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y/Documents/Capstone_Avnet/Data Analysis/"/>
    </mc:Choice>
  </mc:AlternateContent>
  <xr:revisionPtr revIDLastSave="0" documentId="13_ncr:1_{879CE74C-3FE7-1747-92EC-A96BC43A92F7}" xr6:coauthVersionLast="47" xr6:coauthVersionMax="47" xr10:uidLastSave="{00000000-0000-0000-0000-000000000000}"/>
  <bookViews>
    <workbookView xWindow="1080" yWindow="760" windowWidth="26360" windowHeight="17140" activeTab="5" xr2:uid="{D2A3A240-4F13-45F9-BAE5-C13586A59C7F}"/>
  </bookViews>
  <sheets>
    <sheet name="Sheet1" sheetId="5" state="hidden" r:id="rId1"/>
    <sheet name="Demand" sheetId="1" r:id="rId2"/>
    <sheet name="Demand3" sheetId="8" r:id="rId3"/>
    <sheet name="Inventory" sheetId="2" r:id="rId4"/>
    <sheet name="Demand2" sheetId="9" r:id="rId5"/>
    <sheet name="why" sheetId="10" r:id="rId6"/>
    <sheet name="Purchase Orders" sheetId="3" r:id="rId7"/>
    <sheet name="Shipping" sheetId="4" r:id="rId8"/>
  </sheets>
  <definedNames>
    <definedName name="_xlnm._FilterDatabase" localSheetId="1" hidden="1">Demand!$A$1:$P$3213</definedName>
    <definedName name="_xlnm._FilterDatabase" localSheetId="3" hidden="1">Inventory!$A$1:$I$639</definedName>
    <definedName name="_xlnm._FilterDatabase" localSheetId="6" hidden="1">'Purchase Orders'!$A$1:$H$1093</definedName>
    <definedName name="_xlnm._FilterDatabase" localSheetId="7" hidden="1">Shipping!$A$1:$G$7921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2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2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239" i="3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" i="3"/>
  <c r="H4" i="3"/>
  <c r="H5" i="3"/>
  <c r="H6" i="3"/>
  <c r="H7" i="3"/>
  <c r="H8" i="3"/>
  <c r="H9" i="3"/>
  <c r="H10" i="3"/>
  <c r="H11" i="3"/>
  <c r="H12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48" i="3"/>
  <c r="H249" i="3"/>
  <c r="H250" i="3"/>
  <c r="H251" i="3"/>
  <c r="H253" i="3"/>
  <c r="H257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94" i="3"/>
  <c r="H795" i="3"/>
  <c r="H796" i="3"/>
  <c r="H797" i="3"/>
  <c r="H799" i="3"/>
  <c r="H803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2" i="3"/>
  <c r="C30" i="5"/>
  <c r="D30" i="5"/>
  <c r="E30" i="5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C39" i="5"/>
  <c r="D39" i="5"/>
  <c r="E39" i="5"/>
  <c r="C40" i="5"/>
  <c r="D40" i="5"/>
  <c r="E40" i="5"/>
  <c r="C41" i="5"/>
  <c r="D41" i="5"/>
  <c r="E41" i="5"/>
  <c r="C42" i="5"/>
  <c r="D42" i="5"/>
  <c r="E42" i="5"/>
  <c r="C43" i="5"/>
  <c r="D43" i="5"/>
  <c r="E43" i="5"/>
  <c r="C44" i="5"/>
  <c r="D44" i="5"/>
  <c r="E44" i="5"/>
  <c r="C45" i="5"/>
  <c r="D45" i="5"/>
  <c r="E45" i="5"/>
  <c r="C46" i="5"/>
  <c r="D46" i="5"/>
  <c r="E46" i="5"/>
  <c r="C47" i="5"/>
  <c r="D47" i="5"/>
  <c r="E47" i="5"/>
  <c r="C48" i="5"/>
  <c r="D48" i="5"/>
  <c r="E48" i="5"/>
  <c r="C49" i="5"/>
  <c r="D49" i="5"/>
  <c r="E49" i="5"/>
  <c r="C50" i="5"/>
  <c r="D50" i="5"/>
  <c r="E50" i="5"/>
  <c r="C51" i="5"/>
  <c r="D51" i="5"/>
  <c r="E51" i="5"/>
  <c r="C52" i="5"/>
  <c r="D52" i="5"/>
  <c r="E52" i="5"/>
  <c r="C53" i="5"/>
  <c r="D53" i="5"/>
  <c r="E53" i="5"/>
  <c r="C54" i="5"/>
  <c r="D54" i="5"/>
  <c r="E54" i="5"/>
  <c r="C55" i="5"/>
  <c r="D55" i="5"/>
  <c r="E55" i="5"/>
  <c r="C56" i="5"/>
  <c r="D56" i="5"/>
  <c r="E56" i="5"/>
  <c r="C57" i="5"/>
  <c r="D57" i="5"/>
  <c r="E57" i="5"/>
  <c r="C58" i="5"/>
  <c r="D58" i="5"/>
  <c r="E58" i="5"/>
  <c r="C59" i="5"/>
  <c r="D59" i="5"/>
  <c r="E59" i="5"/>
  <c r="C60" i="5"/>
  <c r="D60" i="5"/>
  <c r="E60" i="5"/>
  <c r="C61" i="5"/>
  <c r="D61" i="5"/>
  <c r="E61" i="5"/>
  <c r="C62" i="5"/>
  <c r="D62" i="5"/>
  <c r="E62" i="5"/>
  <c r="C63" i="5"/>
  <c r="D63" i="5"/>
  <c r="E63" i="5"/>
  <c r="C64" i="5"/>
  <c r="D64" i="5"/>
  <c r="E64" i="5"/>
  <c r="C65" i="5"/>
  <c r="D65" i="5"/>
  <c r="E65" i="5"/>
  <c r="C66" i="5"/>
  <c r="D66" i="5"/>
  <c r="E66" i="5"/>
  <c r="C67" i="5"/>
  <c r="D67" i="5"/>
  <c r="E67" i="5"/>
  <c r="C68" i="5"/>
  <c r="D68" i="5"/>
  <c r="E68" i="5"/>
  <c r="C69" i="5"/>
  <c r="D69" i="5"/>
  <c r="E69" i="5"/>
  <c r="C70" i="5"/>
  <c r="D70" i="5"/>
  <c r="E70" i="5"/>
  <c r="C71" i="5"/>
  <c r="D71" i="5"/>
  <c r="E71" i="5"/>
  <c r="C72" i="5"/>
  <c r="D72" i="5"/>
  <c r="E72" i="5"/>
  <c r="C73" i="5"/>
  <c r="D73" i="5"/>
  <c r="E73" i="5"/>
  <c r="C74" i="5"/>
  <c r="D74" i="5"/>
  <c r="E74" i="5"/>
  <c r="C75" i="5"/>
  <c r="D75" i="5"/>
  <c r="E75" i="5"/>
  <c r="C76" i="5"/>
  <c r="D76" i="5"/>
  <c r="E76" i="5"/>
  <c r="C77" i="5"/>
  <c r="D77" i="5"/>
  <c r="E77" i="5"/>
  <c r="C78" i="5"/>
  <c r="D78" i="5"/>
  <c r="E78" i="5"/>
  <c r="C79" i="5"/>
  <c r="D79" i="5"/>
  <c r="E79" i="5"/>
  <c r="C80" i="5"/>
  <c r="D80" i="5"/>
  <c r="E80" i="5"/>
  <c r="C81" i="5"/>
  <c r="D81" i="5"/>
  <c r="E81" i="5"/>
  <c r="C82" i="5"/>
  <c r="D82" i="5"/>
  <c r="E82" i="5"/>
  <c r="C83" i="5"/>
  <c r="D83" i="5"/>
  <c r="E83" i="5"/>
  <c r="C84" i="5"/>
  <c r="D84" i="5"/>
  <c r="E84" i="5"/>
  <c r="C85" i="5"/>
  <c r="D85" i="5"/>
  <c r="E85" i="5"/>
  <c r="C86" i="5"/>
  <c r="D86" i="5"/>
  <c r="E86" i="5"/>
  <c r="C87" i="5"/>
  <c r="D87" i="5"/>
  <c r="E87" i="5"/>
  <c r="C88" i="5"/>
  <c r="D88" i="5"/>
  <c r="E88" i="5"/>
  <c r="C89" i="5"/>
  <c r="D89" i="5"/>
  <c r="E89" i="5"/>
  <c r="C90" i="5"/>
  <c r="D90" i="5"/>
  <c r="E90" i="5"/>
  <c r="C91" i="5"/>
  <c r="D91" i="5"/>
  <c r="E91" i="5"/>
  <c r="C92" i="5"/>
  <c r="D92" i="5"/>
  <c r="E92" i="5"/>
  <c r="C93" i="5"/>
  <c r="D93" i="5"/>
  <c r="E93" i="5"/>
  <c r="C94" i="5"/>
  <c r="D94" i="5"/>
  <c r="E94" i="5"/>
  <c r="C95" i="5"/>
  <c r="D95" i="5"/>
  <c r="E95" i="5"/>
  <c r="C96" i="5"/>
  <c r="D96" i="5"/>
  <c r="E96" i="5"/>
  <c r="C97" i="5"/>
  <c r="D97" i="5"/>
  <c r="E97" i="5"/>
  <c r="C98" i="5"/>
  <c r="D98" i="5"/>
  <c r="E98" i="5"/>
  <c r="C99" i="5"/>
  <c r="D99" i="5"/>
  <c r="E99" i="5"/>
  <c r="C100" i="5"/>
  <c r="D100" i="5"/>
  <c r="E100" i="5"/>
  <c r="C101" i="5"/>
  <c r="D101" i="5"/>
  <c r="E101" i="5"/>
  <c r="C102" i="5"/>
  <c r="D102" i="5"/>
  <c r="E102" i="5"/>
  <c r="C103" i="5"/>
  <c r="D103" i="5"/>
  <c r="E103" i="5"/>
  <c r="C104" i="5"/>
  <c r="D104" i="5"/>
  <c r="E104" i="5"/>
  <c r="C105" i="5"/>
  <c r="D105" i="5"/>
  <c r="E105" i="5"/>
  <c r="C106" i="5"/>
  <c r="D106" i="5"/>
  <c r="E106" i="5"/>
  <c r="C107" i="5"/>
  <c r="D107" i="5"/>
  <c r="E107" i="5"/>
  <c r="C108" i="5"/>
  <c r="D108" i="5"/>
  <c r="E108" i="5"/>
  <c r="C109" i="5"/>
  <c r="D109" i="5"/>
  <c r="E109" i="5"/>
  <c r="C110" i="5"/>
  <c r="D110" i="5"/>
  <c r="E110" i="5"/>
  <c r="C111" i="5"/>
  <c r="D111" i="5"/>
  <c r="E111" i="5"/>
  <c r="C112" i="5"/>
  <c r="D112" i="5"/>
  <c r="E112" i="5"/>
  <c r="C113" i="5"/>
  <c r="D113" i="5"/>
  <c r="E113" i="5"/>
  <c r="C114" i="5"/>
  <c r="D114" i="5"/>
  <c r="E114" i="5"/>
  <c r="C115" i="5"/>
  <c r="D115" i="5"/>
  <c r="E115" i="5"/>
  <c r="C116" i="5"/>
  <c r="D116" i="5"/>
  <c r="E116" i="5"/>
  <c r="C117" i="5"/>
  <c r="D117" i="5"/>
  <c r="E117" i="5"/>
  <c r="C118" i="5"/>
  <c r="D118" i="5"/>
  <c r="E118" i="5"/>
  <c r="C119" i="5"/>
  <c r="D119" i="5"/>
  <c r="E119" i="5"/>
  <c r="C120" i="5"/>
  <c r="D120" i="5"/>
  <c r="E120" i="5"/>
  <c r="C121" i="5"/>
  <c r="D121" i="5"/>
  <c r="E121" i="5"/>
  <c r="C122" i="5"/>
  <c r="D122" i="5"/>
  <c r="E122" i="5"/>
  <c r="C123" i="5"/>
  <c r="D123" i="5"/>
  <c r="E123" i="5"/>
  <c r="C124" i="5"/>
  <c r="D124" i="5"/>
  <c r="E124" i="5"/>
  <c r="C125" i="5"/>
  <c r="D125" i="5"/>
  <c r="E125" i="5"/>
  <c r="C126" i="5"/>
  <c r="D126" i="5"/>
  <c r="E126" i="5"/>
  <c r="C127" i="5"/>
  <c r="D127" i="5"/>
  <c r="E127" i="5"/>
  <c r="C128" i="5"/>
  <c r="D128" i="5"/>
  <c r="E128" i="5"/>
  <c r="C129" i="5"/>
  <c r="D129" i="5"/>
  <c r="E129" i="5"/>
  <c r="C130" i="5"/>
  <c r="D130" i="5"/>
  <c r="E130" i="5"/>
  <c r="C131" i="5"/>
  <c r="D131" i="5"/>
  <c r="E131" i="5"/>
  <c r="C132" i="5"/>
  <c r="D132" i="5"/>
  <c r="E132" i="5"/>
  <c r="C133" i="5"/>
  <c r="D133" i="5"/>
  <c r="E133" i="5"/>
  <c r="C134" i="5"/>
  <c r="D134" i="5"/>
  <c r="E134" i="5"/>
  <c r="C135" i="5"/>
  <c r="D135" i="5"/>
  <c r="E135" i="5"/>
  <c r="C136" i="5"/>
  <c r="D136" i="5"/>
  <c r="E136" i="5"/>
  <c r="C137" i="5"/>
  <c r="D137" i="5"/>
  <c r="E137" i="5"/>
  <c r="C138" i="5"/>
  <c r="D138" i="5"/>
  <c r="E138" i="5"/>
  <c r="C139" i="5"/>
  <c r="D139" i="5"/>
  <c r="E139" i="5"/>
  <c r="C140" i="5"/>
  <c r="D140" i="5"/>
  <c r="E140" i="5"/>
  <c r="C141" i="5"/>
  <c r="D141" i="5"/>
  <c r="E141" i="5"/>
  <c r="C142" i="5"/>
  <c r="D142" i="5"/>
  <c r="E142" i="5"/>
  <c r="C143" i="5"/>
  <c r="D143" i="5"/>
  <c r="E143" i="5"/>
  <c r="C144" i="5"/>
  <c r="D144" i="5"/>
  <c r="E144" i="5"/>
  <c r="C145" i="5"/>
  <c r="D145" i="5"/>
  <c r="E145" i="5"/>
  <c r="C146" i="5"/>
  <c r="D146" i="5"/>
  <c r="E146" i="5"/>
  <c r="C147" i="5"/>
  <c r="D147" i="5"/>
  <c r="E147" i="5"/>
  <c r="C148" i="5"/>
  <c r="D148" i="5"/>
  <c r="E148" i="5"/>
  <c r="C149" i="5"/>
  <c r="D149" i="5"/>
  <c r="E149" i="5"/>
  <c r="C150" i="5"/>
  <c r="D150" i="5"/>
  <c r="E150" i="5"/>
  <c r="C151" i="5"/>
  <c r="D151" i="5"/>
  <c r="E151" i="5"/>
  <c r="C152" i="5"/>
  <c r="D152" i="5"/>
  <c r="E152" i="5"/>
  <c r="C153" i="5"/>
  <c r="D153" i="5"/>
  <c r="E153" i="5"/>
  <c r="C154" i="5"/>
  <c r="D154" i="5"/>
  <c r="E154" i="5"/>
  <c r="C155" i="5"/>
  <c r="D155" i="5"/>
  <c r="E155" i="5"/>
  <c r="C156" i="5"/>
  <c r="D156" i="5"/>
  <c r="E156" i="5"/>
  <c r="C157" i="5"/>
  <c r="D157" i="5"/>
  <c r="E157" i="5"/>
  <c r="C158" i="5"/>
  <c r="D158" i="5"/>
  <c r="E158" i="5"/>
  <c r="C159" i="5"/>
  <c r="D159" i="5"/>
  <c r="E159" i="5"/>
  <c r="C160" i="5"/>
  <c r="D160" i="5"/>
  <c r="E160" i="5"/>
  <c r="C161" i="5"/>
  <c r="D161" i="5"/>
  <c r="E161" i="5"/>
  <c r="C162" i="5"/>
  <c r="D162" i="5"/>
  <c r="E162" i="5"/>
  <c r="C163" i="5"/>
  <c r="D163" i="5"/>
  <c r="E163" i="5"/>
  <c r="C164" i="5"/>
  <c r="D164" i="5"/>
  <c r="E164" i="5"/>
  <c r="C165" i="5"/>
  <c r="D165" i="5"/>
  <c r="E165" i="5"/>
  <c r="C166" i="5"/>
  <c r="D166" i="5"/>
  <c r="E166" i="5"/>
  <c r="C167" i="5"/>
  <c r="D167" i="5"/>
  <c r="E167" i="5"/>
  <c r="C168" i="5"/>
  <c r="D168" i="5"/>
  <c r="E168" i="5"/>
  <c r="C169" i="5"/>
  <c r="D169" i="5"/>
  <c r="E169" i="5"/>
  <c r="C170" i="5"/>
  <c r="D170" i="5"/>
  <c r="E170" i="5"/>
  <c r="C171" i="5"/>
  <c r="D171" i="5"/>
  <c r="E171" i="5"/>
  <c r="C172" i="5"/>
  <c r="D172" i="5"/>
  <c r="E172" i="5"/>
  <c r="C173" i="5"/>
  <c r="D173" i="5"/>
  <c r="E173" i="5"/>
  <c r="C174" i="5"/>
  <c r="D174" i="5"/>
  <c r="E174" i="5"/>
  <c r="C175" i="5"/>
  <c r="D175" i="5"/>
  <c r="E175" i="5"/>
  <c r="C176" i="5"/>
  <c r="D176" i="5"/>
  <c r="E176" i="5"/>
  <c r="C177" i="5"/>
  <c r="D177" i="5"/>
  <c r="E177" i="5"/>
  <c r="C178" i="5"/>
  <c r="D178" i="5"/>
  <c r="E178" i="5"/>
  <c r="C179" i="5"/>
  <c r="D179" i="5"/>
  <c r="E179" i="5"/>
  <c r="C180" i="5"/>
  <c r="D180" i="5"/>
  <c r="E180" i="5"/>
  <c r="C181" i="5"/>
  <c r="D181" i="5"/>
  <c r="E181" i="5"/>
  <c r="C182" i="5"/>
  <c r="D182" i="5"/>
  <c r="E182" i="5"/>
  <c r="C183" i="5"/>
  <c r="D183" i="5"/>
  <c r="E183" i="5"/>
  <c r="C184" i="5"/>
  <c r="D184" i="5"/>
  <c r="E184" i="5"/>
  <c r="C185" i="5"/>
  <c r="D185" i="5"/>
  <c r="E185" i="5"/>
  <c r="C186" i="5"/>
  <c r="D186" i="5"/>
  <c r="E186" i="5"/>
  <c r="C187" i="5"/>
  <c r="D187" i="5"/>
  <c r="E187" i="5"/>
  <c r="C188" i="5"/>
  <c r="D188" i="5"/>
  <c r="E188" i="5"/>
  <c r="C189" i="5"/>
  <c r="D189" i="5"/>
  <c r="E189" i="5"/>
  <c r="C190" i="5"/>
  <c r="D190" i="5"/>
  <c r="E190" i="5"/>
  <c r="C5" i="5"/>
  <c r="D5" i="5"/>
  <c r="E5" i="5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17" i="5"/>
  <c r="D17" i="5"/>
  <c r="E17" i="5"/>
  <c r="C18" i="5"/>
  <c r="D18" i="5"/>
  <c r="E18" i="5"/>
  <c r="C19" i="5"/>
  <c r="D19" i="5"/>
  <c r="E19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  <c r="C26" i="5"/>
  <c r="D26" i="5"/>
  <c r="E26" i="5"/>
  <c r="C27" i="5"/>
  <c r="D27" i="5"/>
  <c r="E27" i="5"/>
  <c r="C28" i="5"/>
  <c r="D28" i="5"/>
  <c r="E28" i="5"/>
  <c r="C29" i="5"/>
  <c r="D29" i="5"/>
  <c r="E29" i="5"/>
  <c r="E4" i="5"/>
  <c r="D4" i="5"/>
  <c r="C4" i="5"/>
</calcChain>
</file>

<file path=xl/sharedStrings.xml><?xml version="1.0" encoding="utf-8"?>
<sst xmlns="http://schemas.openxmlformats.org/spreadsheetml/2006/main" count="44303" uniqueCount="434">
  <si>
    <t>ATP_DATE</t>
  </si>
  <si>
    <t>CUSTOMER_REQUIRED_DATE</t>
  </si>
  <si>
    <t>EXTENDED_RESALE</t>
  </si>
  <si>
    <t>MANUFACTURER_PART_NO</t>
  </si>
  <si>
    <t>OPEN_QUANTITY_OF_SO</t>
  </si>
  <si>
    <t>ORDER_CREATION_DATE</t>
  </si>
  <si>
    <t>SALES_DOCUMENT_TYPE</t>
  </si>
  <si>
    <t>SOLD_TO_NAME</t>
  </si>
  <si>
    <t>TOTAL_ORDER_QUANTITY</t>
  </si>
  <si>
    <t>UNIT_PRICE</t>
  </si>
  <si>
    <t>TOTAL_ORDER_RESALE</t>
  </si>
  <si>
    <t>SHIP_TO_COUNTRY</t>
  </si>
  <si>
    <t>G/ZFC</t>
  </si>
  <si>
    <t/>
  </si>
  <si>
    <t>G/ZSB</t>
  </si>
  <si>
    <t>G/ZOR</t>
  </si>
  <si>
    <t>AGED_DAYS</t>
  </si>
  <si>
    <t>EXT_RESALE</t>
  </si>
  <si>
    <t>INVENTORY_RECEIVED_DATE</t>
  </si>
  <si>
    <t>AGE_BUCKET</t>
  </si>
  <si>
    <t>Unit Price</t>
  </si>
  <si>
    <t>91+ Days</t>
  </si>
  <si>
    <t>31-60 Days</t>
  </si>
  <si>
    <t>0-30 Days</t>
  </si>
  <si>
    <t>61-90 Days</t>
  </si>
  <si>
    <t>CONFIRMATION_DELIVERY_DATE</t>
  </si>
  <si>
    <t>PO_CREATION_DATE</t>
  </si>
  <si>
    <t>PO_OPEN_QTY</t>
  </si>
  <si>
    <t>PO_REQUIRE_DATE</t>
  </si>
  <si>
    <t>UNIT_COST</t>
  </si>
  <si>
    <t>BILLING_QUANTITY</t>
  </si>
  <si>
    <t>EXTENDED_RESALE_USD</t>
  </si>
  <si>
    <t>INVOICE_DATE</t>
  </si>
  <si>
    <t>Mexico</t>
  </si>
  <si>
    <t>Hong Kong</t>
  </si>
  <si>
    <t>Italy</t>
  </si>
  <si>
    <t>Taiwan</t>
  </si>
  <si>
    <t>Canada</t>
  </si>
  <si>
    <t>Romania</t>
  </si>
  <si>
    <t>USA</t>
  </si>
  <si>
    <t>China</t>
  </si>
  <si>
    <t>Hungary</t>
  </si>
  <si>
    <t>India</t>
  </si>
  <si>
    <t>CRCW040222R0JNED</t>
  </si>
  <si>
    <t>WR04X220 JTL</t>
  </si>
  <si>
    <t>RK73B1ETTP220J</t>
  </si>
  <si>
    <t>ERJ-PA2J220X</t>
  </si>
  <si>
    <t>ERJPA2J220X</t>
  </si>
  <si>
    <t>AON6500</t>
  </si>
  <si>
    <t>CRCW040224R0JNEDC</t>
  </si>
  <si>
    <t>WR04X240 JTL</t>
  </si>
  <si>
    <t>BCTTDE0402-103XJTH</t>
  </si>
  <si>
    <t>RN731ETTP1742B25</t>
  </si>
  <si>
    <t>PI3HDX1204B1ZHE</t>
  </si>
  <si>
    <t>BCTTDE0402-9092FTH</t>
  </si>
  <si>
    <t>PTN38003AEWY</t>
  </si>
  <si>
    <t>CRCW0603100KFKEB</t>
  </si>
  <si>
    <t>PTN38003AEW</t>
  </si>
  <si>
    <t>PI3EQX1004EZTFEX</t>
  </si>
  <si>
    <t>RT6219AGQW</t>
  </si>
  <si>
    <t>RT9187GSP(Z00)</t>
  </si>
  <si>
    <t>WF04H1742BTL</t>
  </si>
  <si>
    <t>W25R256JWEIQ</t>
  </si>
  <si>
    <t>RCG040231K6FKED</t>
  </si>
  <si>
    <t>RCG040268K1FKED</t>
  </si>
  <si>
    <t>PI3EQX1004E2ZTFEX</t>
  </si>
  <si>
    <t>RK73H1HTTC2203F</t>
  </si>
  <si>
    <t>SDNT1005X473F4050FTF</t>
  </si>
  <si>
    <t>HB3903U</t>
  </si>
  <si>
    <t>HB3903U-P3</t>
  </si>
  <si>
    <t>HB3902U</t>
  </si>
  <si>
    <t>HM3504E-HP1</t>
  </si>
  <si>
    <t>HF2704E-M1</t>
  </si>
  <si>
    <t>TSM-103-01-L-DV-003-P-TR</t>
  </si>
  <si>
    <t>2HE1700-000111F</t>
  </si>
  <si>
    <t>AONR32314</t>
  </si>
  <si>
    <t>SN74AHC1G08DBVRG4</t>
  </si>
  <si>
    <t>RC0402FR-074K7L</t>
  </si>
  <si>
    <t>RM04FTN4701</t>
  </si>
  <si>
    <t>RK73B1ETTP472J</t>
  </si>
  <si>
    <t>CRCW04024K70JNED</t>
  </si>
  <si>
    <t>WR04X472 JTL</t>
  </si>
  <si>
    <t>RC0402JR-074K7L</t>
  </si>
  <si>
    <t>RM04JTN472</t>
  </si>
  <si>
    <t>RC0402JR-7D4K7L</t>
  </si>
  <si>
    <t>RC0402DR-074K75L</t>
  </si>
  <si>
    <t>CRCW04024K99FKED</t>
  </si>
  <si>
    <t>SIC621CD-T1-GE3</t>
  </si>
  <si>
    <t>WR04X4991FTL</t>
  </si>
  <si>
    <t>RK73H1ETTP4991F</t>
  </si>
  <si>
    <t>RC0402FR-074K99L</t>
  </si>
  <si>
    <t>RK73H1ETTP5231F</t>
  </si>
  <si>
    <t>CRCW04025K23FKED</t>
  </si>
  <si>
    <t>WR04X5231FTL</t>
  </si>
  <si>
    <t>RC0402FR-075K23L</t>
  </si>
  <si>
    <t>CRCW04025K23FKEDC</t>
  </si>
  <si>
    <t>CRCW04025K23FNED</t>
  </si>
  <si>
    <t>CRCW04026K20JNED</t>
  </si>
  <si>
    <t>WR04X622 JTL</t>
  </si>
  <si>
    <t>RC0402JR-076K2L</t>
  </si>
  <si>
    <t>RK73B1ETTP622J</t>
  </si>
  <si>
    <t>CRCW04026K20JNEDC</t>
  </si>
  <si>
    <t>RK73H1ETTP8201F</t>
  </si>
  <si>
    <t>CRCW04028K20FKED</t>
  </si>
  <si>
    <t>WR04X8201FTL</t>
  </si>
  <si>
    <t>RC0402FR-078K2L</t>
  </si>
  <si>
    <t>CRCW04028K20FKEDC</t>
  </si>
  <si>
    <t>RK73H1ETTP8451F</t>
  </si>
  <si>
    <t>RT9187GSP</t>
  </si>
  <si>
    <t>CRCW04028K45FKED</t>
  </si>
  <si>
    <t>WR04X8451FTL</t>
  </si>
  <si>
    <t>RC0402FR-078K45L</t>
  </si>
  <si>
    <t>CRCW040210K0FKED</t>
  </si>
  <si>
    <t>WR04X1002FTL</t>
  </si>
  <si>
    <t>RK73H1ETTP1002F</t>
  </si>
  <si>
    <t>RC0402FR-0710KL</t>
  </si>
  <si>
    <t>RK73B1ETTP103J</t>
  </si>
  <si>
    <t>CRCW040210K0JNED</t>
  </si>
  <si>
    <t>WR04X103 JTL</t>
  </si>
  <si>
    <t>RC0402JR-0710KL</t>
  </si>
  <si>
    <t>WR04X103 JTR</t>
  </si>
  <si>
    <t>RC0402JR-0710KP</t>
  </si>
  <si>
    <t>CRCW040213K3FKED</t>
  </si>
  <si>
    <t>WR04X1332FTL</t>
  </si>
  <si>
    <t>RC0402FR-0713K3L</t>
  </si>
  <si>
    <t>RT6220AGQUF</t>
  </si>
  <si>
    <t>RK73H1ETTP1332F</t>
  </si>
  <si>
    <t>RK73H1ETTP1372F</t>
  </si>
  <si>
    <t>CRCW040213K7FKED</t>
  </si>
  <si>
    <t>WR04X1372FTL</t>
  </si>
  <si>
    <t>RC0402FR-0713K7L</t>
  </si>
  <si>
    <t>CRCW040213K7FKEDC</t>
  </si>
  <si>
    <t>RK73H1ETTP1502F</t>
  </si>
  <si>
    <t>CRCW040215K0FKED</t>
  </si>
  <si>
    <t>WR04X1502FTL</t>
  </si>
  <si>
    <t>RT6220AHGQUF</t>
  </si>
  <si>
    <t>RC0402FR-0715KL</t>
  </si>
  <si>
    <t>RT0402BRD0717K4L</t>
  </si>
  <si>
    <t>RK73H1ETTP1782F</t>
  </si>
  <si>
    <t>CRCW040217K8FKEDC</t>
  </si>
  <si>
    <t>WR04X1782FTL</t>
  </si>
  <si>
    <t>RC0402FR-0717K8L</t>
  </si>
  <si>
    <t>WR04X2002FTL</t>
  </si>
  <si>
    <t>RK73H1ETTP2002F</t>
  </si>
  <si>
    <t>W25R256JVEIN</t>
  </si>
  <si>
    <t>RC0402FR-0720KL</t>
  </si>
  <si>
    <t>CRCW040220K0FKED</t>
  </si>
  <si>
    <t>CRCW040220K0JNED</t>
  </si>
  <si>
    <t>WR04X203 JTL</t>
  </si>
  <si>
    <t>RK73B1ETTP203J</t>
  </si>
  <si>
    <t>RC0402JR-0720KL</t>
  </si>
  <si>
    <t>RC0402FR-0722KL</t>
  </si>
  <si>
    <t>WR04X2202FTL</t>
  </si>
  <si>
    <t>CRCW040222K0FKED</t>
  </si>
  <si>
    <t>RK73B1ETTP223J</t>
  </si>
  <si>
    <t>CRCW040222K0JNED</t>
  </si>
  <si>
    <t>WR04X223 JTL</t>
  </si>
  <si>
    <t>RC0402JR-0722KL</t>
  </si>
  <si>
    <t>CRCW040222K0JNEDC</t>
  </si>
  <si>
    <t>CRCW040222K6FKEDC</t>
  </si>
  <si>
    <t>WR04X2262FTL</t>
  </si>
  <si>
    <t>RK73H1ETTP2262F</t>
  </si>
  <si>
    <t>RC0402FR-0722K6L</t>
  </si>
  <si>
    <t>RK73H1ETTP2322F</t>
  </si>
  <si>
    <t>CRCW040223K2FKEDC</t>
  </si>
  <si>
    <t>PI3HDX1204B1ZHEX</t>
  </si>
  <si>
    <t>RC0402FR-0723K2L</t>
  </si>
  <si>
    <t>WR04X2322FTL</t>
  </si>
  <si>
    <t>CRCW040230K1FKED</t>
  </si>
  <si>
    <t>WR04X3012FTL</t>
  </si>
  <si>
    <t>RK73H1ETTP3012F</t>
  </si>
  <si>
    <t>RC0402FR-0730K1L</t>
  </si>
  <si>
    <t>RK73B1ETTP303J</t>
  </si>
  <si>
    <t>CRCW040230K0JNED</t>
  </si>
  <si>
    <t>WR04X303 JTL</t>
  </si>
  <si>
    <t>SN74AHC1G08DBVR</t>
  </si>
  <si>
    <t>RC0402JR-0730KL</t>
  </si>
  <si>
    <t>RK73H1EVTTP3162F</t>
  </si>
  <si>
    <t>WR04X3162FTR</t>
  </si>
  <si>
    <t>RC0402FR-0731K6P</t>
  </si>
  <si>
    <t>RC0402FR-0733K2L</t>
  </si>
  <si>
    <t>WR04X3322FTL</t>
  </si>
  <si>
    <t>RK73H1ETTP3322F</t>
  </si>
  <si>
    <t>CRCW040233K2FKED</t>
  </si>
  <si>
    <t>RK73H1ETTP3402F</t>
  </si>
  <si>
    <t>W25R256JWEIQ-T</t>
  </si>
  <si>
    <t>CRCW040234K0FKED</t>
  </si>
  <si>
    <t>WR04X3402FTL</t>
  </si>
  <si>
    <t>RC0402FR-0734KL</t>
  </si>
  <si>
    <t>CRCW040234K0FKEDC</t>
  </si>
  <si>
    <t>CRCW040234K0FNED</t>
  </si>
  <si>
    <t>WR06X3742 FTL</t>
  </si>
  <si>
    <t>RK73H1JTTD3742F</t>
  </si>
  <si>
    <t>RC0603FR-0737K4L</t>
  </si>
  <si>
    <t>RK73H1ETTP3832F</t>
  </si>
  <si>
    <t>CRCW040238K3FKED</t>
  </si>
  <si>
    <t>RT8237FZQW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</si>
  <si>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</si>
  <si>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</si>
  <si>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</si>
  <si>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</si>
  <si>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</si>
  <si>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</si>
  <si>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</si>
  <si>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</si>
  <si>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</si>
  <si>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</si>
  <si>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</si>
  <si>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</si>
  <si>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</si>
  <si>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</si>
  <si>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</si>
  <si>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</si>
  <si>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Location 17</t>
  </si>
  <si>
    <t>Location 18</t>
  </si>
  <si>
    <t>Location 19</t>
  </si>
  <si>
    <t>Location 20</t>
  </si>
  <si>
    <t>Location 21</t>
  </si>
  <si>
    <t>Location 22</t>
  </si>
  <si>
    <t>Location 23</t>
  </si>
  <si>
    <t>Location 24</t>
  </si>
  <si>
    <t>Location 25</t>
  </si>
  <si>
    <t>Location 26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</si>
  <si>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</si>
  <si>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</si>
  <si>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</si>
  <si>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</si>
  <si>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</si>
  <si>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</si>
  <si>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</si>
  <si>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</si>
  <si>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</si>
  <si>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SHIP_TO_PARTY_NAME</t>
  </si>
  <si>
    <t>JMK105BJ105KV-F</t>
  </si>
  <si>
    <t>RM LMK105BJ105KVEF</t>
  </si>
  <si>
    <t>RMUMK105B7221KVEF</t>
  </si>
  <si>
    <t>LMK105BJ105KV-F</t>
  </si>
  <si>
    <t>T5V0S5-7</t>
  </si>
  <si>
    <t>RMUMK105CG100DW-F</t>
  </si>
  <si>
    <t>GRM188R71H104KA93J</t>
  </si>
  <si>
    <t>WSK06125L000FEA</t>
  </si>
  <si>
    <t>ESMG250ELL101MF11D</t>
  </si>
  <si>
    <t>GRM188R71C105KA12D</t>
  </si>
  <si>
    <t>GRM188R71C105KA12F</t>
  </si>
  <si>
    <t>SLG7NT42752VTR</t>
  </si>
  <si>
    <t>RCG0402619RFKED</t>
  </si>
  <si>
    <t>UMK105B7471KV-F</t>
  </si>
  <si>
    <t>999V16</t>
  </si>
  <si>
    <t>1206L150PR</t>
  </si>
  <si>
    <t>C0603X5R1C224M030BC</t>
  </si>
  <si>
    <t>GCM1555C1H220JZ13D</t>
  </si>
  <si>
    <t>SN74CBT3125PWR</t>
  </si>
  <si>
    <t>CRCW0603150RJNEB</t>
  </si>
  <si>
    <t>GRM1555C1H1R5CZ01F</t>
  </si>
  <si>
    <t>RM UMK105 CG180JWEF</t>
  </si>
  <si>
    <t>M20-8760442R</t>
  </si>
  <si>
    <t>PG1112H-TR</t>
  </si>
  <si>
    <t>C0603X5R1C224MT00NE</t>
  </si>
  <si>
    <t>CL05A475MQ5NQNC</t>
  </si>
  <si>
    <t>794313-3</t>
  </si>
  <si>
    <t>RMUMK105B7331KVEF</t>
  </si>
  <si>
    <t>GRM188R71H104KA93D</t>
  </si>
  <si>
    <t>PCA9555PW</t>
  </si>
  <si>
    <t>SN74CBT3125PWRG4</t>
  </si>
  <si>
    <t>16PX470MEFCCE8X11.5</t>
  </si>
  <si>
    <t>DLP11SA900HL2L</t>
  </si>
  <si>
    <t>RM TMK063 CG010BTEF</t>
  </si>
  <si>
    <t>CRCW060310M0JNEB</t>
  </si>
  <si>
    <t>AON7405</t>
  </si>
  <si>
    <t>C2012X5R1H475KT000N</t>
  </si>
  <si>
    <t>ESMG250ETD101MF11D</t>
  </si>
  <si>
    <t>JMK105BJ105MV-F</t>
  </si>
  <si>
    <t>CE TMK212BBJ106KGET</t>
  </si>
  <si>
    <t>TMK105B7103KV-F</t>
  </si>
  <si>
    <t>LMK105BJ104KV-F</t>
  </si>
  <si>
    <t>JMK316BJ107MLET</t>
  </si>
  <si>
    <t>RMJMK105BJ105MVEF</t>
  </si>
  <si>
    <t>GRM188R60J105MA01E</t>
  </si>
  <si>
    <t>SLG7NT402V</t>
  </si>
  <si>
    <t>CL05A226MQ5QUNC</t>
  </si>
  <si>
    <t>RK73Z2ATQTD</t>
  </si>
  <si>
    <t>NFG0QHB372HS2B</t>
  </si>
  <si>
    <t>TMK316BBJ226KL-T</t>
  </si>
  <si>
    <t>CE JMK212BJ476MG-T</t>
  </si>
  <si>
    <t>CL05A106MP5NUNC</t>
  </si>
  <si>
    <t>RK73B1ETQTP200J</t>
  </si>
  <si>
    <t>C1005X5R0J475MTJ00E</t>
  </si>
  <si>
    <t>C1005X7R1H104M050BB</t>
  </si>
  <si>
    <t>SLG5NT1458VTR</t>
  </si>
  <si>
    <t>SLG5NT1458V</t>
  </si>
  <si>
    <t>JMK212BJ476MG-T</t>
  </si>
  <si>
    <t>RM UMK105B7152KVEF</t>
  </si>
  <si>
    <t>C0603X5R1E104M030BB</t>
  </si>
  <si>
    <t>MP86901-CGLT</t>
  </si>
  <si>
    <t>DLP11SA900HL2</t>
  </si>
  <si>
    <t>NC7SV32FHX</t>
  </si>
  <si>
    <t>RM UMK105 CG330JVEF</t>
  </si>
  <si>
    <t>PMBT3906/G</t>
  </si>
  <si>
    <t>EKMG160ETD471MHB5D</t>
  </si>
  <si>
    <t>EKMG160ELL471MHB5D</t>
  </si>
  <si>
    <t>GRM31CR60J107ME39K</t>
  </si>
  <si>
    <t>MMDT3904-7-F</t>
  </si>
  <si>
    <t>2N7002PS,115</t>
  </si>
  <si>
    <t>GRM155R71E224KE14D</t>
  </si>
  <si>
    <t>SN74CBT3306PWRG4</t>
  </si>
  <si>
    <t>CL10A106MO8NQNC</t>
  </si>
  <si>
    <t>CRCW06032K49FKEB</t>
  </si>
  <si>
    <t>10146514-10131MLF</t>
  </si>
  <si>
    <t>10146069-113X0LF</t>
  </si>
  <si>
    <t>BCTTDE0402-3011FTH</t>
  </si>
  <si>
    <t>GRM155R61E475ME15</t>
  </si>
  <si>
    <t>RK73H1HTTC10R0F</t>
  </si>
  <si>
    <t>BCTTDE0402-220XJTH</t>
  </si>
  <si>
    <t>RLM-1220-3F-R005-FNH-66</t>
  </si>
  <si>
    <t>SN74CBT3306PWR</t>
  </si>
  <si>
    <t>CL10A475KO8NNNC</t>
  </si>
  <si>
    <t>CRCW06031K91FKEB</t>
  </si>
  <si>
    <t>BCTTDE0402-1501FTH</t>
  </si>
  <si>
    <t>EKMG160EC3471MHB5D</t>
  </si>
  <si>
    <t>C1005X5R1A225KT000N</t>
  </si>
  <si>
    <t>SLG7NT4084V</t>
  </si>
  <si>
    <t>GRM31CR60J107ME39L</t>
  </si>
  <si>
    <t>HK06036N8J-T</t>
  </si>
  <si>
    <t>BK1608HS600-T</t>
  </si>
  <si>
    <t>APT2012SRWPRVF01-INT</t>
  </si>
  <si>
    <t>CL21A226MAQNNNE</t>
  </si>
  <si>
    <t>RM UMK105 CG180JVEF</t>
  </si>
  <si>
    <t>CEEMK107B7105KAET</t>
  </si>
  <si>
    <t>SLG7NT4082VTR</t>
  </si>
  <si>
    <t>RM TMK105B7473KVEF</t>
  </si>
  <si>
    <t>UMK105B7152KVEF</t>
  </si>
  <si>
    <t>EMK105BJ105KV-F</t>
  </si>
  <si>
    <t>SLG7NT4084VTR</t>
  </si>
  <si>
    <t>TSM-104-01-F-DV-A-008-PTR</t>
  </si>
  <si>
    <t>SLG7NT4082V</t>
  </si>
  <si>
    <t>7M25020012</t>
  </si>
  <si>
    <t>RMUMK105CG100DV-F</t>
  </si>
  <si>
    <t>IPJ-P6005-X2BT</t>
  </si>
  <si>
    <t>RM UMK105 CG101JVEF</t>
  </si>
  <si>
    <t>WGI219LM</t>
  </si>
  <si>
    <t>BMNI000404212R2MXB</t>
  </si>
  <si>
    <t>RMJMK105BJ105KVEF</t>
  </si>
  <si>
    <t>SMD1206P200TF</t>
  </si>
  <si>
    <t>GRM188R60J105MA01F</t>
  </si>
  <si>
    <t>SN74CBT3306PWRE4</t>
  </si>
  <si>
    <t>2SK3541T2L</t>
  </si>
  <si>
    <t>SN74CBT3125RGYR</t>
  </si>
  <si>
    <t>67492-9222</t>
  </si>
  <si>
    <t>RT8078AZQW</t>
  </si>
  <si>
    <t>M24C02-WMN6TP</t>
  </si>
  <si>
    <t>CRCW06032R20JNEB</t>
  </si>
  <si>
    <t>PMV40UN2</t>
  </si>
  <si>
    <t>CE JMK107BJ226MAETD</t>
  </si>
  <si>
    <t>RM LMK105 BJ104KVEF</t>
  </si>
  <si>
    <t>PESD5V0H1BSF</t>
  </si>
  <si>
    <t>C1005X5R1C105KT000E</t>
  </si>
  <si>
    <t>C1005X5R1C105KT009E</t>
  </si>
  <si>
    <t>RK73Z2ATQTDD</t>
  </si>
  <si>
    <t>SMD1812P110TF</t>
  </si>
  <si>
    <t>SDNT1005X104F4250FTF</t>
  </si>
  <si>
    <t>1206L150WR</t>
  </si>
  <si>
    <t>SMD1206P150TFT</t>
  </si>
  <si>
    <t>2N7002PS</t>
  </si>
  <si>
    <t>APT2012QGW-F01-INT</t>
  </si>
  <si>
    <t>M24C16-WMN6TP</t>
  </si>
  <si>
    <t>ACM2012-900-2P-T002</t>
  </si>
  <si>
    <t>ACM2012-900-2P-TL002</t>
  </si>
  <si>
    <t>UMK105CG100DV-F</t>
  </si>
  <si>
    <t>RM UMK105 CG220JVEF</t>
  </si>
  <si>
    <t>UMK105CG220JV-F</t>
  </si>
  <si>
    <t>RM UMK105 CH101JVEF</t>
  </si>
  <si>
    <t>UMK105CG101JV-F</t>
  </si>
  <si>
    <t>RMUMK105B7471KVEF</t>
  </si>
  <si>
    <t>RMTMK105B7103KVEF</t>
  </si>
  <si>
    <t>GRM155R60J106ME11D</t>
  </si>
  <si>
    <t>MSASJ105CB5106MFNQ11</t>
  </si>
  <si>
    <t>SLG7NT402VTR</t>
  </si>
  <si>
    <t>CE JMK316BJ107MLET</t>
  </si>
  <si>
    <t>C0603C105M9PAC</t>
  </si>
  <si>
    <t>CE JMK212 BJ226MGET</t>
  </si>
  <si>
    <t>APSF4R0ELL471MF08S</t>
  </si>
  <si>
    <t>APSF4R0EC3471MF08S</t>
  </si>
  <si>
    <t>APSF4R0ETD471MF08S</t>
  </si>
  <si>
    <t>UMK105CG330JV-F</t>
  </si>
  <si>
    <t>BL2012-10B0900T/LF</t>
  </si>
  <si>
    <t>GRM155R61C474KE01D</t>
  </si>
  <si>
    <t>TMK105B7224KV-FR</t>
  </si>
  <si>
    <t>meet_date</t>
  </si>
  <si>
    <t>Sum of EXTENDED_RESALE</t>
  </si>
  <si>
    <t>Row Labels</t>
  </si>
  <si>
    <t>Grand Total</t>
  </si>
  <si>
    <t>Sum of EXT_RESALE</t>
  </si>
  <si>
    <t>Inventory</t>
  </si>
  <si>
    <t>PO</t>
  </si>
  <si>
    <t>Sum of EXTENDED_RESALE_USD</t>
  </si>
  <si>
    <t>Shipping</t>
  </si>
  <si>
    <t>QOH</t>
  </si>
  <si>
    <t>Date_sub</t>
  </si>
  <si>
    <t>Yes</t>
  </si>
  <si>
    <t>No</t>
  </si>
  <si>
    <t>Absolute Value</t>
  </si>
  <si>
    <t>Lead time</t>
  </si>
  <si>
    <t>LT Absoute value</t>
  </si>
  <si>
    <t>Yearmonth</t>
  </si>
  <si>
    <t>202212</t>
  </si>
  <si>
    <t>202302</t>
  </si>
  <si>
    <t>202301</t>
  </si>
  <si>
    <t>202306</t>
  </si>
  <si>
    <t>202307</t>
  </si>
  <si>
    <t>202203</t>
  </si>
  <si>
    <t>202305</t>
  </si>
  <si>
    <t>202209</t>
  </si>
  <si>
    <t>202107</t>
  </si>
  <si>
    <t>202308</t>
  </si>
  <si>
    <t>202207</t>
  </si>
  <si>
    <t>202211</t>
  </si>
  <si>
    <t>202303</t>
  </si>
  <si>
    <t>202304</t>
  </si>
  <si>
    <t>202003</t>
  </si>
  <si>
    <t>202005</t>
  </si>
  <si>
    <t>202012</t>
  </si>
  <si>
    <t>202201</t>
  </si>
  <si>
    <t>202204</t>
  </si>
  <si>
    <t>202208</t>
  </si>
  <si>
    <t>202110</t>
  </si>
  <si>
    <t>202210</t>
  </si>
  <si>
    <t>Customer lead time</t>
  </si>
  <si>
    <t>order_fulfillment</t>
  </si>
  <si>
    <t>MPN</t>
  </si>
  <si>
    <t>open_Q_Value</t>
  </si>
  <si>
    <t>order_Creation_year</t>
  </si>
  <si>
    <t>StdDev of ORDER_CREATION_DATE</t>
  </si>
  <si>
    <t>StdDev of OPEN_QUANTITY_OF_SO</t>
  </si>
  <si>
    <t>MPN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</si>
</sst>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;\(\$#,##0\);\$#,##0"/>
    <numFmt numFmtId="165" formatCode="_(* #,##0_);_(* \(#,##0\);_(* &quot;-&quot;??_);_(@_)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C00000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left" vertical="center"/>
    </xf>
    <xf numFmtId="44" fontId="1" fillId="0" borderId="0" xfId="2" applyFont="1" applyFill="1" applyBorder="1" applyAlignment="1" applyProtection="1"/>
    <xf numFmtId="44" fontId="0" fillId="0" borderId="0" xfId="2" applyFont="1"/>
    <xf numFmtId="165" fontId="1" fillId="0" borderId="0" xfId="1" applyNumberFormat="1" applyFont="1" applyFill="1" applyBorder="1" applyAlignment="1" applyProtection="1">
      <alignment horizontal="left" vertical="center"/>
    </xf>
    <xf numFmtId="165" fontId="1" fillId="0" borderId="0" xfId="1" applyNumberFormat="1" applyFont="1" applyFill="1" applyBorder="1" applyAlignment="1" applyProtection="1"/>
    <xf numFmtId="165" fontId="0" fillId="0" borderId="0" xfId="1" applyNumberFormat="1" applyFont="1"/>
    <xf numFmtId="44" fontId="1" fillId="0" borderId="0" xfId="2" applyFont="1" applyFill="1" applyBorder="1" applyAlignment="1" applyProtection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3" fontId="0" fillId="0" borderId="0" xfId="1" applyFont="1"/>
    <xf numFmtId="44" fontId="1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7" fontId="3" fillId="2" borderId="0" xfId="1" applyNumberFormat="1" applyFont="1" applyFill="1" applyAlignment="1">
      <alignment horizontal="center" vertical="center"/>
    </xf>
    <xf numFmtId="37" fontId="3" fillId="2" borderId="0" xfId="1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3" fillId="2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14" fontId="1" fillId="3" borderId="0" xfId="0" applyNumberFormat="1" applyFont="1" applyFill="1"/>
    <xf numFmtId="14" fontId="0" fillId="3" borderId="0" xfId="0" applyNumberFormat="1" applyFill="1"/>
    <xf numFmtId="14" fontId="1" fillId="4" borderId="0" xfId="0" applyNumberFormat="1" applyFont="1" applyFill="1"/>
    <xf numFmtId="14" fontId="0" fillId="4" borderId="0" xfId="0" applyNumberFormat="1" applyFill="1"/>
    <xf numFmtId="0" fontId="0" fillId="5" borderId="0" xfId="0" applyFill="1"/>
    <xf numFmtId="43" fontId="0" fillId="5" borderId="0" xfId="1" applyFont="1" applyFill="1"/>
    <xf numFmtId="44" fontId="0" fillId="0" borderId="0" xfId="0" applyNumberFormat="1"/>
    <xf numFmtId="0" fontId="1" fillId="5" borderId="0" xfId="0" applyFont="1" applyFill="1"/>
    <xf numFmtId="14" fontId="1" fillId="5" borderId="0" xfId="0" applyNumberFormat="1" applyFont="1" applyFill="1"/>
    <xf numFmtId="14" fontId="1" fillId="5" borderId="0" xfId="0" applyNumberFormat="1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/>
    </xf>
    <xf numFmtId="14" fontId="0" fillId="5" borderId="0" xfId="0" applyNumberFormat="1" applyFill="1" applyAlignment="1">
      <alignment horizontal="center"/>
    </xf>
    <xf numFmtId="14" fontId="0" fillId="5" borderId="0" xfId="0" applyNumberFormat="1" applyFill="1"/>
    <xf numFmtId="43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5" borderId="0" xfId="1" applyNumberFormat="1" applyFont="1" applyFill="1" applyAlignment="1">
      <alignment horizontal="center" vertical="center"/>
    </xf>
    <xf numFmtId="44" fontId="1" fillId="0" borderId="0" xfId="2" applyFont="1" applyFill="1" applyBorder="1" applyAlignment="1" applyProtection="1">
      <alignment horizontal="center" vertical="center"/>
    </xf>
    <xf numFmtId="166" fontId="0" fillId="0" borderId="0" xfId="2" applyNumberFormat="1" applyFont="1"/>
    <xf numFmtId="0" fontId="0" fillId="0" borderId="1" xfId="0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지영" refreshedDate="45327.736864236111" createdVersion="8" refreshedVersion="8" minRefreshableVersion="3" recordCount="3212" xr:uid="{5C7B08B9-6A59-6B4F-941A-E99417C3BA9A}">
  <cacheSource type="worksheet">
    <worksheetSource ref="A1:O3213" sheet="Demand"/>
  </cacheSource>
  <cacheFields count="14">
    <cacheField name="ATP_DATE" numFmtId="14">
      <sharedItems containsDate="1" containsMixedTypes="1" minDate="2023-09-14T00:00:00" maxDate="2025-11-20T00:00:00"/>
    </cacheField>
    <cacheField name="CUSTOMER_REQUIRED_DATE" numFmtId="14">
      <sharedItems containsSemiMixedTypes="0" containsNonDate="0" containsDate="1" containsString="0" minDate="2021-03-01T00:00:00" maxDate="2025-07-26T00:00:00"/>
    </cacheField>
    <cacheField name="meet_date" numFmtId="43">
      <sharedItems/>
    </cacheField>
    <cacheField name="Date_sub" numFmtId="43">
      <sharedItems containsMixedTypes="1" containsNumber="1" containsInteger="1" minValue="0" maxValue="1050"/>
    </cacheField>
    <cacheField name="EXTENDED_RESALE" numFmtId="164">
      <sharedItems containsSemiMixedTypes="0" containsString="0" containsNumber="1" minValue="0" maxValue="2668287.54"/>
    </cacheField>
    <cacheField name="MANUFACTURER_PART_NO" numFmtId="0">
      <sharedItems count="186">
        <s v="BCTTDE0402-103XJTH"/>
        <s v="RN731ETTP1742B25"/>
        <s v="PI3HDX1204B1ZHE"/>
        <s v="BCTTDE0402-9092FTH"/>
        <s v="PTN38003AEWY"/>
        <s v="CRCW0603100KFKEB"/>
        <s v="PTN38003AEW"/>
        <s v="PI3EQX1004EZTFEX"/>
        <s v="RT6219AGQW"/>
        <s v="RT9187GSP(Z00)"/>
        <s v="WF04H1742BTL"/>
        <s v="W25R256JWEIQ"/>
        <s v="RCG040231K6FKED"/>
        <s v="RCG040268K1FKED"/>
        <s v="PI3EQX1004E2ZTFEX"/>
        <s v="RK73H1HTTC2203F"/>
        <s v="SDNT1005X473F4050FTF"/>
        <s v="HB3903U"/>
        <s v="HB3903U-P3"/>
        <s v="HB3902U"/>
        <s v="HM3504E-HP1"/>
        <s v="HF2704E-M1"/>
        <s v="TSM-103-01-L-DV-003-P-TR"/>
        <s v="2HE1700-000111F"/>
        <s v="AONR32314"/>
        <s v="SN74AHC1G08DBVRG4"/>
        <s v="RC0402FR-074K7L"/>
        <s v="RM04FTN4701"/>
        <s v="RK73B1ETTP472J"/>
        <s v="CRCW04024K70JNED"/>
        <s v="WR04X472 JTL"/>
        <s v="RC0402JR-074K7L"/>
        <s v="RM04JTN472"/>
        <s v="RC0402JR-7D4K7L"/>
        <s v="RC0402DR-074K75L"/>
        <s v="CRCW04024K99FKED"/>
        <s v="SIC621CD-T1-GE3"/>
        <s v="WR04X4991FTL"/>
        <s v="RK73H1ETTP4991F"/>
        <s v="RC0402FR-074K99L"/>
        <s v="RK73H1ETTP5231F"/>
        <s v="CRCW04025K23FKED"/>
        <s v="WR04X5231FTL"/>
        <s v="RC0402FR-075K23L"/>
        <s v="CRCW04025K23FKEDC"/>
        <s v="CRCW04025K23FNED"/>
        <s v="CRCW04026K20JNED"/>
        <s v="WR04X622 JTL"/>
        <s v="RC0402JR-076K2L"/>
        <s v="RK73B1ETTP622J"/>
        <s v="CRCW04026K20JNEDC"/>
        <s v="RK73H1ETTP8201F"/>
        <s v="CRCW04028K20FKED"/>
        <s v="WR04X8201FTL"/>
        <s v="RC0402FR-078K2L"/>
        <s v="CRCW04028K20FKEDC"/>
        <s v="RK73H1ETTP8451F"/>
        <s v="RT9187GSP"/>
        <s v="CRCW04028K45FKED"/>
        <s v="WR04X8451FTL"/>
        <s v="RC0402FR-078K45L"/>
        <s v="CRCW040210K0FKED"/>
        <s v="WR04X1002FTL"/>
        <s v="RK73H1ETTP1002F"/>
        <s v="RC0402FR-0710KL"/>
        <s v="RK73B1ETTP103J"/>
        <s v="CRCW040210K0JNED"/>
        <s v="WR04X103 JTL"/>
        <s v="RC0402JR-0710KL"/>
        <s v="WR04X103 JTR"/>
        <s v="RC0402JR-0710KP"/>
        <s v="CRCW040213K3FKED"/>
        <s v="WR04X1332FTL"/>
        <s v="RC0402FR-0713K3L"/>
        <s v="RT6220AGQUF"/>
        <s v="RK73H1ETTP1332F"/>
        <s v="RK73H1ETTP1372F"/>
        <s v="CRCW040213K7FKED"/>
        <s v="WR04X1372FTL"/>
        <s v="RC0402FR-0713K7L"/>
        <s v="CRCW040213K7FKEDC"/>
        <s v="RK73H1ETTP1502F"/>
        <s v="CRCW040215K0FKED"/>
        <s v="WR04X1502FTL"/>
        <s v="RT6220AHGQUF"/>
        <s v="RC0402FR-0715KL"/>
        <s v="RT0402BRD0717K4L"/>
        <s v="RK73H1ETTP1782F"/>
        <s v="CRCW040217K8FKEDC"/>
        <s v="WR04X1782FTL"/>
        <s v="RC0402FR-0717K8L"/>
        <s v="WR04X2002FTL"/>
        <s v="RK73H1ETTP2002F"/>
        <s v="JMK105BJ105KV-F"/>
        <s v="RM LMK105BJ105KVEF"/>
        <s v="RMUMK105B7221KVEF"/>
        <s v="LMK105BJ105KV-F"/>
        <s v="T5V0S5-7"/>
        <s v="RMUMK105CG100DW-F"/>
        <s v="GRM188R71H104KA93J"/>
        <s v="WSK06125L000FEA"/>
        <s v="ESMG250ELL101MF11D"/>
        <s v="GRM188R71C105KA12D"/>
        <s v="GRM188R71C105KA12F"/>
        <s v="SLG7NT42752VTR"/>
        <s v="RCG0402619RFKED"/>
        <s v="UMK105B7471KV-F"/>
        <s v="999V16"/>
        <s v="1206L150PR"/>
        <s v="C0603X5R1C224M030BC"/>
        <s v="GCM1555C1H220JZ13D"/>
        <s v="SN74CBT3125PWR"/>
        <s v="CRCW0603150RJNEB"/>
        <s v="GRM1555C1H1R5CZ01F"/>
        <s v="RM UMK105 CG180JWEF"/>
        <s v="M20-8760442R"/>
        <s v="PG1112H-TR"/>
        <s v="C0603X5R1C224MT00NE"/>
        <s v="CL05A475MQ5NQNC"/>
        <s v="794313-3"/>
        <s v="RMUMK105B7331KVEF"/>
        <s v="GRM188R71H104KA93D"/>
        <s v="PCA9555PW"/>
        <s v="SN74CBT3125PWRG4"/>
        <s v="16PX470MEFCCE8X11.5"/>
        <s v="DLP11SA900HL2L"/>
        <s v="RM TMK063 CG010BTEF"/>
        <s v="CRCW060310M0JNEB"/>
        <s v="AON7405"/>
        <s v="C2012X5R1H475KT000N"/>
        <s v="ESMG250ETD101MF11D"/>
        <s v="JMK105BJ105MV-F"/>
        <s v="CE TMK212BBJ106KGET"/>
        <s v="TMK105B7103KV-F"/>
        <s v="LMK105BJ104KV-F"/>
        <s v="JMK316BJ107MLET"/>
        <s v="RMJMK105BJ105MVEF"/>
        <s v="GRM188R60J105MA01E"/>
        <s v="SLG7NT402V"/>
        <s v="CL05A226MQ5QUNC"/>
        <s v="RK73Z2ATQTD"/>
        <s v="NFG0QHB372HS2B"/>
        <s v="TMK316BBJ226KL-T"/>
        <s v="CE JMK212BJ476MG-T"/>
        <s v="CL05A106MP5NUNC"/>
        <s v="RK73B1ETQTP200J"/>
        <s v="C1005X5R0J475MTJ00E"/>
        <s v="C1005X7R1H104M050BB"/>
        <s v="SLG5NT1458VTR"/>
        <s v="SLG5NT1458V"/>
        <s v="JMK212BJ476MG-T"/>
        <s v="RM UMK105B7152KVEF"/>
        <s v="C0603X5R1E104M030BB"/>
        <s v="MP86901-CGLT"/>
        <s v="DLP11SA900HL2"/>
        <s v="NC7SV32FHX"/>
        <s v="RM UMK105 CG330JVEF"/>
        <s v="PMBT3906/G"/>
        <s v="EKMG160ETD471MHB5D"/>
        <s v="EKMG160ELL471MHB5D"/>
        <s v="GRM31CR60J107ME39K"/>
        <s v="MMDT3904-7-F"/>
        <s v="2N7002PS,115"/>
        <s v="GRM155R71E224KE14D"/>
        <s v="SN74CBT3306PWRG4"/>
        <s v="CL10A106MO8NQNC"/>
        <s v="CRCW06032K49FKEB"/>
        <s v="10146514-10131MLF"/>
        <s v="10146069-113X0LF"/>
        <s v="BCTTDE0402-3011FTH"/>
        <s v="GRM155R61E475ME15"/>
        <s v="RK73H1HTTC10R0F"/>
        <s v="BCTTDE0402-220XJTH"/>
        <s v="RLM-1220-3F-R005-FNH-66"/>
        <s v="SN74CBT3306PWR"/>
        <s v="CL10A475KO8NNNC"/>
        <s v="CRCW06031K91FKEB"/>
        <s v="BCTTDE0402-1501FTH"/>
        <s v="EKMG160EC3471MHB5D"/>
        <s v="C1005X5R1A225KT000N"/>
        <s v="SLG7NT4084V"/>
        <s v="GRM31CR60J107ME39L"/>
        <s v="HK06036N8J-T"/>
        <s v="BK1608HS600-T"/>
        <s v="APT2012SRWPRVF01-INT"/>
        <s v="CL21A226MAQNNNE"/>
      </sharedItems>
    </cacheField>
    <cacheField name="OPEN_QUANTITY_OF_SO" numFmtId="3">
      <sharedItems containsSemiMixedTypes="0" containsString="0" containsNumber="1" containsInteger="1" minValue="1" maxValue="216480"/>
    </cacheField>
    <cacheField name="ORDER_CREATION_DATE" numFmtId="14">
      <sharedItems containsSemiMixedTypes="0" containsNonDate="0" containsDate="1" containsString="0" minDate="2021-09-21T00:00:00" maxDate="2023-09-13T00:00:00"/>
    </cacheField>
    <cacheField name="SALES_DOCUMENT_TYPE" numFmtId="0">
      <sharedItems/>
    </cacheField>
    <cacheField name="SHIP_TO_PARTY_NAME" numFmtId="0">
      <sharedItems/>
    </cacheField>
    <cacheField name="SOLD_TO_NAME" numFmtId="0">
      <sharedItems/>
    </cacheField>
    <cacheField name="TOTAL_ORDER_QUANTITY" numFmtId="165">
      <sharedItems containsSemiMixedTypes="0" containsString="0" containsNumber="1" containsInteger="1" minValue="1" maxValue="239470"/>
    </cacheField>
    <cacheField name="UNIT_PRICE" numFmtId="44">
      <sharedItems containsSemiMixedTypes="0" containsString="0" containsNumber="1" minValue="0" maxValue="4778.2700000000004"/>
    </cacheField>
    <cacheField name="TOTAL_ORDER_RESALE" numFmtId="44">
      <sharedItems containsSemiMixedTypes="0" containsString="0" containsNumber="1" minValue="0" maxValue="2986222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지영" refreshedDate="45327.737227199075" createdVersion="8" refreshedVersion="8" minRefreshableVersion="3" recordCount="638" xr:uid="{77FC6D0D-A2E7-3D46-ADE6-19B4A396A984}">
  <cacheSource type="worksheet">
    <worksheetSource ref="A1:G639" sheet="Inventory"/>
  </cacheSource>
  <cacheFields count="7">
    <cacheField name="AGED_DAYS" numFmtId="0">
      <sharedItems containsSemiMixedTypes="0" containsString="0" containsNumber="1" containsInteger="1" minValue="0" maxValue="1251"/>
    </cacheField>
    <cacheField name="EXT_RESALE" numFmtId="44">
      <sharedItems containsSemiMixedTypes="0" containsString="0" containsNumber="1" minValue="160" maxValue="9719729.5999999996"/>
    </cacheField>
    <cacheField name="INVENTORY_RECEIVED_DATE" numFmtId="14">
      <sharedItems containsDate="1" containsMixedTypes="1" minDate="2020-03-05T00:00:00" maxDate="2023-08-09T00:00:00"/>
    </cacheField>
    <cacheField name="MANUFACTURER_PART_NO" numFmtId="0">
      <sharedItems count="150">
        <s v="BCTTDE0402-9092FTH"/>
        <s v="RN731ETTP1742B25"/>
        <s v="BCTTDE0402-103XJTH"/>
        <s v="PI3HDX1204B1ZHE"/>
        <s v="W25R256JVEIN"/>
        <s v="AONR32314"/>
        <s v="RC0402JR-074K7L"/>
        <s v="RCG040268K1FKED"/>
        <s v="RC0402FR-0720KL"/>
        <s v="RK73H1ETTP1002F"/>
        <s v="CRCW040220K0FKED"/>
        <s v="RM04FTN4701"/>
        <s v="WR04X8201FTL"/>
        <s v="HB3903U"/>
        <s v="RCG040231K6FKED"/>
        <s v="RC0402FR-074K7L"/>
        <s v="RT6219AGQW"/>
        <s v="CRCW040220K0JNED"/>
        <s v="WR04X203 JTL"/>
        <s v="RC0402JR-7D4K7L"/>
        <s v="RK73B1ETTP203J"/>
        <s v="CRCW040215K0FKED"/>
        <s v="RC0402FR-0713K3L"/>
        <s v="RC0402JR-0720KL"/>
        <s v="RC0402FR-0710KL"/>
        <s v="WR04X1332FTL"/>
        <s v="RC0402FR-0722KL"/>
        <s v="WR04X2202FTL"/>
        <s v="PTN38003AEWY"/>
        <s v="CRCW040213K3FKED"/>
        <s v="RK73H1ETTP8451F"/>
        <s v="CRCW040222K0FKED"/>
        <s v="RK73B1ETTP223J"/>
        <s v="CRCW040222K0JNED"/>
        <s v="WR04X223 JTL"/>
        <s v="RC0402JR-0722KL"/>
        <s v="RK73H1ETTP1372F"/>
        <s v="CRCW040222K0JNEDC"/>
        <s v="CRCW040222K6FKEDC"/>
        <s v="WR04X2262FTL"/>
        <s v="RK73H1ETTP1332F"/>
        <s v="RK73H1ETTP2262F"/>
        <s v="RC0402FR-0722K6L"/>
        <s v="RK73H1ETTP2322F"/>
        <s v="WR04X1002FTL"/>
        <s v="PTN38003AEW"/>
        <s v="CRCW040210K0JNED"/>
        <s v="CRCW0603100KFKEB"/>
        <s v="RC0402DR-074K75L"/>
        <s v="HB3903U-P3"/>
        <s v="CRCW040213K7FKEDC"/>
        <s v="CRCW04024K70JNED"/>
        <s v="CRCW040210K0FKED"/>
        <s v="CRCW040223K2FKEDC"/>
        <s v="RT9187GSP(Z00)"/>
        <s v="RK73B1ETTP103J"/>
        <s v="RK73H1HTTC2203F"/>
        <s v="WR04X472 JTL"/>
        <s v="PI3EQX1004EZTFEX"/>
        <s v="SN74AHC1G08DBVRG4"/>
        <s v="PI3HDX1204B1ZHEX"/>
        <s v="RK73B1ETTP472J"/>
        <s v="RC0402FR-0723K2L"/>
        <s v="RM04JTN472"/>
        <s v="WR04X2322FTL"/>
        <s v="TSM-103-01-L-DV-003-P-TR"/>
        <s v="WF04H1742BTL"/>
        <s v="WR04X103 JTL"/>
        <s v="HF2704E-M1"/>
        <s v="RC0402JR-0710KL"/>
        <s v="PI3EQX1004E2ZTFEX"/>
        <s v="CRCW040230K1FKED"/>
        <s v="WR04X3012FTL"/>
        <s v="2HE1700-000111F"/>
        <s v="RC0402FR-0713K7L"/>
        <s v="LMK105BJ105KV-F"/>
        <s v="RM LMK105BJ105KVEF"/>
        <s v="JMK105BJ105KV-F"/>
        <s v="RMUMK105B7221KVEF"/>
        <s v="RM UMK105 CG180JVEF"/>
        <s v="C0603X5R1C224MT00NE"/>
        <s v="16PX470MEFCCE8X11.5"/>
        <s v="UMK105B7471KV-F"/>
        <s v="CEEMK107B7105KAET"/>
        <s v="RM UMK105 CG330JVEF"/>
        <s v="SLG7NT4082VTR"/>
        <s v="RMUMK105B7331KVEF"/>
        <s v="C1005X5R0J475MTJ00E"/>
        <s v="GCM1555C1H220JZ13D"/>
        <s v="RCG0402619RFKED"/>
        <s v="794313-3"/>
        <s v="ESMG250ELL101MF11D"/>
        <s v="RM TMK105B7473KVEF"/>
        <s v="UMK105B7152KVEF"/>
        <s v="RM TMK063 CG010BTEF"/>
        <s v="EMK105BJ105KV-F"/>
        <s v="CL10A475KO8NNNC"/>
        <s v="CRCW06032K49FKEB"/>
        <s v="SLG7NT4084VTR"/>
        <s v="PMBT3906/G"/>
        <s v="CL10A106MO8NQNC"/>
        <s v="TSM-104-01-F-DV-A-008-PTR"/>
        <s v="SLG7NT4082V"/>
        <s v="T5V0S5-7"/>
        <s v="SN74CBT3306PWRG4"/>
        <s v="SLG5NT1458V"/>
        <s v="7M25020012"/>
        <s v="RMUMK105CG100DV-F"/>
        <s v="IPJ-P6005-X2BT"/>
        <s v="RM UMK105 CG101JVEF"/>
        <s v="WGI219LM"/>
        <s v="BCTTDE0402-3011FTH"/>
        <s v="BMNI000404212R2MXB"/>
        <s v="RMJMK105BJ105KVEF"/>
        <s v="SMD1206P200TF"/>
        <s v="10146069-113X0LF"/>
        <s v="GRM188R60J105MA01F"/>
        <s v="SN74CBT3306PWRE4"/>
        <s v="2SK3541T2L"/>
        <s v="NC7SV32FHX"/>
        <s v="GRM188R71H104KA93J"/>
        <s v="EKMG160ELL471MHB5D"/>
        <s v="RMUMK105CG100DW-F"/>
        <s v="CRCW060310M0JNEB"/>
        <s v="SN74CBT3125PWR"/>
        <s v="RLM-1220-3F-R005-FNH-66"/>
        <s v="PCA9555PW"/>
        <s v="DLP11SA900HL2"/>
        <s v="SN74CBT3125RGYR"/>
        <s v="GRM188R71C105KA12D"/>
        <s v="EKMG160ETD471MHB5D"/>
        <s v="1206L150PR"/>
        <s v="SN74CBT3125PWRG4"/>
        <s v="WSK06125L000FEA"/>
        <s v="CL05A475MQ5NQNC"/>
        <s v="67492-9222"/>
        <s v="GRM188R71H104KA93D"/>
        <s v="RT8078AZQW"/>
        <s v="DLP11SA900HL2L"/>
        <s v="M24C02-WMN6TP"/>
        <s v="M20-8760442R"/>
        <s v="GRM188R71C105KA12F"/>
        <s v="GRM31CR60J107ME39K"/>
        <s v="RM UMK105 CG180JWEF"/>
        <s v="MMDT3904-7-F"/>
        <s v="999V16"/>
        <s v="CRCW06032R20JNEB"/>
        <s v="PMV40UN2"/>
        <s v="PG1112H-TR"/>
        <s v="BCTTDE0402-220XJTH"/>
      </sharedItems>
    </cacheField>
    <cacheField name="QOH (Quantity on hand)" numFmtId="3">
      <sharedItems containsSemiMixedTypes="0" containsString="0" containsNumber="1" containsInteger="1" minValue="4" maxValue="805280"/>
    </cacheField>
    <cacheField name="AGE_BUCKET" numFmtId="0">
      <sharedItems/>
    </cacheField>
    <cacheField name="Unit Price" numFmtId="44">
      <sharedItems containsSemiMixedTypes="0" containsString="0" containsNumber="1" minValue="0.04" maxValue="40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지영" refreshedDate="45327.738050115739" createdVersion="8" refreshedVersion="8" minRefreshableVersion="3" recordCount="1092" xr:uid="{FA13E8EB-E0E4-F640-833E-C560BF68E7CE}">
  <cacheSource type="worksheet">
    <worksheetSource ref="A1:G1093" sheet="Purchase Orders"/>
  </cacheSource>
  <cacheFields count="7">
    <cacheField name="CONFIRMATION_DELIVERY_DATE" numFmtId="14">
      <sharedItems containsDate="1" containsMixedTypes="1" minDate="2022-11-09T00:00:00" maxDate="2025-07-26T00:00:00"/>
    </cacheField>
    <cacheField name="MANUFACTURER_PART_NO" numFmtId="0">
      <sharedItems count="184">
        <s v="WR04X8451FTL"/>
        <s v="RC0402FR-078K45L"/>
        <s v="SIC621CD-T1-GE3"/>
        <s v="CRCW040210K0FKED"/>
        <s v="WR04X1002FTL"/>
        <s v="W25R256JVEIN"/>
        <s v="RT6219AGQW"/>
        <s v="W25R256JWEIQ"/>
        <s v="RK73H1ETTP4991F"/>
        <s v="RCG040268K1FKED"/>
        <s v="RC0402FR-074K99L"/>
        <s v="RK73H1ETTP5231F"/>
        <s v="CRCW04025K23FKED"/>
        <s v="WR04X5231FTL"/>
        <s v="SDNT1005X473F4050FTF"/>
        <s v="HB3903U"/>
        <s v="RC0402FR-075K23L"/>
        <s v="CRCW04025K23FKEDC"/>
        <s v="CRCW04025K23FNED"/>
        <s v="CRCW04026K20JNED"/>
        <s v="RC0402JR-076K2L"/>
        <s v="HB3902U"/>
        <s v="RK73B1ETTP622J"/>
        <s v="RK73H1ETTP3012F"/>
        <s v="AONR32314"/>
        <s v="CRCW04026K20JNEDC"/>
        <s v="RC0402FR-074K7L"/>
        <s v="RK73H1ETTP8201F"/>
        <s v="CRCW04028K20FKED"/>
        <s v="RC0402JR-7D4K7L"/>
        <s v="WR04X8201FTL"/>
        <s v="RC0402FR-078K2L"/>
        <s v="CRCW04028K20FKEDC"/>
        <s v="RT9187GSP"/>
        <s v="CRCW04028K45FKED"/>
        <s v="BCTTDE0402-103XJTH"/>
        <s v="RN731ETTP1742B25"/>
        <s v="PI3HDX1204B1ZHE"/>
        <s v="BCTTDE0402-9092FTH"/>
        <s v="CRCW040213K7FKED"/>
        <s v="WR04X2002FTL"/>
        <s v="RK73H1ETTP2002F"/>
        <s v="RC0402JR-0710KP"/>
        <s v="CRCW040213K3FKED"/>
        <s v="WR04X1372FTL"/>
        <s v="RC0402FR-0730K1L"/>
        <s v="CRCW040215K0FKED"/>
        <s v="WR04X1502FTL"/>
        <s v="RT6220AHGQUF"/>
        <s v="CRCW040230K1FKED"/>
        <s v="WR04X1332FTL"/>
        <s v="RC0402FR-0713K3L"/>
        <s v="RC0402FR-0722KL"/>
        <s v="RT6220AGQUF"/>
        <s v="RC0402JR-0720KL"/>
        <s v="RC0402FR-0710KL"/>
        <s v="RK73H1ETTP1332F"/>
        <s v="RK73H1ETTP1372F"/>
        <s v="CRCW040222K0JNEDC"/>
        <s v="WR04X4991FTL"/>
        <s v="PTN38003AEWY"/>
        <s v="CRCW0603100KFKEB"/>
        <s v="RC0402FR-0713K7L"/>
        <s v="CRCW040213K7FKEDC"/>
        <s v="PI3EQX1004EZTFEX"/>
        <s v="RC0402FR-0715KL"/>
        <s v="RT9187GSP(Z00)"/>
        <s v="WF04H1742BTL"/>
        <s v="RT0402BRD0717K4L"/>
        <s v="RK73H1ETTP1782F"/>
        <s v="PI3EQX1004E2ZTFEX"/>
        <s v="RK73H1HTTC2203F"/>
        <s v="RK73H1ETTP1502F"/>
        <s v="RK73B1ETTP103J"/>
        <s v="CRCW040217K8FKEDC"/>
        <s v="WR04X1782FTL"/>
        <s v="WR04X622 JTL"/>
        <s v="HB3903U-P3"/>
        <s v="HM3504E-HP1"/>
        <s v="HF2704E-M1"/>
        <s v="TSM-103-01-L-DV-003-P-TR"/>
        <s v="2HE1700-000111F"/>
        <s v="SN74AHC1G08DBVRG4"/>
        <s v="RK73B1ETTP472J"/>
        <s v="CRCW04024K70JNED"/>
        <s v="RM04JTN472"/>
        <s v="RC0402FR-0717K8L"/>
        <s v="WR04X103 JTL"/>
        <s v="RC0402JR-0710KL"/>
        <s v="RC0402DR-074K75L"/>
        <s v="WR04X103 JTR"/>
        <s v="CRCW04024K99FKED"/>
        <s v="C0603X5R1E104M030BB"/>
        <s v="MP86901-CGLT"/>
        <s v="C2012X5R1H475KT000N"/>
        <s v="DLP11SA900HL2"/>
        <s v="NC7SV32FHX"/>
        <s v="RM UMK105 CG180JVEF"/>
        <s v="ESMG250ELL101MF11D"/>
        <s v="SLG7NT42752VTR"/>
        <s v="JMK105BJ105MV-F"/>
        <s v="UMK105B7471KV-F"/>
        <s v="CE TMK212BBJ106KGET"/>
        <s v="TMK105B7103KV-F"/>
        <s v="LMK105BJ104KV-F"/>
        <s v="JMK316BJ107MLET"/>
        <s v="C0603X5R1C224M030BC"/>
        <s v="GCM1555C1H220JZ13D"/>
        <s v="RMJMK105BJ105MVEF"/>
        <s v="GRM188R60J105MA01E"/>
        <s v="SLG7NT402V"/>
        <s v="CL05A226MQ5QUNC"/>
        <s v="NFG0QHB372HS2B"/>
        <s v="CRCW0603150RJNEB"/>
        <s v="TMK316BBJ226KL-T"/>
        <s v="CE JMK107BJ226MAETD"/>
        <s v="C0603X5R1C224MT00NE"/>
        <s v="CE JMK212BJ476MG-T"/>
        <s v="794313-3"/>
        <s v="CL05A106MP5NUNC"/>
        <s v="RK73B1ETQTP200J"/>
        <s v="RM TMK063 CG010BTEF"/>
        <s v="C1005X5R0J475MTJ00E"/>
        <s v="C1005X7R1H104M050BB"/>
        <s v="SLG5NT1458VTR"/>
        <s v="JMK212BJ476MG-T"/>
        <s v="RM UMK105B7152KVEF"/>
        <s v="JMK105BJ105KV-F"/>
        <s v="RM LMK105BJ105KVEF"/>
        <s v="RMUMK105B7221KVEF"/>
        <s v="LMK105BJ105KV-F"/>
        <s v="GRM155R61E475ME15"/>
        <s v="APT2012SRWPRVF01-INT"/>
        <s v="CL21A226MAQNNNE"/>
        <s v="GRM155R71E224KE14D"/>
        <s v="SN74CBT3306PWRG4"/>
        <s v="RK73H1HTTC10R0F"/>
        <s v="RM LMK105 BJ104KVEF"/>
        <s v="CL10A475KO8NNNC"/>
        <s v="CRCW06031K91FKEB"/>
        <s v="BCTTDE0402-1501FTH"/>
        <s v="CRCW06032R20JNEB"/>
        <s v="CL10A106MO8NQNC"/>
        <s v="CRCW06032K49FKEB"/>
        <s v="TSM-104-01-F-DV-A-008-PTR"/>
        <s v="10146514-10131MLF"/>
        <s v="SLG7NT4084VTR"/>
        <s v="PMBT3906/G"/>
        <s v="10146069-113X0LF"/>
        <s v="BCTTDE0402-3011FTH"/>
        <s v="BMNI000404212R2MXB"/>
        <s v="ESMG250ETD101MF11D"/>
        <s v="T5V0S5-7"/>
        <s v="RMUMK105CG100DW-F"/>
        <s v="BCTTDE0402-220XJTH"/>
        <s v="RLM-1220-3F-R005-FNH-66"/>
        <s v="WSK06125L000FEA"/>
        <s v="EKMG160EC3471MHB5D"/>
        <s v="GRM188R71C105KA12D"/>
        <s v="GRM188R71C105KA12F"/>
        <s v="C1005X5R1A225KT000N"/>
        <s v="SLG7NT4084V"/>
        <s v="999V16"/>
        <s v="1206L150PR"/>
        <s v="SN74CBT3306PWR"/>
        <s v="EKMG160ETD471MHB5D"/>
        <s v="GRM31CR60J107ME39L"/>
        <s v="HK06036N8J-T"/>
        <s v="RK73Z2ATQTD"/>
        <s v="SN74CBT3125PWR"/>
        <s v="GRM1555C1H1R5CZ01F"/>
        <s v="RM UMK105 CG180JWEF"/>
        <s v="M20-8760442R"/>
        <s v="PG1112H-TR"/>
        <s v="CL05A475MQ5NQNC"/>
        <s v="GRM188R71H104KA93D"/>
        <s v="PCA9555PW"/>
        <s v="DLP11SA900HL2L"/>
        <s v="BK1608HS600-T"/>
        <s v="GRM31CR60J107ME39K"/>
        <s v="MMDT3904-7-F"/>
        <s v="CRCW060310M0JNEB"/>
        <s v="2N7002PS,115"/>
        <s v="AON7405"/>
      </sharedItems>
    </cacheField>
    <cacheField name="PO_CREATION_DATE" numFmtId="14">
      <sharedItems containsSemiMixedTypes="0" containsNonDate="0" containsDate="1" containsString="0" minDate="2022-07-29T00:00:00" maxDate="2023-09-13T00:00:00"/>
    </cacheField>
    <cacheField name="PO_OPEN_QTY" numFmtId="3">
      <sharedItems containsSemiMixedTypes="0" containsString="0" containsNumber="1" containsInteger="1" minValue="8" maxValue="3564000"/>
    </cacheField>
    <cacheField name="PO_REQUIRE_DATE" numFmtId="14">
      <sharedItems containsSemiMixedTypes="0" containsNonDate="0" containsDate="1" containsString="0" minDate="2021-05-19T00:00:00" maxDate="2025-07-19T00:00:00"/>
    </cacheField>
    <cacheField name="EXTENDED_RESALE" numFmtId="164">
      <sharedItems containsSemiMixedTypes="0" containsString="0" containsNumber="1" minValue="160" maxValue="13325877"/>
    </cacheField>
    <cacheField name="UNIT_COST" numFmtId="44">
      <sharedItems containsSemiMixedTypes="0" containsString="0" containsNumber="1" minValue="0.04" maxValue="4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지영" refreshedDate="45327.738958333335" createdVersion="8" refreshedVersion="8" minRefreshableVersion="3" recordCount="7920" xr:uid="{955DB7BD-2685-5548-8CC6-89140E1083BD}">
  <cacheSource type="worksheet">
    <worksheetSource ref="A1:G7921" sheet="Shipping"/>
  </cacheSource>
  <cacheFields count="7">
    <cacheField name="BILLING_QUANTITY" numFmtId="3">
      <sharedItems containsSemiMixedTypes="0" containsString="0" containsNumber="1" containsInteger="1" minValue="-73305" maxValue="1674000"/>
    </cacheField>
    <cacheField name="EXTENDED_RESALE_USD" numFmtId="164">
      <sharedItems containsMixedTypes="1" containsNumber="1" minValue="-1168120.8" maxValue="3511294.92"/>
    </cacheField>
    <cacheField name="INVOICE_DATE" numFmtId="14">
      <sharedItems containsSemiMixedTypes="0" containsNonDate="0" containsDate="1" containsString="0" minDate="2021-09-07T00:00:00" maxDate="2023-09-12T00:00:00"/>
    </cacheField>
    <cacheField name="MANUFACTURER_PART_NO" numFmtId="0">
      <sharedItems count="280">
        <s v="RC0402DR-074K75L"/>
        <s v="PI3EQX1004EZTFEX"/>
        <s v="PI3HDX1204B1ZHEX"/>
        <s v="RC0402FR-074K7L"/>
        <s v="TSM-103-01-L-DV-003-P-TR"/>
        <s v="RK73H1HTTC2203F"/>
        <s v="RC0402FR-0710KL"/>
        <s v="CRCW04024K99FKED"/>
        <s v="2HE1700-000111F"/>
        <s v="PTN38003AEWY"/>
        <s v="RK73B1ETTP303J"/>
        <s v="WR04X2002FTL"/>
        <s v="CRCW040210K0FKED"/>
        <s v="WR04X472 JTL"/>
        <s v="RM04JTN472"/>
        <s v="WR04X1782FTL"/>
        <s v="HB3903U-P3"/>
        <s v="RC0402FR-0717K8L"/>
        <s v="RC0402JR-7D4K7L"/>
        <s v="HM3504E-HP1"/>
        <s v="CRCW0603100KFKEB"/>
        <s v="HB3903U"/>
        <s v="CRCW04024K70JNED"/>
        <s v="WF04H1742BTL"/>
        <s v="RT9187GSP(Z00)"/>
        <s v="RT0402BRD0717K4L"/>
        <s v="CRCW040210K0JNED"/>
        <s v="RC0402FR-0715KL"/>
        <s v="RK73B1ETTP103J"/>
        <s v="CRCW040217K8FKEDC"/>
        <s v="WR04X103 JTL"/>
        <s v="RK73H1ETTP2262F"/>
        <s v="RK73B1ETTP472J"/>
        <s v="PTN38003AEW"/>
        <s v="RC0402FR-0722K6L"/>
        <s v="WR04X1002FTL"/>
        <s v="HF2704E-M1"/>
        <s v="SN74AHC1G08DBVRG4"/>
        <s v="CRCW040230K0JNED"/>
        <s v="WR04X303 JTL"/>
        <s v="CRCW040213K3FKED"/>
        <s v="RC0402JR-0710KP"/>
        <s v="RT6219AGQW"/>
        <s v="WR04X4991FTL"/>
        <s v="PI3EQX1004E2ZTFEX"/>
        <s v="RK73H1ETTP1502F"/>
        <s v="CRCW04028K20FKED"/>
        <s v="RC0402FR-0713K7L"/>
        <s v="CRCW040223K2FKEDC"/>
        <s v="HB3902U"/>
        <s v="SN74AHC1G08DBVR"/>
        <s v="WR04X622 JTL"/>
        <s v="CRCW040213K7FKEDC"/>
        <s v="CRCW040230K1FKED"/>
        <s v="RT6220AHGQUF"/>
        <s v="WR04X1502FTL"/>
        <s v="RC0402FR-0713K3L"/>
        <s v="RK73H1ETTP1372F"/>
        <s v="RK73H1ETTP1332F"/>
        <s v="RT6220AGQUF"/>
        <s v="RC0402FR-0722KL"/>
        <s v="RC0402JR-0730KL"/>
        <s v="RK73H1EVTTP3162F"/>
        <s v="WR04X3162FTR"/>
        <s v="RC0402FR-0731K6P"/>
        <s v="WR04X2262FTL"/>
        <s v="RC0402JR-0710KL"/>
        <s v="RK73H1ETTP2322F"/>
        <s v="RC0402FR-0733K2L"/>
        <s v="WR04X103 JTR"/>
        <s v="WR04X3012FTL"/>
        <s v="WR04X2322FTL"/>
        <s v="WR04X3322FTL"/>
        <s v="RK73H1ETTP3322F"/>
        <s v="CRCW040222K0JNEDC"/>
        <s v="CRCW040233K2FKED"/>
        <s v="RK73H1ETTP3402F"/>
        <s v="CRCW040222K0FKED"/>
        <s v="RK73B1ETTP223J"/>
        <s v="W25R256JWEIQ-T"/>
        <s v="CRCW040234K0FKED"/>
        <s v="WR04X3402FTL"/>
        <s v="RC0402FR-0734KL"/>
        <s v="WR04X223 JTL"/>
        <s v="CRCW040234K0FKEDC"/>
        <s v="PI3HDX1204B1ZHE"/>
        <s v="CRCW040234K0FNED"/>
        <s v="RCG040268K1FKED"/>
        <s v="WR06X3742 FTL"/>
        <s v="RK73H1ETTP5231F"/>
        <s v="RC0402FR-0730K1L"/>
        <s v="RC0402FR-0720KL"/>
        <s v="CRCW040222K6FKEDC"/>
        <s v="BCTTDE0402-103XJTH"/>
        <s v="RN731ETTP1742B25"/>
        <s v="BCTTDE0402-9092FTH"/>
        <s v="CRCW040215K0FKED"/>
        <s v="SIC621CD-T1-GE3"/>
        <s v="WR04X1332FTL"/>
        <s v="RK73H1JTTD3742F"/>
        <s v="RC0603FR-0737K4L"/>
        <s v="CRCW04025K23FNED"/>
        <s v="RK73H1ETTP3832F"/>
        <s v="RC0402JR-074K7L"/>
        <s v="CRCW040238K3FKED"/>
        <s v="WR04X5231FTL"/>
        <s v="CRCW04025K23FKEDC"/>
        <s v="RT8237FZQW"/>
        <s v="CRCW040222R0JNED"/>
        <s v="WR04X220 JTL"/>
        <s v="RK73B1ETTP220J"/>
        <s v="ERJ-PA2J220X"/>
        <s v="RK73H1ETTP1002F"/>
        <s v="ERJPA2J220X"/>
        <s v="W25R256JVEIN"/>
        <s v="AON6500"/>
        <s v="CRCW04025K23FKED"/>
        <s v="RC0402FR-075K23L"/>
        <s v="RK73H1ETTP4991F"/>
        <s v="CRCW04028K45FKED"/>
        <s v="WR04X203 JTL"/>
        <s v="RM04FTN4701"/>
        <s v="CRCW04028K20FKEDC"/>
        <s v="RK73H1ETTP8451F"/>
        <s v="CRCW040220K0JNED"/>
        <s v="WR04X8201FTL"/>
        <s v="RK73B1ETTP203J"/>
        <s v="CRCW040224R0JNEDC"/>
        <s v="RK73H1ETTP8201F"/>
        <s v="RC0402JR-076K2L"/>
        <s v="WR04X240 JTL"/>
        <s v="CRCW04026K20JNED"/>
        <s v="RC0402FR-078K45L"/>
        <s v="SDNT1005X473F4050FTF"/>
        <s v="AONR32314"/>
        <s v="WR04X8451FTL"/>
        <s v="RT9187GSP"/>
        <s v="CRCW04026K20JNEDC"/>
        <s v="RC0402FR-074K99L"/>
        <s v="RK73H1ETTP3012F"/>
        <s v="CRCW060310M0JNEB"/>
        <s v="WSK06125L000FEA"/>
        <s v="67492-9222"/>
        <s v="794313-3"/>
        <s v="M20-8760442R"/>
        <s v="1206L150PR"/>
        <s v="PMBT3906/G"/>
        <s v="AON7405"/>
        <s v="PG1112H-TR"/>
        <s v="T5V0S5-7"/>
        <s v="PESD5V0H1BSF"/>
        <s v="APT2012SRWPRVF01-INT"/>
        <s v="DLP11SA900HL2"/>
        <s v="SN74CBT3125PWRG4"/>
        <s v="DLP11SA900HL2L"/>
        <s v="HK06036N8J-T"/>
        <s v="SN74CBT3125PWR"/>
        <s v="BK1608HS600-T"/>
        <s v="RM TMK063 CG010BTEF"/>
        <s v="GRM1555C1H1R5CZ01F"/>
        <s v="RMUMK105CG100DW-F"/>
        <s v="GCM1555C1H220JZ13D"/>
        <s v="PCA9555PW"/>
        <s v="GRM188R71C105KA12F"/>
        <s v="GRM188R71C105KA12D"/>
        <s v="C1005X5R1A225KT000N"/>
        <s v="EKMG160ELL471MHB5D"/>
        <s v="EKMG160EC3471MHB5D"/>
        <s v="EKMG160ETD471MHB5D"/>
        <s v="GRM31CR60J107ME39L"/>
        <s v="GRM31CR60J107ME39K"/>
        <s v="GRM188R60J105MA01F"/>
        <s v="GRM188R71H104KA93D"/>
        <s v="GRM188R71H104KA93J"/>
        <s v="SN74CBT3306PWRE4"/>
        <s v="NC7SV32FHX"/>
        <s v="RM UMK105 CG180JWEF"/>
        <s v="CL05A475MQ5NQNC"/>
        <s v="C1005X5R1C105KT000E"/>
        <s v="C1005X5R1C105KT009E"/>
        <s v="SN74CBT3306PWRG4"/>
        <s v="GRM155R71E224KE14D"/>
        <s v="ESMG250ELL101MF11D"/>
        <s v="ESMG250ETD101MF11D"/>
        <s v="999V16"/>
        <s v="SN74CBT3306PWR"/>
        <s v="RK73B1ETQTP200J"/>
        <s v="BCTTDE0402-220XJTH"/>
        <s v="SN74CBT3125RGYR"/>
        <s v="CRCW0603150RJNEB"/>
        <s v="RK73Z2ATQTDD"/>
        <s v="RK73Z2ATQTD"/>
        <s v="RLM-1220-3F-R005-FNH-66"/>
        <s v="CRCW06032R20JNEB"/>
        <s v="BCTTDE0402-1501FTH"/>
        <s v="CRCW06031K91FKEB"/>
        <s v="CRCW06032K49FKEB"/>
        <s v="BCTTDE0402-3011FTH"/>
        <s v="10146069-113X0LF"/>
        <s v="10146514-10131MLF"/>
        <s v="TSM-104-01-F-DV-A-008-PTR"/>
        <s v="SMD1812P110TF"/>
        <s v="SDNT1005X104F4250FTF"/>
        <s v="1206L150WR"/>
        <s v="SMD1206P150TFT"/>
        <s v="SMD1206P200TF"/>
        <s v="MMDT3904-7-F"/>
        <s v="2SK3541T2L"/>
        <s v="2N7002PS"/>
        <s v="2N7002PS,115"/>
        <s v="PMV40UN2"/>
        <s v="M24C02-WMN6TP"/>
        <s v="APT2012QGW-F01-INT"/>
        <s v="M24C16-WMN6TP"/>
        <s v="BMNI000404212R2MXB"/>
        <s v="ACM2012-900-2P-T002"/>
        <s v="ACM2012-900-2P-TL002"/>
        <s v="7M25020012"/>
        <s v="RMUMK105CG100DV-F"/>
        <s v="UMK105CG100DV-F"/>
        <s v="RM UMK105 CG220JVEF"/>
        <s v="UMK105CG220JV-F"/>
        <s v="RM UMK105 CH101JVEF"/>
        <s v="RM UMK105 CG101JVEF"/>
        <s v="UMK105CG101JV-F"/>
        <s v="RMUMK105B7221KVEF"/>
        <s v="RMUMK105B7471KVEF"/>
        <s v="UMK105B7471KV-F"/>
        <s v="RMTMK105B7103KVEF"/>
        <s v="TMK105B7103KV-F"/>
        <s v="RM LMK105 BJ104KVEF"/>
        <s v="CEEMK107B7105KAET"/>
        <s v="RMJMK105BJ105KVEF"/>
        <s v="JMK105BJ105KV-F"/>
        <s v="RM LMK105BJ105KVEF"/>
        <s v="LMK105BJ105KV-F"/>
        <s v="CL10A475KO8NNNC"/>
        <s v="C2012X5R1H475KT000N"/>
        <s v="CL10A106MO8NQNC"/>
        <s v="GRM155R60J106ME11D"/>
        <s v="MSASJ105CB5106MFNQ11"/>
        <s v="SLG7NT402V"/>
        <s v="SLG7NT402VTR"/>
        <s v="16PX470MEFCCE8X11.5"/>
        <s v="CE JMK316BJ107MLET"/>
        <s v="JMK316BJ107MLET"/>
        <s v="GRM188R60J105MA01E"/>
        <s v="C0603C105M9PAC"/>
        <s v="CE JMK212 BJ226MGET"/>
        <s v="APSF4R0ELL471MF08S"/>
        <s v="APSF4R0EC3471MF08S"/>
        <s v="APSF4R0ETD471MF08S"/>
        <s v="RM UMK105 CG330JVEF"/>
        <s v="UMK105CG330JV-F"/>
        <s v="RM UMK105 CG180JVEF"/>
        <s v="BL2012-10B0900T/LF"/>
        <s v="LMK105BJ104KV-F"/>
        <s v="RMJMK105BJ105MVEF"/>
        <s v="JMK105BJ105MV-F"/>
        <s v="RM UMK105B7152KVEF"/>
        <s v="UMK105B7152KVEF"/>
        <s v="RMUMK105B7331KVEF"/>
        <s v="SLG5NT1458VTR"/>
        <s v="SLG5NT1458V"/>
        <s v="RM TMK105B7473KVEF"/>
        <s v="C1005X5R0J475MTJ00E"/>
        <s v="EMK105BJ105KV-F"/>
        <s v="GRM155R61C474KE01D"/>
        <s v="CL05A106MP5NUNC"/>
        <s v="NFG0QHB372HS2B"/>
        <s v="TMK105B7224KV-FR"/>
        <s v="CL05A226MQ5QUNC"/>
        <s v="MP86901-CGLT"/>
        <s v="C0603X5R1C224M030BC"/>
        <s v="C0603X5R1C224MT00NE"/>
        <s v="C0603X5R1E104M030BB"/>
        <s v="JMK212BJ476MG-T"/>
        <s v="CE JMK212BJ476MG-T"/>
        <s v="CE TMK212BBJ106KGET"/>
        <s v="CE JMK107BJ226MAETD"/>
      </sharedItems>
    </cacheField>
    <cacheField name="SHIP_TO_COUNTRY" numFmtId="0">
      <sharedItems/>
    </cacheField>
    <cacheField name="SHIP_TO_PARTY_NAME" numFmtId="0">
      <sharedItems/>
    </cacheField>
    <cacheField name="UNIT_COST" numFmtId="44">
      <sharedItems containsMixedTypes="1" containsNumber="1" minValue="0" maxValue="5634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2">
  <r>
    <d v="2024-02-12T00:00:00"/>
    <d v="2024-02-12T00:00:00"/>
    <s v="Yes"/>
    <n v="0"/>
    <n v="0"/>
    <x v="0"/>
    <n v="42240"/>
    <d v="2023-04-24T00:00:00"/>
    <s v="G/ZFC"/>
    <s v="Location 1"/>
    <s v="Customer 1"/>
    <n v="42240"/>
    <n v="0"/>
    <n v="0"/>
  </r>
  <r>
    <d v="2024-02-19T00:00:00"/>
    <d v="2024-02-19T00:00:00"/>
    <s v="Yes"/>
    <n v="0"/>
    <n v="0"/>
    <x v="0"/>
    <n v="31680"/>
    <d v="2023-04-24T00:00:00"/>
    <s v="G/ZFC"/>
    <s v="Location 1"/>
    <s v="Customer 1"/>
    <n v="31680"/>
    <n v="0"/>
    <n v="0"/>
  </r>
  <r>
    <d v="2024-02-26T00:00:00"/>
    <d v="2024-02-26T00:00:00"/>
    <s v="Yes"/>
    <n v="0"/>
    <n v="0"/>
    <x v="0"/>
    <n v="31680"/>
    <d v="2023-04-24T00:00:00"/>
    <s v="G/ZFC"/>
    <s v="Location 1"/>
    <s v="Customer 1"/>
    <n v="31680"/>
    <n v="0"/>
    <n v="0"/>
  </r>
  <r>
    <d v="2024-03-04T00:00:00"/>
    <d v="2024-03-04T00:00:00"/>
    <s v="Yes"/>
    <n v="0"/>
    <n v="0"/>
    <x v="0"/>
    <n v="52800"/>
    <d v="2023-04-24T00:00:00"/>
    <s v="G/ZFC"/>
    <s v="Location 1"/>
    <s v="Customer 1"/>
    <n v="52800"/>
    <n v="0"/>
    <n v="0"/>
  </r>
  <r>
    <d v="2024-03-11T00:00:00"/>
    <d v="2024-03-11T00:00:00"/>
    <s v="Yes"/>
    <n v="0"/>
    <n v="0"/>
    <x v="0"/>
    <n v="52800"/>
    <d v="2023-04-24T00:00:00"/>
    <s v="G/ZFC"/>
    <s v="Location 1"/>
    <s v="Customer 1"/>
    <n v="52800"/>
    <n v="0"/>
    <n v="0"/>
  </r>
  <r>
    <d v="2024-03-18T00:00:00"/>
    <d v="2024-03-18T00:00:00"/>
    <s v="Yes"/>
    <n v="0"/>
    <n v="0"/>
    <x v="0"/>
    <n v="52800"/>
    <d v="2023-04-24T00:00:00"/>
    <s v="G/ZFC"/>
    <s v="Location 1"/>
    <s v="Customer 1"/>
    <n v="52800"/>
    <n v="0"/>
    <n v="0"/>
  </r>
  <r>
    <d v="2024-03-25T00:00:00"/>
    <d v="2024-03-25T00:00:00"/>
    <s v="Yes"/>
    <n v="0"/>
    <n v="0"/>
    <x v="0"/>
    <n v="52800"/>
    <d v="2023-04-24T00:00:00"/>
    <s v="G/ZFC"/>
    <s v="Location 1"/>
    <s v="Customer 1"/>
    <n v="52800"/>
    <n v="0"/>
    <n v="0"/>
  </r>
  <r>
    <d v="2024-04-01T00:00:00"/>
    <d v="2024-04-01T00:00:00"/>
    <s v="Yes"/>
    <n v="0"/>
    <n v="0"/>
    <x v="0"/>
    <n v="52800"/>
    <d v="2023-04-24T00:00:00"/>
    <s v="G/ZFC"/>
    <s v="Location 1"/>
    <s v="Customer 1"/>
    <n v="52800"/>
    <n v="0"/>
    <n v="0"/>
  </r>
  <r>
    <d v="2024-04-08T00:00:00"/>
    <d v="2024-04-08T00:00:00"/>
    <s v="Yes"/>
    <n v="0"/>
    <n v="0"/>
    <x v="0"/>
    <n v="52800"/>
    <d v="2023-04-24T00:00:00"/>
    <s v="G/ZFC"/>
    <s v="Location 1"/>
    <s v="Customer 1"/>
    <n v="52800"/>
    <n v="0"/>
    <n v="0"/>
  </r>
  <r>
    <d v="2024-04-15T00:00:00"/>
    <d v="2024-04-15T00:00:00"/>
    <s v="Yes"/>
    <n v="0"/>
    <n v="0"/>
    <x v="0"/>
    <n v="52800"/>
    <d v="2023-04-24T00:00:00"/>
    <s v="G/ZFC"/>
    <s v="Location 1"/>
    <s v="Customer 1"/>
    <n v="52800"/>
    <n v="0"/>
    <n v="0"/>
  </r>
  <r>
    <d v="2024-04-22T00:00:00"/>
    <d v="2024-04-22T00:00:00"/>
    <s v="Yes"/>
    <n v="0"/>
    <n v="0"/>
    <x v="0"/>
    <n v="52800"/>
    <d v="2023-04-24T00:00:00"/>
    <s v="G/ZFC"/>
    <s v="Location 1"/>
    <s v="Customer 1"/>
    <n v="52800"/>
    <n v="0"/>
    <n v="0"/>
  </r>
  <r>
    <d v="2024-04-29T00:00:00"/>
    <d v="2024-04-29T00:00:00"/>
    <s v="Yes"/>
    <n v="0"/>
    <n v="0"/>
    <x v="0"/>
    <n v="52800"/>
    <d v="2023-04-24T00:00:00"/>
    <s v="G/ZFC"/>
    <s v="Location 1"/>
    <s v="Customer 1"/>
    <n v="52800"/>
    <n v="0"/>
    <n v="0"/>
  </r>
  <r>
    <d v="2024-05-06T00:00:00"/>
    <d v="2024-05-06T00:00:00"/>
    <s v="Yes"/>
    <n v="0"/>
    <n v="0"/>
    <x v="0"/>
    <n v="42240"/>
    <d v="2023-04-24T00:00:00"/>
    <s v="G/ZFC"/>
    <s v="Location 1"/>
    <s v="Customer 1"/>
    <n v="42240"/>
    <n v="0"/>
    <n v="0"/>
  </r>
  <r>
    <d v="2024-05-13T00:00:00"/>
    <d v="2024-05-13T00:00:00"/>
    <s v="Yes"/>
    <n v="0"/>
    <n v="0"/>
    <x v="0"/>
    <n v="52800"/>
    <d v="2023-04-24T00:00:00"/>
    <s v="G/ZFC"/>
    <s v="Location 1"/>
    <s v="Customer 1"/>
    <n v="52800"/>
    <n v="0"/>
    <n v="0"/>
  </r>
  <r>
    <d v="2024-05-20T00:00:00"/>
    <d v="2024-05-20T00:00:00"/>
    <s v="Yes"/>
    <n v="0"/>
    <n v="0"/>
    <x v="0"/>
    <n v="42240"/>
    <d v="2023-04-24T00:00:00"/>
    <s v="G/ZFC"/>
    <s v="Location 1"/>
    <s v="Customer 1"/>
    <n v="42240"/>
    <n v="0"/>
    <n v="0"/>
  </r>
  <r>
    <d v="2024-05-27T00:00:00"/>
    <d v="2024-05-27T00:00:00"/>
    <s v="Yes"/>
    <n v="0"/>
    <n v="0"/>
    <x v="0"/>
    <n v="42240"/>
    <d v="2023-04-24T00:00:00"/>
    <s v="G/ZFC"/>
    <s v="Location 1"/>
    <s v="Customer 1"/>
    <n v="42240"/>
    <n v="0"/>
    <n v="0"/>
  </r>
  <r>
    <d v="2024-06-03T00:00:00"/>
    <d v="2024-06-03T00:00:00"/>
    <s v="Yes"/>
    <n v="0"/>
    <n v="0"/>
    <x v="0"/>
    <n v="42240"/>
    <d v="2023-04-24T00:00:00"/>
    <s v="G/ZFC"/>
    <s v="Location 1"/>
    <s v="Customer 1"/>
    <n v="42240"/>
    <n v="0"/>
    <n v="0"/>
  </r>
  <r>
    <d v="2024-06-10T00:00:00"/>
    <d v="2024-06-10T00:00:00"/>
    <s v="Yes"/>
    <n v="0"/>
    <n v="0"/>
    <x v="0"/>
    <n v="42240"/>
    <d v="2023-04-24T00:00:00"/>
    <s v="G/ZFC"/>
    <s v="Location 1"/>
    <s v="Customer 1"/>
    <n v="42240"/>
    <n v="0"/>
    <n v="0"/>
  </r>
  <r>
    <d v="2024-06-24T00:00:00"/>
    <d v="2024-06-24T00:00:00"/>
    <s v="Yes"/>
    <n v="0"/>
    <n v="0"/>
    <x v="0"/>
    <n v="21120"/>
    <d v="2023-04-24T00:00:00"/>
    <s v="G/ZFC"/>
    <s v="Location 1"/>
    <s v="Customer 1"/>
    <n v="21120"/>
    <n v="0"/>
    <n v="0"/>
  </r>
  <r>
    <d v="2024-07-01T00:00:00"/>
    <d v="2024-07-01T00:00:00"/>
    <s v="Yes"/>
    <n v="0"/>
    <n v="0"/>
    <x v="0"/>
    <n v="21120"/>
    <d v="2023-04-24T00:00:00"/>
    <s v="G/ZFC"/>
    <s v="Location 1"/>
    <s v="Customer 1"/>
    <n v="21120"/>
    <n v="0"/>
    <n v="0"/>
  </r>
  <r>
    <d v="2024-07-08T00:00:00"/>
    <d v="2024-07-08T00:00:00"/>
    <s v="Yes"/>
    <n v="0"/>
    <n v="0"/>
    <x v="0"/>
    <n v="31680"/>
    <d v="2023-04-24T00:00:00"/>
    <s v="G/ZFC"/>
    <s v="Location 1"/>
    <s v="Customer 1"/>
    <n v="31680"/>
    <n v="0"/>
    <n v="0"/>
  </r>
  <r>
    <d v="2024-07-15T00:00:00"/>
    <d v="2024-07-15T00:00:00"/>
    <s v="Yes"/>
    <n v="0"/>
    <n v="0"/>
    <x v="0"/>
    <n v="21120"/>
    <d v="2023-04-24T00:00:00"/>
    <s v="G/ZFC"/>
    <s v="Location 1"/>
    <s v="Customer 1"/>
    <n v="21120"/>
    <n v="0"/>
    <n v="0"/>
  </r>
  <r>
    <d v="2024-07-22T00:00:00"/>
    <d v="2024-07-22T00:00:00"/>
    <s v="Yes"/>
    <n v="0"/>
    <n v="0"/>
    <x v="0"/>
    <n v="21120"/>
    <d v="2023-04-24T00:00:00"/>
    <s v="G/ZFC"/>
    <s v="Location 1"/>
    <s v="Customer 1"/>
    <n v="21120"/>
    <n v="0"/>
    <n v="0"/>
  </r>
  <r>
    <d v="2024-07-29T00:00:00"/>
    <d v="2024-07-29T00:00:00"/>
    <s v="Yes"/>
    <n v="0"/>
    <n v="0"/>
    <x v="0"/>
    <n v="21120"/>
    <d v="2023-04-24T00:00:00"/>
    <s v="G/ZFC"/>
    <s v="Location 1"/>
    <s v="Customer 1"/>
    <n v="21120"/>
    <n v="0"/>
    <n v="0"/>
  </r>
  <r>
    <d v="2024-08-05T00:00:00"/>
    <d v="2024-08-05T00:00:00"/>
    <s v="Yes"/>
    <n v="0"/>
    <n v="0"/>
    <x v="0"/>
    <n v="21120"/>
    <d v="2023-04-24T00:00:00"/>
    <s v="G/ZFC"/>
    <s v="Location 1"/>
    <s v="Customer 1"/>
    <n v="21120"/>
    <n v="0"/>
    <n v="0"/>
  </r>
  <r>
    <d v="2024-08-12T00:00:00"/>
    <d v="2024-08-12T00:00:00"/>
    <s v="Yes"/>
    <n v="0"/>
    <n v="0"/>
    <x v="0"/>
    <n v="21120"/>
    <d v="2023-04-24T00:00:00"/>
    <s v="G/ZFC"/>
    <s v="Location 1"/>
    <s v="Customer 1"/>
    <n v="21120"/>
    <n v="0"/>
    <n v="0"/>
  </r>
  <r>
    <d v="2024-08-19T00:00:00"/>
    <d v="2024-08-19T00:00:00"/>
    <s v="Yes"/>
    <n v="0"/>
    <n v="0"/>
    <x v="0"/>
    <n v="21120"/>
    <d v="2023-04-24T00:00:00"/>
    <s v="G/ZFC"/>
    <s v="Location 1"/>
    <s v="Customer 1"/>
    <n v="21120"/>
    <n v="0"/>
    <n v="0"/>
  </r>
  <r>
    <d v="2024-08-26T00:00:00"/>
    <d v="2024-08-26T00:00:00"/>
    <s v="Yes"/>
    <n v="0"/>
    <n v="0"/>
    <x v="0"/>
    <n v="21120"/>
    <d v="2023-04-24T00:00:00"/>
    <s v="G/ZFC"/>
    <s v="Location 1"/>
    <s v="Customer 1"/>
    <n v="21120"/>
    <n v="0"/>
    <n v="0"/>
  </r>
  <r>
    <d v="2024-09-02T00:00:00"/>
    <d v="2024-09-02T00:00:00"/>
    <s v="Yes"/>
    <n v="0"/>
    <n v="0"/>
    <x v="0"/>
    <n v="21120"/>
    <d v="2023-04-24T00:00:00"/>
    <s v="G/ZFC"/>
    <s v="Location 1"/>
    <s v="Customer 1"/>
    <n v="21120"/>
    <n v="0"/>
    <n v="0"/>
  </r>
  <r>
    <d v="2024-09-09T00:00:00"/>
    <d v="2024-09-09T00:00:00"/>
    <s v="Yes"/>
    <n v="0"/>
    <n v="0"/>
    <x v="0"/>
    <n v="31680"/>
    <d v="2023-04-24T00:00:00"/>
    <s v="G/ZFC"/>
    <s v="Location 1"/>
    <s v="Customer 1"/>
    <n v="31680"/>
    <n v="0"/>
    <n v="0"/>
  </r>
  <r>
    <d v="2024-09-16T00:00:00"/>
    <d v="2024-09-16T00:00:00"/>
    <s v="Yes"/>
    <n v="0"/>
    <n v="0"/>
    <x v="0"/>
    <n v="21120"/>
    <d v="2023-04-24T00:00:00"/>
    <s v="G/ZFC"/>
    <s v="Location 1"/>
    <s v="Customer 1"/>
    <n v="21120"/>
    <n v="0"/>
    <n v="0"/>
  </r>
  <r>
    <d v="2024-09-23T00:00:00"/>
    <d v="2024-09-23T00:00:00"/>
    <s v="Yes"/>
    <n v="0"/>
    <n v="0"/>
    <x v="0"/>
    <n v="21120"/>
    <d v="2023-04-24T00:00:00"/>
    <s v="G/ZFC"/>
    <s v="Location 1"/>
    <s v="Customer 1"/>
    <n v="21120"/>
    <n v="0"/>
    <n v="0"/>
  </r>
  <r>
    <d v="2024-09-30T00:00:00"/>
    <d v="2024-09-30T00:00:00"/>
    <s v="Yes"/>
    <n v="0"/>
    <n v="0"/>
    <x v="0"/>
    <n v="31680"/>
    <d v="2023-04-24T00:00:00"/>
    <s v="G/ZFC"/>
    <s v="Location 1"/>
    <s v="Customer 1"/>
    <n v="31680"/>
    <n v="0"/>
    <n v="0"/>
  </r>
  <r>
    <d v="2024-10-07T00:00:00"/>
    <d v="2024-10-07T00:00:00"/>
    <s v="Yes"/>
    <n v="0"/>
    <n v="0"/>
    <x v="0"/>
    <n v="21120"/>
    <d v="2023-04-24T00:00:00"/>
    <s v="G/ZFC"/>
    <s v="Location 1"/>
    <s v="Customer 1"/>
    <n v="21120"/>
    <n v="0"/>
    <n v="0"/>
  </r>
  <r>
    <d v="2024-10-14T00:00:00"/>
    <d v="2024-10-14T00:00:00"/>
    <s v="Yes"/>
    <n v="0"/>
    <n v="0"/>
    <x v="0"/>
    <n v="21120"/>
    <d v="2023-04-24T00:00:00"/>
    <s v="G/ZFC"/>
    <s v="Location 1"/>
    <s v="Customer 1"/>
    <n v="21120"/>
    <n v="0"/>
    <n v="0"/>
  </r>
  <r>
    <d v="2024-10-21T00:00:00"/>
    <d v="2024-10-21T00:00:00"/>
    <s v="Yes"/>
    <n v="0"/>
    <n v="0"/>
    <x v="0"/>
    <n v="52800"/>
    <d v="2023-04-24T00:00:00"/>
    <s v="G/ZFC"/>
    <s v="Location 1"/>
    <s v="Customer 1"/>
    <n v="52800"/>
    <n v="0"/>
    <n v="0"/>
  </r>
  <r>
    <d v="2024-11-04T00:00:00"/>
    <d v="2024-11-04T00:00:00"/>
    <s v="Yes"/>
    <n v="0"/>
    <n v="0"/>
    <x v="0"/>
    <n v="21120"/>
    <d v="2023-04-24T00:00:00"/>
    <s v="G/ZFC"/>
    <s v="Location 1"/>
    <s v="Customer 1"/>
    <n v="21120"/>
    <n v="0"/>
    <n v="0"/>
  </r>
  <r>
    <d v="2024-11-11T00:00:00"/>
    <d v="2024-11-11T00:00:00"/>
    <s v="Yes"/>
    <n v="0"/>
    <n v="0"/>
    <x v="0"/>
    <n v="10560"/>
    <d v="2023-04-24T00:00:00"/>
    <s v="G/ZFC"/>
    <s v="Location 1"/>
    <s v="Customer 1"/>
    <n v="10560"/>
    <n v="0"/>
    <n v="0"/>
  </r>
  <r>
    <d v="2024-11-18T00:00:00"/>
    <d v="2024-11-18T00:00:00"/>
    <s v="Yes"/>
    <n v="0"/>
    <n v="0"/>
    <x v="0"/>
    <n v="21120"/>
    <d v="2023-04-24T00:00:00"/>
    <s v="G/ZFC"/>
    <s v="Location 1"/>
    <s v="Customer 1"/>
    <n v="21120"/>
    <n v="0"/>
    <n v="0"/>
  </r>
  <r>
    <d v="2024-11-25T00:00:00"/>
    <d v="2024-11-25T00:00:00"/>
    <s v="Yes"/>
    <n v="0"/>
    <n v="0"/>
    <x v="0"/>
    <n v="21120"/>
    <d v="2023-04-24T00:00:00"/>
    <s v="G/ZFC"/>
    <s v="Location 1"/>
    <s v="Customer 1"/>
    <n v="21120"/>
    <n v="0"/>
    <n v="0"/>
  </r>
  <r>
    <d v="2024-12-02T00:00:00"/>
    <d v="2024-12-02T00:00:00"/>
    <s v="Yes"/>
    <n v="0"/>
    <n v="0"/>
    <x v="0"/>
    <n v="31680"/>
    <d v="2023-04-24T00:00:00"/>
    <s v="G/ZFC"/>
    <s v="Location 1"/>
    <s v="Customer 1"/>
    <n v="31680"/>
    <n v="0"/>
    <n v="0"/>
  </r>
  <r>
    <d v="2024-12-09T00:00:00"/>
    <d v="2024-12-09T00:00:00"/>
    <s v="Yes"/>
    <n v="0"/>
    <n v="0"/>
    <x v="0"/>
    <n v="31680"/>
    <d v="2023-04-24T00:00:00"/>
    <s v="G/ZFC"/>
    <s v="Location 1"/>
    <s v="Customer 1"/>
    <n v="31680"/>
    <n v="0"/>
    <n v="0"/>
  </r>
  <r>
    <d v="2024-12-16T00:00:00"/>
    <d v="2024-12-16T00:00:00"/>
    <s v="Yes"/>
    <n v="0"/>
    <n v="0"/>
    <x v="0"/>
    <n v="42240"/>
    <d v="2023-04-24T00:00:00"/>
    <s v="G/ZFC"/>
    <s v="Location 1"/>
    <s v="Customer 1"/>
    <n v="42240"/>
    <n v="0"/>
    <n v="0"/>
  </r>
  <r>
    <d v="2024-01-01T00:00:00"/>
    <d v="2024-01-01T00:00:00"/>
    <s v="Yes"/>
    <n v="0"/>
    <n v="0"/>
    <x v="0"/>
    <n v="23760"/>
    <d v="2023-03-20T00:00:00"/>
    <s v="G/ZFC"/>
    <s v="Location 1"/>
    <s v="Customer 1"/>
    <n v="23760"/>
    <n v="0"/>
    <n v="0"/>
  </r>
  <r>
    <d v="2024-01-08T00:00:00"/>
    <d v="2024-01-08T00:00:00"/>
    <s v="Yes"/>
    <n v="0"/>
    <n v="0"/>
    <x v="0"/>
    <n v="34320"/>
    <d v="2023-03-20T00:00:00"/>
    <s v="G/ZFC"/>
    <s v="Location 1"/>
    <s v="Customer 1"/>
    <n v="34320"/>
    <n v="0"/>
    <n v="0"/>
  </r>
  <r>
    <d v="2024-01-15T00:00:00"/>
    <d v="2024-01-15T00:00:00"/>
    <s v="Yes"/>
    <n v="0"/>
    <n v="0"/>
    <x v="0"/>
    <n v="42240"/>
    <d v="2023-03-20T00:00:00"/>
    <s v="G/ZFC"/>
    <s v="Location 1"/>
    <s v="Customer 1"/>
    <n v="42240"/>
    <n v="0"/>
    <n v="0"/>
  </r>
  <r>
    <d v="2024-01-22T00:00:00"/>
    <d v="2024-01-22T00:00:00"/>
    <s v="Yes"/>
    <n v="0"/>
    <n v="0"/>
    <x v="0"/>
    <n v="42240"/>
    <d v="2023-03-20T00:00:00"/>
    <s v="G/ZFC"/>
    <s v="Location 1"/>
    <s v="Customer 1"/>
    <n v="42240"/>
    <n v="0"/>
    <n v="0"/>
  </r>
  <r>
    <d v="2024-01-29T00:00:00"/>
    <d v="2024-01-29T00:00:00"/>
    <s v="Yes"/>
    <n v="0"/>
    <n v="0"/>
    <x v="0"/>
    <n v="31680"/>
    <d v="2023-03-20T00:00:00"/>
    <s v="G/ZFC"/>
    <s v="Location 1"/>
    <s v="Customer 1"/>
    <n v="31680"/>
    <n v="0"/>
    <n v="0"/>
  </r>
  <r>
    <d v="2024-12-30T00:00:00"/>
    <d v="2024-12-30T00:00:00"/>
    <s v="Yes"/>
    <n v="0"/>
    <n v="0"/>
    <x v="0"/>
    <n v="21120"/>
    <d v="2023-07-12T00:00:00"/>
    <s v="G/ZFC"/>
    <s v="Location 1"/>
    <s v="Customer 1"/>
    <n v="21120"/>
    <n v="0"/>
    <n v="0"/>
  </r>
  <r>
    <d v="2025-01-06T00:00:00"/>
    <d v="2025-01-06T00:00:00"/>
    <s v="Yes"/>
    <n v="0"/>
    <n v="0"/>
    <x v="0"/>
    <n v="21120"/>
    <d v="2023-07-12T00:00:00"/>
    <s v="G/ZFC"/>
    <s v="Location 1"/>
    <s v="Customer 1"/>
    <n v="21120"/>
    <n v="0"/>
    <n v="0"/>
  </r>
  <r>
    <d v="2025-01-13T00:00:00"/>
    <d v="2025-01-13T00:00:00"/>
    <s v="Yes"/>
    <n v="0"/>
    <n v="0"/>
    <x v="0"/>
    <n v="31680"/>
    <d v="2023-07-12T00:00:00"/>
    <s v="G/ZFC"/>
    <s v="Location 1"/>
    <s v="Customer 1"/>
    <n v="31680"/>
    <n v="0"/>
    <n v="0"/>
  </r>
  <r>
    <d v="2025-01-20T00:00:00"/>
    <d v="2025-01-20T00:00:00"/>
    <s v="Yes"/>
    <n v="0"/>
    <n v="0"/>
    <x v="0"/>
    <n v="21120"/>
    <d v="2023-07-12T00:00:00"/>
    <s v="G/ZFC"/>
    <s v="Location 1"/>
    <s v="Customer 1"/>
    <n v="21120"/>
    <n v="0"/>
    <n v="0"/>
  </r>
  <r>
    <d v="2025-01-27T00:00:00"/>
    <d v="2025-01-27T00:00:00"/>
    <s v="Yes"/>
    <n v="0"/>
    <n v="0"/>
    <x v="0"/>
    <n v="21120"/>
    <d v="2023-07-12T00:00:00"/>
    <s v="G/ZFC"/>
    <s v="Location 1"/>
    <s v="Customer 1"/>
    <n v="21120"/>
    <n v="0"/>
    <n v="0"/>
  </r>
  <r>
    <d v="2025-02-03T00:00:00"/>
    <d v="2025-02-03T00:00:00"/>
    <s v="Yes"/>
    <n v="0"/>
    <n v="0"/>
    <x v="0"/>
    <n v="21120"/>
    <d v="2023-07-12T00:00:00"/>
    <s v="G/ZFC"/>
    <s v="Location 1"/>
    <s v="Customer 1"/>
    <n v="21120"/>
    <n v="0"/>
    <n v="0"/>
  </r>
  <r>
    <d v="2025-02-10T00:00:00"/>
    <d v="2025-02-10T00:00:00"/>
    <s v="Yes"/>
    <n v="0"/>
    <n v="0"/>
    <x v="0"/>
    <n v="21120"/>
    <d v="2023-07-12T00:00:00"/>
    <s v="G/ZFC"/>
    <s v="Location 1"/>
    <s v="Customer 1"/>
    <n v="21120"/>
    <n v="0"/>
    <n v="0"/>
  </r>
  <r>
    <d v="2025-02-17T00:00:00"/>
    <d v="2025-02-17T00:00:00"/>
    <s v="Yes"/>
    <n v="0"/>
    <n v="0"/>
    <x v="0"/>
    <n v="21120"/>
    <d v="2023-07-12T00:00:00"/>
    <s v="G/ZFC"/>
    <s v="Location 1"/>
    <s v="Customer 1"/>
    <n v="21120"/>
    <n v="0"/>
    <n v="0"/>
  </r>
  <r>
    <d v="2025-02-24T00:00:00"/>
    <d v="2025-02-24T00:00:00"/>
    <s v="Yes"/>
    <n v="0"/>
    <n v="0"/>
    <x v="0"/>
    <n v="216480"/>
    <d v="2023-07-12T00:00:00"/>
    <s v="G/ZFC"/>
    <s v="Location 1"/>
    <s v="Customer 1"/>
    <n v="216480"/>
    <n v="0"/>
    <n v="0"/>
  </r>
  <r>
    <d v="2024-01-22T00:00:00"/>
    <d v="2024-01-22T00:00:00"/>
    <s v="Yes"/>
    <n v="0"/>
    <n v="0"/>
    <x v="1"/>
    <n v="21120"/>
    <d v="2023-04-24T00:00:00"/>
    <s v="G/ZFC"/>
    <s v="Location 1"/>
    <s v="Customer 1"/>
    <n v="21120"/>
    <n v="0"/>
    <n v="0"/>
  </r>
  <r>
    <d v="2024-01-29T00:00:00"/>
    <d v="2024-01-29T00:00:00"/>
    <s v="Yes"/>
    <n v="0"/>
    <n v="0"/>
    <x v="1"/>
    <n v="15840"/>
    <d v="2023-04-24T00:00:00"/>
    <s v="G/ZFC"/>
    <s v="Location 1"/>
    <s v="Customer 1"/>
    <n v="15840"/>
    <n v="0"/>
    <n v="0"/>
  </r>
  <r>
    <d v="2024-02-12T00:00:00"/>
    <d v="2024-02-12T00:00:00"/>
    <s v="Yes"/>
    <n v="0"/>
    <n v="0"/>
    <x v="1"/>
    <n v="21120"/>
    <d v="2023-04-24T00:00:00"/>
    <s v="G/ZFC"/>
    <s v="Location 1"/>
    <s v="Customer 1"/>
    <n v="21120"/>
    <n v="0"/>
    <n v="0"/>
  </r>
  <r>
    <d v="2024-02-19T00:00:00"/>
    <d v="2024-02-19T00:00:00"/>
    <s v="Yes"/>
    <n v="0"/>
    <n v="0"/>
    <x v="1"/>
    <n v="15840"/>
    <d v="2023-04-24T00:00:00"/>
    <s v="G/ZFC"/>
    <s v="Location 1"/>
    <s v="Customer 1"/>
    <n v="15840"/>
    <n v="0"/>
    <n v="0"/>
  </r>
  <r>
    <d v="2024-02-26T00:00:00"/>
    <d v="2024-02-26T00:00:00"/>
    <s v="Yes"/>
    <n v="0"/>
    <n v="0"/>
    <x v="1"/>
    <n v="15840"/>
    <d v="2023-04-24T00:00:00"/>
    <s v="G/ZFC"/>
    <s v="Location 1"/>
    <s v="Customer 1"/>
    <n v="15840"/>
    <n v="0"/>
    <n v="0"/>
  </r>
  <r>
    <d v="2024-03-04T00:00:00"/>
    <d v="2024-03-04T00:00:00"/>
    <s v="Yes"/>
    <n v="0"/>
    <n v="0"/>
    <x v="1"/>
    <n v="26400"/>
    <d v="2023-04-24T00:00:00"/>
    <s v="G/ZFC"/>
    <s v="Location 1"/>
    <s v="Customer 1"/>
    <n v="26400"/>
    <n v="0"/>
    <n v="0"/>
  </r>
  <r>
    <d v="2024-03-11T00:00:00"/>
    <d v="2024-03-11T00:00:00"/>
    <s v="Yes"/>
    <n v="0"/>
    <n v="0"/>
    <x v="1"/>
    <n v="26400"/>
    <d v="2023-04-24T00:00:00"/>
    <s v="G/ZFC"/>
    <s v="Location 1"/>
    <s v="Customer 1"/>
    <n v="26400"/>
    <n v="0"/>
    <n v="0"/>
  </r>
  <r>
    <d v="2024-03-18T00:00:00"/>
    <d v="2024-03-18T00:00:00"/>
    <s v="Yes"/>
    <n v="0"/>
    <n v="0"/>
    <x v="1"/>
    <n v="26400"/>
    <d v="2023-04-24T00:00:00"/>
    <s v="G/ZFC"/>
    <s v="Location 1"/>
    <s v="Customer 1"/>
    <n v="26400"/>
    <n v="0"/>
    <n v="0"/>
  </r>
  <r>
    <d v="2024-03-25T00:00:00"/>
    <d v="2024-03-25T00:00:00"/>
    <s v="Yes"/>
    <n v="0"/>
    <n v="0"/>
    <x v="1"/>
    <n v="26400"/>
    <d v="2023-04-24T00:00:00"/>
    <s v="G/ZFC"/>
    <s v="Location 1"/>
    <s v="Customer 1"/>
    <n v="26400"/>
    <n v="0"/>
    <n v="0"/>
  </r>
  <r>
    <d v="2024-04-01T00:00:00"/>
    <d v="2024-04-01T00:00:00"/>
    <s v="Yes"/>
    <n v="0"/>
    <n v="0"/>
    <x v="1"/>
    <n v="26400"/>
    <d v="2023-04-24T00:00:00"/>
    <s v="G/ZFC"/>
    <s v="Location 1"/>
    <s v="Customer 1"/>
    <n v="26400"/>
    <n v="0"/>
    <n v="0"/>
  </r>
  <r>
    <d v="2024-04-08T00:00:00"/>
    <d v="2024-04-08T00:00:00"/>
    <s v="Yes"/>
    <n v="0"/>
    <n v="0"/>
    <x v="1"/>
    <n v="26400"/>
    <d v="2023-04-24T00:00:00"/>
    <s v="G/ZFC"/>
    <s v="Location 1"/>
    <s v="Customer 1"/>
    <n v="26400"/>
    <n v="0"/>
    <n v="0"/>
  </r>
  <r>
    <d v="2024-04-15T00:00:00"/>
    <d v="2024-04-15T00:00:00"/>
    <s v="Yes"/>
    <n v="0"/>
    <n v="0"/>
    <x v="1"/>
    <n v="26400"/>
    <d v="2023-04-24T00:00:00"/>
    <s v="G/ZFC"/>
    <s v="Location 1"/>
    <s v="Customer 1"/>
    <n v="26400"/>
    <n v="0"/>
    <n v="0"/>
  </r>
  <r>
    <d v="2024-04-22T00:00:00"/>
    <d v="2024-04-22T00:00:00"/>
    <s v="Yes"/>
    <n v="0"/>
    <n v="0"/>
    <x v="1"/>
    <n v="26400"/>
    <d v="2023-04-24T00:00:00"/>
    <s v="G/ZFC"/>
    <s v="Location 1"/>
    <s v="Customer 1"/>
    <n v="26400"/>
    <n v="0"/>
    <n v="0"/>
  </r>
  <r>
    <d v="2024-04-29T00:00:00"/>
    <d v="2024-04-29T00:00:00"/>
    <s v="Yes"/>
    <n v="0"/>
    <n v="0"/>
    <x v="1"/>
    <n v="26400"/>
    <d v="2023-04-24T00:00:00"/>
    <s v="G/ZFC"/>
    <s v="Location 1"/>
    <s v="Customer 1"/>
    <n v="26400"/>
    <n v="0"/>
    <n v="0"/>
  </r>
  <r>
    <d v="2024-05-06T00:00:00"/>
    <d v="2024-05-06T00:00:00"/>
    <s v="Yes"/>
    <n v="0"/>
    <n v="0"/>
    <x v="1"/>
    <n v="21120"/>
    <d v="2023-04-24T00:00:00"/>
    <s v="G/ZFC"/>
    <s v="Location 1"/>
    <s v="Customer 1"/>
    <n v="21120"/>
    <n v="0"/>
    <n v="0"/>
  </r>
  <r>
    <d v="2024-05-13T00:00:00"/>
    <d v="2024-05-13T00:00:00"/>
    <s v="Yes"/>
    <n v="0"/>
    <n v="0"/>
    <x v="1"/>
    <n v="26400"/>
    <d v="2023-04-24T00:00:00"/>
    <s v="G/ZFC"/>
    <s v="Location 1"/>
    <s v="Customer 1"/>
    <n v="26400"/>
    <n v="0"/>
    <n v="0"/>
  </r>
  <r>
    <d v="2024-05-20T00:00:00"/>
    <d v="2024-05-20T00:00:00"/>
    <s v="Yes"/>
    <n v="0"/>
    <n v="0"/>
    <x v="1"/>
    <n v="21120"/>
    <d v="2023-04-24T00:00:00"/>
    <s v="G/ZFC"/>
    <s v="Location 1"/>
    <s v="Customer 1"/>
    <n v="21120"/>
    <n v="0"/>
    <n v="0"/>
  </r>
  <r>
    <d v="2024-05-27T00:00:00"/>
    <d v="2024-05-27T00:00:00"/>
    <s v="Yes"/>
    <n v="0"/>
    <n v="0"/>
    <x v="1"/>
    <n v="21120"/>
    <d v="2023-04-24T00:00:00"/>
    <s v="G/ZFC"/>
    <s v="Location 1"/>
    <s v="Customer 1"/>
    <n v="21120"/>
    <n v="0"/>
    <n v="0"/>
  </r>
  <r>
    <d v="2024-06-03T00:00:00"/>
    <d v="2024-06-03T00:00:00"/>
    <s v="Yes"/>
    <n v="0"/>
    <n v="0"/>
    <x v="1"/>
    <n v="21120"/>
    <d v="2023-04-24T00:00:00"/>
    <s v="G/ZFC"/>
    <s v="Location 1"/>
    <s v="Customer 1"/>
    <n v="21120"/>
    <n v="0"/>
    <n v="0"/>
  </r>
  <r>
    <d v="2024-06-10T00:00:00"/>
    <d v="2024-06-10T00:00:00"/>
    <s v="Yes"/>
    <n v="0"/>
    <n v="0"/>
    <x v="1"/>
    <n v="21120"/>
    <d v="2023-04-24T00:00:00"/>
    <s v="G/ZFC"/>
    <s v="Location 1"/>
    <s v="Customer 1"/>
    <n v="21120"/>
    <n v="0"/>
    <n v="0"/>
  </r>
  <r>
    <d v="2024-06-24T00:00:00"/>
    <d v="2024-06-24T00:00:00"/>
    <s v="Yes"/>
    <n v="0"/>
    <n v="0"/>
    <x v="1"/>
    <n v="10560"/>
    <d v="2023-04-24T00:00:00"/>
    <s v="G/ZFC"/>
    <s v="Location 1"/>
    <s v="Customer 1"/>
    <n v="10560"/>
    <n v="0"/>
    <n v="0"/>
  </r>
  <r>
    <d v="2024-07-01T00:00:00"/>
    <d v="2024-07-01T00:00:00"/>
    <s v="Yes"/>
    <n v="0"/>
    <n v="0"/>
    <x v="1"/>
    <n v="10560"/>
    <d v="2023-04-24T00:00:00"/>
    <s v="G/ZFC"/>
    <s v="Location 1"/>
    <s v="Customer 1"/>
    <n v="10560"/>
    <n v="0"/>
    <n v="0"/>
  </r>
  <r>
    <d v="2024-07-08T00:00:00"/>
    <d v="2024-07-08T00:00:00"/>
    <s v="Yes"/>
    <n v="0"/>
    <n v="0"/>
    <x v="1"/>
    <n v="15840"/>
    <d v="2023-04-24T00:00:00"/>
    <s v="G/ZFC"/>
    <s v="Location 1"/>
    <s v="Customer 1"/>
    <n v="15840"/>
    <n v="0"/>
    <n v="0"/>
  </r>
  <r>
    <d v="2024-07-15T00:00:00"/>
    <d v="2024-07-15T00:00:00"/>
    <s v="Yes"/>
    <n v="0"/>
    <n v="0"/>
    <x v="1"/>
    <n v="10560"/>
    <d v="2023-04-24T00:00:00"/>
    <s v="G/ZFC"/>
    <s v="Location 1"/>
    <s v="Customer 1"/>
    <n v="10560"/>
    <n v="0"/>
    <n v="0"/>
  </r>
  <r>
    <d v="2024-07-22T00:00:00"/>
    <d v="2024-07-22T00:00:00"/>
    <s v="Yes"/>
    <n v="0"/>
    <n v="0"/>
    <x v="1"/>
    <n v="10560"/>
    <d v="2023-04-24T00:00:00"/>
    <s v="G/ZFC"/>
    <s v="Location 1"/>
    <s v="Customer 1"/>
    <n v="10560"/>
    <n v="0"/>
    <n v="0"/>
  </r>
  <r>
    <d v="2024-07-29T00:00:00"/>
    <d v="2024-07-29T00:00:00"/>
    <s v="Yes"/>
    <n v="0"/>
    <n v="0"/>
    <x v="1"/>
    <n v="10560"/>
    <d v="2023-04-24T00:00:00"/>
    <s v="G/ZFC"/>
    <s v="Location 1"/>
    <s v="Customer 1"/>
    <n v="10560"/>
    <n v="0"/>
    <n v="0"/>
  </r>
  <r>
    <d v="2024-08-05T00:00:00"/>
    <d v="2024-08-05T00:00:00"/>
    <s v="Yes"/>
    <n v="0"/>
    <n v="0"/>
    <x v="1"/>
    <n v="10560"/>
    <d v="2023-04-24T00:00:00"/>
    <s v="G/ZFC"/>
    <s v="Location 1"/>
    <s v="Customer 1"/>
    <n v="10560"/>
    <n v="0"/>
    <n v="0"/>
  </r>
  <r>
    <d v="2024-08-12T00:00:00"/>
    <d v="2024-08-12T00:00:00"/>
    <s v="Yes"/>
    <n v="0"/>
    <n v="0"/>
    <x v="1"/>
    <n v="10560"/>
    <d v="2023-04-24T00:00:00"/>
    <s v="G/ZFC"/>
    <s v="Location 1"/>
    <s v="Customer 1"/>
    <n v="10560"/>
    <n v="0"/>
    <n v="0"/>
  </r>
  <r>
    <d v="2024-08-19T00:00:00"/>
    <d v="2024-08-19T00:00:00"/>
    <s v="Yes"/>
    <n v="0"/>
    <n v="0"/>
    <x v="1"/>
    <n v="10560"/>
    <d v="2023-04-24T00:00:00"/>
    <s v="G/ZFC"/>
    <s v="Location 1"/>
    <s v="Customer 1"/>
    <n v="10560"/>
    <n v="0"/>
    <n v="0"/>
  </r>
  <r>
    <d v="2024-08-26T00:00:00"/>
    <d v="2024-08-26T00:00:00"/>
    <s v="Yes"/>
    <n v="0"/>
    <n v="0"/>
    <x v="1"/>
    <n v="10560"/>
    <d v="2023-04-24T00:00:00"/>
    <s v="G/ZFC"/>
    <s v="Location 1"/>
    <s v="Customer 1"/>
    <n v="10560"/>
    <n v="0"/>
    <n v="0"/>
  </r>
  <r>
    <d v="2024-09-02T00:00:00"/>
    <d v="2024-09-02T00:00:00"/>
    <s v="Yes"/>
    <n v="0"/>
    <n v="0"/>
    <x v="1"/>
    <n v="10560"/>
    <d v="2023-04-24T00:00:00"/>
    <s v="G/ZFC"/>
    <s v="Location 1"/>
    <s v="Customer 1"/>
    <n v="10560"/>
    <n v="0"/>
    <n v="0"/>
  </r>
  <r>
    <d v="2024-09-09T00:00:00"/>
    <d v="2024-09-09T00:00:00"/>
    <s v="Yes"/>
    <n v="0"/>
    <n v="0"/>
    <x v="1"/>
    <n v="15840"/>
    <d v="2023-04-24T00:00:00"/>
    <s v="G/ZFC"/>
    <s v="Location 1"/>
    <s v="Customer 1"/>
    <n v="15840"/>
    <n v="0"/>
    <n v="0"/>
  </r>
  <r>
    <d v="2024-09-16T00:00:00"/>
    <d v="2024-09-16T00:00:00"/>
    <s v="Yes"/>
    <n v="0"/>
    <n v="0"/>
    <x v="1"/>
    <n v="10560"/>
    <d v="2023-04-24T00:00:00"/>
    <s v="G/ZFC"/>
    <s v="Location 1"/>
    <s v="Customer 1"/>
    <n v="10560"/>
    <n v="0"/>
    <n v="0"/>
  </r>
  <r>
    <d v="2024-09-23T00:00:00"/>
    <d v="2024-09-23T00:00:00"/>
    <s v="Yes"/>
    <n v="0"/>
    <n v="0"/>
    <x v="1"/>
    <n v="10560"/>
    <d v="2023-04-24T00:00:00"/>
    <s v="G/ZFC"/>
    <s v="Location 1"/>
    <s v="Customer 1"/>
    <n v="10560"/>
    <n v="0"/>
    <n v="0"/>
  </r>
  <r>
    <d v="2024-09-30T00:00:00"/>
    <d v="2024-09-30T00:00:00"/>
    <s v="Yes"/>
    <n v="0"/>
    <n v="0"/>
    <x v="1"/>
    <n v="15840"/>
    <d v="2023-04-24T00:00:00"/>
    <s v="G/ZFC"/>
    <s v="Location 1"/>
    <s v="Customer 1"/>
    <n v="15840"/>
    <n v="0"/>
    <n v="0"/>
  </r>
  <r>
    <d v="2024-10-07T00:00:00"/>
    <d v="2024-10-07T00:00:00"/>
    <s v="Yes"/>
    <n v="0"/>
    <n v="0"/>
    <x v="1"/>
    <n v="10560"/>
    <d v="2023-04-24T00:00:00"/>
    <s v="G/ZFC"/>
    <s v="Location 1"/>
    <s v="Customer 1"/>
    <n v="10560"/>
    <n v="0"/>
    <n v="0"/>
  </r>
  <r>
    <d v="2024-10-14T00:00:00"/>
    <d v="2024-10-14T00:00:00"/>
    <s v="Yes"/>
    <n v="0"/>
    <n v="0"/>
    <x v="1"/>
    <n v="10560"/>
    <d v="2023-04-24T00:00:00"/>
    <s v="G/ZFC"/>
    <s v="Location 1"/>
    <s v="Customer 1"/>
    <n v="10560"/>
    <n v="0"/>
    <n v="0"/>
  </r>
  <r>
    <d v="2024-10-21T00:00:00"/>
    <d v="2024-10-21T00:00:00"/>
    <s v="Yes"/>
    <n v="0"/>
    <n v="0"/>
    <x v="1"/>
    <n v="26400"/>
    <d v="2023-04-24T00:00:00"/>
    <s v="G/ZFC"/>
    <s v="Location 1"/>
    <s v="Customer 1"/>
    <n v="26400"/>
    <n v="0"/>
    <n v="0"/>
  </r>
  <r>
    <d v="2024-11-04T00:00:00"/>
    <d v="2024-11-04T00:00:00"/>
    <s v="Yes"/>
    <n v="0"/>
    <n v="0"/>
    <x v="1"/>
    <n v="10560"/>
    <d v="2023-04-24T00:00:00"/>
    <s v="G/ZFC"/>
    <s v="Location 1"/>
    <s v="Customer 1"/>
    <n v="10560"/>
    <n v="0"/>
    <n v="0"/>
  </r>
  <r>
    <d v="2024-11-11T00:00:00"/>
    <d v="2024-11-11T00:00:00"/>
    <s v="Yes"/>
    <n v="0"/>
    <n v="0"/>
    <x v="1"/>
    <n v="5280"/>
    <d v="2023-04-24T00:00:00"/>
    <s v="G/ZFC"/>
    <s v="Location 1"/>
    <s v="Customer 1"/>
    <n v="5280"/>
    <n v="0"/>
    <n v="0"/>
  </r>
  <r>
    <d v="2024-11-18T00:00:00"/>
    <d v="2024-11-18T00:00:00"/>
    <s v="Yes"/>
    <n v="0"/>
    <n v="0"/>
    <x v="1"/>
    <n v="10560"/>
    <d v="2023-04-24T00:00:00"/>
    <s v="G/ZFC"/>
    <s v="Location 1"/>
    <s v="Customer 1"/>
    <n v="10560"/>
    <n v="0"/>
    <n v="0"/>
  </r>
  <r>
    <d v="2024-11-25T00:00:00"/>
    <d v="2024-11-25T00:00:00"/>
    <s v="Yes"/>
    <n v="0"/>
    <n v="0"/>
    <x v="1"/>
    <n v="10560"/>
    <d v="2023-04-24T00:00:00"/>
    <s v="G/ZFC"/>
    <s v="Location 1"/>
    <s v="Customer 1"/>
    <n v="10560"/>
    <n v="0"/>
    <n v="0"/>
  </r>
  <r>
    <d v="2024-12-02T00:00:00"/>
    <d v="2024-12-02T00:00:00"/>
    <s v="Yes"/>
    <n v="0"/>
    <n v="0"/>
    <x v="1"/>
    <n v="15840"/>
    <d v="2023-04-24T00:00:00"/>
    <s v="G/ZFC"/>
    <s v="Location 1"/>
    <s v="Customer 1"/>
    <n v="15840"/>
    <n v="0"/>
    <n v="0"/>
  </r>
  <r>
    <d v="2024-12-09T00:00:00"/>
    <d v="2024-12-09T00:00:00"/>
    <s v="Yes"/>
    <n v="0"/>
    <n v="0"/>
    <x v="1"/>
    <n v="15840"/>
    <d v="2023-04-24T00:00:00"/>
    <s v="G/ZFC"/>
    <s v="Location 1"/>
    <s v="Customer 1"/>
    <n v="15840"/>
    <n v="0"/>
    <n v="0"/>
  </r>
  <r>
    <d v="2024-12-16T00:00:00"/>
    <d v="2024-12-16T00:00:00"/>
    <s v="Yes"/>
    <n v="0"/>
    <n v="0"/>
    <x v="1"/>
    <n v="21120"/>
    <d v="2023-04-24T00:00:00"/>
    <s v="G/ZFC"/>
    <s v="Location 1"/>
    <s v="Customer 1"/>
    <n v="21120"/>
    <n v="0"/>
    <n v="0"/>
  </r>
  <r>
    <d v="2024-01-01T00:00:00"/>
    <d v="2024-01-01T00:00:00"/>
    <s v="Yes"/>
    <n v="0"/>
    <n v="0"/>
    <x v="1"/>
    <n v="2640"/>
    <d v="2023-03-20T00:00:00"/>
    <s v="G/ZFC"/>
    <s v="Location 1"/>
    <s v="Customer 1"/>
    <n v="2640"/>
    <n v="0"/>
    <n v="0"/>
  </r>
  <r>
    <d v="2024-01-08T00:00:00"/>
    <d v="2024-01-08T00:00:00"/>
    <s v="Yes"/>
    <n v="0"/>
    <n v="0"/>
    <x v="1"/>
    <n v="15840"/>
    <d v="2023-03-20T00:00:00"/>
    <s v="G/ZFC"/>
    <s v="Location 1"/>
    <s v="Customer 1"/>
    <n v="15840"/>
    <n v="0"/>
    <n v="0"/>
  </r>
  <r>
    <d v="2024-01-15T00:00:00"/>
    <d v="2024-01-15T00:00:00"/>
    <s v="Yes"/>
    <n v="0"/>
    <n v="0"/>
    <x v="1"/>
    <n v="21120"/>
    <d v="2023-03-20T00:00:00"/>
    <s v="G/ZFC"/>
    <s v="Location 1"/>
    <s v="Customer 1"/>
    <n v="21120"/>
    <n v="0"/>
    <n v="0"/>
  </r>
  <r>
    <d v="2024-12-30T00:00:00"/>
    <d v="2024-12-30T00:00:00"/>
    <s v="Yes"/>
    <n v="0"/>
    <n v="0"/>
    <x v="1"/>
    <n v="10560"/>
    <d v="2023-07-12T00:00:00"/>
    <s v="G/ZFC"/>
    <s v="Location 1"/>
    <s v="Customer 1"/>
    <n v="10560"/>
    <n v="0"/>
    <n v="0"/>
  </r>
  <r>
    <d v="2025-01-06T00:00:00"/>
    <d v="2025-01-06T00:00:00"/>
    <s v="Yes"/>
    <n v="0"/>
    <n v="0"/>
    <x v="1"/>
    <n v="10560"/>
    <d v="2023-07-12T00:00:00"/>
    <s v="G/ZFC"/>
    <s v="Location 1"/>
    <s v="Customer 1"/>
    <n v="10560"/>
    <n v="0"/>
    <n v="0"/>
  </r>
  <r>
    <d v="2025-01-13T00:00:00"/>
    <d v="2025-01-13T00:00:00"/>
    <s v="Yes"/>
    <n v="0"/>
    <n v="0"/>
    <x v="1"/>
    <n v="15840"/>
    <d v="2023-07-12T00:00:00"/>
    <s v="G/ZFC"/>
    <s v="Location 1"/>
    <s v="Customer 1"/>
    <n v="15840"/>
    <n v="0"/>
    <n v="0"/>
  </r>
  <r>
    <d v="2025-01-20T00:00:00"/>
    <d v="2025-01-20T00:00:00"/>
    <s v="Yes"/>
    <n v="0"/>
    <n v="0"/>
    <x v="1"/>
    <n v="10560"/>
    <d v="2023-07-12T00:00:00"/>
    <s v="G/ZFC"/>
    <s v="Location 1"/>
    <s v="Customer 1"/>
    <n v="10560"/>
    <n v="0"/>
    <n v="0"/>
  </r>
  <r>
    <d v="2025-01-27T00:00:00"/>
    <d v="2025-01-27T00:00:00"/>
    <s v="Yes"/>
    <n v="0"/>
    <n v="0"/>
    <x v="1"/>
    <n v="10560"/>
    <d v="2023-07-12T00:00:00"/>
    <s v="G/ZFC"/>
    <s v="Location 1"/>
    <s v="Customer 1"/>
    <n v="10560"/>
    <n v="0"/>
    <n v="0"/>
  </r>
  <r>
    <d v="2025-02-03T00:00:00"/>
    <d v="2025-02-03T00:00:00"/>
    <s v="Yes"/>
    <n v="0"/>
    <n v="0"/>
    <x v="1"/>
    <n v="10560"/>
    <d v="2023-07-12T00:00:00"/>
    <s v="G/ZFC"/>
    <s v="Location 1"/>
    <s v="Customer 1"/>
    <n v="10560"/>
    <n v="0"/>
    <n v="0"/>
  </r>
  <r>
    <d v="2025-02-10T00:00:00"/>
    <d v="2025-02-10T00:00:00"/>
    <s v="Yes"/>
    <n v="0"/>
    <n v="0"/>
    <x v="1"/>
    <n v="10560"/>
    <d v="2023-07-12T00:00:00"/>
    <s v="G/ZFC"/>
    <s v="Location 1"/>
    <s v="Customer 1"/>
    <n v="10560"/>
    <n v="0"/>
    <n v="0"/>
  </r>
  <r>
    <d v="2025-02-17T00:00:00"/>
    <d v="2025-02-17T00:00:00"/>
    <s v="Yes"/>
    <n v="0"/>
    <n v="0"/>
    <x v="1"/>
    <n v="10560"/>
    <d v="2023-07-12T00:00:00"/>
    <s v="G/ZFC"/>
    <s v="Location 1"/>
    <s v="Customer 1"/>
    <n v="10560"/>
    <n v="0"/>
    <n v="0"/>
  </r>
  <r>
    <d v="2025-02-24T00:00:00"/>
    <d v="2025-02-24T00:00:00"/>
    <s v="Yes"/>
    <n v="0"/>
    <n v="0"/>
    <x v="1"/>
    <n v="108240"/>
    <d v="2023-07-12T00:00:00"/>
    <s v="G/ZFC"/>
    <s v="Location 1"/>
    <s v="Customer 1"/>
    <n v="108240"/>
    <n v="0"/>
    <n v="0"/>
  </r>
  <r>
    <d v="2023-12-25T00:00:00"/>
    <d v="2023-12-25T00:00:00"/>
    <s v="Yes"/>
    <n v="0"/>
    <n v="0"/>
    <x v="2"/>
    <n v="15840"/>
    <d v="2023-04-24T00:00:00"/>
    <s v="G/ZFC"/>
    <s v="Location 1"/>
    <s v="Customer 1"/>
    <n v="15840"/>
    <n v="0"/>
    <n v="0"/>
  </r>
  <r>
    <d v="2023-09-25T00:00:00"/>
    <d v="2023-09-25T00:00:00"/>
    <s v="Yes"/>
    <n v="0"/>
    <n v="0"/>
    <x v="2"/>
    <n v="15900"/>
    <d v="2023-03-20T00:00:00"/>
    <s v="G/ZFC"/>
    <s v="Location 1"/>
    <s v="Customer 1"/>
    <n v="15900"/>
    <n v="0"/>
    <n v="0"/>
  </r>
  <r>
    <d v="2023-10-02T00:00:00"/>
    <d v="2023-10-02T00:00:00"/>
    <s v="Yes"/>
    <n v="0"/>
    <n v="0"/>
    <x v="2"/>
    <n v="15900"/>
    <d v="2023-03-20T00:00:00"/>
    <s v="G/ZFC"/>
    <s v="Location 1"/>
    <s v="Customer 1"/>
    <n v="15900"/>
    <n v="0"/>
    <n v="0"/>
  </r>
  <r>
    <d v="2023-10-09T00:00:00"/>
    <d v="2023-10-09T00:00:00"/>
    <s v="Yes"/>
    <n v="0"/>
    <n v="0"/>
    <x v="2"/>
    <n v="15900"/>
    <d v="2023-03-20T00:00:00"/>
    <s v="G/ZFC"/>
    <s v="Location 1"/>
    <s v="Customer 1"/>
    <n v="15900"/>
    <n v="0"/>
    <n v="0"/>
  </r>
  <r>
    <d v="2023-10-16T00:00:00"/>
    <d v="2023-10-16T00:00:00"/>
    <s v="Yes"/>
    <n v="0"/>
    <n v="0"/>
    <x v="2"/>
    <n v="5300"/>
    <d v="2023-03-20T00:00:00"/>
    <s v="G/ZFC"/>
    <s v="Location 1"/>
    <s v="Customer 1"/>
    <n v="5300"/>
    <n v="0"/>
    <n v="0"/>
  </r>
  <r>
    <d v="2023-10-23T00:00:00"/>
    <d v="2023-10-23T00:00:00"/>
    <s v="Yes"/>
    <n v="0"/>
    <n v="0"/>
    <x v="2"/>
    <n v="15740"/>
    <d v="2023-03-20T00:00:00"/>
    <s v="G/ZFC"/>
    <s v="Location 1"/>
    <s v="Customer 1"/>
    <n v="15740"/>
    <n v="0"/>
    <n v="0"/>
  </r>
  <r>
    <d v="2023-10-30T00:00:00"/>
    <d v="2023-10-30T00:00:00"/>
    <s v="Yes"/>
    <n v="0"/>
    <n v="0"/>
    <x v="2"/>
    <n v="21140"/>
    <d v="2023-03-20T00:00:00"/>
    <s v="G/ZFC"/>
    <s v="Location 1"/>
    <s v="Customer 1"/>
    <n v="21140"/>
    <n v="0"/>
    <n v="0"/>
  </r>
  <r>
    <d v="2023-11-06T00:00:00"/>
    <d v="2023-11-06T00:00:00"/>
    <s v="Yes"/>
    <n v="0"/>
    <n v="0"/>
    <x v="2"/>
    <n v="15840"/>
    <d v="2023-03-20T00:00:00"/>
    <s v="G/ZFC"/>
    <s v="Location 1"/>
    <s v="Customer 1"/>
    <n v="15840"/>
    <n v="0"/>
    <n v="0"/>
  </r>
  <r>
    <d v="2023-11-13T00:00:00"/>
    <d v="2023-11-13T00:00:00"/>
    <s v="Yes"/>
    <n v="0"/>
    <n v="0"/>
    <x v="2"/>
    <n v="18520"/>
    <d v="2023-03-20T00:00:00"/>
    <s v="G/ZFC"/>
    <s v="Location 1"/>
    <s v="Customer 1"/>
    <n v="18520"/>
    <n v="0"/>
    <n v="0"/>
  </r>
  <r>
    <d v="2023-11-20T00:00:00"/>
    <d v="2023-11-20T00:00:00"/>
    <s v="Yes"/>
    <n v="0"/>
    <n v="0"/>
    <x v="2"/>
    <n v="12101"/>
    <d v="2023-03-20T00:00:00"/>
    <s v="G/ZFC"/>
    <s v="Location 1"/>
    <s v="Customer 1"/>
    <n v="12101"/>
    <n v="0"/>
    <n v="0"/>
  </r>
  <r>
    <d v="2023-11-27T00:00:00"/>
    <d v="2023-11-27T00:00:00"/>
    <s v="Yes"/>
    <n v="0"/>
    <n v="0"/>
    <x v="2"/>
    <n v="6096"/>
    <d v="2023-03-20T00:00:00"/>
    <s v="G/ZFC"/>
    <s v="Location 1"/>
    <s v="Customer 1"/>
    <n v="6096"/>
    <n v="0"/>
    <n v="0"/>
  </r>
  <r>
    <d v="2023-12-04T00:00:00"/>
    <d v="2023-12-04T00:00:00"/>
    <s v="Yes"/>
    <n v="0"/>
    <n v="0"/>
    <x v="2"/>
    <n v="15840"/>
    <d v="2023-03-20T00:00:00"/>
    <s v="G/ZFC"/>
    <s v="Location 1"/>
    <s v="Customer 1"/>
    <n v="15840"/>
    <n v="0"/>
    <n v="0"/>
  </r>
  <r>
    <d v="2023-12-11T00:00:00"/>
    <d v="2023-12-11T00:00:00"/>
    <s v="Yes"/>
    <n v="0"/>
    <n v="0"/>
    <x v="2"/>
    <n v="15840"/>
    <d v="2023-03-20T00:00:00"/>
    <s v="G/ZFC"/>
    <s v="Location 1"/>
    <s v="Customer 1"/>
    <n v="15840"/>
    <n v="0"/>
    <n v="0"/>
  </r>
  <r>
    <d v="2024-01-01T00:00:00"/>
    <d v="2024-01-01T00:00:00"/>
    <s v="Yes"/>
    <n v="0"/>
    <n v="0"/>
    <x v="2"/>
    <n v="21120"/>
    <d v="2023-04-24T00:00:00"/>
    <s v="G/ZFC"/>
    <s v="Location 1"/>
    <s v="Customer 1"/>
    <n v="21120"/>
    <n v="0"/>
    <n v="0"/>
  </r>
  <r>
    <d v="2024-01-08T00:00:00"/>
    <d v="2024-01-08T00:00:00"/>
    <s v="Yes"/>
    <n v="0"/>
    <n v="0"/>
    <x v="2"/>
    <n v="18480"/>
    <d v="2023-04-24T00:00:00"/>
    <s v="G/ZFC"/>
    <s v="Location 1"/>
    <s v="Customer 1"/>
    <n v="18480"/>
    <n v="0"/>
    <n v="0"/>
  </r>
  <r>
    <d v="2024-01-15T00:00:00"/>
    <d v="2024-01-15T00:00:00"/>
    <s v="Yes"/>
    <n v="0"/>
    <n v="0"/>
    <x v="2"/>
    <n v="21120"/>
    <d v="2023-04-24T00:00:00"/>
    <s v="G/ZFC"/>
    <s v="Location 1"/>
    <s v="Customer 1"/>
    <n v="21120"/>
    <n v="0"/>
    <n v="0"/>
  </r>
  <r>
    <d v="2024-01-22T00:00:00"/>
    <d v="2024-01-22T00:00:00"/>
    <s v="Yes"/>
    <n v="0"/>
    <n v="0"/>
    <x v="2"/>
    <n v="21120"/>
    <d v="2023-04-24T00:00:00"/>
    <s v="G/ZFC"/>
    <s v="Location 1"/>
    <s v="Customer 1"/>
    <n v="21120"/>
    <n v="0"/>
    <n v="0"/>
  </r>
  <r>
    <d v="2024-01-29T00:00:00"/>
    <d v="2024-01-29T00:00:00"/>
    <s v="Yes"/>
    <n v="0"/>
    <n v="0"/>
    <x v="2"/>
    <n v="15840"/>
    <d v="2023-04-24T00:00:00"/>
    <s v="G/ZFC"/>
    <s v="Location 1"/>
    <s v="Customer 1"/>
    <n v="15840"/>
    <n v="0"/>
    <n v="0"/>
  </r>
  <r>
    <d v="2024-02-12T00:00:00"/>
    <d v="2024-02-12T00:00:00"/>
    <s v="Yes"/>
    <n v="0"/>
    <n v="0"/>
    <x v="2"/>
    <n v="21120"/>
    <d v="2023-04-24T00:00:00"/>
    <s v="G/ZFC"/>
    <s v="Location 1"/>
    <s v="Customer 1"/>
    <n v="21120"/>
    <n v="0"/>
    <n v="0"/>
  </r>
  <r>
    <d v="2024-02-19T00:00:00"/>
    <d v="2024-02-19T00:00:00"/>
    <s v="Yes"/>
    <n v="0"/>
    <n v="0"/>
    <x v="2"/>
    <n v="15840"/>
    <d v="2023-04-24T00:00:00"/>
    <s v="G/ZFC"/>
    <s v="Location 1"/>
    <s v="Customer 1"/>
    <n v="15840"/>
    <n v="0"/>
    <n v="0"/>
  </r>
  <r>
    <d v="2024-02-26T00:00:00"/>
    <d v="2024-02-26T00:00:00"/>
    <s v="Yes"/>
    <n v="0"/>
    <n v="0"/>
    <x v="2"/>
    <n v="15840"/>
    <d v="2023-04-24T00:00:00"/>
    <s v="G/ZFC"/>
    <s v="Location 1"/>
    <s v="Customer 1"/>
    <n v="15840"/>
    <n v="0"/>
    <n v="0"/>
  </r>
  <r>
    <d v="2024-03-04T00:00:00"/>
    <d v="2024-03-04T00:00:00"/>
    <s v="Yes"/>
    <n v="0"/>
    <n v="0"/>
    <x v="2"/>
    <n v="26400"/>
    <d v="2023-04-24T00:00:00"/>
    <s v="G/ZFC"/>
    <s v="Location 1"/>
    <s v="Customer 1"/>
    <n v="26400"/>
    <n v="0"/>
    <n v="0"/>
  </r>
  <r>
    <d v="2024-03-11T00:00:00"/>
    <d v="2024-03-11T00:00:00"/>
    <s v="Yes"/>
    <n v="0"/>
    <n v="0"/>
    <x v="2"/>
    <n v="26400"/>
    <d v="2023-04-24T00:00:00"/>
    <s v="G/ZFC"/>
    <s v="Location 1"/>
    <s v="Customer 1"/>
    <n v="26400"/>
    <n v="0"/>
    <n v="0"/>
  </r>
  <r>
    <d v="2024-03-18T00:00:00"/>
    <d v="2024-03-18T00:00:00"/>
    <s v="Yes"/>
    <n v="0"/>
    <n v="0"/>
    <x v="2"/>
    <n v="26400"/>
    <d v="2023-04-24T00:00:00"/>
    <s v="G/ZFC"/>
    <s v="Location 1"/>
    <s v="Customer 1"/>
    <n v="26400"/>
    <n v="0"/>
    <n v="0"/>
  </r>
  <r>
    <d v="2024-03-25T00:00:00"/>
    <d v="2024-03-25T00:00:00"/>
    <s v="Yes"/>
    <n v="0"/>
    <n v="0"/>
    <x v="2"/>
    <n v="26400"/>
    <d v="2023-04-24T00:00:00"/>
    <s v="G/ZFC"/>
    <s v="Location 1"/>
    <s v="Customer 1"/>
    <n v="26400"/>
    <n v="0"/>
    <n v="0"/>
  </r>
  <r>
    <d v="2024-04-01T00:00:00"/>
    <d v="2024-04-01T00:00:00"/>
    <s v="Yes"/>
    <n v="0"/>
    <n v="0"/>
    <x v="2"/>
    <n v="26400"/>
    <d v="2023-04-24T00:00:00"/>
    <s v="G/ZFC"/>
    <s v="Location 1"/>
    <s v="Customer 1"/>
    <n v="26400"/>
    <n v="0"/>
    <n v="0"/>
  </r>
  <r>
    <d v="2024-04-08T00:00:00"/>
    <d v="2024-04-08T00:00:00"/>
    <s v="Yes"/>
    <n v="0"/>
    <n v="0"/>
    <x v="2"/>
    <n v="26400"/>
    <d v="2023-04-24T00:00:00"/>
    <s v="G/ZFC"/>
    <s v="Location 1"/>
    <s v="Customer 1"/>
    <n v="26400"/>
    <n v="0"/>
    <n v="0"/>
  </r>
  <r>
    <d v="2024-04-15T00:00:00"/>
    <d v="2024-04-15T00:00:00"/>
    <s v="Yes"/>
    <n v="0"/>
    <n v="0"/>
    <x v="2"/>
    <n v="26400"/>
    <d v="2023-04-24T00:00:00"/>
    <s v="G/ZFC"/>
    <s v="Location 1"/>
    <s v="Customer 1"/>
    <n v="26400"/>
    <n v="0"/>
    <n v="0"/>
  </r>
  <r>
    <d v="2024-04-22T00:00:00"/>
    <d v="2024-04-22T00:00:00"/>
    <s v="Yes"/>
    <n v="0"/>
    <n v="0"/>
    <x v="2"/>
    <n v="26400"/>
    <d v="2023-04-24T00:00:00"/>
    <s v="G/ZFC"/>
    <s v="Location 1"/>
    <s v="Customer 1"/>
    <n v="26400"/>
    <n v="0"/>
    <n v="0"/>
  </r>
  <r>
    <d v="2024-04-29T00:00:00"/>
    <d v="2024-04-29T00:00:00"/>
    <s v="Yes"/>
    <n v="0"/>
    <n v="0"/>
    <x v="2"/>
    <n v="26400"/>
    <d v="2023-04-24T00:00:00"/>
    <s v="G/ZFC"/>
    <s v="Location 1"/>
    <s v="Customer 1"/>
    <n v="26400"/>
    <n v="0"/>
    <n v="0"/>
  </r>
  <r>
    <d v="2024-05-06T00:00:00"/>
    <d v="2024-05-06T00:00:00"/>
    <s v="Yes"/>
    <n v="0"/>
    <n v="0"/>
    <x v="2"/>
    <n v="21120"/>
    <d v="2023-04-24T00:00:00"/>
    <s v="G/ZFC"/>
    <s v="Location 1"/>
    <s v="Customer 1"/>
    <n v="21120"/>
    <n v="0"/>
    <n v="0"/>
  </r>
  <r>
    <d v="2024-05-13T00:00:00"/>
    <d v="2024-05-13T00:00:00"/>
    <s v="Yes"/>
    <n v="0"/>
    <n v="0"/>
    <x v="2"/>
    <n v="26400"/>
    <d v="2023-04-24T00:00:00"/>
    <s v="G/ZFC"/>
    <s v="Location 1"/>
    <s v="Customer 1"/>
    <n v="26400"/>
    <n v="0"/>
    <n v="0"/>
  </r>
  <r>
    <d v="2024-05-20T00:00:00"/>
    <d v="2024-05-20T00:00:00"/>
    <s v="Yes"/>
    <n v="0"/>
    <n v="0"/>
    <x v="2"/>
    <n v="21120"/>
    <d v="2023-04-24T00:00:00"/>
    <s v="G/ZFC"/>
    <s v="Location 1"/>
    <s v="Customer 1"/>
    <n v="21120"/>
    <n v="0"/>
    <n v="0"/>
  </r>
  <r>
    <d v="2024-05-27T00:00:00"/>
    <d v="2024-05-27T00:00:00"/>
    <s v="Yes"/>
    <n v="0"/>
    <n v="0"/>
    <x v="2"/>
    <n v="21120"/>
    <d v="2023-04-24T00:00:00"/>
    <s v="G/ZFC"/>
    <s v="Location 1"/>
    <s v="Customer 1"/>
    <n v="21120"/>
    <n v="0"/>
    <n v="0"/>
  </r>
  <r>
    <d v="2024-06-03T00:00:00"/>
    <d v="2024-06-03T00:00:00"/>
    <s v="Yes"/>
    <n v="0"/>
    <n v="0"/>
    <x v="2"/>
    <n v="21120"/>
    <d v="2023-04-24T00:00:00"/>
    <s v="G/ZFC"/>
    <s v="Location 1"/>
    <s v="Customer 1"/>
    <n v="21120"/>
    <n v="0"/>
    <n v="0"/>
  </r>
  <r>
    <d v="2024-06-10T00:00:00"/>
    <d v="2024-06-10T00:00:00"/>
    <s v="Yes"/>
    <n v="0"/>
    <n v="0"/>
    <x v="2"/>
    <n v="21120"/>
    <d v="2023-04-24T00:00:00"/>
    <s v="G/ZFC"/>
    <s v="Location 1"/>
    <s v="Customer 1"/>
    <n v="21120"/>
    <n v="0"/>
    <n v="0"/>
  </r>
  <r>
    <d v="2024-06-24T00:00:00"/>
    <d v="2024-06-24T00:00:00"/>
    <s v="Yes"/>
    <n v="0"/>
    <n v="0"/>
    <x v="2"/>
    <n v="10560"/>
    <d v="2023-04-24T00:00:00"/>
    <s v="G/ZFC"/>
    <s v="Location 1"/>
    <s v="Customer 1"/>
    <n v="10560"/>
    <n v="0"/>
    <n v="0"/>
  </r>
  <r>
    <d v="2024-07-01T00:00:00"/>
    <d v="2024-07-01T00:00:00"/>
    <s v="Yes"/>
    <n v="0"/>
    <n v="0"/>
    <x v="2"/>
    <n v="10560"/>
    <d v="2023-04-24T00:00:00"/>
    <s v="G/ZFC"/>
    <s v="Location 1"/>
    <s v="Customer 1"/>
    <n v="10560"/>
    <n v="0"/>
    <n v="0"/>
  </r>
  <r>
    <d v="2024-07-08T00:00:00"/>
    <d v="2024-07-08T00:00:00"/>
    <s v="Yes"/>
    <n v="0"/>
    <n v="0"/>
    <x v="2"/>
    <n v="15840"/>
    <d v="2023-04-24T00:00:00"/>
    <s v="G/ZFC"/>
    <s v="Location 1"/>
    <s v="Customer 1"/>
    <n v="15840"/>
    <n v="0"/>
    <n v="0"/>
  </r>
  <r>
    <d v="2024-07-15T00:00:00"/>
    <d v="2024-07-15T00:00:00"/>
    <s v="Yes"/>
    <n v="0"/>
    <n v="0"/>
    <x v="2"/>
    <n v="10560"/>
    <d v="2023-04-24T00:00:00"/>
    <s v="G/ZFC"/>
    <s v="Location 1"/>
    <s v="Customer 1"/>
    <n v="10560"/>
    <n v="0"/>
    <n v="0"/>
  </r>
  <r>
    <d v="2024-07-22T00:00:00"/>
    <d v="2024-07-22T00:00:00"/>
    <s v="Yes"/>
    <n v="0"/>
    <n v="0"/>
    <x v="2"/>
    <n v="10560"/>
    <d v="2023-04-24T00:00:00"/>
    <s v="G/ZFC"/>
    <s v="Location 1"/>
    <s v="Customer 1"/>
    <n v="10560"/>
    <n v="0"/>
    <n v="0"/>
  </r>
  <r>
    <d v="2024-07-29T00:00:00"/>
    <d v="2024-07-29T00:00:00"/>
    <s v="Yes"/>
    <n v="0"/>
    <n v="0"/>
    <x v="2"/>
    <n v="10560"/>
    <d v="2023-04-24T00:00:00"/>
    <s v="G/ZFC"/>
    <s v="Location 1"/>
    <s v="Customer 1"/>
    <n v="10560"/>
    <n v="0"/>
    <n v="0"/>
  </r>
  <r>
    <d v="2024-08-05T00:00:00"/>
    <d v="2024-08-05T00:00:00"/>
    <s v="Yes"/>
    <n v="0"/>
    <n v="0"/>
    <x v="2"/>
    <n v="10560"/>
    <d v="2023-04-24T00:00:00"/>
    <s v="G/ZFC"/>
    <s v="Location 1"/>
    <s v="Customer 1"/>
    <n v="10560"/>
    <n v="0"/>
    <n v="0"/>
  </r>
  <r>
    <d v="2024-08-12T00:00:00"/>
    <d v="2024-08-12T00:00:00"/>
    <s v="Yes"/>
    <n v="0"/>
    <n v="0"/>
    <x v="2"/>
    <n v="10560"/>
    <d v="2023-04-24T00:00:00"/>
    <s v="G/ZFC"/>
    <s v="Location 1"/>
    <s v="Customer 1"/>
    <n v="10560"/>
    <n v="0"/>
    <n v="0"/>
  </r>
  <r>
    <d v="2024-08-19T00:00:00"/>
    <d v="2024-08-19T00:00:00"/>
    <s v="Yes"/>
    <n v="0"/>
    <n v="0"/>
    <x v="2"/>
    <n v="10560"/>
    <d v="2023-04-24T00:00:00"/>
    <s v="G/ZFC"/>
    <s v="Location 1"/>
    <s v="Customer 1"/>
    <n v="10560"/>
    <n v="0"/>
    <n v="0"/>
  </r>
  <r>
    <d v="2024-08-26T00:00:00"/>
    <d v="2024-08-26T00:00:00"/>
    <s v="Yes"/>
    <n v="0"/>
    <n v="0"/>
    <x v="2"/>
    <n v="10560"/>
    <d v="2023-04-24T00:00:00"/>
    <s v="G/ZFC"/>
    <s v="Location 1"/>
    <s v="Customer 1"/>
    <n v="10560"/>
    <n v="0"/>
    <n v="0"/>
  </r>
  <r>
    <d v="2024-09-02T00:00:00"/>
    <d v="2024-09-02T00:00:00"/>
    <s v="Yes"/>
    <n v="0"/>
    <n v="0"/>
    <x v="2"/>
    <n v="10560"/>
    <d v="2023-04-24T00:00:00"/>
    <s v="G/ZFC"/>
    <s v="Location 1"/>
    <s v="Customer 1"/>
    <n v="10560"/>
    <n v="0"/>
    <n v="0"/>
  </r>
  <r>
    <d v="2024-09-09T00:00:00"/>
    <d v="2024-09-09T00:00:00"/>
    <s v="Yes"/>
    <n v="0"/>
    <n v="0"/>
    <x v="2"/>
    <n v="15840"/>
    <d v="2023-04-24T00:00:00"/>
    <s v="G/ZFC"/>
    <s v="Location 1"/>
    <s v="Customer 1"/>
    <n v="15840"/>
    <n v="0"/>
    <n v="0"/>
  </r>
  <r>
    <d v="2024-09-16T00:00:00"/>
    <d v="2024-09-16T00:00:00"/>
    <s v="Yes"/>
    <n v="0"/>
    <n v="0"/>
    <x v="2"/>
    <n v="10560"/>
    <d v="2023-04-24T00:00:00"/>
    <s v="G/ZFC"/>
    <s v="Location 1"/>
    <s v="Customer 1"/>
    <n v="10560"/>
    <n v="0"/>
    <n v="0"/>
  </r>
  <r>
    <d v="2024-09-23T00:00:00"/>
    <d v="2024-09-23T00:00:00"/>
    <s v="Yes"/>
    <n v="0"/>
    <n v="0"/>
    <x v="2"/>
    <n v="10560"/>
    <d v="2023-04-24T00:00:00"/>
    <s v="G/ZFC"/>
    <s v="Location 1"/>
    <s v="Customer 1"/>
    <n v="10560"/>
    <n v="0"/>
    <n v="0"/>
  </r>
  <r>
    <d v="2024-09-30T00:00:00"/>
    <d v="2024-09-30T00:00:00"/>
    <s v="Yes"/>
    <n v="0"/>
    <n v="0"/>
    <x v="2"/>
    <n v="15840"/>
    <d v="2023-04-24T00:00:00"/>
    <s v="G/ZFC"/>
    <s v="Location 1"/>
    <s v="Customer 1"/>
    <n v="15840"/>
    <n v="0"/>
    <n v="0"/>
  </r>
  <r>
    <d v="2024-10-07T00:00:00"/>
    <d v="2024-10-07T00:00:00"/>
    <s v="Yes"/>
    <n v="0"/>
    <n v="0"/>
    <x v="2"/>
    <n v="10560"/>
    <d v="2023-04-24T00:00:00"/>
    <s v="G/ZFC"/>
    <s v="Location 1"/>
    <s v="Customer 1"/>
    <n v="10560"/>
    <n v="0"/>
    <n v="0"/>
  </r>
  <r>
    <d v="2024-10-14T00:00:00"/>
    <d v="2024-10-14T00:00:00"/>
    <s v="Yes"/>
    <n v="0"/>
    <n v="0"/>
    <x v="2"/>
    <n v="10560"/>
    <d v="2023-04-24T00:00:00"/>
    <s v="G/ZFC"/>
    <s v="Location 1"/>
    <s v="Customer 1"/>
    <n v="10560"/>
    <n v="0"/>
    <n v="0"/>
  </r>
  <r>
    <d v="2024-10-21T00:00:00"/>
    <d v="2024-10-21T00:00:00"/>
    <s v="Yes"/>
    <n v="0"/>
    <n v="0"/>
    <x v="2"/>
    <n v="26400"/>
    <d v="2023-04-24T00:00:00"/>
    <s v="G/ZFC"/>
    <s v="Location 1"/>
    <s v="Customer 1"/>
    <n v="26400"/>
    <n v="0"/>
    <n v="0"/>
  </r>
  <r>
    <d v="2024-11-04T00:00:00"/>
    <d v="2024-11-04T00:00:00"/>
    <s v="Yes"/>
    <n v="0"/>
    <n v="0"/>
    <x v="2"/>
    <n v="10560"/>
    <d v="2023-04-24T00:00:00"/>
    <s v="G/ZFC"/>
    <s v="Location 1"/>
    <s v="Customer 1"/>
    <n v="10560"/>
    <n v="0"/>
    <n v="0"/>
  </r>
  <r>
    <d v="2024-11-11T00:00:00"/>
    <d v="2024-11-11T00:00:00"/>
    <s v="Yes"/>
    <n v="0"/>
    <n v="0"/>
    <x v="2"/>
    <n v="5280"/>
    <d v="2023-04-24T00:00:00"/>
    <s v="G/ZFC"/>
    <s v="Location 1"/>
    <s v="Customer 1"/>
    <n v="5280"/>
    <n v="0"/>
    <n v="0"/>
  </r>
  <r>
    <d v="2024-11-18T00:00:00"/>
    <d v="2024-11-18T00:00:00"/>
    <s v="Yes"/>
    <n v="0"/>
    <n v="0"/>
    <x v="2"/>
    <n v="10560"/>
    <d v="2023-04-24T00:00:00"/>
    <s v="G/ZFC"/>
    <s v="Location 1"/>
    <s v="Customer 1"/>
    <n v="10560"/>
    <n v="0"/>
    <n v="0"/>
  </r>
  <r>
    <d v="2024-11-25T00:00:00"/>
    <d v="2024-11-25T00:00:00"/>
    <s v="Yes"/>
    <n v="0"/>
    <n v="0"/>
    <x v="2"/>
    <n v="10560"/>
    <d v="2023-04-24T00:00:00"/>
    <s v="G/ZFC"/>
    <s v="Location 1"/>
    <s v="Customer 1"/>
    <n v="10560"/>
    <n v="0"/>
    <n v="0"/>
  </r>
  <r>
    <d v="2024-12-02T00:00:00"/>
    <d v="2024-12-02T00:00:00"/>
    <s v="Yes"/>
    <n v="0"/>
    <n v="0"/>
    <x v="2"/>
    <n v="15840"/>
    <d v="2023-04-24T00:00:00"/>
    <s v="G/ZFC"/>
    <s v="Location 1"/>
    <s v="Customer 1"/>
    <n v="15840"/>
    <n v="0"/>
    <n v="0"/>
  </r>
  <r>
    <d v="2024-12-09T00:00:00"/>
    <d v="2024-12-09T00:00:00"/>
    <s v="Yes"/>
    <n v="0"/>
    <n v="0"/>
    <x v="2"/>
    <n v="15840"/>
    <d v="2023-04-24T00:00:00"/>
    <s v="G/ZFC"/>
    <s v="Location 1"/>
    <s v="Customer 1"/>
    <n v="15840"/>
    <n v="0"/>
    <n v="0"/>
  </r>
  <r>
    <d v="2024-12-16T00:00:00"/>
    <d v="2024-12-16T00:00:00"/>
    <s v="Yes"/>
    <n v="0"/>
    <n v="0"/>
    <x v="2"/>
    <n v="21120"/>
    <d v="2023-04-24T00:00:00"/>
    <s v="G/ZFC"/>
    <s v="Location 1"/>
    <s v="Customer 1"/>
    <n v="21120"/>
    <n v="0"/>
    <n v="0"/>
  </r>
  <r>
    <d v="2024-12-30T00:00:00"/>
    <d v="2024-12-30T00:00:00"/>
    <s v="Yes"/>
    <n v="0"/>
    <n v="0"/>
    <x v="2"/>
    <n v="10560"/>
    <d v="2023-07-12T00:00:00"/>
    <s v="G/ZFC"/>
    <s v="Location 1"/>
    <s v="Customer 1"/>
    <n v="10560"/>
    <n v="0"/>
    <n v="0"/>
  </r>
  <r>
    <d v="2025-01-06T00:00:00"/>
    <d v="2025-01-06T00:00:00"/>
    <s v="Yes"/>
    <n v="0"/>
    <n v="0"/>
    <x v="2"/>
    <n v="10560"/>
    <d v="2023-07-12T00:00:00"/>
    <s v="G/ZFC"/>
    <s v="Location 1"/>
    <s v="Customer 1"/>
    <n v="10560"/>
    <n v="0"/>
    <n v="0"/>
  </r>
  <r>
    <d v="2025-01-13T00:00:00"/>
    <d v="2025-01-13T00:00:00"/>
    <s v="Yes"/>
    <n v="0"/>
    <n v="0"/>
    <x v="2"/>
    <n v="15840"/>
    <d v="2023-07-12T00:00:00"/>
    <s v="G/ZFC"/>
    <s v="Location 1"/>
    <s v="Customer 1"/>
    <n v="15840"/>
    <n v="0"/>
    <n v="0"/>
  </r>
  <r>
    <d v="2025-01-20T00:00:00"/>
    <d v="2025-01-20T00:00:00"/>
    <s v="Yes"/>
    <n v="0"/>
    <n v="0"/>
    <x v="2"/>
    <n v="10560"/>
    <d v="2023-07-12T00:00:00"/>
    <s v="G/ZFC"/>
    <s v="Location 1"/>
    <s v="Customer 1"/>
    <n v="10560"/>
    <n v="0"/>
    <n v="0"/>
  </r>
  <r>
    <d v="2025-01-27T00:00:00"/>
    <d v="2025-01-27T00:00:00"/>
    <s v="Yes"/>
    <n v="0"/>
    <n v="0"/>
    <x v="2"/>
    <n v="10560"/>
    <d v="2023-07-12T00:00:00"/>
    <s v="G/ZFC"/>
    <s v="Location 1"/>
    <s v="Customer 1"/>
    <n v="10560"/>
    <n v="0"/>
    <n v="0"/>
  </r>
  <r>
    <d v="2025-02-03T00:00:00"/>
    <d v="2025-02-03T00:00:00"/>
    <s v="Yes"/>
    <n v="0"/>
    <n v="0"/>
    <x v="2"/>
    <n v="10560"/>
    <d v="2023-07-12T00:00:00"/>
    <s v="G/ZFC"/>
    <s v="Location 1"/>
    <s v="Customer 1"/>
    <n v="10560"/>
    <n v="0"/>
    <n v="0"/>
  </r>
  <r>
    <d v="2025-02-10T00:00:00"/>
    <d v="2025-02-10T00:00:00"/>
    <s v="Yes"/>
    <n v="0"/>
    <n v="0"/>
    <x v="2"/>
    <n v="10560"/>
    <d v="2023-07-12T00:00:00"/>
    <s v="G/ZFC"/>
    <s v="Location 1"/>
    <s v="Customer 1"/>
    <n v="10560"/>
    <n v="0"/>
    <n v="0"/>
  </r>
  <r>
    <d v="2025-02-17T00:00:00"/>
    <d v="2025-02-17T00:00:00"/>
    <s v="Yes"/>
    <n v="0"/>
    <n v="0"/>
    <x v="2"/>
    <n v="10560"/>
    <d v="2023-07-12T00:00:00"/>
    <s v="G/ZFC"/>
    <s v="Location 1"/>
    <s v="Customer 1"/>
    <n v="10560"/>
    <n v="0"/>
    <n v="0"/>
  </r>
  <r>
    <d v="2025-02-24T00:00:00"/>
    <d v="2025-02-24T00:00:00"/>
    <s v="Yes"/>
    <n v="0"/>
    <n v="0"/>
    <x v="2"/>
    <n v="108240"/>
    <d v="2023-07-12T00:00:00"/>
    <s v="G/ZFC"/>
    <s v="Location 1"/>
    <s v="Customer 1"/>
    <n v="108240"/>
    <n v="0"/>
    <n v="0"/>
  </r>
  <r>
    <d v="2024-02-26T00:00:00"/>
    <d v="2024-02-26T00:00:00"/>
    <s v="Yes"/>
    <n v="0"/>
    <n v="0"/>
    <x v="3"/>
    <n v="15840"/>
    <d v="2023-04-24T00:00:00"/>
    <s v="G/ZFC"/>
    <s v="Location 1"/>
    <s v="Customer 1"/>
    <n v="15840"/>
    <n v="0"/>
    <n v="0"/>
  </r>
  <r>
    <d v="2024-03-04T00:00:00"/>
    <d v="2024-03-04T00:00:00"/>
    <s v="Yes"/>
    <n v="0"/>
    <n v="0"/>
    <x v="3"/>
    <n v="26400"/>
    <d v="2023-04-24T00:00:00"/>
    <s v="G/ZFC"/>
    <s v="Location 1"/>
    <s v="Customer 1"/>
    <n v="26400"/>
    <n v="0"/>
    <n v="0"/>
  </r>
  <r>
    <d v="2024-03-11T00:00:00"/>
    <d v="2024-03-11T00:00:00"/>
    <s v="Yes"/>
    <n v="0"/>
    <n v="0"/>
    <x v="3"/>
    <n v="26400"/>
    <d v="2023-04-24T00:00:00"/>
    <s v="G/ZFC"/>
    <s v="Location 1"/>
    <s v="Customer 1"/>
    <n v="26400"/>
    <n v="0"/>
    <n v="0"/>
  </r>
  <r>
    <d v="2024-03-18T00:00:00"/>
    <d v="2024-03-18T00:00:00"/>
    <s v="Yes"/>
    <n v="0"/>
    <n v="0"/>
    <x v="3"/>
    <n v="26400"/>
    <d v="2023-04-24T00:00:00"/>
    <s v="G/ZFC"/>
    <s v="Location 1"/>
    <s v="Customer 1"/>
    <n v="26400"/>
    <n v="0"/>
    <n v="0"/>
  </r>
  <r>
    <d v="2024-03-25T00:00:00"/>
    <d v="2024-03-25T00:00:00"/>
    <s v="Yes"/>
    <n v="0"/>
    <n v="0"/>
    <x v="3"/>
    <n v="26400"/>
    <d v="2023-04-24T00:00:00"/>
    <s v="G/ZFC"/>
    <s v="Location 1"/>
    <s v="Customer 1"/>
    <n v="26400"/>
    <n v="0"/>
    <n v="0"/>
  </r>
  <r>
    <d v="2024-04-01T00:00:00"/>
    <d v="2024-04-01T00:00:00"/>
    <s v="Yes"/>
    <n v="0"/>
    <n v="0"/>
    <x v="3"/>
    <n v="26400"/>
    <d v="2023-04-24T00:00:00"/>
    <s v="G/ZFC"/>
    <s v="Location 1"/>
    <s v="Customer 1"/>
    <n v="26400"/>
    <n v="0"/>
    <n v="0"/>
  </r>
  <r>
    <d v="2024-04-08T00:00:00"/>
    <d v="2024-04-08T00:00:00"/>
    <s v="Yes"/>
    <n v="0"/>
    <n v="0"/>
    <x v="3"/>
    <n v="26400"/>
    <d v="2023-04-24T00:00:00"/>
    <s v="G/ZFC"/>
    <s v="Location 1"/>
    <s v="Customer 1"/>
    <n v="26400"/>
    <n v="0"/>
    <n v="0"/>
  </r>
  <r>
    <d v="2024-04-15T00:00:00"/>
    <d v="2024-04-15T00:00:00"/>
    <s v="Yes"/>
    <n v="0"/>
    <n v="0"/>
    <x v="3"/>
    <n v="26400"/>
    <d v="2023-04-24T00:00:00"/>
    <s v="G/ZFC"/>
    <s v="Location 1"/>
    <s v="Customer 1"/>
    <n v="26400"/>
    <n v="0"/>
    <n v="0"/>
  </r>
  <r>
    <d v="2024-04-22T00:00:00"/>
    <d v="2024-04-22T00:00:00"/>
    <s v="Yes"/>
    <n v="0"/>
    <n v="0"/>
    <x v="3"/>
    <n v="26400"/>
    <d v="2023-04-24T00:00:00"/>
    <s v="G/ZFC"/>
    <s v="Location 1"/>
    <s v="Customer 1"/>
    <n v="26400"/>
    <n v="0"/>
    <n v="0"/>
  </r>
  <r>
    <d v="2024-04-29T00:00:00"/>
    <d v="2024-04-29T00:00:00"/>
    <s v="Yes"/>
    <n v="0"/>
    <n v="0"/>
    <x v="3"/>
    <n v="26400"/>
    <d v="2023-04-24T00:00:00"/>
    <s v="G/ZFC"/>
    <s v="Location 1"/>
    <s v="Customer 1"/>
    <n v="26400"/>
    <n v="0"/>
    <n v="0"/>
  </r>
  <r>
    <d v="2024-05-06T00:00:00"/>
    <d v="2024-05-06T00:00:00"/>
    <s v="Yes"/>
    <n v="0"/>
    <n v="0"/>
    <x v="3"/>
    <n v="21120"/>
    <d v="2023-04-24T00:00:00"/>
    <s v="G/ZFC"/>
    <s v="Location 1"/>
    <s v="Customer 1"/>
    <n v="21120"/>
    <n v="0"/>
    <n v="0"/>
  </r>
  <r>
    <d v="2024-05-13T00:00:00"/>
    <d v="2024-05-13T00:00:00"/>
    <s v="Yes"/>
    <n v="0"/>
    <n v="0"/>
    <x v="3"/>
    <n v="26400"/>
    <d v="2023-04-24T00:00:00"/>
    <s v="G/ZFC"/>
    <s v="Location 1"/>
    <s v="Customer 1"/>
    <n v="26400"/>
    <n v="0"/>
    <n v="0"/>
  </r>
  <r>
    <d v="2024-05-20T00:00:00"/>
    <d v="2024-05-20T00:00:00"/>
    <s v="Yes"/>
    <n v="0"/>
    <n v="0"/>
    <x v="3"/>
    <n v="21120"/>
    <d v="2023-04-24T00:00:00"/>
    <s v="G/ZFC"/>
    <s v="Location 1"/>
    <s v="Customer 1"/>
    <n v="21120"/>
    <n v="0"/>
    <n v="0"/>
  </r>
  <r>
    <d v="2024-05-27T00:00:00"/>
    <d v="2024-05-27T00:00:00"/>
    <s v="Yes"/>
    <n v="0"/>
    <n v="0"/>
    <x v="3"/>
    <n v="21120"/>
    <d v="2023-04-24T00:00:00"/>
    <s v="G/ZFC"/>
    <s v="Location 1"/>
    <s v="Customer 1"/>
    <n v="21120"/>
    <n v="0"/>
    <n v="0"/>
  </r>
  <r>
    <d v="2024-06-03T00:00:00"/>
    <d v="2024-06-03T00:00:00"/>
    <s v="Yes"/>
    <n v="0"/>
    <n v="0"/>
    <x v="3"/>
    <n v="21120"/>
    <d v="2023-04-24T00:00:00"/>
    <s v="G/ZFC"/>
    <s v="Location 1"/>
    <s v="Customer 1"/>
    <n v="21120"/>
    <n v="0"/>
    <n v="0"/>
  </r>
  <r>
    <d v="2024-06-10T00:00:00"/>
    <d v="2024-06-10T00:00:00"/>
    <s v="Yes"/>
    <n v="0"/>
    <n v="0"/>
    <x v="3"/>
    <n v="21120"/>
    <d v="2023-04-24T00:00:00"/>
    <s v="G/ZFC"/>
    <s v="Location 1"/>
    <s v="Customer 1"/>
    <n v="21120"/>
    <n v="0"/>
    <n v="0"/>
  </r>
  <r>
    <d v="2024-06-24T00:00:00"/>
    <d v="2024-06-24T00:00:00"/>
    <s v="Yes"/>
    <n v="0"/>
    <n v="0"/>
    <x v="3"/>
    <n v="10560"/>
    <d v="2023-04-24T00:00:00"/>
    <s v="G/ZFC"/>
    <s v="Location 1"/>
    <s v="Customer 1"/>
    <n v="10560"/>
    <n v="0"/>
    <n v="0"/>
  </r>
  <r>
    <d v="2024-07-01T00:00:00"/>
    <d v="2024-07-01T00:00:00"/>
    <s v="Yes"/>
    <n v="0"/>
    <n v="0"/>
    <x v="3"/>
    <n v="10560"/>
    <d v="2023-04-24T00:00:00"/>
    <s v="G/ZFC"/>
    <s v="Location 1"/>
    <s v="Customer 1"/>
    <n v="10560"/>
    <n v="0"/>
    <n v="0"/>
  </r>
  <r>
    <d v="2024-07-08T00:00:00"/>
    <d v="2024-07-08T00:00:00"/>
    <s v="Yes"/>
    <n v="0"/>
    <n v="0"/>
    <x v="3"/>
    <n v="15840"/>
    <d v="2023-04-24T00:00:00"/>
    <s v="G/ZFC"/>
    <s v="Location 1"/>
    <s v="Customer 1"/>
    <n v="15840"/>
    <n v="0"/>
    <n v="0"/>
  </r>
  <r>
    <d v="2024-07-15T00:00:00"/>
    <d v="2024-07-15T00:00:00"/>
    <s v="Yes"/>
    <n v="0"/>
    <n v="0"/>
    <x v="3"/>
    <n v="10560"/>
    <d v="2023-04-24T00:00:00"/>
    <s v="G/ZFC"/>
    <s v="Location 1"/>
    <s v="Customer 1"/>
    <n v="10560"/>
    <n v="0"/>
    <n v="0"/>
  </r>
  <r>
    <d v="2024-07-22T00:00:00"/>
    <d v="2024-07-22T00:00:00"/>
    <s v="Yes"/>
    <n v="0"/>
    <n v="0"/>
    <x v="3"/>
    <n v="10560"/>
    <d v="2023-04-24T00:00:00"/>
    <s v="G/ZFC"/>
    <s v="Location 1"/>
    <s v="Customer 1"/>
    <n v="10560"/>
    <n v="0"/>
    <n v="0"/>
  </r>
  <r>
    <d v="2024-07-29T00:00:00"/>
    <d v="2024-07-29T00:00:00"/>
    <s v="Yes"/>
    <n v="0"/>
    <n v="0"/>
    <x v="3"/>
    <n v="10560"/>
    <d v="2023-04-24T00:00:00"/>
    <s v="G/ZFC"/>
    <s v="Location 1"/>
    <s v="Customer 1"/>
    <n v="10560"/>
    <n v="0"/>
    <n v="0"/>
  </r>
  <r>
    <d v="2024-08-05T00:00:00"/>
    <d v="2024-08-05T00:00:00"/>
    <s v="Yes"/>
    <n v="0"/>
    <n v="0"/>
    <x v="3"/>
    <n v="10560"/>
    <d v="2023-04-24T00:00:00"/>
    <s v="G/ZFC"/>
    <s v="Location 1"/>
    <s v="Customer 1"/>
    <n v="10560"/>
    <n v="0"/>
    <n v="0"/>
  </r>
  <r>
    <d v="2024-08-12T00:00:00"/>
    <d v="2024-08-12T00:00:00"/>
    <s v="Yes"/>
    <n v="0"/>
    <n v="0"/>
    <x v="3"/>
    <n v="10560"/>
    <d v="2023-04-24T00:00:00"/>
    <s v="G/ZFC"/>
    <s v="Location 1"/>
    <s v="Customer 1"/>
    <n v="10560"/>
    <n v="0"/>
    <n v="0"/>
  </r>
  <r>
    <d v="2024-08-19T00:00:00"/>
    <d v="2024-08-19T00:00:00"/>
    <s v="Yes"/>
    <n v="0"/>
    <n v="0"/>
    <x v="3"/>
    <n v="10560"/>
    <d v="2023-04-24T00:00:00"/>
    <s v="G/ZFC"/>
    <s v="Location 1"/>
    <s v="Customer 1"/>
    <n v="10560"/>
    <n v="0"/>
    <n v="0"/>
  </r>
  <r>
    <d v="2024-08-26T00:00:00"/>
    <d v="2024-08-26T00:00:00"/>
    <s v="Yes"/>
    <n v="0"/>
    <n v="0"/>
    <x v="3"/>
    <n v="10560"/>
    <d v="2023-04-24T00:00:00"/>
    <s v="G/ZFC"/>
    <s v="Location 1"/>
    <s v="Customer 1"/>
    <n v="10560"/>
    <n v="0"/>
    <n v="0"/>
  </r>
  <r>
    <d v="2024-09-02T00:00:00"/>
    <d v="2024-09-02T00:00:00"/>
    <s v="Yes"/>
    <n v="0"/>
    <n v="0"/>
    <x v="3"/>
    <n v="10560"/>
    <d v="2023-04-24T00:00:00"/>
    <s v="G/ZFC"/>
    <s v="Location 1"/>
    <s v="Customer 1"/>
    <n v="10560"/>
    <n v="0"/>
    <n v="0"/>
  </r>
  <r>
    <d v="2024-09-09T00:00:00"/>
    <d v="2024-09-09T00:00:00"/>
    <s v="Yes"/>
    <n v="0"/>
    <n v="0"/>
    <x v="3"/>
    <n v="15840"/>
    <d v="2023-04-24T00:00:00"/>
    <s v="G/ZFC"/>
    <s v="Location 1"/>
    <s v="Customer 1"/>
    <n v="15840"/>
    <n v="0"/>
    <n v="0"/>
  </r>
  <r>
    <d v="2024-09-16T00:00:00"/>
    <d v="2024-09-16T00:00:00"/>
    <s v="Yes"/>
    <n v="0"/>
    <n v="0"/>
    <x v="3"/>
    <n v="10560"/>
    <d v="2023-04-24T00:00:00"/>
    <s v="G/ZFC"/>
    <s v="Location 1"/>
    <s v="Customer 1"/>
    <n v="10560"/>
    <n v="0"/>
    <n v="0"/>
  </r>
  <r>
    <d v="2024-09-23T00:00:00"/>
    <d v="2024-09-23T00:00:00"/>
    <s v="Yes"/>
    <n v="0"/>
    <n v="0"/>
    <x v="3"/>
    <n v="10560"/>
    <d v="2023-04-24T00:00:00"/>
    <s v="G/ZFC"/>
    <s v="Location 1"/>
    <s v="Customer 1"/>
    <n v="10560"/>
    <n v="0"/>
    <n v="0"/>
  </r>
  <r>
    <d v="2024-09-30T00:00:00"/>
    <d v="2024-09-30T00:00:00"/>
    <s v="Yes"/>
    <n v="0"/>
    <n v="0"/>
    <x v="3"/>
    <n v="15840"/>
    <d v="2023-04-24T00:00:00"/>
    <s v="G/ZFC"/>
    <s v="Location 1"/>
    <s v="Customer 1"/>
    <n v="15840"/>
    <n v="0"/>
    <n v="0"/>
  </r>
  <r>
    <d v="2024-10-07T00:00:00"/>
    <d v="2024-10-07T00:00:00"/>
    <s v="Yes"/>
    <n v="0"/>
    <n v="0"/>
    <x v="3"/>
    <n v="10560"/>
    <d v="2023-04-24T00:00:00"/>
    <s v="G/ZFC"/>
    <s v="Location 1"/>
    <s v="Customer 1"/>
    <n v="10560"/>
    <n v="0"/>
    <n v="0"/>
  </r>
  <r>
    <d v="2024-10-14T00:00:00"/>
    <d v="2024-10-14T00:00:00"/>
    <s v="Yes"/>
    <n v="0"/>
    <n v="0"/>
    <x v="3"/>
    <n v="10560"/>
    <d v="2023-04-24T00:00:00"/>
    <s v="G/ZFC"/>
    <s v="Location 1"/>
    <s v="Customer 1"/>
    <n v="10560"/>
    <n v="0"/>
    <n v="0"/>
  </r>
  <r>
    <d v="2024-10-21T00:00:00"/>
    <d v="2024-10-21T00:00:00"/>
    <s v="Yes"/>
    <n v="0"/>
    <n v="0"/>
    <x v="3"/>
    <n v="26400"/>
    <d v="2023-04-24T00:00:00"/>
    <s v="G/ZFC"/>
    <s v="Location 1"/>
    <s v="Customer 1"/>
    <n v="26400"/>
    <n v="0"/>
    <n v="0"/>
  </r>
  <r>
    <d v="2024-11-04T00:00:00"/>
    <d v="2024-11-04T00:00:00"/>
    <s v="Yes"/>
    <n v="0"/>
    <n v="0"/>
    <x v="3"/>
    <n v="10560"/>
    <d v="2023-04-24T00:00:00"/>
    <s v="G/ZFC"/>
    <s v="Location 1"/>
    <s v="Customer 1"/>
    <n v="10560"/>
    <n v="0"/>
    <n v="0"/>
  </r>
  <r>
    <d v="2024-11-11T00:00:00"/>
    <d v="2024-11-11T00:00:00"/>
    <s v="Yes"/>
    <n v="0"/>
    <n v="0"/>
    <x v="3"/>
    <n v="5280"/>
    <d v="2023-04-24T00:00:00"/>
    <s v="G/ZFC"/>
    <s v="Location 1"/>
    <s v="Customer 1"/>
    <n v="5280"/>
    <n v="0"/>
    <n v="0"/>
  </r>
  <r>
    <d v="2024-11-18T00:00:00"/>
    <d v="2024-11-18T00:00:00"/>
    <s v="Yes"/>
    <n v="0"/>
    <n v="0"/>
    <x v="3"/>
    <n v="10560"/>
    <d v="2023-04-24T00:00:00"/>
    <s v="G/ZFC"/>
    <s v="Location 1"/>
    <s v="Customer 1"/>
    <n v="10560"/>
    <n v="0"/>
    <n v="0"/>
  </r>
  <r>
    <d v="2024-11-25T00:00:00"/>
    <d v="2024-11-25T00:00:00"/>
    <s v="Yes"/>
    <n v="0"/>
    <n v="0"/>
    <x v="3"/>
    <n v="10560"/>
    <d v="2023-04-24T00:00:00"/>
    <s v="G/ZFC"/>
    <s v="Location 1"/>
    <s v="Customer 1"/>
    <n v="10560"/>
    <n v="0"/>
    <n v="0"/>
  </r>
  <r>
    <d v="2024-12-02T00:00:00"/>
    <d v="2024-12-02T00:00:00"/>
    <s v="Yes"/>
    <n v="0"/>
    <n v="0"/>
    <x v="3"/>
    <n v="15840"/>
    <d v="2023-04-24T00:00:00"/>
    <s v="G/ZFC"/>
    <s v="Location 1"/>
    <s v="Customer 1"/>
    <n v="15840"/>
    <n v="0"/>
    <n v="0"/>
  </r>
  <r>
    <d v="2024-12-09T00:00:00"/>
    <d v="2024-12-09T00:00:00"/>
    <s v="Yes"/>
    <n v="0"/>
    <n v="0"/>
    <x v="3"/>
    <n v="15840"/>
    <d v="2023-04-24T00:00:00"/>
    <s v="G/ZFC"/>
    <s v="Location 1"/>
    <s v="Customer 1"/>
    <n v="15840"/>
    <n v="0"/>
    <n v="0"/>
  </r>
  <r>
    <d v="2024-12-16T00:00:00"/>
    <d v="2024-12-16T00:00:00"/>
    <s v="Yes"/>
    <n v="0"/>
    <n v="0"/>
    <x v="3"/>
    <n v="21120"/>
    <d v="2023-04-24T00:00:00"/>
    <s v="G/ZFC"/>
    <s v="Location 1"/>
    <s v="Customer 1"/>
    <n v="21120"/>
    <n v="0"/>
    <n v="0"/>
  </r>
  <r>
    <d v="2024-01-01T00:00:00"/>
    <d v="2024-01-01T00:00:00"/>
    <s v="Yes"/>
    <n v="0"/>
    <n v="0"/>
    <x v="3"/>
    <n v="21120"/>
    <d v="2023-03-20T00:00:00"/>
    <s v="G/ZFC"/>
    <s v="Location 1"/>
    <s v="Customer 1"/>
    <n v="21120"/>
    <n v="0"/>
    <n v="0"/>
  </r>
  <r>
    <d v="2024-01-08T00:00:00"/>
    <d v="2024-01-08T00:00:00"/>
    <s v="Yes"/>
    <n v="0"/>
    <n v="0"/>
    <x v="3"/>
    <n v="18480"/>
    <d v="2023-03-20T00:00:00"/>
    <s v="G/ZFC"/>
    <s v="Location 1"/>
    <s v="Customer 1"/>
    <n v="18480"/>
    <n v="0"/>
    <n v="0"/>
  </r>
  <r>
    <d v="2024-01-15T00:00:00"/>
    <d v="2024-01-15T00:00:00"/>
    <s v="Yes"/>
    <n v="0"/>
    <n v="0"/>
    <x v="3"/>
    <n v="21120"/>
    <d v="2023-03-20T00:00:00"/>
    <s v="G/ZFC"/>
    <s v="Location 1"/>
    <s v="Customer 1"/>
    <n v="21120"/>
    <n v="0"/>
    <n v="0"/>
  </r>
  <r>
    <d v="2024-01-22T00:00:00"/>
    <d v="2024-01-22T00:00:00"/>
    <s v="Yes"/>
    <n v="0"/>
    <n v="0"/>
    <x v="3"/>
    <n v="21120"/>
    <d v="2023-03-20T00:00:00"/>
    <s v="G/ZFC"/>
    <s v="Location 1"/>
    <s v="Customer 1"/>
    <n v="21120"/>
    <n v="0"/>
    <n v="0"/>
  </r>
  <r>
    <d v="2024-01-29T00:00:00"/>
    <d v="2024-01-29T00:00:00"/>
    <s v="Yes"/>
    <n v="0"/>
    <n v="0"/>
    <x v="3"/>
    <n v="15840"/>
    <d v="2023-03-20T00:00:00"/>
    <s v="G/ZFC"/>
    <s v="Location 1"/>
    <s v="Customer 1"/>
    <n v="15840"/>
    <n v="0"/>
    <n v="0"/>
  </r>
  <r>
    <d v="2024-02-12T00:00:00"/>
    <d v="2024-02-12T00:00:00"/>
    <s v="Yes"/>
    <n v="0"/>
    <n v="0"/>
    <x v="3"/>
    <n v="21120"/>
    <d v="2023-03-20T00:00:00"/>
    <s v="G/ZFC"/>
    <s v="Location 1"/>
    <s v="Customer 1"/>
    <n v="21120"/>
    <n v="0"/>
    <n v="0"/>
  </r>
  <r>
    <d v="2024-02-19T00:00:00"/>
    <d v="2024-02-19T00:00:00"/>
    <s v="Yes"/>
    <n v="0"/>
    <n v="0"/>
    <x v="3"/>
    <n v="15840"/>
    <d v="2023-03-20T00:00:00"/>
    <s v="G/ZFC"/>
    <s v="Location 1"/>
    <s v="Customer 1"/>
    <n v="15840"/>
    <n v="0"/>
    <n v="0"/>
  </r>
  <r>
    <d v="2024-12-30T00:00:00"/>
    <d v="2024-12-30T00:00:00"/>
    <s v="Yes"/>
    <n v="0"/>
    <n v="0"/>
    <x v="3"/>
    <n v="10560"/>
    <d v="2023-07-12T00:00:00"/>
    <s v="G/ZFC"/>
    <s v="Location 1"/>
    <s v="Customer 1"/>
    <n v="10560"/>
    <n v="0"/>
    <n v="0"/>
  </r>
  <r>
    <d v="2025-01-06T00:00:00"/>
    <d v="2025-01-06T00:00:00"/>
    <s v="Yes"/>
    <n v="0"/>
    <n v="0"/>
    <x v="3"/>
    <n v="10560"/>
    <d v="2023-07-12T00:00:00"/>
    <s v="G/ZFC"/>
    <s v="Location 1"/>
    <s v="Customer 1"/>
    <n v="10560"/>
    <n v="0"/>
    <n v="0"/>
  </r>
  <r>
    <d v="2025-01-13T00:00:00"/>
    <d v="2025-01-13T00:00:00"/>
    <s v="Yes"/>
    <n v="0"/>
    <n v="0"/>
    <x v="3"/>
    <n v="15840"/>
    <d v="2023-07-12T00:00:00"/>
    <s v="G/ZFC"/>
    <s v="Location 1"/>
    <s v="Customer 1"/>
    <n v="15840"/>
    <n v="0"/>
    <n v="0"/>
  </r>
  <r>
    <d v="2025-01-20T00:00:00"/>
    <d v="2025-01-20T00:00:00"/>
    <s v="Yes"/>
    <n v="0"/>
    <n v="0"/>
    <x v="3"/>
    <n v="10560"/>
    <d v="2023-07-12T00:00:00"/>
    <s v="G/ZFC"/>
    <s v="Location 1"/>
    <s v="Customer 1"/>
    <n v="10560"/>
    <n v="0"/>
    <n v="0"/>
  </r>
  <r>
    <d v="2025-01-27T00:00:00"/>
    <d v="2025-01-27T00:00:00"/>
    <s v="Yes"/>
    <n v="0"/>
    <n v="0"/>
    <x v="3"/>
    <n v="10560"/>
    <d v="2023-07-12T00:00:00"/>
    <s v="G/ZFC"/>
    <s v="Location 1"/>
    <s v="Customer 1"/>
    <n v="10560"/>
    <n v="0"/>
    <n v="0"/>
  </r>
  <r>
    <d v="2025-02-03T00:00:00"/>
    <d v="2025-02-03T00:00:00"/>
    <s v="Yes"/>
    <n v="0"/>
    <n v="0"/>
    <x v="3"/>
    <n v="10560"/>
    <d v="2023-07-12T00:00:00"/>
    <s v="G/ZFC"/>
    <s v="Location 1"/>
    <s v="Customer 1"/>
    <n v="10560"/>
    <n v="0"/>
    <n v="0"/>
  </r>
  <r>
    <d v="2025-02-10T00:00:00"/>
    <d v="2025-02-10T00:00:00"/>
    <s v="Yes"/>
    <n v="0"/>
    <n v="0"/>
    <x v="3"/>
    <n v="10560"/>
    <d v="2023-07-12T00:00:00"/>
    <s v="G/ZFC"/>
    <s v="Location 1"/>
    <s v="Customer 1"/>
    <n v="10560"/>
    <n v="0"/>
    <n v="0"/>
  </r>
  <r>
    <d v="2025-02-17T00:00:00"/>
    <d v="2025-02-17T00:00:00"/>
    <s v="Yes"/>
    <n v="0"/>
    <n v="0"/>
    <x v="3"/>
    <n v="10560"/>
    <d v="2023-07-12T00:00:00"/>
    <s v="G/ZFC"/>
    <s v="Location 1"/>
    <s v="Customer 1"/>
    <n v="10560"/>
    <n v="0"/>
    <n v="0"/>
  </r>
  <r>
    <d v="2025-02-24T00:00:00"/>
    <d v="2025-02-24T00:00:00"/>
    <s v="Yes"/>
    <n v="0"/>
    <n v="0"/>
    <x v="3"/>
    <n v="108240"/>
    <d v="2023-07-12T00:00:00"/>
    <s v="G/ZFC"/>
    <s v="Location 1"/>
    <s v="Customer 1"/>
    <n v="108240"/>
    <n v="0"/>
    <n v="0"/>
  </r>
  <r>
    <d v="2023-09-25T00:00:00"/>
    <d v="2023-09-25T00:00:00"/>
    <s v="Yes"/>
    <n v="0"/>
    <n v="0"/>
    <x v="1"/>
    <n v="15900"/>
    <d v="2023-03-20T00:00:00"/>
    <s v="G/ZFC"/>
    <s v="Location 1"/>
    <s v="Customer 1"/>
    <n v="15900"/>
    <n v="0"/>
    <n v="0"/>
  </r>
  <r>
    <d v="2023-10-02T00:00:00"/>
    <d v="2023-10-02T00:00:00"/>
    <s v="Yes"/>
    <n v="0"/>
    <n v="0"/>
    <x v="1"/>
    <n v="15900"/>
    <d v="2023-03-20T00:00:00"/>
    <s v="G/ZFC"/>
    <s v="Location 1"/>
    <s v="Customer 1"/>
    <n v="15900"/>
    <n v="0"/>
    <n v="0"/>
  </r>
  <r>
    <d v="2023-10-09T00:00:00"/>
    <d v="2023-10-09T00:00:00"/>
    <s v="Yes"/>
    <n v="0"/>
    <n v="0"/>
    <x v="1"/>
    <n v="10600"/>
    <d v="2023-03-20T00:00:00"/>
    <s v="G/ZFC"/>
    <s v="Location 1"/>
    <s v="Customer 1"/>
    <n v="10600"/>
    <n v="0"/>
    <n v="0"/>
  </r>
  <r>
    <d v="2023-10-16T00:00:00"/>
    <d v="2023-10-16T00:00:00"/>
    <s v="Yes"/>
    <n v="0"/>
    <n v="0"/>
    <x v="1"/>
    <n v="10600"/>
    <d v="2023-03-20T00:00:00"/>
    <s v="G/ZFC"/>
    <s v="Location 1"/>
    <s v="Customer 1"/>
    <n v="10600"/>
    <n v="0"/>
    <n v="0"/>
  </r>
  <r>
    <d v="2023-10-23T00:00:00"/>
    <d v="2023-10-23T00:00:00"/>
    <s v="Yes"/>
    <n v="0"/>
    <n v="0"/>
    <x v="1"/>
    <n v="17927"/>
    <d v="2023-03-20T00:00:00"/>
    <s v="G/ZFC"/>
    <s v="Location 1"/>
    <s v="Customer 1"/>
    <n v="17927"/>
    <n v="0"/>
    <n v="0"/>
  </r>
  <r>
    <d v="2023-10-30T00:00:00"/>
    <d v="2023-10-30T00:00:00"/>
    <s v="Yes"/>
    <n v="0"/>
    <n v="0"/>
    <x v="1"/>
    <n v="15840"/>
    <d v="2023-03-20T00:00:00"/>
    <s v="G/ZFC"/>
    <s v="Location 1"/>
    <s v="Customer 1"/>
    <n v="15840"/>
    <n v="0"/>
    <n v="0"/>
  </r>
  <r>
    <d v="2023-11-06T00:00:00"/>
    <d v="2023-11-06T00:00:00"/>
    <s v="Yes"/>
    <n v="0"/>
    <n v="0"/>
    <x v="1"/>
    <n v="18520"/>
    <d v="2023-03-20T00:00:00"/>
    <s v="G/ZFC"/>
    <s v="Location 1"/>
    <s v="Customer 1"/>
    <n v="18520"/>
    <n v="0"/>
    <n v="0"/>
  </r>
  <r>
    <d v="2023-11-13T00:00:00"/>
    <d v="2023-11-13T00:00:00"/>
    <s v="Yes"/>
    <n v="0"/>
    <n v="0"/>
    <x v="1"/>
    <n v="15840"/>
    <d v="2023-03-20T00:00:00"/>
    <s v="G/ZFC"/>
    <s v="Location 1"/>
    <s v="Customer 1"/>
    <n v="15840"/>
    <n v="0"/>
    <n v="0"/>
  </r>
  <r>
    <d v="2023-11-20T00:00:00"/>
    <d v="2023-11-20T00:00:00"/>
    <s v="Yes"/>
    <n v="0"/>
    <n v="0"/>
    <x v="1"/>
    <n v="6096"/>
    <d v="2023-03-20T00:00:00"/>
    <s v="G/ZFC"/>
    <s v="Location 1"/>
    <s v="Customer 1"/>
    <n v="6096"/>
    <n v="0"/>
    <n v="0"/>
  </r>
  <r>
    <d v="2023-11-27T00:00:00"/>
    <d v="2023-11-27T00:00:00"/>
    <s v="Yes"/>
    <n v="0"/>
    <n v="0"/>
    <x v="1"/>
    <n v="15840"/>
    <d v="2023-03-20T00:00:00"/>
    <s v="G/ZFC"/>
    <s v="Location 1"/>
    <s v="Customer 1"/>
    <n v="15840"/>
    <n v="0"/>
    <n v="0"/>
  </r>
  <r>
    <d v="2023-12-04T00:00:00"/>
    <d v="2023-12-04T00:00:00"/>
    <s v="Yes"/>
    <n v="0"/>
    <n v="0"/>
    <x v="1"/>
    <n v="15840"/>
    <d v="2023-03-20T00:00:00"/>
    <s v="G/ZFC"/>
    <s v="Location 1"/>
    <s v="Customer 1"/>
    <n v="15840"/>
    <n v="0"/>
    <n v="0"/>
  </r>
  <r>
    <d v="2023-12-18T00:00:00"/>
    <d v="2023-12-18T00:00:00"/>
    <s v="Yes"/>
    <n v="0"/>
    <n v="0"/>
    <x v="1"/>
    <n v="15840"/>
    <d v="2023-03-20T00:00:00"/>
    <s v="G/ZFC"/>
    <s v="Location 1"/>
    <s v="Customer 1"/>
    <n v="15840"/>
    <n v="0"/>
    <n v="0"/>
  </r>
  <r>
    <d v="2023-12-25T00:00:00"/>
    <d v="2023-12-25T00:00:00"/>
    <s v="Yes"/>
    <n v="0"/>
    <n v="0"/>
    <x v="1"/>
    <n v="21120"/>
    <d v="2023-03-20T00:00:00"/>
    <s v="G/ZFC"/>
    <s v="Location 1"/>
    <s v="Customer 1"/>
    <n v="21120"/>
    <n v="0"/>
    <n v="0"/>
  </r>
  <r>
    <d v="2023-09-25T00:00:00"/>
    <d v="2023-09-25T00:00:00"/>
    <s v="Yes"/>
    <n v="0"/>
    <n v="0"/>
    <x v="0"/>
    <n v="31800"/>
    <d v="2023-03-20T00:00:00"/>
    <s v="G/ZFC"/>
    <s v="Location 1"/>
    <s v="Customer 1"/>
    <n v="31800"/>
    <n v="0"/>
    <n v="0"/>
  </r>
  <r>
    <d v="2023-10-02T00:00:00"/>
    <d v="2023-10-02T00:00:00"/>
    <s v="Yes"/>
    <n v="0"/>
    <n v="0"/>
    <x v="0"/>
    <n v="31800"/>
    <d v="2023-03-20T00:00:00"/>
    <s v="G/ZFC"/>
    <s v="Location 1"/>
    <s v="Customer 1"/>
    <n v="31800"/>
    <n v="0"/>
    <n v="0"/>
  </r>
  <r>
    <d v="2023-10-09T00:00:00"/>
    <d v="2023-10-09T00:00:00"/>
    <s v="Yes"/>
    <n v="0"/>
    <n v="0"/>
    <x v="0"/>
    <n v="26500"/>
    <d v="2023-03-20T00:00:00"/>
    <s v="G/ZFC"/>
    <s v="Location 1"/>
    <s v="Customer 1"/>
    <n v="26500"/>
    <n v="0"/>
    <n v="0"/>
  </r>
  <r>
    <d v="2023-10-16T00:00:00"/>
    <d v="2023-10-16T00:00:00"/>
    <s v="Yes"/>
    <n v="0"/>
    <n v="0"/>
    <x v="0"/>
    <n v="15900"/>
    <d v="2023-03-20T00:00:00"/>
    <s v="G/ZFC"/>
    <s v="Location 1"/>
    <s v="Customer 1"/>
    <n v="15900"/>
    <n v="0"/>
    <n v="0"/>
  </r>
  <r>
    <d v="2023-10-23T00:00:00"/>
    <d v="2023-10-23T00:00:00"/>
    <s v="Yes"/>
    <n v="0"/>
    <n v="0"/>
    <x v="0"/>
    <n v="33667"/>
    <d v="2023-03-20T00:00:00"/>
    <s v="G/ZFC"/>
    <s v="Location 1"/>
    <s v="Customer 1"/>
    <n v="33667"/>
    <n v="0"/>
    <n v="0"/>
  </r>
  <r>
    <d v="2023-10-30T00:00:00"/>
    <d v="2023-10-30T00:00:00"/>
    <s v="Yes"/>
    <n v="0"/>
    <n v="0"/>
    <x v="0"/>
    <n v="36980"/>
    <d v="2023-03-20T00:00:00"/>
    <s v="G/ZFC"/>
    <s v="Location 1"/>
    <s v="Customer 1"/>
    <n v="36980"/>
    <n v="0"/>
    <n v="0"/>
  </r>
  <r>
    <d v="2023-11-06T00:00:00"/>
    <d v="2023-11-06T00:00:00"/>
    <s v="Yes"/>
    <n v="0"/>
    <n v="0"/>
    <x v="0"/>
    <n v="34360"/>
    <d v="2023-03-20T00:00:00"/>
    <s v="G/ZFC"/>
    <s v="Location 1"/>
    <s v="Customer 1"/>
    <n v="34360"/>
    <n v="0"/>
    <n v="0"/>
  </r>
  <r>
    <d v="2023-11-13T00:00:00"/>
    <d v="2023-11-13T00:00:00"/>
    <s v="Yes"/>
    <n v="0"/>
    <n v="0"/>
    <x v="0"/>
    <n v="34360"/>
    <d v="2023-03-20T00:00:00"/>
    <s v="G/ZFC"/>
    <s v="Location 1"/>
    <s v="Customer 1"/>
    <n v="34360"/>
    <n v="0"/>
    <n v="0"/>
  </r>
  <r>
    <d v="2023-11-20T00:00:00"/>
    <d v="2023-11-20T00:00:00"/>
    <s v="Yes"/>
    <n v="0"/>
    <n v="0"/>
    <x v="0"/>
    <n v="18197"/>
    <d v="2023-03-20T00:00:00"/>
    <s v="G/ZFC"/>
    <s v="Location 1"/>
    <s v="Customer 1"/>
    <n v="18197"/>
    <n v="0"/>
    <n v="0"/>
  </r>
  <r>
    <d v="2023-11-27T00:00:00"/>
    <d v="2023-11-27T00:00:00"/>
    <s v="Yes"/>
    <n v="0"/>
    <n v="0"/>
    <x v="0"/>
    <n v="21936"/>
    <d v="2023-03-20T00:00:00"/>
    <s v="G/ZFC"/>
    <s v="Location 1"/>
    <s v="Customer 1"/>
    <n v="21936"/>
    <n v="0"/>
    <n v="0"/>
  </r>
  <r>
    <d v="2023-12-04T00:00:00"/>
    <d v="2023-12-04T00:00:00"/>
    <s v="Yes"/>
    <n v="0"/>
    <n v="0"/>
    <x v="0"/>
    <n v="31680"/>
    <d v="2023-03-20T00:00:00"/>
    <s v="G/ZFC"/>
    <s v="Location 1"/>
    <s v="Customer 1"/>
    <n v="31680"/>
    <n v="0"/>
    <n v="0"/>
  </r>
  <r>
    <d v="2023-12-11T00:00:00"/>
    <d v="2023-12-11T00:00:00"/>
    <s v="Yes"/>
    <n v="0"/>
    <n v="0"/>
    <x v="0"/>
    <n v="15840"/>
    <d v="2023-03-20T00:00:00"/>
    <s v="G/ZFC"/>
    <s v="Location 1"/>
    <s v="Customer 1"/>
    <n v="15840"/>
    <n v="0"/>
    <n v="0"/>
  </r>
  <r>
    <d v="2023-12-18T00:00:00"/>
    <d v="2023-12-18T00:00:00"/>
    <s v="Yes"/>
    <n v="0"/>
    <n v="0"/>
    <x v="0"/>
    <n v="15840"/>
    <d v="2023-03-20T00:00:00"/>
    <s v="G/ZFC"/>
    <s v="Location 1"/>
    <s v="Customer 1"/>
    <n v="15840"/>
    <n v="0"/>
    <n v="0"/>
  </r>
  <r>
    <d v="2023-12-25T00:00:00"/>
    <d v="2023-12-25T00:00:00"/>
    <s v="Yes"/>
    <n v="0"/>
    <n v="0"/>
    <x v="0"/>
    <n v="36960"/>
    <d v="2023-03-20T00:00:00"/>
    <s v="G/ZFC"/>
    <s v="Location 1"/>
    <s v="Customer 1"/>
    <n v="36960"/>
    <n v="0"/>
    <n v="0"/>
  </r>
  <r>
    <d v="2023-09-25T00:00:00"/>
    <d v="2023-09-25T00:00:00"/>
    <s v="Yes"/>
    <n v="0"/>
    <n v="0"/>
    <x v="3"/>
    <n v="15900"/>
    <d v="2023-03-20T00:00:00"/>
    <s v="G/ZFC"/>
    <s v="Location 1"/>
    <s v="Customer 1"/>
    <n v="15900"/>
    <n v="0"/>
    <n v="0"/>
  </r>
  <r>
    <d v="2023-10-02T00:00:00"/>
    <d v="2023-10-02T00:00:00"/>
    <s v="Yes"/>
    <n v="0"/>
    <n v="0"/>
    <x v="3"/>
    <n v="15900"/>
    <d v="2023-03-20T00:00:00"/>
    <s v="G/ZFC"/>
    <s v="Location 1"/>
    <s v="Customer 1"/>
    <n v="15900"/>
    <n v="0"/>
    <n v="0"/>
  </r>
  <r>
    <d v="2023-10-09T00:00:00"/>
    <d v="2023-10-09T00:00:00"/>
    <s v="Yes"/>
    <n v="0"/>
    <n v="0"/>
    <x v="3"/>
    <n v="15900"/>
    <d v="2023-03-20T00:00:00"/>
    <s v="G/ZFC"/>
    <s v="Location 1"/>
    <s v="Customer 1"/>
    <n v="15900"/>
    <n v="0"/>
    <n v="0"/>
  </r>
  <r>
    <d v="2023-10-16T00:00:00"/>
    <d v="2023-10-16T00:00:00"/>
    <s v="Yes"/>
    <n v="0"/>
    <n v="0"/>
    <x v="3"/>
    <n v="5300"/>
    <d v="2023-03-20T00:00:00"/>
    <s v="G/ZFC"/>
    <s v="Location 1"/>
    <s v="Customer 1"/>
    <n v="5300"/>
    <n v="0"/>
    <n v="0"/>
  </r>
  <r>
    <d v="2023-10-23T00:00:00"/>
    <d v="2023-10-23T00:00:00"/>
    <s v="Yes"/>
    <n v="0"/>
    <n v="0"/>
    <x v="3"/>
    <n v="15740"/>
    <d v="2023-03-20T00:00:00"/>
    <s v="G/ZFC"/>
    <s v="Location 1"/>
    <s v="Customer 1"/>
    <n v="15740"/>
    <n v="0"/>
    <n v="0"/>
  </r>
  <r>
    <d v="2023-10-30T00:00:00"/>
    <d v="2023-10-30T00:00:00"/>
    <s v="Yes"/>
    <n v="0"/>
    <n v="0"/>
    <x v="3"/>
    <n v="21140"/>
    <d v="2023-03-20T00:00:00"/>
    <s v="G/ZFC"/>
    <s v="Location 1"/>
    <s v="Customer 1"/>
    <n v="21140"/>
    <n v="0"/>
    <n v="0"/>
  </r>
  <r>
    <d v="2023-11-06T00:00:00"/>
    <d v="2023-11-06T00:00:00"/>
    <s v="Yes"/>
    <n v="0"/>
    <n v="0"/>
    <x v="3"/>
    <n v="15840"/>
    <d v="2023-03-20T00:00:00"/>
    <s v="G/ZFC"/>
    <s v="Location 1"/>
    <s v="Customer 1"/>
    <n v="15840"/>
    <n v="0"/>
    <n v="0"/>
  </r>
  <r>
    <d v="2023-11-13T00:00:00"/>
    <d v="2023-11-13T00:00:00"/>
    <s v="Yes"/>
    <n v="0"/>
    <n v="0"/>
    <x v="3"/>
    <n v="18520"/>
    <d v="2023-03-20T00:00:00"/>
    <s v="G/ZFC"/>
    <s v="Location 1"/>
    <s v="Customer 1"/>
    <n v="18520"/>
    <n v="0"/>
    <n v="0"/>
  </r>
  <r>
    <d v="2023-11-20T00:00:00"/>
    <d v="2023-11-20T00:00:00"/>
    <s v="Yes"/>
    <n v="0"/>
    <n v="0"/>
    <x v="3"/>
    <n v="12101"/>
    <d v="2023-03-20T00:00:00"/>
    <s v="G/ZFC"/>
    <s v="Location 1"/>
    <s v="Customer 1"/>
    <n v="12101"/>
    <n v="0"/>
    <n v="0"/>
  </r>
  <r>
    <d v="2023-11-27T00:00:00"/>
    <d v="2023-11-27T00:00:00"/>
    <s v="Yes"/>
    <n v="0"/>
    <n v="0"/>
    <x v="3"/>
    <n v="6096"/>
    <d v="2023-03-20T00:00:00"/>
    <s v="G/ZFC"/>
    <s v="Location 1"/>
    <s v="Customer 1"/>
    <n v="6096"/>
    <n v="0"/>
    <n v="0"/>
  </r>
  <r>
    <d v="2023-12-04T00:00:00"/>
    <d v="2023-12-04T00:00:00"/>
    <s v="Yes"/>
    <n v="0"/>
    <n v="0"/>
    <x v="3"/>
    <n v="15840"/>
    <d v="2023-03-20T00:00:00"/>
    <s v="G/ZFC"/>
    <s v="Location 1"/>
    <s v="Customer 1"/>
    <n v="15840"/>
    <n v="0"/>
    <n v="0"/>
  </r>
  <r>
    <d v="2023-12-11T00:00:00"/>
    <d v="2023-12-11T00:00:00"/>
    <s v="Yes"/>
    <n v="0"/>
    <n v="0"/>
    <x v="3"/>
    <n v="15840"/>
    <d v="2023-03-20T00:00:00"/>
    <s v="G/ZFC"/>
    <s v="Location 1"/>
    <s v="Customer 1"/>
    <n v="15840"/>
    <n v="0"/>
    <n v="0"/>
  </r>
  <r>
    <d v="2023-12-25T00:00:00"/>
    <d v="2023-12-25T00:00:00"/>
    <s v="Yes"/>
    <n v="0"/>
    <n v="0"/>
    <x v="3"/>
    <n v="15840"/>
    <d v="2023-03-20T00:00:00"/>
    <s v="G/ZFC"/>
    <s v="Location 1"/>
    <s v="Customer 1"/>
    <n v="15840"/>
    <n v="0"/>
    <n v="0"/>
  </r>
  <r>
    <d v="2023-09-20T00:00:00"/>
    <d v="2023-02-03T00:00:00"/>
    <s v="No"/>
    <n v="229"/>
    <n v="0"/>
    <x v="4"/>
    <n v="1080"/>
    <d v="2023-02-03T00:00:00"/>
    <s v="G/ZSB"/>
    <s v="Location 2"/>
    <s v="Customer 2"/>
    <n v="1080"/>
    <n v="0"/>
    <n v="0"/>
  </r>
  <r>
    <d v="2023-09-20T00:00:00"/>
    <d v="2023-02-03T00:00:00"/>
    <s v="No"/>
    <n v="229"/>
    <n v="0"/>
    <x v="4"/>
    <n v="1080"/>
    <d v="2023-02-03T00:00:00"/>
    <s v="G/ZSB"/>
    <s v="Location 2"/>
    <s v="Customer 2"/>
    <n v="1080"/>
    <n v="0"/>
    <n v="0"/>
  </r>
  <r>
    <d v="2023-09-20T00:00:00"/>
    <d v="2023-02-01T00:00:00"/>
    <s v="No"/>
    <n v="231"/>
    <n v="0"/>
    <x v="5"/>
    <n v="1000"/>
    <d v="2023-02-01T00:00:00"/>
    <s v="G/ZSB"/>
    <s v="Location 2"/>
    <s v="Customer 2"/>
    <n v="1000"/>
    <n v="0"/>
    <n v="0"/>
  </r>
  <r>
    <d v="2023-09-20T00:00:00"/>
    <d v="2022-07-12T00:00:00"/>
    <s v="No"/>
    <n v="435"/>
    <n v="0"/>
    <x v="6"/>
    <n v="120"/>
    <d v="2022-03-28T00:00:00"/>
    <s v="G/ZSB"/>
    <s v="Location 2"/>
    <s v="Customer 2"/>
    <n v="120"/>
    <n v="0"/>
    <n v="0"/>
  </r>
  <r>
    <d v="2023-09-20T00:00:00"/>
    <d v="2022-03-28T00:00:00"/>
    <s v="No"/>
    <n v="541"/>
    <n v="0"/>
    <x v="7"/>
    <n v="720"/>
    <d v="2022-03-28T00:00:00"/>
    <s v="G/ZSB"/>
    <s v="Location 2"/>
    <s v="Customer 2"/>
    <n v="720"/>
    <n v="0"/>
    <n v="0"/>
  </r>
  <r>
    <d v="2023-09-20T00:00:00"/>
    <d v="2021-03-28T00:00:00"/>
    <s v="No"/>
    <n v="906"/>
    <n v="0"/>
    <x v="8"/>
    <n v="3780"/>
    <d v="2023-02-01T00:00:00"/>
    <s v="G/ZSB"/>
    <s v="Location 2"/>
    <s v="Customer 2"/>
    <n v="3780"/>
    <n v="0"/>
    <n v="0"/>
  </r>
  <r>
    <d v="2023-09-20T00:00:00"/>
    <d v="2023-02-01T00:00:00"/>
    <s v="No"/>
    <n v="231"/>
    <n v="0"/>
    <x v="8"/>
    <n v="3780"/>
    <d v="2023-02-01T00:00:00"/>
    <s v="G/ZSB"/>
    <s v="Location 2"/>
    <s v="Customer 2"/>
    <n v="3780"/>
    <n v="0"/>
    <n v="0"/>
  </r>
  <r>
    <d v="2023-09-20T00:00:00"/>
    <d v="2023-05-16T00:00:00"/>
    <s v="No"/>
    <n v="127"/>
    <n v="0"/>
    <x v="9"/>
    <n v="3024"/>
    <d v="2023-02-01T00:00:00"/>
    <s v="G/ZSB"/>
    <s v="Location 2"/>
    <s v="Customer 2"/>
    <n v="3024"/>
    <n v="0"/>
    <n v="0"/>
  </r>
  <r>
    <d v="2023-09-20T00:00:00"/>
    <d v="2022-03-28T00:00:00"/>
    <s v="No"/>
    <n v="541"/>
    <n v="0"/>
    <x v="10"/>
    <n v="756"/>
    <d v="2022-03-28T00:00:00"/>
    <s v="G/ZSB"/>
    <s v="Location 2"/>
    <s v="Customer 2"/>
    <n v="756"/>
    <n v="0"/>
    <n v="0"/>
  </r>
  <r>
    <d v="2023-11-13T00:00:00"/>
    <d v="2021-03-01T00:00:00"/>
    <s v="No"/>
    <n v="987"/>
    <n v="0"/>
    <x v="11"/>
    <n v="336"/>
    <d v="2023-02-01T00:00:00"/>
    <s v="G/ZSB"/>
    <s v="Location 2"/>
    <s v="Customer 2"/>
    <n v="336"/>
    <n v="0"/>
    <n v="0"/>
  </r>
  <r>
    <d v="2023-11-13T00:00:00"/>
    <d v="2023-02-01T00:00:00"/>
    <s v="No"/>
    <n v="285"/>
    <n v="0"/>
    <x v="11"/>
    <n v="924"/>
    <d v="2023-02-01T00:00:00"/>
    <s v="G/ZSB"/>
    <s v="Location 2"/>
    <s v="Customer 2"/>
    <n v="924"/>
    <n v="0"/>
    <n v="0"/>
  </r>
  <r>
    <d v="2023-09-20T00:00:00"/>
    <d v="2021-03-01T00:00:00"/>
    <s v="No"/>
    <n v="933"/>
    <n v="0"/>
    <x v="12"/>
    <n v="672"/>
    <d v="2023-02-01T00:00:00"/>
    <s v="G/ZSB"/>
    <s v="Location 2"/>
    <s v="Customer 2"/>
    <n v="672"/>
    <n v="0"/>
    <n v="0"/>
  </r>
  <r>
    <d v="2023-09-20T00:00:00"/>
    <d v="2022-03-28T00:00:00"/>
    <s v="No"/>
    <n v="541"/>
    <n v="0"/>
    <x v="13"/>
    <n v="3080"/>
    <d v="2022-03-28T00:00:00"/>
    <s v="G/ZSB"/>
    <s v="Location 2"/>
    <s v="Customer 2"/>
    <n v="3080"/>
    <n v="0"/>
    <n v="0"/>
  </r>
  <r>
    <d v="2023-09-20T00:00:00"/>
    <d v="2023-02-01T00:00:00"/>
    <s v="No"/>
    <n v="231"/>
    <n v="0"/>
    <x v="14"/>
    <n v="800"/>
    <d v="2023-02-01T00:00:00"/>
    <s v="G/ZSB"/>
    <s v="Location 2"/>
    <s v="Customer 2"/>
    <n v="800"/>
    <n v="0"/>
    <n v="0"/>
  </r>
  <r>
    <d v="2023-09-20T00:00:00"/>
    <d v="2023-02-03T00:00:00"/>
    <s v="No"/>
    <n v="229"/>
    <n v="0"/>
    <x v="15"/>
    <n v="1440"/>
    <d v="2023-02-03T00:00:00"/>
    <s v="G/ZSB"/>
    <s v="Location 2"/>
    <s v="Customer 2"/>
    <n v="1440"/>
    <n v="0"/>
    <n v="0"/>
  </r>
  <r>
    <d v="2023-09-20T00:00:00"/>
    <d v="2023-02-01T00:00:00"/>
    <s v="No"/>
    <n v="231"/>
    <n v="0"/>
    <x v="16"/>
    <n v="420"/>
    <d v="2023-02-01T00:00:00"/>
    <s v="G/ZSB"/>
    <s v="Location 2"/>
    <s v="Customer 2"/>
    <n v="420"/>
    <n v="0"/>
    <n v="0"/>
  </r>
  <r>
    <d v="2023-09-20T00:00:00"/>
    <d v="2022-03-28T00:00:00"/>
    <s v="No"/>
    <n v="541"/>
    <n v="0"/>
    <x v="17"/>
    <n v="5460"/>
    <d v="2022-03-28T00:00:00"/>
    <s v="G/ZSB"/>
    <s v="Location 2"/>
    <s v="Customer 2"/>
    <n v="5460"/>
    <n v="0"/>
    <n v="0"/>
  </r>
  <r>
    <d v="2023-09-20T00:00:00"/>
    <d v="2023-02-01T00:00:00"/>
    <s v="No"/>
    <n v="231"/>
    <n v="0"/>
    <x v="17"/>
    <n v="1820"/>
    <d v="2023-02-01T00:00:00"/>
    <s v="G/ZSB"/>
    <s v="Location 2"/>
    <s v="Customer 2"/>
    <n v="1820"/>
    <n v="0"/>
    <n v="0"/>
  </r>
  <r>
    <d v="2023-09-20T00:00:00"/>
    <d v="2022-03-28T00:00:00"/>
    <s v="No"/>
    <n v="541"/>
    <n v="0"/>
    <x v="18"/>
    <n v="588"/>
    <d v="2022-03-28T00:00:00"/>
    <s v="G/ZSB"/>
    <s v="Location 2"/>
    <s v="Customer 2"/>
    <n v="588"/>
    <n v="0"/>
    <n v="0"/>
  </r>
  <r>
    <d v="2023-09-20T00:00:00"/>
    <d v="2022-07-11T00:00:00"/>
    <s v="No"/>
    <n v="436"/>
    <n v="0"/>
    <x v="18"/>
    <n v="588"/>
    <d v="2022-03-28T00:00:00"/>
    <s v="G/ZSB"/>
    <s v="Location 2"/>
    <s v="Customer 2"/>
    <n v="588"/>
    <n v="0"/>
    <n v="0"/>
  </r>
  <r>
    <d v="2023-10-30T00:00:00"/>
    <d v="2023-02-01T00:00:00"/>
    <s v="No"/>
    <n v="271"/>
    <n v="0"/>
    <x v="19"/>
    <n v="1120"/>
    <d v="2023-02-01T00:00:00"/>
    <s v="G/ZSB"/>
    <s v="Location 2"/>
    <s v="Customer 2"/>
    <n v="1120"/>
    <n v="0"/>
    <n v="0"/>
  </r>
  <r>
    <d v="2024-05-13T00:00:00"/>
    <d v="2023-02-01T00:00:00"/>
    <s v="No"/>
    <n v="467"/>
    <n v="0"/>
    <x v="19"/>
    <n v="1120"/>
    <d v="2023-02-01T00:00:00"/>
    <s v="G/ZSB"/>
    <s v="Location 2"/>
    <s v="Customer 2"/>
    <n v="1120"/>
    <n v="0"/>
    <n v="0"/>
  </r>
  <r>
    <d v="2024-02-28T00:00:00"/>
    <d v="2022-07-05T00:00:00"/>
    <s v="No"/>
    <n v="603"/>
    <n v="0"/>
    <x v="20"/>
    <n v="3528"/>
    <d v="2023-02-01T00:00:00"/>
    <s v="G/ZSB"/>
    <s v="Location 2"/>
    <s v="Customer 2"/>
    <n v="3528"/>
    <n v="0"/>
    <n v="0"/>
  </r>
  <r>
    <d v="2023-10-03T00:00:00"/>
    <d v="2023-09-01T00:00:00"/>
    <s v="No"/>
    <n v="32"/>
    <n v="0"/>
    <x v="21"/>
    <n v="630"/>
    <d v="2023-02-08T00:00:00"/>
    <s v="G/ZSB"/>
    <s v="Location 2"/>
    <s v="Customer 2"/>
    <n v="630"/>
    <n v="0"/>
    <n v="0"/>
  </r>
  <r>
    <d v="2023-09-20T00:00:00"/>
    <d v="2023-02-08T00:00:00"/>
    <s v="No"/>
    <n v="224"/>
    <n v="0"/>
    <x v="22"/>
    <n v="350"/>
    <d v="2023-02-08T00:00:00"/>
    <s v="G/ZSB"/>
    <s v="Location 2"/>
    <s v="Customer 2"/>
    <n v="350"/>
    <n v="0"/>
    <n v="0"/>
  </r>
  <r>
    <d v="2023-09-20T00:00:00"/>
    <d v="2023-02-16T00:00:00"/>
    <s v="No"/>
    <n v="216"/>
    <n v="0"/>
    <x v="23"/>
    <n v="490"/>
    <d v="2023-02-16T00:00:00"/>
    <s v="G/ZSB"/>
    <s v="Location 2"/>
    <s v="Customer 2"/>
    <n v="490"/>
    <n v="0"/>
    <n v="0"/>
  </r>
  <r>
    <d v="2023-09-20T00:00:00"/>
    <d v="2023-02-01T00:00:00"/>
    <s v="No"/>
    <n v="231"/>
    <n v="0"/>
    <x v="24"/>
    <n v="588"/>
    <d v="2023-02-01T00:00:00"/>
    <s v="G/ZSB"/>
    <s v="Location 2"/>
    <s v="Customer 2"/>
    <n v="588"/>
    <n v="0"/>
    <n v="0"/>
  </r>
  <r>
    <d v="2023-09-20T00:00:00"/>
    <d v="2022-03-28T00:00:00"/>
    <s v="No"/>
    <n v="541"/>
    <n v="0"/>
    <x v="25"/>
    <n v="420"/>
    <d v="2022-03-28T00:00:00"/>
    <s v="G/ZSB"/>
    <s v="Location 2"/>
    <s v="Customer 2"/>
    <n v="420"/>
    <n v="0"/>
    <n v="0"/>
  </r>
  <r>
    <d v="2023-09-20T00:00:00"/>
    <d v="2022-03-28T00:00:00"/>
    <s v="No"/>
    <n v="541"/>
    <n v="0"/>
    <x v="26"/>
    <n v="2940"/>
    <d v="2023-02-01T00:00:00"/>
    <s v="G/ZSB"/>
    <s v="Location 2"/>
    <s v="Customer 2"/>
    <n v="2940"/>
    <n v="0"/>
    <n v="0"/>
  </r>
  <r>
    <d v="2023-09-20T00:00:00"/>
    <d v="2023-02-01T00:00:00"/>
    <s v="No"/>
    <n v="231"/>
    <n v="0"/>
    <x v="26"/>
    <n v="147"/>
    <d v="2023-02-01T00:00:00"/>
    <s v="G/ZSB"/>
    <s v="Location 2"/>
    <s v="Customer 2"/>
    <n v="147"/>
    <n v="0"/>
    <n v="0"/>
  </r>
  <r>
    <d v="2023-09-20T00:00:00"/>
    <d v="2023-02-01T00:00:00"/>
    <s v="No"/>
    <n v="231"/>
    <n v="0"/>
    <x v="26"/>
    <n v="2352"/>
    <d v="2023-02-01T00:00:00"/>
    <s v="G/ZSB"/>
    <s v="Location 2"/>
    <s v="Customer 2"/>
    <n v="2352"/>
    <n v="0"/>
    <n v="0"/>
  </r>
  <r>
    <d v="2023-09-20T00:00:00"/>
    <d v="2023-02-01T00:00:00"/>
    <s v="No"/>
    <n v="231"/>
    <n v="0"/>
    <x v="27"/>
    <n v="1008"/>
    <d v="2023-02-01T00:00:00"/>
    <s v="G/ZSB"/>
    <s v="Location 2"/>
    <s v="Customer 2"/>
    <n v="1008"/>
    <n v="0"/>
    <n v="0"/>
  </r>
  <r>
    <d v="2023-09-20T00:00:00"/>
    <d v="2022-07-11T00:00:00"/>
    <s v="No"/>
    <n v="436"/>
    <n v="0"/>
    <x v="28"/>
    <n v="1500"/>
    <d v="2022-03-28T00:00:00"/>
    <s v="G/ZSB"/>
    <s v="Location 2"/>
    <s v="Customer 2"/>
    <n v="1500"/>
    <n v="0"/>
    <n v="0"/>
  </r>
  <r>
    <d v="2023-09-20T00:00:00"/>
    <d v="2023-02-01T00:00:00"/>
    <s v="No"/>
    <n v="231"/>
    <n v="0"/>
    <x v="29"/>
    <n v="1500"/>
    <d v="2023-02-01T00:00:00"/>
    <s v="G/ZSB"/>
    <s v="Location 2"/>
    <s v="Customer 2"/>
    <n v="1500"/>
    <n v="0"/>
    <n v="0"/>
  </r>
  <r>
    <d v="2023-09-20T00:00:00"/>
    <d v="2023-01-20T00:00:00"/>
    <s v="No"/>
    <n v="243"/>
    <n v="0"/>
    <x v="30"/>
    <n v="1500"/>
    <d v="2023-02-01T00:00:00"/>
    <s v="G/ZSB"/>
    <s v="Location 2"/>
    <s v="Customer 2"/>
    <n v="1500"/>
    <n v="0"/>
    <n v="0"/>
  </r>
  <r>
    <d v="2023-09-20T00:00:00"/>
    <d v="2023-02-01T00:00:00"/>
    <s v="No"/>
    <n v="231"/>
    <n v="0"/>
    <x v="31"/>
    <n v="1512"/>
    <d v="2023-02-01T00:00:00"/>
    <s v="G/ZSB"/>
    <s v="Location 2"/>
    <s v="Customer 2"/>
    <n v="1512"/>
    <n v="0"/>
    <n v="0"/>
  </r>
  <r>
    <d v="2023-09-20T00:00:00"/>
    <d v="2023-04-18T00:00:00"/>
    <s v="No"/>
    <n v="155"/>
    <n v="0"/>
    <x v="32"/>
    <n v="300"/>
    <d v="2023-04-18T00:00:00"/>
    <s v="G/ZSB"/>
    <s v="Location 2"/>
    <s v="Customer 2"/>
    <n v="300"/>
    <n v="0"/>
    <n v="0"/>
  </r>
  <r>
    <d v="2023-09-20T00:00:00"/>
    <d v="2023-04-18T00:00:00"/>
    <s v="No"/>
    <n v="155"/>
    <n v="0"/>
    <x v="32"/>
    <n v="570"/>
    <d v="2023-04-18T00:00:00"/>
    <s v="G/ZSB"/>
    <s v="Location 2"/>
    <s v="Customer 2"/>
    <n v="570"/>
    <n v="0"/>
    <n v="0"/>
  </r>
  <r>
    <d v="2023-09-20T00:00:00"/>
    <d v="2023-02-01T00:00:00"/>
    <s v="No"/>
    <n v="231"/>
    <n v="0"/>
    <x v="33"/>
    <n v="588"/>
    <d v="2023-02-01T00:00:00"/>
    <s v="G/ZSB"/>
    <s v="Location 2"/>
    <s v="Customer 2"/>
    <n v="588"/>
    <n v="0"/>
    <n v="0"/>
  </r>
  <r>
    <d v="2023-09-20T00:00:00"/>
    <d v="2023-04-12T00:00:00"/>
    <s v="No"/>
    <n v="161"/>
    <n v="0"/>
    <x v="34"/>
    <n v="855"/>
    <d v="2023-02-03T00:00:00"/>
    <s v="G/ZSB"/>
    <s v="Location 2"/>
    <s v="Customer 2"/>
    <n v="855"/>
    <n v="0"/>
    <n v="0"/>
  </r>
  <r>
    <d v="2024-01-24T00:00:00"/>
    <d v="2022-07-11T00:00:00"/>
    <s v="No"/>
    <n v="562"/>
    <n v="0"/>
    <x v="35"/>
    <n v="96"/>
    <d v="2022-07-11T00:00:00"/>
    <s v="G/ZSB"/>
    <s v="Location 2"/>
    <s v="Customer 2"/>
    <n v="96"/>
    <n v="0"/>
    <n v="0"/>
  </r>
  <r>
    <d v="2023-11-02T00:00:00"/>
    <d v="2022-03-28T00:00:00"/>
    <s v="No"/>
    <n v="584"/>
    <n v="0"/>
    <x v="36"/>
    <n v="383"/>
    <d v="2022-03-28T00:00:00"/>
    <s v="G/ZSB"/>
    <s v="Location 2"/>
    <s v="Customer 2"/>
    <n v="383"/>
    <n v="0"/>
    <n v="0"/>
  </r>
  <r>
    <d v="2024-01-19T00:00:00"/>
    <d v="2022-10-20T00:00:00"/>
    <s v="No"/>
    <n v="456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4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37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4061.53"/>
    <x v="37"/>
    <n v="1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48738.36"/>
    <x v="37"/>
    <n v="12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37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37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37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37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37"/>
    <n v="13"/>
    <d v="2022-10-20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37"/>
    <n v="13"/>
    <d v="2022-10-28T00:00:00"/>
    <s v="G/ZOR"/>
    <s v="Location 3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37"/>
    <n v="13"/>
    <d v="2022-11-04T00:00:00"/>
    <s v="G/ZOR"/>
    <s v="Location 4"/>
    <s v="Customer 3"/>
    <n v="13"/>
    <n v="4061.53"/>
    <n v="52799.89"/>
  </r>
  <r>
    <d v="2024-05-09T00:00:00"/>
    <d v="2024-05-09T00:00:00"/>
    <s v="Yes"/>
    <n v="0"/>
    <n v="52799.89"/>
    <x v="37"/>
    <n v="13"/>
    <d v="2022-12-09T00:00:00"/>
    <s v="G/ZOR"/>
    <s v="Location 4"/>
    <s v="Customer 3"/>
    <n v="13"/>
    <n v="4061.53"/>
    <n v="52799.89"/>
  </r>
  <r>
    <s v=""/>
    <d v="2023-09-11T00:00:00"/>
    <s v="No"/>
    <s v=""/>
    <n v="0"/>
    <x v="1"/>
    <n v="9408"/>
    <d v="2023-08-31T00:00:00"/>
    <s v="G/ZOR"/>
    <s v="Location 5"/>
    <s v="Customer 1"/>
    <n v="9408"/>
    <n v="12.35"/>
    <n v="116188.8"/>
  </r>
  <r>
    <s v=""/>
    <d v="2023-09-11T00:00:00"/>
    <s v="No"/>
    <s v=""/>
    <n v="0"/>
    <x v="0"/>
    <n v="19992"/>
    <d v="2023-08-31T00:00:00"/>
    <s v="G/ZOR"/>
    <s v="Location 5"/>
    <s v="Customer 1"/>
    <n v="19992"/>
    <n v="12.35"/>
    <n v="246901.2"/>
  </r>
  <r>
    <s v=""/>
    <d v="2023-09-11T00:00:00"/>
    <s v="No"/>
    <s v=""/>
    <n v="0"/>
    <x v="3"/>
    <n v="12180"/>
    <d v="2023-08-31T00:00:00"/>
    <s v="G/ZOR"/>
    <s v="Location 5"/>
    <s v="Customer 1"/>
    <n v="12180"/>
    <n v="4.0199999999999996"/>
    <n v="48963.6"/>
  </r>
  <r>
    <s v=""/>
    <d v="2023-09-11T00:00:00"/>
    <s v="No"/>
    <s v=""/>
    <n v="0"/>
    <x v="2"/>
    <n v="9856"/>
    <d v="2023-08-31T00:00:00"/>
    <s v="G/ZOR"/>
    <s v="Location 5"/>
    <s v="Customer 1"/>
    <n v="9856"/>
    <n v="26.93"/>
    <n v="265422.08000000002"/>
  </r>
  <r>
    <s v=""/>
    <d v="2023-09-18T00:00:00"/>
    <s v="No"/>
    <s v=""/>
    <n v="0"/>
    <x v="3"/>
    <n v="9104"/>
    <d v="2023-09-12T00:00:00"/>
    <s v="G/ZOR"/>
    <s v="Location 5"/>
    <s v="Customer 1"/>
    <n v="9104"/>
    <n v="4.0199999999999996"/>
    <n v="36598.080000000002"/>
  </r>
  <r>
    <s v=""/>
    <d v="2023-09-18T00:00:00"/>
    <s v="No"/>
    <s v=""/>
    <n v="0"/>
    <x v="2"/>
    <n v="11031"/>
    <d v="2023-09-12T00:00:00"/>
    <s v="G/ZOR"/>
    <s v="Location 5"/>
    <s v="Customer 1"/>
    <n v="11031"/>
    <n v="26.93"/>
    <n v="297064.83"/>
  </r>
  <r>
    <s v=""/>
    <d v="2023-09-18T00:00:00"/>
    <s v="No"/>
    <s v=""/>
    <n v="0"/>
    <x v="3"/>
    <n v="5512"/>
    <d v="2023-09-12T00:00:00"/>
    <s v="G/ZOR"/>
    <s v="Location 5"/>
    <s v="Customer 1"/>
    <n v="5512"/>
    <n v="4.0199999999999996"/>
    <n v="22158.240000000002"/>
  </r>
  <r>
    <s v=""/>
    <d v="2023-09-18T00:00:00"/>
    <s v="No"/>
    <s v=""/>
    <n v="0"/>
    <x v="2"/>
    <n v="5601"/>
    <d v="2023-09-12T00:00:00"/>
    <s v="G/ZOR"/>
    <s v="Location 5"/>
    <s v="Customer 1"/>
    <n v="5601"/>
    <n v="26.93"/>
    <n v="150834.93"/>
  </r>
  <r>
    <d v="2024-08-02T00:00:00"/>
    <d v="2024-01-04T00:00:00"/>
    <s v="No"/>
    <n v="211"/>
    <n v="55603.8"/>
    <x v="8"/>
    <n v="3780"/>
    <d v="2023-04-12T00:00:00"/>
    <s v="G/ZOR"/>
    <s v="Location 6"/>
    <s v="Customer 4"/>
    <n v="3780"/>
    <n v="14.71"/>
    <n v="55603.8"/>
  </r>
  <r>
    <d v="2024-07-19T00:00:00"/>
    <d v="2024-07-19T00:00:00"/>
    <s v="Yes"/>
    <n v="0"/>
    <n v="55603.8"/>
    <x v="8"/>
    <n v="3780"/>
    <d v="2023-04-28T00:00:00"/>
    <s v="G/ZOR"/>
    <s v="Location 7"/>
    <s v="Customer 5"/>
    <n v="3780"/>
    <n v="14.71"/>
    <n v="55603.8"/>
  </r>
  <r>
    <d v="2023-11-03T00:00:00"/>
    <d v="2023-08-01T00:00:00"/>
    <s v="No"/>
    <n v="94"/>
    <n v="89498.5"/>
    <x v="38"/>
    <n v="70"/>
    <d v="2022-03-28T00:00:00"/>
    <s v="G/ZOR"/>
    <s v="Location 8"/>
    <s v="Customer 6"/>
    <n v="420"/>
    <n v="1278.55"/>
    <n v="536991"/>
  </r>
  <r>
    <d v="2024-01-24T00:00:00"/>
    <d v="2023-10-01T00:00:00"/>
    <s v="No"/>
    <n v="115"/>
    <n v="447492.5"/>
    <x v="38"/>
    <n v="350"/>
    <d v="2023-01-11T00:00:00"/>
    <s v="G/ZOR"/>
    <s v="Location 8"/>
    <s v="Customer 6"/>
    <n v="350"/>
    <n v="1278.55"/>
    <n v="447492.5"/>
  </r>
  <r>
    <d v="2024-04-06T00:00:00"/>
    <d v="2022-03-29T00:00:00"/>
    <s v="No"/>
    <n v="739"/>
    <n v="322543.76"/>
    <x v="13"/>
    <n v="616"/>
    <d v="2022-03-28T00:00:00"/>
    <s v="G/ZOR"/>
    <s v="Location 8"/>
    <s v="Customer 6"/>
    <n v="616"/>
    <n v="523.61"/>
    <n v="322543.76"/>
  </r>
  <r>
    <d v="2024-04-06T00:00:00"/>
    <d v="2022-03-28T00:00:00"/>
    <s v="No"/>
    <n v="740"/>
    <n v="645087.52"/>
    <x v="13"/>
    <n v="1232"/>
    <d v="2022-03-28T00:00:00"/>
    <s v="G/ZOR"/>
    <s v="Location 8"/>
    <s v="Customer 6"/>
    <n v="1232"/>
    <n v="523.61"/>
    <n v="645087.52"/>
  </r>
  <r>
    <d v="2024-04-10T00:00:00"/>
    <d v="2022-03-30T00:00:00"/>
    <s v="No"/>
    <n v="742"/>
    <n v="322543.76"/>
    <x v="13"/>
    <n v="616"/>
    <d v="2022-03-30T00:00:00"/>
    <s v="G/ZOR"/>
    <s v="Location 8"/>
    <s v="Customer 6"/>
    <n v="616"/>
    <n v="523.61"/>
    <n v="322543.76"/>
  </r>
  <r>
    <d v="2024-04-06T00:00:00"/>
    <d v="2023-02-25T00:00:00"/>
    <s v="No"/>
    <n v="406"/>
    <n v="161271.88"/>
    <x v="13"/>
    <n v="308"/>
    <d v="2022-03-28T00:00:00"/>
    <s v="G/ZOR"/>
    <s v="Location 8"/>
    <s v="Customer 6"/>
    <n v="308"/>
    <n v="523.61"/>
    <n v="161271.88"/>
  </r>
  <r>
    <d v="2024-04-06T00:00:00"/>
    <d v="2023-01-28T00:00:00"/>
    <s v="No"/>
    <n v="434"/>
    <n v="161271.88"/>
    <x v="13"/>
    <n v="308"/>
    <d v="2022-03-28T00:00:00"/>
    <s v="G/ZOR"/>
    <s v="Location 8"/>
    <s v="Customer 6"/>
    <n v="308"/>
    <n v="523.61"/>
    <n v="161271.88"/>
  </r>
  <r>
    <d v="2024-04-06T00:00:00"/>
    <d v="2022-03-28T00:00:00"/>
    <s v="No"/>
    <n v="740"/>
    <n v="161271.88"/>
    <x v="13"/>
    <n v="308"/>
    <d v="2022-03-28T00:00:00"/>
    <s v="G/ZOR"/>
    <s v="Location 8"/>
    <s v="Customer 6"/>
    <n v="308"/>
    <n v="523.61"/>
    <n v="161271.88"/>
  </r>
  <r>
    <d v="2024-04-06T00:00:00"/>
    <d v="2022-03-30T00:00:00"/>
    <s v="No"/>
    <n v="738"/>
    <n v="483815.64"/>
    <x v="13"/>
    <n v="924"/>
    <d v="2022-03-30T00:00:00"/>
    <s v="G/ZOR"/>
    <s v="Location 8"/>
    <s v="Customer 6"/>
    <n v="924"/>
    <n v="523.61"/>
    <n v="483815.64"/>
  </r>
  <r>
    <d v="2024-04-06T00:00:00"/>
    <d v="2023-03-24T00:00:00"/>
    <s v="No"/>
    <n v="379"/>
    <n v="322543.76"/>
    <x v="13"/>
    <n v="616"/>
    <d v="2022-03-31T00:00:00"/>
    <s v="G/ZOR"/>
    <s v="Location 8"/>
    <s v="Customer 6"/>
    <n v="616"/>
    <n v="523.61"/>
    <n v="322543.76"/>
  </r>
  <r>
    <d v="2024-04-06T00:00:00"/>
    <d v="2023-06-23T00:00:00"/>
    <s v="No"/>
    <n v="288"/>
    <n v="645087.52"/>
    <x v="13"/>
    <n v="1232"/>
    <d v="2022-03-31T00:00:00"/>
    <s v="G/ZOR"/>
    <s v="Location 8"/>
    <s v="Customer 6"/>
    <n v="1232"/>
    <n v="523.61"/>
    <n v="645087.52"/>
  </r>
  <r>
    <d v="2024-04-06T00:00:00"/>
    <d v="2023-12-23T00:00:00"/>
    <s v="No"/>
    <n v="105"/>
    <n v="645087.52"/>
    <x v="13"/>
    <n v="1232"/>
    <d v="2022-04-14T00:00:00"/>
    <s v="G/ZOR"/>
    <s v="Location 8"/>
    <s v="Customer 6"/>
    <n v="1232"/>
    <n v="523.61"/>
    <n v="645087.52"/>
  </r>
  <r>
    <d v="2024-04-06T00:00:00"/>
    <d v="2022-03-31T00:00:00"/>
    <s v="No"/>
    <n v="737"/>
    <n v="692736.03"/>
    <x v="13"/>
    <n v="1323"/>
    <d v="2023-04-13T00:00:00"/>
    <s v="G/ZOR"/>
    <s v="Location 8"/>
    <s v="Customer 6"/>
    <n v="1323"/>
    <n v="523.61"/>
    <n v="692736.03"/>
  </r>
  <r>
    <d v="2024-01-02T00:00:00"/>
    <d v="2024-01-02T00:00:00"/>
    <s v="Yes"/>
    <n v="0"/>
    <n v="2132"/>
    <x v="39"/>
    <n v="1300"/>
    <d v="2022-11-23T00:00:00"/>
    <s v="G/ZOR"/>
    <s v="Location 6"/>
    <s v="Customer 4"/>
    <n v="1300"/>
    <n v="1.64"/>
    <n v="2132"/>
  </r>
  <r>
    <d v="2024-06-10T00:00:00"/>
    <d v="2022-02-28T00:00:00"/>
    <s v="No"/>
    <n v="833"/>
    <n v="87079.81"/>
    <x v="40"/>
    <n v="202370"/>
    <d v="2022-04-25T00:00:00"/>
    <s v="G/ZOR"/>
    <s v="Location 9"/>
    <s v="Customer 7"/>
    <n v="239470"/>
    <n v="0.43"/>
    <n v="102972.1"/>
  </r>
  <r>
    <d v="2025-01-13T00:00:00"/>
    <d v="2022-02-28T00:00:00"/>
    <s v="No"/>
    <n v="1050"/>
    <n v="1204.8399999999999"/>
    <x v="40"/>
    <n v="2800"/>
    <d v="2022-04-25T00:00:00"/>
    <s v="G/ZOR"/>
    <s v="Location 9"/>
    <s v="Customer 7"/>
    <n v="239470"/>
    <n v="0.43"/>
    <n v="102972.1"/>
  </r>
  <r>
    <d v="2023-10-24T00:00:00"/>
    <d v="2023-06-30T00:00:00"/>
    <s v="No"/>
    <n v="116"/>
    <n v="3285.6"/>
    <x v="41"/>
    <n v="1480"/>
    <d v="2022-08-04T00:00:00"/>
    <s v="G/ZOR"/>
    <s v="Location 9"/>
    <s v="Customer 7"/>
    <n v="3430"/>
    <n v="2.2200000000000002"/>
    <n v="7614.6"/>
  </r>
  <r>
    <d v="2023-09-19T00:00:00"/>
    <d v="2023-02-24T00:00:00"/>
    <s v="No"/>
    <n v="207"/>
    <n v="2668287.54"/>
    <x v="42"/>
    <n v="169093"/>
    <d v="2023-02-24T00:00:00"/>
    <s v="G/ZOR"/>
    <s v="Location 9"/>
    <s v="Customer 7"/>
    <n v="189241"/>
    <n v="15.78"/>
    <n v="2986222.98"/>
  </r>
  <r>
    <d v="2023-11-09T00:00:00"/>
    <d v="2023-02-24T00:00:00"/>
    <s v="No"/>
    <n v="258"/>
    <n v="317935.44"/>
    <x v="42"/>
    <n v="20148"/>
    <d v="2023-02-24T00:00:00"/>
    <s v="G/ZOR"/>
    <s v="Location 9"/>
    <s v="Customer 7"/>
    <n v="189241"/>
    <n v="15.78"/>
    <n v="2986222.98"/>
  </r>
  <r>
    <d v="2023-10-28T00:00:00"/>
    <d v="2023-10-28T00:00:00"/>
    <s v="Yes"/>
    <n v="0"/>
    <n v="4363.8"/>
    <x v="16"/>
    <n v="420"/>
    <d v="2022-09-20T00:00:00"/>
    <s v="G/ZOR"/>
    <s v="Location 6"/>
    <s v="Customer 4"/>
    <n v="420"/>
    <n v="10.39"/>
    <n v="4363.8"/>
  </r>
  <r>
    <d v="2024-02-15T00:00:00"/>
    <d v="2023-08-04T00:00:00"/>
    <s v="No"/>
    <n v="195"/>
    <n v="4363.8"/>
    <x v="16"/>
    <n v="420"/>
    <d v="2022-09-20T00:00:00"/>
    <s v="G/ZOR"/>
    <s v="Location 6"/>
    <s v="Customer 4"/>
    <n v="420"/>
    <n v="10.39"/>
    <n v="4363.8"/>
  </r>
  <r>
    <d v="2024-01-02T00:00:00"/>
    <d v="2024-01-02T00:00:00"/>
    <s v="Yes"/>
    <n v="0"/>
    <n v="4363.8"/>
    <x v="16"/>
    <n v="420"/>
    <d v="2022-12-06T00:00:00"/>
    <s v="G/ZOR"/>
    <s v="Location 6"/>
    <s v="Customer 4"/>
    <n v="420"/>
    <n v="10.39"/>
    <n v="4363.8"/>
  </r>
  <r>
    <d v="2024-01-11T00:00:00"/>
    <d v="2024-01-02T00:00:00"/>
    <s v="No"/>
    <n v="9"/>
    <n v="4363.8"/>
    <x v="16"/>
    <n v="420"/>
    <d v="2023-02-07T00:00:00"/>
    <s v="G/ZOR"/>
    <s v="Location 6"/>
    <s v="Customer 4"/>
    <n v="420"/>
    <n v="10.39"/>
    <n v="4363.8"/>
  </r>
  <r>
    <d v="2023-10-14T00:00:00"/>
    <d v="2022-10-25T00:00:00"/>
    <s v="No"/>
    <n v="354"/>
    <n v="4568.2"/>
    <x v="17"/>
    <n v="1820"/>
    <d v="2021-11-08T00:00:00"/>
    <s v="G/ZOR"/>
    <s v="Location 6"/>
    <s v="Customer 4"/>
    <n v="1820"/>
    <n v="2.5099999999999998"/>
    <n v="4568.2"/>
  </r>
  <r>
    <d v="2024-01-02T00:00:00"/>
    <d v="2024-01-02T00:00:00"/>
    <s v="Yes"/>
    <n v="0"/>
    <n v="4568.2"/>
    <x v="17"/>
    <n v="1820"/>
    <d v="2022-11-23T00:00:00"/>
    <s v="G/ZOR"/>
    <s v="Location 6"/>
    <s v="Customer 4"/>
    <n v="1820"/>
    <n v="2.5099999999999998"/>
    <n v="4568.2"/>
  </r>
  <r>
    <d v="2024-01-02T00:00:00"/>
    <d v="2024-01-02T00:00:00"/>
    <s v="Yes"/>
    <n v="0"/>
    <n v="4568.2"/>
    <x v="17"/>
    <n v="1820"/>
    <d v="2022-12-06T00:00:00"/>
    <s v="G/ZOR"/>
    <s v="Location 6"/>
    <s v="Customer 4"/>
    <n v="1820"/>
    <n v="2.5099999999999998"/>
    <n v="4568.2"/>
  </r>
  <r>
    <d v="2024-01-09T00:00:00"/>
    <d v="2024-01-02T00:00:00"/>
    <s v="No"/>
    <n v="7"/>
    <n v="4568.2"/>
    <x v="17"/>
    <n v="1820"/>
    <d v="2023-01-31T00:00:00"/>
    <s v="G/ZOR"/>
    <s v="Location 6"/>
    <s v="Customer 4"/>
    <n v="1820"/>
    <n v="2.5099999999999998"/>
    <n v="4568.2"/>
  </r>
  <r>
    <d v="2024-02-08T00:00:00"/>
    <d v="2024-01-02T00:00:00"/>
    <s v="No"/>
    <n v="37"/>
    <n v="4568.2"/>
    <x v="17"/>
    <n v="1820"/>
    <d v="2023-02-14T00:00:00"/>
    <s v="G/ZOR"/>
    <s v="Location 6"/>
    <s v="Customer 4"/>
    <n v="1820"/>
    <n v="2.5099999999999998"/>
    <n v="4568.2"/>
  </r>
  <r>
    <d v="2024-03-27T00:00:00"/>
    <d v="2024-01-04T00:00:00"/>
    <s v="No"/>
    <n v="83"/>
    <n v="4568.2"/>
    <x v="17"/>
    <n v="1820"/>
    <d v="2023-03-14T00:00:00"/>
    <s v="G/ZOR"/>
    <s v="Location 6"/>
    <s v="Customer 4"/>
    <n v="1820"/>
    <n v="2.5099999999999998"/>
    <n v="4568.2"/>
  </r>
  <r>
    <d v="2024-04-04T00:00:00"/>
    <d v="2024-01-04T00:00:00"/>
    <s v="No"/>
    <n v="91"/>
    <n v="4568.2"/>
    <x v="17"/>
    <n v="1820"/>
    <d v="2023-03-28T00:00:00"/>
    <s v="G/ZOR"/>
    <s v="Location 6"/>
    <s v="Customer 4"/>
    <n v="1820"/>
    <n v="2.5099999999999998"/>
    <n v="4568.2"/>
  </r>
  <r>
    <d v="2024-04-12T00:00:00"/>
    <d v="2024-01-04T00:00:00"/>
    <s v="No"/>
    <n v="99"/>
    <n v="4568.2"/>
    <x v="17"/>
    <n v="1820"/>
    <d v="2023-04-12T00:00:00"/>
    <s v="G/ZOR"/>
    <s v="Location 6"/>
    <s v="Customer 4"/>
    <n v="1820"/>
    <n v="2.5099999999999998"/>
    <n v="4568.2"/>
  </r>
  <r>
    <d v="2024-04-12T00:00:00"/>
    <d v="2024-01-04T00:00:00"/>
    <s v="No"/>
    <n v="99"/>
    <n v="4568.2"/>
    <x v="17"/>
    <n v="1820"/>
    <d v="2023-04-12T00:00:00"/>
    <s v="G/ZOR"/>
    <s v="Location 6"/>
    <s v="Customer 4"/>
    <n v="1820"/>
    <n v="2.5099999999999998"/>
    <n v="4568.2"/>
  </r>
  <r>
    <d v="2023-10-14T00:00:00"/>
    <d v="2022-09-05T00:00:00"/>
    <s v="No"/>
    <n v="404"/>
    <n v="4368"/>
    <x v="43"/>
    <n v="1820"/>
    <d v="2022-01-20T00:00:00"/>
    <s v="G/ZOR"/>
    <s v="Location 6"/>
    <s v="Customer 4"/>
    <n v="1820"/>
    <n v="2.4"/>
    <n v="4368"/>
  </r>
  <r>
    <d v="2023-10-13T00:00:00"/>
    <d v="2023-06-09T00:00:00"/>
    <s v="No"/>
    <n v="126"/>
    <n v="4368"/>
    <x v="43"/>
    <n v="1820"/>
    <d v="2022-06-07T00:00:00"/>
    <s v="G/ZOR"/>
    <s v="Location 8"/>
    <s v="Customer 6"/>
    <n v="1820"/>
    <n v="2.4"/>
    <n v="4368"/>
  </r>
  <r>
    <d v="2023-11-10T00:00:00"/>
    <d v="2022-02-28T00:00:00"/>
    <s v="No"/>
    <n v="620"/>
    <n v="507888.56"/>
    <x v="44"/>
    <n v="89417"/>
    <d v="2022-11-11T00:00:00"/>
    <s v="G/ZOR"/>
    <s v="Location 9"/>
    <s v="Customer 7"/>
    <n v="89417"/>
    <n v="5.68"/>
    <n v="507888.56"/>
  </r>
  <r>
    <d v="2023-10-19T00:00:00"/>
    <d v="2023-06-02T00:00:00"/>
    <s v="No"/>
    <n v="139"/>
    <n v="6609.33"/>
    <x v="45"/>
    <n v="189"/>
    <d v="2022-08-16T00:00:00"/>
    <s v="G/ZOR"/>
    <s v="Location 10"/>
    <s v="Customer 8"/>
    <n v="189"/>
    <n v="34.97"/>
    <n v="6609.33"/>
  </r>
  <r>
    <d v="2023-10-26T00:00:00"/>
    <d v="2023-06-23T00:00:00"/>
    <s v="No"/>
    <n v="125"/>
    <n v="6609.33"/>
    <x v="45"/>
    <n v="189"/>
    <d v="2022-08-16T00:00:00"/>
    <s v="G/ZOR"/>
    <s v="Location 10"/>
    <s v="Customer 8"/>
    <n v="189"/>
    <n v="34.97"/>
    <n v="6609.33"/>
  </r>
  <r>
    <d v="2023-10-19T00:00:00"/>
    <d v="2023-06-02T00:00:00"/>
    <s v="No"/>
    <n v="139"/>
    <n v="6609.33"/>
    <x v="45"/>
    <n v="189"/>
    <d v="2022-09-06T00:00:00"/>
    <s v="G/ZOR"/>
    <s v="Location 10"/>
    <s v="Customer 8"/>
    <n v="189"/>
    <n v="34.97"/>
    <n v="6609.33"/>
  </r>
  <r>
    <d v="2023-11-14T00:00:00"/>
    <d v="2023-06-23T00:00:00"/>
    <s v="No"/>
    <n v="144"/>
    <n v="6609.33"/>
    <x v="45"/>
    <n v="189"/>
    <d v="2022-09-13T00:00:00"/>
    <s v="G/ZOR"/>
    <s v="Location 10"/>
    <s v="Customer 8"/>
    <n v="189"/>
    <n v="34.97"/>
    <n v="6609.33"/>
  </r>
  <r>
    <d v="2023-11-14T00:00:00"/>
    <d v="2023-09-15T00:00:00"/>
    <s v="No"/>
    <n v="60"/>
    <n v="6609.33"/>
    <x v="45"/>
    <n v="189"/>
    <d v="2022-11-29T00:00:00"/>
    <s v="G/ZOR"/>
    <s v="Location 10"/>
    <s v="Customer 8"/>
    <n v="189"/>
    <n v="34.97"/>
    <n v="6609.33"/>
  </r>
  <r>
    <d v="2023-12-01T00:00:00"/>
    <d v="2023-10-13T00:00:00"/>
    <s v="No"/>
    <n v="49"/>
    <n v="6609.33"/>
    <x v="45"/>
    <n v="189"/>
    <d v="2022-11-29T00:00:00"/>
    <s v="G/ZOR"/>
    <s v="Location 10"/>
    <s v="Customer 8"/>
    <n v="189"/>
    <n v="34.97"/>
    <n v="6609.33"/>
  </r>
  <r>
    <d v="2023-11-14T00:00:00"/>
    <d v="2023-09-08T00:00:00"/>
    <s v="No"/>
    <n v="67"/>
    <n v="6609.33"/>
    <x v="45"/>
    <n v="189"/>
    <d v="2022-12-01T00:00:00"/>
    <s v="G/ZOR"/>
    <s v="Location 10"/>
    <s v="Customer 8"/>
    <n v="189"/>
    <n v="34.97"/>
    <n v="6609.33"/>
  </r>
  <r>
    <d v="2024-01-26T00:00:00"/>
    <d v="2024-01-02T00:00:00"/>
    <s v="No"/>
    <n v="24"/>
    <n v="57440.04"/>
    <x v="46"/>
    <n v="84"/>
    <d v="2023-01-20T00:00:00"/>
    <s v="G/ZOR"/>
    <s v="Location 6"/>
    <s v="Customer 4"/>
    <n v="84"/>
    <n v="683.81"/>
    <n v="57440.04"/>
  </r>
  <r>
    <d v="2024-04-16T00:00:00"/>
    <d v="2024-01-04T00:00:00"/>
    <s v="No"/>
    <n v="103"/>
    <n v="57440.04"/>
    <x v="46"/>
    <n v="84"/>
    <d v="2023-04-12T00:00:00"/>
    <s v="G/ZOR"/>
    <s v="Location 6"/>
    <s v="Customer 4"/>
    <n v="84"/>
    <n v="683.81"/>
    <n v="57440.04"/>
  </r>
  <r>
    <d v="2024-03-15T00:00:00"/>
    <d v="2023-04-17T00:00:00"/>
    <s v="No"/>
    <n v="333"/>
    <n v="151307.51999999999"/>
    <x v="47"/>
    <n v="1092"/>
    <d v="2023-03-23T00:00:00"/>
    <s v="G/ZOR"/>
    <s v="Location 11"/>
    <s v="Customer 2"/>
    <n v="1092"/>
    <n v="138.56"/>
    <n v="151307.51999999999"/>
  </r>
  <r>
    <d v="2023-09-30T00:00:00"/>
    <d v="2022-11-07T00:00:00"/>
    <s v="No"/>
    <n v="327"/>
    <n v="3205.68"/>
    <x v="48"/>
    <n v="222"/>
    <d v="2022-01-18T00:00:00"/>
    <s v="G/ZOR"/>
    <s v="Location 6"/>
    <s v="Customer 4"/>
    <n v="222"/>
    <n v="14.44"/>
    <n v="3205.68"/>
  </r>
  <r>
    <d v="2023-09-30T00:00:00"/>
    <d v="2022-10-10T00:00:00"/>
    <s v="No"/>
    <n v="355"/>
    <n v="1631.72"/>
    <x v="48"/>
    <n v="113"/>
    <d v="2022-01-24T00:00:00"/>
    <s v="G/ZOR"/>
    <s v="Location 6"/>
    <s v="Customer 4"/>
    <n v="222"/>
    <n v="14.44"/>
    <n v="3205.68"/>
  </r>
  <r>
    <d v="2023-09-30T00:00:00"/>
    <d v="2022-10-10T00:00:00"/>
    <s v="No"/>
    <n v="355"/>
    <n v="101.08"/>
    <x v="48"/>
    <n v="7"/>
    <d v="2022-02-15T00:00:00"/>
    <s v="G/ZOR"/>
    <s v="Location 6"/>
    <s v="Customer 4"/>
    <n v="7"/>
    <n v="14.44"/>
    <n v="101.08"/>
  </r>
  <r>
    <d v="2023-09-30T00:00:00"/>
    <d v="2022-10-10T00:00:00"/>
    <s v="No"/>
    <n v="355"/>
    <n v="3104.6"/>
    <x v="48"/>
    <n v="215"/>
    <d v="2022-06-21T00:00:00"/>
    <s v="G/ZOR"/>
    <s v="Location 6"/>
    <s v="Customer 4"/>
    <n v="215"/>
    <n v="14.44"/>
    <n v="3104.6"/>
  </r>
  <r>
    <d v="2023-09-30T00:00:00"/>
    <d v="2023-04-11T00:00:00"/>
    <s v="No"/>
    <n v="172"/>
    <n v="4880.72"/>
    <x v="48"/>
    <n v="338"/>
    <d v="2022-07-08T00:00:00"/>
    <s v="G/ZOR"/>
    <s v="Location 6"/>
    <s v="Customer 4"/>
    <n v="338"/>
    <n v="14.44"/>
    <n v="4880.72"/>
  </r>
  <r>
    <d v="2023-10-28T00:00:00"/>
    <d v="2023-10-28T00:00:00"/>
    <s v="Yes"/>
    <n v="0"/>
    <n v="62227.199999999997"/>
    <x v="19"/>
    <n v="1120"/>
    <d v="2022-04-04T00:00:00"/>
    <s v="G/ZOR"/>
    <s v="Location 6"/>
    <s v="Customer 4"/>
    <n v="1120"/>
    <n v="55.56"/>
    <n v="62227.199999999997"/>
  </r>
  <r>
    <d v="2023-10-26T00:00:00"/>
    <d v="2023-10-19T00:00:00"/>
    <s v="No"/>
    <n v="7"/>
    <n v="62227.199999999997"/>
    <x v="19"/>
    <n v="1120"/>
    <d v="2022-06-03T00:00:00"/>
    <s v="G/ZOR"/>
    <s v="Location 6"/>
    <s v="Customer 4"/>
    <n v="1120"/>
    <n v="55.56"/>
    <n v="62227.199999999997"/>
  </r>
  <r>
    <d v="2024-04-04T00:00:00"/>
    <d v="2024-04-04T00:00:00"/>
    <s v="Yes"/>
    <n v="0"/>
    <n v="62227.199999999997"/>
    <x v="19"/>
    <n v="1120"/>
    <d v="2022-09-20T00:00:00"/>
    <s v="G/ZOR"/>
    <s v="Location 6"/>
    <s v="Customer 4"/>
    <n v="1120"/>
    <n v="55.56"/>
    <n v="62227.199999999997"/>
  </r>
  <r>
    <d v="2024-04-20T00:00:00"/>
    <d v="2024-04-20T00:00:00"/>
    <s v="Yes"/>
    <n v="0"/>
    <n v="62227.199999999997"/>
    <x v="19"/>
    <n v="1120"/>
    <d v="2022-09-20T00:00:00"/>
    <s v="G/ZOR"/>
    <s v="Location 6"/>
    <s v="Customer 4"/>
    <n v="1120"/>
    <n v="55.56"/>
    <n v="62227.199999999997"/>
  </r>
  <r>
    <d v="2024-05-23T00:00:00"/>
    <d v="2024-05-23T00:00:00"/>
    <s v="Yes"/>
    <n v="0"/>
    <n v="62227.199999999997"/>
    <x v="19"/>
    <n v="1120"/>
    <d v="2022-09-23T00:00:00"/>
    <s v="G/ZOR"/>
    <s v="Location 6"/>
    <s v="Customer 4"/>
    <n v="1120"/>
    <n v="55.56"/>
    <n v="62227.199999999997"/>
  </r>
  <r>
    <d v="2023-10-18T00:00:00"/>
    <d v="2023-02-22T00:00:00"/>
    <s v="No"/>
    <n v="238"/>
    <n v="58699.199999999997"/>
    <x v="19"/>
    <n v="1120"/>
    <d v="2022-08-10T00:00:00"/>
    <s v="G/ZOR"/>
    <s v="Location 7"/>
    <s v="Customer 5"/>
    <n v="1120"/>
    <n v="52.41"/>
    <n v="58699.199999999997"/>
  </r>
  <r>
    <d v="2023-10-18T00:00:00"/>
    <d v="2022-10-19T00:00:00"/>
    <s v="No"/>
    <n v="364"/>
    <n v="62227.199999999997"/>
    <x v="19"/>
    <n v="1120"/>
    <d v="2022-08-10T00:00:00"/>
    <s v="G/ZOR"/>
    <s v="Location 7"/>
    <s v="Customer 5"/>
    <n v="1120"/>
    <n v="55.56"/>
    <n v="62227.199999999997"/>
  </r>
  <r>
    <d v="2024-08-21T00:00:00"/>
    <d v="2024-08-08T00:00:00"/>
    <s v="No"/>
    <n v="13"/>
    <n v="62227.199999999997"/>
    <x v="19"/>
    <n v="1120"/>
    <d v="2023-04-28T00:00:00"/>
    <s v="G/ZOR"/>
    <s v="Location 7"/>
    <s v="Customer 5"/>
    <n v="1120"/>
    <n v="55.56"/>
    <n v="62227.199999999997"/>
  </r>
  <r>
    <d v="2024-10-30T00:00:00"/>
    <d v="2024-10-10T00:00:00"/>
    <s v="No"/>
    <n v="20"/>
    <n v="62227.199999999997"/>
    <x v="19"/>
    <n v="1120"/>
    <d v="2023-04-28T00:00:00"/>
    <s v="G/ZOR"/>
    <s v="Location 7"/>
    <s v="Customer 5"/>
    <n v="1120"/>
    <n v="55.56"/>
    <n v="62227.199999999997"/>
  </r>
  <r>
    <d v="2024-06-15T00:00:00"/>
    <d v="2024-06-15T00:00:00"/>
    <s v="Yes"/>
    <n v="0"/>
    <n v="29679.3"/>
    <x v="49"/>
    <n v="630"/>
    <d v="2023-04-19T00:00:00"/>
    <s v="G/ZOR"/>
    <s v="Location 6"/>
    <s v="Customer 4"/>
    <n v="630"/>
    <n v="47.11"/>
    <n v="29679.3"/>
  </r>
  <r>
    <d v="2024-01-09T00:00:00"/>
    <d v="2024-01-02T00:00:00"/>
    <s v="No"/>
    <n v="7"/>
    <n v="135869.16"/>
    <x v="24"/>
    <n v="588"/>
    <d v="2022-12-06T00:00:00"/>
    <s v="G/ZOR"/>
    <s v="Location 6"/>
    <s v="Customer 4"/>
    <n v="588"/>
    <n v="231.07"/>
    <n v="135869.16"/>
  </r>
  <r>
    <d v="2024-01-09T00:00:00"/>
    <d v="2024-01-02T00:00:00"/>
    <s v="No"/>
    <n v="7"/>
    <n v="135869.16"/>
    <x v="24"/>
    <n v="588"/>
    <d v="2022-12-09T00:00:00"/>
    <s v="G/ZOR"/>
    <s v="Location 6"/>
    <s v="Customer 4"/>
    <n v="588"/>
    <n v="231.07"/>
    <n v="135869.16"/>
  </r>
  <r>
    <d v="2024-01-26T00:00:00"/>
    <d v="2024-01-02T00:00:00"/>
    <s v="No"/>
    <n v="24"/>
    <n v="35321.300000000003"/>
    <x v="50"/>
    <n v="70"/>
    <d v="2023-01-20T00:00:00"/>
    <s v="G/ZOR"/>
    <s v="Location 6"/>
    <s v="Customer 4"/>
    <n v="70"/>
    <n v="504.59"/>
    <n v="35321.300000000003"/>
  </r>
  <r>
    <d v="2024-01-26T00:00:00"/>
    <d v="2024-01-02T00:00:00"/>
    <s v="No"/>
    <n v="24"/>
    <n v="35321.300000000003"/>
    <x v="50"/>
    <n v="70"/>
    <d v="2023-01-20T00:00:00"/>
    <s v="G/ZOR"/>
    <s v="Location 6"/>
    <s v="Customer 4"/>
    <n v="70"/>
    <n v="504.59"/>
    <n v="35321.300000000003"/>
  </r>
  <r>
    <d v="2024-02-10T00:00:00"/>
    <d v="2023-07-31T00:00:00"/>
    <s v="No"/>
    <n v="194"/>
    <n v="328408.28999999998"/>
    <x v="26"/>
    <n v="441"/>
    <d v="2022-05-27T00:00:00"/>
    <s v="G/ZOR"/>
    <s v="Location 8"/>
    <s v="Customer 6"/>
    <n v="882"/>
    <n v="744.69"/>
    <n v="656816.57999999996"/>
  </r>
  <r>
    <d v="2024-02-10T00:00:00"/>
    <d v="2023-08-07T00:00:00"/>
    <s v="No"/>
    <n v="187"/>
    <n v="437877.72"/>
    <x v="26"/>
    <n v="588"/>
    <d v="2022-05-27T00:00:00"/>
    <s v="G/ZOR"/>
    <s v="Location 8"/>
    <s v="Customer 6"/>
    <n v="882"/>
    <n v="744.69"/>
    <n v="656816.57999999996"/>
  </r>
  <r>
    <d v="2024-04-05T00:00:00"/>
    <d v="2023-08-07T00:00:00"/>
    <s v="No"/>
    <n v="242"/>
    <n v="218938.86"/>
    <x v="26"/>
    <n v="294"/>
    <d v="2022-05-27T00:00:00"/>
    <s v="G/ZOR"/>
    <s v="Location 8"/>
    <s v="Customer 6"/>
    <n v="882"/>
    <n v="744.69"/>
    <n v="656816.57999999996"/>
  </r>
  <r>
    <d v="2024-02-08T00:00:00"/>
    <d v="2023-05-19T00:00:00"/>
    <s v="No"/>
    <n v="265"/>
    <n v="24747.599999999999"/>
    <x v="51"/>
    <n v="120"/>
    <d v="2022-06-03T00:00:00"/>
    <s v="G/ZOR"/>
    <s v="Location 6"/>
    <s v="Customer 4"/>
    <n v="120"/>
    <n v="206.23"/>
    <n v="24747.599999999999"/>
  </r>
  <r>
    <d v="2024-02-15T00:00:00"/>
    <d v="2023-07-18T00:00:00"/>
    <s v="No"/>
    <n v="212"/>
    <n v="24747.599999999999"/>
    <x v="51"/>
    <n v="120"/>
    <d v="2022-06-03T00:00:00"/>
    <s v="G/ZOR"/>
    <s v="Location 6"/>
    <s v="Customer 4"/>
    <n v="120"/>
    <n v="206.23"/>
    <n v="24747.599999999999"/>
  </r>
  <r>
    <d v="2024-02-15T00:00:00"/>
    <d v="2023-06-02T00:00:00"/>
    <s v="No"/>
    <n v="258"/>
    <n v="24747.599999999999"/>
    <x v="51"/>
    <n v="120"/>
    <d v="2022-06-03T00:00:00"/>
    <s v="G/ZOR"/>
    <s v="Location 6"/>
    <s v="Customer 4"/>
    <n v="120"/>
    <n v="206.23"/>
    <n v="24747.599999999999"/>
  </r>
  <r>
    <d v="2024-02-10T00:00:00"/>
    <d v="2023-09-19T00:00:00"/>
    <s v="No"/>
    <n v="144"/>
    <n v="24747.599999999999"/>
    <x v="51"/>
    <n v="120"/>
    <d v="2022-09-20T00:00:00"/>
    <s v="G/ZOR"/>
    <s v="Location 6"/>
    <s v="Customer 4"/>
    <n v="120"/>
    <n v="206.23"/>
    <n v="24747.599999999999"/>
  </r>
  <r>
    <d v="2024-02-10T00:00:00"/>
    <d v="2023-10-25T00:00:00"/>
    <s v="No"/>
    <n v="108"/>
    <n v="24747.599999999999"/>
    <x v="51"/>
    <n v="120"/>
    <d v="2022-09-20T00:00:00"/>
    <s v="G/ZOR"/>
    <s v="Location 6"/>
    <s v="Customer 4"/>
    <n v="120"/>
    <n v="206.23"/>
    <n v="24747.599999999999"/>
  </r>
  <r>
    <d v="2024-02-21T00:00:00"/>
    <d v="2024-01-04T00:00:00"/>
    <s v="No"/>
    <n v="48"/>
    <n v="24747.599999999999"/>
    <x v="51"/>
    <n v="120"/>
    <d v="2023-04-13T00:00:00"/>
    <s v="G/ZOR"/>
    <s v="Location 6"/>
    <s v="Customer 4"/>
    <n v="120"/>
    <n v="206.23"/>
    <n v="24747.599999999999"/>
  </r>
  <r>
    <d v="2024-05-21T00:00:00"/>
    <d v="2024-01-04T00:00:00"/>
    <s v="No"/>
    <n v="138"/>
    <n v="24747.599999999999"/>
    <x v="51"/>
    <n v="120"/>
    <d v="2023-05-16T00:00:00"/>
    <s v="G/ZOR"/>
    <s v="Location 6"/>
    <s v="Customer 4"/>
    <n v="120"/>
    <n v="206.23"/>
    <n v="24747.599999999999"/>
  </r>
  <r>
    <d v="2024-05-21T00:00:00"/>
    <d v="2024-01-04T00:00:00"/>
    <s v="No"/>
    <n v="138"/>
    <n v="24747.599999999999"/>
    <x v="51"/>
    <n v="120"/>
    <d v="2023-05-16T00:00:00"/>
    <s v="G/ZOR"/>
    <s v="Location 6"/>
    <s v="Customer 4"/>
    <n v="120"/>
    <n v="206.23"/>
    <n v="24747.599999999999"/>
  </r>
  <r>
    <d v="2023-10-26T00:00:00"/>
    <d v="2023-02-06T00:00:00"/>
    <s v="No"/>
    <n v="262"/>
    <n v="17481.240000000002"/>
    <x v="52"/>
    <n v="252"/>
    <d v="2022-10-21T00:00:00"/>
    <s v="G/ZOR"/>
    <s v="Location 7"/>
    <s v="Customer 5"/>
    <n v="252"/>
    <n v="69.37"/>
    <n v="17481.240000000002"/>
  </r>
  <r>
    <d v="2023-11-21T00:00:00"/>
    <d v="2023-07-01T00:00:00"/>
    <s v="No"/>
    <n v="143"/>
    <n v="17481.240000000002"/>
    <x v="52"/>
    <n v="252"/>
    <d v="2023-04-28T00:00:00"/>
    <s v="G/ZOR"/>
    <s v="Location 7"/>
    <s v="Customer 5"/>
    <n v="252"/>
    <n v="69.37"/>
    <n v="17481.240000000002"/>
  </r>
  <r>
    <d v="2024-05-10T00:00:00"/>
    <d v="2024-03-01T00:00:00"/>
    <s v="No"/>
    <n v="70"/>
    <n v="17481.240000000002"/>
    <x v="52"/>
    <n v="252"/>
    <d v="2023-06-22T00:00:00"/>
    <s v="G/ZOR"/>
    <s v="Location 7"/>
    <s v="Customer 5"/>
    <n v="252"/>
    <n v="69.37"/>
    <n v="17481.240000000002"/>
  </r>
  <r>
    <d v="2024-05-16T00:00:00"/>
    <d v="2024-04-12T00:00:00"/>
    <s v="No"/>
    <n v="34"/>
    <n v="17481.240000000002"/>
    <x v="52"/>
    <n v="252"/>
    <d v="2023-07-08T00:00:00"/>
    <s v="G/ZOR"/>
    <s v="Location 7"/>
    <s v="Customer 5"/>
    <n v="252"/>
    <n v="69.37"/>
    <n v="17481.240000000002"/>
  </r>
  <r>
    <d v="2024-05-17T00:00:00"/>
    <d v="2024-05-17T00:00:00"/>
    <s v="Yes"/>
    <n v="0"/>
    <n v="17481.240000000002"/>
    <x v="52"/>
    <n v="252"/>
    <d v="2023-07-08T00:00:00"/>
    <s v="G/ZOR"/>
    <s v="Location 7"/>
    <s v="Customer 5"/>
    <n v="252"/>
    <n v="69.37"/>
    <n v="17481.240000000002"/>
  </r>
  <r>
    <d v="2023-09-18T00:00:00"/>
    <d v="2023-09-02T00:00:00"/>
    <s v="No"/>
    <n v="16"/>
    <n v="12320"/>
    <x v="33"/>
    <n v="125"/>
    <d v="2022-07-15T00:00:00"/>
    <s v="G/ZOR"/>
    <s v="Location 6"/>
    <s v="Customer 4"/>
    <n v="588"/>
    <n v="98.56"/>
    <n v="57953.279999999999"/>
  </r>
  <r>
    <d v="2023-12-01T00:00:00"/>
    <d v="2023-12-01T00:00:00"/>
    <s v="Yes"/>
    <n v="0"/>
    <n v="57953.279999999999"/>
    <x v="33"/>
    <n v="588"/>
    <d v="2022-10-27T00:00:00"/>
    <s v="G/ZOR"/>
    <s v="Location 6"/>
    <s v="Customer 4"/>
    <n v="588"/>
    <n v="98.56"/>
    <n v="57953.279999999999"/>
  </r>
  <r>
    <d v="2024-01-02T00:00:00"/>
    <d v="2024-01-02T00:00:00"/>
    <s v="Yes"/>
    <n v="0"/>
    <n v="57953.279999999999"/>
    <x v="33"/>
    <n v="588"/>
    <d v="2022-12-09T00:00:00"/>
    <s v="G/ZOR"/>
    <s v="Location 6"/>
    <s v="Customer 4"/>
    <n v="588"/>
    <n v="98.56"/>
    <n v="57953.279999999999"/>
  </r>
  <r>
    <d v="2024-01-13T00:00:00"/>
    <d v="2024-01-02T00:00:00"/>
    <s v="No"/>
    <n v="11"/>
    <n v="57953.279999999999"/>
    <x v="33"/>
    <n v="588"/>
    <d v="2022-12-22T00:00:00"/>
    <s v="G/ZOR"/>
    <s v="Location 6"/>
    <s v="Customer 4"/>
    <n v="588"/>
    <n v="98.56"/>
    <n v="57953.279999999999"/>
  </r>
  <r>
    <d v="2024-01-13T00:00:00"/>
    <d v="2024-01-02T00:00:00"/>
    <s v="No"/>
    <n v="11"/>
    <n v="57953.279999999999"/>
    <x v="33"/>
    <n v="588"/>
    <d v="2022-12-22T00:00:00"/>
    <s v="G/ZOR"/>
    <s v="Location 6"/>
    <s v="Customer 4"/>
    <n v="588"/>
    <n v="98.56"/>
    <n v="57953.279999999999"/>
  </r>
  <r>
    <d v="2024-02-09T00:00:00"/>
    <d v="2024-01-02T00:00:00"/>
    <s v="No"/>
    <n v="38"/>
    <n v="57953.279999999999"/>
    <x v="33"/>
    <n v="588"/>
    <d v="2023-01-31T00:00:00"/>
    <s v="G/ZOR"/>
    <s v="Location 6"/>
    <s v="Customer 4"/>
    <n v="588"/>
    <n v="98.56"/>
    <n v="57953.279999999999"/>
  </r>
  <r>
    <d v="2024-04-12T00:00:00"/>
    <d v="2024-01-04T00:00:00"/>
    <s v="No"/>
    <n v="99"/>
    <n v="57953.279999999999"/>
    <x v="33"/>
    <n v="588"/>
    <d v="2023-03-28T00:00:00"/>
    <s v="G/ZOR"/>
    <s v="Location 6"/>
    <s v="Customer 4"/>
    <n v="588"/>
    <n v="98.56"/>
    <n v="57953.279999999999"/>
  </r>
  <r>
    <d v="2023-12-30T00:00:00"/>
    <d v="2023-02-10T00:00:00"/>
    <s v="No"/>
    <n v="323"/>
    <n v="431751.6"/>
    <x v="53"/>
    <n v="2520"/>
    <d v="2022-08-11T00:00:00"/>
    <s v="G/ZOR"/>
    <s v="Location 8"/>
    <s v="Customer 6"/>
    <n v="2520"/>
    <n v="171.33"/>
    <n v="431751.6"/>
  </r>
  <r>
    <d v="2023-10-26T00:00:00"/>
    <d v="2023-10-20T00:00:00"/>
    <s v="No"/>
    <n v="6"/>
    <n v="3011.4"/>
    <x v="54"/>
    <n v="21000"/>
    <d v="2022-11-02T00:00:00"/>
    <s v="G/ZOR"/>
    <s v="Location 6"/>
    <s v="Customer 4"/>
    <n v="21000"/>
    <n v="0.14000000000000001"/>
    <n v="2940"/>
  </r>
  <r>
    <d v="2023-10-20T00:00:00"/>
    <d v="2023-01-31T00:00:00"/>
    <s v="No"/>
    <n v="262"/>
    <n v="25085.9"/>
    <x v="55"/>
    <n v="7"/>
    <d v="2022-01-05T00:00:00"/>
    <s v="G/ZOR"/>
    <s v="Location 8"/>
    <s v="Customer 6"/>
    <n v="7"/>
    <n v="3583.7"/>
    <n v="25085.9"/>
  </r>
  <r>
    <d v="2024-01-06T00:00:00"/>
    <d v="2023-12-27T00:00:00"/>
    <s v="No"/>
    <n v="10"/>
    <n v="179185"/>
    <x v="55"/>
    <n v="50"/>
    <d v="2022-04-14T00:00:00"/>
    <s v="G/ZOR"/>
    <s v="Location 8"/>
    <s v="Customer 6"/>
    <n v="50"/>
    <n v="3583.7"/>
    <n v="179185"/>
  </r>
  <r>
    <d v="2023-12-30T00:00:00"/>
    <d v="2023-05-02T00:00:00"/>
    <s v="No"/>
    <n v="242"/>
    <n v="179185"/>
    <x v="55"/>
    <n v="50"/>
    <d v="2022-05-27T00:00:00"/>
    <s v="G/ZOR"/>
    <s v="Location 8"/>
    <s v="Customer 6"/>
    <n v="50"/>
    <n v="3583.7"/>
    <n v="179185"/>
  </r>
  <r>
    <d v="2023-10-20T00:00:00"/>
    <d v="2022-10-01T00:00:00"/>
    <s v="No"/>
    <n v="384"/>
    <n v="154099.1"/>
    <x v="55"/>
    <n v="43"/>
    <d v="2022-07-05T00:00:00"/>
    <s v="G/ZOR"/>
    <s v="Location 8"/>
    <s v="Customer 6"/>
    <n v="43"/>
    <n v="3583.7"/>
    <n v="154099.1"/>
  </r>
  <r>
    <d v="2023-12-30T00:00:00"/>
    <d v="2023-06-27T00:00:00"/>
    <s v="No"/>
    <n v="186"/>
    <n v="179185"/>
    <x v="55"/>
    <n v="50"/>
    <d v="2022-08-17T00:00:00"/>
    <s v="G/ZOR"/>
    <s v="Location 8"/>
    <s v="Customer 6"/>
    <n v="50"/>
    <n v="3583.7"/>
    <n v="179185"/>
  </r>
  <r>
    <d v="2023-12-30T00:00:00"/>
    <d v="2023-08-01T00:00:00"/>
    <s v="No"/>
    <n v="151"/>
    <n v="358370"/>
    <x v="55"/>
    <n v="100"/>
    <d v="2022-08-17T00:00:00"/>
    <s v="G/ZOR"/>
    <s v="Location 8"/>
    <s v="Customer 6"/>
    <n v="100"/>
    <n v="3583.7"/>
    <n v="358370"/>
  </r>
  <r>
    <d v="2023-09-15T00:00:00"/>
    <d v="2023-05-02T00:00:00"/>
    <s v="No"/>
    <n v="136"/>
    <n v="33447.839999999997"/>
    <x v="56"/>
    <n v="8"/>
    <d v="2023-06-21T00:00:00"/>
    <s v="G/ZOR"/>
    <s v="Location 8"/>
    <s v="Customer 6"/>
    <n v="8"/>
    <n v="4180.9799999999996"/>
    <n v="33447.839999999997"/>
  </r>
  <r>
    <d v="2023-10-19T00:00:00"/>
    <d v="2023-03-16T00:00:00"/>
    <s v="No"/>
    <n v="217"/>
    <n v="154299.6"/>
    <x v="57"/>
    <n v="216"/>
    <d v="2022-04-29T00:00:00"/>
    <s v="G/ZOR"/>
    <s v="Location 6"/>
    <s v="Customer 4"/>
    <n v="216"/>
    <n v="714.35"/>
    <n v="154299.6"/>
  </r>
  <r>
    <d v="2023-10-21T00:00:00"/>
    <d v="2023-03-23T00:00:00"/>
    <s v="No"/>
    <n v="212"/>
    <n v="87150.7"/>
    <x v="57"/>
    <n v="122"/>
    <d v="2022-04-29T00:00:00"/>
    <s v="G/ZOR"/>
    <s v="Location 6"/>
    <s v="Customer 4"/>
    <n v="252"/>
    <n v="714.35"/>
    <n v="180016.2"/>
  </r>
  <r>
    <d v="2023-11-02T00:00:00"/>
    <d v="2023-03-23T00:00:00"/>
    <s v="No"/>
    <n v="224"/>
    <n v="92865.5"/>
    <x v="57"/>
    <n v="130"/>
    <d v="2022-04-29T00:00:00"/>
    <s v="G/ZOR"/>
    <s v="Location 6"/>
    <s v="Customer 4"/>
    <n v="252"/>
    <n v="714.35"/>
    <n v="180016.2"/>
  </r>
  <r>
    <d v="2023-11-02T00:00:00"/>
    <d v="2023-03-24T00:00:00"/>
    <s v="No"/>
    <n v="223"/>
    <n v="102152.05"/>
    <x v="57"/>
    <n v="143"/>
    <d v="2022-04-29T00:00:00"/>
    <s v="G/ZOR"/>
    <s v="Location 6"/>
    <s v="Customer 4"/>
    <n v="216"/>
    <n v="714.35"/>
    <n v="154299.6"/>
  </r>
  <r>
    <d v="2023-11-09T00:00:00"/>
    <d v="2023-03-24T00:00:00"/>
    <s v="No"/>
    <n v="230"/>
    <n v="52147.55"/>
    <x v="57"/>
    <n v="73"/>
    <d v="2022-04-29T00:00:00"/>
    <s v="G/ZOR"/>
    <s v="Location 6"/>
    <s v="Customer 4"/>
    <n v="216"/>
    <n v="714.35"/>
    <n v="154299.6"/>
  </r>
  <r>
    <d v="2023-10-19T00:00:00"/>
    <d v="2023-03-16T00:00:00"/>
    <s v="No"/>
    <n v="217"/>
    <n v="154299.6"/>
    <x v="57"/>
    <n v="216"/>
    <d v="2022-05-05T00:00:00"/>
    <s v="G/ZOR"/>
    <s v="Location 6"/>
    <s v="Customer 4"/>
    <n v="216"/>
    <n v="714.35"/>
    <n v="154299.6"/>
  </r>
  <r>
    <d v="2023-10-19T00:00:00"/>
    <d v="2023-03-17T00:00:00"/>
    <s v="No"/>
    <n v="216"/>
    <n v="10000.9"/>
    <x v="57"/>
    <n v="14"/>
    <d v="2022-05-05T00:00:00"/>
    <s v="G/ZOR"/>
    <s v="Location 6"/>
    <s v="Customer 4"/>
    <n v="216"/>
    <n v="714.35"/>
    <n v="154299.6"/>
  </r>
  <r>
    <d v="2023-10-21T00:00:00"/>
    <d v="2023-03-17T00:00:00"/>
    <s v="No"/>
    <n v="218"/>
    <n v="144298.70000000001"/>
    <x v="57"/>
    <n v="202"/>
    <d v="2022-05-05T00:00:00"/>
    <s v="G/ZOR"/>
    <s v="Location 6"/>
    <s v="Customer 4"/>
    <n v="216"/>
    <n v="714.35"/>
    <n v="154299.6"/>
  </r>
  <r>
    <d v="2023-10-19T00:00:00"/>
    <d v="2023-03-10T00:00:00"/>
    <s v="No"/>
    <n v="223"/>
    <n v="118582.1"/>
    <x v="57"/>
    <n v="166"/>
    <d v="2022-05-05T00:00:00"/>
    <s v="G/ZOR"/>
    <s v="Location 6"/>
    <s v="Customer 4"/>
    <n v="180"/>
    <n v="714.35"/>
    <n v="128583"/>
  </r>
  <r>
    <d v="2023-11-16T00:00:00"/>
    <d v="2023-05-05T00:00:00"/>
    <s v="No"/>
    <n v="195"/>
    <n v="154299.6"/>
    <x v="57"/>
    <n v="216"/>
    <d v="2022-05-05T00:00:00"/>
    <s v="G/ZOR"/>
    <s v="Location 6"/>
    <s v="Customer 4"/>
    <n v="216"/>
    <n v="714.35"/>
    <n v="154299.6"/>
  </r>
  <r>
    <d v="2023-11-16T00:00:00"/>
    <d v="2023-05-05T00:00:00"/>
    <s v="No"/>
    <n v="195"/>
    <n v="164300.5"/>
    <x v="57"/>
    <n v="230"/>
    <d v="2022-05-05T00:00:00"/>
    <s v="G/ZOR"/>
    <s v="Location 6"/>
    <s v="Customer 4"/>
    <n v="252"/>
    <n v="714.35"/>
    <n v="180016.2"/>
  </r>
  <r>
    <d v="2024-01-09T00:00:00"/>
    <d v="2023-05-05T00:00:00"/>
    <s v="No"/>
    <n v="249"/>
    <n v="15715.7"/>
    <x v="57"/>
    <n v="22"/>
    <d v="2022-05-05T00:00:00"/>
    <s v="G/ZOR"/>
    <s v="Location 6"/>
    <s v="Customer 4"/>
    <n v="252"/>
    <n v="714.35"/>
    <n v="180016.2"/>
  </r>
  <r>
    <d v="2024-01-09T00:00:00"/>
    <d v="2023-05-19T00:00:00"/>
    <s v="No"/>
    <n v="235"/>
    <n v="102866.4"/>
    <x v="57"/>
    <n v="144"/>
    <d v="2022-05-05T00:00:00"/>
    <s v="G/ZOR"/>
    <s v="Location 6"/>
    <s v="Customer 4"/>
    <n v="144"/>
    <n v="714.35"/>
    <n v="102866.4"/>
  </r>
  <r>
    <d v="2024-01-09T00:00:00"/>
    <d v="2023-10-27T00:00:00"/>
    <s v="No"/>
    <n v="74"/>
    <n v="180016.2"/>
    <x v="57"/>
    <n v="252"/>
    <d v="2022-05-05T00:00:00"/>
    <s v="G/ZOR"/>
    <s v="Location 6"/>
    <s v="Customer 4"/>
    <n v="252"/>
    <n v="714.35"/>
    <n v="180016.2"/>
  </r>
  <r>
    <d v="2024-01-09T00:00:00"/>
    <d v="2023-11-03T00:00:00"/>
    <s v="No"/>
    <n v="67"/>
    <n v="102866.4"/>
    <x v="57"/>
    <n v="144"/>
    <d v="2022-05-26T00:00:00"/>
    <s v="G/ZOR"/>
    <s v="Location 6"/>
    <s v="Customer 4"/>
    <n v="144"/>
    <n v="714.35"/>
    <n v="102866.4"/>
  </r>
  <r>
    <d v="2024-01-09T00:00:00"/>
    <d v="2023-11-10T00:00:00"/>
    <s v="No"/>
    <n v="60"/>
    <n v="180016.2"/>
    <x v="57"/>
    <n v="252"/>
    <d v="2022-05-26T00:00:00"/>
    <s v="G/ZOR"/>
    <s v="Location 6"/>
    <s v="Customer 4"/>
    <n v="252"/>
    <n v="714.35"/>
    <n v="180016.2"/>
  </r>
  <r>
    <d v="2024-01-09T00:00:00"/>
    <d v="2023-11-03T00:00:00"/>
    <s v="No"/>
    <n v="67"/>
    <n v="77149.8"/>
    <x v="57"/>
    <n v="108"/>
    <d v="2022-05-26T00:00:00"/>
    <s v="G/ZOR"/>
    <s v="Location 6"/>
    <s v="Customer 4"/>
    <n v="108"/>
    <n v="714.35"/>
    <n v="77149.8"/>
  </r>
  <r>
    <d v="2023-10-19T00:00:00"/>
    <d v="2023-03-10T00:00:00"/>
    <s v="No"/>
    <n v="223"/>
    <n v="51433.2"/>
    <x v="57"/>
    <n v="72"/>
    <d v="2022-06-09T00:00:00"/>
    <s v="G/ZOR"/>
    <s v="Location 6"/>
    <s v="Customer 4"/>
    <n v="72"/>
    <n v="714.35"/>
    <n v="51433.2"/>
  </r>
  <r>
    <d v="2024-01-09T00:00:00"/>
    <d v="2023-11-17T00:00:00"/>
    <s v="No"/>
    <n v="53"/>
    <n v="25716.6"/>
    <x v="57"/>
    <n v="36"/>
    <d v="2022-06-09T00:00:00"/>
    <s v="G/ZOR"/>
    <s v="Location 6"/>
    <s v="Customer 4"/>
    <n v="36"/>
    <n v="714.35"/>
    <n v="25716.6"/>
  </r>
  <r>
    <d v="2023-11-09T00:00:00"/>
    <d v="2023-03-24T00:00:00"/>
    <s v="No"/>
    <n v="230"/>
    <n v="127868.65"/>
    <x v="57"/>
    <n v="179"/>
    <d v="2022-06-28T00:00:00"/>
    <s v="G/ZOR"/>
    <s v="Location 6"/>
    <s v="Customer 4"/>
    <n v="216"/>
    <n v="714.35"/>
    <n v="154299.6"/>
  </r>
  <r>
    <d v="2023-11-16T00:00:00"/>
    <d v="2023-03-24T00:00:00"/>
    <s v="No"/>
    <n v="237"/>
    <n v="26430.95"/>
    <x v="57"/>
    <n v="37"/>
    <d v="2022-06-28T00:00:00"/>
    <s v="G/ZOR"/>
    <s v="Location 6"/>
    <s v="Customer 4"/>
    <n v="216"/>
    <n v="714.35"/>
    <n v="154299.6"/>
  </r>
  <r>
    <d v="2023-11-16T00:00:00"/>
    <d v="2023-04-07T00:00:00"/>
    <s v="No"/>
    <n v="223"/>
    <n v="246450.75"/>
    <x v="57"/>
    <n v="345"/>
    <d v="2022-06-28T00:00:00"/>
    <s v="G/ZOR"/>
    <s v="Location 6"/>
    <s v="Customer 4"/>
    <n v="345"/>
    <n v="714.35"/>
    <n v="246450.75"/>
  </r>
  <r>
    <d v="2024-01-09T00:00:00"/>
    <d v="2024-01-02T00:00:00"/>
    <s v="No"/>
    <n v="7"/>
    <n v="154299.6"/>
    <x v="57"/>
    <n v="216"/>
    <d v="2022-10-05T00:00:00"/>
    <s v="G/ZOR"/>
    <s v="Location 6"/>
    <s v="Customer 4"/>
    <n v="216"/>
    <n v="714.35"/>
    <n v="154299.6"/>
  </r>
  <r>
    <d v="2024-01-09T00:00:00"/>
    <d v="2024-01-02T00:00:00"/>
    <s v="No"/>
    <n v="7"/>
    <n v="112867.3"/>
    <x v="57"/>
    <n v="158"/>
    <d v="2022-10-05T00:00:00"/>
    <s v="G/ZOR"/>
    <s v="Location 6"/>
    <s v="Customer 4"/>
    <n v="216"/>
    <n v="714.35"/>
    <n v="154299.6"/>
  </r>
  <r>
    <d v="2024-01-23T00:00:00"/>
    <d v="2024-01-02T00:00:00"/>
    <s v="No"/>
    <n v="21"/>
    <n v="41432.300000000003"/>
    <x v="57"/>
    <n v="58"/>
    <d v="2022-10-05T00:00:00"/>
    <s v="G/ZOR"/>
    <s v="Location 6"/>
    <s v="Customer 4"/>
    <n v="216"/>
    <n v="714.35"/>
    <n v="154299.6"/>
  </r>
  <r>
    <d v="2024-01-23T00:00:00"/>
    <d v="2024-01-02T00:00:00"/>
    <s v="No"/>
    <n v="21"/>
    <n v="77149.8"/>
    <x v="57"/>
    <n v="108"/>
    <d v="2022-10-05T00:00:00"/>
    <s v="G/ZOR"/>
    <s v="Location 6"/>
    <s v="Customer 4"/>
    <n v="108"/>
    <n v="714.35"/>
    <n v="77149.8"/>
  </r>
  <r>
    <d v="2024-01-23T00:00:00"/>
    <d v="2024-01-02T00:00:00"/>
    <s v="No"/>
    <n v="21"/>
    <n v="257166"/>
    <x v="57"/>
    <n v="360"/>
    <d v="2022-10-18T00:00:00"/>
    <s v="G/ZOR"/>
    <s v="Location 6"/>
    <s v="Customer 4"/>
    <n v="360"/>
    <n v="714.35"/>
    <n v="257166"/>
  </r>
  <r>
    <d v="2024-01-26T00:00:00"/>
    <d v="2024-01-02T00:00:00"/>
    <s v="No"/>
    <n v="24"/>
    <n v="61434.1"/>
    <x v="57"/>
    <n v="86"/>
    <d v="2022-10-28T00:00:00"/>
    <s v="G/ZOR"/>
    <s v="Location 6"/>
    <s v="Customer 4"/>
    <n v="288"/>
    <n v="714.35"/>
    <n v="205732.8"/>
  </r>
  <r>
    <d v="2024-02-02T00:00:00"/>
    <d v="2024-01-02T00:00:00"/>
    <s v="No"/>
    <n v="31"/>
    <n v="144298.70000000001"/>
    <x v="57"/>
    <n v="202"/>
    <d v="2022-10-28T00:00:00"/>
    <s v="G/ZOR"/>
    <s v="Location 6"/>
    <s v="Customer 4"/>
    <n v="288"/>
    <n v="714.35"/>
    <n v="205732.8"/>
  </r>
  <r>
    <d v="2024-02-02T00:00:00"/>
    <d v="2024-01-02T00:00:00"/>
    <s v="No"/>
    <n v="31"/>
    <n v="180016.2"/>
    <x v="57"/>
    <n v="252"/>
    <d v="2022-10-28T00:00:00"/>
    <s v="G/ZOR"/>
    <s v="Location 6"/>
    <s v="Customer 4"/>
    <n v="252"/>
    <n v="714.35"/>
    <n v="180016.2"/>
  </r>
  <r>
    <d v="2024-02-02T00:00:00"/>
    <d v="2024-01-02T00:00:00"/>
    <s v="No"/>
    <n v="31"/>
    <n v="360032.4"/>
    <x v="57"/>
    <n v="504"/>
    <d v="2022-11-01T00:00:00"/>
    <s v="G/ZOR"/>
    <s v="Location 6"/>
    <s v="Customer 4"/>
    <n v="504"/>
    <n v="714.35"/>
    <n v="360032.4"/>
  </r>
  <r>
    <d v="2024-02-02T00:00:00"/>
    <d v="2024-01-02T00:00:00"/>
    <s v="No"/>
    <n v="31"/>
    <n v="257166"/>
    <x v="57"/>
    <n v="360"/>
    <d v="2022-11-01T00:00:00"/>
    <s v="G/ZOR"/>
    <s v="Location 6"/>
    <s v="Customer 4"/>
    <n v="360"/>
    <n v="714.35"/>
    <n v="257166"/>
  </r>
  <r>
    <d v="2024-02-02T00:00:00"/>
    <d v="2024-01-02T00:00:00"/>
    <s v="No"/>
    <n v="31"/>
    <n v="10000.9"/>
    <x v="57"/>
    <n v="14"/>
    <d v="2022-11-02T00:00:00"/>
    <s v="G/ZOR"/>
    <s v="Location 6"/>
    <s v="Customer 4"/>
    <n v="216"/>
    <n v="714.35"/>
    <n v="154299.6"/>
  </r>
  <r>
    <d v="2024-02-09T00:00:00"/>
    <d v="2024-01-02T00:00:00"/>
    <s v="No"/>
    <n v="38"/>
    <n v="144298.70000000001"/>
    <x v="57"/>
    <n v="202"/>
    <d v="2022-11-02T00:00:00"/>
    <s v="G/ZOR"/>
    <s v="Location 6"/>
    <s v="Customer 4"/>
    <n v="216"/>
    <n v="714.35"/>
    <n v="154299.6"/>
  </r>
  <r>
    <d v="2024-02-09T00:00:00"/>
    <d v="2024-01-02T00:00:00"/>
    <s v="No"/>
    <n v="38"/>
    <n v="128583"/>
    <x v="57"/>
    <n v="180"/>
    <d v="2022-11-02T00:00:00"/>
    <s v="G/ZOR"/>
    <s v="Location 6"/>
    <s v="Customer 4"/>
    <n v="180"/>
    <n v="714.35"/>
    <n v="128583"/>
  </r>
  <r>
    <d v="2024-02-09T00:00:00"/>
    <d v="2024-01-02T00:00:00"/>
    <s v="No"/>
    <n v="38"/>
    <n v="128583"/>
    <x v="57"/>
    <n v="180"/>
    <d v="2022-11-02T00:00:00"/>
    <s v="G/ZOR"/>
    <s v="Location 6"/>
    <s v="Customer 4"/>
    <n v="180"/>
    <n v="714.35"/>
    <n v="128583"/>
  </r>
  <r>
    <d v="2024-02-09T00:00:00"/>
    <d v="2024-01-02T00:00:00"/>
    <s v="No"/>
    <n v="38"/>
    <n v="154299.6"/>
    <x v="57"/>
    <n v="216"/>
    <d v="2022-11-02T00:00:00"/>
    <s v="G/ZOR"/>
    <s v="Location 6"/>
    <s v="Customer 4"/>
    <n v="216"/>
    <n v="714.35"/>
    <n v="154299.6"/>
  </r>
  <r>
    <d v="2024-02-09T00:00:00"/>
    <d v="2024-01-02T00:00:00"/>
    <s v="No"/>
    <n v="38"/>
    <n v="114296"/>
    <x v="57"/>
    <n v="160"/>
    <d v="2022-11-04T00:00:00"/>
    <s v="G/ZOR"/>
    <s v="Location 6"/>
    <s v="Customer 4"/>
    <n v="540"/>
    <n v="714.35"/>
    <n v="385749"/>
  </r>
  <r>
    <d v="2024-02-10T00:00:00"/>
    <d v="2024-01-02T00:00:00"/>
    <s v="No"/>
    <n v="39"/>
    <n v="102866.4"/>
    <x v="57"/>
    <n v="144"/>
    <d v="2022-11-04T00:00:00"/>
    <s v="G/ZOR"/>
    <s v="Location 6"/>
    <s v="Customer 4"/>
    <n v="540"/>
    <n v="714.35"/>
    <n v="385749"/>
  </r>
  <r>
    <d v="2024-02-17T00:00:00"/>
    <d v="2024-01-02T00:00:00"/>
    <s v="No"/>
    <n v="46"/>
    <n v="168586.6"/>
    <x v="57"/>
    <n v="236"/>
    <d v="2022-11-04T00:00:00"/>
    <s v="G/ZOR"/>
    <s v="Location 6"/>
    <s v="Customer 4"/>
    <n v="540"/>
    <n v="714.35"/>
    <n v="385749"/>
  </r>
  <r>
    <d v="2024-02-17T00:00:00"/>
    <d v="2024-01-02T00:00:00"/>
    <s v="No"/>
    <n v="46"/>
    <n v="51433.2"/>
    <x v="57"/>
    <n v="72"/>
    <d v="2022-11-10T00:00:00"/>
    <s v="G/ZOR"/>
    <s v="Location 6"/>
    <s v="Customer 4"/>
    <n v="72"/>
    <n v="714.35"/>
    <n v="51433.2"/>
  </r>
  <r>
    <d v="2024-02-17T00:00:00"/>
    <d v="2024-01-02T00:00:00"/>
    <s v="No"/>
    <n v="46"/>
    <n v="205732.8"/>
    <x v="57"/>
    <n v="288"/>
    <d v="2022-11-14T00:00:00"/>
    <s v="G/ZOR"/>
    <s v="Location 6"/>
    <s v="Customer 4"/>
    <n v="288"/>
    <n v="714.35"/>
    <n v="205732.8"/>
  </r>
  <r>
    <d v="2024-02-17T00:00:00"/>
    <d v="2024-01-02T00:00:00"/>
    <s v="No"/>
    <n v="46"/>
    <n v="51433.2"/>
    <x v="57"/>
    <n v="72"/>
    <d v="2022-11-30T00:00:00"/>
    <s v="G/ZOR"/>
    <s v="Location 6"/>
    <s v="Customer 4"/>
    <n v="72"/>
    <n v="714.35"/>
    <n v="51433.2"/>
  </r>
  <r>
    <d v="2024-02-17T00:00:00"/>
    <d v="2024-01-02T00:00:00"/>
    <s v="No"/>
    <n v="46"/>
    <n v="102866.4"/>
    <x v="57"/>
    <n v="144"/>
    <d v="2022-11-30T00:00:00"/>
    <s v="G/ZOR"/>
    <s v="Location 6"/>
    <s v="Customer 4"/>
    <n v="144"/>
    <n v="714.35"/>
    <n v="102866.4"/>
  </r>
  <r>
    <d v="2024-02-17T00:00:00"/>
    <d v="2024-01-02T00:00:00"/>
    <s v="No"/>
    <n v="46"/>
    <n v="114296"/>
    <x v="57"/>
    <n v="160"/>
    <d v="2022-11-30T00:00:00"/>
    <s v="G/ZOR"/>
    <s v="Location 6"/>
    <s v="Customer 4"/>
    <n v="180"/>
    <n v="714.35"/>
    <n v="128583"/>
  </r>
  <r>
    <d v="2024-03-02T00:00:00"/>
    <d v="2024-01-02T00:00:00"/>
    <s v="No"/>
    <n v="60"/>
    <n v="14287"/>
    <x v="57"/>
    <n v="20"/>
    <d v="2022-11-30T00:00:00"/>
    <s v="G/ZOR"/>
    <s v="Location 6"/>
    <s v="Customer 4"/>
    <n v="180"/>
    <n v="714.35"/>
    <n v="128583"/>
  </r>
  <r>
    <d v="2024-03-02T00:00:00"/>
    <d v="2024-01-02T00:00:00"/>
    <s v="No"/>
    <n v="60"/>
    <n v="51433.2"/>
    <x v="57"/>
    <n v="72"/>
    <d v="2022-12-06T00:00:00"/>
    <s v="G/ZOR"/>
    <s v="Location 6"/>
    <s v="Customer 4"/>
    <n v="72"/>
    <n v="714.35"/>
    <n v="51433.2"/>
  </r>
  <r>
    <d v="2024-03-02T00:00:00"/>
    <d v="2024-01-02T00:00:00"/>
    <s v="No"/>
    <n v="60"/>
    <n v="128583"/>
    <x v="57"/>
    <n v="180"/>
    <d v="2022-12-14T00:00:00"/>
    <s v="G/ZOR"/>
    <s v="Location 6"/>
    <s v="Customer 4"/>
    <n v="180"/>
    <n v="714.35"/>
    <n v="128583"/>
  </r>
  <r>
    <d v="2024-03-02T00:00:00"/>
    <d v="2024-01-02T00:00:00"/>
    <s v="No"/>
    <n v="60"/>
    <n v="154299.6"/>
    <x v="57"/>
    <n v="216"/>
    <d v="2022-12-14T00:00:00"/>
    <s v="G/ZOR"/>
    <s v="Location 6"/>
    <s v="Customer 4"/>
    <n v="216"/>
    <n v="714.35"/>
    <n v="154299.6"/>
  </r>
  <r>
    <d v="2024-03-02T00:00:00"/>
    <d v="2024-01-02T00:00:00"/>
    <s v="No"/>
    <n v="60"/>
    <n v="128583"/>
    <x v="57"/>
    <n v="180"/>
    <d v="2022-12-14T00:00:00"/>
    <s v="G/ZOR"/>
    <s v="Location 6"/>
    <s v="Customer 4"/>
    <n v="180"/>
    <n v="714.35"/>
    <n v="128583"/>
  </r>
  <r>
    <d v="2024-03-02T00:00:00"/>
    <d v="2024-01-02T00:00:00"/>
    <s v="No"/>
    <n v="60"/>
    <n v="128583"/>
    <x v="57"/>
    <n v="180"/>
    <d v="2022-12-14T00:00:00"/>
    <s v="G/ZOR"/>
    <s v="Location 6"/>
    <s v="Customer 4"/>
    <n v="180"/>
    <n v="714.35"/>
    <n v="128583"/>
  </r>
  <r>
    <d v="2024-03-02T00:00:00"/>
    <d v="2024-01-02T00:00:00"/>
    <s v="No"/>
    <n v="60"/>
    <n v="108581.2"/>
    <x v="57"/>
    <n v="152"/>
    <d v="2022-12-14T00:00:00"/>
    <s v="G/ZOR"/>
    <s v="Location 6"/>
    <s v="Customer 4"/>
    <n v="180"/>
    <n v="714.35"/>
    <n v="128583"/>
  </r>
  <r>
    <d v="2024-03-07T00:00:00"/>
    <d v="2024-01-02T00:00:00"/>
    <s v="No"/>
    <n v="65"/>
    <n v="20001.8"/>
    <x v="57"/>
    <n v="28"/>
    <d v="2022-12-14T00:00:00"/>
    <s v="G/ZOR"/>
    <s v="Location 6"/>
    <s v="Customer 4"/>
    <n v="180"/>
    <n v="714.35"/>
    <n v="128583"/>
  </r>
  <r>
    <d v="2024-03-07T00:00:00"/>
    <d v="2024-01-02T00:00:00"/>
    <s v="No"/>
    <n v="65"/>
    <n v="154299.6"/>
    <x v="57"/>
    <n v="216"/>
    <d v="2022-12-14T00:00:00"/>
    <s v="G/ZOR"/>
    <s v="Location 6"/>
    <s v="Customer 4"/>
    <n v="216"/>
    <n v="714.35"/>
    <n v="154299.6"/>
  </r>
  <r>
    <d v="2024-03-07T00:00:00"/>
    <d v="2024-01-02T00:00:00"/>
    <s v="No"/>
    <n v="65"/>
    <n v="57148"/>
    <x v="57"/>
    <n v="80"/>
    <d v="2022-12-20T00:00:00"/>
    <s v="G/ZOR"/>
    <s v="Location 6"/>
    <s v="Customer 4"/>
    <n v="180"/>
    <n v="714.35"/>
    <n v="128583"/>
  </r>
  <r>
    <d v="2024-03-16T00:00:00"/>
    <d v="2024-01-02T00:00:00"/>
    <s v="No"/>
    <n v="74"/>
    <n v="71435"/>
    <x v="57"/>
    <n v="100"/>
    <d v="2022-12-20T00:00:00"/>
    <s v="G/ZOR"/>
    <s v="Location 6"/>
    <s v="Customer 4"/>
    <n v="180"/>
    <n v="714.35"/>
    <n v="128583"/>
  </r>
  <r>
    <d v="2024-03-16T00:00:00"/>
    <d v="2024-01-02T00:00:00"/>
    <s v="No"/>
    <n v="74"/>
    <n v="31431.4"/>
    <x v="57"/>
    <n v="44"/>
    <d v="2023-01-10T00:00:00"/>
    <s v="G/ZOR"/>
    <s v="Location 6"/>
    <s v="Customer 4"/>
    <n v="252"/>
    <n v="714.35"/>
    <n v="180016.2"/>
  </r>
  <r>
    <d v="2024-03-19T00:00:00"/>
    <d v="2024-01-02T00:00:00"/>
    <s v="No"/>
    <n v="77"/>
    <n v="148584.79999999999"/>
    <x v="57"/>
    <n v="208"/>
    <d v="2023-01-10T00:00:00"/>
    <s v="G/ZOR"/>
    <s v="Location 6"/>
    <s v="Customer 4"/>
    <n v="252"/>
    <n v="714.35"/>
    <n v="180016.2"/>
  </r>
  <r>
    <d v="2024-03-19T00:00:00"/>
    <d v="2024-01-02T00:00:00"/>
    <s v="No"/>
    <n v="77"/>
    <n v="160014.39999999999"/>
    <x v="57"/>
    <n v="224"/>
    <d v="2023-01-10T00:00:00"/>
    <s v="G/ZOR"/>
    <s v="Location 6"/>
    <s v="Customer 4"/>
    <n v="252"/>
    <n v="714.35"/>
    <n v="180016.2"/>
  </r>
  <r>
    <d v="2024-04-05T00:00:00"/>
    <d v="2024-01-02T00:00:00"/>
    <s v="No"/>
    <n v="94"/>
    <n v="20001.8"/>
    <x v="57"/>
    <n v="28"/>
    <d v="2023-01-10T00:00:00"/>
    <s v="G/ZOR"/>
    <s v="Location 6"/>
    <s v="Customer 4"/>
    <n v="252"/>
    <n v="714.35"/>
    <n v="180016.2"/>
  </r>
  <r>
    <d v="2024-04-05T00:00:00"/>
    <d v="2024-01-02T00:00:00"/>
    <s v="No"/>
    <n v="94"/>
    <n v="77149.8"/>
    <x v="57"/>
    <n v="108"/>
    <d v="2023-01-10T00:00:00"/>
    <s v="G/ZOR"/>
    <s v="Location 6"/>
    <s v="Customer 4"/>
    <n v="108"/>
    <n v="714.35"/>
    <n v="77149.8"/>
  </r>
  <r>
    <d v="2024-04-05T00:00:00"/>
    <d v="2024-01-02T00:00:00"/>
    <s v="No"/>
    <n v="94"/>
    <n v="180016.2"/>
    <x v="57"/>
    <n v="252"/>
    <d v="2023-01-18T00:00:00"/>
    <s v="G/ZOR"/>
    <s v="Location 6"/>
    <s v="Customer 4"/>
    <n v="252"/>
    <n v="714.35"/>
    <n v="180016.2"/>
  </r>
  <r>
    <d v="2024-04-05T00:00:00"/>
    <d v="2024-01-02T00:00:00"/>
    <s v="No"/>
    <n v="94"/>
    <n v="205732.8"/>
    <x v="57"/>
    <n v="288"/>
    <d v="2023-01-18T00:00:00"/>
    <s v="G/ZOR"/>
    <s v="Location 6"/>
    <s v="Customer 4"/>
    <n v="288"/>
    <n v="714.35"/>
    <n v="205732.8"/>
  </r>
  <r>
    <d v="2024-04-05T00:00:00"/>
    <d v="2024-01-02T00:00:00"/>
    <s v="No"/>
    <n v="94"/>
    <n v="5714.8"/>
    <x v="57"/>
    <n v="8"/>
    <d v="2023-01-18T00:00:00"/>
    <s v="G/ZOR"/>
    <s v="Location 6"/>
    <s v="Customer 4"/>
    <n v="180"/>
    <n v="714.35"/>
    <n v="128583"/>
  </r>
  <r>
    <d v="2024-04-12T00:00:00"/>
    <d v="2024-01-02T00:00:00"/>
    <s v="No"/>
    <n v="101"/>
    <n v="122868.2"/>
    <x v="57"/>
    <n v="172"/>
    <d v="2023-01-18T00:00:00"/>
    <s v="G/ZOR"/>
    <s v="Location 6"/>
    <s v="Customer 4"/>
    <n v="180"/>
    <n v="714.35"/>
    <n v="128583"/>
  </r>
  <r>
    <d v="2024-04-12T00:00:00"/>
    <d v="2024-01-02T00:00:00"/>
    <s v="No"/>
    <n v="101"/>
    <n v="180016.2"/>
    <x v="57"/>
    <n v="252"/>
    <d v="2023-01-31T00:00:00"/>
    <s v="G/ZOR"/>
    <s v="Location 6"/>
    <s v="Customer 4"/>
    <n v="252"/>
    <n v="714.35"/>
    <n v="180016.2"/>
  </r>
  <r>
    <d v="2024-04-12T00:00:00"/>
    <d v="2024-01-02T00:00:00"/>
    <s v="No"/>
    <n v="101"/>
    <n v="102866.4"/>
    <x v="57"/>
    <n v="144"/>
    <d v="2023-01-31T00:00:00"/>
    <s v="G/ZOR"/>
    <s v="Location 6"/>
    <s v="Customer 4"/>
    <n v="144"/>
    <n v="714.35"/>
    <n v="102866.4"/>
  </r>
  <r>
    <d v="2024-04-12T00:00:00"/>
    <d v="2024-01-02T00:00:00"/>
    <s v="No"/>
    <n v="101"/>
    <n v="154299.6"/>
    <x v="57"/>
    <n v="216"/>
    <d v="2023-01-31T00:00:00"/>
    <s v="G/ZOR"/>
    <s v="Location 6"/>
    <s v="Customer 4"/>
    <n v="216"/>
    <n v="714.35"/>
    <n v="154299.6"/>
  </r>
  <r>
    <d v="2024-11-07T00:00:00"/>
    <d v="2023-08-01T00:00:00"/>
    <s v="No"/>
    <n v="464"/>
    <n v="69350.399999999994"/>
    <x v="58"/>
    <n v="84"/>
    <d v="2022-08-26T00:00:00"/>
    <s v="G/ZOR"/>
    <s v="Location 8"/>
    <s v="Customer 6"/>
    <n v="84"/>
    <n v="825.6"/>
    <n v="69350.399999999994"/>
  </r>
  <r>
    <d v="2023-12-29T00:00:00"/>
    <d v="2022-12-22T00:00:00"/>
    <s v="No"/>
    <n v="372"/>
    <n v="72059.679999999993"/>
    <x v="59"/>
    <n v="1232"/>
    <d v="2022-12-19T00:00:00"/>
    <s v="G/ZOR"/>
    <s v="Location 6"/>
    <s v="Customer 4"/>
    <n v="3696"/>
    <n v="58.49"/>
    <n v="216179.04"/>
  </r>
  <r>
    <d v="2024-01-11T00:00:00"/>
    <d v="2022-12-22T00:00:00"/>
    <s v="No"/>
    <n v="385"/>
    <n v="144119.35999999999"/>
    <x v="59"/>
    <n v="2464"/>
    <d v="2022-12-19T00:00:00"/>
    <s v="G/ZOR"/>
    <s v="Location 6"/>
    <s v="Customer 4"/>
    <n v="3696"/>
    <n v="58.49"/>
    <n v="216179.04"/>
  </r>
  <r>
    <d v="2024-01-11T00:00:00"/>
    <d v="2023-09-22T00:00:00"/>
    <s v="No"/>
    <n v="111"/>
    <n v="72059.679999999993"/>
    <x v="59"/>
    <n v="1232"/>
    <d v="2022-12-19T00:00:00"/>
    <s v="G/ZOR"/>
    <s v="Location 6"/>
    <s v="Customer 4"/>
    <n v="1232"/>
    <n v="58.49"/>
    <n v="72059.679999999993"/>
  </r>
  <r>
    <d v="2024-03-22T00:00:00"/>
    <d v="2024-03-16T00:00:00"/>
    <s v="No"/>
    <n v="6"/>
    <n v="216179.04"/>
    <x v="59"/>
    <n v="3696"/>
    <d v="2023-01-23T00:00:00"/>
    <s v="G/ZOR"/>
    <s v="Location 6"/>
    <s v="Customer 4"/>
    <n v="3696"/>
    <n v="58.49"/>
    <n v="216179.04"/>
  </r>
  <r>
    <d v="2023-11-07T00:00:00"/>
    <d v="2023-10-06T00:00:00"/>
    <s v="No"/>
    <n v="32"/>
    <n v="8019.2"/>
    <x v="60"/>
    <n v="1120"/>
    <d v="2022-10-31T00:00:00"/>
    <s v="G/ZOR"/>
    <s v="Location 6"/>
    <s v="Customer 4"/>
    <n v="1120"/>
    <n v="7.16"/>
    <n v="8019.2"/>
  </r>
  <r>
    <d v="2024-01-05T00:00:00"/>
    <d v="2024-01-05T00:00:00"/>
    <s v="Yes"/>
    <n v="0"/>
    <n v="16038.4"/>
    <x v="60"/>
    <n v="2240"/>
    <d v="2022-12-20T00:00:00"/>
    <s v="G/ZOR"/>
    <s v="Location 6"/>
    <s v="Customer 4"/>
    <n v="2240"/>
    <n v="7.16"/>
    <n v="16038.4"/>
  </r>
  <r>
    <d v="2024-04-05T00:00:00"/>
    <d v="2024-04-05T00:00:00"/>
    <s v="Yes"/>
    <n v="0"/>
    <n v="8019.2"/>
    <x v="60"/>
    <n v="1120"/>
    <d v="2023-01-17T00:00:00"/>
    <s v="G/ZOR"/>
    <s v="Location 6"/>
    <s v="Customer 4"/>
    <n v="1120"/>
    <n v="7.16"/>
    <n v="8019.2"/>
  </r>
  <r>
    <d v="2024-01-06T00:00:00"/>
    <d v="2023-12-15T00:00:00"/>
    <s v="No"/>
    <n v="22"/>
    <n v="6226.92"/>
    <x v="61"/>
    <n v="252"/>
    <d v="2022-12-21T00:00:00"/>
    <s v="G/ZOR"/>
    <s v="Location 6"/>
    <s v="Customer 4"/>
    <n v="252"/>
    <n v="24.71"/>
    <n v="6226.92"/>
  </r>
  <r>
    <d v="2024-01-06T00:00:00"/>
    <d v="2023-12-15T00:00:00"/>
    <s v="No"/>
    <n v="22"/>
    <n v="6226.92"/>
    <x v="61"/>
    <n v="252"/>
    <d v="2022-12-21T00:00:00"/>
    <s v="G/ZOR"/>
    <s v="Location 6"/>
    <s v="Customer 4"/>
    <n v="252"/>
    <n v="24.71"/>
    <n v="6226.92"/>
  </r>
  <r>
    <d v="2024-09-05T00:00:00"/>
    <d v="2024-09-05T00:00:00"/>
    <s v="Yes"/>
    <n v="0"/>
    <n v="6226.92"/>
    <x v="61"/>
    <n v="252"/>
    <d v="2023-09-04T00:00:00"/>
    <s v="G/ZOR"/>
    <s v="Location 6"/>
    <s v="Customer 4"/>
    <n v="252"/>
    <n v="24.71"/>
    <n v="6226.92"/>
  </r>
  <r>
    <d v="2023-10-27T00:00:00"/>
    <d v="2022-12-23T00:00:00"/>
    <s v="No"/>
    <n v="308"/>
    <n v="80231.199999999997"/>
    <x v="62"/>
    <n v="70"/>
    <d v="2022-03-28T00:00:00"/>
    <s v="G/ZOR"/>
    <s v="Location 8"/>
    <s v="Customer 6"/>
    <n v="70"/>
    <n v="1146.1600000000001"/>
    <n v="80231.199999999997"/>
  </r>
  <r>
    <d v="2023-10-27T00:00:00"/>
    <d v="2022-12-23T00:00:00"/>
    <s v="No"/>
    <n v="308"/>
    <n v="80231.199999999997"/>
    <x v="62"/>
    <n v="70"/>
    <d v="2022-05-27T00:00:00"/>
    <s v="G/ZOR"/>
    <s v="Location 8"/>
    <s v="Customer 6"/>
    <n v="70"/>
    <n v="1146.1600000000001"/>
    <n v="80231.199999999997"/>
  </r>
  <r>
    <d v="2023-10-27T00:00:00"/>
    <d v="2023-05-31T00:00:00"/>
    <s v="No"/>
    <n v="149"/>
    <n v="160462.39999999999"/>
    <x v="62"/>
    <n v="140"/>
    <d v="2022-05-27T00:00:00"/>
    <s v="G/ZOR"/>
    <s v="Location 8"/>
    <s v="Customer 6"/>
    <n v="140"/>
    <n v="1146.1600000000001"/>
    <n v="160462.39999999999"/>
  </r>
  <r>
    <d v="2023-10-27T00:00:00"/>
    <d v="2022-12-23T00:00:00"/>
    <s v="No"/>
    <n v="308"/>
    <n v="80231.199999999997"/>
    <x v="62"/>
    <n v="70"/>
    <d v="2022-06-02T00:00:00"/>
    <s v="G/ZOR"/>
    <s v="Location 8"/>
    <s v="Customer 6"/>
    <n v="70"/>
    <n v="1146.1600000000001"/>
    <n v="80231.199999999997"/>
  </r>
  <r>
    <d v="2023-10-27T00:00:00"/>
    <d v="2023-05-02T00:00:00"/>
    <s v="No"/>
    <n v="178"/>
    <n v="160462.39999999999"/>
    <x v="62"/>
    <n v="140"/>
    <d v="2022-06-02T00:00:00"/>
    <s v="G/ZOR"/>
    <s v="Location 8"/>
    <s v="Customer 6"/>
    <n v="140"/>
    <n v="1146.1600000000001"/>
    <n v="160462.39999999999"/>
  </r>
  <r>
    <d v="2023-10-27T00:00:00"/>
    <d v="2023-06-14T00:00:00"/>
    <s v="No"/>
    <n v="135"/>
    <n v="80231.199999999997"/>
    <x v="62"/>
    <n v="70"/>
    <d v="2022-06-02T00:00:00"/>
    <s v="G/ZOR"/>
    <s v="Location 8"/>
    <s v="Customer 6"/>
    <n v="70"/>
    <n v="1146.1600000000001"/>
    <n v="80231.199999999997"/>
  </r>
  <r>
    <d v="2023-10-27T00:00:00"/>
    <d v="2022-12-23T00:00:00"/>
    <s v="No"/>
    <n v="308"/>
    <n v="160462.39999999999"/>
    <x v="62"/>
    <n v="140"/>
    <d v="2022-08-17T00:00:00"/>
    <s v="G/ZOR"/>
    <s v="Location 8"/>
    <s v="Customer 6"/>
    <n v="140"/>
    <n v="1146.1600000000001"/>
    <n v="160462.39999999999"/>
  </r>
  <r>
    <d v="2023-10-27T00:00:00"/>
    <d v="2023-06-14T00:00:00"/>
    <s v="No"/>
    <n v="135"/>
    <n v="80231.199999999997"/>
    <x v="62"/>
    <n v="70"/>
    <d v="2022-08-17T00:00:00"/>
    <s v="G/ZOR"/>
    <s v="Location 8"/>
    <s v="Customer 6"/>
    <n v="70"/>
    <n v="1146.1600000000001"/>
    <n v="80231.199999999997"/>
  </r>
  <r>
    <d v="2023-10-27T00:00:00"/>
    <d v="2023-06-27T00:00:00"/>
    <s v="No"/>
    <n v="122"/>
    <n v="320924.79999999999"/>
    <x v="62"/>
    <n v="280"/>
    <d v="2022-08-17T00:00:00"/>
    <s v="G/ZOR"/>
    <s v="Location 8"/>
    <s v="Customer 6"/>
    <n v="280"/>
    <n v="1146.1600000000001"/>
    <n v="320924.79999999999"/>
  </r>
  <r>
    <d v="2023-10-27T00:00:00"/>
    <d v="2023-08-01T00:00:00"/>
    <s v="No"/>
    <n v="87"/>
    <n v="240693.6"/>
    <x v="62"/>
    <n v="210"/>
    <d v="2022-08-17T00:00:00"/>
    <s v="G/ZOR"/>
    <s v="Location 8"/>
    <s v="Customer 6"/>
    <n v="210"/>
    <n v="1146.1600000000001"/>
    <n v="240693.6"/>
  </r>
  <r>
    <d v="2023-09-19T00:00:00"/>
    <d v="2022-01-11T00:00:00"/>
    <s v="No"/>
    <n v="616"/>
    <n v="2322.6"/>
    <x v="63"/>
    <n v="7"/>
    <d v="2023-03-02T00:00:00"/>
    <s v="G/ZOR"/>
    <s v="Location 12"/>
    <s v="Customer 6"/>
    <n v="7"/>
    <n v="331.8"/>
    <n v="2322.6"/>
  </r>
  <r>
    <d v="2024-11-28T00:00:00"/>
    <d v="2024-11-28T00:00:00"/>
    <s v="Yes"/>
    <n v="0"/>
    <n v="21120"/>
    <x v="64"/>
    <n v="12000"/>
    <d v="2022-12-19T00:00:00"/>
    <s v="G/ZOR"/>
    <s v="Location 11"/>
    <s v="Customer 2"/>
    <n v="63000"/>
    <n v="1.76"/>
    <n v="110880"/>
  </r>
  <r>
    <d v="2024-12-16T00:00:00"/>
    <d v="2024-11-28T00:00:00"/>
    <s v="No"/>
    <n v="18"/>
    <n v="89760"/>
    <x v="64"/>
    <n v="51000"/>
    <d v="2022-12-19T00:00:00"/>
    <s v="G/ZOR"/>
    <s v="Location 11"/>
    <s v="Customer 2"/>
    <n v="63000"/>
    <n v="1.76"/>
    <n v="110880"/>
  </r>
  <r>
    <d v="2023-10-26T00:00:00"/>
    <d v="2023-10-26T00:00:00"/>
    <s v="Yes"/>
    <n v="0"/>
    <n v="23308.560000000001"/>
    <x v="4"/>
    <n v="216"/>
    <d v="2022-09-27T00:00:00"/>
    <s v="G/ZOR"/>
    <s v="Location 13"/>
    <s v="Customer 9"/>
    <n v="216"/>
    <n v="107.91"/>
    <n v="23308.560000000001"/>
  </r>
  <r>
    <d v="2023-10-19T00:00:00"/>
    <d v="2023-10-19T00:00:00"/>
    <s v="Yes"/>
    <n v="0"/>
    <n v="58271.4"/>
    <x v="4"/>
    <n v="540"/>
    <d v="2023-01-05T00:00:00"/>
    <s v="G/ZOR"/>
    <s v="Location 13"/>
    <s v="Customer 9"/>
    <n v="540"/>
    <n v="107.91"/>
    <n v="58271.4"/>
  </r>
  <r>
    <d v="2023-10-12T00:00:00"/>
    <d v="2023-10-12T00:00:00"/>
    <s v="Yes"/>
    <n v="0"/>
    <n v="46617.120000000003"/>
    <x v="4"/>
    <n v="432"/>
    <d v="2023-01-11T00:00:00"/>
    <s v="G/ZOR"/>
    <s v="Location 13"/>
    <s v="Customer 9"/>
    <n v="432"/>
    <n v="107.91"/>
    <n v="46617.120000000003"/>
  </r>
  <r>
    <d v="2023-10-18T00:00:00"/>
    <d v="2023-10-18T00:00:00"/>
    <s v="Yes"/>
    <n v="0"/>
    <n v="139851.35999999999"/>
    <x v="4"/>
    <n v="1296"/>
    <d v="2023-01-11T00:00:00"/>
    <s v="G/ZOR"/>
    <s v="Location 13"/>
    <s v="Customer 9"/>
    <n v="1296"/>
    <n v="107.91"/>
    <n v="139851.35999999999"/>
  </r>
  <r>
    <d v="2024-04-03T00:00:00"/>
    <d v="2024-04-03T00:00:00"/>
    <s v="Yes"/>
    <n v="0"/>
    <n v="54085.2"/>
    <x v="7"/>
    <n v="120"/>
    <d v="2022-12-09T00:00:00"/>
    <s v="G/ZOR"/>
    <s v="Location 13"/>
    <s v="Customer 9"/>
    <n v="120"/>
    <n v="450.71"/>
    <n v="54085.2"/>
  </r>
  <r>
    <d v="2024-04-10T00:00:00"/>
    <d v="2024-04-10T00:00:00"/>
    <s v="Yes"/>
    <n v="0"/>
    <n v="324511.2"/>
    <x v="7"/>
    <n v="720"/>
    <d v="2022-12-22T00:00:00"/>
    <s v="G/ZOR"/>
    <s v="Location 13"/>
    <s v="Customer 9"/>
    <n v="720"/>
    <n v="450.71"/>
    <n v="324511.2"/>
  </r>
  <r>
    <d v="2024-05-15T00:00:00"/>
    <d v="2024-05-15T00:00:00"/>
    <s v="Yes"/>
    <n v="0"/>
    <n v="162255.6"/>
    <x v="7"/>
    <n v="360"/>
    <d v="2022-12-28T00:00:00"/>
    <s v="G/ZOR"/>
    <s v="Location 13"/>
    <s v="Customer 9"/>
    <n v="360"/>
    <n v="450.71"/>
    <n v="162255.6"/>
  </r>
  <r>
    <d v="2024-06-12T00:00:00"/>
    <d v="2024-06-12T00:00:00"/>
    <s v="Yes"/>
    <n v="0"/>
    <n v="162255.6"/>
    <x v="7"/>
    <n v="360"/>
    <d v="2023-01-19T00:00:00"/>
    <s v="G/ZOR"/>
    <s v="Location 13"/>
    <s v="Customer 9"/>
    <n v="360"/>
    <n v="450.71"/>
    <n v="162255.6"/>
  </r>
  <r>
    <d v="2024-02-01T00:00:00"/>
    <d v="2023-03-01T00:00:00"/>
    <s v="No"/>
    <n v="337"/>
    <n v="5882.88"/>
    <x v="62"/>
    <n v="64"/>
    <d v="2023-01-26T00:00:00"/>
    <s v="G/ZOR"/>
    <s v="Location 13"/>
    <s v="Customer 9"/>
    <n v="120"/>
    <n v="91.92"/>
    <n v="11030.4"/>
  </r>
  <r>
    <d v="2024-02-06T00:00:00"/>
    <d v="2023-03-01T00:00:00"/>
    <s v="No"/>
    <n v="342"/>
    <n v="5147.5200000000004"/>
    <x v="62"/>
    <n v="56"/>
    <d v="2023-01-26T00:00:00"/>
    <s v="G/ZOR"/>
    <s v="Location 13"/>
    <s v="Customer 9"/>
    <n v="120"/>
    <n v="91.92"/>
    <n v="11030.4"/>
  </r>
  <r>
    <d v="2024-02-01T00:00:00"/>
    <d v="2023-02-01T00:00:00"/>
    <s v="No"/>
    <n v="365"/>
    <n v="11030.4"/>
    <x v="62"/>
    <n v="120"/>
    <d v="2023-01-26T00:00:00"/>
    <s v="G/ZOR"/>
    <s v="Location 13"/>
    <s v="Customer 9"/>
    <n v="120"/>
    <n v="91.92"/>
    <n v="11030.4"/>
  </r>
  <r>
    <d v="2024-05-15T00:00:00"/>
    <d v="2023-04-24T00:00:00"/>
    <s v="No"/>
    <n v="387"/>
    <n v="11030.4"/>
    <x v="62"/>
    <n v="120"/>
    <d v="2023-01-26T00:00:00"/>
    <s v="G/ZOR"/>
    <s v="Location 13"/>
    <s v="Customer 9"/>
    <n v="120"/>
    <n v="91.92"/>
    <n v="11030.4"/>
  </r>
  <r>
    <d v="2024-05-01T00:00:00"/>
    <d v="2023-04-17T00:00:00"/>
    <s v="No"/>
    <n v="380"/>
    <n v="5882.88"/>
    <x v="62"/>
    <n v="64"/>
    <d v="2023-02-07T00:00:00"/>
    <s v="G/ZOR"/>
    <s v="Location 13"/>
    <s v="Customer 9"/>
    <n v="120"/>
    <n v="91.92"/>
    <n v="11030.4"/>
  </r>
  <r>
    <d v="2024-05-15T00:00:00"/>
    <d v="2023-04-17T00:00:00"/>
    <s v="No"/>
    <n v="394"/>
    <n v="5147.5200000000004"/>
    <x v="62"/>
    <n v="56"/>
    <d v="2023-02-07T00:00:00"/>
    <s v="G/ZOR"/>
    <s v="Location 13"/>
    <s v="Customer 9"/>
    <n v="120"/>
    <n v="91.92"/>
    <n v="11030.4"/>
  </r>
  <r>
    <d v="2023-09-16T00:00:00"/>
    <d v="2023-09-16T00:00:00"/>
    <s v="Yes"/>
    <n v="0"/>
    <n v="21606.48"/>
    <x v="10"/>
    <n v="252"/>
    <d v="2022-08-02T00:00:00"/>
    <s v="G/ZOR"/>
    <s v="Location 13"/>
    <s v="Customer 9"/>
    <n v="252"/>
    <n v="85.74"/>
    <n v="21606.48"/>
  </r>
  <r>
    <d v="2024-02-02T00:00:00"/>
    <d v="2023-11-29T00:00:00"/>
    <s v="No"/>
    <n v="65"/>
    <n v="21606.48"/>
    <x v="10"/>
    <n v="252"/>
    <d v="2023-02-12T00:00:00"/>
    <s v="G/ZOR"/>
    <s v="Location 13"/>
    <s v="Customer 9"/>
    <n v="252"/>
    <n v="85.74"/>
    <n v="21606.48"/>
  </r>
  <r>
    <d v="2024-03-13T00:00:00"/>
    <d v="2024-03-13T00:00:00"/>
    <s v="Yes"/>
    <n v="0"/>
    <n v="21606.48"/>
    <x v="10"/>
    <n v="252"/>
    <d v="2023-02-15T00:00:00"/>
    <s v="G/ZOR"/>
    <s v="Location 13"/>
    <s v="Customer 9"/>
    <n v="252"/>
    <n v="85.74"/>
    <n v="21606.48"/>
  </r>
  <r>
    <d v="2024-08-09T00:00:00"/>
    <d v="2024-08-09T00:00:00"/>
    <s v="Yes"/>
    <n v="0"/>
    <n v="21606.48"/>
    <x v="10"/>
    <n v="252"/>
    <d v="2023-07-17T00:00:00"/>
    <s v="G/ZOR"/>
    <s v="Location 13"/>
    <s v="Customer 9"/>
    <n v="252"/>
    <n v="85.74"/>
    <n v="21606.48"/>
  </r>
  <r>
    <d v="2023-09-25T00:00:00"/>
    <d v="2023-09-25T00:00:00"/>
    <s v="Yes"/>
    <n v="0"/>
    <n v="922.5"/>
    <x v="61"/>
    <n v="9000"/>
    <d v="2023-04-17T00:00:00"/>
    <s v="G/ZOR"/>
    <s v="Location 13"/>
    <s v="Customer 9"/>
    <n v="9000"/>
    <n v="0.1"/>
    <n v="900"/>
  </r>
  <r>
    <d v="2023-10-18T00:00:00"/>
    <d v="2023-10-18T00:00:00"/>
    <s v="Yes"/>
    <n v="0"/>
    <n v="776941.5"/>
    <x v="15"/>
    <n v="1770"/>
    <d v="2022-10-14T00:00:00"/>
    <s v="G/ZOR"/>
    <s v="Location 13"/>
    <s v="Customer 9"/>
    <n v="1770"/>
    <n v="438.95"/>
    <n v="776941.5"/>
  </r>
  <r>
    <d v="2023-10-25T00:00:00"/>
    <d v="2023-10-25T00:00:00"/>
    <s v="Yes"/>
    <n v="0"/>
    <n v="263370"/>
    <x v="15"/>
    <n v="600"/>
    <d v="2022-10-14T00:00:00"/>
    <s v="G/ZOR"/>
    <s v="Location 13"/>
    <s v="Customer 9"/>
    <n v="600"/>
    <n v="438.95"/>
    <n v="263370"/>
  </r>
  <r>
    <d v="2023-10-04T00:00:00"/>
    <d v="2023-10-04T00:00:00"/>
    <s v="Yes"/>
    <n v="0"/>
    <n v="276538.5"/>
    <x v="15"/>
    <n v="630"/>
    <d v="2022-10-17T00:00:00"/>
    <s v="G/ZOR"/>
    <s v="Location 13"/>
    <s v="Customer 9"/>
    <n v="630"/>
    <n v="438.95"/>
    <n v="276538.5"/>
  </r>
  <r>
    <d v="2024-01-17T00:00:00"/>
    <d v="2024-01-17T00:00:00"/>
    <s v="Yes"/>
    <n v="0"/>
    <n v="184359"/>
    <x v="15"/>
    <n v="420"/>
    <d v="2023-01-11T00:00:00"/>
    <s v="G/ZOR"/>
    <s v="Location 13"/>
    <s v="Customer 9"/>
    <n v="1290"/>
    <n v="438.95"/>
    <n v="566245.5"/>
  </r>
  <r>
    <d v="2024-02-08T00:00:00"/>
    <d v="2024-01-17T00:00:00"/>
    <s v="No"/>
    <n v="22"/>
    <n v="381886.5"/>
    <x v="15"/>
    <n v="870"/>
    <d v="2023-01-11T00:00:00"/>
    <s v="G/ZOR"/>
    <s v="Location 13"/>
    <s v="Customer 9"/>
    <n v="1290"/>
    <n v="438.95"/>
    <n v="566245.5"/>
  </r>
  <r>
    <d v="2024-07-12T00:00:00"/>
    <d v="2024-07-12T00:00:00"/>
    <s v="Yes"/>
    <n v="0"/>
    <n v="184359"/>
    <x v="15"/>
    <n v="420"/>
    <d v="2023-06-13T00:00:00"/>
    <s v="G/ZOR"/>
    <s v="Location 13"/>
    <s v="Customer 9"/>
    <n v="420"/>
    <n v="438.95"/>
    <n v="184359"/>
  </r>
  <r>
    <d v="2025-07-25T00:00:00"/>
    <d v="2025-07-25T00:00:00"/>
    <s v="Yes"/>
    <n v="0"/>
    <n v="13168.5"/>
    <x v="15"/>
    <n v="30"/>
    <d v="2023-06-13T00:00:00"/>
    <s v="G/ZOR"/>
    <s v="Location 13"/>
    <s v="Customer 9"/>
    <n v="30"/>
    <n v="438.95"/>
    <n v="13168.5"/>
  </r>
  <r>
    <d v="2023-09-21T00:00:00"/>
    <d v="2023-08-18T00:00:00"/>
    <s v="No"/>
    <n v="34"/>
    <n v="13168.5"/>
    <x v="15"/>
    <n v="30"/>
    <d v="2023-09-05T00:00:00"/>
    <s v="G/ZOR"/>
    <s v="Location 13"/>
    <s v="Customer 9"/>
    <n v="450"/>
    <n v="438.95"/>
    <n v="197527.5"/>
  </r>
  <r>
    <d v="2023-10-06T00:00:00"/>
    <d v="2023-10-06T00:00:00"/>
    <s v="Yes"/>
    <n v="0"/>
    <n v="89925.119999999995"/>
    <x v="64"/>
    <n v="432"/>
    <d v="2022-11-16T00:00:00"/>
    <s v="G/ZOR"/>
    <s v="Location 13"/>
    <s v="Customer 9"/>
    <n v="432"/>
    <n v="208.16"/>
    <n v="89925.119999999995"/>
  </r>
  <r>
    <d v="2024-01-30T00:00:00"/>
    <d v="2024-01-30T00:00:00"/>
    <s v="Yes"/>
    <n v="0"/>
    <n v="9991.68"/>
    <x v="64"/>
    <n v="48"/>
    <d v="2023-01-19T00:00:00"/>
    <s v="G/ZOR"/>
    <s v="Location 13"/>
    <s v="Customer 9"/>
    <n v="48"/>
    <n v="208.16"/>
    <n v="9991.68"/>
  </r>
  <r>
    <d v="2023-11-24T00:00:00"/>
    <d v="2023-11-24T00:00:00"/>
    <s v="Yes"/>
    <n v="0"/>
    <n v="73402.559999999998"/>
    <x v="65"/>
    <n v="1008"/>
    <d v="2022-06-03T00:00:00"/>
    <s v="G/ZOR"/>
    <s v="Location 13"/>
    <s v="Customer 9"/>
    <n v="1008"/>
    <n v="72.819999999999993"/>
    <n v="73402.559999999998"/>
  </r>
  <r>
    <d v="2023-10-09T00:00:00"/>
    <d v="2023-04-25T00:00:00"/>
    <s v="No"/>
    <n v="167"/>
    <n v="4568.2"/>
    <x v="17"/>
    <n v="1820"/>
    <d v="2022-05-06T00:00:00"/>
    <s v="G/ZOR"/>
    <s v="Location 13"/>
    <s v="Customer 9"/>
    <n v="1820"/>
    <n v="2.5099999999999998"/>
    <n v="4568.2"/>
  </r>
  <r>
    <d v="2023-10-09T00:00:00"/>
    <d v="2023-06-30T00:00:00"/>
    <s v="No"/>
    <n v="101"/>
    <n v="4568.2"/>
    <x v="17"/>
    <n v="1820"/>
    <d v="2022-06-09T00:00:00"/>
    <s v="G/ZOR"/>
    <s v="Location 13"/>
    <s v="Customer 9"/>
    <n v="1820"/>
    <n v="2.5099999999999998"/>
    <n v="4568.2"/>
  </r>
  <r>
    <d v="2024-05-03T00:00:00"/>
    <d v="2024-05-03T00:00:00"/>
    <s v="Yes"/>
    <n v="0"/>
    <n v="4568.2"/>
    <x v="17"/>
    <n v="1820"/>
    <d v="2023-05-09T00:00:00"/>
    <s v="G/ZOR"/>
    <s v="Location 13"/>
    <s v="Customer 9"/>
    <n v="1820"/>
    <n v="2.5099999999999998"/>
    <n v="4568.2"/>
  </r>
  <r>
    <d v="2024-07-30T00:00:00"/>
    <d v="2024-07-30T00:00:00"/>
    <s v="Yes"/>
    <n v="0"/>
    <n v="4568.2"/>
    <x v="17"/>
    <n v="1820"/>
    <d v="2023-08-09T00:00:00"/>
    <s v="G/ZOR"/>
    <s v="Location 13"/>
    <s v="Customer 9"/>
    <n v="1820"/>
    <n v="2.5099999999999998"/>
    <n v="4568.2"/>
  </r>
  <r>
    <d v="2024-08-27T00:00:00"/>
    <d v="2024-08-27T00:00:00"/>
    <s v="Yes"/>
    <n v="0"/>
    <n v="4568.2"/>
    <x v="17"/>
    <n v="1820"/>
    <d v="2023-08-09T00:00:00"/>
    <s v="G/ZOR"/>
    <s v="Location 13"/>
    <s v="Customer 9"/>
    <n v="1820"/>
    <n v="2.5099999999999998"/>
    <n v="4568.2"/>
  </r>
  <r>
    <d v="2023-09-14T00:00:00"/>
    <d v="2022-10-05T00:00:00"/>
    <s v="No"/>
    <n v="344"/>
    <n v="73224.350000000006"/>
    <x v="66"/>
    <n v="541"/>
    <d v="2023-04-10T00:00:00"/>
    <s v="G/ZOR"/>
    <s v="Location 13"/>
    <s v="Customer 9"/>
    <n v="541"/>
    <n v="135.35"/>
    <n v="73224.350000000006"/>
  </r>
  <r>
    <d v="2023-09-14T00:00:00"/>
    <d v="2022-08-25T00:00:00"/>
    <s v="No"/>
    <n v="385"/>
    <n v="62802.400000000001"/>
    <x v="66"/>
    <n v="464"/>
    <d v="2023-09-05T00:00:00"/>
    <s v="G/ZOR"/>
    <s v="Location 13"/>
    <s v="Customer 9"/>
    <n v="464"/>
    <n v="135.35"/>
    <n v="62802.400000000001"/>
  </r>
  <r>
    <d v="2023-09-25T00:00:00"/>
    <d v="2023-05-17T00:00:00"/>
    <s v="No"/>
    <n v="131"/>
    <n v="87198.3"/>
    <x v="21"/>
    <n v="210"/>
    <d v="2023-07-07T00:00:00"/>
    <s v="G/ZOR"/>
    <s v="Location 13"/>
    <s v="Customer 9"/>
    <n v="420"/>
    <n v="415.23"/>
    <n v="174396.6"/>
  </r>
  <r>
    <d v="2023-09-25T00:00:00"/>
    <d v="2023-05-03T00:00:00"/>
    <s v="No"/>
    <n v="145"/>
    <n v="29066.1"/>
    <x v="21"/>
    <n v="70"/>
    <d v="2023-09-11T00:00:00"/>
    <s v="G/ZOR"/>
    <s v="Location 13"/>
    <s v="Customer 9"/>
    <n v="560"/>
    <n v="415.23"/>
    <n v="232528.8"/>
  </r>
  <r>
    <d v="2023-09-28T00:00:00"/>
    <d v="2023-05-03T00:00:00"/>
    <s v="No"/>
    <n v="148"/>
    <n v="203462.7"/>
    <x v="21"/>
    <n v="490"/>
    <d v="2023-09-11T00:00:00"/>
    <s v="G/ZOR"/>
    <s v="Location 13"/>
    <s v="Customer 9"/>
    <n v="560"/>
    <n v="415.23"/>
    <n v="232528.8"/>
  </r>
  <r>
    <d v="2023-10-18T00:00:00"/>
    <d v="2023-10-18T00:00:00"/>
    <s v="Yes"/>
    <n v="0"/>
    <n v="120080.8"/>
    <x v="22"/>
    <n v="280"/>
    <d v="2022-11-16T00:00:00"/>
    <s v="G/ZOR"/>
    <s v="Location 13"/>
    <s v="Customer 9"/>
    <n v="280"/>
    <n v="428.86"/>
    <n v="120080.8"/>
  </r>
  <r>
    <d v="2023-11-15T00:00:00"/>
    <d v="2023-11-15T00:00:00"/>
    <s v="Yes"/>
    <n v="0"/>
    <n v="90060.6"/>
    <x v="22"/>
    <n v="210"/>
    <d v="2022-11-16T00:00:00"/>
    <s v="G/ZOR"/>
    <s v="Location 13"/>
    <s v="Customer 9"/>
    <n v="210"/>
    <n v="428.86"/>
    <n v="90060.6"/>
  </r>
  <r>
    <d v="2023-09-25T00:00:00"/>
    <d v="2023-03-01T00:00:00"/>
    <s v="No"/>
    <n v="208"/>
    <n v="26859"/>
    <x v="23"/>
    <n v="70"/>
    <d v="2022-03-05T00:00:00"/>
    <s v="G/ZOR"/>
    <s v="Location 13"/>
    <s v="Customer 9"/>
    <n v="70"/>
    <n v="383.7"/>
    <n v="26859"/>
  </r>
  <r>
    <d v="2023-09-28T00:00:00"/>
    <d v="2023-03-01T00:00:00"/>
    <s v="No"/>
    <n v="211"/>
    <n v="26859"/>
    <x v="23"/>
    <n v="70"/>
    <d v="2022-03-05T00:00:00"/>
    <s v="G/ZOR"/>
    <s v="Location 13"/>
    <s v="Customer 9"/>
    <n v="70"/>
    <n v="383.7"/>
    <n v="26859"/>
  </r>
  <r>
    <d v="2023-09-28T00:00:00"/>
    <d v="2023-02-03T00:00:00"/>
    <s v="No"/>
    <n v="237"/>
    <n v="26859"/>
    <x v="23"/>
    <n v="70"/>
    <d v="2022-03-05T00:00:00"/>
    <s v="G/ZOR"/>
    <s v="Location 13"/>
    <s v="Customer 9"/>
    <n v="70"/>
    <n v="383.7"/>
    <n v="26859"/>
  </r>
  <r>
    <d v="2023-09-28T00:00:00"/>
    <d v="2023-02-01T00:00:00"/>
    <s v="No"/>
    <n v="239"/>
    <n v="26859"/>
    <x v="23"/>
    <n v="70"/>
    <d v="2022-03-05T00:00:00"/>
    <s v="G/ZOR"/>
    <s v="Location 13"/>
    <s v="Customer 9"/>
    <n v="70"/>
    <n v="383.7"/>
    <n v="26859"/>
  </r>
  <r>
    <d v="2023-10-26T00:00:00"/>
    <d v="2023-10-26T00:00:00"/>
    <s v="Yes"/>
    <n v="0"/>
    <n v="250582.2"/>
    <x v="32"/>
    <n v="330"/>
    <d v="2022-05-10T00:00:00"/>
    <s v="G/ZOR"/>
    <s v="Location 13"/>
    <s v="Customer 9"/>
    <n v="330"/>
    <n v="759.34"/>
    <n v="250582.2"/>
  </r>
  <r>
    <d v="2023-10-11T00:00:00"/>
    <d v="2023-10-11T00:00:00"/>
    <s v="Yes"/>
    <n v="0"/>
    <n v="205021.8"/>
    <x v="32"/>
    <n v="270"/>
    <d v="2022-09-23T00:00:00"/>
    <s v="G/ZOR"/>
    <s v="Location 13"/>
    <s v="Customer 9"/>
    <n v="270"/>
    <n v="759.34"/>
    <n v="205021.8"/>
  </r>
  <r>
    <d v="2023-10-19T00:00:00"/>
    <d v="2023-10-19T00:00:00"/>
    <s v="Yes"/>
    <n v="0"/>
    <n v="91120.8"/>
    <x v="32"/>
    <n v="120"/>
    <d v="2022-09-23T00:00:00"/>
    <s v="G/ZOR"/>
    <s v="Location 13"/>
    <s v="Customer 9"/>
    <n v="120"/>
    <n v="759.34"/>
    <n v="91120.8"/>
  </r>
  <r>
    <d v="2023-10-18T00:00:00"/>
    <d v="2023-10-18T00:00:00"/>
    <s v="Yes"/>
    <n v="0"/>
    <n v="91120.8"/>
    <x v="32"/>
    <n v="120"/>
    <d v="2022-09-27T00:00:00"/>
    <s v="G/ZOR"/>
    <s v="Location 13"/>
    <s v="Customer 9"/>
    <n v="120"/>
    <n v="759.34"/>
    <n v="91120.8"/>
  </r>
  <r>
    <d v="2023-10-25T00:00:00"/>
    <d v="2023-10-25T00:00:00"/>
    <s v="Yes"/>
    <n v="0"/>
    <n v="68340.600000000006"/>
    <x v="32"/>
    <n v="90"/>
    <d v="2022-09-27T00:00:00"/>
    <s v="G/ZOR"/>
    <s v="Location 13"/>
    <s v="Customer 9"/>
    <n v="90"/>
    <n v="759.34"/>
    <n v="68340.600000000006"/>
  </r>
  <r>
    <d v="2023-10-25T00:00:00"/>
    <d v="2023-10-25T00:00:00"/>
    <s v="Yes"/>
    <n v="0"/>
    <n v="45560.4"/>
    <x v="32"/>
    <n v="60"/>
    <d v="2022-10-07T00:00:00"/>
    <s v="G/ZOR"/>
    <s v="Location 13"/>
    <s v="Customer 9"/>
    <n v="60"/>
    <n v="759.34"/>
    <n v="45560.4"/>
  </r>
  <r>
    <d v="2023-10-26T00:00:00"/>
    <d v="2023-10-26T00:00:00"/>
    <s v="Yes"/>
    <n v="0"/>
    <n v="68340.600000000006"/>
    <x v="32"/>
    <n v="90"/>
    <d v="2022-10-11T00:00:00"/>
    <s v="G/ZOR"/>
    <s v="Location 13"/>
    <s v="Customer 9"/>
    <n v="90"/>
    <n v="759.34"/>
    <n v="68340.600000000006"/>
  </r>
  <r>
    <d v="2024-01-04T00:00:00"/>
    <d v="2024-01-04T00:00:00"/>
    <s v="Yes"/>
    <n v="0"/>
    <n v="91120.8"/>
    <x v="32"/>
    <n v="120"/>
    <d v="2023-03-22T00:00:00"/>
    <s v="G/ZOR"/>
    <s v="Location 13"/>
    <s v="Customer 9"/>
    <n v="120"/>
    <n v="759.34"/>
    <n v="91120.8"/>
  </r>
  <r>
    <d v="2024-01-03T00:00:00"/>
    <d v="2024-01-03T00:00:00"/>
    <s v="Yes"/>
    <n v="0"/>
    <n v="227802"/>
    <x v="32"/>
    <n v="300"/>
    <d v="2023-04-12T00:00:00"/>
    <s v="G/ZOR"/>
    <s v="Location 13"/>
    <s v="Customer 9"/>
    <n v="300"/>
    <n v="759.34"/>
    <n v="227802"/>
  </r>
  <r>
    <d v="2024-01-10T00:00:00"/>
    <d v="2024-01-10T00:00:00"/>
    <s v="Yes"/>
    <n v="0"/>
    <n v="227802"/>
    <x v="32"/>
    <n v="300"/>
    <d v="2023-04-12T00:00:00"/>
    <s v="G/ZOR"/>
    <s v="Location 13"/>
    <s v="Customer 9"/>
    <n v="300"/>
    <n v="759.34"/>
    <n v="227802"/>
  </r>
  <r>
    <d v="2024-01-17T00:00:00"/>
    <d v="2024-01-17T00:00:00"/>
    <s v="Yes"/>
    <n v="0"/>
    <n v="205021.8"/>
    <x v="32"/>
    <n v="270"/>
    <d v="2023-04-27T00:00:00"/>
    <s v="G/ZOR"/>
    <s v="Location 13"/>
    <s v="Customer 9"/>
    <n v="270"/>
    <n v="759.34"/>
    <n v="205021.8"/>
  </r>
  <r>
    <d v="2024-01-24T00:00:00"/>
    <d v="2024-01-24T00:00:00"/>
    <s v="Yes"/>
    <n v="0"/>
    <n v="205021.8"/>
    <x v="32"/>
    <n v="270"/>
    <d v="2023-04-27T00:00:00"/>
    <s v="G/ZOR"/>
    <s v="Location 13"/>
    <s v="Customer 9"/>
    <n v="270"/>
    <n v="759.34"/>
    <n v="205021.8"/>
  </r>
  <r>
    <d v="2024-02-01T00:00:00"/>
    <d v="2024-02-01T00:00:00"/>
    <s v="Yes"/>
    <n v="0"/>
    <n v="22780.2"/>
    <x v="32"/>
    <n v="30"/>
    <d v="2023-05-04T00:00:00"/>
    <s v="G/ZOR"/>
    <s v="Location 13"/>
    <s v="Customer 9"/>
    <n v="300"/>
    <n v="759.34"/>
    <n v="227802"/>
  </r>
  <r>
    <d v="2024-05-06T00:00:00"/>
    <d v="2024-02-01T00:00:00"/>
    <s v="No"/>
    <n v="95"/>
    <n v="205021.8"/>
    <x v="32"/>
    <n v="270"/>
    <d v="2023-05-04T00:00:00"/>
    <s v="G/ZOR"/>
    <s v="Location 13"/>
    <s v="Customer 9"/>
    <n v="300"/>
    <n v="759.34"/>
    <n v="227802"/>
  </r>
  <r>
    <d v="2024-02-08T00:00:00"/>
    <d v="2024-02-08T00:00:00"/>
    <s v="Yes"/>
    <n v="0"/>
    <n v="205021.8"/>
    <x v="32"/>
    <n v="270"/>
    <d v="2023-05-04T00:00:00"/>
    <s v="G/ZOR"/>
    <s v="Location 13"/>
    <s v="Customer 9"/>
    <n v="270"/>
    <n v="759.34"/>
    <n v="205021.8"/>
  </r>
  <r>
    <d v="2024-05-06T00:00:00"/>
    <d v="2024-02-09T00:00:00"/>
    <s v="No"/>
    <n v="87"/>
    <n v="45560.4"/>
    <x v="32"/>
    <n v="60"/>
    <d v="2023-05-04T00:00:00"/>
    <s v="G/ZOR"/>
    <s v="Location 13"/>
    <s v="Customer 9"/>
    <n v="300"/>
    <n v="759.34"/>
    <n v="227802"/>
  </r>
  <r>
    <d v="2024-05-15T00:00:00"/>
    <d v="2024-02-09T00:00:00"/>
    <s v="No"/>
    <n v="96"/>
    <n v="182241.6"/>
    <x v="32"/>
    <n v="240"/>
    <d v="2023-05-04T00:00:00"/>
    <s v="G/ZOR"/>
    <s v="Location 13"/>
    <s v="Customer 9"/>
    <n v="300"/>
    <n v="759.34"/>
    <n v="227802"/>
  </r>
  <r>
    <d v="2024-05-06T00:00:00"/>
    <d v="2024-02-09T00:00:00"/>
    <s v="No"/>
    <n v="87"/>
    <n v="182241.6"/>
    <x v="32"/>
    <n v="240"/>
    <d v="2023-05-04T00:00:00"/>
    <s v="G/ZOR"/>
    <s v="Location 13"/>
    <s v="Customer 9"/>
    <n v="240"/>
    <n v="759.34"/>
    <n v="182241.6"/>
  </r>
  <r>
    <d v="2024-05-15T00:00:00"/>
    <d v="2024-02-09T00:00:00"/>
    <s v="No"/>
    <n v="96"/>
    <n v="22780.2"/>
    <x v="32"/>
    <n v="30"/>
    <d v="2023-05-04T00:00:00"/>
    <s v="G/ZOR"/>
    <s v="Location 13"/>
    <s v="Customer 9"/>
    <n v="30"/>
    <n v="759.34"/>
    <n v="22780.2"/>
  </r>
  <r>
    <d v="2024-02-12T00:00:00"/>
    <d v="2024-02-12T00:00:00"/>
    <s v="Yes"/>
    <n v="0"/>
    <n v="159461.4"/>
    <x v="32"/>
    <n v="210"/>
    <d v="2023-05-10T00:00:00"/>
    <s v="G/ZOR"/>
    <s v="Location 13"/>
    <s v="Customer 9"/>
    <n v="210"/>
    <n v="759.34"/>
    <n v="159461.4"/>
  </r>
  <r>
    <d v="2024-02-19T00:00:00"/>
    <d v="2024-02-19T00:00:00"/>
    <s v="Yes"/>
    <n v="0"/>
    <n v="205021.8"/>
    <x v="32"/>
    <n v="270"/>
    <d v="2023-05-10T00:00:00"/>
    <s v="G/ZOR"/>
    <s v="Location 13"/>
    <s v="Customer 9"/>
    <n v="270"/>
    <n v="759.34"/>
    <n v="205021.8"/>
  </r>
  <r>
    <d v="2024-02-26T00:00:00"/>
    <d v="2024-02-26T00:00:00"/>
    <s v="Yes"/>
    <n v="0"/>
    <n v="182241.6"/>
    <x v="32"/>
    <n v="240"/>
    <d v="2023-05-10T00:00:00"/>
    <s v="G/ZOR"/>
    <s v="Location 13"/>
    <s v="Customer 9"/>
    <n v="240"/>
    <n v="759.34"/>
    <n v="182241.6"/>
  </r>
  <r>
    <d v="2024-03-04T00:00:00"/>
    <d v="2024-03-04T00:00:00"/>
    <s v="Yes"/>
    <n v="0"/>
    <n v="91120.8"/>
    <x v="32"/>
    <n v="120"/>
    <d v="2023-05-10T00:00:00"/>
    <s v="G/ZOR"/>
    <s v="Location 13"/>
    <s v="Customer 9"/>
    <n v="120"/>
    <n v="759.34"/>
    <n v="91120.8"/>
  </r>
  <r>
    <d v="2024-03-08T00:00:00"/>
    <d v="2024-03-08T00:00:00"/>
    <s v="Yes"/>
    <n v="0"/>
    <n v="227802"/>
    <x v="32"/>
    <n v="300"/>
    <d v="2023-05-10T00:00:00"/>
    <s v="G/ZOR"/>
    <s v="Location 13"/>
    <s v="Customer 9"/>
    <n v="300"/>
    <n v="759.34"/>
    <n v="227802"/>
  </r>
  <r>
    <d v="2024-03-11T00:00:00"/>
    <d v="2024-03-11T00:00:00"/>
    <s v="Yes"/>
    <n v="0"/>
    <n v="22780.2"/>
    <x v="32"/>
    <n v="30"/>
    <d v="2023-05-10T00:00:00"/>
    <s v="G/ZOR"/>
    <s v="Location 13"/>
    <s v="Customer 9"/>
    <n v="30"/>
    <n v="759.34"/>
    <n v="22780.2"/>
  </r>
  <r>
    <d v="2024-03-21T00:00:00"/>
    <d v="2024-03-21T00:00:00"/>
    <s v="Yes"/>
    <n v="0"/>
    <n v="227802"/>
    <x v="32"/>
    <n v="300"/>
    <d v="2023-05-10T00:00:00"/>
    <s v="G/ZOR"/>
    <s v="Location 13"/>
    <s v="Customer 9"/>
    <n v="300"/>
    <n v="759.34"/>
    <n v="227802"/>
  </r>
  <r>
    <d v="2024-03-22T00:00:00"/>
    <d v="2024-03-22T00:00:00"/>
    <s v="Yes"/>
    <n v="0"/>
    <n v="182241.6"/>
    <x v="32"/>
    <n v="240"/>
    <d v="2023-05-10T00:00:00"/>
    <s v="G/ZOR"/>
    <s v="Location 13"/>
    <s v="Customer 9"/>
    <n v="240"/>
    <n v="759.34"/>
    <n v="182241.6"/>
  </r>
  <r>
    <d v="2024-04-25T00:00:00"/>
    <d v="2024-04-25T00:00:00"/>
    <s v="Yes"/>
    <n v="0"/>
    <n v="205021.8"/>
    <x v="32"/>
    <n v="270"/>
    <d v="2023-05-10T00:00:00"/>
    <s v="G/ZOR"/>
    <s v="Location 13"/>
    <s v="Customer 9"/>
    <n v="270"/>
    <n v="759.34"/>
    <n v="205021.8"/>
  </r>
  <r>
    <d v="2024-05-15T00:00:00"/>
    <d v="2024-02-09T00:00:00"/>
    <s v="No"/>
    <n v="96"/>
    <n v="205021.8"/>
    <x v="32"/>
    <n v="270"/>
    <d v="2023-05-10T00:00:00"/>
    <s v="G/ZOR"/>
    <s v="Location 13"/>
    <s v="Customer 9"/>
    <n v="270"/>
    <n v="759.34"/>
    <n v="205021.8"/>
  </r>
  <r>
    <d v="2024-05-15T00:00:00"/>
    <d v="2024-03-28T00:00:00"/>
    <s v="No"/>
    <n v="48"/>
    <n v="182241.6"/>
    <x v="32"/>
    <n v="240"/>
    <d v="2023-05-10T00:00:00"/>
    <s v="G/ZOR"/>
    <s v="Location 13"/>
    <s v="Customer 9"/>
    <n v="240"/>
    <n v="759.34"/>
    <n v="182241.6"/>
  </r>
  <r>
    <d v="2024-05-15T00:00:00"/>
    <d v="2024-04-04T00:00:00"/>
    <s v="No"/>
    <n v="41"/>
    <n v="227802"/>
    <x v="32"/>
    <n v="300"/>
    <d v="2023-05-10T00:00:00"/>
    <s v="G/ZOR"/>
    <s v="Location 13"/>
    <s v="Customer 9"/>
    <n v="300"/>
    <n v="759.34"/>
    <n v="227802"/>
  </r>
  <r>
    <d v="2024-05-15T00:00:00"/>
    <d v="2024-04-11T00:00:00"/>
    <s v="No"/>
    <n v="34"/>
    <n v="205021.8"/>
    <x v="32"/>
    <n v="270"/>
    <d v="2023-05-10T00:00:00"/>
    <s v="G/ZOR"/>
    <s v="Location 13"/>
    <s v="Customer 9"/>
    <n v="270"/>
    <n v="759.34"/>
    <n v="205021.8"/>
  </r>
  <r>
    <d v="2024-05-15T00:00:00"/>
    <d v="2024-04-18T00:00:00"/>
    <s v="No"/>
    <n v="27"/>
    <n v="227802"/>
    <x v="32"/>
    <n v="300"/>
    <d v="2023-05-10T00:00:00"/>
    <s v="G/ZOR"/>
    <s v="Location 13"/>
    <s v="Customer 9"/>
    <n v="300"/>
    <n v="759.34"/>
    <n v="227802"/>
  </r>
  <r>
    <d v="2024-05-15T00:00:00"/>
    <d v="2024-03-21T00:00:00"/>
    <s v="No"/>
    <n v="55"/>
    <n v="205021.8"/>
    <x v="32"/>
    <n v="270"/>
    <d v="2023-05-10T00:00:00"/>
    <s v="G/ZOR"/>
    <s v="Location 13"/>
    <s v="Customer 9"/>
    <n v="270"/>
    <n v="759.34"/>
    <n v="205021.8"/>
  </r>
  <r>
    <d v="2023-10-30T00:00:00"/>
    <d v="2023-02-20T00:00:00"/>
    <s v="No"/>
    <n v="252"/>
    <n v="8208.7000000000007"/>
    <x v="67"/>
    <n v="46"/>
    <d v="2022-07-05T00:00:00"/>
    <s v="G/ZOR"/>
    <s v="Location 13"/>
    <s v="Customer 9"/>
    <n v="46"/>
    <n v="178.45"/>
    <n v="8208.7000000000007"/>
  </r>
  <r>
    <d v="2023-10-30T00:00:00"/>
    <d v="2023-06-21T00:00:00"/>
    <s v="No"/>
    <n v="131"/>
    <n v="2498.3000000000002"/>
    <x v="67"/>
    <n v="14"/>
    <d v="2023-03-07T00:00:00"/>
    <s v="G/ZOR"/>
    <s v="Location 13"/>
    <s v="Customer 9"/>
    <n v="18"/>
    <n v="178.45"/>
    <n v="3212.1"/>
  </r>
  <r>
    <d v="2023-11-09T00:00:00"/>
    <d v="2023-06-21T00:00:00"/>
    <s v="No"/>
    <n v="141"/>
    <n v="713.8"/>
    <x v="67"/>
    <n v="4"/>
    <d v="2023-03-07T00:00:00"/>
    <s v="G/ZOR"/>
    <s v="Location 13"/>
    <s v="Customer 9"/>
    <n v="18"/>
    <n v="178.45"/>
    <n v="3212.1"/>
  </r>
  <r>
    <d v="2023-11-09T00:00:00"/>
    <d v="2023-03-08T00:00:00"/>
    <s v="No"/>
    <n v="246"/>
    <n v="2855.2"/>
    <x v="67"/>
    <n v="16"/>
    <d v="2023-03-08T00:00:00"/>
    <s v="G/ZOR"/>
    <s v="Location 13"/>
    <s v="Customer 9"/>
    <n v="16"/>
    <n v="178.45"/>
    <n v="2855.2"/>
  </r>
  <r>
    <d v="2023-11-09T00:00:00"/>
    <d v="2023-11-08T00:00:00"/>
    <s v="No"/>
    <n v="1"/>
    <n v="178.45"/>
    <x v="67"/>
    <n v="1"/>
    <d v="2023-03-08T00:00:00"/>
    <s v="G/ZOR"/>
    <s v="Location 13"/>
    <s v="Customer 9"/>
    <n v="30"/>
    <n v="178.45"/>
    <n v="5353.5"/>
  </r>
  <r>
    <d v="2023-12-26T00:00:00"/>
    <d v="2023-11-08T00:00:00"/>
    <s v="No"/>
    <n v="48"/>
    <n v="5175.05"/>
    <x v="67"/>
    <n v="29"/>
    <d v="2023-03-08T00:00:00"/>
    <s v="G/ZOR"/>
    <s v="Location 13"/>
    <s v="Customer 9"/>
    <n v="30"/>
    <n v="178.45"/>
    <n v="5353.5"/>
  </r>
  <r>
    <d v="2023-11-22T00:00:00"/>
    <d v="2023-11-22T00:00:00"/>
    <s v="Yes"/>
    <n v="0"/>
    <n v="3569"/>
    <x v="67"/>
    <n v="20"/>
    <d v="2023-03-08T00:00:00"/>
    <s v="G/ZOR"/>
    <s v="Location 13"/>
    <s v="Customer 9"/>
    <n v="20"/>
    <n v="178.45"/>
    <n v="3569"/>
  </r>
  <r>
    <d v="2023-12-26T00:00:00"/>
    <d v="2023-12-06T00:00:00"/>
    <s v="No"/>
    <n v="20"/>
    <n v="5353.5"/>
    <x v="67"/>
    <n v="30"/>
    <d v="2023-03-08T00:00:00"/>
    <s v="G/ZOR"/>
    <s v="Location 13"/>
    <s v="Customer 9"/>
    <n v="30"/>
    <n v="178.45"/>
    <n v="5353.5"/>
  </r>
  <r>
    <d v="2023-12-26T00:00:00"/>
    <d v="2023-08-09T00:00:00"/>
    <s v="No"/>
    <n v="139"/>
    <n v="178.45"/>
    <x v="67"/>
    <n v="1"/>
    <d v="2023-03-08T00:00:00"/>
    <s v="G/ZOR"/>
    <s v="Location 13"/>
    <s v="Customer 9"/>
    <n v="46"/>
    <n v="178.45"/>
    <n v="8208.7000000000007"/>
  </r>
  <r>
    <d v="2023-12-29T00:00:00"/>
    <d v="2023-08-09T00:00:00"/>
    <s v="No"/>
    <n v="142"/>
    <n v="8030.25"/>
    <x v="67"/>
    <n v="45"/>
    <d v="2023-03-08T00:00:00"/>
    <s v="G/ZOR"/>
    <s v="Location 13"/>
    <s v="Customer 9"/>
    <n v="46"/>
    <n v="178.45"/>
    <n v="8208.7000000000007"/>
  </r>
  <r>
    <d v="2023-12-29T00:00:00"/>
    <d v="2023-12-06T00:00:00"/>
    <s v="No"/>
    <n v="23"/>
    <n v="3033.65"/>
    <x v="67"/>
    <n v="17"/>
    <d v="2023-03-08T00:00:00"/>
    <s v="G/ZOR"/>
    <s v="Location 13"/>
    <s v="Customer 9"/>
    <n v="24"/>
    <n v="178.45"/>
    <n v="4282.8"/>
  </r>
  <r>
    <d v="2024-03-12T00:00:00"/>
    <d v="2023-12-06T00:00:00"/>
    <s v="No"/>
    <n v="97"/>
    <n v="1249.1500000000001"/>
    <x v="67"/>
    <n v="7"/>
    <d v="2023-03-08T00:00:00"/>
    <s v="G/ZOR"/>
    <s v="Location 13"/>
    <s v="Customer 9"/>
    <n v="24"/>
    <n v="178.45"/>
    <n v="4282.8"/>
  </r>
  <r>
    <d v="2023-12-29T00:00:00"/>
    <d v="2023-07-14T00:00:00"/>
    <s v="No"/>
    <n v="168"/>
    <n v="8208.7000000000007"/>
    <x v="67"/>
    <n v="46"/>
    <d v="2023-03-08T00:00:00"/>
    <s v="G/ZOR"/>
    <s v="Location 13"/>
    <s v="Customer 9"/>
    <n v="46"/>
    <n v="178.45"/>
    <n v="8208.7000000000007"/>
  </r>
  <r>
    <d v="2024-01-03T00:00:00"/>
    <d v="2024-01-03T00:00:00"/>
    <s v="Yes"/>
    <n v="0"/>
    <n v="5353.5"/>
    <x v="67"/>
    <n v="30"/>
    <d v="2023-03-08T00:00:00"/>
    <s v="G/ZOR"/>
    <s v="Location 13"/>
    <s v="Customer 9"/>
    <n v="30"/>
    <n v="178.45"/>
    <n v="5353.5"/>
  </r>
  <r>
    <d v="2024-01-10T00:00:00"/>
    <d v="2024-01-10T00:00:00"/>
    <s v="Yes"/>
    <n v="0"/>
    <n v="5175.05"/>
    <x v="67"/>
    <n v="29"/>
    <d v="2023-03-08T00:00:00"/>
    <s v="G/ZOR"/>
    <s v="Location 13"/>
    <s v="Customer 9"/>
    <n v="29"/>
    <n v="178.45"/>
    <n v="5175.05"/>
  </r>
  <r>
    <d v="2024-01-19T00:00:00"/>
    <d v="2024-01-19T00:00:00"/>
    <s v="Yes"/>
    <n v="0"/>
    <n v="2855.2"/>
    <x v="67"/>
    <n v="16"/>
    <d v="2023-03-08T00:00:00"/>
    <s v="G/ZOR"/>
    <s v="Location 13"/>
    <s v="Customer 9"/>
    <n v="16"/>
    <n v="178.45"/>
    <n v="2855.2"/>
  </r>
  <r>
    <d v="2024-02-02T00:00:00"/>
    <d v="2024-02-02T00:00:00"/>
    <s v="Yes"/>
    <n v="0"/>
    <n v="2855.2"/>
    <x v="67"/>
    <n v="16"/>
    <d v="2023-03-08T00:00:00"/>
    <s v="G/ZOR"/>
    <s v="Location 13"/>
    <s v="Customer 9"/>
    <n v="16"/>
    <n v="178.45"/>
    <n v="2855.2"/>
  </r>
  <r>
    <d v="2024-02-23T00:00:00"/>
    <d v="2024-02-23T00:00:00"/>
    <s v="Yes"/>
    <n v="0"/>
    <n v="3569"/>
    <x v="67"/>
    <n v="20"/>
    <d v="2023-03-08T00:00:00"/>
    <s v="G/ZOR"/>
    <s v="Location 13"/>
    <s v="Customer 9"/>
    <n v="20"/>
    <n v="178.45"/>
    <n v="3569"/>
  </r>
  <r>
    <d v="2024-03-12T00:00:00"/>
    <d v="2023-11-22T00:00:00"/>
    <s v="No"/>
    <n v="111"/>
    <n v="5353.5"/>
    <x v="67"/>
    <n v="30"/>
    <d v="2023-03-08T00:00:00"/>
    <s v="G/ZOR"/>
    <s v="Location 13"/>
    <s v="Customer 9"/>
    <n v="30"/>
    <n v="178.45"/>
    <n v="5353.5"/>
  </r>
  <r>
    <d v="2024-03-12T00:00:00"/>
    <d v="2023-08-23T00:00:00"/>
    <s v="No"/>
    <n v="202"/>
    <n v="8208.7000000000007"/>
    <x v="67"/>
    <n v="46"/>
    <d v="2023-03-08T00:00:00"/>
    <s v="G/ZOR"/>
    <s v="Location 13"/>
    <s v="Customer 9"/>
    <n v="46"/>
    <n v="178.45"/>
    <n v="8208.7000000000007"/>
  </r>
  <r>
    <d v="2024-03-12T00:00:00"/>
    <d v="2024-01-26T00:00:00"/>
    <s v="No"/>
    <n v="46"/>
    <n v="2855.2"/>
    <x v="67"/>
    <n v="16"/>
    <d v="2023-03-08T00:00:00"/>
    <s v="G/ZOR"/>
    <s v="Location 13"/>
    <s v="Customer 9"/>
    <n v="16"/>
    <n v="178.45"/>
    <n v="2855.2"/>
  </r>
  <r>
    <d v="2024-03-12T00:00:00"/>
    <d v="2024-01-05T00:00:00"/>
    <s v="No"/>
    <n v="67"/>
    <n v="3390.55"/>
    <x v="67"/>
    <n v="19"/>
    <d v="2023-03-08T00:00:00"/>
    <s v="G/ZOR"/>
    <s v="Location 13"/>
    <s v="Customer 9"/>
    <n v="19"/>
    <n v="178.45"/>
    <n v="3390.55"/>
  </r>
  <r>
    <d v="2024-03-12T00:00:00"/>
    <d v="2023-07-07T00:00:00"/>
    <s v="No"/>
    <n v="249"/>
    <n v="8208.7000000000007"/>
    <x v="67"/>
    <n v="46"/>
    <d v="2023-03-08T00:00:00"/>
    <s v="G/ZOR"/>
    <s v="Location 13"/>
    <s v="Customer 9"/>
    <n v="46"/>
    <n v="178.45"/>
    <n v="8208.7000000000007"/>
  </r>
  <r>
    <d v="2024-03-12T00:00:00"/>
    <d v="2024-01-12T00:00:00"/>
    <s v="No"/>
    <n v="60"/>
    <n v="3033.65"/>
    <x v="67"/>
    <n v="17"/>
    <d v="2023-03-08T00:00:00"/>
    <s v="G/ZOR"/>
    <s v="Location 13"/>
    <s v="Customer 9"/>
    <n v="17"/>
    <n v="178.45"/>
    <n v="3033.65"/>
  </r>
  <r>
    <d v="2024-03-12T00:00:00"/>
    <d v="2023-08-16T00:00:00"/>
    <s v="No"/>
    <n v="209"/>
    <n v="8208.7000000000007"/>
    <x v="67"/>
    <n v="46"/>
    <d v="2023-03-08T00:00:00"/>
    <s v="G/ZOR"/>
    <s v="Location 13"/>
    <s v="Customer 9"/>
    <n v="46"/>
    <n v="178.45"/>
    <n v="8208.7000000000007"/>
  </r>
  <r>
    <d v="2024-03-12T00:00:00"/>
    <d v="2023-10-18T00:00:00"/>
    <s v="No"/>
    <n v="146"/>
    <n v="5353.5"/>
    <x v="67"/>
    <n v="30"/>
    <d v="2023-03-08T00:00:00"/>
    <s v="G/ZOR"/>
    <s v="Location 13"/>
    <s v="Customer 9"/>
    <n v="30"/>
    <n v="178.45"/>
    <n v="5353.5"/>
  </r>
  <r>
    <d v="2024-03-12T00:00:00"/>
    <d v="2023-10-06T00:00:00"/>
    <s v="No"/>
    <n v="158"/>
    <n v="5353.5"/>
    <x v="67"/>
    <n v="30"/>
    <d v="2023-03-08T00:00:00"/>
    <s v="G/ZOR"/>
    <s v="Location 13"/>
    <s v="Customer 9"/>
    <n v="30"/>
    <n v="178.45"/>
    <n v="5353.5"/>
  </r>
  <r>
    <d v="2024-03-12T00:00:00"/>
    <d v="2023-09-01T00:00:00"/>
    <s v="No"/>
    <n v="193"/>
    <n v="4818.1499999999996"/>
    <x v="67"/>
    <n v="27"/>
    <d v="2023-03-08T00:00:00"/>
    <s v="G/ZOR"/>
    <s v="Location 13"/>
    <s v="Customer 9"/>
    <n v="27"/>
    <n v="178.45"/>
    <n v="4818.1499999999996"/>
  </r>
  <r>
    <d v="2024-03-12T00:00:00"/>
    <d v="2023-07-12T00:00:00"/>
    <s v="No"/>
    <n v="244"/>
    <n v="6067.3"/>
    <x v="67"/>
    <n v="34"/>
    <d v="2023-03-08T00:00:00"/>
    <s v="G/ZOR"/>
    <s v="Location 13"/>
    <s v="Customer 9"/>
    <n v="34"/>
    <n v="178.45"/>
    <n v="6067.3"/>
  </r>
  <r>
    <d v="2024-03-12T00:00:00"/>
    <d v="2023-12-29T00:00:00"/>
    <s v="No"/>
    <n v="74"/>
    <n v="3390.55"/>
    <x v="67"/>
    <n v="19"/>
    <d v="2023-03-08T00:00:00"/>
    <s v="G/ZOR"/>
    <s v="Location 13"/>
    <s v="Customer 9"/>
    <n v="19"/>
    <n v="178.45"/>
    <n v="3390.55"/>
  </r>
  <r>
    <d v="2024-03-12T00:00:00"/>
    <d v="2023-09-20T00:00:00"/>
    <s v="No"/>
    <n v="174"/>
    <n v="6424.2"/>
    <x v="67"/>
    <n v="36"/>
    <d v="2023-03-08T00:00:00"/>
    <s v="G/ZOR"/>
    <s v="Location 13"/>
    <s v="Customer 9"/>
    <n v="36"/>
    <n v="178.45"/>
    <n v="6424.2"/>
  </r>
  <r>
    <d v="2024-03-12T00:00:00"/>
    <d v="2024-02-16T00:00:00"/>
    <s v="No"/>
    <n v="25"/>
    <n v="2855.2"/>
    <x v="67"/>
    <n v="16"/>
    <d v="2023-03-08T00:00:00"/>
    <s v="G/ZOR"/>
    <s v="Location 13"/>
    <s v="Customer 9"/>
    <n v="16"/>
    <n v="178.45"/>
    <n v="2855.2"/>
  </r>
  <r>
    <d v="2024-03-12T00:00:00"/>
    <d v="2023-08-11T00:00:00"/>
    <s v="No"/>
    <n v="214"/>
    <n v="8208.7000000000007"/>
    <x v="67"/>
    <n v="46"/>
    <d v="2023-03-08T00:00:00"/>
    <s v="G/ZOR"/>
    <s v="Location 13"/>
    <s v="Customer 9"/>
    <n v="46"/>
    <n v="178.45"/>
    <n v="8208.7000000000007"/>
  </r>
  <r>
    <d v="2024-03-12T00:00:00"/>
    <d v="2023-10-04T00:00:00"/>
    <s v="No"/>
    <n v="160"/>
    <n v="5353.5"/>
    <x v="67"/>
    <n v="30"/>
    <d v="2023-03-08T00:00:00"/>
    <s v="G/ZOR"/>
    <s v="Location 13"/>
    <s v="Customer 9"/>
    <n v="30"/>
    <n v="178.45"/>
    <n v="5353.5"/>
  </r>
  <r>
    <d v="2024-03-12T00:00:00"/>
    <d v="2023-11-29T00:00:00"/>
    <s v="No"/>
    <n v="104"/>
    <n v="5353.5"/>
    <x v="67"/>
    <n v="30"/>
    <d v="2023-03-08T00:00:00"/>
    <s v="G/ZOR"/>
    <s v="Location 13"/>
    <s v="Customer 9"/>
    <n v="30"/>
    <n v="178.45"/>
    <n v="5353.5"/>
  </r>
  <r>
    <d v="2024-03-12T00:00:00"/>
    <d v="2023-10-25T00:00:00"/>
    <s v="No"/>
    <n v="139"/>
    <n v="5353.5"/>
    <x v="67"/>
    <n v="30"/>
    <d v="2023-03-08T00:00:00"/>
    <s v="G/ZOR"/>
    <s v="Location 13"/>
    <s v="Customer 9"/>
    <n v="30"/>
    <n v="178.45"/>
    <n v="5353.5"/>
  </r>
  <r>
    <d v="2024-03-22T00:00:00"/>
    <d v="2024-03-22T00:00:00"/>
    <s v="Yes"/>
    <n v="0"/>
    <n v="9279.4"/>
    <x v="67"/>
    <n v="52"/>
    <d v="2023-03-08T00:00:00"/>
    <s v="G/ZOR"/>
    <s v="Location 13"/>
    <s v="Customer 9"/>
    <n v="52"/>
    <n v="178.45"/>
    <n v="9279.4"/>
  </r>
  <r>
    <d v="2024-04-23T00:00:00"/>
    <d v="2023-12-06T00:00:00"/>
    <s v="No"/>
    <n v="139"/>
    <n v="5353.5"/>
    <x v="67"/>
    <n v="30"/>
    <d v="2023-03-08T00:00:00"/>
    <s v="G/ZOR"/>
    <s v="Location 13"/>
    <s v="Customer 9"/>
    <n v="30"/>
    <n v="178.45"/>
    <n v="5353.5"/>
  </r>
  <r>
    <d v="2024-09-16T00:00:00"/>
    <d v="2023-02-08T00:00:00"/>
    <s v="No"/>
    <n v="586"/>
    <n v="1536.7"/>
    <x v="68"/>
    <n v="22"/>
    <d v="2021-09-21T00:00:00"/>
    <s v="G/ZOR"/>
    <s v="Location 13"/>
    <s v="Customer 9"/>
    <n v="22"/>
    <n v="69.849999999999994"/>
    <n v="1536.7"/>
  </r>
  <r>
    <s v=""/>
    <d v="2023-07-26T00:00:00"/>
    <s v="No"/>
    <s v=""/>
    <n v="0"/>
    <x v="68"/>
    <n v="816"/>
    <d v="2022-02-11T00:00:00"/>
    <s v="G/ZOR"/>
    <s v="Location 13"/>
    <s v="Customer 9"/>
    <n v="816"/>
    <n v="69.849999999999994"/>
    <n v="56997.599999999999"/>
  </r>
  <r>
    <d v="2023-09-22T00:00:00"/>
    <d v="2023-09-22T00:00:00"/>
    <s v="Yes"/>
    <n v="0"/>
    <n v="5937.25"/>
    <x v="68"/>
    <n v="85"/>
    <d v="2022-03-18T00:00:00"/>
    <s v="G/ZOR"/>
    <s v="Location 13"/>
    <s v="Customer 9"/>
    <n v="85"/>
    <n v="69.849999999999994"/>
    <n v="5937.25"/>
  </r>
  <r>
    <d v="2023-09-29T00:00:00"/>
    <d v="2023-09-29T00:00:00"/>
    <s v="Yes"/>
    <n v="0"/>
    <n v="4610.1000000000004"/>
    <x v="68"/>
    <n v="66"/>
    <d v="2022-03-24T00:00:00"/>
    <s v="G/ZOR"/>
    <s v="Location 13"/>
    <s v="Customer 9"/>
    <n v="66"/>
    <n v="69.849999999999994"/>
    <n v="4610.1000000000004"/>
  </r>
  <r>
    <d v="2023-10-12T00:00:00"/>
    <d v="2023-10-12T00:00:00"/>
    <s v="Yes"/>
    <n v="0"/>
    <n v="10896.6"/>
    <x v="68"/>
    <n v="156"/>
    <d v="2022-03-29T00:00:00"/>
    <s v="G/ZOR"/>
    <s v="Location 13"/>
    <s v="Customer 9"/>
    <n v="156"/>
    <n v="69.849999999999994"/>
    <n v="10896.6"/>
  </r>
  <r>
    <d v="2023-09-20T00:00:00"/>
    <d v="2023-09-20T00:00:00"/>
    <s v="Yes"/>
    <n v="0"/>
    <n v="27241.5"/>
    <x v="68"/>
    <n v="390"/>
    <d v="2022-03-30T00:00:00"/>
    <s v="G/ZOR"/>
    <s v="Location 13"/>
    <s v="Customer 9"/>
    <n v="390"/>
    <n v="69.849999999999994"/>
    <n v="27241.5"/>
  </r>
  <r>
    <d v="2023-10-13T00:00:00"/>
    <d v="2023-10-13T00:00:00"/>
    <s v="Yes"/>
    <n v="0"/>
    <n v="16764"/>
    <x v="68"/>
    <n v="240"/>
    <d v="2022-04-12T00:00:00"/>
    <s v="G/ZOR"/>
    <s v="Location 13"/>
    <s v="Customer 9"/>
    <n v="240"/>
    <n v="69.849999999999994"/>
    <n v="16764"/>
  </r>
  <r>
    <d v="2023-10-12T00:00:00"/>
    <d v="2023-10-12T00:00:00"/>
    <s v="Yes"/>
    <n v="0"/>
    <n v="48196.5"/>
    <x v="68"/>
    <n v="690"/>
    <d v="2022-04-13T00:00:00"/>
    <s v="G/ZOR"/>
    <s v="Location 13"/>
    <s v="Customer 9"/>
    <n v="690"/>
    <n v="69.849999999999994"/>
    <n v="48196.5"/>
  </r>
  <r>
    <d v="2023-10-21T00:00:00"/>
    <d v="2023-10-21T00:00:00"/>
    <s v="Yes"/>
    <n v="0"/>
    <n v="18021.3"/>
    <x v="68"/>
    <n v="258"/>
    <d v="2022-04-26T00:00:00"/>
    <s v="G/ZOR"/>
    <s v="Location 13"/>
    <s v="Customer 9"/>
    <n v="258"/>
    <n v="69.849999999999994"/>
    <n v="18021.3"/>
  </r>
  <r>
    <d v="2023-10-27T00:00:00"/>
    <d v="2023-10-27T00:00:00"/>
    <s v="Yes"/>
    <n v="0"/>
    <n v="20116.8"/>
    <x v="68"/>
    <n v="288"/>
    <d v="2022-05-10T00:00:00"/>
    <s v="G/ZOR"/>
    <s v="Location 13"/>
    <s v="Customer 9"/>
    <n v="288"/>
    <n v="69.849999999999994"/>
    <n v="20116.8"/>
  </r>
  <r>
    <d v="2023-12-07T00:00:00"/>
    <d v="2023-12-07T00:00:00"/>
    <s v="Yes"/>
    <n v="0"/>
    <n v="20116.8"/>
    <x v="68"/>
    <n v="288"/>
    <d v="2022-06-22T00:00:00"/>
    <s v="G/ZOR"/>
    <s v="Location 13"/>
    <s v="Customer 9"/>
    <n v="288"/>
    <n v="69.849999999999994"/>
    <n v="20116.8"/>
  </r>
  <r>
    <d v="2023-12-07T00:00:00"/>
    <d v="2023-12-07T00:00:00"/>
    <s v="Yes"/>
    <n v="0"/>
    <n v="5029.2"/>
    <x v="68"/>
    <n v="72"/>
    <d v="2022-06-24T00:00:00"/>
    <s v="G/ZOR"/>
    <s v="Location 13"/>
    <s v="Customer 9"/>
    <n v="72"/>
    <n v="69.849999999999994"/>
    <n v="5029.2"/>
  </r>
  <r>
    <d v="2023-09-22T00:00:00"/>
    <d v="2023-09-22T00:00:00"/>
    <s v="Yes"/>
    <n v="0"/>
    <n v="102884.4"/>
    <x v="34"/>
    <n v="120"/>
    <d v="2022-09-08T00:00:00"/>
    <s v="G/ZOR"/>
    <s v="Location 13"/>
    <s v="Customer 9"/>
    <n v="120"/>
    <n v="857.37"/>
    <n v="102884.4"/>
  </r>
  <r>
    <d v="2023-10-02T00:00:00"/>
    <d v="2023-10-02T00:00:00"/>
    <s v="Yes"/>
    <n v="0"/>
    <n v="102884.4"/>
    <x v="34"/>
    <n v="120"/>
    <d v="2022-09-23T00:00:00"/>
    <s v="G/ZOR"/>
    <s v="Location 13"/>
    <s v="Customer 9"/>
    <n v="120"/>
    <n v="857.37"/>
    <n v="102884.4"/>
  </r>
  <r>
    <d v="2023-10-09T00:00:00"/>
    <d v="2023-10-09T00:00:00"/>
    <s v="Yes"/>
    <n v="0"/>
    <n v="51442.2"/>
    <x v="34"/>
    <n v="60"/>
    <d v="2022-09-23T00:00:00"/>
    <s v="G/ZOR"/>
    <s v="Location 13"/>
    <s v="Customer 9"/>
    <n v="60"/>
    <n v="857.37"/>
    <n v="51442.2"/>
  </r>
  <r>
    <d v="2023-10-19T00:00:00"/>
    <d v="2023-10-19T00:00:00"/>
    <s v="Yes"/>
    <n v="0"/>
    <n v="1093146.75"/>
    <x v="34"/>
    <n v="1275"/>
    <d v="2023-01-30T00:00:00"/>
    <s v="G/ZOR"/>
    <s v="Location 13"/>
    <s v="Customer 9"/>
    <n v="1275"/>
    <n v="857.37"/>
    <n v="1093146.75"/>
  </r>
  <r>
    <d v="2024-01-08T00:00:00"/>
    <d v="2024-01-08T00:00:00"/>
    <s v="Yes"/>
    <n v="0"/>
    <n v="192908.25"/>
    <x v="34"/>
    <n v="225"/>
    <d v="2023-03-08T00:00:00"/>
    <s v="G/ZOR"/>
    <s v="Location 13"/>
    <s v="Customer 9"/>
    <n v="225"/>
    <n v="857.37"/>
    <n v="192908.25"/>
  </r>
  <r>
    <d v="2024-01-11T00:00:00"/>
    <d v="2024-01-11T00:00:00"/>
    <s v="Yes"/>
    <n v="0"/>
    <n v="231489.9"/>
    <x v="34"/>
    <n v="270"/>
    <d v="2023-03-08T00:00:00"/>
    <s v="G/ZOR"/>
    <s v="Location 13"/>
    <s v="Customer 9"/>
    <n v="270"/>
    <n v="857.37"/>
    <n v="231489.9"/>
  </r>
  <r>
    <d v="2024-01-18T00:00:00"/>
    <d v="2024-01-18T00:00:00"/>
    <s v="Yes"/>
    <n v="0"/>
    <n v="64302.75"/>
    <x v="34"/>
    <n v="75"/>
    <d v="2023-03-08T00:00:00"/>
    <s v="G/ZOR"/>
    <s v="Location 13"/>
    <s v="Customer 9"/>
    <n v="75"/>
    <n v="857.37"/>
    <n v="64302.75"/>
  </r>
  <r>
    <d v="2024-01-25T00:00:00"/>
    <d v="2024-01-25T00:00:00"/>
    <s v="Yes"/>
    <n v="0"/>
    <n v="244350.45"/>
    <x v="34"/>
    <n v="285"/>
    <d v="2023-03-08T00:00:00"/>
    <s v="G/ZOR"/>
    <s v="Location 13"/>
    <s v="Customer 9"/>
    <n v="285"/>
    <n v="857.37"/>
    <n v="244350.45"/>
  </r>
  <r>
    <d v="2024-02-01T00:00:00"/>
    <d v="2024-02-01T00:00:00"/>
    <s v="Yes"/>
    <n v="0"/>
    <n v="231489.9"/>
    <x v="34"/>
    <n v="270"/>
    <d v="2023-03-08T00:00:00"/>
    <s v="G/ZOR"/>
    <s v="Location 13"/>
    <s v="Customer 9"/>
    <n v="270"/>
    <n v="857.37"/>
    <n v="231489.9"/>
  </r>
  <r>
    <d v="2024-02-08T00:00:00"/>
    <d v="2024-02-08T00:00:00"/>
    <s v="Yes"/>
    <n v="0"/>
    <n v="231489.9"/>
    <x v="34"/>
    <n v="270"/>
    <d v="2023-03-08T00:00:00"/>
    <s v="G/ZOR"/>
    <s v="Location 13"/>
    <s v="Customer 9"/>
    <n v="270"/>
    <n v="857.37"/>
    <n v="231489.9"/>
  </r>
  <r>
    <d v="2024-02-28T00:00:00"/>
    <d v="2024-02-28T00:00:00"/>
    <s v="Yes"/>
    <n v="0"/>
    <n v="51442.2"/>
    <x v="34"/>
    <n v="60"/>
    <d v="2023-03-22T00:00:00"/>
    <s v="G/ZOR"/>
    <s v="Location 13"/>
    <s v="Customer 9"/>
    <n v="60"/>
    <n v="857.37"/>
    <n v="51442.2"/>
  </r>
  <r>
    <d v="2024-02-29T00:00:00"/>
    <d v="2024-02-29T00:00:00"/>
    <s v="Yes"/>
    <n v="0"/>
    <n v="102884.4"/>
    <x v="34"/>
    <n v="120"/>
    <d v="2023-03-22T00:00:00"/>
    <s v="G/ZOR"/>
    <s v="Location 13"/>
    <s v="Customer 9"/>
    <n v="120"/>
    <n v="857.37"/>
    <n v="102884.4"/>
  </r>
  <r>
    <d v="2024-02-29T00:00:00"/>
    <d v="2024-02-29T00:00:00"/>
    <s v="Yes"/>
    <n v="0"/>
    <n v="38581.65"/>
    <x v="34"/>
    <n v="45"/>
    <d v="2023-03-28T00:00:00"/>
    <s v="G/ZOR"/>
    <s v="Location 13"/>
    <s v="Customer 9"/>
    <n v="45"/>
    <n v="857.37"/>
    <n v="38581.65"/>
  </r>
  <r>
    <d v="2024-03-20T00:00:00"/>
    <d v="2024-03-20T00:00:00"/>
    <s v="Yes"/>
    <n v="0"/>
    <n v="64302.75"/>
    <x v="34"/>
    <n v="75"/>
    <d v="2023-03-28T00:00:00"/>
    <s v="G/ZOR"/>
    <s v="Location 13"/>
    <s v="Customer 9"/>
    <n v="75"/>
    <n v="857.37"/>
    <n v="64302.75"/>
  </r>
  <r>
    <d v="2024-03-27T00:00:00"/>
    <d v="2024-03-27T00:00:00"/>
    <s v="Yes"/>
    <n v="0"/>
    <n v="257211"/>
    <x v="34"/>
    <n v="300"/>
    <d v="2023-04-27T00:00:00"/>
    <s v="G/ZOR"/>
    <s v="Location 13"/>
    <s v="Customer 9"/>
    <n v="300"/>
    <n v="857.37"/>
    <n v="257211"/>
  </r>
  <r>
    <d v="2024-04-03T00:00:00"/>
    <d v="2024-04-03T00:00:00"/>
    <s v="Yes"/>
    <n v="0"/>
    <n v="257211"/>
    <x v="34"/>
    <n v="300"/>
    <d v="2023-04-27T00:00:00"/>
    <s v="G/ZOR"/>
    <s v="Location 13"/>
    <s v="Customer 9"/>
    <n v="300"/>
    <n v="857.37"/>
    <n v="257211"/>
  </r>
  <r>
    <d v="2024-04-15T00:00:00"/>
    <d v="2024-04-15T00:00:00"/>
    <s v="Yes"/>
    <n v="0"/>
    <n v="25721.1"/>
    <x v="34"/>
    <n v="30"/>
    <d v="2023-04-27T00:00:00"/>
    <s v="G/ZOR"/>
    <s v="Location 13"/>
    <s v="Customer 9"/>
    <n v="30"/>
    <n v="857.37"/>
    <n v="25721.1"/>
  </r>
  <r>
    <d v="2024-04-17T00:00:00"/>
    <d v="2024-04-17T00:00:00"/>
    <s v="Yes"/>
    <n v="0"/>
    <n v="218629.35"/>
    <x v="34"/>
    <n v="255"/>
    <d v="2023-04-27T00:00:00"/>
    <s v="G/ZOR"/>
    <s v="Location 13"/>
    <s v="Customer 9"/>
    <n v="255"/>
    <n v="857.37"/>
    <n v="218629.35"/>
  </r>
  <r>
    <d v="2024-05-01T00:00:00"/>
    <d v="2024-05-01T00:00:00"/>
    <s v="Yes"/>
    <n v="0"/>
    <n v="321513.75"/>
    <x v="34"/>
    <n v="375"/>
    <d v="2023-05-04T00:00:00"/>
    <s v="G/ZOR"/>
    <s v="Location 13"/>
    <s v="Customer 9"/>
    <n v="375"/>
    <n v="857.37"/>
    <n v="321513.75"/>
  </r>
  <r>
    <d v="2024-05-08T00:00:00"/>
    <d v="2024-05-08T00:00:00"/>
    <s v="Yes"/>
    <n v="0"/>
    <n v="308653.2"/>
    <x v="34"/>
    <n v="360"/>
    <d v="2023-05-04T00:00:00"/>
    <s v="G/ZOR"/>
    <s v="Location 13"/>
    <s v="Customer 9"/>
    <n v="360"/>
    <n v="857.37"/>
    <n v="308653.2"/>
  </r>
  <r>
    <d v="2024-05-15T00:00:00"/>
    <d v="2024-05-15T00:00:00"/>
    <s v="Yes"/>
    <n v="0"/>
    <n v="270071.55"/>
    <x v="34"/>
    <n v="315"/>
    <d v="2023-05-04T00:00:00"/>
    <s v="G/ZOR"/>
    <s v="Location 13"/>
    <s v="Customer 9"/>
    <n v="315"/>
    <n v="857.37"/>
    <n v="270071.55"/>
  </r>
  <r>
    <d v="2024-01-19T00:00:00"/>
    <d v="2023-02-15T00:00:00"/>
    <s v="No"/>
    <n v="338"/>
    <n v="174081.48"/>
    <x v="69"/>
    <n v="92"/>
    <d v="2021-10-07T00:00:00"/>
    <s v="G/ZOR"/>
    <s v="Location 13"/>
    <s v="Customer 9"/>
    <n v="92"/>
    <n v="1892.19"/>
    <n v="174081.48"/>
  </r>
  <r>
    <d v="2024-01-19T00:00:00"/>
    <d v="2023-02-08T00:00:00"/>
    <s v="No"/>
    <n v="345"/>
    <n v="26490.66"/>
    <x v="69"/>
    <n v="14"/>
    <d v="2021-10-20T00:00:00"/>
    <s v="G/ZOR"/>
    <s v="Location 13"/>
    <s v="Customer 9"/>
    <n v="14"/>
    <n v="1892.19"/>
    <n v="26490.66"/>
  </r>
  <r>
    <d v="2024-01-19T00:00:00"/>
    <d v="2023-02-22T00:00:00"/>
    <s v="No"/>
    <n v="331"/>
    <n v="522244.44"/>
    <x v="69"/>
    <n v="276"/>
    <d v="2021-10-20T00:00:00"/>
    <s v="G/ZOR"/>
    <s v="Location 13"/>
    <s v="Customer 9"/>
    <n v="276"/>
    <n v="1892.19"/>
    <n v="522244.44"/>
  </r>
  <r>
    <d v="2024-01-19T00:00:00"/>
    <d v="2023-03-22T00:00:00"/>
    <s v="No"/>
    <n v="303"/>
    <n v="289505.07"/>
    <x v="69"/>
    <n v="153"/>
    <d v="2021-12-03T00:00:00"/>
    <s v="G/ZOR"/>
    <s v="Location 13"/>
    <s v="Customer 9"/>
    <n v="153"/>
    <n v="1892.19"/>
    <n v="289505.07"/>
  </r>
  <r>
    <d v="2024-01-19T00:00:00"/>
    <d v="2023-04-19T00:00:00"/>
    <s v="No"/>
    <n v="275"/>
    <n v="225170.61"/>
    <x v="69"/>
    <n v="119"/>
    <d v="2021-12-10T00:00:00"/>
    <s v="G/ZOR"/>
    <s v="Location 13"/>
    <s v="Customer 9"/>
    <n v="119"/>
    <n v="1892.19"/>
    <n v="225170.61"/>
  </r>
  <r>
    <d v="2024-01-19T00:00:00"/>
    <d v="2023-04-19T00:00:00"/>
    <s v="No"/>
    <n v="275"/>
    <n v="664158.68999999994"/>
    <x v="69"/>
    <n v="351"/>
    <d v="2022-02-02T00:00:00"/>
    <s v="G/ZOR"/>
    <s v="Location 13"/>
    <s v="Customer 9"/>
    <n v="351"/>
    <n v="1892.19"/>
    <n v="664158.68999999994"/>
  </r>
  <r>
    <d v="2024-01-19T00:00:00"/>
    <d v="2023-04-19T00:00:00"/>
    <s v="No"/>
    <n v="275"/>
    <n v="34059.42"/>
    <x v="69"/>
    <n v="18"/>
    <d v="2022-02-02T00:00:00"/>
    <s v="G/ZOR"/>
    <s v="Location 13"/>
    <s v="Customer 9"/>
    <n v="18"/>
    <n v="1892.19"/>
    <n v="34059.42"/>
  </r>
  <r>
    <d v="2024-01-19T00:00:00"/>
    <d v="2023-05-17T00:00:00"/>
    <s v="No"/>
    <n v="247"/>
    <n v="860946.45"/>
    <x v="69"/>
    <n v="455"/>
    <d v="2022-02-02T00:00:00"/>
    <s v="G/ZOR"/>
    <s v="Location 13"/>
    <s v="Customer 9"/>
    <n v="455"/>
    <n v="1892.19"/>
    <n v="860946.45"/>
  </r>
  <r>
    <d v="2024-01-19T00:00:00"/>
    <d v="2023-06-14T00:00:00"/>
    <s v="No"/>
    <n v="219"/>
    <n v="208140.9"/>
    <x v="69"/>
    <n v="110"/>
    <d v="2022-02-11T00:00:00"/>
    <s v="G/ZOR"/>
    <s v="Location 13"/>
    <s v="Customer 9"/>
    <n v="110"/>
    <n v="1892.19"/>
    <n v="208140.9"/>
  </r>
  <r>
    <d v="2024-01-19T00:00:00"/>
    <d v="2023-06-14T00:00:00"/>
    <s v="No"/>
    <n v="219"/>
    <n v="232739.37"/>
    <x v="69"/>
    <n v="123"/>
    <d v="2022-02-16T00:00:00"/>
    <s v="G/ZOR"/>
    <s v="Location 13"/>
    <s v="Customer 9"/>
    <n v="123"/>
    <n v="1892.19"/>
    <n v="232739.37"/>
  </r>
  <r>
    <d v="2024-01-19T00:00:00"/>
    <d v="2023-06-14T00:00:00"/>
    <s v="No"/>
    <n v="219"/>
    <n v="219494.04"/>
    <x v="69"/>
    <n v="116"/>
    <d v="2022-02-16T00:00:00"/>
    <s v="G/ZOR"/>
    <s v="Location 13"/>
    <s v="Customer 9"/>
    <n v="116"/>
    <n v="1892.19"/>
    <n v="219494.04"/>
  </r>
  <r>
    <d v="2024-01-19T00:00:00"/>
    <d v="2023-08-25T00:00:00"/>
    <s v="No"/>
    <n v="147"/>
    <n v="204356.52"/>
    <x v="69"/>
    <n v="108"/>
    <d v="2022-02-23T00:00:00"/>
    <s v="G/ZOR"/>
    <s v="Location 13"/>
    <s v="Customer 9"/>
    <n v="108"/>
    <n v="1892.19"/>
    <n v="204356.52"/>
  </r>
  <r>
    <d v="2024-01-19T00:00:00"/>
    <d v="2023-09-01T00:00:00"/>
    <s v="No"/>
    <n v="140"/>
    <n v="261122.22"/>
    <x v="69"/>
    <n v="138"/>
    <d v="2022-03-17T00:00:00"/>
    <s v="G/ZOR"/>
    <s v="Location 13"/>
    <s v="Customer 9"/>
    <n v="138"/>
    <n v="1892.19"/>
    <n v="261122.22"/>
  </r>
  <r>
    <d v="2024-01-19T00:00:00"/>
    <d v="2023-09-28T00:00:00"/>
    <s v="No"/>
    <n v="113"/>
    <n v="145698.63"/>
    <x v="69"/>
    <n v="77"/>
    <d v="2022-03-22T00:00:00"/>
    <s v="G/ZOR"/>
    <s v="Location 13"/>
    <s v="Customer 9"/>
    <n v="77"/>
    <n v="1892.19"/>
    <n v="145698.63"/>
  </r>
  <r>
    <d v="2024-01-19T00:00:00"/>
    <d v="2023-02-01T00:00:00"/>
    <s v="No"/>
    <n v="352"/>
    <n v="211925.28"/>
    <x v="69"/>
    <n v="112"/>
    <d v="2023-07-12T00:00:00"/>
    <s v="G/ZOR"/>
    <s v="Location 13"/>
    <s v="Customer 9"/>
    <n v="112"/>
    <n v="1892.19"/>
    <n v="211925.28"/>
  </r>
  <r>
    <d v="2024-01-24T00:00:00"/>
    <d v="2024-01-24T00:00:00"/>
    <s v="Yes"/>
    <n v="0"/>
    <n v="26074.44"/>
    <x v="70"/>
    <n v="63"/>
    <d v="2023-06-02T00:00:00"/>
    <s v="G/ZOR"/>
    <s v="Location 13"/>
    <s v="Customer 9"/>
    <n v="63"/>
    <n v="413.88"/>
    <n v="26074.44"/>
  </r>
  <r>
    <d v="2024-04-03T00:00:00"/>
    <d v="2024-04-03T00:00:00"/>
    <s v="Yes"/>
    <n v="0"/>
    <n v="26074.44"/>
    <x v="70"/>
    <n v="63"/>
    <d v="2023-06-07T00:00:00"/>
    <s v="G/ZOR"/>
    <s v="Location 13"/>
    <s v="Customer 9"/>
    <n v="63"/>
    <n v="413.88"/>
    <n v="26074.44"/>
  </r>
  <r>
    <d v="2024-04-30T00:00:00"/>
    <d v="2024-04-30T00:00:00"/>
    <s v="Yes"/>
    <n v="0"/>
    <n v="26074.44"/>
    <x v="70"/>
    <n v="63"/>
    <d v="2023-06-13T00:00:00"/>
    <s v="G/ZOR"/>
    <s v="Location 13"/>
    <s v="Customer 9"/>
    <n v="63"/>
    <n v="413.88"/>
    <n v="26074.44"/>
  </r>
  <r>
    <d v="2024-05-10T00:00:00"/>
    <d v="2024-05-10T00:00:00"/>
    <s v="Yes"/>
    <n v="0"/>
    <n v="26074.44"/>
    <x v="70"/>
    <n v="63"/>
    <d v="2023-06-13T00:00:00"/>
    <s v="G/ZOR"/>
    <s v="Location 13"/>
    <s v="Customer 9"/>
    <n v="63"/>
    <n v="413.88"/>
    <n v="26074.44"/>
  </r>
  <r>
    <d v="2024-06-07T00:00:00"/>
    <d v="2024-05-31T00:00:00"/>
    <s v="No"/>
    <n v="7"/>
    <n v="26074.44"/>
    <x v="70"/>
    <n v="63"/>
    <d v="2023-06-13T00:00:00"/>
    <s v="G/ZOR"/>
    <s v="Location 13"/>
    <s v="Customer 9"/>
    <n v="63"/>
    <n v="413.88"/>
    <n v="26074.44"/>
  </r>
  <r>
    <d v="2024-09-16T00:00:00"/>
    <d v="2024-07-19T00:00:00"/>
    <s v="No"/>
    <n v="59"/>
    <n v="26074.44"/>
    <x v="70"/>
    <n v="63"/>
    <d v="2023-07-12T00:00:00"/>
    <s v="G/ZOR"/>
    <s v="Location 13"/>
    <s v="Customer 9"/>
    <n v="63"/>
    <n v="413.88"/>
    <n v="26074.44"/>
  </r>
  <r>
    <d v="2023-10-04T00:00:00"/>
    <d v="2023-10-04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3-10-11T00:00:00"/>
    <d v="2023-10-11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3-10-18T00:00:00"/>
    <d v="2023-10-18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3-10-25T00:00:00"/>
    <d v="2023-10-25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3-11-01T00:00:00"/>
    <d v="2023-11-01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3-11-08T00:00:00"/>
    <d v="2023-11-08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3-11-15T00:00:00"/>
    <d v="2023-11-15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3-11-22T00:00:00"/>
    <d v="2023-11-22T00:00:00"/>
    <s v="Yes"/>
    <n v="0"/>
    <n v="49756.68"/>
    <x v="71"/>
    <n v="108"/>
    <d v="2023-05-31T00:00:00"/>
    <s v="G/ZOR"/>
    <s v="Location 13"/>
    <s v="Customer 9"/>
    <n v="108"/>
    <n v="460.71"/>
    <n v="49756.68"/>
  </r>
  <r>
    <d v="2023-11-22T00:00:00"/>
    <d v="2023-11-22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3-12-06T00:00:00"/>
    <d v="2023-12-06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3-12-27T00:00:00"/>
    <d v="2023-12-27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4-01-17T00:00:00"/>
    <d v="2024-01-17T00:00:00"/>
    <s v="Yes"/>
    <n v="0"/>
    <n v="16585.560000000001"/>
    <x v="71"/>
    <n v="36"/>
    <d v="2023-05-31T00:00:00"/>
    <s v="G/ZOR"/>
    <s v="Location 13"/>
    <s v="Customer 9"/>
    <n v="36"/>
    <n v="460.71"/>
    <n v="16585.560000000001"/>
  </r>
  <r>
    <d v="2024-01-24T00:00:00"/>
    <d v="2024-01-24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4-01-31T00:00:00"/>
    <d v="2024-01-31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4-02-09T00:00:00"/>
    <d v="2024-02-09T00:00:00"/>
    <s v="Yes"/>
    <n v="0"/>
    <n v="33171.120000000003"/>
    <x v="71"/>
    <n v="72"/>
    <d v="2023-05-31T00:00:00"/>
    <s v="G/ZOR"/>
    <s v="Location 13"/>
    <s v="Customer 9"/>
    <n v="72"/>
    <n v="460.71"/>
    <n v="33171.120000000003"/>
  </r>
  <r>
    <d v="2024-04-05T00:00:00"/>
    <d v="2024-04-05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4-12T00:00:00"/>
    <d v="2024-04-12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4-19T00:00:00"/>
    <d v="2024-04-19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4-26T00:00:00"/>
    <d v="2024-04-26T00:00:00"/>
    <s v="Yes"/>
    <n v="0"/>
    <n v="16585.560000000001"/>
    <x v="71"/>
    <n v="36"/>
    <d v="2023-06-13T00:00:00"/>
    <s v="G/ZOR"/>
    <s v="Location 13"/>
    <s v="Customer 9"/>
    <n v="36"/>
    <n v="460.71"/>
    <n v="16585.560000000001"/>
  </r>
  <r>
    <d v="2024-05-03T00:00:00"/>
    <d v="2024-05-03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5-10T00:00:00"/>
    <d v="2024-05-10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5-17T00:00:00"/>
    <d v="2024-05-17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5-24T00:00:00"/>
    <d v="2024-05-24T00:00:00"/>
    <s v="Yes"/>
    <n v="0"/>
    <n v="16585.560000000001"/>
    <x v="71"/>
    <n v="36"/>
    <d v="2023-06-13T00:00:00"/>
    <s v="G/ZOR"/>
    <s v="Location 13"/>
    <s v="Customer 9"/>
    <n v="36"/>
    <n v="460.71"/>
    <n v="16585.560000000001"/>
  </r>
  <r>
    <d v="2024-05-31T00:00:00"/>
    <d v="2024-05-31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4-06-07T00:00:00"/>
    <d v="2024-06-07T00:00:00"/>
    <s v="Yes"/>
    <n v="0"/>
    <n v="33171.120000000003"/>
    <x v="71"/>
    <n v="72"/>
    <d v="2023-06-13T00:00:00"/>
    <s v="G/ZOR"/>
    <s v="Location 13"/>
    <s v="Customer 9"/>
    <n v="72"/>
    <n v="460.71"/>
    <n v="33171.120000000003"/>
  </r>
  <r>
    <d v="2023-09-27T00:00:00"/>
    <d v="2023-09-27T00:00:00"/>
    <s v="Yes"/>
    <n v="0"/>
    <n v="16585.560000000001"/>
    <x v="71"/>
    <n v="36"/>
    <d v="2023-09-11T00:00:00"/>
    <s v="G/ZOR"/>
    <s v="Location 13"/>
    <s v="Customer 9"/>
    <n v="36"/>
    <n v="460.71"/>
    <n v="16585.560000000001"/>
  </r>
  <r>
    <d v="2024-07-23T00:00:00"/>
    <d v="2024-07-23T00:00:00"/>
    <s v="Yes"/>
    <n v="0"/>
    <n v="80049.600000000006"/>
    <x v="72"/>
    <n v="120"/>
    <d v="2023-03-28T00:00:00"/>
    <s v="G/ZOR"/>
    <s v="Location 13"/>
    <s v="Customer 9"/>
    <n v="120"/>
    <n v="667.08"/>
    <n v="80049.600000000006"/>
  </r>
  <r>
    <d v="2024-07-17T00:00:00"/>
    <d v="2024-07-17T00:00:00"/>
    <s v="Yes"/>
    <n v="0"/>
    <n v="40024.800000000003"/>
    <x v="72"/>
    <n v="60"/>
    <d v="2023-05-10T00:00:00"/>
    <s v="G/ZOR"/>
    <s v="Location 13"/>
    <s v="Customer 9"/>
    <n v="60"/>
    <n v="667.08"/>
    <n v="40024.800000000003"/>
  </r>
  <r>
    <d v="2023-11-03T00:00:00"/>
    <d v="2023-11-03T00:00:00"/>
    <s v="Yes"/>
    <n v="0"/>
    <n v="6355.2"/>
    <x v="73"/>
    <n v="240"/>
    <d v="2022-07-26T00:00:00"/>
    <s v="G/ZOR"/>
    <s v="Location 13"/>
    <s v="Customer 9"/>
    <n v="240"/>
    <n v="26.48"/>
    <n v="6355.2"/>
  </r>
  <r>
    <d v="2024-02-09T00:00:00"/>
    <d v="2024-02-09T00:00:00"/>
    <s v="Yes"/>
    <n v="0"/>
    <n v="6355.2"/>
    <x v="73"/>
    <n v="240"/>
    <d v="2022-10-11T00:00:00"/>
    <s v="G/ZOR"/>
    <s v="Location 13"/>
    <s v="Customer 9"/>
    <n v="240"/>
    <n v="26.48"/>
    <n v="6355.2"/>
  </r>
  <r>
    <d v="2024-01-18T00:00:00"/>
    <d v="2024-01-18T00:00:00"/>
    <s v="Yes"/>
    <n v="0"/>
    <n v="6355.2"/>
    <x v="73"/>
    <n v="240"/>
    <d v="2022-10-25T00:00:00"/>
    <s v="G/ZOR"/>
    <s v="Location 13"/>
    <s v="Customer 9"/>
    <n v="240"/>
    <n v="26.48"/>
    <n v="6355.2"/>
  </r>
  <r>
    <d v="2024-03-11T00:00:00"/>
    <d v="2024-03-11T00:00:00"/>
    <s v="Yes"/>
    <n v="0"/>
    <n v="6355.2"/>
    <x v="73"/>
    <n v="240"/>
    <d v="2022-11-01T00:00:00"/>
    <s v="G/ZOR"/>
    <s v="Location 13"/>
    <s v="Customer 9"/>
    <n v="240"/>
    <n v="26.48"/>
    <n v="6355.2"/>
  </r>
  <r>
    <d v="2024-04-18T00:00:00"/>
    <d v="2024-04-18T00:00:00"/>
    <s v="Yes"/>
    <n v="0"/>
    <n v="6355.2"/>
    <x v="73"/>
    <n v="240"/>
    <d v="2023-01-19T00:00:00"/>
    <s v="G/ZOR"/>
    <s v="Location 13"/>
    <s v="Customer 9"/>
    <n v="240"/>
    <n v="26.48"/>
    <n v="6355.2"/>
  </r>
  <r>
    <d v="2024-05-16T00:00:00"/>
    <d v="2024-05-16T00:00:00"/>
    <s v="Yes"/>
    <n v="0"/>
    <n v="6355.2"/>
    <x v="73"/>
    <n v="240"/>
    <d v="2023-03-31T00:00:00"/>
    <s v="G/ZOR"/>
    <s v="Location 13"/>
    <s v="Customer 9"/>
    <n v="240"/>
    <n v="26.48"/>
    <n v="6355.2"/>
  </r>
  <r>
    <d v="2024-07-03T00:00:00"/>
    <d v="2024-07-03T00:00:00"/>
    <s v="Yes"/>
    <n v="0"/>
    <n v="3177.6"/>
    <x v="73"/>
    <n v="120"/>
    <d v="2023-04-27T00:00:00"/>
    <s v="G/ZOR"/>
    <s v="Location 13"/>
    <s v="Customer 9"/>
    <n v="120"/>
    <n v="26.48"/>
    <n v="3177.6"/>
  </r>
  <r>
    <d v="2024-07-18T00:00:00"/>
    <d v="2024-07-18T00:00:00"/>
    <s v="Yes"/>
    <n v="0"/>
    <n v="3177.6"/>
    <x v="73"/>
    <n v="120"/>
    <d v="2023-05-04T00:00:00"/>
    <s v="G/ZOR"/>
    <s v="Location 13"/>
    <s v="Customer 9"/>
    <n v="120"/>
    <n v="26.48"/>
    <n v="3177.6"/>
  </r>
  <r>
    <d v="2024-08-01T00:00:00"/>
    <d v="2024-08-01T00:00:00"/>
    <s v="Yes"/>
    <n v="0"/>
    <n v="3177.6"/>
    <x v="73"/>
    <n v="120"/>
    <d v="2023-05-04T00:00:00"/>
    <s v="G/ZOR"/>
    <s v="Location 13"/>
    <s v="Customer 9"/>
    <n v="120"/>
    <n v="26.48"/>
    <n v="3177.6"/>
  </r>
  <r>
    <d v="2024-08-15T00:00:00"/>
    <d v="2024-08-15T00:00:00"/>
    <s v="Yes"/>
    <n v="0"/>
    <n v="3177.6"/>
    <x v="73"/>
    <n v="120"/>
    <d v="2023-05-10T00:00:00"/>
    <s v="G/ZOR"/>
    <s v="Location 13"/>
    <s v="Customer 9"/>
    <n v="120"/>
    <n v="26.48"/>
    <n v="3177.6"/>
  </r>
  <r>
    <d v="2024-08-29T00:00:00"/>
    <d v="2024-08-29T00:00:00"/>
    <s v="Yes"/>
    <n v="0"/>
    <n v="450.16"/>
    <x v="73"/>
    <n v="17"/>
    <d v="2023-05-30T00:00:00"/>
    <s v="G/ZOR"/>
    <s v="Location 13"/>
    <s v="Customer 9"/>
    <n v="120"/>
    <n v="26.48"/>
    <n v="3177.6"/>
  </r>
  <r>
    <d v="2024-09-26T00:00:00"/>
    <d v="2024-08-29T00:00:00"/>
    <s v="No"/>
    <n v="28"/>
    <n v="2727.44"/>
    <x v="73"/>
    <n v="103"/>
    <d v="2023-05-30T00:00:00"/>
    <s v="G/ZOR"/>
    <s v="Location 13"/>
    <s v="Customer 9"/>
    <n v="120"/>
    <n v="26.48"/>
    <n v="3177.6"/>
  </r>
  <r>
    <d v="2025-11-19T00:00:00"/>
    <d v="2024-10-26T00:00:00"/>
    <s v="No"/>
    <n v="389"/>
    <n v="3177.6"/>
    <x v="73"/>
    <n v="120"/>
    <d v="2023-07-07T00:00:00"/>
    <s v="G/ZOR"/>
    <s v="Location 13"/>
    <s v="Customer 9"/>
    <n v="120"/>
    <n v="26.48"/>
    <n v="3177.6"/>
  </r>
  <r>
    <d v="2024-10-02T00:00:00"/>
    <d v="2024-10-02T00:00:00"/>
    <s v="Yes"/>
    <n v="0"/>
    <n v="450.16"/>
    <x v="73"/>
    <n v="17"/>
    <d v="2023-07-12T00:00:00"/>
    <s v="G/ZOR"/>
    <s v="Location 13"/>
    <s v="Customer 9"/>
    <n v="120"/>
    <n v="26.48"/>
    <n v="3177.6"/>
  </r>
  <r>
    <d v="2025-11-19T00:00:00"/>
    <d v="2024-10-02T00:00:00"/>
    <s v="No"/>
    <n v="413"/>
    <n v="2727.44"/>
    <x v="73"/>
    <n v="103"/>
    <d v="2023-07-12T00:00:00"/>
    <s v="G/ZOR"/>
    <s v="Location 13"/>
    <s v="Customer 9"/>
    <n v="120"/>
    <n v="26.48"/>
    <n v="3177.6"/>
  </r>
  <r>
    <d v="2025-11-19T00:00:00"/>
    <d v="2024-10-17T00:00:00"/>
    <s v="No"/>
    <n v="398"/>
    <n v="3177.6"/>
    <x v="73"/>
    <n v="120"/>
    <d v="2023-07-14T00:00:00"/>
    <s v="G/ZOR"/>
    <s v="Location 13"/>
    <s v="Customer 9"/>
    <n v="120"/>
    <n v="26.48"/>
    <n v="3177.6"/>
  </r>
  <r>
    <d v="2025-11-19T00:00:00"/>
    <d v="2024-11-21T00:00:00"/>
    <s v="No"/>
    <n v="363"/>
    <n v="2250.8000000000002"/>
    <x v="73"/>
    <n v="85"/>
    <d v="2023-07-26T00:00:00"/>
    <s v="G/ZOR"/>
    <s v="Location 13"/>
    <s v="Customer 9"/>
    <n v="85"/>
    <n v="26.48"/>
    <n v="2250.8000000000002"/>
  </r>
  <r>
    <d v="2024-05-17T00:00:00"/>
    <d v="2024-01-24T00:00:00"/>
    <s v="No"/>
    <n v="114"/>
    <n v="35877"/>
    <x v="74"/>
    <n v="60"/>
    <d v="2023-07-17T00:00:00"/>
    <s v="G/ZOR"/>
    <s v="Location 13"/>
    <s v="Customer 9"/>
    <n v="60"/>
    <n v="597.95000000000005"/>
    <n v="35877"/>
  </r>
  <r>
    <d v="2023-10-20T00:00:00"/>
    <d v="2023-10-20T00:00:00"/>
    <s v="Yes"/>
    <n v="0"/>
    <n v="5360"/>
    <x v="75"/>
    <n v="4000"/>
    <d v="2022-03-10T00:00:00"/>
    <s v="G/ZOR"/>
    <s v="Location 13"/>
    <s v="Customer 9"/>
    <n v="4000"/>
    <n v="1.34"/>
    <n v="5360"/>
  </r>
  <r>
    <d v="2024-04-10T00:00:00"/>
    <d v="2024-04-10T00:00:00"/>
    <s v="Yes"/>
    <n v="0"/>
    <n v="15750"/>
    <x v="71"/>
    <n v="9000"/>
    <d v="2023-01-06T00:00:00"/>
    <s v="G/ZOR"/>
    <s v="Location 13"/>
    <s v="Customer 9"/>
    <n v="9000"/>
    <n v="1.75"/>
    <n v="15750"/>
  </r>
  <r>
    <d v="2024-04-12T00:00:00"/>
    <d v="2024-04-12T00:00:00"/>
    <s v="Yes"/>
    <n v="0"/>
    <n v="5250"/>
    <x v="71"/>
    <n v="3000"/>
    <d v="2023-01-09T00:00:00"/>
    <s v="G/ZOR"/>
    <s v="Location 13"/>
    <s v="Customer 9"/>
    <n v="3000"/>
    <n v="1.75"/>
    <n v="5250"/>
  </r>
  <r>
    <d v="2024-05-03T00:00:00"/>
    <d v="2024-04-22T00:00:00"/>
    <s v="No"/>
    <n v="11"/>
    <n v="15750"/>
    <x v="71"/>
    <n v="9000"/>
    <d v="2023-01-13T00:00:00"/>
    <s v="G/ZOR"/>
    <s v="Location 13"/>
    <s v="Customer 9"/>
    <n v="9000"/>
    <n v="1.75"/>
    <n v="15750"/>
  </r>
  <r>
    <d v="2024-05-31T00:00:00"/>
    <d v="2024-05-31T00:00:00"/>
    <s v="Yes"/>
    <n v="0"/>
    <n v="21000"/>
    <x v="71"/>
    <n v="12000"/>
    <d v="2023-01-13T00:00:00"/>
    <s v="G/ZOR"/>
    <s v="Location 13"/>
    <s v="Customer 9"/>
    <n v="12000"/>
    <n v="1.75"/>
    <n v="21000"/>
  </r>
  <r>
    <d v="2024-06-12T00:00:00"/>
    <d v="2024-06-12T00:00:00"/>
    <s v="Yes"/>
    <n v="0"/>
    <n v="26250"/>
    <x v="71"/>
    <n v="15000"/>
    <d v="2023-01-13T00:00:00"/>
    <s v="G/ZOR"/>
    <s v="Location 13"/>
    <s v="Customer 9"/>
    <n v="15000"/>
    <n v="1.75"/>
    <n v="26250"/>
  </r>
  <r>
    <d v="2024-07-29T00:00:00"/>
    <d v="2024-07-29T00:00:00"/>
    <s v="Yes"/>
    <n v="0"/>
    <n v="10500"/>
    <x v="71"/>
    <n v="6000"/>
    <d v="2023-01-13T00:00:00"/>
    <s v="G/ZOR"/>
    <s v="Location 13"/>
    <s v="Customer 9"/>
    <n v="12000"/>
    <n v="1.75"/>
    <n v="21000"/>
  </r>
  <r>
    <d v="2024-08-09T00:00:00"/>
    <d v="2024-07-29T00:00:00"/>
    <s v="No"/>
    <n v="11"/>
    <n v="10500"/>
    <x v="71"/>
    <n v="6000"/>
    <d v="2023-01-13T00:00:00"/>
    <s v="G/ZOR"/>
    <s v="Location 13"/>
    <s v="Customer 9"/>
    <n v="12000"/>
    <n v="1.75"/>
    <n v="21000"/>
  </r>
  <r>
    <d v="2024-05-03T00:00:00"/>
    <d v="2024-04-17T00:00:00"/>
    <s v="No"/>
    <n v="16"/>
    <n v="5250"/>
    <x v="71"/>
    <n v="3000"/>
    <d v="2023-01-17T00:00:00"/>
    <s v="G/ZOR"/>
    <s v="Location 13"/>
    <s v="Customer 9"/>
    <n v="3000"/>
    <n v="1.75"/>
    <n v="5250"/>
  </r>
  <r>
    <d v="2024-04-10T00:00:00"/>
    <d v="2024-04-10T00:00:00"/>
    <s v="Yes"/>
    <n v="0"/>
    <n v="10500"/>
    <x v="71"/>
    <n v="6000"/>
    <d v="2023-01-25T00:00:00"/>
    <s v="G/ZOR"/>
    <s v="Location 13"/>
    <s v="Customer 9"/>
    <n v="6000"/>
    <n v="1.75"/>
    <n v="10500"/>
  </r>
  <r>
    <d v="2024-09-13T00:00:00"/>
    <d v="2024-09-13T00:00:00"/>
    <s v="Yes"/>
    <n v="0"/>
    <n v="5250"/>
    <x v="71"/>
    <n v="3000"/>
    <d v="2023-01-27T00:00:00"/>
    <s v="G/ZOR"/>
    <s v="Location 13"/>
    <s v="Customer 9"/>
    <n v="3000"/>
    <n v="1.75"/>
    <n v="5250"/>
  </r>
  <r>
    <d v="2024-11-08T00:00:00"/>
    <d v="2024-11-08T00:00:00"/>
    <s v="Yes"/>
    <n v="0"/>
    <n v="5250"/>
    <x v="71"/>
    <n v="3000"/>
    <d v="2023-06-06T00:00:00"/>
    <s v="G/ZOR"/>
    <s v="Location 13"/>
    <s v="Customer 9"/>
    <n v="3000"/>
    <n v="1.75"/>
    <n v="5250"/>
  </r>
  <r>
    <d v="2024-02-09T00:00:00"/>
    <d v="2024-02-09T00:00:00"/>
    <s v="Yes"/>
    <n v="0"/>
    <n v="5280"/>
    <x v="64"/>
    <n v="3000"/>
    <d v="2022-10-21T00:00:00"/>
    <s v="G/ZOR"/>
    <s v="Location 13"/>
    <s v="Customer 9"/>
    <n v="3000"/>
    <n v="1.76"/>
    <n v="5280"/>
  </r>
  <r>
    <d v="2024-04-09T00:00:00"/>
    <d v="2024-04-09T00:00:00"/>
    <s v="Yes"/>
    <n v="0"/>
    <n v="5280"/>
    <x v="64"/>
    <n v="3000"/>
    <d v="2022-12-13T00:00:00"/>
    <s v="G/ZOR"/>
    <s v="Location 13"/>
    <s v="Customer 9"/>
    <n v="3000"/>
    <n v="1.76"/>
    <n v="5280"/>
  </r>
  <r>
    <d v="2024-06-27T00:00:00"/>
    <d v="2024-06-27T00:00:00"/>
    <s v="Yes"/>
    <n v="0"/>
    <n v="10560"/>
    <x v="64"/>
    <n v="6000"/>
    <d v="2023-01-13T00:00:00"/>
    <s v="G/ZOR"/>
    <s v="Location 13"/>
    <s v="Customer 9"/>
    <n v="6000"/>
    <n v="1.76"/>
    <n v="10560"/>
  </r>
  <r>
    <d v="2024-07-30T00:00:00"/>
    <d v="2024-07-30T00:00:00"/>
    <s v="Yes"/>
    <n v="0"/>
    <n v="5280"/>
    <x v="64"/>
    <n v="3000"/>
    <d v="2023-01-24T00:00:00"/>
    <s v="G/ZOR"/>
    <s v="Location 13"/>
    <s v="Customer 9"/>
    <n v="3000"/>
    <n v="1.76"/>
    <n v="5280"/>
  </r>
  <r>
    <d v="2024-04-26T00:00:00"/>
    <d v="2024-04-26T00:00:00"/>
    <s v="Yes"/>
    <n v="0"/>
    <n v="5940"/>
    <x v="76"/>
    <n v="3000"/>
    <d v="2023-01-05T00:00:00"/>
    <s v="G/ZOR"/>
    <s v="Location 13"/>
    <s v="Customer 9"/>
    <n v="3000"/>
    <n v="1.98"/>
    <n v="5940"/>
  </r>
  <r>
    <d v="2024-06-07T00:00:00"/>
    <d v="2024-06-07T00:00:00"/>
    <s v="Yes"/>
    <n v="0"/>
    <n v="5940"/>
    <x v="76"/>
    <n v="3000"/>
    <d v="2023-01-13T00:00:00"/>
    <s v="G/ZOR"/>
    <s v="Location 13"/>
    <s v="Customer 9"/>
    <n v="3000"/>
    <n v="1.98"/>
    <n v="5940"/>
  </r>
  <r>
    <d v="2024-07-05T00:00:00"/>
    <d v="2024-07-05T00:00:00"/>
    <s v="Yes"/>
    <n v="0"/>
    <n v="5940"/>
    <x v="76"/>
    <n v="3000"/>
    <d v="2023-01-13T00:00:00"/>
    <s v="G/ZOR"/>
    <s v="Location 13"/>
    <s v="Customer 9"/>
    <n v="3000"/>
    <n v="1.98"/>
    <n v="5940"/>
  </r>
  <r>
    <d v="2024-08-02T00:00:00"/>
    <d v="2024-08-02T00:00:00"/>
    <s v="Yes"/>
    <n v="0"/>
    <n v="5940"/>
    <x v="76"/>
    <n v="3000"/>
    <d v="2023-01-13T00:00:00"/>
    <s v="G/ZOR"/>
    <s v="Location 13"/>
    <s v="Customer 9"/>
    <n v="3000"/>
    <n v="1.98"/>
    <n v="5940"/>
  </r>
  <r>
    <d v="2024-02-02T00:00:00"/>
    <d v="2023-02-17T00:00:00"/>
    <s v="No"/>
    <n v="350"/>
    <n v="21606.48"/>
    <x v="10"/>
    <n v="252"/>
    <d v="2023-08-28T00:00:00"/>
    <s v="G/ZOR"/>
    <s v="Location 14"/>
    <s v="Customer 3"/>
    <n v="504"/>
    <n v="85.74"/>
    <n v="43212.959999999999"/>
  </r>
  <r>
    <d v="2023-09-21T00:00:00"/>
    <d v="2021-12-10T00:00:00"/>
    <s v="No"/>
    <n v="650"/>
    <n v="79011"/>
    <x v="15"/>
    <n v="180"/>
    <d v="2023-09-11T00:00:00"/>
    <s v="G/ZOR"/>
    <s v="Location 14"/>
    <s v="Customer 3"/>
    <n v="1620"/>
    <n v="438.95"/>
    <n v="711099"/>
  </r>
  <r>
    <d v="2023-10-31T00:00:00"/>
    <d v="2021-12-10T00:00:00"/>
    <s v="No"/>
    <n v="690"/>
    <n v="632088"/>
    <x v="15"/>
    <n v="1440"/>
    <d v="2023-09-11T00:00:00"/>
    <s v="G/ZOR"/>
    <s v="Location 14"/>
    <s v="Customer 3"/>
    <n v="1620"/>
    <n v="438.95"/>
    <n v="711099"/>
  </r>
  <r>
    <d v="2023-10-19T00:00:00"/>
    <d v="2023-07-17T00:00:00"/>
    <s v="No"/>
    <n v="94"/>
    <n v="14034"/>
    <x v="77"/>
    <n v="120"/>
    <d v="2023-02-14T00:00:00"/>
    <s v="G/ZOR"/>
    <s v="Location 14"/>
    <s v="Customer 3"/>
    <n v="120"/>
    <n v="116.95"/>
    <n v="14034"/>
  </r>
  <r>
    <d v="2023-11-09T00:00:00"/>
    <d v="2023-10-16T00:00:00"/>
    <s v="No"/>
    <n v="24"/>
    <n v="42102"/>
    <x v="77"/>
    <n v="360"/>
    <d v="2023-02-14T00:00:00"/>
    <s v="G/ZOR"/>
    <s v="Location 14"/>
    <s v="Customer 3"/>
    <n v="360"/>
    <n v="116.95"/>
    <n v="42102"/>
  </r>
  <r>
    <d v="2024-02-23T00:00:00"/>
    <d v="2024-01-12T00:00:00"/>
    <s v="No"/>
    <n v="42"/>
    <n v="42102"/>
    <x v="77"/>
    <n v="360"/>
    <d v="2023-02-14T00:00:00"/>
    <s v="G/ZOR"/>
    <s v="Location 14"/>
    <s v="Customer 3"/>
    <n v="360"/>
    <n v="116.95"/>
    <n v="42102"/>
  </r>
  <r>
    <d v="2023-10-19T00:00:00"/>
    <d v="2023-03-17T00:00:00"/>
    <s v="No"/>
    <n v="216"/>
    <n v="65144.11"/>
    <x v="78"/>
    <n v="331"/>
    <d v="2023-03-15T00:00:00"/>
    <s v="G/ZOR"/>
    <s v="Location 14"/>
    <s v="Customer 3"/>
    <n v="400"/>
    <n v="196.81"/>
    <n v="78724"/>
  </r>
  <r>
    <d v="2023-10-20T00:00:00"/>
    <d v="2023-03-17T00:00:00"/>
    <s v="No"/>
    <n v="217"/>
    <n v="13579.89"/>
    <x v="78"/>
    <n v="69"/>
    <d v="2023-03-15T00:00:00"/>
    <s v="G/ZOR"/>
    <s v="Location 14"/>
    <s v="Customer 3"/>
    <n v="400"/>
    <n v="196.81"/>
    <n v="78724"/>
  </r>
  <r>
    <d v="2024-04-17T00:00:00"/>
    <d v="2023-07-21T00:00:00"/>
    <s v="No"/>
    <n v="271"/>
    <n v="13776.7"/>
    <x v="78"/>
    <n v="70"/>
    <d v="2023-03-15T00:00:00"/>
    <s v="G/ZOR"/>
    <s v="Location 14"/>
    <s v="Customer 3"/>
    <n v="70"/>
    <n v="196.81"/>
    <n v="13776.7"/>
  </r>
  <r>
    <d v="2024-04-17T00:00:00"/>
    <d v="2023-07-30T00:00:00"/>
    <s v="No"/>
    <n v="262"/>
    <n v="216491"/>
    <x v="78"/>
    <n v="1100"/>
    <d v="2023-03-15T00:00:00"/>
    <s v="G/ZOR"/>
    <s v="Location 14"/>
    <s v="Customer 3"/>
    <n v="1100"/>
    <n v="196.81"/>
    <n v="216491"/>
  </r>
  <r>
    <d v="2023-10-20T00:00:00"/>
    <d v="2023-07-14T00:00:00"/>
    <s v="No"/>
    <n v="98"/>
    <n v="196.81"/>
    <x v="78"/>
    <n v="1"/>
    <d v="2023-04-20T00:00:00"/>
    <s v="G/ZOR"/>
    <s v="Location 14"/>
    <s v="Customer 3"/>
    <n v="2132"/>
    <n v="196.81"/>
    <n v="419598.92"/>
  </r>
  <r>
    <d v="2024-03-08T00:00:00"/>
    <d v="2023-07-14T00:00:00"/>
    <s v="No"/>
    <n v="238"/>
    <n v="216491"/>
    <x v="78"/>
    <n v="1100"/>
    <d v="2023-04-20T00:00:00"/>
    <s v="G/ZOR"/>
    <s v="Location 14"/>
    <s v="Customer 3"/>
    <n v="2132"/>
    <n v="196.81"/>
    <n v="419598.92"/>
  </r>
  <r>
    <d v="2024-03-14T00:00:00"/>
    <d v="2023-07-14T00:00:00"/>
    <s v="No"/>
    <n v="244"/>
    <n v="13579.89"/>
    <x v="78"/>
    <n v="69"/>
    <d v="2023-04-20T00:00:00"/>
    <s v="G/ZOR"/>
    <s v="Location 14"/>
    <s v="Customer 3"/>
    <n v="2132"/>
    <n v="196.81"/>
    <n v="419598.92"/>
  </r>
  <r>
    <d v="2024-04-17T00:00:00"/>
    <d v="2023-07-14T00:00:00"/>
    <s v="No"/>
    <n v="278"/>
    <n v="189331.22"/>
    <x v="78"/>
    <n v="962"/>
    <d v="2023-04-20T00:00:00"/>
    <s v="G/ZOR"/>
    <s v="Location 14"/>
    <s v="Customer 3"/>
    <n v="2132"/>
    <n v="196.81"/>
    <n v="419598.92"/>
  </r>
  <r>
    <d v="2023-09-27T00:00:00"/>
    <d v="2023-09-27T00:00:00"/>
    <s v="Yes"/>
    <n v="0"/>
    <n v="3381"/>
    <x v="79"/>
    <n v="300"/>
    <d v="2023-09-11T00:00:00"/>
    <s v="G/ZOR"/>
    <s v="Location 15"/>
    <s v="Customer 3"/>
    <n v="300"/>
    <n v="11.27"/>
    <n v="3381"/>
  </r>
  <r>
    <d v="2023-10-04T00:00:00"/>
    <d v="2023-10-04T00:00:00"/>
    <s v="Yes"/>
    <n v="0"/>
    <n v="3348"/>
    <x v="80"/>
    <n v="360"/>
    <d v="2022-09-22T00:00:00"/>
    <s v="G/ZOR"/>
    <s v="Location 15"/>
    <s v="Customer 3"/>
    <n v="360"/>
    <n v="9.3000000000000007"/>
    <n v="3348"/>
  </r>
  <r>
    <d v="2023-12-06T00:00:00"/>
    <d v="2023-12-06T00:00:00"/>
    <s v="Yes"/>
    <n v="0"/>
    <n v="2790"/>
    <x v="80"/>
    <n v="300"/>
    <d v="2022-11-29T00:00:00"/>
    <s v="G/ZOR"/>
    <s v="Location 15"/>
    <s v="Customer 3"/>
    <n v="300"/>
    <n v="9.3000000000000007"/>
    <n v="2790"/>
  </r>
  <r>
    <d v="2024-01-03T00:00:00"/>
    <d v="2024-01-03T00:00:00"/>
    <s v="Yes"/>
    <n v="0"/>
    <n v="11030.4"/>
    <x v="62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62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62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62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62"/>
    <n v="120"/>
    <d v="2022-09-22T00:00:00"/>
    <s v="G/ZOR"/>
    <s v="Location 15"/>
    <s v="Customer 3"/>
    <n v="120"/>
    <n v="91.92"/>
    <n v="11030.4"/>
  </r>
  <r>
    <d v="2024-01-03T00:00:00"/>
    <d v="2024-01-03T00:00:00"/>
    <s v="Yes"/>
    <n v="0"/>
    <n v="5882.88"/>
    <x v="62"/>
    <n v="64"/>
    <d v="2022-10-11T00:00:00"/>
    <s v="G/ZOR"/>
    <s v="Location 15"/>
    <s v="Customer 3"/>
    <n v="120"/>
    <n v="91.92"/>
    <n v="11030.4"/>
  </r>
  <r>
    <d v="2024-01-23T00:00:00"/>
    <d v="2024-01-03T00:00:00"/>
    <s v="No"/>
    <n v="20"/>
    <n v="5147.5200000000004"/>
    <x v="62"/>
    <n v="56"/>
    <d v="2022-10-11T00:00:00"/>
    <s v="G/ZOR"/>
    <s v="Location 15"/>
    <s v="Customer 3"/>
    <n v="120"/>
    <n v="91.92"/>
    <n v="11030.4"/>
  </r>
  <r>
    <d v="2024-01-23T00:00:00"/>
    <d v="2024-01-03T00:00:00"/>
    <s v="No"/>
    <n v="20"/>
    <n v="11030.4"/>
    <x v="62"/>
    <n v="120"/>
    <d v="2022-10-11T00:00:00"/>
    <s v="G/ZOR"/>
    <s v="Location 15"/>
    <s v="Customer 3"/>
    <n v="120"/>
    <n v="91.92"/>
    <n v="11030.4"/>
  </r>
  <r>
    <d v="2024-01-23T00:00:00"/>
    <d v="2024-01-03T00:00:00"/>
    <s v="No"/>
    <n v="20"/>
    <n v="5882.88"/>
    <x v="62"/>
    <n v="64"/>
    <d v="2022-10-11T00:00:00"/>
    <s v="G/ZOR"/>
    <s v="Location 15"/>
    <s v="Customer 3"/>
    <n v="120"/>
    <n v="91.92"/>
    <n v="11030.4"/>
  </r>
  <r>
    <d v="2024-02-01T00:00:00"/>
    <d v="2024-01-03T00:00:00"/>
    <s v="No"/>
    <n v="29"/>
    <n v="5147.5200000000004"/>
    <x v="62"/>
    <n v="56"/>
    <d v="2022-10-11T00:00:00"/>
    <s v="G/ZOR"/>
    <s v="Location 15"/>
    <s v="Customer 3"/>
    <n v="120"/>
    <n v="91.92"/>
    <n v="11030.4"/>
  </r>
  <r>
    <d v="2024-02-01T00:00:00"/>
    <d v="2024-01-03T00:00:00"/>
    <s v="No"/>
    <n v="29"/>
    <n v="11030.4"/>
    <x v="62"/>
    <n v="120"/>
    <d v="2022-10-24T00:00:00"/>
    <s v="G/ZOR"/>
    <s v="Location 15"/>
    <s v="Customer 3"/>
    <n v="120"/>
    <n v="91.92"/>
    <n v="11030.4"/>
  </r>
  <r>
    <d v="2024-02-06T00:00:00"/>
    <d v="2024-01-30T00:00:00"/>
    <s v="No"/>
    <n v="7"/>
    <n v="5882.88"/>
    <x v="62"/>
    <n v="64"/>
    <d v="2023-01-19T00:00:00"/>
    <s v="G/ZOR"/>
    <s v="Location 15"/>
    <s v="Customer 3"/>
    <n v="120"/>
    <n v="91.92"/>
    <n v="11030.4"/>
  </r>
  <r>
    <d v="2024-05-01T00:00:00"/>
    <d v="2024-01-30T00:00:00"/>
    <s v="No"/>
    <n v="92"/>
    <n v="5147.5200000000004"/>
    <x v="62"/>
    <n v="56"/>
    <d v="2023-01-19T00:00:00"/>
    <s v="G/ZOR"/>
    <s v="Location 15"/>
    <s v="Customer 3"/>
    <n v="120"/>
    <n v="91.92"/>
    <n v="11030.4"/>
  </r>
  <r>
    <d v="2024-08-28T00:00:00"/>
    <d v="2024-08-28T00:00:00"/>
    <s v="Yes"/>
    <n v="0"/>
    <n v="11030.4"/>
    <x v="62"/>
    <n v="120"/>
    <d v="2023-02-16T00:00:00"/>
    <s v="G/ZOR"/>
    <s v="Location 15"/>
    <s v="Customer 3"/>
    <n v="120"/>
    <n v="91.92"/>
    <n v="11030.4"/>
  </r>
  <r>
    <d v="2024-01-23T00:00:00"/>
    <d v="2023-11-01T00:00:00"/>
    <s v="No"/>
    <n v="83"/>
    <n v="2767.5"/>
    <x v="61"/>
    <n v="27000"/>
    <d v="2023-01-18T00:00:00"/>
    <s v="G/ZOR"/>
    <s v="Location 15"/>
    <s v="Customer 3"/>
    <n v="27000"/>
    <n v="0.1"/>
    <n v="2700"/>
  </r>
  <r>
    <d v="2023-09-22T00:00:00"/>
    <d v="2023-09-22T00:00:00"/>
    <s v="Yes"/>
    <n v="0"/>
    <n v="7882.7"/>
    <x v="14"/>
    <n v="70"/>
    <d v="2022-09-15T00:00:00"/>
    <s v="G/ZOR"/>
    <s v="Location 15"/>
    <s v="Customer 3"/>
    <n v="400"/>
    <n v="112.61"/>
    <n v="45044"/>
  </r>
  <r>
    <d v="2023-09-26T00:00:00"/>
    <d v="2023-09-22T00:00:00"/>
    <s v="No"/>
    <n v="4"/>
    <n v="37161.300000000003"/>
    <x v="14"/>
    <n v="330"/>
    <d v="2022-09-15T00:00:00"/>
    <s v="G/ZOR"/>
    <s v="Location 15"/>
    <s v="Customer 3"/>
    <n v="400"/>
    <n v="112.61"/>
    <n v="45044"/>
  </r>
  <r>
    <d v="2023-11-03T00:00:00"/>
    <d v="2023-11-03T00:00:00"/>
    <s v="Yes"/>
    <n v="0"/>
    <n v="22522"/>
    <x v="14"/>
    <n v="200"/>
    <d v="2022-09-30T00:00:00"/>
    <s v="G/ZOR"/>
    <s v="Location 15"/>
    <s v="Customer 3"/>
    <n v="200"/>
    <n v="112.61"/>
    <n v="22522"/>
  </r>
  <r>
    <d v="2023-11-10T00:00:00"/>
    <d v="2023-11-10T00:00:00"/>
    <s v="Yes"/>
    <n v="0"/>
    <n v="45044"/>
    <x v="14"/>
    <n v="400"/>
    <d v="2022-09-30T00:00:00"/>
    <s v="G/ZOR"/>
    <s v="Location 15"/>
    <s v="Customer 3"/>
    <n v="400"/>
    <n v="112.61"/>
    <n v="45044"/>
  </r>
  <r>
    <d v="2023-11-17T00:00:00"/>
    <d v="2023-11-17T00:00:00"/>
    <s v="Yes"/>
    <n v="0"/>
    <n v="22522"/>
    <x v="14"/>
    <n v="200"/>
    <d v="2022-09-30T00:00:00"/>
    <s v="G/ZOR"/>
    <s v="Location 15"/>
    <s v="Customer 3"/>
    <n v="200"/>
    <n v="112.61"/>
    <n v="22522"/>
  </r>
  <r>
    <d v="2023-11-10T00:00:00"/>
    <d v="2023-11-10T00:00:00"/>
    <s v="Yes"/>
    <n v="0"/>
    <n v="45044"/>
    <x v="14"/>
    <n v="400"/>
    <d v="2022-10-14T00:00:00"/>
    <s v="G/ZOR"/>
    <s v="Location 15"/>
    <s v="Customer 3"/>
    <n v="400"/>
    <n v="112.61"/>
    <n v="45044"/>
  </r>
  <r>
    <d v="2023-11-24T00:00:00"/>
    <d v="2023-11-24T00:00:00"/>
    <s v="Yes"/>
    <n v="0"/>
    <n v="22522"/>
    <x v="14"/>
    <n v="200"/>
    <d v="2022-10-14T00:00:00"/>
    <s v="G/ZOR"/>
    <s v="Location 15"/>
    <s v="Customer 3"/>
    <n v="200"/>
    <n v="112.61"/>
    <n v="22522"/>
  </r>
  <r>
    <d v="2024-01-26T00:00:00"/>
    <d v="2024-01-26T00:00:00"/>
    <s v="Yes"/>
    <n v="0"/>
    <n v="45044"/>
    <x v="14"/>
    <n v="400"/>
    <d v="2023-01-06T00:00:00"/>
    <s v="G/ZOR"/>
    <s v="Location 15"/>
    <s v="Customer 3"/>
    <n v="400"/>
    <n v="112.61"/>
    <n v="45044"/>
  </r>
  <r>
    <d v="2024-02-06T00:00:00"/>
    <d v="2023-08-11T00:00:00"/>
    <s v="No"/>
    <n v="179"/>
    <n v="22522"/>
    <x v="14"/>
    <n v="200"/>
    <d v="2023-01-06T00:00:00"/>
    <s v="G/ZOR"/>
    <s v="Location 15"/>
    <s v="Customer 3"/>
    <n v="200"/>
    <n v="112.61"/>
    <n v="22522"/>
  </r>
  <r>
    <d v="2024-02-06T00:00:00"/>
    <d v="2023-08-11T00:00:00"/>
    <s v="No"/>
    <n v="179"/>
    <n v="7882.7"/>
    <x v="14"/>
    <n v="70"/>
    <d v="2023-01-06T00:00:00"/>
    <s v="G/ZOR"/>
    <s v="Location 15"/>
    <s v="Customer 3"/>
    <n v="200"/>
    <n v="112.61"/>
    <n v="22522"/>
  </r>
  <r>
    <d v="2024-02-08T00:00:00"/>
    <d v="2023-08-11T00:00:00"/>
    <s v="No"/>
    <n v="181"/>
    <n v="14639.3"/>
    <x v="14"/>
    <n v="130"/>
    <d v="2023-01-06T00:00:00"/>
    <s v="G/ZOR"/>
    <s v="Location 15"/>
    <s v="Customer 3"/>
    <n v="200"/>
    <n v="112.61"/>
    <n v="22522"/>
  </r>
  <r>
    <d v="2024-02-08T00:00:00"/>
    <d v="2023-08-08T00:00:00"/>
    <s v="No"/>
    <n v="184"/>
    <n v="22522"/>
    <x v="14"/>
    <n v="200"/>
    <d v="2023-01-06T00:00:00"/>
    <s v="G/ZOR"/>
    <s v="Location 15"/>
    <s v="Customer 3"/>
    <n v="200"/>
    <n v="112.61"/>
    <n v="22522"/>
  </r>
  <r>
    <d v="2024-02-08T00:00:00"/>
    <d v="2023-07-31T00:00:00"/>
    <s v="No"/>
    <n v="192"/>
    <n v="22522"/>
    <x v="14"/>
    <n v="200"/>
    <d v="2023-01-06T00:00:00"/>
    <s v="G/ZOR"/>
    <s v="Location 15"/>
    <s v="Customer 3"/>
    <n v="200"/>
    <n v="112.61"/>
    <n v="22522"/>
  </r>
  <r>
    <d v="2024-02-08T00:00:00"/>
    <d v="2023-08-15T00:00:00"/>
    <s v="No"/>
    <n v="177"/>
    <n v="7882.7"/>
    <x v="14"/>
    <n v="70"/>
    <d v="2023-01-13T00:00:00"/>
    <s v="G/ZOR"/>
    <s v="Location 15"/>
    <s v="Customer 3"/>
    <n v="200"/>
    <n v="112.61"/>
    <n v="22522"/>
  </r>
  <r>
    <d v="2024-02-16T00:00:00"/>
    <d v="2023-08-15T00:00:00"/>
    <s v="No"/>
    <n v="185"/>
    <n v="14639.3"/>
    <x v="14"/>
    <n v="130"/>
    <d v="2023-01-13T00:00:00"/>
    <s v="G/ZOR"/>
    <s v="Location 15"/>
    <s v="Customer 3"/>
    <n v="200"/>
    <n v="112.61"/>
    <n v="22522"/>
  </r>
  <r>
    <d v="2024-02-16T00:00:00"/>
    <d v="2023-08-31T00:00:00"/>
    <s v="No"/>
    <n v="169"/>
    <n v="30404.7"/>
    <x v="14"/>
    <n v="270"/>
    <d v="2023-02-10T00:00:00"/>
    <s v="G/ZOR"/>
    <s v="Location 15"/>
    <s v="Customer 3"/>
    <n v="400"/>
    <n v="112.61"/>
    <n v="45044"/>
  </r>
  <r>
    <d v="2024-03-28T00:00:00"/>
    <d v="2023-08-31T00:00:00"/>
    <s v="No"/>
    <n v="210"/>
    <n v="14639.3"/>
    <x v="14"/>
    <n v="130"/>
    <d v="2023-02-10T00:00:00"/>
    <s v="G/ZOR"/>
    <s v="Location 15"/>
    <s v="Customer 3"/>
    <n v="400"/>
    <n v="112.61"/>
    <n v="45044"/>
  </r>
  <r>
    <d v="2024-02-16T00:00:00"/>
    <d v="2023-08-31T00:00:00"/>
    <s v="No"/>
    <n v="169"/>
    <n v="22522"/>
    <x v="14"/>
    <n v="200"/>
    <d v="2023-02-10T00:00:00"/>
    <s v="G/ZOR"/>
    <s v="Location 15"/>
    <s v="Customer 3"/>
    <n v="200"/>
    <n v="112.61"/>
    <n v="22522"/>
  </r>
  <r>
    <d v="2024-03-28T00:00:00"/>
    <d v="2023-09-01T00:00:00"/>
    <s v="No"/>
    <n v="209"/>
    <n v="22522"/>
    <x v="14"/>
    <n v="200"/>
    <d v="2023-02-16T00:00:00"/>
    <s v="G/ZOR"/>
    <s v="Location 15"/>
    <s v="Customer 3"/>
    <n v="200"/>
    <n v="112.61"/>
    <n v="22522"/>
  </r>
  <r>
    <d v="2023-09-26T00:00:00"/>
    <d v="2023-09-01T00:00:00"/>
    <s v="No"/>
    <n v="25"/>
    <n v="7882.7"/>
    <x v="14"/>
    <n v="70"/>
    <d v="2023-02-21T00:00:00"/>
    <s v="G/ZOR"/>
    <s v="Location 15"/>
    <s v="Customer 3"/>
    <n v="400"/>
    <n v="112.61"/>
    <n v="45044"/>
  </r>
  <r>
    <d v="2024-01-25T00:00:00"/>
    <d v="2023-09-01T00:00:00"/>
    <s v="No"/>
    <n v="146"/>
    <n v="22522"/>
    <x v="14"/>
    <n v="200"/>
    <d v="2023-02-21T00:00:00"/>
    <s v="G/ZOR"/>
    <s v="Location 15"/>
    <s v="Customer 3"/>
    <n v="400"/>
    <n v="112.61"/>
    <n v="45044"/>
  </r>
  <r>
    <d v="2024-02-06T00:00:00"/>
    <d v="2023-09-01T00:00:00"/>
    <s v="No"/>
    <n v="158"/>
    <n v="14639.3"/>
    <x v="14"/>
    <n v="130"/>
    <d v="2023-02-21T00:00:00"/>
    <s v="G/ZOR"/>
    <s v="Location 15"/>
    <s v="Customer 3"/>
    <n v="400"/>
    <n v="112.61"/>
    <n v="45044"/>
  </r>
  <r>
    <d v="2024-04-19T00:00:00"/>
    <d v="2024-04-19T00:00:00"/>
    <s v="Yes"/>
    <n v="0"/>
    <n v="22522"/>
    <x v="14"/>
    <n v="200"/>
    <d v="2023-03-10T00:00:00"/>
    <s v="G/ZOR"/>
    <s v="Location 15"/>
    <s v="Customer 3"/>
    <n v="200"/>
    <n v="112.61"/>
    <n v="22522"/>
  </r>
  <r>
    <d v="2024-04-26T00:00:00"/>
    <d v="2024-04-26T00:00:00"/>
    <s v="Yes"/>
    <n v="0"/>
    <n v="45044"/>
    <x v="14"/>
    <n v="400"/>
    <d v="2023-03-10T00:00:00"/>
    <s v="G/ZOR"/>
    <s v="Location 15"/>
    <s v="Customer 3"/>
    <n v="400"/>
    <n v="112.61"/>
    <n v="45044"/>
  </r>
  <r>
    <d v="2024-06-20T00:00:00"/>
    <d v="2024-06-20T00:00:00"/>
    <s v="Yes"/>
    <n v="0"/>
    <n v="22522"/>
    <x v="14"/>
    <n v="200"/>
    <d v="2023-06-28T00:00:00"/>
    <s v="G/ZOR"/>
    <s v="Location 15"/>
    <s v="Customer 3"/>
    <n v="200"/>
    <n v="112.61"/>
    <n v="22522"/>
  </r>
  <r>
    <d v="2024-07-12T00:00:00"/>
    <d v="2024-07-12T00:00:00"/>
    <s v="Yes"/>
    <n v="0"/>
    <n v="45044"/>
    <x v="14"/>
    <n v="400"/>
    <d v="2023-07-05T00:00:00"/>
    <s v="G/ZOR"/>
    <s v="Location 15"/>
    <s v="Customer 3"/>
    <n v="400"/>
    <n v="112.61"/>
    <n v="45044"/>
  </r>
  <r>
    <d v="2024-07-10T00:00:00"/>
    <d v="2024-07-10T00:00:00"/>
    <s v="Yes"/>
    <n v="0"/>
    <n v="30404.7"/>
    <x v="14"/>
    <n v="270"/>
    <d v="2023-07-18T00:00:00"/>
    <s v="G/ZOR"/>
    <s v="Location 15"/>
    <s v="Customer 3"/>
    <n v="400"/>
    <n v="112.61"/>
    <n v="45044"/>
  </r>
  <r>
    <d v="2024-07-24T00:00:00"/>
    <d v="2024-07-10T00:00:00"/>
    <s v="No"/>
    <n v="14"/>
    <n v="14639.3"/>
    <x v="14"/>
    <n v="130"/>
    <d v="2023-07-18T00:00:00"/>
    <s v="G/ZOR"/>
    <s v="Location 15"/>
    <s v="Customer 3"/>
    <n v="400"/>
    <n v="112.61"/>
    <n v="45044"/>
  </r>
  <r>
    <d v="2024-07-24T00:00:00"/>
    <d v="2024-07-18T00:00:00"/>
    <s v="No"/>
    <n v="6"/>
    <n v="45044"/>
    <x v="14"/>
    <n v="400"/>
    <d v="2023-07-25T00:00:00"/>
    <s v="G/ZOR"/>
    <s v="Location 15"/>
    <s v="Customer 3"/>
    <n v="400"/>
    <n v="112.61"/>
    <n v="45044"/>
  </r>
  <r>
    <d v="2024-07-24T00:00:00"/>
    <d v="2024-07-24T00:00:00"/>
    <s v="Yes"/>
    <n v="0"/>
    <n v="30404.7"/>
    <x v="14"/>
    <n v="270"/>
    <d v="2023-08-02T00:00:00"/>
    <s v="G/ZOR"/>
    <s v="Location 15"/>
    <s v="Customer 3"/>
    <n v="400"/>
    <n v="112.61"/>
    <n v="45044"/>
  </r>
  <r>
    <d v="2024-08-07T00:00:00"/>
    <d v="2024-07-24T00:00:00"/>
    <s v="No"/>
    <n v="14"/>
    <n v="14639.3"/>
    <x v="14"/>
    <n v="130"/>
    <d v="2023-08-02T00:00:00"/>
    <s v="G/ZOR"/>
    <s v="Location 15"/>
    <s v="Customer 3"/>
    <n v="400"/>
    <n v="112.61"/>
    <n v="45044"/>
  </r>
  <r>
    <d v="2024-08-07T00:00:00"/>
    <d v="2024-08-04T00:00:00"/>
    <s v="No"/>
    <n v="3"/>
    <n v="30404.7"/>
    <x v="14"/>
    <n v="270"/>
    <d v="2023-08-15T00:00:00"/>
    <s v="G/ZOR"/>
    <s v="Location 15"/>
    <s v="Customer 3"/>
    <n v="400"/>
    <n v="112.61"/>
    <n v="45044"/>
  </r>
  <r>
    <d v="2024-08-21T00:00:00"/>
    <d v="2024-08-04T00:00:00"/>
    <s v="No"/>
    <n v="17"/>
    <n v="14639.3"/>
    <x v="14"/>
    <n v="130"/>
    <d v="2023-08-15T00:00:00"/>
    <s v="G/ZOR"/>
    <s v="Location 15"/>
    <s v="Customer 3"/>
    <n v="400"/>
    <n v="112.61"/>
    <n v="45044"/>
  </r>
  <r>
    <d v="2024-05-21T00:00:00"/>
    <d v="2023-08-23T00:00:00"/>
    <s v="No"/>
    <n v="272"/>
    <n v="235843.20000000001"/>
    <x v="81"/>
    <n v="576"/>
    <d v="2022-10-14T00:00:00"/>
    <s v="G/ZOR"/>
    <s v="Location 15"/>
    <s v="Customer 3"/>
    <n v="576"/>
    <n v="409.45"/>
    <n v="235843.20000000001"/>
  </r>
  <r>
    <d v="2024-07-05T00:00:00"/>
    <d v="2024-05-15T00:00:00"/>
    <s v="No"/>
    <n v="51"/>
    <n v="235843.20000000001"/>
    <x v="81"/>
    <n v="576"/>
    <d v="2023-04-28T00:00:00"/>
    <s v="G/ZOR"/>
    <s v="Location 15"/>
    <s v="Customer 3"/>
    <n v="576"/>
    <n v="409.45"/>
    <n v="235843.20000000001"/>
  </r>
  <r>
    <d v="2023-09-21T00:00:00"/>
    <d v="2023-08-05T00:00:00"/>
    <s v="No"/>
    <n v="47"/>
    <n v="235843.20000000001"/>
    <x v="81"/>
    <n v="576"/>
    <d v="2023-06-21T00:00:00"/>
    <s v="G/ZOR"/>
    <s v="Location 15"/>
    <s v="Customer 3"/>
    <n v="576"/>
    <n v="409.45"/>
    <n v="235843.20000000001"/>
  </r>
  <r>
    <d v="2024-09-04T00:00:00"/>
    <d v="2024-09-04T00:00:00"/>
    <s v="Yes"/>
    <n v="0"/>
    <n v="471686.40000000002"/>
    <x v="81"/>
    <n v="1152"/>
    <d v="2023-09-01T00:00:00"/>
    <s v="G/ZOR"/>
    <s v="Location 15"/>
    <s v="Customer 3"/>
    <n v="1152"/>
    <n v="409.45"/>
    <n v="471686.40000000002"/>
  </r>
  <r>
    <d v="2023-10-19T00:00:00"/>
    <d v="2023-06-01T00:00:00"/>
    <s v="No"/>
    <n v="140"/>
    <n v="11639.04"/>
    <x v="47"/>
    <n v="84"/>
    <d v="2022-05-25T00:00:00"/>
    <s v="G/ZOR"/>
    <s v="Location 15"/>
    <s v="Customer 3"/>
    <n v="84"/>
    <n v="138.56"/>
    <n v="11639.04"/>
  </r>
  <r>
    <d v="2023-10-19T00:00:00"/>
    <d v="2023-07-06T00:00:00"/>
    <s v="No"/>
    <n v="105"/>
    <n v="11639.04"/>
    <x v="47"/>
    <n v="84"/>
    <d v="2022-06-07T00:00:00"/>
    <s v="G/ZOR"/>
    <s v="Location 15"/>
    <s v="Customer 3"/>
    <n v="84"/>
    <n v="138.56"/>
    <n v="11639.04"/>
  </r>
  <r>
    <d v="2023-11-09T00:00:00"/>
    <d v="2023-07-27T00:00:00"/>
    <s v="No"/>
    <n v="105"/>
    <n v="11639.04"/>
    <x v="47"/>
    <n v="84"/>
    <d v="2022-06-07T00:00:00"/>
    <s v="G/ZOR"/>
    <s v="Location 15"/>
    <s v="Customer 3"/>
    <n v="84"/>
    <n v="138.56"/>
    <n v="11639.04"/>
  </r>
  <r>
    <d v="2023-10-18T00:00:00"/>
    <d v="2023-05-26T00:00:00"/>
    <s v="No"/>
    <n v="145"/>
    <n v="11639.04"/>
    <x v="47"/>
    <n v="84"/>
    <d v="2022-08-05T00:00:00"/>
    <s v="G/ZOR"/>
    <s v="Location 15"/>
    <s v="Customer 3"/>
    <n v="84"/>
    <n v="138.56"/>
    <n v="11639.04"/>
  </r>
  <r>
    <d v="2023-11-09T00:00:00"/>
    <d v="2023-07-10T00:00:00"/>
    <s v="No"/>
    <n v="122"/>
    <n v="11639.04"/>
    <x v="47"/>
    <n v="84"/>
    <d v="2022-09-01T00:00:00"/>
    <s v="G/ZOR"/>
    <s v="Location 15"/>
    <s v="Customer 3"/>
    <n v="84"/>
    <n v="138.56"/>
    <n v="11639.04"/>
  </r>
  <r>
    <d v="2023-11-15T00:00:00"/>
    <d v="2023-07-27T00:00:00"/>
    <s v="No"/>
    <n v="111"/>
    <n v="11639.04"/>
    <x v="47"/>
    <n v="84"/>
    <d v="2022-09-23T00:00:00"/>
    <s v="G/ZOR"/>
    <s v="Location 15"/>
    <s v="Customer 3"/>
    <n v="84"/>
    <n v="138.56"/>
    <n v="11639.04"/>
  </r>
  <r>
    <d v="2024-04-01T00:00:00"/>
    <d v="2024-02-07T00:00:00"/>
    <s v="No"/>
    <n v="54"/>
    <n v="11639.04"/>
    <x v="47"/>
    <n v="84"/>
    <d v="2023-02-21T00:00:00"/>
    <s v="G/ZOR"/>
    <s v="Location 15"/>
    <s v="Customer 3"/>
    <n v="84"/>
    <n v="138.56"/>
    <n v="11639.04"/>
  </r>
  <r>
    <d v="2024-04-23T00:00:00"/>
    <d v="2024-03-20T00:00:00"/>
    <s v="No"/>
    <n v="34"/>
    <n v="11639.04"/>
    <x v="47"/>
    <n v="84"/>
    <d v="2023-03-22T00:00:00"/>
    <s v="G/ZOR"/>
    <s v="Location 15"/>
    <s v="Customer 3"/>
    <n v="84"/>
    <n v="138.56"/>
    <n v="11639.04"/>
  </r>
  <r>
    <d v="2024-05-21T00:00:00"/>
    <d v="2024-04-10T00:00:00"/>
    <s v="No"/>
    <n v="41"/>
    <n v="11639.04"/>
    <x v="47"/>
    <n v="84"/>
    <d v="2023-04-07T00:00:00"/>
    <s v="G/ZOR"/>
    <s v="Location 15"/>
    <s v="Customer 3"/>
    <n v="84"/>
    <n v="138.56"/>
    <n v="11639.04"/>
  </r>
  <r>
    <d v="2023-09-20T00:00:00"/>
    <d v="2023-05-25T00:00:00"/>
    <s v="No"/>
    <n v="118"/>
    <n v="11639.04"/>
    <x v="47"/>
    <n v="84"/>
    <d v="2023-09-11T00:00:00"/>
    <s v="G/ZOR"/>
    <s v="Location 15"/>
    <s v="Customer 3"/>
    <n v="84"/>
    <n v="138.56"/>
    <n v="11639.04"/>
  </r>
  <r>
    <d v="2023-10-31T00:00:00"/>
    <d v="2023-07-24T00:00:00"/>
    <s v="No"/>
    <n v="99"/>
    <n v="62227.199999999997"/>
    <x v="19"/>
    <n v="1120"/>
    <d v="2022-06-30T00:00:00"/>
    <s v="G/ZOR"/>
    <s v="Location 15"/>
    <s v="Customer 3"/>
    <n v="1120"/>
    <n v="55.56"/>
    <n v="62227.199999999997"/>
  </r>
  <r>
    <d v="2024-05-15T00:00:00"/>
    <d v="2024-05-15T00:00:00"/>
    <s v="Yes"/>
    <n v="0"/>
    <n v="62227.199999999997"/>
    <x v="19"/>
    <n v="1120"/>
    <d v="2022-10-04T00:00:00"/>
    <s v="G/ZOR"/>
    <s v="Location 15"/>
    <s v="Customer 3"/>
    <n v="1120"/>
    <n v="55.56"/>
    <n v="62227.199999999997"/>
  </r>
  <r>
    <d v="2023-11-15T00:00:00"/>
    <d v="2023-11-15T00:00:00"/>
    <s v="Yes"/>
    <n v="0"/>
    <n v="3660"/>
    <x v="28"/>
    <n v="3000"/>
    <d v="2022-12-08T00:00:00"/>
    <s v="G/ZOR"/>
    <s v="Location 15"/>
    <s v="Customer 3"/>
    <n v="3000"/>
    <n v="1.22"/>
    <n v="3660"/>
  </r>
  <r>
    <d v="2024-01-10T00:00:00"/>
    <d v="2024-01-10T00:00:00"/>
    <s v="Yes"/>
    <n v="0"/>
    <n v="3660"/>
    <x v="28"/>
    <n v="3000"/>
    <d v="2022-12-19T00:00:00"/>
    <s v="G/ZOR"/>
    <s v="Location 15"/>
    <s v="Customer 3"/>
    <n v="3000"/>
    <n v="1.22"/>
    <n v="3660"/>
  </r>
  <r>
    <d v="2023-12-07T00:00:00"/>
    <d v="2023-12-01T00:00:00"/>
    <s v="No"/>
    <n v="6"/>
    <n v="17481.240000000002"/>
    <x v="52"/>
    <n v="252"/>
    <d v="2022-11-18T00:00:00"/>
    <s v="G/ZOR"/>
    <s v="Location 15"/>
    <s v="Customer 3"/>
    <n v="252"/>
    <n v="69.37"/>
    <n v="17481.240000000002"/>
  </r>
  <r>
    <d v="2023-11-09T00:00:00"/>
    <d v="2023-05-29T00:00:00"/>
    <s v="No"/>
    <n v="164"/>
    <n v="17481.240000000002"/>
    <x v="52"/>
    <n v="252"/>
    <d v="2022-11-24T00:00:00"/>
    <s v="G/ZOR"/>
    <s v="Location 15"/>
    <s v="Customer 3"/>
    <n v="252"/>
    <n v="69.37"/>
    <n v="17481.240000000002"/>
  </r>
  <r>
    <d v="2024-01-08T00:00:00"/>
    <d v="2024-01-01T00:00:00"/>
    <s v="No"/>
    <n v="7"/>
    <n v="17481.240000000002"/>
    <x v="52"/>
    <n v="252"/>
    <d v="2023-01-13T00:00:00"/>
    <s v="G/ZOR"/>
    <s v="Location 15"/>
    <s v="Customer 3"/>
    <n v="252"/>
    <n v="69.37"/>
    <n v="17481.240000000002"/>
  </r>
  <r>
    <d v="2023-09-14T00:00:00"/>
    <d v="2023-01-27T00:00:00"/>
    <s v="No"/>
    <n v="230"/>
    <n v="6728.89"/>
    <x v="52"/>
    <n v="97"/>
    <d v="2023-08-16T00:00:00"/>
    <s v="G/ZOR"/>
    <s v="Location 15"/>
    <s v="Customer 3"/>
    <n v="97"/>
    <n v="69.37"/>
    <n v="6728.89"/>
  </r>
  <r>
    <d v="2024-01-12T00:00:00"/>
    <d v="2024-01-12T00:00:00"/>
    <s v="Yes"/>
    <n v="0"/>
    <n v="17983.349999999999"/>
    <x v="82"/>
    <n v="297"/>
    <d v="2022-09-23T00:00:00"/>
    <s v="G/ZOR"/>
    <s v="Location 16"/>
    <s v="Customer 3"/>
    <n v="297"/>
    <n v="60.55"/>
    <n v="17983.349999999999"/>
  </r>
  <r>
    <d v="2024-01-19T00:00:00"/>
    <d v="2024-01-19T00:00:00"/>
    <s v="Yes"/>
    <n v="0"/>
    <n v="17983.349999999999"/>
    <x v="82"/>
    <n v="297"/>
    <d v="2022-09-29T00:00:00"/>
    <s v="G/ZOR"/>
    <s v="Location 16"/>
    <s v="Customer 3"/>
    <n v="297"/>
    <n v="60.55"/>
    <n v="17983.349999999999"/>
  </r>
  <r>
    <d v="2024-01-12T00:00:00"/>
    <d v="2024-01-12T00:00:00"/>
    <s v="Yes"/>
    <n v="0"/>
    <n v="73568.25"/>
    <x v="82"/>
    <n v="1215"/>
    <d v="2022-10-14T00:00:00"/>
    <s v="G/ZOR"/>
    <s v="Location 16"/>
    <s v="Customer 3"/>
    <n v="1215"/>
    <n v="60.55"/>
    <n v="73568.25"/>
  </r>
  <r>
    <d v="2024-01-03T00:00:00"/>
    <d v="2024-01-03T00:00:00"/>
    <s v="Yes"/>
    <n v="0"/>
    <n v="17983.349999999999"/>
    <x v="82"/>
    <n v="297"/>
    <d v="2022-10-21T00:00:00"/>
    <s v="G/ZOR"/>
    <s v="Location 16"/>
    <s v="Customer 3"/>
    <n v="297"/>
    <n v="60.55"/>
    <n v="17983.349999999999"/>
  </r>
  <r>
    <d v="2024-01-03T00:00:00"/>
    <d v="2024-01-03T00:00:00"/>
    <s v="Yes"/>
    <n v="0"/>
    <n v="17983.349999999999"/>
    <x v="82"/>
    <n v="297"/>
    <d v="2022-10-28T00:00:00"/>
    <s v="G/ZOR"/>
    <s v="Location 16"/>
    <s v="Customer 3"/>
    <n v="297"/>
    <n v="60.55"/>
    <n v="17983.349999999999"/>
  </r>
  <r>
    <d v="2024-01-03T00:00:00"/>
    <d v="2024-01-03T00:00:00"/>
    <s v="Yes"/>
    <n v="0"/>
    <n v="17983.349999999999"/>
    <x v="82"/>
    <n v="297"/>
    <d v="2022-11-04T00:00:00"/>
    <s v="G/ZOR"/>
    <s v="Location 16"/>
    <s v="Customer 3"/>
    <n v="297"/>
    <n v="60.55"/>
    <n v="17983.349999999999"/>
  </r>
  <r>
    <d v="2024-01-01T00:00:00"/>
    <d v="2024-01-01T00:00:00"/>
    <s v="Yes"/>
    <n v="0"/>
    <n v="16348.5"/>
    <x v="82"/>
    <n v="270"/>
    <d v="2022-11-11T00:00:00"/>
    <s v="G/ZOR"/>
    <s v="Location 16"/>
    <s v="Customer 3"/>
    <n v="270"/>
    <n v="60.55"/>
    <n v="16348.5"/>
  </r>
  <r>
    <d v="2024-01-30T00:00:00"/>
    <d v="2024-01-30T00:00:00"/>
    <s v="Yes"/>
    <n v="0"/>
    <n v="16348.5"/>
    <x v="82"/>
    <n v="270"/>
    <d v="2022-12-28T00:00:00"/>
    <s v="G/ZOR"/>
    <s v="Location 16"/>
    <s v="Customer 3"/>
    <n v="270"/>
    <n v="60.55"/>
    <n v="16348.5"/>
  </r>
  <r>
    <d v="2024-01-30T00:00:00"/>
    <d v="2024-01-30T00:00:00"/>
    <s v="Yes"/>
    <n v="0"/>
    <n v="16348.5"/>
    <x v="82"/>
    <n v="270"/>
    <d v="2023-01-19T00:00:00"/>
    <s v="G/ZOR"/>
    <s v="Location 16"/>
    <s v="Customer 3"/>
    <n v="270"/>
    <n v="60.55"/>
    <n v="16348.5"/>
  </r>
  <r>
    <d v="2024-01-30T00:00:00"/>
    <d v="2024-01-30T00:00:00"/>
    <s v="Yes"/>
    <n v="0"/>
    <n v="16348.5"/>
    <x v="82"/>
    <n v="270"/>
    <d v="2023-01-26T00:00:00"/>
    <s v="G/ZOR"/>
    <s v="Location 16"/>
    <s v="Customer 3"/>
    <n v="270"/>
    <n v="60.55"/>
    <n v="16348.5"/>
  </r>
  <r>
    <d v="2024-05-24T00:00:00"/>
    <d v="2024-05-24T00:00:00"/>
    <s v="Yes"/>
    <n v="0"/>
    <n v="16348.5"/>
    <x v="82"/>
    <n v="270"/>
    <d v="2023-02-01T00:00:00"/>
    <s v="G/ZOR"/>
    <s v="Location 16"/>
    <s v="Customer 3"/>
    <n v="270"/>
    <n v="60.55"/>
    <n v="16348.5"/>
  </r>
  <r>
    <d v="2024-07-05T00:00:00"/>
    <d v="2024-07-05T00:00:00"/>
    <s v="Yes"/>
    <n v="0"/>
    <n v="17088.3"/>
    <x v="82"/>
    <n v="270"/>
    <d v="2023-03-17T00:00:00"/>
    <s v="G/ZOR"/>
    <s v="Location 16"/>
    <s v="Customer 3"/>
    <n v="270"/>
    <n v="63.29"/>
    <n v="17088.3"/>
  </r>
  <r>
    <d v="2025-11-18T00:00:00"/>
    <d v="2023-08-23T00:00:00"/>
    <s v="No"/>
    <n v="818"/>
    <n v="81001.600000000006"/>
    <x v="83"/>
    <n v="544"/>
    <d v="2023-08-29T00:00:00"/>
    <s v="G/ZOR"/>
    <s v="Location 16"/>
    <s v="Customer 3"/>
    <n v="1400"/>
    <n v="148.9"/>
    <n v="208460"/>
  </r>
  <r>
    <d v="2025-11-18T00:00:00"/>
    <d v="2023-10-03T00:00:00"/>
    <s v="No"/>
    <n v="777"/>
    <n v="35178.300000000003"/>
    <x v="84"/>
    <n v="270"/>
    <d v="2022-06-24T00:00:00"/>
    <s v="G/ZOR"/>
    <s v="Location 16"/>
    <s v="Customer 3"/>
    <n v="270"/>
    <n v="130.29"/>
    <n v="35178.300000000003"/>
  </r>
  <r>
    <d v="2025-11-18T00:00:00"/>
    <d v="2023-11-07T00:00:00"/>
    <s v="No"/>
    <n v="742"/>
    <n v="35178.300000000003"/>
    <x v="84"/>
    <n v="270"/>
    <d v="2022-07-29T00:00:00"/>
    <s v="G/ZOR"/>
    <s v="Location 16"/>
    <s v="Customer 3"/>
    <n v="270"/>
    <n v="130.29"/>
    <n v="35178.300000000003"/>
  </r>
  <r>
    <d v="2025-11-18T00:00:00"/>
    <d v="2023-11-28T00:00:00"/>
    <s v="No"/>
    <n v="721"/>
    <n v="35178.300000000003"/>
    <x v="84"/>
    <n v="270"/>
    <d v="2022-08-29T00:00:00"/>
    <s v="G/ZOR"/>
    <s v="Location 16"/>
    <s v="Customer 3"/>
    <n v="270"/>
    <n v="130.29"/>
    <n v="35178.300000000003"/>
  </r>
  <r>
    <d v="2025-11-18T00:00:00"/>
    <d v="2024-08-20T00:00:00"/>
    <s v="No"/>
    <n v="455"/>
    <n v="17589.150000000001"/>
    <x v="84"/>
    <n v="135"/>
    <d v="2023-05-19T00:00:00"/>
    <s v="G/ZOR"/>
    <s v="Location 16"/>
    <s v="Customer 3"/>
    <n v="135"/>
    <n v="130.29"/>
    <n v="17589.150000000001"/>
  </r>
  <r>
    <d v="2025-11-18T00:00:00"/>
    <d v="2023-08-01T00:00:00"/>
    <s v="No"/>
    <n v="840"/>
    <n v="17589.150000000001"/>
    <x v="84"/>
    <n v="135"/>
    <d v="2023-08-29T00:00:00"/>
    <s v="G/ZOR"/>
    <s v="Location 16"/>
    <s v="Customer 3"/>
    <n v="270"/>
    <n v="130.29"/>
    <n v="35178.300000000003"/>
  </r>
  <r>
    <d v="2023-12-26T00:00:00"/>
    <d v="2023-12-26T00:00:00"/>
    <s v="Yes"/>
    <n v="0"/>
    <n v="20679.48"/>
    <x v="72"/>
    <n v="31"/>
    <d v="2022-09-15T00:00:00"/>
    <s v="G/ZOR"/>
    <s v="Location 16"/>
    <s v="Customer 3"/>
    <n v="120"/>
    <n v="667.08"/>
    <n v="80049.600000000006"/>
  </r>
  <r>
    <d v="2024-01-08T00:00:00"/>
    <d v="2023-12-26T00:00:00"/>
    <s v="No"/>
    <n v="13"/>
    <n v="59370.12"/>
    <x v="72"/>
    <n v="89"/>
    <d v="2022-09-15T00:00:00"/>
    <s v="G/ZOR"/>
    <s v="Location 16"/>
    <s v="Customer 3"/>
    <n v="120"/>
    <n v="667.08"/>
    <n v="80049.600000000006"/>
  </r>
  <r>
    <d v="2024-05-14T00:00:00"/>
    <d v="2024-05-14T00:00:00"/>
    <s v="Yes"/>
    <n v="0"/>
    <n v="80049.600000000006"/>
    <x v="72"/>
    <n v="120"/>
    <d v="2023-02-01T00:00:00"/>
    <s v="G/ZOR"/>
    <s v="Location 16"/>
    <s v="Customer 3"/>
    <n v="120"/>
    <n v="667.08"/>
    <n v="80049.600000000006"/>
  </r>
  <r>
    <d v="2023-09-15T00:00:00"/>
    <d v="2023-08-22T00:00:00"/>
    <s v="No"/>
    <n v="24"/>
    <n v="48029.760000000002"/>
    <x v="72"/>
    <n v="72"/>
    <d v="2023-08-10T00:00:00"/>
    <s v="G/ZOR"/>
    <s v="Location 16"/>
    <s v="Customer 3"/>
    <n v="192"/>
    <n v="667.08"/>
    <n v="128079.36"/>
  </r>
  <r>
    <d v="2023-09-26T00:00:00"/>
    <d v="2023-09-26T00:00:00"/>
    <s v="Yes"/>
    <n v="0"/>
    <n v="10500"/>
    <x v="71"/>
    <n v="6000"/>
    <d v="2022-09-15T00:00:00"/>
    <s v="G/ZOR"/>
    <s v="Location 16"/>
    <s v="Customer 3"/>
    <n v="6000"/>
    <n v="1.75"/>
    <n v="10500"/>
  </r>
  <r>
    <d v="2023-11-28T00:00:00"/>
    <d v="2023-11-28T00:00:00"/>
    <s v="Yes"/>
    <n v="0"/>
    <n v="10500"/>
    <x v="71"/>
    <n v="6000"/>
    <d v="2022-09-23T00:00:00"/>
    <s v="G/ZOR"/>
    <s v="Location 16"/>
    <s v="Customer 3"/>
    <n v="6000"/>
    <n v="1.75"/>
    <n v="10500"/>
  </r>
  <r>
    <d v="2023-12-19T00:00:00"/>
    <d v="2023-12-19T00:00:00"/>
    <s v="Yes"/>
    <n v="0"/>
    <n v="10500"/>
    <x v="71"/>
    <n v="6000"/>
    <d v="2022-09-23T00:00:00"/>
    <s v="G/ZOR"/>
    <s v="Location 16"/>
    <s v="Customer 3"/>
    <n v="6000"/>
    <n v="1.75"/>
    <n v="10500"/>
  </r>
  <r>
    <d v="2023-12-26T00:00:00"/>
    <d v="2023-12-26T00:00:00"/>
    <s v="Yes"/>
    <n v="0"/>
    <n v="10500"/>
    <x v="71"/>
    <n v="6000"/>
    <d v="2022-09-23T00:00:00"/>
    <s v="G/ZOR"/>
    <s v="Location 16"/>
    <s v="Customer 3"/>
    <n v="6000"/>
    <n v="1.75"/>
    <n v="10500"/>
  </r>
  <r>
    <d v="2024-01-02T00:00:00"/>
    <d v="2024-01-02T00:00:00"/>
    <s v="Yes"/>
    <n v="0"/>
    <n v="5250"/>
    <x v="71"/>
    <n v="3000"/>
    <d v="2022-09-30T00:00:00"/>
    <s v="G/ZOR"/>
    <s v="Location 16"/>
    <s v="Customer 3"/>
    <n v="3000"/>
    <n v="1.75"/>
    <n v="5250"/>
  </r>
  <r>
    <d v="2024-01-09T00:00:00"/>
    <d v="2024-01-09T00:00:00"/>
    <s v="Yes"/>
    <n v="0"/>
    <n v="5250"/>
    <x v="71"/>
    <n v="3000"/>
    <d v="2022-10-21T00:00:00"/>
    <s v="G/ZOR"/>
    <s v="Location 16"/>
    <s v="Customer 3"/>
    <n v="3000"/>
    <n v="1.75"/>
    <n v="5250"/>
  </r>
  <r>
    <d v="2024-01-16T00:00:00"/>
    <d v="2024-01-16T00:00:00"/>
    <s v="Yes"/>
    <n v="0"/>
    <n v="10500"/>
    <x v="71"/>
    <n v="6000"/>
    <d v="2022-10-21T00:00:00"/>
    <s v="G/ZOR"/>
    <s v="Location 16"/>
    <s v="Customer 3"/>
    <n v="6000"/>
    <n v="1.75"/>
    <n v="10500"/>
  </r>
  <r>
    <d v="2024-08-06T00:00:00"/>
    <d v="2024-08-06T00:00:00"/>
    <s v="Yes"/>
    <n v="0"/>
    <n v="42000"/>
    <x v="71"/>
    <n v="24000"/>
    <d v="2023-01-17T00:00:00"/>
    <s v="G/ZOR"/>
    <s v="Location 16"/>
    <s v="Customer 3"/>
    <n v="24000"/>
    <n v="1.75"/>
    <n v="42000"/>
  </r>
  <r>
    <d v="2024-08-13T00:00:00"/>
    <d v="2024-08-13T00:00:00"/>
    <s v="Yes"/>
    <n v="0"/>
    <n v="42000"/>
    <x v="71"/>
    <n v="24000"/>
    <d v="2023-01-17T00:00:00"/>
    <s v="G/ZOR"/>
    <s v="Location 16"/>
    <s v="Customer 3"/>
    <n v="24000"/>
    <n v="1.75"/>
    <n v="42000"/>
  </r>
  <r>
    <d v="2024-08-20T00:00:00"/>
    <d v="2024-08-20T00:00:00"/>
    <s v="Yes"/>
    <n v="0"/>
    <n v="42000"/>
    <x v="71"/>
    <n v="24000"/>
    <d v="2023-01-17T00:00:00"/>
    <s v="G/ZOR"/>
    <s v="Location 16"/>
    <s v="Customer 3"/>
    <n v="24000"/>
    <n v="1.75"/>
    <n v="42000"/>
  </r>
  <r>
    <d v="2024-08-27T00:00:00"/>
    <d v="2024-08-27T00:00:00"/>
    <s v="Yes"/>
    <n v="0"/>
    <n v="36750"/>
    <x v="71"/>
    <n v="21000"/>
    <d v="2023-01-17T00:00:00"/>
    <s v="G/ZOR"/>
    <s v="Location 16"/>
    <s v="Customer 3"/>
    <n v="21000"/>
    <n v="1.75"/>
    <n v="36750"/>
  </r>
  <r>
    <d v="2023-12-26T00:00:00"/>
    <d v="2023-12-26T00:00:00"/>
    <s v="Yes"/>
    <n v="0"/>
    <n v="10560"/>
    <x v="64"/>
    <n v="6000"/>
    <d v="2022-09-23T00:00:00"/>
    <s v="G/ZOR"/>
    <s v="Location 16"/>
    <s v="Customer 3"/>
    <n v="6000"/>
    <n v="1.76"/>
    <n v="10560"/>
  </r>
  <r>
    <d v="2024-01-16T00:00:00"/>
    <d v="2024-01-16T00:00:00"/>
    <s v="Yes"/>
    <n v="0"/>
    <n v="10560"/>
    <x v="64"/>
    <n v="6000"/>
    <d v="2022-10-21T00:00:00"/>
    <s v="G/ZOR"/>
    <s v="Location 16"/>
    <s v="Customer 3"/>
    <n v="6000"/>
    <n v="1.76"/>
    <n v="10560"/>
  </r>
  <r>
    <d v="2024-02-20T00:00:00"/>
    <d v="2024-02-20T00:00:00"/>
    <s v="Yes"/>
    <n v="0"/>
    <n v="5280"/>
    <x v="64"/>
    <n v="3000"/>
    <d v="2022-11-28T00:00:00"/>
    <s v="G/ZOR"/>
    <s v="Location 16"/>
    <s v="Customer 3"/>
    <n v="3000"/>
    <n v="1.76"/>
    <n v="5280"/>
  </r>
  <r>
    <d v="2024-02-27T00:00:00"/>
    <d v="2024-02-27T00:00:00"/>
    <s v="Yes"/>
    <n v="0"/>
    <n v="5280"/>
    <x v="64"/>
    <n v="3000"/>
    <d v="2022-12-20T00:00:00"/>
    <s v="G/ZOR"/>
    <s v="Location 16"/>
    <s v="Customer 3"/>
    <n v="3000"/>
    <n v="1.76"/>
    <n v="5280"/>
  </r>
  <r>
    <d v="2024-08-20T00:00:00"/>
    <d v="2024-08-20T00:00:00"/>
    <s v="Yes"/>
    <n v="0"/>
    <n v="36960"/>
    <x v="64"/>
    <n v="21000"/>
    <d v="2023-01-17T00:00:00"/>
    <s v="G/ZOR"/>
    <s v="Location 16"/>
    <s v="Customer 3"/>
    <n v="21000"/>
    <n v="1.76"/>
    <n v="36960"/>
  </r>
  <r>
    <d v="2024-12-12T00:00:00"/>
    <d v="2024-11-26T00:00:00"/>
    <s v="No"/>
    <n v="16"/>
    <n v="5280"/>
    <x v="64"/>
    <n v="3000"/>
    <d v="2023-07-18T00:00:00"/>
    <s v="G/ZOR"/>
    <s v="Location 16"/>
    <s v="Customer 3"/>
    <n v="3000"/>
    <n v="1.76"/>
    <n v="5280"/>
  </r>
  <r>
    <d v="2023-11-21T00:00:00"/>
    <d v="2023-11-21T00:00:00"/>
    <s v="Yes"/>
    <n v="0"/>
    <n v="5940"/>
    <x v="76"/>
    <n v="3000"/>
    <d v="2022-09-23T00:00:00"/>
    <s v="G/ZOR"/>
    <s v="Location 16"/>
    <s v="Customer 3"/>
    <n v="3000"/>
    <n v="1.98"/>
    <n v="5940"/>
  </r>
  <r>
    <d v="2023-12-26T00:00:00"/>
    <d v="2023-12-26T00:00:00"/>
    <s v="Yes"/>
    <n v="0"/>
    <n v="11880"/>
    <x v="76"/>
    <n v="6000"/>
    <d v="2022-09-23T00:00:00"/>
    <s v="G/ZOR"/>
    <s v="Location 16"/>
    <s v="Customer 3"/>
    <n v="6000"/>
    <n v="1.98"/>
    <n v="11880"/>
  </r>
  <r>
    <d v="2024-04-30T00:00:00"/>
    <d v="2024-04-30T00:00:00"/>
    <s v="Yes"/>
    <n v="0"/>
    <n v="5940"/>
    <x v="76"/>
    <n v="3000"/>
    <d v="2023-01-30T00:00:00"/>
    <s v="G/ZOR"/>
    <s v="Location 16"/>
    <s v="Customer 3"/>
    <n v="6000"/>
    <n v="1.98"/>
    <n v="11880"/>
  </r>
  <r>
    <d v="2025-01-15T00:00:00"/>
    <d v="2024-04-30T00:00:00"/>
    <s v="No"/>
    <n v="260"/>
    <n v="5940"/>
    <x v="76"/>
    <n v="3000"/>
    <d v="2023-01-30T00:00:00"/>
    <s v="G/ZOR"/>
    <s v="Location 16"/>
    <s v="Customer 3"/>
    <n v="6000"/>
    <n v="1.98"/>
    <n v="11880"/>
  </r>
  <r>
    <d v="2024-07-30T00:00:00"/>
    <d v="2024-07-30T00:00:00"/>
    <s v="Yes"/>
    <n v="0"/>
    <n v="11880"/>
    <x v="76"/>
    <n v="6000"/>
    <d v="2023-01-30T00:00:00"/>
    <s v="G/ZOR"/>
    <s v="Location 16"/>
    <s v="Customer 3"/>
    <n v="6000"/>
    <n v="1.98"/>
    <n v="11880"/>
  </r>
  <r>
    <d v="2025-01-15T00:00:00"/>
    <d v="2024-06-25T00:00:00"/>
    <s v="No"/>
    <n v="204"/>
    <n v="11880"/>
    <x v="76"/>
    <n v="6000"/>
    <d v="2023-01-30T00:00:00"/>
    <s v="G/ZOR"/>
    <s v="Location 16"/>
    <s v="Customer 3"/>
    <n v="6000"/>
    <n v="1.98"/>
    <n v="11880"/>
  </r>
  <r>
    <d v="2023-09-21T00:00:00"/>
    <d v="2023-09-21T00:00:00"/>
    <s v="Yes"/>
    <n v="0"/>
    <n v="46617.120000000003"/>
    <x v="4"/>
    <n v="432"/>
    <d v="2022-09-07T00:00:00"/>
    <s v="G/ZOR"/>
    <s v="Location 3"/>
    <s v="Customer 3"/>
    <n v="432"/>
    <n v="107.91"/>
    <n v="46617.120000000003"/>
  </r>
  <r>
    <d v="2023-10-03T00:00:00"/>
    <d v="2023-10-03T00:00:00"/>
    <s v="Yes"/>
    <n v="0"/>
    <n v="34962.839999999997"/>
    <x v="4"/>
    <n v="324"/>
    <d v="2022-09-23T00:00:00"/>
    <s v="G/ZOR"/>
    <s v="Location 3"/>
    <s v="Customer 3"/>
    <n v="324"/>
    <n v="107.91"/>
    <n v="34962.839999999997"/>
  </r>
  <r>
    <d v="2023-10-03T00:00:00"/>
    <d v="2023-10-03T00:00:00"/>
    <s v="Yes"/>
    <n v="0"/>
    <n v="46617.120000000003"/>
    <x v="4"/>
    <n v="432"/>
    <d v="2022-09-23T00:00:00"/>
    <s v="G/ZOR"/>
    <s v="Location 3"/>
    <s v="Customer 3"/>
    <n v="432"/>
    <n v="107.91"/>
    <n v="46617.120000000003"/>
  </r>
  <r>
    <d v="2023-10-26T00:00:00"/>
    <d v="2023-10-26T00:00:00"/>
    <s v="Yes"/>
    <n v="0"/>
    <n v="11654.28"/>
    <x v="4"/>
    <n v="108"/>
    <d v="2022-10-13T00:00:00"/>
    <s v="G/ZOR"/>
    <s v="Location 3"/>
    <s v="Customer 3"/>
    <n v="108"/>
    <n v="107.91"/>
    <n v="11654.28"/>
  </r>
  <r>
    <d v="2023-10-26T00:00:00"/>
    <d v="2023-10-26T00:00:00"/>
    <s v="Yes"/>
    <n v="0"/>
    <n v="46617.120000000003"/>
    <x v="4"/>
    <n v="432"/>
    <d v="2022-10-14T00:00:00"/>
    <s v="G/ZOR"/>
    <s v="Location 3"/>
    <s v="Customer 3"/>
    <n v="432"/>
    <n v="107.91"/>
    <n v="46617.120000000003"/>
  </r>
  <r>
    <d v="2024-01-02T00:00:00"/>
    <d v="2024-01-02T00:00:00"/>
    <s v="Yes"/>
    <n v="0"/>
    <n v="46617.120000000003"/>
    <x v="4"/>
    <n v="432"/>
    <d v="2022-12-22T00:00:00"/>
    <s v="G/ZOR"/>
    <s v="Location 3"/>
    <s v="Customer 3"/>
    <n v="432"/>
    <n v="107.91"/>
    <n v="46617.120000000003"/>
  </r>
  <r>
    <d v="2024-01-02T00:00:00"/>
    <d v="2024-01-02T00:00:00"/>
    <s v="Yes"/>
    <n v="0"/>
    <n v="34962.839999999997"/>
    <x v="4"/>
    <n v="324"/>
    <d v="2022-12-22T00:00:00"/>
    <s v="G/ZOR"/>
    <s v="Location 3"/>
    <s v="Customer 3"/>
    <n v="324"/>
    <n v="107.91"/>
    <n v="34962.839999999997"/>
  </r>
  <r>
    <d v="2024-01-04T00:00:00"/>
    <d v="2024-01-04T00:00:00"/>
    <s v="Yes"/>
    <n v="0"/>
    <n v="34962.839999999997"/>
    <x v="4"/>
    <n v="324"/>
    <d v="2023-01-06T00:00:00"/>
    <s v="G/ZOR"/>
    <s v="Location 3"/>
    <s v="Customer 3"/>
    <n v="324"/>
    <n v="107.91"/>
    <n v="34962.839999999997"/>
  </r>
  <r>
    <d v="2024-01-04T00:00:00"/>
    <d v="2024-01-04T00:00:00"/>
    <s v="Yes"/>
    <n v="0"/>
    <n v="46617.120000000003"/>
    <x v="4"/>
    <n v="432"/>
    <d v="2023-01-06T00:00:00"/>
    <s v="G/ZOR"/>
    <s v="Location 3"/>
    <s v="Customer 3"/>
    <n v="432"/>
    <n v="107.91"/>
    <n v="46617.120000000003"/>
  </r>
  <r>
    <d v="2024-01-11T00:00:00"/>
    <d v="2024-01-11T00:00:00"/>
    <s v="Yes"/>
    <n v="0"/>
    <n v="34962.839999999997"/>
    <x v="4"/>
    <n v="324"/>
    <d v="2023-01-06T00:00:00"/>
    <s v="G/ZOR"/>
    <s v="Location 3"/>
    <s v="Customer 3"/>
    <n v="324"/>
    <n v="107.91"/>
    <n v="34962.839999999997"/>
  </r>
  <r>
    <d v="2024-01-11T00:00:00"/>
    <d v="2024-01-11T00:00:00"/>
    <s v="Yes"/>
    <n v="0"/>
    <n v="46617.120000000003"/>
    <x v="4"/>
    <n v="432"/>
    <d v="2023-01-06T00:00:00"/>
    <s v="G/ZOR"/>
    <s v="Location 3"/>
    <s v="Customer 3"/>
    <n v="432"/>
    <n v="107.91"/>
    <n v="46617.120000000003"/>
  </r>
  <r>
    <d v="2024-01-18T00:00:00"/>
    <d v="2024-01-18T00:00:00"/>
    <s v="Yes"/>
    <n v="0"/>
    <n v="34962.839999999997"/>
    <x v="4"/>
    <n v="324"/>
    <d v="2023-01-06T00:00:00"/>
    <s v="G/ZOR"/>
    <s v="Location 3"/>
    <s v="Customer 3"/>
    <n v="324"/>
    <n v="107.91"/>
    <n v="34962.839999999997"/>
  </r>
  <r>
    <d v="2024-01-18T00:00:00"/>
    <d v="2024-01-18T00:00:00"/>
    <s v="Yes"/>
    <n v="0"/>
    <n v="46617.120000000003"/>
    <x v="4"/>
    <n v="432"/>
    <d v="2023-01-06T00:00:00"/>
    <s v="G/ZOR"/>
    <s v="Location 3"/>
    <s v="Customer 3"/>
    <n v="432"/>
    <n v="107.91"/>
    <n v="46617.120000000003"/>
  </r>
  <r>
    <d v="2024-01-25T00:00:00"/>
    <d v="2024-01-25T00:00:00"/>
    <s v="Yes"/>
    <n v="0"/>
    <n v="46617.120000000003"/>
    <x v="4"/>
    <n v="432"/>
    <d v="2023-01-13T00:00:00"/>
    <s v="G/ZOR"/>
    <s v="Location 3"/>
    <s v="Customer 3"/>
    <n v="432"/>
    <n v="107.91"/>
    <n v="46617.120000000003"/>
  </r>
  <r>
    <d v="2024-02-08T00:00:00"/>
    <d v="2024-02-08T00:00:00"/>
    <s v="Yes"/>
    <n v="0"/>
    <n v="46617.120000000003"/>
    <x v="4"/>
    <n v="432"/>
    <d v="2023-01-27T00:00:00"/>
    <s v="G/ZOR"/>
    <s v="Location 4"/>
    <s v="Customer 3"/>
    <n v="432"/>
    <n v="107.91"/>
    <n v="46617.120000000003"/>
  </r>
  <r>
    <d v="2024-02-08T00:00:00"/>
    <d v="2024-02-08T00:00:00"/>
    <s v="Yes"/>
    <n v="0"/>
    <n v="34962.839999999997"/>
    <x v="4"/>
    <n v="324"/>
    <d v="2023-01-27T00:00:00"/>
    <s v="G/ZOR"/>
    <s v="Location 4"/>
    <s v="Customer 3"/>
    <n v="324"/>
    <n v="107.91"/>
    <n v="34962.839999999997"/>
  </r>
  <r>
    <d v="2024-02-13T00:00:00"/>
    <d v="2024-02-13T00:00:00"/>
    <s v="Yes"/>
    <n v="0"/>
    <n v="46617.120000000003"/>
    <x v="4"/>
    <n v="432"/>
    <d v="2023-02-03T00:00:00"/>
    <s v="G/ZOR"/>
    <s v="Location 4"/>
    <s v="Customer 3"/>
    <n v="432"/>
    <n v="107.91"/>
    <n v="46617.120000000003"/>
  </r>
  <r>
    <d v="2024-02-27T00:00:00"/>
    <d v="2024-02-27T00:00:00"/>
    <s v="Yes"/>
    <n v="0"/>
    <n v="34962.839999999997"/>
    <x v="4"/>
    <n v="324"/>
    <d v="2023-02-16T00:00:00"/>
    <s v="G/ZOR"/>
    <s v="Location 4"/>
    <s v="Customer 3"/>
    <n v="324"/>
    <n v="107.91"/>
    <n v="34962.839999999997"/>
  </r>
  <r>
    <d v="2024-04-11T00:00:00"/>
    <d v="2024-04-11T00:00:00"/>
    <s v="Yes"/>
    <n v="0"/>
    <n v="23308.560000000001"/>
    <x v="4"/>
    <n v="216"/>
    <d v="2023-03-30T00:00:00"/>
    <s v="G/ZOR"/>
    <s v="Location 4"/>
    <s v="Customer 3"/>
    <n v="216"/>
    <n v="107.91"/>
    <n v="23308.560000000001"/>
  </r>
  <r>
    <d v="2024-04-11T00:00:00"/>
    <d v="2024-04-11T00:00:00"/>
    <s v="Yes"/>
    <n v="0"/>
    <n v="46617.120000000003"/>
    <x v="4"/>
    <n v="432"/>
    <d v="2023-03-31T00:00:00"/>
    <s v="G/ZOR"/>
    <s v="Location 4"/>
    <s v="Customer 3"/>
    <n v="432"/>
    <n v="107.91"/>
    <n v="46617.120000000003"/>
  </r>
  <r>
    <d v="2024-04-18T00:00:00"/>
    <d v="2024-04-18T00:00:00"/>
    <s v="Yes"/>
    <n v="0"/>
    <n v="11654.28"/>
    <x v="4"/>
    <n v="108"/>
    <d v="2023-04-04T00:00:00"/>
    <s v="G/ZOR"/>
    <s v="Location 4"/>
    <s v="Customer 3"/>
    <n v="108"/>
    <n v="107.91"/>
    <n v="11654.28"/>
  </r>
  <r>
    <d v="2024-04-18T00:00:00"/>
    <d v="2024-04-18T00:00:00"/>
    <s v="Yes"/>
    <n v="0"/>
    <n v="46617.120000000003"/>
    <x v="4"/>
    <n v="432"/>
    <d v="2023-04-06T00:00:00"/>
    <s v="G/ZOR"/>
    <s v="Location 4"/>
    <s v="Customer 3"/>
    <n v="432"/>
    <n v="107.91"/>
    <n v="46617.120000000003"/>
  </r>
  <r>
    <d v="2024-04-25T00:00:00"/>
    <d v="2024-04-25T00:00:00"/>
    <s v="Yes"/>
    <n v="0"/>
    <n v="46617.120000000003"/>
    <x v="4"/>
    <n v="432"/>
    <d v="2023-04-12T00:00:00"/>
    <s v="G/ZOR"/>
    <s v="Location 4"/>
    <s v="Customer 3"/>
    <n v="432"/>
    <n v="107.91"/>
    <n v="46617.120000000003"/>
  </r>
  <r>
    <d v="2024-04-25T00:00:00"/>
    <d v="2024-04-25T00:00:00"/>
    <s v="Yes"/>
    <n v="0"/>
    <n v="11654.28"/>
    <x v="4"/>
    <n v="108"/>
    <d v="2023-04-17T00:00:00"/>
    <s v="G/ZOR"/>
    <s v="Location 4"/>
    <s v="Customer 3"/>
    <n v="108"/>
    <n v="107.91"/>
    <n v="11654.28"/>
  </r>
  <r>
    <d v="2024-04-25T00:00:00"/>
    <d v="2024-04-25T00:00:00"/>
    <s v="Yes"/>
    <n v="0"/>
    <n v="46617.120000000003"/>
    <x v="4"/>
    <n v="432"/>
    <d v="2023-04-18T00:00:00"/>
    <s v="G/ZOR"/>
    <s v="Location 4"/>
    <s v="Customer 3"/>
    <n v="432"/>
    <n v="107.91"/>
    <n v="46617.120000000003"/>
  </r>
  <r>
    <d v="2024-05-02T00:00:00"/>
    <d v="2024-05-02T00:00:00"/>
    <s v="Yes"/>
    <n v="0"/>
    <n v="34962.839999999997"/>
    <x v="4"/>
    <n v="324"/>
    <d v="2023-04-18T00:00:00"/>
    <s v="G/ZOR"/>
    <s v="Location 4"/>
    <s v="Customer 3"/>
    <n v="324"/>
    <n v="107.91"/>
    <n v="34962.839999999997"/>
  </r>
  <r>
    <d v="2024-05-02T00:00:00"/>
    <d v="2024-05-02T00:00:00"/>
    <s v="Yes"/>
    <n v="0"/>
    <n v="46617.120000000003"/>
    <x v="4"/>
    <n v="432"/>
    <d v="2023-04-18T00:00:00"/>
    <s v="G/ZOR"/>
    <s v="Location 4"/>
    <s v="Customer 3"/>
    <n v="432"/>
    <n v="107.91"/>
    <n v="46617.120000000003"/>
  </r>
  <r>
    <d v="2024-05-07T00:00:00"/>
    <d v="2024-05-07T00:00:00"/>
    <s v="Yes"/>
    <n v="0"/>
    <n v="46617.120000000003"/>
    <x v="4"/>
    <n v="432"/>
    <d v="2023-04-26T00:00:00"/>
    <s v="G/ZOR"/>
    <s v="Location 4"/>
    <s v="Customer 3"/>
    <n v="432"/>
    <n v="107.91"/>
    <n v="46617.120000000003"/>
  </r>
  <r>
    <d v="2023-09-26T00:00:00"/>
    <d v="2023-09-26T00:00:00"/>
    <s v="Yes"/>
    <n v="0"/>
    <n v="3880"/>
    <x v="5"/>
    <n v="2000"/>
    <d v="2022-09-14T00:00:00"/>
    <s v="G/ZOR"/>
    <s v="Location 3"/>
    <s v="Customer 3"/>
    <n v="2000"/>
    <n v="1.94"/>
    <n v="3880"/>
  </r>
  <r>
    <d v="2023-10-03T00:00:00"/>
    <d v="2023-10-03T00:00:00"/>
    <s v="Yes"/>
    <n v="0"/>
    <n v="54085.2"/>
    <x v="7"/>
    <n v="120"/>
    <d v="2022-09-01T00:00:00"/>
    <s v="G/ZOR"/>
    <s v="Location 3"/>
    <s v="Customer 3"/>
    <n v="120"/>
    <n v="450.71"/>
    <n v="54085.2"/>
  </r>
  <r>
    <d v="2023-10-17T00:00:00"/>
    <d v="2023-10-17T00:00:00"/>
    <s v="Yes"/>
    <n v="0"/>
    <n v="54085.2"/>
    <x v="7"/>
    <n v="120"/>
    <d v="2022-09-08T00:00:00"/>
    <s v="G/ZOR"/>
    <s v="Location 3"/>
    <s v="Customer 3"/>
    <n v="120"/>
    <n v="450.71"/>
    <n v="54085.2"/>
  </r>
  <r>
    <d v="2023-10-24T00:00:00"/>
    <d v="2023-10-24T00:00:00"/>
    <s v="Yes"/>
    <n v="0"/>
    <n v="54085.2"/>
    <x v="7"/>
    <n v="120"/>
    <d v="2022-09-15T00:00:00"/>
    <s v="G/ZOR"/>
    <s v="Location 3"/>
    <s v="Customer 3"/>
    <n v="120"/>
    <n v="450.71"/>
    <n v="54085.2"/>
  </r>
  <r>
    <d v="2024-04-09T00:00:00"/>
    <d v="2024-04-09T00:00:00"/>
    <s v="Yes"/>
    <n v="0"/>
    <n v="108170.4"/>
    <x v="7"/>
    <n v="240"/>
    <d v="2022-12-02T00:00:00"/>
    <s v="G/ZOR"/>
    <s v="Location 3"/>
    <s v="Customer 3"/>
    <n v="240"/>
    <n v="450.71"/>
    <n v="108170.4"/>
  </r>
  <r>
    <d v="2024-05-07T00:00:00"/>
    <d v="2024-05-07T00:00:00"/>
    <s v="Yes"/>
    <n v="0"/>
    <n v="54085.2"/>
    <x v="7"/>
    <n v="120"/>
    <d v="2022-12-22T00:00:00"/>
    <s v="G/ZOR"/>
    <s v="Location 3"/>
    <s v="Customer 3"/>
    <n v="120"/>
    <n v="450.71"/>
    <n v="54085.2"/>
  </r>
  <r>
    <d v="2024-05-14T00:00:00"/>
    <d v="2024-05-14T00:00:00"/>
    <s v="Yes"/>
    <n v="0"/>
    <n v="54085.2"/>
    <x v="7"/>
    <n v="120"/>
    <d v="2022-12-28T00:00:00"/>
    <s v="G/ZOR"/>
    <s v="Location 3"/>
    <s v="Customer 3"/>
    <n v="120"/>
    <n v="450.71"/>
    <n v="54085.2"/>
  </r>
  <r>
    <d v="2024-05-21T00:00:00"/>
    <d v="2024-05-21T00:00:00"/>
    <s v="Yes"/>
    <n v="0"/>
    <n v="54085.2"/>
    <x v="7"/>
    <n v="120"/>
    <d v="2023-01-06T00:00:00"/>
    <s v="G/ZOR"/>
    <s v="Location 3"/>
    <s v="Customer 3"/>
    <n v="120"/>
    <n v="450.71"/>
    <n v="54085.2"/>
  </r>
  <r>
    <d v="2024-05-28T00:00:00"/>
    <d v="2024-05-28T00:00:00"/>
    <s v="Yes"/>
    <n v="0"/>
    <n v="54085.2"/>
    <x v="7"/>
    <n v="120"/>
    <d v="2023-01-13T00:00:00"/>
    <s v="G/ZOR"/>
    <s v="Location 3"/>
    <s v="Customer 3"/>
    <n v="120"/>
    <n v="450.71"/>
    <n v="54085.2"/>
  </r>
  <r>
    <d v="2023-09-26T00:00:00"/>
    <d v="2023-09-26T00:00:00"/>
    <s v="Yes"/>
    <n v="0"/>
    <n v="44620.29"/>
    <x v="7"/>
    <n v="99"/>
    <d v="2023-09-11T00:00:00"/>
    <s v="G/ZOR"/>
    <s v="Location 3"/>
    <s v="Customer 3"/>
    <n v="240"/>
    <n v="450.71"/>
    <n v="108170.4"/>
  </r>
  <r>
    <d v="2023-09-28T00:00:00"/>
    <d v="2023-09-26T00:00:00"/>
    <s v="No"/>
    <n v="2"/>
    <n v="63550.11"/>
    <x v="7"/>
    <n v="141"/>
    <d v="2023-09-11T00:00:00"/>
    <s v="G/ZOR"/>
    <s v="Location 3"/>
    <s v="Customer 3"/>
    <n v="240"/>
    <n v="450.71"/>
    <n v="108170.4"/>
  </r>
  <r>
    <d v="2023-10-26T00:00:00"/>
    <d v="2023-02-17T00:00:00"/>
    <s v="No"/>
    <n v="251"/>
    <n v="32089.200000000001"/>
    <x v="85"/>
    <n v="220"/>
    <d v="2022-02-11T00:00:00"/>
    <s v="G/ZOR"/>
    <s v="Location 3"/>
    <s v="Customer 3"/>
    <n v="220"/>
    <n v="145.86000000000001"/>
    <n v="32089.200000000001"/>
  </r>
  <r>
    <d v="2023-10-26T00:00:00"/>
    <d v="2023-03-02T00:00:00"/>
    <s v="No"/>
    <n v="238"/>
    <n v="32089.200000000001"/>
    <x v="85"/>
    <n v="220"/>
    <d v="2022-03-04T00:00:00"/>
    <s v="G/ZOR"/>
    <s v="Location 4"/>
    <s v="Customer 3"/>
    <n v="220"/>
    <n v="145.86000000000001"/>
    <n v="32089.200000000001"/>
  </r>
  <r>
    <d v="2023-10-26T00:00:00"/>
    <d v="2023-03-23T00:00:00"/>
    <s v="No"/>
    <n v="217"/>
    <n v="32089.200000000001"/>
    <x v="85"/>
    <n v="220"/>
    <d v="2022-03-25T00:00:00"/>
    <s v="G/ZOR"/>
    <s v="Location 4"/>
    <s v="Customer 3"/>
    <n v="220"/>
    <n v="145.86000000000001"/>
    <n v="32089.200000000001"/>
  </r>
  <r>
    <d v="2023-10-26T00:00:00"/>
    <d v="2023-04-20T00:00:00"/>
    <s v="No"/>
    <n v="189"/>
    <n v="32089.200000000001"/>
    <x v="85"/>
    <n v="220"/>
    <d v="2022-04-22T00:00:00"/>
    <s v="G/ZOR"/>
    <s v="Location 4"/>
    <s v="Customer 3"/>
    <n v="220"/>
    <n v="145.86000000000001"/>
    <n v="32089.200000000001"/>
  </r>
  <r>
    <d v="2023-10-26T00:00:00"/>
    <d v="2023-04-27T00:00:00"/>
    <s v="No"/>
    <n v="182"/>
    <n v="32089.200000000001"/>
    <x v="85"/>
    <n v="220"/>
    <d v="2022-04-29T00:00:00"/>
    <s v="G/ZOR"/>
    <s v="Location 4"/>
    <s v="Customer 3"/>
    <n v="220"/>
    <n v="145.86000000000001"/>
    <n v="32089.200000000001"/>
  </r>
  <r>
    <d v="2023-09-28T00:00:00"/>
    <d v="2022-11-25T00:00:00"/>
    <s v="No"/>
    <n v="307"/>
    <n v="32089.200000000001"/>
    <x v="85"/>
    <n v="220"/>
    <d v="2023-09-11T00:00:00"/>
    <s v="G/ZOR"/>
    <s v="Location 3"/>
    <s v="Customer 3"/>
    <n v="220"/>
    <n v="145.86000000000001"/>
    <n v="32089.200000000001"/>
  </r>
  <r>
    <d v="2023-09-28T00:00:00"/>
    <d v="2022-12-09T00:00:00"/>
    <s v="No"/>
    <n v="293"/>
    <n v="32089.200000000001"/>
    <x v="85"/>
    <n v="220"/>
    <d v="2023-09-11T00:00:00"/>
    <s v="G/ZOR"/>
    <s v="Location 3"/>
    <s v="Customer 3"/>
    <n v="220"/>
    <n v="145.86000000000001"/>
    <n v="32089.200000000001"/>
  </r>
  <r>
    <d v="2023-09-28T00:00:00"/>
    <d v="2023-01-12T00:00:00"/>
    <s v="No"/>
    <n v="259"/>
    <n v="32089.200000000001"/>
    <x v="85"/>
    <n v="220"/>
    <d v="2023-09-11T00:00:00"/>
    <s v="G/ZOR"/>
    <s v="Location 3"/>
    <s v="Customer 3"/>
    <n v="220"/>
    <n v="145.86000000000001"/>
    <n v="32089.200000000001"/>
  </r>
  <r>
    <d v="2023-09-28T00:00:00"/>
    <d v="2023-02-17T00:00:00"/>
    <s v="No"/>
    <n v="223"/>
    <n v="32089.200000000001"/>
    <x v="85"/>
    <n v="220"/>
    <d v="2023-09-11T00:00:00"/>
    <s v="G/ZOR"/>
    <s v="Location 3"/>
    <s v="Customer 3"/>
    <n v="220"/>
    <n v="145.86000000000001"/>
    <n v="32089.200000000001"/>
  </r>
  <r>
    <d v="2023-09-28T00:00:00"/>
    <d v="2023-02-17T00:00:00"/>
    <s v="No"/>
    <n v="223"/>
    <n v="32089.200000000001"/>
    <x v="85"/>
    <n v="220"/>
    <d v="2023-09-11T00:00:00"/>
    <s v="G/ZOR"/>
    <s v="Location 3"/>
    <s v="Customer 3"/>
    <n v="220"/>
    <n v="145.86000000000001"/>
    <n v="32089.200000000001"/>
  </r>
  <r>
    <d v="2024-02-26T00:00:00"/>
    <d v="2024-02-19T00:00:00"/>
    <s v="No"/>
    <n v="7"/>
    <n v="52466.400000000001"/>
    <x v="8"/>
    <n v="3780"/>
    <d v="2023-02-14T00:00:00"/>
    <s v="G/ZOR"/>
    <s v="Location 4"/>
    <s v="Customer 3"/>
    <n v="3780"/>
    <n v="13.88"/>
    <n v="52466.400000000001"/>
  </r>
  <r>
    <d v="2023-09-26T00:00:00"/>
    <d v="2023-09-26T00:00:00"/>
    <s v="Yes"/>
    <n v="0"/>
    <n v="133449.12"/>
    <x v="9"/>
    <n v="3024"/>
    <d v="2022-09-15T00:00:00"/>
    <s v="G/ZOR"/>
    <s v="Location 3"/>
    <s v="Customer 3"/>
    <n v="3024"/>
    <n v="44.13"/>
    <n v="133449.12"/>
  </r>
  <r>
    <d v="2023-10-31T00:00:00"/>
    <d v="2023-10-31T00:00:00"/>
    <s v="Yes"/>
    <n v="0"/>
    <n v="21606.48"/>
    <x v="10"/>
    <n v="252"/>
    <d v="2022-09-27T00:00:00"/>
    <s v="G/ZOR"/>
    <s v="Location 3"/>
    <s v="Customer 3"/>
    <n v="252"/>
    <n v="85.74"/>
    <n v="21606.48"/>
  </r>
  <r>
    <d v="2023-11-07T00:00:00"/>
    <d v="2023-11-07T00:00:00"/>
    <s v="Yes"/>
    <n v="0"/>
    <n v="21606.48"/>
    <x v="10"/>
    <n v="252"/>
    <d v="2022-09-27T00:00:00"/>
    <s v="G/ZOR"/>
    <s v="Location 3"/>
    <s v="Customer 3"/>
    <n v="252"/>
    <n v="85.74"/>
    <n v="21606.48"/>
  </r>
  <r>
    <d v="2023-11-21T00:00:00"/>
    <d v="2023-11-14T00:00:00"/>
    <s v="No"/>
    <n v="7"/>
    <n v="21606.48"/>
    <x v="10"/>
    <n v="252"/>
    <d v="2022-10-13T00:00:00"/>
    <s v="G/ZOR"/>
    <s v="Location 3"/>
    <s v="Customer 3"/>
    <n v="252"/>
    <n v="85.74"/>
    <n v="21606.48"/>
  </r>
  <r>
    <d v="2024-02-13T00:00:00"/>
    <d v="2023-10-03T00:00:00"/>
    <s v="No"/>
    <n v="133"/>
    <n v="28687.68"/>
    <x v="86"/>
    <n v="252"/>
    <d v="2022-09-01T00:00:00"/>
    <s v="G/ZOR"/>
    <s v="Location 3"/>
    <s v="Customer 3"/>
    <n v="252"/>
    <n v="113.84"/>
    <n v="28687.68"/>
  </r>
  <r>
    <d v="2023-10-19T00:00:00"/>
    <d v="2023-03-10T00:00:00"/>
    <s v="No"/>
    <n v="223"/>
    <n v="29347.200000000001"/>
    <x v="87"/>
    <n v="120"/>
    <d v="2022-03-08T00:00:00"/>
    <s v="G/ZOR"/>
    <s v="Location 3"/>
    <s v="Customer 3"/>
    <n v="120"/>
    <n v="244.56"/>
    <n v="29347.200000000001"/>
  </r>
  <r>
    <d v="2023-09-26T00:00:00"/>
    <d v="2023-09-26T00:00:00"/>
    <s v="Yes"/>
    <n v="0"/>
    <n v="26337"/>
    <x v="15"/>
    <n v="60"/>
    <d v="2022-10-13T00:00:00"/>
    <s v="G/ZOR"/>
    <s v="Location 3"/>
    <s v="Customer 3"/>
    <n v="60"/>
    <n v="438.95"/>
    <n v="26337"/>
  </r>
  <r>
    <d v="2023-10-03T00:00:00"/>
    <d v="2023-10-03T00:00:00"/>
    <s v="Yes"/>
    <n v="0"/>
    <n v="237033"/>
    <x v="15"/>
    <n v="540"/>
    <d v="2022-10-13T00:00:00"/>
    <s v="G/ZOR"/>
    <s v="Location 3"/>
    <s v="Customer 3"/>
    <n v="540"/>
    <n v="438.95"/>
    <n v="237033"/>
  </r>
  <r>
    <d v="2023-10-10T00:00:00"/>
    <d v="2023-10-10T00:00:00"/>
    <s v="Yes"/>
    <n v="0"/>
    <n v="223864.5"/>
    <x v="15"/>
    <n v="510"/>
    <d v="2022-10-13T00:00:00"/>
    <s v="G/ZOR"/>
    <s v="Location 3"/>
    <s v="Customer 3"/>
    <n v="510"/>
    <n v="438.95"/>
    <n v="223864.5"/>
  </r>
  <r>
    <d v="2023-10-17T00:00:00"/>
    <d v="2023-10-17T00:00:00"/>
    <s v="Yes"/>
    <n v="0"/>
    <n v="237033"/>
    <x v="15"/>
    <n v="540"/>
    <d v="2022-10-13T00:00:00"/>
    <s v="G/ZOR"/>
    <s v="Location 3"/>
    <s v="Customer 3"/>
    <n v="540"/>
    <n v="438.95"/>
    <n v="237033"/>
  </r>
  <r>
    <d v="2023-10-24T00:00:00"/>
    <d v="2023-10-24T00:00:00"/>
    <s v="Yes"/>
    <n v="0"/>
    <n v="237033"/>
    <x v="15"/>
    <n v="540"/>
    <d v="2022-10-13T00:00:00"/>
    <s v="G/ZOR"/>
    <s v="Location 3"/>
    <s v="Customer 3"/>
    <n v="540"/>
    <n v="438.95"/>
    <n v="237033"/>
  </r>
  <r>
    <d v="2023-12-26T00:00:00"/>
    <d v="2023-12-26T00:00:00"/>
    <s v="Yes"/>
    <n v="0"/>
    <n v="13168.5"/>
    <x v="15"/>
    <n v="30"/>
    <d v="2022-12-13T00:00:00"/>
    <s v="G/ZOR"/>
    <s v="Location 4"/>
    <s v="Customer 3"/>
    <n v="30"/>
    <n v="438.95"/>
    <n v="13168.5"/>
  </r>
  <r>
    <d v="2023-12-26T00:00:00"/>
    <d v="2023-12-26T00:00:00"/>
    <s v="Yes"/>
    <n v="0"/>
    <n v="39505.5"/>
    <x v="15"/>
    <n v="90"/>
    <d v="2022-12-15T00:00:00"/>
    <s v="G/ZOR"/>
    <s v="Location 4"/>
    <s v="Customer 3"/>
    <n v="90"/>
    <n v="438.95"/>
    <n v="39505.5"/>
  </r>
  <r>
    <d v="2024-01-09T00:00:00"/>
    <d v="2024-01-09T00:00:00"/>
    <s v="Yes"/>
    <n v="0"/>
    <n v="13168.5"/>
    <x v="15"/>
    <n v="30"/>
    <d v="2022-12-26T00:00:00"/>
    <s v="G/ZOR"/>
    <s v="Location 3"/>
    <s v="Customer 3"/>
    <n v="30"/>
    <n v="438.95"/>
    <n v="13168.5"/>
  </r>
  <r>
    <d v="2024-01-09T00:00:00"/>
    <d v="2024-01-09T00:00:00"/>
    <s v="Yes"/>
    <n v="0"/>
    <n v="39505.5"/>
    <x v="15"/>
    <n v="90"/>
    <d v="2022-12-28T00:00:00"/>
    <s v="G/ZOR"/>
    <s v="Location 3"/>
    <s v="Customer 3"/>
    <n v="90"/>
    <n v="438.95"/>
    <n v="39505.5"/>
  </r>
  <r>
    <d v="2024-01-09T00:00:00"/>
    <d v="2024-01-09T00:00:00"/>
    <s v="Yes"/>
    <n v="0"/>
    <n v="26337"/>
    <x v="15"/>
    <n v="60"/>
    <d v="2023-01-06T00:00:00"/>
    <s v="G/ZOR"/>
    <s v="Location 3"/>
    <s v="Customer 3"/>
    <n v="60"/>
    <n v="438.95"/>
    <n v="26337"/>
  </r>
  <r>
    <d v="2024-01-16T00:00:00"/>
    <d v="2024-01-16T00:00:00"/>
    <s v="Yes"/>
    <n v="0"/>
    <n v="26337"/>
    <x v="15"/>
    <n v="60"/>
    <d v="2023-01-06T00:00:00"/>
    <s v="G/ZOR"/>
    <s v="Location 3"/>
    <s v="Customer 3"/>
    <n v="60"/>
    <n v="438.95"/>
    <n v="26337"/>
  </r>
  <r>
    <d v="2024-01-16T00:00:00"/>
    <d v="2024-01-16T00:00:00"/>
    <s v="Yes"/>
    <n v="0"/>
    <n v="39505.5"/>
    <x v="15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5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5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5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5"/>
    <n v="90"/>
    <d v="2023-01-06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5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5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5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13168.5"/>
    <x v="15"/>
    <n v="30"/>
    <d v="2023-01-13T00:00:00"/>
    <s v="G/ZOR"/>
    <s v="Location 3"/>
    <s v="Customer 3"/>
    <n v="30"/>
    <n v="438.95"/>
    <n v="13168.5"/>
  </r>
  <r>
    <d v="2024-01-23T00:00:00"/>
    <d v="2024-01-23T00:00:00"/>
    <s v="Yes"/>
    <n v="0"/>
    <n v="39505.5"/>
    <x v="15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5"/>
    <n v="90"/>
    <d v="2023-01-13T00:00:00"/>
    <s v="G/ZOR"/>
    <s v="Location 3"/>
    <s v="Customer 3"/>
    <n v="90"/>
    <n v="438.95"/>
    <n v="39505.5"/>
  </r>
  <r>
    <d v="2024-01-30T00:00:00"/>
    <d v="2024-01-30T00:00:00"/>
    <s v="Yes"/>
    <n v="0"/>
    <n v="13168.5"/>
    <x v="15"/>
    <n v="30"/>
    <d v="2023-01-17T00:00:00"/>
    <s v="G/ZOR"/>
    <s v="Location 4"/>
    <s v="Customer 3"/>
    <n v="30"/>
    <n v="438.95"/>
    <n v="13168.5"/>
  </r>
  <r>
    <d v="2024-01-30T00:00:00"/>
    <d v="2024-01-30T00:00:00"/>
    <s v="Yes"/>
    <n v="0"/>
    <n v="39505.5"/>
    <x v="15"/>
    <n v="90"/>
    <d v="2023-01-17T00:00:00"/>
    <s v="G/ZOR"/>
    <s v="Location 4"/>
    <s v="Customer 3"/>
    <n v="90"/>
    <n v="438.95"/>
    <n v="39505.5"/>
  </r>
  <r>
    <d v="2024-01-30T00:00:00"/>
    <d v="2024-01-30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26337"/>
    <x v="15"/>
    <n v="60"/>
    <d v="2023-01-27T00:00:00"/>
    <s v="G/ZOR"/>
    <s v="Location 3"/>
    <s v="Customer 3"/>
    <n v="60"/>
    <n v="438.95"/>
    <n v="26337"/>
  </r>
  <r>
    <d v="2024-01-30T00:00:00"/>
    <d v="2024-01-30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26337"/>
    <x v="15"/>
    <n v="60"/>
    <d v="2023-01-27T00:00:00"/>
    <s v="G/ZOR"/>
    <s v="Location 3"/>
    <s v="Customer 3"/>
    <n v="60"/>
    <n v="438.95"/>
    <n v="26337"/>
  </r>
  <r>
    <d v="2024-02-06T00:00:00"/>
    <d v="2024-02-06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5"/>
    <n v="90"/>
    <d v="2023-01-27T00:00:00"/>
    <s v="G/ZOR"/>
    <s v="Location 3"/>
    <s v="Customer 3"/>
    <n v="90"/>
    <n v="438.95"/>
    <n v="39505.5"/>
  </r>
  <r>
    <d v="2024-03-15T00:00:00"/>
    <d v="2024-03-15T00:00:00"/>
    <s v="Yes"/>
    <n v="0"/>
    <n v="92179.5"/>
    <x v="15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79011"/>
    <x v="15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92179.5"/>
    <x v="15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79011"/>
    <x v="15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92179.5"/>
    <x v="15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92179.5"/>
    <x v="15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65842.5"/>
    <x v="15"/>
    <n v="150"/>
    <d v="2023-02-28T00:00:00"/>
    <s v="G/ZOR"/>
    <s v="Location 4"/>
    <s v="Customer 3"/>
    <n v="150"/>
    <n v="438.95"/>
    <n v="65842.5"/>
  </r>
  <r>
    <d v="2024-03-15T00:00:00"/>
    <d v="2024-03-15T00:00:00"/>
    <s v="Yes"/>
    <n v="0"/>
    <n v="79011"/>
    <x v="15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79011"/>
    <x v="15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92179.5"/>
    <x v="15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92179.5"/>
    <x v="15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39505.5"/>
    <x v="15"/>
    <n v="90"/>
    <d v="2023-02-28T00:00:00"/>
    <s v="G/ZOR"/>
    <s v="Location 4"/>
    <s v="Customer 3"/>
    <n v="90"/>
    <n v="438.95"/>
    <n v="39505.5"/>
  </r>
  <r>
    <d v="2023-09-26T00:00:00"/>
    <d v="2023-09-26T00:00:00"/>
    <s v="Yes"/>
    <n v="0"/>
    <n v="9991.68"/>
    <x v="64"/>
    <n v="48"/>
    <d v="2023-09-11T00:00:00"/>
    <s v="G/ZOR"/>
    <s v="Location 4"/>
    <s v="Customer 3"/>
    <n v="48"/>
    <n v="208.16"/>
    <n v="9991.68"/>
  </r>
  <r>
    <d v="2023-12-04T00:00:00"/>
    <d v="2023-08-29T00:00:00"/>
    <s v="No"/>
    <n v="97"/>
    <n v="2535.1799999999998"/>
    <x v="88"/>
    <n v="29"/>
    <d v="2022-02-26T00:00:00"/>
    <s v="G/ZOR"/>
    <s v="Location 3"/>
    <s v="Customer 3"/>
    <n v="308"/>
    <n v="87.42"/>
    <n v="26925.360000000001"/>
  </r>
  <r>
    <d v="2023-12-04T00:00:00"/>
    <d v="2023-11-28T00:00:00"/>
    <s v="No"/>
    <n v="6"/>
    <n v="24390.18"/>
    <x v="88"/>
    <n v="279"/>
    <d v="2022-04-27T00:00:00"/>
    <s v="G/ZOR"/>
    <s v="Location 4"/>
    <s v="Customer 3"/>
    <n v="308"/>
    <n v="87.42"/>
    <n v="26925.360000000001"/>
  </r>
  <r>
    <d v="2023-12-07T00:00:00"/>
    <d v="2023-11-28T00:00:00"/>
    <s v="No"/>
    <n v="9"/>
    <n v="2535.1799999999998"/>
    <x v="88"/>
    <n v="29"/>
    <d v="2022-04-27T00:00:00"/>
    <s v="G/ZOR"/>
    <s v="Location 4"/>
    <s v="Customer 3"/>
    <n v="308"/>
    <n v="87.42"/>
    <n v="26925.360000000001"/>
  </r>
  <r>
    <d v="2023-09-28T00:00:00"/>
    <d v="2023-04-27T00:00:00"/>
    <s v="No"/>
    <n v="154"/>
    <n v="13221.6"/>
    <x v="89"/>
    <n v="840"/>
    <d v="2022-04-29T00:00:00"/>
    <s v="G/ZOR"/>
    <s v="Location 4"/>
    <s v="Customer 3"/>
    <n v="840"/>
    <n v="15.74"/>
    <n v="13221.6"/>
  </r>
  <r>
    <d v="2024-01-30T00:00:00"/>
    <d v="2024-01-30T00:00:00"/>
    <s v="Yes"/>
    <n v="0"/>
    <n v="13221.6"/>
    <x v="89"/>
    <n v="840"/>
    <d v="2022-12-01T00:00:00"/>
    <s v="G/ZOR"/>
    <s v="Location 3"/>
    <s v="Customer 3"/>
    <n v="840"/>
    <n v="15.74"/>
    <n v="13221.6"/>
  </r>
  <r>
    <d v="2024-03-19T00:00:00"/>
    <d v="2024-03-19T00:00:00"/>
    <s v="Yes"/>
    <n v="0"/>
    <n v="13221.6"/>
    <x v="89"/>
    <n v="840"/>
    <d v="2022-12-01T00:00:00"/>
    <s v="G/ZOR"/>
    <s v="Location 3"/>
    <s v="Customer 3"/>
    <n v="840"/>
    <n v="15.74"/>
    <n v="13221.6"/>
  </r>
  <r>
    <d v="2024-04-30T00:00:00"/>
    <d v="2024-04-24T00:00:00"/>
    <s v="No"/>
    <n v="6"/>
    <n v="13221.6"/>
    <x v="89"/>
    <n v="840"/>
    <d v="2022-12-06T00:00:00"/>
    <s v="G/ZOR"/>
    <s v="Location 4"/>
    <s v="Customer 3"/>
    <n v="840"/>
    <n v="15.74"/>
    <n v="13221.6"/>
  </r>
  <r>
    <d v="2024-05-28T00:00:00"/>
    <d v="2024-05-28T00:00:00"/>
    <s v="Yes"/>
    <n v="0"/>
    <n v="6610.8"/>
    <x v="89"/>
    <n v="420"/>
    <d v="2023-01-13T00:00:00"/>
    <s v="G/ZOR"/>
    <s v="Location 3"/>
    <s v="Customer 3"/>
    <n v="420"/>
    <n v="15.74"/>
    <n v="6610.8"/>
  </r>
  <r>
    <d v="2024-07-09T00:00:00"/>
    <d v="2024-07-09T00:00:00"/>
    <s v="Yes"/>
    <n v="0"/>
    <n v="13221.6"/>
    <x v="89"/>
    <n v="840"/>
    <d v="2023-03-03T00:00:00"/>
    <s v="G/ZOR"/>
    <s v="Location 3"/>
    <s v="Customer 3"/>
    <n v="840"/>
    <n v="15.74"/>
    <n v="13221.6"/>
  </r>
  <r>
    <d v="2023-10-09T00:00:00"/>
    <d v="2023-08-08T00:00:00"/>
    <s v="No"/>
    <n v="62"/>
    <n v="4568.2"/>
    <x v="17"/>
    <n v="1820"/>
    <d v="2022-06-28T00:00:00"/>
    <s v="G/ZOR"/>
    <s v="Location 3"/>
    <s v="Customer 3"/>
    <n v="1820"/>
    <n v="2.5099999999999998"/>
    <n v="4568.2"/>
  </r>
  <r>
    <d v="2023-10-10T00:00:00"/>
    <d v="2023-10-10T00:00:00"/>
    <s v="Yes"/>
    <n v="0"/>
    <n v="4568.2"/>
    <x v="17"/>
    <n v="1820"/>
    <d v="2022-09-01T00:00:00"/>
    <s v="G/ZOR"/>
    <s v="Location 3"/>
    <s v="Customer 3"/>
    <n v="7280"/>
    <n v="2.5099999999999998"/>
    <n v="18272.8"/>
  </r>
  <r>
    <d v="2023-10-12T00:00:00"/>
    <d v="2023-10-10T00:00:00"/>
    <s v="No"/>
    <n v="2"/>
    <n v="13704.6"/>
    <x v="17"/>
    <n v="5460"/>
    <d v="2022-09-01T00:00:00"/>
    <s v="G/ZOR"/>
    <s v="Location 3"/>
    <s v="Customer 3"/>
    <n v="7280"/>
    <n v="2.5099999999999998"/>
    <n v="18272.8"/>
  </r>
  <r>
    <d v="2024-02-23T00:00:00"/>
    <d v="2023-10-31T00:00:00"/>
    <s v="No"/>
    <n v="115"/>
    <n v="333925.2"/>
    <x v="20"/>
    <n v="3528"/>
    <d v="2022-05-20T00:00:00"/>
    <s v="G/ZOR"/>
    <s v="Location 4"/>
    <s v="Customer 3"/>
    <n v="3528"/>
    <n v="94.65"/>
    <n v="333925.2"/>
  </r>
  <r>
    <d v="2025-04-23T00:00:00"/>
    <d v="2023-08-01T00:00:00"/>
    <s v="No"/>
    <n v="631"/>
    <n v="87198.3"/>
    <x v="21"/>
    <n v="210"/>
    <d v="2022-06-23T00:00:00"/>
    <s v="G/ZOR"/>
    <s v="Location 4"/>
    <s v="Customer 3"/>
    <n v="210"/>
    <n v="415.23"/>
    <n v="87198.3"/>
  </r>
  <r>
    <d v="2023-10-10T00:00:00"/>
    <d v="2023-10-10T00:00:00"/>
    <s v="Yes"/>
    <n v="0"/>
    <n v="29066.1"/>
    <x v="21"/>
    <n v="70"/>
    <d v="2022-09-01T00:00:00"/>
    <s v="G/ZOR"/>
    <s v="Location 3"/>
    <s v="Customer 3"/>
    <n v="70"/>
    <n v="415.23"/>
    <n v="29066.1"/>
  </r>
  <r>
    <d v="2023-10-10T00:00:00"/>
    <d v="2023-10-10T00:00:00"/>
    <s v="Yes"/>
    <n v="0"/>
    <n v="29066.1"/>
    <x v="21"/>
    <n v="70"/>
    <d v="2022-09-01T00:00:00"/>
    <s v="G/ZOR"/>
    <s v="Location 3"/>
    <s v="Customer 3"/>
    <n v="70"/>
    <n v="415.23"/>
    <n v="29066.1"/>
  </r>
  <r>
    <d v="2023-10-17T00:00:00"/>
    <d v="2023-10-17T00:00:00"/>
    <s v="Yes"/>
    <n v="0"/>
    <n v="29066.1"/>
    <x v="21"/>
    <n v="70"/>
    <d v="2022-09-07T00:00:00"/>
    <s v="G/ZOR"/>
    <s v="Location 3"/>
    <s v="Customer 3"/>
    <n v="70"/>
    <n v="415.23"/>
    <n v="29066.1"/>
  </r>
  <r>
    <d v="2023-10-17T00:00:00"/>
    <d v="2023-10-17T00:00:00"/>
    <s v="Yes"/>
    <n v="0"/>
    <n v="29066.1"/>
    <x v="21"/>
    <n v="70"/>
    <d v="2022-09-07T00:00:00"/>
    <s v="G/ZOR"/>
    <s v="Location 3"/>
    <s v="Customer 3"/>
    <n v="70"/>
    <n v="415.23"/>
    <n v="29066.1"/>
  </r>
  <r>
    <d v="2023-10-17T00:00:00"/>
    <d v="2023-10-17T00:00:00"/>
    <s v="Yes"/>
    <n v="0"/>
    <n v="29066.1"/>
    <x v="21"/>
    <n v="70"/>
    <d v="2022-09-07T00:00:00"/>
    <s v="G/ZOR"/>
    <s v="Location 3"/>
    <s v="Customer 3"/>
    <n v="70"/>
    <n v="415.23"/>
    <n v="29066.1"/>
  </r>
  <r>
    <d v="2023-10-17T00:00:00"/>
    <d v="2023-10-17T00:00:00"/>
    <s v="Yes"/>
    <n v="0"/>
    <n v="29066.1"/>
    <x v="21"/>
    <n v="70"/>
    <d v="2022-09-07T00:00:00"/>
    <s v="G/ZOR"/>
    <s v="Location 3"/>
    <s v="Customer 3"/>
    <n v="70"/>
    <n v="415.23"/>
    <n v="29066.1"/>
  </r>
  <r>
    <d v="2023-10-24T00:00:00"/>
    <d v="2023-10-24T00:00:00"/>
    <s v="Yes"/>
    <n v="0"/>
    <n v="29066.1"/>
    <x v="21"/>
    <n v="70"/>
    <d v="2022-09-14T00:00:00"/>
    <s v="G/ZOR"/>
    <s v="Location 3"/>
    <s v="Customer 3"/>
    <n v="70"/>
    <n v="415.23"/>
    <n v="29066.1"/>
  </r>
  <r>
    <d v="2023-10-24T00:00:00"/>
    <d v="2023-10-24T00:00:00"/>
    <s v="Yes"/>
    <n v="0"/>
    <n v="29066.1"/>
    <x v="21"/>
    <n v="70"/>
    <d v="2022-09-14T00:00:00"/>
    <s v="G/ZOR"/>
    <s v="Location 3"/>
    <s v="Customer 3"/>
    <n v="70"/>
    <n v="415.23"/>
    <n v="29066.1"/>
  </r>
  <r>
    <d v="2023-10-24T00:00:00"/>
    <d v="2023-10-24T00:00:00"/>
    <s v="Yes"/>
    <n v="0"/>
    <n v="29066.1"/>
    <x v="21"/>
    <n v="70"/>
    <d v="2022-09-14T00:00:00"/>
    <s v="G/ZOR"/>
    <s v="Location 3"/>
    <s v="Customer 3"/>
    <n v="70"/>
    <n v="415.23"/>
    <n v="29066.1"/>
  </r>
  <r>
    <d v="2023-10-24T00:00:00"/>
    <d v="2023-10-24T00:00:00"/>
    <s v="Yes"/>
    <n v="0"/>
    <n v="29066.1"/>
    <x v="21"/>
    <n v="70"/>
    <d v="2022-09-14T00:00:00"/>
    <s v="G/ZOR"/>
    <s v="Location 3"/>
    <s v="Customer 3"/>
    <n v="70"/>
    <n v="415.23"/>
    <n v="29066.1"/>
  </r>
  <r>
    <d v="2023-09-28T00:00:00"/>
    <d v="2023-09-19T00:00:00"/>
    <s v="No"/>
    <n v="9"/>
    <n v="29066.1"/>
    <x v="21"/>
    <n v="70"/>
    <d v="2023-09-11T00:00:00"/>
    <s v="G/ZOR"/>
    <s v="Location 4"/>
    <s v="Customer 3"/>
    <n v="70"/>
    <n v="415.23"/>
    <n v="29066.1"/>
  </r>
  <r>
    <d v="2023-09-28T00:00:00"/>
    <d v="2023-09-19T00:00:00"/>
    <s v="No"/>
    <n v="9"/>
    <n v="29066.1"/>
    <x v="21"/>
    <n v="70"/>
    <d v="2023-09-11T00:00:00"/>
    <s v="G/ZOR"/>
    <s v="Location 4"/>
    <s v="Customer 3"/>
    <n v="70"/>
    <n v="415.23"/>
    <n v="29066.1"/>
  </r>
  <r>
    <d v="2023-09-28T00:00:00"/>
    <d v="2023-09-19T00:00:00"/>
    <s v="No"/>
    <n v="9"/>
    <n v="29066.1"/>
    <x v="21"/>
    <n v="70"/>
    <d v="2023-09-11T00:00:00"/>
    <s v="G/ZOR"/>
    <s v="Location 4"/>
    <s v="Customer 3"/>
    <n v="70"/>
    <n v="415.23"/>
    <n v="29066.1"/>
  </r>
  <r>
    <d v="2023-09-28T00:00:00"/>
    <d v="2023-09-19T00:00:00"/>
    <s v="No"/>
    <n v="9"/>
    <n v="29066.1"/>
    <x v="21"/>
    <n v="70"/>
    <d v="2023-09-11T00:00:00"/>
    <s v="G/ZOR"/>
    <s v="Location 4"/>
    <s v="Customer 3"/>
    <n v="70"/>
    <n v="415.23"/>
    <n v="29066.1"/>
  </r>
  <r>
    <d v="2023-09-19T00:00:00"/>
    <d v="2023-09-19T00:00:00"/>
    <s v="Yes"/>
    <n v="0"/>
    <n v="30020.2"/>
    <x v="22"/>
    <n v="70"/>
    <d v="2022-08-09T00:00:00"/>
    <s v="G/ZOR"/>
    <s v="Location 4"/>
    <s v="Customer 3"/>
    <n v="70"/>
    <n v="428.86"/>
    <n v="30020.2"/>
  </r>
  <r>
    <d v="2023-09-19T00:00:00"/>
    <d v="2023-09-19T00:00:00"/>
    <s v="Yes"/>
    <n v="0"/>
    <n v="30020.2"/>
    <x v="22"/>
    <n v="70"/>
    <d v="2022-08-09T00:00:00"/>
    <s v="G/ZOR"/>
    <s v="Location 4"/>
    <s v="Customer 3"/>
    <n v="70"/>
    <n v="428.86"/>
    <n v="30020.2"/>
  </r>
  <r>
    <d v="2023-10-20T00:00:00"/>
    <d v="2023-10-20T00:00:00"/>
    <s v="Yes"/>
    <n v="0"/>
    <n v="30020.2"/>
    <x v="22"/>
    <n v="70"/>
    <d v="2022-09-07T00:00:00"/>
    <s v="G/ZOR"/>
    <s v="Location 3"/>
    <s v="Customer 3"/>
    <n v="70"/>
    <n v="428.86"/>
    <n v="30020.2"/>
  </r>
  <r>
    <d v="2023-10-20T00:00:00"/>
    <d v="2023-10-20T00:00:00"/>
    <s v="Yes"/>
    <n v="0"/>
    <n v="30020.2"/>
    <x v="22"/>
    <n v="70"/>
    <d v="2022-09-07T00:00:00"/>
    <s v="G/ZOR"/>
    <s v="Location 3"/>
    <s v="Customer 3"/>
    <n v="70"/>
    <n v="428.86"/>
    <n v="30020.2"/>
  </r>
  <r>
    <d v="2023-10-20T00:00:00"/>
    <d v="2023-10-20T00:00:00"/>
    <s v="Yes"/>
    <n v="0"/>
    <n v="30020.2"/>
    <x v="22"/>
    <n v="70"/>
    <d v="2022-09-07T00:00:00"/>
    <s v="G/ZOR"/>
    <s v="Location 3"/>
    <s v="Customer 3"/>
    <n v="70"/>
    <n v="428.86"/>
    <n v="30020.2"/>
  </r>
  <r>
    <d v="2023-10-03T00:00:00"/>
    <d v="2023-10-03T00:00:00"/>
    <s v="Yes"/>
    <n v="0"/>
    <n v="53718"/>
    <x v="23"/>
    <n v="140"/>
    <d v="2022-08-25T00:00:00"/>
    <s v="G/ZOR"/>
    <s v="Location 3"/>
    <s v="Customer 3"/>
    <n v="140"/>
    <n v="383.7"/>
    <n v="53718"/>
  </r>
  <r>
    <d v="2023-10-03T00:00:00"/>
    <d v="2023-10-03T00:00:00"/>
    <s v="Yes"/>
    <n v="0"/>
    <n v="53718"/>
    <x v="23"/>
    <n v="140"/>
    <d v="2022-08-25T00:00:00"/>
    <s v="G/ZOR"/>
    <s v="Location 3"/>
    <s v="Customer 3"/>
    <n v="140"/>
    <n v="383.7"/>
    <n v="53718"/>
  </r>
  <r>
    <d v="2023-10-10T00:00:00"/>
    <d v="2023-10-10T00:00:00"/>
    <s v="Yes"/>
    <n v="0"/>
    <n v="53718"/>
    <x v="23"/>
    <n v="140"/>
    <d v="2022-09-01T00:00:00"/>
    <s v="G/ZOR"/>
    <s v="Location 3"/>
    <s v="Customer 3"/>
    <n v="140"/>
    <n v="383.7"/>
    <n v="53718"/>
  </r>
  <r>
    <d v="2023-10-10T00:00:00"/>
    <d v="2023-10-10T00:00:00"/>
    <s v="Yes"/>
    <n v="0"/>
    <n v="53718"/>
    <x v="23"/>
    <n v="140"/>
    <d v="2022-09-01T00:00:00"/>
    <s v="G/ZOR"/>
    <s v="Location 3"/>
    <s v="Customer 3"/>
    <n v="140"/>
    <n v="383.7"/>
    <n v="53718"/>
  </r>
  <r>
    <d v="2023-10-17T00:00:00"/>
    <d v="2023-10-17T00:00:00"/>
    <s v="Yes"/>
    <n v="0"/>
    <n v="26859"/>
    <x v="23"/>
    <n v="70"/>
    <d v="2022-09-07T00:00:00"/>
    <s v="G/ZOR"/>
    <s v="Location 3"/>
    <s v="Customer 3"/>
    <n v="70"/>
    <n v="383.7"/>
    <n v="26859"/>
  </r>
  <r>
    <d v="2023-10-17T00:00:00"/>
    <d v="2023-10-17T00:00:00"/>
    <s v="Yes"/>
    <n v="0"/>
    <n v="53718"/>
    <x v="23"/>
    <n v="140"/>
    <d v="2022-09-07T00:00:00"/>
    <s v="G/ZOR"/>
    <s v="Location 3"/>
    <s v="Customer 3"/>
    <n v="140"/>
    <n v="383.7"/>
    <n v="53718"/>
  </r>
  <r>
    <d v="2023-10-24T00:00:00"/>
    <d v="2023-10-24T00:00:00"/>
    <s v="Yes"/>
    <n v="0"/>
    <n v="53718"/>
    <x v="23"/>
    <n v="140"/>
    <d v="2022-09-15T00:00:00"/>
    <s v="G/ZOR"/>
    <s v="Location 3"/>
    <s v="Customer 3"/>
    <n v="140"/>
    <n v="383.7"/>
    <n v="53718"/>
  </r>
  <r>
    <d v="2023-10-24T00:00:00"/>
    <d v="2023-10-24T00:00:00"/>
    <s v="Yes"/>
    <n v="0"/>
    <n v="53718"/>
    <x v="23"/>
    <n v="140"/>
    <d v="2022-09-15T00:00:00"/>
    <s v="G/ZOR"/>
    <s v="Location 3"/>
    <s v="Customer 3"/>
    <n v="140"/>
    <n v="383.7"/>
    <n v="53718"/>
  </r>
  <r>
    <d v="2023-09-25T00:00:00"/>
    <d v="2023-05-09T00:00:00"/>
    <s v="No"/>
    <n v="139"/>
    <n v="26859"/>
    <x v="23"/>
    <n v="70"/>
    <d v="2023-08-16T00:00:00"/>
    <s v="G/ZOR"/>
    <s v="Location 4"/>
    <s v="Customer 3"/>
    <n v="140"/>
    <n v="383.7"/>
    <n v="53718"/>
  </r>
  <r>
    <d v="2023-09-25T00:00:00"/>
    <d v="2023-05-09T00:00:00"/>
    <s v="No"/>
    <n v="139"/>
    <n v="26859"/>
    <x v="23"/>
    <n v="70"/>
    <d v="2023-09-11T00:00:00"/>
    <s v="G/ZOR"/>
    <s v="Location 4"/>
    <s v="Customer 3"/>
    <n v="70"/>
    <n v="383.7"/>
    <n v="26859"/>
  </r>
  <r>
    <d v="2023-09-28T00:00:00"/>
    <d v="2023-07-04T00:00:00"/>
    <s v="No"/>
    <n v="86"/>
    <n v="53718"/>
    <x v="23"/>
    <n v="140"/>
    <d v="2023-09-11T00:00:00"/>
    <s v="G/ZOR"/>
    <s v="Location 4"/>
    <s v="Customer 3"/>
    <n v="140"/>
    <n v="383.7"/>
    <n v="53718"/>
  </r>
  <r>
    <d v="2023-09-28T00:00:00"/>
    <d v="2023-07-11T00:00:00"/>
    <s v="No"/>
    <n v="79"/>
    <n v="53718"/>
    <x v="23"/>
    <n v="140"/>
    <d v="2023-09-11T00:00:00"/>
    <s v="G/ZOR"/>
    <s v="Location 4"/>
    <s v="Customer 3"/>
    <n v="140"/>
    <n v="383.7"/>
    <n v="53718"/>
  </r>
  <r>
    <d v="2023-09-28T00:00:00"/>
    <d v="2023-07-04T00:00:00"/>
    <s v="No"/>
    <n v="86"/>
    <n v="53718"/>
    <x v="23"/>
    <n v="140"/>
    <d v="2023-09-11T00:00:00"/>
    <s v="G/ZOR"/>
    <s v="Location 4"/>
    <s v="Customer 3"/>
    <n v="140"/>
    <n v="383.7"/>
    <n v="53718"/>
  </r>
  <r>
    <d v="2023-09-28T00:00:00"/>
    <d v="2023-07-11T00:00:00"/>
    <s v="No"/>
    <n v="79"/>
    <n v="53718"/>
    <x v="23"/>
    <n v="140"/>
    <d v="2023-09-11T00:00:00"/>
    <s v="G/ZOR"/>
    <s v="Location 4"/>
    <s v="Customer 3"/>
    <n v="140"/>
    <n v="383.7"/>
    <n v="53718"/>
  </r>
  <r>
    <d v="2023-09-28T00:00:00"/>
    <d v="2023-07-18T00:00:00"/>
    <s v="No"/>
    <n v="72"/>
    <n v="53718"/>
    <x v="23"/>
    <n v="140"/>
    <d v="2023-09-11T00:00:00"/>
    <s v="G/ZOR"/>
    <s v="Location 4"/>
    <s v="Customer 3"/>
    <n v="140"/>
    <n v="383.7"/>
    <n v="53718"/>
  </r>
  <r>
    <d v="2023-09-28T00:00:00"/>
    <d v="2023-07-18T00:00:00"/>
    <s v="No"/>
    <n v="72"/>
    <n v="53718"/>
    <x v="23"/>
    <n v="140"/>
    <d v="2023-09-11T00:00:00"/>
    <s v="G/ZOR"/>
    <s v="Location 4"/>
    <s v="Customer 3"/>
    <n v="140"/>
    <n v="383.7"/>
    <n v="53718"/>
  </r>
  <r>
    <d v="2023-09-28T00:00:00"/>
    <d v="2023-08-08T00:00:00"/>
    <s v="No"/>
    <n v="51"/>
    <n v="26859"/>
    <x v="23"/>
    <n v="70"/>
    <d v="2023-09-11T00:00:00"/>
    <s v="G/ZOR"/>
    <s v="Location 4"/>
    <s v="Customer 3"/>
    <n v="70"/>
    <n v="383.7"/>
    <n v="26859"/>
  </r>
  <r>
    <d v="2023-09-28T00:00:00"/>
    <d v="2023-08-29T00:00:00"/>
    <s v="No"/>
    <n v="30"/>
    <n v="26859"/>
    <x v="23"/>
    <n v="70"/>
    <d v="2023-09-11T00:00:00"/>
    <s v="G/ZOR"/>
    <s v="Location 4"/>
    <s v="Customer 3"/>
    <n v="70"/>
    <n v="383.7"/>
    <n v="26859"/>
  </r>
  <r>
    <d v="2023-09-28T00:00:00"/>
    <d v="2023-08-29T00:00:00"/>
    <s v="No"/>
    <n v="30"/>
    <n v="53718"/>
    <x v="23"/>
    <n v="140"/>
    <d v="2023-09-11T00:00:00"/>
    <s v="G/ZOR"/>
    <s v="Location 4"/>
    <s v="Customer 3"/>
    <n v="140"/>
    <n v="383.7"/>
    <n v="53718"/>
  </r>
  <r>
    <d v="2023-09-28T00:00:00"/>
    <d v="2023-09-26T00:00:00"/>
    <s v="No"/>
    <n v="2"/>
    <n v="26859"/>
    <x v="23"/>
    <n v="70"/>
    <d v="2023-09-11T00:00:00"/>
    <s v="G/ZOR"/>
    <s v="Location 4"/>
    <s v="Customer 3"/>
    <n v="70"/>
    <n v="383.7"/>
    <n v="26859"/>
  </r>
  <r>
    <d v="2023-09-28T00:00:00"/>
    <d v="2023-09-26T00:00:00"/>
    <s v="No"/>
    <n v="2"/>
    <n v="53718"/>
    <x v="23"/>
    <n v="140"/>
    <d v="2023-09-11T00:00:00"/>
    <s v="G/ZOR"/>
    <s v="Location 4"/>
    <s v="Customer 3"/>
    <n v="140"/>
    <n v="383.7"/>
    <n v="53718"/>
  </r>
  <r>
    <d v="2023-12-01T00:00:00"/>
    <d v="2023-08-08T00:00:00"/>
    <s v="No"/>
    <n v="115"/>
    <n v="48690.6"/>
    <x v="25"/>
    <n v="70"/>
    <d v="2022-01-07T00:00:00"/>
    <s v="G/ZOR"/>
    <s v="Location 3"/>
    <s v="Customer 3"/>
    <n v="70"/>
    <n v="695.58"/>
    <n v="48690.6"/>
  </r>
  <r>
    <d v="2024-01-02T00:00:00"/>
    <d v="2023-08-01T00:00:00"/>
    <s v="No"/>
    <n v="154"/>
    <n v="48690.6"/>
    <x v="25"/>
    <n v="70"/>
    <d v="2022-01-07T00:00:00"/>
    <s v="G/ZOR"/>
    <s v="Location 3"/>
    <s v="Customer 3"/>
    <n v="70"/>
    <n v="695.58"/>
    <n v="48690.6"/>
  </r>
  <r>
    <d v="2024-01-02T00:00:00"/>
    <d v="2023-08-08T00:00:00"/>
    <s v="No"/>
    <n v="147"/>
    <n v="48690.6"/>
    <x v="25"/>
    <n v="70"/>
    <d v="2022-01-07T00:00:00"/>
    <s v="G/ZOR"/>
    <s v="Location 3"/>
    <s v="Customer 3"/>
    <n v="70"/>
    <n v="695.58"/>
    <n v="48690.6"/>
  </r>
  <r>
    <d v="2024-01-02T00:00:00"/>
    <d v="2023-08-08T00:00:00"/>
    <s v="No"/>
    <n v="147"/>
    <n v="48690.6"/>
    <x v="25"/>
    <n v="70"/>
    <d v="2022-01-07T00:00:00"/>
    <s v="G/ZOR"/>
    <s v="Location 3"/>
    <s v="Customer 3"/>
    <n v="70"/>
    <n v="695.58"/>
    <n v="48690.6"/>
  </r>
  <r>
    <d v="2024-01-02T00:00:00"/>
    <d v="2023-08-01T00:00:00"/>
    <s v="No"/>
    <n v="154"/>
    <n v="48690.6"/>
    <x v="25"/>
    <n v="70"/>
    <d v="2022-01-07T00:00:00"/>
    <s v="G/ZOR"/>
    <s v="Location 3"/>
    <s v="Customer 3"/>
    <n v="70"/>
    <n v="695.58"/>
    <n v="48690.6"/>
  </r>
  <r>
    <d v="2024-01-02T00:00:00"/>
    <d v="2023-08-15T00:00:00"/>
    <s v="No"/>
    <n v="140"/>
    <n v="48690.6"/>
    <x v="25"/>
    <n v="70"/>
    <d v="2022-01-14T00:00:00"/>
    <s v="G/ZOR"/>
    <s v="Location 3"/>
    <s v="Customer 3"/>
    <n v="70"/>
    <n v="695.58"/>
    <n v="48690.6"/>
  </r>
  <r>
    <d v="2024-01-02T00:00:00"/>
    <d v="2023-08-15T00:00:00"/>
    <s v="No"/>
    <n v="140"/>
    <n v="48690.6"/>
    <x v="25"/>
    <n v="70"/>
    <d v="2022-01-14T00:00:00"/>
    <s v="G/ZOR"/>
    <s v="Location 3"/>
    <s v="Customer 3"/>
    <n v="70"/>
    <n v="695.58"/>
    <n v="48690.6"/>
  </r>
  <r>
    <d v="2024-01-02T00:00:00"/>
    <d v="2023-08-15T00:00:00"/>
    <s v="No"/>
    <n v="140"/>
    <n v="48690.6"/>
    <x v="25"/>
    <n v="70"/>
    <d v="2022-01-14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25"/>
    <n v="70"/>
    <d v="2022-01-20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25"/>
    <n v="70"/>
    <d v="2022-01-20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25"/>
    <n v="70"/>
    <d v="2022-01-20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25"/>
    <n v="70"/>
    <d v="2022-01-20T00:00:00"/>
    <s v="G/ZOR"/>
    <s v="Location 3"/>
    <s v="Customer 3"/>
    <n v="70"/>
    <n v="695.58"/>
    <n v="48690.6"/>
  </r>
  <r>
    <d v="2024-01-02T00:00:00"/>
    <d v="2023-08-29T00:00:00"/>
    <s v="No"/>
    <n v="126"/>
    <n v="48690.6"/>
    <x v="25"/>
    <n v="70"/>
    <d v="2022-02-03T00:00:00"/>
    <s v="G/ZOR"/>
    <s v="Location 4"/>
    <s v="Customer 3"/>
    <n v="70"/>
    <n v="695.58"/>
    <n v="48690.6"/>
  </r>
  <r>
    <d v="2024-01-08T00:00:00"/>
    <d v="2023-08-29T00:00:00"/>
    <s v="No"/>
    <n v="132"/>
    <n v="48690.6"/>
    <x v="25"/>
    <n v="70"/>
    <d v="2022-02-03T00:00:00"/>
    <s v="G/ZOR"/>
    <s v="Location 4"/>
    <s v="Customer 3"/>
    <n v="70"/>
    <n v="695.58"/>
    <n v="48690.6"/>
  </r>
  <r>
    <d v="2024-01-08T00:00:00"/>
    <d v="2023-08-29T00:00:00"/>
    <s v="No"/>
    <n v="132"/>
    <n v="48690.6"/>
    <x v="25"/>
    <n v="70"/>
    <d v="2022-02-03T00:00:00"/>
    <s v="G/ZOR"/>
    <s v="Location 4"/>
    <s v="Customer 3"/>
    <n v="70"/>
    <n v="695.58"/>
    <n v="48690.6"/>
  </r>
  <r>
    <d v="2024-01-08T00:00:00"/>
    <d v="2023-08-22T00:00:00"/>
    <s v="No"/>
    <n v="139"/>
    <n v="48690.6"/>
    <x v="25"/>
    <n v="70"/>
    <d v="2022-02-03T00:00:00"/>
    <s v="G/ZOR"/>
    <s v="Location 4"/>
    <s v="Customer 3"/>
    <n v="70"/>
    <n v="695.58"/>
    <n v="48690.6"/>
  </r>
  <r>
    <d v="2024-01-08T00:00:00"/>
    <d v="2023-08-29T00:00:00"/>
    <s v="No"/>
    <n v="132"/>
    <n v="48690.6"/>
    <x v="25"/>
    <n v="70"/>
    <d v="2022-02-11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25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25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25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25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25"/>
    <n v="70"/>
    <d v="2022-02-16T00:00:00"/>
    <s v="G/ZOR"/>
    <s v="Location 3"/>
    <s v="Customer 3"/>
    <n v="70"/>
    <n v="695.58"/>
    <n v="48690.6"/>
  </r>
  <r>
    <d v="2024-01-16T00:00:00"/>
    <d v="2023-09-26T00:00:00"/>
    <s v="No"/>
    <n v="112"/>
    <n v="48690.6"/>
    <x v="25"/>
    <n v="70"/>
    <d v="2022-02-25T00:00:00"/>
    <s v="G/ZOR"/>
    <s v="Location 3"/>
    <s v="Customer 3"/>
    <n v="70"/>
    <n v="695.58"/>
    <n v="48690.6"/>
  </r>
  <r>
    <d v="2024-01-16T00:00:00"/>
    <d v="2023-09-26T00:00:00"/>
    <s v="No"/>
    <n v="112"/>
    <n v="48690.6"/>
    <x v="25"/>
    <n v="70"/>
    <d v="2022-02-25T00:00:00"/>
    <s v="G/ZOR"/>
    <s v="Location 3"/>
    <s v="Customer 3"/>
    <n v="70"/>
    <n v="695.58"/>
    <n v="48690.6"/>
  </r>
  <r>
    <d v="2024-01-16T00:00:00"/>
    <d v="2023-10-03T00:00:00"/>
    <s v="No"/>
    <n v="105"/>
    <n v="48690.6"/>
    <x v="25"/>
    <n v="70"/>
    <d v="2022-03-02T00:00:00"/>
    <s v="G/ZOR"/>
    <s v="Location 3"/>
    <s v="Customer 3"/>
    <n v="70"/>
    <n v="695.58"/>
    <n v="48690.6"/>
  </r>
  <r>
    <d v="2024-01-16T00:00:00"/>
    <d v="2023-10-03T00:00:00"/>
    <s v="No"/>
    <n v="105"/>
    <n v="48690.6"/>
    <x v="25"/>
    <n v="70"/>
    <d v="2022-03-02T00:00:00"/>
    <s v="G/ZOR"/>
    <s v="Location 3"/>
    <s v="Customer 3"/>
    <n v="70"/>
    <n v="695.58"/>
    <n v="48690.6"/>
  </r>
  <r>
    <d v="2024-01-16T00:00:00"/>
    <d v="2023-10-03T00:00:00"/>
    <s v="No"/>
    <n v="105"/>
    <n v="48690.6"/>
    <x v="25"/>
    <n v="70"/>
    <d v="2022-03-02T00:00:00"/>
    <s v="G/ZOR"/>
    <s v="Location 3"/>
    <s v="Customer 3"/>
    <n v="70"/>
    <n v="695.58"/>
    <n v="48690.6"/>
  </r>
  <r>
    <d v="2024-01-16T00:00:00"/>
    <d v="2023-10-10T00:00:00"/>
    <s v="No"/>
    <n v="98"/>
    <n v="48690.6"/>
    <x v="25"/>
    <n v="70"/>
    <d v="2022-03-10T00:00:00"/>
    <s v="G/ZOR"/>
    <s v="Location 3"/>
    <s v="Customer 3"/>
    <n v="70"/>
    <n v="695.58"/>
    <n v="48690.6"/>
  </r>
  <r>
    <d v="2024-01-19T00:00:00"/>
    <d v="2023-10-10T00:00:00"/>
    <s v="No"/>
    <n v="101"/>
    <n v="48690.6"/>
    <x v="25"/>
    <n v="70"/>
    <d v="2022-03-10T00:00:00"/>
    <s v="G/ZOR"/>
    <s v="Location 3"/>
    <s v="Customer 3"/>
    <n v="70"/>
    <n v="695.58"/>
    <n v="48690.6"/>
  </r>
  <r>
    <d v="2024-01-19T00:00:00"/>
    <d v="2023-10-10T00:00:00"/>
    <s v="No"/>
    <n v="101"/>
    <n v="48690.6"/>
    <x v="25"/>
    <n v="70"/>
    <d v="2022-03-10T00:00:00"/>
    <s v="G/ZOR"/>
    <s v="Location 3"/>
    <s v="Customer 3"/>
    <n v="70"/>
    <n v="695.58"/>
    <n v="48690.6"/>
  </r>
  <r>
    <d v="2024-01-19T00:00:00"/>
    <d v="2023-10-10T00:00:00"/>
    <s v="No"/>
    <n v="101"/>
    <n v="48690.6"/>
    <x v="25"/>
    <n v="70"/>
    <d v="2022-03-10T00:00:00"/>
    <s v="G/ZOR"/>
    <s v="Location 3"/>
    <s v="Customer 3"/>
    <n v="70"/>
    <n v="695.58"/>
    <n v="48690.6"/>
  </r>
  <r>
    <d v="2024-01-19T00:00:00"/>
    <d v="2023-10-17T00:00:00"/>
    <s v="No"/>
    <n v="94"/>
    <n v="48690.6"/>
    <x v="25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25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25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25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25"/>
    <n v="70"/>
    <d v="2022-03-17T00:00:00"/>
    <s v="G/ZOR"/>
    <s v="Location 3"/>
    <s v="Customer 3"/>
    <n v="70"/>
    <n v="695.58"/>
    <n v="48690.6"/>
  </r>
  <r>
    <d v="2024-01-19T00:00:00"/>
    <d v="2023-10-24T00:00:00"/>
    <s v="No"/>
    <n v="87"/>
    <n v="48690.6"/>
    <x v="25"/>
    <n v="70"/>
    <d v="2022-03-25T00:00:00"/>
    <s v="G/ZOR"/>
    <s v="Location 4"/>
    <s v="Customer 3"/>
    <n v="70"/>
    <n v="695.58"/>
    <n v="48690.6"/>
  </r>
  <r>
    <d v="2024-01-19T00:00:00"/>
    <d v="2023-10-17T00:00:00"/>
    <s v="No"/>
    <n v="94"/>
    <n v="48690.6"/>
    <x v="25"/>
    <n v="70"/>
    <d v="2022-03-25T00:00:00"/>
    <s v="G/ZOR"/>
    <s v="Location 4"/>
    <s v="Customer 3"/>
    <n v="70"/>
    <n v="695.58"/>
    <n v="48690.6"/>
  </r>
  <r>
    <d v="2024-01-19T00:00:00"/>
    <d v="2023-10-24T00:00:00"/>
    <s v="No"/>
    <n v="87"/>
    <n v="48690.6"/>
    <x v="25"/>
    <n v="70"/>
    <d v="2022-03-25T00:00:00"/>
    <s v="G/ZOR"/>
    <s v="Location 4"/>
    <s v="Customer 3"/>
    <n v="70"/>
    <n v="695.58"/>
    <n v="48690.6"/>
  </r>
  <r>
    <d v="2024-01-19T00:00:00"/>
    <d v="2023-10-24T00:00:00"/>
    <s v="No"/>
    <n v="87"/>
    <n v="48690.6"/>
    <x v="25"/>
    <n v="70"/>
    <d v="2022-03-25T00:00:00"/>
    <s v="G/ZOR"/>
    <s v="Location 4"/>
    <s v="Customer 3"/>
    <n v="70"/>
    <n v="695.58"/>
    <n v="48690.6"/>
  </r>
  <r>
    <d v="2024-01-19T00:00:00"/>
    <d v="2023-10-24T00:00:00"/>
    <s v="No"/>
    <n v="87"/>
    <n v="48690.6"/>
    <x v="25"/>
    <n v="70"/>
    <d v="2022-03-25T00:00:00"/>
    <s v="G/ZOR"/>
    <s v="Location 4"/>
    <s v="Customer 3"/>
    <n v="70"/>
    <n v="695.58"/>
    <n v="48690.6"/>
  </r>
  <r>
    <d v="2024-01-19T00:00:00"/>
    <d v="2023-10-31T00:00:00"/>
    <s v="No"/>
    <n v="80"/>
    <n v="48690.6"/>
    <x v="25"/>
    <n v="70"/>
    <d v="2022-03-31T00:00:00"/>
    <s v="G/ZOR"/>
    <s v="Location 4"/>
    <s v="Customer 3"/>
    <n v="70"/>
    <n v="695.58"/>
    <n v="48690.6"/>
  </r>
  <r>
    <d v="2024-01-19T00:00:00"/>
    <d v="2023-10-31T00:00:00"/>
    <s v="No"/>
    <n v="80"/>
    <n v="48690.6"/>
    <x v="25"/>
    <n v="70"/>
    <d v="2022-03-31T00:00:00"/>
    <s v="G/ZOR"/>
    <s v="Location 4"/>
    <s v="Customer 3"/>
    <n v="70"/>
    <n v="695.58"/>
    <n v="48690.6"/>
  </r>
  <r>
    <d v="2024-01-19T00:00:00"/>
    <d v="2023-10-31T00:00:00"/>
    <s v="No"/>
    <n v="80"/>
    <n v="48690.6"/>
    <x v="25"/>
    <n v="70"/>
    <d v="2022-03-31T00:00:00"/>
    <s v="G/ZOR"/>
    <s v="Location 4"/>
    <s v="Customer 3"/>
    <n v="70"/>
    <n v="695.58"/>
    <n v="48690.6"/>
  </r>
  <r>
    <d v="2024-01-19T00:00:00"/>
    <d v="2023-11-07T00:00:00"/>
    <s v="No"/>
    <n v="73"/>
    <n v="48690.6"/>
    <x v="25"/>
    <n v="70"/>
    <d v="2022-04-08T00:00:00"/>
    <s v="G/ZOR"/>
    <s v="Location 4"/>
    <s v="Customer 3"/>
    <n v="70"/>
    <n v="695.58"/>
    <n v="48690.6"/>
  </r>
  <r>
    <d v="2024-01-19T00:00:00"/>
    <d v="2023-11-07T00:00:00"/>
    <s v="No"/>
    <n v="73"/>
    <n v="48690.6"/>
    <x v="25"/>
    <n v="70"/>
    <d v="2022-04-08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25"/>
    <n v="70"/>
    <d v="2022-04-08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25"/>
    <n v="70"/>
    <d v="2022-04-08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25"/>
    <n v="70"/>
    <d v="2022-04-14T00:00:00"/>
    <s v="G/ZOR"/>
    <s v="Location 4"/>
    <s v="Customer 3"/>
    <n v="70"/>
    <n v="695.58"/>
    <n v="48690.6"/>
  </r>
  <r>
    <d v="2024-02-23T00:00:00"/>
    <d v="2023-10-31T00:00:00"/>
    <s v="No"/>
    <n v="115"/>
    <n v="48690.6"/>
    <x v="25"/>
    <n v="70"/>
    <d v="2022-04-14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25"/>
    <n v="70"/>
    <d v="2022-04-14T00:00:00"/>
    <s v="G/ZOR"/>
    <s v="Location 4"/>
    <s v="Customer 3"/>
    <n v="70"/>
    <n v="695.58"/>
    <n v="48690.6"/>
  </r>
  <r>
    <d v="2024-02-23T00:00:00"/>
    <d v="2023-10-31T00:00:00"/>
    <s v="No"/>
    <n v="115"/>
    <n v="48690.6"/>
    <x v="25"/>
    <n v="70"/>
    <d v="2022-04-14T00:00:00"/>
    <s v="G/ZOR"/>
    <s v="Location 4"/>
    <s v="Customer 3"/>
    <n v="70"/>
    <n v="695.58"/>
    <n v="48690.6"/>
  </r>
  <r>
    <d v="2024-02-23T00:00:00"/>
    <d v="2023-11-14T00:00:00"/>
    <s v="No"/>
    <n v="101"/>
    <n v="48690.6"/>
    <x v="25"/>
    <n v="70"/>
    <d v="2022-04-14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25"/>
    <n v="70"/>
    <d v="2022-04-14T00:00:00"/>
    <s v="G/ZOR"/>
    <s v="Location 4"/>
    <s v="Customer 3"/>
    <n v="70"/>
    <n v="695.58"/>
    <n v="48690.6"/>
  </r>
  <r>
    <d v="2024-02-23T00:00:00"/>
    <d v="2023-10-31T00:00:00"/>
    <s v="No"/>
    <n v="115"/>
    <n v="48690.6"/>
    <x v="25"/>
    <n v="70"/>
    <d v="2022-04-14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25"/>
    <n v="70"/>
    <d v="2022-04-14T00:00:00"/>
    <s v="G/ZOR"/>
    <s v="Location 4"/>
    <s v="Customer 3"/>
    <n v="70"/>
    <n v="695.58"/>
    <n v="48690.6"/>
  </r>
  <r>
    <d v="2024-04-05T00:00:00"/>
    <d v="2023-11-14T00:00:00"/>
    <s v="No"/>
    <n v="143"/>
    <n v="48690.6"/>
    <x v="25"/>
    <n v="70"/>
    <d v="2022-04-14T00:00:00"/>
    <s v="G/ZOR"/>
    <s v="Location 4"/>
    <s v="Customer 3"/>
    <n v="70"/>
    <n v="695.58"/>
    <n v="48690.6"/>
  </r>
  <r>
    <d v="2024-04-05T00:00:00"/>
    <d v="2023-11-14T00:00:00"/>
    <s v="No"/>
    <n v="143"/>
    <n v="48690.6"/>
    <x v="25"/>
    <n v="70"/>
    <d v="2022-04-14T00:00:00"/>
    <s v="G/ZOR"/>
    <s v="Location 4"/>
    <s v="Customer 3"/>
    <n v="70"/>
    <n v="695.58"/>
    <n v="48690.6"/>
  </r>
  <r>
    <d v="2024-04-05T00:00:00"/>
    <d v="2023-11-14T00:00:00"/>
    <s v="No"/>
    <n v="143"/>
    <n v="48690.6"/>
    <x v="25"/>
    <n v="70"/>
    <d v="2022-04-14T00:00:00"/>
    <s v="G/ZOR"/>
    <s v="Location 4"/>
    <s v="Customer 3"/>
    <n v="70"/>
    <n v="695.58"/>
    <n v="48690.6"/>
  </r>
  <r>
    <d v="2024-04-05T00:00:00"/>
    <d v="2023-11-28T00:00:00"/>
    <s v="No"/>
    <n v="129"/>
    <n v="48690.6"/>
    <x v="25"/>
    <n v="70"/>
    <d v="2022-04-29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25"/>
    <n v="70"/>
    <d v="2022-05-26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25"/>
    <n v="70"/>
    <d v="2022-05-26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25"/>
    <n v="70"/>
    <d v="2022-05-26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25"/>
    <n v="70"/>
    <d v="2022-05-26T00:00:00"/>
    <s v="G/ZOR"/>
    <s v="Location 4"/>
    <s v="Customer 3"/>
    <n v="70"/>
    <n v="695.58"/>
    <n v="48690.6"/>
  </r>
  <r>
    <d v="2024-04-05T00:00:00"/>
    <d v="2024-01-02T00:00:00"/>
    <s v="No"/>
    <n v="94"/>
    <n v="48690.6"/>
    <x v="25"/>
    <n v="70"/>
    <d v="2022-06-01T00:00:00"/>
    <s v="G/ZOR"/>
    <s v="Location 4"/>
    <s v="Customer 3"/>
    <n v="70"/>
    <n v="695.58"/>
    <n v="48690.6"/>
  </r>
  <r>
    <d v="2024-04-05T00:00:00"/>
    <d v="2024-01-02T00:00:00"/>
    <s v="No"/>
    <n v="94"/>
    <n v="48690.6"/>
    <x v="25"/>
    <n v="70"/>
    <d v="2022-06-01T00:00:00"/>
    <s v="G/ZOR"/>
    <s v="Location 4"/>
    <s v="Customer 3"/>
    <n v="70"/>
    <n v="695.58"/>
    <n v="48690.6"/>
  </r>
  <r>
    <d v="2024-04-05T00:00:00"/>
    <d v="2024-01-02T00:00:00"/>
    <s v="No"/>
    <n v="94"/>
    <n v="48690.6"/>
    <x v="25"/>
    <n v="70"/>
    <d v="2022-06-01T00:00:00"/>
    <s v="G/ZOR"/>
    <s v="Location 4"/>
    <s v="Customer 3"/>
    <n v="70"/>
    <n v="695.58"/>
    <n v="48690.6"/>
  </r>
  <r>
    <d v="2024-04-05T00:00:00"/>
    <d v="2024-01-02T00:00:00"/>
    <s v="No"/>
    <n v="94"/>
    <n v="48690.6"/>
    <x v="25"/>
    <n v="70"/>
    <d v="2022-06-01T00:00:00"/>
    <s v="G/ZOR"/>
    <s v="Location 4"/>
    <s v="Customer 3"/>
    <n v="70"/>
    <n v="695.58"/>
    <n v="48690.6"/>
  </r>
  <r>
    <d v="2024-04-05T00:00:00"/>
    <d v="2024-01-09T00:00:00"/>
    <s v="No"/>
    <n v="87"/>
    <n v="48690.6"/>
    <x v="25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25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25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25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25"/>
    <n v="70"/>
    <d v="2022-06-08T00:00:00"/>
    <s v="G/ZOR"/>
    <s v="Location 3"/>
    <s v="Customer 3"/>
    <n v="70"/>
    <n v="695.58"/>
    <n v="48690.6"/>
  </r>
  <r>
    <d v="2024-04-05T00:00:00"/>
    <d v="2024-01-23T00:00:00"/>
    <s v="No"/>
    <n v="73"/>
    <n v="48690.6"/>
    <x v="25"/>
    <n v="70"/>
    <d v="2022-06-23T00:00:00"/>
    <s v="G/ZOR"/>
    <s v="Location 3"/>
    <s v="Customer 3"/>
    <n v="70"/>
    <n v="695.58"/>
    <n v="48690.6"/>
  </r>
  <r>
    <d v="2024-04-05T00:00:00"/>
    <d v="2024-01-30T00:00:00"/>
    <s v="No"/>
    <n v="66"/>
    <n v="48690.6"/>
    <x v="25"/>
    <n v="70"/>
    <d v="2022-06-29T00:00:00"/>
    <s v="G/ZOR"/>
    <s v="Location 3"/>
    <s v="Customer 3"/>
    <n v="70"/>
    <n v="695.58"/>
    <n v="48690.6"/>
  </r>
  <r>
    <d v="2024-04-05T00:00:00"/>
    <d v="2024-01-30T00:00:00"/>
    <s v="No"/>
    <n v="66"/>
    <n v="48690.6"/>
    <x v="25"/>
    <n v="70"/>
    <d v="2022-06-29T00:00:00"/>
    <s v="G/ZOR"/>
    <s v="Location 3"/>
    <s v="Customer 3"/>
    <n v="70"/>
    <n v="695.58"/>
    <n v="48690.6"/>
  </r>
  <r>
    <d v="2024-04-05T00:00:00"/>
    <d v="2024-01-30T00:00:00"/>
    <s v="No"/>
    <n v="66"/>
    <n v="48690.6"/>
    <x v="25"/>
    <n v="70"/>
    <d v="2022-06-29T00:00:00"/>
    <s v="G/ZOR"/>
    <s v="Location 3"/>
    <s v="Customer 3"/>
    <n v="70"/>
    <n v="695.58"/>
    <n v="48690.6"/>
  </r>
  <r>
    <d v="2024-04-05T00:00:00"/>
    <d v="2024-01-30T00:00:00"/>
    <s v="No"/>
    <n v="66"/>
    <n v="48690.6"/>
    <x v="25"/>
    <n v="70"/>
    <d v="2022-06-29T00:00:00"/>
    <s v="G/ZOR"/>
    <s v="Location 3"/>
    <s v="Customer 3"/>
    <n v="70"/>
    <n v="695.58"/>
    <n v="48690.6"/>
  </r>
  <r>
    <d v="2024-04-05T00:00:00"/>
    <d v="2024-01-23T00:00:00"/>
    <s v="No"/>
    <n v="73"/>
    <n v="48690.6"/>
    <x v="25"/>
    <n v="70"/>
    <d v="2022-06-29T00:00:00"/>
    <s v="G/ZOR"/>
    <s v="Location 3"/>
    <s v="Customer 3"/>
    <n v="70"/>
    <n v="695.58"/>
    <n v="48690.6"/>
  </r>
  <r>
    <d v="2023-10-03T00:00:00"/>
    <d v="2023-10-03T00:00:00"/>
    <s v="Yes"/>
    <n v="0"/>
    <n v="3660"/>
    <x v="28"/>
    <n v="3000"/>
    <d v="2022-09-22T00:00:00"/>
    <s v="G/ZOR"/>
    <s v="Location 4"/>
    <s v="Customer 3"/>
    <n v="3000"/>
    <n v="1.22"/>
    <n v="3660"/>
  </r>
  <r>
    <d v="2023-10-24T00:00:00"/>
    <d v="2023-10-24T00:00:00"/>
    <s v="Yes"/>
    <n v="0"/>
    <n v="1965"/>
    <x v="29"/>
    <n v="1500"/>
    <d v="2022-10-13T00:00:00"/>
    <s v="G/ZOR"/>
    <s v="Location 4"/>
    <s v="Customer 3"/>
    <n v="4500"/>
    <n v="1.31"/>
    <n v="5895"/>
  </r>
  <r>
    <d v="2023-11-27T00:00:00"/>
    <d v="2023-10-24T00:00:00"/>
    <s v="No"/>
    <n v="34"/>
    <n v="3930"/>
    <x v="29"/>
    <n v="3000"/>
    <d v="2022-10-13T00:00:00"/>
    <s v="G/ZOR"/>
    <s v="Location 4"/>
    <s v="Customer 3"/>
    <n v="4500"/>
    <n v="1.31"/>
    <n v="5895"/>
  </r>
  <r>
    <d v="2023-09-25T00:00:00"/>
    <d v="2023-09-25T00:00:00"/>
    <s v="Yes"/>
    <n v="0"/>
    <n v="22780.2"/>
    <x v="32"/>
    <n v="30"/>
    <d v="2022-08-09T00:00:00"/>
    <s v="G/ZOR"/>
    <s v="Location 4"/>
    <s v="Customer 3"/>
    <n v="30"/>
    <n v="759.34"/>
    <n v="22780.2"/>
  </r>
  <r>
    <d v="2023-09-18T00:00:00"/>
    <d v="2023-09-18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18T00:00:00"/>
    <d v="2023-09-18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18T00:00:00"/>
    <d v="2023-09-18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32"/>
    <n v="60"/>
    <d v="2022-08-10T00:00:00"/>
    <s v="G/ZOR"/>
    <s v="Location 4"/>
    <s v="Customer 3"/>
    <n v="60"/>
    <n v="759.34"/>
    <n v="45560.4"/>
  </r>
  <r>
    <d v="2023-09-28T00:00:00"/>
    <d v="2023-09-28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32"/>
    <n v="60"/>
    <d v="2022-08-17T00:00:00"/>
    <s v="G/ZOR"/>
    <s v="Location 3"/>
    <s v="Customer 3"/>
    <n v="60"/>
    <n v="759.34"/>
    <n v="45560.4"/>
  </r>
  <r>
    <d v="2023-11-06T00:00:00"/>
    <d v="2023-11-06T00:00:00"/>
    <s v="Yes"/>
    <n v="0"/>
    <n v="22780.2"/>
    <x v="32"/>
    <n v="30"/>
    <d v="2022-09-22T00:00:00"/>
    <s v="G/ZOR"/>
    <s v="Location 3"/>
    <s v="Customer 3"/>
    <n v="30"/>
    <n v="759.34"/>
    <n v="22780.2"/>
  </r>
  <r>
    <d v="2023-11-06T00:00:00"/>
    <d v="2023-11-06T00:00:00"/>
    <s v="Yes"/>
    <n v="0"/>
    <n v="45560.4"/>
    <x v="32"/>
    <n v="60"/>
    <d v="2022-09-23T00:00:00"/>
    <s v="G/ZOR"/>
    <s v="Location 3"/>
    <s v="Customer 3"/>
    <n v="60"/>
    <n v="759.34"/>
    <n v="45560.4"/>
  </r>
  <r>
    <d v="2023-11-06T00:00:00"/>
    <d v="2023-11-06T00:00:00"/>
    <s v="Yes"/>
    <n v="0"/>
    <n v="45560.4"/>
    <x v="32"/>
    <n v="60"/>
    <d v="2022-09-23T00:00:00"/>
    <s v="G/ZOR"/>
    <s v="Location 3"/>
    <s v="Customer 3"/>
    <n v="60"/>
    <n v="759.34"/>
    <n v="45560.4"/>
  </r>
  <r>
    <d v="2023-11-06T00:00:00"/>
    <d v="2023-11-06T00:00:00"/>
    <s v="Yes"/>
    <n v="0"/>
    <n v="45560.4"/>
    <x v="32"/>
    <n v="60"/>
    <d v="2022-09-23T00:00:00"/>
    <s v="G/ZOR"/>
    <s v="Location 3"/>
    <s v="Customer 3"/>
    <n v="60"/>
    <n v="759.34"/>
    <n v="45560.4"/>
  </r>
  <r>
    <d v="2023-11-13T00:00:00"/>
    <d v="2023-11-13T00:00:00"/>
    <s v="Yes"/>
    <n v="0"/>
    <n v="45560.4"/>
    <x v="32"/>
    <n v="60"/>
    <d v="2022-09-28T00:00:00"/>
    <s v="G/ZOR"/>
    <s v="Location 3"/>
    <s v="Customer 3"/>
    <n v="60"/>
    <n v="759.34"/>
    <n v="45560.4"/>
  </r>
  <r>
    <d v="2023-11-13T00:00:00"/>
    <d v="2023-11-13T00:00:00"/>
    <s v="Yes"/>
    <n v="0"/>
    <n v="45560.4"/>
    <x v="32"/>
    <n v="60"/>
    <d v="2022-09-28T00:00:00"/>
    <s v="G/ZOR"/>
    <s v="Location 3"/>
    <s v="Customer 3"/>
    <n v="60"/>
    <n v="759.34"/>
    <n v="45560.4"/>
  </r>
  <r>
    <d v="2023-11-13T00:00:00"/>
    <d v="2023-11-13T00:00:00"/>
    <s v="Yes"/>
    <n v="0"/>
    <n v="45560.4"/>
    <x v="32"/>
    <n v="60"/>
    <d v="2022-09-28T00:00:00"/>
    <s v="G/ZOR"/>
    <s v="Location 3"/>
    <s v="Customer 3"/>
    <n v="60"/>
    <n v="759.34"/>
    <n v="45560.4"/>
  </r>
  <r>
    <d v="2023-11-13T00:00:00"/>
    <d v="2023-11-13T00:00:00"/>
    <s v="Yes"/>
    <n v="0"/>
    <n v="45560.4"/>
    <x v="32"/>
    <n v="60"/>
    <d v="2022-09-28T00:00:00"/>
    <s v="G/ZOR"/>
    <s v="Location 3"/>
    <s v="Customer 3"/>
    <n v="60"/>
    <n v="759.34"/>
    <n v="45560.4"/>
  </r>
  <r>
    <d v="2023-11-20T00:00:00"/>
    <d v="2023-11-20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0T00:00:00"/>
    <d v="2023-11-20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0T00:00:00"/>
    <d v="2023-11-20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32"/>
    <n v="60"/>
    <d v="2022-10-13T00:00:00"/>
    <s v="G/ZOR"/>
    <s v="Location 3"/>
    <s v="Customer 3"/>
    <n v="60"/>
    <n v="759.34"/>
    <n v="45560.4"/>
  </r>
  <r>
    <d v="2024-02-19T00:00:00"/>
    <d v="2024-02-19T00:00:00"/>
    <s v="Yes"/>
    <n v="0"/>
    <n v="45560.4"/>
    <x v="32"/>
    <n v="60"/>
    <d v="2023-02-03T00:00:00"/>
    <s v="G/ZOR"/>
    <s v="Location 4"/>
    <s v="Customer 3"/>
    <n v="60"/>
    <n v="759.34"/>
    <n v="45560.4"/>
  </r>
  <r>
    <d v="2024-02-19T00:00:00"/>
    <d v="2024-02-19T00:00:00"/>
    <s v="Yes"/>
    <n v="0"/>
    <n v="45560.4"/>
    <x v="32"/>
    <n v="60"/>
    <d v="2023-02-03T00:00:00"/>
    <s v="G/ZOR"/>
    <s v="Location 4"/>
    <s v="Customer 3"/>
    <n v="60"/>
    <n v="759.34"/>
    <n v="45560.4"/>
  </r>
  <r>
    <d v="2024-04-18T00:00:00"/>
    <d v="2024-04-18T00:00:00"/>
    <s v="Yes"/>
    <n v="0"/>
    <n v="45560.4"/>
    <x v="32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32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32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32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32"/>
    <n v="60"/>
    <d v="2023-03-31T00:00:00"/>
    <s v="G/ZOR"/>
    <s v="Location 4"/>
    <s v="Customer 3"/>
    <n v="60"/>
    <n v="759.34"/>
    <n v="45560.4"/>
  </r>
  <r>
    <d v="2024-04-29T00:00:00"/>
    <d v="2024-04-29T00:00:00"/>
    <s v="Yes"/>
    <n v="0"/>
    <n v="45560.4"/>
    <x v="32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32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32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32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32"/>
    <n v="60"/>
    <d v="2023-04-12T00:00:00"/>
    <s v="G/ZOR"/>
    <s v="Location 4"/>
    <s v="Customer 3"/>
    <n v="60"/>
    <n v="759.34"/>
    <n v="45560.4"/>
  </r>
  <r>
    <d v="2024-05-02T00:00:00"/>
    <d v="2024-05-02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2T00:00:00"/>
    <d v="2024-05-02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2T00:00:00"/>
    <d v="2024-05-02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2T00:00:00"/>
    <d v="2024-05-02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22780.2"/>
    <x v="32"/>
    <n v="30"/>
    <d v="2023-04-18T00:00:00"/>
    <s v="G/ZOR"/>
    <s v="Location 4"/>
    <s v="Customer 3"/>
    <n v="30"/>
    <n v="759.34"/>
    <n v="22780.2"/>
  </r>
  <r>
    <d v="2024-05-09T00:00:00"/>
    <d v="2024-05-09T00:00:00"/>
    <s v="Yes"/>
    <n v="0"/>
    <n v="45560.4"/>
    <x v="32"/>
    <n v="60"/>
    <d v="2023-04-18T00:00:00"/>
    <s v="G/ZOR"/>
    <s v="Location 4"/>
    <s v="Customer 3"/>
    <n v="60"/>
    <n v="759.34"/>
    <n v="45560.4"/>
  </r>
  <r>
    <d v="2024-05-13T00:00:00"/>
    <d v="2024-05-13T00:00:00"/>
    <s v="Yes"/>
    <n v="0"/>
    <n v="45560.4"/>
    <x v="32"/>
    <n v="60"/>
    <d v="2023-04-26T00:00:00"/>
    <s v="G/ZOR"/>
    <s v="Location 4"/>
    <s v="Customer 3"/>
    <n v="60"/>
    <n v="759.34"/>
    <n v="45560.4"/>
  </r>
  <r>
    <d v="2024-05-13T00:00:00"/>
    <d v="2024-05-13T00:00:00"/>
    <s v="Yes"/>
    <n v="0"/>
    <n v="45560.4"/>
    <x v="32"/>
    <n v="60"/>
    <d v="2023-04-26T00:00:00"/>
    <s v="G/ZOR"/>
    <s v="Location 4"/>
    <s v="Customer 3"/>
    <n v="60"/>
    <n v="759.34"/>
    <n v="45560.4"/>
  </r>
  <r>
    <d v="2024-05-13T00:00:00"/>
    <d v="2024-05-13T00:00:00"/>
    <s v="Yes"/>
    <n v="0"/>
    <n v="45560.4"/>
    <x v="32"/>
    <n v="60"/>
    <d v="2023-04-26T00:00:00"/>
    <s v="G/ZOR"/>
    <s v="Location 4"/>
    <s v="Customer 3"/>
    <n v="60"/>
    <n v="759.34"/>
    <n v="45560.4"/>
  </r>
  <r>
    <d v="2024-05-13T00:00:00"/>
    <d v="2024-05-13T00:00:00"/>
    <s v="Yes"/>
    <n v="0"/>
    <n v="45560.4"/>
    <x v="32"/>
    <n v="60"/>
    <d v="2023-04-26T00:00:00"/>
    <s v="G/ZOR"/>
    <s v="Location 4"/>
    <s v="Customer 3"/>
    <n v="60"/>
    <n v="759.34"/>
    <n v="45560.4"/>
  </r>
  <r>
    <d v="2024-05-20T00:00:00"/>
    <d v="2024-05-20T00:00:00"/>
    <s v="Yes"/>
    <n v="0"/>
    <n v="22780.2"/>
    <x v="32"/>
    <n v="30"/>
    <d v="2023-05-02T00:00:00"/>
    <s v="G/ZOR"/>
    <s v="Location 4"/>
    <s v="Customer 3"/>
    <n v="30"/>
    <n v="759.34"/>
    <n v="22780.2"/>
  </r>
  <r>
    <d v="2024-05-20T00:00:00"/>
    <d v="2024-05-20T00:00:00"/>
    <s v="Yes"/>
    <n v="0"/>
    <n v="45560.4"/>
    <x v="32"/>
    <n v="60"/>
    <d v="2023-05-03T00:00:00"/>
    <s v="G/ZOR"/>
    <s v="Location 4"/>
    <s v="Customer 3"/>
    <n v="60"/>
    <n v="759.34"/>
    <n v="45560.4"/>
  </r>
  <r>
    <d v="2024-05-20T00:00:00"/>
    <d v="2024-05-20T00:00:00"/>
    <s v="Yes"/>
    <n v="0"/>
    <n v="45560.4"/>
    <x v="32"/>
    <n v="60"/>
    <d v="2023-05-03T00:00:00"/>
    <s v="G/ZOR"/>
    <s v="Location 4"/>
    <s v="Customer 3"/>
    <n v="60"/>
    <n v="759.34"/>
    <n v="45560.4"/>
  </r>
  <r>
    <d v="2024-05-20T00:00:00"/>
    <d v="2024-05-20T00:00:00"/>
    <s v="Yes"/>
    <n v="0"/>
    <n v="45560.4"/>
    <x v="32"/>
    <n v="60"/>
    <d v="2023-05-03T00:00:00"/>
    <s v="G/ZOR"/>
    <s v="Location 4"/>
    <s v="Customer 3"/>
    <n v="60"/>
    <n v="759.34"/>
    <n v="45560.4"/>
  </r>
  <r>
    <d v="2023-12-05T00:00:00"/>
    <d v="2023-04-18T00:00:00"/>
    <s v="No"/>
    <n v="231"/>
    <n v="27878.080000000002"/>
    <x v="90"/>
    <n v="32"/>
    <d v="2022-04-22T00:00:00"/>
    <s v="G/ZOR"/>
    <s v="Location 4"/>
    <s v="Customer 3"/>
    <n v="32"/>
    <n v="871.19"/>
    <n v="27878.080000000002"/>
  </r>
  <r>
    <d v="2023-12-05T00:00:00"/>
    <d v="2023-04-18T00:00:00"/>
    <s v="No"/>
    <n v="231"/>
    <n v="55756.160000000003"/>
    <x v="90"/>
    <n v="64"/>
    <d v="2022-04-22T00:00:00"/>
    <s v="G/ZOR"/>
    <s v="Location 4"/>
    <s v="Customer 3"/>
    <n v="64"/>
    <n v="871.19"/>
    <n v="55756.160000000003"/>
  </r>
  <r>
    <d v="2023-12-05T00:00:00"/>
    <d v="2023-04-25T00:00:00"/>
    <s v="No"/>
    <n v="224"/>
    <n v="27878.080000000002"/>
    <x v="90"/>
    <n v="32"/>
    <d v="2022-04-29T00:00:00"/>
    <s v="G/ZOR"/>
    <s v="Location 4"/>
    <s v="Customer 3"/>
    <n v="32"/>
    <n v="871.19"/>
    <n v="27878.080000000002"/>
  </r>
  <r>
    <d v="2023-12-05T00:00:00"/>
    <d v="2023-04-25T00:00:00"/>
    <s v="No"/>
    <n v="224"/>
    <n v="27878.080000000002"/>
    <x v="90"/>
    <n v="32"/>
    <d v="2022-04-29T00:00:00"/>
    <s v="G/ZOR"/>
    <s v="Location 4"/>
    <s v="Customer 3"/>
    <n v="32"/>
    <n v="871.19"/>
    <n v="27878.080000000002"/>
  </r>
  <r>
    <d v="2023-12-05T00:00:00"/>
    <d v="2023-04-25T00:00:00"/>
    <s v="No"/>
    <n v="224"/>
    <n v="55756.160000000003"/>
    <x v="90"/>
    <n v="64"/>
    <d v="2022-04-29T00:00:00"/>
    <s v="G/ZOR"/>
    <s v="Location 4"/>
    <s v="Customer 3"/>
    <n v="64"/>
    <n v="871.19"/>
    <n v="55756.160000000003"/>
  </r>
  <r>
    <d v="2023-12-05T00:00:00"/>
    <d v="2023-11-28T00:00:00"/>
    <s v="No"/>
    <n v="7"/>
    <n v="334536.96000000002"/>
    <x v="90"/>
    <n v="384"/>
    <d v="2022-12-08T00:00:00"/>
    <s v="G/ZOR"/>
    <s v="Location 3"/>
    <s v="Customer 3"/>
    <n v="576"/>
    <n v="871.19"/>
    <n v="501805.44"/>
  </r>
  <r>
    <d v="2023-12-29T00:00:00"/>
    <d v="2023-11-28T00:00:00"/>
    <s v="No"/>
    <n v="31"/>
    <n v="167268.48000000001"/>
    <x v="90"/>
    <n v="192"/>
    <d v="2022-12-08T00:00:00"/>
    <s v="G/ZOR"/>
    <s v="Location 3"/>
    <s v="Customer 3"/>
    <n v="576"/>
    <n v="871.19"/>
    <n v="501805.44"/>
  </r>
  <r>
    <d v="2024-01-04T00:00:00"/>
    <d v="2024-01-04T00:00:00"/>
    <s v="Yes"/>
    <n v="0"/>
    <n v="334536.96000000002"/>
    <x v="90"/>
    <n v="384"/>
    <d v="2022-12-30T00:00:00"/>
    <s v="G/ZOR"/>
    <s v="Location 3"/>
    <s v="Customer 3"/>
    <n v="608"/>
    <n v="871.19"/>
    <n v="529683.52"/>
  </r>
  <r>
    <d v="2024-01-19T00:00:00"/>
    <d v="2024-01-04T00:00:00"/>
    <s v="No"/>
    <n v="15"/>
    <n v="195146.56"/>
    <x v="90"/>
    <n v="224"/>
    <d v="2022-12-30T00:00:00"/>
    <s v="G/ZOR"/>
    <s v="Location 3"/>
    <s v="Customer 3"/>
    <n v="608"/>
    <n v="871.19"/>
    <n v="529683.52"/>
  </r>
  <r>
    <d v="2023-10-03T00:00:00"/>
    <d v="2023-10-03T00:00:00"/>
    <s v="Yes"/>
    <n v="0"/>
    <n v="9814.75"/>
    <x v="67"/>
    <n v="55"/>
    <d v="2022-10-07T00:00:00"/>
    <s v="G/ZOR"/>
    <s v="Location 4"/>
    <s v="Customer 3"/>
    <n v="55"/>
    <n v="178.45"/>
    <n v="9814.75"/>
  </r>
  <r>
    <d v="2023-11-21T00:00:00"/>
    <d v="2023-11-21T00:00:00"/>
    <s v="Yes"/>
    <n v="0"/>
    <n v="4639.7"/>
    <x v="67"/>
    <n v="26"/>
    <d v="2022-11-10T00:00:00"/>
    <s v="G/ZOR"/>
    <s v="Location 3"/>
    <s v="Customer 3"/>
    <n v="26"/>
    <n v="178.45"/>
    <n v="4639.7"/>
  </r>
  <r>
    <d v="2023-09-26T00:00:00"/>
    <d v="2023-09-26T00:00:00"/>
    <s v="Yes"/>
    <n v="0"/>
    <n v="10707"/>
    <x v="67"/>
    <n v="60"/>
    <d v="2022-11-11T00:00:00"/>
    <s v="G/ZOR"/>
    <s v="Location 3"/>
    <s v="Customer 3"/>
    <n v="60"/>
    <n v="178.45"/>
    <n v="10707"/>
  </r>
  <r>
    <d v="2023-10-24T00:00:00"/>
    <d v="2023-10-24T00:00:00"/>
    <s v="Yes"/>
    <n v="0"/>
    <n v="10707"/>
    <x v="67"/>
    <n v="60"/>
    <d v="2022-11-11T00:00:00"/>
    <s v="G/ZOR"/>
    <s v="Location 3"/>
    <s v="Customer 3"/>
    <n v="60"/>
    <n v="178.45"/>
    <n v="10707"/>
  </r>
  <r>
    <d v="2023-12-19T00:00:00"/>
    <d v="2023-12-19T00:00:00"/>
    <s v="Yes"/>
    <n v="0"/>
    <n v="10707"/>
    <x v="67"/>
    <n v="60"/>
    <d v="2022-12-08T00:00:00"/>
    <s v="G/ZOR"/>
    <s v="Location 3"/>
    <s v="Customer 3"/>
    <n v="60"/>
    <n v="178.45"/>
    <n v="10707"/>
  </r>
  <r>
    <d v="2023-10-17T00:00:00"/>
    <d v="2023-10-17T00:00:00"/>
    <s v="Yes"/>
    <n v="0"/>
    <n v="23555.4"/>
    <x v="67"/>
    <n v="132"/>
    <d v="2022-12-20T00:00:00"/>
    <s v="G/ZOR"/>
    <s v="Location 4"/>
    <s v="Customer 3"/>
    <n v="132"/>
    <n v="178.45"/>
    <n v="23555.4"/>
  </r>
  <r>
    <d v="2023-11-14T00:00:00"/>
    <d v="2023-11-14T00:00:00"/>
    <s v="Yes"/>
    <n v="0"/>
    <n v="17845"/>
    <x v="67"/>
    <n v="100"/>
    <d v="2022-12-20T00:00:00"/>
    <s v="G/ZOR"/>
    <s v="Location 4"/>
    <s v="Customer 3"/>
    <n v="100"/>
    <n v="178.45"/>
    <n v="17845"/>
  </r>
  <r>
    <d v="2023-12-19T00:00:00"/>
    <d v="2023-12-19T00:00:00"/>
    <s v="Yes"/>
    <n v="0"/>
    <n v="23555.4"/>
    <x v="67"/>
    <n v="132"/>
    <d v="2022-12-20T00:00:00"/>
    <s v="G/ZOR"/>
    <s v="Location 4"/>
    <s v="Customer 3"/>
    <n v="132"/>
    <n v="178.45"/>
    <n v="23555.4"/>
  </r>
  <r>
    <d v="2024-01-16T00:00:00"/>
    <d v="2024-01-16T00:00:00"/>
    <s v="Yes"/>
    <n v="0"/>
    <n v="5175.05"/>
    <x v="67"/>
    <n v="29"/>
    <d v="2023-01-06T00:00:00"/>
    <s v="G/ZOR"/>
    <s v="Location 3"/>
    <s v="Customer 3"/>
    <n v="29"/>
    <n v="178.45"/>
    <n v="5175.05"/>
  </r>
  <r>
    <d v="2024-01-23T00:00:00"/>
    <d v="2024-01-23T00:00:00"/>
    <s v="Yes"/>
    <n v="0"/>
    <n v="5888.85"/>
    <x v="67"/>
    <n v="33"/>
    <d v="2023-01-13T00:00:00"/>
    <s v="G/ZOR"/>
    <s v="Location 3"/>
    <s v="Customer 3"/>
    <n v="33"/>
    <n v="178.45"/>
    <n v="5888.85"/>
  </r>
  <r>
    <d v="2024-01-30T00:00:00"/>
    <d v="2024-01-30T00:00:00"/>
    <s v="Yes"/>
    <n v="0"/>
    <n v="5888.85"/>
    <x v="67"/>
    <n v="33"/>
    <d v="2023-01-17T00:00:00"/>
    <s v="G/ZOR"/>
    <s v="Location 4"/>
    <s v="Customer 3"/>
    <n v="33"/>
    <n v="178.45"/>
    <n v="5888.85"/>
  </r>
  <r>
    <d v="2024-02-06T00:00:00"/>
    <d v="2024-02-06T00:00:00"/>
    <s v="Yes"/>
    <n v="0"/>
    <n v="5888.85"/>
    <x v="67"/>
    <n v="33"/>
    <d v="2023-01-27T00:00:00"/>
    <s v="G/ZOR"/>
    <s v="Location 3"/>
    <s v="Customer 3"/>
    <n v="33"/>
    <n v="178.45"/>
    <n v="5888.85"/>
  </r>
  <r>
    <d v="2024-04-24T00:00:00"/>
    <d v="2024-04-24T00:00:00"/>
    <s v="Yes"/>
    <n v="0"/>
    <n v="2676.75"/>
    <x v="67"/>
    <n v="15"/>
    <d v="2023-04-11T00:00:00"/>
    <s v="G/ZOR"/>
    <s v="Location 4"/>
    <s v="Customer 3"/>
    <n v="15"/>
    <n v="178.45"/>
    <n v="2676.75"/>
  </r>
  <r>
    <d v="2024-04-26T00:00:00"/>
    <d v="2024-04-26T00:00:00"/>
    <s v="Yes"/>
    <n v="0"/>
    <n v="5353.5"/>
    <x v="67"/>
    <n v="30"/>
    <d v="2023-04-18T00:00:00"/>
    <s v="G/ZOR"/>
    <s v="Location 4"/>
    <s v="Customer 3"/>
    <n v="30"/>
    <n v="178.45"/>
    <n v="5353.5"/>
  </r>
  <r>
    <d v="2024-04-23T00:00:00"/>
    <d v="2024-04-23T00:00:00"/>
    <s v="Yes"/>
    <n v="0"/>
    <n v="8030.25"/>
    <x v="67"/>
    <n v="45"/>
    <d v="2023-04-25T00:00:00"/>
    <s v="G/ZOR"/>
    <s v="Location 4"/>
    <s v="Customer 3"/>
    <n v="45"/>
    <n v="178.45"/>
    <n v="8030.25"/>
  </r>
  <r>
    <d v="2024-05-17T00:00:00"/>
    <d v="2024-05-17T00:00:00"/>
    <s v="Yes"/>
    <n v="0"/>
    <n v="5353.5"/>
    <x v="67"/>
    <n v="30"/>
    <d v="2023-05-16T00:00:00"/>
    <s v="G/ZOR"/>
    <s v="Location 4"/>
    <s v="Customer 3"/>
    <n v="30"/>
    <n v="178.45"/>
    <n v="5353.5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25721.1"/>
    <x v="34"/>
    <n v="30"/>
    <d v="2022-09-07T00:00:00"/>
    <s v="G/ZOR"/>
    <s v="Location 3"/>
    <s v="Customer 3"/>
    <n v="30"/>
    <n v="857.37"/>
    <n v="25721.1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34"/>
    <n v="45"/>
    <d v="2022-09-07T00:00:00"/>
    <s v="G/ZOR"/>
    <s v="Location 3"/>
    <s v="Customer 3"/>
    <n v="45"/>
    <n v="857.37"/>
    <n v="38581.65"/>
  </r>
  <r>
    <d v="2023-09-28T00:00:00"/>
    <d v="2023-09-28T00:00:00"/>
    <s v="Yes"/>
    <n v="0"/>
    <n v="25721.1"/>
    <x v="34"/>
    <n v="30"/>
    <d v="2022-09-14T00:00:00"/>
    <s v="G/ZOR"/>
    <s v="Location 3"/>
    <s v="Customer 3"/>
    <n v="30"/>
    <n v="857.37"/>
    <n v="25721.1"/>
  </r>
  <r>
    <d v="2023-09-28T00:00:00"/>
    <d v="2023-09-28T00:00:00"/>
    <s v="Yes"/>
    <n v="0"/>
    <n v="38581.65"/>
    <x v="34"/>
    <n v="45"/>
    <d v="2022-09-15T00:00:00"/>
    <s v="G/ZOR"/>
    <s v="Location 3"/>
    <s v="Customer 3"/>
    <n v="45"/>
    <n v="857.37"/>
    <n v="38581.65"/>
  </r>
  <r>
    <d v="2023-09-28T00:00:00"/>
    <d v="2023-09-28T00:00:00"/>
    <s v="Yes"/>
    <n v="0"/>
    <n v="38581.65"/>
    <x v="34"/>
    <n v="45"/>
    <d v="2022-09-15T00:00:00"/>
    <s v="G/ZOR"/>
    <s v="Location 3"/>
    <s v="Customer 3"/>
    <n v="45"/>
    <n v="857.37"/>
    <n v="38581.65"/>
  </r>
  <r>
    <d v="2023-10-05T00:00:00"/>
    <d v="2023-10-05T00:00:00"/>
    <s v="Yes"/>
    <n v="0"/>
    <n v="25721.1"/>
    <x v="34"/>
    <n v="30"/>
    <d v="2022-09-22T00:00:00"/>
    <s v="G/ZOR"/>
    <s v="Location 4"/>
    <s v="Customer 3"/>
    <n v="30"/>
    <n v="857.37"/>
    <n v="25721.1"/>
  </r>
  <r>
    <d v="2023-10-05T00:00:00"/>
    <d v="2023-10-05T00:00:00"/>
    <s v="Yes"/>
    <n v="0"/>
    <n v="38581.65"/>
    <x v="34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34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34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34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34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34"/>
    <n v="45"/>
    <d v="2022-09-23T00:00:00"/>
    <s v="G/ZOR"/>
    <s v="Location 4"/>
    <s v="Customer 3"/>
    <n v="45"/>
    <n v="857.37"/>
    <n v="38581.65"/>
  </r>
  <r>
    <d v="2023-10-12T00:00:00"/>
    <d v="2023-10-12T00:00:00"/>
    <s v="Yes"/>
    <n v="0"/>
    <n v="12860.55"/>
    <x v="34"/>
    <n v="15"/>
    <d v="2022-09-27T00:00:00"/>
    <s v="G/ZOR"/>
    <s v="Location 3"/>
    <s v="Customer 3"/>
    <n v="15"/>
    <n v="857.37"/>
    <n v="12860.55"/>
  </r>
  <r>
    <d v="2023-10-12T00:00:00"/>
    <d v="2023-10-12T00:00:00"/>
    <s v="Yes"/>
    <n v="0"/>
    <n v="38581.65"/>
    <x v="34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34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34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34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34"/>
    <n v="45"/>
    <d v="2022-09-28T00:00:00"/>
    <s v="G/ZOR"/>
    <s v="Location 3"/>
    <s v="Customer 3"/>
    <n v="45"/>
    <n v="857.37"/>
    <n v="38581.65"/>
  </r>
  <r>
    <d v="2023-10-26T00:00:00"/>
    <d v="2023-10-26T00:00:00"/>
    <s v="Yes"/>
    <n v="0"/>
    <n v="25721.1"/>
    <x v="34"/>
    <n v="30"/>
    <d v="2022-10-12T00:00:00"/>
    <s v="G/ZOR"/>
    <s v="Location 3"/>
    <s v="Customer 3"/>
    <n v="30"/>
    <n v="857.37"/>
    <n v="25721.1"/>
  </r>
  <r>
    <d v="2023-10-19T00:00:00"/>
    <d v="2023-10-19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19T00:00:00"/>
    <d v="2023-10-19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19T00:00:00"/>
    <d v="2023-10-19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19T00:00:00"/>
    <d v="2023-10-19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34"/>
    <n v="45"/>
    <d v="2022-10-13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34"/>
    <n v="45"/>
    <d v="2022-12-15T00:00:00"/>
    <s v="G/ZOR"/>
    <s v="Location 4"/>
    <s v="Customer 3"/>
    <n v="45"/>
    <n v="857.37"/>
    <n v="38581.65"/>
  </r>
  <r>
    <d v="2023-12-28T00:00:00"/>
    <d v="2023-12-28T00:00:00"/>
    <s v="Yes"/>
    <n v="0"/>
    <n v="38581.65"/>
    <x v="34"/>
    <n v="45"/>
    <d v="2022-12-15T00:00:00"/>
    <s v="G/ZOR"/>
    <s v="Location 4"/>
    <s v="Customer 3"/>
    <n v="45"/>
    <n v="857.37"/>
    <n v="38581.65"/>
  </r>
  <r>
    <d v="2023-12-28T00:00:00"/>
    <d v="2023-12-28T00:00:00"/>
    <s v="Yes"/>
    <n v="0"/>
    <n v="25721.1"/>
    <x v="34"/>
    <n v="30"/>
    <d v="2022-12-19T00:00:00"/>
    <s v="G/ZOR"/>
    <s v="Location 3"/>
    <s v="Customer 3"/>
    <n v="30"/>
    <n v="857.37"/>
    <n v="25721.1"/>
  </r>
  <r>
    <d v="2023-12-14T00:00:00"/>
    <d v="2023-12-1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14T00:00:00"/>
    <d v="2023-12-1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14T00:00:00"/>
    <d v="2023-12-1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3-12-28T00:00:00"/>
    <d v="2023-12-28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3"/>
    <s v="Customer 3"/>
    <n v="45"/>
    <n v="857.37"/>
    <n v="38581.65"/>
  </r>
  <r>
    <d v="2024-01-04T00:00:00"/>
    <d v="2024-01-04T00:00:00"/>
    <s v="Yes"/>
    <n v="0"/>
    <n v="38581.65"/>
    <x v="34"/>
    <n v="45"/>
    <d v="2022-12-20T00:00:00"/>
    <s v="G/ZOR"/>
    <s v="Location 4"/>
    <s v="Customer 3"/>
    <n v="45"/>
    <n v="857.37"/>
    <n v="38581.65"/>
  </r>
  <r>
    <d v="2024-01-09T00:00:00"/>
    <d v="2024-01-09T00:00:00"/>
    <s v="Yes"/>
    <n v="0"/>
    <n v="12860.55"/>
    <x v="34"/>
    <n v="15"/>
    <d v="2022-12-26T00:00:00"/>
    <s v="G/ZOR"/>
    <s v="Location 3"/>
    <s v="Customer 3"/>
    <n v="15"/>
    <n v="857.37"/>
    <n v="12860.55"/>
  </r>
  <r>
    <d v="2024-01-09T00:00:00"/>
    <d v="2024-01-09T00:00:00"/>
    <s v="Yes"/>
    <n v="0"/>
    <n v="38581.65"/>
    <x v="34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34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34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34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34"/>
    <n v="45"/>
    <d v="2022-12-28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34"/>
    <n v="45"/>
    <d v="2023-01-06T00:00:00"/>
    <s v="G/ZOR"/>
    <s v="Location 3"/>
    <s v="Customer 3"/>
    <n v="45"/>
    <n v="857.37"/>
    <n v="38581.65"/>
  </r>
  <r>
    <d v="2024-01-25T00:00:00"/>
    <d v="2024-01-25T00:00:00"/>
    <s v="Yes"/>
    <n v="0"/>
    <n v="38581.65"/>
    <x v="34"/>
    <n v="45"/>
    <d v="2023-01-13T00:00:00"/>
    <s v="G/ZOR"/>
    <s v="Location 3"/>
    <s v="Customer 3"/>
    <n v="45"/>
    <n v="857.37"/>
    <n v="38581.65"/>
  </r>
  <r>
    <d v="2024-01-25T00:00:00"/>
    <d v="2024-01-25T00:00:00"/>
    <s v="Yes"/>
    <n v="0"/>
    <n v="38581.65"/>
    <x v="34"/>
    <n v="45"/>
    <d v="2023-01-13T00:00:00"/>
    <s v="G/ZOR"/>
    <s v="Location 3"/>
    <s v="Customer 3"/>
    <n v="45"/>
    <n v="857.37"/>
    <n v="38581.65"/>
  </r>
  <r>
    <d v="2024-01-25T00:00:00"/>
    <d v="2024-01-25T00:00:00"/>
    <s v="Yes"/>
    <n v="0"/>
    <n v="38581.65"/>
    <x v="34"/>
    <n v="45"/>
    <d v="2023-01-13T00:00:00"/>
    <s v="G/ZOR"/>
    <s v="Location 3"/>
    <s v="Customer 3"/>
    <n v="45"/>
    <n v="857.37"/>
    <n v="38581.65"/>
  </r>
  <r>
    <d v="2024-01-25T00:00:00"/>
    <d v="2024-01-25T00:00:00"/>
    <s v="Yes"/>
    <n v="0"/>
    <n v="12860.55"/>
    <x v="34"/>
    <n v="15"/>
    <d v="2023-01-13T00:00:00"/>
    <s v="G/ZOR"/>
    <s v="Location 3"/>
    <s v="Customer 3"/>
    <n v="15"/>
    <n v="857.37"/>
    <n v="12860.55"/>
  </r>
  <r>
    <d v="2024-05-07T00:00:00"/>
    <d v="2024-05-07T00:00:00"/>
    <s v="Yes"/>
    <n v="0"/>
    <n v="25721.1"/>
    <x v="34"/>
    <n v="30"/>
    <d v="2023-04-25T00:00:00"/>
    <s v="G/ZOR"/>
    <s v="Location 4"/>
    <s v="Customer 3"/>
    <n v="30"/>
    <n v="857.37"/>
    <n v="25721.1"/>
  </r>
  <r>
    <d v="2024-05-07T00:00:00"/>
    <d v="2024-05-07T00:00:00"/>
    <s v="Yes"/>
    <n v="0"/>
    <n v="38581.65"/>
    <x v="34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34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34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34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34"/>
    <n v="45"/>
    <d v="2023-04-26T00:00:00"/>
    <s v="G/ZOR"/>
    <s v="Location 4"/>
    <s v="Customer 3"/>
    <n v="45"/>
    <n v="857.37"/>
    <n v="38581.65"/>
  </r>
  <r>
    <d v="2024-01-19T00:00:00"/>
    <d v="2022-10-29T00:00:00"/>
    <s v="No"/>
    <n v="44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39747.519999999997"/>
    <x v="35"/>
    <n v="16"/>
    <d v="2021-10-01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35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39747.519999999997"/>
    <x v="35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39747.519999999997"/>
    <x v="35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39747.519999999997"/>
    <x v="35"/>
    <n v="16"/>
    <d v="2021-10-06T00:00:00"/>
    <s v="G/ZOR"/>
    <s v="Location 3"/>
    <s v="Customer 3"/>
    <n v="16"/>
    <n v="2484.2199999999998"/>
    <n v="39747.519999999997"/>
  </r>
  <r>
    <d v="2024-01-19T00:00:00"/>
    <d v="2022-10-06T00:00:00"/>
    <s v="No"/>
    <n v="470"/>
    <n v="39747.519999999997"/>
    <x v="35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79495.039999999994"/>
    <x v="35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79495.039999999994"/>
    <x v="35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79495.039999999994"/>
    <x v="35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39747.519999999997"/>
    <x v="35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39747.519999999997"/>
    <x v="35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27326.42"/>
    <x v="35"/>
    <n v="11"/>
    <d v="2023-05-01T00:00:00"/>
    <s v="G/ZOR"/>
    <s v="Location 3"/>
    <s v="Customer 3"/>
    <n v="32"/>
    <n v="2484.2199999999998"/>
    <n v="79495.039999999994"/>
  </r>
  <r>
    <d v="2024-02-23T00:00:00"/>
    <d v="2023-11-03T00:00:00"/>
    <s v="No"/>
    <n v="112"/>
    <n v="40615.300000000003"/>
    <x v="37"/>
    <n v="10"/>
    <d v="2022-10-20T00:00:00"/>
    <s v="G/ZOR"/>
    <s v="Location 3"/>
    <s v="Customer 3"/>
    <n v="10"/>
    <n v="4061.53"/>
    <n v="40615.300000000003"/>
  </r>
  <r>
    <d v="2024-04-08T00:00:00"/>
    <d v="2024-04-05T00:00:00"/>
    <s v="No"/>
    <n v="3"/>
    <n v="4061.53"/>
    <x v="37"/>
    <n v="1"/>
    <d v="2022-10-26T00:00:00"/>
    <s v="G/ZOR"/>
    <s v="Location 4"/>
    <s v="Customer 3"/>
    <n v="1"/>
    <n v="4061.53"/>
    <n v="4061.53"/>
  </r>
  <r>
    <d v="2024-04-12T00:00:00"/>
    <d v="2024-04-12T00:00:00"/>
    <s v="Yes"/>
    <n v="0"/>
    <n v="40615.300000000003"/>
    <x v="37"/>
    <n v="10"/>
    <d v="2022-11-04T00:00:00"/>
    <s v="G/ZOR"/>
    <s v="Location 4"/>
    <s v="Customer 3"/>
    <n v="10"/>
    <n v="4061.53"/>
    <n v="40615.300000000003"/>
  </r>
  <r>
    <d v="2024-04-12T00:00:00"/>
    <d v="2024-04-12T00:00:00"/>
    <s v="Yes"/>
    <n v="0"/>
    <n v="40615.300000000003"/>
    <x v="37"/>
    <n v="10"/>
    <d v="2022-11-04T00:00:00"/>
    <s v="G/ZOR"/>
    <s v="Location 4"/>
    <s v="Customer 3"/>
    <n v="10"/>
    <n v="4061.53"/>
    <n v="40615.300000000003"/>
  </r>
  <r>
    <d v="2024-04-12T00:00:00"/>
    <d v="2024-04-12T00:00:00"/>
    <s v="Yes"/>
    <n v="0"/>
    <n v="48738.36"/>
    <x v="37"/>
    <n v="12"/>
    <d v="2022-11-04T00:00:00"/>
    <s v="G/ZOR"/>
    <s v="Location 4"/>
    <s v="Customer 3"/>
    <n v="12"/>
    <n v="4061.53"/>
    <n v="48738.36"/>
  </r>
  <r>
    <d v="2024-04-19T00:00:00"/>
    <d v="2024-04-19T00:00:00"/>
    <s v="Yes"/>
    <n v="0"/>
    <n v="16246.12"/>
    <x v="37"/>
    <n v="4"/>
    <d v="2022-11-08T00:00:00"/>
    <s v="G/ZOR"/>
    <s v="Location 4"/>
    <s v="Customer 3"/>
    <n v="4"/>
    <n v="4061.53"/>
    <n v="16246.1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20307.650000000001"/>
    <x v="37"/>
    <n v="5"/>
    <d v="2022-11-10T00:00:00"/>
    <s v="G/ZOR"/>
    <s v="Location 3"/>
    <s v="Customer 3"/>
    <n v="5"/>
    <n v="4061.53"/>
    <n v="20307.650000000001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37"/>
    <n v="8"/>
    <d v="2022-11-10T00:00:00"/>
    <s v="G/ZOR"/>
    <s v="Location 3"/>
    <s v="Customer 3"/>
    <n v="8"/>
    <n v="4061.53"/>
    <n v="32492.240000000002"/>
  </r>
  <r>
    <d v="2024-05-03T00:00:00"/>
    <d v="2024-05-03T00:00:00"/>
    <s v="Yes"/>
    <n v="0"/>
    <n v="48738.36"/>
    <x v="37"/>
    <n v="12"/>
    <d v="2022-12-02T00:00:00"/>
    <s v="G/ZOR"/>
    <s v="Location 3"/>
    <s v="Customer 3"/>
    <n v="12"/>
    <n v="4061.53"/>
    <n v="48738.36"/>
  </r>
  <r>
    <d v="2024-05-09T00:00:00"/>
    <d v="2024-05-09T00:00:00"/>
    <s v="Yes"/>
    <n v="0"/>
    <n v="12184.59"/>
    <x v="37"/>
    <n v="3"/>
    <d v="2022-12-09T00:00:00"/>
    <s v="G/ZOR"/>
    <s v="Location 4"/>
    <s v="Customer 3"/>
    <n v="3"/>
    <n v="4061.53"/>
    <n v="12184.59"/>
  </r>
  <r>
    <d v="2024-09-10T00:00:00"/>
    <d v="2024-09-10T00:00:00"/>
    <s v="Yes"/>
    <n v="0"/>
    <n v="32492.240000000002"/>
    <x v="37"/>
    <n v="8"/>
    <d v="2023-04-14T00:00:00"/>
    <s v="G/ZOR"/>
    <s v="Location 4"/>
    <s v="Customer 3"/>
    <n v="8"/>
    <n v="4061.53"/>
    <n v="32492.240000000002"/>
  </r>
  <r>
    <d v="2023-10-03T00:00:00"/>
    <d v="2023-03-03T00:00:00"/>
    <s v="No"/>
    <n v="214"/>
    <n v="152904.64000000001"/>
    <x v="91"/>
    <n v="32"/>
    <d v="2022-11-09T00:00:00"/>
    <s v="G/ZOR"/>
    <s v="Location 4"/>
    <s v="Customer 3"/>
    <n v="32"/>
    <n v="4778.2700000000004"/>
    <n v="152904.64000000001"/>
  </r>
  <r>
    <d v="2023-10-03T00:00:00"/>
    <d v="2023-02-03T00:00:00"/>
    <s v="No"/>
    <n v="242"/>
    <n v="535166.24"/>
    <x v="91"/>
    <n v="112"/>
    <d v="2022-11-10T00:00:00"/>
    <s v="G/ZOR"/>
    <s v="Location 4"/>
    <s v="Customer 3"/>
    <n v="112"/>
    <n v="4778.2700000000004"/>
    <n v="535166.24"/>
  </r>
  <r>
    <d v="2023-10-03T00:00:00"/>
    <d v="2023-08-04T00:00:00"/>
    <s v="No"/>
    <n v="60"/>
    <n v="76452.320000000007"/>
    <x v="91"/>
    <n v="16"/>
    <d v="2022-11-10T00:00:00"/>
    <s v="G/ZOR"/>
    <s v="Location 4"/>
    <s v="Customer 3"/>
    <n v="160"/>
    <n v="4778.2700000000004"/>
    <n v="764523.2"/>
  </r>
  <r>
    <d v="2023-10-05T00:00:00"/>
    <d v="2023-08-04T00:00:00"/>
    <s v="No"/>
    <n v="62"/>
    <n v="688070.88"/>
    <x v="91"/>
    <n v="144"/>
    <d v="2022-11-10T00:00:00"/>
    <s v="G/ZOR"/>
    <s v="Location 4"/>
    <s v="Customer 3"/>
    <n v="160"/>
    <n v="4778.2700000000004"/>
    <n v="764523.2"/>
  </r>
  <r>
    <d v="2023-10-03T00:00:00"/>
    <d v="2023-04-07T00:00:00"/>
    <s v="No"/>
    <n v="179"/>
    <n v="1070332.48"/>
    <x v="91"/>
    <n v="224"/>
    <d v="2022-11-10T00:00:00"/>
    <s v="G/ZOR"/>
    <s v="Location 4"/>
    <s v="Customer 3"/>
    <n v="224"/>
    <n v="4778.2700000000004"/>
    <n v="1070332.48"/>
  </r>
  <r>
    <d v="2023-10-03T00:00:00"/>
    <d v="2023-07-07T00:00:00"/>
    <s v="No"/>
    <n v="88"/>
    <n v="840975.52"/>
    <x v="91"/>
    <n v="176"/>
    <d v="2022-11-10T00:00:00"/>
    <s v="G/ZOR"/>
    <s v="Location 4"/>
    <s v="Customer 3"/>
    <n v="176"/>
    <n v="4778.2700000000004"/>
    <n v="840975.52"/>
  </r>
  <r>
    <d v="2023-10-03T00:00:00"/>
    <d v="2023-06-02T00:00:00"/>
    <s v="No"/>
    <n v="123"/>
    <n v="535166.24"/>
    <x v="91"/>
    <n v="112"/>
    <d v="2022-11-10T00:00:00"/>
    <s v="G/ZOR"/>
    <s v="Location 4"/>
    <s v="Customer 3"/>
    <n v="112"/>
    <n v="4778.2700000000004"/>
    <n v="535166.24"/>
  </r>
  <r>
    <d v="2023-10-03T00:00:00"/>
    <d v="2023-05-05T00:00:00"/>
    <s v="No"/>
    <n v="151"/>
    <n v="764523.2"/>
    <x v="91"/>
    <n v="160"/>
    <d v="2022-11-10T00:00:00"/>
    <s v="G/ZOR"/>
    <s v="Location 4"/>
    <s v="Customer 3"/>
    <n v="160"/>
    <n v="4778.2700000000004"/>
    <n v="764523.2"/>
  </r>
  <r>
    <d v="2023-10-05T00:00:00"/>
    <d v="2023-09-01T00:00:00"/>
    <s v="No"/>
    <n v="34"/>
    <n v="229356.96"/>
    <x v="91"/>
    <n v="48"/>
    <d v="2022-11-10T00:00:00"/>
    <s v="G/ZOR"/>
    <s v="Location 4"/>
    <s v="Customer 3"/>
    <n v="128"/>
    <n v="4778.2700000000004"/>
    <n v="611618.56000000006"/>
  </r>
  <r>
    <d v="2023-11-14T00:00:00"/>
    <d v="2023-09-01T00:00:00"/>
    <s v="No"/>
    <n v="74"/>
    <n v="382261.6"/>
    <x v="91"/>
    <n v="80"/>
    <d v="2022-11-10T00:00:00"/>
    <s v="G/ZOR"/>
    <s v="Location 4"/>
    <s v="Customer 3"/>
    <n v="128"/>
    <n v="4778.2700000000004"/>
    <n v="611618.56000000006"/>
  </r>
  <r>
    <d v="2023-11-14T00:00:00"/>
    <d v="2023-10-06T00:00:00"/>
    <s v="No"/>
    <n v="39"/>
    <n v="764523.2"/>
    <x v="91"/>
    <n v="160"/>
    <d v="2022-11-10T00:00:00"/>
    <s v="G/ZOR"/>
    <s v="Location 4"/>
    <s v="Customer 3"/>
    <n v="192"/>
    <n v="4778.2700000000004"/>
    <n v="917427.84"/>
  </r>
  <r>
    <d v="2024-02-23T00:00:00"/>
    <d v="2023-10-06T00:00:00"/>
    <s v="No"/>
    <n v="140"/>
    <n v="152904.64000000001"/>
    <x v="91"/>
    <n v="32"/>
    <d v="2022-11-10T00:00:00"/>
    <s v="G/ZOR"/>
    <s v="Location 4"/>
    <s v="Customer 3"/>
    <n v="192"/>
    <n v="4778.2700000000004"/>
    <n v="917427.84"/>
  </r>
  <r>
    <d v="2024-02-23T00:00:00"/>
    <d v="2023-11-03T00:00:00"/>
    <s v="No"/>
    <n v="112"/>
    <n v="917427.84"/>
    <x v="91"/>
    <n v="192"/>
    <d v="2022-11-10T00:00:00"/>
    <s v="G/ZOR"/>
    <s v="Location 4"/>
    <s v="Customer 3"/>
    <n v="192"/>
    <n v="4778.2700000000004"/>
    <n v="917427.84"/>
  </r>
  <r>
    <d v="2024-02-23T00:00:00"/>
    <d v="2023-12-01T00:00:00"/>
    <s v="No"/>
    <n v="84"/>
    <n v="229356.96"/>
    <x v="91"/>
    <n v="48"/>
    <d v="2022-11-10T00:00:00"/>
    <s v="G/ZOR"/>
    <s v="Location 4"/>
    <s v="Customer 3"/>
    <n v="48"/>
    <n v="4778.2700000000004"/>
    <n v="229356.96"/>
  </r>
  <r>
    <d v="2024-02-08T00:00:00"/>
    <d v="2023-10-31T00:00:00"/>
    <s v="No"/>
    <n v="100"/>
    <n v="10786.8"/>
    <x v="92"/>
    <n v="120"/>
    <d v="2023-02-10T00:00:00"/>
    <s v="G/ZOR"/>
    <s v="Location 4"/>
    <s v="Customer 3"/>
    <n v="120"/>
    <n v="89.89"/>
    <n v="10786.8"/>
  </r>
  <r>
    <d v="2024-07-30T00:00:00"/>
    <d v="2024-07-30T00:00:00"/>
    <s v="Yes"/>
    <n v="0"/>
    <n v="165855.6"/>
    <x v="71"/>
    <n v="360"/>
    <d v="2023-08-02T00:00:00"/>
    <s v="G/ZOR"/>
    <s v="Location 4"/>
    <s v="Customer 3"/>
    <n v="360"/>
    <n v="460.71"/>
    <n v="165855.6"/>
  </r>
  <r>
    <d v="2024-08-13T00:00:00"/>
    <d v="2024-08-13T00:00:00"/>
    <s v="Yes"/>
    <n v="0"/>
    <n v="66342.240000000005"/>
    <x v="71"/>
    <n v="144"/>
    <d v="2023-08-02T00:00:00"/>
    <s v="G/ZOR"/>
    <s v="Location 4"/>
    <s v="Customer 3"/>
    <n v="144"/>
    <n v="460.71"/>
    <n v="66342.240000000005"/>
  </r>
  <r>
    <d v="2024-08-13T00:00:00"/>
    <d v="2024-08-13T00:00:00"/>
    <s v="Yes"/>
    <n v="0"/>
    <n v="33171.120000000003"/>
    <x v="71"/>
    <n v="72"/>
    <d v="2023-08-02T00:00:00"/>
    <s v="G/ZOR"/>
    <s v="Location 4"/>
    <s v="Customer 3"/>
    <n v="72"/>
    <n v="460.71"/>
    <n v="33171.120000000003"/>
  </r>
  <r>
    <d v="2024-08-20T00:00:00"/>
    <d v="2024-08-20T00:00:00"/>
    <s v="Yes"/>
    <n v="0"/>
    <n v="33171.120000000003"/>
    <x v="71"/>
    <n v="72"/>
    <d v="2023-08-08T00:00:00"/>
    <s v="G/ZOR"/>
    <s v="Location 4"/>
    <s v="Customer 3"/>
    <n v="72"/>
    <n v="460.71"/>
    <n v="33171.120000000003"/>
  </r>
  <r>
    <d v="2023-11-02T00:00:00"/>
    <d v="2023-11-02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3-11-09T00:00:00"/>
    <d v="2023-11-09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3-12-06T00:00:00"/>
    <d v="2023-12-06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3-12-20T00:00:00"/>
    <d v="2023-12-20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4-01-03T00:00:00"/>
    <d v="2024-01-03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4-01-12T00:00:00"/>
    <d v="2024-01-10T00:00:00"/>
    <s v="No"/>
    <n v="2"/>
    <n v="26074.44"/>
    <x v="70"/>
    <n v="63"/>
    <d v="2023-03-07T00:00:00"/>
    <s v="G/ZOR"/>
    <s v="Location 3"/>
    <s v="Customer 3"/>
    <n v="63"/>
    <n v="413.88"/>
    <n v="26074.44"/>
  </r>
  <r>
    <d v="2024-01-24T00:00:00"/>
    <d v="2024-01-24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4-02-07T00:00:00"/>
    <d v="2024-02-07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4-03-06T00:00:00"/>
    <d v="2024-03-06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4-03-13T00:00:00"/>
    <d v="2024-03-13T00:00:00"/>
    <s v="Yes"/>
    <n v="0"/>
    <n v="26074.44"/>
    <x v="70"/>
    <n v="63"/>
    <d v="2023-03-07T00:00:00"/>
    <s v="G/ZOR"/>
    <s v="Location 3"/>
    <s v="Customer 3"/>
    <n v="63"/>
    <n v="413.88"/>
    <n v="26074.44"/>
  </r>
  <r>
    <d v="2023-10-02T00:00:00"/>
    <d v="2023-10-02T00:00:00"/>
    <s v="Yes"/>
    <n v="0"/>
    <n v="1303722"/>
    <x v="70"/>
    <n v="3150"/>
    <d v="2023-03-08T00:00:00"/>
    <s v="G/ZOR"/>
    <s v="Location 4"/>
    <s v="Customer 3"/>
    <n v="3150"/>
    <n v="413.88"/>
    <n v="1303722"/>
  </r>
  <r>
    <d v="2024-01-01T00:00:00"/>
    <d v="2024-01-01T00:00:00"/>
    <s v="Yes"/>
    <n v="0"/>
    <n v="1042977.6"/>
    <x v="70"/>
    <n v="2520"/>
    <d v="2023-03-08T00:00:00"/>
    <s v="G/ZOR"/>
    <s v="Location 4"/>
    <s v="Customer 3"/>
    <n v="2520"/>
    <n v="413.88"/>
    <n v="1042977.6"/>
  </r>
  <r>
    <d v="2024-02-15T00:00:00"/>
    <d v="2024-02-15T00:00:00"/>
    <s v="Yes"/>
    <n v="0"/>
    <n v="26074.44"/>
    <x v="70"/>
    <n v="63"/>
    <d v="2023-03-15T00:00:00"/>
    <s v="G/ZOR"/>
    <s v="Location 3"/>
    <s v="Customer 3"/>
    <n v="63"/>
    <n v="413.88"/>
    <n v="26074.44"/>
  </r>
  <r>
    <d v="2024-03-06T00:00:00"/>
    <d v="2024-03-06T00:00:00"/>
    <s v="Yes"/>
    <n v="0"/>
    <n v="26074.44"/>
    <x v="70"/>
    <n v="63"/>
    <d v="2023-03-15T00:00:00"/>
    <s v="G/ZOR"/>
    <s v="Location 3"/>
    <s v="Customer 3"/>
    <n v="63"/>
    <n v="413.88"/>
    <n v="26074.44"/>
  </r>
  <r>
    <d v="2024-03-08T00:00:00"/>
    <d v="2024-03-08T00:00:00"/>
    <s v="Yes"/>
    <n v="0"/>
    <n v="260744.4"/>
    <x v="70"/>
    <n v="630"/>
    <d v="2023-03-15T00:00:00"/>
    <s v="G/ZOR"/>
    <s v="Location 4"/>
    <s v="Customer 3"/>
    <n v="630"/>
    <n v="413.88"/>
    <n v="260744.4"/>
  </r>
  <r>
    <d v="2024-03-27T00:00:00"/>
    <d v="2024-03-27T00:00:00"/>
    <s v="Yes"/>
    <n v="0"/>
    <n v="26074.44"/>
    <x v="70"/>
    <n v="63"/>
    <d v="2023-03-15T00:00:00"/>
    <s v="G/ZOR"/>
    <s v="Location 3"/>
    <s v="Customer 3"/>
    <n v="63"/>
    <n v="413.88"/>
    <n v="26074.44"/>
  </r>
  <r>
    <d v="2024-04-10T00:00:00"/>
    <d v="2024-04-10T00:00:00"/>
    <s v="Yes"/>
    <n v="0"/>
    <n v="26074.44"/>
    <x v="70"/>
    <n v="63"/>
    <d v="2023-03-30T00:00:00"/>
    <s v="G/ZOR"/>
    <s v="Location 4"/>
    <s v="Customer 3"/>
    <n v="63"/>
    <n v="413.88"/>
    <n v="26074.44"/>
  </r>
  <r>
    <d v="2024-04-10T00:00:00"/>
    <d v="2024-04-10T00:00:00"/>
    <s v="Yes"/>
    <n v="0"/>
    <n v="26074.44"/>
    <x v="70"/>
    <n v="63"/>
    <d v="2023-03-30T00:00:00"/>
    <s v="G/ZOR"/>
    <s v="Location 4"/>
    <s v="Customer 3"/>
    <n v="63"/>
    <n v="413.88"/>
    <n v="26074.44"/>
  </r>
  <r>
    <d v="2024-04-10T00:00:00"/>
    <d v="2024-04-10T00:00:00"/>
    <s v="Yes"/>
    <n v="0"/>
    <n v="52148.88"/>
    <x v="70"/>
    <n v="126"/>
    <d v="2023-03-31T00:00:00"/>
    <s v="G/ZOR"/>
    <s v="Location 4"/>
    <s v="Customer 3"/>
    <n v="126"/>
    <n v="413.88"/>
    <n v="52148.88"/>
  </r>
  <r>
    <d v="2024-06-07T00:00:00"/>
    <d v="2024-06-07T00:00:00"/>
    <s v="Yes"/>
    <n v="0"/>
    <n v="78223.320000000007"/>
    <x v="70"/>
    <n v="189"/>
    <d v="2023-06-07T00:00:00"/>
    <s v="G/ZOR"/>
    <s v="Location 4"/>
    <s v="Customer 3"/>
    <n v="189"/>
    <n v="413.88"/>
    <n v="78223.320000000007"/>
  </r>
  <r>
    <d v="2024-06-07T00:00:00"/>
    <d v="2024-06-07T00:00:00"/>
    <s v="Yes"/>
    <n v="0"/>
    <n v="78223.320000000007"/>
    <x v="70"/>
    <n v="189"/>
    <d v="2023-06-07T00:00:00"/>
    <s v="G/ZOR"/>
    <s v="Location 4"/>
    <s v="Customer 3"/>
    <n v="189"/>
    <n v="413.88"/>
    <n v="78223.320000000007"/>
  </r>
  <r>
    <d v="2024-06-07T00:00:00"/>
    <d v="2024-06-07T00:00:00"/>
    <s v="Yes"/>
    <n v="0"/>
    <n v="52148.88"/>
    <x v="70"/>
    <n v="126"/>
    <d v="2023-06-07T00:00:00"/>
    <s v="G/ZOR"/>
    <s v="Location 4"/>
    <s v="Customer 3"/>
    <n v="126"/>
    <n v="413.88"/>
    <n v="52148.88"/>
  </r>
  <r>
    <d v="2024-06-07T00:00:00"/>
    <d v="2024-06-07T00:00:00"/>
    <s v="Yes"/>
    <n v="0"/>
    <n v="78223.320000000007"/>
    <x v="70"/>
    <n v="189"/>
    <d v="2023-06-07T00:00:00"/>
    <s v="G/ZOR"/>
    <s v="Location 4"/>
    <s v="Customer 3"/>
    <n v="189"/>
    <n v="413.88"/>
    <n v="78223.320000000007"/>
  </r>
  <r>
    <d v="2024-06-26T00:00:00"/>
    <d v="2024-06-26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6-27T00:00:00"/>
    <d v="2024-06-27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6-27T00:00:00"/>
    <d v="2024-06-27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7-03T00:00:00"/>
    <d v="2024-07-03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7-03T00:00:00"/>
    <d v="2024-07-03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7-04T00:00:00"/>
    <d v="2024-07-04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7-04T00:00:00"/>
    <d v="2024-07-04T00:00:00"/>
    <s v="Yes"/>
    <n v="0"/>
    <n v="26074.44"/>
    <x v="70"/>
    <n v="63"/>
    <d v="2023-06-19T00:00:00"/>
    <s v="G/ZOR"/>
    <s v="Location 4"/>
    <s v="Customer 3"/>
    <n v="63"/>
    <n v="413.88"/>
    <n v="26074.44"/>
  </r>
  <r>
    <d v="2024-06-26T00:00:00"/>
    <d v="2024-06-26T00:00:00"/>
    <s v="Yes"/>
    <n v="0"/>
    <n v="52148.88"/>
    <x v="70"/>
    <n v="126"/>
    <d v="2023-06-20T00:00:00"/>
    <s v="G/ZOR"/>
    <s v="Location 4"/>
    <s v="Customer 3"/>
    <n v="126"/>
    <n v="413.88"/>
    <n v="52148.88"/>
  </r>
  <r>
    <d v="2024-06-26T00:00:00"/>
    <d v="2024-06-26T00:00:00"/>
    <s v="Yes"/>
    <n v="0"/>
    <n v="52148.88"/>
    <x v="70"/>
    <n v="126"/>
    <d v="2023-06-20T00:00:00"/>
    <s v="G/ZOR"/>
    <s v="Location 4"/>
    <s v="Customer 3"/>
    <n v="126"/>
    <n v="413.88"/>
    <n v="52148.88"/>
  </r>
  <r>
    <d v="2024-06-26T00:00:00"/>
    <d v="2024-06-26T00:00:00"/>
    <s v="Yes"/>
    <n v="0"/>
    <n v="52148.88"/>
    <x v="70"/>
    <n v="126"/>
    <d v="2023-06-20T00:00:00"/>
    <s v="G/ZOR"/>
    <s v="Location 4"/>
    <s v="Customer 3"/>
    <n v="126"/>
    <n v="413.88"/>
    <n v="52148.88"/>
  </r>
  <r>
    <d v="2024-07-02T00:00:00"/>
    <d v="2024-07-02T00:00:00"/>
    <s v="Yes"/>
    <n v="0"/>
    <n v="52148.88"/>
    <x v="70"/>
    <n v="126"/>
    <d v="2023-06-20T00:00:00"/>
    <s v="G/ZOR"/>
    <s v="Location 4"/>
    <s v="Customer 3"/>
    <n v="126"/>
    <n v="413.88"/>
    <n v="52148.88"/>
  </r>
  <r>
    <d v="2024-07-03T00:00:00"/>
    <d v="2024-07-03T00:00:00"/>
    <s v="Yes"/>
    <n v="0"/>
    <n v="52148.88"/>
    <x v="70"/>
    <n v="126"/>
    <d v="2023-06-20T00:00:00"/>
    <s v="G/ZOR"/>
    <s v="Location 4"/>
    <s v="Customer 3"/>
    <n v="126"/>
    <n v="413.88"/>
    <n v="52148.88"/>
  </r>
  <r>
    <d v="2024-07-03T00:00:00"/>
    <d v="2024-07-03T00:00:00"/>
    <s v="Yes"/>
    <n v="0"/>
    <n v="52148.88"/>
    <x v="70"/>
    <n v="126"/>
    <d v="2023-06-20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70"/>
    <n v="126"/>
    <d v="2023-08-02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70"/>
    <n v="126"/>
    <d v="2023-08-02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70"/>
    <n v="126"/>
    <d v="2023-08-02T00:00:00"/>
    <s v="G/ZOR"/>
    <s v="Location 4"/>
    <s v="Customer 3"/>
    <n v="126"/>
    <n v="413.88"/>
    <n v="52148.88"/>
  </r>
  <r>
    <d v="2024-09-16T00:00:00"/>
    <d v="2024-07-04T00:00:00"/>
    <s v="No"/>
    <n v="74"/>
    <n v="52148.88"/>
    <x v="70"/>
    <n v="126"/>
    <d v="2023-08-02T00:00:00"/>
    <s v="G/ZOR"/>
    <s v="Location 4"/>
    <s v="Customer 3"/>
    <n v="126"/>
    <n v="413.88"/>
    <n v="52148.88"/>
  </r>
  <r>
    <d v="2024-09-16T00:00:00"/>
    <d v="2024-07-04T00:00:00"/>
    <s v="No"/>
    <n v="74"/>
    <n v="52148.88"/>
    <x v="70"/>
    <n v="126"/>
    <d v="2023-08-02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70"/>
    <n v="126"/>
    <d v="2023-08-02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09T00:00:00"/>
    <s v="No"/>
    <n v="69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7T00:00:00"/>
    <s v="No"/>
    <n v="61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1T00:00:00"/>
    <s v="No"/>
    <n v="67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6T00:00:00"/>
    <s v="No"/>
    <n v="62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1T00:00:00"/>
    <s v="No"/>
    <n v="67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70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70"/>
    <n v="126"/>
    <d v="2023-08-03T00:00:00"/>
    <s v="G/ZOR"/>
    <s v="Location 4"/>
    <s v="Customer 3"/>
    <n v="126"/>
    <n v="413.88"/>
    <n v="52148.88"/>
  </r>
  <r>
    <d v="2024-03-13T00:00:00"/>
    <d v="2024-03-13T00:00:00"/>
    <s v="Yes"/>
    <n v="0"/>
    <n v="16585.560000000001"/>
    <x v="71"/>
    <n v="36"/>
    <d v="2023-06-06T00:00:00"/>
    <s v="G/ZOR"/>
    <s v="Location 4"/>
    <s v="Customer 3"/>
    <n v="36"/>
    <n v="460.71"/>
    <n v="16585.560000000001"/>
  </r>
  <r>
    <d v="2024-03-27T00:00:00"/>
    <d v="2024-03-27T00:00:00"/>
    <s v="Yes"/>
    <n v="0"/>
    <n v="16585.560000000001"/>
    <x v="71"/>
    <n v="36"/>
    <d v="2023-06-06T00:00:00"/>
    <s v="G/ZOR"/>
    <s v="Location 4"/>
    <s v="Customer 3"/>
    <n v="36"/>
    <n v="460.71"/>
    <n v="16585.560000000001"/>
  </r>
  <r>
    <d v="2024-05-15T00:00:00"/>
    <d v="2024-05-15T00:00:00"/>
    <s v="Yes"/>
    <n v="0"/>
    <n v="16585.560000000001"/>
    <x v="71"/>
    <n v="36"/>
    <d v="2023-06-06T00:00:00"/>
    <s v="G/ZOR"/>
    <s v="Location 4"/>
    <s v="Customer 3"/>
    <n v="36"/>
    <n v="460.71"/>
    <n v="16585.560000000001"/>
  </r>
  <r>
    <d v="2024-06-19T00:00:00"/>
    <d v="2024-06-19T00:00:00"/>
    <s v="Yes"/>
    <n v="0"/>
    <n v="16585.560000000001"/>
    <x v="71"/>
    <n v="36"/>
    <d v="2023-06-06T00:00:00"/>
    <s v="G/ZOR"/>
    <s v="Location 4"/>
    <s v="Customer 3"/>
    <n v="36"/>
    <n v="460.71"/>
    <n v="16585.560000000001"/>
  </r>
  <r>
    <d v="2024-06-04T00:00:00"/>
    <d v="2024-06-04T00:00:00"/>
    <s v="Yes"/>
    <n v="0"/>
    <n v="66342.240000000005"/>
    <x v="71"/>
    <n v="144"/>
    <d v="2023-06-07T00:00:00"/>
    <s v="G/ZOR"/>
    <s v="Location 4"/>
    <s v="Customer 3"/>
    <n v="144"/>
    <n v="460.71"/>
    <n v="66342.240000000005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71"/>
    <n v="288"/>
    <d v="2023-06-08T00:00:00"/>
    <s v="G/ZOR"/>
    <s v="Location 4"/>
    <s v="Customer 3"/>
    <n v="288"/>
    <n v="460.71"/>
    <n v="132684.48000000001"/>
  </r>
  <r>
    <d v="2024-07-11T00:00:00"/>
    <d v="2024-07-11T00:00:00"/>
    <s v="Yes"/>
    <n v="0"/>
    <n v="82927.8"/>
    <x v="71"/>
    <n v="180"/>
    <d v="2023-06-15T00:00:00"/>
    <s v="G/ZOR"/>
    <s v="Location 4"/>
    <s v="Customer 3"/>
    <n v="180"/>
    <n v="460.71"/>
    <n v="82927.8"/>
  </r>
  <r>
    <d v="2024-06-26T00:00:00"/>
    <d v="2024-06-26T00:00:00"/>
    <s v="Yes"/>
    <n v="0"/>
    <n v="16585.560000000001"/>
    <x v="71"/>
    <n v="36"/>
    <d v="2023-06-21T00:00:00"/>
    <s v="G/ZOR"/>
    <s v="Location 4"/>
    <s v="Customer 3"/>
    <n v="36"/>
    <n v="460.71"/>
    <n v="16585.560000000001"/>
  </r>
  <r>
    <d v="2023-12-26T00:00:00"/>
    <d v="2023-12-26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1-16T00:00:00"/>
    <d v="2024-01-16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1-16T00:00:00"/>
    <d v="2024-01-16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3-13T00:00:00"/>
    <d v="2024-03-13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3-27T00:00:00"/>
    <d v="2024-03-27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4-17T00:00:00"/>
    <d v="2024-04-17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4-24T00:00:00"/>
    <d v="2024-04-24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6-12T00:00:00"/>
    <d v="2024-06-12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6-26T00:00:00"/>
    <d v="2024-06-26T00:00:00"/>
    <s v="Yes"/>
    <n v="0"/>
    <n v="165855.6"/>
    <x v="71"/>
    <n v="360"/>
    <d v="2023-06-22T00:00:00"/>
    <s v="G/ZOR"/>
    <s v="Location 4"/>
    <s v="Customer 3"/>
    <n v="360"/>
    <n v="460.71"/>
    <n v="165855.6"/>
  </r>
  <r>
    <d v="2024-07-02T00:00:00"/>
    <d v="2024-07-02T00:00:00"/>
    <s v="Yes"/>
    <n v="0"/>
    <n v="49756.68"/>
    <x v="71"/>
    <n v="108"/>
    <d v="2023-06-22T00:00:00"/>
    <s v="G/ZOR"/>
    <s v="Location 4"/>
    <s v="Customer 3"/>
    <n v="108"/>
    <n v="460.71"/>
    <n v="49756.68"/>
  </r>
  <r>
    <d v="2024-07-02T00:00:00"/>
    <d v="2024-07-02T00:00:00"/>
    <s v="Yes"/>
    <n v="0"/>
    <n v="49756.68"/>
    <x v="71"/>
    <n v="108"/>
    <d v="2023-06-22T00:00:00"/>
    <s v="G/ZOR"/>
    <s v="Location 4"/>
    <s v="Customer 3"/>
    <n v="108"/>
    <n v="460.71"/>
    <n v="49756.68"/>
  </r>
  <r>
    <d v="2024-07-03T00:00:00"/>
    <d v="2024-07-03T00:00:00"/>
    <s v="Yes"/>
    <n v="0"/>
    <n v="49756.68"/>
    <x v="71"/>
    <n v="108"/>
    <d v="2023-06-22T00:00:00"/>
    <s v="G/ZOR"/>
    <s v="Location 4"/>
    <s v="Customer 3"/>
    <n v="108"/>
    <n v="460.71"/>
    <n v="49756.68"/>
  </r>
  <r>
    <d v="2024-07-09T00:00:00"/>
    <d v="2024-07-09T00:00:00"/>
    <s v="Yes"/>
    <n v="0"/>
    <n v="165855.6"/>
    <x v="71"/>
    <n v="360"/>
    <d v="2023-08-02T00:00:00"/>
    <s v="G/ZOR"/>
    <s v="Location 4"/>
    <s v="Customer 3"/>
    <n v="360"/>
    <n v="460.71"/>
    <n v="165855.6"/>
  </r>
  <r>
    <d v="2024-07-16T00:00:00"/>
    <d v="2024-07-16T00:00:00"/>
    <s v="Yes"/>
    <n v="0"/>
    <n v="165855.6"/>
    <x v="71"/>
    <n v="360"/>
    <d v="2023-08-02T00:00:00"/>
    <s v="G/ZOR"/>
    <s v="Location 4"/>
    <s v="Customer 3"/>
    <n v="360"/>
    <n v="460.71"/>
    <n v="165855.6"/>
  </r>
  <r>
    <d v="2024-07-30T00:00:00"/>
    <d v="2024-07-30T00:00:00"/>
    <s v="Yes"/>
    <n v="0"/>
    <n v="165855.6"/>
    <x v="71"/>
    <n v="360"/>
    <d v="2023-08-02T00:00:00"/>
    <s v="G/ZOR"/>
    <s v="Location 4"/>
    <s v="Customer 3"/>
    <n v="360"/>
    <n v="460.71"/>
    <n v="165855.6"/>
  </r>
  <r>
    <d v="2024-07-30T00:00:00"/>
    <d v="2024-07-30T00:00:00"/>
    <s v="Yes"/>
    <n v="0"/>
    <n v="165855.6"/>
    <x v="71"/>
    <n v="360"/>
    <d v="2023-08-02T00:00:00"/>
    <s v="G/ZOR"/>
    <s v="Location 4"/>
    <s v="Customer 3"/>
    <n v="360"/>
    <n v="460.71"/>
    <n v="165855.6"/>
  </r>
  <r>
    <d v="2024-09-16T00:00:00"/>
    <d v="2024-08-27T00:00:00"/>
    <s v="No"/>
    <n v="20"/>
    <n v="149270.04"/>
    <x v="71"/>
    <n v="324"/>
    <d v="2023-08-17T00:00:00"/>
    <s v="G/ZOR"/>
    <s v="Location 4"/>
    <s v="Customer 3"/>
    <n v="324"/>
    <n v="460.71"/>
    <n v="149270.04"/>
  </r>
  <r>
    <d v="2024-02-12T00:00:00"/>
    <d v="2024-02-12T00:00:00"/>
    <s v="Yes"/>
    <n v="0"/>
    <n v="0"/>
    <x v="93"/>
    <n v="42240"/>
    <d v="2023-04-24T00:00:00"/>
    <s v="G/ZFC"/>
    <s v="Location 1"/>
    <s v="Customer 1"/>
    <n v="42240"/>
    <n v="0"/>
    <n v="0"/>
  </r>
  <r>
    <d v="2024-02-19T00:00:00"/>
    <d v="2024-02-19T00:00:00"/>
    <s v="Yes"/>
    <n v="0"/>
    <n v="0"/>
    <x v="93"/>
    <n v="31680"/>
    <d v="2023-04-24T00:00:00"/>
    <s v="G/ZFC"/>
    <s v="Location 1"/>
    <s v="Customer 1"/>
    <n v="31680"/>
    <n v="0"/>
    <n v="0"/>
  </r>
  <r>
    <d v="2024-02-26T00:00:00"/>
    <d v="2024-02-26T00:00:00"/>
    <s v="Yes"/>
    <n v="0"/>
    <n v="0"/>
    <x v="93"/>
    <n v="31680"/>
    <d v="2023-04-24T00:00:00"/>
    <s v="G/ZFC"/>
    <s v="Location 1"/>
    <s v="Customer 1"/>
    <n v="31680"/>
    <n v="0"/>
    <n v="0"/>
  </r>
  <r>
    <d v="2024-03-04T00:00:00"/>
    <d v="2024-03-04T00:00:00"/>
    <s v="Yes"/>
    <n v="0"/>
    <n v="0"/>
    <x v="93"/>
    <n v="52800"/>
    <d v="2023-04-24T00:00:00"/>
    <s v="G/ZFC"/>
    <s v="Location 1"/>
    <s v="Customer 1"/>
    <n v="52800"/>
    <n v="0"/>
    <n v="0"/>
  </r>
  <r>
    <d v="2024-03-11T00:00:00"/>
    <d v="2024-03-11T00:00:00"/>
    <s v="Yes"/>
    <n v="0"/>
    <n v="0"/>
    <x v="93"/>
    <n v="52800"/>
    <d v="2023-04-24T00:00:00"/>
    <s v="G/ZFC"/>
    <s v="Location 1"/>
    <s v="Customer 1"/>
    <n v="52800"/>
    <n v="0"/>
    <n v="0"/>
  </r>
  <r>
    <d v="2024-03-18T00:00:00"/>
    <d v="2024-03-18T00:00:00"/>
    <s v="Yes"/>
    <n v="0"/>
    <n v="0"/>
    <x v="93"/>
    <n v="52800"/>
    <d v="2023-04-24T00:00:00"/>
    <s v="G/ZFC"/>
    <s v="Location 1"/>
    <s v="Customer 1"/>
    <n v="52800"/>
    <n v="0"/>
    <n v="0"/>
  </r>
  <r>
    <d v="2024-03-25T00:00:00"/>
    <d v="2024-03-25T00:00:00"/>
    <s v="Yes"/>
    <n v="0"/>
    <n v="0"/>
    <x v="93"/>
    <n v="52800"/>
    <d v="2023-04-24T00:00:00"/>
    <s v="G/ZFC"/>
    <s v="Location 1"/>
    <s v="Customer 1"/>
    <n v="52800"/>
    <n v="0"/>
    <n v="0"/>
  </r>
  <r>
    <d v="2024-04-01T00:00:00"/>
    <d v="2024-04-01T00:00:00"/>
    <s v="Yes"/>
    <n v="0"/>
    <n v="0"/>
    <x v="93"/>
    <n v="52800"/>
    <d v="2023-04-24T00:00:00"/>
    <s v="G/ZFC"/>
    <s v="Location 1"/>
    <s v="Customer 1"/>
    <n v="52800"/>
    <n v="0"/>
    <n v="0"/>
  </r>
  <r>
    <d v="2024-04-08T00:00:00"/>
    <d v="2024-04-08T00:00:00"/>
    <s v="Yes"/>
    <n v="0"/>
    <n v="0"/>
    <x v="93"/>
    <n v="52800"/>
    <d v="2023-04-24T00:00:00"/>
    <s v="G/ZFC"/>
    <s v="Location 1"/>
    <s v="Customer 1"/>
    <n v="52800"/>
    <n v="0"/>
    <n v="0"/>
  </r>
  <r>
    <d v="2024-04-15T00:00:00"/>
    <d v="2024-04-15T00:00:00"/>
    <s v="Yes"/>
    <n v="0"/>
    <n v="0"/>
    <x v="93"/>
    <n v="52800"/>
    <d v="2023-04-24T00:00:00"/>
    <s v="G/ZFC"/>
    <s v="Location 1"/>
    <s v="Customer 1"/>
    <n v="52800"/>
    <n v="0"/>
    <n v="0"/>
  </r>
  <r>
    <d v="2024-04-22T00:00:00"/>
    <d v="2024-04-22T00:00:00"/>
    <s v="Yes"/>
    <n v="0"/>
    <n v="0"/>
    <x v="93"/>
    <n v="52800"/>
    <d v="2023-04-24T00:00:00"/>
    <s v="G/ZFC"/>
    <s v="Location 1"/>
    <s v="Customer 1"/>
    <n v="52800"/>
    <n v="0"/>
    <n v="0"/>
  </r>
  <r>
    <d v="2024-04-29T00:00:00"/>
    <d v="2024-04-29T00:00:00"/>
    <s v="Yes"/>
    <n v="0"/>
    <n v="0"/>
    <x v="93"/>
    <n v="52800"/>
    <d v="2023-04-24T00:00:00"/>
    <s v="G/ZFC"/>
    <s v="Location 1"/>
    <s v="Customer 1"/>
    <n v="52800"/>
    <n v="0"/>
    <n v="0"/>
  </r>
  <r>
    <d v="2024-05-06T00:00:00"/>
    <d v="2024-05-06T00:00:00"/>
    <s v="Yes"/>
    <n v="0"/>
    <n v="0"/>
    <x v="93"/>
    <n v="42240"/>
    <d v="2023-04-24T00:00:00"/>
    <s v="G/ZFC"/>
    <s v="Location 1"/>
    <s v="Customer 1"/>
    <n v="42240"/>
    <n v="0"/>
    <n v="0"/>
  </r>
  <r>
    <d v="2024-05-13T00:00:00"/>
    <d v="2024-05-13T00:00:00"/>
    <s v="Yes"/>
    <n v="0"/>
    <n v="0"/>
    <x v="93"/>
    <n v="52800"/>
    <d v="2023-04-24T00:00:00"/>
    <s v="G/ZFC"/>
    <s v="Location 1"/>
    <s v="Customer 1"/>
    <n v="52800"/>
    <n v="0"/>
    <n v="0"/>
  </r>
  <r>
    <d v="2024-05-20T00:00:00"/>
    <d v="2024-05-20T00:00:00"/>
    <s v="Yes"/>
    <n v="0"/>
    <n v="0"/>
    <x v="93"/>
    <n v="42240"/>
    <d v="2023-04-24T00:00:00"/>
    <s v="G/ZFC"/>
    <s v="Location 1"/>
    <s v="Customer 1"/>
    <n v="42240"/>
    <n v="0"/>
    <n v="0"/>
  </r>
  <r>
    <d v="2024-05-27T00:00:00"/>
    <d v="2024-05-27T00:00:00"/>
    <s v="Yes"/>
    <n v="0"/>
    <n v="0"/>
    <x v="93"/>
    <n v="42240"/>
    <d v="2023-04-24T00:00:00"/>
    <s v="G/ZFC"/>
    <s v="Location 1"/>
    <s v="Customer 1"/>
    <n v="42240"/>
    <n v="0"/>
    <n v="0"/>
  </r>
  <r>
    <d v="2024-06-03T00:00:00"/>
    <d v="2024-06-03T00:00:00"/>
    <s v="Yes"/>
    <n v="0"/>
    <n v="0"/>
    <x v="93"/>
    <n v="42240"/>
    <d v="2023-04-24T00:00:00"/>
    <s v="G/ZFC"/>
    <s v="Location 1"/>
    <s v="Customer 1"/>
    <n v="42240"/>
    <n v="0"/>
    <n v="0"/>
  </r>
  <r>
    <d v="2024-06-10T00:00:00"/>
    <d v="2024-06-10T00:00:00"/>
    <s v="Yes"/>
    <n v="0"/>
    <n v="0"/>
    <x v="93"/>
    <n v="42240"/>
    <d v="2023-04-24T00:00:00"/>
    <s v="G/ZFC"/>
    <s v="Location 1"/>
    <s v="Customer 1"/>
    <n v="42240"/>
    <n v="0"/>
    <n v="0"/>
  </r>
  <r>
    <d v="2024-06-24T00:00:00"/>
    <d v="2024-06-24T00:00:00"/>
    <s v="Yes"/>
    <n v="0"/>
    <n v="0"/>
    <x v="93"/>
    <n v="21120"/>
    <d v="2023-04-24T00:00:00"/>
    <s v="G/ZFC"/>
    <s v="Location 1"/>
    <s v="Customer 1"/>
    <n v="21120"/>
    <n v="0"/>
    <n v="0"/>
  </r>
  <r>
    <d v="2024-07-01T00:00:00"/>
    <d v="2024-07-01T00:00:00"/>
    <s v="Yes"/>
    <n v="0"/>
    <n v="0"/>
    <x v="93"/>
    <n v="21120"/>
    <d v="2023-04-24T00:00:00"/>
    <s v="G/ZFC"/>
    <s v="Location 1"/>
    <s v="Customer 1"/>
    <n v="21120"/>
    <n v="0"/>
    <n v="0"/>
  </r>
  <r>
    <d v="2024-07-08T00:00:00"/>
    <d v="2024-07-08T00:00:00"/>
    <s v="Yes"/>
    <n v="0"/>
    <n v="0"/>
    <x v="93"/>
    <n v="31680"/>
    <d v="2023-04-24T00:00:00"/>
    <s v="G/ZFC"/>
    <s v="Location 1"/>
    <s v="Customer 1"/>
    <n v="31680"/>
    <n v="0"/>
    <n v="0"/>
  </r>
  <r>
    <d v="2024-07-15T00:00:00"/>
    <d v="2024-07-15T00:00:00"/>
    <s v="Yes"/>
    <n v="0"/>
    <n v="0"/>
    <x v="93"/>
    <n v="21120"/>
    <d v="2023-04-24T00:00:00"/>
    <s v="G/ZFC"/>
    <s v="Location 1"/>
    <s v="Customer 1"/>
    <n v="21120"/>
    <n v="0"/>
    <n v="0"/>
  </r>
  <r>
    <d v="2024-07-22T00:00:00"/>
    <d v="2024-07-22T00:00:00"/>
    <s v="Yes"/>
    <n v="0"/>
    <n v="0"/>
    <x v="93"/>
    <n v="21120"/>
    <d v="2023-04-24T00:00:00"/>
    <s v="G/ZFC"/>
    <s v="Location 1"/>
    <s v="Customer 1"/>
    <n v="21120"/>
    <n v="0"/>
    <n v="0"/>
  </r>
  <r>
    <d v="2024-07-29T00:00:00"/>
    <d v="2024-07-29T00:00:00"/>
    <s v="Yes"/>
    <n v="0"/>
    <n v="0"/>
    <x v="93"/>
    <n v="21120"/>
    <d v="2023-04-24T00:00:00"/>
    <s v="G/ZFC"/>
    <s v="Location 1"/>
    <s v="Customer 1"/>
    <n v="21120"/>
    <n v="0"/>
    <n v="0"/>
  </r>
  <r>
    <d v="2024-08-05T00:00:00"/>
    <d v="2024-08-05T00:00:00"/>
    <s v="Yes"/>
    <n v="0"/>
    <n v="0"/>
    <x v="93"/>
    <n v="21120"/>
    <d v="2023-04-24T00:00:00"/>
    <s v="G/ZFC"/>
    <s v="Location 1"/>
    <s v="Customer 1"/>
    <n v="21120"/>
    <n v="0"/>
    <n v="0"/>
  </r>
  <r>
    <d v="2024-08-12T00:00:00"/>
    <d v="2024-08-12T00:00:00"/>
    <s v="Yes"/>
    <n v="0"/>
    <n v="0"/>
    <x v="93"/>
    <n v="21120"/>
    <d v="2023-04-24T00:00:00"/>
    <s v="G/ZFC"/>
    <s v="Location 1"/>
    <s v="Customer 1"/>
    <n v="21120"/>
    <n v="0"/>
    <n v="0"/>
  </r>
  <r>
    <d v="2024-08-19T00:00:00"/>
    <d v="2024-08-19T00:00:00"/>
    <s v="Yes"/>
    <n v="0"/>
    <n v="0"/>
    <x v="93"/>
    <n v="21120"/>
    <d v="2023-04-24T00:00:00"/>
    <s v="G/ZFC"/>
    <s v="Location 1"/>
    <s v="Customer 1"/>
    <n v="21120"/>
    <n v="0"/>
    <n v="0"/>
  </r>
  <r>
    <d v="2024-08-26T00:00:00"/>
    <d v="2024-08-26T00:00:00"/>
    <s v="Yes"/>
    <n v="0"/>
    <n v="0"/>
    <x v="93"/>
    <n v="21120"/>
    <d v="2023-04-24T00:00:00"/>
    <s v="G/ZFC"/>
    <s v="Location 1"/>
    <s v="Customer 1"/>
    <n v="21120"/>
    <n v="0"/>
    <n v="0"/>
  </r>
  <r>
    <d v="2024-09-02T00:00:00"/>
    <d v="2024-09-02T00:00:00"/>
    <s v="Yes"/>
    <n v="0"/>
    <n v="0"/>
    <x v="93"/>
    <n v="21120"/>
    <d v="2023-04-24T00:00:00"/>
    <s v="G/ZFC"/>
    <s v="Location 1"/>
    <s v="Customer 1"/>
    <n v="21120"/>
    <n v="0"/>
    <n v="0"/>
  </r>
  <r>
    <d v="2024-09-09T00:00:00"/>
    <d v="2024-09-09T00:00:00"/>
    <s v="Yes"/>
    <n v="0"/>
    <n v="0"/>
    <x v="93"/>
    <n v="31680"/>
    <d v="2023-04-24T00:00:00"/>
    <s v="G/ZFC"/>
    <s v="Location 1"/>
    <s v="Customer 1"/>
    <n v="31680"/>
    <n v="0"/>
    <n v="0"/>
  </r>
  <r>
    <d v="2024-09-16T00:00:00"/>
    <d v="2024-09-16T00:00:00"/>
    <s v="Yes"/>
    <n v="0"/>
    <n v="0"/>
    <x v="93"/>
    <n v="21120"/>
    <d v="2023-04-24T00:00:00"/>
    <s v="G/ZFC"/>
    <s v="Location 1"/>
    <s v="Customer 1"/>
    <n v="21120"/>
    <n v="0"/>
    <n v="0"/>
  </r>
  <r>
    <d v="2024-09-23T00:00:00"/>
    <d v="2024-09-23T00:00:00"/>
    <s v="Yes"/>
    <n v="0"/>
    <n v="0"/>
    <x v="93"/>
    <n v="21120"/>
    <d v="2023-04-24T00:00:00"/>
    <s v="G/ZFC"/>
    <s v="Location 1"/>
    <s v="Customer 1"/>
    <n v="21120"/>
    <n v="0"/>
    <n v="0"/>
  </r>
  <r>
    <d v="2024-09-30T00:00:00"/>
    <d v="2024-09-30T00:00:00"/>
    <s v="Yes"/>
    <n v="0"/>
    <n v="0"/>
    <x v="93"/>
    <n v="31680"/>
    <d v="2023-04-24T00:00:00"/>
    <s v="G/ZFC"/>
    <s v="Location 1"/>
    <s v="Customer 1"/>
    <n v="31680"/>
    <n v="0"/>
    <n v="0"/>
  </r>
  <r>
    <d v="2024-10-07T00:00:00"/>
    <d v="2024-10-07T00:00:00"/>
    <s v="Yes"/>
    <n v="0"/>
    <n v="0"/>
    <x v="93"/>
    <n v="21120"/>
    <d v="2023-04-24T00:00:00"/>
    <s v="G/ZFC"/>
    <s v="Location 1"/>
    <s v="Customer 1"/>
    <n v="21120"/>
    <n v="0"/>
    <n v="0"/>
  </r>
  <r>
    <d v="2024-10-14T00:00:00"/>
    <d v="2024-10-14T00:00:00"/>
    <s v="Yes"/>
    <n v="0"/>
    <n v="0"/>
    <x v="93"/>
    <n v="21120"/>
    <d v="2023-04-24T00:00:00"/>
    <s v="G/ZFC"/>
    <s v="Location 1"/>
    <s v="Customer 1"/>
    <n v="21120"/>
    <n v="0"/>
    <n v="0"/>
  </r>
  <r>
    <d v="2024-10-21T00:00:00"/>
    <d v="2024-10-21T00:00:00"/>
    <s v="Yes"/>
    <n v="0"/>
    <n v="0"/>
    <x v="93"/>
    <n v="52800"/>
    <d v="2023-04-24T00:00:00"/>
    <s v="G/ZFC"/>
    <s v="Location 1"/>
    <s v="Customer 1"/>
    <n v="52800"/>
    <n v="0"/>
    <n v="0"/>
  </r>
  <r>
    <d v="2024-11-04T00:00:00"/>
    <d v="2024-11-04T00:00:00"/>
    <s v="Yes"/>
    <n v="0"/>
    <n v="0"/>
    <x v="93"/>
    <n v="21120"/>
    <d v="2023-04-24T00:00:00"/>
    <s v="G/ZFC"/>
    <s v="Location 1"/>
    <s v="Customer 1"/>
    <n v="21120"/>
    <n v="0"/>
    <n v="0"/>
  </r>
  <r>
    <d v="2024-11-11T00:00:00"/>
    <d v="2024-11-11T00:00:00"/>
    <s v="Yes"/>
    <n v="0"/>
    <n v="0"/>
    <x v="93"/>
    <n v="10560"/>
    <d v="2023-04-24T00:00:00"/>
    <s v="G/ZFC"/>
    <s v="Location 1"/>
    <s v="Customer 1"/>
    <n v="10560"/>
    <n v="0"/>
    <n v="0"/>
  </r>
  <r>
    <d v="2024-11-18T00:00:00"/>
    <d v="2024-11-18T00:00:00"/>
    <s v="Yes"/>
    <n v="0"/>
    <n v="0"/>
    <x v="93"/>
    <n v="21120"/>
    <d v="2023-04-24T00:00:00"/>
    <s v="G/ZFC"/>
    <s v="Location 1"/>
    <s v="Customer 1"/>
    <n v="21120"/>
    <n v="0"/>
    <n v="0"/>
  </r>
  <r>
    <d v="2024-11-25T00:00:00"/>
    <d v="2024-11-25T00:00:00"/>
    <s v="Yes"/>
    <n v="0"/>
    <n v="0"/>
    <x v="93"/>
    <n v="21120"/>
    <d v="2023-04-24T00:00:00"/>
    <s v="G/ZFC"/>
    <s v="Location 1"/>
    <s v="Customer 1"/>
    <n v="21120"/>
    <n v="0"/>
    <n v="0"/>
  </r>
  <r>
    <d v="2024-12-02T00:00:00"/>
    <d v="2024-12-02T00:00:00"/>
    <s v="Yes"/>
    <n v="0"/>
    <n v="0"/>
    <x v="93"/>
    <n v="31680"/>
    <d v="2023-04-24T00:00:00"/>
    <s v="G/ZFC"/>
    <s v="Location 1"/>
    <s v="Customer 1"/>
    <n v="31680"/>
    <n v="0"/>
    <n v="0"/>
  </r>
  <r>
    <d v="2024-12-09T00:00:00"/>
    <d v="2024-12-09T00:00:00"/>
    <s v="Yes"/>
    <n v="0"/>
    <n v="0"/>
    <x v="93"/>
    <n v="31680"/>
    <d v="2023-04-24T00:00:00"/>
    <s v="G/ZFC"/>
    <s v="Location 1"/>
    <s v="Customer 1"/>
    <n v="31680"/>
    <n v="0"/>
    <n v="0"/>
  </r>
  <r>
    <d v="2024-12-16T00:00:00"/>
    <d v="2024-12-16T00:00:00"/>
    <s v="Yes"/>
    <n v="0"/>
    <n v="0"/>
    <x v="93"/>
    <n v="42240"/>
    <d v="2023-04-24T00:00:00"/>
    <s v="G/ZFC"/>
    <s v="Location 1"/>
    <s v="Customer 1"/>
    <n v="42240"/>
    <n v="0"/>
    <n v="0"/>
  </r>
  <r>
    <d v="2024-01-01T00:00:00"/>
    <d v="2024-01-01T00:00:00"/>
    <s v="Yes"/>
    <n v="0"/>
    <n v="0"/>
    <x v="93"/>
    <n v="23760"/>
    <d v="2023-03-20T00:00:00"/>
    <s v="G/ZFC"/>
    <s v="Location 1"/>
    <s v="Customer 1"/>
    <n v="23760"/>
    <n v="0"/>
    <n v="0"/>
  </r>
  <r>
    <d v="2024-01-08T00:00:00"/>
    <d v="2024-01-08T00:00:00"/>
    <s v="Yes"/>
    <n v="0"/>
    <n v="0"/>
    <x v="93"/>
    <n v="34320"/>
    <d v="2023-03-20T00:00:00"/>
    <s v="G/ZFC"/>
    <s v="Location 1"/>
    <s v="Customer 1"/>
    <n v="34320"/>
    <n v="0"/>
    <n v="0"/>
  </r>
  <r>
    <d v="2024-01-15T00:00:00"/>
    <d v="2024-01-15T00:00:00"/>
    <s v="Yes"/>
    <n v="0"/>
    <n v="0"/>
    <x v="93"/>
    <n v="42240"/>
    <d v="2023-03-20T00:00:00"/>
    <s v="G/ZFC"/>
    <s v="Location 1"/>
    <s v="Customer 1"/>
    <n v="42240"/>
    <n v="0"/>
    <n v="0"/>
  </r>
  <r>
    <d v="2024-01-22T00:00:00"/>
    <d v="2024-01-22T00:00:00"/>
    <s v="Yes"/>
    <n v="0"/>
    <n v="0"/>
    <x v="93"/>
    <n v="42240"/>
    <d v="2023-03-20T00:00:00"/>
    <s v="G/ZFC"/>
    <s v="Location 1"/>
    <s v="Customer 1"/>
    <n v="42240"/>
    <n v="0"/>
    <n v="0"/>
  </r>
  <r>
    <d v="2024-01-29T00:00:00"/>
    <d v="2024-01-29T00:00:00"/>
    <s v="Yes"/>
    <n v="0"/>
    <n v="0"/>
    <x v="93"/>
    <n v="31680"/>
    <d v="2023-03-20T00:00:00"/>
    <s v="G/ZFC"/>
    <s v="Location 1"/>
    <s v="Customer 1"/>
    <n v="31680"/>
    <n v="0"/>
    <n v="0"/>
  </r>
  <r>
    <d v="2024-12-30T00:00:00"/>
    <d v="2024-12-30T00:00:00"/>
    <s v="Yes"/>
    <n v="0"/>
    <n v="0"/>
    <x v="93"/>
    <n v="21120"/>
    <d v="2023-07-12T00:00:00"/>
    <s v="G/ZFC"/>
    <s v="Location 1"/>
    <s v="Customer 1"/>
    <n v="21120"/>
    <n v="0"/>
    <n v="0"/>
  </r>
  <r>
    <d v="2025-01-06T00:00:00"/>
    <d v="2025-01-06T00:00:00"/>
    <s v="Yes"/>
    <n v="0"/>
    <n v="0"/>
    <x v="93"/>
    <n v="21120"/>
    <d v="2023-07-12T00:00:00"/>
    <s v="G/ZFC"/>
    <s v="Location 1"/>
    <s v="Customer 1"/>
    <n v="21120"/>
    <n v="0"/>
    <n v="0"/>
  </r>
  <r>
    <d v="2025-01-13T00:00:00"/>
    <d v="2025-01-13T00:00:00"/>
    <s v="Yes"/>
    <n v="0"/>
    <n v="0"/>
    <x v="93"/>
    <n v="31680"/>
    <d v="2023-07-12T00:00:00"/>
    <s v="G/ZFC"/>
    <s v="Location 1"/>
    <s v="Customer 1"/>
    <n v="31680"/>
    <n v="0"/>
    <n v="0"/>
  </r>
  <r>
    <d v="2025-01-20T00:00:00"/>
    <d v="2025-01-20T00:00:00"/>
    <s v="Yes"/>
    <n v="0"/>
    <n v="0"/>
    <x v="93"/>
    <n v="21120"/>
    <d v="2023-07-12T00:00:00"/>
    <s v="G/ZFC"/>
    <s v="Location 1"/>
    <s v="Customer 1"/>
    <n v="21120"/>
    <n v="0"/>
    <n v="0"/>
  </r>
  <r>
    <d v="2025-01-27T00:00:00"/>
    <d v="2025-01-27T00:00:00"/>
    <s v="Yes"/>
    <n v="0"/>
    <n v="0"/>
    <x v="93"/>
    <n v="21120"/>
    <d v="2023-07-12T00:00:00"/>
    <s v="G/ZFC"/>
    <s v="Location 1"/>
    <s v="Customer 1"/>
    <n v="21120"/>
    <n v="0"/>
    <n v="0"/>
  </r>
  <r>
    <d v="2025-02-03T00:00:00"/>
    <d v="2025-02-03T00:00:00"/>
    <s v="Yes"/>
    <n v="0"/>
    <n v="0"/>
    <x v="93"/>
    <n v="21120"/>
    <d v="2023-07-12T00:00:00"/>
    <s v="G/ZFC"/>
    <s v="Location 1"/>
    <s v="Customer 1"/>
    <n v="21120"/>
    <n v="0"/>
    <n v="0"/>
  </r>
  <r>
    <d v="2025-02-10T00:00:00"/>
    <d v="2025-02-10T00:00:00"/>
    <s v="Yes"/>
    <n v="0"/>
    <n v="0"/>
    <x v="93"/>
    <n v="21120"/>
    <d v="2023-07-12T00:00:00"/>
    <s v="G/ZFC"/>
    <s v="Location 1"/>
    <s v="Customer 1"/>
    <n v="21120"/>
    <n v="0"/>
    <n v="0"/>
  </r>
  <r>
    <d v="2025-02-17T00:00:00"/>
    <d v="2025-02-17T00:00:00"/>
    <s v="Yes"/>
    <n v="0"/>
    <n v="0"/>
    <x v="93"/>
    <n v="21120"/>
    <d v="2023-07-12T00:00:00"/>
    <s v="G/ZFC"/>
    <s v="Location 1"/>
    <s v="Customer 1"/>
    <n v="21120"/>
    <n v="0"/>
    <n v="0"/>
  </r>
  <r>
    <d v="2025-02-24T00:00:00"/>
    <d v="2025-02-24T00:00:00"/>
    <s v="Yes"/>
    <n v="0"/>
    <n v="0"/>
    <x v="93"/>
    <n v="216480"/>
    <d v="2023-07-12T00:00:00"/>
    <s v="G/ZFC"/>
    <s v="Location 1"/>
    <s v="Customer 1"/>
    <n v="216480"/>
    <n v="0"/>
    <n v="0"/>
  </r>
  <r>
    <d v="2024-01-22T00:00:00"/>
    <d v="2024-01-22T00:00:00"/>
    <s v="Yes"/>
    <n v="0"/>
    <n v="0"/>
    <x v="94"/>
    <n v="21120"/>
    <d v="2023-04-24T00:00:00"/>
    <s v="G/ZFC"/>
    <s v="Location 1"/>
    <s v="Customer 1"/>
    <n v="21120"/>
    <n v="0"/>
    <n v="0"/>
  </r>
  <r>
    <d v="2024-01-29T00:00:00"/>
    <d v="2024-01-29T00:00:00"/>
    <s v="Yes"/>
    <n v="0"/>
    <n v="0"/>
    <x v="94"/>
    <n v="15840"/>
    <d v="2023-04-24T00:00:00"/>
    <s v="G/ZFC"/>
    <s v="Location 1"/>
    <s v="Customer 1"/>
    <n v="15840"/>
    <n v="0"/>
    <n v="0"/>
  </r>
  <r>
    <d v="2024-02-12T00:00:00"/>
    <d v="2024-02-12T00:00:00"/>
    <s v="Yes"/>
    <n v="0"/>
    <n v="0"/>
    <x v="94"/>
    <n v="21120"/>
    <d v="2023-04-24T00:00:00"/>
    <s v="G/ZFC"/>
    <s v="Location 1"/>
    <s v="Customer 1"/>
    <n v="21120"/>
    <n v="0"/>
    <n v="0"/>
  </r>
  <r>
    <d v="2024-02-19T00:00:00"/>
    <d v="2024-02-19T00:00:00"/>
    <s v="Yes"/>
    <n v="0"/>
    <n v="0"/>
    <x v="94"/>
    <n v="15840"/>
    <d v="2023-04-24T00:00:00"/>
    <s v="G/ZFC"/>
    <s v="Location 1"/>
    <s v="Customer 1"/>
    <n v="15840"/>
    <n v="0"/>
    <n v="0"/>
  </r>
  <r>
    <d v="2024-02-26T00:00:00"/>
    <d v="2024-02-26T00:00:00"/>
    <s v="Yes"/>
    <n v="0"/>
    <n v="0"/>
    <x v="94"/>
    <n v="15840"/>
    <d v="2023-04-24T00:00:00"/>
    <s v="G/ZFC"/>
    <s v="Location 1"/>
    <s v="Customer 1"/>
    <n v="15840"/>
    <n v="0"/>
    <n v="0"/>
  </r>
  <r>
    <d v="2024-03-04T00:00:00"/>
    <d v="2024-03-04T00:00:00"/>
    <s v="Yes"/>
    <n v="0"/>
    <n v="0"/>
    <x v="94"/>
    <n v="26400"/>
    <d v="2023-04-24T00:00:00"/>
    <s v="G/ZFC"/>
    <s v="Location 1"/>
    <s v="Customer 1"/>
    <n v="26400"/>
    <n v="0"/>
    <n v="0"/>
  </r>
  <r>
    <d v="2024-03-11T00:00:00"/>
    <d v="2024-03-11T00:00:00"/>
    <s v="Yes"/>
    <n v="0"/>
    <n v="0"/>
    <x v="94"/>
    <n v="26400"/>
    <d v="2023-04-24T00:00:00"/>
    <s v="G/ZFC"/>
    <s v="Location 1"/>
    <s v="Customer 1"/>
    <n v="26400"/>
    <n v="0"/>
    <n v="0"/>
  </r>
  <r>
    <d v="2024-03-18T00:00:00"/>
    <d v="2024-03-18T00:00:00"/>
    <s v="Yes"/>
    <n v="0"/>
    <n v="0"/>
    <x v="94"/>
    <n v="26400"/>
    <d v="2023-04-24T00:00:00"/>
    <s v="G/ZFC"/>
    <s v="Location 1"/>
    <s v="Customer 1"/>
    <n v="26400"/>
    <n v="0"/>
    <n v="0"/>
  </r>
  <r>
    <d v="2024-03-25T00:00:00"/>
    <d v="2024-03-25T00:00:00"/>
    <s v="Yes"/>
    <n v="0"/>
    <n v="0"/>
    <x v="94"/>
    <n v="26400"/>
    <d v="2023-04-24T00:00:00"/>
    <s v="G/ZFC"/>
    <s v="Location 1"/>
    <s v="Customer 1"/>
    <n v="26400"/>
    <n v="0"/>
    <n v="0"/>
  </r>
  <r>
    <d v="2024-04-01T00:00:00"/>
    <d v="2024-04-01T00:00:00"/>
    <s v="Yes"/>
    <n v="0"/>
    <n v="0"/>
    <x v="94"/>
    <n v="26400"/>
    <d v="2023-04-24T00:00:00"/>
    <s v="G/ZFC"/>
    <s v="Location 1"/>
    <s v="Customer 1"/>
    <n v="26400"/>
    <n v="0"/>
    <n v="0"/>
  </r>
  <r>
    <d v="2024-04-08T00:00:00"/>
    <d v="2024-04-08T00:00:00"/>
    <s v="Yes"/>
    <n v="0"/>
    <n v="0"/>
    <x v="94"/>
    <n v="26400"/>
    <d v="2023-04-24T00:00:00"/>
    <s v="G/ZFC"/>
    <s v="Location 1"/>
    <s v="Customer 1"/>
    <n v="26400"/>
    <n v="0"/>
    <n v="0"/>
  </r>
  <r>
    <d v="2024-04-15T00:00:00"/>
    <d v="2024-04-15T00:00:00"/>
    <s v="Yes"/>
    <n v="0"/>
    <n v="0"/>
    <x v="94"/>
    <n v="26400"/>
    <d v="2023-04-24T00:00:00"/>
    <s v="G/ZFC"/>
    <s v="Location 1"/>
    <s v="Customer 1"/>
    <n v="26400"/>
    <n v="0"/>
    <n v="0"/>
  </r>
  <r>
    <d v="2024-04-22T00:00:00"/>
    <d v="2024-04-22T00:00:00"/>
    <s v="Yes"/>
    <n v="0"/>
    <n v="0"/>
    <x v="94"/>
    <n v="26400"/>
    <d v="2023-04-24T00:00:00"/>
    <s v="G/ZFC"/>
    <s v="Location 1"/>
    <s v="Customer 1"/>
    <n v="26400"/>
    <n v="0"/>
    <n v="0"/>
  </r>
  <r>
    <d v="2024-04-29T00:00:00"/>
    <d v="2024-04-29T00:00:00"/>
    <s v="Yes"/>
    <n v="0"/>
    <n v="0"/>
    <x v="94"/>
    <n v="26400"/>
    <d v="2023-04-24T00:00:00"/>
    <s v="G/ZFC"/>
    <s v="Location 1"/>
    <s v="Customer 1"/>
    <n v="26400"/>
    <n v="0"/>
    <n v="0"/>
  </r>
  <r>
    <d v="2024-05-06T00:00:00"/>
    <d v="2024-05-06T00:00:00"/>
    <s v="Yes"/>
    <n v="0"/>
    <n v="0"/>
    <x v="94"/>
    <n v="21120"/>
    <d v="2023-04-24T00:00:00"/>
    <s v="G/ZFC"/>
    <s v="Location 1"/>
    <s v="Customer 1"/>
    <n v="21120"/>
    <n v="0"/>
    <n v="0"/>
  </r>
  <r>
    <d v="2024-05-13T00:00:00"/>
    <d v="2024-05-13T00:00:00"/>
    <s v="Yes"/>
    <n v="0"/>
    <n v="0"/>
    <x v="94"/>
    <n v="26400"/>
    <d v="2023-04-24T00:00:00"/>
    <s v="G/ZFC"/>
    <s v="Location 1"/>
    <s v="Customer 1"/>
    <n v="26400"/>
    <n v="0"/>
    <n v="0"/>
  </r>
  <r>
    <d v="2024-05-20T00:00:00"/>
    <d v="2024-05-20T00:00:00"/>
    <s v="Yes"/>
    <n v="0"/>
    <n v="0"/>
    <x v="94"/>
    <n v="21120"/>
    <d v="2023-04-24T00:00:00"/>
    <s v="G/ZFC"/>
    <s v="Location 1"/>
    <s v="Customer 1"/>
    <n v="21120"/>
    <n v="0"/>
    <n v="0"/>
  </r>
  <r>
    <d v="2024-05-27T00:00:00"/>
    <d v="2024-05-27T00:00:00"/>
    <s v="Yes"/>
    <n v="0"/>
    <n v="0"/>
    <x v="94"/>
    <n v="21120"/>
    <d v="2023-04-24T00:00:00"/>
    <s v="G/ZFC"/>
    <s v="Location 1"/>
    <s v="Customer 1"/>
    <n v="21120"/>
    <n v="0"/>
    <n v="0"/>
  </r>
  <r>
    <d v="2024-06-03T00:00:00"/>
    <d v="2024-06-03T00:00:00"/>
    <s v="Yes"/>
    <n v="0"/>
    <n v="0"/>
    <x v="94"/>
    <n v="21120"/>
    <d v="2023-04-24T00:00:00"/>
    <s v="G/ZFC"/>
    <s v="Location 1"/>
    <s v="Customer 1"/>
    <n v="21120"/>
    <n v="0"/>
    <n v="0"/>
  </r>
  <r>
    <d v="2024-06-10T00:00:00"/>
    <d v="2024-06-10T00:00:00"/>
    <s v="Yes"/>
    <n v="0"/>
    <n v="0"/>
    <x v="94"/>
    <n v="21120"/>
    <d v="2023-04-24T00:00:00"/>
    <s v="G/ZFC"/>
    <s v="Location 1"/>
    <s v="Customer 1"/>
    <n v="21120"/>
    <n v="0"/>
    <n v="0"/>
  </r>
  <r>
    <d v="2024-06-24T00:00:00"/>
    <d v="2024-06-24T00:00:00"/>
    <s v="Yes"/>
    <n v="0"/>
    <n v="0"/>
    <x v="94"/>
    <n v="10560"/>
    <d v="2023-04-24T00:00:00"/>
    <s v="G/ZFC"/>
    <s v="Location 1"/>
    <s v="Customer 1"/>
    <n v="10560"/>
    <n v="0"/>
    <n v="0"/>
  </r>
  <r>
    <d v="2024-07-01T00:00:00"/>
    <d v="2024-07-01T00:00:00"/>
    <s v="Yes"/>
    <n v="0"/>
    <n v="0"/>
    <x v="94"/>
    <n v="10560"/>
    <d v="2023-04-24T00:00:00"/>
    <s v="G/ZFC"/>
    <s v="Location 1"/>
    <s v="Customer 1"/>
    <n v="10560"/>
    <n v="0"/>
    <n v="0"/>
  </r>
  <r>
    <d v="2024-07-08T00:00:00"/>
    <d v="2024-07-08T00:00:00"/>
    <s v="Yes"/>
    <n v="0"/>
    <n v="0"/>
    <x v="94"/>
    <n v="15840"/>
    <d v="2023-04-24T00:00:00"/>
    <s v="G/ZFC"/>
    <s v="Location 1"/>
    <s v="Customer 1"/>
    <n v="15840"/>
    <n v="0"/>
    <n v="0"/>
  </r>
  <r>
    <d v="2024-07-15T00:00:00"/>
    <d v="2024-07-15T00:00:00"/>
    <s v="Yes"/>
    <n v="0"/>
    <n v="0"/>
    <x v="94"/>
    <n v="10560"/>
    <d v="2023-04-24T00:00:00"/>
    <s v="G/ZFC"/>
    <s v="Location 1"/>
    <s v="Customer 1"/>
    <n v="10560"/>
    <n v="0"/>
    <n v="0"/>
  </r>
  <r>
    <d v="2024-07-22T00:00:00"/>
    <d v="2024-07-22T00:00:00"/>
    <s v="Yes"/>
    <n v="0"/>
    <n v="0"/>
    <x v="94"/>
    <n v="10560"/>
    <d v="2023-04-24T00:00:00"/>
    <s v="G/ZFC"/>
    <s v="Location 1"/>
    <s v="Customer 1"/>
    <n v="10560"/>
    <n v="0"/>
    <n v="0"/>
  </r>
  <r>
    <d v="2024-07-29T00:00:00"/>
    <d v="2024-07-29T00:00:00"/>
    <s v="Yes"/>
    <n v="0"/>
    <n v="0"/>
    <x v="94"/>
    <n v="10560"/>
    <d v="2023-04-24T00:00:00"/>
    <s v="G/ZFC"/>
    <s v="Location 1"/>
    <s v="Customer 1"/>
    <n v="10560"/>
    <n v="0"/>
    <n v="0"/>
  </r>
  <r>
    <d v="2024-08-05T00:00:00"/>
    <d v="2024-08-05T00:00:00"/>
    <s v="Yes"/>
    <n v="0"/>
    <n v="0"/>
    <x v="94"/>
    <n v="10560"/>
    <d v="2023-04-24T00:00:00"/>
    <s v="G/ZFC"/>
    <s v="Location 1"/>
    <s v="Customer 1"/>
    <n v="10560"/>
    <n v="0"/>
    <n v="0"/>
  </r>
  <r>
    <d v="2024-08-12T00:00:00"/>
    <d v="2024-08-12T00:00:00"/>
    <s v="Yes"/>
    <n v="0"/>
    <n v="0"/>
    <x v="94"/>
    <n v="10560"/>
    <d v="2023-04-24T00:00:00"/>
    <s v="G/ZFC"/>
    <s v="Location 1"/>
    <s v="Customer 1"/>
    <n v="10560"/>
    <n v="0"/>
    <n v="0"/>
  </r>
  <r>
    <d v="2024-08-19T00:00:00"/>
    <d v="2024-08-19T00:00:00"/>
    <s v="Yes"/>
    <n v="0"/>
    <n v="0"/>
    <x v="94"/>
    <n v="10560"/>
    <d v="2023-04-24T00:00:00"/>
    <s v="G/ZFC"/>
    <s v="Location 1"/>
    <s v="Customer 1"/>
    <n v="10560"/>
    <n v="0"/>
    <n v="0"/>
  </r>
  <r>
    <d v="2024-08-26T00:00:00"/>
    <d v="2024-08-26T00:00:00"/>
    <s v="Yes"/>
    <n v="0"/>
    <n v="0"/>
    <x v="94"/>
    <n v="10560"/>
    <d v="2023-04-24T00:00:00"/>
    <s v="G/ZFC"/>
    <s v="Location 1"/>
    <s v="Customer 1"/>
    <n v="10560"/>
    <n v="0"/>
    <n v="0"/>
  </r>
  <r>
    <d v="2024-09-02T00:00:00"/>
    <d v="2024-09-02T00:00:00"/>
    <s v="Yes"/>
    <n v="0"/>
    <n v="0"/>
    <x v="94"/>
    <n v="10560"/>
    <d v="2023-04-24T00:00:00"/>
    <s v="G/ZFC"/>
    <s v="Location 1"/>
    <s v="Customer 1"/>
    <n v="10560"/>
    <n v="0"/>
    <n v="0"/>
  </r>
  <r>
    <d v="2024-09-09T00:00:00"/>
    <d v="2024-09-09T00:00:00"/>
    <s v="Yes"/>
    <n v="0"/>
    <n v="0"/>
    <x v="94"/>
    <n v="15840"/>
    <d v="2023-04-24T00:00:00"/>
    <s v="G/ZFC"/>
    <s v="Location 1"/>
    <s v="Customer 1"/>
    <n v="15840"/>
    <n v="0"/>
    <n v="0"/>
  </r>
  <r>
    <d v="2024-09-16T00:00:00"/>
    <d v="2024-09-16T00:00:00"/>
    <s v="Yes"/>
    <n v="0"/>
    <n v="0"/>
    <x v="94"/>
    <n v="10560"/>
    <d v="2023-04-24T00:00:00"/>
    <s v="G/ZFC"/>
    <s v="Location 1"/>
    <s v="Customer 1"/>
    <n v="10560"/>
    <n v="0"/>
    <n v="0"/>
  </r>
  <r>
    <d v="2024-09-23T00:00:00"/>
    <d v="2024-09-23T00:00:00"/>
    <s v="Yes"/>
    <n v="0"/>
    <n v="0"/>
    <x v="94"/>
    <n v="10560"/>
    <d v="2023-04-24T00:00:00"/>
    <s v="G/ZFC"/>
    <s v="Location 1"/>
    <s v="Customer 1"/>
    <n v="10560"/>
    <n v="0"/>
    <n v="0"/>
  </r>
  <r>
    <d v="2024-09-30T00:00:00"/>
    <d v="2024-09-30T00:00:00"/>
    <s v="Yes"/>
    <n v="0"/>
    <n v="0"/>
    <x v="94"/>
    <n v="15840"/>
    <d v="2023-04-24T00:00:00"/>
    <s v="G/ZFC"/>
    <s v="Location 1"/>
    <s v="Customer 1"/>
    <n v="15840"/>
    <n v="0"/>
    <n v="0"/>
  </r>
  <r>
    <d v="2024-10-07T00:00:00"/>
    <d v="2024-10-07T00:00:00"/>
    <s v="Yes"/>
    <n v="0"/>
    <n v="0"/>
    <x v="94"/>
    <n v="10560"/>
    <d v="2023-04-24T00:00:00"/>
    <s v="G/ZFC"/>
    <s v="Location 1"/>
    <s v="Customer 1"/>
    <n v="10560"/>
    <n v="0"/>
    <n v="0"/>
  </r>
  <r>
    <d v="2024-10-14T00:00:00"/>
    <d v="2024-10-14T00:00:00"/>
    <s v="Yes"/>
    <n v="0"/>
    <n v="0"/>
    <x v="94"/>
    <n v="10560"/>
    <d v="2023-04-24T00:00:00"/>
    <s v="G/ZFC"/>
    <s v="Location 1"/>
    <s v="Customer 1"/>
    <n v="10560"/>
    <n v="0"/>
    <n v="0"/>
  </r>
  <r>
    <d v="2024-10-21T00:00:00"/>
    <d v="2024-10-21T00:00:00"/>
    <s v="Yes"/>
    <n v="0"/>
    <n v="0"/>
    <x v="94"/>
    <n v="26400"/>
    <d v="2023-04-24T00:00:00"/>
    <s v="G/ZFC"/>
    <s v="Location 1"/>
    <s v="Customer 1"/>
    <n v="26400"/>
    <n v="0"/>
    <n v="0"/>
  </r>
  <r>
    <d v="2024-11-04T00:00:00"/>
    <d v="2024-11-04T00:00:00"/>
    <s v="Yes"/>
    <n v="0"/>
    <n v="0"/>
    <x v="94"/>
    <n v="10560"/>
    <d v="2023-04-24T00:00:00"/>
    <s v="G/ZFC"/>
    <s v="Location 1"/>
    <s v="Customer 1"/>
    <n v="10560"/>
    <n v="0"/>
    <n v="0"/>
  </r>
  <r>
    <d v="2024-11-11T00:00:00"/>
    <d v="2024-11-11T00:00:00"/>
    <s v="Yes"/>
    <n v="0"/>
    <n v="0"/>
    <x v="94"/>
    <n v="5280"/>
    <d v="2023-04-24T00:00:00"/>
    <s v="G/ZFC"/>
    <s v="Location 1"/>
    <s v="Customer 1"/>
    <n v="5280"/>
    <n v="0"/>
    <n v="0"/>
  </r>
  <r>
    <d v="2024-11-18T00:00:00"/>
    <d v="2024-11-18T00:00:00"/>
    <s v="Yes"/>
    <n v="0"/>
    <n v="0"/>
    <x v="94"/>
    <n v="10560"/>
    <d v="2023-04-24T00:00:00"/>
    <s v="G/ZFC"/>
    <s v="Location 1"/>
    <s v="Customer 1"/>
    <n v="10560"/>
    <n v="0"/>
    <n v="0"/>
  </r>
  <r>
    <d v="2024-11-25T00:00:00"/>
    <d v="2024-11-25T00:00:00"/>
    <s v="Yes"/>
    <n v="0"/>
    <n v="0"/>
    <x v="94"/>
    <n v="10560"/>
    <d v="2023-04-24T00:00:00"/>
    <s v="G/ZFC"/>
    <s v="Location 1"/>
    <s v="Customer 1"/>
    <n v="10560"/>
    <n v="0"/>
    <n v="0"/>
  </r>
  <r>
    <d v="2024-12-02T00:00:00"/>
    <d v="2024-12-02T00:00:00"/>
    <s v="Yes"/>
    <n v="0"/>
    <n v="0"/>
    <x v="94"/>
    <n v="15840"/>
    <d v="2023-04-24T00:00:00"/>
    <s v="G/ZFC"/>
    <s v="Location 1"/>
    <s v="Customer 1"/>
    <n v="15840"/>
    <n v="0"/>
    <n v="0"/>
  </r>
  <r>
    <d v="2024-12-09T00:00:00"/>
    <d v="2024-12-09T00:00:00"/>
    <s v="Yes"/>
    <n v="0"/>
    <n v="0"/>
    <x v="94"/>
    <n v="15840"/>
    <d v="2023-04-24T00:00:00"/>
    <s v="G/ZFC"/>
    <s v="Location 1"/>
    <s v="Customer 1"/>
    <n v="15840"/>
    <n v="0"/>
    <n v="0"/>
  </r>
  <r>
    <d v="2024-12-16T00:00:00"/>
    <d v="2024-12-16T00:00:00"/>
    <s v="Yes"/>
    <n v="0"/>
    <n v="0"/>
    <x v="94"/>
    <n v="21120"/>
    <d v="2023-04-24T00:00:00"/>
    <s v="G/ZFC"/>
    <s v="Location 1"/>
    <s v="Customer 1"/>
    <n v="21120"/>
    <n v="0"/>
    <n v="0"/>
  </r>
  <r>
    <d v="2024-01-01T00:00:00"/>
    <d v="2024-01-01T00:00:00"/>
    <s v="Yes"/>
    <n v="0"/>
    <n v="0"/>
    <x v="94"/>
    <n v="2640"/>
    <d v="2023-03-20T00:00:00"/>
    <s v="G/ZFC"/>
    <s v="Location 1"/>
    <s v="Customer 1"/>
    <n v="2640"/>
    <n v="0"/>
    <n v="0"/>
  </r>
  <r>
    <d v="2024-01-08T00:00:00"/>
    <d v="2024-01-08T00:00:00"/>
    <s v="Yes"/>
    <n v="0"/>
    <n v="0"/>
    <x v="94"/>
    <n v="15840"/>
    <d v="2023-03-20T00:00:00"/>
    <s v="G/ZFC"/>
    <s v="Location 1"/>
    <s v="Customer 1"/>
    <n v="15840"/>
    <n v="0"/>
    <n v="0"/>
  </r>
  <r>
    <d v="2024-01-15T00:00:00"/>
    <d v="2024-01-15T00:00:00"/>
    <s v="Yes"/>
    <n v="0"/>
    <n v="0"/>
    <x v="94"/>
    <n v="21120"/>
    <d v="2023-03-20T00:00:00"/>
    <s v="G/ZFC"/>
    <s v="Location 1"/>
    <s v="Customer 1"/>
    <n v="21120"/>
    <n v="0"/>
    <n v="0"/>
  </r>
  <r>
    <d v="2024-12-30T00:00:00"/>
    <d v="2024-12-30T00:00:00"/>
    <s v="Yes"/>
    <n v="0"/>
    <n v="0"/>
    <x v="94"/>
    <n v="10560"/>
    <d v="2023-07-12T00:00:00"/>
    <s v="G/ZFC"/>
    <s v="Location 1"/>
    <s v="Customer 1"/>
    <n v="10560"/>
    <n v="0"/>
    <n v="0"/>
  </r>
  <r>
    <d v="2025-01-06T00:00:00"/>
    <d v="2025-01-06T00:00:00"/>
    <s v="Yes"/>
    <n v="0"/>
    <n v="0"/>
    <x v="94"/>
    <n v="10560"/>
    <d v="2023-07-12T00:00:00"/>
    <s v="G/ZFC"/>
    <s v="Location 1"/>
    <s v="Customer 1"/>
    <n v="10560"/>
    <n v="0"/>
    <n v="0"/>
  </r>
  <r>
    <d v="2025-01-13T00:00:00"/>
    <d v="2025-01-13T00:00:00"/>
    <s v="Yes"/>
    <n v="0"/>
    <n v="0"/>
    <x v="94"/>
    <n v="15840"/>
    <d v="2023-07-12T00:00:00"/>
    <s v="G/ZFC"/>
    <s v="Location 1"/>
    <s v="Customer 1"/>
    <n v="15840"/>
    <n v="0"/>
    <n v="0"/>
  </r>
  <r>
    <d v="2025-01-20T00:00:00"/>
    <d v="2025-01-20T00:00:00"/>
    <s v="Yes"/>
    <n v="0"/>
    <n v="0"/>
    <x v="94"/>
    <n v="10560"/>
    <d v="2023-07-12T00:00:00"/>
    <s v="G/ZFC"/>
    <s v="Location 1"/>
    <s v="Customer 1"/>
    <n v="10560"/>
    <n v="0"/>
    <n v="0"/>
  </r>
  <r>
    <d v="2025-01-27T00:00:00"/>
    <d v="2025-01-27T00:00:00"/>
    <s v="Yes"/>
    <n v="0"/>
    <n v="0"/>
    <x v="94"/>
    <n v="10560"/>
    <d v="2023-07-12T00:00:00"/>
    <s v="G/ZFC"/>
    <s v="Location 1"/>
    <s v="Customer 1"/>
    <n v="10560"/>
    <n v="0"/>
    <n v="0"/>
  </r>
  <r>
    <d v="2025-02-03T00:00:00"/>
    <d v="2025-02-03T00:00:00"/>
    <s v="Yes"/>
    <n v="0"/>
    <n v="0"/>
    <x v="94"/>
    <n v="10560"/>
    <d v="2023-07-12T00:00:00"/>
    <s v="G/ZFC"/>
    <s v="Location 1"/>
    <s v="Customer 1"/>
    <n v="10560"/>
    <n v="0"/>
    <n v="0"/>
  </r>
  <r>
    <d v="2025-02-10T00:00:00"/>
    <d v="2025-02-10T00:00:00"/>
    <s v="Yes"/>
    <n v="0"/>
    <n v="0"/>
    <x v="94"/>
    <n v="10560"/>
    <d v="2023-07-12T00:00:00"/>
    <s v="G/ZFC"/>
    <s v="Location 1"/>
    <s v="Customer 1"/>
    <n v="10560"/>
    <n v="0"/>
    <n v="0"/>
  </r>
  <r>
    <d v="2025-02-17T00:00:00"/>
    <d v="2025-02-17T00:00:00"/>
    <s v="Yes"/>
    <n v="0"/>
    <n v="0"/>
    <x v="94"/>
    <n v="10560"/>
    <d v="2023-07-12T00:00:00"/>
    <s v="G/ZFC"/>
    <s v="Location 1"/>
    <s v="Customer 1"/>
    <n v="10560"/>
    <n v="0"/>
    <n v="0"/>
  </r>
  <r>
    <d v="2025-02-24T00:00:00"/>
    <d v="2025-02-24T00:00:00"/>
    <s v="Yes"/>
    <n v="0"/>
    <n v="0"/>
    <x v="94"/>
    <n v="108240"/>
    <d v="2023-07-12T00:00:00"/>
    <s v="G/ZFC"/>
    <s v="Location 1"/>
    <s v="Customer 1"/>
    <n v="108240"/>
    <n v="0"/>
    <n v="0"/>
  </r>
  <r>
    <d v="2023-12-25T00:00:00"/>
    <d v="2023-12-25T00:00:00"/>
    <s v="Yes"/>
    <n v="0"/>
    <n v="0"/>
    <x v="95"/>
    <n v="15840"/>
    <d v="2023-04-24T00:00:00"/>
    <s v="G/ZFC"/>
    <s v="Location 1"/>
    <s v="Customer 1"/>
    <n v="15840"/>
    <n v="0"/>
    <n v="0"/>
  </r>
  <r>
    <d v="2023-09-25T00:00:00"/>
    <d v="2023-09-25T00:00:00"/>
    <s v="Yes"/>
    <n v="0"/>
    <n v="0"/>
    <x v="95"/>
    <n v="15900"/>
    <d v="2023-03-20T00:00:00"/>
    <s v="G/ZFC"/>
    <s v="Location 1"/>
    <s v="Customer 1"/>
    <n v="15900"/>
    <n v="0"/>
    <n v="0"/>
  </r>
  <r>
    <d v="2023-10-02T00:00:00"/>
    <d v="2023-10-02T00:00:00"/>
    <s v="Yes"/>
    <n v="0"/>
    <n v="0"/>
    <x v="95"/>
    <n v="15900"/>
    <d v="2023-03-20T00:00:00"/>
    <s v="G/ZFC"/>
    <s v="Location 1"/>
    <s v="Customer 1"/>
    <n v="15900"/>
    <n v="0"/>
    <n v="0"/>
  </r>
  <r>
    <d v="2023-10-09T00:00:00"/>
    <d v="2023-10-09T00:00:00"/>
    <s v="Yes"/>
    <n v="0"/>
    <n v="0"/>
    <x v="95"/>
    <n v="15900"/>
    <d v="2023-03-20T00:00:00"/>
    <s v="G/ZFC"/>
    <s v="Location 1"/>
    <s v="Customer 1"/>
    <n v="15900"/>
    <n v="0"/>
    <n v="0"/>
  </r>
  <r>
    <d v="2023-10-16T00:00:00"/>
    <d v="2023-10-16T00:00:00"/>
    <s v="Yes"/>
    <n v="0"/>
    <n v="0"/>
    <x v="95"/>
    <n v="5300"/>
    <d v="2023-03-20T00:00:00"/>
    <s v="G/ZFC"/>
    <s v="Location 1"/>
    <s v="Customer 1"/>
    <n v="5300"/>
    <n v="0"/>
    <n v="0"/>
  </r>
  <r>
    <d v="2023-10-23T00:00:00"/>
    <d v="2023-10-23T00:00:00"/>
    <s v="Yes"/>
    <n v="0"/>
    <n v="0"/>
    <x v="95"/>
    <n v="15740"/>
    <d v="2023-03-20T00:00:00"/>
    <s v="G/ZFC"/>
    <s v="Location 1"/>
    <s v="Customer 1"/>
    <n v="15740"/>
    <n v="0"/>
    <n v="0"/>
  </r>
  <r>
    <d v="2023-10-30T00:00:00"/>
    <d v="2023-10-30T00:00:00"/>
    <s v="Yes"/>
    <n v="0"/>
    <n v="0"/>
    <x v="95"/>
    <n v="21140"/>
    <d v="2023-03-20T00:00:00"/>
    <s v="G/ZFC"/>
    <s v="Location 1"/>
    <s v="Customer 1"/>
    <n v="21140"/>
    <n v="0"/>
    <n v="0"/>
  </r>
  <r>
    <d v="2023-11-06T00:00:00"/>
    <d v="2023-11-06T00:00:00"/>
    <s v="Yes"/>
    <n v="0"/>
    <n v="0"/>
    <x v="95"/>
    <n v="15840"/>
    <d v="2023-03-20T00:00:00"/>
    <s v="G/ZFC"/>
    <s v="Location 1"/>
    <s v="Customer 1"/>
    <n v="15840"/>
    <n v="0"/>
    <n v="0"/>
  </r>
  <r>
    <d v="2023-11-13T00:00:00"/>
    <d v="2023-11-13T00:00:00"/>
    <s v="Yes"/>
    <n v="0"/>
    <n v="0"/>
    <x v="95"/>
    <n v="18520"/>
    <d v="2023-03-20T00:00:00"/>
    <s v="G/ZFC"/>
    <s v="Location 1"/>
    <s v="Customer 1"/>
    <n v="18520"/>
    <n v="0"/>
    <n v="0"/>
  </r>
  <r>
    <d v="2023-11-20T00:00:00"/>
    <d v="2023-11-20T00:00:00"/>
    <s v="Yes"/>
    <n v="0"/>
    <n v="0"/>
    <x v="95"/>
    <n v="12101"/>
    <d v="2023-03-20T00:00:00"/>
    <s v="G/ZFC"/>
    <s v="Location 1"/>
    <s v="Customer 1"/>
    <n v="12101"/>
    <n v="0"/>
    <n v="0"/>
  </r>
  <r>
    <d v="2023-11-27T00:00:00"/>
    <d v="2023-11-27T00:00:00"/>
    <s v="Yes"/>
    <n v="0"/>
    <n v="0"/>
    <x v="95"/>
    <n v="6096"/>
    <d v="2023-03-20T00:00:00"/>
    <s v="G/ZFC"/>
    <s v="Location 1"/>
    <s v="Customer 1"/>
    <n v="6096"/>
    <n v="0"/>
    <n v="0"/>
  </r>
  <r>
    <d v="2023-12-04T00:00:00"/>
    <d v="2023-12-04T00:00:00"/>
    <s v="Yes"/>
    <n v="0"/>
    <n v="0"/>
    <x v="95"/>
    <n v="15840"/>
    <d v="2023-03-20T00:00:00"/>
    <s v="G/ZFC"/>
    <s v="Location 1"/>
    <s v="Customer 1"/>
    <n v="15840"/>
    <n v="0"/>
    <n v="0"/>
  </r>
  <r>
    <d v="2023-12-11T00:00:00"/>
    <d v="2023-12-11T00:00:00"/>
    <s v="Yes"/>
    <n v="0"/>
    <n v="0"/>
    <x v="95"/>
    <n v="15840"/>
    <d v="2023-03-20T00:00:00"/>
    <s v="G/ZFC"/>
    <s v="Location 1"/>
    <s v="Customer 1"/>
    <n v="15840"/>
    <n v="0"/>
    <n v="0"/>
  </r>
  <r>
    <d v="2024-01-01T00:00:00"/>
    <d v="2024-01-01T00:00:00"/>
    <s v="Yes"/>
    <n v="0"/>
    <n v="0"/>
    <x v="95"/>
    <n v="21120"/>
    <d v="2023-04-24T00:00:00"/>
    <s v="G/ZFC"/>
    <s v="Location 1"/>
    <s v="Customer 1"/>
    <n v="21120"/>
    <n v="0"/>
    <n v="0"/>
  </r>
  <r>
    <d v="2024-01-08T00:00:00"/>
    <d v="2024-01-08T00:00:00"/>
    <s v="Yes"/>
    <n v="0"/>
    <n v="0"/>
    <x v="95"/>
    <n v="18480"/>
    <d v="2023-04-24T00:00:00"/>
    <s v="G/ZFC"/>
    <s v="Location 1"/>
    <s v="Customer 1"/>
    <n v="18480"/>
    <n v="0"/>
    <n v="0"/>
  </r>
  <r>
    <d v="2024-01-15T00:00:00"/>
    <d v="2024-01-15T00:00:00"/>
    <s v="Yes"/>
    <n v="0"/>
    <n v="0"/>
    <x v="95"/>
    <n v="21120"/>
    <d v="2023-04-24T00:00:00"/>
    <s v="G/ZFC"/>
    <s v="Location 1"/>
    <s v="Customer 1"/>
    <n v="21120"/>
    <n v="0"/>
    <n v="0"/>
  </r>
  <r>
    <d v="2024-01-22T00:00:00"/>
    <d v="2024-01-22T00:00:00"/>
    <s v="Yes"/>
    <n v="0"/>
    <n v="0"/>
    <x v="95"/>
    <n v="21120"/>
    <d v="2023-04-24T00:00:00"/>
    <s v="G/ZFC"/>
    <s v="Location 1"/>
    <s v="Customer 1"/>
    <n v="21120"/>
    <n v="0"/>
    <n v="0"/>
  </r>
  <r>
    <d v="2024-01-29T00:00:00"/>
    <d v="2024-01-29T00:00:00"/>
    <s v="Yes"/>
    <n v="0"/>
    <n v="0"/>
    <x v="95"/>
    <n v="15840"/>
    <d v="2023-04-24T00:00:00"/>
    <s v="G/ZFC"/>
    <s v="Location 1"/>
    <s v="Customer 1"/>
    <n v="15840"/>
    <n v="0"/>
    <n v="0"/>
  </r>
  <r>
    <d v="2024-02-12T00:00:00"/>
    <d v="2024-02-12T00:00:00"/>
    <s v="Yes"/>
    <n v="0"/>
    <n v="0"/>
    <x v="95"/>
    <n v="21120"/>
    <d v="2023-04-24T00:00:00"/>
    <s v="G/ZFC"/>
    <s v="Location 1"/>
    <s v="Customer 1"/>
    <n v="21120"/>
    <n v="0"/>
    <n v="0"/>
  </r>
  <r>
    <d v="2024-02-19T00:00:00"/>
    <d v="2024-02-19T00:00:00"/>
    <s v="Yes"/>
    <n v="0"/>
    <n v="0"/>
    <x v="95"/>
    <n v="15840"/>
    <d v="2023-04-24T00:00:00"/>
    <s v="G/ZFC"/>
    <s v="Location 1"/>
    <s v="Customer 1"/>
    <n v="15840"/>
    <n v="0"/>
    <n v="0"/>
  </r>
  <r>
    <d v="2024-02-26T00:00:00"/>
    <d v="2024-02-26T00:00:00"/>
    <s v="Yes"/>
    <n v="0"/>
    <n v="0"/>
    <x v="95"/>
    <n v="15840"/>
    <d v="2023-04-24T00:00:00"/>
    <s v="G/ZFC"/>
    <s v="Location 1"/>
    <s v="Customer 1"/>
    <n v="15840"/>
    <n v="0"/>
    <n v="0"/>
  </r>
  <r>
    <d v="2024-03-04T00:00:00"/>
    <d v="2024-03-04T00:00:00"/>
    <s v="Yes"/>
    <n v="0"/>
    <n v="0"/>
    <x v="95"/>
    <n v="26400"/>
    <d v="2023-04-24T00:00:00"/>
    <s v="G/ZFC"/>
    <s v="Location 1"/>
    <s v="Customer 1"/>
    <n v="26400"/>
    <n v="0"/>
    <n v="0"/>
  </r>
  <r>
    <d v="2024-03-11T00:00:00"/>
    <d v="2024-03-11T00:00:00"/>
    <s v="Yes"/>
    <n v="0"/>
    <n v="0"/>
    <x v="95"/>
    <n v="26400"/>
    <d v="2023-04-24T00:00:00"/>
    <s v="G/ZFC"/>
    <s v="Location 1"/>
    <s v="Customer 1"/>
    <n v="26400"/>
    <n v="0"/>
    <n v="0"/>
  </r>
  <r>
    <d v="2024-03-18T00:00:00"/>
    <d v="2024-03-18T00:00:00"/>
    <s v="Yes"/>
    <n v="0"/>
    <n v="0"/>
    <x v="95"/>
    <n v="26400"/>
    <d v="2023-04-24T00:00:00"/>
    <s v="G/ZFC"/>
    <s v="Location 1"/>
    <s v="Customer 1"/>
    <n v="26400"/>
    <n v="0"/>
    <n v="0"/>
  </r>
  <r>
    <d v="2024-03-25T00:00:00"/>
    <d v="2024-03-25T00:00:00"/>
    <s v="Yes"/>
    <n v="0"/>
    <n v="0"/>
    <x v="95"/>
    <n v="26400"/>
    <d v="2023-04-24T00:00:00"/>
    <s v="G/ZFC"/>
    <s v="Location 1"/>
    <s v="Customer 1"/>
    <n v="26400"/>
    <n v="0"/>
    <n v="0"/>
  </r>
  <r>
    <d v="2024-04-01T00:00:00"/>
    <d v="2024-04-01T00:00:00"/>
    <s v="Yes"/>
    <n v="0"/>
    <n v="0"/>
    <x v="95"/>
    <n v="26400"/>
    <d v="2023-04-24T00:00:00"/>
    <s v="G/ZFC"/>
    <s v="Location 1"/>
    <s v="Customer 1"/>
    <n v="26400"/>
    <n v="0"/>
    <n v="0"/>
  </r>
  <r>
    <d v="2024-04-08T00:00:00"/>
    <d v="2024-04-08T00:00:00"/>
    <s v="Yes"/>
    <n v="0"/>
    <n v="0"/>
    <x v="95"/>
    <n v="26400"/>
    <d v="2023-04-24T00:00:00"/>
    <s v="G/ZFC"/>
    <s v="Location 1"/>
    <s v="Customer 1"/>
    <n v="26400"/>
    <n v="0"/>
    <n v="0"/>
  </r>
  <r>
    <d v="2024-04-15T00:00:00"/>
    <d v="2024-04-15T00:00:00"/>
    <s v="Yes"/>
    <n v="0"/>
    <n v="0"/>
    <x v="95"/>
    <n v="26400"/>
    <d v="2023-04-24T00:00:00"/>
    <s v="G/ZFC"/>
    <s v="Location 1"/>
    <s v="Customer 1"/>
    <n v="26400"/>
    <n v="0"/>
    <n v="0"/>
  </r>
  <r>
    <d v="2024-04-22T00:00:00"/>
    <d v="2024-04-22T00:00:00"/>
    <s v="Yes"/>
    <n v="0"/>
    <n v="0"/>
    <x v="95"/>
    <n v="26400"/>
    <d v="2023-04-24T00:00:00"/>
    <s v="G/ZFC"/>
    <s v="Location 1"/>
    <s v="Customer 1"/>
    <n v="26400"/>
    <n v="0"/>
    <n v="0"/>
  </r>
  <r>
    <d v="2024-04-29T00:00:00"/>
    <d v="2024-04-29T00:00:00"/>
    <s v="Yes"/>
    <n v="0"/>
    <n v="0"/>
    <x v="95"/>
    <n v="26400"/>
    <d v="2023-04-24T00:00:00"/>
    <s v="G/ZFC"/>
    <s v="Location 1"/>
    <s v="Customer 1"/>
    <n v="26400"/>
    <n v="0"/>
    <n v="0"/>
  </r>
  <r>
    <d v="2024-05-06T00:00:00"/>
    <d v="2024-05-06T00:00:00"/>
    <s v="Yes"/>
    <n v="0"/>
    <n v="0"/>
    <x v="95"/>
    <n v="21120"/>
    <d v="2023-04-24T00:00:00"/>
    <s v="G/ZFC"/>
    <s v="Location 1"/>
    <s v="Customer 1"/>
    <n v="21120"/>
    <n v="0"/>
    <n v="0"/>
  </r>
  <r>
    <d v="2024-05-13T00:00:00"/>
    <d v="2024-05-13T00:00:00"/>
    <s v="Yes"/>
    <n v="0"/>
    <n v="0"/>
    <x v="95"/>
    <n v="26400"/>
    <d v="2023-04-24T00:00:00"/>
    <s v="G/ZFC"/>
    <s v="Location 1"/>
    <s v="Customer 1"/>
    <n v="26400"/>
    <n v="0"/>
    <n v="0"/>
  </r>
  <r>
    <d v="2024-05-20T00:00:00"/>
    <d v="2024-05-20T00:00:00"/>
    <s v="Yes"/>
    <n v="0"/>
    <n v="0"/>
    <x v="95"/>
    <n v="21120"/>
    <d v="2023-04-24T00:00:00"/>
    <s v="G/ZFC"/>
    <s v="Location 1"/>
    <s v="Customer 1"/>
    <n v="21120"/>
    <n v="0"/>
    <n v="0"/>
  </r>
  <r>
    <d v="2024-05-27T00:00:00"/>
    <d v="2024-05-27T00:00:00"/>
    <s v="Yes"/>
    <n v="0"/>
    <n v="0"/>
    <x v="95"/>
    <n v="21120"/>
    <d v="2023-04-24T00:00:00"/>
    <s v="G/ZFC"/>
    <s v="Location 1"/>
    <s v="Customer 1"/>
    <n v="21120"/>
    <n v="0"/>
    <n v="0"/>
  </r>
  <r>
    <d v="2024-06-03T00:00:00"/>
    <d v="2024-06-03T00:00:00"/>
    <s v="Yes"/>
    <n v="0"/>
    <n v="0"/>
    <x v="95"/>
    <n v="21120"/>
    <d v="2023-04-24T00:00:00"/>
    <s v="G/ZFC"/>
    <s v="Location 1"/>
    <s v="Customer 1"/>
    <n v="21120"/>
    <n v="0"/>
    <n v="0"/>
  </r>
  <r>
    <d v="2024-06-10T00:00:00"/>
    <d v="2024-06-10T00:00:00"/>
    <s v="Yes"/>
    <n v="0"/>
    <n v="0"/>
    <x v="95"/>
    <n v="21120"/>
    <d v="2023-04-24T00:00:00"/>
    <s v="G/ZFC"/>
    <s v="Location 1"/>
    <s v="Customer 1"/>
    <n v="21120"/>
    <n v="0"/>
    <n v="0"/>
  </r>
  <r>
    <d v="2024-06-24T00:00:00"/>
    <d v="2024-06-24T00:00:00"/>
    <s v="Yes"/>
    <n v="0"/>
    <n v="0"/>
    <x v="95"/>
    <n v="10560"/>
    <d v="2023-04-24T00:00:00"/>
    <s v="G/ZFC"/>
    <s v="Location 1"/>
    <s v="Customer 1"/>
    <n v="10560"/>
    <n v="0"/>
    <n v="0"/>
  </r>
  <r>
    <d v="2024-07-01T00:00:00"/>
    <d v="2024-07-01T00:00:00"/>
    <s v="Yes"/>
    <n v="0"/>
    <n v="0"/>
    <x v="95"/>
    <n v="10560"/>
    <d v="2023-04-24T00:00:00"/>
    <s v="G/ZFC"/>
    <s v="Location 1"/>
    <s v="Customer 1"/>
    <n v="10560"/>
    <n v="0"/>
    <n v="0"/>
  </r>
  <r>
    <d v="2024-07-08T00:00:00"/>
    <d v="2024-07-08T00:00:00"/>
    <s v="Yes"/>
    <n v="0"/>
    <n v="0"/>
    <x v="95"/>
    <n v="15840"/>
    <d v="2023-04-24T00:00:00"/>
    <s v="G/ZFC"/>
    <s v="Location 1"/>
    <s v="Customer 1"/>
    <n v="15840"/>
    <n v="0"/>
    <n v="0"/>
  </r>
  <r>
    <d v="2024-07-15T00:00:00"/>
    <d v="2024-07-15T00:00:00"/>
    <s v="Yes"/>
    <n v="0"/>
    <n v="0"/>
    <x v="95"/>
    <n v="10560"/>
    <d v="2023-04-24T00:00:00"/>
    <s v="G/ZFC"/>
    <s v="Location 1"/>
    <s v="Customer 1"/>
    <n v="10560"/>
    <n v="0"/>
    <n v="0"/>
  </r>
  <r>
    <d v="2024-07-22T00:00:00"/>
    <d v="2024-07-22T00:00:00"/>
    <s v="Yes"/>
    <n v="0"/>
    <n v="0"/>
    <x v="95"/>
    <n v="10560"/>
    <d v="2023-04-24T00:00:00"/>
    <s v="G/ZFC"/>
    <s v="Location 1"/>
    <s v="Customer 1"/>
    <n v="10560"/>
    <n v="0"/>
    <n v="0"/>
  </r>
  <r>
    <d v="2024-07-29T00:00:00"/>
    <d v="2024-07-29T00:00:00"/>
    <s v="Yes"/>
    <n v="0"/>
    <n v="0"/>
    <x v="95"/>
    <n v="10560"/>
    <d v="2023-04-24T00:00:00"/>
    <s v="G/ZFC"/>
    <s v="Location 1"/>
    <s v="Customer 1"/>
    <n v="10560"/>
    <n v="0"/>
    <n v="0"/>
  </r>
  <r>
    <d v="2024-08-05T00:00:00"/>
    <d v="2024-08-05T00:00:00"/>
    <s v="Yes"/>
    <n v="0"/>
    <n v="0"/>
    <x v="95"/>
    <n v="10560"/>
    <d v="2023-04-24T00:00:00"/>
    <s v="G/ZFC"/>
    <s v="Location 1"/>
    <s v="Customer 1"/>
    <n v="10560"/>
    <n v="0"/>
    <n v="0"/>
  </r>
  <r>
    <d v="2024-08-12T00:00:00"/>
    <d v="2024-08-12T00:00:00"/>
    <s v="Yes"/>
    <n v="0"/>
    <n v="0"/>
    <x v="95"/>
    <n v="10560"/>
    <d v="2023-04-24T00:00:00"/>
    <s v="G/ZFC"/>
    <s v="Location 1"/>
    <s v="Customer 1"/>
    <n v="10560"/>
    <n v="0"/>
    <n v="0"/>
  </r>
  <r>
    <d v="2024-08-19T00:00:00"/>
    <d v="2024-08-19T00:00:00"/>
    <s v="Yes"/>
    <n v="0"/>
    <n v="0"/>
    <x v="95"/>
    <n v="10560"/>
    <d v="2023-04-24T00:00:00"/>
    <s v="G/ZFC"/>
    <s v="Location 1"/>
    <s v="Customer 1"/>
    <n v="10560"/>
    <n v="0"/>
    <n v="0"/>
  </r>
  <r>
    <d v="2024-08-26T00:00:00"/>
    <d v="2024-08-26T00:00:00"/>
    <s v="Yes"/>
    <n v="0"/>
    <n v="0"/>
    <x v="95"/>
    <n v="10560"/>
    <d v="2023-04-24T00:00:00"/>
    <s v="G/ZFC"/>
    <s v="Location 1"/>
    <s v="Customer 1"/>
    <n v="10560"/>
    <n v="0"/>
    <n v="0"/>
  </r>
  <r>
    <d v="2024-09-02T00:00:00"/>
    <d v="2024-09-02T00:00:00"/>
    <s v="Yes"/>
    <n v="0"/>
    <n v="0"/>
    <x v="95"/>
    <n v="10560"/>
    <d v="2023-04-24T00:00:00"/>
    <s v="G/ZFC"/>
    <s v="Location 1"/>
    <s v="Customer 1"/>
    <n v="10560"/>
    <n v="0"/>
    <n v="0"/>
  </r>
  <r>
    <d v="2024-09-09T00:00:00"/>
    <d v="2024-09-09T00:00:00"/>
    <s v="Yes"/>
    <n v="0"/>
    <n v="0"/>
    <x v="95"/>
    <n v="15840"/>
    <d v="2023-04-24T00:00:00"/>
    <s v="G/ZFC"/>
    <s v="Location 1"/>
    <s v="Customer 1"/>
    <n v="15840"/>
    <n v="0"/>
    <n v="0"/>
  </r>
  <r>
    <d v="2024-09-16T00:00:00"/>
    <d v="2024-09-16T00:00:00"/>
    <s v="Yes"/>
    <n v="0"/>
    <n v="0"/>
    <x v="95"/>
    <n v="10560"/>
    <d v="2023-04-24T00:00:00"/>
    <s v="G/ZFC"/>
    <s v="Location 1"/>
    <s v="Customer 1"/>
    <n v="10560"/>
    <n v="0"/>
    <n v="0"/>
  </r>
  <r>
    <d v="2024-09-23T00:00:00"/>
    <d v="2024-09-23T00:00:00"/>
    <s v="Yes"/>
    <n v="0"/>
    <n v="0"/>
    <x v="95"/>
    <n v="10560"/>
    <d v="2023-04-24T00:00:00"/>
    <s v="G/ZFC"/>
    <s v="Location 1"/>
    <s v="Customer 1"/>
    <n v="10560"/>
    <n v="0"/>
    <n v="0"/>
  </r>
  <r>
    <d v="2024-09-30T00:00:00"/>
    <d v="2024-09-30T00:00:00"/>
    <s v="Yes"/>
    <n v="0"/>
    <n v="0"/>
    <x v="95"/>
    <n v="15840"/>
    <d v="2023-04-24T00:00:00"/>
    <s v="G/ZFC"/>
    <s v="Location 1"/>
    <s v="Customer 1"/>
    <n v="15840"/>
    <n v="0"/>
    <n v="0"/>
  </r>
  <r>
    <d v="2024-10-07T00:00:00"/>
    <d v="2024-10-07T00:00:00"/>
    <s v="Yes"/>
    <n v="0"/>
    <n v="0"/>
    <x v="95"/>
    <n v="10560"/>
    <d v="2023-04-24T00:00:00"/>
    <s v="G/ZFC"/>
    <s v="Location 1"/>
    <s v="Customer 1"/>
    <n v="10560"/>
    <n v="0"/>
    <n v="0"/>
  </r>
  <r>
    <d v="2024-10-14T00:00:00"/>
    <d v="2024-10-14T00:00:00"/>
    <s v="Yes"/>
    <n v="0"/>
    <n v="0"/>
    <x v="95"/>
    <n v="10560"/>
    <d v="2023-04-24T00:00:00"/>
    <s v="G/ZFC"/>
    <s v="Location 1"/>
    <s v="Customer 1"/>
    <n v="10560"/>
    <n v="0"/>
    <n v="0"/>
  </r>
  <r>
    <d v="2024-10-21T00:00:00"/>
    <d v="2024-10-21T00:00:00"/>
    <s v="Yes"/>
    <n v="0"/>
    <n v="0"/>
    <x v="95"/>
    <n v="26400"/>
    <d v="2023-04-24T00:00:00"/>
    <s v="G/ZFC"/>
    <s v="Location 1"/>
    <s v="Customer 1"/>
    <n v="26400"/>
    <n v="0"/>
    <n v="0"/>
  </r>
  <r>
    <d v="2024-11-04T00:00:00"/>
    <d v="2024-11-04T00:00:00"/>
    <s v="Yes"/>
    <n v="0"/>
    <n v="0"/>
    <x v="95"/>
    <n v="10560"/>
    <d v="2023-04-24T00:00:00"/>
    <s v="G/ZFC"/>
    <s v="Location 1"/>
    <s v="Customer 1"/>
    <n v="10560"/>
    <n v="0"/>
    <n v="0"/>
  </r>
  <r>
    <d v="2024-11-11T00:00:00"/>
    <d v="2024-11-11T00:00:00"/>
    <s v="Yes"/>
    <n v="0"/>
    <n v="0"/>
    <x v="95"/>
    <n v="5280"/>
    <d v="2023-04-24T00:00:00"/>
    <s v="G/ZFC"/>
    <s v="Location 1"/>
    <s v="Customer 1"/>
    <n v="5280"/>
    <n v="0"/>
    <n v="0"/>
  </r>
  <r>
    <d v="2024-11-18T00:00:00"/>
    <d v="2024-11-18T00:00:00"/>
    <s v="Yes"/>
    <n v="0"/>
    <n v="0"/>
    <x v="95"/>
    <n v="10560"/>
    <d v="2023-04-24T00:00:00"/>
    <s v="G/ZFC"/>
    <s v="Location 1"/>
    <s v="Customer 1"/>
    <n v="10560"/>
    <n v="0"/>
    <n v="0"/>
  </r>
  <r>
    <d v="2024-11-25T00:00:00"/>
    <d v="2024-11-25T00:00:00"/>
    <s v="Yes"/>
    <n v="0"/>
    <n v="0"/>
    <x v="95"/>
    <n v="10560"/>
    <d v="2023-04-24T00:00:00"/>
    <s v="G/ZFC"/>
    <s v="Location 1"/>
    <s v="Customer 1"/>
    <n v="10560"/>
    <n v="0"/>
    <n v="0"/>
  </r>
  <r>
    <d v="2024-12-02T00:00:00"/>
    <d v="2024-12-02T00:00:00"/>
    <s v="Yes"/>
    <n v="0"/>
    <n v="0"/>
    <x v="95"/>
    <n v="15840"/>
    <d v="2023-04-24T00:00:00"/>
    <s v="G/ZFC"/>
    <s v="Location 1"/>
    <s v="Customer 1"/>
    <n v="15840"/>
    <n v="0"/>
    <n v="0"/>
  </r>
  <r>
    <d v="2024-12-09T00:00:00"/>
    <d v="2024-12-09T00:00:00"/>
    <s v="Yes"/>
    <n v="0"/>
    <n v="0"/>
    <x v="95"/>
    <n v="15840"/>
    <d v="2023-04-24T00:00:00"/>
    <s v="G/ZFC"/>
    <s v="Location 1"/>
    <s v="Customer 1"/>
    <n v="15840"/>
    <n v="0"/>
    <n v="0"/>
  </r>
  <r>
    <d v="2024-12-16T00:00:00"/>
    <d v="2024-12-16T00:00:00"/>
    <s v="Yes"/>
    <n v="0"/>
    <n v="0"/>
    <x v="95"/>
    <n v="21120"/>
    <d v="2023-04-24T00:00:00"/>
    <s v="G/ZFC"/>
    <s v="Location 1"/>
    <s v="Customer 1"/>
    <n v="21120"/>
    <n v="0"/>
    <n v="0"/>
  </r>
  <r>
    <d v="2024-12-30T00:00:00"/>
    <d v="2024-12-30T00:00:00"/>
    <s v="Yes"/>
    <n v="0"/>
    <n v="0"/>
    <x v="95"/>
    <n v="10560"/>
    <d v="2023-07-12T00:00:00"/>
    <s v="G/ZFC"/>
    <s v="Location 1"/>
    <s v="Customer 1"/>
    <n v="10560"/>
    <n v="0"/>
    <n v="0"/>
  </r>
  <r>
    <d v="2025-01-06T00:00:00"/>
    <d v="2025-01-06T00:00:00"/>
    <s v="Yes"/>
    <n v="0"/>
    <n v="0"/>
    <x v="95"/>
    <n v="10560"/>
    <d v="2023-07-12T00:00:00"/>
    <s v="G/ZFC"/>
    <s v="Location 1"/>
    <s v="Customer 1"/>
    <n v="10560"/>
    <n v="0"/>
    <n v="0"/>
  </r>
  <r>
    <d v="2025-01-13T00:00:00"/>
    <d v="2025-01-13T00:00:00"/>
    <s v="Yes"/>
    <n v="0"/>
    <n v="0"/>
    <x v="95"/>
    <n v="15840"/>
    <d v="2023-07-12T00:00:00"/>
    <s v="G/ZFC"/>
    <s v="Location 1"/>
    <s v="Customer 1"/>
    <n v="15840"/>
    <n v="0"/>
    <n v="0"/>
  </r>
  <r>
    <d v="2025-01-20T00:00:00"/>
    <d v="2025-01-20T00:00:00"/>
    <s v="Yes"/>
    <n v="0"/>
    <n v="0"/>
    <x v="95"/>
    <n v="10560"/>
    <d v="2023-07-12T00:00:00"/>
    <s v="G/ZFC"/>
    <s v="Location 1"/>
    <s v="Customer 1"/>
    <n v="10560"/>
    <n v="0"/>
    <n v="0"/>
  </r>
  <r>
    <d v="2025-01-27T00:00:00"/>
    <d v="2025-01-27T00:00:00"/>
    <s v="Yes"/>
    <n v="0"/>
    <n v="0"/>
    <x v="95"/>
    <n v="10560"/>
    <d v="2023-07-12T00:00:00"/>
    <s v="G/ZFC"/>
    <s v="Location 1"/>
    <s v="Customer 1"/>
    <n v="10560"/>
    <n v="0"/>
    <n v="0"/>
  </r>
  <r>
    <d v="2025-02-03T00:00:00"/>
    <d v="2025-02-03T00:00:00"/>
    <s v="Yes"/>
    <n v="0"/>
    <n v="0"/>
    <x v="95"/>
    <n v="10560"/>
    <d v="2023-07-12T00:00:00"/>
    <s v="G/ZFC"/>
    <s v="Location 1"/>
    <s v="Customer 1"/>
    <n v="10560"/>
    <n v="0"/>
    <n v="0"/>
  </r>
  <r>
    <d v="2025-02-10T00:00:00"/>
    <d v="2025-02-10T00:00:00"/>
    <s v="Yes"/>
    <n v="0"/>
    <n v="0"/>
    <x v="95"/>
    <n v="10560"/>
    <d v="2023-07-12T00:00:00"/>
    <s v="G/ZFC"/>
    <s v="Location 1"/>
    <s v="Customer 1"/>
    <n v="10560"/>
    <n v="0"/>
    <n v="0"/>
  </r>
  <r>
    <d v="2025-02-17T00:00:00"/>
    <d v="2025-02-17T00:00:00"/>
    <s v="Yes"/>
    <n v="0"/>
    <n v="0"/>
    <x v="95"/>
    <n v="10560"/>
    <d v="2023-07-12T00:00:00"/>
    <s v="G/ZFC"/>
    <s v="Location 1"/>
    <s v="Customer 1"/>
    <n v="10560"/>
    <n v="0"/>
    <n v="0"/>
  </r>
  <r>
    <d v="2025-02-24T00:00:00"/>
    <d v="2025-02-24T00:00:00"/>
    <s v="Yes"/>
    <n v="0"/>
    <n v="0"/>
    <x v="95"/>
    <n v="108240"/>
    <d v="2023-07-12T00:00:00"/>
    <s v="G/ZFC"/>
    <s v="Location 1"/>
    <s v="Customer 1"/>
    <n v="108240"/>
    <n v="0"/>
    <n v="0"/>
  </r>
  <r>
    <d v="2024-02-26T00:00:00"/>
    <d v="2024-02-26T00:00:00"/>
    <s v="Yes"/>
    <n v="0"/>
    <n v="0"/>
    <x v="96"/>
    <n v="15840"/>
    <d v="2023-04-24T00:00:00"/>
    <s v="G/ZFC"/>
    <s v="Location 1"/>
    <s v="Customer 1"/>
    <n v="15840"/>
    <n v="0"/>
    <n v="0"/>
  </r>
  <r>
    <d v="2024-03-04T00:00:00"/>
    <d v="2024-03-04T00:00:00"/>
    <s v="Yes"/>
    <n v="0"/>
    <n v="0"/>
    <x v="96"/>
    <n v="26400"/>
    <d v="2023-04-24T00:00:00"/>
    <s v="G/ZFC"/>
    <s v="Location 1"/>
    <s v="Customer 1"/>
    <n v="26400"/>
    <n v="0"/>
    <n v="0"/>
  </r>
  <r>
    <d v="2024-03-11T00:00:00"/>
    <d v="2024-03-11T00:00:00"/>
    <s v="Yes"/>
    <n v="0"/>
    <n v="0"/>
    <x v="96"/>
    <n v="26400"/>
    <d v="2023-04-24T00:00:00"/>
    <s v="G/ZFC"/>
    <s v="Location 1"/>
    <s v="Customer 1"/>
    <n v="26400"/>
    <n v="0"/>
    <n v="0"/>
  </r>
  <r>
    <d v="2024-03-18T00:00:00"/>
    <d v="2024-03-18T00:00:00"/>
    <s v="Yes"/>
    <n v="0"/>
    <n v="0"/>
    <x v="96"/>
    <n v="26400"/>
    <d v="2023-04-24T00:00:00"/>
    <s v="G/ZFC"/>
    <s v="Location 1"/>
    <s v="Customer 1"/>
    <n v="26400"/>
    <n v="0"/>
    <n v="0"/>
  </r>
  <r>
    <d v="2024-03-25T00:00:00"/>
    <d v="2024-03-25T00:00:00"/>
    <s v="Yes"/>
    <n v="0"/>
    <n v="0"/>
    <x v="96"/>
    <n v="26400"/>
    <d v="2023-04-24T00:00:00"/>
    <s v="G/ZFC"/>
    <s v="Location 1"/>
    <s v="Customer 1"/>
    <n v="26400"/>
    <n v="0"/>
    <n v="0"/>
  </r>
  <r>
    <d v="2024-04-01T00:00:00"/>
    <d v="2024-04-01T00:00:00"/>
    <s v="Yes"/>
    <n v="0"/>
    <n v="0"/>
    <x v="96"/>
    <n v="26400"/>
    <d v="2023-04-24T00:00:00"/>
    <s v="G/ZFC"/>
    <s v="Location 1"/>
    <s v="Customer 1"/>
    <n v="26400"/>
    <n v="0"/>
    <n v="0"/>
  </r>
  <r>
    <d v="2024-04-08T00:00:00"/>
    <d v="2024-04-08T00:00:00"/>
    <s v="Yes"/>
    <n v="0"/>
    <n v="0"/>
    <x v="96"/>
    <n v="26400"/>
    <d v="2023-04-24T00:00:00"/>
    <s v="G/ZFC"/>
    <s v="Location 1"/>
    <s v="Customer 1"/>
    <n v="26400"/>
    <n v="0"/>
    <n v="0"/>
  </r>
  <r>
    <d v="2024-04-15T00:00:00"/>
    <d v="2024-04-15T00:00:00"/>
    <s v="Yes"/>
    <n v="0"/>
    <n v="0"/>
    <x v="96"/>
    <n v="26400"/>
    <d v="2023-04-24T00:00:00"/>
    <s v="G/ZFC"/>
    <s v="Location 1"/>
    <s v="Customer 1"/>
    <n v="26400"/>
    <n v="0"/>
    <n v="0"/>
  </r>
  <r>
    <d v="2024-04-22T00:00:00"/>
    <d v="2024-04-22T00:00:00"/>
    <s v="Yes"/>
    <n v="0"/>
    <n v="0"/>
    <x v="96"/>
    <n v="26400"/>
    <d v="2023-04-24T00:00:00"/>
    <s v="G/ZFC"/>
    <s v="Location 1"/>
    <s v="Customer 1"/>
    <n v="26400"/>
    <n v="0"/>
    <n v="0"/>
  </r>
  <r>
    <d v="2024-04-29T00:00:00"/>
    <d v="2024-04-29T00:00:00"/>
    <s v="Yes"/>
    <n v="0"/>
    <n v="0"/>
    <x v="96"/>
    <n v="26400"/>
    <d v="2023-04-24T00:00:00"/>
    <s v="G/ZFC"/>
    <s v="Location 1"/>
    <s v="Customer 1"/>
    <n v="26400"/>
    <n v="0"/>
    <n v="0"/>
  </r>
  <r>
    <d v="2024-05-06T00:00:00"/>
    <d v="2024-05-06T00:00:00"/>
    <s v="Yes"/>
    <n v="0"/>
    <n v="0"/>
    <x v="96"/>
    <n v="21120"/>
    <d v="2023-04-24T00:00:00"/>
    <s v="G/ZFC"/>
    <s v="Location 1"/>
    <s v="Customer 1"/>
    <n v="21120"/>
    <n v="0"/>
    <n v="0"/>
  </r>
  <r>
    <d v="2024-05-13T00:00:00"/>
    <d v="2024-05-13T00:00:00"/>
    <s v="Yes"/>
    <n v="0"/>
    <n v="0"/>
    <x v="96"/>
    <n v="26400"/>
    <d v="2023-04-24T00:00:00"/>
    <s v="G/ZFC"/>
    <s v="Location 1"/>
    <s v="Customer 1"/>
    <n v="26400"/>
    <n v="0"/>
    <n v="0"/>
  </r>
  <r>
    <d v="2024-05-20T00:00:00"/>
    <d v="2024-05-20T00:00:00"/>
    <s v="Yes"/>
    <n v="0"/>
    <n v="0"/>
    <x v="96"/>
    <n v="21120"/>
    <d v="2023-04-24T00:00:00"/>
    <s v="G/ZFC"/>
    <s v="Location 1"/>
    <s v="Customer 1"/>
    <n v="21120"/>
    <n v="0"/>
    <n v="0"/>
  </r>
  <r>
    <d v="2024-05-27T00:00:00"/>
    <d v="2024-05-27T00:00:00"/>
    <s v="Yes"/>
    <n v="0"/>
    <n v="0"/>
    <x v="96"/>
    <n v="21120"/>
    <d v="2023-04-24T00:00:00"/>
    <s v="G/ZFC"/>
    <s v="Location 1"/>
    <s v="Customer 1"/>
    <n v="21120"/>
    <n v="0"/>
    <n v="0"/>
  </r>
  <r>
    <d v="2024-06-03T00:00:00"/>
    <d v="2024-06-03T00:00:00"/>
    <s v="Yes"/>
    <n v="0"/>
    <n v="0"/>
    <x v="96"/>
    <n v="21120"/>
    <d v="2023-04-24T00:00:00"/>
    <s v="G/ZFC"/>
    <s v="Location 1"/>
    <s v="Customer 1"/>
    <n v="21120"/>
    <n v="0"/>
    <n v="0"/>
  </r>
  <r>
    <d v="2024-06-10T00:00:00"/>
    <d v="2024-06-10T00:00:00"/>
    <s v="Yes"/>
    <n v="0"/>
    <n v="0"/>
    <x v="96"/>
    <n v="21120"/>
    <d v="2023-04-24T00:00:00"/>
    <s v="G/ZFC"/>
    <s v="Location 1"/>
    <s v="Customer 1"/>
    <n v="21120"/>
    <n v="0"/>
    <n v="0"/>
  </r>
  <r>
    <d v="2024-06-24T00:00:00"/>
    <d v="2024-06-24T00:00:00"/>
    <s v="Yes"/>
    <n v="0"/>
    <n v="0"/>
    <x v="96"/>
    <n v="10560"/>
    <d v="2023-04-24T00:00:00"/>
    <s v="G/ZFC"/>
    <s v="Location 1"/>
    <s v="Customer 1"/>
    <n v="10560"/>
    <n v="0"/>
    <n v="0"/>
  </r>
  <r>
    <d v="2024-07-01T00:00:00"/>
    <d v="2024-07-01T00:00:00"/>
    <s v="Yes"/>
    <n v="0"/>
    <n v="0"/>
    <x v="96"/>
    <n v="10560"/>
    <d v="2023-04-24T00:00:00"/>
    <s v="G/ZFC"/>
    <s v="Location 1"/>
    <s v="Customer 1"/>
    <n v="10560"/>
    <n v="0"/>
    <n v="0"/>
  </r>
  <r>
    <d v="2024-07-08T00:00:00"/>
    <d v="2024-07-08T00:00:00"/>
    <s v="Yes"/>
    <n v="0"/>
    <n v="0"/>
    <x v="96"/>
    <n v="15840"/>
    <d v="2023-04-24T00:00:00"/>
    <s v="G/ZFC"/>
    <s v="Location 1"/>
    <s v="Customer 1"/>
    <n v="15840"/>
    <n v="0"/>
    <n v="0"/>
  </r>
  <r>
    <d v="2024-07-15T00:00:00"/>
    <d v="2024-07-15T00:00:00"/>
    <s v="Yes"/>
    <n v="0"/>
    <n v="0"/>
    <x v="96"/>
    <n v="10560"/>
    <d v="2023-04-24T00:00:00"/>
    <s v="G/ZFC"/>
    <s v="Location 1"/>
    <s v="Customer 1"/>
    <n v="10560"/>
    <n v="0"/>
    <n v="0"/>
  </r>
  <r>
    <d v="2024-07-22T00:00:00"/>
    <d v="2024-07-22T00:00:00"/>
    <s v="Yes"/>
    <n v="0"/>
    <n v="0"/>
    <x v="96"/>
    <n v="10560"/>
    <d v="2023-04-24T00:00:00"/>
    <s v="G/ZFC"/>
    <s v="Location 1"/>
    <s v="Customer 1"/>
    <n v="10560"/>
    <n v="0"/>
    <n v="0"/>
  </r>
  <r>
    <d v="2024-07-29T00:00:00"/>
    <d v="2024-07-29T00:00:00"/>
    <s v="Yes"/>
    <n v="0"/>
    <n v="0"/>
    <x v="96"/>
    <n v="10560"/>
    <d v="2023-04-24T00:00:00"/>
    <s v="G/ZFC"/>
    <s v="Location 1"/>
    <s v="Customer 1"/>
    <n v="10560"/>
    <n v="0"/>
    <n v="0"/>
  </r>
  <r>
    <d v="2024-08-05T00:00:00"/>
    <d v="2024-08-05T00:00:00"/>
    <s v="Yes"/>
    <n v="0"/>
    <n v="0"/>
    <x v="96"/>
    <n v="10560"/>
    <d v="2023-04-24T00:00:00"/>
    <s v="G/ZFC"/>
    <s v="Location 1"/>
    <s v="Customer 1"/>
    <n v="10560"/>
    <n v="0"/>
    <n v="0"/>
  </r>
  <r>
    <d v="2024-08-12T00:00:00"/>
    <d v="2024-08-12T00:00:00"/>
    <s v="Yes"/>
    <n v="0"/>
    <n v="0"/>
    <x v="96"/>
    <n v="10560"/>
    <d v="2023-04-24T00:00:00"/>
    <s v="G/ZFC"/>
    <s v="Location 1"/>
    <s v="Customer 1"/>
    <n v="10560"/>
    <n v="0"/>
    <n v="0"/>
  </r>
  <r>
    <d v="2024-08-19T00:00:00"/>
    <d v="2024-08-19T00:00:00"/>
    <s v="Yes"/>
    <n v="0"/>
    <n v="0"/>
    <x v="96"/>
    <n v="10560"/>
    <d v="2023-04-24T00:00:00"/>
    <s v="G/ZFC"/>
    <s v="Location 1"/>
    <s v="Customer 1"/>
    <n v="10560"/>
    <n v="0"/>
    <n v="0"/>
  </r>
  <r>
    <d v="2024-08-26T00:00:00"/>
    <d v="2024-08-26T00:00:00"/>
    <s v="Yes"/>
    <n v="0"/>
    <n v="0"/>
    <x v="96"/>
    <n v="10560"/>
    <d v="2023-04-24T00:00:00"/>
    <s v="G/ZFC"/>
    <s v="Location 1"/>
    <s v="Customer 1"/>
    <n v="10560"/>
    <n v="0"/>
    <n v="0"/>
  </r>
  <r>
    <d v="2024-09-02T00:00:00"/>
    <d v="2024-09-02T00:00:00"/>
    <s v="Yes"/>
    <n v="0"/>
    <n v="0"/>
    <x v="96"/>
    <n v="10560"/>
    <d v="2023-04-24T00:00:00"/>
    <s v="G/ZFC"/>
    <s v="Location 1"/>
    <s v="Customer 1"/>
    <n v="10560"/>
    <n v="0"/>
    <n v="0"/>
  </r>
  <r>
    <d v="2024-09-09T00:00:00"/>
    <d v="2024-09-09T00:00:00"/>
    <s v="Yes"/>
    <n v="0"/>
    <n v="0"/>
    <x v="96"/>
    <n v="15840"/>
    <d v="2023-04-24T00:00:00"/>
    <s v="G/ZFC"/>
    <s v="Location 1"/>
    <s v="Customer 1"/>
    <n v="15840"/>
    <n v="0"/>
    <n v="0"/>
  </r>
  <r>
    <d v="2024-09-16T00:00:00"/>
    <d v="2024-09-16T00:00:00"/>
    <s v="Yes"/>
    <n v="0"/>
    <n v="0"/>
    <x v="96"/>
    <n v="10560"/>
    <d v="2023-04-24T00:00:00"/>
    <s v="G/ZFC"/>
    <s v="Location 1"/>
    <s v="Customer 1"/>
    <n v="10560"/>
    <n v="0"/>
    <n v="0"/>
  </r>
  <r>
    <d v="2024-09-23T00:00:00"/>
    <d v="2024-09-23T00:00:00"/>
    <s v="Yes"/>
    <n v="0"/>
    <n v="0"/>
    <x v="96"/>
    <n v="10560"/>
    <d v="2023-04-24T00:00:00"/>
    <s v="G/ZFC"/>
    <s v="Location 1"/>
    <s v="Customer 1"/>
    <n v="10560"/>
    <n v="0"/>
    <n v="0"/>
  </r>
  <r>
    <d v="2024-09-30T00:00:00"/>
    <d v="2024-09-30T00:00:00"/>
    <s v="Yes"/>
    <n v="0"/>
    <n v="0"/>
    <x v="96"/>
    <n v="15840"/>
    <d v="2023-04-24T00:00:00"/>
    <s v="G/ZFC"/>
    <s v="Location 1"/>
    <s v="Customer 1"/>
    <n v="15840"/>
    <n v="0"/>
    <n v="0"/>
  </r>
  <r>
    <d v="2024-10-07T00:00:00"/>
    <d v="2024-10-07T00:00:00"/>
    <s v="Yes"/>
    <n v="0"/>
    <n v="0"/>
    <x v="96"/>
    <n v="10560"/>
    <d v="2023-04-24T00:00:00"/>
    <s v="G/ZFC"/>
    <s v="Location 1"/>
    <s v="Customer 1"/>
    <n v="10560"/>
    <n v="0"/>
    <n v="0"/>
  </r>
  <r>
    <d v="2024-10-14T00:00:00"/>
    <d v="2024-10-14T00:00:00"/>
    <s v="Yes"/>
    <n v="0"/>
    <n v="0"/>
    <x v="96"/>
    <n v="10560"/>
    <d v="2023-04-24T00:00:00"/>
    <s v="G/ZFC"/>
    <s v="Location 1"/>
    <s v="Customer 1"/>
    <n v="10560"/>
    <n v="0"/>
    <n v="0"/>
  </r>
  <r>
    <d v="2024-10-21T00:00:00"/>
    <d v="2024-10-21T00:00:00"/>
    <s v="Yes"/>
    <n v="0"/>
    <n v="0"/>
    <x v="96"/>
    <n v="26400"/>
    <d v="2023-04-24T00:00:00"/>
    <s v="G/ZFC"/>
    <s v="Location 1"/>
    <s v="Customer 1"/>
    <n v="26400"/>
    <n v="0"/>
    <n v="0"/>
  </r>
  <r>
    <d v="2024-11-04T00:00:00"/>
    <d v="2024-11-04T00:00:00"/>
    <s v="Yes"/>
    <n v="0"/>
    <n v="0"/>
    <x v="96"/>
    <n v="10560"/>
    <d v="2023-04-24T00:00:00"/>
    <s v="G/ZFC"/>
    <s v="Location 1"/>
    <s v="Customer 1"/>
    <n v="10560"/>
    <n v="0"/>
    <n v="0"/>
  </r>
  <r>
    <d v="2024-11-11T00:00:00"/>
    <d v="2024-11-11T00:00:00"/>
    <s v="Yes"/>
    <n v="0"/>
    <n v="0"/>
    <x v="96"/>
    <n v="5280"/>
    <d v="2023-04-24T00:00:00"/>
    <s v="G/ZFC"/>
    <s v="Location 1"/>
    <s v="Customer 1"/>
    <n v="5280"/>
    <n v="0"/>
    <n v="0"/>
  </r>
  <r>
    <d v="2024-11-18T00:00:00"/>
    <d v="2024-11-18T00:00:00"/>
    <s v="Yes"/>
    <n v="0"/>
    <n v="0"/>
    <x v="96"/>
    <n v="10560"/>
    <d v="2023-04-24T00:00:00"/>
    <s v="G/ZFC"/>
    <s v="Location 1"/>
    <s v="Customer 1"/>
    <n v="10560"/>
    <n v="0"/>
    <n v="0"/>
  </r>
  <r>
    <d v="2024-11-25T00:00:00"/>
    <d v="2024-11-25T00:00:00"/>
    <s v="Yes"/>
    <n v="0"/>
    <n v="0"/>
    <x v="96"/>
    <n v="10560"/>
    <d v="2023-04-24T00:00:00"/>
    <s v="G/ZFC"/>
    <s v="Location 1"/>
    <s v="Customer 1"/>
    <n v="10560"/>
    <n v="0"/>
    <n v="0"/>
  </r>
  <r>
    <d v="2024-12-02T00:00:00"/>
    <d v="2024-12-02T00:00:00"/>
    <s v="Yes"/>
    <n v="0"/>
    <n v="0"/>
    <x v="96"/>
    <n v="15840"/>
    <d v="2023-04-24T00:00:00"/>
    <s v="G/ZFC"/>
    <s v="Location 1"/>
    <s v="Customer 1"/>
    <n v="15840"/>
    <n v="0"/>
    <n v="0"/>
  </r>
  <r>
    <d v="2024-12-09T00:00:00"/>
    <d v="2024-12-09T00:00:00"/>
    <s v="Yes"/>
    <n v="0"/>
    <n v="0"/>
    <x v="96"/>
    <n v="15840"/>
    <d v="2023-04-24T00:00:00"/>
    <s v="G/ZFC"/>
    <s v="Location 1"/>
    <s v="Customer 1"/>
    <n v="15840"/>
    <n v="0"/>
    <n v="0"/>
  </r>
  <r>
    <d v="2024-12-16T00:00:00"/>
    <d v="2024-12-16T00:00:00"/>
    <s v="Yes"/>
    <n v="0"/>
    <n v="0"/>
    <x v="96"/>
    <n v="21120"/>
    <d v="2023-04-24T00:00:00"/>
    <s v="G/ZFC"/>
    <s v="Location 1"/>
    <s v="Customer 1"/>
    <n v="21120"/>
    <n v="0"/>
    <n v="0"/>
  </r>
  <r>
    <d v="2024-01-01T00:00:00"/>
    <d v="2024-01-01T00:00:00"/>
    <s v="Yes"/>
    <n v="0"/>
    <n v="0"/>
    <x v="96"/>
    <n v="21120"/>
    <d v="2023-03-20T00:00:00"/>
    <s v="G/ZFC"/>
    <s v="Location 1"/>
    <s v="Customer 1"/>
    <n v="21120"/>
    <n v="0"/>
    <n v="0"/>
  </r>
  <r>
    <d v="2024-01-08T00:00:00"/>
    <d v="2024-01-08T00:00:00"/>
    <s v="Yes"/>
    <n v="0"/>
    <n v="0"/>
    <x v="96"/>
    <n v="18480"/>
    <d v="2023-03-20T00:00:00"/>
    <s v="G/ZFC"/>
    <s v="Location 1"/>
    <s v="Customer 1"/>
    <n v="18480"/>
    <n v="0"/>
    <n v="0"/>
  </r>
  <r>
    <d v="2024-01-15T00:00:00"/>
    <d v="2024-01-15T00:00:00"/>
    <s v="Yes"/>
    <n v="0"/>
    <n v="0"/>
    <x v="96"/>
    <n v="21120"/>
    <d v="2023-03-20T00:00:00"/>
    <s v="G/ZFC"/>
    <s v="Location 1"/>
    <s v="Customer 1"/>
    <n v="21120"/>
    <n v="0"/>
    <n v="0"/>
  </r>
  <r>
    <d v="2024-01-22T00:00:00"/>
    <d v="2024-01-22T00:00:00"/>
    <s v="Yes"/>
    <n v="0"/>
    <n v="0"/>
    <x v="96"/>
    <n v="21120"/>
    <d v="2023-03-20T00:00:00"/>
    <s v="G/ZFC"/>
    <s v="Location 1"/>
    <s v="Customer 1"/>
    <n v="21120"/>
    <n v="0"/>
    <n v="0"/>
  </r>
  <r>
    <d v="2024-01-29T00:00:00"/>
    <d v="2024-01-29T00:00:00"/>
    <s v="Yes"/>
    <n v="0"/>
    <n v="0"/>
    <x v="96"/>
    <n v="15840"/>
    <d v="2023-03-20T00:00:00"/>
    <s v="G/ZFC"/>
    <s v="Location 1"/>
    <s v="Customer 1"/>
    <n v="15840"/>
    <n v="0"/>
    <n v="0"/>
  </r>
  <r>
    <d v="2024-02-12T00:00:00"/>
    <d v="2024-02-12T00:00:00"/>
    <s v="Yes"/>
    <n v="0"/>
    <n v="0"/>
    <x v="96"/>
    <n v="21120"/>
    <d v="2023-03-20T00:00:00"/>
    <s v="G/ZFC"/>
    <s v="Location 1"/>
    <s v="Customer 1"/>
    <n v="21120"/>
    <n v="0"/>
    <n v="0"/>
  </r>
  <r>
    <d v="2024-02-19T00:00:00"/>
    <d v="2024-02-19T00:00:00"/>
    <s v="Yes"/>
    <n v="0"/>
    <n v="0"/>
    <x v="96"/>
    <n v="15840"/>
    <d v="2023-03-20T00:00:00"/>
    <s v="G/ZFC"/>
    <s v="Location 1"/>
    <s v="Customer 1"/>
    <n v="15840"/>
    <n v="0"/>
    <n v="0"/>
  </r>
  <r>
    <d v="2024-12-30T00:00:00"/>
    <d v="2024-12-30T00:00:00"/>
    <s v="Yes"/>
    <n v="0"/>
    <n v="0"/>
    <x v="96"/>
    <n v="10560"/>
    <d v="2023-07-12T00:00:00"/>
    <s v="G/ZFC"/>
    <s v="Location 1"/>
    <s v="Customer 1"/>
    <n v="10560"/>
    <n v="0"/>
    <n v="0"/>
  </r>
  <r>
    <d v="2025-01-06T00:00:00"/>
    <d v="2025-01-06T00:00:00"/>
    <s v="Yes"/>
    <n v="0"/>
    <n v="0"/>
    <x v="96"/>
    <n v="10560"/>
    <d v="2023-07-12T00:00:00"/>
    <s v="G/ZFC"/>
    <s v="Location 1"/>
    <s v="Customer 1"/>
    <n v="10560"/>
    <n v="0"/>
    <n v="0"/>
  </r>
  <r>
    <d v="2025-01-13T00:00:00"/>
    <d v="2025-01-13T00:00:00"/>
    <s v="Yes"/>
    <n v="0"/>
    <n v="0"/>
    <x v="96"/>
    <n v="15840"/>
    <d v="2023-07-12T00:00:00"/>
    <s v="G/ZFC"/>
    <s v="Location 1"/>
    <s v="Customer 1"/>
    <n v="15840"/>
    <n v="0"/>
    <n v="0"/>
  </r>
  <r>
    <d v="2025-01-20T00:00:00"/>
    <d v="2025-01-20T00:00:00"/>
    <s v="Yes"/>
    <n v="0"/>
    <n v="0"/>
    <x v="96"/>
    <n v="10560"/>
    <d v="2023-07-12T00:00:00"/>
    <s v="G/ZFC"/>
    <s v="Location 1"/>
    <s v="Customer 1"/>
    <n v="10560"/>
    <n v="0"/>
    <n v="0"/>
  </r>
  <r>
    <d v="2025-01-27T00:00:00"/>
    <d v="2025-01-27T00:00:00"/>
    <s v="Yes"/>
    <n v="0"/>
    <n v="0"/>
    <x v="96"/>
    <n v="10560"/>
    <d v="2023-07-12T00:00:00"/>
    <s v="G/ZFC"/>
    <s v="Location 1"/>
    <s v="Customer 1"/>
    <n v="10560"/>
    <n v="0"/>
    <n v="0"/>
  </r>
  <r>
    <d v="2025-02-03T00:00:00"/>
    <d v="2025-02-03T00:00:00"/>
    <s v="Yes"/>
    <n v="0"/>
    <n v="0"/>
    <x v="96"/>
    <n v="10560"/>
    <d v="2023-07-12T00:00:00"/>
    <s v="G/ZFC"/>
    <s v="Location 1"/>
    <s v="Customer 1"/>
    <n v="10560"/>
    <n v="0"/>
    <n v="0"/>
  </r>
  <r>
    <d v="2025-02-10T00:00:00"/>
    <d v="2025-02-10T00:00:00"/>
    <s v="Yes"/>
    <n v="0"/>
    <n v="0"/>
    <x v="96"/>
    <n v="10560"/>
    <d v="2023-07-12T00:00:00"/>
    <s v="G/ZFC"/>
    <s v="Location 1"/>
    <s v="Customer 1"/>
    <n v="10560"/>
    <n v="0"/>
    <n v="0"/>
  </r>
  <r>
    <d v="2025-02-17T00:00:00"/>
    <d v="2025-02-17T00:00:00"/>
    <s v="Yes"/>
    <n v="0"/>
    <n v="0"/>
    <x v="96"/>
    <n v="10560"/>
    <d v="2023-07-12T00:00:00"/>
    <s v="G/ZFC"/>
    <s v="Location 1"/>
    <s v="Customer 1"/>
    <n v="10560"/>
    <n v="0"/>
    <n v="0"/>
  </r>
  <r>
    <d v="2025-02-24T00:00:00"/>
    <d v="2025-02-24T00:00:00"/>
    <s v="Yes"/>
    <n v="0"/>
    <n v="0"/>
    <x v="96"/>
    <n v="108240"/>
    <d v="2023-07-12T00:00:00"/>
    <s v="G/ZFC"/>
    <s v="Location 1"/>
    <s v="Customer 1"/>
    <n v="108240"/>
    <n v="0"/>
    <n v="0"/>
  </r>
  <r>
    <d v="2023-09-25T00:00:00"/>
    <d v="2023-09-25T00:00:00"/>
    <s v="Yes"/>
    <n v="0"/>
    <n v="0"/>
    <x v="94"/>
    <n v="15900"/>
    <d v="2023-03-20T00:00:00"/>
    <s v="G/ZFC"/>
    <s v="Location 1"/>
    <s v="Customer 1"/>
    <n v="15900"/>
    <n v="0"/>
    <n v="0"/>
  </r>
  <r>
    <d v="2023-10-02T00:00:00"/>
    <d v="2023-10-02T00:00:00"/>
    <s v="Yes"/>
    <n v="0"/>
    <n v="0"/>
    <x v="94"/>
    <n v="15900"/>
    <d v="2023-03-20T00:00:00"/>
    <s v="G/ZFC"/>
    <s v="Location 1"/>
    <s v="Customer 1"/>
    <n v="15900"/>
    <n v="0"/>
    <n v="0"/>
  </r>
  <r>
    <d v="2023-10-09T00:00:00"/>
    <d v="2023-10-09T00:00:00"/>
    <s v="Yes"/>
    <n v="0"/>
    <n v="0"/>
    <x v="94"/>
    <n v="10600"/>
    <d v="2023-03-20T00:00:00"/>
    <s v="G/ZFC"/>
    <s v="Location 1"/>
    <s v="Customer 1"/>
    <n v="10600"/>
    <n v="0"/>
    <n v="0"/>
  </r>
  <r>
    <d v="2023-10-16T00:00:00"/>
    <d v="2023-10-16T00:00:00"/>
    <s v="Yes"/>
    <n v="0"/>
    <n v="0"/>
    <x v="94"/>
    <n v="10600"/>
    <d v="2023-03-20T00:00:00"/>
    <s v="G/ZFC"/>
    <s v="Location 1"/>
    <s v="Customer 1"/>
    <n v="10600"/>
    <n v="0"/>
    <n v="0"/>
  </r>
  <r>
    <d v="2023-10-23T00:00:00"/>
    <d v="2023-10-23T00:00:00"/>
    <s v="Yes"/>
    <n v="0"/>
    <n v="0"/>
    <x v="94"/>
    <n v="17927"/>
    <d v="2023-03-20T00:00:00"/>
    <s v="G/ZFC"/>
    <s v="Location 1"/>
    <s v="Customer 1"/>
    <n v="17927"/>
    <n v="0"/>
    <n v="0"/>
  </r>
  <r>
    <d v="2023-10-30T00:00:00"/>
    <d v="2023-10-30T00:00:00"/>
    <s v="Yes"/>
    <n v="0"/>
    <n v="0"/>
    <x v="94"/>
    <n v="15840"/>
    <d v="2023-03-20T00:00:00"/>
    <s v="G/ZFC"/>
    <s v="Location 1"/>
    <s v="Customer 1"/>
    <n v="15840"/>
    <n v="0"/>
    <n v="0"/>
  </r>
  <r>
    <d v="2023-11-06T00:00:00"/>
    <d v="2023-11-06T00:00:00"/>
    <s v="Yes"/>
    <n v="0"/>
    <n v="0"/>
    <x v="94"/>
    <n v="18520"/>
    <d v="2023-03-20T00:00:00"/>
    <s v="G/ZFC"/>
    <s v="Location 1"/>
    <s v="Customer 1"/>
    <n v="18520"/>
    <n v="0"/>
    <n v="0"/>
  </r>
  <r>
    <d v="2023-11-13T00:00:00"/>
    <d v="2023-11-13T00:00:00"/>
    <s v="Yes"/>
    <n v="0"/>
    <n v="0"/>
    <x v="94"/>
    <n v="15840"/>
    <d v="2023-03-20T00:00:00"/>
    <s v="G/ZFC"/>
    <s v="Location 1"/>
    <s v="Customer 1"/>
    <n v="15840"/>
    <n v="0"/>
    <n v="0"/>
  </r>
  <r>
    <d v="2023-11-20T00:00:00"/>
    <d v="2023-11-20T00:00:00"/>
    <s v="Yes"/>
    <n v="0"/>
    <n v="0"/>
    <x v="94"/>
    <n v="6096"/>
    <d v="2023-03-20T00:00:00"/>
    <s v="G/ZFC"/>
    <s v="Location 1"/>
    <s v="Customer 1"/>
    <n v="6096"/>
    <n v="0"/>
    <n v="0"/>
  </r>
  <r>
    <d v="2023-11-27T00:00:00"/>
    <d v="2023-11-27T00:00:00"/>
    <s v="Yes"/>
    <n v="0"/>
    <n v="0"/>
    <x v="94"/>
    <n v="15840"/>
    <d v="2023-03-20T00:00:00"/>
    <s v="G/ZFC"/>
    <s v="Location 1"/>
    <s v="Customer 1"/>
    <n v="15840"/>
    <n v="0"/>
    <n v="0"/>
  </r>
  <r>
    <d v="2023-12-04T00:00:00"/>
    <d v="2023-12-04T00:00:00"/>
    <s v="Yes"/>
    <n v="0"/>
    <n v="0"/>
    <x v="94"/>
    <n v="15840"/>
    <d v="2023-03-20T00:00:00"/>
    <s v="G/ZFC"/>
    <s v="Location 1"/>
    <s v="Customer 1"/>
    <n v="15840"/>
    <n v="0"/>
    <n v="0"/>
  </r>
  <r>
    <d v="2023-12-18T00:00:00"/>
    <d v="2023-12-18T00:00:00"/>
    <s v="Yes"/>
    <n v="0"/>
    <n v="0"/>
    <x v="94"/>
    <n v="15840"/>
    <d v="2023-03-20T00:00:00"/>
    <s v="G/ZFC"/>
    <s v="Location 1"/>
    <s v="Customer 1"/>
    <n v="15840"/>
    <n v="0"/>
    <n v="0"/>
  </r>
  <r>
    <d v="2023-12-25T00:00:00"/>
    <d v="2023-12-25T00:00:00"/>
    <s v="Yes"/>
    <n v="0"/>
    <n v="0"/>
    <x v="94"/>
    <n v="21120"/>
    <d v="2023-03-20T00:00:00"/>
    <s v="G/ZFC"/>
    <s v="Location 1"/>
    <s v="Customer 1"/>
    <n v="21120"/>
    <n v="0"/>
    <n v="0"/>
  </r>
  <r>
    <d v="2023-09-25T00:00:00"/>
    <d v="2023-09-25T00:00:00"/>
    <s v="Yes"/>
    <n v="0"/>
    <n v="0"/>
    <x v="93"/>
    <n v="31800"/>
    <d v="2023-03-20T00:00:00"/>
    <s v="G/ZFC"/>
    <s v="Location 1"/>
    <s v="Customer 1"/>
    <n v="31800"/>
    <n v="0"/>
    <n v="0"/>
  </r>
  <r>
    <d v="2023-10-02T00:00:00"/>
    <d v="2023-10-02T00:00:00"/>
    <s v="Yes"/>
    <n v="0"/>
    <n v="0"/>
    <x v="93"/>
    <n v="31800"/>
    <d v="2023-03-20T00:00:00"/>
    <s v="G/ZFC"/>
    <s v="Location 1"/>
    <s v="Customer 1"/>
    <n v="31800"/>
    <n v="0"/>
    <n v="0"/>
  </r>
  <r>
    <d v="2023-10-09T00:00:00"/>
    <d v="2023-10-09T00:00:00"/>
    <s v="Yes"/>
    <n v="0"/>
    <n v="0"/>
    <x v="93"/>
    <n v="26500"/>
    <d v="2023-03-20T00:00:00"/>
    <s v="G/ZFC"/>
    <s v="Location 1"/>
    <s v="Customer 1"/>
    <n v="26500"/>
    <n v="0"/>
    <n v="0"/>
  </r>
  <r>
    <d v="2023-10-16T00:00:00"/>
    <d v="2023-10-16T00:00:00"/>
    <s v="Yes"/>
    <n v="0"/>
    <n v="0"/>
    <x v="93"/>
    <n v="15900"/>
    <d v="2023-03-20T00:00:00"/>
    <s v="G/ZFC"/>
    <s v="Location 1"/>
    <s v="Customer 1"/>
    <n v="15900"/>
    <n v="0"/>
    <n v="0"/>
  </r>
  <r>
    <d v="2023-10-23T00:00:00"/>
    <d v="2023-10-23T00:00:00"/>
    <s v="Yes"/>
    <n v="0"/>
    <n v="0"/>
    <x v="93"/>
    <n v="33667"/>
    <d v="2023-03-20T00:00:00"/>
    <s v="G/ZFC"/>
    <s v="Location 1"/>
    <s v="Customer 1"/>
    <n v="33667"/>
    <n v="0"/>
    <n v="0"/>
  </r>
  <r>
    <d v="2023-10-30T00:00:00"/>
    <d v="2023-10-30T00:00:00"/>
    <s v="Yes"/>
    <n v="0"/>
    <n v="0"/>
    <x v="93"/>
    <n v="36980"/>
    <d v="2023-03-20T00:00:00"/>
    <s v="G/ZFC"/>
    <s v="Location 1"/>
    <s v="Customer 1"/>
    <n v="36980"/>
    <n v="0"/>
    <n v="0"/>
  </r>
  <r>
    <d v="2023-11-06T00:00:00"/>
    <d v="2023-11-06T00:00:00"/>
    <s v="Yes"/>
    <n v="0"/>
    <n v="0"/>
    <x v="93"/>
    <n v="34360"/>
    <d v="2023-03-20T00:00:00"/>
    <s v="G/ZFC"/>
    <s v="Location 1"/>
    <s v="Customer 1"/>
    <n v="34360"/>
    <n v="0"/>
    <n v="0"/>
  </r>
  <r>
    <d v="2023-11-13T00:00:00"/>
    <d v="2023-11-13T00:00:00"/>
    <s v="Yes"/>
    <n v="0"/>
    <n v="0"/>
    <x v="93"/>
    <n v="34360"/>
    <d v="2023-03-20T00:00:00"/>
    <s v="G/ZFC"/>
    <s v="Location 1"/>
    <s v="Customer 1"/>
    <n v="34360"/>
    <n v="0"/>
    <n v="0"/>
  </r>
  <r>
    <d v="2023-11-20T00:00:00"/>
    <d v="2023-11-20T00:00:00"/>
    <s v="Yes"/>
    <n v="0"/>
    <n v="0"/>
    <x v="93"/>
    <n v="18197"/>
    <d v="2023-03-20T00:00:00"/>
    <s v="G/ZFC"/>
    <s v="Location 1"/>
    <s v="Customer 1"/>
    <n v="18197"/>
    <n v="0"/>
    <n v="0"/>
  </r>
  <r>
    <d v="2023-11-27T00:00:00"/>
    <d v="2023-11-27T00:00:00"/>
    <s v="Yes"/>
    <n v="0"/>
    <n v="0"/>
    <x v="93"/>
    <n v="21936"/>
    <d v="2023-03-20T00:00:00"/>
    <s v="G/ZFC"/>
    <s v="Location 1"/>
    <s v="Customer 1"/>
    <n v="21936"/>
    <n v="0"/>
    <n v="0"/>
  </r>
  <r>
    <d v="2023-12-04T00:00:00"/>
    <d v="2023-12-04T00:00:00"/>
    <s v="Yes"/>
    <n v="0"/>
    <n v="0"/>
    <x v="93"/>
    <n v="31680"/>
    <d v="2023-03-20T00:00:00"/>
    <s v="G/ZFC"/>
    <s v="Location 1"/>
    <s v="Customer 1"/>
    <n v="31680"/>
    <n v="0"/>
    <n v="0"/>
  </r>
  <r>
    <d v="2023-12-11T00:00:00"/>
    <d v="2023-12-11T00:00:00"/>
    <s v="Yes"/>
    <n v="0"/>
    <n v="0"/>
    <x v="93"/>
    <n v="15840"/>
    <d v="2023-03-20T00:00:00"/>
    <s v="G/ZFC"/>
    <s v="Location 1"/>
    <s v="Customer 1"/>
    <n v="15840"/>
    <n v="0"/>
    <n v="0"/>
  </r>
  <r>
    <d v="2023-12-18T00:00:00"/>
    <d v="2023-12-18T00:00:00"/>
    <s v="Yes"/>
    <n v="0"/>
    <n v="0"/>
    <x v="93"/>
    <n v="15840"/>
    <d v="2023-03-20T00:00:00"/>
    <s v="G/ZFC"/>
    <s v="Location 1"/>
    <s v="Customer 1"/>
    <n v="15840"/>
    <n v="0"/>
    <n v="0"/>
  </r>
  <r>
    <d v="2023-12-25T00:00:00"/>
    <d v="2023-12-25T00:00:00"/>
    <s v="Yes"/>
    <n v="0"/>
    <n v="0"/>
    <x v="93"/>
    <n v="36960"/>
    <d v="2023-03-20T00:00:00"/>
    <s v="G/ZFC"/>
    <s v="Location 1"/>
    <s v="Customer 1"/>
    <n v="36960"/>
    <n v="0"/>
    <n v="0"/>
  </r>
  <r>
    <d v="2023-09-25T00:00:00"/>
    <d v="2023-09-25T00:00:00"/>
    <s v="Yes"/>
    <n v="0"/>
    <n v="0"/>
    <x v="96"/>
    <n v="15900"/>
    <d v="2023-03-20T00:00:00"/>
    <s v="G/ZFC"/>
    <s v="Location 1"/>
    <s v="Customer 1"/>
    <n v="15900"/>
    <n v="0"/>
    <n v="0"/>
  </r>
  <r>
    <d v="2023-10-02T00:00:00"/>
    <d v="2023-10-02T00:00:00"/>
    <s v="Yes"/>
    <n v="0"/>
    <n v="0"/>
    <x v="96"/>
    <n v="15900"/>
    <d v="2023-03-20T00:00:00"/>
    <s v="G/ZFC"/>
    <s v="Location 1"/>
    <s v="Customer 1"/>
    <n v="15900"/>
    <n v="0"/>
    <n v="0"/>
  </r>
  <r>
    <d v="2023-10-09T00:00:00"/>
    <d v="2023-10-09T00:00:00"/>
    <s v="Yes"/>
    <n v="0"/>
    <n v="0"/>
    <x v="96"/>
    <n v="15900"/>
    <d v="2023-03-20T00:00:00"/>
    <s v="G/ZFC"/>
    <s v="Location 1"/>
    <s v="Customer 1"/>
    <n v="15900"/>
    <n v="0"/>
    <n v="0"/>
  </r>
  <r>
    <d v="2023-10-16T00:00:00"/>
    <d v="2023-10-16T00:00:00"/>
    <s v="Yes"/>
    <n v="0"/>
    <n v="0"/>
    <x v="96"/>
    <n v="5300"/>
    <d v="2023-03-20T00:00:00"/>
    <s v="G/ZFC"/>
    <s v="Location 1"/>
    <s v="Customer 1"/>
    <n v="5300"/>
    <n v="0"/>
    <n v="0"/>
  </r>
  <r>
    <d v="2023-10-23T00:00:00"/>
    <d v="2023-10-23T00:00:00"/>
    <s v="Yes"/>
    <n v="0"/>
    <n v="0"/>
    <x v="96"/>
    <n v="15740"/>
    <d v="2023-03-20T00:00:00"/>
    <s v="G/ZFC"/>
    <s v="Location 1"/>
    <s v="Customer 1"/>
    <n v="15740"/>
    <n v="0"/>
    <n v="0"/>
  </r>
  <r>
    <d v="2023-10-30T00:00:00"/>
    <d v="2023-10-30T00:00:00"/>
    <s v="Yes"/>
    <n v="0"/>
    <n v="0"/>
    <x v="96"/>
    <n v="21140"/>
    <d v="2023-03-20T00:00:00"/>
    <s v="G/ZFC"/>
    <s v="Location 1"/>
    <s v="Customer 1"/>
    <n v="21140"/>
    <n v="0"/>
    <n v="0"/>
  </r>
  <r>
    <d v="2023-11-06T00:00:00"/>
    <d v="2023-11-06T00:00:00"/>
    <s v="Yes"/>
    <n v="0"/>
    <n v="0"/>
    <x v="96"/>
    <n v="15840"/>
    <d v="2023-03-20T00:00:00"/>
    <s v="G/ZFC"/>
    <s v="Location 1"/>
    <s v="Customer 1"/>
    <n v="15840"/>
    <n v="0"/>
    <n v="0"/>
  </r>
  <r>
    <d v="2023-11-13T00:00:00"/>
    <d v="2023-11-13T00:00:00"/>
    <s v="Yes"/>
    <n v="0"/>
    <n v="0"/>
    <x v="96"/>
    <n v="18520"/>
    <d v="2023-03-20T00:00:00"/>
    <s v="G/ZFC"/>
    <s v="Location 1"/>
    <s v="Customer 1"/>
    <n v="18520"/>
    <n v="0"/>
    <n v="0"/>
  </r>
  <r>
    <d v="2023-11-20T00:00:00"/>
    <d v="2023-11-20T00:00:00"/>
    <s v="Yes"/>
    <n v="0"/>
    <n v="0"/>
    <x v="96"/>
    <n v="12101"/>
    <d v="2023-03-20T00:00:00"/>
    <s v="G/ZFC"/>
    <s v="Location 1"/>
    <s v="Customer 1"/>
    <n v="12101"/>
    <n v="0"/>
    <n v="0"/>
  </r>
  <r>
    <d v="2023-11-27T00:00:00"/>
    <d v="2023-11-27T00:00:00"/>
    <s v="Yes"/>
    <n v="0"/>
    <n v="0"/>
    <x v="96"/>
    <n v="6096"/>
    <d v="2023-03-20T00:00:00"/>
    <s v="G/ZFC"/>
    <s v="Location 1"/>
    <s v="Customer 1"/>
    <n v="6096"/>
    <n v="0"/>
    <n v="0"/>
  </r>
  <r>
    <d v="2023-12-04T00:00:00"/>
    <d v="2023-12-04T00:00:00"/>
    <s v="Yes"/>
    <n v="0"/>
    <n v="0"/>
    <x v="96"/>
    <n v="15840"/>
    <d v="2023-03-20T00:00:00"/>
    <s v="G/ZFC"/>
    <s v="Location 1"/>
    <s v="Customer 1"/>
    <n v="15840"/>
    <n v="0"/>
    <n v="0"/>
  </r>
  <r>
    <d v="2023-12-11T00:00:00"/>
    <d v="2023-12-11T00:00:00"/>
    <s v="Yes"/>
    <n v="0"/>
    <n v="0"/>
    <x v="96"/>
    <n v="15840"/>
    <d v="2023-03-20T00:00:00"/>
    <s v="G/ZFC"/>
    <s v="Location 1"/>
    <s v="Customer 1"/>
    <n v="15840"/>
    <n v="0"/>
    <n v="0"/>
  </r>
  <r>
    <d v="2023-12-25T00:00:00"/>
    <d v="2023-12-25T00:00:00"/>
    <s v="Yes"/>
    <n v="0"/>
    <n v="0"/>
    <x v="96"/>
    <n v="15840"/>
    <d v="2023-03-20T00:00:00"/>
    <s v="G/ZFC"/>
    <s v="Location 1"/>
    <s v="Customer 1"/>
    <n v="15840"/>
    <n v="0"/>
    <n v="0"/>
  </r>
  <r>
    <d v="2023-09-20T00:00:00"/>
    <d v="2023-02-03T00:00:00"/>
    <s v="No"/>
    <n v="229"/>
    <n v="0"/>
    <x v="97"/>
    <n v="1080"/>
    <d v="2023-02-03T00:00:00"/>
    <s v="G/ZSB"/>
    <s v="Location 2"/>
    <s v="Customer 2"/>
    <n v="1080"/>
    <n v="0"/>
    <n v="0"/>
  </r>
  <r>
    <d v="2023-09-20T00:00:00"/>
    <d v="2023-02-03T00:00:00"/>
    <s v="No"/>
    <n v="229"/>
    <n v="0"/>
    <x v="97"/>
    <n v="1080"/>
    <d v="2023-02-03T00:00:00"/>
    <s v="G/ZSB"/>
    <s v="Location 2"/>
    <s v="Customer 2"/>
    <n v="1080"/>
    <n v="0"/>
    <n v="0"/>
  </r>
  <r>
    <d v="2023-09-20T00:00:00"/>
    <d v="2023-02-01T00:00:00"/>
    <s v="No"/>
    <n v="231"/>
    <n v="0"/>
    <x v="98"/>
    <n v="1000"/>
    <d v="2023-02-01T00:00:00"/>
    <s v="G/ZSB"/>
    <s v="Location 2"/>
    <s v="Customer 2"/>
    <n v="1000"/>
    <n v="0"/>
    <n v="0"/>
  </r>
  <r>
    <d v="2023-09-20T00:00:00"/>
    <d v="2022-07-12T00:00:00"/>
    <s v="No"/>
    <n v="435"/>
    <n v="0"/>
    <x v="99"/>
    <n v="120"/>
    <d v="2022-03-28T00:00:00"/>
    <s v="G/ZSB"/>
    <s v="Location 2"/>
    <s v="Customer 2"/>
    <n v="120"/>
    <n v="0"/>
    <n v="0"/>
  </r>
  <r>
    <d v="2023-09-20T00:00:00"/>
    <d v="2022-03-28T00:00:00"/>
    <s v="No"/>
    <n v="541"/>
    <n v="0"/>
    <x v="100"/>
    <n v="720"/>
    <d v="2022-03-28T00:00:00"/>
    <s v="G/ZSB"/>
    <s v="Location 2"/>
    <s v="Customer 2"/>
    <n v="720"/>
    <n v="0"/>
    <n v="0"/>
  </r>
  <r>
    <d v="2023-09-20T00:00:00"/>
    <d v="2021-03-28T00:00:00"/>
    <s v="No"/>
    <n v="906"/>
    <n v="0"/>
    <x v="101"/>
    <n v="3780"/>
    <d v="2023-02-01T00:00:00"/>
    <s v="G/ZSB"/>
    <s v="Location 2"/>
    <s v="Customer 2"/>
    <n v="3780"/>
    <n v="0"/>
    <n v="0"/>
  </r>
  <r>
    <d v="2023-09-20T00:00:00"/>
    <d v="2023-02-01T00:00:00"/>
    <s v="No"/>
    <n v="231"/>
    <n v="0"/>
    <x v="101"/>
    <n v="3780"/>
    <d v="2023-02-01T00:00:00"/>
    <s v="G/ZSB"/>
    <s v="Location 2"/>
    <s v="Customer 2"/>
    <n v="3780"/>
    <n v="0"/>
    <n v="0"/>
  </r>
  <r>
    <d v="2023-09-20T00:00:00"/>
    <d v="2023-05-16T00:00:00"/>
    <s v="No"/>
    <n v="127"/>
    <n v="0"/>
    <x v="102"/>
    <n v="3024"/>
    <d v="2023-02-01T00:00:00"/>
    <s v="G/ZSB"/>
    <s v="Location 2"/>
    <s v="Customer 2"/>
    <n v="3024"/>
    <n v="0"/>
    <n v="0"/>
  </r>
  <r>
    <d v="2023-09-20T00:00:00"/>
    <d v="2022-03-28T00:00:00"/>
    <s v="No"/>
    <n v="541"/>
    <n v="0"/>
    <x v="103"/>
    <n v="756"/>
    <d v="2022-03-28T00:00:00"/>
    <s v="G/ZSB"/>
    <s v="Location 2"/>
    <s v="Customer 2"/>
    <n v="756"/>
    <n v="0"/>
    <n v="0"/>
  </r>
  <r>
    <d v="2023-11-13T00:00:00"/>
    <d v="2021-03-01T00:00:00"/>
    <s v="No"/>
    <n v="987"/>
    <n v="0"/>
    <x v="104"/>
    <n v="336"/>
    <d v="2023-02-01T00:00:00"/>
    <s v="G/ZSB"/>
    <s v="Location 2"/>
    <s v="Customer 2"/>
    <n v="336"/>
    <n v="0"/>
    <n v="0"/>
  </r>
  <r>
    <d v="2023-11-13T00:00:00"/>
    <d v="2023-02-01T00:00:00"/>
    <s v="No"/>
    <n v="285"/>
    <n v="0"/>
    <x v="104"/>
    <n v="924"/>
    <d v="2023-02-01T00:00:00"/>
    <s v="G/ZSB"/>
    <s v="Location 2"/>
    <s v="Customer 2"/>
    <n v="924"/>
    <n v="0"/>
    <n v="0"/>
  </r>
  <r>
    <d v="2023-09-20T00:00:00"/>
    <d v="2021-03-01T00:00:00"/>
    <s v="No"/>
    <n v="933"/>
    <n v="0"/>
    <x v="105"/>
    <n v="672"/>
    <d v="2023-02-01T00:00:00"/>
    <s v="G/ZSB"/>
    <s v="Location 2"/>
    <s v="Customer 2"/>
    <n v="672"/>
    <n v="0"/>
    <n v="0"/>
  </r>
  <r>
    <d v="2023-09-20T00:00:00"/>
    <d v="2022-03-28T00:00:00"/>
    <s v="No"/>
    <n v="541"/>
    <n v="0"/>
    <x v="106"/>
    <n v="3080"/>
    <d v="2022-03-28T00:00:00"/>
    <s v="G/ZSB"/>
    <s v="Location 2"/>
    <s v="Customer 2"/>
    <n v="3080"/>
    <n v="0"/>
    <n v="0"/>
  </r>
  <r>
    <d v="2023-09-20T00:00:00"/>
    <d v="2023-02-01T00:00:00"/>
    <s v="No"/>
    <n v="231"/>
    <n v="0"/>
    <x v="107"/>
    <n v="800"/>
    <d v="2023-02-01T00:00:00"/>
    <s v="G/ZSB"/>
    <s v="Location 2"/>
    <s v="Customer 2"/>
    <n v="800"/>
    <n v="0"/>
    <n v="0"/>
  </r>
  <r>
    <d v="2023-09-20T00:00:00"/>
    <d v="2023-02-03T00:00:00"/>
    <s v="No"/>
    <n v="229"/>
    <n v="0"/>
    <x v="108"/>
    <n v="1440"/>
    <d v="2023-02-03T00:00:00"/>
    <s v="G/ZSB"/>
    <s v="Location 2"/>
    <s v="Customer 2"/>
    <n v="1440"/>
    <n v="0"/>
    <n v="0"/>
  </r>
  <r>
    <d v="2023-09-20T00:00:00"/>
    <d v="2023-02-01T00:00:00"/>
    <s v="No"/>
    <n v="231"/>
    <n v="0"/>
    <x v="109"/>
    <n v="420"/>
    <d v="2023-02-01T00:00:00"/>
    <s v="G/ZSB"/>
    <s v="Location 2"/>
    <s v="Customer 2"/>
    <n v="420"/>
    <n v="0"/>
    <n v="0"/>
  </r>
  <r>
    <d v="2023-09-20T00:00:00"/>
    <d v="2022-03-28T00:00:00"/>
    <s v="No"/>
    <n v="541"/>
    <n v="0"/>
    <x v="110"/>
    <n v="5460"/>
    <d v="2022-03-28T00:00:00"/>
    <s v="G/ZSB"/>
    <s v="Location 2"/>
    <s v="Customer 2"/>
    <n v="5460"/>
    <n v="0"/>
    <n v="0"/>
  </r>
  <r>
    <d v="2023-09-20T00:00:00"/>
    <d v="2023-02-01T00:00:00"/>
    <s v="No"/>
    <n v="231"/>
    <n v="0"/>
    <x v="110"/>
    <n v="1820"/>
    <d v="2023-02-01T00:00:00"/>
    <s v="G/ZSB"/>
    <s v="Location 2"/>
    <s v="Customer 2"/>
    <n v="1820"/>
    <n v="0"/>
    <n v="0"/>
  </r>
  <r>
    <d v="2023-09-20T00:00:00"/>
    <d v="2022-03-28T00:00:00"/>
    <s v="No"/>
    <n v="541"/>
    <n v="0"/>
    <x v="111"/>
    <n v="588"/>
    <d v="2022-03-28T00:00:00"/>
    <s v="G/ZSB"/>
    <s v="Location 2"/>
    <s v="Customer 2"/>
    <n v="588"/>
    <n v="0"/>
    <n v="0"/>
  </r>
  <r>
    <d v="2023-09-20T00:00:00"/>
    <d v="2022-07-11T00:00:00"/>
    <s v="No"/>
    <n v="436"/>
    <n v="0"/>
    <x v="111"/>
    <n v="588"/>
    <d v="2022-03-28T00:00:00"/>
    <s v="G/ZSB"/>
    <s v="Location 2"/>
    <s v="Customer 2"/>
    <n v="588"/>
    <n v="0"/>
    <n v="0"/>
  </r>
  <r>
    <d v="2023-10-30T00:00:00"/>
    <d v="2023-02-01T00:00:00"/>
    <s v="No"/>
    <n v="271"/>
    <n v="0"/>
    <x v="112"/>
    <n v="1120"/>
    <d v="2023-02-01T00:00:00"/>
    <s v="G/ZSB"/>
    <s v="Location 2"/>
    <s v="Customer 2"/>
    <n v="1120"/>
    <n v="0"/>
    <n v="0"/>
  </r>
  <r>
    <d v="2024-05-13T00:00:00"/>
    <d v="2023-02-01T00:00:00"/>
    <s v="No"/>
    <n v="467"/>
    <n v="0"/>
    <x v="112"/>
    <n v="1120"/>
    <d v="2023-02-01T00:00:00"/>
    <s v="G/ZSB"/>
    <s v="Location 2"/>
    <s v="Customer 2"/>
    <n v="1120"/>
    <n v="0"/>
    <n v="0"/>
  </r>
  <r>
    <d v="2024-02-28T00:00:00"/>
    <d v="2022-07-05T00:00:00"/>
    <s v="No"/>
    <n v="603"/>
    <n v="0"/>
    <x v="113"/>
    <n v="3528"/>
    <d v="2023-02-01T00:00:00"/>
    <s v="G/ZSB"/>
    <s v="Location 2"/>
    <s v="Customer 2"/>
    <n v="3528"/>
    <n v="0"/>
    <n v="0"/>
  </r>
  <r>
    <d v="2023-10-03T00:00:00"/>
    <d v="2023-09-01T00:00:00"/>
    <s v="No"/>
    <n v="32"/>
    <n v="0"/>
    <x v="114"/>
    <n v="630"/>
    <d v="2023-02-08T00:00:00"/>
    <s v="G/ZSB"/>
    <s v="Location 2"/>
    <s v="Customer 2"/>
    <n v="630"/>
    <n v="0"/>
    <n v="0"/>
  </r>
  <r>
    <d v="2023-09-20T00:00:00"/>
    <d v="2023-02-08T00:00:00"/>
    <s v="No"/>
    <n v="224"/>
    <n v="0"/>
    <x v="115"/>
    <n v="350"/>
    <d v="2023-02-08T00:00:00"/>
    <s v="G/ZSB"/>
    <s v="Location 2"/>
    <s v="Customer 2"/>
    <n v="350"/>
    <n v="0"/>
    <n v="0"/>
  </r>
  <r>
    <d v="2023-09-20T00:00:00"/>
    <d v="2023-02-16T00:00:00"/>
    <s v="No"/>
    <n v="216"/>
    <n v="0"/>
    <x v="116"/>
    <n v="490"/>
    <d v="2023-02-16T00:00:00"/>
    <s v="G/ZSB"/>
    <s v="Location 2"/>
    <s v="Customer 2"/>
    <n v="490"/>
    <n v="0"/>
    <n v="0"/>
  </r>
  <r>
    <d v="2023-09-20T00:00:00"/>
    <d v="2023-02-01T00:00:00"/>
    <s v="No"/>
    <n v="231"/>
    <n v="0"/>
    <x v="117"/>
    <n v="588"/>
    <d v="2023-02-01T00:00:00"/>
    <s v="G/ZSB"/>
    <s v="Location 2"/>
    <s v="Customer 2"/>
    <n v="588"/>
    <n v="0"/>
    <n v="0"/>
  </r>
  <r>
    <d v="2023-09-20T00:00:00"/>
    <d v="2022-03-28T00:00:00"/>
    <s v="No"/>
    <n v="541"/>
    <n v="0"/>
    <x v="118"/>
    <n v="420"/>
    <d v="2022-03-28T00:00:00"/>
    <s v="G/ZSB"/>
    <s v="Location 2"/>
    <s v="Customer 2"/>
    <n v="420"/>
    <n v="0"/>
    <n v="0"/>
  </r>
  <r>
    <d v="2023-09-20T00:00:00"/>
    <d v="2022-03-28T00:00:00"/>
    <s v="No"/>
    <n v="541"/>
    <n v="0"/>
    <x v="119"/>
    <n v="2940"/>
    <d v="2023-02-01T00:00:00"/>
    <s v="G/ZSB"/>
    <s v="Location 2"/>
    <s v="Customer 2"/>
    <n v="2940"/>
    <n v="0"/>
    <n v="0"/>
  </r>
  <r>
    <d v="2023-09-20T00:00:00"/>
    <d v="2023-02-01T00:00:00"/>
    <s v="No"/>
    <n v="231"/>
    <n v="0"/>
    <x v="119"/>
    <n v="147"/>
    <d v="2023-02-01T00:00:00"/>
    <s v="G/ZSB"/>
    <s v="Location 2"/>
    <s v="Customer 2"/>
    <n v="147"/>
    <n v="0"/>
    <n v="0"/>
  </r>
  <r>
    <d v="2023-09-20T00:00:00"/>
    <d v="2023-02-01T00:00:00"/>
    <s v="No"/>
    <n v="231"/>
    <n v="0"/>
    <x v="119"/>
    <n v="2352"/>
    <d v="2023-02-01T00:00:00"/>
    <s v="G/ZSB"/>
    <s v="Location 2"/>
    <s v="Customer 2"/>
    <n v="2352"/>
    <n v="0"/>
    <n v="0"/>
  </r>
  <r>
    <d v="2023-09-20T00:00:00"/>
    <d v="2023-02-01T00:00:00"/>
    <s v="No"/>
    <n v="231"/>
    <n v="0"/>
    <x v="120"/>
    <n v="1008"/>
    <d v="2023-02-01T00:00:00"/>
    <s v="G/ZSB"/>
    <s v="Location 2"/>
    <s v="Customer 2"/>
    <n v="1008"/>
    <n v="0"/>
    <n v="0"/>
  </r>
  <r>
    <d v="2023-09-20T00:00:00"/>
    <d v="2022-07-11T00:00:00"/>
    <s v="No"/>
    <n v="436"/>
    <n v="0"/>
    <x v="121"/>
    <n v="1500"/>
    <d v="2022-03-28T00:00:00"/>
    <s v="G/ZSB"/>
    <s v="Location 2"/>
    <s v="Customer 2"/>
    <n v="1500"/>
    <n v="0"/>
    <n v="0"/>
  </r>
  <r>
    <d v="2023-09-20T00:00:00"/>
    <d v="2023-02-01T00:00:00"/>
    <s v="No"/>
    <n v="231"/>
    <n v="0"/>
    <x v="122"/>
    <n v="1500"/>
    <d v="2023-02-01T00:00:00"/>
    <s v="G/ZSB"/>
    <s v="Location 2"/>
    <s v="Customer 2"/>
    <n v="1500"/>
    <n v="0"/>
    <n v="0"/>
  </r>
  <r>
    <d v="2023-09-20T00:00:00"/>
    <d v="2023-01-20T00:00:00"/>
    <s v="No"/>
    <n v="243"/>
    <n v="0"/>
    <x v="123"/>
    <n v="1500"/>
    <d v="2023-02-01T00:00:00"/>
    <s v="G/ZSB"/>
    <s v="Location 2"/>
    <s v="Customer 2"/>
    <n v="1500"/>
    <n v="0"/>
    <n v="0"/>
  </r>
  <r>
    <d v="2023-09-20T00:00:00"/>
    <d v="2023-02-01T00:00:00"/>
    <s v="No"/>
    <n v="231"/>
    <n v="0"/>
    <x v="124"/>
    <n v="1512"/>
    <d v="2023-02-01T00:00:00"/>
    <s v="G/ZSB"/>
    <s v="Location 2"/>
    <s v="Customer 2"/>
    <n v="1512"/>
    <n v="0"/>
    <n v="0"/>
  </r>
  <r>
    <d v="2023-09-20T00:00:00"/>
    <d v="2023-04-18T00:00:00"/>
    <s v="No"/>
    <n v="155"/>
    <n v="0"/>
    <x v="125"/>
    <n v="300"/>
    <d v="2023-04-18T00:00:00"/>
    <s v="G/ZSB"/>
    <s v="Location 2"/>
    <s v="Customer 2"/>
    <n v="300"/>
    <n v="0"/>
    <n v="0"/>
  </r>
  <r>
    <d v="2023-09-20T00:00:00"/>
    <d v="2023-04-18T00:00:00"/>
    <s v="No"/>
    <n v="155"/>
    <n v="0"/>
    <x v="125"/>
    <n v="570"/>
    <d v="2023-04-18T00:00:00"/>
    <s v="G/ZSB"/>
    <s v="Location 2"/>
    <s v="Customer 2"/>
    <n v="570"/>
    <n v="0"/>
    <n v="0"/>
  </r>
  <r>
    <d v="2023-09-20T00:00:00"/>
    <d v="2023-02-01T00:00:00"/>
    <s v="No"/>
    <n v="231"/>
    <n v="0"/>
    <x v="126"/>
    <n v="588"/>
    <d v="2023-02-01T00:00:00"/>
    <s v="G/ZSB"/>
    <s v="Location 2"/>
    <s v="Customer 2"/>
    <n v="588"/>
    <n v="0"/>
    <n v="0"/>
  </r>
  <r>
    <d v="2023-09-20T00:00:00"/>
    <d v="2023-04-12T00:00:00"/>
    <s v="No"/>
    <n v="161"/>
    <n v="0"/>
    <x v="127"/>
    <n v="855"/>
    <d v="2023-02-03T00:00:00"/>
    <s v="G/ZSB"/>
    <s v="Location 2"/>
    <s v="Customer 2"/>
    <n v="855"/>
    <n v="0"/>
    <n v="0"/>
  </r>
  <r>
    <d v="2024-01-24T00:00:00"/>
    <d v="2022-07-11T00:00:00"/>
    <s v="No"/>
    <n v="562"/>
    <n v="0"/>
    <x v="128"/>
    <n v="96"/>
    <d v="2022-07-11T00:00:00"/>
    <s v="G/ZSB"/>
    <s v="Location 2"/>
    <s v="Customer 2"/>
    <n v="96"/>
    <n v="0"/>
    <n v="0"/>
  </r>
  <r>
    <d v="2023-11-02T00:00:00"/>
    <d v="2022-03-28T00:00:00"/>
    <s v="No"/>
    <n v="584"/>
    <n v="0"/>
    <x v="129"/>
    <n v="383"/>
    <d v="2022-03-28T00:00:00"/>
    <s v="G/ZSB"/>
    <s v="Location 2"/>
    <s v="Customer 2"/>
    <n v="383"/>
    <n v="0"/>
    <n v="0"/>
  </r>
  <r>
    <d v="2024-01-19T00:00:00"/>
    <d v="2022-10-20T00:00:00"/>
    <s v="No"/>
    <n v="456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4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52799.89"/>
    <x v="130"/>
    <n v="13"/>
    <d v="2022-10-20T00:00:00"/>
    <s v="G/ZOR"/>
    <s v="Location 3"/>
    <s v="Customer 3"/>
    <n v="13"/>
    <n v="4061.53"/>
    <n v="52799.89"/>
  </r>
  <r>
    <d v="2024-02-23T00:00:00"/>
    <d v="2023-11-03T00:00:00"/>
    <s v="No"/>
    <n v="112"/>
    <n v="4061.53"/>
    <x v="130"/>
    <n v="1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48738.36"/>
    <x v="130"/>
    <n v="12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130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130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130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130"/>
    <n v="13"/>
    <d v="2022-10-20T00:00:00"/>
    <s v="G/ZOR"/>
    <s v="Location 3"/>
    <s v="Customer 3"/>
    <n v="13"/>
    <n v="4061.53"/>
    <n v="52799.89"/>
  </r>
  <r>
    <d v="2024-04-01T00:00:00"/>
    <d v="2023-11-03T00:00:00"/>
    <s v="No"/>
    <n v="150"/>
    <n v="52799.89"/>
    <x v="130"/>
    <n v="13"/>
    <d v="2022-10-20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08T00:00:00"/>
    <d v="2024-04-05T00:00:00"/>
    <s v="No"/>
    <n v="3"/>
    <n v="52799.89"/>
    <x v="130"/>
    <n v="13"/>
    <d v="2022-10-28T00:00:00"/>
    <s v="G/ZOR"/>
    <s v="Location 3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4-12T00:00:00"/>
    <d v="2024-04-12T00:00:00"/>
    <s v="Yes"/>
    <n v="0"/>
    <n v="52799.89"/>
    <x v="130"/>
    <n v="13"/>
    <d v="2022-11-04T00:00:00"/>
    <s v="G/ZOR"/>
    <s v="Location 4"/>
    <s v="Customer 3"/>
    <n v="13"/>
    <n v="4061.53"/>
    <n v="52799.89"/>
  </r>
  <r>
    <d v="2024-05-09T00:00:00"/>
    <d v="2024-05-09T00:00:00"/>
    <s v="Yes"/>
    <n v="0"/>
    <n v="52799.89"/>
    <x v="130"/>
    <n v="13"/>
    <d v="2022-12-09T00:00:00"/>
    <s v="G/ZOR"/>
    <s v="Location 4"/>
    <s v="Customer 3"/>
    <n v="13"/>
    <n v="4061.53"/>
    <n v="52799.89"/>
  </r>
  <r>
    <s v=""/>
    <d v="2023-09-11T00:00:00"/>
    <s v="No"/>
    <s v=""/>
    <n v="0"/>
    <x v="94"/>
    <n v="9408"/>
    <d v="2023-08-31T00:00:00"/>
    <s v="G/ZOR"/>
    <s v="Location 5"/>
    <s v="Customer 1"/>
    <n v="9408"/>
    <n v="12.35"/>
    <n v="116188.8"/>
  </r>
  <r>
    <s v=""/>
    <d v="2023-09-11T00:00:00"/>
    <s v="No"/>
    <s v=""/>
    <n v="0"/>
    <x v="93"/>
    <n v="19992"/>
    <d v="2023-08-31T00:00:00"/>
    <s v="G/ZOR"/>
    <s v="Location 5"/>
    <s v="Customer 1"/>
    <n v="19992"/>
    <n v="12.35"/>
    <n v="246901.2"/>
  </r>
  <r>
    <s v=""/>
    <d v="2023-09-11T00:00:00"/>
    <s v="No"/>
    <s v=""/>
    <n v="0"/>
    <x v="96"/>
    <n v="12180"/>
    <d v="2023-08-31T00:00:00"/>
    <s v="G/ZOR"/>
    <s v="Location 5"/>
    <s v="Customer 1"/>
    <n v="12180"/>
    <n v="4.0199999999999996"/>
    <n v="48963.6"/>
  </r>
  <r>
    <s v=""/>
    <d v="2023-09-11T00:00:00"/>
    <s v="No"/>
    <s v=""/>
    <n v="0"/>
    <x v="95"/>
    <n v="9856"/>
    <d v="2023-08-31T00:00:00"/>
    <s v="G/ZOR"/>
    <s v="Location 5"/>
    <s v="Customer 1"/>
    <n v="9856"/>
    <n v="26.93"/>
    <n v="265422.08000000002"/>
  </r>
  <r>
    <s v=""/>
    <d v="2023-09-18T00:00:00"/>
    <s v="No"/>
    <s v=""/>
    <n v="0"/>
    <x v="96"/>
    <n v="9104"/>
    <d v="2023-09-12T00:00:00"/>
    <s v="G/ZOR"/>
    <s v="Location 5"/>
    <s v="Customer 1"/>
    <n v="9104"/>
    <n v="4.0199999999999996"/>
    <n v="36598.080000000002"/>
  </r>
  <r>
    <s v=""/>
    <d v="2023-09-18T00:00:00"/>
    <s v="No"/>
    <s v=""/>
    <n v="0"/>
    <x v="95"/>
    <n v="11031"/>
    <d v="2023-09-12T00:00:00"/>
    <s v="G/ZOR"/>
    <s v="Location 5"/>
    <s v="Customer 1"/>
    <n v="11031"/>
    <n v="26.93"/>
    <n v="297064.83"/>
  </r>
  <r>
    <s v=""/>
    <d v="2023-09-18T00:00:00"/>
    <s v="No"/>
    <s v=""/>
    <n v="0"/>
    <x v="96"/>
    <n v="5512"/>
    <d v="2023-09-12T00:00:00"/>
    <s v="G/ZOR"/>
    <s v="Location 5"/>
    <s v="Customer 1"/>
    <n v="5512"/>
    <n v="4.0199999999999996"/>
    <n v="22158.240000000002"/>
  </r>
  <r>
    <s v=""/>
    <d v="2023-09-18T00:00:00"/>
    <s v="No"/>
    <s v=""/>
    <n v="0"/>
    <x v="95"/>
    <n v="5601"/>
    <d v="2023-09-12T00:00:00"/>
    <s v="G/ZOR"/>
    <s v="Location 5"/>
    <s v="Customer 1"/>
    <n v="5601"/>
    <n v="26.93"/>
    <n v="150834.93"/>
  </r>
  <r>
    <d v="2024-08-02T00:00:00"/>
    <d v="2024-01-04T00:00:00"/>
    <s v="No"/>
    <n v="211"/>
    <n v="55603.8"/>
    <x v="101"/>
    <n v="3780"/>
    <d v="2023-04-12T00:00:00"/>
    <s v="G/ZOR"/>
    <s v="Location 6"/>
    <s v="Customer 4"/>
    <n v="3780"/>
    <n v="14.71"/>
    <n v="55603.8"/>
  </r>
  <r>
    <d v="2024-07-19T00:00:00"/>
    <d v="2024-07-19T00:00:00"/>
    <s v="Yes"/>
    <n v="0"/>
    <n v="55603.8"/>
    <x v="101"/>
    <n v="3780"/>
    <d v="2023-04-28T00:00:00"/>
    <s v="G/ZOR"/>
    <s v="Location 7"/>
    <s v="Customer 5"/>
    <n v="3780"/>
    <n v="14.71"/>
    <n v="55603.8"/>
  </r>
  <r>
    <d v="2023-11-03T00:00:00"/>
    <d v="2023-08-01T00:00:00"/>
    <s v="No"/>
    <n v="94"/>
    <n v="89498.5"/>
    <x v="131"/>
    <n v="70"/>
    <d v="2022-03-28T00:00:00"/>
    <s v="G/ZOR"/>
    <s v="Location 8"/>
    <s v="Customer 6"/>
    <n v="420"/>
    <n v="1278.55"/>
    <n v="536991"/>
  </r>
  <r>
    <d v="2024-01-24T00:00:00"/>
    <d v="2023-10-01T00:00:00"/>
    <s v="No"/>
    <n v="115"/>
    <n v="447492.5"/>
    <x v="131"/>
    <n v="350"/>
    <d v="2023-01-11T00:00:00"/>
    <s v="G/ZOR"/>
    <s v="Location 8"/>
    <s v="Customer 6"/>
    <n v="350"/>
    <n v="1278.55"/>
    <n v="447492.5"/>
  </r>
  <r>
    <d v="2024-04-06T00:00:00"/>
    <d v="2022-03-29T00:00:00"/>
    <s v="No"/>
    <n v="739"/>
    <n v="322543.76"/>
    <x v="106"/>
    <n v="616"/>
    <d v="2022-03-28T00:00:00"/>
    <s v="G/ZOR"/>
    <s v="Location 8"/>
    <s v="Customer 6"/>
    <n v="616"/>
    <n v="523.61"/>
    <n v="322543.76"/>
  </r>
  <r>
    <d v="2024-04-06T00:00:00"/>
    <d v="2022-03-28T00:00:00"/>
    <s v="No"/>
    <n v="740"/>
    <n v="645087.52"/>
    <x v="106"/>
    <n v="1232"/>
    <d v="2022-03-28T00:00:00"/>
    <s v="G/ZOR"/>
    <s v="Location 8"/>
    <s v="Customer 6"/>
    <n v="1232"/>
    <n v="523.61"/>
    <n v="645087.52"/>
  </r>
  <r>
    <d v="2024-04-10T00:00:00"/>
    <d v="2022-03-30T00:00:00"/>
    <s v="No"/>
    <n v="742"/>
    <n v="322543.76"/>
    <x v="106"/>
    <n v="616"/>
    <d v="2022-03-30T00:00:00"/>
    <s v="G/ZOR"/>
    <s v="Location 8"/>
    <s v="Customer 6"/>
    <n v="616"/>
    <n v="523.61"/>
    <n v="322543.76"/>
  </r>
  <r>
    <d v="2024-04-06T00:00:00"/>
    <d v="2023-02-25T00:00:00"/>
    <s v="No"/>
    <n v="406"/>
    <n v="161271.88"/>
    <x v="106"/>
    <n v="308"/>
    <d v="2022-03-28T00:00:00"/>
    <s v="G/ZOR"/>
    <s v="Location 8"/>
    <s v="Customer 6"/>
    <n v="308"/>
    <n v="523.61"/>
    <n v="161271.88"/>
  </r>
  <r>
    <d v="2024-04-06T00:00:00"/>
    <d v="2023-01-28T00:00:00"/>
    <s v="No"/>
    <n v="434"/>
    <n v="161271.88"/>
    <x v="106"/>
    <n v="308"/>
    <d v="2022-03-28T00:00:00"/>
    <s v="G/ZOR"/>
    <s v="Location 8"/>
    <s v="Customer 6"/>
    <n v="308"/>
    <n v="523.61"/>
    <n v="161271.88"/>
  </r>
  <r>
    <d v="2024-04-06T00:00:00"/>
    <d v="2022-03-28T00:00:00"/>
    <s v="No"/>
    <n v="740"/>
    <n v="161271.88"/>
    <x v="106"/>
    <n v="308"/>
    <d v="2022-03-28T00:00:00"/>
    <s v="G/ZOR"/>
    <s v="Location 8"/>
    <s v="Customer 6"/>
    <n v="308"/>
    <n v="523.61"/>
    <n v="161271.88"/>
  </r>
  <r>
    <d v="2024-04-06T00:00:00"/>
    <d v="2022-03-30T00:00:00"/>
    <s v="No"/>
    <n v="738"/>
    <n v="483815.64"/>
    <x v="106"/>
    <n v="924"/>
    <d v="2022-03-30T00:00:00"/>
    <s v="G/ZOR"/>
    <s v="Location 8"/>
    <s v="Customer 6"/>
    <n v="924"/>
    <n v="523.61"/>
    <n v="483815.64"/>
  </r>
  <r>
    <d v="2024-04-06T00:00:00"/>
    <d v="2023-03-24T00:00:00"/>
    <s v="No"/>
    <n v="379"/>
    <n v="322543.76"/>
    <x v="106"/>
    <n v="616"/>
    <d v="2022-03-31T00:00:00"/>
    <s v="G/ZOR"/>
    <s v="Location 8"/>
    <s v="Customer 6"/>
    <n v="616"/>
    <n v="523.61"/>
    <n v="322543.76"/>
  </r>
  <r>
    <d v="2024-04-06T00:00:00"/>
    <d v="2023-06-23T00:00:00"/>
    <s v="No"/>
    <n v="288"/>
    <n v="645087.52"/>
    <x v="106"/>
    <n v="1232"/>
    <d v="2022-03-31T00:00:00"/>
    <s v="G/ZOR"/>
    <s v="Location 8"/>
    <s v="Customer 6"/>
    <n v="1232"/>
    <n v="523.61"/>
    <n v="645087.52"/>
  </r>
  <r>
    <d v="2024-04-06T00:00:00"/>
    <d v="2023-12-23T00:00:00"/>
    <s v="No"/>
    <n v="105"/>
    <n v="645087.52"/>
    <x v="106"/>
    <n v="1232"/>
    <d v="2022-04-14T00:00:00"/>
    <s v="G/ZOR"/>
    <s v="Location 8"/>
    <s v="Customer 6"/>
    <n v="1232"/>
    <n v="523.61"/>
    <n v="645087.52"/>
  </r>
  <r>
    <d v="2024-04-06T00:00:00"/>
    <d v="2022-03-31T00:00:00"/>
    <s v="No"/>
    <n v="737"/>
    <n v="692736.03"/>
    <x v="106"/>
    <n v="1323"/>
    <d v="2023-04-13T00:00:00"/>
    <s v="G/ZOR"/>
    <s v="Location 8"/>
    <s v="Customer 6"/>
    <n v="1323"/>
    <n v="523.61"/>
    <n v="692736.03"/>
  </r>
  <r>
    <d v="2024-01-02T00:00:00"/>
    <d v="2024-01-02T00:00:00"/>
    <s v="Yes"/>
    <n v="0"/>
    <n v="2132"/>
    <x v="132"/>
    <n v="1300"/>
    <d v="2022-11-23T00:00:00"/>
    <s v="G/ZOR"/>
    <s v="Location 6"/>
    <s v="Customer 4"/>
    <n v="1300"/>
    <n v="1.64"/>
    <n v="2132"/>
  </r>
  <r>
    <d v="2024-06-10T00:00:00"/>
    <d v="2022-02-28T00:00:00"/>
    <s v="No"/>
    <n v="833"/>
    <n v="87079.81"/>
    <x v="133"/>
    <n v="202370"/>
    <d v="2022-04-25T00:00:00"/>
    <s v="G/ZOR"/>
    <s v="Location 9"/>
    <s v="Customer 7"/>
    <n v="239470"/>
    <n v="0.43"/>
    <n v="102972.1"/>
  </r>
  <r>
    <d v="2025-01-13T00:00:00"/>
    <d v="2022-02-28T00:00:00"/>
    <s v="No"/>
    <n v="1050"/>
    <n v="1204.8399999999999"/>
    <x v="133"/>
    <n v="2800"/>
    <d v="2022-04-25T00:00:00"/>
    <s v="G/ZOR"/>
    <s v="Location 9"/>
    <s v="Customer 7"/>
    <n v="239470"/>
    <n v="0.43"/>
    <n v="102972.1"/>
  </r>
  <r>
    <d v="2023-10-24T00:00:00"/>
    <d v="2023-06-30T00:00:00"/>
    <s v="No"/>
    <n v="116"/>
    <n v="3285.6"/>
    <x v="134"/>
    <n v="1480"/>
    <d v="2022-08-04T00:00:00"/>
    <s v="G/ZOR"/>
    <s v="Location 9"/>
    <s v="Customer 7"/>
    <n v="3430"/>
    <n v="2.2200000000000002"/>
    <n v="7614.6"/>
  </r>
  <r>
    <d v="2023-09-19T00:00:00"/>
    <d v="2023-02-24T00:00:00"/>
    <s v="No"/>
    <n v="207"/>
    <n v="2668287.54"/>
    <x v="135"/>
    <n v="169093"/>
    <d v="2023-02-24T00:00:00"/>
    <s v="G/ZOR"/>
    <s v="Location 9"/>
    <s v="Customer 7"/>
    <n v="189241"/>
    <n v="15.78"/>
    <n v="2986222.98"/>
  </r>
  <r>
    <d v="2023-11-09T00:00:00"/>
    <d v="2023-02-24T00:00:00"/>
    <s v="No"/>
    <n v="258"/>
    <n v="317935.44"/>
    <x v="135"/>
    <n v="20148"/>
    <d v="2023-02-24T00:00:00"/>
    <s v="G/ZOR"/>
    <s v="Location 9"/>
    <s v="Customer 7"/>
    <n v="189241"/>
    <n v="15.78"/>
    <n v="2986222.98"/>
  </r>
  <r>
    <d v="2023-10-28T00:00:00"/>
    <d v="2023-10-28T00:00:00"/>
    <s v="Yes"/>
    <n v="0"/>
    <n v="4363.8"/>
    <x v="109"/>
    <n v="420"/>
    <d v="2022-09-20T00:00:00"/>
    <s v="G/ZOR"/>
    <s v="Location 6"/>
    <s v="Customer 4"/>
    <n v="420"/>
    <n v="10.39"/>
    <n v="4363.8"/>
  </r>
  <r>
    <d v="2024-02-15T00:00:00"/>
    <d v="2023-08-04T00:00:00"/>
    <s v="No"/>
    <n v="195"/>
    <n v="4363.8"/>
    <x v="109"/>
    <n v="420"/>
    <d v="2022-09-20T00:00:00"/>
    <s v="G/ZOR"/>
    <s v="Location 6"/>
    <s v="Customer 4"/>
    <n v="420"/>
    <n v="10.39"/>
    <n v="4363.8"/>
  </r>
  <r>
    <d v="2024-01-02T00:00:00"/>
    <d v="2024-01-02T00:00:00"/>
    <s v="Yes"/>
    <n v="0"/>
    <n v="4363.8"/>
    <x v="109"/>
    <n v="420"/>
    <d v="2022-12-06T00:00:00"/>
    <s v="G/ZOR"/>
    <s v="Location 6"/>
    <s v="Customer 4"/>
    <n v="420"/>
    <n v="10.39"/>
    <n v="4363.8"/>
  </r>
  <r>
    <d v="2024-01-11T00:00:00"/>
    <d v="2024-01-02T00:00:00"/>
    <s v="No"/>
    <n v="9"/>
    <n v="4363.8"/>
    <x v="109"/>
    <n v="420"/>
    <d v="2023-02-07T00:00:00"/>
    <s v="G/ZOR"/>
    <s v="Location 6"/>
    <s v="Customer 4"/>
    <n v="420"/>
    <n v="10.39"/>
    <n v="4363.8"/>
  </r>
  <r>
    <d v="2023-10-14T00:00:00"/>
    <d v="2022-10-25T00:00:00"/>
    <s v="No"/>
    <n v="354"/>
    <n v="4568.2"/>
    <x v="110"/>
    <n v="1820"/>
    <d v="2021-11-08T00:00:00"/>
    <s v="G/ZOR"/>
    <s v="Location 6"/>
    <s v="Customer 4"/>
    <n v="1820"/>
    <n v="2.5099999999999998"/>
    <n v="4568.2"/>
  </r>
  <r>
    <d v="2024-01-02T00:00:00"/>
    <d v="2024-01-02T00:00:00"/>
    <s v="Yes"/>
    <n v="0"/>
    <n v="4568.2"/>
    <x v="110"/>
    <n v="1820"/>
    <d v="2022-11-23T00:00:00"/>
    <s v="G/ZOR"/>
    <s v="Location 6"/>
    <s v="Customer 4"/>
    <n v="1820"/>
    <n v="2.5099999999999998"/>
    <n v="4568.2"/>
  </r>
  <r>
    <d v="2024-01-02T00:00:00"/>
    <d v="2024-01-02T00:00:00"/>
    <s v="Yes"/>
    <n v="0"/>
    <n v="4568.2"/>
    <x v="110"/>
    <n v="1820"/>
    <d v="2022-12-06T00:00:00"/>
    <s v="G/ZOR"/>
    <s v="Location 6"/>
    <s v="Customer 4"/>
    <n v="1820"/>
    <n v="2.5099999999999998"/>
    <n v="4568.2"/>
  </r>
  <r>
    <d v="2024-01-09T00:00:00"/>
    <d v="2024-01-02T00:00:00"/>
    <s v="No"/>
    <n v="7"/>
    <n v="4568.2"/>
    <x v="110"/>
    <n v="1820"/>
    <d v="2023-01-31T00:00:00"/>
    <s v="G/ZOR"/>
    <s v="Location 6"/>
    <s v="Customer 4"/>
    <n v="1820"/>
    <n v="2.5099999999999998"/>
    <n v="4568.2"/>
  </r>
  <r>
    <d v="2024-02-08T00:00:00"/>
    <d v="2024-01-02T00:00:00"/>
    <s v="No"/>
    <n v="37"/>
    <n v="4568.2"/>
    <x v="110"/>
    <n v="1820"/>
    <d v="2023-02-14T00:00:00"/>
    <s v="G/ZOR"/>
    <s v="Location 6"/>
    <s v="Customer 4"/>
    <n v="1820"/>
    <n v="2.5099999999999998"/>
    <n v="4568.2"/>
  </r>
  <r>
    <d v="2024-03-27T00:00:00"/>
    <d v="2024-01-04T00:00:00"/>
    <s v="No"/>
    <n v="83"/>
    <n v="4568.2"/>
    <x v="110"/>
    <n v="1820"/>
    <d v="2023-03-14T00:00:00"/>
    <s v="G/ZOR"/>
    <s v="Location 6"/>
    <s v="Customer 4"/>
    <n v="1820"/>
    <n v="2.5099999999999998"/>
    <n v="4568.2"/>
  </r>
  <r>
    <d v="2024-04-04T00:00:00"/>
    <d v="2024-01-04T00:00:00"/>
    <s v="No"/>
    <n v="91"/>
    <n v="4568.2"/>
    <x v="110"/>
    <n v="1820"/>
    <d v="2023-03-28T00:00:00"/>
    <s v="G/ZOR"/>
    <s v="Location 6"/>
    <s v="Customer 4"/>
    <n v="1820"/>
    <n v="2.5099999999999998"/>
    <n v="4568.2"/>
  </r>
  <r>
    <d v="2024-04-12T00:00:00"/>
    <d v="2024-01-04T00:00:00"/>
    <s v="No"/>
    <n v="99"/>
    <n v="4568.2"/>
    <x v="110"/>
    <n v="1820"/>
    <d v="2023-04-12T00:00:00"/>
    <s v="G/ZOR"/>
    <s v="Location 6"/>
    <s v="Customer 4"/>
    <n v="1820"/>
    <n v="2.5099999999999998"/>
    <n v="4568.2"/>
  </r>
  <r>
    <d v="2024-04-12T00:00:00"/>
    <d v="2024-01-04T00:00:00"/>
    <s v="No"/>
    <n v="99"/>
    <n v="4568.2"/>
    <x v="110"/>
    <n v="1820"/>
    <d v="2023-04-12T00:00:00"/>
    <s v="G/ZOR"/>
    <s v="Location 6"/>
    <s v="Customer 4"/>
    <n v="1820"/>
    <n v="2.5099999999999998"/>
    <n v="4568.2"/>
  </r>
  <r>
    <d v="2023-10-14T00:00:00"/>
    <d v="2022-09-05T00:00:00"/>
    <s v="No"/>
    <n v="404"/>
    <n v="4368"/>
    <x v="136"/>
    <n v="1820"/>
    <d v="2022-01-20T00:00:00"/>
    <s v="G/ZOR"/>
    <s v="Location 6"/>
    <s v="Customer 4"/>
    <n v="1820"/>
    <n v="2.4"/>
    <n v="4368"/>
  </r>
  <r>
    <d v="2023-10-13T00:00:00"/>
    <d v="2023-06-09T00:00:00"/>
    <s v="No"/>
    <n v="126"/>
    <n v="4368"/>
    <x v="136"/>
    <n v="1820"/>
    <d v="2022-06-07T00:00:00"/>
    <s v="G/ZOR"/>
    <s v="Location 8"/>
    <s v="Customer 6"/>
    <n v="1820"/>
    <n v="2.4"/>
    <n v="4368"/>
  </r>
  <r>
    <d v="2023-11-10T00:00:00"/>
    <d v="2022-02-28T00:00:00"/>
    <s v="No"/>
    <n v="620"/>
    <n v="507888.56"/>
    <x v="137"/>
    <n v="89417"/>
    <d v="2022-11-11T00:00:00"/>
    <s v="G/ZOR"/>
    <s v="Location 9"/>
    <s v="Customer 7"/>
    <n v="89417"/>
    <n v="5.68"/>
    <n v="507888.56"/>
  </r>
  <r>
    <d v="2023-10-19T00:00:00"/>
    <d v="2023-06-02T00:00:00"/>
    <s v="No"/>
    <n v="139"/>
    <n v="6609.33"/>
    <x v="138"/>
    <n v="189"/>
    <d v="2022-08-16T00:00:00"/>
    <s v="G/ZOR"/>
    <s v="Location 10"/>
    <s v="Customer 8"/>
    <n v="189"/>
    <n v="34.97"/>
    <n v="6609.33"/>
  </r>
  <r>
    <d v="2023-10-26T00:00:00"/>
    <d v="2023-06-23T00:00:00"/>
    <s v="No"/>
    <n v="125"/>
    <n v="6609.33"/>
    <x v="138"/>
    <n v="189"/>
    <d v="2022-08-16T00:00:00"/>
    <s v="G/ZOR"/>
    <s v="Location 10"/>
    <s v="Customer 8"/>
    <n v="189"/>
    <n v="34.97"/>
    <n v="6609.33"/>
  </r>
  <r>
    <d v="2023-10-19T00:00:00"/>
    <d v="2023-06-02T00:00:00"/>
    <s v="No"/>
    <n v="139"/>
    <n v="6609.33"/>
    <x v="138"/>
    <n v="189"/>
    <d v="2022-09-06T00:00:00"/>
    <s v="G/ZOR"/>
    <s v="Location 10"/>
    <s v="Customer 8"/>
    <n v="189"/>
    <n v="34.97"/>
    <n v="6609.33"/>
  </r>
  <r>
    <d v="2023-11-14T00:00:00"/>
    <d v="2023-06-23T00:00:00"/>
    <s v="No"/>
    <n v="144"/>
    <n v="6609.33"/>
    <x v="138"/>
    <n v="189"/>
    <d v="2022-09-13T00:00:00"/>
    <s v="G/ZOR"/>
    <s v="Location 10"/>
    <s v="Customer 8"/>
    <n v="189"/>
    <n v="34.97"/>
    <n v="6609.33"/>
  </r>
  <r>
    <d v="2023-11-14T00:00:00"/>
    <d v="2023-09-15T00:00:00"/>
    <s v="No"/>
    <n v="60"/>
    <n v="6609.33"/>
    <x v="138"/>
    <n v="189"/>
    <d v="2022-11-29T00:00:00"/>
    <s v="G/ZOR"/>
    <s v="Location 10"/>
    <s v="Customer 8"/>
    <n v="189"/>
    <n v="34.97"/>
    <n v="6609.33"/>
  </r>
  <r>
    <d v="2023-12-01T00:00:00"/>
    <d v="2023-10-13T00:00:00"/>
    <s v="No"/>
    <n v="49"/>
    <n v="6609.33"/>
    <x v="138"/>
    <n v="189"/>
    <d v="2022-11-29T00:00:00"/>
    <s v="G/ZOR"/>
    <s v="Location 10"/>
    <s v="Customer 8"/>
    <n v="189"/>
    <n v="34.97"/>
    <n v="6609.33"/>
  </r>
  <r>
    <d v="2023-11-14T00:00:00"/>
    <d v="2023-09-08T00:00:00"/>
    <s v="No"/>
    <n v="67"/>
    <n v="6609.33"/>
    <x v="138"/>
    <n v="189"/>
    <d v="2022-12-01T00:00:00"/>
    <s v="G/ZOR"/>
    <s v="Location 10"/>
    <s v="Customer 8"/>
    <n v="189"/>
    <n v="34.97"/>
    <n v="6609.33"/>
  </r>
  <r>
    <d v="2024-01-26T00:00:00"/>
    <d v="2024-01-02T00:00:00"/>
    <s v="No"/>
    <n v="24"/>
    <n v="57440.04"/>
    <x v="139"/>
    <n v="84"/>
    <d v="2023-01-20T00:00:00"/>
    <s v="G/ZOR"/>
    <s v="Location 6"/>
    <s v="Customer 4"/>
    <n v="84"/>
    <n v="683.81"/>
    <n v="57440.04"/>
  </r>
  <r>
    <d v="2024-04-16T00:00:00"/>
    <d v="2024-01-04T00:00:00"/>
    <s v="No"/>
    <n v="103"/>
    <n v="57440.04"/>
    <x v="139"/>
    <n v="84"/>
    <d v="2023-04-12T00:00:00"/>
    <s v="G/ZOR"/>
    <s v="Location 6"/>
    <s v="Customer 4"/>
    <n v="84"/>
    <n v="683.81"/>
    <n v="57440.04"/>
  </r>
  <r>
    <d v="2024-03-15T00:00:00"/>
    <d v="2023-04-17T00:00:00"/>
    <s v="No"/>
    <n v="333"/>
    <n v="151307.51999999999"/>
    <x v="140"/>
    <n v="1092"/>
    <d v="2023-03-23T00:00:00"/>
    <s v="G/ZOR"/>
    <s v="Location 11"/>
    <s v="Customer 2"/>
    <n v="1092"/>
    <n v="138.56"/>
    <n v="151307.51999999999"/>
  </r>
  <r>
    <d v="2023-09-30T00:00:00"/>
    <d v="2022-11-07T00:00:00"/>
    <s v="No"/>
    <n v="327"/>
    <n v="3205.68"/>
    <x v="141"/>
    <n v="222"/>
    <d v="2022-01-18T00:00:00"/>
    <s v="G/ZOR"/>
    <s v="Location 6"/>
    <s v="Customer 4"/>
    <n v="222"/>
    <n v="14.44"/>
    <n v="3205.68"/>
  </r>
  <r>
    <d v="2023-09-30T00:00:00"/>
    <d v="2022-10-10T00:00:00"/>
    <s v="No"/>
    <n v="355"/>
    <n v="1631.72"/>
    <x v="141"/>
    <n v="113"/>
    <d v="2022-01-24T00:00:00"/>
    <s v="G/ZOR"/>
    <s v="Location 6"/>
    <s v="Customer 4"/>
    <n v="222"/>
    <n v="14.44"/>
    <n v="3205.68"/>
  </r>
  <r>
    <d v="2023-09-30T00:00:00"/>
    <d v="2022-10-10T00:00:00"/>
    <s v="No"/>
    <n v="355"/>
    <n v="101.08"/>
    <x v="141"/>
    <n v="7"/>
    <d v="2022-02-15T00:00:00"/>
    <s v="G/ZOR"/>
    <s v="Location 6"/>
    <s v="Customer 4"/>
    <n v="7"/>
    <n v="14.44"/>
    <n v="101.08"/>
  </r>
  <r>
    <d v="2023-09-30T00:00:00"/>
    <d v="2022-10-10T00:00:00"/>
    <s v="No"/>
    <n v="355"/>
    <n v="3104.6"/>
    <x v="141"/>
    <n v="215"/>
    <d v="2022-06-21T00:00:00"/>
    <s v="G/ZOR"/>
    <s v="Location 6"/>
    <s v="Customer 4"/>
    <n v="215"/>
    <n v="14.44"/>
    <n v="3104.6"/>
  </r>
  <r>
    <d v="2023-09-30T00:00:00"/>
    <d v="2023-04-11T00:00:00"/>
    <s v="No"/>
    <n v="172"/>
    <n v="4880.72"/>
    <x v="141"/>
    <n v="338"/>
    <d v="2022-07-08T00:00:00"/>
    <s v="G/ZOR"/>
    <s v="Location 6"/>
    <s v="Customer 4"/>
    <n v="338"/>
    <n v="14.44"/>
    <n v="4880.72"/>
  </r>
  <r>
    <d v="2023-10-28T00:00:00"/>
    <d v="2023-10-28T00:00:00"/>
    <s v="Yes"/>
    <n v="0"/>
    <n v="62227.199999999997"/>
    <x v="112"/>
    <n v="1120"/>
    <d v="2022-04-04T00:00:00"/>
    <s v="G/ZOR"/>
    <s v="Location 6"/>
    <s v="Customer 4"/>
    <n v="1120"/>
    <n v="55.56"/>
    <n v="62227.199999999997"/>
  </r>
  <r>
    <d v="2023-10-26T00:00:00"/>
    <d v="2023-10-19T00:00:00"/>
    <s v="No"/>
    <n v="7"/>
    <n v="62227.199999999997"/>
    <x v="112"/>
    <n v="1120"/>
    <d v="2022-06-03T00:00:00"/>
    <s v="G/ZOR"/>
    <s v="Location 6"/>
    <s v="Customer 4"/>
    <n v="1120"/>
    <n v="55.56"/>
    <n v="62227.199999999997"/>
  </r>
  <r>
    <d v="2024-04-04T00:00:00"/>
    <d v="2024-04-04T00:00:00"/>
    <s v="Yes"/>
    <n v="0"/>
    <n v="62227.199999999997"/>
    <x v="112"/>
    <n v="1120"/>
    <d v="2022-09-20T00:00:00"/>
    <s v="G/ZOR"/>
    <s v="Location 6"/>
    <s v="Customer 4"/>
    <n v="1120"/>
    <n v="55.56"/>
    <n v="62227.199999999997"/>
  </r>
  <r>
    <d v="2024-04-20T00:00:00"/>
    <d v="2024-04-20T00:00:00"/>
    <s v="Yes"/>
    <n v="0"/>
    <n v="62227.199999999997"/>
    <x v="112"/>
    <n v="1120"/>
    <d v="2022-09-20T00:00:00"/>
    <s v="G/ZOR"/>
    <s v="Location 6"/>
    <s v="Customer 4"/>
    <n v="1120"/>
    <n v="55.56"/>
    <n v="62227.199999999997"/>
  </r>
  <r>
    <d v="2024-05-23T00:00:00"/>
    <d v="2024-05-23T00:00:00"/>
    <s v="Yes"/>
    <n v="0"/>
    <n v="62227.199999999997"/>
    <x v="112"/>
    <n v="1120"/>
    <d v="2022-09-23T00:00:00"/>
    <s v="G/ZOR"/>
    <s v="Location 6"/>
    <s v="Customer 4"/>
    <n v="1120"/>
    <n v="55.56"/>
    <n v="62227.199999999997"/>
  </r>
  <r>
    <d v="2023-10-18T00:00:00"/>
    <d v="2023-02-22T00:00:00"/>
    <s v="No"/>
    <n v="238"/>
    <n v="58699.199999999997"/>
    <x v="112"/>
    <n v="1120"/>
    <d v="2022-08-10T00:00:00"/>
    <s v="G/ZOR"/>
    <s v="Location 7"/>
    <s v="Customer 5"/>
    <n v="1120"/>
    <n v="52.41"/>
    <n v="58699.199999999997"/>
  </r>
  <r>
    <d v="2023-10-18T00:00:00"/>
    <d v="2022-10-19T00:00:00"/>
    <s v="No"/>
    <n v="364"/>
    <n v="62227.199999999997"/>
    <x v="112"/>
    <n v="1120"/>
    <d v="2022-08-10T00:00:00"/>
    <s v="G/ZOR"/>
    <s v="Location 7"/>
    <s v="Customer 5"/>
    <n v="1120"/>
    <n v="55.56"/>
    <n v="62227.199999999997"/>
  </r>
  <r>
    <d v="2024-08-21T00:00:00"/>
    <d v="2024-08-08T00:00:00"/>
    <s v="No"/>
    <n v="13"/>
    <n v="62227.199999999997"/>
    <x v="112"/>
    <n v="1120"/>
    <d v="2023-04-28T00:00:00"/>
    <s v="G/ZOR"/>
    <s v="Location 7"/>
    <s v="Customer 5"/>
    <n v="1120"/>
    <n v="55.56"/>
    <n v="62227.199999999997"/>
  </r>
  <r>
    <d v="2024-10-30T00:00:00"/>
    <d v="2024-10-10T00:00:00"/>
    <s v="No"/>
    <n v="20"/>
    <n v="62227.199999999997"/>
    <x v="112"/>
    <n v="1120"/>
    <d v="2023-04-28T00:00:00"/>
    <s v="G/ZOR"/>
    <s v="Location 7"/>
    <s v="Customer 5"/>
    <n v="1120"/>
    <n v="55.56"/>
    <n v="62227.199999999997"/>
  </r>
  <r>
    <d v="2024-06-15T00:00:00"/>
    <d v="2024-06-15T00:00:00"/>
    <s v="Yes"/>
    <n v="0"/>
    <n v="29679.3"/>
    <x v="142"/>
    <n v="630"/>
    <d v="2023-04-19T00:00:00"/>
    <s v="G/ZOR"/>
    <s v="Location 6"/>
    <s v="Customer 4"/>
    <n v="630"/>
    <n v="47.11"/>
    <n v="29679.3"/>
  </r>
  <r>
    <d v="2024-01-09T00:00:00"/>
    <d v="2024-01-02T00:00:00"/>
    <s v="No"/>
    <n v="7"/>
    <n v="135869.16"/>
    <x v="117"/>
    <n v="588"/>
    <d v="2022-12-06T00:00:00"/>
    <s v="G/ZOR"/>
    <s v="Location 6"/>
    <s v="Customer 4"/>
    <n v="588"/>
    <n v="231.07"/>
    <n v="135869.16"/>
  </r>
  <r>
    <d v="2024-01-09T00:00:00"/>
    <d v="2024-01-02T00:00:00"/>
    <s v="No"/>
    <n v="7"/>
    <n v="135869.16"/>
    <x v="117"/>
    <n v="588"/>
    <d v="2022-12-09T00:00:00"/>
    <s v="G/ZOR"/>
    <s v="Location 6"/>
    <s v="Customer 4"/>
    <n v="588"/>
    <n v="231.07"/>
    <n v="135869.16"/>
  </r>
  <r>
    <d v="2024-01-26T00:00:00"/>
    <d v="2024-01-02T00:00:00"/>
    <s v="No"/>
    <n v="24"/>
    <n v="35321.300000000003"/>
    <x v="143"/>
    <n v="70"/>
    <d v="2023-01-20T00:00:00"/>
    <s v="G/ZOR"/>
    <s v="Location 6"/>
    <s v="Customer 4"/>
    <n v="70"/>
    <n v="504.59"/>
    <n v="35321.300000000003"/>
  </r>
  <r>
    <d v="2024-01-26T00:00:00"/>
    <d v="2024-01-02T00:00:00"/>
    <s v="No"/>
    <n v="24"/>
    <n v="35321.300000000003"/>
    <x v="143"/>
    <n v="70"/>
    <d v="2023-01-20T00:00:00"/>
    <s v="G/ZOR"/>
    <s v="Location 6"/>
    <s v="Customer 4"/>
    <n v="70"/>
    <n v="504.59"/>
    <n v="35321.300000000003"/>
  </r>
  <r>
    <d v="2024-02-10T00:00:00"/>
    <d v="2023-07-31T00:00:00"/>
    <s v="No"/>
    <n v="194"/>
    <n v="328408.28999999998"/>
    <x v="119"/>
    <n v="441"/>
    <d v="2022-05-27T00:00:00"/>
    <s v="G/ZOR"/>
    <s v="Location 8"/>
    <s v="Customer 6"/>
    <n v="882"/>
    <n v="744.69"/>
    <n v="656816.57999999996"/>
  </r>
  <r>
    <d v="2024-02-10T00:00:00"/>
    <d v="2023-08-07T00:00:00"/>
    <s v="No"/>
    <n v="187"/>
    <n v="437877.72"/>
    <x v="119"/>
    <n v="588"/>
    <d v="2022-05-27T00:00:00"/>
    <s v="G/ZOR"/>
    <s v="Location 8"/>
    <s v="Customer 6"/>
    <n v="882"/>
    <n v="744.69"/>
    <n v="656816.57999999996"/>
  </r>
  <r>
    <d v="2024-04-05T00:00:00"/>
    <d v="2023-08-07T00:00:00"/>
    <s v="No"/>
    <n v="242"/>
    <n v="218938.86"/>
    <x v="119"/>
    <n v="294"/>
    <d v="2022-05-27T00:00:00"/>
    <s v="G/ZOR"/>
    <s v="Location 8"/>
    <s v="Customer 6"/>
    <n v="882"/>
    <n v="744.69"/>
    <n v="656816.57999999996"/>
  </r>
  <r>
    <d v="2024-02-08T00:00:00"/>
    <d v="2023-05-19T00:00:00"/>
    <s v="No"/>
    <n v="265"/>
    <n v="24747.599999999999"/>
    <x v="144"/>
    <n v="120"/>
    <d v="2022-06-03T00:00:00"/>
    <s v="G/ZOR"/>
    <s v="Location 6"/>
    <s v="Customer 4"/>
    <n v="120"/>
    <n v="206.23"/>
    <n v="24747.599999999999"/>
  </r>
  <r>
    <d v="2024-02-15T00:00:00"/>
    <d v="2023-07-18T00:00:00"/>
    <s v="No"/>
    <n v="212"/>
    <n v="24747.599999999999"/>
    <x v="144"/>
    <n v="120"/>
    <d v="2022-06-03T00:00:00"/>
    <s v="G/ZOR"/>
    <s v="Location 6"/>
    <s v="Customer 4"/>
    <n v="120"/>
    <n v="206.23"/>
    <n v="24747.599999999999"/>
  </r>
  <r>
    <d v="2024-02-15T00:00:00"/>
    <d v="2023-06-02T00:00:00"/>
    <s v="No"/>
    <n v="258"/>
    <n v="24747.599999999999"/>
    <x v="144"/>
    <n v="120"/>
    <d v="2022-06-03T00:00:00"/>
    <s v="G/ZOR"/>
    <s v="Location 6"/>
    <s v="Customer 4"/>
    <n v="120"/>
    <n v="206.23"/>
    <n v="24747.599999999999"/>
  </r>
  <r>
    <d v="2024-02-10T00:00:00"/>
    <d v="2023-09-19T00:00:00"/>
    <s v="No"/>
    <n v="144"/>
    <n v="24747.599999999999"/>
    <x v="144"/>
    <n v="120"/>
    <d v="2022-09-20T00:00:00"/>
    <s v="G/ZOR"/>
    <s v="Location 6"/>
    <s v="Customer 4"/>
    <n v="120"/>
    <n v="206.23"/>
    <n v="24747.599999999999"/>
  </r>
  <r>
    <d v="2024-02-10T00:00:00"/>
    <d v="2023-10-25T00:00:00"/>
    <s v="No"/>
    <n v="108"/>
    <n v="24747.599999999999"/>
    <x v="144"/>
    <n v="120"/>
    <d v="2022-09-20T00:00:00"/>
    <s v="G/ZOR"/>
    <s v="Location 6"/>
    <s v="Customer 4"/>
    <n v="120"/>
    <n v="206.23"/>
    <n v="24747.599999999999"/>
  </r>
  <r>
    <d v="2024-02-21T00:00:00"/>
    <d v="2024-01-04T00:00:00"/>
    <s v="No"/>
    <n v="48"/>
    <n v="24747.599999999999"/>
    <x v="144"/>
    <n v="120"/>
    <d v="2023-04-13T00:00:00"/>
    <s v="G/ZOR"/>
    <s v="Location 6"/>
    <s v="Customer 4"/>
    <n v="120"/>
    <n v="206.23"/>
    <n v="24747.599999999999"/>
  </r>
  <r>
    <d v="2024-05-21T00:00:00"/>
    <d v="2024-01-04T00:00:00"/>
    <s v="No"/>
    <n v="138"/>
    <n v="24747.599999999999"/>
    <x v="144"/>
    <n v="120"/>
    <d v="2023-05-16T00:00:00"/>
    <s v="G/ZOR"/>
    <s v="Location 6"/>
    <s v="Customer 4"/>
    <n v="120"/>
    <n v="206.23"/>
    <n v="24747.599999999999"/>
  </r>
  <r>
    <d v="2024-05-21T00:00:00"/>
    <d v="2024-01-04T00:00:00"/>
    <s v="No"/>
    <n v="138"/>
    <n v="24747.599999999999"/>
    <x v="144"/>
    <n v="120"/>
    <d v="2023-05-16T00:00:00"/>
    <s v="G/ZOR"/>
    <s v="Location 6"/>
    <s v="Customer 4"/>
    <n v="120"/>
    <n v="206.23"/>
    <n v="24747.599999999999"/>
  </r>
  <r>
    <d v="2023-10-26T00:00:00"/>
    <d v="2023-02-06T00:00:00"/>
    <s v="No"/>
    <n v="262"/>
    <n v="17481.240000000002"/>
    <x v="145"/>
    <n v="252"/>
    <d v="2022-10-21T00:00:00"/>
    <s v="G/ZOR"/>
    <s v="Location 7"/>
    <s v="Customer 5"/>
    <n v="252"/>
    <n v="69.37"/>
    <n v="17481.240000000002"/>
  </r>
  <r>
    <d v="2023-11-21T00:00:00"/>
    <d v="2023-07-01T00:00:00"/>
    <s v="No"/>
    <n v="143"/>
    <n v="17481.240000000002"/>
    <x v="145"/>
    <n v="252"/>
    <d v="2023-04-28T00:00:00"/>
    <s v="G/ZOR"/>
    <s v="Location 7"/>
    <s v="Customer 5"/>
    <n v="252"/>
    <n v="69.37"/>
    <n v="17481.240000000002"/>
  </r>
  <r>
    <d v="2024-05-10T00:00:00"/>
    <d v="2024-03-01T00:00:00"/>
    <s v="No"/>
    <n v="70"/>
    <n v="17481.240000000002"/>
    <x v="145"/>
    <n v="252"/>
    <d v="2023-06-22T00:00:00"/>
    <s v="G/ZOR"/>
    <s v="Location 7"/>
    <s v="Customer 5"/>
    <n v="252"/>
    <n v="69.37"/>
    <n v="17481.240000000002"/>
  </r>
  <r>
    <d v="2024-05-16T00:00:00"/>
    <d v="2024-04-12T00:00:00"/>
    <s v="No"/>
    <n v="34"/>
    <n v="17481.240000000002"/>
    <x v="145"/>
    <n v="252"/>
    <d v="2023-07-08T00:00:00"/>
    <s v="G/ZOR"/>
    <s v="Location 7"/>
    <s v="Customer 5"/>
    <n v="252"/>
    <n v="69.37"/>
    <n v="17481.240000000002"/>
  </r>
  <r>
    <d v="2024-05-17T00:00:00"/>
    <d v="2024-05-17T00:00:00"/>
    <s v="Yes"/>
    <n v="0"/>
    <n v="17481.240000000002"/>
    <x v="145"/>
    <n v="252"/>
    <d v="2023-07-08T00:00:00"/>
    <s v="G/ZOR"/>
    <s v="Location 7"/>
    <s v="Customer 5"/>
    <n v="252"/>
    <n v="69.37"/>
    <n v="17481.240000000002"/>
  </r>
  <r>
    <d v="2023-09-18T00:00:00"/>
    <d v="2023-09-02T00:00:00"/>
    <s v="No"/>
    <n v="16"/>
    <n v="12320"/>
    <x v="126"/>
    <n v="125"/>
    <d v="2022-07-15T00:00:00"/>
    <s v="G/ZOR"/>
    <s v="Location 6"/>
    <s v="Customer 4"/>
    <n v="588"/>
    <n v="98.56"/>
    <n v="57953.279999999999"/>
  </r>
  <r>
    <d v="2023-12-01T00:00:00"/>
    <d v="2023-12-01T00:00:00"/>
    <s v="Yes"/>
    <n v="0"/>
    <n v="57953.279999999999"/>
    <x v="126"/>
    <n v="588"/>
    <d v="2022-10-27T00:00:00"/>
    <s v="G/ZOR"/>
    <s v="Location 6"/>
    <s v="Customer 4"/>
    <n v="588"/>
    <n v="98.56"/>
    <n v="57953.279999999999"/>
  </r>
  <r>
    <d v="2024-01-02T00:00:00"/>
    <d v="2024-01-02T00:00:00"/>
    <s v="Yes"/>
    <n v="0"/>
    <n v="57953.279999999999"/>
    <x v="126"/>
    <n v="588"/>
    <d v="2022-12-09T00:00:00"/>
    <s v="G/ZOR"/>
    <s v="Location 6"/>
    <s v="Customer 4"/>
    <n v="588"/>
    <n v="98.56"/>
    <n v="57953.279999999999"/>
  </r>
  <r>
    <d v="2024-01-13T00:00:00"/>
    <d v="2024-01-02T00:00:00"/>
    <s v="No"/>
    <n v="11"/>
    <n v="57953.279999999999"/>
    <x v="126"/>
    <n v="588"/>
    <d v="2022-12-22T00:00:00"/>
    <s v="G/ZOR"/>
    <s v="Location 6"/>
    <s v="Customer 4"/>
    <n v="588"/>
    <n v="98.56"/>
    <n v="57953.279999999999"/>
  </r>
  <r>
    <d v="2024-01-13T00:00:00"/>
    <d v="2024-01-02T00:00:00"/>
    <s v="No"/>
    <n v="11"/>
    <n v="57953.279999999999"/>
    <x v="126"/>
    <n v="588"/>
    <d v="2022-12-22T00:00:00"/>
    <s v="G/ZOR"/>
    <s v="Location 6"/>
    <s v="Customer 4"/>
    <n v="588"/>
    <n v="98.56"/>
    <n v="57953.279999999999"/>
  </r>
  <r>
    <d v="2024-02-09T00:00:00"/>
    <d v="2024-01-02T00:00:00"/>
    <s v="No"/>
    <n v="38"/>
    <n v="57953.279999999999"/>
    <x v="126"/>
    <n v="588"/>
    <d v="2023-01-31T00:00:00"/>
    <s v="G/ZOR"/>
    <s v="Location 6"/>
    <s v="Customer 4"/>
    <n v="588"/>
    <n v="98.56"/>
    <n v="57953.279999999999"/>
  </r>
  <r>
    <d v="2024-04-12T00:00:00"/>
    <d v="2024-01-04T00:00:00"/>
    <s v="No"/>
    <n v="99"/>
    <n v="57953.279999999999"/>
    <x v="126"/>
    <n v="588"/>
    <d v="2023-03-28T00:00:00"/>
    <s v="G/ZOR"/>
    <s v="Location 6"/>
    <s v="Customer 4"/>
    <n v="588"/>
    <n v="98.56"/>
    <n v="57953.279999999999"/>
  </r>
  <r>
    <d v="2023-12-30T00:00:00"/>
    <d v="2023-02-10T00:00:00"/>
    <s v="No"/>
    <n v="323"/>
    <n v="431751.6"/>
    <x v="146"/>
    <n v="2520"/>
    <d v="2022-08-11T00:00:00"/>
    <s v="G/ZOR"/>
    <s v="Location 8"/>
    <s v="Customer 6"/>
    <n v="2520"/>
    <n v="171.33"/>
    <n v="431751.6"/>
  </r>
  <r>
    <d v="2023-10-26T00:00:00"/>
    <d v="2023-10-20T00:00:00"/>
    <s v="No"/>
    <n v="6"/>
    <n v="3011.4"/>
    <x v="147"/>
    <n v="21000"/>
    <d v="2022-11-02T00:00:00"/>
    <s v="G/ZOR"/>
    <s v="Location 6"/>
    <s v="Customer 4"/>
    <n v="21000"/>
    <n v="0.14000000000000001"/>
    <n v="2940"/>
  </r>
  <r>
    <d v="2023-10-20T00:00:00"/>
    <d v="2023-01-31T00:00:00"/>
    <s v="No"/>
    <n v="262"/>
    <n v="25085.9"/>
    <x v="148"/>
    <n v="7"/>
    <d v="2022-01-05T00:00:00"/>
    <s v="G/ZOR"/>
    <s v="Location 8"/>
    <s v="Customer 6"/>
    <n v="7"/>
    <n v="3583.7"/>
    <n v="25085.9"/>
  </r>
  <r>
    <d v="2024-01-06T00:00:00"/>
    <d v="2023-12-27T00:00:00"/>
    <s v="No"/>
    <n v="10"/>
    <n v="179185"/>
    <x v="148"/>
    <n v="50"/>
    <d v="2022-04-14T00:00:00"/>
    <s v="G/ZOR"/>
    <s v="Location 8"/>
    <s v="Customer 6"/>
    <n v="50"/>
    <n v="3583.7"/>
    <n v="179185"/>
  </r>
  <r>
    <d v="2023-12-30T00:00:00"/>
    <d v="2023-05-02T00:00:00"/>
    <s v="No"/>
    <n v="242"/>
    <n v="179185"/>
    <x v="148"/>
    <n v="50"/>
    <d v="2022-05-27T00:00:00"/>
    <s v="G/ZOR"/>
    <s v="Location 8"/>
    <s v="Customer 6"/>
    <n v="50"/>
    <n v="3583.7"/>
    <n v="179185"/>
  </r>
  <r>
    <d v="2023-10-20T00:00:00"/>
    <d v="2022-10-01T00:00:00"/>
    <s v="No"/>
    <n v="384"/>
    <n v="154099.1"/>
    <x v="148"/>
    <n v="43"/>
    <d v="2022-07-05T00:00:00"/>
    <s v="G/ZOR"/>
    <s v="Location 8"/>
    <s v="Customer 6"/>
    <n v="43"/>
    <n v="3583.7"/>
    <n v="154099.1"/>
  </r>
  <r>
    <d v="2023-12-30T00:00:00"/>
    <d v="2023-06-27T00:00:00"/>
    <s v="No"/>
    <n v="186"/>
    <n v="179185"/>
    <x v="148"/>
    <n v="50"/>
    <d v="2022-08-17T00:00:00"/>
    <s v="G/ZOR"/>
    <s v="Location 8"/>
    <s v="Customer 6"/>
    <n v="50"/>
    <n v="3583.7"/>
    <n v="179185"/>
  </r>
  <r>
    <d v="2023-12-30T00:00:00"/>
    <d v="2023-08-01T00:00:00"/>
    <s v="No"/>
    <n v="151"/>
    <n v="358370"/>
    <x v="148"/>
    <n v="100"/>
    <d v="2022-08-17T00:00:00"/>
    <s v="G/ZOR"/>
    <s v="Location 8"/>
    <s v="Customer 6"/>
    <n v="100"/>
    <n v="3583.7"/>
    <n v="358370"/>
  </r>
  <r>
    <d v="2023-09-15T00:00:00"/>
    <d v="2023-05-02T00:00:00"/>
    <s v="No"/>
    <n v="136"/>
    <n v="33447.839999999997"/>
    <x v="149"/>
    <n v="8"/>
    <d v="2023-06-21T00:00:00"/>
    <s v="G/ZOR"/>
    <s v="Location 8"/>
    <s v="Customer 6"/>
    <n v="8"/>
    <n v="4180.9799999999996"/>
    <n v="33447.839999999997"/>
  </r>
  <r>
    <d v="2023-10-19T00:00:00"/>
    <d v="2023-03-16T00:00:00"/>
    <s v="No"/>
    <n v="217"/>
    <n v="154299.6"/>
    <x v="150"/>
    <n v="216"/>
    <d v="2022-04-29T00:00:00"/>
    <s v="G/ZOR"/>
    <s v="Location 6"/>
    <s v="Customer 4"/>
    <n v="216"/>
    <n v="714.35"/>
    <n v="154299.6"/>
  </r>
  <r>
    <d v="2023-10-21T00:00:00"/>
    <d v="2023-03-23T00:00:00"/>
    <s v="No"/>
    <n v="212"/>
    <n v="87150.7"/>
    <x v="150"/>
    <n v="122"/>
    <d v="2022-04-29T00:00:00"/>
    <s v="G/ZOR"/>
    <s v="Location 6"/>
    <s v="Customer 4"/>
    <n v="252"/>
    <n v="714.35"/>
    <n v="180016.2"/>
  </r>
  <r>
    <d v="2023-11-02T00:00:00"/>
    <d v="2023-03-23T00:00:00"/>
    <s v="No"/>
    <n v="224"/>
    <n v="92865.5"/>
    <x v="150"/>
    <n v="130"/>
    <d v="2022-04-29T00:00:00"/>
    <s v="G/ZOR"/>
    <s v="Location 6"/>
    <s v="Customer 4"/>
    <n v="252"/>
    <n v="714.35"/>
    <n v="180016.2"/>
  </r>
  <r>
    <d v="2023-11-02T00:00:00"/>
    <d v="2023-03-24T00:00:00"/>
    <s v="No"/>
    <n v="223"/>
    <n v="102152.05"/>
    <x v="150"/>
    <n v="143"/>
    <d v="2022-04-29T00:00:00"/>
    <s v="G/ZOR"/>
    <s v="Location 6"/>
    <s v="Customer 4"/>
    <n v="216"/>
    <n v="714.35"/>
    <n v="154299.6"/>
  </r>
  <r>
    <d v="2023-11-09T00:00:00"/>
    <d v="2023-03-24T00:00:00"/>
    <s v="No"/>
    <n v="230"/>
    <n v="52147.55"/>
    <x v="150"/>
    <n v="73"/>
    <d v="2022-04-29T00:00:00"/>
    <s v="G/ZOR"/>
    <s v="Location 6"/>
    <s v="Customer 4"/>
    <n v="216"/>
    <n v="714.35"/>
    <n v="154299.6"/>
  </r>
  <r>
    <d v="2023-10-19T00:00:00"/>
    <d v="2023-03-16T00:00:00"/>
    <s v="No"/>
    <n v="217"/>
    <n v="154299.6"/>
    <x v="150"/>
    <n v="216"/>
    <d v="2022-05-05T00:00:00"/>
    <s v="G/ZOR"/>
    <s v="Location 6"/>
    <s v="Customer 4"/>
    <n v="216"/>
    <n v="714.35"/>
    <n v="154299.6"/>
  </r>
  <r>
    <d v="2023-10-19T00:00:00"/>
    <d v="2023-03-17T00:00:00"/>
    <s v="No"/>
    <n v="216"/>
    <n v="10000.9"/>
    <x v="150"/>
    <n v="14"/>
    <d v="2022-05-05T00:00:00"/>
    <s v="G/ZOR"/>
    <s v="Location 6"/>
    <s v="Customer 4"/>
    <n v="216"/>
    <n v="714.35"/>
    <n v="154299.6"/>
  </r>
  <r>
    <d v="2023-10-21T00:00:00"/>
    <d v="2023-03-17T00:00:00"/>
    <s v="No"/>
    <n v="218"/>
    <n v="144298.70000000001"/>
    <x v="150"/>
    <n v="202"/>
    <d v="2022-05-05T00:00:00"/>
    <s v="G/ZOR"/>
    <s v="Location 6"/>
    <s v="Customer 4"/>
    <n v="216"/>
    <n v="714.35"/>
    <n v="154299.6"/>
  </r>
  <r>
    <d v="2023-10-19T00:00:00"/>
    <d v="2023-03-10T00:00:00"/>
    <s v="No"/>
    <n v="223"/>
    <n v="118582.1"/>
    <x v="150"/>
    <n v="166"/>
    <d v="2022-05-05T00:00:00"/>
    <s v="G/ZOR"/>
    <s v="Location 6"/>
    <s v="Customer 4"/>
    <n v="180"/>
    <n v="714.35"/>
    <n v="128583"/>
  </r>
  <r>
    <d v="2023-11-16T00:00:00"/>
    <d v="2023-05-05T00:00:00"/>
    <s v="No"/>
    <n v="195"/>
    <n v="154299.6"/>
    <x v="150"/>
    <n v="216"/>
    <d v="2022-05-05T00:00:00"/>
    <s v="G/ZOR"/>
    <s v="Location 6"/>
    <s v="Customer 4"/>
    <n v="216"/>
    <n v="714.35"/>
    <n v="154299.6"/>
  </r>
  <r>
    <d v="2023-11-16T00:00:00"/>
    <d v="2023-05-05T00:00:00"/>
    <s v="No"/>
    <n v="195"/>
    <n v="164300.5"/>
    <x v="150"/>
    <n v="230"/>
    <d v="2022-05-05T00:00:00"/>
    <s v="G/ZOR"/>
    <s v="Location 6"/>
    <s v="Customer 4"/>
    <n v="252"/>
    <n v="714.35"/>
    <n v="180016.2"/>
  </r>
  <r>
    <d v="2024-01-09T00:00:00"/>
    <d v="2023-05-05T00:00:00"/>
    <s v="No"/>
    <n v="249"/>
    <n v="15715.7"/>
    <x v="150"/>
    <n v="22"/>
    <d v="2022-05-05T00:00:00"/>
    <s v="G/ZOR"/>
    <s v="Location 6"/>
    <s v="Customer 4"/>
    <n v="252"/>
    <n v="714.35"/>
    <n v="180016.2"/>
  </r>
  <r>
    <d v="2024-01-09T00:00:00"/>
    <d v="2023-05-19T00:00:00"/>
    <s v="No"/>
    <n v="235"/>
    <n v="102866.4"/>
    <x v="150"/>
    <n v="144"/>
    <d v="2022-05-05T00:00:00"/>
    <s v="G/ZOR"/>
    <s v="Location 6"/>
    <s v="Customer 4"/>
    <n v="144"/>
    <n v="714.35"/>
    <n v="102866.4"/>
  </r>
  <r>
    <d v="2024-01-09T00:00:00"/>
    <d v="2023-10-27T00:00:00"/>
    <s v="No"/>
    <n v="74"/>
    <n v="180016.2"/>
    <x v="150"/>
    <n v="252"/>
    <d v="2022-05-05T00:00:00"/>
    <s v="G/ZOR"/>
    <s v="Location 6"/>
    <s v="Customer 4"/>
    <n v="252"/>
    <n v="714.35"/>
    <n v="180016.2"/>
  </r>
  <r>
    <d v="2024-01-09T00:00:00"/>
    <d v="2023-11-03T00:00:00"/>
    <s v="No"/>
    <n v="67"/>
    <n v="102866.4"/>
    <x v="150"/>
    <n v="144"/>
    <d v="2022-05-26T00:00:00"/>
    <s v="G/ZOR"/>
    <s v="Location 6"/>
    <s v="Customer 4"/>
    <n v="144"/>
    <n v="714.35"/>
    <n v="102866.4"/>
  </r>
  <r>
    <d v="2024-01-09T00:00:00"/>
    <d v="2023-11-10T00:00:00"/>
    <s v="No"/>
    <n v="60"/>
    <n v="180016.2"/>
    <x v="150"/>
    <n v="252"/>
    <d v="2022-05-26T00:00:00"/>
    <s v="G/ZOR"/>
    <s v="Location 6"/>
    <s v="Customer 4"/>
    <n v="252"/>
    <n v="714.35"/>
    <n v="180016.2"/>
  </r>
  <r>
    <d v="2024-01-09T00:00:00"/>
    <d v="2023-11-03T00:00:00"/>
    <s v="No"/>
    <n v="67"/>
    <n v="77149.8"/>
    <x v="150"/>
    <n v="108"/>
    <d v="2022-05-26T00:00:00"/>
    <s v="G/ZOR"/>
    <s v="Location 6"/>
    <s v="Customer 4"/>
    <n v="108"/>
    <n v="714.35"/>
    <n v="77149.8"/>
  </r>
  <r>
    <d v="2023-10-19T00:00:00"/>
    <d v="2023-03-10T00:00:00"/>
    <s v="No"/>
    <n v="223"/>
    <n v="51433.2"/>
    <x v="150"/>
    <n v="72"/>
    <d v="2022-06-09T00:00:00"/>
    <s v="G/ZOR"/>
    <s v="Location 6"/>
    <s v="Customer 4"/>
    <n v="72"/>
    <n v="714.35"/>
    <n v="51433.2"/>
  </r>
  <r>
    <d v="2024-01-09T00:00:00"/>
    <d v="2023-11-17T00:00:00"/>
    <s v="No"/>
    <n v="53"/>
    <n v="25716.6"/>
    <x v="150"/>
    <n v="36"/>
    <d v="2022-06-09T00:00:00"/>
    <s v="G/ZOR"/>
    <s v="Location 6"/>
    <s v="Customer 4"/>
    <n v="36"/>
    <n v="714.35"/>
    <n v="25716.6"/>
  </r>
  <r>
    <d v="2023-11-09T00:00:00"/>
    <d v="2023-03-24T00:00:00"/>
    <s v="No"/>
    <n v="230"/>
    <n v="127868.65"/>
    <x v="150"/>
    <n v="179"/>
    <d v="2022-06-28T00:00:00"/>
    <s v="G/ZOR"/>
    <s v="Location 6"/>
    <s v="Customer 4"/>
    <n v="216"/>
    <n v="714.35"/>
    <n v="154299.6"/>
  </r>
  <r>
    <d v="2023-11-16T00:00:00"/>
    <d v="2023-03-24T00:00:00"/>
    <s v="No"/>
    <n v="237"/>
    <n v="26430.95"/>
    <x v="150"/>
    <n v="37"/>
    <d v="2022-06-28T00:00:00"/>
    <s v="G/ZOR"/>
    <s v="Location 6"/>
    <s v="Customer 4"/>
    <n v="216"/>
    <n v="714.35"/>
    <n v="154299.6"/>
  </r>
  <r>
    <d v="2023-11-16T00:00:00"/>
    <d v="2023-04-07T00:00:00"/>
    <s v="No"/>
    <n v="223"/>
    <n v="246450.75"/>
    <x v="150"/>
    <n v="345"/>
    <d v="2022-06-28T00:00:00"/>
    <s v="G/ZOR"/>
    <s v="Location 6"/>
    <s v="Customer 4"/>
    <n v="345"/>
    <n v="714.35"/>
    <n v="246450.75"/>
  </r>
  <r>
    <d v="2024-01-09T00:00:00"/>
    <d v="2024-01-02T00:00:00"/>
    <s v="No"/>
    <n v="7"/>
    <n v="154299.6"/>
    <x v="150"/>
    <n v="216"/>
    <d v="2022-10-05T00:00:00"/>
    <s v="G/ZOR"/>
    <s v="Location 6"/>
    <s v="Customer 4"/>
    <n v="216"/>
    <n v="714.35"/>
    <n v="154299.6"/>
  </r>
  <r>
    <d v="2024-01-09T00:00:00"/>
    <d v="2024-01-02T00:00:00"/>
    <s v="No"/>
    <n v="7"/>
    <n v="112867.3"/>
    <x v="150"/>
    <n v="158"/>
    <d v="2022-10-05T00:00:00"/>
    <s v="G/ZOR"/>
    <s v="Location 6"/>
    <s v="Customer 4"/>
    <n v="216"/>
    <n v="714.35"/>
    <n v="154299.6"/>
  </r>
  <r>
    <d v="2024-01-23T00:00:00"/>
    <d v="2024-01-02T00:00:00"/>
    <s v="No"/>
    <n v="21"/>
    <n v="41432.300000000003"/>
    <x v="150"/>
    <n v="58"/>
    <d v="2022-10-05T00:00:00"/>
    <s v="G/ZOR"/>
    <s v="Location 6"/>
    <s v="Customer 4"/>
    <n v="216"/>
    <n v="714.35"/>
    <n v="154299.6"/>
  </r>
  <r>
    <d v="2024-01-23T00:00:00"/>
    <d v="2024-01-02T00:00:00"/>
    <s v="No"/>
    <n v="21"/>
    <n v="77149.8"/>
    <x v="150"/>
    <n v="108"/>
    <d v="2022-10-05T00:00:00"/>
    <s v="G/ZOR"/>
    <s v="Location 6"/>
    <s v="Customer 4"/>
    <n v="108"/>
    <n v="714.35"/>
    <n v="77149.8"/>
  </r>
  <r>
    <d v="2024-01-23T00:00:00"/>
    <d v="2024-01-02T00:00:00"/>
    <s v="No"/>
    <n v="21"/>
    <n v="257166"/>
    <x v="150"/>
    <n v="360"/>
    <d v="2022-10-18T00:00:00"/>
    <s v="G/ZOR"/>
    <s v="Location 6"/>
    <s v="Customer 4"/>
    <n v="360"/>
    <n v="714.35"/>
    <n v="257166"/>
  </r>
  <r>
    <d v="2024-01-26T00:00:00"/>
    <d v="2024-01-02T00:00:00"/>
    <s v="No"/>
    <n v="24"/>
    <n v="61434.1"/>
    <x v="150"/>
    <n v="86"/>
    <d v="2022-10-28T00:00:00"/>
    <s v="G/ZOR"/>
    <s v="Location 6"/>
    <s v="Customer 4"/>
    <n v="288"/>
    <n v="714.35"/>
    <n v="205732.8"/>
  </r>
  <r>
    <d v="2024-02-02T00:00:00"/>
    <d v="2024-01-02T00:00:00"/>
    <s v="No"/>
    <n v="31"/>
    <n v="144298.70000000001"/>
    <x v="150"/>
    <n v="202"/>
    <d v="2022-10-28T00:00:00"/>
    <s v="G/ZOR"/>
    <s v="Location 6"/>
    <s v="Customer 4"/>
    <n v="288"/>
    <n v="714.35"/>
    <n v="205732.8"/>
  </r>
  <r>
    <d v="2024-02-02T00:00:00"/>
    <d v="2024-01-02T00:00:00"/>
    <s v="No"/>
    <n v="31"/>
    <n v="180016.2"/>
    <x v="150"/>
    <n v="252"/>
    <d v="2022-10-28T00:00:00"/>
    <s v="G/ZOR"/>
    <s v="Location 6"/>
    <s v="Customer 4"/>
    <n v="252"/>
    <n v="714.35"/>
    <n v="180016.2"/>
  </r>
  <r>
    <d v="2024-02-02T00:00:00"/>
    <d v="2024-01-02T00:00:00"/>
    <s v="No"/>
    <n v="31"/>
    <n v="360032.4"/>
    <x v="150"/>
    <n v="504"/>
    <d v="2022-11-01T00:00:00"/>
    <s v="G/ZOR"/>
    <s v="Location 6"/>
    <s v="Customer 4"/>
    <n v="504"/>
    <n v="714.35"/>
    <n v="360032.4"/>
  </r>
  <r>
    <d v="2024-02-02T00:00:00"/>
    <d v="2024-01-02T00:00:00"/>
    <s v="No"/>
    <n v="31"/>
    <n v="257166"/>
    <x v="150"/>
    <n v="360"/>
    <d v="2022-11-01T00:00:00"/>
    <s v="G/ZOR"/>
    <s v="Location 6"/>
    <s v="Customer 4"/>
    <n v="360"/>
    <n v="714.35"/>
    <n v="257166"/>
  </r>
  <r>
    <d v="2024-02-02T00:00:00"/>
    <d v="2024-01-02T00:00:00"/>
    <s v="No"/>
    <n v="31"/>
    <n v="10000.9"/>
    <x v="150"/>
    <n v="14"/>
    <d v="2022-11-02T00:00:00"/>
    <s v="G/ZOR"/>
    <s v="Location 6"/>
    <s v="Customer 4"/>
    <n v="216"/>
    <n v="714.35"/>
    <n v="154299.6"/>
  </r>
  <r>
    <d v="2024-02-09T00:00:00"/>
    <d v="2024-01-02T00:00:00"/>
    <s v="No"/>
    <n v="38"/>
    <n v="144298.70000000001"/>
    <x v="150"/>
    <n v="202"/>
    <d v="2022-11-02T00:00:00"/>
    <s v="G/ZOR"/>
    <s v="Location 6"/>
    <s v="Customer 4"/>
    <n v="216"/>
    <n v="714.35"/>
    <n v="154299.6"/>
  </r>
  <r>
    <d v="2024-02-09T00:00:00"/>
    <d v="2024-01-02T00:00:00"/>
    <s v="No"/>
    <n v="38"/>
    <n v="128583"/>
    <x v="150"/>
    <n v="180"/>
    <d v="2022-11-02T00:00:00"/>
    <s v="G/ZOR"/>
    <s v="Location 6"/>
    <s v="Customer 4"/>
    <n v="180"/>
    <n v="714.35"/>
    <n v="128583"/>
  </r>
  <r>
    <d v="2024-02-09T00:00:00"/>
    <d v="2024-01-02T00:00:00"/>
    <s v="No"/>
    <n v="38"/>
    <n v="128583"/>
    <x v="150"/>
    <n v="180"/>
    <d v="2022-11-02T00:00:00"/>
    <s v="G/ZOR"/>
    <s v="Location 6"/>
    <s v="Customer 4"/>
    <n v="180"/>
    <n v="714.35"/>
    <n v="128583"/>
  </r>
  <r>
    <d v="2024-02-09T00:00:00"/>
    <d v="2024-01-02T00:00:00"/>
    <s v="No"/>
    <n v="38"/>
    <n v="154299.6"/>
    <x v="150"/>
    <n v="216"/>
    <d v="2022-11-02T00:00:00"/>
    <s v="G/ZOR"/>
    <s v="Location 6"/>
    <s v="Customer 4"/>
    <n v="216"/>
    <n v="714.35"/>
    <n v="154299.6"/>
  </r>
  <r>
    <d v="2024-02-09T00:00:00"/>
    <d v="2024-01-02T00:00:00"/>
    <s v="No"/>
    <n v="38"/>
    <n v="114296"/>
    <x v="150"/>
    <n v="160"/>
    <d v="2022-11-04T00:00:00"/>
    <s v="G/ZOR"/>
    <s v="Location 6"/>
    <s v="Customer 4"/>
    <n v="540"/>
    <n v="714.35"/>
    <n v="385749"/>
  </r>
  <r>
    <d v="2024-02-10T00:00:00"/>
    <d v="2024-01-02T00:00:00"/>
    <s v="No"/>
    <n v="39"/>
    <n v="102866.4"/>
    <x v="150"/>
    <n v="144"/>
    <d v="2022-11-04T00:00:00"/>
    <s v="G/ZOR"/>
    <s v="Location 6"/>
    <s v="Customer 4"/>
    <n v="540"/>
    <n v="714.35"/>
    <n v="385749"/>
  </r>
  <r>
    <d v="2024-02-17T00:00:00"/>
    <d v="2024-01-02T00:00:00"/>
    <s v="No"/>
    <n v="46"/>
    <n v="168586.6"/>
    <x v="150"/>
    <n v="236"/>
    <d v="2022-11-04T00:00:00"/>
    <s v="G/ZOR"/>
    <s v="Location 6"/>
    <s v="Customer 4"/>
    <n v="540"/>
    <n v="714.35"/>
    <n v="385749"/>
  </r>
  <r>
    <d v="2024-02-17T00:00:00"/>
    <d v="2024-01-02T00:00:00"/>
    <s v="No"/>
    <n v="46"/>
    <n v="51433.2"/>
    <x v="150"/>
    <n v="72"/>
    <d v="2022-11-10T00:00:00"/>
    <s v="G/ZOR"/>
    <s v="Location 6"/>
    <s v="Customer 4"/>
    <n v="72"/>
    <n v="714.35"/>
    <n v="51433.2"/>
  </r>
  <r>
    <d v="2024-02-17T00:00:00"/>
    <d v="2024-01-02T00:00:00"/>
    <s v="No"/>
    <n v="46"/>
    <n v="205732.8"/>
    <x v="150"/>
    <n v="288"/>
    <d v="2022-11-14T00:00:00"/>
    <s v="G/ZOR"/>
    <s v="Location 6"/>
    <s v="Customer 4"/>
    <n v="288"/>
    <n v="714.35"/>
    <n v="205732.8"/>
  </r>
  <r>
    <d v="2024-02-17T00:00:00"/>
    <d v="2024-01-02T00:00:00"/>
    <s v="No"/>
    <n v="46"/>
    <n v="51433.2"/>
    <x v="150"/>
    <n v="72"/>
    <d v="2022-11-30T00:00:00"/>
    <s v="G/ZOR"/>
    <s v="Location 6"/>
    <s v="Customer 4"/>
    <n v="72"/>
    <n v="714.35"/>
    <n v="51433.2"/>
  </r>
  <r>
    <d v="2024-02-17T00:00:00"/>
    <d v="2024-01-02T00:00:00"/>
    <s v="No"/>
    <n v="46"/>
    <n v="102866.4"/>
    <x v="150"/>
    <n v="144"/>
    <d v="2022-11-30T00:00:00"/>
    <s v="G/ZOR"/>
    <s v="Location 6"/>
    <s v="Customer 4"/>
    <n v="144"/>
    <n v="714.35"/>
    <n v="102866.4"/>
  </r>
  <r>
    <d v="2024-02-17T00:00:00"/>
    <d v="2024-01-02T00:00:00"/>
    <s v="No"/>
    <n v="46"/>
    <n v="114296"/>
    <x v="150"/>
    <n v="160"/>
    <d v="2022-11-30T00:00:00"/>
    <s v="G/ZOR"/>
    <s v="Location 6"/>
    <s v="Customer 4"/>
    <n v="180"/>
    <n v="714.35"/>
    <n v="128583"/>
  </r>
  <r>
    <d v="2024-03-02T00:00:00"/>
    <d v="2024-01-02T00:00:00"/>
    <s v="No"/>
    <n v="60"/>
    <n v="14287"/>
    <x v="150"/>
    <n v="20"/>
    <d v="2022-11-30T00:00:00"/>
    <s v="G/ZOR"/>
    <s v="Location 6"/>
    <s v="Customer 4"/>
    <n v="180"/>
    <n v="714.35"/>
    <n v="128583"/>
  </r>
  <r>
    <d v="2024-03-02T00:00:00"/>
    <d v="2024-01-02T00:00:00"/>
    <s v="No"/>
    <n v="60"/>
    <n v="51433.2"/>
    <x v="150"/>
    <n v="72"/>
    <d v="2022-12-06T00:00:00"/>
    <s v="G/ZOR"/>
    <s v="Location 6"/>
    <s v="Customer 4"/>
    <n v="72"/>
    <n v="714.35"/>
    <n v="51433.2"/>
  </r>
  <r>
    <d v="2024-03-02T00:00:00"/>
    <d v="2024-01-02T00:00:00"/>
    <s v="No"/>
    <n v="60"/>
    <n v="128583"/>
    <x v="150"/>
    <n v="180"/>
    <d v="2022-12-14T00:00:00"/>
    <s v="G/ZOR"/>
    <s v="Location 6"/>
    <s v="Customer 4"/>
    <n v="180"/>
    <n v="714.35"/>
    <n v="128583"/>
  </r>
  <r>
    <d v="2024-03-02T00:00:00"/>
    <d v="2024-01-02T00:00:00"/>
    <s v="No"/>
    <n v="60"/>
    <n v="154299.6"/>
    <x v="150"/>
    <n v="216"/>
    <d v="2022-12-14T00:00:00"/>
    <s v="G/ZOR"/>
    <s v="Location 6"/>
    <s v="Customer 4"/>
    <n v="216"/>
    <n v="714.35"/>
    <n v="154299.6"/>
  </r>
  <r>
    <d v="2024-03-02T00:00:00"/>
    <d v="2024-01-02T00:00:00"/>
    <s v="No"/>
    <n v="60"/>
    <n v="128583"/>
    <x v="150"/>
    <n v="180"/>
    <d v="2022-12-14T00:00:00"/>
    <s v="G/ZOR"/>
    <s v="Location 6"/>
    <s v="Customer 4"/>
    <n v="180"/>
    <n v="714.35"/>
    <n v="128583"/>
  </r>
  <r>
    <d v="2024-03-02T00:00:00"/>
    <d v="2024-01-02T00:00:00"/>
    <s v="No"/>
    <n v="60"/>
    <n v="128583"/>
    <x v="150"/>
    <n v="180"/>
    <d v="2022-12-14T00:00:00"/>
    <s v="G/ZOR"/>
    <s v="Location 6"/>
    <s v="Customer 4"/>
    <n v="180"/>
    <n v="714.35"/>
    <n v="128583"/>
  </r>
  <r>
    <d v="2024-03-02T00:00:00"/>
    <d v="2024-01-02T00:00:00"/>
    <s v="No"/>
    <n v="60"/>
    <n v="108581.2"/>
    <x v="150"/>
    <n v="152"/>
    <d v="2022-12-14T00:00:00"/>
    <s v="G/ZOR"/>
    <s v="Location 6"/>
    <s v="Customer 4"/>
    <n v="180"/>
    <n v="714.35"/>
    <n v="128583"/>
  </r>
  <r>
    <d v="2024-03-07T00:00:00"/>
    <d v="2024-01-02T00:00:00"/>
    <s v="No"/>
    <n v="65"/>
    <n v="20001.8"/>
    <x v="150"/>
    <n v="28"/>
    <d v="2022-12-14T00:00:00"/>
    <s v="G/ZOR"/>
    <s v="Location 6"/>
    <s v="Customer 4"/>
    <n v="180"/>
    <n v="714.35"/>
    <n v="128583"/>
  </r>
  <r>
    <d v="2024-03-07T00:00:00"/>
    <d v="2024-01-02T00:00:00"/>
    <s v="No"/>
    <n v="65"/>
    <n v="154299.6"/>
    <x v="150"/>
    <n v="216"/>
    <d v="2022-12-14T00:00:00"/>
    <s v="G/ZOR"/>
    <s v="Location 6"/>
    <s v="Customer 4"/>
    <n v="216"/>
    <n v="714.35"/>
    <n v="154299.6"/>
  </r>
  <r>
    <d v="2024-03-07T00:00:00"/>
    <d v="2024-01-02T00:00:00"/>
    <s v="No"/>
    <n v="65"/>
    <n v="57148"/>
    <x v="150"/>
    <n v="80"/>
    <d v="2022-12-20T00:00:00"/>
    <s v="G/ZOR"/>
    <s v="Location 6"/>
    <s v="Customer 4"/>
    <n v="180"/>
    <n v="714.35"/>
    <n v="128583"/>
  </r>
  <r>
    <d v="2024-03-16T00:00:00"/>
    <d v="2024-01-02T00:00:00"/>
    <s v="No"/>
    <n v="74"/>
    <n v="71435"/>
    <x v="150"/>
    <n v="100"/>
    <d v="2022-12-20T00:00:00"/>
    <s v="G/ZOR"/>
    <s v="Location 6"/>
    <s v="Customer 4"/>
    <n v="180"/>
    <n v="714.35"/>
    <n v="128583"/>
  </r>
  <r>
    <d v="2024-03-16T00:00:00"/>
    <d v="2024-01-02T00:00:00"/>
    <s v="No"/>
    <n v="74"/>
    <n v="31431.4"/>
    <x v="150"/>
    <n v="44"/>
    <d v="2023-01-10T00:00:00"/>
    <s v="G/ZOR"/>
    <s v="Location 6"/>
    <s v="Customer 4"/>
    <n v="252"/>
    <n v="714.35"/>
    <n v="180016.2"/>
  </r>
  <r>
    <d v="2024-03-19T00:00:00"/>
    <d v="2024-01-02T00:00:00"/>
    <s v="No"/>
    <n v="77"/>
    <n v="148584.79999999999"/>
    <x v="150"/>
    <n v="208"/>
    <d v="2023-01-10T00:00:00"/>
    <s v="G/ZOR"/>
    <s v="Location 6"/>
    <s v="Customer 4"/>
    <n v="252"/>
    <n v="714.35"/>
    <n v="180016.2"/>
  </r>
  <r>
    <d v="2024-03-19T00:00:00"/>
    <d v="2024-01-02T00:00:00"/>
    <s v="No"/>
    <n v="77"/>
    <n v="160014.39999999999"/>
    <x v="150"/>
    <n v="224"/>
    <d v="2023-01-10T00:00:00"/>
    <s v="G/ZOR"/>
    <s v="Location 6"/>
    <s v="Customer 4"/>
    <n v="252"/>
    <n v="714.35"/>
    <n v="180016.2"/>
  </r>
  <r>
    <d v="2024-04-05T00:00:00"/>
    <d v="2024-01-02T00:00:00"/>
    <s v="No"/>
    <n v="94"/>
    <n v="20001.8"/>
    <x v="150"/>
    <n v="28"/>
    <d v="2023-01-10T00:00:00"/>
    <s v="G/ZOR"/>
    <s v="Location 6"/>
    <s v="Customer 4"/>
    <n v="252"/>
    <n v="714.35"/>
    <n v="180016.2"/>
  </r>
  <r>
    <d v="2024-04-05T00:00:00"/>
    <d v="2024-01-02T00:00:00"/>
    <s v="No"/>
    <n v="94"/>
    <n v="77149.8"/>
    <x v="150"/>
    <n v="108"/>
    <d v="2023-01-10T00:00:00"/>
    <s v="G/ZOR"/>
    <s v="Location 6"/>
    <s v="Customer 4"/>
    <n v="108"/>
    <n v="714.35"/>
    <n v="77149.8"/>
  </r>
  <r>
    <d v="2024-04-05T00:00:00"/>
    <d v="2024-01-02T00:00:00"/>
    <s v="No"/>
    <n v="94"/>
    <n v="180016.2"/>
    <x v="150"/>
    <n v="252"/>
    <d v="2023-01-18T00:00:00"/>
    <s v="G/ZOR"/>
    <s v="Location 6"/>
    <s v="Customer 4"/>
    <n v="252"/>
    <n v="714.35"/>
    <n v="180016.2"/>
  </r>
  <r>
    <d v="2024-04-05T00:00:00"/>
    <d v="2024-01-02T00:00:00"/>
    <s v="No"/>
    <n v="94"/>
    <n v="205732.8"/>
    <x v="150"/>
    <n v="288"/>
    <d v="2023-01-18T00:00:00"/>
    <s v="G/ZOR"/>
    <s v="Location 6"/>
    <s v="Customer 4"/>
    <n v="288"/>
    <n v="714.35"/>
    <n v="205732.8"/>
  </r>
  <r>
    <d v="2024-04-05T00:00:00"/>
    <d v="2024-01-02T00:00:00"/>
    <s v="No"/>
    <n v="94"/>
    <n v="5714.8"/>
    <x v="150"/>
    <n v="8"/>
    <d v="2023-01-18T00:00:00"/>
    <s v="G/ZOR"/>
    <s v="Location 6"/>
    <s v="Customer 4"/>
    <n v="180"/>
    <n v="714.35"/>
    <n v="128583"/>
  </r>
  <r>
    <d v="2024-04-12T00:00:00"/>
    <d v="2024-01-02T00:00:00"/>
    <s v="No"/>
    <n v="101"/>
    <n v="122868.2"/>
    <x v="150"/>
    <n v="172"/>
    <d v="2023-01-18T00:00:00"/>
    <s v="G/ZOR"/>
    <s v="Location 6"/>
    <s v="Customer 4"/>
    <n v="180"/>
    <n v="714.35"/>
    <n v="128583"/>
  </r>
  <r>
    <d v="2024-04-12T00:00:00"/>
    <d v="2024-01-02T00:00:00"/>
    <s v="No"/>
    <n v="101"/>
    <n v="180016.2"/>
    <x v="150"/>
    <n v="252"/>
    <d v="2023-01-31T00:00:00"/>
    <s v="G/ZOR"/>
    <s v="Location 6"/>
    <s v="Customer 4"/>
    <n v="252"/>
    <n v="714.35"/>
    <n v="180016.2"/>
  </r>
  <r>
    <d v="2024-04-12T00:00:00"/>
    <d v="2024-01-02T00:00:00"/>
    <s v="No"/>
    <n v="101"/>
    <n v="102866.4"/>
    <x v="150"/>
    <n v="144"/>
    <d v="2023-01-31T00:00:00"/>
    <s v="G/ZOR"/>
    <s v="Location 6"/>
    <s v="Customer 4"/>
    <n v="144"/>
    <n v="714.35"/>
    <n v="102866.4"/>
  </r>
  <r>
    <d v="2024-04-12T00:00:00"/>
    <d v="2024-01-02T00:00:00"/>
    <s v="No"/>
    <n v="101"/>
    <n v="154299.6"/>
    <x v="150"/>
    <n v="216"/>
    <d v="2023-01-31T00:00:00"/>
    <s v="G/ZOR"/>
    <s v="Location 6"/>
    <s v="Customer 4"/>
    <n v="216"/>
    <n v="714.35"/>
    <n v="154299.6"/>
  </r>
  <r>
    <d v="2024-11-07T00:00:00"/>
    <d v="2023-08-01T00:00:00"/>
    <s v="No"/>
    <n v="464"/>
    <n v="69350.399999999994"/>
    <x v="151"/>
    <n v="84"/>
    <d v="2022-08-26T00:00:00"/>
    <s v="G/ZOR"/>
    <s v="Location 8"/>
    <s v="Customer 6"/>
    <n v="84"/>
    <n v="825.6"/>
    <n v="69350.399999999994"/>
  </r>
  <r>
    <d v="2023-12-29T00:00:00"/>
    <d v="2022-12-22T00:00:00"/>
    <s v="No"/>
    <n v="372"/>
    <n v="72059.679999999993"/>
    <x v="152"/>
    <n v="1232"/>
    <d v="2022-12-19T00:00:00"/>
    <s v="G/ZOR"/>
    <s v="Location 6"/>
    <s v="Customer 4"/>
    <n v="3696"/>
    <n v="58.49"/>
    <n v="216179.04"/>
  </r>
  <r>
    <d v="2024-01-11T00:00:00"/>
    <d v="2022-12-22T00:00:00"/>
    <s v="No"/>
    <n v="385"/>
    <n v="144119.35999999999"/>
    <x v="152"/>
    <n v="2464"/>
    <d v="2022-12-19T00:00:00"/>
    <s v="G/ZOR"/>
    <s v="Location 6"/>
    <s v="Customer 4"/>
    <n v="3696"/>
    <n v="58.49"/>
    <n v="216179.04"/>
  </r>
  <r>
    <d v="2024-01-11T00:00:00"/>
    <d v="2023-09-22T00:00:00"/>
    <s v="No"/>
    <n v="111"/>
    <n v="72059.679999999993"/>
    <x v="152"/>
    <n v="1232"/>
    <d v="2022-12-19T00:00:00"/>
    <s v="G/ZOR"/>
    <s v="Location 6"/>
    <s v="Customer 4"/>
    <n v="1232"/>
    <n v="58.49"/>
    <n v="72059.679999999993"/>
  </r>
  <r>
    <d v="2024-03-22T00:00:00"/>
    <d v="2024-03-16T00:00:00"/>
    <s v="No"/>
    <n v="6"/>
    <n v="216179.04"/>
    <x v="152"/>
    <n v="3696"/>
    <d v="2023-01-23T00:00:00"/>
    <s v="G/ZOR"/>
    <s v="Location 6"/>
    <s v="Customer 4"/>
    <n v="3696"/>
    <n v="58.49"/>
    <n v="216179.04"/>
  </r>
  <r>
    <d v="2023-11-07T00:00:00"/>
    <d v="2023-10-06T00:00:00"/>
    <s v="No"/>
    <n v="32"/>
    <n v="8019.2"/>
    <x v="153"/>
    <n v="1120"/>
    <d v="2022-10-31T00:00:00"/>
    <s v="G/ZOR"/>
    <s v="Location 6"/>
    <s v="Customer 4"/>
    <n v="1120"/>
    <n v="7.16"/>
    <n v="8019.2"/>
  </r>
  <r>
    <d v="2024-01-05T00:00:00"/>
    <d v="2024-01-05T00:00:00"/>
    <s v="Yes"/>
    <n v="0"/>
    <n v="16038.4"/>
    <x v="153"/>
    <n v="2240"/>
    <d v="2022-12-20T00:00:00"/>
    <s v="G/ZOR"/>
    <s v="Location 6"/>
    <s v="Customer 4"/>
    <n v="2240"/>
    <n v="7.16"/>
    <n v="16038.4"/>
  </r>
  <r>
    <d v="2024-04-05T00:00:00"/>
    <d v="2024-04-05T00:00:00"/>
    <s v="Yes"/>
    <n v="0"/>
    <n v="8019.2"/>
    <x v="153"/>
    <n v="1120"/>
    <d v="2023-01-17T00:00:00"/>
    <s v="G/ZOR"/>
    <s v="Location 6"/>
    <s v="Customer 4"/>
    <n v="1120"/>
    <n v="7.16"/>
    <n v="8019.2"/>
  </r>
  <r>
    <d v="2024-01-06T00:00:00"/>
    <d v="2023-12-15T00:00:00"/>
    <s v="No"/>
    <n v="22"/>
    <n v="6226.92"/>
    <x v="154"/>
    <n v="252"/>
    <d v="2022-12-21T00:00:00"/>
    <s v="G/ZOR"/>
    <s v="Location 6"/>
    <s v="Customer 4"/>
    <n v="252"/>
    <n v="24.71"/>
    <n v="6226.92"/>
  </r>
  <r>
    <d v="2024-01-06T00:00:00"/>
    <d v="2023-12-15T00:00:00"/>
    <s v="No"/>
    <n v="22"/>
    <n v="6226.92"/>
    <x v="154"/>
    <n v="252"/>
    <d v="2022-12-21T00:00:00"/>
    <s v="G/ZOR"/>
    <s v="Location 6"/>
    <s v="Customer 4"/>
    <n v="252"/>
    <n v="24.71"/>
    <n v="6226.92"/>
  </r>
  <r>
    <d v="2024-09-05T00:00:00"/>
    <d v="2024-09-05T00:00:00"/>
    <s v="Yes"/>
    <n v="0"/>
    <n v="6226.92"/>
    <x v="154"/>
    <n v="252"/>
    <d v="2023-09-04T00:00:00"/>
    <s v="G/ZOR"/>
    <s v="Location 6"/>
    <s v="Customer 4"/>
    <n v="252"/>
    <n v="24.71"/>
    <n v="6226.92"/>
  </r>
  <r>
    <d v="2023-10-27T00:00:00"/>
    <d v="2022-12-23T00:00:00"/>
    <s v="No"/>
    <n v="308"/>
    <n v="80231.199999999997"/>
    <x v="155"/>
    <n v="70"/>
    <d v="2022-03-28T00:00:00"/>
    <s v="G/ZOR"/>
    <s v="Location 8"/>
    <s v="Customer 6"/>
    <n v="70"/>
    <n v="1146.1600000000001"/>
    <n v="80231.199999999997"/>
  </r>
  <r>
    <d v="2023-10-27T00:00:00"/>
    <d v="2022-12-23T00:00:00"/>
    <s v="No"/>
    <n v="308"/>
    <n v="80231.199999999997"/>
    <x v="155"/>
    <n v="70"/>
    <d v="2022-05-27T00:00:00"/>
    <s v="G/ZOR"/>
    <s v="Location 8"/>
    <s v="Customer 6"/>
    <n v="70"/>
    <n v="1146.1600000000001"/>
    <n v="80231.199999999997"/>
  </r>
  <r>
    <d v="2023-10-27T00:00:00"/>
    <d v="2023-05-31T00:00:00"/>
    <s v="No"/>
    <n v="149"/>
    <n v="160462.39999999999"/>
    <x v="155"/>
    <n v="140"/>
    <d v="2022-05-27T00:00:00"/>
    <s v="G/ZOR"/>
    <s v="Location 8"/>
    <s v="Customer 6"/>
    <n v="140"/>
    <n v="1146.1600000000001"/>
    <n v="160462.39999999999"/>
  </r>
  <r>
    <d v="2023-10-27T00:00:00"/>
    <d v="2022-12-23T00:00:00"/>
    <s v="No"/>
    <n v="308"/>
    <n v="80231.199999999997"/>
    <x v="155"/>
    <n v="70"/>
    <d v="2022-06-02T00:00:00"/>
    <s v="G/ZOR"/>
    <s v="Location 8"/>
    <s v="Customer 6"/>
    <n v="70"/>
    <n v="1146.1600000000001"/>
    <n v="80231.199999999997"/>
  </r>
  <r>
    <d v="2023-10-27T00:00:00"/>
    <d v="2023-05-02T00:00:00"/>
    <s v="No"/>
    <n v="178"/>
    <n v="160462.39999999999"/>
    <x v="155"/>
    <n v="140"/>
    <d v="2022-06-02T00:00:00"/>
    <s v="G/ZOR"/>
    <s v="Location 8"/>
    <s v="Customer 6"/>
    <n v="140"/>
    <n v="1146.1600000000001"/>
    <n v="160462.39999999999"/>
  </r>
  <r>
    <d v="2023-10-27T00:00:00"/>
    <d v="2023-06-14T00:00:00"/>
    <s v="No"/>
    <n v="135"/>
    <n v="80231.199999999997"/>
    <x v="155"/>
    <n v="70"/>
    <d v="2022-06-02T00:00:00"/>
    <s v="G/ZOR"/>
    <s v="Location 8"/>
    <s v="Customer 6"/>
    <n v="70"/>
    <n v="1146.1600000000001"/>
    <n v="80231.199999999997"/>
  </r>
  <r>
    <d v="2023-10-27T00:00:00"/>
    <d v="2022-12-23T00:00:00"/>
    <s v="No"/>
    <n v="308"/>
    <n v="160462.39999999999"/>
    <x v="155"/>
    <n v="140"/>
    <d v="2022-08-17T00:00:00"/>
    <s v="G/ZOR"/>
    <s v="Location 8"/>
    <s v="Customer 6"/>
    <n v="140"/>
    <n v="1146.1600000000001"/>
    <n v="160462.39999999999"/>
  </r>
  <r>
    <d v="2023-10-27T00:00:00"/>
    <d v="2023-06-14T00:00:00"/>
    <s v="No"/>
    <n v="135"/>
    <n v="80231.199999999997"/>
    <x v="155"/>
    <n v="70"/>
    <d v="2022-08-17T00:00:00"/>
    <s v="G/ZOR"/>
    <s v="Location 8"/>
    <s v="Customer 6"/>
    <n v="70"/>
    <n v="1146.1600000000001"/>
    <n v="80231.199999999997"/>
  </r>
  <r>
    <d v="2023-10-27T00:00:00"/>
    <d v="2023-06-27T00:00:00"/>
    <s v="No"/>
    <n v="122"/>
    <n v="320924.79999999999"/>
    <x v="155"/>
    <n v="280"/>
    <d v="2022-08-17T00:00:00"/>
    <s v="G/ZOR"/>
    <s v="Location 8"/>
    <s v="Customer 6"/>
    <n v="280"/>
    <n v="1146.1600000000001"/>
    <n v="320924.79999999999"/>
  </r>
  <r>
    <d v="2023-10-27T00:00:00"/>
    <d v="2023-08-01T00:00:00"/>
    <s v="No"/>
    <n v="87"/>
    <n v="240693.6"/>
    <x v="155"/>
    <n v="210"/>
    <d v="2022-08-17T00:00:00"/>
    <s v="G/ZOR"/>
    <s v="Location 8"/>
    <s v="Customer 6"/>
    <n v="210"/>
    <n v="1146.1600000000001"/>
    <n v="240693.6"/>
  </r>
  <r>
    <d v="2023-09-19T00:00:00"/>
    <d v="2022-01-11T00:00:00"/>
    <s v="No"/>
    <n v="616"/>
    <n v="2322.6"/>
    <x v="156"/>
    <n v="7"/>
    <d v="2023-03-02T00:00:00"/>
    <s v="G/ZOR"/>
    <s v="Location 12"/>
    <s v="Customer 6"/>
    <n v="7"/>
    <n v="331.8"/>
    <n v="2322.6"/>
  </r>
  <r>
    <d v="2024-11-28T00:00:00"/>
    <d v="2024-11-28T00:00:00"/>
    <s v="Yes"/>
    <n v="0"/>
    <n v="21120"/>
    <x v="157"/>
    <n v="12000"/>
    <d v="2022-12-19T00:00:00"/>
    <s v="G/ZOR"/>
    <s v="Location 11"/>
    <s v="Customer 2"/>
    <n v="63000"/>
    <n v="1.76"/>
    <n v="110880"/>
  </r>
  <r>
    <d v="2024-12-16T00:00:00"/>
    <d v="2024-11-28T00:00:00"/>
    <s v="No"/>
    <n v="18"/>
    <n v="89760"/>
    <x v="157"/>
    <n v="51000"/>
    <d v="2022-12-19T00:00:00"/>
    <s v="G/ZOR"/>
    <s v="Location 11"/>
    <s v="Customer 2"/>
    <n v="63000"/>
    <n v="1.76"/>
    <n v="110880"/>
  </r>
  <r>
    <d v="2023-10-26T00:00:00"/>
    <d v="2023-10-26T00:00:00"/>
    <s v="Yes"/>
    <n v="0"/>
    <n v="23308.560000000001"/>
    <x v="97"/>
    <n v="216"/>
    <d v="2022-09-27T00:00:00"/>
    <s v="G/ZOR"/>
    <s v="Location 13"/>
    <s v="Customer 9"/>
    <n v="216"/>
    <n v="107.91"/>
    <n v="23308.560000000001"/>
  </r>
  <r>
    <d v="2023-10-19T00:00:00"/>
    <d v="2023-10-19T00:00:00"/>
    <s v="Yes"/>
    <n v="0"/>
    <n v="58271.4"/>
    <x v="97"/>
    <n v="540"/>
    <d v="2023-01-05T00:00:00"/>
    <s v="G/ZOR"/>
    <s v="Location 13"/>
    <s v="Customer 9"/>
    <n v="540"/>
    <n v="107.91"/>
    <n v="58271.4"/>
  </r>
  <r>
    <d v="2023-10-12T00:00:00"/>
    <d v="2023-10-12T00:00:00"/>
    <s v="Yes"/>
    <n v="0"/>
    <n v="46617.120000000003"/>
    <x v="97"/>
    <n v="432"/>
    <d v="2023-01-11T00:00:00"/>
    <s v="G/ZOR"/>
    <s v="Location 13"/>
    <s v="Customer 9"/>
    <n v="432"/>
    <n v="107.91"/>
    <n v="46617.120000000003"/>
  </r>
  <r>
    <d v="2023-10-18T00:00:00"/>
    <d v="2023-10-18T00:00:00"/>
    <s v="Yes"/>
    <n v="0"/>
    <n v="139851.35999999999"/>
    <x v="97"/>
    <n v="1296"/>
    <d v="2023-01-11T00:00:00"/>
    <s v="G/ZOR"/>
    <s v="Location 13"/>
    <s v="Customer 9"/>
    <n v="1296"/>
    <n v="107.91"/>
    <n v="139851.35999999999"/>
  </r>
  <r>
    <d v="2024-04-03T00:00:00"/>
    <d v="2024-04-03T00:00:00"/>
    <s v="Yes"/>
    <n v="0"/>
    <n v="54085.2"/>
    <x v="100"/>
    <n v="120"/>
    <d v="2022-12-09T00:00:00"/>
    <s v="G/ZOR"/>
    <s v="Location 13"/>
    <s v="Customer 9"/>
    <n v="120"/>
    <n v="450.71"/>
    <n v="54085.2"/>
  </r>
  <r>
    <d v="2024-04-10T00:00:00"/>
    <d v="2024-04-10T00:00:00"/>
    <s v="Yes"/>
    <n v="0"/>
    <n v="324511.2"/>
    <x v="100"/>
    <n v="720"/>
    <d v="2022-12-22T00:00:00"/>
    <s v="G/ZOR"/>
    <s v="Location 13"/>
    <s v="Customer 9"/>
    <n v="720"/>
    <n v="450.71"/>
    <n v="324511.2"/>
  </r>
  <r>
    <d v="2024-05-15T00:00:00"/>
    <d v="2024-05-15T00:00:00"/>
    <s v="Yes"/>
    <n v="0"/>
    <n v="162255.6"/>
    <x v="100"/>
    <n v="360"/>
    <d v="2022-12-28T00:00:00"/>
    <s v="G/ZOR"/>
    <s v="Location 13"/>
    <s v="Customer 9"/>
    <n v="360"/>
    <n v="450.71"/>
    <n v="162255.6"/>
  </r>
  <r>
    <d v="2024-06-12T00:00:00"/>
    <d v="2024-06-12T00:00:00"/>
    <s v="Yes"/>
    <n v="0"/>
    <n v="162255.6"/>
    <x v="100"/>
    <n v="360"/>
    <d v="2023-01-19T00:00:00"/>
    <s v="G/ZOR"/>
    <s v="Location 13"/>
    <s v="Customer 9"/>
    <n v="360"/>
    <n v="450.71"/>
    <n v="162255.6"/>
  </r>
  <r>
    <d v="2024-02-01T00:00:00"/>
    <d v="2023-03-01T00:00:00"/>
    <s v="No"/>
    <n v="337"/>
    <n v="5882.88"/>
    <x v="155"/>
    <n v="64"/>
    <d v="2023-01-26T00:00:00"/>
    <s v="G/ZOR"/>
    <s v="Location 13"/>
    <s v="Customer 9"/>
    <n v="120"/>
    <n v="91.92"/>
    <n v="11030.4"/>
  </r>
  <r>
    <d v="2024-02-06T00:00:00"/>
    <d v="2023-03-01T00:00:00"/>
    <s v="No"/>
    <n v="342"/>
    <n v="5147.5200000000004"/>
    <x v="155"/>
    <n v="56"/>
    <d v="2023-01-26T00:00:00"/>
    <s v="G/ZOR"/>
    <s v="Location 13"/>
    <s v="Customer 9"/>
    <n v="120"/>
    <n v="91.92"/>
    <n v="11030.4"/>
  </r>
  <r>
    <d v="2024-02-01T00:00:00"/>
    <d v="2023-02-01T00:00:00"/>
    <s v="No"/>
    <n v="365"/>
    <n v="11030.4"/>
    <x v="155"/>
    <n v="120"/>
    <d v="2023-01-26T00:00:00"/>
    <s v="G/ZOR"/>
    <s v="Location 13"/>
    <s v="Customer 9"/>
    <n v="120"/>
    <n v="91.92"/>
    <n v="11030.4"/>
  </r>
  <r>
    <d v="2024-05-15T00:00:00"/>
    <d v="2023-04-24T00:00:00"/>
    <s v="No"/>
    <n v="387"/>
    <n v="11030.4"/>
    <x v="155"/>
    <n v="120"/>
    <d v="2023-01-26T00:00:00"/>
    <s v="G/ZOR"/>
    <s v="Location 13"/>
    <s v="Customer 9"/>
    <n v="120"/>
    <n v="91.92"/>
    <n v="11030.4"/>
  </r>
  <r>
    <d v="2024-05-01T00:00:00"/>
    <d v="2023-04-17T00:00:00"/>
    <s v="No"/>
    <n v="380"/>
    <n v="5882.88"/>
    <x v="155"/>
    <n v="64"/>
    <d v="2023-02-07T00:00:00"/>
    <s v="G/ZOR"/>
    <s v="Location 13"/>
    <s v="Customer 9"/>
    <n v="120"/>
    <n v="91.92"/>
    <n v="11030.4"/>
  </r>
  <r>
    <d v="2024-05-15T00:00:00"/>
    <d v="2023-04-17T00:00:00"/>
    <s v="No"/>
    <n v="394"/>
    <n v="5147.5200000000004"/>
    <x v="155"/>
    <n v="56"/>
    <d v="2023-02-07T00:00:00"/>
    <s v="G/ZOR"/>
    <s v="Location 13"/>
    <s v="Customer 9"/>
    <n v="120"/>
    <n v="91.92"/>
    <n v="11030.4"/>
  </r>
  <r>
    <d v="2023-09-16T00:00:00"/>
    <d v="2023-09-16T00:00:00"/>
    <s v="Yes"/>
    <n v="0"/>
    <n v="21606.48"/>
    <x v="103"/>
    <n v="252"/>
    <d v="2022-08-02T00:00:00"/>
    <s v="G/ZOR"/>
    <s v="Location 13"/>
    <s v="Customer 9"/>
    <n v="252"/>
    <n v="85.74"/>
    <n v="21606.48"/>
  </r>
  <r>
    <d v="2024-02-02T00:00:00"/>
    <d v="2023-11-29T00:00:00"/>
    <s v="No"/>
    <n v="65"/>
    <n v="21606.48"/>
    <x v="103"/>
    <n v="252"/>
    <d v="2023-02-12T00:00:00"/>
    <s v="G/ZOR"/>
    <s v="Location 13"/>
    <s v="Customer 9"/>
    <n v="252"/>
    <n v="85.74"/>
    <n v="21606.48"/>
  </r>
  <r>
    <d v="2024-03-13T00:00:00"/>
    <d v="2024-03-13T00:00:00"/>
    <s v="Yes"/>
    <n v="0"/>
    <n v="21606.48"/>
    <x v="103"/>
    <n v="252"/>
    <d v="2023-02-15T00:00:00"/>
    <s v="G/ZOR"/>
    <s v="Location 13"/>
    <s v="Customer 9"/>
    <n v="252"/>
    <n v="85.74"/>
    <n v="21606.48"/>
  </r>
  <r>
    <d v="2024-08-09T00:00:00"/>
    <d v="2024-08-09T00:00:00"/>
    <s v="Yes"/>
    <n v="0"/>
    <n v="21606.48"/>
    <x v="103"/>
    <n v="252"/>
    <d v="2023-07-17T00:00:00"/>
    <s v="G/ZOR"/>
    <s v="Location 13"/>
    <s v="Customer 9"/>
    <n v="252"/>
    <n v="85.74"/>
    <n v="21606.48"/>
  </r>
  <r>
    <d v="2023-09-25T00:00:00"/>
    <d v="2023-09-25T00:00:00"/>
    <s v="Yes"/>
    <n v="0"/>
    <n v="922.5"/>
    <x v="154"/>
    <n v="9000"/>
    <d v="2023-04-17T00:00:00"/>
    <s v="G/ZOR"/>
    <s v="Location 13"/>
    <s v="Customer 9"/>
    <n v="9000"/>
    <n v="0.1"/>
    <n v="900"/>
  </r>
  <r>
    <d v="2023-10-18T00:00:00"/>
    <d v="2023-10-18T00:00:00"/>
    <s v="Yes"/>
    <n v="0"/>
    <n v="776941.5"/>
    <x v="108"/>
    <n v="1770"/>
    <d v="2022-10-14T00:00:00"/>
    <s v="G/ZOR"/>
    <s v="Location 13"/>
    <s v="Customer 9"/>
    <n v="1770"/>
    <n v="438.95"/>
    <n v="776941.5"/>
  </r>
  <r>
    <d v="2023-10-25T00:00:00"/>
    <d v="2023-10-25T00:00:00"/>
    <s v="Yes"/>
    <n v="0"/>
    <n v="263370"/>
    <x v="108"/>
    <n v="600"/>
    <d v="2022-10-14T00:00:00"/>
    <s v="G/ZOR"/>
    <s v="Location 13"/>
    <s v="Customer 9"/>
    <n v="600"/>
    <n v="438.95"/>
    <n v="263370"/>
  </r>
  <r>
    <d v="2023-10-04T00:00:00"/>
    <d v="2023-10-04T00:00:00"/>
    <s v="Yes"/>
    <n v="0"/>
    <n v="276538.5"/>
    <x v="108"/>
    <n v="630"/>
    <d v="2022-10-17T00:00:00"/>
    <s v="G/ZOR"/>
    <s v="Location 13"/>
    <s v="Customer 9"/>
    <n v="630"/>
    <n v="438.95"/>
    <n v="276538.5"/>
  </r>
  <r>
    <d v="2024-01-17T00:00:00"/>
    <d v="2024-01-17T00:00:00"/>
    <s v="Yes"/>
    <n v="0"/>
    <n v="184359"/>
    <x v="108"/>
    <n v="420"/>
    <d v="2023-01-11T00:00:00"/>
    <s v="G/ZOR"/>
    <s v="Location 13"/>
    <s v="Customer 9"/>
    <n v="1290"/>
    <n v="438.95"/>
    <n v="566245.5"/>
  </r>
  <r>
    <d v="2024-02-08T00:00:00"/>
    <d v="2024-01-17T00:00:00"/>
    <s v="No"/>
    <n v="22"/>
    <n v="381886.5"/>
    <x v="108"/>
    <n v="870"/>
    <d v="2023-01-11T00:00:00"/>
    <s v="G/ZOR"/>
    <s v="Location 13"/>
    <s v="Customer 9"/>
    <n v="1290"/>
    <n v="438.95"/>
    <n v="566245.5"/>
  </r>
  <r>
    <d v="2024-07-12T00:00:00"/>
    <d v="2024-07-12T00:00:00"/>
    <s v="Yes"/>
    <n v="0"/>
    <n v="184359"/>
    <x v="108"/>
    <n v="420"/>
    <d v="2023-06-13T00:00:00"/>
    <s v="G/ZOR"/>
    <s v="Location 13"/>
    <s v="Customer 9"/>
    <n v="420"/>
    <n v="438.95"/>
    <n v="184359"/>
  </r>
  <r>
    <d v="2025-07-25T00:00:00"/>
    <d v="2025-07-25T00:00:00"/>
    <s v="Yes"/>
    <n v="0"/>
    <n v="13168.5"/>
    <x v="108"/>
    <n v="30"/>
    <d v="2023-06-13T00:00:00"/>
    <s v="G/ZOR"/>
    <s v="Location 13"/>
    <s v="Customer 9"/>
    <n v="30"/>
    <n v="438.95"/>
    <n v="13168.5"/>
  </r>
  <r>
    <d v="2023-09-21T00:00:00"/>
    <d v="2023-08-18T00:00:00"/>
    <s v="No"/>
    <n v="34"/>
    <n v="13168.5"/>
    <x v="108"/>
    <n v="30"/>
    <d v="2023-09-05T00:00:00"/>
    <s v="G/ZOR"/>
    <s v="Location 13"/>
    <s v="Customer 9"/>
    <n v="450"/>
    <n v="438.95"/>
    <n v="197527.5"/>
  </r>
  <r>
    <d v="2023-10-06T00:00:00"/>
    <d v="2023-10-06T00:00:00"/>
    <s v="Yes"/>
    <n v="0"/>
    <n v="89925.119999999995"/>
    <x v="157"/>
    <n v="432"/>
    <d v="2022-11-16T00:00:00"/>
    <s v="G/ZOR"/>
    <s v="Location 13"/>
    <s v="Customer 9"/>
    <n v="432"/>
    <n v="208.16"/>
    <n v="89925.119999999995"/>
  </r>
  <r>
    <d v="2024-01-30T00:00:00"/>
    <d v="2024-01-30T00:00:00"/>
    <s v="Yes"/>
    <n v="0"/>
    <n v="9991.68"/>
    <x v="157"/>
    <n v="48"/>
    <d v="2023-01-19T00:00:00"/>
    <s v="G/ZOR"/>
    <s v="Location 13"/>
    <s v="Customer 9"/>
    <n v="48"/>
    <n v="208.16"/>
    <n v="9991.68"/>
  </r>
  <r>
    <d v="2023-11-24T00:00:00"/>
    <d v="2023-11-24T00:00:00"/>
    <s v="Yes"/>
    <n v="0"/>
    <n v="73402.559999999998"/>
    <x v="158"/>
    <n v="1008"/>
    <d v="2022-06-03T00:00:00"/>
    <s v="G/ZOR"/>
    <s v="Location 13"/>
    <s v="Customer 9"/>
    <n v="1008"/>
    <n v="72.819999999999993"/>
    <n v="73402.559999999998"/>
  </r>
  <r>
    <d v="2023-10-09T00:00:00"/>
    <d v="2023-04-25T00:00:00"/>
    <s v="No"/>
    <n v="167"/>
    <n v="4568.2"/>
    <x v="110"/>
    <n v="1820"/>
    <d v="2022-05-06T00:00:00"/>
    <s v="G/ZOR"/>
    <s v="Location 13"/>
    <s v="Customer 9"/>
    <n v="1820"/>
    <n v="2.5099999999999998"/>
    <n v="4568.2"/>
  </r>
  <r>
    <d v="2023-10-09T00:00:00"/>
    <d v="2023-06-30T00:00:00"/>
    <s v="No"/>
    <n v="101"/>
    <n v="4568.2"/>
    <x v="110"/>
    <n v="1820"/>
    <d v="2022-06-09T00:00:00"/>
    <s v="G/ZOR"/>
    <s v="Location 13"/>
    <s v="Customer 9"/>
    <n v="1820"/>
    <n v="2.5099999999999998"/>
    <n v="4568.2"/>
  </r>
  <r>
    <d v="2024-05-03T00:00:00"/>
    <d v="2024-05-03T00:00:00"/>
    <s v="Yes"/>
    <n v="0"/>
    <n v="4568.2"/>
    <x v="110"/>
    <n v="1820"/>
    <d v="2023-05-09T00:00:00"/>
    <s v="G/ZOR"/>
    <s v="Location 13"/>
    <s v="Customer 9"/>
    <n v="1820"/>
    <n v="2.5099999999999998"/>
    <n v="4568.2"/>
  </r>
  <r>
    <d v="2024-07-30T00:00:00"/>
    <d v="2024-07-30T00:00:00"/>
    <s v="Yes"/>
    <n v="0"/>
    <n v="4568.2"/>
    <x v="110"/>
    <n v="1820"/>
    <d v="2023-08-09T00:00:00"/>
    <s v="G/ZOR"/>
    <s v="Location 13"/>
    <s v="Customer 9"/>
    <n v="1820"/>
    <n v="2.5099999999999998"/>
    <n v="4568.2"/>
  </r>
  <r>
    <d v="2024-08-27T00:00:00"/>
    <d v="2024-08-27T00:00:00"/>
    <s v="Yes"/>
    <n v="0"/>
    <n v="4568.2"/>
    <x v="110"/>
    <n v="1820"/>
    <d v="2023-08-09T00:00:00"/>
    <s v="G/ZOR"/>
    <s v="Location 13"/>
    <s v="Customer 9"/>
    <n v="1820"/>
    <n v="2.5099999999999998"/>
    <n v="4568.2"/>
  </r>
  <r>
    <d v="2023-09-14T00:00:00"/>
    <d v="2022-10-05T00:00:00"/>
    <s v="No"/>
    <n v="344"/>
    <n v="73224.350000000006"/>
    <x v="159"/>
    <n v="541"/>
    <d v="2023-04-10T00:00:00"/>
    <s v="G/ZOR"/>
    <s v="Location 13"/>
    <s v="Customer 9"/>
    <n v="541"/>
    <n v="135.35"/>
    <n v="73224.350000000006"/>
  </r>
  <r>
    <d v="2023-09-14T00:00:00"/>
    <d v="2022-08-25T00:00:00"/>
    <s v="No"/>
    <n v="385"/>
    <n v="62802.400000000001"/>
    <x v="159"/>
    <n v="464"/>
    <d v="2023-09-05T00:00:00"/>
    <s v="G/ZOR"/>
    <s v="Location 13"/>
    <s v="Customer 9"/>
    <n v="464"/>
    <n v="135.35"/>
    <n v="62802.400000000001"/>
  </r>
  <r>
    <d v="2023-09-25T00:00:00"/>
    <d v="2023-05-17T00:00:00"/>
    <s v="No"/>
    <n v="131"/>
    <n v="87198.3"/>
    <x v="114"/>
    <n v="210"/>
    <d v="2023-07-07T00:00:00"/>
    <s v="G/ZOR"/>
    <s v="Location 13"/>
    <s v="Customer 9"/>
    <n v="420"/>
    <n v="415.23"/>
    <n v="174396.6"/>
  </r>
  <r>
    <d v="2023-09-25T00:00:00"/>
    <d v="2023-05-03T00:00:00"/>
    <s v="No"/>
    <n v="145"/>
    <n v="29066.1"/>
    <x v="114"/>
    <n v="70"/>
    <d v="2023-09-11T00:00:00"/>
    <s v="G/ZOR"/>
    <s v="Location 13"/>
    <s v="Customer 9"/>
    <n v="560"/>
    <n v="415.23"/>
    <n v="232528.8"/>
  </r>
  <r>
    <d v="2023-09-28T00:00:00"/>
    <d v="2023-05-03T00:00:00"/>
    <s v="No"/>
    <n v="148"/>
    <n v="203462.7"/>
    <x v="114"/>
    <n v="490"/>
    <d v="2023-09-11T00:00:00"/>
    <s v="G/ZOR"/>
    <s v="Location 13"/>
    <s v="Customer 9"/>
    <n v="560"/>
    <n v="415.23"/>
    <n v="232528.8"/>
  </r>
  <r>
    <d v="2023-10-18T00:00:00"/>
    <d v="2023-10-18T00:00:00"/>
    <s v="Yes"/>
    <n v="0"/>
    <n v="120080.8"/>
    <x v="115"/>
    <n v="280"/>
    <d v="2022-11-16T00:00:00"/>
    <s v="G/ZOR"/>
    <s v="Location 13"/>
    <s v="Customer 9"/>
    <n v="280"/>
    <n v="428.86"/>
    <n v="120080.8"/>
  </r>
  <r>
    <d v="2023-11-15T00:00:00"/>
    <d v="2023-11-15T00:00:00"/>
    <s v="Yes"/>
    <n v="0"/>
    <n v="90060.6"/>
    <x v="115"/>
    <n v="210"/>
    <d v="2022-11-16T00:00:00"/>
    <s v="G/ZOR"/>
    <s v="Location 13"/>
    <s v="Customer 9"/>
    <n v="210"/>
    <n v="428.86"/>
    <n v="90060.6"/>
  </r>
  <r>
    <d v="2023-09-25T00:00:00"/>
    <d v="2023-03-01T00:00:00"/>
    <s v="No"/>
    <n v="208"/>
    <n v="26859"/>
    <x v="116"/>
    <n v="70"/>
    <d v="2022-03-05T00:00:00"/>
    <s v="G/ZOR"/>
    <s v="Location 13"/>
    <s v="Customer 9"/>
    <n v="70"/>
    <n v="383.7"/>
    <n v="26859"/>
  </r>
  <r>
    <d v="2023-09-28T00:00:00"/>
    <d v="2023-03-01T00:00:00"/>
    <s v="No"/>
    <n v="211"/>
    <n v="26859"/>
    <x v="116"/>
    <n v="70"/>
    <d v="2022-03-05T00:00:00"/>
    <s v="G/ZOR"/>
    <s v="Location 13"/>
    <s v="Customer 9"/>
    <n v="70"/>
    <n v="383.7"/>
    <n v="26859"/>
  </r>
  <r>
    <d v="2023-09-28T00:00:00"/>
    <d v="2023-02-03T00:00:00"/>
    <s v="No"/>
    <n v="237"/>
    <n v="26859"/>
    <x v="116"/>
    <n v="70"/>
    <d v="2022-03-05T00:00:00"/>
    <s v="G/ZOR"/>
    <s v="Location 13"/>
    <s v="Customer 9"/>
    <n v="70"/>
    <n v="383.7"/>
    <n v="26859"/>
  </r>
  <r>
    <d v="2023-09-28T00:00:00"/>
    <d v="2023-02-01T00:00:00"/>
    <s v="No"/>
    <n v="239"/>
    <n v="26859"/>
    <x v="116"/>
    <n v="70"/>
    <d v="2022-03-05T00:00:00"/>
    <s v="G/ZOR"/>
    <s v="Location 13"/>
    <s v="Customer 9"/>
    <n v="70"/>
    <n v="383.7"/>
    <n v="26859"/>
  </r>
  <r>
    <d v="2023-10-26T00:00:00"/>
    <d v="2023-10-26T00:00:00"/>
    <s v="Yes"/>
    <n v="0"/>
    <n v="250582.2"/>
    <x v="125"/>
    <n v="330"/>
    <d v="2022-05-10T00:00:00"/>
    <s v="G/ZOR"/>
    <s v="Location 13"/>
    <s v="Customer 9"/>
    <n v="330"/>
    <n v="759.34"/>
    <n v="250582.2"/>
  </r>
  <r>
    <d v="2023-10-11T00:00:00"/>
    <d v="2023-10-11T00:00:00"/>
    <s v="Yes"/>
    <n v="0"/>
    <n v="205021.8"/>
    <x v="125"/>
    <n v="270"/>
    <d v="2022-09-23T00:00:00"/>
    <s v="G/ZOR"/>
    <s v="Location 13"/>
    <s v="Customer 9"/>
    <n v="270"/>
    <n v="759.34"/>
    <n v="205021.8"/>
  </r>
  <r>
    <d v="2023-10-19T00:00:00"/>
    <d v="2023-10-19T00:00:00"/>
    <s v="Yes"/>
    <n v="0"/>
    <n v="91120.8"/>
    <x v="125"/>
    <n v="120"/>
    <d v="2022-09-23T00:00:00"/>
    <s v="G/ZOR"/>
    <s v="Location 13"/>
    <s v="Customer 9"/>
    <n v="120"/>
    <n v="759.34"/>
    <n v="91120.8"/>
  </r>
  <r>
    <d v="2023-10-18T00:00:00"/>
    <d v="2023-10-18T00:00:00"/>
    <s v="Yes"/>
    <n v="0"/>
    <n v="91120.8"/>
    <x v="125"/>
    <n v="120"/>
    <d v="2022-09-27T00:00:00"/>
    <s v="G/ZOR"/>
    <s v="Location 13"/>
    <s v="Customer 9"/>
    <n v="120"/>
    <n v="759.34"/>
    <n v="91120.8"/>
  </r>
  <r>
    <d v="2023-10-25T00:00:00"/>
    <d v="2023-10-25T00:00:00"/>
    <s v="Yes"/>
    <n v="0"/>
    <n v="68340.600000000006"/>
    <x v="125"/>
    <n v="90"/>
    <d v="2022-09-27T00:00:00"/>
    <s v="G/ZOR"/>
    <s v="Location 13"/>
    <s v="Customer 9"/>
    <n v="90"/>
    <n v="759.34"/>
    <n v="68340.600000000006"/>
  </r>
  <r>
    <d v="2023-10-25T00:00:00"/>
    <d v="2023-10-25T00:00:00"/>
    <s v="Yes"/>
    <n v="0"/>
    <n v="45560.4"/>
    <x v="125"/>
    <n v="60"/>
    <d v="2022-10-07T00:00:00"/>
    <s v="G/ZOR"/>
    <s v="Location 13"/>
    <s v="Customer 9"/>
    <n v="60"/>
    <n v="759.34"/>
    <n v="45560.4"/>
  </r>
  <r>
    <d v="2023-10-26T00:00:00"/>
    <d v="2023-10-26T00:00:00"/>
    <s v="Yes"/>
    <n v="0"/>
    <n v="68340.600000000006"/>
    <x v="125"/>
    <n v="90"/>
    <d v="2022-10-11T00:00:00"/>
    <s v="G/ZOR"/>
    <s v="Location 13"/>
    <s v="Customer 9"/>
    <n v="90"/>
    <n v="759.34"/>
    <n v="68340.600000000006"/>
  </r>
  <r>
    <d v="2024-01-04T00:00:00"/>
    <d v="2024-01-04T00:00:00"/>
    <s v="Yes"/>
    <n v="0"/>
    <n v="91120.8"/>
    <x v="125"/>
    <n v="120"/>
    <d v="2023-03-22T00:00:00"/>
    <s v="G/ZOR"/>
    <s v="Location 13"/>
    <s v="Customer 9"/>
    <n v="120"/>
    <n v="759.34"/>
    <n v="91120.8"/>
  </r>
  <r>
    <d v="2024-01-03T00:00:00"/>
    <d v="2024-01-03T00:00:00"/>
    <s v="Yes"/>
    <n v="0"/>
    <n v="227802"/>
    <x v="125"/>
    <n v="300"/>
    <d v="2023-04-12T00:00:00"/>
    <s v="G/ZOR"/>
    <s v="Location 13"/>
    <s v="Customer 9"/>
    <n v="300"/>
    <n v="759.34"/>
    <n v="227802"/>
  </r>
  <r>
    <d v="2024-01-10T00:00:00"/>
    <d v="2024-01-10T00:00:00"/>
    <s v="Yes"/>
    <n v="0"/>
    <n v="227802"/>
    <x v="125"/>
    <n v="300"/>
    <d v="2023-04-12T00:00:00"/>
    <s v="G/ZOR"/>
    <s v="Location 13"/>
    <s v="Customer 9"/>
    <n v="300"/>
    <n v="759.34"/>
    <n v="227802"/>
  </r>
  <r>
    <d v="2024-01-17T00:00:00"/>
    <d v="2024-01-17T00:00:00"/>
    <s v="Yes"/>
    <n v="0"/>
    <n v="205021.8"/>
    <x v="125"/>
    <n v="270"/>
    <d v="2023-04-27T00:00:00"/>
    <s v="G/ZOR"/>
    <s v="Location 13"/>
    <s v="Customer 9"/>
    <n v="270"/>
    <n v="759.34"/>
    <n v="205021.8"/>
  </r>
  <r>
    <d v="2024-01-24T00:00:00"/>
    <d v="2024-01-24T00:00:00"/>
    <s v="Yes"/>
    <n v="0"/>
    <n v="205021.8"/>
    <x v="125"/>
    <n v="270"/>
    <d v="2023-04-27T00:00:00"/>
    <s v="G/ZOR"/>
    <s v="Location 13"/>
    <s v="Customer 9"/>
    <n v="270"/>
    <n v="759.34"/>
    <n v="205021.8"/>
  </r>
  <r>
    <d v="2024-02-01T00:00:00"/>
    <d v="2024-02-01T00:00:00"/>
    <s v="Yes"/>
    <n v="0"/>
    <n v="22780.2"/>
    <x v="125"/>
    <n v="30"/>
    <d v="2023-05-04T00:00:00"/>
    <s v="G/ZOR"/>
    <s v="Location 13"/>
    <s v="Customer 9"/>
    <n v="300"/>
    <n v="759.34"/>
    <n v="227802"/>
  </r>
  <r>
    <d v="2024-05-06T00:00:00"/>
    <d v="2024-02-01T00:00:00"/>
    <s v="No"/>
    <n v="95"/>
    <n v="205021.8"/>
    <x v="125"/>
    <n v="270"/>
    <d v="2023-05-04T00:00:00"/>
    <s v="G/ZOR"/>
    <s v="Location 13"/>
    <s v="Customer 9"/>
    <n v="300"/>
    <n v="759.34"/>
    <n v="227802"/>
  </r>
  <r>
    <d v="2024-02-08T00:00:00"/>
    <d v="2024-02-08T00:00:00"/>
    <s v="Yes"/>
    <n v="0"/>
    <n v="205021.8"/>
    <x v="125"/>
    <n v="270"/>
    <d v="2023-05-04T00:00:00"/>
    <s v="G/ZOR"/>
    <s v="Location 13"/>
    <s v="Customer 9"/>
    <n v="270"/>
    <n v="759.34"/>
    <n v="205021.8"/>
  </r>
  <r>
    <d v="2024-05-06T00:00:00"/>
    <d v="2024-02-09T00:00:00"/>
    <s v="No"/>
    <n v="87"/>
    <n v="45560.4"/>
    <x v="125"/>
    <n v="60"/>
    <d v="2023-05-04T00:00:00"/>
    <s v="G/ZOR"/>
    <s v="Location 13"/>
    <s v="Customer 9"/>
    <n v="300"/>
    <n v="759.34"/>
    <n v="227802"/>
  </r>
  <r>
    <d v="2024-05-15T00:00:00"/>
    <d v="2024-02-09T00:00:00"/>
    <s v="No"/>
    <n v="96"/>
    <n v="182241.6"/>
    <x v="125"/>
    <n v="240"/>
    <d v="2023-05-04T00:00:00"/>
    <s v="G/ZOR"/>
    <s v="Location 13"/>
    <s v="Customer 9"/>
    <n v="300"/>
    <n v="759.34"/>
    <n v="227802"/>
  </r>
  <r>
    <d v="2024-05-06T00:00:00"/>
    <d v="2024-02-09T00:00:00"/>
    <s v="No"/>
    <n v="87"/>
    <n v="182241.6"/>
    <x v="125"/>
    <n v="240"/>
    <d v="2023-05-04T00:00:00"/>
    <s v="G/ZOR"/>
    <s v="Location 13"/>
    <s v="Customer 9"/>
    <n v="240"/>
    <n v="759.34"/>
    <n v="182241.6"/>
  </r>
  <r>
    <d v="2024-05-15T00:00:00"/>
    <d v="2024-02-09T00:00:00"/>
    <s v="No"/>
    <n v="96"/>
    <n v="22780.2"/>
    <x v="125"/>
    <n v="30"/>
    <d v="2023-05-04T00:00:00"/>
    <s v="G/ZOR"/>
    <s v="Location 13"/>
    <s v="Customer 9"/>
    <n v="30"/>
    <n v="759.34"/>
    <n v="22780.2"/>
  </r>
  <r>
    <d v="2024-02-12T00:00:00"/>
    <d v="2024-02-12T00:00:00"/>
    <s v="Yes"/>
    <n v="0"/>
    <n v="159461.4"/>
    <x v="125"/>
    <n v="210"/>
    <d v="2023-05-10T00:00:00"/>
    <s v="G/ZOR"/>
    <s v="Location 13"/>
    <s v="Customer 9"/>
    <n v="210"/>
    <n v="759.34"/>
    <n v="159461.4"/>
  </r>
  <r>
    <d v="2024-02-19T00:00:00"/>
    <d v="2024-02-19T00:00:00"/>
    <s v="Yes"/>
    <n v="0"/>
    <n v="205021.8"/>
    <x v="125"/>
    <n v="270"/>
    <d v="2023-05-10T00:00:00"/>
    <s v="G/ZOR"/>
    <s v="Location 13"/>
    <s v="Customer 9"/>
    <n v="270"/>
    <n v="759.34"/>
    <n v="205021.8"/>
  </r>
  <r>
    <d v="2024-02-26T00:00:00"/>
    <d v="2024-02-26T00:00:00"/>
    <s v="Yes"/>
    <n v="0"/>
    <n v="182241.6"/>
    <x v="125"/>
    <n v="240"/>
    <d v="2023-05-10T00:00:00"/>
    <s v="G/ZOR"/>
    <s v="Location 13"/>
    <s v="Customer 9"/>
    <n v="240"/>
    <n v="759.34"/>
    <n v="182241.6"/>
  </r>
  <r>
    <d v="2024-03-04T00:00:00"/>
    <d v="2024-03-04T00:00:00"/>
    <s v="Yes"/>
    <n v="0"/>
    <n v="91120.8"/>
    <x v="125"/>
    <n v="120"/>
    <d v="2023-05-10T00:00:00"/>
    <s v="G/ZOR"/>
    <s v="Location 13"/>
    <s v="Customer 9"/>
    <n v="120"/>
    <n v="759.34"/>
    <n v="91120.8"/>
  </r>
  <r>
    <d v="2024-03-08T00:00:00"/>
    <d v="2024-03-08T00:00:00"/>
    <s v="Yes"/>
    <n v="0"/>
    <n v="227802"/>
    <x v="125"/>
    <n v="300"/>
    <d v="2023-05-10T00:00:00"/>
    <s v="G/ZOR"/>
    <s v="Location 13"/>
    <s v="Customer 9"/>
    <n v="300"/>
    <n v="759.34"/>
    <n v="227802"/>
  </r>
  <r>
    <d v="2024-03-11T00:00:00"/>
    <d v="2024-03-11T00:00:00"/>
    <s v="Yes"/>
    <n v="0"/>
    <n v="22780.2"/>
    <x v="125"/>
    <n v="30"/>
    <d v="2023-05-10T00:00:00"/>
    <s v="G/ZOR"/>
    <s v="Location 13"/>
    <s v="Customer 9"/>
    <n v="30"/>
    <n v="759.34"/>
    <n v="22780.2"/>
  </r>
  <r>
    <d v="2024-03-21T00:00:00"/>
    <d v="2024-03-21T00:00:00"/>
    <s v="Yes"/>
    <n v="0"/>
    <n v="227802"/>
    <x v="125"/>
    <n v="300"/>
    <d v="2023-05-10T00:00:00"/>
    <s v="G/ZOR"/>
    <s v="Location 13"/>
    <s v="Customer 9"/>
    <n v="300"/>
    <n v="759.34"/>
    <n v="227802"/>
  </r>
  <r>
    <d v="2024-03-22T00:00:00"/>
    <d v="2024-03-22T00:00:00"/>
    <s v="Yes"/>
    <n v="0"/>
    <n v="182241.6"/>
    <x v="125"/>
    <n v="240"/>
    <d v="2023-05-10T00:00:00"/>
    <s v="G/ZOR"/>
    <s v="Location 13"/>
    <s v="Customer 9"/>
    <n v="240"/>
    <n v="759.34"/>
    <n v="182241.6"/>
  </r>
  <r>
    <d v="2024-04-25T00:00:00"/>
    <d v="2024-04-25T00:00:00"/>
    <s v="Yes"/>
    <n v="0"/>
    <n v="205021.8"/>
    <x v="125"/>
    <n v="270"/>
    <d v="2023-05-10T00:00:00"/>
    <s v="G/ZOR"/>
    <s v="Location 13"/>
    <s v="Customer 9"/>
    <n v="270"/>
    <n v="759.34"/>
    <n v="205021.8"/>
  </r>
  <r>
    <d v="2024-05-15T00:00:00"/>
    <d v="2024-02-09T00:00:00"/>
    <s v="No"/>
    <n v="96"/>
    <n v="205021.8"/>
    <x v="125"/>
    <n v="270"/>
    <d v="2023-05-10T00:00:00"/>
    <s v="G/ZOR"/>
    <s v="Location 13"/>
    <s v="Customer 9"/>
    <n v="270"/>
    <n v="759.34"/>
    <n v="205021.8"/>
  </r>
  <r>
    <d v="2024-05-15T00:00:00"/>
    <d v="2024-03-28T00:00:00"/>
    <s v="No"/>
    <n v="48"/>
    <n v="182241.6"/>
    <x v="125"/>
    <n v="240"/>
    <d v="2023-05-10T00:00:00"/>
    <s v="G/ZOR"/>
    <s v="Location 13"/>
    <s v="Customer 9"/>
    <n v="240"/>
    <n v="759.34"/>
    <n v="182241.6"/>
  </r>
  <r>
    <d v="2024-05-15T00:00:00"/>
    <d v="2024-04-04T00:00:00"/>
    <s v="No"/>
    <n v="41"/>
    <n v="227802"/>
    <x v="125"/>
    <n v="300"/>
    <d v="2023-05-10T00:00:00"/>
    <s v="G/ZOR"/>
    <s v="Location 13"/>
    <s v="Customer 9"/>
    <n v="300"/>
    <n v="759.34"/>
    <n v="227802"/>
  </r>
  <r>
    <d v="2024-05-15T00:00:00"/>
    <d v="2024-04-11T00:00:00"/>
    <s v="No"/>
    <n v="34"/>
    <n v="205021.8"/>
    <x v="125"/>
    <n v="270"/>
    <d v="2023-05-10T00:00:00"/>
    <s v="G/ZOR"/>
    <s v="Location 13"/>
    <s v="Customer 9"/>
    <n v="270"/>
    <n v="759.34"/>
    <n v="205021.8"/>
  </r>
  <r>
    <d v="2024-05-15T00:00:00"/>
    <d v="2024-04-18T00:00:00"/>
    <s v="No"/>
    <n v="27"/>
    <n v="227802"/>
    <x v="125"/>
    <n v="300"/>
    <d v="2023-05-10T00:00:00"/>
    <s v="G/ZOR"/>
    <s v="Location 13"/>
    <s v="Customer 9"/>
    <n v="300"/>
    <n v="759.34"/>
    <n v="227802"/>
  </r>
  <r>
    <d v="2024-05-15T00:00:00"/>
    <d v="2024-03-21T00:00:00"/>
    <s v="No"/>
    <n v="55"/>
    <n v="205021.8"/>
    <x v="125"/>
    <n v="270"/>
    <d v="2023-05-10T00:00:00"/>
    <s v="G/ZOR"/>
    <s v="Location 13"/>
    <s v="Customer 9"/>
    <n v="270"/>
    <n v="759.34"/>
    <n v="205021.8"/>
  </r>
  <r>
    <d v="2023-10-30T00:00:00"/>
    <d v="2023-02-20T00:00:00"/>
    <s v="No"/>
    <n v="252"/>
    <n v="8208.7000000000007"/>
    <x v="160"/>
    <n v="46"/>
    <d v="2022-07-05T00:00:00"/>
    <s v="G/ZOR"/>
    <s v="Location 13"/>
    <s v="Customer 9"/>
    <n v="46"/>
    <n v="178.45"/>
    <n v="8208.7000000000007"/>
  </r>
  <r>
    <d v="2023-10-30T00:00:00"/>
    <d v="2023-06-21T00:00:00"/>
    <s v="No"/>
    <n v="131"/>
    <n v="2498.3000000000002"/>
    <x v="160"/>
    <n v="14"/>
    <d v="2023-03-07T00:00:00"/>
    <s v="G/ZOR"/>
    <s v="Location 13"/>
    <s v="Customer 9"/>
    <n v="18"/>
    <n v="178.45"/>
    <n v="3212.1"/>
  </r>
  <r>
    <d v="2023-11-09T00:00:00"/>
    <d v="2023-06-21T00:00:00"/>
    <s v="No"/>
    <n v="141"/>
    <n v="713.8"/>
    <x v="160"/>
    <n v="4"/>
    <d v="2023-03-07T00:00:00"/>
    <s v="G/ZOR"/>
    <s v="Location 13"/>
    <s v="Customer 9"/>
    <n v="18"/>
    <n v="178.45"/>
    <n v="3212.1"/>
  </r>
  <r>
    <d v="2023-11-09T00:00:00"/>
    <d v="2023-03-08T00:00:00"/>
    <s v="No"/>
    <n v="246"/>
    <n v="2855.2"/>
    <x v="160"/>
    <n v="16"/>
    <d v="2023-03-08T00:00:00"/>
    <s v="G/ZOR"/>
    <s v="Location 13"/>
    <s v="Customer 9"/>
    <n v="16"/>
    <n v="178.45"/>
    <n v="2855.2"/>
  </r>
  <r>
    <d v="2023-11-09T00:00:00"/>
    <d v="2023-11-08T00:00:00"/>
    <s v="No"/>
    <n v="1"/>
    <n v="178.45"/>
    <x v="160"/>
    <n v="1"/>
    <d v="2023-03-08T00:00:00"/>
    <s v="G/ZOR"/>
    <s v="Location 13"/>
    <s v="Customer 9"/>
    <n v="30"/>
    <n v="178.45"/>
    <n v="5353.5"/>
  </r>
  <r>
    <d v="2023-12-26T00:00:00"/>
    <d v="2023-11-08T00:00:00"/>
    <s v="No"/>
    <n v="48"/>
    <n v="5175.05"/>
    <x v="160"/>
    <n v="29"/>
    <d v="2023-03-08T00:00:00"/>
    <s v="G/ZOR"/>
    <s v="Location 13"/>
    <s v="Customer 9"/>
    <n v="30"/>
    <n v="178.45"/>
    <n v="5353.5"/>
  </r>
  <r>
    <d v="2023-11-22T00:00:00"/>
    <d v="2023-11-22T00:00:00"/>
    <s v="Yes"/>
    <n v="0"/>
    <n v="3569"/>
    <x v="160"/>
    <n v="20"/>
    <d v="2023-03-08T00:00:00"/>
    <s v="G/ZOR"/>
    <s v="Location 13"/>
    <s v="Customer 9"/>
    <n v="20"/>
    <n v="178.45"/>
    <n v="3569"/>
  </r>
  <r>
    <d v="2023-12-26T00:00:00"/>
    <d v="2023-12-06T00:00:00"/>
    <s v="No"/>
    <n v="20"/>
    <n v="5353.5"/>
    <x v="160"/>
    <n v="30"/>
    <d v="2023-03-08T00:00:00"/>
    <s v="G/ZOR"/>
    <s v="Location 13"/>
    <s v="Customer 9"/>
    <n v="30"/>
    <n v="178.45"/>
    <n v="5353.5"/>
  </r>
  <r>
    <d v="2023-12-26T00:00:00"/>
    <d v="2023-08-09T00:00:00"/>
    <s v="No"/>
    <n v="139"/>
    <n v="178.45"/>
    <x v="160"/>
    <n v="1"/>
    <d v="2023-03-08T00:00:00"/>
    <s v="G/ZOR"/>
    <s v="Location 13"/>
    <s v="Customer 9"/>
    <n v="46"/>
    <n v="178.45"/>
    <n v="8208.7000000000007"/>
  </r>
  <r>
    <d v="2023-12-29T00:00:00"/>
    <d v="2023-08-09T00:00:00"/>
    <s v="No"/>
    <n v="142"/>
    <n v="8030.25"/>
    <x v="160"/>
    <n v="45"/>
    <d v="2023-03-08T00:00:00"/>
    <s v="G/ZOR"/>
    <s v="Location 13"/>
    <s v="Customer 9"/>
    <n v="46"/>
    <n v="178.45"/>
    <n v="8208.7000000000007"/>
  </r>
  <r>
    <d v="2023-12-29T00:00:00"/>
    <d v="2023-12-06T00:00:00"/>
    <s v="No"/>
    <n v="23"/>
    <n v="3033.65"/>
    <x v="160"/>
    <n v="17"/>
    <d v="2023-03-08T00:00:00"/>
    <s v="G/ZOR"/>
    <s v="Location 13"/>
    <s v="Customer 9"/>
    <n v="24"/>
    <n v="178.45"/>
    <n v="4282.8"/>
  </r>
  <r>
    <d v="2024-03-12T00:00:00"/>
    <d v="2023-12-06T00:00:00"/>
    <s v="No"/>
    <n v="97"/>
    <n v="1249.1500000000001"/>
    <x v="160"/>
    <n v="7"/>
    <d v="2023-03-08T00:00:00"/>
    <s v="G/ZOR"/>
    <s v="Location 13"/>
    <s v="Customer 9"/>
    <n v="24"/>
    <n v="178.45"/>
    <n v="4282.8"/>
  </r>
  <r>
    <d v="2023-12-29T00:00:00"/>
    <d v="2023-07-14T00:00:00"/>
    <s v="No"/>
    <n v="168"/>
    <n v="8208.7000000000007"/>
    <x v="160"/>
    <n v="46"/>
    <d v="2023-03-08T00:00:00"/>
    <s v="G/ZOR"/>
    <s v="Location 13"/>
    <s v="Customer 9"/>
    <n v="46"/>
    <n v="178.45"/>
    <n v="8208.7000000000007"/>
  </r>
  <r>
    <d v="2024-01-03T00:00:00"/>
    <d v="2024-01-03T00:00:00"/>
    <s v="Yes"/>
    <n v="0"/>
    <n v="5353.5"/>
    <x v="160"/>
    <n v="30"/>
    <d v="2023-03-08T00:00:00"/>
    <s v="G/ZOR"/>
    <s v="Location 13"/>
    <s v="Customer 9"/>
    <n v="30"/>
    <n v="178.45"/>
    <n v="5353.5"/>
  </r>
  <r>
    <d v="2024-01-10T00:00:00"/>
    <d v="2024-01-10T00:00:00"/>
    <s v="Yes"/>
    <n v="0"/>
    <n v="5175.05"/>
    <x v="160"/>
    <n v="29"/>
    <d v="2023-03-08T00:00:00"/>
    <s v="G/ZOR"/>
    <s v="Location 13"/>
    <s v="Customer 9"/>
    <n v="29"/>
    <n v="178.45"/>
    <n v="5175.05"/>
  </r>
  <r>
    <d v="2024-01-19T00:00:00"/>
    <d v="2024-01-19T00:00:00"/>
    <s v="Yes"/>
    <n v="0"/>
    <n v="2855.2"/>
    <x v="160"/>
    <n v="16"/>
    <d v="2023-03-08T00:00:00"/>
    <s v="G/ZOR"/>
    <s v="Location 13"/>
    <s v="Customer 9"/>
    <n v="16"/>
    <n v="178.45"/>
    <n v="2855.2"/>
  </r>
  <r>
    <d v="2024-02-02T00:00:00"/>
    <d v="2024-02-02T00:00:00"/>
    <s v="Yes"/>
    <n v="0"/>
    <n v="2855.2"/>
    <x v="160"/>
    <n v="16"/>
    <d v="2023-03-08T00:00:00"/>
    <s v="G/ZOR"/>
    <s v="Location 13"/>
    <s v="Customer 9"/>
    <n v="16"/>
    <n v="178.45"/>
    <n v="2855.2"/>
  </r>
  <r>
    <d v="2024-02-23T00:00:00"/>
    <d v="2024-02-23T00:00:00"/>
    <s v="Yes"/>
    <n v="0"/>
    <n v="3569"/>
    <x v="160"/>
    <n v="20"/>
    <d v="2023-03-08T00:00:00"/>
    <s v="G/ZOR"/>
    <s v="Location 13"/>
    <s v="Customer 9"/>
    <n v="20"/>
    <n v="178.45"/>
    <n v="3569"/>
  </r>
  <r>
    <d v="2024-03-12T00:00:00"/>
    <d v="2023-11-22T00:00:00"/>
    <s v="No"/>
    <n v="111"/>
    <n v="5353.5"/>
    <x v="160"/>
    <n v="30"/>
    <d v="2023-03-08T00:00:00"/>
    <s v="G/ZOR"/>
    <s v="Location 13"/>
    <s v="Customer 9"/>
    <n v="30"/>
    <n v="178.45"/>
    <n v="5353.5"/>
  </r>
  <r>
    <d v="2024-03-12T00:00:00"/>
    <d v="2023-08-23T00:00:00"/>
    <s v="No"/>
    <n v="202"/>
    <n v="8208.7000000000007"/>
    <x v="160"/>
    <n v="46"/>
    <d v="2023-03-08T00:00:00"/>
    <s v="G/ZOR"/>
    <s v="Location 13"/>
    <s v="Customer 9"/>
    <n v="46"/>
    <n v="178.45"/>
    <n v="8208.7000000000007"/>
  </r>
  <r>
    <d v="2024-03-12T00:00:00"/>
    <d v="2024-01-26T00:00:00"/>
    <s v="No"/>
    <n v="46"/>
    <n v="2855.2"/>
    <x v="160"/>
    <n v="16"/>
    <d v="2023-03-08T00:00:00"/>
    <s v="G/ZOR"/>
    <s v="Location 13"/>
    <s v="Customer 9"/>
    <n v="16"/>
    <n v="178.45"/>
    <n v="2855.2"/>
  </r>
  <r>
    <d v="2024-03-12T00:00:00"/>
    <d v="2024-01-05T00:00:00"/>
    <s v="No"/>
    <n v="67"/>
    <n v="3390.55"/>
    <x v="160"/>
    <n v="19"/>
    <d v="2023-03-08T00:00:00"/>
    <s v="G/ZOR"/>
    <s v="Location 13"/>
    <s v="Customer 9"/>
    <n v="19"/>
    <n v="178.45"/>
    <n v="3390.55"/>
  </r>
  <r>
    <d v="2024-03-12T00:00:00"/>
    <d v="2023-07-07T00:00:00"/>
    <s v="No"/>
    <n v="249"/>
    <n v="8208.7000000000007"/>
    <x v="160"/>
    <n v="46"/>
    <d v="2023-03-08T00:00:00"/>
    <s v="G/ZOR"/>
    <s v="Location 13"/>
    <s v="Customer 9"/>
    <n v="46"/>
    <n v="178.45"/>
    <n v="8208.7000000000007"/>
  </r>
  <r>
    <d v="2024-03-12T00:00:00"/>
    <d v="2024-01-12T00:00:00"/>
    <s v="No"/>
    <n v="60"/>
    <n v="3033.65"/>
    <x v="160"/>
    <n v="17"/>
    <d v="2023-03-08T00:00:00"/>
    <s v="G/ZOR"/>
    <s v="Location 13"/>
    <s v="Customer 9"/>
    <n v="17"/>
    <n v="178.45"/>
    <n v="3033.65"/>
  </r>
  <r>
    <d v="2024-03-12T00:00:00"/>
    <d v="2023-08-16T00:00:00"/>
    <s v="No"/>
    <n v="209"/>
    <n v="8208.7000000000007"/>
    <x v="160"/>
    <n v="46"/>
    <d v="2023-03-08T00:00:00"/>
    <s v="G/ZOR"/>
    <s v="Location 13"/>
    <s v="Customer 9"/>
    <n v="46"/>
    <n v="178.45"/>
    <n v="8208.7000000000007"/>
  </r>
  <r>
    <d v="2024-03-12T00:00:00"/>
    <d v="2023-10-18T00:00:00"/>
    <s v="No"/>
    <n v="146"/>
    <n v="5353.5"/>
    <x v="160"/>
    <n v="30"/>
    <d v="2023-03-08T00:00:00"/>
    <s v="G/ZOR"/>
    <s v="Location 13"/>
    <s v="Customer 9"/>
    <n v="30"/>
    <n v="178.45"/>
    <n v="5353.5"/>
  </r>
  <r>
    <d v="2024-03-12T00:00:00"/>
    <d v="2023-10-06T00:00:00"/>
    <s v="No"/>
    <n v="158"/>
    <n v="5353.5"/>
    <x v="160"/>
    <n v="30"/>
    <d v="2023-03-08T00:00:00"/>
    <s v="G/ZOR"/>
    <s v="Location 13"/>
    <s v="Customer 9"/>
    <n v="30"/>
    <n v="178.45"/>
    <n v="5353.5"/>
  </r>
  <r>
    <d v="2024-03-12T00:00:00"/>
    <d v="2023-09-01T00:00:00"/>
    <s v="No"/>
    <n v="193"/>
    <n v="4818.1499999999996"/>
    <x v="160"/>
    <n v="27"/>
    <d v="2023-03-08T00:00:00"/>
    <s v="G/ZOR"/>
    <s v="Location 13"/>
    <s v="Customer 9"/>
    <n v="27"/>
    <n v="178.45"/>
    <n v="4818.1499999999996"/>
  </r>
  <r>
    <d v="2024-03-12T00:00:00"/>
    <d v="2023-07-12T00:00:00"/>
    <s v="No"/>
    <n v="244"/>
    <n v="6067.3"/>
    <x v="160"/>
    <n v="34"/>
    <d v="2023-03-08T00:00:00"/>
    <s v="G/ZOR"/>
    <s v="Location 13"/>
    <s v="Customer 9"/>
    <n v="34"/>
    <n v="178.45"/>
    <n v="6067.3"/>
  </r>
  <r>
    <d v="2024-03-12T00:00:00"/>
    <d v="2023-12-29T00:00:00"/>
    <s v="No"/>
    <n v="74"/>
    <n v="3390.55"/>
    <x v="160"/>
    <n v="19"/>
    <d v="2023-03-08T00:00:00"/>
    <s v="G/ZOR"/>
    <s v="Location 13"/>
    <s v="Customer 9"/>
    <n v="19"/>
    <n v="178.45"/>
    <n v="3390.55"/>
  </r>
  <r>
    <d v="2024-03-12T00:00:00"/>
    <d v="2023-09-20T00:00:00"/>
    <s v="No"/>
    <n v="174"/>
    <n v="6424.2"/>
    <x v="160"/>
    <n v="36"/>
    <d v="2023-03-08T00:00:00"/>
    <s v="G/ZOR"/>
    <s v="Location 13"/>
    <s v="Customer 9"/>
    <n v="36"/>
    <n v="178.45"/>
    <n v="6424.2"/>
  </r>
  <r>
    <d v="2024-03-12T00:00:00"/>
    <d v="2024-02-16T00:00:00"/>
    <s v="No"/>
    <n v="25"/>
    <n v="2855.2"/>
    <x v="160"/>
    <n v="16"/>
    <d v="2023-03-08T00:00:00"/>
    <s v="G/ZOR"/>
    <s v="Location 13"/>
    <s v="Customer 9"/>
    <n v="16"/>
    <n v="178.45"/>
    <n v="2855.2"/>
  </r>
  <r>
    <d v="2024-03-12T00:00:00"/>
    <d v="2023-08-11T00:00:00"/>
    <s v="No"/>
    <n v="214"/>
    <n v="8208.7000000000007"/>
    <x v="160"/>
    <n v="46"/>
    <d v="2023-03-08T00:00:00"/>
    <s v="G/ZOR"/>
    <s v="Location 13"/>
    <s v="Customer 9"/>
    <n v="46"/>
    <n v="178.45"/>
    <n v="8208.7000000000007"/>
  </r>
  <r>
    <d v="2024-03-12T00:00:00"/>
    <d v="2023-10-04T00:00:00"/>
    <s v="No"/>
    <n v="160"/>
    <n v="5353.5"/>
    <x v="160"/>
    <n v="30"/>
    <d v="2023-03-08T00:00:00"/>
    <s v="G/ZOR"/>
    <s v="Location 13"/>
    <s v="Customer 9"/>
    <n v="30"/>
    <n v="178.45"/>
    <n v="5353.5"/>
  </r>
  <r>
    <d v="2024-03-12T00:00:00"/>
    <d v="2023-11-29T00:00:00"/>
    <s v="No"/>
    <n v="104"/>
    <n v="5353.5"/>
    <x v="160"/>
    <n v="30"/>
    <d v="2023-03-08T00:00:00"/>
    <s v="G/ZOR"/>
    <s v="Location 13"/>
    <s v="Customer 9"/>
    <n v="30"/>
    <n v="178.45"/>
    <n v="5353.5"/>
  </r>
  <r>
    <d v="2024-03-12T00:00:00"/>
    <d v="2023-10-25T00:00:00"/>
    <s v="No"/>
    <n v="139"/>
    <n v="5353.5"/>
    <x v="160"/>
    <n v="30"/>
    <d v="2023-03-08T00:00:00"/>
    <s v="G/ZOR"/>
    <s v="Location 13"/>
    <s v="Customer 9"/>
    <n v="30"/>
    <n v="178.45"/>
    <n v="5353.5"/>
  </r>
  <r>
    <d v="2024-03-22T00:00:00"/>
    <d v="2024-03-22T00:00:00"/>
    <s v="Yes"/>
    <n v="0"/>
    <n v="9279.4"/>
    <x v="160"/>
    <n v="52"/>
    <d v="2023-03-08T00:00:00"/>
    <s v="G/ZOR"/>
    <s v="Location 13"/>
    <s v="Customer 9"/>
    <n v="52"/>
    <n v="178.45"/>
    <n v="9279.4"/>
  </r>
  <r>
    <d v="2024-04-23T00:00:00"/>
    <d v="2023-12-06T00:00:00"/>
    <s v="No"/>
    <n v="139"/>
    <n v="5353.5"/>
    <x v="160"/>
    <n v="30"/>
    <d v="2023-03-08T00:00:00"/>
    <s v="G/ZOR"/>
    <s v="Location 13"/>
    <s v="Customer 9"/>
    <n v="30"/>
    <n v="178.45"/>
    <n v="5353.5"/>
  </r>
  <r>
    <d v="2024-09-16T00:00:00"/>
    <d v="2023-02-08T00:00:00"/>
    <s v="No"/>
    <n v="586"/>
    <n v="1536.7"/>
    <x v="161"/>
    <n v="22"/>
    <d v="2021-09-21T00:00:00"/>
    <s v="G/ZOR"/>
    <s v="Location 13"/>
    <s v="Customer 9"/>
    <n v="22"/>
    <n v="69.849999999999994"/>
    <n v="1536.7"/>
  </r>
  <r>
    <s v=""/>
    <d v="2023-07-26T00:00:00"/>
    <s v="No"/>
    <s v=""/>
    <n v="0"/>
    <x v="161"/>
    <n v="816"/>
    <d v="2022-02-11T00:00:00"/>
    <s v="G/ZOR"/>
    <s v="Location 13"/>
    <s v="Customer 9"/>
    <n v="816"/>
    <n v="69.849999999999994"/>
    <n v="56997.599999999999"/>
  </r>
  <r>
    <d v="2023-09-22T00:00:00"/>
    <d v="2023-09-22T00:00:00"/>
    <s v="Yes"/>
    <n v="0"/>
    <n v="5937.25"/>
    <x v="161"/>
    <n v="85"/>
    <d v="2022-03-18T00:00:00"/>
    <s v="G/ZOR"/>
    <s v="Location 13"/>
    <s v="Customer 9"/>
    <n v="85"/>
    <n v="69.849999999999994"/>
    <n v="5937.25"/>
  </r>
  <r>
    <d v="2023-09-29T00:00:00"/>
    <d v="2023-09-29T00:00:00"/>
    <s v="Yes"/>
    <n v="0"/>
    <n v="4610.1000000000004"/>
    <x v="161"/>
    <n v="66"/>
    <d v="2022-03-24T00:00:00"/>
    <s v="G/ZOR"/>
    <s v="Location 13"/>
    <s v="Customer 9"/>
    <n v="66"/>
    <n v="69.849999999999994"/>
    <n v="4610.1000000000004"/>
  </r>
  <r>
    <d v="2023-10-12T00:00:00"/>
    <d v="2023-10-12T00:00:00"/>
    <s v="Yes"/>
    <n v="0"/>
    <n v="10896.6"/>
    <x v="161"/>
    <n v="156"/>
    <d v="2022-03-29T00:00:00"/>
    <s v="G/ZOR"/>
    <s v="Location 13"/>
    <s v="Customer 9"/>
    <n v="156"/>
    <n v="69.849999999999994"/>
    <n v="10896.6"/>
  </r>
  <r>
    <d v="2023-09-20T00:00:00"/>
    <d v="2023-09-20T00:00:00"/>
    <s v="Yes"/>
    <n v="0"/>
    <n v="27241.5"/>
    <x v="161"/>
    <n v="390"/>
    <d v="2022-03-30T00:00:00"/>
    <s v="G/ZOR"/>
    <s v="Location 13"/>
    <s v="Customer 9"/>
    <n v="390"/>
    <n v="69.849999999999994"/>
    <n v="27241.5"/>
  </r>
  <r>
    <d v="2023-10-13T00:00:00"/>
    <d v="2023-10-13T00:00:00"/>
    <s v="Yes"/>
    <n v="0"/>
    <n v="16764"/>
    <x v="161"/>
    <n v="240"/>
    <d v="2022-04-12T00:00:00"/>
    <s v="G/ZOR"/>
    <s v="Location 13"/>
    <s v="Customer 9"/>
    <n v="240"/>
    <n v="69.849999999999994"/>
    <n v="16764"/>
  </r>
  <r>
    <d v="2023-10-12T00:00:00"/>
    <d v="2023-10-12T00:00:00"/>
    <s v="Yes"/>
    <n v="0"/>
    <n v="48196.5"/>
    <x v="161"/>
    <n v="690"/>
    <d v="2022-04-13T00:00:00"/>
    <s v="G/ZOR"/>
    <s v="Location 13"/>
    <s v="Customer 9"/>
    <n v="690"/>
    <n v="69.849999999999994"/>
    <n v="48196.5"/>
  </r>
  <r>
    <d v="2023-10-21T00:00:00"/>
    <d v="2023-10-21T00:00:00"/>
    <s v="Yes"/>
    <n v="0"/>
    <n v="18021.3"/>
    <x v="161"/>
    <n v="258"/>
    <d v="2022-04-26T00:00:00"/>
    <s v="G/ZOR"/>
    <s v="Location 13"/>
    <s v="Customer 9"/>
    <n v="258"/>
    <n v="69.849999999999994"/>
    <n v="18021.3"/>
  </r>
  <r>
    <d v="2023-10-27T00:00:00"/>
    <d v="2023-10-27T00:00:00"/>
    <s v="Yes"/>
    <n v="0"/>
    <n v="20116.8"/>
    <x v="161"/>
    <n v="288"/>
    <d v="2022-05-10T00:00:00"/>
    <s v="G/ZOR"/>
    <s v="Location 13"/>
    <s v="Customer 9"/>
    <n v="288"/>
    <n v="69.849999999999994"/>
    <n v="20116.8"/>
  </r>
  <r>
    <d v="2023-12-07T00:00:00"/>
    <d v="2023-12-07T00:00:00"/>
    <s v="Yes"/>
    <n v="0"/>
    <n v="20116.8"/>
    <x v="161"/>
    <n v="288"/>
    <d v="2022-06-22T00:00:00"/>
    <s v="G/ZOR"/>
    <s v="Location 13"/>
    <s v="Customer 9"/>
    <n v="288"/>
    <n v="69.849999999999994"/>
    <n v="20116.8"/>
  </r>
  <r>
    <d v="2023-12-07T00:00:00"/>
    <d v="2023-12-07T00:00:00"/>
    <s v="Yes"/>
    <n v="0"/>
    <n v="5029.2"/>
    <x v="161"/>
    <n v="72"/>
    <d v="2022-06-24T00:00:00"/>
    <s v="G/ZOR"/>
    <s v="Location 13"/>
    <s v="Customer 9"/>
    <n v="72"/>
    <n v="69.849999999999994"/>
    <n v="5029.2"/>
  </r>
  <r>
    <d v="2023-09-22T00:00:00"/>
    <d v="2023-09-22T00:00:00"/>
    <s v="Yes"/>
    <n v="0"/>
    <n v="102884.4"/>
    <x v="127"/>
    <n v="120"/>
    <d v="2022-09-08T00:00:00"/>
    <s v="G/ZOR"/>
    <s v="Location 13"/>
    <s v="Customer 9"/>
    <n v="120"/>
    <n v="857.37"/>
    <n v="102884.4"/>
  </r>
  <r>
    <d v="2023-10-02T00:00:00"/>
    <d v="2023-10-02T00:00:00"/>
    <s v="Yes"/>
    <n v="0"/>
    <n v="102884.4"/>
    <x v="127"/>
    <n v="120"/>
    <d v="2022-09-23T00:00:00"/>
    <s v="G/ZOR"/>
    <s v="Location 13"/>
    <s v="Customer 9"/>
    <n v="120"/>
    <n v="857.37"/>
    <n v="102884.4"/>
  </r>
  <r>
    <d v="2023-10-09T00:00:00"/>
    <d v="2023-10-09T00:00:00"/>
    <s v="Yes"/>
    <n v="0"/>
    <n v="51442.2"/>
    <x v="127"/>
    <n v="60"/>
    <d v="2022-09-23T00:00:00"/>
    <s v="G/ZOR"/>
    <s v="Location 13"/>
    <s v="Customer 9"/>
    <n v="60"/>
    <n v="857.37"/>
    <n v="51442.2"/>
  </r>
  <r>
    <d v="2023-10-19T00:00:00"/>
    <d v="2023-10-19T00:00:00"/>
    <s v="Yes"/>
    <n v="0"/>
    <n v="1093146.75"/>
    <x v="127"/>
    <n v="1275"/>
    <d v="2023-01-30T00:00:00"/>
    <s v="G/ZOR"/>
    <s v="Location 13"/>
    <s v="Customer 9"/>
    <n v="1275"/>
    <n v="857.37"/>
    <n v="1093146.75"/>
  </r>
  <r>
    <d v="2024-01-08T00:00:00"/>
    <d v="2024-01-08T00:00:00"/>
    <s v="Yes"/>
    <n v="0"/>
    <n v="192908.25"/>
    <x v="127"/>
    <n v="225"/>
    <d v="2023-03-08T00:00:00"/>
    <s v="G/ZOR"/>
    <s v="Location 13"/>
    <s v="Customer 9"/>
    <n v="225"/>
    <n v="857.37"/>
    <n v="192908.25"/>
  </r>
  <r>
    <d v="2024-01-11T00:00:00"/>
    <d v="2024-01-11T00:00:00"/>
    <s v="Yes"/>
    <n v="0"/>
    <n v="231489.9"/>
    <x v="127"/>
    <n v="270"/>
    <d v="2023-03-08T00:00:00"/>
    <s v="G/ZOR"/>
    <s v="Location 13"/>
    <s v="Customer 9"/>
    <n v="270"/>
    <n v="857.37"/>
    <n v="231489.9"/>
  </r>
  <r>
    <d v="2024-01-18T00:00:00"/>
    <d v="2024-01-18T00:00:00"/>
    <s v="Yes"/>
    <n v="0"/>
    <n v="64302.75"/>
    <x v="127"/>
    <n v="75"/>
    <d v="2023-03-08T00:00:00"/>
    <s v="G/ZOR"/>
    <s v="Location 13"/>
    <s v="Customer 9"/>
    <n v="75"/>
    <n v="857.37"/>
    <n v="64302.75"/>
  </r>
  <r>
    <d v="2024-01-25T00:00:00"/>
    <d v="2024-01-25T00:00:00"/>
    <s v="Yes"/>
    <n v="0"/>
    <n v="244350.45"/>
    <x v="127"/>
    <n v="285"/>
    <d v="2023-03-08T00:00:00"/>
    <s v="G/ZOR"/>
    <s v="Location 13"/>
    <s v="Customer 9"/>
    <n v="285"/>
    <n v="857.37"/>
    <n v="244350.45"/>
  </r>
  <r>
    <d v="2024-02-01T00:00:00"/>
    <d v="2024-02-01T00:00:00"/>
    <s v="Yes"/>
    <n v="0"/>
    <n v="231489.9"/>
    <x v="127"/>
    <n v="270"/>
    <d v="2023-03-08T00:00:00"/>
    <s v="G/ZOR"/>
    <s v="Location 13"/>
    <s v="Customer 9"/>
    <n v="270"/>
    <n v="857.37"/>
    <n v="231489.9"/>
  </r>
  <r>
    <d v="2024-02-08T00:00:00"/>
    <d v="2024-02-08T00:00:00"/>
    <s v="Yes"/>
    <n v="0"/>
    <n v="231489.9"/>
    <x v="127"/>
    <n v="270"/>
    <d v="2023-03-08T00:00:00"/>
    <s v="G/ZOR"/>
    <s v="Location 13"/>
    <s v="Customer 9"/>
    <n v="270"/>
    <n v="857.37"/>
    <n v="231489.9"/>
  </r>
  <r>
    <d v="2024-02-28T00:00:00"/>
    <d v="2024-02-28T00:00:00"/>
    <s v="Yes"/>
    <n v="0"/>
    <n v="51442.2"/>
    <x v="127"/>
    <n v="60"/>
    <d v="2023-03-22T00:00:00"/>
    <s v="G/ZOR"/>
    <s v="Location 13"/>
    <s v="Customer 9"/>
    <n v="60"/>
    <n v="857.37"/>
    <n v="51442.2"/>
  </r>
  <r>
    <d v="2024-02-29T00:00:00"/>
    <d v="2024-02-29T00:00:00"/>
    <s v="Yes"/>
    <n v="0"/>
    <n v="102884.4"/>
    <x v="127"/>
    <n v="120"/>
    <d v="2023-03-22T00:00:00"/>
    <s v="G/ZOR"/>
    <s v="Location 13"/>
    <s v="Customer 9"/>
    <n v="120"/>
    <n v="857.37"/>
    <n v="102884.4"/>
  </r>
  <r>
    <d v="2024-02-29T00:00:00"/>
    <d v="2024-02-29T00:00:00"/>
    <s v="Yes"/>
    <n v="0"/>
    <n v="38581.65"/>
    <x v="127"/>
    <n v="45"/>
    <d v="2023-03-28T00:00:00"/>
    <s v="G/ZOR"/>
    <s v="Location 13"/>
    <s v="Customer 9"/>
    <n v="45"/>
    <n v="857.37"/>
    <n v="38581.65"/>
  </r>
  <r>
    <d v="2024-03-20T00:00:00"/>
    <d v="2024-03-20T00:00:00"/>
    <s v="Yes"/>
    <n v="0"/>
    <n v="64302.75"/>
    <x v="127"/>
    <n v="75"/>
    <d v="2023-03-28T00:00:00"/>
    <s v="G/ZOR"/>
    <s v="Location 13"/>
    <s v="Customer 9"/>
    <n v="75"/>
    <n v="857.37"/>
    <n v="64302.75"/>
  </r>
  <r>
    <d v="2024-03-27T00:00:00"/>
    <d v="2024-03-27T00:00:00"/>
    <s v="Yes"/>
    <n v="0"/>
    <n v="257211"/>
    <x v="127"/>
    <n v="300"/>
    <d v="2023-04-27T00:00:00"/>
    <s v="G/ZOR"/>
    <s v="Location 13"/>
    <s v="Customer 9"/>
    <n v="300"/>
    <n v="857.37"/>
    <n v="257211"/>
  </r>
  <r>
    <d v="2024-04-03T00:00:00"/>
    <d v="2024-04-03T00:00:00"/>
    <s v="Yes"/>
    <n v="0"/>
    <n v="257211"/>
    <x v="127"/>
    <n v="300"/>
    <d v="2023-04-27T00:00:00"/>
    <s v="G/ZOR"/>
    <s v="Location 13"/>
    <s v="Customer 9"/>
    <n v="300"/>
    <n v="857.37"/>
    <n v="257211"/>
  </r>
  <r>
    <d v="2024-04-15T00:00:00"/>
    <d v="2024-04-15T00:00:00"/>
    <s v="Yes"/>
    <n v="0"/>
    <n v="25721.1"/>
    <x v="127"/>
    <n v="30"/>
    <d v="2023-04-27T00:00:00"/>
    <s v="G/ZOR"/>
    <s v="Location 13"/>
    <s v="Customer 9"/>
    <n v="30"/>
    <n v="857.37"/>
    <n v="25721.1"/>
  </r>
  <r>
    <d v="2024-04-17T00:00:00"/>
    <d v="2024-04-17T00:00:00"/>
    <s v="Yes"/>
    <n v="0"/>
    <n v="218629.35"/>
    <x v="127"/>
    <n v="255"/>
    <d v="2023-04-27T00:00:00"/>
    <s v="G/ZOR"/>
    <s v="Location 13"/>
    <s v="Customer 9"/>
    <n v="255"/>
    <n v="857.37"/>
    <n v="218629.35"/>
  </r>
  <r>
    <d v="2024-05-01T00:00:00"/>
    <d v="2024-05-01T00:00:00"/>
    <s v="Yes"/>
    <n v="0"/>
    <n v="321513.75"/>
    <x v="127"/>
    <n v="375"/>
    <d v="2023-05-04T00:00:00"/>
    <s v="G/ZOR"/>
    <s v="Location 13"/>
    <s v="Customer 9"/>
    <n v="375"/>
    <n v="857.37"/>
    <n v="321513.75"/>
  </r>
  <r>
    <d v="2024-05-08T00:00:00"/>
    <d v="2024-05-08T00:00:00"/>
    <s v="Yes"/>
    <n v="0"/>
    <n v="308653.2"/>
    <x v="127"/>
    <n v="360"/>
    <d v="2023-05-04T00:00:00"/>
    <s v="G/ZOR"/>
    <s v="Location 13"/>
    <s v="Customer 9"/>
    <n v="360"/>
    <n v="857.37"/>
    <n v="308653.2"/>
  </r>
  <r>
    <d v="2024-05-15T00:00:00"/>
    <d v="2024-05-15T00:00:00"/>
    <s v="Yes"/>
    <n v="0"/>
    <n v="270071.55"/>
    <x v="127"/>
    <n v="315"/>
    <d v="2023-05-04T00:00:00"/>
    <s v="G/ZOR"/>
    <s v="Location 13"/>
    <s v="Customer 9"/>
    <n v="315"/>
    <n v="857.37"/>
    <n v="270071.55"/>
  </r>
  <r>
    <d v="2024-01-19T00:00:00"/>
    <d v="2023-02-15T00:00:00"/>
    <s v="No"/>
    <n v="338"/>
    <n v="174081.48"/>
    <x v="162"/>
    <n v="92"/>
    <d v="2021-10-07T00:00:00"/>
    <s v="G/ZOR"/>
    <s v="Location 13"/>
    <s v="Customer 9"/>
    <n v="92"/>
    <n v="1892.19"/>
    <n v="174081.48"/>
  </r>
  <r>
    <d v="2024-01-19T00:00:00"/>
    <d v="2023-02-08T00:00:00"/>
    <s v="No"/>
    <n v="345"/>
    <n v="26490.66"/>
    <x v="162"/>
    <n v="14"/>
    <d v="2021-10-20T00:00:00"/>
    <s v="G/ZOR"/>
    <s v="Location 13"/>
    <s v="Customer 9"/>
    <n v="14"/>
    <n v="1892.19"/>
    <n v="26490.66"/>
  </r>
  <r>
    <d v="2024-01-19T00:00:00"/>
    <d v="2023-02-22T00:00:00"/>
    <s v="No"/>
    <n v="331"/>
    <n v="522244.44"/>
    <x v="162"/>
    <n v="276"/>
    <d v="2021-10-20T00:00:00"/>
    <s v="G/ZOR"/>
    <s v="Location 13"/>
    <s v="Customer 9"/>
    <n v="276"/>
    <n v="1892.19"/>
    <n v="522244.44"/>
  </r>
  <r>
    <d v="2024-01-19T00:00:00"/>
    <d v="2023-03-22T00:00:00"/>
    <s v="No"/>
    <n v="303"/>
    <n v="289505.07"/>
    <x v="162"/>
    <n v="153"/>
    <d v="2021-12-03T00:00:00"/>
    <s v="G/ZOR"/>
    <s v="Location 13"/>
    <s v="Customer 9"/>
    <n v="153"/>
    <n v="1892.19"/>
    <n v="289505.07"/>
  </r>
  <r>
    <d v="2024-01-19T00:00:00"/>
    <d v="2023-04-19T00:00:00"/>
    <s v="No"/>
    <n v="275"/>
    <n v="225170.61"/>
    <x v="162"/>
    <n v="119"/>
    <d v="2021-12-10T00:00:00"/>
    <s v="G/ZOR"/>
    <s v="Location 13"/>
    <s v="Customer 9"/>
    <n v="119"/>
    <n v="1892.19"/>
    <n v="225170.61"/>
  </r>
  <r>
    <d v="2024-01-19T00:00:00"/>
    <d v="2023-04-19T00:00:00"/>
    <s v="No"/>
    <n v="275"/>
    <n v="664158.68999999994"/>
    <x v="162"/>
    <n v="351"/>
    <d v="2022-02-02T00:00:00"/>
    <s v="G/ZOR"/>
    <s v="Location 13"/>
    <s v="Customer 9"/>
    <n v="351"/>
    <n v="1892.19"/>
    <n v="664158.68999999994"/>
  </r>
  <r>
    <d v="2024-01-19T00:00:00"/>
    <d v="2023-04-19T00:00:00"/>
    <s v="No"/>
    <n v="275"/>
    <n v="34059.42"/>
    <x v="162"/>
    <n v="18"/>
    <d v="2022-02-02T00:00:00"/>
    <s v="G/ZOR"/>
    <s v="Location 13"/>
    <s v="Customer 9"/>
    <n v="18"/>
    <n v="1892.19"/>
    <n v="34059.42"/>
  </r>
  <r>
    <d v="2024-01-19T00:00:00"/>
    <d v="2023-05-17T00:00:00"/>
    <s v="No"/>
    <n v="247"/>
    <n v="860946.45"/>
    <x v="162"/>
    <n v="455"/>
    <d v="2022-02-02T00:00:00"/>
    <s v="G/ZOR"/>
    <s v="Location 13"/>
    <s v="Customer 9"/>
    <n v="455"/>
    <n v="1892.19"/>
    <n v="860946.45"/>
  </r>
  <r>
    <d v="2024-01-19T00:00:00"/>
    <d v="2023-06-14T00:00:00"/>
    <s v="No"/>
    <n v="219"/>
    <n v="208140.9"/>
    <x v="162"/>
    <n v="110"/>
    <d v="2022-02-11T00:00:00"/>
    <s v="G/ZOR"/>
    <s v="Location 13"/>
    <s v="Customer 9"/>
    <n v="110"/>
    <n v="1892.19"/>
    <n v="208140.9"/>
  </r>
  <r>
    <d v="2024-01-19T00:00:00"/>
    <d v="2023-06-14T00:00:00"/>
    <s v="No"/>
    <n v="219"/>
    <n v="232739.37"/>
    <x v="162"/>
    <n v="123"/>
    <d v="2022-02-16T00:00:00"/>
    <s v="G/ZOR"/>
    <s v="Location 13"/>
    <s v="Customer 9"/>
    <n v="123"/>
    <n v="1892.19"/>
    <n v="232739.37"/>
  </r>
  <r>
    <d v="2024-01-19T00:00:00"/>
    <d v="2023-06-14T00:00:00"/>
    <s v="No"/>
    <n v="219"/>
    <n v="219494.04"/>
    <x v="162"/>
    <n v="116"/>
    <d v="2022-02-16T00:00:00"/>
    <s v="G/ZOR"/>
    <s v="Location 13"/>
    <s v="Customer 9"/>
    <n v="116"/>
    <n v="1892.19"/>
    <n v="219494.04"/>
  </r>
  <r>
    <d v="2024-01-19T00:00:00"/>
    <d v="2023-08-25T00:00:00"/>
    <s v="No"/>
    <n v="147"/>
    <n v="204356.52"/>
    <x v="162"/>
    <n v="108"/>
    <d v="2022-02-23T00:00:00"/>
    <s v="G/ZOR"/>
    <s v="Location 13"/>
    <s v="Customer 9"/>
    <n v="108"/>
    <n v="1892.19"/>
    <n v="204356.52"/>
  </r>
  <r>
    <d v="2024-01-19T00:00:00"/>
    <d v="2023-09-01T00:00:00"/>
    <s v="No"/>
    <n v="140"/>
    <n v="261122.22"/>
    <x v="162"/>
    <n v="138"/>
    <d v="2022-03-17T00:00:00"/>
    <s v="G/ZOR"/>
    <s v="Location 13"/>
    <s v="Customer 9"/>
    <n v="138"/>
    <n v="1892.19"/>
    <n v="261122.22"/>
  </r>
  <r>
    <d v="2024-01-19T00:00:00"/>
    <d v="2023-09-28T00:00:00"/>
    <s v="No"/>
    <n v="113"/>
    <n v="145698.63"/>
    <x v="162"/>
    <n v="77"/>
    <d v="2022-03-22T00:00:00"/>
    <s v="G/ZOR"/>
    <s v="Location 13"/>
    <s v="Customer 9"/>
    <n v="77"/>
    <n v="1892.19"/>
    <n v="145698.63"/>
  </r>
  <r>
    <d v="2024-01-19T00:00:00"/>
    <d v="2023-02-01T00:00:00"/>
    <s v="No"/>
    <n v="352"/>
    <n v="211925.28"/>
    <x v="162"/>
    <n v="112"/>
    <d v="2023-07-12T00:00:00"/>
    <s v="G/ZOR"/>
    <s v="Location 13"/>
    <s v="Customer 9"/>
    <n v="112"/>
    <n v="1892.19"/>
    <n v="211925.28"/>
  </r>
  <r>
    <d v="2024-01-24T00:00:00"/>
    <d v="2024-01-24T00:00:00"/>
    <s v="Yes"/>
    <n v="0"/>
    <n v="26074.44"/>
    <x v="163"/>
    <n v="63"/>
    <d v="2023-06-02T00:00:00"/>
    <s v="G/ZOR"/>
    <s v="Location 13"/>
    <s v="Customer 9"/>
    <n v="63"/>
    <n v="413.88"/>
    <n v="26074.44"/>
  </r>
  <r>
    <d v="2024-04-03T00:00:00"/>
    <d v="2024-04-03T00:00:00"/>
    <s v="Yes"/>
    <n v="0"/>
    <n v="26074.44"/>
    <x v="163"/>
    <n v="63"/>
    <d v="2023-06-07T00:00:00"/>
    <s v="G/ZOR"/>
    <s v="Location 13"/>
    <s v="Customer 9"/>
    <n v="63"/>
    <n v="413.88"/>
    <n v="26074.44"/>
  </r>
  <r>
    <d v="2024-04-30T00:00:00"/>
    <d v="2024-04-30T00:00:00"/>
    <s v="Yes"/>
    <n v="0"/>
    <n v="26074.44"/>
    <x v="163"/>
    <n v="63"/>
    <d v="2023-06-13T00:00:00"/>
    <s v="G/ZOR"/>
    <s v="Location 13"/>
    <s v="Customer 9"/>
    <n v="63"/>
    <n v="413.88"/>
    <n v="26074.44"/>
  </r>
  <r>
    <d v="2024-05-10T00:00:00"/>
    <d v="2024-05-10T00:00:00"/>
    <s v="Yes"/>
    <n v="0"/>
    <n v="26074.44"/>
    <x v="163"/>
    <n v="63"/>
    <d v="2023-06-13T00:00:00"/>
    <s v="G/ZOR"/>
    <s v="Location 13"/>
    <s v="Customer 9"/>
    <n v="63"/>
    <n v="413.88"/>
    <n v="26074.44"/>
  </r>
  <r>
    <d v="2024-06-07T00:00:00"/>
    <d v="2024-05-31T00:00:00"/>
    <s v="No"/>
    <n v="7"/>
    <n v="26074.44"/>
    <x v="163"/>
    <n v="63"/>
    <d v="2023-06-13T00:00:00"/>
    <s v="G/ZOR"/>
    <s v="Location 13"/>
    <s v="Customer 9"/>
    <n v="63"/>
    <n v="413.88"/>
    <n v="26074.44"/>
  </r>
  <r>
    <d v="2024-09-16T00:00:00"/>
    <d v="2024-07-19T00:00:00"/>
    <s v="No"/>
    <n v="59"/>
    <n v="26074.44"/>
    <x v="163"/>
    <n v="63"/>
    <d v="2023-07-12T00:00:00"/>
    <s v="G/ZOR"/>
    <s v="Location 13"/>
    <s v="Customer 9"/>
    <n v="63"/>
    <n v="413.88"/>
    <n v="26074.44"/>
  </r>
  <r>
    <d v="2023-10-04T00:00:00"/>
    <d v="2023-10-04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3-10-11T00:00:00"/>
    <d v="2023-10-11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3-10-18T00:00:00"/>
    <d v="2023-10-18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3-10-25T00:00:00"/>
    <d v="2023-10-25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3-11-01T00:00:00"/>
    <d v="2023-11-01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3-11-08T00:00:00"/>
    <d v="2023-11-08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3-11-15T00:00:00"/>
    <d v="2023-11-15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3-11-22T00:00:00"/>
    <d v="2023-11-22T00:00:00"/>
    <s v="Yes"/>
    <n v="0"/>
    <n v="49756.68"/>
    <x v="164"/>
    <n v="108"/>
    <d v="2023-05-31T00:00:00"/>
    <s v="G/ZOR"/>
    <s v="Location 13"/>
    <s v="Customer 9"/>
    <n v="108"/>
    <n v="460.71"/>
    <n v="49756.68"/>
  </r>
  <r>
    <d v="2023-11-22T00:00:00"/>
    <d v="2023-11-22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3-12-06T00:00:00"/>
    <d v="2023-12-06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3-12-27T00:00:00"/>
    <d v="2023-12-27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4-01-17T00:00:00"/>
    <d v="2024-01-17T00:00:00"/>
    <s v="Yes"/>
    <n v="0"/>
    <n v="16585.560000000001"/>
    <x v="164"/>
    <n v="36"/>
    <d v="2023-05-31T00:00:00"/>
    <s v="G/ZOR"/>
    <s v="Location 13"/>
    <s v="Customer 9"/>
    <n v="36"/>
    <n v="460.71"/>
    <n v="16585.560000000001"/>
  </r>
  <r>
    <d v="2024-01-24T00:00:00"/>
    <d v="2024-01-24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4-01-31T00:00:00"/>
    <d v="2024-01-31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4-02-09T00:00:00"/>
    <d v="2024-02-09T00:00:00"/>
    <s v="Yes"/>
    <n v="0"/>
    <n v="33171.120000000003"/>
    <x v="164"/>
    <n v="72"/>
    <d v="2023-05-31T00:00:00"/>
    <s v="G/ZOR"/>
    <s v="Location 13"/>
    <s v="Customer 9"/>
    <n v="72"/>
    <n v="460.71"/>
    <n v="33171.120000000003"/>
  </r>
  <r>
    <d v="2024-04-05T00:00:00"/>
    <d v="2024-04-05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4-12T00:00:00"/>
    <d v="2024-04-12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4-19T00:00:00"/>
    <d v="2024-04-19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4-26T00:00:00"/>
    <d v="2024-04-26T00:00:00"/>
    <s v="Yes"/>
    <n v="0"/>
    <n v="16585.560000000001"/>
    <x v="164"/>
    <n v="36"/>
    <d v="2023-06-13T00:00:00"/>
    <s v="G/ZOR"/>
    <s v="Location 13"/>
    <s v="Customer 9"/>
    <n v="36"/>
    <n v="460.71"/>
    <n v="16585.560000000001"/>
  </r>
  <r>
    <d v="2024-05-03T00:00:00"/>
    <d v="2024-05-03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5-10T00:00:00"/>
    <d v="2024-05-10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5-17T00:00:00"/>
    <d v="2024-05-17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5-24T00:00:00"/>
    <d v="2024-05-24T00:00:00"/>
    <s v="Yes"/>
    <n v="0"/>
    <n v="16585.560000000001"/>
    <x v="164"/>
    <n v="36"/>
    <d v="2023-06-13T00:00:00"/>
    <s v="G/ZOR"/>
    <s v="Location 13"/>
    <s v="Customer 9"/>
    <n v="36"/>
    <n v="460.71"/>
    <n v="16585.560000000001"/>
  </r>
  <r>
    <d v="2024-05-31T00:00:00"/>
    <d v="2024-05-31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4-06-07T00:00:00"/>
    <d v="2024-06-07T00:00:00"/>
    <s v="Yes"/>
    <n v="0"/>
    <n v="33171.120000000003"/>
    <x v="164"/>
    <n v="72"/>
    <d v="2023-06-13T00:00:00"/>
    <s v="G/ZOR"/>
    <s v="Location 13"/>
    <s v="Customer 9"/>
    <n v="72"/>
    <n v="460.71"/>
    <n v="33171.120000000003"/>
  </r>
  <r>
    <d v="2023-09-27T00:00:00"/>
    <d v="2023-09-27T00:00:00"/>
    <s v="Yes"/>
    <n v="0"/>
    <n v="16585.560000000001"/>
    <x v="164"/>
    <n v="36"/>
    <d v="2023-09-11T00:00:00"/>
    <s v="G/ZOR"/>
    <s v="Location 13"/>
    <s v="Customer 9"/>
    <n v="36"/>
    <n v="460.71"/>
    <n v="16585.560000000001"/>
  </r>
  <r>
    <d v="2024-07-23T00:00:00"/>
    <d v="2024-07-23T00:00:00"/>
    <s v="Yes"/>
    <n v="0"/>
    <n v="80049.600000000006"/>
    <x v="165"/>
    <n v="120"/>
    <d v="2023-03-28T00:00:00"/>
    <s v="G/ZOR"/>
    <s v="Location 13"/>
    <s v="Customer 9"/>
    <n v="120"/>
    <n v="667.08"/>
    <n v="80049.600000000006"/>
  </r>
  <r>
    <d v="2024-07-17T00:00:00"/>
    <d v="2024-07-17T00:00:00"/>
    <s v="Yes"/>
    <n v="0"/>
    <n v="40024.800000000003"/>
    <x v="165"/>
    <n v="60"/>
    <d v="2023-05-10T00:00:00"/>
    <s v="G/ZOR"/>
    <s v="Location 13"/>
    <s v="Customer 9"/>
    <n v="60"/>
    <n v="667.08"/>
    <n v="40024.800000000003"/>
  </r>
  <r>
    <d v="2023-11-03T00:00:00"/>
    <d v="2023-11-03T00:00:00"/>
    <s v="Yes"/>
    <n v="0"/>
    <n v="6355.2"/>
    <x v="166"/>
    <n v="240"/>
    <d v="2022-07-26T00:00:00"/>
    <s v="G/ZOR"/>
    <s v="Location 13"/>
    <s v="Customer 9"/>
    <n v="240"/>
    <n v="26.48"/>
    <n v="6355.2"/>
  </r>
  <r>
    <d v="2024-02-09T00:00:00"/>
    <d v="2024-02-09T00:00:00"/>
    <s v="Yes"/>
    <n v="0"/>
    <n v="6355.2"/>
    <x v="166"/>
    <n v="240"/>
    <d v="2022-10-11T00:00:00"/>
    <s v="G/ZOR"/>
    <s v="Location 13"/>
    <s v="Customer 9"/>
    <n v="240"/>
    <n v="26.48"/>
    <n v="6355.2"/>
  </r>
  <r>
    <d v="2024-01-18T00:00:00"/>
    <d v="2024-01-18T00:00:00"/>
    <s v="Yes"/>
    <n v="0"/>
    <n v="6355.2"/>
    <x v="166"/>
    <n v="240"/>
    <d v="2022-10-25T00:00:00"/>
    <s v="G/ZOR"/>
    <s v="Location 13"/>
    <s v="Customer 9"/>
    <n v="240"/>
    <n v="26.48"/>
    <n v="6355.2"/>
  </r>
  <r>
    <d v="2024-03-11T00:00:00"/>
    <d v="2024-03-11T00:00:00"/>
    <s v="Yes"/>
    <n v="0"/>
    <n v="6355.2"/>
    <x v="166"/>
    <n v="240"/>
    <d v="2022-11-01T00:00:00"/>
    <s v="G/ZOR"/>
    <s v="Location 13"/>
    <s v="Customer 9"/>
    <n v="240"/>
    <n v="26.48"/>
    <n v="6355.2"/>
  </r>
  <r>
    <d v="2024-04-18T00:00:00"/>
    <d v="2024-04-18T00:00:00"/>
    <s v="Yes"/>
    <n v="0"/>
    <n v="6355.2"/>
    <x v="166"/>
    <n v="240"/>
    <d v="2023-01-19T00:00:00"/>
    <s v="G/ZOR"/>
    <s v="Location 13"/>
    <s v="Customer 9"/>
    <n v="240"/>
    <n v="26.48"/>
    <n v="6355.2"/>
  </r>
  <r>
    <d v="2024-05-16T00:00:00"/>
    <d v="2024-05-16T00:00:00"/>
    <s v="Yes"/>
    <n v="0"/>
    <n v="6355.2"/>
    <x v="166"/>
    <n v="240"/>
    <d v="2023-03-31T00:00:00"/>
    <s v="G/ZOR"/>
    <s v="Location 13"/>
    <s v="Customer 9"/>
    <n v="240"/>
    <n v="26.48"/>
    <n v="6355.2"/>
  </r>
  <r>
    <d v="2024-07-03T00:00:00"/>
    <d v="2024-07-03T00:00:00"/>
    <s v="Yes"/>
    <n v="0"/>
    <n v="3177.6"/>
    <x v="166"/>
    <n v="120"/>
    <d v="2023-04-27T00:00:00"/>
    <s v="G/ZOR"/>
    <s v="Location 13"/>
    <s v="Customer 9"/>
    <n v="120"/>
    <n v="26.48"/>
    <n v="3177.6"/>
  </r>
  <r>
    <d v="2024-07-18T00:00:00"/>
    <d v="2024-07-18T00:00:00"/>
    <s v="Yes"/>
    <n v="0"/>
    <n v="3177.6"/>
    <x v="166"/>
    <n v="120"/>
    <d v="2023-05-04T00:00:00"/>
    <s v="G/ZOR"/>
    <s v="Location 13"/>
    <s v="Customer 9"/>
    <n v="120"/>
    <n v="26.48"/>
    <n v="3177.6"/>
  </r>
  <r>
    <d v="2024-08-01T00:00:00"/>
    <d v="2024-08-01T00:00:00"/>
    <s v="Yes"/>
    <n v="0"/>
    <n v="3177.6"/>
    <x v="166"/>
    <n v="120"/>
    <d v="2023-05-04T00:00:00"/>
    <s v="G/ZOR"/>
    <s v="Location 13"/>
    <s v="Customer 9"/>
    <n v="120"/>
    <n v="26.48"/>
    <n v="3177.6"/>
  </r>
  <r>
    <d v="2024-08-15T00:00:00"/>
    <d v="2024-08-15T00:00:00"/>
    <s v="Yes"/>
    <n v="0"/>
    <n v="3177.6"/>
    <x v="166"/>
    <n v="120"/>
    <d v="2023-05-10T00:00:00"/>
    <s v="G/ZOR"/>
    <s v="Location 13"/>
    <s v="Customer 9"/>
    <n v="120"/>
    <n v="26.48"/>
    <n v="3177.6"/>
  </r>
  <r>
    <d v="2024-08-29T00:00:00"/>
    <d v="2024-08-29T00:00:00"/>
    <s v="Yes"/>
    <n v="0"/>
    <n v="450.16"/>
    <x v="166"/>
    <n v="17"/>
    <d v="2023-05-30T00:00:00"/>
    <s v="G/ZOR"/>
    <s v="Location 13"/>
    <s v="Customer 9"/>
    <n v="120"/>
    <n v="26.48"/>
    <n v="3177.6"/>
  </r>
  <r>
    <d v="2024-09-26T00:00:00"/>
    <d v="2024-08-29T00:00:00"/>
    <s v="No"/>
    <n v="28"/>
    <n v="2727.44"/>
    <x v="166"/>
    <n v="103"/>
    <d v="2023-05-30T00:00:00"/>
    <s v="G/ZOR"/>
    <s v="Location 13"/>
    <s v="Customer 9"/>
    <n v="120"/>
    <n v="26.48"/>
    <n v="3177.6"/>
  </r>
  <r>
    <d v="2025-11-19T00:00:00"/>
    <d v="2024-10-26T00:00:00"/>
    <s v="No"/>
    <n v="389"/>
    <n v="3177.6"/>
    <x v="166"/>
    <n v="120"/>
    <d v="2023-07-07T00:00:00"/>
    <s v="G/ZOR"/>
    <s v="Location 13"/>
    <s v="Customer 9"/>
    <n v="120"/>
    <n v="26.48"/>
    <n v="3177.6"/>
  </r>
  <r>
    <d v="2024-10-02T00:00:00"/>
    <d v="2024-10-02T00:00:00"/>
    <s v="Yes"/>
    <n v="0"/>
    <n v="450.16"/>
    <x v="166"/>
    <n v="17"/>
    <d v="2023-07-12T00:00:00"/>
    <s v="G/ZOR"/>
    <s v="Location 13"/>
    <s v="Customer 9"/>
    <n v="120"/>
    <n v="26.48"/>
    <n v="3177.6"/>
  </r>
  <r>
    <d v="2025-11-19T00:00:00"/>
    <d v="2024-10-02T00:00:00"/>
    <s v="No"/>
    <n v="413"/>
    <n v="2727.44"/>
    <x v="166"/>
    <n v="103"/>
    <d v="2023-07-12T00:00:00"/>
    <s v="G/ZOR"/>
    <s v="Location 13"/>
    <s v="Customer 9"/>
    <n v="120"/>
    <n v="26.48"/>
    <n v="3177.6"/>
  </r>
  <r>
    <d v="2025-11-19T00:00:00"/>
    <d v="2024-10-17T00:00:00"/>
    <s v="No"/>
    <n v="398"/>
    <n v="3177.6"/>
    <x v="166"/>
    <n v="120"/>
    <d v="2023-07-14T00:00:00"/>
    <s v="G/ZOR"/>
    <s v="Location 13"/>
    <s v="Customer 9"/>
    <n v="120"/>
    <n v="26.48"/>
    <n v="3177.6"/>
  </r>
  <r>
    <d v="2025-11-19T00:00:00"/>
    <d v="2024-11-21T00:00:00"/>
    <s v="No"/>
    <n v="363"/>
    <n v="2250.8000000000002"/>
    <x v="166"/>
    <n v="85"/>
    <d v="2023-07-26T00:00:00"/>
    <s v="G/ZOR"/>
    <s v="Location 13"/>
    <s v="Customer 9"/>
    <n v="85"/>
    <n v="26.48"/>
    <n v="2250.8000000000002"/>
  </r>
  <r>
    <d v="2024-05-17T00:00:00"/>
    <d v="2024-01-24T00:00:00"/>
    <s v="No"/>
    <n v="114"/>
    <n v="35877"/>
    <x v="167"/>
    <n v="60"/>
    <d v="2023-07-17T00:00:00"/>
    <s v="G/ZOR"/>
    <s v="Location 13"/>
    <s v="Customer 9"/>
    <n v="60"/>
    <n v="597.95000000000005"/>
    <n v="35877"/>
  </r>
  <r>
    <d v="2023-10-20T00:00:00"/>
    <d v="2023-10-20T00:00:00"/>
    <s v="Yes"/>
    <n v="0"/>
    <n v="5360"/>
    <x v="168"/>
    <n v="4000"/>
    <d v="2022-03-10T00:00:00"/>
    <s v="G/ZOR"/>
    <s v="Location 13"/>
    <s v="Customer 9"/>
    <n v="4000"/>
    <n v="1.34"/>
    <n v="5360"/>
  </r>
  <r>
    <d v="2024-04-10T00:00:00"/>
    <d v="2024-04-10T00:00:00"/>
    <s v="Yes"/>
    <n v="0"/>
    <n v="15750"/>
    <x v="164"/>
    <n v="9000"/>
    <d v="2023-01-06T00:00:00"/>
    <s v="G/ZOR"/>
    <s v="Location 13"/>
    <s v="Customer 9"/>
    <n v="9000"/>
    <n v="1.75"/>
    <n v="15750"/>
  </r>
  <r>
    <d v="2024-04-12T00:00:00"/>
    <d v="2024-04-12T00:00:00"/>
    <s v="Yes"/>
    <n v="0"/>
    <n v="5250"/>
    <x v="164"/>
    <n v="3000"/>
    <d v="2023-01-09T00:00:00"/>
    <s v="G/ZOR"/>
    <s v="Location 13"/>
    <s v="Customer 9"/>
    <n v="3000"/>
    <n v="1.75"/>
    <n v="5250"/>
  </r>
  <r>
    <d v="2024-05-03T00:00:00"/>
    <d v="2024-04-22T00:00:00"/>
    <s v="No"/>
    <n v="11"/>
    <n v="15750"/>
    <x v="164"/>
    <n v="9000"/>
    <d v="2023-01-13T00:00:00"/>
    <s v="G/ZOR"/>
    <s v="Location 13"/>
    <s v="Customer 9"/>
    <n v="9000"/>
    <n v="1.75"/>
    <n v="15750"/>
  </r>
  <r>
    <d v="2024-05-31T00:00:00"/>
    <d v="2024-05-31T00:00:00"/>
    <s v="Yes"/>
    <n v="0"/>
    <n v="21000"/>
    <x v="164"/>
    <n v="12000"/>
    <d v="2023-01-13T00:00:00"/>
    <s v="G/ZOR"/>
    <s v="Location 13"/>
    <s v="Customer 9"/>
    <n v="12000"/>
    <n v="1.75"/>
    <n v="21000"/>
  </r>
  <r>
    <d v="2024-06-12T00:00:00"/>
    <d v="2024-06-12T00:00:00"/>
    <s v="Yes"/>
    <n v="0"/>
    <n v="26250"/>
    <x v="164"/>
    <n v="15000"/>
    <d v="2023-01-13T00:00:00"/>
    <s v="G/ZOR"/>
    <s v="Location 13"/>
    <s v="Customer 9"/>
    <n v="15000"/>
    <n v="1.75"/>
    <n v="26250"/>
  </r>
  <r>
    <d v="2024-07-29T00:00:00"/>
    <d v="2024-07-29T00:00:00"/>
    <s v="Yes"/>
    <n v="0"/>
    <n v="10500"/>
    <x v="164"/>
    <n v="6000"/>
    <d v="2023-01-13T00:00:00"/>
    <s v="G/ZOR"/>
    <s v="Location 13"/>
    <s v="Customer 9"/>
    <n v="12000"/>
    <n v="1.75"/>
    <n v="21000"/>
  </r>
  <r>
    <d v="2024-08-09T00:00:00"/>
    <d v="2024-07-29T00:00:00"/>
    <s v="No"/>
    <n v="11"/>
    <n v="10500"/>
    <x v="164"/>
    <n v="6000"/>
    <d v="2023-01-13T00:00:00"/>
    <s v="G/ZOR"/>
    <s v="Location 13"/>
    <s v="Customer 9"/>
    <n v="12000"/>
    <n v="1.75"/>
    <n v="21000"/>
  </r>
  <r>
    <d v="2024-05-03T00:00:00"/>
    <d v="2024-04-17T00:00:00"/>
    <s v="No"/>
    <n v="16"/>
    <n v="5250"/>
    <x v="164"/>
    <n v="3000"/>
    <d v="2023-01-17T00:00:00"/>
    <s v="G/ZOR"/>
    <s v="Location 13"/>
    <s v="Customer 9"/>
    <n v="3000"/>
    <n v="1.75"/>
    <n v="5250"/>
  </r>
  <r>
    <d v="2024-04-10T00:00:00"/>
    <d v="2024-04-10T00:00:00"/>
    <s v="Yes"/>
    <n v="0"/>
    <n v="10500"/>
    <x v="164"/>
    <n v="6000"/>
    <d v="2023-01-25T00:00:00"/>
    <s v="G/ZOR"/>
    <s v="Location 13"/>
    <s v="Customer 9"/>
    <n v="6000"/>
    <n v="1.75"/>
    <n v="10500"/>
  </r>
  <r>
    <d v="2024-09-13T00:00:00"/>
    <d v="2024-09-13T00:00:00"/>
    <s v="Yes"/>
    <n v="0"/>
    <n v="5250"/>
    <x v="164"/>
    <n v="3000"/>
    <d v="2023-01-27T00:00:00"/>
    <s v="G/ZOR"/>
    <s v="Location 13"/>
    <s v="Customer 9"/>
    <n v="3000"/>
    <n v="1.75"/>
    <n v="5250"/>
  </r>
  <r>
    <d v="2024-11-08T00:00:00"/>
    <d v="2024-11-08T00:00:00"/>
    <s v="Yes"/>
    <n v="0"/>
    <n v="5250"/>
    <x v="164"/>
    <n v="3000"/>
    <d v="2023-06-06T00:00:00"/>
    <s v="G/ZOR"/>
    <s v="Location 13"/>
    <s v="Customer 9"/>
    <n v="3000"/>
    <n v="1.75"/>
    <n v="5250"/>
  </r>
  <r>
    <d v="2024-02-09T00:00:00"/>
    <d v="2024-02-09T00:00:00"/>
    <s v="Yes"/>
    <n v="0"/>
    <n v="5280"/>
    <x v="157"/>
    <n v="3000"/>
    <d v="2022-10-21T00:00:00"/>
    <s v="G/ZOR"/>
    <s v="Location 13"/>
    <s v="Customer 9"/>
    <n v="3000"/>
    <n v="1.76"/>
    <n v="5280"/>
  </r>
  <r>
    <d v="2024-04-09T00:00:00"/>
    <d v="2024-04-09T00:00:00"/>
    <s v="Yes"/>
    <n v="0"/>
    <n v="5280"/>
    <x v="157"/>
    <n v="3000"/>
    <d v="2022-12-13T00:00:00"/>
    <s v="G/ZOR"/>
    <s v="Location 13"/>
    <s v="Customer 9"/>
    <n v="3000"/>
    <n v="1.76"/>
    <n v="5280"/>
  </r>
  <r>
    <d v="2024-06-27T00:00:00"/>
    <d v="2024-06-27T00:00:00"/>
    <s v="Yes"/>
    <n v="0"/>
    <n v="10560"/>
    <x v="157"/>
    <n v="6000"/>
    <d v="2023-01-13T00:00:00"/>
    <s v="G/ZOR"/>
    <s v="Location 13"/>
    <s v="Customer 9"/>
    <n v="6000"/>
    <n v="1.76"/>
    <n v="10560"/>
  </r>
  <r>
    <d v="2024-07-30T00:00:00"/>
    <d v="2024-07-30T00:00:00"/>
    <s v="Yes"/>
    <n v="0"/>
    <n v="5280"/>
    <x v="157"/>
    <n v="3000"/>
    <d v="2023-01-24T00:00:00"/>
    <s v="G/ZOR"/>
    <s v="Location 13"/>
    <s v="Customer 9"/>
    <n v="3000"/>
    <n v="1.76"/>
    <n v="5280"/>
  </r>
  <r>
    <d v="2024-04-26T00:00:00"/>
    <d v="2024-04-26T00:00:00"/>
    <s v="Yes"/>
    <n v="0"/>
    <n v="5940"/>
    <x v="169"/>
    <n v="3000"/>
    <d v="2023-01-05T00:00:00"/>
    <s v="G/ZOR"/>
    <s v="Location 13"/>
    <s v="Customer 9"/>
    <n v="3000"/>
    <n v="1.98"/>
    <n v="5940"/>
  </r>
  <r>
    <d v="2024-06-07T00:00:00"/>
    <d v="2024-06-07T00:00:00"/>
    <s v="Yes"/>
    <n v="0"/>
    <n v="5940"/>
    <x v="169"/>
    <n v="3000"/>
    <d v="2023-01-13T00:00:00"/>
    <s v="G/ZOR"/>
    <s v="Location 13"/>
    <s v="Customer 9"/>
    <n v="3000"/>
    <n v="1.98"/>
    <n v="5940"/>
  </r>
  <r>
    <d v="2024-07-05T00:00:00"/>
    <d v="2024-07-05T00:00:00"/>
    <s v="Yes"/>
    <n v="0"/>
    <n v="5940"/>
    <x v="169"/>
    <n v="3000"/>
    <d v="2023-01-13T00:00:00"/>
    <s v="G/ZOR"/>
    <s v="Location 13"/>
    <s v="Customer 9"/>
    <n v="3000"/>
    <n v="1.98"/>
    <n v="5940"/>
  </r>
  <r>
    <d v="2024-08-02T00:00:00"/>
    <d v="2024-08-02T00:00:00"/>
    <s v="Yes"/>
    <n v="0"/>
    <n v="5940"/>
    <x v="169"/>
    <n v="3000"/>
    <d v="2023-01-13T00:00:00"/>
    <s v="G/ZOR"/>
    <s v="Location 13"/>
    <s v="Customer 9"/>
    <n v="3000"/>
    <n v="1.98"/>
    <n v="5940"/>
  </r>
  <r>
    <d v="2024-02-02T00:00:00"/>
    <d v="2023-02-17T00:00:00"/>
    <s v="No"/>
    <n v="350"/>
    <n v="21606.48"/>
    <x v="103"/>
    <n v="252"/>
    <d v="2023-08-28T00:00:00"/>
    <s v="G/ZOR"/>
    <s v="Location 14"/>
    <s v="Customer 3"/>
    <n v="504"/>
    <n v="85.74"/>
    <n v="43212.959999999999"/>
  </r>
  <r>
    <d v="2023-09-21T00:00:00"/>
    <d v="2021-12-10T00:00:00"/>
    <s v="No"/>
    <n v="650"/>
    <n v="79011"/>
    <x v="108"/>
    <n v="180"/>
    <d v="2023-09-11T00:00:00"/>
    <s v="G/ZOR"/>
    <s v="Location 14"/>
    <s v="Customer 3"/>
    <n v="1620"/>
    <n v="438.95"/>
    <n v="711099"/>
  </r>
  <r>
    <d v="2023-10-31T00:00:00"/>
    <d v="2021-12-10T00:00:00"/>
    <s v="No"/>
    <n v="690"/>
    <n v="632088"/>
    <x v="108"/>
    <n v="1440"/>
    <d v="2023-09-11T00:00:00"/>
    <s v="G/ZOR"/>
    <s v="Location 14"/>
    <s v="Customer 3"/>
    <n v="1620"/>
    <n v="438.95"/>
    <n v="711099"/>
  </r>
  <r>
    <d v="2023-10-19T00:00:00"/>
    <d v="2023-07-17T00:00:00"/>
    <s v="No"/>
    <n v="94"/>
    <n v="14034"/>
    <x v="170"/>
    <n v="120"/>
    <d v="2023-02-14T00:00:00"/>
    <s v="G/ZOR"/>
    <s v="Location 14"/>
    <s v="Customer 3"/>
    <n v="120"/>
    <n v="116.95"/>
    <n v="14034"/>
  </r>
  <r>
    <d v="2023-11-09T00:00:00"/>
    <d v="2023-10-16T00:00:00"/>
    <s v="No"/>
    <n v="24"/>
    <n v="42102"/>
    <x v="170"/>
    <n v="360"/>
    <d v="2023-02-14T00:00:00"/>
    <s v="G/ZOR"/>
    <s v="Location 14"/>
    <s v="Customer 3"/>
    <n v="360"/>
    <n v="116.95"/>
    <n v="42102"/>
  </r>
  <r>
    <d v="2024-02-23T00:00:00"/>
    <d v="2024-01-12T00:00:00"/>
    <s v="No"/>
    <n v="42"/>
    <n v="42102"/>
    <x v="170"/>
    <n v="360"/>
    <d v="2023-02-14T00:00:00"/>
    <s v="G/ZOR"/>
    <s v="Location 14"/>
    <s v="Customer 3"/>
    <n v="360"/>
    <n v="116.95"/>
    <n v="42102"/>
  </r>
  <r>
    <d v="2023-10-19T00:00:00"/>
    <d v="2023-03-17T00:00:00"/>
    <s v="No"/>
    <n v="216"/>
    <n v="65144.11"/>
    <x v="171"/>
    <n v="331"/>
    <d v="2023-03-15T00:00:00"/>
    <s v="G/ZOR"/>
    <s v="Location 14"/>
    <s v="Customer 3"/>
    <n v="400"/>
    <n v="196.81"/>
    <n v="78724"/>
  </r>
  <r>
    <d v="2023-10-20T00:00:00"/>
    <d v="2023-03-17T00:00:00"/>
    <s v="No"/>
    <n v="217"/>
    <n v="13579.89"/>
    <x v="171"/>
    <n v="69"/>
    <d v="2023-03-15T00:00:00"/>
    <s v="G/ZOR"/>
    <s v="Location 14"/>
    <s v="Customer 3"/>
    <n v="400"/>
    <n v="196.81"/>
    <n v="78724"/>
  </r>
  <r>
    <d v="2024-04-17T00:00:00"/>
    <d v="2023-07-21T00:00:00"/>
    <s v="No"/>
    <n v="271"/>
    <n v="13776.7"/>
    <x v="171"/>
    <n v="70"/>
    <d v="2023-03-15T00:00:00"/>
    <s v="G/ZOR"/>
    <s v="Location 14"/>
    <s v="Customer 3"/>
    <n v="70"/>
    <n v="196.81"/>
    <n v="13776.7"/>
  </r>
  <r>
    <d v="2024-04-17T00:00:00"/>
    <d v="2023-07-30T00:00:00"/>
    <s v="No"/>
    <n v="262"/>
    <n v="216491"/>
    <x v="171"/>
    <n v="1100"/>
    <d v="2023-03-15T00:00:00"/>
    <s v="G/ZOR"/>
    <s v="Location 14"/>
    <s v="Customer 3"/>
    <n v="1100"/>
    <n v="196.81"/>
    <n v="216491"/>
  </r>
  <r>
    <d v="2023-10-20T00:00:00"/>
    <d v="2023-07-14T00:00:00"/>
    <s v="No"/>
    <n v="98"/>
    <n v="196.81"/>
    <x v="171"/>
    <n v="1"/>
    <d v="2023-04-20T00:00:00"/>
    <s v="G/ZOR"/>
    <s v="Location 14"/>
    <s v="Customer 3"/>
    <n v="2132"/>
    <n v="196.81"/>
    <n v="419598.92"/>
  </r>
  <r>
    <d v="2024-03-08T00:00:00"/>
    <d v="2023-07-14T00:00:00"/>
    <s v="No"/>
    <n v="238"/>
    <n v="216491"/>
    <x v="171"/>
    <n v="1100"/>
    <d v="2023-04-20T00:00:00"/>
    <s v="G/ZOR"/>
    <s v="Location 14"/>
    <s v="Customer 3"/>
    <n v="2132"/>
    <n v="196.81"/>
    <n v="419598.92"/>
  </r>
  <r>
    <d v="2024-03-14T00:00:00"/>
    <d v="2023-07-14T00:00:00"/>
    <s v="No"/>
    <n v="244"/>
    <n v="13579.89"/>
    <x v="171"/>
    <n v="69"/>
    <d v="2023-04-20T00:00:00"/>
    <s v="G/ZOR"/>
    <s v="Location 14"/>
    <s v="Customer 3"/>
    <n v="2132"/>
    <n v="196.81"/>
    <n v="419598.92"/>
  </r>
  <r>
    <d v="2024-04-17T00:00:00"/>
    <d v="2023-07-14T00:00:00"/>
    <s v="No"/>
    <n v="278"/>
    <n v="189331.22"/>
    <x v="171"/>
    <n v="962"/>
    <d v="2023-04-20T00:00:00"/>
    <s v="G/ZOR"/>
    <s v="Location 14"/>
    <s v="Customer 3"/>
    <n v="2132"/>
    <n v="196.81"/>
    <n v="419598.92"/>
  </r>
  <r>
    <d v="2023-09-27T00:00:00"/>
    <d v="2023-09-27T00:00:00"/>
    <s v="Yes"/>
    <n v="0"/>
    <n v="3381"/>
    <x v="172"/>
    <n v="300"/>
    <d v="2023-09-11T00:00:00"/>
    <s v="G/ZOR"/>
    <s v="Location 15"/>
    <s v="Customer 3"/>
    <n v="300"/>
    <n v="11.27"/>
    <n v="3381"/>
  </r>
  <r>
    <d v="2023-10-04T00:00:00"/>
    <d v="2023-10-04T00:00:00"/>
    <s v="Yes"/>
    <n v="0"/>
    <n v="3348"/>
    <x v="173"/>
    <n v="360"/>
    <d v="2022-09-22T00:00:00"/>
    <s v="G/ZOR"/>
    <s v="Location 15"/>
    <s v="Customer 3"/>
    <n v="360"/>
    <n v="9.3000000000000007"/>
    <n v="3348"/>
  </r>
  <r>
    <d v="2023-12-06T00:00:00"/>
    <d v="2023-12-06T00:00:00"/>
    <s v="Yes"/>
    <n v="0"/>
    <n v="2790"/>
    <x v="173"/>
    <n v="300"/>
    <d v="2022-11-29T00:00:00"/>
    <s v="G/ZOR"/>
    <s v="Location 15"/>
    <s v="Customer 3"/>
    <n v="300"/>
    <n v="9.3000000000000007"/>
    <n v="2790"/>
  </r>
  <r>
    <d v="2024-01-03T00:00:00"/>
    <d v="2024-01-03T00:00:00"/>
    <s v="Yes"/>
    <n v="0"/>
    <n v="11030.4"/>
    <x v="155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155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155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155"/>
    <n v="120"/>
    <d v="2022-09-14T00:00:00"/>
    <s v="G/ZOR"/>
    <s v="Location 15"/>
    <s v="Customer 3"/>
    <n v="120"/>
    <n v="91.92"/>
    <n v="11030.4"/>
  </r>
  <r>
    <d v="2024-01-03T00:00:00"/>
    <d v="2024-01-03T00:00:00"/>
    <s v="Yes"/>
    <n v="0"/>
    <n v="11030.4"/>
    <x v="155"/>
    <n v="120"/>
    <d v="2022-09-22T00:00:00"/>
    <s v="G/ZOR"/>
    <s v="Location 15"/>
    <s v="Customer 3"/>
    <n v="120"/>
    <n v="91.92"/>
    <n v="11030.4"/>
  </r>
  <r>
    <d v="2024-01-03T00:00:00"/>
    <d v="2024-01-03T00:00:00"/>
    <s v="Yes"/>
    <n v="0"/>
    <n v="5882.88"/>
    <x v="155"/>
    <n v="64"/>
    <d v="2022-10-11T00:00:00"/>
    <s v="G/ZOR"/>
    <s v="Location 15"/>
    <s v="Customer 3"/>
    <n v="120"/>
    <n v="91.92"/>
    <n v="11030.4"/>
  </r>
  <r>
    <d v="2024-01-23T00:00:00"/>
    <d v="2024-01-03T00:00:00"/>
    <s v="No"/>
    <n v="20"/>
    <n v="5147.5200000000004"/>
    <x v="155"/>
    <n v="56"/>
    <d v="2022-10-11T00:00:00"/>
    <s v="G/ZOR"/>
    <s v="Location 15"/>
    <s v="Customer 3"/>
    <n v="120"/>
    <n v="91.92"/>
    <n v="11030.4"/>
  </r>
  <r>
    <d v="2024-01-23T00:00:00"/>
    <d v="2024-01-03T00:00:00"/>
    <s v="No"/>
    <n v="20"/>
    <n v="11030.4"/>
    <x v="155"/>
    <n v="120"/>
    <d v="2022-10-11T00:00:00"/>
    <s v="G/ZOR"/>
    <s v="Location 15"/>
    <s v="Customer 3"/>
    <n v="120"/>
    <n v="91.92"/>
    <n v="11030.4"/>
  </r>
  <r>
    <d v="2024-01-23T00:00:00"/>
    <d v="2024-01-03T00:00:00"/>
    <s v="No"/>
    <n v="20"/>
    <n v="5882.88"/>
    <x v="155"/>
    <n v="64"/>
    <d v="2022-10-11T00:00:00"/>
    <s v="G/ZOR"/>
    <s v="Location 15"/>
    <s v="Customer 3"/>
    <n v="120"/>
    <n v="91.92"/>
    <n v="11030.4"/>
  </r>
  <r>
    <d v="2024-02-01T00:00:00"/>
    <d v="2024-01-03T00:00:00"/>
    <s v="No"/>
    <n v="29"/>
    <n v="5147.5200000000004"/>
    <x v="155"/>
    <n v="56"/>
    <d v="2022-10-11T00:00:00"/>
    <s v="G/ZOR"/>
    <s v="Location 15"/>
    <s v="Customer 3"/>
    <n v="120"/>
    <n v="91.92"/>
    <n v="11030.4"/>
  </r>
  <r>
    <d v="2024-02-01T00:00:00"/>
    <d v="2024-01-03T00:00:00"/>
    <s v="No"/>
    <n v="29"/>
    <n v="11030.4"/>
    <x v="155"/>
    <n v="120"/>
    <d v="2022-10-24T00:00:00"/>
    <s v="G/ZOR"/>
    <s v="Location 15"/>
    <s v="Customer 3"/>
    <n v="120"/>
    <n v="91.92"/>
    <n v="11030.4"/>
  </r>
  <r>
    <d v="2024-02-06T00:00:00"/>
    <d v="2024-01-30T00:00:00"/>
    <s v="No"/>
    <n v="7"/>
    <n v="5882.88"/>
    <x v="155"/>
    <n v="64"/>
    <d v="2023-01-19T00:00:00"/>
    <s v="G/ZOR"/>
    <s v="Location 15"/>
    <s v="Customer 3"/>
    <n v="120"/>
    <n v="91.92"/>
    <n v="11030.4"/>
  </r>
  <r>
    <d v="2024-05-01T00:00:00"/>
    <d v="2024-01-30T00:00:00"/>
    <s v="No"/>
    <n v="92"/>
    <n v="5147.5200000000004"/>
    <x v="155"/>
    <n v="56"/>
    <d v="2023-01-19T00:00:00"/>
    <s v="G/ZOR"/>
    <s v="Location 15"/>
    <s v="Customer 3"/>
    <n v="120"/>
    <n v="91.92"/>
    <n v="11030.4"/>
  </r>
  <r>
    <d v="2024-08-28T00:00:00"/>
    <d v="2024-08-28T00:00:00"/>
    <s v="Yes"/>
    <n v="0"/>
    <n v="11030.4"/>
    <x v="155"/>
    <n v="120"/>
    <d v="2023-02-16T00:00:00"/>
    <s v="G/ZOR"/>
    <s v="Location 15"/>
    <s v="Customer 3"/>
    <n v="120"/>
    <n v="91.92"/>
    <n v="11030.4"/>
  </r>
  <r>
    <d v="2024-01-23T00:00:00"/>
    <d v="2023-11-01T00:00:00"/>
    <s v="No"/>
    <n v="83"/>
    <n v="2767.5"/>
    <x v="154"/>
    <n v="27000"/>
    <d v="2023-01-18T00:00:00"/>
    <s v="G/ZOR"/>
    <s v="Location 15"/>
    <s v="Customer 3"/>
    <n v="27000"/>
    <n v="0.1"/>
    <n v="2700"/>
  </r>
  <r>
    <d v="2023-09-22T00:00:00"/>
    <d v="2023-09-22T00:00:00"/>
    <s v="Yes"/>
    <n v="0"/>
    <n v="7882.7"/>
    <x v="107"/>
    <n v="70"/>
    <d v="2022-09-15T00:00:00"/>
    <s v="G/ZOR"/>
    <s v="Location 15"/>
    <s v="Customer 3"/>
    <n v="400"/>
    <n v="112.61"/>
    <n v="45044"/>
  </r>
  <r>
    <d v="2023-09-26T00:00:00"/>
    <d v="2023-09-22T00:00:00"/>
    <s v="No"/>
    <n v="4"/>
    <n v="37161.300000000003"/>
    <x v="107"/>
    <n v="330"/>
    <d v="2022-09-15T00:00:00"/>
    <s v="G/ZOR"/>
    <s v="Location 15"/>
    <s v="Customer 3"/>
    <n v="400"/>
    <n v="112.61"/>
    <n v="45044"/>
  </r>
  <r>
    <d v="2023-11-03T00:00:00"/>
    <d v="2023-11-03T00:00:00"/>
    <s v="Yes"/>
    <n v="0"/>
    <n v="22522"/>
    <x v="107"/>
    <n v="200"/>
    <d v="2022-09-30T00:00:00"/>
    <s v="G/ZOR"/>
    <s v="Location 15"/>
    <s v="Customer 3"/>
    <n v="200"/>
    <n v="112.61"/>
    <n v="22522"/>
  </r>
  <r>
    <d v="2023-11-10T00:00:00"/>
    <d v="2023-11-10T00:00:00"/>
    <s v="Yes"/>
    <n v="0"/>
    <n v="45044"/>
    <x v="107"/>
    <n v="400"/>
    <d v="2022-09-30T00:00:00"/>
    <s v="G/ZOR"/>
    <s v="Location 15"/>
    <s v="Customer 3"/>
    <n v="400"/>
    <n v="112.61"/>
    <n v="45044"/>
  </r>
  <r>
    <d v="2023-11-17T00:00:00"/>
    <d v="2023-11-17T00:00:00"/>
    <s v="Yes"/>
    <n v="0"/>
    <n v="22522"/>
    <x v="107"/>
    <n v="200"/>
    <d v="2022-09-30T00:00:00"/>
    <s v="G/ZOR"/>
    <s v="Location 15"/>
    <s v="Customer 3"/>
    <n v="200"/>
    <n v="112.61"/>
    <n v="22522"/>
  </r>
  <r>
    <d v="2023-11-10T00:00:00"/>
    <d v="2023-11-10T00:00:00"/>
    <s v="Yes"/>
    <n v="0"/>
    <n v="45044"/>
    <x v="107"/>
    <n v="400"/>
    <d v="2022-10-14T00:00:00"/>
    <s v="G/ZOR"/>
    <s v="Location 15"/>
    <s v="Customer 3"/>
    <n v="400"/>
    <n v="112.61"/>
    <n v="45044"/>
  </r>
  <r>
    <d v="2023-11-24T00:00:00"/>
    <d v="2023-11-24T00:00:00"/>
    <s v="Yes"/>
    <n v="0"/>
    <n v="22522"/>
    <x v="107"/>
    <n v="200"/>
    <d v="2022-10-14T00:00:00"/>
    <s v="G/ZOR"/>
    <s v="Location 15"/>
    <s v="Customer 3"/>
    <n v="200"/>
    <n v="112.61"/>
    <n v="22522"/>
  </r>
  <r>
    <d v="2024-01-26T00:00:00"/>
    <d v="2024-01-26T00:00:00"/>
    <s v="Yes"/>
    <n v="0"/>
    <n v="45044"/>
    <x v="107"/>
    <n v="400"/>
    <d v="2023-01-06T00:00:00"/>
    <s v="G/ZOR"/>
    <s v="Location 15"/>
    <s v="Customer 3"/>
    <n v="400"/>
    <n v="112.61"/>
    <n v="45044"/>
  </r>
  <r>
    <d v="2024-02-06T00:00:00"/>
    <d v="2023-08-11T00:00:00"/>
    <s v="No"/>
    <n v="179"/>
    <n v="22522"/>
    <x v="107"/>
    <n v="200"/>
    <d v="2023-01-06T00:00:00"/>
    <s v="G/ZOR"/>
    <s v="Location 15"/>
    <s v="Customer 3"/>
    <n v="200"/>
    <n v="112.61"/>
    <n v="22522"/>
  </r>
  <r>
    <d v="2024-02-06T00:00:00"/>
    <d v="2023-08-11T00:00:00"/>
    <s v="No"/>
    <n v="179"/>
    <n v="7882.7"/>
    <x v="107"/>
    <n v="70"/>
    <d v="2023-01-06T00:00:00"/>
    <s v="G/ZOR"/>
    <s v="Location 15"/>
    <s v="Customer 3"/>
    <n v="200"/>
    <n v="112.61"/>
    <n v="22522"/>
  </r>
  <r>
    <d v="2024-02-08T00:00:00"/>
    <d v="2023-08-11T00:00:00"/>
    <s v="No"/>
    <n v="181"/>
    <n v="14639.3"/>
    <x v="107"/>
    <n v="130"/>
    <d v="2023-01-06T00:00:00"/>
    <s v="G/ZOR"/>
    <s v="Location 15"/>
    <s v="Customer 3"/>
    <n v="200"/>
    <n v="112.61"/>
    <n v="22522"/>
  </r>
  <r>
    <d v="2024-02-08T00:00:00"/>
    <d v="2023-08-08T00:00:00"/>
    <s v="No"/>
    <n v="184"/>
    <n v="22522"/>
    <x v="107"/>
    <n v="200"/>
    <d v="2023-01-06T00:00:00"/>
    <s v="G/ZOR"/>
    <s v="Location 15"/>
    <s v="Customer 3"/>
    <n v="200"/>
    <n v="112.61"/>
    <n v="22522"/>
  </r>
  <r>
    <d v="2024-02-08T00:00:00"/>
    <d v="2023-07-31T00:00:00"/>
    <s v="No"/>
    <n v="192"/>
    <n v="22522"/>
    <x v="107"/>
    <n v="200"/>
    <d v="2023-01-06T00:00:00"/>
    <s v="G/ZOR"/>
    <s v="Location 15"/>
    <s v="Customer 3"/>
    <n v="200"/>
    <n v="112.61"/>
    <n v="22522"/>
  </r>
  <r>
    <d v="2024-02-08T00:00:00"/>
    <d v="2023-08-15T00:00:00"/>
    <s v="No"/>
    <n v="177"/>
    <n v="7882.7"/>
    <x v="107"/>
    <n v="70"/>
    <d v="2023-01-13T00:00:00"/>
    <s v="G/ZOR"/>
    <s v="Location 15"/>
    <s v="Customer 3"/>
    <n v="200"/>
    <n v="112.61"/>
    <n v="22522"/>
  </r>
  <r>
    <d v="2024-02-16T00:00:00"/>
    <d v="2023-08-15T00:00:00"/>
    <s v="No"/>
    <n v="185"/>
    <n v="14639.3"/>
    <x v="107"/>
    <n v="130"/>
    <d v="2023-01-13T00:00:00"/>
    <s v="G/ZOR"/>
    <s v="Location 15"/>
    <s v="Customer 3"/>
    <n v="200"/>
    <n v="112.61"/>
    <n v="22522"/>
  </r>
  <r>
    <d v="2024-02-16T00:00:00"/>
    <d v="2023-08-31T00:00:00"/>
    <s v="No"/>
    <n v="169"/>
    <n v="30404.7"/>
    <x v="107"/>
    <n v="270"/>
    <d v="2023-02-10T00:00:00"/>
    <s v="G/ZOR"/>
    <s v="Location 15"/>
    <s v="Customer 3"/>
    <n v="400"/>
    <n v="112.61"/>
    <n v="45044"/>
  </r>
  <r>
    <d v="2024-03-28T00:00:00"/>
    <d v="2023-08-31T00:00:00"/>
    <s v="No"/>
    <n v="210"/>
    <n v="14639.3"/>
    <x v="107"/>
    <n v="130"/>
    <d v="2023-02-10T00:00:00"/>
    <s v="G/ZOR"/>
    <s v="Location 15"/>
    <s v="Customer 3"/>
    <n v="400"/>
    <n v="112.61"/>
    <n v="45044"/>
  </r>
  <r>
    <d v="2024-02-16T00:00:00"/>
    <d v="2023-08-31T00:00:00"/>
    <s v="No"/>
    <n v="169"/>
    <n v="22522"/>
    <x v="107"/>
    <n v="200"/>
    <d v="2023-02-10T00:00:00"/>
    <s v="G/ZOR"/>
    <s v="Location 15"/>
    <s v="Customer 3"/>
    <n v="200"/>
    <n v="112.61"/>
    <n v="22522"/>
  </r>
  <r>
    <d v="2024-03-28T00:00:00"/>
    <d v="2023-09-01T00:00:00"/>
    <s v="No"/>
    <n v="209"/>
    <n v="22522"/>
    <x v="107"/>
    <n v="200"/>
    <d v="2023-02-16T00:00:00"/>
    <s v="G/ZOR"/>
    <s v="Location 15"/>
    <s v="Customer 3"/>
    <n v="200"/>
    <n v="112.61"/>
    <n v="22522"/>
  </r>
  <r>
    <d v="2023-09-26T00:00:00"/>
    <d v="2023-09-01T00:00:00"/>
    <s v="No"/>
    <n v="25"/>
    <n v="7882.7"/>
    <x v="107"/>
    <n v="70"/>
    <d v="2023-02-21T00:00:00"/>
    <s v="G/ZOR"/>
    <s v="Location 15"/>
    <s v="Customer 3"/>
    <n v="400"/>
    <n v="112.61"/>
    <n v="45044"/>
  </r>
  <r>
    <d v="2024-01-25T00:00:00"/>
    <d v="2023-09-01T00:00:00"/>
    <s v="No"/>
    <n v="146"/>
    <n v="22522"/>
    <x v="107"/>
    <n v="200"/>
    <d v="2023-02-21T00:00:00"/>
    <s v="G/ZOR"/>
    <s v="Location 15"/>
    <s v="Customer 3"/>
    <n v="400"/>
    <n v="112.61"/>
    <n v="45044"/>
  </r>
  <r>
    <d v="2024-02-06T00:00:00"/>
    <d v="2023-09-01T00:00:00"/>
    <s v="No"/>
    <n v="158"/>
    <n v="14639.3"/>
    <x v="107"/>
    <n v="130"/>
    <d v="2023-02-21T00:00:00"/>
    <s v="G/ZOR"/>
    <s v="Location 15"/>
    <s v="Customer 3"/>
    <n v="400"/>
    <n v="112.61"/>
    <n v="45044"/>
  </r>
  <r>
    <d v="2024-04-19T00:00:00"/>
    <d v="2024-04-19T00:00:00"/>
    <s v="Yes"/>
    <n v="0"/>
    <n v="22522"/>
    <x v="107"/>
    <n v="200"/>
    <d v="2023-03-10T00:00:00"/>
    <s v="G/ZOR"/>
    <s v="Location 15"/>
    <s v="Customer 3"/>
    <n v="200"/>
    <n v="112.61"/>
    <n v="22522"/>
  </r>
  <r>
    <d v="2024-04-26T00:00:00"/>
    <d v="2024-04-26T00:00:00"/>
    <s v="Yes"/>
    <n v="0"/>
    <n v="45044"/>
    <x v="107"/>
    <n v="400"/>
    <d v="2023-03-10T00:00:00"/>
    <s v="G/ZOR"/>
    <s v="Location 15"/>
    <s v="Customer 3"/>
    <n v="400"/>
    <n v="112.61"/>
    <n v="45044"/>
  </r>
  <r>
    <d v="2024-06-20T00:00:00"/>
    <d v="2024-06-20T00:00:00"/>
    <s v="Yes"/>
    <n v="0"/>
    <n v="22522"/>
    <x v="107"/>
    <n v="200"/>
    <d v="2023-06-28T00:00:00"/>
    <s v="G/ZOR"/>
    <s v="Location 15"/>
    <s v="Customer 3"/>
    <n v="200"/>
    <n v="112.61"/>
    <n v="22522"/>
  </r>
  <r>
    <d v="2024-07-12T00:00:00"/>
    <d v="2024-07-12T00:00:00"/>
    <s v="Yes"/>
    <n v="0"/>
    <n v="45044"/>
    <x v="107"/>
    <n v="400"/>
    <d v="2023-07-05T00:00:00"/>
    <s v="G/ZOR"/>
    <s v="Location 15"/>
    <s v="Customer 3"/>
    <n v="400"/>
    <n v="112.61"/>
    <n v="45044"/>
  </r>
  <r>
    <d v="2024-07-10T00:00:00"/>
    <d v="2024-07-10T00:00:00"/>
    <s v="Yes"/>
    <n v="0"/>
    <n v="30404.7"/>
    <x v="107"/>
    <n v="270"/>
    <d v="2023-07-18T00:00:00"/>
    <s v="G/ZOR"/>
    <s v="Location 15"/>
    <s v="Customer 3"/>
    <n v="400"/>
    <n v="112.61"/>
    <n v="45044"/>
  </r>
  <r>
    <d v="2024-07-24T00:00:00"/>
    <d v="2024-07-10T00:00:00"/>
    <s v="No"/>
    <n v="14"/>
    <n v="14639.3"/>
    <x v="107"/>
    <n v="130"/>
    <d v="2023-07-18T00:00:00"/>
    <s v="G/ZOR"/>
    <s v="Location 15"/>
    <s v="Customer 3"/>
    <n v="400"/>
    <n v="112.61"/>
    <n v="45044"/>
  </r>
  <r>
    <d v="2024-07-24T00:00:00"/>
    <d v="2024-07-18T00:00:00"/>
    <s v="No"/>
    <n v="6"/>
    <n v="45044"/>
    <x v="107"/>
    <n v="400"/>
    <d v="2023-07-25T00:00:00"/>
    <s v="G/ZOR"/>
    <s v="Location 15"/>
    <s v="Customer 3"/>
    <n v="400"/>
    <n v="112.61"/>
    <n v="45044"/>
  </r>
  <r>
    <d v="2024-07-24T00:00:00"/>
    <d v="2024-07-24T00:00:00"/>
    <s v="Yes"/>
    <n v="0"/>
    <n v="30404.7"/>
    <x v="107"/>
    <n v="270"/>
    <d v="2023-08-02T00:00:00"/>
    <s v="G/ZOR"/>
    <s v="Location 15"/>
    <s v="Customer 3"/>
    <n v="400"/>
    <n v="112.61"/>
    <n v="45044"/>
  </r>
  <r>
    <d v="2024-08-07T00:00:00"/>
    <d v="2024-07-24T00:00:00"/>
    <s v="No"/>
    <n v="14"/>
    <n v="14639.3"/>
    <x v="107"/>
    <n v="130"/>
    <d v="2023-08-02T00:00:00"/>
    <s v="G/ZOR"/>
    <s v="Location 15"/>
    <s v="Customer 3"/>
    <n v="400"/>
    <n v="112.61"/>
    <n v="45044"/>
  </r>
  <r>
    <d v="2024-08-07T00:00:00"/>
    <d v="2024-08-04T00:00:00"/>
    <s v="No"/>
    <n v="3"/>
    <n v="30404.7"/>
    <x v="107"/>
    <n v="270"/>
    <d v="2023-08-15T00:00:00"/>
    <s v="G/ZOR"/>
    <s v="Location 15"/>
    <s v="Customer 3"/>
    <n v="400"/>
    <n v="112.61"/>
    <n v="45044"/>
  </r>
  <r>
    <d v="2024-08-21T00:00:00"/>
    <d v="2024-08-04T00:00:00"/>
    <s v="No"/>
    <n v="17"/>
    <n v="14639.3"/>
    <x v="107"/>
    <n v="130"/>
    <d v="2023-08-15T00:00:00"/>
    <s v="G/ZOR"/>
    <s v="Location 15"/>
    <s v="Customer 3"/>
    <n v="400"/>
    <n v="112.61"/>
    <n v="45044"/>
  </r>
  <r>
    <d v="2024-05-21T00:00:00"/>
    <d v="2023-08-23T00:00:00"/>
    <s v="No"/>
    <n v="272"/>
    <n v="235843.20000000001"/>
    <x v="174"/>
    <n v="576"/>
    <d v="2022-10-14T00:00:00"/>
    <s v="G/ZOR"/>
    <s v="Location 15"/>
    <s v="Customer 3"/>
    <n v="576"/>
    <n v="409.45"/>
    <n v="235843.20000000001"/>
  </r>
  <r>
    <d v="2024-07-05T00:00:00"/>
    <d v="2024-05-15T00:00:00"/>
    <s v="No"/>
    <n v="51"/>
    <n v="235843.20000000001"/>
    <x v="174"/>
    <n v="576"/>
    <d v="2023-04-28T00:00:00"/>
    <s v="G/ZOR"/>
    <s v="Location 15"/>
    <s v="Customer 3"/>
    <n v="576"/>
    <n v="409.45"/>
    <n v="235843.20000000001"/>
  </r>
  <r>
    <d v="2023-09-21T00:00:00"/>
    <d v="2023-08-05T00:00:00"/>
    <s v="No"/>
    <n v="47"/>
    <n v="235843.20000000001"/>
    <x v="174"/>
    <n v="576"/>
    <d v="2023-06-21T00:00:00"/>
    <s v="G/ZOR"/>
    <s v="Location 15"/>
    <s v="Customer 3"/>
    <n v="576"/>
    <n v="409.45"/>
    <n v="235843.20000000001"/>
  </r>
  <r>
    <d v="2024-09-04T00:00:00"/>
    <d v="2024-09-04T00:00:00"/>
    <s v="Yes"/>
    <n v="0"/>
    <n v="471686.40000000002"/>
    <x v="174"/>
    <n v="1152"/>
    <d v="2023-09-01T00:00:00"/>
    <s v="G/ZOR"/>
    <s v="Location 15"/>
    <s v="Customer 3"/>
    <n v="1152"/>
    <n v="409.45"/>
    <n v="471686.40000000002"/>
  </r>
  <r>
    <d v="2023-10-19T00:00:00"/>
    <d v="2023-06-01T00:00:00"/>
    <s v="No"/>
    <n v="140"/>
    <n v="11639.04"/>
    <x v="140"/>
    <n v="84"/>
    <d v="2022-05-25T00:00:00"/>
    <s v="G/ZOR"/>
    <s v="Location 15"/>
    <s v="Customer 3"/>
    <n v="84"/>
    <n v="138.56"/>
    <n v="11639.04"/>
  </r>
  <r>
    <d v="2023-10-19T00:00:00"/>
    <d v="2023-07-06T00:00:00"/>
    <s v="No"/>
    <n v="105"/>
    <n v="11639.04"/>
    <x v="140"/>
    <n v="84"/>
    <d v="2022-06-07T00:00:00"/>
    <s v="G/ZOR"/>
    <s v="Location 15"/>
    <s v="Customer 3"/>
    <n v="84"/>
    <n v="138.56"/>
    <n v="11639.04"/>
  </r>
  <r>
    <d v="2023-11-09T00:00:00"/>
    <d v="2023-07-27T00:00:00"/>
    <s v="No"/>
    <n v="105"/>
    <n v="11639.04"/>
    <x v="140"/>
    <n v="84"/>
    <d v="2022-06-07T00:00:00"/>
    <s v="G/ZOR"/>
    <s v="Location 15"/>
    <s v="Customer 3"/>
    <n v="84"/>
    <n v="138.56"/>
    <n v="11639.04"/>
  </r>
  <r>
    <d v="2023-10-18T00:00:00"/>
    <d v="2023-05-26T00:00:00"/>
    <s v="No"/>
    <n v="145"/>
    <n v="11639.04"/>
    <x v="140"/>
    <n v="84"/>
    <d v="2022-08-05T00:00:00"/>
    <s v="G/ZOR"/>
    <s v="Location 15"/>
    <s v="Customer 3"/>
    <n v="84"/>
    <n v="138.56"/>
    <n v="11639.04"/>
  </r>
  <r>
    <d v="2023-11-09T00:00:00"/>
    <d v="2023-07-10T00:00:00"/>
    <s v="No"/>
    <n v="122"/>
    <n v="11639.04"/>
    <x v="140"/>
    <n v="84"/>
    <d v="2022-09-01T00:00:00"/>
    <s v="G/ZOR"/>
    <s v="Location 15"/>
    <s v="Customer 3"/>
    <n v="84"/>
    <n v="138.56"/>
    <n v="11639.04"/>
  </r>
  <r>
    <d v="2023-11-15T00:00:00"/>
    <d v="2023-07-27T00:00:00"/>
    <s v="No"/>
    <n v="111"/>
    <n v="11639.04"/>
    <x v="140"/>
    <n v="84"/>
    <d v="2022-09-23T00:00:00"/>
    <s v="G/ZOR"/>
    <s v="Location 15"/>
    <s v="Customer 3"/>
    <n v="84"/>
    <n v="138.56"/>
    <n v="11639.04"/>
  </r>
  <r>
    <d v="2024-04-01T00:00:00"/>
    <d v="2024-02-07T00:00:00"/>
    <s v="No"/>
    <n v="54"/>
    <n v="11639.04"/>
    <x v="140"/>
    <n v="84"/>
    <d v="2023-02-21T00:00:00"/>
    <s v="G/ZOR"/>
    <s v="Location 15"/>
    <s v="Customer 3"/>
    <n v="84"/>
    <n v="138.56"/>
    <n v="11639.04"/>
  </r>
  <r>
    <d v="2024-04-23T00:00:00"/>
    <d v="2024-03-20T00:00:00"/>
    <s v="No"/>
    <n v="34"/>
    <n v="11639.04"/>
    <x v="140"/>
    <n v="84"/>
    <d v="2023-03-22T00:00:00"/>
    <s v="G/ZOR"/>
    <s v="Location 15"/>
    <s v="Customer 3"/>
    <n v="84"/>
    <n v="138.56"/>
    <n v="11639.04"/>
  </r>
  <r>
    <d v="2024-05-21T00:00:00"/>
    <d v="2024-04-10T00:00:00"/>
    <s v="No"/>
    <n v="41"/>
    <n v="11639.04"/>
    <x v="140"/>
    <n v="84"/>
    <d v="2023-04-07T00:00:00"/>
    <s v="G/ZOR"/>
    <s v="Location 15"/>
    <s v="Customer 3"/>
    <n v="84"/>
    <n v="138.56"/>
    <n v="11639.04"/>
  </r>
  <r>
    <d v="2023-09-20T00:00:00"/>
    <d v="2023-05-25T00:00:00"/>
    <s v="No"/>
    <n v="118"/>
    <n v="11639.04"/>
    <x v="140"/>
    <n v="84"/>
    <d v="2023-09-11T00:00:00"/>
    <s v="G/ZOR"/>
    <s v="Location 15"/>
    <s v="Customer 3"/>
    <n v="84"/>
    <n v="138.56"/>
    <n v="11639.04"/>
  </r>
  <r>
    <d v="2023-10-31T00:00:00"/>
    <d v="2023-07-24T00:00:00"/>
    <s v="No"/>
    <n v="99"/>
    <n v="62227.199999999997"/>
    <x v="112"/>
    <n v="1120"/>
    <d v="2022-06-30T00:00:00"/>
    <s v="G/ZOR"/>
    <s v="Location 15"/>
    <s v="Customer 3"/>
    <n v="1120"/>
    <n v="55.56"/>
    <n v="62227.199999999997"/>
  </r>
  <r>
    <d v="2024-05-15T00:00:00"/>
    <d v="2024-05-15T00:00:00"/>
    <s v="Yes"/>
    <n v="0"/>
    <n v="62227.199999999997"/>
    <x v="112"/>
    <n v="1120"/>
    <d v="2022-10-04T00:00:00"/>
    <s v="G/ZOR"/>
    <s v="Location 15"/>
    <s v="Customer 3"/>
    <n v="1120"/>
    <n v="55.56"/>
    <n v="62227.199999999997"/>
  </r>
  <r>
    <d v="2023-11-15T00:00:00"/>
    <d v="2023-11-15T00:00:00"/>
    <s v="Yes"/>
    <n v="0"/>
    <n v="3660"/>
    <x v="121"/>
    <n v="3000"/>
    <d v="2022-12-08T00:00:00"/>
    <s v="G/ZOR"/>
    <s v="Location 15"/>
    <s v="Customer 3"/>
    <n v="3000"/>
    <n v="1.22"/>
    <n v="3660"/>
  </r>
  <r>
    <d v="2024-01-10T00:00:00"/>
    <d v="2024-01-10T00:00:00"/>
    <s v="Yes"/>
    <n v="0"/>
    <n v="3660"/>
    <x v="121"/>
    <n v="3000"/>
    <d v="2022-12-19T00:00:00"/>
    <s v="G/ZOR"/>
    <s v="Location 15"/>
    <s v="Customer 3"/>
    <n v="3000"/>
    <n v="1.22"/>
    <n v="3660"/>
  </r>
  <r>
    <d v="2023-12-07T00:00:00"/>
    <d v="2023-12-01T00:00:00"/>
    <s v="No"/>
    <n v="6"/>
    <n v="17481.240000000002"/>
    <x v="145"/>
    <n v="252"/>
    <d v="2022-11-18T00:00:00"/>
    <s v="G/ZOR"/>
    <s v="Location 15"/>
    <s v="Customer 3"/>
    <n v="252"/>
    <n v="69.37"/>
    <n v="17481.240000000002"/>
  </r>
  <r>
    <d v="2023-11-09T00:00:00"/>
    <d v="2023-05-29T00:00:00"/>
    <s v="No"/>
    <n v="164"/>
    <n v="17481.240000000002"/>
    <x v="145"/>
    <n v="252"/>
    <d v="2022-11-24T00:00:00"/>
    <s v="G/ZOR"/>
    <s v="Location 15"/>
    <s v="Customer 3"/>
    <n v="252"/>
    <n v="69.37"/>
    <n v="17481.240000000002"/>
  </r>
  <r>
    <d v="2024-01-08T00:00:00"/>
    <d v="2024-01-01T00:00:00"/>
    <s v="No"/>
    <n v="7"/>
    <n v="17481.240000000002"/>
    <x v="145"/>
    <n v="252"/>
    <d v="2023-01-13T00:00:00"/>
    <s v="G/ZOR"/>
    <s v="Location 15"/>
    <s v="Customer 3"/>
    <n v="252"/>
    <n v="69.37"/>
    <n v="17481.240000000002"/>
  </r>
  <r>
    <d v="2023-09-14T00:00:00"/>
    <d v="2023-01-27T00:00:00"/>
    <s v="No"/>
    <n v="230"/>
    <n v="6728.89"/>
    <x v="145"/>
    <n v="97"/>
    <d v="2023-08-16T00:00:00"/>
    <s v="G/ZOR"/>
    <s v="Location 15"/>
    <s v="Customer 3"/>
    <n v="97"/>
    <n v="69.37"/>
    <n v="6728.89"/>
  </r>
  <r>
    <d v="2024-01-12T00:00:00"/>
    <d v="2024-01-12T00:00:00"/>
    <s v="Yes"/>
    <n v="0"/>
    <n v="17983.349999999999"/>
    <x v="175"/>
    <n v="297"/>
    <d v="2022-09-23T00:00:00"/>
    <s v="G/ZOR"/>
    <s v="Location 16"/>
    <s v="Customer 3"/>
    <n v="297"/>
    <n v="60.55"/>
    <n v="17983.349999999999"/>
  </r>
  <r>
    <d v="2024-01-19T00:00:00"/>
    <d v="2024-01-19T00:00:00"/>
    <s v="Yes"/>
    <n v="0"/>
    <n v="17983.349999999999"/>
    <x v="175"/>
    <n v="297"/>
    <d v="2022-09-29T00:00:00"/>
    <s v="G/ZOR"/>
    <s v="Location 16"/>
    <s v="Customer 3"/>
    <n v="297"/>
    <n v="60.55"/>
    <n v="17983.349999999999"/>
  </r>
  <r>
    <d v="2024-01-12T00:00:00"/>
    <d v="2024-01-12T00:00:00"/>
    <s v="Yes"/>
    <n v="0"/>
    <n v="73568.25"/>
    <x v="175"/>
    <n v="1215"/>
    <d v="2022-10-14T00:00:00"/>
    <s v="G/ZOR"/>
    <s v="Location 16"/>
    <s v="Customer 3"/>
    <n v="1215"/>
    <n v="60.55"/>
    <n v="73568.25"/>
  </r>
  <r>
    <d v="2024-01-03T00:00:00"/>
    <d v="2024-01-03T00:00:00"/>
    <s v="Yes"/>
    <n v="0"/>
    <n v="17983.349999999999"/>
    <x v="175"/>
    <n v="297"/>
    <d v="2022-10-21T00:00:00"/>
    <s v="G/ZOR"/>
    <s v="Location 16"/>
    <s v="Customer 3"/>
    <n v="297"/>
    <n v="60.55"/>
    <n v="17983.349999999999"/>
  </r>
  <r>
    <d v="2024-01-03T00:00:00"/>
    <d v="2024-01-03T00:00:00"/>
    <s v="Yes"/>
    <n v="0"/>
    <n v="17983.349999999999"/>
    <x v="175"/>
    <n v="297"/>
    <d v="2022-10-28T00:00:00"/>
    <s v="G/ZOR"/>
    <s v="Location 16"/>
    <s v="Customer 3"/>
    <n v="297"/>
    <n v="60.55"/>
    <n v="17983.349999999999"/>
  </r>
  <r>
    <d v="2024-01-03T00:00:00"/>
    <d v="2024-01-03T00:00:00"/>
    <s v="Yes"/>
    <n v="0"/>
    <n v="17983.349999999999"/>
    <x v="175"/>
    <n v="297"/>
    <d v="2022-11-04T00:00:00"/>
    <s v="G/ZOR"/>
    <s v="Location 16"/>
    <s v="Customer 3"/>
    <n v="297"/>
    <n v="60.55"/>
    <n v="17983.349999999999"/>
  </r>
  <r>
    <d v="2024-01-01T00:00:00"/>
    <d v="2024-01-01T00:00:00"/>
    <s v="Yes"/>
    <n v="0"/>
    <n v="16348.5"/>
    <x v="175"/>
    <n v="270"/>
    <d v="2022-11-11T00:00:00"/>
    <s v="G/ZOR"/>
    <s v="Location 16"/>
    <s v="Customer 3"/>
    <n v="270"/>
    <n v="60.55"/>
    <n v="16348.5"/>
  </r>
  <r>
    <d v="2024-01-30T00:00:00"/>
    <d v="2024-01-30T00:00:00"/>
    <s v="Yes"/>
    <n v="0"/>
    <n v="16348.5"/>
    <x v="175"/>
    <n v="270"/>
    <d v="2022-12-28T00:00:00"/>
    <s v="G/ZOR"/>
    <s v="Location 16"/>
    <s v="Customer 3"/>
    <n v="270"/>
    <n v="60.55"/>
    <n v="16348.5"/>
  </r>
  <r>
    <d v="2024-01-30T00:00:00"/>
    <d v="2024-01-30T00:00:00"/>
    <s v="Yes"/>
    <n v="0"/>
    <n v="16348.5"/>
    <x v="175"/>
    <n v="270"/>
    <d v="2023-01-19T00:00:00"/>
    <s v="G/ZOR"/>
    <s v="Location 16"/>
    <s v="Customer 3"/>
    <n v="270"/>
    <n v="60.55"/>
    <n v="16348.5"/>
  </r>
  <r>
    <d v="2024-01-30T00:00:00"/>
    <d v="2024-01-30T00:00:00"/>
    <s v="Yes"/>
    <n v="0"/>
    <n v="16348.5"/>
    <x v="175"/>
    <n v="270"/>
    <d v="2023-01-26T00:00:00"/>
    <s v="G/ZOR"/>
    <s v="Location 16"/>
    <s v="Customer 3"/>
    <n v="270"/>
    <n v="60.55"/>
    <n v="16348.5"/>
  </r>
  <r>
    <d v="2024-05-24T00:00:00"/>
    <d v="2024-05-24T00:00:00"/>
    <s v="Yes"/>
    <n v="0"/>
    <n v="16348.5"/>
    <x v="175"/>
    <n v="270"/>
    <d v="2023-02-01T00:00:00"/>
    <s v="G/ZOR"/>
    <s v="Location 16"/>
    <s v="Customer 3"/>
    <n v="270"/>
    <n v="60.55"/>
    <n v="16348.5"/>
  </r>
  <r>
    <d v="2024-07-05T00:00:00"/>
    <d v="2024-07-05T00:00:00"/>
    <s v="Yes"/>
    <n v="0"/>
    <n v="17088.3"/>
    <x v="175"/>
    <n v="270"/>
    <d v="2023-03-17T00:00:00"/>
    <s v="G/ZOR"/>
    <s v="Location 16"/>
    <s v="Customer 3"/>
    <n v="270"/>
    <n v="63.29"/>
    <n v="17088.3"/>
  </r>
  <r>
    <d v="2025-11-18T00:00:00"/>
    <d v="2023-08-23T00:00:00"/>
    <s v="No"/>
    <n v="818"/>
    <n v="81001.600000000006"/>
    <x v="176"/>
    <n v="544"/>
    <d v="2023-08-29T00:00:00"/>
    <s v="G/ZOR"/>
    <s v="Location 16"/>
    <s v="Customer 3"/>
    <n v="1400"/>
    <n v="148.9"/>
    <n v="208460"/>
  </r>
  <r>
    <d v="2025-11-18T00:00:00"/>
    <d v="2023-10-03T00:00:00"/>
    <s v="No"/>
    <n v="777"/>
    <n v="35178.300000000003"/>
    <x v="177"/>
    <n v="270"/>
    <d v="2022-06-24T00:00:00"/>
    <s v="G/ZOR"/>
    <s v="Location 16"/>
    <s v="Customer 3"/>
    <n v="270"/>
    <n v="130.29"/>
    <n v="35178.300000000003"/>
  </r>
  <r>
    <d v="2025-11-18T00:00:00"/>
    <d v="2023-11-07T00:00:00"/>
    <s v="No"/>
    <n v="742"/>
    <n v="35178.300000000003"/>
    <x v="177"/>
    <n v="270"/>
    <d v="2022-07-29T00:00:00"/>
    <s v="G/ZOR"/>
    <s v="Location 16"/>
    <s v="Customer 3"/>
    <n v="270"/>
    <n v="130.29"/>
    <n v="35178.300000000003"/>
  </r>
  <r>
    <d v="2025-11-18T00:00:00"/>
    <d v="2023-11-28T00:00:00"/>
    <s v="No"/>
    <n v="721"/>
    <n v="35178.300000000003"/>
    <x v="177"/>
    <n v="270"/>
    <d v="2022-08-29T00:00:00"/>
    <s v="G/ZOR"/>
    <s v="Location 16"/>
    <s v="Customer 3"/>
    <n v="270"/>
    <n v="130.29"/>
    <n v="35178.300000000003"/>
  </r>
  <r>
    <d v="2025-11-18T00:00:00"/>
    <d v="2024-08-20T00:00:00"/>
    <s v="No"/>
    <n v="455"/>
    <n v="17589.150000000001"/>
    <x v="177"/>
    <n v="135"/>
    <d v="2023-05-19T00:00:00"/>
    <s v="G/ZOR"/>
    <s v="Location 16"/>
    <s v="Customer 3"/>
    <n v="135"/>
    <n v="130.29"/>
    <n v="17589.150000000001"/>
  </r>
  <r>
    <d v="2025-11-18T00:00:00"/>
    <d v="2023-08-01T00:00:00"/>
    <s v="No"/>
    <n v="840"/>
    <n v="17589.150000000001"/>
    <x v="177"/>
    <n v="135"/>
    <d v="2023-08-29T00:00:00"/>
    <s v="G/ZOR"/>
    <s v="Location 16"/>
    <s v="Customer 3"/>
    <n v="270"/>
    <n v="130.29"/>
    <n v="35178.300000000003"/>
  </r>
  <r>
    <d v="2023-12-26T00:00:00"/>
    <d v="2023-12-26T00:00:00"/>
    <s v="Yes"/>
    <n v="0"/>
    <n v="20679.48"/>
    <x v="165"/>
    <n v="31"/>
    <d v="2022-09-15T00:00:00"/>
    <s v="G/ZOR"/>
    <s v="Location 16"/>
    <s v="Customer 3"/>
    <n v="120"/>
    <n v="667.08"/>
    <n v="80049.600000000006"/>
  </r>
  <r>
    <d v="2024-01-08T00:00:00"/>
    <d v="2023-12-26T00:00:00"/>
    <s v="No"/>
    <n v="13"/>
    <n v="59370.12"/>
    <x v="165"/>
    <n v="89"/>
    <d v="2022-09-15T00:00:00"/>
    <s v="G/ZOR"/>
    <s v="Location 16"/>
    <s v="Customer 3"/>
    <n v="120"/>
    <n v="667.08"/>
    <n v="80049.600000000006"/>
  </r>
  <r>
    <d v="2024-05-14T00:00:00"/>
    <d v="2024-05-14T00:00:00"/>
    <s v="Yes"/>
    <n v="0"/>
    <n v="80049.600000000006"/>
    <x v="165"/>
    <n v="120"/>
    <d v="2023-02-01T00:00:00"/>
    <s v="G/ZOR"/>
    <s v="Location 16"/>
    <s v="Customer 3"/>
    <n v="120"/>
    <n v="667.08"/>
    <n v="80049.600000000006"/>
  </r>
  <r>
    <d v="2023-09-15T00:00:00"/>
    <d v="2023-08-22T00:00:00"/>
    <s v="No"/>
    <n v="24"/>
    <n v="48029.760000000002"/>
    <x v="165"/>
    <n v="72"/>
    <d v="2023-08-10T00:00:00"/>
    <s v="G/ZOR"/>
    <s v="Location 16"/>
    <s v="Customer 3"/>
    <n v="192"/>
    <n v="667.08"/>
    <n v="128079.36"/>
  </r>
  <r>
    <d v="2023-09-26T00:00:00"/>
    <d v="2023-09-26T00:00:00"/>
    <s v="Yes"/>
    <n v="0"/>
    <n v="10500"/>
    <x v="164"/>
    <n v="6000"/>
    <d v="2022-09-15T00:00:00"/>
    <s v="G/ZOR"/>
    <s v="Location 16"/>
    <s v="Customer 3"/>
    <n v="6000"/>
    <n v="1.75"/>
    <n v="10500"/>
  </r>
  <r>
    <d v="2023-11-28T00:00:00"/>
    <d v="2023-11-28T00:00:00"/>
    <s v="Yes"/>
    <n v="0"/>
    <n v="10500"/>
    <x v="164"/>
    <n v="6000"/>
    <d v="2022-09-23T00:00:00"/>
    <s v="G/ZOR"/>
    <s v="Location 16"/>
    <s v="Customer 3"/>
    <n v="6000"/>
    <n v="1.75"/>
    <n v="10500"/>
  </r>
  <r>
    <d v="2023-12-19T00:00:00"/>
    <d v="2023-12-19T00:00:00"/>
    <s v="Yes"/>
    <n v="0"/>
    <n v="10500"/>
    <x v="164"/>
    <n v="6000"/>
    <d v="2022-09-23T00:00:00"/>
    <s v="G/ZOR"/>
    <s v="Location 16"/>
    <s v="Customer 3"/>
    <n v="6000"/>
    <n v="1.75"/>
    <n v="10500"/>
  </r>
  <r>
    <d v="2023-12-26T00:00:00"/>
    <d v="2023-12-26T00:00:00"/>
    <s v="Yes"/>
    <n v="0"/>
    <n v="10500"/>
    <x v="164"/>
    <n v="6000"/>
    <d v="2022-09-23T00:00:00"/>
    <s v="G/ZOR"/>
    <s v="Location 16"/>
    <s v="Customer 3"/>
    <n v="6000"/>
    <n v="1.75"/>
    <n v="10500"/>
  </r>
  <r>
    <d v="2024-01-02T00:00:00"/>
    <d v="2024-01-02T00:00:00"/>
    <s v="Yes"/>
    <n v="0"/>
    <n v="5250"/>
    <x v="164"/>
    <n v="3000"/>
    <d v="2022-09-30T00:00:00"/>
    <s v="G/ZOR"/>
    <s v="Location 16"/>
    <s v="Customer 3"/>
    <n v="3000"/>
    <n v="1.75"/>
    <n v="5250"/>
  </r>
  <r>
    <d v="2024-01-09T00:00:00"/>
    <d v="2024-01-09T00:00:00"/>
    <s v="Yes"/>
    <n v="0"/>
    <n v="5250"/>
    <x v="164"/>
    <n v="3000"/>
    <d v="2022-10-21T00:00:00"/>
    <s v="G/ZOR"/>
    <s v="Location 16"/>
    <s v="Customer 3"/>
    <n v="3000"/>
    <n v="1.75"/>
    <n v="5250"/>
  </r>
  <r>
    <d v="2024-01-16T00:00:00"/>
    <d v="2024-01-16T00:00:00"/>
    <s v="Yes"/>
    <n v="0"/>
    <n v="10500"/>
    <x v="164"/>
    <n v="6000"/>
    <d v="2022-10-21T00:00:00"/>
    <s v="G/ZOR"/>
    <s v="Location 16"/>
    <s v="Customer 3"/>
    <n v="6000"/>
    <n v="1.75"/>
    <n v="10500"/>
  </r>
  <r>
    <d v="2024-08-06T00:00:00"/>
    <d v="2024-08-06T00:00:00"/>
    <s v="Yes"/>
    <n v="0"/>
    <n v="42000"/>
    <x v="164"/>
    <n v="24000"/>
    <d v="2023-01-17T00:00:00"/>
    <s v="G/ZOR"/>
    <s v="Location 16"/>
    <s v="Customer 3"/>
    <n v="24000"/>
    <n v="1.75"/>
    <n v="42000"/>
  </r>
  <r>
    <d v="2024-08-13T00:00:00"/>
    <d v="2024-08-13T00:00:00"/>
    <s v="Yes"/>
    <n v="0"/>
    <n v="42000"/>
    <x v="164"/>
    <n v="24000"/>
    <d v="2023-01-17T00:00:00"/>
    <s v="G/ZOR"/>
    <s v="Location 16"/>
    <s v="Customer 3"/>
    <n v="24000"/>
    <n v="1.75"/>
    <n v="42000"/>
  </r>
  <r>
    <d v="2024-08-20T00:00:00"/>
    <d v="2024-08-20T00:00:00"/>
    <s v="Yes"/>
    <n v="0"/>
    <n v="42000"/>
    <x v="164"/>
    <n v="24000"/>
    <d v="2023-01-17T00:00:00"/>
    <s v="G/ZOR"/>
    <s v="Location 16"/>
    <s v="Customer 3"/>
    <n v="24000"/>
    <n v="1.75"/>
    <n v="42000"/>
  </r>
  <r>
    <d v="2024-08-27T00:00:00"/>
    <d v="2024-08-27T00:00:00"/>
    <s v="Yes"/>
    <n v="0"/>
    <n v="36750"/>
    <x v="164"/>
    <n v="21000"/>
    <d v="2023-01-17T00:00:00"/>
    <s v="G/ZOR"/>
    <s v="Location 16"/>
    <s v="Customer 3"/>
    <n v="21000"/>
    <n v="1.75"/>
    <n v="36750"/>
  </r>
  <r>
    <d v="2023-12-26T00:00:00"/>
    <d v="2023-12-26T00:00:00"/>
    <s v="Yes"/>
    <n v="0"/>
    <n v="10560"/>
    <x v="157"/>
    <n v="6000"/>
    <d v="2022-09-23T00:00:00"/>
    <s v="G/ZOR"/>
    <s v="Location 16"/>
    <s v="Customer 3"/>
    <n v="6000"/>
    <n v="1.76"/>
    <n v="10560"/>
  </r>
  <r>
    <d v="2024-01-16T00:00:00"/>
    <d v="2024-01-16T00:00:00"/>
    <s v="Yes"/>
    <n v="0"/>
    <n v="10560"/>
    <x v="157"/>
    <n v="6000"/>
    <d v="2022-10-21T00:00:00"/>
    <s v="G/ZOR"/>
    <s v="Location 16"/>
    <s v="Customer 3"/>
    <n v="6000"/>
    <n v="1.76"/>
    <n v="10560"/>
  </r>
  <r>
    <d v="2024-02-20T00:00:00"/>
    <d v="2024-02-20T00:00:00"/>
    <s v="Yes"/>
    <n v="0"/>
    <n v="5280"/>
    <x v="157"/>
    <n v="3000"/>
    <d v="2022-11-28T00:00:00"/>
    <s v="G/ZOR"/>
    <s v="Location 16"/>
    <s v="Customer 3"/>
    <n v="3000"/>
    <n v="1.76"/>
    <n v="5280"/>
  </r>
  <r>
    <d v="2024-02-27T00:00:00"/>
    <d v="2024-02-27T00:00:00"/>
    <s v="Yes"/>
    <n v="0"/>
    <n v="5280"/>
    <x v="157"/>
    <n v="3000"/>
    <d v="2022-12-20T00:00:00"/>
    <s v="G/ZOR"/>
    <s v="Location 16"/>
    <s v="Customer 3"/>
    <n v="3000"/>
    <n v="1.76"/>
    <n v="5280"/>
  </r>
  <r>
    <d v="2024-08-20T00:00:00"/>
    <d v="2024-08-20T00:00:00"/>
    <s v="Yes"/>
    <n v="0"/>
    <n v="36960"/>
    <x v="157"/>
    <n v="21000"/>
    <d v="2023-01-17T00:00:00"/>
    <s v="G/ZOR"/>
    <s v="Location 16"/>
    <s v="Customer 3"/>
    <n v="21000"/>
    <n v="1.76"/>
    <n v="36960"/>
  </r>
  <r>
    <d v="2024-12-12T00:00:00"/>
    <d v="2024-11-26T00:00:00"/>
    <s v="No"/>
    <n v="16"/>
    <n v="5280"/>
    <x v="157"/>
    <n v="3000"/>
    <d v="2023-07-18T00:00:00"/>
    <s v="G/ZOR"/>
    <s v="Location 16"/>
    <s v="Customer 3"/>
    <n v="3000"/>
    <n v="1.76"/>
    <n v="5280"/>
  </r>
  <r>
    <d v="2023-11-21T00:00:00"/>
    <d v="2023-11-21T00:00:00"/>
    <s v="Yes"/>
    <n v="0"/>
    <n v="5940"/>
    <x v="169"/>
    <n v="3000"/>
    <d v="2022-09-23T00:00:00"/>
    <s v="G/ZOR"/>
    <s v="Location 16"/>
    <s v="Customer 3"/>
    <n v="3000"/>
    <n v="1.98"/>
    <n v="5940"/>
  </r>
  <r>
    <d v="2023-12-26T00:00:00"/>
    <d v="2023-12-26T00:00:00"/>
    <s v="Yes"/>
    <n v="0"/>
    <n v="11880"/>
    <x v="169"/>
    <n v="6000"/>
    <d v="2022-09-23T00:00:00"/>
    <s v="G/ZOR"/>
    <s v="Location 16"/>
    <s v="Customer 3"/>
    <n v="6000"/>
    <n v="1.98"/>
    <n v="11880"/>
  </r>
  <r>
    <d v="2024-04-30T00:00:00"/>
    <d v="2024-04-30T00:00:00"/>
    <s v="Yes"/>
    <n v="0"/>
    <n v="5940"/>
    <x v="169"/>
    <n v="3000"/>
    <d v="2023-01-30T00:00:00"/>
    <s v="G/ZOR"/>
    <s v="Location 16"/>
    <s v="Customer 3"/>
    <n v="6000"/>
    <n v="1.98"/>
    <n v="11880"/>
  </r>
  <r>
    <d v="2025-01-15T00:00:00"/>
    <d v="2024-04-30T00:00:00"/>
    <s v="No"/>
    <n v="260"/>
    <n v="5940"/>
    <x v="169"/>
    <n v="3000"/>
    <d v="2023-01-30T00:00:00"/>
    <s v="G/ZOR"/>
    <s v="Location 16"/>
    <s v="Customer 3"/>
    <n v="6000"/>
    <n v="1.98"/>
    <n v="11880"/>
  </r>
  <r>
    <d v="2024-07-30T00:00:00"/>
    <d v="2024-07-30T00:00:00"/>
    <s v="Yes"/>
    <n v="0"/>
    <n v="11880"/>
    <x v="169"/>
    <n v="6000"/>
    <d v="2023-01-30T00:00:00"/>
    <s v="G/ZOR"/>
    <s v="Location 16"/>
    <s v="Customer 3"/>
    <n v="6000"/>
    <n v="1.98"/>
    <n v="11880"/>
  </r>
  <r>
    <d v="2025-01-15T00:00:00"/>
    <d v="2024-06-25T00:00:00"/>
    <s v="No"/>
    <n v="204"/>
    <n v="11880"/>
    <x v="169"/>
    <n v="6000"/>
    <d v="2023-01-30T00:00:00"/>
    <s v="G/ZOR"/>
    <s v="Location 16"/>
    <s v="Customer 3"/>
    <n v="6000"/>
    <n v="1.98"/>
    <n v="11880"/>
  </r>
  <r>
    <d v="2023-09-21T00:00:00"/>
    <d v="2023-09-21T00:00:00"/>
    <s v="Yes"/>
    <n v="0"/>
    <n v="46617.120000000003"/>
    <x v="97"/>
    <n v="432"/>
    <d v="2022-09-07T00:00:00"/>
    <s v="G/ZOR"/>
    <s v="Location 3"/>
    <s v="Customer 3"/>
    <n v="432"/>
    <n v="107.91"/>
    <n v="46617.120000000003"/>
  </r>
  <r>
    <d v="2023-10-03T00:00:00"/>
    <d v="2023-10-03T00:00:00"/>
    <s v="Yes"/>
    <n v="0"/>
    <n v="34962.839999999997"/>
    <x v="97"/>
    <n v="324"/>
    <d v="2022-09-23T00:00:00"/>
    <s v="G/ZOR"/>
    <s v="Location 3"/>
    <s v="Customer 3"/>
    <n v="324"/>
    <n v="107.91"/>
    <n v="34962.839999999997"/>
  </r>
  <r>
    <d v="2023-10-03T00:00:00"/>
    <d v="2023-10-03T00:00:00"/>
    <s v="Yes"/>
    <n v="0"/>
    <n v="46617.120000000003"/>
    <x v="97"/>
    <n v="432"/>
    <d v="2022-09-23T00:00:00"/>
    <s v="G/ZOR"/>
    <s v="Location 3"/>
    <s v="Customer 3"/>
    <n v="432"/>
    <n v="107.91"/>
    <n v="46617.120000000003"/>
  </r>
  <r>
    <d v="2023-10-26T00:00:00"/>
    <d v="2023-10-26T00:00:00"/>
    <s v="Yes"/>
    <n v="0"/>
    <n v="11654.28"/>
    <x v="97"/>
    <n v="108"/>
    <d v="2022-10-13T00:00:00"/>
    <s v="G/ZOR"/>
    <s v="Location 3"/>
    <s v="Customer 3"/>
    <n v="108"/>
    <n v="107.91"/>
    <n v="11654.28"/>
  </r>
  <r>
    <d v="2023-10-26T00:00:00"/>
    <d v="2023-10-26T00:00:00"/>
    <s v="Yes"/>
    <n v="0"/>
    <n v="46617.120000000003"/>
    <x v="97"/>
    <n v="432"/>
    <d v="2022-10-14T00:00:00"/>
    <s v="G/ZOR"/>
    <s v="Location 3"/>
    <s v="Customer 3"/>
    <n v="432"/>
    <n v="107.91"/>
    <n v="46617.120000000003"/>
  </r>
  <r>
    <d v="2024-01-02T00:00:00"/>
    <d v="2024-01-02T00:00:00"/>
    <s v="Yes"/>
    <n v="0"/>
    <n v="46617.120000000003"/>
    <x v="97"/>
    <n v="432"/>
    <d v="2022-12-22T00:00:00"/>
    <s v="G/ZOR"/>
    <s v="Location 3"/>
    <s v="Customer 3"/>
    <n v="432"/>
    <n v="107.91"/>
    <n v="46617.120000000003"/>
  </r>
  <r>
    <d v="2024-01-02T00:00:00"/>
    <d v="2024-01-02T00:00:00"/>
    <s v="Yes"/>
    <n v="0"/>
    <n v="34962.839999999997"/>
    <x v="97"/>
    <n v="324"/>
    <d v="2022-12-22T00:00:00"/>
    <s v="G/ZOR"/>
    <s v="Location 3"/>
    <s v="Customer 3"/>
    <n v="324"/>
    <n v="107.91"/>
    <n v="34962.839999999997"/>
  </r>
  <r>
    <d v="2024-01-04T00:00:00"/>
    <d v="2024-01-04T00:00:00"/>
    <s v="Yes"/>
    <n v="0"/>
    <n v="34962.839999999997"/>
    <x v="97"/>
    <n v="324"/>
    <d v="2023-01-06T00:00:00"/>
    <s v="G/ZOR"/>
    <s v="Location 3"/>
    <s v="Customer 3"/>
    <n v="324"/>
    <n v="107.91"/>
    <n v="34962.839999999997"/>
  </r>
  <r>
    <d v="2024-01-04T00:00:00"/>
    <d v="2024-01-04T00:00:00"/>
    <s v="Yes"/>
    <n v="0"/>
    <n v="46617.120000000003"/>
    <x v="97"/>
    <n v="432"/>
    <d v="2023-01-06T00:00:00"/>
    <s v="G/ZOR"/>
    <s v="Location 3"/>
    <s v="Customer 3"/>
    <n v="432"/>
    <n v="107.91"/>
    <n v="46617.120000000003"/>
  </r>
  <r>
    <d v="2024-01-11T00:00:00"/>
    <d v="2024-01-11T00:00:00"/>
    <s v="Yes"/>
    <n v="0"/>
    <n v="34962.839999999997"/>
    <x v="97"/>
    <n v="324"/>
    <d v="2023-01-06T00:00:00"/>
    <s v="G/ZOR"/>
    <s v="Location 3"/>
    <s v="Customer 3"/>
    <n v="324"/>
    <n v="107.91"/>
    <n v="34962.839999999997"/>
  </r>
  <r>
    <d v="2024-01-11T00:00:00"/>
    <d v="2024-01-11T00:00:00"/>
    <s v="Yes"/>
    <n v="0"/>
    <n v="46617.120000000003"/>
    <x v="97"/>
    <n v="432"/>
    <d v="2023-01-06T00:00:00"/>
    <s v="G/ZOR"/>
    <s v="Location 3"/>
    <s v="Customer 3"/>
    <n v="432"/>
    <n v="107.91"/>
    <n v="46617.120000000003"/>
  </r>
  <r>
    <d v="2024-01-18T00:00:00"/>
    <d v="2024-01-18T00:00:00"/>
    <s v="Yes"/>
    <n v="0"/>
    <n v="34962.839999999997"/>
    <x v="97"/>
    <n v="324"/>
    <d v="2023-01-06T00:00:00"/>
    <s v="G/ZOR"/>
    <s v="Location 3"/>
    <s v="Customer 3"/>
    <n v="324"/>
    <n v="107.91"/>
    <n v="34962.839999999997"/>
  </r>
  <r>
    <d v="2024-01-18T00:00:00"/>
    <d v="2024-01-18T00:00:00"/>
    <s v="Yes"/>
    <n v="0"/>
    <n v="46617.120000000003"/>
    <x v="97"/>
    <n v="432"/>
    <d v="2023-01-06T00:00:00"/>
    <s v="G/ZOR"/>
    <s v="Location 3"/>
    <s v="Customer 3"/>
    <n v="432"/>
    <n v="107.91"/>
    <n v="46617.120000000003"/>
  </r>
  <r>
    <d v="2024-01-25T00:00:00"/>
    <d v="2024-01-25T00:00:00"/>
    <s v="Yes"/>
    <n v="0"/>
    <n v="46617.120000000003"/>
    <x v="97"/>
    <n v="432"/>
    <d v="2023-01-13T00:00:00"/>
    <s v="G/ZOR"/>
    <s v="Location 3"/>
    <s v="Customer 3"/>
    <n v="432"/>
    <n v="107.91"/>
    <n v="46617.120000000003"/>
  </r>
  <r>
    <d v="2024-02-08T00:00:00"/>
    <d v="2024-02-08T00:00:00"/>
    <s v="Yes"/>
    <n v="0"/>
    <n v="46617.120000000003"/>
    <x v="97"/>
    <n v="432"/>
    <d v="2023-01-27T00:00:00"/>
    <s v="G/ZOR"/>
    <s v="Location 4"/>
    <s v="Customer 3"/>
    <n v="432"/>
    <n v="107.91"/>
    <n v="46617.120000000003"/>
  </r>
  <r>
    <d v="2024-02-08T00:00:00"/>
    <d v="2024-02-08T00:00:00"/>
    <s v="Yes"/>
    <n v="0"/>
    <n v="34962.839999999997"/>
    <x v="97"/>
    <n v="324"/>
    <d v="2023-01-27T00:00:00"/>
    <s v="G/ZOR"/>
    <s v="Location 4"/>
    <s v="Customer 3"/>
    <n v="324"/>
    <n v="107.91"/>
    <n v="34962.839999999997"/>
  </r>
  <r>
    <d v="2024-02-13T00:00:00"/>
    <d v="2024-02-13T00:00:00"/>
    <s v="Yes"/>
    <n v="0"/>
    <n v="46617.120000000003"/>
    <x v="97"/>
    <n v="432"/>
    <d v="2023-02-03T00:00:00"/>
    <s v="G/ZOR"/>
    <s v="Location 4"/>
    <s v="Customer 3"/>
    <n v="432"/>
    <n v="107.91"/>
    <n v="46617.120000000003"/>
  </r>
  <r>
    <d v="2024-02-27T00:00:00"/>
    <d v="2024-02-27T00:00:00"/>
    <s v="Yes"/>
    <n v="0"/>
    <n v="34962.839999999997"/>
    <x v="97"/>
    <n v="324"/>
    <d v="2023-02-16T00:00:00"/>
    <s v="G/ZOR"/>
    <s v="Location 4"/>
    <s v="Customer 3"/>
    <n v="324"/>
    <n v="107.91"/>
    <n v="34962.839999999997"/>
  </r>
  <r>
    <d v="2024-04-11T00:00:00"/>
    <d v="2024-04-11T00:00:00"/>
    <s v="Yes"/>
    <n v="0"/>
    <n v="23308.560000000001"/>
    <x v="97"/>
    <n v="216"/>
    <d v="2023-03-30T00:00:00"/>
    <s v="G/ZOR"/>
    <s v="Location 4"/>
    <s v="Customer 3"/>
    <n v="216"/>
    <n v="107.91"/>
    <n v="23308.560000000001"/>
  </r>
  <r>
    <d v="2024-04-11T00:00:00"/>
    <d v="2024-04-11T00:00:00"/>
    <s v="Yes"/>
    <n v="0"/>
    <n v="46617.120000000003"/>
    <x v="97"/>
    <n v="432"/>
    <d v="2023-03-31T00:00:00"/>
    <s v="G/ZOR"/>
    <s v="Location 4"/>
    <s v="Customer 3"/>
    <n v="432"/>
    <n v="107.91"/>
    <n v="46617.120000000003"/>
  </r>
  <r>
    <d v="2024-04-18T00:00:00"/>
    <d v="2024-04-18T00:00:00"/>
    <s v="Yes"/>
    <n v="0"/>
    <n v="11654.28"/>
    <x v="97"/>
    <n v="108"/>
    <d v="2023-04-04T00:00:00"/>
    <s v="G/ZOR"/>
    <s v="Location 4"/>
    <s v="Customer 3"/>
    <n v="108"/>
    <n v="107.91"/>
    <n v="11654.28"/>
  </r>
  <r>
    <d v="2024-04-18T00:00:00"/>
    <d v="2024-04-18T00:00:00"/>
    <s v="Yes"/>
    <n v="0"/>
    <n v="46617.120000000003"/>
    <x v="97"/>
    <n v="432"/>
    <d v="2023-04-06T00:00:00"/>
    <s v="G/ZOR"/>
    <s v="Location 4"/>
    <s v="Customer 3"/>
    <n v="432"/>
    <n v="107.91"/>
    <n v="46617.120000000003"/>
  </r>
  <r>
    <d v="2024-04-25T00:00:00"/>
    <d v="2024-04-25T00:00:00"/>
    <s v="Yes"/>
    <n v="0"/>
    <n v="46617.120000000003"/>
    <x v="97"/>
    <n v="432"/>
    <d v="2023-04-12T00:00:00"/>
    <s v="G/ZOR"/>
    <s v="Location 4"/>
    <s v="Customer 3"/>
    <n v="432"/>
    <n v="107.91"/>
    <n v="46617.120000000003"/>
  </r>
  <r>
    <d v="2024-04-25T00:00:00"/>
    <d v="2024-04-25T00:00:00"/>
    <s v="Yes"/>
    <n v="0"/>
    <n v="11654.28"/>
    <x v="97"/>
    <n v="108"/>
    <d v="2023-04-17T00:00:00"/>
    <s v="G/ZOR"/>
    <s v="Location 4"/>
    <s v="Customer 3"/>
    <n v="108"/>
    <n v="107.91"/>
    <n v="11654.28"/>
  </r>
  <r>
    <d v="2024-04-25T00:00:00"/>
    <d v="2024-04-25T00:00:00"/>
    <s v="Yes"/>
    <n v="0"/>
    <n v="46617.120000000003"/>
    <x v="97"/>
    <n v="432"/>
    <d v="2023-04-18T00:00:00"/>
    <s v="G/ZOR"/>
    <s v="Location 4"/>
    <s v="Customer 3"/>
    <n v="432"/>
    <n v="107.91"/>
    <n v="46617.120000000003"/>
  </r>
  <r>
    <d v="2024-05-02T00:00:00"/>
    <d v="2024-05-02T00:00:00"/>
    <s v="Yes"/>
    <n v="0"/>
    <n v="34962.839999999997"/>
    <x v="97"/>
    <n v="324"/>
    <d v="2023-04-18T00:00:00"/>
    <s v="G/ZOR"/>
    <s v="Location 4"/>
    <s v="Customer 3"/>
    <n v="324"/>
    <n v="107.91"/>
    <n v="34962.839999999997"/>
  </r>
  <r>
    <d v="2024-05-02T00:00:00"/>
    <d v="2024-05-02T00:00:00"/>
    <s v="Yes"/>
    <n v="0"/>
    <n v="46617.120000000003"/>
    <x v="97"/>
    <n v="432"/>
    <d v="2023-04-18T00:00:00"/>
    <s v="G/ZOR"/>
    <s v="Location 4"/>
    <s v="Customer 3"/>
    <n v="432"/>
    <n v="107.91"/>
    <n v="46617.120000000003"/>
  </r>
  <r>
    <d v="2024-05-07T00:00:00"/>
    <d v="2024-05-07T00:00:00"/>
    <s v="Yes"/>
    <n v="0"/>
    <n v="46617.120000000003"/>
    <x v="97"/>
    <n v="432"/>
    <d v="2023-04-26T00:00:00"/>
    <s v="G/ZOR"/>
    <s v="Location 4"/>
    <s v="Customer 3"/>
    <n v="432"/>
    <n v="107.91"/>
    <n v="46617.120000000003"/>
  </r>
  <r>
    <d v="2023-09-26T00:00:00"/>
    <d v="2023-09-26T00:00:00"/>
    <s v="Yes"/>
    <n v="0"/>
    <n v="3880"/>
    <x v="98"/>
    <n v="2000"/>
    <d v="2022-09-14T00:00:00"/>
    <s v="G/ZOR"/>
    <s v="Location 3"/>
    <s v="Customer 3"/>
    <n v="2000"/>
    <n v="1.94"/>
    <n v="3880"/>
  </r>
  <r>
    <d v="2023-10-03T00:00:00"/>
    <d v="2023-10-03T00:00:00"/>
    <s v="Yes"/>
    <n v="0"/>
    <n v="54085.2"/>
    <x v="100"/>
    <n v="120"/>
    <d v="2022-09-01T00:00:00"/>
    <s v="G/ZOR"/>
    <s v="Location 3"/>
    <s v="Customer 3"/>
    <n v="120"/>
    <n v="450.71"/>
    <n v="54085.2"/>
  </r>
  <r>
    <d v="2023-10-17T00:00:00"/>
    <d v="2023-10-17T00:00:00"/>
    <s v="Yes"/>
    <n v="0"/>
    <n v="54085.2"/>
    <x v="100"/>
    <n v="120"/>
    <d v="2022-09-08T00:00:00"/>
    <s v="G/ZOR"/>
    <s v="Location 3"/>
    <s v="Customer 3"/>
    <n v="120"/>
    <n v="450.71"/>
    <n v="54085.2"/>
  </r>
  <r>
    <d v="2023-10-24T00:00:00"/>
    <d v="2023-10-24T00:00:00"/>
    <s v="Yes"/>
    <n v="0"/>
    <n v="54085.2"/>
    <x v="100"/>
    <n v="120"/>
    <d v="2022-09-15T00:00:00"/>
    <s v="G/ZOR"/>
    <s v="Location 3"/>
    <s v="Customer 3"/>
    <n v="120"/>
    <n v="450.71"/>
    <n v="54085.2"/>
  </r>
  <r>
    <d v="2024-04-09T00:00:00"/>
    <d v="2024-04-09T00:00:00"/>
    <s v="Yes"/>
    <n v="0"/>
    <n v="108170.4"/>
    <x v="100"/>
    <n v="240"/>
    <d v="2022-12-02T00:00:00"/>
    <s v="G/ZOR"/>
    <s v="Location 3"/>
    <s v="Customer 3"/>
    <n v="240"/>
    <n v="450.71"/>
    <n v="108170.4"/>
  </r>
  <r>
    <d v="2024-05-07T00:00:00"/>
    <d v="2024-05-07T00:00:00"/>
    <s v="Yes"/>
    <n v="0"/>
    <n v="54085.2"/>
    <x v="100"/>
    <n v="120"/>
    <d v="2022-12-22T00:00:00"/>
    <s v="G/ZOR"/>
    <s v="Location 3"/>
    <s v="Customer 3"/>
    <n v="120"/>
    <n v="450.71"/>
    <n v="54085.2"/>
  </r>
  <r>
    <d v="2024-05-14T00:00:00"/>
    <d v="2024-05-14T00:00:00"/>
    <s v="Yes"/>
    <n v="0"/>
    <n v="54085.2"/>
    <x v="100"/>
    <n v="120"/>
    <d v="2022-12-28T00:00:00"/>
    <s v="G/ZOR"/>
    <s v="Location 3"/>
    <s v="Customer 3"/>
    <n v="120"/>
    <n v="450.71"/>
    <n v="54085.2"/>
  </r>
  <r>
    <d v="2024-05-21T00:00:00"/>
    <d v="2024-05-21T00:00:00"/>
    <s v="Yes"/>
    <n v="0"/>
    <n v="54085.2"/>
    <x v="100"/>
    <n v="120"/>
    <d v="2023-01-06T00:00:00"/>
    <s v="G/ZOR"/>
    <s v="Location 3"/>
    <s v="Customer 3"/>
    <n v="120"/>
    <n v="450.71"/>
    <n v="54085.2"/>
  </r>
  <r>
    <d v="2024-05-28T00:00:00"/>
    <d v="2024-05-28T00:00:00"/>
    <s v="Yes"/>
    <n v="0"/>
    <n v="54085.2"/>
    <x v="100"/>
    <n v="120"/>
    <d v="2023-01-13T00:00:00"/>
    <s v="G/ZOR"/>
    <s v="Location 3"/>
    <s v="Customer 3"/>
    <n v="120"/>
    <n v="450.71"/>
    <n v="54085.2"/>
  </r>
  <r>
    <d v="2023-09-26T00:00:00"/>
    <d v="2023-09-26T00:00:00"/>
    <s v="Yes"/>
    <n v="0"/>
    <n v="44620.29"/>
    <x v="100"/>
    <n v="99"/>
    <d v="2023-09-11T00:00:00"/>
    <s v="G/ZOR"/>
    <s v="Location 3"/>
    <s v="Customer 3"/>
    <n v="240"/>
    <n v="450.71"/>
    <n v="108170.4"/>
  </r>
  <r>
    <d v="2023-09-28T00:00:00"/>
    <d v="2023-09-26T00:00:00"/>
    <s v="No"/>
    <n v="2"/>
    <n v="63550.11"/>
    <x v="100"/>
    <n v="141"/>
    <d v="2023-09-11T00:00:00"/>
    <s v="G/ZOR"/>
    <s v="Location 3"/>
    <s v="Customer 3"/>
    <n v="240"/>
    <n v="450.71"/>
    <n v="108170.4"/>
  </r>
  <r>
    <d v="2023-10-26T00:00:00"/>
    <d v="2023-02-17T00:00:00"/>
    <s v="No"/>
    <n v="251"/>
    <n v="32089.200000000001"/>
    <x v="178"/>
    <n v="220"/>
    <d v="2022-02-11T00:00:00"/>
    <s v="G/ZOR"/>
    <s v="Location 3"/>
    <s v="Customer 3"/>
    <n v="220"/>
    <n v="145.86000000000001"/>
    <n v="32089.200000000001"/>
  </r>
  <r>
    <d v="2023-10-26T00:00:00"/>
    <d v="2023-03-02T00:00:00"/>
    <s v="No"/>
    <n v="238"/>
    <n v="32089.200000000001"/>
    <x v="178"/>
    <n v="220"/>
    <d v="2022-03-04T00:00:00"/>
    <s v="G/ZOR"/>
    <s v="Location 4"/>
    <s v="Customer 3"/>
    <n v="220"/>
    <n v="145.86000000000001"/>
    <n v="32089.200000000001"/>
  </r>
  <r>
    <d v="2023-10-26T00:00:00"/>
    <d v="2023-03-23T00:00:00"/>
    <s v="No"/>
    <n v="217"/>
    <n v="32089.200000000001"/>
    <x v="178"/>
    <n v="220"/>
    <d v="2022-03-25T00:00:00"/>
    <s v="G/ZOR"/>
    <s v="Location 4"/>
    <s v="Customer 3"/>
    <n v="220"/>
    <n v="145.86000000000001"/>
    <n v="32089.200000000001"/>
  </r>
  <r>
    <d v="2023-10-26T00:00:00"/>
    <d v="2023-04-20T00:00:00"/>
    <s v="No"/>
    <n v="189"/>
    <n v="32089.200000000001"/>
    <x v="178"/>
    <n v="220"/>
    <d v="2022-04-22T00:00:00"/>
    <s v="G/ZOR"/>
    <s v="Location 4"/>
    <s v="Customer 3"/>
    <n v="220"/>
    <n v="145.86000000000001"/>
    <n v="32089.200000000001"/>
  </r>
  <r>
    <d v="2023-10-26T00:00:00"/>
    <d v="2023-04-27T00:00:00"/>
    <s v="No"/>
    <n v="182"/>
    <n v="32089.200000000001"/>
    <x v="178"/>
    <n v="220"/>
    <d v="2022-04-29T00:00:00"/>
    <s v="G/ZOR"/>
    <s v="Location 4"/>
    <s v="Customer 3"/>
    <n v="220"/>
    <n v="145.86000000000001"/>
    <n v="32089.200000000001"/>
  </r>
  <r>
    <d v="2023-09-28T00:00:00"/>
    <d v="2022-11-25T00:00:00"/>
    <s v="No"/>
    <n v="307"/>
    <n v="32089.200000000001"/>
    <x v="178"/>
    <n v="220"/>
    <d v="2023-09-11T00:00:00"/>
    <s v="G/ZOR"/>
    <s v="Location 3"/>
    <s v="Customer 3"/>
    <n v="220"/>
    <n v="145.86000000000001"/>
    <n v="32089.200000000001"/>
  </r>
  <r>
    <d v="2023-09-28T00:00:00"/>
    <d v="2022-12-09T00:00:00"/>
    <s v="No"/>
    <n v="293"/>
    <n v="32089.200000000001"/>
    <x v="178"/>
    <n v="220"/>
    <d v="2023-09-11T00:00:00"/>
    <s v="G/ZOR"/>
    <s v="Location 3"/>
    <s v="Customer 3"/>
    <n v="220"/>
    <n v="145.86000000000001"/>
    <n v="32089.200000000001"/>
  </r>
  <r>
    <d v="2023-09-28T00:00:00"/>
    <d v="2023-01-12T00:00:00"/>
    <s v="No"/>
    <n v="259"/>
    <n v="32089.200000000001"/>
    <x v="178"/>
    <n v="220"/>
    <d v="2023-09-11T00:00:00"/>
    <s v="G/ZOR"/>
    <s v="Location 3"/>
    <s v="Customer 3"/>
    <n v="220"/>
    <n v="145.86000000000001"/>
    <n v="32089.200000000001"/>
  </r>
  <r>
    <d v="2023-09-28T00:00:00"/>
    <d v="2023-02-17T00:00:00"/>
    <s v="No"/>
    <n v="223"/>
    <n v="32089.200000000001"/>
    <x v="178"/>
    <n v="220"/>
    <d v="2023-09-11T00:00:00"/>
    <s v="G/ZOR"/>
    <s v="Location 3"/>
    <s v="Customer 3"/>
    <n v="220"/>
    <n v="145.86000000000001"/>
    <n v="32089.200000000001"/>
  </r>
  <r>
    <d v="2023-09-28T00:00:00"/>
    <d v="2023-02-17T00:00:00"/>
    <s v="No"/>
    <n v="223"/>
    <n v="32089.200000000001"/>
    <x v="178"/>
    <n v="220"/>
    <d v="2023-09-11T00:00:00"/>
    <s v="G/ZOR"/>
    <s v="Location 3"/>
    <s v="Customer 3"/>
    <n v="220"/>
    <n v="145.86000000000001"/>
    <n v="32089.200000000001"/>
  </r>
  <r>
    <d v="2024-02-26T00:00:00"/>
    <d v="2024-02-19T00:00:00"/>
    <s v="No"/>
    <n v="7"/>
    <n v="52466.400000000001"/>
    <x v="101"/>
    <n v="3780"/>
    <d v="2023-02-14T00:00:00"/>
    <s v="G/ZOR"/>
    <s v="Location 4"/>
    <s v="Customer 3"/>
    <n v="3780"/>
    <n v="13.88"/>
    <n v="52466.400000000001"/>
  </r>
  <r>
    <d v="2023-09-26T00:00:00"/>
    <d v="2023-09-26T00:00:00"/>
    <s v="Yes"/>
    <n v="0"/>
    <n v="133449.12"/>
    <x v="102"/>
    <n v="3024"/>
    <d v="2022-09-15T00:00:00"/>
    <s v="G/ZOR"/>
    <s v="Location 3"/>
    <s v="Customer 3"/>
    <n v="3024"/>
    <n v="44.13"/>
    <n v="133449.12"/>
  </r>
  <r>
    <d v="2023-10-31T00:00:00"/>
    <d v="2023-10-31T00:00:00"/>
    <s v="Yes"/>
    <n v="0"/>
    <n v="21606.48"/>
    <x v="103"/>
    <n v="252"/>
    <d v="2022-09-27T00:00:00"/>
    <s v="G/ZOR"/>
    <s v="Location 3"/>
    <s v="Customer 3"/>
    <n v="252"/>
    <n v="85.74"/>
    <n v="21606.48"/>
  </r>
  <r>
    <d v="2023-11-07T00:00:00"/>
    <d v="2023-11-07T00:00:00"/>
    <s v="Yes"/>
    <n v="0"/>
    <n v="21606.48"/>
    <x v="103"/>
    <n v="252"/>
    <d v="2022-09-27T00:00:00"/>
    <s v="G/ZOR"/>
    <s v="Location 3"/>
    <s v="Customer 3"/>
    <n v="252"/>
    <n v="85.74"/>
    <n v="21606.48"/>
  </r>
  <r>
    <d v="2023-11-21T00:00:00"/>
    <d v="2023-11-14T00:00:00"/>
    <s v="No"/>
    <n v="7"/>
    <n v="21606.48"/>
    <x v="103"/>
    <n v="252"/>
    <d v="2022-10-13T00:00:00"/>
    <s v="G/ZOR"/>
    <s v="Location 3"/>
    <s v="Customer 3"/>
    <n v="252"/>
    <n v="85.74"/>
    <n v="21606.48"/>
  </r>
  <r>
    <d v="2024-02-13T00:00:00"/>
    <d v="2023-10-03T00:00:00"/>
    <s v="No"/>
    <n v="133"/>
    <n v="28687.68"/>
    <x v="179"/>
    <n v="252"/>
    <d v="2022-09-01T00:00:00"/>
    <s v="G/ZOR"/>
    <s v="Location 3"/>
    <s v="Customer 3"/>
    <n v="252"/>
    <n v="113.84"/>
    <n v="28687.68"/>
  </r>
  <r>
    <d v="2023-10-19T00:00:00"/>
    <d v="2023-03-10T00:00:00"/>
    <s v="No"/>
    <n v="223"/>
    <n v="29347.200000000001"/>
    <x v="180"/>
    <n v="120"/>
    <d v="2022-03-08T00:00:00"/>
    <s v="G/ZOR"/>
    <s v="Location 3"/>
    <s v="Customer 3"/>
    <n v="120"/>
    <n v="244.56"/>
    <n v="29347.200000000001"/>
  </r>
  <r>
    <d v="2023-09-26T00:00:00"/>
    <d v="2023-09-26T00:00:00"/>
    <s v="Yes"/>
    <n v="0"/>
    <n v="26337"/>
    <x v="108"/>
    <n v="60"/>
    <d v="2022-10-13T00:00:00"/>
    <s v="G/ZOR"/>
    <s v="Location 3"/>
    <s v="Customer 3"/>
    <n v="60"/>
    <n v="438.95"/>
    <n v="26337"/>
  </r>
  <r>
    <d v="2023-10-03T00:00:00"/>
    <d v="2023-10-03T00:00:00"/>
    <s v="Yes"/>
    <n v="0"/>
    <n v="237033"/>
    <x v="108"/>
    <n v="540"/>
    <d v="2022-10-13T00:00:00"/>
    <s v="G/ZOR"/>
    <s v="Location 3"/>
    <s v="Customer 3"/>
    <n v="540"/>
    <n v="438.95"/>
    <n v="237033"/>
  </r>
  <r>
    <d v="2023-10-10T00:00:00"/>
    <d v="2023-10-10T00:00:00"/>
    <s v="Yes"/>
    <n v="0"/>
    <n v="223864.5"/>
    <x v="108"/>
    <n v="510"/>
    <d v="2022-10-13T00:00:00"/>
    <s v="G/ZOR"/>
    <s v="Location 3"/>
    <s v="Customer 3"/>
    <n v="510"/>
    <n v="438.95"/>
    <n v="223864.5"/>
  </r>
  <r>
    <d v="2023-10-17T00:00:00"/>
    <d v="2023-10-17T00:00:00"/>
    <s v="Yes"/>
    <n v="0"/>
    <n v="237033"/>
    <x v="108"/>
    <n v="540"/>
    <d v="2022-10-13T00:00:00"/>
    <s v="G/ZOR"/>
    <s v="Location 3"/>
    <s v="Customer 3"/>
    <n v="540"/>
    <n v="438.95"/>
    <n v="237033"/>
  </r>
  <r>
    <d v="2023-10-24T00:00:00"/>
    <d v="2023-10-24T00:00:00"/>
    <s v="Yes"/>
    <n v="0"/>
    <n v="237033"/>
    <x v="108"/>
    <n v="540"/>
    <d v="2022-10-13T00:00:00"/>
    <s v="G/ZOR"/>
    <s v="Location 3"/>
    <s v="Customer 3"/>
    <n v="540"/>
    <n v="438.95"/>
    <n v="237033"/>
  </r>
  <r>
    <d v="2023-12-26T00:00:00"/>
    <d v="2023-12-26T00:00:00"/>
    <s v="Yes"/>
    <n v="0"/>
    <n v="13168.5"/>
    <x v="108"/>
    <n v="30"/>
    <d v="2022-12-13T00:00:00"/>
    <s v="G/ZOR"/>
    <s v="Location 4"/>
    <s v="Customer 3"/>
    <n v="30"/>
    <n v="438.95"/>
    <n v="13168.5"/>
  </r>
  <r>
    <d v="2023-12-26T00:00:00"/>
    <d v="2023-12-26T00:00:00"/>
    <s v="Yes"/>
    <n v="0"/>
    <n v="39505.5"/>
    <x v="108"/>
    <n v="90"/>
    <d v="2022-12-15T00:00:00"/>
    <s v="G/ZOR"/>
    <s v="Location 4"/>
    <s v="Customer 3"/>
    <n v="90"/>
    <n v="438.95"/>
    <n v="39505.5"/>
  </r>
  <r>
    <d v="2024-01-09T00:00:00"/>
    <d v="2024-01-09T00:00:00"/>
    <s v="Yes"/>
    <n v="0"/>
    <n v="13168.5"/>
    <x v="108"/>
    <n v="30"/>
    <d v="2022-12-26T00:00:00"/>
    <s v="G/ZOR"/>
    <s v="Location 3"/>
    <s v="Customer 3"/>
    <n v="30"/>
    <n v="438.95"/>
    <n v="13168.5"/>
  </r>
  <r>
    <d v="2024-01-09T00:00:00"/>
    <d v="2024-01-09T00:00:00"/>
    <s v="Yes"/>
    <n v="0"/>
    <n v="39505.5"/>
    <x v="108"/>
    <n v="90"/>
    <d v="2022-12-28T00:00:00"/>
    <s v="G/ZOR"/>
    <s v="Location 3"/>
    <s v="Customer 3"/>
    <n v="90"/>
    <n v="438.95"/>
    <n v="39505.5"/>
  </r>
  <r>
    <d v="2024-01-09T00:00:00"/>
    <d v="2024-01-09T00:00:00"/>
    <s v="Yes"/>
    <n v="0"/>
    <n v="26337"/>
    <x v="108"/>
    <n v="60"/>
    <d v="2023-01-06T00:00:00"/>
    <s v="G/ZOR"/>
    <s v="Location 3"/>
    <s v="Customer 3"/>
    <n v="60"/>
    <n v="438.95"/>
    <n v="26337"/>
  </r>
  <r>
    <d v="2024-01-16T00:00:00"/>
    <d v="2024-01-16T00:00:00"/>
    <s v="Yes"/>
    <n v="0"/>
    <n v="26337"/>
    <x v="108"/>
    <n v="60"/>
    <d v="2023-01-06T00:00:00"/>
    <s v="G/ZOR"/>
    <s v="Location 3"/>
    <s v="Customer 3"/>
    <n v="60"/>
    <n v="438.95"/>
    <n v="26337"/>
  </r>
  <r>
    <d v="2024-01-16T00:00:00"/>
    <d v="2024-01-16T00:00:00"/>
    <s v="Yes"/>
    <n v="0"/>
    <n v="39505.5"/>
    <x v="108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08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08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08"/>
    <n v="90"/>
    <d v="2023-01-06T00:00:00"/>
    <s v="G/ZOR"/>
    <s v="Location 3"/>
    <s v="Customer 3"/>
    <n v="90"/>
    <n v="438.95"/>
    <n v="39505.5"/>
  </r>
  <r>
    <d v="2024-01-16T00:00:00"/>
    <d v="2024-01-16T00:00:00"/>
    <s v="Yes"/>
    <n v="0"/>
    <n v="39505.5"/>
    <x v="108"/>
    <n v="90"/>
    <d v="2023-01-06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08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08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08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13168.5"/>
    <x v="108"/>
    <n v="30"/>
    <d v="2023-01-13T00:00:00"/>
    <s v="G/ZOR"/>
    <s v="Location 3"/>
    <s v="Customer 3"/>
    <n v="30"/>
    <n v="438.95"/>
    <n v="13168.5"/>
  </r>
  <r>
    <d v="2024-01-23T00:00:00"/>
    <d v="2024-01-23T00:00:00"/>
    <s v="Yes"/>
    <n v="0"/>
    <n v="39505.5"/>
    <x v="108"/>
    <n v="90"/>
    <d v="2023-01-13T00:00:00"/>
    <s v="G/ZOR"/>
    <s v="Location 3"/>
    <s v="Customer 3"/>
    <n v="90"/>
    <n v="438.95"/>
    <n v="39505.5"/>
  </r>
  <r>
    <d v="2024-01-23T00:00:00"/>
    <d v="2024-01-23T00:00:00"/>
    <s v="Yes"/>
    <n v="0"/>
    <n v="39505.5"/>
    <x v="108"/>
    <n v="90"/>
    <d v="2023-01-13T00:00:00"/>
    <s v="G/ZOR"/>
    <s v="Location 3"/>
    <s v="Customer 3"/>
    <n v="90"/>
    <n v="438.95"/>
    <n v="39505.5"/>
  </r>
  <r>
    <d v="2024-01-30T00:00:00"/>
    <d v="2024-01-30T00:00:00"/>
    <s v="Yes"/>
    <n v="0"/>
    <n v="13168.5"/>
    <x v="108"/>
    <n v="30"/>
    <d v="2023-01-17T00:00:00"/>
    <s v="G/ZOR"/>
    <s v="Location 4"/>
    <s v="Customer 3"/>
    <n v="30"/>
    <n v="438.95"/>
    <n v="13168.5"/>
  </r>
  <r>
    <d v="2024-01-30T00:00:00"/>
    <d v="2024-01-30T00:00:00"/>
    <s v="Yes"/>
    <n v="0"/>
    <n v="39505.5"/>
    <x v="108"/>
    <n v="90"/>
    <d v="2023-01-17T00:00:00"/>
    <s v="G/ZOR"/>
    <s v="Location 4"/>
    <s v="Customer 3"/>
    <n v="90"/>
    <n v="438.95"/>
    <n v="39505.5"/>
  </r>
  <r>
    <d v="2024-01-30T00:00:00"/>
    <d v="2024-01-30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1-30T00:00:00"/>
    <d v="2024-01-30T00:00:00"/>
    <s v="Yes"/>
    <n v="0"/>
    <n v="26337"/>
    <x v="108"/>
    <n v="60"/>
    <d v="2023-01-27T00:00:00"/>
    <s v="G/ZOR"/>
    <s v="Location 3"/>
    <s v="Customer 3"/>
    <n v="60"/>
    <n v="438.95"/>
    <n v="26337"/>
  </r>
  <r>
    <d v="2024-01-30T00:00:00"/>
    <d v="2024-01-30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26337"/>
    <x v="108"/>
    <n v="60"/>
    <d v="2023-01-27T00:00:00"/>
    <s v="G/ZOR"/>
    <s v="Location 3"/>
    <s v="Customer 3"/>
    <n v="60"/>
    <n v="438.95"/>
    <n v="26337"/>
  </r>
  <r>
    <d v="2024-02-06T00:00:00"/>
    <d v="2024-02-06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2-06T00:00:00"/>
    <d v="2024-02-06T00:00:00"/>
    <s v="Yes"/>
    <n v="0"/>
    <n v="39505.5"/>
    <x v="108"/>
    <n v="90"/>
    <d v="2023-01-27T00:00:00"/>
    <s v="G/ZOR"/>
    <s v="Location 3"/>
    <s v="Customer 3"/>
    <n v="90"/>
    <n v="438.95"/>
    <n v="39505.5"/>
  </r>
  <r>
    <d v="2024-03-15T00:00:00"/>
    <d v="2024-03-15T00:00:00"/>
    <s v="Yes"/>
    <n v="0"/>
    <n v="92179.5"/>
    <x v="108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79011"/>
    <x v="108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92179.5"/>
    <x v="108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79011"/>
    <x v="108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92179.5"/>
    <x v="108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92179.5"/>
    <x v="108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65842.5"/>
    <x v="108"/>
    <n v="150"/>
    <d v="2023-02-28T00:00:00"/>
    <s v="G/ZOR"/>
    <s v="Location 4"/>
    <s v="Customer 3"/>
    <n v="150"/>
    <n v="438.95"/>
    <n v="65842.5"/>
  </r>
  <r>
    <d v="2024-03-15T00:00:00"/>
    <d v="2024-03-15T00:00:00"/>
    <s v="Yes"/>
    <n v="0"/>
    <n v="79011"/>
    <x v="108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79011"/>
    <x v="108"/>
    <n v="180"/>
    <d v="2023-02-28T00:00:00"/>
    <s v="G/ZOR"/>
    <s v="Location 4"/>
    <s v="Customer 3"/>
    <n v="180"/>
    <n v="438.95"/>
    <n v="79011"/>
  </r>
  <r>
    <d v="2024-03-15T00:00:00"/>
    <d v="2024-03-15T00:00:00"/>
    <s v="Yes"/>
    <n v="0"/>
    <n v="92179.5"/>
    <x v="108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92179.5"/>
    <x v="108"/>
    <n v="210"/>
    <d v="2023-02-28T00:00:00"/>
    <s v="G/ZOR"/>
    <s v="Location 4"/>
    <s v="Customer 3"/>
    <n v="210"/>
    <n v="438.95"/>
    <n v="92179.5"/>
  </r>
  <r>
    <d v="2024-03-15T00:00:00"/>
    <d v="2024-03-15T00:00:00"/>
    <s v="Yes"/>
    <n v="0"/>
    <n v="39505.5"/>
    <x v="108"/>
    <n v="90"/>
    <d v="2023-02-28T00:00:00"/>
    <s v="G/ZOR"/>
    <s v="Location 4"/>
    <s v="Customer 3"/>
    <n v="90"/>
    <n v="438.95"/>
    <n v="39505.5"/>
  </r>
  <r>
    <d v="2023-09-26T00:00:00"/>
    <d v="2023-09-26T00:00:00"/>
    <s v="Yes"/>
    <n v="0"/>
    <n v="9991.68"/>
    <x v="157"/>
    <n v="48"/>
    <d v="2023-09-11T00:00:00"/>
    <s v="G/ZOR"/>
    <s v="Location 4"/>
    <s v="Customer 3"/>
    <n v="48"/>
    <n v="208.16"/>
    <n v="9991.68"/>
  </r>
  <r>
    <d v="2023-12-04T00:00:00"/>
    <d v="2023-08-29T00:00:00"/>
    <s v="No"/>
    <n v="97"/>
    <n v="2535.1799999999998"/>
    <x v="181"/>
    <n v="29"/>
    <d v="2022-02-26T00:00:00"/>
    <s v="G/ZOR"/>
    <s v="Location 3"/>
    <s v="Customer 3"/>
    <n v="308"/>
    <n v="87.42"/>
    <n v="26925.360000000001"/>
  </r>
  <r>
    <d v="2023-12-04T00:00:00"/>
    <d v="2023-11-28T00:00:00"/>
    <s v="No"/>
    <n v="6"/>
    <n v="24390.18"/>
    <x v="181"/>
    <n v="279"/>
    <d v="2022-04-27T00:00:00"/>
    <s v="G/ZOR"/>
    <s v="Location 4"/>
    <s v="Customer 3"/>
    <n v="308"/>
    <n v="87.42"/>
    <n v="26925.360000000001"/>
  </r>
  <r>
    <d v="2023-12-07T00:00:00"/>
    <d v="2023-11-28T00:00:00"/>
    <s v="No"/>
    <n v="9"/>
    <n v="2535.1799999999998"/>
    <x v="181"/>
    <n v="29"/>
    <d v="2022-04-27T00:00:00"/>
    <s v="G/ZOR"/>
    <s v="Location 4"/>
    <s v="Customer 3"/>
    <n v="308"/>
    <n v="87.42"/>
    <n v="26925.360000000001"/>
  </r>
  <r>
    <d v="2023-09-28T00:00:00"/>
    <d v="2023-04-27T00:00:00"/>
    <s v="No"/>
    <n v="154"/>
    <n v="13221.6"/>
    <x v="182"/>
    <n v="840"/>
    <d v="2022-04-29T00:00:00"/>
    <s v="G/ZOR"/>
    <s v="Location 4"/>
    <s v="Customer 3"/>
    <n v="840"/>
    <n v="15.74"/>
    <n v="13221.6"/>
  </r>
  <r>
    <d v="2024-01-30T00:00:00"/>
    <d v="2024-01-30T00:00:00"/>
    <s v="Yes"/>
    <n v="0"/>
    <n v="13221.6"/>
    <x v="182"/>
    <n v="840"/>
    <d v="2022-12-01T00:00:00"/>
    <s v="G/ZOR"/>
    <s v="Location 3"/>
    <s v="Customer 3"/>
    <n v="840"/>
    <n v="15.74"/>
    <n v="13221.6"/>
  </r>
  <r>
    <d v="2024-03-19T00:00:00"/>
    <d v="2024-03-19T00:00:00"/>
    <s v="Yes"/>
    <n v="0"/>
    <n v="13221.6"/>
    <x v="182"/>
    <n v="840"/>
    <d v="2022-12-01T00:00:00"/>
    <s v="G/ZOR"/>
    <s v="Location 3"/>
    <s v="Customer 3"/>
    <n v="840"/>
    <n v="15.74"/>
    <n v="13221.6"/>
  </r>
  <r>
    <d v="2024-04-30T00:00:00"/>
    <d v="2024-04-24T00:00:00"/>
    <s v="No"/>
    <n v="6"/>
    <n v="13221.6"/>
    <x v="182"/>
    <n v="840"/>
    <d v="2022-12-06T00:00:00"/>
    <s v="G/ZOR"/>
    <s v="Location 4"/>
    <s v="Customer 3"/>
    <n v="840"/>
    <n v="15.74"/>
    <n v="13221.6"/>
  </r>
  <r>
    <d v="2024-05-28T00:00:00"/>
    <d v="2024-05-28T00:00:00"/>
    <s v="Yes"/>
    <n v="0"/>
    <n v="6610.8"/>
    <x v="182"/>
    <n v="420"/>
    <d v="2023-01-13T00:00:00"/>
    <s v="G/ZOR"/>
    <s v="Location 3"/>
    <s v="Customer 3"/>
    <n v="420"/>
    <n v="15.74"/>
    <n v="6610.8"/>
  </r>
  <r>
    <d v="2024-07-09T00:00:00"/>
    <d v="2024-07-09T00:00:00"/>
    <s v="Yes"/>
    <n v="0"/>
    <n v="13221.6"/>
    <x v="182"/>
    <n v="840"/>
    <d v="2023-03-03T00:00:00"/>
    <s v="G/ZOR"/>
    <s v="Location 3"/>
    <s v="Customer 3"/>
    <n v="840"/>
    <n v="15.74"/>
    <n v="13221.6"/>
  </r>
  <r>
    <d v="2023-10-09T00:00:00"/>
    <d v="2023-08-08T00:00:00"/>
    <s v="No"/>
    <n v="62"/>
    <n v="4568.2"/>
    <x v="110"/>
    <n v="1820"/>
    <d v="2022-06-28T00:00:00"/>
    <s v="G/ZOR"/>
    <s v="Location 3"/>
    <s v="Customer 3"/>
    <n v="1820"/>
    <n v="2.5099999999999998"/>
    <n v="4568.2"/>
  </r>
  <r>
    <d v="2023-10-10T00:00:00"/>
    <d v="2023-10-10T00:00:00"/>
    <s v="Yes"/>
    <n v="0"/>
    <n v="4568.2"/>
    <x v="110"/>
    <n v="1820"/>
    <d v="2022-09-01T00:00:00"/>
    <s v="G/ZOR"/>
    <s v="Location 3"/>
    <s v="Customer 3"/>
    <n v="7280"/>
    <n v="2.5099999999999998"/>
    <n v="18272.8"/>
  </r>
  <r>
    <d v="2023-10-12T00:00:00"/>
    <d v="2023-10-10T00:00:00"/>
    <s v="No"/>
    <n v="2"/>
    <n v="13704.6"/>
    <x v="110"/>
    <n v="5460"/>
    <d v="2022-09-01T00:00:00"/>
    <s v="G/ZOR"/>
    <s v="Location 3"/>
    <s v="Customer 3"/>
    <n v="7280"/>
    <n v="2.5099999999999998"/>
    <n v="18272.8"/>
  </r>
  <r>
    <d v="2024-02-23T00:00:00"/>
    <d v="2023-10-31T00:00:00"/>
    <s v="No"/>
    <n v="115"/>
    <n v="333925.2"/>
    <x v="113"/>
    <n v="3528"/>
    <d v="2022-05-20T00:00:00"/>
    <s v="G/ZOR"/>
    <s v="Location 4"/>
    <s v="Customer 3"/>
    <n v="3528"/>
    <n v="94.65"/>
    <n v="333925.2"/>
  </r>
  <r>
    <d v="2025-04-23T00:00:00"/>
    <d v="2023-08-01T00:00:00"/>
    <s v="No"/>
    <n v="631"/>
    <n v="87198.3"/>
    <x v="114"/>
    <n v="210"/>
    <d v="2022-06-23T00:00:00"/>
    <s v="G/ZOR"/>
    <s v="Location 4"/>
    <s v="Customer 3"/>
    <n v="210"/>
    <n v="415.23"/>
    <n v="87198.3"/>
  </r>
  <r>
    <d v="2023-10-10T00:00:00"/>
    <d v="2023-10-10T00:00:00"/>
    <s v="Yes"/>
    <n v="0"/>
    <n v="29066.1"/>
    <x v="114"/>
    <n v="70"/>
    <d v="2022-09-01T00:00:00"/>
    <s v="G/ZOR"/>
    <s v="Location 3"/>
    <s v="Customer 3"/>
    <n v="70"/>
    <n v="415.23"/>
    <n v="29066.1"/>
  </r>
  <r>
    <d v="2023-10-10T00:00:00"/>
    <d v="2023-10-10T00:00:00"/>
    <s v="Yes"/>
    <n v="0"/>
    <n v="29066.1"/>
    <x v="114"/>
    <n v="70"/>
    <d v="2022-09-01T00:00:00"/>
    <s v="G/ZOR"/>
    <s v="Location 3"/>
    <s v="Customer 3"/>
    <n v="70"/>
    <n v="415.23"/>
    <n v="29066.1"/>
  </r>
  <r>
    <d v="2023-10-17T00:00:00"/>
    <d v="2023-10-17T00:00:00"/>
    <s v="Yes"/>
    <n v="0"/>
    <n v="29066.1"/>
    <x v="114"/>
    <n v="70"/>
    <d v="2022-09-07T00:00:00"/>
    <s v="G/ZOR"/>
    <s v="Location 3"/>
    <s v="Customer 3"/>
    <n v="70"/>
    <n v="415.23"/>
    <n v="29066.1"/>
  </r>
  <r>
    <d v="2023-10-17T00:00:00"/>
    <d v="2023-10-17T00:00:00"/>
    <s v="Yes"/>
    <n v="0"/>
    <n v="29066.1"/>
    <x v="114"/>
    <n v="70"/>
    <d v="2022-09-07T00:00:00"/>
    <s v="G/ZOR"/>
    <s v="Location 3"/>
    <s v="Customer 3"/>
    <n v="70"/>
    <n v="415.23"/>
    <n v="29066.1"/>
  </r>
  <r>
    <d v="2023-10-17T00:00:00"/>
    <d v="2023-10-17T00:00:00"/>
    <s v="Yes"/>
    <n v="0"/>
    <n v="29066.1"/>
    <x v="114"/>
    <n v="70"/>
    <d v="2022-09-07T00:00:00"/>
    <s v="G/ZOR"/>
    <s v="Location 3"/>
    <s v="Customer 3"/>
    <n v="70"/>
    <n v="415.23"/>
    <n v="29066.1"/>
  </r>
  <r>
    <d v="2023-10-17T00:00:00"/>
    <d v="2023-10-17T00:00:00"/>
    <s v="Yes"/>
    <n v="0"/>
    <n v="29066.1"/>
    <x v="114"/>
    <n v="70"/>
    <d v="2022-09-07T00:00:00"/>
    <s v="G/ZOR"/>
    <s v="Location 3"/>
    <s v="Customer 3"/>
    <n v="70"/>
    <n v="415.23"/>
    <n v="29066.1"/>
  </r>
  <r>
    <d v="2023-10-24T00:00:00"/>
    <d v="2023-10-24T00:00:00"/>
    <s v="Yes"/>
    <n v="0"/>
    <n v="29066.1"/>
    <x v="114"/>
    <n v="70"/>
    <d v="2022-09-14T00:00:00"/>
    <s v="G/ZOR"/>
    <s v="Location 3"/>
    <s v="Customer 3"/>
    <n v="70"/>
    <n v="415.23"/>
    <n v="29066.1"/>
  </r>
  <r>
    <d v="2023-10-24T00:00:00"/>
    <d v="2023-10-24T00:00:00"/>
    <s v="Yes"/>
    <n v="0"/>
    <n v="29066.1"/>
    <x v="114"/>
    <n v="70"/>
    <d v="2022-09-14T00:00:00"/>
    <s v="G/ZOR"/>
    <s v="Location 3"/>
    <s v="Customer 3"/>
    <n v="70"/>
    <n v="415.23"/>
    <n v="29066.1"/>
  </r>
  <r>
    <d v="2023-10-24T00:00:00"/>
    <d v="2023-10-24T00:00:00"/>
    <s v="Yes"/>
    <n v="0"/>
    <n v="29066.1"/>
    <x v="114"/>
    <n v="70"/>
    <d v="2022-09-14T00:00:00"/>
    <s v="G/ZOR"/>
    <s v="Location 3"/>
    <s v="Customer 3"/>
    <n v="70"/>
    <n v="415.23"/>
    <n v="29066.1"/>
  </r>
  <r>
    <d v="2023-10-24T00:00:00"/>
    <d v="2023-10-24T00:00:00"/>
    <s v="Yes"/>
    <n v="0"/>
    <n v="29066.1"/>
    <x v="114"/>
    <n v="70"/>
    <d v="2022-09-14T00:00:00"/>
    <s v="G/ZOR"/>
    <s v="Location 3"/>
    <s v="Customer 3"/>
    <n v="70"/>
    <n v="415.23"/>
    <n v="29066.1"/>
  </r>
  <r>
    <d v="2023-09-28T00:00:00"/>
    <d v="2023-09-19T00:00:00"/>
    <s v="No"/>
    <n v="9"/>
    <n v="29066.1"/>
    <x v="114"/>
    <n v="70"/>
    <d v="2023-09-11T00:00:00"/>
    <s v="G/ZOR"/>
    <s v="Location 4"/>
    <s v="Customer 3"/>
    <n v="70"/>
    <n v="415.23"/>
    <n v="29066.1"/>
  </r>
  <r>
    <d v="2023-09-28T00:00:00"/>
    <d v="2023-09-19T00:00:00"/>
    <s v="No"/>
    <n v="9"/>
    <n v="29066.1"/>
    <x v="114"/>
    <n v="70"/>
    <d v="2023-09-11T00:00:00"/>
    <s v="G/ZOR"/>
    <s v="Location 4"/>
    <s v="Customer 3"/>
    <n v="70"/>
    <n v="415.23"/>
    <n v="29066.1"/>
  </r>
  <r>
    <d v="2023-09-28T00:00:00"/>
    <d v="2023-09-19T00:00:00"/>
    <s v="No"/>
    <n v="9"/>
    <n v="29066.1"/>
    <x v="114"/>
    <n v="70"/>
    <d v="2023-09-11T00:00:00"/>
    <s v="G/ZOR"/>
    <s v="Location 4"/>
    <s v="Customer 3"/>
    <n v="70"/>
    <n v="415.23"/>
    <n v="29066.1"/>
  </r>
  <r>
    <d v="2023-09-28T00:00:00"/>
    <d v="2023-09-19T00:00:00"/>
    <s v="No"/>
    <n v="9"/>
    <n v="29066.1"/>
    <x v="114"/>
    <n v="70"/>
    <d v="2023-09-11T00:00:00"/>
    <s v="G/ZOR"/>
    <s v="Location 4"/>
    <s v="Customer 3"/>
    <n v="70"/>
    <n v="415.23"/>
    <n v="29066.1"/>
  </r>
  <r>
    <d v="2023-09-19T00:00:00"/>
    <d v="2023-09-19T00:00:00"/>
    <s v="Yes"/>
    <n v="0"/>
    <n v="30020.2"/>
    <x v="115"/>
    <n v="70"/>
    <d v="2022-08-09T00:00:00"/>
    <s v="G/ZOR"/>
    <s v="Location 4"/>
    <s v="Customer 3"/>
    <n v="70"/>
    <n v="428.86"/>
    <n v="30020.2"/>
  </r>
  <r>
    <d v="2023-09-19T00:00:00"/>
    <d v="2023-09-19T00:00:00"/>
    <s v="Yes"/>
    <n v="0"/>
    <n v="30020.2"/>
    <x v="115"/>
    <n v="70"/>
    <d v="2022-08-09T00:00:00"/>
    <s v="G/ZOR"/>
    <s v="Location 4"/>
    <s v="Customer 3"/>
    <n v="70"/>
    <n v="428.86"/>
    <n v="30020.2"/>
  </r>
  <r>
    <d v="2023-10-20T00:00:00"/>
    <d v="2023-10-20T00:00:00"/>
    <s v="Yes"/>
    <n v="0"/>
    <n v="30020.2"/>
    <x v="115"/>
    <n v="70"/>
    <d v="2022-09-07T00:00:00"/>
    <s v="G/ZOR"/>
    <s v="Location 3"/>
    <s v="Customer 3"/>
    <n v="70"/>
    <n v="428.86"/>
    <n v="30020.2"/>
  </r>
  <r>
    <d v="2023-10-20T00:00:00"/>
    <d v="2023-10-20T00:00:00"/>
    <s v="Yes"/>
    <n v="0"/>
    <n v="30020.2"/>
    <x v="115"/>
    <n v="70"/>
    <d v="2022-09-07T00:00:00"/>
    <s v="G/ZOR"/>
    <s v="Location 3"/>
    <s v="Customer 3"/>
    <n v="70"/>
    <n v="428.86"/>
    <n v="30020.2"/>
  </r>
  <r>
    <d v="2023-10-20T00:00:00"/>
    <d v="2023-10-20T00:00:00"/>
    <s v="Yes"/>
    <n v="0"/>
    <n v="30020.2"/>
    <x v="115"/>
    <n v="70"/>
    <d v="2022-09-07T00:00:00"/>
    <s v="G/ZOR"/>
    <s v="Location 3"/>
    <s v="Customer 3"/>
    <n v="70"/>
    <n v="428.86"/>
    <n v="30020.2"/>
  </r>
  <r>
    <d v="2023-10-03T00:00:00"/>
    <d v="2023-10-03T00:00:00"/>
    <s v="Yes"/>
    <n v="0"/>
    <n v="53718"/>
    <x v="116"/>
    <n v="140"/>
    <d v="2022-08-25T00:00:00"/>
    <s v="G/ZOR"/>
    <s v="Location 3"/>
    <s v="Customer 3"/>
    <n v="140"/>
    <n v="383.7"/>
    <n v="53718"/>
  </r>
  <r>
    <d v="2023-10-03T00:00:00"/>
    <d v="2023-10-03T00:00:00"/>
    <s v="Yes"/>
    <n v="0"/>
    <n v="53718"/>
    <x v="116"/>
    <n v="140"/>
    <d v="2022-08-25T00:00:00"/>
    <s v="G/ZOR"/>
    <s v="Location 3"/>
    <s v="Customer 3"/>
    <n v="140"/>
    <n v="383.7"/>
    <n v="53718"/>
  </r>
  <r>
    <d v="2023-10-10T00:00:00"/>
    <d v="2023-10-10T00:00:00"/>
    <s v="Yes"/>
    <n v="0"/>
    <n v="53718"/>
    <x v="116"/>
    <n v="140"/>
    <d v="2022-09-01T00:00:00"/>
    <s v="G/ZOR"/>
    <s v="Location 3"/>
    <s v="Customer 3"/>
    <n v="140"/>
    <n v="383.7"/>
    <n v="53718"/>
  </r>
  <r>
    <d v="2023-10-10T00:00:00"/>
    <d v="2023-10-10T00:00:00"/>
    <s v="Yes"/>
    <n v="0"/>
    <n v="53718"/>
    <x v="116"/>
    <n v="140"/>
    <d v="2022-09-01T00:00:00"/>
    <s v="G/ZOR"/>
    <s v="Location 3"/>
    <s v="Customer 3"/>
    <n v="140"/>
    <n v="383.7"/>
    <n v="53718"/>
  </r>
  <r>
    <d v="2023-10-17T00:00:00"/>
    <d v="2023-10-17T00:00:00"/>
    <s v="Yes"/>
    <n v="0"/>
    <n v="26859"/>
    <x v="116"/>
    <n v="70"/>
    <d v="2022-09-07T00:00:00"/>
    <s v="G/ZOR"/>
    <s v="Location 3"/>
    <s v="Customer 3"/>
    <n v="70"/>
    <n v="383.7"/>
    <n v="26859"/>
  </r>
  <r>
    <d v="2023-10-17T00:00:00"/>
    <d v="2023-10-17T00:00:00"/>
    <s v="Yes"/>
    <n v="0"/>
    <n v="53718"/>
    <x v="116"/>
    <n v="140"/>
    <d v="2022-09-07T00:00:00"/>
    <s v="G/ZOR"/>
    <s v="Location 3"/>
    <s v="Customer 3"/>
    <n v="140"/>
    <n v="383.7"/>
    <n v="53718"/>
  </r>
  <r>
    <d v="2023-10-24T00:00:00"/>
    <d v="2023-10-24T00:00:00"/>
    <s v="Yes"/>
    <n v="0"/>
    <n v="53718"/>
    <x v="116"/>
    <n v="140"/>
    <d v="2022-09-15T00:00:00"/>
    <s v="G/ZOR"/>
    <s v="Location 3"/>
    <s v="Customer 3"/>
    <n v="140"/>
    <n v="383.7"/>
    <n v="53718"/>
  </r>
  <r>
    <d v="2023-10-24T00:00:00"/>
    <d v="2023-10-24T00:00:00"/>
    <s v="Yes"/>
    <n v="0"/>
    <n v="53718"/>
    <x v="116"/>
    <n v="140"/>
    <d v="2022-09-15T00:00:00"/>
    <s v="G/ZOR"/>
    <s v="Location 3"/>
    <s v="Customer 3"/>
    <n v="140"/>
    <n v="383.7"/>
    <n v="53718"/>
  </r>
  <r>
    <d v="2023-09-25T00:00:00"/>
    <d v="2023-05-09T00:00:00"/>
    <s v="No"/>
    <n v="139"/>
    <n v="26859"/>
    <x v="116"/>
    <n v="70"/>
    <d v="2023-08-16T00:00:00"/>
    <s v="G/ZOR"/>
    <s v="Location 4"/>
    <s v="Customer 3"/>
    <n v="140"/>
    <n v="383.7"/>
    <n v="53718"/>
  </r>
  <r>
    <d v="2023-09-25T00:00:00"/>
    <d v="2023-05-09T00:00:00"/>
    <s v="No"/>
    <n v="139"/>
    <n v="26859"/>
    <x v="116"/>
    <n v="70"/>
    <d v="2023-09-11T00:00:00"/>
    <s v="G/ZOR"/>
    <s v="Location 4"/>
    <s v="Customer 3"/>
    <n v="70"/>
    <n v="383.7"/>
    <n v="26859"/>
  </r>
  <r>
    <d v="2023-09-28T00:00:00"/>
    <d v="2023-07-04T00:00:00"/>
    <s v="No"/>
    <n v="86"/>
    <n v="53718"/>
    <x v="116"/>
    <n v="140"/>
    <d v="2023-09-11T00:00:00"/>
    <s v="G/ZOR"/>
    <s v="Location 4"/>
    <s v="Customer 3"/>
    <n v="140"/>
    <n v="383.7"/>
    <n v="53718"/>
  </r>
  <r>
    <d v="2023-09-28T00:00:00"/>
    <d v="2023-07-11T00:00:00"/>
    <s v="No"/>
    <n v="79"/>
    <n v="53718"/>
    <x v="116"/>
    <n v="140"/>
    <d v="2023-09-11T00:00:00"/>
    <s v="G/ZOR"/>
    <s v="Location 4"/>
    <s v="Customer 3"/>
    <n v="140"/>
    <n v="383.7"/>
    <n v="53718"/>
  </r>
  <r>
    <d v="2023-09-28T00:00:00"/>
    <d v="2023-07-04T00:00:00"/>
    <s v="No"/>
    <n v="86"/>
    <n v="53718"/>
    <x v="116"/>
    <n v="140"/>
    <d v="2023-09-11T00:00:00"/>
    <s v="G/ZOR"/>
    <s v="Location 4"/>
    <s v="Customer 3"/>
    <n v="140"/>
    <n v="383.7"/>
    <n v="53718"/>
  </r>
  <r>
    <d v="2023-09-28T00:00:00"/>
    <d v="2023-07-11T00:00:00"/>
    <s v="No"/>
    <n v="79"/>
    <n v="53718"/>
    <x v="116"/>
    <n v="140"/>
    <d v="2023-09-11T00:00:00"/>
    <s v="G/ZOR"/>
    <s v="Location 4"/>
    <s v="Customer 3"/>
    <n v="140"/>
    <n v="383.7"/>
    <n v="53718"/>
  </r>
  <r>
    <d v="2023-09-28T00:00:00"/>
    <d v="2023-07-18T00:00:00"/>
    <s v="No"/>
    <n v="72"/>
    <n v="53718"/>
    <x v="116"/>
    <n v="140"/>
    <d v="2023-09-11T00:00:00"/>
    <s v="G/ZOR"/>
    <s v="Location 4"/>
    <s v="Customer 3"/>
    <n v="140"/>
    <n v="383.7"/>
    <n v="53718"/>
  </r>
  <r>
    <d v="2023-09-28T00:00:00"/>
    <d v="2023-07-18T00:00:00"/>
    <s v="No"/>
    <n v="72"/>
    <n v="53718"/>
    <x v="116"/>
    <n v="140"/>
    <d v="2023-09-11T00:00:00"/>
    <s v="G/ZOR"/>
    <s v="Location 4"/>
    <s v="Customer 3"/>
    <n v="140"/>
    <n v="383.7"/>
    <n v="53718"/>
  </r>
  <r>
    <d v="2023-09-28T00:00:00"/>
    <d v="2023-08-08T00:00:00"/>
    <s v="No"/>
    <n v="51"/>
    <n v="26859"/>
    <x v="116"/>
    <n v="70"/>
    <d v="2023-09-11T00:00:00"/>
    <s v="G/ZOR"/>
    <s v="Location 4"/>
    <s v="Customer 3"/>
    <n v="70"/>
    <n v="383.7"/>
    <n v="26859"/>
  </r>
  <r>
    <d v="2023-09-28T00:00:00"/>
    <d v="2023-08-29T00:00:00"/>
    <s v="No"/>
    <n v="30"/>
    <n v="26859"/>
    <x v="116"/>
    <n v="70"/>
    <d v="2023-09-11T00:00:00"/>
    <s v="G/ZOR"/>
    <s v="Location 4"/>
    <s v="Customer 3"/>
    <n v="70"/>
    <n v="383.7"/>
    <n v="26859"/>
  </r>
  <r>
    <d v="2023-09-28T00:00:00"/>
    <d v="2023-08-29T00:00:00"/>
    <s v="No"/>
    <n v="30"/>
    <n v="53718"/>
    <x v="116"/>
    <n v="140"/>
    <d v="2023-09-11T00:00:00"/>
    <s v="G/ZOR"/>
    <s v="Location 4"/>
    <s v="Customer 3"/>
    <n v="140"/>
    <n v="383.7"/>
    <n v="53718"/>
  </r>
  <r>
    <d v="2023-09-28T00:00:00"/>
    <d v="2023-09-26T00:00:00"/>
    <s v="No"/>
    <n v="2"/>
    <n v="26859"/>
    <x v="116"/>
    <n v="70"/>
    <d v="2023-09-11T00:00:00"/>
    <s v="G/ZOR"/>
    <s v="Location 4"/>
    <s v="Customer 3"/>
    <n v="70"/>
    <n v="383.7"/>
    <n v="26859"/>
  </r>
  <r>
    <d v="2023-09-28T00:00:00"/>
    <d v="2023-09-26T00:00:00"/>
    <s v="No"/>
    <n v="2"/>
    <n v="53718"/>
    <x v="116"/>
    <n v="140"/>
    <d v="2023-09-11T00:00:00"/>
    <s v="G/ZOR"/>
    <s v="Location 4"/>
    <s v="Customer 3"/>
    <n v="140"/>
    <n v="383.7"/>
    <n v="53718"/>
  </r>
  <r>
    <d v="2023-12-01T00:00:00"/>
    <d v="2023-08-08T00:00:00"/>
    <s v="No"/>
    <n v="115"/>
    <n v="48690.6"/>
    <x v="118"/>
    <n v="70"/>
    <d v="2022-01-07T00:00:00"/>
    <s v="G/ZOR"/>
    <s v="Location 3"/>
    <s v="Customer 3"/>
    <n v="70"/>
    <n v="695.58"/>
    <n v="48690.6"/>
  </r>
  <r>
    <d v="2024-01-02T00:00:00"/>
    <d v="2023-08-01T00:00:00"/>
    <s v="No"/>
    <n v="154"/>
    <n v="48690.6"/>
    <x v="118"/>
    <n v="70"/>
    <d v="2022-01-07T00:00:00"/>
    <s v="G/ZOR"/>
    <s v="Location 3"/>
    <s v="Customer 3"/>
    <n v="70"/>
    <n v="695.58"/>
    <n v="48690.6"/>
  </r>
  <r>
    <d v="2024-01-02T00:00:00"/>
    <d v="2023-08-08T00:00:00"/>
    <s v="No"/>
    <n v="147"/>
    <n v="48690.6"/>
    <x v="118"/>
    <n v="70"/>
    <d v="2022-01-07T00:00:00"/>
    <s v="G/ZOR"/>
    <s v="Location 3"/>
    <s v="Customer 3"/>
    <n v="70"/>
    <n v="695.58"/>
    <n v="48690.6"/>
  </r>
  <r>
    <d v="2024-01-02T00:00:00"/>
    <d v="2023-08-08T00:00:00"/>
    <s v="No"/>
    <n v="147"/>
    <n v="48690.6"/>
    <x v="118"/>
    <n v="70"/>
    <d v="2022-01-07T00:00:00"/>
    <s v="G/ZOR"/>
    <s v="Location 3"/>
    <s v="Customer 3"/>
    <n v="70"/>
    <n v="695.58"/>
    <n v="48690.6"/>
  </r>
  <r>
    <d v="2024-01-02T00:00:00"/>
    <d v="2023-08-01T00:00:00"/>
    <s v="No"/>
    <n v="154"/>
    <n v="48690.6"/>
    <x v="118"/>
    <n v="70"/>
    <d v="2022-01-07T00:00:00"/>
    <s v="G/ZOR"/>
    <s v="Location 3"/>
    <s v="Customer 3"/>
    <n v="70"/>
    <n v="695.58"/>
    <n v="48690.6"/>
  </r>
  <r>
    <d v="2024-01-02T00:00:00"/>
    <d v="2023-08-15T00:00:00"/>
    <s v="No"/>
    <n v="140"/>
    <n v="48690.6"/>
    <x v="118"/>
    <n v="70"/>
    <d v="2022-01-14T00:00:00"/>
    <s v="G/ZOR"/>
    <s v="Location 3"/>
    <s v="Customer 3"/>
    <n v="70"/>
    <n v="695.58"/>
    <n v="48690.6"/>
  </r>
  <r>
    <d v="2024-01-02T00:00:00"/>
    <d v="2023-08-15T00:00:00"/>
    <s v="No"/>
    <n v="140"/>
    <n v="48690.6"/>
    <x v="118"/>
    <n v="70"/>
    <d v="2022-01-14T00:00:00"/>
    <s v="G/ZOR"/>
    <s v="Location 3"/>
    <s v="Customer 3"/>
    <n v="70"/>
    <n v="695.58"/>
    <n v="48690.6"/>
  </r>
  <r>
    <d v="2024-01-02T00:00:00"/>
    <d v="2023-08-15T00:00:00"/>
    <s v="No"/>
    <n v="140"/>
    <n v="48690.6"/>
    <x v="118"/>
    <n v="70"/>
    <d v="2022-01-14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118"/>
    <n v="70"/>
    <d v="2022-01-20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118"/>
    <n v="70"/>
    <d v="2022-01-20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118"/>
    <n v="70"/>
    <d v="2022-01-20T00:00:00"/>
    <s v="G/ZOR"/>
    <s v="Location 3"/>
    <s v="Customer 3"/>
    <n v="70"/>
    <n v="695.58"/>
    <n v="48690.6"/>
  </r>
  <r>
    <d v="2024-01-02T00:00:00"/>
    <d v="2023-08-22T00:00:00"/>
    <s v="No"/>
    <n v="133"/>
    <n v="48690.6"/>
    <x v="118"/>
    <n v="70"/>
    <d v="2022-01-20T00:00:00"/>
    <s v="G/ZOR"/>
    <s v="Location 3"/>
    <s v="Customer 3"/>
    <n v="70"/>
    <n v="695.58"/>
    <n v="48690.6"/>
  </r>
  <r>
    <d v="2024-01-02T00:00:00"/>
    <d v="2023-08-29T00:00:00"/>
    <s v="No"/>
    <n v="126"/>
    <n v="48690.6"/>
    <x v="118"/>
    <n v="70"/>
    <d v="2022-02-03T00:00:00"/>
    <s v="G/ZOR"/>
    <s v="Location 4"/>
    <s v="Customer 3"/>
    <n v="70"/>
    <n v="695.58"/>
    <n v="48690.6"/>
  </r>
  <r>
    <d v="2024-01-08T00:00:00"/>
    <d v="2023-08-29T00:00:00"/>
    <s v="No"/>
    <n v="132"/>
    <n v="48690.6"/>
    <x v="118"/>
    <n v="70"/>
    <d v="2022-02-03T00:00:00"/>
    <s v="G/ZOR"/>
    <s v="Location 4"/>
    <s v="Customer 3"/>
    <n v="70"/>
    <n v="695.58"/>
    <n v="48690.6"/>
  </r>
  <r>
    <d v="2024-01-08T00:00:00"/>
    <d v="2023-08-29T00:00:00"/>
    <s v="No"/>
    <n v="132"/>
    <n v="48690.6"/>
    <x v="118"/>
    <n v="70"/>
    <d v="2022-02-03T00:00:00"/>
    <s v="G/ZOR"/>
    <s v="Location 4"/>
    <s v="Customer 3"/>
    <n v="70"/>
    <n v="695.58"/>
    <n v="48690.6"/>
  </r>
  <r>
    <d v="2024-01-08T00:00:00"/>
    <d v="2023-08-22T00:00:00"/>
    <s v="No"/>
    <n v="139"/>
    <n v="48690.6"/>
    <x v="118"/>
    <n v="70"/>
    <d v="2022-02-03T00:00:00"/>
    <s v="G/ZOR"/>
    <s v="Location 4"/>
    <s v="Customer 3"/>
    <n v="70"/>
    <n v="695.58"/>
    <n v="48690.6"/>
  </r>
  <r>
    <d v="2024-01-08T00:00:00"/>
    <d v="2023-08-29T00:00:00"/>
    <s v="No"/>
    <n v="132"/>
    <n v="48690.6"/>
    <x v="118"/>
    <n v="70"/>
    <d v="2022-02-11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118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118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118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118"/>
    <n v="70"/>
    <d v="2022-02-16T00:00:00"/>
    <s v="G/ZOR"/>
    <s v="Location 3"/>
    <s v="Customer 3"/>
    <n v="70"/>
    <n v="695.58"/>
    <n v="48690.6"/>
  </r>
  <r>
    <d v="2024-01-16T00:00:00"/>
    <d v="2023-09-19T00:00:00"/>
    <s v="No"/>
    <n v="119"/>
    <n v="48690.6"/>
    <x v="118"/>
    <n v="70"/>
    <d v="2022-02-16T00:00:00"/>
    <s v="G/ZOR"/>
    <s v="Location 3"/>
    <s v="Customer 3"/>
    <n v="70"/>
    <n v="695.58"/>
    <n v="48690.6"/>
  </r>
  <r>
    <d v="2024-01-16T00:00:00"/>
    <d v="2023-09-26T00:00:00"/>
    <s v="No"/>
    <n v="112"/>
    <n v="48690.6"/>
    <x v="118"/>
    <n v="70"/>
    <d v="2022-02-25T00:00:00"/>
    <s v="G/ZOR"/>
    <s v="Location 3"/>
    <s v="Customer 3"/>
    <n v="70"/>
    <n v="695.58"/>
    <n v="48690.6"/>
  </r>
  <r>
    <d v="2024-01-16T00:00:00"/>
    <d v="2023-09-26T00:00:00"/>
    <s v="No"/>
    <n v="112"/>
    <n v="48690.6"/>
    <x v="118"/>
    <n v="70"/>
    <d v="2022-02-25T00:00:00"/>
    <s v="G/ZOR"/>
    <s v="Location 3"/>
    <s v="Customer 3"/>
    <n v="70"/>
    <n v="695.58"/>
    <n v="48690.6"/>
  </r>
  <r>
    <d v="2024-01-16T00:00:00"/>
    <d v="2023-10-03T00:00:00"/>
    <s v="No"/>
    <n v="105"/>
    <n v="48690.6"/>
    <x v="118"/>
    <n v="70"/>
    <d v="2022-03-02T00:00:00"/>
    <s v="G/ZOR"/>
    <s v="Location 3"/>
    <s v="Customer 3"/>
    <n v="70"/>
    <n v="695.58"/>
    <n v="48690.6"/>
  </r>
  <r>
    <d v="2024-01-16T00:00:00"/>
    <d v="2023-10-03T00:00:00"/>
    <s v="No"/>
    <n v="105"/>
    <n v="48690.6"/>
    <x v="118"/>
    <n v="70"/>
    <d v="2022-03-02T00:00:00"/>
    <s v="G/ZOR"/>
    <s v="Location 3"/>
    <s v="Customer 3"/>
    <n v="70"/>
    <n v="695.58"/>
    <n v="48690.6"/>
  </r>
  <r>
    <d v="2024-01-16T00:00:00"/>
    <d v="2023-10-03T00:00:00"/>
    <s v="No"/>
    <n v="105"/>
    <n v="48690.6"/>
    <x v="118"/>
    <n v="70"/>
    <d v="2022-03-02T00:00:00"/>
    <s v="G/ZOR"/>
    <s v="Location 3"/>
    <s v="Customer 3"/>
    <n v="70"/>
    <n v="695.58"/>
    <n v="48690.6"/>
  </r>
  <r>
    <d v="2024-01-16T00:00:00"/>
    <d v="2023-10-10T00:00:00"/>
    <s v="No"/>
    <n v="98"/>
    <n v="48690.6"/>
    <x v="118"/>
    <n v="70"/>
    <d v="2022-03-10T00:00:00"/>
    <s v="G/ZOR"/>
    <s v="Location 3"/>
    <s v="Customer 3"/>
    <n v="70"/>
    <n v="695.58"/>
    <n v="48690.6"/>
  </r>
  <r>
    <d v="2024-01-19T00:00:00"/>
    <d v="2023-10-10T00:00:00"/>
    <s v="No"/>
    <n v="101"/>
    <n v="48690.6"/>
    <x v="118"/>
    <n v="70"/>
    <d v="2022-03-10T00:00:00"/>
    <s v="G/ZOR"/>
    <s v="Location 3"/>
    <s v="Customer 3"/>
    <n v="70"/>
    <n v="695.58"/>
    <n v="48690.6"/>
  </r>
  <r>
    <d v="2024-01-19T00:00:00"/>
    <d v="2023-10-10T00:00:00"/>
    <s v="No"/>
    <n v="101"/>
    <n v="48690.6"/>
    <x v="118"/>
    <n v="70"/>
    <d v="2022-03-10T00:00:00"/>
    <s v="G/ZOR"/>
    <s v="Location 3"/>
    <s v="Customer 3"/>
    <n v="70"/>
    <n v="695.58"/>
    <n v="48690.6"/>
  </r>
  <r>
    <d v="2024-01-19T00:00:00"/>
    <d v="2023-10-10T00:00:00"/>
    <s v="No"/>
    <n v="101"/>
    <n v="48690.6"/>
    <x v="118"/>
    <n v="70"/>
    <d v="2022-03-10T00:00:00"/>
    <s v="G/ZOR"/>
    <s v="Location 3"/>
    <s v="Customer 3"/>
    <n v="70"/>
    <n v="695.58"/>
    <n v="48690.6"/>
  </r>
  <r>
    <d v="2024-01-19T00:00:00"/>
    <d v="2023-10-17T00:00:00"/>
    <s v="No"/>
    <n v="94"/>
    <n v="48690.6"/>
    <x v="118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118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118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118"/>
    <n v="70"/>
    <d v="2022-03-17T00:00:00"/>
    <s v="G/ZOR"/>
    <s v="Location 3"/>
    <s v="Customer 3"/>
    <n v="70"/>
    <n v="695.58"/>
    <n v="48690.6"/>
  </r>
  <r>
    <d v="2024-01-19T00:00:00"/>
    <d v="2023-10-17T00:00:00"/>
    <s v="No"/>
    <n v="94"/>
    <n v="48690.6"/>
    <x v="118"/>
    <n v="70"/>
    <d v="2022-03-17T00:00:00"/>
    <s v="G/ZOR"/>
    <s v="Location 3"/>
    <s v="Customer 3"/>
    <n v="70"/>
    <n v="695.58"/>
    <n v="48690.6"/>
  </r>
  <r>
    <d v="2024-01-19T00:00:00"/>
    <d v="2023-10-24T00:00:00"/>
    <s v="No"/>
    <n v="87"/>
    <n v="48690.6"/>
    <x v="118"/>
    <n v="70"/>
    <d v="2022-03-25T00:00:00"/>
    <s v="G/ZOR"/>
    <s v="Location 4"/>
    <s v="Customer 3"/>
    <n v="70"/>
    <n v="695.58"/>
    <n v="48690.6"/>
  </r>
  <r>
    <d v="2024-01-19T00:00:00"/>
    <d v="2023-10-17T00:00:00"/>
    <s v="No"/>
    <n v="94"/>
    <n v="48690.6"/>
    <x v="118"/>
    <n v="70"/>
    <d v="2022-03-25T00:00:00"/>
    <s v="G/ZOR"/>
    <s v="Location 4"/>
    <s v="Customer 3"/>
    <n v="70"/>
    <n v="695.58"/>
    <n v="48690.6"/>
  </r>
  <r>
    <d v="2024-01-19T00:00:00"/>
    <d v="2023-10-24T00:00:00"/>
    <s v="No"/>
    <n v="87"/>
    <n v="48690.6"/>
    <x v="118"/>
    <n v="70"/>
    <d v="2022-03-25T00:00:00"/>
    <s v="G/ZOR"/>
    <s v="Location 4"/>
    <s v="Customer 3"/>
    <n v="70"/>
    <n v="695.58"/>
    <n v="48690.6"/>
  </r>
  <r>
    <d v="2024-01-19T00:00:00"/>
    <d v="2023-10-24T00:00:00"/>
    <s v="No"/>
    <n v="87"/>
    <n v="48690.6"/>
    <x v="118"/>
    <n v="70"/>
    <d v="2022-03-25T00:00:00"/>
    <s v="G/ZOR"/>
    <s v="Location 4"/>
    <s v="Customer 3"/>
    <n v="70"/>
    <n v="695.58"/>
    <n v="48690.6"/>
  </r>
  <r>
    <d v="2024-01-19T00:00:00"/>
    <d v="2023-10-24T00:00:00"/>
    <s v="No"/>
    <n v="87"/>
    <n v="48690.6"/>
    <x v="118"/>
    <n v="70"/>
    <d v="2022-03-25T00:00:00"/>
    <s v="G/ZOR"/>
    <s v="Location 4"/>
    <s v="Customer 3"/>
    <n v="70"/>
    <n v="695.58"/>
    <n v="48690.6"/>
  </r>
  <r>
    <d v="2024-01-19T00:00:00"/>
    <d v="2023-10-31T00:00:00"/>
    <s v="No"/>
    <n v="80"/>
    <n v="48690.6"/>
    <x v="118"/>
    <n v="70"/>
    <d v="2022-03-31T00:00:00"/>
    <s v="G/ZOR"/>
    <s v="Location 4"/>
    <s v="Customer 3"/>
    <n v="70"/>
    <n v="695.58"/>
    <n v="48690.6"/>
  </r>
  <r>
    <d v="2024-01-19T00:00:00"/>
    <d v="2023-10-31T00:00:00"/>
    <s v="No"/>
    <n v="80"/>
    <n v="48690.6"/>
    <x v="118"/>
    <n v="70"/>
    <d v="2022-03-31T00:00:00"/>
    <s v="G/ZOR"/>
    <s v="Location 4"/>
    <s v="Customer 3"/>
    <n v="70"/>
    <n v="695.58"/>
    <n v="48690.6"/>
  </r>
  <r>
    <d v="2024-01-19T00:00:00"/>
    <d v="2023-10-31T00:00:00"/>
    <s v="No"/>
    <n v="80"/>
    <n v="48690.6"/>
    <x v="118"/>
    <n v="70"/>
    <d v="2022-03-31T00:00:00"/>
    <s v="G/ZOR"/>
    <s v="Location 4"/>
    <s v="Customer 3"/>
    <n v="70"/>
    <n v="695.58"/>
    <n v="48690.6"/>
  </r>
  <r>
    <d v="2024-01-19T00:00:00"/>
    <d v="2023-11-07T00:00:00"/>
    <s v="No"/>
    <n v="73"/>
    <n v="48690.6"/>
    <x v="118"/>
    <n v="70"/>
    <d v="2022-04-08T00:00:00"/>
    <s v="G/ZOR"/>
    <s v="Location 4"/>
    <s v="Customer 3"/>
    <n v="70"/>
    <n v="695.58"/>
    <n v="48690.6"/>
  </r>
  <r>
    <d v="2024-01-19T00:00:00"/>
    <d v="2023-11-07T00:00:00"/>
    <s v="No"/>
    <n v="73"/>
    <n v="48690.6"/>
    <x v="118"/>
    <n v="70"/>
    <d v="2022-04-08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118"/>
    <n v="70"/>
    <d v="2022-04-08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118"/>
    <n v="70"/>
    <d v="2022-04-08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118"/>
    <n v="70"/>
    <d v="2022-04-14T00:00:00"/>
    <s v="G/ZOR"/>
    <s v="Location 4"/>
    <s v="Customer 3"/>
    <n v="70"/>
    <n v="695.58"/>
    <n v="48690.6"/>
  </r>
  <r>
    <d v="2024-02-23T00:00:00"/>
    <d v="2023-10-31T00:00:00"/>
    <s v="No"/>
    <n v="115"/>
    <n v="48690.6"/>
    <x v="118"/>
    <n v="70"/>
    <d v="2022-04-14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118"/>
    <n v="70"/>
    <d v="2022-04-14T00:00:00"/>
    <s v="G/ZOR"/>
    <s v="Location 4"/>
    <s v="Customer 3"/>
    <n v="70"/>
    <n v="695.58"/>
    <n v="48690.6"/>
  </r>
  <r>
    <d v="2024-02-23T00:00:00"/>
    <d v="2023-10-31T00:00:00"/>
    <s v="No"/>
    <n v="115"/>
    <n v="48690.6"/>
    <x v="118"/>
    <n v="70"/>
    <d v="2022-04-14T00:00:00"/>
    <s v="G/ZOR"/>
    <s v="Location 4"/>
    <s v="Customer 3"/>
    <n v="70"/>
    <n v="695.58"/>
    <n v="48690.6"/>
  </r>
  <r>
    <d v="2024-02-23T00:00:00"/>
    <d v="2023-11-14T00:00:00"/>
    <s v="No"/>
    <n v="101"/>
    <n v="48690.6"/>
    <x v="118"/>
    <n v="70"/>
    <d v="2022-04-14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118"/>
    <n v="70"/>
    <d v="2022-04-14T00:00:00"/>
    <s v="G/ZOR"/>
    <s v="Location 4"/>
    <s v="Customer 3"/>
    <n v="70"/>
    <n v="695.58"/>
    <n v="48690.6"/>
  </r>
  <r>
    <d v="2024-02-23T00:00:00"/>
    <d v="2023-10-31T00:00:00"/>
    <s v="No"/>
    <n v="115"/>
    <n v="48690.6"/>
    <x v="118"/>
    <n v="70"/>
    <d v="2022-04-14T00:00:00"/>
    <s v="G/ZOR"/>
    <s v="Location 4"/>
    <s v="Customer 3"/>
    <n v="70"/>
    <n v="695.58"/>
    <n v="48690.6"/>
  </r>
  <r>
    <d v="2024-02-23T00:00:00"/>
    <d v="2023-11-07T00:00:00"/>
    <s v="No"/>
    <n v="108"/>
    <n v="48690.6"/>
    <x v="118"/>
    <n v="70"/>
    <d v="2022-04-14T00:00:00"/>
    <s v="G/ZOR"/>
    <s v="Location 4"/>
    <s v="Customer 3"/>
    <n v="70"/>
    <n v="695.58"/>
    <n v="48690.6"/>
  </r>
  <r>
    <d v="2024-04-05T00:00:00"/>
    <d v="2023-11-14T00:00:00"/>
    <s v="No"/>
    <n v="143"/>
    <n v="48690.6"/>
    <x v="118"/>
    <n v="70"/>
    <d v="2022-04-14T00:00:00"/>
    <s v="G/ZOR"/>
    <s v="Location 4"/>
    <s v="Customer 3"/>
    <n v="70"/>
    <n v="695.58"/>
    <n v="48690.6"/>
  </r>
  <r>
    <d v="2024-04-05T00:00:00"/>
    <d v="2023-11-14T00:00:00"/>
    <s v="No"/>
    <n v="143"/>
    <n v="48690.6"/>
    <x v="118"/>
    <n v="70"/>
    <d v="2022-04-14T00:00:00"/>
    <s v="G/ZOR"/>
    <s v="Location 4"/>
    <s v="Customer 3"/>
    <n v="70"/>
    <n v="695.58"/>
    <n v="48690.6"/>
  </r>
  <r>
    <d v="2024-04-05T00:00:00"/>
    <d v="2023-11-14T00:00:00"/>
    <s v="No"/>
    <n v="143"/>
    <n v="48690.6"/>
    <x v="118"/>
    <n v="70"/>
    <d v="2022-04-14T00:00:00"/>
    <s v="G/ZOR"/>
    <s v="Location 4"/>
    <s v="Customer 3"/>
    <n v="70"/>
    <n v="695.58"/>
    <n v="48690.6"/>
  </r>
  <r>
    <d v="2024-04-05T00:00:00"/>
    <d v="2023-11-28T00:00:00"/>
    <s v="No"/>
    <n v="129"/>
    <n v="48690.6"/>
    <x v="118"/>
    <n v="70"/>
    <d v="2022-04-29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118"/>
    <n v="70"/>
    <d v="2022-05-26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118"/>
    <n v="70"/>
    <d v="2022-05-26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118"/>
    <n v="70"/>
    <d v="2022-05-26T00:00:00"/>
    <s v="G/ZOR"/>
    <s v="Location 4"/>
    <s v="Customer 3"/>
    <n v="70"/>
    <n v="695.58"/>
    <n v="48690.6"/>
  </r>
  <r>
    <d v="2024-04-05T00:00:00"/>
    <d v="2023-12-26T00:00:00"/>
    <s v="No"/>
    <n v="101"/>
    <n v="48690.6"/>
    <x v="118"/>
    <n v="70"/>
    <d v="2022-05-26T00:00:00"/>
    <s v="G/ZOR"/>
    <s v="Location 4"/>
    <s v="Customer 3"/>
    <n v="70"/>
    <n v="695.58"/>
    <n v="48690.6"/>
  </r>
  <r>
    <d v="2024-04-05T00:00:00"/>
    <d v="2024-01-02T00:00:00"/>
    <s v="No"/>
    <n v="94"/>
    <n v="48690.6"/>
    <x v="118"/>
    <n v="70"/>
    <d v="2022-06-01T00:00:00"/>
    <s v="G/ZOR"/>
    <s v="Location 4"/>
    <s v="Customer 3"/>
    <n v="70"/>
    <n v="695.58"/>
    <n v="48690.6"/>
  </r>
  <r>
    <d v="2024-04-05T00:00:00"/>
    <d v="2024-01-02T00:00:00"/>
    <s v="No"/>
    <n v="94"/>
    <n v="48690.6"/>
    <x v="118"/>
    <n v="70"/>
    <d v="2022-06-01T00:00:00"/>
    <s v="G/ZOR"/>
    <s v="Location 4"/>
    <s v="Customer 3"/>
    <n v="70"/>
    <n v="695.58"/>
    <n v="48690.6"/>
  </r>
  <r>
    <d v="2024-04-05T00:00:00"/>
    <d v="2024-01-02T00:00:00"/>
    <s v="No"/>
    <n v="94"/>
    <n v="48690.6"/>
    <x v="118"/>
    <n v="70"/>
    <d v="2022-06-01T00:00:00"/>
    <s v="G/ZOR"/>
    <s v="Location 4"/>
    <s v="Customer 3"/>
    <n v="70"/>
    <n v="695.58"/>
    <n v="48690.6"/>
  </r>
  <r>
    <d v="2024-04-05T00:00:00"/>
    <d v="2024-01-02T00:00:00"/>
    <s v="No"/>
    <n v="94"/>
    <n v="48690.6"/>
    <x v="118"/>
    <n v="70"/>
    <d v="2022-06-01T00:00:00"/>
    <s v="G/ZOR"/>
    <s v="Location 4"/>
    <s v="Customer 3"/>
    <n v="70"/>
    <n v="695.58"/>
    <n v="48690.6"/>
  </r>
  <r>
    <d v="2024-04-05T00:00:00"/>
    <d v="2024-01-09T00:00:00"/>
    <s v="No"/>
    <n v="87"/>
    <n v="48690.6"/>
    <x v="118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118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118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118"/>
    <n v="70"/>
    <d v="2022-06-08T00:00:00"/>
    <s v="G/ZOR"/>
    <s v="Location 3"/>
    <s v="Customer 3"/>
    <n v="70"/>
    <n v="695.58"/>
    <n v="48690.6"/>
  </r>
  <r>
    <d v="2024-04-05T00:00:00"/>
    <d v="2024-01-09T00:00:00"/>
    <s v="No"/>
    <n v="87"/>
    <n v="48690.6"/>
    <x v="118"/>
    <n v="70"/>
    <d v="2022-06-08T00:00:00"/>
    <s v="G/ZOR"/>
    <s v="Location 3"/>
    <s v="Customer 3"/>
    <n v="70"/>
    <n v="695.58"/>
    <n v="48690.6"/>
  </r>
  <r>
    <d v="2024-04-05T00:00:00"/>
    <d v="2024-01-23T00:00:00"/>
    <s v="No"/>
    <n v="73"/>
    <n v="48690.6"/>
    <x v="118"/>
    <n v="70"/>
    <d v="2022-06-23T00:00:00"/>
    <s v="G/ZOR"/>
    <s v="Location 3"/>
    <s v="Customer 3"/>
    <n v="70"/>
    <n v="695.58"/>
    <n v="48690.6"/>
  </r>
  <r>
    <d v="2024-04-05T00:00:00"/>
    <d v="2024-01-30T00:00:00"/>
    <s v="No"/>
    <n v="66"/>
    <n v="48690.6"/>
    <x v="118"/>
    <n v="70"/>
    <d v="2022-06-29T00:00:00"/>
    <s v="G/ZOR"/>
    <s v="Location 3"/>
    <s v="Customer 3"/>
    <n v="70"/>
    <n v="695.58"/>
    <n v="48690.6"/>
  </r>
  <r>
    <d v="2024-04-05T00:00:00"/>
    <d v="2024-01-30T00:00:00"/>
    <s v="No"/>
    <n v="66"/>
    <n v="48690.6"/>
    <x v="118"/>
    <n v="70"/>
    <d v="2022-06-29T00:00:00"/>
    <s v="G/ZOR"/>
    <s v="Location 3"/>
    <s v="Customer 3"/>
    <n v="70"/>
    <n v="695.58"/>
    <n v="48690.6"/>
  </r>
  <r>
    <d v="2024-04-05T00:00:00"/>
    <d v="2024-01-30T00:00:00"/>
    <s v="No"/>
    <n v="66"/>
    <n v="48690.6"/>
    <x v="118"/>
    <n v="70"/>
    <d v="2022-06-29T00:00:00"/>
    <s v="G/ZOR"/>
    <s v="Location 3"/>
    <s v="Customer 3"/>
    <n v="70"/>
    <n v="695.58"/>
    <n v="48690.6"/>
  </r>
  <r>
    <d v="2024-04-05T00:00:00"/>
    <d v="2024-01-30T00:00:00"/>
    <s v="No"/>
    <n v="66"/>
    <n v="48690.6"/>
    <x v="118"/>
    <n v="70"/>
    <d v="2022-06-29T00:00:00"/>
    <s v="G/ZOR"/>
    <s v="Location 3"/>
    <s v="Customer 3"/>
    <n v="70"/>
    <n v="695.58"/>
    <n v="48690.6"/>
  </r>
  <r>
    <d v="2024-04-05T00:00:00"/>
    <d v="2024-01-23T00:00:00"/>
    <s v="No"/>
    <n v="73"/>
    <n v="48690.6"/>
    <x v="118"/>
    <n v="70"/>
    <d v="2022-06-29T00:00:00"/>
    <s v="G/ZOR"/>
    <s v="Location 3"/>
    <s v="Customer 3"/>
    <n v="70"/>
    <n v="695.58"/>
    <n v="48690.6"/>
  </r>
  <r>
    <d v="2023-10-03T00:00:00"/>
    <d v="2023-10-03T00:00:00"/>
    <s v="Yes"/>
    <n v="0"/>
    <n v="3660"/>
    <x v="121"/>
    <n v="3000"/>
    <d v="2022-09-22T00:00:00"/>
    <s v="G/ZOR"/>
    <s v="Location 4"/>
    <s v="Customer 3"/>
    <n v="3000"/>
    <n v="1.22"/>
    <n v="3660"/>
  </r>
  <r>
    <d v="2023-10-24T00:00:00"/>
    <d v="2023-10-24T00:00:00"/>
    <s v="Yes"/>
    <n v="0"/>
    <n v="1965"/>
    <x v="122"/>
    <n v="1500"/>
    <d v="2022-10-13T00:00:00"/>
    <s v="G/ZOR"/>
    <s v="Location 4"/>
    <s v="Customer 3"/>
    <n v="4500"/>
    <n v="1.31"/>
    <n v="5895"/>
  </r>
  <r>
    <d v="2023-11-27T00:00:00"/>
    <d v="2023-10-24T00:00:00"/>
    <s v="No"/>
    <n v="34"/>
    <n v="3930"/>
    <x v="122"/>
    <n v="3000"/>
    <d v="2022-10-13T00:00:00"/>
    <s v="G/ZOR"/>
    <s v="Location 4"/>
    <s v="Customer 3"/>
    <n v="4500"/>
    <n v="1.31"/>
    <n v="5895"/>
  </r>
  <r>
    <d v="2023-09-25T00:00:00"/>
    <d v="2023-09-25T00:00:00"/>
    <s v="Yes"/>
    <n v="0"/>
    <n v="22780.2"/>
    <x v="125"/>
    <n v="30"/>
    <d v="2022-08-09T00:00:00"/>
    <s v="G/ZOR"/>
    <s v="Location 4"/>
    <s v="Customer 3"/>
    <n v="30"/>
    <n v="759.34"/>
    <n v="22780.2"/>
  </r>
  <r>
    <d v="2023-09-18T00:00:00"/>
    <d v="2023-09-18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18T00:00:00"/>
    <d v="2023-09-18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18T00:00:00"/>
    <d v="2023-09-18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25T00:00:00"/>
    <d v="2023-09-25T00:00:00"/>
    <s v="Yes"/>
    <n v="0"/>
    <n v="45560.4"/>
    <x v="125"/>
    <n v="60"/>
    <d v="2022-08-10T00:00:00"/>
    <s v="G/ZOR"/>
    <s v="Location 4"/>
    <s v="Customer 3"/>
    <n v="60"/>
    <n v="759.34"/>
    <n v="45560.4"/>
  </r>
  <r>
    <d v="2023-09-28T00:00:00"/>
    <d v="2023-09-28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09-28T00:00:00"/>
    <d v="2023-09-28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0-05T00:00:00"/>
    <d v="2023-10-05T00:00:00"/>
    <s v="Yes"/>
    <n v="0"/>
    <n v="45560.4"/>
    <x v="125"/>
    <n v="60"/>
    <d v="2022-08-17T00:00:00"/>
    <s v="G/ZOR"/>
    <s v="Location 3"/>
    <s v="Customer 3"/>
    <n v="60"/>
    <n v="759.34"/>
    <n v="45560.4"/>
  </r>
  <r>
    <d v="2023-11-06T00:00:00"/>
    <d v="2023-11-06T00:00:00"/>
    <s v="Yes"/>
    <n v="0"/>
    <n v="22780.2"/>
    <x v="125"/>
    <n v="30"/>
    <d v="2022-09-22T00:00:00"/>
    <s v="G/ZOR"/>
    <s v="Location 3"/>
    <s v="Customer 3"/>
    <n v="30"/>
    <n v="759.34"/>
    <n v="22780.2"/>
  </r>
  <r>
    <d v="2023-11-06T00:00:00"/>
    <d v="2023-11-06T00:00:00"/>
    <s v="Yes"/>
    <n v="0"/>
    <n v="45560.4"/>
    <x v="125"/>
    <n v="60"/>
    <d v="2022-09-23T00:00:00"/>
    <s v="G/ZOR"/>
    <s v="Location 3"/>
    <s v="Customer 3"/>
    <n v="60"/>
    <n v="759.34"/>
    <n v="45560.4"/>
  </r>
  <r>
    <d v="2023-11-06T00:00:00"/>
    <d v="2023-11-06T00:00:00"/>
    <s v="Yes"/>
    <n v="0"/>
    <n v="45560.4"/>
    <x v="125"/>
    <n v="60"/>
    <d v="2022-09-23T00:00:00"/>
    <s v="G/ZOR"/>
    <s v="Location 3"/>
    <s v="Customer 3"/>
    <n v="60"/>
    <n v="759.34"/>
    <n v="45560.4"/>
  </r>
  <r>
    <d v="2023-11-06T00:00:00"/>
    <d v="2023-11-06T00:00:00"/>
    <s v="Yes"/>
    <n v="0"/>
    <n v="45560.4"/>
    <x v="125"/>
    <n v="60"/>
    <d v="2022-09-23T00:00:00"/>
    <s v="G/ZOR"/>
    <s v="Location 3"/>
    <s v="Customer 3"/>
    <n v="60"/>
    <n v="759.34"/>
    <n v="45560.4"/>
  </r>
  <r>
    <d v="2023-11-13T00:00:00"/>
    <d v="2023-11-13T00:00:00"/>
    <s v="Yes"/>
    <n v="0"/>
    <n v="45560.4"/>
    <x v="125"/>
    <n v="60"/>
    <d v="2022-09-28T00:00:00"/>
    <s v="G/ZOR"/>
    <s v="Location 3"/>
    <s v="Customer 3"/>
    <n v="60"/>
    <n v="759.34"/>
    <n v="45560.4"/>
  </r>
  <r>
    <d v="2023-11-13T00:00:00"/>
    <d v="2023-11-13T00:00:00"/>
    <s v="Yes"/>
    <n v="0"/>
    <n v="45560.4"/>
    <x v="125"/>
    <n v="60"/>
    <d v="2022-09-28T00:00:00"/>
    <s v="G/ZOR"/>
    <s v="Location 3"/>
    <s v="Customer 3"/>
    <n v="60"/>
    <n v="759.34"/>
    <n v="45560.4"/>
  </r>
  <r>
    <d v="2023-11-13T00:00:00"/>
    <d v="2023-11-13T00:00:00"/>
    <s v="Yes"/>
    <n v="0"/>
    <n v="45560.4"/>
    <x v="125"/>
    <n v="60"/>
    <d v="2022-09-28T00:00:00"/>
    <s v="G/ZOR"/>
    <s v="Location 3"/>
    <s v="Customer 3"/>
    <n v="60"/>
    <n v="759.34"/>
    <n v="45560.4"/>
  </r>
  <r>
    <d v="2023-11-13T00:00:00"/>
    <d v="2023-11-13T00:00:00"/>
    <s v="Yes"/>
    <n v="0"/>
    <n v="45560.4"/>
    <x v="125"/>
    <n v="60"/>
    <d v="2022-09-28T00:00:00"/>
    <s v="G/ZOR"/>
    <s v="Location 3"/>
    <s v="Customer 3"/>
    <n v="60"/>
    <n v="759.34"/>
    <n v="45560.4"/>
  </r>
  <r>
    <d v="2023-11-20T00:00:00"/>
    <d v="2023-11-20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0T00:00:00"/>
    <d v="2023-11-20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0T00:00:00"/>
    <d v="2023-11-20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3-11-27T00:00:00"/>
    <d v="2023-11-27T00:00:00"/>
    <s v="Yes"/>
    <n v="0"/>
    <n v="45560.4"/>
    <x v="125"/>
    <n v="60"/>
    <d v="2022-10-13T00:00:00"/>
    <s v="G/ZOR"/>
    <s v="Location 3"/>
    <s v="Customer 3"/>
    <n v="60"/>
    <n v="759.34"/>
    <n v="45560.4"/>
  </r>
  <r>
    <d v="2024-02-19T00:00:00"/>
    <d v="2024-02-19T00:00:00"/>
    <s v="Yes"/>
    <n v="0"/>
    <n v="45560.4"/>
    <x v="125"/>
    <n v="60"/>
    <d v="2023-02-03T00:00:00"/>
    <s v="G/ZOR"/>
    <s v="Location 4"/>
    <s v="Customer 3"/>
    <n v="60"/>
    <n v="759.34"/>
    <n v="45560.4"/>
  </r>
  <r>
    <d v="2024-02-19T00:00:00"/>
    <d v="2024-02-19T00:00:00"/>
    <s v="Yes"/>
    <n v="0"/>
    <n v="45560.4"/>
    <x v="125"/>
    <n v="60"/>
    <d v="2023-02-03T00:00:00"/>
    <s v="G/ZOR"/>
    <s v="Location 4"/>
    <s v="Customer 3"/>
    <n v="60"/>
    <n v="759.34"/>
    <n v="45560.4"/>
  </r>
  <r>
    <d v="2024-04-18T00:00:00"/>
    <d v="2024-04-18T00:00:00"/>
    <s v="Yes"/>
    <n v="0"/>
    <n v="45560.4"/>
    <x v="125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125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125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125"/>
    <n v="60"/>
    <d v="2023-03-31T00:00:00"/>
    <s v="G/ZOR"/>
    <s v="Location 4"/>
    <s v="Customer 3"/>
    <n v="60"/>
    <n v="759.34"/>
    <n v="45560.4"/>
  </r>
  <r>
    <d v="2024-04-18T00:00:00"/>
    <d v="2024-04-18T00:00:00"/>
    <s v="Yes"/>
    <n v="0"/>
    <n v="45560.4"/>
    <x v="125"/>
    <n v="60"/>
    <d v="2023-03-31T00:00:00"/>
    <s v="G/ZOR"/>
    <s v="Location 4"/>
    <s v="Customer 3"/>
    <n v="60"/>
    <n v="759.34"/>
    <n v="45560.4"/>
  </r>
  <r>
    <d v="2024-04-29T00:00:00"/>
    <d v="2024-04-29T00:00:00"/>
    <s v="Yes"/>
    <n v="0"/>
    <n v="45560.4"/>
    <x v="125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125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125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125"/>
    <n v="60"/>
    <d v="2023-04-12T00:00:00"/>
    <s v="G/ZOR"/>
    <s v="Location 4"/>
    <s v="Customer 3"/>
    <n v="60"/>
    <n v="759.34"/>
    <n v="45560.4"/>
  </r>
  <r>
    <d v="2024-04-29T00:00:00"/>
    <d v="2024-04-29T00:00:00"/>
    <s v="Yes"/>
    <n v="0"/>
    <n v="45560.4"/>
    <x v="125"/>
    <n v="60"/>
    <d v="2023-04-12T00:00:00"/>
    <s v="G/ZOR"/>
    <s v="Location 4"/>
    <s v="Customer 3"/>
    <n v="60"/>
    <n v="759.34"/>
    <n v="45560.4"/>
  </r>
  <r>
    <d v="2024-05-02T00:00:00"/>
    <d v="2024-05-02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2T00:00:00"/>
    <d v="2024-05-02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2T00:00:00"/>
    <d v="2024-05-02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2T00:00:00"/>
    <d v="2024-05-02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09T00:00:00"/>
    <d v="2024-05-09T00:00:00"/>
    <s v="Yes"/>
    <n v="0"/>
    <n v="22780.2"/>
    <x v="125"/>
    <n v="30"/>
    <d v="2023-04-18T00:00:00"/>
    <s v="G/ZOR"/>
    <s v="Location 4"/>
    <s v="Customer 3"/>
    <n v="30"/>
    <n v="759.34"/>
    <n v="22780.2"/>
  </r>
  <r>
    <d v="2024-05-09T00:00:00"/>
    <d v="2024-05-09T00:00:00"/>
    <s v="Yes"/>
    <n v="0"/>
    <n v="45560.4"/>
    <x v="125"/>
    <n v="60"/>
    <d v="2023-04-18T00:00:00"/>
    <s v="G/ZOR"/>
    <s v="Location 4"/>
    <s v="Customer 3"/>
    <n v="60"/>
    <n v="759.34"/>
    <n v="45560.4"/>
  </r>
  <r>
    <d v="2024-05-13T00:00:00"/>
    <d v="2024-05-13T00:00:00"/>
    <s v="Yes"/>
    <n v="0"/>
    <n v="45560.4"/>
    <x v="125"/>
    <n v="60"/>
    <d v="2023-04-26T00:00:00"/>
    <s v="G/ZOR"/>
    <s v="Location 4"/>
    <s v="Customer 3"/>
    <n v="60"/>
    <n v="759.34"/>
    <n v="45560.4"/>
  </r>
  <r>
    <d v="2024-05-13T00:00:00"/>
    <d v="2024-05-13T00:00:00"/>
    <s v="Yes"/>
    <n v="0"/>
    <n v="45560.4"/>
    <x v="125"/>
    <n v="60"/>
    <d v="2023-04-26T00:00:00"/>
    <s v="G/ZOR"/>
    <s v="Location 4"/>
    <s v="Customer 3"/>
    <n v="60"/>
    <n v="759.34"/>
    <n v="45560.4"/>
  </r>
  <r>
    <d v="2024-05-13T00:00:00"/>
    <d v="2024-05-13T00:00:00"/>
    <s v="Yes"/>
    <n v="0"/>
    <n v="45560.4"/>
    <x v="125"/>
    <n v="60"/>
    <d v="2023-04-26T00:00:00"/>
    <s v="G/ZOR"/>
    <s v="Location 4"/>
    <s v="Customer 3"/>
    <n v="60"/>
    <n v="759.34"/>
    <n v="45560.4"/>
  </r>
  <r>
    <d v="2024-05-13T00:00:00"/>
    <d v="2024-05-13T00:00:00"/>
    <s v="Yes"/>
    <n v="0"/>
    <n v="45560.4"/>
    <x v="125"/>
    <n v="60"/>
    <d v="2023-04-26T00:00:00"/>
    <s v="G/ZOR"/>
    <s v="Location 4"/>
    <s v="Customer 3"/>
    <n v="60"/>
    <n v="759.34"/>
    <n v="45560.4"/>
  </r>
  <r>
    <d v="2024-05-20T00:00:00"/>
    <d v="2024-05-20T00:00:00"/>
    <s v="Yes"/>
    <n v="0"/>
    <n v="22780.2"/>
    <x v="125"/>
    <n v="30"/>
    <d v="2023-05-02T00:00:00"/>
    <s v="G/ZOR"/>
    <s v="Location 4"/>
    <s v="Customer 3"/>
    <n v="30"/>
    <n v="759.34"/>
    <n v="22780.2"/>
  </r>
  <r>
    <d v="2024-05-20T00:00:00"/>
    <d v="2024-05-20T00:00:00"/>
    <s v="Yes"/>
    <n v="0"/>
    <n v="45560.4"/>
    <x v="125"/>
    <n v="60"/>
    <d v="2023-05-03T00:00:00"/>
    <s v="G/ZOR"/>
    <s v="Location 4"/>
    <s v="Customer 3"/>
    <n v="60"/>
    <n v="759.34"/>
    <n v="45560.4"/>
  </r>
  <r>
    <d v="2024-05-20T00:00:00"/>
    <d v="2024-05-20T00:00:00"/>
    <s v="Yes"/>
    <n v="0"/>
    <n v="45560.4"/>
    <x v="125"/>
    <n v="60"/>
    <d v="2023-05-03T00:00:00"/>
    <s v="G/ZOR"/>
    <s v="Location 4"/>
    <s v="Customer 3"/>
    <n v="60"/>
    <n v="759.34"/>
    <n v="45560.4"/>
  </r>
  <r>
    <d v="2024-05-20T00:00:00"/>
    <d v="2024-05-20T00:00:00"/>
    <s v="Yes"/>
    <n v="0"/>
    <n v="45560.4"/>
    <x v="125"/>
    <n v="60"/>
    <d v="2023-05-03T00:00:00"/>
    <s v="G/ZOR"/>
    <s v="Location 4"/>
    <s v="Customer 3"/>
    <n v="60"/>
    <n v="759.34"/>
    <n v="45560.4"/>
  </r>
  <r>
    <d v="2023-12-05T00:00:00"/>
    <d v="2023-04-18T00:00:00"/>
    <s v="No"/>
    <n v="231"/>
    <n v="27878.080000000002"/>
    <x v="183"/>
    <n v="32"/>
    <d v="2022-04-22T00:00:00"/>
    <s v="G/ZOR"/>
    <s v="Location 4"/>
    <s v="Customer 3"/>
    <n v="32"/>
    <n v="871.19"/>
    <n v="27878.080000000002"/>
  </r>
  <r>
    <d v="2023-12-05T00:00:00"/>
    <d v="2023-04-18T00:00:00"/>
    <s v="No"/>
    <n v="231"/>
    <n v="55756.160000000003"/>
    <x v="183"/>
    <n v="64"/>
    <d v="2022-04-22T00:00:00"/>
    <s v="G/ZOR"/>
    <s v="Location 4"/>
    <s v="Customer 3"/>
    <n v="64"/>
    <n v="871.19"/>
    <n v="55756.160000000003"/>
  </r>
  <r>
    <d v="2023-12-05T00:00:00"/>
    <d v="2023-04-25T00:00:00"/>
    <s v="No"/>
    <n v="224"/>
    <n v="27878.080000000002"/>
    <x v="183"/>
    <n v="32"/>
    <d v="2022-04-29T00:00:00"/>
    <s v="G/ZOR"/>
    <s v="Location 4"/>
    <s v="Customer 3"/>
    <n v="32"/>
    <n v="871.19"/>
    <n v="27878.080000000002"/>
  </r>
  <r>
    <d v="2023-12-05T00:00:00"/>
    <d v="2023-04-25T00:00:00"/>
    <s v="No"/>
    <n v="224"/>
    <n v="27878.080000000002"/>
    <x v="183"/>
    <n v="32"/>
    <d v="2022-04-29T00:00:00"/>
    <s v="G/ZOR"/>
    <s v="Location 4"/>
    <s v="Customer 3"/>
    <n v="32"/>
    <n v="871.19"/>
    <n v="27878.080000000002"/>
  </r>
  <r>
    <d v="2023-12-05T00:00:00"/>
    <d v="2023-04-25T00:00:00"/>
    <s v="No"/>
    <n v="224"/>
    <n v="55756.160000000003"/>
    <x v="183"/>
    <n v="64"/>
    <d v="2022-04-29T00:00:00"/>
    <s v="G/ZOR"/>
    <s v="Location 4"/>
    <s v="Customer 3"/>
    <n v="64"/>
    <n v="871.19"/>
    <n v="55756.160000000003"/>
  </r>
  <r>
    <d v="2023-12-05T00:00:00"/>
    <d v="2023-11-28T00:00:00"/>
    <s v="No"/>
    <n v="7"/>
    <n v="334536.96000000002"/>
    <x v="183"/>
    <n v="384"/>
    <d v="2022-12-08T00:00:00"/>
    <s v="G/ZOR"/>
    <s v="Location 3"/>
    <s v="Customer 3"/>
    <n v="576"/>
    <n v="871.19"/>
    <n v="501805.44"/>
  </r>
  <r>
    <d v="2023-12-29T00:00:00"/>
    <d v="2023-11-28T00:00:00"/>
    <s v="No"/>
    <n v="31"/>
    <n v="167268.48000000001"/>
    <x v="183"/>
    <n v="192"/>
    <d v="2022-12-08T00:00:00"/>
    <s v="G/ZOR"/>
    <s v="Location 3"/>
    <s v="Customer 3"/>
    <n v="576"/>
    <n v="871.19"/>
    <n v="501805.44"/>
  </r>
  <r>
    <d v="2024-01-04T00:00:00"/>
    <d v="2024-01-04T00:00:00"/>
    <s v="Yes"/>
    <n v="0"/>
    <n v="334536.96000000002"/>
    <x v="183"/>
    <n v="384"/>
    <d v="2022-12-30T00:00:00"/>
    <s v="G/ZOR"/>
    <s v="Location 3"/>
    <s v="Customer 3"/>
    <n v="608"/>
    <n v="871.19"/>
    <n v="529683.52"/>
  </r>
  <r>
    <d v="2024-01-19T00:00:00"/>
    <d v="2024-01-04T00:00:00"/>
    <s v="No"/>
    <n v="15"/>
    <n v="195146.56"/>
    <x v="183"/>
    <n v="224"/>
    <d v="2022-12-30T00:00:00"/>
    <s v="G/ZOR"/>
    <s v="Location 3"/>
    <s v="Customer 3"/>
    <n v="608"/>
    <n v="871.19"/>
    <n v="529683.52"/>
  </r>
  <r>
    <d v="2023-10-03T00:00:00"/>
    <d v="2023-10-03T00:00:00"/>
    <s v="Yes"/>
    <n v="0"/>
    <n v="9814.75"/>
    <x v="160"/>
    <n v="55"/>
    <d v="2022-10-07T00:00:00"/>
    <s v="G/ZOR"/>
    <s v="Location 4"/>
    <s v="Customer 3"/>
    <n v="55"/>
    <n v="178.45"/>
    <n v="9814.75"/>
  </r>
  <r>
    <d v="2023-11-21T00:00:00"/>
    <d v="2023-11-21T00:00:00"/>
    <s v="Yes"/>
    <n v="0"/>
    <n v="4639.7"/>
    <x v="160"/>
    <n v="26"/>
    <d v="2022-11-10T00:00:00"/>
    <s v="G/ZOR"/>
    <s v="Location 3"/>
    <s v="Customer 3"/>
    <n v="26"/>
    <n v="178.45"/>
    <n v="4639.7"/>
  </r>
  <r>
    <d v="2023-09-26T00:00:00"/>
    <d v="2023-09-26T00:00:00"/>
    <s v="Yes"/>
    <n v="0"/>
    <n v="10707"/>
    <x v="160"/>
    <n v="60"/>
    <d v="2022-11-11T00:00:00"/>
    <s v="G/ZOR"/>
    <s v="Location 3"/>
    <s v="Customer 3"/>
    <n v="60"/>
    <n v="178.45"/>
    <n v="10707"/>
  </r>
  <r>
    <d v="2023-10-24T00:00:00"/>
    <d v="2023-10-24T00:00:00"/>
    <s v="Yes"/>
    <n v="0"/>
    <n v="10707"/>
    <x v="160"/>
    <n v="60"/>
    <d v="2022-11-11T00:00:00"/>
    <s v="G/ZOR"/>
    <s v="Location 3"/>
    <s v="Customer 3"/>
    <n v="60"/>
    <n v="178.45"/>
    <n v="10707"/>
  </r>
  <r>
    <d v="2023-12-19T00:00:00"/>
    <d v="2023-12-19T00:00:00"/>
    <s v="Yes"/>
    <n v="0"/>
    <n v="10707"/>
    <x v="160"/>
    <n v="60"/>
    <d v="2022-12-08T00:00:00"/>
    <s v="G/ZOR"/>
    <s v="Location 3"/>
    <s v="Customer 3"/>
    <n v="60"/>
    <n v="178.45"/>
    <n v="10707"/>
  </r>
  <r>
    <d v="2023-10-17T00:00:00"/>
    <d v="2023-10-17T00:00:00"/>
    <s v="Yes"/>
    <n v="0"/>
    <n v="23555.4"/>
    <x v="160"/>
    <n v="132"/>
    <d v="2022-12-20T00:00:00"/>
    <s v="G/ZOR"/>
    <s v="Location 4"/>
    <s v="Customer 3"/>
    <n v="132"/>
    <n v="178.45"/>
    <n v="23555.4"/>
  </r>
  <r>
    <d v="2023-11-14T00:00:00"/>
    <d v="2023-11-14T00:00:00"/>
    <s v="Yes"/>
    <n v="0"/>
    <n v="17845"/>
    <x v="160"/>
    <n v="100"/>
    <d v="2022-12-20T00:00:00"/>
    <s v="G/ZOR"/>
    <s v="Location 4"/>
    <s v="Customer 3"/>
    <n v="100"/>
    <n v="178.45"/>
    <n v="17845"/>
  </r>
  <r>
    <d v="2023-12-19T00:00:00"/>
    <d v="2023-12-19T00:00:00"/>
    <s v="Yes"/>
    <n v="0"/>
    <n v="23555.4"/>
    <x v="160"/>
    <n v="132"/>
    <d v="2022-12-20T00:00:00"/>
    <s v="G/ZOR"/>
    <s v="Location 4"/>
    <s v="Customer 3"/>
    <n v="132"/>
    <n v="178.45"/>
    <n v="23555.4"/>
  </r>
  <r>
    <d v="2024-01-16T00:00:00"/>
    <d v="2024-01-16T00:00:00"/>
    <s v="Yes"/>
    <n v="0"/>
    <n v="5175.05"/>
    <x v="160"/>
    <n v="29"/>
    <d v="2023-01-06T00:00:00"/>
    <s v="G/ZOR"/>
    <s v="Location 3"/>
    <s v="Customer 3"/>
    <n v="29"/>
    <n v="178.45"/>
    <n v="5175.05"/>
  </r>
  <r>
    <d v="2024-01-23T00:00:00"/>
    <d v="2024-01-23T00:00:00"/>
    <s v="Yes"/>
    <n v="0"/>
    <n v="5888.85"/>
    <x v="160"/>
    <n v="33"/>
    <d v="2023-01-13T00:00:00"/>
    <s v="G/ZOR"/>
    <s v="Location 3"/>
    <s v="Customer 3"/>
    <n v="33"/>
    <n v="178.45"/>
    <n v="5888.85"/>
  </r>
  <r>
    <d v="2024-01-30T00:00:00"/>
    <d v="2024-01-30T00:00:00"/>
    <s v="Yes"/>
    <n v="0"/>
    <n v="5888.85"/>
    <x v="160"/>
    <n v="33"/>
    <d v="2023-01-17T00:00:00"/>
    <s v="G/ZOR"/>
    <s v="Location 4"/>
    <s v="Customer 3"/>
    <n v="33"/>
    <n v="178.45"/>
    <n v="5888.85"/>
  </r>
  <r>
    <d v="2024-02-06T00:00:00"/>
    <d v="2024-02-06T00:00:00"/>
    <s v="Yes"/>
    <n v="0"/>
    <n v="5888.85"/>
    <x v="160"/>
    <n v="33"/>
    <d v="2023-01-27T00:00:00"/>
    <s v="G/ZOR"/>
    <s v="Location 3"/>
    <s v="Customer 3"/>
    <n v="33"/>
    <n v="178.45"/>
    <n v="5888.85"/>
  </r>
  <r>
    <d v="2024-04-24T00:00:00"/>
    <d v="2024-04-24T00:00:00"/>
    <s v="Yes"/>
    <n v="0"/>
    <n v="2676.75"/>
    <x v="160"/>
    <n v="15"/>
    <d v="2023-04-11T00:00:00"/>
    <s v="G/ZOR"/>
    <s v="Location 4"/>
    <s v="Customer 3"/>
    <n v="15"/>
    <n v="178.45"/>
    <n v="2676.75"/>
  </r>
  <r>
    <d v="2024-04-26T00:00:00"/>
    <d v="2024-04-26T00:00:00"/>
    <s v="Yes"/>
    <n v="0"/>
    <n v="5353.5"/>
    <x v="160"/>
    <n v="30"/>
    <d v="2023-04-18T00:00:00"/>
    <s v="G/ZOR"/>
    <s v="Location 4"/>
    <s v="Customer 3"/>
    <n v="30"/>
    <n v="178.45"/>
    <n v="5353.5"/>
  </r>
  <r>
    <d v="2024-04-23T00:00:00"/>
    <d v="2024-04-23T00:00:00"/>
    <s v="Yes"/>
    <n v="0"/>
    <n v="8030.25"/>
    <x v="160"/>
    <n v="45"/>
    <d v="2023-04-25T00:00:00"/>
    <s v="G/ZOR"/>
    <s v="Location 4"/>
    <s v="Customer 3"/>
    <n v="45"/>
    <n v="178.45"/>
    <n v="8030.25"/>
  </r>
  <r>
    <d v="2024-05-17T00:00:00"/>
    <d v="2024-05-17T00:00:00"/>
    <s v="Yes"/>
    <n v="0"/>
    <n v="5353.5"/>
    <x v="160"/>
    <n v="30"/>
    <d v="2023-05-16T00:00:00"/>
    <s v="G/ZOR"/>
    <s v="Location 4"/>
    <s v="Customer 3"/>
    <n v="30"/>
    <n v="178.45"/>
    <n v="5353.5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25721.1"/>
    <x v="127"/>
    <n v="30"/>
    <d v="2022-09-07T00:00:00"/>
    <s v="G/ZOR"/>
    <s v="Location 3"/>
    <s v="Customer 3"/>
    <n v="30"/>
    <n v="857.37"/>
    <n v="25721.1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1T00:00:00"/>
    <d v="2023-09-21T00:00:00"/>
    <s v="Yes"/>
    <n v="0"/>
    <n v="38581.65"/>
    <x v="127"/>
    <n v="45"/>
    <d v="2022-09-07T00:00:00"/>
    <s v="G/ZOR"/>
    <s v="Location 3"/>
    <s v="Customer 3"/>
    <n v="45"/>
    <n v="857.37"/>
    <n v="38581.65"/>
  </r>
  <r>
    <d v="2023-09-28T00:00:00"/>
    <d v="2023-09-28T00:00:00"/>
    <s v="Yes"/>
    <n v="0"/>
    <n v="25721.1"/>
    <x v="127"/>
    <n v="30"/>
    <d v="2022-09-14T00:00:00"/>
    <s v="G/ZOR"/>
    <s v="Location 3"/>
    <s v="Customer 3"/>
    <n v="30"/>
    <n v="857.37"/>
    <n v="25721.1"/>
  </r>
  <r>
    <d v="2023-09-28T00:00:00"/>
    <d v="2023-09-28T00:00:00"/>
    <s v="Yes"/>
    <n v="0"/>
    <n v="38581.65"/>
    <x v="127"/>
    <n v="45"/>
    <d v="2022-09-15T00:00:00"/>
    <s v="G/ZOR"/>
    <s v="Location 3"/>
    <s v="Customer 3"/>
    <n v="45"/>
    <n v="857.37"/>
    <n v="38581.65"/>
  </r>
  <r>
    <d v="2023-09-28T00:00:00"/>
    <d v="2023-09-28T00:00:00"/>
    <s v="Yes"/>
    <n v="0"/>
    <n v="38581.65"/>
    <x v="127"/>
    <n v="45"/>
    <d v="2022-09-15T00:00:00"/>
    <s v="G/ZOR"/>
    <s v="Location 3"/>
    <s v="Customer 3"/>
    <n v="45"/>
    <n v="857.37"/>
    <n v="38581.65"/>
  </r>
  <r>
    <d v="2023-10-05T00:00:00"/>
    <d v="2023-10-05T00:00:00"/>
    <s v="Yes"/>
    <n v="0"/>
    <n v="25721.1"/>
    <x v="127"/>
    <n v="30"/>
    <d v="2022-09-22T00:00:00"/>
    <s v="G/ZOR"/>
    <s v="Location 4"/>
    <s v="Customer 3"/>
    <n v="30"/>
    <n v="857.37"/>
    <n v="25721.1"/>
  </r>
  <r>
    <d v="2023-10-05T00:00:00"/>
    <d v="2023-10-05T00:00:00"/>
    <s v="Yes"/>
    <n v="0"/>
    <n v="38581.65"/>
    <x v="127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127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127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127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127"/>
    <n v="45"/>
    <d v="2022-09-23T00:00:00"/>
    <s v="G/ZOR"/>
    <s v="Location 4"/>
    <s v="Customer 3"/>
    <n v="45"/>
    <n v="857.37"/>
    <n v="38581.65"/>
  </r>
  <r>
    <d v="2023-10-05T00:00:00"/>
    <d v="2023-10-05T00:00:00"/>
    <s v="Yes"/>
    <n v="0"/>
    <n v="38581.65"/>
    <x v="127"/>
    <n v="45"/>
    <d v="2022-09-23T00:00:00"/>
    <s v="G/ZOR"/>
    <s v="Location 4"/>
    <s v="Customer 3"/>
    <n v="45"/>
    <n v="857.37"/>
    <n v="38581.65"/>
  </r>
  <r>
    <d v="2023-10-12T00:00:00"/>
    <d v="2023-10-12T00:00:00"/>
    <s v="Yes"/>
    <n v="0"/>
    <n v="12860.55"/>
    <x v="127"/>
    <n v="15"/>
    <d v="2022-09-27T00:00:00"/>
    <s v="G/ZOR"/>
    <s v="Location 3"/>
    <s v="Customer 3"/>
    <n v="15"/>
    <n v="857.37"/>
    <n v="12860.55"/>
  </r>
  <r>
    <d v="2023-10-12T00:00:00"/>
    <d v="2023-10-12T00:00:00"/>
    <s v="Yes"/>
    <n v="0"/>
    <n v="38581.65"/>
    <x v="127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127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127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127"/>
    <n v="45"/>
    <d v="2022-09-28T00:00:00"/>
    <s v="G/ZOR"/>
    <s v="Location 3"/>
    <s v="Customer 3"/>
    <n v="45"/>
    <n v="857.37"/>
    <n v="38581.65"/>
  </r>
  <r>
    <d v="2023-10-12T00:00:00"/>
    <d v="2023-10-12T00:00:00"/>
    <s v="Yes"/>
    <n v="0"/>
    <n v="38581.65"/>
    <x v="127"/>
    <n v="45"/>
    <d v="2022-09-28T00:00:00"/>
    <s v="G/ZOR"/>
    <s v="Location 3"/>
    <s v="Customer 3"/>
    <n v="45"/>
    <n v="857.37"/>
    <n v="38581.65"/>
  </r>
  <r>
    <d v="2023-10-26T00:00:00"/>
    <d v="2023-10-26T00:00:00"/>
    <s v="Yes"/>
    <n v="0"/>
    <n v="25721.1"/>
    <x v="127"/>
    <n v="30"/>
    <d v="2022-10-12T00:00:00"/>
    <s v="G/ZOR"/>
    <s v="Location 3"/>
    <s v="Customer 3"/>
    <n v="30"/>
    <n v="857.37"/>
    <n v="25721.1"/>
  </r>
  <r>
    <d v="2023-10-19T00:00:00"/>
    <d v="2023-10-19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19T00:00:00"/>
    <d v="2023-10-19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19T00:00:00"/>
    <d v="2023-10-19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19T00:00:00"/>
    <d v="2023-10-19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0-26T00:00:00"/>
    <d v="2023-10-26T00:00:00"/>
    <s v="Yes"/>
    <n v="0"/>
    <n v="38581.65"/>
    <x v="127"/>
    <n v="45"/>
    <d v="2022-10-13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127"/>
    <n v="45"/>
    <d v="2022-12-15T00:00:00"/>
    <s v="G/ZOR"/>
    <s v="Location 4"/>
    <s v="Customer 3"/>
    <n v="45"/>
    <n v="857.37"/>
    <n v="38581.65"/>
  </r>
  <r>
    <d v="2023-12-28T00:00:00"/>
    <d v="2023-12-28T00:00:00"/>
    <s v="Yes"/>
    <n v="0"/>
    <n v="38581.65"/>
    <x v="127"/>
    <n v="45"/>
    <d v="2022-12-15T00:00:00"/>
    <s v="G/ZOR"/>
    <s v="Location 4"/>
    <s v="Customer 3"/>
    <n v="45"/>
    <n v="857.37"/>
    <n v="38581.65"/>
  </r>
  <r>
    <d v="2023-12-28T00:00:00"/>
    <d v="2023-12-28T00:00:00"/>
    <s v="Yes"/>
    <n v="0"/>
    <n v="25721.1"/>
    <x v="127"/>
    <n v="30"/>
    <d v="2022-12-19T00:00:00"/>
    <s v="G/ZOR"/>
    <s v="Location 3"/>
    <s v="Customer 3"/>
    <n v="30"/>
    <n v="857.37"/>
    <n v="25721.1"/>
  </r>
  <r>
    <d v="2023-12-14T00:00:00"/>
    <d v="2023-12-1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14T00:00:00"/>
    <d v="2023-12-1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14T00:00:00"/>
    <d v="2023-12-1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1T00:00:00"/>
    <d v="2023-12-21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3-12-28T00:00:00"/>
    <d v="2023-12-28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3-12-28T00:00:00"/>
    <d v="2023-12-28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3"/>
    <s v="Customer 3"/>
    <n v="45"/>
    <n v="857.37"/>
    <n v="38581.65"/>
  </r>
  <r>
    <d v="2024-01-04T00:00:00"/>
    <d v="2024-01-04T00:00:00"/>
    <s v="Yes"/>
    <n v="0"/>
    <n v="38581.65"/>
    <x v="127"/>
    <n v="45"/>
    <d v="2022-12-20T00:00:00"/>
    <s v="G/ZOR"/>
    <s v="Location 4"/>
    <s v="Customer 3"/>
    <n v="45"/>
    <n v="857.37"/>
    <n v="38581.65"/>
  </r>
  <r>
    <d v="2024-01-09T00:00:00"/>
    <d v="2024-01-09T00:00:00"/>
    <s v="Yes"/>
    <n v="0"/>
    <n v="12860.55"/>
    <x v="127"/>
    <n v="15"/>
    <d v="2022-12-26T00:00:00"/>
    <s v="G/ZOR"/>
    <s v="Location 3"/>
    <s v="Customer 3"/>
    <n v="15"/>
    <n v="857.37"/>
    <n v="12860.55"/>
  </r>
  <r>
    <d v="2024-01-09T00:00:00"/>
    <d v="2024-01-09T00:00:00"/>
    <s v="Yes"/>
    <n v="0"/>
    <n v="38581.65"/>
    <x v="127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127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127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127"/>
    <n v="45"/>
    <d v="2022-12-28T00:00:00"/>
    <s v="G/ZOR"/>
    <s v="Location 3"/>
    <s v="Customer 3"/>
    <n v="45"/>
    <n v="857.37"/>
    <n v="38581.65"/>
  </r>
  <r>
    <d v="2024-01-09T00:00:00"/>
    <d v="2024-01-09T00:00:00"/>
    <s v="Yes"/>
    <n v="0"/>
    <n v="38581.65"/>
    <x v="127"/>
    <n v="45"/>
    <d v="2022-12-28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1T00:00:00"/>
    <d v="2024-01-11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18T00:00:00"/>
    <d v="2024-01-18T00:00:00"/>
    <s v="Yes"/>
    <n v="0"/>
    <n v="38581.65"/>
    <x v="127"/>
    <n v="45"/>
    <d v="2023-01-06T00:00:00"/>
    <s v="G/ZOR"/>
    <s v="Location 3"/>
    <s v="Customer 3"/>
    <n v="45"/>
    <n v="857.37"/>
    <n v="38581.65"/>
  </r>
  <r>
    <d v="2024-01-25T00:00:00"/>
    <d v="2024-01-25T00:00:00"/>
    <s v="Yes"/>
    <n v="0"/>
    <n v="38581.65"/>
    <x v="127"/>
    <n v="45"/>
    <d v="2023-01-13T00:00:00"/>
    <s v="G/ZOR"/>
    <s v="Location 3"/>
    <s v="Customer 3"/>
    <n v="45"/>
    <n v="857.37"/>
    <n v="38581.65"/>
  </r>
  <r>
    <d v="2024-01-25T00:00:00"/>
    <d v="2024-01-25T00:00:00"/>
    <s v="Yes"/>
    <n v="0"/>
    <n v="38581.65"/>
    <x v="127"/>
    <n v="45"/>
    <d v="2023-01-13T00:00:00"/>
    <s v="G/ZOR"/>
    <s v="Location 3"/>
    <s v="Customer 3"/>
    <n v="45"/>
    <n v="857.37"/>
    <n v="38581.65"/>
  </r>
  <r>
    <d v="2024-01-25T00:00:00"/>
    <d v="2024-01-25T00:00:00"/>
    <s v="Yes"/>
    <n v="0"/>
    <n v="38581.65"/>
    <x v="127"/>
    <n v="45"/>
    <d v="2023-01-13T00:00:00"/>
    <s v="G/ZOR"/>
    <s v="Location 3"/>
    <s v="Customer 3"/>
    <n v="45"/>
    <n v="857.37"/>
    <n v="38581.65"/>
  </r>
  <r>
    <d v="2024-01-25T00:00:00"/>
    <d v="2024-01-25T00:00:00"/>
    <s v="Yes"/>
    <n v="0"/>
    <n v="12860.55"/>
    <x v="127"/>
    <n v="15"/>
    <d v="2023-01-13T00:00:00"/>
    <s v="G/ZOR"/>
    <s v="Location 3"/>
    <s v="Customer 3"/>
    <n v="15"/>
    <n v="857.37"/>
    <n v="12860.55"/>
  </r>
  <r>
    <d v="2024-05-07T00:00:00"/>
    <d v="2024-05-07T00:00:00"/>
    <s v="Yes"/>
    <n v="0"/>
    <n v="25721.1"/>
    <x v="127"/>
    <n v="30"/>
    <d v="2023-04-25T00:00:00"/>
    <s v="G/ZOR"/>
    <s v="Location 4"/>
    <s v="Customer 3"/>
    <n v="30"/>
    <n v="857.37"/>
    <n v="25721.1"/>
  </r>
  <r>
    <d v="2024-05-07T00:00:00"/>
    <d v="2024-05-07T00:00:00"/>
    <s v="Yes"/>
    <n v="0"/>
    <n v="38581.65"/>
    <x v="127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127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127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127"/>
    <n v="45"/>
    <d v="2023-04-26T00:00:00"/>
    <s v="G/ZOR"/>
    <s v="Location 4"/>
    <s v="Customer 3"/>
    <n v="45"/>
    <n v="857.37"/>
    <n v="38581.65"/>
  </r>
  <r>
    <d v="2024-05-07T00:00:00"/>
    <d v="2024-05-07T00:00:00"/>
    <s v="Yes"/>
    <n v="0"/>
    <n v="38581.65"/>
    <x v="127"/>
    <n v="45"/>
    <d v="2023-04-26T00:00:00"/>
    <s v="G/ZOR"/>
    <s v="Location 4"/>
    <s v="Customer 3"/>
    <n v="45"/>
    <n v="857.37"/>
    <n v="38581.65"/>
  </r>
  <r>
    <d v="2024-01-19T00:00:00"/>
    <d v="2022-10-29T00:00:00"/>
    <s v="No"/>
    <n v="44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39747.519999999997"/>
    <x v="128"/>
    <n v="16"/>
    <d v="2021-10-01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1T00:00:00"/>
    <s v="G/ZOR"/>
    <s v="Location 3"/>
    <s v="Customer 3"/>
    <n v="32"/>
    <n v="2484.2199999999998"/>
    <n v="79495.039999999994"/>
  </r>
  <r>
    <d v="2024-01-19T00:00:00"/>
    <d v="2022-09-29T00:00:00"/>
    <s v="No"/>
    <n v="477"/>
    <n v="79495.039999999994"/>
    <x v="128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39747.519999999997"/>
    <x v="128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39747.519999999997"/>
    <x v="128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39747.519999999997"/>
    <x v="128"/>
    <n v="16"/>
    <d v="2021-10-06T00:00:00"/>
    <s v="G/ZOR"/>
    <s v="Location 3"/>
    <s v="Customer 3"/>
    <n v="16"/>
    <n v="2484.2199999999998"/>
    <n v="39747.519999999997"/>
  </r>
  <r>
    <d v="2024-01-19T00:00:00"/>
    <d v="2022-10-06T00:00:00"/>
    <s v="No"/>
    <n v="470"/>
    <n v="39747.519999999997"/>
    <x v="128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79495.039999999994"/>
    <x v="128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79495.039999999994"/>
    <x v="128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79495.039999999994"/>
    <x v="128"/>
    <n v="32"/>
    <d v="2021-10-06T00:00:00"/>
    <s v="G/ZOR"/>
    <s v="Location 3"/>
    <s v="Customer 3"/>
    <n v="32"/>
    <n v="2484.2199999999998"/>
    <n v="79495.039999999994"/>
  </r>
  <r>
    <d v="2024-01-19T00:00:00"/>
    <d v="2022-10-06T00:00:00"/>
    <s v="No"/>
    <n v="470"/>
    <n v="39747.519999999997"/>
    <x v="128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39747.519999999997"/>
    <x v="128"/>
    <n v="16"/>
    <d v="2021-10-06T00:00:00"/>
    <s v="G/ZOR"/>
    <s v="Location 3"/>
    <s v="Customer 3"/>
    <n v="16"/>
    <n v="2484.2199999999998"/>
    <n v="39747.519999999997"/>
  </r>
  <r>
    <d v="2024-01-19T00:00:00"/>
    <d v="2022-09-29T00:00:00"/>
    <s v="No"/>
    <n v="477"/>
    <n v="27326.42"/>
    <x v="128"/>
    <n v="11"/>
    <d v="2023-05-01T00:00:00"/>
    <s v="G/ZOR"/>
    <s v="Location 3"/>
    <s v="Customer 3"/>
    <n v="32"/>
    <n v="2484.2199999999998"/>
    <n v="79495.039999999994"/>
  </r>
  <r>
    <d v="2024-02-23T00:00:00"/>
    <d v="2023-11-03T00:00:00"/>
    <s v="No"/>
    <n v="112"/>
    <n v="40615.300000000003"/>
    <x v="130"/>
    <n v="10"/>
    <d v="2022-10-20T00:00:00"/>
    <s v="G/ZOR"/>
    <s v="Location 3"/>
    <s v="Customer 3"/>
    <n v="10"/>
    <n v="4061.53"/>
    <n v="40615.300000000003"/>
  </r>
  <r>
    <d v="2024-04-08T00:00:00"/>
    <d v="2024-04-05T00:00:00"/>
    <s v="No"/>
    <n v="3"/>
    <n v="4061.53"/>
    <x v="130"/>
    <n v="1"/>
    <d v="2022-10-26T00:00:00"/>
    <s v="G/ZOR"/>
    <s v="Location 4"/>
    <s v="Customer 3"/>
    <n v="1"/>
    <n v="4061.53"/>
    <n v="4061.53"/>
  </r>
  <r>
    <d v="2024-04-12T00:00:00"/>
    <d v="2024-04-12T00:00:00"/>
    <s v="Yes"/>
    <n v="0"/>
    <n v="40615.300000000003"/>
    <x v="130"/>
    <n v="10"/>
    <d v="2022-11-04T00:00:00"/>
    <s v="G/ZOR"/>
    <s v="Location 4"/>
    <s v="Customer 3"/>
    <n v="10"/>
    <n v="4061.53"/>
    <n v="40615.300000000003"/>
  </r>
  <r>
    <d v="2024-04-12T00:00:00"/>
    <d v="2024-04-12T00:00:00"/>
    <s v="Yes"/>
    <n v="0"/>
    <n v="40615.300000000003"/>
    <x v="130"/>
    <n v="10"/>
    <d v="2022-11-04T00:00:00"/>
    <s v="G/ZOR"/>
    <s v="Location 4"/>
    <s v="Customer 3"/>
    <n v="10"/>
    <n v="4061.53"/>
    <n v="40615.300000000003"/>
  </r>
  <r>
    <d v="2024-04-12T00:00:00"/>
    <d v="2024-04-12T00:00:00"/>
    <s v="Yes"/>
    <n v="0"/>
    <n v="48738.36"/>
    <x v="130"/>
    <n v="12"/>
    <d v="2022-11-04T00:00:00"/>
    <s v="G/ZOR"/>
    <s v="Location 4"/>
    <s v="Customer 3"/>
    <n v="12"/>
    <n v="4061.53"/>
    <n v="48738.36"/>
  </r>
  <r>
    <d v="2024-04-19T00:00:00"/>
    <d v="2024-04-19T00:00:00"/>
    <s v="Yes"/>
    <n v="0"/>
    <n v="16246.12"/>
    <x v="130"/>
    <n v="4"/>
    <d v="2022-11-08T00:00:00"/>
    <s v="G/ZOR"/>
    <s v="Location 4"/>
    <s v="Customer 3"/>
    <n v="4"/>
    <n v="4061.53"/>
    <n v="16246.1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20307.650000000001"/>
    <x v="130"/>
    <n v="5"/>
    <d v="2022-11-10T00:00:00"/>
    <s v="G/ZOR"/>
    <s v="Location 3"/>
    <s v="Customer 3"/>
    <n v="5"/>
    <n v="4061.53"/>
    <n v="20307.650000000001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2-23T00:00:00"/>
    <d v="2023-10-27T00:00:00"/>
    <s v="No"/>
    <n v="119"/>
    <n v="32492.240000000002"/>
    <x v="130"/>
    <n v="8"/>
    <d v="2022-11-10T00:00:00"/>
    <s v="G/ZOR"/>
    <s v="Location 3"/>
    <s v="Customer 3"/>
    <n v="8"/>
    <n v="4061.53"/>
    <n v="32492.240000000002"/>
  </r>
  <r>
    <d v="2024-05-03T00:00:00"/>
    <d v="2024-05-03T00:00:00"/>
    <s v="Yes"/>
    <n v="0"/>
    <n v="48738.36"/>
    <x v="130"/>
    <n v="12"/>
    <d v="2022-12-02T00:00:00"/>
    <s v="G/ZOR"/>
    <s v="Location 3"/>
    <s v="Customer 3"/>
    <n v="12"/>
    <n v="4061.53"/>
    <n v="48738.36"/>
  </r>
  <r>
    <d v="2024-05-09T00:00:00"/>
    <d v="2024-05-09T00:00:00"/>
    <s v="Yes"/>
    <n v="0"/>
    <n v="12184.59"/>
    <x v="130"/>
    <n v="3"/>
    <d v="2022-12-09T00:00:00"/>
    <s v="G/ZOR"/>
    <s v="Location 4"/>
    <s v="Customer 3"/>
    <n v="3"/>
    <n v="4061.53"/>
    <n v="12184.59"/>
  </r>
  <r>
    <d v="2024-09-10T00:00:00"/>
    <d v="2024-09-10T00:00:00"/>
    <s v="Yes"/>
    <n v="0"/>
    <n v="32492.240000000002"/>
    <x v="130"/>
    <n v="8"/>
    <d v="2023-04-14T00:00:00"/>
    <s v="G/ZOR"/>
    <s v="Location 4"/>
    <s v="Customer 3"/>
    <n v="8"/>
    <n v="4061.53"/>
    <n v="32492.240000000002"/>
  </r>
  <r>
    <d v="2023-10-03T00:00:00"/>
    <d v="2023-03-03T00:00:00"/>
    <s v="No"/>
    <n v="214"/>
    <n v="152904.64000000001"/>
    <x v="184"/>
    <n v="32"/>
    <d v="2022-11-09T00:00:00"/>
    <s v="G/ZOR"/>
    <s v="Location 4"/>
    <s v="Customer 3"/>
    <n v="32"/>
    <n v="4778.2700000000004"/>
    <n v="152904.64000000001"/>
  </r>
  <r>
    <d v="2023-10-03T00:00:00"/>
    <d v="2023-02-03T00:00:00"/>
    <s v="No"/>
    <n v="242"/>
    <n v="535166.24"/>
    <x v="184"/>
    <n v="112"/>
    <d v="2022-11-10T00:00:00"/>
    <s v="G/ZOR"/>
    <s v="Location 4"/>
    <s v="Customer 3"/>
    <n v="112"/>
    <n v="4778.2700000000004"/>
    <n v="535166.24"/>
  </r>
  <r>
    <d v="2023-10-03T00:00:00"/>
    <d v="2023-08-04T00:00:00"/>
    <s v="No"/>
    <n v="60"/>
    <n v="76452.320000000007"/>
    <x v="184"/>
    <n v="16"/>
    <d v="2022-11-10T00:00:00"/>
    <s v="G/ZOR"/>
    <s v="Location 4"/>
    <s v="Customer 3"/>
    <n v="160"/>
    <n v="4778.2700000000004"/>
    <n v="764523.2"/>
  </r>
  <r>
    <d v="2023-10-05T00:00:00"/>
    <d v="2023-08-04T00:00:00"/>
    <s v="No"/>
    <n v="62"/>
    <n v="688070.88"/>
    <x v="184"/>
    <n v="144"/>
    <d v="2022-11-10T00:00:00"/>
    <s v="G/ZOR"/>
    <s v="Location 4"/>
    <s v="Customer 3"/>
    <n v="160"/>
    <n v="4778.2700000000004"/>
    <n v="764523.2"/>
  </r>
  <r>
    <d v="2023-10-03T00:00:00"/>
    <d v="2023-04-07T00:00:00"/>
    <s v="No"/>
    <n v="179"/>
    <n v="1070332.48"/>
    <x v="184"/>
    <n v="224"/>
    <d v="2022-11-10T00:00:00"/>
    <s v="G/ZOR"/>
    <s v="Location 4"/>
    <s v="Customer 3"/>
    <n v="224"/>
    <n v="4778.2700000000004"/>
    <n v="1070332.48"/>
  </r>
  <r>
    <d v="2023-10-03T00:00:00"/>
    <d v="2023-07-07T00:00:00"/>
    <s v="No"/>
    <n v="88"/>
    <n v="840975.52"/>
    <x v="184"/>
    <n v="176"/>
    <d v="2022-11-10T00:00:00"/>
    <s v="G/ZOR"/>
    <s v="Location 4"/>
    <s v="Customer 3"/>
    <n v="176"/>
    <n v="4778.2700000000004"/>
    <n v="840975.52"/>
  </r>
  <r>
    <d v="2023-10-03T00:00:00"/>
    <d v="2023-06-02T00:00:00"/>
    <s v="No"/>
    <n v="123"/>
    <n v="535166.24"/>
    <x v="184"/>
    <n v="112"/>
    <d v="2022-11-10T00:00:00"/>
    <s v="G/ZOR"/>
    <s v="Location 4"/>
    <s v="Customer 3"/>
    <n v="112"/>
    <n v="4778.2700000000004"/>
    <n v="535166.24"/>
  </r>
  <r>
    <d v="2023-10-03T00:00:00"/>
    <d v="2023-05-05T00:00:00"/>
    <s v="No"/>
    <n v="151"/>
    <n v="764523.2"/>
    <x v="184"/>
    <n v="160"/>
    <d v="2022-11-10T00:00:00"/>
    <s v="G/ZOR"/>
    <s v="Location 4"/>
    <s v="Customer 3"/>
    <n v="160"/>
    <n v="4778.2700000000004"/>
    <n v="764523.2"/>
  </r>
  <r>
    <d v="2023-10-05T00:00:00"/>
    <d v="2023-09-01T00:00:00"/>
    <s v="No"/>
    <n v="34"/>
    <n v="229356.96"/>
    <x v="184"/>
    <n v="48"/>
    <d v="2022-11-10T00:00:00"/>
    <s v="G/ZOR"/>
    <s v="Location 4"/>
    <s v="Customer 3"/>
    <n v="128"/>
    <n v="4778.2700000000004"/>
    <n v="611618.56000000006"/>
  </r>
  <r>
    <d v="2023-11-14T00:00:00"/>
    <d v="2023-09-01T00:00:00"/>
    <s v="No"/>
    <n v="74"/>
    <n v="382261.6"/>
    <x v="184"/>
    <n v="80"/>
    <d v="2022-11-10T00:00:00"/>
    <s v="G/ZOR"/>
    <s v="Location 4"/>
    <s v="Customer 3"/>
    <n v="128"/>
    <n v="4778.2700000000004"/>
    <n v="611618.56000000006"/>
  </r>
  <r>
    <d v="2023-11-14T00:00:00"/>
    <d v="2023-10-06T00:00:00"/>
    <s v="No"/>
    <n v="39"/>
    <n v="764523.2"/>
    <x v="184"/>
    <n v="160"/>
    <d v="2022-11-10T00:00:00"/>
    <s v="G/ZOR"/>
    <s v="Location 4"/>
    <s v="Customer 3"/>
    <n v="192"/>
    <n v="4778.2700000000004"/>
    <n v="917427.84"/>
  </r>
  <r>
    <d v="2024-02-23T00:00:00"/>
    <d v="2023-10-06T00:00:00"/>
    <s v="No"/>
    <n v="140"/>
    <n v="152904.64000000001"/>
    <x v="184"/>
    <n v="32"/>
    <d v="2022-11-10T00:00:00"/>
    <s v="G/ZOR"/>
    <s v="Location 4"/>
    <s v="Customer 3"/>
    <n v="192"/>
    <n v="4778.2700000000004"/>
    <n v="917427.84"/>
  </r>
  <r>
    <d v="2024-02-23T00:00:00"/>
    <d v="2023-11-03T00:00:00"/>
    <s v="No"/>
    <n v="112"/>
    <n v="917427.84"/>
    <x v="184"/>
    <n v="192"/>
    <d v="2022-11-10T00:00:00"/>
    <s v="G/ZOR"/>
    <s v="Location 4"/>
    <s v="Customer 3"/>
    <n v="192"/>
    <n v="4778.2700000000004"/>
    <n v="917427.84"/>
  </r>
  <r>
    <d v="2024-02-23T00:00:00"/>
    <d v="2023-12-01T00:00:00"/>
    <s v="No"/>
    <n v="84"/>
    <n v="229356.96"/>
    <x v="184"/>
    <n v="48"/>
    <d v="2022-11-10T00:00:00"/>
    <s v="G/ZOR"/>
    <s v="Location 4"/>
    <s v="Customer 3"/>
    <n v="48"/>
    <n v="4778.2700000000004"/>
    <n v="229356.96"/>
  </r>
  <r>
    <d v="2024-02-08T00:00:00"/>
    <d v="2023-10-31T00:00:00"/>
    <s v="No"/>
    <n v="100"/>
    <n v="10786.8"/>
    <x v="185"/>
    <n v="120"/>
    <d v="2023-02-10T00:00:00"/>
    <s v="G/ZOR"/>
    <s v="Location 4"/>
    <s v="Customer 3"/>
    <n v="120"/>
    <n v="89.89"/>
    <n v="10786.8"/>
  </r>
  <r>
    <d v="2024-07-30T00:00:00"/>
    <d v="2024-07-30T00:00:00"/>
    <s v="Yes"/>
    <n v="0"/>
    <n v="165855.6"/>
    <x v="164"/>
    <n v="360"/>
    <d v="2023-08-02T00:00:00"/>
    <s v="G/ZOR"/>
    <s v="Location 4"/>
    <s v="Customer 3"/>
    <n v="360"/>
    <n v="460.71"/>
    <n v="165855.6"/>
  </r>
  <r>
    <d v="2024-08-13T00:00:00"/>
    <d v="2024-08-13T00:00:00"/>
    <s v="Yes"/>
    <n v="0"/>
    <n v="66342.240000000005"/>
    <x v="164"/>
    <n v="144"/>
    <d v="2023-08-02T00:00:00"/>
    <s v="G/ZOR"/>
    <s v="Location 4"/>
    <s v="Customer 3"/>
    <n v="144"/>
    <n v="460.71"/>
    <n v="66342.240000000005"/>
  </r>
  <r>
    <d v="2024-08-13T00:00:00"/>
    <d v="2024-08-13T00:00:00"/>
    <s v="Yes"/>
    <n v="0"/>
    <n v="33171.120000000003"/>
    <x v="164"/>
    <n v="72"/>
    <d v="2023-08-02T00:00:00"/>
    <s v="G/ZOR"/>
    <s v="Location 4"/>
    <s v="Customer 3"/>
    <n v="72"/>
    <n v="460.71"/>
    <n v="33171.120000000003"/>
  </r>
  <r>
    <d v="2024-08-20T00:00:00"/>
    <d v="2024-08-20T00:00:00"/>
    <s v="Yes"/>
    <n v="0"/>
    <n v="33171.120000000003"/>
    <x v="164"/>
    <n v="72"/>
    <d v="2023-08-08T00:00:00"/>
    <s v="G/ZOR"/>
    <s v="Location 4"/>
    <s v="Customer 3"/>
    <n v="72"/>
    <n v="460.71"/>
    <n v="33171.120000000003"/>
  </r>
  <r>
    <d v="2023-11-02T00:00:00"/>
    <d v="2023-11-02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3-11-09T00:00:00"/>
    <d v="2023-11-09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3-12-06T00:00:00"/>
    <d v="2023-12-06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3-12-20T00:00:00"/>
    <d v="2023-12-20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4-01-03T00:00:00"/>
    <d v="2024-01-03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4-01-12T00:00:00"/>
    <d v="2024-01-10T00:00:00"/>
    <s v="No"/>
    <n v="2"/>
    <n v="26074.44"/>
    <x v="163"/>
    <n v="63"/>
    <d v="2023-03-07T00:00:00"/>
    <s v="G/ZOR"/>
    <s v="Location 3"/>
    <s v="Customer 3"/>
    <n v="63"/>
    <n v="413.88"/>
    <n v="26074.44"/>
  </r>
  <r>
    <d v="2024-01-24T00:00:00"/>
    <d v="2024-01-24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4-02-07T00:00:00"/>
    <d v="2024-02-07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4-03-06T00:00:00"/>
    <d v="2024-03-06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4-03-13T00:00:00"/>
    <d v="2024-03-13T00:00:00"/>
    <s v="Yes"/>
    <n v="0"/>
    <n v="26074.44"/>
    <x v="163"/>
    <n v="63"/>
    <d v="2023-03-07T00:00:00"/>
    <s v="G/ZOR"/>
    <s v="Location 3"/>
    <s v="Customer 3"/>
    <n v="63"/>
    <n v="413.88"/>
    <n v="26074.44"/>
  </r>
  <r>
    <d v="2023-10-02T00:00:00"/>
    <d v="2023-10-02T00:00:00"/>
    <s v="Yes"/>
    <n v="0"/>
    <n v="1303722"/>
    <x v="163"/>
    <n v="3150"/>
    <d v="2023-03-08T00:00:00"/>
    <s v="G/ZOR"/>
    <s v="Location 4"/>
    <s v="Customer 3"/>
    <n v="3150"/>
    <n v="413.88"/>
    <n v="1303722"/>
  </r>
  <r>
    <d v="2024-01-01T00:00:00"/>
    <d v="2024-01-01T00:00:00"/>
    <s v="Yes"/>
    <n v="0"/>
    <n v="1042977.6"/>
    <x v="163"/>
    <n v="2520"/>
    <d v="2023-03-08T00:00:00"/>
    <s v="G/ZOR"/>
    <s v="Location 4"/>
    <s v="Customer 3"/>
    <n v="2520"/>
    <n v="413.88"/>
    <n v="1042977.6"/>
  </r>
  <r>
    <d v="2024-02-15T00:00:00"/>
    <d v="2024-02-15T00:00:00"/>
    <s v="Yes"/>
    <n v="0"/>
    <n v="26074.44"/>
    <x v="163"/>
    <n v="63"/>
    <d v="2023-03-15T00:00:00"/>
    <s v="G/ZOR"/>
    <s v="Location 3"/>
    <s v="Customer 3"/>
    <n v="63"/>
    <n v="413.88"/>
    <n v="26074.44"/>
  </r>
  <r>
    <d v="2024-03-06T00:00:00"/>
    <d v="2024-03-06T00:00:00"/>
    <s v="Yes"/>
    <n v="0"/>
    <n v="26074.44"/>
    <x v="163"/>
    <n v="63"/>
    <d v="2023-03-15T00:00:00"/>
    <s v="G/ZOR"/>
    <s v="Location 3"/>
    <s v="Customer 3"/>
    <n v="63"/>
    <n v="413.88"/>
    <n v="26074.44"/>
  </r>
  <r>
    <d v="2024-03-08T00:00:00"/>
    <d v="2024-03-08T00:00:00"/>
    <s v="Yes"/>
    <n v="0"/>
    <n v="260744.4"/>
    <x v="163"/>
    <n v="630"/>
    <d v="2023-03-15T00:00:00"/>
    <s v="G/ZOR"/>
    <s v="Location 4"/>
    <s v="Customer 3"/>
    <n v="630"/>
    <n v="413.88"/>
    <n v="260744.4"/>
  </r>
  <r>
    <d v="2024-03-27T00:00:00"/>
    <d v="2024-03-27T00:00:00"/>
    <s v="Yes"/>
    <n v="0"/>
    <n v="26074.44"/>
    <x v="163"/>
    <n v="63"/>
    <d v="2023-03-15T00:00:00"/>
    <s v="G/ZOR"/>
    <s v="Location 3"/>
    <s v="Customer 3"/>
    <n v="63"/>
    <n v="413.88"/>
    <n v="26074.44"/>
  </r>
  <r>
    <d v="2024-04-10T00:00:00"/>
    <d v="2024-04-10T00:00:00"/>
    <s v="Yes"/>
    <n v="0"/>
    <n v="26074.44"/>
    <x v="163"/>
    <n v="63"/>
    <d v="2023-03-30T00:00:00"/>
    <s v="G/ZOR"/>
    <s v="Location 4"/>
    <s v="Customer 3"/>
    <n v="63"/>
    <n v="413.88"/>
    <n v="26074.44"/>
  </r>
  <r>
    <d v="2024-04-10T00:00:00"/>
    <d v="2024-04-10T00:00:00"/>
    <s v="Yes"/>
    <n v="0"/>
    <n v="26074.44"/>
    <x v="163"/>
    <n v="63"/>
    <d v="2023-03-30T00:00:00"/>
    <s v="G/ZOR"/>
    <s v="Location 4"/>
    <s v="Customer 3"/>
    <n v="63"/>
    <n v="413.88"/>
    <n v="26074.44"/>
  </r>
  <r>
    <d v="2024-04-10T00:00:00"/>
    <d v="2024-04-10T00:00:00"/>
    <s v="Yes"/>
    <n v="0"/>
    <n v="52148.88"/>
    <x v="163"/>
    <n v="126"/>
    <d v="2023-03-31T00:00:00"/>
    <s v="G/ZOR"/>
    <s v="Location 4"/>
    <s v="Customer 3"/>
    <n v="126"/>
    <n v="413.88"/>
    <n v="52148.88"/>
  </r>
  <r>
    <d v="2024-06-07T00:00:00"/>
    <d v="2024-06-07T00:00:00"/>
    <s v="Yes"/>
    <n v="0"/>
    <n v="78223.320000000007"/>
    <x v="163"/>
    <n v="189"/>
    <d v="2023-06-07T00:00:00"/>
    <s v="G/ZOR"/>
    <s v="Location 4"/>
    <s v="Customer 3"/>
    <n v="189"/>
    <n v="413.88"/>
    <n v="78223.320000000007"/>
  </r>
  <r>
    <d v="2024-06-07T00:00:00"/>
    <d v="2024-06-07T00:00:00"/>
    <s v="Yes"/>
    <n v="0"/>
    <n v="78223.320000000007"/>
    <x v="163"/>
    <n v="189"/>
    <d v="2023-06-07T00:00:00"/>
    <s v="G/ZOR"/>
    <s v="Location 4"/>
    <s v="Customer 3"/>
    <n v="189"/>
    <n v="413.88"/>
    <n v="78223.320000000007"/>
  </r>
  <r>
    <d v="2024-06-07T00:00:00"/>
    <d v="2024-06-07T00:00:00"/>
    <s v="Yes"/>
    <n v="0"/>
    <n v="52148.88"/>
    <x v="163"/>
    <n v="126"/>
    <d v="2023-06-07T00:00:00"/>
    <s v="G/ZOR"/>
    <s v="Location 4"/>
    <s v="Customer 3"/>
    <n v="126"/>
    <n v="413.88"/>
    <n v="52148.88"/>
  </r>
  <r>
    <d v="2024-06-07T00:00:00"/>
    <d v="2024-06-07T00:00:00"/>
    <s v="Yes"/>
    <n v="0"/>
    <n v="78223.320000000007"/>
    <x v="163"/>
    <n v="189"/>
    <d v="2023-06-07T00:00:00"/>
    <s v="G/ZOR"/>
    <s v="Location 4"/>
    <s v="Customer 3"/>
    <n v="189"/>
    <n v="413.88"/>
    <n v="78223.320000000007"/>
  </r>
  <r>
    <d v="2024-06-26T00:00:00"/>
    <d v="2024-06-26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6-27T00:00:00"/>
    <d v="2024-06-27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6-27T00:00:00"/>
    <d v="2024-06-27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7-03T00:00:00"/>
    <d v="2024-07-03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7-03T00:00:00"/>
    <d v="2024-07-03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7-04T00:00:00"/>
    <d v="2024-07-04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7-04T00:00:00"/>
    <d v="2024-07-04T00:00:00"/>
    <s v="Yes"/>
    <n v="0"/>
    <n v="26074.44"/>
    <x v="163"/>
    <n v="63"/>
    <d v="2023-06-19T00:00:00"/>
    <s v="G/ZOR"/>
    <s v="Location 4"/>
    <s v="Customer 3"/>
    <n v="63"/>
    <n v="413.88"/>
    <n v="26074.44"/>
  </r>
  <r>
    <d v="2024-06-26T00:00:00"/>
    <d v="2024-06-26T00:00:00"/>
    <s v="Yes"/>
    <n v="0"/>
    <n v="52148.88"/>
    <x v="163"/>
    <n v="126"/>
    <d v="2023-06-20T00:00:00"/>
    <s v="G/ZOR"/>
    <s v="Location 4"/>
    <s v="Customer 3"/>
    <n v="126"/>
    <n v="413.88"/>
    <n v="52148.88"/>
  </r>
  <r>
    <d v="2024-06-26T00:00:00"/>
    <d v="2024-06-26T00:00:00"/>
    <s v="Yes"/>
    <n v="0"/>
    <n v="52148.88"/>
    <x v="163"/>
    <n v="126"/>
    <d v="2023-06-20T00:00:00"/>
    <s v="G/ZOR"/>
    <s v="Location 4"/>
    <s v="Customer 3"/>
    <n v="126"/>
    <n v="413.88"/>
    <n v="52148.88"/>
  </r>
  <r>
    <d v="2024-06-26T00:00:00"/>
    <d v="2024-06-26T00:00:00"/>
    <s v="Yes"/>
    <n v="0"/>
    <n v="52148.88"/>
    <x v="163"/>
    <n v="126"/>
    <d v="2023-06-20T00:00:00"/>
    <s v="G/ZOR"/>
    <s v="Location 4"/>
    <s v="Customer 3"/>
    <n v="126"/>
    <n v="413.88"/>
    <n v="52148.88"/>
  </r>
  <r>
    <d v="2024-07-02T00:00:00"/>
    <d v="2024-07-02T00:00:00"/>
    <s v="Yes"/>
    <n v="0"/>
    <n v="52148.88"/>
    <x v="163"/>
    <n v="126"/>
    <d v="2023-06-20T00:00:00"/>
    <s v="G/ZOR"/>
    <s v="Location 4"/>
    <s v="Customer 3"/>
    <n v="126"/>
    <n v="413.88"/>
    <n v="52148.88"/>
  </r>
  <r>
    <d v="2024-07-03T00:00:00"/>
    <d v="2024-07-03T00:00:00"/>
    <s v="Yes"/>
    <n v="0"/>
    <n v="52148.88"/>
    <x v="163"/>
    <n v="126"/>
    <d v="2023-06-20T00:00:00"/>
    <s v="G/ZOR"/>
    <s v="Location 4"/>
    <s v="Customer 3"/>
    <n v="126"/>
    <n v="413.88"/>
    <n v="52148.88"/>
  </r>
  <r>
    <d v="2024-07-03T00:00:00"/>
    <d v="2024-07-03T00:00:00"/>
    <s v="Yes"/>
    <n v="0"/>
    <n v="52148.88"/>
    <x v="163"/>
    <n v="126"/>
    <d v="2023-06-20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163"/>
    <n v="126"/>
    <d v="2023-08-02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163"/>
    <n v="126"/>
    <d v="2023-08-02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163"/>
    <n v="126"/>
    <d v="2023-08-02T00:00:00"/>
    <s v="G/ZOR"/>
    <s v="Location 4"/>
    <s v="Customer 3"/>
    <n v="126"/>
    <n v="413.88"/>
    <n v="52148.88"/>
  </r>
  <r>
    <d v="2024-09-16T00:00:00"/>
    <d v="2024-07-04T00:00:00"/>
    <s v="No"/>
    <n v="74"/>
    <n v="52148.88"/>
    <x v="163"/>
    <n v="126"/>
    <d v="2023-08-02T00:00:00"/>
    <s v="G/ZOR"/>
    <s v="Location 4"/>
    <s v="Customer 3"/>
    <n v="126"/>
    <n v="413.88"/>
    <n v="52148.88"/>
  </r>
  <r>
    <d v="2024-09-16T00:00:00"/>
    <d v="2024-07-04T00:00:00"/>
    <s v="No"/>
    <n v="74"/>
    <n v="52148.88"/>
    <x v="163"/>
    <n v="126"/>
    <d v="2023-08-02T00:00:00"/>
    <s v="G/ZOR"/>
    <s v="Location 4"/>
    <s v="Customer 3"/>
    <n v="126"/>
    <n v="413.88"/>
    <n v="52148.88"/>
  </r>
  <r>
    <d v="2024-09-16T00:00:00"/>
    <d v="2024-07-03T00:00:00"/>
    <s v="No"/>
    <n v="75"/>
    <n v="52148.88"/>
    <x v="163"/>
    <n v="126"/>
    <d v="2023-08-02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09T00:00:00"/>
    <s v="No"/>
    <n v="69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7T00:00:00"/>
    <s v="No"/>
    <n v="61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1T00:00:00"/>
    <s v="No"/>
    <n v="67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6T00:00:00"/>
    <s v="No"/>
    <n v="62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1T00:00:00"/>
    <s v="No"/>
    <n v="67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8T00:00:00"/>
    <s v="No"/>
    <n v="39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8-07T00:00:00"/>
    <s v="No"/>
    <n v="40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10T00:00:00"/>
    <s v="No"/>
    <n v="68"/>
    <n v="52148.88"/>
    <x v="163"/>
    <n v="126"/>
    <d v="2023-08-03T00:00:00"/>
    <s v="G/ZOR"/>
    <s v="Location 4"/>
    <s v="Customer 3"/>
    <n v="126"/>
    <n v="413.88"/>
    <n v="52148.88"/>
  </r>
  <r>
    <d v="2024-09-16T00:00:00"/>
    <d v="2024-07-31T00:00:00"/>
    <s v="No"/>
    <n v="47"/>
    <n v="52148.88"/>
    <x v="163"/>
    <n v="126"/>
    <d v="2023-08-03T00:00:00"/>
    <s v="G/ZOR"/>
    <s v="Location 4"/>
    <s v="Customer 3"/>
    <n v="126"/>
    <n v="413.88"/>
    <n v="52148.88"/>
  </r>
  <r>
    <d v="2024-03-13T00:00:00"/>
    <d v="2024-03-13T00:00:00"/>
    <s v="Yes"/>
    <n v="0"/>
    <n v="16585.560000000001"/>
    <x v="164"/>
    <n v="36"/>
    <d v="2023-06-06T00:00:00"/>
    <s v="G/ZOR"/>
    <s v="Location 4"/>
    <s v="Customer 3"/>
    <n v="36"/>
    <n v="460.71"/>
    <n v="16585.560000000001"/>
  </r>
  <r>
    <d v="2024-03-27T00:00:00"/>
    <d v="2024-03-27T00:00:00"/>
    <s v="Yes"/>
    <n v="0"/>
    <n v="16585.560000000001"/>
    <x v="164"/>
    <n v="36"/>
    <d v="2023-06-06T00:00:00"/>
    <s v="G/ZOR"/>
    <s v="Location 4"/>
    <s v="Customer 3"/>
    <n v="36"/>
    <n v="460.71"/>
    <n v="16585.560000000001"/>
  </r>
  <r>
    <d v="2024-05-15T00:00:00"/>
    <d v="2024-05-15T00:00:00"/>
    <s v="Yes"/>
    <n v="0"/>
    <n v="16585.560000000001"/>
    <x v="164"/>
    <n v="36"/>
    <d v="2023-06-06T00:00:00"/>
    <s v="G/ZOR"/>
    <s v="Location 4"/>
    <s v="Customer 3"/>
    <n v="36"/>
    <n v="460.71"/>
    <n v="16585.560000000001"/>
  </r>
  <r>
    <d v="2024-06-19T00:00:00"/>
    <d v="2024-06-19T00:00:00"/>
    <s v="Yes"/>
    <n v="0"/>
    <n v="16585.560000000001"/>
    <x v="164"/>
    <n v="36"/>
    <d v="2023-06-06T00:00:00"/>
    <s v="G/ZOR"/>
    <s v="Location 4"/>
    <s v="Customer 3"/>
    <n v="36"/>
    <n v="460.71"/>
    <n v="16585.560000000001"/>
  </r>
  <r>
    <d v="2024-06-04T00:00:00"/>
    <d v="2024-06-04T00:00:00"/>
    <s v="Yes"/>
    <n v="0"/>
    <n v="66342.240000000005"/>
    <x v="164"/>
    <n v="144"/>
    <d v="2023-06-07T00:00:00"/>
    <s v="G/ZOR"/>
    <s v="Location 4"/>
    <s v="Customer 3"/>
    <n v="144"/>
    <n v="460.71"/>
    <n v="66342.240000000005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6-05T00:00:00"/>
    <d v="2024-06-05T00:00:00"/>
    <s v="Yes"/>
    <n v="0"/>
    <n v="132684.48000000001"/>
    <x v="164"/>
    <n v="288"/>
    <d v="2023-06-08T00:00:00"/>
    <s v="G/ZOR"/>
    <s v="Location 4"/>
    <s v="Customer 3"/>
    <n v="288"/>
    <n v="460.71"/>
    <n v="132684.48000000001"/>
  </r>
  <r>
    <d v="2024-07-11T00:00:00"/>
    <d v="2024-07-11T00:00:00"/>
    <s v="Yes"/>
    <n v="0"/>
    <n v="82927.8"/>
    <x v="164"/>
    <n v="180"/>
    <d v="2023-06-15T00:00:00"/>
    <s v="G/ZOR"/>
    <s v="Location 4"/>
    <s v="Customer 3"/>
    <n v="180"/>
    <n v="460.71"/>
    <n v="82927.8"/>
  </r>
  <r>
    <d v="2024-06-26T00:00:00"/>
    <d v="2024-06-26T00:00:00"/>
    <s v="Yes"/>
    <n v="0"/>
    <n v="16585.560000000001"/>
    <x v="164"/>
    <n v="36"/>
    <d v="2023-06-21T00:00:00"/>
    <s v="G/ZOR"/>
    <s v="Location 4"/>
    <s v="Customer 3"/>
    <n v="36"/>
    <n v="460.71"/>
    <n v="16585.560000000001"/>
  </r>
  <r>
    <d v="2023-12-26T00:00:00"/>
    <d v="2023-12-26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1-16T00:00:00"/>
    <d v="2024-01-16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1-16T00:00:00"/>
    <d v="2024-01-16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3-13T00:00:00"/>
    <d v="2024-03-13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3-27T00:00:00"/>
    <d v="2024-03-27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4-17T00:00:00"/>
    <d v="2024-04-17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4-24T00:00:00"/>
    <d v="2024-04-24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6-12T00:00:00"/>
    <d v="2024-06-12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6-26T00:00:00"/>
    <d v="2024-06-26T00:00:00"/>
    <s v="Yes"/>
    <n v="0"/>
    <n v="165855.6"/>
    <x v="164"/>
    <n v="360"/>
    <d v="2023-06-22T00:00:00"/>
    <s v="G/ZOR"/>
    <s v="Location 4"/>
    <s v="Customer 3"/>
    <n v="360"/>
    <n v="460.71"/>
    <n v="165855.6"/>
  </r>
  <r>
    <d v="2024-07-02T00:00:00"/>
    <d v="2024-07-02T00:00:00"/>
    <s v="Yes"/>
    <n v="0"/>
    <n v="49756.68"/>
    <x v="164"/>
    <n v="108"/>
    <d v="2023-06-22T00:00:00"/>
    <s v="G/ZOR"/>
    <s v="Location 4"/>
    <s v="Customer 3"/>
    <n v="108"/>
    <n v="460.71"/>
    <n v="49756.68"/>
  </r>
  <r>
    <d v="2024-07-02T00:00:00"/>
    <d v="2024-07-02T00:00:00"/>
    <s v="Yes"/>
    <n v="0"/>
    <n v="49756.68"/>
    <x v="164"/>
    <n v="108"/>
    <d v="2023-06-22T00:00:00"/>
    <s v="G/ZOR"/>
    <s v="Location 4"/>
    <s v="Customer 3"/>
    <n v="108"/>
    <n v="460.71"/>
    <n v="49756.68"/>
  </r>
  <r>
    <d v="2024-07-03T00:00:00"/>
    <d v="2024-07-03T00:00:00"/>
    <s v="Yes"/>
    <n v="0"/>
    <n v="49756.68"/>
    <x v="164"/>
    <n v="108"/>
    <d v="2023-06-22T00:00:00"/>
    <s v="G/ZOR"/>
    <s v="Location 4"/>
    <s v="Customer 3"/>
    <n v="108"/>
    <n v="460.71"/>
    <n v="49756.68"/>
  </r>
  <r>
    <d v="2024-07-09T00:00:00"/>
    <d v="2024-07-09T00:00:00"/>
    <s v="Yes"/>
    <n v="0"/>
    <n v="165855.6"/>
    <x v="164"/>
    <n v="360"/>
    <d v="2023-08-02T00:00:00"/>
    <s v="G/ZOR"/>
    <s v="Location 4"/>
    <s v="Customer 3"/>
    <n v="360"/>
    <n v="460.71"/>
    <n v="165855.6"/>
  </r>
  <r>
    <d v="2024-07-16T00:00:00"/>
    <d v="2024-07-16T00:00:00"/>
    <s v="Yes"/>
    <n v="0"/>
    <n v="165855.6"/>
    <x v="164"/>
    <n v="360"/>
    <d v="2023-08-02T00:00:00"/>
    <s v="G/ZOR"/>
    <s v="Location 4"/>
    <s v="Customer 3"/>
    <n v="360"/>
    <n v="460.71"/>
    <n v="165855.6"/>
  </r>
  <r>
    <d v="2024-07-30T00:00:00"/>
    <d v="2024-07-30T00:00:00"/>
    <s v="Yes"/>
    <n v="0"/>
    <n v="165855.6"/>
    <x v="164"/>
    <n v="360"/>
    <d v="2023-08-02T00:00:00"/>
    <s v="G/ZOR"/>
    <s v="Location 4"/>
    <s v="Customer 3"/>
    <n v="360"/>
    <n v="460.71"/>
    <n v="165855.6"/>
  </r>
  <r>
    <d v="2024-07-30T00:00:00"/>
    <d v="2024-07-30T00:00:00"/>
    <s v="Yes"/>
    <n v="0"/>
    <n v="165855.6"/>
    <x v="164"/>
    <n v="360"/>
    <d v="2023-08-02T00:00:00"/>
    <s v="G/ZOR"/>
    <s v="Location 4"/>
    <s v="Customer 3"/>
    <n v="360"/>
    <n v="460.71"/>
    <n v="165855.6"/>
  </r>
  <r>
    <d v="2024-09-16T00:00:00"/>
    <d v="2024-08-27T00:00:00"/>
    <s v="No"/>
    <n v="20"/>
    <n v="149270.04"/>
    <x v="164"/>
    <n v="324"/>
    <d v="2023-08-17T00:00:00"/>
    <s v="G/ZOR"/>
    <s v="Location 4"/>
    <s v="Customer 3"/>
    <n v="324"/>
    <n v="460.71"/>
    <n v="149270.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">
  <r>
    <n v="233"/>
    <n v="105308.28"/>
    <d v="2022-12-18T00:00:00"/>
    <x v="0"/>
    <n v="26796"/>
    <s v="91+ Days"/>
    <n v="3.93"/>
  </r>
  <r>
    <n v="230"/>
    <n v="4154638.84"/>
    <d v="2022-12-21T00:00:00"/>
    <x v="1"/>
    <n v="344212"/>
    <s v="91+ Days"/>
    <n v="12.07"/>
  </r>
  <r>
    <n v="231"/>
    <n v="9719729.5999999996"/>
    <d v="2022-12-20T00:00:00"/>
    <x v="2"/>
    <n v="805280"/>
    <s v="91+ Days"/>
    <n v="12.07"/>
  </r>
  <r>
    <n v="231"/>
    <n v="2294156.48"/>
    <d v="2022-12-20T00:00:00"/>
    <x v="3"/>
    <n v="87164"/>
    <s v="91+ Days"/>
    <n v="26.32"/>
  </r>
  <r>
    <n v="224"/>
    <n v="1434861.12"/>
    <d v="2022-12-27T00:00:00"/>
    <x v="3"/>
    <n v="54516"/>
    <s v="91+ Days"/>
    <n v="26.32"/>
  </r>
  <r>
    <n v="184"/>
    <n v="203162.4"/>
    <d v="2023-02-05T00:00:00"/>
    <x v="0"/>
    <n v="48720"/>
    <s v="91+ Days"/>
    <n v="4.17"/>
  </r>
  <r>
    <n v="189"/>
    <n v="91423.08"/>
    <d v="2023-01-31T00:00:00"/>
    <x v="0"/>
    <n v="21924"/>
    <s v="91+ Days"/>
    <n v="4.17"/>
  </r>
  <r>
    <n v="184"/>
    <n v="193004.28"/>
    <d v="2023-02-05T00:00:00"/>
    <x v="0"/>
    <n v="46284"/>
    <s v="91+ Days"/>
    <n v="4.17"/>
  </r>
  <r>
    <n v="189"/>
    <n v="193004.28"/>
    <d v="2023-01-31T00:00:00"/>
    <x v="0"/>
    <n v="46284"/>
    <s v="91+ Days"/>
    <n v="4.17"/>
  </r>
  <r>
    <n v="189"/>
    <n v="193004.28"/>
    <d v="2023-01-31T00:00:00"/>
    <x v="0"/>
    <n v="46284"/>
    <s v="91+ Days"/>
    <n v="4.17"/>
  </r>
  <r>
    <n v="184"/>
    <n v="20316.240000000002"/>
    <d v="2023-02-05T00:00:00"/>
    <x v="0"/>
    <n v="4872"/>
    <s v="91+ Days"/>
    <n v="4.17"/>
  </r>
  <r>
    <n v="184"/>
    <n v="111739.32"/>
    <d v="2023-02-05T00:00:00"/>
    <x v="0"/>
    <n v="26796"/>
    <s v="91+ Days"/>
    <n v="4.17"/>
  </r>
  <r>
    <n v="189"/>
    <n v="203162.4"/>
    <d v="2023-01-31T00:00:00"/>
    <x v="0"/>
    <n v="48720"/>
    <s v="91+ Days"/>
    <n v="4.17"/>
  </r>
  <r>
    <n v="57"/>
    <n v="10158.120000000001"/>
    <d v="2023-06-12T00:00:00"/>
    <x v="0"/>
    <n v="2436"/>
    <s v="31-60 Days"/>
    <n v="4.17"/>
  </r>
  <r>
    <n v="57"/>
    <n v="132055.56"/>
    <d v="2023-06-12T00:00:00"/>
    <x v="0"/>
    <n v="31668"/>
    <s v="31-60 Days"/>
    <n v="4.17"/>
  </r>
  <r>
    <n v="57"/>
    <n v="213320.52"/>
    <d v="2023-06-12T00:00:00"/>
    <x v="0"/>
    <n v="51156"/>
    <s v="31-60 Days"/>
    <n v="4.17"/>
  </r>
  <r>
    <n v="57"/>
    <n v="681655.84"/>
    <d v="2023-06-12T00:00:00"/>
    <x v="2"/>
    <n v="53296"/>
    <s v="31-60 Days"/>
    <n v="12.79"/>
  </r>
  <r>
    <n v="57"/>
    <n v="132055.56"/>
    <d v="2023-06-12T00:00:00"/>
    <x v="0"/>
    <n v="31668"/>
    <s v="31-60 Days"/>
    <n v="4.17"/>
  </r>
  <r>
    <n v="57"/>
    <n v="91423.08"/>
    <d v="2023-06-12T00:00:00"/>
    <x v="0"/>
    <n v="21924"/>
    <s v="31-60 Days"/>
    <n v="4.17"/>
  </r>
  <r>
    <n v="57"/>
    <n v="1991147.2"/>
    <d v="2023-06-12T00:00:00"/>
    <x v="2"/>
    <n v="155680"/>
    <s v="31-60 Days"/>
    <n v="12.79"/>
  </r>
  <r>
    <n v="55"/>
    <n v="700597.83"/>
    <d v="2023-06-14T00:00:00"/>
    <x v="2"/>
    <n v="54777"/>
    <s v="31-60 Days"/>
    <n v="12.79"/>
  </r>
  <r>
    <n v="42"/>
    <n v="1048370.4"/>
    <d v="2023-06-27T00:00:00"/>
    <x v="3"/>
    <n v="37576"/>
    <s v="31-60 Days"/>
    <n v="27.9"/>
  </r>
  <r>
    <n v="42"/>
    <n v="403880.4"/>
    <d v="2023-06-27T00:00:00"/>
    <x v="3"/>
    <n v="14476"/>
    <s v="31-60 Days"/>
    <n v="27.9"/>
  </r>
  <r>
    <n v="42"/>
    <n v="627303.6"/>
    <d v="2023-06-27T00:00:00"/>
    <x v="3"/>
    <n v="22484"/>
    <s v="31-60 Days"/>
    <n v="27.9"/>
  </r>
  <r>
    <n v="42"/>
    <n v="824947.19999999995"/>
    <d v="2023-06-27T00:00:00"/>
    <x v="3"/>
    <n v="29568"/>
    <s v="31-60 Days"/>
    <n v="27.9"/>
  </r>
  <r>
    <n v="42"/>
    <n v="610061.4"/>
    <d v="2023-06-27T00:00:00"/>
    <x v="3"/>
    <n v="21866"/>
    <s v="31-60 Days"/>
    <n v="27.9"/>
  </r>
  <r>
    <n v="42"/>
    <n v="842189.4"/>
    <d v="2023-06-27T00:00:00"/>
    <x v="3"/>
    <n v="30186"/>
    <s v="31-60 Days"/>
    <n v="27.9"/>
  </r>
  <r>
    <n v="42"/>
    <n v="902286"/>
    <d v="2023-06-27T00:00:00"/>
    <x v="3"/>
    <n v="32340"/>
    <s v="31-60 Days"/>
    <n v="27.9"/>
  </r>
  <r>
    <n v="42"/>
    <n v="549964.80000000005"/>
    <d v="2023-06-27T00:00:00"/>
    <x v="3"/>
    <n v="19712"/>
    <s v="31-60 Days"/>
    <n v="27.9"/>
  </r>
  <r>
    <n v="42"/>
    <n v="1160082"/>
    <d v="2023-06-27T00:00:00"/>
    <x v="3"/>
    <n v="41580"/>
    <s v="31-60 Days"/>
    <n v="27.9"/>
  </r>
  <r>
    <n v="42"/>
    <n v="292168.8"/>
    <d v="2023-06-27T00:00:00"/>
    <x v="3"/>
    <n v="10472"/>
    <s v="31-60 Days"/>
    <n v="27.9"/>
  </r>
  <r>
    <n v="42"/>
    <n v="25779.599999999999"/>
    <d v="2023-06-27T00:00:00"/>
    <x v="3"/>
    <n v="924"/>
    <s v="31-60 Days"/>
    <n v="27.9"/>
  </r>
  <r>
    <n v="42"/>
    <n v="1426471.2"/>
    <d v="2023-06-27T00:00:00"/>
    <x v="3"/>
    <n v="51128"/>
    <s v="31-60 Days"/>
    <n v="27.9"/>
  </r>
  <r>
    <n v="42"/>
    <n v="1901617.2"/>
    <d v="2023-06-27T00:00:00"/>
    <x v="2"/>
    <n v="148680"/>
    <s v="31-60 Days"/>
    <n v="12.79"/>
  </r>
  <r>
    <n v="42"/>
    <n v="773539.2"/>
    <d v="2023-06-27T00:00:00"/>
    <x v="2"/>
    <n v="60480"/>
    <s v="31-60 Days"/>
    <n v="12.79"/>
  </r>
  <r>
    <n v="42"/>
    <n v="658940.80000000005"/>
    <d v="2023-06-27T00:00:00"/>
    <x v="1"/>
    <n v="51520"/>
    <s v="31-60 Days"/>
    <n v="12.79"/>
  </r>
  <r>
    <n v="42"/>
    <n v="658940.80000000005"/>
    <d v="2023-06-27T00:00:00"/>
    <x v="1"/>
    <n v="51520"/>
    <s v="31-60 Days"/>
    <n v="12.79"/>
  </r>
  <r>
    <n v="42"/>
    <n v="415419.2"/>
    <d v="2023-06-27T00:00:00"/>
    <x v="1"/>
    <n v="32480"/>
    <s v="31-60 Days"/>
    <n v="12.79"/>
  </r>
  <r>
    <n v="42"/>
    <n v="673265.6"/>
    <d v="2023-06-27T00:00:00"/>
    <x v="1"/>
    <n v="52640"/>
    <s v="31-60 Days"/>
    <n v="12.79"/>
  </r>
  <r>
    <n v="42"/>
    <n v="28649.599999999999"/>
    <d v="2023-06-27T00:00:00"/>
    <x v="2"/>
    <n v="2240"/>
    <s v="31-60 Days"/>
    <n v="12.79"/>
  </r>
  <r>
    <n v="42"/>
    <n v="292168.8"/>
    <d v="2023-06-27T00:00:00"/>
    <x v="3"/>
    <n v="10472"/>
    <s v="31-60 Days"/>
    <n v="27.9"/>
  </r>
  <r>
    <n v="42"/>
    <n v="1297573.2"/>
    <d v="2023-06-27T00:00:00"/>
    <x v="3"/>
    <n v="46508"/>
    <s v="31-60 Days"/>
    <n v="27.9"/>
  </r>
  <r>
    <n v="42"/>
    <n v="146084.4"/>
    <d v="2023-06-27T00:00:00"/>
    <x v="3"/>
    <n v="5236"/>
    <s v="31-60 Days"/>
    <n v="27.9"/>
  </r>
  <r>
    <n v="41"/>
    <n v="1332206.3999999999"/>
    <d v="2023-06-28T00:00:00"/>
    <x v="2"/>
    <n v="104160"/>
    <s v="31-60 Days"/>
    <n v="12.79"/>
  </r>
  <r>
    <n v="41"/>
    <n v="1332206.3999999999"/>
    <d v="2023-06-28T00:00:00"/>
    <x v="2"/>
    <n v="104160"/>
    <s v="31-60 Days"/>
    <n v="12.79"/>
  </r>
  <r>
    <n v="41"/>
    <n v="1103009.6000000001"/>
    <d v="2023-06-28T00:00:00"/>
    <x v="2"/>
    <n v="86240"/>
    <s v="31-60 Days"/>
    <n v="12.79"/>
  </r>
  <r>
    <n v="41"/>
    <n v="673265.6"/>
    <d v="2023-06-28T00:00:00"/>
    <x v="1"/>
    <n v="52640"/>
    <s v="31-60 Days"/>
    <n v="12.79"/>
  </r>
  <r>
    <n v="41"/>
    <n v="306960"/>
    <d v="2023-06-28T00:00:00"/>
    <x v="1"/>
    <n v="24000"/>
    <s v="31-60 Days"/>
    <n v="12.79"/>
  </r>
  <r>
    <n v="40"/>
    <n v="544342.4"/>
    <d v="2023-06-29T00:00:00"/>
    <x v="1"/>
    <n v="42560"/>
    <s v="31-60 Days"/>
    <n v="12.79"/>
  </r>
  <r>
    <n v="40"/>
    <n v="114598.39999999999"/>
    <d v="2023-06-29T00:00:00"/>
    <x v="2"/>
    <n v="8960"/>
    <s v="31-60 Days"/>
    <n v="12.79"/>
  </r>
  <r>
    <n v="40"/>
    <n v="658940.80000000005"/>
    <d v="2023-06-29T00:00:00"/>
    <x v="1"/>
    <n v="51520"/>
    <s v="31-60 Days"/>
    <n v="12.79"/>
  </r>
  <r>
    <n v="36"/>
    <n v="1332206.3999999999"/>
    <d v="2023-07-03T00:00:00"/>
    <x v="2"/>
    <n v="104160"/>
    <s v="31-60 Days"/>
    <n v="12.79"/>
  </r>
  <r>
    <n v="36"/>
    <n v="1332206.3999999999"/>
    <d v="2023-07-03T00:00:00"/>
    <x v="2"/>
    <n v="104160"/>
    <s v="31-60 Days"/>
    <n v="12.79"/>
  </r>
  <r>
    <n v="36"/>
    <n v="1686694.04"/>
    <d v="2023-07-03T00:00:00"/>
    <x v="1"/>
    <n v="131876"/>
    <s v="31-60 Days"/>
    <n v="12.79"/>
  </r>
  <r>
    <n v="36"/>
    <n v="315145.59999999998"/>
    <d v="2023-07-03T00:00:00"/>
    <x v="1"/>
    <n v="24640"/>
    <s v="31-60 Days"/>
    <n v="12.79"/>
  </r>
  <r>
    <n v="36"/>
    <n v="673265.6"/>
    <d v="2023-07-03T00:00:00"/>
    <x v="1"/>
    <n v="52640"/>
    <s v="31-60 Days"/>
    <n v="12.79"/>
  </r>
  <r>
    <n v="35"/>
    <n v="128923.2"/>
    <d v="2023-07-04T00:00:00"/>
    <x v="1"/>
    <n v="10080"/>
    <s v="31-60 Days"/>
    <n v="12.79"/>
  </r>
  <r>
    <n v="35"/>
    <n v="873812.8"/>
    <d v="2023-07-04T00:00:00"/>
    <x v="2"/>
    <n v="68320"/>
    <s v="31-60 Days"/>
    <n v="12.79"/>
  </r>
  <r>
    <n v="35"/>
    <n v="773388"/>
    <d v="2023-07-04T00:00:00"/>
    <x v="3"/>
    <n v="27720"/>
    <s v="31-60 Days"/>
    <n v="27.9"/>
  </r>
  <r>
    <n v="35"/>
    <n v="1332206.3999999999"/>
    <d v="2023-07-04T00:00:00"/>
    <x v="2"/>
    <n v="104160"/>
    <s v="31-60 Days"/>
    <n v="12.79"/>
  </r>
  <r>
    <n v="34"/>
    <n v="132555.56"/>
    <d v="2023-07-05T00:00:00"/>
    <x v="1"/>
    <n v="10364"/>
    <s v="31-60 Days"/>
    <n v="12.79"/>
  </r>
  <r>
    <n v="34"/>
    <n v="1039366.56"/>
    <d v="2023-07-05T00:00:00"/>
    <x v="2"/>
    <n v="81264"/>
    <s v="31-60 Days"/>
    <n v="12.79"/>
  </r>
  <r>
    <n v="33"/>
    <n v="360914.4"/>
    <d v="2023-07-06T00:00:00"/>
    <x v="3"/>
    <n v="12936"/>
    <s v="31-60 Days"/>
    <n v="27.9"/>
  </r>
  <r>
    <n v="33"/>
    <n v="1091336.3999999999"/>
    <d v="2023-07-06T00:00:00"/>
    <x v="3"/>
    <n v="39116"/>
    <s v="31-60 Days"/>
    <n v="27.9"/>
  </r>
  <r>
    <n v="27"/>
    <n v="1332206.3999999999"/>
    <d v="2023-07-12T00:00:00"/>
    <x v="2"/>
    <n v="104160"/>
    <s v="0-30 Days"/>
    <n v="12.79"/>
  </r>
  <r>
    <n v="21"/>
    <n v="319839.53000000003"/>
    <d v="2023-07-18T00:00:00"/>
    <x v="2"/>
    <n v="25007"/>
    <s v="0-30 Days"/>
    <n v="12.79"/>
  </r>
  <r>
    <n v="21"/>
    <n v="246591.2"/>
    <d v="2023-07-18T00:00:00"/>
    <x v="1"/>
    <n v="19280"/>
    <s v="0-30 Days"/>
    <n v="12.79"/>
  </r>
  <r>
    <n v="21"/>
    <n v="278515.03999999998"/>
    <d v="2023-07-18T00:00:00"/>
    <x v="2"/>
    <n v="21776"/>
    <s v="0-30 Days"/>
    <n v="12.79"/>
  </r>
  <r>
    <n v="21"/>
    <n v="175888.08"/>
    <d v="2023-07-18T00:00:00"/>
    <x v="1"/>
    <n v="13752"/>
    <s v="0-30 Days"/>
    <n v="12.79"/>
  </r>
  <r>
    <n v="20"/>
    <n v="673265.6"/>
    <d v="2023-07-19T00:00:00"/>
    <x v="1"/>
    <n v="52640"/>
    <s v="0-30 Days"/>
    <n v="12.79"/>
  </r>
  <r>
    <n v="20"/>
    <n v="1332206.3999999999"/>
    <d v="2023-07-19T00:00:00"/>
    <x v="2"/>
    <n v="104160"/>
    <s v="0-30 Days"/>
    <n v="12.79"/>
  </r>
  <r>
    <n v="19"/>
    <n v="1185861.6000000001"/>
    <d v="2023-07-20T00:00:00"/>
    <x v="3"/>
    <n v="42504"/>
    <s v="0-30 Days"/>
    <n v="27.9"/>
  </r>
  <r>
    <n v="19"/>
    <n v="266389.2"/>
    <d v="2023-07-20T00:00:00"/>
    <x v="3"/>
    <n v="9548"/>
    <s v="0-30 Days"/>
    <n v="27.9"/>
  </r>
  <r>
    <n v="19"/>
    <n v="658940.80000000005"/>
    <d v="2023-07-20T00:00:00"/>
    <x v="1"/>
    <n v="51520"/>
    <s v="0-30 Days"/>
    <n v="12.79"/>
  </r>
  <r>
    <n v="13"/>
    <n v="438253.2"/>
    <d v="2023-07-26T00:00:00"/>
    <x v="3"/>
    <n v="15708"/>
    <s v="0-30 Days"/>
    <n v="27.9"/>
  </r>
  <r>
    <n v="13"/>
    <n v="1013997.6"/>
    <d v="2023-07-26T00:00:00"/>
    <x v="3"/>
    <n v="36344"/>
    <s v="0-30 Days"/>
    <n v="27.9"/>
  </r>
  <r>
    <n v="13"/>
    <n v="658940.80000000005"/>
    <d v="2023-07-26T00:00:00"/>
    <x v="1"/>
    <n v="51520"/>
    <s v="0-30 Days"/>
    <n v="12.79"/>
  </r>
  <r>
    <n v="12"/>
    <n v="658940.80000000005"/>
    <d v="2023-07-27T00:00:00"/>
    <x v="1"/>
    <n v="51520"/>
    <s v="0-30 Days"/>
    <n v="12.79"/>
  </r>
  <r>
    <n v="12"/>
    <n v="165758.39999999999"/>
    <d v="2023-07-27T00:00:00"/>
    <x v="1"/>
    <n v="12960"/>
    <s v="0-30 Days"/>
    <n v="12.79"/>
  </r>
  <r>
    <n v="497"/>
    <n v="160"/>
    <d v="2022-03-29T00:00:00"/>
    <x v="4"/>
    <n v="4000"/>
    <s v="91+ Days"/>
    <n v="0.04"/>
  </r>
  <r>
    <n v="203"/>
    <n v="132617.51999999999"/>
    <d v="2023-01-17T00:00:00"/>
    <x v="5"/>
    <n v="588"/>
    <s v="91+ Days"/>
    <n v="225.54"/>
  </r>
  <r>
    <n v="187"/>
    <n v="69778.8"/>
    <d v="2023-02-02T00:00:00"/>
    <x v="6"/>
    <n v="1512"/>
    <s v="91+ Days"/>
    <n v="46.15"/>
  </r>
  <r>
    <n v="84"/>
    <n v="281930.88"/>
    <d v="2023-05-16T00:00:00"/>
    <x v="7"/>
    <n v="1848"/>
    <s v="61-90 Days"/>
    <n v="152.56"/>
  </r>
  <r>
    <n v="315"/>
    <n v="34345.919999999998"/>
    <d v="2022-09-27T00:00:00"/>
    <x v="8"/>
    <n v="84"/>
    <s v="91+ Days"/>
    <n v="408.88"/>
  </r>
  <r>
    <n v="315"/>
    <n v="22670.9"/>
    <d v="2022-09-27T00:00:00"/>
    <x v="9"/>
    <n v="70"/>
    <s v="91+ Days"/>
    <n v="323.87"/>
  </r>
  <r>
    <n v="762"/>
    <n v="41576.400000000001"/>
    <d v="2021-07-07T00:00:00"/>
    <x v="10"/>
    <n v="120"/>
    <s v="91+ Days"/>
    <n v="346.47"/>
  </r>
  <r>
    <n v="497"/>
    <n v="4960"/>
    <d v="2022-03-29T00:00:00"/>
    <x v="4"/>
    <n v="124000"/>
    <s v="91+ Days"/>
    <n v="0.04"/>
  </r>
  <r>
    <n v="60"/>
    <n v="139063.67999999999"/>
    <d v="2023-06-09T00:00:00"/>
    <x v="11"/>
    <n v="1008"/>
    <s v="31-60 Days"/>
    <n v="137.96"/>
  </r>
  <r>
    <n v="55"/>
    <n v="187953.92000000001"/>
    <d v="2023-06-14T00:00:00"/>
    <x v="7"/>
    <n v="1232"/>
    <s v="31-60 Days"/>
    <n v="152.56"/>
  </r>
  <r>
    <n v="55"/>
    <n v="421419.6"/>
    <d v="2023-06-14T00:00:00"/>
    <x v="12"/>
    <n v="2520"/>
    <s v="31-60 Days"/>
    <n v="167.23"/>
  </r>
  <r>
    <n v="49"/>
    <n v="4459"/>
    <d v="2023-06-20T00:00:00"/>
    <x v="13"/>
    <n v="1820"/>
    <s v="31-60 Days"/>
    <n v="2.4500000000000002"/>
  </r>
  <r>
    <n v="40"/>
    <n v="182602.56"/>
    <d v="2023-06-29T00:00:00"/>
    <x v="14"/>
    <n v="672"/>
    <s v="31-60 Days"/>
    <n v="271.73"/>
  </r>
  <r>
    <n v="40"/>
    <n v="2140908"/>
    <d v="2023-06-29T00:00:00"/>
    <x v="15"/>
    <n v="6468"/>
    <s v="31-60 Days"/>
    <n v="331"/>
  </r>
  <r>
    <n v="34"/>
    <n v="54280.800000000003"/>
    <d v="2023-07-05T00:00:00"/>
    <x v="16"/>
    <n v="3780"/>
    <s v="31-60 Days"/>
    <n v="14.36"/>
  </r>
  <r>
    <n v="13"/>
    <n v="145971"/>
    <d v="2023-07-26T00:00:00"/>
    <x v="15"/>
    <n v="441"/>
    <s v="0-30 Days"/>
    <n v="331"/>
  </r>
  <r>
    <n v="12"/>
    <n v="174717.9"/>
    <d v="2023-07-27T00:00:00"/>
    <x v="17"/>
    <n v="630"/>
    <s v="0-30 Days"/>
    <n v="277.33"/>
  </r>
  <r>
    <n v="12"/>
    <n v="174717.9"/>
    <d v="2023-07-27T00:00:00"/>
    <x v="17"/>
    <n v="630"/>
    <s v="0-30 Days"/>
    <n v="277.33"/>
  </r>
  <r>
    <n v="12"/>
    <n v="174717.9"/>
    <d v="2023-07-27T00:00:00"/>
    <x v="17"/>
    <n v="630"/>
    <s v="0-30 Days"/>
    <n v="277.33"/>
  </r>
  <r>
    <n v="12"/>
    <n v="349435.8"/>
    <d v="2023-07-27T00:00:00"/>
    <x v="17"/>
    <n v="1260"/>
    <s v="0-30 Days"/>
    <n v="277.33"/>
  </r>
  <r>
    <n v="12"/>
    <n v="153086.6"/>
    <d v="2023-07-27T00:00:00"/>
    <x v="18"/>
    <n v="655"/>
    <s v="0-30 Days"/>
    <n v="233.72"/>
  </r>
  <r>
    <n v="12"/>
    <n v="33889.4"/>
    <d v="2023-07-27T00:00:00"/>
    <x v="18"/>
    <n v="145"/>
    <s v="0-30 Days"/>
    <n v="233.72"/>
  </r>
  <r>
    <n v="11"/>
    <n v="97314"/>
    <d v="2023-07-28T00:00:00"/>
    <x v="15"/>
    <n v="294"/>
    <s v="0-30 Days"/>
    <n v="331"/>
  </r>
  <r>
    <n v="11"/>
    <n v="583884"/>
    <d v="2023-07-28T00:00:00"/>
    <x v="15"/>
    <n v="1764"/>
    <s v="0-30 Days"/>
    <n v="331"/>
  </r>
  <r>
    <n v="6"/>
    <n v="132617.51999999999"/>
    <d v="2023-08-02T00:00:00"/>
    <x v="5"/>
    <n v="588"/>
    <s v="0-30 Days"/>
    <n v="225.54"/>
  </r>
  <r>
    <n v="6"/>
    <n v="113131.2"/>
    <d v="2023-08-02T00:00:00"/>
    <x v="19"/>
    <n v="1176"/>
    <s v="0-30 Days"/>
    <n v="96.2"/>
  </r>
  <r>
    <n v="0"/>
    <n v="120435.84"/>
    <d v="2023-08-08T00:00:00"/>
    <x v="20"/>
    <n v="1008"/>
    <s v="0-30 Days"/>
    <n v="119.48"/>
  </r>
  <r>
    <n v="0"/>
    <n v="113131.2"/>
    <s v=""/>
    <x v="19"/>
    <n v="1176"/>
    <s v="0-30 Days"/>
    <n v="96.2"/>
  </r>
  <r>
    <n v="377"/>
    <n v="47271.6"/>
    <d v="2022-07-27T00:00:00"/>
    <x v="21"/>
    <n v="810"/>
    <s v="91+ Days"/>
    <n v="58.36"/>
  </r>
  <r>
    <n v="274"/>
    <n v="304113.96000000002"/>
    <d v="2022-11-07T00:00:00"/>
    <x v="21"/>
    <n v="5211"/>
    <s v="91+ Days"/>
    <n v="58.36"/>
  </r>
  <r>
    <n v="274"/>
    <n v="354537"/>
    <d v="2022-11-07T00:00:00"/>
    <x v="21"/>
    <n v="6075"/>
    <s v="91+ Days"/>
    <n v="58.36"/>
  </r>
  <r>
    <n v="202"/>
    <n v="24432"/>
    <d v="2023-01-18T00:00:00"/>
    <x v="21"/>
    <n v="160"/>
    <s v="91+ Days"/>
    <n v="152.69999999999999"/>
  </r>
  <r>
    <n v="175"/>
    <n v="24432"/>
    <d v="2023-02-14T00:00:00"/>
    <x v="21"/>
    <n v="160"/>
    <s v="91+ Days"/>
    <n v="152.69999999999999"/>
  </r>
  <r>
    <n v="155"/>
    <n v="8932"/>
    <d v="2023-03-06T00:00:00"/>
    <x v="22"/>
    <n v="350"/>
    <s v="91+ Days"/>
    <n v="25.52"/>
  </r>
  <r>
    <n v="137"/>
    <n v="1344"/>
    <d v="2023-03-24T00:00:00"/>
    <x v="23"/>
    <n v="20"/>
    <s v="91+ Days"/>
    <n v="67.2"/>
  </r>
  <r>
    <n v="137"/>
    <n v="21947.200000000001"/>
    <d v="2023-03-24T00:00:00"/>
    <x v="22"/>
    <n v="860"/>
    <s v="91+ Days"/>
    <n v="25.52"/>
  </r>
  <r>
    <n v="119"/>
    <n v="15000"/>
    <d v="2023-04-11T00:00:00"/>
    <x v="24"/>
    <n v="6000"/>
    <s v="91+ Days"/>
    <n v="2.5"/>
  </r>
  <r>
    <n v="119"/>
    <n v="30000"/>
    <d v="2023-04-11T00:00:00"/>
    <x v="24"/>
    <n v="12000"/>
    <s v="91+ Days"/>
    <n v="2.5"/>
  </r>
  <r>
    <n v="113"/>
    <n v="8932"/>
    <d v="2023-04-17T00:00:00"/>
    <x v="22"/>
    <n v="350"/>
    <s v="91+ Days"/>
    <n v="25.52"/>
  </r>
  <r>
    <n v="106"/>
    <n v="109304.9"/>
    <d v="2023-04-24T00:00:00"/>
    <x v="25"/>
    <n v="170"/>
    <s v="91+ Days"/>
    <n v="642.97"/>
  </r>
  <r>
    <n v="106"/>
    <n v="34077.410000000003"/>
    <d v="2023-04-24T00:00:00"/>
    <x v="25"/>
    <n v="53"/>
    <s v="91+ Days"/>
    <n v="642.97"/>
  </r>
  <r>
    <n v="85"/>
    <n v="5104"/>
    <d v="2023-05-15T00:00:00"/>
    <x v="22"/>
    <n v="200"/>
    <s v="61-90 Days"/>
    <n v="25.52"/>
  </r>
  <r>
    <n v="85"/>
    <n v="10279.620000000001"/>
    <d v="2023-05-15T00:00:00"/>
    <x v="26"/>
    <n v="191"/>
    <s v="61-90 Days"/>
    <n v="53.82"/>
  </r>
  <r>
    <n v="53"/>
    <n v="10641.84"/>
    <d v="2023-06-16T00:00:00"/>
    <x v="22"/>
    <n v="417"/>
    <s v="31-60 Days"/>
    <n v="25.52"/>
  </r>
  <r>
    <n v="49"/>
    <n v="34983"/>
    <d v="2023-06-20T00:00:00"/>
    <x v="26"/>
    <n v="650"/>
    <s v="31-60 Days"/>
    <n v="53.82"/>
  </r>
  <r>
    <n v="244"/>
    <n v="106905.60000000001"/>
    <d v="2022-12-07T00:00:00"/>
    <x v="27"/>
    <n v="768"/>
    <s v="91+ Days"/>
    <n v="139.19999999999999"/>
  </r>
  <r>
    <n v="84"/>
    <n v="11415.6"/>
    <d v="2023-05-16T00:00:00"/>
    <x v="28"/>
    <n v="108"/>
    <s v="61-90 Days"/>
    <n v="105.7"/>
  </r>
  <r>
    <n v="26"/>
    <n v="80944.2"/>
    <d v="2023-07-13T00:00:00"/>
    <x v="29"/>
    <n v="180"/>
    <s v="0-30 Days"/>
    <n v="449.69"/>
  </r>
  <r>
    <n v="26"/>
    <n v="307587.96000000002"/>
    <d v="2023-07-13T00:00:00"/>
    <x v="29"/>
    <n v="684"/>
    <s v="0-30 Days"/>
    <n v="449.69"/>
  </r>
  <r>
    <n v="26"/>
    <n v="16188.84"/>
    <d v="2023-07-13T00:00:00"/>
    <x v="29"/>
    <n v="36"/>
    <s v="0-30 Days"/>
    <n v="449.69"/>
  </r>
  <r>
    <n v="12"/>
    <n v="712308.96"/>
    <d v="2023-07-27T00:00:00"/>
    <x v="29"/>
    <n v="1584"/>
    <s v="0-30 Days"/>
    <n v="449.69"/>
  </r>
  <r>
    <n v="231"/>
    <n v="3915468.48"/>
    <d v="2022-12-20T00:00:00"/>
    <x v="3"/>
    <n v="148764"/>
    <s v="91+ Days"/>
    <n v="26.32"/>
  </r>
  <r>
    <n v="231"/>
    <n v="648883.19999999995"/>
    <d v="2022-12-20T00:00:00"/>
    <x v="2"/>
    <n v="53760"/>
    <s v="91+ Days"/>
    <n v="12.07"/>
  </r>
  <r>
    <n v="216"/>
    <n v="583911.54"/>
    <d v="2023-01-04T00:00:00"/>
    <x v="0"/>
    <n v="148578"/>
    <s v="91+ Days"/>
    <n v="3.93"/>
  </r>
  <r>
    <n v="56"/>
    <n v="48972"/>
    <d v="2023-06-13T00:00:00"/>
    <x v="30"/>
    <n v="12"/>
    <s v="31-60 Days"/>
    <n v="4081"/>
  </r>
  <r>
    <n v="1251"/>
    <n v="8040"/>
    <d v="2020-03-05T00:00:00"/>
    <x v="31"/>
    <n v="3000"/>
    <s v="91+ Days"/>
    <n v="2.68"/>
  </r>
  <r>
    <n v="1194"/>
    <n v="8040"/>
    <d v="2020-05-01T00:00:00"/>
    <x v="31"/>
    <n v="3000"/>
    <s v="91+ Days"/>
    <n v="2.68"/>
  </r>
  <r>
    <n v="974"/>
    <n v="5670"/>
    <d v="2020-12-07T00:00:00"/>
    <x v="32"/>
    <n v="3000"/>
    <s v="91+ Days"/>
    <n v="1.89"/>
  </r>
  <r>
    <n v="571"/>
    <n v="1700"/>
    <d v="2022-01-14T00:00:00"/>
    <x v="33"/>
    <n v="2500"/>
    <s v="91+ Days"/>
    <n v="0.68"/>
  </r>
  <r>
    <n v="517"/>
    <n v="15350"/>
    <d v="2022-03-09T00:00:00"/>
    <x v="34"/>
    <n v="5000"/>
    <s v="91+ Days"/>
    <n v="3.07"/>
  </r>
  <r>
    <n v="510"/>
    <n v="10500"/>
    <d v="2022-03-16T00:00:00"/>
    <x v="29"/>
    <n v="3000"/>
    <s v="91+ Days"/>
    <n v="3.5"/>
  </r>
  <r>
    <n v="503"/>
    <n v="10500"/>
    <d v="2022-03-23T00:00:00"/>
    <x v="29"/>
    <n v="3000"/>
    <s v="91+ Days"/>
    <n v="3.5"/>
  </r>
  <r>
    <n v="502"/>
    <n v="21000"/>
    <d v="2022-03-24T00:00:00"/>
    <x v="29"/>
    <n v="6000"/>
    <s v="91+ Days"/>
    <n v="3.5"/>
  </r>
  <r>
    <n v="497"/>
    <n v="21000"/>
    <d v="2022-03-29T00:00:00"/>
    <x v="29"/>
    <n v="6000"/>
    <s v="91+ Days"/>
    <n v="3.5"/>
  </r>
  <r>
    <n v="494"/>
    <n v="21000"/>
    <d v="2022-04-01T00:00:00"/>
    <x v="29"/>
    <n v="6000"/>
    <s v="91+ Days"/>
    <n v="3.5"/>
  </r>
  <r>
    <n v="490"/>
    <n v="5136"/>
    <d v="2022-04-05T00:00:00"/>
    <x v="35"/>
    <n v="12000"/>
    <s v="91+ Days"/>
    <n v="0.42799999999999999"/>
  </r>
  <r>
    <n v="488"/>
    <n v="10500"/>
    <d v="2022-04-07T00:00:00"/>
    <x v="29"/>
    <n v="3000"/>
    <s v="91+ Days"/>
    <n v="3.5"/>
  </r>
  <r>
    <n v="389"/>
    <n v="10500"/>
    <d v="2022-07-15T00:00:00"/>
    <x v="29"/>
    <n v="3000"/>
    <s v="91+ Days"/>
    <n v="3.5"/>
  </r>
  <r>
    <n v="371"/>
    <n v="10500"/>
    <d v="2022-08-02T00:00:00"/>
    <x v="29"/>
    <n v="3000"/>
    <s v="91+ Days"/>
    <n v="3.5"/>
  </r>
  <r>
    <n v="371"/>
    <n v="5940"/>
    <d v="2022-08-02T00:00:00"/>
    <x v="35"/>
    <n v="12000"/>
    <s v="91+ Days"/>
    <n v="0.495"/>
  </r>
  <r>
    <n v="363"/>
    <n v="8700"/>
    <d v="2022-08-10T00:00:00"/>
    <x v="36"/>
    <n v="3000"/>
    <s v="91+ Days"/>
    <n v="2.9"/>
  </r>
  <r>
    <n v="336"/>
    <n v="10500"/>
    <d v="2022-09-06T00:00:00"/>
    <x v="29"/>
    <n v="3000"/>
    <s v="91+ Days"/>
    <n v="3.5"/>
  </r>
  <r>
    <n v="334"/>
    <n v="10500"/>
    <d v="2022-09-08T00:00:00"/>
    <x v="29"/>
    <n v="3000"/>
    <s v="91+ Days"/>
    <n v="3.5"/>
  </r>
  <r>
    <n v="334"/>
    <n v="26100"/>
    <d v="2022-09-08T00:00:00"/>
    <x v="36"/>
    <n v="9000"/>
    <s v="91+ Days"/>
    <n v="2.9"/>
  </r>
  <r>
    <n v="258"/>
    <n v="21000"/>
    <d v="2022-11-23T00:00:00"/>
    <x v="29"/>
    <n v="6000"/>
    <s v="91+ Days"/>
    <n v="3.5"/>
  </r>
  <r>
    <n v="222"/>
    <n v="67737.600000000006"/>
    <d v="2022-12-29T00:00:00"/>
    <x v="37"/>
    <n v="84"/>
    <s v="91+ Days"/>
    <n v="806.4"/>
  </r>
  <r>
    <n v="222"/>
    <n v="338688"/>
    <d v="2022-12-29T00:00:00"/>
    <x v="37"/>
    <n v="420"/>
    <s v="91+ Days"/>
    <n v="806.4"/>
  </r>
  <r>
    <n v="216"/>
    <n v="10500"/>
    <d v="2023-01-04T00:00:00"/>
    <x v="29"/>
    <n v="3000"/>
    <s v="91+ Days"/>
    <n v="3.5"/>
  </r>
  <r>
    <n v="210"/>
    <n v="10500"/>
    <d v="2023-01-10T00:00:00"/>
    <x v="29"/>
    <n v="3000"/>
    <s v="91+ Days"/>
    <n v="3.5"/>
  </r>
  <r>
    <n v="209"/>
    <n v="10500"/>
    <d v="2023-01-11T00:00:00"/>
    <x v="29"/>
    <n v="3000"/>
    <s v="91+ Days"/>
    <n v="3.5"/>
  </r>
  <r>
    <n v="209"/>
    <n v="1700"/>
    <d v="2023-01-11T00:00:00"/>
    <x v="33"/>
    <n v="2500"/>
    <s v="91+ Days"/>
    <n v="0.68"/>
  </r>
  <r>
    <n v="207"/>
    <n v="1728"/>
    <d v="2023-01-13T00:00:00"/>
    <x v="38"/>
    <n v="2000"/>
    <s v="91+ Days"/>
    <n v="0.86399999999999999"/>
  </r>
  <r>
    <n v="207"/>
    <n v="44125"/>
    <d v="2023-01-13T00:00:00"/>
    <x v="34"/>
    <n v="12500"/>
    <s v="91+ Days"/>
    <n v="3.53"/>
  </r>
  <r>
    <n v="181"/>
    <n v="21000"/>
    <d v="2023-02-08T00:00:00"/>
    <x v="29"/>
    <n v="6000"/>
    <s v="91+ Days"/>
    <n v="3.5"/>
  </r>
  <r>
    <n v="181"/>
    <n v="10500"/>
    <d v="2023-02-08T00:00:00"/>
    <x v="29"/>
    <n v="3000"/>
    <s v="91+ Days"/>
    <n v="3.5"/>
  </r>
  <r>
    <n v="180"/>
    <n v="126000"/>
    <d v="2023-02-09T00:00:00"/>
    <x v="29"/>
    <n v="36000"/>
    <s v="91+ Days"/>
    <n v="3.5"/>
  </r>
  <r>
    <n v="165"/>
    <n v="136500"/>
    <d v="2023-02-24T00:00:00"/>
    <x v="29"/>
    <n v="39000"/>
    <s v="91+ Days"/>
    <n v="3.5"/>
  </r>
  <r>
    <n v="159"/>
    <n v="94500"/>
    <d v="2023-03-02T00:00:00"/>
    <x v="29"/>
    <n v="27000"/>
    <s v="91+ Days"/>
    <n v="3.5"/>
  </r>
  <r>
    <n v="159"/>
    <n v="21000"/>
    <d v="2023-03-02T00:00:00"/>
    <x v="29"/>
    <n v="6000"/>
    <s v="91+ Days"/>
    <n v="3.5"/>
  </r>
  <r>
    <n v="159"/>
    <n v="94500"/>
    <d v="2023-03-02T00:00:00"/>
    <x v="29"/>
    <n v="27000"/>
    <s v="91+ Days"/>
    <n v="3.5"/>
  </r>
  <r>
    <n v="154"/>
    <n v="21000"/>
    <d v="2023-03-07T00:00:00"/>
    <x v="29"/>
    <n v="6000"/>
    <s v="91+ Days"/>
    <n v="3.5"/>
  </r>
  <r>
    <n v="154"/>
    <n v="84000"/>
    <d v="2023-03-07T00:00:00"/>
    <x v="29"/>
    <n v="24000"/>
    <s v="91+ Days"/>
    <n v="3.5"/>
  </r>
  <r>
    <n v="154"/>
    <n v="346500"/>
    <d v="2023-03-07T00:00:00"/>
    <x v="29"/>
    <n v="99000"/>
    <s v="91+ Days"/>
    <n v="3.5"/>
  </r>
  <r>
    <n v="154"/>
    <n v="10500"/>
    <d v="2023-03-07T00:00:00"/>
    <x v="29"/>
    <n v="3000"/>
    <s v="91+ Days"/>
    <n v="3.5"/>
  </r>
  <r>
    <n v="144"/>
    <n v="441000"/>
    <d v="2023-03-17T00:00:00"/>
    <x v="29"/>
    <n v="126000"/>
    <s v="91+ Days"/>
    <n v="3.5"/>
  </r>
  <r>
    <n v="144"/>
    <n v="94500"/>
    <d v="2023-03-17T00:00:00"/>
    <x v="29"/>
    <n v="27000"/>
    <s v="91+ Days"/>
    <n v="3.5"/>
  </r>
  <r>
    <n v="144"/>
    <n v="21000"/>
    <d v="2023-03-17T00:00:00"/>
    <x v="29"/>
    <n v="6000"/>
    <s v="91+ Days"/>
    <n v="3.5"/>
  </r>
  <r>
    <n v="133"/>
    <n v="44125"/>
    <d v="2023-03-28T00:00:00"/>
    <x v="34"/>
    <n v="12500"/>
    <s v="91+ Days"/>
    <n v="3.53"/>
  </r>
  <r>
    <n v="133"/>
    <n v="5940"/>
    <d v="2023-03-28T00:00:00"/>
    <x v="35"/>
    <n v="12000"/>
    <s v="91+ Days"/>
    <n v="0.495"/>
  </r>
  <r>
    <n v="119"/>
    <n v="21000"/>
    <d v="2023-04-11T00:00:00"/>
    <x v="29"/>
    <n v="6000"/>
    <s v="91+ Days"/>
    <n v="3.5"/>
  </r>
  <r>
    <n v="118"/>
    <n v="210000"/>
    <d v="2023-04-12T00:00:00"/>
    <x v="29"/>
    <n v="60000"/>
    <s v="91+ Days"/>
    <n v="3.5"/>
  </r>
  <r>
    <n v="118"/>
    <n v="42000"/>
    <d v="2023-04-12T00:00:00"/>
    <x v="29"/>
    <n v="12000"/>
    <s v="91+ Days"/>
    <n v="3.5"/>
  </r>
  <r>
    <n v="117"/>
    <n v="71801.52"/>
    <d v="2023-04-13T00:00:00"/>
    <x v="37"/>
    <n v="84"/>
    <s v="91+ Days"/>
    <n v="854.78"/>
  </r>
  <r>
    <n v="106"/>
    <n v="359007.6"/>
    <d v="2023-04-24T00:00:00"/>
    <x v="37"/>
    <n v="420"/>
    <s v="91+ Days"/>
    <n v="854.78"/>
  </r>
  <r>
    <n v="96"/>
    <n v="430809.12"/>
    <d v="2023-05-04T00:00:00"/>
    <x v="37"/>
    <n v="504"/>
    <s v="91+ Days"/>
    <n v="854.78"/>
  </r>
  <r>
    <n v="95"/>
    <n v="2943862.32"/>
    <d v="2023-05-05T00:00:00"/>
    <x v="37"/>
    <n v="3444"/>
    <s v="91+ Days"/>
    <n v="854.78"/>
  </r>
  <r>
    <n v="96"/>
    <n v="430809.12"/>
    <d v="2023-05-04T00:00:00"/>
    <x v="37"/>
    <n v="504"/>
    <s v="91+ Days"/>
    <n v="854.78"/>
  </r>
  <r>
    <n v="96"/>
    <n v="430809.12"/>
    <d v="2023-05-04T00:00:00"/>
    <x v="37"/>
    <n v="504"/>
    <s v="91+ Days"/>
    <n v="854.78"/>
  </r>
  <r>
    <n v="84"/>
    <n v="37610.32"/>
    <d v="2023-05-16T00:00:00"/>
    <x v="37"/>
    <n v="44"/>
    <s v="61-90 Days"/>
    <n v="854.78"/>
  </r>
  <r>
    <n v="84"/>
    <n v="321397.28000000003"/>
    <d v="2023-05-16T00:00:00"/>
    <x v="37"/>
    <n v="376"/>
    <s v="61-90 Days"/>
    <n v="854.78"/>
  </r>
  <r>
    <n v="78"/>
    <n v="359007.6"/>
    <d v="2023-05-22T00:00:00"/>
    <x v="37"/>
    <n v="420"/>
    <s v="61-90 Days"/>
    <n v="854.78"/>
  </r>
  <r>
    <n v="77"/>
    <n v="3400"/>
    <d v="2023-05-23T00:00:00"/>
    <x v="33"/>
    <n v="5000"/>
    <s v="61-90 Days"/>
    <n v="0.68"/>
  </r>
  <r>
    <n v="77"/>
    <n v="72720"/>
    <d v="2023-05-23T00:00:00"/>
    <x v="31"/>
    <n v="72000"/>
    <s v="61-90 Days"/>
    <n v="1.01"/>
  </r>
  <r>
    <n v="63"/>
    <n v="26730"/>
    <d v="2023-06-06T00:00:00"/>
    <x v="35"/>
    <n v="54000"/>
    <s v="61-90 Days"/>
    <n v="0.495"/>
  </r>
  <r>
    <n v="63"/>
    <n v="5600"/>
    <d v="2023-06-06T00:00:00"/>
    <x v="39"/>
    <n v="5000"/>
    <s v="61-90 Days"/>
    <n v="1.1200000000000001"/>
  </r>
  <r>
    <n v="63"/>
    <n v="211800"/>
    <d v="2023-06-06T00:00:00"/>
    <x v="34"/>
    <n v="60000"/>
    <s v="61-90 Days"/>
    <n v="3.53"/>
  </r>
  <r>
    <n v="56"/>
    <n v="71801.52"/>
    <d v="2023-06-13T00:00:00"/>
    <x v="37"/>
    <n v="84"/>
    <s v="31-60 Days"/>
    <n v="854.78"/>
  </r>
  <r>
    <n v="56"/>
    <n v="143603.04"/>
    <d v="2023-06-13T00:00:00"/>
    <x v="37"/>
    <n v="168"/>
    <s v="31-60 Days"/>
    <n v="854.78"/>
  </r>
  <r>
    <n v="56"/>
    <n v="430809.12"/>
    <d v="2023-06-13T00:00:00"/>
    <x v="37"/>
    <n v="504"/>
    <s v="31-60 Days"/>
    <n v="854.78"/>
  </r>
  <r>
    <n v="56"/>
    <n v="359007.6"/>
    <d v="2023-06-13T00:00:00"/>
    <x v="37"/>
    <n v="420"/>
    <s v="31-60 Days"/>
    <n v="854.78"/>
  </r>
  <r>
    <n v="54"/>
    <n v="8400"/>
    <d v="2023-06-15T00:00:00"/>
    <x v="40"/>
    <n v="4000"/>
    <s v="31-60 Days"/>
    <n v="2.1"/>
  </r>
  <r>
    <n v="53"/>
    <n v="430809.12"/>
    <d v="2023-06-16T00:00:00"/>
    <x v="37"/>
    <n v="504"/>
    <s v="31-60 Days"/>
    <n v="854.78"/>
  </r>
  <r>
    <n v="53"/>
    <n v="71801.52"/>
    <d v="2023-06-16T00:00:00"/>
    <x v="37"/>
    <n v="84"/>
    <s v="31-60 Days"/>
    <n v="854.78"/>
  </r>
  <r>
    <n v="47"/>
    <n v="71801.52"/>
    <d v="2023-06-22T00:00:00"/>
    <x v="37"/>
    <n v="84"/>
    <s v="31-60 Days"/>
    <n v="854.78"/>
  </r>
  <r>
    <n v="47"/>
    <n v="71801.52"/>
    <d v="2023-06-22T00:00:00"/>
    <x v="37"/>
    <n v="84"/>
    <s v="31-60 Days"/>
    <n v="854.78"/>
  </r>
  <r>
    <n v="46"/>
    <n v="71801.52"/>
    <d v="2023-06-23T00:00:00"/>
    <x v="37"/>
    <n v="84"/>
    <s v="31-60 Days"/>
    <n v="854.78"/>
  </r>
  <r>
    <n v="29"/>
    <n v="16800"/>
    <d v="2023-07-10T00:00:00"/>
    <x v="40"/>
    <n v="8000"/>
    <s v="0-30 Days"/>
    <n v="2.1"/>
  </r>
  <r>
    <n v="21"/>
    <n v="71801.52"/>
    <d v="2023-07-18T00:00:00"/>
    <x v="37"/>
    <n v="84"/>
    <s v="0-30 Days"/>
    <n v="854.78"/>
  </r>
  <r>
    <n v="657"/>
    <n v="1310.4000000000001"/>
    <d v="2021-10-20T00:00:00"/>
    <x v="41"/>
    <n v="1820"/>
    <s v="91+ Days"/>
    <n v="0.72"/>
  </r>
  <r>
    <n v="558"/>
    <n v="26949.78"/>
    <d v="2022-01-27T00:00:00"/>
    <x v="42"/>
    <n v="11"/>
    <s v="91+ Days"/>
    <n v="2449.98"/>
  </r>
  <r>
    <n v="474"/>
    <n v="18802.5"/>
    <d v="2022-04-21T00:00:00"/>
    <x v="43"/>
    <n v="115"/>
    <s v="91+ Days"/>
    <n v="163.5"/>
  </r>
  <r>
    <n v="323"/>
    <n v="21223.439999999999"/>
    <d v="2022-09-19T00:00:00"/>
    <x v="44"/>
    <n v="252"/>
    <s v="91+ Days"/>
    <n v="84.22"/>
  </r>
  <r>
    <n v="309"/>
    <n v="50954.400000000001"/>
    <d v="2022-10-03T00:00:00"/>
    <x v="16"/>
    <n v="3780"/>
    <s v="91+ Days"/>
    <n v="13.48"/>
  </r>
  <r>
    <n v="307"/>
    <n v="24361.5"/>
    <d v="2022-10-05T00:00:00"/>
    <x v="43"/>
    <n v="149"/>
    <s v="91+ Days"/>
    <n v="163.5"/>
  </r>
  <r>
    <n v="298"/>
    <n v="683544.42"/>
    <d v="2022-10-14T00:00:00"/>
    <x v="42"/>
    <n v="279"/>
    <s v="91+ Days"/>
    <n v="2449.98"/>
  </r>
  <r>
    <n v="292"/>
    <n v="40292.639999999999"/>
    <d v="2022-10-20T00:00:00"/>
    <x v="45"/>
    <n v="144"/>
    <s v="91+ Days"/>
    <n v="279.81"/>
  </r>
  <r>
    <n v="148"/>
    <n v="10766.4"/>
    <d v="2023-03-13T00:00:00"/>
    <x v="44"/>
    <n v="120"/>
    <s v="91+ Days"/>
    <n v="89.72"/>
  </r>
  <r>
    <n v="148"/>
    <n v="34126.92"/>
    <d v="2023-03-13T00:00:00"/>
    <x v="28"/>
    <n v="324"/>
    <s v="91+ Days"/>
    <n v="105.33"/>
  </r>
  <r>
    <n v="139"/>
    <n v="9689.76"/>
    <d v="2023-03-22T00:00:00"/>
    <x v="44"/>
    <n v="108"/>
    <s v="91+ Days"/>
    <n v="89.72"/>
  </r>
  <r>
    <n v="133"/>
    <n v="155361.35999999999"/>
    <d v="2023-03-28T00:00:00"/>
    <x v="46"/>
    <n v="1176"/>
    <s v="91+ Days"/>
    <n v="132.11000000000001"/>
  </r>
  <r>
    <n v="132"/>
    <n v="77680.679999999993"/>
    <d v="2023-03-29T00:00:00"/>
    <x v="46"/>
    <n v="588"/>
    <s v="91+ Days"/>
    <n v="132.11000000000001"/>
  </r>
  <r>
    <n v="132"/>
    <n v="1890"/>
    <d v="2023-03-29T00:00:00"/>
    <x v="47"/>
    <n v="1000"/>
    <s v="91+ Days"/>
    <n v="1.89"/>
  </r>
  <r>
    <n v="132"/>
    <n v="3780"/>
    <d v="2023-03-29T00:00:00"/>
    <x v="47"/>
    <n v="2000"/>
    <s v="91+ Days"/>
    <n v="1.89"/>
  </r>
  <r>
    <n v="132"/>
    <n v="301273.2"/>
    <d v="2023-03-29T00:00:00"/>
    <x v="48"/>
    <n v="360"/>
    <s v="91+ Days"/>
    <n v="836.87"/>
  </r>
  <r>
    <n v="131"/>
    <n v="9752.64"/>
    <d v="2023-03-30T00:00:00"/>
    <x v="24"/>
    <n v="48"/>
    <s v="91+ Days"/>
    <n v="203.18"/>
  </r>
  <r>
    <n v="130"/>
    <n v="60722.76"/>
    <d v="2023-03-31T00:00:00"/>
    <x v="49"/>
    <n v="588"/>
    <s v="91+ Days"/>
    <n v="103.27"/>
  </r>
  <r>
    <n v="125"/>
    <n v="2179.1999999999998"/>
    <d v="2023-04-05T00:00:00"/>
    <x v="50"/>
    <n v="240"/>
    <s v="91+ Days"/>
    <n v="9.08"/>
  </r>
  <r>
    <n v="125"/>
    <n v="3840"/>
    <d v="2023-04-05T00:00:00"/>
    <x v="51"/>
    <n v="3000"/>
    <s v="91+ Days"/>
    <n v="1.28"/>
  </r>
  <r>
    <n v="109"/>
    <n v="900"/>
    <d v="2023-04-21T00:00:00"/>
    <x v="52"/>
    <n v="9000"/>
    <s v="91+ Days"/>
    <n v="0.1"/>
  </r>
  <r>
    <n v="102"/>
    <n v="40961.9"/>
    <d v="2023-04-28T00:00:00"/>
    <x v="53"/>
    <n v="70"/>
    <s v="91+ Days"/>
    <n v="585.16999999999996"/>
  </r>
  <r>
    <n v="87"/>
    <n v="130243.68"/>
    <d v="2023-05-13T00:00:00"/>
    <x v="54"/>
    <n v="3024"/>
    <s v="61-90 Days"/>
    <n v="43.07"/>
  </r>
  <r>
    <n v="85"/>
    <n v="71648.639999999999"/>
    <d v="2023-05-15T00:00:00"/>
    <x v="55"/>
    <n v="1008"/>
    <s v="61-90 Days"/>
    <n v="71.08"/>
  </r>
  <r>
    <n v="84"/>
    <n v="765736.05"/>
    <d v="2023-05-16T00:00:00"/>
    <x v="48"/>
    <n v="915"/>
    <s v="61-90 Days"/>
    <n v="836.87"/>
  </r>
  <r>
    <n v="74"/>
    <n v="347044.5"/>
    <d v="2023-05-26T00:00:00"/>
    <x v="56"/>
    <n v="810"/>
    <s v="61-90 Days"/>
    <n v="428.45"/>
  </r>
  <r>
    <n v="69"/>
    <n v="1005"/>
    <d v="2023-05-31T00:00:00"/>
    <x v="57"/>
    <n v="1500"/>
    <s v="61-90 Days"/>
    <n v="0.67"/>
  </r>
  <r>
    <n v="59"/>
    <n v="200848.8"/>
    <d v="2023-06-10T00:00:00"/>
    <x v="48"/>
    <n v="240"/>
    <s v="31-60 Days"/>
    <n v="836.87"/>
  </r>
  <r>
    <n v="59"/>
    <n v="12553.05"/>
    <d v="2023-06-10T00:00:00"/>
    <x v="48"/>
    <n v="15"/>
    <s v="31-60 Days"/>
    <n v="836.87"/>
  </r>
  <r>
    <n v="59"/>
    <n v="60710.34"/>
    <d v="2023-06-10T00:00:00"/>
    <x v="58"/>
    <n v="138"/>
    <s v="31-60 Days"/>
    <n v="439.93"/>
  </r>
  <r>
    <n v="52"/>
    <n v="10766.4"/>
    <d v="2023-06-17T00:00:00"/>
    <x v="44"/>
    <n v="120"/>
    <s v="31-60 Days"/>
    <n v="89.72"/>
  </r>
  <r>
    <n v="50"/>
    <n v="35592"/>
    <d v="2023-06-19T00:00:00"/>
    <x v="45"/>
    <n v="120"/>
    <s v="31-60 Days"/>
    <n v="296.60000000000002"/>
  </r>
  <r>
    <n v="49"/>
    <n v="238888.44"/>
    <d v="2023-06-20T00:00:00"/>
    <x v="28"/>
    <n v="2268"/>
    <s v="31-60 Days"/>
    <n v="105.33"/>
  </r>
  <r>
    <n v="49"/>
    <n v="242891.04"/>
    <d v="2023-06-20T00:00:00"/>
    <x v="49"/>
    <n v="2352"/>
    <s v="31-60 Days"/>
    <n v="103.27"/>
  </r>
  <r>
    <n v="49"/>
    <n v="380212"/>
    <d v="2023-06-20T00:00:00"/>
    <x v="59"/>
    <n v="560"/>
    <s v="31-60 Days"/>
    <n v="678.95"/>
  </r>
  <r>
    <n v="49"/>
    <n v="190106"/>
    <d v="2023-06-20T00:00:00"/>
    <x v="59"/>
    <n v="280"/>
    <s v="31-60 Days"/>
    <n v="678.95"/>
  </r>
  <r>
    <n v="49"/>
    <n v="19505.28"/>
    <d v="2023-06-20T00:00:00"/>
    <x v="24"/>
    <n v="96"/>
    <s v="31-60 Days"/>
    <n v="203.18"/>
  </r>
  <r>
    <n v="49"/>
    <n v="48763.199999999997"/>
    <d v="2023-06-20T00:00:00"/>
    <x v="24"/>
    <n v="240"/>
    <s v="31-60 Days"/>
    <n v="203.18"/>
  </r>
  <r>
    <n v="49"/>
    <n v="113318.39999999999"/>
    <d v="2023-06-20T00:00:00"/>
    <x v="60"/>
    <n v="768"/>
    <s v="31-60 Days"/>
    <n v="147.55000000000001"/>
  </r>
  <r>
    <n v="48"/>
    <n v="1759.72"/>
    <d v="2023-06-21T00:00:00"/>
    <x v="58"/>
    <n v="4"/>
    <s v="31-60 Days"/>
    <n v="439.93"/>
  </r>
  <r>
    <n v="48"/>
    <n v="8798.6"/>
    <d v="2023-06-21T00:00:00"/>
    <x v="58"/>
    <n v="20"/>
    <s v="31-60 Days"/>
    <n v="439.93"/>
  </r>
  <r>
    <n v="48"/>
    <n v="125132.04"/>
    <d v="2023-06-21T00:00:00"/>
    <x v="28"/>
    <n v="1188"/>
    <s v="31-60 Days"/>
    <n v="105.33"/>
  </r>
  <r>
    <n v="48"/>
    <n v="1785"/>
    <d v="2023-06-21T00:00:00"/>
    <x v="61"/>
    <n v="1500"/>
    <s v="31-60 Days"/>
    <n v="1.19"/>
  </r>
  <r>
    <n v="47"/>
    <n v="2701.44"/>
    <d v="2023-06-22T00:00:00"/>
    <x v="62"/>
    <n v="1008"/>
    <s v="31-60 Days"/>
    <n v="2.68"/>
  </r>
  <r>
    <n v="43"/>
    <n v="29257.919999999998"/>
    <d v="2023-06-26T00:00:00"/>
    <x v="24"/>
    <n v="144"/>
    <s v="31-60 Days"/>
    <n v="203.18"/>
  </r>
  <r>
    <n v="43"/>
    <n v="9752.64"/>
    <d v="2023-06-26T00:00:00"/>
    <x v="24"/>
    <n v="48"/>
    <s v="31-60 Days"/>
    <n v="203.18"/>
  </r>
  <r>
    <n v="43"/>
    <n v="19505.28"/>
    <d v="2023-06-26T00:00:00"/>
    <x v="24"/>
    <n v="96"/>
    <s v="31-60 Days"/>
    <n v="203.18"/>
  </r>
  <r>
    <n v="43"/>
    <n v="34126.92"/>
    <d v="2023-06-26T00:00:00"/>
    <x v="28"/>
    <n v="324"/>
    <s v="31-60 Days"/>
    <n v="105.33"/>
  </r>
  <r>
    <n v="43"/>
    <n v="22751.279999999999"/>
    <d v="2023-06-26T00:00:00"/>
    <x v="28"/>
    <n v="216"/>
    <s v="31-60 Days"/>
    <n v="105.33"/>
  </r>
  <r>
    <n v="43"/>
    <n v="115261.66"/>
    <d v="2023-06-26T00:00:00"/>
    <x v="58"/>
    <n v="262"/>
    <s v="31-60 Days"/>
    <n v="439.93"/>
  </r>
  <r>
    <n v="43"/>
    <n v="941478.75"/>
    <d v="2023-06-26T00:00:00"/>
    <x v="48"/>
    <n v="1125"/>
    <s v="31-60 Days"/>
    <n v="836.87"/>
  </r>
  <r>
    <n v="43"/>
    <n v="604114.5"/>
    <d v="2023-06-26T00:00:00"/>
    <x v="56"/>
    <n v="1410"/>
    <s v="31-60 Days"/>
    <n v="428.45"/>
  </r>
  <r>
    <n v="43"/>
    <n v="333531"/>
    <d v="2023-06-26T00:00:00"/>
    <x v="63"/>
    <n v="450"/>
    <s v="31-60 Days"/>
    <n v="741.18"/>
  </r>
  <r>
    <n v="43"/>
    <n v="19582.080000000002"/>
    <d v="2023-06-26T00:00:00"/>
    <x v="64"/>
    <n v="84"/>
    <s v="31-60 Days"/>
    <n v="233.12"/>
  </r>
  <r>
    <n v="43"/>
    <n v="39010.559999999998"/>
    <d v="2023-06-26T00:00:00"/>
    <x v="24"/>
    <n v="192"/>
    <s v="31-60 Days"/>
    <n v="203.18"/>
  </r>
  <r>
    <n v="43"/>
    <n v="29257.919999999998"/>
    <d v="2023-06-26T00:00:00"/>
    <x v="24"/>
    <n v="144"/>
    <s v="31-60 Days"/>
    <n v="203.18"/>
  </r>
  <r>
    <n v="43"/>
    <n v="39010.559999999998"/>
    <d v="2023-06-26T00:00:00"/>
    <x v="24"/>
    <n v="192"/>
    <s v="31-60 Days"/>
    <n v="203.18"/>
  </r>
  <r>
    <n v="43"/>
    <n v="29257.919999999998"/>
    <d v="2023-06-26T00:00:00"/>
    <x v="24"/>
    <n v="144"/>
    <s v="31-60 Days"/>
    <n v="203.18"/>
  </r>
  <r>
    <n v="43"/>
    <n v="29257.919999999998"/>
    <d v="2023-06-26T00:00:00"/>
    <x v="24"/>
    <n v="144"/>
    <s v="31-60 Days"/>
    <n v="203.18"/>
  </r>
  <r>
    <n v="42"/>
    <n v="105583.2"/>
    <d v="2023-06-27T00:00:00"/>
    <x v="58"/>
    <n v="240"/>
    <s v="31-60 Days"/>
    <n v="439.93"/>
  </r>
  <r>
    <n v="42"/>
    <n v="83518.720000000001"/>
    <d v="2023-06-27T00:00:00"/>
    <x v="42"/>
    <n v="32"/>
    <s v="31-60 Days"/>
    <n v="2609.96"/>
  </r>
  <r>
    <n v="42"/>
    <n v="29302"/>
    <d v="2023-06-27T00:00:00"/>
    <x v="65"/>
    <n v="70"/>
    <s v="31-60 Days"/>
    <n v="418.6"/>
  </r>
  <r>
    <n v="42"/>
    <n v="21089.88"/>
    <d v="2023-06-27T00:00:00"/>
    <x v="66"/>
    <n v="252"/>
    <s v="31-60 Days"/>
    <n v="83.69"/>
  </r>
  <r>
    <n v="42"/>
    <n v="31178.22"/>
    <d v="2023-06-27T00:00:00"/>
    <x v="67"/>
    <n v="179"/>
    <s v="31-60 Days"/>
    <n v="174.18"/>
  </r>
  <r>
    <n v="42"/>
    <n v="42179.76"/>
    <d v="2023-06-27T00:00:00"/>
    <x v="66"/>
    <n v="504"/>
    <s v="31-60 Days"/>
    <n v="83.69"/>
  </r>
  <r>
    <n v="42"/>
    <n v="29302"/>
    <d v="2023-06-27T00:00:00"/>
    <x v="65"/>
    <n v="70"/>
    <s v="31-60 Days"/>
    <n v="418.6"/>
  </r>
  <r>
    <n v="42"/>
    <n v="25256.1"/>
    <d v="2023-06-27T00:00:00"/>
    <x v="67"/>
    <n v="145"/>
    <s v="31-60 Days"/>
    <n v="174.18"/>
  </r>
  <r>
    <n v="39"/>
    <n v="709909.12"/>
    <d v="2023-06-30T00:00:00"/>
    <x v="42"/>
    <n v="272"/>
    <s v="31-60 Days"/>
    <n v="2609.96"/>
  </r>
  <r>
    <n v="39"/>
    <n v="29035.38"/>
    <d v="2023-06-30T00:00:00"/>
    <x v="58"/>
    <n v="66"/>
    <s v="31-60 Days"/>
    <n v="439.93"/>
  </r>
  <r>
    <n v="39"/>
    <n v="48657"/>
    <d v="2023-06-30T00:00:00"/>
    <x v="15"/>
    <n v="147"/>
    <s v="31-60 Days"/>
    <n v="331"/>
  </r>
  <r>
    <n v="39"/>
    <n v="4459"/>
    <d v="2023-06-30T00:00:00"/>
    <x v="13"/>
    <n v="1820"/>
    <s v="31-60 Days"/>
    <n v="2.4500000000000002"/>
  </r>
  <r>
    <n v="39"/>
    <n v="10766.4"/>
    <d v="2023-06-30T00:00:00"/>
    <x v="44"/>
    <n v="120"/>
    <s v="31-60 Days"/>
    <n v="89.72"/>
  </r>
  <r>
    <n v="39"/>
    <n v="4459"/>
    <d v="2023-06-30T00:00:00"/>
    <x v="13"/>
    <n v="1820"/>
    <s v="31-60 Days"/>
    <n v="2.4500000000000002"/>
  </r>
  <r>
    <n v="38"/>
    <n v="622591.19999999995"/>
    <d v="2023-07-01T00:00:00"/>
    <x v="63"/>
    <n v="840"/>
    <s v="31-60 Days"/>
    <n v="741.18"/>
  </r>
  <r>
    <n v="38"/>
    <n v="255339"/>
    <d v="2023-07-01T00:00:00"/>
    <x v="68"/>
    <n v="630"/>
    <s v="31-60 Days"/>
    <n v="405.3"/>
  </r>
  <r>
    <n v="38"/>
    <n v="25635.68"/>
    <d v="2023-07-01T00:00:00"/>
    <x v="69"/>
    <n v="376"/>
    <s v="31-60 Days"/>
    <n v="68.180000000000007"/>
  </r>
  <r>
    <n v="38"/>
    <n v="21089.88"/>
    <d v="2023-07-01T00:00:00"/>
    <x v="66"/>
    <n v="252"/>
    <s v="31-60 Days"/>
    <n v="83.69"/>
  </r>
  <r>
    <n v="32"/>
    <n v="21089.88"/>
    <d v="2023-07-07T00:00:00"/>
    <x v="66"/>
    <n v="252"/>
    <s v="31-60 Days"/>
    <n v="83.69"/>
  </r>
  <r>
    <n v="31"/>
    <n v="42179.76"/>
    <d v="2023-07-08T00:00:00"/>
    <x v="66"/>
    <n v="504"/>
    <s v="31-60 Days"/>
    <n v="83.69"/>
  </r>
  <r>
    <n v="27"/>
    <n v="771210"/>
    <d v="2023-07-12T00:00:00"/>
    <x v="56"/>
    <n v="1800"/>
    <s v="0-30 Days"/>
    <n v="428.45"/>
  </r>
  <r>
    <n v="27"/>
    <n v="3015"/>
    <d v="2023-07-12T00:00:00"/>
    <x v="57"/>
    <n v="4500"/>
    <s v="0-30 Days"/>
    <n v="0.67"/>
  </r>
  <r>
    <n v="25"/>
    <n v="1882957.5"/>
    <d v="2023-07-14T00:00:00"/>
    <x v="48"/>
    <n v="2250"/>
    <s v="0-30 Days"/>
    <n v="836.87"/>
  </r>
  <r>
    <n v="24"/>
    <n v="131904"/>
    <d v="2023-07-15T00:00:00"/>
    <x v="70"/>
    <n v="1200"/>
    <s v="0-30 Days"/>
    <n v="109.92"/>
  </r>
  <r>
    <n v="17"/>
    <n v="586040"/>
    <d v="2023-07-22T00:00:00"/>
    <x v="65"/>
    <n v="1400"/>
    <s v="0-30 Days"/>
    <n v="418.6"/>
  </r>
  <r>
    <n v="17"/>
    <n v="1334124"/>
    <d v="2023-07-22T00:00:00"/>
    <x v="63"/>
    <n v="1800"/>
    <s v="0-30 Days"/>
    <n v="741.18"/>
  </r>
  <r>
    <n v="17"/>
    <n v="55709.22"/>
    <d v="2023-07-22T00:00:00"/>
    <x v="71"/>
    <n v="511"/>
    <s v="0-30 Days"/>
    <n v="109.02"/>
  </r>
  <r>
    <n v="17"/>
    <n v="155194.6"/>
    <d v="2023-07-22T00:00:00"/>
    <x v="72"/>
    <n v="1210"/>
    <s v="0-30 Days"/>
    <n v="128.26"/>
  </r>
  <r>
    <n v="17"/>
    <n v="52432.800000000003"/>
    <d v="2023-07-22T00:00:00"/>
    <x v="73"/>
    <n v="140"/>
    <s v="0-30 Days"/>
    <n v="374.52"/>
  </r>
  <r>
    <n v="17"/>
    <n v="40273.64"/>
    <d v="2023-07-22T00:00:00"/>
    <x v="72"/>
    <n v="314"/>
    <s v="0-30 Days"/>
    <n v="128.26"/>
  </r>
  <r>
    <n v="17"/>
    <n v="56581.38"/>
    <d v="2023-07-22T00:00:00"/>
    <x v="71"/>
    <n v="519"/>
    <s v="0-30 Days"/>
    <n v="109.02"/>
  </r>
  <r>
    <n v="17"/>
    <n v="20393.34"/>
    <d v="2023-07-22T00:00:00"/>
    <x v="72"/>
    <n v="159"/>
    <s v="0-30 Days"/>
    <n v="128.26"/>
  </r>
  <r>
    <n v="17"/>
    <n v="235947.6"/>
    <d v="2023-07-22T00:00:00"/>
    <x v="73"/>
    <n v="630"/>
    <s v="0-30 Days"/>
    <n v="374.52"/>
  </r>
  <r>
    <n v="17"/>
    <n v="55634.879999999997"/>
    <d v="2023-07-22T00:00:00"/>
    <x v="69"/>
    <n v="816"/>
    <s v="0-30 Days"/>
    <n v="68.180000000000007"/>
  </r>
  <r>
    <n v="14"/>
    <n v="56311.040000000001"/>
    <d v="2023-07-25T00:00:00"/>
    <x v="58"/>
    <n v="128"/>
    <s v="0-30 Days"/>
    <n v="439.93"/>
  </r>
  <r>
    <n v="13"/>
    <n v="3015"/>
    <d v="2023-07-26T00:00:00"/>
    <x v="57"/>
    <n v="4500"/>
    <s v="0-30 Days"/>
    <n v="0.67"/>
  </r>
  <r>
    <n v="13"/>
    <n v="64229.78"/>
    <d v="2023-07-26T00:00:00"/>
    <x v="58"/>
    <n v="146"/>
    <s v="0-30 Days"/>
    <n v="439.93"/>
  </r>
  <r>
    <n v="11"/>
    <n v="90625.58"/>
    <d v="2023-07-28T00:00:00"/>
    <x v="58"/>
    <n v="206"/>
    <s v="0-30 Days"/>
    <n v="439.93"/>
  </r>
  <r>
    <n v="8"/>
    <n v="124940.12"/>
    <d v="2023-07-31T00:00:00"/>
    <x v="58"/>
    <n v="284"/>
    <s v="0-30 Days"/>
    <n v="439.93"/>
  </r>
  <r>
    <n v="8"/>
    <n v="40010.339999999997"/>
    <d v="2023-07-31T00:00:00"/>
    <x v="71"/>
    <n v="367"/>
    <s v="0-30 Days"/>
    <n v="109.02"/>
  </r>
  <r>
    <n v="8"/>
    <n v="263958"/>
    <d v="2023-07-31T00:00:00"/>
    <x v="58"/>
    <n v="600"/>
    <s v="0-30 Days"/>
    <n v="439.93"/>
  </r>
  <r>
    <n v="6"/>
    <n v="4459"/>
    <d v="2023-08-02T00:00:00"/>
    <x v="13"/>
    <n v="1820"/>
    <s v="0-30 Days"/>
    <n v="2.4500000000000002"/>
  </r>
  <r>
    <n v="6"/>
    <n v="4459"/>
    <d v="2023-08-02T00:00:00"/>
    <x v="13"/>
    <n v="1820"/>
    <s v="0-30 Days"/>
    <n v="2.4500000000000002"/>
  </r>
  <r>
    <n v="6"/>
    <n v="263718"/>
    <d v="2023-08-02T00:00:00"/>
    <x v="65"/>
    <n v="630"/>
    <s v="0-30 Days"/>
    <n v="418.6"/>
  </r>
  <r>
    <n v="6"/>
    <n v="368823"/>
    <d v="2023-08-02T00:00:00"/>
    <x v="68"/>
    <n v="910"/>
    <s v="0-30 Days"/>
    <n v="405.3"/>
  </r>
  <r>
    <n v="6"/>
    <n v="104865.60000000001"/>
    <d v="2023-08-02T00:00:00"/>
    <x v="73"/>
    <n v="280"/>
    <s v="0-30 Days"/>
    <n v="374.52"/>
  </r>
  <r>
    <n v="5"/>
    <n v="3300"/>
    <d v="2023-08-03T00:00:00"/>
    <x v="74"/>
    <n v="300"/>
    <s v="0-30 Days"/>
    <n v="11"/>
  </r>
  <r>
    <n v="5"/>
    <n v="91020.3"/>
    <d v="2023-08-03T00:00:00"/>
    <x v="69"/>
    <n v="1335"/>
    <s v="0-30 Days"/>
    <n v="68.180000000000007"/>
  </r>
  <r>
    <n v="4"/>
    <n v="10766.4"/>
    <d v="2023-08-04T00:00:00"/>
    <x v="44"/>
    <n v="120"/>
    <s v="0-30 Days"/>
    <n v="89.72"/>
  </r>
  <r>
    <n v="4"/>
    <n v="263614.05"/>
    <d v="2023-08-04T00:00:00"/>
    <x v="48"/>
    <n v="315"/>
    <s v="0-30 Days"/>
    <n v="836.87"/>
  </r>
  <r>
    <n v="4"/>
    <n v="79629.48"/>
    <d v="2023-08-04T00:00:00"/>
    <x v="28"/>
    <n v="756"/>
    <s v="0-30 Days"/>
    <n v="105.33"/>
  </r>
  <r>
    <n v="3"/>
    <n v="112740.54"/>
    <d v="2023-08-05T00:00:00"/>
    <x v="72"/>
    <n v="879"/>
    <s v="0-30 Days"/>
    <n v="128.26"/>
  </r>
  <r>
    <n v="3"/>
    <n v="956122.2"/>
    <d v="2023-08-05T00:00:00"/>
    <x v="63"/>
    <n v="1290"/>
    <s v="0-30 Days"/>
    <n v="741.18"/>
  </r>
  <r>
    <n v="233"/>
    <n v="105308.28"/>
    <d v="2022-12-18T00:00:00"/>
    <x v="75"/>
    <n v="26796"/>
    <s v="91+ Days"/>
    <n v="3.93"/>
  </r>
  <r>
    <n v="230"/>
    <n v="4154638.84"/>
    <d v="2022-12-21T00:00:00"/>
    <x v="76"/>
    <n v="344212"/>
    <s v="91+ Days"/>
    <n v="12.07"/>
  </r>
  <r>
    <n v="231"/>
    <n v="9719729.5999999996"/>
    <d v="2022-12-20T00:00:00"/>
    <x v="77"/>
    <n v="805280"/>
    <s v="91+ Days"/>
    <n v="12.07"/>
  </r>
  <r>
    <n v="231"/>
    <n v="2294156.48"/>
    <d v="2022-12-20T00:00:00"/>
    <x v="78"/>
    <n v="87164"/>
    <s v="91+ Days"/>
    <n v="26.32"/>
  </r>
  <r>
    <n v="224"/>
    <n v="1434861.12"/>
    <d v="2022-12-27T00:00:00"/>
    <x v="78"/>
    <n v="54516"/>
    <s v="91+ Days"/>
    <n v="26.32"/>
  </r>
  <r>
    <n v="184"/>
    <n v="203162.4"/>
    <d v="2023-02-05T00:00:00"/>
    <x v="75"/>
    <n v="48720"/>
    <s v="91+ Days"/>
    <n v="4.17"/>
  </r>
  <r>
    <n v="189"/>
    <n v="91423.08"/>
    <d v="2023-01-31T00:00:00"/>
    <x v="75"/>
    <n v="21924"/>
    <s v="91+ Days"/>
    <n v="4.17"/>
  </r>
  <r>
    <n v="184"/>
    <n v="193004.28"/>
    <d v="2023-02-05T00:00:00"/>
    <x v="75"/>
    <n v="46284"/>
    <s v="91+ Days"/>
    <n v="4.17"/>
  </r>
  <r>
    <n v="189"/>
    <n v="193004.28"/>
    <d v="2023-01-31T00:00:00"/>
    <x v="75"/>
    <n v="46284"/>
    <s v="91+ Days"/>
    <n v="4.17"/>
  </r>
  <r>
    <n v="189"/>
    <n v="193004.28"/>
    <d v="2023-01-31T00:00:00"/>
    <x v="75"/>
    <n v="46284"/>
    <s v="91+ Days"/>
    <n v="4.17"/>
  </r>
  <r>
    <n v="184"/>
    <n v="20316.240000000002"/>
    <d v="2023-02-05T00:00:00"/>
    <x v="75"/>
    <n v="4872"/>
    <s v="91+ Days"/>
    <n v="4.17"/>
  </r>
  <r>
    <n v="184"/>
    <n v="111739.32"/>
    <d v="2023-02-05T00:00:00"/>
    <x v="75"/>
    <n v="26796"/>
    <s v="91+ Days"/>
    <n v="4.17"/>
  </r>
  <r>
    <n v="189"/>
    <n v="203162.4"/>
    <d v="2023-01-31T00:00:00"/>
    <x v="75"/>
    <n v="48720"/>
    <s v="91+ Days"/>
    <n v="4.17"/>
  </r>
  <r>
    <n v="57"/>
    <n v="10158.120000000001"/>
    <d v="2023-06-12T00:00:00"/>
    <x v="75"/>
    <n v="2436"/>
    <s v="31-60 Days"/>
    <n v="4.17"/>
  </r>
  <r>
    <n v="57"/>
    <n v="132055.56"/>
    <d v="2023-06-12T00:00:00"/>
    <x v="75"/>
    <n v="31668"/>
    <s v="31-60 Days"/>
    <n v="4.17"/>
  </r>
  <r>
    <n v="57"/>
    <n v="213320.52"/>
    <d v="2023-06-12T00:00:00"/>
    <x v="75"/>
    <n v="51156"/>
    <s v="31-60 Days"/>
    <n v="4.17"/>
  </r>
  <r>
    <n v="57"/>
    <n v="681655.84"/>
    <d v="2023-06-12T00:00:00"/>
    <x v="77"/>
    <n v="53296"/>
    <s v="31-60 Days"/>
    <n v="12.79"/>
  </r>
  <r>
    <n v="57"/>
    <n v="132055.56"/>
    <d v="2023-06-12T00:00:00"/>
    <x v="75"/>
    <n v="31668"/>
    <s v="31-60 Days"/>
    <n v="4.17"/>
  </r>
  <r>
    <n v="57"/>
    <n v="91423.08"/>
    <d v="2023-06-12T00:00:00"/>
    <x v="75"/>
    <n v="21924"/>
    <s v="31-60 Days"/>
    <n v="4.17"/>
  </r>
  <r>
    <n v="57"/>
    <n v="1991147.2"/>
    <d v="2023-06-12T00:00:00"/>
    <x v="77"/>
    <n v="155680"/>
    <s v="31-60 Days"/>
    <n v="12.79"/>
  </r>
  <r>
    <n v="55"/>
    <n v="700597.83"/>
    <d v="2023-06-14T00:00:00"/>
    <x v="77"/>
    <n v="54777"/>
    <s v="31-60 Days"/>
    <n v="12.79"/>
  </r>
  <r>
    <n v="42"/>
    <n v="1048370.4"/>
    <d v="2023-06-27T00:00:00"/>
    <x v="78"/>
    <n v="37576"/>
    <s v="31-60 Days"/>
    <n v="27.9"/>
  </r>
  <r>
    <n v="42"/>
    <n v="403880.4"/>
    <d v="2023-06-27T00:00:00"/>
    <x v="78"/>
    <n v="14476"/>
    <s v="31-60 Days"/>
    <n v="27.9"/>
  </r>
  <r>
    <n v="42"/>
    <n v="627303.6"/>
    <d v="2023-06-27T00:00:00"/>
    <x v="78"/>
    <n v="22484"/>
    <s v="31-60 Days"/>
    <n v="27.9"/>
  </r>
  <r>
    <n v="42"/>
    <n v="824947.19999999995"/>
    <d v="2023-06-27T00:00:00"/>
    <x v="78"/>
    <n v="29568"/>
    <s v="31-60 Days"/>
    <n v="27.9"/>
  </r>
  <r>
    <n v="42"/>
    <n v="610061.4"/>
    <d v="2023-06-27T00:00:00"/>
    <x v="78"/>
    <n v="21866"/>
    <s v="31-60 Days"/>
    <n v="27.9"/>
  </r>
  <r>
    <n v="42"/>
    <n v="842189.4"/>
    <d v="2023-06-27T00:00:00"/>
    <x v="78"/>
    <n v="30186"/>
    <s v="31-60 Days"/>
    <n v="27.9"/>
  </r>
  <r>
    <n v="42"/>
    <n v="902286"/>
    <d v="2023-06-27T00:00:00"/>
    <x v="78"/>
    <n v="32340"/>
    <s v="31-60 Days"/>
    <n v="27.9"/>
  </r>
  <r>
    <n v="42"/>
    <n v="549964.80000000005"/>
    <d v="2023-06-27T00:00:00"/>
    <x v="78"/>
    <n v="19712"/>
    <s v="31-60 Days"/>
    <n v="27.9"/>
  </r>
  <r>
    <n v="42"/>
    <n v="1160082"/>
    <d v="2023-06-27T00:00:00"/>
    <x v="78"/>
    <n v="41580"/>
    <s v="31-60 Days"/>
    <n v="27.9"/>
  </r>
  <r>
    <n v="42"/>
    <n v="292168.8"/>
    <d v="2023-06-27T00:00:00"/>
    <x v="78"/>
    <n v="10472"/>
    <s v="31-60 Days"/>
    <n v="27.9"/>
  </r>
  <r>
    <n v="42"/>
    <n v="25779.599999999999"/>
    <d v="2023-06-27T00:00:00"/>
    <x v="78"/>
    <n v="924"/>
    <s v="31-60 Days"/>
    <n v="27.9"/>
  </r>
  <r>
    <n v="42"/>
    <n v="1426471.2"/>
    <d v="2023-06-27T00:00:00"/>
    <x v="78"/>
    <n v="51128"/>
    <s v="31-60 Days"/>
    <n v="27.9"/>
  </r>
  <r>
    <n v="42"/>
    <n v="1901617.2"/>
    <d v="2023-06-27T00:00:00"/>
    <x v="77"/>
    <n v="148680"/>
    <s v="31-60 Days"/>
    <n v="12.79"/>
  </r>
  <r>
    <n v="42"/>
    <n v="773539.2"/>
    <d v="2023-06-27T00:00:00"/>
    <x v="77"/>
    <n v="60480"/>
    <s v="31-60 Days"/>
    <n v="12.79"/>
  </r>
  <r>
    <n v="42"/>
    <n v="658940.80000000005"/>
    <d v="2023-06-27T00:00:00"/>
    <x v="76"/>
    <n v="51520"/>
    <s v="31-60 Days"/>
    <n v="12.79"/>
  </r>
  <r>
    <n v="42"/>
    <n v="658940.80000000005"/>
    <d v="2023-06-27T00:00:00"/>
    <x v="76"/>
    <n v="51520"/>
    <s v="31-60 Days"/>
    <n v="12.79"/>
  </r>
  <r>
    <n v="42"/>
    <n v="415419.2"/>
    <d v="2023-06-27T00:00:00"/>
    <x v="76"/>
    <n v="32480"/>
    <s v="31-60 Days"/>
    <n v="12.79"/>
  </r>
  <r>
    <n v="42"/>
    <n v="673265.6"/>
    <d v="2023-06-27T00:00:00"/>
    <x v="76"/>
    <n v="52640"/>
    <s v="31-60 Days"/>
    <n v="12.79"/>
  </r>
  <r>
    <n v="42"/>
    <n v="28649.599999999999"/>
    <d v="2023-06-27T00:00:00"/>
    <x v="77"/>
    <n v="2240"/>
    <s v="31-60 Days"/>
    <n v="12.79"/>
  </r>
  <r>
    <n v="42"/>
    <n v="292168.8"/>
    <d v="2023-06-27T00:00:00"/>
    <x v="78"/>
    <n v="10472"/>
    <s v="31-60 Days"/>
    <n v="27.9"/>
  </r>
  <r>
    <n v="42"/>
    <n v="1297573.2"/>
    <d v="2023-06-27T00:00:00"/>
    <x v="78"/>
    <n v="46508"/>
    <s v="31-60 Days"/>
    <n v="27.9"/>
  </r>
  <r>
    <n v="42"/>
    <n v="146084.4"/>
    <d v="2023-06-27T00:00:00"/>
    <x v="78"/>
    <n v="5236"/>
    <s v="31-60 Days"/>
    <n v="27.9"/>
  </r>
  <r>
    <n v="41"/>
    <n v="1332206.3999999999"/>
    <d v="2023-06-28T00:00:00"/>
    <x v="77"/>
    <n v="104160"/>
    <s v="31-60 Days"/>
    <n v="12.79"/>
  </r>
  <r>
    <n v="41"/>
    <n v="1332206.3999999999"/>
    <d v="2023-06-28T00:00:00"/>
    <x v="77"/>
    <n v="104160"/>
    <s v="31-60 Days"/>
    <n v="12.79"/>
  </r>
  <r>
    <n v="41"/>
    <n v="1103009.6000000001"/>
    <d v="2023-06-28T00:00:00"/>
    <x v="77"/>
    <n v="86240"/>
    <s v="31-60 Days"/>
    <n v="12.79"/>
  </r>
  <r>
    <n v="41"/>
    <n v="673265.6"/>
    <d v="2023-06-28T00:00:00"/>
    <x v="76"/>
    <n v="52640"/>
    <s v="31-60 Days"/>
    <n v="12.79"/>
  </r>
  <r>
    <n v="41"/>
    <n v="306960"/>
    <d v="2023-06-28T00:00:00"/>
    <x v="76"/>
    <n v="24000"/>
    <s v="31-60 Days"/>
    <n v="12.79"/>
  </r>
  <r>
    <n v="40"/>
    <n v="544342.4"/>
    <d v="2023-06-29T00:00:00"/>
    <x v="76"/>
    <n v="42560"/>
    <s v="31-60 Days"/>
    <n v="12.79"/>
  </r>
  <r>
    <n v="40"/>
    <n v="114598.39999999999"/>
    <d v="2023-06-29T00:00:00"/>
    <x v="77"/>
    <n v="8960"/>
    <s v="31-60 Days"/>
    <n v="12.79"/>
  </r>
  <r>
    <n v="40"/>
    <n v="658940.80000000005"/>
    <d v="2023-06-29T00:00:00"/>
    <x v="76"/>
    <n v="51520"/>
    <s v="31-60 Days"/>
    <n v="12.79"/>
  </r>
  <r>
    <n v="36"/>
    <n v="1332206.3999999999"/>
    <d v="2023-07-03T00:00:00"/>
    <x v="77"/>
    <n v="104160"/>
    <s v="31-60 Days"/>
    <n v="12.79"/>
  </r>
  <r>
    <n v="36"/>
    <n v="1332206.3999999999"/>
    <d v="2023-07-03T00:00:00"/>
    <x v="77"/>
    <n v="104160"/>
    <s v="31-60 Days"/>
    <n v="12.79"/>
  </r>
  <r>
    <n v="36"/>
    <n v="1686694.04"/>
    <d v="2023-07-03T00:00:00"/>
    <x v="76"/>
    <n v="131876"/>
    <s v="31-60 Days"/>
    <n v="12.79"/>
  </r>
  <r>
    <n v="36"/>
    <n v="315145.59999999998"/>
    <d v="2023-07-03T00:00:00"/>
    <x v="76"/>
    <n v="24640"/>
    <s v="31-60 Days"/>
    <n v="12.79"/>
  </r>
  <r>
    <n v="36"/>
    <n v="673265.6"/>
    <d v="2023-07-03T00:00:00"/>
    <x v="76"/>
    <n v="52640"/>
    <s v="31-60 Days"/>
    <n v="12.79"/>
  </r>
  <r>
    <n v="35"/>
    <n v="128923.2"/>
    <d v="2023-07-04T00:00:00"/>
    <x v="76"/>
    <n v="10080"/>
    <s v="31-60 Days"/>
    <n v="12.79"/>
  </r>
  <r>
    <n v="35"/>
    <n v="873812.8"/>
    <d v="2023-07-04T00:00:00"/>
    <x v="77"/>
    <n v="68320"/>
    <s v="31-60 Days"/>
    <n v="12.79"/>
  </r>
  <r>
    <n v="35"/>
    <n v="773388"/>
    <d v="2023-07-04T00:00:00"/>
    <x v="78"/>
    <n v="27720"/>
    <s v="31-60 Days"/>
    <n v="27.9"/>
  </r>
  <r>
    <n v="35"/>
    <n v="1332206.3999999999"/>
    <d v="2023-07-04T00:00:00"/>
    <x v="77"/>
    <n v="104160"/>
    <s v="31-60 Days"/>
    <n v="12.79"/>
  </r>
  <r>
    <n v="34"/>
    <n v="132555.56"/>
    <d v="2023-07-05T00:00:00"/>
    <x v="76"/>
    <n v="10364"/>
    <s v="31-60 Days"/>
    <n v="12.79"/>
  </r>
  <r>
    <n v="34"/>
    <n v="1039366.56"/>
    <d v="2023-07-05T00:00:00"/>
    <x v="77"/>
    <n v="81264"/>
    <s v="31-60 Days"/>
    <n v="12.79"/>
  </r>
  <r>
    <n v="33"/>
    <n v="360914.4"/>
    <d v="2023-07-06T00:00:00"/>
    <x v="78"/>
    <n v="12936"/>
    <s v="31-60 Days"/>
    <n v="27.9"/>
  </r>
  <r>
    <n v="33"/>
    <n v="1091336.3999999999"/>
    <d v="2023-07-06T00:00:00"/>
    <x v="78"/>
    <n v="39116"/>
    <s v="31-60 Days"/>
    <n v="27.9"/>
  </r>
  <r>
    <n v="27"/>
    <n v="1332206.3999999999"/>
    <d v="2023-07-12T00:00:00"/>
    <x v="77"/>
    <n v="104160"/>
    <s v="0-30 Days"/>
    <n v="12.79"/>
  </r>
  <r>
    <n v="21"/>
    <n v="319839.53000000003"/>
    <d v="2023-07-18T00:00:00"/>
    <x v="77"/>
    <n v="25007"/>
    <s v="0-30 Days"/>
    <n v="12.79"/>
  </r>
  <r>
    <n v="21"/>
    <n v="246591.2"/>
    <d v="2023-07-18T00:00:00"/>
    <x v="76"/>
    <n v="19280"/>
    <s v="0-30 Days"/>
    <n v="12.79"/>
  </r>
  <r>
    <n v="21"/>
    <n v="278515.03999999998"/>
    <d v="2023-07-18T00:00:00"/>
    <x v="77"/>
    <n v="21776"/>
    <s v="0-30 Days"/>
    <n v="12.79"/>
  </r>
  <r>
    <n v="21"/>
    <n v="175888.08"/>
    <d v="2023-07-18T00:00:00"/>
    <x v="76"/>
    <n v="13752"/>
    <s v="0-30 Days"/>
    <n v="12.79"/>
  </r>
  <r>
    <n v="20"/>
    <n v="673265.6"/>
    <d v="2023-07-19T00:00:00"/>
    <x v="76"/>
    <n v="52640"/>
    <s v="0-30 Days"/>
    <n v="12.79"/>
  </r>
  <r>
    <n v="20"/>
    <n v="1332206.3999999999"/>
    <d v="2023-07-19T00:00:00"/>
    <x v="77"/>
    <n v="104160"/>
    <s v="0-30 Days"/>
    <n v="12.79"/>
  </r>
  <r>
    <n v="19"/>
    <n v="1185861.6000000001"/>
    <d v="2023-07-20T00:00:00"/>
    <x v="78"/>
    <n v="42504"/>
    <s v="0-30 Days"/>
    <n v="27.9"/>
  </r>
  <r>
    <n v="19"/>
    <n v="266389.2"/>
    <d v="2023-07-20T00:00:00"/>
    <x v="78"/>
    <n v="9548"/>
    <s v="0-30 Days"/>
    <n v="27.9"/>
  </r>
  <r>
    <n v="19"/>
    <n v="658940.80000000005"/>
    <d v="2023-07-20T00:00:00"/>
    <x v="76"/>
    <n v="51520"/>
    <s v="0-30 Days"/>
    <n v="12.79"/>
  </r>
  <r>
    <n v="13"/>
    <n v="438253.2"/>
    <d v="2023-07-26T00:00:00"/>
    <x v="78"/>
    <n v="15708"/>
    <s v="0-30 Days"/>
    <n v="27.9"/>
  </r>
  <r>
    <n v="13"/>
    <n v="1013997.6"/>
    <d v="2023-07-26T00:00:00"/>
    <x v="78"/>
    <n v="36344"/>
    <s v="0-30 Days"/>
    <n v="27.9"/>
  </r>
  <r>
    <n v="13"/>
    <n v="658940.80000000005"/>
    <d v="2023-07-26T00:00:00"/>
    <x v="76"/>
    <n v="51520"/>
    <s v="0-30 Days"/>
    <n v="12.79"/>
  </r>
  <r>
    <n v="12"/>
    <n v="658940.80000000005"/>
    <d v="2023-07-27T00:00:00"/>
    <x v="76"/>
    <n v="51520"/>
    <s v="0-30 Days"/>
    <n v="12.79"/>
  </r>
  <r>
    <n v="12"/>
    <n v="165758.39999999999"/>
    <d v="2023-07-27T00:00:00"/>
    <x v="76"/>
    <n v="12960"/>
    <s v="0-30 Days"/>
    <n v="12.79"/>
  </r>
  <r>
    <n v="497"/>
    <n v="160"/>
    <d v="2022-03-29T00:00:00"/>
    <x v="79"/>
    <n v="4000"/>
    <s v="91+ Days"/>
    <n v="0.04"/>
  </r>
  <r>
    <n v="203"/>
    <n v="132617.51999999999"/>
    <d v="2023-01-17T00:00:00"/>
    <x v="80"/>
    <n v="588"/>
    <s v="91+ Days"/>
    <n v="225.54"/>
  </r>
  <r>
    <n v="187"/>
    <n v="69778.8"/>
    <d v="2023-02-02T00:00:00"/>
    <x v="81"/>
    <n v="1512"/>
    <s v="91+ Days"/>
    <n v="46.15"/>
  </r>
  <r>
    <n v="84"/>
    <n v="281930.88"/>
    <d v="2023-05-16T00:00:00"/>
    <x v="82"/>
    <n v="1848"/>
    <s v="61-90 Days"/>
    <n v="152.56"/>
  </r>
  <r>
    <n v="315"/>
    <n v="34345.919999999998"/>
    <d v="2022-09-27T00:00:00"/>
    <x v="83"/>
    <n v="84"/>
    <s v="91+ Days"/>
    <n v="408.88"/>
  </r>
  <r>
    <n v="315"/>
    <n v="22670.9"/>
    <d v="2022-09-27T00:00:00"/>
    <x v="84"/>
    <n v="70"/>
    <s v="91+ Days"/>
    <n v="323.87"/>
  </r>
  <r>
    <n v="762"/>
    <n v="41576.400000000001"/>
    <d v="2021-07-07T00:00:00"/>
    <x v="85"/>
    <n v="120"/>
    <s v="91+ Days"/>
    <n v="346.47"/>
  </r>
  <r>
    <n v="497"/>
    <n v="4960"/>
    <d v="2022-03-29T00:00:00"/>
    <x v="79"/>
    <n v="124000"/>
    <s v="91+ Days"/>
    <n v="0.04"/>
  </r>
  <r>
    <n v="60"/>
    <n v="139063.67999999999"/>
    <d v="2023-06-09T00:00:00"/>
    <x v="86"/>
    <n v="1008"/>
    <s v="31-60 Days"/>
    <n v="137.96"/>
  </r>
  <r>
    <n v="55"/>
    <n v="187953.92000000001"/>
    <d v="2023-06-14T00:00:00"/>
    <x v="82"/>
    <n v="1232"/>
    <s v="31-60 Days"/>
    <n v="152.56"/>
  </r>
  <r>
    <n v="55"/>
    <n v="421419.6"/>
    <d v="2023-06-14T00:00:00"/>
    <x v="87"/>
    <n v="2520"/>
    <s v="31-60 Days"/>
    <n v="167.23"/>
  </r>
  <r>
    <n v="49"/>
    <n v="4459"/>
    <d v="2023-06-20T00:00:00"/>
    <x v="88"/>
    <n v="1820"/>
    <s v="31-60 Days"/>
    <n v="2.4500000000000002"/>
  </r>
  <r>
    <n v="40"/>
    <n v="182602.56"/>
    <d v="2023-06-29T00:00:00"/>
    <x v="89"/>
    <n v="672"/>
    <s v="31-60 Days"/>
    <n v="271.73"/>
  </r>
  <r>
    <n v="40"/>
    <n v="2140908"/>
    <d v="2023-06-29T00:00:00"/>
    <x v="90"/>
    <n v="6468"/>
    <s v="31-60 Days"/>
    <n v="331"/>
  </r>
  <r>
    <n v="34"/>
    <n v="54280.800000000003"/>
    <d v="2023-07-05T00:00:00"/>
    <x v="91"/>
    <n v="3780"/>
    <s v="31-60 Days"/>
    <n v="14.36"/>
  </r>
  <r>
    <n v="13"/>
    <n v="145971"/>
    <d v="2023-07-26T00:00:00"/>
    <x v="90"/>
    <n v="441"/>
    <s v="0-30 Days"/>
    <n v="331"/>
  </r>
  <r>
    <n v="12"/>
    <n v="174717.9"/>
    <d v="2023-07-27T00:00:00"/>
    <x v="92"/>
    <n v="630"/>
    <s v="0-30 Days"/>
    <n v="277.33"/>
  </r>
  <r>
    <n v="12"/>
    <n v="174717.9"/>
    <d v="2023-07-27T00:00:00"/>
    <x v="92"/>
    <n v="630"/>
    <s v="0-30 Days"/>
    <n v="277.33"/>
  </r>
  <r>
    <n v="12"/>
    <n v="174717.9"/>
    <d v="2023-07-27T00:00:00"/>
    <x v="92"/>
    <n v="630"/>
    <s v="0-30 Days"/>
    <n v="277.33"/>
  </r>
  <r>
    <n v="12"/>
    <n v="349435.8"/>
    <d v="2023-07-27T00:00:00"/>
    <x v="92"/>
    <n v="1260"/>
    <s v="0-30 Days"/>
    <n v="277.33"/>
  </r>
  <r>
    <n v="12"/>
    <n v="153086.6"/>
    <d v="2023-07-27T00:00:00"/>
    <x v="93"/>
    <n v="655"/>
    <s v="0-30 Days"/>
    <n v="233.72"/>
  </r>
  <r>
    <n v="12"/>
    <n v="33889.4"/>
    <d v="2023-07-27T00:00:00"/>
    <x v="93"/>
    <n v="145"/>
    <s v="0-30 Days"/>
    <n v="233.72"/>
  </r>
  <r>
    <n v="11"/>
    <n v="97314"/>
    <d v="2023-07-28T00:00:00"/>
    <x v="90"/>
    <n v="294"/>
    <s v="0-30 Days"/>
    <n v="331"/>
  </r>
  <r>
    <n v="11"/>
    <n v="583884"/>
    <d v="2023-07-28T00:00:00"/>
    <x v="90"/>
    <n v="1764"/>
    <s v="0-30 Days"/>
    <n v="331"/>
  </r>
  <r>
    <n v="6"/>
    <n v="132617.51999999999"/>
    <d v="2023-08-02T00:00:00"/>
    <x v="80"/>
    <n v="588"/>
    <s v="0-30 Days"/>
    <n v="225.54"/>
  </r>
  <r>
    <n v="6"/>
    <n v="113131.2"/>
    <d v="2023-08-02T00:00:00"/>
    <x v="94"/>
    <n v="1176"/>
    <s v="0-30 Days"/>
    <n v="96.2"/>
  </r>
  <r>
    <n v="0"/>
    <n v="120435.84"/>
    <d v="2023-08-08T00:00:00"/>
    <x v="95"/>
    <n v="1008"/>
    <s v="0-30 Days"/>
    <n v="119.48"/>
  </r>
  <r>
    <n v="0"/>
    <n v="113131.2"/>
    <s v=""/>
    <x v="94"/>
    <n v="1176"/>
    <s v="0-30 Days"/>
    <n v="96.2"/>
  </r>
  <r>
    <n v="377"/>
    <n v="47271.6"/>
    <d v="2022-07-27T00:00:00"/>
    <x v="96"/>
    <n v="810"/>
    <s v="91+ Days"/>
    <n v="58.36"/>
  </r>
  <r>
    <n v="274"/>
    <n v="304113.96000000002"/>
    <d v="2022-11-07T00:00:00"/>
    <x v="96"/>
    <n v="5211"/>
    <s v="91+ Days"/>
    <n v="58.36"/>
  </r>
  <r>
    <n v="274"/>
    <n v="354537"/>
    <d v="2022-11-07T00:00:00"/>
    <x v="96"/>
    <n v="6075"/>
    <s v="91+ Days"/>
    <n v="58.36"/>
  </r>
  <r>
    <n v="202"/>
    <n v="24432"/>
    <d v="2023-01-18T00:00:00"/>
    <x v="96"/>
    <n v="160"/>
    <s v="91+ Days"/>
    <n v="152.69999999999999"/>
  </r>
  <r>
    <n v="175"/>
    <n v="24432"/>
    <d v="2023-02-14T00:00:00"/>
    <x v="96"/>
    <n v="160"/>
    <s v="91+ Days"/>
    <n v="152.69999999999999"/>
  </r>
  <r>
    <n v="155"/>
    <n v="8932"/>
    <d v="2023-03-06T00:00:00"/>
    <x v="97"/>
    <n v="350"/>
    <s v="91+ Days"/>
    <n v="25.52"/>
  </r>
  <r>
    <n v="137"/>
    <n v="1344"/>
    <d v="2023-03-24T00:00:00"/>
    <x v="98"/>
    <n v="20"/>
    <s v="91+ Days"/>
    <n v="67.2"/>
  </r>
  <r>
    <n v="137"/>
    <n v="21947.200000000001"/>
    <d v="2023-03-24T00:00:00"/>
    <x v="97"/>
    <n v="860"/>
    <s v="91+ Days"/>
    <n v="25.52"/>
  </r>
  <r>
    <n v="119"/>
    <n v="15000"/>
    <d v="2023-04-11T00:00:00"/>
    <x v="99"/>
    <n v="6000"/>
    <s v="91+ Days"/>
    <n v="2.5"/>
  </r>
  <r>
    <n v="119"/>
    <n v="30000"/>
    <d v="2023-04-11T00:00:00"/>
    <x v="99"/>
    <n v="12000"/>
    <s v="91+ Days"/>
    <n v="2.5"/>
  </r>
  <r>
    <n v="113"/>
    <n v="8932"/>
    <d v="2023-04-17T00:00:00"/>
    <x v="97"/>
    <n v="350"/>
    <s v="91+ Days"/>
    <n v="25.52"/>
  </r>
  <r>
    <n v="106"/>
    <n v="109304.9"/>
    <d v="2023-04-24T00:00:00"/>
    <x v="100"/>
    <n v="170"/>
    <s v="91+ Days"/>
    <n v="642.97"/>
  </r>
  <r>
    <n v="106"/>
    <n v="34077.410000000003"/>
    <d v="2023-04-24T00:00:00"/>
    <x v="100"/>
    <n v="53"/>
    <s v="91+ Days"/>
    <n v="642.97"/>
  </r>
  <r>
    <n v="85"/>
    <n v="5104"/>
    <d v="2023-05-15T00:00:00"/>
    <x v="97"/>
    <n v="200"/>
    <s v="61-90 Days"/>
    <n v="25.52"/>
  </r>
  <r>
    <n v="85"/>
    <n v="10279.620000000001"/>
    <d v="2023-05-15T00:00:00"/>
    <x v="101"/>
    <n v="191"/>
    <s v="61-90 Days"/>
    <n v="53.82"/>
  </r>
  <r>
    <n v="53"/>
    <n v="10641.84"/>
    <d v="2023-06-16T00:00:00"/>
    <x v="97"/>
    <n v="417"/>
    <s v="31-60 Days"/>
    <n v="25.52"/>
  </r>
  <r>
    <n v="49"/>
    <n v="34983"/>
    <d v="2023-06-20T00:00:00"/>
    <x v="101"/>
    <n v="650"/>
    <s v="31-60 Days"/>
    <n v="53.82"/>
  </r>
  <r>
    <n v="244"/>
    <n v="106905.60000000001"/>
    <d v="2022-12-07T00:00:00"/>
    <x v="102"/>
    <n v="768"/>
    <s v="91+ Days"/>
    <n v="139.19999999999999"/>
  </r>
  <r>
    <n v="84"/>
    <n v="11415.6"/>
    <d v="2023-05-16T00:00:00"/>
    <x v="103"/>
    <n v="108"/>
    <s v="61-90 Days"/>
    <n v="105.7"/>
  </r>
  <r>
    <n v="26"/>
    <n v="80944.2"/>
    <d v="2023-07-13T00:00:00"/>
    <x v="104"/>
    <n v="180"/>
    <s v="0-30 Days"/>
    <n v="449.69"/>
  </r>
  <r>
    <n v="26"/>
    <n v="307587.96000000002"/>
    <d v="2023-07-13T00:00:00"/>
    <x v="104"/>
    <n v="684"/>
    <s v="0-30 Days"/>
    <n v="449.69"/>
  </r>
  <r>
    <n v="26"/>
    <n v="16188.84"/>
    <d v="2023-07-13T00:00:00"/>
    <x v="104"/>
    <n v="36"/>
    <s v="0-30 Days"/>
    <n v="449.69"/>
  </r>
  <r>
    <n v="12"/>
    <n v="712308.96"/>
    <d v="2023-07-27T00:00:00"/>
    <x v="104"/>
    <n v="1584"/>
    <s v="0-30 Days"/>
    <n v="449.69"/>
  </r>
  <r>
    <n v="231"/>
    <n v="3915468.48"/>
    <d v="2022-12-20T00:00:00"/>
    <x v="78"/>
    <n v="148764"/>
    <s v="91+ Days"/>
    <n v="26.32"/>
  </r>
  <r>
    <n v="231"/>
    <n v="648883.19999999995"/>
    <d v="2022-12-20T00:00:00"/>
    <x v="77"/>
    <n v="53760"/>
    <s v="91+ Days"/>
    <n v="12.07"/>
  </r>
  <r>
    <n v="216"/>
    <n v="583911.54"/>
    <d v="2023-01-04T00:00:00"/>
    <x v="75"/>
    <n v="148578"/>
    <s v="91+ Days"/>
    <n v="3.93"/>
  </r>
  <r>
    <n v="56"/>
    <n v="48972"/>
    <d v="2023-06-13T00:00:00"/>
    <x v="105"/>
    <n v="12"/>
    <s v="31-60 Days"/>
    <n v="4081"/>
  </r>
  <r>
    <n v="1251"/>
    <n v="8040"/>
    <d v="2020-03-05T00:00:00"/>
    <x v="106"/>
    <n v="3000"/>
    <s v="91+ Days"/>
    <n v="2.68"/>
  </r>
  <r>
    <n v="1194"/>
    <n v="8040"/>
    <d v="2020-05-01T00:00:00"/>
    <x v="106"/>
    <n v="3000"/>
    <s v="91+ Days"/>
    <n v="2.68"/>
  </r>
  <r>
    <n v="974"/>
    <n v="5670"/>
    <d v="2020-12-07T00:00:00"/>
    <x v="107"/>
    <n v="3000"/>
    <s v="91+ Days"/>
    <n v="1.89"/>
  </r>
  <r>
    <n v="571"/>
    <n v="1700"/>
    <d v="2022-01-14T00:00:00"/>
    <x v="108"/>
    <n v="2500"/>
    <s v="91+ Days"/>
    <n v="0.68"/>
  </r>
  <r>
    <n v="517"/>
    <n v="15350"/>
    <d v="2022-03-09T00:00:00"/>
    <x v="109"/>
    <n v="5000"/>
    <s v="91+ Days"/>
    <n v="3.07"/>
  </r>
  <r>
    <n v="510"/>
    <n v="10500"/>
    <d v="2022-03-16T00:00:00"/>
    <x v="104"/>
    <n v="3000"/>
    <s v="91+ Days"/>
    <n v="3.5"/>
  </r>
  <r>
    <n v="503"/>
    <n v="10500"/>
    <d v="2022-03-23T00:00:00"/>
    <x v="104"/>
    <n v="3000"/>
    <s v="91+ Days"/>
    <n v="3.5"/>
  </r>
  <r>
    <n v="502"/>
    <n v="21000"/>
    <d v="2022-03-24T00:00:00"/>
    <x v="104"/>
    <n v="6000"/>
    <s v="91+ Days"/>
    <n v="3.5"/>
  </r>
  <r>
    <n v="497"/>
    <n v="21000"/>
    <d v="2022-03-29T00:00:00"/>
    <x v="104"/>
    <n v="6000"/>
    <s v="91+ Days"/>
    <n v="3.5"/>
  </r>
  <r>
    <n v="494"/>
    <n v="21000"/>
    <d v="2022-04-01T00:00:00"/>
    <x v="104"/>
    <n v="6000"/>
    <s v="91+ Days"/>
    <n v="3.5"/>
  </r>
  <r>
    <n v="490"/>
    <n v="5136"/>
    <d v="2022-04-05T00:00:00"/>
    <x v="110"/>
    <n v="12000"/>
    <s v="91+ Days"/>
    <n v="0.42799999999999999"/>
  </r>
  <r>
    <n v="488"/>
    <n v="10500"/>
    <d v="2022-04-07T00:00:00"/>
    <x v="104"/>
    <n v="3000"/>
    <s v="91+ Days"/>
    <n v="3.5"/>
  </r>
  <r>
    <n v="389"/>
    <n v="10500"/>
    <d v="2022-07-15T00:00:00"/>
    <x v="104"/>
    <n v="3000"/>
    <s v="91+ Days"/>
    <n v="3.5"/>
  </r>
  <r>
    <n v="371"/>
    <n v="10500"/>
    <d v="2022-08-02T00:00:00"/>
    <x v="104"/>
    <n v="3000"/>
    <s v="91+ Days"/>
    <n v="3.5"/>
  </r>
  <r>
    <n v="371"/>
    <n v="5940"/>
    <d v="2022-08-02T00:00:00"/>
    <x v="110"/>
    <n v="12000"/>
    <s v="91+ Days"/>
    <n v="0.495"/>
  </r>
  <r>
    <n v="363"/>
    <n v="8700"/>
    <d v="2022-08-10T00:00:00"/>
    <x v="111"/>
    <n v="3000"/>
    <s v="91+ Days"/>
    <n v="2.9"/>
  </r>
  <r>
    <n v="336"/>
    <n v="10500"/>
    <d v="2022-09-06T00:00:00"/>
    <x v="104"/>
    <n v="3000"/>
    <s v="91+ Days"/>
    <n v="3.5"/>
  </r>
  <r>
    <n v="334"/>
    <n v="10500"/>
    <d v="2022-09-08T00:00:00"/>
    <x v="104"/>
    <n v="3000"/>
    <s v="91+ Days"/>
    <n v="3.5"/>
  </r>
  <r>
    <n v="334"/>
    <n v="26100"/>
    <d v="2022-09-08T00:00:00"/>
    <x v="111"/>
    <n v="9000"/>
    <s v="91+ Days"/>
    <n v="2.9"/>
  </r>
  <r>
    <n v="258"/>
    <n v="21000"/>
    <d v="2022-11-23T00:00:00"/>
    <x v="104"/>
    <n v="6000"/>
    <s v="91+ Days"/>
    <n v="3.5"/>
  </r>
  <r>
    <n v="222"/>
    <n v="67737.600000000006"/>
    <d v="2022-12-29T00:00:00"/>
    <x v="112"/>
    <n v="84"/>
    <s v="91+ Days"/>
    <n v="806.4"/>
  </r>
  <r>
    <n v="222"/>
    <n v="338688"/>
    <d v="2022-12-29T00:00:00"/>
    <x v="112"/>
    <n v="420"/>
    <s v="91+ Days"/>
    <n v="806.4"/>
  </r>
  <r>
    <n v="216"/>
    <n v="10500"/>
    <d v="2023-01-04T00:00:00"/>
    <x v="104"/>
    <n v="3000"/>
    <s v="91+ Days"/>
    <n v="3.5"/>
  </r>
  <r>
    <n v="210"/>
    <n v="10500"/>
    <d v="2023-01-10T00:00:00"/>
    <x v="104"/>
    <n v="3000"/>
    <s v="91+ Days"/>
    <n v="3.5"/>
  </r>
  <r>
    <n v="209"/>
    <n v="10500"/>
    <d v="2023-01-11T00:00:00"/>
    <x v="104"/>
    <n v="3000"/>
    <s v="91+ Days"/>
    <n v="3.5"/>
  </r>
  <r>
    <n v="209"/>
    <n v="1700"/>
    <d v="2023-01-11T00:00:00"/>
    <x v="108"/>
    <n v="2500"/>
    <s v="91+ Days"/>
    <n v="0.68"/>
  </r>
  <r>
    <n v="207"/>
    <n v="1728"/>
    <d v="2023-01-13T00:00:00"/>
    <x v="113"/>
    <n v="2000"/>
    <s v="91+ Days"/>
    <n v="0.86399999999999999"/>
  </r>
  <r>
    <n v="207"/>
    <n v="44125"/>
    <d v="2023-01-13T00:00:00"/>
    <x v="109"/>
    <n v="12500"/>
    <s v="91+ Days"/>
    <n v="3.53"/>
  </r>
  <r>
    <n v="181"/>
    <n v="21000"/>
    <d v="2023-02-08T00:00:00"/>
    <x v="104"/>
    <n v="6000"/>
    <s v="91+ Days"/>
    <n v="3.5"/>
  </r>
  <r>
    <n v="181"/>
    <n v="10500"/>
    <d v="2023-02-08T00:00:00"/>
    <x v="104"/>
    <n v="3000"/>
    <s v="91+ Days"/>
    <n v="3.5"/>
  </r>
  <r>
    <n v="180"/>
    <n v="126000"/>
    <d v="2023-02-09T00:00:00"/>
    <x v="104"/>
    <n v="36000"/>
    <s v="91+ Days"/>
    <n v="3.5"/>
  </r>
  <r>
    <n v="165"/>
    <n v="136500"/>
    <d v="2023-02-24T00:00:00"/>
    <x v="104"/>
    <n v="39000"/>
    <s v="91+ Days"/>
    <n v="3.5"/>
  </r>
  <r>
    <n v="159"/>
    <n v="94500"/>
    <d v="2023-03-02T00:00:00"/>
    <x v="104"/>
    <n v="27000"/>
    <s v="91+ Days"/>
    <n v="3.5"/>
  </r>
  <r>
    <n v="159"/>
    <n v="21000"/>
    <d v="2023-03-02T00:00:00"/>
    <x v="104"/>
    <n v="6000"/>
    <s v="91+ Days"/>
    <n v="3.5"/>
  </r>
  <r>
    <n v="159"/>
    <n v="94500"/>
    <d v="2023-03-02T00:00:00"/>
    <x v="104"/>
    <n v="27000"/>
    <s v="91+ Days"/>
    <n v="3.5"/>
  </r>
  <r>
    <n v="154"/>
    <n v="21000"/>
    <d v="2023-03-07T00:00:00"/>
    <x v="104"/>
    <n v="6000"/>
    <s v="91+ Days"/>
    <n v="3.5"/>
  </r>
  <r>
    <n v="154"/>
    <n v="84000"/>
    <d v="2023-03-07T00:00:00"/>
    <x v="104"/>
    <n v="24000"/>
    <s v="91+ Days"/>
    <n v="3.5"/>
  </r>
  <r>
    <n v="154"/>
    <n v="346500"/>
    <d v="2023-03-07T00:00:00"/>
    <x v="104"/>
    <n v="99000"/>
    <s v="91+ Days"/>
    <n v="3.5"/>
  </r>
  <r>
    <n v="154"/>
    <n v="10500"/>
    <d v="2023-03-07T00:00:00"/>
    <x v="104"/>
    <n v="3000"/>
    <s v="91+ Days"/>
    <n v="3.5"/>
  </r>
  <r>
    <n v="144"/>
    <n v="441000"/>
    <d v="2023-03-17T00:00:00"/>
    <x v="104"/>
    <n v="126000"/>
    <s v="91+ Days"/>
    <n v="3.5"/>
  </r>
  <r>
    <n v="144"/>
    <n v="94500"/>
    <d v="2023-03-17T00:00:00"/>
    <x v="104"/>
    <n v="27000"/>
    <s v="91+ Days"/>
    <n v="3.5"/>
  </r>
  <r>
    <n v="144"/>
    <n v="21000"/>
    <d v="2023-03-17T00:00:00"/>
    <x v="104"/>
    <n v="6000"/>
    <s v="91+ Days"/>
    <n v="3.5"/>
  </r>
  <r>
    <n v="133"/>
    <n v="44125"/>
    <d v="2023-03-28T00:00:00"/>
    <x v="109"/>
    <n v="12500"/>
    <s v="91+ Days"/>
    <n v="3.53"/>
  </r>
  <r>
    <n v="133"/>
    <n v="5940"/>
    <d v="2023-03-28T00:00:00"/>
    <x v="110"/>
    <n v="12000"/>
    <s v="91+ Days"/>
    <n v="0.495"/>
  </r>
  <r>
    <n v="119"/>
    <n v="21000"/>
    <d v="2023-04-11T00:00:00"/>
    <x v="104"/>
    <n v="6000"/>
    <s v="91+ Days"/>
    <n v="3.5"/>
  </r>
  <r>
    <n v="118"/>
    <n v="210000"/>
    <d v="2023-04-12T00:00:00"/>
    <x v="104"/>
    <n v="60000"/>
    <s v="91+ Days"/>
    <n v="3.5"/>
  </r>
  <r>
    <n v="118"/>
    <n v="42000"/>
    <d v="2023-04-12T00:00:00"/>
    <x v="104"/>
    <n v="12000"/>
    <s v="91+ Days"/>
    <n v="3.5"/>
  </r>
  <r>
    <n v="117"/>
    <n v="71801.52"/>
    <d v="2023-04-13T00:00:00"/>
    <x v="112"/>
    <n v="84"/>
    <s v="91+ Days"/>
    <n v="854.78"/>
  </r>
  <r>
    <n v="106"/>
    <n v="359007.6"/>
    <d v="2023-04-24T00:00:00"/>
    <x v="112"/>
    <n v="420"/>
    <s v="91+ Days"/>
    <n v="854.78"/>
  </r>
  <r>
    <n v="96"/>
    <n v="430809.12"/>
    <d v="2023-05-04T00:00:00"/>
    <x v="112"/>
    <n v="504"/>
    <s v="91+ Days"/>
    <n v="854.78"/>
  </r>
  <r>
    <n v="95"/>
    <n v="2943862.32"/>
    <d v="2023-05-05T00:00:00"/>
    <x v="112"/>
    <n v="3444"/>
    <s v="91+ Days"/>
    <n v="854.78"/>
  </r>
  <r>
    <n v="96"/>
    <n v="430809.12"/>
    <d v="2023-05-04T00:00:00"/>
    <x v="112"/>
    <n v="504"/>
    <s v="91+ Days"/>
    <n v="854.78"/>
  </r>
  <r>
    <n v="96"/>
    <n v="430809.12"/>
    <d v="2023-05-04T00:00:00"/>
    <x v="112"/>
    <n v="504"/>
    <s v="91+ Days"/>
    <n v="854.78"/>
  </r>
  <r>
    <n v="84"/>
    <n v="37610.32"/>
    <d v="2023-05-16T00:00:00"/>
    <x v="112"/>
    <n v="44"/>
    <s v="61-90 Days"/>
    <n v="854.78"/>
  </r>
  <r>
    <n v="84"/>
    <n v="321397.28000000003"/>
    <d v="2023-05-16T00:00:00"/>
    <x v="112"/>
    <n v="376"/>
    <s v="61-90 Days"/>
    <n v="854.78"/>
  </r>
  <r>
    <n v="78"/>
    <n v="359007.6"/>
    <d v="2023-05-22T00:00:00"/>
    <x v="112"/>
    <n v="420"/>
    <s v="61-90 Days"/>
    <n v="854.78"/>
  </r>
  <r>
    <n v="77"/>
    <n v="3400"/>
    <d v="2023-05-23T00:00:00"/>
    <x v="108"/>
    <n v="5000"/>
    <s v="61-90 Days"/>
    <n v="0.68"/>
  </r>
  <r>
    <n v="77"/>
    <n v="72720"/>
    <d v="2023-05-23T00:00:00"/>
    <x v="106"/>
    <n v="72000"/>
    <s v="61-90 Days"/>
    <n v="1.01"/>
  </r>
  <r>
    <n v="63"/>
    <n v="26730"/>
    <d v="2023-06-06T00:00:00"/>
    <x v="110"/>
    <n v="54000"/>
    <s v="61-90 Days"/>
    <n v="0.495"/>
  </r>
  <r>
    <n v="63"/>
    <n v="5600"/>
    <d v="2023-06-06T00:00:00"/>
    <x v="114"/>
    <n v="5000"/>
    <s v="61-90 Days"/>
    <n v="1.1200000000000001"/>
  </r>
  <r>
    <n v="63"/>
    <n v="211800"/>
    <d v="2023-06-06T00:00:00"/>
    <x v="109"/>
    <n v="60000"/>
    <s v="61-90 Days"/>
    <n v="3.53"/>
  </r>
  <r>
    <n v="56"/>
    <n v="71801.52"/>
    <d v="2023-06-13T00:00:00"/>
    <x v="112"/>
    <n v="84"/>
    <s v="31-60 Days"/>
    <n v="854.78"/>
  </r>
  <r>
    <n v="56"/>
    <n v="143603.04"/>
    <d v="2023-06-13T00:00:00"/>
    <x v="112"/>
    <n v="168"/>
    <s v="31-60 Days"/>
    <n v="854.78"/>
  </r>
  <r>
    <n v="56"/>
    <n v="430809.12"/>
    <d v="2023-06-13T00:00:00"/>
    <x v="112"/>
    <n v="504"/>
    <s v="31-60 Days"/>
    <n v="854.78"/>
  </r>
  <r>
    <n v="56"/>
    <n v="359007.6"/>
    <d v="2023-06-13T00:00:00"/>
    <x v="112"/>
    <n v="420"/>
    <s v="31-60 Days"/>
    <n v="854.78"/>
  </r>
  <r>
    <n v="54"/>
    <n v="8400"/>
    <d v="2023-06-15T00:00:00"/>
    <x v="115"/>
    <n v="4000"/>
    <s v="31-60 Days"/>
    <n v="2.1"/>
  </r>
  <r>
    <n v="53"/>
    <n v="430809.12"/>
    <d v="2023-06-16T00:00:00"/>
    <x v="112"/>
    <n v="504"/>
    <s v="31-60 Days"/>
    <n v="854.78"/>
  </r>
  <r>
    <n v="53"/>
    <n v="71801.52"/>
    <d v="2023-06-16T00:00:00"/>
    <x v="112"/>
    <n v="84"/>
    <s v="31-60 Days"/>
    <n v="854.78"/>
  </r>
  <r>
    <n v="47"/>
    <n v="71801.52"/>
    <d v="2023-06-22T00:00:00"/>
    <x v="112"/>
    <n v="84"/>
    <s v="31-60 Days"/>
    <n v="854.78"/>
  </r>
  <r>
    <n v="47"/>
    <n v="71801.52"/>
    <d v="2023-06-22T00:00:00"/>
    <x v="112"/>
    <n v="84"/>
    <s v="31-60 Days"/>
    <n v="854.78"/>
  </r>
  <r>
    <n v="46"/>
    <n v="71801.52"/>
    <d v="2023-06-23T00:00:00"/>
    <x v="112"/>
    <n v="84"/>
    <s v="31-60 Days"/>
    <n v="854.78"/>
  </r>
  <r>
    <n v="29"/>
    <n v="16800"/>
    <d v="2023-07-10T00:00:00"/>
    <x v="115"/>
    <n v="8000"/>
    <s v="0-30 Days"/>
    <n v="2.1"/>
  </r>
  <r>
    <n v="21"/>
    <n v="71801.52"/>
    <d v="2023-07-18T00:00:00"/>
    <x v="112"/>
    <n v="84"/>
    <s v="0-30 Days"/>
    <n v="854.78"/>
  </r>
  <r>
    <n v="657"/>
    <n v="1310.4000000000001"/>
    <d v="2021-10-20T00:00:00"/>
    <x v="116"/>
    <n v="1820"/>
    <s v="91+ Days"/>
    <n v="0.72"/>
  </r>
  <r>
    <n v="558"/>
    <n v="26949.78"/>
    <d v="2022-01-27T00:00:00"/>
    <x v="117"/>
    <n v="11"/>
    <s v="91+ Days"/>
    <n v="2449.98"/>
  </r>
  <r>
    <n v="474"/>
    <n v="18802.5"/>
    <d v="2022-04-21T00:00:00"/>
    <x v="118"/>
    <n v="115"/>
    <s v="91+ Days"/>
    <n v="163.5"/>
  </r>
  <r>
    <n v="323"/>
    <n v="21223.439999999999"/>
    <d v="2022-09-19T00:00:00"/>
    <x v="119"/>
    <n v="252"/>
    <s v="91+ Days"/>
    <n v="84.22"/>
  </r>
  <r>
    <n v="309"/>
    <n v="50954.400000000001"/>
    <d v="2022-10-03T00:00:00"/>
    <x v="91"/>
    <n v="3780"/>
    <s v="91+ Days"/>
    <n v="13.48"/>
  </r>
  <r>
    <n v="307"/>
    <n v="24361.5"/>
    <d v="2022-10-05T00:00:00"/>
    <x v="118"/>
    <n v="149"/>
    <s v="91+ Days"/>
    <n v="163.5"/>
  </r>
  <r>
    <n v="298"/>
    <n v="683544.42"/>
    <d v="2022-10-14T00:00:00"/>
    <x v="117"/>
    <n v="279"/>
    <s v="91+ Days"/>
    <n v="2449.98"/>
  </r>
  <r>
    <n v="292"/>
    <n v="40292.639999999999"/>
    <d v="2022-10-20T00:00:00"/>
    <x v="120"/>
    <n v="144"/>
    <s v="91+ Days"/>
    <n v="279.81"/>
  </r>
  <r>
    <n v="148"/>
    <n v="10766.4"/>
    <d v="2023-03-13T00:00:00"/>
    <x v="119"/>
    <n v="120"/>
    <s v="91+ Days"/>
    <n v="89.72"/>
  </r>
  <r>
    <n v="148"/>
    <n v="34126.92"/>
    <d v="2023-03-13T00:00:00"/>
    <x v="103"/>
    <n v="324"/>
    <s v="91+ Days"/>
    <n v="105.33"/>
  </r>
  <r>
    <n v="139"/>
    <n v="9689.76"/>
    <d v="2023-03-22T00:00:00"/>
    <x v="119"/>
    <n v="108"/>
    <s v="91+ Days"/>
    <n v="89.72"/>
  </r>
  <r>
    <n v="133"/>
    <n v="155361.35999999999"/>
    <d v="2023-03-28T00:00:00"/>
    <x v="121"/>
    <n v="1176"/>
    <s v="91+ Days"/>
    <n v="132.11000000000001"/>
  </r>
  <r>
    <n v="132"/>
    <n v="77680.679999999993"/>
    <d v="2023-03-29T00:00:00"/>
    <x v="121"/>
    <n v="588"/>
    <s v="91+ Days"/>
    <n v="132.11000000000001"/>
  </r>
  <r>
    <n v="132"/>
    <n v="1890"/>
    <d v="2023-03-29T00:00:00"/>
    <x v="122"/>
    <n v="1000"/>
    <s v="91+ Days"/>
    <n v="1.89"/>
  </r>
  <r>
    <n v="132"/>
    <n v="3780"/>
    <d v="2023-03-29T00:00:00"/>
    <x v="122"/>
    <n v="2000"/>
    <s v="91+ Days"/>
    <n v="1.89"/>
  </r>
  <r>
    <n v="132"/>
    <n v="301273.2"/>
    <d v="2023-03-29T00:00:00"/>
    <x v="123"/>
    <n v="360"/>
    <s v="91+ Days"/>
    <n v="836.87"/>
  </r>
  <r>
    <n v="131"/>
    <n v="9752.64"/>
    <d v="2023-03-30T00:00:00"/>
    <x v="99"/>
    <n v="48"/>
    <s v="91+ Days"/>
    <n v="203.18"/>
  </r>
  <r>
    <n v="130"/>
    <n v="60722.76"/>
    <d v="2023-03-31T00:00:00"/>
    <x v="124"/>
    <n v="588"/>
    <s v="91+ Days"/>
    <n v="103.27"/>
  </r>
  <r>
    <n v="125"/>
    <n v="2179.1999999999998"/>
    <d v="2023-04-05T00:00:00"/>
    <x v="125"/>
    <n v="240"/>
    <s v="91+ Days"/>
    <n v="9.08"/>
  </r>
  <r>
    <n v="125"/>
    <n v="3840"/>
    <d v="2023-04-05T00:00:00"/>
    <x v="126"/>
    <n v="3000"/>
    <s v="91+ Days"/>
    <n v="1.28"/>
  </r>
  <r>
    <n v="109"/>
    <n v="900"/>
    <d v="2023-04-21T00:00:00"/>
    <x v="127"/>
    <n v="9000"/>
    <s v="91+ Days"/>
    <n v="0.1"/>
  </r>
  <r>
    <n v="102"/>
    <n v="40961.9"/>
    <d v="2023-04-28T00:00:00"/>
    <x v="128"/>
    <n v="70"/>
    <s v="91+ Days"/>
    <n v="585.16999999999996"/>
  </r>
  <r>
    <n v="87"/>
    <n v="130243.68"/>
    <d v="2023-05-13T00:00:00"/>
    <x v="129"/>
    <n v="3024"/>
    <s v="61-90 Days"/>
    <n v="43.07"/>
  </r>
  <r>
    <n v="85"/>
    <n v="71648.639999999999"/>
    <d v="2023-05-15T00:00:00"/>
    <x v="130"/>
    <n v="1008"/>
    <s v="61-90 Days"/>
    <n v="71.08"/>
  </r>
  <r>
    <n v="84"/>
    <n v="765736.05"/>
    <d v="2023-05-16T00:00:00"/>
    <x v="123"/>
    <n v="915"/>
    <s v="61-90 Days"/>
    <n v="836.87"/>
  </r>
  <r>
    <n v="74"/>
    <n v="347044.5"/>
    <d v="2023-05-26T00:00:00"/>
    <x v="131"/>
    <n v="810"/>
    <s v="61-90 Days"/>
    <n v="428.45"/>
  </r>
  <r>
    <n v="69"/>
    <n v="1005"/>
    <d v="2023-05-31T00:00:00"/>
    <x v="132"/>
    <n v="1500"/>
    <s v="61-90 Days"/>
    <n v="0.67"/>
  </r>
  <r>
    <n v="59"/>
    <n v="200848.8"/>
    <d v="2023-06-10T00:00:00"/>
    <x v="123"/>
    <n v="240"/>
    <s v="31-60 Days"/>
    <n v="836.87"/>
  </r>
  <r>
    <n v="59"/>
    <n v="12553.05"/>
    <d v="2023-06-10T00:00:00"/>
    <x v="123"/>
    <n v="15"/>
    <s v="31-60 Days"/>
    <n v="836.87"/>
  </r>
  <r>
    <n v="59"/>
    <n v="60710.34"/>
    <d v="2023-06-10T00:00:00"/>
    <x v="133"/>
    <n v="138"/>
    <s v="31-60 Days"/>
    <n v="439.93"/>
  </r>
  <r>
    <n v="52"/>
    <n v="10766.4"/>
    <d v="2023-06-17T00:00:00"/>
    <x v="119"/>
    <n v="120"/>
    <s v="31-60 Days"/>
    <n v="89.72"/>
  </r>
  <r>
    <n v="50"/>
    <n v="35592"/>
    <d v="2023-06-19T00:00:00"/>
    <x v="120"/>
    <n v="120"/>
    <s v="31-60 Days"/>
    <n v="296.60000000000002"/>
  </r>
  <r>
    <n v="49"/>
    <n v="238888.44"/>
    <d v="2023-06-20T00:00:00"/>
    <x v="103"/>
    <n v="2268"/>
    <s v="31-60 Days"/>
    <n v="105.33"/>
  </r>
  <r>
    <n v="49"/>
    <n v="242891.04"/>
    <d v="2023-06-20T00:00:00"/>
    <x v="124"/>
    <n v="2352"/>
    <s v="31-60 Days"/>
    <n v="103.27"/>
  </r>
  <r>
    <n v="49"/>
    <n v="380212"/>
    <d v="2023-06-20T00:00:00"/>
    <x v="134"/>
    <n v="560"/>
    <s v="31-60 Days"/>
    <n v="678.95"/>
  </r>
  <r>
    <n v="49"/>
    <n v="190106"/>
    <d v="2023-06-20T00:00:00"/>
    <x v="134"/>
    <n v="280"/>
    <s v="31-60 Days"/>
    <n v="678.95"/>
  </r>
  <r>
    <n v="49"/>
    <n v="19505.28"/>
    <d v="2023-06-20T00:00:00"/>
    <x v="99"/>
    <n v="96"/>
    <s v="31-60 Days"/>
    <n v="203.18"/>
  </r>
  <r>
    <n v="49"/>
    <n v="48763.199999999997"/>
    <d v="2023-06-20T00:00:00"/>
    <x v="99"/>
    <n v="240"/>
    <s v="31-60 Days"/>
    <n v="203.18"/>
  </r>
  <r>
    <n v="49"/>
    <n v="113318.39999999999"/>
    <d v="2023-06-20T00:00:00"/>
    <x v="135"/>
    <n v="768"/>
    <s v="31-60 Days"/>
    <n v="147.55000000000001"/>
  </r>
  <r>
    <n v="48"/>
    <n v="1759.72"/>
    <d v="2023-06-21T00:00:00"/>
    <x v="133"/>
    <n v="4"/>
    <s v="31-60 Days"/>
    <n v="439.93"/>
  </r>
  <r>
    <n v="48"/>
    <n v="8798.6"/>
    <d v="2023-06-21T00:00:00"/>
    <x v="133"/>
    <n v="20"/>
    <s v="31-60 Days"/>
    <n v="439.93"/>
  </r>
  <r>
    <n v="48"/>
    <n v="125132.04"/>
    <d v="2023-06-21T00:00:00"/>
    <x v="103"/>
    <n v="1188"/>
    <s v="31-60 Days"/>
    <n v="105.33"/>
  </r>
  <r>
    <n v="48"/>
    <n v="1785"/>
    <d v="2023-06-21T00:00:00"/>
    <x v="136"/>
    <n v="1500"/>
    <s v="31-60 Days"/>
    <n v="1.19"/>
  </r>
  <r>
    <n v="47"/>
    <n v="2701.44"/>
    <d v="2023-06-22T00:00:00"/>
    <x v="137"/>
    <n v="1008"/>
    <s v="31-60 Days"/>
    <n v="2.68"/>
  </r>
  <r>
    <n v="43"/>
    <n v="29257.919999999998"/>
    <d v="2023-06-26T00:00:00"/>
    <x v="99"/>
    <n v="144"/>
    <s v="31-60 Days"/>
    <n v="203.18"/>
  </r>
  <r>
    <n v="43"/>
    <n v="9752.64"/>
    <d v="2023-06-26T00:00:00"/>
    <x v="99"/>
    <n v="48"/>
    <s v="31-60 Days"/>
    <n v="203.18"/>
  </r>
  <r>
    <n v="43"/>
    <n v="19505.28"/>
    <d v="2023-06-26T00:00:00"/>
    <x v="99"/>
    <n v="96"/>
    <s v="31-60 Days"/>
    <n v="203.18"/>
  </r>
  <r>
    <n v="43"/>
    <n v="34126.92"/>
    <d v="2023-06-26T00:00:00"/>
    <x v="103"/>
    <n v="324"/>
    <s v="31-60 Days"/>
    <n v="105.33"/>
  </r>
  <r>
    <n v="43"/>
    <n v="22751.279999999999"/>
    <d v="2023-06-26T00:00:00"/>
    <x v="103"/>
    <n v="216"/>
    <s v="31-60 Days"/>
    <n v="105.33"/>
  </r>
  <r>
    <n v="43"/>
    <n v="115261.66"/>
    <d v="2023-06-26T00:00:00"/>
    <x v="133"/>
    <n v="262"/>
    <s v="31-60 Days"/>
    <n v="439.93"/>
  </r>
  <r>
    <n v="43"/>
    <n v="941478.75"/>
    <d v="2023-06-26T00:00:00"/>
    <x v="123"/>
    <n v="1125"/>
    <s v="31-60 Days"/>
    <n v="836.87"/>
  </r>
  <r>
    <n v="43"/>
    <n v="604114.5"/>
    <d v="2023-06-26T00:00:00"/>
    <x v="131"/>
    <n v="1410"/>
    <s v="31-60 Days"/>
    <n v="428.45"/>
  </r>
  <r>
    <n v="43"/>
    <n v="333531"/>
    <d v="2023-06-26T00:00:00"/>
    <x v="138"/>
    <n v="450"/>
    <s v="31-60 Days"/>
    <n v="741.18"/>
  </r>
  <r>
    <n v="43"/>
    <n v="19582.080000000002"/>
    <d v="2023-06-26T00:00:00"/>
    <x v="139"/>
    <n v="84"/>
    <s v="31-60 Days"/>
    <n v="233.12"/>
  </r>
  <r>
    <n v="43"/>
    <n v="39010.559999999998"/>
    <d v="2023-06-26T00:00:00"/>
    <x v="99"/>
    <n v="192"/>
    <s v="31-60 Days"/>
    <n v="203.18"/>
  </r>
  <r>
    <n v="43"/>
    <n v="29257.919999999998"/>
    <d v="2023-06-26T00:00:00"/>
    <x v="99"/>
    <n v="144"/>
    <s v="31-60 Days"/>
    <n v="203.18"/>
  </r>
  <r>
    <n v="43"/>
    <n v="39010.559999999998"/>
    <d v="2023-06-26T00:00:00"/>
    <x v="99"/>
    <n v="192"/>
    <s v="31-60 Days"/>
    <n v="203.18"/>
  </r>
  <r>
    <n v="43"/>
    <n v="29257.919999999998"/>
    <d v="2023-06-26T00:00:00"/>
    <x v="99"/>
    <n v="144"/>
    <s v="31-60 Days"/>
    <n v="203.18"/>
  </r>
  <r>
    <n v="43"/>
    <n v="29257.919999999998"/>
    <d v="2023-06-26T00:00:00"/>
    <x v="99"/>
    <n v="144"/>
    <s v="31-60 Days"/>
    <n v="203.18"/>
  </r>
  <r>
    <n v="42"/>
    <n v="105583.2"/>
    <d v="2023-06-27T00:00:00"/>
    <x v="133"/>
    <n v="240"/>
    <s v="31-60 Days"/>
    <n v="439.93"/>
  </r>
  <r>
    <n v="42"/>
    <n v="83518.720000000001"/>
    <d v="2023-06-27T00:00:00"/>
    <x v="117"/>
    <n v="32"/>
    <s v="31-60 Days"/>
    <n v="2609.96"/>
  </r>
  <r>
    <n v="42"/>
    <n v="29302"/>
    <d v="2023-06-27T00:00:00"/>
    <x v="140"/>
    <n v="70"/>
    <s v="31-60 Days"/>
    <n v="418.6"/>
  </r>
  <r>
    <n v="42"/>
    <n v="21089.88"/>
    <d v="2023-06-27T00:00:00"/>
    <x v="141"/>
    <n v="252"/>
    <s v="31-60 Days"/>
    <n v="83.69"/>
  </r>
  <r>
    <n v="42"/>
    <n v="31178.22"/>
    <d v="2023-06-27T00:00:00"/>
    <x v="142"/>
    <n v="179"/>
    <s v="31-60 Days"/>
    <n v="174.18"/>
  </r>
  <r>
    <n v="42"/>
    <n v="42179.76"/>
    <d v="2023-06-27T00:00:00"/>
    <x v="141"/>
    <n v="504"/>
    <s v="31-60 Days"/>
    <n v="83.69"/>
  </r>
  <r>
    <n v="42"/>
    <n v="29302"/>
    <d v="2023-06-27T00:00:00"/>
    <x v="140"/>
    <n v="70"/>
    <s v="31-60 Days"/>
    <n v="418.6"/>
  </r>
  <r>
    <n v="42"/>
    <n v="25256.1"/>
    <d v="2023-06-27T00:00:00"/>
    <x v="142"/>
    <n v="145"/>
    <s v="31-60 Days"/>
    <n v="174.18"/>
  </r>
  <r>
    <n v="39"/>
    <n v="709909.12"/>
    <d v="2023-06-30T00:00:00"/>
    <x v="117"/>
    <n v="272"/>
    <s v="31-60 Days"/>
    <n v="2609.96"/>
  </r>
  <r>
    <n v="39"/>
    <n v="29035.38"/>
    <d v="2023-06-30T00:00:00"/>
    <x v="133"/>
    <n v="66"/>
    <s v="31-60 Days"/>
    <n v="439.93"/>
  </r>
  <r>
    <n v="39"/>
    <n v="48657"/>
    <d v="2023-06-30T00:00:00"/>
    <x v="90"/>
    <n v="147"/>
    <s v="31-60 Days"/>
    <n v="331"/>
  </r>
  <r>
    <n v="39"/>
    <n v="4459"/>
    <d v="2023-06-30T00:00:00"/>
    <x v="88"/>
    <n v="1820"/>
    <s v="31-60 Days"/>
    <n v="2.4500000000000002"/>
  </r>
  <r>
    <n v="39"/>
    <n v="10766.4"/>
    <d v="2023-06-30T00:00:00"/>
    <x v="119"/>
    <n v="120"/>
    <s v="31-60 Days"/>
    <n v="89.72"/>
  </r>
  <r>
    <n v="39"/>
    <n v="4459"/>
    <d v="2023-06-30T00:00:00"/>
    <x v="88"/>
    <n v="1820"/>
    <s v="31-60 Days"/>
    <n v="2.4500000000000002"/>
  </r>
  <r>
    <n v="38"/>
    <n v="622591.19999999995"/>
    <d v="2023-07-01T00:00:00"/>
    <x v="138"/>
    <n v="840"/>
    <s v="31-60 Days"/>
    <n v="741.18"/>
  </r>
  <r>
    <n v="38"/>
    <n v="255339"/>
    <d v="2023-07-01T00:00:00"/>
    <x v="143"/>
    <n v="630"/>
    <s v="31-60 Days"/>
    <n v="405.3"/>
  </r>
  <r>
    <n v="38"/>
    <n v="25635.68"/>
    <d v="2023-07-01T00:00:00"/>
    <x v="144"/>
    <n v="376"/>
    <s v="31-60 Days"/>
    <n v="68.180000000000007"/>
  </r>
  <r>
    <n v="38"/>
    <n v="21089.88"/>
    <d v="2023-07-01T00:00:00"/>
    <x v="141"/>
    <n v="252"/>
    <s v="31-60 Days"/>
    <n v="83.69"/>
  </r>
  <r>
    <n v="32"/>
    <n v="21089.88"/>
    <d v="2023-07-07T00:00:00"/>
    <x v="141"/>
    <n v="252"/>
    <s v="31-60 Days"/>
    <n v="83.69"/>
  </r>
  <r>
    <n v="31"/>
    <n v="42179.76"/>
    <d v="2023-07-08T00:00:00"/>
    <x v="141"/>
    <n v="504"/>
    <s v="31-60 Days"/>
    <n v="83.69"/>
  </r>
  <r>
    <n v="27"/>
    <n v="771210"/>
    <d v="2023-07-12T00:00:00"/>
    <x v="131"/>
    <n v="1800"/>
    <s v="0-30 Days"/>
    <n v="428.45"/>
  </r>
  <r>
    <n v="27"/>
    <n v="3015"/>
    <d v="2023-07-12T00:00:00"/>
    <x v="132"/>
    <n v="4500"/>
    <s v="0-30 Days"/>
    <n v="0.67"/>
  </r>
  <r>
    <n v="25"/>
    <n v="1882957.5"/>
    <d v="2023-07-14T00:00:00"/>
    <x v="123"/>
    <n v="2250"/>
    <s v="0-30 Days"/>
    <n v="836.87"/>
  </r>
  <r>
    <n v="24"/>
    <n v="131904"/>
    <d v="2023-07-15T00:00:00"/>
    <x v="145"/>
    <n v="1200"/>
    <s v="0-30 Days"/>
    <n v="109.92"/>
  </r>
  <r>
    <n v="17"/>
    <n v="586040"/>
    <d v="2023-07-22T00:00:00"/>
    <x v="140"/>
    <n v="1400"/>
    <s v="0-30 Days"/>
    <n v="418.6"/>
  </r>
  <r>
    <n v="17"/>
    <n v="1334124"/>
    <d v="2023-07-22T00:00:00"/>
    <x v="138"/>
    <n v="1800"/>
    <s v="0-30 Days"/>
    <n v="741.18"/>
  </r>
  <r>
    <n v="17"/>
    <n v="55709.22"/>
    <d v="2023-07-22T00:00:00"/>
    <x v="146"/>
    <n v="511"/>
    <s v="0-30 Days"/>
    <n v="109.02"/>
  </r>
  <r>
    <n v="17"/>
    <n v="155194.6"/>
    <d v="2023-07-22T00:00:00"/>
    <x v="147"/>
    <n v="1210"/>
    <s v="0-30 Days"/>
    <n v="128.26"/>
  </r>
  <r>
    <n v="17"/>
    <n v="52432.800000000003"/>
    <d v="2023-07-22T00:00:00"/>
    <x v="148"/>
    <n v="140"/>
    <s v="0-30 Days"/>
    <n v="374.52"/>
  </r>
  <r>
    <n v="17"/>
    <n v="40273.64"/>
    <d v="2023-07-22T00:00:00"/>
    <x v="147"/>
    <n v="314"/>
    <s v="0-30 Days"/>
    <n v="128.26"/>
  </r>
  <r>
    <n v="17"/>
    <n v="56581.38"/>
    <d v="2023-07-22T00:00:00"/>
    <x v="146"/>
    <n v="519"/>
    <s v="0-30 Days"/>
    <n v="109.02"/>
  </r>
  <r>
    <n v="17"/>
    <n v="20393.34"/>
    <d v="2023-07-22T00:00:00"/>
    <x v="147"/>
    <n v="159"/>
    <s v="0-30 Days"/>
    <n v="128.26"/>
  </r>
  <r>
    <n v="17"/>
    <n v="235947.6"/>
    <d v="2023-07-22T00:00:00"/>
    <x v="148"/>
    <n v="630"/>
    <s v="0-30 Days"/>
    <n v="374.52"/>
  </r>
  <r>
    <n v="17"/>
    <n v="55634.879999999997"/>
    <d v="2023-07-22T00:00:00"/>
    <x v="144"/>
    <n v="816"/>
    <s v="0-30 Days"/>
    <n v="68.180000000000007"/>
  </r>
  <r>
    <n v="14"/>
    <n v="56311.040000000001"/>
    <d v="2023-07-25T00:00:00"/>
    <x v="133"/>
    <n v="128"/>
    <s v="0-30 Days"/>
    <n v="439.93"/>
  </r>
  <r>
    <n v="13"/>
    <n v="3015"/>
    <d v="2023-07-26T00:00:00"/>
    <x v="132"/>
    <n v="4500"/>
    <s v="0-30 Days"/>
    <n v="0.67"/>
  </r>
  <r>
    <n v="13"/>
    <n v="64229.78"/>
    <d v="2023-07-26T00:00:00"/>
    <x v="133"/>
    <n v="146"/>
    <s v="0-30 Days"/>
    <n v="439.93"/>
  </r>
  <r>
    <n v="11"/>
    <n v="90625.58"/>
    <d v="2023-07-28T00:00:00"/>
    <x v="133"/>
    <n v="206"/>
    <s v="0-30 Days"/>
    <n v="439.93"/>
  </r>
  <r>
    <n v="8"/>
    <n v="124940.12"/>
    <d v="2023-07-31T00:00:00"/>
    <x v="133"/>
    <n v="284"/>
    <s v="0-30 Days"/>
    <n v="439.93"/>
  </r>
  <r>
    <n v="8"/>
    <n v="40010.339999999997"/>
    <d v="2023-07-31T00:00:00"/>
    <x v="146"/>
    <n v="367"/>
    <s v="0-30 Days"/>
    <n v="109.02"/>
  </r>
  <r>
    <n v="8"/>
    <n v="263958"/>
    <d v="2023-07-31T00:00:00"/>
    <x v="133"/>
    <n v="600"/>
    <s v="0-30 Days"/>
    <n v="439.93"/>
  </r>
  <r>
    <n v="6"/>
    <n v="4459"/>
    <d v="2023-08-02T00:00:00"/>
    <x v="88"/>
    <n v="1820"/>
    <s v="0-30 Days"/>
    <n v="2.4500000000000002"/>
  </r>
  <r>
    <n v="6"/>
    <n v="4459"/>
    <d v="2023-08-02T00:00:00"/>
    <x v="88"/>
    <n v="1820"/>
    <s v="0-30 Days"/>
    <n v="2.4500000000000002"/>
  </r>
  <r>
    <n v="6"/>
    <n v="263718"/>
    <d v="2023-08-02T00:00:00"/>
    <x v="140"/>
    <n v="630"/>
    <s v="0-30 Days"/>
    <n v="418.6"/>
  </r>
  <r>
    <n v="6"/>
    <n v="368823"/>
    <d v="2023-08-02T00:00:00"/>
    <x v="143"/>
    <n v="910"/>
    <s v="0-30 Days"/>
    <n v="405.3"/>
  </r>
  <r>
    <n v="6"/>
    <n v="104865.60000000001"/>
    <d v="2023-08-02T00:00:00"/>
    <x v="148"/>
    <n v="280"/>
    <s v="0-30 Days"/>
    <n v="374.52"/>
  </r>
  <r>
    <n v="5"/>
    <n v="3300"/>
    <d v="2023-08-03T00:00:00"/>
    <x v="149"/>
    <n v="300"/>
    <s v="0-30 Days"/>
    <n v="11"/>
  </r>
  <r>
    <n v="5"/>
    <n v="91020.3"/>
    <d v="2023-08-03T00:00:00"/>
    <x v="144"/>
    <n v="1335"/>
    <s v="0-30 Days"/>
    <n v="68.180000000000007"/>
  </r>
  <r>
    <n v="4"/>
    <n v="10766.4"/>
    <d v="2023-08-04T00:00:00"/>
    <x v="119"/>
    <n v="120"/>
    <s v="0-30 Days"/>
    <n v="89.72"/>
  </r>
  <r>
    <n v="4"/>
    <n v="263614.05"/>
    <d v="2023-08-04T00:00:00"/>
    <x v="123"/>
    <n v="315"/>
    <s v="0-30 Days"/>
    <n v="836.87"/>
  </r>
  <r>
    <n v="4"/>
    <n v="79629.48"/>
    <d v="2023-08-04T00:00:00"/>
    <x v="103"/>
    <n v="756"/>
    <s v="0-30 Days"/>
    <n v="105.33"/>
  </r>
  <r>
    <n v="3"/>
    <n v="112740.54"/>
    <d v="2023-08-05T00:00:00"/>
    <x v="147"/>
    <n v="879"/>
    <s v="0-30 Days"/>
    <n v="128.26"/>
  </r>
  <r>
    <n v="3"/>
    <n v="956122.2"/>
    <d v="2023-08-05T00:00:00"/>
    <x v="138"/>
    <n v="1290"/>
    <s v="0-30 Days"/>
    <n v="741.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2">
  <r>
    <d v="2023-12-15T00:00:00"/>
    <x v="0"/>
    <d v="2022-12-28T00:00:00"/>
    <n v="1232"/>
    <d v="2023-09-08T00:00:00"/>
    <n v="70334.880000000005"/>
    <n v="57.09"/>
  </r>
  <r>
    <d v="2023-12-28T00:00:00"/>
    <x v="0"/>
    <d v="2023-01-02T00:00:00"/>
    <n v="3696"/>
    <d v="2022-12-28T00:00:00"/>
    <n v="211004.64"/>
    <n v="57.09"/>
  </r>
  <r>
    <d v="2024-03-11T00:00:00"/>
    <x v="0"/>
    <d v="2023-01-30T00:00:00"/>
    <n v="3696"/>
    <d v="2024-03-04T00:00:00"/>
    <n v="211004.64"/>
    <n v="57.09"/>
  </r>
  <r>
    <d v="2023-10-25T00:00:00"/>
    <x v="1"/>
    <d v="2023-09-11T00:00:00"/>
    <n v="1120"/>
    <d v="2023-09-22T00:00:00"/>
    <n v="7828.8"/>
    <n v="6.99"/>
  </r>
  <r>
    <d v="2023-12-20T00:00:00"/>
    <x v="1"/>
    <d v="2022-12-28T00:00:00"/>
    <n v="2240"/>
    <d v="2023-12-20T00:00:00"/>
    <n v="15657.6"/>
    <n v="6.99"/>
  </r>
  <r>
    <d v="2024-03-21T00:00:00"/>
    <x v="1"/>
    <d v="2023-01-25T00:00:00"/>
    <n v="1120"/>
    <d v="2024-03-21T00:00:00"/>
    <n v="7828.8"/>
    <n v="6.99"/>
  </r>
  <r>
    <d v="2023-10-25T00:00:00"/>
    <x v="2"/>
    <d v="2023-02-01T00:00:00"/>
    <n v="585"/>
    <d v="2022-11-01T00:00:00"/>
    <n v="138100.95000000001"/>
    <n v="236.07"/>
  </r>
  <r>
    <d v="2023-12-21T00:00:00"/>
    <x v="3"/>
    <d v="2023-02-21T00:00:00"/>
    <n v="504"/>
    <d v="2023-12-01T00:00:00"/>
    <n v="12156.48"/>
    <n v="24.12"/>
  </r>
  <r>
    <d v="2024-08-21T00:00:00"/>
    <x v="3"/>
    <d v="2023-09-06T00:00:00"/>
    <n v="252"/>
    <d v="2024-08-21T00:00:00"/>
    <n v="6078.24"/>
    <n v="24.12"/>
  </r>
  <r>
    <d v="2023-10-20T00:00:00"/>
    <x v="4"/>
    <d v="2023-04-26T00:00:00"/>
    <n v="420"/>
    <d v="2023-08-14T00:00:00"/>
    <n v="469875"/>
    <n v="1118.75"/>
  </r>
  <r>
    <d v="2023-10-20T00:00:00"/>
    <x v="4"/>
    <d v="2023-02-01T00:00:00"/>
    <n v="840"/>
    <d v="2023-09-12T00:00:00"/>
    <n v="939750"/>
    <n v="1118.75"/>
  </r>
  <r>
    <s v=""/>
    <x v="5"/>
    <d v="2023-09-12T00:00:00"/>
    <n v="4000"/>
    <d v="2023-09-12T00:00:00"/>
    <n v="160"/>
    <n v="0.04"/>
  </r>
  <r>
    <d v="2024-07-22T00:00:00"/>
    <x v="6"/>
    <d v="2023-05-03T00:00:00"/>
    <n v="3780"/>
    <d v="2024-07-15T00:00:00"/>
    <n v="54280.800000000003"/>
    <n v="14.36"/>
  </r>
  <r>
    <d v="2024-02-07T00:00:00"/>
    <x v="6"/>
    <d v="2023-05-04T00:00:00"/>
    <n v="3780"/>
    <d v="2023-12-19T00:00:00"/>
    <n v="54280.800000000003"/>
    <n v="14.36"/>
  </r>
  <r>
    <d v="2023-11-03T00:00:00"/>
    <x v="7"/>
    <d v="2023-03-14T00:00:00"/>
    <n v="1260"/>
    <d v="2021-05-19T00:00:00"/>
    <n v="273810.59999999998"/>
    <n v="217.31"/>
  </r>
  <r>
    <d v="2023-10-27T00:00:00"/>
    <x v="8"/>
    <d v="2023-08-21T00:00:00"/>
    <n v="70"/>
    <d v="2023-07-24T00:00:00"/>
    <n v="40355.699999999997"/>
    <n v="576.51"/>
  </r>
  <r>
    <d v="2024-01-17T00:00:00"/>
    <x v="8"/>
    <d v="2023-01-30T00:00:00"/>
    <n v="350"/>
    <d v="2023-09-20T00:00:00"/>
    <n v="201778.5"/>
    <n v="576.51"/>
  </r>
  <r>
    <d v="2024-04-01T00:00:00"/>
    <x v="9"/>
    <d v="2023-05-09T00:00:00"/>
    <n v="924"/>
    <d v="2022-04-22T00:00:00"/>
    <n v="140965.44"/>
    <n v="152.56"/>
  </r>
  <r>
    <d v="2024-04-01T00:00:00"/>
    <x v="9"/>
    <d v="2023-05-09T00:00:00"/>
    <n v="308"/>
    <d v="2023-07-20T00:00:00"/>
    <n v="46988.480000000003"/>
    <n v="152.56"/>
  </r>
  <r>
    <d v="2024-04-01T00:00:00"/>
    <x v="9"/>
    <d v="2023-05-09T00:00:00"/>
    <n v="1540"/>
    <d v="2023-07-18T00:00:00"/>
    <n v="234942.4"/>
    <n v="152.56"/>
  </r>
  <r>
    <d v="2024-04-01T00:00:00"/>
    <x v="9"/>
    <d v="2023-05-09T00:00:00"/>
    <n v="616"/>
    <d v="2022-12-20T00:00:00"/>
    <n v="93976.960000000006"/>
    <n v="152.56"/>
  </r>
  <r>
    <d v="2024-04-01T00:00:00"/>
    <x v="9"/>
    <d v="2023-05-09T00:00:00"/>
    <n v="924"/>
    <d v="2022-11-17T00:00:00"/>
    <n v="140965.44"/>
    <n v="152.56"/>
  </r>
  <r>
    <d v="2024-04-01T00:00:00"/>
    <x v="9"/>
    <d v="2023-05-09T00:00:00"/>
    <n v="3388"/>
    <d v="2023-01-20T00:00:00"/>
    <n v="516873.28"/>
    <n v="152.56"/>
  </r>
  <r>
    <d v="2024-04-01T00:00:00"/>
    <x v="9"/>
    <d v="2023-05-09T00:00:00"/>
    <n v="1232"/>
    <d v="2023-12-13T00:00:00"/>
    <n v="187953.92000000001"/>
    <n v="152.56"/>
  </r>
  <r>
    <d v="2024-04-01T00:00:00"/>
    <x v="9"/>
    <d v="2023-05-09T00:00:00"/>
    <n v="1848"/>
    <d v="2023-07-20T00:00:00"/>
    <n v="281930.88"/>
    <n v="152.56"/>
  </r>
  <r>
    <d v="2024-04-01T00:00:00"/>
    <x v="9"/>
    <d v="2023-05-09T00:00:00"/>
    <n v="1232"/>
    <d v="2023-06-14T00:00:00"/>
    <n v="187953.92000000001"/>
    <n v="152.56"/>
  </r>
  <r>
    <d v="2024-04-01T00:00:00"/>
    <x v="9"/>
    <d v="2023-05-09T00:00:00"/>
    <n v="1540"/>
    <d v="2023-05-18T00:00:00"/>
    <n v="234942.4"/>
    <n v="152.56"/>
  </r>
  <r>
    <d v="2024-04-01T00:00:00"/>
    <x v="9"/>
    <d v="2023-05-09T00:00:00"/>
    <n v="1232"/>
    <d v="2023-12-15T00:00:00"/>
    <n v="187953.92000000001"/>
    <n v="152.56"/>
  </r>
  <r>
    <d v="2023-10-25T00:00:00"/>
    <x v="10"/>
    <d v="2023-09-11T00:00:00"/>
    <n v="1300"/>
    <d v="2022-06-13T00:00:00"/>
    <n v="2080"/>
    <n v="1.6"/>
  </r>
  <r>
    <d v="2024-05-30T00:00:00"/>
    <x v="11"/>
    <d v="2023-08-21T00:00:00"/>
    <n v="202370"/>
    <d v="2022-02-15T00:00:00"/>
    <n v="91066.5"/>
    <n v="0.45"/>
  </r>
  <r>
    <d v="2025-01-03T00:00:00"/>
    <x v="11"/>
    <d v="2022-11-16T00:00:00"/>
    <n v="2800"/>
    <d v="2021-10-26T00:00:00"/>
    <n v="1260"/>
    <n v="0.45"/>
  </r>
  <r>
    <d v="2023-10-13T00:00:00"/>
    <x v="12"/>
    <d v="2023-08-21T00:00:00"/>
    <n v="1480"/>
    <d v="2023-06-20T00:00:00"/>
    <n v="3211.6"/>
    <n v="2.17"/>
  </r>
  <r>
    <d v="2023-10-31T00:00:00"/>
    <x v="13"/>
    <d v="2023-09-12T00:00:00"/>
    <n v="20148"/>
    <d v="2022-02-15T00:00:00"/>
    <n v="310279.2"/>
    <n v="15.4"/>
  </r>
  <r>
    <d v="2023-10-19T00:00:00"/>
    <x v="14"/>
    <d v="2022-10-03T00:00:00"/>
    <n v="420"/>
    <d v="2023-10-19T00:00:00"/>
    <n v="4258.8"/>
    <n v="10.14"/>
  </r>
  <r>
    <d v="2023-12-28T00:00:00"/>
    <x v="14"/>
    <d v="2022-12-13T00:00:00"/>
    <n v="420"/>
    <d v="2023-12-18T00:00:00"/>
    <n v="4258.8"/>
    <n v="10.14"/>
  </r>
  <r>
    <d v="2024-02-07T00:00:00"/>
    <x v="14"/>
    <d v="2023-02-14T00:00:00"/>
    <n v="420"/>
    <d v="2023-12-18T00:00:00"/>
    <n v="4258.8"/>
    <n v="10.14"/>
  </r>
  <r>
    <d v="2023-11-03T00:00:00"/>
    <x v="15"/>
    <d v="2023-08-15T00:00:00"/>
    <n v="1820"/>
    <d v="2022-10-06T00:00:00"/>
    <n v="4459"/>
    <n v="2.4500000000000002"/>
  </r>
  <r>
    <d v="2023-10-04T00:00:00"/>
    <x v="15"/>
    <d v="2023-09-12T00:00:00"/>
    <n v="1820"/>
    <d v="2022-04-01T00:00:00"/>
    <n v="4459"/>
    <n v="2.4500000000000002"/>
  </r>
  <r>
    <d v="2023-12-18T00:00:00"/>
    <x v="15"/>
    <d v="2022-12-01T00:00:00"/>
    <n v="1820"/>
    <d v="2023-12-18T00:00:00"/>
    <n v="4459"/>
    <n v="2.4500000000000002"/>
  </r>
  <r>
    <d v="2023-12-26T00:00:00"/>
    <x v="15"/>
    <d v="2022-12-12T00:00:00"/>
    <n v="1820"/>
    <d v="2023-12-18T00:00:00"/>
    <n v="4459"/>
    <n v="2.4500000000000002"/>
  </r>
  <r>
    <d v="2024-01-26T00:00:00"/>
    <x v="15"/>
    <d v="2023-02-08T00:00:00"/>
    <n v="1820"/>
    <d v="2023-12-18T00:00:00"/>
    <n v="4459"/>
    <n v="2.4500000000000002"/>
  </r>
  <r>
    <d v="2024-03-14T00:00:00"/>
    <x v="15"/>
    <d v="2023-03-20T00:00:00"/>
    <n v="1820"/>
    <d v="2023-12-19T00:00:00"/>
    <n v="4459"/>
    <n v="2.4500000000000002"/>
  </r>
  <r>
    <d v="2024-03-21T00:00:00"/>
    <x v="15"/>
    <d v="2023-04-04T00:00:00"/>
    <n v="1820"/>
    <d v="2023-12-19T00:00:00"/>
    <n v="4459"/>
    <n v="2.4500000000000002"/>
  </r>
  <r>
    <d v="2024-04-01T00:00:00"/>
    <x v="15"/>
    <d v="2023-04-16T00:00:00"/>
    <n v="3640"/>
    <d v="2023-12-19T00:00:00"/>
    <n v="8918"/>
    <n v="2.4500000000000002"/>
  </r>
  <r>
    <d v="2023-10-04T00:00:00"/>
    <x v="16"/>
    <d v="2023-09-12T00:00:00"/>
    <n v="1820"/>
    <d v="2022-05-06T00:00:00"/>
    <n v="4258.8"/>
    <n v="2.34"/>
  </r>
  <r>
    <d v="2023-10-04T00:00:00"/>
    <x v="16"/>
    <d v="2023-09-12T00:00:00"/>
    <n v="1820"/>
    <d v="2022-08-24T00:00:00"/>
    <n v="4258.8"/>
    <n v="2.34"/>
  </r>
  <r>
    <d v="2023-11-01T00:00:00"/>
    <x v="17"/>
    <d v="2023-06-13T00:00:00"/>
    <n v="89417"/>
    <d v="2022-02-15T00:00:00"/>
    <n v="495370.18"/>
    <n v="5.54"/>
  </r>
  <r>
    <d v="2023-11-03T00:00:00"/>
    <x v="18"/>
    <d v="2022-08-14T00:00:00"/>
    <n v="189"/>
    <d v="2022-06-15T00:00:00"/>
    <n v="6450.57"/>
    <n v="34.130000000000003"/>
  </r>
  <r>
    <d v="2023-10-10T00:00:00"/>
    <x v="18"/>
    <d v="2023-07-04T00:00:00"/>
    <n v="189"/>
    <d v="2023-09-05T00:00:00"/>
    <n v="6450.57"/>
    <n v="34.130000000000003"/>
  </r>
  <r>
    <d v="2023-10-10T00:00:00"/>
    <x v="18"/>
    <d v="2022-09-20T00:00:00"/>
    <n v="189"/>
    <d v="2023-10-10T00:00:00"/>
    <n v="6450.57"/>
    <n v="34.130000000000003"/>
  </r>
  <r>
    <d v="2023-10-17T00:00:00"/>
    <x v="18"/>
    <d v="2023-07-04T00:00:00"/>
    <n v="189"/>
    <d v="2023-09-12T00:00:00"/>
    <n v="6450.57"/>
    <n v="34.130000000000003"/>
  </r>
  <r>
    <d v="2023-11-20T00:00:00"/>
    <x v="18"/>
    <d v="2022-12-01T00:00:00"/>
    <n v="189"/>
    <d v="2023-11-10T00:00:00"/>
    <n v="6450.57"/>
    <n v="34.130000000000003"/>
  </r>
  <r>
    <d v="2023-11-03T00:00:00"/>
    <x v="18"/>
    <d v="2023-08-14T00:00:00"/>
    <n v="378"/>
    <d v="2023-09-22T00:00:00"/>
    <n v="12901.14"/>
    <n v="34.130000000000003"/>
  </r>
  <r>
    <d v="2024-01-12T00:00:00"/>
    <x v="19"/>
    <d v="2023-01-25T00:00:00"/>
    <n v="84"/>
    <d v="2023-12-18T00:00:00"/>
    <n v="56066.64"/>
    <n v="667.46"/>
  </r>
  <r>
    <d v="2024-04-03T00:00:00"/>
    <x v="19"/>
    <d v="2023-04-17T00:00:00"/>
    <n v="84"/>
    <d v="2023-12-19T00:00:00"/>
    <n v="56066.64"/>
    <n v="667.46"/>
  </r>
  <r>
    <d v="2023-09-22T00:00:00"/>
    <x v="20"/>
    <d v="2022-07-29T00:00:00"/>
    <n v="437"/>
    <d v="2022-08-24T00:00:00"/>
    <n v="6157.33"/>
    <n v="14.09"/>
  </r>
  <r>
    <d v="2023-09-22T00:00:00"/>
    <x v="20"/>
    <d v="2022-07-29T00:00:00"/>
    <n v="229"/>
    <d v="2022-09-30T00:00:00"/>
    <n v="3226.61"/>
    <n v="14.09"/>
  </r>
  <r>
    <d v="2023-09-22T00:00:00"/>
    <x v="20"/>
    <d v="2022-07-29T00:00:00"/>
    <n v="229"/>
    <d v="2022-09-30T00:00:00"/>
    <n v="3226.61"/>
    <n v="14.09"/>
  </r>
  <r>
    <d v="2023-10-20T00:00:00"/>
    <x v="21"/>
    <d v="2022-07-29T00:00:00"/>
    <n v="1120"/>
    <d v="2023-10-13T00:00:00"/>
    <n v="60737.599999999999"/>
    <n v="54.23"/>
  </r>
  <r>
    <d v="2023-10-13T00:00:00"/>
    <x v="21"/>
    <d v="2023-07-26T00:00:00"/>
    <n v="2240"/>
    <d v="2023-10-06T00:00:00"/>
    <n v="121475.2"/>
    <n v="54.23"/>
  </r>
  <r>
    <d v="2023-10-09T00:00:00"/>
    <x v="21"/>
    <d v="2022-09-20T00:00:00"/>
    <n v="2240"/>
    <d v="2023-10-09T00:00:00"/>
    <n v="121475.2"/>
    <n v="54.23"/>
  </r>
  <r>
    <d v="2024-03-14T00:00:00"/>
    <x v="21"/>
    <d v="2022-10-04T00:00:00"/>
    <n v="1120"/>
    <d v="2024-03-14T00:00:00"/>
    <n v="60737.599999999999"/>
    <n v="54.23"/>
  </r>
  <r>
    <d v="2024-04-11T00:00:00"/>
    <x v="21"/>
    <d v="2022-10-12T00:00:00"/>
    <n v="1120"/>
    <d v="2024-04-11T00:00:00"/>
    <n v="60737.599999999999"/>
    <n v="54.23"/>
  </r>
  <r>
    <d v="2024-05-02T00:00:00"/>
    <x v="21"/>
    <d v="2022-10-12T00:00:00"/>
    <n v="1120"/>
    <d v="2024-05-02T00:00:00"/>
    <n v="60737.599999999999"/>
    <n v="54.23"/>
  </r>
  <r>
    <d v="2024-05-14T00:00:00"/>
    <x v="21"/>
    <d v="2023-02-08T00:00:00"/>
    <n v="1120"/>
    <d v="2024-05-14T00:00:00"/>
    <n v="60737.599999999999"/>
    <n v="54.23"/>
  </r>
  <r>
    <d v="2024-08-12T00:00:00"/>
    <x v="21"/>
    <d v="2023-05-05T00:00:00"/>
    <n v="1120"/>
    <d v="2024-08-12T00:00:00"/>
    <n v="60737.599999999999"/>
    <n v="54.23"/>
  </r>
  <r>
    <d v="2024-10-21T00:00:00"/>
    <x v="21"/>
    <d v="2023-05-05T00:00:00"/>
    <n v="1120"/>
    <d v="2024-10-21T00:00:00"/>
    <n v="60737.599999999999"/>
    <n v="54.23"/>
  </r>
  <r>
    <d v="2024-06-03T00:00:00"/>
    <x v="22"/>
    <d v="2023-04-20T00:00:00"/>
    <n v="630"/>
    <d v="2024-06-03T00:00:00"/>
    <n v="28967.4"/>
    <n v="45.98"/>
  </r>
  <r>
    <d v="2024-01-12T00:00:00"/>
    <x v="23"/>
    <d v="2023-08-23T00:00:00"/>
    <n v="1512"/>
    <d v="2021-11-22T00:00:00"/>
    <n v="444785.04"/>
    <n v="294.17"/>
  </r>
  <r>
    <d v="2023-12-26T00:00:00"/>
    <x v="24"/>
    <d v="2022-12-12T00:00:00"/>
    <n v="1176"/>
    <d v="2023-12-18T00:00:00"/>
    <n v="265235.03999999998"/>
    <n v="225.54"/>
  </r>
  <r>
    <d v="2024-01-12T00:00:00"/>
    <x v="25"/>
    <d v="2023-01-25T00:00:00"/>
    <n v="140"/>
    <d v="2023-12-18T00:00:00"/>
    <n v="68952.800000000003"/>
    <n v="492.52"/>
  </r>
  <r>
    <d v="2024-02-05T00:00:00"/>
    <x v="26"/>
    <d v="2023-08-25T00:00:00"/>
    <n v="1323"/>
    <d v="2023-07-31T00:00:00"/>
    <n v="437913"/>
    <n v="331"/>
  </r>
  <r>
    <d v="2024-01-26T00:00:00"/>
    <x v="27"/>
    <d v="2023-02-21T00:00:00"/>
    <n v="120"/>
    <d v="2022-12-22T00:00:00"/>
    <n v="24156"/>
    <n v="201.3"/>
  </r>
  <r>
    <d v="2024-02-02T00:00:00"/>
    <x v="27"/>
    <d v="2023-02-21T00:00:00"/>
    <n v="240"/>
    <d v="2023-05-05T00:00:00"/>
    <n v="48312"/>
    <n v="201.3"/>
  </r>
  <r>
    <d v="2024-02-02T00:00:00"/>
    <x v="27"/>
    <d v="2023-02-21T00:00:00"/>
    <n v="120"/>
    <d v="2023-07-31T00:00:00"/>
    <n v="24156"/>
    <n v="201.3"/>
  </r>
  <r>
    <d v="2024-02-02T00:00:00"/>
    <x v="27"/>
    <d v="2023-02-21T00:00:00"/>
    <n v="120"/>
    <d v="2023-07-17T00:00:00"/>
    <n v="24156"/>
    <n v="201.3"/>
  </r>
  <r>
    <d v="2024-02-07T00:00:00"/>
    <x v="27"/>
    <d v="2023-02-21T00:00:00"/>
    <n v="120"/>
    <d v="2023-10-27T00:00:00"/>
    <n v="24156"/>
    <n v="201.3"/>
  </r>
  <r>
    <d v="2024-05-08T00:00:00"/>
    <x v="27"/>
    <d v="2023-05-21T00:00:00"/>
    <n v="240"/>
    <d v="2023-12-19T00:00:00"/>
    <n v="48312"/>
    <n v="201.3"/>
  </r>
  <r>
    <d v="2023-11-10T00:00:00"/>
    <x v="28"/>
    <d v="2023-02-21T00:00:00"/>
    <n v="252"/>
    <d v="2022-12-08T00:00:00"/>
    <n v="17062.919999999998"/>
    <n v="67.709999999999994"/>
  </r>
  <r>
    <d v="2023-11-10T00:00:00"/>
    <x v="28"/>
    <d v="2023-02-21T00:00:00"/>
    <n v="252"/>
    <d v="2023-05-23T00:00:00"/>
    <n v="17062.919999999998"/>
    <n v="67.709999999999994"/>
  </r>
  <r>
    <d v="2023-10-13T00:00:00"/>
    <x v="28"/>
    <d v="2023-08-21T00:00:00"/>
    <n v="252"/>
    <d v="2023-08-08T00:00:00"/>
    <n v="17062.919999999998"/>
    <n v="67.709999999999994"/>
  </r>
  <r>
    <d v="2024-05-07T00:00:00"/>
    <x v="28"/>
    <d v="2023-06-28T00:00:00"/>
    <n v="252"/>
    <d v="2024-04-30T00:00:00"/>
    <n v="17062.919999999998"/>
    <n v="67.709999999999994"/>
  </r>
  <r>
    <d v="2024-05-01T00:00:00"/>
    <x v="28"/>
    <d v="2023-07-16T00:00:00"/>
    <n v="252"/>
    <d v="2024-03-25T00:00:00"/>
    <n v="17062.919999999998"/>
    <n v="67.709999999999994"/>
  </r>
  <r>
    <d v="2024-05-07T00:00:00"/>
    <x v="28"/>
    <d v="2023-07-16T00:00:00"/>
    <n v="252"/>
    <d v="2024-05-07T00:00:00"/>
    <n v="17062.919999999998"/>
    <n v="67.709999999999994"/>
  </r>
  <r>
    <d v="2023-11-15T00:00:00"/>
    <x v="29"/>
    <d v="2022-11-09T00:00:00"/>
    <n v="588"/>
    <d v="2023-11-15T00:00:00"/>
    <n v="56565.599999999999"/>
    <n v="96.2"/>
  </r>
  <r>
    <d v="2023-12-18T00:00:00"/>
    <x v="29"/>
    <d v="2022-12-15T00:00:00"/>
    <n v="588"/>
    <d v="2023-12-18T00:00:00"/>
    <n v="56565.599999999999"/>
    <n v="96.2"/>
  </r>
  <r>
    <d v="2024-01-02T00:00:00"/>
    <x v="29"/>
    <d v="2023-01-04T00:00:00"/>
    <n v="1176"/>
    <d v="2023-12-18T00:00:00"/>
    <n v="113131.2"/>
    <n v="96.2"/>
  </r>
  <r>
    <d v="2024-01-29T00:00:00"/>
    <x v="29"/>
    <d v="2023-02-08T00:00:00"/>
    <n v="588"/>
    <d v="2023-12-18T00:00:00"/>
    <n v="56565.599999999999"/>
    <n v="96.2"/>
  </r>
  <r>
    <d v="2024-04-01T00:00:00"/>
    <x v="29"/>
    <d v="2023-04-05T00:00:00"/>
    <n v="588"/>
    <d v="2023-12-19T00:00:00"/>
    <n v="56565.599999999999"/>
    <n v="96.2"/>
  </r>
  <r>
    <d v="2023-12-21T00:00:00"/>
    <x v="30"/>
    <d v="2023-01-03T00:00:00"/>
    <n v="2520"/>
    <d v="2023-04-24T00:00:00"/>
    <n v="421419.6"/>
    <n v="167.23"/>
  </r>
  <r>
    <d v="2023-10-13T00:00:00"/>
    <x v="31"/>
    <d v="2023-04-11T00:00:00"/>
    <n v="21000"/>
    <d v="2023-10-06T00:00:00"/>
    <n v="2940"/>
    <n v="0.14000000000000001"/>
  </r>
  <r>
    <d v="2023-12-21T00:00:00"/>
    <x v="32"/>
    <d v="2023-01-19T00:00:00"/>
    <n v="50"/>
    <d v="2023-12-14T00:00:00"/>
    <n v="174900"/>
    <n v="3498"/>
  </r>
  <r>
    <d v="2023-12-21T00:00:00"/>
    <x v="32"/>
    <d v="2023-01-19T00:00:00"/>
    <n v="150"/>
    <d v="2023-12-14T00:00:00"/>
    <n v="524700"/>
    <n v="3498"/>
  </r>
  <r>
    <d v="2023-10-13T00:00:00"/>
    <x v="32"/>
    <d v="2023-08-21T00:00:00"/>
    <n v="50"/>
    <d v="2023-07-24T00:00:00"/>
    <n v="174900"/>
    <n v="3498"/>
  </r>
  <r>
    <d v="2023-12-29T00:00:00"/>
    <x v="32"/>
    <d v="2023-01-19T00:00:00"/>
    <n v="50"/>
    <d v="2023-12-18T00:00:00"/>
    <n v="174900"/>
    <n v="3498"/>
  </r>
  <r>
    <d v="2023-10-11T00:00:00"/>
    <x v="33"/>
    <d v="2022-11-21T00:00:00"/>
    <n v="684"/>
    <d v="2023-10-04T00:00:00"/>
    <n v="476932.68"/>
    <n v="697.27"/>
  </r>
  <r>
    <d v="2023-11-01T00:00:00"/>
    <x v="33"/>
    <d v="2022-11-21T00:00:00"/>
    <n v="252"/>
    <d v="2023-10-25T00:00:00"/>
    <n v="175712.04"/>
    <n v="697.27"/>
  </r>
  <r>
    <d v="2023-11-08T00:00:00"/>
    <x v="33"/>
    <d v="2022-11-21T00:00:00"/>
    <n v="252"/>
    <d v="2023-11-01T00:00:00"/>
    <n v="175712.04"/>
    <n v="697.27"/>
  </r>
  <r>
    <d v="2023-11-08T00:00:00"/>
    <x v="33"/>
    <d v="2022-11-21T00:00:00"/>
    <n v="288"/>
    <d v="2023-11-01T00:00:00"/>
    <n v="200813.76"/>
    <n v="697.27"/>
  </r>
  <r>
    <d v="2023-10-13T00:00:00"/>
    <x v="33"/>
    <d v="2022-11-21T00:00:00"/>
    <n v="324"/>
    <d v="2023-10-06T00:00:00"/>
    <n v="225915.48"/>
    <n v="697.27"/>
  </r>
  <r>
    <d v="2023-11-08T00:00:00"/>
    <x v="33"/>
    <d v="2022-11-21T00:00:00"/>
    <n v="288"/>
    <d v="2023-11-01T00:00:00"/>
    <n v="200813.76"/>
    <n v="697.27"/>
  </r>
  <r>
    <d v="2023-10-25T00:00:00"/>
    <x v="33"/>
    <d v="2022-11-21T00:00:00"/>
    <n v="273"/>
    <d v="2023-10-18T00:00:00"/>
    <n v="190354.71"/>
    <n v="697.27"/>
  </r>
  <r>
    <d v="2024-03-06T00:00:00"/>
    <x v="33"/>
    <d v="2022-11-21T00:00:00"/>
    <n v="216"/>
    <d v="2024-02-28T00:00:00"/>
    <n v="150610.32"/>
    <n v="697.27"/>
  </r>
  <r>
    <d v="2024-02-23T00:00:00"/>
    <x v="33"/>
    <d v="2022-11-21T00:00:00"/>
    <n v="324"/>
    <d v="2024-02-13T00:00:00"/>
    <n v="225915.48"/>
    <n v="697.27"/>
  </r>
  <r>
    <d v="2024-03-06T00:00:00"/>
    <x v="33"/>
    <d v="2022-11-21T00:00:00"/>
    <n v="216"/>
    <d v="2024-02-28T00:00:00"/>
    <n v="150610.32"/>
    <n v="697.27"/>
  </r>
  <r>
    <d v="2024-03-05T00:00:00"/>
    <x v="33"/>
    <d v="2022-11-21T00:00:00"/>
    <n v="144"/>
    <d v="2024-02-27T00:00:00"/>
    <n v="100406.88"/>
    <n v="697.27"/>
  </r>
  <r>
    <d v="2024-04-01T00:00:00"/>
    <x v="33"/>
    <d v="2022-11-21T00:00:00"/>
    <n v="936"/>
    <d v="2024-03-22T00:00:00"/>
    <n v="652644.72"/>
    <n v="697.27"/>
  </r>
  <r>
    <d v="2024-03-22T00:00:00"/>
    <x v="33"/>
    <d v="2022-11-21T00:00:00"/>
    <n v="684"/>
    <d v="2024-03-15T00:00:00"/>
    <n v="476932.68"/>
    <n v="697.27"/>
  </r>
  <r>
    <d v="2024-01-30T00:00:00"/>
    <x v="33"/>
    <d v="2022-11-21T00:00:00"/>
    <n v="144"/>
    <d v="2024-01-23T00:00:00"/>
    <n v="100406.88"/>
    <n v="697.27"/>
  </r>
  <r>
    <d v="2024-02-06T00:00:00"/>
    <x v="33"/>
    <d v="2022-11-21T00:00:00"/>
    <n v="972"/>
    <d v="2024-01-30T00:00:00"/>
    <n v="677746.44"/>
    <n v="697.27"/>
  </r>
  <r>
    <d v="2024-04-02T00:00:00"/>
    <x v="33"/>
    <d v="2022-11-21T00:00:00"/>
    <n v="380"/>
    <d v="2024-03-25T00:00:00"/>
    <n v="264962.59999999998"/>
    <n v="697.27"/>
  </r>
  <r>
    <d v="2024-04-19T00:00:00"/>
    <x v="33"/>
    <d v="2022-12-06T00:00:00"/>
    <n v="396"/>
    <d v="2024-04-12T00:00:00"/>
    <n v="276118.92"/>
    <n v="697.27"/>
  </r>
  <r>
    <d v="2024-04-26T00:00:00"/>
    <x v="33"/>
    <d v="2022-12-12T00:00:00"/>
    <n v="72"/>
    <d v="2024-04-26T00:00:00"/>
    <n v="50203.44"/>
    <n v="697.27"/>
  </r>
  <r>
    <d v="2023-12-29T00:00:00"/>
    <x v="33"/>
    <d v="2023-01-02T00:00:00"/>
    <n v="1332"/>
    <d v="2023-12-18T00:00:00"/>
    <n v="928763.64"/>
    <n v="697.27"/>
  </r>
  <r>
    <d v="2024-01-12T00:00:00"/>
    <x v="33"/>
    <d v="2023-01-19T00:00:00"/>
    <n v="612"/>
    <d v="2023-12-20T00:00:00"/>
    <n v="426729.24"/>
    <n v="697.27"/>
  </r>
  <r>
    <d v="2024-01-22T00:00:00"/>
    <x v="33"/>
    <d v="2023-01-26T00:00:00"/>
    <n v="720"/>
    <d v="2023-12-20T00:00:00"/>
    <n v="502034.4"/>
    <n v="697.27"/>
  </r>
  <r>
    <d v="2024-01-29T00:00:00"/>
    <x v="33"/>
    <d v="2023-02-08T00:00:00"/>
    <n v="938"/>
    <d v="2023-12-18T00:00:00"/>
    <n v="654039.26"/>
    <n v="697.27"/>
  </r>
  <r>
    <d v="2024-01-22T00:00:00"/>
    <x v="33"/>
    <d v="2023-02-01T00:00:00"/>
    <n v="612"/>
    <d v="2023-12-20T00:00:00"/>
    <n v="426729.24"/>
    <n v="697.27"/>
  </r>
  <r>
    <d v="2024-02-20T00:00:00"/>
    <x v="33"/>
    <d v="2023-03-01T00:00:00"/>
    <n v="1000"/>
    <d v="2023-12-18T00:00:00"/>
    <n v="697270"/>
    <n v="697.27"/>
  </r>
  <r>
    <d v="2024-10-31T00:00:00"/>
    <x v="34"/>
    <d v="2023-01-19T00:00:00"/>
    <n v="84"/>
    <d v="2024-10-24T00:00:00"/>
    <n v="67692.240000000005"/>
    <n v="805.86"/>
  </r>
  <r>
    <d v="2024-01-12T00:00:00"/>
    <x v="35"/>
    <d v="2023-07-24T00:00:00"/>
    <n v="142240"/>
    <d v="2022-12-08T00:00:00"/>
    <n v="1819249.6"/>
    <n v="12.79"/>
  </r>
  <r>
    <d v="2023-10-13T00:00:00"/>
    <x v="35"/>
    <d v="2023-07-24T00:00:00"/>
    <n v="5600"/>
    <d v="2022-12-08T00:00:00"/>
    <n v="71624"/>
    <n v="12.79"/>
  </r>
  <r>
    <d v="2023-10-13T00:00:00"/>
    <x v="35"/>
    <d v="2023-07-24T00:00:00"/>
    <n v="95200"/>
    <d v="2022-11-04T00:00:00"/>
    <n v="1217608"/>
    <n v="12.79"/>
  </r>
  <r>
    <d v="2023-10-13T00:00:00"/>
    <x v="35"/>
    <d v="2023-09-06T00:00:00"/>
    <n v="6823"/>
    <d v="2022-10-27T00:00:00"/>
    <n v="87266.17"/>
    <n v="12.79"/>
  </r>
  <r>
    <d v="2024-01-12T00:00:00"/>
    <x v="35"/>
    <d v="2023-07-24T00:00:00"/>
    <n v="104160"/>
    <d v="2023-02-09T00:00:00"/>
    <n v="1332206.3999999999"/>
    <n v="12.79"/>
  </r>
  <r>
    <d v="2023-10-13T00:00:00"/>
    <x v="35"/>
    <d v="2023-07-24T00:00:00"/>
    <n v="50000"/>
    <d v="2022-05-13T00:00:00"/>
    <n v="639500"/>
    <n v="12.79"/>
  </r>
  <r>
    <d v="2024-01-12T00:00:00"/>
    <x v="35"/>
    <d v="2023-07-24T00:00:00"/>
    <n v="17920"/>
    <d v="2023-03-16T00:00:00"/>
    <n v="229196.79999999999"/>
    <n v="12.79"/>
  </r>
  <r>
    <d v="2024-01-12T00:00:00"/>
    <x v="35"/>
    <d v="2023-07-24T00:00:00"/>
    <n v="28753"/>
    <d v="2023-04-21T00:00:00"/>
    <n v="367750.87"/>
    <n v="12.79"/>
  </r>
  <r>
    <d v="2024-01-12T00:00:00"/>
    <x v="35"/>
    <d v="2023-07-24T00:00:00"/>
    <n v="94080"/>
    <d v="2023-02-16T00:00:00"/>
    <n v="1203283.2"/>
    <n v="12.79"/>
  </r>
  <r>
    <d v="2024-01-12T00:00:00"/>
    <x v="35"/>
    <d v="2023-07-24T00:00:00"/>
    <n v="50000"/>
    <d v="2022-05-13T00:00:00"/>
    <n v="639500"/>
    <n v="12.79"/>
  </r>
  <r>
    <d v="2023-10-13T00:00:00"/>
    <x v="35"/>
    <d v="2023-07-24T00:00:00"/>
    <n v="104160"/>
    <d v="2023-07-07T00:00:00"/>
    <n v="1332206.3999999999"/>
    <n v="12.79"/>
  </r>
  <r>
    <d v="2024-01-12T00:00:00"/>
    <x v="35"/>
    <d v="2023-07-24T00:00:00"/>
    <n v="7000"/>
    <d v="2022-12-09T00:00:00"/>
    <n v="89530"/>
    <n v="12.79"/>
  </r>
  <r>
    <d v="2023-10-13T00:00:00"/>
    <x v="35"/>
    <d v="2023-07-24T00:00:00"/>
    <n v="50400"/>
    <d v="2023-06-16T00:00:00"/>
    <n v="644616"/>
    <n v="12.79"/>
  </r>
  <r>
    <d v="2023-10-13T00:00:00"/>
    <x v="35"/>
    <d v="2023-07-24T00:00:00"/>
    <n v="104160"/>
    <d v="2023-07-27T00:00:00"/>
    <n v="1332206.3999999999"/>
    <n v="12.79"/>
  </r>
  <r>
    <d v="2024-04-12T00:00:00"/>
    <x v="35"/>
    <d v="2023-06-12T00:00:00"/>
    <n v="104160"/>
    <d v="2023-08-03T00:00:00"/>
    <n v="1332206.3999999999"/>
    <n v="12.79"/>
  </r>
  <r>
    <d v="2023-10-13T00:00:00"/>
    <x v="36"/>
    <d v="2023-07-24T00:00:00"/>
    <n v="18488"/>
    <d v="2023-07-14T00:00:00"/>
    <n v="236461.52"/>
    <n v="12.79"/>
  </r>
  <r>
    <d v="2023-10-13T00:00:00"/>
    <x v="36"/>
    <d v="2023-07-24T00:00:00"/>
    <n v="36000"/>
    <d v="2023-01-19T00:00:00"/>
    <n v="460440"/>
    <n v="12.79"/>
  </r>
  <r>
    <d v="2023-10-13T00:00:00"/>
    <x v="36"/>
    <d v="2023-07-24T00:00:00"/>
    <n v="52640"/>
    <d v="2023-01-19T00:00:00"/>
    <n v="673265.6"/>
    <n v="12.79"/>
  </r>
  <r>
    <d v="2024-01-12T00:00:00"/>
    <x v="36"/>
    <d v="2023-07-24T00:00:00"/>
    <n v="26880"/>
    <d v="2022-12-02T00:00:00"/>
    <n v="343795.20000000001"/>
    <n v="12.79"/>
  </r>
  <r>
    <d v="2024-01-12T00:00:00"/>
    <x v="36"/>
    <d v="2023-07-24T00:00:00"/>
    <n v="51520"/>
    <d v="2023-02-09T00:00:00"/>
    <n v="658940.80000000005"/>
    <n v="12.79"/>
  </r>
  <r>
    <d v="2024-01-12T00:00:00"/>
    <x v="36"/>
    <d v="2023-07-24T00:00:00"/>
    <n v="100800"/>
    <d v="2023-01-13T00:00:00"/>
    <n v="1289232"/>
    <n v="12.79"/>
  </r>
  <r>
    <d v="2023-10-13T00:00:00"/>
    <x v="36"/>
    <d v="2023-07-24T00:00:00"/>
    <n v="28000"/>
    <d v="2023-02-23T00:00:00"/>
    <n v="358120"/>
    <n v="12.79"/>
  </r>
  <r>
    <d v="2023-10-13T00:00:00"/>
    <x v="36"/>
    <d v="2023-07-24T00:00:00"/>
    <n v="24640"/>
    <d v="2023-01-20T00:00:00"/>
    <n v="315145.59999999998"/>
    <n v="12.79"/>
  </r>
  <r>
    <d v="2023-10-13T00:00:00"/>
    <x v="36"/>
    <d v="2023-07-24T00:00:00"/>
    <n v="51520"/>
    <d v="2023-06-23T00:00:00"/>
    <n v="658940.80000000005"/>
    <n v="12.79"/>
  </r>
  <r>
    <d v="2024-02-08T00:00:00"/>
    <x v="36"/>
    <d v="2023-07-10T00:00:00"/>
    <n v="52640"/>
    <d v="2023-08-03T00:00:00"/>
    <n v="673265.6"/>
    <n v="12.79"/>
  </r>
  <r>
    <d v="2023-10-13T00:00:00"/>
    <x v="36"/>
    <d v="2023-07-24T00:00:00"/>
    <n v="39200"/>
    <d v="2023-08-10T00:00:00"/>
    <n v="501368"/>
    <n v="12.79"/>
  </r>
  <r>
    <d v="2024-01-12T00:00:00"/>
    <x v="37"/>
    <d v="2023-07-24T00:00:00"/>
    <n v="24640"/>
    <d v="2023-01-12T00:00:00"/>
    <n v="687456"/>
    <n v="27.9"/>
  </r>
  <r>
    <d v="2024-01-12T00:00:00"/>
    <x v="37"/>
    <d v="2023-07-24T00:00:00"/>
    <n v="52052"/>
    <d v="2023-01-26T00:00:00"/>
    <n v="1452250.8"/>
    <n v="27.9"/>
  </r>
  <r>
    <d v="2023-10-25T00:00:00"/>
    <x v="37"/>
    <d v="2023-09-11T00:00:00"/>
    <n v="18480"/>
    <d v="2023-03-23T00:00:00"/>
    <n v="515592"/>
    <n v="27.9"/>
  </r>
  <r>
    <d v="2024-01-12T00:00:00"/>
    <x v="37"/>
    <d v="2023-07-24T00:00:00"/>
    <n v="25872"/>
    <d v="2023-02-10T00:00:00"/>
    <n v="721828.8"/>
    <n v="27.9"/>
  </r>
  <r>
    <d v="2024-01-12T00:00:00"/>
    <x v="37"/>
    <d v="2023-07-24T00:00:00"/>
    <n v="52052"/>
    <d v="2023-01-19T00:00:00"/>
    <n v="1452250.8"/>
    <n v="27.9"/>
  </r>
  <r>
    <d v="2024-01-12T00:00:00"/>
    <x v="37"/>
    <d v="2023-07-24T00:00:00"/>
    <n v="52052"/>
    <d v="2023-03-16T00:00:00"/>
    <n v="1452250.8"/>
    <n v="27.9"/>
  </r>
  <r>
    <d v="2023-10-31T00:00:00"/>
    <x v="37"/>
    <d v="2023-08-21T00:00:00"/>
    <n v="52052"/>
    <d v="2023-03-23T00:00:00"/>
    <n v="1452250.8"/>
    <n v="27.9"/>
  </r>
  <r>
    <d v="2023-10-31T00:00:00"/>
    <x v="37"/>
    <d v="2023-08-21T00:00:00"/>
    <n v="24332"/>
    <d v="2023-03-30T00:00:00"/>
    <n v="678862.8"/>
    <n v="27.9"/>
  </r>
  <r>
    <d v="2024-02-08T00:00:00"/>
    <x v="37"/>
    <d v="2023-07-10T00:00:00"/>
    <n v="7700"/>
    <d v="2023-01-20T00:00:00"/>
    <n v="214830"/>
    <n v="27.9"/>
  </r>
  <r>
    <d v="2024-02-08T00:00:00"/>
    <x v="37"/>
    <d v="2023-07-10T00:00:00"/>
    <n v="39116"/>
    <d v="2023-04-13T00:00:00"/>
    <n v="1091336.3999999999"/>
    <n v="27.9"/>
  </r>
  <r>
    <d v="2024-01-12T00:00:00"/>
    <x v="37"/>
    <d v="2023-07-24T00:00:00"/>
    <n v="51744"/>
    <d v="2023-01-06T00:00:00"/>
    <n v="1443657.6"/>
    <n v="27.9"/>
  </r>
  <r>
    <d v="2024-01-12T00:00:00"/>
    <x v="37"/>
    <d v="2023-07-24T00:00:00"/>
    <n v="52052"/>
    <d v="2023-02-23T00:00:00"/>
    <n v="1452250.8"/>
    <n v="27.9"/>
  </r>
  <r>
    <d v="2024-02-08T00:00:00"/>
    <x v="37"/>
    <d v="2023-07-10T00:00:00"/>
    <n v="27104"/>
    <d v="2023-04-22T00:00:00"/>
    <n v="756201.6"/>
    <n v="27.9"/>
  </r>
  <r>
    <d v="2024-02-08T00:00:00"/>
    <x v="37"/>
    <d v="2023-07-10T00:00:00"/>
    <n v="4620"/>
    <d v="2023-03-23T00:00:00"/>
    <n v="128898"/>
    <n v="27.9"/>
  </r>
  <r>
    <d v="2023-10-31T00:00:00"/>
    <x v="37"/>
    <d v="2023-08-21T00:00:00"/>
    <n v="44352"/>
    <d v="2023-04-22T00:00:00"/>
    <n v="1237420.8"/>
    <n v="27.9"/>
  </r>
  <r>
    <d v="2023-10-31T00:00:00"/>
    <x v="37"/>
    <d v="2023-08-21T00:00:00"/>
    <n v="51744"/>
    <d v="2023-04-06T00:00:00"/>
    <n v="1443657.6"/>
    <n v="27.9"/>
  </r>
  <r>
    <d v="2024-04-12T00:00:00"/>
    <x v="37"/>
    <d v="2023-03-01T00:00:00"/>
    <n v="52052"/>
    <d v="2023-06-30T00:00:00"/>
    <n v="1452250.8"/>
    <n v="27.9"/>
  </r>
  <r>
    <d v="2024-04-12T00:00:00"/>
    <x v="37"/>
    <d v="2023-03-01T00:00:00"/>
    <n v="51744"/>
    <d v="2023-03-02T00:00:00"/>
    <n v="1443657.6"/>
    <n v="27.9"/>
  </r>
  <r>
    <d v="2024-04-12T00:00:00"/>
    <x v="37"/>
    <d v="2023-03-01T00:00:00"/>
    <n v="52052"/>
    <d v="2023-03-09T00:00:00"/>
    <n v="1452250.8"/>
    <n v="27.9"/>
  </r>
  <r>
    <d v="2024-04-12T00:00:00"/>
    <x v="37"/>
    <d v="2023-03-01T00:00:00"/>
    <n v="26796"/>
    <d v="2023-06-16T00:00:00"/>
    <n v="747608.4"/>
    <n v="27.9"/>
  </r>
  <r>
    <d v="2023-10-31T00:00:00"/>
    <x v="37"/>
    <d v="2023-08-21T00:00:00"/>
    <n v="52052"/>
    <d v="2023-04-22T00:00:00"/>
    <n v="1452250.8"/>
    <n v="27.9"/>
  </r>
  <r>
    <d v="2024-04-12T00:00:00"/>
    <x v="37"/>
    <d v="2023-03-01T00:00:00"/>
    <n v="52052"/>
    <d v="2023-07-14T00:00:00"/>
    <n v="1452250.8"/>
    <n v="27.9"/>
  </r>
  <r>
    <d v="2023-10-25T00:00:00"/>
    <x v="37"/>
    <d v="2023-09-11T00:00:00"/>
    <n v="39424"/>
    <d v="2023-08-11T00:00:00"/>
    <n v="1099929.6000000001"/>
    <n v="27.9"/>
  </r>
  <r>
    <d v="2023-10-31T00:00:00"/>
    <x v="37"/>
    <d v="2023-08-21T00:00:00"/>
    <n v="51744"/>
    <d v="2023-08-04T00:00:00"/>
    <n v="1443657.6"/>
    <n v="27.9"/>
  </r>
  <r>
    <d v="2024-04-12T00:00:00"/>
    <x v="38"/>
    <d v="2023-03-01T00:00:00"/>
    <n v="51156"/>
    <d v="2023-07-21T00:00:00"/>
    <n v="213320.52"/>
    <n v="4.17"/>
  </r>
  <r>
    <d v="2023-10-18T00:00:00"/>
    <x v="38"/>
    <d v="2023-05-17T00:00:00"/>
    <n v="53592"/>
    <d v="2023-03-16T00:00:00"/>
    <n v="223478.64"/>
    <n v="4.17"/>
  </r>
  <r>
    <d v="2024-02-26T00:00:00"/>
    <x v="38"/>
    <d v="2023-03-01T00:00:00"/>
    <n v="43848"/>
    <d v="2023-05-11T00:00:00"/>
    <n v="182846.16"/>
    <n v="4.17"/>
  </r>
  <r>
    <d v="2023-10-13T00:00:00"/>
    <x v="38"/>
    <d v="2023-07-24T00:00:00"/>
    <n v="51156"/>
    <d v="2023-03-30T00:00:00"/>
    <n v="213320.52"/>
    <n v="4.17"/>
  </r>
  <r>
    <d v="2023-10-13T00:00:00"/>
    <x v="38"/>
    <d v="2023-07-24T00:00:00"/>
    <n v="53592"/>
    <d v="2023-03-16T00:00:00"/>
    <n v="223478.64"/>
    <n v="4.17"/>
  </r>
  <r>
    <d v="2023-10-13T00:00:00"/>
    <x v="38"/>
    <d v="2023-07-24T00:00:00"/>
    <n v="38976"/>
    <d v="2023-04-06T00:00:00"/>
    <n v="162529.92000000001"/>
    <n v="4.17"/>
  </r>
  <r>
    <d v="2024-02-08T00:00:00"/>
    <x v="38"/>
    <d v="2023-07-10T00:00:00"/>
    <n v="51156"/>
    <d v="2023-03-23T00:00:00"/>
    <n v="213320.52"/>
    <n v="4.17"/>
  </r>
  <r>
    <d v="2023-10-18T00:00:00"/>
    <x v="38"/>
    <d v="2023-05-17T00:00:00"/>
    <n v="51156"/>
    <d v="2023-02-02T00:00:00"/>
    <n v="213320.52"/>
    <n v="4.17"/>
  </r>
  <r>
    <d v="2023-10-13T00:00:00"/>
    <x v="38"/>
    <d v="2023-07-24T00:00:00"/>
    <n v="51156"/>
    <d v="2023-03-09T00:00:00"/>
    <n v="213320.52"/>
    <n v="4.17"/>
  </r>
  <r>
    <d v="2023-10-13T00:00:00"/>
    <x v="38"/>
    <d v="2023-07-24T00:00:00"/>
    <n v="17052"/>
    <d v="2023-03-16T00:00:00"/>
    <n v="71106.84"/>
    <n v="4.17"/>
  </r>
  <r>
    <d v="2024-03-22T00:00:00"/>
    <x v="38"/>
    <d v="2023-03-01T00:00:00"/>
    <n v="26796"/>
    <d v="2023-06-16T00:00:00"/>
    <n v="111739.32"/>
    <n v="4.17"/>
  </r>
  <r>
    <d v="2024-04-12T00:00:00"/>
    <x v="38"/>
    <d v="2023-03-01T00:00:00"/>
    <n v="51156"/>
    <d v="2023-07-07T00:00:00"/>
    <n v="213320.52"/>
    <n v="4.17"/>
  </r>
  <r>
    <d v="2024-03-22T00:00:00"/>
    <x v="38"/>
    <d v="2023-03-01T00:00:00"/>
    <n v="51156"/>
    <d v="2023-07-27T00:00:00"/>
    <n v="213320.52"/>
    <n v="4.17"/>
  </r>
  <r>
    <d v="2024-04-12T00:00:00"/>
    <x v="38"/>
    <d v="2023-03-01T00:00:00"/>
    <n v="53592"/>
    <d v="2023-08-04T00:00:00"/>
    <n v="223478.64"/>
    <n v="4.17"/>
  </r>
  <r>
    <d v="2024-04-12T00:00:00"/>
    <x v="38"/>
    <d v="2023-03-01T00:00:00"/>
    <n v="38976"/>
    <d v="2023-08-11T00:00:00"/>
    <n v="162529.92000000001"/>
    <n v="4.17"/>
  </r>
  <r>
    <d v="2024-04-12T00:00:00"/>
    <x v="38"/>
    <d v="2023-03-01T00:00:00"/>
    <n v="53592"/>
    <d v="2023-07-14T00:00:00"/>
    <n v="223478.64"/>
    <n v="4.17"/>
  </r>
  <r>
    <d v="2023-10-13T00:00:00"/>
    <x v="38"/>
    <d v="2023-07-24T00:00:00"/>
    <n v="24360"/>
    <d v="2023-01-12T00:00:00"/>
    <n v="101581.2"/>
    <n v="4.17"/>
  </r>
  <r>
    <d v="2023-10-13T00:00:00"/>
    <x v="38"/>
    <d v="2023-07-24T00:00:00"/>
    <n v="19488"/>
    <d v="2022-12-09T00:00:00"/>
    <n v="81264.960000000006"/>
    <n v="4.17"/>
  </r>
  <r>
    <d v="2024-02-08T00:00:00"/>
    <x v="38"/>
    <d v="2023-07-10T00:00:00"/>
    <n v="53592"/>
    <d v="2022-12-29T00:00:00"/>
    <n v="223478.64"/>
    <n v="4.17"/>
  </r>
  <r>
    <d v="2023-10-13T00:00:00"/>
    <x v="38"/>
    <d v="2023-07-24T00:00:00"/>
    <n v="51156"/>
    <d v="2022-12-23T00:00:00"/>
    <n v="213320.52"/>
    <n v="4.17"/>
  </r>
  <r>
    <d v="2024-02-08T00:00:00"/>
    <x v="38"/>
    <d v="2023-07-10T00:00:00"/>
    <n v="51156"/>
    <d v="2023-01-05T00:00:00"/>
    <n v="213320.52"/>
    <n v="4.17"/>
  </r>
  <r>
    <d v="2024-02-08T00:00:00"/>
    <x v="38"/>
    <d v="2023-07-10T00:00:00"/>
    <n v="4872"/>
    <d v="2023-01-19T00:00:00"/>
    <n v="20316.240000000002"/>
    <n v="4.17"/>
  </r>
  <r>
    <d v="2023-10-13T00:00:00"/>
    <x v="38"/>
    <d v="2023-07-24T00:00:00"/>
    <n v="51156"/>
    <d v="2023-01-26T00:00:00"/>
    <n v="213320.52"/>
    <n v="4.17"/>
  </r>
  <r>
    <d v="2023-10-13T00:00:00"/>
    <x v="38"/>
    <d v="2023-07-24T00:00:00"/>
    <n v="53592"/>
    <d v="2023-02-16T00:00:00"/>
    <n v="223478.64"/>
    <n v="4.17"/>
  </r>
  <r>
    <d v="2023-10-13T00:00:00"/>
    <x v="38"/>
    <d v="2023-07-24T00:00:00"/>
    <n v="53592"/>
    <d v="2023-03-02T00:00:00"/>
    <n v="223478.64"/>
    <n v="4.17"/>
  </r>
  <r>
    <d v="2023-10-13T00:00:00"/>
    <x v="38"/>
    <d v="2023-07-24T00:00:00"/>
    <n v="51156"/>
    <d v="2023-02-23T00:00:00"/>
    <n v="213320.52"/>
    <n v="4.17"/>
  </r>
  <r>
    <d v="2024-02-08T00:00:00"/>
    <x v="38"/>
    <d v="2023-07-10T00:00:00"/>
    <n v="51156"/>
    <d v="2023-02-09T00:00:00"/>
    <n v="213320.52"/>
    <n v="4.17"/>
  </r>
  <r>
    <d v="2024-03-22T00:00:00"/>
    <x v="38"/>
    <d v="2023-03-01T00:00:00"/>
    <n v="51156"/>
    <d v="2023-05-18T00:00:00"/>
    <n v="213320.52"/>
    <n v="4.17"/>
  </r>
  <r>
    <d v="2024-03-22T00:00:00"/>
    <x v="38"/>
    <d v="2023-03-01T00:00:00"/>
    <n v="26796"/>
    <d v="2023-05-18T00:00:00"/>
    <n v="111739.32"/>
    <n v="4.17"/>
  </r>
  <r>
    <d v="2024-02-08T00:00:00"/>
    <x v="38"/>
    <d v="2023-07-10T00:00:00"/>
    <n v="51156"/>
    <d v="2023-06-30T00:00:00"/>
    <n v="213320.52"/>
    <n v="4.17"/>
  </r>
  <r>
    <d v="2024-03-22T00:00:00"/>
    <x v="38"/>
    <d v="2023-03-01T00:00:00"/>
    <n v="53592"/>
    <d v="2023-06-23T00:00:00"/>
    <n v="223478.64"/>
    <n v="4.17"/>
  </r>
  <r>
    <s v=""/>
    <x v="35"/>
    <d v="2023-09-12T00:00:00"/>
    <n v="579313"/>
    <d v="2023-09-12T00:00:00"/>
    <n v="7409413.2699999996"/>
    <n v="12.79"/>
  </r>
  <r>
    <s v=""/>
    <x v="38"/>
    <d v="2023-09-12T00:00:00"/>
    <n v="138852"/>
    <d v="2023-09-12T00:00:00"/>
    <n v="579012.84"/>
    <n v="4.17"/>
  </r>
  <r>
    <d v="2023-10-13T00:00:00"/>
    <x v="39"/>
    <d v="2023-08-21T00:00:00"/>
    <n v="120"/>
    <d v="2023-07-10T00:00:00"/>
    <n v="13698"/>
    <n v="114.15"/>
  </r>
  <r>
    <d v="2024-02-16T00:00:00"/>
    <x v="39"/>
    <d v="2023-03-01T00:00:00"/>
    <n v="360"/>
    <d v="2024-01-08T00:00:00"/>
    <n v="41094"/>
    <n v="114.15"/>
  </r>
  <r>
    <d v="2023-11-03T00:00:00"/>
    <x v="39"/>
    <d v="2023-08-15T00:00:00"/>
    <n v="360"/>
    <d v="2023-10-09T00:00:00"/>
    <n v="41094"/>
    <n v="114.15"/>
  </r>
  <r>
    <d v="2023-09-27T00:00:00"/>
    <x v="40"/>
    <d v="2023-09-11T00:00:00"/>
    <n v="32"/>
    <d v="2023-02-24T00:00:00"/>
    <n v="149248"/>
    <n v="4664"/>
  </r>
  <r>
    <d v="2023-09-27T00:00:00"/>
    <x v="40"/>
    <d v="2023-09-11T00:00:00"/>
    <n v="112"/>
    <d v="2023-01-27T00:00:00"/>
    <n v="522368"/>
    <n v="4664"/>
  </r>
  <r>
    <d v="2023-11-08T00:00:00"/>
    <x v="40"/>
    <d v="2022-11-15T00:00:00"/>
    <n v="240"/>
    <d v="2023-10-30T00:00:00"/>
    <n v="1119360"/>
    <n v="4664"/>
  </r>
  <r>
    <d v="2023-09-27T00:00:00"/>
    <x v="40"/>
    <d v="2023-09-11T00:00:00"/>
    <n v="176"/>
    <d v="2023-06-22T00:00:00"/>
    <n v="820864"/>
    <n v="4664"/>
  </r>
  <r>
    <d v="2023-09-27T00:00:00"/>
    <x v="40"/>
    <d v="2023-09-11T00:00:00"/>
    <n v="288"/>
    <d v="2023-07-28T00:00:00"/>
    <n v="1343232"/>
    <n v="4664"/>
  </r>
  <r>
    <d v="2024-02-16T00:00:00"/>
    <x v="40"/>
    <d v="2023-08-23T00:00:00"/>
    <n v="272"/>
    <d v="2023-04-27T00:00:00"/>
    <n v="1268608"/>
    <n v="4664"/>
  </r>
  <r>
    <d v="2023-09-27T00:00:00"/>
    <x v="40"/>
    <d v="2023-09-11T00:00:00"/>
    <n v="224"/>
    <d v="2023-03-24T00:00:00"/>
    <n v="1044736"/>
    <n v="4664"/>
  </r>
  <r>
    <d v="2023-09-29T00:00:00"/>
    <x v="40"/>
    <d v="2023-09-11T00:00:00"/>
    <n v="192"/>
    <d v="2023-09-22T00:00:00"/>
    <n v="895488"/>
    <n v="4664"/>
  </r>
  <r>
    <d v="2024-02-02T00:00:00"/>
    <x v="41"/>
    <d v="2023-02-26T00:00:00"/>
    <n v="120"/>
    <d v="2023-10-24T00:00:00"/>
    <n v="10528.8"/>
    <n v="87.74"/>
  </r>
  <r>
    <d v="2023-10-05T00:00:00"/>
    <x v="42"/>
    <d v="2023-08-27T00:00:00"/>
    <n v="1386"/>
    <d v="2023-10-02T00:00:00"/>
    <n v="559916.28"/>
    <n v="403.98"/>
  </r>
  <r>
    <d v="2025-01-09T00:00:00"/>
    <x v="42"/>
    <d v="2023-08-29T00:00:00"/>
    <n v="1386"/>
    <d v="2023-10-02T00:00:00"/>
    <n v="559916.28"/>
    <n v="403.98"/>
  </r>
  <r>
    <d v="2023-10-05T00:00:00"/>
    <x v="43"/>
    <d v="2023-08-27T00:00:00"/>
    <n v="1404"/>
    <d v="2023-10-02T00:00:00"/>
    <n v="631364.76"/>
    <n v="449.69"/>
  </r>
  <r>
    <d v="2023-10-16T00:00:00"/>
    <x v="44"/>
    <d v="2023-05-04T00:00:00"/>
    <n v="70"/>
    <d v="2023-10-09T00:00:00"/>
    <n v="13467.3"/>
    <n v="192.39"/>
  </r>
  <r>
    <d v="2024-03-04T00:00:00"/>
    <x v="44"/>
    <d v="2023-03-19T00:00:00"/>
    <n v="1100"/>
    <d v="2024-01-09T00:00:00"/>
    <n v="211629"/>
    <n v="192.39"/>
  </r>
  <r>
    <d v="2023-10-13T00:00:00"/>
    <x v="44"/>
    <d v="2023-05-15T00:00:00"/>
    <n v="400"/>
    <d v="2023-03-17T00:00:00"/>
    <n v="76956"/>
    <n v="192.39"/>
  </r>
  <r>
    <d v="2024-04-11T00:00:00"/>
    <x v="44"/>
    <d v="2023-04-26T00:00:00"/>
    <n v="2132"/>
    <d v="2024-04-08T00:00:00"/>
    <n v="410175.48"/>
    <n v="192.39"/>
  </r>
  <r>
    <d v="2023-10-16T00:00:00"/>
    <x v="42"/>
    <d v="2023-09-12T00:00:00"/>
    <n v="63"/>
    <d v="2023-10-15T00:00:00"/>
    <n v="25450.74"/>
    <n v="403.98"/>
  </r>
  <r>
    <d v="2023-10-16T00:00:00"/>
    <x v="42"/>
    <d v="2023-09-12T00:00:00"/>
    <n v="2772"/>
    <d v="2023-10-15T00:00:00"/>
    <n v="1119832.56"/>
    <n v="403.98"/>
  </r>
  <r>
    <d v="2023-09-20T00:00:00"/>
    <x v="42"/>
    <d v="2023-06-26T00:00:00"/>
    <n v="3150"/>
    <d v="2023-09-20T00:00:00"/>
    <n v="1272537"/>
    <n v="403.98"/>
  </r>
  <r>
    <d v="2023-10-16T00:00:00"/>
    <x v="42"/>
    <d v="2023-09-12T00:00:00"/>
    <n v="945"/>
    <d v="2023-10-15T00:00:00"/>
    <n v="381761.1"/>
    <n v="403.98"/>
  </r>
  <r>
    <d v="2023-10-16T00:00:00"/>
    <x v="42"/>
    <d v="2023-09-12T00:00:00"/>
    <n v="1827"/>
    <d v="2023-10-15T00:00:00"/>
    <n v="738071.46"/>
    <n v="403.98"/>
  </r>
  <r>
    <d v="2023-10-16T00:00:00"/>
    <x v="42"/>
    <d v="2023-09-12T00:00:00"/>
    <n v="315"/>
    <d v="2023-10-15T00:00:00"/>
    <n v="127253.7"/>
    <n v="403.98"/>
  </r>
  <r>
    <d v="2023-10-16T00:00:00"/>
    <x v="42"/>
    <d v="2023-09-12T00:00:00"/>
    <n v="252"/>
    <d v="2023-10-15T00:00:00"/>
    <n v="101802.96"/>
    <n v="403.98"/>
  </r>
  <r>
    <d v="2023-10-16T00:00:00"/>
    <x v="42"/>
    <d v="2023-09-12T00:00:00"/>
    <n v="126"/>
    <d v="2023-10-15T00:00:00"/>
    <n v="50901.48"/>
    <n v="403.98"/>
  </r>
  <r>
    <d v="2023-10-16T00:00:00"/>
    <x v="42"/>
    <d v="2023-09-12T00:00:00"/>
    <n v="126"/>
    <d v="2023-10-15T00:00:00"/>
    <n v="50901.48"/>
    <n v="403.98"/>
  </r>
  <r>
    <d v="2023-10-16T00:00:00"/>
    <x v="42"/>
    <d v="2023-09-12T00:00:00"/>
    <n v="8442"/>
    <d v="2023-10-15T00:00:00"/>
    <n v="3410399.16"/>
    <n v="403.98"/>
  </r>
  <r>
    <d v="2023-10-16T00:00:00"/>
    <x v="43"/>
    <d v="2023-09-12T00:00:00"/>
    <n v="36"/>
    <d v="2023-10-15T00:00:00"/>
    <n v="16188.84"/>
    <n v="449.69"/>
  </r>
  <r>
    <d v="2023-10-16T00:00:00"/>
    <x v="43"/>
    <d v="2023-09-12T00:00:00"/>
    <n v="108"/>
    <d v="2023-10-15T00:00:00"/>
    <n v="48566.52"/>
    <n v="449.69"/>
  </r>
  <r>
    <d v="2023-10-16T00:00:00"/>
    <x v="43"/>
    <d v="2023-09-12T00:00:00"/>
    <n v="360"/>
    <d v="2023-10-15T00:00:00"/>
    <n v="161888.4"/>
    <n v="449.69"/>
  </r>
  <r>
    <d v="2023-10-16T00:00:00"/>
    <x v="43"/>
    <d v="2023-09-12T00:00:00"/>
    <n v="252"/>
    <d v="2023-10-15T00:00:00"/>
    <n v="113321.88"/>
    <n v="449.69"/>
  </r>
  <r>
    <d v="2023-10-16T00:00:00"/>
    <x v="43"/>
    <d v="2023-09-12T00:00:00"/>
    <n v="252"/>
    <d v="2023-10-15T00:00:00"/>
    <n v="113321.88"/>
    <n v="449.69"/>
  </r>
  <r>
    <d v="2022-11-09T00:00:00"/>
    <x v="45"/>
    <d v="2023-03-16T00:00:00"/>
    <n v="6000"/>
    <d v="2022-11-01T00:00:00"/>
    <n v="6300"/>
    <n v="1.05"/>
  </r>
  <r>
    <s v=""/>
    <x v="46"/>
    <d v="2023-07-24T00:00:00"/>
    <n v="218457"/>
    <d v="2024-12-31T00:00:00"/>
    <n v="13325877"/>
    <n v="61"/>
  </r>
  <r>
    <s v=""/>
    <x v="47"/>
    <d v="2023-07-24T00:00:00"/>
    <n v="45823"/>
    <d v="2024-12-31T00:00:00"/>
    <n v="6576516.96"/>
    <n v="143.52000000000001"/>
  </r>
  <r>
    <s v=""/>
    <x v="47"/>
    <d v="2023-07-28T00:00:00"/>
    <n v="810"/>
    <d v="2023-08-17T00:00:00"/>
    <n v="116251.2"/>
    <n v="143.52000000000001"/>
  </r>
  <r>
    <s v=""/>
    <x v="48"/>
    <d v="2023-07-24T00:00:00"/>
    <n v="29126"/>
    <d v="2024-12-31T00:00:00"/>
    <n v="3657643.08"/>
    <n v="125.58"/>
  </r>
  <r>
    <s v=""/>
    <x v="48"/>
    <d v="2023-07-28T00:00:00"/>
    <n v="945"/>
    <d v="2023-08-01T00:00:00"/>
    <n v="118673.1"/>
    <n v="125.58"/>
  </r>
  <r>
    <s v=""/>
    <x v="48"/>
    <d v="2023-07-28T00:00:00"/>
    <n v="540"/>
    <d v="2023-11-01T00:00:00"/>
    <n v="67813.2"/>
    <n v="125.58"/>
  </r>
  <r>
    <s v=""/>
    <x v="49"/>
    <d v="2023-07-24T00:00:00"/>
    <n v="44010"/>
    <d v="2024-12-31T00:00:00"/>
    <n v="2065829.4"/>
    <n v="46.94"/>
  </r>
  <r>
    <s v=""/>
    <x v="50"/>
    <d v="2023-07-24T00:00:00"/>
    <n v="1668"/>
    <d v="2024-12-31T00:00:00"/>
    <n v="1072473.96"/>
    <n v="642.97"/>
  </r>
  <r>
    <d v="2023-12-29T00:00:00"/>
    <x v="50"/>
    <d v="2023-02-15T00:00:00"/>
    <n v="89"/>
    <d v="2023-12-26T00:00:00"/>
    <n v="57224.33"/>
    <n v="642.97"/>
  </r>
  <r>
    <d v="2024-07-10T00:00:00"/>
    <x v="50"/>
    <d v="2023-06-23T00:00:00"/>
    <n v="120"/>
    <d v="2024-07-08T00:00:00"/>
    <n v="77156.399999999994"/>
    <n v="642.97"/>
  </r>
  <r>
    <d v="2024-05-03T00:00:00"/>
    <x v="50"/>
    <d v="2023-06-23T00:00:00"/>
    <n v="120"/>
    <d v="2024-05-01T00:00:00"/>
    <n v="77156.399999999994"/>
    <n v="642.97"/>
  </r>
  <r>
    <d v="2024-05-09T00:00:00"/>
    <x v="50"/>
    <d v="2023-06-23T00:00:00"/>
    <n v="300"/>
    <d v="2024-05-06T00:00:00"/>
    <n v="192891"/>
    <n v="642.97"/>
  </r>
  <r>
    <s v=""/>
    <x v="51"/>
    <d v="2023-07-24T00:00:00"/>
    <n v="36943"/>
    <d v="2024-12-31T00:00:00"/>
    <n v="942785.36"/>
    <n v="25.52"/>
  </r>
  <r>
    <d v="2024-09-18T00:00:00"/>
    <x v="51"/>
    <d v="2023-06-23T00:00:00"/>
    <n v="120"/>
    <d v="2024-09-16T00:00:00"/>
    <n v="3062.4"/>
    <n v="25.52"/>
  </r>
  <r>
    <s v=""/>
    <x v="51"/>
    <d v="2023-07-28T00:00:00"/>
    <n v="360"/>
    <d v="2024-10-21T00:00:00"/>
    <n v="9187.2000000000007"/>
    <n v="25.52"/>
  </r>
  <r>
    <s v=""/>
    <x v="52"/>
    <d v="2023-07-24T00:00:00"/>
    <n v="15855"/>
    <d v="2024-12-31T00:00:00"/>
    <n v="853316.1"/>
    <n v="53.82"/>
  </r>
  <r>
    <s v=""/>
    <x v="53"/>
    <d v="2023-07-24T00:00:00"/>
    <n v="720"/>
    <d v="2024-12-31T00:00:00"/>
    <n v="414964.8"/>
    <n v="576.34"/>
  </r>
  <r>
    <d v="2024-05-09T00:00:00"/>
    <x v="53"/>
    <d v="2023-06-23T00:00:00"/>
    <n v="60"/>
    <d v="2024-05-06T00:00:00"/>
    <n v="34580.400000000001"/>
    <n v="576.34"/>
  </r>
  <r>
    <s v=""/>
    <x v="54"/>
    <d v="2023-07-24T00:00:00"/>
    <n v="790"/>
    <d v="2024-12-31T00:00:00"/>
    <n v="55489.599999999999"/>
    <n v="70.239999999999995"/>
  </r>
  <r>
    <d v="2023-10-16T00:00:00"/>
    <x v="43"/>
    <d v="2023-09-12T00:00:00"/>
    <n v="360"/>
    <d v="2023-10-15T00:00:00"/>
    <n v="161888.4"/>
    <n v="449.69"/>
  </r>
  <r>
    <d v="2023-10-16T00:00:00"/>
    <x v="43"/>
    <d v="2023-09-12T00:00:00"/>
    <n v="5616"/>
    <d v="2023-10-15T00:00:00"/>
    <n v="2525459.04"/>
    <n v="449.69"/>
  </r>
  <r>
    <d v="2023-10-16T00:00:00"/>
    <x v="43"/>
    <d v="2023-09-12T00:00:00"/>
    <n v="540"/>
    <d v="2023-10-15T00:00:00"/>
    <n v="242832.6"/>
    <n v="449.69"/>
  </r>
  <r>
    <d v="2023-10-16T00:00:00"/>
    <x v="43"/>
    <d v="2023-09-12T00:00:00"/>
    <n v="144"/>
    <d v="2023-10-15T00:00:00"/>
    <n v="64755.360000000001"/>
    <n v="449.69"/>
  </r>
  <r>
    <d v="2023-10-16T00:00:00"/>
    <x v="43"/>
    <d v="2023-09-12T00:00:00"/>
    <n v="504"/>
    <d v="2023-10-15T00:00:00"/>
    <n v="226643.76"/>
    <n v="449.69"/>
  </r>
  <r>
    <d v="2023-10-16T00:00:00"/>
    <x v="43"/>
    <d v="2023-09-12T00:00:00"/>
    <n v="576"/>
    <d v="2023-10-15T00:00:00"/>
    <n v="259021.44"/>
    <n v="449.69"/>
  </r>
  <r>
    <d v="2023-10-16T00:00:00"/>
    <x v="43"/>
    <d v="2023-09-12T00:00:00"/>
    <n v="1332"/>
    <d v="2023-10-15T00:00:00"/>
    <n v="598987.07999999996"/>
    <n v="449.69"/>
  </r>
  <r>
    <d v="2023-10-16T00:00:00"/>
    <x v="43"/>
    <d v="2023-09-11T00:00:00"/>
    <n v="180"/>
    <d v="2023-10-09T00:00:00"/>
    <n v="80944.2"/>
    <n v="449.69"/>
  </r>
  <r>
    <d v="2023-10-16T00:00:00"/>
    <x v="43"/>
    <d v="2023-09-12T00:00:00"/>
    <n v="324"/>
    <d v="2023-10-15T00:00:00"/>
    <n v="145699.56"/>
    <n v="449.69"/>
  </r>
  <r>
    <d v="2025-01-08T00:00:00"/>
    <x v="55"/>
    <d v="2023-08-04T00:00:00"/>
    <n v="606000"/>
    <d v="2023-01-25T00:00:00"/>
    <n v="1515000"/>
    <n v="2.5"/>
  </r>
  <r>
    <d v="2024-02-21T00:00:00"/>
    <x v="55"/>
    <d v="2023-08-17T00:00:00"/>
    <n v="3000"/>
    <d v="2024-02-13T00:00:00"/>
    <n v="7500"/>
    <n v="2.5"/>
  </r>
  <r>
    <d v="2024-12-05T00:00:00"/>
    <x v="55"/>
    <d v="2023-07-10T00:00:00"/>
    <n v="63000"/>
    <d v="2024-11-20T00:00:00"/>
    <n v="157500"/>
    <n v="2.5"/>
  </r>
  <r>
    <d v="2024-02-12T00:00:00"/>
    <x v="55"/>
    <d v="2023-07-10T00:00:00"/>
    <n v="18000"/>
    <d v="2024-01-26T00:00:00"/>
    <n v="45000"/>
    <n v="2.5"/>
  </r>
  <r>
    <d v="2024-07-16T00:00:00"/>
    <x v="55"/>
    <d v="2023-07-10T00:00:00"/>
    <n v="30000"/>
    <d v="2024-07-01T00:00:00"/>
    <n v="75000"/>
    <n v="2.5"/>
  </r>
  <r>
    <d v="2025-01-08T00:00:00"/>
    <x v="56"/>
    <d v="2023-08-04T00:00:00"/>
    <n v="460000"/>
    <d v="2022-12-16T00:00:00"/>
    <n v="966000"/>
    <n v="2.1"/>
  </r>
  <r>
    <d v="2025-01-08T00:00:00"/>
    <x v="43"/>
    <d v="2023-08-04T00:00:00"/>
    <n v="3564000"/>
    <d v="2024-12-31T00:00:00"/>
    <n v="12474000"/>
    <n v="3.5"/>
  </r>
  <r>
    <d v="2024-04-05T00:00:00"/>
    <x v="43"/>
    <d v="2023-09-12T00:00:00"/>
    <n v="54000"/>
    <d v="2024-03-31T00:00:00"/>
    <n v="189000"/>
    <n v="3.5"/>
  </r>
  <r>
    <d v="2024-07-09T00:00:00"/>
    <x v="43"/>
    <d v="2023-09-12T00:00:00"/>
    <n v="54000"/>
    <d v="2024-06-30T00:00:00"/>
    <n v="189000"/>
    <n v="3.5"/>
  </r>
  <r>
    <d v="2023-11-15T00:00:00"/>
    <x v="43"/>
    <d v="2023-09-12T00:00:00"/>
    <n v="51000"/>
    <d v="2023-09-30T00:00:00"/>
    <n v="178500"/>
    <n v="3.5"/>
  </r>
  <r>
    <d v="2024-10-07T00:00:00"/>
    <x v="43"/>
    <d v="2023-09-12T00:00:00"/>
    <n v="54000"/>
    <d v="2024-09-30T00:00:00"/>
    <n v="189000"/>
    <n v="3.5"/>
  </r>
  <r>
    <d v="2024-01-08T00:00:00"/>
    <x v="43"/>
    <d v="2023-09-12T00:00:00"/>
    <n v="54000"/>
    <d v="2023-12-31T00:00:00"/>
    <n v="189000"/>
    <n v="3.5"/>
  </r>
  <r>
    <d v="2025-01-08T00:00:00"/>
    <x v="43"/>
    <d v="2023-09-12T00:00:00"/>
    <n v="54000"/>
    <d v="2024-12-31T00:00:00"/>
    <n v="189000"/>
    <n v="3.5"/>
  </r>
  <r>
    <d v="2023-09-19T00:00:00"/>
    <x v="43"/>
    <d v="2023-09-09T00:00:00"/>
    <n v="9000"/>
    <d v="2023-09-12T00:00:00"/>
    <n v="31500"/>
    <n v="3.5"/>
  </r>
  <r>
    <d v="2024-05-22T00:00:00"/>
    <x v="43"/>
    <d v="2023-09-09T00:00:00"/>
    <n v="6000"/>
    <d v="2023-11-15T00:00:00"/>
    <n v="21000"/>
    <n v="3.5"/>
  </r>
  <r>
    <d v="2023-12-22T00:00:00"/>
    <x v="43"/>
    <d v="2023-09-09T00:00:00"/>
    <n v="15000"/>
    <d v="2023-12-15T00:00:00"/>
    <n v="52500"/>
    <n v="3.5"/>
  </r>
  <r>
    <d v="2024-04-04T00:00:00"/>
    <x v="43"/>
    <d v="2023-07-17T00:00:00"/>
    <n v="30000"/>
    <d v="2024-03-27T00:00:00"/>
    <n v="105000"/>
    <n v="3.5"/>
  </r>
  <r>
    <d v="2024-07-24T00:00:00"/>
    <x v="43"/>
    <d v="2023-07-17T00:00:00"/>
    <n v="135000"/>
    <d v="2024-07-17T00:00:00"/>
    <n v="472500"/>
    <n v="3.5"/>
  </r>
  <r>
    <d v="2024-09-03T00:00:00"/>
    <x v="43"/>
    <d v="2023-08-09T00:00:00"/>
    <n v="12000"/>
    <d v="2024-08-26T00:00:00"/>
    <n v="420000"/>
    <n v="35"/>
  </r>
  <r>
    <d v="2024-07-22T00:00:00"/>
    <x v="43"/>
    <d v="2023-07-20T00:00:00"/>
    <n v="18000"/>
    <d v="2024-07-15T00:00:00"/>
    <n v="630000"/>
    <n v="35"/>
  </r>
  <r>
    <d v="2025-01-08T00:00:00"/>
    <x v="57"/>
    <d v="2023-08-04T00:00:00"/>
    <n v="441000"/>
    <d v="2024-07-24T00:00:00"/>
    <n v="1278900"/>
    <n v="2.9"/>
  </r>
  <r>
    <d v="2023-12-19T00:00:00"/>
    <x v="57"/>
    <d v="2023-07-10T00:00:00"/>
    <n v="9000"/>
    <d v="2024-04-19T00:00:00"/>
    <n v="26100"/>
    <n v="2.9"/>
  </r>
  <r>
    <d v="2024-06-11T00:00:00"/>
    <x v="57"/>
    <d v="2023-09-06T00:00:00"/>
    <n v="12000"/>
    <d v="2024-05-27T00:00:00"/>
    <n v="34800"/>
    <n v="2.9"/>
  </r>
  <r>
    <d v="2023-10-06T00:00:00"/>
    <x v="58"/>
    <d v="2023-02-13T00:00:00"/>
    <n v="84"/>
    <d v="2023-09-30T00:00:00"/>
    <n v="71801.52"/>
    <n v="854.78"/>
  </r>
  <r>
    <d v="2023-10-13T00:00:00"/>
    <x v="58"/>
    <d v="2023-02-13T00:00:00"/>
    <n v="420"/>
    <d v="2023-10-07T00:00:00"/>
    <n v="359007.6"/>
    <n v="854.78"/>
  </r>
  <r>
    <d v="2023-10-13T00:00:00"/>
    <x v="58"/>
    <d v="2023-02-13T00:00:00"/>
    <n v="252"/>
    <d v="2023-10-07T00:00:00"/>
    <n v="215404.56"/>
    <n v="854.78"/>
  </r>
  <r>
    <d v="2023-10-06T00:00:00"/>
    <x v="58"/>
    <d v="2023-02-13T00:00:00"/>
    <n v="420"/>
    <d v="2023-09-30T00:00:00"/>
    <n v="359007.6"/>
    <n v="854.78"/>
  </r>
  <r>
    <d v="2023-09-22T00:00:00"/>
    <x v="58"/>
    <d v="2023-02-13T00:00:00"/>
    <n v="420"/>
    <d v="2023-09-16T00:00:00"/>
    <n v="359007.6"/>
    <n v="854.78"/>
  </r>
  <r>
    <d v="2023-11-03T00:00:00"/>
    <x v="58"/>
    <d v="2023-02-13T00:00:00"/>
    <n v="504"/>
    <d v="2023-10-28T00:00:00"/>
    <n v="430809.12"/>
    <n v="854.78"/>
  </r>
  <r>
    <d v="2023-09-29T00:00:00"/>
    <x v="58"/>
    <d v="2023-02-13T00:00:00"/>
    <n v="420"/>
    <d v="2023-09-23T00:00:00"/>
    <n v="359007.6"/>
    <n v="854.78"/>
  </r>
  <r>
    <d v="2023-10-13T00:00:00"/>
    <x v="58"/>
    <d v="2023-02-13T00:00:00"/>
    <n v="84"/>
    <d v="2023-10-07T00:00:00"/>
    <n v="71801.52"/>
    <n v="854.78"/>
  </r>
  <r>
    <d v="2023-10-23T00:00:00"/>
    <x v="58"/>
    <d v="2023-02-13T00:00:00"/>
    <n v="420"/>
    <d v="2023-10-23T00:00:00"/>
    <n v="359007.6"/>
    <n v="854.78"/>
  </r>
  <r>
    <d v="2023-10-30T00:00:00"/>
    <x v="58"/>
    <d v="2023-02-13T00:00:00"/>
    <n v="420"/>
    <d v="2023-10-30T00:00:00"/>
    <n v="359007.6"/>
    <n v="854.78"/>
  </r>
  <r>
    <d v="2023-10-23T00:00:00"/>
    <x v="58"/>
    <d v="2023-02-13T00:00:00"/>
    <n v="84"/>
    <d v="2023-10-23T00:00:00"/>
    <n v="71801.52"/>
    <n v="854.78"/>
  </r>
  <r>
    <d v="2023-11-06T00:00:00"/>
    <x v="58"/>
    <d v="2023-02-13T00:00:00"/>
    <n v="420"/>
    <d v="2023-11-06T00:00:00"/>
    <n v="359007.6"/>
    <n v="854.78"/>
  </r>
  <r>
    <d v="2023-10-30T00:00:00"/>
    <x v="58"/>
    <d v="2023-02-13T00:00:00"/>
    <n v="420"/>
    <d v="2023-10-30T00:00:00"/>
    <n v="359007.6"/>
    <n v="854.78"/>
  </r>
  <r>
    <d v="2023-11-13T00:00:00"/>
    <x v="58"/>
    <d v="2023-02-13T00:00:00"/>
    <n v="420"/>
    <d v="2023-11-13T00:00:00"/>
    <n v="359007.6"/>
    <n v="854.78"/>
  </r>
  <r>
    <d v="2023-11-06T00:00:00"/>
    <x v="58"/>
    <d v="2023-02-13T00:00:00"/>
    <n v="420"/>
    <d v="2023-11-06T00:00:00"/>
    <n v="359007.6"/>
    <n v="854.78"/>
  </r>
  <r>
    <d v="2023-10-16T00:00:00"/>
    <x v="58"/>
    <d v="2023-02-13T00:00:00"/>
    <n v="84"/>
    <d v="2023-10-16T00:00:00"/>
    <n v="71801.52"/>
    <n v="854.78"/>
  </r>
  <r>
    <d v="2024-01-12T00:00:00"/>
    <x v="59"/>
    <d v="2023-08-23T00:00:00"/>
    <n v="13"/>
    <d v="2022-11-01T00:00:00"/>
    <n v="51537.2"/>
    <n v="3964.4"/>
  </r>
  <r>
    <d v="2024-03-25T00:00:00"/>
    <x v="59"/>
    <d v="2022-11-14T00:00:00"/>
    <n v="77"/>
    <d v="2024-03-25T00:00:00"/>
    <n v="305258.8"/>
    <n v="3964.4"/>
  </r>
  <r>
    <d v="2024-04-02T00:00:00"/>
    <x v="59"/>
    <d v="2022-11-11T00:00:00"/>
    <n v="972"/>
    <d v="2024-03-25T00:00:00"/>
    <n v="3853396.8"/>
    <n v="3964.4"/>
  </r>
  <r>
    <d v="2024-04-26T00:00:00"/>
    <x v="59"/>
    <d v="2022-12-05T00:00:00"/>
    <n v="12"/>
    <d v="2024-04-26T00:00:00"/>
    <n v="47572.800000000003"/>
    <n v="3964.4"/>
  </r>
  <r>
    <d v="2024-05-02T00:00:00"/>
    <x v="59"/>
    <d v="2022-12-15T00:00:00"/>
    <n v="16"/>
    <d v="2024-05-02T00:00:00"/>
    <n v="63430.400000000001"/>
    <n v="3964.4"/>
  </r>
  <r>
    <d v="2024-09-03T00:00:00"/>
    <x v="59"/>
    <d v="2023-04-20T00:00:00"/>
    <n v="8"/>
    <d v="2024-09-03T00:00:00"/>
    <n v="31715.200000000001"/>
    <n v="3964.4"/>
  </r>
  <r>
    <d v="2023-09-22T00:00:00"/>
    <x v="60"/>
    <d v="2023-01-30T00:00:00"/>
    <n v="324"/>
    <d v="2022-11-01T00:00:00"/>
    <n v="34126.92"/>
    <n v="105.33"/>
  </r>
  <r>
    <d v="2023-09-22T00:00:00"/>
    <x v="60"/>
    <d v="2023-01-30T00:00:00"/>
    <n v="864"/>
    <d v="2022-11-01T00:00:00"/>
    <n v="91005.119999999995"/>
    <n v="105.33"/>
  </r>
  <r>
    <d v="2023-09-21T00:00:00"/>
    <x v="60"/>
    <d v="2023-01-30T00:00:00"/>
    <n v="1296"/>
    <d v="2023-09-11T00:00:00"/>
    <n v="136507.68"/>
    <n v="105.33"/>
  </r>
  <r>
    <d v="2023-09-29T00:00:00"/>
    <x v="60"/>
    <d v="2023-01-30T00:00:00"/>
    <n v="3132"/>
    <d v="2023-08-10T00:00:00"/>
    <n v="329893.56"/>
    <n v="105.33"/>
  </r>
  <r>
    <d v="2023-09-15T00:00:00"/>
    <x v="60"/>
    <d v="2023-09-06T00:00:00"/>
    <n v="1404"/>
    <d v="2023-06-14T00:00:00"/>
    <n v="147883.32"/>
    <n v="105.33"/>
  </r>
  <r>
    <d v="2023-09-21T00:00:00"/>
    <x v="60"/>
    <d v="2023-01-30T00:00:00"/>
    <n v="3888"/>
    <d v="2023-08-03T00:00:00"/>
    <n v="409523.04"/>
    <n v="105.33"/>
  </r>
  <r>
    <d v="2023-09-15T00:00:00"/>
    <x v="60"/>
    <d v="2023-09-06T00:00:00"/>
    <n v="1188"/>
    <d v="2023-06-29T00:00:00"/>
    <n v="125132.04"/>
    <n v="105.33"/>
  </r>
  <r>
    <d v="2023-10-11T00:00:00"/>
    <x v="60"/>
    <d v="2023-01-30T00:00:00"/>
    <n v="216"/>
    <d v="2023-10-04T00:00:00"/>
    <n v="22751.279999999999"/>
    <n v="105.33"/>
  </r>
  <r>
    <d v="2023-09-29T00:00:00"/>
    <x v="60"/>
    <d v="2023-08-29T00:00:00"/>
    <n v="1188"/>
    <d v="2023-09-14T00:00:00"/>
    <n v="125132.04"/>
    <n v="105.33"/>
  </r>
  <r>
    <d v="2024-02-16T00:00:00"/>
    <x v="60"/>
    <d v="2023-02-08T00:00:00"/>
    <n v="864"/>
    <d v="2024-02-09T00:00:00"/>
    <n v="91005.119999999995"/>
    <n v="105.33"/>
  </r>
  <r>
    <d v="2024-02-28T00:00:00"/>
    <x v="60"/>
    <d v="2023-03-10T00:00:00"/>
    <n v="324"/>
    <d v="2024-02-20T00:00:00"/>
    <n v="34126.92"/>
    <n v="105.33"/>
  </r>
  <r>
    <d v="2023-09-26T00:00:00"/>
    <x v="61"/>
    <d v="2022-09-20T00:00:00"/>
    <n v="2000"/>
    <d v="2023-09-19T00:00:00"/>
    <n v="3780"/>
    <n v="1.89"/>
  </r>
  <r>
    <d v="2023-09-20T00:00:00"/>
    <x v="62"/>
    <d v="2022-09-20T00:00:00"/>
    <n v="300"/>
    <d v="2023-09-20T00:00:00"/>
    <n v="3300"/>
    <n v="11"/>
  </r>
  <r>
    <d v="2023-09-27T00:00:00"/>
    <x v="63"/>
    <d v="2022-12-01T00:00:00"/>
    <n v="420"/>
    <d v="2023-09-27T00:00:00"/>
    <n v="3813.6"/>
    <n v="9.08"/>
  </r>
  <r>
    <d v="2023-09-06T00:00:00"/>
    <x v="64"/>
    <d v="2023-09-06T00:00:00"/>
    <n v="488"/>
    <d v="2021-12-27T00:00:00"/>
    <n v="214685.84"/>
    <n v="439.93"/>
  </r>
  <r>
    <d v="2023-11-03T00:00:00"/>
    <x v="64"/>
    <d v="2023-08-14T00:00:00"/>
    <n v="240"/>
    <d v="2023-02-03T00:00:00"/>
    <n v="105583.2"/>
    <n v="439.93"/>
  </r>
  <r>
    <d v="2023-10-10T00:00:00"/>
    <x v="64"/>
    <d v="2022-10-04T00:00:00"/>
    <n v="240"/>
    <d v="2023-10-10T00:00:00"/>
    <n v="105583.2"/>
    <n v="439.93"/>
  </r>
  <r>
    <d v="2023-09-26T00:00:00"/>
    <x v="64"/>
    <d v="2022-11-18T00:00:00"/>
    <n v="360"/>
    <d v="2023-09-19T00:00:00"/>
    <n v="158374.79999999999"/>
    <n v="439.93"/>
  </r>
  <r>
    <d v="2024-03-22T00:00:00"/>
    <x v="64"/>
    <d v="2022-12-28T00:00:00"/>
    <n v="960"/>
    <d v="2024-03-22T00:00:00"/>
    <n v="422332.8"/>
    <n v="439.93"/>
  </r>
  <r>
    <d v="2024-05-20T00:00:00"/>
    <x v="64"/>
    <d v="2023-01-25T00:00:00"/>
    <n v="120"/>
    <d v="2024-05-20T00:00:00"/>
    <n v="52791.6"/>
    <n v="439.93"/>
  </r>
  <r>
    <d v="2024-04-29T00:00:00"/>
    <x v="64"/>
    <d v="2023-01-18T00:00:00"/>
    <n v="720"/>
    <d v="2024-04-29T00:00:00"/>
    <n v="316749.59999999998"/>
    <n v="439.93"/>
  </r>
  <r>
    <d v="2024-06-07T00:00:00"/>
    <x v="64"/>
    <d v="2023-01-30T00:00:00"/>
    <n v="240"/>
    <d v="2024-06-07T00:00:00"/>
    <n v="105583.2"/>
    <n v="439.93"/>
  </r>
  <r>
    <d v="2023-10-20T00:00:00"/>
    <x v="65"/>
    <d v="2023-08-21T00:00:00"/>
    <n v="2674"/>
    <d v="2021-05-19T00:00:00"/>
    <n v="380697.38"/>
    <n v="142.37"/>
  </r>
  <r>
    <d v="2023-09-22T00:00:00"/>
    <x v="65"/>
    <d v="2022-07-29T00:00:00"/>
    <n v="440"/>
    <d v="2021-12-27T00:00:00"/>
    <n v="62642.8"/>
    <n v="142.37"/>
  </r>
  <r>
    <d v="2023-09-22T00:00:00"/>
    <x v="65"/>
    <d v="2022-07-29T00:00:00"/>
    <n v="440"/>
    <d v="2021-12-20T00:00:00"/>
    <n v="62642.8"/>
    <n v="142.37"/>
  </r>
  <r>
    <d v="2023-09-22T00:00:00"/>
    <x v="65"/>
    <d v="2022-07-29T00:00:00"/>
    <n v="220"/>
    <d v="2022-01-20T00:00:00"/>
    <n v="31321.4"/>
    <n v="142.37"/>
  </r>
  <r>
    <d v="2023-10-20T00:00:00"/>
    <x v="65"/>
    <d v="2023-08-21T00:00:00"/>
    <n v="220"/>
    <d v="2022-11-21T00:00:00"/>
    <n v="31321.4"/>
    <n v="142.37"/>
  </r>
  <r>
    <d v="2023-10-20T00:00:00"/>
    <x v="65"/>
    <d v="2023-08-21T00:00:00"/>
    <n v="220"/>
    <d v="2022-08-19T00:00:00"/>
    <n v="31321.4"/>
    <n v="142.37"/>
  </r>
  <r>
    <d v="2023-10-20T00:00:00"/>
    <x v="65"/>
    <d v="2023-08-21T00:00:00"/>
    <n v="220"/>
    <d v="2022-08-29T00:00:00"/>
    <n v="31321.4"/>
    <n v="142.37"/>
  </r>
  <r>
    <d v="2023-10-20T00:00:00"/>
    <x v="65"/>
    <d v="2023-08-21T00:00:00"/>
    <n v="440"/>
    <d v="2022-12-06T00:00:00"/>
    <n v="62642.8"/>
    <n v="142.37"/>
  </r>
  <r>
    <d v="2024-04-25T00:00:00"/>
    <x v="4"/>
    <d v="2022-10-03T00:00:00"/>
    <n v="120"/>
    <d v="2024-04-25T00:00:00"/>
    <n v="10766.4"/>
    <n v="89.72"/>
  </r>
  <r>
    <d v="2023-09-20T00:00:00"/>
    <x v="4"/>
    <d v="2023-09-11T00:00:00"/>
    <n v="360"/>
    <d v="2024-05-02T00:00:00"/>
    <n v="32299.200000000001"/>
    <n v="89.72"/>
  </r>
  <r>
    <d v="2024-05-22T00:00:00"/>
    <x v="4"/>
    <d v="2023-02-24T00:00:00"/>
    <n v="120"/>
    <d v="2023-04-17T00:00:00"/>
    <n v="10766.4"/>
    <n v="89.72"/>
  </r>
  <r>
    <d v="2024-08-08T00:00:00"/>
    <x v="4"/>
    <d v="2023-02-24T00:00:00"/>
    <n v="120"/>
    <d v="2023-06-30T00:00:00"/>
    <n v="10766.4"/>
    <n v="89.72"/>
  </r>
  <r>
    <d v="2024-01-17T00:00:00"/>
    <x v="4"/>
    <d v="2023-01-30T00:00:00"/>
    <n v="240"/>
    <d v="2023-12-22T00:00:00"/>
    <n v="21532.799999999999"/>
    <n v="89.72"/>
  </r>
  <r>
    <d v="2024-01-26T00:00:00"/>
    <x v="4"/>
    <d v="2023-02-08T00:00:00"/>
    <n v="360"/>
    <d v="2023-12-19T00:00:00"/>
    <n v="32299.200000000001"/>
    <n v="89.72"/>
  </r>
  <r>
    <d v="2024-01-31T00:00:00"/>
    <x v="4"/>
    <d v="2023-02-13T00:00:00"/>
    <n v="120"/>
    <d v="2024-01-23T00:00:00"/>
    <n v="10766.4"/>
    <n v="89.72"/>
  </r>
  <r>
    <d v="2024-02-20T00:00:00"/>
    <x v="6"/>
    <d v="2023-02-25T00:00:00"/>
    <n v="3780"/>
    <d v="2024-02-12T00:00:00"/>
    <n v="54280.800000000003"/>
    <n v="14.36"/>
  </r>
  <r>
    <d v="2023-09-19T00:00:00"/>
    <x v="66"/>
    <d v="2022-09-20T00:00:00"/>
    <n v="3024"/>
    <d v="2023-09-19T00:00:00"/>
    <n v="130243.68"/>
    <n v="43.07"/>
  </r>
  <r>
    <d v="2023-09-06T00:00:00"/>
    <x v="67"/>
    <d v="2023-08-31T00:00:00"/>
    <n v="252"/>
    <d v="2023-07-07T00:00:00"/>
    <n v="21089.88"/>
    <n v="83.69"/>
  </r>
  <r>
    <d v="2024-02-07T00:00:00"/>
    <x v="67"/>
    <d v="2023-02-21T00:00:00"/>
    <n v="252"/>
    <d v="2023-10-31T00:00:00"/>
    <n v="21089.88"/>
    <n v="83.69"/>
  </r>
  <r>
    <d v="2023-11-15T00:00:00"/>
    <x v="67"/>
    <d v="2023-02-21T00:00:00"/>
    <n v="252"/>
    <d v="2023-11-07T00:00:00"/>
    <n v="21089.88"/>
    <n v="83.69"/>
  </r>
  <r>
    <d v="2024-01-29T00:00:00"/>
    <x v="67"/>
    <d v="2023-02-27T00:00:00"/>
    <n v="504"/>
    <d v="2023-11-07T00:00:00"/>
    <n v="42179.76"/>
    <n v="83.69"/>
  </r>
  <r>
    <d v="2024-03-06T00:00:00"/>
    <x v="67"/>
    <d v="2023-02-27T00:00:00"/>
    <n v="252"/>
    <d v="2024-03-06T00:00:00"/>
    <n v="21089.88"/>
    <n v="83.69"/>
  </r>
  <r>
    <d v="2024-02-07T00:00:00"/>
    <x v="68"/>
    <d v="2023-02-21T00:00:00"/>
    <n v="252"/>
    <d v="2022-10-14T00:00:00"/>
    <n v="28002.240000000002"/>
    <n v="111.12"/>
  </r>
  <r>
    <d v="2024-02-07T00:00:00"/>
    <x v="68"/>
    <d v="2023-02-21T00:00:00"/>
    <n v="252"/>
    <d v="2023-09-26T00:00:00"/>
    <n v="28002.240000000002"/>
    <n v="111.12"/>
  </r>
  <r>
    <d v="2023-10-13T00:00:00"/>
    <x v="69"/>
    <d v="2023-08-21T00:00:00"/>
    <n v="120"/>
    <d v="2023-03-03T00:00:00"/>
    <n v="28645.200000000001"/>
    <n v="238.71"/>
  </r>
  <r>
    <d v="2024-01-17T00:00:00"/>
    <x v="3"/>
    <d v="2023-01-25T00:00:00"/>
    <n v="27000"/>
    <d v="2024-01-17T00:00:00"/>
    <n v="2700"/>
    <n v="0.1"/>
  </r>
  <r>
    <d v="2023-09-20T00:00:00"/>
    <x v="70"/>
    <d v="2022-10-03T00:00:00"/>
    <n v="400"/>
    <d v="2023-09-15T00:00:00"/>
    <n v="43968"/>
    <n v="109.92"/>
  </r>
  <r>
    <d v="2023-11-03T00:00:00"/>
    <x v="70"/>
    <d v="2022-10-04T00:00:00"/>
    <n v="600"/>
    <d v="2023-11-03T00:00:00"/>
    <n v="65952"/>
    <n v="109.92"/>
  </r>
  <r>
    <d v="2023-10-27T00:00:00"/>
    <x v="70"/>
    <d v="2022-10-03T00:00:00"/>
    <n v="200"/>
    <d v="2023-10-27T00:00:00"/>
    <n v="21984"/>
    <n v="109.92"/>
  </r>
  <r>
    <d v="2023-11-03T00:00:00"/>
    <x v="70"/>
    <d v="2022-11-17T00:00:00"/>
    <n v="600"/>
    <d v="2023-11-03T00:00:00"/>
    <n v="65952"/>
    <n v="109.92"/>
  </r>
  <r>
    <d v="2024-01-19T00:00:00"/>
    <x v="70"/>
    <d v="2023-01-10T00:00:00"/>
    <n v="600"/>
    <d v="2024-01-19T00:00:00"/>
    <n v="65952"/>
    <n v="109.92"/>
  </r>
  <r>
    <d v="2024-02-01T00:00:00"/>
    <x v="70"/>
    <d v="2023-01-18T00:00:00"/>
    <n v="600"/>
    <d v="2024-02-01T00:00:00"/>
    <n v="65952"/>
    <n v="109.92"/>
  </r>
  <r>
    <d v="2024-01-31T00:00:00"/>
    <x v="70"/>
    <d v="2023-02-13T00:00:00"/>
    <n v="400"/>
    <d v="2024-01-23T00:00:00"/>
    <n v="43968"/>
    <n v="109.92"/>
  </r>
  <r>
    <d v="2024-03-22T00:00:00"/>
    <x v="70"/>
    <d v="2023-02-25T00:00:00"/>
    <n v="600"/>
    <d v="2024-03-22T00:00:00"/>
    <n v="65952"/>
    <n v="109.92"/>
  </r>
  <r>
    <d v="2024-02-12T00:00:00"/>
    <x v="70"/>
    <d v="2023-02-25T00:00:00"/>
    <n v="600"/>
    <d v="2024-02-07T00:00:00"/>
    <n v="65952"/>
    <n v="109.92"/>
  </r>
  <r>
    <d v="2024-04-12T00:00:00"/>
    <x v="70"/>
    <d v="2023-03-14T00:00:00"/>
    <n v="600"/>
    <d v="2024-04-12T00:00:00"/>
    <n v="65952"/>
    <n v="109.92"/>
  </r>
  <r>
    <d v="2024-07-03T00:00:00"/>
    <x v="70"/>
    <d v="2023-07-17T00:00:00"/>
    <n v="600"/>
    <d v="2024-06-20T00:00:00"/>
    <n v="65952"/>
    <n v="109.92"/>
  </r>
  <r>
    <d v="2024-07-18T00:00:00"/>
    <x v="70"/>
    <d v="2023-08-01T00:00:00"/>
    <n v="800"/>
    <d v="2024-07-18T00:00:00"/>
    <n v="87936"/>
    <n v="109.92"/>
  </r>
  <r>
    <d v="2024-08-01T00:00:00"/>
    <x v="70"/>
    <d v="2023-08-07T00:00:00"/>
    <n v="400"/>
    <d v="2024-08-01T00:00:00"/>
    <n v="43968"/>
    <n v="109.92"/>
  </r>
  <r>
    <d v="2024-08-15T00:00:00"/>
    <x v="70"/>
    <d v="2023-08-20T00:00:00"/>
    <n v="200"/>
    <d v="2024-08-15T00:00:00"/>
    <n v="21984"/>
    <n v="109.92"/>
  </r>
  <r>
    <d v="2023-09-22T00:00:00"/>
    <x v="71"/>
    <d v="2023-01-30T00:00:00"/>
    <n v="120"/>
    <d v="2022-09-30T00:00:00"/>
    <n v="51414"/>
    <n v="428.45"/>
  </r>
  <r>
    <d v="2023-09-22T00:00:00"/>
    <x v="71"/>
    <d v="2023-01-30T00:00:00"/>
    <n v="120"/>
    <d v="2022-09-30T00:00:00"/>
    <n v="51414"/>
    <n v="428.45"/>
  </r>
  <r>
    <d v="2023-09-22T00:00:00"/>
    <x v="71"/>
    <d v="2023-01-30T00:00:00"/>
    <n v="810"/>
    <d v="2022-10-03T00:00:00"/>
    <n v="347044.5"/>
    <n v="428.45"/>
  </r>
  <r>
    <d v="2023-09-22T00:00:00"/>
    <x v="71"/>
    <d v="2023-01-30T00:00:00"/>
    <n v="450"/>
    <d v="2022-10-17T00:00:00"/>
    <n v="192802.5"/>
    <n v="428.45"/>
  </r>
  <r>
    <d v="2023-09-22T00:00:00"/>
    <x v="71"/>
    <d v="2023-01-30T00:00:00"/>
    <n v="120"/>
    <d v="2022-10-17T00:00:00"/>
    <n v="51414"/>
    <n v="428.45"/>
  </r>
  <r>
    <d v="2023-09-22T00:00:00"/>
    <x v="71"/>
    <d v="2023-01-30T00:00:00"/>
    <n v="2880"/>
    <d v="2022-10-13T00:00:00"/>
    <n v="1233936"/>
    <n v="428.45"/>
  </r>
  <r>
    <d v="2023-09-15T00:00:00"/>
    <x v="71"/>
    <d v="2023-09-06T00:00:00"/>
    <n v="900"/>
    <d v="2023-08-04T00:00:00"/>
    <n v="385605"/>
    <n v="428.45"/>
  </r>
  <r>
    <d v="2023-10-25T00:00:00"/>
    <x v="71"/>
    <d v="2023-09-11T00:00:00"/>
    <n v="330"/>
    <d v="2023-09-25T00:00:00"/>
    <n v="141388.5"/>
    <n v="428.45"/>
  </r>
  <r>
    <d v="2023-10-25T00:00:00"/>
    <x v="71"/>
    <d v="2023-09-11T00:00:00"/>
    <n v="3960"/>
    <d v="2023-09-25T00:00:00"/>
    <n v="1696662"/>
    <n v="428.45"/>
  </r>
  <r>
    <d v="2024-02-07T00:00:00"/>
    <x v="71"/>
    <d v="2023-02-10T00:00:00"/>
    <n v="1800"/>
    <d v="2024-01-30T00:00:00"/>
    <n v="771210"/>
    <n v="428.45"/>
  </r>
  <r>
    <d v="2024-02-02T00:00:00"/>
    <x v="71"/>
    <d v="2023-02-10T00:00:00"/>
    <n v="1560"/>
    <d v="2024-01-08T00:00:00"/>
    <n v="668382"/>
    <n v="428.45"/>
  </r>
  <r>
    <d v="2024-03-15T00:00:00"/>
    <x v="71"/>
    <d v="2023-03-09T00:00:00"/>
    <n v="2220"/>
    <d v="2024-03-08T00:00:00"/>
    <n v="951159"/>
    <n v="428.45"/>
  </r>
  <r>
    <d v="2025-07-25T00:00:00"/>
    <x v="71"/>
    <d v="2023-06-15T00:00:00"/>
    <n v="30"/>
    <d v="2025-07-18T00:00:00"/>
    <n v="12853.5"/>
    <n v="428.45"/>
  </r>
  <r>
    <d v="2023-09-15T00:00:00"/>
    <x v="72"/>
    <d v="2023-09-06T00:00:00"/>
    <n v="576"/>
    <d v="2023-07-17T00:00:00"/>
    <n v="230204.16"/>
    <n v="399.66"/>
  </r>
  <r>
    <d v="2024-05-15T00:00:00"/>
    <x v="72"/>
    <d v="2023-05-02T00:00:00"/>
    <n v="576"/>
    <d v="2024-05-08T00:00:00"/>
    <n v="230204.16"/>
    <n v="399.66"/>
  </r>
  <r>
    <d v="2024-06-28T00:00:00"/>
    <x v="72"/>
    <d v="2023-06-28T00:00:00"/>
    <n v="576"/>
    <d v="2024-06-21T00:00:00"/>
    <n v="230204.16"/>
    <n v="399.66"/>
  </r>
  <r>
    <d v="2024-08-28T00:00:00"/>
    <x v="72"/>
    <d v="2023-09-06T00:00:00"/>
    <n v="1152"/>
    <d v="2024-08-27T00:00:00"/>
    <n v="460408.32000000001"/>
    <n v="399.66"/>
  </r>
  <r>
    <d v="2023-11-22T00:00:00"/>
    <x v="73"/>
    <d v="2022-07-29T00:00:00"/>
    <n v="1008"/>
    <d v="2023-11-14T00:00:00"/>
    <n v="71648.639999999999"/>
    <n v="71.08"/>
  </r>
  <r>
    <d v="2023-11-28T00:00:00"/>
    <x v="74"/>
    <d v="2022-07-29T00:00:00"/>
    <n v="308"/>
    <d v="2023-11-16T00:00:00"/>
    <n v="26281.64"/>
    <n v="85.33"/>
  </r>
  <r>
    <d v="2023-12-01T00:00:00"/>
    <x v="74"/>
    <d v="2022-12-09T00:00:00"/>
    <n v="308"/>
    <d v="2023-11-16T00:00:00"/>
    <n v="26281.64"/>
    <n v="85.33"/>
  </r>
  <r>
    <d v="2023-09-22T00:00:00"/>
    <x v="75"/>
    <d v="2022-07-29T00:00:00"/>
    <n v="840"/>
    <d v="2022-06-17T00:00:00"/>
    <n v="12902.4"/>
    <n v="15.36"/>
  </r>
  <r>
    <d v="2024-01-23T00:00:00"/>
    <x v="75"/>
    <d v="2022-12-05T00:00:00"/>
    <n v="840"/>
    <d v="2024-01-23T00:00:00"/>
    <n v="12902.4"/>
    <n v="15.36"/>
  </r>
  <r>
    <d v="2024-03-12T00:00:00"/>
    <x v="75"/>
    <d v="2022-12-05T00:00:00"/>
    <n v="840"/>
    <d v="2024-03-12T00:00:00"/>
    <n v="12902.4"/>
    <n v="15.36"/>
  </r>
  <r>
    <d v="2024-04-24T00:00:00"/>
    <x v="75"/>
    <d v="2022-12-12T00:00:00"/>
    <n v="840"/>
    <d v="2024-04-17T00:00:00"/>
    <n v="12902.4"/>
    <n v="15.36"/>
  </r>
  <r>
    <d v="2024-05-16T00:00:00"/>
    <x v="75"/>
    <d v="2023-01-17T00:00:00"/>
    <n v="420"/>
    <d v="2024-05-16T00:00:00"/>
    <n v="6451.2"/>
    <n v="15.36"/>
  </r>
  <r>
    <d v="2024-06-24T00:00:00"/>
    <x v="75"/>
    <d v="2023-03-13T00:00:00"/>
    <n v="840"/>
    <d v="2024-06-24T00:00:00"/>
    <n v="12902.4"/>
    <n v="15.36"/>
  </r>
  <r>
    <d v="2023-10-06T00:00:00"/>
    <x v="15"/>
    <d v="2023-08-03T00:00:00"/>
    <n v="1820"/>
    <d v="2022-08-01T00:00:00"/>
    <n v="4459"/>
    <n v="2.4500000000000002"/>
  </r>
  <r>
    <d v="2023-10-06T00:00:00"/>
    <x v="15"/>
    <d v="2023-08-03T00:00:00"/>
    <n v="1820"/>
    <d v="2022-08-08T00:00:00"/>
    <n v="4459"/>
    <n v="2.4500000000000002"/>
  </r>
  <r>
    <d v="2023-10-06T00:00:00"/>
    <x v="15"/>
    <d v="2023-08-03T00:00:00"/>
    <n v="1820"/>
    <d v="2022-08-15T00:00:00"/>
    <n v="4459"/>
    <n v="2.4500000000000002"/>
  </r>
  <r>
    <d v="2023-10-06T00:00:00"/>
    <x v="15"/>
    <d v="2023-08-03T00:00:00"/>
    <n v="1820"/>
    <d v="2022-08-29T00:00:00"/>
    <n v="4459"/>
    <n v="2.4500000000000002"/>
  </r>
  <r>
    <d v="2023-10-06T00:00:00"/>
    <x v="15"/>
    <d v="2023-08-03T00:00:00"/>
    <n v="1820"/>
    <d v="2022-08-26T00:00:00"/>
    <n v="4459"/>
    <n v="2.4500000000000002"/>
  </r>
  <r>
    <d v="2023-10-03T00:00:00"/>
    <x v="15"/>
    <d v="2022-09-07T00:00:00"/>
    <n v="7280"/>
    <d v="2023-10-03T00:00:00"/>
    <n v="17836"/>
    <n v="2.4500000000000002"/>
  </r>
  <r>
    <d v="2024-08-20T00:00:00"/>
    <x v="15"/>
    <d v="2023-08-20T00:00:00"/>
    <n v="1820"/>
    <d v="2024-08-20T00:00:00"/>
    <n v="4459"/>
    <n v="2.4500000000000002"/>
  </r>
  <r>
    <d v="2023-09-14T00:00:00"/>
    <x v="76"/>
    <d v="2022-08-15T00:00:00"/>
    <n v="84"/>
    <d v="2023-09-14T00:00:00"/>
    <n v="11361"/>
    <n v="135.25"/>
  </r>
  <r>
    <d v="2023-10-12T00:00:00"/>
    <x v="76"/>
    <d v="2022-09-07T00:00:00"/>
    <n v="84"/>
    <d v="2023-10-12T00:00:00"/>
    <n v="11361"/>
    <n v="135.25"/>
  </r>
  <r>
    <d v="2023-10-13T00:00:00"/>
    <x v="76"/>
    <d v="2023-08-21T00:00:00"/>
    <n v="84"/>
    <d v="2023-07-20T00:00:00"/>
    <n v="11361"/>
    <n v="135.25"/>
  </r>
  <r>
    <d v="2023-11-09T00:00:00"/>
    <x v="76"/>
    <d v="2023-02-21T00:00:00"/>
    <n v="84"/>
    <d v="2023-11-02T00:00:00"/>
    <n v="11361"/>
    <n v="135.25"/>
  </r>
  <r>
    <d v="2023-10-13T00:00:00"/>
    <x v="76"/>
    <d v="2023-08-21T00:00:00"/>
    <n v="84"/>
    <d v="2023-06-22T00:00:00"/>
    <n v="11361"/>
    <n v="135.25"/>
  </r>
  <r>
    <d v="2023-11-03T00:00:00"/>
    <x v="76"/>
    <d v="2023-02-15T00:00:00"/>
    <n v="168"/>
    <d v="2023-07-06T00:00:00"/>
    <n v="22722"/>
    <n v="135.25"/>
  </r>
  <r>
    <d v="2024-03-25T00:00:00"/>
    <x v="76"/>
    <d v="2023-02-25T00:00:00"/>
    <n v="84"/>
    <d v="2024-03-25T00:00:00"/>
    <n v="11361"/>
    <n v="135.25"/>
  </r>
  <r>
    <d v="2024-03-11T00:00:00"/>
    <x v="76"/>
    <d v="2023-03-23T00:00:00"/>
    <n v="1092"/>
    <d v="2023-04-10T00:00:00"/>
    <n v="147693"/>
    <n v="135.25"/>
  </r>
  <r>
    <d v="2024-04-17T00:00:00"/>
    <x v="76"/>
    <d v="2023-03-28T00:00:00"/>
    <n v="84"/>
    <d v="2024-04-17T00:00:00"/>
    <n v="11361"/>
    <n v="135.25"/>
  </r>
  <r>
    <d v="2024-05-15T00:00:00"/>
    <x v="76"/>
    <d v="2023-04-11T00:00:00"/>
    <n v="84"/>
    <d v="2024-05-15T00:00:00"/>
    <n v="11361"/>
    <n v="135.25"/>
  </r>
  <r>
    <d v="2023-11-03T00:00:00"/>
    <x v="77"/>
    <d v="2023-08-15T00:00:00"/>
    <n v="588"/>
    <d v="2023-02-08T00:00:00"/>
    <n v="60722.76"/>
    <n v="103.27"/>
  </r>
  <r>
    <d v="2023-10-25T00:00:00"/>
    <x v="21"/>
    <d v="2022-07-29T00:00:00"/>
    <n v="1120"/>
    <d v="2023-10-18T00:00:00"/>
    <n v="60737.599999999999"/>
    <n v="54.23"/>
  </r>
  <r>
    <d v="2024-05-08T00:00:00"/>
    <x v="21"/>
    <d v="2022-10-12T00:00:00"/>
    <n v="1120"/>
    <d v="2024-05-08T00:00:00"/>
    <n v="60737.599999999999"/>
    <n v="54.23"/>
  </r>
  <r>
    <d v="2024-02-16T00:00:00"/>
    <x v="78"/>
    <d v="2023-08-23T00:00:00"/>
    <n v="3528"/>
    <d v="2023-10-24T00:00:00"/>
    <n v="325951.92"/>
    <n v="92.39"/>
  </r>
  <r>
    <d v="2024-02-16T00:00:00"/>
    <x v="78"/>
    <d v="2023-08-23T00:00:00"/>
    <n v="3528"/>
    <d v="2023-10-24T00:00:00"/>
    <n v="325951.92"/>
    <n v="92.39"/>
  </r>
  <r>
    <d v="2023-09-22T00:00:00"/>
    <x v="79"/>
    <d v="2022-07-29T00:00:00"/>
    <n v="210"/>
    <d v="2022-04-14T00:00:00"/>
    <n v="85113"/>
    <n v="405.3"/>
  </r>
  <r>
    <d v="2023-09-22T00:00:00"/>
    <x v="79"/>
    <d v="2022-07-29T00:00:00"/>
    <n v="700"/>
    <d v="2022-04-14T00:00:00"/>
    <n v="283710"/>
    <n v="405.3"/>
  </r>
  <r>
    <d v="2023-09-22T00:00:00"/>
    <x v="79"/>
    <d v="2022-07-29T00:00:00"/>
    <n v="980"/>
    <d v="2022-05-13T00:00:00"/>
    <n v="397194"/>
    <n v="405.3"/>
  </r>
  <r>
    <d v="2023-09-22T00:00:00"/>
    <x v="79"/>
    <d v="2022-07-29T00:00:00"/>
    <n v="420"/>
    <d v="2022-05-27T00:00:00"/>
    <n v="170226"/>
    <n v="405.3"/>
  </r>
  <r>
    <d v="2023-09-22T00:00:00"/>
    <x v="79"/>
    <d v="2022-07-29T00:00:00"/>
    <n v="350"/>
    <d v="2022-05-27T00:00:00"/>
    <n v="141855"/>
    <n v="405.3"/>
  </r>
  <r>
    <d v="2023-09-22T00:00:00"/>
    <x v="79"/>
    <d v="2022-07-29T00:00:00"/>
    <n v="490"/>
    <d v="2022-05-27T00:00:00"/>
    <n v="198597"/>
    <n v="405.3"/>
  </r>
  <r>
    <d v="2023-09-19T00:00:00"/>
    <x v="79"/>
    <d v="2023-09-08T00:00:00"/>
    <n v="280"/>
    <d v="2023-09-12T00:00:00"/>
    <n v="113484"/>
    <n v="405.3"/>
  </r>
  <r>
    <d v="2023-10-03T00:00:00"/>
    <x v="79"/>
    <d v="2022-09-07T00:00:00"/>
    <n v="140"/>
    <d v="2023-10-03T00:00:00"/>
    <n v="56742"/>
    <n v="405.3"/>
  </r>
  <r>
    <d v="2023-10-10T00:00:00"/>
    <x v="79"/>
    <d v="2022-09-20T00:00:00"/>
    <n v="560"/>
    <d v="2023-10-10T00:00:00"/>
    <n v="226968"/>
    <n v="405.3"/>
  </r>
  <r>
    <d v="2023-09-19T00:00:00"/>
    <x v="80"/>
    <d v="2023-09-08T00:00:00"/>
    <n v="140"/>
    <d v="2023-09-12T00:00:00"/>
    <n v="58604"/>
    <n v="418.6"/>
  </r>
  <r>
    <d v="2023-10-13T00:00:00"/>
    <x v="80"/>
    <d v="2022-09-20T00:00:00"/>
    <n v="210"/>
    <d v="2023-10-13T00:00:00"/>
    <n v="87906"/>
    <n v="418.6"/>
  </r>
  <r>
    <d v="2023-09-22T00:00:00"/>
    <x v="81"/>
    <d v="2022-07-29T00:00:00"/>
    <n v="210"/>
    <d v="2022-04-25T00:00:00"/>
    <n v="78649.2"/>
    <n v="374.52"/>
  </r>
  <r>
    <d v="2023-09-22T00:00:00"/>
    <x v="81"/>
    <d v="2022-07-29T00:00:00"/>
    <n v="560"/>
    <d v="2022-05-16T00:00:00"/>
    <n v="209731.20000000001"/>
    <n v="374.52"/>
  </r>
  <r>
    <d v="2023-09-22T00:00:00"/>
    <x v="81"/>
    <d v="2022-07-29T00:00:00"/>
    <n v="70"/>
    <d v="2022-06-03T00:00:00"/>
    <n v="26216.400000000001"/>
    <n v="374.52"/>
  </r>
  <r>
    <d v="2023-09-22T00:00:00"/>
    <x v="81"/>
    <d v="2022-07-29T00:00:00"/>
    <n v="280"/>
    <d v="2022-06-17T00:00:00"/>
    <n v="104865.60000000001"/>
    <n v="374.52"/>
  </r>
  <r>
    <d v="2023-09-22T00:00:00"/>
    <x v="81"/>
    <d v="2022-07-29T00:00:00"/>
    <n v="210"/>
    <d v="2022-06-17T00:00:00"/>
    <n v="78649.2"/>
    <n v="374.52"/>
  </r>
  <r>
    <d v="2023-09-22T00:00:00"/>
    <x v="81"/>
    <d v="2022-07-29T00:00:00"/>
    <n v="280"/>
    <d v="2022-06-17T00:00:00"/>
    <n v="104865.60000000001"/>
    <n v="374.52"/>
  </r>
  <r>
    <d v="2023-09-22T00:00:00"/>
    <x v="81"/>
    <d v="2022-07-29T00:00:00"/>
    <n v="210"/>
    <d v="2022-06-30T00:00:00"/>
    <n v="78649.2"/>
    <n v="374.52"/>
  </r>
  <r>
    <d v="2023-09-22T00:00:00"/>
    <x v="81"/>
    <d v="2022-07-29T00:00:00"/>
    <n v="350"/>
    <d v="2022-06-30T00:00:00"/>
    <n v="131082"/>
    <n v="374.52"/>
  </r>
  <r>
    <d v="2023-09-22T00:00:00"/>
    <x v="81"/>
    <d v="2022-07-29T00:00:00"/>
    <n v="560"/>
    <d v="2022-07-01T00:00:00"/>
    <n v="209731.20000000001"/>
    <n v="374.52"/>
  </r>
  <r>
    <d v="2023-09-19T00:00:00"/>
    <x v="81"/>
    <d v="2022-08-22T00:00:00"/>
    <n v="210"/>
    <d v="2023-09-19T00:00:00"/>
    <n v="78649.2"/>
    <n v="374.52"/>
  </r>
  <r>
    <d v="2023-09-26T00:00:00"/>
    <x v="81"/>
    <d v="2022-08-29T00:00:00"/>
    <n v="280"/>
    <d v="2023-09-26T00:00:00"/>
    <n v="104865.60000000001"/>
    <n v="374.52"/>
  </r>
  <r>
    <d v="2023-10-03T00:00:00"/>
    <x v="81"/>
    <d v="2022-09-07T00:00:00"/>
    <n v="280"/>
    <d v="2023-10-03T00:00:00"/>
    <n v="104865.60000000001"/>
    <n v="374.52"/>
  </r>
  <r>
    <d v="2023-10-10T00:00:00"/>
    <x v="81"/>
    <d v="2022-09-20T00:00:00"/>
    <n v="490"/>
    <d v="2023-10-10T00:00:00"/>
    <n v="183514.8"/>
    <n v="374.52"/>
  </r>
  <r>
    <d v="2024-04-01T00:00:00"/>
    <x v="82"/>
    <d v="2023-05-02T00:00:00"/>
    <n v="280"/>
    <d v="2023-07-11T00:00:00"/>
    <n v="190106"/>
    <n v="678.95"/>
  </r>
  <r>
    <d v="2024-01-12T00:00:00"/>
    <x v="82"/>
    <d v="2023-08-23T00:00:00"/>
    <n v="70"/>
    <d v="2023-07-21T00:00:00"/>
    <n v="47526.5"/>
    <n v="678.95"/>
  </r>
  <r>
    <d v="2024-04-01T00:00:00"/>
    <x v="82"/>
    <d v="2023-05-02T00:00:00"/>
    <n v="140"/>
    <d v="2023-07-28T00:00:00"/>
    <n v="95053"/>
    <n v="678.95"/>
  </r>
  <r>
    <d v="2024-04-01T00:00:00"/>
    <x v="82"/>
    <d v="2023-05-02T00:00:00"/>
    <n v="280"/>
    <d v="2023-08-01T00:00:00"/>
    <n v="190106"/>
    <n v="678.95"/>
  </r>
  <r>
    <d v="2024-04-01T00:00:00"/>
    <x v="82"/>
    <d v="2023-05-02T00:00:00"/>
    <n v="210"/>
    <d v="2023-08-04T00:00:00"/>
    <n v="142579.5"/>
    <n v="678.95"/>
  </r>
  <r>
    <d v="2024-04-01T00:00:00"/>
    <x v="82"/>
    <d v="2023-05-02T00:00:00"/>
    <n v="280"/>
    <d v="2023-08-15T00:00:00"/>
    <n v="190106"/>
    <n v="678.95"/>
  </r>
  <r>
    <d v="2024-04-01T00:00:00"/>
    <x v="82"/>
    <d v="2023-05-02T00:00:00"/>
    <n v="420"/>
    <d v="2023-08-18T00:00:00"/>
    <n v="285159"/>
    <n v="678.95"/>
  </r>
  <r>
    <d v="2024-04-01T00:00:00"/>
    <x v="82"/>
    <d v="2023-05-02T00:00:00"/>
    <n v="140"/>
    <d v="2023-08-15T00:00:00"/>
    <n v="95053"/>
    <n v="678.95"/>
  </r>
  <r>
    <d v="2024-04-01T00:00:00"/>
    <x v="82"/>
    <d v="2023-05-02T00:00:00"/>
    <n v="140"/>
    <d v="2023-09-19T00:00:00"/>
    <n v="95053"/>
    <n v="678.95"/>
  </r>
  <r>
    <d v="2024-01-12T00:00:00"/>
    <x v="82"/>
    <d v="2023-08-23T00:00:00"/>
    <n v="210"/>
    <d v="2023-09-26T00:00:00"/>
    <n v="142579.5"/>
    <n v="678.95"/>
  </r>
  <r>
    <d v="2024-01-12T00:00:00"/>
    <x v="82"/>
    <d v="2023-08-23T00:00:00"/>
    <n v="420"/>
    <d v="2023-10-10T00:00:00"/>
    <n v="285159"/>
    <n v="678.95"/>
  </r>
  <r>
    <d v="2024-04-01T00:00:00"/>
    <x v="82"/>
    <d v="2023-05-02T00:00:00"/>
    <n v="140"/>
    <d v="2023-09-12T00:00:00"/>
    <n v="95053"/>
    <n v="678.95"/>
  </r>
  <r>
    <d v="2024-01-12T00:00:00"/>
    <x v="82"/>
    <d v="2023-08-23T00:00:00"/>
    <n v="280"/>
    <d v="2023-10-17T00:00:00"/>
    <n v="190106"/>
    <n v="678.95"/>
  </r>
  <r>
    <d v="2024-01-12T00:00:00"/>
    <x v="82"/>
    <d v="2023-08-23T00:00:00"/>
    <n v="280"/>
    <d v="2023-10-03T00:00:00"/>
    <n v="190106"/>
    <n v="678.95"/>
  </r>
  <r>
    <d v="2024-02-16T00:00:00"/>
    <x v="82"/>
    <d v="2023-08-23T00:00:00"/>
    <n v="210"/>
    <d v="2023-10-24T00:00:00"/>
    <n v="142579.5"/>
    <n v="678.95"/>
  </r>
  <r>
    <d v="2024-02-16T00:00:00"/>
    <x v="82"/>
    <d v="2023-08-23T00:00:00"/>
    <n v="910"/>
    <d v="2023-10-31T00:00:00"/>
    <n v="617844.5"/>
    <n v="678.95"/>
  </r>
  <r>
    <d v="2024-02-16T00:00:00"/>
    <x v="82"/>
    <d v="2023-08-23T00:00:00"/>
    <n v="210"/>
    <d v="2023-10-24T00:00:00"/>
    <n v="142579.5"/>
    <n v="678.95"/>
  </r>
  <r>
    <d v="2023-12-26T00:00:00"/>
    <x v="82"/>
    <d v="2022-07-29T00:00:00"/>
    <n v="280"/>
    <d v="2023-12-18T00:00:00"/>
    <n v="190106"/>
    <n v="678.95"/>
  </r>
  <r>
    <d v="2024-01-02T00:00:00"/>
    <x v="82"/>
    <d v="2022-07-29T00:00:00"/>
    <n v="280"/>
    <d v="2023-12-22T00:00:00"/>
    <n v="190106"/>
    <n v="678.95"/>
  </r>
  <r>
    <d v="2023-11-27T00:00:00"/>
    <x v="82"/>
    <d v="2023-08-25T00:00:00"/>
    <n v="70"/>
    <d v="2023-11-16T00:00:00"/>
    <n v="47526.5"/>
    <n v="678.95"/>
  </r>
  <r>
    <d v="2023-12-26T00:00:00"/>
    <x v="82"/>
    <d v="2022-08-22T00:00:00"/>
    <n v="560"/>
    <d v="2023-12-18T00:00:00"/>
    <n v="380212"/>
    <n v="678.95"/>
  </r>
  <r>
    <d v="2024-01-09T00:00:00"/>
    <x v="82"/>
    <d v="2022-08-29T00:00:00"/>
    <n v="770"/>
    <d v="2024-01-02T00:00:00"/>
    <n v="522791.5"/>
    <n v="678.95"/>
  </r>
  <r>
    <d v="2023-09-22T00:00:00"/>
    <x v="83"/>
    <d v="2023-01-25T00:00:00"/>
    <n v="3000"/>
    <d v="2023-09-22T00:00:00"/>
    <n v="3570"/>
    <n v="1.19"/>
  </r>
  <r>
    <d v="2023-09-22T00:00:00"/>
    <x v="83"/>
    <d v="2023-01-25T00:00:00"/>
    <n v="3000"/>
    <d v="2023-09-22T00:00:00"/>
    <n v="3570"/>
    <n v="1.19"/>
  </r>
  <r>
    <d v="2023-11-01T00:00:00"/>
    <x v="83"/>
    <d v="2023-01-25T00:00:00"/>
    <n v="3000"/>
    <d v="2023-11-01T00:00:00"/>
    <n v="3570"/>
    <n v="1.19"/>
  </r>
  <r>
    <d v="2023-12-22T00:00:00"/>
    <x v="83"/>
    <d v="2023-01-25T00:00:00"/>
    <n v="3000"/>
    <d v="2023-12-22T00:00:00"/>
    <n v="3570"/>
    <n v="1.19"/>
  </r>
  <r>
    <d v="2023-11-17T00:00:00"/>
    <x v="84"/>
    <d v="2023-08-24T00:00:00"/>
    <n v="3000"/>
    <d v="2023-10-17T00:00:00"/>
    <n v="3840"/>
    <n v="1.28"/>
  </r>
  <r>
    <d v="2023-11-03T00:00:00"/>
    <x v="28"/>
    <d v="2023-02-21T00:00:00"/>
    <n v="252"/>
    <d v="2023-10-27T00:00:00"/>
    <n v="17062.919999999998"/>
    <n v="67.709999999999994"/>
  </r>
  <r>
    <d v="2023-12-01T00:00:00"/>
    <x v="28"/>
    <d v="2023-02-21T00:00:00"/>
    <n v="252"/>
    <d v="2023-11-24T00:00:00"/>
    <n v="17062.919999999998"/>
    <n v="67.709999999999994"/>
  </r>
  <r>
    <d v="2024-01-02T00:00:00"/>
    <x v="28"/>
    <d v="2023-02-21T00:00:00"/>
    <n v="252"/>
    <d v="2023-12-22T00:00:00"/>
    <n v="17062.919999999998"/>
    <n v="67.709999999999994"/>
  </r>
  <r>
    <d v="2024-02-09T00:00:00"/>
    <x v="85"/>
    <d v="2023-04-06T00:00:00"/>
    <n v="60"/>
    <d v="2023-04-25T00:00:00"/>
    <n v="44470.8"/>
    <n v="741.18"/>
  </r>
  <r>
    <d v="2024-06-04T00:00:00"/>
    <x v="85"/>
    <d v="2023-01-31T00:00:00"/>
    <n v="360"/>
    <d v="2024-05-28T00:00:00"/>
    <n v="266824.8"/>
    <n v="741.18"/>
  </r>
  <r>
    <d v="2024-06-04T00:00:00"/>
    <x v="85"/>
    <d v="2023-01-31T00:00:00"/>
    <n v="360"/>
    <d v="2024-05-28T00:00:00"/>
    <n v="266824.8"/>
    <n v="741.18"/>
  </r>
  <r>
    <d v="2024-06-04T00:00:00"/>
    <x v="85"/>
    <d v="2023-01-31T00:00:00"/>
    <n v="90"/>
    <d v="2024-05-28T00:00:00"/>
    <n v="66706.2"/>
    <n v="741.18"/>
  </r>
  <r>
    <d v="2023-12-04T00:00:00"/>
    <x v="85"/>
    <d v="2023-01-31T00:00:00"/>
    <n v="330"/>
    <d v="2023-11-27T00:00:00"/>
    <n v="244589.4"/>
    <n v="741.18"/>
  </r>
  <r>
    <d v="2023-09-25T00:00:00"/>
    <x v="85"/>
    <d v="2023-01-31T00:00:00"/>
    <n v="180"/>
    <d v="2023-09-18T00:00:00"/>
    <n v="133412.4"/>
    <n v="741.18"/>
  </r>
  <r>
    <d v="2023-12-04T00:00:00"/>
    <x v="85"/>
    <d v="2023-01-31T00:00:00"/>
    <n v="330"/>
    <d v="2023-11-27T00:00:00"/>
    <n v="244589.4"/>
    <n v="741.18"/>
  </r>
  <r>
    <d v="2023-10-05T00:00:00"/>
    <x v="85"/>
    <d v="2023-01-31T00:00:00"/>
    <n v="330"/>
    <d v="2023-09-28T00:00:00"/>
    <n v="244589.4"/>
    <n v="741.18"/>
  </r>
  <r>
    <d v="2023-12-04T00:00:00"/>
    <x v="85"/>
    <d v="2023-01-31T00:00:00"/>
    <n v="330"/>
    <d v="2023-11-27T00:00:00"/>
    <n v="244589.4"/>
    <n v="741.18"/>
  </r>
  <r>
    <d v="2023-09-18T00:00:00"/>
    <x v="85"/>
    <d v="2023-09-07T00:00:00"/>
    <n v="1290"/>
    <d v="2023-07-28T00:00:00"/>
    <n v="956122.2"/>
    <n v="741.18"/>
  </r>
  <r>
    <d v="2023-09-19T00:00:00"/>
    <x v="85"/>
    <d v="2023-09-08T00:00:00"/>
    <n v="810"/>
    <d v="2023-09-11T00:00:00"/>
    <n v="600355.80000000005"/>
    <n v="741.18"/>
  </r>
  <r>
    <d v="2023-10-05T00:00:00"/>
    <x v="85"/>
    <d v="2023-01-31T00:00:00"/>
    <n v="360"/>
    <d v="2023-09-28T00:00:00"/>
    <n v="266824.8"/>
    <n v="741.18"/>
  </r>
  <r>
    <d v="2023-10-26T00:00:00"/>
    <x v="85"/>
    <d v="2023-01-31T00:00:00"/>
    <n v="510"/>
    <d v="2023-10-19T00:00:00"/>
    <n v="378001.8"/>
    <n v="741.18"/>
  </r>
  <r>
    <d v="2023-11-06T00:00:00"/>
    <x v="85"/>
    <d v="2023-01-31T00:00:00"/>
    <n v="870"/>
    <d v="2023-10-30T00:00:00"/>
    <n v="644826.6"/>
    <n v="741.18"/>
  </r>
  <r>
    <d v="2023-12-04T00:00:00"/>
    <x v="85"/>
    <d v="2023-01-31T00:00:00"/>
    <n v="150"/>
    <d v="2023-11-27T00:00:00"/>
    <n v="111177"/>
    <n v="741.18"/>
  </r>
  <r>
    <d v="2024-05-09T00:00:00"/>
    <x v="85"/>
    <d v="2023-05-15T00:00:00"/>
    <n v="2370"/>
    <d v="2024-05-02T00:00:00"/>
    <n v="1756596.6"/>
    <n v="741.18"/>
  </r>
  <r>
    <d v="2024-04-29T00:00:00"/>
    <x v="85"/>
    <d v="2023-05-15T00:00:00"/>
    <n v="1080"/>
    <d v="2024-04-22T00:00:00"/>
    <n v="800474.4"/>
    <n v="741.18"/>
  </r>
  <r>
    <d v="2024-01-12T00:00:00"/>
    <x v="86"/>
    <d v="2023-08-23T00:00:00"/>
    <n v="160"/>
    <d v="2023-04-11T00:00:00"/>
    <n v="136057.60000000001"/>
    <n v="850.36"/>
  </r>
  <r>
    <d v="2024-01-12T00:00:00"/>
    <x v="86"/>
    <d v="2023-08-23T00:00:00"/>
    <n v="64"/>
    <d v="2023-04-18T00:00:00"/>
    <n v="54423.040000000001"/>
    <n v="850.36"/>
  </r>
  <r>
    <d v="2023-11-29T00:00:00"/>
    <x v="86"/>
    <d v="2022-12-12T00:00:00"/>
    <n v="608"/>
    <d v="2023-11-15T00:00:00"/>
    <n v="517018.88"/>
    <n v="850.36"/>
  </r>
  <r>
    <d v="2023-12-22T00:00:00"/>
    <x v="86"/>
    <d v="2023-01-03T00:00:00"/>
    <n v="576"/>
    <d v="2023-12-22T00:00:00"/>
    <n v="489807.35999999999"/>
    <n v="850.36"/>
  </r>
  <r>
    <d v="2023-10-03T00:00:00"/>
    <x v="87"/>
    <d v="2022-10-16T00:00:00"/>
    <n v="55"/>
    <d v="2023-09-25T00:00:00"/>
    <n v="9579.9"/>
    <n v="174.18"/>
  </r>
  <r>
    <d v="2023-10-24T00:00:00"/>
    <x v="87"/>
    <d v="2023-02-15T00:00:00"/>
    <n v="60"/>
    <d v="2023-10-17T00:00:00"/>
    <n v="10450.799999999999"/>
    <n v="174.18"/>
  </r>
  <r>
    <d v="2023-10-06T00:00:00"/>
    <x v="87"/>
    <d v="2023-02-15T00:00:00"/>
    <n v="81"/>
    <d v="2023-09-19T00:00:00"/>
    <n v="14108.58"/>
    <n v="174.18"/>
  </r>
  <r>
    <d v="2023-11-21T00:00:00"/>
    <x v="87"/>
    <d v="2022-11-14T00:00:00"/>
    <n v="26"/>
    <d v="2023-11-14T00:00:00"/>
    <n v="4528.68"/>
    <n v="174.18"/>
  </r>
  <r>
    <d v="2023-12-19T00:00:00"/>
    <x v="87"/>
    <d v="2022-12-15T00:00:00"/>
    <n v="60"/>
    <d v="2023-12-12T00:00:00"/>
    <n v="10450.799999999999"/>
    <n v="174.18"/>
  </r>
  <r>
    <d v="2023-12-22T00:00:00"/>
    <x v="87"/>
    <d v="2023-01-02T00:00:00"/>
    <n v="192"/>
    <d v="2023-12-12T00:00:00"/>
    <n v="33442.559999999998"/>
    <n v="174.18"/>
  </r>
  <r>
    <d v="2023-11-03T00:00:00"/>
    <x v="87"/>
    <d v="2023-02-15T00:00:00"/>
    <n v="192"/>
    <d v="2023-10-10T00:00:00"/>
    <n v="33442.559999999998"/>
    <n v="174.18"/>
  </r>
  <r>
    <d v="2023-12-22T00:00:00"/>
    <x v="87"/>
    <d v="2023-01-02T00:00:00"/>
    <n v="126"/>
    <d v="2023-11-07T00:00:00"/>
    <n v="21946.68"/>
    <n v="174.18"/>
  </r>
  <r>
    <d v="2023-11-03T00:00:00"/>
    <x v="87"/>
    <d v="2023-02-15T00:00:00"/>
    <n v="126"/>
    <d v="2023-09-12T00:00:00"/>
    <n v="21946.68"/>
    <n v="174.18"/>
  </r>
  <r>
    <d v="2024-01-09T00:00:00"/>
    <x v="87"/>
    <d v="2023-01-10T00:00:00"/>
    <n v="29"/>
    <d v="2024-01-09T00:00:00"/>
    <n v="5051.22"/>
    <n v="174.18"/>
  </r>
  <r>
    <d v="2023-12-01T00:00:00"/>
    <x v="87"/>
    <d v="2023-03-19T00:00:00"/>
    <n v="15"/>
    <d v="2023-11-24T00:00:00"/>
    <n v="2612.6999999999998"/>
    <n v="174.18"/>
  </r>
  <r>
    <d v="2024-03-06T00:00:00"/>
    <x v="87"/>
    <d v="2023-03-19T00:00:00"/>
    <n v="208"/>
    <d v="2023-12-26T00:00:00"/>
    <n v="36229.440000000002"/>
    <n v="174.18"/>
  </r>
  <r>
    <d v="2024-03-06T00:00:00"/>
    <x v="87"/>
    <d v="2023-03-19T00:00:00"/>
    <n v="308"/>
    <d v="2023-11-29T00:00:00"/>
    <n v="53647.44"/>
    <n v="174.18"/>
  </r>
  <r>
    <d v="2024-03-15T00:00:00"/>
    <x v="87"/>
    <d v="2023-03-19T00:00:00"/>
    <n v="52"/>
    <d v="2024-03-15T00:00:00"/>
    <n v="9057.36"/>
    <n v="174.18"/>
  </r>
  <r>
    <d v="2024-03-06T00:00:00"/>
    <x v="87"/>
    <d v="2023-03-19T00:00:00"/>
    <n v="69"/>
    <d v="2024-01-30T00:00:00"/>
    <n v="12018.42"/>
    <n v="174.18"/>
  </r>
  <r>
    <d v="2024-04-19T00:00:00"/>
    <x v="87"/>
    <d v="2023-04-20T00:00:00"/>
    <n v="30"/>
    <d v="2024-04-19T00:00:00"/>
    <n v="5225.3999999999996"/>
    <n v="174.18"/>
  </r>
  <r>
    <d v="2024-04-17T00:00:00"/>
    <x v="87"/>
    <d v="2023-04-16T00:00:00"/>
    <n v="15"/>
    <d v="2024-04-17T00:00:00"/>
    <n v="2612.6999999999998"/>
    <n v="174.18"/>
  </r>
  <r>
    <d v="2024-04-17T00:00:00"/>
    <x v="87"/>
    <d v="2023-04-29T00:00:00"/>
    <n v="45"/>
    <d v="2024-04-17T00:00:00"/>
    <n v="7838.1"/>
    <n v="174.18"/>
  </r>
  <r>
    <d v="2024-05-10T00:00:00"/>
    <x v="87"/>
    <d v="2023-05-20T00:00:00"/>
    <n v="30"/>
    <d v="2024-05-10T00:00:00"/>
    <n v="5225.3999999999996"/>
    <n v="174.18"/>
  </r>
  <r>
    <d v="2023-10-12T00:00:00"/>
    <x v="88"/>
    <d v="2022-10-06T00:00:00"/>
    <n v="846"/>
    <d v="2023-10-05T00:00:00"/>
    <n v="57680.28"/>
    <n v="68.180000000000007"/>
  </r>
  <r>
    <d v="2023-12-07T00:00:00"/>
    <x v="88"/>
    <d v="2022-11-16T00:00:00"/>
    <n v="360"/>
    <d v="2023-11-30T00:00:00"/>
    <n v="24544.799999999999"/>
    <n v="68.180000000000007"/>
  </r>
  <r>
    <d v="2023-09-28T00:00:00"/>
    <x v="89"/>
    <d v="2023-01-31T00:00:00"/>
    <n v="930"/>
    <d v="2023-08-01T00:00:00"/>
    <n v="778289.1"/>
    <n v="836.87"/>
  </r>
  <r>
    <d v="2023-09-28T00:00:00"/>
    <x v="89"/>
    <d v="2023-01-31T00:00:00"/>
    <n v="1065"/>
    <d v="2023-09-07T00:00:00"/>
    <n v="891266.55"/>
    <n v="836.87"/>
  </r>
  <r>
    <d v="2023-09-21T00:00:00"/>
    <x v="89"/>
    <d v="2023-01-31T00:00:00"/>
    <n v="2250"/>
    <d v="2023-07-03T00:00:00"/>
    <n v="1882957.5"/>
    <n v="836.87"/>
  </r>
  <r>
    <d v="2023-09-15T00:00:00"/>
    <x v="89"/>
    <d v="2023-09-06T00:00:00"/>
    <n v="675"/>
    <d v="2023-06-15T00:00:00"/>
    <n v="564887.25"/>
    <n v="836.87"/>
  </r>
  <r>
    <d v="2023-09-29T00:00:00"/>
    <x v="89"/>
    <d v="2023-01-31T00:00:00"/>
    <n v="600"/>
    <d v="2023-09-15T00:00:00"/>
    <n v="502122"/>
    <n v="836.87"/>
  </r>
  <r>
    <d v="2023-09-29T00:00:00"/>
    <x v="89"/>
    <d v="2023-01-31T00:00:00"/>
    <n v="120"/>
    <d v="2023-09-15T00:00:00"/>
    <n v="100424.4"/>
    <n v="836.87"/>
  </r>
  <r>
    <d v="2023-10-26T00:00:00"/>
    <x v="89"/>
    <d v="2023-01-31T00:00:00"/>
    <n v="30"/>
    <d v="2023-10-19T00:00:00"/>
    <n v="25106.1"/>
    <n v="836.87"/>
  </r>
  <r>
    <d v="2024-05-09T00:00:00"/>
    <x v="89"/>
    <d v="2023-05-09T00:00:00"/>
    <n v="585"/>
    <d v="2024-05-09T00:00:00"/>
    <n v="489568.95"/>
    <n v="836.87"/>
  </r>
  <r>
    <d v="2024-01-12T00:00:00"/>
    <x v="90"/>
    <d v="2023-08-23T00:00:00"/>
    <n v="538"/>
    <d v="2022-08-05T00:00:00"/>
    <n v="993653.72"/>
    <n v="1846.94"/>
  </r>
  <r>
    <d v="2024-01-12T00:00:00"/>
    <x v="90"/>
    <d v="2023-08-23T00:00:00"/>
    <n v="351"/>
    <d v="2023-03-17T00:00:00"/>
    <n v="648275.93999999994"/>
    <n v="1846.94"/>
  </r>
  <r>
    <d v="2024-01-12T00:00:00"/>
    <x v="90"/>
    <d v="2023-08-23T00:00:00"/>
    <n v="455"/>
    <d v="2023-04-14T00:00:00"/>
    <n v="840357.7"/>
    <n v="1846.94"/>
  </r>
  <r>
    <d v="2024-01-12T00:00:00"/>
    <x v="90"/>
    <d v="2023-08-23T00:00:00"/>
    <n v="110"/>
    <d v="2023-05-12T00:00:00"/>
    <n v="203163.4"/>
    <n v="1846.94"/>
  </r>
  <r>
    <d v="2024-01-12T00:00:00"/>
    <x v="90"/>
    <d v="2023-08-23T00:00:00"/>
    <n v="110"/>
    <d v="2023-05-12T00:00:00"/>
    <n v="203163.4"/>
    <n v="1846.94"/>
  </r>
  <r>
    <d v="2024-01-12T00:00:00"/>
    <x v="90"/>
    <d v="2023-08-23T00:00:00"/>
    <n v="108"/>
    <d v="2023-06-09T00:00:00"/>
    <n v="199469.52"/>
    <n v="1846.94"/>
  </r>
  <r>
    <d v="2024-01-12T00:00:00"/>
    <x v="90"/>
    <d v="2023-08-23T00:00:00"/>
    <n v="116"/>
    <d v="2023-05-12T00:00:00"/>
    <n v="214245.04"/>
    <n v="1846.94"/>
  </r>
  <r>
    <d v="2024-01-12T00:00:00"/>
    <x v="90"/>
    <d v="2023-08-23T00:00:00"/>
    <n v="13"/>
    <d v="2023-05-12T00:00:00"/>
    <n v="24010.22"/>
    <n v="1846.94"/>
  </r>
  <r>
    <d v="2024-01-12T00:00:00"/>
    <x v="90"/>
    <d v="2023-08-23T00:00:00"/>
    <n v="138"/>
    <d v="2023-06-09T00:00:00"/>
    <n v="254877.72"/>
    <n v="1846.94"/>
  </r>
  <r>
    <d v="2024-01-12T00:00:00"/>
    <x v="90"/>
    <d v="2023-08-23T00:00:00"/>
    <n v="108"/>
    <d v="2023-06-09T00:00:00"/>
    <n v="199469.52"/>
    <n v="1846.94"/>
  </r>
  <r>
    <d v="2024-01-12T00:00:00"/>
    <x v="90"/>
    <d v="2023-08-23T00:00:00"/>
    <n v="138"/>
    <d v="2023-08-25T00:00:00"/>
    <n v="254877.72"/>
    <n v="1846.94"/>
  </r>
  <r>
    <d v="2024-01-12T00:00:00"/>
    <x v="90"/>
    <d v="2023-08-23T00:00:00"/>
    <n v="77"/>
    <d v="2023-09-06T00:00:00"/>
    <n v="142214.38"/>
    <n v="1846.94"/>
  </r>
  <r>
    <d v="2024-01-12T00:00:00"/>
    <x v="91"/>
    <d v="2023-08-23T00:00:00"/>
    <n v="519"/>
    <d v="2022-05-16T00:00:00"/>
    <n v="1258476.3899999999"/>
    <n v="2424.81"/>
  </r>
  <r>
    <d v="2024-01-12T00:00:00"/>
    <x v="91"/>
    <d v="2023-08-23T00:00:00"/>
    <n v="16"/>
    <d v="2022-02-10T00:00:00"/>
    <n v="38796.959999999999"/>
    <n v="2424.81"/>
  </r>
  <r>
    <d v="2024-01-12T00:00:00"/>
    <x v="91"/>
    <d v="2023-08-23T00:00:00"/>
    <n v="64"/>
    <d v="2022-03-07T00:00:00"/>
    <n v="155187.84"/>
    <n v="2424.81"/>
  </r>
  <r>
    <d v="2024-01-12T00:00:00"/>
    <x v="91"/>
    <d v="2023-08-23T00:00:00"/>
    <n v="144"/>
    <d v="2022-09-29T00:00:00"/>
    <n v="349172.64"/>
    <n v="2424.81"/>
  </r>
  <r>
    <d v="2024-01-12T00:00:00"/>
    <x v="91"/>
    <d v="2023-08-23T00:00:00"/>
    <n v="272"/>
    <d v="2022-09-22T00:00:00"/>
    <n v="659548.31999999995"/>
    <n v="2424.81"/>
  </r>
  <r>
    <d v="2024-01-12T00:00:00"/>
    <x v="91"/>
    <d v="2023-08-23T00:00:00"/>
    <n v="16"/>
    <d v="2022-10-14T00:00:00"/>
    <n v="38796.959999999999"/>
    <n v="2424.81"/>
  </r>
  <r>
    <d v="2024-02-16T00:00:00"/>
    <x v="91"/>
    <d v="2023-08-23T00:00:00"/>
    <n v="16"/>
    <d v="2022-11-10T00:00:00"/>
    <n v="38796.959999999999"/>
    <n v="2424.81"/>
  </r>
  <r>
    <d v="2024-02-16T00:00:00"/>
    <x v="59"/>
    <d v="2023-08-23T00:00:00"/>
    <n v="309"/>
    <d v="2023-10-27T00:00:00"/>
    <n v="1224999.6000000001"/>
    <n v="3964.4"/>
  </r>
  <r>
    <d v="2024-04-02T00:00:00"/>
    <x v="59"/>
    <d v="2022-11-01T00:00:00"/>
    <n v="300"/>
    <d v="2024-03-25T00:00:00"/>
    <n v="1189320"/>
    <n v="3964.4"/>
  </r>
  <r>
    <d v="2023-12-15T00:00:00"/>
    <x v="92"/>
    <d v="2022-12-28T00:00:00"/>
    <n v="1232"/>
    <d v="2023-09-08T00:00:00"/>
    <n v="70334.880000000005"/>
    <n v="57.09"/>
  </r>
  <r>
    <d v="2023-12-28T00:00:00"/>
    <x v="92"/>
    <d v="2023-01-02T00:00:00"/>
    <n v="3696"/>
    <d v="2022-12-28T00:00:00"/>
    <n v="211004.64"/>
    <n v="57.09"/>
  </r>
  <r>
    <d v="2024-03-11T00:00:00"/>
    <x v="92"/>
    <d v="2023-01-30T00:00:00"/>
    <n v="3696"/>
    <d v="2024-03-04T00:00:00"/>
    <n v="211004.64"/>
    <n v="57.09"/>
  </r>
  <r>
    <d v="2023-10-25T00:00:00"/>
    <x v="93"/>
    <d v="2023-09-11T00:00:00"/>
    <n v="1120"/>
    <d v="2023-09-22T00:00:00"/>
    <n v="7828.8"/>
    <n v="6.99"/>
  </r>
  <r>
    <d v="2023-12-20T00:00:00"/>
    <x v="93"/>
    <d v="2022-12-28T00:00:00"/>
    <n v="2240"/>
    <d v="2023-12-20T00:00:00"/>
    <n v="15657.6"/>
    <n v="6.99"/>
  </r>
  <r>
    <d v="2024-03-21T00:00:00"/>
    <x v="93"/>
    <d v="2023-01-25T00:00:00"/>
    <n v="1120"/>
    <d v="2024-03-21T00:00:00"/>
    <n v="7828.8"/>
    <n v="6.99"/>
  </r>
  <r>
    <d v="2023-10-25T00:00:00"/>
    <x v="94"/>
    <d v="2023-02-01T00:00:00"/>
    <n v="585"/>
    <d v="2022-11-01T00:00:00"/>
    <n v="138100.95000000001"/>
    <n v="236.07"/>
  </r>
  <r>
    <d v="2023-12-21T00:00:00"/>
    <x v="95"/>
    <d v="2023-02-21T00:00:00"/>
    <n v="504"/>
    <d v="2023-12-01T00:00:00"/>
    <n v="12156.48"/>
    <n v="24.12"/>
  </r>
  <r>
    <d v="2024-08-21T00:00:00"/>
    <x v="95"/>
    <d v="2023-09-06T00:00:00"/>
    <n v="252"/>
    <d v="2024-08-21T00:00:00"/>
    <n v="6078.24"/>
    <n v="24.12"/>
  </r>
  <r>
    <d v="2023-10-20T00:00:00"/>
    <x v="96"/>
    <d v="2023-04-26T00:00:00"/>
    <n v="420"/>
    <d v="2023-08-14T00:00:00"/>
    <n v="469875"/>
    <n v="1118.75"/>
  </r>
  <r>
    <d v="2023-10-20T00:00:00"/>
    <x v="96"/>
    <d v="2023-02-01T00:00:00"/>
    <n v="840"/>
    <d v="2023-09-12T00:00:00"/>
    <n v="939750"/>
    <n v="1118.75"/>
  </r>
  <r>
    <s v=""/>
    <x v="97"/>
    <d v="2023-09-12T00:00:00"/>
    <n v="4000"/>
    <d v="2023-09-12T00:00:00"/>
    <n v="160"/>
    <n v="0.04"/>
  </r>
  <r>
    <d v="2024-07-22T00:00:00"/>
    <x v="98"/>
    <d v="2023-05-03T00:00:00"/>
    <n v="3780"/>
    <d v="2024-07-15T00:00:00"/>
    <n v="54280.800000000003"/>
    <n v="14.36"/>
  </r>
  <r>
    <d v="2024-02-07T00:00:00"/>
    <x v="98"/>
    <d v="2023-05-04T00:00:00"/>
    <n v="3780"/>
    <d v="2023-12-19T00:00:00"/>
    <n v="54280.800000000003"/>
    <n v="14.36"/>
  </r>
  <r>
    <d v="2023-11-03T00:00:00"/>
    <x v="99"/>
    <d v="2023-03-14T00:00:00"/>
    <n v="1260"/>
    <d v="2021-05-19T00:00:00"/>
    <n v="273810.59999999998"/>
    <n v="217.31"/>
  </r>
  <r>
    <d v="2023-10-27T00:00:00"/>
    <x v="100"/>
    <d v="2023-08-21T00:00:00"/>
    <n v="70"/>
    <d v="2023-07-24T00:00:00"/>
    <n v="40355.699999999997"/>
    <n v="576.51"/>
  </r>
  <r>
    <d v="2024-01-17T00:00:00"/>
    <x v="100"/>
    <d v="2023-01-30T00:00:00"/>
    <n v="350"/>
    <d v="2023-09-20T00:00:00"/>
    <n v="201778.5"/>
    <n v="576.51"/>
  </r>
  <r>
    <d v="2024-04-01T00:00:00"/>
    <x v="101"/>
    <d v="2023-05-09T00:00:00"/>
    <n v="924"/>
    <d v="2022-04-22T00:00:00"/>
    <n v="140965.44"/>
    <n v="152.56"/>
  </r>
  <r>
    <d v="2024-04-01T00:00:00"/>
    <x v="101"/>
    <d v="2023-05-09T00:00:00"/>
    <n v="308"/>
    <d v="2023-07-20T00:00:00"/>
    <n v="46988.480000000003"/>
    <n v="152.56"/>
  </r>
  <r>
    <d v="2024-04-01T00:00:00"/>
    <x v="101"/>
    <d v="2023-05-09T00:00:00"/>
    <n v="1540"/>
    <d v="2023-07-18T00:00:00"/>
    <n v="234942.4"/>
    <n v="152.56"/>
  </r>
  <r>
    <d v="2024-04-01T00:00:00"/>
    <x v="101"/>
    <d v="2023-05-09T00:00:00"/>
    <n v="616"/>
    <d v="2022-12-20T00:00:00"/>
    <n v="93976.960000000006"/>
    <n v="152.56"/>
  </r>
  <r>
    <d v="2024-04-01T00:00:00"/>
    <x v="101"/>
    <d v="2023-05-09T00:00:00"/>
    <n v="924"/>
    <d v="2022-11-17T00:00:00"/>
    <n v="140965.44"/>
    <n v="152.56"/>
  </r>
  <r>
    <d v="2024-04-01T00:00:00"/>
    <x v="101"/>
    <d v="2023-05-09T00:00:00"/>
    <n v="3388"/>
    <d v="2023-01-20T00:00:00"/>
    <n v="516873.28"/>
    <n v="152.56"/>
  </r>
  <r>
    <d v="2024-04-01T00:00:00"/>
    <x v="101"/>
    <d v="2023-05-09T00:00:00"/>
    <n v="1232"/>
    <d v="2023-12-13T00:00:00"/>
    <n v="187953.92000000001"/>
    <n v="152.56"/>
  </r>
  <r>
    <d v="2024-04-01T00:00:00"/>
    <x v="101"/>
    <d v="2023-05-09T00:00:00"/>
    <n v="1848"/>
    <d v="2023-07-20T00:00:00"/>
    <n v="281930.88"/>
    <n v="152.56"/>
  </r>
  <r>
    <d v="2024-04-01T00:00:00"/>
    <x v="101"/>
    <d v="2023-05-09T00:00:00"/>
    <n v="1232"/>
    <d v="2023-06-14T00:00:00"/>
    <n v="187953.92000000001"/>
    <n v="152.56"/>
  </r>
  <r>
    <d v="2024-04-01T00:00:00"/>
    <x v="101"/>
    <d v="2023-05-09T00:00:00"/>
    <n v="1540"/>
    <d v="2023-05-18T00:00:00"/>
    <n v="234942.4"/>
    <n v="152.56"/>
  </r>
  <r>
    <d v="2024-04-01T00:00:00"/>
    <x v="101"/>
    <d v="2023-05-09T00:00:00"/>
    <n v="1232"/>
    <d v="2023-12-15T00:00:00"/>
    <n v="187953.92000000001"/>
    <n v="152.56"/>
  </r>
  <r>
    <d v="2023-10-25T00:00:00"/>
    <x v="102"/>
    <d v="2023-09-11T00:00:00"/>
    <n v="1300"/>
    <d v="2022-06-13T00:00:00"/>
    <n v="2080"/>
    <n v="1.6"/>
  </r>
  <r>
    <d v="2024-05-30T00:00:00"/>
    <x v="103"/>
    <d v="2023-08-21T00:00:00"/>
    <n v="202370"/>
    <d v="2022-02-15T00:00:00"/>
    <n v="91066.5"/>
    <n v="0.45"/>
  </r>
  <r>
    <d v="2025-01-03T00:00:00"/>
    <x v="103"/>
    <d v="2022-11-16T00:00:00"/>
    <n v="2800"/>
    <d v="2021-10-26T00:00:00"/>
    <n v="1260"/>
    <n v="0.45"/>
  </r>
  <r>
    <d v="2023-10-13T00:00:00"/>
    <x v="104"/>
    <d v="2023-08-21T00:00:00"/>
    <n v="1480"/>
    <d v="2023-06-20T00:00:00"/>
    <n v="3211.6"/>
    <n v="2.17"/>
  </r>
  <r>
    <d v="2023-10-31T00:00:00"/>
    <x v="105"/>
    <d v="2023-09-12T00:00:00"/>
    <n v="20148"/>
    <d v="2022-02-15T00:00:00"/>
    <n v="310279.2"/>
    <n v="15.4"/>
  </r>
  <r>
    <d v="2023-10-19T00:00:00"/>
    <x v="106"/>
    <d v="2022-10-03T00:00:00"/>
    <n v="420"/>
    <d v="2023-10-19T00:00:00"/>
    <n v="4258.8"/>
    <n v="10.14"/>
  </r>
  <r>
    <d v="2023-12-28T00:00:00"/>
    <x v="106"/>
    <d v="2022-12-13T00:00:00"/>
    <n v="420"/>
    <d v="2023-12-18T00:00:00"/>
    <n v="4258.8"/>
    <n v="10.14"/>
  </r>
  <r>
    <d v="2024-02-07T00:00:00"/>
    <x v="106"/>
    <d v="2023-02-14T00:00:00"/>
    <n v="420"/>
    <d v="2023-12-18T00:00:00"/>
    <n v="4258.8"/>
    <n v="10.14"/>
  </r>
  <r>
    <d v="2023-11-03T00:00:00"/>
    <x v="107"/>
    <d v="2023-08-15T00:00:00"/>
    <n v="1820"/>
    <d v="2022-10-06T00:00:00"/>
    <n v="4459"/>
    <n v="2.4500000000000002"/>
  </r>
  <r>
    <d v="2023-10-04T00:00:00"/>
    <x v="107"/>
    <d v="2023-09-12T00:00:00"/>
    <n v="1820"/>
    <d v="2022-04-01T00:00:00"/>
    <n v="4459"/>
    <n v="2.4500000000000002"/>
  </r>
  <r>
    <d v="2023-12-18T00:00:00"/>
    <x v="107"/>
    <d v="2022-12-01T00:00:00"/>
    <n v="1820"/>
    <d v="2023-12-18T00:00:00"/>
    <n v="4459"/>
    <n v="2.4500000000000002"/>
  </r>
  <r>
    <d v="2023-12-26T00:00:00"/>
    <x v="107"/>
    <d v="2022-12-12T00:00:00"/>
    <n v="1820"/>
    <d v="2023-12-18T00:00:00"/>
    <n v="4459"/>
    <n v="2.4500000000000002"/>
  </r>
  <r>
    <d v="2024-01-26T00:00:00"/>
    <x v="107"/>
    <d v="2023-02-08T00:00:00"/>
    <n v="1820"/>
    <d v="2023-12-18T00:00:00"/>
    <n v="4459"/>
    <n v="2.4500000000000002"/>
  </r>
  <r>
    <d v="2024-03-14T00:00:00"/>
    <x v="107"/>
    <d v="2023-03-20T00:00:00"/>
    <n v="1820"/>
    <d v="2023-12-19T00:00:00"/>
    <n v="4459"/>
    <n v="2.4500000000000002"/>
  </r>
  <r>
    <d v="2024-03-21T00:00:00"/>
    <x v="107"/>
    <d v="2023-04-04T00:00:00"/>
    <n v="1820"/>
    <d v="2023-12-19T00:00:00"/>
    <n v="4459"/>
    <n v="2.4500000000000002"/>
  </r>
  <r>
    <d v="2024-04-01T00:00:00"/>
    <x v="107"/>
    <d v="2023-04-16T00:00:00"/>
    <n v="3640"/>
    <d v="2023-12-19T00:00:00"/>
    <n v="8918"/>
    <n v="2.4500000000000002"/>
  </r>
  <r>
    <d v="2023-10-04T00:00:00"/>
    <x v="108"/>
    <d v="2023-09-12T00:00:00"/>
    <n v="1820"/>
    <d v="2022-05-06T00:00:00"/>
    <n v="4258.8"/>
    <n v="2.34"/>
  </r>
  <r>
    <d v="2023-10-04T00:00:00"/>
    <x v="108"/>
    <d v="2023-09-12T00:00:00"/>
    <n v="1820"/>
    <d v="2022-08-24T00:00:00"/>
    <n v="4258.8"/>
    <n v="2.34"/>
  </r>
  <r>
    <d v="2023-11-01T00:00:00"/>
    <x v="109"/>
    <d v="2023-06-13T00:00:00"/>
    <n v="89417"/>
    <d v="2022-02-15T00:00:00"/>
    <n v="495370.18"/>
    <n v="5.54"/>
  </r>
  <r>
    <d v="2023-11-03T00:00:00"/>
    <x v="110"/>
    <d v="2022-08-14T00:00:00"/>
    <n v="189"/>
    <d v="2022-06-15T00:00:00"/>
    <n v="6450.57"/>
    <n v="34.130000000000003"/>
  </r>
  <r>
    <d v="2023-10-10T00:00:00"/>
    <x v="110"/>
    <d v="2023-07-04T00:00:00"/>
    <n v="189"/>
    <d v="2023-09-05T00:00:00"/>
    <n v="6450.57"/>
    <n v="34.130000000000003"/>
  </r>
  <r>
    <d v="2023-10-10T00:00:00"/>
    <x v="110"/>
    <d v="2022-09-20T00:00:00"/>
    <n v="189"/>
    <d v="2023-10-10T00:00:00"/>
    <n v="6450.57"/>
    <n v="34.130000000000003"/>
  </r>
  <r>
    <d v="2023-10-17T00:00:00"/>
    <x v="110"/>
    <d v="2023-07-04T00:00:00"/>
    <n v="189"/>
    <d v="2023-09-12T00:00:00"/>
    <n v="6450.57"/>
    <n v="34.130000000000003"/>
  </r>
  <r>
    <d v="2023-11-20T00:00:00"/>
    <x v="110"/>
    <d v="2022-12-01T00:00:00"/>
    <n v="189"/>
    <d v="2023-11-10T00:00:00"/>
    <n v="6450.57"/>
    <n v="34.130000000000003"/>
  </r>
  <r>
    <d v="2023-11-03T00:00:00"/>
    <x v="110"/>
    <d v="2023-08-14T00:00:00"/>
    <n v="378"/>
    <d v="2023-09-22T00:00:00"/>
    <n v="12901.14"/>
    <n v="34.130000000000003"/>
  </r>
  <r>
    <d v="2024-01-12T00:00:00"/>
    <x v="111"/>
    <d v="2023-01-25T00:00:00"/>
    <n v="84"/>
    <d v="2023-12-18T00:00:00"/>
    <n v="56066.64"/>
    <n v="667.46"/>
  </r>
  <r>
    <d v="2024-04-03T00:00:00"/>
    <x v="111"/>
    <d v="2023-04-17T00:00:00"/>
    <n v="84"/>
    <d v="2023-12-19T00:00:00"/>
    <n v="56066.64"/>
    <n v="667.46"/>
  </r>
  <r>
    <d v="2023-09-22T00:00:00"/>
    <x v="112"/>
    <d v="2022-07-29T00:00:00"/>
    <n v="437"/>
    <d v="2022-08-24T00:00:00"/>
    <n v="6157.33"/>
    <n v="14.09"/>
  </r>
  <r>
    <d v="2023-09-22T00:00:00"/>
    <x v="112"/>
    <d v="2022-07-29T00:00:00"/>
    <n v="229"/>
    <d v="2022-09-30T00:00:00"/>
    <n v="3226.61"/>
    <n v="14.09"/>
  </r>
  <r>
    <d v="2023-09-22T00:00:00"/>
    <x v="112"/>
    <d v="2022-07-29T00:00:00"/>
    <n v="229"/>
    <d v="2022-09-30T00:00:00"/>
    <n v="3226.61"/>
    <n v="14.09"/>
  </r>
  <r>
    <d v="2023-10-20T00:00:00"/>
    <x v="113"/>
    <d v="2022-07-29T00:00:00"/>
    <n v="1120"/>
    <d v="2023-10-13T00:00:00"/>
    <n v="60737.599999999999"/>
    <n v="54.23"/>
  </r>
  <r>
    <d v="2023-10-13T00:00:00"/>
    <x v="113"/>
    <d v="2023-07-26T00:00:00"/>
    <n v="2240"/>
    <d v="2023-10-06T00:00:00"/>
    <n v="121475.2"/>
    <n v="54.23"/>
  </r>
  <r>
    <d v="2023-10-09T00:00:00"/>
    <x v="113"/>
    <d v="2022-09-20T00:00:00"/>
    <n v="2240"/>
    <d v="2023-10-09T00:00:00"/>
    <n v="121475.2"/>
    <n v="54.23"/>
  </r>
  <r>
    <d v="2024-03-14T00:00:00"/>
    <x v="113"/>
    <d v="2022-10-04T00:00:00"/>
    <n v="1120"/>
    <d v="2024-03-14T00:00:00"/>
    <n v="60737.599999999999"/>
    <n v="54.23"/>
  </r>
  <r>
    <d v="2024-04-11T00:00:00"/>
    <x v="113"/>
    <d v="2022-10-12T00:00:00"/>
    <n v="1120"/>
    <d v="2024-04-11T00:00:00"/>
    <n v="60737.599999999999"/>
    <n v="54.23"/>
  </r>
  <r>
    <d v="2024-05-02T00:00:00"/>
    <x v="113"/>
    <d v="2022-10-12T00:00:00"/>
    <n v="1120"/>
    <d v="2024-05-02T00:00:00"/>
    <n v="60737.599999999999"/>
    <n v="54.23"/>
  </r>
  <r>
    <d v="2024-05-14T00:00:00"/>
    <x v="113"/>
    <d v="2023-02-08T00:00:00"/>
    <n v="1120"/>
    <d v="2024-05-14T00:00:00"/>
    <n v="60737.599999999999"/>
    <n v="54.23"/>
  </r>
  <r>
    <d v="2024-08-12T00:00:00"/>
    <x v="113"/>
    <d v="2023-05-05T00:00:00"/>
    <n v="1120"/>
    <d v="2024-08-12T00:00:00"/>
    <n v="60737.599999999999"/>
    <n v="54.23"/>
  </r>
  <r>
    <d v="2024-10-21T00:00:00"/>
    <x v="113"/>
    <d v="2023-05-05T00:00:00"/>
    <n v="1120"/>
    <d v="2024-10-21T00:00:00"/>
    <n v="60737.599999999999"/>
    <n v="54.23"/>
  </r>
  <r>
    <d v="2024-06-03T00:00:00"/>
    <x v="114"/>
    <d v="2023-04-20T00:00:00"/>
    <n v="630"/>
    <d v="2024-06-03T00:00:00"/>
    <n v="28967.4"/>
    <n v="45.98"/>
  </r>
  <r>
    <d v="2024-01-12T00:00:00"/>
    <x v="115"/>
    <d v="2023-08-23T00:00:00"/>
    <n v="1512"/>
    <d v="2021-11-22T00:00:00"/>
    <n v="444785.04"/>
    <n v="294.17"/>
  </r>
  <r>
    <d v="2023-12-26T00:00:00"/>
    <x v="116"/>
    <d v="2022-12-12T00:00:00"/>
    <n v="1176"/>
    <d v="2023-12-18T00:00:00"/>
    <n v="265235.03999999998"/>
    <n v="225.54"/>
  </r>
  <r>
    <d v="2024-01-12T00:00:00"/>
    <x v="117"/>
    <d v="2023-01-25T00:00:00"/>
    <n v="140"/>
    <d v="2023-12-18T00:00:00"/>
    <n v="68952.800000000003"/>
    <n v="492.52"/>
  </r>
  <r>
    <d v="2024-02-05T00:00:00"/>
    <x v="118"/>
    <d v="2023-08-25T00:00:00"/>
    <n v="1323"/>
    <d v="2023-07-31T00:00:00"/>
    <n v="437913"/>
    <n v="331"/>
  </r>
  <r>
    <d v="2024-01-26T00:00:00"/>
    <x v="119"/>
    <d v="2023-02-21T00:00:00"/>
    <n v="120"/>
    <d v="2022-12-22T00:00:00"/>
    <n v="24156"/>
    <n v="201.3"/>
  </r>
  <r>
    <d v="2024-02-02T00:00:00"/>
    <x v="119"/>
    <d v="2023-02-21T00:00:00"/>
    <n v="240"/>
    <d v="2023-05-05T00:00:00"/>
    <n v="48312"/>
    <n v="201.3"/>
  </r>
  <r>
    <d v="2024-02-02T00:00:00"/>
    <x v="119"/>
    <d v="2023-02-21T00:00:00"/>
    <n v="120"/>
    <d v="2023-07-31T00:00:00"/>
    <n v="24156"/>
    <n v="201.3"/>
  </r>
  <r>
    <d v="2024-02-02T00:00:00"/>
    <x v="119"/>
    <d v="2023-02-21T00:00:00"/>
    <n v="120"/>
    <d v="2023-07-17T00:00:00"/>
    <n v="24156"/>
    <n v="201.3"/>
  </r>
  <r>
    <d v="2024-02-07T00:00:00"/>
    <x v="119"/>
    <d v="2023-02-21T00:00:00"/>
    <n v="120"/>
    <d v="2023-10-27T00:00:00"/>
    <n v="24156"/>
    <n v="201.3"/>
  </r>
  <r>
    <d v="2024-05-08T00:00:00"/>
    <x v="119"/>
    <d v="2023-05-21T00:00:00"/>
    <n v="240"/>
    <d v="2023-12-19T00:00:00"/>
    <n v="48312"/>
    <n v="201.3"/>
  </r>
  <r>
    <d v="2023-11-10T00:00:00"/>
    <x v="120"/>
    <d v="2023-02-21T00:00:00"/>
    <n v="252"/>
    <d v="2022-12-08T00:00:00"/>
    <n v="17062.919999999998"/>
    <n v="67.709999999999994"/>
  </r>
  <r>
    <d v="2023-11-10T00:00:00"/>
    <x v="120"/>
    <d v="2023-02-21T00:00:00"/>
    <n v="252"/>
    <d v="2023-05-23T00:00:00"/>
    <n v="17062.919999999998"/>
    <n v="67.709999999999994"/>
  </r>
  <r>
    <d v="2023-10-13T00:00:00"/>
    <x v="120"/>
    <d v="2023-08-21T00:00:00"/>
    <n v="252"/>
    <d v="2023-08-08T00:00:00"/>
    <n v="17062.919999999998"/>
    <n v="67.709999999999994"/>
  </r>
  <r>
    <d v="2024-05-07T00:00:00"/>
    <x v="120"/>
    <d v="2023-06-28T00:00:00"/>
    <n v="252"/>
    <d v="2024-04-30T00:00:00"/>
    <n v="17062.919999999998"/>
    <n v="67.709999999999994"/>
  </r>
  <r>
    <d v="2024-05-01T00:00:00"/>
    <x v="120"/>
    <d v="2023-07-16T00:00:00"/>
    <n v="252"/>
    <d v="2024-03-25T00:00:00"/>
    <n v="17062.919999999998"/>
    <n v="67.709999999999994"/>
  </r>
  <r>
    <d v="2024-05-07T00:00:00"/>
    <x v="120"/>
    <d v="2023-07-16T00:00:00"/>
    <n v="252"/>
    <d v="2024-05-07T00:00:00"/>
    <n v="17062.919999999998"/>
    <n v="67.709999999999994"/>
  </r>
  <r>
    <d v="2023-11-15T00:00:00"/>
    <x v="121"/>
    <d v="2022-11-09T00:00:00"/>
    <n v="588"/>
    <d v="2023-11-15T00:00:00"/>
    <n v="56565.599999999999"/>
    <n v="96.2"/>
  </r>
  <r>
    <d v="2023-12-18T00:00:00"/>
    <x v="121"/>
    <d v="2022-12-15T00:00:00"/>
    <n v="588"/>
    <d v="2023-12-18T00:00:00"/>
    <n v="56565.599999999999"/>
    <n v="96.2"/>
  </r>
  <r>
    <d v="2024-01-02T00:00:00"/>
    <x v="121"/>
    <d v="2023-01-04T00:00:00"/>
    <n v="1176"/>
    <d v="2023-12-18T00:00:00"/>
    <n v="113131.2"/>
    <n v="96.2"/>
  </r>
  <r>
    <d v="2024-01-29T00:00:00"/>
    <x v="121"/>
    <d v="2023-02-08T00:00:00"/>
    <n v="588"/>
    <d v="2023-12-18T00:00:00"/>
    <n v="56565.599999999999"/>
    <n v="96.2"/>
  </r>
  <r>
    <d v="2024-04-01T00:00:00"/>
    <x v="121"/>
    <d v="2023-04-05T00:00:00"/>
    <n v="588"/>
    <d v="2023-12-19T00:00:00"/>
    <n v="56565.599999999999"/>
    <n v="96.2"/>
  </r>
  <r>
    <d v="2023-12-21T00:00:00"/>
    <x v="122"/>
    <d v="2023-01-03T00:00:00"/>
    <n v="2520"/>
    <d v="2023-04-24T00:00:00"/>
    <n v="421419.6"/>
    <n v="167.23"/>
  </r>
  <r>
    <d v="2023-10-13T00:00:00"/>
    <x v="123"/>
    <d v="2023-04-11T00:00:00"/>
    <n v="21000"/>
    <d v="2023-10-06T00:00:00"/>
    <n v="2940"/>
    <n v="0.14000000000000001"/>
  </r>
  <r>
    <d v="2023-12-21T00:00:00"/>
    <x v="124"/>
    <d v="2023-01-19T00:00:00"/>
    <n v="50"/>
    <d v="2023-12-14T00:00:00"/>
    <n v="174900"/>
    <n v="3498"/>
  </r>
  <r>
    <d v="2023-12-21T00:00:00"/>
    <x v="124"/>
    <d v="2023-01-19T00:00:00"/>
    <n v="150"/>
    <d v="2023-12-14T00:00:00"/>
    <n v="524700"/>
    <n v="3498"/>
  </r>
  <r>
    <d v="2023-10-13T00:00:00"/>
    <x v="124"/>
    <d v="2023-08-21T00:00:00"/>
    <n v="50"/>
    <d v="2023-07-24T00:00:00"/>
    <n v="174900"/>
    <n v="3498"/>
  </r>
  <r>
    <d v="2023-12-29T00:00:00"/>
    <x v="124"/>
    <d v="2023-01-19T00:00:00"/>
    <n v="50"/>
    <d v="2023-12-18T00:00:00"/>
    <n v="174900"/>
    <n v="3498"/>
  </r>
  <r>
    <d v="2023-10-11T00:00:00"/>
    <x v="125"/>
    <d v="2022-11-21T00:00:00"/>
    <n v="684"/>
    <d v="2023-10-04T00:00:00"/>
    <n v="476932.68"/>
    <n v="697.27"/>
  </r>
  <r>
    <d v="2023-11-01T00:00:00"/>
    <x v="125"/>
    <d v="2022-11-21T00:00:00"/>
    <n v="252"/>
    <d v="2023-10-25T00:00:00"/>
    <n v="175712.04"/>
    <n v="697.27"/>
  </r>
  <r>
    <d v="2023-11-08T00:00:00"/>
    <x v="125"/>
    <d v="2022-11-21T00:00:00"/>
    <n v="252"/>
    <d v="2023-11-01T00:00:00"/>
    <n v="175712.04"/>
    <n v="697.27"/>
  </r>
  <r>
    <d v="2023-11-08T00:00:00"/>
    <x v="125"/>
    <d v="2022-11-21T00:00:00"/>
    <n v="288"/>
    <d v="2023-11-01T00:00:00"/>
    <n v="200813.76"/>
    <n v="697.27"/>
  </r>
  <r>
    <d v="2023-10-13T00:00:00"/>
    <x v="125"/>
    <d v="2022-11-21T00:00:00"/>
    <n v="324"/>
    <d v="2023-10-06T00:00:00"/>
    <n v="225915.48"/>
    <n v="697.27"/>
  </r>
  <r>
    <d v="2023-11-08T00:00:00"/>
    <x v="125"/>
    <d v="2022-11-21T00:00:00"/>
    <n v="288"/>
    <d v="2023-11-01T00:00:00"/>
    <n v="200813.76"/>
    <n v="697.27"/>
  </r>
  <r>
    <d v="2023-10-25T00:00:00"/>
    <x v="125"/>
    <d v="2022-11-21T00:00:00"/>
    <n v="273"/>
    <d v="2023-10-18T00:00:00"/>
    <n v="190354.71"/>
    <n v="697.27"/>
  </r>
  <r>
    <d v="2024-03-06T00:00:00"/>
    <x v="125"/>
    <d v="2022-11-21T00:00:00"/>
    <n v="216"/>
    <d v="2024-02-28T00:00:00"/>
    <n v="150610.32"/>
    <n v="697.27"/>
  </r>
  <r>
    <d v="2024-02-23T00:00:00"/>
    <x v="125"/>
    <d v="2022-11-21T00:00:00"/>
    <n v="324"/>
    <d v="2024-02-13T00:00:00"/>
    <n v="225915.48"/>
    <n v="697.27"/>
  </r>
  <r>
    <d v="2024-03-06T00:00:00"/>
    <x v="125"/>
    <d v="2022-11-21T00:00:00"/>
    <n v="216"/>
    <d v="2024-02-28T00:00:00"/>
    <n v="150610.32"/>
    <n v="697.27"/>
  </r>
  <r>
    <d v="2024-03-05T00:00:00"/>
    <x v="125"/>
    <d v="2022-11-21T00:00:00"/>
    <n v="144"/>
    <d v="2024-02-27T00:00:00"/>
    <n v="100406.88"/>
    <n v="697.27"/>
  </r>
  <r>
    <d v="2024-04-01T00:00:00"/>
    <x v="125"/>
    <d v="2022-11-21T00:00:00"/>
    <n v="936"/>
    <d v="2024-03-22T00:00:00"/>
    <n v="652644.72"/>
    <n v="697.27"/>
  </r>
  <r>
    <d v="2024-03-22T00:00:00"/>
    <x v="125"/>
    <d v="2022-11-21T00:00:00"/>
    <n v="684"/>
    <d v="2024-03-15T00:00:00"/>
    <n v="476932.68"/>
    <n v="697.27"/>
  </r>
  <r>
    <d v="2024-01-30T00:00:00"/>
    <x v="125"/>
    <d v="2022-11-21T00:00:00"/>
    <n v="144"/>
    <d v="2024-01-23T00:00:00"/>
    <n v="100406.88"/>
    <n v="697.27"/>
  </r>
  <r>
    <d v="2024-02-06T00:00:00"/>
    <x v="125"/>
    <d v="2022-11-21T00:00:00"/>
    <n v="972"/>
    <d v="2024-01-30T00:00:00"/>
    <n v="677746.44"/>
    <n v="697.27"/>
  </r>
  <r>
    <d v="2024-04-02T00:00:00"/>
    <x v="125"/>
    <d v="2022-11-21T00:00:00"/>
    <n v="380"/>
    <d v="2024-03-25T00:00:00"/>
    <n v="264962.59999999998"/>
    <n v="697.27"/>
  </r>
  <r>
    <d v="2024-04-19T00:00:00"/>
    <x v="125"/>
    <d v="2022-12-06T00:00:00"/>
    <n v="396"/>
    <d v="2024-04-12T00:00:00"/>
    <n v="276118.92"/>
    <n v="697.27"/>
  </r>
  <r>
    <d v="2024-04-26T00:00:00"/>
    <x v="125"/>
    <d v="2022-12-12T00:00:00"/>
    <n v="72"/>
    <d v="2024-04-26T00:00:00"/>
    <n v="50203.44"/>
    <n v="697.27"/>
  </r>
  <r>
    <d v="2023-12-29T00:00:00"/>
    <x v="125"/>
    <d v="2023-01-02T00:00:00"/>
    <n v="1332"/>
    <d v="2023-12-18T00:00:00"/>
    <n v="928763.64"/>
    <n v="697.27"/>
  </r>
  <r>
    <d v="2024-01-12T00:00:00"/>
    <x v="125"/>
    <d v="2023-01-19T00:00:00"/>
    <n v="612"/>
    <d v="2023-12-20T00:00:00"/>
    <n v="426729.24"/>
    <n v="697.27"/>
  </r>
  <r>
    <d v="2024-01-22T00:00:00"/>
    <x v="125"/>
    <d v="2023-01-26T00:00:00"/>
    <n v="720"/>
    <d v="2023-12-20T00:00:00"/>
    <n v="502034.4"/>
    <n v="697.27"/>
  </r>
  <r>
    <d v="2024-01-29T00:00:00"/>
    <x v="125"/>
    <d v="2023-02-08T00:00:00"/>
    <n v="938"/>
    <d v="2023-12-18T00:00:00"/>
    <n v="654039.26"/>
    <n v="697.27"/>
  </r>
  <r>
    <d v="2024-01-22T00:00:00"/>
    <x v="125"/>
    <d v="2023-02-01T00:00:00"/>
    <n v="612"/>
    <d v="2023-12-20T00:00:00"/>
    <n v="426729.24"/>
    <n v="697.27"/>
  </r>
  <r>
    <d v="2024-02-20T00:00:00"/>
    <x v="125"/>
    <d v="2023-03-01T00:00:00"/>
    <n v="1000"/>
    <d v="2023-12-18T00:00:00"/>
    <n v="697270"/>
    <n v="697.27"/>
  </r>
  <r>
    <d v="2024-10-31T00:00:00"/>
    <x v="126"/>
    <d v="2023-01-19T00:00:00"/>
    <n v="84"/>
    <d v="2024-10-24T00:00:00"/>
    <n v="67692.240000000005"/>
    <n v="805.86"/>
  </r>
  <r>
    <d v="2024-01-12T00:00:00"/>
    <x v="127"/>
    <d v="2023-07-24T00:00:00"/>
    <n v="142240"/>
    <d v="2022-12-08T00:00:00"/>
    <n v="1819249.6"/>
    <n v="12.79"/>
  </r>
  <r>
    <d v="2023-10-13T00:00:00"/>
    <x v="127"/>
    <d v="2023-07-24T00:00:00"/>
    <n v="5600"/>
    <d v="2022-12-08T00:00:00"/>
    <n v="71624"/>
    <n v="12.79"/>
  </r>
  <r>
    <d v="2023-10-13T00:00:00"/>
    <x v="127"/>
    <d v="2023-07-24T00:00:00"/>
    <n v="95200"/>
    <d v="2022-11-04T00:00:00"/>
    <n v="1217608"/>
    <n v="12.79"/>
  </r>
  <r>
    <d v="2023-10-13T00:00:00"/>
    <x v="127"/>
    <d v="2023-09-06T00:00:00"/>
    <n v="6823"/>
    <d v="2022-10-27T00:00:00"/>
    <n v="87266.17"/>
    <n v="12.79"/>
  </r>
  <r>
    <d v="2024-01-12T00:00:00"/>
    <x v="127"/>
    <d v="2023-07-24T00:00:00"/>
    <n v="104160"/>
    <d v="2023-02-09T00:00:00"/>
    <n v="1332206.3999999999"/>
    <n v="12.79"/>
  </r>
  <r>
    <d v="2023-10-13T00:00:00"/>
    <x v="127"/>
    <d v="2023-07-24T00:00:00"/>
    <n v="50000"/>
    <d v="2022-05-13T00:00:00"/>
    <n v="639500"/>
    <n v="12.79"/>
  </r>
  <r>
    <d v="2024-01-12T00:00:00"/>
    <x v="127"/>
    <d v="2023-07-24T00:00:00"/>
    <n v="17920"/>
    <d v="2023-03-16T00:00:00"/>
    <n v="229196.79999999999"/>
    <n v="12.79"/>
  </r>
  <r>
    <d v="2024-01-12T00:00:00"/>
    <x v="127"/>
    <d v="2023-07-24T00:00:00"/>
    <n v="28753"/>
    <d v="2023-04-21T00:00:00"/>
    <n v="367750.87"/>
    <n v="12.79"/>
  </r>
  <r>
    <d v="2024-01-12T00:00:00"/>
    <x v="127"/>
    <d v="2023-07-24T00:00:00"/>
    <n v="94080"/>
    <d v="2023-02-16T00:00:00"/>
    <n v="1203283.2"/>
    <n v="12.79"/>
  </r>
  <r>
    <d v="2024-01-12T00:00:00"/>
    <x v="127"/>
    <d v="2023-07-24T00:00:00"/>
    <n v="50000"/>
    <d v="2022-05-13T00:00:00"/>
    <n v="639500"/>
    <n v="12.79"/>
  </r>
  <r>
    <d v="2023-10-13T00:00:00"/>
    <x v="127"/>
    <d v="2023-07-24T00:00:00"/>
    <n v="104160"/>
    <d v="2023-07-07T00:00:00"/>
    <n v="1332206.3999999999"/>
    <n v="12.79"/>
  </r>
  <r>
    <d v="2024-01-12T00:00:00"/>
    <x v="127"/>
    <d v="2023-07-24T00:00:00"/>
    <n v="7000"/>
    <d v="2022-12-09T00:00:00"/>
    <n v="89530"/>
    <n v="12.79"/>
  </r>
  <r>
    <d v="2023-10-13T00:00:00"/>
    <x v="127"/>
    <d v="2023-07-24T00:00:00"/>
    <n v="50400"/>
    <d v="2023-06-16T00:00:00"/>
    <n v="644616"/>
    <n v="12.79"/>
  </r>
  <r>
    <d v="2023-10-13T00:00:00"/>
    <x v="127"/>
    <d v="2023-07-24T00:00:00"/>
    <n v="104160"/>
    <d v="2023-07-27T00:00:00"/>
    <n v="1332206.3999999999"/>
    <n v="12.79"/>
  </r>
  <r>
    <d v="2024-04-12T00:00:00"/>
    <x v="127"/>
    <d v="2023-06-12T00:00:00"/>
    <n v="104160"/>
    <d v="2023-08-03T00:00:00"/>
    <n v="1332206.3999999999"/>
    <n v="12.79"/>
  </r>
  <r>
    <d v="2023-10-13T00:00:00"/>
    <x v="128"/>
    <d v="2023-07-24T00:00:00"/>
    <n v="18488"/>
    <d v="2023-07-14T00:00:00"/>
    <n v="236461.52"/>
    <n v="12.79"/>
  </r>
  <r>
    <d v="2023-10-13T00:00:00"/>
    <x v="128"/>
    <d v="2023-07-24T00:00:00"/>
    <n v="36000"/>
    <d v="2023-01-19T00:00:00"/>
    <n v="460440"/>
    <n v="12.79"/>
  </r>
  <r>
    <d v="2023-10-13T00:00:00"/>
    <x v="128"/>
    <d v="2023-07-24T00:00:00"/>
    <n v="52640"/>
    <d v="2023-01-19T00:00:00"/>
    <n v="673265.6"/>
    <n v="12.79"/>
  </r>
  <r>
    <d v="2024-01-12T00:00:00"/>
    <x v="128"/>
    <d v="2023-07-24T00:00:00"/>
    <n v="26880"/>
    <d v="2022-12-02T00:00:00"/>
    <n v="343795.20000000001"/>
    <n v="12.79"/>
  </r>
  <r>
    <d v="2024-01-12T00:00:00"/>
    <x v="128"/>
    <d v="2023-07-24T00:00:00"/>
    <n v="51520"/>
    <d v="2023-02-09T00:00:00"/>
    <n v="658940.80000000005"/>
    <n v="12.79"/>
  </r>
  <r>
    <d v="2024-01-12T00:00:00"/>
    <x v="128"/>
    <d v="2023-07-24T00:00:00"/>
    <n v="100800"/>
    <d v="2023-01-13T00:00:00"/>
    <n v="1289232"/>
    <n v="12.79"/>
  </r>
  <r>
    <d v="2023-10-13T00:00:00"/>
    <x v="128"/>
    <d v="2023-07-24T00:00:00"/>
    <n v="28000"/>
    <d v="2023-02-23T00:00:00"/>
    <n v="358120"/>
    <n v="12.79"/>
  </r>
  <r>
    <d v="2023-10-13T00:00:00"/>
    <x v="128"/>
    <d v="2023-07-24T00:00:00"/>
    <n v="24640"/>
    <d v="2023-01-20T00:00:00"/>
    <n v="315145.59999999998"/>
    <n v="12.79"/>
  </r>
  <r>
    <d v="2023-10-13T00:00:00"/>
    <x v="128"/>
    <d v="2023-07-24T00:00:00"/>
    <n v="51520"/>
    <d v="2023-06-23T00:00:00"/>
    <n v="658940.80000000005"/>
    <n v="12.79"/>
  </r>
  <r>
    <d v="2024-02-08T00:00:00"/>
    <x v="128"/>
    <d v="2023-07-10T00:00:00"/>
    <n v="52640"/>
    <d v="2023-08-03T00:00:00"/>
    <n v="673265.6"/>
    <n v="12.79"/>
  </r>
  <r>
    <d v="2023-10-13T00:00:00"/>
    <x v="128"/>
    <d v="2023-07-24T00:00:00"/>
    <n v="39200"/>
    <d v="2023-08-10T00:00:00"/>
    <n v="501368"/>
    <n v="12.79"/>
  </r>
  <r>
    <d v="2024-01-12T00:00:00"/>
    <x v="129"/>
    <d v="2023-07-24T00:00:00"/>
    <n v="24640"/>
    <d v="2023-01-12T00:00:00"/>
    <n v="687456"/>
    <n v="27.9"/>
  </r>
  <r>
    <d v="2024-01-12T00:00:00"/>
    <x v="129"/>
    <d v="2023-07-24T00:00:00"/>
    <n v="52052"/>
    <d v="2023-01-26T00:00:00"/>
    <n v="1452250.8"/>
    <n v="27.9"/>
  </r>
  <r>
    <d v="2023-10-25T00:00:00"/>
    <x v="129"/>
    <d v="2023-09-11T00:00:00"/>
    <n v="18480"/>
    <d v="2023-03-23T00:00:00"/>
    <n v="515592"/>
    <n v="27.9"/>
  </r>
  <r>
    <d v="2024-01-12T00:00:00"/>
    <x v="129"/>
    <d v="2023-07-24T00:00:00"/>
    <n v="25872"/>
    <d v="2023-02-10T00:00:00"/>
    <n v="721828.8"/>
    <n v="27.9"/>
  </r>
  <r>
    <d v="2024-01-12T00:00:00"/>
    <x v="129"/>
    <d v="2023-07-24T00:00:00"/>
    <n v="52052"/>
    <d v="2023-01-19T00:00:00"/>
    <n v="1452250.8"/>
    <n v="27.9"/>
  </r>
  <r>
    <d v="2024-01-12T00:00:00"/>
    <x v="129"/>
    <d v="2023-07-24T00:00:00"/>
    <n v="52052"/>
    <d v="2023-03-16T00:00:00"/>
    <n v="1452250.8"/>
    <n v="27.9"/>
  </r>
  <r>
    <d v="2023-10-31T00:00:00"/>
    <x v="129"/>
    <d v="2023-08-21T00:00:00"/>
    <n v="52052"/>
    <d v="2023-03-23T00:00:00"/>
    <n v="1452250.8"/>
    <n v="27.9"/>
  </r>
  <r>
    <d v="2023-10-31T00:00:00"/>
    <x v="129"/>
    <d v="2023-08-21T00:00:00"/>
    <n v="24332"/>
    <d v="2023-03-30T00:00:00"/>
    <n v="678862.8"/>
    <n v="27.9"/>
  </r>
  <r>
    <d v="2024-02-08T00:00:00"/>
    <x v="129"/>
    <d v="2023-07-10T00:00:00"/>
    <n v="7700"/>
    <d v="2023-01-20T00:00:00"/>
    <n v="214830"/>
    <n v="27.9"/>
  </r>
  <r>
    <d v="2024-02-08T00:00:00"/>
    <x v="129"/>
    <d v="2023-07-10T00:00:00"/>
    <n v="39116"/>
    <d v="2023-04-13T00:00:00"/>
    <n v="1091336.3999999999"/>
    <n v="27.9"/>
  </r>
  <r>
    <d v="2024-01-12T00:00:00"/>
    <x v="129"/>
    <d v="2023-07-24T00:00:00"/>
    <n v="51744"/>
    <d v="2023-01-06T00:00:00"/>
    <n v="1443657.6"/>
    <n v="27.9"/>
  </r>
  <r>
    <d v="2024-01-12T00:00:00"/>
    <x v="129"/>
    <d v="2023-07-24T00:00:00"/>
    <n v="52052"/>
    <d v="2023-02-23T00:00:00"/>
    <n v="1452250.8"/>
    <n v="27.9"/>
  </r>
  <r>
    <d v="2024-02-08T00:00:00"/>
    <x v="129"/>
    <d v="2023-07-10T00:00:00"/>
    <n v="27104"/>
    <d v="2023-04-22T00:00:00"/>
    <n v="756201.6"/>
    <n v="27.9"/>
  </r>
  <r>
    <d v="2024-02-08T00:00:00"/>
    <x v="129"/>
    <d v="2023-07-10T00:00:00"/>
    <n v="4620"/>
    <d v="2023-03-23T00:00:00"/>
    <n v="128898"/>
    <n v="27.9"/>
  </r>
  <r>
    <d v="2023-10-31T00:00:00"/>
    <x v="129"/>
    <d v="2023-08-21T00:00:00"/>
    <n v="44352"/>
    <d v="2023-04-22T00:00:00"/>
    <n v="1237420.8"/>
    <n v="27.9"/>
  </r>
  <r>
    <d v="2023-10-31T00:00:00"/>
    <x v="129"/>
    <d v="2023-08-21T00:00:00"/>
    <n v="51744"/>
    <d v="2023-04-06T00:00:00"/>
    <n v="1443657.6"/>
    <n v="27.9"/>
  </r>
  <r>
    <d v="2024-04-12T00:00:00"/>
    <x v="129"/>
    <d v="2023-03-01T00:00:00"/>
    <n v="52052"/>
    <d v="2023-06-30T00:00:00"/>
    <n v="1452250.8"/>
    <n v="27.9"/>
  </r>
  <r>
    <d v="2024-04-12T00:00:00"/>
    <x v="129"/>
    <d v="2023-03-01T00:00:00"/>
    <n v="51744"/>
    <d v="2023-03-02T00:00:00"/>
    <n v="1443657.6"/>
    <n v="27.9"/>
  </r>
  <r>
    <d v="2024-04-12T00:00:00"/>
    <x v="129"/>
    <d v="2023-03-01T00:00:00"/>
    <n v="52052"/>
    <d v="2023-03-09T00:00:00"/>
    <n v="1452250.8"/>
    <n v="27.9"/>
  </r>
  <r>
    <d v="2024-04-12T00:00:00"/>
    <x v="129"/>
    <d v="2023-03-01T00:00:00"/>
    <n v="26796"/>
    <d v="2023-06-16T00:00:00"/>
    <n v="747608.4"/>
    <n v="27.9"/>
  </r>
  <r>
    <d v="2023-10-31T00:00:00"/>
    <x v="129"/>
    <d v="2023-08-21T00:00:00"/>
    <n v="52052"/>
    <d v="2023-04-22T00:00:00"/>
    <n v="1452250.8"/>
    <n v="27.9"/>
  </r>
  <r>
    <d v="2024-04-12T00:00:00"/>
    <x v="129"/>
    <d v="2023-03-01T00:00:00"/>
    <n v="52052"/>
    <d v="2023-07-14T00:00:00"/>
    <n v="1452250.8"/>
    <n v="27.9"/>
  </r>
  <r>
    <d v="2023-10-25T00:00:00"/>
    <x v="129"/>
    <d v="2023-09-11T00:00:00"/>
    <n v="39424"/>
    <d v="2023-08-11T00:00:00"/>
    <n v="1099929.6000000001"/>
    <n v="27.9"/>
  </r>
  <r>
    <d v="2023-10-31T00:00:00"/>
    <x v="129"/>
    <d v="2023-08-21T00:00:00"/>
    <n v="51744"/>
    <d v="2023-08-04T00:00:00"/>
    <n v="1443657.6"/>
    <n v="27.9"/>
  </r>
  <r>
    <d v="2024-04-12T00:00:00"/>
    <x v="130"/>
    <d v="2023-03-01T00:00:00"/>
    <n v="51156"/>
    <d v="2023-07-21T00:00:00"/>
    <n v="213320.52"/>
    <n v="4.17"/>
  </r>
  <r>
    <d v="2023-10-18T00:00:00"/>
    <x v="130"/>
    <d v="2023-05-17T00:00:00"/>
    <n v="53592"/>
    <d v="2023-03-16T00:00:00"/>
    <n v="223478.64"/>
    <n v="4.17"/>
  </r>
  <r>
    <d v="2024-02-26T00:00:00"/>
    <x v="130"/>
    <d v="2023-03-01T00:00:00"/>
    <n v="43848"/>
    <d v="2023-05-11T00:00:00"/>
    <n v="182846.16"/>
    <n v="4.17"/>
  </r>
  <r>
    <d v="2023-10-13T00:00:00"/>
    <x v="130"/>
    <d v="2023-07-24T00:00:00"/>
    <n v="51156"/>
    <d v="2023-03-30T00:00:00"/>
    <n v="213320.52"/>
    <n v="4.17"/>
  </r>
  <r>
    <d v="2023-10-13T00:00:00"/>
    <x v="130"/>
    <d v="2023-07-24T00:00:00"/>
    <n v="53592"/>
    <d v="2023-03-16T00:00:00"/>
    <n v="223478.64"/>
    <n v="4.17"/>
  </r>
  <r>
    <d v="2023-10-13T00:00:00"/>
    <x v="130"/>
    <d v="2023-07-24T00:00:00"/>
    <n v="38976"/>
    <d v="2023-04-06T00:00:00"/>
    <n v="162529.92000000001"/>
    <n v="4.17"/>
  </r>
  <r>
    <d v="2024-02-08T00:00:00"/>
    <x v="130"/>
    <d v="2023-07-10T00:00:00"/>
    <n v="51156"/>
    <d v="2023-03-23T00:00:00"/>
    <n v="213320.52"/>
    <n v="4.17"/>
  </r>
  <r>
    <d v="2023-10-18T00:00:00"/>
    <x v="130"/>
    <d v="2023-05-17T00:00:00"/>
    <n v="51156"/>
    <d v="2023-02-02T00:00:00"/>
    <n v="213320.52"/>
    <n v="4.17"/>
  </r>
  <r>
    <d v="2023-10-13T00:00:00"/>
    <x v="130"/>
    <d v="2023-07-24T00:00:00"/>
    <n v="51156"/>
    <d v="2023-03-09T00:00:00"/>
    <n v="213320.52"/>
    <n v="4.17"/>
  </r>
  <r>
    <d v="2023-10-13T00:00:00"/>
    <x v="130"/>
    <d v="2023-07-24T00:00:00"/>
    <n v="17052"/>
    <d v="2023-03-16T00:00:00"/>
    <n v="71106.84"/>
    <n v="4.17"/>
  </r>
  <r>
    <d v="2024-03-22T00:00:00"/>
    <x v="130"/>
    <d v="2023-03-01T00:00:00"/>
    <n v="26796"/>
    <d v="2023-06-16T00:00:00"/>
    <n v="111739.32"/>
    <n v="4.17"/>
  </r>
  <r>
    <d v="2024-04-12T00:00:00"/>
    <x v="130"/>
    <d v="2023-03-01T00:00:00"/>
    <n v="51156"/>
    <d v="2023-07-07T00:00:00"/>
    <n v="213320.52"/>
    <n v="4.17"/>
  </r>
  <r>
    <d v="2024-03-22T00:00:00"/>
    <x v="130"/>
    <d v="2023-03-01T00:00:00"/>
    <n v="51156"/>
    <d v="2023-07-27T00:00:00"/>
    <n v="213320.52"/>
    <n v="4.17"/>
  </r>
  <r>
    <d v="2024-04-12T00:00:00"/>
    <x v="130"/>
    <d v="2023-03-01T00:00:00"/>
    <n v="53592"/>
    <d v="2023-08-04T00:00:00"/>
    <n v="223478.64"/>
    <n v="4.17"/>
  </r>
  <r>
    <d v="2024-04-12T00:00:00"/>
    <x v="130"/>
    <d v="2023-03-01T00:00:00"/>
    <n v="38976"/>
    <d v="2023-08-11T00:00:00"/>
    <n v="162529.92000000001"/>
    <n v="4.17"/>
  </r>
  <r>
    <d v="2024-04-12T00:00:00"/>
    <x v="130"/>
    <d v="2023-03-01T00:00:00"/>
    <n v="53592"/>
    <d v="2023-07-14T00:00:00"/>
    <n v="223478.64"/>
    <n v="4.17"/>
  </r>
  <r>
    <d v="2023-10-13T00:00:00"/>
    <x v="130"/>
    <d v="2023-07-24T00:00:00"/>
    <n v="24360"/>
    <d v="2023-01-12T00:00:00"/>
    <n v="101581.2"/>
    <n v="4.17"/>
  </r>
  <r>
    <d v="2023-10-13T00:00:00"/>
    <x v="130"/>
    <d v="2023-07-24T00:00:00"/>
    <n v="19488"/>
    <d v="2022-12-09T00:00:00"/>
    <n v="81264.960000000006"/>
    <n v="4.17"/>
  </r>
  <r>
    <d v="2024-02-08T00:00:00"/>
    <x v="130"/>
    <d v="2023-07-10T00:00:00"/>
    <n v="53592"/>
    <d v="2022-12-29T00:00:00"/>
    <n v="223478.64"/>
    <n v="4.17"/>
  </r>
  <r>
    <d v="2023-10-13T00:00:00"/>
    <x v="130"/>
    <d v="2023-07-24T00:00:00"/>
    <n v="51156"/>
    <d v="2022-12-23T00:00:00"/>
    <n v="213320.52"/>
    <n v="4.17"/>
  </r>
  <r>
    <d v="2024-02-08T00:00:00"/>
    <x v="130"/>
    <d v="2023-07-10T00:00:00"/>
    <n v="51156"/>
    <d v="2023-01-05T00:00:00"/>
    <n v="213320.52"/>
    <n v="4.17"/>
  </r>
  <r>
    <d v="2024-02-08T00:00:00"/>
    <x v="130"/>
    <d v="2023-07-10T00:00:00"/>
    <n v="4872"/>
    <d v="2023-01-19T00:00:00"/>
    <n v="20316.240000000002"/>
    <n v="4.17"/>
  </r>
  <r>
    <d v="2023-10-13T00:00:00"/>
    <x v="130"/>
    <d v="2023-07-24T00:00:00"/>
    <n v="51156"/>
    <d v="2023-01-26T00:00:00"/>
    <n v="213320.52"/>
    <n v="4.17"/>
  </r>
  <r>
    <d v="2023-10-13T00:00:00"/>
    <x v="130"/>
    <d v="2023-07-24T00:00:00"/>
    <n v="53592"/>
    <d v="2023-02-16T00:00:00"/>
    <n v="223478.64"/>
    <n v="4.17"/>
  </r>
  <r>
    <d v="2023-10-13T00:00:00"/>
    <x v="130"/>
    <d v="2023-07-24T00:00:00"/>
    <n v="53592"/>
    <d v="2023-03-02T00:00:00"/>
    <n v="223478.64"/>
    <n v="4.17"/>
  </r>
  <r>
    <d v="2023-10-13T00:00:00"/>
    <x v="130"/>
    <d v="2023-07-24T00:00:00"/>
    <n v="51156"/>
    <d v="2023-02-23T00:00:00"/>
    <n v="213320.52"/>
    <n v="4.17"/>
  </r>
  <r>
    <d v="2024-02-08T00:00:00"/>
    <x v="130"/>
    <d v="2023-07-10T00:00:00"/>
    <n v="51156"/>
    <d v="2023-02-09T00:00:00"/>
    <n v="213320.52"/>
    <n v="4.17"/>
  </r>
  <r>
    <d v="2024-03-22T00:00:00"/>
    <x v="130"/>
    <d v="2023-03-01T00:00:00"/>
    <n v="51156"/>
    <d v="2023-05-18T00:00:00"/>
    <n v="213320.52"/>
    <n v="4.17"/>
  </r>
  <r>
    <d v="2024-03-22T00:00:00"/>
    <x v="130"/>
    <d v="2023-03-01T00:00:00"/>
    <n v="26796"/>
    <d v="2023-05-18T00:00:00"/>
    <n v="111739.32"/>
    <n v="4.17"/>
  </r>
  <r>
    <d v="2024-02-08T00:00:00"/>
    <x v="130"/>
    <d v="2023-07-10T00:00:00"/>
    <n v="51156"/>
    <d v="2023-06-30T00:00:00"/>
    <n v="213320.52"/>
    <n v="4.17"/>
  </r>
  <r>
    <d v="2024-03-22T00:00:00"/>
    <x v="130"/>
    <d v="2023-03-01T00:00:00"/>
    <n v="53592"/>
    <d v="2023-06-23T00:00:00"/>
    <n v="223478.64"/>
    <n v="4.17"/>
  </r>
  <r>
    <s v=""/>
    <x v="127"/>
    <d v="2023-09-12T00:00:00"/>
    <n v="579313"/>
    <d v="2023-09-12T00:00:00"/>
    <n v="7409413.2699999996"/>
    <n v="12.79"/>
  </r>
  <r>
    <s v=""/>
    <x v="130"/>
    <d v="2023-09-12T00:00:00"/>
    <n v="138852"/>
    <d v="2023-09-12T00:00:00"/>
    <n v="579012.84"/>
    <n v="4.17"/>
  </r>
  <r>
    <d v="2023-10-13T00:00:00"/>
    <x v="131"/>
    <d v="2023-08-21T00:00:00"/>
    <n v="120"/>
    <d v="2023-07-10T00:00:00"/>
    <n v="13698"/>
    <n v="114.15"/>
  </r>
  <r>
    <d v="2024-02-16T00:00:00"/>
    <x v="131"/>
    <d v="2023-03-01T00:00:00"/>
    <n v="360"/>
    <d v="2024-01-08T00:00:00"/>
    <n v="41094"/>
    <n v="114.15"/>
  </r>
  <r>
    <d v="2023-11-03T00:00:00"/>
    <x v="131"/>
    <d v="2023-08-15T00:00:00"/>
    <n v="360"/>
    <d v="2023-10-09T00:00:00"/>
    <n v="41094"/>
    <n v="114.15"/>
  </r>
  <r>
    <d v="2023-09-27T00:00:00"/>
    <x v="132"/>
    <d v="2023-09-11T00:00:00"/>
    <n v="32"/>
    <d v="2023-02-24T00:00:00"/>
    <n v="149248"/>
    <n v="4664"/>
  </r>
  <r>
    <d v="2023-09-27T00:00:00"/>
    <x v="132"/>
    <d v="2023-09-11T00:00:00"/>
    <n v="112"/>
    <d v="2023-01-27T00:00:00"/>
    <n v="522368"/>
    <n v="4664"/>
  </r>
  <r>
    <d v="2023-11-08T00:00:00"/>
    <x v="132"/>
    <d v="2022-11-15T00:00:00"/>
    <n v="240"/>
    <d v="2023-10-30T00:00:00"/>
    <n v="1119360"/>
    <n v="4664"/>
  </r>
  <r>
    <d v="2023-09-27T00:00:00"/>
    <x v="132"/>
    <d v="2023-09-11T00:00:00"/>
    <n v="176"/>
    <d v="2023-06-22T00:00:00"/>
    <n v="820864"/>
    <n v="4664"/>
  </r>
  <r>
    <d v="2023-09-27T00:00:00"/>
    <x v="132"/>
    <d v="2023-09-11T00:00:00"/>
    <n v="288"/>
    <d v="2023-07-28T00:00:00"/>
    <n v="1343232"/>
    <n v="4664"/>
  </r>
  <r>
    <d v="2024-02-16T00:00:00"/>
    <x v="132"/>
    <d v="2023-08-23T00:00:00"/>
    <n v="272"/>
    <d v="2023-04-27T00:00:00"/>
    <n v="1268608"/>
    <n v="4664"/>
  </r>
  <r>
    <d v="2023-09-27T00:00:00"/>
    <x v="132"/>
    <d v="2023-09-11T00:00:00"/>
    <n v="224"/>
    <d v="2023-03-24T00:00:00"/>
    <n v="1044736"/>
    <n v="4664"/>
  </r>
  <r>
    <d v="2023-09-29T00:00:00"/>
    <x v="132"/>
    <d v="2023-09-11T00:00:00"/>
    <n v="192"/>
    <d v="2023-09-22T00:00:00"/>
    <n v="895488"/>
    <n v="4664"/>
  </r>
  <r>
    <d v="2024-02-02T00:00:00"/>
    <x v="133"/>
    <d v="2023-02-26T00:00:00"/>
    <n v="120"/>
    <d v="2023-10-24T00:00:00"/>
    <n v="10528.8"/>
    <n v="87.74"/>
  </r>
  <r>
    <d v="2023-10-05T00:00:00"/>
    <x v="134"/>
    <d v="2023-08-27T00:00:00"/>
    <n v="1386"/>
    <d v="2023-10-02T00:00:00"/>
    <n v="559916.28"/>
    <n v="403.98"/>
  </r>
  <r>
    <d v="2025-01-09T00:00:00"/>
    <x v="134"/>
    <d v="2023-08-29T00:00:00"/>
    <n v="1386"/>
    <d v="2023-10-02T00:00:00"/>
    <n v="559916.28"/>
    <n v="403.98"/>
  </r>
  <r>
    <d v="2023-10-05T00:00:00"/>
    <x v="135"/>
    <d v="2023-08-27T00:00:00"/>
    <n v="1404"/>
    <d v="2023-10-02T00:00:00"/>
    <n v="631364.76"/>
    <n v="449.69"/>
  </r>
  <r>
    <d v="2023-10-16T00:00:00"/>
    <x v="136"/>
    <d v="2023-05-04T00:00:00"/>
    <n v="70"/>
    <d v="2023-10-09T00:00:00"/>
    <n v="13467.3"/>
    <n v="192.39"/>
  </r>
  <r>
    <d v="2024-03-04T00:00:00"/>
    <x v="136"/>
    <d v="2023-03-19T00:00:00"/>
    <n v="1100"/>
    <d v="2024-01-09T00:00:00"/>
    <n v="211629"/>
    <n v="192.39"/>
  </r>
  <r>
    <d v="2023-10-13T00:00:00"/>
    <x v="136"/>
    <d v="2023-05-15T00:00:00"/>
    <n v="400"/>
    <d v="2023-03-17T00:00:00"/>
    <n v="76956"/>
    <n v="192.39"/>
  </r>
  <r>
    <d v="2024-04-11T00:00:00"/>
    <x v="136"/>
    <d v="2023-04-26T00:00:00"/>
    <n v="2132"/>
    <d v="2024-04-08T00:00:00"/>
    <n v="410175.48"/>
    <n v="192.39"/>
  </r>
  <r>
    <d v="2023-10-16T00:00:00"/>
    <x v="134"/>
    <d v="2023-09-12T00:00:00"/>
    <n v="63"/>
    <d v="2023-10-15T00:00:00"/>
    <n v="25450.74"/>
    <n v="403.98"/>
  </r>
  <r>
    <d v="2023-10-16T00:00:00"/>
    <x v="134"/>
    <d v="2023-09-12T00:00:00"/>
    <n v="2772"/>
    <d v="2023-10-15T00:00:00"/>
    <n v="1119832.56"/>
    <n v="403.98"/>
  </r>
  <r>
    <d v="2023-09-20T00:00:00"/>
    <x v="134"/>
    <d v="2023-06-26T00:00:00"/>
    <n v="3150"/>
    <d v="2023-09-20T00:00:00"/>
    <n v="1272537"/>
    <n v="403.98"/>
  </r>
  <r>
    <d v="2023-10-16T00:00:00"/>
    <x v="134"/>
    <d v="2023-09-12T00:00:00"/>
    <n v="945"/>
    <d v="2023-10-15T00:00:00"/>
    <n v="381761.1"/>
    <n v="403.98"/>
  </r>
  <r>
    <d v="2023-10-16T00:00:00"/>
    <x v="134"/>
    <d v="2023-09-12T00:00:00"/>
    <n v="1827"/>
    <d v="2023-10-15T00:00:00"/>
    <n v="738071.46"/>
    <n v="403.98"/>
  </r>
  <r>
    <d v="2023-10-16T00:00:00"/>
    <x v="134"/>
    <d v="2023-09-12T00:00:00"/>
    <n v="315"/>
    <d v="2023-10-15T00:00:00"/>
    <n v="127253.7"/>
    <n v="403.98"/>
  </r>
  <r>
    <d v="2023-10-16T00:00:00"/>
    <x v="134"/>
    <d v="2023-09-12T00:00:00"/>
    <n v="252"/>
    <d v="2023-10-15T00:00:00"/>
    <n v="101802.96"/>
    <n v="403.98"/>
  </r>
  <r>
    <d v="2023-10-16T00:00:00"/>
    <x v="134"/>
    <d v="2023-09-12T00:00:00"/>
    <n v="126"/>
    <d v="2023-10-15T00:00:00"/>
    <n v="50901.48"/>
    <n v="403.98"/>
  </r>
  <r>
    <d v="2023-10-16T00:00:00"/>
    <x v="134"/>
    <d v="2023-09-12T00:00:00"/>
    <n v="126"/>
    <d v="2023-10-15T00:00:00"/>
    <n v="50901.48"/>
    <n v="403.98"/>
  </r>
  <r>
    <d v="2023-10-16T00:00:00"/>
    <x v="134"/>
    <d v="2023-09-12T00:00:00"/>
    <n v="8442"/>
    <d v="2023-10-15T00:00:00"/>
    <n v="3410399.16"/>
    <n v="403.98"/>
  </r>
  <r>
    <d v="2023-10-16T00:00:00"/>
    <x v="135"/>
    <d v="2023-09-12T00:00:00"/>
    <n v="36"/>
    <d v="2023-10-15T00:00:00"/>
    <n v="16188.84"/>
    <n v="449.69"/>
  </r>
  <r>
    <d v="2023-10-16T00:00:00"/>
    <x v="135"/>
    <d v="2023-09-12T00:00:00"/>
    <n v="108"/>
    <d v="2023-10-15T00:00:00"/>
    <n v="48566.52"/>
    <n v="449.69"/>
  </r>
  <r>
    <d v="2023-10-16T00:00:00"/>
    <x v="135"/>
    <d v="2023-09-12T00:00:00"/>
    <n v="360"/>
    <d v="2023-10-15T00:00:00"/>
    <n v="161888.4"/>
    <n v="449.69"/>
  </r>
  <r>
    <d v="2023-10-16T00:00:00"/>
    <x v="135"/>
    <d v="2023-09-12T00:00:00"/>
    <n v="252"/>
    <d v="2023-10-15T00:00:00"/>
    <n v="113321.88"/>
    <n v="449.69"/>
  </r>
  <r>
    <d v="2023-10-16T00:00:00"/>
    <x v="135"/>
    <d v="2023-09-12T00:00:00"/>
    <n v="252"/>
    <d v="2023-10-15T00:00:00"/>
    <n v="113321.88"/>
    <n v="449.69"/>
  </r>
  <r>
    <d v="2022-11-09T00:00:00"/>
    <x v="137"/>
    <d v="2023-03-16T00:00:00"/>
    <n v="6000"/>
    <d v="2022-11-01T00:00:00"/>
    <n v="6300"/>
    <n v="1.05"/>
  </r>
  <r>
    <s v=""/>
    <x v="138"/>
    <d v="2023-07-24T00:00:00"/>
    <n v="218457"/>
    <d v="2024-12-31T00:00:00"/>
    <n v="13325877"/>
    <n v="61"/>
  </r>
  <r>
    <s v=""/>
    <x v="139"/>
    <d v="2023-07-24T00:00:00"/>
    <n v="45823"/>
    <d v="2024-12-31T00:00:00"/>
    <n v="6576516.96"/>
    <n v="143.52000000000001"/>
  </r>
  <r>
    <s v=""/>
    <x v="139"/>
    <d v="2023-07-28T00:00:00"/>
    <n v="810"/>
    <d v="2023-08-17T00:00:00"/>
    <n v="116251.2"/>
    <n v="143.52000000000001"/>
  </r>
  <r>
    <s v=""/>
    <x v="140"/>
    <d v="2023-07-24T00:00:00"/>
    <n v="29126"/>
    <d v="2024-12-31T00:00:00"/>
    <n v="3657643.08"/>
    <n v="125.58"/>
  </r>
  <r>
    <s v=""/>
    <x v="140"/>
    <d v="2023-07-28T00:00:00"/>
    <n v="945"/>
    <d v="2023-08-01T00:00:00"/>
    <n v="118673.1"/>
    <n v="125.58"/>
  </r>
  <r>
    <s v=""/>
    <x v="140"/>
    <d v="2023-07-28T00:00:00"/>
    <n v="540"/>
    <d v="2023-11-01T00:00:00"/>
    <n v="67813.2"/>
    <n v="125.58"/>
  </r>
  <r>
    <s v=""/>
    <x v="141"/>
    <d v="2023-07-24T00:00:00"/>
    <n v="44010"/>
    <d v="2024-12-31T00:00:00"/>
    <n v="2065829.4"/>
    <n v="46.94"/>
  </r>
  <r>
    <s v=""/>
    <x v="142"/>
    <d v="2023-07-24T00:00:00"/>
    <n v="1668"/>
    <d v="2024-12-31T00:00:00"/>
    <n v="1072473.96"/>
    <n v="642.97"/>
  </r>
  <r>
    <d v="2023-12-29T00:00:00"/>
    <x v="142"/>
    <d v="2023-02-15T00:00:00"/>
    <n v="89"/>
    <d v="2023-12-26T00:00:00"/>
    <n v="57224.33"/>
    <n v="642.97"/>
  </r>
  <r>
    <d v="2024-07-10T00:00:00"/>
    <x v="142"/>
    <d v="2023-06-23T00:00:00"/>
    <n v="120"/>
    <d v="2024-07-08T00:00:00"/>
    <n v="77156.399999999994"/>
    <n v="642.97"/>
  </r>
  <r>
    <d v="2024-05-03T00:00:00"/>
    <x v="142"/>
    <d v="2023-06-23T00:00:00"/>
    <n v="120"/>
    <d v="2024-05-01T00:00:00"/>
    <n v="77156.399999999994"/>
    <n v="642.97"/>
  </r>
  <r>
    <d v="2024-05-09T00:00:00"/>
    <x v="142"/>
    <d v="2023-06-23T00:00:00"/>
    <n v="300"/>
    <d v="2024-05-06T00:00:00"/>
    <n v="192891"/>
    <n v="642.97"/>
  </r>
  <r>
    <s v=""/>
    <x v="143"/>
    <d v="2023-07-24T00:00:00"/>
    <n v="36943"/>
    <d v="2024-12-31T00:00:00"/>
    <n v="942785.36"/>
    <n v="25.52"/>
  </r>
  <r>
    <d v="2024-09-18T00:00:00"/>
    <x v="143"/>
    <d v="2023-06-23T00:00:00"/>
    <n v="120"/>
    <d v="2024-09-16T00:00:00"/>
    <n v="3062.4"/>
    <n v="25.52"/>
  </r>
  <r>
    <s v=""/>
    <x v="143"/>
    <d v="2023-07-28T00:00:00"/>
    <n v="360"/>
    <d v="2024-10-21T00:00:00"/>
    <n v="9187.2000000000007"/>
    <n v="25.52"/>
  </r>
  <r>
    <s v=""/>
    <x v="144"/>
    <d v="2023-07-24T00:00:00"/>
    <n v="15855"/>
    <d v="2024-12-31T00:00:00"/>
    <n v="853316.1"/>
    <n v="53.82"/>
  </r>
  <r>
    <s v=""/>
    <x v="145"/>
    <d v="2023-07-24T00:00:00"/>
    <n v="720"/>
    <d v="2024-12-31T00:00:00"/>
    <n v="414964.8"/>
    <n v="576.34"/>
  </r>
  <r>
    <d v="2024-05-09T00:00:00"/>
    <x v="145"/>
    <d v="2023-06-23T00:00:00"/>
    <n v="60"/>
    <d v="2024-05-06T00:00:00"/>
    <n v="34580.400000000001"/>
    <n v="576.34"/>
  </r>
  <r>
    <s v=""/>
    <x v="146"/>
    <d v="2023-07-24T00:00:00"/>
    <n v="790"/>
    <d v="2024-12-31T00:00:00"/>
    <n v="55489.599999999999"/>
    <n v="70.239999999999995"/>
  </r>
  <r>
    <d v="2023-10-16T00:00:00"/>
    <x v="135"/>
    <d v="2023-09-12T00:00:00"/>
    <n v="360"/>
    <d v="2023-10-15T00:00:00"/>
    <n v="161888.4"/>
    <n v="449.69"/>
  </r>
  <r>
    <d v="2023-10-16T00:00:00"/>
    <x v="135"/>
    <d v="2023-09-12T00:00:00"/>
    <n v="5616"/>
    <d v="2023-10-15T00:00:00"/>
    <n v="2525459.04"/>
    <n v="449.69"/>
  </r>
  <r>
    <d v="2023-10-16T00:00:00"/>
    <x v="135"/>
    <d v="2023-09-12T00:00:00"/>
    <n v="540"/>
    <d v="2023-10-15T00:00:00"/>
    <n v="242832.6"/>
    <n v="449.69"/>
  </r>
  <r>
    <d v="2023-10-16T00:00:00"/>
    <x v="135"/>
    <d v="2023-09-12T00:00:00"/>
    <n v="144"/>
    <d v="2023-10-15T00:00:00"/>
    <n v="64755.360000000001"/>
    <n v="449.69"/>
  </r>
  <r>
    <d v="2023-10-16T00:00:00"/>
    <x v="135"/>
    <d v="2023-09-12T00:00:00"/>
    <n v="504"/>
    <d v="2023-10-15T00:00:00"/>
    <n v="226643.76"/>
    <n v="449.69"/>
  </r>
  <r>
    <d v="2023-10-16T00:00:00"/>
    <x v="135"/>
    <d v="2023-09-12T00:00:00"/>
    <n v="576"/>
    <d v="2023-10-15T00:00:00"/>
    <n v="259021.44"/>
    <n v="449.69"/>
  </r>
  <r>
    <d v="2023-10-16T00:00:00"/>
    <x v="135"/>
    <d v="2023-09-12T00:00:00"/>
    <n v="1332"/>
    <d v="2023-10-15T00:00:00"/>
    <n v="598987.07999999996"/>
    <n v="449.69"/>
  </r>
  <r>
    <d v="2023-10-16T00:00:00"/>
    <x v="135"/>
    <d v="2023-09-11T00:00:00"/>
    <n v="180"/>
    <d v="2023-10-09T00:00:00"/>
    <n v="80944.2"/>
    <n v="449.69"/>
  </r>
  <r>
    <d v="2023-10-16T00:00:00"/>
    <x v="135"/>
    <d v="2023-09-12T00:00:00"/>
    <n v="324"/>
    <d v="2023-10-15T00:00:00"/>
    <n v="145699.56"/>
    <n v="449.69"/>
  </r>
  <r>
    <d v="2025-01-08T00:00:00"/>
    <x v="147"/>
    <d v="2023-08-04T00:00:00"/>
    <n v="606000"/>
    <d v="2023-01-25T00:00:00"/>
    <n v="1515000"/>
    <n v="2.5"/>
  </r>
  <r>
    <d v="2024-02-21T00:00:00"/>
    <x v="147"/>
    <d v="2023-08-17T00:00:00"/>
    <n v="3000"/>
    <d v="2024-02-13T00:00:00"/>
    <n v="7500"/>
    <n v="2.5"/>
  </r>
  <r>
    <d v="2024-12-05T00:00:00"/>
    <x v="147"/>
    <d v="2023-07-10T00:00:00"/>
    <n v="63000"/>
    <d v="2024-11-20T00:00:00"/>
    <n v="157500"/>
    <n v="2.5"/>
  </r>
  <r>
    <d v="2024-02-12T00:00:00"/>
    <x v="147"/>
    <d v="2023-07-10T00:00:00"/>
    <n v="18000"/>
    <d v="2024-01-26T00:00:00"/>
    <n v="45000"/>
    <n v="2.5"/>
  </r>
  <r>
    <d v="2024-07-16T00:00:00"/>
    <x v="147"/>
    <d v="2023-07-10T00:00:00"/>
    <n v="30000"/>
    <d v="2024-07-01T00:00:00"/>
    <n v="75000"/>
    <n v="2.5"/>
  </r>
  <r>
    <d v="2025-01-08T00:00:00"/>
    <x v="148"/>
    <d v="2023-08-04T00:00:00"/>
    <n v="460000"/>
    <d v="2022-12-16T00:00:00"/>
    <n v="966000"/>
    <n v="2.1"/>
  </r>
  <r>
    <d v="2025-01-08T00:00:00"/>
    <x v="135"/>
    <d v="2023-08-04T00:00:00"/>
    <n v="3564000"/>
    <d v="2024-12-31T00:00:00"/>
    <n v="12474000"/>
    <n v="3.5"/>
  </r>
  <r>
    <d v="2024-04-05T00:00:00"/>
    <x v="135"/>
    <d v="2023-09-12T00:00:00"/>
    <n v="54000"/>
    <d v="2024-03-31T00:00:00"/>
    <n v="189000"/>
    <n v="3.5"/>
  </r>
  <r>
    <d v="2024-07-09T00:00:00"/>
    <x v="135"/>
    <d v="2023-09-12T00:00:00"/>
    <n v="54000"/>
    <d v="2024-06-30T00:00:00"/>
    <n v="189000"/>
    <n v="3.5"/>
  </r>
  <r>
    <d v="2023-11-15T00:00:00"/>
    <x v="135"/>
    <d v="2023-09-12T00:00:00"/>
    <n v="51000"/>
    <d v="2023-09-30T00:00:00"/>
    <n v="178500"/>
    <n v="3.5"/>
  </r>
  <r>
    <d v="2024-10-07T00:00:00"/>
    <x v="135"/>
    <d v="2023-09-12T00:00:00"/>
    <n v="54000"/>
    <d v="2024-09-30T00:00:00"/>
    <n v="189000"/>
    <n v="3.5"/>
  </r>
  <r>
    <d v="2024-01-08T00:00:00"/>
    <x v="135"/>
    <d v="2023-09-12T00:00:00"/>
    <n v="54000"/>
    <d v="2023-12-31T00:00:00"/>
    <n v="189000"/>
    <n v="3.5"/>
  </r>
  <r>
    <d v="2025-01-08T00:00:00"/>
    <x v="135"/>
    <d v="2023-09-12T00:00:00"/>
    <n v="54000"/>
    <d v="2024-12-31T00:00:00"/>
    <n v="189000"/>
    <n v="3.5"/>
  </r>
  <r>
    <d v="2023-09-19T00:00:00"/>
    <x v="135"/>
    <d v="2023-09-09T00:00:00"/>
    <n v="9000"/>
    <d v="2023-09-12T00:00:00"/>
    <n v="31500"/>
    <n v="3.5"/>
  </r>
  <r>
    <d v="2024-05-22T00:00:00"/>
    <x v="135"/>
    <d v="2023-09-09T00:00:00"/>
    <n v="6000"/>
    <d v="2023-11-15T00:00:00"/>
    <n v="21000"/>
    <n v="3.5"/>
  </r>
  <r>
    <d v="2023-12-22T00:00:00"/>
    <x v="135"/>
    <d v="2023-09-09T00:00:00"/>
    <n v="15000"/>
    <d v="2023-12-15T00:00:00"/>
    <n v="52500"/>
    <n v="3.5"/>
  </r>
  <r>
    <d v="2024-04-04T00:00:00"/>
    <x v="135"/>
    <d v="2023-07-17T00:00:00"/>
    <n v="30000"/>
    <d v="2024-03-27T00:00:00"/>
    <n v="105000"/>
    <n v="3.5"/>
  </r>
  <r>
    <d v="2024-07-24T00:00:00"/>
    <x v="135"/>
    <d v="2023-07-17T00:00:00"/>
    <n v="135000"/>
    <d v="2024-07-17T00:00:00"/>
    <n v="472500"/>
    <n v="3.5"/>
  </r>
  <r>
    <d v="2024-09-03T00:00:00"/>
    <x v="135"/>
    <d v="2023-08-09T00:00:00"/>
    <n v="12000"/>
    <d v="2024-08-26T00:00:00"/>
    <n v="420000"/>
    <n v="35"/>
  </r>
  <r>
    <d v="2024-07-22T00:00:00"/>
    <x v="135"/>
    <d v="2023-07-20T00:00:00"/>
    <n v="18000"/>
    <d v="2024-07-15T00:00:00"/>
    <n v="630000"/>
    <n v="35"/>
  </r>
  <r>
    <d v="2025-01-08T00:00:00"/>
    <x v="149"/>
    <d v="2023-08-04T00:00:00"/>
    <n v="441000"/>
    <d v="2024-07-24T00:00:00"/>
    <n v="1278900"/>
    <n v="2.9"/>
  </r>
  <r>
    <d v="2023-12-19T00:00:00"/>
    <x v="149"/>
    <d v="2023-07-10T00:00:00"/>
    <n v="9000"/>
    <d v="2024-04-19T00:00:00"/>
    <n v="26100"/>
    <n v="2.9"/>
  </r>
  <r>
    <d v="2024-06-11T00:00:00"/>
    <x v="149"/>
    <d v="2023-09-06T00:00:00"/>
    <n v="12000"/>
    <d v="2024-05-27T00:00:00"/>
    <n v="34800"/>
    <n v="2.9"/>
  </r>
  <r>
    <d v="2023-10-06T00:00:00"/>
    <x v="150"/>
    <d v="2023-02-13T00:00:00"/>
    <n v="84"/>
    <d v="2023-09-30T00:00:00"/>
    <n v="71801.52"/>
    <n v="854.78"/>
  </r>
  <r>
    <d v="2023-10-13T00:00:00"/>
    <x v="150"/>
    <d v="2023-02-13T00:00:00"/>
    <n v="420"/>
    <d v="2023-10-07T00:00:00"/>
    <n v="359007.6"/>
    <n v="854.78"/>
  </r>
  <r>
    <d v="2023-10-13T00:00:00"/>
    <x v="150"/>
    <d v="2023-02-13T00:00:00"/>
    <n v="252"/>
    <d v="2023-10-07T00:00:00"/>
    <n v="215404.56"/>
    <n v="854.78"/>
  </r>
  <r>
    <d v="2023-10-06T00:00:00"/>
    <x v="150"/>
    <d v="2023-02-13T00:00:00"/>
    <n v="420"/>
    <d v="2023-09-30T00:00:00"/>
    <n v="359007.6"/>
    <n v="854.78"/>
  </r>
  <r>
    <d v="2023-09-22T00:00:00"/>
    <x v="150"/>
    <d v="2023-02-13T00:00:00"/>
    <n v="420"/>
    <d v="2023-09-16T00:00:00"/>
    <n v="359007.6"/>
    <n v="854.78"/>
  </r>
  <r>
    <d v="2023-11-03T00:00:00"/>
    <x v="150"/>
    <d v="2023-02-13T00:00:00"/>
    <n v="504"/>
    <d v="2023-10-28T00:00:00"/>
    <n v="430809.12"/>
    <n v="854.78"/>
  </r>
  <r>
    <d v="2023-09-29T00:00:00"/>
    <x v="150"/>
    <d v="2023-02-13T00:00:00"/>
    <n v="420"/>
    <d v="2023-09-23T00:00:00"/>
    <n v="359007.6"/>
    <n v="854.78"/>
  </r>
  <r>
    <d v="2023-10-13T00:00:00"/>
    <x v="150"/>
    <d v="2023-02-13T00:00:00"/>
    <n v="84"/>
    <d v="2023-10-07T00:00:00"/>
    <n v="71801.52"/>
    <n v="854.78"/>
  </r>
  <r>
    <d v="2023-10-23T00:00:00"/>
    <x v="150"/>
    <d v="2023-02-13T00:00:00"/>
    <n v="420"/>
    <d v="2023-10-23T00:00:00"/>
    <n v="359007.6"/>
    <n v="854.78"/>
  </r>
  <r>
    <d v="2023-10-30T00:00:00"/>
    <x v="150"/>
    <d v="2023-02-13T00:00:00"/>
    <n v="420"/>
    <d v="2023-10-30T00:00:00"/>
    <n v="359007.6"/>
    <n v="854.78"/>
  </r>
  <r>
    <d v="2023-10-23T00:00:00"/>
    <x v="150"/>
    <d v="2023-02-13T00:00:00"/>
    <n v="84"/>
    <d v="2023-10-23T00:00:00"/>
    <n v="71801.52"/>
    <n v="854.78"/>
  </r>
  <r>
    <d v="2023-11-06T00:00:00"/>
    <x v="150"/>
    <d v="2023-02-13T00:00:00"/>
    <n v="420"/>
    <d v="2023-11-06T00:00:00"/>
    <n v="359007.6"/>
    <n v="854.78"/>
  </r>
  <r>
    <d v="2023-10-30T00:00:00"/>
    <x v="150"/>
    <d v="2023-02-13T00:00:00"/>
    <n v="420"/>
    <d v="2023-10-30T00:00:00"/>
    <n v="359007.6"/>
    <n v="854.78"/>
  </r>
  <r>
    <d v="2023-11-13T00:00:00"/>
    <x v="150"/>
    <d v="2023-02-13T00:00:00"/>
    <n v="420"/>
    <d v="2023-11-13T00:00:00"/>
    <n v="359007.6"/>
    <n v="854.78"/>
  </r>
  <r>
    <d v="2023-11-06T00:00:00"/>
    <x v="150"/>
    <d v="2023-02-13T00:00:00"/>
    <n v="420"/>
    <d v="2023-11-06T00:00:00"/>
    <n v="359007.6"/>
    <n v="854.78"/>
  </r>
  <r>
    <d v="2023-10-16T00:00:00"/>
    <x v="150"/>
    <d v="2023-02-13T00:00:00"/>
    <n v="84"/>
    <d v="2023-10-16T00:00:00"/>
    <n v="71801.52"/>
    <n v="854.78"/>
  </r>
  <r>
    <d v="2024-01-12T00:00:00"/>
    <x v="151"/>
    <d v="2023-08-23T00:00:00"/>
    <n v="13"/>
    <d v="2022-11-01T00:00:00"/>
    <n v="51537.2"/>
    <n v="3964.4"/>
  </r>
  <r>
    <d v="2024-03-25T00:00:00"/>
    <x v="151"/>
    <d v="2022-11-14T00:00:00"/>
    <n v="77"/>
    <d v="2024-03-25T00:00:00"/>
    <n v="305258.8"/>
    <n v="3964.4"/>
  </r>
  <r>
    <d v="2024-04-02T00:00:00"/>
    <x v="151"/>
    <d v="2022-11-11T00:00:00"/>
    <n v="972"/>
    <d v="2024-03-25T00:00:00"/>
    <n v="3853396.8"/>
    <n v="3964.4"/>
  </r>
  <r>
    <d v="2024-04-26T00:00:00"/>
    <x v="151"/>
    <d v="2022-12-05T00:00:00"/>
    <n v="12"/>
    <d v="2024-04-26T00:00:00"/>
    <n v="47572.800000000003"/>
    <n v="3964.4"/>
  </r>
  <r>
    <d v="2024-05-02T00:00:00"/>
    <x v="151"/>
    <d v="2022-12-15T00:00:00"/>
    <n v="16"/>
    <d v="2024-05-02T00:00:00"/>
    <n v="63430.400000000001"/>
    <n v="3964.4"/>
  </r>
  <r>
    <d v="2024-09-03T00:00:00"/>
    <x v="151"/>
    <d v="2023-04-20T00:00:00"/>
    <n v="8"/>
    <d v="2024-09-03T00:00:00"/>
    <n v="31715.200000000001"/>
    <n v="3964.4"/>
  </r>
  <r>
    <d v="2023-09-22T00:00:00"/>
    <x v="152"/>
    <d v="2023-01-30T00:00:00"/>
    <n v="324"/>
    <d v="2022-11-01T00:00:00"/>
    <n v="34126.92"/>
    <n v="105.33"/>
  </r>
  <r>
    <d v="2023-09-22T00:00:00"/>
    <x v="152"/>
    <d v="2023-01-30T00:00:00"/>
    <n v="864"/>
    <d v="2022-11-01T00:00:00"/>
    <n v="91005.119999999995"/>
    <n v="105.33"/>
  </r>
  <r>
    <d v="2023-09-21T00:00:00"/>
    <x v="152"/>
    <d v="2023-01-30T00:00:00"/>
    <n v="1296"/>
    <d v="2023-09-11T00:00:00"/>
    <n v="136507.68"/>
    <n v="105.33"/>
  </r>
  <r>
    <d v="2023-09-29T00:00:00"/>
    <x v="152"/>
    <d v="2023-01-30T00:00:00"/>
    <n v="3132"/>
    <d v="2023-08-10T00:00:00"/>
    <n v="329893.56"/>
    <n v="105.33"/>
  </r>
  <r>
    <d v="2023-09-15T00:00:00"/>
    <x v="152"/>
    <d v="2023-09-06T00:00:00"/>
    <n v="1404"/>
    <d v="2023-06-14T00:00:00"/>
    <n v="147883.32"/>
    <n v="105.33"/>
  </r>
  <r>
    <d v="2023-09-21T00:00:00"/>
    <x v="152"/>
    <d v="2023-01-30T00:00:00"/>
    <n v="3888"/>
    <d v="2023-08-03T00:00:00"/>
    <n v="409523.04"/>
    <n v="105.33"/>
  </r>
  <r>
    <d v="2023-09-15T00:00:00"/>
    <x v="152"/>
    <d v="2023-09-06T00:00:00"/>
    <n v="1188"/>
    <d v="2023-06-29T00:00:00"/>
    <n v="125132.04"/>
    <n v="105.33"/>
  </r>
  <r>
    <d v="2023-10-11T00:00:00"/>
    <x v="152"/>
    <d v="2023-01-30T00:00:00"/>
    <n v="216"/>
    <d v="2023-10-04T00:00:00"/>
    <n v="22751.279999999999"/>
    <n v="105.33"/>
  </r>
  <r>
    <d v="2023-09-29T00:00:00"/>
    <x v="152"/>
    <d v="2023-08-29T00:00:00"/>
    <n v="1188"/>
    <d v="2023-09-14T00:00:00"/>
    <n v="125132.04"/>
    <n v="105.33"/>
  </r>
  <r>
    <d v="2024-02-16T00:00:00"/>
    <x v="152"/>
    <d v="2023-02-08T00:00:00"/>
    <n v="864"/>
    <d v="2024-02-09T00:00:00"/>
    <n v="91005.119999999995"/>
    <n v="105.33"/>
  </r>
  <r>
    <d v="2024-02-28T00:00:00"/>
    <x v="152"/>
    <d v="2023-03-10T00:00:00"/>
    <n v="324"/>
    <d v="2024-02-20T00:00:00"/>
    <n v="34126.92"/>
    <n v="105.33"/>
  </r>
  <r>
    <d v="2023-09-26T00:00:00"/>
    <x v="153"/>
    <d v="2022-09-20T00:00:00"/>
    <n v="2000"/>
    <d v="2023-09-19T00:00:00"/>
    <n v="3780"/>
    <n v="1.89"/>
  </r>
  <r>
    <d v="2023-09-20T00:00:00"/>
    <x v="154"/>
    <d v="2022-09-20T00:00:00"/>
    <n v="300"/>
    <d v="2023-09-20T00:00:00"/>
    <n v="3300"/>
    <n v="11"/>
  </r>
  <r>
    <d v="2023-09-27T00:00:00"/>
    <x v="155"/>
    <d v="2022-12-01T00:00:00"/>
    <n v="420"/>
    <d v="2023-09-27T00:00:00"/>
    <n v="3813.6"/>
    <n v="9.08"/>
  </r>
  <r>
    <d v="2023-09-06T00:00:00"/>
    <x v="156"/>
    <d v="2023-09-06T00:00:00"/>
    <n v="488"/>
    <d v="2021-12-27T00:00:00"/>
    <n v="214685.84"/>
    <n v="439.93"/>
  </r>
  <r>
    <d v="2023-11-03T00:00:00"/>
    <x v="156"/>
    <d v="2023-08-14T00:00:00"/>
    <n v="240"/>
    <d v="2023-02-03T00:00:00"/>
    <n v="105583.2"/>
    <n v="439.93"/>
  </r>
  <r>
    <d v="2023-10-10T00:00:00"/>
    <x v="156"/>
    <d v="2022-10-04T00:00:00"/>
    <n v="240"/>
    <d v="2023-10-10T00:00:00"/>
    <n v="105583.2"/>
    <n v="439.93"/>
  </r>
  <r>
    <d v="2023-09-26T00:00:00"/>
    <x v="156"/>
    <d v="2022-11-18T00:00:00"/>
    <n v="360"/>
    <d v="2023-09-19T00:00:00"/>
    <n v="158374.79999999999"/>
    <n v="439.93"/>
  </r>
  <r>
    <d v="2024-03-22T00:00:00"/>
    <x v="156"/>
    <d v="2022-12-28T00:00:00"/>
    <n v="960"/>
    <d v="2024-03-22T00:00:00"/>
    <n v="422332.8"/>
    <n v="439.93"/>
  </r>
  <r>
    <d v="2024-05-20T00:00:00"/>
    <x v="156"/>
    <d v="2023-01-25T00:00:00"/>
    <n v="120"/>
    <d v="2024-05-20T00:00:00"/>
    <n v="52791.6"/>
    <n v="439.93"/>
  </r>
  <r>
    <d v="2024-04-29T00:00:00"/>
    <x v="156"/>
    <d v="2023-01-18T00:00:00"/>
    <n v="720"/>
    <d v="2024-04-29T00:00:00"/>
    <n v="316749.59999999998"/>
    <n v="439.93"/>
  </r>
  <r>
    <d v="2024-06-07T00:00:00"/>
    <x v="156"/>
    <d v="2023-01-30T00:00:00"/>
    <n v="240"/>
    <d v="2024-06-07T00:00:00"/>
    <n v="105583.2"/>
    <n v="439.93"/>
  </r>
  <r>
    <d v="2023-10-20T00:00:00"/>
    <x v="157"/>
    <d v="2023-08-21T00:00:00"/>
    <n v="2674"/>
    <d v="2021-05-19T00:00:00"/>
    <n v="380697.38"/>
    <n v="142.37"/>
  </r>
  <r>
    <d v="2023-09-22T00:00:00"/>
    <x v="157"/>
    <d v="2022-07-29T00:00:00"/>
    <n v="440"/>
    <d v="2021-12-27T00:00:00"/>
    <n v="62642.8"/>
    <n v="142.37"/>
  </r>
  <r>
    <d v="2023-09-22T00:00:00"/>
    <x v="157"/>
    <d v="2022-07-29T00:00:00"/>
    <n v="440"/>
    <d v="2021-12-20T00:00:00"/>
    <n v="62642.8"/>
    <n v="142.37"/>
  </r>
  <r>
    <d v="2023-09-22T00:00:00"/>
    <x v="157"/>
    <d v="2022-07-29T00:00:00"/>
    <n v="220"/>
    <d v="2022-01-20T00:00:00"/>
    <n v="31321.4"/>
    <n v="142.37"/>
  </r>
  <r>
    <d v="2023-10-20T00:00:00"/>
    <x v="157"/>
    <d v="2023-08-21T00:00:00"/>
    <n v="220"/>
    <d v="2022-11-21T00:00:00"/>
    <n v="31321.4"/>
    <n v="142.37"/>
  </r>
  <r>
    <d v="2023-10-20T00:00:00"/>
    <x v="157"/>
    <d v="2023-08-21T00:00:00"/>
    <n v="220"/>
    <d v="2022-08-19T00:00:00"/>
    <n v="31321.4"/>
    <n v="142.37"/>
  </r>
  <r>
    <d v="2023-10-20T00:00:00"/>
    <x v="157"/>
    <d v="2023-08-21T00:00:00"/>
    <n v="220"/>
    <d v="2022-08-29T00:00:00"/>
    <n v="31321.4"/>
    <n v="142.37"/>
  </r>
  <r>
    <d v="2023-10-20T00:00:00"/>
    <x v="157"/>
    <d v="2023-08-21T00:00:00"/>
    <n v="440"/>
    <d v="2022-12-06T00:00:00"/>
    <n v="62642.8"/>
    <n v="142.37"/>
  </r>
  <r>
    <d v="2024-04-25T00:00:00"/>
    <x v="96"/>
    <d v="2022-10-03T00:00:00"/>
    <n v="120"/>
    <d v="2024-04-25T00:00:00"/>
    <n v="10766.4"/>
    <n v="89.72"/>
  </r>
  <r>
    <d v="2023-09-20T00:00:00"/>
    <x v="96"/>
    <d v="2023-09-11T00:00:00"/>
    <n v="360"/>
    <d v="2024-05-02T00:00:00"/>
    <n v="32299.200000000001"/>
    <n v="89.72"/>
  </r>
  <r>
    <d v="2024-05-22T00:00:00"/>
    <x v="96"/>
    <d v="2023-02-24T00:00:00"/>
    <n v="120"/>
    <d v="2023-04-17T00:00:00"/>
    <n v="10766.4"/>
    <n v="89.72"/>
  </r>
  <r>
    <d v="2024-08-08T00:00:00"/>
    <x v="96"/>
    <d v="2023-02-24T00:00:00"/>
    <n v="120"/>
    <d v="2023-06-30T00:00:00"/>
    <n v="10766.4"/>
    <n v="89.72"/>
  </r>
  <r>
    <d v="2024-01-17T00:00:00"/>
    <x v="96"/>
    <d v="2023-01-30T00:00:00"/>
    <n v="240"/>
    <d v="2023-12-22T00:00:00"/>
    <n v="21532.799999999999"/>
    <n v="89.72"/>
  </r>
  <r>
    <d v="2024-01-26T00:00:00"/>
    <x v="96"/>
    <d v="2023-02-08T00:00:00"/>
    <n v="360"/>
    <d v="2023-12-19T00:00:00"/>
    <n v="32299.200000000001"/>
    <n v="89.72"/>
  </r>
  <r>
    <d v="2024-01-31T00:00:00"/>
    <x v="96"/>
    <d v="2023-02-13T00:00:00"/>
    <n v="120"/>
    <d v="2024-01-23T00:00:00"/>
    <n v="10766.4"/>
    <n v="89.72"/>
  </r>
  <r>
    <d v="2024-02-20T00:00:00"/>
    <x v="98"/>
    <d v="2023-02-25T00:00:00"/>
    <n v="3780"/>
    <d v="2024-02-12T00:00:00"/>
    <n v="54280.800000000003"/>
    <n v="14.36"/>
  </r>
  <r>
    <d v="2023-09-19T00:00:00"/>
    <x v="158"/>
    <d v="2022-09-20T00:00:00"/>
    <n v="3024"/>
    <d v="2023-09-19T00:00:00"/>
    <n v="130243.68"/>
    <n v="43.07"/>
  </r>
  <r>
    <d v="2023-09-06T00:00:00"/>
    <x v="159"/>
    <d v="2023-08-31T00:00:00"/>
    <n v="252"/>
    <d v="2023-07-07T00:00:00"/>
    <n v="21089.88"/>
    <n v="83.69"/>
  </r>
  <r>
    <d v="2024-02-07T00:00:00"/>
    <x v="159"/>
    <d v="2023-02-21T00:00:00"/>
    <n v="252"/>
    <d v="2023-10-31T00:00:00"/>
    <n v="21089.88"/>
    <n v="83.69"/>
  </r>
  <r>
    <d v="2023-11-15T00:00:00"/>
    <x v="159"/>
    <d v="2023-02-21T00:00:00"/>
    <n v="252"/>
    <d v="2023-11-07T00:00:00"/>
    <n v="21089.88"/>
    <n v="83.69"/>
  </r>
  <r>
    <d v="2024-01-29T00:00:00"/>
    <x v="159"/>
    <d v="2023-02-27T00:00:00"/>
    <n v="504"/>
    <d v="2023-11-07T00:00:00"/>
    <n v="42179.76"/>
    <n v="83.69"/>
  </r>
  <r>
    <d v="2024-03-06T00:00:00"/>
    <x v="159"/>
    <d v="2023-02-27T00:00:00"/>
    <n v="252"/>
    <d v="2024-03-06T00:00:00"/>
    <n v="21089.88"/>
    <n v="83.69"/>
  </r>
  <r>
    <d v="2024-02-07T00:00:00"/>
    <x v="160"/>
    <d v="2023-02-21T00:00:00"/>
    <n v="252"/>
    <d v="2022-10-14T00:00:00"/>
    <n v="28002.240000000002"/>
    <n v="111.12"/>
  </r>
  <r>
    <d v="2024-02-07T00:00:00"/>
    <x v="160"/>
    <d v="2023-02-21T00:00:00"/>
    <n v="252"/>
    <d v="2023-09-26T00:00:00"/>
    <n v="28002.240000000002"/>
    <n v="111.12"/>
  </r>
  <r>
    <d v="2023-10-13T00:00:00"/>
    <x v="161"/>
    <d v="2023-08-21T00:00:00"/>
    <n v="120"/>
    <d v="2023-03-03T00:00:00"/>
    <n v="28645.200000000001"/>
    <n v="238.71"/>
  </r>
  <r>
    <d v="2024-01-17T00:00:00"/>
    <x v="95"/>
    <d v="2023-01-25T00:00:00"/>
    <n v="27000"/>
    <d v="2024-01-17T00:00:00"/>
    <n v="2700"/>
    <n v="0.1"/>
  </r>
  <r>
    <d v="2023-09-20T00:00:00"/>
    <x v="162"/>
    <d v="2022-10-03T00:00:00"/>
    <n v="400"/>
    <d v="2023-09-15T00:00:00"/>
    <n v="43968"/>
    <n v="109.92"/>
  </r>
  <r>
    <d v="2023-11-03T00:00:00"/>
    <x v="162"/>
    <d v="2022-10-04T00:00:00"/>
    <n v="600"/>
    <d v="2023-11-03T00:00:00"/>
    <n v="65952"/>
    <n v="109.92"/>
  </r>
  <r>
    <d v="2023-10-27T00:00:00"/>
    <x v="162"/>
    <d v="2022-10-03T00:00:00"/>
    <n v="200"/>
    <d v="2023-10-27T00:00:00"/>
    <n v="21984"/>
    <n v="109.92"/>
  </r>
  <r>
    <d v="2023-11-03T00:00:00"/>
    <x v="162"/>
    <d v="2022-11-17T00:00:00"/>
    <n v="600"/>
    <d v="2023-11-03T00:00:00"/>
    <n v="65952"/>
    <n v="109.92"/>
  </r>
  <r>
    <d v="2024-01-19T00:00:00"/>
    <x v="162"/>
    <d v="2023-01-10T00:00:00"/>
    <n v="600"/>
    <d v="2024-01-19T00:00:00"/>
    <n v="65952"/>
    <n v="109.92"/>
  </r>
  <r>
    <d v="2024-02-01T00:00:00"/>
    <x v="162"/>
    <d v="2023-01-18T00:00:00"/>
    <n v="600"/>
    <d v="2024-02-01T00:00:00"/>
    <n v="65952"/>
    <n v="109.92"/>
  </r>
  <r>
    <d v="2024-01-31T00:00:00"/>
    <x v="162"/>
    <d v="2023-02-13T00:00:00"/>
    <n v="400"/>
    <d v="2024-01-23T00:00:00"/>
    <n v="43968"/>
    <n v="109.92"/>
  </r>
  <r>
    <d v="2024-03-22T00:00:00"/>
    <x v="162"/>
    <d v="2023-02-25T00:00:00"/>
    <n v="600"/>
    <d v="2024-03-22T00:00:00"/>
    <n v="65952"/>
    <n v="109.92"/>
  </r>
  <r>
    <d v="2024-02-12T00:00:00"/>
    <x v="162"/>
    <d v="2023-02-25T00:00:00"/>
    <n v="600"/>
    <d v="2024-02-07T00:00:00"/>
    <n v="65952"/>
    <n v="109.92"/>
  </r>
  <r>
    <d v="2024-04-12T00:00:00"/>
    <x v="162"/>
    <d v="2023-03-14T00:00:00"/>
    <n v="600"/>
    <d v="2024-04-12T00:00:00"/>
    <n v="65952"/>
    <n v="109.92"/>
  </r>
  <r>
    <d v="2024-07-03T00:00:00"/>
    <x v="162"/>
    <d v="2023-07-17T00:00:00"/>
    <n v="600"/>
    <d v="2024-06-20T00:00:00"/>
    <n v="65952"/>
    <n v="109.92"/>
  </r>
  <r>
    <d v="2024-07-18T00:00:00"/>
    <x v="162"/>
    <d v="2023-08-01T00:00:00"/>
    <n v="800"/>
    <d v="2024-07-18T00:00:00"/>
    <n v="87936"/>
    <n v="109.92"/>
  </r>
  <r>
    <d v="2024-08-01T00:00:00"/>
    <x v="162"/>
    <d v="2023-08-07T00:00:00"/>
    <n v="400"/>
    <d v="2024-08-01T00:00:00"/>
    <n v="43968"/>
    <n v="109.92"/>
  </r>
  <r>
    <d v="2024-08-15T00:00:00"/>
    <x v="162"/>
    <d v="2023-08-20T00:00:00"/>
    <n v="200"/>
    <d v="2024-08-15T00:00:00"/>
    <n v="21984"/>
    <n v="109.92"/>
  </r>
  <r>
    <d v="2023-09-22T00:00:00"/>
    <x v="163"/>
    <d v="2023-01-30T00:00:00"/>
    <n v="120"/>
    <d v="2022-09-30T00:00:00"/>
    <n v="51414"/>
    <n v="428.45"/>
  </r>
  <r>
    <d v="2023-09-22T00:00:00"/>
    <x v="163"/>
    <d v="2023-01-30T00:00:00"/>
    <n v="120"/>
    <d v="2022-09-30T00:00:00"/>
    <n v="51414"/>
    <n v="428.45"/>
  </r>
  <r>
    <d v="2023-09-22T00:00:00"/>
    <x v="163"/>
    <d v="2023-01-30T00:00:00"/>
    <n v="810"/>
    <d v="2022-10-03T00:00:00"/>
    <n v="347044.5"/>
    <n v="428.45"/>
  </r>
  <r>
    <d v="2023-09-22T00:00:00"/>
    <x v="163"/>
    <d v="2023-01-30T00:00:00"/>
    <n v="450"/>
    <d v="2022-10-17T00:00:00"/>
    <n v="192802.5"/>
    <n v="428.45"/>
  </r>
  <r>
    <d v="2023-09-22T00:00:00"/>
    <x v="163"/>
    <d v="2023-01-30T00:00:00"/>
    <n v="120"/>
    <d v="2022-10-17T00:00:00"/>
    <n v="51414"/>
    <n v="428.45"/>
  </r>
  <r>
    <d v="2023-09-22T00:00:00"/>
    <x v="163"/>
    <d v="2023-01-30T00:00:00"/>
    <n v="2880"/>
    <d v="2022-10-13T00:00:00"/>
    <n v="1233936"/>
    <n v="428.45"/>
  </r>
  <r>
    <d v="2023-09-15T00:00:00"/>
    <x v="163"/>
    <d v="2023-09-06T00:00:00"/>
    <n v="900"/>
    <d v="2023-08-04T00:00:00"/>
    <n v="385605"/>
    <n v="428.45"/>
  </r>
  <r>
    <d v="2023-10-25T00:00:00"/>
    <x v="163"/>
    <d v="2023-09-11T00:00:00"/>
    <n v="330"/>
    <d v="2023-09-25T00:00:00"/>
    <n v="141388.5"/>
    <n v="428.45"/>
  </r>
  <r>
    <d v="2023-10-25T00:00:00"/>
    <x v="163"/>
    <d v="2023-09-11T00:00:00"/>
    <n v="3960"/>
    <d v="2023-09-25T00:00:00"/>
    <n v="1696662"/>
    <n v="428.45"/>
  </r>
  <r>
    <d v="2024-02-07T00:00:00"/>
    <x v="163"/>
    <d v="2023-02-10T00:00:00"/>
    <n v="1800"/>
    <d v="2024-01-30T00:00:00"/>
    <n v="771210"/>
    <n v="428.45"/>
  </r>
  <r>
    <d v="2024-02-02T00:00:00"/>
    <x v="163"/>
    <d v="2023-02-10T00:00:00"/>
    <n v="1560"/>
    <d v="2024-01-08T00:00:00"/>
    <n v="668382"/>
    <n v="428.45"/>
  </r>
  <r>
    <d v="2024-03-15T00:00:00"/>
    <x v="163"/>
    <d v="2023-03-09T00:00:00"/>
    <n v="2220"/>
    <d v="2024-03-08T00:00:00"/>
    <n v="951159"/>
    <n v="428.45"/>
  </r>
  <r>
    <d v="2025-07-25T00:00:00"/>
    <x v="163"/>
    <d v="2023-06-15T00:00:00"/>
    <n v="30"/>
    <d v="2025-07-18T00:00:00"/>
    <n v="12853.5"/>
    <n v="428.45"/>
  </r>
  <r>
    <d v="2023-09-15T00:00:00"/>
    <x v="164"/>
    <d v="2023-09-06T00:00:00"/>
    <n v="576"/>
    <d v="2023-07-17T00:00:00"/>
    <n v="230204.16"/>
    <n v="399.66"/>
  </r>
  <r>
    <d v="2024-05-15T00:00:00"/>
    <x v="164"/>
    <d v="2023-05-02T00:00:00"/>
    <n v="576"/>
    <d v="2024-05-08T00:00:00"/>
    <n v="230204.16"/>
    <n v="399.66"/>
  </r>
  <r>
    <d v="2024-06-28T00:00:00"/>
    <x v="164"/>
    <d v="2023-06-28T00:00:00"/>
    <n v="576"/>
    <d v="2024-06-21T00:00:00"/>
    <n v="230204.16"/>
    <n v="399.66"/>
  </r>
  <r>
    <d v="2024-08-28T00:00:00"/>
    <x v="164"/>
    <d v="2023-09-06T00:00:00"/>
    <n v="1152"/>
    <d v="2024-08-27T00:00:00"/>
    <n v="460408.32000000001"/>
    <n v="399.66"/>
  </r>
  <r>
    <d v="2023-11-22T00:00:00"/>
    <x v="165"/>
    <d v="2022-07-29T00:00:00"/>
    <n v="1008"/>
    <d v="2023-11-14T00:00:00"/>
    <n v="71648.639999999999"/>
    <n v="71.08"/>
  </r>
  <r>
    <d v="2023-11-28T00:00:00"/>
    <x v="166"/>
    <d v="2022-07-29T00:00:00"/>
    <n v="308"/>
    <d v="2023-11-16T00:00:00"/>
    <n v="26281.64"/>
    <n v="85.33"/>
  </r>
  <r>
    <d v="2023-12-01T00:00:00"/>
    <x v="166"/>
    <d v="2022-12-09T00:00:00"/>
    <n v="308"/>
    <d v="2023-11-16T00:00:00"/>
    <n v="26281.64"/>
    <n v="85.33"/>
  </r>
  <r>
    <d v="2023-09-22T00:00:00"/>
    <x v="167"/>
    <d v="2022-07-29T00:00:00"/>
    <n v="840"/>
    <d v="2022-06-17T00:00:00"/>
    <n v="12902.4"/>
    <n v="15.36"/>
  </r>
  <r>
    <d v="2024-01-23T00:00:00"/>
    <x v="167"/>
    <d v="2022-12-05T00:00:00"/>
    <n v="840"/>
    <d v="2024-01-23T00:00:00"/>
    <n v="12902.4"/>
    <n v="15.36"/>
  </r>
  <r>
    <d v="2024-03-12T00:00:00"/>
    <x v="167"/>
    <d v="2022-12-05T00:00:00"/>
    <n v="840"/>
    <d v="2024-03-12T00:00:00"/>
    <n v="12902.4"/>
    <n v="15.36"/>
  </r>
  <r>
    <d v="2024-04-24T00:00:00"/>
    <x v="167"/>
    <d v="2022-12-12T00:00:00"/>
    <n v="840"/>
    <d v="2024-04-17T00:00:00"/>
    <n v="12902.4"/>
    <n v="15.36"/>
  </r>
  <r>
    <d v="2024-05-16T00:00:00"/>
    <x v="167"/>
    <d v="2023-01-17T00:00:00"/>
    <n v="420"/>
    <d v="2024-05-16T00:00:00"/>
    <n v="6451.2"/>
    <n v="15.36"/>
  </r>
  <r>
    <d v="2024-06-24T00:00:00"/>
    <x v="167"/>
    <d v="2023-03-13T00:00:00"/>
    <n v="840"/>
    <d v="2024-06-24T00:00:00"/>
    <n v="12902.4"/>
    <n v="15.36"/>
  </r>
  <r>
    <d v="2023-10-06T00:00:00"/>
    <x v="107"/>
    <d v="2023-08-03T00:00:00"/>
    <n v="1820"/>
    <d v="2022-08-01T00:00:00"/>
    <n v="4459"/>
    <n v="2.4500000000000002"/>
  </r>
  <r>
    <d v="2023-10-06T00:00:00"/>
    <x v="107"/>
    <d v="2023-08-03T00:00:00"/>
    <n v="1820"/>
    <d v="2022-08-08T00:00:00"/>
    <n v="4459"/>
    <n v="2.4500000000000002"/>
  </r>
  <r>
    <d v="2023-10-06T00:00:00"/>
    <x v="107"/>
    <d v="2023-08-03T00:00:00"/>
    <n v="1820"/>
    <d v="2022-08-15T00:00:00"/>
    <n v="4459"/>
    <n v="2.4500000000000002"/>
  </r>
  <r>
    <d v="2023-10-06T00:00:00"/>
    <x v="107"/>
    <d v="2023-08-03T00:00:00"/>
    <n v="1820"/>
    <d v="2022-08-29T00:00:00"/>
    <n v="4459"/>
    <n v="2.4500000000000002"/>
  </r>
  <r>
    <d v="2023-10-06T00:00:00"/>
    <x v="107"/>
    <d v="2023-08-03T00:00:00"/>
    <n v="1820"/>
    <d v="2022-08-26T00:00:00"/>
    <n v="4459"/>
    <n v="2.4500000000000002"/>
  </r>
  <r>
    <d v="2023-10-03T00:00:00"/>
    <x v="107"/>
    <d v="2022-09-07T00:00:00"/>
    <n v="7280"/>
    <d v="2023-10-03T00:00:00"/>
    <n v="17836"/>
    <n v="2.4500000000000002"/>
  </r>
  <r>
    <d v="2024-08-20T00:00:00"/>
    <x v="107"/>
    <d v="2023-08-20T00:00:00"/>
    <n v="1820"/>
    <d v="2024-08-20T00:00:00"/>
    <n v="4459"/>
    <n v="2.4500000000000002"/>
  </r>
  <r>
    <d v="2023-09-14T00:00:00"/>
    <x v="168"/>
    <d v="2022-08-15T00:00:00"/>
    <n v="84"/>
    <d v="2023-09-14T00:00:00"/>
    <n v="11361"/>
    <n v="135.25"/>
  </r>
  <r>
    <d v="2023-10-12T00:00:00"/>
    <x v="168"/>
    <d v="2022-09-07T00:00:00"/>
    <n v="84"/>
    <d v="2023-10-12T00:00:00"/>
    <n v="11361"/>
    <n v="135.25"/>
  </r>
  <r>
    <d v="2023-10-13T00:00:00"/>
    <x v="168"/>
    <d v="2023-08-21T00:00:00"/>
    <n v="84"/>
    <d v="2023-07-20T00:00:00"/>
    <n v="11361"/>
    <n v="135.25"/>
  </r>
  <r>
    <d v="2023-11-09T00:00:00"/>
    <x v="168"/>
    <d v="2023-02-21T00:00:00"/>
    <n v="84"/>
    <d v="2023-11-02T00:00:00"/>
    <n v="11361"/>
    <n v="135.25"/>
  </r>
  <r>
    <d v="2023-10-13T00:00:00"/>
    <x v="168"/>
    <d v="2023-08-21T00:00:00"/>
    <n v="84"/>
    <d v="2023-06-22T00:00:00"/>
    <n v="11361"/>
    <n v="135.25"/>
  </r>
  <r>
    <d v="2023-11-03T00:00:00"/>
    <x v="168"/>
    <d v="2023-02-15T00:00:00"/>
    <n v="168"/>
    <d v="2023-07-06T00:00:00"/>
    <n v="22722"/>
    <n v="135.25"/>
  </r>
  <r>
    <d v="2024-03-25T00:00:00"/>
    <x v="168"/>
    <d v="2023-02-25T00:00:00"/>
    <n v="84"/>
    <d v="2024-03-25T00:00:00"/>
    <n v="11361"/>
    <n v="135.25"/>
  </r>
  <r>
    <d v="2024-03-11T00:00:00"/>
    <x v="168"/>
    <d v="2023-03-23T00:00:00"/>
    <n v="1092"/>
    <d v="2023-04-10T00:00:00"/>
    <n v="147693"/>
    <n v="135.25"/>
  </r>
  <r>
    <d v="2024-04-17T00:00:00"/>
    <x v="168"/>
    <d v="2023-03-28T00:00:00"/>
    <n v="84"/>
    <d v="2024-04-17T00:00:00"/>
    <n v="11361"/>
    <n v="135.25"/>
  </r>
  <r>
    <d v="2024-05-15T00:00:00"/>
    <x v="168"/>
    <d v="2023-04-11T00:00:00"/>
    <n v="84"/>
    <d v="2024-05-15T00:00:00"/>
    <n v="11361"/>
    <n v="135.25"/>
  </r>
  <r>
    <d v="2023-11-03T00:00:00"/>
    <x v="169"/>
    <d v="2023-08-15T00:00:00"/>
    <n v="588"/>
    <d v="2023-02-08T00:00:00"/>
    <n v="60722.76"/>
    <n v="103.27"/>
  </r>
  <r>
    <d v="2023-10-25T00:00:00"/>
    <x v="113"/>
    <d v="2022-07-29T00:00:00"/>
    <n v="1120"/>
    <d v="2023-10-18T00:00:00"/>
    <n v="60737.599999999999"/>
    <n v="54.23"/>
  </r>
  <r>
    <d v="2024-05-08T00:00:00"/>
    <x v="113"/>
    <d v="2022-10-12T00:00:00"/>
    <n v="1120"/>
    <d v="2024-05-08T00:00:00"/>
    <n v="60737.599999999999"/>
    <n v="54.23"/>
  </r>
  <r>
    <d v="2024-02-16T00:00:00"/>
    <x v="170"/>
    <d v="2023-08-23T00:00:00"/>
    <n v="3528"/>
    <d v="2023-10-24T00:00:00"/>
    <n v="325951.92"/>
    <n v="92.39"/>
  </r>
  <r>
    <d v="2024-02-16T00:00:00"/>
    <x v="170"/>
    <d v="2023-08-23T00:00:00"/>
    <n v="3528"/>
    <d v="2023-10-24T00:00:00"/>
    <n v="325951.92"/>
    <n v="92.39"/>
  </r>
  <r>
    <d v="2023-09-22T00:00:00"/>
    <x v="171"/>
    <d v="2022-07-29T00:00:00"/>
    <n v="210"/>
    <d v="2022-04-14T00:00:00"/>
    <n v="85113"/>
    <n v="405.3"/>
  </r>
  <r>
    <d v="2023-09-22T00:00:00"/>
    <x v="171"/>
    <d v="2022-07-29T00:00:00"/>
    <n v="700"/>
    <d v="2022-04-14T00:00:00"/>
    <n v="283710"/>
    <n v="405.3"/>
  </r>
  <r>
    <d v="2023-09-22T00:00:00"/>
    <x v="171"/>
    <d v="2022-07-29T00:00:00"/>
    <n v="980"/>
    <d v="2022-05-13T00:00:00"/>
    <n v="397194"/>
    <n v="405.3"/>
  </r>
  <r>
    <d v="2023-09-22T00:00:00"/>
    <x v="171"/>
    <d v="2022-07-29T00:00:00"/>
    <n v="420"/>
    <d v="2022-05-27T00:00:00"/>
    <n v="170226"/>
    <n v="405.3"/>
  </r>
  <r>
    <d v="2023-09-22T00:00:00"/>
    <x v="171"/>
    <d v="2022-07-29T00:00:00"/>
    <n v="350"/>
    <d v="2022-05-27T00:00:00"/>
    <n v="141855"/>
    <n v="405.3"/>
  </r>
  <r>
    <d v="2023-09-22T00:00:00"/>
    <x v="171"/>
    <d v="2022-07-29T00:00:00"/>
    <n v="490"/>
    <d v="2022-05-27T00:00:00"/>
    <n v="198597"/>
    <n v="405.3"/>
  </r>
  <r>
    <d v="2023-09-19T00:00:00"/>
    <x v="171"/>
    <d v="2023-09-08T00:00:00"/>
    <n v="280"/>
    <d v="2023-09-12T00:00:00"/>
    <n v="113484"/>
    <n v="405.3"/>
  </r>
  <r>
    <d v="2023-10-03T00:00:00"/>
    <x v="171"/>
    <d v="2022-09-07T00:00:00"/>
    <n v="140"/>
    <d v="2023-10-03T00:00:00"/>
    <n v="56742"/>
    <n v="405.3"/>
  </r>
  <r>
    <d v="2023-10-10T00:00:00"/>
    <x v="171"/>
    <d v="2022-09-20T00:00:00"/>
    <n v="560"/>
    <d v="2023-10-10T00:00:00"/>
    <n v="226968"/>
    <n v="405.3"/>
  </r>
  <r>
    <d v="2023-09-19T00:00:00"/>
    <x v="172"/>
    <d v="2023-09-08T00:00:00"/>
    <n v="140"/>
    <d v="2023-09-12T00:00:00"/>
    <n v="58604"/>
    <n v="418.6"/>
  </r>
  <r>
    <d v="2023-10-13T00:00:00"/>
    <x v="172"/>
    <d v="2022-09-20T00:00:00"/>
    <n v="210"/>
    <d v="2023-10-13T00:00:00"/>
    <n v="87906"/>
    <n v="418.6"/>
  </r>
  <r>
    <d v="2023-09-22T00:00:00"/>
    <x v="173"/>
    <d v="2022-07-29T00:00:00"/>
    <n v="210"/>
    <d v="2022-04-25T00:00:00"/>
    <n v="78649.2"/>
    <n v="374.52"/>
  </r>
  <r>
    <d v="2023-09-22T00:00:00"/>
    <x v="173"/>
    <d v="2022-07-29T00:00:00"/>
    <n v="560"/>
    <d v="2022-05-16T00:00:00"/>
    <n v="209731.20000000001"/>
    <n v="374.52"/>
  </r>
  <r>
    <d v="2023-09-22T00:00:00"/>
    <x v="173"/>
    <d v="2022-07-29T00:00:00"/>
    <n v="70"/>
    <d v="2022-06-03T00:00:00"/>
    <n v="26216.400000000001"/>
    <n v="374.52"/>
  </r>
  <r>
    <d v="2023-09-22T00:00:00"/>
    <x v="173"/>
    <d v="2022-07-29T00:00:00"/>
    <n v="280"/>
    <d v="2022-06-17T00:00:00"/>
    <n v="104865.60000000001"/>
    <n v="374.52"/>
  </r>
  <r>
    <d v="2023-09-22T00:00:00"/>
    <x v="173"/>
    <d v="2022-07-29T00:00:00"/>
    <n v="210"/>
    <d v="2022-06-17T00:00:00"/>
    <n v="78649.2"/>
    <n v="374.52"/>
  </r>
  <r>
    <d v="2023-09-22T00:00:00"/>
    <x v="173"/>
    <d v="2022-07-29T00:00:00"/>
    <n v="280"/>
    <d v="2022-06-17T00:00:00"/>
    <n v="104865.60000000001"/>
    <n v="374.52"/>
  </r>
  <r>
    <d v="2023-09-22T00:00:00"/>
    <x v="173"/>
    <d v="2022-07-29T00:00:00"/>
    <n v="210"/>
    <d v="2022-06-30T00:00:00"/>
    <n v="78649.2"/>
    <n v="374.52"/>
  </r>
  <r>
    <d v="2023-09-22T00:00:00"/>
    <x v="173"/>
    <d v="2022-07-29T00:00:00"/>
    <n v="350"/>
    <d v="2022-06-30T00:00:00"/>
    <n v="131082"/>
    <n v="374.52"/>
  </r>
  <r>
    <d v="2023-09-22T00:00:00"/>
    <x v="173"/>
    <d v="2022-07-29T00:00:00"/>
    <n v="560"/>
    <d v="2022-07-01T00:00:00"/>
    <n v="209731.20000000001"/>
    <n v="374.52"/>
  </r>
  <r>
    <d v="2023-09-19T00:00:00"/>
    <x v="173"/>
    <d v="2022-08-22T00:00:00"/>
    <n v="210"/>
    <d v="2023-09-19T00:00:00"/>
    <n v="78649.2"/>
    <n v="374.52"/>
  </r>
  <r>
    <d v="2023-09-26T00:00:00"/>
    <x v="173"/>
    <d v="2022-08-29T00:00:00"/>
    <n v="280"/>
    <d v="2023-09-26T00:00:00"/>
    <n v="104865.60000000001"/>
    <n v="374.52"/>
  </r>
  <r>
    <d v="2023-10-03T00:00:00"/>
    <x v="173"/>
    <d v="2022-09-07T00:00:00"/>
    <n v="280"/>
    <d v="2023-10-03T00:00:00"/>
    <n v="104865.60000000001"/>
    <n v="374.52"/>
  </r>
  <r>
    <d v="2023-10-10T00:00:00"/>
    <x v="173"/>
    <d v="2022-09-20T00:00:00"/>
    <n v="490"/>
    <d v="2023-10-10T00:00:00"/>
    <n v="183514.8"/>
    <n v="374.52"/>
  </r>
  <r>
    <d v="2024-04-01T00:00:00"/>
    <x v="174"/>
    <d v="2023-05-02T00:00:00"/>
    <n v="280"/>
    <d v="2023-07-11T00:00:00"/>
    <n v="190106"/>
    <n v="678.95"/>
  </r>
  <r>
    <d v="2024-01-12T00:00:00"/>
    <x v="174"/>
    <d v="2023-08-23T00:00:00"/>
    <n v="70"/>
    <d v="2023-07-21T00:00:00"/>
    <n v="47526.5"/>
    <n v="678.95"/>
  </r>
  <r>
    <d v="2024-04-01T00:00:00"/>
    <x v="174"/>
    <d v="2023-05-02T00:00:00"/>
    <n v="140"/>
    <d v="2023-07-28T00:00:00"/>
    <n v="95053"/>
    <n v="678.95"/>
  </r>
  <r>
    <d v="2024-04-01T00:00:00"/>
    <x v="174"/>
    <d v="2023-05-02T00:00:00"/>
    <n v="280"/>
    <d v="2023-08-01T00:00:00"/>
    <n v="190106"/>
    <n v="678.95"/>
  </r>
  <r>
    <d v="2024-04-01T00:00:00"/>
    <x v="174"/>
    <d v="2023-05-02T00:00:00"/>
    <n v="210"/>
    <d v="2023-08-04T00:00:00"/>
    <n v="142579.5"/>
    <n v="678.95"/>
  </r>
  <r>
    <d v="2024-04-01T00:00:00"/>
    <x v="174"/>
    <d v="2023-05-02T00:00:00"/>
    <n v="280"/>
    <d v="2023-08-15T00:00:00"/>
    <n v="190106"/>
    <n v="678.95"/>
  </r>
  <r>
    <d v="2024-04-01T00:00:00"/>
    <x v="174"/>
    <d v="2023-05-02T00:00:00"/>
    <n v="420"/>
    <d v="2023-08-18T00:00:00"/>
    <n v="285159"/>
    <n v="678.95"/>
  </r>
  <r>
    <d v="2024-04-01T00:00:00"/>
    <x v="174"/>
    <d v="2023-05-02T00:00:00"/>
    <n v="140"/>
    <d v="2023-08-15T00:00:00"/>
    <n v="95053"/>
    <n v="678.95"/>
  </r>
  <r>
    <d v="2024-04-01T00:00:00"/>
    <x v="174"/>
    <d v="2023-05-02T00:00:00"/>
    <n v="140"/>
    <d v="2023-09-19T00:00:00"/>
    <n v="95053"/>
    <n v="678.95"/>
  </r>
  <r>
    <d v="2024-01-12T00:00:00"/>
    <x v="174"/>
    <d v="2023-08-23T00:00:00"/>
    <n v="210"/>
    <d v="2023-09-26T00:00:00"/>
    <n v="142579.5"/>
    <n v="678.95"/>
  </r>
  <r>
    <d v="2024-01-12T00:00:00"/>
    <x v="174"/>
    <d v="2023-08-23T00:00:00"/>
    <n v="420"/>
    <d v="2023-10-10T00:00:00"/>
    <n v="285159"/>
    <n v="678.95"/>
  </r>
  <r>
    <d v="2024-04-01T00:00:00"/>
    <x v="174"/>
    <d v="2023-05-02T00:00:00"/>
    <n v="140"/>
    <d v="2023-09-12T00:00:00"/>
    <n v="95053"/>
    <n v="678.95"/>
  </r>
  <r>
    <d v="2024-01-12T00:00:00"/>
    <x v="174"/>
    <d v="2023-08-23T00:00:00"/>
    <n v="280"/>
    <d v="2023-10-17T00:00:00"/>
    <n v="190106"/>
    <n v="678.95"/>
  </r>
  <r>
    <d v="2024-01-12T00:00:00"/>
    <x v="174"/>
    <d v="2023-08-23T00:00:00"/>
    <n v="280"/>
    <d v="2023-10-03T00:00:00"/>
    <n v="190106"/>
    <n v="678.95"/>
  </r>
  <r>
    <d v="2024-02-16T00:00:00"/>
    <x v="174"/>
    <d v="2023-08-23T00:00:00"/>
    <n v="210"/>
    <d v="2023-10-24T00:00:00"/>
    <n v="142579.5"/>
    <n v="678.95"/>
  </r>
  <r>
    <d v="2024-02-16T00:00:00"/>
    <x v="174"/>
    <d v="2023-08-23T00:00:00"/>
    <n v="910"/>
    <d v="2023-10-31T00:00:00"/>
    <n v="617844.5"/>
    <n v="678.95"/>
  </r>
  <r>
    <d v="2024-02-16T00:00:00"/>
    <x v="174"/>
    <d v="2023-08-23T00:00:00"/>
    <n v="210"/>
    <d v="2023-10-24T00:00:00"/>
    <n v="142579.5"/>
    <n v="678.95"/>
  </r>
  <r>
    <d v="2023-12-26T00:00:00"/>
    <x v="174"/>
    <d v="2022-07-29T00:00:00"/>
    <n v="280"/>
    <d v="2023-12-18T00:00:00"/>
    <n v="190106"/>
    <n v="678.95"/>
  </r>
  <r>
    <d v="2024-01-02T00:00:00"/>
    <x v="174"/>
    <d v="2022-07-29T00:00:00"/>
    <n v="280"/>
    <d v="2023-12-22T00:00:00"/>
    <n v="190106"/>
    <n v="678.95"/>
  </r>
  <r>
    <d v="2023-11-27T00:00:00"/>
    <x v="174"/>
    <d v="2023-08-25T00:00:00"/>
    <n v="70"/>
    <d v="2023-11-16T00:00:00"/>
    <n v="47526.5"/>
    <n v="678.95"/>
  </r>
  <r>
    <d v="2023-12-26T00:00:00"/>
    <x v="174"/>
    <d v="2022-08-22T00:00:00"/>
    <n v="560"/>
    <d v="2023-12-18T00:00:00"/>
    <n v="380212"/>
    <n v="678.95"/>
  </r>
  <r>
    <d v="2024-01-09T00:00:00"/>
    <x v="174"/>
    <d v="2022-08-29T00:00:00"/>
    <n v="770"/>
    <d v="2024-01-02T00:00:00"/>
    <n v="522791.5"/>
    <n v="678.95"/>
  </r>
  <r>
    <d v="2023-09-22T00:00:00"/>
    <x v="175"/>
    <d v="2023-01-25T00:00:00"/>
    <n v="3000"/>
    <d v="2023-09-22T00:00:00"/>
    <n v="3570"/>
    <n v="1.19"/>
  </r>
  <r>
    <d v="2023-09-22T00:00:00"/>
    <x v="175"/>
    <d v="2023-01-25T00:00:00"/>
    <n v="3000"/>
    <d v="2023-09-22T00:00:00"/>
    <n v="3570"/>
    <n v="1.19"/>
  </r>
  <r>
    <d v="2023-11-01T00:00:00"/>
    <x v="175"/>
    <d v="2023-01-25T00:00:00"/>
    <n v="3000"/>
    <d v="2023-11-01T00:00:00"/>
    <n v="3570"/>
    <n v="1.19"/>
  </r>
  <r>
    <d v="2023-12-22T00:00:00"/>
    <x v="175"/>
    <d v="2023-01-25T00:00:00"/>
    <n v="3000"/>
    <d v="2023-12-22T00:00:00"/>
    <n v="3570"/>
    <n v="1.19"/>
  </r>
  <r>
    <d v="2023-11-17T00:00:00"/>
    <x v="176"/>
    <d v="2023-08-24T00:00:00"/>
    <n v="3000"/>
    <d v="2023-10-17T00:00:00"/>
    <n v="3840"/>
    <n v="1.28"/>
  </r>
  <r>
    <d v="2023-11-03T00:00:00"/>
    <x v="120"/>
    <d v="2023-02-21T00:00:00"/>
    <n v="252"/>
    <d v="2023-10-27T00:00:00"/>
    <n v="17062.919999999998"/>
    <n v="67.709999999999994"/>
  </r>
  <r>
    <d v="2023-12-01T00:00:00"/>
    <x v="120"/>
    <d v="2023-02-21T00:00:00"/>
    <n v="252"/>
    <d v="2023-11-24T00:00:00"/>
    <n v="17062.919999999998"/>
    <n v="67.709999999999994"/>
  </r>
  <r>
    <d v="2024-01-02T00:00:00"/>
    <x v="120"/>
    <d v="2023-02-21T00:00:00"/>
    <n v="252"/>
    <d v="2023-12-22T00:00:00"/>
    <n v="17062.919999999998"/>
    <n v="67.709999999999994"/>
  </r>
  <r>
    <d v="2024-02-09T00:00:00"/>
    <x v="177"/>
    <d v="2023-04-06T00:00:00"/>
    <n v="60"/>
    <d v="2023-04-25T00:00:00"/>
    <n v="44470.8"/>
    <n v="741.18"/>
  </r>
  <r>
    <d v="2024-06-04T00:00:00"/>
    <x v="177"/>
    <d v="2023-01-31T00:00:00"/>
    <n v="360"/>
    <d v="2024-05-28T00:00:00"/>
    <n v="266824.8"/>
    <n v="741.18"/>
  </r>
  <r>
    <d v="2024-06-04T00:00:00"/>
    <x v="177"/>
    <d v="2023-01-31T00:00:00"/>
    <n v="360"/>
    <d v="2024-05-28T00:00:00"/>
    <n v="266824.8"/>
    <n v="741.18"/>
  </r>
  <r>
    <d v="2024-06-04T00:00:00"/>
    <x v="177"/>
    <d v="2023-01-31T00:00:00"/>
    <n v="90"/>
    <d v="2024-05-28T00:00:00"/>
    <n v="66706.2"/>
    <n v="741.18"/>
  </r>
  <r>
    <d v="2023-12-04T00:00:00"/>
    <x v="177"/>
    <d v="2023-01-31T00:00:00"/>
    <n v="330"/>
    <d v="2023-11-27T00:00:00"/>
    <n v="244589.4"/>
    <n v="741.18"/>
  </r>
  <r>
    <d v="2023-09-25T00:00:00"/>
    <x v="177"/>
    <d v="2023-01-31T00:00:00"/>
    <n v="180"/>
    <d v="2023-09-18T00:00:00"/>
    <n v="133412.4"/>
    <n v="741.18"/>
  </r>
  <r>
    <d v="2023-12-04T00:00:00"/>
    <x v="177"/>
    <d v="2023-01-31T00:00:00"/>
    <n v="330"/>
    <d v="2023-11-27T00:00:00"/>
    <n v="244589.4"/>
    <n v="741.18"/>
  </r>
  <r>
    <d v="2023-10-05T00:00:00"/>
    <x v="177"/>
    <d v="2023-01-31T00:00:00"/>
    <n v="330"/>
    <d v="2023-09-28T00:00:00"/>
    <n v="244589.4"/>
    <n v="741.18"/>
  </r>
  <r>
    <d v="2023-12-04T00:00:00"/>
    <x v="177"/>
    <d v="2023-01-31T00:00:00"/>
    <n v="330"/>
    <d v="2023-11-27T00:00:00"/>
    <n v="244589.4"/>
    <n v="741.18"/>
  </r>
  <r>
    <d v="2023-09-18T00:00:00"/>
    <x v="177"/>
    <d v="2023-09-07T00:00:00"/>
    <n v="1290"/>
    <d v="2023-07-28T00:00:00"/>
    <n v="956122.2"/>
    <n v="741.18"/>
  </r>
  <r>
    <d v="2023-09-19T00:00:00"/>
    <x v="177"/>
    <d v="2023-09-08T00:00:00"/>
    <n v="810"/>
    <d v="2023-09-11T00:00:00"/>
    <n v="600355.80000000005"/>
    <n v="741.18"/>
  </r>
  <r>
    <d v="2023-10-05T00:00:00"/>
    <x v="177"/>
    <d v="2023-01-31T00:00:00"/>
    <n v="360"/>
    <d v="2023-09-28T00:00:00"/>
    <n v="266824.8"/>
    <n v="741.18"/>
  </r>
  <r>
    <d v="2023-10-26T00:00:00"/>
    <x v="177"/>
    <d v="2023-01-31T00:00:00"/>
    <n v="510"/>
    <d v="2023-10-19T00:00:00"/>
    <n v="378001.8"/>
    <n v="741.18"/>
  </r>
  <r>
    <d v="2023-11-06T00:00:00"/>
    <x v="177"/>
    <d v="2023-01-31T00:00:00"/>
    <n v="870"/>
    <d v="2023-10-30T00:00:00"/>
    <n v="644826.6"/>
    <n v="741.18"/>
  </r>
  <r>
    <d v="2023-12-04T00:00:00"/>
    <x v="177"/>
    <d v="2023-01-31T00:00:00"/>
    <n v="150"/>
    <d v="2023-11-27T00:00:00"/>
    <n v="111177"/>
    <n v="741.18"/>
  </r>
  <r>
    <d v="2024-05-09T00:00:00"/>
    <x v="177"/>
    <d v="2023-05-15T00:00:00"/>
    <n v="2370"/>
    <d v="2024-05-02T00:00:00"/>
    <n v="1756596.6"/>
    <n v="741.18"/>
  </r>
  <r>
    <d v="2024-04-29T00:00:00"/>
    <x v="177"/>
    <d v="2023-05-15T00:00:00"/>
    <n v="1080"/>
    <d v="2024-04-22T00:00:00"/>
    <n v="800474.4"/>
    <n v="741.18"/>
  </r>
  <r>
    <d v="2024-01-12T00:00:00"/>
    <x v="178"/>
    <d v="2023-08-23T00:00:00"/>
    <n v="160"/>
    <d v="2023-04-11T00:00:00"/>
    <n v="136057.60000000001"/>
    <n v="850.36"/>
  </r>
  <r>
    <d v="2024-01-12T00:00:00"/>
    <x v="178"/>
    <d v="2023-08-23T00:00:00"/>
    <n v="64"/>
    <d v="2023-04-18T00:00:00"/>
    <n v="54423.040000000001"/>
    <n v="850.36"/>
  </r>
  <r>
    <d v="2023-11-29T00:00:00"/>
    <x v="178"/>
    <d v="2022-12-12T00:00:00"/>
    <n v="608"/>
    <d v="2023-11-15T00:00:00"/>
    <n v="517018.88"/>
    <n v="850.36"/>
  </r>
  <r>
    <d v="2023-12-22T00:00:00"/>
    <x v="178"/>
    <d v="2023-01-03T00:00:00"/>
    <n v="576"/>
    <d v="2023-12-22T00:00:00"/>
    <n v="489807.35999999999"/>
    <n v="850.36"/>
  </r>
  <r>
    <d v="2023-10-03T00:00:00"/>
    <x v="179"/>
    <d v="2022-10-16T00:00:00"/>
    <n v="55"/>
    <d v="2023-09-25T00:00:00"/>
    <n v="9579.9"/>
    <n v="174.18"/>
  </r>
  <r>
    <d v="2023-10-24T00:00:00"/>
    <x v="179"/>
    <d v="2023-02-15T00:00:00"/>
    <n v="60"/>
    <d v="2023-10-17T00:00:00"/>
    <n v="10450.799999999999"/>
    <n v="174.18"/>
  </r>
  <r>
    <d v="2023-10-06T00:00:00"/>
    <x v="179"/>
    <d v="2023-02-15T00:00:00"/>
    <n v="81"/>
    <d v="2023-09-19T00:00:00"/>
    <n v="14108.58"/>
    <n v="174.18"/>
  </r>
  <r>
    <d v="2023-11-21T00:00:00"/>
    <x v="179"/>
    <d v="2022-11-14T00:00:00"/>
    <n v="26"/>
    <d v="2023-11-14T00:00:00"/>
    <n v="4528.68"/>
    <n v="174.18"/>
  </r>
  <r>
    <d v="2023-12-19T00:00:00"/>
    <x v="179"/>
    <d v="2022-12-15T00:00:00"/>
    <n v="60"/>
    <d v="2023-12-12T00:00:00"/>
    <n v="10450.799999999999"/>
    <n v="174.18"/>
  </r>
  <r>
    <d v="2023-12-22T00:00:00"/>
    <x v="179"/>
    <d v="2023-01-02T00:00:00"/>
    <n v="192"/>
    <d v="2023-12-12T00:00:00"/>
    <n v="33442.559999999998"/>
    <n v="174.18"/>
  </r>
  <r>
    <d v="2023-11-03T00:00:00"/>
    <x v="179"/>
    <d v="2023-02-15T00:00:00"/>
    <n v="192"/>
    <d v="2023-10-10T00:00:00"/>
    <n v="33442.559999999998"/>
    <n v="174.18"/>
  </r>
  <r>
    <d v="2023-12-22T00:00:00"/>
    <x v="179"/>
    <d v="2023-01-02T00:00:00"/>
    <n v="126"/>
    <d v="2023-11-07T00:00:00"/>
    <n v="21946.68"/>
    <n v="174.18"/>
  </r>
  <r>
    <d v="2023-11-03T00:00:00"/>
    <x v="179"/>
    <d v="2023-02-15T00:00:00"/>
    <n v="126"/>
    <d v="2023-09-12T00:00:00"/>
    <n v="21946.68"/>
    <n v="174.18"/>
  </r>
  <r>
    <d v="2024-01-09T00:00:00"/>
    <x v="179"/>
    <d v="2023-01-10T00:00:00"/>
    <n v="29"/>
    <d v="2024-01-09T00:00:00"/>
    <n v="5051.22"/>
    <n v="174.18"/>
  </r>
  <r>
    <d v="2023-12-01T00:00:00"/>
    <x v="179"/>
    <d v="2023-03-19T00:00:00"/>
    <n v="15"/>
    <d v="2023-11-24T00:00:00"/>
    <n v="2612.6999999999998"/>
    <n v="174.18"/>
  </r>
  <r>
    <d v="2024-03-06T00:00:00"/>
    <x v="179"/>
    <d v="2023-03-19T00:00:00"/>
    <n v="208"/>
    <d v="2023-12-26T00:00:00"/>
    <n v="36229.440000000002"/>
    <n v="174.18"/>
  </r>
  <r>
    <d v="2024-03-06T00:00:00"/>
    <x v="179"/>
    <d v="2023-03-19T00:00:00"/>
    <n v="308"/>
    <d v="2023-11-29T00:00:00"/>
    <n v="53647.44"/>
    <n v="174.18"/>
  </r>
  <r>
    <d v="2024-03-15T00:00:00"/>
    <x v="179"/>
    <d v="2023-03-19T00:00:00"/>
    <n v="52"/>
    <d v="2024-03-15T00:00:00"/>
    <n v="9057.36"/>
    <n v="174.18"/>
  </r>
  <r>
    <d v="2024-03-06T00:00:00"/>
    <x v="179"/>
    <d v="2023-03-19T00:00:00"/>
    <n v="69"/>
    <d v="2024-01-30T00:00:00"/>
    <n v="12018.42"/>
    <n v="174.18"/>
  </r>
  <r>
    <d v="2024-04-19T00:00:00"/>
    <x v="179"/>
    <d v="2023-04-20T00:00:00"/>
    <n v="30"/>
    <d v="2024-04-19T00:00:00"/>
    <n v="5225.3999999999996"/>
    <n v="174.18"/>
  </r>
  <r>
    <d v="2024-04-17T00:00:00"/>
    <x v="179"/>
    <d v="2023-04-16T00:00:00"/>
    <n v="15"/>
    <d v="2024-04-17T00:00:00"/>
    <n v="2612.6999999999998"/>
    <n v="174.18"/>
  </r>
  <r>
    <d v="2024-04-17T00:00:00"/>
    <x v="179"/>
    <d v="2023-04-29T00:00:00"/>
    <n v="45"/>
    <d v="2024-04-17T00:00:00"/>
    <n v="7838.1"/>
    <n v="174.18"/>
  </r>
  <r>
    <d v="2024-05-10T00:00:00"/>
    <x v="179"/>
    <d v="2023-05-20T00:00:00"/>
    <n v="30"/>
    <d v="2024-05-10T00:00:00"/>
    <n v="5225.3999999999996"/>
    <n v="174.18"/>
  </r>
  <r>
    <d v="2023-10-12T00:00:00"/>
    <x v="180"/>
    <d v="2022-10-06T00:00:00"/>
    <n v="846"/>
    <d v="2023-10-05T00:00:00"/>
    <n v="57680.28"/>
    <n v="68.180000000000007"/>
  </r>
  <r>
    <d v="2023-12-07T00:00:00"/>
    <x v="180"/>
    <d v="2022-11-16T00:00:00"/>
    <n v="360"/>
    <d v="2023-11-30T00:00:00"/>
    <n v="24544.799999999999"/>
    <n v="68.180000000000007"/>
  </r>
  <r>
    <d v="2023-09-28T00:00:00"/>
    <x v="181"/>
    <d v="2023-01-31T00:00:00"/>
    <n v="930"/>
    <d v="2023-08-01T00:00:00"/>
    <n v="778289.1"/>
    <n v="836.87"/>
  </r>
  <r>
    <d v="2023-09-28T00:00:00"/>
    <x v="181"/>
    <d v="2023-01-31T00:00:00"/>
    <n v="1065"/>
    <d v="2023-09-07T00:00:00"/>
    <n v="891266.55"/>
    <n v="836.87"/>
  </r>
  <r>
    <d v="2023-09-21T00:00:00"/>
    <x v="181"/>
    <d v="2023-01-31T00:00:00"/>
    <n v="2250"/>
    <d v="2023-07-03T00:00:00"/>
    <n v="1882957.5"/>
    <n v="836.87"/>
  </r>
  <r>
    <d v="2023-09-15T00:00:00"/>
    <x v="181"/>
    <d v="2023-09-06T00:00:00"/>
    <n v="675"/>
    <d v="2023-06-15T00:00:00"/>
    <n v="564887.25"/>
    <n v="836.87"/>
  </r>
  <r>
    <d v="2023-09-29T00:00:00"/>
    <x v="181"/>
    <d v="2023-01-31T00:00:00"/>
    <n v="600"/>
    <d v="2023-09-15T00:00:00"/>
    <n v="502122"/>
    <n v="836.87"/>
  </r>
  <r>
    <d v="2023-09-29T00:00:00"/>
    <x v="181"/>
    <d v="2023-01-31T00:00:00"/>
    <n v="120"/>
    <d v="2023-09-15T00:00:00"/>
    <n v="100424.4"/>
    <n v="836.87"/>
  </r>
  <r>
    <d v="2023-10-26T00:00:00"/>
    <x v="181"/>
    <d v="2023-01-31T00:00:00"/>
    <n v="30"/>
    <d v="2023-10-19T00:00:00"/>
    <n v="25106.1"/>
    <n v="836.87"/>
  </r>
  <r>
    <d v="2024-05-09T00:00:00"/>
    <x v="181"/>
    <d v="2023-05-09T00:00:00"/>
    <n v="585"/>
    <d v="2024-05-09T00:00:00"/>
    <n v="489568.95"/>
    <n v="836.87"/>
  </r>
  <r>
    <d v="2024-01-12T00:00:00"/>
    <x v="182"/>
    <d v="2023-08-23T00:00:00"/>
    <n v="538"/>
    <d v="2022-08-05T00:00:00"/>
    <n v="993653.72"/>
    <n v="1846.94"/>
  </r>
  <r>
    <d v="2024-01-12T00:00:00"/>
    <x v="182"/>
    <d v="2023-08-23T00:00:00"/>
    <n v="351"/>
    <d v="2023-03-17T00:00:00"/>
    <n v="648275.93999999994"/>
    <n v="1846.94"/>
  </r>
  <r>
    <d v="2024-01-12T00:00:00"/>
    <x v="182"/>
    <d v="2023-08-23T00:00:00"/>
    <n v="455"/>
    <d v="2023-04-14T00:00:00"/>
    <n v="840357.7"/>
    <n v="1846.94"/>
  </r>
  <r>
    <d v="2024-01-12T00:00:00"/>
    <x v="182"/>
    <d v="2023-08-23T00:00:00"/>
    <n v="110"/>
    <d v="2023-05-12T00:00:00"/>
    <n v="203163.4"/>
    <n v="1846.94"/>
  </r>
  <r>
    <d v="2024-01-12T00:00:00"/>
    <x v="182"/>
    <d v="2023-08-23T00:00:00"/>
    <n v="110"/>
    <d v="2023-05-12T00:00:00"/>
    <n v="203163.4"/>
    <n v="1846.94"/>
  </r>
  <r>
    <d v="2024-01-12T00:00:00"/>
    <x v="182"/>
    <d v="2023-08-23T00:00:00"/>
    <n v="108"/>
    <d v="2023-06-09T00:00:00"/>
    <n v="199469.52"/>
    <n v="1846.94"/>
  </r>
  <r>
    <d v="2024-01-12T00:00:00"/>
    <x v="182"/>
    <d v="2023-08-23T00:00:00"/>
    <n v="116"/>
    <d v="2023-05-12T00:00:00"/>
    <n v="214245.04"/>
    <n v="1846.94"/>
  </r>
  <r>
    <d v="2024-01-12T00:00:00"/>
    <x v="182"/>
    <d v="2023-08-23T00:00:00"/>
    <n v="13"/>
    <d v="2023-05-12T00:00:00"/>
    <n v="24010.22"/>
    <n v="1846.94"/>
  </r>
  <r>
    <d v="2024-01-12T00:00:00"/>
    <x v="182"/>
    <d v="2023-08-23T00:00:00"/>
    <n v="138"/>
    <d v="2023-06-09T00:00:00"/>
    <n v="254877.72"/>
    <n v="1846.94"/>
  </r>
  <r>
    <d v="2024-01-12T00:00:00"/>
    <x v="182"/>
    <d v="2023-08-23T00:00:00"/>
    <n v="108"/>
    <d v="2023-06-09T00:00:00"/>
    <n v="199469.52"/>
    <n v="1846.94"/>
  </r>
  <r>
    <d v="2024-01-12T00:00:00"/>
    <x v="182"/>
    <d v="2023-08-23T00:00:00"/>
    <n v="138"/>
    <d v="2023-08-25T00:00:00"/>
    <n v="254877.72"/>
    <n v="1846.94"/>
  </r>
  <r>
    <d v="2024-01-12T00:00:00"/>
    <x v="182"/>
    <d v="2023-08-23T00:00:00"/>
    <n v="77"/>
    <d v="2023-09-06T00:00:00"/>
    <n v="142214.38"/>
    <n v="1846.94"/>
  </r>
  <r>
    <d v="2024-01-12T00:00:00"/>
    <x v="183"/>
    <d v="2023-08-23T00:00:00"/>
    <n v="519"/>
    <d v="2022-05-16T00:00:00"/>
    <n v="1258476.3899999999"/>
    <n v="2424.81"/>
  </r>
  <r>
    <d v="2024-01-12T00:00:00"/>
    <x v="183"/>
    <d v="2023-08-23T00:00:00"/>
    <n v="16"/>
    <d v="2022-02-10T00:00:00"/>
    <n v="38796.959999999999"/>
    <n v="2424.81"/>
  </r>
  <r>
    <d v="2024-01-12T00:00:00"/>
    <x v="183"/>
    <d v="2023-08-23T00:00:00"/>
    <n v="64"/>
    <d v="2022-03-07T00:00:00"/>
    <n v="155187.84"/>
    <n v="2424.81"/>
  </r>
  <r>
    <d v="2024-01-12T00:00:00"/>
    <x v="183"/>
    <d v="2023-08-23T00:00:00"/>
    <n v="144"/>
    <d v="2022-09-29T00:00:00"/>
    <n v="349172.64"/>
    <n v="2424.81"/>
  </r>
  <r>
    <d v="2024-01-12T00:00:00"/>
    <x v="183"/>
    <d v="2023-08-23T00:00:00"/>
    <n v="272"/>
    <d v="2022-09-22T00:00:00"/>
    <n v="659548.31999999995"/>
    <n v="2424.81"/>
  </r>
  <r>
    <d v="2024-01-12T00:00:00"/>
    <x v="183"/>
    <d v="2023-08-23T00:00:00"/>
    <n v="16"/>
    <d v="2022-10-14T00:00:00"/>
    <n v="38796.959999999999"/>
    <n v="2424.81"/>
  </r>
  <r>
    <d v="2024-02-16T00:00:00"/>
    <x v="183"/>
    <d v="2023-08-23T00:00:00"/>
    <n v="16"/>
    <d v="2022-11-10T00:00:00"/>
    <n v="38796.959999999999"/>
    <n v="2424.81"/>
  </r>
  <r>
    <d v="2024-02-16T00:00:00"/>
    <x v="151"/>
    <d v="2023-08-23T00:00:00"/>
    <n v="309"/>
    <d v="2023-10-27T00:00:00"/>
    <n v="1224999.6000000001"/>
    <n v="3964.4"/>
  </r>
  <r>
    <d v="2024-04-02T00:00:00"/>
    <x v="151"/>
    <d v="2022-11-01T00:00:00"/>
    <n v="300"/>
    <d v="2024-03-25T00:00:00"/>
    <n v="1189320"/>
    <n v="3964.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0"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3-01-03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1-01T00:00:00"/>
    <x v="0"/>
    <s v="Mexico"/>
    <s v="Location 3"/>
    <n v="860.48"/>
  </r>
  <r>
    <n v="60"/>
    <n v="51628.800000000003"/>
    <d v="2022-11-08T00:00:00"/>
    <x v="0"/>
    <s v="Mexico"/>
    <s v="Location 3"/>
    <n v="860.48"/>
  </r>
  <r>
    <n v="60"/>
    <n v="51628.800000000003"/>
    <d v="2022-11-08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08-04T00:00:00"/>
    <x v="0"/>
    <s v="Mexico"/>
    <s v="Location 3"/>
    <n v="860.48"/>
  </r>
  <r>
    <n v="60"/>
    <n v="51628.800000000003"/>
    <d v="2022-11-18T00:00:00"/>
    <x v="0"/>
    <s v="Mexico"/>
    <s v="Location 3"/>
    <n v="860.48"/>
  </r>
  <r>
    <n v="60"/>
    <n v="51628.800000000003"/>
    <d v="2022-11-18T00:00:00"/>
    <x v="0"/>
    <s v="Mexico"/>
    <s v="Location 3"/>
    <n v="860.48"/>
  </r>
  <r>
    <n v="60"/>
    <n v="51628.800000000003"/>
    <d v="2022-11-18T00:00:00"/>
    <x v="0"/>
    <s v="Mexico"/>
    <s v="Location 3"/>
    <n v="860.48"/>
  </r>
  <r>
    <n v="60"/>
    <n v="51628.800000000003"/>
    <d v="2022-11-18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1-29T00:00:00"/>
    <x v="0"/>
    <s v="Mexico"/>
    <s v="Location 3"/>
    <n v="860.48"/>
  </r>
  <r>
    <n v="60"/>
    <n v="51628.800000000003"/>
    <d v="2022-12-02T00:00:00"/>
    <x v="0"/>
    <s v="Mexico"/>
    <s v="Location 3"/>
    <n v="860.48"/>
  </r>
  <r>
    <n v="60"/>
    <n v="51628.800000000003"/>
    <d v="2022-12-02T00:00:00"/>
    <x v="0"/>
    <s v="Mexico"/>
    <s v="Location 3"/>
    <n v="860.48"/>
  </r>
  <r>
    <n v="60"/>
    <n v="51628.800000000003"/>
    <d v="2022-12-02T00:00:00"/>
    <x v="0"/>
    <s v="Mexico"/>
    <s v="Location 3"/>
    <n v="860.48"/>
  </r>
  <r>
    <n v="60"/>
    <n v="51628.800000000003"/>
    <d v="2022-10-1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08-19T00:00:00"/>
    <x v="0"/>
    <s v="Mexico"/>
    <s v="Location 3"/>
    <n v="860.48"/>
  </r>
  <r>
    <n v="60"/>
    <n v="51628.800000000003"/>
    <d v="2022-08-19T00:00:00"/>
    <x v="0"/>
    <s v="Mexico"/>
    <s v="Location 3"/>
    <n v="860.48"/>
  </r>
  <r>
    <n v="60"/>
    <n v="51628.800000000003"/>
    <d v="2022-08-19T00:00:00"/>
    <x v="0"/>
    <s v="Mexico"/>
    <s v="Location 3"/>
    <n v="860.48"/>
  </r>
  <r>
    <n v="60"/>
    <n v="51628.800000000003"/>
    <d v="2022-08-19T00:00:00"/>
    <x v="0"/>
    <s v="Mexico"/>
    <s v="Location 3"/>
    <n v="860.48"/>
  </r>
  <r>
    <n v="60"/>
    <n v="51628.800000000003"/>
    <d v="2022-08-19T00:00:00"/>
    <x v="0"/>
    <s v="Mexico"/>
    <s v="Location 3"/>
    <n v="860.48"/>
  </r>
  <r>
    <n v="60"/>
    <n v="51628.800000000003"/>
    <d v="2022-12-07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07-19T00:00:00"/>
    <x v="0"/>
    <s v="Mexico"/>
    <s v="Location 3"/>
    <n v="860.48"/>
  </r>
  <r>
    <n v="60"/>
    <n v="51628.800000000003"/>
    <d v="2022-07-19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0T00:00:00"/>
    <x v="0"/>
    <s v="Mexico"/>
    <s v="Location 3"/>
    <n v="860.48"/>
  </r>
  <r>
    <n v="60"/>
    <n v="51628.800000000003"/>
    <d v="2022-10-25T00:00:00"/>
    <x v="0"/>
    <s v="Mexico"/>
    <s v="Location 3"/>
    <n v="860.48"/>
  </r>
  <r>
    <n v="60"/>
    <n v="51628.800000000003"/>
    <d v="2022-10-25T00:00:00"/>
    <x v="0"/>
    <s v="Mexico"/>
    <s v="Location 3"/>
    <n v="860.48"/>
  </r>
  <r>
    <n v="60"/>
    <n v="51628.800000000003"/>
    <d v="2022-10-25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60"/>
    <n v="51628.800000000003"/>
    <d v="2022-10-28T00:00:00"/>
    <x v="0"/>
    <s v="Mexico"/>
    <s v="Location 3"/>
    <n v="860.48"/>
  </r>
  <r>
    <n v="-120"/>
    <n v="-51024"/>
    <d v="2023-05-10T00:00:00"/>
    <x v="1"/>
    <s v="Mexico"/>
    <s v="Location 3"/>
    <n v="425.2"/>
  </r>
  <r>
    <n v="-120"/>
    <n v="-51024"/>
    <d v="2023-05-10T00:00:00"/>
    <x v="1"/>
    <s v="Mexico"/>
    <s v="Location 3"/>
    <n v="425.2"/>
  </r>
  <r>
    <n v="120"/>
    <n v="54085.2"/>
    <d v="2023-05-10T00:00:00"/>
    <x v="1"/>
    <s v="Mexico"/>
    <s v="Location 3"/>
    <n v="450.71"/>
  </r>
  <r>
    <n v="120"/>
    <n v="54085.2"/>
    <d v="2023-05-10T00:00:00"/>
    <x v="1"/>
    <s v="Mexico"/>
    <s v="Location 3"/>
    <n v="450.71"/>
  </r>
  <r>
    <n v="768"/>
    <n v="116090.88"/>
    <d v="2023-05-26T00:00:00"/>
    <x v="2"/>
    <s v="Mexico"/>
    <s v="Location 3"/>
    <n v="151.16"/>
  </r>
  <r>
    <n v="147"/>
    <n v="49849.17"/>
    <d v="2023-05-31T00:00:00"/>
    <x v="3"/>
    <s v="Mexico"/>
    <s v="Location 3"/>
    <n v="339.11"/>
  </r>
  <r>
    <n v="210"/>
    <n v="85386"/>
    <d v="2023-01-06T00:00:00"/>
    <x v="4"/>
    <s v="Mexico"/>
    <s v="Location 3"/>
    <n v="406.6"/>
  </r>
  <r>
    <n v="360"/>
    <n v="158594.4"/>
    <d v="2023-01-06T00:00:00"/>
    <x v="5"/>
    <s v="Mexico"/>
    <s v="Location 3"/>
    <n v="440.54"/>
  </r>
  <r>
    <n v="144"/>
    <n v="29975.040000000001"/>
    <d v="2023-02-28T00:00:00"/>
    <x v="6"/>
    <s v="Mexico"/>
    <s v="Location 3"/>
    <n v="208.16"/>
  </r>
  <r>
    <n v="96"/>
    <n v="19983.36"/>
    <d v="2023-02-28T00:00:00"/>
    <x v="6"/>
    <s v="Mexico"/>
    <s v="Location 3"/>
    <n v="208.16"/>
  </r>
  <r>
    <n v="96"/>
    <n v="19983.36"/>
    <d v="2023-02-28T00:00:00"/>
    <x v="6"/>
    <s v="Mexico"/>
    <s v="Location 3"/>
    <n v="208.16"/>
  </r>
  <r>
    <n v="21"/>
    <n v="52168.62"/>
    <d v="2023-02-28T00:00:00"/>
    <x v="7"/>
    <s v="Mexico"/>
    <s v="Location 3"/>
    <n v="2484.2199999999998"/>
  </r>
  <r>
    <n v="6"/>
    <n v="14905.32"/>
    <d v="2023-02-28T00:00:00"/>
    <x v="7"/>
    <s v="Mexico"/>
    <s v="Location 3"/>
    <n v="2484.2199999999998"/>
  </r>
  <r>
    <n v="147"/>
    <n v="47026.77"/>
    <d v="2023-01-14T00:00:00"/>
    <x v="3"/>
    <s v="Mexico"/>
    <s v="Location 3"/>
    <n v="319.91000000000003"/>
  </r>
  <r>
    <n v="30"/>
    <n v="12198"/>
    <d v="2023-01-14T00:00:00"/>
    <x v="4"/>
    <s v="Mexico"/>
    <s v="Location 3"/>
    <n v="406.6"/>
  </r>
  <r>
    <n v="5"/>
    <n v="12421.1"/>
    <d v="2023-03-07T00:00:00"/>
    <x v="7"/>
    <s v="Mexico"/>
    <s v="Location 3"/>
    <n v="2484.2199999999998"/>
  </r>
  <r>
    <n v="210"/>
    <n v="76015.8"/>
    <d v="2023-03-07T00:00:00"/>
    <x v="8"/>
    <s v="Mexico"/>
    <s v="Location 3"/>
    <n v="361.98"/>
  </r>
  <r>
    <n v="27"/>
    <n v="67073.94"/>
    <d v="2023-03-15T00:00:00"/>
    <x v="7"/>
    <s v="Mexico"/>
    <s v="Location 3"/>
    <n v="2484.2199999999998"/>
  </r>
  <r>
    <n v="17"/>
    <n v="42231.74"/>
    <d v="2023-03-15T00:00:00"/>
    <x v="7"/>
    <s v="Mexico"/>
    <s v="Location 3"/>
    <n v="2484.2199999999998"/>
  </r>
  <r>
    <n v="768"/>
    <n v="116090.88"/>
    <d v="2023-04-14T00:00:00"/>
    <x v="2"/>
    <s v="Mexico"/>
    <s v="Location 3"/>
    <n v="151.16"/>
  </r>
  <r>
    <n v="147"/>
    <n v="47026.77"/>
    <d v="2023-01-30T00:00:00"/>
    <x v="3"/>
    <s v="Mexico"/>
    <s v="Location 3"/>
    <n v="319.91000000000003"/>
  </r>
  <r>
    <n v="216"/>
    <n v="23392.799999999999"/>
    <d v="2023-02-13T00:00:00"/>
    <x v="9"/>
    <s v="Mexico"/>
    <s v="Location 3"/>
    <n v="108.3"/>
  </r>
  <r>
    <n v="144"/>
    <n v="29975.040000000001"/>
    <d v="2023-04-21T00:00:00"/>
    <x v="6"/>
    <s v="Mexico"/>
    <s v="Location 3"/>
    <n v="208.16"/>
  </r>
  <r>
    <n v="48"/>
    <n v="9991.68"/>
    <d v="2023-04-21T00:00:00"/>
    <x v="6"/>
    <s v="Mexico"/>
    <s v="Location 3"/>
    <n v="208.16"/>
  </r>
  <r>
    <n v="96"/>
    <n v="19983.36"/>
    <d v="2023-04-21T00:00:00"/>
    <x v="6"/>
    <s v="Mexico"/>
    <s v="Location 3"/>
    <n v="208.16"/>
  </r>
  <r>
    <n v="15"/>
    <n v="37263.300000000003"/>
    <d v="2023-05-15T00:00:00"/>
    <x v="7"/>
    <s v="Mexico"/>
    <s v="Location 3"/>
    <n v="2484.2199999999998"/>
  </r>
  <r>
    <n v="147"/>
    <n v="49849.17"/>
    <d v="2023-02-21T00:00:00"/>
    <x v="3"/>
    <s v="Mexico"/>
    <s v="Location 3"/>
    <n v="339.11"/>
  </r>
  <r>
    <n v="324"/>
    <n v="35089.199999999997"/>
    <d v="2023-02-21T00:00:00"/>
    <x v="9"/>
    <s v="Mexico"/>
    <s v="Location 3"/>
    <n v="108.3"/>
  </r>
  <r>
    <n v="324"/>
    <n v="35089.199999999997"/>
    <d v="2023-02-21T00:00:00"/>
    <x v="9"/>
    <s v="Mexico"/>
    <s v="Location 3"/>
    <n v="108.3"/>
  </r>
  <r>
    <n v="21"/>
    <n v="52168.62"/>
    <d v="2023-05-15T00:00:00"/>
    <x v="7"/>
    <s v="Mexico"/>
    <s v="Location 3"/>
    <n v="2484.2199999999998"/>
  </r>
  <r>
    <n v="147"/>
    <n v="49849.17"/>
    <d v="2023-04-25T00:00:00"/>
    <x v="3"/>
    <s v="Mexico"/>
    <s v="Location 3"/>
    <n v="339.11"/>
  </r>
  <r>
    <n v="147"/>
    <n v="49849.17"/>
    <d v="2023-04-25T00:00:00"/>
    <x v="3"/>
    <s v="Mexico"/>
    <s v="Location 3"/>
    <n v="339.11"/>
  </r>
  <r>
    <n v="192"/>
    <n v="37704.959999999999"/>
    <d v="2023-04-25T00:00:00"/>
    <x v="10"/>
    <s v="Mexico"/>
    <s v="Location 3"/>
    <n v="196.38"/>
  </r>
  <r>
    <n v="96"/>
    <n v="18852.48"/>
    <d v="2023-04-25T00:00:00"/>
    <x v="10"/>
    <s v="Mexico"/>
    <s v="Location 3"/>
    <n v="196.38"/>
  </r>
  <r>
    <n v="144"/>
    <n v="28278.720000000001"/>
    <d v="2023-04-25T00:00:00"/>
    <x v="10"/>
    <s v="Mexico"/>
    <s v="Location 3"/>
    <n v="196.38"/>
  </r>
  <r>
    <n v="144"/>
    <n v="28278.720000000001"/>
    <d v="2023-04-25T00:00:00"/>
    <x v="10"/>
    <s v="Mexico"/>
    <s v="Location 3"/>
    <n v="196.38"/>
  </r>
  <r>
    <n v="192"/>
    <n v="37704.959999999999"/>
    <d v="2023-04-25T00:00:00"/>
    <x v="10"/>
    <s v="Mexico"/>
    <s v="Location 3"/>
    <n v="196.38"/>
  </r>
  <r>
    <n v="192"/>
    <n v="37704.959999999999"/>
    <d v="2023-04-25T00:00:00"/>
    <x v="10"/>
    <s v="Mexico"/>
    <s v="Location 3"/>
    <n v="196.38"/>
  </r>
  <r>
    <n v="96"/>
    <n v="19983.36"/>
    <d v="2023-07-25T00:00:00"/>
    <x v="6"/>
    <s v="Mexico"/>
    <s v="Location 3"/>
    <n v="208.16"/>
  </r>
  <r>
    <n v="48"/>
    <n v="9991.68"/>
    <d v="2023-07-25T00:00:00"/>
    <x v="6"/>
    <s v="Mexico"/>
    <s v="Location 3"/>
    <n v="208.16"/>
  </r>
  <r>
    <n v="147"/>
    <n v="49849.17"/>
    <d v="2023-07-25T00:00:00"/>
    <x v="3"/>
    <s v="Mexico"/>
    <s v="Location 3"/>
    <n v="339.11"/>
  </r>
  <r>
    <n v="26"/>
    <n v="61238.32"/>
    <d v="2022-07-26T00:00:00"/>
    <x v="7"/>
    <s v="Mexico"/>
    <s v="Location 3"/>
    <n v="2355.3200000000002"/>
  </r>
  <r>
    <n v="6"/>
    <n v="14131.92"/>
    <d v="2022-07-26T00:00:00"/>
    <x v="7"/>
    <s v="Mexico"/>
    <s v="Location 3"/>
    <n v="2355.3200000000002"/>
  </r>
  <r>
    <n v="26"/>
    <n v="61238.32"/>
    <d v="2022-09-02T00:00:00"/>
    <x v="7"/>
    <s v="Mexico"/>
    <s v="Location 3"/>
    <n v="2355.3200000000002"/>
  </r>
  <r>
    <n v="6"/>
    <n v="14131.92"/>
    <d v="2022-09-02T00:00:00"/>
    <x v="7"/>
    <s v="Mexico"/>
    <s v="Location 3"/>
    <n v="2355.3200000000002"/>
  </r>
  <r>
    <n v="144"/>
    <n v="29975.040000000001"/>
    <d v="2023-09-06T00:00:00"/>
    <x v="6"/>
    <s v="Mexico"/>
    <s v="Location 3"/>
    <n v="208.16"/>
  </r>
  <r>
    <n v="26"/>
    <n v="61238.32"/>
    <d v="2022-09-21T00:00:00"/>
    <x v="7"/>
    <s v="Mexico"/>
    <s v="Location 3"/>
    <n v="2355.3200000000002"/>
  </r>
  <r>
    <n v="6"/>
    <n v="14131.92"/>
    <d v="2022-09-21T00:00:00"/>
    <x v="7"/>
    <s v="Mexico"/>
    <s v="Location 3"/>
    <n v="2355.3200000000002"/>
  </r>
  <r>
    <n v="26"/>
    <n v="61238.32"/>
    <d v="2022-09-21T00:00:00"/>
    <x v="7"/>
    <s v="Mexico"/>
    <s v="Location 3"/>
    <n v="2355.3200000000002"/>
  </r>
  <r>
    <n v="11"/>
    <n v="25908.52"/>
    <d v="2022-10-28T00:00:00"/>
    <x v="7"/>
    <s v="Mexico"/>
    <s v="Location 3"/>
    <n v="2355.3200000000002"/>
  </r>
  <r>
    <n v="147"/>
    <n v="47026.77"/>
    <d v="2022-07-01T00:00:00"/>
    <x v="3"/>
    <s v="Mexico"/>
    <s v="Location 3"/>
    <n v="319.91000000000003"/>
  </r>
  <r>
    <n v="26"/>
    <n v="61238.32"/>
    <d v="2022-08-04T00:00:00"/>
    <x v="7"/>
    <s v="Mexico"/>
    <s v="Location 3"/>
    <n v="2355.3200000000002"/>
  </r>
  <r>
    <n v="6"/>
    <n v="14131.92"/>
    <d v="2022-08-04T00:00:00"/>
    <x v="7"/>
    <s v="Mexico"/>
    <s v="Location 3"/>
    <n v="2355.3200000000002"/>
  </r>
  <r>
    <n v="144"/>
    <n v="28278.720000000001"/>
    <d v="2022-11-10T00:00:00"/>
    <x v="6"/>
    <s v="Mexico"/>
    <s v="Location 3"/>
    <n v="196.38"/>
  </r>
  <r>
    <n v="144"/>
    <n v="28278.720000000001"/>
    <d v="2022-11-18T00:00:00"/>
    <x v="6"/>
    <s v="Mexico"/>
    <s v="Location 3"/>
    <n v="196.38"/>
  </r>
  <r>
    <n v="96"/>
    <n v="18852.48"/>
    <d v="2022-11-18T00:00:00"/>
    <x v="6"/>
    <s v="Mexico"/>
    <s v="Location 3"/>
    <n v="196.38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8"/>
    <n v="18842.560000000001"/>
    <d v="2022-07-01T00:00:00"/>
    <x v="7"/>
    <s v="Mexico"/>
    <s v="Location 3"/>
    <n v="2355.3200000000002"/>
  </r>
  <r>
    <n v="8"/>
    <n v="18842.560000000001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2"/>
    <n v="9015.6"/>
    <d v="2022-10-05T00:00:00"/>
    <x v="11"/>
    <s v="Mexico"/>
    <s v="Location 3"/>
    <n v="4507.8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26"/>
    <n v="61238.32"/>
    <d v="2022-07-01T00:00:00"/>
    <x v="7"/>
    <s v="Mexico"/>
    <s v="Location 3"/>
    <n v="2355.3200000000002"/>
  </r>
  <r>
    <n v="6"/>
    <n v="14131.92"/>
    <d v="2022-07-01T00:00:00"/>
    <x v="7"/>
    <s v="Mexico"/>
    <s v="Location 3"/>
    <n v="2355.3200000000002"/>
  </r>
  <r>
    <n v="144"/>
    <n v="28278.720000000001"/>
    <d v="2022-10-13T00:00:00"/>
    <x v="6"/>
    <s v="Mexico"/>
    <s v="Location 3"/>
    <n v="196.38"/>
  </r>
  <r>
    <n v="144"/>
    <n v="28278.720000000001"/>
    <d v="2022-10-13T00:00:00"/>
    <x v="6"/>
    <s v="Mexico"/>
    <s v="Location 3"/>
    <n v="196.38"/>
  </r>
  <r>
    <n v="48"/>
    <n v="9426.24"/>
    <d v="2022-10-13T00:00:00"/>
    <x v="6"/>
    <s v="Mexico"/>
    <s v="Location 3"/>
    <n v="196.38"/>
  </r>
  <r>
    <n v="144"/>
    <n v="28278.720000000001"/>
    <d v="2022-10-13T00:00:00"/>
    <x v="6"/>
    <s v="Mexico"/>
    <s v="Location 3"/>
    <n v="196.38"/>
  </r>
  <r>
    <n v="96"/>
    <n v="18852.48"/>
    <d v="2022-10-13T00:00:00"/>
    <x v="6"/>
    <s v="Mexico"/>
    <s v="Location 3"/>
    <n v="196.38"/>
  </r>
  <r>
    <n v="144"/>
    <n v="28278.720000000001"/>
    <d v="2022-10-13T00:00:00"/>
    <x v="6"/>
    <s v="Mexico"/>
    <s v="Location 3"/>
    <n v="196.38"/>
  </r>
  <r>
    <n v="26"/>
    <n v="61238.32"/>
    <d v="2022-08-19T00:00:00"/>
    <x v="7"/>
    <s v="Mexico"/>
    <s v="Location 3"/>
    <n v="2355.3200000000002"/>
  </r>
  <r>
    <n v="6"/>
    <n v="14131.92"/>
    <d v="2022-08-19T00:00:00"/>
    <x v="7"/>
    <s v="Mexico"/>
    <s v="Location 3"/>
    <n v="2355.3200000000002"/>
  </r>
  <r>
    <n v="26"/>
    <n v="61238.32"/>
    <d v="2022-08-19T00:00:00"/>
    <x v="7"/>
    <s v="Mexico"/>
    <s v="Location 3"/>
    <n v="2355.3200000000002"/>
  </r>
  <r>
    <n v="6"/>
    <n v="14131.92"/>
    <d v="2022-08-19T00:00:00"/>
    <x v="7"/>
    <s v="Mexico"/>
    <s v="Location 3"/>
    <n v="2355.3200000000002"/>
  </r>
  <r>
    <n v="26"/>
    <n v="61238.32"/>
    <d v="2022-08-19T00:00:00"/>
    <x v="7"/>
    <s v="Mexico"/>
    <s v="Location 3"/>
    <n v="2355.3200000000002"/>
  </r>
  <r>
    <n v="147"/>
    <n v="47026.77"/>
    <d v="2022-07-11T00:00:00"/>
    <x v="3"/>
    <s v="Mexico"/>
    <s v="Location 3"/>
    <n v="319.91000000000003"/>
  </r>
  <r>
    <n v="26"/>
    <n v="61238.32"/>
    <d v="2022-07-11T00:00:00"/>
    <x v="7"/>
    <s v="Mexico"/>
    <s v="Location 3"/>
    <n v="2355.3200000000002"/>
  </r>
  <r>
    <n v="6"/>
    <n v="14131.92"/>
    <d v="2022-07-11T00:00:00"/>
    <x v="7"/>
    <s v="Mexico"/>
    <s v="Location 3"/>
    <n v="2355.3200000000002"/>
  </r>
  <r>
    <n v="26"/>
    <n v="61238.32"/>
    <d v="2022-07-11T00:00:00"/>
    <x v="7"/>
    <s v="Mexico"/>
    <s v="Location 3"/>
    <n v="2355.3200000000002"/>
  </r>
  <r>
    <n v="6"/>
    <n v="14131.92"/>
    <d v="2022-07-11T00:00:00"/>
    <x v="7"/>
    <s v="Mexico"/>
    <s v="Location 3"/>
    <n v="2355.3200000000002"/>
  </r>
  <r>
    <n v="6"/>
    <n v="14131.92"/>
    <d v="2022-08-19T00:00:00"/>
    <x v="7"/>
    <s v="Mexico"/>
    <s v="Location 3"/>
    <n v="2355.3200000000002"/>
  </r>
  <r>
    <n v="26"/>
    <n v="61238.32"/>
    <d v="2022-08-19T00:00:00"/>
    <x v="7"/>
    <s v="Mexico"/>
    <s v="Location 3"/>
    <n v="2355.3200000000002"/>
  </r>
  <r>
    <n v="6"/>
    <n v="14131.92"/>
    <d v="2022-08-19T00:00:00"/>
    <x v="7"/>
    <s v="Mexico"/>
    <s v="Location 3"/>
    <n v="2355.3200000000002"/>
  </r>
  <r>
    <n v="147"/>
    <n v="49849.17"/>
    <d v="2023-07-14T00:00:00"/>
    <x v="3"/>
    <s v="Mexico"/>
    <s v="Location 3"/>
    <n v="339.11"/>
  </r>
  <r>
    <n v="26"/>
    <n v="61238.32"/>
    <d v="2022-07-19T00:00:00"/>
    <x v="7"/>
    <s v="Mexico"/>
    <s v="Location 3"/>
    <n v="2355.3200000000002"/>
  </r>
  <r>
    <n v="6"/>
    <n v="14131.92"/>
    <d v="2022-07-19T00:00:00"/>
    <x v="7"/>
    <s v="Mexico"/>
    <s v="Location 3"/>
    <n v="2355.3200000000002"/>
  </r>
  <r>
    <n v="26"/>
    <n v="61238.32"/>
    <d v="2022-07-22T00:00:00"/>
    <x v="7"/>
    <s v="Mexico"/>
    <s v="Location 3"/>
    <n v="2355.3200000000002"/>
  </r>
  <r>
    <n v="6"/>
    <n v="14131.92"/>
    <d v="2022-07-22T00:00:00"/>
    <x v="7"/>
    <s v="Mexico"/>
    <s v="Location 3"/>
    <n v="2355.3200000000002"/>
  </r>
  <r>
    <n v="26"/>
    <n v="61238.32"/>
    <d v="2022-07-22T00:00:00"/>
    <x v="7"/>
    <s v="Mexico"/>
    <s v="Location 3"/>
    <n v="2355.3200000000002"/>
  </r>
  <r>
    <n v="6"/>
    <n v="14131.92"/>
    <d v="2022-07-22T00:00:00"/>
    <x v="7"/>
    <s v="Mexico"/>
    <s v="Location 3"/>
    <n v="2355.3200000000002"/>
  </r>
  <r>
    <n v="26"/>
    <n v="61238.32"/>
    <d v="2022-10-20T00:00:00"/>
    <x v="7"/>
    <s v="Mexico"/>
    <s v="Location 3"/>
    <n v="2355.3200000000002"/>
  </r>
  <r>
    <n v="6"/>
    <n v="14131.92"/>
    <d v="2022-10-20T00:00:00"/>
    <x v="7"/>
    <s v="Mexico"/>
    <s v="Location 3"/>
    <n v="2355.3200000000002"/>
  </r>
  <r>
    <n v="26"/>
    <n v="61238.32"/>
    <d v="2022-10-20T00:00:00"/>
    <x v="7"/>
    <s v="Mexico"/>
    <s v="Location 3"/>
    <n v="2355.3200000000002"/>
  </r>
  <r>
    <n v="6"/>
    <n v="14131.92"/>
    <d v="2022-10-20T00:00:00"/>
    <x v="7"/>
    <s v="Mexico"/>
    <s v="Location 3"/>
    <n v="2355.3200000000002"/>
  </r>
  <r>
    <n v="27000"/>
    <n v="2640.6"/>
    <d v="2022-10-21T00:00:00"/>
    <x v="12"/>
    <s v="Mexico"/>
    <s v="Location 3"/>
    <n v="9.7799999999999998E-2"/>
  </r>
  <r>
    <n v="45"/>
    <n v="38721.599999999999"/>
    <d v="2023-01-03T00:00:00"/>
    <x v="0"/>
    <s v="Mexico"/>
    <s v="Location 3"/>
    <n v="860.48"/>
  </r>
  <r>
    <n v="45"/>
    <n v="38721.599999999999"/>
    <d v="2023-01-03T00:00:00"/>
    <x v="0"/>
    <s v="Mexico"/>
    <s v="Location 3"/>
    <n v="860.48"/>
  </r>
  <r>
    <n v="15"/>
    <n v="13613.1"/>
    <d v="2023-01-26T00:00:00"/>
    <x v="0"/>
    <s v="Mexico"/>
    <s v="Location 3"/>
    <n v="907.54"/>
  </r>
  <r>
    <n v="15"/>
    <n v="13613.1"/>
    <d v="2023-01-26T00:00:00"/>
    <x v="0"/>
    <s v="Mexico"/>
    <s v="Location 3"/>
    <n v="907.54"/>
  </r>
  <r>
    <n v="15"/>
    <n v="13613.1"/>
    <d v="2023-01-26T00:00:00"/>
    <x v="0"/>
    <s v="Mexico"/>
    <s v="Location 3"/>
    <n v="907.54"/>
  </r>
  <r>
    <n v="15"/>
    <n v="13613.1"/>
    <d v="2023-01-26T00:00:00"/>
    <x v="0"/>
    <s v="Mexico"/>
    <s v="Location 3"/>
    <n v="907.54"/>
  </r>
  <r>
    <n v="15"/>
    <n v="13613.1"/>
    <d v="2023-01-26T00:00:00"/>
    <x v="0"/>
    <s v="Mexico"/>
    <s v="Location 3"/>
    <n v="907.54"/>
  </r>
  <r>
    <n v="60"/>
    <n v="51442.2"/>
    <d v="2023-06-20T00:00:00"/>
    <x v="0"/>
    <s v="Mexico"/>
    <s v="Location 3"/>
    <n v="857.37"/>
  </r>
  <r>
    <n v="45"/>
    <n v="38581.65"/>
    <d v="2023-06-20T00:00:00"/>
    <x v="0"/>
    <s v="Mexico"/>
    <s v="Location 3"/>
    <n v="857.37"/>
  </r>
  <r>
    <n v="60"/>
    <n v="51442.2"/>
    <d v="2023-06-20T00:00:00"/>
    <x v="0"/>
    <s v="Mexico"/>
    <s v="Location 3"/>
    <n v="857.37"/>
  </r>
  <r>
    <n v="60"/>
    <n v="51442.2"/>
    <d v="2023-06-21T00:00:00"/>
    <x v="0"/>
    <s v="Mexico"/>
    <s v="Location 3"/>
    <n v="857.37"/>
  </r>
  <r>
    <n v="60"/>
    <n v="51442.2"/>
    <d v="2023-06-21T00:00:00"/>
    <x v="0"/>
    <s v="Mexico"/>
    <s v="Location 3"/>
    <n v="857.37"/>
  </r>
  <r>
    <n v="60"/>
    <n v="51442.2"/>
    <d v="2023-06-21T00:00:00"/>
    <x v="0"/>
    <s v="Mexico"/>
    <s v="Location 3"/>
    <n v="857.37"/>
  </r>
  <r>
    <n v="60"/>
    <n v="51442.2"/>
    <d v="2023-06-21T00:00:00"/>
    <x v="0"/>
    <s v="Mexico"/>
    <s v="Location 3"/>
    <n v="857.37"/>
  </r>
  <r>
    <n v="45"/>
    <n v="38581.65"/>
    <d v="2023-06-21T00:00:00"/>
    <x v="0"/>
    <s v="Mexico"/>
    <s v="Location 3"/>
    <n v="857.37"/>
  </r>
  <r>
    <n v="60"/>
    <n v="51442.2"/>
    <d v="2023-06-21T00:00:00"/>
    <x v="0"/>
    <s v="Mexico"/>
    <s v="Location 3"/>
    <n v="857.37"/>
  </r>
  <r>
    <n v="15"/>
    <n v="12907.2"/>
    <d v="2023-01-03T00:00:00"/>
    <x v="0"/>
    <s v="Mexico"/>
    <s v="Location 3"/>
    <n v="860.48"/>
  </r>
  <r>
    <n v="60"/>
    <n v="51442.2"/>
    <d v="2023-07-25T00:00:00"/>
    <x v="0"/>
    <s v="Mexico"/>
    <s v="Location 3"/>
    <n v="857.37"/>
  </r>
  <r>
    <n v="30"/>
    <n v="25814.400000000001"/>
    <d v="2022-10-28T00:00:00"/>
    <x v="0"/>
    <s v="Mexico"/>
    <s v="Location 3"/>
    <n v="860.48"/>
  </r>
  <r>
    <n v="15"/>
    <n v="12907.2"/>
    <d v="2022-10-28T00:00:00"/>
    <x v="0"/>
    <s v="Mexico"/>
    <s v="Location 3"/>
    <n v="860.48"/>
  </r>
  <r>
    <n v="15"/>
    <n v="12907.2"/>
    <d v="2022-10-28T00:00:00"/>
    <x v="0"/>
    <s v="Mexico"/>
    <s v="Location 3"/>
    <n v="860.48"/>
  </r>
  <r>
    <n v="15"/>
    <n v="12907.2"/>
    <d v="2022-10-28T00:00:00"/>
    <x v="0"/>
    <s v="Mexico"/>
    <s v="Location 3"/>
    <n v="860.48"/>
  </r>
  <r>
    <n v="30"/>
    <n v="25814.400000000001"/>
    <d v="2022-10-28T00:00:00"/>
    <x v="0"/>
    <s v="Mexico"/>
    <s v="Location 3"/>
    <n v="860.48"/>
  </r>
  <r>
    <n v="30"/>
    <n v="25814.400000000001"/>
    <d v="2022-10-28T00:00:00"/>
    <x v="0"/>
    <s v="Mexico"/>
    <s v="Location 3"/>
    <n v="860.48"/>
  </r>
  <r>
    <n v="45"/>
    <n v="38721.599999999999"/>
    <d v="2022-10-28T00:00:00"/>
    <x v="0"/>
    <s v="Mexico"/>
    <s v="Location 3"/>
    <n v="860.48"/>
  </r>
  <r>
    <n v="15"/>
    <n v="12907.2"/>
    <d v="2022-10-28T00:00:00"/>
    <x v="0"/>
    <s v="Mexico"/>
    <s v="Location 3"/>
    <n v="860.48"/>
  </r>
  <r>
    <n v="30"/>
    <n v="25814.400000000001"/>
    <d v="2022-10-28T00:00:00"/>
    <x v="0"/>
    <s v="Mexico"/>
    <s v="Location 3"/>
    <n v="860.48"/>
  </r>
  <r>
    <n v="30"/>
    <n v="25814.400000000001"/>
    <d v="2022-10-28T00:00:00"/>
    <x v="0"/>
    <s v="Mexico"/>
    <s v="Location 3"/>
    <n v="860.48"/>
  </r>
  <r>
    <n v="30"/>
    <n v="25814.400000000001"/>
    <d v="2022-08-04T00:00:00"/>
    <x v="0"/>
    <s v="Mexico"/>
    <s v="Location 3"/>
    <n v="860.48"/>
  </r>
  <r>
    <n v="30"/>
    <n v="25814.400000000001"/>
    <d v="2022-08-04T00:00:00"/>
    <x v="0"/>
    <s v="Mexico"/>
    <s v="Location 3"/>
    <n v="860.48"/>
  </r>
  <r>
    <n v="45"/>
    <n v="38581.65"/>
    <d v="2023-08-04T00:00:00"/>
    <x v="0"/>
    <s v="Mexico"/>
    <s v="Location 3"/>
    <n v="857.37"/>
  </r>
  <r>
    <n v="45"/>
    <n v="38581.65"/>
    <d v="2023-08-04T00:00:00"/>
    <x v="0"/>
    <s v="Mexico"/>
    <s v="Location 3"/>
    <n v="857.37"/>
  </r>
  <r>
    <n v="45"/>
    <n v="38581.65"/>
    <d v="2023-08-04T00:00:00"/>
    <x v="0"/>
    <s v="Mexico"/>
    <s v="Location 3"/>
    <n v="857.37"/>
  </r>
  <r>
    <n v="45"/>
    <n v="38581.65"/>
    <d v="2023-08-04T00:00:00"/>
    <x v="0"/>
    <s v="Mexico"/>
    <s v="Location 3"/>
    <n v="857.37"/>
  </r>
  <r>
    <n v="45"/>
    <n v="38581.65"/>
    <d v="2023-08-04T00:00:00"/>
    <x v="0"/>
    <s v="Mexico"/>
    <s v="Location 3"/>
    <n v="857.37"/>
  </r>
  <r>
    <n v="45"/>
    <n v="38581.65"/>
    <d v="2023-08-04T00:00:00"/>
    <x v="0"/>
    <s v="Mexico"/>
    <s v="Location 3"/>
    <n v="857.37"/>
  </r>
  <r>
    <n v="45"/>
    <n v="38581.65"/>
    <d v="2023-08-04T00:00:00"/>
    <x v="0"/>
    <s v="Mexico"/>
    <s v="Location 3"/>
    <n v="857.37"/>
  </r>
  <r>
    <n v="45"/>
    <n v="38721.599999999999"/>
    <d v="2022-11-29T00:00:00"/>
    <x v="0"/>
    <s v="Mexico"/>
    <s v="Location 3"/>
    <n v="860.48"/>
  </r>
  <r>
    <n v="15"/>
    <n v="12860.55"/>
    <d v="2023-08-17T00:00:00"/>
    <x v="0"/>
    <s v="Mexico"/>
    <s v="Location 3"/>
    <n v="857.37"/>
  </r>
  <r>
    <n v="45"/>
    <n v="38581.65"/>
    <d v="2023-08-17T00:00:00"/>
    <x v="0"/>
    <s v="Mexico"/>
    <s v="Location 3"/>
    <n v="857.37"/>
  </r>
  <r>
    <n v="45"/>
    <n v="38581.65"/>
    <d v="2023-08-17T00:00:00"/>
    <x v="0"/>
    <s v="Mexico"/>
    <s v="Location 3"/>
    <n v="857.37"/>
  </r>
  <r>
    <n v="15"/>
    <n v="12907.2"/>
    <d v="2022-12-07T00:00:00"/>
    <x v="0"/>
    <s v="Mexico"/>
    <s v="Location 3"/>
    <n v="860.48"/>
  </r>
  <r>
    <n v="45"/>
    <n v="38721.599999999999"/>
    <d v="2022-12-07T00:00:00"/>
    <x v="0"/>
    <s v="Mexico"/>
    <s v="Location 3"/>
    <n v="860.48"/>
  </r>
  <r>
    <n v="15"/>
    <n v="12907.2"/>
    <d v="2022-12-07T00:00:00"/>
    <x v="0"/>
    <s v="Mexico"/>
    <s v="Location 3"/>
    <n v="860.48"/>
  </r>
  <r>
    <n v="45"/>
    <n v="38721.599999999999"/>
    <d v="2022-08-19T00:00:00"/>
    <x v="0"/>
    <s v="Mexico"/>
    <s v="Location 3"/>
    <n v="860.48"/>
  </r>
  <r>
    <n v="30"/>
    <n v="25814.400000000001"/>
    <d v="2022-08-19T00:00:00"/>
    <x v="0"/>
    <s v="Mexico"/>
    <s v="Location 3"/>
    <n v="860.48"/>
  </r>
  <r>
    <n v="30"/>
    <n v="25814.400000000001"/>
    <d v="2022-10-20T00:00:00"/>
    <x v="0"/>
    <s v="Mexico"/>
    <s v="Location 3"/>
    <n v="860.48"/>
  </r>
  <r>
    <n v="45"/>
    <n v="38721.599999999999"/>
    <d v="2022-10-20T00:00:00"/>
    <x v="0"/>
    <s v="Mexico"/>
    <s v="Location 3"/>
    <n v="860.48"/>
  </r>
  <r>
    <n v="45"/>
    <n v="38721.599999999999"/>
    <d v="2022-10-20T00:00:00"/>
    <x v="0"/>
    <s v="Mexico"/>
    <s v="Location 3"/>
    <n v="860.48"/>
  </r>
  <r>
    <n v="45"/>
    <n v="38721.599999999999"/>
    <d v="2022-10-20T00:00:00"/>
    <x v="0"/>
    <s v="Mexico"/>
    <s v="Location 3"/>
    <n v="860.48"/>
  </r>
  <r>
    <n v="270"/>
    <n v="231489.9"/>
    <d v="2023-07-14T00:00:00"/>
    <x v="0"/>
    <s v="Mexico"/>
    <s v="Location 3"/>
    <n v="857.37"/>
  </r>
  <r>
    <n v="45"/>
    <n v="38581.65"/>
    <d v="2023-07-14T00:00:00"/>
    <x v="0"/>
    <s v="Mexico"/>
    <s v="Location 3"/>
    <n v="857.37"/>
  </r>
  <r>
    <n v="60"/>
    <n v="51442.2"/>
    <d v="2023-07-14T00:00:00"/>
    <x v="0"/>
    <s v="Mexico"/>
    <s v="Location 3"/>
    <n v="857.37"/>
  </r>
  <r>
    <n v="60"/>
    <n v="51442.2"/>
    <d v="2023-07-14T00:00:00"/>
    <x v="0"/>
    <s v="Mexico"/>
    <s v="Location 3"/>
    <n v="857.37"/>
  </r>
  <r>
    <n v="30"/>
    <n v="25721.1"/>
    <d v="2023-07-14T00:00:00"/>
    <x v="0"/>
    <s v="Mexico"/>
    <s v="Location 3"/>
    <n v="857.37"/>
  </r>
  <r>
    <n v="60"/>
    <n v="51442.2"/>
    <d v="2023-07-14T00:00:00"/>
    <x v="0"/>
    <s v="Mexico"/>
    <s v="Location 3"/>
    <n v="857.37"/>
  </r>
  <r>
    <n v="45"/>
    <n v="38721.599999999999"/>
    <d v="2022-07-19T00:00:00"/>
    <x v="0"/>
    <s v="Mexico"/>
    <s v="Location 3"/>
    <n v="860.48"/>
  </r>
  <r>
    <n v="30"/>
    <n v="25814.400000000001"/>
    <d v="2022-07-19T00:00:00"/>
    <x v="0"/>
    <s v="Mexico"/>
    <s v="Location 3"/>
    <n v="860.48"/>
  </r>
  <r>
    <n v="45"/>
    <n v="38721.599999999999"/>
    <d v="2022-10-20T00:00:00"/>
    <x v="0"/>
    <s v="Mexico"/>
    <s v="Location 3"/>
    <n v="860.48"/>
  </r>
  <r>
    <n v="15"/>
    <n v="12907.2"/>
    <d v="2022-10-20T00:00:00"/>
    <x v="0"/>
    <s v="Mexico"/>
    <s v="Location 3"/>
    <n v="860.48"/>
  </r>
  <r>
    <n v="45"/>
    <n v="38721.599999999999"/>
    <d v="2022-07-20T00:00:00"/>
    <x v="0"/>
    <s v="Mexico"/>
    <s v="Location 3"/>
    <n v="860.48"/>
  </r>
  <r>
    <n v="30"/>
    <n v="25814.400000000001"/>
    <d v="2022-07-22T00:00:00"/>
    <x v="0"/>
    <s v="Mexico"/>
    <s v="Location 3"/>
    <n v="860.48"/>
  </r>
  <r>
    <n v="15"/>
    <n v="12907.2"/>
    <d v="2022-10-20T00:00:00"/>
    <x v="0"/>
    <s v="Mexico"/>
    <s v="Location 3"/>
    <n v="860.48"/>
  </r>
  <r>
    <n v="30"/>
    <n v="25814.400000000001"/>
    <d v="2022-10-20T00:00:00"/>
    <x v="0"/>
    <s v="Mexico"/>
    <s v="Location 3"/>
    <n v="860.48"/>
  </r>
  <r>
    <n v="45"/>
    <n v="38721.599999999999"/>
    <d v="2022-10-20T00:00:00"/>
    <x v="0"/>
    <s v="Mexico"/>
    <s v="Location 3"/>
    <n v="860.48"/>
  </r>
  <r>
    <n v="45"/>
    <n v="38581.65"/>
    <d v="2023-08-31T00:00:00"/>
    <x v="0"/>
    <s v="Mexico"/>
    <s v="Location 3"/>
    <n v="857.37"/>
  </r>
  <r>
    <n v="30"/>
    <n v="25814.400000000001"/>
    <d v="2022-10-28T00:00:00"/>
    <x v="0"/>
    <s v="Mexico"/>
    <s v="Location 3"/>
    <n v="860.48"/>
  </r>
  <r>
    <n v="15"/>
    <n v="12907.2"/>
    <d v="2022-10-28T00:00:00"/>
    <x v="0"/>
    <s v="Mexico"/>
    <s v="Location 3"/>
    <n v="860.48"/>
  </r>
  <r>
    <n v="30"/>
    <n v="25814.400000000001"/>
    <d v="2022-10-28T00:00:00"/>
    <x v="0"/>
    <s v="Mexico"/>
    <s v="Location 3"/>
    <n v="860.48"/>
  </r>
  <r>
    <n v="30"/>
    <n v="25814.400000000001"/>
    <d v="2022-10-28T00:00:00"/>
    <x v="0"/>
    <s v="Mexico"/>
    <s v="Location 3"/>
    <n v="860.48"/>
  </r>
  <r>
    <n v="540"/>
    <n v="58271.4"/>
    <d v="2023-05-31T00:00:00"/>
    <x v="9"/>
    <s v="Mexico"/>
    <s v="Location 3"/>
    <n v="107.91"/>
  </r>
  <r>
    <n v="90"/>
    <n v="39505.5"/>
    <d v="2023-05-31T00:00:00"/>
    <x v="5"/>
    <s v="Mexico"/>
    <s v="Location 3"/>
    <n v="438.95"/>
  </r>
  <r>
    <n v="90"/>
    <n v="39505.5"/>
    <d v="2023-05-31T00:00:00"/>
    <x v="5"/>
    <s v="Mexico"/>
    <s v="Location 3"/>
    <n v="438.95"/>
  </r>
  <r>
    <n v="90"/>
    <n v="39505.5"/>
    <d v="2023-05-31T00:00:00"/>
    <x v="5"/>
    <s v="Mexico"/>
    <s v="Location 3"/>
    <n v="438.95"/>
  </r>
  <r>
    <n v="30"/>
    <n v="13168.5"/>
    <d v="2023-05-31T00:00:00"/>
    <x v="5"/>
    <s v="Mexico"/>
    <s v="Location 3"/>
    <n v="438.95"/>
  </r>
  <r>
    <n v="30"/>
    <n v="13168.5"/>
    <d v="2023-05-31T00:00:00"/>
    <x v="5"/>
    <s v="Mexico"/>
    <s v="Location 3"/>
    <n v="438.95"/>
  </r>
  <r>
    <n v="324"/>
    <n v="37004.04"/>
    <d v="2023-01-14T00:00:00"/>
    <x v="9"/>
    <s v="Mexico"/>
    <s v="Location 3"/>
    <n v="114.21"/>
  </r>
  <r>
    <n v="1500"/>
    <n v="1029.5999999999999"/>
    <d v="2023-02-28T00:00:00"/>
    <x v="13"/>
    <s v="Mexico"/>
    <s v="Location 3"/>
    <n v="0.68640000000000001"/>
  </r>
  <r>
    <n v="90"/>
    <n v="68340.600000000006"/>
    <d v="2023-02-28T00:00:00"/>
    <x v="14"/>
    <s v="Mexico"/>
    <s v="Location 3"/>
    <n v="759.34"/>
  </r>
  <r>
    <n v="216"/>
    <n v="23308.560000000001"/>
    <d v="2023-03-07T00:00:00"/>
    <x v="9"/>
    <s v="Mexico"/>
    <s v="Location 3"/>
    <n v="107.91"/>
  </r>
  <r>
    <n v="90"/>
    <n v="41816.699999999997"/>
    <d v="2023-03-07T00:00:00"/>
    <x v="5"/>
    <s v="Mexico"/>
    <s v="Location 3"/>
    <n v="464.63"/>
  </r>
  <r>
    <n v="30"/>
    <n v="13168.5"/>
    <d v="2023-03-07T00:00:00"/>
    <x v="5"/>
    <s v="Mexico"/>
    <s v="Location 3"/>
    <n v="438.95"/>
  </r>
  <r>
    <n v="30"/>
    <n v="13168.5"/>
    <d v="2023-06-05T00:00:00"/>
    <x v="5"/>
    <s v="Mexico"/>
    <s v="Location 3"/>
    <n v="438.95"/>
  </r>
  <r>
    <n v="216"/>
    <n v="23308.560000000001"/>
    <d v="2023-03-15T00:00:00"/>
    <x v="9"/>
    <s v="Mexico"/>
    <s v="Location 3"/>
    <n v="107.91"/>
  </r>
  <r>
    <n v="432"/>
    <n v="46617.120000000003"/>
    <d v="2023-03-15T00:00:00"/>
    <x v="9"/>
    <s v="Mexico"/>
    <s v="Location 3"/>
    <n v="107.91"/>
  </r>
  <r>
    <n v="324"/>
    <n v="34962.839999999997"/>
    <d v="2023-03-15T00:00:00"/>
    <x v="9"/>
    <s v="Mexico"/>
    <s v="Location 3"/>
    <n v="107.91"/>
  </r>
  <r>
    <n v="420"/>
    <n v="6610.8"/>
    <d v="2023-03-15T00:00:00"/>
    <x v="15"/>
    <s v="Mexico"/>
    <s v="Location 3"/>
    <n v="15.74"/>
  </r>
  <r>
    <n v="420"/>
    <n v="6610.8"/>
    <d v="2023-03-15T00:00:00"/>
    <x v="15"/>
    <s v="Mexico"/>
    <s v="Location 3"/>
    <n v="15.74"/>
  </r>
  <r>
    <n v="588"/>
    <n v="58982.28"/>
    <d v="2023-03-15T00:00:00"/>
    <x v="16"/>
    <s v="Mexico"/>
    <s v="Location 3"/>
    <n v="100.31"/>
  </r>
  <r>
    <n v="1500"/>
    <n v="1029.5999999999999"/>
    <d v="2023-03-15T00:00:00"/>
    <x v="13"/>
    <s v="Mexico"/>
    <s v="Location 3"/>
    <n v="0.68640000000000001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588"/>
    <n v="62210.400000000001"/>
    <d v="2023-05-03T00:00:00"/>
    <x v="16"/>
    <s v="Mexico"/>
    <s v="Location 3"/>
    <n v="105.8"/>
  </r>
  <r>
    <n v="420"/>
    <n v="318922.8"/>
    <d v="2023-05-03T00:00:00"/>
    <x v="14"/>
    <s v="Mexico"/>
    <s v="Location 3"/>
    <n v="759.34"/>
  </r>
  <r>
    <n v="432"/>
    <n v="49338.720000000001"/>
    <d v="2023-01-24T00:00:00"/>
    <x v="9"/>
    <s v="Mexico"/>
    <s v="Location 3"/>
    <n v="114.21"/>
  </r>
  <r>
    <n v="216"/>
    <n v="24669.360000000001"/>
    <d v="2023-01-24T00:00:00"/>
    <x v="9"/>
    <s v="Mexico"/>
    <s v="Location 3"/>
    <n v="114.21"/>
  </r>
  <r>
    <n v="64"/>
    <n v="55756.160000000003"/>
    <d v="2023-05-03T00:00:00"/>
    <x v="17"/>
    <s v="Mexico"/>
    <s v="Location 3"/>
    <n v="871.19"/>
  </r>
  <r>
    <n v="64"/>
    <n v="55756.160000000003"/>
    <d v="2023-05-03T00:00:00"/>
    <x v="17"/>
    <s v="Mexico"/>
    <s v="Location 3"/>
    <n v="871.19"/>
  </r>
  <r>
    <n v="30"/>
    <n v="13938.9"/>
    <d v="2023-01-24T00:00:00"/>
    <x v="5"/>
    <s v="Mexico"/>
    <s v="Location 3"/>
    <n v="464.63"/>
  </r>
  <r>
    <n v="90"/>
    <n v="41816.699999999997"/>
    <d v="2023-01-24T00:00:00"/>
    <x v="5"/>
    <s v="Mexico"/>
    <s v="Location 3"/>
    <n v="464.63"/>
  </r>
  <r>
    <n v="420"/>
    <n v="6610.8"/>
    <d v="2023-01-24T00:00:00"/>
    <x v="15"/>
    <s v="Mexico"/>
    <s v="Location 3"/>
    <n v="15.74"/>
  </r>
  <r>
    <n v="60"/>
    <n v="48226.2"/>
    <d v="2023-01-24T00:00:00"/>
    <x v="14"/>
    <s v="Mexico"/>
    <s v="Location 3"/>
    <n v="803.77"/>
  </r>
  <r>
    <n v="150"/>
    <n v="120565.5"/>
    <d v="2023-01-24T00:00:00"/>
    <x v="14"/>
    <s v="Mexico"/>
    <s v="Location 3"/>
    <n v="803.77"/>
  </r>
  <r>
    <n v="300"/>
    <n v="241131"/>
    <d v="2023-01-24T00:00:00"/>
    <x v="14"/>
    <s v="Mexico"/>
    <s v="Location 3"/>
    <n v="803.77"/>
  </r>
  <r>
    <n v="64"/>
    <n v="55756.160000000003"/>
    <d v="2023-05-03T00:00:00"/>
    <x v="17"/>
    <s v="Mexico"/>
    <s v="Location 3"/>
    <n v="871.19"/>
  </r>
  <r>
    <n v="64"/>
    <n v="55756.160000000003"/>
    <d v="2023-05-03T00:00:00"/>
    <x v="17"/>
    <s v="Mexico"/>
    <s v="Location 3"/>
    <n v="871.19"/>
  </r>
  <r>
    <n v="121"/>
    <n v="11925.76"/>
    <d v="2023-05-03T00:00:00"/>
    <x v="18"/>
    <s v="Mexico"/>
    <s v="Location 3"/>
    <n v="98.56"/>
  </r>
  <r>
    <n v="156"/>
    <n v="15375.36"/>
    <d v="2023-05-03T00:00:00"/>
    <x v="18"/>
    <s v="Mexico"/>
    <s v="Location 3"/>
    <n v="98.56"/>
  </r>
  <r>
    <n v="156"/>
    <n v="15375.36"/>
    <d v="2023-05-03T00:00:00"/>
    <x v="18"/>
    <s v="Mexico"/>
    <s v="Location 3"/>
    <n v="98.56"/>
  </r>
  <r>
    <n v="30"/>
    <n v="13938.9"/>
    <d v="2023-01-26T00:00:00"/>
    <x v="5"/>
    <s v="Mexico"/>
    <s v="Location 3"/>
    <n v="464.63"/>
  </r>
  <r>
    <n v="1192"/>
    <n v="112822.8"/>
    <d v="2023-01-26T00:00:00"/>
    <x v="19"/>
    <s v="Mexico"/>
    <s v="Location 3"/>
    <n v="94.65"/>
  </r>
  <r>
    <n v="2000"/>
    <n v="3880"/>
    <d v="2023-04-14T00:00:00"/>
    <x v="20"/>
    <s v="Mexico"/>
    <s v="Location 3"/>
    <n v="1.94"/>
  </r>
  <r>
    <n v="420"/>
    <n v="6610.8"/>
    <d v="2023-04-14T00:00:00"/>
    <x v="15"/>
    <s v="Mexico"/>
    <s v="Location 3"/>
    <n v="15.74"/>
  </r>
  <r>
    <n v="420"/>
    <n v="6610.8"/>
    <d v="2023-04-14T00:00:00"/>
    <x v="15"/>
    <s v="Mexico"/>
    <s v="Location 3"/>
    <n v="15.74"/>
  </r>
  <r>
    <n v="1820"/>
    <n v="4313.3999999999996"/>
    <d v="2023-04-14T00:00:00"/>
    <x v="21"/>
    <s v="Mexico"/>
    <s v="Location 3"/>
    <n v="2.37"/>
  </r>
  <r>
    <n v="4500"/>
    <n v="5895"/>
    <d v="2023-04-14T00:00:00"/>
    <x v="22"/>
    <s v="Mexico"/>
    <s v="Location 3"/>
    <n v="1.31"/>
  </r>
  <r>
    <n v="1500"/>
    <n v="1029.5999999999999"/>
    <d v="2023-06-09T00:00:00"/>
    <x v="13"/>
    <s v="Mexico"/>
    <s v="Location 3"/>
    <n v="0.68640000000000001"/>
  </r>
  <r>
    <n v="432"/>
    <n v="46617.120000000003"/>
    <d v="2023-06-20T00:00:00"/>
    <x v="9"/>
    <s v="Mexico"/>
    <s v="Location 3"/>
    <n v="107.91"/>
  </r>
  <r>
    <n v="30"/>
    <n v="13168.5"/>
    <d v="2023-06-20T00:00:00"/>
    <x v="5"/>
    <s v="Mexico"/>
    <s v="Location 3"/>
    <n v="438.95"/>
  </r>
  <r>
    <n v="64"/>
    <n v="55756.160000000003"/>
    <d v="2023-04-14T00:00:00"/>
    <x v="17"/>
    <s v="Mexico"/>
    <s v="Location 3"/>
    <n v="871.19"/>
  </r>
  <r>
    <n v="64"/>
    <n v="55756.160000000003"/>
    <d v="2023-04-14T00:00:00"/>
    <x v="17"/>
    <s v="Mexico"/>
    <s v="Location 3"/>
    <n v="871.19"/>
  </r>
  <r>
    <n v="432"/>
    <n v="46617.120000000003"/>
    <d v="2023-06-21T00:00:00"/>
    <x v="9"/>
    <s v="Mexico"/>
    <s v="Location 3"/>
    <n v="107.91"/>
  </r>
  <r>
    <n v="324"/>
    <n v="34962.839999999997"/>
    <d v="2023-06-21T00:00:00"/>
    <x v="9"/>
    <s v="Mexico"/>
    <s v="Location 3"/>
    <n v="107.91"/>
  </r>
  <r>
    <n v="300"/>
    <n v="227802"/>
    <d v="2023-06-21T00:00:00"/>
    <x v="14"/>
    <s v="Mexico"/>
    <s v="Location 3"/>
    <n v="759.34"/>
  </r>
  <r>
    <n v="240"/>
    <n v="108170.4"/>
    <d v="2023-04-21T00:00:00"/>
    <x v="1"/>
    <s v="Mexico"/>
    <s v="Location 3"/>
    <n v="450.71"/>
  </r>
  <r>
    <n v="240"/>
    <n v="102048"/>
    <d v="2023-04-21T00:00:00"/>
    <x v="1"/>
    <s v="Mexico"/>
    <s v="Location 3"/>
    <n v="425.2"/>
  </r>
  <r>
    <n v="330"/>
    <n v="250582.2"/>
    <d v="2023-04-21T00:00:00"/>
    <x v="14"/>
    <s v="Mexico"/>
    <s v="Location 3"/>
    <n v="759.34"/>
  </r>
  <r>
    <n v="420"/>
    <n v="318922.8"/>
    <d v="2023-04-21T00:00:00"/>
    <x v="14"/>
    <s v="Mexico"/>
    <s v="Location 3"/>
    <n v="759.34"/>
  </r>
  <r>
    <n v="1008"/>
    <n v="80398.080000000002"/>
    <d v="2023-02-10T00:00:00"/>
    <x v="23"/>
    <s v="Mexico"/>
    <s v="Location 3"/>
    <n v="79.760000000000005"/>
  </r>
  <r>
    <n v="1000"/>
    <n v="1830"/>
    <d v="2023-02-13T00:00:00"/>
    <x v="20"/>
    <s v="Mexico"/>
    <s v="Location 3"/>
    <n v="1.83"/>
  </r>
  <r>
    <n v="3000"/>
    <n v="1943.7"/>
    <d v="2023-02-13T00:00:00"/>
    <x v="13"/>
    <s v="Mexico"/>
    <s v="Location 3"/>
    <n v="0.64790000000000003"/>
  </r>
  <r>
    <n v="3024"/>
    <n v="133449.12"/>
    <d v="2023-04-25T00:00:00"/>
    <x v="24"/>
    <s v="Mexico"/>
    <s v="Location 3"/>
    <n v="44.13"/>
  </r>
  <r>
    <n v="252"/>
    <n v="21606.48"/>
    <d v="2023-04-25T00:00:00"/>
    <x v="23"/>
    <s v="Mexico"/>
    <s v="Location 3"/>
    <n v="85.74"/>
  </r>
  <r>
    <n v="252"/>
    <n v="21606.48"/>
    <d v="2023-04-25T00:00:00"/>
    <x v="23"/>
    <s v="Mexico"/>
    <s v="Location 3"/>
    <n v="85.74"/>
  </r>
  <r>
    <n v="252"/>
    <n v="21606.48"/>
    <d v="2023-04-25T00:00:00"/>
    <x v="23"/>
    <s v="Mexico"/>
    <s v="Location 3"/>
    <n v="85.74"/>
  </r>
  <r>
    <n v="252"/>
    <n v="28687.68"/>
    <d v="2023-04-25T00:00:00"/>
    <x v="25"/>
    <s v="Mexico"/>
    <s v="Location 3"/>
    <n v="113.84"/>
  </r>
  <r>
    <n v="588"/>
    <n v="79585.8"/>
    <d v="2023-04-25T00:00:00"/>
    <x v="26"/>
    <s v="Mexico"/>
    <s v="Location 3"/>
    <n v="135.35"/>
  </r>
  <r>
    <n v="220"/>
    <n v="32089.200000000001"/>
    <d v="2023-05-15T00:00:00"/>
    <x v="27"/>
    <s v="Mexico"/>
    <s v="Location 3"/>
    <n v="145.86000000000001"/>
  </r>
  <r>
    <n v="30"/>
    <n v="13168.5"/>
    <d v="2023-05-15T00:00:00"/>
    <x v="5"/>
    <s v="Mexico"/>
    <s v="Location 3"/>
    <n v="438.95"/>
  </r>
  <r>
    <n v="60"/>
    <n v="26337"/>
    <d v="2023-05-15T00:00:00"/>
    <x v="5"/>
    <s v="Mexico"/>
    <s v="Location 3"/>
    <n v="438.95"/>
  </r>
  <r>
    <n v="1008"/>
    <n v="69602.399999999994"/>
    <d v="2023-05-15T00:00:00"/>
    <x v="28"/>
    <s v="Mexico"/>
    <s v="Location 3"/>
    <n v="69.05"/>
  </r>
  <r>
    <n v="840"/>
    <n v="13221.6"/>
    <d v="2023-05-15T00:00:00"/>
    <x v="15"/>
    <s v="Mexico"/>
    <s v="Location 3"/>
    <n v="15.74"/>
  </r>
  <r>
    <n v="1820"/>
    <n v="4313.3999999999996"/>
    <d v="2023-05-15T00:00:00"/>
    <x v="21"/>
    <s v="Mexico"/>
    <s v="Location 3"/>
    <n v="2.37"/>
  </r>
  <r>
    <n v="1820"/>
    <n v="4313.3999999999996"/>
    <d v="2023-05-15T00:00:00"/>
    <x v="21"/>
    <s v="Mexico"/>
    <s v="Location 3"/>
    <n v="2.37"/>
  </r>
  <r>
    <n v="1820"/>
    <n v="4568.2"/>
    <d v="2023-05-15T00:00:00"/>
    <x v="21"/>
    <s v="Mexico"/>
    <s v="Location 3"/>
    <n v="2.5099999999999998"/>
  </r>
  <r>
    <n v="4500"/>
    <n v="3088.8"/>
    <d v="2023-05-15T00:00:00"/>
    <x v="13"/>
    <s v="Mexico"/>
    <s v="Location 3"/>
    <n v="0.68640000000000001"/>
  </r>
  <r>
    <n v="3000"/>
    <n v="2059.1999999999998"/>
    <d v="2023-05-15T00:00:00"/>
    <x v="13"/>
    <s v="Mexico"/>
    <s v="Location 3"/>
    <n v="0.68640000000000001"/>
  </r>
  <r>
    <n v="64"/>
    <n v="55756.160000000003"/>
    <d v="2023-05-15T00:00:00"/>
    <x v="17"/>
    <s v="Mexico"/>
    <s v="Location 3"/>
    <n v="871.19"/>
  </r>
  <r>
    <n v="432"/>
    <n v="46617.120000000003"/>
    <d v="2023-02-21T00:00:00"/>
    <x v="9"/>
    <s v="Mexico"/>
    <s v="Location 3"/>
    <n v="107.91"/>
  </r>
  <r>
    <n v="432"/>
    <n v="46617.120000000003"/>
    <d v="2023-02-21T00:00:00"/>
    <x v="9"/>
    <s v="Mexico"/>
    <s v="Location 3"/>
    <n v="107.91"/>
  </r>
  <r>
    <n v="108"/>
    <n v="11654.28"/>
    <d v="2023-02-21T00:00:00"/>
    <x v="9"/>
    <s v="Mexico"/>
    <s v="Location 3"/>
    <n v="107.91"/>
  </r>
  <r>
    <n v="90"/>
    <n v="41816.699999999997"/>
    <d v="2023-02-21T00:00:00"/>
    <x v="5"/>
    <s v="Mexico"/>
    <s v="Location 3"/>
    <n v="464.63"/>
  </r>
  <r>
    <n v="90"/>
    <n v="41816.699999999997"/>
    <d v="2023-02-21T00:00:00"/>
    <x v="5"/>
    <s v="Mexico"/>
    <s v="Location 3"/>
    <n v="464.63"/>
  </r>
  <r>
    <n v="90"/>
    <n v="41816.699999999997"/>
    <d v="2023-02-21T00:00:00"/>
    <x v="5"/>
    <s v="Mexico"/>
    <s v="Location 3"/>
    <n v="464.63"/>
  </r>
  <r>
    <n v="60"/>
    <n v="27877.8"/>
    <d v="2023-02-21T00:00:00"/>
    <x v="5"/>
    <s v="Mexico"/>
    <s v="Location 3"/>
    <n v="464.63"/>
  </r>
  <r>
    <n v="1500"/>
    <n v="971.85"/>
    <d v="2023-02-21T00:00:00"/>
    <x v="13"/>
    <s v="Mexico"/>
    <s v="Location 3"/>
    <n v="0.64790000000000003"/>
  </r>
  <r>
    <n v="1500"/>
    <n v="1029.5999999999999"/>
    <d v="2023-04-25T00:00:00"/>
    <x v="13"/>
    <s v="Mexico"/>
    <s v="Location 3"/>
    <n v="0.68640000000000001"/>
  </r>
  <r>
    <n v="420"/>
    <n v="318922.8"/>
    <d v="2023-04-25T00:00:00"/>
    <x v="14"/>
    <s v="Mexico"/>
    <s v="Location 3"/>
    <n v="759.34"/>
  </r>
  <r>
    <n v="420"/>
    <n v="318922.8"/>
    <d v="2023-04-25T00:00:00"/>
    <x v="14"/>
    <s v="Mexico"/>
    <s v="Location 3"/>
    <n v="759.34"/>
  </r>
  <r>
    <n v="156"/>
    <n v="15375.36"/>
    <d v="2023-04-25T00:00:00"/>
    <x v="18"/>
    <s v="Mexico"/>
    <s v="Location 3"/>
    <n v="98.56"/>
  </r>
  <r>
    <n v="324"/>
    <n v="34962.839999999997"/>
    <d v="2023-02-24T00:00:00"/>
    <x v="9"/>
    <s v="Mexico"/>
    <s v="Location 3"/>
    <n v="107.91"/>
  </r>
  <r>
    <n v="432"/>
    <n v="46617.120000000003"/>
    <d v="2023-02-24T00:00:00"/>
    <x v="9"/>
    <s v="Mexico"/>
    <s v="Location 3"/>
    <n v="107.91"/>
  </r>
  <r>
    <n v="1000"/>
    <n v="1830"/>
    <d v="2023-02-24T00:00:00"/>
    <x v="20"/>
    <s v="Mexico"/>
    <s v="Location 3"/>
    <n v="1.83"/>
  </r>
  <r>
    <n v="252"/>
    <n v="20099.52"/>
    <d v="2023-02-24T00:00:00"/>
    <x v="23"/>
    <s v="Mexico"/>
    <s v="Location 3"/>
    <n v="79.760000000000005"/>
  </r>
  <r>
    <n v="252"/>
    <n v="20099.52"/>
    <d v="2023-02-24T00:00:00"/>
    <x v="23"/>
    <s v="Mexico"/>
    <s v="Location 3"/>
    <n v="79.760000000000005"/>
  </r>
  <r>
    <n v="252"/>
    <n v="20099.52"/>
    <d v="2023-02-24T00:00:00"/>
    <x v="23"/>
    <s v="Mexico"/>
    <s v="Location 3"/>
    <n v="79.760000000000005"/>
  </r>
  <r>
    <n v="252"/>
    <n v="20099.52"/>
    <d v="2023-02-24T00:00:00"/>
    <x v="23"/>
    <s v="Mexico"/>
    <s v="Location 3"/>
    <n v="79.760000000000005"/>
  </r>
  <r>
    <n v="2336"/>
    <n v="221102.4"/>
    <d v="2023-02-24T00:00:00"/>
    <x v="19"/>
    <s v="Mexico"/>
    <s v="Location 3"/>
    <n v="94.65"/>
  </r>
  <r>
    <n v="30"/>
    <n v="13168.5"/>
    <d v="2023-05-26T00:00:00"/>
    <x v="5"/>
    <s v="Mexico"/>
    <s v="Location 3"/>
    <n v="438.95"/>
  </r>
  <r>
    <n v="324"/>
    <n v="34962.839999999997"/>
    <d v="2023-02-28T00:00:00"/>
    <x v="9"/>
    <s v="Mexico"/>
    <s v="Location 3"/>
    <n v="107.91"/>
  </r>
  <r>
    <n v="324"/>
    <n v="34962.839999999997"/>
    <d v="2023-02-28T00:00:00"/>
    <x v="9"/>
    <s v="Mexico"/>
    <s v="Location 3"/>
    <n v="107.91"/>
  </r>
  <r>
    <n v="324"/>
    <n v="34962.839999999997"/>
    <d v="2023-02-28T00:00:00"/>
    <x v="9"/>
    <s v="Mexico"/>
    <s v="Location 3"/>
    <n v="107.91"/>
  </r>
  <r>
    <n v="324"/>
    <n v="34962.839999999997"/>
    <d v="2023-02-28T00:00:00"/>
    <x v="9"/>
    <s v="Mexico"/>
    <s v="Location 3"/>
    <n v="107.91"/>
  </r>
  <r>
    <n v="108"/>
    <n v="11654.28"/>
    <d v="2023-02-28T00:00:00"/>
    <x v="9"/>
    <s v="Mexico"/>
    <s v="Location 3"/>
    <n v="107.91"/>
  </r>
  <r>
    <n v="1192"/>
    <n v="112822.8"/>
    <d v="2023-02-28T00:00:00"/>
    <x v="19"/>
    <s v="Mexico"/>
    <s v="Location 3"/>
    <n v="94.65"/>
  </r>
  <r>
    <n v="1008"/>
    <n v="73402.559999999998"/>
    <d v="2023-05-26T00:00:00"/>
    <x v="28"/>
    <s v="Mexico"/>
    <s v="Location 3"/>
    <n v="72.819999999999993"/>
  </r>
  <r>
    <n v="279"/>
    <n v="24390.18"/>
    <d v="2023-05-26T00:00:00"/>
    <x v="29"/>
    <s v="Mexico"/>
    <s v="Location 3"/>
    <n v="87.42"/>
  </r>
  <r>
    <n v="29"/>
    <n v="2535.1799999999998"/>
    <d v="2023-05-26T00:00:00"/>
    <x v="29"/>
    <s v="Mexico"/>
    <s v="Location 3"/>
    <n v="87.42"/>
  </r>
  <r>
    <n v="1820"/>
    <n v="4568.2"/>
    <d v="2023-05-26T00:00:00"/>
    <x v="21"/>
    <s v="Mexico"/>
    <s v="Location 3"/>
    <n v="2.5099999999999998"/>
  </r>
  <r>
    <n v="1820"/>
    <n v="4568.2"/>
    <d v="2023-05-26T00:00:00"/>
    <x v="21"/>
    <s v="Mexico"/>
    <s v="Location 3"/>
    <n v="2.5099999999999998"/>
  </r>
  <r>
    <n v="1820"/>
    <n v="4568.2"/>
    <d v="2023-05-26T00:00:00"/>
    <x v="21"/>
    <s v="Mexico"/>
    <s v="Location 3"/>
    <n v="2.5099999999999998"/>
  </r>
  <r>
    <n v="1820"/>
    <n v="4568.2"/>
    <d v="2023-05-26T00:00:00"/>
    <x v="21"/>
    <s v="Mexico"/>
    <s v="Location 3"/>
    <n v="2.5099999999999998"/>
  </r>
  <r>
    <n v="1820"/>
    <n v="4568.2"/>
    <d v="2023-05-26T00:00:00"/>
    <x v="21"/>
    <s v="Mexico"/>
    <s v="Location 3"/>
    <n v="2.5099999999999998"/>
  </r>
  <r>
    <n v="1820"/>
    <n v="4568.2"/>
    <d v="2023-05-26T00:00:00"/>
    <x v="21"/>
    <s v="Mexico"/>
    <s v="Location 3"/>
    <n v="2.5099999999999998"/>
  </r>
  <r>
    <n v="15"/>
    <n v="6760.65"/>
    <d v="2023-08-04T00:00:00"/>
    <x v="1"/>
    <s v="Mexico"/>
    <s v="Location 3"/>
    <n v="450.71"/>
  </r>
  <r>
    <n v="76"/>
    <n v="34253.96"/>
    <d v="2023-08-04T00:00:00"/>
    <x v="1"/>
    <s v="Mexico"/>
    <s v="Location 3"/>
    <n v="450.71"/>
  </r>
  <r>
    <n v="420"/>
    <n v="318922.8"/>
    <d v="2023-08-04T00:00:00"/>
    <x v="14"/>
    <s v="Mexico"/>
    <s v="Location 3"/>
    <n v="759.34"/>
  </r>
  <r>
    <n v="432"/>
    <n v="46617.120000000003"/>
    <d v="2023-08-16T00:00:00"/>
    <x v="9"/>
    <s v="Mexico"/>
    <s v="Location 3"/>
    <n v="107.91"/>
  </r>
  <r>
    <n v="324"/>
    <n v="34962.839999999997"/>
    <d v="2023-08-16T00:00:00"/>
    <x v="9"/>
    <s v="Mexico"/>
    <s v="Location 3"/>
    <n v="107.91"/>
  </r>
  <r>
    <n v="103"/>
    <n v="46423.13"/>
    <d v="2023-08-16T00:00:00"/>
    <x v="1"/>
    <s v="Mexico"/>
    <s v="Location 3"/>
    <n v="450.71"/>
  </r>
  <r>
    <n v="80"/>
    <n v="36056.800000000003"/>
    <d v="2023-08-16T00:00:00"/>
    <x v="1"/>
    <s v="Mexico"/>
    <s v="Location 3"/>
    <n v="450.71"/>
  </r>
  <r>
    <n v="432"/>
    <n v="46617.120000000003"/>
    <d v="2023-08-17T00:00:00"/>
    <x v="9"/>
    <s v="Mexico"/>
    <s v="Location 3"/>
    <n v="107.91"/>
  </r>
  <r>
    <n v="60"/>
    <n v="45560.4"/>
    <d v="2023-08-17T00:00:00"/>
    <x v="14"/>
    <s v="Mexico"/>
    <s v="Location 3"/>
    <n v="759.34"/>
  </r>
  <r>
    <n v="60"/>
    <n v="45560.4"/>
    <d v="2023-08-17T00:00:00"/>
    <x v="14"/>
    <s v="Mexico"/>
    <s v="Location 3"/>
    <n v="759.34"/>
  </r>
  <r>
    <n v="60"/>
    <n v="45560.4"/>
    <d v="2023-08-17T00:00:00"/>
    <x v="14"/>
    <s v="Mexico"/>
    <s v="Location 3"/>
    <n v="759.34"/>
  </r>
  <r>
    <n v="21"/>
    <n v="3747.45"/>
    <d v="2023-08-17T00:00:00"/>
    <x v="30"/>
    <s v="Mexico"/>
    <s v="Location 3"/>
    <n v="178.45"/>
  </r>
  <r>
    <n v="648"/>
    <n v="69925.679999999993"/>
    <d v="2023-07-14T00:00:00"/>
    <x v="9"/>
    <s v="Mexico"/>
    <s v="Location 3"/>
    <n v="107.91"/>
  </r>
  <r>
    <n v="420"/>
    <n v="6610.8"/>
    <d v="2023-07-14T00:00:00"/>
    <x v="15"/>
    <s v="Mexico"/>
    <s v="Location 3"/>
    <n v="15.74"/>
  </r>
  <r>
    <n v="1820"/>
    <n v="4568.2"/>
    <d v="2023-07-14T00:00:00"/>
    <x v="21"/>
    <s v="Mexico"/>
    <s v="Location 3"/>
    <n v="2.5099999999999998"/>
  </r>
  <r>
    <n v="1820"/>
    <n v="4568.2"/>
    <d v="2023-07-14T00:00:00"/>
    <x v="21"/>
    <s v="Mexico"/>
    <s v="Location 3"/>
    <n v="2.5099999999999998"/>
  </r>
  <r>
    <n v="1820"/>
    <n v="4568.2"/>
    <d v="2023-07-14T00:00:00"/>
    <x v="21"/>
    <s v="Mexico"/>
    <s v="Location 3"/>
    <n v="2.5099999999999998"/>
  </r>
  <r>
    <n v="1820"/>
    <n v="4568.2"/>
    <d v="2023-07-14T00:00:00"/>
    <x v="21"/>
    <s v="Mexico"/>
    <s v="Location 3"/>
    <n v="2.5099999999999998"/>
  </r>
  <r>
    <n v="1820"/>
    <n v="4568.2"/>
    <d v="2023-07-14T00:00:00"/>
    <x v="21"/>
    <s v="Mexico"/>
    <s v="Location 3"/>
    <n v="2.5099999999999998"/>
  </r>
  <r>
    <n v="1820"/>
    <n v="4568.2"/>
    <d v="2023-07-14T00:00:00"/>
    <x v="21"/>
    <s v="Mexico"/>
    <s v="Location 3"/>
    <n v="2.5099999999999998"/>
  </r>
  <r>
    <n v="3528"/>
    <n v="333925.2"/>
    <d v="2023-07-14T00:00:00"/>
    <x v="19"/>
    <s v="Mexico"/>
    <s v="Location 3"/>
    <n v="94.65"/>
  </r>
  <r>
    <n v="350"/>
    <n v="150101"/>
    <d v="2023-07-14T00:00:00"/>
    <x v="4"/>
    <s v="Mexico"/>
    <s v="Location 3"/>
    <n v="428.86"/>
  </r>
  <r>
    <n v="252"/>
    <n v="21606.48"/>
    <d v="2023-07-25T00:00:00"/>
    <x v="23"/>
    <s v="Mexico"/>
    <s v="Location 3"/>
    <n v="85.74"/>
  </r>
  <r>
    <n v="756"/>
    <n v="64819.44"/>
    <d v="2023-07-25T00:00:00"/>
    <x v="23"/>
    <s v="Mexico"/>
    <s v="Location 3"/>
    <n v="85.74"/>
  </r>
  <r>
    <n v="630"/>
    <n v="276538.5"/>
    <d v="2023-07-25T00:00:00"/>
    <x v="5"/>
    <s v="Mexico"/>
    <s v="Location 3"/>
    <n v="438.95"/>
  </r>
  <r>
    <n v="90"/>
    <n v="39505.5"/>
    <d v="2023-07-25T00:00:00"/>
    <x v="5"/>
    <s v="Mexico"/>
    <s v="Location 3"/>
    <n v="438.95"/>
  </r>
  <r>
    <n v="279"/>
    <n v="24390.18"/>
    <d v="2023-08-31T00:00:00"/>
    <x v="29"/>
    <s v="Mexico"/>
    <s v="Location 3"/>
    <n v="87.42"/>
  </r>
  <r>
    <n v="29"/>
    <n v="2535.1799999999998"/>
    <d v="2023-08-31T00:00:00"/>
    <x v="29"/>
    <s v="Mexico"/>
    <s v="Location 3"/>
    <n v="87.42"/>
  </r>
  <r>
    <n v="60"/>
    <n v="45560.4"/>
    <d v="2023-08-31T00:00:00"/>
    <x v="14"/>
    <s v="Mexico"/>
    <s v="Location 3"/>
    <n v="759.34"/>
  </r>
  <r>
    <n v="60"/>
    <n v="45560.4"/>
    <d v="2023-08-31T00:00:00"/>
    <x v="14"/>
    <s v="Mexico"/>
    <s v="Location 3"/>
    <n v="759.34"/>
  </r>
  <r>
    <n v="90"/>
    <n v="39505.5"/>
    <d v="2023-07-25T00:00:00"/>
    <x v="5"/>
    <s v="Mexico"/>
    <s v="Location 3"/>
    <n v="438.95"/>
  </r>
  <r>
    <n v="1820"/>
    <n v="4568.2"/>
    <d v="2023-07-25T00:00:00"/>
    <x v="21"/>
    <s v="Mexico"/>
    <s v="Location 3"/>
    <n v="2.5099999999999998"/>
  </r>
  <r>
    <n v="1820"/>
    <n v="4568.2"/>
    <d v="2023-07-25T00:00:00"/>
    <x v="21"/>
    <s v="Mexico"/>
    <s v="Location 3"/>
    <n v="2.5099999999999998"/>
  </r>
  <r>
    <n v="1820"/>
    <n v="4568.2"/>
    <d v="2023-07-25T00:00:00"/>
    <x v="21"/>
    <s v="Mexico"/>
    <s v="Location 3"/>
    <n v="2.5099999999999998"/>
  </r>
  <r>
    <n v="1820"/>
    <n v="4568.2"/>
    <d v="2023-07-25T00:00:00"/>
    <x v="21"/>
    <s v="Mexico"/>
    <s v="Location 3"/>
    <n v="2.5099999999999998"/>
  </r>
  <r>
    <n v="1820"/>
    <n v="4568.2"/>
    <d v="2023-07-25T00:00:00"/>
    <x v="21"/>
    <s v="Mexico"/>
    <s v="Location 3"/>
    <n v="2.5099999999999998"/>
  </r>
  <r>
    <n v="60"/>
    <n v="45560.4"/>
    <d v="2023-08-31T00:00:00"/>
    <x v="14"/>
    <s v="Mexico"/>
    <s v="Location 3"/>
    <n v="759.34"/>
  </r>
  <r>
    <n v="60"/>
    <n v="45560.4"/>
    <d v="2023-08-31T00:00:00"/>
    <x v="14"/>
    <s v="Mexico"/>
    <s v="Location 3"/>
    <n v="759.34"/>
  </r>
  <r>
    <n v="420"/>
    <n v="318922.8"/>
    <d v="2023-07-25T00:00:00"/>
    <x v="14"/>
    <s v="Mexico"/>
    <s v="Location 3"/>
    <n v="759.34"/>
  </r>
  <r>
    <n v="200"/>
    <n v="85040"/>
    <d v="2023-01-06T00:00:00"/>
    <x v="1"/>
    <s v="Mexico"/>
    <s v="Location 3"/>
    <n v="425.2"/>
  </r>
  <r>
    <n v="46"/>
    <n v="19559.2"/>
    <d v="2023-01-06T00:00:00"/>
    <x v="1"/>
    <s v="Mexico"/>
    <s v="Location 3"/>
    <n v="425.2"/>
  </r>
  <r>
    <n v="216"/>
    <n v="24669.360000000001"/>
    <d v="2023-01-14T00:00:00"/>
    <x v="9"/>
    <s v="Mexico"/>
    <s v="Location 3"/>
    <n v="114.21"/>
  </r>
  <r>
    <n v="108"/>
    <n v="12334.68"/>
    <d v="2023-01-14T00:00:00"/>
    <x v="9"/>
    <s v="Mexico"/>
    <s v="Location 3"/>
    <n v="114.21"/>
  </r>
  <r>
    <n v="240"/>
    <n v="102048"/>
    <d v="2023-01-14T00:00:00"/>
    <x v="1"/>
    <s v="Mexico"/>
    <s v="Location 3"/>
    <n v="425.2"/>
  </r>
  <r>
    <n v="40"/>
    <n v="17008"/>
    <d v="2023-01-14T00:00:00"/>
    <x v="1"/>
    <s v="Mexico"/>
    <s v="Location 3"/>
    <n v="425.2"/>
  </r>
  <r>
    <n v="1000"/>
    <n v="1830"/>
    <d v="2022-03-31T00:00:00"/>
    <x v="20"/>
    <s v="Mexico"/>
    <s v="Location 3"/>
    <n v="1.83"/>
  </r>
  <r>
    <n v="2000"/>
    <n v="3660"/>
    <d v="2022-03-31T00:00:00"/>
    <x v="20"/>
    <s v="Mexico"/>
    <s v="Location 3"/>
    <n v="1.83"/>
  </r>
  <r>
    <n v="432"/>
    <n v="46781.279999999999"/>
    <d v="2022-06-09T00:00:00"/>
    <x v="9"/>
    <s v="Mexico"/>
    <s v="Location 3"/>
    <n v="108.29"/>
  </r>
  <r>
    <n v="324"/>
    <n v="35085.96"/>
    <d v="2022-06-09T00:00:00"/>
    <x v="9"/>
    <s v="Mexico"/>
    <s v="Location 3"/>
    <n v="108.29"/>
  </r>
  <r>
    <n v="2000"/>
    <n v="3660"/>
    <d v="2022-04-05T00:00:00"/>
    <x v="20"/>
    <s v="Mexico"/>
    <s v="Location 3"/>
    <n v="1.83"/>
  </r>
  <r>
    <n v="420"/>
    <n v="320073.59999999998"/>
    <d v="2022-06-09T00:00:00"/>
    <x v="14"/>
    <s v="Mexico"/>
    <s v="Location 3"/>
    <n v="762.08"/>
  </r>
  <r>
    <n v="420"/>
    <n v="320073.59999999998"/>
    <d v="2022-06-09T00:00:00"/>
    <x v="14"/>
    <s v="Mexico"/>
    <s v="Location 3"/>
    <n v="762.08"/>
  </r>
  <r>
    <n v="432"/>
    <n v="46781.279999999999"/>
    <d v="2022-05-09T00:00:00"/>
    <x v="9"/>
    <s v="Mexico"/>
    <s v="Location 3"/>
    <n v="108.29"/>
  </r>
  <r>
    <n v="540"/>
    <n v="58476.6"/>
    <d v="2022-05-09T00:00:00"/>
    <x v="9"/>
    <s v="Mexico"/>
    <s v="Location 3"/>
    <n v="108.29"/>
  </r>
  <r>
    <n v="540"/>
    <n v="58476.6"/>
    <d v="2022-05-09T00:00:00"/>
    <x v="9"/>
    <s v="Mexico"/>
    <s v="Location 3"/>
    <n v="108.29"/>
  </r>
  <r>
    <n v="1820"/>
    <n v="1342.43"/>
    <d v="2022-05-09T00:00:00"/>
    <x v="31"/>
    <s v="Mexico"/>
    <s v="Location 3"/>
    <n v="0.73760000000000003"/>
  </r>
  <r>
    <n v="4382"/>
    <n v="407394.54"/>
    <d v="2022-05-09T00:00:00"/>
    <x v="18"/>
    <s v="Mexico"/>
    <s v="Location 3"/>
    <n v="92.97"/>
  </r>
  <r>
    <n v="1160"/>
    <n v="104098.4"/>
    <d v="2022-06-28T00:00:00"/>
    <x v="19"/>
    <s v="Mexico"/>
    <s v="Location 3"/>
    <n v="89.74"/>
  </r>
  <r>
    <n v="1000"/>
    <n v="1830"/>
    <d v="2022-02-01T00:00:00"/>
    <x v="20"/>
    <s v="Mexico"/>
    <s v="Location 3"/>
    <n v="1.83"/>
  </r>
  <r>
    <n v="324"/>
    <n v="35085.96"/>
    <d v="2022-05-11T00:00:00"/>
    <x v="9"/>
    <s v="Mexico"/>
    <s v="Location 3"/>
    <n v="108.29"/>
  </r>
  <r>
    <n v="1820"/>
    <n v="1342.43"/>
    <d v="2022-01-03T00:00:00"/>
    <x v="31"/>
    <s v="Mexico"/>
    <s v="Location 3"/>
    <n v="0.73760000000000003"/>
  </r>
  <r>
    <n v="432"/>
    <n v="46785.599999999999"/>
    <d v="2023-01-03T00:00:00"/>
    <x v="9"/>
    <s v="Mexico"/>
    <s v="Location 3"/>
    <n v="108.3"/>
  </r>
  <r>
    <n v="324"/>
    <n v="35089.199999999997"/>
    <d v="2023-01-03T00:00:00"/>
    <x v="9"/>
    <s v="Mexico"/>
    <s v="Location 3"/>
    <n v="108.3"/>
  </r>
  <r>
    <n v="324"/>
    <n v="35089.199999999997"/>
    <d v="2023-01-03T00:00:00"/>
    <x v="9"/>
    <s v="Mexico"/>
    <s v="Location 3"/>
    <n v="108.3"/>
  </r>
  <r>
    <n v="216"/>
    <n v="23392.799999999999"/>
    <d v="2023-01-03T00:00:00"/>
    <x v="9"/>
    <s v="Mexico"/>
    <s v="Location 3"/>
    <n v="108.3"/>
  </r>
  <r>
    <n v="432"/>
    <n v="46785.599999999999"/>
    <d v="2023-01-03T00:00:00"/>
    <x v="9"/>
    <s v="Mexico"/>
    <s v="Location 3"/>
    <n v="108.3"/>
  </r>
  <r>
    <n v="324"/>
    <n v="35089.199999999997"/>
    <d v="2023-01-03T00:00:00"/>
    <x v="9"/>
    <s v="Mexico"/>
    <s v="Location 3"/>
    <n v="108.3"/>
  </r>
  <r>
    <n v="216"/>
    <n v="23392.799999999999"/>
    <d v="2023-01-03T00:00:00"/>
    <x v="9"/>
    <s v="Mexico"/>
    <s v="Location 3"/>
    <n v="108.3"/>
  </r>
  <r>
    <n v="1000"/>
    <n v="1830"/>
    <d v="2023-01-03T00:00:00"/>
    <x v="20"/>
    <s v="Mexico"/>
    <s v="Location 3"/>
    <n v="1.83"/>
  </r>
  <r>
    <n v="2000"/>
    <n v="3880"/>
    <d v="2023-01-03T00:00:00"/>
    <x v="20"/>
    <s v="Mexico"/>
    <s v="Location 3"/>
    <n v="1.94"/>
  </r>
  <r>
    <n v="240"/>
    <n v="102048"/>
    <d v="2023-01-03T00:00:00"/>
    <x v="1"/>
    <s v="Mexico"/>
    <s v="Location 3"/>
    <n v="425.2"/>
  </r>
  <r>
    <n v="240"/>
    <n v="102048"/>
    <d v="2023-01-03T00:00:00"/>
    <x v="1"/>
    <s v="Mexico"/>
    <s v="Location 3"/>
    <n v="425.2"/>
  </r>
  <r>
    <n v="648"/>
    <n v="70171.92"/>
    <d v="2022-05-18T00:00:00"/>
    <x v="9"/>
    <s v="Mexico"/>
    <s v="Location 3"/>
    <n v="108.29"/>
  </r>
  <r>
    <n v="324"/>
    <n v="35085.96"/>
    <d v="2022-05-18T00:00:00"/>
    <x v="9"/>
    <s v="Mexico"/>
    <s v="Location 3"/>
    <n v="108.29"/>
  </r>
  <r>
    <n v="40"/>
    <n v="17008"/>
    <d v="2023-01-03T00:00:00"/>
    <x v="1"/>
    <s v="Mexico"/>
    <s v="Location 3"/>
    <n v="425.2"/>
  </r>
  <r>
    <n v="3024"/>
    <n v="126493.92"/>
    <d v="2023-01-03T00:00:00"/>
    <x v="24"/>
    <s v="Mexico"/>
    <s v="Location 3"/>
    <n v="41.83"/>
  </r>
  <r>
    <n v="1176"/>
    <n v="105546"/>
    <d v="2023-01-03T00:00:00"/>
    <x v="19"/>
    <s v="Mexico"/>
    <s v="Location 3"/>
    <n v="89.75"/>
  </r>
  <r>
    <n v="420"/>
    <n v="6266.4"/>
    <d v="2022-04-27T00:00:00"/>
    <x v="15"/>
    <s v="Mexico"/>
    <s v="Location 3"/>
    <n v="14.92"/>
  </r>
  <r>
    <n v="420"/>
    <n v="6266.4"/>
    <d v="2022-04-27T00:00:00"/>
    <x v="15"/>
    <s v="Mexico"/>
    <s v="Location 3"/>
    <n v="14.92"/>
  </r>
  <r>
    <n v="588"/>
    <n v="75075.839999999997"/>
    <d v="2022-07-26T00:00:00"/>
    <x v="26"/>
    <s v="Mexico"/>
    <s v="Location 3"/>
    <n v="127.68"/>
  </r>
  <r>
    <n v="588"/>
    <n v="75075.839999999997"/>
    <d v="2022-07-26T00:00:00"/>
    <x v="26"/>
    <s v="Mexico"/>
    <s v="Location 3"/>
    <n v="127.68"/>
  </r>
  <r>
    <n v="588"/>
    <n v="75075.839999999997"/>
    <d v="2022-07-26T00:00:00"/>
    <x v="26"/>
    <s v="Mexico"/>
    <s v="Location 3"/>
    <n v="127.68"/>
  </r>
  <r>
    <n v="588"/>
    <n v="75075.839999999997"/>
    <d v="2022-07-26T00:00:00"/>
    <x v="26"/>
    <s v="Mexico"/>
    <s v="Location 3"/>
    <n v="127.68"/>
  </r>
  <r>
    <n v="4500"/>
    <n v="5175"/>
    <d v="2022-07-26T00:00:00"/>
    <x v="32"/>
    <s v="Mexico"/>
    <s v="Location 3"/>
    <n v="1.1499999999999999"/>
  </r>
  <r>
    <n v="60"/>
    <n v="26432.400000000001"/>
    <d v="2022-09-12T00:00:00"/>
    <x v="5"/>
    <s v="Mexico"/>
    <s v="Location 3"/>
    <n v="440.54"/>
  </r>
  <r>
    <n v="1820"/>
    <n v="4313.3999999999996"/>
    <d v="2022-09-12T00:00:00"/>
    <x v="21"/>
    <s v="Mexico"/>
    <s v="Location 3"/>
    <n v="2.37"/>
  </r>
  <r>
    <n v="1820"/>
    <n v="4313.3999999999996"/>
    <d v="2022-09-12T00:00:00"/>
    <x v="21"/>
    <s v="Mexico"/>
    <s v="Location 3"/>
    <n v="2.37"/>
  </r>
  <r>
    <n v="1820"/>
    <n v="4313.3999999999996"/>
    <d v="2022-09-12T00:00:00"/>
    <x v="21"/>
    <s v="Mexico"/>
    <s v="Location 3"/>
    <n v="2.37"/>
  </r>
  <r>
    <n v="1820"/>
    <n v="4313.3999999999996"/>
    <d v="2022-09-12T00:00:00"/>
    <x v="21"/>
    <s v="Mexico"/>
    <s v="Location 3"/>
    <n v="2.37"/>
  </r>
  <r>
    <n v="588"/>
    <n v="52767.12"/>
    <d v="2022-09-12T00:00:00"/>
    <x v="19"/>
    <s v="Mexico"/>
    <s v="Location 3"/>
    <n v="89.74"/>
  </r>
  <r>
    <n v="252"/>
    <n v="19056.240000000002"/>
    <d v="2022-09-21T00:00:00"/>
    <x v="23"/>
    <s v="Mexico"/>
    <s v="Location 3"/>
    <n v="75.62"/>
  </r>
  <r>
    <n v="252"/>
    <n v="19056.240000000002"/>
    <d v="2022-09-21T00:00:00"/>
    <x v="23"/>
    <s v="Mexico"/>
    <s v="Location 3"/>
    <n v="75.62"/>
  </r>
  <r>
    <n v="252"/>
    <n v="19056.240000000002"/>
    <d v="2022-09-21T00:00:00"/>
    <x v="23"/>
    <s v="Mexico"/>
    <s v="Location 3"/>
    <n v="75.62"/>
  </r>
  <r>
    <n v="30"/>
    <n v="13216.2"/>
    <d v="2022-09-21T00:00:00"/>
    <x v="5"/>
    <s v="Mexico"/>
    <s v="Location 3"/>
    <n v="440.54"/>
  </r>
  <r>
    <n v="30"/>
    <n v="13216.2"/>
    <d v="2022-09-21T00:00:00"/>
    <x v="5"/>
    <s v="Mexico"/>
    <s v="Location 3"/>
    <n v="440.54"/>
  </r>
  <r>
    <n v="90"/>
    <n v="39648.6"/>
    <d v="2022-09-21T00:00:00"/>
    <x v="5"/>
    <s v="Mexico"/>
    <s v="Location 3"/>
    <n v="440.54"/>
  </r>
  <r>
    <n v="90"/>
    <n v="39648.6"/>
    <d v="2022-09-21T00:00:00"/>
    <x v="5"/>
    <s v="Mexico"/>
    <s v="Location 3"/>
    <n v="440.54"/>
  </r>
  <r>
    <n v="588"/>
    <n v="52767.12"/>
    <d v="2022-09-21T00:00:00"/>
    <x v="19"/>
    <s v="Mexico"/>
    <s v="Location 3"/>
    <n v="89.74"/>
  </r>
  <r>
    <n v="324"/>
    <n v="35089.199999999997"/>
    <d v="2022-09-22T00:00:00"/>
    <x v="9"/>
    <s v="Mexico"/>
    <s v="Location 3"/>
    <n v="108.3"/>
  </r>
  <r>
    <n v="60"/>
    <n v="26432.400000000001"/>
    <d v="2022-09-22T00:00:00"/>
    <x v="5"/>
    <s v="Mexico"/>
    <s v="Location 3"/>
    <n v="440.54"/>
  </r>
  <r>
    <n v="100"/>
    <n v="42520"/>
    <d v="2022-11-01T00:00:00"/>
    <x v="1"/>
    <s v="Mexico"/>
    <s v="Location 3"/>
    <n v="425.2"/>
  </r>
  <r>
    <n v="180"/>
    <n v="137174.39999999999"/>
    <d v="2022-11-01T00:00:00"/>
    <x v="14"/>
    <s v="Mexico"/>
    <s v="Location 3"/>
    <n v="762.08"/>
  </r>
  <r>
    <n v="60"/>
    <n v="26432.400000000001"/>
    <d v="2022-11-03T00:00:00"/>
    <x v="5"/>
    <s v="Mexico"/>
    <s v="Location 3"/>
    <n v="440.54"/>
  </r>
  <r>
    <n v="30"/>
    <n v="13216.2"/>
    <d v="2022-11-03T00:00:00"/>
    <x v="5"/>
    <s v="Mexico"/>
    <s v="Location 3"/>
    <n v="440.54"/>
  </r>
  <r>
    <n v="180"/>
    <n v="137174.39999999999"/>
    <d v="2022-07-29T00:00:00"/>
    <x v="14"/>
    <s v="Mexico"/>
    <s v="Location 3"/>
    <n v="762.08"/>
  </r>
  <r>
    <n v="144"/>
    <n v="41486.400000000001"/>
    <d v="2022-09-26T00:00:00"/>
    <x v="33"/>
    <s v="Mexico"/>
    <s v="Location 3"/>
    <n v="288.10000000000002"/>
  </r>
  <r>
    <n v="936"/>
    <n v="269661.59999999998"/>
    <d v="2022-09-26T00:00:00"/>
    <x v="33"/>
    <s v="Mexico"/>
    <s v="Location 3"/>
    <n v="288.10000000000002"/>
  </r>
  <r>
    <n v="252"/>
    <n v="19056.240000000002"/>
    <d v="2022-09-26T00:00:00"/>
    <x v="23"/>
    <s v="Mexico"/>
    <s v="Location 3"/>
    <n v="75.62"/>
  </r>
  <r>
    <n v="252"/>
    <n v="19056.240000000002"/>
    <d v="2022-09-26T00:00:00"/>
    <x v="23"/>
    <s v="Mexico"/>
    <s v="Location 3"/>
    <n v="75.62"/>
  </r>
  <r>
    <n v="30"/>
    <n v="13216.2"/>
    <d v="2022-09-26T00:00:00"/>
    <x v="5"/>
    <s v="Mexico"/>
    <s v="Location 3"/>
    <n v="440.54"/>
  </r>
  <r>
    <n v="30"/>
    <n v="13216.2"/>
    <d v="2022-09-26T00:00:00"/>
    <x v="5"/>
    <s v="Mexico"/>
    <s v="Location 3"/>
    <n v="440.54"/>
  </r>
  <r>
    <n v="30"/>
    <n v="13216.2"/>
    <d v="2022-09-26T00:00:00"/>
    <x v="5"/>
    <s v="Mexico"/>
    <s v="Location 3"/>
    <n v="440.54"/>
  </r>
  <r>
    <n v="28"/>
    <n v="70631.399999999994"/>
    <d v="2022-09-29T00:00:00"/>
    <x v="34"/>
    <s v="Mexico"/>
    <s v="Location 3"/>
    <n v="2522.5500000000002"/>
  </r>
  <r>
    <n v="279"/>
    <n v="23123.52"/>
    <d v="2022-09-29T00:00:00"/>
    <x v="29"/>
    <s v="Mexico"/>
    <s v="Location 3"/>
    <n v="82.88"/>
  </r>
  <r>
    <n v="1820"/>
    <n v="4313.3999999999996"/>
    <d v="2022-09-29T00:00:00"/>
    <x v="21"/>
    <s v="Mexico"/>
    <s v="Location 3"/>
    <n v="2.37"/>
  </r>
  <r>
    <n v="1820"/>
    <n v="4313.3999999999996"/>
    <d v="2022-09-29T00:00:00"/>
    <x v="21"/>
    <s v="Mexico"/>
    <s v="Location 3"/>
    <n v="2.37"/>
  </r>
  <r>
    <n v="4500"/>
    <n v="5175"/>
    <d v="2022-09-29T00:00:00"/>
    <x v="32"/>
    <s v="Mexico"/>
    <s v="Location 3"/>
    <n v="1.1499999999999999"/>
  </r>
  <r>
    <n v="240"/>
    <n v="182899.20000000001"/>
    <d v="2022-09-29T00:00:00"/>
    <x v="14"/>
    <s v="Mexico"/>
    <s v="Location 3"/>
    <n v="762.08"/>
  </r>
  <r>
    <n v="588"/>
    <n v="58982.28"/>
    <d v="2022-11-03T00:00:00"/>
    <x v="16"/>
    <s v="Mexico"/>
    <s v="Location 3"/>
    <n v="100.31"/>
  </r>
  <r>
    <n v="588"/>
    <n v="58982.28"/>
    <d v="2022-11-03T00:00:00"/>
    <x v="16"/>
    <s v="Mexico"/>
    <s v="Location 3"/>
    <n v="100.31"/>
  </r>
  <r>
    <n v="1820"/>
    <n v="4313.3999999999996"/>
    <d v="2022-11-08T00:00:00"/>
    <x v="21"/>
    <s v="Mexico"/>
    <s v="Location 3"/>
    <n v="2.37"/>
  </r>
  <r>
    <n v="588"/>
    <n v="58982.28"/>
    <d v="2022-11-08T00:00:00"/>
    <x v="16"/>
    <s v="Mexico"/>
    <s v="Location 3"/>
    <n v="100.31"/>
  </r>
  <r>
    <n v="20"/>
    <n v="8504"/>
    <d v="2022-11-10T00:00:00"/>
    <x v="1"/>
    <s v="Mexico"/>
    <s v="Location 3"/>
    <n v="425.2"/>
  </r>
  <r>
    <n v="324"/>
    <n v="35085.96"/>
    <d v="2022-07-01T00:00:00"/>
    <x v="9"/>
    <s v="Mexico"/>
    <s v="Location 3"/>
    <n v="108.29"/>
  </r>
  <r>
    <n v="1820"/>
    <n v="4313.3999999999996"/>
    <d v="2022-07-01T00:00:00"/>
    <x v="21"/>
    <s v="Mexico"/>
    <s v="Location 3"/>
    <n v="2.37"/>
  </r>
  <r>
    <n v="420"/>
    <n v="320073.59999999998"/>
    <d v="2022-09-29T00:00:00"/>
    <x v="14"/>
    <s v="Mexico"/>
    <s v="Location 3"/>
    <n v="762.08"/>
  </r>
  <r>
    <n v="216"/>
    <n v="23392.799999999999"/>
    <d v="2022-11-14T00:00:00"/>
    <x v="9"/>
    <s v="Mexico"/>
    <s v="Location 3"/>
    <n v="108.3"/>
  </r>
  <r>
    <n v="432"/>
    <n v="46785.599999999999"/>
    <d v="2022-11-14T00:00:00"/>
    <x v="9"/>
    <s v="Mexico"/>
    <s v="Location 3"/>
    <n v="108.3"/>
  </r>
  <r>
    <n v="216"/>
    <n v="23392.799999999999"/>
    <d v="2022-11-14T00:00:00"/>
    <x v="9"/>
    <s v="Mexico"/>
    <s v="Location 3"/>
    <n v="108.3"/>
  </r>
  <r>
    <n v="108"/>
    <n v="11696.4"/>
    <d v="2022-11-18T00:00:00"/>
    <x v="9"/>
    <s v="Mexico"/>
    <s v="Location 3"/>
    <n v="108.3"/>
  </r>
  <r>
    <n v="1820"/>
    <n v="4313.3999999999996"/>
    <d v="2022-11-18T00:00:00"/>
    <x v="21"/>
    <s v="Mexico"/>
    <s v="Location 3"/>
    <n v="2.37"/>
  </r>
  <r>
    <n v="1500"/>
    <n v="1725"/>
    <d v="2022-11-18T00:00:00"/>
    <x v="32"/>
    <s v="Mexico"/>
    <s v="Location 3"/>
    <n v="1.1499999999999999"/>
  </r>
  <r>
    <n v="240"/>
    <n v="182899.20000000001"/>
    <d v="2022-11-18T00:00:00"/>
    <x v="14"/>
    <s v="Mexico"/>
    <s v="Location 3"/>
    <n v="762.08"/>
  </r>
  <r>
    <n v="180"/>
    <n v="137174.39999999999"/>
    <d v="2022-11-18T00:00:00"/>
    <x v="14"/>
    <s v="Mexico"/>
    <s v="Location 3"/>
    <n v="762.08"/>
  </r>
  <r>
    <n v="72"/>
    <n v="6243.12"/>
    <d v="2022-08-15T00:00:00"/>
    <x v="35"/>
    <s v="Mexico"/>
    <s v="Location 3"/>
    <n v="86.71"/>
  </r>
  <r>
    <n v="36"/>
    <n v="3121.56"/>
    <d v="2022-08-15T00:00:00"/>
    <x v="35"/>
    <s v="Mexico"/>
    <s v="Location 3"/>
    <n v="86.71"/>
  </r>
  <r>
    <n v="30"/>
    <n v="13216.2"/>
    <d v="2022-10-05T00:00:00"/>
    <x v="5"/>
    <s v="Mexico"/>
    <s v="Location 3"/>
    <n v="440.54"/>
  </r>
  <r>
    <n v="108"/>
    <n v="11696.4"/>
    <d v="2022-10-07T00:00:00"/>
    <x v="9"/>
    <s v="Mexico"/>
    <s v="Location 3"/>
    <n v="108.3"/>
  </r>
  <r>
    <n v="432"/>
    <n v="46785.599999999999"/>
    <d v="2022-10-07T00:00:00"/>
    <x v="9"/>
    <s v="Mexico"/>
    <s v="Location 3"/>
    <n v="108.3"/>
  </r>
  <r>
    <n v="220"/>
    <n v="30272"/>
    <d v="2022-10-07T00:00:00"/>
    <x v="27"/>
    <s v="Mexico"/>
    <s v="Location 3"/>
    <n v="137.6"/>
  </r>
  <r>
    <n v="5460"/>
    <n v="4027.29"/>
    <d v="2021-11-24T00:00:00"/>
    <x v="31"/>
    <s v="Mexico"/>
    <s v="Location 3"/>
    <n v="0.73760000000000003"/>
  </r>
  <r>
    <n v="324"/>
    <n v="35089.199999999997"/>
    <d v="2022-11-29T00:00:00"/>
    <x v="9"/>
    <s v="Mexico"/>
    <s v="Location 3"/>
    <n v="108.3"/>
  </r>
  <r>
    <n v="432"/>
    <n v="46785.599999999999"/>
    <d v="2022-11-29T00:00:00"/>
    <x v="9"/>
    <s v="Mexico"/>
    <s v="Location 3"/>
    <n v="108.3"/>
  </r>
  <r>
    <n v="324"/>
    <n v="35089.199999999997"/>
    <d v="2022-11-29T00:00:00"/>
    <x v="9"/>
    <s v="Mexico"/>
    <s v="Location 3"/>
    <n v="108.3"/>
  </r>
  <r>
    <n v="1500"/>
    <n v="1725"/>
    <d v="2022-11-29T00:00:00"/>
    <x v="32"/>
    <s v="Mexico"/>
    <s v="Location 3"/>
    <n v="1.1499999999999999"/>
  </r>
  <r>
    <n v="240"/>
    <n v="182899.20000000001"/>
    <d v="2022-11-29T00:00:00"/>
    <x v="14"/>
    <s v="Mexico"/>
    <s v="Location 3"/>
    <n v="762.08"/>
  </r>
  <r>
    <n v="216"/>
    <n v="23392.799999999999"/>
    <d v="2022-10-13T00:00:00"/>
    <x v="9"/>
    <s v="Mexico"/>
    <s v="Location 3"/>
    <n v="108.3"/>
  </r>
  <r>
    <n v="432"/>
    <n v="46785.599999999999"/>
    <d v="2022-10-13T00:00:00"/>
    <x v="9"/>
    <s v="Mexico"/>
    <s v="Location 3"/>
    <n v="108.3"/>
  </r>
  <r>
    <n v="540"/>
    <n v="58482"/>
    <d v="2022-10-13T00:00:00"/>
    <x v="9"/>
    <s v="Mexico"/>
    <s v="Location 3"/>
    <n v="108.3"/>
  </r>
  <r>
    <n v="220"/>
    <n v="30272"/>
    <d v="2022-10-13T00:00:00"/>
    <x v="27"/>
    <s v="Mexico"/>
    <s v="Location 3"/>
    <n v="137.6"/>
  </r>
  <r>
    <n v="220"/>
    <n v="30272"/>
    <d v="2022-10-13T00:00:00"/>
    <x v="27"/>
    <s v="Mexico"/>
    <s v="Location 3"/>
    <n v="137.6"/>
  </r>
  <r>
    <n v="1820"/>
    <n v="4313.3999999999996"/>
    <d v="2022-10-13T00:00:00"/>
    <x v="21"/>
    <s v="Mexico"/>
    <s v="Location 3"/>
    <n v="2.37"/>
  </r>
  <r>
    <n v="1820"/>
    <n v="4313.3999999999996"/>
    <d v="2022-10-13T00:00:00"/>
    <x v="21"/>
    <s v="Mexico"/>
    <s v="Location 3"/>
    <n v="2.37"/>
  </r>
  <r>
    <n v="1820"/>
    <n v="4313.3999999999996"/>
    <d v="2022-10-13T00:00:00"/>
    <x v="21"/>
    <s v="Mexico"/>
    <s v="Location 3"/>
    <n v="2.37"/>
  </r>
  <r>
    <n v="1820"/>
    <n v="4313.3999999999996"/>
    <d v="2022-10-13T00:00:00"/>
    <x v="21"/>
    <s v="Mexico"/>
    <s v="Location 3"/>
    <n v="2.37"/>
  </r>
  <r>
    <n v="1820"/>
    <n v="4313.3999999999996"/>
    <d v="2022-10-13T00:00:00"/>
    <x v="21"/>
    <s v="Mexico"/>
    <s v="Location 3"/>
    <n v="2.37"/>
  </r>
  <r>
    <n v="432"/>
    <n v="46785.599999999999"/>
    <d v="2022-12-02T00:00:00"/>
    <x v="9"/>
    <s v="Mexico"/>
    <s v="Location 3"/>
    <n v="108.3"/>
  </r>
  <r>
    <n v="192"/>
    <n v="17230.080000000002"/>
    <d v="2022-12-02T00:00:00"/>
    <x v="19"/>
    <s v="Mexico"/>
    <s v="Location 3"/>
    <n v="89.74"/>
  </r>
  <r>
    <n v="420"/>
    <n v="320073.59999999998"/>
    <d v="2022-12-07T00:00:00"/>
    <x v="14"/>
    <s v="Mexico"/>
    <s v="Location 3"/>
    <n v="762.08"/>
  </r>
  <r>
    <n v="108"/>
    <n v="11695.32"/>
    <d v="2022-07-11T00:00:00"/>
    <x v="9"/>
    <s v="Mexico"/>
    <s v="Location 3"/>
    <n v="108.29"/>
  </r>
  <r>
    <n v="216"/>
    <n v="23392.799999999999"/>
    <d v="2022-07-11T00:00:00"/>
    <x v="9"/>
    <s v="Mexico"/>
    <s v="Location 3"/>
    <n v="108.3"/>
  </r>
  <r>
    <n v="240"/>
    <n v="105729.60000000001"/>
    <d v="2022-07-11T00:00:00"/>
    <x v="5"/>
    <s v="Mexico"/>
    <s v="Location 3"/>
    <n v="440.54"/>
  </r>
  <r>
    <n v="240"/>
    <n v="105729.60000000001"/>
    <d v="2022-07-11T00:00:00"/>
    <x v="5"/>
    <s v="Mexico"/>
    <s v="Location 3"/>
    <n v="440.54"/>
  </r>
  <r>
    <n v="90"/>
    <n v="39648.6"/>
    <d v="2022-07-11T00:00:00"/>
    <x v="5"/>
    <s v="Mexico"/>
    <s v="Location 3"/>
    <n v="440.54"/>
  </r>
  <r>
    <n v="540"/>
    <n v="58482"/>
    <d v="2022-08-19T00:00:00"/>
    <x v="9"/>
    <s v="Mexico"/>
    <s v="Location 3"/>
    <n v="108.3"/>
  </r>
  <r>
    <n v="90"/>
    <n v="39648.6"/>
    <d v="2022-08-19T00:00:00"/>
    <x v="5"/>
    <s v="Mexico"/>
    <s v="Location 3"/>
    <n v="440.54"/>
  </r>
  <r>
    <n v="30"/>
    <n v="13216.2"/>
    <d v="2022-08-19T00:00:00"/>
    <x v="5"/>
    <s v="Mexico"/>
    <s v="Location 3"/>
    <n v="440.54"/>
  </r>
  <r>
    <n v="420"/>
    <n v="320073.59999999998"/>
    <d v="2022-08-19T00:00:00"/>
    <x v="14"/>
    <s v="Mexico"/>
    <s v="Location 3"/>
    <n v="762.08"/>
  </r>
  <r>
    <n v="588"/>
    <n v="75075.839999999997"/>
    <d v="2022-10-13T00:00:00"/>
    <x v="26"/>
    <s v="Mexico"/>
    <s v="Location 3"/>
    <n v="127.68"/>
  </r>
  <r>
    <n v="588"/>
    <n v="75075.839999999997"/>
    <d v="2022-10-13T00:00:00"/>
    <x v="26"/>
    <s v="Mexico"/>
    <s v="Location 3"/>
    <n v="127.68"/>
  </r>
  <r>
    <n v="1000"/>
    <n v="89740"/>
    <d v="2022-10-13T00:00:00"/>
    <x v="19"/>
    <s v="Mexico"/>
    <s v="Location 3"/>
    <n v="89.74"/>
  </r>
  <r>
    <n v="30"/>
    <n v="22862.400000000001"/>
    <d v="2022-10-13T00:00:00"/>
    <x v="14"/>
    <s v="Mexico"/>
    <s v="Location 3"/>
    <n v="762.08"/>
  </r>
  <r>
    <n v="270"/>
    <n v="205761.6"/>
    <d v="2022-12-07T00:00:00"/>
    <x v="14"/>
    <s v="Mexico"/>
    <s v="Location 3"/>
    <n v="762.08"/>
  </r>
  <r>
    <n v="270"/>
    <n v="118945.8"/>
    <d v="2022-07-11T00:00:00"/>
    <x v="5"/>
    <s v="Mexico"/>
    <s v="Location 3"/>
    <n v="440.54"/>
  </r>
  <r>
    <n v="150"/>
    <n v="66081"/>
    <d v="2022-07-11T00:00:00"/>
    <x v="5"/>
    <s v="Mexico"/>
    <s v="Location 3"/>
    <n v="440.54"/>
  </r>
  <r>
    <n v="150"/>
    <n v="66081"/>
    <d v="2022-07-11T00:00:00"/>
    <x v="5"/>
    <s v="Mexico"/>
    <s v="Location 3"/>
    <n v="440.54"/>
  </r>
  <r>
    <n v="270"/>
    <n v="118945.8"/>
    <d v="2022-07-11T00:00:00"/>
    <x v="5"/>
    <s v="Mexico"/>
    <s v="Location 3"/>
    <n v="440.54"/>
  </r>
  <r>
    <n v="270"/>
    <n v="118945.8"/>
    <d v="2022-07-11T00:00:00"/>
    <x v="5"/>
    <s v="Mexico"/>
    <s v="Location 3"/>
    <n v="440.54"/>
  </r>
  <r>
    <n v="150"/>
    <n v="66081"/>
    <d v="2022-07-11T00:00:00"/>
    <x v="5"/>
    <s v="Mexico"/>
    <s v="Location 3"/>
    <n v="440.54"/>
  </r>
  <r>
    <n v="240"/>
    <n v="105729.60000000001"/>
    <d v="2022-07-11T00:00:00"/>
    <x v="5"/>
    <s v="Mexico"/>
    <s v="Location 3"/>
    <n v="440.54"/>
  </r>
  <r>
    <n v="240"/>
    <n v="105729.60000000001"/>
    <d v="2022-07-11T00:00:00"/>
    <x v="5"/>
    <s v="Mexico"/>
    <s v="Location 3"/>
    <n v="440.54"/>
  </r>
  <r>
    <n v="360"/>
    <n v="158594.4"/>
    <d v="2022-07-11T00:00:00"/>
    <x v="5"/>
    <s v="Mexico"/>
    <s v="Location 3"/>
    <n v="440.54"/>
  </r>
  <r>
    <n v="150"/>
    <n v="66081"/>
    <d v="2022-07-11T00:00:00"/>
    <x v="5"/>
    <s v="Mexico"/>
    <s v="Location 3"/>
    <n v="440.54"/>
  </r>
  <r>
    <n v="240"/>
    <n v="105729.60000000001"/>
    <d v="2022-07-11T00:00:00"/>
    <x v="5"/>
    <s v="Mexico"/>
    <s v="Location 3"/>
    <n v="440.54"/>
  </r>
  <r>
    <n v="180"/>
    <n v="79297.2"/>
    <d v="2022-07-11T00:00:00"/>
    <x v="5"/>
    <s v="Mexico"/>
    <s v="Location 3"/>
    <n v="440.54"/>
  </r>
  <r>
    <n v="252"/>
    <n v="19056.240000000002"/>
    <d v="2022-10-20T00:00:00"/>
    <x v="23"/>
    <s v="Mexico"/>
    <s v="Location 3"/>
    <n v="75.62"/>
  </r>
  <r>
    <n v="30"/>
    <n v="13216.2"/>
    <d v="2022-10-20T00:00:00"/>
    <x v="5"/>
    <s v="Mexico"/>
    <s v="Location 3"/>
    <n v="440.54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60"/>
    <n v="45724.800000000003"/>
    <d v="2022-07-11T00:00:00"/>
    <x v="14"/>
    <s v="Mexico"/>
    <s v="Location 3"/>
    <n v="762.08"/>
  </r>
  <r>
    <n v="72"/>
    <n v="6243.12"/>
    <d v="2022-08-22T00:00:00"/>
    <x v="35"/>
    <s v="Mexico"/>
    <s v="Location 3"/>
    <n v="86.71"/>
  </r>
  <r>
    <n v="108"/>
    <n v="9364.68"/>
    <d v="2022-08-22T00:00:00"/>
    <x v="35"/>
    <s v="Mexico"/>
    <s v="Location 3"/>
    <n v="86.71"/>
  </r>
  <r>
    <n v="108"/>
    <n v="9364.68"/>
    <d v="2022-08-22T00:00:00"/>
    <x v="35"/>
    <s v="Mexico"/>
    <s v="Location 3"/>
    <n v="86.71"/>
  </r>
  <r>
    <n v="108"/>
    <n v="9364.68"/>
    <d v="2022-08-22T00:00:00"/>
    <x v="35"/>
    <s v="Mexico"/>
    <s v="Location 3"/>
    <n v="86.71"/>
  </r>
  <r>
    <n v="108"/>
    <n v="9364.68"/>
    <d v="2022-08-22T00:00:00"/>
    <x v="35"/>
    <s v="Mexico"/>
    <s v="Location 3"/>
    <n v="86.7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588"/>
    <n v="58982.28"/>
    <d v="2022-10-20T00:00:00"/>
    <x v="16"/>
    <s v="Mexico"/>
    <s v="Location 3"/>
    <n v="100.31"/>
  </r>
  <r>
    <n v="210"/>
    <n v="76015.8"/>
    <d v="2022-10-20T00:00:00"/>
    <x v="8"/>
    <s v="Mexico"/>
    <s v="Location 3"/>
    <n v="361.98"/>
  </r>
  <r>
    <n v="2784"/>
    <n v="2288113.92"/>
    <d v="2022-10-20T00:00:00"/>
    <x v="17"/>
    <s v="Mexico"/>
    <s v="Location 3"/>
    <n v="821.88"/>
  </r>
  <r>
    <n v="2000"/>
    <n v="3660"/>
    <d v="2022-12-19T00:00:00"/>
    <x v="20"/>
    <s v="Mexico"/>
    <s v="Location 3"/>
    <n v="1.83"/>
  </r>
  <r>
    <n v="1000"/>
    <n v="1830"/>
    <d v="2022-12-19T00:00:00"/>
    <x v="20"/>
    <s v="Mexico"/>
    <s v="Location 3"/>
    <n v="1.83"/>
  </r>
  <r>
    <n v="808"/>
    <n v="72518"/>
    <d v="2022-12-19T00:00:00"/>
    <x v="19"/>
    <s v="Mexico"/>
    <s v="Location 3"/>
    <n v="89.75"/>
  </r>
  <r>
    <n v="352"/>
    <n v="31592"/>
    <d v="2022-12-19T00:00:00"/>
    <x v="19"/>
    <s v="Mexico"/>
    <s v="Location 3"/>
    <n v="89.75"/>
  </r>
  <r>
    <n v="210"/>
    <n v="85386"/>
    <d v="2022-12-19T00:00:00"/>
    <x v="4"/>
    <s v="Mexico"/>
    <s v="Location 3"/>
    <n v="406.6"/>
  </r>
  <r>
    <n v="4500"/>
    <n v="5175"/>
    <d v="2022-12-19T00:00:00"/>
    <x v="32"/>
    <s v="Mexico"/>
    <s v="Location 3"/>
    <n v="1.1499999999999999"/>
  </r>
  <r>
    <n v="150"/>
    <n v="114312"/>
    <d v="2022-12-19T00:00:00"/>
    <x v="14"/>
    <s v="Mexico"/>
    <s v="Location 3"/>
    <n v="762.08"/>
  </r>
  <r>
    <n v="210"/>
    <n v="160036.79999999999"/>
    <d v="2022-12-19T00:00:00"/>
    <x v="14"/>
    <s v="Mexico"/>
    <s v="Location 3"/>
    <n v="762.08"/>
  </r>
  <r>
    <n v="60"/>
    <n v="45724.800000000003"/>
    <d v="2022-07-19T00:00:00"/>
    <x v="14"/>
    <s v="Mexico"/>
    <s v="Location 3"/>
    <n v="762.08"/>
  </r>
  <r>
    <n v="420"/>
    <n v="320073.59999999998"/>
    <d v="2022-07-19T00:00:00"/>
    <x v="14"/>
    <s v="Mexico"/>
    <s v="Location 3"/>
    <n v="762.08"/>
  </r>
  <r>
    <n v="420"/>
    <n v="320073.59999999998"/>
    <d v="2022-07-19T00:00:00"/>
    <x v="14"/>
    <s v="Mexico"/>
    <s v="Location 3"/>
    <n v="762.08"/>
  </r>
  <r>
    <n v="420"/>
    <n v="320073.59999999998"/>
    <d v="2022-07-19T00:00:00"/>
    <x v="14"/>
    <s v="Mexico"/>
    <s v="Location 3"/>
    <n v="762.08"/>
  </r>
  <r>
    <n v="420"/>
    <n v="320073.59999999998"/>
    <d v="2022-07-22T00:00:00"/>
    <x v="14"/>
    <s v="Mexico"/>
    <s v="Location 3"/>
    <n v="762.08"/>
  </r>
  <r>
    <n v="30"/>
    <n v="13216.2"/>
    <d v="2022-09-02T00:00:00"/>
    <x v="5"/>
    <s v="Mexico"/>
    <s v="Location 3"/>
    <n v="440.54"/>
  </r>
  <r>
    <n v="90"/>
    <n v="39648.6"/>
    <d v="2022-09-02T00:00:00"/>
    <x v="5"/>
    <s v="Mexico"/>
    <s v="Location 3"/>
    <n v="440.54"/>
  </r>
  <r>
    <n v="30"/>
    <n v="13216.2"/>
    <d v="2022-09-02T00:00:00"/>
    <x v="5"/>
    <s v="Mexico"/>
    <s v="Location 3"/>
    <n v="440.54"/>
  </r>
  <r>
    <n v="30"/>
    <n v="13216.2"/>
    <d v="2022-09-02T00:00:00"/>
    <x v="5"/>
    <s v="Mexico"/>
    <s v="Location 3"/>
    <n v="440.54"/>
  </r>
  <r>
    <n v="30"/>
    <n v="13216.2"/>
    <d v="2022-09-02T00:00:00"/>
    <x v="5"/>
    <s v="Mexico"/>
    <s v="Location 3"/>
    <n v="440.54"/>
  </r>
  <r>
    <n v="90"/>
    <n v="39648.6"/>
    <d v="2022-09-02T00:00:00"/>
    <x v="5"/>
    <s v="Mexico"/>
    <s v="Location 3"/>
    <n v="440.54"/>
  </r>
  <r>
    <n v="60"/>
    <n v="26432.400000000001"/>
    <d v="2022-09-02T00:00:00"/>
    <x v="5"/>
    <s v="Mexico"/>
    <s v="Location 3"/>
    <n v="440.54"/>
  </r>
  <r>
    <n v="60"/>
    <n v="26432.400000000001"/>
    <d v="2022-09-02T00:00:00"/>
    <x v="5"/>
    <s v="Mexico"/>
    <s v="Location 3"/>
    <n v="440.54"/>
  </r>
  <r>
    <n v="3000"/>
    <n v="3720"/>
    <d v="2022-10-25T00:00:00"/>
    <x v="22"/>
    <s v="Mexico"/>
    <s v="Location 3"/>
    <n v="1.24"/>
  </r>
  <r>
    <n v="420"/>
    <n v="320073.59999999998"/>
    <d v="2022-10-25T00:00:00"/>
    <x v="14"/>
    <s v="Mexico"/>
    <s v="Location 3"/>
    <n v="762.08"/>
  </r>
  <r>
    <n v="1820"/>
    <n v="4313.3999999999996"/>
    <d v="2022-09-02T00:00:00"/>
    <x v="21"/>
    <s v="Mexico"/>
    <s v="Location 3"/>
    <n v="2.37"/>
  </r>
  <r>
    <n v="432"/>
    <n v="46785.599999999999"/>
    <d v="2022-10-28T00:00:00"/>
    <x v="9"/>
    <s v="Mexico"/>
    <s v="Location 3"/>
    <n v="108.3"/>
  </r>
  <r>
    <n v="432"/>
    <n v="46785.599999999999"/>
    <d v="2022-10-28T00:00:00"/>
    <x v="9"/>
    <s v="Mexico"/>
    <s v="Location 3"/>
    <n v="108.3"/>
  </r>
  <r>
    <n v="432"/>
    <n v="46785.599999999999"/>
    <d v="2022-10-28T00:00:00"/>
    <x v="9"/>
    <s v="Mexico"/>
    <s v="Location 3"/>
    <n v="108.3"/>
  </r>
  <r>
    <n v="216"/>
    <n v="23392.799999999999"/>
    <d v="2022-10-28T00:00:00"/>
    <x v="9"/>
    <s v="Mexico"/>
    <s v="Location 3"/>
    <n v="108.3"/>
  </r>
  <r>
    <n v="2000"/>
    <n v="3660"/>
    <d v="2022-10-28T00:00:00"/>
    <x v="20"/>
    <s v="Mexico"/>
    <s v="Location 3"/>
    <n v="1.83"/>
  </r>
  <r>
    <n v="220"/>
    <n v="30272"/>
    <d v="2022-10-28T00:00:00"/>
    <x v="27"/>
    <s v="Mexico"/>
    <s v="Location 3"/>
    <n v="137.6"/>
  </r>
  <r>
    <n v="756"/>
    <n v="57168.72"/>
    <d v="2022-10-28T00:00:00"/>
    <x v="23"/>
    <s v="Mexico"/>
    <s v="Location 3"/>
    <n v="75.62"/>
  </r>
  <r>
    <n v="1820"/>
    <n v="4313.3999999999996"/>
    <d v="2022-10-28T00:00:00"/>
    <x v="21"/>
    <s v="Mexico"/>
    <s v="Location 3"/>
    <n v="2.37"/>
  </r>
  <r>
    <n v="3000"/>
    <n v="3450"/>
    <d v="2022-10-28T00:00:00"/>
    <x v="32"/>
    <s v="Mexico"/>
    <s v="Location 3"/>
    <n v="1.1499999999999999"/>
  </r>
  <r>
    <n v="210"/>
    <n v="160036.79999999999"/>
    <d v="2022-10-28T00:00:00"/>
    <x v="14"/>
    <s v="Mexico"/>
    <s v="Location 3"/>
    <n v="762.08"/>
  </r>
  <r>
    <n v="420"/>
    <n v="320073.59999999998"/>
    <d v="2022-10-28T00:00:00"/>
    <x v="14"/>
    <s v="Mexico"/>
    <s v="Location 3"/>
    <n v="762.08"/>
  </r>
  <r>
    <n v="420"/>
    <n v="320073.59999999998"/>
    <d v="2022-10-28T00:00:00"/>
    <x v="14"/>
    <s v="Mexico"/>
    <s v="Location 3"/>
    <n v="762.08"/>
  </r>
  <r>
    <n v="30"/>
    <n v="22862.400000000001"/>
    <d v="2022-10-28T00:00:00"/>
    <x v="14"/>
    <s v="Mexico"/>
    <s v="Location 3"/>
    <n v="762.08"/>
  </r>
  <r>
    <n v="390"/>
    <n v="297211.2"/>
    <d v="2022-10-28T00:00:00"/>
    <x v="14"/>
    <s v="Mexico"/>
    <s v="Location 3"/>
    <n v="762.08"/>
  </r>
  <r>
    <n v="420"/>
    <n v="320073.59999999998"/>
    <d v="2022-09-02T00:00:00"/>
    <x v="14"/>
    <s v="Mexico"/>
    <s v="Location 3"/>
    <n v="762.08"/>
  </r>
  <r>
    <n v="420"/>
    <n v="320073.59999999998"/>
    <d v="2022-09-02T00:00:00"/>
    <x v="14"/>
    <s v="Mexico"/>
    <s v="Location 3"/>
    <n v="762.08"/>
  </r>
  <r>
    <n v="420"/>
    <n v="320073.59999999998"/>
    <d v="2022-10-28T00:00:00"/>
    <x v="14"/>
    <s v="Mexico"/>
    <s v="Location 3"/>
    <n v="762.08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40360.800000000003"/>
    <d v="2022-10-05T00:00:00"/>
    <x v="34"/>
    <s v="Mexico"/>
    <s v="Location 3"/>
    <n v="2522.5500000000002"/>
  </r>
  <r>
    <n v="16"/>
    <n v="39747.519999999997"/>
    <d v="2023-03-07T00:00:00"/>
    <x v="7"/>
    <s v="Mexico"/>
    <s v="Location 3"/>
    <n v="2484.2199999999998"/>
  </r>
  <r>
    <n v="16"/>
    <n v="39747.519999999997"/>
    <d v="2023-03-15T00:00:00"/>
    <x v="7"/>
    <s v="Mexico"/>
    <s v="Location 3"/>
    <n v="2484.2199999999998"/>
  </r>
  <r>
    <n v="16"/>
    <n v="39747.519999999997"/>
    <d v="2023-03-15T00:00:00"/>
    <x v="7"/>
    <s v="Mexico"/>
    <s v="Location 3"/>
    <n v="2484.2199999999998"/>
  </r>
  <r>
    <n v="16"/>
    <n v="39747.519999999997"/>
    <d v="2023-03-15T00:00:00"/>
    <x v="7"/>
    <s v="Mexico"/>
    <s v="Location 3"/>
    <n v="2484.2199999999998"/>
  </r>
  <r>
    <n v="16"/>
    <n v="39747.519999999997"/>
    <d v="2023-05-15T00:00:00"/>
    <x v="7"/>
    <s v="Mexico"/>
    <s v="Location 3"/>
    <n v="2484.2199999999998"/>
  </r>
  <r>
    <n v="16"/>
    <n v="39747.519999999997"/>
    <d v="2023-05-15T00:00:00"/>
    <x v="7"/>
    <s v="Mexico"/>
    <s v="Location 3"/>
    <n v="2484.2199999999998"/>
  </r>
  <r>
    <n v="16"/>
    <n v="39747.519999999997"/>
    <d v="2023-05-15T00:00:00"/>
    <x v="7"/>
    <s v="Mexico"/>
    <s v="Location 3"/>
    <n v="2484.2199999999998"/>
  </r>
  <r>
    <n v="16"/>
    <n v="39747.519999999997"/>
    <d v="2023-05-15T00:00:00"/>
    <x v="7"/>
    <s v="Mexico"/>
    <s v="Location 3"/>
    <n v="2484.2199999999998"/>
  </r>
  <r>
    <n v="16"/>
    <n v="39747.519999999997"/>
    <d v="2023-05-15T00:00:00"/>
    <x v="7"/>
    <s v="Mexico"/>
    <s v="Location 3"/>
    <n v="2484.2199999999998"/>
  </r>
  <r>
    <n v="16"/>
    <n v="37685.120000000003"/>
    <d v="2022-07-26T00:00:00"/>
    <x v="7"/>
    <s v="Mexico"/>
    <s v="Location 3"/>
    <n v="2355.3200000000002"/>
  </r>
  <r>
    <n v="16"/>
    <n v="37685.120000000003"/>
    <d v="2022-07-26T00:00:00"/>
    <x v="7"/>
    <s v="Mexico"/>
    <s v="Location 3"/>
    <n v="2355.3200000000002"/>
  </r>
  <r>
    <n v="16"/>
    <n v="37685.120000000003"/>
    <d v="2022-07-26T00:00:00"/>
    <x v="7"/>
    <s v="Mexico"/>
    <s v="Location 3"/>
    <n v="2355.3200000000002"/>
  </r>
  <r>
    <n v="16"/>
    <n v="37685.120000000003"/>
    <d v="2022-09-02T00:00:00"/>
    <x v="7"/>
    <s v="Mexico"/>
    <s v="Location 3"/>
    <n v="2355.3200000000002"/>
  </r>
  <r>
    <n v="16"/>
    <n v="37685.120000000003"/>
    <d v="2022-09-02T00:00:00"/>
    <x v="7"/>
    <s v="Mexico"/>
    <s v="Location 3"/>
    <n v="2355.3200000000002"/>
  </r>
  <r>
    <n v="16"/>
    <n v="37685.120000000003"/>
    <d v="2022-09-02T00:00:00"/>
    <x v="7"/>
    <s v="Mexico"/>
    <s v="Location 3"/>
    <n v="2355.3200000000002"/>
  </r>
  <r>
    <n v="16"/>
    <n v="37685.120000000003"/>
    <d v="2022-07-26T00:00:00"/>
    <x v="7"/>
    <s v="Mexico"/>
    <s v="Location 3"/>
    <n v="2355.3200000000002"/>
  </r>
  <r>
    <n v="16"/>
    <n v="37685.120000000003"/>
    <d v="2022-07-26T00:00:00"/>
    <x v="7"/>
    <s v="Mexico"/>
    <s v="Location 3"/>
    <n v="2355.3200000000002"/>
  </r>
  <r>
    <n v="16"/>
    <n v="37685.120000000003"/>
    <d v="2022-09-21T00:00:00"/>
    <x v="7"/>
    <s v="Mexico"/>
    <s v="Location 3"/>
    <n v="2355.3200000000002"/>
  </r>
  <r>
    <n v="16"/>
    <n v="37685.120000000003"/>
    <d v="2022-11-07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8-04T00:00:00"/>
    <x v="7"/>
    <s v="Mexico"/>
    <s v="Location 3"/>
    <n v="2355.3200000000002"/>
  </r>
  <r>
    <n v="16"/>
    <n v="37685.120000000003"/>
    <d v="2022-08-04T00:00:00"/>
    <x v="7"/>
    <s v="Mexico"/>
    <s v="Location 3"/>
    <n v="2355.3200000000002"/>
  </r>
  <r>
    <n v="16"/>
    <n v="37685.120000000003"/>
    <d v="2022-08-04T00:00:00"/>
    <x v="7"/>
    <s v="Mexico"/>
    <s v="Location 3"/>
    <n v="2355.3200000000002"/>
  </r>
  <r>
    <n v="16"/>
    <n v="37685.120000000003"/>
    <d v="2022-08-04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7-01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7-11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8-19T00:00:00"/>
    <x v="7"/>
    <s v="Mexico"/>
    <s v="Location 3"/>
    <n v="2355.3200000000002"/>
  </r>
  <r>
    <n v="16"/>
    <n v="37685.120000000003"/>
    <d v="2022-07-19T00:00:00"/>
    <x v="7"/>
    <s v="Mexico"/>
    <s v="Location 3"/>
    <n v="2355.3200000000002"/>
  </r>
  <r>
    <n v="16"/>
    <n v="37685.120000000003"/>
    <d v="2022-07-19T00:00:00"/>
    <x v="7"/>
    <s v="Mexico"/>
    <s v="Location 3"/>
    <n v="2355.3200000000002"/>
  </r>
  <r>
    <n v="16"/>
    <n v="37685.120000000003"/>
    <d v="2022-07-19T00:00:00"/>
    <x v="7"/>
    <s v="Mexico"/>
    <s v="Location 3"/>
    <n v="2355.3200000000002"/>
  </r>
  <r>
    <n v="16"/>
    <n v="37685.120000000003"/>
    <d v="2022-07-19T00:00:00"/>
    <x v="7"/>
    <s v="Mexico"/>
    <s v="Location 3"/>
    <n v="2355.3200000000002"/>
  </r>
  <r>
    <n v="16"/>
    <n v="37685.120000000003"/>
    <d v="2022-07-22T00:00:00"/>
    <x v="7"/>
    <s v="Mexico"/>
    <s v="Location 3"/>
    <n v="2355.3200000000002"/>
  </r>
  <r>
    <n v="16"/>
    <n v="37685.120000000003"/>
    <d v="2022-07-22T00:00:00"/>
    <x v="7"/>
    <s v="Mexico"/>
    <s v="Location 3"/>
    <n v="2355.3200000000002"/>
  </r>
  <r>
    <n v="16"/>
    <n v="37685.120000000003"/>
    <d v="2022-07-22T00:00:00"/>
    <x v="7"/>
    <s v="Mexico"/>
    <s v="Location 3"/>
    <n v="2355.3200000000002"/>
  </r>
  <r>
    <n v="16"/>
    <n v="37685.120000000003"/>
    <d v="2022-10-20T00:00:00"/>
    <x v="7"/>
    <s v="Mexico"/>
    <s v="Location 3"/>
    <n v="2355.3200000000002"/>
  </r>
  <r>
    <n v="16"/>
    <n v="37685.120000000003"/>
    <d v="2022-10-20T00:00:00"/>
    <x v="7"/>
    <s v="Mexico"/>
    <s v="Location 3"/>
    <n v="2355.3200000000002"/>
  </r>
  <r>
    <n v="16"/>
    <n v="37685.120000000003"/>
    <d v="2022-10-20T00:00:00"/>
    <x v="7"/>
    <s v="Mexico"/>
    <s v="Location 3"/>
    <n v="2355.3200000000002"/>
  </r>
  <r>
    <n v="16"/>
    <n v="37685.120000000003"/>
    <d v="2022-10-20T00:00:00"/>
    <x v="7"/>
    <s v="Mexico"/>
    <s v="Location 3"/>
    <n v="2355.3200000000002"/>
  </r>
  <r>
    <n v="32"/>
    <n v="27878.080000000002"/>
    <d v="2023-02-28T00:00:00"/>
    <x v="17"/>
    <s v="Mexico"/>
    <s v="Location 3"/>
    <n v="871.19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07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79495.039999999994"/>
    <d v="2023-03-15T00:00:00"/>
    <x v="7"/>
    <s v="Mexico"/>
    <s v="Location 3"/>
    <n v="2484.2199999999998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27878.080000000002"/>
    <d v="2023-05-03T00:00:00"/>
    <x v="17"/>
    <s v="Mexico"/>
    <s v="Location 3"/>
    <n v="871.19"/>
  </r>
  <r>
    <n v="32"/>
    <n v="75370.240000000005"/>
    <d v="2022-04-13T00:00:00"/>
    <x v="7"/>
    <s v="Mexico"/>
    <s v="Location 3"/>
    <n v="2355.3200000000002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4-14T00:00:00"/>
    <x v="17"/>
    <s v="Mexico"/>
    <s v="Location 3"/>
    <n v="871.19"/>
  </r>
  <r>
    <n v="32"/>
    <n v="27878.080000000002"/>
    <d v="2023-05-15T00:00:00"/>
    <x v="17"/>
    <s v="Mexico"/>
    <s v="Location 3"/>
    <n v="871.19"/>
  </r>
  <r>
    <n v="32"/>
    <n v="27878.080000000002"/>
    <d v="2023-05-15T00:00:00"/>
    <x v="17"/>
    <s v="Mexico"/>
    <s v="Location 3"/>
    <n v="871.19"/>
  </r>
  <r>
    <n v="32"/>
    <n v="27878.080000000002"/>
    <d v="2023-05-15T00:00:00"/>
    <x v="17"/>
    <s v="Mexico"/>
    <s v="Location 3"/>
    <n v="871.19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9495.039999999994"/>
    <d v="2023-05-15T00:00:00"/>
    <x v="7"/>
    <s v="Mexico"/>
    <s v="Location 3"/>
    <n v="2484.2199999999998"/>
  </r>
  <r>
    <n v="32"/>
    <n v="75370.240000000005"/>
    <d v="2022-09-02T00:00:00"/>
    <x v="7"/>
    <s v="Mexico"/>
    <s v="Location 3"/>
    <n v="2355.3200000000002"/>
  </r>
  <r>
    <n v="32"/>
    <n v="75370.240000000005"/>
    <d v="2022-09-02T00:00:00"/>
    <x v="7"/>
    <s v="Mexico"/>
    <s v="Location 3"/>
    <n v="2355.3200000000002"/>
  </r>
  <r>
    <n v="32"/>
    <n v="75370.240000000005"/>
    <d v="2022-09-02T00:00:00"/>
    <x v="7"/>
    <s v="Mexico"/>
    <s v="Location 3"/>
    <n v="2355.3200000000002"/>
  </r>
  <r>
    <n v="32"/>
    <n v="75370.240000000005"/>
    <d v="2022-10-28T00:00:00"/>
    <x v="7"/>
    <s v="Mexico"/>
    <s v="Location 3"/>
    <n v="2355.3200000000002"/>
  </r>
  <r>
    <n v="32"/>
    <n v="80721.600000000006"/>
    <d v="2022-09-29T00:00:00"/>
    <x v="34"/>
    <s v="Mexico"/>
    <s v="Location 3"/>
    <n v="2522.55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75370.240000000005"/>
    <d v="2022-07-01T00:00:00"/>
    <x v="7"/>
    <s v="Mexico"/>
    <s v="Location 3"/>
    <n v="2355.3200000000002"/>
  </r>
  <r>
    <n v="32"/>
    <n v="80721.600000000006"/>
    <d v="2022-10-13T00:00:00"/>
    <x v="34"/>
    <s v="Mexico"/>
    <s v="Location 3"/>
    <n v="2522.5500000000002"/>
  </r>
  <r>
    <n v="32"/>
    <n v="75370.240000000005"/>
    <d v="2022-08-19T00:00:00"/>
    <x v="7"/>
    <s v="Mexico"/>
    <s v="Location 3"/>
    <n v="2355.3200000000002"/>
  </r>
  <r>
    <n v="32"/>
    <n v="75370.240000000005"/>
    <d v="2022-08-19T00:00:00"/>
    <x v="7"/>
    <s v="Mexico"/>
    <s v="Location 3"/>
    <n v="2355.3200000000002"/>
  </r>
  <r>
    <n v="32"/>
    <n v="75370.240000000005"/>
    <d v="2022-08-19T00:00:00"/>
    <x v="7"/>
    <s v="Mexico"/>
    <s v="Location 3"/>
    <n v="2355.3200000000002"/>
  </r>
  <r>
    <n v="32"/>
    <n v="75370.240000000005"/>
    <d v="2022-07-11T00:00:00"/>
    <x v="7"/>
    <s v="Mexico"/>
    <s v="Location 3"/>
    <n v="2355.3200000000002"/>
  </r>
  <r>
    <n v="32"/>
    <n v="75370.240000000005"/>
    <d v="2022-07-11T00:00:00"/>
    <x v="7"/>
    <s v="Mexico"/>
    <s v="Location 3"/>
    <n v="2355.3200000000002"/>
  </r>
  <r>
    <n v="32"/>
    <n v="75370.240000000005"/>
    <d v="2022-10-20T00:00:00"/>
    <x v="7"/>
    <s v="Mexico"/>
    <s v="Location 3"/>
    <n v="2355.3200000000002"/>
  </r>
  <r>
    <n v="32"/>
    <n v="75370.240000000005"/>
    <d v="2022-10-20T00:00:00"/>
    <x v="7"/>
    <s v="Mexico"/>
    <s v="Location 3"/>
    <n v="2355.3200000000002"/>
  </r>
  <r>
    <n v="32"/>
    <n v="75370.240000000005"/>
    <d v="2022-10-20T00:00:00"/>
    <x v="7"/>
    <s v="Mexico"/>
    <s v="Location 3"/>
    <n v="2355.3200000000002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60040.4"/>
    <d v="2023-02-28T00:00:00"/>
    <x v="4"/>
    <s v="Mexico"/>
    <s v="Location 3"/>
    <n v="428.86"/>
  </r>
  <r>
    <n v="140"/>
    <n v="60040.4"/>
    <d v="2023-02-28T00:00:00"/>
    <x v="4"/>
    <s v="Mexico"/>
    <s v="Location 3"/>
    <n v="428.86"/>
  </r>
  <r>
    <n v="140"/>
    <n v="60040.4"/>
    <d v="2023-02-28T00:00:00"/>
    <x v="4"/>
    <s v="Mexico"/>
    <s v="Location 3"/>
    <n v="428.86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53718"/>
    <d v="2023-02-28T00:00:00"/>
    <x v="8"/>
    <s v="Mexico"/>
    <s v="Location 3"/>
    <n v="383.7"/>
  </r>
  <r>
    <n v="140"/>
    <n v="60040.4"/>
    <d v="2023-01-14T00:00:00"/>
    <x v="4"/>
    <s v="Mexico"/>
    <s v="Location 3"/>
    <n v="428.86"/>
  </r>
  <r>
    <n v="140"/>
    <n v="60040.4"/>
    <d v="2023-01-14T00:00:00"/>
    <x v="4"/>
    <s v="Mexico"/>
    <s v="Location 3"/>
    <n v="428.86"/>
  </r>
  <r>
    <n v="140"/>
    <n v="60040.4"/>
    <d v="2023-01-14T00:00:00"/>
    <x v="4"/>
    <s v="Mexico"/>
    <s v="Location 3"/>
    <n v="428.86"/>
  </r>
  <r>
    <n v="140"/>
    <n v="53718"/>
    <d v="2023-01-14T00:00:00"/>
    <x v="8"/>
    <s v="Mexico"/>
    <s v="Location 3"/>
    <n v="383.7"/>
  </r>
  <r>
    <n v="140"/>
    <n v="53718"/>
    <d v="2023-01-14T00:00:00"/>
    <x v="8"/>
    <s v="Mexico"/>
    <s v="Location 3"/>
    <n v="383.7"/>
  </r>
  <r>
    <n v="140"/>
    <n v="53718"/>
    <d v="2023-01-14T00:00:00"/>
    <x v="8"/>
    <s v="Mexico"/>
    <s v="Location 3"/>
    <n v="383.7"/>
  </r>
  <r>
    <n v="140"/>
    <n v="53718"/>
    <d v="2023-01-14T00:00:00"/>
    <x v="8"/>
    <s v="Mexico"/>
    <s v="Location 3"/>
    <n v="383.7"/>
  </r>
  <r>
    <n v="140"/>
    <n v="53718"/>
    <d v="2023-01-14T00:00:00"/>
    <x v="8"/>
    <s v="Mexico"/>
    <s v="Location 3"/>
    <n v="383.7"/>
  </r>
  <r>
    <n v="140"/>
    <n v="53718"/>
    <d v="2023-03-15T00:00:00"/>
    <x v="8"/>
    <s v="Mexico"/>
    <s v="Location 3"/>
    <n v="383.7"/>
  </r>
  <r>
    <n v="140"/>
    <n v="53718"/>
    <d v="2023-03-15T00:00:00"/>
    <x v="8"/>
    <s v="Mexico"/>
    <s v="Location 3"/>
    <n v="383.7"/>
  </r>
  <r>
    <n v="140"/>
    <n v="53718"/>
    <d v="2023-03-15T00:00:00"/>
    <x v="8"/>
    <s v="Mexico"/>
    <s v="Location 3"/>
    <n v="383.7"/>
  </r>
  <r>
    <n v="140"/>
    <n v="53718"/>
    <d v="2023-03-15T00:00:00"/>
    <x v="8"/>
    <s v="Mexico"/>
    <s v="Location 3"/>
    <n v="383.7"/>
  </r>
  <r>
    <n v="140"/>
    <n v="53718"/>
    <d v="2023-03-15T00:00:00"/>
    <x v="8"/>
    <s v="Mexico"/>
    <s v="Location 3"/>
    <n v="383.7"/>
  </r>
  <r>
    <n v="140"/>
    <n v="58132.2"/>
    <d v="2023-01-24T00:00:00"/>
    <x v="36"/>
    <s v="Mexico"/>
    <s v="Location 3"/>
    <n v="415.23"/>
  </r>
  <r>
    <n v="140"/>
    <n v="58132.2"/>
    <d v="2023-01-24T00:00:00"/>
    <x v="36"/>
    <s v="Mexico"/>
    <s v="Location 3"/>
    <n v="415.23"/>
  </r>
  <r>
    <n v="140"/>
    <n v="60040.4"/>
    <d v="2023-01-24T00:00:00"/>
    <x v="4"/>
    <s v="Mexico"/>
    <s v="Location 3"/>
    <n v="428.86"/>
  </r>
  <r>
    <n v="140"/>
    <n v="60040.4"/>
    <d v="2023-01-24T00:00:00"/>
    <x v="4"/>
    <s v="Mexico"/>
    <s v="Location 3"/>
    <n v="428.86"/>
  </r>
  <r>
    <n v="140"/>
    <n v="60040.4"/>
    <d v="2023-01-24T00:00:00"/>
    <x v="4"/>
    <s v="Mexico"/>
    <s v="Location 3"/>
    <n v="428.86"/>
  </r>
  <r>
    <n v="140"/>
    <n v="60040.4"/>
    <d v="2023-01-24T00:00:00"/>
    <x v="4"/>
    <s v="Mexico"/>
    <s v="Location 3"/>
    <n v="428.86"/>
  </r>
  <r>
    <n v="140"/>
    <n v="60040.4"/>
    <d v="2023-01-24T00:00:00"/>
    <x v="4"/>
    <s v="Mexico"/>
    <s v="Location 3"/>
    <n v="428.86"/>
  </r>
  <r>
    <n v="140"/>
    <n v="58132.2"/>
    <d v="2023-01-26T00:00:00"/>
    <x v="36"/>
    <s v="Mexico"/>
    <s v="Location 3"/>
    <n v="415.23"/>
  </r>
  <r>
    <n v="140"/>
    <n v="58132.2"/>
    <d v="2023-01-26T00:00:00"/>
    <x v="36"/>
    <s v="Mexico"/>
    <s v="Location 3"/>
    <n v="415.23"/>
  </r>
  <r>
    <n v="140"/>
    <n v="58132.2"/>
    <d v="2023-01-26T00:00:00"/>
    <x v="36"/>
    <s v="Mexico"/>
    <s v="Location 3"/>
    <n v="415.23"/>
  </r>
  <r>
    <n v="140"/>
    <n v="58132.2"/>
    <d v="2023-01-26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58132.2"/>
    <d v="2023-01-30T00:00:00"/>
    <x v="36"/>
    <s v="Mexico"/>
    <s v="Location 3"/>
    <n v="415.23"/>
  </r>
  <r>
    <n v="140"/>
    <n v="92328.6"/>
    <d v="2023-01-30T00:00:00"/>
    <x v="37"/>
    <s v="Mexico"/>
    <s v="Location 3"/>
    <n v="659.49"/>
  </r>
  <r>
    <n v="140"/>
    <n v="58132.2"/>
    <d v="2023-04-25T00:00:00"/>
    <x v="36"/>
    <s v="Mexico"/>
    <s v="Location 3"/>
    <n v="415.23"/>
  </r>
  <r>
    <n v="140"/>
    <n v="58132.2"/>
    <d v="2023-04-25T00:00:00"/>
    <x v="36"/>
    <s v="Mexico"/>
    <s v="Location 3"/>
    <n v="415.23"/>
  </r>
  <r>
    <n v="140"/>
    <n v="58132.2"/>
    <d v="2023-04-25T00:00:00"/>
    <x v="36"/>
    <s v="Mexico"/>
    <s v="Location 3"/>
    <n v="415.23"/>
  </r>
  <r>
    <n v="140"/>
    <n v="58132.2"/>
    <d v="2023-04-25T00:00:00"/>
    <x v="36"/>
    <s v="Mexico"/>
    <s v="Location 3"/>
    <n v="415.23"/>
  </r>
  <r>
    <n v="140"/>
    <n v="58132.2"/>
    <d v="2023-04-25T00:00:00"/>
    <x v="36"/>
    <s v="Mexico"/>
    <s v="Location 3"/>
    <n v="415.23"/>
  </r>
  <r>
    <n v="140"/>
    <n v="58132.2"/>
    <d v="2023-04-25T00:00:00"/>
    <x v="36"/>
    <s v="Mexico"/>
    <s v="Location 3"/>
    <n v="415.23"/>
  </r>
  <r>
    <n v="140"/>
    <n v="58132.2"/>
    <d v="2023-04-25T00:00:00"/>
    <x v="36"/>
    <s v="Mexico"/>
    <s v="Location 3"/>
    <n v="415.23"/>
  </r>
  <r>
    <n v="140"/>
    <n v="53718"/>
    <d v="2023-05-15T00:00:00"/>
    <x v="8"/>
    <s v="Mexico"/>
    <s v="Location 3"/>
    <n v="383.7"/>
  </r>
  <r>
    <n v="140"/>
    <n v="60040.4"/>
    <d v="2023-02-21T00:00:00"/>
    <x v="4"/>
    <s v="Mexico"/>
    <s v="Location 3"/>
    <n v="428.86"/>
  </r>
  <r>
    <n v="140"/>
    <n v="60040.4"/>
    <d v="2023-02-21T00:00:00"/>
    <x v="4"/>
    <s v="Mexico"/>
    <s v="Location 3"/>
    <n v="428.86"/>
  </r>
  <r>
    <n v="140"/>
    <n v="60040.4"/>
    <d v="2023-02-21T00:00:00"/>
    <x v="4"/>
    <s v="Mexico"/>
    <s v="Location 3"/>
    <n v="428.86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3718"/>
    <d v="2023-04-25T00:00:00"/>
    <x v="8"/>
    <s v="Mexico"/>
    <s v="Location 3"/>
    <n v="383.7"/>
  </r>
  <r>
    <n v="140"/>
    <n v="50677.2"/>
    <d v="2023-02-24T00:00:00"/>
    <x v="8"/>
    <s v="Mexico"/>
    <s v="Location 3"/>
    <n v="361.98"/>
  </r>
  <r>
    <n v="140"/>
    <n v="50677.2"/>
    <d v="2023-02-24T00:00:00"/>
    <x v="8"/>
    <s v="Mexico"/>
    <s v="Location 3"/>
    <n v="361.98"/>
  </r>
  <r>
    <n v="140"/>
    <n v="50677.2"/>
    <d v="2023-02-24T00:00:00"/>
    <x v="8"/>
    <s v="Mexico"/>
    <s v="Location 3"/>
    <n v="361.98"/>
  </r>
  <r>
    <n v="140"/>
    <n v="50677.2"/>
    <d v="2023-02-24T00:00:00"/>
    <x v="8"/>
    <s v="Mexico"/>
    <s v="Location 3"/>
    <n v="361.98"/>
  </r>
  <r>
    <n v="140"/>
    <n v="50677.2"/>
    <d v="2023-02-24T00:00:00"/>
    <x v="8"/>
    <s v="Mexico"/>
    <s v="Location 3"/>
    <n v="361.98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58132.2"/>
    <d v="2023-02-28T00:00:00"/>
    <x v="36"/>
    <s v="Mexico"/>
    <s v="Location 3"/>
    <n v="415.23"/>
  </r>
  <r>
    <n v="140"/>
    <n v="60040.4"/>
    <d v="2023-07-28T00:00:00"/>
    <x v="4"/>
    <s v="Mexico"/>
    <s v="Location 3"/>
    <n v="428.86"/>
  </r>
  <r>
    <n v="140"/>
    <n v="92328.6"/>
    <d v="2022-11-10T00:00:00"/>
    <x v="37"/>
    <s v="Mexico"/>
    <s v="Location 3"/>
    <n v="659.49"/>
  </r>
  <r>
    <n v="140"/>
    <n v="58132.2"/>
    <d v="2023-08-16T00:00:00"/>
    <x v="36"/>
    <s v="Mexico"/>
    <s v="Location 3"/>
    <n v="415.23"/>
  </r>
  <r>
    <n v="140"/>
    <n v="56924"/>
    <d v="2022-12-19T00:00:00"/>
    <x v="4"/>
    <s v="Mexico"/>
    <s v="Location 3"/>
    <n v="406.6"/>
  </r>
  <r>
    <n v="140"/>
    <n v="56924"/>
    <d v="2022-12-19T00:00:00"/>
    <x v="4"/>
    <s v="Mexico"/>
    <s v="Location 3"/>
    <n v="406.6"/>
  </r>
  <r>
    <n v="140"/>
    <n v="56924"/>
    <d v="2022-12-19T00:00:00"/>
    <x v="4"/>
    <s v="Mexico"/>
    <s v="Location 3"/>
    <n v="406.6"/>
  </r>
  <r>
    <n v="140"/>
    <n v="56924"/>
    <d v="2022-12-19T00:00:00"/>
    <x v="4"/>
    <s v="Mexico"/>
    <s v="Location 3"/>
    <n v="406.6"/>
  </r>
  <r>
    <n v="140"/>
    <n v="58132.2"/>
    <d v="2023-07-25T00:00:00"/>
    <x v="36"/>
    <s v="Mexico"/>
    <s v="Location 3"/>
    <n v="415.23"/>
  </r>
  <r>
    <n v="140"/>
    <n v="58132.2"/>
    <d v="2023-07-25T00:00:00"/>
    <x v="36"/>
    <s v="Mexico"/>
    <s v="Location 3"/>
    <n v="415.23"/>
  </r>
  <r>
    <n v="140"/>
    <n v="60040.4"/>
    <d v="2023-07-25T00:00:00"/>
    <x v="4"/>
    <s v="Mexico"/>
    <s v="Location 3"/>
    <n v="428.86"/>
  </r>
  <r>
    <n v="140"/>
    <n v="60040.4"/>
    <d v="2023-07-25T00:00:00"/>
    <x v="4"/>
    <s v="Mexico"/>
    <s v="Location 3"/>
    <n v="428.86"/>
  </r>
  <r>
    <n v="120"/>
    <n v="54085.2"/>
    <d v="2023-05-03T00:00:00"/>
    <x v="1"/>
    <s v="Mexico"/>
    <s v="Location 3"/>
    <n v="450.71"/>
  </r>
  <r>
    <n v="120"/>
    <n v="96452.4"/>
    <d v="2023-01-24T00:00:00"/>
    <x v="14"/>
    <s v="Mexico"/>
    <s v="Location 3"/>
    <n v="803.77"/>
  </r>
  <r>
    <n v="120"/>
    <n v="96452.4"/>
    <d v="2023-01-30T00:00:00"/>
    <x v="14"/>
    <s v="Mexico"/>
    <s v="Location 3"/>
    <n v="803.77"/>
  </r>
  <r>
    <n v="120"/>
    <n v="54085.2"/>
    <d v="2023-04-21T00:00:00"/>
    <x v="1"/>
    <s v="Mexico"/>
    <s v="Location 3"/>
    <n v="450.71"/>
  </r>
  <r>
    <n v="120"/>
    <n v="54085.2"/>
    <d v="2023-04-21T00:00:00"/>
    <x v="1"/>
    <s v="Mexico"/>
    <s v="Location 3"/>
    <n v="450.71"/>
  </r>
  <r>
    <n v="120"/>
    <n v="54085.2"/>
    <d v="2023-04-21T00:00:00"/>
    <x v="1"/>
    <s v="Mexico"/>
    <s v="Location 3"/>
    <n v="450.71"/>
  </r>
  <r>
    <n v="120"/>
    <n v="54085.2"/>
    <d v="2023-04-21T00:00:00"/>
    <x v="1"/>
    <s v="Mexico"/>
    <s v="Location 3"/>
    <n v="450.71"/>
  </r>
  <r>
    <n v="120"/>
    <n v="54085.2"/>
    <d v="2023-04-21T00:00:00"/>
    <x v="1"/>
    <s v="Mexico"/>
    <s v="Location 3"/>
    <n v="450.71"/>
  </r>
  <r>
    <n v="120"/>
    <n v="54085.2"/>
    <d v="2023-04-21T00:00:00"/>
    <x v="1"/>
    <s v="Mexico"/>
    <s v="Location 3"/>
    <n v="450.71"/>
  </r>
  <r>
    <n v="120"/>
    <n v="54085.2"/>
    <d v="2023-05-15T00:00:00"/>
    <x v="1"/>
    <s v="Mexico"/>
    <s v="Location 3"/>
    <n v="450.71"/>
  </r>
  <r>
    <n v="120"/>
    <n v="51024"/>
    <d v="2023-01-03T00:00:00"/>
    <x v="1"/>
    <s v="Mexico"/>
    <s v="Location 3"/>
    <n v="425.2"/>
  </r>
  <r>
    <n v="120"/>
    <n v="51024"/>
    <d v="2023-01-03T00:00:00"/>
    <x v="1"/>
    <s v="Mexico"/>
    <s v="Location 3"/>
    <n v="425.2"/>
  </r>
  <r>
    <n v="120"/>
    <n v="51024"/>
    <d v="2022-11-29T00:00:00"/>
    <x v="1"/>
    <s v="Mexico"/>
    <s v="Location 3"/>
    <n v="425.2"/>
  </r>
  <r>
    <n v="120"/>
    <n v="51024"/>
    <d v="2022-12-14T00:00:00"/>
    <x v="1"/>
    <s v="Mexico"/>
    <s v="Location 3"/>
    <n v="425.2"/>
  </r>
  <r>
    <n v="120"/>
    <n v="91449.600000000006"/>
    <d v="2022-07-19T00:00:00"/>
    <x v="14"/>
    <s v="Mexico"/>
    <s v="Location 3"/>
    <n v="762.08"/>
  </r>
  <r>
    <n v="120"/>
    <n v="51024"/>
    <d v="2022-10-25T00:00:00"/>
    <x v="1"/>
    <s v="Mexico"/>
    <s v="Location 3"/>
    <n v="425.2"/>
  </r>
  <r>
    <n v="120"/>
    <n v="51024"/>
    <d v="2022-10-25T00:00:00"/>
    <x v="1"/>
    <s v="Mexico"/>
    <s v="Location 3"/>
    <n v="425.2"/>
  </r>
  <r>
    <n v="120"/>
    <n v="51024"/>
    <d v="2022-10-25T00:00:00"/>
    <x v="1"/>
    <s v="Mexico"/>
    <s v="Location 3"/>
    <n v="425.2"/>
  </r>
  <r>
    <n v="120"/>
    <n v="51024"/>
    <d v="2022-10-25T00:00:00"/>
    <x v="1"/>
    <s v="Mexico"/>
    <s v="Location 3"/>
    <n v="425.2"/>
  </r>
  <r>
    <n v="120"/>
    <n v="51024"/>
    <d v="2022-10-25T00:00:00"/>
    <x v="1"/>
    <s v="Mexico"/>
    <s v="Location 3"/>
    <n v="425.2"/>
  </r>
  <r>
    <n v="120"/>
    <n v="51024"/>
    <d v="2022-10-25T00:00:00"/>
    <x v="1"/>
    <s v="Mexico"/>
    <s v="Location 3"/>
    <n v="425.2"/>
  </r>
  <r>
    <n v="120"/>
    <n v="52864.800000000003"/>
    <d v="2023-02-28T00:00:00"/>
    <x v="5"/>
    <s v="Mexico"/>
    <s v="Location 3"/>
    <n v="440.54"/>
  </r>
  <r>
    <n v="120"/>
    <n v="52864.800000000003"/>
    <d v="2023-02-28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1T00:00:00"/>
    <x v="5"/>
    <s v="Mexico"/>
    <s v="Location 3"/>
    <n v="440.54"/>
  </r>
  <r>
    <n v="120"/>
    <n v="52864.800000000003"/>
    <d v="2023-02-24T00:00:00"/>
    <x v="5"/>
    <s v="Mexico"/>
    <s v="Location 3"/>
    <n v="440.54"/>
  </r>
  <r>
    <n v="120"/>
    <n v="52864.800000000003"/>
    <d v="2023-02-24T00:00:00"/>
    <x v="5"/>
    <s v="Mexico"/>
    <s v="Location 3"/>
    <n v="440.54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864.800000000003"/>
    <d v="2023-01-06T00:00:00"/>
    <x v="5"/>
    <s v="Mexico"/>
    <s v="Location 3"/>
    <n v="440.54"/>
  </r>
  <r>
    <n v="120"/>
    <n v="52864.800000000003"/>
    <d v="2023-01-06T00:00:00"/>
    <x v="5"/>
    <s v="Mexico"/>
    <s v="Location 3"/>
    <n v="440.54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5-31T00:00:00"/>
    <x v="5"/>
    <s v="Mexico"/>
    <s v="Location 3"/>
    <n v="438.95"/>
  </r>
  <r>
    <n v="120"/>
    <n v="52674"/>
    <d v="2023-06-05T00:00:00"/>
    <x v="5"/>
    <s v="Mexico"/>
    <s v="Location 3"/>
    <n v="438.95"/>
  </r>
  <r>
    <n v="120"/>
    <n v="52674"/>
    <d v="2023-06-05T00:00:00"/>
    <x v="5"/>
    <s v="Mexico"/>
    <s v="Location 3"/>
    <n v="438.95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5755.6"/>
    <d v="2023-01-24T00:00:00"/>
    <x v="5"/>
    <s v="Mexico"/>
    <s v="Location 3"/>
    <n v="464.63"/>
  </r>
  <r>
    <n v="120"/>
    <n v="52674"/>
    <d v="2023-05-15T00:00:00"/>
    <x v="5"/>
    <s v="Mexico"/>
    <s v="Location 3"/>
    <n v="438.95"/>
  </r>
  <r>
    <n v="120"/>
    <n v="52674"/>
    <d v="2023-05-15T00:00:00"/>
    <x v="5"/>
    <s v="Mexico"/>
    <s v="Location 3"/>
    <n v="438.95"/>
  </r>
  <r>
    <n v="120"/>
    <n v="52674"/>
    <d v="2023-05-15T00:00:00"/>
    <x v="5"/>
    <s v="Mexico"/>
    <s v="Location 3"/>
    <n v="438.95"/>
  </r>
  <r>
    <n v="120"/>
    <n v="55755.6"/>
    <d v="2023-02-21T00:00:00"/>
    <x v="5"/>
    <s v="Mexico"/>
    <s v="Location 3"/>
    <n v="464.63"/>
  </r>
  <r>
    <n v="120"/>
    <n v="55755.6"/>
    <d v="2023-02-21T00:00:00"/>
    <x v="5"/>
    <s v="Mexico"/>
    <s v="Location 3"/>
    <n v="464.63"/>
  </r>
  <r>
    <n v="120"/>
    <n v="52674"/>
    <d v="2023-05-26T00:00:00"/>
    <x v="5"/>
    <s v="Mexico"/>
    <s v="Location 3"/>
    <n v="438.95"/>
  </r>
  <r>
    <n v="120"/>
    <n v="55755.6"/>
    <d v="2023-02-28T00:00:00"/>
    <x v="5"/>
    <s v="Mexico"/>
    <s v="Location 3"/>
    <n v="464.63"/>
  </r>
  <r>
    <n v="120"/>
    <n v="52674"/>
    <d v="2023-02-28T00:00:00"/>
    <x v="5"/>
    <s v="Mexico"/>
    <s v="Location 3"/>
    <n v="438.95"/>
  </r>
  <r>
    <n v="120"/>
    <n v="52674"/>
    <d v="2023-05-26T00:00:00"/>
    <x v="5"/>
    <s v="Mexico"/>
    <s v="Location 3"/>
    <n v="438.95"/>
  </r>
  <r>
    <n v="120"/>
    <n v="52674"/>
    <d v="2023-05-26T00:00:00"/>
    <x v="5"/>
    <s v="Mexico"/>
    <s v="Location 3"/>
    <n v="438.95"/>
  </r>
  <r>
    <n v="120"/>
    <n v="52674"/>
    <d v="2023-05-26T00:00:00"/>
    <x v="5"/>
    <s v="Mexico"/>
    <s v="Location 3"/>
    <n v="438.95"/>
  </r>
  <r>
    <n v="120"/>
    <n v="52674"/>
    <d v="2023-05-26T00:00:00"/>
    <x v="5"/>
    <s v="Mexico"/>
    <s v="Location 3"/>
    <n v="438.95"/>
  </r>
  <r>
    <n v="120"/>
    <n v="52674"/>
    <d v="2023-05-26T00:00:00"/>
    <x v="5"/>
    <s v="Mexico"/>
    <s v="Location 3"/>
    <n v="438.95"/>
  </r>
  <r>
    <n v="120"/>
    <n v="52864.800000000003"/>
    <d v="2022-09-21T00:00:00"/>
    <x v="5"/>
    <s v="Mexico"/>
    <s v="Location 3"/>
    <n v="440.54"/>
  </r>
  <r>
    <n v="120"/>
    <n v="52864.800000000003"/>
    <d v="2022-09-21T00:00:00"/>
    <x v="5"/>
    <s v="Mexico"/>
    <s v="Location 3"/>
    <n v="440.54"/>
  </r>
  <r>
    <n v="120"/>
    <n v="52864.800000000003"/>
    <d v="2022-09-21T00:00:00"/>
    <x v="5"/>
    <s v="Mexico"/>
    <s v="Location 3"/>
    <n v="440.54"/>
  </r>
  <r>
    <n v="120"/>
    <n v="52864.800000000003"/>
    <d v="2022-09-21T00:00:00"/>
    <x v="5"/>
    <s v="Mexico"/>
    <s v="Location 3"/>
    <n v="440.54"/>
  </r>
  <r>
    <n v="120"/>
    <n v="52864.800000000003"/>
    <d v="2022-09-21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09-22T00:00:00"/>
    <x v="5"/>
    <s v="Mexico"/>
    <s v="Location 3"/>
    <n v="440.54"/>
  </r>
  <r>
    <n v="120"/>
    <n v="52864.800000000003"/>
    <d v="2022-11-01T00:00:00"/>
    <x v="5"/>
    <s v="Mexico"/>
    <s v="Location 3"/>
    <n v="440.54"/>
  </r>
  <r>
    <n v="120"/>
    <n v="52864.800000000003"/>
    <d v="2022-11-01T00:00:00"/>
    <x v="5"/>
    <s v="Mexico"/>
    <s v="Location 3"/>
    <n v="440.54"/>
  </r>
  <r>
    <n v="120"/>
    <n v="52864.800000000003"/>
    <d v="2022-11-01T00:00:00"/>
    <x v="5"/>
    <s v="Mexico"/>
    <s v="Location 3"/>
    <n v="440.54"/>
  </r>
  <r>
    <n v="120"/>
    <n v="52864.800000000003"/>
    <d v="2022-11-01T00:00:00"/>
    <x v="5"/>
    <s v="Mexico"/>
    <s v="Location 3"/>
    <n v="440.54"/>
  </r>
  <r>
    <n v="120"/>
    <n v="52864.800000000003"/>
    <d v="2022-11-02T00:00:00"/>
    <x v="5"/>
    <s v="Mexico"/>
    <s v="Location 3"/>
    <n v="440.54"/>
  </r>
  <r>
    <n v="120"/>
    <n v="52864.800000000003"/>
    <d v="2022-11-03T00:00:00"/>
    <x v="5"/>
    <s v="Mexico"/>
    <s v="Location 3"/>
    <n v="440.54"/>
  </r>
  <r>
    <n v="120"/>
    <n v="52864.800000000003"/>
    <d v="2022-11-03T00:00:00"/>
    <x v="5"/>
    <s v="Mexico"/>
    <s v="Location 3"/>
    <n v="440.54"/>
  </r>
  <r>
    <n v="120"/>
    <n v="52864.800000000003"/>
    <d v="2022-11-03T00:00:00"/>
    <x v="5"/>
    <s v="Mexico"/>
    <s v="Location 3"/>
    <n v="440.54"/>
  </r>
  <r>
    <n v="120"/>
    <n v="52864.800000000003"/>
    <d v="2022-11-03T00:00:00"/>
    <x v="5"/>
    <s v="Mexico"/>
    <s v="Location 3"/>
    <n v="440.54"/>
  </r>
  <r>
    <n v="120"/>
    <n v="52864.800000000003"/>
    <d v="2022-11-10T00:00:00"/>
    <x v="5"/>
    <s v="Mexico"/>
    <s v="Location 3"/>
    <n v="440.54"/>
  </r>
  <r>
    <n v="120"/>
    <n v="52864.800000000003"/>
    <d v="2022-07-11T00:00:00"/>
    <x v="5"/>
    <s v="Mexico"/>
    <s v="Location 3"/>
    <n v="440.54"/>
  </r>
  <r>
    <n v="120"/>
    <n v="52864.800000000003"/>
    <d v="2022-07-11T00:00:00"/>
    <x v="5"/>
    <s v="Mexico"/>
    <s v="Location 3"/>
    <n v="440.54"/>
  </r>
  <r>
    <n v="120"/>
    <n v="52864.800000000003"/>
    <d v="2022-07-11T00:00:00"/>
    <x v="5"/>
    <s v="Mexico"/>
    <s v="Location 3"/>
    <n v="440.54"/>
  </r>
  <r>
    <n v="120"/>
    <n v="52864.800000000003"/>
    <d v="2022-08-19T00:00:00"/>
    <x v="5"/>
    <s v="Mexico"/>
    <s v="Location 3"/>
    <n v="440.54"/>
  </r>
  <r>
    <n v="120"/>
    <n v="52864.800000000003"/>
    <d v="2022-07-11T00:00:00"/>
    <x v="5"/>
    <s v="Mexico"/>
    <s v="Location 3"/>
    <n v="440.54"/>
  </r>
  <r>
    <n v="120"/>
    <n v="52864.800000000003"/>
    <d v="2022-10-20T00:00:00"/>
    <x v="5"/>
    <s v="Mexico"/>
    <s v="Location 3"/>
    <n v="440.54"/>
  </r>
  <r>
    <n v="120"/>
    <n v="52864.800000000003"/>
    <d v="2022-10-20T00:00:00"/>
    <x v="5"/>
    <s v="Mexico"/>
    <s v="Location 3"/>
    <n v="440.54"/>
  </r>
  <r>
    <n v="120"/>
    <n v="52864.800000000003"/>
    <d v="2022-10-20T00:00:00"/>
    <x v="5"/>
    <s v="Mexico"/>
    <s v="Location 3"/>
    <n v="440.54"/>
  </r>
  <r>
    <n v="120"/>
    <n v="52864.800000000003"/>
    <d v="2022-12-19T00:00:00"/>
    <x v="5"/>
    <s v="Mexico"/>
    <s v="Location 3"/>
    <n v="440.54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674"/>
    <d v="2023-07-25T00:00:00"/>
    <x v="5"/>
    <s v="Mexico"/>
    <s v="Location 3"/>
    <n v="438.95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120"/>
    <n v="52864.800000000003"/>
    <d v="2022-09-02T00:00:00"/>
    <x v="5"/>
    <s v="Mexico"/>
    <s v="Location 3"/>
    <n v="440.54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29066.1"/>
    <d v="2023-02-28T00:00:00"/>
    <x v="36"/>
    <s v="Mexico"/>
    <s v="Location 3"/>
    <n v="415.23"/>
  </r>
  <r>
    <n v="70"/>
    <n v="30020.2"/>
    <d v="2023-01-14T00:00:00"/>
    <x v="4"/>
    <s v="Mexico"/>
    <s v="Location 3"/>
    <n v="428.86"/>
  </r>
  <r>
    <n v="70"/>
    <n v="26859"/>
    <d v="2023-01-14T00:00:00"/>
    <x v="8"/>
    <s v="Mexico"/>
    <s v="Location 3"/>
    <n v="383.7"/>
  </r>
  <r>
    <n v="70"/>
    <n v="29066.1"/>
    <d v="2023-02-28T00:00:00"/>
    <x v="36"/>
    <s v="Mexico"/>
    <s v="Location 3"/>
    <n v="415.23"/>
  </r>
  <r>
    <n v="70"/>
    <n v="26859"/>
    <d v="2023-02-28T00:00:00"/>
    <x v="8"/>
    <s v="Mexico"/>
    <s v="Location 3"/>
    <n v="383.7"/>
  </r>
  <r>
    <n v="70"/>
    <n v="26859"/>
    <d v="2023-02-28T00:00:00"/>
    <x v="8"/>
    <s v="Mexico"/>
    <s v="Location 3"/>
    <n v="383.7"/>
  </r>
  <r>
    <n v="70"/>
    <n v="26859"/>
    <d v="2023-02-28T00:00:00"/>
    <x v="8"/>
    <s v="Mexico"/>
    <s v="Location 3"/>
    <n v="383.7"/>
  </r>
  <r>
    <n v="70"/>
    <n v="29066.1"/>
    <d v="2023-01-14T00:00:00"/>
    <x v="36"/>
    <s v="Mexico"/>
    <s v="Location 3"/>
    <n v="415.23"/>
  </r>
  <r>
    <n v="70"/>
    <n v="30020.2"/>
    <d v="2023-01-14T00:00:00"/>
    <x v="4"/>
    <s v="Mexico"/>
    <s v="Location 3"/>
    <n v="428.86"/>
  </r>
  <r>
    <n v="70"/>
    <n v="30020.2"/>
    <d v="2023-01-14T00:00:00"/>
    <x v="4"/>
    <s v="Mexico"/>
    <s v="Location 3"/>
    <n v="428.86"/>
  </r>
  <r>
    <n v="70"/>
    <n v="30020.2"/>
    <d v="2023-01-14T00:00:00"/>
    <x v="4"/>
    <s v="Mexico"/>
    <s v="Location 3"/>
    <n v="428.86"/>
  </r>
  <r>
    <n v="70"/>
    <n v="30020.2"/>
    <d v="2023-01-14T00:00:00"/>
    <x v="4"/>
    <s v="Mexico"/>
    <s v="Location 3"/>
    <n v="428.86"/>
  </r>
  <r>
    <n v="70"/>
    <n v="26859"/>
    <d v="2023-01-14T00:00:00"/>
    <x v="8"/>
    <s v="Mexico"/>
    <s v="Location 3"/>
    <n v="383.7"/>
  </r>
  <r>
    <n v="70"/>
    <n v="26859"/>
    <d v="2023-03-15T00:00:00"/>
    <x v="8"/>
    <s v="Mexico"/>
    <s v="Location 3"/>
    <n v="383.7"/>
  </r>
  <r>
    <n v="70"/>
    <n v="26859"/>
    <d v="2023-03-15T00:00:00"/>
    <x v="8"/>
    <s v="Mexico"/>
    <s v="Location 3"/>
    <n v="383.7"/>
  </r>
  <r>
    <n v="70"/>
    <n v="26859"/>
    <d v="2023-05-03T00:00:00"/>
    <x v="8"/>
    <s v="Mexico"/>
    <s v="Location 3"/>
    <n v="383.7"/>
  </r>
  <r>
    <n v="70"/>
    <n v="30020.2"/>
    <d v="2023-01-24T00:00:00"/>
    <x v="4"/>
    <s v="Mexico"/>
    <s v="Location 3"/>
    <n v="428.86"/>
  </r>
  <r>
    <n v="70"/>
    <n v="30020.2"/>
    <d v="2023-01-24T00:00:00"/>
    <x v="4"/>
    <s v="Mexico"/>
    <s v="Location 3"/>
    <n v="428.86"/>
  </r>
  <r>
    <n v="70"/>
    <n v="29066.1"/>
    <d v="2023-01-26T00:00:00"/>
    <x v="36"/>
    <s v="Mexico"/>
    <s v="Location 3"/>
    <n v="415.23"/>
  </r>
  <r>
    <n v="70"/>
    <n v="30020.2"/>
    <d v="2023-01-26T00:00:00"/>
    <x v="4"/>
    <s v="Mexico"/>
    <s v="Location 3"/>
    <n v="428.86"/>
  </r>
  <r>
    <n v="70"/>
    <n v="30020.2"/>
    <d v="2023-01-26T00:00:00"/>
    <x v="4"/>
    <s v="Mexico"/>
    <s v="Location 3"/>
    <n v="428.86"/>
  </r>
  <r>
    <n v="70"/>
    <n v="29066.1"/>
    <d v="2023-01-30T00:00:00"/>
    <x v="36"/>
    <s v="Mexico"/>
    <s v="Location 3"/>
    <n v="415.23"/>
  </r>
  <r>
    <n v="70"/>
    <n v="29066.1"/>
    <d v="2023-01-30T00:00:00"/>
    <x v="36"/>
    <s v="Mexico"/>
    <s v="Location 3"/>
    <n v="415.23"/>
  </r>
  <r>
    <n v="70"/>
    <n v="29066.1"/>
    <d v="2023-01-30T00:00:00"/>
    <x v="36"/>
    <s v="Mexico"/>
    <s v="Location 3"/>
    <n v="415.23"/>
  </r>
  <r>
    <n v="70"/>
    <n v="30020.2"/>
    <d v="2023-02-02T00:00:00"/>
    <x v="4"/>
    <s v="Mexico"/>
    <s v="Location 3"/>
    <n v="428.86"/>
  </r>
  <r>
    <n v="70"/>
    <n v="30020.2"/>
    <d v="2023-02-13T00:00:00"/>
    <x v="4"/>
    <s v="Mexico"/>
    <s v="Location 3"/>
    <n v="428.86"/>
  </r>
  <r>
    <n v="70"/>
    <n v="30020.2"/>
    <d v="2023-02-21T00:00:00"/>
    <x v="4"/>
    <s v="Mexico"/>
    <s v="Location 3"/>
    <n v="428.86"/>
  </r>
  <r>
    <n v="70"/>
    <n v="26859"/>
    <d v="2023-04-25T00:00:00"/>
    <x v="8"/>
    <s v="Mexico"/>
    <s v="Location 3"/>
    <n v="383.7"/>
  </r>
  <r>
    <n v="70"/>
    <n v="25338.6"/>
    <d v="2023-02-24T00:00:00"/>
    <x v="8"/>
    <s v="Mexico"/>
    <s v="Location 3"/>
    <n v="361.98"/>
  </r>
  <r>
    <n v="70"/>
    <n v="29066.1"/>
    <d v="2023-02-28T00:00:00"/>
    <x v="36"/>
    <s v="Mexico"/>
    <s v="Location 3"/>
    <n v="415.23"/>
  </r>
  <r>
    <n v="70"/>
    <n v="30020.2"/>
    <d v="2023-08-04T00:00:00"/>
    <x v="4"/>
    <s v="Mexico"/>
    <s v="Location 3"/>
    <n v="428.86"/>
  </r>
  <r>
    <n v="70"/>
    <n v="30020.2"/>
    <d v="2023-08-17T00:00:00"/>
    <x v="4"/>
    <s v="Mexico"/>
    <s v="Location 3"/>
    <n v="428.86"/>
  </r>
  <r>
    <n v="70"/>
    <n v="30020.2"/>
    <d v="2023-08-17T00:00:00"/>
    <x v="4"/>
    <s v="Mexico"/>
    <s v="Location 3"/>
    <n v="428.86"/>
  </r>
  <r>
    <n v="70"/>
    <n v="30020.2"/>
    <d v="2023-08-17T00:00:00"/>
    <x v="4"/>
    <s v="Mexico"/>
    <s v="Location 3"/>
    <n v="428.86"/>
  </r>
  <r>
    <n v="70"/>
    <n v="48690.6"/>
    <d v="2023-08-17T00:00:00"/>
    <x v="37"/>
    <s v="Mexico"/>
    <s v="Location 3"/>
    <n v="695.58"/>
  </r>
  <r>
    <n v="70"/>
    <n v="48690.6"/>
    <d v="2023-08-17T00:00:00"/>
    <x v="37"/>
    <s v="Mexico"/>
    <s v="Location 3"/>
    <n v="695.58"/>
  </r>
  <r>
    <n v="70"/>
    <n v="48690.6"/>
    <d v="2023-08-17T00:00:00"/>
    <x v="37"/>
    <s v="Mexico"/>
    <s v="Location 3"/>
    <n v="695.58"/>
  </r>
  <r>
    <n v="70"/>
    <n v="48690.6"/>
    <d v="2023-08-17T00:00:00"/>
    <x v="37"/>
    <s v="Mexico"/>
    <s v="Location 3"/>
    <n v="695.58"/>
  </r>
  <r>
    <n v="70"/>
    <n v="48690.6"/>
    <d v="2023-08-17T00:00:00"/>
    <x v="37"/>
    <s v="Mexico"/>
    <s v="Location 3"/>
    <n v="695.58"/>
  </r>
  <r>
    <n v="70"/>
    <n v="48690.6"/>
    <d v="2023-08-17T00:00:00"/>
    <x v="37"/>
    <s v="Mexico"/>
    <s v="Location 3"/>
    <n v="695.58"/>
  </r>
  <r>
    <n v="70"/>
    <n v="25338.6"/>
    <d v="2022-10-13T00:00:00"/>
    <x v="8"/>
    <s v="Mexico"/>
    <s v="Location 3"/>
    <n v="361.98"/>
  </r>
  <r>
    <n v="70"/>
    <n v="27421.1"/>
    <d v="2022-12-12T00:00:00"/>
    <x v="36"/>
    <s v="Mexico"/>
    <s v="Location 3"/>
    <n v="391.73"/>
  </r>
  <r>
    <n v="70"/>
    <n v="25338.6"/>
    <d v="2022-10-20T00:00:00"/>
    <x v="8"/>
    <s v="Mexico"/>
    <s v="Location 3"/>
    <n v="361.98"/>
  </r>
  <r>
    <n v="70"/>
    <n v="28462"/>
    <d v="2022-12-19T00:00:00"/>
    <x v="4"/>
    <s v="Mexico"/>
    <s v="Location 3"/>
    <n v="406.6"/>
  </r>
  <r>
    <n v="70"/>
    <n v="28462"/>
    <d v="2022-12-19T00:00:00"/>
    <x v="4"/>
    <s v="Mexico"/>
    <s v="Location 3"/>
    <n v="406.6"/>
  </r>
  <r>
    <n v="70"/>
    <n v="28462"/>
    <d v="2022-12-19T00:00:00"/>
    <x v="4"/>
    <s v="Mexico"/>
    <s v="Location 3"/>
    <n v="406.6"/>
  </r>
  <r>
    <n v="70"/>
    <n v="28462"/>
    <d v="2022-12-19T00:00:00"/>
    <x v="4"/>
    <s v="Mexico"/>
    <s v="Location 3"/>
    <n v="406.6"/>
  </r>
  <r>
    <n v="70"/>
    <n v="28462"/>
    <d v="2022-12-19T00:00:00"/>
    <x v="4"/>
    <s v="Mexico"/>
    <s v="Location 3"/>
    <n v="406.6"/>
  </r>
  <r>
    <n v="70"/>
    <n v="29066.1"/>
    <d v="2023-08-23T00:00:00"/>
    <x v="36"/>
    <s v="Mexico"/>
    <s v="Location 3"/>
    <n v="415.23"/>
  </r>
  <r>
    <n v="70"/>
    <n v="29066.1"/>
    <d v="2023-08-23T00:00:00"/>
    <x v="36"/>
    <s v="Mexico"/>
    <s v="Location 3"/>
    <n v="415.23"/>
  </r>
  <r>
    <n v="70"/>
    <n v="29066.1"/>
    <d v="2023-08-23T00:00:00"/>
    <x v="36"/>
    <s v="Mexico"/>
    <s v="Location 3"/>
    <n v="415.23"/>
  </r>
  <r>
    <n v="70"/>
    <n v="29066.1"/>
    <d v="2023-08-23T00:00:00"/>
    <x v="36"/>
    <s v="Mexico"/>
    <s v="Location 3"/>
    <n v="415.23"/>
  </r>
  <r>
    <n v="70"/>
    <n v="29066.1"/>
    <d v="2023-08-23T00:00:00"/>
    <x v="36"/>
    <s v="Mexico"/>
    <s v="Location 3"/>
    <n v="415.23"/>
  </r>
  <r>
    <n v="70"/>
    <n v="29066.1"/>
    <d v="2023-08-23T00:00:00"/>
    <x v="36"/>
    <s v="Mexico"/>
    <s v="Location 3"/>
    <n v="415.23"/>
  </r>
  <r>
    <n v="70"/>
    <n v="29066.1"/>
    <d v="2023-08-23T00:00:00"/>
    <x v="36"/>
    <s v="Mexico"/>
    <s v="Location 3"/>
    <n v="415.23"/>
  </r>
  <r>
    <n v="70"/>
    <n v="30020.2"/>
    <d v="2023-08-23T00:00:00"/>
    <x v="4"/>
    <s v="Mexico"/>
    <s v="Location 3"/>
    <n v="428.86"/>
  </r>
  <r>
    <n v="70"/>
    <n v="30020.2"/>
    <d v="2023-08-23T00:00:00"/>
    <x v="4"/>
    <s v="Mexico"/>
    <s v="Location 3"/>
    <n v="428.86"/>
  </r>
  <r>
    <n v="70"/>
    <n v="29066.1"/>
    <d v="2023-08-31T00:00:00"/>
    <x v="36"/>
    <s v="Mexico"/>
    <s v="Location 3"/>
    <n v="415.23"/>
  </r>
  <r>
    <n v="70"/>
    <n v="29066.1"/>
    <d v="2023-08-31T00:00:00"/>
    <x v="36"/>
    <s v="Mexico"/>
    <s v="Location 3"/>
    <n v="415.23"/>
  </r>
  <r>
    <n v="70"/>
    <n v="29066.1"/>
    <d v="2023-08-31T00:00:00"/>
    <x v="36"/>
    <s v="Mexico"/>
    <s v="Location 3"/>
    <n v="415.23"/>
  </r>
  <r>
    <n v="70"/>
    <n v="29066.1"/>
    <d v="2023-08-31T00:00:00"/>
    <x v="36"/>
    <s v="Mexico"/>
    <s v="Location 3"/>
    <n v="415.23"/>
  </r>
  <r>
    <n v="70"/>
    <n v="30020.2"/>
    <d v="2023-08-31T00:00:00"/>
    <x v="4"/>
    <s v="Mexico"/>
    <s v="Location 3"/>
    <n v="428.86"/>
  </r>
  <r>
    <n v="70"/>
    <n v="30020.2"/>
    <d v="2023-08-31T00:00:00"/>
    <x v="4"/>
    <s v="Mexico"/>
    <s v="Location 3"/>
    <n v="428.86"/>
  </r>
  <r>
    <n v="70"/>
    <n v="30020.2"/>
    <d v="2023-08-31T00:00:00"/>
    <x v="4"/>
    <s v="Mexico"/>
    <s v="Location 3"/>
    <n v="428.86"/>
  </r>
  <r>
    <n v="70"/>
    <n v="29066.1"/>
    <d v="2023-07-25T00:00:00"/>
    <x v="36"/>
    <s v="Mexico"/>
    <s v="Location 3"/>
    <n v="415.23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8690.6"/>
    <d v="2023-07-25T00:00:00"/>
    <x v="37"/>
    <s v="Mexico"/>
    <s v="Location 3"/>
    <n v="695.58"/>
  </r>
  <r>
    <n v="70"/>
    <n v="46164.3"/>
    <d v="2023-02-21T00:00:00"/>
    <x v="37"/>
    <s v="Mexico"/>
    <s v="Location 3"/>
    <n v="659.49"/>
  </r>
  <r>
    <n v="70"/>
    <n v="46164.3"/>
    <d v="2023-02-21T00:00:00"/>
    <x v="37"/>
    <s v="Mexico"/>
    <s v="Location 3"/>
    <n v="659.49"/>
  </r>
  <r>
    <n v="70"/>
    <n v="46164.3"/>
    <d v="2023-02-21T00:00:00"/>
    <x v="37"/>
    <s v="Mexico"/>
    <s v="Location 3"/>
    <n v="659.49"/>
  </r>
  <r>
    <n v="70"/>
    <n v="46164.3"/>
    <d v="2023-02-21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09T00:00:00"/>
    <x v="37"/>
    <s v="Mexico"/>
    <s v="Location 3"/>
    <n v="659.49"/>
  </r>
  <r>
    <n v="70"/>
    <n v="46164.3"/>
    <d v="2022-06-17T00:00:00"/>
    <x v="37"/>
    <s v="Mexico"/>
    <s v="Location 3"/>
    <n v="659.49"/>
  </r>
  <r>
    <n v="70"/>
    <n v="46164.3"/>
    <d v="2023-01-03T00:00:00"/>
    <x v="37"/>
    <s v="Mexico"/>
    <s v="Location 3"/>
    <n v="659.49"/>
  </r>
  <r>
    <n v="70"/>
    <n v="46164.3"/>
    <d v="2023-01-03T00:00:00"/>
    <x v="37"/>
    <s v="Mexico"/>
    <s v="Location 3"/>
    <n v="659.49"/>
  </r>
  <r>
    <n v="70"/>
    <n v="46164.3"/>
    <d v="2023-01-03T00:00:00"/>
    <x v="37"/>
    <s v="Mexico"/>
    <s v="Location 3"/>
    <n v="659.49"/>
  </r>
  <r>
    <n v="70"/>
    <n v="46164.3"/>
    <d v="2023-01-03T00:00:00"/>
    <x v="37"/>
    <s v="Mexico"/>
    <s v="Location 3"/>
    <n v="659.49"/>
  </r>
  <r>
    <n v="70"/>
    <n v="46164.3"/>
    <d v="2022-11-08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1-10T00:00:00"/>
    <x v="37"/>
    <s v="Mexico"/>
    <s v="Location 3"/>
    <n v="659.49"/>
  </r>
  <r>
    <n v="70"/>
    <n v="46164.3"/>
    <d v="2022-12-02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7-11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2-09-02T00:00:00"/>
    <x v="37"/>
    <s v="Mexico"/>
    <s v="Location 3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3-01-06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2-06-01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14T00:00:00"/>
    <x v="37"/>
    <s v="Mexico"/>
    <s v="Location 4"/>
    <n v="659.49"/>
  </r>
  <r>
    <n v="70"/>
    <n v="46164.3"/>
    <d v="2023-01-24T00:00:00"/>
    <x v="37"/>
    <s v="Mexico"/>
    <s v="Location 4"/>
    <n v="659.49"/>
  </r>
  <r>
    <n v="70"/>
    <n v="46164.3"/>
    <d v="2023-01-24T00:00:00"/>
    <x v="37"/>
    <s v="Mexico"/>
    <s v="Location 4"/>
    <n v="659.49"/>
  </r>
  <r>
    <n v="70"/>
    <n v="46164.3"/>
    <d v="2023-01-24T00:00:00"/>
    <x v="37"/>
    <s v="Mexico"/>
    <s v="Location 4"/>
    <n v="659.49"/>
  </r>
  <r>
    <n v="70"/>
    <n v="46164.3"/>
    <d v="2023-01-24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2-06-09T00:00:00"/>
    <x v="37"/>
    <s v="Mexico"/>
    <s v="Location 4"/>
    <n v="659.49"/>
  </r>
  <r>
    <n v="70"/>
    <n v="46164.3"/>
    <d v="2023-01-30T00:00:00"/>
    <x v="37"/>
    <s v="Mexico"/>
    <s v="Location 4"/>
    <n v="659.49"/>
  </r>
  <r>
    <n v="70"/>
    <n v="46164.3"/>
    <d v="2023-01-30T00:00:00"/>
    <x v="37"/>
    <s v="Mexico"/>
    <s v="Location 4"/>
    <n v="659.49"/>
  </r>
  <r>
    <n v="70"/>
    <n v="46164.3"/>
    <d v="2023-02-02T00:00:00"/>
    <x v="37"/>
    <s v="Mexico"/>
    <s v="Location 4"/>
    <n v="659.49"/>
  </r>
  <r>
    <n v="70"/>
    <n v="46164.3"/>
    <d v="2023-02-02T00:00:00"/>
    <x v="37"/>
    <s v="Mexico"/>
    <s v="Location 4"/>
    <n v="659.49"/>
  </r>
  <r>
    <n v="70"/>
    <n v="46164.3"/>
    <d v="2023-02-13T00:00:00"/>
    <x v="37"/>
    <s v="Mexico"/>
    <s v="Location 4"/>
    <n v="659.49"/>
  </r>
  <r>
    <n v="70"/>
    <n v="46164.3"/>
    <d v="2023-02-13T00:00:00"/>
    <x v="37"/>
    <s v="Mexico"/>
    <s v="Location 4"/>
    <n v="659.49"/>
  </r>
  <r>
    <n v="70"/>
    <n v="46164.3"/>
    <d v="2023-02-13T00:00:00"/>
    <x v="37"/>
    <s v="Mexico"/>
    <s v="Location 4"/>
    <n v="659.49"/>
  </r>
  <r>
    <n v="70"/>
    <n v="46164.3"/>
    <d v="2023-02-13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11-29T00:00:00"/>
    <x v="37"/>
    <s v="Mexico"/>
    <s v="Location 4"/>
    <n v="659.49"/>
  </r>
  <r>
    <n v="70"/>
    <n v="46164.3"/>
    <d v="2022-11-29T00:00:00"/>
    <x v="37"/>
    <s v="Mexico"/>
    <s v="Location 4"/>
    <n v="659.49"/>
  </r>
  <r>
    <n v="70"/>
    <n v="46164.3"/>
    <d v="2022-12-02T00:00:00"/>
    <x v="37"/>
    <s v="Mexico"/>
    <s v="Location 4"/>
    <n v="659.49"/>
  </r>
  <r>
    <n v="70"/>
    <n v="46164.3"/>
    <d v="2022-12-19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46164.3"/>
    <d v="2022-09-02T00:00:00"/>
    <x v="37"/>
    <s v="Mexico"/>
    <s v="Location 4"/>
    <n v="659.49"/>
  </r>
  <r>
    <n v="70"/>
    <n v="26859"/>
    <d v="2023-05-31T00:00:00"/>
    <x v="8"/>
    <s v="Mexico"/>
    <s v="Location 4"/>
    <n v="383.7"/>
  </r>
  <r>
    <n v="70"/>
    <n v="26859"/>
    <d v="2023-01-14T00:00:00"/>
    <x v="8"/>
    <s v="Mexico"/>
    <s v="Location 4"/>
    <n v="383.7"/>
  </r>
  <r>
    <n v="70"/>
    <n v="29066.1"/>
    <d v="2023-01-24T00:00:00"/>
    <x v="36"/>
    <s v="Mexico"/>
    <s v="Location 4"/>
    <n v="415.23"/>
  </r>
  <r>
    <n v="70"/>
    <n v="29066.1"/>
    <d v="2023-01-24T00:00:00"/>
    <x v="36"/>
    <s v="Mexico"/>
    <s v="Location 4"/>
    <n v="415.23"/>
  </r>
  <r>
    <n v="70"/>
    <n v="29066.1"/>
    <d v="2023-01-24T00:00:00"/>
    <x v="36"/>
    <s v="Mexico"/>
    <s v="Location 4"/>
    <n v="415.23"/>
  </r>
  <r>
    <n v="70"/>
    <n v="29066.1"/>
    <d v="2023-01-24T00:00:00"/>
    <x v="36"/>
    <s v="Mexico"/>
    <s v="Location 4"/>
    <n v="415.23"/>
  </r>
  <r>
    <n v="70"/>
    <n v="29066.1"/>
    <d v="2023-01-24T00:00:00"/>
    <x v="36"/>
    <s v="Mexico"/>
    <s v="Location 4"/>
    <n v="415.23"/>
  </r>
  <r>
    <n v="70"/>
    <n v="29066.1"/>
    <d v="2023-05-03T00:00:00"/>
    <x v="36"/>
    <s v="Mexico"/>
    <s v="Location 4"/>
    <n v="415.23"/>
  </r>
  <r>
    <n v="70"/>
    <n v="29066.1"/>
    <d v="2023-05-03T00:00:00"/>
    <x v="36"/>
    <s v="Mexico"/>
    <s v="Location 4"/>
    <n v="415.23"/>
  </r>
  <r>
    <n v="70"/>
    <n v="29066.1"/>
    <d v="2023-05-03T00:00:00"/>
    <x v="36"/>
    <s v="Mexico"/>
    <s v="Location 4"/>
    <n v="415.23"/>
  </r>
  <r>
    <n v="70"/>
    <n v="30020.2"/>
    <d v="2023-05-03T00:00:00"/>
    <x v="4"/>
    <s v="Mexico"/>
    <s v="Location 4"/>
    <n v="428.86"/>
  </r>
  <r>
    <n v="70"/>
    <n v="30020.2"/>
    <d v="2023-05-03T00:00:00"/>
    <x v="4"/>
    <s v="Mexico"/>
    <s v="Location 4"/>
    <n v="428.86"/>
  </r>
  <r>
    <n v="70"/>
    <n v="26859"/>
    <d v="2023-05-03T00:00:00"/>
    <x v="8"/>
    <s v="Mexico"/>
    <s v="Location 4"/>
    <n v="383.7"/>
  </r>
  <r>
    <n v="70"/>
    <n v="26859"/>
    <d v="2023-06-09T00:00:00"/>
    <x v="8"/>
    <s v="Mexico"/>
    <s v="Location 4"/>
    <n v="383.7"/>
  </r>
  <r>
    <n v="70"/>
    <n v="30020.2"/>
    <d v="2023-02-13T00:00:00"/>
    <x v="4"/>
    <s v="Mexico"/>
    <s v="Location 4"/>
    <n v="428.86"/>
  </r>
  <r>
    <n v="70"/>
    <n v="48690.6"/>
    <d v="2023-02-21T00:00:00"/>
    <x v="37"/>
    <s v="Mexico"/>
    <s v="Location 4"/>
    <n v="695.58"/>
  </r>
  <r>
    <n v="70"/>
    <n v="48690.6"/>
    <d v="2023-02-21T00:00:00"/>
    <x v="37"/>
    <s v="Mexico"/>
    <s v="Location 4"/>
    <n v="695.58"/>
  </r>
  <r>
    <n v="70"/>
    <n v="48690.6"/>
    <d v="2023-02-21T00:00:00"/>
    <x v="37"/>
    <s v="Mexico"/>
    <s v="Location 4"/>
    <n v="695.58"/>
  </r>
  <r>
    <n v="70"/>
    <n v="30020.2"/>
    <d v="2023-05-15T00:00:00"/>
    <x v="4"/>
    <s v="Mexico"/>
    <s v="Location 4"/>
    <n v="428.86"/>
  </r>
  <r>
    <n v="70"/>
    <n v="30020.2"/>
    <d v="2023-04-25T00:00:00"/>
    <x v="4"/>
    <s v="Mexico"/>
    <s v="Location 4"/>
    <n v="428.86"/>
  </r>
  <r>
    <n v="70"/>
    <n v="30020.2"/>
    <d v="2023-04-25T00:00:00"/>
    <x v="4"/>
    <s v="Mexico"/>
    <s v="Location 4"/>
    <n v="428.86"/>
  </r>
  <r>
    <n v="70"/>
    <n v="30020.2"/>
    <d v="2023-04-25T00:00:00"/>
    <x v="4"/>
    <s v="Mexico"/>
    <s v="Location 4"/>
    <n v="428.86"/>
  </r>
  <r>
    <n v="70"/>
    <n v="30020.2"/>
    <d v="2023-04-25T00:00:00"/>
    <x v="4"/>
    <s v="Mexico"/>
    <s v="Location 4"/>
    <n v="428.86"/>
  </r>
  <r>
    <n v="70"/>
    <n v="26859"/>
    <d v="2023-08-16T00:00:00"/>
    <x v="8"/>
    <s v="Mexico"/>
    <s v="Location 4"/>
    <n v="383.7"/>
  </r>
  <r>
    <n v="70"/>
    <n v="26859"/>
    <d v="2023-08-16T00:00:00"/>
    <x v="8"/>
    <s v="Mexico"/>
    <s v="Location 4"/>
    <n v="383.7"/>
  </r>
  <r>
    <n v="70"/>
    <n v="26859"/>
    <d v="2023-08-17T00:00:00"/>
    <x v="8"/>
    <s v="Mexico"/>
    <s v="Location 4"/>
    <n v="383.7"/>
  </r>
  <r>
    <n v="70"/>
    <n v="26859"/>
    <d v="2023-08-17T00:00:00"/>
    <x v="8"/>
    <s v="Mexico"/>
    <s v="Location 4"/>
    <n v="383.7"/>
  </r>
  <r>
    <n v="70"/>
    <n v="27421.1"/>
    <d v="2022-12-12T00:00:00"/>
    <x v="36"/>
    <s v="Mexico"/>
    <s v="Location 4"/>
    <n v="391.73"/>
  </r>
  <r>
    <n v="70"/>
    <n v="27421.1"/>
    <d v="2022-12-12T00:00:00"/>
    <x v="36"/>
    <s v="Mexico"/>
    <s v="Location 4"/>
    <n v="391.73"/>
  </r>
  <r>
    <n v="70"/>
    <n v="28462"/>
    <d v="2022-10-20T00:00:00"/>
    <x v="4"/>
    <s v="Mexico"/>
    <s v="Location 4"/>
    <n v="406.6"/>
  </r>
  <r>
    <n v="70"/>
    <n v="28462"/>
    <d v="2022-10-20T00:00:00"/>
    <x v="4"/>
    <s v="Mexico"/>
    <s v="Location 4"/>
    <n v="406.6"/>
  </r>
  <r>
    <n v="70"/>
    <n v="28462"/>
    <d v="2022-12-19T00:00:00"/>
    <x v="4"/>
    <s v="Mexico"/>
    <s v="Location 4"/>
    <n v="406.6"/>
  </r>
  <r>
    <n v="70"/>
    <n v="28462"/>
    <d v="2022-10-20T00:00:00"/>
    <x v="4"/>
    <s v="Mexico"/>
    <s v="Location 4"/>
    <n v="406.6"/>
  </r>
  <r>
    <n v="70"/>
    <n v="28462"/>
    <d v="2022-10-20T00:00:00"/>
    <x v="4"/>
    <s v="Mexico"/>
    <s v="Location 4"/>
    <n v="406.6"/>
  </r>
  <r>
    <n v="70"/>
    <n v="28462"/>
    <d v="2022-10-20T00:00:00"/>
    <x v="4"/>
    <s v="Mexico"/>
    <s v="Location 4"/>
    <n v="406.6"/>
  </r>
  <r>
    <n v="70"/>
    <n v="28462"/>
    <d v="2022-12-19T00:00:00"/>
    <x v="4"/>
    <s v="Mexico"/>
    <s v="Location 4"/>
    <n v="406.6"/>
  </r>
  <r>
    <n v="70"/>
    <n v="29066.1"/>
    <d v="2023-07-25T00:00:00"/>
    <x v="36"/>
    <s v="Mexico"/>
    <s v="Location 4"/>
    <n v="415.23"/>
  </r>
  <r>
    <n v="70"/>
    <n v="29066.1"/>
    <d v="2023-07-25T00:00:00"/>
    <x v="36"/>
    <s v="Mexico"/>
    <s v="Location 4"/>
    <n v="415.23"/>
  </r>
  <r>
    <n v="70"/>
    <n v="29066.1"/>
    <d v="2023-07-25T00:00:00"/>
    <x v="36"/>
    <s v="Mexico"/>
    <s v="Location 4"/>
    <n v="415.23"/>
  </r>
  <r>
    <n v="70"/>
    <n v="26859"/>
    <d v="2023-07-25T00:00:00"/>
    <x v="8"/>
    <s v="Mexico"/>
    <s v="Location 4"/>
    <n v="383.7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864.800000000003"/>
    <d v="2022-04-27T00:00:00"/>
    <x v="5"/>
    <s v="Mexico"/>
    <s v="Location 4"/>
    <n v="440.54"/>
  </r>
  <r>
    <n v="120"/>
    <n v="52674"/>
    <d v="2023-03-15T00:00:00"/>
    <x v="5"/>
    <s v="Mexico"/>
    <s v="Location 4"/>
    <n v="438.95"/>
  </r>
  <r>
    <n v="120"/>
    <n v="55755.6"/>
    <d v="2023-05-03T00:00:00"/>
    <x v="5"/>
    <s v="Mexico"/>
    <s v="Location 4"/>
    <n v="464.63"/>
  </r>
  <r>
    <n v="120"/>
    <n v="55755.6"/>
    <d v="2023-01-26T00:00:00"/>
    <x v="5"/>
    <s v="Mexico"/>
    <s v="Location 4"/>
    <n v="464.63"/>
  </r>
  <r>
    <n v="120"/>
    <n v="55755.6"/>
    <d v="2023-01-26T00:00:00"/>
    <x v="5"/>
    <s v="Mexico"/>
    <s v="Location 4"/>
    <n v="464.63"/>
  </r>
  <r>
    <n v="120"/>
    <n v="52864.800000000003"/>
    <d v="2022-04-13T00:00:00"/>
    <x v="5"/>
    <s v="Mexico"/>
    <s v="Location 4"/>
    <n v="440.54"/>
  </r>
  <r>
    <n v="120"/>
    <n v="52864.800000000003"/>
    <d v="2022-04-13T00:00:00"/>
    <x v="5"/>
    <s v="Mexico"/>
    <s v="Location 4"/>
    <n v="440.54"/>
  </r>
  <r>
    <n v="120"/>
    <n v="52864.800000000003"/>
    <d v="2022-04-13T00:00:00"/>
    <x v="5"/>
    <s v="Mexico"/>
    <s v="Location 4"/>
    <n v="440.54"/>
  </r>
  <r>
    <n v="120"/>
    <n v="52864.800000000003"/>
    <d v="2022-04-13T00:00:00"/>
    <x v="5"/>
    <s v="Mexico"/>
    <s v="Location 4"/>
    <n v="440.54"/>
  </r>
  <r>
    <n v="120"/>
    <n v="52864.800000000003"/>
    <d v="2022-05-09T00:00:00"/>
    <x v="5"/>
    <s v="Mexico"/>
    <s v="Location 4"/>
    <n v="440.54"/>
  </r>
  <r>
    <n v="120"/>
    <n v="52864.800000000003"/>
    <d v="2022-05-09T00:00:00"/>
    <x v="5"/>
    <s v="Mexico"/>
    <s v="Location 4"/>
    <n v="440.54"/>
  </r>
  <r>
    <n v="120"/>
    <n v="52864.800000000003"/>
    <d v="2022-05-09T00:00:00"/>
    <x v="5"/>
    <s v="Mexico"/>
    <s v="Location 4"/>
    <n v="440.54"/>
  </r>
  <r>
    <n v="120"/>
    <n v="55755.6"/>
    <d v="2023-01-30T00:00:00"/>
    <x v="5"/>
    <s v="Mexico"/>
    <s v="Location 4"/>
    <n v="464.63"/>
  </r>
  <r>
    <n v="120"/>
    <n v="55755.6"/>
    <d v="2023-01-30T00:00:00"/>
    <x v="5"/>
    <s v="Mexico"/>
    <s v="Location 4"/>
    <n v="464.63"/>
  </r>
  <r>
    <n v="120"/>
    <n v="54085.2"/>
    <d v="2023-05-15T00:00:00"/>
    <x v="1"/>
    <s v="Mexico"/>
    <s v="Location 4"/>
    <n v="450.71"/>
  </r>
  <r>
    <n v="120"/>
    <n v="52674"/>
    <d v="2023-05-15T00:00:00"/>
    <x v="5"/>
    <s v="Mexico"/>
    <s v="Location 4"/>
    <n v="438.95"/>
  </r>
  <r>
    <n v="120"/>
    <n v="52674"/>
    <d v="2023-05-15T00:00:00"/>
    <x v="5"/>
    <s v="Mexico"/>
    <s v="Location 4"/>
    <n v="438.95"/>
  </r>
  <r>
    <n v="120"/>
    <n v="52674"/>
    <d v="2023-05-15T00:00:00"/>
    <x v="5"/>
    <s v="Mexico"/>
    <s v="Location 4"/>
    <n v="438.95"/>
  </r>
  <r>
    <n v="120"/>
    <n v="52674"/>
    <d v="2023-05-15T00:00:00"/>
    <x v="5"/>
    <s v="Mexico"/>
    <s v="Location 4"/>
    <n v="438.95"/>
  </r>
  <r>
    <n v="120"/>
    <n v="52674"/>
    <d v="2023-05-15T00:00:00"/>
    <x v="5"/>
    <s v="Mexico"/>
    <s v="Location 4"/>
    <n v="438.95"/>
  </r>
  <r>
    <n v="120"/>
    <n v="52864.800000000003"/>
    <d v="2023-02-21T00:00:00"/>
    <x v="5"/>
    <s v="Mexico"/>
    <s v="Location 4"/>
    <n v="440.54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2674"/>
    <d v="2023-04-25T00:00:00"/>
    <x v="5"/>
    <s v="Mexico"/>
    <s v="Location 4"/>
    <n v="438.95"/>
  </r>
  <r>
    <n v="120"/>
    <n v="51024"/>
    <d v="2023-01-03T00:00:00"/>
    <x v="1"/>
    <s v="Mexico"/>
    <s v="Location 4"/>
    <n v="425.2"/>
  </r>
  <r>
    <n v="120"/>
    <n v="54085.2"/>
    <d v="2023-07-28T00:00:00"/>
    <x v="1"/>
    <s v="Mexico"/>
    <s v="Location 4"/>
    <n v="450.71"/>
  </r>
  <r>
    <n v="120"/>
    <n v="52864.800000000003"/>
    <d v="2022-07-11T00:00:00"/>
    <x v="5"/>
    <s v="Mexico"/>
    <s v="Location 4"/>
    <n v="440.54"/>
  </r>
  <r>
    <n v="120"/>
    <n v="54085.2"/>
    <d v="2023-07-14T00:00:00"/>
    <x v="1"/>
    <s v="Mexico"/>
    <s v="Location 4"/>
    <n v="450.71"/>
  </r>
  <r>
    <n v="120"/>
    <n v="52674"/>
    <d v="2023-07-25T00:00:00"/>
    <x v="5"/>
    <s v="Mexico"/>
    <s v="Location 4"/>
    <n v="438.95"/>
  </r>
  <r>
    <n v="120"/>
    <n v="52674"/>
    <d v="2023-07-25T00:00:00"/>
    <x v="5"/>
    <s v="Mexico"/>
    <s v="Location 4"/>
    <n v="438.95"/>
  </r>
  <r>
    <n v="120"/>
    <n v="52674"/>
    <d v="2023-07-25T00:00:00"/>
    <x v="5"/>
    <s v="Mexico"/>
    <s v="Location 4"/>
    <n v="438.95"/>
  </r>
  <r>
    <n v="120"/>
    <n v="52674"/>
    <d v="2023-07-25T00:00:00"/>
    <x v="5"/>
    <s v="Mexico"/>
    <s v="Location 4"/>
    <n v="438.95"/>
  </r>
  <r>
    <n v="120"/>
    <n v="52674"/>
    <d v="2023-07-25T00:00:00"/>
    <x v="5"/>
    <s v="Mexico"/>
    <s v="Location 4"/>
    <n v="438.95"/>
  </r>
  <r>
    <n v="120"/>
    <n v="52864.800000000003"/>
    <d v="2022-09-02T00:00:00"/>
    <x v="5"/>
    <s v="Mexico"/>
    <s v="Location 4"/>
    <n v="440.54"/>
  </r>
  <r>
    <n v="120"/>
    <n v="52864.800000000003"/>
    <d v="2022-09-02T00:00:00"/>
    <x v="5"/>
    <s v="Mexico"/>
    <s v="Location 4"/>
    <n v="440.54"/>
  </r>
  <r>
    <n v="120"/>
    <n v="52864.800000000003"/>
    <d v="2022-09-02T00:00:00"/>
    <x v="5"/>
    <s v="Mexico"/>
    <s v="Location 4"/>
    <n v="440.54"/>
  </r>
  <r>
    <n v="120"/>
    <n v="52864.800000000003"/>
    <d v="2022-09-02T00:00:00"/>
    <x v="5"/>
    <s v="Mexico"/>
    <s v="Location 4"/>
    <n v="440.54"/>
  </r>
  <r>
    <n v="120"/>
    <n v="52864.800000000003"/>
    <d v="2022-09-02T00:00:00"/>
    <x v="5"/>
    <s v="Mexico"/>
    <s v="Location 4"/>
    <n v="440.54"/>
  </r>
  <r>
    <n v="120"/>
    <n v="52864.800000000003"/>
    <d v="2022-09-02T00:00:00"/>
    <x v="5"/>
    <s v="Mexico"/>
    <s v="Location 4"/>
    <n v="440.54"/>
  </r>
  <r>
    <n v="432"/>
    <n v="42577.919999999998"/>
    <d v="2023-05-26T00:00:00"/>
    <x v="18"/>
    <s v="Mexico"/>
    <s v="Location 4"/>
    <n v="98.56"/>
  </r>
  <r>
    <n v="216"/>
    <n v="21288.959999999999"/>
    <d v="2023-05-26T00:00:00"/>
    <x v="18"/>
    <s v="Mexico"/>
    <s v="Location 4"/>
    <n v="98.56"/>
  </r>
  <r>
    <n v="144"/>
    <n v="29975.040000000001"/>
    <d v="2023-05-26T00:00:00"/>
    <x v="6"/>
    <s v="Mexico"/>
    <s v="Location 4"/>
    <n v="208.16"/>
  </r>
  <r>
    <n v="15"/>
    <n v="12860.55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15"/>
    <n v="12860.55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60"/>
    <n v="51442.2"/>
    <d v="2023-05-26T00:00:00"/>
    <x v="0"/>
    <s v="Mexico"/>
    <s v="Location 4"/>
    <n v="857.37"/>
  </r>
  <r>
    <n v="30"/>
    <n v="13216.2"/>
    <d v="2022-04-27T00:00:00"/>
    <x v="5"/>
    <s v="Mexico"/>
    <s v="Location 4"/>
    <n v="440.54"/>
  </r>
  <r>
    <n v="90"/>
    <n v="39648.6"/>
    <d v="2022-04-27T00:00:00"/>
    <x v="5"/>
    <s v="Mexico"/>
    <s v="Location 4"/>
    <n v="440.54"/>
  </r>
  <r>
    <n v="30"/>
    <n v="13216.2"/>
    <d v="2022-04-27T00:00:00"/>
    <x v="5"/>
    <s v="Mexico"/>
    <s v="Location 4"/>
    <n v="440.54"/>
  </r>
  <r>
    <n v="90"/>
    <n v="39648.6"/>
    <d v="2022-04-27T00:00:00"/>
    <x v="5"/>
    <s v="Mexico"/>
    <s v="Location 4"/>
    <n v="440.54"/>
  </r>
  <r>
    <n v="324"/>
    <n v="34962.839999999997"/>
    <d v="2023-05-31T00:00:00"/>
    <x v="9"/>
    <s v="Mexico"/>
    <s v="Location 4"/>
    <n v="107.91"/>
  </r>
  <r>
    <n v="432"/>
    <n v="46617.120000000003"/>
    <d v="2023-05-31T00:00:00"/>
    <x v="9"/>
    <s v="Mexico"/>
    <s v="Location 4"/>
    <n v="107.91"/>
  </r>
  <r>
    <n v="216"/>
    <n v="23308.560000000001"/>
    <d v="2023-05-31T00:00:00"/>
    <x v="9"/>
    <s v="Mexico"/>
    <s v="Location 4"/>
    <n v="107.91"/>
  </r>
  <r>
    <n v="432"/>
    <n v="46617.120000000003"/>
    <d v="2023-05-31T00:00:00"/>
    <x v="9"/>
    <s v="Mexico"/>
    <s v="Location 4"/>
    <n v="107.91"/>
  </r>
  <r>
    <n v="140"/>
    <n v="53718"/>
    <d v="2023-05-31T00:00:00"/>
    <x v="8"/>
    <s v="Mexico"/>
    <s v="Location 4"/>
    <n v="383.7"/>
  </r>
  <r>
    <n v="140"/>
    <n v="53718"/>
    <d v="2023-05-31T00:00:00"/>
    <x v="8"/>
    <s v="Mexico"/>
    <s v="Location 4"/>
    <n v="383.7"/>
  </r>
  <r>
    <n v="140"/>
    <n v="53718"/>
    <d v="2023-05-31T00:00:00"/>
    <x v="8"/>
    <s v="Mexico"/>
    <s v="Location 4"/>
    <n v="383.7"/>
  </r>
  <r>
    <n v="30"/>
    <n v="25721.1"/>
    <d v="2023-05-31T00:00:00"/>
    <x v="0"/>
    <s v="Mexico"/>
    <s v="Location 4"/>
    <n v="857.37"/>
  </r>
  <r>
    <n v="60"/>
    <n v="51442.2"/>
    <d v="2023-05-31T00:00:00"/>
    <x v="0"/>
    <s v="Mexico"/>
    <s v="Location 4"/>
    <n v="857.37"/>
  </r>
  <r>
    <n v="60"/>
    <n v="51442.2"/>
    <d v="2023-05-31T00:00:00"/>
    <x v="0"/>
    <s v="Mexico"/>
    <s v="Location 4"/>
    <n v="857.37"/>
  </r>
  <r>
    <n v="60"/>
    <n v="51442.2"/>
    <d v="2023-05-31T00:00:00"/>
    <x v="0"/>
    <s v="Mexico"/>
    <s v="Location 4"/>
    <n v="857.37"/>
  </r>
  <r>
    <n v="60"/>
    <n v="51442.2"/>
    <d v="2023-05-31T00:00:00"/>
    <x v="0"/>
    <s v="Mexico"/>
    <s v="Location 4"/>
    <n v="857.37"/>
  </r>
  <r>
    <n v="60"/>
    <n v="51442.2"/>
    <d v="2023-05-31T00:00:00"/>
    <x v="0"/>
    <s v="Mexico"/>
    <s v="Location 4"/>
    <n v="857.37"/>
  </r>
  <r>
    <n v="30"/>
    <n v="13216.2"/>
    <d v="2023-01-06T00:00:00"/>
    <x v="5"/>
    <s v="Mexico"/>
    <s v="Location 4"/>
    <n v="440.54"/>
  </r>
  <r>
    <n v="30"/>
    <n v="13216.2"/>
    <d v="2022-06-01T00:00:00"/>
    <x v="5"/>
    <s v="Mexico"/>
    <s v="Location 4"/>
    <n v="440.54"/>
  </r>
  <r>
    <n v="1820"/>
    <n v="4313.3999999999996"/>
    <d v="2022-06-01T00:00:00"/>
    <x v="21"/>
    <s v="Mexico"/>
    <s v="Location 4"/>
    <n v="2.37"/>
  </r>
  <r>
    <n v="1820"/>
    <n v="4313.3999999999996"/>
    <d v="2022-06-01T00:00:00"/>
    <x v="21"/>
    <s v="Mexico"/>
    <s v="Location 4"/>
    <n v="2.37"/>
  </r>
  <r>
    <n v="1820"/>
    <n v="4313.3999999999996"/>
    <d v="2022-06-01T00:00:00"/>
    <x v="21"/>
    <s v="Mexico"/>
    <s v="Location 4"/>
    <n v="2.37"/>
  </r>
  <r>
    <n v="324"/>
    <n v="37004.04"/>
    <d v="2023-01-14T00:00:00"/>
    <x v="9"/>
    <s v="Mexico"/>
    <s v="Location 4"/>
    <n v="114.21"/>
  </r>
  <r>
    <n v="16"/>
    <n v="40360.800000000003"/>
    <d v="2023-01-14T00:00:00"/>
    <x v="34"/>
    <s v="Mexico"/>
    <s v="Location 4"/>
    <n v="2522.5500000000002"/>
  </r>
  <r>
    <n v="140"/>
    <n v="60040.4"/>
    <d v="2023-01-14T00:00:00"/>
    <x v="4"/>
    <s v="Mexico"/>
    <s v="Location 4"/>
    <n v="428.86"/>
  </r>
  <r>
    <n v="140"/>
    <n v="58132.2"/>
    <d v="2023-02-28T00:00:00"/>
    <x v="36"/>
    <s v="Mexico"/>
    <s v="Location 4"/>
    <n v="415.23"/>
  </r>
  <r>
    <n v="140"/>
    <n v="58132.2"/>
    <d v="2023-02-28T00:00:00"/>
    <x v="36"/>
    <s v="Mexico"/>
    <s v="Location 4"/>
    <n v="415.23"/>
  </r>
  <r>
    <n v="432"/>
    <n v="46617.120000000003"/>
    <d v="2023-06-05T00:00:00"/>
    <x v="9"/>
    <s v="Mexico"/>
    <s v="Location 4"/>
    <n v="107.91"/>
  </r>
  <r>
    <n v="60"/>
    <n v="26337"/>
    <d v="2023-06-05T00:00:00"/>
    <x v="5"/>
    <s v="Mexico"/>
    <s v="Location 4"/>
    <n v="438.95"/>
  </r>
  <r>
    <n v="1500"/>
    <n v="1830"/>
    <d v="2023-06-05T00:00:00"/>
    <x v="32"/>
    <s v="Mexico"/>
    <s v="Location 4"/>
    <n v="1.22"/>
  </r>
  <r>
    <n v="1500"/>
    <n v="1830"/>
    <d v="2023-06-05T00:00:00"/>
    <x v="32"/>
    <s v="Mexico"/>
    <s v="Location 4"/>
    <n v="1.22"/>
  </r>
  <r>
    <n v="420"/>
    <n v="318922.8"/>
    <d v="2023-06-05T00:00:00"/>
    <x v="14"/>
    <s v="Mexico"/>
    <s v="Location 4"/>
    <n v="759.34"/>
  </r>
  <r>
    <n v="30"/>
    <n v="13168.5"/>
    <d v="2023-03-15T00:00:00"/>
    <x v="5"/>
    <s v="Mexico"/>
    <s v="Location 4"/>
    <n v="438.95"/>
  </r>
  <r>
    <n v="90"/>
    <n v="39505.5"/>
    <d v="2023-03-15T00:00:00"/>
    <x v="5"/>
    <s v="Mexico"/>
    <s v="Location 4"/>
    <n v="438.95"/>
  </r>
  <r>
    <n v="140"/>
    <n v="53718"/>
    <d v="2023-03-15T00:00:00"/>
    <x v="8"/>
    <s v="Mexico"/>
    <s v="Location 4"/>
    <n v="383.7"/>
  </r>
  <r>
    <n v="216"/>
    <n v="24669.360000000001"/>
    <d v="2023-01-24T00:00:00"/>
    <x v="9"/>
    <s v="Mexico"/>
    <s v="Location 4"/>
    <n v="114.21"/>
  </r>
  <r>
    <n v="324"/>
    <n v="34962.839999999997"/>
    <d v="2023-05-03T00:00:00"/>
    <x v="9"/>
    <s v="Mexico"/>
    <s v="Location 4"/>
    <n v="107.91"/>
  </r>
  <r>
    <n v="432"/>
    <n v="46617.120000000003"/>
    <d v="2023-05-03T00:00:00"/>
    <x v="9"/>
    <s v="Mexico"/>
    <s v="Location 4"/>
    <n v="107.91"/>
  </r>
  <r>
    <n v="252"/>
    <n v="21606.48"/>
    <d v="2023-05-03T00:00:00"/>
    <x v="23"/>
    <s v="Mexico"/>
    <s v="Location 4"/>
    <n v="85.74"/>
  </r>
  <r>
    <n v="252"/>
    <n v="21606.48"/>
    <d v="2023-05-03T00:00:00"/>
    <x v="23"/>
    <s v="Mexico"/>
    <s v="Location 4"/>
    <n v="85.74"/>
  </r>
  <r>
    <n v="588"/>
    <n v="62210.400000000001"/>
    <d v="2023-05-03T00:00:00"/>
    <x v="16"/>
    <s v="Mexico"/>
    <s v="Location 4"/>
    <n v="105.8"/>
  </r>
  <r>
    <n v="588"/>
    <n v="62210.400000000001"/>
    <d v="2023-05-03T00:00:00"/>
    <x v="16"/>
    <s v="Mexico"/>
    <s v="Location 4"/>
    <n v="105.8"/>
  </r>
  <r>
    <n v="140"/>
    <n v="58132.2"/>
    <d v="2023-05-03T00:00:00"/>
    <x v="36"/>
    <s v="Mexico"/>
    <s v="Location 4"/>
    <n v="415.23"/>
  </r>
  <r>
    <n v="140"/>
    <n v="58132.2"/>
    <d v="2023-05-03T00:00:00"/>
    <x v="36"/>
    <s v="Mexico"/>
    <s v="Location 4"/>
    <n v="415.23"/>
  </r>
  <r>
    <n v="140"/>
    <n v="58132.2"/>
    <d v="2023-05-03T00:00:00"/>
    <x v="36"/>
    <s v="Mexico"/>
    <s v="Location 4"/>
    <n v="415.23"/>
  </r>
  <r>
    <n v="140"/>
    <n v="58132.2"/>
    <d v="2023-05-03T00:00:00"/>
    <x v="36"/>
    <s v="Mexico"/>
    <s v="Location 4"/>
    <n v="415.23"/>
  </r>
  <r>
    <n v="140"/>
    <n v="58132.2"/>
    <d v="2023-05-03T00:00:00"/>
    <x v="36"/>
    <s v="Mexico"/>
    <s v="Location 4"/>
    <n v="415.23"/>
  </r>
  <r>
    <n v="140"/>
    <n v="58132.2"/>
    <d v="2023-01-24T00:00:00"/>
    <x v="36"/>
    <s v="Mexico"/>
    <s v="Location 4"/>
    <n v="415.23"/>
  </r>
  <r>
    <n v="90"/>
    <n v="41816.699999999997"/>
    <d v="2023-01-26T00:00:00"/>
    <x v="5"/>
    <s v="Mexico"/>
    <s v="Location 4"/>
    <n v="464.63"/>
  </r>
  <r>
    <n v="140"/>
    <n v="58132.2"/>
    <d v="2023-01-26T00:00:00"/>
    <x v="36"/>
    <s v="Mexico"/>
    <s v="Location 4"/>
    <n v="415.23"/>
  </r>
  <r>
    <n v="140"/>
    <n v="58132.2"/>
    <d v="2023-01-26T00:00:00"/>
    <x v="36"/>
    <s v="Mexico"/>
    <s v="Location 4"/>
    <n v="415.23"/>
  </r>
  <r>
    <n v="140"/>
    <n v="58132.2"/>
    <d v="2023-05-03T00:00:00"/>
    <x v="36"/>
    <s v="Mexico"/>
    <s v="Location 4"/>
    <n v="415.23"/>
  </r>
  <r>
    <n v="140"/>
    <n v="58132.2"/>
    <d v="2023-05-03T00:00:00"/>
    <x v="36"/>
    <s v="Mexico"/>
    <s v="Location 4"/>
    <n v="415.23"/>
  </r>
  <r>
    <n v="1500"/>
    <n v="1830"/>
    <d v="2023-05-03T00:00:00"/>
    <x v="32"/>
    <s v="Mexico"/>
    <s v="Location 4"/>
    <n v="1.22"/>
  </r>
  <r>
    <n v="156"/>
    <n v="15375.36"/>
    <d v="2023-05-03T00:00:00"/>
    <x v="18"/>
    <s v="Mexico"/>
    <s v="Location 4"/>
    <n v="98.56"/>
  </r>
  <r>
    <n v="144"/>
    <n v="14192.64"/>
    <d v="2023-05-03T00:00:00"/>
    <x v="18"/>
    <s v="Mexico"/>
    <s v="Location 4"/>
    <n v="98.56"/>
  </r>
  <r>
    <n v="156"/>
    <n v="15375.36"/>
    <d v="2023-05-03T00:00:00"/>
    <x v="18"/>
    <s v="Mexico"/>
    <s v="Location 4"/>
    <n v="98.56"/>
  </r>
  <r>
    <n v="156"/>
    <n v="15375.36"/>
    <d v="2023-05-03T00:00:00"/>
    <x v="18"/>
    <s v="Mexico"/>
    <s v="Location 4"/>
    <n v="98.56"/>
  </r>
  <r>
    <n v="156"/>
    <n v="15375.36"/>
    <d v="2023-05-03T00:00:00"/>
    <x v="18"/>
    <s v="Mexico"/>
    <s v="Location 4"/>
    <n v="98.56"/>
  </r>
  <r>
    <n v="216"/>
    <n v="21288.959999999999"/>
    <d v="2023-05-03T00:00:00"/>
    <x v="18"/>
    <s v="Mexico"/>
    <s v="Location 4"/>
    <n v="98.56"/>
  </r>
  <r>
    <n v="216"/>
    <n v="21288.959999999999"/>
    <d v="2023-05-03T00:00:00"/>
    <x v="18"/>
    <s v="Mexico"/>
    <s v="Location 4"/>
    <n v="98.56"/>
  </r>
  <r>
    <n v="156"/>
    <n v="15375.36"/>
    <d v="2023-05-03T00:00:00"/>
    <x v="18"/>
    <s v="Mexico"/>
    <s v="Location 4"/>
    <n v="98.56"/>
  </r>
  <r>
    <n v="1820"/>
    <n v="4313.3999999999996"/>
    <d v="2022-06-09T00:00:00"/>
    <x v="21"/>
    <s v="Mexico"/>
    <s v="Location 4"/>
    <n v="2.37"/>
  </r>
  <r>
    <n v="1820"/>
    <n v="4313.3999999999996"/>
    <d v="2022-06-09T00:00:00"/>
    <x v="21"/>
    <s v="Mexico"/>
    <s v="Location 4"/>
    <n v="2.37"/>
  </r>
  <r>
    <n v="60"/>
    <n v="26432.400000000001"/>
    <d v="2022-04-13T00:00:00"/>
    <x v="5"/>
    <s v="Mexico"/>
    <s v="Location 4"/>
    <n v="440.54"/>
  </r>
  <r>
    <n v="90"/>
    <n v="39648.6"/>
    <d v="2022-04-13T00:00:00"/>
    <x v="5"/>
    <s v="Mexico"/>
    <s v="Location 4"/>
    <n v="440.54"/>
  </r>
  <r>
    <n v="60"/>
    <n v="26432.400000000001"/>
    <d v="2022-04-13T00:00:00"/>
    <x v="5"/>
    <s v="Mexico"/>
    <s v="Location 4"/>
    <n v="440.54"/>
  </r>
  <r>
    <n v="30"/>
    <n v="13216.2"/>
    <d v="2022-04-13T00:00:00"/>
    <x v="5"/>
    <s v="Mexico"/>
    <s v="Location 4"/>
    <n v="440.54"/>
  </r>
  <r>
    <n v="30"/>
    <n v="13216.2"/>
    <d v="2022-04-13T00:00:00"/>
    <x v="5"/>
    <s v="Mexico"/>
    <s v="Location 4"/>
    <n v="440.54"/>
  </r>
  <r>
    <n v="60"/>
    <n v="26432.400000000001"/>
    <d v="2022-04-13T00:00:00"/>
    <x v="5"/>
    <s v="Mexico"/>
    <s v="Location 4"/>
    <n v="440.54"/>
  </r>
  <r>
    <n v="30"/>
    <n v="13216.2"/>
    <d v="2022-04-13T00:00:00"/>
    <x v="5"/>
    <s v="Mexico"/>
    <s v="Location 4"/>
    <n v="440.54"/>
  </r>
  <r>
    <n v="588"/>
    <n v="58982.28"/>
    <d v="2022-04-13T00:00:00"/>
    <x v="16"/>
    <s v="Mexico"/>
    <s v="Location 4"/>
    <n v="100.31"/>
  </r>
  <r>
    <n v="32"/>
    <n v="18030.72"/>
    <d v="2022-05-09T00:00:00"/>
    <x v="38"/>
    <s v="Mexico"/>
    <s v="Location 4"/>
    <n v="563.46"/>
  </r>
  <r>
    <n v="140"/>
    <n v="60040.4"/>
    <d v="2023-06-09T00:00:00"/>
    <x v="4"/>
    <s v="Mexico"/>
    <s v="Location 4"/>
    <n v="428.86"/>
  </r>
  <r>
    <n v="108"/>
    <n v="11654.28"/>
    <d v="2023-06-20T00:00:00"/>
    <x v="9"/>
    <s v="Mexico"/>
    <s v="Location 4"/>
    <n v="107.91"/>
  </r>
  <r>
    <n v="432"/>
    <n v="46617.120000000003"/>
    <d v="2023-06-20T00:00:00"/>
    <x v="9"/>
    <s v="Mexico"/>
    <s v="Location 4"/>
    <n v="107.91"/>
  </r>
  <r>
    <n v="240"/>
    <n v="108170.4"/>
    <d v="2023-06-20T00:00:00"/>
    <x v="1"/>
    <s v="Mexico"/>
    <s v="Location 4"/>
    <n v="450.71"/>
  </r>
  <r>
    <n v="240"/>
    <n v="108170.4"/>
    <d v="2023-06-20T00:00:00"/>
    <x v="1"/>
    <s v="Mexico"/>
    <s v="Location 4"/>
    <n v="450.71"/>
  </r>
  <r>
    <n v="3000"/>
    <n v="3660"/>
    <d v="2023-06-20T00:00:00"/>
    <x v="32"/>
    <s v="Mexico"/>
    <s v="Location 4"/>
    <n v="1.22"/>
  </r>
  <r>
    <n v="15"/>
    <n v="12860.55"/>
    <d v="2023-06-20T00:00:00"/>
    <x v="0"/>
    <s v="Mexico"/>
    <s v="Location 4"/>
    <n v="857.37"/>
  </r>
  <r>
    <n v="60"/>
    <n v="51442.2"/>
    <d v="2023-06-20T00:00:00"/>
    <x v="0"/>
    <s v="Mexico"/>
    <s v="Location 4"/>
    <n v="857.37"/>
  </r>
  <r>
    <n v="60"/>
    <n v="51442.2"/>
    <d v="2023-06-20T00:00:00"/>
    <x v="0"/>
    <s v="Mexico"/>
    <s v="Location 4"/>
    <n v="857.37"/>
  </r>
  <r>
    <n v="60"/>
    <n v="51442.2"/>
    <d v="2023-06-20T00:00:00"/>
    <x v="0"/>
    <s v="Mexico"/>
    <s v="Location 4"/>
    <n v="857.37"/>
  </r>
  <r>
    <n v="420"/>
    <n v="6610.8"/>
    <d v="2023-04-14T00:00:00"/>
    <x v="15"/>
    <s v="Mexico"/>
    <s v="Location 4"/>
    <n v="15.74"/>
  </r>
  <r>
    <n v="32"/>
    <n v="27878.080000000002"/>
    <d v="2023-04-14T00:00:00"/>
    <x v="17"/>
    <s v="Mexico"/>
    <s v="Location 4"/>
    <n v="871.19"/>
  </r>
  <r>
    <n v="108"/>
    <n v="10644.48"/>
    <d v="2023-04-14T00:00:00"/>
    <x v="18"/>
    <s v="Mexico"/>
    <s v="Location 4"/>
    <n v="98.56"/>
  </r>
  <r>
    <n v="108"/>
    <n v="10644.48"/>
    <d v="2023-04-14T00:00:00"/>
    <x v="18"/>
    <s v="Mexico"/>
    <s v="Location 4"/>
    <n v="98.56"/>
  </r>
  <r>
    <n v="108"/>
    <n v="10644.48"/>
    <d v="2023-04-14T00:00:00"/>
    <x v="18"/>
    <s v="Mexico"/>
    <s v="Location 4"/>
    <n v="98.56"/>
  </r>
  <r>
    <n v="74"/>
    <n v="7293.44"/>
    <d v="2023-04-14T00:00:00"/>
    <x v="18"/>
    <s v="Mexico"/>
    <s v="Location 4"/>
    <n v="98.56"/>
  </r>
  <r>
    <n v="83"/>
    <n v="8180.48"/>
    <d v="2023-04-14T00:00:00"/>
    <x v="18"/>
    <s v="Mexico"/>
    <s v="Location 4"/>
    <n v="98.56"/>
  </r>
  <r>
    <n v="108"/>
    <n v="10644.48"/>
    <d v="2023-04-14T00:00:00"/>
    <x v="18"/>
    <s v="Mexico"/>
    <s v="Location 4"/>
    <n v="98.56"/>
  </r>
  <r>
    <n v="60"/>
    <n v="5913.6"/>
    <d v="2023-04-14T00:00:00"/>
    <x v="18"/>
    <s v="Mexico"/>
    <s v="Location 4"/>
    <n v="98.56"/>
  </r>
  <r>
    <n v="156"/>
    <n v="15375.36"/>
    <d v="2023-04-14T00:00:00"/>
    <x v="18"/>
    <s v="Mexico"/>
    <s v="Location 4"/>
    <n v="98.56"/>
  </r>
  <r>
    <n v="34"/>
    <n v="3351.04"/>
    <d v="2023-04-14T00:00:00"/>
    <x v="18"/>
    <s v="Mexico"/>
    <s v="Location 4"/>
    <n v="98.56"/>
  </r>
  <r>
    <n v="60"/>
    <n v="51442.2"/>
    <d v="2023-06-20T00:00:00"/>
    <x v="0"/>
    <s v="Mexico"/>
    <s v="Location 4"/>
    <n v="857.37"/>
  </r>
  <r>
    <n v="25"/>
    <n v="63063.75"/>
    <d v="2023-02-02T00:00:00"/>
    <x v="34"/>
    <s v="Mexico"/>
    <s v="Location 4"/>
    <n v="2522.5500000000002"/>
  </r>
  <r>
    <n v="2"/>
    <n v="5045.1000000000004"/>
    <d v="2023-02-02T00:00:00"/>
    <x v="34"/>
    <s v="Mexico"/>
    <s v="Location 4"/>
    <n v="2522.5500000000002"/>
  </r>
  <r>
    <n v="3000"/>
    <n v="3930"/>
    <d v="2023-02-02T00:00:00"/>
    <x v="22"/>
    <s v="Mexico"/>
    <s v="Location 4"/>
    <n v="1.31"/>
  </r>
  <r>
    <n v="432"/>
    <n v="46617.120000000003"/>
    <d v="2023-04-21T00:00:00"/>
    <x v="9"/>
    <s v="Mexico"/>
    <s v="Location 4"/>
    <n v="107.91"/>
  </r>
  <r>
    <n v="216"/>
    <n v="23308.560000000001"/>
    <d v="2023-04-21T00:00:00"/>
    <x v="9"/>
    <s v="Mexico"/>
    <s v="Location 4"/>
    <n v="107.91"/>
  </r>
  <r>
    <n v="108"/>
    <n v="11654.28"/>
    <d v="2023-04-21T00:00:00"/>
    <x v="9"/>
    <s v="Mexico"/>
    <s v="Location 4"/>
    <n v="107.91"/>
  </r>
  <r>
    <n v="432"/>
    <n v="46617.120000000003"/>
    <d v="2023-04-21T00:00:00"/>
    <x v="9"/>
    <s v="Mexico"/>
    <s v="Location 4"/>
    <n v="107.91"/>
  </r>
  <r>
    <n v="324"/>
    <n v="34962.839999999997"/>
    <d v="2023-04-21T00:00:00"/>
    <x v="9"/>
    <s v="Mexico"/>
    <s v="Location 4"/>
    <n v="107.91"/>
  </r>
  <r>
    <n v="432"/>
    <n v="46617.120000000003"/>
    <d v="2023-04-21T00:00:00"/>
    <x v="9"/>
    <s v="Mexico"/>
    <s v="Location 4"/>
    <n v="107.91"/>
  </r>
  <r>
    <n v="432"/>
    <n v="46617.120000000003"/>
    <d v="2023-04-21T00:00:00"/>
    <x v="9"/>
    <s v="Mexico"/>
    <s v="Location 4"/>
    <n v="107.91"/>
  </r>
  <r>
    <n v="324"/>
    <n v="34962.839999999997"/>
    <d v="2023-04-21T00:00:00"/>
    <x v="9"/>
    <s v="Mexico"/>
    <s v="Location 4"/>
    <n v="107.91"/>
  </r>
  <r>
    <n v="432"/>
    <n v="46617.120000000003"/>
    <d v="2023-04-21T00:00:00"/>
    <x v="9"/>
    <s v="Mexico"/>
    <s v="Location 4"/>
    <n v="107.91"/>
  </r>
  <r>
    <n v="432"/>
    <n v="46617.120000000003"/>
    <d v="2023-04-21T00:00:00"/>
    <x v="9"/>
    <s v="Mexico"/>
    <s v="Location 4"/>
    <n v="107.91"/>
  </r>
  <r>
    <n v="140"/>
    <n v="60040.4"/>
    <d v="2023-02-13T00:00:00"/>
    <x v="4"/>
    <s v="Mexico"/>
    <s v="Location 4"/>
    <n v="428.86"/>
  </r>
  <r>
    <n v="1500"/>
    <n v="1830"/>
    <d v="2023-02-13T00:00:00"/>
    <x v="32"/>
    <s v="Mexico"/>
    <s v="Location 4"/>
    <n v="1.22"/>
  </r>
  <r>
    <n v="216"/>
    <n v="23308.560000000001"/>
    <d v="2023-04-21T00:00:00"/>
    <x v="9"/>
    <s v="Mexico"/>
    <s v="Location 4"/>
    <n v="107.91"/>
  </r>
  <r>
    <n v="324"/>
    <n v="34962.839999999997"/>
    <d v="2023-04-21T00:00:00"/>
    <x v="9"/>
    <s v="Mexico"/>
    <s v="Location 4"/>
    <n v="107.91"/>
  </r>
  <r>
    <n v="3000"/>
    <n v="3660"/>
    <d v="2023-04-21T00:00:00"/>
    <x v="32"/>
    <s v="Mexico"/>
    <s v="Location 4"/>
    <n v="1.22"/>
  </r>
  <r>
    <n v="96"/>
    <n v="19983.36"/>
    <d v="2023-04-21T00:00:00"/>
    <x v="6"/>
    <s v="Mexico"/>
    <s v="Location 4"/>
    <n v="208.16"/>
  </r>
  <r>
    <n v="768"/>
    <n v="116090.88"/>
    <d v="2023-04-21T00:00:00"/>
    <x v="2"/>
    <s v="Mexico"/>
    <s v="Location 4"/>
    <n v="151.16"/>
  </r>
  <r>
    <n v="432"/>
    <n v="46617.120000000003"/>
    <d v="2023-05-15T00:00:00"/>
    <x v="9"/>
    <s v="Mexico"/>
    <s v="Location 4"/>
    <n v="107.91"/>
  </r>
  <r>
    <n v="216"/>
    <n v="23308.560000000001"/>
    <d v="2023-05-15T00:00:00"/>
    <x v="9"/>
    <s v="Mexico"/>
    <s v="Location 4"/>
    <n v="107.91"/>
  </r>
  <r>
    <n v="324"/>
    <n v="34962.839999999997"/>
    <d v="2023-05-15T00:00:00"/>
    <x v="9"/>
    <s v="Mexico"/>
    <s v="Location 4"/>
    <n v="107.91"/>
  </r>
  <r>
    <n v="82"/>
    <n v="36958.22"/>
    <d v="2023-05-15T00:00:00"/>
    <x v="1"/>
    <s v="Mexico"/>
    <s v="Location 4"/>
    <n v="450.71"/>
  </r>
  <r>
    <n v="240"/>
    <n v="108170.4"/>
    <d v="2023-05-15T00:00:00"/>
    <x v="1"/>
    <s v="Mexico"/>
    <s v="Location 4"/>
    <n v="450.71"/>
  </r>
  <r>
    <n v="432"/>
    <n v="46617.120000000003"/>
    <d v="2023-02-21T00:00:00"/>
    <x v="9"/>
    <s v="Mexico"/>
    <s v="Location 4"/>
    <n v="107.91"/>
  </r>
  <r>
    <n v="108"/>
    <n v="11654.28"/>
    <d v="2023-02-21T00:00:00"/>
    <x v="9"/>
    <s v="Mexico"/>
    <s v="Location 4"/>
    <n v="107.91"/>
  </r>
  <r>
    <n v="108"/>
    <n v="11654.28"/>
    <d v="2023-02-21T00:00:00"/>
    <x v="9"/>
    <s v="Mexico"/>
    <s v="Location 4"/>
    <n v="107.91"/>
  </r>
  <r>
    <n v="252"/>
    <n v="21606.48"/>
    <d v="2023-04-25T00:00:00"/>
    <x v="23"/>
    <s v="Mexico"/>
    <s v="Location 4"/>
    <n v="85.74"/>
  </r>
  <r>
    <n v="252"/>
    <n v="21606.48"/>
    <d v="2023-04-25T00:00:00"/>
    <x v="23"/>
    <s v="Mexico"/>
    <s v="Location 4"/>
    <n v="85.74"/>
  </r>
  <r>
    <n v="90"/>
    <n v="39505.5"/>
    <d v="2023-05-15T00:00:00"/>
    <x v="5"/>
    <s v="Mexico"/>
    <s v="Location 4"/>
    <n v="438.95"/>
  </r>
  <r>
    <n v="1500"/>
    <n v="1830"/>
    <d v="2023-05-15T00:00:00"/>
    <x v="32"/>
    <s v="Mexico"/>
    <s v="Location 4"/>
    <n v="1.22"/>
  </r>
  <r>
    <n v="3000"/>
    <n v="3660"/>
    <d v="2023-05-15T00:00:00"/>
    <x v="32"/>
    <s v="Mexico"/>
    <s v="Location 4"/>
    <n v="1.22"/>
  </r>
  <r>
    <n v="160"/>
    <n v="139390.39999999999"/>
    <d v="2023-05-15T00:00:00"/>
    <x v="17"/>
    <s v="Mexico"/>
    <s v="Location 4"/>
    <n v="871.19"/>
  </r>
  <r>
    <n v="1500"/>
    <n v="1860"/>
    <d v="2023-02-21T00:00:00"/>
    <x v="22"/>
    <s v="Mexico"/>
    <s v="Location 4"/>
    <n v="1.24"/>
  </r>
  <r>
    <n v="252"/>
    <n v="20099.52"/>
    <d v="2023-02-24T00:00:00"/>
    <x v="23"/>
    <s v="Mexico"/>
    <s v="Location 4"/>
    <n v="79.760000000000005"/>
  </r>
  <r>
    <n v="1500"/>
    <n v="1965"/>
    <d v="2023-02-24T00:00:00"/>
    <x v="22"/>
    <s v="Mexico"/>
    <s v="Location 4"/>
    <n v="1.31"/>
  </r>
  <r>
    <n v="30"/>
    <n v="13168.5"/>
    <d v="2023-04-25T00:00:00"/>
    <x v="5"/>
    <s v="Mexico"/>
    <s v="Location 4"/>
    <n v="438.95"/>
  </r>
  <r>
    <n v="588"/>
    <n v="79585.8"/>
    <d v="2023-04-25T00:00:00"/>
    <x v="26"/>
    <s v="Mexico"/>
    <s v="Location 4"/>
    <n v="135.35"/>
  </r>
  <r>
    <n v="140"/>
    <n v="60040.4"/>
    <d v="2023-04-25T00:00:00"/>
    <x v="4"/>
    <s v="Mexico"/>
    <s v="Location 4"/>
    <n v="428.86"/>
  </r>
  <r>
    <n v="140"/>
    <n v="60040.4"/>
    <d v="2023-04-25T00:00:00"/>
    <x v="4"/>
    <s v="Mexico"/>
    <s v="Location 4"/>
    <n v="428.86"/>
  </r>
  <r>
    <n v="140"/>
    <n v="60040.4"/>
    <d v="2023-04-25T00:00:00"/>
    <x v="4"/>
    <s v="Mexico"/>
    <s v="Location 4"/>
    <n v="428.86"/>
  </r>
  <r>
    <n v="156"/>
    <n v="15375.36"/>
    <d v="2023-04-25T00:00:00"/>
    <x v="18"/>
    <s v="Mexico"/>
    <s v="Location 4"/>
    <n v="98.56"/>
  </r>
  <r>
    <n v="60"/>
    <n v="51442.2"/>
    <d v="2023-05-15T00:00:00"/>
    <x v="0"/>
    <s v="Mexico"/>
    <s v="Location 4"/>
    <n v="857.37"/>
  </r>
  <r>
    <n v="60"/>
    <n v="51442.2"/>
    <d v="2023-05-15T00:00:00"/>
    <x v="0"/>
    <s v="Mexico"/>
    <s v="Location 4"/>
    <n v="857.37"/>
  </r>
  <r>
    <n v="45"/>
    <n v="38581.65"/>
    <d v="2023-05-15T00:00:00"/>
    <x v="0"/>
    <s v="Mexico"/>
    <s v="Location 4"/>
    <n v="857.37"/>
  </r>
  <r>
    <n v="30"/>
    <n v="13216.2"/>
    <d v="2022-05-18T00:00:00"/>
    <x v="5"/>
    <s v="Mexico"/>
    <s v="Location 4"/>
    <n v="440.54"/>
  </r>
  <r>
    <n v="2000"/>
    <n v="3880"/>
    <d v="2023-01-03T00:00:00"/>
    <x v="20"/>
    <s v="Mexico"/>
    <s v="Location 4"/>
    <n v="1.94"/>
  </r>
  <r>
    <n v="3024"/>
    <n v="126493.92"/>
    <d v="2023-01-03T00:00:00"/>
    <x v="24"/>
    <s v="Mexico"/>
    <s v="Location 4"/>
    <n v="41.83"/>
  </r>
  <r>
    <n v="30"/>
    <n v="13216.2"/>
    <d v="2023-01-03T00:00:00"/>
    <x v="5"/>
    <s v="Mexico"/>
    <s v="Location 4"/>
    <n v="440.54"/>
  </r>
  <r>
    <n v="4500"/>
    <n v="2915.55"/>
    <d v="2023-01-03T00:00:00"/>
    <x v="13"/>
    <s v="Mexico"/>
    <s v="Location 4"/>
    <n v="0.64790000000000003"/>
  </r>
  <r>
    <n v="216"/>
    <n v="21288.959999999999"/>
    <d v="2023-04-25T00:00:00"/>
    <x v="18"/>
    <s v="Mexico"/>
    <s v="Location 4"/>
    <n v="98.56"/>
  </r>
  <r>
    <n v="156"/>
    <n v="15375.36"/>
    <d v="2023-04-25T00:00:00"/>
    <x v="18"/>
    <s v="Mexico"/>
    <s v="Location 4"/>
    <n v="98.56"/>
  </r>
  <r>
    <n v="108"/>
    <n v="10644.48"/>
    <d v="2023-04-25T00:00:00"/>
    <x v="18"/>
    <s v="Mexico"/>
    <s v="Location 4"/>
    <n v="98.56"/>
  </r>
  <r>
    <n v="156"/>
    <n v="15375.36"/>
    <d v="2023-04-25T00:00:00"/>
    <x v="18"/>
    <s v="Mexico"/>
    <s v="Location 4"/>
    <n v="98.56"/>
  </r>
  <r>
    <n v="156"/>
    <n v="15375.36"/>
    <d v="2023-04-25T00:00:00"/>
    <x v="18"/>
    <s v="Mexico"/>
    <s v="Location 4"/>
    <n v="98.56"/>
  </r>
  <r>
    <n v="156"/>
    <n v="15375.36"/>
    <d v="2023-04-25T00:00:00"/>
    <x v="18"/>
    <s v="Mexico"/>
    <s v="Location 4"/>
    <n v="98.56"/>
  </r>
  <r>
    <n v="144"/>
    <n v="29975.040000000001"/>
    <d v="2023-04-25T00:00:00"/>
    <x v="6"/>
    <s v="Mexico"/>
    <s v="Location 4"/>
    <n v="208.16"/>
  </r>
  <r>
    <n v="90"/>
    <n v="39648.6"/>
    <d v="2022-04-27T00:00:00"/>
    <x v="5"/>
    <s v="Mexico"/>
    <s v="Location 4"/>
    <n v="440.54"/>
  </r>
  <r>
    <n v="60"/>
    <n v="26432.400000000001"/>
    <d v="2022-04-27T00:00:00"/>
    <x v="5"/>
    <s v="Mexico"/>
    <s v="Location 4"/>
    <n v="440.54"/>
  </r>
  <r>
    <n v="60"/>
    <n v="26432.400000000001"/>
    <d v="2022-04-27T00:00:00"/>
    <x v="5"/>
    <s v="Mexico"/>
    <s v="Location 4"/>
    <n v="440.54"/>
  </r>
  <r>
    <n v="30"/>
    <n v="13216.2"/>
    <d v="2022-04-27T00:00:00"/>
    <x v="5"/>
    <s v="Mexico"/>
    <s v="Location 4"/>
    <n v="440.54"/>
  </r>
  <r>
    <n v="60"/>
    <n v="26432.400000000001"/>
    <d v="2022-04-27T00:00:00"/>
    <x v="5"/>
    <s v="Mexico"/>
    <s v="Location 4"/>
    <n v="440.54"/>
  </r>
  <r>
    <n v="216"/>
    <n v="23308.560000000001"/>
    <d v="2023-05-26T00:00:00"/>
    <x v="9"/>
    <s v="Mexico"/>
    <s v="Location 4"/>
    <n v="107.91"/>
  </r>
  <r>
    <n v="432"/>
    <n v="46617.120000000003"/>
    <d v="2023-05-26T00:00:00"/>
    <x v="9"/>
    <s v="Mexico"/>
    <s v="Location 4"/>
    <n v="107.91"/>
  </r>
  <r>
    <n v="324"/>
    <n v="34962.839999999997"/>
    <d v="2023-05-26T00:00:00"/>
    <x v="9"/>
    <s v="Mexico"/>
    <s v="Location 4"/>
    <n v="107.91"/>
  </r>
  <r>
    <n v="432"/>
    <n v="46617.120000000003"/>
    <d v="2023-05-26T00:00:00"/>
    <x v="9"/>
    <s v="Mexico"/>
    <s v="Location 4"/>
    <n v="107.91"/>
  </r>
  <r>
    <n v="38"/>
    <n v="17126.98"/>
    <d v="2023-05-26T00:00:00"/>
    <x v="1"/>
    <s v="Mexico"/>
    <s v="Location 4"/>
    <n v="450.71"/>
  </r>
  <r>
    <n v="252"/>
    <n v="21606.48"/>
    <d v="2023-05-26T00:00:00"/>
    <x v="23"/>
    <s v="Mexico"/>
    <s v="Location 4"/>
    <n v="85.74"/>
  </r>
  <r>
    <n v="252"/>
    <n v="21606.48"/>
    <d v="2023-05-26T00:00:00"/>
    <x v="23"/>
    <s v="Mexico"/>
    <s v="Location 4"/>
    <n v="85.74"/>
  </r>
  <r>
    <n v="420"/>
    <n v="318922.8"/>
    <d v="2023-05-26T00:00:00"/>
    <x v="14"/>
    <s v="Mexico"/>
    <s v="Location 4"/>
    <n v="759.34"/>
  </r>
  <r>
    <n v="216"/>
    <n v="21288.959999999999"/>
    <d v="2023-05-26T00:00:00"/>
    <x v="18"/>
    <s v="Mexico"/>
    <s v="Location 4"/>
    <n v="98.56"/>
  </r>
  <r>
    <n v="432"/>
    <n v="42577.919999999998"/>
    <d v="2023-05-26T00:00:00"/>
    <x v="18"/>
    <s v="Mexico"/>
    <s v="Location 4"/>
    <n v="98.56"/>
  </r>
  <r>
    <n v="420"/>
    <n v="318922.8"/>
    <d v="2023-07-25T00:00:00"/>
    <x v="14"/>
    <s v="Mexico"/>
    <s v="Location 4"/>
    <n v="759.34"/>
  </r>
  <r>
    <n v="768"/>
    <n v="116090.88"/>
    <d v="2023-07-25T00:00:00"/>
    <x v="39"/>
    <s v="Mexico"/>
    <s v="Location 4"/>
    <n v="151.16"/>
  </r>
  <r>
    <n v="324"/>
    <n v="149270.04"/>
    <d v="2023-07-25T00:00:00"/>
    <x v="40"/>
    <s v="Mexico"/>
    <s v="Location 4"/>
    <n v="460.71"/>
  </r>
  <r>
    <n v="288"/>
    <n v="132684.48000000001"/>
    <d v="2023-07-25T00:00:00"/>
    <x v="40"/>
    <s v="Mexico"/>
    <s v="Location 4"/>
    <n v="460.71"/>
  </r>
  <r>
    <n v="360"/>
    <n v="165855.6"/>
    <d v="2023-07-25T00:00:00"/>
    <x v="40"/>
    <s v="Mexico"/>
    <s v="Location 4"/>
    <n v="460.71"/>
  </r>
  <r>
    <n v="360"/>
    <n v="165855.6"/>
    <d v="2023-07-25T00:00:00"/>
    <x v="40"/>
    <s v="Mexico"/>
    <s v="Location 4"/>
    <n v="460.71"/>
  </r>
  <r>
    <n v="288"/>
    <n v="132684.48000000001"/>
    <d v="2023-07-25T00:00:00"/>
    <x v="40"/>
    <s v="Mexico"/>
    <s v="Location 4"/>
    <n v="460.71"/>
  </r>
  <r>
    <n v="360"/>
    <n v="165855.6"/>
    <d v="2023-07-25T00:00:00"/>
    <x v="40"/>
    <s v="Mexico"/>
    <s v="Location 4"/>
    <n v="460.71"/>
  </r>
  <r>
    <n v="36"/>
    <n v="16585.560000000001"/>
    <d v="2023-07-25T00:00:00"/>
    <x v="40"/>
    <s v="Mexico"/>
    <s v="Location 4"/>
    <n v="460.71"/>
  </r>
  <r>
    <n v="819"/>
    <n v="338967.72"/>
    <d v="2023-09-06T00:00:00"/>
    <x v="41"/>
    <s v="Mexico"/>
    <s v="Location 4"/>
    <n v="413.88"/>
  </r>
  <r>
    <n v="3780"/>
    <n v="52466.400000000001"/>
    <d v="2022-09-12T00:00:00"/>
    <x v="42"/>
    <s v="Mexico"/>
    <s v="Location 4"/>
    <n v="13.88"/>
  </r>
  <r>
    <n v="1820"/>
    <n v="4313.3999999999996"/>
    <d v="2022-09-12T00:00:00"/>
    <x v="21"/>
    <s v="Mexico"/>
    <s v="Location 4"/>
    <n v="2.37"/>
  </r>
  <r>
    <n v="3024"/>
    <n v="126493.92"/>
    <d v="2022-09-21T00:00:00"/>
    <x v="24"/>
    <s v="Mexico"/>
    <s v="Location 4"/>
    <n v="41.83"/>
  </r>
  <r>
    <n v="144"/>
    <n v="29975.040000000001"/>
    <d v="2023-06-30T00:00:00"/>
    <x v="6"/>
    <s v="Mexico"/>
    <s v="Location 4"/>
    <n v="208.16"/>
  </r>
  <r>
    <n v="144"/>
    <n v="29975.040000000001"/>
    <d v="2023-06-30T00:00:00"/>
    <x v="6"/>
    <s v="Mexico"/>
    <s v="Location 4"/>
    <n v="208.16"/>
  </r>
  <r>
    <n v="48"/>
    <n v="9991.68"/>
    <d v="2023-06-30T00:00:00"/>
    <x v="6"/>
    <s v="Mexico"/>
    <s v="Location 4"/>
    <n v="208.16"/>
  </r>
  <r>
    <n v="252"/>
    <n v="19056.240000000002"/>
    <d v="2022-09-21T00:00:00"/>
    <x v="23"/>
    <s v="Mexico"/>
    <s v="Location 4"/>
    <n v="75.62"/>
  </r>
  <r>
    <n v="1820"/>
    <n v="4313.3999999999996"/>
    <d v="2022-09-21T00:00:00"/>
    <x v="21"/>
    <s v="Mexico"/>
    <s v="Location 4"/>
    <n v="2.37"/>
  </r>
  <r>
    <n v="588"/>
    <n v="58982.28"/>
    <d v="2022-09-22T00:00:00"/>
    <x v="16"/>
    <s v="Mexico"/>
    <s v="Location 4"/>
    <n v="100.31"/>
  </r>
  <r>
    <n v="588"/>
    <n v="58982.28"/>
    <d v="2022-09-22T00:00:00"/>
    <x v="16"/>
    <s v="Mexico"/>
    <s v="Location 4"/>
    <n v="100.31"/>
  </r>
  <r>
    <n v="588"/>
    <n v="58982.28"/>
    <d v="2022-09-22T00:00:00"/>
    <x v="16"/>
    <s v="Mexico"/>
    <s v="Location 4"/>
    <n v="100.31"/>
  </r>
  <r>
    <n v="1820"/>
    <n v="4313.3999999999996"/>
    <d v="2022-11-01T00:00:00"/>
    <x v="21"/>
    <s v="Mexico"/>
    <s v="Location 4"/>
    <n v="2.37"/>
  </r>
  <r>
    <n v="140"/>
    <n v="53718"/>
    <d v="2023-07-28T00:00:00"/>
    <x v="8"/>
    <s v="Mexico"/>
    <s v="Location 4"/>
    <n v="383.7"/>
  </r>
  <r>
    <n v="108"/>
    <n v="11696.4"/>
    <d v="2022-08-04T00:00:00"/>
    <x v="9"/>
    <s v="Mexico"/>
    <s v="Location 4"/>
    <n v="108.3"/>
  </r>
  <r>
    <n v="540"/>
    <n v="58482"/>
    <d v="2022-08-04T00:00:00"/>
    <x v="9"/>
    <s v="Mexico"/>
    <s v="Location 4"/>
    <n v="108.3"/>
  </r>
  <r>
    <n v="432"/>
    <n v="46785.599999999999"/>
    <d v="2022-08-04T00:00:00"/>
    <x v="9"/>
    <s v="Mexico"/>
    <s v="Location 4"/>
    <n v="108.3"/>
  </r>
  <r>
    <n v="432"/>
    <n v="46785.599999999999"/>
    <d v="2022-11-03T00:00:00"/>
    <x v="9"/>
    <s v="Mexico"/>
    <s v="Location 4"/>
    <n v="108.3"/>
  </r>
  <r>
    <n v="216"/>
    <n v="23392.799999999999"/>
    <d v="2022-11-03T00:00:00"/>
    <x v="9"/>
    <s v="Mexico"/>
    <s v="Location 4"/>
    <n v="108.3"/>
  </r>
  <r>
    <n v="216"/>
    <n v="23392.799999999999"/>
    <d v="2022-11-03T00:00:00"/>
    <x v="9"/>
    <s v="Mexico"/>
    <s v="Location 4"/>
    <n v="108.3"/>
  </r>
  <r>
    <n v="324"/>
    <n v="35089.199999999997"/>
    <d v="2022-11-03T00:00:00"/>
    <x v="9"/>
    <s v="Mexico"/>
    <s v="Location 4"/>
    <n v="108.3"/>
  </r>
  <r>
    <n v="216"/>
    <n v="23392.799999999999"/>
    <d v="2022-11-03T00:00:00"/>
    <x v="9"/>
    <s v="Mexico"/>
    <s v="Location 4"/>
    <n v="108.3"/>
  </r>
  <r>
    <n v="216"/>
    <n v="23392.799999999999"/>
    <d v="2022-11-03T00:00:00"/>
    <x v="9"/>
    <s v="Mexico"/>
    <s v="Location 4"/>
    <n v="108.3"/>
  </r>
  <r>
    <n v="432"/>
    <n v="46785.599999999999"/>
    <d v="2022-11-03T00:00:00"/>
    <x v="9"/>
    <s v="Mexico"/>
    <s v="Location 4"/>
    <n v="108.3"/>
  </r>
  <r>
    <n v="432"/>
    <n v="46785.599999999999"/>
    <d v="2022-11-03T00:00:00"/>
    <x v="9"/>
    <s v="Mexico"/>
    <s v="Location 4"/>
    <n v="108.3"/>
  </r>
  <r>
    <n v="90"/>
    <n v="39648.6"/>
    <d v="2022-07-01T00:00:00"/>
    <x v="5"/>
    <s v="Mexico"/>
    <s v="Location 4"/>
    <n v="440.54"/>
  </r>
  <r>
    <n v="1820"/>
    <n v="4313.3999999999996"/>
    <d v="2022-09-29T00:00:00"/>
    <x v="21"/>
    <s v="Mexico"/>
    <s v="Location 4"/>
    <n v="2.37"/>
  </r>
  <r>
    <n v="1820"/>
    <n v="4313.3999999999996"/>
    <d v="2022-09-29T00:00:00"/>
    <x v="21"/>
    <s v="Mexico"/>
    <s v="Location 4"/>
    <n v="2.37"/>
  </r>
  <r>
    <n v="588"/>
    <n v="58982.28"/>
    <d v="2022-09-29T00:00:00"/>
    <x v="16"/>
    <s v="Mexico"/>
    <s v="Location 4"/>
    <n v="100.31"/>
  </r>
  <r>
    <n v="420"/>
    <n v="320073.59999999998"/>
    <d v="2022-09-29T00:00:00"/>
    <x v="14"/>
    <s v="Mexico"/>
    <s v="Location 4"/>
    <n v="762.08"/>
  </r>
  <r>
    <n v="180"/>
    <n v="137174.39999999999"/>
    <d v="2022-09-29T00:00:00"/>
    <x v="14"/>
    <s v="Mexico"/>
    <s v="Location 4"/>
    <n v="762.08"/>
  </r>
  <r>
    <n v="420"/>
    <n v="320073.59999999998"/>
    <d v="2022-09-29T00:00:00"/>
    <x v="14"/>
    <s v="Mexico"/>
    <s v="Location 4"/>
    <n v="762.08"/>
  </r>
  <r>
    <n v="420"/>
    <n v="320073.59999999998"/>
    <d v="2022-09-29T00:00:00"/>
    <x v="14"/>
    <s v="Mexico"/>
    <s v="Location 4"/>
    <n v="762.08"/>
  </r>
  <r>
    <n v="420"/>
    <n v="320073.59999999998"/>
    <d v="2022-09-29T00:00:00"/>
    <x v="14"/>
    <s v="Mexico"/>
    <s v="Location 4"/>
    <n v="762.08"/>
  </r>
  <r>
    <n v="420"/>
    <n v="320073.59999999998"/>
    <d v="2022-09-29T00:00:00"/>
    <x v="14"/>
    <s v="Mexico"/>
    <s v="Location 4"/>
    <n v="762.08"/>
  </r>
  <r>
    <n v="118"/>
    <n v="50173.599999999999"/>
    <d v="2022-11-10T00:00:00"/>
    <x v="1"/>
    <s v="Mexico"/>
    <s v="Location 4"/>
    <n v="425.2"/>
  </r>
  <r>
    <n v="108"/>
    <n v="11696.4"/>
    <d v="2022-11-14T00:00:00"/>
    <x v="9"/>
    <s v="Mexico"/>
    <s v="Location 4"/>
    <n v="108.3"/>
  </r>
  <r>
    <n v="432"/>
    <n v="46785.599999999999"/>
    <d v="2022-11-14T00:00:00"/>
    <x v="9"/>
    <s v="Mexico"/>
    <s v="Location 4"/>
    <n v="108.3"/>
  </r>
  <r>
    <n v="1820"/>
    <n v="4568.2"/>
    <d v="2023-08-04T00:00:00"/>
    <x v="21"/>
    <s v="Mexico"/>
    <s v="Location 4"/>
    <n v="2.5099999999999998"/>
  </r>
  <r>
    <n v="140"/>
    <n v="24983"/>
    <d v="2023-08-04T00:00:00"/>
    <x v="30"/>
    <s v="Mexico"/>
    <s v="Location 4"/>
    <n v="178.45"/>
  </r>
  <r>
    <n v="32"/>
    <n v="80721.600000000006"/>
    <d v="2022-10-05T00:00:00"/>
    <x v="34"/>
    <s v="Mexico"/>
    <s v="Location 4"/>
    <n v="2522.5500000000002"/>
  </r>
  <r>
    <n v="540"/>
    <n v="58482"/>
    <d v="2022-10-07T00:00:00"/>
    <x v="9"/>
    <s v="Mexico"/>
    <s v="Location 4"/>
    <n v="108.3"/>
  </r>
  <r>
    <n v="2"/>
    <n v="901.42"/>
    <d v="2023-08-16T00:00:00"/>
    <x v="1"/>
    <s v="Mexico"/>
    <s v="Location 4"/>
    <n v="450.71"/>
  </r>
  <r>
    <n v="140"/>
    <n v="53718"/>
    <d v="2023-08-16T00:00:00"/>
    <x v="8"/>
    <s v="Mexico"/>
    <s v="Location 4"/>
    <n v="383.7"/>
  </r>
  <r>
    <n v="588"/>
    <n v="58982.28"/>
    <d v="2022-10-07T00:00:00"/>
    <x v="16"/>
    <s v="Mexico"/>
    <s v="Location 4"/>
    <n v="100.31"/>
  </r>
  <r>
    <n v="588"/>
    <n v="58982.28"/>
    <d v="2022-10-07T00:00:00"/>
    <x v="16"/>
    <s v="Mexico"/>
    <s v="Location 4"/>
    <n v="100.31"/>
  </r>
  <r>
    <n v="588"/>
    <n v="58982.28"/>
    <d v="2022-10-07T00:00:00"/>
    <x v="16"/>
    <s v="Mexico"/>
    <s v="Location 4"/>
    <n v="100.31"/>
  </r>
  <r>
    <n v="588"/>
    <n v="58982.28"/>
    <d v="2022-10-07T00:00:00"/>
    <x v="16"/>
    <s v="Mexico"/>
    <s v="Location 4"/>
    <n v="100.31"/>
  </r>
  <r>
    <n v="588"/>
    <n v="58982.28"/>
    <d v="2022-10-07T00:00:00"/>
    <x v="16"/>
    <s v="Mexico"/>
    <s v="Location 4"/>
    <n v="100.31"/>
  </r>
  <r>
    <n v="588"/>
    <n v="58982.28"/>
    <d v="2022-10-07T00:00:00"/>
    <x v="16"/>
    <s v="Mexico"/>
    <s v="Location 4"/>
    <n v="100.31"/>
  </r>
  <r>
    <n v="147"/>
    <n v="47026.77"/>
    <d v="2022-11-29T00:00:00"/>
    <x v="3"/>
    <s v="Mexico"/>
    <s v="Location 4"/>
    <n v="319.91000000000003"/>
  </r>
  <r>
    <n v="140"/>
    <n v="53718"/>
    <d v="2023-08-17T00:00:00"/>
    <x v="8"/>
    <s v="Mexico"/>
    <s v="Location 4"/>
    <n v="383.7"/>
  </r>
  <r>
    <n v="30"/>
    <n v="22780.2"/>
    <d v="2023-08-17T00:00:00"/>
    <x v="14"/>
    <s v="Mexico"/>
    <s v="Location 4"/>
    <n v="759.34"/>
  </r>
  <r>
    <n v="60"/>
    <n v="45560.4"/>
    <d v="2023-08-17T00:00:00"/>
    <x v="14"/>
    <s v="Mexico"/>
    <s v="Location 4"/>
    <n v="759.34"/>
  </r>
  <r>
    <n v="132"/>
    <n v="23555.4"/>
    <d v="2023-08-17T00:00:00"/>
    <x v="30"/>
    <s v="Mexico"/>
    <s v="Location 4"/>
    <n v="178.45"/>
  </r>
  <r>
    <n v="15"/>
    <n v="12860.55"/>
    <d v="2023-08-17T00:00:00"/>
    <x v="0"/>
    <s v="Mexico"/>
    <s v="Location 4"/>
    <n v="857.37"/>
  </r>
  <r>
    <n v="45"/>
    <n v="38581.65"/>
    <d v="2023-08-17T00:00:00"/>
    <x v="0"/>
    <s v="Mexico"/>
    <s v="Location 4"/>
    <n v="857.37"/>
  </r>
  <r>
    <n v="45"/>
    <n v="38581.65"/>
    <d v="2023-08-17T00:00:00"/>
    <x v="0"/>
    <s v="Mexico"/>
    <s v="Location 4"/>
    <n v="857.37"/>
  </r>
  <r>
    <n v="45"/>
    <n v="38581.65"/>
    <d v="2023-08-17T00:00:00"/>
    <x v="0"/>
    <s v="Mexico"/>
    <s v="Location 4"/>
    <n v="857.37"/>
  </r>
  <r>
    <n v="324"/>
    <n v="35089.199999999997"/>
    <d v="2022-08-19T00:00:00"/>
    <x v="9"/>
    <s v="Mexico"/>
    <s v="Location 4"/>
    <n v="108.3"/>
  </r>
  <r>
    <n v="220"/>
    <n v="30272"/>
    <d v="2022-10-13T00:00:00"/>
    <x v="27"/>
    <s v="Mexico"/>
    <s v="Location 4"/>
    <n v="137.6"/>
  </r>
  <r>
    <n v="252"/>
    <n v="25303.32"/>
    <d v="2022-10-13T00:00:00"/>
    <x v="25"/>
    <s v="Mexico"/>
    <s v="Location 4"/>
    <n v="100.41"/>
  </r>
  <r>
    <n v="420"/>
    <n v="6266.4"/>
    <d v="2022-10-13T00:00:00"/>
    <x v="15"/>
    <s v="Mexico"/>
    <s v="Location 4"/>
    <n v="14.92"/>
  </r>
  <r>
    <n v="420"/>
    <n v="6266.4"/>
    <d v="2022-10-13T00:00:00"/>
    <x v="15"/>
    <s v="Mexico"/>
    <s v="Location 4"/>
    <n v="14.92"/>
  </r>
  <r>
    <n v="140"/>
    <n v="50677.2"/>
    <d v="2022-10-13T00:00:00"/>
    <x v="8"/>
    <s v="Mexico"/>
    <s v="Location 4"/>
    <n v="361.98"/>
  </r>
  <r>
    <n v="180"/>
    <n v="137174.39999999999"/>
    <d v="2022-10-13T00:00:00"/>
    <x v="14"/>
    <s v="Mexico"/>
    <s v="Location 4"/>
    <n v="762.08"/>
  </r>
  <r>
    <n v="108"/>
    <n v="11696.4"/>
    <d v="2022-08-19T00:00:00"/>
    <x v="9"/>
    <s v="Mexico"/>
    <s v="Location 4"/>
    <n v="108.3"/>
  </r>
  <r>
    <n v="60"/>
    <n v="26432.400000000001"/>
    <d v="2022-08-19T00:00:00"/>
    <x v="5"/>
    <s v="Mexico"/>
    <s v="Location 4"/>
    <n v="440.54"/>
  </r>
  <r>
    <n v="140"/>
    <n v="56924"/>
    <d v="2022-08-19T00:00:00"/>
    <x v="4"/>
    <s v="Mexico"/>
    <s v="Location 4"/>
    <n v="406.6"/>
  </r>
  <r>
    <n v="3000"/>
    <n v="3450"/>
    <d v="2022-08-19T00:00:00"/>
    <x v="32"/>
    <s v="Mexico"/>
    <s v="Location 4"/>
    <n v="1.1499999999999999"/>
  </r>
  <r>
    <n v="588"/>
    <n v="58982.28"/>
    <d v="2021-12-10T00:00:00"/>
    <x v="16"/>
    <s v="Mexico"/>
    <s v="Location 4"/>
    <n v="100.31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140"/>
    <n v="54842.2"/>
    <d v="2022-12-12T00:00:00"/>
    <x v="36"/>
    <s v="Mexico"/>
    <s v="Location 4"/>
    <n v="391.73"/>
  </r>
  <r>
    <n v="30"/>
    <n v="13216.2"/>
    <d v="2022-07-11T00:00:00"/>
    <x v="5"/>
    <s v="Mexico"/>
    <s v="Location 4"/>
    <n v="440.54"/>
  </r>
  <r>
    <n v="60"/>
    <n v="26432.400000000001"/>
    <d v="2022-07-11T00:00:00"/>
    <x v="5"/>
    <s v="Mexico"/>
    <s v="Location 4"/>
    <n v="440.54"/>
  </r>
  <r>
    <n v="3000"/>
    <n v="3450"/>
    <d v="2022-07-11T00:00:00"/>
    <x v="32"/>
    <s v="Mexico"/>
    <s v="Location 4"/>
    <n v="1.1499999999999999"/>
  </r>
  <r>
    <n v="3000"/>
    <n v="3720"/>
    <d v="2022-07-11T00:00:00"/>
    <x v="22"/>
    <s v="Mexico"/>
    <s v="Location 4"/>
    <n v="1.24"/>
  </r>
  <r>
    <n v="75"/>
    <n v="64536"/>
    <d v="2022-07-11T00:00:00"/>
    <x v="0"/>
    <s v="Mexico"/>
    <s v="Location 4"/>
    <n v="860.48"/>
  </r>
  <r>
    <n v="588"/>
    <n v="58982.28"/>
    <d v="2022-10-20T00:00:00"/>
    <x v="16"/>
    <s v="Mexico"/>
    <s v="Location 4"/>
    <n v="100.31"/>
  </r>
  <r>
    <n v="588"/>
    <n v="58982.28"/>
    <d v="2022-10-20T00:00:00"/>
    <x v="16"/>
    <s v="Mexico"/>
    <s v="Location 4"/>
    <n v="100.31"/>
  </r>
  <r>
    <n v="140"/>
    <n v="56924"/>
    <d v="2022-12-19T00:00:00"/>
    <x v="4"/>
    <s v="Mexico"/>
    <s v="Location 4"/>
    <n v="406.6"/>
  </r>
  <r>
    <n v="140"/>
    <n v="56924"/>
    <d v="2022-12-19T00:00:00"/>
    <x v="4"/>
    <s v="Mexico"/>
    <s v="Location 4"/>
    <n v="406.6"/>
  </r>
  <r>
    <n v="140"/>
    <n v="56924"/>
    <d v="2022-12-19T00:00:00"/>
    <x v="4"/>
    <s v="Mexico"/>
    <s v="Location 4"/>
    <n v="406.6"/>
  </r>
  <r>
    <n v="22"/>
    <n v="9915.6200000000008"/>
    <d v="2023-07-14T00:00:00"/>
    <x v="1"/>
    <s v="Mexico"/>
    <s v="Location 4"/>
    <n v="450.71"/>
  </r>
  <r>
    <n v="79"/>
    <n v="35606.089999999997"/>
    <d v="2023-07-14T00:00:00"/>
    <x v="1"/>
    <s v="Mexico"/>
    <s v="Location 4"/>
    <n v="450.71"/>
  </r>
  <r>
    <n v="252"/>
    <n v="21606.48"/>
    <d v="2023-07-14T00:00:00"/>
    <x v="23"/>
    <s v="Mexico"/>
    <s v="Location 4"/>
    <n v="85.74"/>
  </r>
  <r>
    <n v="252"/>
    <n v="21606.48"/>
    <d v="2023-07-14T00:00:00"/>
    <x v="23"/>
    <s v="Mexico"/>
    <s v="Location 4"/>
    <n v="85.74"/>
  </r>
  <r>
    <n v="140"/>
    <n v="58132.2"/>
    <d v="2023-07-14T00:00:00"/>
    <x v="36"/>
    <s v="Mexico"/>
    <s v="Location 4"/>
    <n v="415.23"/>
  </r>
  <r>
    <n v="140"/>
    <n v="58132.2"/>
    <d v="2023-07-14T00:00:00"/>
    <x v="36"/>
    <s v="Mexico"/>
    <s v="Location 4"/>
    <n v="415.23"/>
  </r>
  <r>
    <n v="432"/>
    <n v="46617.120000000003"/>
    <d v="2023-08-23T00:00:00"/>
    <x v="9"/>
    <s v="Mexico"/>
    <s v="Location 4"/>
    <n v="107.91"/>
  </r>
  <r>
    <n v="324"/>
    <n v="34962.839999999997"/>
    <d v="2023-08-23T00:00:00"/>
    <x v="9"/>
    <s v="Mexico"/>
    <s v="Location 4"/>
    <n v="107.91"/>
  </r>
  <r>
    <n v="45"/>
    <n v="38581.65"/>
    <d v="2023-08-23T00:00:00"/>
    <x v="0"/>
    <s v="Mexico"/>
    <s v="Location 4"/>
    <n v="857.37"/>
  </r>
  <r>
    <n v="45"/>
    <n v="38581.65"/>
    <d v="2023-08-23T00:00:00"/>
    <x v="0"/>
    <s v="Mexico"/>
    <s v="Location 4"/>
    <n v="857.37"/>
  </r>
  <r>
    <n v="45"/>
    <n v="38581.65"/>
    <d v="2023-08-23T00:00:00"/>
    <x v="0"/>
    <s v="Mexico"/>
    <s v="Location 4"/>
    <n v="857.37"/>
  </r>
  <r>
    <n v="45"/>
    <n v="38581.65"/>
    <d v="2023-08-23T00:00:00"/>
    <x v="0"/>
    <s v="Mexico"/>
    <s v="Location 4"/>
    <n v="857.37"/>
  </r>
  <r>
    <n v="45"/>
    <n v="38581.65"/>
    <d v="2023-08-23T00:00:00"/>
    <x v="0"/>
    <s v="Mexico"/>
    <s v="Location 4"/>
    <n v="857.37"/>
  </r>
  <r>
    <n v="45"/>
    <n v="38581.65"/>
    <d v="2023-08-23T00:00:00"/>
    <x v="0"/>
    <s v="Mexico"/>
    <s v="Location 4"/>
    <n v="857.37"/>
  </r>
  <r>
    <n v="45"/>
    <n v="38581.65"/>
    <d v="2023-08-23T00:00:00"/>
    <x v="0"/>
    <s v="Mexico"/>
    <s v="Location 4"/>
    <n v="857.37"/>
  </r>
  <r>
    <n v="140"/>
    <n v="58132.2"/>
    <d v="2023-07-14T00:00:00"/>
    <x v="36"/>
    <s v="Mexico"/>
    <s v="Location 4"/>
    <n v="415.23"/>
  </r>
  <r>
    <n v="140"/>
    <n v="58132.2"/>
    <d v="2023-07-14T00:00:00"/>
    <x v="36"/>
    <s v="Mexico"/>
    <s v="Location 4"/>
    <n v="415.23"/>
  </r>
  <r>
    <n v="140"/>
    <n v="58132.2"/>
    <d v="2023-07-14T00:00:00"/>
    <x v="36"/>
    <s v="Mexico"/>
    <s v="Location 4"/>
    <n v="415.23"/>
  </r>
  <r>
    <n v="420"/>
    <n v="318922.8"/>
    <d v="2023-07-14T00:00:00"/>
    <x v="14"/>
    <s v="Mexico"/>
    <s v="Location 4"/>
    <n v="759.34"/>
  </r>
  <r>
    <n v="540"/>
    <n v="58482"/>
    <d v="2022-07-19T00:00:00"/>
    <x v="9"/>
    <s v="Mexico"/>
    <s v="Location 4"/>
    <n v="108.3"/>
  </r>
  <r>
    <n v="324"/>
    <n v="35089.199999999997"/>
    <d v="2022-07-22T00:00:00"/>
    <x v="9"/>
    <s v="Mexico"/>
    <s v="Location 4"/>
    <n v="108.3"/>
  </r>
  <r>
    <n v="60"/>
    <n v="45560.4"/>
    <d v="2023-08-31T00:00:00"/>
    <x v="14"/>
    <s v="Mexico"/>
    <s v="Location 4"/>
    <n v="759.34"/>
  </r>
  <r>
    <n v="360"/>
    <n v="165855.6"/>
    <d v="2023-08-31T00:00:00"/>
    <x v="40"/>
    <s v="Mexico"/>
    <s v="Location 4"/>
    <n v="460.71"/>
  </r>
  <r>
    <n v="19"/>
    <n v="8563.49"/>
    <d v="2023-07-25T00:00:00"/>
    <x v="1"/>
    <s v="Mexico"/>
    <s v="Location 4"/>
    <n v="450.71"/>
  </r>
  <r>
    <n v="252"/>
    <n v="21606.48"/>
    <d v="2023-07-25T00:00:00"/>
    <x v="23"/>
    <s v="Mexico"/>
    <s v="Location 4"/>
    <n v="85.74"/>
  </r>
  <r>
    <n v="252"/>
    <n v="21606.48"/>
    <d v="2023-07-25T00:00:00"/>
    <x v="23"/>
    <s v="Mexico"/>
    <s v="Location 4"/>
    <n v="85.74"/>
  </r>
  <r>
    <n v="252"/>
    <n v="21606.48"/>
    <d v="2023-07-25T00:00:00"/>
    <x v="23"/>
    <s v="Mexico"/>
    <s v="Location 4"/>
    <n v="85.74"/>
  </r>
  <r>
    <n v="252"/>
    <n v="21606.48"/>
    <d v="2023-07-25T00:00:00"/>
    <x v="23"/>
    <s v="Mexico"/>
    <s v="Location 4"/>
    <n v="85.74"/>
  </r>
  <r>
    <n v="252"/>
    <n v="21606.48"/>
    <d v="2023-07-25T00:00:00"/>
    <x v="23"/>
    <s v="Mexico"/>
    <s v="Location 4"/>
    <n v="85.74"/>
  </r>
  <r>
    <n v="708"/>
    <n v="2712794.04"/>
    <d v="2022-10-25T00:00:00"/>
    <x v="43"/>
    <s v="Mexico"/>
    <s v="Location 4"/>
    <n v="3831.63"/>
  </r>
  <r>
    <n v="90"/>
    <n v="39505.5"/>
    <d v="2023-07-25T00:00:00"/>
    <x v="5"/>
    <s v="Mexico"/>
    <s v="Location 4"/>
    <n v="438.95"/>
  </r>
  <r>
    <n v="90"/>
    <n v="39505.5"/>
    <d v="2023-07-25T00:00:00"/>
    <x v="5"/>
    <s v="Mexico"/>
    <s v="Location 4"/>
    <n v="438.95"/>
  </r>
  <r>
    <n v="90"/>
    <n v="39505.5"/>
    <d v="2023-07-25T00:00:00"/>
    <x v="5"/>
    <s v="Mexico"/>
    <s v="Location 4"/>
    <n v="438.95"/>
  </r>
  <r>
    <n v="1820"/>
    <n v="4568.2"/>
    <d v="2023-07-25T00:00:00"/>
    <x v="21"/>
    <s v="Mexico"/>
    <s v="Location 4"/>
    <n v="2.5099999999999998"/>
  </r>
  <r>
    <n v="1820"/>
    <n v="4568.2"/>
    <d v="2023-07-25T00:00:00"/>
    <x v="21"/>
    <s v="Mexico"/>
    <s v="Location 4"/>
    <n v="2.5099999999999998"/>
  </r>
  <r>
    <n v="1820"/>
    <n v="4568.2"/>
    <d v="2023-07-25T00:00:00"/>
    <x v="21"/>
    <s v="Mexico"/>
    <s v="Location 4"/>
    <n v="2.5099999999999998"/>
  </r>
  <r>
    <n v="1820"/>
    <n v="4568.2"/>
    <d v="2023-07-25T00:00:00"/>
    <x v="21"/>
    <s v="Mexico"/>
    <s v="Location 4"/>
    <n v="2.5099999999999998"/>
  </r>
  <r>
    <n v="1820"/>
    <n v="4568.2"/>
    <d v="2023-07-25T00:00:00"/>
    <x v="21"/>
    <s v="Mexico"/>
    <s v="Location 4"/>
    <n v="2.5099999999999998"/>
  </r>
  <r>
    <n v="1820"/>
    <n v="4568.2"/>
    <d v="2023-07-25T00:00:00"/>
    <x v="21"/>
    <s v="Mexico"/>
    <s v="Location 4"/>
    <n v="2.5099999999999998"/>
  </r>
  <r>
    <n v="140"/>
    <n v="58132.2"/>
    <d v="2023-07-25T00:00:00"/>
    <x v="36"/>
    <s v="Mexico"/>
    <s v="Location 4"/>
    <n v="415.23"/>
  </r>
  <r>
    <n v="140"/>
    <n v="58132.2"/>
    <d v="2023-07-25T00:00:00"/>
    <x v="36"/>
    <s v="Mexico"/>
    <s v="Location 4"/>
    <n v="415.23"/>
  </r>
  <r>
    <n v="140"/>
    <n v="58132.2"/>
    <d v="2023-07-25T00:00:00"/>
    <x v="36"/>
    <s v="Mexico"/>
    <s v="Location 4"/>
    <n v="415.23"/>
  </r>
  <r>
    <n v="140"/>
    <n v="58132.2"/>
    <d v="2023-07-25T00:00:00"/>
    <x v="36"/>
    <s v="Mexico"/>
    <s v="Location 4"/>
    <n v="415.23"/>
  </r>
  <r>
    <n v="140"/>
    <n v="53718"/>
    <d v="2023-07-25T00:00:00"/>
    <x v="8"/>
    <s v="Mexico"/>
    <s v="Location 4"/>
    <n v="383.7"/>
  </r>
  <r>
    <n v="140"/>
    <n v="53718"/>
    <d v="2023-07-25T00:00:00"/>
    <x v="8"/>
    <s v="Mexico"/>
    <s v="Location 4"/>
    <n v="383.7"/>
  </r>
  <r>
    <n v="140"/>
    <n v="53718"/>
    <d v="2023-07-25T00:00:00"/>
    <x v="8"/>
    <s v="Mexico"/>
    <s v="Location 4"/>
    <n v="383.7"/>
  </r>
  <r>
    <n v="540"/>
    <n v="58482"/>
    <d v="2022-09-02T00:00:00"/>
    <x v="9"/>
    <s v="Mexico"/>
    <s v="Location 4"/>
    <n v="108.3"/>
  </r>
  <r>
    <n v="60"/>
    <n v="26432.400000000001"/>
    <d v="2022-09-02T00:00:00"/>
    <x v="5"/>
    <s v="Mexico"/>
    <s v="Location 4"/>
    <n v="440.54"/>
  </r>
  <r>
    <n v="60"/>
    <n v="26432.400000000001"/>
    <d v="2022-09-02T00:00:00"/>
    <x v="5"/>
    <s v="Mexico"/>
    <s v="Location 4"/>
    <n v="440.54"/>
  </r>
  <r>
    <n v="588"/>
    <n v="58982.28"/>
    <d v="2022-09-02T00:00:00"/>
    <x v="16"/>
    <s v="Mexico"/>
    <s v="Location 4"/>
    <n v="100.31"/>
  </r>
  <r>
    <n v="60"/>
    <n v="45724.800000000003"/>
    <d v="2022-10-28T00:00:00"/>
    <x v="14"/>
    <s v="Mexico"/>
    <s v="Location 4"/>
    <n v="762.08"/>
  </r>
  <r>
    <n v="420"/>
    <n v="320073.59999999998"/>
    <d v="2022-10-28T00:00:00"/>
    <x v="14"/>
    <s v="Mexico"/>
    <s v="Location 4"/>
    <n v="762.08"/>
  </r>
  <r>
    <n v="-35"/>
    <n v="-3718.4"/>
    <d v="2023-07-07T00:00:00"/>
    <x v="44"/>
    <s v="Mexico"/>
    <s v="Location 15"/>
    <n v="106.24"/>
  </r>
  <r>
    <n v="-270"/>
    <n v="-28684.799999999999"/>
    <d v="2023-07-07T00:00:00"/>
    <x v="44"/>
    <s v="Mexico"/>
    <s v="Location 15"/>
    <n v="106.24"/>
  </r>
  <r>
    <n v="-95"/>
    <n v="-10092.799999999999"/>
    <d v="2023-07-07T00:00:00"/>
    <x v="44"/>
    <s v="Mexico"/>
    <s v="Location 15"/>
    <n v="106.24"/>
  </r>
  <r>
    <n v="35"/>
    <n v="3941.35"/>
    <d v="2023-07-07T00:00:00"/>
    <x v="44"/>
    <s v="Mexico"/>
    <s v="Location 15"/>
    <n v="112.61"/>
  </r>
  <r>
    <n v="270"/>
    <n v="30404.7"/>
    <d v="2023-07-07T00:00:00"/>
    <x v="44"/>
    <s v="Mexico"/>
    <s v="Location 15"/>
    <n v="112.61"/>
  </r>
  <r>
    <n v="95"/>
    <n v="10697.95"/>
    <d v="2023-07-07T00:00:00"/>
    <x v="44"/>
    <s v="Mexico"/>
    <s v="Location 15"/>
    <n v="112.61"/>
  </r>
  <r>
    <n v="576"/>
    <n v="222497.28"/>
    <d v="2022-04-27T00:00:00"/>
    <x v="45"/>
    <s v="Mexico"/>
    <s v="Location 15"/>
    <n v="386.28"/>
  </r>
  <r>
    <n v="576"/>
    <n v="222497.28"/>
    <d v="2023-01-11T00:00:00"/>
    <x v="45"/>
    <s v="Mexico"/>
    <s v="Location 15"/>
    <n v="386.28"/>
  </r>
  <r>
    <n v="252"/>
    <n v="17481.240000000002"/>
    <d v="2023-03-07T00:00:00"/>
    <x v="46"/>
    <s v="Mexico"/>
    <s v="Location 15"/>
    <n v="69.37"/>
  </r>
  <r>
    <n v="300"/>
    <n v="3381"/>
    <d v="2023-03-10T00:00:00"/>
    <x v="47"/>
    <s v="Mexico"/>
    <s v="Location 15"/>
    <n v="11.27"/>
  </r>
  <r>
    <n v="70"/>
    <n v="39788"/>
    <d v="2023-01-20T00:00:00"/>
    <x v="48"/>
    <s v="Mexico"/>
    <s v="Location 15"/>
    <n v="568.4"/>
  </r>
  <r>
    <n v="300"/>
    <n v="3381"/>
    <d v="2023-01-20T00:00:00"/>
    <x v="47"/>
    <s v="Mexico"/>
    <s v="Location 15"/>
    <n v="11.27"/>
  </r>
  <r>
    <n v="1120"/>
    <n v="62227.199999999997"/>
    <d v="2023-01-20T00:00:00"/>
    <x v="49"/>
    <s v="Mexico"/>
    <s v="Location 15"/>
    <n v="55.56"/>
  </r>
  <r>
    <n v="155"/>
    <n v="10752.35"/>
    <d v="2023-04-04T00:00:00"/>
    <x v="46"/>
    <s v="Mexico"/>
    <s v="Location 15"/>
    <n v="69.37"/>
  </r>
  <r>
    <n v="300"/>
    <n v="3189"/>
    <d v="2022-05-06T00:00:00"/>
    <x v="47"/>
    <s v="Mexico"/>
    <s v="Location 15"/>
    <n v="10.63"/>
  </r>
  <r>
    <n v="576"/>
    <n v="222497.28"/>
    <d v="2022-05-06T00:00:00"/>
    <x v="45"/>
    <s v="Mexico"/>
    <s v="Location 15"/>
    <n v="386.28"/>
  </r>
  <r>
    <n v="70"/>
    <n v="41965.7"/>
    <d v="2023-05-08T00:00:00"/>
    <x v="48"/>
    <s v="Mexico"/>
    <s v="Location 15"/>
    <n v="599.51"/>
  </r>
  <r>
    <n v="300"/>
    <n v="3381"/>
    <d v="2023-05-08T00:00:00"/>
    <x v="47"/>
    <s v="Mexico"/>
    <s v="Location 15"/>
    <n v="11.27"/>
  </r>
  <r>
    <n v="1440"/>
    <n v="362649.59999999998"/>
    <d v="2023-05-08T00:00:00"/>
    <x v="50"/>
    <s v="Mexico"/>
    <s v="Location 15"/>
    <n v="251.84"/>
  </r>
  <r>
    <n v="1440"/>
    <n v="362649.59999999998"/>
    <d v="2023-06-12T00:00:00"/>
    <x v="50"/>
    <s v="Mexico"/>
    <s v="Location 15"/>
    <n v="251.84"/>
  </r>
  <r>
    <n v="1120"/>
    <n v="62227.199999999997"/>
    <d v="2023-04-20T00:00:00"/>
    <x v="49"/>
    <s v="Mexico"/>
    <s v="Location 15"/>
    <n v="55.56"/>
  </r>
  <r>
    <n v="27000"/>
    <n v="2640.6"/>
    <d v="2023-02-15T00:00:00"/>
    <x v="12"/>
    <s v="Mexico"/>
    <s v="Location 15"/>
    <n v="9.7799999999999998E-2"/>
  </r>
  <r>
    <n v="1120"/>
    <n v="58710.400000000001"/>
    <d v="2022-05-18T00:00:00"/>
    <x v="49"/>
    <s v="Mexico"/>
    <s v="Location 15"/>
    <n v="52.42"/>
  </r>
  <r>
    <n v="1120"/>
    <n v="58710.400000000001"/>
    <d v="2022-05-23T00:00:00"/>
    <x v="49"/>
    <s v="Mexico"/>
    <s v="Location 15"/>
    <n v="52.42"/>
  </r>
  <r>
    <n v="576"/>
    <n v="235843.20000000001"/>
    <d v="2023-07-26T00:00:00"/>
    <x v="45"/>
    <s v="Mexico"/>
    <s v="Location 15"/>
    <n v="409.45"/>
  </r>
  <r>
    <n v="1440"/>
    <n v="362649.59999999998"/>
    <d v="2023-07-27T00:00:00"/>
    <x v="50"/>
    <s v="Mexico"/>
    <s v="Location 15"/>
    <n v="251.84"/>
  </r>
  <r>
    <n v="70"/>
    <n v="41965.7"/>
    <d v="2023-08-09T00:00:00"/>
    <x v="48"/>
    <s v="Mexico"/>
    <s v="Location 15"/>
    <n v="599.51"/>
  </r>
  <r>
    <n v="300"/>
    <n v="3381"/>
    <d v="2023-08-16T00:00:00"/>
    <x v="47"/>
    <s v="Mexico"/>
    <s v="Location 15"/>
    <n v="11.27"/>
  </r>
  <r>
    <n v="1120"/>
    <n v="58699.199999999997"/>
    <d v="2022-10-07T00:00:00"/>
    <x v="49"/>
    <s v="Mexico"/>
    <s v="Location 15"/>
    <n v="52.41"/>
  </r>
  <r>
    <n v="380"/>
    <n v="19915.8"/>
    <d v="2022-10-07T00:00:00"/>
    <x v="49"/>
    <s v="Mexico"/>
    <s v="Location 15"/>
    <n v="52.41"/>
  </r>
  <r>
    <n v="1120"/>
    <n v="58699.199999999997"/>
    <d v="2022-10-07T00:00:00"/>
    <x v="49"/>
    <s v="Mexico"/>
    <s v="Location 15"/>
    <n v="52.41"/>
  </r>
  <r>
    <n v="1440"/>
    <n v="342129.6"/>
    <d v="2022-10-11T00:00:00"/>
    <x v="50"/>
    <s v="Mexico"/>
    <s v="Location 15"/>
    <n v="237.59"/>
  </r>
  <r>
    <n v="300"/>
    <n v="3189"/>
    <d v="2022-12-05T00:00:00"/>
    <x v="47"/>
    <s v="Mexico"/>
    <s v="Location 15"/>
    <n v="10.63"/>
  </r>
  <r>
    <n v="300"/>
    <n v="3189"/>
    <d v="2022-12-05T00:00:00"/>
    <x v="47"/>
    <s v="Mexico"/>
    <s v="Location 15"/>
    <n v="10.63"/>
  </r>
  <r>
    <n v="300"/>
    <n v="3189"/>
    <d v="2022-12-05T00:00:00"/>
    <x v="47"/>
    <s v="Mexico"/>
    <s v="Location 15"/>
    <n v="10.63"/>
  </r>
  <r>
    <n v="300"/>
    <n v="3381"/>
    <d v="2023-07-07T00:00:00"/>
    <x v="47"/>
    <s v="Mexico"/>
    <s v="Location 15"/>
    <n v="11.27"/>
  </r>
  <r>
    <n v="576"/>
    <n v="222497.28"/>
    <d v="2022-10-13T00:00:00"/>
    <x v="45"/>
    <s v="Mexico"/>
    <s v="Location 15"/>
    <n v="386.28"/>
  </r>
  <r>
    <n v="740"/>
    <n v="38783.4"/>
    <d v="2022-12-15T00:00:00"/>
    <x v="49"/>
    <s v="Mexico"/>
    <s v="Location 15"/>
    <n v="52.41"/>
  </r>
  <r>
    <n v="380"/>
    <n v="19915.8"/>
    <d v="2022-12-15T00:00:00"/>
    <x v="49"/>
    <s v="Mexico"/>
    <s v="Location 15"/>
    <n v="52.41"/>
  </r>
  <r>
    <n v="300"/>
    <n v="3189"/>
    <d v="2022-07-11T00:00:00"/>
    <x v="47"/>
    <s v="Mexico"/>
    <s v="Location 15"/>
    <n v="10.63"/>
  </r>
  <r>
    <n v="1440"/>
    <n v="342129.6"/>
    <d v="2022-07-13T00:00:00"/>
    <x v="50"/>
    <s v="Mexico"/>
    <s v="Location 15"/>
    <n v="237.59"/>
  </r>
  <r>
    <n v="1120"/>
    <n v="62227.199999999997"/>
    <d v="2023-08-23T00:00:00"/>
    <x v="49"/>
    <s v="Mexico"/>
    <s v="Location 15"/>
    <n v="55.56"/>
  </r>
  <r>
    <n v="740"/>
    <n v="38783.4"/>
    <d v="2022-12-20T00:00:00"/>
    <x v="49"/>
    <s v="Mexico"/>
    <s v="Location 15"/>
    <n v="52.41"/>
  </r>
  <r>
    <n v="576"/>
    <n v="222497.28"/>
    <d v="2022-08-25T00:00:00"/>
    <x v="45"/>
    <s v="Mexico"/>
    <s v="Location 15"/>
    <n v="386.28"/>
  </r>
  <r>
    <n v="200"/>
    <n v="21248"/>
    <d v="2023-05-30T00:00:00"/>
    <x v="44"/>
    <s v="Mexico"/>
    <s v="Location 15"/>
    <n v="106.24"/>
  </r>
  <r>
    <n v="200"/>
    <n v="21248"/>
    <d v="2023-05-30T00:00:00"/>
    <x v="44"/>
    <s v="Mexico"/>
    <s v="Location 15"/>
    <n v="106.24"/>
  </r>
  <r>
    <n v="84"/>
    <n v="11639.04"/>
    <d v="2023-05-30T00:00:00"/>
    <x v="51"/>
    <s v="Mexico"/>
    <s v="Location 15"/>
    <n v="138.56"/>
  </r>
  <r>
    <n v="84"/>
    <n v="10980.48"/>
    <d v="2023-01-04T00:00:00"/>
    <x v="51"/>
    <s v="Mexico"/>
    <s v="Location 15"/>
    <n v="130.72"/>
  </r>
  <r>
    <n v="84"/>
    <n v="10980.48"/>
    <d v="2023-01-04T00:00:00"/>
    <x v="51"/>
    <s v="Mexico"/>
    <s v="Location 15"/>
    <n v="130.72"/>
  </r>
  <r>
    <n v="84"/>
    <n v="10980.48"/>
    <d v="2023-01-04T00:00:00"/>
    <x v="51"/>
    <s v="Mexico"/>
    <s v="Location 15"/>
    <n v="130.72"/>
  </r>
  <r>
    <n v="84"/>
    <n v="10980.48"/>
    <d v="2023-01-04T00:00:00"/>
    <x v="51"/>
    <s v="Mexico"/>
    <s v="Location 15"/>
    <n v="130.72"/>
  </r>
  <r>
    <n v="120"/>
    <n v="1116"/>
    <d v="2023-01-11T00:00:00"/>
    <x v="52"/>
    <s v="Mexico"/>
    <s v="Location 15"/>
    <n v="9.3000000000000007"/>
  </r>
  <r>
    <n v="200"/>
    <n v="21248"/>
    <d v="2023-04-04T00:00:00"/>
    <x v="44"/>
    <s v="Mexico"/>
    <s v="Location 15"/>
    <n v="106.24"/>
  </r>
  <r>
    <n v="360"/>
    <n v="38246.400000000001"/>
    <d v="2022-06-08T00:00:00"/>
    <x v="44"/>
    <s v="Mexico"/>
    <s v="Location 15"/>
    <n v="106.24"/>
  </r>
  <r>
    <n v="120"/>
    <n v="12748.8"/>
    <d v="2022-06-08T00:00:00"/>
    <x v="44"/>
    <s v="Mexico"/>
    <s v="Location 15"/>
    <n v="106.24"/>
  </r>
  <r>
    <n v="360"/>
    <n v="38246.400000000001"/>
    <d v="2022-06-08T00:00:00"/>
    <x v="44"/>
    <s v="Mexico"/>
    <s v="Location 15"/>
    <n v="106.24"/>
  </r>
  <r>
    <n v="330"/>
    <n v="35059.199999999997"/>
    <d v="2022-06-08T00:00:00"/>
    <x v="44"/>
    <s v="Mexico"/>
    <s v="Location 15"/>
    <n v="106.24"/>
  </r>
  <r>
    <n v="84"/>
    <n v="11639.04"/>
    <d v="2023-04-04T00:00:00"/>
    <x v="51"/>
    <s v="Mexico"/>
    <s v="Location 15"/>
    <n v="138.56"/>
  </r>
  <r>
    <n v="84"/>
    <n v="11639.04"/>
    <d v="2023-04-04T00:00:00"/>
    <x v="51"/>
    <s v="Mexico"/>
    <s v="Location 15"/>
    <n v="138.56"/>
  </r>
  <r>
    <n v="168"/>
    <n v="23278.080000000002"/>
    <d v="2023-04-04T00:00:00"/>
    <x v="51"/>
    <s v="Mexico"/>
    <s v="Location 15"/>
    <n v="138.56"/>
  </r>
  <r>
    <n v="84"/>
    <n v="11639.04"/>
    <d v="2023-04-04T00:00:00"/>
    <x v="51"/>
    <s v="Mexico"/>
    <s v="Location 15"/>
    <n v="138.56"/>
  </r>
  <r>
    <n v="84"/>
    <n v="11639.04"/>
    <d v="2023-04-04T00:00:00"/>
    <x v="51"/>
    <s v="Mexico"/>
    <s v="Location 15"/>
    <n v="138.56"/>
  </r>
  <r>
    <n v="400"/>
    <n v="42496"/>
    <d v="2023-05-03T00:00:00"/>
    <x v="44"/>
    <s v="Mexico"/>
    <s v="Location 15"/>
    <n v="106.24"/>
  </r>
  <r>
    <n v="200"/>
    <n v="21248"/>
    <d v="2023-05-03T00:00:00"/>
    <x v="44"/>
    <s v="Mexico"/>
    <s v="Location 15"/>
    <n v="106.24"/>
  </r>
  <r>
    <n v="1500"/>
    <n v="1725"/>
    <d v="2022-05-06T00:00:00"/>
    <x v="32"/>
    <s v="Mexico"/>
    <s v="Location 15"/>
    <n v="1.1499999999999999"/>
  </r>
  <r>
    <n v="400"/>
    <n v="42496"/>
    <d v="2023-06-12T00:00:00"/>
    <x v="44"/>
    <s v="Mexico"/>
    <s v="Location 15"/>
    <n v="106.24"/>
  </r>
  <r>
    <n v="120"/>
    <n v="10405.200000000001"/>
    <d v="2023-06-21T00:00:00"/>
    <x v="35"/>
    <s v="Mexico"/>
    <s v="Location 15"/>
    <n v="86.71"/>
  </r>
  <r>
    <n v="200"/>
    <n v="22522"/>
    <d v="2023-06-26T00:00:00"/>
    <x v="44"/>
    <s v="Mexico"/>
    <s v="Location 15"/>
    <n v="112.61"/>
  </r>
  <r>
    <n v="200"/>
    <n v="21248"/>
    <d v="2023-06-26T00:00:00"/>
    <x v="44"/>
    <s v="Mexico"/>
    <s v="Location 15"/>
    <n v="106.24"/>
  </r>
  <r>
    <n v="400"/>
    <n v="45044"/>
    <d v="2023-06-26T00:00:00"/>
    <x v="44"/>
    <s v="Mexico"/>
    <s v="Location 15"/>
    <n v="112.61"/>
  </r>
  <r>
    <n v="400"/>
    <n v="45044"/>
    <d v="2023-06-26T00:00:00"/>
    <x v="44"/>
    <s v="Mexico"/>
    <s v="Location 15"/>
    <n v="112.61"/>
  </r>
  <r>
    <n v="400"/>
    <n v="42496"/>
    <d v="2023-06-26T00:00:00"/>
    <x v="44"/>
    <s v="Mexico"/>
    <s v="Location 15"/>
    <n v="106.24"/>
  </r>
  <r>
    <n v="70"/>
    <n v="7882.7"/>
    <d v="2023-06-26T00:00:00"/>
    <x v="44"/>
    <s v="Mexico"/>
    <s v="Location 15"/>
    <n v="112.61"/>
  </r>
  <r>
    <n v="1500"/>
    <n v="1830"/>
    <d v="2023-01-30T00:00:00"/>
    <x v="32"/>
    <s v="Mexico"/>
    <s v="Location 15"/>
    <n v="1.22"/>
  </r>
  <r>
    <n v="360"/>
    <n v="3348"/>
    <d v="2023-04-20T00:00:00"/>
    <x v="52"/>
    <s v="Mexico"/>
    <s v="Location 15"/>
    <n v="9.3000000000000007"/>
  </r>
  <r>
    <n v="400"/>
    <n v="42496"/>
    <d v="2023-04-20T00:00:00"/>
    <x v="44"/>
    <s v="Mexico"/>
    <s v="Location 15"/>
    <n v="106.24"/>
  </r>
  <r>
    <n v="360"/>
    <n v="3348"/>
    <d v="2023-02-10T00:00:00"/>
    <x v="52"/>
    <s v="Mexico"/>
    <s v="Location 15"/>
    <n v="9.3000000000000007"/>
  </r>
  <r>
    <n v="3000"/>
    <n v="3450"/>
    <d v="2022-02-22T00:00:00"/>
    <x v="32"/>
    <s v="Mexico"/>
    <s v="Location 15"/>
    <n v="1.1499999999999999"/>
  </r>
  <r>
    <n v="84"/>
    <n v="11639.04"/>
    <d v="2023-02-24T00:00:00"/>
    <x v="51"/>
    <s v="Mexico"/>
    <s v="Location 15"/>
    <n v="138.56"/>
  </r>
  <r>
    <n v="84"/>
    <n v="10980.48"/>
    <d v="2022-09-06T00:00:00"/>
    <x v="51"/>
    <s v="Mexico"/>
    <s v="Location 15"/>
    <n v="130.72"/>
  </r>
  <r>
    <n v="120"/>
    <n v="11030.4"/>
    <d v="2023-09-06T00:00:00"/>
    <x v="35"/>
    <s v="Mexico"/>
    <s v="Location 15"/>
    <n v="91.92"/>
  </r>
  <r>
    <n v="1500"/>
    <n v="971.85"/>
    <d v="2022-09-07T00:00:00"/>
    <x v="13"/>
    <s v="Mexico"/>
    <s v="Location 15"/>
    <n v="0.64790000000000003"/>
  </r>
  <r>
    <n v="130"/>
    <n v="14639.3"/>
    <d v="2023-07-26T00:00:00"/>
    <x v="44"/>
    <s v="Mexico"/>
    <s v="Location 15"/>
    <n v="112.61"/>
  </r>
  <r>
    <n v="400"/>
    <n v="45044"/>
    <d v="2023-07-26T00:00:00"/>
    <x v="44"/>
    <s v="Mexico"/>
    <s v="Location 15"/>
    <n v="112.61"/>
  </r>
  <r>
    <n v="200"/>
    <n v="22522"/>
    <d v="2023-07-26T00:00:00"/>
    <x v="44"/>
    <s v="Mexico"/>
    <s v="Location 15"/>
    <n v="112.61"/>
  </r>
  <r>
    <n v="200"/>
    <n v="22522"/>
    <d v="2023-07-26T00:00:00"/>
    <x v="44"/>
    <s v="Mexico"/>
    <s v="Location 15"/>
    <n v="112.61"/>
  </r>
  <r>
    <n v="200"/>
    <n v="22522"/>
    <d v="2023-07-26T00:00:00"/>
    <x v="44"/>
    <s v="Mexico"/>
    <s v="Location 15"/>
    <n v="112.61"/>
  </r>
  <r>
    <n v="400"/>
    <n v="45044"/>
    <d v="2023-07-26T00:00:00"/>
    <x v="44"/>
    <s v="Mexico"/>
    <s v="Location 15"/>
    <n v="112.61"/>
  </r>
  <r>
    <n v="270"/>
    <n v="30404.7"/>
    <d v="2023-07-26T00:00:00"/>
    <x v="44"/>
    <s v="Mexico"/>
    <s v="Location 15"/>
    <n v="112.61"/>
  </r>
  <r>
    <n v="84"/>
    <n v="11639.04"/>
    <d v="2023-07-27T00:00:00"/>
    <x v="51"/>
    <s v="Mexico"/>
    <s v="Location 15"/>
    <n v="138.56"/>
  </r>
  <r>
    <n v="3780"/>
    <n v="52466.400000000001"/>
    <d v="2022-07-28T00:00:00"/>
    <x v="42"/>
    <s v="Mexico"/>
    <s v="Location 15"/>
    <n v="13.88"/>
  </r>
  <r>
    <n v="84"/>
    <n v="10980.48"/>
    <d v="2022-09-19T00:00:00"/>
    <x v="51"/>
    <s v="Mexico"/>
    <s v="Location 15"/>
    <n v="130.72"/>
  </r>
  <r>
    <n v="180"/>
    <n v="1512"/>
    <d v="2022-09-22T00:00:00"/>
    <x v="52"/>
    <s v="Mexico"/>
    <s v="Location 15"/>
    <n v="8.4"/>
  </r>
  <r>
    <n v="60"/>
    <n v="504"/>
    <d v="2022-09-22T00:00:00"/>
    <x v="52"/>
    <s v="Mexico"/>
    <s v="Location 15"/>
    <n v="8.4"/>
  </r>
  <r>
    <n v="1500"/>
    <n v="1725"/>
    <d v="2022-08-03T00:00:00"/>
    <x v="32"/>
    <s v="Mexico"/>
    <s v="Location 15"/>
    <n v="1.1499999999999999"/>
  </r>
  <r>
    <n v="120"/>
    <n v="1008"/>
    <d v="2022-09-22T00:00:00"/>
    <x v="52"/>
    <s v="Mexico"/>
    <s v="Location 15"/>
    <n v="8.4"/>
  </r>
  <r>
    <n v="1500"/>
    <n v="1721.16"/>
    <d v="2022-11-03T00:00:00"/>
    <x v="32"/>
    <s v="Mexico"/>
    <s v="Location 15"/>
    <n v="1.1474"/>
  </r>
  <r>
    <n v="360"/>
    <n v="3024"/>
    <d v="2022-11-07T00:00:00"/>
    <x v="52"/>
    <s v="Mexico"/>
    <s v="Location 15"/>
    <n v="8.4"/>
  </r>
  <r>
    <n v="108"/>
    <n v="9364.68"/>
    <d v="2022-09-30T00:00:00"/>
    <x v="35"/>
    <s v="Mexico"/>
    <s v="Location 15"/>
    <n v="86.71"/>
  </r>
  <r>
    <n v="120"/>
    <n v="10405.200000000001"/>
    <d v="2022-09-30T00:00:00"/>
    <x v="35"/>
    <s v="Mexico"/>
    <s v="Location 15"/>
    <n v="86.71"/>
  </r>
  <r>
    <n v="120"/>
    <n v="10405.200000000001"/>
    <d v="2023-08-16T00:00:00"/>
    <x v="35"/>
    <s v="Mexico"/>
    <s v="Location 15"/>
    <n v="86.71"/>
  </r>
  <r>
    <n v="400"/>
    <n v="45044"/>
    <d v="2023-08-16T00:00:00"/>
    <x v="44"/>
    <s v="Mexico"/>
    <s v="Location 15"/>
    <n v="112.61"/>
  </r>
  <r>
    <n v="1500"/>
    <n v="1725"/>
    <d v="2021-12-06T00:00:00"/>
    <x v="32"/>
    <s v="Mexico"/>
    <s v="Location 15"/>
    <n v="1.1499999999999999"/>
  </r>
  <r>
    <n v="1500"/>
    <n v="1725"/>
    <d v="2022-07-06T00:00:00"/>
    <x v="32"/>
    <s v="Mexico"/>
    <s v="Location 15"/>
    <n v="1.1499999999999999"/>
  </r>
  <r>
    <n v="84"/>
    <n v="11639.04"/>
    <d v="2023-07-07T00:00:00"/>
    <x v="51"/>
    <s v="Mexico"/>
    <s v="Location 15"/>
    <n v="138.56"/>
  </r>
  <r>
    <n v="3000"/>
    <n v="3660"/>
    <d v="2023-07-07T00:00:00"/>
    <x v="32"/>
    <s v="Mexico"/>
    <s v="Location 15"/>
    <n v="1.22"/>
  </r>
  <r>
    <n v="1500"/>
    <n v="1830"/>
    <d v="2023-07-07T00:00:00"/>
    <x v="32"/>
    <s v="Mexico"/>
    <s v="Location 15"/>
    <n v="1.22"/>
  </r>
  <r>
    <n v="1500"/>
    <n v="1830"/>
    <d v="2023-07-07T00:00:00"/>
    <x v="32"/>
    <s v="Mexico"/>
    <s v="Location 15"/>
    <n v="1.22"/>
  </r>
  <r>
    <n v="1500"/>
    <n v="1830"/>
    <d v="2023-07-07T00:00:00"/>
    <x v="32"/>
    <s v="Mexico"/>
    <s v="Location 15"/>
    <n v="1.22"/>
  </r>
  <r>
    <n v="120"/>
    <n v="10405.200000000001"/>
    <d v="2023-08-17T00:00:00"/>
    <x v="35"/>
    <s v="Mexico"/>
    <s v="Location 15"/>
    <n v="86.71"/>
  </r>
  <r>
    <n v="200"/>
    <n v="22522"/>
    <d v="2023-08-17T00:00:00"/>
    <x v="44"/>
    <s v="Mexico"/>
    <s v="Location 15"/>
    <n v="112.61"/>
  </r>
  <r>
    <n v="130"/>
    <n v="14639.3"/>
    <d v="2023-08-17T00:00:00"/>
    <x v="44"/>
    <s v="Mexico"/>
    <s v="Location 15"/>
    <n v="112.61"/>
  </r>
  <r>
    <n v="1500"/>
    <n v="1830"/>
    <d v="2023-08-17T00:00:00"/>
    <x v="32"/>
    <s v="Mexico"/>
    <s v="Location 15"/>
    <n v="1.22"/>
  </r>
  <r>
    <n v="84"/>
    <n v="10980.48"/>
    <d v="2022-10-13T00:00:00"/>
    <x v="51"/>
    <s v="Mexico"/>
    <s v="Location 15"/>
    <n v="130.72"/>
  </r>
  <r>
    <n v="180"/>
    <n v="1512"/>
    <d v="2022-12-15T00:00:00"/>
    <x v="52"/>
    <s v="Mexico"/>
    <s v="Location 15"/>
    <n v="8.4"/>
  </r>
  <r>
    <n v="330"/>
    <n v="34772.1"/>
    <d v="2022-07-12T00:00:00"/>
    <x v="53"/>
    <s v="Mexico"/>
    <s v="Location 15"/>
    <n v="105.37"/>
  </r>
  <r>
    <n v="120"/>
    <n v="1008"/>
    <d v="2022-08-22T00:00:00"/>
    <x v="52"/>
    <s v="Mexico"/>
    <s v="Location 15"/>
    <n v="8.4"/>
  </r>
  <r>
    <n v="240"/>
    <n v="2016"/>
    <d v="2022-08-22T00:00:00"/>
    <x v="52"/>
    <s v="Mexico"/>
    <s v="Location 15"/>
    <n v="8.4"/>
  </r>
  <r>
    <n v="72"/>
    <n v="6243.12"/>
    <d v="2022-08-22T00:00:00"/>
    <x v="35"/>
    <s v="Mexico"/>
    <s v="Location 15"/>
    <n v="86.71"/>
  </r>
  <r>
    <n v="108"/>
    <n v="9364.68"/>
    <d v="2022-08-22T00:00:00"/>
    <x v="35"/>
    <s v="Mexico"/>
    <s v="Location 15"/>
    <n v="86.71"/>
  </r>
  <r>
    <n v="72"/>
    <n v="6243.12"/>
    <d v="2022-08-22T00:00:00"/>
    <x v="35"/>
    <s v="Mexico"/>
    <s v="Location 15"/>
    <n v="86.71"/>
  </r>
  <r>
    <n v="120"/>
    <n v="11030.4"/>
    <d v="2023-08-23T00:00:00"/>
    <x v="35"/>
    <s v="Mexico"/>
    <s v="Location 15"/>
    <n v="91.92"/>
  </r>
  <r>
    <n v="108"/>
    <n v="9927.36"/>
    <d v="2023-08-23T00:00:00"/>
    <x v="35"/>
    <s v="Mexico"/>
    <s v="Location 15"/>
    <n v="91.92"/>
  </r>
  <r>
    <n v="12"/>
    <n v="1040.52"/>
    <d v="2023-08-23T00:00:00"/>
    <x v="35"/>
    <s v="Mexico"/>
    <s v="Location 15"/>
    <n v="86.71"/>
  </r>
  <r>
    <n v="1500"/>
    <n v="1725"/>
    <d v="2021-12-22T00:00:00"/>
    <x v="32"/>
    <s v="Mexico"/>
    <s v="Location 15"/>
    <n v="1.1499999999999999"/>
  </r>
  <r>
    <n v="3000"/>
    <n v="3450"/>
    <d v="2022-12-29T00:00:00"/>
    <x v="32"/>
    <s v="Mexico"/>
    <s v="Location 15"/>
    <n v="1.1499999999999999"/>
  </r>
  <r>
    <n v="1500"/>
    <n v="1725"/>
    <d v="2022-12-29T00:00:00"/>
    <x v="32"/>
    <s v="Mexico"/>
    <s v="Location 15"/>
    <n v="1.1499999999999999"/>
  </r>
  <r>
    <n v="120"/>
    <n v="11030.4"/>
    <d v="2023-08-28T00:00:00"/>
    <x v="35"/>
    <s v="Mexico"/>
    <s v="Location 15"/>
    <n v="91.92"/>
  </r>
  <r>
    <n v="120"/>
    <n v="1008"/>
    <d v="2022-10-21T00:00:00"/>
    <x v="52"/>
    <s v="Mexico"/>
    <s v="Location 15"/>
    <n v="8.4"/>
  </r>
  <r>
    <n v="1329"/>
    <s v=""/>
    <d v="2023-08-11T00:00:00"/>
    <x v="54"/>
    <s v="Mexico"/>
    <s v="Location 13"/>
    <s v=""/>
  </r>
  <r>
    <n v="351"/>
    <s v=""/>
    <d v="2023-08-11T00:00:00"/>
    <x v="54"/>
    <s v="Mexico"/>
    <s v="Location 13"/>
    <s v=""/>
  </r>
  <r>
    <n v="785"/>
    <s v=""/>
    <d v="2023-08-11T00:00:00"/>
    <x v="55"/>
    <s v="Mexico"/>
    <s v="Location 13"/>
    <s v=""/>
  </r>
  <r>
    <n v="-351"/>
    <s v=""/>
    <d v="2023-08-15T00:00:00"/>
    <x v="54"/>
    <s v="Mexico"/>
    <s v="Location 13"/>
    <s v=""/>
  </r>
  <r>
    <n v="-785"/>
    <s v=""/>
    <d v="2023-08-15T00:00:00"/>
    <x v="55"/>
    <s v="Mexico"/>
    <s v="Location 13"/>
    <s v=""/>
  </r>
  <r>
    <n v="-1329"/>
    <s v=""/>
    <d v="2023-08-15T00:00:00"/>
    <x v="54"/>
    <s v="Mexico"/>
    <s v="Location 13"/>
    <s v=""/>
  </r>
  <r>
    <n v="240"/>
    <n v="6355.2"/>
    <d v="2023-09-11T00:00:00"/>
    <x v="56"/>
    <s v="Mexico"/>
    <s v="Location 13"/>
    <n v="26.48"/>
  </r>
  <r>
    <n v="3000"/>
    <n v="5250"/>
    <d v="2022-01-18T00:00:00"/>
    <x v="40"/>
    <s v="Mexico"/>
    <s v="Location 13"/>
    <n v="1.75"/>
  </r>
  <r>
    <n v="18000"/>
    <n v="31500"/>
    <d v="2022-01-18T00:00:00"/>
    <x v="40"/>
    <s v="Mexico"/>
    <s v="Location 13"/>
    <n v="1.75"/>
  </r>
  <r>
    <n v="6000"/>
    <n v="10500"/>
    <d v="2022-01-18T00:00:00"/>
    <x v="40"/>
    <s v="Mexico"/>
    <s v="Location 13"/>
    <n v="1.75"/>
  </r>
  <r>
    <n v="12000"/>
    <n v="21000"/>
    <d v="2022-01-19T00:00:00"/>
    <x v="40"/>
    <s v="Mexico"/>
    <s v="Location 13"/>
    <n v="1.75"/>
  </r>
  <r>
    <n v="3000"/>
    <n v="5940"/>
    <d v="2022-01-28T00:00:00"/>
    <x v="57"/>
    <s v="Mexico"/>
    <s v="Location 13"/>
    <n v="1.98"/>
  </r>
  <r>
    <n v="4000"/>
    <n v="5360"/>
    <d v="2023-02-06T00:00:00"/>
    <x v="58"/>
    <s v="Mexico"/>
    <s v="Location 13"/>
    <n v="1.34"/>
  </r>
  <r>
    <n v="3000"/>
    <n v="5280"/>
    <d v="2023-02-07T00:00:00"/>
    <x v="6"/>
    <s v="Mexico"/>
    <s v="Location 13"/>
    <n v="1.76"/>
  </r>
  <r>
    <n v="3000"/>
    <n v="5940"/>
    <d v="2022-02-18T00:00:00"/>
    <x v="57"/>
    <s v="Mexico"/>
    <s v="Location 13"/>
    <n v="1.98"/>
  </r>
  <r>
    <n v="3000"/>
    <n v="5940"/>
    <d v="2022-02-25T00:00:00"/>
    <x v="57"/>
    <s v="Mexico"/>
    <s v="Location 13"/>
    <n v="1.98"/>
  </r>
  <r>
    <n v="3000"/>
    <n v="5280"/>
    <d v="2023-03-08T00:00:00"/>
    <x v="6"/>
    <s v="Mexico"/>
    <s v="Location 13"/>
    <n v="1.76"/>
  </r>
  <r>
    <n v="3000"/>
    <n v="5280"/>
    <d v="2023-03-08T00:00:00"/>
    <x v="6"/>
    <s v="Mexico"/>
    <s v="Location 13"/>
    <n v="1.76"/>
  </r>
  <r>
    <n v="4000"/>
    <n v="5360"/>
    <d v="2023-03-09T00:00:00"/>
    <x v="58"/>
    <s v="Mexico"/>
    <s v="Location 13"/>
    <n v="1.34"/>
  </r>
  <r>
    <n v="4000"/>
    <n v="5360"/>
    <d v="2023-03-15T00:00:00"/>
    <x v="58"/>
    <s v="Mexico"/>
    <s v="Location 13"/>
    <n v="1.34"/>
  </r>
  <r>
    <n v="6000"/>
    <n v="10500"/>
    <d v="2022-03-22T00:00:00"/>
    <x v="40"/>
    <s v="Mexico"/>
    <s v="Location 13"/>
    <n v="1.75"/>
  </r>
  <r>
    <n v="6000"/>
    <n v="10560"/>
    <d v="2022-03-29T00:00:00"/>
    <x v="6"/>
    <s v="Mexico"/>
    <s v="Location 13"/>
    <n v="1.76"/>
  </r>
  <r>
    <n v="4000"/>
    <n v="5360"/>
    <d v="2022-04-02T00:00:00"/>
    <x v="58"/>
    <s v="Mexico"/>
    <s v="Location 13"/>
    <n v="1.34"/>
  </r>
  <r>
    <n v="3000"/>
    <n v="5250"/>
    <d v="2022-04-08T00:00:00"/>
    <x v="40"/>
    <s v="Mexico"/>
    <s v="Location 13"/>
    <n v="1.75"/>
  </r>
  <r>
    <n v="3000"/>
    <n v="5280"/>
    <d v="2023-04-25T00:00:00"/>
    <x v="6"/>
    <s v="Mexico"/>
    <s v="Location 13"/>
    <n v="1.76"/>
  </r>
  <r>
    <n v="3000"/>
    <n v="5280"/>
    <d v="2023-04-25T00:00:00"/>
    <x v="6"/>
    <s v="Mexico"/>
    <s v="Location 13"/>
    <n v="1.76"/>
  </r>
  <r>
    <n v="3000"/>
    <n v="5940"/>
    <d v="2022-04-26T00:00:00"/>
    <x v="57"/>
    <s v="Mexico"/>
    <s v="Location 13"/>
    <n v="1.98"/>
  </r>
  <r>
    <n v="4000"/>
    <n v="5360"/>
    <d v="2023-04-28T00:00:00"/>
    <x v="58"/>
    <s v="Mexico"/>
    <s v="Location 13"/>
    <n v="1.34"/>
  </r>
  <r>
    <n v="4000"/>
    <n v="5360"/>
    <d v="2023-04-28T00:00:00"/>
    <x v="58"/>
    <s v="Mexico"/>
    <s v="Location 13"/>
    <n v="1.34"/>
  </r>
  <r>
    <n v="3000"/>
    <n v="5280"/>
    <d v="2023-04-28T00:00:00"/>
    <x v="6"/>
    <s v="Mexico"/>
    <s v="Location 13"/>
    <n v="1.76"/>
  </r>
  <r>
    <n v="3000"/>
    <n v="5940"/>
    <d v="2022-05-17T00:00:00"/>
    <x v="57"/>
    <s v="Mexico"/>
    <s v="Location 13"/>
    <n v="1.98"/>
  </r>
  <r>
    <n v="3000"/>
    <n v="5940"/>
    <d v="2022-05-17T00:00:00"/>
    <x v="57"/>
    <s v="Mexico"/>
    <s v="Location 13"/>
    <n v="1.98"/>
  </r>
  <r>
    <n v="20"/>
    <n v="11225.8"/>
    <d v="2023-02-01T00:00:00"/>
    <x v="59"/>
    <s v="Mexico"/>
    <s v="Location 13"/>
    <n v="561.29"/>
  </r>
  <r>
    <n v="22"/>
    <n v="13154.9"/>
    <d v="2023-03-08T00:00:00"/>
    <x v="59"/>
    <s v="Mexico"/>
    <s v="Location 13"/>
    <n v="597.95000000000005"/>
  </r>
  <r>
    <n v="540"/>
    <n v="30153.599999999999"/>
    <d v="2023-03-27T00:00:00"/>
    <x v="60"/>
    <s v="Mexico"/>
    <s v="Location 13"/>
    <n v="55.84"/>
  </r>
  <r>
    <n v="54"/>
    <n v="3015.36"/>
    <d v="2023-04-06T00:00:00"/>
    <x v="60"/>
    <s v="Mexico"/>
    <s v="Location 13"/>
    <n v="55.84"/>
  </r>
  <r>
    <n v="13"/>
    <n v="7773.35"/>
    <d v="2023-05-05T00:00:00"/>
    <x v="59"/>
    <s v="Mexico"/>
    <s v="Location 13"/>
    <n v="597.95000000000005"/>
  </r>
  <r>
    <n v="1350"/>
    <n v="175891.5"/>
    <d v="2023-06-15T00:00:00"/>
    <x v="54"/>
    <s v="Mexico"/>
    <s v="Location 13"/>
    <n v="130.29"/>
  </r>
  <r>
    <n v="54"/>
    <n v="7035.66"/>
    <d v="2023-06-26T00:00:00"/>
    <x v="54"/>
    <s v="Mexico"/>
    <s v="Location 13"/>
    <n v="130.29"/>
  </r>
  <r>
    <n v="65"/>
    <n v="38866.75"/>
    <d v="2023-06-30T00:00:00"/>
    <x v="59"/>
    <s v="Mexico"/>
    <s v="Location 13"/>
    <n v="597.95000000000005"/>
  </r>
  <r>
    <n v="270"/>
    <n v="35178.300000000003"/>
    <d v="2023-07-21T00:00:00"/>
    <x v="54"/>
    <s v="Mexico"/>
    <s v="Location 13"/>
    <n v="130.29"/>
  </r>
  <r>
    <n v="544"/>
    <n v="81001.600000000006"/>
    <d v="2023-07-26T00:00:00"/>
    <x v="55"/>
    <s v="Mexico"/>
    <s v="Location 13"/>
    <n v="148.9"/>
  </r>
  <r>
    <n v="295"/>
    <n v="43925.5"/>
    <d v="2023-08-11T00:00:00"/>
    <x v="55"/>
    <s v="Mexico"/>
    <s v="Location 13"/>
    <n v="148.9"/>
  </r>
  <r>
    <n v="75"/>
    <n v="9771.75"/>
    <d v="2023-08-11T00:00:00"/>
    <x v="54"/>
    <s v="Mexico"/>
    <s v="Location 13"/>
    <n v="130.29"/>
  </r>
  <r>
    <n v="655"/>
    <n v="85339.95"/>
    <d v="2023-08-11T00:00:00"/>
    <x v="54"/>
    <s v="Mexico"/>
    <s v="Location 13"/>
    <n v="130.29"/>
  </r>
  <r>
    <n v="-295"/>
    <n v="-43925.5"/>
    <d v="2023-08-15T00:00:00"/>
    <x v="55"/>
    <s v="Mexico"/>
    <s v="Location 13"/>
    <n v="148.9"/>
  </r>
  <r>
    <n v="-75"/>
    <n v="-9771.75"/>
    <d v="2023-08-15T00:00:00"/>
    <x v="54"/>
    <s v="Mexico"/>
    <s v="Location 13"/>
    <n v="130.29"/>
  </r>
  <r>
    <n v="-655"/>
    <n v="-85339.95"/>
    <d v="2023-08-15T00:00:00"/>
    <x v="54"/>
    <s v="Mexico"/>
    <s v="Location 13"/>
    <n v="130.29"/>
  </r>
  <r>
    <n v="295"/>
    <n v="43925.5"/>
    <d v="2023-08-16T00:00:00"/>
    <x v="55"/>
    <s v="Mexico"/>
    <s v="Location 13"/>
    <n v="148.9"/>
  </r>
  <r>
    <n v="200"/>
    <n v="29780"/>
    <d v="2023-08-16T00:00:00"/>
    <x v="55"/>
    <s v="Mexico"/>
    <s v="Location 13"/>
    <n v="148.9"/>
  </r>
  <r>
    <n v="585"/>
    <n v="87106.5"/>
    <d v="2023-08-16T00:00:00"/>
    <x v="55"/>
    <s v="Mexico"/>
    <s v="Location 13"/>
    <n v="148.9"/>
  </r>
  <r>
    <n v="75"/>
    <n v="9771.75"/>
    <d v="2023-08-16T00:00:00"/>
    <x v="54"/>
    <s v="Mexico"/>
    <s v="Location 13"/>
    <n v="130.29"/>
  </r>
  <r>
    <n v="1052"/>
    <n v="137065.07999999999"/>
    <d v="2023-08-16T00:00:00"/>
    <x v="54"/>
    <s v="Mexico"/>
    <s v="Location 13"/>
    <n v="130.29"/>
  </r>
  <r>
    <n v="277"/>
    <n v="36090.33"/>
    <d v="2023-08-16T00:00:00"/>
    <x v="54"/>
    <s v="Mexico"/>
    <s v="Location 13"/>
    <n v="130.29"/>
  </r>
  <r>
    <n v="655"/>
    <n v="85339.95"/>
    <d v="2023-08-16T00:00:00"/>
    <x v="54"/>
    <s v="Mexico"/>
    <s v="Location 13"/>
    <n v="130.29"/>
  </r>
  <r>
    <n v="351"/>
    <n v="45731.79"/>
    <d v="2023-08-16T00:00:00"/>
    <x v="54"/>
    <s v="Mexico"/>
    <s v="Location 13"/>
    <n v="130.29"/>
  </r>
  <r>
    <n v="60"/>
    <n v="35877"/>
    <d v="2023-08-17T00:00:00"/>
    <x v="59"/>
    <s v="Mexico"/>
    <s v="Location 13"/>
    <n v="597.95000000000005"/>
  </r>
  <r>
    <n v="4000"/>
    <n v="5360"/>
    <d v="2022-05-18T00:00:00"/>
    <x v="58"/>
    <s v="Mexico"/>
    <s v="Location 13"/>
    <n v="1.34"/>
  </r>
  <r>
    <n v="3000"/>
    <n v="5940"/>
    <d v="2022-05-23T00:00:00"/>
    <x v="57"/>
    <s v="Mexico"/>
    <s v="Location 13"/>
    <n v="1.98"/>
  </r>
  <r>
    <n v="4000"/>
    <n v="5360"/>
    <d v="2023-05-23T00:00:00"/>
    <x v="58"/>
    <s v="Mexico"/>
    <s v="Location 13"/>
    <n v="1.34"/>
  </r>
  <r>
    <n v="3000"/>
    <n v="5940"/>
    <d v="2022-06-30T00:00:00"/>
    <x v="57"/>
    <s v="Mexico"/>
    <s v="Location 13"/>
    <n v="1.98"/>
  </r>
  <r>
    <n v="3000"/>
    <n v="5940"/>
    <d v="2022-06-30T00:00:00"/>
    <x v="57"/>
    <s v="Mexico"/>
    <s v="Location 13"/>
    <n v="1.98"/>
  </r>
  <r>
    <n v="4000"/>
    <n v="5360"/>
    <d v="2021-09-07T00:00:00"/>
    <x v="58"/>
    <s v="Mexico"/>
    <s v="Location 13"/>
    <n v="1.34"/>
  </r>
  <r>
    <n v="3000"/>
    <n v="5940"/>
    <d v="2021-09-07T00:00:00"/>
    <x v="57"/>
    <s v="Mexico"/>
    <s v="Location 13"/>
    <n v="1.98"/>
  </r>
  <r>
    <n v="3000"/>
    <n v="5940"/>
    <d v="2021-09-07T00:00:00"/>
    <x v="57"/>
    <s v="Mexico"/>
    <s v="Location 13"/>
    <n v="1.98"/>
  </r>
  <r>
    <n v="3000"/>
    <n v="5940"/>
    <d v="2021-09-07T00:00:00"/>
    <x v="57"/>
    <s v="Mexico"/>
    <s v="Location 13"/>
    <n v="1.98"/>
  </r>
  <r>
    <n v="3000"/>
    <n v="5940"/>
    <d v="2021-09-22T00:00:00"/>
    <x v="57"/>
    <s v="Mexico"/>
    <s v="Location 13"/>
    <n v="1.98"/>
  </r>
  <r>
    <n v="6000"/>
    <n v="11880"/>
    <d v="2021-09-28T00:00:00"/>
    <x v="57"/>
    <s v="Mexico"/>
    <s v="Location 13"/>
    <n v="1.98"/>
  </r>
  <r>
    <n v="3000"/>
    <n v="5940"/>
    <d v="2021-10-06T00:00:00"/>
    <x v="57"/>
    <s v="Mexico"/>
    <s v="Location 13"/>
    <n v="1.98"/>
  </r>
  <r>
    <n v="4000"/>
    <n v="5360"/>
    <d v="2021-10-18T00:00:00"/>
    <x v="58"/>
    <s v="Mexico"/>
    <s v="Location 13"/>
    <n v="1.34"/>
  </r>
  <r>
    <n v="3000"/>
    <n v="5940"/>
    <d v="2021-11-05T00:00:00"/>
    <x v="57"/>
    <s v="Mexico"/>
    <s v="Location 13"/>
    <n v="1.98"/>
  </r>
  <r>
    <n v="4000"/>
    <n v="5360"/>
    <d v="2021-11-10T00:00:00"/>
    <x v="58"/>
    <s v="Mexico"/>
    <s v="Location 13"/>
    <n v="1.34"/>
  </r>
  <r>
    <n v="3000"/>
    <n v="5940"/>
    <d v="2021-11-18T00:00:00"/>
    <x v="57"/>
    <s v="Mexico"/>
    <s v="Location 13"/>
    <n v="1.98"/>
  </r>
  <r>
    <n v="3000"/>
    <n v="5280"/>
    <d v="2022-12-01T00:00:00"/>
    <x v="6"/>
    <s v="Mexico"/>
    <s v="Location 13"/>
    <n v="1.76"/>
  </r>
  <r>
    <n v="3000"/>
    <n v="5280"/>
    <d v="2022-12-01T00:00:00"/>
    <x v="6"/>
    <s v="Mexico"/>
    <s v="Location 13"/>
    <n v="1.76"/>
  </r>
  <r>
    <n v="3000"/>
    <n v="5280"/>
    <d v="2022-12-01T00:00:00"/>
    <x v="6"/>
    <s v="Mexico"/>
    <s v="Location 13"/>
    <n v="1.76"/>
  </r>
  <r>
    <n v="3000"/>
    <n v="5280"/>
    <d v="2022-12-01T00:00:00"/>
    <x v="6"/>
    <s v="Mexico"/>
    <s v="Location 13"/>
    <n v="1.76"/>
  </r>
  <r>
    <n v="3000"/>
    <n v="5940"/>
    <d v="2021-12-16T00:00:00"/>
    <x v="57"/>
    <s v="Mexico"/>
    <s v="Location 13"/>
    <n v="1.98"/>
  </r>
  <r>
    <n v="3000"/>
    <n v="5940"/>
    <d v="2021-12-16T00:00:00"/>
    <x v="57"/>
    <s v="Mexico"/>
    <s v="Location 13"/>
    <n v="1.98"/>
  </r>
  <r>
    <n v="3000"/>
    <n v="5940"/>
    <d v="2021-12-17T00:00:00"/>
    <x v="57"/>
    <s v="Mexico"/>
    <s v="Location 13"/>
    <n v="1.98"/>
  </r>
  <r>
    <n v="4000"/>
    <n v="5360"/>
    <d v="2021-12-20T00:00:00"/>
    <x v="58"/>
    <s v="Mexico"/>
    <s v="Location 13"/>
    <n v="1.34"/>
  </r>
  <r>
    <n v="3000"/>
    <n v="5940"/>
    <d v="2021-12-20T00:00:00"/>
    <x v="57"/>
    <s v="Mexico"/>
    <s v="Location 13"/>
    <n v="1.98"/>
  </r>
  <r>
    <n v="3000"/>
    <n v="5280"/>
    <d v="2022-12-23T00:00:00"/>
    <x v="6"/>
    <s v="Mexico"/>
    <s v="Location 13"/>
    <n v="1.76"/>
  </r>
  <r>
    <n v="3000"/>
    <n v="5610"/>
    <d v="2023-01-17T00:00:00"/>
    <x v="61"/>
    <s v="Mexico"/>
    <s v="Location 13"/>
    <n v="1.87"/>
  </r>
  <r>
    <n v="3000"/>
    <n v="9450"/>
    <d v="2022-01-28T00:00:00"/>
    <x v="62"/>
    <s v="Mexico"/>
    <s v="Location 13"/>
    <n v="3.15"/>
  </r>
  <r>
    <n v="3000"/>
    <n v="9450"/>
    <d v="2023-02-06T00:00:00"/>
    <x v="62"/>
    <s v="Mexico"/>
    <s v="Location 13"/>
    <n v="3.15"/>
  </r>
  <r>
    <n v="3000"/>
    <n v="3720"/>
    <d v="2022-05-17T00:00:00"/>
    <x v="63"/>
    <s v="Mexico"/>
    <s v="Location 13"/>
    <n v="1.24"/>
  </r>
  <r>
    <n v="3000"/>
    <n v="5610"/>
    <d v="2022-06-17T00:00:00"/>
    <x v="61"/>
    <s v="Mexico"/>
    <s v="Location 13"/>
    <n v="1.87"/>
  </r>
  <r>
    <n v="3000"/>
    <n v="5610"/>
    <d v="2023-06-22T00:00:00"/>
    <x v="61"/>
    <s v="Mexico"/>
    <s v="Location 13"/>
    <n v="1.87"/>
  </r>
  <r>
    <n v="3000"/>
    <n v="9450"/>
    <d v="2022-06-30T00:00:00"/>
    <x v="62"/>
    <s v="Mexico"/>
    <s v="Location 13"/>
    <n v="3.15"/>
  </r>
  <r>
    <n v="3000"/>
    <n v="5610"/>
    <d v="2022-04-02T00:00:00"/>
    <x v="61"/>
    <s v="Mexico"/>
    <s v="Location 13"/>
    <n v="1.87"/>
  </r>
  <r>
    <n v="3000"/>
    <n v="9450"/>
    <d v="2022-04-13T00:00:00"/>
    <x v="62"/>
    <s v="Mexico"/>
    <s v="Location 13"/>
    <n v="3.15"/>
  </r>
  <r>
    <n v="3000"/>
    <n v="4620"/>
    <d v="2023-06-23T00:00:00"/>
    <x v="64"/>
    <s v="Mexico"/>
    <s v="Location 13"/>
    <n v="1.54"/>
  </r>
  <r>
    <n v="3000"/>
    <n v="9450"/>
    <d v="2023-06-23T00:00:00"/>
    <x v="62"/>
    <s v="Mexico"/>
    <s v="Location 13"/>
    <n v="3.15"/>
  </r>
  <r>
    <n v="3000"/>
    <n v="9450"/>
    <d v="2023-06-23T00:00:00"/>
    <x v="62"/>
    <s v="Mexico"/>
    <s v="Location 13"/>
    <n v="3.15"/>
  </r>
  <r>
    <n v="3000"/>
    <n v="3708"/>
    <d v="2023-06-26T00:00:00"/>
    <x v="63"/>
    <s v="Mexico"/>
    <s v="Location 13"/>
    <n v="1.236"/>
  </r>
  <r>
    <n v="2500"/>
    <n v="2875"/>
    <d v="2023-06-26T00:00:00"/>
    <x v="65"/>
    <s v="Mexico"/>
    <s v="Location 13"/>
    <n v="1.1499999999999999"/>
  </r>
  <r>
    <n v="3000"/>
    <n v="5610"/>
    <d v="2023-06-26T00:00:00"/>
    <x v="61"/>
    <s v="Mexico"/>
    <s v="Location 13"/>
    <n v="1.87"/>
  </r>
  <r>
    <n v="3000"/>
    <n v="5610"/>
    <d v="2023-06-26T00:00:00"/>
    <x v="61"/>
    <s v="Mexico"/>
    <s v="Location 13"/>
    <n v="1.87"/>
  </r>
  <r>
    <n v="3000"/>
    <n v="5610"/>
    <d v="2022-08-09T00:00:00"/>
    <x v="61"/>
    <s v="Mexico"/>
    <s v="Location 13"/>
    <n v="1.87"/>
  </r>
  <r>
    <n v="3000"/>
    <n v="4620"/>
    <d v="2023-04-25T00:00:00"/>
    <x v="64"/>
    <s v="Mexico"/>
    <s v="Location 13"/>
    <n v="1.54"/>
  </r>
  <r>
    <n v="3000"/>
    <n v="9450"/>
    <d v="2023-04-25T00:00:00"/>
    <x v="62"/>
    <s v="Mexico"/>
    <s v="Location 13"/>
    <n v="3.15"/>
  </r>
  <r>
    <n v="3000"/>
    <n v="3720"/>
    <d v="2023-04-28T00:00:00"/>
    <x v="63"/>
    <s v="Mexico"/>
    <s v="Location 13"/>
    <n v="1.24"/>
  </r>
  <r>
    <n v="3000"/>
    <n v="5610"/>
    <d v="2023-05-05T00:00:00"/>
    <x v="61"/>
    <s v="Mexico"/>
    <s v="Location 13"/>
    <n v="1.87"/>
  </r>
  <r>
    <n v="3000"/>
    <n v="4620"/>
    <d v="2022-08-16T00:00:00"/>
    <x v="64"/>
    <s v="Mexico"/>
    <s v="Location 13"/>
    <n v="1.54"/>
  </r>
  <r>
    <n v="3000"/>
    <n v="3720"/>
    <d v="2022-08-19T00:00:00"/>
    <x v="63"/>
    <s v="Mexico"/>
    <s v="Location 13"/>
    <n v="1.24"/>
  </r>
  <r>
    <n v="3000"/>
    <n v="3720"/>
    <d v="2022-11-17T00:00:00"/>
    <x v="63"/>
    <s v="Mexico"/>
    <s v="Location 13"/>
    <n v="1.24"/>
  </r>
  <r>
    <n v="3000"/>
    <n v="9450"/>
    <d v="2022-10-06T00:00:00"/>
    <x v="62"/>
    <s v="Mexico"/>
    <s v="Location 13"/>
    <n v="3.15"/>
  </r>
  <r>
    <n v="3000"/>
    <n v="5610"/>
    <d v="2022-10-17T00:00:00"/>
    <x v="61"/>
    <s v="Mexico"/>
    <s v="Location 13"/>
    <n v="1.87"/>
  </r>
  <r>
    <n v="2500"/>
    <n v="2875"/>
    <d v="2022-10-21T00:00:00"/>
    <x v="65"/>
    <s v="Mexico"/>
    <s v="Location 13"/>
    <n v="1.1499999999999999"/>
  </r>
  <r>
    <n v="300"/>
    <n v="132162"/>
    <d v="2023-01-05T00:00:00"/>
    <x v="5"/>
    <s v="Mexico"/>
    <s v="Location 13"/>
    <n v="440.54"/>
  </r>
  <r>
    <n v="630"/>
    <n v="228047.4"/>
    <d v="2023-04-27T00:00:00"/>
    <x v="8"/>
    <s v="Mexico"/>
    <s v="Location 13"/>
    <n v="361.98"/>
  </r>
  <r>
    <n v="420"/>
    <n v="170772"/>
    <d v="2023-03-08T00:00:00"/>
    <x v="4"/>
    <s v="Mexico"/>
    <s v="Location 13"/>
    <n v="406.6"/>
  </r>
  <r>
    <n v="70"/>
    <n v="28462"/>
    <d v="2023-03-08T00:00:00"/>
    <x v="4"/>
    <s v="Mexico"/>
    <s v="Location 13"/>
    <n v="406.6"/>
  </r>
  <r>
    <n v="210"/>
    <n v="85386"/>
    <d v="2023-03-08T00:00:00"/>
    <x v="4"/>
    <s v="Mexico"/>
    <s v="Location 13"/>
    <n v="406.6"/>
  </r>
  <r>
    <n v="140"/>
    <n v="56924"/>
    <d v="2023-03-08T00:00:00"/>
    <x v="4"/>
    <s v="Mexico"/>
    <s v="Location 13"/>
    <n v="406.6"/>
  </r>
  <r>
    <n v="70"/>
    <n v="28462"/>
    <d v="2023-03-08T00:00:00"/>
    <x v="4"/>
    <s v="Mexico"/>
    <s v="Location 13"/>
    <n v="406.6"/>
  </r>
  <r>
    <n v="450"/>
    <n v="342936"/>
    <d v="2023-04-05T00:00:00"/>
    <x v="14"/>
    <s v="Mexico"/>
    <s v="Location 13"/>
    <n v="762.08"/>
  </r>
  <r>
    <n v="210"/>
    <n v="160036.79999999999"/>
    <d v="2023-04-05T00:00:00"/>
    <x v="14"/>
    <s v="Mexico"/>
    <s v="Location 13"/>
    <n v="762.08"/>
  </r>
  <r>
    <n v="240"/>
    <n v="206515.20000000001"/>
    <d v="2023-04-19T00:00:00"/>
    <x v="0"/>
    <s v="Mexico"/>
    <s v="Location 13"/>
    <n v="860.48"/>
  </r>
  <r>
    <n v="120"/>
    <n v="103257.60000000001"/>
    <d v="2023-04-19T00:00:00"/>
    <x v="0"/>
    <s v="Mexico"/>
    <s v="Location 13"/>
    <n v="860.48"/>
  </r>
  <r>
    <n v="330"/>
    <n v="145378.20000000001"/>
    <d v="2023-04-19T00:00:00"/>
    <x v="5"/>
    <s v="Mexico"/>
    <s v="Location 13"/>
    <n v="440.54"/>
  </r>
  <r>
    <n v="540"/>
    <n v="237891.6"/>
    <d v="2023-04-19T00:00:00"/>
    <x v="5"/>
    <s v="Mexico"/>
    <s v="Location 13"/>
    <n v="440.54"/>
  </r>
  <r>
    <n v="30"/>
    <n v="22862.400000000001"/>
    <d v="2023-05-09T00:00:00"/>
    <x v="14"/>
    <s v="Mexico"/>
    <s v="Location 13"/>
    <n v="762.08"/>
  </r>
  <r>
    <n v="240"/>
    <n v="182899.20000000001"/>
    <d v="2023-05-09T00:00:00"/>
    <x v="14"/>
    <s v="Mexico"/>
    <s v="Location 13"/>
    <n v="762.08"/>
  </r>
  <r>
    <n v="300"/>
    <n v="228624"/>
    <d v="2023-05-09T00:00:00"/>
    <x v="14"/>
    <s v="Mexico"/>
    <s v="Location 13"/>
    <n v="762.08"/>
  </r>
  <r>
    <n v="140"/>
    <n v="50677.2"/>
    <d v="2023-02-08T00:00:00"/>
    <x v="8"/>
    <s v="Mexico"/>
    <s v="Location 13"/>
    <n v="361.98"/>
  </r>
  <r>
    <n v="510"/>
    <n v="224675.4"/>
    <d v="2023-02-08T00:00:00"/>
    <x v="5"/>
    <s v="Mexico"/>
    <s v="Location 13"/>
    <n v="440.54"/>
  </r>
  <r>
    <n v="240"/>
    <n v="105729.60000000001"/>
    <d v="2023-02-28T00:00:00"/>
    <x v="5"/>
    <s v="Mexico"/>
    <s v="Location 13"/>
    <n v="440.54"/>
  </r>
  <r>
    <n v="216"/>
    <n v="23392.799999999999"/>
    <d v="2023-02-28T00:00:00"/>
    <x v="9"/>
    <s v="Mexico"/>
    <s v="Location 13"/>
    <n v="108.3"/>
  </r>
  <r>
    <n v="2160"/>
    <n v="233928"/>
    <d v="2022-12-08T00:00:00"/>
    <x v="9"/>
    <s v="Mexico"/>
    <s v="Location 13"/>
    <n v="108.3"/>
  </r>
  <r>
    <n v="15"/>
    <n v="12907.2"/>
    <d v="2022-12-16T00:00:00"/>
    <x v="0"/>
    <s v="Mexico"/>
    <s v="Location 13"/>
    <n v="860.48"/>
  </r>
  <r>
    <n v="36"/>
    <n v="16585.560000000001"/>
    <d v="2023-08-31T00:00:00"/>
    <x v="40"/>
    <s v="Mexico"/>
    <s v="Location 13"/>
    <n v="460.71"/>
  </r>
  <r>
    <n v="36"/>
    <n v="16585.560000000001"/>
    <d v="2023-08-31T00:00:00"/>
    <x v="40"/>
    <s v="Mexico"/>
    <s v="Location 13"/>
    <n v="460.71"/>
  </r>
  <r>
    <n v="36"/>
    <n v="16585.560000000001"/>
    <d v="2023-08-31T00:00:00"/>
    <x v="40"/>
    <s v="Mexico"/>
    <s v="Location 13"/>
    <n v="460.71"/>
  </r>
  <r>
    <n v="36"/>
    <n v="16585.560000000001"/>
    <d v="2023-08-31T00:00:00"/>
    <x v="40"/>
    <s v="Mexico"/>
    <s v="Location 13"/>
    <n v="460.71"/>
  </r>
  <r>
    <n v="36"/>
    <n v="16585.560000000001"/>
    <d v="2023-08-31T00:00:00"/>
    <x v="40"/>
    <s v="Mexico"/>
    <s v="Location 13"/>
    <n v="460.71"/>
  </r>
  <r>
    <n v="36"/>
    <n v="16585.560000000001"/>
    <d v="2023-08-31T00:00:00"/>
    <x v="40"/>
    <s v="Mexico"/>
    <s v="Location 13"/>
    <n v="460.71"/>
  </r>
  <r>
    <n v="36"/>
    <n v="16585.560000000001"/>
    <d v="2023-08-31T00:00:00"/>
    <x v="40"/>
    <s v="Mexico"/>
    <s v="Location 13"/>
    <n v="460.71"/>
  </r>
  <r>
    <n v="72"/>
    <n v="33171.120000000003"/>
    <d v="2023-08-31T00:00:00"/>
    <x v="40"/>
    <s v="Mexico"/>
    <s v="Location 13"/>
    <n v="460.71"/>
  </r>
  <r>
    <n v="108"/>
    <n v="12334.68"/>
    <d v="2023-01-12T00:00:00"/>
    <x v="9"/>
    <s v="Mexico"/>
    <s v="Location 13"/>
    <n v="114.21"/>
  </r>
  <r>
    <n v="108"/>
    <n v="12334.68"/>
    <d v="2023-01-12T00:00:00"/>
    <x v="9"/>
    <s v="Mexico"/>
    <s v="Location 13"/>
    <n v="114.21"/>
  </r>
  <r>
    <n v="120"/>
    <n v="51024"/>
    <d v="2023-01-12T00:00:00"/>
    <x v="1"/>
    <s v="Mexico"/>
    <s v="Location 13"/>
    <n v="425.2"/>
  </r>
  <r>
    <n v="700"/>
    <n v="290661"/>
    <d v="2023-01-12T00:00:00"/>
    <x v="36"/>
    <s v="Mexico"/>
    <s v="Location 13"/>
    <n v="415.23"/>
  </r>
  <r>
    <n v="816"/>
    <n v="54035.519999999997"/>
    <d v="2023-01-12T00:00:00"/>
    <x v="66"/>
    <s v="Mexico"/>
    <s v="Location 13"/>
    <n v="66.22"/>
  </r>
  <r>
    <n v="16"/>
    <n v="1059.52"/>
    <d v="2022-06-07T00:00:00"/>
    <x v="66"/>
    <s v="Mexico"/>
    <s v="Location 13"/>
    <n v="66.22"/>
  </r>
  <r>
    <n v="266"/>
    <n v="44778.44"/>
    <d v="2022-01-21T00:00:00"/>
    <x v="67"/>
    <s v="Mexico"/>
    <s v="Location 13"/>
    <n v="168.34"/>
  </r>
  <r>
    <n v="140"/>
    <n v="50677.2"/>
    <d v="2022-04-01T00:00:00"/>
    <x v="8"/>
    <s v="Mexico"/>
    <s v="Location 13"/>
    <n v="361.98"/>
  </r>
  <r>
    <n v="240"/>
    <n v="182899.20000000001"/>
    <d v="2022-04-05T00:00:00"/>
    <x v="14"/>
    <s v="Mexico"/>
    <s v="Location 13"/>
    <n v="762.08"/>
  </r>
  <r>
    <n v="240"/>
    <n v="182899.20000000001"/>
    <d v="2022-04-05T00:00:00"/>
    <x v="14"/>
    <s v="Mexico"/>
    <s v="Location 13"/>
    <n v="762.08"/>
  </r>
  <r>
    <n v="240"/>
    <n v="182899.20000000001"/>
    <d v="2022-04-05T00:00:00"/>
    <x v="14"/>
    <s v="Mexico"/>
    <s v="Location 13"/>
    <n v="762.08"/>
  </r>
  <r>
    <n v="240"/>
    <n v="182899.20000000001"/>
    <d v="2022-04-05T00:00:00"/>
    <x v="14"/>
    <s v="Mexico"/>
    <s v="Location 13"/>
    <n v="762.08"/>
  </r>
  <r>
    <n v="226"/>
    <n v="38047.1"/>
    <d v="2022-04-13T00:00:00"/>
    <x v="67"/>
    <s v="Mexico"/>
    <s v="Location 13"/>
    <n v="168.35"/>
  </r>
  <r>
    <n v="111"/>
    <n v="18686.849999999999"/>
    <d v="2022-05-04T00:00:00"/>
    <x v="67"/>
    <s v="Mexico"/>
    <s v="Location 13"/>
    <n v="168.35"/>
  </r>
  <r>
    <n v="140"/>
    <n v="56924"/>
    <d v="2022-05-04T00:00:00"/>
    <x v="4"/>
    <s v="Mexico"/>
    <s v="Location 13"/>
    <n v="406.6"/>
  </r>
  <r>
    <n v="280"/>
    <n v="113848"/>
    <d v="2022-05-04T00:00:00"/>
    <x v="4"/>
    <s v="Mexico"/>
    <s v="Location 13"/>
    <n v="406.6"/>
  </r>
  <r>
    <n v="38"/>
    <n v="6397.3"/>
    <d v="2022-04-13T00:00:00"/>
    <x v="67"/>
    <s v="Mexico"/>
    <s v="Location 13"/>
    <n v="168.35"/>
  </r>
  <r>
    <n v="108"/>
    <n v="11695.32"/>
    <d v="2022-06-10T00:00:00"/>
    <x v="9"/>
    <s v="Mexico"/>
    <s v="Location 13"/>
    <n v="108.29"/>
  </r>
  <r>
    <n v="108"/>
    <n v="11695.32"/>
    <d v="2022-06-21T00:00:00"/>
    <x v="9"/>
    <s v="Mexico"/>
    <s v="Location 13"/>
    <n v="108.29"/>
  </r>
  <r>
    <n v="140"/>
    <n v="50677.2"/>
    <d v="2022-02-08T00:00:00"/>
    <x v="8"/>
    <s v="Mexico"/>
    <s v="Location 13"/>
    <n v="361.98"/>
  </r>
  <r>
    <n v="210"/>
    <n v="76015.8"/>
    <d v="2022-02-08T00:00:00"/>
    <x v="8"/>
    <s v="Mexico"/>
    <s v="Location 13"/>
    <n v="361.98"/>
  </r>
  <r>
    <n v="70"/>
    <n v="25338.6"/>
    <d v="2022-02-08T00:00:00"/>
    <x v="8"/>
    <s v="Mexico"/>
    <s v="Location 13"/>
    <n v="361.98"/>
  </r>
  <r>
    <n v="140"/>
    <n v="50677.2"/>
    <d v="2022-02-08T00:00:00"/>
    <x v="8"/>
    <s v="Mexico"/>
    <s v="Location 13"/>
    <n v="361.98"/>
  </r>
  <r>
    <n v="70"/>
    <n v="28462"/>
    <d v="2022-05-10T00:00:00"/>
    <x v="4"/>
    <s v="Mexico"/>
    <s v="Location 13"/>
    <n v="406.6"/>
  </r>
  <r>
    <n v="210"/>
    <n v="85386"/>
    <d v="2022-05-10T00:00:00"/>
    <x v="4"/>
    <s v="Mexico"/>
    <s v="Location 13"/>
    <n v="406.6"/>
  </r>
  <r>
    <n v="2000"/>
    <n v="3660"/>
    <d v="2022-02-11T00:00:00"/>
    <x v="20"/>
    <s v="Mexico"/>
    <s v="Location 13"/>
    <n v="1.83"/>
  </r>
  <r>
    <n v="2000"/>
    <n v="3660"/>
    <d v="2022-05-17T00:00:00"/>
    <x v="20"/>
    <s v="Mexico"/>
    <s v="Location 13"/>
    <n v="1.83"/>
  </r>
  <r>
    <n v="480"/>
    <n v="211459.20000000001"/>
    <d v="2022-07-26T00:00:00"/>
    <x v="5"/>
    <s v="Mexico"/>
    <s v="Location 13"/>
    <n v="440.54"/>
  </r>
  <r>
    <n v="70"/>
    <n v="38312.400000000001"/>
    <d v="2022-09-07T00:00:00"/>
    <x v="68"/>
    <s v="Mexico"/>
    <s v="Location 13"/>
    <n v="547.32000000000005"/>
  </r>
  <r>
    <n v="345"/>
    <n v="296865.59999999998"/>
    <d v="2022-09-12T00:00:00"/>
    <x v="0"/>
    <s v="Mexico"/>
    <s v="Location 13"/>
    <n v="860.48"/>
  </r>
  <r>
    <n v="135"/>
    <n v="116164.8"/>
    <d v="2022-09-12T00:00:00"/>
    <x v="0"/>
    <s v="Mexico"/>
    <s v="Location 13"/>
    <n v="860.48"/>
  </r>
  <r>
    <n v="225"/>
    <n v="193608"/>
    <d v="2022-09-12T00:00:00"/>
    <x v="0"/>
    <s v="Mexico"/>
    <s v="Location 13"/>
    <n v="860.48"/>
  </r>
  <r>
    <n v="108"/>
    <n v="11696.4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180"/>
    <n v="79297.2"/>
    <d v="2022-10-31T00:00:00"/>
    <x v="5"/>
    <s v="Mexico"/>
    <s v="Location 13"/>
    <n v="440.54"/>
  </r>
  <r>
    <n v="324"/>
    <n v="35089.199999999997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324"/>
    <n v="35089.199999999997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432"/>
    <n v="46785.599999999999"/>
    <d v="2022-07-01T00:00:00"/>
    <x v="9"/>
    <s v="Mexico"/>
    <s v="Location 13"/>
    <n v="108.3"/>
  </r>
  <r>
    <n v="432"/>
    <n v="46785.5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432"/>
    <n v="46785.5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324"/>
    <n v="35089.199999999997"/>
    <d v="2022-07-01T00:00:00"/>
    <x v="9"/>
    <s v="Mexico"/>
    <s v="Location 13"/>
    <n v="108.3"/>
  </r>
  <r>
    <n v="432"/>
    <n v="46785.599999999999"/>
    <d v="2022-07-01T00:00:00"/>
    <x v="9"/>
    <s v="Mexico"/>
    <s v="Location 13"/>
    <n v="108.3"/>
  </r>
  <r>
    <n v="432"/>
    <n v="46785.599999999999"/>
    <d v="2022-07-01T00:00:00"/>
    <x v="9"/>
    <s v="Mexico"/>
    <s v="Location 13"/>
    <n v="108.3"/>
  </r>
  <r>
    <n v="324"/>
    <n v="35089.199999999997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450"/>
    <n v="198243"/>
    <d v="2022-09-27T00:00:00"/>
    <x v="5"/>
    <s v="Mexico"/>
    <s v="Location 13"/>
    <n v="440.54"/>
  </r>
  <r>
    <n v="1820"/>
    <n v="4313.3999999999996"/>
    <d v="2022-09-27T00:00:00"/>
    <x v="21"/>
    <s v="Mexico"/>
    <s v="Location 13"/>
    <n v="2.37"/>
  </r>
  <r>
    <n v="165"/>
    <n v="141979.20000000001"/>
    <d v="2022-09-27T00:00:00"/>
    <x v="0"/>
    <s v="Mexico"/>
    <s v="Location 13"/>
    <n v="860.48"/>
  </r>
  <r>
    <n v="135"/>
    <n v="116164.8"/>
    <d v="2022-09-27T00:00:00"/>
    <x v="0"/>
    <s v="Mexico"/>
    <s v="Location 13"/>
    <n v="860.48"/>
  </r>
  <r>
    <n v="135"/>
    <n v="116164.8"/>
    <d v="2022-09-27T00:00:00"/>
    <x v="0"/>
    <s v="Mexico"/>
    <s v="Location 13"/>
    <n v="860.48"/>
  </r>
  <r>
    <n v="45"/>
    <n v="38721.599999999999"/>
    <d v="2022-09-27T00:00:00"/>
    <x v="0"/>
    <s v="Mexico"/>
    <s v="Location 13"/>
    <n v="860.48"/>
  </r>
  <r>
    <n v="15"/>
    <n v="12907.2"/>
    <d v="2022-09-27T00:00:00"/>
    <x v="0"/>
    <s v="Mexico"/>
    <s v="Location 13"/>
    <n v="860.48"/>
  </r>
  <r>
    <n v="112"/>
    <n v="199930.08"/>
    <d v="2022-09-27T00:00:00"/>
    <x v="69"/>
    <s v="Mexico"/>
    <s v="Location 13"/>
    <n v="1785.09"/>
  </r>
  <r>
    <n v="216"/>
    <n v="23392.799999999999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324"/>
    <n v="35089.199999999997"/>
    <d v="2022-07-01T00:00:00"/>
    <x v="9"/>
    <s v="Mexico"/>
    <s v="Location 13"/>
    <n v="108.3"/>
  </r>
  <r>
    <n v="324"/>
    <n v="35089.199999999997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108"/>
    <n v="11696.4"/>
    <d v="2022-07-01T00:00:00"/>
    <x v="9"/>
    <s v="Mexico"/>
    <s v="Location 13"/>
    <n v="108.3"/>
  </r>
  <r>
    <n v="324"/>
    <n v="35089.199999999997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216"/>
    <n v="23392.799999999999"/>
    <d v="2022-07-01T00:00:00"/>
    <x v="9"/>
    <s v="Mexico"/>
    <s v="Location 13"/>
    <n v="108.3"/>
  </r>
  <r>
    <n v="240"/>
    <n v="182899.20000000001"/>
    <d v="2022-07-01T00:00:00"/>
    <x v="14"/>
    <s v="Mexico"/>
    <s v="Location 13"/>
    <n v="762.08"/>
  </r>
  <r>
    <n v="240"/>
    <n v="182899.20000000001"/>
    <d v="2022-07-01T00:00:00"/>
    <x v="14"/>
    <s v="Mexico"/>
    <s v="Location 13"/>
    <n v="762.08"/>
  </r>
  <r>
    <n v="300"/>
    <n v="228624"/>
    <d v="2022-07-01T00:00:00"/>
    <x v="14"/>
    <s v="Mexico"/>
    <s v="Location 13"/>
    <n v="762.08"/>
  </r>
  <r>
    <n v="150"/>
    <n v="66081"/>
    <d v="2022-10-05T00:00:00"/>
    <x v="5"/>
    <s v="Mexico"/>
    <s v="Location 13"/>
    <n v="440.54"/>
  </r>
  <r>
    <n v="210"/>
    <n v="92513.4"/>
    <d v="2022-10-05T00:00:00"/>
    <x v="5"/>
    <s v="Mexico"/>
    <s v="Location 13"/>
    <n v="440.54"/>
  </r>
  <r>
    <n v="330"/>
    <n v="145378.20000000001"/>
    <d v="2022-10-05T00:00:00"/>
    <x v="5"/>
    <s v="Mexico"/>
    <s v="Location 13"/>
    <n v="440.54"/>
  </r>
  <r>
    <n v="210"/>
    <n v="92513.4"/>
    <d v="2022-10-05T00:00:00"/>
    <x v="5"/>
    <s v="Mexico"/>
    <s v="Location 13"/>
    <n v="440.54"/>
  </r>
  <r>
    <n v="150"/>
    <n v="66081"/>
    <d v="2022-10-05T00:00:00"/>
    <x v="5"/>
    <s v="Mexico"/>
    <s v="Location 13"/>
    <n v="440.54"/>
  </r>
  <r>
    <n v="600"/>
    <n v="264324"/>
    <d v="2022-10-05T00:00:00"/>
    <x v="5"/>
    <s v="Mexico"/>
    <s v="Location 13"/>
    <n v="440.54"/>
  </r>
  <r>
    <n v="1000"/>
    <n v="105370"/>
    <d v="2022-10-05T00:00:00"/>
    <x v="53"/>
    <s v="Mexico"/>
    <s v="Location 13"/>
    <n v="105.37"/>
  </r>
  <r>
    <n v="572"/>
    <n v="37877.839999999997"/>
    <d v="2022-10-05T00:00:00"/>
    <x v="66"/>
    <s v="Mexico"/>
    <s v="Location 13"/>
    <n v="66.22"/>
  </r>
  <r>
    <n v="245"/>
    <n v="16223.9"/>
    <d v="2022-10-05T00:00:00"/>
    <x v="66"/>
    <s v="Mexico"/>
    <s v="Location 13"/>
    <n v="66.22"/>
  </r>
  <r>
    <n v="72"/>
    <n v="4767.84"/>
    <d v="2022-10-05T00:00:00"/>
    <x v="66"/>
    <s v="Mexico"/>
    <s v="Location 13"/>
    <n v="66.22"/>
  </r>
  <r>
    <n v="70"/>
    <n v="39788"/>
    <d v="2022-11-18T00:00:00"/>
    <x v="48"/>
    <s v="Mexico"/>
    <s v="Location 13"/>
    <n v="568.4"/>
  </r>
  <r>
    <n v="210"/>
    <n v="92513.4"/>
    <d v="2022-08-08T00:00:00"/>
    <x v="5"/>
    <s v="Mexico"/>
    <s v="Location 13"/>
    <n v="440.54"/>
  </r>
  <r>
    <n v="120"/>
    <n v="52864.800000000003"/>
    <d v="2022-08-08T00:00:00"/>
    <x v="5"/>
    <s v="Mexico"/>
    <s v="Location 13"/>
    <n v="440.54"/>
  </r>
  <r>
    <n v="210"/>
    <n v="92513.4"/>
    <d v="2022-08-08T00:00:00"/>
    <x v="5"/>
    <s v="Mexico"/>
    <s v="Location 13"/>
    <n v="440.54"/>
  </r>
  <r>
    <n v="210"/>
    <n v="92513.4"/>
    <d v="2022-08-08T00:00:00"/>
    <x v="5"/>
    <s v="Mexico"/>
    <s v="Location 13"/>
    <n v="440.54"/>
  </r>
  <r>
    <n v="144"/>
    <n v="28278.720000000001"/>
    <d v="2022-10-07T00:00:00"/>
    <x v="6"/>
    <s v="Mexico"/>
    <s v="Location 13"/>
    <n v="196.38"/>
  </r>
  <r>
    <n v="140"/>
    <n v="50677.2"/>
    <d v="2022-10-07T00:00:00"/>
    <x v="8"/>
    <s v="Mexico"/>
    <s v="Location 13"/>
    <n v="361.98"/>
  </r>
  <r>
    <n v="3500"/>
    <n v="368795"/>
    <d v="2022-10-07T00:00:00"/>
    <x v="53"/>
    <s v="Mexico"/>
    <s v="Location 13"/>
    <n v="105.37"/>
  </r>
  <r>
    <n v="885"/>
    <n v="109704.6"/>
    <d v="2022-10-07T00:00:00"/>
    <x v="70"/>
    <s v="Mexico"/>
    <s v="Location 13"/>
    <n v="123.96"/>
  </r>
  <r>
    <n v="30"/>
    <n v="25814.400000000001"/>
    <d v="2022-10-07T00:00:00"/>
    <x v="0"/>
    <s v="Mexico"/>
    <s v="Location 13"/>
    <n v="860.48"/>
  </r>
  <r>
    <n v="180"/>
    <n v="137174.39999999999"/>
    <d v="2022-11-28T00:00:00"/>
    <x v="14"/>
    <s v="Mexico"/>
    <s v="Location 13"/>
    <n v="762.08"/>
  </r>
  <r>
    <n v="150"/>
    <n v="114312"/>
    <d v="2022-11-28T00:00:00"/>
    <x v="14"/>
    <s v="Mexico"/>
    <s v="Location 13"/>
    <n v="762.08"/>
  </r>
  <r>
    <n v="390"/>
    <n v="297211.2"/>
    <d v="2022-11-28T00:00:00"/>
    <x v="14"/>
    <s v="Mexico"/>
    <s v="Location 13"/>
    <n v="762.08"/>
  </r>
  <r>
    <n v="240"/>
    <n v="182899.20000000001"/>
    <d v="2022-11-28T00:00:00"/>
    <x v="14"/>
    <s v="Mexico"/>
    <s v="Location 13"/>
    <n v="762.08"/>
  </r>
  <r>
    <n v="60"/>
    <n v="45724.800000000003"/>
    <d v="2022-11-28T00:00:00"/>
    <x v="14"/>
    <s v="Mexico"/>
    <s v="Location 13"/>
    <n v="762.08"/>
  </r>
  <r>
    <n v="216"/>
    <n v="23392.799999999999"/>
    <d v="2022-07-05T00:00:00"/>
    <x v="9"/>
    <s v="Mexico"/>
    <s v="Location 13"/>
    <n v="108.3"/>
  </r>
  <r>
    <n v="216"/>
    <n v="23392.799999999999"/>
    <d v="2022-07-05T00:00:00"/>
    <x v="9"/>
    <s v="Mexico"/>
    <s v="Location 13"/>
    <n v="108.3"/>
  </r>
  <r>
    <n v="180"/>
    <n v="137174.39999999999"/>
    <d v="2022-07-06T00:00:00"/>
    <x v="14"/>
    <s v="Mexico"/>
    <s v="Location 13"/>
    <n v="762.08"/>
  </r>
  <r>
    <n v="240"/>
    <n v="182899.20000000001"/>
    <d v="2022-07-06T00:00:00"/>
    <x v="14"/>
    <s v="Mexico"/>
    <s v="Location 13"/>
    <n v="762.08"/>
  </r>
  <r>
    <n v="240"/>
    <n v="182899.20000000001"/>
    <d v="2022-07-06T00:00:00"/>
    <x v="14"/>
    <s v="Mexico"/>
    <s v="Location 13"/>
    <n v="762.08"/>
  </r>
  <r>
    <n v="30"/>
    <n v="22862.400000000001"/>
    <d v="2022-12-07T00:00:00"/>
    <x v="14"/>
    <s v="Mexico"/>
    <s v="Location 13"/>
    <n v="762.08"/>
  </r>
  <r>
    <n v="30"/>
    <n v="22862.400000000001"/>
    <d v="2022-12-07T00:00:00"/>
    <x v="14"/>
    <s v="Mexico"/>
    <s v="Location 13"/>
    <n v="762.08"/>
  </r>
  <r>
    <n v="150"/>
    <n v="114312"/>
    <d v="2022-12-07T00:00:00"/>
    <x v="14"/>
    <s v="Mexico"/>
    <s v="Location 13"/>
    <n v="762.08"/>
  </r>
  <r>
    <n v="120"/>
    <n v="91449.600000000006"/>
    <d v="2022-12-07T00:00:00"/>
    <x v="14"/>
    <s v="Mexico"/>
    <s v="Location 13"/>
    <n v="762.08"/>
  </r>
  <r>
    <n v="240"/>
    <n v="182899.20000000001"/>
    <d v="2022-12-07T00:00:00"/>
    <x v="14"/>
    <s v="Mexico"/>
    <s v="Location 13"/>
    <n v="762.08"/>
  </r>
  <r>
    <n v="60"/>
    <n v="45724.800000000003"/>
    <d v="2022-12-07T00:00:00"/>
    <x v="14"/>
    <s v="Mexico"/>
    <s v="Location 13"/>
    <n v="762.08"/>
  </r>
  <r>
    <n v="150"/>
    <n v="114312"/>
    <d v="2022-12-07T00:00:00"/>
    <x v="14"/>
    <s v="Mexico"/>
    <s v="Location 13"/>
    <n v="762.08"/>
  </r>
  <r>
    <n v="270"/>
    <n v="205761.6"/>
    <d v="2022-12-07T00:00:00"/>
    <x v="14"/>
    <s v="Mexico"/>
    <s v="Location 13"/>
    <n v="762.08"/>
  </r>
  <r>
    <n v="180"/>
    <n v="137174.39999999999"/>
    <d v="2022-07-06T00:00:00"/>
    <x v="14"/>
    <s v="Mexico"/>
    <s v="Location 13"/>
    <n v="762.08"/>
  </r>
  <r>
    <n v="60"/>
    <n v="45724.800000000003"/>
    <d v="2022-07-06T00:00:00"/>
    <x v="14"/>
    <s v="Mexico"/>
    <s v="Location 13"/>
    <n v="762.08"/>
  </r>
  <r>
    <n v="180"/>
    <n v="137174.39999999999"/>
    <d v="2022-07-06T00:00:00"/>
    <x v="14"/>
    <s v="Mexico"/>
    <s v="Location 13"/>
    <n v="762.08"/>
  </r>
  <r>
    <n v="240"/>
    <n v="182899.20000000001"/>
    <d v="2022-07-06T00:00:00"/>
    <x v="14"/>
    <s v="Mexico"/>
    <s v="Location 13"/>
    <n v="762.08"/>
  </r>
  <r>
    <n v="60"/>
    <n v="45724.800000000003"/>
    <d v="2022-07-06T00:00:00"/>
    <x v="14"/>
    <s v="Mexico"/>
    <s v="Location 13"/>
    <n v="762.08"/>
  </r>
  <r>
    <n v="2000"/>
    <n v="3660"/>
    <d v="2022-10-18T00:00:00"/>
    <x v="20"/>
    <s v="Mexico"/>
    <s v="Location 13"/>
    <n v="1.83"/>
  </r>
  <r>
    <n v="252"/>
    <n v="19056.240000000002"/>
    <d v="2022-10-18T00:00:00"/>
    <x v="23"/>
    <s v="Mexico"/>
    <s v="Location 13"/>
    <n v="75.62"/>
  </r>
  <r>
    <n v="252"/>
    <n v="19056.240000000002"/>
    <d v="2022-10-18T00:00:00"/>
    <x v="23"/>
    <s v="Mexico"/>
    <s v="Location 13"/>
    <n v="75.62"/>
  </r>
  <r>
    <n v="252"/>
    <n v="19056.240000000002"/>
    <d v="2022-10-18T00:00:00"/>
    <x v="23"/>
    <s v="Mexico"/>
    <s v="Location 13"/>
    <n v="75.62"/>
  </r>
  <r>
    <n v="180"/>
    <n v="79297.2"/>
    <d v="2022-10-18T00:00:00"/>
    <x v="5"/>
    <s v="Mexico"/>
    <s v="Location 13"/>
    <n v="440.54"/>
  </r>
  <r>
    <n v="210"/>
    <n v="92513.4"/>
    <d v="2022-10-18T00:00:00"/>
    <x v="5"/>
    <s v="Mexico"/>
    <s v="Location 13"/>
    <n v="440.54"/>
  </r>
  <r>
    <n v="720"/>
    <n v="317188.8"/>
    <d v="2022-10-18T00:00:00"/>
    <x v="5"/>
    <s v="Mexico"/>
    <s v="Location 13"/>
    <n v="440.54"/>
  </r>
  <r>
    <n v="90"/>
    <n v="39648.6"/>
    <d v="2022-10-18T00:00:00"/>
    <x v="5"/>
    <s v="Mexico"/>
    <s v="Location 13"/>
    <n v="440.54"/>
  </r>
  <r>
    <n v="1820"/>
    <n v="4313.3999999999996"/>
    <d v="2022-10-18T00:00:00"/>
    <x v="21"/>
    <s v="Mexico"/>
    <s v="Location 13"/>
    <n v="2.37"/>
  </r>
  <r>
    <n v="210"/>
    <n v="82263.3"/>
    <d v="2022-10-18T00:00:00"/>
    <x v="36"/>
    <s v="Mexico"/>
    <s v="Location 13"/>
    <n v="391.73"/>
  </r>
  <r>
    <n v="1500"/>
    <n v="1860"/>
    <d v="2022-10-18T00:00:00"/>
    <x v="22"/>
    <s v="Mexico"/>
    <s v="Location 13"/>
    <n v="1.24"/>
  </r>
  <r>
    <n v="437"/>
    <n v="28938.14"/>
    <d v="2022-10-18T00:00:00"/>
    <x v="66"/>
    <s v="Mexico"/>
    <s v="Location 13"/>
    <n v="66.22"/>
  </r>
  <r>
    <n v="324"/>
    <n v="21455.279999999999"/>
    <d v="2022-10-18T00:00:00"/>
    <x v="66"/>
    <s v="Mexico"/>
    <s v="Location 13"/>
    <n v="66.22"/>
  </r>
  <r>
    <n v="2000"/>
    <n v="3660"/>
    <d v="2022-12-16T00:00:00"/>
    <x v="20"/>
    <s v="Mexico"/>
    <s v="Location 13"/>
    <n v="1.83"/>
  </r>
  <r>
    <n v="1820"/>
    <n v="1619.8"/>
    <d v="2022-12-16T00:00:00"/>
    <x v="31"/>
    <s v="Mexico"/>
    <s v="Location 13"/>
    <n v="0.89"/>
  </r>
  <r>
    <n v="210"/>
    <n v="85386"/>
    <d v="2022-12-16T00:00:00"/>
    <x v="4"/>
    <s v="Mexico"/>
    <s v="Location 13"/>
    <n v="406.6"/>
  </r>
  <r>
    <n v="70"/>
    <n v="28462"/>
    <d v="2022-12-16T00:00:00"/>
    <x v="4"/>
    <s v="Mexico"/>
    <s v="Location 13"/>
    <n v="406.6"/>
  </r>
  <r>
    <n v="140"/>
    <n v="56924"/>
    <d v="2022-12-16T00:00:00"/>
    <x v="4"/>
    <s v="Mexico"/>
    <s v="Location 13"/>
    <n v="406.6"/>
  </r>
  <r>
    <n v="2000"/>
    <n v="3660"/>
    <d v="2022-08-23T00:00:00"/>
    <x v="20"/>
    <s v="Mexico"/>
    <s v="Location 13"/>
    <n v="1.83"/>
  </r>
  <r>
    <n v="4"/>
    <n v="7140.36"/>
    <d v="2022-08-23T00:00:00"/>
    <x v="69"/>
    <s v="Mexico"/>
    <s v="Location 13"/>
    <n v="1785.09"/>
  </r>
  <r>
    <n v="65"/>
    <n v="116030.85"/>
    <d v="2022-08-23T00:00:00"/>
    <x v="69"/>
    <s v="Mexico"/>
    <s v="Location 13"/>
    <n v="1785.09"/>
  </r>
  <r>
    <n v="65"/>
    <n v="116030.85"/>
    <d v="2022-08-23T00:00:00"/>
    <x v="69"/>
    <s v="Mexico"/>
    <s v="Location 13"/>
    <n v="1785.09"/>
  </r>
  <r>
    <n v="16"/>
    <n v="28561.439999999999"/>
    <d v="2022-08-23T00:00:00"/>
    <x v="69"/>
    <s v="Mexico"/>
    <s v="Location 13"/>
    <n v="1785.09"/>
  </r>
  <r>
    <n v="42"/>
    <n v="74973.78"/>
    <d v="2022-08-23T00:00:00"/>
    <x v="69"/>
    <s v="Mexico"/>
    <s v="Location 13"/>
    <n v="1785.09"/>
  </r>
  <r>
    <n v="48"/>
    <n v="85684.32"/>
    <d v="2022-08-23T00:00:00"/>
    <x v="69"/>
    <s v="Mexico"/>
    <s v="Location 13"/>
    <n v="1785.09"/>
  </r>
  <r>
    <n v="48"/>
    <n v="85684.32"/>
    <d v="2022-08-23T00:00:00"/>
    <x v="69"/>
    <s v="Mexico"/>
    <s v="Location 13"/>
    <n v="1785.09"/>
  </r>
  <r>
    <n v="22"/>
    <n v="39271.980000000003"/>
    <d v="2022-08-23T00:00:00"/>
    <x v="69"/>
    <s v="Mexico"/>
    <s v="Location 13"/>
    <n v="1785.09"/>
  </r>
  <r>
    <n v="180"/>
    <n v="79297.2"/>
    <d v="2022-07-13T00:00:00"/>
    <x v="5"/>
    <s v="Mexico"/>
    <s v="Location 13"/>
    <n v="440.54"/>
  </r>
  <r>
    <n v="30"/>
    <n v="13216.2"/>
    <d v="2022-07-13T00:00:00"/>
    <x v="5"/>
    <s v="Mexico"/>
    <s v="Location 13"/>
    <n v="440.54"/>
  </r>
  <r>
    <n v="210"/>
    <n v="92513.4"/>
    <d v="2022-07-13T00:00:00"/>
    <x v="5"/>
    <s v="Mexico"/>
    <s v="Location 13"/>
    <n v="440.54"/>
  </r>
  <r>
    <n v="60"/>
    <n v="45724.800000000003"/>
    <d v="2022-07-13T00:00:00"/>
    <x v="14"/>
    <s v="Mexico"/>
    <s v="Location 13"/>
    <n v="762.08"/>
  </r>
  <r>
    <n v="208"/>
    <n v="371298.72"/>
    <d v="2022-08-23T00:00:00"/>
    <x v="69"/>
    <s v="Mexico"/>
    <s v="Location 13"/>
    <n v="1785.09"/>
  </r>
  <r>
    <n v="58"/>
    <n v="103535.22"/>
    <d v="2022-08-23T00:00:00"/>
    <x v="69"/>
    <s v="Mexico"/>
    <s v="Location 13"/>
    <n v="1785.09"/>
  </r>
  <r>
    <n v="120"/>
    <n v="51024"/>
    <d v="2022-12-20T00:00:00"/>
    <x v="1"/>
    <s v="Mexico"/>
    <s v="Location 13"/>
    <n v="425.2"/>
  </r>
  <r>
    <n v="216"/>
    <n v="23392.799999999999"/>
    <d v="2022-12-28T00:00:00"/>
    <x v="9"/>
    <s v="Mexico"/>
    <s v="Location 13"/>
    <n v="108.3"/>
  </r>
  <r>
    <n v="80"/>
    <n v="34016"/>
    <d v="2022-12-28T00:00:00"/>
    <x v="1"/>
    <s v="Mexico"/>
    <s v="Location 13"/>
    <n v="425.2"/>
  </r>
  <r>
    <n v="40"/>
    <n v="17008"/>
    <d v="2022-12-28T00:00:00"/>
    <x v="1"/>
    <s v="Mexico"/>
    <s v="Location 13"/>
    <n v="425.2"/>
  </r>
  <r>
    <n v="120"/>
    <n v="51024"/>
    <d v="2022-12-28T00:00:00"/>
    <x v="1"/>
    <s v="Mexico"/>
    <s v="Location 13"/>
    <n v="425.2"/>
  </r>
  <r>
    <n v="240"/>
    <n v="102048"/>
    <d v="2022-12-28T00:00:00"/>
    <x v="1"/>
    <s v="Mexico"/>
    <s v="Location 13"/>
    <n v="425.2"/>
  </r>
  <r>
    <n v="30"/>
    <n v="25814.400000000001"/>
    <d v="2022-12-28T00:00:00"/>
    <x v="0"/>
    <s v="Mexico"/>
    <s v="Location 13"/>
    <n v="860.48"/>
  </r>
  <r>
    <n v="135"/>
    <n v="116164.8"/>
    <d v="2022-12-28T00:00:00"/>
    <x v="0"/>
    <s v="Mexico"/>
    <s v="Location 13"/>
    <n v="860.48"/>
  </r>
  <r>
    <n v="150"/>
    <n v="129072"/>
    <d v="2022-12-28T00:00:00"/>
    <x v="0"/>
    <s v="Mexico"/>
    <s v="Location 13"/>
    <n v="860.48"/>
  </r>
  <r>
    <n v="180"/>
    <n v="79297.2"/>
    <d v="2022-07-19T00:00:00"/>
    <x v="5"/>
    <s v="Mexico"/>
    <s v="Location 13"/>
    <n v="440.54"/>
  </r>
  <r>
    <n v="510"/>
    <n v="224675.4"/>
    <d v="2022-07-19T00:00:00"/>
    <x v="5"/>
    <s v="Mexico"/>
    <s v="Location 13"/>
    <n v="440.54"/>
  </r>
  <r>
    <n v="192"/>
    <n v="342737.28"/>
    <d v="2022-09-02T00:00:00"/>
    <x v="69"/>
    <s v="Mexico"/>
    <s v="Location 13"/>
    <n v="1785.09"/>
  </r>
  <r>
    <n v="140"/>
    <n v="79576"/>
    <d v="2022-10-25T00:00:00"/>
    <x v="48"/>
    <s v="Mexico"/>
    <s v="Location 13"/>
    <n v="568.4"/>
  </r>
  <r>
    <n v="70"/>
    <n v="38312.400000000001"/>
    <d v="2022-10-25T00:00:00"/>
    <x v="68"/>
    <s v="Mexico"/>
    <s v="Location 13"/>
    <n v="547.32000000000005"/>
  </r>
  <r>
    <n v="180"/>
    <n v="79297.2"/>
    <d v="2022-10-25T00:00:00"/>
    <x v="5"/>
    <s v="Mexico"/>
    <s v="Location 13"/>
    <n v="440.54"/>
  </r>
  <r>
    <n v="192"/>
    <n v="37704.959999999999"/>
    <d v="2022-10-25T00:00:00"/>
    <x v="6"/>
    <s v="Mexico"/>
    <s v="Location 13"/>
    <n v="196.38"/>
  </r>
  <r>
    <n v="2370"/>
    <n v="293785.2"/>
    <d v="2022-10-25T00:00:00"/>
    <x v="70"/>
    <s v="Mexico"/>
    <s v="Location 13"/>
    <n v="123.96"/>
  </r>
  <r>
    <n v="65"/>
    <n v="116030.85"/>
    <d v="2022-10-25T00:00:00"/>
    <x v="69"/>
    <s v="Mexico"/>
    <s v="Location 13"/>
    <n v="1785.09"/>
  </r>
  <r>
    <n v="7"/>
    <n v="12495.63"/>
    <d v="2022-10-25T00:00:00"/>
    <x v="69"/>
    <s v="Mexico"/>
    <s v="Location 13"/>
    <n v="1785.09"/>
  </r>
  <r>
    <n v="40"/>
    <n v="71403.600000000006"/>
    <d v="2022-10-25T00:00:00"/>
    <x v="69"/>
    <s v="Mexico"/>
    <s v="Location 13"/>
    <n v="1785.09"/>
  </r>
  <r>
    <n v="120"/>
    <n v="51024"/>
    <d v="2022-10-28T00:00:00"/>
    <x v="1"/>
    <s v="Mexico"/>
    <s v="Location 13"/>
    <n v="425.2"/>
  </r>
  <r>
    <n v="1050"/>
    <n v="462567"/>
    <d v="2022-10-28T00:00:00"/>
    <x v="5"/>
    <s v="Mexico"/>
    <s v="Location 13"/>
    <n v="440.54"/>
  </r>
  <r>
    <n v="660"/>
    <n v="290756.40000000002"/>
    <d v="2022-10-28T00:00:00"/>
    <x v="5"/>
    <s v="Mexico"/>
    <s v="Location 13"/>
    <n v="440.54"/>
  </r>
  <r>
    <n v="630"/>
    <n v="277540.2"/>
    <d v="2022-10-28T00:00:00"/>
    <x v="5"/>
    <s v="Mexico"/>
    <s v="Location 13"/>
    <n v="440.54"/>
  </r>
  <r>
    <n v="210"/>
    <n v="92513.4"/>
    <d v="2022-10-28T00:00:00"/>
    <x v="5"/>
    <s v="Mexico"/>
    <s v="Location 13"/>
    <n v="440.54"/>
  </r>
  <r>
    <n v="115"/>
    <n v="14255.4"/>
    <d v="2022-10-28T00:00:00"/>
    <x v="70"/>
    <s v="Mexico"/>
    <s v="Location 13"/>
    <n v="123.96"/>
  </r>
  <r>
    <n v="630"/>
    <n v="78094.8"/>
    <d v="2022-10-28T00:00:00"/>
    <x v="70"/>
    <s v="Mexico"/>
    <s v="Location 13"/>
    <n v="123.96"/>
  </r>
  <r>
    <n v="317"/>
    <n v="20991.74"/>
    <d v="2022-10-28T00:00:00"/>
    <x v="66"/>
    <s v="Mexico"/>
    <s v="Location 13"/>
    <n v="66.22"/>
  </r>
  <r>
    <n v="108"/>
    <n v="11654.28"/>
    <d v="2023-04-28T00:00:00"/>
    <x v="9"/>
    <s v="Mexico"/>
    <s v="Location 13"/>
    <n v="107.91"/>
  </r>
  <r>
    <n v="324"/>
    <n v="34962.839999999997"/>
    <d v="2023-04-28T00:00:00"/>
    <x v="9"/>
    <s v="Mexico"/>
    <s v="Location 13"/>
    <n v="107.91"/>
  </r>
  <r>
    <n v="648"/>
    <n v="69925.679999999993"/>
    <d v="2023-04-28T00:00:00"/>
    <x v="9"/>
    <s v="Mexico"/>
    <s v="Location 13"/>
    <n v="107.91"/>
  </r>
  <r>
    <n v="216"/>
    <n v="23308.560000000001"/>
    <d v="2023-04-28T00:00:00"/>
    <x v="9"/>
    <s v="Mexico"/>
    <s v="Location 13"/>
    <n v="107.91"/>
  </r>
  <r>
    <n v="648"/>
    <n v="69925.679999999993"/>
    <d v="2023-04-28T00:00:00"/>
    <x v="9"/>
    <s v="Mexico"/>
    <s v="Location 13"/>
    <n v="107.91"/>
  </r>
  <r>
    <n v="70"/>
    <n v="41965.7"/>
    <d v="2023-04-28T00:00:00"/>
    <x v="48"/>
    <s v="Mexico"/>
    <s v="Location 13"/>
    <n v="599.51"/>
  </r>
  <r>
    <n v="1000"/>
    <n v="1830"/>
    <d v="2023-04-28T00:00:00"/>
    <x v="20"/>
    <s v="Mexico"/>
    <s v="Location 13"/>
    <n v="1.83"/>
  </r>
  <r>
    <n v="38"/>
    <n v="17126.98"/>
    <d v="2023-04-28T00:00:00"/>
    <x v="1"/>
    <s v="Mexico"/>
    <s v="Location 13"/>
    <n v="450.71"/>
  </r>
  <r>
    <n v="30"/>
    <n v="13168.5"/>
    <d v="2023-04-28T00:00:00"/>
    <x v="5"/>
    <s v="Mexico"/>
    <s v="Location 13"/>
    <n v="438.95"/>
  </r>
  <r>
    <n v="390"/>
    <n v="171190.5"/>
    <d v="2023-04-28T00:00:00"/>
    <x v="5"/>
    <s v="Mexico"/>
    <s v="Location 13"/>
    <n v="438.95"/>
  </r>
  <r>
    <n v="30"/>
    <n v="13168.5"/>
    <d v="2023-04-28T00:00:00"/>
    <x v="5"/>
    <s v="Mexico"/>
    <s v="Location 13"/>
    <n v="438.95"/>
  </r>
  <r>
    <n v="270"/>
    <n v="118516.5"/>
    <d v="2023-04-28T00:00:00"/>
    <x v="5"/>
    <s v="Mexico"/>
    <s v="Location 13"/>
    <n v="438.95"/>
  </r>
  <r>
    <n v="120"/>
    <n v="52674"/>
    <d v="2023-04-28T00:00:00"/>
    <x v="5"/>
    <s v="Mexico"/>
    <s v="Location 13"/>
    <n v="438.95"/>
  </r>
  <r>
    <n v="150"/>
    <n v="65842.5"/>
    <d v="2023-04-28T00:00:00"/>
    <x v="5"/>
    <s v="Mexico"/>
    <s v="Location 13"/>
    <n v="438.95"/>
  </r>
  <r>
    <n v="240"/>
    <n v="105348"/>
    <d v="2023-04-28T00:00:00"/>
    <x v="5"/>
    <s v="Mexico"/>
    <s v="Location 13"/>
    <n v="438.95"/>
  </r>
  <r>
    <n v="60"/>
    <n v="26337"/>
    <d v="2023-04-28T00:00:00"/>
    <x v="5"/>
    <s v="Mexico"/>
    <s v="Location 13"/>
    <n v="438.95"/>
  </r>
  <r>
    <n v="270"/>
    <n v="118516.5"/>
    <d v="2023-04-28T00:00:00"/>
    <x v="5"/>
    <s v="Mexico"/>
    <s v="Location 13"/>
    <n v="438.95"/>
  </r>
  <r>
    <n v="210"/>
    <n v="92179.5"/>
    <d v="2023-04-28T00:00:00"/>
    <x v="5"/>
    <s v="Mexico"/>
    <s v="Location 13"/>
    <n v="438.95"/>
  </r>
  <r>
    <n v="120"/>
    <n v="52674"/>
    <d v="2023-04-28T00:00:00"/>
    <x v="5"/>
    <s v="Mexico"/>
    <s v="Location 13"/>
    <n v="438.95"/>
  </r>
  <r>
    <n v="240"/>
    <n v="105348"/>
    <d v="2023-04-28T00:00:00"/>
    <x v="5"/>
    <s v="Mexico"/>
    <s v="Location 13"/>
    <n v="438.95"/>
  </r>
  <r>
    <n v="990"/>
    <n v="434560.5"/>
    <d v="2023-04-28T00:00:00"/>
    <x v="5"/>
    <s v="Mexico"/>
    <s v="Location 13"/>
    <n v="438.95"/>
  </r>
  <r>
    <n v="480"/>
    <n v="210696"/>
    <d v="2023-04-28T00:00:00"/>
    <x v="5"/>
    <s v="Mexico"/>
    <s v="Location 13"/>
    <n v="438.95"/>
  </r>
  <r>
    <n v="270"/>
    <n v="118516.5"/>
    <d v="2023-04-28T00:00:00"/>
    <x v="5"/>
    <s v="Mexico"/>
    <s v="Location 13"/>
    <n v="438.95"/>
  </r>
  <r>
    <n v="48"/>
    <n v="9991.68"/>
    <d v="2023-04-28T00:00:00"/>
    <x v="6"/>
    <s v="Mexico"/>
    <s v="Location 13"/>
    <n v="208.16"/>
  </r>
  <r>
    <n v="420"/>
    <n v="174396.6"/>
    <d v="2023-04-28T00:00:00"/>
    <x v="36"/>
    <s v="Mexico"/>
    <s v="Location 13"/>
    <n v="415.23"/>
  </r>
  <r>
    <n v="70"/>
    <n v="29066.1"/>
    <d v="2023-04-28T00:00:00"/>
    <x v="36"/>
    <s v="Mexico"/>
    <s v="Location 13"/>
    <n v="415.23"/>
  </r>
  <r>
    <n v="70"/>
    <n v="29066.1"/>
    <d v="2023-04-28T00:00:00"/>
    <x v="36"/>
    <s v="Mexico"/>
    <s v="Location 13"/>
    <n v="415.23"/>
  </r>
  <r>
    <n v="350"/>
    <n v="145330.5"/>
    <d v="2023-04-28T00:00:00"/>
    <x v="36"/>
    <s v="Mexico"/>
    <s v="Location 13"/>
    <n v="415.23"/>
  </r>
  <r>
    <n v="350"/>
    <n v="145330.5"/>
    <d v="2023-04-28T00:00:00"/>
    <x v="36"/>
    <s v="Mexico"/>
    <s v="Location 13"/>
    <n v="415.23"/>
  </r>
  <r>
    <n v="350"/>
    <n v="145330.5"/>
    <d v="2023-04-28T00:00:00"/>
    <x v="36"/>
    <s v="Mexico"/>
    <s v="Location 13"/>
    <n v="415.23"/>
  </r>
  <r>
    <n v="210"/>
    <n v="87198.3"/>
    <d v="2023-04-28T00:00:00"/>
    <x v="36"/>
    <s v="Mexico"/>
    <s v="Location 13"/>
    <n v="415.23"/>
  </r>
  <r>
    <n v="210"/>
    <n v="87198.3"/>
    <d v="2023-04-28T00:00:00"/>
    <x v="36"/>
    <s v="Mexico"/>
    <s v="Location 13"/>
    <n v="415.23"/>
  </r>
  <r>
    <n v="210"/>
    <n v="87198.3"/>
    <d v="2023-04-28T00:00:00"/>
    <x v="36"/>
    <s v="Mexico"/>
    <s v="Location 13"/>
    <n v="415.23"/>
  </r>
  <r>
    <n v="770"/>
    <n v="319727.09999999998"/>
    <d v="2023-04-28T00:00:00"/>
    <x v="36"/>
    <s v="Mexico"/>
    <s v="Location 13"/>
    <n v="415.23"/>
  </r>
  <r>
    <n v="210"/>
    <n v="87198.3"/>
    <d v="2023-04-28T00:00:00"/>
    <x v="36"/>
    <s v="Mexico"/>
    <s v="Location 13"/>
    <n v="415.23"/>
  </r>
  <r>
    <n v="280"/>
    <n v="116264.4"/>
    <d v="2023-04-28T00:00:00"/>
    <x v="36"/>
    <s v="Mexico"/>
    <s v="Location 13"/>
    <n v="415.23"/>
  </r>
  <r>
    <n v="490"/>
    <n v="203462.7"/>
    <d v="2023-04-28T00:00:00"/>
    <x v="36"/>
    <s v="Mexico"/>
    <s v="Location 13"/>
    <n v="415.23"/>
  </r>
  <r>
    <n v="280"/>
    <n v="120080.8"/>
    <d v="2023-04-28T00:00:00"/>
    <x v="4"/>
    <s v="Mexico"/>
    <s v="Location 13"/>
    <n v="428.86"/>
  </r>
  <r>
    <n v="140"/>
    <n v="60040.4"/>
    <d v="2023-04-28T00:00:00"/>
    <x v="4"/>
    <s v="Mexico"/>
    <s v="Location 13"/>
    <n v="428.86"/>
  </r>
  <r>
    <n v="560"/>
    <n v="240161.6"/>
    <d v="2023-04-28T00:00:00"/>
    <x v="4"/>
    <s v="Mexico"/>
    <s v="Location 13"/>
    <n v="428.86"/>
  </r>
  <r>
    <n v="210"/>
    <n v="90060.6"/>
    <d v="2023-04-28T00:00:00"/>
    <x v="4"/>
    <s v="Mexico"/>
    <s v="Location 13"/>
    <n v="428.86"/>
  </r>
  <r>
    <n v="350"/>
    <n v="150101"/>
    <d v="2023-04-28T00:00:00"/>
    <x v="4"/>
    <s v="Mexico"/>
    <s v="Location 13"/>
    <n v="428.86"/>
  </r>
  <r>
    <n v="84"/>
    <n v="20061.72"/>
    <d v="2023-01-17T00:00:00"/>
    <x v="71"/>
    <s v="Mexico"/>
    <s v="Location 13"/>
    <n v="238.83"/>
  </r>
  <r>
    <n v="84"/>
    <n v="20061.72"/>
    <d v="2023-01-17T00:00:00"/>
    <x v="71"/>
    <s v="Mexico"/>
    <s v="Location 13"/>
    <n v="238.83"/>
  </r>
  <r>
    <n v="84"/>
    <n v="20061.72"/>
    <d v="2023-01-17T00:00:00"/>
    <x v="71"/>
    <s v="Mexico"/>
    <s v="Location 13"/>
    <n v="238.83"/>
  </r>
  <r>
    <n v="84"/>
    <n v="20061.72"/>
    <d v="2023-01-17T00:00:00"/>
    <x v="71"/>
    <s v="Mexico"/>
    <s v="Location 13"/>
    <n v="238.83"/>
  </r>
  <r>
    <n v="84"/>
    <n v="20061.72"/>
    <d v="2023-01-17T00:00:00"/>
    <x v="71"/>
    <s v="Mexico"/>
    <s v="Location 13"/>
    <n v="238.83"/>
  </r>
  <r>
    <n v="84"/>
    <n v="20061.72"/>
    <d v="2023-01-17T00:00:00"/>
    <x v="71"/>
    <s v="Mexico"/>
    <s v="Location 13"/>
    <n v="238.83"/>
  </r>
  <r>
    <n v="168"/>
    <n v="40123.440000000002"/>
    <d v="2023-01-17T00:00:00"/>
    <x v="71"/>
    <s v="Mexico"/>
    <s v="Location 13"/>
    <n v="238.83"/>
  </r>
  <r>
    <n v="210"/>
    <n v="87198.3"/>
    <d v="2023-01-17T00:00:00"/>
    <x v="36"/>
    <s v="Mexico"/>
    <s v="Location 13"/>
    <n v="415.23"/>
  </r>
  <r>
    <n v="210"/>
    <n v="87198.3"/>
    <d v="2023-01-17T00:00:00"/>
    <x v="36"/>
    <s v="Mexico"/>
    <s v="Location 13"/>
    <n v="415.23"/>
  </r>
  <r>
    <n v="350"/>
    <n v="145330.5"/>
    <d v="2023-01-17T00:00:00"/>
    <x v="36"/>
    <s v="Mexico"/>
    <s v="Location 13"/>
    <n v="415.23"/>
  </r>
  <r>
    <n v="420"/>
    <n v="174396.6"/>
    <d v="2023-01-17T00:00:00"/>
    <x v="36"/>
    <s v="Mexico"/>
    <s v="Location 13"/>
    <n v="415.23"/>
  </r>
  <r>
    <n v="70"/>
    <n v="29066.1"/>
    <d v="2023-01-17T00:00:00"/>
    <x v="36"/>
    <s v="Mexico"/>
    <s v="Location 13"/>
    <n v="415.23"/>
  </r>
  <r>
    <n v="1000"/>
    <n v="1940"/>
    <d v="2023-03-08T00:00:00"/>
    <x v="20"/>
    <s v="Mexico"/>
    <s v="Location 13"/>
    <n v="1.94"/>
  </r>
  <r>
    <n v="252"/>
    <n v="20099.52"/>
    <d v="2023-03-08T00:00:00"/>
    <x v="23"/>
    <s v="Mexico"/>
    <s v="Location 13"/>
    <n v="79.760000000000005"/>
  </r>
  <r>
    <n v="672"/>
    <n v="160493.76000000001"/>
    <d v="2023-03-08T00:00:00"/>
    <x v="71"/>
    <s v="Mexico"/>
    <s v="Location 13"/>
    <n v="238.83"/>
  </r>
  <r>
    <n v="350"/>
    <n v="150101"/>
    <d v="2023-03-08T00:00:00"/>
    <x v="4"/>
    <s v="Mexico"/>
    <s v="Location 13"/>
    <n v="428.86"/>
  </r>
  <r>
    <n v="140"/>
    <n v="60040.4"/>
    <d v="2023-03-08T00:00:00"/>
    <x v="4"/>
    <s v="Mexico"/>
    <s v="Location 13"/>
    <n v="428.86"/>
  </r>
  <r>
    <n v="350"/>
    <n v="150101"/>
    <d v="2023-03-08T00:00:00"/>
    <x v="4"/>
    <s v="Mexico"/>
    <s v="Location 13"/>
    <n v="428.86"/>
  </r>
  <r>
    <n v="118"/>
    <n v="13179.42"/>
    <d v="2023-04-28T00:00:00"/>
    <x v="53"/>
    <s v="Mexico"/>
    <s v="Location 13"/>
    <n v="111.69"/>
  </r>
  <r>
    <n v="159"/>
    <n v="17758.71"/>
    <d v="2023-04-28T00:00:00"/>
    <x v="53"/>
    <s v="Mexico"/>
    <s v="Location 13"/>
    <n v="111.69"/>
  </r>
  <r>
    <n v="160"/>
    <n v="17870.400000000001"/>
    <d v="2023-04-28T00:00:00"/>
    <x v="53"/>
    <s v="Mexico"/>
    <s v="Location 13"/>
    <n v="111.69"/>
  </r>
  <r>
    <n v="23"/>
    <n v="2568.87"/>
    <d v="2023-04-28T00:00:00"/>
    <x v="53"/>
    <s v="Mexico"/>
    <s v="Location 13"/>
    <n v="111.69"/>
  </r>
  <r>
    <n v="84"/>
    <n v="20061.72"/>
    <d v="2023-01-20T00:00:00"/>
    <x v="71"/>
    <s v="Mexico"/>
    <s v="Location 13"/>
    <n v="238.83"/>
  </r>
  <r>
    <n v="84"/>
    <n v="20061.72"/>
    <d v="2023-01-20T00:00:00"/>
    <x v="71"/>
    <s v="Mexico"/>
    <s v="Location 13"/>
    <n v="238.83"/>
  </r>
  <r>
    <n v="84"/>
    <n v="20061.72"/>
    <d v="2023-01-20T00:00:00"/>
    <x v="71"/>
    <s v="Mexico"/>
    <s v="Location 13"/>
    <n v="238.83"/>
  </r>
  <r>
    <n v="84"/>
    <n v="20061.72"/>
    <d v="2023-01-20T00:00:00"/>
    <x v="71"/>
    <s v="Mexico"/>
    <s v="Location 13"/>
    <n v="238.83"/>
  </r>
  <r>
    <n v="84"/>
    <n v="20061.72"/>
    <d v="2023-01-20T00:00:00"/>
    <x v="71"/>
    <s v="Mexico"/>
    <s v="Location 13"/>
    <n v="238.83"/>
  </r>
  <r>
    <n v="216"/>
    <n v="24669.360000000001"/>
    <d v="2023-01-23T00:00:00"/>
    <x v="9"/>
    <s v="Mexico"/>
    <s v="Location 13"/>
    <n v="114.21"/>
  </r>
  <r>
    <n v="324"/>
    <n v="37004.04"/>
    <d v="2023-01-23T00:00:00"/>
    <x v="9"/>
    <s v="Mexico"/>
    <s v="Location 13"/>
    <n v="114.21"/>
  </r>
  <r>
    <n v="108"/>
    <n v="12334.68"/>
    <d v="2023-01-23T00:00:00"/>
    <x v="9"/>
    <s v="Mexico"/>
    <s v="Location 13"/>
    <n v="114.21"/>
  </r>
  <r>
    <n v="216"/>
    <n v="24669.360000000001"/>
    <d v="2023-01-23T00:00:00"/>
    <x v="9"/>
    <s v="Mexico"/>
    <s v="Location 13"/>
    <n v="114.21"/>
  </r>
  <r>
    <n v="216"/>
    <n v="24669.360000000001"/>
    <d v="2023-01-23T00:00:00"/>
    <x v="9"/>
    <s v="Mexico"/>
    <s v="Location 13"/>
    <n v="114.21"/>
  </r>
  <r>
    <n v="324"/>
    <n v="37004.04"/>
    <d v="2023-01-23T00:00:00"/>
    <x v="9"/>
    <s v="Mexico"/>
    <s v="Location 13"/>
    <n v="114.21"/>
  </r>
  <r>
    <n v="108"/>
    <n v="12334.68"/>
    <d v="2023-01-23T00:00:00"/>
    <x v="9"/>
    <s v="Mexico"/>
    <s v="Location 13"/>
    <n v="114.21"/>
  </r>
  <r>
    <n v="210"/>
    <n v="87198.3"/>
    <d v="2023-01-23T00:00:00"/>
    <x v="36"/>
    <s v="Mexico"/>
    <s v="Location 13"/>
    <n v="415.23"/>
  </r>
  <r>
    <n v="420"/>
    <n v="174396.6"/>
    <d v="2023-01-23T00:00:00"/>
    <x v="36"/>
    <s v="Mexico"/>
    <s v="Location 13"/>
    <n v="415.23"/>
  </r>
  <r>
    <n v="15"/>
    <n v="13613.1"/>
    <d v="2023-01-23T00:00:00"/>
    <x v="0"/>
    <s v="Mexico"/>
    <s v="Location 13"/>
    <n v="907.54"/>
  </r>
  <r>
    <n v="15"/>
    <n v="13613.1"/>
    <d v="2023-01-23T00:00:00"/>
    <x v="0"/>
    <s v="Mexico"/>
    <s v="Location 13"/>
    <n v="907.54"/>
  </r>
  <r>
    <n v="15"/>
    <n v="13613.1"/>
    <d v="2023-01-23T00:00:00"/>
    <x v="0"/>
    <s v="Mexico"/>
    <s v="Location 13"/>
    <n v="907.54"/>
  </r>
  <r>
    <n v="592"/>
    <n v="66120.479999999996"/>
    <d v="2023-04-28T00:00:00"/>
    <x v="53"/>
    <s v="Mexico"/>
    <s v="Location 13"/>
    <n v="111.69"/>
  </r>
  <r>
    <n v="180"/>
    <n v="136681.20000000001"/>
    <d v="2023-04-28T00:00:00"/>
    <x v="14"/>
    <s v="Mexico"/>
    <s v="Location 13"/>
    <n v="759.34"/>
  </r>
  <r>
    <n v="60"/>
    <n v="45560.4"/>
    <d v="2023-04-28T00:00:00"/>
    <x v="14"/>
    <s v="Mexico"/>
    <s v="Location 13"/>
    <n v="759.34"/>
  </r>
  <r>
    <n v="60"/>
    <n v="45560.4"/>
    <d v="2023-04-28T00:00:00"/>
    <x v="14"/>
    <s v="Mexico"/>
    <s v="Location 13"/>
    <n v="759.34"/>
  </r>
  <r>
    <n v="120"/>
    <n v="91120.8"/>
    <d v="2023-04-28T00:00:00"/>
    <x v="14"/>
    <s v="Mexico"/>
    <s v="Location 13"/>
    <n v="759.34"/>
  </r>
  <r>
    <n v="90"/>
    <n v="81678.600000000006"/>
    <d v="2023-04-28T00:00:00"/>
    <x v="0"/>
    <s v="Mexico"/>
    <s v="Location 13"/>
    <n v="907.54"/>
  </r>
  <r>
    <n v="150"/>
    <n v="128605.5"/>
    <d v="2023-04-28T00:00:00"/>
    <x v="0"/>
    <s v="Mexico"/>
    <s v="Location 13"/>
    <n v="857.37"/>
  </r>
  <r>
    <n v="165"/>
    <n v="141466.04999999999"/>
    <d v="2023-04-28T00:00:00"/>
    <x v="0"/>
    <s v="Mexico"/>
    <s v="Location 13"/>
    <n v="857.37"/>
  </r>
  <r>
    <n v="318"/>
    <n v="601716.42000000004"/>
    <d v="2023-04-28T00:00:00"/>
    <x v="69"/>
    <s v="Mexico"/>
    <s v="Location 13"/>
    <n v="1892.19"/>
  </r>
  <r>
    <n v="146"/>
    <n v="276259.74"/>
    <d v="2023-04-28T00:00:00"/>
    <x v="69"/>
    <s v="Mexico"/>
    <s v="Location 13"/>
    <n v="1892.19"/>
  </r>
  <r>
    <n v="108"/>
    <n v="204356.52"/>
    <d v="2023-04-28T00:00:00"/>
    <x v="69"/>
    <s v="Mexico"/>
    <s v="Location 13"/>
    <n v="1892.19"/>
  </r>
  <r>
    <n v="45"/>
    <n v="40839.300000000003"/>
    <d v="2023-01-23T00:00:00"/>
    <x v="0"/>
    <s v="Mexico"/>
    <s v="Location 13"/>
    <n v="907.54"/>
  </r>
  <r>
    <n v="375"/>
    <n v="340327.5"/>
    <d v="2023-01-23T00:00:00"/>
    <x v="0"/>
    <s v="Mexico"/>
    <s v="Location 13"/>
    <n v="907.54"/>
  </r>
  <r>
    <n v="150"/>
    <n v="136131"/>
    <d v="2023-01-23T00:00:00"/>
    <x v="0"/>
    <s v="Mexico"/>
    <s v="Location 13"/>
    <n v="907.54"/>
  </r>
  <r>
    <n v="360"/>
    <n v="326714.40000000002"/>
    <d v="2023-01-23T00:00:00"/>
    <x v="0"/>
    <s v="Mexico"/>
    <s v="Location 13"/>
    <n v="907.54"/>
  </r>
  <r>
    <n v="135"/>
    <n v="122517.9"/>
    <d v="2023-01-23T00:00:00"/>
    <x v="0"/>
    <s v="Mexico"/>
    <s v="Location 13"/>
    <n v="907.54"/>
  </r>
  <r>
    <n v="150"/>
    <n v="136131"/>
    <d v="2023-01-23T00:00:00"/>
    <x v="0"/>
    <s v="Mexico"/>
    <s v="Location 13"/>
    <n v="907.54"/>
  </r>
  <r>
    <n v="150"/>
    <n v="136131"/>
    <d v="2023-01-23T00:00:00"/>
    <x v="0"/>
    <s v="Mexico"/>
    <s v="Location 13"/>
    <n v="907.54"/>
  </r>
  <r>
    <n v="120"/>
    <n v="108904.8"/>
    <d v="2023-01-23T00:00:00"/>
    <x v="0"/>
    <s v="Mexico"/>
    <s v="Location 13"/>
    <n v="907.54"/>
  </r>
  <r>
    <n v="240"/>
    <n v="217809.6"/>
    <d v="2023-01-23T00:00:00"/>
    <x v="0"/>
    <s v="Mexico"/>
    <s v="Location 13"/>
    <n v="907.54"/>
  </r>
  <r>
    <n v="135"/>
    <n v="122517.9"/>
    <d v="2023-01-23T00:00:00"/>
    <x v="0"/>
    <s v="Mexico"/>
    <s v="Location 13"/>
    <n v="907.54"/>
  </r>
  <r>
    <n v="105"/>
    <n v="95291.7"/>
    <d v="2023-01-23T00:00:00"/>
    <x v="0"/>
    <s v="Mexico"/>
    <s v="Location 13"/>
    <n v="907.54"/>
  </r>
  <r>
    <n v="105"/>
    <n v="95291.7"/>
    <d v="2023-01-23T00:00:00"/>
    <x v="0"/>
    <s v="Mexico"/>
    <s v="Location 13"/>
    <n v="907.54"/>
  </r>
  <r>
    <n v="330"/>
    <n v="299488.2"/>
    <d v="2023-01-23T00:00:00"/>
    <x v="0"/>
    <s v="Mexico"/>
    <s v="Location 13"/>
    <n v="907.54"/>
  </r>
  <r>
    <n v="15"/>
    <n v="13613.1"/>
    <d v="2023-01-23T00:00:00"/>
    <x v="0"/>
    <s v="Mexico"/>
    <s v="Location 13"/>
    <n v="907.54"/>
  </r>
  <r>
    <n v="15"/>
    <n v="13613.1"/>
    <d v="2023-01-23T00:00:00"/>
    <x v="0"/>
    <s v="Mexico"/>
    <s v="Location 13"/>
    <n v="907.54"/>
  </r>
  <r>
    <n v="105"/>
    <n v="95291.7"/>
    <d v="2023-01-23T00:00:00"/>
    <x v="0"/>
    <s v="Mexico"/>
    <s v="Location 13"/>
    <n v="907.54"/>
  </r>
  <r>
    <n v="1820"/>
    <n v="4313.3999999999996"/>
    <d v="2023-04-03T00:00:00"/>
    <x v="21"/>
    <s v="Mexico"/>
    <s v="Location 13"/>
    <n v="2.37"/>
  </r>
  <r>
    <n v="168"/>
    <n v="40123.440000000002"/>
    <d v="2023-04-03T00:00:00"/>
    <x v="71"/>
    <s v="Mexico"/>
    <s v="Location 13"/>
    <n v="238.83"/>
  </r>
  <r>
    <n v="672"/>
    <n v="160493.76000000001"/>
    <d v="2023-04-03T00:00:00"/>
    <x v="71"/>
    <s v="Mexico"/>
    <s v="Location 13"/>
    <n v="238.83"/>
  </r>
  <r>
    <n v="1008"/>
    <n v="240740.64"/>
    <d v="2023-04-03T00:00:00"/>
    <x v="71"/>
    <s v="Mexico"/>
    <s v="Location 13"/>
    <n v="238.83"/>
  </r>
  <r>
    <n v="588"/>
    <n v="75075.839999999997"/>
    <d v="2023-04-03T00:00:00"/>
    <x v="72"/>
    <s v="Mexico"/>
    <s v="Location 13"/>
    <n v="127.68"/>
  </r>
  <r>
    <n v="108"/>
    <n v="12062.52"/>
    <d v="2023-04-03T00:00:00"/>
    <x v="53"/>
    <s v="Mexico"/>
    <s v="Location 13"/>
    <n v="111.69"/>
  </r>
  <r>
    <n v="78"/>
    <n v="8711.82"/>
    <d v="2023-04-03T00:00:00"/>
    <x v="53"/>
    <s v="Mexico"/>
    <s v="Location 13"/>
    <n v="111.69"/>
  </r>
  <r>
    <n v="2000"/>
    <n v="3880"/>
    <d v="2023-04-04T00:00:00"/>
    <x v="20"/>
    <s v="Mexico"/>
    <s v="Location 13"/>
    <n v="1.94"/>
  </r>
  <r>
    <n v="120"/>
    <n v="11030.4"/>
    <d v="2023-04-04T00:00:00"/>
    <x v="35"/>
    <s v="Mexico"/>
    <s v="Location 13"/>
    <n v="91.92"/>
  </r>
  <r>
    <n v="588"/>
    <n v="79585.8"/>
    <d v="2023-04-04T00:00:00"/>
    <x v="26"/>
    <s v="Mexico"/>
    <s v="Location 13"/>
    <n v="135.35"/>
  </r>
  <r>
    <n v="121"/>
    <n v="13514.49"/>
    <d v="2023-04-04T00:00:00"/>
    <x v="53"/>
    <s v="Mexico"/>
    <s v="Location 13"/>
    <n v="111.69"/>
  </r>
  <r>
    <n v="82"/>
    <n v="9158.58"/>
    <d v="2023-04-04T00:00:00"/>
    <x v="53"/>
    <s v="Mexico"/>
    <s v="Location 13"/>
    <n v="111.69"/>
  </r>
  <r>
    <n v="159"/>
    <n v="17758.71"/>
    <d v="2023-04-04T00:00:00"/>
    <x v="53"/>
    <s v="Mexico"/>
    <s v="Location 13"/>
    <n v="111.69"/>
  </r>
  <r>
    <n v="108"/>
    <n v="11654.28"/>
    <d v="2023-04-05T00:00:00"/>
    <x v="9"/>
    <s v="Mexico"/>
    <s v="Location 13"/>
    <n v="107.91"/>
  </r>
  <r>
    <n v="432"/>
    <n v="46617.120000000003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540"/>
    <n v="58271.4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324"/>
    <n v="34962.839999999997"/>
    <d v="2023-04-05T00:00:00"/>
    <x v="9"/>
    <s v="Mexico"/>
    <s v="Location 13"/>
    <n v="107.91"/>
  </r>
  <r>
    <n v="216"/>
    <n v="23308.560000000001"/>
    <d v="2023-04-05T00:00:00"/>
    <x v="9"/>
    <s v="Mexico"/>
    <s v="Location 13"/>
    <n v="107.91"/>
  </r>
  <r>
    <n v="216"/>
    <n v="23308.560000000001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324"/>
    <n v="34962.839999999997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216"/>
    <n v="23308.560000000001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108"/>
    <n v="11654.28"/>
    <d v="2023-04-05T00:00:00"/>
    <x v="9"/>
    <s v="Mexico"/>
    <s v="Location 13"/>
    <n v="107.91"/>
  </r>
  <r>
    <n v="216"/>
    <n v="23308.560000000001"/>
    <d v="2023-04-05T00:00:00"/>
    <x v="9"/>
    <s v="Mexico"/>
    <s v="Location 13"/>
    <n v="107.91"/>
  </r>
  <r>
    <n v="216"/>
    <n v="23308.560000000001"/>
    <d v="2023-04-11T00:00:00"/>
    <x v="9"/>
    <s v="Mexico"/>
    <s v="Location 13"/>
    <n v="107.91"/>
  </r>
  <r>
    <n v="216"/>
    <n v="23308.560000000001"/>
    <d v="2023-04-11T00:00:00"/>
    <x v="9"/>
    <s v="Mexico"/>
    <s v="Location 13"/>
    <n v="107.91"/>
  </r>
  <r>
    <n v="74"/>
    <n v="33352.54"/>
    <d v="2023-04-11T00:00:00"/>
    <x v="1"/>
    <s v="Mexico"/>
    <s v="Location 13"/>
    <n v="450.71"/>
  </r>
  <r>
    <n v="46"/>
    <n v="20732.66"/>
    <d v="2023-04-11T00:00:00"/>
    <x v="1"/>
    <s v="Mexico"/>
    <s v="Location 13"/>
    <n v="450.71"/>
  </r>
  <r>
    <n v="158"/>
    <n v="71212.179999999993"/>
    <d v="2023-04-11T00:00:00"/>
    <x v="1"/>
    <s v="Mexico"/>
    <s v="Location 13"/>
    <n v="450.71"/>
  </r>
  <r>
    <n v="82"/>
    <n v="34866.400000000001"/>
    <d v="2023-04-11T00:00:00"/>
    <x v="1"/>
    <s v="Mexico"/>
    <s v="Location 13"/>
    <n v="425.2"/>
  </r>
  <r>
    <n v="120"/>
    <n v="54085.2"/>
    <d v="2023-04-11T00:00:00"/>
    <x v="1"/>
    <s v="Mexico"/>
    <s v="Location 13"/>
    <n v="450.71"/>
  </r>
  <r>
    <n v="82"/>
    <n v="36958.22"/>
    <d v="2023-04-11T00:00:00"/>
    <x v="1"/>
    <s v="Mexico"/>
    <s v="Location 13"/>
    <n v="450.71"/>
  </r>
  <r>
    <n v="30"/>
    <n v="22780.2"/>
    <d v="2023-04-12T00:00:00"/>
    <x v="14"/>
    <s v="Mexico"/>
    <s v="Location 13"/>
    <n v="759.34"/>
  </r>
  <r>
    <n v="60"/>
    <n v="45560.4"/>
    <d v="2023-04-12T00:00:00"/>
    <x v="14"/>
    <s v="Mexico"/>
    <s v="Location 13"/>
    <n v="759.34"/>
  </r>
  <r>
    <n v="180"/>
    <n v="136681.20000000001"/>
    <d v="2023-04-12T00:00:00"/>
    <x v="14"/>
    <s v="Mexico"/>
    <s v="Location 13"/>
    <n v="759.34"/>
  </r>
  <r>
    <n v="60"/>
    <n v="45560.4"/>
    <d v="2023-04-12T00:00:00"/>
    <x v="14"/>
    <s v="Mexico"/>
    <s v="Location 13"/>
    <n v="759.34"/>
  </r>
  <r>
    <n v="60"/>
    <n v="45560.4"/>
    <d v="2023-04-12T00:00:00"/>
    <x v="14"/>
    <s v="Mexico"/>
    <s v="Location 13"/>
    <n v="759.34"/>
  </r>
  <r>
    <n v="270"/>
    <n v="205021.8"/>
    <d v="2023-04-12T00:00:00"/>
    <x v="14"/>
    <s v="Mexico"/>
    <s v="Location 13"/>
    <n v="759.34"/>
  </r>
  <r>
    <n v="60"/>
    <n v="45560.4"/>
    <d v="2023-04-12T00:00:00"/>
    <x v="14"/>
    <s v="Mexico"/>
    <s v="Location 13"/>
    <n v="759.34"/>
  </r>
  <r>
    <n v="90"/>
    <n v="68340.600000000006"/>
    <d v="2023-04-12T00:00:00"/>
    <x v="14"/>
    <s v="Mexico"/>
    <s v="Location 13"/>
    <n v="759.34"/>
  </r>
  <r>
    <n v="360"/>
    <n v="273362.40000000002"/>
    <d v="2023-04-12T00:00:00"/>
    <x v="14"/>
    <s v="Mexico"/>
    <s v="Location 13"/>
    <n v="759.34"/>
  </r>
  <r>
    <n v="25"/>
    <n v="47304.75"/>
    <d v="2023-01-27T00:00:00"/>
    <x v="69"/>
    <s v="Mexico"/>
    <s v="Location 13"/>
    <n v="1892.19"/>
  </r>
  <r>
    <n v="65"/>
    <n v="122992.35"/>
    <d v="2023-01-27T00:00:00"/>
    <x v="69"/>
    <s v="Mexico"/>
    <s v="Location 13"/>
    <n v="1892.19"/>
  </r>
  <r>
    <n v="65"/>
    <n v="122992.35"/>
    <d v="2023-01-27T00:00:00"/>
    <x v="69"/>
    <s v="Mexico"/>
    <s v="Location 13"/>
    <n v="1892.19"/>
  </r>
  <r>
    <n v="65"/>
    <n v="122992.35"/>
    <d v="2023-01-27T00:00:00"/>
    <x v="69"/>
    <s v="Mexico"/>
    <s v="Location 13"/>
    <n v="1892.19"/>
  </r>
  <r>
    <n v="65"/>
    <n v="122992.35"/>
    <d v="2023-01-27T00:00:00"/>
    <x v="69"/>
    <s v="Mexico"/>
    <s v="Location 13"/>
    <n v="1892.19"/>
  </r>
  <r>
    <n v="65"/>
    <n v="122992.35"/>
    <d v="2023-01-27T00:00:00"/>
    <x v="69"/>
    <s v="Mexico"/>
    <s v="Location 13"/>
    <n v="1892.19"/>
  </r>
  <r>
    <n v="70"/>
    <n v="132453.29999999999"/>
    <d v="2023-01-27T00:00:00"/>
    <x v="69"/>
    <s v="Mexico"/>
    <s v="Location 13"/>
    <n v="1892.19"/>
  </r>
  <r>
    <n v="18"/>
    <n v="34059.42"/>
    <d v="2023-01-27T00:00:00"/>
    <x v="69"/>
    <s v="Mexico"/>
    <s v="Location 13"/>
    <n v="1892.19"/>
  </r>
  <r>
    <n v="192"/>
    <n v="363300.48"/>
    <d v="2023-01-27T00:00:00"/>
    <x v="69"/>
    <s v="Mexico"/>
    <s v="Location 13"/>
    <n v="1892.19"/>
  </r>
  <r>
    <n v="98"/>
    <n v="185434.62"/>
    <d v="2023-01-27T00:00:00"/>
    <x v="69"/>
    <s v="Mexico"/>
    <s v="Location 13"/>
    <n v="1892.19"/>
  </r>
  <r>
    <n v="30"/>
    <n v="56765.7"/>
    <d v="2023-01-27T00:00:00"/>
    <x v="69"/>
    <s v="Mexico"/>
    <s v="Location 13"/>
    <n v="1892.19"/>
  </r>
  <r>
    <n v="392"/>
    <n v="741738.48"/>
    <d v="2023-01-27T00:00:00"/>
    <x v="69"/>
    <s v="Mexico"/>
    <s v="Location 13"/>
    <n v="1892.19"/>
  </r>
  <r>
    <n v="98"/>
    <n v="185434.62"/>
    <d v="2023-01-27T00:00:00"/>
    <x v="69"/>
    <s v="Mexico"/>
    <s v="Location 13"/>
    <n v="1892.19"/>
  </r>
  <r>
    <n v="92"/>
    <n v="174081.48"/>
    <d v="2023-01-27T00:00:00"/>
    <x v="69"/>
    <s v="Mexico"/>
    <s v="Location 13"/>
    <n v="1892.19"/>
  </r>
  <r>
    <n v="98"/>
    <n v="185434.62"/>
    <d v="2023-01-27T00:00:00"/>
    <x v="69"/>
    <s v="Mexico"/>
    <s v="Location 13"/>
    <n v="1892.19"/>
  </r>
  <r>
    <n v="98"/>
    <n v="185434.62"/>
    <d v="2023-01-27T00:00:00"/>
    <x v="69"/>
    <s v="Mexico"/>
    <s v="Location 13"/>
    <n v="1892.19"/>
  </r>
  <r>
    <n v="3024"/>
    <n v="126493.92"/>
    <d v="2023-01-30T00:00:00"/>
    <x v="24"/>
    <s v="Mexico"/>
    <s v="Location 13"/>
    <n v="41.83"/>
  </r>
  <r>
    <n v="84"/>
    <n v="20061.72"/>
    <d v="2023-01-30T00:00:00"/>
    <x v="71"/>
    <s v="Mexico"/>
    <s v="Location 13"/>
    <n v="238.83"/>
  </r>
  <r>
    <n v="84"/>
    <n v="20061.72"/>
    <d v="2023-01-30T00:00:00"/>
    <x v="71"/>
    <s v="Mexico"/>
    <s v="Location 13"/>
    <n v="238.83"/>
  </r>
  <r>
    <n v="84"/>
    <n v="20061.72"/>
    <d v="2023-01-30T00:00:00"/>
    <x v="71"/>
    <s v="Mexico"/>
    <s v="Location 13"/>
    <n v="238.83"/>
  </r>
  <r>
    <n v="108"/>
    <n v="11654.28"/>
    <d v="2023-05-09T00:00:00"/>
    <x v="9"/>
    <s v="Mexico"/>
    <s v="Location 13"/>
    <n v="107.91"/>
  </r>
  <r>
    <n v="540"/>
    <n v="58271.4"/>
    <d v="2023-05-09T00:00:00"/>
    <x v="9"/>
    <s v="Mexico"/>
    <s v="Location 13"/>
    <n v="107.91"/>
  </r>
  <r>
    <n v="324"/>
    <n v="34962.839999999997"/>
    <d v="2023-05-09T00:00:00"/>
    <x v="9"/>
    <s v="Mexico"/>
    <s v="Location 13"/>
    <n v="107.91"/>
  </r>
  <r>
    <n v="324"/>
    <n v="34962.839999999997"/>
    <d v="2023-05-09T00:00:00"/>
    <x v="9"/>
    <s v="Mexico"/>
    <s v="Location 13"/>
    <n v="107.91"/>
  </r>
  <r>
    <n v="324"/>
    <n v="34962.839999999997"/>
    <d v="2023-05-09T00:00:00"/>
    <x v="9"/>
    <s v="Mexico"/>
    <s v="Location 13"/>
    <n v="107.91"/>
  </r>
  <r>
    <n v="2000"/>
    <n v="3880"/>
    <d v="2023-05-09T00:00:00"/>
    <x v="20"/>
    <s v="Mexico"/>
    <s v="Location 13"/>
    <n v="1.94"/>
  </r>
  <r>
    <n v="120"/>
    <n v="54085.2"/>
    <d v="2023-05-09T00:00:00"/>
    <x v="1"/>
    <s v="Mexico"/>
    <s v="Location 13"/>
    <n v="450.71"/>
  </r>
  <r>
    <n v="240"/>
    <n v="105348"/>
    <d v="2023-05-09T00:00:00"/>
    <x v="5"/>
    <s v="Mexico"/>
    <s v="Location 13"/>
    <n v="438.95"/>
  </r>
  <r>
    <n v="360"/>
    <n v="158022"/>
    <d v="2023-05-09T00:00:00"/>
    <x v="5"/>
    <s v="Mexico"/>
    <s v="Location 13"/>
    <n v="438.95"/>
  </r>
  <r>
    <n v="84"/>
    <n v="20061.72"/>
    <d v="2023-01-30T00:00:00"/>
    <x v="71"/>
    <s v="Mexico"/>
    <s v="Location 13"/>
    <n v="238.83"/>
  </r>
  <r>
    <n v="84"/>
    <n v="20061.72"/>
    <d v="2023-01-30T00:00:00"/>
    <x v="71"/>
    <s v="Mexico"/>
    <s v="Location 13"/>
    <n v="238.83"/>
  </r>
  <r>
    <n v="84"/>
    <n v="20061.72"/>
    <d v="2023-01-30T00:00:00"/>
    <x v="71"/>
    <s v="Mexico"/>
    <s v="Location 13"/>
    <n v="238.83"/>
  </r>
  <r>
    <n v="350"/>
    <n v="145330.5"/>
    <d v="2023-01-30T00:00:00"/>
    <x v="36"/>
    <s v="Mexico"/>
    <s v="Location 13"/>
    <n v="415.23"/>
  </r>
  <r>
    <n v="140"/>
    <n v="58132.2"/>
    <d v="2023-01-30T00:00:00"/>
    <x v="36"/>
    <s v="Mexico"/>
    <s v="Location 13"/>
    <n v="415.23"/>
  </r>
  <r>
    <n v="140"/>
    <n v="58132.2"/>
    <d v="2023-01-30T00:00:00"/>
    <x v="36"/>
    <s v="Mexico"/>
    <s v="Location 13"/>
    <n v="415.23"/>
  </r>
  <r>
    <n v="30"/>
    <n v="24113.1"/>
    <d v="2023-01-30T00:00:00"/>
    <x v="14"/>
    <s v="Mexico"/>
    <s v="Location 13"/>
    <n v="803.77"/>
  </r>
  <r>
    <n v="266"/>
    <n v="18580.099999999999"/>
    <d v="2023-01-30T00:00:00"/>
    <x v="66"/>
    <s v="Mexico"/>
    <s v="Location 13"/>
    <n v="69.849999999999994"/>
  </r>
  <r>
    <n v="108"/>
    <n v="7543.8"/>
    <d v="2023-01-30T00:00:00"/>
    <x v="66"/>
    <s v="Mexico"/>
    <s v="Location 13"/>
    <n v="69.849999999999994"/>
  </r>
  <r>
    <n v="502"/>
    <n v="33242.44"/>
    <d v="2023-01-30T00:00:00"/>
    <x v="66"/>
    <s v="Mexico"/>
    <s v="Location 13"/>
    <n v="66.22"/>
  </r>
  <r>
    <n v="30"/>
    <n v="27226.2"/>
    <d v="2023-01-30T00:00:00"/>
    <x v="0"/>
    <s v="Mexico"/>
    <s v="Location 13"/>
    <n v="907.54"/>
  </r>
  <r>
    <n v="60"/>
    <n v="54452.4"/>
    <d v="2023-01-30T00:00:00"/>
    <x v="0"/>
    <s v="Mexico"/>
    <s v="Location 13"/>
    <n v="907.54"/>
  </r>
  <r>
    <n v="150"/>
    <n v="136131"/>
    <d v="2023-01-30T00:00:00"/>
    <x v="0"/>
    <s v="Mexico"/>
    <s v="Location 13"/>
    <n v="907.54"/>
  </r>
  <r>
    <n v="60"/>
    <n v="54452.4"/>
    <d v="2023-01-30T00:00:00"/>
    <x v="0"/>
    <s v="Mexico"/>
    <s v="Location 13"/>
    <n v="907.54"/>
  </r>
  <r>
    <n v="90"/>
    <n v="81678.600000000006"/>
    <d v="2023-01-30T00:00:00"/>
    <x v="0"/>
    <s v="Mexico"/>
    <s v="Location 13"/>
    <n v="907.54"/>
  </r>
  <r>
    <n v="240"/>
    <n v="217809.6"/>
    <d v="2023-01-30T00:00:00"/>
    <x v="0"/>
    <s v="Mexico"/>
    <s v="Location 13"/>
    <n v="907.54"/>
  </r>
  <r>
    <n v="240"/>
    <n v="108170.4"/>
    <d v="2023-04-17T00:00:00"/>
    <x v="1"/>
    <s v="Mexico"/>
    <s v="Location 13"/>
    <n v="450.71"/>
  </r>
  <r>
    <n v="120"/>
    <n v="54085.2"/>
    <d v="2023-04-17T00:00:00"/>
    <x v="1"/>
    <s v="Mexico"/>
    <s v="Location 13"/>
    <n v="450.71"/>
  </r>
  <r>
    <n v="255"/>
    <n v="231422.7"/>
    <d v="2023-01-31T00:00:00"/>
    <x v="0"/>
    <s v="Mexico"/>
    <s v="Location 13"/>
    <n v="907.54"/>
  </r>
  <r>
    <n v="150"/>
    <n v="136131"/>
    <d v="2023-01-31T00:00:00"/>
    <x v="0"/>
    <s v="Mexico"/>
    <s v="Location 13"/>
    <n v="907.54"/>
  </r>
  <r>
    <n v="30"/>
    <n v="27226.2"/>
    <d v="2023-01-31T00:00:00"/>
    <x v="0"/>
    <s v="Mexico"/>
    <s v="Location 13"/>
    <n v="907.54"/>
  </r>
  <r>
    <n v="120"/>
    <n v="108904.8"/>
    <d v="2023-01-31T00:00:00"/>
    <x v="0"/>
    <s v="Mexico"/>
    <s v="Location 13"/>
    <n v="907.54"/>
  </r>
  <r>
    <n v="165"/>
    <n v="149744.1"/>
    <d v="2023-01-31T00:00:00"/>
    <x v="0"/>
    <s v="Mexico"/>
    <s v="Location 13"/>
    <n v="907.54"/>
  </r>
  <r>
    <n v="240"/>
    <n v="217809.6"/>
    <d v="2023-01-31T00:00:00"/>
    <x v="0"/>
    <s v="Mexico"/>
    <s v="Location 13"/>
    <n v="907.54"/>
  </r>
  <r>
    <n v="150"/>
    <n v="136131"/>
    <d v="2023-01-31T00:00:00"/>
    <x v="0"/>
    <s v="Mexico"/>
    <s v="Location 13"/>
    <n v="907.54"/>
  </r>
  <r>
    <n v="30"/>
    <n v="27226.2"/>
    <d v="2023-01-31T00:00:00"/>
    <x v="0"/>
    <s v="Mexico"/>
    <s v="Location 13"/>
    <n v="907.54"/>
  </r>
  <r>
    <n v="30"/>
    <n v="27226.2"/>
    <d v="2023-01-31T00:00:00"/>
    <x v="0"/>
    <s v="Mexico"/>
    <s v="Location 13"/>
    <n v="907.54"/>
  </r>
  <r>
    <n v="135"/>
    <n v="122517.9"/>
    <d v="2023-01-31T00:00:00"/>
    <x v="0"/>
    <s v="Mexico"/>
    <s v="Location 13"/>
    <n v="907.54"/>
  </r>
  <r>
    <n v="255"/>
    <n v="231422.7"/>
    <d v="2023-01-31T00:00:00"/>
    <x v="0"/>
    <s v="Mexico"/>
    <s v="Location 13"/>
    <n v="907.54"/>
  </r>
  <r>
    <n v="30"/>
    <n v="27226.2"/>
    <d v="2023-01-31T00:00:00"/>
    <x v="0"/>
    <s v="Mexico"/>
    <s v="Location 13"/>
    <n v="907.54"/>
  </r>
  <r>
    <n v="360"/>
    <n v="162255.6"/>
    <d v="2023-04-17T00:00:00"/>
    <x v="1"/>
    <s v="Mexico"/>
    <s v="Location 13"/>
    <n v="450.71"/>
  </r>
  <r>
    <n v="120"/>
    <n v="54085.2"/>
    <d v="2023-04-17T00:00:00"/>
    <x v="1"/>
    <s v="Mexico"/>
    <s v="Location 13"/>
    <n v="450.71"/>
  </r>
  <r>
    <n v="216"/>
    <n v="23308.560000000001"/>
    <d v="2023-04-19T00:00:00"/>
    <x v="9"/>
    <s v="Mexico"/>
    <s v="Location 13"/>
    <n v="107.91"/>
  </r>
  <r>
    <n v="540"/>
    <n v="58271.4"/>
    <d v="2023-04-19T00:00:00"/>
    <x v="9"/>
    <s v="Mexico"/>
    <s v="Location 13"/>
    <n v="107.91"/>
  </r>
  <r>
    <n v="108"/>
    <n v="11654.28"/>
    <d v="2023-04-19T00:00:00"/>
    <x v="9"/>
    <s v="Mexico"/>
    <s v="Location 13"/>
    <n v="107.91"/>
  </r>
  <r>
    <n v="216"/>
    <n v="23308.560000000001"/>
    <d v="2023-04-19T00:00:00"/>
    <x v="9"/>
    <s v="Mexico"/>
    <s v="Location 13"/>
    <n v="107.91"/>
  </r>
  <r>
    <n v="252"/>
    <n v="20099.52"/>
    <d v="2023-04-19T00:00:00"/>
    <x v="23"/>
    <s v="Mexico"/>
    <s v="Location 13"/>
    <n v="79.760000000000005"/>
  </r>
  <r>
    <n v="252"/>
    <n v="20099.52"/>
    <d v="2023-04-19T00:00:00"/>
    <x v="23"/>
    <s v="Mexico"/>
    <s v="Location 13"/>
    <n v="79.760000000000005"/>
  </r>
  <r>
    <n v="252"/>
    <n v="21606.48"/>
    <d v="2023-04-19T00:00:00"/>
    <x v="23"/>
    <s v="Mexico"/>
    <s v="Location 13"/>
    <n v="85.74"/>
  </r>
  <r>
    <n v="504"/>
    <n v="43212.959999999999"/>
    <d v="2023-04-19T00:00:00"/>
    <x v="23"/>
    <s v="Mexico"/>
    <s v="Location 13"/>
    <n v="85.74"/>
  </r>
  <r>
    <n v="252"/>
    <n v="21606.48"/>
    <d v="2023-04-19T00:00:00"/>
    <x v="23"/>
    <s v="Mexico"/>
    <s v="Location 13"/>
    <n v="85.74"/>
  </r>
  <r>
    <n v="450"/>
    <n v="197527.5"/>
    <d v="2023-04-19T00:00:00"/>
    <x v="5"/>
    <s v="Mexico"/>
    <s v="Location 13"/>
    <n v="438.95"/>
  </r>
  <r>
    <n v="48"/>
    <n v="9991.68"/>
    <d v="2023-04-19T00:00:00"/>
    <x v="6"/>
    <s v="Mexico"/>
    <s v="Location 13"/>
    <n v="208.16"/>
  </r>
  <r>
    <n v="48"/>
    <n v="9991.68"/>
    <d v="2023-04-19T00:00:00"/>
    <x v="6"/>
    <s v="Mexico"/>
    <s v="Location 13"/>
    <n v="208.16"/>
  </r>
  <r>
    <n v="48"/>
    <n v="9991.68"/>
    <d v="2023-04-19T00:00:00"/>
    <x v="6"/>
    <s v="Mexico"/>
    <s v="Location 13"/>
    <n v="208.16"/>
  </r>
  <r>
    <n v="90"/>
    <n v="68340.600000000006"/>
    <d v="2023-04-19T00:00:00"/>
    <x v="14"/>
    <s v="Mexico"/>
    <s v="Location 13"/>
    <n v="759.34"/>
  </r>
  <r>
    <n v="240"/>
    <n v="217809.6"/>
    <d v="2023-04-19T00:00:00"/>
    <x v="0"/>
    <s v="Mexico"/>
    <s v="Location 13"/>
    <n v="907.54"/>
  </r>
  <r>
    <n v="135"/>
    <n v="122517.9"/>
    <d v="2023-04-19T00:00:00"/>
    <x v="0"/>
    <s v="Mexico"/>
    <s v="Location 13"/>
    <n v="907.54"/>
  </r>
  <r>
    <n v="240"/>
    <n v="217809.6"/>
    <d v="2023-04-19T00:00:00"/>
    <x v="0"/>
    <s v="Mexico"/>
    <s v="Location 13"/>
    <n v="907.54"/>
  </r>
  <r>
    <n v="135"/>
    <n v="122517.9"/>
    <d v="2023-04-19T00:00:00"/>
    <x v="0"/>
    <s v="Mexico"/>
    <s v="Location 13"/>
    <n v="907.54"/>
  </r>
  <r>
    <n v="255"/>
    <n v="231422.7"/>
    <d v="2023-01-31T00:00:00"/>
    <x v="0"/>
    <s v="Mexico"/>
    <s v="Location 13"/>
    <n v="907.54"/>
  </r>
  <r>
    <n v="150"/>
    <n v="136131"/>
    <d v="2023-01-31T00:00:00"/>
    <x v="0"/>
    <s v="Mexico"/>
    <s v="Location 13"/>
    <n v="907.54"/>
  </r>
  <r>
    <n v="255"/>
    <n v="231422.7"/>
    <d v="2023-01-31T00:00:00"/>
    <x v="0"/>
    <s v="Mexico"/>
    <s v="Location 13"/>
    <n v="907.54"/>
  </r>
  <r>
    <n v="150"/>
    <n v="136131"/>
    <d v="2023-01-31T00:00:00"/>
    <x v="0"/>
    <s v="Mexico"/>
    <s v="Location 13"/>
    <n v="907.54"/>
  </r>
  <r>
    <n v="42"/>
    <n v="2933.7"/>
    <d v="2023-02-02T00:00:00"/>
    <x v="66"/>
    <s v="Mexico"/>
    <s v="Location 13"/>
    <n v="69.849999999999994"/>
  </r>
  <r>
    <n v="60"/>
    <n v="4191"/>
    <d v="2023-02-02T00:00:00"/>
    <x v="66"/>
    <s v="Mexico"/>
    <s v="Location 13"/>
    <n v="69.849999999999994"/>
  </r>
  <r>
    <n v="444"/>
    <n v="31013.4"/>
    <d v="2023-02-02T00:00:00"/>
    <x v="66"/>
    <s v="Mexico"/>
    <s v="Location 13"/>
    <n v="69.849999999999994"/>
  </r>
  <r>
    <n v="90"/>
    <n v="6286.5"/>
    <d v="2023-02-02T00:00:00"/>
    <x v="66"/>
    <s v="Mexico"/>
    <s v="Location 13"/>
    <n v="69.849999999999994"/>
  </r>
  <r>
    <n v="81"/>
    <n v="5657.85"/>
    <d v="2023-02-02T00:00:00"/>
    <x v="66"/>
    <s v="Mexico"/>
    <s v="Location 13"/>
    <n v="69.849999999999994"/>
  </r>
  <r>
    <n v="27"/>
    <n v="1885.95"/>
    <d v="2023-02-02T00:00:00"/>
    <x v="66"/>
    <s v="Mexico"/>
    <s v="Location 13"/>
    <n v="69.849999999999994"/>
  </r>
  <r>
    <n v="363"/>
    <n v="25355.55"/>
    <d v="2023-02-08T00:00:00"/>
    <x v="66"/>
    <s v="Mexico"/>
    <s v="Location 13"/>
    <n v="69.849999999999994"/>
  </r>
  <r>
    <n v="71"/>
    <n v="4959.3500000000004"/>
    <d v="2023-02-08T00:00:00"/>
    <x v="66"/>
    <s v="Mexico"/>
    <s v="Location 13"/>
    <n v="69.849999999999994"/>
  </r>
  <r>
    <n v="105"/>
    <n v="95291.7"/>
    <d v="2023-02-08T00:00:00"/>
    <x v="0"/>
    <s v="Mexico"/>
    <s v="Location 13"/>
    <n v="907.54"/>
  </r>
  <r>
    <n v="150"/>
    <n v="65842.5"/>
    <d v="2023-05-09T00:00:00"/>
    <x v="5"/>
    <s v="Mexico"/>
    <s v="Location 13"/>
    <n v="438.95"/>
  </r>
  <r>
    <n v="150"/>
    <n v="65842.5"/>
    <d v="2023-05-09T00:00:00"/>
    <x v="5"/>
    <s v="Mexico"/>
    <s v="Location 13"/>
    <n v="438.95"/>
  </r>
  <r>
    <n v="420"/>
    <n v="184359"/>
    <d v="2023-05-09T00:00:00"/>
    <x v="5"/>
    <s v="Mexico"/>
    <s v="Location 13"/>
    <n v="438.95"/>
  </r>
  <r>
    <n v="180"/>
    <n v="136681.20000000001"/>
    <d v="2023-05-09T00:00:00"/>
    <x v="14"/>
    <s v="Mexico"/>
    <s v="Location 13"/>
    <n v="759.34"/>
  </r>
  <r>
    <n v="30"/>
    <n v="22780.2"/>
    <d v="2023-05-09T00:00:00"/>
    <x v="14"/>
    <s v="Mexico"/>
    <s v="Location 13"/>
    <n v="759.34"/>
  </r>
  <r>
    <n v="334"/>
    <n v="23329.9"/>
    <d v="2023-05-09T00:00:00"/>
    <x v="66"/>
    <s v="Mexico"/>
    <s v="Location 13"/>
    <n v="69.849999999999994"/>
  </r>
  <r>
    <n v="636"/>
    <n v="44424.6"/>
    <d v="2023-05-09T00:00:00"/>
    <x v="66"/>
    <s v="Mexico"/>
    <s v="Location 13"/>
    <n v="69.849999999999994"/>
  </r>
  <r>
    <n v="18"/>
    <n v="34059.42"/>
    <d v="2023-02-09T00:00:00"/>
    <x v="69"/>
    <s v="Mexico"/>
    <s v="Location 13"/>
    <n v="1892.19"/>
  </r>
  <r>
    <n v="108"/>
    <n v="11654.28"/>
    <d v="2023-02-10T00:00:00"/>
    <x v="9"/>
    <s v="Mexico"/>
    <s v="Location 13"/>
    <n v="107.91"/>
  </r>
  <r>
    <n v="324"/>
    <n v="34962.839999999997"/>
    <d v="2023-02-10T00:00:00"/>
    <x v="9"/>
    <s v="Mexico"/>
    <s v="Location 13"/>
    <n v="107.91"/>
  </r>
  <r>
    <n v="216"/>
    <n v="23308.560000000001"/>
    <d v="2023-02-10T00:00:00"/>
    <x v="9"/>
    <s v="Mexico"/>
    <s v="Location 13"/>
    <n v="107.91"/>
  </r>
  <r>
    <n v="216"/>
    <n v="23308.560000000001"/>
    <d v="2023-02-10T00:00:00"/>
    <x v="9"/>
    <s v="Mexico"/>
    <s v="Location 13"/>
    <n v="107.91"/>
  </r>
  <r>
    <n v="324"/>
    <n v="34962.839999999997"/>
    <d v="2023-02-10T00:00:00"/>
    <x v="9"/>
    <s v="Mexico"/>
    <s v="Location 13"/>
    <n v="107.91"/>
  </r>
  <r>
    <n v="258"/>
    <n v="488185.02"/>
    <d v="2023-02-10T00:00:00"/>
    <x v="69"/>
    <s v="Mexico"/>
    <s v="Location 13"/>
    <n v="1892.19"/>
  </r>
  <r>
    <n v="9000"/>
    <n v="922.5"/>
    <d v="2023-04-24T00:00:00"/>
    <x v="12"/>
    <s v="Mexico"/>
    <s v="Location 13"/>
    <n v="0.10249999999999999"/>
  </r>
  <r>
    <n v="9000"/>
    <n v="922.5"/>
    <d v="2023-04-24T00:00:00"/>
    <x v="12"/>
    <s v="Mexico"/>
    <s v="Location 13"/>
    <n v="0.10249999999999999"/>
  </r>
  <r>
    <n v="324"/>
    <n v="34962.839999999997"/>
    <d v="2023-02-28T00:00:00"/>
    <x v="9"/>
    <s v="Mexico"/>
    <s v="Location 13"/>
    <n v="107.91"/>
  </r>
  <r>
    <n v="648"/>
    <n v="69925.679999999993"/>
    <d v="2023-07-28T00:00:00"/>
    <x v="9"/>
    <s v="Mexico"/>
    <s v="Location 13"/>
    <n v="107.91"/>
  </r>
  <r>
    <n v="51"/>
    <n v="22986.21"/>
    <d v="2023-07-28T00:00:00"/>
    <x v="1"/>
    <s v="Mexico"/>
    <s v="Location 13"/>
    <n v="450.71"/>
  </r>
  <r>
    <n v="53"/>
    <n v="23887.63"/>
    <d v="2023-07-28T00:00:00"/>
    <x v="1"/>
    <s v="Mexico"/>
    <s v="Location 13"/>
    <n v="450.71"/>
  </r>
  <r>
    <n v="57"/>
    <n v="25690.47"/>
    <d v="2023-07-28T00:00:00"/>
    <x v="1"/>
    <s v="Mexico"/>
    <s v="Location 13"/>
    <n v="450.71"/>
  </r>
  <r>
    <n v="120"/>
    <n v="11030.4"/>
    <d v="2023-07-28T00:00:00"/>
    <x v="35"/>
    <s v="Mexico"/>
    <s v="Location 13"/>
    <n v="91.92"/>
  </r>
  <r>
    <n v="252"/>
    <n v="21606.48"/>
    <d v="2023-07-28T00:00:00"/>
    <x v="23"/>
    <s v="Mexico"/>
    <s v="Location 13"/>
    <n v="85.74"/>
  </r>
  <r>
    <n v="252"/>
    <n v="21606.48"/>
    <d v="2023-07-28T00:00:00"/>
    <x v="23"/>
    <s v="Mexico"/>
    <s v="Location 13"/>
    <n v="85.74"/>
  </r>
  <r>
    <n v="300"/>
    <n v="131685"/>
    <d v="2023-07-28T00:00:00"/>
    <x v="5"/>
    <s v="Mexico"/>
    <s v="Location 13"/>
    <n v="438.95"/>
  </r>
  <r>
    <n v="1820"/>
    <n v="4568.2"/>
    <d v="2023-07-28T00:00:00"/>
    <x v="21"/>
    <s v="Mexico"/>
    <s v="Location 13"/>
    <n v="2.5099999999999998"/>
  </r>
  <r>
    <n v="280"/>
    <n v="116264.4"/>
    <d v="2023-07-28T00:00:00"/>
    <x v="36"/>
    <s v="Mexico"/>
    <s v="Location 13"/>
    <n v="415.23"/>
  </r>
  <r>
    <n v="420"/>
    <n v="174396.6"/>
    <d v="2023-07-28T00:00:00"/>
    <x v="36"/>
    <s v="Mexico"/>
    <s v="Location 13"/>
    <n v="415.23"/>
  </r>
  <r>
    <n v="70"/>
    <n v="29066.1"/>
    <d v="2023-07-28T00:00:00"/>
    <x v="36"/>
    <s v="Mexico"/>
    <s v="Location 13"/>
    <n v="415.23"/>
  </r>
  <r>
    <n v="210"/>
    <n v="87198.3"/>
    <d v="2023-07-28T00:00:00"/>
    <x v="36"/>
    <s v="Mexico"/>
    <s v="Location 13"/>
    <n v="415.23"/>
  </r>
  <r>
    <n v="140"/>
    <n v="58132.2"/>
    <d v="2023-07-28T00:00:00"/>
    <x v="36"/>
    <s v="Mexico"/>
    <s v="Location 13"/>
    <n v="415.23"/>
  </r>
  <r>
    <n v="700"/>
    <n v="290661"/>
    <d v="2023-07-28T00:00:00"/>
    <x v="36"/>
    <s v="Mexico"/>
    <s v="Location 13"/>
    <n v="415.23"/>
  </r>
  <r>
    <n v="490"/>
    <n v="203462.7"/>
    <d v="2023-07-28T00:00:00"/>
    <x v="36"/>
    <s v="Mexico"/>
    <s v="Location 13"/>
    <n v="415.23"/>
  </r>
  <r>
    <n v="210"/>
    <n v="87198.3"/>
    <d v="2023-07-28T00:00:00"/>
    <x v="36"/>
    <s v="Mexico"/>
    <s v="Location 13"/>
    <n v="415.23"/>
  </r>
  <r>
    <n v="210"/>
    <n v="87198.3"/>
    <d v="2023-07-28T00:00:00"/>
    <x v="36"/>
    <s v="Mexico"/>
    <s v="Location 13"/>
    <n v="415.23"/>
  </r>
  <r>
    <n v="350"/>
    <n v="145330.5"/>
    <d v="2023-07-28T00:00:00"/>
    <x v="36"/>
    <s v="Mexico"/>
    <s v="Location 13"/>
    <n v="415.23"/>
  </r>
  <r>
    <n v="420"/>
    <n v="174396.6"/>
    <d v="2023-07-28T00:00:00"/>
    <x v="36"/>
    <s v="Mexico"/>
    <s v="Location 13"/>
    <n v="415.23"/>
  </r>
  <r>
    <n v="140"/>
    <n v="60040.4"/>
    <d v="2023-07-28T00:00:00"/>
    <x v="4"/>
    <s v="Mexico"/>
    <s v="Location 13"/>
    <n v="428.86"/>
  </r>
  <r>
    <n v="140"/>
    <n v="60040.4"/>
    <d v="2023-07-28T00:00:00"/>
    <x v="4"/>
    <s v="Mexico"/>
    <s v="Location 13"/>
    <n v="428.86"/>
  </r>
  <r>
    <n v="1980"/>
    <n v="1503493.2"/>
    <d v="2023-07-28T00:00:00"/>
    <x v="14"/>
    <s v="Mexico"/>
    <s v="Location 13"/>
    <n v="759.34"/>
  </r>
  <r>
    <n v="450"/>
    <n v="341703"/>
    <d v="2023-07-28T00:00:00"/>
    <x v="14"/>
    <s v="Mexico"/>
    <s v="Location 13"/>
    <n v="759.34"/>
  </r>
  <r>
    <n v="25"/>
    <n v="4461.25"/>
    <d v="2023-07-28T00:00:00"/>
    <x v="30"/>
    <s v="Mexico"/>
    <s v="Location 13"/>
    <n v="178.45"/>
  </r>
  <r>
    <n v="179"/>
    <n v="12503.15"/>
    <d v="2023-07-28T00:00:00"/>
    <x v="66"/>
    <s v="Mexico"/>
    <s v="Location 13"/>
    <n v="69.849999999999994"/>
  </r>
  <r>
    <n v="204"/>
    <n v="14249.4"/>
    <d v="2023-07-28T00:00:00"/>
    <x v="66"/>
    <s v="Mexico"/>
    <s v="Location 13"/>
    <n v="69.849999999999994"/>
  </r>
  <r>
    <n v="180"/>
    <n v="12573"/>
    <d v="2023-07-28T00:00:00"/>
    <x v="66"/>
    <s v="Mexico"/>
    <s v="Location 13"/>
    <n v="69.849999999999994"/>
  </r>
  <r>
    <n v="399"/>
    <n v="27870.15"/>
    <d v="2023-07-28T00:00:00"/>
    <x v="66"/>
    <s v="Mexico"/>
    <s v="Location 13"/>
    <n v="69.849999999999994"/>
  </r>
  <r>
    <n v="228"/>
    <n v="15925.8"/>
    <d v="2023-07-28T00:00:00"/>
    <x v="66"/>
    <s v="Mexico"/>
    <s v="Location 13"/>
    <n v="69.849999999999994"/>
  </r>
  <r>
    <n v="102"/>
    <n v="7124.7"/>
    <d v="2023-07-28T00:00:00"/>
    <x v="66"/>
    <s v="Mexico"/>
    <s v="Location 13"/>
    <n v="69.849999999999994"/>
  </r>
  <r>
    <n v="360"/>
    <n v="308653.2"/>
    <d v="2023-07-28T00:00:00"/>
    <x v="0"/>
    <s v="Mexico"/>
    <s v="Location 13"/>
    <n v="857.37"/>
  </r>
  <r>
    <n v="96"/>
    <n v="181650.24"/>
    <d v="2023-07-28T00:00:00"/>
    <x v="69"/>
    <s v="Mexico"/>
    <s v="Location 13"/>
    <n v="1892.19"/>
  </r>
  <r>
    <n v="112"/>
    <n v="211925.28"/>
    <d v="2023-07-28T00:00:00"/>
    <x v="69"/>
    <s v="Mexico"/>
    <s v="Location 13"/>
    <n v="1892.19"/>
  </r>
  <r>
    <n v="60"/>
    <n v="113531.4"/>
    <d v="2023-07-28T00:00:00"/>
    <x v="69"/>
    <s v="Mexico"/>
    <s v="Location 13"/>
    <n v="1892.19"/>
  </r>
  <r>
    <n v="112"/>
    <n v="211925.28"/>
    <d v="2023-07-28T00:00:00"/>
    <x v="69"/>
    <s v="Mexico"/>
    <s v="Location 13"/>
    <n v="1892.19"/>
  </r>
  <r>
    <n v="84"/>
    <n v="158943.96"/>
    <d v="2023-07-28T00:00:00"/>
    <x v="69"/>
    <s v="Mexico"/>
    <s v="Location 13"/>
    <n v="1892.19"/>
  </r>
  <r>
    <n v="39"/>
    <n v="2724.15"/>
    <d v="2023-08-07T00:00:00"/>
    <x v="66"/>
    <s v="Mexico"/>
    <s v="Location 13"/>
    <n v="69.849999999999994"/>
  </r>
  <r>
    <n v="240"/>
    <n v="108170.4"/>
    <d v="2023-08-08T00:00:00"/>
    <x v="1"/>
    <s v="Mexico"/>
    <s v="Location 13"/>
    <n v="450.71"/>
  </r>
  <r>
    <n v="648"/>
    <n v="69925.679999999993"/>
    <d v="2023-08-31T00:00:00"/>
    <x v="9"/>
    <s v="Mexico"/>
    <s v="Location 13"/>
    <n v="107.91"/>
  </r>
  <r>
    <n v="120"/>
    <n v="54085.2"/>
    <d v="2023-08-31T00:00:00"/>
    <x v="1"/>
    <s v="Mexico"/>
    <s v="Location 13"/>
    <n v="450.71"/>
  </r>
  <r>
    <n v="360"/>
    <n v="162255.6"/>
    <d v="2023-08-31T00:00:00"/>
    <x v="1"/>
    <s v="Mexico"/>
    <s v="Location 13"/>
    <n v="450.71"/>
  </r>
  <r>
    <n v="240"/>
    <n v="108170.4"/>
    <d v="2023-08-31T00:00:00"/>
    <x v="1"/>
    <s v="Mexico"/>
    <s v="Location 13"/>
    <n v="450.71"/>
  </r>
  <r>
    <n v="130"/>
    <n v="58592.3"/>
    <d v="2023-08-31T00:00:00"/>
    <x v="1"/>
    <s v="Mexico"/>
    <s v="Location 13"/>
    <n v="450.71"/>
  </r>
  <r>
    <n v="240"/>
    <n v="108170.4"/>
    <d v="2023-08-31T00:00:00"/>
    <x v="1"/>
    <s v="Mexico"/>
    <s v="Location 13"/>
    <n v="450.71"/>
  </r>
  <r>
    <n v="120"/>
    <n v="54085.2"/>
    <d v="2023-08-31T00:00:00"/>
    <x v="1"/>
    <s v="Mexico"/>
    <s v="Location 13"/>
    <n v="450.71"/>
  </r>
  <r>
    <n v="252"/>
    <n v="21606.48"/>
    <d v="2023-08-31T00:00:00"/>
    <x v="23"/>
    <s v="Mexico"/>
    <s v="Location 13"/>
    <n v="85.74"/>
  </r>
  <r>
    <n v="90"/>
    <n v="39505.5"/>
    <d v="2023-08-31T00:00:00"/>
    <x v="5"/>
    <s v="Mexico"/>
    <s v="Location 13"/>
    <n v="438.95"/>
  </r>
  <r>
    <n v="1200"/>
    <n v="526740"/>
    <d v="2023-08-31T00:00:00"/>
    <x v="5"/>
    <s v="Mexico"/>
    <s v="Location 13"/>
    <n v="438.95"/>
  </r>
  <r>
    <n v="600"/>
    <n v="263370"/>
    <d v="2023-08-31T00:00:00"/>
    <x v="5"/>
    <s v="Mexico"/>
    <s v="Location 13"/>
    <n v="438.95"/>
  </r>
  <r>
    <n v="120"/>
    <n v="52674"/>
    <d v="2023-08-31T00:00:00"/>
    <x v="5"/>
    <s v="Mexico"/>
    <s v="Location 13"/>
    <n v="438.95"/>
  </r>
  <r>
    <n v="210"/>
    <n v="92179.5"/>
    <d v="2023-08-31T00:00:00"/>
    <x v="5"/>
    <s v="Mexico"/>
    <s v="Location 13"/>
    <n v="438.95"/>
  </r>
  <r>
    <n v="1820"/>
    <n v="4568.2"/>
    <d v="2023-08-31T00:00:00"/>
    <x v="21"/>
    <s v="Mexico"/>
    <s v="Location 13"/>
    <n v="2.5099999999999998"/>
  </r>
  <r>
    <n v="210"/>
    <n v="87198.3"/>
    <d v="2023-08-31T00:00:00"/>
    <x v="36"/>
    <s v="Mexico"/>
    <s v="Location 13"/>
    <n v="415.23"/>
  </r>
  <r>
    <n v="420"/>
    <n v="174396.6"/>
    <d v="2023-08-31T00:00:00"/>
    <x v="36"/>
    <s v="Mexico"/>
    <s v="Location 13"/>
    <n v="415.23"/>
  </r>
  <r>
    <n v="4500"/>
    <n v="3088.8"/>
    <d v="2023-08-31T00:00:00"/>
    <x v="13"/>
    <s v="Mexico"/>
    <s v="Location 13"/>
    <n v="0.68640000000000001"/>
  </r>
  <r>
    <n v="30"/>
    <n v="22780.2"/>
    <d v="2023-08-31T00:00:00"/>
    <x v="14"/>
    <s v="Mexico"/>
    <s v="Location 13"/>
    <n v="759.34"/>
  </r>
  <r>
    <n v="120"/>
    <n v="91120.8"/>
    <d v="2023-08-31T00:00:00"/>
    <x v="14"/>
    <s v="Mexico"/>
    <s v="Location 13"/>
    <n v="759.34"/>
  </r>
  <r>
    <n v="60"/>
    <n v="45560.4"/>
    <d v="2023-08-31T00:00:00"/>
    <x v="14"/>
    <s v="Mexico"/>
    <s v="Location 13"/>
    <n v="759.34"/>
  </r>
  <r>
    <n v="60"/>
    <n v="45560.4"/>
    <d v="2023-08-31T00:00:00"/>
    <x v="14"/>
    <s v="Mexico"/>
    <s v="Location 13"/>
    <n v="759.34"/>
  </r>
  <r>
    <n v="30"/>
    <n v="22780.2"/>
    <d v="2023-08-31T00:00:00"/>
    <x v="14"/>
    <s v="Mexico"/>
    <s v="Location 13"/>
    <n v="759.34"/>
  </r>
  <r>
    <n v="60"/>
    <n v="45560.4"/>
    <d v="2023-08-31T00:00:00"/>
    <x v="14"/>
    <s v="Mexico"/>
    <s v="Location 13"/>
    <n v="759.34"/>
  </r>
  <r>
    <n v="1005"/>
    <n v="70199.25"/>
    <d v="2023-08-31T00:00:00"/>
    <x v="66"/>
    <s v="Mexico"/>
    <s v="Location 13"/>
    <n v="69.849999999999994"/>
  </r>
  <r>
    <n v="216"/>
    <n v="23308.560000000001"/>
    <d v="2023-06-07T00:00:00"/>
    <x v="9"/>
    <s v="Mexico"/>
    <s v="Location 13"/>
    <n v="107.91"/>
  </r>
  <r>
    <n v="108"/>
    <n v="11654.28"/>
    <d v="2023-06-07T00:00:00"/>
    <x v="9"/>
    <s v="Mexico"/>
    <s v="Location 13"/>
    <n v="107.91"/>
  </r>
  <r>
    <n v="324"/>
    <n v="34962.839999999997"/>
    <d v="2023-06-07T00:00:00"/>
    <x v="9"/>
    <s v="Mexico"/>
    <s v="Location 13"/>
    <n v="107.91"/>
  </r>
  <r>
    <n v="108"/>
    <n v="11654.28"/>
    <d v="2023-06-07T00:00:00"/>
    <x v="9"/>
    <s v="Mexico"/>
    <s v="Location 13"/>
    <n v="107.91"/>
  </r>
  <r>
    <n v="216"/>
    <n v="23308.560000000001"/>
    <d v="2023-06-07T00:00:00"/>
    <x v="9"/>
    <s v="Mexico"/>
    <s v="Location 13"/>
    <n v="107.91"/>
  </r>
  <r>
    <n v="216"/>
    <n v="23308.560000000001"/>
    <d v="2023-06-07T00:00:00"/>
    <x v="9"/>
    <s v="Mexico"/>
    <s v="Location 13"/>
    <n v="107.91"/>
  </r>
  <r>
    <n v="216"/>
    <n v="23308.560000000001"/>
    <d v="2023-06-07T00:00:00"/>
    <x v="9"/>
    <s v="Mexico"/>
    <s v="Location 13"/>
    <n v="107.91"/>
  </r>
  <r>
    <n v="432"/>
    <n v="46617.120000000003"/>
    <d v="2023-06-07T00:00:00"/>
    <x v="9"/>
    <s v="Mexico"/>
    <s v="Location 13"/>
    <n v="107.91"/>
  </r>
  <r>
    <n v="202"/>
    <n v="91043.42"/>
    <d v="2023-06-07T00:00:00"/>
    <x v="1"/>
    <s v="Mexico"/>
    <s v="Location 13"/>
    <n v="450.71"/>
  </r>
  <r>
    <n v="240"/>
    <n v="108170.4"/>
    <d v="2023-06-07T00:00:00"/>
    <x v="1"/>
    <s v="Mexico"/>
    <s v="Location 13"/>
    <n v="450.71"/>
  </r>
  <r>
    <n v="3024"/>
    <n v="133449.12"/>
    <d v="2023-06-07T00:00:00"/>
    <x v="24"/>
    <s v="Mexico"/>
    <s v="Location 13"/>
    <n v="44.13"/>
  </r>
  <r>
    <n v="252"/>
    <n v="21606.48"/>
    <d v="2023-06-07T00:00:00"/>
    <x v="23"/>
    <s v="Mexico"/>
    <s v="Location 13"/>
    <n v="85.74"/>
  </r>
  <r>
    <n v="240"/>
    <n v="105348"/>
    <d v="2023-06-07T00:00:00"/>
    <x v="5"/>
    <s v="Mexico"/>
    <s v="Location 13"/>
    <n v="438.95"/>
  </r>
  <r>
    <n v="300"/>
    <n v="131685"/>
    <d v="2023-06-07T00:00:00"/>
    <x v="5"/>
    <s v="Mexico"/>
    <s v="Location 13"/>
    <n v="438.95"/>
  </r>
  <r>
    <n v="120"/>
    <n v="52674"/>
    <d v="2023-06-07T00:00:00"/>
    <x v="5"/>
    <s v="Mexico"/>
    <s v="Location 13"/>
    <n v="438.95"/>
  </r>
  <r>
    <n v="30"/>
    <n v="13168.5"/>
    <d v="2023-06-07T00:00:00"/>
    <x v="5"/>
    <s v="Mexico"/>
    <s v="Location 13"/>
    <n v="438.95"/>
  </r>
  <r>
    <n v="270"/>
    <n v="118516.5"/>
    <d v="2023-06-07T00:00:00"/>
    <x v="5"/>
    <s v="Mexico"/>
    <s v="Location 13"/>
    <n v="438.95"/>
  </r>
  <r>
    <n v="450"/>
    <n v="197527.5"/>
    <d v="2023-06-07T00:00:00"/>
    <x v="5"/>
    <s v="Mexico"/>
    <s v="Location 13"/>
    <n v="438.95"/>
  </r>
  <r>
    <n v="510"/>
    <n v="223864.5"/>
    <d v="2023-06-07T00:00:00"/>
    <x v="5"/>
    <s v="Mexico"/>
    <s v="Location 13"/>
    <n v="438.95"/>
  </r>
  <r>
    <n v="120"/>
    <n v="52674"/>
    <d v="2023-06-07T00:00:00"/>
    <x v="5"/>
    <s v="Mexico"/>
    <s v="Location 13"/>
    <n v="438.95"/>
  </r>
  <r>
    <n v="1008"/>
    <n v="73402.559999999998"/>
    <d v="2023-06-07T00:00:00"/>
    <x v="28"/>
    <s v="Mexico"/>
    <s v="Location 13"/>
    <n v="72.819999999999993"/>
  </r>
  <r>
    <n v="1820"/>
    <n v="4568.2"/>
    <d v="2023-06-07T00:00:00"/>
    <x v="21"/>
    <s v="Mexico"/>
    <s v="Location 13"/>
    <n v="2.5099999999999998"/>
  </r>
  <r>
    <n v="490"/>
    <n v="210141.4"/>
    <d v="2023-06-07T00:00:00"/>
    <x v="4"/>
    <s v="Mexico"/>
    <s v="Location 13"/>
    <n v="428.86"/>
  </r>
  <r>
    <n v="140"/>
    <n v="60040.4"/>
    <d v="2023-06-07T00:00:00"/>
    <x v="4"/>
    <s v="Mexico"/>
    <s v="Location 13"/>
    <n v="428.86"/>
  </r>
  <r>
    <n v="159"/>
    <n v="17758.71"/>
    <d v="2023-06-07T00:00:00"/>
    <x v="53"/>
    <s v="Mexico"/>
    <s v="Location 13"/>
    <n v="111.69"/>
  </r>
  <r>
    <n v="160"/>
    <n v="17870.400000000001"/>
    <d v="2023-06-07T00:00:00"/>
    <x v="53"/>
    <s v="Mexico"/>
    <s v="Location 13"/>
    <n v="111.69"/>
  </r>
  <r>
    <n v="23"/>
    <n v="2568.87"/>
    <d v="2023-06-07T00:00:00"/>
    <x v="53"/>
    <s v="Mexico"/>
    <s v="Location 13"/>
    <n v="111.69"/>
  </r>
  <r>
    <n v="159"/>
    <n v="17758.71"/>
    <d v="2023-06-07T00:00:00"/>
    <x v="53"/>
    <s v="Mexico"/>
    <s v="Location 13"/>
    <n v="111.69"/>
  </r>
  <r>
    <n v="159"/>
    <n v="17758.71"/>
    <d v="2023-06-07T00:00:00"/>
    <x v="53"/>
    <s v="Mexico"/>
    <s v="Location 13"/>
    <n v="111.69"/>
  </r>
  <r>
    <n v="96"/>
    <n v="10722.24"/>
    <d v="2023-06-07T00:00:00"/>
    <x v="53"/>
    <s v="Mexico"/>
    <s v="Location 13"/>
    <n v="111.69"/>
  </r>
  <r>
    <n v="150"/>
    <n v="113901"/>
    <d v="2023-06-07T00:00:00"/>
    <x v="14"/>
    <s v="Mexico"/>
    <s v="Location 13"/>
    <n v="759.34"/>
  </r>
  <r>
    <n v="210"/>
    <n v="159461.4"/>
    <d v="2023-06-07T00:00:00"/>
    <x v="14"/>
    <s v="Mexico"/>
    <s v="Location 13"/>
    <n v="759.34"/>
  </r>
  <r>
    <n v="90"/>
    <n v="68340.600000000006"/>
    <d v="2023-06-07T00:00:00"/>
    <x v="14"/>
    <s v="Mexico"/>
    <s v="Location 13"/>
    <n v="759.34"/>
  </r>
  <r>
    <n v="60"/>
    <n v="45560.4"/>
    <d v="2023-06-07T00:00:00"/>
    <x v="14"/>
    <s v="Mexico"/>
    <s v="Location 13"/>
    <n v="759.34"/>
  </r>
  <r>
    <n v="270"/>
    <n v="205021.8"/>
    <d v="2023-06-07T00:00:00"/>
    <x v="14"/>
    <s v="Mexico"/>
    <s v="Location 13"/>
    <n v="759.34"/>
  </r>
  <r>
    <n v="210"/>
    <n v="159461.4"/>
    <d v="2023-06-07T00:00:00"/>
    <x v="14"/>
    <s v="Mexico"/>
    <s v="Location 13"/>
    <n v="759.34"/>
  </r>
  <r>
    <n v="120"/>
    <n v="91120.8"/>
    <d v="2023-06-07T00:00:00"/>
    <x v="14"/>
    <s v="Mexico"/>
    <s v="Location 13"/>
    <n v="759.34"/>
  </r>
  <r>
    <n v="180"/>
    <n v="136681.20000000001"/>
    <d v="2023-06-07T00:00:00"/>
    <x v="14"/>
    <s v="Mexico"/>
    <s v="Location 13"/>
    <n v="759.34"/>
  </r>
  <r>
    <n v="90"/>
    <n v="68340.600000000006"/>
    <d v="2023-06-07T00:00:00"/>
    <x v="14"/>
    <s v="Mexico"/>
    <s v="Location 13"/>
    <n v="759.34"/>
  </r>
  <r>
    <n v="60"/>
    <n v="45560.4"/>
    <d v="2023-06-07T00:00:00"/>
    <x v="14"/>
    <s v="Mexico"/>
    <s v="Location 13"/>
    <n v="759.34"/>
  </r>
  <r>
    <n v="60"/>
    <n v="45560.4"/>
    <d v="2023-06-07T00:00:00"/>
    <x v="14"/>
    <s v="Mexico"/>
    <s v="Location 13"/>
    <n v="759.34"/>
  </r>
  <r>
    <n v="60"/>
    <n v="45560.4"/>
    <d v="2023-06-07T00:00:00"/>
    <x v="14"/>
    <s v="Mexico"/>
    <s v="Location 13"/>
    <n v="759.34"/>
  </r>
  <r>
    <n v="143"/>
    <n v="25518.35"/>
    <d v="2023-06-07T00:00:00"/>
    <x v="30"/>
    <s v="Mexico"/>
    <s v="Location 13"/>
    <n v="178.45"/>
  </r>
  <r>
    <n v="107"/>
    <n v="19094.150000000001"/>
    <d v="2023-06-07T00:00:00"/>
    <x v="30"/>
    <s v="Mexico"/>
    <s v="Location 13"/>
    <n v="178.45"/>
  </r>
  <r>
    <n v="100"/>
    <n v="17845"/>
    <d v="2023-06-07T00:00:00"/>
    <x v="30"/>
    <s v="Mexico"/>
    <s v="Location 13"/>
    <n v="178.45"/>
  </r>
  <r>
    <n v="143"/>
    <n v="25518.35"/>
    <d v="2023-06-07T00:00:00"/>
    <x v="30"/>
    <s v="Mexico"/>
    <s v="Location 13"/>
    <n v="178.45"/>
  </r>
  <r>
    <n v="107"/>
    <n v="19094.150000000001"/>
    <d v="2023-06-07T00:00:00"/>
    <x v="30"/>
    <s v="Mexico"/>
    <s v="Location 13"/>
    <n v="178.45"/>
  </r>
  <r>
    <n v="143"/>
    <n v="25518.35"/>
    <d v="2023-06-07T00:00:00"/>
    <x v="30"/>
    <s v="Mexico"/>
    <s v="Location 13"/>
    <n v="178.45"/>
  </r>
  <r>
    <n v="143"/>
    <n v="25518.35"/>
    <d v="2023-06-07T00:00:00"/>
    <x v="30"/>
    <s v="Mexico"/>
    <s v="Location 13"/>
    <n v="178.45"/>
  </r>
  <r>
    <n v="145"/>
    <n v="25875.25"/>
    <d v="2023-06-07T00:00:00"/>
    <x v="30"/>
    <s v="Mexico"/>
    <s v="Location 13"/>
    <n v="178.45"/>
  </r>
  <r>
    <n v="143"/>
    <n v="25518.35"/>
    <d v="2023-06-07T00:00:00"/>
    <x v="30"/>
    <s v="Mexico"/>
    <s v="Location 13"/>
    <n v="178.45"/>
  </r>
  <r>
    <n v="143"/>
    <n v="25518.35"/>
    <d v="2023-06-07T00:00:00"/>
    <x v="30"/>
    <s v="Mexico"/>
    <s v="Location 13"/>
    <n v="178.45"/>
  </r>
  <r>
    <n v="107"/>
    <n v="19094.150000000001"/>
    <d v="2023-06-07T00:00:00"/>
    <x v="30"/>
    <s v="Mexico"/>
    <s v="Location 13"/>
    <n v="178.45"/>
  </r>
  <r>
    <n v="107"/>
    <n v="19094.150000000001"/>
    <d v="2023-06-07T00:00:00"/>
    <x v="30"/>
    <s v="Mexico"/>
    <s v="Location 13"/>
    <n v="178.45"/>
  </r>
  <r>
    <n v="107"/>
    <n v="19094.150000000001"/>
    <d v="2023-06-07T00:00:00"/>
    <x v="30"/>
    <s v="Mexico"/>
    <s v="Location 13"/>
    <n v="178.45"/>
  </r>
  <r>
    <n v="30"/>
    <n v="5353.5"/>
    <d v="2023-06-07T00:00:00"/>
    <x v="30"/>
    <s v="Mexico"/>
    <s v="Location 13"/>
    <n v="178.45"/>
  </r>
  <r>
    <n v="104"/>
    <n v="18558.8"/>
    <d v="2023-06-07T00:00:00"/>
    <x v="30"/>
    <s v="Mexico"/>
    <s v="Location 13"/>
    <n v="178.45"/>
  </r>
  <r>
    <n v="20"/>
    <n v="3569"/>
    <d v="2023-06-07T00:00:00"/>
    <x v="30"/>
    <s v="Mexico"/>
    <s v="Location 13"/>
    <n v="178.45"/>
  </r>
  <r>
    <n v="107"/>
    <n v="19094.150000000001"/>
    <d v="2023-06-07T00:00:00"/>
    <x v="30"/>
    <s v="Mexico"/>
    <s v="Location 13"/>
    <n v="178.45"/>
  </r>
  <r>
    <n v="108"/>
    <n v="19272.599999999999"/>
    <d v="2023-06-07T00:00:00"/>
    <x v="30"/>
    <s v="Mexico"/>
    <s v="Location 13"/>
    <n v="178.45"/>
  </r>
  <r>
    <n v="88"/>
    <n v="15703.6"/>
    <d v="2023-06-07T00:00:00"/>
    <x v="30"/>
    <s v="Mexico"/>
    <s v="Location 13"/>
    <n v="178.45"/>
  </r>
  <r>
    <n v="8"/>
    <n v="1427.6"/>
    <d v="2023-06-07T00:00:00"/>
    <x v="30"/>
    <s v="Mexico"/>
    <s v="Location 13"/>
    <n v="178.45"/>
  </r>
  <r>
    <n v="135"/>
    <n v="24090.75"/>
    <d v="2023-06-07T00:00:00"/>
    <x v="30"/>
    <s v="Mexico"/>
    <s v="Location 13"/>
    <n v="178.45"/>
  </r>
  <r>
    <n v="143"/>
    <n v="25518.35"/>
    <d v="2023-06-07T00:00:00"/>
    <x v="30"/>
    <s v="Mexico"/>
    <s v="Location 13"/>
    <n v="178.45"/>
  </r>
  <r>
    <n v="91"/>
    <n v="16238.95"/>
    <d v="2023-06-07T00:00:00"/>
    <x v="30"/>
    <s v="Mexico"/>
    <s v="Location 13"/>
    <n v="178.45"/>
  </r>
  <r>
    <n v="41"/>
    <n v="7316.45"/>
    <d v="2023-06-07T00:00:00"/>
    <x v="30"/>
    <s v="Mexico"/>
    <s v="Location 13"/>
    <n v="178.45"/>
  </r>
  <r>
    <n v="39"/>
    <n v="2724.15"/>
    <d v="2023-06-07T00:00:00"/>
    <x v="66"/>
    <s v="Mexico"/>
    <s v="Location 13"/>
    <n v="69.849999999999994"/>
  </r>
  <r>
    <n v="26"/>
    <n v="1816.1"/>
    <d v="2023-06-07T00:00:00"/>
    <x v="66"/>
    <s v="Mexico"/>
    <s v="Location 13"/>
    <n v="69.849999999999994"/>
  </r>
  <r>
    <n v="399"/>
    <n v="27870.15"/>
    <d v="2023-06-07T00:00:00"/>
    <x v="66"/>
    <s v="Mexico"/>
    <s v="Location 13"/>
    <n v="69.849999999999994"/>
  </r>
  <r>
    <n v="453"/>
    <n v="31642.05"/>
    <d v="2023-06-07T00:00:00"/>
    <x v="66"/>
    <s v="Mexico"/>
    <s v="Location 13"/>
    <n v="69.849999999999994"/>
  </r>
  <r>
    <n v="75"/>
    <n v="64302.75"/>
    <d v="2023-06-07T00:00:00"/>
    <x v="0"/>
    <s v="Mexico"/>
    <s v="Location 13"/>
    <n v="857.37"/>
  </r>
  <r>
    <n v="105"/>
    <n v="90023.85"/>
    <d v="2023-06-07T00:00:00"/>
    <x v="0"/>
    <s v="Mexico"/>
    <s v="Location 13"/>
    <n v="857.37"/>
  </r>
  <r>
    <n v="225"/>
    <n v="192908.25"/>
    <d v="2023-06-07T00:00:00"/>
    <x v="0"/>
    <s v="Mexico"/>
    <s v="Location 13"/>
    <n v="857.37"/>
  </r>
  <r>
    <n v="60"/>
    <n v="51442.2"/>
    <d v="2023-06-07T00:00:00"/>
    <x v="0"/>
    <s v="Mexico"/>
    <s v="Location 13"/>
    <n v="857.37"/>
  </r>
  <r>
    <n v="108"/>
    <n v="11654.28"/>
    <d v="2023-06-30T00:00:00"/>
    <x v="9"/>
    <s v="Mexico"/>
    <s v="Location 13"/>
    <n v="107.91"/>
  </r>
  <r>
    <n v="108"/>
    <n v="11654.28"/>
    <d v="2023-06-30T00:00:00"/>
    <x v="9"/>
    <s v="Mexico"/>
    <s v="Location 13"/>
    <n v="107.91"/>
  </r>
  <r>
    <n v="540"/>
    <n v="58271.4"/>
    <d v="2023-06-30T00:00:00"/>
    <x v="9"/>
    <s v="Mexico"/>
    <s v="Location 13"/>
    <n v="107.91"/>
  </r>
  <r>
    <n v="648"/>
    <n v="69925.679999999993"/>
    <d v="2023-06-30T00:00:00"/>
    <x v="9"/>
    <s v="Mexico"/>
    <s v="Location 13"/>
    <n v="107.91"/>
  </r>
  <r>
    <n v="108"/>
    <n v="11654.28"/>
    <d v="2023-06-30T00:00:00"/>
    <x v="9"/>
    <s v="Mexico"/>
    <s v="Location 13"/>
    <n v="107.91"/>
  </r>
  <r>
    <n v="108"/>
    <n v="11654.28"/>
    <d v="2023-06-30T00:00:00"/>
    <x v="9"/>
    <s v="Mexico"/>
    <s v="Location 13"/>
    <n v="107.91"/>
  </r>
  <r>
    <n v="324"/>
    <n v="34962.839999999997"/>
    <d v="2023-06-30T00:00:00"/>
    <x v="9"/>
    <s v="Mexico"/>
    <s v="Location 13"/>
    <n v="107.91"/>
  </r>
  <r>
    <n v="216"/>
    <n v="23308.560000000001"/>
    <d v="2023-06-30T00:00:00"/>
    <x v="9"/>
    <s v="Mexico"/>
    <s v="Location 13"/>
    <n v="107.91"/>
  </r>
  <r>
    <n v="1296"/>
    <n v="139851.35999999999"/>
    <d v="2023-06-30T00:00:00"/>
    <x v="9"/>
    <s v="Mexico"/>
    <s v="Location 13"/>
    <n v="107.91"/>
  </r>
  <r>
    <n v="4320"/>
    <n v="466171.2"/>
    <d v="2023-06-30T00:00:00"/>
    <x v="9"/>
    <s v="Mexico"/>
    <s v="Location 13"/>
    <n v="107.91"/>
  </r>
  <r>
    <n v="189"/>
    <n v="85184.19"/>
    <d v="2023-06-30T00:00:00"/>
    <x v="1"/>
    <s v="Mexico"/>
    <s v="Location 13"/>
    <n v="450.71"/>
  </r>
  <r>
    <n v="38"/>
    <n v="17126.98"/>
    <d v="2023-06-30T00:00:00"/>
    <x v="1"/>
    <s v="Mexico"/>
    <s v="Location 13"/>
    <n v="450.71"/>
  </r>
  <r>
    <n v="120"/>
    <n v="54085.2"/>
    <d v="2023-06-30T00:00:00"/>
    <x v="1"/>
    <s v="Mexico"/>
    <s v="Location 13"/>
    <n v="450.71"/>
  </r>
  <r>
    <n v="120"/>
    <n v="54085.2"/>
    <d v="2023-06-30T00:00:00"/>
    <x v="1"/>
    <s v="Mexico"/>
    <s v="Location 13"/>
    <n v="450.71"/>
  </r>
  <r>
    <n v="240"/>
    <n v="108170.4"/>
    <d v="2023-06-30T00:00:00"/>
    <x v="1"/>
    <s v="Mexico"/>
    <s v="Location 13"/>
    <n v="450.71"/>
  </r>
  <r>
    <n v="120"/>
    <n v="54085.2"/>
    <d v="2023-06-30T00:00:00"/>
    <x v="1"/>
    <s v="Mexico"/>
    <s v="Location 13"/>
    <n v="450.71"/>
  </r>
  <r>
    <n v="120"/>
    <n v="54085.2"/>
    <d v="2023-06-30T00:00:00"/>
    <x v="1"/>
    <s v="Mexico"/>
    <s v="Location 13"/>
    <n v="450.71"/>
  </r>
  <r>
    <n v="102"/>
    <n v="45972.42"/>
    <d v="2023-06-30T00:00:00"/>
    <x v="1"/>
    <s v="Mexico"/>
    <s v="Location 13"/>
    <n v="450.71"/>
  </r>
  <r>
    <n v="18"/>
    <n v="8112.78"/>
    <d v="2023-06-30T00:00:00"/>
    <x v="1"/>
    <s v="Mexico"/>
    <s v="Location 13"/>
    <n v="450.71"/>
  </r>
  <r>
    <n v="47"/>
    <n v="21183.37"/>
    <d v="2023-06-30T00:00:00"/>
    <x v="1"/>
    <s v="Mexico"/>
    <s v="Location 13"/>
    <n v="450.71"/>
  </r>
  <r>
    <n v="193"/>
    <n v="86987.03"/>
    <d v="2023-06-30T00:00:00"/>
    <x v="1"/>
    <s v="Mexico"/>
    <s v="Location 13"/>
    <n v="450.71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252"/>
    <n v="21606.48"/>
    <d v="2023-06-30T00:00:00"/>
    <x v="23"/>
    <s v="Mexico"/>
    <s v="Location 13"/>
    <n v="85.74"/>
  </r>
  <r>
    <n v="600"/>
    <n v="263370"/>
    <d v="2023-06-30T00:00:00"/>
    <x v="5"/>
    <s v="Mexico"/>
    <s v="Location 13"/>
    <n v="438.95"/>
  </r>
  <r>
    <n v="90"/>
    <n v="39505.5"/>
    <d v="2023-06-30T00:00:00"/>
    <x v="5"/>
    <s v="Mexico"/>
    <s v="Location 13"/>
    <n v="438.95"/>
  </r>
  <r>
    <n v="270"/>
    <n v="118516.5"/>
    <d v="2023-06-30T00:00:00"/>
    <x v="5"/>
    <s v="Mexico"/>
    <s v="Location 13"/>
    <n v="438.95"/>
  </r>
  <r>
    <n v="240"/>
    <n v="105348"/>
    <d v="2023-06-30T00:00:00"/>
    <x v="5"/>
    <s v="Mexico"/>
    <s v="Location 13"/>
    <n v="438.95"/>
  </r>
  <r>
    <n v="768"/>
    <n v="116090.88"/>
    <d v="2023-06-30T00:00:00"/>
    <x v="39"/>
    <s v="Mexico"/>
    <s v="Location 13"/>
    <n v="151.16"/>
  </r>
  <r>
    <n v="144"/>
    <n v="29975.040000000001"/>
    <d v="2023-06-30T00:00:00"/>
    <x v="6"/>
    <s v="Mexico"/>
    <s v="Location 13"/>
    <n v="208.16"/>
  </r>
  <r>
    <n v="1820"/>
    <n v="4568.2"/>
    <d v="2023-06-30T00:00:00"/>
    <x v="21"/>
    <s v="Mexico"/>
    <s v="Location 13"/>
    <n v="2.5099999999999998"/>
  </r>
  <r>
    <n v="1820"/>
    <n v="4568.2"/>
    <d v="2023-06-30T00:00:00"/>
    <x v="21"/>
    <s v="Mexico"/>
    <s v="Location 13"/>
    <n v="2.5099999999999998"/>
  </r>
  <r>
    <n v="70"/>
    <n v="29066.1"/>
    <d v="2023-06-30T00:00:00"/>
    <x v="36"/>
    <s v="Mexico"/>
    <s v="Location 13"/>
    <n v="415.23"/>
  </r>
  <r>
    <n v="140"/>
    <n v="58132.2"/>
    <d v="2023-06-30T00:00:00"/>
    <x v="36"/>
    <s v="Mexico"/>
    <s v="Location 13"/>
    <n v="415.23"/>
  </r>
  <r>
    <n v="420"/>
    <n v="174396.6"/>
    <d v="2023-06-30T00:00:00"/>
    <x v="36"/>
    <s v="Mexico"/>
    <s v="Location 13"/>
    <n v="415.23"/>
  </r>
  <r>
    <n v="70"/>
    <n v="29066.1"/>
    <d v="2023-06-30T00:00:00"/>
    <x v="36"/>
    <s v="Mexico"/>
    <s v="Location 13"/>
    <n v="415.23"/>
  </r>
  <r>
    <n v="280"/>
    <n v="116264.4"/>
    <d v="2023-06-30T00:00:00"/>
    <x v="36"/>
    <s v="Mexico"/>
    <s v="Location 13"/>
    <n v="415.23"/>
  </r>
  <r>
    <n v="280"/>
    <n v="116264.4"/>
    <d v="2023-06-30T00:00:00"/>
    <x v="36"/>
    <s v="Mexico"/>
    <s v="Location 13"/>
    <n v="415.23"/>
  </r>
  <r>
    <n v="140"/>
    <n v="58132.2"/>
    <d v="2023-06-30T00:00:00"/>
    <x v="36"/>
    <s v="Mexico"/>
    <s v="Location 13"/>
    <n v="415.23"/>
  </r>
  <r>
    <n v="280"/>
    <n v="116264.4"/>
    <d v="2023-06-30T00:00:00"/>
    <x v="36"/>
    <s v="Mexico"/>
    <s v="Location 13"/>
    <n v="415.23"/>
  </r>
  <r>
    <n v="210"/>
    <n v="87198.3"/>
    <d v="2023-06-30T00:00:00"/>
    <x v="36"/>
    <s v="Mexico"/>
    <s v="Location 13"/>
    <n v="415.23"/>
  </r>
  <r>
    <n v="210"/>
    <n v="87198.3"/>
    <d v="2023-06-30T00:00:00"/>
    <x v="36"/>
    <s v="Mexico"/>
    <s v="Location 13"/>
    <n v="415.23"/>
  </r>
  <r>
    <n v="63"/>
    <n v="7036.47"/>
    <d v="2023-06-30T00:00:00"/>
    <x v="53"/>
    <s v="Mexico"/>
    <s v="Location 13"/>
    <n v="111.69"/>
  </r>
  <r>
    <n v="159"/>
    <n v="17758.71"/>
    <d v="2023-06-30T00:00:00"/>
    <x v="53"/>
    <s v="Mexico"/>
    <s v="Location 13"/>
    <n v="111.69"/>
  </r>
  <r>
    <n v="7"/>
    <n v="781.83"/>
    <d v="2023-06-30T00:00:00"/>
    <x v="53"/>
    <s v="Mexico"/>
    <s v="Location 13"/>
    <n v="111.69"/>
  </r>
  <r>
    <n v="3000"/>
    <n v="2059.1999999999998"/>
    <d v="2023-06-30T00:00:00"/>
    <x v="13"/>
    <s v="Mexico"/>
    <s v="Location 13"/>
    <n v="0.68640000000000001"/>
  </r>
  <r>
    <n v="240"/>
    <n v="182241.6"/>
    <d v="2023-06-30T00:00:00"/>
    <x v="14"/>
    <s v="Mexico"/>
    <s v="Location 13"/>
    <n v="759.34"/>
  </r>
  <r>
    <n v="210"/>
    <n v="159461.4"/>
    <d v="2023-06-30T00:00:00"/>
    <x v="14"/>
    <s v="Mexico"/>
    <s v="Location 13"/>
    <n v="759.34"/>
  </r>
  <r>
    <n v="180"/>
    <n v="136681.20000000001"/>
    <d v="2023-06-30T00:00:00"/>
    <x v="14"/>
    <s v="Mexico"/>
    <s v="Location 13"/>
    <n v="759.34"/>
  </r>
  <r>
    <n v="120"/>
    <n v="91120.8"/>
    <d v="2023-06-30T00:00:00"/>
    <x v="14"/>
    <s v="Mexico"/>
    <s v="Location 13"/>
    <n v="759.34"/>
  </r>
  <r>
    <n v="90"/>
    <n v="68340.600000000006"/>
    <d v="2023-06-30T00:00:00"/>
    <x v="14"/>
    <s v="Mexico"/>
    <s v="Location 13"/>
    <n v="759.34"/>
  </r>
  <r>
    <n v="240"/>
    <n v="182241.6"/>
    <d v="2023-06-30T00:00:00"/>
    <x v="14"/>
    <s v="Mexico"/>
    <s v="Location 13"/>
    <n v="759.34"/>
  </r>
  <r>
    <n v="143"/>
    <n v="25518.35"/>
    <d v="2023-06-30T00:00:00"/>
    <x v="30"/>
    <s v="Mexico"/>
    <s v="Location 13"/>
    <n v="178.45"/>
  </r>
  <r>
    <n v="107"/>
    <n v="19094.150000000001"/>
    <d v="2023-06-30T00:00:00"/>
    <x v="30"/>
    <s v="Mexico"/>
    <s v="Location 13"/>
    <n v="178.45"/>
  </r>
  <r>
    <n v="25"/>
    <n v="4461.25"/>
    <d v="2023-06-30T00:00:00"/>
    <x v="30"/>
    <s v="Mexico"/>
    <s v="Location 13"/>
    <n v="178.45"/>
  </r>
  <r>
    <n v="82"/>
    <n v="14632.9"/>
    <d v="2023-06-30T00:00:00"/>
    <x v="30"/>
    <s v="Mexico"/>
    <s v="Location 13"/>
    <n v="178.45"/>
  </r>
  <r>
    <n v="52"/>
    <n v="9279.4"/>
    <d v="2023-06-30T00:00:00"/>
    <x v="30"/>
    <s v="Mexico"/>
    <s v="Location 13"/>
    <n v="178.45"/>
  </r>
  <r>
    <n v="107"/>
    <n v="19094.150000000001"/>
    <d v="2023-06-30T00:00:00"/>
    <x v="30"/>
    <s v="Mexico"/>
    <s v="Location 13"/>
    <n v="178.45"/>
  </r>
  <r>
    <n v="79"/>
    <n v="14097.55"/>
    <d v="2023-06-30T00:00:00"/>
    <x v="30"/>
    <s v="Mexico"/>
    <s v="Location 13"/>
    <n v="178.45"/>
  </r>
  <r>
    <n v="77"/>
    <n v="13740.65"/>
    <d v="2023-06-30T00:00:00"/>
    <x v="30"/>
    <s v="Mexico"/>
    <s v="Location 13"/>
    <n v="178.45"/>
  </r>
  <r>
    <n v="102"/>
    <n v="18201.900000000001"/>
    <d v="2023-06-30T00:00:00"/>
    <x v="30"/>
    <s v="Mexico"/>
    <s v="Location 13"/>
    <n v="178.45"/>
  </r>
  <r>
    <n v="273"/>
    <n v="48716.85"/>
    <d v="2023-06-30T00:00:00"/>
    <x v="30"/>
    <s v="Mexico"/>
    <s v="Location 13"/>
    <n v="178.45"/>
  </r>
  <r>
    <n v="95"/>
    <n v="16952.75"/>
    <d v="2023-06-30T00:00:00"/>
    <x v="30"/>
    <s v="Mexico"/>
    <s v="Location 13"/>
    <n v="178.45"/>
  </r>
  <r>
    <n v="57"/>
    <n v="10171.65"/>
    <d v="2023-06-30T00:00:00"/>
    <x v="30"/>
    <s v="Mexico"/>
    <s v="Location 13"/>
    <n v="178.45"/>
  </r>
  <r>
    <n v="16"/>
    <n v="1117.5999999999999"/>
    <d v="2023-06-30T00:00:00"/>
    <x v="66"/>
    <s v="Mexico"/>
    <s v="Location 13"/>
    <n v="69.849999999999994"/>
  </r>
  <r>
    <n v="621"/>
    <n v="43376.85"/>
    <d v="2023-06-30T00:00:00"/>
    <x v="66"/>
    <s v="Mexico"/>
    <s v="Location 13"/>
    <n v="69.849999999999994"/>
  </r>
  <r>
    <n v="135"/>
    <n v="115744.95"/>
    <d v="2023-06-30T00:00:00"/>
    <x v="0"/>
    <s v="Mexico"/>
    <s v="Location 13"/>
    <n v="857.37"/>
  </r>
  <r>
    <n v="60"/>
    <n v="51442.2"/>
    <d v="2023-06-30T00:00:00"/>
    <x v="0"/>
    <s v="Mexico"/>
    <s v="Location 13"/>
    <n v="857.37"/>
  </r>
  <r>
    <n v="120"/>
    <n v="102884.4"/>
    <d v="2023-06-30T00:00:00"/>
    <x v="0"/>
    <s v="Mexico"/>
    <s v="Location 13"/>
    <n v="857.37"/>
  </r>
  <r>
    <n v="146"/>
    <n v="276259.74"/>
    <d v="2023-06-30T00:00:00"/>
    <x v="69"/>
    <s v="Mexico"/>
    <s v="Location 13"/>
    <n v="1892.19"/>
  </r>
  <r>
    <n v="340"/>
    <n v="643344.6"/>
    <d v="2023-06-30T00:00:00"/>
    <x v="69"/>
    <s v="Mexico"/>
    <s v="Location 13"/>
    <n v="1892.19"/>
  </r>
  <r>
    <n v="140"/>
    <n v="60040.4"/>
    <d v="2023-06-30T00:00:00"/>
    <x v="4"/>
    <s v="Mexico"/>
    <s v="Location 13"/>
    <n v="428.86"/>
  </r>
  <r>
    <n v="140"/>
    <n v="60040.4"/>
    <d v="2023-06-30T00:00:00"/>
    <x v="4"/>
    <s v="Mexico"/>
    <s v="Location 13"/>
    <n v="428.86"/>
  </r>
  <r>
    <n v="70"/>
    <n v="30020.2"/>
    <d v="2023-06-30T00:00:00"/>
    <x v="4"/>
    <s v="Mexico"/>
    <s v="Location 13"/>
    <n v="428.86"/>
  </r>
  <r>
    <n v="140"/>
    <n v="60040.4"/>
    <d v="2023-06-30T00:00:00"/>
    <x v="4"/>
    <s v="Mexico"/>
    <s v="Location 13"/>
    <n v="428.86"/>
  </r>
  <r>
    <n v="140"/>
    <n v="60040.4"/>
    <d v="2023-06-30T00:00:00"/>
    <x v="4"/>
    <s v="Mexico"/>
    <s v="Location 13"/>
    <n v="428.86"/>
  </r>
  <r>
    <n v="70"/>
    <n v="30020.2"/>
    <d v="2023-06-30T00:00:00"/>
    <x v="4"/>
    <s v="Mexico"/>
    <s v="Location 13"/>
    <n v="428.86"/>
  </r>
  <r>
    <n v="280"/>
    <n v="120080.8"/>
    <d v="2023-06-30T00:00:00"/>
    <x v="4"/>
    <s v="Mexico"/>
    <s v="Location 13"/>
    <n v="428.86"/>
  </r>
  <r>
    <n v="280"/>
    <n v="120080.8"/>
    <d v="2023-06-30T00:00:00"/>
    <x v="4"/>
    <s v="Mexico"/>
    <s v="Location 13"/>
    <n v="428.86"/>
  </r>
  <r>
    <n v="140"/>
    <n v="60040.4"/>
    <d v="2023-06-30T00:00:00"/>
    <x v="4"/>
    <s v="Mexico"/>
    <s v="Location 13"/>
    <n v="428.86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4-28T00:00:00"/>
    <x v="8"/>
    <s v="Mexico"/>
    <s v="Location 13"/>
    <n v="383.7"/>
  </r>
  <r>
    <n v="70"/>
    <n v="26859"/>
    <d v="2023-06-07T00:00:00"/>
    <x v="8"/>
    <s v="Mexico"/>
    <s v="Location 13"/>
    <n v="383.7"/>
  </r>
  <r>
    <n v="70"/>
    <n v="26859"/>
    <d v="2023-06-07T00:00:00"/>
    <x v="8"/>
    <s v="Mexico"/>
    <s v="Location 13"/>
    <n v="383.7"/>
  </r>
  <r>
    <n v="70"/>
    <n v="26859"/>
    <d v="2023-06-07T00:00:00"/>
    <x v="8"/>
    <s v="Mexico"/>
    <s v="Location 13"/>
    <n v="383.7"/>
  </r>
  <r>
    <n v="70"/>
    <n v="26859"/>
    <d v="2023-06-07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1-17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5-09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7-28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6-30T00:00:00"/>
    <x v="8"/>
    <s v="Mexico"/>
    <s v="Location 13"/>
    <n v="383.7"/>
  </r>
  <r>
    <n v="70"/>
    <n v="26859"/>
    <d v="2023-01-12T00:00:00"/>
    <x v="8"/>
    <s v="Mexico"/>
    <s v="Location 13"/>
    <n v="383.7"/>
  </r>
  <r>
    <n v="70"/>
    <n v="26859"/>
    <d v="2023-01-12T00:00:00"/>
    <x v="8"/>
    <s v="Mexico"/>
    <s v="Location 13"/>
    <n v="383.7"/>
  </r>
  <r>
    <n v="-2184"/>
    <n v="-492077.04"/>
    <d v="2022-04-29T00:00:00"/>
    <x v="71"/>
    <s v="Mexico"/>
    <s v="Location 14"/>
    <n v="225.31"/>
  </r>
  <r>
    <n v="-1092"/>
    <n v="-246038.52"/>
    <d v="2022-04-29T00:00:00"/>
    <x v="71"/>
    <s v="Mexico"/>
    <s v="Location 14"/>
    <n v="225.31"/>
  </r>
  <r>
    <n v="-2772"/>
    <n v="-624559.31999999995"/>
    <d v="2022-04-29T00:00:00"/>
    <x v="71"/>
    <s v="Mexico"/>
    <s v="Location 14"/>
    <n v="225.31"/>
  </r>
  <r>
    <n v="1820"/>
    <n v="4313.3999999999996"/>
    <d v="2022-05-31T00:00:00"/>
    <x v="21"/>
    <s v="Mexico"/>
    <s v="Location 14"/>
    <n v="2.37"/>
  </r>
  <r>
    <n v="14"/>
    <n v="78886.5"/>
    <d v="2022-01-04T00:00:00"/>
    <x v="73"/>
    <s v="Mexico"/>
    <s v="Location 14"/>
    <n v="5634.75"/>
  </r>
  <r>
    <n v="1500"/>
    <n v="1725"/>
    <d v="2022-03-31T00:00:00"/>
    <x v="32"/>
    <s v="Mexico"/>
    <s v="Location 14"/>
    <n v="1.1499999999999999"/>
  </r>
  <r>
    <n v="2000"/>
    <n v="185940"/>
    <d v="2022-03-31T00:00:00"/>
    <x v="18"/>
    <s v="Mexico"/>
    <s v="Location 14"/>
    <n v="92.97"/>
  </r>
  <r>
    <n v="2382"/>
    <n v="221454.54"/>
    <d v="2022-03-31T00:00:00"/>
    <x v="18"/>
    <s v="Mexico"/>
    <s v="Location 14"/>
    <n v="92.97"/>
  </r>
  <r>
    <n v="3276"/>
    <n v="738115.56"/>
    <d v="2022-03-31T00:00:00"/>
    <x v="71"/>
    <s v="Mexico"/>
    <s v="Location 14"/>
    <n v="225.31"/>
  </r>
  <r>
    <n v="2772"/>
    <n v="624559.31999999995"/>
    <d v="2022-03-31T00:00:00"/>
    <x v="71"/>
    <s v="Mexico"/>
    <s v="Location 14"/>
    <n v="225.31"/>
  </r>
  <r>
    <n v="2"/>
    <n v="9015.6"/>
    <d v="2022-06-08T00:00:00"/>
    <x v="11"/>
    <s v="Mexico"/>
    <s v="Location 14"/>
    <n v="4507.8"/>
  </r>
  <r>
    <n v="210"/>
    <n v="946638"/>
    <d v="2022-06-08T00:00:00"/>
    <x v="11"/>
    <s v="Mexico"/>
    <s v="Location 14"/>
    <n v="4507.8"/>
  </r>
  <r>
    <n v="205"/>
    <n v="14319.25"/>
    <d v="2023-01-26T00:00:00"/>
    <x v="66"/>
    <s v="Mexico"/>
    <s v="Location 14"/>
    <n v="69.849999999999994"/>
  </r>
  <r>
    <n v="1176"/>
    <n v="963849.6"/>
    <d v="2022-04-12T00:00:00"/>
    <x v="74"/>
    <s v="Mexico"/>
    <s v="Location 14"/>
    <n v="819.6"/>
  </r>
  <r>
    <n v="2649"/>
    <n v="175416.78"/>
    <d v="2022-01-28T00:00:00"/>
    <x v="66"/>
    <s v="Mexico"/>
    <s v="Location 14"/>
    <n v="66.22"/>
  </r>
  <r>
    <n v="1650"/>
    <n v="109263"/>
    <d v="2022-01-28T00:00:00"/>
    <x v="66"/>
    <s v="Mexico"/>
    <s v="Location 14"/>
    <n v="66.22"/>
  </r>
  <r>
    <n v="756"/>
    <n v="372934.8"/>
    <d v="2022-04-13T00:00:00"/>
    <x v="75"/>
    <s v="Mexico"/>
    <s v="Location 14"/>
    <n v="493.3"/>
  </r>
  <r>
    <n v="33"/>
    <n v="148757.4"/>
    <d v="2022-05-06T00:00:00"/>
    <x v="11"/>
    <s v="Mexico"/>
    <s v="Location 14"/>
    <n v="4507.8"/>
  </r>
  <r>
    <n v="1500"/>
    <n v="1725"/>
    <d v="2022-06-22T00:00:00"/>
    <x v="32"/>
    <s v="Mexico"/>
    <s v="Location 14"/>
    <n v="1.1499999999999999"/>
  </r>
  <r>
    <n v="3000"/>
    <n v="3720"/>
    <d v="2022-06-22T00:00:00"/>
    <x v="22"/>
    <s v="Mexico"/>
    <s v="Location 14"/>
    <n v="1.24"/>
  </r>
  <r>
    <n v="12096"/>
    <n v="28667.52"/>
    <d v="2023-06-26T00:00:00"/>
    <x v="76"/>
    <s v="Mexico"/>
    <s v="Location 11"/>
    <n v="2.37"/>
  </r>
  <r>
    <n v="160"/>
    <n v="72113.600000000006"/>
    <d v="2023-04-17T00:00:00"/>
    <x v="1"/>
    <s v="Mexico"/>
    <s v="Location 11"/>
    <n v="450.71"/>
  </r>
  <r>
    <n v="1004"/>
    <n v="169023.4"/>
    <d v="2022-05-11T00:00:00"/>
    <x v="30"/>
    <s v="Mexico"/>
    <s v="Location 14"/>
    <n v="168.35"/>
  </r>
  <r>
    <n v="756"/>
    <n v="619617.6"/>
    <d v="2022-05-11T00:00:00"/>
    <x v="74"/>
    <s v="Mexico"/>
    <s v="Location 14"/>
    <n v="819.6"/>
  </r>
  <r>
    <n v="2184"/>
    <n v="492077.04"/>
    <d v="2022-04-29T00:00:00"/>
    <x v="71"/>
    <s v="Mexico"/>
    <s v="Location 14"/>
    <n v="225.31"/>
  </r>
  <r>
    <n v="1092"/>
    <n v="246038.52"/>
    <d v="2022-04-29T00:00:00"/>
    <x v="71"/>
    <s v="Mexico"/>
    <s v="Location 14"/>
    <n v="225.31"/>
  </r>
  <r>
    <n v="2772"/>
    <n v="624559.31999999995"/>
    <d v="2022-04-29T00:00:00"/>
    <x v="71"/>
    <s v="Mexico"/>
    <s v="Location 14"/>
    <n v="225.31"/>
  </r>
  <r>
    <n v="1296"/>
    <n v="139851.35999999999"/>
    <d v="2023-04-21T00:00:00"/>
    <x v="9"/>
    <s v="Mexico"/>
    <s v="Location 11"/>
    <n v="107.91"/>
  </r>
  <r>
    <n v="220"/>
    <n v="991716"/>
    <d v="2022-05-19T00:00:00"/>
    <x v="11"/>
    <s v="Mexico"/>
    <s v="Location 14"/>
    <n v="4507.8"/>
  </r>
  <r>
    <n v="930"/>
    <n v="409702.2"/>
    <d v="2022-05-23T00:00:00"/>
    <x v="5"/>
    <s v="Mexico"/>
    <s v="Location 14"/>
    <n v="440.54"/>
  </r>
  <r>
    <n v="322"/>
    <n v="29936.34"/>
    <d v="2022-04-26T00:00:00"/>
    <x v="18"/>
    <s v="Mexico"/>
    <s v="Location 14"/>
    <n v="92.97"/>
  </r>
  <r>
    <n v="1500"/>
    <n v="971.85"/>
    <d v="2022-09-07T00:00:00"/>
    <x v="13"/>
    <s v="Mexico"/>
    <s v="Location 14"/>
    <n v="0.64790000000000003"/>
  </r>
  <r>
    <n v="100"/>
    <n v="385088"/>
    <d v="2022-07-26T00:00:00"/>
    <x v="43"/>
    <s v="Mexico"/>
    <s v="Location 14"/>
    <n v="3850.88"/>
  </r>
  <r>
    <n v="1500"/>
    <n v="971.85"/>
    <d v="2022-09-22T00:00:00"/>
    <x v="13"/>
    <s v="Mexico"/>
    <s v="Location 14"/>
    <n v="0.64790000000000003"/>
  </r>
  <r>
    <n v="640"/>
    <n v="1614432"/>
    <d v="2022-10-28T00:00:00"/>
    <x v="34"/>
    <s v="Mexico"/>
    <s v="Location 11"/>
    <n v="2522.5500000000002"/>
  </r>
  <r>
    <n v="240"/>
    <n v="69144"/>
    <d v="2022-10-28T00:00:00"/>
    <x v="33"/>
    <s v="Mexico"/>
    <s v="Location 11"/>
    <n v="288.10000000000002"/>
  </r>
  <r>
    <n v="196"/>
    <n v="750999.48"/>
    <d v="2022-09-22T00:00:00"/>
    <x v="43"/>
    <s v="Mexico"/>
    <s v="Location 14"/>
    <n v="3831.63"/>
  </r>
  <r>
    <n v="536"/>
    <n v="44423.68"/>
    <d v="2022-10-03T00:00:00"/>
    <x v="29"/>
    <s v="Mexico"/>
    <s v="Location 14"/>
    <n v="82.88"/>
  </r>
  <r>
    <n v="1500"/>
    <n v="1725"/>
    <d v="2022-10-03T00:00:00"/>
    <x v="32"/>
    <s v="Mexico"/>
    <s v="Location 14"/>
    <n v="1.1499999999999999"/>
  </r>
  <r>
    <n v="630"/>
    <n v="66383.100000000006"/>
    <d v="2022-10-05T00:00:00"/>
    <x v="53"/>
    <s v="Mexico"/>
    <s v="Location 14"/>
    <n v="105.37"/>
  </r>
  <r>
    <n v="885"/>
    <n v="93252.45"/>
    <d v="2022-10-05T00:00:00"/>
    <x v="53"/>
    <s v="Mexico"/>
    <s v="Location 14"/>
    <n v="105.37"/>
  </r>
  <r>
    <n v="1196"/>
    <n v="201346.6"/>
    <d v="2022-10-11T00:00:00"/>
    <x v="30"/>
    <s v="Mexico"/>
    <s v="Location 14"/>
    <n v="168.35"/>
  </r>
  <r>
    <n v="1196"/>
    <n v="201346.6"/>
    <d v="2022-10-11T00:00:00"/>
    <x v="30"/>
    <s v="Mexico"/>
    <s v="Location 14"/>
    <n v="168.35"/>
  </r>
  <r>
    <n v="444"/>
    <n v="29401.68"/>
    <d v="2022-10-12T00:00:00"/>
    <x v="66"/>
    <s v="Mexico"/>
    <s v="Location 14"/>
    <n v="66.22"/>
  </r>
  <r>
    <n v="80"/>
    <n v="6630.4"/>
    <d v="2022-07-06T00:00:00"/>
    <x v="29"/>
    <s v="Mexico"/>
    <s v="Location 14"/>
    <n v="82.88"/>
  </r>
  <r>
    <n v="70"/>
    <n v="269561.59999999998"/>
    <d v="2022-07-06T00:00:00"/>
    <x v="43"/>
    <s v="Mexico"/>
    <s v="Location 14"/>
    <n v="3850.88"/>
  </r>
  <r>
    <n v="75"/>
    <n v="288816"/>
    <d v="2022-07-06T00:00:00"/>
    <x v="43"/>
    <s v="Mexico"/>
    <s v="Location 14"/>
    <n v="3850.88"/>
  </r>
  <r>
    <n v="198"/>
    <n v="892544.4"/>
    <d v="2022-07-07T00:00:00"/>
    <x v="11"/>
    <s v="Mexico"/>
    <s v="Location 14"/>
    <n v="4507.8"/>
  </r>
  <r>
    <n v="1408"/>
    <n v="1157207.04"/>
    <d v="2022-08-19T00:00:00"/>
    <x v="17"/>
    <s v="Mexico"/>
    <s v="Location 14"/>
    <n v="821.88"/>
  </r>
  <r>
    <n v="266"/>
    <n v="17614.52"/>
    <d v="2022-12-16T00:00:00"/>
    <x v="66"/>
    <s v="Mexico"/>
    <s v="Location 14"/>
    <n v="66.22"/>
  </r>
  <r>
    <n v="288"/>
    <n v="56557.440000000002"/>
    <d v="2022-07-14T00:00:00"/>
    <x v="6"/>
    <s v="Mexico"/>
    <s v="Location 14"/>
    <n v="196.38"/>
  </r>
  <r>
    <n v="768"/>
    <n v="90516.479999999996"/>
    <d v="2022-07-14T00:00:00"/>
    <x v="2"/>
    <s v="Mexico"/>
    <s v="Location 14"/>
    <n v="117.86"/>
  </r>
  <r>
    <n v="1320"/>
    <n v="581512.80000000005"/>
    <d v="2022-12-29T00:00:00"/>
    <x v="5"/>
    <s v="Mexico"/>
    <s v="Location 14"/>
    <n v="440.54"/>
  </r>
  <r>
    <n v="2"/>
    <n v="9015.6"/>
    <d v="2022-08-25T00:00:00"/>
    <x v="11"/>
    <s v="Mexico"/>
    <s v="Location 14"/>
    <n v="4507.8"/>
  </r>
  <r>
    <n v="252"/>
    <n v="21606.48"/>
    <d v="2023-08-29T00:00:00"/>
    <x v="23"/>
    <s v="Mexico"/>
    <s v="Location 14"/>
    <n v="85.74"/>
  </r>
  <r>
    <n v="35"/>
    <n v="157773"/>
    <d v="2022-08-31T00:00:00"/>
    <x v="11"/>
    <s v="Mexico"/>
    <s v="Location 14"/>
    <n v="4507.8"/>
  </r>
  <r>
    <n v="768"/>
    <n v="109524.48"/>
    <d v="2022-10-21T00:00:00"/>
    <x v="2"/>
    <s v="Mexico"/>
    <s v="Location 11"/>
    <n v="142.61000000000001"/>
  </r>
  <r>
    <n v="870"/>
    <n v="383269.8"/>
    <d v="2022-10-28T00:00:00"/>
    <x v="5"/>
    <s v="Mexico"/>
    <s v="Location 14"/>
    <n v="440.54"/>
  </r>
  <r>
    <n v="885"/>
    <n v="109704.6"/>
    <d v="2022-10-28T00:00:00"/>
    <x v="70"/>
    <s v="Mexico"/>
    <s v="Location 14"/>
    <n v="123.96"/>
  </r>
  <r>
    <n v="630"/>
    <n v="78094.8"/>
    <d v="2022-10-28T00:00:00"/>
    <x v="70"/>
    <s v="Mexico"/>
    <s v="Location 14"/>
    <n v="123.96"/>
  </r>
  <r>
    <n v="1674000"/>
    <n v="2075760"/>
    <d v="2023-06-30T00:00:00"/>
    <x v="63"/>
    <s v="Mexico"/>
    <s v="Location 11"/>
    <n v="1.24"/>
  </r>
  <r>
    <n v="67500"/>
    <n v="77625"/>
    <d v="2023-06-30T00:00:00"/>
    <x v="65"/>
    <s v="Mexico"/>
    <s v="Location 11"/>
    <n v="1.1499999999999999"/>
  </r>
  <r>
    <n v="48000"/>
    <n v="49920"/>
    <d v="2023-06-30T00:00:00"/>
    <x v="77"/>
    <s v="Mexico"/>
    <s v="Location 11"/>
    <n v="1.04"/>
  </r>
  <r>
    <n v="30000"/>
    <n v="13200"/>
    <d v="2023-06-30T00:00:00"/>
    <x v="78"/>
    <s v="Mexico"/>
    <s v="Location 11"/>
    <n v="0.44"/>
  </r>
  <r>
    <n v="33000"/>
    <n v="69960"/>
    <d v="2023-06-30T00:00:00"/>
    <x v="79"/>
    <s v="Mexico"/>
    <s v="Location 11"/>
    <n v="2.12"/>
  </r>
  <r>
    <n v="45000"/>
    <n v="69300"/>
    <d v="2023-06-30T00:00:00"/>
    <x v="64"/>
    <s v="Mexico"/>
    <s v="Location 11"/>
    <n v="1.54"/>
  </r>
  <r>
    <n v="225000"/>
    <n v="420750"/>
    <d v="2023-06-30T00:00:00"/>
    <x v="61"/>
    <s v="Mexico"/>
    <s v="Location 11"/>
    <n v="1.87"/>
  </r>
  <r>
    <n v="252500"/>
    <n v="391375"/>
    <d v="2023-06-30T00:00:00"/>
    <x v="80"/>
    <s v="Mexico"/>
    <s v="Location 11"/>
    <n v="1.55"/>
  </r>
  <r>
    <n v="327000"/>
    <n v="765180"/>
    <d v="2023-06-30T00:00:00"/>
    <x v="81"/>
    <s v="Mexico"/>
    <s v="Location 11"/>
    <n v="2.34"/>
  </r>
  <r>
    <n v="217500"/>
    <n v="369750"/>
    <d v="2023-06-30T00:00:00"/>
    <x v="82"/>
    <s v="Mexico"/>
    <s v="Location 11"/>
    <n v="1.7"/>
  </r>
  <r>
    <n v="2500"/>
    <n v="9100"/>
    <d v="2023-06-30T00:00:00"/>
    <x v="83"/>
    <s v="Mexico"/>
    <s v="Location 11"/>
    <n v="3.64"/>
  </r>
  <r>
    <n v="222000"/>
    <n v="699300"/>
    <d v="2023-06-30T00:00:00"/>
    <x v="62"/>
    <s v="Mexico"/>
    <s v="Location 11"/>
    <n v="3.15"/>
  </r>
  <r>
    <n v="197500"/>
    <n v="750500"/>
    <d v="2023-06-30T00:00:00"/>
    <x v="84"/>
    <s v="Mexico"/>
    <s v="Location 11"/>
    <n v="3.8"/>
  </r>
  <r>
    <n v="20000"/>
    <n v="291200"/>
    <d v="2023-06-30T00:00:00"/>
    <x v="84"/>
    <s v="Mexico"/>
    <s v="Location 11"/>
    <n v="14.56"/>
  </r>
  <r>
    <n v="-10164"/>
    <n v="-275342.76"/>
    <d v="2023-03-23T00:00:00"/>
    <x v="85"/>
    <s v="Hong Kong"/>
    <s v="Location 5"/>
    <n v="27.09"/>
  </r>
  <r>
    <n v="-31724"/>
    <n v="-859403.16"/>
    <d v="2023-03-23T00:00:00"/>
    <x v="85"/>
    <s v="Hong Kong"/>
    <s v="Location 5"/>
    <n v="27.09"/>
  </r>
  <r>
    <n v="-43120"/>
    <n v="-1168120.8"/>
    <d v="2023-03-23T00:00:00"/>
    <x v="85"/>
    <s v="Hong Kong"/>
    <s v="Location 5"/>
    <n v="27.09"/>
  </r>
  <r>
    <n v="-11088"/>
    <n v="-300373.92"/>
    <d v="2023-03-23T00:00:00"/>
    <x v="85"/>
    <s v="Hong Kong"/>
    <s v="Location 5"/>
    <n v="27.09"/>
  </r>
  <r>
    <n v="-9548"/>
    <n v="-258655.32"/>
    <d v="2023-03-23T00:00:00"/>
    <x v="85"/>
    <s v="Hong Kong"/>
    <s v="Location 5"/>
    <n v="27.09"/>
  </r>
  <r>
    <n v="-15708"/>
    <n v="-425529.72"/>
    <d v="2023-03-23T00:00:00"/>
    <x v="85"/>
    <s v="Hong Kong"/>
    <s v="Location 5"/>
    <n v="27.09"/>
  </r>
  <r>
    <n v="-10780"/>
    <n v="-292030.2"/>
    <d v="2023-03-23T00:00:00"/>
    <x v="85"/>
    <s v="Hong Kong"/>
    <s v="Location 5"/>
    <n v="27.09"/>
  </r>
  <r>
    <n v="-11396"/>
    <n v="-308717.64"/>
    <d v="2023-03-23T00:00:00"/>
    <x v="85"/>
    <s v="Hong Kong"/>
    <s v="Location 5"/>
    <n v="27.09"/>
  </r>
  <r>
    <n v="-1384"/>
    <n v="-22296.240000000002"/>
    <d v="2023-07-11T00:00:00"/>
    <x v="86"/>
    <s v="Italy"/>
    <s v="Location 9"/>
    <n v="16.11"/>
  </r>
  <r>
    <n v="-616"/>
    <n v="-322543.76"/>
    <d v="2023-03-01T00:00:00"/>
    <x v="87"/>
    <s v="Taiwan"/>
    <s v="Location 8"/>
    <n v="523.61"/>
  </r>
  <r>
    <n v="-37268"/>
    <n v="-1009590.12"/>
    <d v="2023-03-24T00:00:00"/>
    <x v="85"/>
    <s v="Hong Kong"/>
    <s v="Location 5"/>
    <n v="27.09"/>
  </r>
  <r>
    <n v="-735"/>
    <n v="-547347.15"/>
    <d v="2023-06-07T00:00:00"/>
    <x v="3"/>
    <s v="Taiwan"/>
    <s v="Location 8"/>
    <n v="744.69"/>
  </r>
  <r>
    <n v="-17248"/>
    <n v="-467248.32"/>
    <d v="2023-03-24T00:00:00"/>
    <x v="85"/>
    <s v="Hong Kong"/>
    <s v="Location 5"/>
    <n v="27.09"/>
  </r>
  <r>
    <n v="-23716"/>
    <n v="-642466.43999999994"/>
    <d v="2023-03-24T00:00:00"/>
    <x v="85"/>
    <s v="Hong Kong"/>
    <s v="Location 5"/>
    <n v="27.09"/>
  </r>
  <r>
    <n v="-33880"/>
    <n v="-917809.2"/>
    <d v="2023-03-24T00:00:00"/>
    <x v="85"/>
    <s v="Hong Kong"/>
    <s v="Location 5"/>
    <n v="27.09"/>
  </r>
  <r>
    <n v="-294"/>
    <n v="-218938.86"/>
    <d v="2023-06-08T00:00:00"/>
    <x v="3"/>
    <s v="Taiwan"/>
    <s v="Location 8"/>
    <n v="744.69"/>
  </r>
  <r>
    <n v="-30800"/>
    <n v="-834372"/>
    <d v="2023-03-24T00:00:00"/>
    <x v="85"/>
    <s v="Hong Kong"/>
    <s v="Location 5"/>
    <n v="27.09"/>
  </r>
  <r>
    <n v="-3969"/>
    <n v="-9724.0499999999993"/>
    <d v="2023-07-10T00:00:00"/>
    <x v="88"/>
    <s v="Italy"/>
    <s v="Location 9"/>
    <n v="2.4500000000000002"/>
  </r>
  <r>
    <n v="-20000"/>
    <s v=""/>
    <d v="2022-04-01T00:00:00"/>
    <x v="84"/>
    <s v="Hong Kong"/>
    <s v="Location 17"/>
    <s v=""/>
  </r>
  <r>
    <n v="-35"/>
    <n v="-197216.25"/>
    <d v="2022-03-08T00:00:00"/>
    <x v="73"/>
    <s v="Canada"/>
    <s v="Location 18"/>
    <n v="5634.75"/>
  </r>
  <r>
    <n v="-3430"/>
    <n v="-1475.93"/>
    <d v="2022-05-11T00:00:00"/>
    <x v="89"/>
    <s v="Romania"/>
    <s v="Location 6"/>
    <n v="0.43030000000000002"/>
  </r>
  <r>
    <n v="-4000"/>
    <n v="-5480"/>
    <d v="2023-04-26T00:00:00"/>
    <x v="58"/>
    <s v="USA"/>
    <s v="Location 16"/>
    <n v="1.37"/>
  </r>
  <r>
    <n v="-4000"/>
    <n v="-4560"/>
    <d v="2022-05-11T00:00:00"/>
    <x v="90"/>
    <s v="Romania"/>
    <s v="Location 6"/>
    <n v="1.1399999999999999"/>
  </r>
  <r>
    <n v="-84"/>
    <n v="-35363.160000000003"/>
    <d v="2022-05-11T00:00:00"/>
    <x v="91"/>
    <s v="Romania"/>
    <s v="Location 6"/>
    <n v="420.99"/>
  </r>
  <r>
    <n v="-4000"/>
    <n v="-4560"/>
    <d v="2022-05-11T00:00:00"/>
    <x v="90"/>
    <s v="Romania"/>
    <s v="Location 6"/>
    <n v="1.1399999999999999"/>
  </r>
  <r>
    <n v="-4000"/>
    <n v="-4560"/>
    <d v="2022-05-11T00:00:00"/>
    <x v="90"/>
    <s v="Romania"/>
    <s v="Location 6"/>
    <n v="1.1399999999999999"/>
  </r>
  <r>
    <n v="-4000"/>
    <n v="-4560"/>
    <d v="2022-05-11T00:00:00"/>
    <x v="90"/>
    <s v="Romania"/>
    <s v="Location 6"/>
    <n v="1.1399999999999999"/>
  </r>
  <r>
    <n v="-4000"/>
    <n v="-4560"/>
    <d v="2022-05-11T00:00:00"/>
    <x v="90"/>
    <s v="Romania"/>
    <s v="Location 6"/>
    <n v="1.1399999999999999"/>
  </r>
  <r>
    <n v="-4000"/>
    <n v="-4560"/>
    <d v="2022-05-11T00:00:00"/>
    <x v="90"/>
    <s v="Romania"/>
    <s v="Location 6"/>
    <n v="1.1399999999999999"/>
  </r>
  <r>
    <n v="-2000"/>
    <n v="-2280"/>
    <d v="2022-05-11T00:00:00"/>
    <x v="90"/>
    <s v="Romania"/>
    <s v="Location 6"/>
    <n v="1.1399999999999999"/>
  </r>
  <r>
    <n v="-4000"/>
    <n v="-4560"/>
    <d v="2022-05-11T00:00:00"/>
    <x v="90"/>
    <s v="Romania"/>
    <s v="Location 6"/>
    <n v="1.1399999999999999"/>
  </r>
  <r>
    <n v="-2000"/>
    <n v="-2280"/>
    <d v="2022-05-11T00:00:00"/>
    <x v="90"/>
    <s v="Romania"/>
    <s v="Location 6"/>
    <n v="1.1399999999999999"/>
  </r>
  <r>
    <n v="-2000"/>
    <n v="-2280"/>
    <d v="2022-05-11T00:00:00"/>
    <x v="90"/>
    <s v="Romania"/>
    <s v="Location 6"/>
    <n v="1.1399999999999999"/>
  </r>
  <r>
    <n v="-4000"/>
    <n v="-4560"/>
    <d v="2022-05-11T00:00:00"/>
    <x v="90"/>
    <s v="Romania"/>
    <s v="Location 6"/>
    <n v="1.1399999999999999"/>
  </r>
  <r>
    <n v="-2000"/>
    <n v="-2280"/>
    <d v="2022-05-11T00:00:00"/>
    <x v="90"/>
    <s v="Romania"/>
    <s v="Location 6"/>
    <n v="1.1399999999999999"/>
  </r>
  <r>
    <n v="-20000"/>
    <n v="-60800"/>
    <d v="2022-05-19T00:00:00"/>
    <x v="84"/>
    <s v="Hong Kong"/>
    <s v="Location 17"/>
    <n v="3.04"/>
  </r>
  <r>
    <n v="10164"/>
    <n v="273716.52"/>
    <d v="2023-03-23T00:00:00"/>
    <x v="85"/>
    <s v="Hong Kong"/>
    <s v="Location 5"/>
    <n v="26.93"/>
  </r>
  <r>
    <n v="31724"/>
    <n v="854327.32"/>
    <d v="2023-03-23T00:00:00"/>
    <x v="85"/>
    <s v="Hong Kong"/>
    <s v="Location 5"/>
    <n v="26.93"/>
  </r>
  <r>
    <n v="43120"/>
    <n v="1161221.6000000001"/>
    <d v="2023-03-23T00:00:00"/>
    <x v="85"/>
    <s v="Hong Kong"/>
    <s v="Location 5"/>
    <n v="26.93"/>
  </r>
  <r>
    <n v="11088"/>
    <n v="298599.84000000003"/>
    <d v="2023-03-23T00:00:00"/>
    <x v="85"/>
    <s v="Hong Kong"/>
    <s v="Location 5"/>
    <n v="26.93"/>
  </r>
  <r>
    <n v="15708"/>
    <n v="423016.44"/>
    <d v="2023-03-23T00:00:00"/>
    <x v="85"/>
    <s v="Hong Kong"/>
    <s v="Location 5"/>
    <n v="26.93"/>
  </r>
  <r>
    <n v="9548"/>
    <n v="257127.64"/>
    <d v="2023-03-23T00:00:00"/>
    <x v="85"/>
    <s v="Hong Kong"/>
    <s v="Location 5"/>
    <n v="26.93"/>
  </r>
  <r>
    <n v="10780"/>
    <n v="290305.40000000002"/>
    <d v="2023-03-23T00:00:00"/>
    <x v="85"/>
    <s v="Hong Kong"/>
    <s v="Location 5"/>
    <n v="26.93"/>
  </r>
  <r>
    <n v="11396"/>
    <n v="306894.28000000003"/>
    <d v="2023-03-23T00:00:00"/>
    <x v="85"/>
    <s v="Hong Kong"/>
    <s v="Location 5"/>
    <n v="26.93"/>
  </r>
  <r>
    <n v="33880"/>
    <n v="912388.4"/>
    <d v="2023-03-24T00:00:00"/>
    <x v="85"/>
    <s v="Hong Kong"/>
    <s v="Location 5"/>
    <n v="26.93"/>
  </r>
  <r>
    <n v="30800"/>
    <n v="829444"/>
    <d v="2023-03-24T00:00:00"/>
    <x v="85"/>
    <s v="Hong Kong"/>
    <s v="Location 5"/>
    <n v="26.93"/>
  </r>
  <r>
    <n v="37268"/>
    <n v="1003627.24"/>
    <d v="2023-03-24T00:00:00"/>
    <x v="85"/>
    <s v="Hong Kong"/>
    <s v="Location 5"/>
    <n v="26.93"/>
  </r>
  <r>
    <n v="17248"/>
    <n v="464488.64"/>
    <d v="2023-03-24T00:00:00"/>
    <x v="85"/>
    <s v="Hong Kong"/>
    <s v="Location 5"/>
    <n v="26.93"/>
  </r>
  <r>
    <n v="23716"/>
    <n v="638671.88"/>
    <d v="2023-03-24T00:00:00"/>
    <x v="85"/>
    <s v="Hong Kong"/>
    <s v="Location 5"/>
    <n v="26.93"/>
  </r>
  <r>
    <n v="616"/>
    <n v="304285.52"/>
    <d v="2023-03-01T00:00:00"/>
    <x v="87"/>
    <s v="Taiwan"/>
    <s v="Location 8"/>
    <n v="493.97"/>
  </r>
  <r>
    <n v="735"/>
    <n v="516366.9"/>
    <d v="2023-06-07T00:00:00"/>
    <x v="3"/>
    <s v="Taiwan"/>
    <s v="Location 8"/>
    <n v="702.54"/>
  </r>
  <r>
    <n v="294"/>
    <n v="206546.76"/>
    <d v="2023-06-08T00:00:00"/>
    <x v="3"/>
    <s v="Taiwan"/>
    <s v="Location 8"/>
    <n v="702.54"/>
  </r>
  <r>
    <n v="3969"/>
    <n v="10240.02"/>
    <d v="2023-07-10T00:00:00"/>
    <x v="88"/>
    <s v="Italy"/>
    <s v="Location 9"/>
    <n v="2.58"/>
  </r>
  <r>
    <n v="1384"/>
    <n v="23528"/>
    <d v="2023-07-11T00:00:00"/>
    <x v="86"/>
    <s v="Italy"/>
    <s v="Location 9"/>
    <n v="17"/>
  </r>
  <r>
    <n v="4000"/>
    <n v="5360"/>
    <d v="2023-04-26T00:00:00"/>
    <x v="58"/>
    <s v="USA"/>
    <s v="Location 16"/>
    <n v="1.34"/>
  </r>
  <r>
    <n v="3430"/>
    <n v="1475.93"/>
    <d v="2022-05-11T00:00:00"/>
    <x v="89"/>
    <s v="Romania"/>
    <s v="Location 6"/>
    <n v="0.43030000000000002"/>
  </r>
  <r>
    <n v="84"/>
    <n v="35363.160000000003"/>
    <d v="2022-05-11T00:00:00"/>
    <x v="91"/>
    <s v="Romania"/>
    <s v="Location 6"/>
    <n v="420.99"/>
  </r>
  <r>
    <n v="4000"/>
    <n v="456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2000"/>
    <n v="228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2000"/>
    <n v="2280"/>
    <d v="2022-05-11T00:00:00"/>
    <x v="90"/>
    <s v="Romania"/>
    <s v="Location 6"/>
    <n v="1.1399999999999999"/>
  </r>
  <r>
    <n v="2000"/>
    <n v="2280"/>
    <d v="2022-05-11T00:00:00"/>
    <x v="90"/>
    <s v="Romania"/>
    <s v="Location 6"/>
    <n v="1.1399999999999999"/>
  </r>
  <r>
    <n v="4000"/>
    <n v="4560"/>
    <d v="2022-05-11T00:00:00"/>
    <x v="90"/>
    <s v="Romania"/>
    <s v="Location 6"/>
    <n v="1.1399999999999999"/>
  </r>
  <r>
    <n v="2000"/>
    <n v="2280"/>
    <d v="2022-05-11T00:00:00"/>
    <x v="90"/>
    <s v="Romania"/>
    <s v="Location 6"/>
    <n v="1.1399999999999999"/>
  </r>
  <r>
    <n v="20000"/>
    <n v="60800"/>
    <d v="2022-05-19T00:00:00"/>
    <x v="84"/>
    <s v="Hong Kong"/>
    <s v="Location 17"/>
    <n v="3.04"/>
  </r>
  <r>
    <n v="-294"/>
    <n v="-206546.76"/>
    <d v="2023-01-19T00:00:00"/>
    <x v="3"/>
    <s v="Taiwan"/>
    <s v="Location 8"/>
    <n v="702.54"/>
  </r>
  <r>
    <n v="-270"/>
    <n v="-15076.8"/>
    <d v="2023-08-25T00:00:00"/>
    <x v="60"/>
    <s v="Taiwan"/>
    <s v="Location 19"/>
    <n v="55.84"/>
  </r>
  <r>
    <n v="-2000"/>
    <n v="-1780"/>
    <d v="2023-07-17T00:00:00"/>
    <x v="92"/>
    <s v="Romania"/>
    <s v="Location 6"/>
    <n v="0.89"/>
  </r>
  <r>
    <n v="-2000"/>
    <n v="-2160"/>
    <d v="2022-07-21T00:00:00"/>
    <x v="90"/>
    <s v="Romania"/>
    <s v="Location 6"/>
    <n v="1.08"/>
  </r>
  <r>
    <n v="-4000"/>
    <n v="-4320"/>
    <d v="2022-07-21T00:00:00"/>
    <x v="90"/>
    <s v="Romania"/>
    <s v="Location 6"/>
    <n v="1.08"/>
  </r>
  <r>
    <n v="-2000"/>
    <n v="-2160"/>
    <d v="2022-07-22T00:00:00"/>
    <x v="90"/>
    <s v="Romania"/>
    <s v="Location 6"/>
    <n v="1.08"/>
  </r>
  <r>
    <n v="-2000"/>
    <n v="-2160"/>
    <d v="2022-07-22T00:00:00"/>
    <x v="90"/>
    <s v="Romania"/>
    <s v="Location 6"/>
    <n v="1.08"/>
  </r>
  <r>
    <n v="-6000"/>
    <n v="-6480"/>
    <d v="2022-07-22T00:00:00"/>
    <x v="90"/>
    <s v="Romania"/>
    <s v="Location 6"/>
    <n v="1.08"/>
  </r>
  <r>
    <n v="-2000"/>
    <n v="-2160"/>
    <d v="2022-07-22T00:00:00"/>
    <x v="90"/>
    <s v="Romania"/>
    <s v="Location 6"/>
    <n v="1.08"/>
  </r>
  <r>
    <n v="-2000"/>
    <n v="-2160"/>
    <d v="2022-07-22T00:00:00"/>
    <x v="90"/>
    <s v="Romania"/>
    <s v="Location 6"/>
    <n v="1.08"/>
  </r>
  <r>
    <n v="-2000"/>
    <n v="-2160"/>
    <d v="2022-07-22T00:00:00"/>
    <x v="90"/>
    <s v="Romania"/>
    <s v="Location 6"/>
    <n v="1.08"/>
  </r>
  <r>
    <n v="-6000"/>
    <n v="-6480"/>
    <d v="2022-08-09T00:00:00"/>
    <x v="90"/>
    <s v="Romania"/>
    <s v="Location 6"/>
    <n v="1.08"/>
  </r>
  <r>
    <n v="80752"/>
    <n v="997287.2"/>
    <d v="2023-01-12T00:00:00"/>
    <x v="93"/>
    <s v="Hong Kong"/>
    <s v="Location 5"/>
    <n v="12.35"/>
  </r>
  <r>
    <n v="47040"/>
    <n v="580944"/>
    <d v="2023-01-12T00:00:00"/>
    <x v="94"/>
    <s v="Hong Kong"/>
    <s v="Location 5"/>
    <n v="12.35"/>
  </r>
  <r>
    <n v="43120"/>
    <n v="1168120.8"/>
    <d v="2023-01-12T00:00:00"/>
    <x v="85"/>
    <s v="Hong Kong"/>
    <s v="Location 5"/>
    <n v="27.09"/>
  </r>
  <r>
    <n v="41412"/>
    <n v="166476.24"/>
    <d v="2023-01-12T00:00:00"/>
    <x v="95"/>
    <s v="Hong Kong"/>
    <s v="Location 5"/>
    <n v="4.0199999999999996"/>
  </r>
  <r>
    <n v="37044"/>
    <n v="457493.4"/>
    <d v="2023-02-08T00:00:00"/>
    <x v="93"/>
    <s v="Hong Kong"/>
    <s v="Location 5"/>
    <n v="12.35"/>
  </r>
  <r>
    <n v="31752"/>
    <n v="392137.2"/>
    <d v="2023-02-08T00:00:00"/>
    <x v="93"/>
    <s v="Hong Kong"/>
    <s v="Location 5"/>
    <n v="12.35"/>
  </r>
  <r>
    <n v="63715"/>
    <n v="786880.25"/>
    <d v="2023-02-08T00:00:00"/>
    <x v="93"/>
    <s v="Hong Kong"/>
    <s v="Location 5"/>
    <n v="12.35"/>
  </r>
  <r>
    <n v="26809"/>
    <n v="331091.15000000002"/>
    <d v="2023-02-08T00:00:00"/>
    <x v="94"/>
    <s v="Hong Kong"/>
    <s v="Location 5"/>
    <n v="12.35"/>
  </r>
  <r>
    <n v="15876"/>
    <n v="196068.6"/>
    <d v="2023-02-08T00:00:00"/>
    <x v="94"/>
    <s v="Hong Kong"/>
    <s v="Location 5"/>
    <n v="12.35"/>
  </r>
  <r>
    <n v="32137"/>
    <n v="396891.95"/>
    <d v="2023-02-08T00:00:00"/>
    <x v="94"/>
    <s v="Hong Kong"/>
    <s v="Location 5"/>
    <n v="12.35"/>
  </r>
  <r>
    <n v="11088"/>
    <n v="300373.92"/>
    <d v="2023-02-08T00:00:00"/>
    <x v="85"/>
    <s v="Hong Kong"/>
    <s v="Location 5"/>
    <n v="27.09"/>
  </r>
  <r>
    <n v="15708"/>
    <n v="425529.72"/>
    <d v="2023-02-08T00:00:00"/>
    <x v="85"/>
    <s v="Hong Kong"/>
    <s v="Location 5"/>
    <n v="27.09"/>
  </r>
  <r>
    <n v="31724"/>
    <n v="859403.16"/>
    <d v="2023-02-08T00:00:00"/>
    <x v="85"/>
    <s v="Hong Kong"/>
    <s v="Location 5"/>
    <n v="27.09"/>
  </r>
  <r>
    <n v="9744"/>
    <n v="39170.879999999997"/>
    <d v="2023-02-08T00:00:00"/>
    <x v="95"/>
    <s v="Hong Kong"/>
    <s v="Location 5"/>
    <n v="4.0199999999999996"/>
  </r>
  <r>
    <n v="17074"/>
    <n v="68637.48"/>
    <d v="2023-02-08T00:00:00"/>
    <x v="95"/>
    <s v="Hong Kong"/>
    <s v="Location 5"/>
    <n v="4.0199999999999996"/>
  </r>
  <r>
    <n v="29232"/>
    <n v="117512.64"/>
    <d v="2023-02-08T00:00:00"/>
    <x v="95"/>
    <s v="Hong Kong"/>
    <s v="Location 5"/>
    <n v="4.0199999999999996"/>
  </r>
  <r>
    <n v="856"/>
    <n v="127458.4"/>
    <d v="2023-08-30T00:00:00"/>
    <x v="55"/>
    <s v="USA"/>
    <s v="Location 16"/>
    <n v="148.9"/>
  </r>
  <r>
    <n v="270"/>
    <n v="15076.8"/>
    <d v="2023-09-07T00:00:00"/>
    <x v="60"/>
    <s v="Hong Kong"/>
    <s v="Location 20"/>
    <n v="55.84"/>
  </r>
  <r>
    <n v="6000"/>
    <n v="11880"/>
    <d v="2023-02-06T00:00:00"/>
    <x v="57"/>
    <s v="USA"/>
    <s v="Location 16"/>
    <n v="1.98"/>
  </r>
  <r>
    <n v="4000"/>
    <n v="5360"/>
    <d v="2023-02-07T00:00:00"/>
    <x v="58"/>
    <s v="USA"/>
    <s v="Location 16"/>
    <n v="1.34"/>
  </r>
  <r>
    <n v="4000"/>
    <n v="5360"/>
    <d v="2023-02-07T00:00:00"/>
    <x v="58"/>
    <s v="USA"/>
    <s v="Location 16"/>
    <n v="1.34"/>
  </r>
  <r>
    <n v="4000"/>
    <n v="5360"/>
    <d v="2023-02-09T00:00:00"/>
    <x v="58"/>
    <s v="USA"/>
    <s v="Location 16"/>
    <n v="1.34"/>
  </r>
  <r>
    <n v="6000"/>
    <n v="10560"/>
    <d v="2023-03-02T00:00:00"/>
    <x v="6"/>
    <s v="USA"/>
    <s v="Location 16"/>
    <n v="1.76"/>
  </r>
  <r>
    <n v="4000"/>
    <n v="5480"/>
    <d v="2023-03-07T00:00:00"/>
    <x v="58"/>
    <s v="USA"/>
    <s v="Location 16"/>
    <n v="1.37"/>
  </r>
  <r>
    <n v="6000"/>
    <n v="11880"/>
    <d v="2023-03-08T00:00:00"/>
    <x v="57"/>
    <s v="USA"/>
    <s v="Location 16"/>
    <n v="1.98"/>
  </r>
  <r>
    <n v="4000"/>
    <n v="5360"/>
    <d v="2023-04-25T00:00:00"/>
    <x v="58"/>
    <s v="USA"/>
    <s v="Location 16"/>
    <n v="1.34"/>
  </r>
  <r>
    <n v="4000"/>
    <n v="5360"/>
    <d v="2023-04-25T00:00:00"/>
    <x v="58"/>
    <s v="USA"/>
    <s v="Location 16"/>
    <n v="1.34"/>
  </r>
  <r>
    <n v="9000"/>
    <n v="15750"/>
    <d v="2023-04-28T00:00:00"/>
    <x v="40"/>
    <s v="USA"/>
    <s v="Location 16"/>
    <n v="1.75"/>
  </r>
  <r>
    <n v="420"/>
    <n v="318922.8"/>
    <d v="2023-03-06T00:00:00"/>
    <x v="14"/>
    <s v="USA"/>
    <s v="Location 21"/>
    <n v="759.34"/>
  </r>
  <r>
    <n v="300"/>
    <n v="227802"/>
    <d v="2023-03-06T00:00:00"/>
    <x v="14"/>
    <s v="USA"/>
    <s v="Location 21"/>
    <n v="759.34"/>
  </r>
  <r>
    <n v="240"/>
    <n v="182241.6"/>
    <d v="2023-03-06T00:00:00"/>
    <x v="14"/>
    <s v="USA"/>
    <s v="Location 21"/>
    <n v="759.34"/>
  </r>
  <r>
    <n v="252"/>
    <n v="35899.919999999998"/>
    <d v="2023-02-15T00:00:00"/>
    <x v="55"/>
    <s v="USA"/>
    <s v="Location 16"/>
    <n v="142.46"/>
  </r>
  <r>
    <n v="270"/>
    <n v="35178.300000000003"/>
    <d v="2023-04-04T00:00:00"/>
    <x v="54"/>
    <s v="USA"/>
    <s v="Location 16"/>
    <n v="130.29"/>
  </r>
  <r>
    <n v="180"/>
    <n v="8766"/>
    <d v="2023-04-04T00:00:00"/>
    <x v="53"/>
    <s v="USA"/>
    <s v="Location 16"/>
    <n v="48.7"/>
  </r>
  <r>
    <n v="90"/>
    <n v="4192.2"/>
    <d v="2023-04-04T00:00:00"/>
    <x v="53"/>
    <s v="USA"/>
    <s v="Location 16"/>
    <n v="46.58"/>
  </r>
  <r>
    <n v="270"/>
    <n v="35178.300000000003"/>
    <d v="2023-04-28T00:00:00"/>
    <x v="54"/>
    <s v="USA"/>
    <s v="Location 16"/>
    <n v="130.29"/>
  </r>
  <r>
    <n v="1215"/>
    <n v="73568.25"/>
    <d v="2023-05-25T00:00:00"/>
    <x v="96"/>
    <s v="USA"/>
    <s v="Location 16"/>
    <n v="60.55"/>
  </r>
  <r>
    <n v="270"/>
    <n v="16348.5"/>
    <d v="2023-05-25T00:00:00"/>
    <x v="96"/>
    <s v="USA"/>
    <s v="Location 16"/>
    <n v="60.55"/>
  </r>
  <r>
    <n v="324"/>
    <n v="19618.2"/>
    <d v="2023-05-25T00:00:00"/>
    <x v="96"/>
    <s v="USA"/>
    <s v="Location 16"/>
    <n v="60.55"/>
  </r>
  <r>
    <n v="270"/>
    <n v="40203"/>
    <d v="2023-05-25T00:00:00"/>
    <x v="55"/>
    <s v="USA"/>
    <s v="Location 16"/>
    <n v="148.9"/>
  </r>
  <r>
    <n v="270"/>
    <n v="35178.300000000003"/>
    <d v="2023-05-25T00:00:00"/>
    <x v="54"/>
    <s v="USA"/>
    <s v="Location 16"/>
    <n v="130.29"/>
  </r>
  <r>
    <n v="270"/>
    <n v="35178.300000000003"/>
    <d v="2023-06-15T00:00:00"/>
    <x v="54"/>
    <s v="USA"/>
    <s v="Location 16"/>
    <n v="130.29"/>
  </r>
  <r>
    <n v="270"/>
    <n v="40203"/>
    <d v="2023-06-22T00:00:00"/>
    <x v="55"/>
    <s v="USA"/>
    <s v="Location 16"/>
    <n v="148.9"/>
  </r>
  <r>
    <n v="297"/>
    <n v="44223.3"/>
    <d v="2023-06-30T00:00:00"/>
    <x v="55"/>
    <s v="USA"/>
    <s v="Location 16"/>
    <n v="148.9"/>
  </r>
  <r>
    <n v="18"/>
    <n v="2680.2"/>
    <d v="2023-07-10T00:00:00"/>
    <x v="55"/>
    <s v="USA"/>
    <s v="Location 16"/>
    <n v="148.9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270"/>
    <n v="13149"/>
    <d v="2023-07-12T00:00:00"/>
    <x v="53"/>
    <s v="USA"/>
    <s v="Location 16"/>
    <n v="48.7"/>
  </r>
  <r>
    <n v="1404"/>
    <n v="85012.2"/>
    <d v="2023-07-18T00:00:00"/>
    <x v="96"/>
    <s v="USA"/>
    <s v="Location 16"/>
    <n v="60.55"/>
  </r>
  <r>
    <n v="270"/>
    <n v="35178.300000000003"/>
    <d v="2023-07-18T00:00:00"/>
    <x v="54"/>
    <s v="USA"/>
    <s v="Location 16"/>
    <n v="130.29"/>
  </r>
  <r>
    <n v="270"/>
    <n v="13149"/>
    <d v="2023-07-18T00:00:00"/>
    <x v="53"/>
    <s v="USA"/>
    <s v="Location 16"/>
    <n v="48.7"/>
  </r>
  <r>
    <n v="270"/>
    <n v="13149"/>
    <d v="2023-07-18T00:00:00"/>
    <x v="53"/>
    <s v="USA"/>
    <s v="Location 16"/>
    <n v="48.7"/>
  </r>
  <r>
    <n v="270"/>
    <n v="40203"/>
    <d v="2023-07-26T00:00:00"/>
    <x v="55"/>
    <s v="USA"/>
    <s v="Location 16"/>
    <n v="148.9"/>
  </r>
  <r>
    <n v="74"/>
    <n v="4132.16"/>
    <d v="2023-07-27T00:00:00"/>
    <x v="60"/>
    <s v="Hong Kong"/>
    <s v="Location 17"/>
    <n v="55.84"/>
  </r>
  <r>
    <n v="196"/>
    <n v="10944.64"/>
    <d v="2023-07-27T00:00:00"/>
    <x v="60"/>
    <s v="Hong Kong"/>
    <s v="Location 17"/>
    <n v="55.84"/>
  </r>
  <r>
    <n v="270"/>
    <n v="15076.8"/>
    <d v="2023-07-27T00:00:00"/>
    <x v="60"/>
    <s v="Taiwan"/>
    <s v="Location 19"/>
    <n v="55.84"/>
  </r>
  <r>
    <n v="1404"/>
    <n v="85012.2"/>
    <d v="2023-08-07T00:00:00"/>
    <x v="96"/>
    <s v="USA"/>
    <s v="Location 16"/>
    <n v="60.55"/>
  </r>
  <r>
    <n v="383"/>
    <n v="92628.55"/>
    <d v="2023-03-17T00:00:00"/>
    <x v="97"/>
    <s v="Taiwan"/>
    <s v="Location 8"/>
    <n v="241.85"/>
  </r>
  <r>
    <n v="120"/>
    <n v="80049.600000000006"/>
    <d v="2023-08-17T00:00:00"/>
    <x v="98"/>
    <s v="USA"/>
    <s v="Location 16"/>
    <n v="667.08"/>
  </r>
  <r>
    <n v="1215"/>
    <n v="73568.25"/>
    <d v="2023-08-24T00:00:00"/>
    <x v="96"/>
    <s v="USA"/>
    <s v="Location 16"/>
    <n v="60.55"/>
  </r>
  <r>
    <n v="297"/>
    <n v="17983.349999999999"/>
    <d v="2023-08-24T00:00:00"/>
    <x v="96"/>
    <s v="USA"/>
    <s v="Location 16"/>
    <n v="60.55"/>
  </r>
  <r>
    <n v="297"/>
    <n v="17983.349999999999"/>
    <d v="2023-08-24T00:00:00"/>
    <x v="96"/>
    <s v="USA"/>
    <s v="Location 16"/>
    <n v="60.55"/>
  </r>
  <r>
    <n v="1215"/>
    <n v="73568.25"/>
    <d v="2023-08-24T00:00:00"/>
    <x v="96"/>
    <s v="USA"/>
    <s v="Location 16"/>
    <n v="60.55"/>
  </r>
  <r>
    <n v="270"/>
    <n v="15076.8"/>
    <d v="2023-08-28T00:00:00"/>
    <x v="60"/>
    <s v="Hong Kong"/>
    <s v="Location 20"/>
    <n v="55.84"/>
  </r>
  <r>
    <n v="270"/>
    <n v="15076.8"/>
    <d v="2023-08-28T00:00:00"/>
    <x v="60"/>
    <s v="Hong Kong"/>
    <s v="Location 20"/>
    <n v="55.84"/>
  </r>
  <r>
    <n v="270"/>
    <n v="15076.8"/>
    <d v="2023-08-28T00:00:00"/>
    <x v="60"/>
    <s v="Hong Kong"/>
    <s v="Location 20"/>
    <n v="55.84"/>
  </r>
  <r>
    <n v="297"/>
    <n v="17983.349999999999"/>
    <d v="2023-08-29T00:00:00"/>
    <x v="96"/>
    <s v="USA"/>
    <s v="Location 16"/>
    <n v="60.55"/>
  </r>
  <r>
    <n v="135"/>
    <n v="17589.150000000001"/>
    <d v="2023-08-29T00:00:00"/>
    <x v="54"/>
    <s v="USA"/>
    <s v="Location 16"/>
    <n v="130.29"/>
  </r>
  <r>
    <n v="4000"/>
    <n v="5360"/>
    <d v="2023-06-26T00:00:00"/>
    <x v="58"/>
    <s v="USA"/>
    <s v="Location 16"/>
    <n v="1.34"/>
  </r>
  <r>
    <n v="4000"/>
    <n v="5360"/>
    <d v="2023-07-18T00:00:00"/>
    <x v="58"/>
    <s v="USA"/>
    <s v="Location 16"/>
    <n v="1.34"/>
  </r>
  <r>
    <n v="6000"/>
    <n v="11880"/>
    <d v="2023-07-27T00:00:00"/>
    <x v="57"/>
    <s v="USA"/>
    <s v="Location 16"/>
    <n v="1.98"/>
  </r>
  <r>
    <n v="9000"/>
    <n v="15750"/>
    <d v="2023-07-28T00:00:00"/>
    <x v="40"/>
    <s v="USA"/>
    <s v="Location 16"/>
    <n v="1.75"/>
  </r>
  <r>
    <n v="6000"/>
    <n v="10500"/>
    <d v="2023-08-17T00:00:00"/>
    <x v="40"/>
    <s v="USA"/>
    <s v="Location 16"/>
    <n v="1.75"/>
  </r>
  <r>
    <n v="4000"/>
    <n v="5480"/>
    <d v="2022-12-05T00:00:00"/>
    <x v="58"/>
    <s v="USA"/>
    <s v="Location 16"/>
    <n v="1.37"/>
  </r>
  <r>
    <n v="9000"/>
    <n v="15840"/>
    <d v="2022-12-07T00:00:00"/>
    <x v="6"/>
    <s v="USA"/>
    <s v="Location 16"/>
    <n v="1.76"/>
  </r>
  <r>
    <n v="4000"/>
    <n v="3559.6"/>
    <d v="2023-01-13T00:00:00"/>
    <x v="92"/>
    <s v="Romania"/>
    <s v="Location 6"/>
    <n v="0.88990000000000002"/>
  </r>
  <r>
    <n v="2000"/>
    <n v="1798"/>
    <d v="2023-01-13T00:00:00"/>
    <x v="92"/>
    <s v="Romania"/>
    <s v="Location 6"/>
    <n v="0.89900000000000002"/>
  </r>
  <r>
    <n v="5000"/>
    <n v="6150"/>
    <d v="2023-01-17T00:00:00"/>
    <x v="99"/>
    <s v="China"/>
    <s v="Location 10"/>
    <n v="1.23"/>
  </r>
  <r>
    <n v="4000"/>
    <n v="3559.6"/>
    <d v="2023-01-17T00:00:00"/>
    <x v="92"/>
    <s v="Romania"/>
    <s v="Location 6"/>
    <n v="0.88990000000000002"/>
  </r>
  <r>
    <n v="2500"/>
    <n v="3875"/>
    <d v="2023-01-17T00:00:00"/>
    <x v="80"/>
    <s v="Taiwan"/>
    <s v="Location 8"/>
    <n v="1.55"/>
  </r>
  <r>
    <n v="7500"/>
    <n v="11625"/>
    <d v="2023-01-17T00:00:00"/>
    <x v="80"/>
    <s v="Taiwan"/>
    <s v="Location 8"/>
    <n v="1.55"/>
  </r>
  <r>
    <n v="2500"/>
    <n v="3875"/>
    <d v="2023-01-17T00:00:00"/>
    <x v="80"/>
    <s v="Taiwan"/>
    <s v="Location 8"/>
    <n v="1.55"/>
  </r>
  <r>
    <n v="2500"/>
    <n v="9500"/>
    <d v="2023-01-17T00:00:00"/>
    <x v="84"/>
    <s v="Taiwan"/>
    <s v="Location 8"/>
    <n v="3.8"/>
  </r>
  <r>
    <n v="5000"/>
    <n v="19000"/>
    <d v="2023-01-17T00:00:00"/>
    <x v="84"/>
    <s v="Taiwan"/>
    <s v="Location 8"/>
    <n v="3.8"/>
  </r>
  <r>
    <n v="7500"/>
    <n v="28500"/>
    <d v="2023-01-17T00:00:00"/>
    <x v="84"/>
    <s v="Taiwan"/>
    <s v="Location 8"/>
    <n v="3.8"/>
  </r>
  <r>
    <n v="5000"/>
    <n v="19000"/>
    <d v="2023-01-17T00:00:00"/>
    <x v="84"/>
    <s v="Hong Kong"/>
    <s v="Location 12"/>
    <n v="3.8"/>
  </r>
  <r>
    <n v="2000"/>
    <n v="1779.8"/>
    <d v="2023-01-17T00:00:00"/>
    <x v="92"/>
    <s v="Hong Kong"/>
    <s v="Location 22"/>
    <n v="0.88990000000000002"/>
  </r>
  <r>
    <n v="2500"/>
    <n v="4250"/>
    <d v="2023-01-23T00:00:00"/>
    <x v="82"/>
    <s v="Taiwan"/>
    <s v="Location 8"/>
    <n v="1.7"/>
  </r>
  <r>
    <n v="2000"/>
    <n v="1779.8"/>
    <d v="2022-01-24T00:00:00"/>
    <x v="92"/>
    <s v="Hungary"/>
    <s v="Location 23"/>
    <n v="0.88990000000000002"/>
  </r>
  <r>
    <n v="2000"/>
    <n v="1779.8"/>
    <d v="2022-01-24T00:00:00"/>
    <x v="92"/>
    <s v="Hungary"/>
    <s v="Location 23"/>
    <n v="0.88990000000000002"/>
  </r>
  <r>
    <n v="2000"/>
    <n v="1779.8"/>
    <d v="2022-01-24T00:00:00"/>
    <x v="92"/>
    <s v="Hungary"/>
    <s v="Location 23"/>
    <n v="0.88990000000000002"/>
  </r>
  <r>
    <n v="6000"/>
    <n v="14040"/>
    <d v="2023-01-24T00:00:00"/>
    <x v="81"/>
    <s v="USA"/>
    <s v="Location 16"/>
    <n v="2.34"/>
  </r>
  <r>
    <n v="2500"/>
    <n v="3875"/>
    <d v="2023-02-06T00:00:00"/>
    <x v="80"/>
    <s v="Taiwan"/>
    <s v="Location 8"/>
    <n v="1.55"/>
  </r>
  <r>
    <n v="7500"/>
    <n v="28500"/>
    <d v="2023-02-06T00:00:00"/>
    <x v="84"/>
    <s v="Taiwan"/>
    <s v="Location 8"/>
    <n v="3.8"/>
  </r>
  <r>
    <n v="2500"/>
    <n v="3875"/>
    <d v="2023-02-07T00:00:00"/>
    <x v="80"/>
    <s v="Hong Kong"/>
    <s v="Location 12"/>
    <n v="1.55"/>
  </r>
  <r>
    <n v="10000"/>
    <n v="38000"/>
    <d v="2023-02-07T00:00:00"/>
    <x v="84"/>
    <s v="Hong Kong"/>
    <s v="Location 12"/>
    <n v="3.8"/>
  </r>
  <r>
    <n v="2500"/>
    <n v="3875"/>
    <d v="2023-02-16T00:00:00"/>
    <x v="80"/>
    <s v="Hong Kong"/>
    <s v="Location 12"/>
    <n v="1.55"/>
  </r>
  <r>
    <n v="5000"/>
    <n v="19000"/>
    <d v="2023-02-16T00:00:00"/>
    <x v="84"/>
    <s v="Hong Kong"/>
    <s v="Location 12"/>
    <n v="3.8"/>
  </r>
  <r>
    <n v="2000"/>
    <n v="1780"/>
    <d v="2023-05-22T00:00:00"/>
    <x v="92"/>
    <s v="China"/>
    <s v="Location 24"/>
    <n v="0.89"/>
  </r>
  <r>
    <n v="42500"/>
    <n v="52275"/>
    <d v="2023-05-25T00:00:00"/>
    <x v="99"/>
    <s v="China"/>
    <s v="Location 10"/>
    <n v="1.23"/>
  </r>
  <r>
    <n v="6000"/>
    <n v="5340"/>
    <d v="2023-06-14T00:00:00"/>
    <x v="92"/>
    <s v="Romania"/>
    <s v="Location 6"/>
    <n v="0.89"/>
  </r>
  <r>
    <n v="2000"/>
    <n v="1780"/>
    <d v="2023-06-15T00:00:00"/>
    <x v="92"/>
    <s v="Romania"/>
    <s v="Location 6"/>
    <n v="0.89"/>
  </r>
  <r>
    <n v="2500"/>
    <n v="3875"/>
    <d v="2022-06-17T00:00:00"/>
    <x v="80"/>
    <s v="Taiwan"/>
    <s v="Location 25"/>
    <n v="1.55"/>
  </r>
  <r>
    <n v="2000"/>
    <n v="1780"/>
    <d v="2023-06-22T00:00:00"/>
    <x v="92"/>
    <s v="Romania"/>
    <s v="Location 6"/>
    <n v="0.89"/>
  </r>
  <r>
    <n v="5000"/>
    <n v="19000"/>
    <d v="2023-03-08T00:00:00"/>
    <x v="84"/>
    <s v="Taiwan"/>
    <s v="Location 8"/>
    <n v="3.8"/>
  </r>
  <r>
    <n v="5000"/>
    <n v="6150"/>
    <d v="2022-03-17T00:00:00"/>
    <x v="99"/>
    <s v="China"/>
    <s v="Location 10"/>
    <n v="1.23"/>
  </r>
  <r>
    <n v="2500"/>
    <n v="12500"/>
    <d v="2022-03-28T00:00:00"/>
    <x v="100"/>
    <s v="China"/>
    <s v="Location 10"/>
    <n v="5"/>
  </r>
  <r>
    <n v="20000"/>
    <n v="60800"/>
    <d v="2022-03-30T00:00:00"/>
    <x v="84"/>
    <s v="Hong Kong"/>
    <s v="Location 17"/>
    <n v="3.04"/>
  </r>
  <r>
    <n v="2000"/>
    <n v="1780"/>
    <d v="2023-03-30T00:00:00"/>
    <x v="92"/>
    <s v="Romania"/>
    <s v="Location 6"/>
    <n v="0.89"/>
  </r>
  <r>
    <n v="2000"/>
    <n v="1779.8"/>
    <d v="2022-04-08T00:00:00"/>
    <x v="92"/>
    <s v="China"/>
    <s v="Location 24"/>
    <n v="0.88990000000000002"/>
  </r>
  <r>
    <n v="2500"/>
    <n v="9500"/>
    <d v="2023-04-17T00:00:00"/>
    <x v="84"/>
    <s v="Hong Kong"/>
    <s v="Location 17"/>
    <n v="3.8"/>
  </r>
  <r>
    <n v="2500"/>
    <n v="4250"/>
    <d v="2023-04-24T00:00:00"/>
    <x v="82"/>
    <s v="Taiwan"/>
    <s v="Location 8"/>
    <n v="1.7"/>
  </r>
  <r>
    <n v="2500"/>
    <n v="4250"/>
    <d v="2022-06-24T00:00:00"/>
    <x v="82"/>
    <s v="Taiwan"/>
    <s v="Location 25"/>
    <n v="1.7"/>
  </r>
  <r>
    <n v="2500"/>
    <n v="9100"/>
    <d v="2023-06-26T00:00:00"/>
    <x v="83"/>
    <s v="USA"/>
    <s v="Location 16"/>
    <n v="3.64"/>
  </r>
  <r>
    <n v="7500"/>
    <n v="109200"/>
    <d v="2022-06-28T00:00:00"/>
    <x v="84"/>
    <s v="Taiwan"/>
    <s v="Location 25"/>
    <n v="14.56"/>
  </r>
  <r>
    <n v="5000"/>
    <n v="72800"/>
    <d v="2022-06-28T00:00:00"/>
    <x v="84"/>
    <s v="Taiwan"/>
    <s v="Location 25"/>
    <n v="14.56"/>
  </r>
  <r>
    <n v="6000"/>
    <n v="14040"/>
    <d v="2023-07-07T00:00:00"/>
    <x v="81"/>
    <s v="USA"/>
    <s v="Location 16"/>
    <n v="2.34"/>
  </r>
  <r>
    <n v="5000"/>
    <n v="6150"/>
    <d v="2022-07-13T00:00:00"/>
    <x v="99"/>
    <s v="China"/>
    <s v="Location 10"/>
    <n v="1.23"/>
  </r>
  <r>
    <n v="2000"/>
    <n v="1779.8"/>
    <d v="2022-07-20T00:00:00"/>
    <x v="92"/>
    <s v="Hong Kong"/>
    <s v="Location 22"/>
    <n v="0.88990000000000002"/>
  </r>
  <r>
    <n v="2000"/>
    <n v="1779.8"/>
    <d v="2022-07-20T00:00:00"/>
    <x v="92"/>
    <s v="Hong Kong"/>
    <s v="Location 22"/>
    <n v="0.88990000000000002"/>
  </r>
  <r>
    <n v="5000"/>
    <n v="19000"/>
    <d v="2023-07-26T00:00:00"/>
    <x v="84"/>
    <s v="Hong Kong"/>
    <s v="Location 17"/>
    <n v="3.8"/>
  </r>
  <r>
    <n v="2500"/>
    <n v="9500"/>
    <d v="2023-07-26T00:00:00"/>
    <x v="84"/>
    <s v="Hong Kong"/>
    <s v="Location 17"/>
    <n v="3.8"/>
  </r>
  <r>
    <n v="5000"/>
    <n v="19000"/>
    <d v="2023-07-26T00:00:00"/>
    <x v="84"/>
    <s v="Hong Kong"/>
    <s v="Location 17"/>
    <n v="3.8"/>
  </r>
  <r>
    <n v="5000"/>
    <n v="7750"/>
    <d v="2022-07-29T00:00:00"/>
    <x v="80"/>
    <s v="Taiwan"/>
    <s v="Location 25"/>
    <n v="1.55"/>
  </r>
  <r>
    <n v="2500"/>
    <n v="4250"/>
    <d v="2022-05-09T00:00:00"/>
    <x v="82"/>
    <s v="Taiwan"/>
    <s v="Location 25"/>
    <n v="1.7"/>
  </r>
  <r>
    <n v="2500"/>
    <n v="3875"/>
    <d v="2022-05-12T00:00:00"/>
    <x v="80"/>
    <s v="Taiwan"/>
    <s v="Location 25"/>
    <n v="1.55"/>
  </r>
  <r>
    <n v="10000"/>
    <n v="145600"/>
    <d v="2022-08-29T00:00:00"/>
    <x v="84"/>
    <s v="Taiwan"/>
    <s v="Location 25"/>
    <n v="14.56"/>
  </r>
  <r>
    <n v="5000"/>
    <n v="19000"/>
    <d v="2022-09-08T00:00:00"/>
    <x v="84"/>
    <s v="Taiwan"/>
    <s v="Location 25"/>
    <n v="3.8"/>
  </r>
  <r>
    <n v="2000"/>
    <n v="1779.8"/>
    <d v="2022-08-18T00:00:00"/>
    <x v="92"/>
    <s v="Hong Kong"/>
    <s v="Location 22"/>
    <n v="0.88990000000000002"/>
  </r>
  <r>
    <n v="2500"/>
    <n v="9100"/>
    <d v="2022-08-19T00:00:00"/>
    <x v="83"/>
    <s v="Romania"/>
    <s v="Location 6"/>
    <n v="3.64"/>
  </r>
  <r>
    <n v="2500"/>
    <n v="3875"/>
    <d v="2022-08-19T00:00:00"/>
    <x v="80"/>
    <s v="Taiwan"/>
    <s v="Location 25"/>
    <n v="1.55"/>
  </r>
  <r>
    <n v="2500"/>
    <n v="4250"/>
    <d v="2022-08-19T00:00:00"/>
    <x v="82"/>
    <s v="Taiwan"/>
    <s v="Location 25"/>
    <n v="1.7"/>
  </r>
  <r>
    <n v="5000"/>
    <n v="72800"/>
    <d v="2022-08-26T00:00:00"/>
    <x v="84"/>
    <s v="Taiwan"/>
    <s v="Location 25"/>
    <n v="14.56"/>
  </r>
  <r>
    <n v="7500"/>
    <n v="28500"/>
    <d v="2022-09-23T00:00:00"/>
    <x v="84"/>
    <s v="Taiwan"/>
    <s v="Location 25"/>
    <n v="3.8"/>
  </r>
  <r>
    <n v="2000"/>
    <n v="1779.8"/>
    <d v="2022-11-18T00:00:00"/>
    <x v="92"/>
    <s v="Hong Kong"/>
    <s v="Location 22"/>
    <n v="0.88990000000000002"/>
  </r>
  <r>
    <n v="2500"/>
    <n v="3875"/>
    <d v="2022-09-30T00:00:00"/>
    <x v="80"/>
    <s v="Taiwan"/>
    <s v="Location 25"/>
    <n v="1.55"/>
  </r>
  <r>
    <n v="5000"/>
    <n v="7750"/>
    <d v="2022-09-30T00:00:00"/>
    <x v="80"/>
    <s v="Taiwan"/>
    <s v="Location 8"/>
    <n v="1.55"/>
  </r>
  <r>
    <n v="2500"/>
    <n v="36400"/>
    <d v="2022-10-21T00:00:00"/>
    <x v="84"/>
    <s v="Taiwan"/>
    <s v="Location 8"/>
    <n v="14.56"/>
  </r>
  <r>
    <n v="7500"/>
    <n v="28500"/>
    <d v="2022-12-23T00:00:00"/>
    <x v="84"/>
    <s v="Taiwan"/>
    <s v="Location 25"/>
    <n v="3.8"/>
  </r>
  <r>
    <n v="5000"/>
    <n v="7750"/>
    <d v="2022-12-23T00:00:00"/>
    <x v="80"/>
    <s v="Taiwan"/>
    <s v="Location 8"/>
    <n v="1.55"/>
  </r>
  <r>
    <n v="2500"/>
    <n v="3875"/>
    <d v="2022-12-23T00:00:00"/>
    <x v="80"/>
    <s v="Taiwan"/>
    <s v="Location 25"/>
    <n v="1.55"/>
  </r>
  <r>
    <n v="4000"/>
    <n v="4560"/>
    <d v="2022-03-10T00:00:00"/>
    <x v="90"/>
    <s v="Hungary"/>
    <s v="Location 23"/>
    <n v="1.1399999999999999"/>
  </r>
  <r>
    <n v="4000"/>
    <n v="4560"/>
    <d v="2022-03-10T00:00:00"/>
    <x v="90"/>
    <s v="Hungary"/>
    <s v="Location 23"/>
    <n v="1.1399999999999999"/>
  </r>
  <r>
    <n v="2000"/>
    <n v="2280"/>
    <d v="2022-03-10T00:00:00"/>
    <x v="90"/>
    <s v="Hungary"/>
    <s v="Location 23"/>
    <n v="1.1399999999999999"/>
  </r>
  <r>
    <n v="6000"/>
    <n v="6840"/>
    <d v="2022-03-10T00:00:00"/>
    <x v="90"/>
    <s v="Hungary"/>
    <s v="Location 23"/>
    <n v="1.1399999999999999"/>
  </r>
  <r>
    <n v="2000"/>
    <n v="2280"/>
    <d v="2022-03-24T00:00:00"/>
    <x v="90"/>
    <s v="Hungary"/>
    <s v="Location 23"/>
    <n v="1.1399999999999999"/>
  </r>
  <r>
    <n v="4000"/>
    <n v="456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2000"/>
    <n v="228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2000"/>
    <n v="2280"/>
    <d v="2022-05-03T00:00:00"/>
    <x v="90"/>
    <s v="Romania"/>
    <s v="Location 6"/>
    <n v="1.1399999999999999"/>
  </r>
  <r>
    <n v="2000"/>
    <n v="2280"/>
    <d v="2022-05-03T00:00:00"/>
    <x v="90"/>
    <s v="Romania"/>
    <s v="Location 6"/>
    <n v="1.1399999999999999"/>
  </r>
  <r>
    <n v="4000"/>
    <n v="4560"/>
    <d v="2022-05-03T00:00:00"/>
    <x v="90"/>
    <s v="Romania"/>
    <s v="Location 6"/>
    <n v="1.1399999999999999"/>
  </r>
  <r>
    <n v="2000"/>
    <n v="2280"/>
    <d v="2022-05-03T00:00:00"/>
    <x v="90"/>
    <s v="Romania"/>
    <s v="Location 6"/>
    <n v="1.1399999999999999"/>
  </r>
  <r>
    <n v="4000"/>
    <n v="4320"/>
    <d v="2023-01-11T00:00:00"/>
    <x v="90"/>
    <s v="Romania"/>
    <s v="Location 6"/>
    <n v="1.08"/>
  </r>
  <r>
    <n v="2000"/>
    <n v="2160"/>
    <d v="2023-01-17T00:00:00"/>
    <x v="90"/>
    <s v="Romania"/>
    <s v="Location 6"/>
    <n v="1.08"/>
  </r>
  <r>
    <n v="4000"/>
    <n v="432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4000"/>
    <n v="432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2000"/>
    <n v="2160"/>
    <d v="2023-01-18T00:00:00"/>
    <x v="90"/>
    <s v="Romania"/>
    <s v="Location 6"/>
    <n v="1.08"/>
  </r>
  <r>
    <n v="4000"/>
    <n v="4320"/>
    <d v="2023-01-18T00:00:00"/>
    <x v="90"/>
    <s v="Romania"/>
    <s v="Location 6"/>
    <n v="1.08"/>
  </r>
  <r>
    <n v="2000"/>
    <n v="2160"/>
    <d v="2023-01-19T00:00:00"/>
    <x v="90"/>
    <s v="Romania"/>
    <s v="Location 6"/>
    <n v="1.08"/>
  </r>
  <r>
    <n v="2000"/>
    <n v="2160"/>
    <d v="2023-01-24T00:00:00"/>
    <x v="90"/>
    <s v="Romania"/>
    <s v="Location 6"/>
    <n v="1.08"/>
  </r>
  <r>
    <n v="4000"/>
    <n v="4320"/>
    <d v="2023-01-24T00:00:00"/>
    <x v="90"/>
    <s v="Romania"/>
    <s v="Location 6"/>
    <n v="1.08"/>
  </r>
  <r>
    <n v="4000"/>
    <n v="4320"/>
    <d v="2023-05-12T00:00:00"/>
    <x v="90"/>
    <s v="Romania"/>
    <s v="Location 6"/>
    <n v="1.08"/>
  </r>
  <r>
    <n v="4000"/>
    <n v="432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4000"/>
    <n v="432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4000"/>
    <n v="432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500"/>
    <n v="540"/>
    <d v="2023-05-18T00:00:00"/>
    <x v="90"/>
    <s v="Romania"/>
    <s v="Location 6"/>
    <n v="1.08"/>
  </r>
  <r>
    <n v="2000"/>
    <n v="216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6000"/>
    <n v="6480"/>
    <d v="2022-06-30T00:00:00"/>
    <x v="90"/>
    <s v="Romania"/>
    <s v="Location 6"/>
    <n v="1.08"/>
  </r>
  <r>
    <n v="6000"/>
    <n v="648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4000"/>
    <n v="4320"/>
    <d v="2022-07-05T00:00:00"/>
    <x v="90"/>
    <s v="Romania"/>
    <s v="Location 6"/>
    <n v="1.08"/>
  </r>
  <r>
    <n v="1500"/>
    <n v="1620"/>
    <d v="2023-04-06T00:00:00"/>
    <x v="90"/>
    <s v="Romania"/>
    <s v="Location 6"/>
    <n v="1.08"/>
  </r>
  <r>
    <n v="4000"/>
    <n v="4320"/>
    <d v="2023-04-07T00:00:00"/>
    <x v="90"/>
    <s v="Romania"/>
    <s v="Location 6"/>
    <n v="1.08"/>
  </r>
  <r>
    <n v="2000"/>
    <n v="2160"/>
    <d v="2022-06-30T00:00:00"/>
    <x v="90"/>
    <s v="Romania"/>
    <s v="Location 6"/>
    <n v="1.08"/>
  </r>
  <r>
    <n v="2000"/>
    <n v="2160"/>
    <d v="2022-06-30T00:00:00"/>
    <x v="90"/>
    <s v="Romania"/>
    <s v="Location 6"/>
    <n v="1.08"/>
  </r>
  <r>
    <n v="2000"/>
    <n v="2160"/>
    <d v="2022-06-30T00:00:00"/>
    <x v="90"/>
    <s v="Romania"/>
    <s v="Location 6"/>
    <n v="1.08"/>
  </r>
  <r>
    <n v="2000"/>
    <n v="216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2000"/>
    <n v="2160"/>
    <d v="2022-06-30T00:00:00"/>
    <x v="90"/>
    <s v="Romania"/>
    <s v="Location 6"/>
    <n v="1.08"/>
  </r>
  <r>
    <n v="4000"/>
    <n v="4320"/>
    <d v="2022-06-30T00:00:00"/>
    <x v="90"/>
    <s v="Romania"/>
    <s v="Location 6"/>
    <n v="1.08"/>
  </r>
  <r>
    <n v="2000"/>
    <n v="2160"/>
    <d v="2022-06-30T00:00:00"/>
    <x v="90"/>
    <s v="Romania"/>
    <s v="Location 6"/>
    <n v="1.08"/>
  </r>
  <r>
    <n v="6000"/>
    <n v="6480"/>
    <d v="2022-07-22T00:00:00"/>
    <x v="90"/>
    <s v="Romania"/>
    <s v="Location 6"/>
    <n v="1.08"/>
  </r>
  <r>
    <n v="2000"/>
    <n v="2160"/>
    <d v="2022-07-22T00:00:00"/>
    <x v="90"/>
    <s v="Romania"/>
    <s v="Location 6"/>
    <n v="1.08"/>
  </r>
  <r>
    <n v="2000"/>
    <n v="2160"/>
    <d v="2022-07-22T00:00:00"/>
    <x v="90"/>
    <s v="Romania"/>
    <s v="Location 6"/>
    <n v="1.08"/>
  </r>
  <r>
    <n v="2000"/>
    <n v="2160"/>
    <d v="2022-07-22T00:00:00"/>
    <x v="90"/>
    <s v="Romania"/>
    <s v="Location 6"/>
    <n v="1.08"/>
  </r>
  <r>
    <n v="2000"/>
    <n v="2160"/>
    <d v="2022-07-22T00:00:00"/>
    <x v="90"/>
    <s v="Romania"/>
    <s v="Location 6"/>
    <n v="1.08"/>
  </r>
  <r>
    <n v="4000"/>
    <n v="4320"/>
    <d v="2022-07-22T00:00:00"/>
    <x v="90"/>
    <s v="Romania"/>
    <s v="Location 6"/>
    <n v="1.08"/>
  </r>
  <r>
    <n v="4000"/>
    <n v="4320"/>
    <d v="2022-07-22T00:00:00"/>
    <x v="90"/>
    <s v="Romania"/>
    <s v="Location 6"/>
    <n v="1.08"/>
  </r>
  <r>
    <n v="4000"/>
    <n v="4320"/>
    <d v="2023-05-05T00:00:00"/>
    <x v="90"/>
    <s v="Romania"/>
    <s v="Location 6"/>
    <n v="1.08"/>
  </r>
  <r>
    <n v="2000"/>
    <n v="2160"/>
    <d v="2023-05-05T00:00:00"/>
    <x v="90"/>
    <s v="Romania"/>
    <s v="Location 6"/>
    <n v="1.08"/>
  </r>
  <r>
    <n v="2000"/>
    <n v="2160"/>
    <d v="2023-05-05T00:00:00"/>
    <x v="90"/>
    <s v="Romania"/>
    <s v="Location 6"/>
    <n v="1.08"/>
  </r>
  <r>
    <n v="4000"/>
    <n v="4320"/>
    <d v="2023-05-05T00:00:00"/>
    <x v="90"/>
    <s v="Romania"/>
    <s v="Location 6"/>
    <n v="1.08"/>
  </r>
  <r>
    <n v="2000"/>
    <n v="216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4000"/>
    <n v="4320"/>
    <d v="2023-05-12T00:00:00"/>
    <x v="90"/>
    <s v="Romania"/>
    <s v="Location 6"/>
    <n v="1.08"/>
  </r>
  <r>
    <n v="2000"/>
    <n v="2160"/>
    <d v="2023-05-12T00:00:00"/>
    <x v="90"/>
    <s v="Romania"/>
    <s v="Location 6"/>
    <n v="1.08"/>
  </r>
  <r>
    <n v="6000"/>
    <n v="6480"/>
    <d v="2022-08-16T00:00:00"/>
    <x v="90"/>
    <s v="Romania"/>
    <s v="Location 6"/>
    <n v="1.08"/>
  </r>
  <r>
    <n v="2000"/>
    <n v="2160"/>
    <d v="2022-11-22T00:00:00"/>
    <x v="90"/>
    <s v="Romania"/>
    <s v="Location 6"/>
    <n v="1.08"/>
  </r>
  <r>
    <n v="2000"/>
    <n v="2160"/>
    <d v="2022-11-11T00:00:00"/>
    <x v="90"/>
    <s v="Romania"/>
    <s v="Location 6"/>
    <n v="1.08"/>
  </r>
  <r>
    <n v="2000"/>
    <n v="2160"/>
    <d v="2022-11-22T00:00:00"/>
    <x v="90"/>
    <s v="Romania"/>
    <s v="Location 6"/>
    <n v="1.08"/>
  </r>
  <r>
    <n v="2000"/>
    <n v="2160"/>
    <d v="2022-11-11T00:00:00"/>
    <x v="90"/>
    <s v="Romania"/>
    <s v="Location 6"/>
    <n v="1.08"/>
  </r>
  <r>
    <n v="4000"/>
    <n v="4320"/>
    <d v="2022-11-22T00:00:00"/>
    <x v="90"/>
    <s v="Romania"/>
    <s v="Location 6"/>
    <n v="1.08"/>
  </r>
  <r>
    <n v="4000"/>
    <n v="4320"/>
    <d v="2022-11-22T00:00:00"/>
    <x v="90"/>
    <s v="Romania"/>
    <s v="Location 6"/>
    <n v="1.08"/>
  </r>
  <r>
    <n v="33880"/>
    <n v="917809.2"/>
    <d v="2023-02-16T00:00:00"/>
    <x v="85"/>
    <s v="Hong Kong"/>
    <s v="Location 5"/>
    <n v="27.09"/>
  </r>
  <r>
    <n v="34104"/>
    <n v="137098.07999999999"/>
    <d v="2023-02-16T00:00:00"/>
    <x v="95"/>
    <s v="Hong Kong"/>
    <s v="Location 5"/>
    <n v="4.0199999999999996"/>
  </r>
  <r>
    <n v="-33880"/>
    <n v="-917809.2"/>
    <d v="2023-02-23T00:00:00"/>
    <x v="85"/>
    <s v="Hong Kong"/>
    <s v="Location 5"/>
    <n v="27.09"/>
  </r>
  <r>
    <n v="-34104"/>
    <n v="-137098.07999999999"/>
    <d v="2023-02-23T00:00:00"/>
    <x v="95"/>
    <s v="Hong Kong"/>
    <s v="Location 5"/>
    <n v="4.0199999999999996"/>
  </r>
  <r>
    <n v="33880"/>
    <n v="917809.2"/>
    <d v="2023-02-26T00:00:00"/>
    <x v="85"/>
    <s v="Hong Kong"/>
    <s v="Location 5"/>
    <n v="27.09"/>
  </r>
  <r>
    <n v="34104"/>
    <n v="137098.07999999999"/>
    <d v="2023-02-26T00:00:00"/>
    <x v="95"/>
    <s v="Hong Kong"/>
    <s v="Location 5"/>
    <n v="4.0199999999999996"/>
  </r>
  <r>
    <n v="30800"/>
    <n v="834372"/>
    <d v="2023-03-02T00:00:00"/>
    <x v="85"/>
    <s v="Hong Kong"/>
    <s v="Location 5"/>
    <n v="27.09"/>
  </r>
  <r>
    <n v="37268"/>
    <n v="1009590.12"/>
    <d v="2023-03-02T00:00:00"/>
    <x v="85"/>
    <s v="Hong Kong"/>
    <s v="Location 5"/>
    <n v="27.09"/>
  </r>
  <r>
    <n v="31668"/>
    <n v="127305.36"/>
    <d v="2023-03-02T00:00:00"/>
    <x v="95"/>
    <s v="Hong Kong"/>
    <s v="Location 5"/>
    <n v="4.0199999999999996"/>
  </r>
  <r>
    <n v="36540"/>
    <n v="146890.79999999999"/>
    <d v="2023-03-02T00:00:00"/>
    <x v="95"/>
    <s v="Hong Kong"/>
    <s v="Location 5"/>
    <n v="4.0199999999999996"/>
  </r>
  <r>
    <n v="17248"/>
    <n v="467248.32"/>
    <d v="2023-03-08T00:00:00"/>
    <x v="85"/>
    <s v="Hong Kong"/>
    <s v="Location 5"/>
    <n v="27.09"/>
  </r>
  <r>
    <n v="17052"/>
    <n v="68549.039999999994"/>
    <d v="2023-03-08T00:00:00"/>
    <x v="95"/>
    <s v="Hong Kong"/>
    <s v="Location 5"/>
    <n v="4.0199999999999996"/>
  </r>
  <r>
    <n v="23716"/>
    <n v="642466.43999999994"/>
    <d v="2023-03-17T00:00:00"/>
    <x v="85"/>
    <s v="Hong Kong"/>
    <s v="Location 5"/>
    <n v="27.09"/>
  </r>
  <r>
    <n v="-30800"/>
    <n v="-834372"/>
    <d v="2023-03-17T00:00:00"/>
    <x v="85"/>
    <s v="Hong Kong"/>
    <s v="Location 5"/>
    <n v="27.09"/>
  </r>
  <r>
    <n v="-37268"/>
    <n v="-1009590.12"/>
    <d v="2023-03-17T00:00:00"/>
    <x v="85"/>
    <s v="Hong Kong"/>
    <s v="Location 5"/>
    <n v="27.09"/>
  </r>
  <r>
    <n v="-17248"/>
    <n v="-467248.32"/>
    <d v="2023-03-17T00:00:00"/>
    <x v="85"/>
    <s v="Hong Kong"/>
    <s v="Location 5"/>
    <n v="27.09"/>
  </r>
  <r>
    <n v="-23716"/>
    <n v="-642466.43999999994"/>
    <d v="2023-03-17T00:00:00"/>
    <x v="85"/>
    <s v="Hong Kong"/>
    <s v="Location 5"/>
    <n v="27.09"/>
  </r>
  <r>
    <n v="20069"/>
    <n v="80677.38"/>
    <d v="2023-03-17T00:00:00"/>
    <x v="95"/>
    <s v="Hong Kong"/>
    <s v="Location 5"/>
    <n v="4.0199999999999996"/>
  </r>
  <r>
    <n v="4291"/>
    <n v="17249.82"/>
    <d v="2023-03-17T00:00:00"/>
    <x v="95"/>
    <s v="Hong Kong"/>
    <s v="Location 5"/>
    <n v="4.0199999999999996"/>
  </r>
  <r>
    <n v="-31668"/>
    <n v="-127305.36"/>
    <d v="2023-03-17T00:00:00"/>
    <x v="95"/>
    <s v="Hong Kong"/>
    <s v="Location 5"/>
    <n v="4.0199999999999996"/>
  </r>
  <r>
    <n v="-36540"/>
    <n v="-146890.79999999999"/>
    <d v="2023-03-17T00:00:00"/>
    <x v="95"/>
    <s v="Hong Kong"/>
    <s v="Location 5"/>
    <n v="4.0199999999999996"/>
  </r>
  <r>
    <n v="-17052"/>
    <n v="-68549.039999999994"/>
    <d v="2023-03-17T00:00:00"/>
    <x v="95"/>
    <s v="Hong Kong"/>
    <s v="Location 5"/>
    <n v="4.0199999999999996"/>
  </r>
  <r>
    <n v="-4291"/>
    <n v="-17249.82"/>
    <d v="2023-03-17T00:00:00"/>
    <x v="95"/>
    <s v="Hong Kong"/>
    <s v="Location 5"/>
    <n v="4.0199999999999996"/>
  </r>
  <r>
    <n v="-20069"/>
    <n v="-80677.38"/>
    <d v="2023-03-17T00:00:00"/>
    <x v="95"/>
    <s v="Hong Kong"/>
    <s v="Location 5"/>
    <n v="4.0199999999999996"/>
  </r>
  <r>
    <n v="30800"/>
    <n v="834372"/>
    <d v="2023-03-20T00:00:00"/>
    <x v="85"/>
    <s v="Hong Kong"/>
    <s v="Location 5"/>
    <n v="27.09"/>
  </r>
  <r>
    <n v="37268"/>
    <n v="1009590.12"/>
    <d v="2023-03-20T00:00:00"/>
    <x v="85"/>
    <s v="Hong Kong"/>
    <s v="Location 5"/>
    <n v="27.09"/>
  </r>
  <r>
    <n v="17248"/>
    <n v="467248.32"/>
    <d v="2023-03-20T00:00:00"/>
    <x v="85"/>
    <s v="Hong Kong"/>
    <s v="Location 5"/>
    <n v="27.09"/>
  </r>
  <r>
    <n v="23716"/>
    <n v="642466.43999999994"/>
    <d v="2023-03-20T00:00:00"/>
    <x v="85"/>
    <s v="Hong Kong"/>
    <s v="Location 5"/>
    <n v="27.09"/>
  </r>
  <r>
    <n v="31668"/>
    <n v="127305.36"/>
    <d v="2023-03-20T00:00:00"/>
    <x v="95"/>
    <s v="Hong Kong"/>
    <s v="Location 5"/>
    <n v="4.0199999999999996"/>
  </r>
  <r>
    <n v="36540"/>
    <n v="146890.79999999999"/>
    <d v="2023-03-20T00:00:00"/>
    <x v="95"/>
    <s v="Hong Kong"/>
    <s v="Location 5"/>
    <n v="4.0199999999999996"/>
  </r>
  <r>
    <n v="17052"/>
    <n v="68549.039999999994"/>
    <d v="2023-03-20T00:00:00"/>
    <x v="95"/>
    <s v="Hong Kong"/>
    <s v="Location 5"/>
    <n v="4.0199999999999996"/>
  </r>
  <r>
    <n v="24360"/>
    <n v="97927.2"/>
    <d v="2023-03-20T00:00:00"/>
    <x v="95"/>
    <s v="Hong Kong"/>
    <s v="Location 5"/>
    <n v="4.0199999999999996"/>
  </r>
  <r>
    <n v="10164"/>
    <n v="275342.76"/>
    <d v="2023-03-22T00:00:00"/>
    <x v="85"/>
    <s v="Hong Kong"/>
    <s v="Location 5"/>
    <n v="27.09"/>
  </r>
  <r>
    <n v="31724"/>
    <n v="859403.16"/>
    <d v="2023-03-22T00:00:00"/>
    <x v="85"/>
    <s v="Hong Kong"/>
    <s v="Location 5"/>
    <n v="27.09"/>
  </r>
  <r>
    <n v="12180"/>
    <n v="48963.6"/>
    <d v="2023-03-22T00:00:00"/>
    <x v="95"/>
    <s v="Hong Kong"/>
    <s v="Location 5"/>
    <n v="4.0199999999999996"/>
  </r>
  <r>
    <n v="31668"/>
    <n v="127305.36"/>
    <d v="2023-03-22T00:00:00"/>
    <x v="95"/>
    <s v="Hong Kong"/>
    <s v="Location 5"/>
    <n v="4.0199999999999996"/>
  </r>
  <r>
    <n v="21252"/>
    <n v="572316.36"/>
    <d v="2023-03-31T00:00:00"/>
    <x v="85"/>
    <s v="Hong Kong"/>
    <s v="Location 5"/>
    <n v="26.93"/>
  </r>
  <r>
    <n v="19488"/>
    <n v="78341.759999999995"/>
    <d v="2023-03-31T00:00:00"/>
    <x v="95"/>
    <s v="Hong Kong"/>
    <s v="Location 5"/>
    <n v="4.0199999999999996"/>
  </r>
  <r>
    <n v="18788"/>
    <n v="505960.84"/>
    <d v="2023-04-13T00:00:00"/>
    <x v="85"/>
    <s v="Hong Kong"/>
    <s v="Location 5"/>
    <n v="26.93"/>
  </r>
  <r>
    <n v="16016"/>
    <n v="431310.88"/>
    <d v="2023-04-13T00:00:00"/>
    <x v="85"/>
    <s v="Hong Kong"/>
    <s v="Location 5"/>
    <n v="26.93"/>
  </r>
  <r>
    <n v="19488"/>
    <n v="78341.759999999995"/>
    <d v="2023-04-13T00:00:00"/>
    <x v="95"/>
    <s v="Hong Kong"/>
    <s v="Location 5"/>
    <n v="4.0199999999999996"/>
  </r>
  <r>
    <n v="14616"/>
    <n v="58756.32"/>
    <d v="2023-04-13T00:00:00"/>
    <x v="95"/>
    <s v="Hong Kong"/>
    <s v="Location 5"/>
    <n v="4.0199999999999996"/>
  </r>
  <r>
    <n v="9240"/>
    <n v="248833.2"/>
    <d v="2023-04-25T00:00:00"/>
    <x v="85"/>
    <s v="Hong Kong"/>
    <s v="Location 5"/>
    <n v="26.93"/>
  </r>
  <r>
    <n v="9744"/>
    <n v="39170.879999999997"/>
    <d v="2023-04-25T00:00:00"/>
    <x v="95"/>
    <s v="Hong Kong"/>
    <s v="Location 5"/>
    <n v="4.0199999999999996"/>
  </r>
  <r>
    <n v="21252"/>
    <n v="572316.36"/>
    <d v="2023-04-27T00:00:00"/>
    <x v="85"/>
    <s v="Hong Kong"/>
    <s v="Location 5"/>
    <n v="26.93"/>
  </r>
  <r>
    <n v="21924"/>
    <n v="88134.48"/>
    <d v="2023-04-27T00:00:00"/>
    <x v="95"/>
    <s v="Hong Kong"/>
    <s v="Location 5"/>
    <n v="4.0199999999999996"/>
  </r>
  <r>
    <n v="31724"/>
    <n v="854327.32"/>
    <d v="2023-05-05T00:00:00"/>
    <x v="85"/>
    <s v="Hong Kong"/>
    <s v="Location 5"/>
    <n v="26.93"/>
  </r>
  <r>
    <n v="31668"/>
    <n v="127305.36"/>
    <d v="2023-05-05T00:00:00"/>
    <x v="95"/>
    <s v="Hong Kong"/>
    <s v="Location 5"/>
    <n v="4.0199999999999996"/>
  </r>
  <r>
    <n v="26796"/>
    <n v="721616.28"/>
    <d v="2023-05-16T00:00:00"/>
    <x v="85"/>
    <s v="Hong Kong"/>
    <s v="Location 5"/>
    <n v="26.93"/>
  </r>
  <r>
    <n v="26796"/>
    <n v="107719.92"/>
    <d v="2023-05-16T00:00:00"/>
    <x v="95"/>
    <s v="Hong Kong"/>
    <s v="Location 5"/>
    <n v="4.0199999999999996"/>
  </r>
  <r>
    <n v="42504"/>
    <n v="1144632.72"/>
    <d v="2023-05-17T00:00:00"/>
    <x v="85"/>
    <s v="Hong Kong"/>
    <s v="Location 5"/>
    <n v="26.93"/>
  </r>
  <r>
    <n v="43848"/>
    <n v="176268.96"/>
    <d v="2023-05-17T00:00:00"/>
    <x v="95"/>
    <s v="Hong Kong"/>
    <s v="Location 5"/>
    <n v="4.0199999999999996"/>
  </r>
  <r>
    <n v="10472"/>
    <n v="282010.96000000002"/>
    <d v="2023-05-22T00:00:00"/>
    <x v="85"/>
    <s v="Hong Kong"/>
    <s v="Location 5"/>
    <n v="26.93"/>
  </r>
  <r>
    <n v="9744"/>
    <n v="39170.879999999997"/>
    <d v="2023-05-22T00:00:00"/>
    <x v="95"/>
    <s v="Hong Kong"/>
    <s v="Location 5"/>
    <n v="4.0199999999999996"/>
  </r>
  <r>
    <n v="21252"/>
    <n v="572316.36"/>
    <d v="2023-06-15T00:00:00"/>
    <x v="85"/>
    <s v="Hong Kong"/>
    <s v="Location 5"/>
    <n v="26.93"/>
  </r>
  <r>
    <n v="32340"/>
    <n v="870916.2"/>
    <d v="2023-06-15T00:00:00"/>
    <x v="85"/>
    <s v="Hong Kong"/>
    <s v="Location 5"/>
    <n v="26.93"/>
  </r>
  <r>
    <n v="21924"/>
    <n v="88134.48"/>
    <d v="2023-06-15T00:00:00"/>
    <x v="95"/>
    <s v="Hong Kong"/>
    <s v="Location 5"/>
    <n v="4.0199999999999996"/>
  </r>
  <r>
    <n v="31668"/>
    <n v="127305.36"/>
    <d v="2023-06-15T00:00:00"/>
    <x v="95"/>
    <s v="Hong Kong"/>
    <s v="Location 5"/>
    <n v="4.0199999999999996"/>
  </r>
  <r>
    <n v="9856"/>
    <n v="265422.08000000002"/>
    <d v="2023-06-28T00:00:00"/>
    <x v="85"/>
    <s v="Hong Kong"/>
    <s v="Location 5"/>
    <n v="26.93"/>
  </r>
  <r>
    <n v="9744"/>
    <n v="39170.879999999997"/>
    <d v="2023-06-28T00:00:00"/>
    <x v="95"/>
    <s v="Hong Kong"/>
    <s v="Location 5"/>
    <n v="4.0199999999999996"/>
  </r>
  <r>
    <n v="10164"/>
    <n v="273716.52"/>
    <d v="2023-07-20T00:00:00"/>
    <x v="85"/>
    <s v="Hong Kong"/>
    <s v="Location 5"/>
    <n v="26.93"/>
  </r>
  <r>
    <n v="47432"/>
    <n v="1277343.76"/>
    <d v="2023-07-20T00:00:00"/>
    <x v="85"/>
    <s v="Hong Kong"/>
    <s v="Location 5"/>
    <n v="26.93"/>
  </r>
  <r>
    <n v="9744"/>
    <n v="39170.879999999997"/>
    <d v="2023-07-20T00:00:00"/>
    <x v="95"/>
    <s v="Hong Kong"/>
    <s v="Location 5"/>
    <n v="4.0199999999999996"/>
  </r>
  <r>
    <n v="48720"/>
    <n v="195854.4"/>
    <d v="2023-07-20T00:00:00"/>
    <x v="95"/>
    <s v="Hong Kong"/>
    <s v="Location 5"/>
    <n v="4.0199999999999996"/>
  </r>
  <r>
    <n v="7392"/>
    <n v="199066.56"/>
    <d v="2023-08-03T00:00:00"/>
    <x v="85"/>
    <s v="Hong Kong"/>
    <s v="Location 5"/>
    <n v="26.93"/>
  </r>
  <r>
    <n v="4872"/>
    <n v="19585.439999999999"/>
    <d v="2023-08-03T00:00:00"/>
    <x v="95"/>
    <s v="Hong Kong"/>
    <s v="Location 5"/>
    <n v="4.0199999999999996"/>
  </r>
  <r>
    <n v="14784"/>
    <n v="398133.12"/>
    <d v="2023-08-10T00:00:00"/>
    <x v="85"/>
    <s v="Hong Kong"/>
    <s v="Location 5"/>
    <n v="26.93"/>
  </r>
  <r>
    <n v="14616"/>
    <n v="58756.32"/>
    <d v="2023-08-10T00:00:00"/>
    <x v="95"/>
    <s v="Hong Kong"/>
    <s v="Location 5"/>
    <n v="4.0199999999999996"/>
  </r>
  <r>
    <n v="44660"/>
    <n v="1202693.8"/>
    <d v="2023-08-15T00:00:00"/>
    <x v="85"/>
    <s v="Hong Kong"/>
    <s v="Location 5"/>
    <n v="26.93"/>
  </r>
  <r>
    <n v="46284"/>
    <n v="186061.68"/>
    <d v="2023-08-15T00:00:00"/>
    <x v="95"/>
    <s v="Hong Kong"/>
    <s v="Location 5"/>
    <n v="4.0199999999999996"/>
  </r>
  <r>
    <n v="11088"/>
    <n v="298599.84000000003"/>
    <d v="2023-09-05T00:00:00"/>
    <x v="85"/>
    <s v="Hong Kong"/>
    <s v="Location 5"/>
    <n v="26.93"/>
  </r>
  <r>
    <n v="9744"/>
    <n v="39170.879999999997"/>
    <d v="2023-09-05T00:00:00"/>
    <x v="95"/>
    <s v="Hong Kong"/>
    <s v="Location 5"/>
    <n v="4.0199999999999996"/>
  </r>
  <r>
    <n v="33103"/>
    <n v="408822.05"/>
    <d v="2023-02-16T00:00:00"/>
    <x v="94"/>
    <s v="Hong Kong"/>
    <s v="Location 5"/>
    <n v="12.35"/>
  </r>
  <r>
    <n v="63504"/>
    <n v="784274.4"/>
    <d v="2023-02-16T00:00:00"/>
    <x v="93"/>
    <s v="Hong Kong"/>
    <s v="Location 5"/>
    <n v="12.35"/>
  </r>
  <r>
    <n v="-33103"/>
    <n v="-408822.05"/>
    <d v="2023-02-23T00:00:00"/>
    <x v="94"/>
    <s v="Hong Kong"/>
    <s v="Location 5"/>
    <n v="12.35"/>
  </r>
  <r>
    <n v="-63504"/>
    <n v="-784274.4"/>
    <d v="2023-02-23T00:00:00"/>
    <x v="93"/>
    <s v="Hong Kong"/>
    <s v="Location 5"/>
    <n v="12.35"/>
  </r>
  <r>
    <n v="33103"/>
    <n v="408822.05"/>
    <d v="2023-02-26T00:00:00"/>
    <x v="94"/>
    <s v="Hong Kong"/>
    <s v="Location 5"/>
    <n v="12.35"/>
  </r>
  <r>
    <n v="63504"/>
    <n v="784274.4"/>
    <d v="2023-02-26T00:00:00"/>
    <x v="93"/>
    <s v="Hong Kong"/>
    <s v="Location 5"/>
    <n v="12.35"/>
  </r>
  <r>
    <n v="40320"/>
    <n v="497952"/>
    <d v="2023-03-02T00:00:00"/>
    <x v="94"/>
    <s v="Hong Kong"/>
    <s v="Location 5"/>
    <n v="12.35"/>
  </r>
  <r>
    <n v="20160"/>
    <n v="248976"/>
    <d v="2023-03-02T00:00:00"/>
    <x v="94"/>
    <s v="Hong Kong"/>
    <s v="Location 5"/>
    <n v="12.35"/>
  </r>
  <r>
    <n v="73305"/>
    <n v="905316.75"/>
    <d v="2023-03-02T00:00:00"/>
    <x v="93"/>
    <s v="Hong Kong"/>
    <s v="Location 5"/>
    <n v="12.35"/>
  </r>
  <r>
    <n v="60480"/>
    <n v="746928"/>
    <d v="2023-03-02T00:00:00"/>
    <x v="93"/>
    <s v="Hong Kong"/>
    <s v="Location 5"/>
    <n v="12.35"/>
  </r>
  <r>
    <n v="20160"/>
    <n v="248976"/>
    <d v="2023-03-08T00:00:00"/>
    <x v="94"/>
    <s v="Hong Kong"/>
    <s v="Location 5"/>
    <n v="12.35"/>
  </r>
  <r>
    <n v="33600"/>
    <n v="414960"/>
    <d v="2023-03-08T00:00:00"/>
    <x v="93"/>
    <s v="Hong Kong"/>
    <s v="Location 5"/>
    <n v="12.35"/>
  </r>
  <r>
    <n v="13440"/>
    <n v="165984"/>
    <d v="2023-03-17T00:00:00"/>
    <x v="94"/>
    <s v="Hong Kong"/>
    <s v="Location 5"/>
    <n v="12.35"/>
  </r>
  <r>
    <n v="-40320"/>
    <n v="-497952"/>
    <d v="2023-03-17T00:00:00"/>
    <x v="94"/>
    <s v="Hong Kong"/>
    <s v="Location 5"/>
    <n v="12.35"/>
  </r>
  <r>
    <n v="-20160"/>
    <n v="-248976"/>
    <d v="2023-03-17T00:00:00"/>
    <x v="94"/>
    <s v="Hong Kong"/>
    <s v="Location 5"/>
    <n v="12.35"/>
  </r>
  <r>
    <n v="-20160"/>
    <n v="-248976"/>
    <d v="2023-03-17T00:00:00"/>
    <x v="94"/>
    <s v="Hong Kong"/>
    <s v="Location 5"/>
    <n v="12.35"/>
  </r>
  <r>
    <n v="-13440"/>
    <n v="-165984"/>
    <d v="2023-03-17T00:00:00"/>
    <x v="94"/>
    <s v="Hong Kong"/>
    <s v="Location 5"/>
    <n v="12.35"/>
  </r>
  <r>
    <n v="40320"/>
    <n v="497952"/>
    <d v="2023-03-17T00:00:00"/>
    <x v="93"/>
    <s v="Hong Kong"/>
    <s v="Location 5"/>
    <n v="12.35"/>
  </r>
  <r>
    <n v="-73305"/>
    <n v="-905316.75"/>
    <d v="2023-03-17T00:00:00"/>
    <x v="93"/>
    <s v="Hong Kong"/>
    <s v="Location 5"/>
    <n v="12.35"/>
  </r>
  <r>
    <n v="-60480"/>
    <n v="-746928"/>
    <d v="2023-03-17T00:00:00"/>
    <x v="93"/>
    <s v="Hong Kong"/>
    <s v="Location 5"/>
    <n v="12.35"/>
  </r>
  <r>
    <n v="-33600"/>
    <n v="-414960"/>
    <d v="2023-03-17T00:00:00"/>
    <x v="93"/>
    <s v="Hong Kong"/>
    <s v="Location 5"/>
    <n v="12.35"/>
  </r>
  <r>
    <n v="-40320"/>
    <n v="-497952"/>
    <d v="2023-03-17T00:00:00"/>
    <x v="93"/>
    <s v="Hong Kong"/>
    <s v="Location 5"/>
    <n v="12.35"/>
  </r>
  <r>
    <n v="40320"/>
    <n v="497952"/>
    <d v="2023-03-20T00:00:00"/>
    <x v="94"/>
    <s v="Hong Kong"/>
    <s v="Location 5"/>
    <n v="12.35"/>
  </r>
  <r>
    <n v="20160"/>
    <n v="248976"/>
    <d v="2023-03-20T00:00:00"/>
    <x v="94"/>
    <s v="Hong Kong"/>
    <s v="Location 5"/>
    <n v="12.35"/>
  </r>
  <r>
    <n v="20160"/>
    <n v="248976"/>
    <d v="2023-03-20T00:00:00"/>
    <x v="94"/>
    <s v="Hong Kong"/>
    <s v="Location 5"/>
    <n v="12.35"/>
  </r>
  <r>
    <n v="13440"/>
    <n v="165984"/>
    <d v="2023-03-20T00:00:00"/>
    <x v="94"/>
    <s v="Hong Kong"/>
    <s v="Location 5"/>
    <n v="12.35"/>
  </r>
  <r>
    <n v="73305"/>
    <n v="905316.75"/>
    <d v="2023-03-20T00:00:00"/>
    <x v="93"/>
    <s v="Hong Kong"/>
    <s v="Location 5"/>
    <n v="12.35"/>
  </r>
  <r>
    <n v="60480"/>
    <n v="746928"/>
    <d v="2023-03-20T00:00:00"/>
    <x v="93"/>
    <s v="Hong Kong"/>
    <s v="Location 5"/>
    <n v="12.35"/>
  </r>
  <r>
    <n v="33600"/>
    <n v="414960"/>
    <d v="2023-03-20T00:00:00"/>
    <x v="93"/>
    <s v="Hong Kong"/>
    <s v="Location 5"/>
    <n v="12.35"/>
  </r>
  <r>
    <n v="40320"/>
    <n v="497952"/>
    <d v="2023-03-20T00:00:00"/>
    <x v="93"/>
    <s v="Hong Kong"/>
    <s v="Location 5"/>
    <n v="12.35"/>
  </r>
  <r>
    <n v="26880"/>
    <n v="331968"/>
    <d v="2023-03-22T00:00:00"/>
    <x v="94"/>
    <s v="Hong Kong"/>
    <s v="Location 5"/>
    <n v="12.35"/>
  </r>
  <r>
    <n v="26880"/>
    <n v="331968"/>
    <d v="2023-03-22T00:00:00"/>
    <x v="94"/>
    <s v="Hong Kong"/>
    <s v="Location 5"/>
    <n v="12.35"/>
  </r>
  <r>
    <n v="40320"/>
    <n v="497952"/>
    <d v="2023-03-22T00:00:00"/>
    <x v="93"/>
    <s v="Hong Kong"/>
    <s v="Location 5"/>
    <n v="12.35"/>
  </r>
  <r>
    <n v="53760"/>
    <n v="663936"/>
    <d v="2023-03-22T00:00:00"/>
    <x v="93"/>
    <s v="Hong Kong"/>
    <s v="Location 5"/>
    <n v="12.35"/>
  </r>
  <r>
    <n v="13440"/>
    <n v="165984"/>
    <d v="2023-03-31T00:00:00"/>
    <x v="94"/>
    <s v="Hong Kong"/>
    <s v="Location 5"/>
    <n v="12.35"/>
  </r>
  <r>
    <n v="33600"/>
    <n v="414960"/>
    <d v="2023-03-31T00:00:00"/>
    <x v="93"/>
    <s v="Hong Kong"/>
    <s v="Location 5"/>
    <n v="12.35"/>
  </r>
  <r>
    <n v="20160"/>
    <n v="248976"/>
    <d v="2023-04-13T00:00:00"/>
    <x v="94"/>
    <s v="Hong Kong"/>
    <s v="Location 5"/>
    <n v="12.35"/>
  </r>
  <r>
    <n v="20160"/>
    <n v="248976"/>
    <d v="2023-04-13T00:00:00"/>
    <x v="94"/>
    <s v="Hong Kong"/>
    <s v="Location 5"/>
    <n v="12.35"/>
  </r>
  <r>
    <n v="40320"/>
    <n v="497952"/>
    <d v="2023-04-13T00:00:00"/>
    <x v="93"/>
    <s v="Hong Kong"/>
    <s v="Location 5"/>
    <n v="12.35"/>
  </r>
  <r>
    <n v="33600"/>
    <n v="414960"/>
    <d v="2023-04-13T00:00:00"/>
    <x v="93"/>
    <s v="Hong Kong"/>
    <s v="Location 5"/>
    <n v="12.35"/>
  </r>
  <r>
    <n v="13440"/>
    <n v="165984"/>
    <d v="2023-04-25T00:00:00"/>
    <x v="94"/>
    <s v="Hong Kong"/>
    <s v="Location 5"/>
    <n v="12.35"/>
  </r>
  <r>
    <n v="26880"/>
    <n v="331968"/>
    <d v="2023-04-25T00:00:00"/>
    <x v="93"/>
    <s v="Hong Kong"/>
    <s v="Location 5"/>
    <n v="12.35"/>
  </r>
  <r>
    <n v="26880"/>
    <n v="331968"/>
    <d v="2023-04-27T00:00:00"/>
    <x v="94"/>
    <s v="Hong Kong"/>
    <s v="Location 5"/>
    <n v="12.35"/>
  </r>
  <r>
    <n v="47040"/>
    <n v="580944"/>
    <d v="2023-04-27T00:00:00"/>
    <x v="93"/>
    <s v="Hong Kong"/>
    <s v="Location 5"/>
    <n v="12.35"/>
  </r>
  <r>
    <n v="26880"/>
    <n v="331968"/>
    <d v="2023-05-05T00:00:00"/>
    <x v="94"/>
    <s v="Hong Kong"/>
    <s v="Location 5"/>
    <n v="12.35"/>
  </r>
  <r>
    <n v="60480"/>
    <n v="746928"/>
    <d v="2023-05-05T00:00:00"/>
    <x v="93"/>
    <s v="Hong Kong"/>
    <s v="Location 5"/>
    <n v="12.35"/>
  </r>
  <r>
    <n v="26880"/>
    <n v="331968"/>
    <d v="2023-05-16T00:00:00"/>
    <x v="94"/>
    <s v="Hong Kong"/>
    <s v="Location 5"/>
    <n v="12.35"/>
  </r>
  <r>
    <n v="53760"/>
    <n v="663936"/>
    <d v="2023-05-16T00:00:00"/>
    <x v="93"/>
    <s v="Hong Kong"/>
    <s v="Location 5"/>
    <n v="12.35"/>
  </r>
  <r>
    <n v="26880"/>
    <n v="331968"/>
    <d v="2023-05-17T00:00:00"/>
    <x v="94"/>
    <s v="Hong Kong"/>
    <s v="Location 5"/>
    <n v="12.35"/>
  </r>
  <r>
    <n v="67200"/>
    <n v="829920"/>
    <d v="2023-05-17T00:00:00"/>
    <x v="93"/>
    <s v="Hong Kong"/>
    <s v="Location 5"/>
    <n v="12.35"/>
  </r>
  <r>
    <n v="20160"/>
    <n v="248976"/>
    <d v="2023-05-22T00:00:00"/>
    <x v="94"/>
    <s v="Hong Kong"/>
    <s v="Location 5"/>
    <n v="12.35"/>
  </r>
  <r>
    <n v="33600"/>
    <n v="414960"/>
    <d v="2023-05-22T00:00:00"/>
    <x v="93"/>
    <s v="Hong Kong"/>
    <s v="Location 5"/>
    <n v="12.35"/>
  </r>
  <r>
    <n v="20160"/>
    <n v="248976"/>
    <d v="2023-06-15T00:00:00"/>
    <x v="94"/>
    <s v="Hong Kong"/>
    <s v="Location 5"/>
    <n v="12.35"/>
  </r>
  <r>
    <n v="6720"/>
    <n v="82992"/>
    <d v="2023-06-15T00:00:00"/>
    <x v="94"/>
    <s v="Hong Kong"/>
    <s v="Location 5"/>
    <n v="12.35"/>
  </r>
  <r>
    <n v="40320"/>
    <n v="497952"/>
    <d v="2023-06-15T00:00:00"/>
    <x v="93"/>
    <s v="Hong Kong"/>
    <s v="Location 5"/>
    <n v="12.35"/>
  </r>
  <r>
    <n v="26880"/>
    <n v="331968"/>
    <d v="2023-06-15T00:00:00"/>
    <x v="93"/>
    <s v="Hong Kong"/>
    <s v="Location 5"/>
    <n v="12.35"/>
  </r>
  <r>
    <n v="13440"/>
    <n v="165984"/>
    <d v="2023-06-28T00:00:00"/>
    <x v="94"/>
    <s v="Hong Kong"/>
    <s v="Location 5"/>
    <n v="12.35"/>
  </r>
  <r>
    <n v="26880"/>
    <n v="331968"/>
    <d v="2023-06-28T00:00:00"/>
    <x v="93"/>
    <s v="Hong Kong"/>
    <s v="Location 5"/>
    <n v="12.35"/>
  </r>
  <r>
    <n v="6300"/>
    <n v="77805"/>
    <d v="2023-07-19T00:00:00"/>
    <x v="94"/>
    <s v="Hong Kong"/>
    <s v="Location 5"/>
    <n v="12.35"/>
  </r>
  <r>
    <n v="26880"/>
    <n v="331968"/>
    <d v="2023-07-20T00:00:00"/>
    <x v="94"/>
    <s v="Hong Kong"/>
    <s v="Location 5"/>
    <n v="12.35"/>
  </r>
  <r>
    <n v="20160"/>
    <n v="248976"/>
    <d v="2023-07-20T00:00:00"/>
    <x v="94"/>
    <s v="Hong Kong"/>
    <s v="Location 5"/>
    <n v="12.35"/>
  </r>
  <r>
    <n v="33600"/>
    <n v="414960"/>
    <d v="2023-07-20T00:00:00"/>
    <x v="93"/>
    <s v="Hong Kong"/>
    <s v="Location 5"/>
    <n v="12.35"/>
  </r>
  <r>
    <n v="80640"/>
    <n v="995904"/>
    <d v="2023-07-20T00:00:00"/>
    <x v="93"/>
    <s v="Hong Kong"/>
    <s v="Location 5"/>
    <n v="12.35"/>
  </r>
  <r>
    <n v="4900"/>
    <n v="60515"/>
    <d v="2023-07-28T00:00:00"/>
    <x v="94"/>
    <s v="Hong Kong"/>
    <s v="Location 5"/>
    <n v="12.35"/>
  </r>
  <r>
    <n v="13440"/>
    <n v="165984"/>
    <d v="2023-08-03T00:00:00"/>
    <x v="93"/>
    <s v="Hong Kong"/>
    <s v="Location 5"/>
    <n v="12.35"/>
  </r>
  <r>
    <n v="31948"/>
    <n v="394557.8"/>
    <d v="2023-08-09T00:00:00"/>
    <x v="94"/>
    <s v="Hong Kong"/>
    <s v="Location 5"/>
    <n v="12.35"/>
  </r>
  <r>
    <n v="47040"/>
    <n v="580944"/>
    <d v="2023-08-10T00:00:00"/>
    <x v="93"/>
    <s v="Hong Kong"/>
    <s v="Location 5"/>
    <n v="12.35"/>
  </r>
  <r>
    <n v="47628"/>
    <n v="588205.80000000005"/>
    <d v="2023-08-14T00:00:00"/>
    <x v="94"/>
    <s v="Hong Kong"/>
    <s v="Location 5"/>
    <n v="12.35"/>
  </r>
  <r>
    <n v="80500"/>
    <n v="994175"/>
    <d v="2023-08-14T00:00:00"/>
    <x v="93"/>
    <s v="Hong Kong"/>
    <s v="Location 5"/>
    <n v="12.35"/>
  </r>
  <r>
    <n v="6720"/>
    <n v="82992"/>
    <d v="2023-08-15T00:00:00"/>
    <x v="93"/>
    <s v="Hong Kong"/>
    <s v="Location 5"/>
    <n v="12.35"/>
  </r>
  <r>
    <n v="4116"/>
    <n v="50832.6"/>
    <d v="2023-09-11T00:00:00"/>
    <x v="94"/>
    <s v="Hong Kong"/>
    <s v="Location 5"/>
    <n v="12.35"/>
  </r>
  <r>
    <n v="14896"/>
    <n v="183965.6"/>
    <d v="2023-09-11T00:00:00"/>
    <x v="93"/>
    <s v="Hong Kong"/>
    <s v="Location 5"/>
    <n v="12.35"/>
  </r>
  <r>
    <n v="29"/>
    <n v="130726.2"/>
    <d v="2022-05-05T00:00:00"/>
    <x v="11"/>
    <s v="Canada"/>
    <s v="Location 18"/>
    <n v="4507.8"/>
  </r>
  <r>
    <n v="6"/>
    <n v="27046.799999999999"/>
    <d v="2022-04-27T00:00:00"/>
    <x v="11"/>
    <s v="Canada"/>
    <s v="Location 18"/>
    <n v="4507.8"/>
  </r>
  <r>
    <n v="35"/>
    <n v="197216.25"/>
    <d v="2021-11-04T00:00:00"/>
    <x v="73"/>
    <s v="Canada"/>
    <s v="Location 18"/>
    <n v="5634.75"/>
  </r>
  <r>
    <n v="84"/>
    <n v="20061.72"/>
    <d v="2023-01-20T00:00:00"/>
    <x v="71"/>
    <s v="USA"/>
    <s v="Location 26"/>
    <n v="238.83"/>
  </r>
  <r>
    <n v="13720"/>
    <n v="5903.72"/>
    <d v="2022-08-15T00:00:00"/>
    <x v="89"/>
    <s v="Italy"/>
    <s v="Location 9"/>
    <n v="0.43030000000000002"/>
  </r>
  <r>
    <n v="378"/>
    <n v="13218.66"/>
    <d v="2023-08-16T00:00:00"/>
    <x v="101"/>
    <s v="China"/>
    <s v="Location 10"/>
    <n v="34.97"/>
  </r>
  <r>
    <n v="189"/>
    <n v="6265.35"/>
    <d v="2022-08-17T00:00:00"/>
    <x v="101"/>
    <s v="China"/>
    <s v="Location 10"/>
    <n v="33.15"/>
  </r>
  <r>
    <n v="189"/>
    <n v="6265.35"/>
    <d v="2022-08-17T00:00:00"/>
    <x v="101"/>
    <s v="China"/>
    <s v="Location 10"/>
    <n v="33.15"/>
  </r>
  <r>
    <n v="78"/>
    <n v="2585.6999999999998"/>
    <d v="2022-08-18T00:00:00"/>
    <x v="101"/>
    <s v="China"/>
    <s v="Location 10"/>
    <n v="33.15"/>
  </r>
  <r>
    <n v="189"/>
    <n v="6609.33"/>
    <d v="2023-08-22T00:00:00"/>
    <x v="101"/>
    <s v="China"/>
    <s v="Location 10"/>
    <n v="34.97"/>
  </r>
  <r>
    <n v="189"/>
    <n v="6265.35"/>
    <d v="2022-09-13T00:00:00"/>
    <x v="101"/>
    <s v="China"/>
    <s v="Location 10"/>
    <n v="33.15"/>
  </r>
  <r>
    <n v="111"/>
    <n v="3679.65"/>
    <d v="2022-09-13T00:00:00"/>
    <x v="101"/>
    <s v="China"/>
    <s v="Location 10"/>
    <n v="33.15"/>
  </r>
  <r>
    <n v="78"/>
    <n v="2585.6999999999998"/>
    <d v="2022-09-14T00:00:00"/>
    <x v="101"/>
    <s v="China"/>
    <s v="Location 10"/>
    <n v="33.15"/>
  </r>
  <r>
    <n v="630"/>
    <n v="5701.5"/>
    <d v="2022-10-03T00:00:00"/>
    <x v="102"/>
    <s v="China"/>
    <s v="Location 10"/>
    <n v="9.0500000000000007"/>
  </r>
  <r>
    <n v="630"/>
    <n v="5701.5"/>
    <d v="2022-10-03T00:00:00"/>
    <x v="102"/>
    <s v="China"/>
    <s v="Location 10"/>
    <n v="9.0500000000000007"/>
  </r>
  <r>
    <n v="630"/>
    <n v="5701.5"/>
    <d v="2022-10-03T00:00:00"/>
    <x v="102"/>
    <s v="China"/>
    <s v="Location 10"/>
    <n v="9.0500000000000007"/>
  </r>
  <r>
    <n v="630"/>
    <n v="5701.5"/>
    <d v="2022-10-03T00:00:00"/>
    <x v="102"/>
    <s v="China"/>
    <s v="Location 10"/>
    <n v="9.0500000000000007"/>
  </r>
  <r>
    <n v="860"/>
    <n v="45072.6"/>
    <d v="2022-10-05T00:00:00"/>
    <x v="49"/>
    <s v="India"/>
    <s v="Location 7"/>
    <n v="52.41"/>
  </r>
  <r>
    <n v="260"/>
    <n v="13626.6"/>
    <d v="2022-10-05T00:00:00"/>
    <x v="49"/>
    <s v="India"/>
    <s v="Location 7"/>
    <n v="52.41"/>
  </r>
  <r>
    <n v="1120"/>
    <n v="58699.199999999997"/>
    <d v="2022-10-05T00:00:00"/>
    <x v="49"/>
    <s v="India"/>
    <s v="Location 7"/>
    <n v="52.41"/>
  </r>
  <r>
    <n v="588"/>
    <n v="54666.36"/>
    <d v="2022-10-05T00:00:00"/>
    <x v="18"/>
    <s v="India"/>
    <s v="Location 7"/>
    <n v="92.97"/>
  </r>
  <r>
    <n v="630"/>
    <n v="5701.5"/>
    <d v="2022-10-07T00:00:00"/>
    <x v="102"/>
    <s v="China"/>
    <s v="Location 10"/>
    <n v="9.0500000000000007"/>
  </r>
  <r>
    <n v="6860"/>
    <n v="2951.86"/>
    <d v="2022-10-18T00:00:00"/>
    <x v="89"/>
    <s v="Italy"/>
    <s v="Location 9"/>
    <n v="0.43030000000000002"/>
  </r>
  <r>
    <n v="3430"/>
    <n v="1475.93"/>
    <d v="2022-01-14T00:00:00"/>
    <x v="89"/>
    <s v="Hungary"/>
    <s v="Location 23"/>
    <n v="0.43030000000000002"/>
  </r>
  <r>
    <n v="3430"/>
    <n v="1475.93"/>
    <d v="2022-01-14T00:00:00"/>
    <x v="89"/>
    <s v="Hungary"/>
    <s v="Location 23"/>
    <n v="0.43030000000000002"/>
  </r>
  <r>
    <n v="3430"/>
    <n v="1475.93"/>
    <d v="2022-01-14T00:00:00"/>
    <x v="89"/>
    <s v="Hungary"/>
    <s v="Location 23"/>
    <n v="0.43030000000000002"/>
  </r>
  <r>
    <n v="504"/>
    <n v="22478.400000000001"/>
    <d v="2022-01-14T00:00:00"/>
    <x v="103"/>
    <s v="Hungary"/>
    <s v="Location 23"/>
    <n v="44.6"/>
  </r>
  <r>
    <n v="300"/>
    <n v="10491"/>
    <d v="2023-01-18T00:00:00"/>
    <x v="101"/>
    <s v="China"/>
    <s v="Location 10"/>
    <n v="34.97"/>
  </r>
  <r>
    <n v="189"/>
    <n v="6609.33"/>
    <d v="2023-01-18T00:00:00"/>
    <x v="101"/>
    <s v="China"/>
    <s v="Location 10"/>
    <n v="34.97"/>
  </r>
  <r>
    <n v="140"/>
    <n v="2214.8000000000002"/>
    <d v="2022-10-18T00:00:00"/>
    <x v="104"/>
    <s v="Italy"/>
    <s v="Location 9"/>
    <n v="15.82"/>
  </r>
  <r>
    <n v="5000"/>
    <n v="74800"/>
    <d v="2022-10-18T00:00:00"/>
    <x v="105"/>
    <s v="Italy"/>
    <s v="Location 9"/>
    <n v="14.96"/>
  </r>
  <r>
    <n v="5000"/>
    <n v="74800"/>
    <d v="2022-10-18T00:00:00"/>
    <x v="105"/>
    <s v="Italy"/>
    <s v="Location 9"/>
    <n v="14.96"/>
  </r>
  <r>
    <n v="5000"/>
    <n v="74800"/>
    <d v="2022-10-18T00:00:00"/>
    <x v="105"/>
    <s v="Italy"/>
    <s v="Location 9"/>
    <n v="14.96"/>
  </r>
  <r>
    <n v="260"/>
    <n v="3608.8"/>
    <d v="2022-11-01T00:00:00"/>
    <x v="42"/>
    <s v="India"/>
    <s v="Location 7"/>
    <n v="13.88"/>
  </r>
  <r>
    <n v="2646"/>
    <n v="11721.78"/>
    <d v="2022-11-14T00:00:00"/>
    <x v="106"/>
    <s v="Italy"/>
    <s v="Location 9"/>
    <n v="4.43"/>
  </r>
  <r>
    <n v="65"/>
    <n v="2154.75"/>
    <d v="2021-11-30T00:00:00"/>
    <x v="101"/>
    <s v="China"/>
    <s v="Location 10"/>
    <n v="33.15"/>
  </r>
  <r>
    <n v="5000"/>
    <n v="74800"/>
    <d v="2022-12-01T00:00:00"/>
    <x v="105"/>
    <s v="Italy"/>
    <s v="Location 9"/>
    <n v="14.96"/>
  </r>
  <r>
    <n v="70"/>
    <n v="13797"/>
    <d v="2023-01-26T00:00:00"/>
    <x v="107"/>
    <s v="China"/>
    <s v="Location 10"/>
    <n v="197.1"/>
  </r>
  <r>
    <n v="630"/>
    <n v="5701.5"/>
    <d v="2022-12-14T00:00:00"/>
    <x v="102"/>
    <s v="China"/>
    <s v="Location 10"/>
    <n v="9.0500000000000007"/>
  </r>
  <r>
    <n v="630"/>
    <n v="5701.5"/>
    <d v="2022-12-21T00:00:00"/>
    <x v="102"/>
    <s v="China"/>
    <s v="Location 10"/>
    <n v="9.0500000000000007"/>
  </r>
  <r>
    <n v="147"/>
    <n v="59418.87"/>
    <d v="2022-12-29T00:00:00"/>
    <x v="108"/>
    <s v="Hong Kong"/>
    <s v="Location 12"/>
    <n v="404.21"/>
  </r>
  <r>
    <n v="2646"/>
    <n v="15029.28"/>
    <d v="2023-02-02T00:00:00"/>
    <x v="106"/>
    <s v="China"/>
    <s v="Location 10"/>
    <n v="5.68"/>
  </r>
  <r>
    <n v="1930"/>
    <n v="25688.3"/>
    <d v="2023-02-02T00:00:00"/>
    <x v="86"/>
    <s v="Italy"/>
    <s v="Location 9"/>
    <n v="13.31"/>
  </r>
  <r>
    <n v="189"/>
    <n v="6609.33"/>
    <d v="2023-02-08T00:00:00"/>
    <x v="101"/>
    <s v="China"/>
    <s v="Location 10"/>
    <n v="34.97"/>
  </r>
  <r>
    <n v="378"/>
    <n v="13218.66"/>
    <d v="2023-02-08T00:00:00"/>
    <x v="101"/>
    <s v="China"/>
    <s v="Location 10"/>
    <n v="34.97"/>
  </r>
  <r>
    <n v="378"/>
    <n v="13218.66"/>
    <d v="2023-02-08T00:00:00"/>
    <x v="101"/>
    <s v="China"/>
    <s v="Location 10"/>
    <n v="34.97"/>
  </r>
  <r>
    <n v="189"/>
    <n v="6609.33"/>
    <d v="2023-02-08T00:00:00"/>
    <x v="101"/>
    <s v="China"/>
    <s v="Location 10"/>
    <n v="34.97"/>
  </r>
  <r>
    <n v="189"/>
    <n v="6609.33"/>
    <d v="2023-02-08T00:00:00"/>
    <x v="101"/>
    <s v="China"/>
    <s v="Location 10"/>
    <n v="34.97"/>
  </r>
  <r>
    <n v="189"/>
    <n v="6609.33"/>
    <d v="2023-02-08T00:00:00"/>
    <x v="101"/>
    <s v="China"/>
    <s v="Location 10"/>
    <n v="34.97"/>
  </r>
  <r>
    <n v="189"/>
    <n v="6609.33"/>
    <d v="2023-02-08T00:00:00"/>
    <x v="101"/>
    <s v="China"/>
    <s v="Location 10"/>
    <n v="34.97"/>
  </r>
  <r>
    <n v="354"/>
    <n v="2010.72"/>
    <d v="2023-02-09T00:00:00"/>
    <x v="106"/>
    <s v="China"/>
    <s v="Location 10"/>
    <n v="5.68"/>
  </r>
  <r>
    <n v="630"/>
    <n v="271.08999999999997"/>
    <d v="2022-02-11T00:00:00"/>
    <x v="89"/>
    <s v="Hungary"/>
    <s v="Location 23"/>
    <n v="0.43030000000000002"/>
  </r>
  <r>
    <n v="280"/>
    <n v="4429.6000000000004"/>
    <d v="2023-02-16T00:00:00"/>
    <x v="104"/>
    <s v="Italy"/>
    <s v="Location 9"/>
    <n v="15.82"/>
  </r>
  <r>
    <n v="5000"/>
    <n v="74800"/>
    <d v="2023-02-16T00:00:00"/>
    <x v="105"/>
    <s v="Italy"/>
    <s v="Location 9"/>
    <n v="14.96"/>
  </r>
  <r>
    <n v="1640"/>
    <n v="25944.799999999999"/>
    <d v="2023-02-17T00:00:00"/>
    <x v="104"/>
    <s v="Italy"/>
    <s v="Location 9"/>
    <n v="15.82"/>
  </r>
  <r>
    <n v="498"/>
    <n v="6628.38"/>
    <d v="2023-02-17T00:00:00"/>
    <x v="86"/>
    <s v="Italy"/>
    <s v="Location 9"/>
    <n v="13.31"/>
  </r>
  <r>
    <n v="3780"/>
    <n v="52466.400000000001"/>
    <d v="2023-02-20T00:00:00"/>
    <x v="42"/>
    <s v="Hong Kong"/>
    <s v="Location 12"/>
    <n v="13.88"/>
  </r>
  <r>
    <n v="147"/>
    <n v="76212.149999999994"/>
    <d v="2023-02-20T00:00:00"/>
    <x v="108"/>
    <s v="Hong Kong"/>
    <s v="Location 12"/>
    <n v="518.45000000000005"/>
  </r>
  <r>
    <n v="84"/>
    <n v="3471.72"/>
    <d v="2023-02-20T00:00:00"/>
    <x v="109"/>
    <s v="Hong Kong"/>
    <s v="Location 12"/>
    <n v="41.33"/>
  </r>
  <r>
    <n v="7938"/>
    <n v="33180.839999999997"/>
    <d v="2022-02-23T00:00:00"/>
    <x v="110"/>
    <s v="Italy"/>
    <s v="Location 9"/>
    <n v="4.18"/>
  </r>
  <r>
    <n v="189"/>
    <n v="6609.33"/>
    <d v="2023-02-23T00:00:00"/>
    <x v="101"/>
    <s v="China"/>
    <s v="Location 10"/>
    <n v="34.97"/>
  </r>
  <r>
    <n v="252"/>
    <n v="17481.240000000002"/>
    <d v="2023-03-07T00:00:00"/>
    <x v="46"/>
    <s v="India"/>
    <s v="Location 7"/>
    <n v="69.37"/>
  </r>
  <r>
    <n v="360"/>
    <n v="2606.4"/>
    <d v="2022-03-11T00:00:00"/>
    <x v="111"/>
    <s v="Hungary"/>
    <s v="Location 23"/>
    <n v="7.24"/>
  </r>
  <r>
    <n v="140"/>
    <n v="46452"/>
    <d v="2023-03-13T00:00:00"/>
    <x v="112"/>
    <s v="Hong Kong"/>
    <s v="Location 12"/>
    <n v="331.8"/>
  </r>
  <r>
    <n v="588"/>
    <n v="57953.279999999999"/>
    <d v="2023-03-15T00:00:00"/>
    <x v="18"/>
    <s v="India"/>
    <s v="Location 7"/>
    <n v="98.56"/>
  </r>
  <r>
    <n v="560"/>
    <n v="9340.7999999999993"/>
    <d v="2023-03-16T00:00:00"/>
    <x v="104"/>
    <s v="Italy"/>
    <s v="Location 9"/>
    <n v="16.68"/>
  </r>
  <r>
    <n v="630"/>
    <n v="6016.5"/>
    <d v="2023-03-21T00:00:00"/>
    <x v="102"/>
    <s v="China"/>
    <s v="Location 10"/>
    <n v="9.5500000000000007"/>
  </r>
  <r>
    <n v="588"/>
    <n v="32728.080000000002"/>
    <d v="2023-03-21T00:00:00"/>
    <x v="113"/>
    <s v="Hong Kong"/>
    <s v="Location 12"/>
    <n v="55.66"/>
  </r>
  <r>
    <n v="588"/>
    <n v="57953.279999999999"/>
    <d v="2023-03-21T00:00:00"/>
    <x v="18"/>
    <s v="India"/>
    <s v="Location 7"/>
    <n v="98.56"/>
  </r>
  <r>
    <n v="1323"/>
    <n v="3241.35"/>
    <d v="2022-03-25T00:00:00"/>
    <x v="88"/>
    <s v="Italy"/>
    <s v="Location 9"/>
    <n v="2.4500000000000002"/>
  </r>
  <r>
    <n v="189"/>
    <n v="6265.35"/>
    <d v="2022-04-12T00:00:00"/>
    <x v="101"/>
    <s v="China"/>
    <s v="Location 10"/>
    <n v="33.15"/>
  </r>
  <r>
    <n v="945"/>
    <n v="31326.75"/>
    <d v="2022-04-12T00:00:00"/>
    <x v="101"/>
    <s v="China"/>
    <s v="Location 10"/>
    <n v="33.15"/>
  </r>
  <r>
    <n v="378"/>
    <n v="12530.7"/>
    <d v="2022-04-12T00:00:00"/>
    <x v="101"/>
    <s v="China"/>
    <s v="Location 10"/>
    <n v="33.15"/>
  </r>
  <r>
    <n v="189"/>
    <n v="6265.35"/>
    <d v="2022-04-12T00:00:00"/>
    <x v="101"/>
    <s v="China"/>
    <s v="Location 10"/>
    <n v="33.15"/>
  </r>
  <r>
    <n v="189"/>
    <n v="6265.35"/>
    <d v="2022-04-12T00:00:00"/>
    <x v="101"/>
    <s v="China"/>
    <s v="Location 10"/>
    <n v="33.15"/>
  </r>
  <r>
    <n v="588"/>
    <n v="57953.279999999999"/>
    <d v="2023-04-19T00:00:00"/>
    <x v="18"/>
    <s v="India"/>
    <s v="Location 7"/>
    <n v="98.56"/>
  </r>
  <r>
    <n v="128000"/>
    <n v="3929.6"/>
    <d v="2022-04-28T00:00:00"/>
    <x v="114"/>
    <s v="China"/>
    <s v="Location 10"/>
    <n v="3.0700000000000002E-2"/>
  </r>
  <r>
    <n v="124"/>
    <n v="4110.6000000000004"/>
    <d v="2022-04-28T00:00:00"/>
    <x v="101"/>
    <s v="China"/>
    <s v="Location 10"/>
    <n v="33.15"/>
  </r>
  <r>
    <n v="13720"/>
    <n v="5903.72"/>
    <d v="2022-04-28T00:00:00"/>
    <x v="89"/>
    <s v="Italy"/>
    <s v="Location 9"/>
    <n v="0.43030000000000002"/>
  </r>
  <r>
    <n v="2520"/>
    <n v="34977.599999999999"/>
    <d v="2022-05-17T00:00:00"/>
    <x v="42"/>
    <s v="India"/>
    <s v="Location 7"/>
    <n v="13.88"/>
  </r>
  <r>
    <n v="1000"/>
    <n v="13880"/>
    <d v="2022-05-17T00:00:00"/>
    <x v="42"/>
    <s v="India"/>
    <s v="Location 7"/>
    <n v="13.88"/>
  </r>
  <r>
    <n v="1120"/>
    <n v="58699.199999999997"/>
    <d v="2022-05-19T00:00:00"/>
    <x v="49"/>
    <s v="India"/>
    <s v="Location 7"/>
    <n v="52.41"/>
  </r>
  <r>
    <n v="588"/>
    <n v="57953.279999999999"/>
    <d v="2023-05-23T00:00:00"/>
    <x v="18"/>
    <s v="India"/>
    <s v="Location 7"/>
    <n v="98.56"/>
  </r>
  <r>
    <n v="588"/>
    <n v="57953.279999999999"/>
    <d v="2023-05-23T00:00:00"/>
    <x v="18"/>
    <s v="India"/>
    <s v="Location 7"/>
    <n v="98.56"/>
  </r>
  <r>
    <n v="2924"/>
    <n v="43743.040000000001"/>
    <d v="2022-05-27T00:00:00"/>
    <x v="105"/>
    <s v="Italy"/>
    <s v="Location 9"/>
    <n v="14.96"/>
  </r>
  <r>
    <n v="280"/>
    <n v="4670.3999999999996"/>
    <d v="2023-05-29T00:00:00"/>
    <x v="104"/>
    <s v="Italy"/>
    <s v="Location 9"/>
    <n v="16.68"/>
  </r>
  <r>
    <n v="143"/>
    <n v="2139.2800000000002"/>
    <d v="2022-05-30T00:00:00"/>
    <x v="105"/>
    <s v="Italy"/>
    <s v="Location 9"/>
    <n v="14.96"/>
  </r>
  <r>
    <n v="189"/>
    <n v="6609.33"/>
    <d v="2023-05-31T00:00:00"/>
    <x v="101"/>
    <s v="China"/>
    <s v="Location 10"/>
    <n v="34.97"/>
  </r>
  <r>
    <n v="189"/>
    <n v="6609.33"/>
    <d v="2023-05-31T00:00:00"/>
    <x v="101"/>
    <s v="China"/>
    <s v="Location 10"/>
    <n v="34.97"/>
  </r>
  <r>
    <n v="3520"/>
    <n v="51779.199999999997"/>
    <d v="2023-06-13T00:00:00"/>
    <x v="42"/>
    <s v="India"/>
    <s v="Location 7"/>
    <n v="14.71"/>
  </r>
  <r>
    <n v="260"/>
    <n v="3824.6"/>
    <d v="2023-06-13T00:00:00"/>
    <x v="42"/>
    <s v="India"/>
    <s v="Location 7"/>
    <n v="14.71"/>
  </r>
  <r>
    <n v="630"/>
    <n v="5071.5"/>
    <d v="2022-06-14T00:00:00"/>
    <x v="115"/>
    <s v="Hong Kong"/>
    <s v="Location 12"/>
    <n v="8.0500000000000007"/>
  </r>
  <r>
    <n v="2846"/>
    <n v="16165.28"/>
    <d v="2023-06-15T00:00:00"/>
    <x v="106"/>
    <s v="Italy"/>
    <s v="Location 9"/>
    <n v="5.68"/>
  </r>
  <r>
    <n v="280"/>
    <n v="4429.6000000000004"/>
    <d v="2022-06-21T00:00:00"/>
    <x v="104"/>
    <s v="Italy"/>
    <s v="Location 9"/>
    <n v="15.82"/>
  </r>
  <r>
    <n v="630"/>
    <n v="6016.5"/>
    <d v="2023-06-21T00:00:00"/>
    <x v="102"/>
    <s v="China"/>
    <s v="Location 10"/>
    <n v="9.5500000000000007"/>
  </r>
  <r>
    <n v="588"/>
    <n v="57953.279999999999"/>
    <d v="2023-06-21T00:00:00"/>
    <x v="18"/>
    <s v="India"/>
    <s v="Location 7"/>
    <n v="98.56"/>
  </r>
  <r>
    <n v="588"/>
    <n v="57953.279999999999"/>
    <d v="2023-06-21T00:00:00"/>
    <x v="18"/>
    <s v="India"/>
    <s v="Location 7"/>
    <n v="98.56"/>
  </r>
  <r>
    <n v="588"/>
    <n v="57953.279999999999"/>
    <d v="2023-06-21T00:00:00"/>
    <x v="18"/>
    <s v="India"/>
    <s v="Location 7"/>
    <n v="98.56"/>
  </r>
  <r>
    <n v="1384"/>
    <n v="22296.240000000002"/>
    <d v="2023-06-23T00:00:00"/>
    <x v="86"/>
    <s v="Italy"/>
    <s v="Location 9"/>
    <n v="16.11"/>
  </r>
  <r>
    <n v="189"/>
    <n v="6609.33"/>
    <d v="2023-06-28T00:00:00"/>
    <x v="101"/>
    <s v="China"/>
    <s v="Location 10"/>
    <n v="34.97"/>
  </r>
  <r>
    <n v="189"/>
    <n v="6609.33"/>
    <d v="2023-06-28T00:00:00"/>
    <x v="101"/>
    <s v="China"/>
    <s v="Location 10"/>
    <n v="34.97"/>
  </r>
  <r>
    <n v="1480"/>
    <n v="3285.6"/>
    <d v="2023-06-28T00:00:00"/>
    <x v="116"/>
    <s v="Italy"/>
    <s v="Location 9"/>
    <n v="2.2200000000000002"/>
  </r>
  <r>
    <n v="1950"/>
    <n v="4329"/>
    <d v="2023-06-28T00:00:00"/>
    <x v="116"/>
    <s v="Italy"/>
    <s v="Location 9"/>
    <n v="2.2200000000000002"/>
  </r>
  <r>
    <n v="3969"/>
    <n v="9724.0499999999993"/>
    <d v="2023-06-29T00:00:00"/>
    <x v="88"/>
    <s v="Italy"/>
    <s v="Location 9"/>
    <n v="2.4500000000000002"/>
  </r>
  <r>
    <n v="189"/>
    <n v="6265.35"/>
    <d v="2022-06-30T00:00:00"/>
    <x v="101"/>
    <s v="China"/>
    <s v="Location 10"/>
    <n v="33.15"/>
  </r>
  <r>
    <n v="189"/>
    <n v="6265.35"/>
    <d v="2022-06-30T00:00:00"/>
    <x v="101"/>
    <s v="China"/>
    <s v="Location 10"/>
    <n v="33.15"/>
  </r>
  <r>
    <n v="189"/>
    <n v="6265.35"/>
    <d v="2022-06-30T00:00:00"/>
    <x v="101"/>
    <s v="China"/>
    <s v="Location 10"/>
    <n v="33.15"/>
  </r>
  <r>
    <n v="5292"/>
    <n v="13653.36"/>
    <d v="2023-07-11T00:00:00"/>
    <x v="88"/>
    <s v="Italy"/>
    <s v="Location 9"/>
    <n v="2.58"/>
  </r>
  <r>
    <n v="189"/>
    <n v="6265.35"/>
    <d v="2022-07-12T00:00:00"/>
    <x v="101"/>
    <s v="China"/>
    <s v="Location 10"/>
    <n v="33.15"/>
  </r>
  <r>
    <n v="189"/>
    <n v="6265.35"/>
    <d v="2022-07-12T00:00:00"/>
    <x v="101"/>
    <s v="China"/>
    <s v="Location 10"/>
    <n v="33.15"/>
  </r>
  <r>
    <n v="189"/>
    <n v="6265.35"/>
    <d v="2022-07-12T00:00:00"/>
    <x v="101"/>
    <s v="China"/>
    <s v="Location 10"/>
    <n v="33.15"/>
  </r>
  <r>
    <n v="189"/>
    <n v="6265.35"/>
    <d v="2022-07-12T00:00:00"/>
    <x v="101"/>
    <s v="China"/>
    <s v="Location 10"/>
    <n v="33.15"/>
  </r>
  <r>
    <n v="189"/>
    <n v="6265.35"/>
    <d v="2022-07-12T00:00:00"/>
    <x v="101"/>
    <s v="China"/>
    <s v="Location 10"/>
    <n v="33.15"/>
  </r>
  <r>
    <n v="189"/>
    <n v="6265.35"/>
    <d v="2022-07-12T00:00:00"/>
    <x v="101"/>
    <s v="China"/>
    <s v="Location 10"/>
    <n v="33.15"/>
  </r>
  <r>
    <n v="189"/>
    <n v="6265.35"/>
    <d v="2022-07-12T00:00:00"/>
    <x v="101"/>
    <s v="China"/>
    <s v="Location 10"/>
    <n v="33.15"/>
  </r>
  <r>
    <n v="10000"/>
    <n v="149600"/>
    <d v="2022-07-12T00:00:00"/>
    <x v="105"/>
    <s v="Italy"/>
    <s v="Location 9"/>
    <n v="14.96"/>
  </r>
  <r>
    <n v="5000"/>
    <n v="74800"/>
    <d v="2022-07-12T00:00:00"/>
    <x v="105"/>
    <s v="Italy"/>
    <s v="Location 9"/>
    <n v="14.96"/>
  </r>
  <r>
    <n v="180"/>
    <n v="2847.6"/>
    <d v="2022-07-14T00:00:00"/>
    <x v="104"/>
    <s v="Italy"/>
    <s v="Location 9"/>
    <n v="15.82"/>
  </r>
  <r>
    <n v="588"/>
    <n v="57953.279999999999"/>
    <d v="2023-07-21T00:00:00"/>
    <x v="18"/>
    <s v="India"/>
    <s v="Location 7"/>
    <n v="98.56"/>
  </r>
  <r>
    <n v="588"/>
    <n v="57953.279999999999"/>
    <d v="2023-07-21T00:00:00"/>
    <x v="18"/>
    <s v="India"/>
    <s v="Location 7"/>
    <n v="98.56"/>
  </r>
  <r>
    <n v="5000"/>
    <n v="74800"/>
    <d v="2022-07-25T00:00:00"/>
    <x v="105"/>
    <s v="Italy"/>
    <s v="Location 9"/>
    <n v="14.96"/>
  </r>
  <r>
    <n v="568"/>
    <n v="8497.2800000000007"/>
    <d v="2022-07-25T00:00:00"/>
    <x v="105"/>
    <s v="Italy"/>
    <s v="Location 9"/>
    <n v="14.96"/>
  </r>
  <r>
    <n v="630"/>
    <n v="5701.5"/>
    <d v="2022-07-27T00:00:00"/>
    <x v="102"/>
    <s v="China"/>
    <s v="Location 10"/>
    <n v="9.0500000000000007"/>
  </r>
  <r>
    <n v="1820"/>
    <n v="4113.2"/>
    <d v="2022-08-10T00:00:00"/>
    <x v="117"/>
    <s v="China"/>
    <s v="Location 10"/>
    <n v="2.2599999999999998"/>
  </r>
  <r>
    <n v="308"/>
    <n v="152142.76"/>
    <d v="2022-04-25T00:00:00"/>
    <x v="87"/>
    <s v="Taiwan"/>
    <s v="Location 25"/>
    <n v="493.97"/>
  </r>
  <r>
    <n v="140"/>
    <n v="168865.2"/>
    <d v="2023-01-10T00:00:00"/>
    <x v="118"/>
    <s v="Taiwan"/>
    <s v="Location 8"/>
    <n v="1206.18"/>
  </r>
  <r>
    <n v="147"/>
    <n v="103273.38"/>
    <d v="2023-01-11T00:00:00"/>
    <x v="3"/>
    <s v="Taiwan"/>
    <s v="Location 8"/>
    <n v="702.54"/>
  </r>
  <r>
    <n v="1911"/>
    <n v="1342553.94"/>
    <d v="2022-10-26T00:00:00"/>
    <x v="3"/>
    <s v="Taiwan"/>
    <s v="Location 8"/>
    <n v="702.54"/>
  </r>
  <r>
    <n v="84"/>
    <n v="85470"/>
    <d v="2022-11-07T00:00:00"/>
    <x v="119"/>
    <s v="Taiwan"/>
    <s v="Location 8"/>
    <n v="1017.5"/>
  </r>
  <r>
    <n v="91"/>
    <n v="20555.990000000002"/>
    <d v="2022-11-09T00:00:00"/>
    <x v="120"/>
    <s v="Taiwan"/>
    <s v="Location 8"/>
    <n v="225.89"/>
  </r>
  <r>
    <n v="72"/>
    <n v="16264.08"/>
    <d v="2022-11-09T00:00:00"/>
    <x v="120"/>
    <s v="Taiwan"/>
    <s v="Location 8"/>
    <n v="225.89"/>
  </r>
  <r>
    <n v="54"/>
    <n v="12198.06"/>
    <d v="2022-11-09T00:00:00"/>
    <x v="120"/>
    <s v="Taiwan"/>
    <s v="Location 8"/>
    <n v="225.89"/>
  </r>
  <r>
    <n v="210"/>
    <n v="253297.8"/>
    <d v="2023-01-26T00:00:00"/>
    <x v="118"/>
    <s v="Taiwan"/>
    <s v="Location 8"/>
    <n v="1206.18"/>
  </r>
  <r>
    <n v="1764"/>
    <n v="1239280.56"/>
    <d v="2023-01-26T00:00:00"/>
    <x v="3"/>
    <s v="Taiwan"/>
    <s v="Location 8"/>
    <n v="702.54"/>
  </r>
  <r>
    <n v="147"/>
    <n v="103273.38"/>
    <d v="2023-01-26T00:00:00"/>
    <x v="3"/>
    <s v="Taiwan"/>
    <s v="Location 8"/>
    <n v="702.54"/>
  </r>
  <r>
    <n v="147"/>
    <n v="103273.38"/>
    <d v="2023-01-26T00:00:00"/>
    <x v="3"/>
    <s v="Taiwan"/>
    <s v="Location 8"/>
    <n v="702.54"/>
  </r>
  <r>
    <n v="420"/>
    <n v="506595.6"/>
    <d v="2023-01-30T00:00:00"/>
    <x v="118"/>
    <s v="Taiwan"/>
    <s v="Location 8"/>
    <n v="1206.18"/>
  </r>
  <r>
    <n v="1911"/>
    <n v="1342553.94"/>
    <d v="2023-01-30T00:00:00"/>
    <x v="3"/>
    <s v="Taiwan"/>
    <s v="Location 8"/>
    <n v="702.54"/>
  </r>
  <r>
    <n v="2940"/>
    <n v="2065467.6"/>
    <d v="2023-01-30T00:00:00"/>
    <x v="3"/>
    <s v="Taiwan"/>
    <s v="Location 8"/>
    <n v="702.54"/>
  </r>
  <r>
    <n v="1911"/>
    <n v="1342553.94"/>
    <d v="2023-01-30T00:00:00"/>
    <x v="3"/>
    <s v="Taiwan"/>
    <s v="Location 8"/>
    <n v="702.54"/>
  </r>
  <r>
    <n v="294"/>
    <n v="206546.76"/>
    <d v="2023-01-30T00:00:00"/>
    <x v="3"/>
    <s v="Taiwan"/>
    <s v="Location 8"/>
    <n v="702.54"/>
  </r>
  <r>
    <n v="1764"/>
    <n v="1239280.56"/>
    <d v="2023-01-30T00:00:00"/>
    <x v="3"/>
    <s v="Taiwan"/>
    <s v="Location 8"/>
    <n v="702.54"/>
  </r>
  <r>
    <n v="1008"/>
    <n v="129870.72"/>
    <d v="2023-01-30T00:00:00"/>
    <x v="121"/>
    <s v="Taiwan"/>
    <s v="Location 8"/>
    <n v="128.84"/>
  </r>
  <r>
    <n v="7"/>
    <n v="33406.1"/>
    <d v="2023-01-30T00:00:00"/>
    <x v="122"/>
    <s v="Taiwan"/>
    <s v="Location 8"/>
    <n v="4772.3"/>
  </r>
  <r>
    <n v="6"/>
    <n v="28633.8"/>
    <d v="2023-01-30T00:00:00"/>
    <x v="123"/>
    <s v="Taiwan"/>
    <s v="Location 8"/>
    <n v="4772.3"/>
  </r>
  <r>
    <n v="50"/>
    <n v="238615"/>
    <d v="2023-01-30T00:00:00"/>
    <x v="123"/>
    <s v="Taiwan"/>
    <s v="Location 8"/>
    <n v="4772.3"/>
  </r>
  <r>
    <n v="350"/>
    <n v="422163"/>
    <d v="2022-12-23T00:00:00"/>
    <x v="118"/>
    <s v="Taiwan"/>
    <s v="Location 8"/>
    <n v="1206.18"/>
  </r>
  <r>
    <n v="70"/>
    <n v="84432.6"/>
    <d v="2022-12-23T00:00:00"/>
    <x v="118"/>
    <s v="Taiwan"/>
    <s v="Location 8"/>
    <n v="1206.18"/>
  </r>
  <r>
    <n v="210"/>
    <n v="253297.8"/>
    <d v="2022-12-23T00:00:00"/>
    <x v="118"/>
    <s v="Taiwan"/>
    <s v="Location 8"/>
    <n v="1206.18"/>
  </r>
  <r>
    <n v="441"/>
    <n v="309820.14"/>
    <d v="2022-12-28T00:00:00"/>
    <x v="3"/>
    <s v="Taiwan"/>
    <s v="Location 8"/>
    <n v="702.54"/>
  </r>
  <r>
    <n v="147"/>
    <n v="103273.38"/>
    <d v="2023-02-01T00:00:00"/>
    <x v="3"/>
    <s v="Taiwan"/>
    <s v="Location 8"/>
    <n v="702.54"/>
  </r>
  <r>
    <n v="2646"/>
    <n v="1858920.84"/>
    <d v="2023-02-01T00:00:00"/>
    <x v="3"/>
    <s v="Taiwan"/>
    <s v="Location 8"/>
    <n v="702.54"/>
  </r>
  <r>
    <n v="4998"/>
    <n v="3511294.92"/>
    <d v="2023-02-01T00:00:00"/>
    <x v="3"/>
    <s v="Taiwan"/>
    <s v="Location 8"/>
    <n v="702.54"/>
  </r>
  <r>
    <n v="1260"/>
    <n v="10143"/>
    <d v="2022-02-04T00:00:00"/>
    <x v="115"/>
    <s v="Taiwan"/>
    <s v="Location 8"/>
    <n v="8.0500000000000007"/>
  </r>
  <r>
    <n v="3150"/>
    <n v="25357.5"/>
    <d v="2022-02-04T00:00:00"/>
    <x v="115"/>
    <s v="Taiwan"/>
    <s v="Location 8"/>
    <n v="8.0500000000000007"/>
  </r>
  <r>
    <n v="616"/>
    <n v="322543.76"/>
    <d v="2023-02-10T00:00:00"/>
    <x v="87"/>
    <s v="Taiwan"/>
    <s v="Location 8"/>
    <n v="523.61"/>
  </r>
  <r>
    <n v="882"/>
    <n v="656816.57999999996"/>
    <d v="2023-08-14T00:00:00"/>
    <x v="3"/>
    <s v="Taiwan"/>
    <s v="Location 8"/>
    <n v="744.69"/>
  </r>
  <r>
    <n v="882"/>
    <n v="656816.57999999996"/>
    <d v="2023-08-14T00:00:00"/>
    <x v="3"/>
    <s v="Taiwan"/>
    <s v="Location 8"/>
    <n v="744.69"/>
  </r>
  <r>
    <n v="882"/>
    <n v="656816.57999999996"/>
    <d v="2023-08-14T00:00:00"/>
    <x v="3"/>
    <s v="Taiwan"/>
    <s v="Location 8"/>
    <n v="744.69"/>
  </r>
  <r>
    <n v="882"/>
    <n v="656816.57999999996"/>
    <d v="2023-08-14T00:00:00"/>
    <x v="3"/>
    <s v="Taiwan"/>
    <s v="Location 8"/>
    <n v="744.69"/>
  </r>
  <r>
    <n v="630"/>
    <n v="178995.6"/>
    <d v="2023-08-14T00:00:00"/>
    <x v="124"/>
    <s v="Taiwan"/>
    <s v="Location 8"/>
    <n v="284.12"/>
  </r>
  <r>
    <n v="630"/>
    <n v="178995.6"/>
    <d v="2023-08-14T00:00:00"/>
    <x v="124"/>
    <s v="Taiwan"/>
    <s v="Location 8"/>
    <n v="284.12"/>
  </r>
  <r>
    <n v="630"/>
    <n v="178995.6"/>
    <d v="2023-08-14T00:00:00"/>
    <x v="124"/>
    <s v="Taiwan"/>
    <s v="Location 8"/>
    <n v="284.12"/>
  </r>
  <r>
    <n v="630"/>
    <n v="178995.6"/>
    <d v="2023-08-14T00:00:00"/>
    <x v="124"/>
    <s v="Taiwan"/>
    <s v="Location 8"/>
    <n v="284.12"/>
  </r>
  <r>
    <n v="630"/>
    <n v="178995.6"/>
    <d v="2023-08-14T00:00:00"/>
    <x v="124"/>
    <s v="Taiwan"/>
    <s v="Location 8"/>
    <n v="284.12"/>
  </r>
  <r>
    <n v="613"/>
    <n v="146782.85"/>
    <d v="2023-08-14T00:00:00"/>
    <x v="120"/>
    <s v="Taiwan"/>
    <s v="Location 8"/>
    <n v="239.45"/>
  </r>
  <r>
    <n v="42"/>
    <n v="10056.9"/>
    <d v="2023-08-14T00:00:00"/>
    <x v="120"/>
    <s v="Taiwan"/>
    <s v="Location 8"/>
    <n v="239.45"/>
  </r>
  <r>
    <n v="103"/>
    <n v="24663.35"/>
    <d v="2023-08-14T00:00:00"/>
    <x v="120"/>
    <s v="Taiwan"/>
    <s v="Location 8"/>
    <n v="239.45"/>
  </r>
  <r>
    <n v="42"/>
    <n v="10056.9"/>
    <d v="2023-08-14T00:00:00"/>
    <x v="120"/>
    <s v="Taiwan"/>
    <s v="Location 8"/>
    <n v="239.45"/>
  </r>
  <r>
    <n v="2520"/>
    <n v="431751.6"/>
    <d v="2023-08-14T00:00:00"/>
    <x v="125"/>
    <s v="Taiwan"/>
    <s v="Location 8"/>
    <n v="171.33"/>
  </r>
  <r>
    <n v="168"/>
    <n v="138700.79999999999"/>
    <d v="2023-08-17T00:00:00"/>
    <x v="119"/>
    <s v="Taiwan"/>
    <s v="Location 8"/>
    <n v="825.6"/>
  </r>
  <r>
    <n v="84"/>
    <n v="69350.399999999994"/>
    <d v="2023-08-17T00:00:00"/>
    <x v="119"/>
    <s v="Taiwan"/>
    <s v="Location 8"/>
    <n v="825.6"/>
  </r>
  <r>
    <n v="84"/>
    <n v="69350.399999999994"/>
    <d v="2023-08-17T00:00:00"/>
    <x v="119"/>
    <s v="Taiwan"/>
    <s v="Location 8"/>
    <n v="825.6"/>
  </r>
  <r>
    <n v="1008"/>
    <n v="123389.28"/>
    <d v="2023-08-17T00:00:00"/>
    <x v="126"/>
    <s v="Taiwan"/>
    <s v="Location 8"/>
    <n v="122.41"/>
  </r>
  <r>
    <n v="168"/>
    <n v="138700.79999999999"/>
    <d v="2023-08-18T00:00:00"/>
    <x v="119"/>
    <s v="Taiwan"/>
    <s v="Location 8"/>
    <n v="825.6"/>
  </r>
  <r>
    <n v="84"/>
    <n v="69350.399999999994"/>
    <d v="2023-08-18T00:00:00"/>
    <x v="119"/>
    <s v="Taiwan"/>
    <s v="Location 8"/>
    <n v="825.6"/>
  </r>
  <r>
    <n v="84"/>
    <n v="69350.399999999994"/>
    <d v="2023-08-18T00:00:00"/>
    <x v="119"/>
    <s v="Taiwan"/>
    <s v="Location 8"/>
    <n v="825.6"/>
  </r>
  <r>
    <n v="84"/>
    <n v="69350.399999999994"/>
    <d v="2023-08-18T00:00:00"/>
    <x v="119"/>
    <s v="Taiwan"/>
    <s v="Location 8"/>
    <n v="825.6"/>
  </r>
  <r>
    <n v="2520"/>
    <n v="431751.6"/>
    <d v="2023-02-01T00:00:00"/>
    <x v="125"/>
    <s v="Taiwan"/>
    <s v="Location 8"/>
    <n v="171.33"/>
  </r>
  <r>
    <n v="210"/>
    <n v="253297.8"/>
    <d v="2023-02-14T00:00:00"/>
    <x v="118"/>
    <s v="Taiwan"/>
    <s v="Location 8"/>
    <n v="1206.18"/>
  </r>
  <r>
    <n v="350"/>
    <n v="422163"/>
    <d v="2023-02-14T00:00:00"/>
    <x v="118"/>
    <s v="Taiwan"/>
    <s v="Location 8"/>
    <n v="1206.18"/>
  </r>
  <r>
    <n v="140"/>
    <n v="168865.2"/>
    <d v="2023-02-14T00:00:00"/>
    <x v="118"/>
    <s v="Taiwan"/>
    <s v="Location 8"/>
    <n v="1206.18"/>
  </r>
  <r>
    <n v="350"/>
    <n v="422163"/>
    <d v="2023-02-14T00:00:00"/>
    <x v="118"/>
    <s v="Taiwan"/>
    <s v="Location 8"/>
    <n v="1206.18"/>
  </r>
  <r>
    <n v="147"/>
    <n v="103273.38"/>
    <d v="2023-02-22T00:00:00"/>
    <x v="3"/>
    <s v="Taiwan"/>
    <s v="Location 8"/>
    <n v="702.54"/>
  </r>
  <r>
    <n v="42"/>
    <n v="10056.9"/>
    <d v="2023-02-23T00:00:00"/>
    <x v="120"/>
    <s v="Taiwan"/>
    <s v="Location 8"/>
    <n v="239.45"/>
  </r>
  <r>
    <n v="0"/>
    <n v="-18258.240000000002"/>
    <d v="2023-02-24T00:00:00"/>
    <x v="87"/>
    <s v="Taiwan"/>
    <s v="Location 8"/>
    <n v="0"/>
  </r>
  <r>
    <n v="108"/>
    <n v="3310.2"/>
    <d v="2023-02-24T00:00:00"/>
    <x v="127"/>
    <s v="Taiwan"/>
    <s v="Location 8"/>
    <n v="30.65"/>
  </r>
  <r>
    <n v="147"/>
    <n v="103273.38"/>
    <d v="2023-03-08T00:00:00"/>
    <x v="3"/>
    <s v="Taiwan"/>
    <s v="Location 8"/>
    <n v="702.54"/>
  </r>
  <r>
    <n v="882"/>
    <n v="619640.28"/>
    <d v="2023-03-08T00:00:00"/>
    <x v="3"/>
    <s v="Taiwan"/>
    <s v="Location 8"/>
    <n v="702.54"/>
  </r>
  <r>
    <n v="882"/>
    <n v="619640.28"/>
    <d v="2023-03-09T00:00:00"/>
    <x v="3"/>
    <s v="Taiwan"/>
    <s v="Location 8"/>
    <n v="702.54"/>
  </r>
  <r>
    <n v="1232"/>
    <n v="608571.04"/>
    <d v="2023-03-10T00:00:00"/>
    <x v="87"/>
    <s v="Taiwan"/>
    <s v="Location 8"/>
    <n v="493.97"/>
  </r>
  <r>
    <n v="616"/>
    <n v="322543.76"/>
    <d v="2023-03-10T00:00:00"/>
    <x v="87"/>
    <s v="Taiwan"/>
    <s v="Location 8"/>
    <n v="523.61"/>
  </r>
  <r>
    <n v="616"/>
    <n v="322543.76"/>
    <d v="2023-03-13T00:00:00"/>
    <x v="87"/>
    <s v="Taiwan"/>
    <s v="Location 8"/>
    <n v="523.61"/>
  </r>
  <r>
    <n v="0"/>
    <n v="18258.240000000002"/>
    <d v="2023-03-15T00:00:00"/>
    <x v="87"/>
    <s v="Taiwan"/>
    <s v="Location 8"/>
    <n v="0"/>
  </r>
  <r>
    <n v="1232"/>
    <n v="608571.04"/>
    <d v="2023-03-27T00:00:00"/>
    <x v="87"/>
    <s v="Taiwan"/>
    <s v="Location 8"/>
    <n v="493.97"/>
  </r>
  <r>
    <n v="44"/>
    <n v="183963.12"/>
    <d v="2023-03-28T00:00:00"/>
    <x v="123"/>
    <s v="Taiwan"/>
    <s v="Location 8"/>
    <n v="4180.9799999999996"/>
  </r>
  <r>
    <n v="7"/>
    <n v="29266.86"/>
    <d v="2023-03-28T00:00:00"/>
    <x v="123"/>
    <s v="Taiwan"/>
    <s v="Location 8"/>
    <n v="4180.9799999999996"/>
  </r>
  <r>
    <n v="9"/>
    <n v="37628.82"/>
    <d v="2023-03-28T00:00:00"/>
    <x v="123"/>
    <s v="Taiwan"/>
    <s v="Location 8"/>
    <n v="4180.9799999999996"/>
  </r>
  <r>
    <n v="588"/>
    <n v="413093.52"/>
    <d v="2023-03-29T00:00:00"/>
    <x v="3"/>
    <s v="Taiwan"/>
    <s v="Location 8"/>
    <n v="702.54"/>
  </r>
  <r>
    <n v="84"/>
    <n v="69350.399999999994"/>
    <d v="2023-03-31T00:00:00"/>
    <x v="119"/>
    <s v="Taiwan"/>
    <s v="Location 8"/>
    <n v="825.6"/>
  </r>
  <r>
    <n v="84"/>
    <n v="69350.399999999994"/>
    <d v="2023-03-31T00:00:00"/>
    <x v="119"/>
    <s v="Taiwan"/>
    <s v="Location 8"/>
    <n v="825.6"/>
  </r>
  <r>
    <n v="147"/>
    <n v="103273.38"/>
    <d v="2023-04-04T00:00:00"/>
    <x v="3"/>
    <s v="Taiwan"/>
    <s v="Location 8"/>
    <n v="702.54"/>
  </r>
  <r>
    <n v="441"/>
    <n v="309820.14"/>
    <d v="2023-04-06T00:00:00"/>
    <x v="3"/>
    <s v="Taiwan"/>
    <s v="Location 8"/>
    <n v="702.54"/>
  </r>
  <r>
    <n v="924"/>
    <n v="483815.64"/>
    <d v="2023-04-14T00:00:00"/>
    <x v="87"/>
    <s v="Taiwan"/>
    <s v="Location 8"/>
    <n v="523.61"/>
  </r>
  <r>
    <n v="735"/>
    <n v="516366.9"/>
    <d v="2023-04-14T00:00:00"/>
    <x v="3"/>
    <s v="Taiwan"/>
    <s v="Location 8"/>
    <n v="702.54"/>
  </r>
  <r>
    <n v="1848"/>
    <n v="967631.28"/>
    <d v="2023-04-26T00:00:00"/>
    <x v="87"/>
    <s v="Taiwan"/>
    <s v="Location 8"/>
    <n v="523.61"/>
  </r>
  <r>
    <n v="630"/>
    <n v="178995.6"/>
    <d v="2023-04-27T00:00:00"/>
    <x v="124"/>
    <s v="Taiwan"/>
    <s v="Location 8"/>
    <n v="284.12"/>
  </r>
  <r>
    <n v="630"/>
    <n v="178995.6"/>
    <d v="2023-04-27T00:00:00"/>
    <x v="124"/>
    <s v="Taiwan"/>
    <s v="Location 8"/>
    <n v="284.12"/>
  </r>
  <r>
    <n v="54"/>
    <n v="12930.3"/>
    <d v="2023-04-27T00:00:00"/>
    <x v="120"/>
    <s v="Taiwan"/>
    <s v="Location 8"/>
    <n v="239.45"/>
  </r>
  <r>
    <n v="308"/>
    <n v="161271.88"/>
    <d v="2023-04-28T00:00:00"/>
    <x v="87"/>
    <s v="Taiwan"/>
    <s v="Location 8"/>
    <n v="523.61"/>
  </r>
  <r>
    <n v="616"/>
    <n v="322543.76"/>
    <d v="2023-04-28T00:00:00"/>
    <x v="87"/>
    <s v="Taiwan"/>
    <s v="Location 8"/>
    <n v="523.61"/>
  </r>
  <r>
    <n v="108"/>
    <n v="3310.2"/>
    <d v="2023-04-28T00:00:00"/>
    <x v="127"/>
    <s v="Taiwan"/>
    <s v="Location 8"/>
    <n v="30.65"/>
  </r>
  <r>
    <n v="735"/>
    <n v="547347.15"/>
    <d v="2023-05-03T00:00:00"/>
    <x v="3"/>
    <s v="Taiwan"/>
    <s v="Location 8"/>
    <n v="744.69"/>
  </r>
  <r>
    <n v="735"/>
    <n v="516366.9"/>
    <d v="2023-05-03T00:00:00"/>
    <x v="3"/>
    <s v="Taiwan"/>
    <s v="Location 8"/>
    <n v="702.54"/>
  </r>
  <r>
    <n v="1176"/>
    <n v="875755.44"/>
    <d v="2023-05-03T00:00:00"/>
    <x v="3"/>
    <s v="Taiwan"/>
    <s v="Location 8"/>
    <n v="744.69"/>
  </r>
  <r>
    <n v="630"/>
    <n v="178995.6"/>
    <d v="2023-05-09T00:00:00"/>
    <x v="124"/>
    <s v="Taiwan"/>
    <s v="Location 8"/>
    <n v="284.12"/>
  </r>
  <r>
    <n v="630"/>
    <n v="178995.6"/>
    <d v="2023-05-09T00:00:00"/>
    <x v="124"/>
    <s v="Taiwan"/>
    <s v="Location 8"/>
    <n v="284.12"/>
  </r>
  <r>
    <n v="25"/>
    <n v="89592.5"/>
    <d v="2023-05-09T00:00:00"/>
    <x v="122"/>
    <s v="Taiwan"/>
    <s v="Location 8"/>
    <n v="3583.7"/>
  </r>
  <r>
    <n v="7"/>
    <n v="25085.9"/>
    <d v="2023-05-09T00:00:00"/>
    <x v="122"/>
    <s v="Taiwan"/>
    <s v="Location 8"/>
    <n v="3583.7"/>
  </r>
  <r>
    <n v="616"/>
    <n v="322543.76"/>
    <d v="2023-05-19T00:00:00"/>
    <x v="87"/>
    <s v="Taiwan"/>
    <s v="Location 8"/>
    <n v="523.61"/>
  </r>
  <r>
    <n v="616"/>
    <n v="322543.76"/>
    <d v="2023-05-22T00:00:00"/>
    <x v="87"/>
    <s v="Taiwan"/>
    <s v="Location 8"/>
    <n v="523.61"/>
  </r>
  <r>
    <n v="6"/>
    <n v="25085.88"/>
    <d v="2023-06-05T00:00:00"/>
    <x v="123"/>
    <s v="Taiwan"/>
    <s v="Location 8"/>
    <n v="4180.9799999999996"/>
  </r>
  <r>
    <n v="35"/>
    <n v="146334.29999999999"/>
    <d v="2023-06-05T00:00:00"/>
    <x v="123"/>
    <s v="Taiwan"/>
    <s v="Location 8"/>
    <n v="4180.9799999999996"/>
  </r>
  <r>
    <n v="7"/>
    <n v="29266.86"/>
    <d v="2023-06-05T00:00:00"/>
    <x v="123"/>
    <s v="Taiwan"/>
    <s v="Location 8"/>
    <n v="4180.9799999999996"/>
  </r>
  <r>
    <n v="924"/>
    <n v="483815.64"/>
    <d v="2023-06-06T00:00:00"/>
    <x v="87"/>
    <s v="Taiwan"/>
    <s v="Location 8"/>
    <n v="523.61"/>
  </r>
  <r>
    <n v="924"/>
    <n v="483815.64"/>
    <d v="2023-06-06T00:00:00"/>
    <x v="87"/>
    <s v="Taiwan"/>
    <s v="Location 8"/>
    <n v="523.61"/>
  </r>
  <r>
    <n v="31"/>
    <n v="111094.7"/>
    <d v="2023-06-20T00:00:00"/>
    <x v="122"/>
    <s v="Taiwan"/>
    <s v="Location 8"/>
    <n v="3583.7"/>
  </r>
  <r>
    <n v="294"/>
    <n v="218938.86"/>
    <d v="2023-06-29T00:00:00"/>
    <x v="3"/>
    <s v="Taiwan"/>
    <s v="Location 8"/>
    <n v="744.69"/>
  </r>
  <r>
    <n v="882"/>
    <n v="656816.57999999996"/>
    <d v="2023-06-29T00:00:00"/>
    <x v="3"/>
    <s v="Taiwan"/>
    <s v="Location 8"/>
    <n v="744.69"/>
  </r>
  <r>
    <n v="280"/>
    <n v="357994"/>
    <d v="2023-06-30T00:00:00"/>
    <x v="118"/>
    <s v="Taiwan"/>
    <s v="Location 8"/>
    <n v="1278.55"/>
  </r>
  <r>
    <n v="350"/>
    <n v="447492.5"/>
    <d v="2023-06-30T00:00:00"/>
    <x v="118"/>
    <s v="Taiwan"/>
    <s v="Location 8"/>
    <n v="1278.55"/>
  </r>
  <r>
    <n v="1470"/>
    <n v="1094694.3"/>
    <d v="2023-06-30T00:00:00"/>
    <x v="3"/>
    <s v="Taiwan"/>
    <s v="Location 8"/>
    <n v="744.69"/>
  </r>
  <r>
    <n v="882"/>
    <n v="656816.57999999996"/>
    <d v="2023-06-30T00:00:00"/>
    <x v="3"/>
    <s v="Taiwan"/>
    <s v="Location 8"/>
    <n v="744.69"/>
  </r>
  <r>
    <n v="882"/>
    <n v="656816.57999999996"/>
    <d v="2023-06-30T00:00:00"/>
    <x v="3"/>
    <s v="Taiwan"/>
    <s v="Location 8"/>
    <n v="744.69"/>
  </r>
  <r>
    <n v="882"/>
    <n v="656816.57999999996"/>
    <d v="2023-06-30T00:00:00"/>
    <x v="3"/>
    <s v="Taiwan"/>
    <s v="Location 8"/>
    <n v="744.69"/>
  </r>
  <r>
    <n v="882"/>
    <n v="656816.57999999996"/>
    <d v="2023-06-30T00:00:00"/>
    <x v="3"/>
    <s v="Taiwan"/>
    <s v="Location 8"/>
    <n v="744.69"/>
  </r>
  <r>
    <n v="735"/>
    <n v="547347.15"/>
    <d v="2023-07-03T00:00:00"/>
    <x v="3"/>
    <s v="Taiwan"/>
    <s v="Location 8"/>
    <n v="744.69"/>
  </r>
  <r>
    <n v="735"/>
    <n v="547347.15"/>
    <d v="2023-07-04T00:00:00"/>
    <x v="3"/>
    <s v="Taiwan"/>
    <s v="Location 8"/>
    <n v="744.69"/>
  </r>
  <r>
    <n v="882"/>
    <n v="656816.57999999996"/>
    <d v="2023-07-05T00:00:00"/>
    <x v="3"/>
    <s v="Taiwan"/>
    <s v="Location 8"/>
    <n v="744.69"/>
  </r>
  <r>
    <n v="43"/>
    <n v="179782.14"/>
    <d v="2023-07-06T00:00:00"/>
    <x v="123"/>
    <s v="Taiwan"/>
    <s v="Location 8"/>
    <n v="4180.9799999999996"/>
  </r>
  <r>
    <n v="41"/>
    <n v="171420.18"/>
    <d v="2023-07-06T00:00:00"/>
    <x v="123"/>
    <s v="Taiwan"/>
    <s v="Location 8"/>
    <n v="4180.9799999999996"/>
  </r>
  <r>
    <n v="882"/>
    <n v="656816.57999999996"/>
    <d v="2023-07-14T00:00:00"/>
    <x v="3"/>
    <s v="Taiwan"/>
    <s v="Location 8"/>
    <n v="744.69"/>
  </r>
  <r>
    <n v="882"/>
    <n v="656816.57999999996"/>
    <d v="2023-07-18T00:00:00"/>
    <x v="3"/>
    <s v="Taiwan"/>
    <s v="Location 8"/>
    <n v="744.69"/>
  </r>
  <r>
    <n v="1540"/>
    <n v="806359.4"/>
    <d v="2023-07-25T00:00:00"/>
    <x v="87"/>
    <s v="Taiwan"/>
    <s v="Location 8"/>
    <n v="523.61"/>
  </r>
  <r>
    <n v="350"/>
    <n v="447492.5"/>
    <d v="2023-07-26T00:00:00"/>
    <x v="118"/>
    <s v="Taiwan"/>
    <s v="Location 8"/>
    <n v="1278.55"/>
  </r>
  <r>
    <n v="308"/>
    <n v="161271.88"/>
    <d v="2023-07-26T00:00:00"/>
    <x v="87"/>
    <s v="Taiwan"/>
    <s v="Location 8"/>
    <n v="523.61"/>
  </r>
  <r>
    <n v="147"/>
    <n v="109469.43"/>
    <d v="2023-07-28T00:00:00"/>
    <x v="3"/>
    <s v="Taiwan"/>
    <s v="Location 8"/>
    <n v="744.69"/>
  </r>
  <r>
    <n v="735"/>
    <n v="547347.15"/>
    <d v="2023-08-01T00:00:00"/>
    <x v="3"/>
    <s v="Taiwan"/>
    <s v="Location 8"/>
    <n v="744.69"/>
  </r>
  <r>
    <n v="441"/>
    <n v="328408.28999999998"/>
    <d v="2023-08-01T00:00:00"/>
    <x v="3"/>
    <s v="Taiwan"/>
    <s v="Location 8"/>
    <n v="744.69"/>
  </r>
  <r>
    <n v="210"/>
    <n v="268495.5"/>
    <d v="2023-08-02T00:00:00"/>
    <x v="118"/>
    <s v="Taiwan"/>
    <s v="Location 8"/>
    <n v="1278.55"/>
  </r>
  <r>
    <n v="140"/>
    <n v="178997"/>
    <d v="2023-08-02T00:00:00"/>
    <x v="118"/>
    <s v="Taiwan"/>
    <s v="Location 8"/>
    <n v="1278.55"/>
  </r>
  <r>
    <n v="210"/>
    <n v="268495.5"/>
    <d v="2023-08-02T00:00:00"/>
    <x v="118"/>
    <s v="Taiwan"/>
    <s v="Location 8"/>
    <n v="1278.55"/>
  </r>
  <r>
    <n v="280"/>
    <n v="357994"/>
    <d v="2023-08-02T00:00:00"/>
    <x v="118"/>
    <s v="Taiwan"/>
    <s v="Location 8"/>
    <n v="1278.55"/>
  </r>
  <r>
    <n v="70"/>
    <n v="89498.5"/>
    <d v="2023-08-02T00:00:00"/>
    <x v="118"/>
    <s v="Taiwan"/>
    <s v="Location 8"/>
    <n v="1278.55"/>
  </r>
  <r>
    <n v="3430"/>
    <n v="1475.93"/>
    <d v="2022-04-12T00:00:00"/>
    <x v="89"/>
    <s v="Romania"/>
    <s v="Location 6"/>
    <n v="0.43030000000000002"/>
  </r>
  <r>
    <n v="84"/>
    <n v="35363.160000000003"/>
    <d v="2022-04-20T00:00:00"/>
    <x v="91"/>
    <s v="Romania"/>
    <s v="Location 6"/>
    <n v="420.99"/>
  </r>
  <r>
    <n v="120"/>
    <n v="21718.799999999999"/>
    <d v="2022-09-02T00:00:00"/>
    <x v="128"/>
    <s v="Romania"/>
    <s v="Location 6"/>
    <n v="180.99"/>
  </r>
  <r>
    <n v="1820"/>
    <n v="4313.3999999999996"/>
    <d v="2022-09-08T00:00:00"/>
    <x v="21"/>
    <s v="Romania"/>
    <s v="Location 6"/>
    <n v="2.37"/>
  </r>
  <r>
    <n v="588"/>
    <n v="54666.36"/>
    <d v="2022-09-09T00:00:00"/>
    <x v="18"/>
    <s v="Romania"/>
    <s v="Location 6"/>
    <n v="92.97"/>
  </r>
  <r>
    <n v="229"/>
    <n v="3135.01"/>
    <d v="2022-09-13T00:00:00"/>
    <x v="129"/>
    <s v="Romania"/>
    <s v="Location 6"/>
    <n v="13.69"/>
  </r>
  <r>
    <n v="1820"/>
    <n v="4113.2"/>
    <d v="2022-09-16T00:00:00"/>
    <x v="117"/>
    <s v="Romania"/>
    <s v="Location 6"/>
    <n v="2.2599999999999998"/>
  </r>
  <r>
    <n v="1820"/>
    <n v="4113.2"/>
    <d v="2022-09-16T00:00:00"/>
    <x v="117"/>
    <s v="Romania"/>
    <s v="Location 6"/>
    <n v="2.2599999999999998"/>
  </r>
  <r>
    <n v="1820"/>
    <n v="4113.2"/>
    <d v="2022-09-16T00:00:00"/>
    <x v="117"/>
    <s v="Romania"/>
    <s v="Location 6"/>
    <n v="2.2599999999999998"/>
  </r>
  <r>
    <n v="17"/>
    <n v="232.73"/>
    <d v="2022-09-16T00:00:00"/>
    <x v="129"/>
    <s v="Romania"/>
    <s v="Location 6"/>
    <n v="13.69"/>
  </r>
  <r>
    <n v="205"/>
    <n v="2806.45"/>
    <d v="2022-09-16T00:00:00"/>
    <x v="129"/>
    <s v="Romania"/>
    <s v="Location 6"/>
    <n v="13.69"/>
  </r>
  <r>
    <n v="222"/>
    <n v="3039.18"/>
    <d v="2022-09-16T00:00:00"/>
    <x v="129"/>
    <s v="Romania"/>
    <s v="Location 6"/>
    <n v="13.69"/>
  </r>
  <r>
    <n v="132"/>
    <n v="1807.08"/>
    <d v="2022-09-16T00:00:00"/>
    <x v="129"/>
    <s v="Romania"/>
    <s v="Location 6"/>
    <n v="13.69"/>
  </r>
  <r>
    <n v="400"/>
    <n v="5476"/>
    <d v="2022-09-16T00:00:00"/>
    <x v="129"/>
    <s v="Romania"/>
    <s v="Location 6"/>
    <n v="13.69"/>
  </r>
  <r>
    <n v="24"/>
    <n v="328.56"/>
    <d v="2022-09-16T00:00:00"/>
    <x v="129"/>
    <s v="Romania"/>
    <s v="Location 6"/>
    <n v="13.69"/>
  </r>
  <r>
    <n v="268"/>
    <n v="3668.92"/>
    <d v="2022-09-19T00:00:00"/>
    <x v="129"/>
    <s v="Romania"/>
    <s v="Location 6"/>
    <n v="13.69"/>
  </r>
  <r>
    <n v="222"/>
    <n v="3039.18"/>
    <d v="2022-09-21T00:00:00"/>
    <x v="129"/>
    <s v="Romania"/>
    <s v="Location 6"/>
    <n v="13.69"/>
  </r>
  <r>
    <n v="320"/>
    <n v="4380.8"/>
    <d v="2022-09-21T00:00:00"/>
    <x v="129"/>
    <s v="Romania"/>
    <s v="Location 6"/>
    <n v="13.69"/>
  </r>
  <r>
    <n v="438"/>
    <n v="5996.22"/>
    <d v="2022-09-21T00:00:00"/>
    <x v="129"/>
    <s v="Romania"/>
    <s v="Location 6"/>
    <n v="13.69"/>
  </r>
  <r>
    <n v="7"/>
    <n v="95.83"/>
    <d v="2022-09-21T00:00:00"/>
    <x v="129"/>
    <s v="Romania"/>
    <s v="Location 6"/>
    <n v="13.69"/>
  </r>
  <r>
    <n v="209"/>
    <n v="2861.21"/>
    <d v="2022-09-21T00:00:00"/>
    <x v="129"/>
    <s v="Romania"/>
    <s v="Location 6"/>
    <n v="13.69"/>
  </r>
  <r>
    <n v="13"/>
    <n v="177.97"/>
    <d v="2022-09-21T00:00:00"/>
    <x v="129"/>
    <s v="Romania"/>
    <s v="Location 6"/>
    <n v="13.69"/>
  </r>
  <r>
    <n v="252"/>
    <n v="106089.48"/>
    <d v="2022-09-28T00:00:00"/>
    <x v="91"/>
    <s v="Romania"/>
    <s v="Location 6"/>
    <n v="420.99"/>
  </r>
  <r>
    <n v="252"/>
    <n v="106089.48"/>
    <d v="2022-09-28T00:00:00"/>
    <x v="91"/>
    <s v="Romania"/>
    <s v="Location 6"/>
    <n v="420.99"/>
  </r>
  <r>
    <n v="252"/>
    <n v="106089.48"/>
    <d v="2022-09-28T00:00:00"/>
    <x v="91"/>
    <s v="Romania"/>
    <s v="Location 6"/>
    <n v="420.99"/>
  </r>
  <r>
    <n v="168"/>
    <n v="70726.320000000007"/>
    <d v="2022-09-28T00:00:00"/>
    <x v="91"/>
    <s v="Romania"/>
    <s v="Location 6"/>
    <n v="420.99"/>
  </r>
  <r>
    <n v="84"/>
    <n v="35363.160000000003"/>
    <d v="2022-09-29T00:00:00"/>
    <x v="91"/>
    <s v="Romania"/>
    <s v="Location 6"/>
    <n v="420.99"/>
  </r>
  <r>
    <n v="252"/>
    <n v="106089.48"/>
    <d v="2022-09-29T00:00:00"/>
    <x v="91"/>
    <s v="Romania"/>
    <s v="Location 6"/>
    <n v="420.99"/>
  </r>
  <r>
    <n v="168"/>
    <n v="70726.320000000007"/>
    <d v="2022-09-29T00:00:00"/>
    <x v="91"/>
    <s v="Romania"/>
    <s v="Location 6"/>
    <n v="420.99"/>
  </r>
  <r>
    <n v="252"/>
    <n v="106089.48"/>
    <d v="2022-09-30T00:00:00"/>
    <x v="91"/>
    <s v="Romania"/>
    <s v="Location 6"/>
    <n v="420.99"/>
  </r>
  <r>
    <n v="432"/>
    <n v="83177.279999999999"/>
    <d v="2022-10-03T00:00:00"/>
    <x v="130"/>
    <s v="Romania"/>
    <s v="Location 6"/>
    <n v="192.54"/>
  </r>
  <r>
    <n v="84"/>
    <n v="54459.72"/>
    <d v="2022-10-03T00:00:00"/>
    <x v="131"/>
    <s v="Romania"/>
    <s v="Location 6"/>
    <n v="648.33000000000004"/>
  </r>
  <r>
    <n v="84"/>
    <n v="54459.72"/>
    <d v="2022-10-03T00:00:00"/>
    <x v="131"/>
    <s v="Romania"/>
    <s v="Location 6"/>
    <n v="648.33000000000004"/>
  </r>
  <r>
    <n v="1120"/>
    <n v="58699.199999999997"/>
    <d v="2022-10-03T00:00:00"/>
    <x v="49"/>
    <s v="Romania"/>
    <s v="Location 6"/>
    <n v="52.41"/>
  </r>
  <r>
    <n v="1120"/>
    <n v="58699.199999999997"/>
    <d v="2022-10-03T00:00:00"/>
    <x v="49"/>
    <s v="Romania"/>
    <s v="Location 6"/>
    <n v="52.41"/>
  </r>
  <r>
    <n v="1120"/>
    <n v="58699.199999999997"/>
    <d v="2022-10-03T00:00:00"/>
    <x v="49"/>
    <s v="Romania"/>
    <s v="Location 6"/>
    <n v="52.41"/>
  </r>
  <r>
    <n v="1120"/>
    <n v="58699.199999999997"/>
    <d v="2022-10-03T00:00:00"/>
    <x v="49"/>
    <s v="Romania"/>
    <s v="Location 6"/>
    <n v="52.41"/>
  </r>
  <r>
    <n v="1120"/>
    <n v="58699.199999999997"/>
    <d v="2022-10-03T00:00:00"/>
    <x v="49"/>
    <s v="Romania"/>
    <s v="Location 6"/>
    <n v="52.41"/>
  </r>
  <r>
    <n v="1120"/>
    <n v="58699.199999999997"/>
    <d v="2022-10-03T00:00:00"/>
    <x v="49"/>
    <s v="Romania"/>
    <s v="Location 6"/>
    <n v="52.41"/>
  </r>
  <r>
    <n v="1820"/>
    <n v="4313.3999999999996"/>
    <d v="2022-10-05T00:00:00"/>
    <x v="21"/>
    <s v="Romania"/>
    <s v="Location 6"/>
    <n v="2.37"/>
  </r>
  <r>
    <n v="1120"/>
    <n v="58699.199999999997"/>
    <d v="2022-10-05T00:00:00"/>
    <x v="49"/>
    <s v="Romania"/>
    <s v="Location 6"/>
    <n v="52.41"/>
  </r>
  <r>
    <n v="1120"/>
    <n v="58699.199999999997"/>
    <d v="2022-10-05T00:00:00"/>
    <x v="49"/>
    <s v="Romania"/>
    <s v="Location 6"/>
    <n v="52.41"/>
  </r>
  <r>
    <n v="1120"/>
    <n v="7560"/>
    <d v="2022-10-05T00:00:00"/>
    <x v="132"/>
    <s v="Romania"/>
    <s v="Location 6"/>
    <n v="6.75"/>
  </r>
  <r>
    <n v="420"/>
    <n v="4141.2"/>
    <d v="2022-10-10T00:00:00"/>
    <x v="133"/>
    <s v="Romania"/>
    <s v="Location 6"/>
    <n v="9.86"/>
  </r>
  <r>
    <n v="3780"/>
    <n v="52466.400000000001"/>
    <d v="2022-10-11T00:00:00"/>
    <x v="42"/>
    <s v="Romania"/>
    <s v="Location 6"/>
    <n v="13.88"/>
  </r>
  <r>
    <n v="120"/>
    <n v="21718.799999999999"/>
    <d v="2023-01-04T00:00:00"/>
    <x v="128"/>
    <s v="Romania"/>
    <s v="Location 6"/>
    <n v="180.99"/>
  </r>
  <r>
    <n v="588"/>
    <n v="128813.16"/>
    <d v="2022-10-19T00:00:00"/>
    <x v="134"/>
    <s v="Romania"/>
    <s v="Location 6"/>
    <n v="219.07"/>
  </r>
  <r>
    <n v="1120"/>
    <n v="58699.199999999997"/>
    <d v="2022-10-21T00:00:00"/>
    <x v="49"/>
    <s v="Romania"/>
    <s v="Location 6"/>
    <n v="52.41"/>
  </r>
  <r>
    <n v="3780"/>
    <n v="52466.400000000001"/>
    <d v="2022-10-25T00:00:00"/>
    <x v="42"/>
    <s v="Romania"/>
    <s v="Location 6"/>
    <n v="13.88"/>
  </r>
  <r>
    <n v="1008"/>
    <n v="44956.800000000003"/>
    <d v="2022-10-26T00:00:00"/>
    <x v="103"/>
    <s v="Romania"/>
    <s v="Location 6"/>
    <n v="44.6"/>
  </r>
  <r>
    <n v="120"/>
    <n v="21718.799999999999"/>
    <d v="2022-10-28T00:00:00"/>
    <x v="128"/>
    <s v="Romania"/>
    <s v="Location 6"/>
    <n v="180.99"/>
  </r>
  <r>
    <n v="588"/>
    <n v="128813.16"/>
    <d v="2022-11-03T00:00:00"/>
    <x v="134"/>
    <s v="Romania"/>
    <s v="Location 6"/>
    <n v="219.07"/>
  </r>
  <r>
    <n v="420"/>
    <n v="4141.2"/>
    <d v="2022-11-17T00:00:00"/>
    <x v="133"/>
    <s v="Romania"/>
    <s v="Location 6"/>
    <n v="9.86"/>
  </r>
  <r>
    <n v="1120"/>
    <n v="58699.199999999997"/>
    <d v="2022-11-18T00:00:00"/>
    <x v="49"/>
    <s v="Romania"/>
    <s v="Location 6"/>
    <n v="52.41"/>
  </r>
  <r>
    <n v="420"/>
    <n v="4141.2"/>
    <d v="2022-11-29T00:00:00"/>
    <x v="133"/>
    <s v="Romania"/>
    <s v="Location 6"/>
    <n v="9.86"/>
  </r>
  <r>
    <n v="308"/>
    <n v="18415.32"/>
    <d v="2022-12-01T00:00:00"/>
    <x v="135"/>
    <s v="Romania"/>
    <s v="Location 6"/>
    <n v="59.79"/>
  </r>
  <r>
    <n v="50"/>
    <n v="37927.5"/>
    <d v="2022-12-02T00:00:00"/>
    <x v="136"/>
    <s v="Romania"/>
    <s v="Location 6"/>
    <n v="758.55"/>
  </r>
  <r>
    <n v="9"/>
    <n v="6826.95"/>
    <d v="2022-12-06T00:00:00"/>
    <x v="136"/>
    <s v="Romania"/>
    <s v="Location 6"/>
    <n v="758.55"/>
  </r>
  <r>
    <n v="348"/>
    <n v="12604.56"/>
    <d v="2022-05-27T00:00:00"/>
    <x v="111"/>
    <s v="Romania"/>
    <s v="Location 6"/>
    <n v="36.22"/>
  </r>
  <r>
    <n v="348"/>
    <n v="12604.56"/>
    <d v="2022-05-27T00:00:00"/>
    <x v="111"/>
    <s v="Romania"/>
    <s v="Location 6"/>
    <n v="36.22"/>
  </r>
  <r>
    <n v="147"/>
    <n v="51078.09"/>
    <d v="2022-06-28T00:00:00"/>
    <x v="3"/>
    <s v="Romania"/>
    <s v="Location 6"/>
    <n v="347.47"/>
  </r>
  <r>
    <n v="334"/>
    <n v="12097.48"/>
    <d v="2022-06-29T00:00:00"/>
    <x v="111"/>
    <s v="Romania"/>
    <s v="Location 6"/>
    <n v="36.22"/>
  </r>
  <r>
    <n v="588"/>
    <n v="135869.16"/>
    <d v="2023-08-11T00:00:00"/>
    <x v="134"/>
    <s v="Romania"/>
    <s v="Location 6"/>
    <n v="231.07"/>
  </r>
  <r>
    <n v="420"/>
    <n v="4363.8"/>
    <d v="2023-08-15T00:00:00"/>
    <x v="133"/>
    <s v="Romania"/>
    <s v="Location 6"/>
    <n v="10.39"/>
  </r>
  <r>
    <n v="420"/>
    <n v="4363.8"/>
    <d v="2023-08-15T00:00:00"/>
    <x v="133"/>
    <s v="Romania"/>
    <s v="Location 6"/>
    <n v="10.39"/>
  </r>
  <r>
    <n v="70"/>
    <n v="35321.300000000003"/>
    <d v="2023-08-28T00:00:00"/>
    <x v="137"/>
    <s v="Romania"/>
    <s v="Location 6"/>
    <n v="504.59"/>
  </r>
  <r>
    <n v="70"/>
    <n v="35321.300000000003"/>
    <d v="2023-08-29T00:00:00"/>
    <x v="137"/>
    <s v="Romania"/>
    <s v="Location 6"/>
    <n v="504.59"/>
  </r>
  <r>
    <n v="252"/>
    <n v="6226.92"/>
    <d v="2023-08-30T00:00:00"/>
    <x v="12"/>
    <s v="Romania"/>
    <s v="Location 6"/>
    <n v="24.71"/>
  </r>
  <r>
    <n v="463"/>
    <n v="45633.279999999999"/>
    <d v="2023-09-06T00:00:00"/>
    <x v="18"/>
    <s v="Romania"/>
    <s v="Location 6"/>
    <n v="98.56"/>
  </r>
  <r>
    <n v="166"/>
    <n v="118582.1"/>
    <d v="2023-09-06T00:00:00"/>
    <x v="136"/>
    <s v="Romania"/>
    <s v="Location 6"/>
    <n v="714.35"/>
  </r>
  <r>
    <n v="216"/>
    <n v="154299.6"/>
    <d v="2023-09-06T00:00:00"/>
    <x v="136"/>
    <s v="Romania"/>
    <s v="Location 6"/>
    <n v="714.35"/>
  </r>
  <r>
    <n v="216"/>
    <n v="154299.6"/>
    <d v="2023-09-06T00:00:00"/>
    <x v="136"/>
    <s v="Romania"/>
    <s v="Location 6"/>
    <n v="714.35"/>
  </r>
  <r>
    <n v="14"/>
    <n v="10000.9"/>
    <d v="2023-09-06T00:00:00"/>
    <x v="136"/>
    <s v="Romania"/>
    <s v="Location 6"/>
    <n v="714.35"/>
  </r>
  <r>
    <n v="11"/>
    <n v="8344.0499999999993"/>
    <d v="2023-01-13T00:00:00"/>
    <x v="136"/>
    <s v="Romania"/>
    <s v="Location 6"/>
    <n v="758.55"/>
  </r>
  <r>
    <n v="84"/>
    <n v="57440.04"/>
    <d v="2023-01-16T00:00:00"/>
    <x v="131"/>
    <s v="Romania"/>
    <s v="Location 6"/>
    <n v="683.81"/>
  </r>
  <r>
    <n v="120"/>
    <n v="21718.799999999999"/>
    <d v="2023-01-19T00:00:00"/>
    <x v="128"/>
    <s v="Romania"/>
    <s v="Location 6"/>
    <n v="180.99"/>
  </r>
  <r>
    <n v="180"/>
    <n v="128583"/>
    <d v="2023-01-19T00:00:00"/>
    <x v="136"/>
    <s v="Romania"/>
    <s v="Location 6"/>
    <n v="714.35"/>
  </r>
  <r>
    <n v="180"/>
    <n v="128583"/>
    <d v="2023-01-19T00:00:00"/>
    <x v="136"/>
    <s v="Romania"/>
    <s v="Location 6"/>
    <n v="714.35"/>
  </r>
  <r>
    <n v="36"/>
    <n v="25716.6"/>
    <d v="2023-01-19T00:00:00"/>
    <x v="136"/>
    <s v="Romania"/>
    <s v="Location 6"/>
    <n v="714.35"/>
  </r>
  <r>
    <n v="216"/>
    <n v="154299.6"/>
    <d v="2023-01-19T00:00:00"/>
    <x v="136"/>
    <s v="Romania"/>
    <s v="Location 6"/>
    <n v="714.35"/>
  </r>
  <r>
    <n v="32"/>
    <n v="22859.200000000001"/>
    <d v="2023-01-19T00:00:00"/>
    <x v="136"/>
    <s v="Romania"/>
    <s v="Location 6"/>
    <n v="714.35"/>
  </r>
  <r>
    <n v="144"/>
    <n v="102866.4"/>
    <d v="2023-01-19T00:00:00"/>
    <x v="136"/>
    <s v="Romania"/>
    <s v="Location 6"/>
    <n v="714.35"/>
  </r>
  <r>
    <n v="108"/>
    <n v="77149.8"/>
    <d v="2023-01-19T00:00:00"/>
    <x v="136"/>
    <s v="Romania"/>
    <s v="Location 6"/>
    <n v="714.35"/>
  </r>
  <r>
    <n v="180"/>
    <n v="128583"/>
    <d v="2023-01-19T00:00:00"/>
    <x v="136"/>
    <s v="Romania"/>
    <s v="Location 6"/>
    <n v="714.35"/>
  </r>
  <r>
    <n v="216"/>
    <n v="154299.6"/>
    <d v="2023-01-19T00:00:00"/>
    <x v="136"/>
    <s v="Romania"/>
    <s v="Location 6"/>
    <n v="714.35"/>
  </r>
  <r>
    <n v="144"/>
    <n v="102866.4"/>
    <d v="2023-01-19T00:00:00"/>
    <x v="136"/>
    <s v="Romania"/>
    <s v="Location 6"/>
    <n v="714.35"/>
  </r>
  <r>
    <n v="180"/>
    <n v="128583"/>
    <d v="2023-01-19T00:00:00"/>
    <x v="136"/>
    <s v="Romania"/>
    <s v="Location 6"/>
    <n v="714.35"/>
  </r>
  <r>
    <n v="216"/>
    <n v="154299.6"/>
    <d v="2023-01-19T00:00:00"/>
    <x v="136"/>
    <s v="Romania"/>
    <s v="Location 6"/>
    <n v="714.35"/>
  </r>
  <r>
    <n v="180"/>
    <n v="128583"/>
    <d v="2023-01-19T00:00:00"/>
    <x v="136"/>
    <s v="Romania"/>
    <s v="Location 6"/>
    <n v="714.35"/>
  </r>
  <r>
    <n v="432"/>
    <n v="87730.559999999998"/>
    <d v="2023-01-26T00:00:00"/>
    <x v="130"/>
    <s v="Romania"/>
    <s v="Location 6"/>
    <n v="203.08"/>
  </r>
  <r>
    <n v="1820"/>
    <n v="4313.3999999999996"/>
    <d v="2023-01-26T00:00:00"/>
    <x v="21"/>
    <s v="Romania"/>
    <s v="Location 6"/>
    <n v="2.37"/>
  </r>
  <r>
    <n v="588"/>
    <n v="128813.16"/>
    <d v="2023-01-26T00:00:00"/>
    <x v="134"/>
    <s v="Romania"/>
    <s v="Location 6"/>
    <n v="219.07"/>
  </r>
  <r>
    <n v="120"/>
    <n v="23022"/>
    <d v="2023-01-26T00:00:00"/>
    <x v="128"/>
    <s v="Romania"/>
    <s v="Location 6"/>
    <n v="191.85"/>
  </r>
  <r>
    <n v="160"/>
    <n v="114296"/>
    <d v="2023-01-26T00:00:00"/>
    <x v="136"/>
    <s v="Romania"/>
    <s v="Location 6"/>
    <n v="714.35"/>
  </r>
  <r>
    <n v="940"/>
    <n v="1541.6"/>
    <d v="2023-01-27T00:00:00"/>
    <x v="138"/>
    <s v="Romania"/>
    <s v="Location 6"/>
    <n v="1.64"/>
  </r>
  <r>
    <n v="7"/>
    <n v="101.08"/>
    <d v="2023-02-06T00:00:00"/>
    <x v="129"/>
    <s v="Romania"/>
    <s v="Location 6"/>
    <n v="14.44"/>
  </r>
  <r>
    <n v="20"/>
    <n v="14287"/>
    <d v="2023-02-06T00:00:00"/>
    <x v="136"/>
    <s v="Romania"/>
    <s v="Location 6"/>
    <n v="714.35"/>
  </r>
  <r>
    <n v="222"/>
    <n v="3205.68"/>
    <d v="2023-02-08T00:00:00"/>
    <x v="129"/>
    <s v="Romania"/>
    <s v="Location 6"/>
    <n v="14.44"/>
  </r>
  <r>
    <n v="144"/>
    <n v="102866.4"/>
    <d v="2023-02-08T00:00:00"/>
    <x v="136"/>
    <s v="Romania"/>
    <s v="Location 6"/>
    <n v="714.35"/>
  </r>
  <r>
    <n v="252"/>
    <n v="180016.2"/>
    <d v="2023-02-08T00:00:00"/>
    <x v="136"/>
    <s v="Romania"/>
    <s v="Location 6"/>
    <n v="714.35"/>
  </r>
  <r>
    <n v="12100"/>
    <n v="68728"/>
    <d v="2023-02-09T00:00:00"/>
    <x v="106"/>
    <s v="Romania"/>
    <s v="Location 6"/>
    <n v="5.68"/>
  </r>
  <r>
    <n v="252"/>
    <n v="106089.48"/>
    <d v="2023-02-14T00:00:00"/>
    <x v="91"/>
    <s v="Romania"/>
    <s v="Location 6"/>
    <n v="420.99"/>
  </r>
  <r>
    <n v="86"/>
    <n v="61434.1"/>
    <d v="2023-02-15T00:00:00"/>
    <x v="136"/>
    <s v="Romania"/>
    <s v="Location 6"/>
    <n v="714.35"/>
  </r>
  <r>
    <n v="1120"/>
    <n v="1836.8"/>
    <d v="2023-02-22T00:00:00"/>
    <x v="138"/>
    <s v="Romania"/>
    <s v="Location 6"/>
    <n v="1.64"/>
  </r>
  <r>
    <n v="1512"/>
    <n v="455686.56"/>
    <d v="2023-02-22T00:00:00"/>
    <x v="139"/>
    <s v="Romania"/>
    <s v="Location 6"/>
    <n v="301.38"/>
  </r>
  <r>
    <n v="308"/>
    <n v="18014.919999999998"/>
    <d v="2023-02-22T00:00:00"/>
    <x v="135"/>
    <s v="Romania"/>
    <s v="Location 6"/>
    <n v="58.49"/>
  </r>
  <r>
    <n v="432"/>
    <n v="87730.559999999998"/>
    <d v="2023-03-03T00:00:00"/>
    <x v="130"/>
    <s v="Romania"/>
    <s v="Location 6"/>
    <n v="203.08"/>
  </r>
  <r>
    <n v="432"/>
    <n v="87730.559999999998"/>
    <d v="2023-03-15T00:00:00"/>
    <x v="130"/>
    <s v="Romania"/>
    <s v="Location 6"/>
    <n v="203.08"/>
  </r>
  <r>
    <n v="432"/>
    <n v="87730.559999999998"/>
    <d v="2023-03-15T00:00:00"/>
    <x v="130"/>
    <s v="Romania"/>
    <s v="Location 6"/>
    <n v="203.08"/>
  </r>
  <r>
    <n v="84"/>
    <n v="57440.04"/>
    <d v="2023-03-15T00:00:00"/>
    <x v="131"/>
    <s v="Romania"/>
    <s v="Location 6"/>
    <n v="683.81"/>
  </r>
  <r>
    <n v="216"/>
    <n v="154299.6"/>
    <d v="2023-03-21T00:00:00"/>
    <x v="136"/>
    <s v="Romania"/>
    <s v="Location 6"/>
    <n v="714.35"/>
  </r>
  <r>
    <n v="180"/>
    <n v="295.2"/>
    <d v="2023-03-22T00:00:00"/>
    <x v="138"/>
    <s v="Romania"/>
    <s v="Location 6"/>
    <n v="1.64"/>
  </r>
  <r>
    <n v="940"/>
    <n v="1541.6"/>
    <d v="2023-03-22T00:00:00"/>
    <x v="138"/>
    <s v="Romania"/>
    <s v="Location 6"/>
    <n v="1.64"/>
  </r>
  <r>
    <n v="15876"/>
    <n v="90175.679999999993"/>
    <d v="2023-03-23T00:00:00"/>
    <x v="106"/>
    <s v="Romania"/>
    <s v="Location 6"/>
    <n v="5.68"/>
  </r>
  <r>
    <n v="432"/>
    <n v="87730.559999999998"/>
    <d v="2023-03-27T00:00:00"/>
    <x v="130"/>
    <s v="Romania"/>
    <s v="Location 6"/>
    <n v="203.08"/>
  </r>
  <r>
    <n v="432"/>
    <n v="87730.559999999998"/>
    <d v="2023-04-04T00:00:00"/>
    <x v="130"/>
    <s v="Romania"/>
    <s v="Location 6"/>
    <n v="203.08"/>
  </r>
  <r>
    <n v="588"/>
    <n v="57953.279999999999"/>
    <d v="2023-04-11T00:00:00"/>
    <x v="18"/>
    <s v="Romania"/>
    <s v="Location 6"/>
    <n v="98.56"/>
  </r>
  <r>
    <n v="432"/>
    <n v="87730.559999999998"/>
    <d v="2023-04-18T00:00:00"/>
    <x v="130"/>
    <s v="Romania"/>
    <s v="Location 6"/>
    <n v="203.08"/>
  </r>
  <r>
    <n v="432"/>
    <n v="87730.559999999998"/>
    <d v="2023-04-18T00:00:00"/>
    <x v="130"/>
    <s v="Romania"/>
    <s v="Location 6"/>
    <n v="203.08"/>
  </r>
  <r>
    <n v="58"/>
    <n v="41432.300000000003"/>
    <d v="2023-05-25T00:00:00"/>
    <x v="136"/>
    <s v="Romania"/>
    <s v="Location 6"/>
    <n v="714.35"/>
  </r>
  <r>
    <n v="158"/>
    <n v="112867.3"/>
    <d v="2023-05-25T00:00:00"/>
    <x v="136"/>
    <s v="Romania"/>
    <s v="Location 6"/>
    <n v="714.35"/>
  </r>
  <r>
    <n v="1820"/>
    <n v="4368"/>
    <d v="2023-06-01T00:00:00"/>
    <x v="117"/>
    <s v="Romania"/>
    <s v="Location 6"/>
    <n v="2.4"/>
  </r>
  <r>
    <n v="158"/>
    <n v="112867.3"/>
    <d v="2023-06-01T00:00:00"/>
    <x v="136"/>
    <s v="Romania"/>
    <s v="Location 6"/>
    <n v="714.35"/>
  </r>
  <r>
    <n v="1820"/>
    <n v="4568.2"/>
    <d v="2023-06-12T00:00:00"/>
    <x v="21"/>
    <s v="Romania"/>
    <s v="Location 6"/>
    <n v="2.5099999999999998"/>
  </r>
  <r>
    <n v="1820"/>
    <n v="4568.2"/>
    <d v="2023-06-12T00:00:00"/>
    <x v="21"/>
    <s v="Romania"/>
    <s v="Location 6"/>
    <n v="2.5099999999999998"/>
  </r>
  <r>
    <n v="1820"/>
    <n v="4568.2"/>
    <d v="2023-06-12T00:00:00"/>
    <x v="21"/>
    <s v="Romania"/>
    <s v="Location 6"/>
    <n v="2.5099999999999998"/>
  </r>
  <r>
    <n v="1820"/>
    <n v="4568.2"/>
    <d v="2023-06-12T00:00:00"/>
    <x v="21"/>
    <s v="Romania"/>
    <s v="Location 6"/>
    <n v="2.5099999999999998"/>
  </r>
  <r>
    <n v="109"/>
    <n v="1573.96"/>
    <d v="2023-06-16T00:00:00"/>
    <x v="129"/>
    <s v="Romania"/>
    <s v="Location 6"/>
    <n v="14.44"/>
  </r>
  <r>
    <n v="208"/>
    <n v="3003.52"/>
    <d v="2023-06-16T00:00:00"/>
    <x v="129"/>
    <s v="Romania"/>
    <s v="Location 6"/>
    <n v="14.44"/>
  </r>
  <r>
    <n v="3780"/>
    <n v="55603.8"/>
    <d v="2023-06-23T00:00:00"/>
    <x v="42"/>
    <s v="Romania"/>
    <s v="Location 6"/>
    <n v="14.71"/>
  </r>
  <r>
    <n v="1820"/>
    <n v="4568.2"/>
    <d v="2023-06-23T00:00:00"/>
    <x v="21"/>
    <s v="Romania"/>
    <s v="Location 6"/>
    <n v="2.5099999999999998"/>
  </r>
  <r>
    <n v="1820"/>
    <n v="4568.2"/>
    <d v="2023-06-23T00:00:00"/>
    <x v="21"/>
    <s v="Romania"/>
    <s v="Location 6"/>
    <n v="2.5099999999999998"/>
  </r>
  <r>
    <n v="58"/>
    <n v="41432.300000000003"/>
    <d v="2023-06-28T00:00:00"/>
    <x v="136"/>
    <s v="Romania"/>
    <s v="Location 6"/>
    <n v="714.35"/>
  </r>
  <r>
    <n v="252"/>
    <n v="180016.2"/>
    <d v="2023-06-28T00:00:00"/>
    <x v="136"/>
    <s v="Romania"/>
    <s v="Location 6"/>
    <n v="714.35"/>
  </r>
  <r>
    <n v="252"/>
    <n v="180016.2"/>
    <d v="2023-06-28T00:00:00"/>
    <x v="136"/>
    <s v="Romania"/>
    <s v="Location 6"/>
    <n v="714.35"/>
  </r>
  <r>
    <n v="216"/>
    <n v="154299.6"/>
    <d v="2023-06-28T00:00:00"/>
    <x v="136"/>
    <s v="Romania"/>
    <s v="Location 6"/>
    <n v="714.35"/>
  </r>
  <r>
    <n v="1120"/>
    <n v="62227.199999999997"/>
    <d v="2023-06-30T00:00:00"/>
    <x v="49"/>
    <s v="Romania"/>
    <s v="Location 6"/>
    <n v="55.56"/>
  </r>
  <r>
    <n v="166"/>
    <n v="118582.1"/>
    <d v="2023-07-07T00:00:00"/>
    <x v="136"/>
    <s v="Romania"/>
    <s v="Location 6"/>
    <n v="714.35"/>
  </r>
  <r>
    <n v="86"/>
    <n v="61434.1"/>
    <d v="2023-07-07T00:00:00"/>
    <x v="136"/>
    <s v="Romania"/>
    <s v="Location 6"/>
    <n v="714.35"/>
  </r>
  <r>
    <n v="216"/>
    <n v="154299.6"/>
    <d v="2023-07-07T00:00:00"/>
    <x v="136"/>
    <s v="Romania"/>
    <s v="Location 6"/>
    <n v="714.35"/>
  </r>
  <r>
    <n v="252"/>
    <n v="180016.2"/>
    <d v="2023-07-07T00:00:00"/>
    <x v="136"/>
    <s v="Romania"/>
    <s v="Location 6"/>
    <n v="714.35"/>
  </r>
  <r>
    <n v="420"/>
    <n v="4363.8"/>
    <d v="2023-07-12T00:00:00"/>
    <x v="133"/>
    <s v="Romania"/>
    <s v="Location 6"/>
    <n v="10.39"/>
  </r>
  <r>
    <n v="3780"/>
    <n v="55603.8"/>
    <d v="2023-07-13T00:00:00"/>
    <x v="42"/>
    <s v="Romania"/>
    <s v="Location 6"/>
    <n v="14.71"/>
  </r>
  <r>
    <n v="13030"/>
    <n v="74010.399999999994"/>
    <d v="2023-07-13T00:00:00"/>
    <x v="106"/>
    <s v="Romania"/>
    <s v="Location 6"/>
    <n v="5.68"/>
  </r>
  <r>
    <n v="588"/>
    <n v="57953.279999999999"/>
    <d v="2023-07-14T00:00:00"/>
    <x v="18"/>
    <s v="Romania"/>
    <s v="Location 6"/>
    <n v="98.56"/>
  </r>
  <r>
    <n v="588"/>
    <n v="57953.279999999999"/>
    <d v="2023-07-14T00:00:00"/>
    <x v="18"/>
    <s v="Romania"/>
    <s v="Location 6"/>
    <n v="98.56"/>
  </r>
  <r>
    <n v="588"/>
    <n v="57953.279999999999"/>
    <d v="2023-07-18T00:00:00"/>
    <x v="18"/>
    <s v="Romania"/>
    <s v="Location 6"/>
    <n v="98.56"/>
  </r>
  <r>
    <n v="588"/>
    <n v="57953.279999999999"/>
    <d v="2023-07-18T00:00:00"/>
    <x v="18"/>
    <s v="Romania"/>
    <s v="Location 6"/>
    <n v="98.56"/>
  </r>
  <r>
    <n v="588"/>
    <n v="57953.279999999999"/>
    <d v="2023-07-18T00:00:00"/>
    <x v="18"/>
    <s v="Romania"/>
    <s v="Location 6"/>
    <n v="98.56"/>
  </r>
  <r>
    <n v="588"/>
    <n v="57953.279999999999"/>
    <d v="2023-07-18T00:00:00"/>
    <x v="18"/>
    <s v="Romania"/>
    <s v="Location 6"/>
    <n v="98.56"/>
  </r>
  <r>
    <n v="588"/>
    <n v="57953.279999999999"/>
    <d v="2023-07-21T00:00:00"/>
    <x v="18"/>
    <s v="Romania"/>
    <s v="Location 6"/>
    <n v="98.56"/>
  </r>
  <r>
    <n v="108"/>
    <n v="77149.8"/>
    <d v="2023-07-31T00:00:00"/>
    <x v="136"/>
    <s v="Romania"/>
    <s v="Location 6"/>
    <n v="714.35"/>
  </r>
  <r>
    <n v="50"/>
    <n v="35717.5"/>
    <d v="2023-07-31T00:00:00"/>
    <x v="136"/>
    <s v="Romania"/>
    <s v="Location 6"/>
    <n v="714.35"/>
  </r>
  <r>
    <n v="144"/>
    <n v="102866.4"/>
    <d v="2023-07-31T00:00:00"/>
    <x v="136"/>
    <s v="Romania"/>
    <s v="Location 6"/>
    <n v="714.35"/>
  </r>
  <r>
    <n v="180"/>
    <n v="128583"/>
    <d v="2023-07-31T00:00:00"/>
    <x v="136"/>
    <s v="Romania"/>
    <s v="Location 6"/>
    <n v="714.35"/>
  </r>
  <r>
    <n v="130"/>
    <n v="92865.5"/>
    <d v="2023-07-31T00:00:00"/>
    <x v="136"/>
    <s v="Romania"/>
    <s v="Location 6"/>
    <n v="714.35"/>
  </r>
  <r>
    <n v="216"/>
    <n v="154299.6"/>
    <d v="2023-07-31T00:00:00"/>
    <x v="136"/>
    <s v="Romania"/>
    <s v="Location 6"/>
    <n v="714.35"/>
  </r>
  <r>
    <n v="216"/>
    <n v="154299.6"/>
    <d v="2023-07-31T00:00:00"/>
    <x v="136"/>
    <s v="Romania"/>
    <s v="Location 6"/>
    <n v="714.35"/>
  </r>
  <r>
    <n v="588"/>
    <n v="57953.279999999999"/>
    <d v="2023-08-10T00:00:00"/>
    <x v="18"/>
    <s v="Romania"/>
    <s v="Location 6"/>
    <n v="98.56"/>
  </r>
  <r>
    <n v="588"/>
    <n v="57953.279999999999"/>
    <d v="2023-08-10T00:00:00"/>
    <x v="18"/>
    <s v="Romania"/>
    <s v="Location 6"/>
    <n v="98.56"/>
  </r>
  <r>
    <n v="3000"/>
    <n v="7020"/>
    <d v="2023-01-17T00:00:00"/>
    <x v="81"/>
    <s v="USA"/>
    <s v="Location 16"/>
    <n v="2.34"/>
  </r>
  <r>
    <n v="3000"/>
    <n v="7020"/>
    <d v="2023-01-17T00:00:00"/>
    <x v="81"/>
    <s v="USA"/>
    <s v="Location 16"/>
    <n v="2.34"/>
  </r>
  <r>
    <n v="3000"/>
    <n v="7020"/>
    <d v="2023-01-17T00:00:00"/>
    <x v="81"/>
    <s v="USA"/>
    <s v="Location 16"/>
    <n v="2.34"/>
  </r>
  <r>
    <n v="3000"/>
    <n v="7020"/>
    <d v="2023-01-17T00:00:00"/>
    <x v="81"/>
    <s v="USA"/>
    <s v="Location 16"/>
    <n v="2.34"/>
  </r>
  <r>
    <n v="3000"/>
    <n v="7020"/>
    <d v="2023-01-17T00:00:00"/>
    <x v="81"/>
    <s v="USA"/>
    <s v="Location 16"/>
    <n v="2.34"/>
  </r>
  <r>
    <n v="3000"/>
    <n v="7020"/>
    <d v="2023-01-17T00:00:00"/>
    <x v="81"/>
    <s v="USA"/>
    <s v="Location 16"/>
    <n v="2.34"/>
  </r>
  <r>
    <n v="3000"/>
    <n v="2719.2"/>
    <d v="2022-01-21T00:00:00"/>
    <x v="77"/>
    <s v="USA"/>
    <s v="Location 16"/>
    <n v="0.90639999999999998"/>
  </r>
  <r>
    <n v="3000"/>
    <n v="7020"/>
    <d v="2022-01-25T00:00:00"/>
    <x v="81"/>
    <s v="USA"/>
    <s v="Location 16"/>
    <n v="2.34"/>
  </r>
  <r>
    <n v="3000"/>
    <n v="1320"/>
    <d v="2022-02-01T00:00:00"/>
    <x v="78"/>
    <s v="USA"/>
    <s v="Location 16"/>
    <n v="0.44"/>
  </r>
  <r>
    <n v="3000"/>
    <n v="7020"/>
    <d v="2022-02-02T00:00:00"/>
    <x v="81"/>
    <s v="USA"/>
    <s v="Location 16"/>
    <n v="2.34"/>
  </r>
  <r>
    <n v="3000"/>
    <n v="3720"/>
    <d v="2023-02-06T00:00:00"/>
    <x v="63"/>
    <s v="USA"/>
    <s v="Location 16"/>
    <n v="1.24"/>
  </r>
  <r>
    <n v="3000"/>
    <n v="9450"/>
    <d v="2023-02-14T00:00:00"/>
    <x v="62"/>
    <s v="USA"/>
    <s v="Location 16"/>
    <n v="3.15"/>
  </r>
  <r>
    <n v="3000"/>
    <n v="7020"/>
    <d v="2022-02-23T00:00:00"/>
    <x v="81"/>
    <s v="USA"/>
    <s v="Location 16"/>
    <n v="2.34"/>
  </r>
  <r>
    <n v="3000"/>
    <n v="3720"/>
    <d v="2022-05-17T00:00:00"/>
    <x v="63"/>
    <s v="USA"/>
    <s v="Location 16"/>
    <n v="1.24"/>
  </r>
  <r>
    <n v="3000"/>
    <n v="9450"/>
    <d v="2022-05-17T00:00:00"/>
    <x v="62"/>
    <s v="USA"/>
    <s v="Location 16"/>
    <n v="3.15"/>
  </r>
  <r>
    <n v="3000"/>
    <n v="7020"/>
    <d v="2022-05-23T00:00:00"/>
    <x v="81"/>
    <s v="USA"/>
    <s v="Location 16"/>
    <n v="2.34"/>
  </r>
  <r>
    <n v="3000"/>
    <n v="7020"/>
    <d v="2023-05-25T00:00:00"/>
    <x v="81"/>
    <s v="USA"/>
    <s v="Location 16"/>
    <n v="2.34"/>
  </r>
  <r>
    <n v="3000"/>
    <n v="3720"/>
    <d v="2023-05-26T00:00:00"/>
    <x v="63"/>
    <s v="USA"/>
    <s v="Location 16"/>
    <n v="1.24"/>
  </r>
  <r>
    <n v="3000"/>
    <n v="4620"/>
    <d v="2023-05-26T00:00:00"/>
    <x v="64"/>
    <s v="USA"/>
    <s v="Location 16"/>
    <n v="1.54"/>
  </r>
  <r>
    <n v="3000"/>
    <n v="5610"/>
    <d v="2022-07-01T00:00:00"/>
    <x v="61"/>
    <s v="USA"/>
    <s v="Location 16"/>
    <n v="1.87"/>
  </r>
  <r>
    <n v="3000"/>
    <n v="9450"/>
    <d v="2022-07-01T00:00:00"/>
    <x v="62"/>
    <s v="USA"/>
    <s v="Location 16"/>
    <n v="3.15"/>
  </r>
  <r>
    <n v="3000"/>
    <n v="3720"/>
    <d v="2023-07-07T00:00:00"/>
    <x v="63"/>
    <s v="USA"/>
    <s v="Location 16"/>
    <n v="1.24"/>
  </r>
  <r>
    <n v="3000"/>
    <n v="3720"/>
    <d v="2023-07-07T00:00:00"/>
    <x v="63"/>
    <s v="USA"/>
    <s v="Location 16"/>
    <n v="1.24"/>
  </r>
  <r>
    <n v="3000"/>
    <n v="7020"/>
    <d v="2023-07-07T00:00:00"/>
    <x v="81"/>
    <s v="USA"/>
    <s v="Location 16"/>
    <n v="2.34"/>
  </r>
  <r>
    <n v="3000"/>
    <n v="9450"/>
    <d v="2022-02-23T00:00:00"/>
    <x v="62"/>
    <s v="USA"/>
    <s v="Location 16"/>
    <n v="3.15"/>
  </r>
  <r>
    <n v="3000"/>
    <n v="3690"/>
    <d v="2022-02-25T00:00:00"/>
    <x v="63"/>
    <s v="USA"/>
    <s v="Location 16"/>
    <n v="1.23"/>
  </r>
  <r>
    <n v="3000"/>
    <n v="3690"/>
    <d v="2022-02-25T00:00:00"/>
    <x v="63"/>
    <s v="USA"/>
    <s v="Location 16"/>
    <n v="1.23"/>
  </r>
  <r>
    <n v="3000"/>
    <n v="5610"/>
    <d v="2023-03-08T00:00:00"/>
    <x v="61"/>
    <s v="USA"/>
    <s v="Location 16"/>
    <n v="1.87"/>
  </r>
  <r>
    <n v="3000"/>
    <n v="3720"/>
    <d v="2022-03-11T00:00:00"/>
    <x v="63"/>
    <s v="USA"/>
    <s v="Location 16"/>
    <n v="1.24"/>
  </r>
  <r>
    <n v="3000"/>
    <n v="5610"/>
    <d v="2022-03-30T00:00:00"/>
    <x v="61"/>
    <s v="USA"/>
    <s v="Location 16"/>
    <n v="1.87"/>
  </r>
  <r>
    <n v="3000"/>
    <n v="7020"/>
    <d v="2022-04-02T00:00:00"/>
    <x v="81"/>
    <s v="USA"/>
    <s v="Location 16"/>
    <n v="2.34"/>
  </r>
  <r>
    <n v="3000"/>
    <n v="3720"/>
    <d v="2022-04-19T00:00:00"/>
    <x v="63"/>
    <s v="USA"/>
    <s v="Location 16"/>
    <n v="1.24"/>
  </r>
  <r>
    <n v="3000"/>
    <n v="5610"/>
    <d v="2022-04-19T00:00:00"/>
    <x v="61"/>
    <s v="USA"/>
    <s v="Location 16"/>
    <n v="1.87"/>
  </r>
  <r>
    <n v="3000"/>
    <n v="1323"/>
    <d v="2023-04-19T00:00:00"/>
    <x v="78"/>
    <s v="USA"/>
    <s v="Location 16"/>
    <n v="0.441"/>
  </r>
  <r>
    <n v="3000"/>
    <n v="9450"/>
    <d v="2023-06-23T00:00:00"/>
    <x v="62"/>
    <s v="USA"/>
    <s v="Location 16"/>
    <n v="3.15"/>
  </r>
  <r>
    <n v="3000"/>
    <n v="3720"/>
    <d v="2022-06-24T00:00:00"/>
    <x v="63"/>
    <s v="USA"/>
    <s v="Location 16"/>
    <n v="1.24"/>
  </r>
  <r>
    <n v="3000"/>
    <n v="7020"/>
    <d v="2022-06-24T00:00:00"/>
    <x v="81"/>
    <s v="USA"/>
    <s v="Location 16"/>
    <n v="2.34"/>
  </r>
  <r>
    <n v="3000"/>
    <n v="3720"/>
    <d v="2023-06-26T00:00:00"/>
    <x v="63"/>
    <s v="USA"/>
    <s v="Location 16"/>
    <n v="1.24"/>
  </r>
  <r>
    <n v="3000"/>
    <n v="5610"/>
    <d v="2023-06-26T00:00:00"/>
    <x v="61"/>
    <s v="USA"/>
    <s v="Location 16"/>
    <n v="1.87"/>
  </r>
  <r>
    <n v="3000"/>
    <n v="5610"/>
    <d v="2023-06-26T00:00:00"/>
    <x v="61"/>
    <s v="USA"/>
    <s v="Location 16"/>
    <n v="1.87"/>
  </r>
  <r>
    <n v="3000"/>
    <n v="5610"/>
    <d v="2023-06-26T00:00:00"/>
    <x v="61"/>
    <s v="USA"/>
    <s v="Location 16"/>
    <n v="1.87"/>
  </r>
  <r>
    <n v="3000"/>
    <n v="7020"/>
    <d v="2023-06-26T00:00:00"/>
    <x v="81"/>
    <s v="USA"/>
    <s v="Location 16"/>
    <n v="2.34"/>
  </r>
  <r>
    <n v="3000"/>
    <n v="7020"/>
    <d v="2023-07-07T00:00:00"/>
    <x v="81"/>
    <s v="USA"/>
    <s v="Location 16"/>
    <n v="2.34"/>
  </r>
  <r>
    <n v="3000"/>
    <n v="7020"/>
    <d v="2023-07-07T00:00:00"/>
    <x v="81"/>
    <s v="USA"/>
    <s v="Location 16"/>
    <n v="2.34"/>
  </r>
  <r>
    <n v="3000"/>
    <n v="9456"/>
    <d v="2023-07-10T00:00:00"/>
    <x v="62"/>
    <s v="USA"/>
    <s v="Location 16"/>
    <n v="3.1520000000000001"/>
  </r>
  <r>
    <n v="3000"/>
    <n v="7020"/>
    <d v="2022-07-15T00:00:00"/>
    <x v="81"/>
    <s v="USA"/>
    <s v="Location 16"/>
    <n v="2.34"/>
  </r>
  <r>
    <n v="3000"/>
    <n v="3720"/>
    <d v="2022-07-20T00:00:00"/>
    <x v="63"/>
    <s v="USA"/>
    <s v="Location 16"/>
    <n v="1.24"/>
  </r>
  <r>
    <n v="3000"/>
    <n v="7020"/>
    <d v="2022-07-20T00:00:00"/>
    <x v="81"/>
    <s v="USA"/>
    <s v="Location 16"/>
    <n v="2.34"/>
  </r>
  <r>
    <n v="3000"/>
    <n v="7020"/>
    <d v="2022-07-20T00:00:00"/>
    <x v="81"/>
    <s v="USA"/>
    <s v="Location 16"/>
    <n v="2.34"/>
  </r>
  <r>
    <n v="3000"/>
    <n v="9450"/>
    <d v="2022-07-25T00:00:00"/>
    <x v="62"/>
    <s v="USA"/>
    <s v="Location 16"/>
    <n v="3.15"/>
  </r>
  <r>
    <n v="3000"/>
    <n v="9450"/>
    <d v="2022-07-25T00:00:00"/>
    <x v="62"/>
    <s v="USA"/>
    <s v="Location 16"/>
    <n v="3.15"/>
  </r>
  <r>
    <n v="3000"/>
    <n v="9450"/>
    <d v="2022-07-25T00:00:00"/>
    <x v="62"/>
    <s v="USA"/>
    <s v="Location 16"/>
    <n v="3.15"/>
  </r>
  <r>
    <n v="3000"/>
    <n v="3720"/>
    <d v="2022-08-08T00:00:00"/>
    <x v="63"/>
    <s v="USA"/>
    <s v="Location 16"/>
    <n v="1.24"/>
  </r>
  <r>
    <n v="3000"/>
    <n v="7020"/>
    <d v="2022-04-26T00:00:00"/>
    <x v="81"/>
    <s v="USA"/>
    <s v="Location 16"/>
    <n v="2.34"/>
  </r>
  <r>
    <n v="3000"/>
    <n v="4620"/>
    <d v="2023-05-05T00:00:00"/>
    <x v="64"/>
    <s v="USA"/>
    <s v="Location 16"/>
    <n v="1.54"/>
  </r>
  <r>
    <n v="3000"/>
    <n v="3720"/>
    <d v="2022-08-09T00:00:00"/>
    <x v="63"/>
    <s v="USA"/>
    <s v="Location 16"/>
    <n v="1.24"/>
  </r>
  <r>
    <n v="3000"/>
    <n v="3720"/>
    <d v="2022-08-09T00:00:00"/>
    <x v="63"/>
    <s v="USA"/>
    <s v="Location 16"/>
    <n v="1.24"/>
  </r>
  <r>
    <n v="3000"/>
    <n v="3720"/>
    <d v="2022-08-19T00:00:00"/>
    <x v="63"/>
    <s v="USA"/>
    <s v="Location 16"/>
    <n v="1.24"/>
  </r>
  <r>
    <n v="3000"/>
    <n v="3120"/>
    <d v="2022-08-17T00:00:00"/>
    <x v="77"/>
    <s v="USA"/>
    <s v="Location 16"/>
    <n v="1.04"/>
  </r>
  <r>
    <n v="3000"/>
    <n v="4620"/>
    <d v="2022-08-19T00:00:00"/>
    <x v="64"/>
    <s v="USA"/>
    <s v="Location 16"/>
    <n v="1.54"/>
  </r>
  <r>
    <n v="3000"/>
    <n v="3720"/>
    <d v="2022-08-09T00:00:00"/>
    <x v="63"/>
    <s v="USA"/>
    <s v="Location 16"/>
    <n v="1.24"/>
  </r>
  <r>
    <n v="3000"/>
    <n v="3720"/>
    <d v="2022-08-09T00:00:00"/>
    <x v="63"/>
    <s v="USA"/>
    <s v="Location 16"/>
    <n v="1.24"/>
  </r>
  <r>
    <n v="3000"/>
    <n v="5610"/>
    <d v="2022-09-23T00:00:00"/>
    <x v="61"/>
    <s v="USA"/>
    <s v="Location 16"/>
    <n v="1.87"/>
  </r>
  <r>
    <n v="3000"/>
    <n v="3120"/>
    <d v="2022-11-11T00:00:00"/>
    <x v="77"/>
    <s v="USA"/>
    <s v="Location 16"/>
    <n v="1.04"/>
  </r>
  <r>
    <n v="3000"/>
    <n v="5610"/>
    <d v="2022-12-05T00:00:00"/>
    <x v="61"/>
    <s v="USA"/>
    <s v="Location 16"/>
    <n v="1.87"/>
  </r>
  <r>
    <n v="3000"/>
    <n v="5280"/>
    <d v="2022-01-06T00:00:00"/>
    <x v="6"/>
    <s v="USA"/>
    <s v="Location 16"/>
    <n v="1.76"/>
  </r>
  <r>
    <n v="3000"/>
    <n v="5280"/>
    <d v="2022-01-11T00:00:00"/>
    <x v="6"/>
    <s v="USA"/>
    <s v="Location 16"/>
    <n v="1.76"/>
  </r>
  <r>
    <n v="3000"/>
    <n v="5280"/>
    <d v="2022-01-19T00:00:00"/>
    <x v="6"/>
    <s v="USA"/>
    <s v="Location 16"/>
    <n v="1.76"/>
  </r>
  <r>
    <n v="3000"/>
    <n v="5280"/>
    <d v="2022-01-20T00:00:00"/>
    <x v="6"/>
    <s v="USA"/>
    <s v="Location 16"/>
    <n v="1.76"/>
  </r>
  <r>
    <n v="3000"/>
    <n v="5280"/>
    <d v="2022-01-28T00:00:00"/>
    <x v="6"/>
    <s v="USA"/>
    <s v="Location 16"/>
    <n v="1.76"/>
  </r>
  <r>
    <n v="3000"/>
    <n v="5280"/>
    <d v="2022-02-02T00:00:00"/>
    <x v="6"/>
    <s v="USA"/>
    <s v="Location 16"/>
    <n v="1.76"/>
  </r>
  <r>
    <n v="3000"/>
    <n v="5280"/>
    <d v="2023-02-07T00:00:00"/>
    <x v="6"/>
    <s v="USA"/>
    <s v="Location 16"/>
    <n v="1.76"/>
  </r>
  <r>
    <n v="3000"/>
    <n v="5940"/>
    <d v="2023-02-07T00:00:00"/>
    <x v="57"/>
    <s v="USA"/>
    <s v="Location 16"/>
    <n v="1.98"/>
  </r>
  <r>
    <n v="3000"/>
    <n v="5940"/>
    <d v="2023-02-07T00:00:00"/>
    <x v="57"/>
    <s v="USA"/>
    <s v="Location 16"/>
    <n v="1.98"/>
  </r>
  <r>
    <n v="3000"/>
    <n v="5280"/>
    <d v="2022-02-18T00:00:00"/>
    <x v="6"/>
    <s v="USA"/>
    <s v="Location 16"/>
    <n v="1.76"/>
  </r>
  <r>
    <n v="3000"/>
    <n v="5280"/>
    <d v="2022-02-18T00:00:00"/>
    <x v="6"/>
    <s v="USA"/>
    <s v="Location 16"/>
    <n v="1.76"/>
  </r>
  <r>
    <n v="3000"/>
    <n v="5280"/>
    <d v="2022-02-23T00:00:00"/>
    <x v="6"/>
    <s v="USA"/>
    <s v="Location 16"/>
    <n v="1.76"/>
  </r>
  <r>
    <n v="3000"/>
    <n v="5280"/>
    <d v="2023-04-04T00:00:00"/>
    <x v="6"/>
    <s v="USA"/>
    <s v="Location 16"/>
    <n v="1.76"/>
  </r>
  <r>
    <n v="3000"/>
    <n v="5940"/>
    <d v="2023-04-25T00:00:00"/>
    <x v="57"/>
    <s v="USA"/>
    <s v="Location 16"/>
    <n v="1.98"/>
  </r>
  <r>
    <n v="3000"/>
    <n v="5280"/>
    <d v="2023-05-05T00:00:00"/>
    <x v="6"/>
    <s v="USA"/>
    <s v="Location 16"/>
    <n v="1.76"/>
  </r>
  <r>
    <n v="3000"/>
    <n v="5940"/>
    <d v="2022-05-19T00:00:00"/>
    <x v="57"/>
    <s v="USA"/>
    <s v="Location 16"/>
    <n v="1.98"/>
  </r>
  <r>
    <n v="3000"/>
    <n v="5940"/>
    <d v="2022-05-23T00:00:00"/>
    <x v="57"/>
    <s v="USA"/>
    <s v="Location 16"/>
    <n v="1.98"/>
  </r>
  <r>
    <n v="3000"/>
    <n v="5940"/>
    <d v="2022-05-24T00:00:00"/>
    <x v="57"/>
    <s v="USA"/>
    <s v="Location 16"/>
    <n v="1.98"/>
  </r>
  <r>
    <n v="3000"/>
    <n v="5940"/>
    <d v="2022-06-30T00:00:00"/>
    <x v="57"/>
    <s v="USA"/>
    <s v="Location 16"/>
    <n v="1.98"/>
  </r>
  <r>
    <n v="3000"/>
    <n v="5940"/>
    <d v="2022-06-30T00:00:00"/>
    <x v="57"/>
    <s v="USA"/>
    <s v="Location 16"/>
    <n v="1.98"/>
  </r>
  <r>
    <n v="3000"/>
    <n v="5280"/>
    <d v="2023-08-15T00:00:00"/>
    <x v="6"/>
    <s v="USA"/>
    <s v="Location 16"/>
    <n v="1.76"/>
  </r>
  <r>
    <n v="3000"/>
    <n v="5940"/>
    <d v="2023-08-17T00:00:00"/>
    <x v="57"/>
    <s v="USA"/>
    <s v="Location 16"/>
    <n v="1.98"/>
  </r>
  <r>
    <n v="3000"/>
    <n v="5280"/>
    <d v="2021-11-12T00:00:00"/>
    <x v="6"/>
    <s v="USA"/>
    <s v="Location 16"/>
    <n v="1.76"/>
  </r>
  <r>
    <n v="3000"/>
    <n v="5280"/>
    <d v="2021-11-17T00:00:00"/>
    <x v="6"/>
    <s v="USA"/>
    <s v="Location 16"/>
    <n v="1.76"/>
  </r>
  <r>
    <n v="3000"/>
    <n v="5280"/>
    <d v="2021-11-22T00:00:00"/>
    <x v="6"/>
    <s v="USA"/>
    <s v="Location 16"/>
    <n v="1.76"/>
  </r>
  <r>
    <n v="3000"/>
    <n v="5280"/>
    <d v="2022-12-05T00:00:00"/>
    <x v="6"/>
    <s v="USA"/>
    <s v="Location 16"/>
    <n v="1.76"/>
  </r>
  <r>
    <n v="3000"/>
    <n v="5280"/>
    <d v="2022-12-05T00:00:00"/>
    <x v="6"/>
    <s v="USA"/>
    <s v="Location 16"/>
    <n v="1.76"/>
  </r>
  <r>
    <n v="3000"/>
    <n v="5940"/>
    <d v="2022-12-05T00:00:00"/>
    <x v="57"/>
    <s v="USA"/>
    <s v="Location 16"/>
    <n v="1.98"/>
  </r>
  <r>
    <n v="3000"/>
    <n v="5940"/>
    <d v="2022-12-05T00:00:00"/>
    <x v="57"/>
    <s v="USA"/>
    <s v="Location 16"/>
    <n v="1.98"/>
  </r>
  <r>
    <n v="3000"/>
    <n v="5940"/>
    <d v="2022-12-05T00:00:00"/>
    <x v="57"/>
    <s v="USA"/>
    <s v="Location 16"/>
    <n v="1.98"/>
  </r>
  <r>
    <n v="3000"/>
    <n v="5940"/>
    <d v="2022-12-05T00:00:00"/>
    <x v="57"/>
    <s v="USA"/>
    <s v="Location 16"/>
    <n v="1.98"/>
  </r>
  <r>
    <n v="3000"/>
    <n v="5940"/>
    <d v="2022-12-07T00:00:00"/>
    <x v="57"/>
    <s v="USA"/>
    <s v="Location 16"/>
    <n v="1.98"/>
  </r>
  <r>
    <n v="3000"/>
    <n v="6360"/>
    <d v="2023-01-17T00:00:00"/>
    <x v="79"/>
    <s v="Taiwan"/>
    <s v="Location 8"/>
    <n v="2.12"/>
  </r>
  <r>
    <n v="3000"/>
    <n v="2719.2"/>
    <d v="2022-01-24T00:00:00"/>
    <x v="77"/>
    <s v="Hungary"/>
    <s v="Location 23"/>
    <n v="0.90639999999999998"/>
  </r>
  <r>
    <n v="3000"/>
    <n v="3120"/>
    <d v="2023-01-24T00:00:00"/>
    <x v="77"/>
    <s v="Romania"/>
    <s v="Location 6"/>
    <n v="1.04"/>
  </r>
  <r>
    <n v="3000"/>
    <n v="2719.2"/>
    <d v="2022-01-25T00:00:00"/>
    <x v="77"/>
    <s v="China"/>
    <s v="Location 10"/>
    <n v="0.90639999999999998"/>
  </r>
  <r>
    <n v="3000"/>
    <n v="3120"/>
    <d v="2023-02-07T00:00:00"/>
    <x v="77"/>
    <s v="Romania"/>
    <s v="Location 6"/>
    <n v="1.04"/>
  </r>
  <r>
    <n v="3000"/>
    <n v="6360"/>
    <d v="2022-05-19T00:00:00"/>
    <x v="79"/>
    <s v="China"/>
    <s v="Location 10"/>
    <n v="2.12"/>
  </r>
  <r>
    <n v="3000"/>
    <n v="3120"/>
    <d v="2022-05-24T00:00:00"/>
    <x v="77"/>
    <s v="Romania"/>
    <s v="Location 6"/>
    <n v="1.04"/>
  </r>
  <r>
    <n v="3000"/>
    <n v="3120"/>
    <d v="2022-04-13T00:00:00"/>
    <x v="77"/>
    <s v="China"/>
    <s v="Location 10"/>
    <n v="1.04"/>
  </r>
  <r>
    <n v="3000"/>
    <n v="3120"/>
    <d v="2022-07-20T00:00:00"/>
    <x v="77"/>
    <s v="Romania"/>
    <s v="Location 6"/>
    <n v="1.04"/>
  </r>
  <r>
    <n v="3000"/>
    <n v="3120"/>
    <d v="2022-09-23T00:00:00"/>
    <x v="77"/>
    <s v="Romania"/>
    <s v="Location 6"/>
    <n v="1.04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3-01-03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1-01T00:00:00"/>
    <x v="140"/>
    <s v="Mexico"/>
    <s v="Location 3"/>
    <n v="860.48"/>
  </r>
  <r>
    <n v="60"/>
    <n v="51628.800000000003"/>
    <d v="2022-11-08T00:00:00"/>
    <x v="140"/>
    <s v="Mexico"/>
    <s v="Location 3"/>
    <n v="860.48"/>
  </r>
  <r>
    <n v="60"/>
    <n v="51628.800000000003"/>
    <d v="2022-11-08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08-04T00:00:00"/>
    <x v="140"/>
    <s v="Mexico"/>
    <s v="Location 3"/>
    <n v="860.48"/>
  </r>
  <r>
    <n v="60"/>
    <n v="51628.800000000003"/>
    <d v="2022-11-18T00:00:00"/>
    <x v="140"/>
    <s v="Mexico"/>
    <s v="Location 3"/>
    <n v="860.48"/>
  </r>
  <r>
    <n v="60"/>
    <n v="51628.800000000003"/>
    <d v="2022-11-18T00:00:00"/>
    <x v="140"/>
    <s v="Mexico"/>
    <s v="Location 3"/>
    <n v="860.48"/>
  </r>
  <r>
    <n v="60"/>
    <n v="51628.800000000003"/>
    <d v="2022-11-18T00:00:00"/>
    <x v="140"/>
    <s v="Mexico"/>
    <s v="Location 3"/>
    <n v="860.48"/>
  </r>
  <r>
    <n v="60"/>
    <n v="51628.800000000003"/>
    <d v="2022-11-18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1-29T00:00:00"/>
    <x v="140"/>
    <s v="Mexico"/>
    <s v="Location 3"/>
    <n v="860.48"/>
  </r>
  <r>
    <n v="60"/>
    <n v="51628.800000000003"/>
    <d v="2022-12-02T00:00:00"/>
    <x v="140"/>
    <s v="Mexico"/>
    <s v="Location 3"/>
    <n v="860.48"/>
  </r>
  <r>
    <n v="60"/>
    <n v="51628.800000000003"/>
    <d v="2022-12-02T00:00:00"/>
    <x v="140"/>
    <s v="Mexico"/>
    <s v="Location 3"/>
    <n v="860.48"/>
  </r>
  <r>
    <n v="60"/>
    <n v="51628.800000000003"/>
    <d v="2022-12-02T00:00:00"/>
    <x v="140"/>
    <s v="Mexico"/>
    <s v="Location 3"/>
    <n v="860.48"/>
  </r>
  <r>
    <n v="60"/>
    <n v="51628.800000000003"/>
    <d v="2022-10-1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08-19T00:00:00"/>
    <x v="140"/>
    <s v="Mexico"/>
    <s v="Location 3"/>
    <n v="860.48"/>
  </r>
  <r>
    <n v="60"/>
    <n v="51628.800000000003"/>
    <d v="2022-08-19T00:00:00"/>
    <x v="140"/>
    <s v="Mexico"/>
    <s v="Location 3"/>
    <n v="860.48"/>
  </r>
  <r>
    <n v="60"/>
    <n v="51628.800000000003"/>
    <d v="2022-08-19T00:00:00"/>
    <x v="140"/>
    <s v="Mexico"/>
    <s v="Location 3"/>
    <n v="860.48"/>
  </r>
  <r>
    <n v="60"/>
    <n v="51628.800000000003"/>
    <d v="2022-08-19T00:00:00"/>
    <x v="140"/>
    <s v="Mexico"/>
    <s v="Location 3"/>
    <n v="860.48"/>
  </r>
  <r>
    <n v="60"/>
    <n v="51628.800000000003"/>
    <d v="2022-08-19T00:00:00"/>
    <x v="140"/>
    <s v="Mexico"/>
    <s v="Location 3"/>
    <n v="860.48"/>
  </r>
  <r>
    <n v="60"/>
    <n v="51628.800000000003"/>
    <d v="2022-12-07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07-19T00:00:00"/>
    <x v="140"/>
    <s v="Mexico"/>
    <s v="Location 3"/>
    <n v="860.48"/>
  </r>
  <r>
    <n v="60"/>
    <n v="51628.800000000003"/>
    <d v="2022-07-19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0T00:00:00"/>
    <x v="140"/>
    <s v="Mexico"/>
    <s v="Location 3"/>
    <n v="860.48"/>
  </r>
  <r>
    <n v="60"/>
    <n v="51628.800000000003"/>
    <d v="2022-10-25T00:00:00"/>
    <x v="140"/>
    <s v="Mexico"/>
    <s v="Location 3"/>
    <n v="860.48"/>
  </r>
  <r>
    <n v="60"/>
    <n v="51628.800000000003"/>
    <d v="2022-10-25T00:00:00"/>
    <x v="140"/>
    <s v="Mexico"/>
    <s v="Location 3"/>
    <n v="860.48"/>
  </r>
  <r>
    <n v="60"/>
    <n v="51628.800000000003"/>
    <d v="2022-10-25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60"/>
    <n v="51628.800000000003"/>
    <d v="2022-10-28T00:00:00"/>
    <x v="140"/>
    <s v="Mexico"/>
    <s v="Location 3"/>
    <n v="860.48"/>
  </r>
  <r>
    <n v="-120"/>
    <n v="-51024"/>
    <d v="2023-05-10T00:00:00"/>
    <x v="141"/>
    <s v="Mexico"/>
    <s v="Location 3"/>
    <n v="425.2"/>
  </r>
  <r>
    <n v="-120"/>
    <n v="-51024"/>
    <d v="2023-05-10T00:00:00"/>
    <x v="141"/>
    <s v="Mexico"/>
    <s v="Location 3"/>
    <n v="425.2"/>
  </r>
  <r>
    <n v="120"/>
    <n v="54085.2"/>
    <d v="2023-05-10T00:00:00"/>
    <x v="141"/>
    <s v="Mexico"/>
    <s v="Location 3"/>
    <n v="450.71"/>
  </r>
  <r>
    <n v="120"/>
    <n v="54085.2"/>
    <d v="2023-05-10T00:00:00"/>
    <x v="141"/>
    <s v="Mexico"/>
    <s v="Location 3"/>
    <n v="450.71"/>
  </r>
  <r>
    <n v="768"/>
    <n v="116090.88"/>
    <d v="2023-05-26T00:00:00"/>
    <x v="142"/>
    <s v="Mexico"/>
    <s v="Location 3"/>
    <n v="151.16"/>
  </r>
  <r>
    <n v="147"/>
    <n v="49849.17"/>
    <d v="2023-05-31T00:00:00"/>
    <x v="143"/>
    <s v="Mexico"/>
    <s v="Location 3"/>
    <n v="339.11"/>
  </r>
  <r>
    <n v="210"/>
    <n v="85386"/>
    <d v="2023-01-06T00:00:00"/>
    <x v="144"/>
    <s v="Mexico"/>
    <s v="Location 3"/>
    <n v="406.6"/>
  </r>
  <r>
    <n v="360"/>
    <n v="158594.4"/>
    <d v="2023-01-06T00:00:00"/>
    <x v="145"/>
    <s v="Mexico"/>
    <s v="Location 3"/>
    <n v="440.54"/>
  </r>
  <r>
    <n v="144"/>
    <n v="29975.040000000001"/>
    <d v="2023-02-28T00:00:00"/>
    <x v="146"/>
    <s v="Mexico"/>
    <s v="Location 3"/>
    <n v="208.16"/>
  </r>
  <r>
    <n v="96"/>
    <n v="19983.36"/>
    <d v="2023-02-28T00:00:00"/>
    <x v="146"/>
    <s v="Mexico"/>
    <s v="Location 3"/>
    <n v="208.16"/>
  </r>
  <r>
    <n v="96"/>
    <n v="19983.36"/>
    <d v="2023-02-28T00:00:00"/>
    <x v="146"/>
    <s v="Mexico"/>
    <s v="Location 3"/>
    <n v="208.16"/>
  </r>
  <r>
    <n v="21"/>
    <n v="52168.62"/>
    <d v="2023-02-28T00:00:00"/>
    <x v="147"/>
    <s v="Mexico"/>
    <s v="Location 3"/>
    <n v="2484.2199999999998"/>
  </r>
  <r>
    <n v="6"/>
    <n v="14905.32"/>
    <d v="2023-02-28T00:00:00"/>
    <x v="147"/>
    <s v="Mexico"/>
    <s v="Location 3"/>
    <n v="2484.2199999999998"/>
  </r>
  <r>
    <n v="147"/>
    <n v="47026.77"/>
    <d v="2023-01-14T00:00:00"/>
    <x v="143"/>
    <s v="Mexico"/>
    <s v="Location 3"/>
    <n v="319.91000000000003"/>
  </r>
  <r>
    <n v="30"/>
    <n v="12198"/>
    <d v="2023-01-14T00:00:00"/>
    <x v="144"/>
    <s v="Mexico"/>
    <s v="Location 3"/>
    <n v="406.6"/>
  </r>
  <r>
    <n v="5"/>
    <n v="12421.1"/>
    <d v="2023-03-07T00:00:00"/>
    <x v="147"/>
    <s v="Mexico"/>
    <s v="Location 3"/>
    <n v="2484.2199999999998"/>
  </r>
  <r>
    <n v="210"/>
    <n v="76015.8"/>
    <d v="2023-03-07T00:00:00"/>
    <x v="148"/>
    <s v="Mexico"/>
    <s v="Location 3"/>
    <n v="361.98"/>
  </r>
  <r>
    <n v="27"/>
    <n v="67073.94"/>
    <d v="2023-03-15T00:00:00"/>
    <x v="147"/>
    <s v="Mexico"/>
    <s v="Location 3"/>
    <n v="2484.2199999999998"/>
  </r>
  <r>
    <n v="17"/>
    <n v="42231.74"/>
    <d v="2023-03-15T00:00:00"/>
    <x v="147"/>
    <s v="Mexico"/>
    <s v="Location 3"/>
    <n v="2484.2199999999998"/>
  </r>
  <r>
    <n v="768"/>
    <n v="116090.88"/>
    <d v="2023-04-14T00:00:00"/>
    <x v="142"/>
    <s v="Mexico"/>
    <s v="Location 3"/>
    <n v="151.16"/>
  </r>
  <r>
    <n v="147"/>
    <n v="47026.77"/>
    <d v="2023-01-30T00:00:00"/>
    <x v="143"/>
    <s v="Mexico"/>
    <s v="Location 3"/>
    <n v="319.91000000000003"/>
  </r>
  <r>
    <n v="216"/>
    <n v="23392.799999999999"/>
    <d v="2023-02-13T00:00:00"/>
    <x v="149"/>
    <s v="Mexico"/>
    <s v="Location 3"/>
    <n v="108.3"/>
  </r>
  <r>
    <n v="144"/>
    <n v="29975.040000000001"/>
    <d v="2023-04-21T00:00:00"/>
    <x v="146"/>
    <s v="Mexico"/>
    <s v="Location 3"/>
    <n v="208.16"/>
  </r>
  <r>
    <n v="48"/>
    <n v="9991.68"/>
    <d v="2023-04-21T00:00:00"/>
    <x v="146"/>
    <s v="Mexico"/>
    <s v="Location 3"/>
    <n v="208.16"/>
  </r>
  <r>
    <n v="96"/>
    <n v="19983.36"/>
    <d v="2023-04-21T00:00:00"/>
    <x v="146"/>
    <s v="Mexico"/>
    <s v="Location 3"/>
    <n v="208.16"/>
  </r>
  <r>
    <n v="15"/>
    <n v="37263.300000000003"/>
    <d v="2023-05-15T00:00:00"/>
    <x v="147"/>
    <s v="Mexico"/>
    <s v="Location 3"/>
    <n v="2484.2199999999998"/>
  </r>
  <r>
    <n v="147"/>
    <n v="49849.17"/>
    <d v="2023-02-21T00:00:00"/>
    <x v="143"/>
    <s v="Mexico"/>
    <s v="Location 3"/>
    <n v="339.11"/>
  </r>
  <r>
    <n v="324"/>
    <n v="35089.199999999997"/>
    <d v="2023-02-21T00:00:00"/>
    <x v="149"/>
    <s v="Mexico"/>
    <s v="Location 3"/>
    <n v="108.3"/>
  </r>
  <r>
    <n v="324"/>
    <n v="35089.199999999997"/>
    <d v="2023-02-21T00:00:00"/>
    <x v="149"/>
    <s v="Mexico"/>
    <s v="Location 3"/>
    <n v="108.3"/>
  </r>
  <r>
    <n v="21"/>
    <n v="52168.62"/>
    <d v="2023-05-15T00:00:00"/>
    <x v="147"/>
    <s v="Mexico"/>
    <s v="Location 3"/>
    <n v="2484.2199999999998"/>
  </r>
  <r>
    <n v="147"/>
    <n v="49849.17"/>
    <d v="2023-04-25T00:00:00"/>
    <x v="143"/>
    <s v="Mexico"/>
    <s v="Location 3"/>
    <n v="339.11"/>
  </r>
  <r>
    <n v="147"/>
    <n v="49849.17"/>
    <d v="2023-04-25T00:00:00"/>
    <x v="143"/>
    <s v="Mexico"/>
    <s v="Location 3"/>
    <n v="339.11"/>
  </r>
  <r>
    <n v="192"/>
    <n v="37704.959999999999"/>
    <d v="2023-04-25T00:00:00"/>
    <x v="150"/>
    <s v="Mexico"/>
    <s v="Location 3"/>
    <n v="196.38"/>
  </r>
  <r>
    <n v="96"/>
    <n v="18852.48"/>
    <d v="2023-04-25T00:00:00"/>
    <x v="150"/>
    <s v="Mexico"/>
    <s v="Location 3"/>
    <n v="196.38"/>
  </r>
  <r>
    <n v="144"/>
    <n v="28278.720000000001"/>
    <d v="2023-04-25T00:00:00"/>
    <x v="150"/>
    <s v="Mexico"/>
    <s v="Location 3"/>
    <n v="196.38"/>
  </r>
  <r>
    <n v="144"/>
    <n v="28278.720000000001"/>
    <d v="2023-04-25T00:00:00"/>
    <x v="150"/>
    <s v="Mexico"/>
    <s v="Location 3"/>
    <n v="196.38"/>
  </r>
  <r>
    <n v="192"/>
    <n v="37704.959999999999"/>
    <d v="2023-04-25T00:00:00"/>
    <x v="150"/>
    <s v="Mexico"/>
    <s v="Location 3"/>
    <n v="196.38"/>
  </r>
  <r>
    <n v="192"/>
    <n v="37704.959999999999"/>
    <d v="2023-04-25T00:00:00"/>
    <x v="150"/>
    <s v="Mexico"/>
    <s v="Location 3"/>
    <n v="196.38"/>
  </r>
  <r>
    <n v="96"/>
    <n v="19983.36"/>
    <d v="2023-07-25T00:00:00"/>
    <x v="146"/>
    <s v="Mexico"/>
    <s v="Location 3"/>
    <n v="208.16"/>
  </r>
  <r>
    <n v="48"/>
    <n v="9991.68"/>
    <d v="2023-07-25T00:00:00"/>
    <x v="146"/>
    <s v="Mexico"/>
    <s v="Location 3"/>
    <n v="208.16"/>
  </r>
  <r>
    <n v="147"/>
    <n v="49849.17"/>
    <d v="2023-07-25T00:00:00"/>
    <x v="143"/>
    <s v="Mexico"/>
    <s v="Location 3"/>
    <n v="339.11"/>
  </r>
  <r>
    <n v="26"/>
    <n v="61238.32"/>
    <d v="2022-07-26T00:00:00"/>
    <x v="147"/>
    <s v="Mexico"/>
    <s v="Location 3"/>
    <n v="2355.3200000000002"/>
  </r>
  <r>
    <n v="6"/>
    <n v="14131.92"/>
    <d v="2022-07-26T00:00:00"/>
    <x v="147"/>
    <s v="Mexico"/>
    <s v="Location 3"/>
    <n v="2355.3200000000002"/>
  </r>
  <r>
    <n v="26"/>
    <n v="61238.32"/>
    <d v="2022-09-02T00:00:00"/>
    <x v="147"/>
    <s v="Mexico"/>
    <s v="Location 3"/>
    <n v="2355.3200000000002"/>
  </r>
  <r>
    <n v="6"/>
    <n v="14131.92"/>
    <d v="2022-09-02T00:00:00"/>
    <x v="147"/>
    <s v="Mexico"/>
    <s v="Location 3"/>
    <n v="2355.3200000000002"/>
  </r>
  <r>
    <n v="144"/>
    <n v="29975.040000000001"/>
    <d v="2023-09-06T00:00:00"/>
    <x v="146"/>
    <s v="Mexico"/>
    <s v="Location 3"/>
    <n v="208.16"/>
  </r>
  <r>
    <n v="26"/>
    <n v="61238.32"/>
    <d v="2022-09-21T00:00:00"/>
    <x v="147"/>
    <s v="Mexico"/>
    <s v="Location 3"/>
    <n v="2355.3200000000002"/>
  </r>
  <r>
    <n v="6"/>
    <n v="14131.92"/>
    <d v="2022-09-21T00:00:00"/>
    <x v="147"/>
    <s v="Mexico"/>
    <s v="Location 3"/>
    <n v="2355.3200000000002"/>
  </r>
  <r>
    <n v="26"/>
    <n v="61238.32"/>
    <d v="2022-09-21T00:00:00"/>
    <x v="147"/>
    <s v="Mexico"/>
    <s v="Location 3"/>
    <n v="2355.3200000000002"/>
  </r>
  <r>
    <n v="11"/>
    <n v="25908.52"/>
    <d v="2022-10-28T00:00:00"/>
    <x v="147"/>
    <s v="Mexico"/>
    <s v="Location 3"/>
    <n v="2355.3200000000002"/>
  </r>
  <r>
    <n v="147"/>
    <n v="47026.77"/>
    <d v="2022-07-01T00:00:00"/>
    <x v="143"/>
    <s v="Mexico"/>
    <s v="Location 3"/>
    <n v="319.91000000000003"/>
  </r>
  <r>
    <n v="26"/>
    <n v="61238.32"/>
    <d v="2022-08-04T00:00:00"/>
    <x v="147"/>
    <s v="Mexico"/>
    <s v="Location 3"/>
    <n v="2355.3200000000002"/>
  </r>
  <r>
    <n v="6"/>
    <n v="14131.92"/>
    <d v="2022-08-04T00:00:00"/>
    <x v="147"/>
    <s v="Mexico"/>
    <s v="Location 3"/>
    <n v="2355.3200000000002"/>
  </r>
  <r>
    <n v="144"/>
    <n v="28278.720000000001"/>
    <d v="2022-11-10T00:00:00"/>
    <x v="146"/>
    <s v="Mexico"/>
    <s v="Location 3"/>
    <n v="196.38"/>
  </r>
  <r>
    <n v="144"/>
    <n v="28278.720000000001"/>
    <d v="2022-11-18T00:00:00"/>
    <x v="146"/>
    <s v="Mexico"/>
    <s v="Location 3"/>
    <n v="196.38"/>
  </r>
  <r>
    <n v="96"/>
    <n v="18852.48"/>
    <d v="2022-11-18T00:00:00"/>
    <x v="146"/>
    <s v="Mexico"/>
    <s v="Location 3"/>
    <n v="196.38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8"/>
    <n v="18842.560000000001"/>
    <d v="2022-07-01T00:00:00"/>
    <x v="147"/>
    <s v="Mexico"/>
    <s v="Location 3"/>
    <n v="2355.3200000000002"/>
  </r>
  <r>
    <n v="8"/>
    <n v="18842.560000000001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2"/>
    <n v="9015.6"/>
    <d v="2022-10-05T00:00:00"/>
    <x v="151"/>
    <s v="Mexico"/>
    <s v="Location 3"/>
    <n v="4507.8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26"/>
    <n v="61238.32"/>
    <d v="2022-07-01T00:00:00"/>
    <x v="147"/>
    <s v="Mexico"/>
    <s v="Location 3"/>
    <n v="2355.3200000000002"/>
  </r>
  <r>
    <n v="6"/>
    <n v="14131.92"/>
    <d v="2022-07-01T00:00:00"/>
    <x v="147"/>
    <s v="Mexico"/>
    <s v="Location 3"/>
    <n v="2355.3200000000002"/>
  </r>
  <r>
    <n v="144"/>
    <n v="28278.720000000001"/>
    <d v="2022-10-13T00:00:00"/>
    <x v="146"/>
    <s v="Mexico"/>
    <s v="Location 3"/>
    <n v="196.38"/>
  </r>
  <r>
    <n v="144"/>
    <n v="28278.720000000001"/>
    <d v="2022-10-13T00:00:00"/>
    <x v="146"/>
    <s v="Mexico"/>
    <s v="Location 3"/>
    <n v="196.38"/>
  </r>
  <r>
    <n v="48"/>
    <n v="9426.24"/>
    <d v="2022-10-13T00:00:00"/>
    <x v="146"/>
    <s v="Mexico"/>
    <s v="Location 3"/>
    <n v="196.38"/>
  </r>
  <r>
    <n v="144"/>
    <n v="28278.720000000001"/>
    <d v="2022-10-13T00:00:00"/>
    <x v="146"/>
    <s v="Mexico"/>
    <s v="Location 3"/>
    <n v="196.38"/>
  </r>
  <r>
    <n v="96"/>
    <n v="18852.48"/>
    <d v="2022-10-13T00:00:00"/>
    <x v="146"/>
    <s v="Mexico"/>
    <s v="Location 3"/>
    <n v="196.38"/>
  </r>
  <r>
    <n v="144"/>
    <n v="28278.720000000001"/>
    <d v="2022-10-13T00:00:00"/>
    <x v="146"/>
    <s v="Mexico"/>
    <s v="Location 3"/>
    <n v="196.38"/>
  </r>
  <r>
    <n v="26"/>
    <n v="61238.32"/>
    <d v="2022-08-19T00:00:00"/>
    <x v="147"/>
    <s v="Mexico"/>
    <s v="Location 3"/>
    <n v="2355.3200000000002"/>
  </r>
  <r>
    <n v="6"/>
    <n v="14131.92"/>
    <d v="2022-08-19T00:00:00"/>
    <x v="147"/>
    <s v="Mexico"/>
    <s v="Location 3"/>
    <n v="2355.3200000000002"/>
  </r>
  <r>
    <n v="26"/>
    <n v="61238.32"/>
    <d v="2022-08-19T00:00:00"/>
    <x v="147"/>
    <s v="Mexico"/>
    <s v="Location 3"/>
    <n v="2355.3200000000002"/>
  </r>
  <r>
    <n v="6"/>
    <n v="14131.92"/>
    <d v="2022-08-19T00:00:00"/>
    <x v="147"/>
    <s v="Mexico"/>
    <s v="Location 3"/>
    <n v="2355.3200000000002"/>
  </r>
  <r>
    <n v="26"/>
    <n v="61238.32"/>
    <d v="2022-08-19T00:00:00"/>
    <x v="147"/>
    <s v="Mexico"/>
    <s v="Location 3"/>
    <n v="2355.3200000000002"/>
  </r>
  <r>
    <n v="147"/>
    <n v="47026.77"/>
    <d v="2022-07-11T00:00:00"/>
    <x v="143"/>
    <s v="Mexico"/>
    <s v="Location 3"/>
    <n v="319.91000000000003"/>
  </r>
  <r>
    <n v="26"/>
    <n v="61238.32"/>
    <d v="2022-07-11T00:00:00"/>
    <x v="147"/>
    <s v="Mexico"/>
    <s v="Location 3"/>
    <n v="2355.3200000000002"/>
  </r>
  <r>
    <n v="6"/>
    <n v="14131.92"/>
    <d v="2022-07-11T00:00:00"/>
    <x v="147"/>
    <s v="Mexico"/>
    <s v="Location 3"/>
    <n v="2355.3200000000002"/>
  </r>
  <r>
    <n v="26"/>
    <n v="61238.32"/>
    <d v="2022-07-11T00:00:00"/>
    <x v="147"/>
    <s v="Mexico"/>
    <s v="Location 3"/>
    <n v="2355.3200000000002"/>
  </r>
  <r>
    <n v="6"/>
    <n v="14131.92"/>
    <d v="2022-07-11T00:00:00"/>
    <x v="147"/>
    <s v="Mexico"/>
    <s v="Location 3"/>
    <n v="2355.3200000000002"/>
  </r>
  <r>
    <n v="6"/>
    <n v="14131.92"/>
    <d v="2022-08-19T00:00:00"/>
    <x v="147"/>
    <s v="Mexico"/>
    <s v="Location 3"/>
    <n v="2355.3200000000002"/>
  </r>
  <r>
    <n v="26"/>
    <n v="61238.32"/>
    <d v="2022-08-19T00:00:00"/>
    <x v="147"/>
    <s v="Mexico"/>
    <s v="Location 3"/>
    <n v="2355.3200000000002"/>
  </r>
  <r>
    <n v="6"/>
    <n v="14131.92"/>
    <d v="2022-08-19T00:00:00"/>
    <x v="147"/>
    <s v="Mexico"/>
    <s v="Location 3"/>
    <n v="2355.3200000000002"/>
  </r>
  <r>
    <n v="147"/>
    <n v="49849.17"/>
    <d v="2023-07-14T00:00:00"/>
    <x v="143"/>
    <s v="Mexico"/>
    <s v="Location 3"/>
    <n v="339.11"/>
  </r>
  <r>
    <n v="26"/>
    <n v="61238.32"/>
    <d v="2022-07-19T00:00:00"/>
    <x v="147"/>
    <s v="Mexico"/>
    <s v="Location 3"/>
    <n v="2355.3200000000002"/>
  </r>
  <r>
    <n v="6"/>
    <n v="14131.92"/>
    <d v="2022-07-19T00:00:00"/>
    <x v="147"/>
    <s v="Mexico"/>
    <s v="Location 3"/>
    <n v="2355.3200000000002"/>
  </r>
  <r>
    <n v="26"/>
    <n v="61238.32"/>
    <d v="2022-07-22T00:00:00"/>
    <x v="147"/>
    <s v="Mexico"/>
    <s v="Location 3"/>
    <n v="2355.3200000000002"/>
  </r>
  <r>
    <n v="6"/>
    <n v="14131.92"/>
    <d v="2022-07-22T00:00:00"/>
    <x v="147"/>
    <s v="Mexico"/>
    <s v="Location 3"/>
    <n v="2355.3200000000002"/>
  </r>
  <r>
    <n v="26"/>
    <n v="61238.32"/>
    <d v="2022-07-22T00:00:00"/>
    <x v="147"/>
    <s v="Mexico"/>
    <s v="Location 3"/>
    <n v="2355.3200000000002"/>
  </r>
  <r>
    <n v="6"/>
    <n v="14131.92"/>
    <d v="2022-07-22T00:00:00"/>
    <x v="147"/>
    <s v="Mexico"/>
    <s v="Location 3"/>
    <n v="2355.3200000000002"/>
  </r>
  <r>
    <n v="26"/>
    <n v="61238.32"/>
    <d v="2022-10-20T00:00:00"/>
    <x v="147"/>
    <s v="Mexico"/>
    <s v="Location 3"/>
    <n v="2355.3200000000002"/>
  </r>
  <r>
    <n v="6"/>
    <n v="14131.92"/>
    <d v="2022-10-20T00:00:00"/>
    <x v="147"/>
    <s v="Mexico"/>
    <s v="Location 3"/>
    <n v="2355.3200000000002"/>
  </r>
  <r>
    <n v="26"/>
    <n v="61238.32"/>
    <d v="2022-10-20T00:00:00"/>
    <x v="147"/>
    <s v="Mexico"/>
    <s v="Location 3"/>
    <n v="2355.3200000000002"/>
  </r>
  <r>
    <n v="6"/>
    <n v="14131.92"/>
    <d v="2022-10-20T00:00:00"/>
    <x v="147"/>
    <s v="Mexico"/>
    <s v="Location 3"/>
    <n v="2355.3200000000002"/>
  </r>
  <r>
    <n v="27000"/>
    <n v="2640.6"/>
    <d v="2022-10-21T00:00:00"/>
    <x v="152"/>
    <s v="Mexico"/>
    <s v="Location 3"/>
    <n v="9.7799999999999998E-2"/>
  </r>
  <r>
    <n v="45"/>
    <n v="38721.599999999999"/>
    <d v="2023-01-03T00:00:00"/>
    <x v="140"/>
    <s v="Mexico"/>
    <s v="Location 3"/>
    <n v="860.48"/>
  </r>
  <r>
    <n v="45"/>
    <n v="38721.599999999999"/>
    <d v="2023-01-03T00:00:00"/>
    <x v="140"/>
    <s v="Mexico"/>
    <s v="Location 3"/>
    <n v="860.48"/>
  </r>
  <r>
    <n v="15"/>
    <n v="13613.1"/>
    <d v="2023-01-26T00:00:00"/>
    <x v="140"/>
    <s v="Mexico"/>
    <s v="Location 3"/>
    <n v="907.54"/>
  </r>
  <r>
    <n v="15"/>
    <n v="13613.1"/>
    <d v="2023-01-26T00:00:00"/>
    <x v="140"/>
    <s v="Mexico"/>
    <s v="Location 3"/>
    <n v="907.54"/>
  </r>
  <r>
    <n v="15"/>
    <n v="13613.1"/>
    <d v="2023-01-26T00:00:00"/>
    <x v="140"/>
    <s v="Mexico"/>
    <s v="Location 3"/>
    <n v="907.54"/>
  </r>
  <r>
    <n v="15"/>
    <n v="13613.1"/>
    <d v="2023-01-26T00:00:00"/>
    <x v="140"/>
    <s v="Mexico"/>
    <s v="Location 3"/>
    <n v="907.54"/>
  </r>
  <r>
    <n v="15"/>
    <n v="13613.1"/>
    <d v="2023-01-26T00:00:00"/>
    <x v="140"/>
    <s v="Mexico"/>
    <s v="Location 3"/>
    <n v="907.54"/>
  </r>
  <r>
    <n v="60"/>
    <n v="51442.2"/>
    <d v="2023-06-20T00:00:00"/>
    <x v="140"/>
    <s v="Mexico"/>
    <s v="Location 3"/>
    <n v="857.37"/>
  </r>
  <r>
    <n v="45"/>
    <n v="38581.65"/>
    <d v="2023-06-20T00:00:00"/>
    <x v="140"/>
    <s v="Mexico"/>
    <s v="Location 3"/>
    <n v="857.37"/>
  </r>
  <r>
    <n v="60"/>
    <n v="51442.2"/>
    <d v="2023-06-20T00:00:00"/>
    <x v="140"/>
    <s v="Mexico"/>
    <s v="Location 3"/>
    <n v="857.37"/>
  </r>
  <r>
    <n v="60"/>
    <n v="51442.2"/>
    <d v="2023-06-21T00:00:00"/>
    <x v="140"/>
    <s v="Mexico"/>
    <s v="Location 3"/>
    <n v="857.37"/>
  </r>
  <r>
    <n v="60"/>
    <n v="51442.2"/>
    <d v="2023-06-21T00:00:00"/>
    <x v="140"/>
    <s v="Mexico"/>
    <s v="Location 3"/>
    <n v="857.37"/>
  </r>
  <r>
    <n v="60"/>
    <n v="51442.2"/>
    <d v="2023-06-21T00:00:00"/>
    <x v="140"/>
    <s v="Mexico"/>
    <s v="Location 3"/>
    <n v="857.37"/>
  </r>
  <r>
    <n v="60"/>
    <n v="51442.2"/>
    <d v="2023-06-21T00:00:00"/>
    <x v="140"/>
    <s v="Mexico"/>
    <s v="Location 3"/>
    <n v="857.37"/>
  </r>
  <r>
    <n v="45"/>
    <n v="38581.65"/>
    <d v="2023-06-21T00:00:00"/>
    <x v="140"/>
    <s v="Mexico"/>
    <s v="Location 3"/>
    <n v="857.37"/>
  </r>
  <r>
    <n v="60"/>
    <n v="51442.2"/>
    <d v="2023-06-21T00:00:00"/>
    <x v="140"/>
    <s v="Mexico"/>
    <s v="Location 3"/>
    <n v="857.37"/>
  </r>
  <r>
    <n v="15"/>
    <n v="12907.2"/>
    <d v="2023-01-03T00:00:00"/>
    <x v="140"/>
    <s v="Mexico"/>
    <s v="Location 3"/>
    <n v="860.48"/>
  </r>
  <r>
    <n v="60"/>
    <n v="51442.2"/>
    <d v="2023-07-25T00:00:00"/>
    <x v="140"/>
    <s v="Mexico"/>
    <s v="Location 3"/>
    <n v="857.37"/>
  </r>
  <r>
    <n v="30"/>
    <n v="25814.400000000001"/>
    <d v="2022-10-28T00:00:00"/>
    <x v="140"/>
    <s v="Mexico"/>
    <s v="Location 3"/>
    <n v="860.48"/>
  </r>
  <r>
    <n v="15"/>
    <n v="12907.2"/>
    <d v="2022-10-28T00:00:00"/>
    <x v="140"/>
    <s v="Mexico"/>
    <s v="Location 3"/>
    <n v="860.48"/>
  </r>
  <r>
    <n v="15"/>
    <n v="12907.2"/>
    <d v="2022-10-28T00:00:00"/>
    <x v="140"/>
    <s v="Mexico"/>
    <s v="Location 3"/>
    <n v="860.48"/>
  </r>
  <r>
    <n v="15"/>
    <n v="12907.2"/>
    <d v="2022-10-28T00:00:00"/>
    <x v="140"/>
    <s v="Mexico"/>
    <s v="Location 3"/>
    <n v="860.48"/>
  </r>
  <r>
    <n v="30"/>
    <n v="25814.400000000001"/>
    <d v="2022-10-28T00:00:00"/>
    <x v="140"/>
    <s v="Mexico"/>
    <s v="Location 3"/>
    <n v="860.48"/>
  </r>
  <r>
    <n v="30"/>
    <n v="25814.400000000001"/>
    <d v="2022-10-28T00:00:00"/>
    <x v="140"/>
    <s v="Mexico"/>
    <s v="Location 3"/>
    <n v="860.48"/>
  </r>
  <r>
    <n v="45"/>
    <n v="38721.599999999999"/>
    <d v="2022-10-28T00:00:00"/>
    <x v="140"/>
    <s v="Mexico"/>
    <s v="Location 3"/>
    <n v="860.48"/>
  </r>
  <r>
    <n v="15"/>
    <n v="12907.2"/>
    <d v="2022-10-28T00:00:00"/>
    <x v="140"/>
    <s v="Mexico"/>
    <s v="Location 3"/>
    <n v="860.48"/>
  </r>
  <r>
    <n v="30"/>
    <n v="25814.400000000001"/>
    <d v="2022-10-28T00:00:00"/>
    <x v="140"/>
    <s v="Mexico"/>
    <s v="Location 3"/>
    <n v="860.48"/>
  </r>
  <r>
    <n v="30"/>
    <n v="25814.400000000001"/>
    <d v="2022-10-28T00:00:00"/>
    <x v="140"/>
    <s v="Mexico"/>
    <s v="Location 3"/>
    <n v="860.48"/>
  </r>
  <r>
    <n v="30"/>
    <n v="25814.400000000001"/>
    <d v="2022-08-04T00:00:00"/>
    <x v="140"/>
    <s v="Mexico"/>
    <s v="Location 3"/>
    <n v="860.48"/>
  </r>
  <r>
    <n v="30"/>
    <n v="25814.400000000001"/>
    <d v="2022-08-04T00:00:00"/>
    <x v="140"/>
    <s v="Mexico"/>
    <s v="Location 3"/>
    <n v="860.48"/>
  </r>
  <r>
    <n v="45"/>
    <n v="38581.65"/>
    <d v="2023-08-04T00:00:00"/>
    <x v="140"/>
    <s v="Mexico"/>
    <s v="Location 3"/>
    <n v="857.37"/>
  </r>
  <r>
    <n v="45"/>
    <n v="38581.65"/>
    <d v="2023-08-04T00:00:00"/>
    <x v="140"/>
    <s v="Mexico"/>
    <s v="Location 3"/>
    <n v="857.37"/>
  </r>
  <r>
    <n v="45"/>
    <n v="38581.65"/>
    <d v="2023-08-04T00:00:00"/>
    <x v="140"/>
    <s v="Mexico"/>
    <s v="Location 3"/>
    <n v="857.37"/>
  </r>
  <r>
    <n v="45"/>
    <n v="38581.65"/>
    <d v="2023-08-04T00:00:00"/>
    <x v="140"/>
    <s v="Mexico"/>
    <s v="Location 3"/>
    <n v="857.37"/>
  </r>
  <r>
    <n v="45"/>
    <n v="38581.65"/>
    <d v="2023-08-04T00:00:00"/>
    <x v="140"/>
    <s v="Mexico"/>
    <s v="Location 3"/>
    <n v="857.37"/>
  </r>
  <r>
    <n v="45"/>
    <n v="38581.65"/>
    <d v="2023-08-04T00:00:00"/>
    <x v="140"/>
    <s v="Mexico"/>
    <s v="Location 3"/>
    <n v="857.37"/>
  </r>
  <r>
    <n v="45"/>
    <n v="38581.65"/>
    <d v="2023-08-04T00:00:00"/>
    <x v="140"/>
    <s v="Mexico"/>
    <s v="Location 3"/>
    <n v="857.37"/>
  </r>
  <r>
    <n v="45"/>
    <n v="38721.599999999999"/>
    <d v="2022-11-29T00:00:00"/>
    <x v="140"/>
    <s v="Mexico"/>
    <s v="Location 3"/>
    <n v="860.48"/>
  </r>
  <r>
    <n v="15"/>
    <n v="12860.55"/>
    <d v="2023-08-17T00:00:00"/>
    <x v="140"/>
    <s v="Mexico"/>
    <s v="Location 3"/>
    <n v="857.37"/>
  </r>
  <r>
    <n v="45"/>
    <n v="38581.65"/>
    <d v="2023-08-17T00:00:00"/>
    <x v="140"/>
    <s v="Mexico"/>
    <s v="Location 3"/>
    <n v="857.37"/>
  </r>
  <r>
    <n v="45"/>
    <n v="38581.65"/>
    <d v="2023-08-17T00:00:00"/>
    <x v="140"/>
    <s v="Mexico"/>
    <s v="Location 3"/>
    <n v="857.37"/>
  </r>
  <r>
    <n v="15"/>
    <n v="12907.2"/>
    <d v="2022-12-07T00:00:00"/>
    <x v="140"/>
    <s v="Mexico"/>
    <s v="Location 3"/>
    <n v="860.48"/>
  </r>
  <r>
    <n v="45"/>
    <n v="38721.599999999999"/>
    <d v="2022-12-07T00:00:00"/>
    <x v="140"/>
    <s v="Mexico"/>
    <s v="Location 3"/>
    <n v="860.48"/>
  </r>
  <r>
    <n v="15"/>
    <n v="12907.2"/>
    <d v="2022-12-07T00:00:00"/>
    <x v="140"/>
    <s v="Mexico"/>
    <s v="Location 3"/>
    <n v="860.48"/>
  </r>
  <r>
    <n v="45"/>
    <n v="38721.599999999999"/>
    <d v="2022-08-19T00:00:00"/>
    <x v="140"/>
    <s v="Mexico"/>
    <s v="Location 3"/>
    <n v="860.48"/>
  </r>
  <r>
    <n v="30"/>
    <n v="25814.400000000001"/>
    <d v="2022-08-19T00:00:00"/>
    <x v="140"/>
    <s v="Mexico"/>
    <s v="Location 3"/>
    <n v="860.48"/>
  </r>
  <r>
    <n v="30"/>
    <n v="25814.400000000001"/>
    <d v="2022-10-20T00:00:00"/>
    <x v="140"/>
    <s v="Mexico"/>
    <s v="Location 3"/>
    <n v="860.48"/>
  </r>
  <r>
    <n v="45"/>
    <n v="38721.599999999999"/>
    <d v="2022-10-20T00:00:00"/>
    <x v="140"/>
    <s v="Mexico"/>
    <s v="Location 3"/>
    <n v="860.48"/>
  </r>
  <r>
    <n v="45"/>
    <n v="38721.599999999999"/>
    <d v="2022-10-20T00:00:00"/>
    <x v="140"/>
    <s v="Mexico"/>
    <s v="Location 3"/>
    <n v="860.48"/>
  </r>
  <r>
    <n v="45"/>
    <n v="38721.599999999999"/>
    <d v="2022-10-20T00:00:00"/>
    <x v="140"/>
    <s v="Mexico"/>
    <s v="Location 3"/>
    <n v="860.48"/>
  </r>
  <r>
    <n v="270"/>
    <n v="231489.9"/>
    <d v="2023-07-14T00:00:00"/>
    <x v="140"/>
    <s v="Mexico"/>
    <s v="Location 3"/>
    <n v="857.37"/>
  </r>
  <r>
    <n v="45"/>
    <n v="38581.65"/>
    <d v="2023-07-14T00:00:00"/>
    <x v="140"/>
    <s v="Mexico"/>
    <s v="Location 3"/>
    <n v="857.37"/>
  </r>
  <r>
    <n v="60"/>
    <n v="51442.2"/>
    <d v="2023-07-14T00:00:00"/>
    <x v="140"/>
    <s v="Mexico"/>
    <s v="Location 3"/>
    <n v="857.37"/>
  </r>
  <r>
    <n v="60"/>
    <n v="51442.2"/>
    <d v="2023-07-14T00:00:00"/>
    <x v="140"/>
    <s v="Mexico"/>
    <s v="Location 3"/>
    <n v="857.37"/>
  </r>
  <r>
    <n v="30"/>
    <n v="25721.1"/>
    <d v="2023-07-14T00:00:00"/>
    <x v="140"/>
    <s v="Mexico"/>
    <s v="Location 3"/>
    <n v="857.37"/>
  </r>
  <r>
    <n v="60"/>
    <n v="51442.2"/>
    <d v="2023-07-14T00:00:00"/>
    <x v="140"/>
    <s v="Mexico"/>
    <s v="Location 3"/>
    <n v="857.37"/>
  </r>
  <r>
    <n v="45"/>
    <n v="38721.599999999999"/>
    <d v="2022-07-19T00:00:00"/>
    <x v="140"/>
    <s v="Mexico"/>
    <s v="Location 3"/>
    <n v="860.48"/>
  </r>
  <r>
    <n v="30"/>
    <n v="25814.400000000001"/>
    <d v="2022-07-19T00:00:00"/>
    <x v="140"/>
    <s v="Mexico"/>
    <s v="Location 3"/>
    <n v="860.48"/>
  </r>
  <r>
    <n v="45"/>
    <n v="38721.599999999999"/>
    <d v="2022-10-20T00:00:00"/>
    <x v="140"/>
    <s v="Mexico"/>
    <s v="Location 3"/>
    <n v="860.48"/>
  </r>
  <r>
    <n v="15"/>
    <n v="12907.2"/>
    <d v="2022-10-20T00:00:00"/>
    <x v="140"/>
    <s v="Mexico"/>
    <s v="Location 3"/>
    <n v="860.48"/>
  </r>
  <r>
    <n v="45"/>
    <n v="38721.599999999999"/>
    <d v="2022-07-20T00:00:00"/>
    <x v="140"/>
    <s v="Mexico"/>
    <s v="Location 3"/>
    <n v="860.48"/>
  </r>
  <r>
    <n v="30"/>
    <n v="25814.400000000001"/>
    <d v="2022-07-22T00:00:00"/>
    <x v="140"/>
    <s v="Mexico"/>
    <s v="Location 3"/>
    <n v="860.48"/>
  </r>
  <r>
    <n v="15"/>
    <n v="12907.2"/>
    <d v="2022-10-20T00:00:00"/>
    <x v="140"/>
    <s v="Mexico"/>
    <s v="Location 3"/>
    <n v="860.48"/>
  </r>
  <r>
    <n v="30"/>
    <n v="25814.400000000001"/>
    <d v="2022-10-20T00:00:00"/>
    <x v="140"/>
    <s v="Mexico"/>
    <s v="Location 3"/>
    <n v="860.48"/>
  </r>
  <r>
    <n v="45"/>
    <n v="38721.599999999999"/>
    <d v="2022-10-20T00:00:00"/>
    <x v="140"/>
    <s v="Mexico"/>
    <s v="Location 3"/>
    <n v="860.48"/>
  </r>
  <r>
    <n v="45"/>
    <n v="38581.65"/>
    <d v="2023-08-31T00:00:00"/>
    <x v="140"/>
    <s v="Mexico"/>
    <s v="Location 3"/>
    <n v="857.37"/>
  </r>
  <r>
    <n v="30"/>
    <n v="25814.400000000001"/>
    <d v="2022-10-28T00:00:00"/>
    <x v="140"/>
    <s v="Mexico"/>
    <s v="Location 3"/>
    <n v="860.48"/>
  </r>
  <r>
    <n v="15"/>
    <n v="12907.2"/>
    <d v="2022-10-28T00:00:00"/>
    <x v="140"/>
    <s v="Mexico"/>
    <s v="Location 3"/>
    <n v="860.48"/>
  </r>
  <r>
    <n v="30"/>
    <n v="25814.400000000001"/>
    <d v="2022-10-28T00:00:00"/>
    <x v="140"/>
    <s v="Mexico"/>
    <s v="Location 3"/>
    <n v="860.48"/>
  </r>
  <r>
    <n v="30"/>
    <n v="25814.400000000001"/>
    <d v="2022-10-28T00:00:00"/>
    <x v="140"/>
    <s v="Mexico"/>
    <s v="Location 3"/>
    <n v="860.48"/>
  </r>
  <r>
    <n v="540"/>
    <n v="58271.4"/>
    <d v="2023-05-31T00:00:00"/>
    <x v="149"/>
    <s v="Mexico"/>
    <s v="Location 3"/>
    <n v="107.91"/>
  </r>
  <r>
    <n v="90"/>
    <n v="39505.5"/>
    <d v="2023-05-31T00:00:00"/>
    <x v="145"/>
    <s v="Mexico"/>
    <s v="Location 3"/>
    <n v="438.95"/>
  </r>
  <r>
    <n v="90"/>
    <n v="39505.5"/>
    <d v="2023-05-31T00:00:00"/>
    <x v="145"/>
    <s v="Mexico"/>
    <s v="Location 3"/>
    <n v="438.95"/>
  </r>
  <r>
    <n v="90"/>
    <n v="39505.5"/>
    <d v="2023-05-31T00:00:00"/>
    <x v="145"/>
    <s v="Mexico"/>
    <s v="Location 3"/>
    <n v="438.95"/>
  </r>
  <r>
    <n v="30"/>
    <n v="13168.5"/>
    <d v="2023-05-31T00:00:00"/>
    <x v="145"/>
    <s v="Mexico"/>
    <s v="Location 3"/>
    <n v="438.95"/>
  </r>
  <r>
    <n v="30"/>
    <n v="13168.5"/>
    <d v="2023-05-31T00:00:00"/>
    <x v="145"/>
    <s v="Mexico"/>
    <s v="Location 3"/>
    <n v="438.95"/>
  </r>
  <r>
    <n v="324"/>
    <n v="37004.04"/>
    <d v="2023-01-14T00:00:00"/>
    <x v="149"/>
    <s v="Mexico"/>
    <s v="Location 3"/>
    <n v="114.21"/>
  </r>
  <r>
    <n v="1500"/>
    <n v="1029.5999999999999"/>
    <d v="2023-02-28T00:00:00"/>
    <x v="153"/>
    <s v="Mexico"/>
    <s v="Location 3"/>
    <n v="0.68640000000000001"/>
  </r>
  <r>
    <n v="90"/>
    <n v="68340.600000000006"/>
    <d v="2023-02-28T00:00:00"/>
    <x v="154"/>
    <s v="Mexico"/>
    <s v="Location 3"/>
    <n v="759.34"/>
  </r>
  <r>
    <n v="216"/>
    <n v="23308.560000000001"/>
    <d v="2023-03-07T00:00:00"/>
    <x v="149"/>
    <s v="Mexico"/>
    <s v="Location 3"/>
    <n v="107.91"/>
  </r>
  <r>
    <n v="90"/>
    <n v="41816.699999999997"/>
    <d v="2023-03-07T00:00:00"/>
    <x v="145"/>
    <s v="Mexico"/>
    <s v="Location 3"/>
    <n v="464.63"/>
  </r>
  <r>
    <n v="30"/>
    <n v="13168.5"/>
    <d v="2023-03-07T00:00:00"/>
    <x v="145"/>
    <s v="Mexico"/>
    <s v="Location 3"/>
    <n v="438.95"/>
  </r>
  <r>
    <n v="30"/>
    <n v="13168.5"/>
    <d v="2023-06-05T00:00:00"/>
    <x v="145"/>
    <s v="Mexico"/>
    <s v="Location 3"/>
    <n v="438.95"/>
  </r>
  <r>
    <n v="216"/>
    <n v="23308.560000000001"/>
    <d v="2023-03-15T00:00:00"/>
    <x v="149"/>
    <s v="Mexico"/>
    <s v="Location 3"/>
    <n v="107.91"/>
  </r>
  <r>
    <n v="432"/>
    <n v="46617.120000000003"/>
    <d v="2023-03-15T00:00:00"/>
    <x v="149"/>
    <s v="Mexico"/>
    <s v="Location 3"/>
    <n v="107.91"/>
  </r>
  <r>
    <n v="324"/>
    <n v="34962.839999999997"/>
    <d v="2023-03-15T00:00:00"/>
    <x v="149"/>
    <s v="Mexico"/>
    <s v="Location 3"/>
    <n v="107.91"/>
  </r>
  <r>
    <n v="420"/>
    <n v="6610.8"/>
    <d v="2023-03-15T00:00:00"/>
    <x v="155"/>
    <s v="Mexico"/>
    <s v="Location 3"/>
    <n v="15.74"/>
  </r>
  <r>
    <n v="420"/>
    <n v="6610.8"/>
    <d v="2023-03-15T00:00:00"/>
    <x v="155"/>
    <s v="Mexico"/>
    <s v="Location 3"/>
    <n v="15.74"/>
  </r>
  <r>
    <n v="588"/>
    <n v="58982.28"/>
    <d v="2023-03-15T00:00:00"/>
    <x v="156"/>
    <s v="Mexico"/>
    <s v="Location 3"/>
    <n v="100.31"/>
  </r>
  <r>
    <n v="1500"/>
    <n v="1029.5999999999999"/>
    <d v="2023-03-15T00:00:00"/>
    <x v="153"/>
    <s v="Mexico"/>
    <s v="Location 3"/>
    <n v="0.68640000000000001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588"/>
    <n v="62210.400000000001"/>
    <d v="2023-05-03T00:00:00"/>
    <x v="156"/>
    <s v="Mexico"/>
    <s v="Location 3"/>
    <n v="105.8"/>
  </r>
  <r>
    <n v="420"/>
    <n v="318922.8"/>
    <d v="2023-05-03T00:00:00"/>
    <x v="154"/>
    <s v="Mexico"/>
    <s v="Location 3"/>
    <n v="759.34"/>
  </r>
  <r>
    <n v="432"/>
    <n v="49338.720000000001"/>
    <d v="2023-01-24T00:00:00"/>
    <x v="149"/>
    <s v="Mexico"/>
    <s v="Location 3"/>
    <n v="114.21"/>
  </r>
  <r>
    <n v="216"/>
    <n v="24669.360000000001"/>
    <d v="2023-01-24T00:00:00"/>
    <x v="149"/>
    <s v="Mexico"/>
    <s v="Location 3"/>
    <n v="114.21"/>
  </r>
  <r>
    <n v="64"/>
    <n v="55756.160000000003"/>
    <d v="2023-05-03T00:00:00"/>
    <x v="157"/>
    <s v="Mexico"/>
    <s v="Location 3"/>
    <n v="871.19"/>
  </r>
  <r>
    <n v="64"/>
    <n v="55756.160000000003"/>
    <d v="2023-05-03T00:00:00"/>
    <x v="157"/>
    <s v="Mexico"/>
    <s v="Location 3"/>
    <n v="871.19"/>
  </r>
  <r>
    <n v="30"/>
    <n v="13938.9"/>
    <d v="2023-01-24T00:00:00"/>
    <x v="145"/>
    <s v="Mexico"/>
    <s v="Location 3"/>
    <n v="464.63"/>
  </r>
  <r>
    <n v="90"/>
    <n v="41816.699999999997"/>
    <d v="2023-01-24T00:00:00"/>
    <x v="145"/>
    <s v="Mexico"/>
    <s v="Location 3"/>
    <n v="464.63"/>
  </r>
  <r>
    <n v="420"/>
    <n v="6610.8"/>
    <d v="2023-01-24T00:00:00"/>
    <x v="155"/>
    <s v="Mexico"/>
    <s v="Location 3"/>
    <n v="15.74"/>
  </r>
  <r>
    <n v="60"/>
    <n v="48226.2"/>
    <d v="2023-01-24T00:00:00"/>
    <x v="154"/>
    <s v="Mexico"/>
    <s v="Location 3"/>
    <n v="803.77"/>
  </r>
  <r>
    <n v="150"/>
    <n v="120565.5"/>
    <d v="2023-01-24T00:00:00"/>
    <x v="154"/>
    <s v="Mexico"/>
    <s v="Location 3"/>
    <n v="803.77"/>
  </r>
  <r>
    <n v="300"/>
    <n v="241131"/>
    <d v="2023-01-24T00:00:00"/>
    <x v="154"/>
    <s v="Mexico"/>
    <s v="Location 3"/>
    <n v="803.77"/>
  </r>
  <r>
    <n v="64"/>
    <n v="55756.160000000003"/>
    <d v="2023-05-03T00:00:00"/>
    <x v="157"/>
    <s v="Mexico"/>
    <s v="Location 3"/>
    <n v="871.19"/>
  </r>
  <r>
    <n v="64"/>
    <n v="55756.160000000003"/>
    <d v="2023-05-03T00:00:00"/>
    <x v="157"/>
    <s v="Mexico"/>
    <s v="Location 3"/>
    <n v="871.19"/>
  </r>
  <r>
    <n v="121"/>
    <n v="11925.76"/>
    <d v="2023-05-03T00:00:00"/>
    <x v="158"/>
    <s v="Mexico"/>
    <s v="Location 3"/>
    <n v="98.56"/>
  </r>
  <r>
    <n v="156"/>
    <n v="15375.36"/>
    <d v="2023-05-03T00:00:00"/>
    <x v="158"/>
    <s v="Mexico"/>
    <s v="Location 3"/>
    <n v="98.56"/>
  </r>
  <r>
    <n v="156"/>
    <n v="15375.36"/>
    <d v="2023-05-03T00:00:00"/>
    <x v="158"/>
    <s v="Mexico"/>
    <s v="Location 3"/>
    <n v="98.56"/>
  </r>
  <r>
    <n v="30"/>
    <n v="13938.9"/>
    <d v="2023-01-26T00:00:00"/>
    <x v="145"/>
    <s v="Mexico"/>
    <s v="Location 3"/>
    <n v="464.63"/>
  </r>
  <r>
    <n v="1192"/>
    <n v="112822.8"/>
    <d v="2023-01-26T00:00:00"/>
    <x v="159"/>
    <s v="Mexico"/>
    <s v="Location 3"/>
    <n v="94.65"/>
  </r>
  <r>
    <n v="2000"/>
    <n v="3880"/>
    <d v="2023-04-14T00:00:00"/>
    <x v="160"/>
    <s v="Mexico"/>
    <s v="Location 3"/>
    <n v="1.94"/>
  </r>
  <r>
    <n v="420"/>
    <n v="6610.8"/>
    <d v="2023-04-14T00:00:00"/>
    <x v="155"/>
    <s v="Mexico"/>
    <s v="Location 3"/>
    <n v="15.74"/>
  </r>
  <r>
    <n v="420"/>
    <n v="6610.8"/>
    <d v="2023-04-14T00:00:00"/>
    <x v="155"/>
    <s v="Mexico"/>
    <s v="Location 3"/>
    <n v="15.74"/>
  </r>
  <r>
    <n v="1820"/>
    <n v="4313.3999999999996"/>
    <d v="2023-04-14T00:00:00"/>
    <x v="161"/>
    <s v="Mexico"/>
    <s v="Location 3"/>
    <n v="2.37"/>
  </r>
  <r>
    <n v="4500"/>
    <n v="5895"/>
    <d v="2023-04-14T00:00:00"/>
    <x v="162"/>
    <s v="Mexico"/>
    <s v="Location 3"/>
    <n v="1.31"/>
  </r>
  <r>
    <n v="1500"/>
    <n v="1029.5999999999999"/>
    <d v="2023-06-09T00:00:00"/>
    <x v="153"/>
    <s v="Mexico"/>
    <s v="Location 3"/>
    <n v="0.68640000000000001"/>
  </r>
  <r>
    <n v="432"/>
    <n v="46617.120000000003"/>
    <d v="2023-06-20T00:00:00"/>
    <x v="149"/>
    <s v="Mexico"/>
    <s v="Location 3"/>
    <n v="107.91"/>
  </r>
  <r>
    <n v="30"/>
    <n v="13168.5"/>
    <d v="2023-06-20T00:00:00"/>
    <x v="145"/>
    <s v="Mexico"/>
    <s v="Location 3"/>
    <n v="438.95"/>
  </r>
  <r>
    <n v="64"/>
    <n v="55756.160000000003"/>
    <d v="2023-04-14T00:00:00"/>
    <x v="157"/>
    <s v="Mexico"/>
    <s v="Location 3"/>
    <n v="871.19"/>
  </r>
  <r>
    <n v="64"/>
    <n v="55756.160000000003"/>
    <d v="2023-04-14T00:00:00"/>
    <x v="157"/>
    <s v="Mexico"/>
    <s v="Location 3"/>
    <n v="871.19"/>
  </r>
  <r>
    <n v="432"/>
    <n v="46617.120000000003"/>
    <d v="2023-06-21T00:00:00"/>
    <x v="149"/>
    <s v="Mexico"/>
    <s v="Location 3"/>
    <n v="107.91"/>
  </r>
  <r>
    <n v="324"/>
    <n v="34962.839999999997"/>
    <d v="2023-06-21T00:00:00"/>
    <x v="149"/>
    <s v="Mexico"/>
    <s v="Location 3"/>
    <n v="107.91"/>
  </r>
  <r>
    <n v="300"/>
    <n v="227802"/>
    <d v="2023-06-21T00:00:00"/>
    <x v="154"/>
    <s v="Mexico"/>
    <s v="Location 3"/>
    <n v="759.34"/>
  </r>
  <r>
    <n v="240"/>
    <n v="108170.4"/>
    <d v="2023-04-21T00:00:00"/>
    <x v="141"/>
    <s v="Mexico"/>
    <s v="Location 3"/>
    <n v="450.71"/>
  </r>
  <r>
    <n v="240"/>
    <n v="102048"/>
    <d v="2023-04-21T00:00:00"/>
    <x v="141"/>
    <s v="Mexico"/>
    <s v="Location 3"/>
    <n v="425.2"/>
  </r>
  <r>
    <n v="330"/>
    <n v="250582.2"/>
    <d v="2023-04-21T00:00:00"/>
    <x v="154"/>
    <s v="Mexico"/>
    <s v="Location 3"/>
    <n v="759.34"/>
  </r>
  <r>
    <n v="420"/>
    <n v="318922.8"/>
    <d v="2023-04-21T00:00:00"/>
    <x v="154"/>
    <s v="Mexico"/>
    <s v="Location 3"/>
    <n v="759.34"/>
  </r>
  <r>
    <n v="1008"/>
    <n v="80398.080000000002"/>
    <d v="2023-02-10T00:00:00"/>
    <x v="163"/>
    <s v="Mexico"/>
    <s v="Location 3"/>
    <n v="79.760000000000005"/>
  </r>
  <r>
    <n v="1000"/>
    <n v="1830"/>
    <d v="2023-02-13T00:00:00"/>
    <x v="160"/>
    <s v="Mexico"/>
    <s v="Location 3"/>
    <n v="1.83"/>
  </r>
  <r>
    <n v="3000"/>
    <n v="1943.7"/>
    <d v="2023-02-13T00:00:00"/>
    <x v="153"/>
    <s v="Mexico"/>
    <s v="Location 3"/>
    <n v="0.64790000000000003"/>
  </r>
  <r>
    <n v="3024"/>
    <n v="133449.12"/>
    <d v="2023-04-25T00:00:00"/>
    <x v="164"/>
    <s v="Mexico"/>
    <s v="Location 3"/>
    <n v="44.13"/>
  </r>
  <r>
    <n v="252"/>
    <n v="21606.48"/>
    <d v="2023-04-25T00:00:00"/>
    <x v="163"/>
    <s v="Mexico"/>
    <s v="Location 3"/>
    <n v="85.74"/>
  </r>
  <r>
    <n v="252"/>
    <n v="21606.48"/>
    <d v="2023-04-25T00:00:00"/>
    <x v="163"/>
    <s v="Mexico"/>
    <s v="Location 3"/>
    <n v="85.74"/>
  </r>
  <r>
    <n v="252"/>
    <n v="21606.48"/>
    <d v="2023-04-25T00:00:00"/>
    <x v="163"/>
    <s v="Mexico"/>
    <s v="Location 3"/>
    <n v="85.74"/>
  </r>
  <r>
    <n v="252"/>
    <n v="28687.68"/>
    <d v="2023-04-25T00:00:00"/>
    <x v="165"/>
    <s v="Mexico"/>
    <s v="Location 3"/>
    <n v="113.84"/>
  </r>
  <r>
    <n v="588"/>
    <n v="79585.8"/>
    <d v="2023-04-25T00:00:00"/>
    <x v="166"/>
    <s v="Mexico"/>
    <s v="Location 3"/>
    <n v="135.35"/>
  </r>
  <r>
    <n v="220"/>
    <n v="32089.200000000001"/>
    <d v="2023-05-15T00:00:00"/>
    <x v="167"/>
    <s v="Mexico"/>
    <s v="Location 3"/>
    <n v="145.86000000000001"/>
  </r>
  <r>
    <n v="30"/>
    <n v="13168.5"/>
    <d v="2023-05-15T00:00:00"/>
    <x v="145"/>
    <s v="Mexico"/>
    <s v="Location 3"/>
    <n v="438.95"/>
  </r>
  <r>
    <n v="60"/>
    <n v="26337"/>
    <d v="2023-05-15T00:00:00"/>
    <x v="145"/>
    <s v="Mexico"/>
    <s v="Location 3"/>
    <n v="438.95"/>
  </r>
  <r>
    <n v="1008"/>
    <n v="69602.399999999994"/>
    <d v="2023-05-15T00:00:00"/>
    <x v="168"/>
    <s v="Mexico"/>
    <s v="Location 3"/>
    <n v="69.05"/>
  </r>
  <r>
    <n v="840"/>
    <n v="13221.6"/>
    <d v="2023-05-15T00:00:00"/>
    <x v="155"/>
    <s v="Mexico"/>
    <s v="Location 3"/>
    <n v="15.74"/>
  </r>
  <r>
    <n v="1820"/>
    <n v="4313.3999999999996"/>
    <d v="2023-05-15T00:00:00"/>
    <x v="161"/>
    <s v="Mexico"/>
    <s v="Location 3"/>
    <n v="2.37"/>
  </r>
  <r>
    <n v="1820"/>
    <n v="4313.3999999999996"/>
    <d v="2023-05-15T00:00:00"/>
    <x v="161"/>
    <s v="Mexico"/>
    <s v="Location 3"/>
    <n v="2.37"/>
  </r>
  <r>
    <n v="1820"/>
    <n v="4568.2"/>
    <d v="2023-05-15T00:00:00"/>
    <x v="161"/>
    <s v="Mexico"/>
    <s v="Location 3"/>
    <n v="2.5099999999999998"/>
  </r>
  <r>
    <n v="4500"/>
    <n v="3088.8"/>
    <d v="2023-05-15T00:00:00"/>
    <x v="153"/>
    <s v="Mexico"/>
    <s v="Location 3"/>
    <n v="0.68640000000000001"/>
  </r>
  <r>
    <n v="3000"/>
    <n v="2059.1999999999998"/>
    <d v="2023-05-15T00:00:00"/>
    <x v="153"/>
    <s v="Mexico"/>
    <s v="Location 3"/>
    <n v="0.68640000000000001"/>
  </r>
  <r>
    <n v="64"/>
    <n v="55756.160000000003"/>
    <d v="2023-05-15T00:00:00"/>
    <x v="157"/>
    <s v="Mexico"/>
    <s v="Location 3"/>
    <n v="871.19"/>
  </r>
  <r>
    <n v="432"/>
    <n v="46617.120000000003"/>
    <d v="2023-02-21T00:00:00"/>
    <x v="149"/>
    <s v="Mexico"/>
    <s v="Location 3"/>
    <n v="107.91"/>
  </r>
  <r>
    <n v="432"/>
    <n v="46617.120000000003"/>
    <d v="2023-02-21T00:00:00"/>
    <x v="149"/>
    <s v="Mexico"/>
    <s v="Location 3"/>
    <n v="107.91"/>
  </r>
  <r>
    <n v="108"/>
    <n v="11654.28"/>
    <d v="2023-02-21T00:00:00"/>
    <x v="149"/>
    <s v="Mexico"/>
    <s v="Location 3"/>
    <n v="107.91"/>
  </r>
  <r>
    <n v="90"/>
    <n v="41816.699999999997"/>
    <d v="2023-02-21T00:00:00"/>
    <x v="145"/>
    <s v="Mexico"/>
    <s v="Location 3"/>
    <n v="464.63"/>
  </r>
  <r>
    <n v="90"/>
    <n v="41816.699999999997"/>
    <d v="2023-02-21T00:00:00"/>
    <x v="145"/>
    <s v="Mexico"/>
    <s v="Location 3"/>
    <n v="464.63"/>
  </r>
  <r>
    <n v="90"/>
    <n v="41816.699999999997"/>
    <d v="2023-02-21T00:00:00"/>
    <x v="145"/>
    <s v="Mexico"/>
    <s v="Location 3"/>
    <n v="464.63"/>
  </r>
  <r>
    <n v="60"/>
    <n v="27877.8"/>
    <d v="2023-02-21T00:00:00"/>
    <x v="145"/>
    <s v="Mexico"/>
    <s v="Location 3"/>
    <n v="464.63"/>
  </r>
  <r>
    <n v="1500"/>
    <n v="971.85"/>
    <d v="2023-02-21T00:00:00"/>
    <x v="153"/>
    <s v="Mexico"/>
    <s v="Location 3"/>
    <n v="0.64790000000000003"/>
  </r>
  <r>
    <n v="1500"/>
    <n v="1029.5999999999999"/>
    <d v="2023-04-25T00:00:00"/>
    <x v="153"/>
    <s v="Mexico"/>
    <s v="Location 3"/>
    <n v="0.68640000000000001"/>
  </r>
  <r>
    <n v="420"/>
    <n v="318922.8"/>
    <d v="2023-04-25T00:00:00"/>
    <x v="154"/>
    <s v="Mexico"/>
    <s v="Location 3"/>
    <n v="759.34"/>
  </r>
  <r>
    <n v="420"/>
    <n v="318922.8"/>
    <d v="2023-04-25T00:00:00"/>
    <x v="154"/>
    <s v="Mexico"/>
    <s v="Location 3"/>
    <n v="759.34"/>
  </r>
  <r>
    <n v="156"/>
    <n v="15375.36"/>
    <d v="2023-04-25T00:00:00"/>
    <x v="158"/>
    <s v="Mexico"/>
    <s v="Location 3"/>
    <n v="98.56"/>
  </r>
  <r>
    <n v="324"/>
    <n v="34962.839999999997"/>
    <d v="2023-02-24T00:00:00"/>
    <x v="149"/>
    <s v="Mexico"/>
    <s v="Location 3"/>
    <n v="107.91"/>
  </r>
  <r>
    <n v="432"/>
    <n v="46617.120000000003"/>
    <d v="2023-02-24T00:00:00"/>
    <x v="149"/>
    <s v="Mexico"/>
    <s v="Location 3"/>
    <n v="107.91"/>
  </r>
  <r>
    <n v="1000"/>
    <n v="1830"/>
    <d v="2023-02-24T00:00:00"/>
    <x v="160"/>
    <s v="Mexico"/>
    <s v="Location 3"/>
    <n v="1.83"/>
  </r>
  <r>
    <n v="252"/>
    <n v="20099.52"/>
    <d v="2023-02-24T00:00:00"/>
    <x v="163"/>
    <s v="Mexico"/>
    <s v="Location 3"/>
    <n v="79.760000000000005"/>
  </r>
  <r>
    <n v="252"/>
    <n v="20099.52"/>
    <d v="2023-02-24T00:00:00"/>
    <x v="163"/>
    <s v="Mexico"/>
    <s v="Location 3"/>
    <n v="79.760000000000005"/>
  </r>
  <r>
    <n v="252"/>
    <n v="20099.52"/>
    <d v="2023-02-24T00:00:00"/>
    <x v="163"/>
    <s v="Mexico"/>
    <s v="Location 3"/>
    <n v="79.760000000000005"/>
  </r>
  <r>
    <n v="252"/>
    <n v="20099.52"/>
    <d v="2023-02-24T00:00:00"/>
    <x v="163"/>
    <s v="Mexico"/>
    <s v="Location 3"/>
    <n v="79.760000000000005"/>
  </r>
  <r>
    <n v="2336"/>
    <n v="221102.4"/>
    <d v="2023-02-24T00:00:00"/>
    <x v="159"/>
    <s v="Mexico"/>
    <s v="Location 3"/>
    <n v="94.65"/>
  </r>
  <r>
    <n v="30"/>
    <n v="13168.5"/>
    <d v="2023-05-26T00:00:00"/>
    <x v="145"/>
    <s v="Mexico"/>
    <s v="Location 3"/>
    <n v="438.95"/>
  </r>
  <r>
    <n v="324"/>
    <n v="34962.839999999997"/>
    <d v="2023-02-28T00:00:00"/>
    <x v="149"/>
    <s v="Mexico"/>
    <s v="Location 3"/>
    <n v="107.91"/>
  </r>
  <r>
    <n v="324"/>
    <n v="34962.839999999997"/>
    <d v="2023-02-28T00:00:00"/>
    <x v="149"/>
    <s v="Mexico"/>
    <s v="Location 3"/>
    <n v="107.91"/>
  </r>
  <r>
    <n v="324"/>
    <n v="34962.839999999997"/>
    <d v="2023-02-28T00:00:00"/>
    <x v="149"/>
    <s v="Mexico"/>
    <s v="Location 3"/>
    <n v="107.91"/>
  </r>
  <r>
    <n v="324"/>
    <n v="34962.839999999997"/>
    <d v="2023-02-28T00:00:00"/>
    <x v="149"/>
    <s v="Mexico"/>
    <s v="Location 3"/>
    <n v="107.91"/>
  </r>
  <r>
    <n v="108"/>
    <n v="11654.28"/>
    <d v="2023-02-28T00:00:00"/>
    <x v="149"/>
    <s v="Mexico"/>
    <s v="Location 3"/>
    <n v="107.91"/>
  </r>
  <r>
    <n v="1192"/>
    <n v="112822.8"/>
    <d v="2023-02-28T00:00:00"/>
    <x v="159"/>
    <s v="Mexico"/>
    <s v="Location 3"/>
    <n v="94.65"/>
  </r>
  <r>
    <n v="1008"/>
    <n v="73402.559999999998"/>
    <d v="2023-05-26T00:00:00"/>
    <x v="168"/>
    <s v="Mexico"/>
    <s v="Location 3"/>
    <n v="72.819999999999993"/>
  </r>
  <r>
    <n v="279"/>
    <n v="24390.18"/>
    <d v="2023-05-26T00:00:00"/>
    <x v="169"/>
    <s v="Mexico"/>
    <s v="Location 3"/>
    <n v="87.42"/>
  </r>
  <r>
    <n v="29"/>
    <n v="2535.1799999999998"/>
    <d v="2023-05-26T00:00:00"/>
    <x v="169"/>
    <s v="Mexico"/>
    <s v="Location 3"/>
    <n v="87.42"/>
  </r>
  <r>
    <n v="1820"/>
    <n v="4568.2"/>
    <d v="2023-05-26T00:00:00"/>
    <x v="161"/>
    <s v="Mexico"/>
    <s v="Location 3"/>
    <n v="2.5099999999999998"/>
  </r>
  <r>
    <n v="1820"/>
    <n v="4568.2"/>
    <d v="2023-05-26T00:00:00"/>
    <x v="161"/>
    <s v="Mexico"/>
    <s v="Location 3"/>
    <n v="2.5099999999999998"/>
  </r>
  <r>
    <n v="1820"/>
    <n v="4568.2"/>
    <d v="2023-05-26T00:00:00"/>
    <x v="161"/>
    <s v="Mexico"/>
    <s v="Location 3"/>
    <n v="2.5099999999999998"/>
  </r>
  <r>
    <n v="1820"/>
    <n v="4568.2"/>
    <d v="2023-05-26T00:00:00"/>
    <x v="161"/>
    <s v="Mexico"/>
    <s v="Location 3"/>
    <n v="2.5099999999999998"/>
  </r>
  <r>
    <n v="1820"/>
    <n v="4568.2"/>
    <d v="2023-05-26T00:00:00"/>
    <x v="161"/>
    <s v="Mexico"/>
    <s v="Location 3"/>
    <n v="2.5099999999999998"/>
  </r>
  <r>
    <n v="1820"/>
    <n v="4568.2"/>
    <d v="2023-05-26T00:00:00"/>
    <x v="161"/>
    <s v="Mexico"/>
    <s v="Location 3"/>
    <n v="2.5099999999999998"/>
  </r>
  <r>
    <n v="15"/>
    <n v="6760.65"/>
    <d v="2023-08-04T00:00:00"/>
    <x v="141"/>
    <s v="Mexico"/>
    <s v="Location 3"/>
    <n v="450.71"/>
  </r>
  <r>
    <n v="76"/>
    <n v="34253.96"/>
    <d v="2023-08-04T00:00:00"/>
    <x v="141"/>
    <s v="Mexico"/>
    <s v="Location 3"/>
    <n v="450.71"/>
  </r>
  <r>
    <n v="420"/>
    <n v="318922.8"/>
    <d v="2023-08-04T00:00:00"/>
    <x v="154"/>
    <s v="Mexico"/>
    <s v="Location 3"/>
    <n v="759.34"/>
  </r>
  <r>
    <n v="432"/>
    <n v="46617.120000000003"/>
    <d v="2023-08-16T00:00:00"/>
    <x v="149"/>
    <s v="Mexico"/>
    <s v="Location 3"/>
    <n v="107.91"/>
  </r>
  <r>
    <n v="324"/>
    <n v="34962.839999999997"/>
    <d v="2023-08-16T00:00:00"/>
    <x v="149"/>
    <s v="Mexico"/>
    <s v="Location 3"/>
    <n v="107.91"/>
  </r>
  <r>
    <n v="103"/>
    <n v="46423.13"/>
    <d v="2023-08-16T00:00:00"/>
    <x v="141"/>
    <s v="Mexico"/>
    <s v="Location 3"/>
    <n v="450.71"/>
  </r>
  <r>
    <n v="80"/>
    <n v="36056.800000000003"/>
    <d v="2023-08-16T00:00:00"/>
    <x v="141"/>
    <s v="Mexico"/>
    <s v="Location 3"/>
    <n v="450.71"/>
  </r>
  <r>
    <n v="432"/>
    <n v="46617.120000000003"/>
    <d v="2023-08-17T00:00:00"/>
    <x v="149"/>
    <s v="Mexico"/>
    <s v="Location 3"/>
    <n v="107.91"/>
  </r>
  <r>
    <n v="60"/>
    <n v="45560.4"/>
    <d v="2023-08-17T00:00:00"/>
    <x v="154"/>
    <s v="Mexico"/>
    <s v="Location 3"/>
    <n v="759.34"/>
  </r>
  <r>
    <n v="60"/>
    <n v="45560.4"/>
    <d v="2023-08-17T00:00:00"/>
    <x v="154"/>
    <s v="Mexico"/>
    <s v="Location 3"/>
    <n v="759.34"/>
  </r>
  <r>
    <n v="60"/>
    <n v="45560.4"/>
    <d v="2023-08-17T00:00:00"/>
    <x v="154"/>
    <s v="Mexico"/>
    <s v="Location 3"/>
    <n v="759.34"/>
  </r>
  <r>
    <n v="21"/>
    <n v="3747.45"/>
    <d v="2023-08-17T00:00:00"/>
    <x v="170"/>
    <s v="Mexico"/>
    <s v="Location 3"/>
    <n v="178.45"/>
  </r>
  <r>
    <n v="648"/>
    <n v="69925.679999999993"/>
    <d v="2023-07-14T00:00:00"/>
    <x v="149"/>
    <s v="Mexico"/>
    <s v="Location 3"/>
    <n v="107.91"/>
  </r>
  <r>
    <n v="420"/>
    <n v="6610.8"/>
    <d v="2023-07-14T00:00:00"/>
    <x v="155"/>
    <s v="Mexico"/>
    <s v="Location 3"/>
    <n v="15.74"/>
  </r>
  <r>
    <n v="1820"/>
    <n v="4568.2"/>
    <d v="2023-07-14T00:00:00"/>
    <x v="161"/>
    <s v="Mexico"/>
    <s v="Location 3"/>
    <n v="2.5099999999999998"/>
  </r>
  <r>
    <n v="1820"/>
    <n v="4568.2"/>
    <d v="2023-07-14T00:00:00"/>
    <x v="161"/>
    <s v="Mexico"/>
    <s v="Location 3"/>
    <n v="2.5099999999999998"/>
  </r>
  <r>
    <n v="1820"/>
    <n v="4568.2"/>
    <d v="2023-07-14T00:00:00"/>
    <x v="161"/>
    <s v="Mexico"/>
    <s v="Location 3"/>
    <n v="2.5099999999999998"/>
  </r>
  <r>
    <n v="1820"/>
    <n v="4568.2"/>
    <d v="2023-07-14T00:00:00"/>
    <x v="161"/>
    <s v="Mexico"/>
    <s v="Location 3"/>
    <n v="2.5099999999999998"/>
  </r>
  <r>
    <n v="1820"/>
    <n v="4568.2"/>
    <d v="2023-07-14T00:00:00"/>
    <x v="161"/>
    <s v="Mexico"/>
    <s v="Location 3"/>
    <n v="2.5099999999999998"/>
  </r>
  <r>
    <n v="1820"/>
    <n v="4568.2"/>
    <d v="2023-07-14T00:00:00"/>
    <x v="161"/>
    <s v="Mexico"/>
    <s v="Location 3"/>
    <n v="2.5099999999999998"/>
  </r>
  <r>
    <n v="3528"/>
    <n v="333925.2"/>
    <d v="2023-07-14T00:00:00"/>
    <x v="159"/>
    <s v="Mexico"/>
    <s v="Location 3"/>
    <n v="94.65"/>
  </r>
  <r>
    <n v="350"/>
    <n v="150101"/>
    <d v="2023-07-14T00:00:00"/>
    <x v="144"/>
    <s v="Mexico"/>
    <s v="Location 3"/>
    <n v="428.86"/>
  </r>
  <r>
    <n v="252"/>
    <n v="21606.48"/>
    <d v="2023-07-25T00:00:00"/>
    <x v="163"/>
    <s v="Mexico"/>
    <s v="Location 3"/>
    <n v="85.74"/>
  </r>
  <r>
    <n v="756"/>
    <n v="64819.44"/>
    <d v="2023-07-25T00:00:00"/>
    <x v="163"/>
    <s v="Mexico"/>
    <s v="Location 3"/>
    <n v="85.74"/>
  </r>
  <r>
    <n v="630"/>
    <n v="276538.5"/>
    <d v="2023-07-25T00:00:00"/>
    <x v="145"/>
    <s v="Mexico"/>
    <s v="Location 3"/>
    <n v="438.95"/>
  </r>
  <r>
    <n v="90"/>
    <n v="39505.5"/>
    <d v="2023-07-25T00:00:00"/>
    <x v="145"/>
    <s v="Mexico"/>
    <s v="Location 3"/>
    <n v="438.95"/>
  </r>
  <r>
    <n v="279"/>
    <n v="24390.18"/>
    <d v="2023-08-31T00:00:00"/>
    <x v="169"/>
    <s v="Mexico"/>
    <s v="Location 3"/>
    <n v="87.42"/>
  </r>
  <r>
    <n v="29"/>
    <n v="2535.1799999999998"/>
    <d v="2023-08-31T00:00:00"/>
    <x v="169"/>
    <s v="Mexico"/>
    <s v="Location 3"/>
    <n v="87.42"/>
  </r>
  <r>
    <n v="60"/>
    <n v="45560.4"/>
    <d v="2023-08-31T00:00:00"/>
    <x v="154"/>
    <s v="Mexico"/>
    <s v="Location 3"/>
    <n v="759.34"/>
  </r>
  <r>
    <n v="60"/>
    <n v="45560.4"/>
    <d v="2023-08-31T00:00:00"/>
    <x v="154"/>
    <s v="Mexico"/>
    <s v="Location 3"/>
    <n v="759.34"/>
  </r>
  <r>
    <n v="90"/>
    <n v="39505.5"/>
    <d v="2023-07-25T00:00:00"/>
    <x v="145"/>
    <s v="Mexico"/>
    <s v="Location 3"/>
    <n v="438.95"/>
  </r>
  <r>
    <n v="1820"/>
    <n v="4568.2"/>
    <d v="2023-07-25T00:00:00"/>
    <x v="161"/>
    <s v="Mexico"/>
    <s v="Location 3"/>
    <n v="2.5099999999999998"/>
  </r>
  <r>
    <n v="1820"/>
    <n v="4568.2"/>
    <d v="2023-07-25T00:00:00"/>
    <x v="161"/>
    <s v="Mexico"/>
    <s v="Location 3"/>
    <n v="2.5099999999999998"/>
  </r>
  <r>
    <n v="1820"/>
    <n v="4568.2"/>
    <d v="2023-07-25T00:00:00"/>
    <x v="161"/>
    <s v="Mexico"/>
    <s v="Location 3"/>
    <n v="2.5099999999999998"/>
  </r>
  <r>
    <n v="1820"/>
    <n v="4568.2"/>
    <d v="2023-07-25T00:00:00"/>
    <x v="161"/>
    <s v="Mexico"/>
    <s v="Location 3"/>
    <n v="2.5099999999999998"/>
  </r>
  <r>
    <n v="1820"/>
    <n v="4568.2"/>
    <d v="2023-07-25T00:00:00"/>
    <x v="161"/>
    <s v="Mexico"/>
    <s v="Location 3"/>
    <n v="2.5099999999999998"/>
  </r>
  <r>
    <n v="60"/>
    <n v="45560.4"/>
    <d v="2023-08-31T00:00:00"/>
    <x v="154"/>
    <s v="Mexico"/>
    <s v="Location 3"/>
    <n v="759.34"/>
  </r>
  <r>
    <n v="60"/>
    <n v="45560.4"/>
    <d v="2023-08-31T00:00:00"/>
    <x v="154"/>
    <s v="Mexico"/>
    <s v="Location 3"/>
    <n v="759.34"/>
  </r>
  <r>
    <n v="420"/>
    <n v="318922.8"/>
    <d v="2023-07-25T00:00:00"/>
    <x v="154"/>
    <s v="Mexico"/>
    <s v="Location 3"/>
    <n v="759.34"/>
  </r>
  <r>
    <n v="200"/>
    <n v="85040"/>
    <d v="2023-01-06T00:00:00"/>
    <x v="141"/>
    <s v="Mexico"/>
    <s v="Location 3"/>
    <n v="425.2"/>
  </r>
  <r>
    <n v="46"/>
    <n v="19559.2"/>
    <d v="2023-01-06T00:00:00"/>
    <x v="141"/>
    <s v="Mexico"/>
    <s v="Location 3"/>
    <n v="425.2"/>
  </r>
  <r>
    <n v="216"/>
    <n v="24669.360000000001"/>
    <d v="2023-01-14T00:00:00"/>
    <x v="149"/>
    <s v="Mexico"/>
    <s v="Location 3"/>
    <n v="114.21"/>
  </r>
  <r>
    <n v="108"/>
    <n v="12334.68"/>
    <d v="2023-01-14T00:00:00"/>
    <x v="149"/>
    <s v="Mexico"/>
    <s v="Location 3"/>
    <n v="114.21"/>
  </r>
  <r>
    <n v="240"/>
    <n v="102048"/>
    <d v="2023-01-14T00:00:00"/>
    <x v="141"/>
    <s v="Mexico"/>
    <s v="Location 3"/>
    <n v="425.2"/>
  </r>
  <r>
    <n v="40"/>
    <n v="17008"/>
    <d v="2023-01-14T00:00:00"/>
    <x v="141"/>
    <s v="Mexico"/>
    <s v="Location 3"/>
    <n v="425.2"/>
  </r>
  <r>
    <n v="1000"/>
    <n v="1830"/>
    <d v="2022-03-31T00:00:00"/>
    <x v="160"/>
    <s v="Mexico"/>
    <s v="Location 3"/>
    <n v="1.83"/>
  </r>
  <r>
    <n v="2000"/>
    <n v="3660"/>
    <d v="2022-03-31T00:00:00"/>
    <x v="160"/>
    <s v="Mexico"/>
    <s v="Location 3"/>
    <n v="1.83"/>
  </r>
  <r>
    <n v="432"/>
    <n v="46781.279999999999"/>
    <d v="2022-06-09T00:00:00"/>
    <x v="149"/>
    <s v="Mexico"/>
    <s v="Location 3"/>
    <n v="108.29"/>
  </r>
  <r>
    <n v="324"/>
    <n v="35085.96"/>
    <d v="2022-06-09T00:00:00"/>
    <x v="149"/>
    <s v="Mexico"/>
    <s v="Location 3"/>
    <n v="108.29"/>
  </r>
  <r>
    <n v="2000"/>
    <n v="3660"/>
    <d v="2022-04-05T00:00:00"/>
    <x v="160"/>
    <s v="Mexico"/>
    <s v="Location 3"/>
    <n v="1.83"/>
  </r>
  <r>
    <n v="420"/>
    <n v="320073.59999999998"/>
    <d v="2022-06-09T00:00:00"/>
    <x v="154"/>
    <s v="Mexico"/>
    <s v="Location 3"/>
    <n v="762.08"/>
  </r>
  <r>
    <n v="420"/>
    <n v="320073.59999999998"/>
    <d v="2022-06-09T00:00:00"/>
    <x v="154"/>
    <s v="Mexico"/>
    <s v="Location 3"/>
    <n v="762.08"/>
  </r>
  <r>
    <n v="432"/>
    <n v="46781.279999999999"/>
    <d v="2022-05-09T00:00:00"/>
    <x v="149"/>
    <s v="Mexico"/>
    <s v="Location 3"/>
    <n v="108.29"/>
  </r>
  <r>
    <n v="540"/>
    <n v="58476.6"/>
    <d v="2022-05-09T00:00:00"/>
    <x v="149"/>
    <s v="Mexico"/>
    <s v="Location 3"/>
    <n v="108.29"/>
  </r>
  <r>
    <n v="540"/>
    <n v="58476.6"/>
    <d v="2022-05-09T00:00:00"/>
    <x v="149"/>
    <s v="Mexico"/>
    <s v="Location 3"/>
    <n v="108.29"/>
  </r>
  <r>
    <n v="1820"/>
    <n v="1342.43"/>
    <d v="2022-05-09T00:00:00"/>
    <x v="171"/>
    <s v="Mexico"/>
    <s v="Location 3"/>
    <n v="0.73760000000000003"/>
  </r>
  <r>
    <n v="4382"/>
    <n v="407394.54"/>
    <d v="2022-05-09T00:00:00"/>
    <x v="158"/>
    <s v="Mexico"/>
    <s v="Location 3"/>
    <n v="92.97"/>
  </r>
  <r>
    <n v="1160"/>
    <n v="104098.4"/>
    <d v="2022-06-28T00:00:00"/>
    <x v="159"/>
    <s v="Mexico"/>
    <s v="Location 3"/>
    <n v="89.74"/>
  </r>
  <r>
    <n v="1000"/>
    <n v="1830"/>
    <d v="2022-02-01T00:00:00"/>
    <x v="160"/>
    <s v="Mexico"/>
    <s v="Location 3"/>
    <n v="1.83"/>
  </r>
  <r>
    <n v="324"/>
    <n v="35085.96"/>
    <d v="2022-05-11T00:00:00"/>
    <x v="149"/>
    <s v="Mexico"/>
    <s v="Location 3"/>
    <n v="108.29"/>
  </r>
  <r>
    <n v="1820"/>
    <n v="1342.43"/>
    <d v="2022-01-03T00:00:00"/>
    <x v="171"/>
    <s v="Mexico"/>
    <s v="Location 3"/>
    <n v="0.73760000000000003"/>
  </r>
  <r>
    <n v="432"/>
    <n v="46785.599999999999"/>
    <d v="2023-01-03T00:00:00"/>
    <x v="149"/>
    <s v="Mexico"/>
    <s v="Location 3"/>
    <n v="108.3"/>
  </r>
  <r>
    <n v="324"/>
    <n v="35089.199999999997"/>
    <d v="2023-01-03T00:00:00"/>
    <x v="149"/>
    <s v="Mexico"/>
    <s v="Location 3"/>
    <n v="108.3"/>
  </r>
  <r>
    <n v="324"/>
    <n v="35089.199999999997"/>
    <d v="2023-01-03T00:00:00"/>
    <x v="149"/>
    <s v="Mexico"/>
    <s v="Location 3"/>
    <n v="108.3"/>
  </r>
  <r>
    <n v="216"/>
    <n v="23392.799999999999"/>
    <d v="2023-01-03T00:00:00"/>
    <x v="149"/>
    <s v="Mexico"/>
    <s v="Location 3"/>
    <n v="108.3"/>
  </r>
  <r>
    <n v="432"/>
    <n v="46785.599999999999"/>
    <d v="2023-01-03T00:00:00"/>
    <x v="149"/>
    <s v="Mexico"/>
    <s v="Location 3"/>
    <n v="108.3"/>
  </r>
  <r>
    <n v="324"/>
    <n v="35089.199999999997"/>
    <d v="2023-01-03T00:00:00"/>
    <x v="149"/>
    <s v="Mexico"/>
    <s v="Location 3"/>
    <n v="108.3"/>
  </r>
  <r>
    <n v="216"/>
    <n v="23392.799999999999"/>
    <d v="2023-01-03T00:00:00"/>
    <x v="149"/>
    <s v="Mexico"/>
    <s v="Location 3"/>
    <n v="108.3"/>
  </r>
  <r>
    <n v="1000"/>
    <n v="1830"/>
    <d v="2023-01-03T00:00:00"/>
    <x v="160"/>
    <s v="Mexico"/>
    <s v="Location 3"/>
    <n v="1.83"/>
  </r>
  <r>
    <n v="2000"/>
    <n v="3880"/>
    <d v="2023-01-03T00:00:00"/>
    <x v="160"/>
    <s v="Mexico"/>
    <s v="Location 3"/>
    <n v="1.94"/>
  </r>
  <r>
    <n v="240"/>
    <n v="102048"/>
    <d v="2023-01-03T00:00:00"/>
    <x v="141"/>
    <s v="Mexico"/>
    <s v="Location 3"/>
    <n v="425.2"/>
  </r>
  <r>
    <n v="240"/>
    <n v="102048"/>
    <d v="2023-01-03T00:00:00"/>
    <x v="141"/>
    <s v="Mexico"/>
    <s v="Location 3"/>
    <n v="425.2"/>
  </r>
  <r>
    <n v="648"/>
    <n v="70171.92"/>
    <d v="2022-05-18T00:00:00"/>
    <x v="149"/>
    <s v="Mexico"/>
    <s v="Location 3"/>
    <n v="108.29"/>
  </r>
  <r>
    <n v="324"/>
    <n v="35085.96"/>
    <d v="2022-05-18T00:00:00"/>
    <x v="149"/>
    <s v="Mexico"/>
    <s v="Location 3"/>
    <n v="108.29"/>
  </r>
  <r>
    <n v="40"/>
    <n v="17008"/>
    <d v="2023-01-03T00:00:00"/>
    <x v="141"/>
    <s v="Mexico"/>
    <s v="Location 3"/>
    <n v="425.2"/>
  </r>
  <r>
    <n v="3024"/>
    <n v="126493.92"/>
    <d v="2023-01-03T00:00:00"/>
    <x v="164"/>
    <s v="Mexico"/>
    <s v="Location 3"/>
    <n v="41.83"/>
  </r>
  <r>
    <n v="1176"/>
    <n v="105546"/>
    <d v="2023-01-03T00:00:00"/>
    <x v="159"/>
    <s v="Mexico"/>
    <s v="Location 3"/>
    <n v="89.75"/>
  </r>
  <r>
    <n v="420"/>
    <n v="6266.4"/>
    <d v="2022-04-27T00:00:00"/>
    <x v="155"/>
    <s v="Mexico"/>
    <s v="Location 3"/>
    <n v="14.92"/>
  </r>
  <r>
    <n v="420"/>
    <n v="6266.4"/>
    <d v="2022-04-27T00:00:00"/>
    <x v="155"/>
    <s v="Mexico"/>
    <s v="Location 3"/>
    <n v="14.92"/>
  </r>
  <r>
    <n v="588"/>
    <n v="75075.839999999997"/>
    <d v="2022-07-26T00:00:00"/>
    <x v="166"/>
    <s v="Mexico"/>
    <s v="Location 3"/>
    <n v="127.68"/>
  </r>
  <r>
    <n v="588"/>
    <n v="75075.839999999997"/>
    <d v="2022-07-26T00:00:00"/>
    <x v="166"/>
    <s v="Mexico"/>
    <s v="Location 3"/>
    <n v="127.68"/>
  </r>
  <r>
    <n v="588"/>
    <n v="75075.839999999997"/>
    <d v="2022-07-26T00:00:00"/>
    <x v="166"/>
    <s v="Mexico"/>
    <s v="Location 3"/>
    <n v="127.68"/>
  </r>
  <r>
    <n v="588"/>
    <n v="75075.839999999997"/>
    <d v="2022-07-26T00:00:00"/>
    <x v="166"/>
    <s v="Mexico"/>
    <s v="Location 3"/>
    <n v="127.68"/>
  </r>
  <r>
    <n v="4500"/>
    <n v="5175"/>
    <d v="2022-07-26T00:00:00"/>
    <x v="172"/>
    <s v="Mexico"/>
    <s v="Location 3"/>
    <n v="1.1499999999999999"/>
  </r>
  <r>
    <n v="60"/>
    <n v="26432.400000000001"/>
    <d v="2022-09-12T00:00:00"/>
    <x v="145"/>
    <s v="Mexico"/>
    <s v="Location 3"/>
    <n v="440.54"/>
  </r>
  <r>
    <n v="1820"/>
    <n v="4313.3999999999996"/>
    <d v="2022-09-12T00:00:00"/>
    <x v="161"/>
    <s v="Mexico"/>
    <s v="Location 3"/>
    <n v="2.37"/>
  </r>
  <r>
    <n v="1820"/>
    <n v="4313.3999999999996"/>
    <d v="2022-09-12T00:00:00"/>
    <x v="161"/>
    <s v="Mexico"/>
    <s v="Location 3"/>
    <n v="2.37"/>
  </r>
  <r>
    <n v="1820"/>
    <n v="4313.3999999999996"/>
    <d v="2022-09-12T00:00:00"/>
    <x v="161"/>
    <s v="Mexico"/>
    <s v="Location 3"/>
    <n v="2.37"/>
  </r>
  <r>
    <n v="1820"/>
    <n v="4313.3999999999996"/>
    <d v="2022-09-12T00:00:00"/>
    <x v="161"/>
    <s v="Mexico"/>
    <s v="Location 3"/>
    <n v="2.37"/>
  </r>
  <r>
    <n v="588"/>
    <n v="52767.12"/>
    <d v="2022-09-12T00:00:00"/>
    <x v="159"/>
    <s v="Mexico"/>
    <s v="Location 3"/>
    <n v="89.74"/>
  </r>
  <r>
    <n v="252"/>
    <n v="19056.240000000002"/>
    <d v="2022-09-21T00:00:00"/>
    <x v="163"/>
    <s v="Mexico"/>
    <s v="Location 3"/>
    <n v="75.62"/>
  </r>
  <r>
    <n v="252"/>
    <n v="19056.240000000002"/>
    <d v="2022-09-21T00:00:00"/>
    <x v="163"/>
    <s v="Mexico"/>
    <s v="Location 3"/>
    <n v="75.62"/>
  </r>
  <r>
    <n v="252"/>
    <n v="19056.240000000002"/>
    <d v="2022-09-21T00:00:00"/>
    <x v="163"/>
    <s v="Mexico"/>
    <s v="Location 3"/>
    <n v="75.62"/>
  </r>
  <r>
    <n v="30"/>
    <n v="13216.2"/>
    <d v="2022-09-21T00:00:00"/>
    <x v="145"/>
    <s v="Mexico"/>
    <s v="Location 3"/>
    <n v="440.54"/>
  </r>
  <r>
    <n v="30"/>
    <n v="13216.2"/>
    <d v="2022-09-21T00:00:00"/>
    <x v="145"/>
    <s v="Mexico"/>
    <s v="Location 3"/>
    <n v="440.54"/>
  </r>
  <r>
    <n v="90"/>
    <n v="39648.6"/>
    <d v="2022-09-21T00:00:00"/>
    <x v="145"/>
    <s v="Mexico"/>
    <s v="Location 3"/>
    <n v="440.54"/>
  </r>
  <r>
    <n v="90"/>
    <n v="39648.6"/>
    <d v="2022-09-21T00:00:00"/>
    <x v="145"/>
    <s v="Mexico"/>
    <s v="Location 3"/>
    <n v="440.54"/>
  </r>
  <r>
    <n v="588"/>
    <n v="52767.12"/>
    <d v="2022-09-21T00:00:00"/>
    <x v="159"/>
    <s v="Mexico"/>
    <s v="Location 3"/>
    <n v="89.74"/>
  </r>
  <r>
    <n v="324"/>
    <n v="35089.199999999997"/>
    <d v="2022-09-22T00:00:00"/>
    <x v="149"/>
    <s v="Mexico"/>
    <s v="Location 3"/>
    <n v="108.3"/>
  </r>
  <r>
    <n v="60"/>
    <n v="26432.400000000001"/>
    <d v="2022-09-22T00:00:00"/>
    <x v="145"/>
    <s v="Mexico"/>
    <s v="Location 3"/>
    <n v="440.54"/>
  </r>
  <r>
    <n v="100"/>
    <n v="42520"/>
    <d v="2022-11-01T00:00:00"/>
    <x v="141"/>
    <s v="Mexico"/>
    <s v="Location 3"/>
    <n v="425.2"/>
  </r>
  <r>
    <n v="180"/>
    <n v="137174.39999999999"/>
    <d v="2022-11-01T00:00:00"/>
    <x v="154"/>
    <s v="Mexico"/>
    <s v="Location 3"/>
    <n v="762.08"/>
  </r>
  <r>
    <n v="60"/>
    <n v="26432.400000000001"/>
    <d v="2022-11-03T00:00:00"/>
    <x v="145"/>
    <s v="Mexico"/>
    <s v="Location 3"/>
    <n v="440.54"/>
  </r>
  <r>
    <n v="30"/>
    <n v="13216.2"/>
    <d v="2022-11-03T00:00:00"/>
    <x v="145"/>
    <s v="Mexico"/>
    <s v="Location 3"/>
    <n v="440.54"/>
  </r>
  <r>
    <n v="180"/>
    <n v="137174.39999999999"/>
    <d v="2022-07-29T00:00:00"/>
    <x v="154"/>
    <s v="Mexico"/>
    <s v="Location 3"/>
    <n v="762.08"/>
  </r>
  <r>
    <n v="144"/>
    <n v="41486.400000000001"/>
    <d v="2022-09-26T00:00:00"/>
    <x v="173"/>
    <s v="Mexico"/>
    <s v="Location 3"/>
    <n v="288.10000000000002"/>
  </r>
  <r>
    <n v="936"/>
    <n v="269661.59999999998"/>
    <d v="2022-09-26T00:00:00"/>
    <x v="173"/>
    <s v="Mexico"/>
    <s v="Location 3"/>
    <n v="288.10000000000002"/>
  </r>
  <r>
    <n v="252"/>
    <n v="19056.240000000002"/>
    <d v="2022-09-26T00:00:00"/>
    <x v="163"/>
    <s v="Mexico"/>
    <s v="Location 3"/>
    <n v="75.62"/>
  </r>
  <r>
    <n v="252"/>
    <n v="19056.240000000002"/>
    <d v="2022-09-26T00:00:00"/>
    <x v="163"/>
    <s v="Mexico"/>
    <s v="Location 3"/>
    <n v="75.62"/>
  </r>
  <r>
    <n v="30"/>
    <n v="13216.2"/>
    <d v="2022-09-26T00:00:00"/>
    <x v="145"/>
    <s v="Mexico"/>
    <s v="Location 3"/>
    <n v="440.54"/>
  </r>
  <r>
    <n v="30"/>
    <n v="13216.2"/>
    <d v="2022-09-26T00:00:00"/>
    <x v="145"/>
    <s v="Mexico"/>
    <s v="Location 3"/>
    <n v="440.54"/>
  </r>
  <r>
    <n v="30"/>
    <n v="13216.2"/>
    <d v="2022-09-26T00:00:00"/>
    <x v="145"/>
    <s v="Mexico"/>
    <s v="Location 3"/>
    <n v="440.54"/>
  </r>
  <r>
    <n v="28"/>
    <n v="70631.399999999994"/>
    <d v="2022-09-29T00:00:00"/>
    <x v="174"/>
    <s v="Mexico"/>
    <s v="Location 3"/>
    <n v="2522.5500000000002"/>
  </r>
  <r>
    <n v="279"/>
    <n v="23123.52"/>
    <d v="2022-09-29T00:00:00"/>
    <x v="169"/>
    <s v="Mexico"/>
    <s v="Location 3"/>
    <n v="82.88"/>
  </r>
  <r>
    <n v="1820"/>
    <n v="4313.3999999999996"/>
    <d v="2022-09-29T00:00:00"/>
    <x v="161"/>
    <s v="Mexico"/>
    <s v="Location 3"/>
    <n v="2.37"/>
  </r>
  <r>
    <n v="1820"/>
    <n v="4313.3999999999996"/>
    <d v="2022-09-29T00:00:00"/>
    <x v="161"/>
    <s v="Mexico"/>
    <s v="Location 3"/>
    <n v="2.37"/>
  </r>
  <r>
    <n v="4500"/>
    <n v="5175"/>
    <d v="2022-09-29T00:00:00"/>
    <x v="172"/>
    <s v="Mexico"/>
    <s v="Location 3"/>
    <n v="1.1499999999999999"/>
  </r>
  <r>
    <n v="240"/>
    <n v="182899.20000000001"/>
    <d v="2022-09-29T00:00:00"/>
    <x v="154"/>
    <s v="Mexico"/>
    <s v="Location 3"/>
    <n v="762.08"/>
  </r>
  <r>
    <n v="588"/>
    <n v="58982.28"/>
    <d v="2022-11-03T00:00:00"/>
    <x v="156"/>
    <s v="Mexico"/>
    <s v="Location 3"/>
    <n v="100.31"/>
  </r>
  <r>
    <n v="588"/>
    <n v="58982.28"/>
    <d v="2022-11-03T00:00:00"/>
    <x v="156"/>
    <s v="Mexico"/>
    <s v="Location 3"/>
    <n v="100.31"/>
  </r>
  <r>
    <n v="1820"/>
    <n v="4313.3999999999996"/>
    <d v="2022-11-08T00:00:00"/>
    <x v="161"/>
    <s v="Mexico"/>
    <s v="Location 3"/>
    <n v="2.37"/>
  </r>
  <r>
    <n v="588"/>
    <n v="58982.28"/>
    <d v="2022-11-08T00:00:00"/>
    <x v="156"/>
    <s v="Mexico"/>
    <s v="Location 3"/>
    <n v="100.31"/>
  </r>
  <r>
    <n v="20"/>
    <n v="8504"/>
    <d v="2022-11-10T00:00:00"/>
    <x v="141"/>
    <s v="Mexico"/>
    <s v="Location 3"/>
    <n v="425.2"/>
  </r>
  <r>
    <n v="324"/>
    <n v="35085.96"/>
    <d v="2022-07-01T00:00:00"/>
    <x v="149"/>
    <s v="Mexico"/>
    <s v="Location 3"/>
    <n v="108.29"/>
  </r>
  <r>
    <n v="1820"/>
    <n v="4313.3999999999996"/>
    <d v="2022-07-01T00:00:00"/>
    <x v="161"/>
    <s v="Mexico"/>
    <s v="Location 3"/>
    <n v="2.37"/>
  </r>
  <r>
    <n v="420"/>
    <n v="320073.59999999998"/>
    <d v="2022-09-29T00:00:00"/>
    <x v="154"/>
    <s v="Mexico"/>
    <s v="Location 3"/>
    <n v="762.08"/>
  </r>
  <r>
    <n v="216"/>
    <n v="23392.799999999999"/>
    <d v="2022-11-14T00:00:00"/>
    <x v="149"/>
    <s v="Mexico"/>
    <s v="Location 3"/>
    <n v="108.3"/>
  </r>
  <r>
    <n v="432"/>
    <n v="46785.599999999999"/>
    <d v="2022-11-14T00:00:00"/>
    <x v="149"/>
    <s v="Mexico"/>
    <s v="Location 3"/>
    <n v="108.3"/>
  </r>
  <r>
    <n v="216"/>
    <n v="23392.799999999999"/>
    <d v="2022-11-14T00:00:00"/>
    <x v="149"/>
    <s v="Mexico"/>
    <s v="Location 3"/>
    <n v="108.3"/>
  </r>
  <r>
    <n v="108"/>
    <n v="11696.4"/>
    <d v="2022-11-18T00:00:00"/>
    <x v="149"/>
    <s v="Mexico"/>
    <s v="Location 3"/>
    <n v="108.3"/>
  </r>
  <r>
    <n v="1820"/>
    <n v="4313.3999999999996"/>
    <d v="2022-11-18T00:00:00"/>
    <x v="161"/>
    <s v="Mexico"/>
    <s v="Location 3"/>
    <n v="2.37"/>
  </r>
  <r>
    <n v="1500"/>
    <n v="1725"/>
    <d v="2022-11-18T00:00:00"/>
    <x v="172"/>
    <s v="Mexico"/>
    <s v="Location 3"/>
    <n v="1.1499999999999999"/>
  </r>
  <r>
    <n v="240"/>
    <n v="182899.20000000001"/>
    <d v="2022-11-18T00:00:00"/>
    <x v="154"/>
    <s v="Mexico"/>
    <s v="Location 3"/>
    <n v="762.08"/>
  </r>
  <r>
    <n v="180"/>
    <n v="137174.39999999999"/>
    <d v="2022-11-18T00:00:00"/>
    <x v="154"/>
    <s v="Mexico"/>
    <s v="Location 3"/>
    <n v="762.08"/>
  </r>
  <r>
    <n v="72"/>
    <n v="6243.12"/>
    <d v="2022-08-15T00:00:00"/>
    <x v="175"/>
    <s v="Mexico"/>
    <s v="Location 3"/>
    <n v="86.71"/>
  </r>
  <r>
    <n v="36"/>
    <n v="3121.56"/>
    <d v="2022-08-15T00:00:00"/>
    <x v="175"/>
    <s v="Mexico"/>
    <s v="Location 3"/>
    <n v="86.71"/>
  </r>
  <r>
    <n v="30"/>
    <n v="13216.2"/>
    <d v="2022-10-05T00:00:00"/>
    <x v="145"/>
    <s v="Mexico"/>
    <s v="Location 3"/>
    <n v="440.54"/>
  </r>
  <r>
    <n v="108"/>
    <n v="11696.4"/>
    <d v="2022-10-07T00:00:00"/>
    <x v="149"/>
    <s v="Mexico"/>
    <s v="Location 3"/>
    <n v="108.3"/>
  </r>
  <r>
    <n v="432"/>
    <n v="46785.599999999999"/>
    <d v="2022-10-07T00:00:00"/>
    <x v="149"/>
    <s v="Mexico"/>
    <s v="Location 3"/>
    <n v="108.3"/>
  </r>
  <r>
    <n v="220"/>
    <n v="30272"/>
    <d v="2022-10-07T00:00:00"/>
    <x v="167"/>
    <s v="Mexico"/>
    <s v="Location 3"/>
    <n v="137.6"/>
  </r>
  <r>
    <n v="5460"/>
    <n v="4027.29"/>
    <d v="2021-11-24T00:00:00"/>
    <x v="171"/>
    <s v="Mexico"/>
    <s v="Location 3"/>
    <n v="0.73760000000000003"/>
  </r>
  <r>
    <n v="324"/>
    <n v="35089.199999999997"/>
    <d v="2022-11-29T00:00:00"/>
    <x v="149"/>
    <s v="Mexico"/>
    <s v="Location 3"/>
    <n v="108.3"/>
  </r>
  <r>
    <n v="432"/>
    <n v="46785.599999999999"/>
    <d v="2022-11-29T00:00:00"/>
    <x v="149"/>
    <s v="Mexico"/>
    <s v="Location 3"/>
    <n v="108.3"/>
  </r>
  <r>
    <n v="324"/>
    <n v="35089.199999999997"/>
    <d v="2022-11-29T00:00:00"/>
    <x v="149"/>
    <s v="Mexico"/>
    <s v="Location 3"/>
    <n v="108.3"/>
  </r>
  <r>
    <n v="1500"/>
    <n v="1725"/>
    <d v="2022-11-29T00:00:00"/>
    <x v="172"/>
    <s v="Mexico"/>
    <s v="Location 3"/>
    <n v="1.1499999999999999"/>
  </r>
  <r>
    <n v="240"/>
    <n v="182899.20000000001"/>
    <d v="2022-11-29T00:00:00"/>
    <x v="154"/>
    <s v="Mexico"/>
    <s v="Location 3"/>
    <n v="762.08"/>
  </r>
  <r>
    <n v="216"/>
    <n v="23392.799999999999"/>
    <d v="2022-10-13T00:00:00"/>
    <x v="149"/>
    <s v="Mexico"/>
    <s v="Location 3"/>
    <n v="108.3"/>
  </r>
  <r>
    <n v="432"/>
    <n v="46785.599999999999"/>
    <d v="2022-10-13T00:00:00"/>
    <x v="149"/>
    <s v="Mexico"/>
    <s v="Location 3"/>
    <n v="108.3"/>
  </r>
  <r>
    <n v="540"/>
    <n v="58482"/>
    <d v="2022-10-13T00:00:00"/>
    <x v="149"/>
    <s v="Mexico"/>
    <s v="Location 3"/>
    <n v="108.3"/>
  </r>
  <r>
    <n v="220"/>
    <n v="30272"/>
    <d v="2022-10-13T00:00:00"/>
    <x v="167"/>
    <s v="Mexico"/>
    <s v="Location 3"/>
    <n v="137.6"/>
  </r>
  <r>
    <n v="220"/>
    <n v="30272"/>
    <d v="2022-10-13T00:00:00"/>
    <x v="167"/>
    <s v="Mexico"/>
    <s v="Location 3"/>
    <n v="137.6"/>
  </r>
  <r>
    <n v="1820"/>
    <n v="4313.3999999999996"/>
    <d v="2022-10-13T00:00:00"/>
    <x v="161"/>
    <s v="Mexico"/>
    <s v="Location 3"/>
    <n v="2.37"/>
  </r>
  <r>
    <n v="1820"/>
    <n v="4313.3999999999996"/>
    <d v="2022-10-13T00:00:00"/>
    <x v="161"/>
    <s v="Mexico"/>
    <s v="Location 3"/>
    <n v="2.37"/>
  </r>
  <r>
    <n v="1820"/>
    <n v="4313.3999999999996"/>
    <d v="2022-10-13T00:00:00"/>
    <x v="161"/>
    <s v="Mexico"/>
    <s v="Location 3"/>
    <n v="2.37"/>
  </r>
  <r>
    <n v="1820"/>
    <n v="4313.3999999999996"/>
    <d v="2022-10-13T00:00:00"/>
    <x v="161"/>
    <s v="Mexico"/>
    <s v="Location 3"/>
    <n v="2.37"/>
  </r>
  <r>
    <n v="1820"/>
    <n v="4313.3999999999996"/>
    <d v="2022-10-13T00:00:00"/>
    <x v="161"/>
    <s v="Mexico"/>
    <s v="Location 3"/>
    <n v="2.37"/>
  </r>
  <r>
    <n v="432"/>
    <n v="46785.599999999999"/>
    <d v="2022-12-02T00:00:00"/>
    <x v="149"/>
    <s v="Mexico"/>
    <s v="Location 3"/>
    <n v="108.3"/>
  </r>
  <r>
    <n v="192"/>
    <n v="17230.080000000002"/>
    <d v="2022-12-02T00:00:00"/>
    <x v="159"/>
    <s v="Mexico"/>
    <s v="Location 3"/>
    <n v="89.74"/>
  </r>
  <r>
    <n v="420"/>
    <n v="320073.59999999998"/>
    <d v="2022-12-07T00:00:00"/>
    <x v="154"/>
    <s v="Mexico"/>
    <s v="Location 3"/>
    <n v="762.08"/>
  </r>
  <r>
    <n v="108"/>
    <n v="11695.32"/>
    <d v="2022-07-11T00:00:00"/>
    <x v="149"/>
    <s v="Mexico"/>
    <s v="Location 3"/>
    <n v="108.29"/>
  </r>
  <r>
    <n v="216"/>
    <n v="23392.799999999999"/>
    <d v="2022-07-11T00:00:00"/>
    <x v="149"/>
    <s v="Mexico"/>
    <s v="Location 3"/>
    <n v="108.3"/>
  </r>
  <r>
    <n v="240"/>
    <n v="105729.60000000001"/>
    <d v="2022-07-11T00:00:00"/>
    <x v="145"/>
    <s v="Mexico"/>
    <s v="Location 3"/>
    <n v="440.54"/>
  </r>
  <r>
    <n v="240"/>
    <n v="105729.60000000001"/>
    <d v="2022-07-11T00:00:00"/>
    <x v="145"/>
    <s v="Mexico"/>
    <s v="Location 3"/>
    <n v="440.54"/>
  </r>
  <r>
    <n v="90"/>
    <n v="39648.6"/>
    <d v="2022-07-11T00:00:00"/>
    <x v="145"/>
    <s v="Mexico"/>
    <s v="Location 3"/>
    <n v="440.54"/>
  </r>
  <r>
    <n v="540"/>
    <n v="58482"/>
    <d v="2022-08-19T00:00:00"/>
    <x v="149"/>
    <s v="Mexico"/>
    <s v="Location 3"/>
    <n v="108.3"/>
  </r>
  <r>
    <n v="90"/>
    <n v="39648.6"/>
    <d v="2022-08-19T00:00:00"/>
    <x v="145"/>
    <s v="Mexico"/>
    <s v="Location 3"/>
    <n v="440.54"/>
  </r>
  <r>
    <n v="30"/>
    <n v="13216.2"/>
    <d v="2022-08-19T00:00:00"/>
    <x v="145"/>
    <s v="Mexico"/>
    <s v="Location 3"/>
    <n v="440.54"/>
  </r>
  <r>
    <n v="420"/>
    <n v="320073.59999999998"/>
    <d v="2022-08-19T00:00:00"/>
    <x v="154"/>
    <s v="Mexico"/>
    <s v="Location 3"/>
    <n v="762.08"/>
  </r>
  <r>
    <n v="588"/>
    <n v="75075.839999999997"/>
    <d v="2022-10-13T00:00:00"/>
    <x v="166"/>
    <s v="Mexico"/>
    <s v="Location 3"/>
    <n v="127.68"/>
  </r>
  <r>
    <n v="588"/>
    <n v="75075.839999999997"/>
    <d v="2022-10-13T00:00:00"/>
    <x v="166"/>
    <s v="Mexico"/>
    <s v="Location 3"/>
    <n v="127.68"/>
  </r>
  <r>
    <n v="1000"/>
    <n v="89740"/>
    <d v="2022-10-13T00:00:00"/>
    <x v="159"/>
    <s v="Mexico"/>
    <s v="Location 3"/>
    <n v="89.74"/>
  </r>
  <r>
    <n v="30"/>
    <n v="22862.400000000001"/>
    <d v="2022-10-13T00:00:00"/>
    <x v="154"/>
    <s v="Mexico"/>
    <s v="Location 3"/>
    <n v="762.08"/>
  </r>
  <r>
    <n v="270"/>
    <n v="205761.6"/>
    <d v="2022-12-07T00:00:00"/>
    <x v="154"/>
    <s v="Mexico"/>
    <s v="Location 3"/>
    <n v="762.08"/>
  </r>
  <r>
    <n v="270"/>
    <n v="118945.8"/>
    <d v="2022-07-11T00:00:00"/>
    <x v="145"/>
    <s v="Mexico"/>
    <s v="Location 3"/>
    <n v="440.54"/>
  </r>
  <r>
    <n v="150"/>
    <n v="66081"/>
    <d v="2022-07-11T00:00:00"/>
    <x v="145"/>
    <s v="Mexico"/>
    <s v="Location 3"/>
    <n v="440.54"/>
  </r>
  <r>
    <n v="150"/>
    <n v="66081"/>
    <d v="2022-07-11T00:00:00"/>
    <x v="145"/>
    <s v="Mexico"/>
    <s v="Location 3"/>
    <n v="440.54"/>
  </r>
  <r>
    <n v="270"/>
    <n v="118945.8"/>
    <d v="2022-07-11T00:00:00"/>
    <x v="145"/>
    <s v="Mexico"/>
    <s v="Location 3"/>
    <n v="440.54"/>
  </r>
  <r>
    <n v="270"/>
    <n v="118945.8"/>
    <d v="2022-07-11T00:00:00"/>
    <x v="145"/>
    <s v="Mexico"/>
    <s v="Location 3"/>
    <n v="440.54"/>
  </r>
  <r>
    <n v="150"/>
    <n v="66081"/>
    <d v="2022-07-11T00:00:00"/>
    <x v="145"/>
    <s v="Mexico"/>
    <s v="Location 3"/>
    <n v="440.54"/>
  </r>
  <r>
    <n v="240"/>
    <n v="105729.60000000001"/>
    <d v="2022-07-11T00:00:00"/>
    <x v="145"/>
    <s v="Mexico"/>
    <s v="Location 3"/>
    <n v="440.54"/>
  </r>
  <r>
    <n v="240"/>
    <n v="105729.60000000001"/>
    <d v="2022-07-11T00:00:00"/>
    <x v="145"/>
    <s v="Mexico"/>
    <s v="Location 3"/>
    <n v="440.54"/>
  </r>
  <r>
    <n v="360"/>
    <n v="158594.4"/>
    <d v="2022-07-11T00:00:00"/>
    <x v="145"/>
    <s v="Mexico"/>
    <s v="Location 3"/>
    <n v="440.54"/>
  </r>
  <r>
    <n v="150"/>
    <n v="66081"/>
    <d v="2022-07-11T00:00:00"/>
    <x v="145"/>
    <s v="Mexico"/>
    <s v="Location 3"/>
    <n v="440.54"/>
  </r>
  <r>
    <n v="240"/>
    <n v="105729.60000000001"/>
    <d v="2022-07-11T00:00:00"/>
    <x v="145"/>
    <s v="Mexico"/>
    <s v="Location 3"/>
    <n v="440.54"/>
  </r>
  <r>
    <n v="180"/>
    <n v="79297.2"/>
    <d v="2022-07-11T00:00:00"/>
    <x v="145"/>
    <s v="Mexico"/>
    <s v="Location 3"/>
    <n v="440.54"/>
  </r>
  <r>
    <n v="252"/>
    <n v="19056.240000000002"/>
    <d v="2022-10-20T00:00:00"/>
    <x v="163"/>
    <s v="Mexico"/>
    <s v="Location 3"/>
    <n v="75.62"/>
  </r>
  <r>
    <n v="30"/>
    <n v="13216.2"/>
    <d v="2022-10-20T00:00:00"/>
    <x v="145"/>
    <s v="Mexico"/>
    <s v="Location 3"/>
    <n v="440.54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60"/>
    <n v="45724.800000000003"/>
    <d v="2022-07-11T00:00:00"/>
    <x v="154"/>
    <s v="Mexico"/>
    <s v="Location 3"/>
    <n v="762.08"/>
  </r>
  <r>
    <n v="72"/>
    <n v="6243.12"/>
    <d v="2022-08-22T00:00:00"/>
    <x v="175"/>
    <s v="Mexico"/>
    <s v="Location 3"/>
    <n v="86.71"/>
  </r>
  <r>
    <n v="108"/>
    <n v="9364.68"/>
    <d v="2022-08-22T00:00:00"/>
    <x v="175"/>
    <s v="Mexico"/>
    <s v="Location 3"/>
    <n v="86.71"/>
  </r>
  <r>
    <n v="108"/>
    <n v="9364.68"/>
    <d v="2022-08-22T00:00:00"/>
    <x v="175"/>
    <s v="Mexico"/>
    <s v="Location 3"/>
    <n v="86.71"/>
  </r>
  <r>
    <n v="108"/>
    <n v="9364.68"/>
    <d v="2022-08-22T00:00:00"/>
    <x v="175"/>
    <s v="Mexico"/>
    <s v="Location 3"/>
    <n v="86.71"/>
  </r>
  <r>
    <n v="108"/>
    <n v="9364.68"/>
    <d v="2022-08-22T00:00:00"/>
    <x v="175"/>
    <s v="Mexico"/>
    <s v="Location 3"/>
    <n v="86.7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588"/>
    <n v="58982.28"/>
    <d v="2022-10-20T00:00:00"/>
    <x v="156"/>
    <s v="Mexico"/>
    <s v="Location 3"/>
    <n v="100.31"/>
  </r>
  <r>
    <n v="210"/>
    <n v="76015.8"/>
    <d v="2022-10-20T00:00:00"/>
    <x v="148"/>
    <s v="Mexico"/>
    <s v="Location 3"/>
    <n v="361.98"/>
  </r>
  <r>
    <n v="2784"/>
    <n v="2288113.92"/>
    <d v="2022-10-20T00:00:00"/>
    <x v="157"/>
    <s v="Mexico"/>
    <s v="Location 3"/>
    <n v="821.88"/>
  </r>
  <r>
    <n v="2000"/>
    <n v="3660"/>
    <d v="2022-12-19T00:00:00"/>
    <x v="160"/>
    <s v="Mexico"/>
    <s v="Location 3"/>
    <n v="1.83"/>
  </r>
  <r>
    <n v="1000"/>
    <n v="1830"/>
    <d v="2022-12-19T00:00:00"/>
    <x v="160"/>
    <s v="Mexico"/>
    <s v="Location 3"/>
    <n v="1.83"/>
  </r>
  <r>
    <n v="808"/>
    <n v="72518"/>
    <d v="2022-12-19T00:00:00"/>
    <x v="159"/>
    <s v="Mexico"/>
    <s v="Location 3"/>
    <n v="89.75"/>
  </r>
  <r>
    <n v="352"/>
    <n v="31592"/>
    <d v="2022-12-19T00:00:00"/>
    <x v="159"/>
    <s v="Mexico"/>
    <s v="Location 3"/>
    <n v="89.75"/>
  </r>
  <r>
    <n v="210"/>
    <n v="85386"/>
    <d v="2022-12-19T00:00:00"/>
    <x v="144"/>
    <s v="Mexico"/>
    <s v="Location 3"/>
    <n v="406.6"/>
  </r>
  <r>
    <n v="4500"/>
    <n v="5175"/>
    <d v="2022-12-19T00:00:00"/>
    <x v="172"/>
    <s v="Mexico"/>
    <s v="Location 3"/>
    <n v="1.1499999999999999"/>
  </r>
  <r>
    <n v="150"/>
    <n v="114312"/>
    <d v="2022-12-19T00:00:00"/>
    <x v="154"/>
    <s v="Mexico"/>
    <s v="Location 3"/>
    <n v="762.08"/>
  </r>
  <r>
    <n v="210"/>
    <n v="160036.79999999999"/>
    <d v="2022-12-19T00:00:00"/>
    <x v="154"/>
    <s v="Mexico"/>
    <s v="Location 3"/>
    <n v="762.08"/>
  </r>
  <r>
    <n v="60"/>
    <n v="45724.800000000003"/>
    <d v="2022-07-19T00:00:00"/>
    <x v="154"/>
    <s v="Mexico"/>
    <s v="Location 3"/>
    <n v="762.08"/>
  </r>
  <r>
    <n v="420"/>
    <n v="320073.59999999998"/>
    <d v="2022-07-19T00:00:00"/>
    <x v="154"/>
    <s v="Mexico"/>
    <s v="Location 3"/>
    <n v="762.08"/>
  </r>
  <r>
    <n v="420"/>
    <n v="320073.59999999998"/>
    <d v="2022-07-19T00:00:00"/>
    <x v="154"/>
    <s v="Mexico"/>
    <s v="Location 3"/>
    <n v="762.08"/>
  </r>
  <r>
    <n v="420"/>
    <n v="320073.59999999998"/>
    <d v="2022-07-19T00:00:00"/>
    <x v="154"/>
    <s v="Mexico"/>
    <s v="Location 3"/>
    <n v="762.08"/>
  </r>
  <r>
    <n v="420"/>
    <n v="320073.59999999998"/>
    <d v="2022-07-22T00:00:00"/>
    <x v="154"/>
    <s v="Mexico"/>
    <s v="Location 3"/>
    <n v="762.08"/>
  </r>
  <r>
    <n v="30"/>
    <n v="13216.2"/>
    <d v="2022-09-02T00:00:00"/>
    <x v="145"/>
    <s v="Mexico"/>
    <s v="Location 3"/>
    <n v="440.54"/>
  </r>
  <r>
    <n v="90"/>
    <n v="39648.6"/>
    <d v="2022-09-02T00:00:00"/>
    <x v="145"/>
    <s v="Mexico"/>
    <s v="Location 3"/>
    <n v="440.54"/>
  </r>
  <r>
    <n v="30"/>
    <n v="13216.2"/>
    <d v="2022-09-02T00:00:00"/>
    <x v="145"/>
    <s v="Mexico"/>
    <s v="Location 3"/>
    <n v="440.54"/>
  </r>
  <r>
    <n v="30"/>
    <n v="13216.2"/>
    <d v="2022-09-02T00:00:00"/>
    <x v="145"/>
    <s v="Mexico"/>
    <s v="Location 3"/>
    <n v="440.54"/>
  </r>
  <r>
    <n v="30"/>
    <n v="13216.2"/>
    <d v="2022-09-02T00:00:00"/>
    <x v="145"/>
    <s v="Mexico"/>
    <s v="Location 3"/>
    <n v="440.54"/>
  </r>
  <r>
    <n v="90"/>
    <n v="39648.6"/>
    <d v="2022-09-02T00:00:00"/>
    <x v="145"/>
    <s v="Mexico"/>
    <s v="Location 3"/>
    <n v="440.54"/>
  </r>
  <r>
    <n v="60"/>
    <n v="26432.400000000001"/>
    <d v="2022-09-02T00:00:00"/>
    <x v="145"/>
    <s v="Mexico"/>
    <s v="Location 3"/>
    <n v="440.54"/>
  </r>
  <r>
    <n v="60"/>
    <n v="26432.400000000001"/>
    <d v="2022-09-02T00:00:00"/>
    <x v="145"/>
    <s v="Mexico"/>
    <s v="Location 3"/>
    <n v="440.54"/>
  </r>
  <r>
    <n v="3000"/>
    <n v="3720"/>
    <d v="2022-10-25T00:00:00"/>
    <x v="162"/>
    <s v="Mexico"/>
    <s v="Location 3"/>
    <n v="1.24"/>
  </r>
  <r>
    <n v="420"/>
    <n v="320073.59999999998"/>
    <d v="2022-10-25T00:00:00"/>
    <x v="154"/>
    <s v="Mexico"/>
    <s v="Location 3"/>
    <n v="762.08"/>
  </r>
  <r>
    <n v="1820"/>
    <n v="4313.3999999999996"/>
    <d v="2022-09-02T00:00:00"/>
    <x v="161"/>
    <s v="Mexico"/>
    <s v="Location 3"/>
    <n v="2.37"/>
  </r>
  <r>
    <n v="432"/>
    <n v="46785.599999999999"/>
    <d v="2022-10-28T00:00:00"/>
    <x v="149"/>
    <s v="Mexico"/>
    <s v="Location 3"/>
    <n v="108.3"/>
  </r>
  <r>
    <n v="432"/>
    <n v="46785.599999999999"/>
    <d v="2022-10-28T00:00:00"/>
    <x v="149"/>
    <s v="Mexico"/>
    <s v="Location 3"/>
    <n v="108.3"/>
  </r>
  <r>
    <n v="432"/>
    <n v="46785.599999999999"/>
    <d v="2022-10-28T00:00:00"/>
    <x v="149"/>
    <s v="Mexico"/>
    <s v="Location 3"/>
    <n v="108.3"/>
  </r>
  <r>
    <n v="216"/>
    <n v="23392.799999999999"/>
    <d v="2022-10-28T00:00:00"/>
    <x v="149"/>
    <s v="Mexico"/>
    <s v="Location 3"/>
    <n v="108.3"/>
  </r>
  <r>
    <n v="2000"/>
    <n v="3660"/>
    <d v="2022-10-28T00:00:00"/>
    <x v="160"/>
    <s v="Mexico"/>
    <s v="Location 3"/>
    <n v="1.83"/>
  </r>
  <r>
    <n v="220"/>
    <n v="30272"/>
    <d v="2022-10-28T00:00:00"/>
    <x v="167"/>
    <s v="Mexico"/>
    <s v="Location 3"/>
    <n v="137.6"/>
  </r>
  <r>
    <n v="756"/>
    <n v="57168.72"/>
    <d v="2022-10-28T00:00:00"/>
    <x v="163"/>
    <s v="Mexico"/>
    <s v="Location 3"/>
    <n v="75.62"/>
  </r>
  <r>
    <n v="1820"/>
    <n v="4313.3999999999996"/>
    <d v="2022-10-28T00:00:00"/>
    <x v="161"/>
    <s v="Mexico"/>
    <s v="Location 3"/>
    <n v="2.37"/>
  </r>
  <r>
    <n v="3000"/>
    <n v="3450"/>
    <d v="2022-10-28T00:00:00"/>
    <x v="172"/>
    <s v="Mexico"/>
    <s v="Location 3"/>
    <n v="1.1499999999999999"/>
  </r>
  <r>
    <n v="210"/>
    <n v="160036.79999999999"/>
    <d v="2022-10-28T00:00:00"/>
    <x v="154"/>
    <s v="Mexico"/>
    <s v="Location 3"/>
    <n v="762.08"/>
  </r>
  <r>
    <n v="420"/>
    <n v="320073.59999999998"/>
    <d v="2022-10-28T00:00:00"/>
    <x v="154"/>
    <s v="Mexico"/>
    <s v="Location 3"/>
    <n v="762.08"/>
  </r>
  <r>
    <n v="420"/>
    <n v="320073.59999999998"/>
    <d v="2022-10-28T00:00:00"/>
    <x v="154"/>
    <s v="Mexico"/>
    <s v="Location 3"/>
    <n v="762.08"/>
  </r>
  <r>
    <n v="30"/>
    <n v="22862.400000000001"/>
    <d v="2022-10-28T00:00:00"/>
    <x v="154"/>
    <s v="Mexico"/>
    <s v="Location 3"/>
    <n v="762.08"/>
  </r>
  <r>
    <n v="390"/>
    <n v="297211.2"/>
    <d v="2022-10-28T00:00:00"/>
    <x v="154"/>
    <s v="Mexico"/>
    <s v="Location 3"/>
    <n v="762.08"/>
  </r>
  <r>
    <n v="420"/>
    <n v="320073.59999999998"/>
    <d v="2022-09-02T00:00:00"/>
    <x v="154"/>
    <s v="Mexico"/>
    <s v="Location 3"/>
    <n v="762.08"/>
  </r>
  <r>
    <n v="420"/>
    <n v="320073.59999999998"/>
    <d v="2022-09-02T00:00:00"/>
    <x v="154"/>
    <s v="Mexico"/>
    <s v="Location 3"/>
    <n v="762.08"/>
  </r>
  <r>
    <n v="420"/>
    <n v="320073.59999999998"/>
    <d v="2022-10-28T00:00:00"/>
    <x v="154"/>
    <s v="Mexico"/>
    <s v="Location 3"/>
    <n v="762.08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40360.800000000003"/>
    <d v="2022-10-05T00:00:00"/>
    <x v="174"/>
    <s v="Mexico"/>
    <s v="Location 3"/>
    <n v="2522.5500000000002"/>
  </r>
  <r>
    <n v="16"/>
    <n v="39747.519999999997"/>
    <d v="2023-03-07T00:00:00"/>
    <x v="147"/>
    <s v="Mexico"/>
    <s v="Location 3"/>
    <n v="2484.2199999999998"/>
  </r>
  <r>
    <n v="16"/>
    <n v="39747.519999999997"/>
    <d v="2023-03-15T00:00:00"/>
    <x v="147"/>
    <s v="Mexico"/>
    <s v="Location 3"/>
    <n v="2484.2199999999998"/>
  </r>
  <r>
    <n v="16"/>
    <n v="39747.519999999997"/>
    <d v="2023-03-15T00:00:00"/>
    <x v="147"/>
    <s v="Mexico"/>
    <s v="Location 3"/>
    <n v="2484.2199999999998"/>
  </r>
  <r>
    <n v="16"/>
    <n v="39747.519999999997"/>
    <d v="2023-03-15T00:00:00"/>
    <x v="147"/>
    <s v="Mexico"/>
    <s v="Location 3"/>
    <n v="2484.2199999999998"/>
  </r>
  <r>
    <n v="16"/>
    <n v="39747.519999999997"/>
    <d v="2023-05-15T00:00:00"/>
    <x v="147"/>
    <s v="Mexico"/>
    <s v="Location 3"/>
    <n v="2484.2199999999998"/>
  </r>
  <r>
    <n v="16"/>
    <n v="39747.519999999997"/>
    <d v="2023-05-15T00:00:00"/>
    <x v="147"/>
    <s v="Mexico"/>
    <s v="Location 3"/>
    <n v="2484.2199999999998"/>
  </r>
  <r>
    <n v="16"/>
    <n v="39747.519999999997"/>
    <d v="2023-05-15T00:00:00"/>
    <x v="147"/>
    <s v="Mexico"/>
    <s v="Location 3"/>
    <n v="2484.2199999999998"/>
  </r>
  <r>
    <n v="16"/>
    <n v="39747.519999999997"/>
    <d v="2023-05-15T00:00:00"/>
    <x v="147"/>
    <s v="Mexico"/>
    <s v="Location 3"/>
    <n v="2484.2199999999998"/>
  </r>
  <r>
    <n v="16"/>
    <n v="39747.519999999997"/>
    <d v="2023-05-15T00:00:00"/>
    <x v="147"/>
    <s v="Mexico"/>
    <s v="Location 3"/>
    <n v="2484.2199999999998"/>
  </r>
  <r>
    <n v="16"/>
    <n v="37685.120000000003"/>
    <d v="2022-07-26T00:00:00"/>
    <x v="147"/>
    <s v="Mexico"/>
    <s v="Location 3"/>
    <n v="2355.3200000000002"/>
  </r>
  <r>
    <n v="16"/>
    <n v="37685.120000000003"/>
    <d v="2022-07-26T00:00:00"/>
    <x v="147"/>
    <s v="Mexico"/>
    <s v="Location 3"/>
    <n v="2355.3200000000002"/>
  </r>
  <r>
    <n v="16"/>
    <n v="37685.120000000003"/>
    <d v="2022-07-26T00:00:00"/>
    <x v="147"/>
    <s v="Mexico"/>
    <s v="Location 3"/>
    <n v="2355.3200000000002"/>
  </r>
  <r>
    <n v="16"/>
    <n v="37685.120000000003"/>
    <d v="2022-09-02T00:00:00"/>
    <x v="147"/>
    <s v="Mexico"/>
    <s v="Location 3"/>
    <n v="2355.3200000000002"/>
  </r>
  <r>
    <n v="16"/>
    <n v="37685.120000000003"/>
    <d v="2022-09-02T00:00:00"/>
    <x v="147"/>
    <s v="Mexico"/>
    <s v="Location 3"/>
    <n v="2355.3200000000002"/>
  </r>
  <r>
    <n v="16"/>
    <n v="37685.120000000003"/>
    <d v="2022-09-02T00:00:00"/>
    <x v="147"/>
    <s v="Mexico"/>
    <s v="Location 3"/>
    <n v="2355.3200000000002"/>
  </r>
  <r>
    <n v="16"/>
    <n v="37685.120000000003"/>
    <d v="2022-07-26T00:00:00"/>
    <x v="147"/>
    <s v="Mexico"/>
    <s v="Location 3"/>
    <n v="2355.3200000000002"/>
  </r>
  <r>
    <n v="16"/>
    <n v="37685.120000000003"/>
    <d v="2022-07-26T00:00:00"/>
    <x v="147"/>
    <s v="Mexico"/>
    <s v="Location 3"/>
    <n v="2355.3200000000002"/>
  </r>
  <r>
    <n v="16"/>
    <n v="37685.120000000003"/>
    <d v="2022-09-21T00:00:00"/>
    <x v="147"/>
    <s v="Mexico"/>
    <s v="Location 3"/>
    <n v="2355.3200000000002"/>
  </r>
  <r>
    <n v="16"/>
    <n v="37685.120000000003"/>
    <d v="2022-11-07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8-04T00:00:00"/>
    <x v="147"/>
    <s v="Mexico"/>
    <s v="Location 3"/>
    <n v="2355.3200000000002"/>
  </r>
  <r>
    <n v="16"/>
    <n v="37685.120000000003"/>
    <d v="2022-08-04T00:00:00"/>
    <x v="147"/>
    <s v="Mexico"/>
    <s v="Location 3"/>
    <n v="2355.3200000000002"/>
  </r>
  <r>
    <n v="16"/>
    <n v="37685.120000000003"/>
    <d v="2022-08-04T00:00:00"/>
    <x v="147"/>
    <s v="Mexico"/>
    <s v="Location 3"/>
    <n v="2355.3200000000002"/>
  </r>
  <r>
    <n v="16"/>
    <n v="37685.120000000003"/>
    <d v="2022-08-04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7-01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7-11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8-19T00:00:00"/>
    <x v="147"/>
    <s v="Mexico"/>
    <s v="Location 3"/>
    <n v="2355.3200000000002"/>
  </r>
  <r>
    <n v="16"/>
    <n v="37685.120000000003"/>
    <d v="2022-07-19T00:00:00"/>
    <x v="147"/>
    <s v="Mexico"/>
    <s v="Location 3"/>
    <n v="2355.3200000000002"/>
  </r>
  <r>
    <n v="16"/>
    <n v="37685.120000000003"/>
    <d v="2022-07-19T00:00:00"/>
    <x v="147"/>
    <s v="Mexico"/>
    <s v="Location 3"/>
    <n v="2355.3200000000002"/>
  </r>
  <r>
    <n v="16"/>
    <n v="37685.120000000003"/>
    <d v="2022-07-19T00:00:00"/>
    <x v="147"/>
    <s v="Mexico"/>
    <s v="Location 3"/>
    <n v="2355.3200000000002"/>
  </r>
  <r>
    <n v="16"/>
    <n v="37685.120000000003"/>
    <d v="2022-07-19T00:00:00"/>
    <x v="147"/>
    <s v="Mexico"/>
    <s v="Location 3"/>
    <n v="2355.3200000000002"/>
  </r>
  <r>
    <n v="16"/>
    <n v="37685.120000000003"/>
    <d v="2022-07-22T00:00:00"/>
    <x v="147"/>
    <s v="Mexico"/>
    <s v="Location 3"/>
    <n v="2355.3200000000002"/>
  </r>
  <r>
    <n v="16"/>
    <n v="37685.120000000003"/>
    <d v="2022-07-22T00:00:00"/>
    <x v="147"/>
    <s v="Mexico"/>
    <s v="Location 3"/>
    <n v="2355.3200000000002"/>
  </r>
  <r>
    <n v="16"/>
    <n v="37685.120000000003"/>
    <d v="2022-07-22T00:00:00"/>
    <x v="147"/>
    <s v="Mexico"/>
    <s v="Location 3"/>
    <n v="2355.3200000000002"/>
  </r>
  <r>
    <n v="16"/>
    <n v="37685.120000000003"/>
    <d v="2022-10-20T00:00:00"/>
    <x v="147"/>
    <s v="Mexico"/>
    <s v="Location 3"/>
    <n v="2355.3200000000002"/>
  </r>
  <r>
    <n v="16"/>
    <n v="37685.120000000003"/>
    <d v="2022-10-20T00:00:00"/>
    <x v="147"/>
    <s v="Mexico"/>
    <s v="Location 3"/>
    <n v="2355.3200000000002"/>
  </r>
  <r>
    <n v="16"/>
    <n v="37685.120000000003"/>
    <d v="2022-10-20T00:00:00"/>
    <x v="147"/>
    <s v="Mexico"/>
    <s v="Location 3"/>
    <n v="2355.3200000000002"/>
  </r>
  <r>
    <n v="16"/>
    <n v="37685.120000000003"/>
    <d v="2022-10-20T00:00:00"/>
    <x v="147"/>
    <s v="Mexico"/>
    <s v="Location 3"/>
    <n v="2355.3200000000002"/>
  </r>
  <r>
    <n v="32"/>
    <n v="27878.080000000002"/>
    <d v="2023-02-28T00:00:00"/>
    <x v="157"/>
    <s v="Mexico"/>
    <s v="Location 3"/>
    <n v="871.19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07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79495.039999999994"/>
    <d v="2023-03-15T00:00:00"/>
    <x v="147"/>
    <s v="Mexico"/>
    <s v="Location 3"/>
    <n v="2484.2199999999998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27878.080000000002"/>
    <d v="2023-05-03T00:00:00"/>
    <x v="157"/>
    <s v="Mexico"/>
    <s v="Location 3"/>
    <n v="871.19"/>
  </r>
  <r>
    <n v="32"/>
    <n v="75370.240000000005"/>
    <d v="2022-04-13T00:00:00"/>
    <x v="147"/>
    <s v="Mexico"/>
    <s v="Location 3"/>
    <n v="2355.3200000000002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4-14T00:00:00"/>
    <x v="157"/>
    <s v="Mexico"/>
    <s v="Location 3"/>
    <n v="871.19"/>
  </r>
  <r>
    <n v="32"/>
    <n v="27878.080000000002"/>
    <d v="2023-05-15T00:00:00"/>
    <x v="157"/>
    <s v="Mexico"/>
    <s v="Location 3"/>
    <n v="871.19"/>
  </r>
  <r>
    <n v="32"/>
    <n v="27878.080000000002"/>
    <d v="2023-05-15T00:00:00"/>
    <x v="157"/>
    <s v="Mexico"/>
    <s v="Location 3"/>
    <n v="871.19"/>
  </r>
  <r>
    <n v="32"/>
    <n v="27878.080000000002"/>
    <d v="2023-05-15T00:00:00"/>
    <x v="157"/>
    <s v="Mexico"/>
    <s v="Location 3"/>
    <n v="871.19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9495.039999999994"/>
    <d v="2023-05-15T00:00:00"/>
    <x v="147"/>
    <s v="Mexico"/>
    <s v="Location 3"/>
    <n v="2484.2199999999998"/>
  </r>
  <r>
    <n v="32"/>
    <n v="75370.240000000005"/>
    <d v="2022-09-02T00:00:00"/>
    <x v="147"/>
    <s v="Mexico"/>
    <s v="Location 3"/>
    <n v="2355.3200000000002"/>
  </r>
  <r>
    <n v="32"/>
    <n v="75370.240000000005"/>
    <d v="2022-09-02T00:00:00"/>
    <x v="147"/>
    <s v="Mexico"/>
    <s v="Location 3"/>
    <n v="2355.3200000000002"/>
  </r>
  <r>
    <n v="32"/>
    <n v="75370.240000000005"/>
    <d v="2022-09-02T00:00:00"/>
    <x v="147"/>
    <s v="Mexico"/>
    <s v="Location 3"/>
    <n v="2355.3200000000002"/>
  </r>
  <r>
    <n v="32"/>
    <n v="75370.240000000005"/>
    <d v="2022-10-28T00:00:00"/>
    <x v="147"/>
    <s v="Mexico"/>
    <s v="Location 3"/>
    <n v="2355.3200000000002"/>
  </r>
  <r>
    <n v="32"/>
    <n v="80721.600000000006"/>
    <d v="2022-09-29T00:00:00"/>
    <x v="174"/>
    <s v="Mexico"/>
    <s v="Location 3"/>
    <n v="2522.55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75370.240000000005"/>
    <d v="2022-07-01T00:00:00"/>
    <x v="147"/>
    <s v="Mexico"/>
    <s v="Location 3"/>
    <n v="2355.3200000000002"/>
  </r>
  <r>
    <n v="32"/>
    <n v="80721.600000000006"/>
    <d v="2022-10-13T00:00:00"/>
    <x v="174"/>
    <s v="Mexico"/>
    <s v="Location 3"/>
    <n v="2522.5500000000002"/>
  </r>
  <r>
    <n v="32"/>
    <n v="75370.240000000005"/>
    <d v="2022-08-19T00:00:00"/>
    <x v="147"/>
    <s v="Mexico"/>
    <s v="Location 3"/>
    <n v="2355.3200000000002"/>
  </r>
  <r>
    <n v="32"/>
    <n v="75370.240000000005"/>
    <d v="2022-08-19T00:00:00"/>
    <x v="147"/>
    <s v="Mexico"/>
    <s v="Location 3"/>
    <n v="2355.3200000000002"/>
  </r>
  <r>
    <n v="32"/>
    <n v="75370.240000000005"/>
    <d v="2022-08-19T00:00:00"/>
    <x v="147"/>
    <s v="Mexico"/>
    <s v="Location 3"/>
    <n v="2355.3200000000002"/>
  </r>
  <r>
    <n v="32"/>
    <n v="75370.240000000005"/>
    <d v="2022-07-11T00:00:00"/>
    <x v="147"/>
    <s v="Mexico"/>
    <s v="Location 3"/>
    <n v="2355.3200000000002"/>
  </r>
  <r>
    <n v="32"/>
    <n v="75370.240000000005"/>
    <d v="2022-07-11T00:00:00"/>
    <x v="147"/>
    <s v="Mexico"/>
    <s v="Location 3"/>
    <n v="2355.3200000000002"/>
  </r>
  <r>
    <n v="32"/>
    <n v="75370.240000000005"/>
    <d v="2022-10-20T00:00:00"/>
    <x v="147"/>
    <s v="Mexico"/>
    <s v="Location 3"/>
    <n v="2355.3200000000002"/>
  </r>
  <r>
    <n v="32"/>
    <n v="75370.240000000005"/>
    <d v="2022-10-20T00:00:00"/>
    <x v="147"/>
    <s v="Mexico"/>
    <s v="Location 3"/>
    <n v="2355.3200000000002"/>
  </r>
  <r>
    <n v="32"/>
    <n v="75370.240000000005"/>
    <d v="2022-10-20T00:00:00"/>
    <x v="147"/>
    <s v="Mexico"/>
    <s v="Location 3"/>
    <n v="2355.3200000000002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60040.4"/>
    <d v="2023-02-28T00:00:00"/>
    <x v="144"/>
    <s v="Mexico"/>
    <s v="Location 3"/>
    <n v="428.86"/>
  </r>
  <r>
    <n v="140"/>
    <n v="60040.4"/>
    <d v="2023-02-28T00:00:00"/>
    <x v="144"/>
    <s v="Mexico"/>
    <s v="Location 3"/>
    <n v="428.86"/>
  </r>
  <r>
    <n v="140"/>
    <n v="60040.4"/>
    <d v="2023-02-28T00:00:00"/>
    <x v="144"/>
    <s v="Mexico"/>
    <s v="Location 3"/>
    <n v="428.86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53718"/>
    <d v="2023-02-28T00:00:00"/>
    <x v="148"/>
    <s v="Mexico"/>
    <s v="Location 3"/>
    <n v="383.7"/>
  </r>
  <r>
    <n v="140"/>
    <n v="60040.4"/>
    <d v="2023-01-14T00:00:00"/>
    <x v="144"/>
    <s v="Mexico"/>
    <s v="Location 3"/>
    <n v="428.86"/>
  </r>
  <r>
    <n v="140"/>
    <n v="60040.4"/>
    <d v="2023-01-14T00:00:00"/>
    <x v="144"/>
    <s v="Mexico"/>
    <s v="Location 3"/>
    <n v="428.86"/>
  </r>
  <r>
    <n v="140"/>
    <n v="60040.4"/>
    <d v="2023-01-14T00:00:00"/>
    <x v="144"/>
    <s v="Mexico"/>
    <s v="Location 3"/>
    <n v="428.86"/>
  </r>
  <r>
    <n v="140"/>
    <n v="53718"/>
    <d v="2023-01-14T00:00:00"/>
    <x v="148"/>
    <s v="Mexico"/>
    <s v="Location 3"/>
    <n v="383.7"/>
  </r>
  <r>
    <n v="140"/>
    <n v="53718"/>
    <d v="2023-01-14T00:00:00"/>
    <x v="148"/>
    <s v="Mexico"/>
    <s v="Location 3"/>
    <n v="383.7"/>
  </r>
  <r>
    <n v="140"/>
    <n v="53718"/>
    <d v="2023-01-14T00:00:00"/>
    <x v="148"/>
    <s v="Mexico"/>
    <s v="Location 3"/>
    <n v="383.7"/>
  </r>
  <r>
    <n v="140"/>
    <n v="53718"/>
    <d v="2023-01-14T00:00:00"/>
    <x v="148"/>
    <s v="Mexico"/>
    <s v="Location 3"/>
    <n v="383.7"/>
  </r>
  <r>
    <n v="140"/>
    <n v="53718"/>
    <d v="2023-01-14T00:00:00"/>
    <x v="148"/>
    <s v="Mexico"/>
    <s v="Location 3"/>
    <n v="383.7"/>
  </r>
  <r>
    <n v="140"/>
    <n v="53718"/>
    <d v="2023-03-15T00:00:00"/>
    <x v="148"/>
    <s v="Mexico"/>
    <s v="Location 3"/>
    <n v="383.7"/>
  </r>
  <r>
    <n v="140"/>
    <n v="53718"/>
    <d v="2023-03-15T00:00:00"/>
    <x v="148"/>
    <s v="Mexico"/>
    <s v="Location 3"/>
    <n v="383.7"/>
  </r>
  <r>
    <n v="140"/>
    <n v="53718"/>
    <d v="2023-03-15T00:00:00"/>
    <x v="148"/>
    <s v="Mexico"/>
    <s v="Location 3"/>
    <n v="383.7"/>
  </r>
  <r>
    <n v="140"/>
    <n v="53718"/>
    <d v="2023-03-15T00:00:00"/>
    <x v="148"/>
    <s v="Mexico"/>
    <s v="Location 3"/>
    <n v="383.7"/>
  </r>
  <r>
    <n v="140"/>
    <n v="53718"/>
    <d v="2023-03-15T00:00:00"/>
    <x v="148"/>
    <s v="Mexico"/>
    <s v="Location 3"/>
    <n v="383.7"/>
  </r>
  <r>
    <n v="140"/>
    <n v="58132.2"/>
    <d v="2023-01-24T00:00:00"/>
    <x v="176"/>
    <s v="Mexico"/>
    <s v="Location 3"/>
    <n v="415.23"/>
  </r>
  <r>
    <n v="140"/>
    <n v="58132.2"/>
    <d v="2023-01-24T00:00:00"/>
    <x v="176"/>
    <s v="Mexico"/>
    <s v="Location 3"/>
    <n v="415.23"/>
  </r>
  <r>
    <n v="140"/>
    <n v="60040.4"/>
    <d v="2023-01-24T00:00:00"/>
    <x v="144"/>
    <s v="Mexico"/>
    <s v="Location 3"/>
    <n v="428.86"/>
  </r>
  <r>
    <n v="140"/>
    <n v="60040.4"/>
    <d v="2023-01-24T00:00:00"/>
    <x v="144"/>
    <s v="Mexico"/>
    <s v="Location 3"/>
    <n v="428.86"/>
  </r>
  <r>
    <n v="140"/>
    <n v="60040.4"/>
    <d v="2023-01-24T00:00:00"/>
    <x v="144"/>
    <s v="Mexico"/>
    <s v="Location 3"/>
    <n v="428.86"/>
  </r>
  <r>
    <n v="140"/>
    <n v="60040.4"/>
    <d v="2023-01-24T00:00:00"/>
    <x v="144"/>
    <s v="Mexico"/>
    <s v="Location 3"/>
    <n v="428.86"/>
  </r>
  <r>
    <n v="140"/>
    <n v="60040.4"/>
    <d v="2023-01-24T00:00:00"/>
    <x v="144"/>
    <s v="Mexico"/>
    <s v="Location 3"/>
    <n v="428.86"/>
  </r>
  <r>
    <n v="140"/>
    <n v="58132.2"/>
    <d v="2023-01-26T00:00:00"/>
    <x v="176"/>
    <s v="Mexico"/>
    <s v="Location 3"/>
    <n v="415.23"/>
  </r>
  <r>
    <n v="140"/>
    <n v="58132.2"/>
    <d v="2023-01-26T00:00:00"/>
    <x v="176"/>
    <s v="Mexico"/>
    <s v="Location 3"/>
    <n v="415.23"/>
  </r>
  <r>
    <n v="140"/>
    <n v="58132.2"/>
    <d v="2023-01-26T00:00:00"/>
    <x v="176"/>
    <s v="Mexico"/>
    <s v="Location 3"/>
    <n v="415.23"/>
  </r>
  <r>
    <n v="140"/>
    <n v="58132.2"/>
    <d v="2023-01-26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58132.2"/>
    <d v="2023-01-30T00:00:00"/>
    <x v="176"/>
    <s v="Mexico"/>
    <s v="Location 3"/>
    <n v="415.23"/>
  </r>
  <r>
    <n v="140"/>
    <n v="92328.6"/>
    <d v="2023-01-30T00:00:00"/>
    <x v="177"/>
    <s v="Mexico"/>
    <s v="Location 3"/>
    <n v="659.49"/>
  </r>
  <r>
    <n v="140"/>
    <n v="58132.2"/>
    <d v="2023-04-25T00:00:00"/>
    <x v="176"/>
    <s v="Mexico"/>
    <s v="Location 3"/>
    <n v="415.23"/>
  </r>
  <r>
    <n v="140"/>
    <n v="58132.2"/>
    <d v="2023-04-25T00:00:00"/>
    <x v="176"/>
    <s v="Mexico"/>
    <s v="Location 3"/>
    <n v="415.23"/>
  </r>
  <r>
    <n v="140"/>
    <n v="58132.2"/>
    <d v="2023-04-25T00:00:00"/>
    <x v="176"/>
    <s v="Mexico"/>
    <s v="Location 3"/>
    <n v="415.23"/>
  </r>
  <r>
    <n v="140"/>
    <n v="58132.2"/>
    <d v="2023-04-25T00:00:00"/>
    <x v="176"/>
    <s v="Mexico"/>
    <s v="Location 3"/>
    <n v="415.23"/>
  </r>
  <r>
    <n v="140"/>
    <n v="58132.2"/>
    <d v="2023-04-25T00:00:00"/>
    <x v="176"/>
    <s v="Mexico"/>
    <s v="Location 3"/>
    <n v="415.23"/>
  </r>
  <r>
    <n v="140"/>
    <n v="58132.2"/>
    <d v="2023-04-25T00:00:00"/>
    <x v="176"/>
    <s v="Mexico"/>
    <s v="Location 3"/>
    <n v="415.23"/>
  </r>
  <r>
    <n v="140"/>
    <n v="58132.2"/>
    <d v="2023-04-25T00:00:00"/>
    <x v="176"/>
    <s v="Mexico"/>
    <s v="Location 3"/>
    <n v="415.23"/>
  </r>
  <r>
    <n v="140"/>
    <n v="53718"/>
    <d v="2023-05-15T00:00:00"/>
    <x v="148"/>
    <s v="Mexico"/>
    <s v="Location 3"/>
    <n v="383.7"/>
  </r>
  <r>
    <n v="140"/>
    <n v="60040.4"/>
    <d v="2023-02-21T00:00:00"/>
    <x v="144"/>
    <s v="Mexico"/>
    <s v="Location 3"/>
    <n v="428.86"/>
  </r>
  <r>
    <n v="140"/>
    <n v="60040.4"/>
    <d v="2023-02-21T00:00:00"/>
    <x v="144"/>
    <s v="Mexico"/>
    <s v="Location 3"/>
    <n v="428.86"/>
  </r>
  <r>
    <n v="140"/>
    <n v="60040.4"/>
    <d v="2023-02-21T00:00:00"/>
    <x v="144"/>
    <s v="Mexico"/>
    <s v="Location 3"/>
    <n v="428.86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3718"/>
    <d v="2023-04-25T00:00:00"/>
    <x v="148"/>
    <s v="Mexico"/>
    <s v="Location 3"/>
    <n v="383.7"/>
  </r>
  <r>
    <n v="140"/>
    <n v="50677.2"/>
    <d v="2023-02-24T00:00:00"/>
    <x v="148"/>
    <s v="Mexico"/>
    <s v="Location 3"/>
    <n v="361.98"/>
  </r>
  <r>
    <n v="140"/>
    <n v="50677.2"/>
    <d v="2023-02-24T00:00:00"/>
    <x v="148"/>
    <s v="Mexico"/>
    <s v="Location 3"/>
    <n v="361.98"/>
  </r>
  <r>
    <n v="140"/>
    <n v="50677.2"/>
    <d v="2023-02-24T00:00:00"/>
    <x v="148"/>
    <s v="Mexico"/>
    <s v="Location 3"/>
    <n v="361.98"/>
  </r>
  <r>
    <n v="140"/>
    <n v="50677.2"/>
    <d v="2023-02-24T00:00:00"/>
    <x v="148"/>
    <s v="Mexico"/>
    <s v="Location 3"/>
    <n v="361.98"/>
  </r>
  <r>
    <n v="140"/>
    <n v="50677.2"/>
    <d v="2023-02-24T00:00:00"/>
    <x v="148"/>
    <s v="Mexico"/>
    <s v="Location 3"/>
    <n v="361.98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58132.2"/>
    <d v="2023-02-28T00:00:00"/>
    <x v="176"/>
    <s v="Mexico"/>
    <s v="Location 3"/>
    <n v="415.23"/>
  </r>
  <r>
    <n v="140"/>
    <n v="60040.4"/>
    <d v="2023-07-28T00:00:00"/>
    <x v="144"/>
    <s v="Mexico"/>
    <s v="Location 3"/>
    <n v="428.86"/>
  </r>
  <r>
    <n v="140"/>
    <n v="92328.6"/>
    <d v="2022-11-10T00:00:00"/>
    <x v="177"/>
    <s v="Mexico"/>
    <s v="Location 3"/>
    <n v="659.49"/>
  </r>
  <r>
    <n v="140"/>
    <n v="58132.2"/>
    <d v="2023-08-16T00:00:00"/>
    <x v="176"/>
    <s v="Mexico"/>
    <s v="Location 3"/>
    <n v="415.23"/>
  </r>
  <r>
    <n v="140"/>
    <n v="56924"/>
    <d v="2022-12-19T00:00:00"/>
    <x v="144"/>
    <s v="Mexico"/>
    <s v="Location 3"/>
    <n v="406.6"/>
  </r>
  <r>
    <n v="140"/>
    <n v="56924"/>
    <d v="2022-12-19T00:00:00"/>
    <x v="144"/>
    <s v="Mexico"/>
    <s v="Location 3"/>
    <n v="406.6"/>
  </r>
  <r>
    <n v="140"/>
    <n v="56924"/>
    <d v="2022-12-19T00:00:00"/>
    <x v="144"/>
    <s v="Mexico"/>
    <s v="Location 3"/>
    <n v="406.6"/>
  </r>
  <r>
    <n v="140"/>
    <n v="56924"/>
    <d v="2022-12-19T00:00:00"/>
    <x v="144"/>
    <s v="Mexico"/>
    <s v="Location 3"/>
    <n v="406.6"/>
  </r>
  <r>
    <n v="140"/>
    <n v="58132.2"/>
    <d v="2023-07-25T00:00:00"/>
    <x v="176"/>
    <s v="Mexico"/>
    <s v="Location 3"/>
    <n v="415.23"/>
  </r>
  <r>
    <n v="140"/>
    <n v="58132.2"/>
    <d v="2023-07-25T00:00:00"/>
    <x v="176"/>
    <s v="Mexico"/>
    <s v="Location 3"/>
    <n v="415.23"/>
  </r>
  <r>
    <n v="140"/>
    <n v="60040.4"/>
    <d v="2023-07-25T00:00:00"/>
    <x v="144"/>
    <s v="Mexico"/>
    <s v="Location 3"/>
    <n v="428.86"/>
  </r>
  <r>
    <n v="140"/>
    <n v="60040.4"/>
    <d v="2023-07-25T00:00:00"/>
    <x v="144"/>
    <s v="Mexico"/>
    <s v="Location 3"/>
    <n v="428.86"/>
  </r>
  <r>
    <n v="120"/>
    <n v="54085.2"/>
    <d v="2023-05-03T00:00:00"/>
    <x v="141"/>
    <s v="Mexico"/>
    <s v="Location 3"/>
    <n v="450.71"/>
  </r>
  <r>
    <n v="120"/>
    <n v="96452.4"/>
    <d v="2023-01-24T00:00:00"/>
    <x v="154"/>
    <s v="Mexico"/>
    <s v="Location 3"/>
    <n v="803.77"/>
  </r>
  <r>
    <n v="120"/>
    <n v="96452.4"/>
    <d v="2023-01-30T00:00:00"/>
    <x v="154"/>
    <s v="Mexico"/>
    <s v="Location 3"/>
    <n v="803.77"/>
  </r>
  <r>
    <n v="120"/>
    <n v="54085.2"/>
    <d v="2023-04-21T00:00:00"/>
    <x v="141"/>
    <s v="Mexico"/>
    <s v="Location 3"/>
    <n v="450.71"/>
  </r>
  <r>
    <n v="120"/>
    <n v="54085.2"/>
    <d v="2023-04-21T00:00:00"/>
    <x v="141"/>
    <s v="Mexico"/>
    <s v="Location 3"/>
    <n v="450.71"/>
  </r>
  <r>
    <n v="120"/>
    <n v="54085.2"/>
    <d v="2023-04-21T00:00:00"/>
    <x v="141"/>
    <s v="Mexico"/>
    <s v="Location 3"/>
    <n v="450.71"/>
  </r>
  <r>
    <n v="120"/>
    <n v="54085.2"/>
    <d v="2023-04-21T00:00:00"/>
    <x v="141"/>
    <s v="Mexico"/>
    <s v="Location 3"/>
    <n v="450.71"/>
  </r>
  <r>
    <n v="120"/>
    <n v="54085.2"/>
    <d v="2023-04-21T00:00:00"/>
    <x v="141"/>
    <s v="Mexico"/>
    <s v="Location 3"/>
    <n v="450.71"/>
  </r>
  <r>
    <n v="120"/>
    <n v="54085.2"/>
    <d v="2023-04-21T00:00:00"/>
    <x v="141"/>
    <s v="Mexico"/>
    <s v="Location 3"/>
    <n v="450.71"/>
  </r>
  <r>
    <n v="120"/>
    <n v="54085.2"/>
    <d v="2023-05-15T00:00:00"/>
    <x v="141"/>
    <s v="Mexico"/>
    <s v="Location 3"/>
    <n v="450.71"/>
  </r>
  <r>
    <n v="120"/>
    <n v="51024"/>
    <d v="2023-01-03T00:00:00"/>
    <x v="141"/>
    <s v="Mexico"/>
    <s v="Location 3"/>
    <n v="425.2"/>
  </r>
  <r>
    <n v="120"/>
    <n v="51024"/>
    <d v="2023-01-03T00:00:00"/>
    <x v="141"/>
    <s v="Mexico"/>
    <s v="Location 3"/>
    <n v="425.2"/>
  </r>
  <r>
    <n v="120"/>
    <n v="51024"/>
    <d v="2022-11-29T00:00:00"/>
    <x v="141"/>
    <s v="Mexico"/>
    <s v="Location 3"/>
    <n v="425.2"/>
  </r>
  <r>
    <n v="120"/>
    <n v="51024"/>
    <d v="2022-12-14T00:00:00"/>
    <x v="141"/>
    <s v="Mexico"/>
    <s v="Location 3"/>
    <n v="425.2"/>
  </r>
  <r>
    <n v="120"/>
    <n v="91449.600000000006"/>
    <d v="2022-07-19T00:00:00"/>
    <x v="154"/>
    <s v="Mexico"/>
    <s v="Location 3"/>
    <n v="762.08"/>
  </r>
  <r>
    <n v="120"/>
    <n v="51024"/>
    <d v="2022-10-25T00:00:00"/>
    <x v="141"/>
    <s v="Mexico"/>
    <s v="Location 3"/>
    <n v="425.2"/>
  </r>
  <r>
    <n v="120"/>
    <n v="51024"/>
    <d v="2022-10-25T00:00:00"/>
    <x v="141"/>
    <s v="Mexico"/>
    <s v="Location 3"/>
    <n v="425.2"/>
  </r>
  <r>
    <n v="120"/>
    <n v="51024"/>
    <d v="2022-10-25T00:00:00"/>
    <x v="141"/>
    <s v="Mexico"/>
    <s v="Location 3"/>
    <n v="425.2"/>
  </r>
  <r>
    <n v="120"/>
    <n v="51024"/>
    <d v="2022-10-25T00:00:00"/>
    <x v="141"/>
    <s v="Mexico"/>
    <s v="Location 3"/>
    <n v="425.2"/>
  </r>
  <r>
    <n v="120"/>
    <n v="51024"/>
    <d v="2022-10-25T00:00:00"/>
    <x v="141"/>
    <s v="Mexico"/>
    <s v="Location 3"/>
    <n v="425.2"/>
  </r>
  <r>
    <n v="120"/>
    <n v="51024"/>
    <d v="2022-10-25T00:00:00"/>
    <x v="141"/>
    <s v="Mexico"/>
    <s v="Location 3"/>
    <n v="425.2"/>
  </r>
  <r>
    <n v="120"/>
    <n v="52864.800000000003"/>
    <d v="2023-02-28T00:00:00"/>
    <x v="145"/>
    <s v="Mexico"/>
    <s v="Location 3"/>
    <n v="440.54"/>
  </r>
  <r>
    <n v="120"/>
    <n v="52864.800000000003"/>
    <d v="2023-02-28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1T00:00:00"/>
    <x v="145"/>
    <s v="Mexico"/>
    <s v="Location 3"/>
    <n v="440.54"/>
  </r>
  <r>
    <n v="120"/>
    <n v="52864.800000000003"/>
    <d v="2023-02-24T00:00:00"/>
    <x v="145"/>
    <s v="Mexico"/>
    <s v="Location 3"/>
    <n v="440.54"/>
  </r>
  <r>
    <n v="120"/>
    <n v="52864.800000000003"/>
    <d v="2023-02-24T00:00:00"/>
    <x v="145"/>
    <s v="Mexico"/>
    <s v="Location 3"/>
    <n v="440.54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864.800000000003"/>
    <d v="2023-01-06T00:00:00"/>
    <x v="145"/>
    <s v="Mexico"/>
    <s v="Location 3"/>
    <n v="440.54"/>
  </r>
  <r>
    <n v="120"/>
    <n v="52864.800000000003"/>
    <d v="2023-01-06T00:00:00"/>
    <x v="145"/>
    <s v="Mexico"/>
    <s v="Location 3"/>
    <n v="440.54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5-31T00:00:00"/>
    <x v="145"/>
    <s v="Mexico"/>
    <s v="Location 3"/>
    <n v="438.95"/>
  </r>
  <r>
    <n v="120"/>
    <n v="52674"/>
    <d v="2023-06-05T00:00:00"/>
    <x v="145"/>
    <s v="Mexico"/>
    <s v="Location 3"/>
    <n v="438.95"/>
  </r>
  <r>
    <n v="120"/>
    <n v="52674"/>
    <d v="2023-06-05T00:00:00"/>
    <x v="145"/>
    <s v="Mexico"/>
    <s v="Location 3"/>
    <n v="438.95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5755.6"/>
    <d v="2023-01-24T00:00:00"/>
    <x v="145"/>
    <s v="Mexico"/>
    <s v="Location 3"/>
    <n v="464.63"/>
  </r>
  <r>
    <n v="120"/>
    <n v="52674"/>
    <d v="2023-05-15T00:00:00"/>
    <x v="145"/>
    <s v="Mexico"/>
    <s v="Location 3"/>
    <n v="438.95"/>
  </r>
  <r>
    <n v="120"/>
    <n v="52674"/>
    <d v="2023-05-15T00:00:00"/>
    <x v="145"/>
    <s v="Mexico"/>
    <s v="Location 3"/>
    <n v="438.95"/>
  </r>
  <r>
    <n v="120"/>
    <n v="52674"/>
    <d v="2023-05-15T00:00:00"/>
    <x v="145"/>
    <s v="Mexico"/>
    <s v="Location 3"/>
    <n v="438.95"/>
  </r>
  <r>
    <n v="120"/>
    <n v="55755.6"/>
    <d v="2023-02-21T00:00:00"/>
    <x v="145"/>
    <s v="Mexico"/>
    <s v="Location 3"/>
    <n v="464.63"/>
  </r>
  <r>
    <n v="120"/>
    <n v="55755.6"/>
    <d v="2023-02-21T00:00:00"/>
    <x v="145"/>
    <s v="Mexico"/>
    <s v="Location 3"/>
    <n v="464.63"/>
  </r>
  <r>
    <n v="120"/>
    <n v="52674"/>
    <d v="2023-05-26T00:00:00"/>
    <x v="145"/>
    <s v="Mexico"/>
    <s v="Location 3"/>
    <n v="438.95"/>
  </r>
  <r>
    <n v="120"/>
    <n v="55755.6"/>
    <d v="2023-02-28T00:00:00"/>
    <x v="145"/>
    <s v="Mexico"/>
    <s v="Location 3"/>
    <n v="464.63"/>
  </r>
  <r>
    <n v="120"/>
    <n v="52674"/>
    <d v="2023-02-28T00:00:00"/>
    <x v="145"/>
    <s v="Mexico"/>
    <s v="Location 3"/>
    <n v="438.95"/>
  </r>
  <r>
    <n v="120"/>
    <n v="52674"/>
    <d v="2023-05-26T00:00:00"/>
    <x v="145"/>
    <s v="Mexico"/>
    <s v="Location 3"/>
    <n v="438.95"/>
  </r>
  <r>
    <n v="120"/>
    <n v="52674"/>
    <d v="2023-05-26T00:00:00"/>
    <x v="145"/>
    <s v="Mexico"/>
    <s v="Location 3"/>
    <n v="438.95"/>
  </r>
  <r>
    <n v="120"/>
    <n v="52674"/>
    <d v="2023-05-26T00:00:00"/>
    <x v="145"/>
    <s v="Mexico"/>
    <s v="Location 3"/>
    <n v="438.95"/>
  </r>
  <r>
    <n v="120"/>
    <n v="52674"/>
    <d v="2023-05-26T00:00:00"/>
    <x v="145"/>
    <s v="Mexico"/>
    <s v="Location 3"/>
    <n v="438.95"/>
  </r>
  <r>
    <n v="120"/>
    <n v="52674"/>
    <d v="2023-05-26T00:00:00"/>
    <x v="145"/>
    <s v="Mexico"/>
    <s v="Location 3"/>
    <n v="438.95"/>
  </r>
  <r>
    <n v="120"/>
    <n v="52864.800000000003"/>
    <d v="2022-09-21T00:00:00"/>
    <x v="145"/>
    <s v="Mexico"/>
    <s v="Location 3"/>
    <n v="440.54"/>
  </r>
  <r>
    <n v="120"/>
    <n v="52864.800000000003"/>
    <d v="2022-09-21T00:00:00"/>
    <x v="145"/>
    <s v="Mexico"/>
    <s v="Location 3"/>
    <n v="440.54"/>
  </r>
  <r>
    <n v="120"/>
    <n v="52864.800000000003"/>
    <d v="2022-09-21T00:00:00"/>
    <x v="145"/>
    <s v="Mexico"/>
    <s v="Location 3"/>
    <n v="440.54"/>
  </r>
  <r>
    <n v="120"/>
    <n v="52864.800000000003"/>
    <d v="2022-09-21T00:00:00"/>
    <x v="145"/>
    <s v="Mexico"/>
    <s v="Location 3"/>
    <n v="440.54"/>
  </r>
  <r>
    <n v="120"/>
    <n v="52864.800000000003"/>
    <d v="2022-09-21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09-22T00:00:00"/>
    <x v="145"/>
    <s v="Mexico"/>
    <s v="Location 3"/>
    <n v="440.54"/>
  </r>
  <r>
    <n v="120"/>
    <n v="52864.800000000003"/>
    <d v="2022-11-01T00:00:00"/>
    <x v="145"/>
    <s v="Mexico"/>
    <s v="Location 3"/>
    <n v="440.54"/>
  </r>
  <r>
    <n v="120"/>
    <n v="52864.800000000003"/>
    <d v="2022-11-01T00:00:00"/>
    <x v="145"/>
    <s v="Mexico"/>
    <s v="Location 3"/>
    <n v="440.54"/>
  </r>
  <r>
    <n v="120"/>
    <n v="52864.800000000003"/>
    <d v="2022-11-01T00:00:00"/>
    <x v="145"/>
    <s v="Mexico"/>
    <s v="Location 3"/>
    <n v="440.54"/>
  </r>
  <r>
    <n v="120"/>
    <n v="52864.800000000003"/>
    <d v="2022-11-01T00:00:00"/>
    <x v="145"/>
    <s v="Mexico"/>
    <s v="Location 3"/>
    <n v="440.54"/>
  </r>
  <r>
    <n v="120"/>
    <n v="52864.800000000003"/>
    <d v="2022-11-02T00:00:00"/>
    <x v="145"/>
    <s v="Mexico"/>
    <s v="Location 3"/>
    <n v="440.54"/>
  </r>
  <r>
    <n v="120"/>
    <n v="52864.800000000003"/>
    <d v="2022-11-03T00:00:00"/>
    <x v="145"/>
    <s v="Mexico"/>
    <s v="Location 3"/>
    <n v="440.54"/>
  </r>
  <r>
    <n v="120"/>
    <n v="52864.800000000003"/>
    <d v="2022-11-03T00:00:00"/>
    <x v="145"/>
    <s v="Mexico"/>
    <s v="Location 3"/>
    <n v="440.54"/>
  </r>
  <r>
    <n v="120"/>
    <n v="52864.800000000003"/>
    <d v="2022-11-03T00:00:00"/>
    <x v="145"/>
    <s v="Mexico"/>
    <s v="Location 3"/>
    <n v="440.54"/>
  </r>
  <r>
    <n v="120"/>
    <n v="52864.800000000003"/>
    <d v="2022-11-03T00:00:00"/>
    <x v="145"/>
    <s v="Mexico"/>
    <s v="Location 3"/>
    <n v="440.54"/>
  </r>
  <r>
    <n v="120"/>
    <n v="52864.800000000003"/>
    <d v="2022-11-10T00:00:00"/>
    <x v="145"/>
    <s v="Mexico"/>
    <s v="Location 3"/>
    <n v="440.54"/>
  </r>
  <r>
    <n v="120"/>
    <n v="52864.800000000003"/>
    <d v="2022-07-11T00:00:00"/>
    <x v="145"/>
    <s v="Mexico"/>
    <s v="Location 3"/>
    <n v="440.54"/>
  </r>
  <r>
    <n v="120"/>
    <n v="52864.800000000003"/>
    <d v="2022-07-11T00:00:00"/>
    <x v="145"/>
    <s v="Mexico"/>
    <s v="Location 3"/>
    <n v="440.54"/>
  </r>
  <r>
    <n v="120"/>
    <n v="52864.800000000003"/>
    <d v="2022-07-11T00:00:00"/>
    <x v="145"/>
    <s v="Mexico"/>
    <s v="Location 3"/>
    <n v="440.54"/>
  </r>
  <r>
    <n v="120"/>
    <n v="52864.800000000003"/>
    <d v="2022-08-19T00:00:00"/>
    <x v="145"/>
    <s v="Mexico"/>
    <s v="Location 3"/>
    <n v="440.54"/>
  </r>
  <r>
    <n v="120"/>
    <n v="52864.800000000003"/>
    <d v="2022-07-11T00:00:00"/>
    <x v="145"/>
    <s v="Mexico"/>
    <s v="Location 3"/>
    <n v="440.54"/>
  </r>
  <r>
    <n v="120"/>
    <n v="52864.800000000003"/>
    <d v="2022-10-20T00:00:00"/>
    <x v="145"/>
    <s v="Mexico"/>
    <s v="Location 3"/>
    <n v="440.54"/>
  </r>
  <r>
    <n v="120"/>
    <n v="52864.800000000003"/>
    <d v="2022-10-20T00:00:00"/>
    <x v="145"/>
    <s v="Mexico"/>
    <s v="Location 3"/>
    <n v="440.54"/>
  </r>
  <r>
    <n v="120"/>
    <n v="52864.800000000003"/>
    <d v="2022-10-20T00:00:00"/>
    <x v="145"/>
    <s v="Mexico"/>
    <s v="Location 3"/>
    <n v="440.54"/>
  </r>
  <r>
    <n v="120"/>
    <n v="52864.800000000003"/>
    <d v="2022-12-19T00:00:00"/>
    <x v="145"/>
    <s v="Mexico"/>
    <s v="Location 3"/>
    <n v="440.54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674"/>
    <d v="2023-07-25T00:00:00"/>
    <x v="145"/>
    <s v="Mexico"/>
    <s v="Location 3"/>
    <n v="438.95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120"/>
    <n v="52864.800000000003"/>
    <d v="2022-09-02T00:00:00"/>
    <x v="145"/>
    <s v="Mexico"/>
    <s v="Location 3"/>
    <n v="440.54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29066.1"/>
    <d v="2023-02-28T00:00:00"/>
    <x v="176"/>
    <s v="Mexico"/>
    <s v="Location 3"/>
    <n v="415.23"/>
  </r>
  <r>
    <n v="70"/>
    <n v="30020.2"/>
    <d v="2023-01-14T00:00:00"/>
    <x v="144"/>
    <s v="Mexico"/>
    <s v="Location 3"/>
    <n v="428.86"/>
  </r>
  <r>
    <n v="70"/>
    <n v="26859"/>
    <d v="2023-01-14T00:00:00"/>
    <x v="148"/>
    <s v="Mexico"/>
    <s v="Location 3"/>
    <n v="383.7"/>
  </r>
  <r>
    <n v="70"/>
    <n v="29066.1"/>
    <d v="2023-02-28T00:00:00"/>
    <x v="176"/>
    <s v="Mexico"/>
    <s v="Location 3"/>
    <n v="415.23"/>
  </r>
  <r>
    <n v="70"/>
    <n v="26859"/>
    <d v="2023-02-28T00:00:00"/>
    <x v="148"/>
    <s v="Mexico"/>
    <s v="Location 3"/>
    <n v="383.7"/>
  </r>
  <r>
    <n v="70"/>
    <n v="26859"/>
    <d v="2023-02-28T00:00:00"/>
    <x v="148"/>
    <s v="Mexico"/>
    <s v="Location 3"/>
    <n v="383.7"/>
  </r>
  <r>
    <n v="70"/>
    <n v="26859"/>
    <d v="2023-02-28T00:00:00"/>
    <x v="148"/>
    <s v="Mexico"/>
    <s v="Location 3"/>
    <n v="383.7"/>
  </r>
  <r>
    <n v="70"/>
    <n v="29066.1"/>
    <d v="2023-01-14T00:00:00"/>
    <x v="176"/>
    <s v="Mexico"/>
    <s v="Location 3"/>
    <n v="415.23"/>
  </r>
  <r>
    <n v="70"/>
    <n v="30020.2"/>
    <d v="2023-01-14T00:00:00"/>
    <x v="144"/>
    <s v="Mexico"/>
    <s v="Location 3"/>
    <n v="428.86"/>
  </r>
  <r>
    <n v="70"/>
    <n v="30020.2"/>
    <d v="2023-01-14T00:00:00"/>
    <x v="144"/>
    <s v="Mexico"/>
    <s v="Location 3"/>
    <n v="428.86"/>
  </r>
  <r>
    <n v="70"/>
    <n v="30020.2"/>
    <d v="2023-01-14T00:00:00"/>
    <x v="144"/>
    <s v="Mexico"/>
    <s v="Location 3"/>
    <n v="428.86"/>
  </r>
  <r>
    <n v="70"/>
    <n v="30020.2"/>
    <d v="2023-01-14T00:00:00"/>
    <x v="144"/>
    <s v="Mexico"/>
    <s v="Location 3"/>
    <n v="428.86"/>
  </r>
  <r>
    <n v="70"/>
    <n v="26859"/>
    <d v="2023-01-14T00:00:00"/>
    <x v="148"/>
    <s v="Mexico"/>
    <s v="Location 3"/>
    <n v="383.7"/>
  </r>
  <r>
    <n v="70"/>
    <n v="26859"/>
    <d v="2023-03-15T00:00:00"/>
    <x v="148"/>
    <s v="Mexico"/>
    <s v="Location 3"/>
    <n v="383.7"/>
  </r>
  <r>
    <n v="70"/>
    <n v="26859"/>
    <d v="2023-03-15T00:00:00"/>
    <x v="148"/>
    <s v="Mexico"/>
    <s v="Location 3"/>
    <n v="383.7"/>
  </r>
  <r>
    <n v="70"/>
    <n v="26859"/>
    <d v="2023-05-03T00:00:00"/>
    <x v="148"/>
    <s v="Mexico"/>
    <s v="Location 3"/>
    <n v="383.7"/>
  </r>
  <r>
    <n v="70"/>
    <n v="30020.2"/>
    <d v="2023-01-24T00:00:00"/>
    <x v="144"/>
    <s v="Mexico"/>
    <s v="Location 3"/>
    <n v="428.86"/>
  </r>
  <r>
    <n v="70"/>
    <n v="30020.2"/>
    <d v="2023-01-24T00:00:00"/>
    <x v="144"/>
    <s v="Mexico"/>
    <s v="Location 3"/>
    <n v="428.86"/>
  </r>
  <r>
    <n v="70"/>
    <n v="29066.1"/>
    <d v="2023-01-26T00:00:00"/>
    <x v="176"/>
    <s v="Mexico"/>
    <s v="Location 3"/>
    <n v="415.23"/>
  </r>
  <r>
    <n v="70"/>
    <n v="30020.2"/>
    <d v="2023-01-26T00:00:00"/>
    <x v="144"/>
    <s v="Mexico"/>
    <s v="Location 3"/>
    <n v="428.86"/>
  </r>
  <r>
    <n v="70"/>
    <n v="30020.2"/>
    <d v="2023-01-26T00:00:00"/>
    <x v="144"/>
    <s v="Mexico"/>
    <s v="Location 3"/>
    <n v="428.86"/>
  </r>
  <r>
    <n v="70"/>
    <n v="29066.1"/>
    <d v="2023-01-30T00:00:00"/>
    <x v="176"/>
    <s v="Mexico"/>
    <s v="Location 3"/>
    <n v="415.23"/>
  </r>
  <r>
    <n v="70"/>
    <n v="29066.1"/>
    <d v="2023-01-30T00:00:00"/>
    <x v="176"/>
    <s v="Mexico"/>
    <s v="Location 3"/>
    <n v="415.23"/>
  </r>
  <r>
    <n v="70"/>
    <n v="29066.1"/>
    <d v="2023-01-30T00:00:00"/>
    <x v="176"/>
    <s v="Mexico"/>
    <s v="Location 3"/>
    <n v="415.23"/>
  </r>
  <r>
    <n v="70"/>
    <n v="30020.2"/>
    <d v="2023-02-02T00:00:00"/>
    <x v="144"/>
    <s v="Mexico"/>
    <s v="Location 3"/>
    <n v="428.86"/>
  </r>
  <r>
    <n v="70"/>
    <n v="30020.2"/>
    <d v="2023-02-13T00:00:00"/>
    <x v="144"/>
    <s v="Mexico"/>
    <s v="Location 3"/>
    <n v="428.86"/>
  </r>
  <r>
    <n v="70"/>
    <n v="30020.2"/>
    <d v="2023-02-21T00:00:00"/>
    <x v="144"/>
    <s v="Mexico"/>
    <s v="Location 3"/>
    <n v="428.86"/>
  </r>
  <r>
    <n v="70"/>
    <n v="26859"/>
    <d v="2023-04-25T00:00:00"/>
    <x v="148"/>
    <s v="Mexico"/>
    <s v="Location 3"/>
    <n v="383.7"/>
  </r>
  <r>
    <n v="70"/>
    <n v="25338.6"/>
    <d v="2023-02-24T00:00:00"/>
    <x v="148"/>
    <s v="Mexico"/>
    <s v="Location 3"/>
    <n v="361.98"/>
  </r>
  <r>
    <n v="70"/>
    <n v="29066.1"/>
    <d v="2023-02-28T00:00:00"/>
    <x v="176"/>
    <s v="Mexico"/>
    <s v="Location 3"/>
    <n v="415.23"/>
  </r>
  <r>
    <n v="70"/>
    <n v="30020.2"/>
    <d v="2023-08-04T00:00:00"/>
    <x v="144"/>
    <s v="Mexico"/>
    <s v="Location 3"/>
    <n v="428.86"/>
  </r>
  <r>
    <n v="70"/>
    <n v="30020.2"/>
    <d v="2023-08-17T00:00:00"/>
    <x v="144"/>
    <s v="Mexico"/>
    <s v="Location 3"/>
    <n v="428.86"/>
  </r>
  <r>
    <n v="70"/>
    <n v="30020.2"/>
    <d v="2023-08-17T00:00:00"/>
    <x v="144"/>
    <s v="Mexico"/>
    <s v="Location 3"/>
    <n v="428.86"/>
  </r>
  <r>
    <n v="70"/>
    <n v="30020.2"/>
    <d v="2023-08-17T00:00:00"/>
    <x v="144"/>
    <s v="Mexico"/>
    <s v="Location 3"/>
    <n v="428.86"/>
  </r>
  <r>
    <n v="70"/>
    <n v="48690.6"/>
    <d v="2023-08-17T00:00:00"/>
    <x v="177"/>
    <s v="Mexico"/>
    <s v="Location 3"/>
    <n v="695.58"/>
  </r>
  <r>
    <n v="70"/>
    <n v="48690.6"/>
    <d v="2023-08-17T00:00:00"/>
    <x v="177"/>
    <s v="Mexico"/>
    <s v="Location 3"/>
    <n v="695.58"/>
  </r>
  <r>
    <n v="70"/>
    <n v="48690.6"/>
    <d v="2023-08-17T00:00:00"/>
    <x v="177"/>
    <s v="Mexico"/>
    <s v="Location 3"/>
    <n v="695.58"/>
  </r>
  <r>
    <n v="70"/>
    <n v="48690.6"/>
    <d v="2023-08-17T00:00:00"/>
    <x v="177"/>
    <s v="Mexico"/>
    <s v="Location 3"/>
    <n v="695.58"/>
  </r>
  <r>
    <n v="70"/>
    <n v="48690.6"/>
    <d v="2023-08-17T00:00:00"/>
    <x v="177"/>
    <s v="Mexico"/>
    <s v="Location 3"/>
    <n v="695.58"/>
  </r>
  <r>
    <n v="70"/>
    <n v="48690.6"/>
    <d v="2023-08-17T00:00:00"/>
    <x v="177"/>
    <s v="Mexico"/>
    <s v="Location 3"/>
    <n v="695.58"/>
  </r>
  <r>
    <n v="70"/>
    <n v="25338.6"/>
    <d v="2022-10-13T00:00:00"/>
    <x v="148"/>
    <s v="Mexico"/>
    <s v="Location 3"/>
    <n v="361.98"/>
  </r>
  <r>
    <n v="70"/>
    <n v="27421.1"/>
    <d v="2022-12-12T00:00:00"/>
    <x v="176"/>
    <s v="Mexico"/>
    <s v="Location 3"/>
    <n v="391.73"/>
  </r>
  <r>
    <n v="70"/>
    <n v="25338.6"/>
    <d v="2022-10-20T00:00:00"/>
    <x v="148"/>
    <s v="Mexico"/>
    <s v="Location 3"/>
    <n v="361.98"/>
  </r>
  <r>
    <n v="70"/>
    <n v="28462"/>
    <d v="2022-12-19T00:00:00"/>
    <x v="144"/>
    <s v="Mexico"/>
    <s v="Location 3"/>
    <n v="406.6"/>
  </r>
  <r>
    <n v="70"/>
    <n v="28462"/>
    <d v="2022-12-19T00:00:00"/>
    <x v="144"/>
    <s v="Mexico"/>
    <s v="Location 3"/>
    <n v="406.6"/>
  </r>
  <r>
    <n v="70"/>
    <n v="28462"/>
    <d v="2022-12-19T00:00:00"/>
    <x v="144"/>
    <s v="Mexico"/>
    <s v="Location 3"/>
    <n v="406.6"/>
  </r>
  <r>
    <n v="70"/>
    <n v="28462"/>
    <d v="2022-12-19T00:00:00"/>
    <x v="144"/>
    <s v="Mexico"/>
    <s v="Location 3"/>
    <n v="406.6"/>
  </r>
  <r>
    <n v="70"/>
    <n v="28462"/>
    <d v="2022-12-19T00:00:00"/>
    <x v="144"/>
    <s v="Mexico"/>
    <s v="Location 3"/>
    <n v="406.6"/>
  </r>
  <r>
    <n v="70"/>
    <n v="29066.1"/>
    <d v="2023-08-23T00:00:00"/>
    <x v="176"/>
    <s v="Mexico"/>
    <s v="Location 3"/>
    <n v="415.23"/>
  </r>
  <r>
    <n v="70"/>
    <n v="29066.1"/>
    <d v="2023-08-23T00:00:00"/>
    <x v="176"/>
    <s v="Mexico"/>
    <s v="Location 3"/>
    <n v="415.23"/>
  </r>
  <r>
    <n v="70"/>
    <n v="29066.1"/>
    <d v="2023-08-23T00:00:00"/>
    <x v="176"/>
    <s v="Mexico"/>
    <s v="Location 3"/>
    <n v="415.23"/>
  </r>
  <r>
    <n v="70"/>
    <n v="29066.1"/>
    <d v="2023-08-23T00:00:00"/>
    <x v="176"/>
    <s v="Mexico"/>
    <s v="Location 3"/>
    <n v="415.23"/>
  </r>
  <r>
    <n v="70"/>
    <n v="29066.1"/>
    <d v="2023-08-23T00:00:00"/>
    <x v="176"/>
    <s v="Mexico"/>
    <s v="Location 3"/>
    <n v="415.23"/>
  </r>
  <r>
    <n v="70"/>
    <n v="29066.1"/>
    <d v="2023-08-23T00:00:00"/>
    <x v="176"/>
    <s v="Mexico"/>
    <s v="Location 3"/>
    <n v="415.23"/>
  </r>
  <r>
    <n v="70"/>
    <n v="29066.1"/>
    <d v="2023-08-23T00:00:00"/>
    <x v="176"/>
    <s v="Mexico"/>
    <s v="Location 3"/>
    <n v="415.23"/>
  </r>
  <r>
    <n v="70"/>
    <n v="30020.2"/>
    <d v="2023-08-23T00:00:00"/>
    <x v="144"/>
    <s v="Mexico"/>
    <s v="Location 3"/>
    <n v="428.86"/>
  </r>
  <r>
    <n v="70"/>
    <n v="30020.2"/>
    <d v="2023-08-23T00:00:00"/>
    <x v="144"/>
    <s v="Mexico"/>
    <s v="Location 3"/>
    <n v="428.86"/>
  </r>
  <r>
    <n v="70"/>
    <n v="29066.1"/>
    <d v="2023-08-31T00:00:00"/>
    <x v="176"/>
    <s v="Mexico"/>
    <s v="Location 3"/>
    <n v="415.23"/>
  </r>
  <r>
    <n v="70"/>
    <n v="29066.1"/>
    <d v="2023-08-31T00:00:00"/>
    <x v="176"/>
    <s v="Mexico"/>
    <s v="Location 3"/>
    <n v="415.23"/>
  </r>
  <r>
    <n v="70"/>
    <n v="29066.1"/>
    <d v="2023-08-31T00:00:00"/>
    <x v="176"/>
    <s v="Mexico"/>
    <s v="Location 3"/>
    <n v="415.23"/>
  </r>
  <r>
    <n v="70"/>
    <n v="29066.1"/>
    <d v="2023-08-31T00:00:00"/>
    <x v="176"/>
    <s v="Mexico"/>
    <s v="Location 3"/>
    <n v="415.23"/>
  </r>
  <r>
    <n v="70"/>
    <n v="30020.2"/>
    <d v="2023-08-31T00:00:00"/>
    <x v="144"/>
    <s v="Mexico"/>
    <s v="Location 3"/>
    <n v="428.86"/>
  </r>
  <r>
    <n v="70"/>
    <n v="30020.2"/>
    <d v="2023-08-31T00:00:00"/>
    <x v="144"/>
    <s v="Mexico"/>
    <s v="Location 3"/>
    <n v="428.86"/>
  </r>
  <r>
    <n v="70"/>
    <n v="30020.2"/>
    <d v="2023-08-31T00:00:00"/>
    <x v="144"/>
    <s v="Mexico"/>
    <s v="Location 3"/>
    <n v="428.86"/>
  </r>
  <r>
    <n v="70"/>
    <n v="29066.1"/>
    <d v="2023-07-25T00:00:00"/>
    <x v="176"/>
    <s v="Mexico"/>
    <s v="Location 3"/>
    <n v="415.23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8690.6"/>
    <d v="2023-07-25T00:00:00"/>
    <x v="177"/>
    <s v="Mexico"/>
    <s v="Location 3"/>
    <n v="695.58"/>
  </r>
  <r>
    <n v="70"/>
    <n v="46164.3"/>
    <d v="2023-02-21T00:00:00"/>
    <x v="177"/>
    <s v="Mexico"/>
    <s v="Location 3"/>
    <n v="659.49"/>
  </r>
  <r>
    <n v="70"/>
    <n v="46164.3"/>
    <d v="2023-02-21T00:00:00"/>
    <x v="177"/>
    <s v="Mexico"/>
    <s v="Location 3"/>
    <n v="659.49"/>
  </r>
  <r>
    <n v="70"/>
    <n v="46164.3"/>
    <d v="2023-02-21T00:00:00"/>
    <x v="177"/>
    <s v="Mexico"/>
    <s v="Location 3"/>
    <n v="659.49"/>
  </r>
  <r>
    <n v="70"/>
    <n v="46164.3"/>
    <d v="2023-02-21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09T00:00:00"/>
    <x v="177"/>
    <s v="Mexico"/>
    <s v="Location 3"/>
    <n v="659.49"/>
  </r>
  <r>
    <n v="70"/>
    <n v="46164.3"/>
    <d v="2022-06-17T00:00:00"/>
    <x v="177"/>
    <s v="Mexico"/>
    <s v="Location 3"/>
    <n v="659.49"/>
  </r>
  <r>
    <n v="70"/>
    <n v="46164.3"/>
    <d v="2023-01-03T00:00:00"/>
    <x v="177"/>
    <s v="Mexico"/>
    <s v="Location 3"/>
    <n v="659.49"/>
  </r>
  <r>
    <n v="70"/>
    <n v="46164.3"/>
    <d v="2023-01-03T00:00:00"/>
    <x v="177"/>
    <s v="Mexico"/>
    <s v="Location 3"/>
    <n v="659.49"/>
  </r>
  <r>
    <n v="70"/>
    <n v="46164.3"/>
    <d v="2023-01-03T00:00:00"/>
    <x v="177"/>
    <s v="Mexico"/>
    <s v="Location 3"/>
    <n v="659.49"/>
  </r>
  <r>
    <n v="70"/>
    <n v="46164.3"/>
    <d v="2023-01-03T00:00:00"/>
    <x v="177"/>
    <s v="Mexico"/>
    <s v="Location 3"/>
    <n v="659.49"/>
  </r>
  <r>
    <n v="70"/>
    <n v="46164.3"/>
    <d v="2022-11-08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1-10T00:00:00"/>
    <x v="177"/>
    <s v="Mexico"/>
    <s v="Location 3"/>
    <n v="659.49"/>
  </r>
  <r>
    <n v="70"/>
    <n v="46164.3"/>
    <d v="2022-12-02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7-11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2-09-02T00:00:00"/>
    <x v="177"/>
    <s v="Mexico"/>
    <s v="Location 3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3-01-06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2-06-01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14T00:00:00"/>
    <x v="177"/>
    <s v="Mexico"/>
    <s v="Location 4"/>
    <n v="659.49"/>
  </r>
  <r>
    <n v="70"/>
    <n v="46164.3"/>
    <d v="2023-01-24T00:00:00"/>
    <x v="177"/>
    <s v="Mexico"/>
    <s v="Location 4"/>
    <n v="659.49"/>
  </r>
  <r>
    <n v="70"/>
    <n v="46164.3"/>
    <d v="2023-01-24T00:00:00"/>
    <x v="177"/>
    <s v="Mexico"/>
    <s v="Location 4"/>
    <n v="659.49"/>
  </r>
  <r>
    <n v="70"/>
    <n v="46164.3"/>
    <d v="2023-01-24T00:00:00"/>
    <x v="177"/>
    <s v="Mexico"/>
    <s v="Location 4"/>
    <n v="659.49"/>
  </r>
  <r>
    <n v="70"/>
    <n v="46164.3"/>
    <d v="2023-01-24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2-06-09T00:00:00"/>
    <x v="177"/>
    <s v="Mexico"/>
    <s v="Location 4"/>
    <n v="659.49"/>
  </r>
  <r>
    <n v="70"/>
    <n v="46164.3"/>
    <d v="2023-01-30T00:00:00"/>
    <x v="177"/>
    <s v="Mexico"/>
    <s v="Location 4"/>
    <n v="659.49"/>
  </r>
  <r>
    <n v="70"/>
    <n v="46164.3"/>
    <d v="2023-01-30T00:00:00"/>
    <x v="177"/>
    <s v="Mexico"/>
    <s v="Location 4"/>
    <n v="659.49"/>
  </r>
  <r>
    <n v="70"/>
    <n v="46164.3"/>
    <d v="2023-02-02T00:00:00"/>
    <x v="177"/>
    <s v="Mexico"/>
    <s v="Location 4"/>
    <n v="659.49"/>
  </r>
  <r>
    <n v="70"/>
    <n v="46164.3"/>
    <d v="2023-02-02T00:00:00"/>
    <x v="177"/>
    <s v="Mexico"/>
    <s v="Location 4"/>
    <n v="659.49"/>
  </r>
  <r>
    <n v="70"/>
    <n v="46164.3"/>
    <d v="2023-02-13T00:00:00"/>
    <x v="177"/>
    <s v="Mexico"/>
    <s v="Location 4"/>
    <n v="659.49"/>
  </r>
  <r>
    <n v="70"/>
    <n v="46164.3"/>
    <d v="2023-02-13T00:00:00"/>
    <x v="177"/>
    <s v="Mexico"/>
    <s v="Location 4"/>
    <n v="659.49"/>
  </r>
  <r>
    <n v="70"/>
    <n v="46164.3"/>
    <d v="2023-02-13T00:00:00"/>
    <x v="177"/>
    <s v="Mexico"/>
    <s v="Location 4"/>
    <n v="659.49"/>
  </r>
  <r>
    <n v="70"/>
    <n v="46164.3"/>
    <d v="2023-02-13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11-29T00:00:00"/>
    <x v="177"/>
    <s v="Mexico"/>
    <s v="Location 4"/>
    <n v="659.49"/>
  </r>
  <r>
    <n v="70"/>
    <n v="46164.3"/>
    <d v="2022-11-29T00:00:00"/>
    <x v="177"/>
    <s v="Mexico"/>
    <s v="Location 4"/>
    <n v="659.49"/>
  </r>
  <r>
    <n v="70"/>
    <n v="46164.3"/>
    <d v="2022-12-02T00:00:00"/>
    <x v="177"/>
    <s v="Mexico"/>
    <s v="Location 4"/>
    <n v="659.49"/>
  </r>
  <r>
    <n v="70"/>
    <n v="46164.3"/>
    <d v="2022-12-19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46164.3"/>
    <d v="2022-09-02T00:00:00"/>
    <x v="177"/>
    <s v="Mexico"/>
    <s v="Location 4"/>
    <n v="659.49"/>
  </r>
  <r>
    <n v="70"/>
    <n v="26859"/>
    <d v="2023-05-31T00:00:00"/>
    <x v="148"/>
    <s v="Mexico"/>
    <s v="Location 4"/>
    <n v="383.7"/>
  </r>
  <r>
    <n v="70"/>
    <n v="26859"/>
    <d v="2023-01-14T00:00:00"/>
    <x v="148"/>
    <s v="Mexico"/>
    <s v="Location 4"/>
    <n v="383.7"/>
  </r>
  <r>
    <n v="70"/>
    <n v="29066.1"/>
    <d v="2023-01-24T00:00:00"/>
    <x v="176"/>
    <s v="Mexico"/>
    <s v="Location 4"/>
    <n v="415.23"/>
  </r>
  <r>
    <n v="70"/>
    <n v="29066.1"/>
    <d v="2023-01-24T00:00:00"/>
    <x v="176"/>
    <s v="Mexico"/>
    <s v="Location 4"/>
    <n v="415.23"/>
  </r>
  <r>
    <n v="70"/>
    <n v="29066.1"/>
    <d v="2023-01-24T00:00:00"/>
    <x v="176"/>
    <s v="Mexico"/>
    <s v="Location 4"/>
    <n v="415.23"/>
  </r>
  <r>
    <n v="70"/>
    <n v="29066.1"/>
    <d v="2023-01-24T00:00:00"/>
    <x v="176"/>
    <s v="Mexico"/>
    <s v="Location 4"/>
    <n v="415.23"/>
  </r>
  <r>
    <n v="70"/>
    <n v="29066.1"/>
    <d v="2023-01-24T00:00:00"/>
    <x v="176"/>
    <s v="Mexico"/>
    <s v="Location 4"/>
    <n v="415.23"/>
  </r>
  <r>
    <n v="70"/>
    <n v="29066.1"/>
    <d v="2023-05-03T00:00:00"/>
    <x v="176"/>
    <s v="Mexico"/>
    <s v="Location 4"/>
    <n v="415.23"/>
  </r>
  <r>
    <n v="70"/>
    <n v="29066.1"/>
    <d v="2023-05-03T00:00:00"/>
    <x v="176"/>
    <s v="Mexico"/>
    <s v="Location 4"/>
    <n v="415.23"/>
  </r>
  <r>
    <n v="70"/>
    <n v="29066.1"/>
    <d v="2023-05-03T00:00:00"/>
    <x v="176"/>
    <s v="Mexico"/>
    <s v="Location 4"/>
    <n v="415.23"/>
  </r>
  <r>
    <n v="70"/>
    <n v="30020.2"/>
    <d v="2023-05-03T00:00:00"/>
    <x v="144"/>
    <s v="Mexico"/>
    <s v="Location 4"/>
    <n v="428.86"/>
  </r>
  <r>
    <n v="70"/>
    <n v="30020.2"/>
    <d v="2023-05-03T00:00:00"/>
    <x v="144"/>
    <s v="Mexico"/>
    <s v="Location 4"/>
    <n v="428.86"/>
  </r>
  <r>
    <n v="70"/>
    <n v="26859"/>
    <d v="2023-05-03T00:00:00"/>
    <x v="148"/>
    <s v="Mexico"/>
    <s v="Location 4"/>
    <n v="383.7"/>
  </r>
  <r>
    <n v="70"/>
    <n v="26859"/>
    <d v="2023-06-09T00:00:00"/>
    <x v="148"/>
    <s v="Mexico"/>
    <s v="Location 4"/>
    <n v="383.7"/>
  </r>
  <r>
    <n v="70"/>
    <n v="30020.2"/>
    <d v="2023-02-13T00:00:00"/>
    <x v="144"/>
    <s v="Mexico"/>
    <s v="Location 4"/>
    <n v="428.86"/>
  </r>
  <r>
    <n v="70"/>
    <n v="48690.6"/>
    <d v="2023-02-21T00:00:00"/>
    <x v="177"/>
    <s v="Mexico"/>
    <s v="Location 4"/>
    <n v="695.58"/>
  </r>
  <r>
    <n v="70"/>
    <n v="48690.6"/>
    <d v="2023-02-21T00:00:00"/>
    <x v="177"/>
    <s v="Mexico"/>
    <s v="Location 4"/>
    <n v="695.58"/>
  </r>
  <r>
    <n v="70"/>
    <n v="48690.6"/>
    <d v="2023-02-21T00:00:00"/>
    <x v="177"/>
    <s v="Mexico"/>
    <s v="Location 4"/>
    <n v="695.58"/>
  </r>
  <r>
    <n v="70"/>
    <n v="30020.2"/>
    <d v="2023-05-15T00:00:00"/>
    <x v="144"/>
    <s v="Mexico"/>
    <s v="Location 4"/>
    <n v="428.86"/>
  </r>
  <r>
    <n v="70"/>
    <n v="30020.2"/>
    <d v="2023-04-25T00:00:00"/>
    <x v="144"/>
    <s v="Mexico"/>
    <s v="Location 4"/>
    <n v="428.86"/>
  </r>
  <r>
    <n v="70"/>
    <n v="30020.2"/>
    <d v="2023-04-25T00:00:00"/>
    <x v="144"/>
    <s v="Mexico"/>
    <s v="Location 4"/>
    <n v="428.86"/>
  </r>
  <r>
    <n v="70"/>
    <n v="30020.2"/>
    <d v="2023-04-25T00:00:00"/>
    <x v="144"/>
    <s v="Mexico"/>
    <s v="Location 4"/>
    <n v="428.86"/>
  </r>
  <r>
    <n v="70"/>
    <n v="30020.2"/>
    <d v="2023-04-25T00:00:00"/>
    <x v="144"/>
    <s v="Mexico"/>
    <s v="Location 4"/>
    <n v="428.86"/>
  </r>
  <r>
    <n v="70"/>
    <n v="26859"/>
    <d v="2023-08-16T00:00:00"/>
    <x v="148"/>
    <s v="Mexico"/>
    <s v="Location 4"/>
    <n v="383.7"/>
  </r>
  <r>
    <n v="70"/>
    <n v="26859"/>
    <d v="2023-08-16T00:00:00"/>
    <x v="148"/>
    <s v="Mexico"/>
    <s v="Location 4"/>
    <n v="383.7"/>
  </r>
  <r>
    <n v="70"/>
    <n v="26859"/>
    <d v="2023-08-17T00:00:00"/>
    <x v="148"/>
    <s v="Mexico"/>
    <s v="Location 4"/>
    <n v="383.7"/>
  </r>
  <r>
    <n v="70"/>
    <n v="26859"/>
    <d v="2023-08-17T00:00:00"/>
    <x v="148"/>
    <s v="Mexico"/>
    <s v="Location 4"/>
    <n v="383.7"/>
  </r>
  <r>
    <n v="70"/>
    <n v="27421.1"/>
    <d v="2022-12-12T00:00:00"/>
    <x v="176"/>
    <s v="Mexico"/>
    <s v="Location 4"/>
    <n v="391.73"/>
  </r>
  <r>
    <n v="70"/>
    <n v="27421.1"/>
    <d v="2022-12-12T00:00:00"/>
    <x v="176"/>
    <s v="Mexico"/>
    <s v="Location 4"/>
    <n v="391.73"/>
  </r>
  <r>
    <n v="70"/>
    <n v="28462"/>
    <d v="2022-10-20T00:00:00"/>
    <x v="144"/>
    <s v="Mexico"/>
    <s v="Location 4"/>
    <n v="406.6"/>
  </r>
  <r>
    <n v="70"/>
    <n v="28462"/>
    <d v="2022-10-20T00:00:00"/>
    <x v="144"/>
    <s v="Mexico"/>
    <s v="Location 4"/>
    <n v="406.6"/>
  </r>
  <r>
    <n v="70"/>
    <n v="28462"/>
    <d v="2022-12-19T00:00:00"/>
    <x v="144"/>
    <s v="Mexico"/>
    <s v="Location 4"/>
    <n v="406.6"/>
  </r>
  <r>
    <n v="70"/>
    <n v="28462"/>
    <d v="2022-10-20T00:00:00"/>
    <x v="144"/>
    <s v="Mexico"/>
    <s v="Location 4"/>
    <n v="406.6"/>
  </r>
  <r>
    <n v="70"/>
    <n v="28462"/>
    <d v="2022-10-20T00:00:00"/>
    <x v="144"/>
    <s v="Mexico"/>
    <s v="Location 4"/>
    <n v="406.6"/>
  </r>
  <r>
    <n v="70"/>
    <n v="28462"/>
    <d v="2022-10-20T00:00:00"/>
    <x v="144"/>
    <s v="Mexico"/>
    <s v="Location 4"/>
    <n v="406.6"/>
  </r>
  <r>
    <n v="70"/>
    <n v="28462"/>
    <d v="2022-12-19T00:00:00"/>
    <x v="144"/>
    <s v="Mexico"/>
    <s v="Location 4"/>
    <n v="406.6"/>
  </r>
  <r>
    <n v="70"/>
    <n v="29066.1"/>
    <d v="2023-07-25T00:00:00"/>
    <x v="176"/>
    <s v="Mexico"/>
    <s v="Location 4"/>
    <n v="415.23"/>
  </r>
  <r>
    <n v="70"/>
    <n v="29066.1"/>
    <d v="2023-07-25T00:00:00"/>
    <x v="176"/>
    <s v="Mexico"/>
    <s v="Location 4"/>
    <n v="415.23"/>
  </r>
  <r>
    <n v="70"/>
    <n v="29066.1"/>
    <d v="2023-07-25T00:00:00"/>
    <x v="176"/>
    <s v="Mexico"/>
    <s v="Location 4"/>
    <n v="415.23"/>
  </r>
  <r>
    <n v="70"/>
    <n v="26859"/>
    <d v="2023-07-25T00:00:00"/>
    <x v="148"/>
    <s v="Mexico"/>
    <s v="Location 4"/>
    <n v="383.7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864.800000000003"/>
    <d v="2022-04-27T00:00:00"/>
    <x v="145"/>
    <s v="Mexico"/>
    <s v="Location 4"/>
    <n v="440.54"/>
  </r>
  <r>
    <n v="120"/>
    <n v="52674"/>
    <d v="2023-03-15T00:00:00"/>
    <x v="145"/>
    <s v="Mexico"/>
    <s v="Location 4"/>
    <n v="438.95"/>
  </r>
  <r>
    <n v="120"/>
    <n v="55755.6"/>
    <d v="2023-05-03T00:00:00"/>
    <x v="145"/>
    <s v="Mexico"/>
    <s v="Location 4"/>
    <n v="464.63"/>
  </r>
  <r>
    <n v="120"/>
    <n v="55755.6"/>
    <d v="2023-01-26T00:00:00"/>
    <x v="145"/>
    <s v="Mexico"/>
    <s v="Location 4"/>
    <n v="464.63"/>
  </r>
  <r>
    <n v="120"/>
    <n v="55755.6"/>
    <d v="2023-01-26T00:00:00"/>
    <x v="145"/>
    <s v="Mexico"/>
    <s v="Location 4"/>
    <n v="464.63"/>
  </r>
  <r>
    <n v="120"/>
    <n v="52864.800000000003"/>
    <d v="2022-04-13T00:00:00"/>
    <x v="145"/>
    <s v="Mexico"/>
    <s v="Location 4"/>
    <n v="440.54"/>
  </r>
  <r>
    <n v="120"/>
    <n v="52864.800000000003"/>
    <d v="2022-04-13T00:00:00"/>
    <x v="145"/>
    <s v="Mexico"/>
    <s v="Location 4"/>
    <n v="440.54"/>
  </r>
  <r>
    <n v="120"/>
    <n v="52864.800000000003"/>
    <d v="2022-04-13T00:00:00"/>
    <x v="145"/>
    <s v="Mexico"/>
    <s v="Location 4"/>
    <n v="440.54"/>
  </r>
  <r>
    <n v="120"/>
    <n v="52864.800000000003"/>
    <d v="2022-04-13T00:00:00"/>
    <x v="145"/>
    <s v="Mexico"/>
    <s v="Location 4"/>
    <n v="440.54"/>
  </r>
  <r>
    <n v="120"/>
    <n v="52864.800000000003"/>
    <d v="2022-05-09T00:00:00"/>
    <x v="145"/>
    <s v="Mexico"/>
    <s v="Location 4"/>
    <n v="440.54"/>
  </r>
  <r>
    <n v="120"/>
    <n v="52864.800000000003"/>
    <d v="2022-05-09T00:00:00"/>
    <x v="145"/>
    <s v="Mexico"/>
    <s v="Location 4"/>
    <n v="440.54"/>
  </r>
  <r>
    <n v="120"/>
    <n v="52864.800000000003"/>
    <d v="2022-05-09T00:00:00"/>
    <x v="145"/>
    <s v="Mexico"/>
    <s v="Location 4"/>
    <n v="440.54"/>
  </r>
  <r>
    <n v="120"/>
    <n v="55755.6"/>
    <d v="2023-01-30T00:00:00"/>
    <x v="145"/>
    <s v="Mexico"/>
    <s v="Location 4"/>
    <n v="464.63"/>
  </r>
  <r>
    <n v="120"/>
    <n v="55755.6"/>
    <d v="2023-01-30T00:00:00"/>
    <x v="145"/>
    <s v="Mexico"/>
    <s v="Location 4"/>
    <n v="464.63"/>
  </r>
  <r>
    <n v="120"/>
    <n v="54085.2"/>
    <d v="2023-05-15T00:00:00"/>
    <x v="141"/>
    <s v="Mexico"/>
    <s v="Location 4"/>
    <n v="450.71"/>
  </r>
  <r>
    <n v="120"/>
    <n v="52674"/>
    <d v="2023-05-15T00:00:00"/>
    <x v="145"/>
    <s v="Mexico"/>
    <s v="Location 4"/>
    <n v="438.95"/>
  </r>
  <r>
    <n v="120"/>
    <n v="52674"/>
    <d v="2023-05-15T00:00:00"/>
    <x v="145"/>
    <s v="Mexico"/>
    <s v="Location 4"/>
    <n v="438.95"/>
  </r>
  <r>
    <n v="120"/>
    <n v="52674"/>
    <d v="2023-05-15T00:00:00"/>
    <x v="145"/>
    <s v="Mexico"/>
    <s v="Location 4"/>
    <n v="438.95"/>
  </r>
  <r>
    <n v="120"/>
    <n v="52674"/>
    <d v="2023-05-15T00:00:00"/>
    <x v="145"/>
    <s v="Mexico"/>
    <s v="Location 4"/>
    <n v="438.95"/>
  </r>
  <r>
    <n v="120"/>
    <n v="52674"/>
    <d v="2023-05-15T00:00:00"/>
    <x v="145"/>
    <s v="Mexico"/>
    <s v="Location 4"/>
    <n v="438.95"/>
  </r>
  <r>
    <n v="120"/>
    <n v="52864.800000000003"/>
    <d v="2023-02-21T00:00:00"/>
    <x v="145"/>
    <s v="Mexico"/>
    <s v="Location 4"/>
    <n v="440.54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2674"/>
    <d v="2023-04-25T00:00:00"/>
    <x v="145"/>
    <s v="Mexico"/>
    <s v="Location 4"/>
    <n v="438.95"/>
  </r>
  <r>
    <n v="120"/>
    <n v="51024"/>
    <d v="2023-01-03T00:00:00"/>
    <x v="141"/>
    <s v="Mexico"/>
    <s v="Location 4"/>
    <n v="425.2"/>
  </r>
  <r>
    <n v="120"/>
    <n v="54085.2"/>
    <d v="2023-07-28T00:00:00"/>
    <x v="141"/>
    <s v="Mexico"/>
    <s v="Location 4"/>
    <n v="450.71"/>
  </r>
  <r>
    <n v="120"/>
    <n v="52864.800000000003"/>
    <d v="2022-07-11T00:00:00"/>
    <x v="145"/>
    <s v="Mexico"/>
    <s v="Location 4"/>
    <n v="440.54"/>
  </r>
  <r>
    <n v="120"/>
    <n v="54085.2"/>
    <d v="2023-07-14T00:00:00"/>
    <x v="141"/>
    <s v="Mexico"/>
    <s v="Location 4"/>
    <n v="450.71"/>
  </r>
  <r>
    <n v="120"/>
    <n v="52674"/>
    <d v="2023-07-25T00:00:00"/>
    <x v="145"/>
    <s v="Mexico"/>
    <s v="Location 4"/>
    <n v="438.95"/>
  </r>
  <r>
    <n v="120"/>
    <n v="52674"/>
    <d v="2023-07-25T00:00:00"/>
    <x v="145"/>
    <s v="Mexico"/>
    <s v="Location 4"/>
    <n v="438.95"/>
  </r>
  <r>
    <n v="120"/>
    <n v="52674"/>
    <d v="2023-07-25T00:00:00"/>
    <x v="145"/>
    <s v="Mexico"/>
    <s v="Location 4"/>
    <n v="438.95"/>
  </r>
  <r>
    <n v="120"/>
    <n v="52674"/>
    <d v="2023-07-25T00:00:00"/>
    <x v="145"/>
    <s v="Mexico"/>
    <s v="Location 4"/>
    <n v="438.95"/>
  </r>
  <r>
    <n v="120"/>
    <n v="52674"/>
    <d v="2023-07-25T00:00:00"/>
    <x v="145"/>
    <s v="Mexico"/>
    <s v="Location 4"/>
    <n v="438.95"/>
  </r>
  <r>
    <n v="120"/>
    <n v="52864.800000000003"/>
    <d v="2022-09-02T00:00:00"/>
    <x v="145"/>
    <s v="Mexico"/>
    <s v="Location 4"/>
    <n v="440.54"/>
  </r>
  <r>
    <n v="120"/>
    <n v="52864.800000000003"/>
    <d v="2022-09-02T00:00:00"/>
    <x v="145"/>
    <s v="Mexico"/>
    <s v="Location 4"/>
    <n v="440.54"/>
  </r>
  <r>
    <n v="120"/>
    <n v="52864.800000000003"/>
    <d v="2022-09-02T00:00:00"/>
    <x v="145"/>
    <s v="Mexico"/>
    <s v="Location 4"/>
    <n v="440.54"/>
  </r>
  <r>
    <n v="120"/>
    <n v="52864.800000000003"/>
    <d v="2022-09-02T00:00:00"/>
    <x v="145"/>
    <s v="Mexico"/>
    <s v="Location 4"/>
    <n v="440.54"/>
  </r>
  <r>
    <n v="120"/>
    <n v="52864.800000000003"/>
    <d v="2022-09-02T00:00:00"/>
    <x v="145"/>
    <s v="Mexico"/>
    <s v="Location 4"/>
    <n v="440.54"/>
  </r>
  <r>
    <n v="120"/>
    <n v="52864.800000000003"/>
    <d v="2022-09-02T00:00:00"/>
    <x v="145"/>
    <s v="Mexico"/>
    <s v="Location 4"/>
    <n v="440.54"/>
  </r>
  <r>
    <n v="432"/>
    <n v="42577.919999999998"/>
    <d v="2023-05-26T00:00:00"/>
    <x v="158"/>
    <s v="Mexico"/>
    <s v="Location 4"/>
    <n v="98.56"/>
  </r>
  <r>
    <n v="216"/>
    <n v="21288.959999999999"/>
    <d v="2023-05-26T00:00:00"/>
    <x v="158"/>
    <s v="Mexico"/>
    <s v="Location 4"/>
    <n v="98.56"/>
  </r>
  <r>
    <n v="144"/>
    <n v="29975.040000000001"/>
    <d v="2023-05-26T00:00:00"/>
    <x v="146"/>
    <s v="Mexico"/>
    <s v="Location 4"/>
    <n v="208.16"/>
  </r>
  <r>
    <n v="15"/>
    <n v="12860.55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15"/>
    <n v="12860.55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60"/>
    <n v="51442.2"/>
    <d v="2023-05-26T00:00:00"/>
    <x v="140"/>
    <s v="Mexico"/>
    <s v="Location 4"/>
    <n v="857.37"/>
  </r>
  <r>
    <n v="30"/>
    <n v="13216.2"/>
    <d v="2022-04-27T00:00:00"/>
    <x v="145"/>
    <s v="Mexico"/>
    <s v="Location 4"/>
    <n v="440.54"/>
  </r>
  <r>
    <n v="90"/>
    <n v="39648.6"/>
    <d v="2022-04-27T00:00:00"/>
    <x v="145"/>
    <s v="Mexico"/>
    <s v="Location 4"/>
    <n v="440.54"/>
  </r>
  <r>
    <n v="30"/>
    <n v="13216.2"/>
    <d v="2022-04-27T00:00:00"/>
    <x v="145"/>
    <s v="Mexico"/>
    <s v="Location 4"/>
    <n v="440.54"/>
  </r>
  <r>
    <n v="90"/>
    <n v="39648.6"/>
    <d v="2022-04-27T00:00:00"/>
    <x v="145"/>
    <s v="Mexico"/>
    <s v="Location 4"/>
    <n v="440.54"/>
  </r>
  <r>
    <n v="324"/>
    <n v="34962.839999999997"/>
    <d v="2023-05-31T00:00:00"/>
    <x v="149"/>
    <s v="Mexico"/>
    <s v="Location 4"/>
    <n v="107.91"/>
  </r>
  <r>
    <n v="432"/>
    <n v="46617.120000000003"/>
    <d v="2023-05-31T00:00:00"/>
    <x v="149"/>
    <s v="Mexico"/>
    <s v="Location 4"/>
    <n v="107.91"/>
  </r>
  <r>
    <n v="216"/>
    <n v="23308.560000000001"/>
    <d v="2023-05-31T00:00:00"/>
    <x v="149"/>
    <s v="Mexico"/>
    <s v="Location 4"/>
    <n v="107.91"/>
  </r>
  <r>
    <n v="432"/>
    <n v="46617.120000000003"/>
    <d v="2023-05-31T00:00:00"/>
    <x v="149"/>
    <s v="Mexico"/>
    <s v="Location 4"/>
    <n v="107.91"/>
  </r>
  <r>
    <n v="140"/>
    <n v="53718"/>
    <d v="2023-05-31T00:00:00"/>
    <x v="148"/>
    <s v="Mexico"/>
    <s v="Location 4"/>
    <n v="383.7"/>
  </r>
  <r>
    <n v="140"/>
    <n v="53718"/>
    <d v="2023-05-31T00:00:00"/>
    <x v="148"/>
    <s v="Mexico"/>
    <s v="Location 4"/>
    <n v="383.7"/>
  </r>
  <r>
    <n v="140"/>
    <n v="53718"/>
    <d v="2023-05-31T00:00:00"/>
    <x v="148"/>
    <s v="Mexico"/>
    <s v="Location 4"/>
    <n v="383.7"/>
  </r>
  <r>
    <n v="30"/>
    <n v="25721.1"/>
    <d v="2023-05-31T00:00:00"/>
    <x v="140"/>
    <s v="Mexico"/>
    <s v="Location 4"/>
    <n v="857.37"/>
  </r>
  <r>
    <n v="60"/>
    <n v="51442.2"/>
    <d v="2023-05-31T00:00:00"/>
    <x v="140"/>
    <s v="Mexico"/>
    <s v="Location 4"/>
    <n v="857.37"/>
  </r>
  <r>
    <n v="60"/>
    <n v="51442.2"/>
    <d v="2023-05-31T00:00:00"/>
    <x v="140"/>
    <s v="Mexico"/>
    <s v="Location 4"/>
    <n v="857.37"/>
  </r>
  <r>
    <n v="60"/>
    <n v="51442.2"/>
    <d v="2023-05-31T00:00:00"/>
    <x v="140"/>
    <s v="Mexico"/>
    <s v="Location 4"/>
    <n v="857.37"/>
  </r>
  <r>
    <n v="60"/>
    <n v="51442.2"/>
    <d v="2023-05-31T00:00:00"/>
    <x v="140"/>
    <s v="Mexico"/>
    <s v="Location 4"/>
    <n v="857.37"/>
  </r>
  <r>
    <n v="60"/>
    <n v="51442.2"/>
    <d v="2023-05-31T00:00:00"/>
    <x v="140"/>
    <s v="Mexico"/>
    <s v="Location 4"/>
    <n v="857.37"/>
  </r>
  <r>
    <n v="30"/>
    <n v="13216.2"/>
    <d v="2023-01-06T00:00:00"/>
    <x v="145"/>
    <s v="Mexico"/>
    <s v="Location 4"/>
    <n v="440.54"/>
  </r>
  <r>
    <n v="30"/>
    <n v="13216.2"/>
    <d v="2022-06-01T00:00:00"/>
    <x v="145"/>
    <s v="Mexico"/>
    <s v="Location 4"/>
    <n v="440.54"/>
  </r>
  <r>
    <n v="1820"/>
    <n v="4313.3999999999996"/>
    <d v="2022-06-01T00:00:00"/>
    <x v="161"/>
    <s v="Mexico"/>
    <s v="Location 4"/>
    <n v="2.37"/>
  </r>
  <r>
    <n v="1820"/>
    <n v="4313.3999999999996"/>
    <d v="2022-06-01T00:00:00"/>
    <x v="161"/>
    <s v="Mexico"/>
    <s v="Location 4"/>
    <n v="2.37"/>
  </r>
  <r>
    <n v="1820"/>
    <n v="4313.3999999999996"/>
    <d v="2022-06-01T00:00:00"/>
    <x v="161"/>
    <s v="Mexico"/>
    <s v="Location 4"/>
    <n v="2.37"/>
  </r>
  <r>
    <n v="324"/>
    <n v="37004.04"/>
    <d v="2023-01-14T00:00:00"/>
    <x v="149"/>
    <s v="Mexico"/>
    <s v="Location 4"/>
    <n v="114.21"/>
  </r>
  <r>
    <n v="16"/>
    <n v="40360.800000000003"/>
    <d v="2023-01-14T00:00:00"/>
    <x v="174"/>
    <s v="Mexico"/>
    <s v="Location 4"/>
    <n v="2522.5500000000002"/>
  </r>
  <r>
    <n v="140"/>
    <n v="60040.4"/>
    <d v="2023-01-14T00:00:00"/>
    <x v="144"/>
    <s v="Mexico"/>
    <s v="Location 4"/>
    <n v="428.86"/>
  </r>
  <r>
    <n v="140"/>
    <n v="58132.2"/>
    <d v="2023-02-28T00:00:00"/>
    <x v="176"/>
    <s v="Mexico"/>
    <s v="Location 4"/>
    <n v="415.23"/>
  </r>
  <r>
    <n v="140"/>
    <n v="58132.2"/>
    <d v="2023-02-28T00:00:00"/>
    <x v="176"/>
    <s v="Mexico"/>
    <s v="Location 4"/>
    <n v="415.23"/>
  </r>
  <r>
    <n v="432"/>
    <n v="46617.120000000003"/>
    <d v="2023-06-05T00:00:00"/>
    <x v="149"/>
    <s v="Mexico"/>
    <s v="Location 4"/>
    <n v="107.91"/>
  </r>
  <r>
    <n v="60"/>
    <n v="26337"/>
    <d v="2023-06-05T00:00:00"/>
    <x v="145"/>
    <s v="Mexico"/>
    <s v="Location 4"/>
    <n v="438.95"/>
  </r>
  <r>
    <n v="1500"/>
    <n v="1830"/>
    <d v="2023-06-05T00:00:00"/>
    <x v="172"/>
    <s v="Mexico"/>
    <s v="Location 4"/>
    <n v="1.22"/>
  </r>
  <r>
    <n v="1500"/>
    <n v="1830"/>
    <d v="2023-06-05T00:00:00"/>
    <x v="172"/>
    <s v="Mexico"/>
    <s v="Location 4"/>
    <n v="1.22"/>
  </r>
  <r>
    <n v="420"/>
    <n v="318922.8"/>
    <d v="2023-06-05T00:00:00"/>
    <x v="154"/>
    <s v="Mexico"/>
    <s v="Location 4"/>
    <n v="759.34"/>
  </r>
  <r>
    <n v="30"/>
    <n v="13168.5"/>
    <d v="2023-03-15T00:00:00"/>
    <x v="145"/>
    <s v="Mexico"/>
    <s v="Location 4"/>
    <n v="438.95"/>
  </r>
  <r>
    <n v="90"/>
    <n v="39505.5"/>
    <d v="2023-03-15T00:00:00"/>
    <x v="145"/>
    <s v="Mexico"/>
    <s v="Location 4"/>
    <n v="438.95"/>
  </r>
  <r>
    <n v="140"/>
    <n v="53718"/>
    <d v="2023-03-15T00:00:00"/>
    <x v="148"/>
    <s v="Mexico"/>
    <s v="Location 4"/>
    <n v="383.7"/>
  </r>
  <r>
    <n v="216"/>
    <n v="24669.360000000001"/>
    <d v="2023-01-24T00:00:00"/>
    <x v="149"/>
    <s v="Mexico"/>
    <s v="Location 4"/>
    <n v="114.21"/>
  </r>
  <r>
    <n v="324"/>
    <n v="34962.839999999997"/>
    <d v="2023-05-03T00:00:00"/>
    <x v="149"/>
    <s v="Mexico"/>
    <s v="Location 4"/>
    <n v="107.91"/>
  </r>
  <r>
    <n v="432"/>
    <n v="46617.120000000003"/>
    <d v="2023-05-03T00:00:00"/>
    <x v="149"/>
    <s v="Mexico"/>
    <s v="Location 4"/>
    <n v="107.91"/>
  </r>
  <r>
    <n v="252"/>
    <n v="21606.48"/>
    <d v="2023-05-03T00:00:00"/>
    <x v="163"/>
    <s v="Mexico"/>
    <s v="Location 4"/>
    <n v="85.74"/>
  </r>
  <r>
    <n v="252"/>
    <n v="21606.48"/>
    <d v="2023-05-03T00:00:00"/>
    <x v="163"/>
    <s v="Mexico"/>
    <s v="Location 4"/>
    <n v="85.74"/>
  </r>
  <r>
    <n v="588"/>
    <n v="62210.400000000001"/>
    <d v="2023-05-03T00:00:00"/>
    <x v="156"/>
    <s v="Mexico"/>
    <s v="Location 4"/>
    <n v="105.8"/>
  </r>
  <r>
    <n v="588"/>
    <n v="62210.400000000001"/>
    <d v="2023-05-03T00:00:00"/>
    <x v="156"/>
    <s v="Mexico"/>
    <s v="Location 4"/>
    <n v="105.8"/>
  </r>
  <r>
    <n v="140"/>
    <n v="58132.2"/>
    <d v="2023-05-03T00:00:00"/>
    <x v="176"/>
    <s v="Mexico"/>
    <s v="Location 4"/>
    <n v="415.23"/>
  </r>
  <r>
    <n v="140"/>
    <n v="58132.2"/>
    <d v="2023-05-03T00:00:00"/>
    <x v="176"/>
    <s v="Mexico"/>
    <s v="Location 4"/>
    <n v="415.23"/>
  </r>
  <r>
    <n v="140"/>
    <n v="58132.2"/>
    <d v="2023-05-03T00:00:00"/>
    <x v="176"/>
    <s v="Mexico"/>
    <s v="Location 4"/>
    <n v="415.23"/>
  </r>
  <r>
    <n v="140"/>
    <n v="58132.2"/>
    <d v="2023-05-03T00:00:00"/>
    <x v="176"/>
    <s v="Mexico"/>
    <s v="Location 4"/>
    <n v="415.23"/>
  </r>
  <r>
    <n v="140"/>
    <n v="58132.2"/>
    <d v="2023-05-03T00:00:00"/>
    <x v="176"/>
    <s v="Mexico"/>
    <s v="Location 4"/>
    <n v="415.23"/>
  </r>
  <r>
    <n v="140"/>
    <n v="58132.2"/>
    <d v="2023-01-24T00:00:00"/>
    <x v="176"/>
    <s v="Mexico"/>
    <s v="Location 4"/>
    <n v="415.23"/>
  </r>
  <r>
    <n v="90"/>
    <n v="41816.699999999997"/>
    <d v="2023-01-26T00:00:00"/>
    <x v="145"/>
    <s v="Mexico"/>
    <s v="Location 4"/>
    <n v="464.63"/>
  </r>
  <r>
    <n v="140"/>
    <n v="58132.2"/>
    <d v="2023-01-26T00:00:00"/>
    <x v="176"/>
    <s v="Mexico"/>
    <s v="Location 4"/>
    <n v="415.23"/>
  </r>
  <r>
    <n v="140"/>
    <n v="58132.2"/>
    <d v="2023-01-26T00:00:00"/>
    <x v="176"/>
    <s v="Mexico"/>
    <s v="Location 4"/>
    <n v="415.23"/>
  </r>
  <r>
    <n v="140"/>
    <n v="58132.2"/>
    <d v="2023-05-03T00:00:00"/>
    <x v="176"/>
    <s v="Mexico"/>
    <s v="Location 4"/>
    <n v="415.23"/>
  </r>
  <r>
    <n v="140"/>
    <n v="58132.2"/>
    <d v="2023-05-03T00:00:00"/>
    <x v="176"/>
    <s v="Mexico"/>
    <s v="Location 4"/>
    <n v="415.23"/>
  </r>
  <r>
    <n v="1500"/>
    <n v="1830"/>
    <d v="2023-05-03T00:00:00"/>
    <x v="172"/>
    <s v="Mexico"/>
    <s v="Location 4"/>
    <n v="1.22"/>
  </r>
  <r>
    <n v="156"/>
    <n v="15375.36"/>
    <d v="2023-05-03T00:00:00"/>
    <x v="158"/>
    <s v="Mexico"/>
    <s v="Location 4"/>
    <n v="98.56"/>
  </r>
  <r>
    <n v="144"/>
    <n v="14192.64"/>
    <d v="2023-05-03T00:00:00"/>
    <x v="158"/>
    <s v="Mexico"/>
    <s v="Location 4"/>
    <n v="98.56"/>
  </r>
  <r>
    <n v="156"/>
    <n v="15375.36"/>
    <d v="2023-05-03T00:00:00"/>
    <x v="158"/>
    <s v="Mexico"/>
    <s v="Location 4"/>
    <n v="98.56"/>
  </r>
  <r>
    <n v="156"/>
    <n v="15375.36"/>
    <d v="2023-05-03T00:00:00"/>
    <x v="158"/>
    <s v="Mexico"/>
    <s v="Location 4"/>
    <n v="98.56"/>
  </r>
  <r>
    <n v="156"/>
    <n v="15375.36"/>
    <d v="2023-05-03T00:00:00"/>
    <x v="158"/>
    <s v="Mexico"/>
    <s v="Location 4"/>
    <n v="98.56"/>
  </r>
  <r>
    <n v="216"/>
    <n v="21288.959999999999"/>
    <d v="2023-05-03T00:00:00"/>
    <x v="158"/>
    <s v="Mexico"/>
    <s v="Location 4"/>
    <n v="98.56"/>
  </r>
  <r>
    <n v="216"/>
    <n v="21288.959999999999"/>
    <d v="2023-05-03T00:00:00"/>
    <x v="158"/>
    <s v="Mexico"/>
    <s v="Location 4"/>
    <n v="98.56"/>
  </r>
  <r>
    <n v="156"/>
    <n v="15375.36"/>
    <d v="2023-05-03T00:00:00"/>
    <x v="158"/>
    <s v="Mexico"/>
    <s v="Location 4"/>
    <n v="98.56"/>
  </r>
  <r>
    <n v="1820"/>
    <n v="4313.3999999999996"/>
    <d v="2022-06-09T00:00:00"/>
    <x v="161"/>
    <s v="Mexico"/>
    <s v="Location 4"/>
    <n v="2.37"/>
  </r>
  <r>
    <n v="1820"/>
    <n v="4313.3999999999996"/>
    <d v="2022-06-09T00:00:00"/>
    <x v="161"/>
    <s v="Mexico"/>
    <s v="Location 4"/>
    <n v="2.37"/>
  </r>
  <r>
    <n v="60"/>
    <n v="26432.400000000001"/>
    <d v="2022-04-13T00:00:00"/>
    <x v="145"/>
    <s v="Mexico"/>
    <s v="Location 4"/>
    <n v="440.54"/>
  </r>
  <r>
    <n v="90"/>
    <n v="39648.6"/>
    <d v="2022-04-13T00:00:00"/>
    <x v="145"/>
    <s v="Mexico"/>
    <s v="Location 4"/>
    <n v="440.54"/>
  </r>
  <r>
    <n v="60"/>
    <n v="26432.400000000001"/>
    <d v="2022-04-13T00:00:00"/>
    <x v="145"/>
    <s v="Mexico"/>
    <s v="Location 4"/>
    <n v="440.54"/>
  </r>
  <r>
    <n v="30"/>
    <n v="13216.2"/>
    <d v="2022-04-13T00:00:00"/>
    <x v="145"/>
    <s v="Mexico"/>
    <s v="Location 4"/>
    <n v="440.54"/>
  </r>
  <r>
    <n v="30"/>
    <n v="13216.2"/>
    <d v="2022-04-13T00:00:00"/>
    <x v="145"/>
    <s v="Mexico"/>
    <s v="Location 4"/>
    <n v="440.54"/>
  </r>
  <r>
    <n v="60"/>
    <n v="26432.400000000001"/>
    <d v="2022-04-13T00:00:00"/>
    <x v="145"/>
    <s v="Mexico"/>
    <s v="Location 4"/>
    <n v="440.54"/>
  </r>
  <r>
    <n v="30"/>
    <n v="13216.2"/>
    <d v="2022-04-13T00:00:00"/>
    <x v="145"/>
    <s v="Mexico"/>
    <s v="Location 4"/>
    <n v="440.54"/>
  </r>
  <r>
    <n v="588"/>
    <n v="58982.28"/>
    <d v="2022-04-13T00:00:00"/>
    <x v="156"/>
    <s v="Mexico"/>
    <s v="Location 4"/>
    <n v="100.31"/>
  </r>
  <r>
    <n v="32"/>
    <n v="18030.72"/>
    <d v="2022-05-09T00:00:00"/>
    <x v="178"/>
    <s v="Mexico"/>
    <s v="Location 4"/>
    <n v="563.46"/>
  </r>
  <r>
    <n v="140"/>
    <n v="60040.4"/>
    <d v="2023-06-09T00:00:00"/>
    <x v="144"/>
    <s v="Mexico"/>
    <s v="Location 4"/>
    <n v="428.86"/>
  </r>
  <r>
    <n v="108"/>
    <n v="11654.28"/>
    <d v="2023-06-20T00:00:00"/>
    <x v="149"/>
    <s v="Mexico"/>
    <s v="Location 4"/>
    <n v="107.91"/>
  </r>
  <r>
    <n v="432"/>
    <n v="46617.120000000003"/>
    <d v="2023-06-20T00:00:00"/>
    <x v="149"/>
    <s v="Mexico"/>
    <s v="Location 4"/>
    <n v="107.91"/>
  </r>
  <r>
    <n v="240"/>
    <n v="108170.4"/>
    <d v="2023-06-20T00:00:00"/>
    <x v="141"/>
    <s v="Mexico"/>
    <s v="Location 4"/>
    <n v="450.71"/>
  </r>
  <r>
    <n v="240"/>
    <n v="108170.4"/>
    <d v="2023-06-20T00:00:00"/>
    <x v="141"/>
    <s v="Mexico"/>
    <s v="Location 4"/>
    <n v="450.71"/>
  </r>
  <r>
    <n v="3000"/>
    <n v="3660"/>
    <d v="2023-06-20T00:00:00"/>
    <x v="172"/>
    <s v="Mexico"/>
    <s v="Location 4"/>
    <n v="1.22"/>
  </r>
  <r>
    <n v="15"/>
    <n v="12860.55"/>
    <d v="2023-06-20T00:00:00"/>
    <x v="140"/>
    <s v="Mexico"/>
    <s v="Location 4"/>
    <n v="857.37"/>
  </r>
  <r>
    <n v="60"/>
    <n v="51442.2"/>
    <d v="2023-06-20T00:00:00"/>
    <x v="140"/>
    <s v="Mexico"/>
    <s v="Location 4"/>
    <n v="857.37"/>
  </r>
  <r>
    <n v="60"/>
    <n v="51442.2"/>
    <d v="2023-06-20T00:00:00"/>
    <x v="140"/>
    <s v="Mexico"/>
    <s v="Location 4"/>
    <n v="857.37"/>
  </r>
  <r>
    <n v="60"/>
    <n v="51442.2"/>
    <d v="2023-06-20T00:00:00"/>
    <x v="140"/>
    <s v="Mexico"/>
    <s v="Location 4"/>
    <n v="857.37"/>
  </r>
  <r>
    <n v="420"/>
    <n v="6610.8"/>
    <d v="2023-04-14T00:00:00"/>
    <x v="155"/>
    <s v="Mexico"/>
    <s v="Location 4"/>
    <n v="15.74"/>
  </r>
  <r>
    <n v="32"/>
    <n v="27878.080000000002"/>
    <d v="2023-04-14T00:00:00"/>
    <x v="157"/>
    <s v="Mexico"/>
    <s v="Location 4"/>
    <n v="871.19"/>
  </r>
  <r>
    <n v="108"/>
    <n v="10644.48"/>
    <d v="2023-04-14T00:00:00"/>
    <x v="158"/>
    <s v="Mexico"/>
    <s v="Location 4"/>
    <n v="98.56"/>
  </r>
  <r>
    <n v="108"/>
    <n v="10644.48"/>
    <d v="2023-04-14T00:00:00"/>
    <x v="158"/>
    <s v="Mexico"/>
    <s v="Location 4"/>
    <n v="98.56"/>
  </r>
  <r>
    <n v="108"/>
    <n v="10644.48"/>
    <d v="2023-04-14T00:00:00"/>
    <x v="158"/>
    <s v="Mexico"/>
    <s v="Location 4"/>
    <n v="98.56"/>
  </r>
  <r>
    <n v="74"/>
    <n v="7293.44"/>
    <d v="2023-04-14T00:00:00"/>
    <x v="158"/>
    <s v="Mexico"/>
    <s v="Location 4"/>
    <n v="98.56"/>
  </r>
  <r>
    <n v="83"/>
    <n v="8180.48"/>
    <d v="2023-04-14T00:00:00"/>
    <x v="158"/>
    <s v="Mexico"/>
    <s v="Location 4"/>
    <n v="98.56"/>
  </r>
  <r>
    <n v="108"/>
    <n v="10644.48"/>
    <d v="2023-04-14T00:00:00"/>
    <x v="158"/>
    <s v="Mexico"/>
    <s v="Location 4"/>
    <n v="98.56"/>
  </r>
  <r>
    <n v="60"/>
    <n v="5913.6"/>
    <d v="2023-04-14T00:00:00"/>
    <x v="158"/>
    <s v="Mexico"/>
    <s v="Location 4"/>
    <n v="98.56"/>
  </r>
  <r>
    <n v="156"/>
    <n v="15375.36"/>
    <d v="2023-04-14T00:00:00"/>
    <x v="158"/>
    <s v="Mexico"/>
    <s v="Location 4"/>
    <n v="98.56"/>
  </r>
  <r>
    <n v="34"/>
    <n v="3351.04"/>
    <d v="2023-04-14T00:00:00"/>
    <x v="158"/>
    <s v="Mexico"/>
    <s v="Location 4"/>
    <n v="98.56"/>
  </r>
  <r>
    <n v="60"/>
    <n v="51442.2"/>
    <d v="2023-06-20T00:00:00"/>
    <x v="140"/>
    <s v="Mexico"/>
    <s v="Location 4"/>
    <n v="857.37"/>
  </r>
  <r>
    <n v="25"/>
    <n v="63063.75"/>
    <d v="2023-02-02T00:00:00"/>
    <x v="174"/>
    <s v="Mexico"/>
    <s v="Location 4"/>
    <n v="2522.5500000000002"/>
  </r>
  <r>
    <n v="2"/>
    <n v="5045.1000000000004"/>
    <d v="2023-02-02T00:00:00"/>
    <x v="174"/>
    <s v="Mexico"/>
    <s v="Location 4"/>
    <n v="2522.5500000000002"/>
  </r>
  <r>
    <n v="3000"/>
    <n v="3930"/>
    <d v="2023-02-02T00:00:00"/>
    <x v="162"/>
    <s v="Mexico"/>
    <s v="Location 4"/>
    <n v="1.31"/>
  </r>
  <r>
    <n v="432"/>
    <n v="46617.120000000003"/>
    <d v="2023-04-21T00:00:00"/>
    <x v="149"/>
    <s v="Mexico"/>
    <s v="Location 4"/>
    <n v="107.91"/>
  </r>
  <r>
    <n v="216"/>
    <n v="23308.560000000001"/>
    <d v="2023-04-21T00:00:00"/>
    <x v="149"/>
    <s v="Mexico"/>
    <s v="Location 4"/>
    <n v="107.91"/>
  </r>
  <r>
    <n v="108"/>
    <n v="11654.28"/>
    <d v="2023-04-21T00:00:00"/>
    <x v="149"/>
    <s v="Mexico"/>
    <s v="Location 4"/>
    <n v="107.91"/>
  </r>
  <r>
    <n v="432"/>
    <n v="46617.120000000003"/>
    <d v="2023-04-21T00:00:00"/>
    <x v="149"/>
    <s v="Mexico"/>
    <s v="Location 4"/>
    <n v="107.91"/>
  </r>
  <r>
    <n v="324"/>
    <n v="34962.839999999997"/>
    <d v="2023-04-21T00:00:00"/>
    <x v="149"/>
    <s v="Mexico"/>
    <s v="Location 4"/>
    <n v="107.91"/>
  </r>
  <r>
    <n v="432"/>
    <n v="46617.120000000003"/>
    <d v="2023-04-21T00:00:00"/>
    <x v="149"/>
    <s v="Mexico"/>
    <s v="Location 4"/>
    <n v="107.91"/>
  </r>
  <r>
    <n v="432"/>
    <n v="46617.120000000003"/>
    <d v="2023-04-21T00:00:00"/>
    <x v="149"/>
    <s v="Mexico"/>
    <s v="Location 4"/>
    <n v="107.91"/>
  </r>
  <r>
    <n v="324"/>
    <n v="34962.839999999997"/>
    <d v="2023-04-21T00:00:00"/>
    <x v="149"/>
    <s v="Mexico"/>
    <s v="Location 4"/>
    <n v="107.91"/>
  </r>
  <r>
    <n v="432"/>
    <n v="46617.120000000003"/>
    <d v="2023-04-21T00:00:00"/>
    <x v="149"/>
    <s v="Mexico"/>
    <s v="Location 4"/>
    <n v="107.91"/>
  </r>
  <r>
    <n v="432"/>
    <n v="46617.120000000003"/>
    <d v="2023-04-21T00:00:00"/>
    <x v="149"/>
    <s v="Mexico"/>
    <s v="Location 4"/>
    <n v="107.91"/>
  </r>
  <r>
    <n v="140"/>
    <n v="60040.4"/>
    <d v="2023-02-13T00:00:00"/>
    <x v="144"/>
    <s v="Mexico"/>
    <s v="Location 4"/>
    <n v="428.86"/>
  </r>
  <r>
    <n v="1500"/>
    <n v="1830"/>
    <d v="2023-02-13T00:00:00"/>
    <x v="172"/>
    <s v="Mexico"/>
    <s v="Location 4"/>
    <n v="1.22"/>
  </r>
  <r>
    <n v="216"/>
    <n v="23308.560000000001"/>
    <d v="2023-04-21T00:00:00"/>
    <x v="149"/>
    <s v="Mexico"/>
    <s v="Location 4"/>
    <n v="107.91"/>
  </r>
  <r>
    <n v="324"/>
    <n v="34962.839999999997"/>
    <d v="2023-04-21T00:00:00"/>
    <x v="149"/>
    <s v="Mexico"/>
    <s v="Location 4"/>
    <n v="107.91"/>
  </r>
  <r>
    <n v="3000"/>
    <n v="3660"/>
    <d v="2023-04-21T00:00:00"/>
    <x v="172"/>
    <s v="Mexico"/>
    <s v="Location 4"/>
    <n v="1.22"/>
  </r>
  <r>
    <n v="96"/>
    <n v="19983.36"/>
    <d v="2023-04-21T00:00:00"/>
    <x v="146"/>
    <s v="Mexico"/>
    <s v="Location 4"/>
    <n v="208.16"/>
  </r>
  <r>
    <n v="768"/>
    <n v="116090.88"/>
    <d v="2023-04-21T00:00:00"/>
    <x v="142"/>
    <s v="Mexico"/>
    <s v="Location 4"/>
    <n v="151.16"/>
  </r>
  <r>
    <n v="432"/>
    <n v="46617.120000000003"/>
    <d v="2023-05-15T00:00:00"/>
    <x v="149"/>
    <s v="Mexico"/>
    <s v="Location 4"/>
    <n v="107.91"/>
  </r>
  <r>
    <n v="216"/>
    <n v="23308.560000000001"/>
    <d v="2023-05-15T00:00:00"/>
    <x v="149"/>
    <s v="Mexico"/>
    <s v="Location 4"/>
    <n v="107.91"/>
  </r>
  <r>
    <n v="324"/>
    <n v="34962.839999999997"/>
    <d v="2023-05-15T00:00:00"/>
    <x v="149"/>
    <s v="Mexico"/>
    <s v="Location 4"/>
    <n v="107.91"/>
  </r>
  <r>
    <n v="82"/>
    <n v="36958.22"/>
    <d v="2023-05-15T00:00:00"/>
    <x v="141"/>
    <s v="Mexico"/>
    <s v="Location 4"/>
    <n v="450.71"/>
  </r>
  <r>
    <n v="240"/>
    <n v="108170.4"/>
    <d v="2023-05-15T00:00:00"/>
    <x v="141"/>
    <s v="Mexico"/>
    <s v="Location 4"/>
    <n v="450.71"/>
  </r>
  <r>
    <n v="432"/>
    <n v="46617.120000000003"/>
    <d v="2023-02-21T00:00:00"/>
    <x v="149"/>
    <s v="Mexico"/>
    <s v="Location 4"/>
    <n v="107.91"/>
  </r>
  <r>
    <n v="108"/>
    <n v="11654.28"/>
    <d v="2023-02-21T00:00:00"/>
    <x v="149"/>
    <s v="Mexico"/>
    <s v="Location 4"/>
    <n v="107.91"/>
  </r>
  <r>
    <n v="108"/>
    <n v="11654.28"/>
    <d v="2023-02-21T00:00:00"/>
    <x v="149"/>
    <s v="Mexico"/>
    <s v="Location 4"/>
    <n v="107.91"/>
  </r>
  <r>
    <n v="252"/>
    <n v="21606.48"/>
    <d v="2023-04-25T00:00:00"/>
    <x v="163"/>
    <s v="Mexico"/>
    <s v="Location 4"/>
    <n v="85.74"/>
  </r>
  <r>
    <n v="252"/>
    <n v="21606.48"/>
    <d v="2023-04-25T00:00:00"/>
    <x v="163"/>
    <s v="Mexico"/>
    <s v="Location 4"/>
    <n v="85.74"/>
  </r>
  <r>
    <n v="90"/>
    <n v="39505.5"/>
    <d v="2023-05-15T00:00:00"/>
    <x v="145"/>
    <s v="Mexico"/>
    <s v="Location 4"/>
    <n v="438.95"/>
  </r>
  <r>
    <n v="1500"/>
    <n v="1830"/>
    <d v="2023-05-15T00:00:00"/>
    <x v="172"/>
    <s v="Mexico"/>
    <s v="Location 4"/>
    <n v="1.22"/>
  </r>
  <r>
    <n v="3000"/>
    <n v="3660"/>
    <d v="2023-05-15T00:00:00"/>
    <x v="172"/>
    <s v="Mexico"/>
    <s v="Location 4"/>
    <n v="1.22"/>
  </r>
  <r>
    <n v="160"/>
    <n v="139390.39999999999"/>
    <d v="2023-05-15T00:00:00"/>
    <x v="157"/>
    <s v="Mexico"/>
    <s v="Location 4"/>
    <n v="871.19"/>
  </r>
  <r>
    <n v="1500"/>
    <n v="1860"/>
    <d v="2023-02-21T00:00:00"/>
    <x v="162"/>
    <s v="Mexico"/>
    <s v="Location 4"/>
    <n v="1.24"/>
  </r>
  <r>
    <n v="252"/>
    <n v="20099.52"/>
    <d v="2023-02-24T00:00:00"/>
    <x v="163"/>
    <s v="Mexico"/>
    <s v="Location 4"/>
    <n v="79.760000000000005"/>
  </r>
  <r>
    <n v="1500"/>
    <n v="1965"/>
    <d v="2023-02-24T00:00:00"/>
    <x v="162"/>
    <s v="Mexico"/>
    <s v="Location 4"/>
    <n v="1.31"/>
  </r>
  <r>
    <n v="30"/>
    <n v="13168.5"/>
    <d v="2023-04-25T00:00:00"/>
    <x v="145"/>
    <s v="Mexico"/>
    <s v="Location 4"/>
    <n v="438.95"/>
  </r>
  <r>
    <n v="588"/>
    <n v="79585.8"/>
    <d v="2023-04-25T00:00:00"/>
    <x v="166"/>
    <s v="Mexico"/>
    <s v="Location 4"/>
    <n v="135.35"/>
  </r>
  <r>
    <n v="140"/>
    <n v="60040.4"/>
    <d v="2023-04-25T00:00:00"/>
    <x v="144"/>
    <s v="Mexico"/>
    <s v="Location 4"/>
    <n v="428.86"/>
  </r>
  <r>
    <n v="140"/>
    <n v="60040.4"/>
    <d v="2023-04-25T00:00:00"/>
    <x v="144"/>
    <s v="Mexico"/>
    <s v="Location 4"/>
    <n v="428.86"/>
  </r>
  <r>
    <n v="140"/>
    <n v="60040.4"/>
    <d v="2023-04-25T00:00:00"/>
    <x v="144"/>
    <s v="Mexico"/>
    <s v="Location 4"/>
    <n v="428.86"/>
  </r>
  <r>
    <n v="156"/>
    <n v="15375.36"/>
    <d v="2023-04-25T00:00:00"/>
    <x v="158"/>
    <s v="Mexico"/>
    <s v="Location 4"/>
    <n v="98.56"/>
  </r>
  <r>
    <n v="60"/>
    <n v="51442.2"/>
    <d v="2023-05-15T00:00:00"/>
    <x v="140"/>
    <s v="Mexico"/>
    <s v="Location 4"/>
    <n v="857.37"/>
  </r>
  <r>
    <n v="60"/>
    <n v="51442.2"/>
    <d v="2023-05-15T00:00:00"/>
    <x v="140"/>
    <s v="Mexico"/>
    <s v="Location 4"/>
    <n v="857.37"/>
  </r>
  <r>
    <n v="45"/>
    <n v="38581.65"/>
    <d v="2023-05-15T00:00:00"/>
    <x v="140"/>
    <s v="Mexico"/>
    <s v="Location 4"/>
    <n v="857.37"/>
  </r>
  <r>
    <n v="30"/>
    <n v="13216.2"/>
    <d v="2022-05-18T00:00:00"/>
    <x v="145"/>
    <s v="Mexico"/>
    <s v="Location 4"/>
    <n v="440.54"/>
  </r>
  <r>
    <n v="2000"/>
    <n v="3880"/>
    <d v="2023-01-03T00:00:00"/>
    <x v="160"/>
    <s v="Mexico"/>
    <s v="Location 4"/>
    <n v="1.94"/>
  </r>
  <r>
    <n v="3024"/>
    <n v="126493.92"/>
    <d v="2023-01-03T00:00:00"/>
    <x v="164"/>
    <s v="Mexico"/>
    <s v="Location 4"/>
    <n v="41.83"/>
  </r>
  <r>
    <n v="30"/>
    <n v="13216.2"/>
    <d v="2023-01-03T00:00:00"/>
    <x v="145"/>
    <s v="Mexico"/>
    <s v="Location 4"/>
    <n v="440.54"/>
  </r>
  <r>
    <n v="4500"/>
    <n v="2915.55"/>
    <d v="2023-01-03T00:00:00"/>
    <x v="153"/>
    <s v="Mexico"/>
    <s v="Location 4"/>
    <n v="0.64790000000000003"/>
  </r>
  <r>
    <n v="216"/>
    <n v="21288.959999999999"/>
    <d v="2023-04-25T00:00:00"/>
    <x v="158"/>
    <s v="Mexico"/>
    <s v="Location 4"/>
    <n v="98.56"/>
  </r>
  <r>
    <n v="156"/>
    <n v="15375.36"/>
    <d v="2023-04-25T00:00:00"/>
    <x v="158"/>
    <s v="Mexico"/>
    <s v="Location 4"/>
    <n v="98.56"/>
  </r>
  <r>
    <n v="108"/>
    <n v="10644.48"/>
    <d v="2023-04-25T00:00:00"/>
    <x v="158"/>
    <s v="Mexico"/>
    <s v="Location 4"/>
    <n v="98.56"/>
  </r>
  <r>
    <n v="156"/>
    <n v="15375.36"/>
    <d v="2023-04-25T00:00:00"/>
    <x v="158"/>
    <s v="Mexico"/>
    <s v="Location 4"/>
    <n v="98.56"/>
  </r>
  <r>
    <n v="156"/>
    <n v="15375.36"/>
    <d v="2023-04-25T00:00:00"/>
    <x v="158"/>
    <s v="Mexico"/>
    <s v="Location 4"/>
    <n v="98.56"/>
  </r>
  <r>
    <n v="156"/>
    <n v="15375.36"/>
    <d v="2023-04-25T00:00:00"/>
    <x v="158"/>
    <s v="Mexico"/>
    <s v="Location 4"/>
    <n v="98.56"/>
  </r>
  <r>
    <n v="144"/>
    <n v="29975.040000000001"/>
    <d v="2023-04-25T00:00:00"/>
    <x v="146"/>
    <s v="Mexico"/>
    <s v="Location 4"/>
    <n v="208.16"/>
  </r>
  <r>
    <n v="90"/>
    <n v="39648.6"/>
    <d v="2022-04-27T00:00:00"/>
    <x v="145"/>
    <s v="Mexico"/>
    <s v="Location 4"/>
    <n v="440.54"/>
  </r>
  <r>
    <n v="60"/>
    <n v="26432.400000000001"/>
    <d v="2022-04-27T00:00:00"/>
    <x v="145"/>
    <s v="Mexico"/>
    <s v="Location 4"/>
    <n v="440.54"/>
  </r>
  <r>
    <n v="60"/>
    <n v="26432.400000000001"/>
    <d v="2022-04-27T00:00:00"/>
    <x v="145"/>
    <s v="Mexico"/>
    <s v="Location 4"/>
    <n v="440.54"/>
  </r>
  <r>
    <n v="30"/>
    <n v="13216.2"/>
    <d v="2022-04-27T00:00:00"/>
    <x v="145"/>
    <s v="Mexico"/>
    <s v="Location 4"/>
    <n v="440.54"/>
  </r>
  <r>
    <n v="60"/>
    <n v="26432.400000000001"/>
    <d v="2022-04-27T00:00:00"/>
    <x v="145"/>
    <s v="Mexico"/>
    <s v="Location 4"/>
    <n v="440.54"/>
  </r>
  <r>
    <n v="216"/>
    <n v="23308.560000000001"/>
    <d v="2023-05-26T00:00:00"/>
    <x v="149"/>
    <s v="Mexico"/>
    <s v="Location 4"/>
    <n v="107.91"/>
  </r>
  <r>
    <n v="432"/>
    <n v="46617.120000000003"/>
    <d v="2023-05-26T00:00:00"/>
    <x v="149"/>
    <s v="Mexico"/>
    <s v="Location 4"/>
    <n v="107.91"/>
  </r>
  <r>
    <n v="324"/>
    <n v="34962.839999999997"/>
    <d v="2023-05-26T00:00:00"/>
    <x v="149"/>
    <s v="Mexico"/>
    <s v="Location 4"/>
    <n v="107.91"/>
  </r>
  <r>
    <n v="432"/>
    <n v="46617.120000000003"/>
    <d v="2023-05-26T00:00:00"/>
    <x v="149"/>
    <s v="Mexico"/>
    <s v="Location 4"/>
    <n v="107.91"/>
  </r>
  <r>
    <n v="38"/>
    <n v="17126.98"/>
    <d v="2023-05-26T00:00:00"/>
    <x v="141"/>
    <s v="Mexico"/>
    <s v="Location 4"/>
    <n v="450.71"/>
  </r>
  <r>
    <n v="252"/>
    <n v="21606.48"/>
    <d v="2023-05-26T00:00:00"/>
    <x v="163"/>
    <s v="Mexico"/>
    <s v="Location 4"/>
    <n v="85.74"/>
  </r>
  <r>
    <n v="252"/>
    <n v="21606.48"/>
    <d v="2023-05-26T00:00:00"/>
    <x v="163"/>
    <s v="Mexico"/>
    <s v="Location 4"/>
    <n v="85.74"/>
  </r>
  <r>
    <n v="420"/>
    <n v="318922.8"/>
    <d v="2023-05-26T00:00:00"/>
    <x v="154"/>
    <s v="Mexico"/>
    <s v="Location 4"/>
    <n v="759.34"/>
  </r>
  <r>
    <n v="216"/>
    <n v="21288.959999999999"/>
    <d v="2023-05-26T00:00:00"/>
    <x v="158"/>
    <s v="Mexico"/>
    <s v="Location 4"/>
    <n v="98.56"/>
  </r>
  <r>
    <n v="432"/>
    <n v="42577.919999999998"/>
    <d v="2023-05-26T00:00:00"/>
    <x v="158"/>
    <s v="Mexico"/>
    <s v="Location 4"/>
    <n v="98.56"/>
  </r>
  <r>
    <n v="420"/>
    <n v="318922.8"/>
    <d v="2023-07-25T00:00:00"/>
    <x v="154"/>
    <s v="Mexico"/>
    <s v="Location 4"/>
    <n v="759.34"/>
  </r>
  <r>
    <n v="768"/>
    <n v="116090.88"/>
    <d v="2023-07-25T00:00:00"/>
    <x v="179"/>
    <s v="Mexico"/>
    <s v="Location 4"/>
    <n v="151.16"/>
  </r>
  <r>
    <n v="324"/>
    <n v="149270.04"/>
    <d v="2023-07-25T00:00:00"/>
    <x v="180"/>
    <s v="Mexico"/>
    <s v="Location 4"/>
    <n v="460.71"/>
  </r>
  <r>
    <n v="288"/>
    <n v="132684.48000000001"/>
    <d v="2023-07-25T00:00:00"/>
    <x v="180"/>
    <s v="Mexico"/>
    <s v="Location 4"/>
    <n v="460.71"/>
  </r>
  <r>
    <n v="360"/>
    <n v="165855.6"/>
    <d v="2023-07-25T00:00:00"/>
    <x v="180"/>
    <s v="Mexico"/>
    <s v="Location 4"/>
    <n v="460.71"/>
  </r>
  <r>
    <n v="360"/>
    <n v="165855.6"/>
    <d v="2023-07-25T00:00:00"/>
    <x v="180"/>
    <s v="Mexico"/>
    <s v="Location 4"/>
    <n v="460.71"/>
  </r>
  <r>
    <n v="288"/>
    <n v="132684.48000000001"/>
    <d v="2023-07-25T00:00:00"/>
    <x v="180"/>
    <s v="Mexico"/>
    <s v="Location 4"/>
    <n v="460.71"/>
  </r>
  <r>
    <n v="360"/>
    <n v="165855.6"/>
    <d v="2023-07-25T00:00:00"/>
    <x v="180"/>
    <s v="Mexico"/>
    <s v="Location 4"/>
    <n v="460.71"/>
  </r>
  <r>
    <n v="36"/>
    <n v="16585.560000000001"/>
    <d v="2023-07-25T00:00:00"/>
    <x v="180"/>
    <s v="Mexico"/>
    <s v="Location 4"/>
    <n v="460.71"/>
  </r>
  <r>
    <n v="819"/>
    <n v="338967.72"/>
    <d v="2023-09-06T00:00:00"/>
    <x v="181"/>
    <s v="Mexico"/>
    <s v="Location 4"/>
    <n v="413.88"/>
  </r>
  <r>
    <n v="3780"/>
    <n v="52466.400000000001"/>
    <d v="2022-09-12T00:00:00"/>
    <x v="182"/>
    <s v="Mexico"/>
    <s v="Location 4"/>
    <n v="13.88"/>
  </r>
  <r>
    <n v="1820"/>
    <n v="4313.3999999999996"/>
    <d v="2022-09-12T00:00:00"/>
    <x v="161"/>
    <s v="Mexico"/>
    <s v="Location 4"/>
    <n v="2.37"/>
  </r>
  <r>
    <n v="3024"/>
    <n v="126493.92"/>
    <d v="2022-09-21T00:00:00"/>
    <x v="164"/>
    <s v="Mexico"/>
    <s v="Location 4"/>
    <n v="41.83"/>
  </r>
  <r>
    <n v="144"/>
    <n v="29975.040000000001"/>
    <d v="2023-06-30T00:00:00"/>
    <x v="146"/>
    <s v="Mexico"/>
    <s v="Location 4"/>
    <n v="208.16"/>
  </r>
  <r>
    <n v="144"/>
    <n v="29975.040000000001"/>
    <d v="2023-06-30T00:00:00"/>
    <x v="146"/>
    <s v="Mexico"/>
    <s v="Location 4"/>
    <n v="208.16"/>
  </r>
  <r>
    <n v="48"/>
    <n v="9991.68"/>
    <d v="2023-06-30T00:00:00"/>
    <x v="146"/>
    <s v="Mexico"/>
    <s v="Location 4"/>
    <n v="208.16"/>
  </r>
  <r>
    <n v="252"/>
    <n v="19056.240000000002"/>
    <d v="2022-09-21T00:00:00"/>
    <x v="163"/>
    <s v="Mexico"/>
    <s v="Location 4"/>
    <n v="75.62"/>
  </r>
  <r>
    <n v="1820"/>
    <n v="4313.3999999999996"/>
    <d v="2022-09-21T00:00:00"/>
    <x v="161"/>
    <s v="Mexico"/>
    <s v="Location 4"/>
    <n v="2.37"/>
  </r>
  <r>
    <n v="588"/>
    <n v="58982.28"/>
    <d v="2022-09-22T00:00:00"/>
    <x v="156"/>
    <s v="Mexico"/>
    <s v="Location 4"/>
    <n v="100.31"/>
  </r>
  <r>
    <n v="588"/>
    <n v="58982.28"/>
    <d v="2022-09-22T00:00:00"/>
    <x v="156"/>
    <s v="Mexico"/>
    <s v="Location 4"/>
    <n v="100.31"/>
  </r>
  <r>
    <n v="588"/>
    <n v="58982.28"/>
    <d v="2022-09-22T00:00:00"/>
    <x v="156"/>
    <s v="Mexico"/>
    <s v="Location 4"/>
    <n v="100.31"/>
  </r>
  <r>
    <n v="1820"/>
    <n v="4313.3999999999996"/>
    <d v="2022-11-01T00:00:00"/>
    <x v="161"/>
    <s v="Mexico"/>
    <s v="Location 4"/>
    <n v="2.37"/>
  </r>
  <r>
    <n v="140"/>
    <n v="53718"/>
    <d v="2023-07-28T00:00:00"/>
    <x v="148"/>
    <s v="Mexico"/>
    <s v="Location 4"/>
    <n v="383.7"/>
  </r>
  <r>
    <n v="108"/>
    <n v="11696.4"/>
    <d v="2022-08-04T00:00:00"/>
    <x v="149"/>
    <s v="Mexico"/>
    <s v="Location 4"/>
    <n v="108.3"/>
  </r>
  <r>
    <n v="540"/>
    <n v="58482"/>
    <d v="2022-08-04T00:00:00"/>
    <x v="149"/>
    <s v="Mexico"/>
    <s v="Location 4"/>
    <n v="108.3"/>
  </r>
  <r>
    <n v="432"/>
    <n v="46785.599999999999"/>
    <d v="2022-08-04T00:00:00"/>
    <x v="149"/>
    <s v="Mexico"/>
    <s v="Location 4"/>
    <n v="108.3"/>
  </r>
  <r>
    <n v="432"/>
    <n v="46785.599999999999"/>
    <d v="2022-11-03T00:00:00"/>
    <x v="149"/>
    <s v="Mexico"/>
    <s v="Location 4"/>
    <n v="108.3"/>
  </r>
  <r>
    <n v="216"/>
    <n v="23392.799999999999"/>
    <d v="2022-11-03T00:00:00"/>
    <x v="149"/>
    <s v="Mexico"/>
    <s v="Location 4"/>
    <n v="108.3"/>
  </r>
  <r>
    <n v="216"/>
    <n v="23392.799999999999"/>
    <d v="2022-11-03T00:00:00"/>
    <x v="149"/>
    <s v="Mexico"/>
    <s v="Location 4"/>
    <n v="108.3"/>
  </r>
  <r>
    <n v="324"/>
    <n v="35089.199999999997"/>
    <d v="2022-11-03T00:00:00"/>
    <x v="149"/>
    <s v="Mexico"/>
    <s v="Location 4"/>
    <n v="108.3"/>
  </r>
  <r>
    <n v="216"/>
    <n v="23392.799999999999"/>
    <d v="2022-11-03T00:00:00"/>
    <x v="149"/>
    <s v="Mexico"/>
    <s v="Location 4"/>
    <n v="108.3"/>
  </r>
  <r>
    <n v="216"/>
    <n v="23392.799999999999"/>
    <d v="2022-11-03T00:00:00"/>
    <x v="149"/>
    <s v="Mexico"/>
    <s v="Location 4"/>
    <n v="108.3"/>
  </r>
  <r>
    <n v="432"/>
    <n v="46785.599999999999"/>
    <d v="2022-11-03T00:00:00"/>
    <x v="149"/>
    <s v="Mexico"/>
    <s v="Location 4"/>
    <n v="108.3"/>
  </r>
  <r>
    <n v="432"/>
    <n v="46785.599999999999"/>
    <d v="2022-11-03T00:00:00"/>
    <x v="149"/>
    <s v="Mexico"/>
    <s v="Location 4"/>
    <n v="108.3"/>
  </r>
  <r>
    <n v="90"/>
    <n v="39648.6"/>
    <d v="2022-07-01T00:00:00"/>
    <x v="145"/>
    <s v="Mexico"/>
    <s v="Location 4"/>
    <n v="440.54"/>
  </r>
  <r>
    <n v="1820"/>
    <n v="4313.3999999999996"/>
    <d v="2022-09-29T00:00:00"/>
    <x v="161"/>
    <s v="Mexico"/>
    <s v="Location 4"/>
    <n v="2.37"/>
  </r>
  <r>
    <n v="1820"/>
    <n v="4313.3999999999996"/>
    <d v="2022-09-29T00:00:00"/>
    <x v="161"/>
    <s v="Mexico"/>
    <s v="Location 4"/>
    <n v="2.37"/>
  </r>
  <r>
    <n v="588"/>
    <n v="58982.28"/>
    <d v="2022-09-29T00:00:00"/>
    <x v="156"/>
    <s v="Mexico"/>
    <s v="Location 4"/>
    <n v="100.31"/>
  </r>
  <r>
    <n v="420"/>
    <n v="320073.59999999998"/>
    <d v="2022-09-29T00:00:00"/>
    <x v="154"/>
    <s v="Mexico"/>
    <s v="Location 4"/>
    <n v="762.08"/>
  </r>
  <r>
    <n v="180"/>
    <n v="137174.39999999999"/>
    <d v="2022-09-29T00:00:00"/>
    <x v="154"/>
    <s v="Mexico"/>
    <s v="Location 4"/>
    <n v="762.08"/>
  </r>
  <r>
    <n v="420"/>
    <n v="320073.59999999998"/>
    <d v="2022-09-29T00:00:00"/>
    <x v="154"/>
    <s v="Mexico"/>
    <s v="Location 4"/>
    <n v="762.08"/>
  </r>
  <r>
    <n v="420"/>
    <n v="320073.59999999998"/>
    <d v="2022-09-29T00:00:00"/>
    <x v="154"/>
    <s v="Mexico"/>
    <s v="Location 4"/>
    <n v="762.08"/>
  </r>
  <r>
    <n v="420"/>
    <n v="320073.59999999998"/>
    <d v="2022-09-29T00:00:00"/>
    <x v="154"/>
    <s v="Mexico"/>
    <s v="Location 4"/>
    <n v="762.08"/>
  </r>
  <r>
    <n v="420"/>
    <n v="320073.59999999998"/>
    <d v="2022-09-29T00:00:00"/>
    <x v="154"/>
    <s v="Mexico"/>
    <s v="Location 4"/>
    <n v="762.08"/>
  </r>
  <r>
    <n v="118"/>
    <n v="50173.599999999999"/>
    <d v="2022-11-10T00:00:00"/>
    <x v="141"/>
    <s v="Mexico"/>
    <s v="Location 4"/>
    <n v="425.2"/>
  </r>
  <r>
    <n v="108"/>
    <n v="11696.4"/>
    <d v="2022-11-14T00:00:00"/>
    <x v="149"/>
    <s v="Mexico"/>
    <s v="Location 4"/>
    <n v="108.3"/>
  </r>
  <r>
    <n v="432"/>
    <n v="46785.599999999999"/>
    <d v="2022-11-14T00:00:00"/>
    <x v="149"/>
    <s v="Mexico"/>
    <s v="Location 4"/>
    <n v="108.3"/>
  </r>
  <r>
    <n v="1820"/>
    <n v="4568.2"/>
    <d v="2023-08-04T00:00:00"/>
    <x v="161"/>
    <s v="Mexico"/>
    <s v="Location 4"/>
    <n v="2.5099999999999998"/>
  </r>
  <r>
    <n v="140"/>
    <n v="24983"/>
    <d v="2023-08-04T00:00:00"/>
    <x v="170"/>
    <s v="Mexico"/>
    <s v="Location 4"/>
    <n v="178.45"/>
  </r>
  <r>
    <n v="32"/>
    <n v="80721.600000000006"/>
    <d v="2022-10-05T00:00:00"/>
    <x v="174"/>
    <s v="Mexico"/>
    <s v="Location 4"/>
    <n v="2522.5500000000002"/>
  </r>
  <r>
    <n v="540"/>
    <n v="58482"/>
    <d v="2022-10-07T00:00:00"/>
    <x v="149"/>
    <s v="Mexico"/>
    <s v="Location 4"/>
    <n v="108.3"/>
  </r>
  <r>
    <n v="2"/>
    <n v="901.42"/>
    <d v="2023-08-16T00:00:00"/>
    <x v="141"/>
    <s v="Mexico"/>
    <s v="Location 4"/>
    <n v="450.71"/>
  </r>
  <r>
    <n v="140"/>
    <n v="53718"/>
    <d v="2023-08-16T00:00:00"/>
    <x v="148"/>
    <s v="Mexico"/>
    <s v="Location 4"/>
    <n v="383.7"/>
  </r>
  <r>
    <n v="588"/>
    <n v="58982.28"/>
    <d v="2022-10-07T00:00:00"/>
    <x v="156"/>
    <s v="Mexico"/>
    <s v="Location 4"/>
    <n v="100.31"/>
  </r>
  <r>
    <n v="588"/>
    <n v="58982.28"/>
    <d v="2022-10-07T00:00:00"/>
    <x v="156"/>
    <s v="Mexico"/>
    <s v="Location 4"/>
    <n v="100.31"/>
  </r>
  <r>
    <n v="588"/>
    <n v="58982.28"/>
    <d v="2022-10-07T00:00:00"/>
    <x v="156"/>
    <s v="Mexico"/>
    <s v="Location 4"/>
    <n v="100.31"/>
  </r>
  <r>
    <n v="588"/>
    <n v="58982.28"/>
    <d v="2022-10-07T00:00:00"/>
    <x v="156"/>
    <s v="Mexico"/>
    <s v="Location 4"/>
    <n v="100.31"/>
  </r>
  <r>
    <n v="588"/>
    <n v="58982.28"/>
    <d v="2022-10-07T00:00:00"/>
    <x v="156"/>
    <s v="Mexico"/>
    <s v="Location 4"/>
    <n v="100.31"/>
  </r>
  <r>
    <n v="588"/>
    <n v="58982.28"/>
    <d v="2022-10-07T00:00:00"/>
    <x v="156"/>
    <s v="Mexico"/>
    <s v="Location 4"/>
    <n v="100.31"/>
  </r>
  <r>
    <n v="147"/>
    <n v="47026.77"/>
    <d v="2022-11-29T00:00:00"/>
    <x v="143"/>
    <s v="Mexico"/>
    <s v="Location 4"/>
    <n v="319.91000000000003"/>
  </r>
  <r>
    <n v="140"/>
    <n v="53718"/>
    <d v="2023-08-17T00:00:00"/>
    <x v="148"/>
    <s v="Mexico"/>
    <s v="Location 4"/>
    <n v="383.7"/>
  </r>
  <r>
    <n v="30"/>
    <n v="22780.2"/>
    <d v="2023-08-17T00:00:00"/>
    <x v="154"/>
    <s v="Mexico"/>
    <s v="Location 4"/>
    <n v="759.34"/>
  </r>
  <r>
    <n v="60"/>
    <n v="45560.4"/>
    <d v="2023-08-17T00:00:00"/>
    <x v="154"/>
    <s v="Mexico"/>
    <s v="Location 4"/>
    <n v="759.34"/>
  </r>
  <r>
    <n v="132"/>
    <n v="23555.4"/>
    <d v="2023-08-17T00:00:00"/>
    <x v="170"/>
    <s v="Mexico"/>
    <s v="Location 4"/>
    <n v="178.45"/>
  </r>
  <r>
    <n v="15"/>
    <n v="12860.55"/>
    <d v="2023-08-17T00:00:00"/>
    <x v="140"/>
    <s v="Mexico"/>
    <s v="Location 4"/>
    <n v="857.37"/>
  </r>
  <r>
    <n v="45"/>
    <n v="38581.65"/>
    <d v="2023-08-17T00:00:00"/>
    <x v="140"/>
    <s v="Mexico"/>
    <s v="Location 4"/>
    <n v="857.37"/>
  </r>
  <r>
    <n v="45"/>
    <n v="38581.65"/>
    <d v="2023-08-17T00:00:00"/>
    <x v="140"/>
    <s v="Mexico"/>
    <s v="Location 4"/>
    <n v="857.37"/>
  </r>
  <r>
    <n v="45"/>
    <n v="38581.65"/>
    <d v="2023-08-17T00:00:00"/>
    <x v="140"/>
    <s v="Mexico"/>
    <s v="Location 4"/>
    <n v="857.37"/>
  </r>
  <r>
    <n v="324"/>
    <n v="35089.199999999997"/>
    <d v="2022-08-19T00:00:00"/>
    <x v="149"/>
    <s v="Mexico"/>
    <s v="Location 4"/>
    <n v="108.3"/>
  </r>
  <r>
    <n v="220"/>
    <n v="30272"/>
    <d v="2022-10-13T00:00:00"/>
    <x v="167"/>
    <s v="Mexico"/>
    <s v="Location 4"/>
    <n v="137.6"/>
  </r>
  <r>
    <n v="252"/>
    <n v="25303.32"/>
    <d v="2022-10-13T00:00:00"/>
    <x v="165"/>
    <s v="Mexico"/>
    <s v="Location 4"/>
    <n v="100.41"/>
  </r>
  <r>
    <n v="420"/>
    <n v="6266.4"/>
    <d v="2022-10-13T00:00:00"/>
    <x v="155"/>
    <s v="Mexico"/>
    <s v="Location 4"/>
    <n v="14.92"/>
  </r>
  <r>
    <n v="420"/>
    <n v="6266.4"/>
    <d v="2022-10-13T00:00:00"/>
    <x v="155"/>
    <s v="Mexico"/>
    <s v="Location 4"/>
    <n v="14.92"/>
  </r>
  <r>
    <n v="140"/>
    <n v="50677.2"/>
    <d v="2022-10-13T00:00:00"/>
    <x v="148"/>
    <s v="Mexico"/>
    <s v="Location 4"/>
    <n v="361.98"/>
  </r>
  <r>
    <n v="180"/>
    <n v="137174.39999999999"/>
    <d v="2022-10-13T00:00:00"/>
    <x v="154"/>
    <s v="Mexico"/>
    <s v="Location 4"/>
    <n v="762.08"/>
  </r>
  <r>
    <n v="108"/>
    <n v="11696.4"/>
    <d v="2022-08-19T00:00:00"/>
    <x v="149"/>
    <s v="Mexico"/>
    <s v="Location 4"/>
    <n v="108.3"/>
  </r>
  <r>
    <n v="60"/>
    <n v="26432.400000000001"/>
    <d v="2022-08-19T00:00:00"/>
    <x v="145"/>
    <s v="Mexico"/>
    <s v="Location 4"/>
    <n v="440.54"/>
  </r>
  <r>
    <n v="140"/>
    <n v="56924"/>
    <d v="2022-08-19T00:00:00"/>
    <x v="144"/>
    <s v="Mexico"/>
    <s v="Location 4"/>
    <n v="406.6"/>
  </r>
  <r>
    <n v="3000"/>
    <n v="3450"/>
    <d v="2022-08-19T00:00:00"/>
    <x v="172"/>
    <s v="Mexico"/>
    <s v="Location 4"/>
    <n v="1.1499999999999999"/>
  </r>
  <r>
    <n v="588"/>
    <n v="58982.28"/>
    <d v="2021-12-10T00:00:00"/>
    <x v="156"/>
    <s v="Mexico"/>
    <s v="Location 4"/>
    <n v="100.31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140"/>
    <n v="54842.2"/>
    <d v="2022-12-12T00:00:00"/>
    <x v="176"/>
    <s v="Mexico"/>
    <s v="Location 4"/>
    <n v="391.73"/>
  </r>
  <r>
    <n v="30"/>
    <n v="13216.2"/>
    <d v="2022-07-11T00:00:00"/>
    <x v="145"/>
    <s v="Mexico"/>
    <s v="Location 4"/>
    <n v="440.54"/>
  </r>
  <r>
    <n v="60"/>
    <n v="26432.400000000001"/>
    <d v="2022-07-11T00:00:00"/>
    <x v="145"/>
    <s v="Mexico"/>
    <s v="Location 4"/>
    <n v="440.54"/>
  </r>
  <r>
    <n v="3000"/>
    <n v="3450"/>
    <d v="2022-07-11T00:00:00"/>
    <x v="172"/>
    <s v="Mexico"/>
    <s v="Location 4"/>
    <n v="1.1499999999999999"/>
  </r>
  <r>
    <n v="3000"/>
    <n v="3720"/>
    <d v="2022-07-11T00:00:00"/>
    <x v="162"/>
    <s v="Mexico"/>
    <s v="Location 4"/>
    <n v="1.24"/>
  </r>
  <r>
    <n v="75"/>
    <n v="64536"/>
    <d v="2022-07-11T00:00:00"/>
    <x v="140"/>
    <s v="Mexico"/>
    <s v="Location 4"/>
    <n v="860.48"/>
  </r>
  <r>
    <n v="588"/>
    <n v="58982.28"/>
    <d v="2022-10-20T00:00:00"/>
    <x v="156"/>
    <s v="Mexico"/>
    <s v="Location 4"/>
    <n v="100.31"/>
  </r>
  <r>
    <n v="588"/>
    <n v="58982.28"/>
    <d v="2022-10-20T00:00:00"/>
    <x v="156"/>
    <s v="Mexico"/>
    <s v="Location 4"/>
    <n v="100.31"/>
  </r>
  <r>
    <n v="140"/>
    <n v="56924"/>
    <d v="2022-12-19T00:00:00"/>
    <x v="144"/>
    <s v="Mexico"/>
    <s v="Location 4"/>
    <n v="406.6"/>
  </r>
  <r>
    <n v="140"/>
    <n v="56924"/>
    <d v="2022-12-19T00:00:00"/>
    <x v="144"/>
    <s v="Mexico"/>
    <s v="Location 4"/>
    <n v="406.6"/>
  </r>
  <r>
    <n v="140"/>
    <n v="56924"/>
    <d v="2022-12-19T00:00:00"/>
    <x v="144"/>
    <s v="Mexico"/>
    <s v="Location 4"/>
    <n v="406.6"/>
  </r>
  <r>
    <n v="22"/>
    <n v="9915.6200000000008"/>
    <d v="2023-07-14T00:00:00"/>
    <x v="141"/>
    <s v="Mexico"/>
    <s v="Location 4"/>
    <n v="450.71"/>
  </r>
  <r>
    <n v="79"/>
    <n v="35606.089999999997"/>
    <d v="2023-07-14T00:00:00"/>
    <x v="141"/>
    <s v="Mexico"/>
    <s v="Location 4"/>
    <n v="450.71"/>
  </r>
  <r>
    <n v="252"/>
    <n v="21606.48"/>
    <d v="2023-07-14T00:00:00"/>
    <x v="163"/>
    <s v="Mexico"/>
    <s v="Location 4"/>
    <n v="85.74"/>
  </r>
  <r>
    <n v="252"/>
    <n v="21606.48"/>
    <d v="2023-07-14T00:00:00"/>
    <x v="163"/>
    <s v="Mexico"/>
    <s v="Location 4"/>
    <n v="85.74"/>
  </r>
  <r>
    <n v="140"/>
    <n v="58132.2"/>
    <d v="2023-07-14T00:00:00"/>
    <x v="176"/>
    <s v="Mexico"/>
    <s v="Location 4"/>
    <n v="415.23"/>
  </r>
  <r>
    <n v="140"/>
    <n v="58132.2"/>
    <d v="2023-07-14T00:00:00"/>
    <x v="176"/>
    <s v="Mexico"/>
    <s v="Location 4"/>
    <n v="415.23"/>
  </r>
  <r>
    <n v="432"/>
    <n v="46617.120000000003"/>
    <d v="2023-08-23T00:00:00"/>
    <x v="149"/>
    <s v="Mexico"/>
    <s v="Location 4"/>
    <n v="107.91"/>
  </r>
  <r>
    <n v="324"/>
    <n v="34962.839999999997"/>
    <d v="2023-08-23T00:00:00"/>
    <x v="149"/>
    <s v="Mexico"/>
    <s v="Location 4"/>
    <n v="107.91"/>
  </r>
  <r>
    <n v="45"/>
    <n v="38581.65"/>
    <d v="2023-08-23T00:00:00"/>
    <x v="140"/>
    <s v="Mexico"/>
    <s v="Location 4"/>
    <n v="857.37"/>
  </r>
  <r>
    <n v="45"/>
    <n v="38581.65"/>
    <d v="2023-08-23T00:00:00"/>
    <x v="140"/>
    <s v="Mexico"/>
    <s v="Location 4"/>
    <n v="857.37"/>
  </r>
  <r>
    <n v="45"/>
    <n v="38581.65"/>
    <d v="2023-08-23T00:00:00"/>
    <x v="140"/>
    <s v="Mexico"/>
    <s v="Location 4"/>
    <n v="857.37"/>
  </r>
  <r>
    <n v="45"/>
    <n v="38581.65"/>
    <d v="2023-08-23T00:00:00"/>
    <x v="140"/>
    <s v="Mexico"/>
    <s v="Location 4"/>
    <n v="857.37"/>
  </r>
  <r>
    <n v="45"/>
    <n v="38581.65"/>
    <d v="2023-08-23T00:00:00"/>
    <x v="140"/>
    <s v="Mexico"/>
    <s v="Location 4"/>
    <n v="857.37"/>
  </r>
  <r>
    <n v="45"/>
    <n v="38581.65"/>
    <d v="2023-08-23T00:00:00"/>
    <x v="140"/>
    <s v="Mexico"/>
    <s v="Location 4"/>
    <n v="857.37"/>
  </r>
  <r>
    <n v="45"/>
    <n v="38581.65"/>
    <d v="2023-08-23T00:00:00"/>
    <x v="140"/>
    <s v="Mexico"/>
    <s v="Location 4"/>
    <n v="857.37"/>
  </r>
  <r>
    <n v="140"/>
    <n v="58132.2"/>
    <d v="2023-07-14T00:00:00"/>
    <x v="176"/>
    <s v="Mexico"/>
    <s v="Location 4"/>
    <n v="415.23"/>
  </r>
  <r>
    <n v="140"/>
    <n v="58132.2"/>
    <d v="2023-07-14T00:00:00"/>
    <x v="176"/>
    <s v="Mexico"/>
    <s v="Location 4"/>
    <n v="415.23"/>
  </r>
  <r>
    <n v="140"/>
    <n v="58132.2"/>
    <d v="2023-07-14T00:00:00"/>
    <x v="176"/>
    <s v="Mexico"/>
    <s v="Location 4"/>
    <n v="415.23"/>
  </r>
  <r>
    <n v="420"/>
    <n v="318922.8"/>
    <d v="2023-07-14T00:00:00"/>
    <x v="154"/>
    <s v="Mexico"/>
    <s v="Location 4"/>
    <n v="759.34"/>
  </r>
  <r>
    <n v="540"/>
    <n v="58482"/>
    <d v="2022-07-19T00:00:00"/>
    <x v="149"/>
    <s v="Mexico"/>
    <s v="Location 4"/>
    <n v="108.3"/>
  </r>
  <r>
    <n v="324"/>
    <n v="35089.199999999997"/>
    <d v="2022-07-22T00:00:00"/>
    <x v="149"/>
    <s v="Mexico"/>
    <s v="Location 4"/>
    <n v="108.3"/>
  </r>
  <r>
    <n v="60"/>
    <n v="45560.4"/>
    <d v="2023-08-31T00:00:00"/>
    <x v="154"/>
    <s v="Mexico"/>
    <s v="Location 4"/>
    <n v="759.34"/>
  </r>
  <r>
    <n v="360"/>
    <n v="165855.6"/>
    <d v="2023-08-31T00:00:00"/>
    <x v="180"/>
    <s v="Mexico"/>
    <s v="Location 4"/>
    <n v="460.71"/>
  </r>
  <r>
    <n v="19"/>
    <n v="8563.49"/>
    <d v="2023-07-25T00:00:00"/>
    <x v="141"/>
    <s v="Mexico"/>
    <s v="Location 4"/>
    <n v="450.71"/>
  </r>
  <r>
    <n v="252"/>
    <n v="21606.48"/>
    <d v="2023-07-25T00:00:00"/>
    <x v="163"/>
    <s v="Mexico"/>
    <s v="Location 4"/>
    <n v="85.74"/>
  </r>
  <r>
    <n v="252"/>
    <n v="21606.48"/>
    <d v="2023-07-25T00:00:00"/>
    <x v="163"/>
    <s v="Mexico"/>
    <s v="Location 4"/>
    <n v="85.74"/>
  </r>
  <r>
    <n v="252"/>
    <n v="21606.48"/>
    <d v="2023-07-25T00:00:00"/>
    <x v="163"/>
    <s v="Mexico"/>
    <s v="Location 4"/>
    <n v="85.74"/>
  </r>
  <r>
    <n v="252"/>
    <n v="21606.48"/>
    <d v="2023-07-25T00:00:00"/>
    <x v="163"/>
    <s v="Mexico"/>
    <s v="Location 4"/>
    <n v="85.74"/>
  </r>
  <r>
    <n v="252"/>
    <n v="21606.48"/>
    <d v="2023-07-25T00:00:00"/>
    <x v="163"/>
    <s v="Mexico"/>
    <s v="Location 4"/>
    <n v="85.74"/>
  </r>
  <r>
    <n v="708"/>
    <n v="2712794.04"/>
    <d v="2022-10-25T00:00:00"/>
    <x v="183"/>
    <s v="Mexico"/>
    <s v="Location 4"/>
    <n v="3831.63"/>
  </r>
  <r>
    <n v="90"/>
    <n v="39505.5"/>
    <d v="2023-07-25T00:00:00"/>
    <x v="145"/>
    <s v="Mexico"/>
    <s v="Location 4"/>
    <n v="438.95"/>
  </r>
  <r>
    <n v="90"/>
    <n v="39505.5"/>
    <d v="2023-07-25T00:00:00"/>
    <x v="145"/>
    <s v="Mexico"/>
    <s v="Location 4"/>
    <n v="438.95"/>
  </r>
  <r>
    <n v="90"/>
    <n v="39505.5"/>
    <d v="2023-07-25T00:00:00"/>
    <x v="145"/>
    <s v="Mexico"/>
    <s v="Location 4"/>
    <n v="438.95"/>
  </r>
  <r>
    <n v="1820"/>
    <n v="4568.2"/>
    <d v="2023-07-25T00:00:00"/>
    <x v="161"/>
    <s v="Mexico"/>
    <s v="Location 4"/>
    <n v="2.5099999999999998"/>
  </r>
  <r>
    <n v="1820"/>
    <n v="4568.2"/>
    <d v="2023-07-25T00:00:00"/>
    <x v="161"/>
    <s v="Mexico"/>
    <s v="Location 4"/>
    <n v="2.5099999999999998"/>
  </r>
  <r>
    <n v="1820"/>
    <n v="4568.2"/>
    <d v="2023-07-25T00:00:00"/>
    <x v="161"/>
    <s v="Mexico"/>
    <s v="Location 4"/>
    <n v="2.5099999999999998"/>
  </r>
  <r>
    <n v="1820"/>
    <n v="4568.2"/>
    <d v="2023-07-25T00:00:00"/>
    <x v="161"/>
    <s v="Mexico"/>
    <s v="Location 4"/>
    <n v="2.5099999999999998"/>
  </r>
  <r>
    <n v="1820"/>
    <n v="4568.2"/>
    <d v="2023-07-25T00:00:00"/>
    <x v="161"/>
    <s v="Mexico"/>
    <s v="Location 4"/>
    <n v="2.5099999999999998"/>
  </r>
  <r>
    <n v="1820"/>
    <n v="4568.2"/>
    <d v="2023-07-25T00:00:00"/>
    <x v="161"/>
    <s v="Mexico"/>
    <s v="Location 4"/>
    <n v="2.5099999999999998"/>
  </r>
  <r>
    <n v="140"/>
    <n v="58132.2"/>
    <d v="2023-07-25T00:00:00"/>
    <x v="176"/>
    <s v="Mexico"/>
    <s v="Location 4"/>
    <n v="415.23"/>
  </r>
  <r>
    <n v="140"/>
    <n v="58132.2"/>
    <d v="2023-07-25T00:00:00"/>
    <x v="176"/>
    <s v="Mexico"/>
    <s v="Location 4"/>
    <n v="415.23"/>
  </r>
  <r>
    <n v="140"/>
    <n v="58132.2"/>
    <d v="2023-07-25T00:00:00"/>
    <x v="176"/>
    <s v="Mexico"/>
    <s v="Location 4"/>
    <n v="415.23"/>
  </r>
  <r>
    <n v="140"/>
    <n v="58132.2"/>
    <d v="2023-07-25T00:00:00"/>
    <x v="176"/>
    <s v="Mexico"/>
    <s v="Location 4"/>
    <n v="415.23"/>
  </r>
  <r>
    <n v="140"/>
    <n v="53718"/>
    <d v="2023-07-25T00:00:00"/>
    <x v="148"/>
    <s v="Mexico"/>
    <s v="Location 4"/>
    <n v="383.7"/>
  </r>
  <r>
    <n v="140"/>
    <n v="53718"/>
    <d v="2023-07-25T00:00:00"/>
    <x v="148"/>
    <s v="Mexico"/>
    <s v="Location 4"/>
    <n v="383.7"/>
  </r>
  <r>
    <n v="140"/>
    <n v="53718"/>
    <d v="2023-07-25T00:00:00"/>
    <x v="148"/>
    <s v="Mexico"/>
    <s v="Location 4"/>
    <n v="383.7"/>
  </r>
  <r>
    <n v="540"/>
    <n v="58482"/>
    <d v="2022-09-02T00:00:00"/>
    <x v="149"/>
    <s v="Mexico"/>
    <s v="Location 4"/>
    <n v="108.3"/>
  </r>
  <r>
    <n v="60"/>
    <n v="26432.400000000001"/>
    <d v="2022-09-02T00:00:00"/>
    <x v="145"/>
    <s v="Mexico"/>
    <s v="Location 4"/>
    <n v="440.54"/>
  </r>
  <r>
    <n v="60"/>
    <n v="26432.400000000001"/>
    <d v="2022-09-02T00:00:00"/>
    <x v="145"/>
    <s v="Mexico"/>
    <s v="Location 4"/>
    <n v="440.54"/>
  </r>
  <r>
    <n v="588"/>
    <n v="58982.28"/>
    <d v="2022-09-02T00:00:00"/>
    <x v="156"/>
    <s v="Mexico"/>
    <s v="Location 4"/>
    <n v="100.31"/>
  </r>
  <r>
    <n v="60"/>
    <n v="45724.800000000003"/>
    <d v="2022-10-28T00:00:00"/>
    <x v="154"/>
    <s v="Mexico"/>
    <s v="Location 4"/>
    <n v="762.08"/>
  </r>
  <r>
    <n v="420"/>
    <n v="320073.59999999998"/>
    <d v="2022-10-28T00:00:00"/>
    <x v="154"/>
    <s v="Mexico"/>
    <s v="Location 4"/>
    <n v="762.08"/>
  </r>
  <r>
    <n v="-35"/>
    <n v="-3718.4"/>
    <d v="2023-07-07T00:00:00"/>
    <x v="184"/>
    <s v="Mexico"/>
    <s v="Location 15"/>
    <n v="106.24"/>
  </r>
  <r>
    <n v="-270"/>
    <n v="-28684.799999999999"/>
    <d v="2023-07-07T00:00:00"/>
    <x v="184"/>
    <s v="Mexico"/>
    <s v="Location 15"/>
    <n v="106.24"/>
  </r>
  <r>
    <n v="-95"/>
    <n v="-10092.799999999999"/>
    <d v="2023-07-07T00:00:00"/>
    <x v="184"/>
    <s v="Mexico"/>
    <s v="Location 15"/>
    <n v="106.24"/>
  </r>
  <r>
    <n v="35"/>
    <n v="3941.35"/>
    <d v="2023-07-07T00:00:00"/>
    <x v="184"/>
    <s v="Mexico"/>
    <s v="Location 15"/>
    <n v="112.61"/>
  </r>
  <r>
    <n v="270"/>
    <n v="30404.7"/>
    <d v="2023-07-07T00:00:00"/>
    <x v="184"/>
    <s v="Mexico"/>
    <s v="Location 15"/>
    <n v="112.61"/>
  </r>
  <r>
    <n v="95"/>
    <n v="10697.95"/>
    <d v="2023-07-07T00:00:00"/>
    <x v="184"/>
    <s v="Mexico"/>
    <s v="Location 15"/>
    <n v="112.61"/>
  </r>
  <r>
    <n v="576"/>
    <n v="222497.28"/>
    <d v="2022-04-27T00:00:00"/>
    <x v="185"/>
    <s v="Mexico"/>
    <s v="Location 15"/>
    <n v="386.28"/>
  </r>
  <r>
    <n v="576"/>
    <n v="222497.28"/>
    <d v="2023-01-11T00:00:00"/>
    <x v="185"/>
    <s v="Mexico"/>
    <s v="Location 15"/>
    <n v="386.28"/>
  </r>
  <r>
    <n v="252"/>
    <n v="17481.240000000002"/>
    <d v="2023-03-07T00:00:00"/>
    <x v="186"/>
    <s v="Mexico"/>
    <s v="Location 15"/>
    <n v="69.37"/>
  </r>
  <r>
    <n v="300"/>
    <n v="3381"/>
    <d v="2023-03-10T00:00:00"/>
    <x v="187"/>
    <s v="Mexico"/>
    <s v="Location 15"/>
    <n v="11.27"/>
  </r>
  <r>
    <n v="70"/>
    <n v="39788"/>
    <d v="2023-01-20T00:00:00"/>
    <x v="188"/>
    <s v="Mexico"/>
    <s v="Location 15"/>
    <n v="568.4"/>
  </r>
  <r>
    <n v="300"/>
    <n v="3381"/>
    <d v="2023-01-20T00:00:00"/>
    <x v="187"/>
    <s v="Mexico"/>
    <s v="Location 15"/>
    <n v="11.27"/>
  </r>
  <r>
    <n v="1120"/>
    <n v="62227.199999999997"/>
    <d v="2023-01-20T00:00:00"/>
    <x v="189"/>
    <s v="Mexico"/>
    <s v="Location 15"/>
    <n v="55.56"/>
  </r>
  <r>
    <n v="155"/>
    <n v="10752.35"/>
    <d v="2023-04-04T00:00:00"/>
    <x v="186"/>
    <s v="Mexico"/>
    <s v="Location 15"/>
    <n v="69.37"/>
  </r>
  <r>
    <n v="300"/>
    <n v="3189"/>
    <d v="2022-05-06T00:00:00"/>
    <x v="187"/>
    <s v="Mexico"/>
    <s v="Location 15"/>
    <n v="10.63"/>
  </r>
  <r>
    <n v="576"/>
    <n v="222497.28"/>
    <d v="2022-05-06T00:00:00"/>
    <x v="185"/>
    <s v="Mexico"/>
    <s v="Location 15"/>
    <n v="386.28"/>
  </r>
  <r>
    <n v="70"/>
    <n v="41965.7"/>
    <d v="2023-05-08T00:00:00"/>
    <x v="188"/>
    <s v="Mexico"/>
    <s v="Location 15"/>
    <n v="599.51"/>
  </r>
  <r>
    <n v="300"/>
    <n v="3381"/>
    <d v="2023-05-08T00:00:00"/>
    <x v="187"/>
    <s v="Mexico"/>
    <s v="Location 15"/>
    <n v="11.27"/>
  </r>
  <r>
    <n v="1440"/>
    <n v="362649.59999999998"/>
    <d v="2023-05-08T00:00:00"/>
    <x v="190"/>
    <s v="Mexico"/>
    <s v="Location 15"/>
    <n v="251.84"/>
  </r>
  <r>
    <n v="1440"/>
    <n v="362649.59999999998"/>
    <d v="2023-06-12T00:00:00"/>
    <x v="190"/>
    <s v="Mexico"/>
    <s v="Location 15"/>
    <n v="251.84"/>
  </r>
  <r>
    <n v="1120"/>
    <n v="62227.199999999997"/>
    <d v="2023-04-20T00:00:00"/>
    <x v="189"/>
    <s v="Mexico"/>
    <s v="Location 15"/>
    <n v="55.56"/>
  </r>
  <r>
    <n v="27000"/>
    <n v="2640.6"/>
    <d v="2023-02-15T00:00:00"/>
    <x v="152"/>
    <s v="Mexico"/>
    <s v="Location 15"/>
    <n v="9.7799999999999998E-2"/>
  </r>
  <r>
    <n v="1120"/>
    <n v="58710.400000000001"/>
    <d v="2022-05-18T00:00:00"/>
    <x v="189"/>
    <s v="Mexico"/>
    <s v="Location 15"/>
    <n v="52.42"/>
  </r>
  <r>
    <n v="1120"/>
    <n v="58710.400000000001"/>
    <d v="2022-05-23T00:00:00"/>
    <x v="189"/>
    <s v="Mexico"/>
    <s v="Location 15"/>
    <n v="52.42"/>
  </r>
  <r>
    <n v="576"/>
    <n v="235843.20000000001"/>
    <d v="2023-07-26T00:00:00"/>
    <x v="185"/>
    <s v="Mexico"/>
    <s v="Location 15"/>
    <n v="409.45"/>
  </r>
  <r>
    <n v="1440"/>
    <n v="362649.59999999998"/>
    <d v="2023-07-27T00:00:00"/>
    <x v="190"/>
    <s v="Mexico"/>
    <s v="Location 15"/>
    <n v="251.84"/>
  </r>
  <r>
    <n v="70"/>
    <n v="41965.7"/>
    <d v="2023-08-09T00:00:00"/>
    <x v="188"/>
    <s v="Mexico"/>
    <s v="Location 15"/>
    <n v="599.51"/>
  </r>
  <r>
    <n v="300"/>
    <n v="3381"/>
    <d v="2023-08-16T00:00:00"/>
    <x v="187"/>
    <s v="Mexico"/>
    <s v="Location 15"/>
    <n v="11.27"/>
  </r>
  <r>
    <n v="1120"/>
    <n v="58699.199999999997"/>
    <d v="2022-10-07T00:00:00"/>
    <x v="189"/>
    <s v="Mexico"/>
    <s v="Location 15"/>
    <n v="52.41"/>
  </r>
  <r>
    <n v="380"/>
    <n v="19915.8"/>
    <d v="2022-10-07T00:00:00"/>
    <x v="189"/>
    <s v="Mexico"/>
    <s v="Location 15"/>
    <n v="52.41"/>
  </r>
  <r>
    <n v="1120"/>
    <n v="58699.199999999997"/>
    <d v="2022-10-07T00:00:00"/>
    <x v="189"/>
    <s v="Mexico"/>
    <s v="Location 15"/>
    <n v="52.41"/>
  </r>
  <r>
    <n v="1440"/>
    <n v="342129.6"/>
    <d v="2022-10-11T00:00:00"/>
    <x v="190"/>
    <s v="Mexico"/>
    <s v="Location 15"/>
    <n v="237.59"/>
  </r>
  <r>
    <n v="300"/>
    <n v="3189"/>
    <d v="2022-12-05T00:00:00"/>
    <x v="187"/>
    <s v="Mexico"/>
    <s v="Location 15"/>
    <n v="10.63"/>
  </r>
  <r>
    <n v="300"/>
    <n v="3189"/>
    <d v="2022-12-05T00:00:00"/>
    <x v="187"/>
    <s v="Mexico"/>
    <s v="Location 15"/>
    <n v="10.63"/>
  </r>
  <r>
    <n v="300"/>
    <n v="3189"/>
    <d v="2022-12-05T00:00:00"/>
    <x v="187"/>
    <s v="Mexico"/>
    <s v="Location 15"/>
    <n v="10.63"/>
  </r>
  <r>
    <n v="300"/>
    <n v="3381"/>
    <d v="2023-07-07T00:00:00"/>
    <x v="187"/>
    <s v="Mexico"/>
    <s v="Location 15"/>
    <n v="11.27"/>
  </r>
  <r>
    <n v="576"/>
    <n v="222497.28"/>
    <d v="2022-10-13T00:00:00"/>
    <x v="185"/>
    <s v="Mexico"/>
    <s v="Location 15"/>
    <n v="386.28"/>
  </r>
  <r>
    <n v="740"/>
    <n v="38783.4"/>
    <d v="2022-12-15T00:00:00"/>
    <x v="189"/>
    <s v="Mexico"/>
    <s v="Location 15"/>
    <n v="52.41"/>
  </r>
  <r>
    <n v="380"/>
    <n v="19915.8"/>
    <d v="2022-12-15T00:00:00"/>
    <x v="189"/>
    <s v="Mexico"/>
    <s v="Location 15"/>
    <n v="52.41"/>
  </r>
  <r>
    <n v="300"/>
    <n v="3189"/>
    <d v="2022-07-11T00:00:00"/>
    <x v="187"/>
    <s v="Mexico"/>
    <s v="Location 15"/>
    <n v="10.63"/>
  </r>
  <r>
    <n v="1440"/>
    <n v="342129.6"/>
    <d v="2022-07-13T00:00:00"/>
    <x v="190"/>
    <s v="Mexico"/>
    <s v="Location 15"/>
    <n v="237.59"/>
  </r>
  <r>
    <n v="1120"/>
    <n v="62227.199999999997"/>
    <d v="2023-08-23T00:00:00"/>
    <x v="189"/>
    <s v="Mexico"/>
    <s v="Location 15"/>
    <n v="55.56"/>
  </r>
  <r>
    <n v="740"/>
    <n v="38783.4"/>
    <d v="2022-12-20T00:00:00"/>
    <x v="189"/>
    <s v="Mexico"/>
    <s v="Location 15"/>
    <n v="52.41"/>
  </r>
  <r>
    <n v="576"/>
    <n v="222497.28"/>
    <d v="2022-08-25T00:00:00"/>
    <x v="185"/>
    <s v="Mexico"/>
    <s v="Location 15"/>
    <n v="386.28"/>
  </r>
  <r>
    <n v="200"/>
    <n v="21248"/>
    <d v="2023-05-30T00:00:00"/>
    <x v="184"/>
    <s v="Mexico"/>
    <s v="Location 15"/>
    <n v="106.24"/>
  </r>
  <r>
    <n v="200"/>
    <n v="21248"/>
    <d v="2023-05-30T00:00:00"/>
    <x v="184"/>
    <s v="Mexico"/>
    <s v="Location 15"/>
    <n v="106.24"/>
  </r>
  <r>
    <n v="84"/>
    <n v="11639.04"/>
    <d v="2023-05-30T00:00:00"/>
    <x v="191"/>
    <s v="Mexico"/>
    <s v="Location 15"/>
    <n v="138.56"/>
  </r>
  <r>
    <n v="84"/>
    <n v="10980.48"/>
    <d v="2023-01-04T00:00:00"/>
    <x v="191"/>
    <s v="Mexico"/>
    <s v="Location 15"/>
    <n v="130.72"/>
  </r>
  <r>
    <n v="84"/>
    <n v="10980.48"/>
    <d v="2023-01-04T00:00:00"/>
    <x v="191"/>
    <s v="Mexico"/>
    <s v="Location 15"/>
    <n v="130.72"/>
  </r>
  <r>
    <n v="84"/>
    <n v="10980.48"/>
    <d v="2023-01-04T00:00:00"/>
    <x v="191"/>
    <s v="Mexico"/>
    <s v="Location 15"/>
    <n v="130.72"/>
  </r>
  <r>
    <n v="84"/>
    <n v="10980.48"/>
    <d v="2023-01-04T00:00:00"/>
    <x v="191"/>
    <s v="Mexico"/>
    <s v="Location 15"/>
    <n v="130.72"/>
  </r>
  <r>
    <n v="120"/>
    <n v="1116"/>
    <d v="2023-01-11T00:00:00"/>
    <x v="192"/>
    <s v="Mexico"/>
    <s v="Location 15"/>
    <n v="9.3000000000000007"/>
  </r>
  <r>
    <n v="200"/>
    <n v="21248"/>
    <d v="2023-04-04T00:00:00"/>
    <x v="184"/>
    <s v="Mexico"/>
    <s v="Location 15"/>
    <n v="106.24"/>
  </r>
  <r>
    <n v="360"/>
    <n v="38246.400000000001"/>
    <d v="2022-06-08T00:00:00"/>
    <x v="184"/>
    <s v="Mexico"/>
    <s v="Location 15"/>
    <n v="106.24"/>
  </r>
  <r>
    <n v="120"/>
    <n v="12748.8"/>
    <d v="2022-06-08T00:00:00"/>
    <x v="184"/>
    <s v="Mexico"/>
    <s v="Location 15"/>
    <n v="106.24"/>
  </r>
  <r>
    <n v="360"/>
    <n v="38246.400000000001"/>
    <d v="2022-06-08T00:00:00"/>
    <x v="184"/>
    <s v="Mexico"/>
    <s v="Location 15"/>
    <n v="106.24"/>
  </r>
  <r>
    <n v="330"/>
    <n v="35059.199999999997"/>
    <d v="2022-06-08T00:00:00"/>
    <x v="184"/>
    <s v="Mexico"/>
    <s v="Location 15"/>
    <n v="106.24"/>
  </r>
  <r>
    <n v="84"/>
    <n v="11639.04"/>
    <d v="2023-04-04T00:00:00"/>
    <x v="191"/>
    <s v="Mexico"/>
    <s v="Location 15"/>
    <n v="138.56"/>
  </r>
  <r>
    <n v="84"/>
    <n v="11639.04"/>
    <d v="2023-04-04T00:00:00"/>
    <x v="191"/>
    <s v="Mexico"/>
    <s v="Location 15"/>
    <n v="138.56"/>
  </r>
  <r>
    <n v="168"/>
    <n v="23278.080000000002"/>
    <d v="2023-04-04T00:00:00"/>
    <x v="191"/>
    <s v="Mexico"/>
    <s v="Location 15"/>
    <n v="138.56"/>
  </r>
  <r>
    <n v="84"/>
    <n v="11639.04"/>
    <d v="2023-04-04T00:00:00"/>
    <x v="191"/>
    <s v="Mexico"/>
    <s v="Location 15"/>
    <n v="138.56"/>
  </r>
  <r>
    <n v="84"/>
    <n v="11639.04"/>
    <d v="2023-04-04T00:00:00"/>
    <x v="191"/>
    <s v="Mexico"/>
    <s v="Location 15"/>
    <n v="138.56"/>
  </r>
  <r>
    <n v="400"/>
    <n v="42496"/>
    <d v="2023-05-03T00:00:00"/>
    <x v="184"/>
    <s v="Mexico"/>
    <s v="Location 15"/>
    <n v="106.24"/>
  </r>
  <r>
    <n v="200"/>
    <n v="21248"/>
    <d v="2023-05-03T00:00:00"/>
    <x v="184"/>
    <s v="Mexico"/>
    <s v="Location 15"/>
    <n v="106.24"/>
  </r>
  <r>
    <n v="1500"/>
    <n v="1725"/>
    <d v="2022-05-06T00:00:00"/>
    <x v="172"/>
    <s v="Mexico"/>
    <s v="Location 15"/>
    <n v="1.1499999999999999"/>
  </r>
  <r>
    <n v="400"/>
    <n v="42496"/>
    <d v="2023-06-12T00:00:00"/>
    <x v="184"/>
    <s v="Mexico"/>
    <s v="Location 15"/>
    <n v="106.24"/>
  </r>
  <r>
    <n v="120"/>
    <n v="10405.200000000001"/>
    <d v="2023-06-21T00:00:00"/>
    <x v="175"/>
    <s v="Mexico"/>
    <s v="Location 15"/>
    <n v="86.71"/>
  </r>
  <r>
    <n v="200"/>
    <n v="22522"/>
    <d v="2023-06-26T00:00:00"/>
    <x v="184"/>
    <s v="Mexico"/>
    <s v="Location 15"/>
    <n v="112.61"/>
  </r>
  <r>
    <n v="200"/>
    <n v="21248"/>
    <d v="2023-06-26T00:00:00"/>
    <x v="184"/>
    <s v="Mexico"/>
    <s v="Location 15"/>
    <n v="106.24"/>
  </r>
  <r>
    <n v="400"/>
    <n v="45044"/>
    <d v="2023-06-26T00:00:00"/>
    <x v="184"/>
    <s v="Mexico"/>
    <s v="Location 15"/>
    <n v="112.61"/>
  </r>
  <r>
    <n v="400"/>
    <n v="45044"/>
    <d v="2023-06-26T00:00:00"/>
    <x v="184"/>
    <s v="Mexico"/>
    <s v="Location 15"/>
    <n v="112.61"/>
  </r>
  <r>
    <n v="400"/>
    <n v="42496"/>
    <d v="2023-06-26T00:00:00"/>
    <x v="184"/>
    <s v="Mexico"/>
    <s v="Location 15"/>
    <n v="106.24"/>
  </r>
  <r>
    <n v="70"/>
    <n v="7882.7"/>
    <d v="2023-06-26T00:00:00"/>
    <x v="184"/>
    <s v="Mexico"/>
    <s v="Location 15"/>
    <n v="112.61"/>
  </r>
  <r>
    <n v="1500"/>
    <n v="1830"/>
    <d v="2023-01-30T00:00:00"/>
    <x v="172"/>
    <s v="Mexico"/>
    <s v="Location 15"/>
    <n v="1.22"/>
  </r>
  <r>
    <n v="360"/>
    <n v="3348"/>
    <d v="2023-04-20T00:00:00"/>
    <x v="192"/>
    <s v="Mexico"/>
    <s v="Location 15"/>
    <n v="9.3000000000000007"/>
  </r>
  <r>
    <n v="400"/>
    <n v="42496"/>
    <d v="2023-04-20T00:00:00"/>
    <x v="184"/>
    <s v="Mexico"/>
    <s v="Location 15"/>
    <n v="106.24"/>
  </r>
  <r>
    <n v="360"/>
    <n v="3348"/>
    <d v="2023-02-10T00:00:00"/>
    <x v="192"/>
    <s v="Mexico"/>
    <s v="Location 15"/>
    <n v="9.3000000000000007"/>
  </r>
  <r>
    <n v="3000"/>
    <n v="3450"/>
    <d v="2022-02-22T00:00:00"/>
    <x v="172"/>
    <s v="Mexico"/>
    <s v="Location 15"/>
    <n v="1.1499999999999999"/>
  </r>
  <r>
    <n v="84"/>
    <n v="11639.04"/>
    <d v="2023-02-24T00:00:00"/>
    <x v="191"/>
    <s v="Mexico"/>
    <s v="Location 15"/>
    <n v="138.56"/>
  </r>
  <r>
    <n v="84"/>
    <n v="10980.48"/>
    <d v="2022-09-06T00:00:00"/>
    <x v="191"/>
    <s v="Mexico"/>
    <s v="Location 15"/>
    <n v="130.72"/>
  </r>
  <r>
    <n v="120"/>
    <n v="11030.4"/>
    <d v="2023-09-06T00:00:00"/>
    <x v="175"/>
    <s v="Mexico"/>
    <s v="Location 15"/>
    <n v="91.92"/>
  </r>
  <r>
    <n v="1500"/>
    <n v="971.85"/>
    <d v="2022-09-07T00:00:00"/>
    <x v="153"/>
    <s v="Mexico"/>
    <s v="Location 15"/>
    <n v="0.64790000000000003"/>
  </r>
  <r>
    <n v="130"/>
    <n v="14639.3"/>
    <d v="2023-07-26T00:00:00"/>
    <x v="184"/>
    <s v="Mexico"/>
    <s v="Location 15"/>
    <n v="112.61"/>
  </r>
  <r>
    <n v="400"/>
    <n v="45044"/>
    <d v="2023-07-26T00:00:00"/>
    <x v="184"/>
    <s v="Mexico"/>
    <s v="Location 15"/>
    <n v="112.61"/>
  </r>
  <r>
    <n v="200"/>
    <n v="22522"/>
    <d v="2023-07-26T00:00:00"/>
    <x v="184"/>
    <s v="Mexico"/>
    <s v="Location 15"/>
    <n v="112.61"/>
  </r>
  <r>
    <n v="200"/>
    <n v="22522"/>
    <d v="2023-07-26T00:00:00"/>
    <x v="184"/>
    <s v="Mexico"/>
    <s v="Location 15"/>
    <n v="112.61"/>
  </r>
  <r>
    <n v="200"/>
    <n v="22522"/>
    <d v="2023-07-26T00:00:00"/>
    <x v="184"/>
    <s v="Mexico"/>
    <s v="Location 15"/>
    <n v="112.61"/>
  </r>
  <r>
    <n v="400"/>
    <n v="45044"/>
    <d v="2023-07-26T00:00:00"/>
    <x v="184"/>
    <s v="Mexico"/>
    <s v="Location 15"/>
    <n v="112.61"/>
  </r>
  <r>
    <n v="270"/>
    <n v="30404.7"/>
    <d v="2023-07-26T00:00:00"/>
    <x v="184"/>
    <s v="Mexico"/>
    <s v="Location 15"/>
    <n v="112.61"/>
  </r>
  <r>
    <n v="84"/>
    <n v="11639.04"/>
    <d v="2023-07-27T00:00:00"/>
    <x v="191"/>
    <s v="Mexico"/>
    <s v="Location 15"/>
    <n v="138.56"/>
  </r>
  <r>
    <n v="3780"/>
    <n v="52466.400000000001"/>
    <d v="2022-07-28T00:00:00"/>
    <x v="182"/>
    <s v="Mexico"/>
    <s v="Location 15"/>
    <n v="13.88"/>
  </r>
  <r>
    <n v="84"/>
    <n v="10980.48"/>
    <d v="2022-09-19T00:00:00"/>
    <x v="191"/>
    <s v="Mexico"/>
    <s v="Location 15"/>
    <n v="130.72"/>
  </r>
  <r>
    <n v="180"/>
    <n v="1512"/>
    <d v="2022-09-22T00:00:00"/>
    <x v="192"/>
    <s v="Mexico"/>
    <s v="Location 15"/>
    <n v="8.4"/>
  </r>
  <r>
    <n v="60"/>
    <n v="504"/>
    <d v="2022-09-22T00:00:00"/>
    <x v="192"/>
    <s v="Mexico"/>
    <s v="Location 15"/>
    <n v="8.4"/>
  </r>
  <r>
    <n v="1500"/>
    <n v="1725"/>
    <d v="2022-08-03T00:00:00"/>
    <x v="172"/>
    <s v="Mexico"/>
    <s v="Location 15"/>
    <n v="1.1499999999999999"/>
  </r>
  <r>
    <n v="120"/>
    <n v="1008"/>
    <d v="2022-09-22T00:00:00"/>
    <x v="192"/>
    <s v="Mexico"/>
    <s v="Location 15"/>
    <n v="8.4"/>
  </r>
  <r>
    <n v="1500"/>
    <n v="1721.16"/>
    <d v="2022-11-03T00:00:00"/>
    <x v="172"/>
    <s v="Mexico"/>
    <s v="Location 15"/>
    <n v="1.1474"/>
  </r>
  <r>
    <n v="360"/>
    <n v="3024"/>
    <d v="2022-11-07T00:00:00"/>
    <x v="192"/>
    <s v="Mexico"/>
    <s v="Location 15"/>
    <n v="8.4"/>
  </r>
  <r>
    <n v="108"/>
    <n v="9364.68"/>
    <d v="2022-09-30T00:00:00"/>
    <x v="175"/>
    <s v="Mexico"/>
    <s v="Location 15"/>
    <n v="86.71"/>
  </r>
  <r>
    <n v="120"/>
    <n v="10405.200000000001"/>
    <d v="2022-09-30T00:00:00"/>
    <x v="175"/>
    <s v="Mexico"/>
    <s v="Location 15"/>
    <n v="86.71"/>
  </r>
  <r>
    <n v="120"/>
    <n v="10405.200000000001"/>
    <d v="2023-08-16T00:00:00"/>
    <x v="175"/>
    <s v="Mexico"/>
    <s v="Location 15"/>
    <n v="86.71"/>
  </r>
  <r>
    <n v="400"/>
    <n v="45044"/>
    <d v="2023-08-16T00:00:00"/>
    <x v="184"/>
    <s v="Mexico"/>
    <s v="Location 15"/>
    <n v="112.61"/>
  </r>
  <r>
    <n v="1500"/>
    <n v="1725"/>
    <d v="2021-12-06T00:00:00"/>
    <x v="172"/>
    <s v="Mexico"/>
    <s v="Location 15"/>
    <n v="1.1499999999999999"/>
  </r>
  <r>
    <n v="1500"/>
    <n v="1725"/>
    <d v="2022-07-06T00:00:00"/>
    <x v="172"/>
    <s v="Mexico"/>
    <s v="Location 15"/>
    <n v="1.1499999999999999"/>
  </r>
  <r>
    <n v="84"/>
    <n v="11639.04"/>
    <d v="2023-07-07T00:00:00"/>
    <x v="191"/>
    <s v="Mexico"/>
    <s v="Location 15"/>
    <n v="138.56"/>
  </r>
  <r>
    <n v="3000"/>
    <n v="3660"/>
    <d v="2023-07-07T00:00:00"/>
    <x v="172"/>
    <s v="Mexico"/>
    <s v="Location 15"/>
    <n v="1.22"/>
  </r>
  <r>
    <n v="1500"/>
    <n v="1830"/>
    <d v="2023-07-07T00:00:00"/>
    <x v="172"/>
    <s v="Mexico"/>
    <s v="Location 15"/>
    <n v="1.22"/>
  </r>
  <r>
    <n v="1500"/>
    <n v="1830"/>
    <d v="2023-07-07T00:00:00"/>
    <x v="172"/>
    <s v="Mexico"/>
    <s v="Location 15"/>
    <n v="1.22"/>
  </r>
  <r>
    <n v="1500"/>
    <n v="1830"/>
    <d v="2023-07-07T00:00:00"/>
    <x v="172"/>
    <s v="Mexico"/>
    <s v="Location 15"/>
    <n v="1.22"/>
  </r>
  <r>
    <n v="120"/>
    <n v="10405.200000000001"/>
    <d v="2023-08-17T00:00:00"/>
    <x v="175"/>
    <s v="Mexico"/>
    <s v="Location 15"/>
    <n v="86.71"/>
  </r>
  <r>
    <n v="200"/>
    <n v="22522"/>
    <d v="2023-08-17T00:00:00"/>
    <x v="184"/>
    <s v="Mexico"/>
    <s v="Location 15"/>
    <n v="112.61"/>
  </r>
  <r>
    <n v="130"/>
    <n v="14639.3"/>
    <d v="2023-08-17T00:00:00"/>
    <x v="184"/>
    <s v="Mexico"/>
    <s v="Location 15"/>
    <n v="112.61"/>
  </r>
  <r>
    <n v="1500"/>
    <n v="1830"/>
    <d v="2023-08-17T00:00:00"/>
    <x v="172"/>
    <s v="Mexico"/>
    <s v="Location 15"/>
    <n v="1.22"/>
  </r>
  <r>
    <n v="84"/>
    <n v="10980.48"/>
    <d v="2022-10-13T00:00:00"/>
    <x v="191"/>
    <s v="Mexico"/>
    <s v="Location 15"/>
    <n v="130.72"/>
  </r>
  <r>
    <n v="180"/>
    <n v="1512"/>
    <d v="2022-12-15T00:00:00"/>
    <x v="192"/>
    <s v="Mexico"/>
    <s v="Location 15"/>
    <n v="8.4"/>
  </r>
  <r>
    <n v="330"/>
    <n v="34772.1"/>
    <d v="2022-07-12T00:00:00"/>
    <x v="193"/>
    <s v="Mexico"/>
    <s v="Location 15"/>
    <n v="105.37"/>
  </r>
  <r>
    <n v="120"/>
    <n v="1008"/>
    <d v="2022-08-22T00:00:00"/>
    <x v="192"/>
    <s v="Mexico"/>
    <s v="Location 15"/>
    <n v="8.4"/>
  </r>
  <r>
    <n v="240"/>
    <n v="2016"/>
    <d v="2022-08-22T00:00:00"/>
    <x v="192"/>
    <s v="Mexico"/>
    <s v="Location 15"/>
    <n v="8.4"/>
  </r>
  <r>
    <n v="72"/>
    <n v="6243.12"/>
    <d v="2022-08-22T00:00:00"/>
    <x v="175"/>
    <s v="Mexico"/>
    <s v="Location 15"/>
    <n v="86.71"/>
  </r>
  <r>
    <n v="108"/>
    <n v="9364.68"/>
    <d v="2022-08-22T00:00:00"/>
    <x v="175"/>
    <s v="Mexico"/>
    <s v="Location 15"/>
    <n v="86.71"/>
  </r>
  <r>
    <n v="72"/>
    <n v="6243.12"/>
    <d v="2022-08-22T00:00:00"/>
    <x v="175"/>
    <s v="Mexico"/>
    <s v="Location 15"/>
    <n v="86.71"/>
  </r>
  <r>
    <n v="120"/>
    <n v="11030.4"/>
    <d v="2023-08-23T00:00:00"/>
    <x v="175"/>
    <s v="Mexico"/>
    <s v="Location 15"/>
    <n v="91.92"/>
  </r>
  <r>
    <n v="108"/>
    <n v="9927.36"/>
    <d v="2023-08-23T00:00:00"/>
    <x v="175"/>
    <s v="Mexico"/>
    <s v="Location 15"/>
    <n v="91.92"/>
  </r>
  <r>
    <n v="12"/>
    <n v="1040.52"/>
    <d v="2023-08-23T00:00:00"/>
    <x v="175"/>
    <s v="Mexico"/>
    <s v="Location 15"/>
    <n v="86.71"/>
  </r>
  <r>
    <n v="1500"/>
    <n v="1725"/>
    <d v="2021-12-22T00:00:00"/>
    <x v="172"/>
    <s v="Mexico"/>
    <s v="Location 15"/>
    <n v="1.1499999999999999"/>
  </r>
  <r>
    <n v="3000"/>
    <n v="3450"/>
    <d v="2022-12-29T00:00:00"/>
    <x v="172"/>
    <s v="Mexico"/>
    <s v="Location 15"/>
    <n v="1.1499999999999999"/>
  </r>
  <r>
    <n v="1500"/>
    <n v="1725"/>
    <d v="2022-12-29T00:00:00"/>
    <x v="172"/>
    <s v="Mexico"/>
    <s v="Location 15"/>
    <n v="1.1499999999999999"/>
  </r>
  <r>
    <n v="120"/>
    <n v="11030.4"/>
    <d v="2023-08-28T00:00:00"/>
    <x v="175"/>
    <s v="Mexico"/>
    <s v="Location 15"/>
    <n v="91.92"/>
  </r>
  <r>
    <n v="120"/>
    <n v="1008"/>
    <d v="2022-10-21T00:00:00"/>
    <x v="192"/>
    <s v="Mexico"/>
    <s v="Location 15"/>
    <n v="8.4"/>
  </r>
  <r>
    <n v="1329"/>
    <s v=""/>
    <d v="2023-08-11T00:00:00"/>
    <x v="194"/>
    <s v="Mexico"/>
    <s v="Location 13"/>
    <s v=""/>
  </r>
  <r>
    <n v="351"/>
    <s v=""/>
    <d v="2023-08-11T00:00:00"/>
    <x v="194"/>
    <s v="Mexico"/>
    <s v="Location 13"/>
    <s v=""/>
  </r>
  <r>
    <n v="785"/>
    <s v=""/>
    <d v="2023-08-11T00:00:00"/>
    <x v="195"/>
    <s v="Mexico"/>
    <s v="Location 13"/>
    <s v=""/>
  </r>
  <r>
    <n v="-351"/>
    <s v=""/>
    <d v="2023-08-15T00:00:00"/>
    <x v="194"/>
    <s v="Mexico"/>
    <s v="Location 13"/>
    <s v=""/>
  </r>
  <r>
    <n v="-785"/>
    <s v=""/>
    <d v="2023-08-15T00:00:00"/>
    <x v="195"/>
    <s v="Mexico"/>
    <s v="Location 13"/>
    <s v=""/>
  </r>
  <r>
    <n v="-1329"/>
    <s v=""/>
    <d v="2023-08-15T00:00:00"/>
    <x v="194"/>
    <s v="Mexico"/>
    <s v="Location 13"/>
    <s v=""/>
  </r>
  <r>
    <n v="240"/>
    <n v="6355.2"/>
    <d v="2023-09-11T00:00:00"/>
    <x v="196"/>
    <s v="Mexico"/>
    <s v="Location 13"/>
    <n v="26.48"/>
  </r>
  <r>
    <n v="3000"/>
    <n v="5250"/>
    <d v="2022-01-18T00:00:00"/>
    <x v="180"/>
    <s v="Mexico"/>
    <s v="Location 13"/>
    <n v="1.75"/>
  </r>
  <r>
    <n v="18000"/>
    <n v="31500"/>
    <d v="2022-01-18T00:00:00"/>
    <x v="180"/>
    <s v="Mexico"/>
    <s v="Location 13"/>
    <n v="1.75"/>
  </r>
  <r>
    <n v="6000"/>
    <n v="10500"/>
    <d v="2022-01-18T00:00:00"/>
    <x v="180"/>
    <s v="Mexico"/>
    <s v="Location 13"/>
    <n v="1.75"/>
  </r>
  <r>
    <n v="12000"/>
    <n v="21000"/>
    <d v="2022-01-19T00:00:00"/>
    <x v="180"/>
    <s v="Mexico"/>
    <s v="Location 13"/>
    <n v="1.75"/>
  </r>
  <r>
    <n v="3000"/>
    <n v="5940"/>
    <d v="2022-01-28T00:00:00"/>
    <x v="197"/>
    <s v="Mexico"/>
    <s v="Location 13"/>
    <n v="1.98"/>
  </r>
  <r>
    <n v="4000"/>
    <n v="5360"/>
    <d v="2023-02-06T00:00:00"/>
    <x v="198"/>
    <s v="Mexico"/>
    <s v="Location 13"/>
    <n v="1.34"/>
  </r>
  <r>
    <n v="3000"/>
    <n v="5280"/>
    <d v="2023-02-07T00:00:00"/>
    <x v="146"/>
    <s v="Mexico"/>
    <s v="Location 13"/>
    <n v="1.76"/>
  </r>
  <r>
    <n v="3000"/>
    <n v="5940"/>
    <d v="2022-02-18T00:00:00"/>
    <x v="197"/>
    <s v="Mexico"/>
    <s v="Location 13"/>
    <n v="1.98"/>
  </r>
  <r>
    <n v="3000"/>
    <n v="5940"/>
    <d v="2022-02-25T00:00:00"/>
    <x v="197"/>
    <s v="Mexico"/>
    <s v="Location 13"/>
    <n v="1.98"/>
  </r>
  <r>
    <n v="3000"/>
    <n v="5280"/>
    <d v="2023-03-08T00:00:00"/>
    <x v="146"/>
    <s v="Mexico"/>
    <s v="Location 13"/>
    <n v="1.76"/>
  </r>
  <r>
    <n v="3000"/>
    <n v="5280"/>
    <d v="2023-03-08T00:00:00"/>
    <x v="146"/>
    <s v="Mexico"/>
    <s v="Location 13"/>
    <n v="1.76"/>
  </r>
  <r>
    <n v="4000"/>
    <n v="5360"/>
    <d v="2023-03-09T00:00:00"/>
    <x v="198"/>
    <s v="Mexico"/>
    <s v="Location 13"/>
    <n v="1.34"/>
  </r>
  <r>
    <n v="4000"/>
    <n v="5360"/>
    <d v="2023-03-15T00:00:00"/>
    <x v="198"/>
    <s v="Mexico"/>
    <s v="Location 13"/>
    <n v="1.34"/>
  </r>
  <r>
    <n v="6000"/>
    <n v="10500"/>
    <d v="2022-03-22T00:00:00"/>
    <x v="180"/>
    <s v="Mexico"/>
    <s v="Location 13"/>
    <n v="1.75"/>
  </r>
  <r>
    <n v="6000"/>
    <n v="10560"/>
    <d v="2022-03-29T00:00:00"/>
    <x v="146"/>
    <s v="Mexico"/>
    <s v="Location 13"/>
    <n v="1.76"/>
  </r>
  <r>
    <n v="4000"/>
    <n v="5360"/>
    <d v="2022-04-02T00:00:00"/>
    <x v="198"/>
    <s v="Mexico"/>
    <s v="Location 13"/>
    <n v="1.34"/>
  </r>
  <r>
    <n v="3000"/>
    <n v="5250"/>
    <d v="2022-04-08T00:00:00"/>
    <x v="180"/>
    <s v="Mexico"/>
    <s v="Location 13"/>
    <n v="1.75"/>
  </r>
  <r>
    <n v="3000"/>
    <n v="5280"/>
    <d v="2023-04-25T00:00:00"/>
    <x v="146"/>
    <s v="Mexico"/>
    <s v="Location 13"/>
    <n v="1.76"/>
  </r>
  <r>
    <n v="3000"/>
    <n v="5280"/>
    <d v="2023-04-25T00:00:00"/>
    <x v="146"/>
    <s v="Mexico"/>
    <s v="Location 13"/>
    <n v="1.76"/>
  </r>
  <r>
    <n v="3000"/>
    <n v="5940"/>
    <d v="2022-04-26T00:00:00"/>
    <x v="197"/>
    <s v="Mexico"/>
    <s v="Location 13"/>
    <n v="1.98"/>
  </r>
  <r>
    <n v="4000"/>
    <n v="5360"/>
    <d v="2023-04-28T00:00:00"/>
    <x v="198"/>
    <s v="Mexico"/>
    <s v="Location 13"/>
    <n v="1.34"/>
  </r>
  <r>
    <n v="4000"/>
    <n v="5360"/>
    <d v="2023-04-28T00:00:00"/>
    <x v="198"/>
    <s v="Mexico"/>
    <s v="Location 13"/>
    <n v="1.34"/>
  </r>
  <r>
    <n v="3000"/>
    <n v="5280"/>
    <d v="2023-04-28T00:00:00"/>
    <x v="146"/>
    <s v="Mexico"/>
    <s v="Location 13"/>
    <n v="1.76"/>
  </r>
  <r>
    <n v="3000"/>
    <n v="5940"/>
    <d v="2022-05-17T00:00:00"/>
    <x v="197"/>
    <s v="Mexico"/>
    <s v="Location 13"/>
    <n v="1.98"/>
  </r>
  <r>
    <n v="3000"/>
    <n v="5940"/>
    <d v="2022-05-17T00:00:00"/>
    <x v="197"/>
    <s v="Mexico"/>
    <s v="Location 13"/>
    <n v="1.98"/>
  </r>
  <r>
    <n v="20"/>
    <n v="11225.8"/>
    <d v="2023-02-01T00:00:00"/>
    <x v="199"/>
    <s v="Mexico"/>
    <s v="Location 13"/>
    <n v="561.29"/>
  </r>
  <r>
    <n v="22"/>
    <n v="13154.9"/>
    <d v="2023-03-08T00:00:00"/>
    <x v="199"/>
    <s v="Mexico"/>
    <s v="Location 13"/>
    <n v="597.95000000000005"/>
  </r>
  <r>
    <n v="540"/>
    <n v="30153.599999999999"/>
    <d v="2023-03-27T00:00:00"/>
    <x v="200"/>
    <s v="Mexico"/>
    <s v="Location 13"/>
    <n v="55.84"/>
  </r>
  <r>
    <n v="54"/>
    <n v="3015.36"/>
    <d v="2023-04-06T00:00:00"/>
    <x v="200"/>
    <s v="Mexico"/>
    <s v="Location 13"/>
    <n v="55.84"/>
  </r>
  <r>
    <n v="13"/>
    <n v="7773.35"/>
    <d v="2023-05-05T00:00:00"/>
    <x v="199"/>
    <s v="Mexico"/>
    <s v="Location 13"/>
    <n v="597.95000000000005"/>
  </r>
  <r>
    <n v="1350"/>
    <n v="175891.5"/>
    <d v="2023-06-15T00:00:00"/>
    <x v="194"/>
    <s v="Mexico"/>
    <s v="Location 13"/>
    <n v="130.29"/>
  </r>
  <r>
    <n v="54"/>
    <n v="7035.66"/>
    <d v="2023-06-26T00:00:00"/>
    <x v="194"/>
    <s v="Mexico"/>
    <s v="Location 13"/>
    <n v="130.29"/>
  </r>
  <r>
    <n v="65"/>
    <n v="38866.75"/>
    <d v="2023-06-30T00:00:00"/>
    <x v="199"/>
    <s v="Mexico"/>
    <s v="Location 13"/>
    <n v="597.95000000000005"/>
  </r>
  <r>
    <n v="270"/>
    <n v="35178.300000000003"/>
    <d v="2023-07-21T00:00:00"/>
    <x v="194"/>
    <s v="Mexico"/>
    <s v="Location 13"/>
    <n v="130.29"/>
  </r>
  <r>
    <n v="544"/>
    <n v="81001.600000000006"/>
    <d v="2023-07-26T00:00:00"/>
    <x v="195"/>
    <s v="Mexico"/>
    <s v="Location 13"/>
    <n v="148.9"/>
  </r>
  <r>
    <n v="295"/>
    <n v="43925.5"/>
    <d v="2023-08-11T00:00:00"/>
    <x v="195"/>
    <s v="Mexico"/>
    <s v="Location 13"/>
    <n v="148.9"/>
  </r>
  <r>
    <n v="75"/>
    <n v="9771.75"/>
    <d v="2023-08-11T00:00:00"/>
    <x v="194"/>
    <s v="Mexico"/>
    <s v="Location 13"/>
    <n v="130.29"/>
  </r>
  <r>
    <n v="655"/>
    <n v="85339.95"/>
    <d v="2023-08-11T00:00:00"/>
    <x v="194"/>
    <s v="Mexico"/>
    <s v="Location 13"/>
    <n v="130.29"/>
  </r>
  <r>
    <n v="-295"/>
    <n v="-43925.5"/>
    <d v="2023-08-15T00:00:00"/>
    <x v="195"/>
    <s v="Mexico"/>
    <s v="Location 13"/>
    <n v="148.9"/>
  </r>
  <r>
    <n v="-75"/>
    <n v="-9771.75"/>
    <d v="2023-08-15T00:00:00"/>
    <x v="194"/>
    <s v="Mexico"/>
    <s v="Location 13"/>
    <n v="130.29"/>
  </r>
  <r>
    <n v="-655"/>
    <n v="-85339.95"/>
    <d v="2023-08-15T00:00:00"/>
    <x v="194"/>
    <s v="Mexico"/>
    <s v="Location 13"/>
    <n v="130.29"/>
  </r>
  <r>
    <n v="295"/>
    <n v="43925.5"/>
    <d v="2023-08-16T00:00:00"/>
    <x v="195"/>
    <s v="Mexico"/>
    <s v="Location 13"/>
    <n v="148.9"/>
  </r>
  <r>
    <n v="200"/>
    <n v="29780"/>
    <d v="2023-08-16T00:00:00"/>
    <x v="195"/>
    <s v="Mexico"/>
    <s v="Location 13"/>
    <n v="148.9"/>
  </r>
  <r>
    <n v="585"/>
    <n v="87106.5"/>
    <d v="2023-08-16T00:00:00"/>
    <x v="195"/>
    <s v="Mexico"/>
    <s v="Location 13"/>
    <n v="148.9"/>
  </r>
  <r>
    <n v="75"/>
    <n v="9771.75"/>
    <d v="2023-08-16T00:00:00"/>
    <x v="194"/>
    <s v="Mexico"/>
    <s v="Location 13"/>
    <n v="130.29"/>
  </r>
  <r>
    <n v="1052"/>
    <n v="137065.07999999999"/>
    <d v="2023-08-16T00:00:00"/>
    <x v="194"/>
    <s v="Mexico"/>
    <s v="Location 13"/>
    <n v="130.29"/>
  </r>
  <r>
    <n v="277"/>
    <n v="36090.33"/>
    <d v="2023-08-16T00:00:00"/>
    <x v="194"/>
    <s v="Mexico"/>
    <s v="Location 13"/>
    <n v="130.29"/>
  </r>
  <r>
    <n v="655"/>
    <n v="85339.95"/>
    <d v="2023-08-16T00:00:00"/>
    <x v="194"/>
    <s v="Mexico"/>
    <s v="Location 13"/>
    <n v="130.29"/>
  </r>
  <r>
    <n v="351"/>
    <n v="45731.79"/>
    <d v="2023-08-16T00:00:00"/>
    <x v="194"/>
    <s v="Mexico"/>
    <s v="Location 13"/>
    <n v="130.29"/>
  </r>
  <r>
    <n v="60"/>
    <n v="35877"/>
    <d v="2023-08-17T00:00:00"/>
    <x v="199"/>
    <s v="Mexico"/>
    <s v="Location 13"/>
    <n v="597.95000000000005"/>
  </r>
  <r>
    <n v="4000"/>
    <n v="5360"/>
    <d v="2022-05-18T00:00:00"/>
    <x v="198"/>
    <s v="Mexico"/>
    <s v="Location 13"/>
    <n v="1.34"/>
  </r>
  <r>
    <n v="3000"/>
    <n v="5940"/>
    <d v="2022-05-23T00:00:00"/>
    <x v="197"/>
    <s v="Mexico"/>
    <s v="Location 13"/>
    <n v="1.98"/>
  </r>
  <r>
    <n v="4000"/>
    <n v="5360"/>
    <d v="2023-05-23T00:00:00"/>
    <x v="198"/>
    <s v="Mexico"/>
    <s v="Location 13"/>
    <n v="1.34"/>
  </r>
  <r>
    <n v="3000"/>
    <n v="5940"/>
    <d v="2022-06-30T00:00:00"/>
    <x v="197"/>
    <s v="Mexico"/>
    <s v="Location 13"/>
    <n v="1.98"/>
  </r>
  <r>
    <n v="3000"/>
    <n v="5940"/>
    <d v="2022-06-30T00:00:00"/>
    <x v="197"/>
    <s v="Mexico"/>
    <s v="Location 13"/>
    <n v="1.98"/>
  </r>
  <r>
    <n v="4000"/>
    <n v="5360"/>
    <d v="2021-09-07T00:00:00"/>
    <x v="198"/>
    <s v="Mexico"/>
    <s v="Location 13"/>
    <n v="1.34"/>
  </r>
  <r>
    <n v="3000"/>
    <n v="5940"/>
    <d v="2021-09-07T00:00:00"/>
    <x v="197"/>
    <s v="Mexico"/>
    <s v="Location 13"/>
    <n v="1.98"/>
  </r>
  <r>
    <n v="3000"/>
    <n v="5940"/>
    <d v="2021-09-07T00:00:00"/>
    <x v="197"/>
    <s v="Mexico"/>
    <s v="Location 13"/>
    <n v="1.98"/>
  </r>
  <r>
    <n v="3000"/>
    <n v="5940"/>
    <d v="2021-09-07T00:00:00"/>
    <x v="197"/>
    <s v="Mexico"/>
    <s v="Location 13"/>
    <n v="1.98"/>
  </r>
  <r>
    <n v="3000"/>
    <n v="5940"/>
    <d v="2021-09-22T00:00:00"/>
    <x v="197"/>
    <s v="Mexico"/>
    <s v="Location 13"/>
    <n v="1.98"/>
  </r>
  <r>
    <n v="6000"/>
    <n v="11880"/>
    <d v="2021-09-28T00:00:00"/>
    <x v="197"/>
    <s v="Mexico"/>
    <s v="Location 13"/>
    <n v="1.98"/>
  </r>
  <r>
    <n v="3000"/>
    <n v="5940"/>
    <d v="2021-10-06T00:00:00"/>
    <x v="197"/>
    <s v="Mexico"/>
    <s v="Location 13"/>
    <n v="1.98"/>
  </r>
  <r>
    <n v="4000"/>
    <n v="5360"/>
    <d v="2021-10-18T00:00:00"/>
    <x v="198"/>
    <s v="Mexico"/>
    <s v="Location 13"/>
    <n v="1.34"/>
  </r>
  <r>
    <n v="3000"/>
    <n v="5940"/>
    <d v="2021-11-05T00:00:00"/>
    <x v="197"/>
    <s v="Mexico"/>
    <s v="Location 13"/>
    <n v="1.98"/>
  </r>
  <r>
    <n v="4000"/>
    <n v="5360"/>
    <d v="2021-11-10T00:00:00"/>
    <x v="198"/>
    <s v="Mexico"/>
    <s v="Location 13"/>
    <n v="1.34"/>
  </r>
  <r>
    <n v="3000"/>
    <n v="5940"/>
    <d v="2021-11-18T00:00:00"/>
    <x v="197"/>
    <s v="Mexico"/>
    <s v="Location 13"/>
    <n v="1.98"/>
  </r>
  <r>
    <n v="3000"/>
    <n v="5280"/>
    <d v="2022-12-01T00:00:00"/>
    <x v="146"/>
    <s v="Mexico"/>
    <s v="Location 13"/>
    <n v="1.76"/>
  </r>
  <r>
    <n v="3000"/>
    <n v="5280"/>
    <d v="2022-12-01T00:00:00"/>
    <x v="146"/>
    <s v="Mexico"/>
    <s v="Location 13"/>
    <n v="1.76"/>
  </r>
  <r>
    <n v="3000"/>
    <n v="5280"/>
    <d v="2022-12-01T00:00:00"/>
    <x v="146"/>
    <s v="Mexico"/>
    <s v="Location 13"/>
    <n v="1.76"/>
  </r>
  <r>
    <n v="3000"/>
    <n v="5280"/>
    <d v="2022-12-01T00:00:00"/>
    <x v="146"/>
    <s v="Mexico"/>
    <s v="Location 13"/>
    <n v="1.76"/>
  </r>
  <r>
    <n v="3000"/>
    <n v="5940"/>
    <d v="2021-12-16T00:00:00"/>
    <x v="197"/>
    <s v="Mexico"/>
    <s v="Location 13"/>
    <n v="1.98"/>
  </r>
  <r>
    <n v="3000"/>
    <n v="5940"/>
    <d v="2021-12-16T00:00:00"/>
    <x v="197"/>
    <s v="Mexico"/>
    <s v="Location 13"/>
    <n v="1.98"/>
  </r>
  <r>
    <n v="3000"/>
    <n v="5940"/>
    <d v="2021-12-17T00:00:00"/>
    <x v="197"/>
    <s v="Mexico"/>
    <s v="Location 13"/>
    <n v="1.98"/>
  </r>
  <r>
    <n v="4000"/>
    <n v="5360"/>
    <d v="2021-12-20T00:00:00"/>
    <x v="198"/>
    <s v="Mexico"/>
    <s v="Location 13"/>
    <n v="1.34"/>
  </r>
  <r>
    <n v="3000"/>
    <n v="5940"/>
    <d v="2021-12-20T00:00:00"/>
    <x v="197"/>
    <s v="Mexico"/>
    <s v="Location 13"/>
    <n v="1.98"/>
  </r>
  <r>
    <n v="3000"/>
    <n v="5280"/>
    <d v="2022-12-23T00:00:00"/>
    <x v="146"/>
    <s v="Mexico"/>
    <s v="Location 13"/>
    <n v="1.76"/>
  </r>
  <r>
    <n v="3000"/>
    <n v="5610"/>
    <d v="2023-01-17T00:00:00"/>
    <x v="201"/>
    <s v="Mexico"/>
    <s v="Location 13"/>
    <n v="1.87"/>
  </r>
  <r>
    <n v="3000"/>
    <n v="9450"/>
    <d v="2022-01-28T00:00:00"/>
    <x v="202"/>
    <s v="Mexico"/>
    <s v="Location 13"/>
    <n v="3.15"/>
  </r>
  <r>
    <n v="3000"/>
    <n v="9450"/>
    <d v="2023-02-06T00:00:00"/>
    <x v="202"/>
    <s v="Mexico"/>
    <s v="Location 13"/>
    <n v="3.15"/>
  </r>
  <r>
    <n v="3000"/>
    <n v="3720"/>
    <d v="2022-05-17T00:00:00"/>
    <x v="203"/>
    <s v="Mexico"/>
    <s v="Location 13"/>
    <n v="1.24"/>
  </r>
  <r>
    <n v="3000"/>
    <n v="5610"/>
    <d v="2022-06-17T00:00:00"/>
    <x v="201"/>
    <s v="Mexico"/>
    <s v="Location 13"/>
    <n v="1.87"/>
  </r>
  <r>
    <n v="3000"/>
    <n v="5610"/>
    <d v="2023-06-22T00:00:00"/>
    <x v="201"/>
    <s v="Mexico"/>
    <s v="Location 13"/>
    <n v="1.87"/>
  </r>
  <r>
    <n v="3000"/>
    <n v="9450"/>
    <d v="2022-06-30T00:00:00"/>
    <x v="202"/>
    <s v="Mexico"/>
    <s v="Location 13"/>
    <n v="3.15"/>
  </r>
  <r>
    <n v="3000"/>
    <n v="5610"/>
    <d v="2022-04-02T00:00:00"/>
    <x v="201"/>
    <s v="Mexico"/>
    <s v="Location 13"/>
    <n v="1.87"/>
  </r>
  <r>
    <n v="3000"/>
    <n v="9450"/>
    <d v="2022-04-13T00:00:00"/>
    <x v="202"/>
    <s v="Mexico"/>
    <s v="Location 13"/>
    <n v="3.15"/>
  </r>
  <r>
    <n v="3000"/>
    <n v="4620"/>
    <d v="2023-06-23T00:00:00"/>
    <x v="204"/>
    <s v="Mexico"/>
    <s v="Location 13"/>
    <n v="1.54"/>
  </r>
  <r>
    <n v="3000"/>
    <n v="9450"/>
    <d v="2023-06-23T00:00:00"/>
    <x v="202"/>
    <s v="Mexico"/>
    <s v="Location 13"/>
    <n v="3.15"/>
  </r>
  <r>
    <n v="3000"/>
    <n v="9450"/>
    <d v="2023-06-23T00:00:00"/>
    <x v="202"/>
    <s v="Mexico"/>
    <s v="Location 13"/>
    <n v="3.15"/>
  </r>
  <r>
    <n v="3000"/>
    <n v="3708"/>
    <d v="2023-06-26T00:00:00"/>
    <x v="203"/>
    <s v="Mexico"/>
    <s v="Location 13"/>
    <n v="1.236"/>
  </r>
  <r>
    <n v="2500"/>
    <n v="2875"/>
    <d v="2023-06-26T00:00:00"/>
    <x v="205"/>
    <s v="Mexico"/>
    <s v="Location 13"/>
    <n v="1.1499999999999999"/>
  </r>
  <r>
    <n v="3000"/>
    <n v="5610"/>
    <d v="2023-06-26T00:00:00"/>
    <x v="201"/>
    <s v="Mexico"/>
    <s v="Location 13"/>
    <n v="1.87"/>
  </r>
  <r>
    <n v="3000"/>
    <n v="5610"/>
    <d v="2023-06-26T00:00:00"/>
    <x v="201"/>
    <s v="Mexico"/>
    <s v="Location 13"/>
    <n v="1.87"/>
  </r>
  <r>
    <n v="3000"/>
    <n v="5610"/>
    <d v="2022-08-09T00:00:00"/>
    <x v="201"/>
    <s v="Mexico"/>
    <s v="Location 13"/>
    <n v="1.87"/>
  </r>
  <r>
    <n v="3000"/>
    <n v="4620"/>
    <d v="2023-04-25T00:00:00"/>
    <x v="204"/>
    <s v="Mexico"/>
    <s v="Location 13"/>
    <n v="1.54"/>
  </r>
  <r>
    <n v="3000"/>
    <n v="9450"/>
    <d v="2023-04-25T00:00:00"/>
    <x v="202"/>
    <s v="Mexico"/>
    <s v="Location 13"/>
    <n v="3.15"/>
  </r>
  <r>
    <n v="3000"/>
    <n v="3720"/>
    <d v="2023-04-28T00:00:00"/>
    <x v="203"/>
    <s v="Mexico"/>
    <s v="Location 13"/>
    <n v="1.24"/>
  </r>
  <r>
    <n v="3000"/>
    <n v="5610"/>
    <d v="2023-05-05T00:00:00"/>
    <x v="201"/>
    <s v="Mexico"/>
    <s v="Location 13"/>
    <n v="1.87"/>
  </r>
  <r>
    <n v="3000"/>
    <n v="4620"/>
    <d v="2022-08-16T00:00:00"/>
    <x v="204"/>
    <s v="Mexico"/>
    <s v="Location 13"/>
    <n v="1.54"/>
  </r>
  <r>
    <n v="3000"/>
    <n v="3720"/>
    <d v="2022-08-19T00:00:00"/>
    <x v="203"/>
    <s v="Mexico"/>
    <s v="Location 13"/>
    <n v="1.24"/>
  </r>
  <r>
    <n v="3000"/>
    <n v="3720"/>
    <d v="2022-11-17T00:00:00"/>
    <x v="203"/>
    <s v="Mexico"/>
    <s v="Location 13"/>
    <n v="1.24"/>
  </r>
  <r>
    <n v="3000"/>
    <n v="9450"/>
    <d v="2022-10-06T00:00:00"/>
    <x v="202"/>
    <s v="Mexico"/>
    <s v="Location 13"/>
    <n v="3.15"/>
  </r>
  <r>
    <n v="3000"/>
    <n v="5610"/>
    <d v="2022-10-17T00:00:00"/>
    <x v="201"/>
    <s v="Mexico"/>
    <s v="Location 13"/>
    <n v="1.87"/>
  </r>
  <r>
    <n v="2500"/>
    <n v="2875"/>
    <d v="2022-10-21T00:00:00"/>
    <x v="205"/>
    <s v="Mexico"/>
    <s v="Location 13"/>
    <n v="1.1499999999999999"/>
  </r>
  <r>
    <n v="300"/>
    <n v="132162"/>
    <d v="2023-01-05T00:00:00"/>
    <x v="145"/>
    <s v="Mexico"/>
    <s v="Location 13"/>
    <n v="440.54"/>
  </r>
  <r>
    <n v="630"/>
    <n v="228047.4"/>
    <d v="2023-04-27T00:00:00"/>
    <x v="148"/>
    <s v="Mexico"/>
    <s v="Location 13"/>
    <n v="361.98"/>
  </r>
  <r>
    <n v="420"/>
    <n v="170772"/>
    <d v="2023-03-08T00:00:00"/>
    <x v="144"/>
    <s v="Mexico"/>
    <s v="Location 13"/>
    <n v="406.6"/>
  </r>
  <r>
    <n v="70"/>
    <n v="28462"/>
    <d v="2023-03-08T00:00:00"/>
    <x v="144"/>
    <s v="Mexico"/>
    <s v="Location 13"/>
    <n v="406.6"/>
  </r>
  <r>
    <n v="210"/>
    <n v="85386"/>
    <d v="2023-03-08T00:00:00"/>
    <x v="144"/>
    <s v="Mexico"/>
    <s v="Location 13"/>
    <n v="406.6"/>
  </r>
  <r>
    <n v="140"/>
    <n v="56924"/>
    <d v="2023-03-08T00:00:00"/>
    <x v="144"/>
    <s v="Mexico"/>
    <s v="Location 13"/>
    <n v="406.6"/>
  </r>
  <r>
    <n v="70"/>
    <n v="28462"/>
    <d v="2023-03-08T00:00:00"/>
    <x v="144"/>
    <s v="Mexico"/>
    <s v="Location 13"/>
    <n v="406.6"/>
  </r>
  <r>
    <n v="450"/>
    <n v="342936"/>
    <d v="2023-04-05T00:00:00"/>
    <x v="154"/>
    <s v="Mexico"/>
    <s v="Location 13"/>
    <n v="762.08"/>
  </r>
  <r>
    <n v="210"/>
    <n v="160036.79999999999"/>
    <d v="2023-04-05T00:00:00"/>
    <x v="154"/>
    <s v="Mexico"/>
    <s v="Location 13"/>
    <n v="762.08"/>
  </r>
  <r>
    <n v="240"/>
    <n v="206515.20000000001"/>
    <d v="2023-04-19T00:00:00"/>
    <x v="140"/>
    <s v="Mexico"/>
    <s v="Location 13"/>
    <n v="860.48"/>
  </r>
  <r>
    <n v="120"/>
    <n v="103257.60000000001"/>
    <d v="2023-04-19T00:00:00"/>
    <x v="140"/>
    <s v="Mexico"/>
    <s v="Location 13"/>
    <n v="860.48"/>
  </r>
  <r>
    <n v="330"/>
    <n v="145378.20000000001"/>
    <d v="2023-04-19T00:00:00"/>
    <x v="145"/>
    <s v="Mexico"/>
    <s v="Location 13"/>
    <n v="440.54"/>
  </r>
  <r>
    <n v="540"/>
    <n v="237891.6"/>
    <d v="2023-04-19T00:00:00"/>
    <x v="145"/>
    <s v="Mexico"/>
    <s v="Location 13"/>
    <n v="440.54"/>
  </r>
  <r>
    <n v="30"/>
    <n v="22862.400000000001"/>
    <d v="2023-05-09T00:00:00"/>
    <x v="154"/>
    <s v="Mexico"/>
    <s v="Location 13"/>
    <n v="762.08"/>
  </r>
  <r>
    <n v="240"/>
    <n v="182899.20000000001"/>
    <d v="2023-05-09T00:00:00"/>
    <x v="154"/>
    <s v="Mexico"/>
    <s v="Location 13"/>
    <n v="762.08"/>
  </r>
  <r>
    <n v="300"/>
    <n v="228624"/>
    <d v="2023-05-09T00:00:00"/>
    <x v="154"/>
    <s v="Mexico"/>
    <s v="Location 13"/>
    <n v="762.08"/>
  </r>
  <r>
    <n v="140"/>
    <n v="50677.2"/>
    <d v="2023-02-08T00:00:00"/>
    <x v="148"/>
    <s v="Mexico"/>
    <s v="Location 13"/>
    <n v="361.98"/>
  </r>
  <r>
    <n v="510"/>
    <n v="224675.4"/>
    <d v="2023-02-08T00:00:00"/>
    <x v="145"/>
    <s v="Mexico"/>
    <s v="Location 13"/>
    <n v="440.54"/>
  </r>
  <r>
    <n v="240"/>
    <n v="105729.60000000001"/>
    <d v="2023-02-28T00:00:00"/>
    <x v="145"/>
    <s v="Mexico"/>
    <s v="Location 13"/>
    <n v="440.54"/>
  </r>
  <r>
    <n v="216"/>
    <n v="23392.799999999999"/>
    <d v="2023-02-28T00:00:00"/>
    <x v="149"/>
    <s v="Mexico"/>
    <s v="Location 13"/>
    <n v="108.3"/>
  </r>
  <r>
    <n v="2160"/>
    <n v="233928"/>
    <d v="2022-12-08T00:00:00"/>
    <x v="149"/>
    <s v="Mexico"/>
    <s v="Location 13"/>
    <n v="108.3"/>
  </r>
  <r>
    <n v="15"/>
    <n v="12907.2"/>
    <d v="2022-12-16T00:00:00"/>
    <x v="140"/>
    <s v="Mexico"/>
    <s v="Location 13"/>
    <n v="860.48"/>
  </r>
  <r>
    <n v="36"/>
    <n v="16585.560000000001"/>
    <d v="2023-08-31T00:00:00"/>
    <x v="180"/>
    <s v="Mexico"/>
    <s v="Location 13"/>
    <n v="460.71"/>
  </r>
  <r>
    <n v="36"/>
    <n v="16585.560000000001"/>
    <d v="2023-08-31T00:00:00"/>
    <x v="180"/>
    <s v="Mexico"/>
    <s v="Location 13"/>
    <n v="460.71"/>
  </r>
  <r>
    <n v="36"/>
    <n v="16585.560000000001"/>
    <d v="2023-08-31T00:00:00"/>
    <x v="180"/>
    <s v="Mexico"/>
    <s v="Location 13"/>
    <n v="460.71"/>
  </r>
  <r>
    <n v="36"/>
    <n v="16585.560000000001"/>
    <d v="2023-08-31T00:00:00"/>
    <x v="180"/>
    <s v="Mexico"/>
    <s v="Location 13"/>
    <n v="460.71"/>
  </r>
  <r>
    <n v="36"/>
    <n v="16585.560000000001"/>
    <d v="2023-08-31T00:00:00"/>
    <x v="180"/>
    <s v="Mexico"/>
    <s v="Location 13"/>
    <n v="460.71"/>
  </r>
  <r>
    <n v="36"/>
    <n v="16585.560000000001"/>
    <d v="2023-08-31T00:00:00"/>
    <x v="180"/>
    <s v="Mexico"/>
    <s v="Location 13"/>
    <n v="460.71"/>
  </r>
  <r>
    <n v="36"/>
    <n v="16585.560000000001"/>
    <d v="2023-08-31T00:00:00"/>
    <x v="180"/>
    <s v="Mexico"/>
    <s v="Location 13"/>
    <n v="460.71"/>
  </r>
  <r>
    <n v="72"/>
    <n v="33171.120000000003"/>
    <d v="2023-08-31T00:00:00"/>
    <x v="180"/>
    <s v="Mexico"/>
    <s v="Location 13"/>
    <n v="460.71"/>
  </r>
  <r>
    <n v="108"/>
    <n v="12334.68"/>
    <d v="2023-01-12T00:00:00"/>
    <x v="149"/>
    <s v="Mexico"/>
    <s v="Location 13"/>
    <n v="114.21"/>
  </r>
  <r>
    <n v="108"/>
    <n v="12334.68"/>
    <d v="2023-01-12T00:00:00"/>
    <x v="149"/>
    <s v="Mexico"/>
    <s v="Location 13"/>
    <n v="114.21"/>
  </r>
  <r>
    <n v="120"/>
    <n v="51024"/>
    <d v="2023-01-12T00:00:00"/>
    <x v="141"/>
    <s v="Mexico"/>
    <s v="Location 13"/>
    <n v="425.2"/>
  </r>
  <r>
    <n v="700"/>
    <n v="290661"/>
    <d v="2023-01-12T00:00:00"/>
    <x v="176"/>
    <s v="Mexico"/>
    <s v="Location 13"/>
    <n v="415.23"/>
  </r>
  <r>
    <n v="816"/>
    <n v="54035.519999999997"/>
    <d v="2023-01-12T00:00:00"/>
    <x v="206"/>
    <s v="Mexico"/>
    <s v="Location 13"/>
    <n v="66.22"/>
  </r>
  <r>
    <n v="16"/>
    <n v="1059.52"/>
    <d v="2022-06-07T00:00:00"/>
    <x v="206"/>
    <s v="Mexico"/>
    <s v="Location 13"/>
    <n v="66.22"/>
  </r>
  <r>
    <n v="266"/>
    <n v="44778.44"/>
    <d v="2022-01-21T00:00:00"/>
    <x v="207"/>
    <s v="Mexico"/>
    <s v="Location 13"/>
    <n v="168.34"/>
  </r>
  <r>
    <n v="140"/>
    <n v="50677.2"/>
    <d v="2022-04-01T00:00:00"/>
    <x v="148"/>
    <s v="Mexico"/>
    <s v="Location 13"/>
    <n v="361.98"/>
  </r>
  <r>
    <n v="240"/>
    <n v="182899.20000000001"/>
    <d v="2022-04-05T00:00:00"/>
    <x v="154"/>
    <s v="Mexico"/>
    <s v="Location 13"/>
    <n v="762.08"/>
  </r>
  <r>
    <n v="240"/>
    <n v="182899.20000000001"/>
    <d v="2022-04-05T00:00:00"/>
    <x v="154"/>
    <s v="Mexico"/>
    <s v="Location 13"/>
    <n v="762.08"/>
  </r>
  <r>
    <n v="240"/>
    <n v="182899.20000000001"/>
    <d v="2022-04-05T00:00:00"/>
    <x v="154"/>
    <s v="Mexico"/>
    <s v="Location 13"/>
    <n v="762.08"/>
  </r>
  <r>
    <n v="240"/>
    <n v="182899.20000000001"/>
    <d v="2022-04-05T00:00:00"/>
    <x v="154"/>
    <s v="Mexico"/>
    <s v="Location 13"/>
    <n v="762.08"/>
  </r>
  <r>
    <n v="226"/>
    <n v="38047.1"/>
    <d v="2022-04-13T00:00:00"/>
    <x v="207"/>
    <s v="Mexico"/>
    <s v="Location 13"/>
    <n v="168.35"/>
  </r>
  <r>
    <n v="111"/>
    <n v="18686.849999999999"/>
    <d v="2022-05-04T00:00:00"/>
    <x v="207"/>
    <s v="Mexico"/>
    <s v="Location 13"/>
    <n v="168.35"/>
  </r>
  <r>
    <n v="140"/>
    <n v="56924"/>
    <d v="2022-05-04T00:00:00"/>
    <x v="144"/>
    <s v="Mexico"/>
    <s v="Location 13"/>
    <n v="406.6"/>
  </r>
  <r>
    <n v="280"/>
    <n v="113848"/>
    <d v="2022-05-04T00:00:00"/>
    <x v="144"/>
    <s v="Mexico"/>
    <s v="Location 13"/>
    <n v="406.6"/>
  </r>
  <r>
    <n v="38"/>
    <n v="6397.3"/>
    <d v="2022-04-13T00:00:00"/>
    <x v="207"/>
    <s v="Mexico"/>
    <s v="Location 13"/>
    <n v="168.35"/>
  </r>
  <r>
    <n v="108"/>
    <n v="11695.32"/>
    <d v="2022-06-10T00:00:00"/>
    <x v="149"/>
    <s v="Mexico"/>
    <s v="Location 13"/>
    <n v="108.29"/>
  </r>
  <r>
    <n v="108"/>
    <n v="11695.32"/>
    <d v="2022-06-21T00:00:00"/>
    <x v="149"/>
    <s v="Mexico"/>
    <s v="Location 13"/>
    <n v="108.29"/>
  </r>
  <r>
    <n v="140"/>
    <n v="50677.2"/>
    <d v="2022-02-08T00:00:00"/>
    <x v="148"/>
    <s v="Mexico"/>
    <s v="Location 13"/>
    <n v="361.98"/>
  </r>
  <r>
    <n v="210"/>
    <n v="76015.8"/>
    <d v="2022-02-08T00:00:00"/>
    <x v="148"/>
    <s v="Mexico"/>
    <s v="Location 13"/>
    <n v="361.98"/>
  </r>
  <r>
    <n v="70"/>
    <n v="25338.6"/>
    <d v="2022-02-08T00:00:00"/>
    <x v="148"/>
    <s v="Mexico"/>
    <s v="Location 13"/>
    <n v="361.98"/>
  </r>
  <r>
    <n v="140"/>
    <n v="50677.2"/>
    <d v="2022-02-08T00:00:00"/>
    <x v="148"/>
    <s v="Mexico"/>
    <s v="Location 13"/>
    <n v="361.98"/>
  </r>
  <r>
    <n v="70"/>
    <n v="28462"/>
    <d v="2022-05-10T00:00:00"/>
    <x v="144"/>
    <s v="Mexico"/>
    <s v="Location 13"/>
    <n v="406.6"/>
  </r>
  <r>
    <n v="210"/>
    <n v="85386"/>
    <d v="2022-05-10T00:00:00"/>
    <x v="144"/>
    <s v="Mexico"/>
    <s v="Location 13"/>
    <n v="406.6"/>
  </r>
  <r>
    <n v="2000"/>
    <n v="3660"/>
    <d v="2022-02-11T00:00:00"/>
    <x v="160"/>
    <s v="Mexico"/>
    <s v="Location 13"/>
    <n v="1.83"/>
  </r>
  <r>
    <n v="2000"/>
    <n v="3660"/>
    <d v="2022-05-17T00:00:00"/>
    <x v="160"/>
    <s v="Mexico"/>
    <s v="Location 13"/>
    <n v="1.83"/>
  </r>
  <r>
    <n v="480"/>
    <n v="211459.20000000001"/>
    <d v="2022-07-26T00:00:00"/>
    <x v="145"/>
    <s v="Mexico"/>
    <s v="Location 13"/>
    <n v="440.54"/>
  </r>
  <r>
    <n v="70"/>
    <n v="38312.400000000001"/>
    <d v="2022-09-07T00:00:00"/>
    <x v="208"/>
    <s v="Mexico"/>
    <s v="Location 13"/>
    <n v="547.32000000000005"/>
  </r>
  <r>
    <n v="345"/>
    <n v="296865.59999999998"/>
    <d v="2022-09-12T00:00:00"/>
    <x v="140"/>
    <s v="Mexico"/>
    <s v="Location 13"/>
    <n v="860.48"/>
  </r>
  <r>
    <n v="135"/>
    <n v="116164.8"/>
    <d v="2022-09-12T00:00:00"/>
    <x v="140"/>
    <s v="Mexico"/>
    <s v="Location 13"/>
    <n v="860.48"/>
  </r>
  <r>
    <n v="225"/>
    <n v="193608"/>
    <d v="2022-09-12T00:00:00"/>
    <x v="140"/>
    <s v="Mexico"/>
    <s v="Location 13"/>
    <n v="860.48"/>
  </r>
  <r>
    <n v="108"/>
    <n v="11696.4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180"/>
    <n v="79297.2"/>
    <d v="2022-10-31T00:00:00"/>
    <x v="145"/>
    <s v="Mexico"/>
    <s v="Location 13"/>
    <n v="440.54"/>
  </r>
  <r>
    <n v="324"/>
    <n v="35089.199999999997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324"/>
    <n v="35089.199999999997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432"/>
    <n v="46785.599999999999"/>
    <d v="2022-07-01T00:00:00"/>
    <x v="149"/>
    <s v="Mexico"/>
    <s v="Location 13"/>
    <n v="108.3"/>
  </r>
  <r>
    <n v="432"/>
    <n v="46785.5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432"/>
    <n v="46785.5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324"/>
    <n v="35089.199999999997"/>
    <d v="2022-07-01T00:00:00"/>
    <x v="149"/>
    <s v="Mexico"/>
    <s v="Location 13"/>
    <n v="108.3"/>
  </r>
  <r>
    <n v="432"/>
    <n v="46785.599999999999"/>
    <d v="2022-07-01T00:00:00"/>
    <x v="149"/>
    <s v="Mexico"/>
    <s v="Location 13"/>
    <n v="108.3"/>
  </r>
  <r>
    <n v="432"/>
    <n v="46785.599999999999"/>
    <d v="2022-07-01T00:00:00"/>
    <x v="149"/>
    <s v="Mexico"/>
    <s v="Location 13"/>
    <n v="108.3"/>
  </r>
  <r>
    <n v="324"/>
    <n v="35089.199999999997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450"/>
    <n v="198243"/>
    <d v="2022-09-27T00:00:00"/>
    <x v="145"/>
    <s v="Mexico"/>
    <s v="Location 13"/>
    <n v="440.54"/>
  </r>
  <r>
    <n v="1820"/>
    <n v="4313.3999999999996"/>
    <d v="2022-09-27T00:00:00"/>
    <x v="161"/>
    <s v="Mexico"/>
    <s v="Location 13"/>
    <n v="2.37"/>
  </r>
  <r>
    <n v="165"/>
    <n v="141979.20000000001"/>
    <d v="2022-09-27T00:00:00"/>
    <x v="140"/>
    <s v="Mexico"/>
    <s v="Location 13"/>
    <n v="860.48"/>
  </r>
  <r>
    <n v="135"/>
    <n v="116164.8"/>
    <d v="2022-09-27T00:00:00"/>
    <x v="140"/>
    <s v="Mexico"/>
    <s v="Location 13"/>
    <n v="860.48"/>
  </r>
  <r>
    <n v="135"/>
    <n v="116164.8"/>
    <d v="2022-09-27T00:00:00"/>
    <x v="140"/>
    <s v="Mexico"/>
    <s v="Location 13"/>
    <n v="860.48"/>
  </r>
  <r>
    <n v="45"/>
    <n v="38721.599999999999"/>
    <d v="2022-09-27T00:00:00"/>
    <x v="140"/>
    <s v="Mexico"/>
    <s v="Location 13"/>
    <n v="860.48"/>
  </r>
  <r>
    <n v="15"/>
    <n v="12907.2"/>
    <d v="2022-09-27T00:00:00"/>
    <x v="140"/>
    <s v="Mexico"/>
    <s v="Location 13"/>
    <n v="860.48"/>
  </r>
  <r>
    <n v="112"/>
    <n v="199930.08"/>
    <d v="2022-09-27T00:00:00"/>
    <x v="209"/>
    <s v="Mexico"/>
    <s v="Location 13"/>
    <n v="1785.09"/>
  </r>
  <r>
    <n v="216"/>
    <n v="23392.799999999999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324"/>
    <n v="35089.199999999997"/>
    <d v="2022-07-01T00:00:00"/>
    <x v="149"/>
    <s v="Mexico"/>
    <s v="Location 13"/>
    <n v="108.3"/>
  </r>
  <r>
    <n v="324"/>
    <n v="35089.199999999997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108"/>
    <n v="11696.4"/>
    <d v="2022-07-01T00:00:00"/>
    <x v="149"/>
    <s v="Mexico"/>
    <s v="Location 13"/>
    <n v="108.3"/>
  </r>
  <r>
    <n v="324"/>
    <n v="35089.199999999997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216"/>
    <n v="23392.799999999999"/>
    <d v="2022-07-01T00:00:00"/>
    <x v="149"/>
    <s v="Mexico"/>
    <s v="Location 13"/>
    <n v="108.3"/>
  </r>
  <r>
    <n v="240"/>
    <n v="182899.20000000001"/>
    <d v="2022-07-01T00:00:00"/>
    <x v="154"/>
    <s v="Mexico"/>
    <s v="Location 13"/>
    <n v="762.08"/>
  </r>
  <r>
    <n v="240"/>
    <n v="182899.20000000001"/>
    <d v="2022-07-01T00:00:00"/>
    <x v="154"/>
    <s v="Mexico"/>
    <s v="Location 13"/>
    <n v="762.08"/>
  </r>
  <r>
    <n v="300"/>
    <n v="228624"/>
    <d v="2022-07-01T00:00:00"/>
    <x v="154"/>
    <s v="Mexico"/>
    <s v="Location 13"/>
    <n v="762.08"/>
  </r>
  <r>
    <n v="150"/>
    <n v="66081"/>
    <d v="2022-10-05T00:00:00"/>
    <x v="145"/>
    <s v="Mexico"/>
    <s v="Location 13"/>
    <n v="440.54"/>
  </r>
  <r>
    <n v="210"/>
    <n v="92513.4"/>
    <d v="2022-10-05T00:00:00"/>
    <x v="145"/>
    <s v="Mexico"/>
    <s v="Location 13"/>
    <n v="440.54"/>
  </r>
  <r>
    <n v="330"/>
    <n v="145378.20000000001"/>
    <d v="2022-10-05T00:00:00"/>
    <x v="145"/>
    <s v="Mexico"/>
    <s v="Location 13"/>
    <n v="440.54"/>
  </r>
  <r>
    <n v="210"/>
    <n v="92513.4"/>
    <d v="2022-10-05T00:00:00"/>
    <x v="145"/>
    <s v="Mexico"/>
    <s v="Location 13"/>
    <n v="440.54"/>
  </r>
  <r>
    <n v="150"/>
    <n v="66081"/>
    <d v="2022-10-05T00:00:00"/>
    <x v="145"/>
    <s v="Mexico"/>
    <s v="Location 13"/>
    <n v="440.54"/>
  </r>
  <r>
    <n v="600"/>
    <n v="264324"/>
    <d v="2022-10-05T00:00:00"/>
    <x v="145"/>
    <s v="Mexico"/>
    <s v="Location 13"/>
    <n v="440.54"/>
  </r>
  <r>
    <n v="1000"/>
    <n v="105370"/>
    <d v="2022-10-05T00:00:00"/>
    <x v="193"/>
    <s v="Mexico"/>
    <s v="Location 13"/>
    <n v="105.37"/>
  </r>
  <r>
    <n v="572"/>
    <n v="37877.839999999997"/>
    <d v="2022-10-05T00:00:00"/>
    <x v="206"/>
    <s v="Mexico"/>
    <s v="Location 13"/>
    <n v="66.22"/>
  </r>
  <r>
    <n v="245"/>
    <n v="16223.9"/>
    <d v="2022-10-05T00:00:00"/>
    <x v="206"/>
    <s v="Mexico"/>
    <s v="Location 13"/>
    <n v="66.22"/>
  </r>
  <r>
    <n v="72"/>
    <n v="4767.84"/>
    <d v="2022-10-05T00:00:00"/>
    <x v="206"/>
    <s v="Mexico"/>
    <s v="Location 13"/>
    <n v="66.22"/>
  </r>
  <r>
    <n v="70"/>
    <n v="39788"/>
    <d v="2022-11-18T00:00:00"/>
    <x v="188"/>
    <s v="Mexico"/>
    <s v="Location 13"/>
    <n v="568.4"/>
  </r>
  <r>
    <n v="210"/>
    <n v="92513.4"/>
    <d v="2022-08-08T00:00:00"/>
    <x v="145"/>
    <s v="Mexico"/>
    <s v="Location 13"/>
    <n v="440.54"/>
  </r>
  <r>
    <n v="120"/>
    <n v="52864.800000000003"/>
    <d v="2022-08-08T00:00:00"/>
    <x v="145"/>
    <s v="Mexico"/>
    <s v="Location 13"/>
    <n v="440.54"/>
  </r>
  <r>
    <n v="210"/>
    <n v="92513.4"/>
    <d v="2022-08-08T00:00:00"/>
    <x v="145"/>
    <s v="Mexico"/>
    <s v="Location 13"/>
    <n v="440.54"/>
  </r>
  <r>
    <n v="210"/>
    <n v="92513.4"/>
    <d v="2022-08-08T00:00:00"/>
    <x v="145"/>
    <s v="Mexico"/>
    <s v="Location 13"/>
    <n v="440.54"/>
  </r>
  <r>
    <n v="144"/>
    <n v="28278.720000000001"/>
    <d v="2022-10-07T00:00:00"/>
    <x v="146"/>
    <s v="Mexico"/>
    <s v="Location 13"/>
    <n v="196.38"/>
  </r>
  <r>
    <n v="140"/>
    <n v="50677.2"/>
    <d v="2022-10-07T00:00:00"/>
    <x v="148"/>
    <s v="Mexico"/>
    <s v="Location 13"/>
    <n v="361.98"/>
  </r>
  <r>
    <n v="3500"/>
    <n v="368795"/>
    <d v="2022-10-07T00:00:00"/>
    <x v="193"/>
    <s v="Mexico"/>
    <s v="Location 13"/>
    <n v="105.37"/>
  </r>
  <r>
    <n v="885"/>
    <n v="109704.6"/>
    <d v="2022-10-07T00:00:00"/>
    <x v="210"/>
    <s v="Mexico"/>
    <s v="Location 13"/>
    <n v="123.96"/>
  </r>
  <r>
    <n v="30"/>
    <n v="25814.400000000001"/>
    <d v="2022-10-07T00:00:00"/>
    <x v="140"/>
    <s v="Mexico"/>
    <s v="Location 13"/>
    <n v="860.48"/>
  </r>
  <r>
    <n v="180"/>
    <n v="137174.39999999999"/>
    <d v="2022-11-28T00:00:00"/>
    <x v="154"/>
    <s v="Mexico"/>
    <s v="Location 13"/>
    <n v="762.08"/>
  </r>
  <r>
    <n v="150"/>
    <n v="114312"/>
    <d v="2022-11-28T00:00:00"/>
    <x v="154"/>
    <s v="Mexico"/>
    <s v="Location 13"/>
    <n v="762.08"/>
  </r>
  <r>
    <n v="390"/>
    <n v="297211.2"/>
    <d v="2022-11-28T00:00:00"/>
    <x v="154"/>
    <s v="Mexico"/>
    <s v="Location 13"/>
    <n v="762.08"/>
  </r>
  <r>
    <n v="240"/>
    <n v="182899.20000000001"/>
    <d v="2022-11-28T00:00:00"/>
    <x v="154"/>
    <s v="Mexico"/>
    <s v="Location 13"/>
    <n v="762.08"/>
  </r>
  <r>
    <n v="60"/>
    <n v="45724.800000000003"/>
    <d v="2022-11-28T00:00:00"/>
    <x v="154"/>
    <s v="Mexico"/>
    <s v="Location 13"/>
    <n v="762.08"/>
  </r>
  <r>
    <n v="216"/>
    <n v="23392.799999999999"/>
    <d v="2022-07-05T00:00:00"/>
    <x v="149"/>
    <s v="Mexico"/>
    <s v="Location 13"/>
    <n v="108.3"/>
  </r>
  <r>
    <n v="216"/>
    <n v="23392.799999999999"/>
    <d v="2022-07-05T00:00:00"/>
    <x v="149"/>
    <s v="Mexico"/>
    <s v="Location 13"/>
    <n v="108.3"/>
  </r>
  <r>
    <n v="180"/>
    <n v="137174.39999999999"/>
    <d v="2022-07-06T00:00:00"/>
    <x v="154"/>
    <s v="Mexico"/>
    <s v="Location 13"/>
    <n v="762.08"/>
  </r>
  <r>
    <n v="240"/>
    <n v="182899.20000000001"/>
    <d v="2022-07-06T00:00:00"/>
    <x v="154"/>
    <s v="Mexico"/>
    <s v="Location 13"/>
    <n v="762.08"/>
  </r>
  <r>
    <n v="240"/>
    <n v="182899.20000000001"/>
    <d v="2022-07-06T00:00:00"/>
    <x v="154"/>
    <s v="Mexico"/>
    <s v="Location 13"/>
    <n v="762.08"/>
  </r>
  <r>
    <n v="30"/>
    <n v="22862.400000000001"/>
    <d v="2022-12-07T00:00:00"/>
    <x v="154"/>
    <s v="Mexico"/>
    <s v="Location 13"/>
    <n v="762.08"/>
  </r>
  <r>
    <n v="30"/>
    <n v="22862.400000000001"/>
    <d v="2022-12-07T00:00:00"/>
    <x v="154"/>
    <s v="Mexico"/>
    <s v="Location 13"/>
    <n v="762.08"/>
  </r>
  <r>
    <n v="150"/>
    <n v="114312"/>
    <d v="2022-12-07T00:00:00"/>
    <x v="154"/>
    <s v="Mexico"/>
    <s v="Location 13"/>
    <n v="762.08"/>
  </r>
  <r>
    <n v="120"/>
    <n v="91449.600000000006"/>
    <d v="2022-12-07T00:00:00"/>
    <x v="154"/>
    <s v="Mexico"/>
    <s v="Location 13"/>
    <n v="762.08"/>
  </r>
  <r>
    <n v="240"/>
    <n v="182899.20000000001"/>
    <d v="2022-12-07T00:00:00"/>
    <x v="154"/>
    <s v="Mexico"/>
    <s v="Location 13"/>
    <n v="762.08"/>
  </r>
  <r>
    <n v="60"/>
    <n v="45724.800000000003"/>
    <d v="2022-12-07T00:00:00"/>
    <x v="154"/>
    <s v="Mexico"/>
    <s v="Location 13"/>
    <n v="762.08"/>
  </r>
  <r>
    <n v="150"/>
    <n v="114312"/>
    <d v="2022-12-07T00:00:00"/>
    <x v="154"/>
    <s v="Mexico"/>
    <s v="Location 13"/>
    <n v="762.08"/>
  </r>
  <r>
    <n v="270"/>
    <n v="205761.6"/>
    <d v="2022-12-07T00:00:00"/>
    <x v="154"/>
    <s v="Mexico"/>
    <s v="Location 13"/>
    <n v="762.08"/>
  </r>
  <r>
    <n v="180"/>
    <n v="137174.39999999999"/>
    <d v="2022-07-06T00:00:00"/>
    <x v="154"/>
    <s v="Mexico"/>
    <s v="Location 13"/>
    <n v="762.08"/>
  </r>
  <r>
    <n v="60"/>
    <n v="45724.800000000003"/>
    <d v="2022-07-06T00:00:00"/>
    <x v="154"/>
    <s v="Mexico"/>
    <s v="Location 13"/>
    <n v="762.08"/>
  </r>
  <r>
    <n v="180"/>
    <n v="137174.39999999999"/>
    <d v="2022-07-06T00:00:00"/>
    <x v="154"/>
    <s v="Mexico"/>
    <s v="Location 13"/>
    <n v="762.08"/>
  </r>
  <r>
    <n v="240"/>
    <n v="182899.20000000001"/>
    <d v="2022-07-06T00:00:00"/>
    <x v="154"/>
    <s v="Mexico"/>
    <s v="Location 13"/>
    <n v="762.08"/>
  </r>
  <r>
    <n v="60"/>
    <n v="45724.800000000003"/>
    <d v="2022-07-06T00:00:00"/>
    <x v="154"/>
    <s v="Mexico"/>
    <s v="Location 13"/>
    <n v="762.08"/>
  </r>
  <r>
    <n v="2000"/>
    <n v="3660"/>
    <d v="2022-10-18T00:00:00"/>
    <x v="160"/>
    <s v="Mexico"/>
    <s v="Location 13"/>
    <n v="1.83"/>
  </r>
  <r>
    <n v="252"/>
    <n v="19056.240000000002"/>
    <d v="2022-10-18T00:00:00"/>
    <x v="163"/>
    <s v="Mexico"/>
    <s v="Location 13"/>
    <n v="75.62"/>
  </r>
  <r>
    <n v="252"/>
    <n v="19056.240000000002"/>
    <d v="2022-10-18T00:00:00"/>
    <x v="163"/>
    <s v="Mexico"/>
    <s v="Location 13"/>
    <n v="75.62"/>
  </r>
  <r>
    <n v="252"/>
    <n v="19056.240000000002"/>
    <d v="2022-10-18T00:00:00"/>
    <x v="163"/>
    <s v="Mexico"/>
    <s v="Location 13"/>
    <n v="75.62"/>
  </r>
  <r>
    <n v="180"/>
    <n v="79297.2"/>
    <d v="2022-10-18T00:00:00"/>
    <x v="145"/>
    <s v="Mexico"/>
    <s v="Location 13"/>
    <n v="440.54"/>
  </r>
  <r>
    <n v="210"/>
    <n v="92513.4"/>
    <d v="2022-10-18T00:00:00"/>
    <x v="145"/>
    <s v="Mexico"/>
    <s v="Location 13"/>
    <n v="440.54"/>
  </r>
  <r>
    <n v="720"/>
    <n v="317188.8"/>
    <d v="2022-10-18T00:00:00"/>
    <x v="145"/>
    <s v="Mexico"/>
    <s v="Location 13"/>
    <n v="440.54"/>
  </r>
  <r>
    <n v="90"/>
    <n v="39648.6"/>
    <d v="2022-10-18T00:00:00"/>
    <x v="145"/>
    <s v="Mexico"/>
    <s v="Location 13"/>
    <n v="440.54"/>
  </r>
  <r>
    <n v="1820"/>
    <n v="4313.3999999999996"/>
    <d v="2022-10-18T00:00:00"/>
    <x v="161"/>
    <s v="Mexico"/>
    <s v="Location 13"/>
    <n v="2.37"/>
  </r>
  <r>
    <n v="210"/>
    <n v="82263.3"/>
    <d v="2022-10-18T00:00:00"/>
    <x v="176"/>
    <s v="Mexico"/>
    <s v="Location 13"/>
    <n v="391.73"/>
  </r>
  <r>
    <n v="1500"/>
    <n v="1860"/>
    <d v="2022-10-18T00:00:00"/>
    <x v="162"/>
    <s v="Mexico"/>
    <s v="Location 13"/>
    <n v="1.24"/>
  </r>
  <r>
    <n v="437"/>
    <n v="28938.14"/>
    <d v="2022-10-18T00:00:00"/>
    <x v="206"/>
    <s v="Mexico"/>
    <s v="Location 13"/>
    <n v="66.22"/>
  </r>
  <r>
    <n v="324"/>
    <n v="21455.279999999999"/>
    <d v="2022-10-18T00:00:00"/>
    <x v="206"/>
    <s v="Mexico"/>
    <s v="Location 13"/>
    <n v="66.22"/>
  </r>
  <r>
    <n v="2000"/>
    <n v="3660"/>
    <d v="2022-12-16T00:00:00"/>
    <x v="160"/>
    <s v="Mexico"/>
    <s v="Location 13"/>
    <n v="1.83"/>
  </r>
  <r>
    <n v="1820"/>
    <n v="1619.8"/>
    <d v="2022-12-16T00:00:00"/>
    <x v="171"/>
    <s v="Mexico"/>
    <s v="Location 13"/>
    <n v="0.89"/>
  </r>
  <r>
    <n v="210"/>
    <n v="85386"/>
    <d v="2022-12-16T00:00:00"/>
    <x v="144"/>
    <s v="Mexico"/>
    <s v="Location 13"/>
    <n v="406.6"/>
  </r>
  <r>
    <n v="70"/>
    <n v="28462"/>
    <d v="2022-12-16T00:00:00"/>
    <x v="144"/>
    <s v="Mexico"/>
    <s v="Location 13"/>
    <n v="406.6"/>
  </r>
  <r>
    <n v="140"/>
    <n v="56924"/>
    <d v="2022-12-16T00:00:00"/>
    <x v="144"/>
    <s v="Mexico"/>
    <s v="Location 13"/>
    <n v="406.6"/>
  </r>
  <r>
    <n v="2000"/>
    <n v="3660"/>
    <d v="2022-08-23T00:00:00"/>
    <x v="160"/>
    <s v="Mexico"/>
    <s v="Location 13"/>
    <n v="1.83"/>
  </r>
  <r>
    <n v="4"/>
    <n v="7140.36"/>
    <d v="2022-08-23T00:00:00"/>
    <x v="209"/>
    <s v="Mexico"/>
    <s v="Location 13"/>
    <n v="1785.09"/>
  </r>
  <r>
    <n v="65"/>
    <n v="116030.85"/>
    <d v="2022-08-23T00:00:00"/>
    <x v="209"/>
    <s v="Mexico"/>
    <s v="Location 13"/>
    <n v="1785.09"/>
  </r>
  <r>
    <n v="65"/>
    <n v="116030.85"/>
    <d v="2022-08-23T00:00:00"/>
    <x v="209"/>
    <s v="Mexico"/>
    <s v="Location 13"/>
    <n v="1785.09"/>
  </r>
  <r>
    <n v="16"/>
    <n v="28561.439999999999"/>
    <d v="2022-08-23T00:00:00"/>
    <x v="209"/>
    <s v="Mexico"/>
    <s v="Location 13"/>
    <n v="1785.09"/>
  </r>
  <r>
    <n v="42"/>
    <n v="74973.78"/>
    <d v="2022-08-23T00:00:00"/>
    <x v="209"/>
    <s v="Mexico"/>
    <s v="Location 13"/>
    <n v="1785.09"/>
  </r>
  <r>
    <n v="48"/>
    <n v="85684.32"/>
    <d v="2022-08-23T00:00:00"/>
    <x v="209"/>
    <s v="Mexico"/>
    <s v="Location 13"/>
    <n v="1785.09"/>
  </r>
  <r>
    <n v="48"/>
    <n v="85684.32"/>
    <d v="2022-08-23T00:00:00"/>
    <x v="209"/>
    <s v="Mexico"/>
    <s v="Location 13"/>
    <n v="1785.09"/>
  </r>
  <r>
    <n v="22"/>
    <n v="39271.980000000003"/>
    <d v="2022-08-23T00:00:00"/>
    <x v="209"/>
    <s v="Mexico"/>
    <s v="Location 13"/>
    <n v="1785.09"/>
  </r>
  <r>
    <n v="180"/>
    <n v="79297.2"/>
    <d v="2022-07-13T00:00:00"/>
    <x v="145"/>
    <s v="Mexico"/>
    <s v="Location 13"/>
    <n v="440.54"/>
  </r>
  <r>
    <n v="30"/>
    <n v="13216.2"/>
    <d v="2022-07-13T00:00:00"/>
    <x v="145"/>
    <s v="Mexico"/>
    <s v="Location 13"/>
    <n v="440.54"/>
  </r>
  <r>
    <n v="210"/>
    <n v="92513.4"/>
    <d v="2022-07-13T00:00:00"/>
    <x v="145"/>
    <s v="Mexico"/>
    <s v="Location 13"/>
    <n v="440.54"/>
  </r>
  <r>
    <n v="60"/>
    <n v="45724.800000000003"/>
    <d v="2022-07-13T00:00:00"/>
    <x v="154"/>
    <s v="Mexico"/>
    <s v="Location 13"/>
    <n v="762.08"/>
  </r>
  <r>
    <n v="208"/>
    <n v="371298.72"/>
    <d v="2022-08-23T00:00:00"/>
    <x v="209"/>
    <s v="Mexico"/>
    <s v="Location 13"/>
    <n v="1785.09"/>
  </r>
  <r>
    <n v="58"/>
    <n v="103535.22"/>
    <d v="2022-08-23T00:00:00"/>
    <x v="209"/>
    <s v="Mexico"/>
    <s v="Location 13"/>
    <n v="1785.09"/>
  </r>
  <r>
    <n v="120"/>
    <n v="51024"/>
    <d v="2022-12-20T00:00:00"/>
    <x v="141"/>
    <s v="Mexico"/>
    <s v="Location 13"/>
    <n v="425.2"/>
  </r>
  <r>
    <n v="216"/>
    <n v="23392.799999999999"/>
    <d v="2022-12-28T00:00:00"/>
    <x v="149"/>
    <s v="Mexico"/>
    <s v="Location 13"/>
    <n v="108.3"/>
  </r>
  <r>
    <n v="80"/>
    <n v="34016"/>
    <d v="2022-12-28T00:00:00"/>
    <x v="141"/>
    <s v="Mexico"/>
    <s v="Location 13"/>
    <n v="425.2"/>
  </r>
  <r>
    <n v="40"/>
    <n v="17008"/>
    <d v="2022-12-28T00:00:00"/>
    <x v="141"/>
    <s v="Mexico"/>
    <s v="Location 13"/>
    <n v="425.2"/>
  </r>
  <r>
    <n v="120"/>
    <n v="51024"/>
    <d v="2022-12-28T00:00:00"/>
    <x v="141"/>
    <s v="Mexico"/>
    <s v="Location 13"/>
    <n v="425.2"/>
  </r>
  <r>
    <n v="240"/>
    <n v="102048"/>
    <d v="2022-12-28T00:00:00"/>
    <x v="141"/>
    <s v="Mexico"/>
    <s v="Location 13"/>
    <n v="425.2"/>
  </r>
  <r>
    <n v="30"/>
    <n v="25814.400000000001"/>
    <d v="2022-12-28T00:00:00"/>
    <x v="140"/>
    <s v="Mexico"/>
    <s v="Location 13"/>
    <n v="860.48"/>
  </r>
  <r>
    <n v="135"/>
    <n v="116164.8"/>
    <d v="2022-12-28T00:00:00"/>
    <x v="140"/>
    <s v="Mexico"/>
    <s v="Location 13"/>
    <n v="860.48"/>
  </r>
  <r>
    <n v="150"/>
    <n v="129072"/>
    <d v="2022-12-28T00:00:00"/>
    <x v="140"/>
    <s v="Mexico"/>
    <s v="Location 13"/>
    <n v="860.48"/>
  </r>
  <r>
    <n v="180"/>
    <n v="79297.2"/>
    <d v="2022-07-19T00:00:00"/>
    <x v="145"/>
    <s v="Mexico"/>
    <s v="Location 13"/>
    <n v="440.54"/>
  </r>
  <r>
    <n v="510"/>
    <n v="224675.4"/>
    <d v="2022-07-19T00:00:00"/>
    <x v="145"/>
    <s v="Mexico"/>
    <s v="Location 13"/>
    <n v="440.54"/>
  </r>
  <r>
    <n v="192"/>
    <n v="342737.28"/>
    <d v="2022-09-02T00:00:00"/>
    <x v="209"/>
    <s v="Mexico"/>
    <s v="Location 13"/>
    <n v="1785.09"/>
  </r>
  <r>
    <n v="140"/>
    <n v="79576"/>
    <d v="2022-10-25T00:00:00"/>
    <x v="188"/>
    <s v="Mexico"/>
    <s v="Location 13"/>
    <n v="568.4"/>
  </r>
  <r>
    <n v="70"/>
    <n v="38312.400000000001"/>
    <d v="2022-10-25T00:00:00"/>
    <x v="208"/>
    <s v="Mexico"/>
    <s v="Location 13"/>
    <n v="547.32000000000005"/>
  </r>
  <r>
    <n v="180"/>
    <n v="79297.2"/>
    <d v="2022-10-25T00:00:00"/>
    <x v="145"/>
    <s v="Mexico"/>
    <s v="Location 13"/>
    <n v="440.54"/>
  </r>
  <r>
    <n v="192"/>
    <n v="37704.959999999999"/>
    <d v="2022-10-25T00:00:00"/>
    <x v="146"/>
    <s v="Mexico"/>
    <s v="Location 13"/>
    <n v="196.38"/>
  </r>
  <r>
    <n v="2370"/>
    <n v="293785.2"/>
    <d v="2022-10-25T00:00:00"/>
    <x v="210"/>
    <s v="Mexico"/>
    <s v="Location 13"/>
    <n v="123.96"/>
  </r>
  <r>
    <n v="65"/>
    <n v="116030.85"/>
    <d v="2022-10-25T00:00:00"/>
    <x v="209"/>
    <s v="Mexico"/>
    <s v="Location 13"/>
    <n v="1785.09"/>
  </r>
  <r>
    <n v="7"/>
    <n v="12495.63"/>
    <d v="2022-10-25T00:00:00"/>
    <x v="209"/>
    <s v="Mexico"/>
    <s v="Location 13"/>
    <n v="1785.09"/>
  </r>
  <r>
    <n v="40"/>
    <n v="71403.600000000006"/>
    <d v="2022-10-25T00:00:00"/>
    <x v="209"/>
    <s v="Mexico"/>
    <s v="Location 13"/>
    <n v="1785.09"/>
  </r>
  <r>
    <n v="120"/>
    <n v="51024"/>
    <d v="2022-10-28T00:00:00"/>
    <x v="141"/>
    <s v="Mexico"/>
    <s v="Location 13"/>
    <n v="425.2"/>
  </r>
  <r>
    <n v="1050"/>
    <n v="462567"/>
    <d v="2022-10-28T00:00:00"/>
    <x v="145"/>
    <s v="Mexico"/>
    <s v="Location 13"/>
    <n v="440.54"/>
  </r>
  <r>
    <n v="660"/>
    <n v="290756.40000000002"/>
    <d v="2022-10-28T00:00:00"/>
    <x v="145"/>
    <s v="Mexico"/>
    <s v="Location 13"/>
    <n v="440.54"/>
  </r>
  <r>
    <n v="630"/>
    <n v="277540.2"/>
    <d v="2022-10-28T00:00:00"/>
    <x v="145"/>
    <s v="Mexico"/>
    <s v="Location 13"/>
    <n v="440.54"/>
  </r>
  <r>
    <n v="210"/>
    <n v="92513.4"/>
    <d v="2022-10-28T00:00:00"/>
    <x v="145"/>
    <s v="Mexico"/>
    <s v="Location 13"/>
    <n v="440.54"/>
  </r>
  <r>
    <n v="115"/>
    <n v="14255.4"/>
    <d v="2022-10-28T00:00:00"/>
    <x v="210"/>
    <s v="Mexico"/>
    <s v="Location 13"/>
    <n v="123.96"/>
  </r>
  <r>
    <n v="630"/>
    <n v="78094.8"/>
    <d v="2022-10-28T00:00:00"/>
    <x v="210"/>
    <s v="Mexico"/>
    <s v="Location 13"/>
    <n v="123.96"/>
  </r>
  <r>
    <n v="317"/>
    <n v="20991.74"/>
    <d v="2022-10-28T00:00:00"/>
    <x v="206"/>
    <s v="Mexico"/>
    <s v="Location 13"/>
    <n v="66.22"/>
  </r>
  <r>
    <n v="108"/>
    <n v="11654.28"/>
    <d v="2023-04-28T00:00:00"/>
    <x v="149"/>
    <s v="Mexico"/>
    <s v="Location 13"/>
    <n v="107.91"/>
  </r>
  <r>
    <n v="324"/>
    <n v="34962.839999999997"/>
    <d v="2023-04-28T00:00:00"/>
    <x v="149"/>
    <s v="Mexico"/>
    <s v="Location 13"/>
    <n v="107.91"/>
  </r>
  <r>
    <n v="648"/>
    <n v="69925.679999999993"/>
    <d v="2023-04-28T00:00:00"/>
    <x v="149"/>
    <s v="Mexico"/>
    <s v="Location 13"/>
    <n v="107.91"/>
  </r>
  <r>
    <n v="216"/>
    <n v="23308.560000000001"/>
    <d v="2023-04-28T00:00:00"/>
    <x v="149"/>
    <s v="Mexico"/>
    <s v="Location 13"/>
    <n v="107.91"/>
  </r>
  <r>
    <n v="648"/>
    <n v="69925.679999999993"/>
    <d v="2023-04-28T00:00:00"/>
    <x v="149"/>
    <s v="Mexico"/>
    <s v="Location 13"/>
    <n v="107.91"/>
  </r>
  <r>
    <n v="70"/>
    <n v="41965.7"/>
    <d v="2023-04-28T00:00:00"/>
    <x v="188"/>
    <s v="Mexico"/>
    <s v="Location 13"/>
    <n v="599.51"/>
  </r>
  <r>
    <n v="1000"/>
    <n v="1830"/>
    <d v="2023-04-28T00:00:00"/>
    <x v="160"/>
    <s v="Mexico"/>
    <s v="Location 13"/>
    <n v="1.83"/>
  </r>
  <r>
    <n v="38"/>
    <n v="17126.98"/>
    <d v="2023-04-28T00:00:00"/>
    <x v="141"/>
    <s v="Mexico"/>
    <s v="Location 13"/>
    <n v="450.71"/>
  </r>
  <r>
    <n v="30"/>
    <n v="13168.5"/>
    <d v="2023-04-28T00:00:00"/>
    <x v="145"/>
    <s v="Mexico"/>
    <s v="Location 13"/>
    <n v="438.95"/>
  </r>
  <r>
    <n v="390"/>
    <n v="171190.5"/>
    <d v="2023-04-28T00:00:00"/>
    <x v="145"/>
    <s v="Mexico"/>
    <s v="Location 13"/>
    <n v="438.95"/>
  </r>
  <r>
    <n v="30"/>
    <n v="13168.5"/>
    <d v="2023-04-28T00:00:00"/>
    <x v="145"/>
    <s v="Mexico"/>
    <s v="Location 13"/>
    <n v="438.95"/>
  </r>
  <r>
    <n v="270"/>
    <n v="118516.5"/>
    <d v="2023-04-28T00:00:00"/>
    <x v="145"/>
    <s v="Mexico"/>
    <s v="Location 13"/>
    <n v="438.95"/>
  </r>
  <r>
    <n v="120"/>
    <n v="52674"/>
    <d v="2023-04-28T00:00:00"/>
    <x v="145"/>
    <s v="Mexico"/>
    <s v="Location 13"/>
    <n v="438.95"/>
  </r>
  <r>
    <n v="150"/>
    <n v="65842.5"/>
    <d v="2023-04-28T00:00:00"/>
    <x v="145"/>
    <s v="Mexico"/>
    <s v="Location 13"/>
    <n v="438.95"/>
  </r>
  <r>
    <n v="240"/>
    <n v="105348"/>
    <d v="2023-04-28T00:00:00"/>
    <x v="145"/>
    <s v="Mexico"/>
    <s v="Location 13"/>
    <n v="438.95"/>
  </r>
  <r>
    <n v="60"/>
    <n v="26337"/>
    <d v="2023-04-28T00:00:00"/>
    <x v="145"/>
    <s v="Mexico"/>
    <s v="Location 13"/>
    <n v="438.95"/>
  </r>
  <r>
    <n v="270"/>
    <n v="118516.5"/>
    <d v="2023-04-28T00:00:00"/>
    <x v="145"/>
    <s v="Mexico"/>
    <s v="Location 13"/>
    <n v="438.95"/>
  </r>
  <r>
    <n v="210"/>
    <n v="92179.5"/>
    <d v="2023-04-28T00:00:00"/>
    <x v="145"/>
    <s v="Mexico"/>
    <s v="Location 13"/>
    <n v="438.95"/>
  </r>
  <r>
    <n v="120"/>
    <n v="52674"/>
    <d v="2023-04-28T00:00:00"/>
    <x v="145"/>
    <s v="Mexico"/>
    <s v="Location 13"/>
    <n v="438.95"/>
  </r>
  <r>
    <n v="240"/>
    <n v="105348"/>
    <d v="2023-04-28T00:00:00"/>
    <x v="145"/>
    <s v="Mexico"/>
    <s v="Location 13"/>
    <n v="438.95"/>
  </r>
  <r>
    <n v="990"/>
    <n v="434560.5"/>
    <d v="2023-04-28T00:00:00"/>
    <x v="145"/>
    <s v="Mexico"/>
    <s v="Location 13"/>
    <n v="438.95"/>
  </r>
  <r>
    <n v="480"/>
    <n v="210696"/>
    <d v="2023-04-28T00:00:00"/>
    <x v="145"/>
    <s v="Mexico"/>
    <s v="Location 13"/>
    <n v="438.95"/>
  </r>
  <r>
    <n v="270"/>
    <n v="118516.5"/>
    <d v="2023-04-28T00:00:00"/>
    <x v="145"/>
    <s v="Mexico"/>
    <s v="Location 13"/>
    <n v="438.95"/>
  </r>
  <r>
    <n v="48"/>
    <n v="9991.68"/>
    <d v="2023-04-28T00:00:00"/>
    <x v="146"/>
    <s v="Mexico"/>
    <s v="Location 13"/>
    <n v="208.16"/>
  </r>
  <r>
    <n v="420"/>
    <n v="174396.6"/>
    <d v="2023-04-28T00:00:00"/>
    <x v="176"/>
    <s v="Mexico"/>
    <s v="Location 13"/>
    <n v="415.23"/>
  </r>
  <r>
    <n v="70"/>
    <n v="29066.1"/>
    <d v="2023-04-28T00:00:00"/>
    <x v="176"/>
    <s v="Mexico"/>
    <s v="Location 13"/>
    <n v="415.23"/>
  </r>
  <r>
    <n v="70"/>
    <n v="29066.1"/>
    <d v="2023-04-28T00:00:00"/>
    <x v="176"/>
    <s v="Mexico"/>
    <s v="Location 13"/>
    <n v="415.23"/>
  </r>
  <r>
    <n v="350"/>
    <n v="145330.5"/>
    <d v="2023-04-28T00:00:00"/>
    <x v="176"/>
    <s v="Mexico"/>
    <s v="Location 13"/>
    <n v="415.23"/>
  </r>
  <r>
    <n v="350"/>
    <n v="145330.5"/>
    <d v="2023-04-28T00:00:00"/>
    <x v="176"/>
    <s v="Mexico"/>
    <s v="Location 13"/>
    <n v="415.23"/>
  </r>
  <r>
    <n v="350"/>
    <n v="145330.5"/>
    <d v="2023-04-28T00:00:00"/>
    <x v="176"/>
    <s v="Mexico"/>
    <s v="Location 13"/>
    <n v="415.23"/>
  </r>
  <r>
    <n v="210"/>
    <n v="87198.3"/>
    <d v="2023-04-28T00:00:00"/>
    <x v="176"/>
    <s v="Mexico"/>
    <s v="Location 13"/>
    <n v="415.23"/>
  </r>
  <r>
    <n v="210"/>
    <n v="87198.3"/>
    <d v="2023-04-28T00:00:00"/>
    <x v="176"/>
    <s v="Mexico"/>
    <s v="Location 13"/>
    <n v="415.23"/>
  </r>
  <r>
    <n v="210"/>
    <n v="87198.3"/>
    <d v="2023-04-28T00:00:00"/>
    <x v="176"/>
    <s v="Mexico"/>
    <s v="Location 13"/>
    <n v="415.23"/>
  </r>
  <r>
    <n v="770"/>
    <n v="319727.09999999998"/>
    <d v="2023-04-28T00:00:00"/>
    <x v="176"/>
    <s v="Mexico"/>
    <s v="Location 13"/>
    <n v="415.23"/>
  </r>
  <r>
    <n v="210"/>
    <n v="87198.3"/>
    <d v="2023-04-28T00:00:00"/>
    <x v="176"/>
    <s v="Mexico"/>
    <s v="Location 13"/>
    <n v="415.23"/>
  </r>
  <r>
    <n v="280"/>
    <n v="116264.4"/>
    <d v="2023-04-28T00:00:00"/>
    <x v="176"/>
    <s v="Mexico"/>
    <s v="Location 13"/>
    <n v="415.23"/>
  </r>
  <r>
    <n v="490"/>
    <n v="203462.7"/>
    <d v="2023-04-28T00:00:00"/>
    <x v="176"/>
    <s v="Mexico"/>
    <s v="Location 13"/>
    <n v="415.23"/>
  </r>
  <r>
    <n v="280"/>
    <n v="120080.8"/>
    <d v="2023-04-28T00:00:00"/>
    <x v="144"/>
    <s v="Mexico"/>
    <s v="Location 13"/>
    <n v="428.86"/>
  </r>
  <r>
    <n v="140"/>
    <n v="60040.4"/>
    <d v="2023-04-28T00:00:00"/>
    <x v="144"/>
    <s v="Mexico"/>
    <s v="Location 13"/>
    <n v="428.86"/>
  </r>
  <r>
    <n v="560"/>
    <n v="240161.6"/>
    <d v="2023-04-28T00:00:00"/>
    <x v="144"/>
    <s v="Mexico"/>
    <s v="Location 13"/>
    <n v="428.86"/>
  </r>
  <r>
    <n v="210"/>
    <n v="90060.6"/>
    <d v="2023-04-28T00:00:00"/>
    <x v="144"/>
    <s v="Mexico"/>
    <s v="Location 13"/>
    <n v="428.86"/>
  </r>
  <r>
    <n v="350"/>
    <n v="150101"/>
    <d v="2023-04-28T00:00:00"/>
    <x v="144"/>
    <s v="Mexico"/>
    <s v="Location 13"/>
    <n v="428.86"/>
  </r>
  <r>
    <n v="84"/>
    <n v="20061.72"/>
    <d v="2023-01-17T00:00:00"/>
    <x v="211"/>
    <s v="Mexico"/>
    <s v="Location 13"/>
    <n v="238.83"/>
  </r>
  <r>
    <n v="84"/>
    <n v="20061.72"/>
    <d v="2023-01-17T00:00:00"/>
    <x v="211"/>
    <s v="Mexico"/>
    <s v="Location 13"/>
    <n v="238.83"/>
  </r>
  <r>
    <n v="84"/>
    <n v="20061.72"/>
    <d v="2023-01-17T00:00:00"/>
    <x v="211"/>
    <s v="Mexico"/>
    <s v="Location 13"/>
    <n v="238.83"/>
  </r>
  <r>
    <n v="84"/>
    <n v="20061.72"/>
    <d v="2023-01-17T00:00:00"/>
    <x v="211"/>
    <s v="Mexico"/>
    <s v="Location 13"/>
    <n v="238.83"/>
  </r>
  <r>
    <n v="84"/>
    <n v="20061.72"/>
    <d v="2023-01-17T00:00:00"/>
    <x v="211"/>
    <s v="Mexico"/>
    <s v="Location 13"/>
    <n v="238.83"/>
  </r>
  <r>
    <n v="84"/>
    <n v="20061.72"/>
    <d v="2023-01-17T00:00:00"/>
    <x v="211"/>
    <s v="Mexico"/>
    <s v="Location 13"/>
    <n v="238.83"/>
  </r>
  <r>
    <n v="168"/>
    <n v="40123.440000000002"/>
    <d v="2023-01-17T00:00:00"/>
    <x v="211"/>
    <s v="Mexico"/>
    <s v="Location 13"/>
    <n v="238.83"/>
  </r>
  <r>
    <n v="210"/>
    <n v="87198.3"/>
    <d v="2023-01-17T00:00:00"/>
    <x v="176"/>
    <s v="Mexico"/>
    <s v="Location 13"/>
    <n v="415.23"/>
  </r>
  <r>
    <n v="210"/>
    <n v="87198.3"/>
    <d v="2023-01-17T00:00:00"/>
    <x v="176"/>
    <s v="Mexico"/>
    <s v="Location 13"/>
    <n v="415.23"/>
  </r>
  <r>
    <n v="350"/>
    <n v="145330.5"/>
    <d v="2023-01-17T00:00:00"/>
    <x v="176"/>
    <s v="Mexico"/>
    <s v="Location 13"/>
    <n v="415.23"/>
  </r>
  <r>
    <n v="420"/>
    <n v="174396.6"/>
    <d v="2023-01-17T00:00:00"/>
    <x v="176"/>
    <s v="Mexico"/>
    <s v="Location 13"/>
    <n v="415.23"/>
  </r>
  <r>
    <n v="70"/>
    <n v="29066.1"/>
    <d v="2023-01-17T00:00:00"/>
    <x v="176"/>
    <s v="Mexico"/>
    <s v="Location 13"/>
    <n v="415.23"/>
  </r>
  <r>
    <n v="1000"/>
    <n v="1940"/>
    <d v="2023-03-08T00:00:00"/>
    <x v="160"/>
    <s v="Mexico"/>
    <s v="Location 13"/>
    <n v="1.94"/>
  </r>
  <r>
    <n v="252"/>
    <n v="20099.52"/>
    <d v="2023-03-08T00:00:00"/>
    <x v="163"/>
    <s v="Mexico"/>
    <s v="Location 13"/>
    <n v="79.760000000000005"/>
  </r>
  <r>
    <n v="672"/>
    <n v="160493.76000000001"/>
    <d v="2023-03-08T00:00:00"/>
    <x v="211"/>
    <s v="Mexico"/>
    <s v="Location 13"/>
    <n v="238.83"/>
  </r>
  <r>
    <n v="350"/>
    <n v="150101"/>
    <d v="2023-03-08T00:00:00"/>
    <x v="144"/>
    <s v="Mexico"/>
    <s v="Location 13"/>
    <n v="428.86"/>
  </r>
  <r>
    <n v="140"/>
    <n v="60040.4"/>
    <d v="2023-03-08T00:00:00"/>
    <x v="144"/>
    <s v="Mexico"/>
    <s v="Location 13"/>
    <n v="428.86"/>
  </r>
  <r>
    <n v="350"/>
    <n v="150101"/>
    <d v="2023-03-08T00:00:00"/>
    <x v="144"/>
    <s v="Mexico"/>
    <s v="Location 13"/>
    <n v="428.86"/>
  </r>
  <r>
    <n v="118"/>
    <n v="13179.42"/>
    <d v="2023-04-28T00:00:00"/>
    <x v="193"/>
    <s v="Mexico"/>
    <s v="Location 13"/>
    <n v="111.69"/>
  </r>
  <r>
    <n v="159"/>
    <n v="17758.71"/>
    <d v="2023-04-28T00:00:00"/>
    <x v="193"/>
    <s v="Mexico"/>
    <s v="Location 13"/>
    <n v="111.69"/>
  </r>
  <r>
    <n v="160"/>
    <n v="17870.400000000001"/>
    <d v="2023-04-28T00:00:00"/>
    <x v="193"/>
    <s v="Mexico"/>
    <s v="Location 13"/>
    <n v="111.69"/>
  </r>
  <r>
    <n v="23"/>
    <n v="2568.87"/>
    <d v="2023-04-28T00:00:00"/>
    <x v="193"/>
    <s v="Mexico"/>
    <s v="Location 13"/>
    <n v="111.69"/>
  </r>
  <r>
    <n v="84"/>
    <n v="20061.72"/>
    <d v="2023-01-20T00:00:00"/>
    <x v="211"/>
    <s v="Mexico"/>
    <s v="Location 13"/>
    <n v="238.83"/>
  </r>
  <r>
    <n v="84"/>
    <n v="20061.72"/>
    <d v="2023-01-20T00:00:00"/>
    <x v="211"/>
    <s v="Mexico"/>
    <s v="Location 13"/>
    <n v="238.83"/>
  </r>
  <r>
    <n v="84"/>
    <n v="20061.72"/>
    <d v="2023-01-20T00:00:00"/>
    <x v="211"/>
    <s v="Mexico"/>
    <s v="Location 13"/>
    <n v="238.83"/>
  </r>
  <r>
    <n v="84"/>
    <n v="20061.72"/>
    <d v="2023-01-20T00:00:00"/>
    <x v="211"/>
    <s v="Mexico"/>
    <s v="Location 13"/>
    <n v="238.83"/>
  </r>
  <r>
    <n v="84"/>
    <n v="20061.72"/>
    <d v="2023-01-20T00:00:00"/>
    <x v="211"/>
    <s v="Mexico"/>
    <s v="Location 13"/>
    <n v="238.83"/>
  </r>
  <r>
    <n v="216"/>
    <n v="24669.360000000001"/>
    <d v="2023-01-23T00:00:00"/>
    <x v="149"/>
    <s v="Mexico"/>
    <s v="Location 13"/>
    <n v="114.21"/>
  </r>
  <r>
    <n v="324"/>
    <n v="37004.04"/>
    <d v="2023-01-23T00:00:00"/>
    <x v="149"/>
    <s v="Mexico"/>
    <s v="Location 13"/>
    <n v="114.21"/>
  </r>
  <r>
    <n v="108"/>
    <n v="12334.68"/>
    <d v="2023-01-23T00:00:00"/>
    <x v="149"/>
    <s v="Mexico"/>
    <s v="Location 13"/>
    <n v="114.21"/>
  </r>
  <r>
    <n v="216"/>
    <n v="24669.360000000001"/>
    <d v="2023-01-23T00:00:00"/>
    <x v="149"/>
    <s v="Mexico"/>
    <s v="Location 13"/>
    <n v="114.21"/>
  </r>
  <r>
    <n v="216"/>
    <n v="24669.360000000001"/>
    <d v="2023-01-23T00:00:00"/>
    <x v="149"/>
    <s v="Mexico"/>
    <s v="Location 13"/>
    <n v="114.21"/>
  </r>
  <r>
    <n v="324"/>
    <n v="37004.04"/>
    <d v="2023-01-23T00:00:00"/>
    <x v="149"/>
    <s v="Mexico"/>
    <s v="Location 13"/>
    <n v="114.21"/>
  </r>
  <r>
    <n v="108"/>
    <n v="12334.68"/>
    <d v="2023-01-23T00:00:00"/>
    <x v="149"/>
    <s v="Mexico"/>
    <s v="Location 13"/>
    <n v="114.21"/>
  </r>
  <r>
    <n v="210"/>
    <n v="87198.3"/>
    <d v="2023-01-23T00:00:00"/>
    <x v="176"/>
    <s v="Mexico"/>
    <s v="Location 13"/>
    <n v="415.23"/>
  </r>
  <r>
    <n v="420"/>
    <n v="174396.6"/>
    <d v="2023-01-23T00:00:00"/>
    <x v="176"/>
    <s v="Mexico"/>
    <s v="Location 13"/>
    <n v="415.23"/>
  </r>
  <r>
    <n v="15"/>
    <n v="13613.1"/>
    <d v="2023-01-23T00:00:00"/>
    <x v="140"/>
    <s v="Mexico"/>
    <s v="Location 13"/>
    <n v="907.54"/>
  </r>
  <r>
    <n v="15"/>
    <n v="13613.1"/>
    <d v="2023-01-23T00:00:00"/>
    <x v="140"/>
    <s v="Mexico"/>
    <s v="Location 13"/>
    <n v="907.54"/>
  </r>
  <r>
    <n v="15"/>
    <n v="13613.1"/>
    <d v="2023-01-23T00:00:00"/>
    <x v="140"/>
    <s v="Mexico"/>
    <s v="Location 13"/>
    <n v="907.54"/>
  </r>
  <r>
    <n v="592"/>
    <n v="66120.479999999996"/>
    <d v="2023-04-28T00:00:00"/>
    <x v="193"/>
    <s v="Mexico"/>
    <s v="Location 13"/>
    <n v="111.69"/>
  </r>
  <r>
    <n v="180"/>
    <n v="136681.20000000001"/>
    <d v="2023-04-28T00:00:00"/>
    <x v="154"/>
    <s v="Mexico"/>
    <s v="Location 13"/>
    <n v="759.34"/>
  </r>
  <r>
    <n v="60"/>
    <n v="45560.4"/>
    <d v="2023-04-28T00:00:00"/>
    <x v="154"/>
    <s v="Mexico"/>
    <s v="Location 13"/>
    <n v="759.34"/>
  </r>
  <r>
    <n v="60"/>
    <n v="45560.4"/>
    <d v="2023-04-28T00:00:00"/>
    <x v="154"/>
    <s v="Mexico"/>
    <s v="Location 13"/>
    <n v="759.34"/>
  </r>
  <r>
    <n v="120"/>
    <n v="91120.8"/>
    <d v="2023-04-28T00:00:00"/>
    <x v="154"/>
    <s v="Mexico"/>
    <s v="Location 13"/>
    <n v="759.34"/>
  </r>
  <r>
    <n v="90"/>
    <n v="81678.600000000006"/>
    <d v="2023-04-28T00:00:00"/>
    <x v="140"/>
    <s v="Mexico"/>
    <s v="Location 13"/>
    <n v="907.54"/>
  </r>
  <r>
    <n v="150"/>
    <n v="128605.5"/>
    <d v="2023-04-28T00:00:00"/>
    <x v="140"/>
    <s v="Mexico"/>
    <s v="Location 13"/>
    <n v="857.37"/>
  </r>
  <r>
    <n v="165"/>
    <n v="141466.04999999999"/>
    <d v="2023-04-28T00:00:00"/>
    <x v="140"/>
    <s v="Mexico"/>
    <s v="Location 13"/>
    <n v="857.37"/>
  </r>
  <r>
    <n v="318"/>
    <n v="601716.42000000004"/>
    <d v="2023-04-28T00:00:00"/>
    <x v="209"/>
    <s v="Mexico"/>
    <s v="Location 13"/>
    <n v="1892.19"/>
  </r>
  <r>
    <n v="146"/>
    <n v="276259.74"/>
    <d v="2023-04-28T00:00:00"/>
    <x v="209"/>
    <s v="Mexico"/>
    <s v="Location 13"/>
    <n v="1892.19"/>
  </r>
  <r>
    <n v="108"/>
    <n v="204356.52"/>
    <d v="2023-04-28T00:00:00"/>
    <x v="209"/>
    <s v="Mexico"/>
    <s v="Location 13"/>
    <n v="1892.19"/>
  </r>
  <r>
    <n v="45"/>
    <n v="40839.300000000003"/>
    <d v="2023-01-23T00:00:00"/>
    <x v="140"/>
    <s v="Mexico"/>
    <s v="Location 13"/>
    <n v="907.54"/>
  </r>
  <r>
    <n v="375"/>
    <n v="340327.5"/>
    <d v="2023-01-23T00:00:00"/>
    <x v="140"/>
    <s v="Mexico"/>
    <s v="Location 13"/>
    <n v="907.54"/>
  </r>
  <r>
    <n v="150"/>
    <n v="136131"/>
    <d v="2023-01-23T00:00:00"/>
    <x v="140"/>
    <s v="Mexico"/>
    <s v="Location 13"/>
    <n v="907.54"/>
  </r>
  <r>
    <n v="360"/>
    <n v="326714.40000000002"/>
    <d v="2023-01-23T00:00:00"/>
    <x v="140"/>
    <s v="Mexico"/>
    <s v="Location 13"/>
    <n v="907.54"/>
  </r>
  <r>
    <n v="135"/>
    <n v="122517.9"/>
    <d v="2023-01-23T00:00:00"/>
    <x v="140"/>
    <s v="Mexico"/>
    <s v="Location 13"/>
    <n v="907.54"/>
  </r>
  <r>
    <n v="150"/>
    <n v="136131"/>
    <d v="2023-01-23T00:00:00"/>
    <x v="140"/>
    <s v="Mexico"/>
    <s v="Location 13"/>
    <n v="907.54"/>
  </r>
  <r>
    <n v="150"/>
    <n v="136131"/>
    <d v="2023-01-23T00:00:00"/>
    <x v="140"/>
    <s v="Mexico"/>
    <s v="Location 13"/>
    <n v="907.54"/>
  </r>
  <r>
    <n v="120"/>
    <n v="108904.8"/>
    <d v="2023-01-23T00:00:00"/>
    <x v="140"/>
    <s v="Mexico"/>
    <s v="Location 13"/>
    <n v="907.54"/>
  </r>
  <r>
    <n v="240"/>
    <n v="217809.6"/>
    <d v="2023-01-23T00:00:00"/>
    <x v="140"/>
    <s v="Mexico"/>
    <s v="Location 13"/>
    <n v="907.54"/>
  </r>
  <r>
    <n v="135"/>
    <n v="122517.9"/>
    <d v="2023-01-23T00:00:00"/>
    <x v="140"/>
    <s v="Mexico"/>
    <s v="Location 13"/>
    <n v="907.54"/>
  </r>
  <r>
    <n v="105"/>
    <n v="95291.7"/>
    <d v="2023-01-23T00:00:00"/>
    <x v="140"/>
    <s v="Mexico"/>
    <s v="Location 13"/>
    <n v="907.54"/>
  </r>
  <r>
    <n v="105"/>
    <n v="95291.7"/>
    <d v="2023-01-23T00:00:00"/>
    <x v="140"/>
    <s v="Mexico"/>
    <s v="Location 13"/>
    <n v="907.54"/>
  </r>
  <r>
    <n v="330"/>
    <n v="299488.2"/>
    <d v="2023-01-23T00:00:00"/>
    <x v="140"/>
    <s v="Mexico"/>
    <s v="Location 13"/>
    <n v="907.54"/>
  </r>
  <r>
    <n v="15"/>
    <n v="13613.1"/>
    <d v="2023-01-23T00:00:00"/>
    <x v="140"/>
    <s v="Mexico"/>
    <s v="Location 13"/>
    <n v="907.54"/>
  </r>
  <r>
    <n v="15"/>
    <n v="13613.1"/>
    <d v="2023-01-23T00:00:00"/>
    <x v="140"/>
    <s v="Mexico"/>
    <s v="Location 13"/>
    <n v="907.54"/>
  </r>
  <r>
    <n v="105"/>
    <n v="95291.7"/>
    <d v="2023-01-23T00:00:00"/>
    <x v="140"/>
    <s v="Mexico"/>
    <s v="Location 13"/>
    <n v="907.54"/>
  </r>
  <r>
    <n v="1820"/>
    <n v="4313.3999999999996"/>
    <d v="2023-04-03T00:00:00"/>
    <x v="161"/>
    <s v="Mexico"/>
    <s v="Location 13"/>
    <n v="2.37"/>
  </r>
  <r>
    <n v="168"/>
    <n v="40123.440000000002"/>
    <d v="2023-04-03T00:00:00"/>
    <x v="211"/>
    <s v="Mexico"/>
    <s v="Location 13"/>
    <n v="238.83"/>
  </r>
  <r>
    <n v="672"/>
    <n v="160493.76000000001"/>
    <d v="2023-04-03T00:00:00"/>
    <x v="211"/>
    <s v="Mexico"/>
    <s v="Location 13"/>
    <n v="238.83"/>
  </r>
  <r>
    <n v="1008"/>
    <n v="240740.64"/>
    <d v="2023-04-03T00:00:00"/>
    <x v="211"/>
    <s v="Mexico"/>
    <s v="Location 13"/>
    <n v="238.83"/>
  </r>
  <r>
    <n v="588"/>
    <n v="75075.839999999997"/>
    <d v="2023-04-03T00:00:00"/>
    <x v="212"/>
    <s v="Mexico"/>
    <s v="Location 13"/>
    <n v="127.68"/>
  </r>
  <r>
    <n v="108"/>
    <n v="12062.52"/>
    <d v="2023-04-03T00:00:00"/>
    <x v="193"/>
    <s v="Mexico"/>
    <s v="Location 13"/>
    <n v="111.69"/>
  </r>
  <r>
    <n v="78"/>
    <n v="8711.82"/>
    <d v="2023-04-03T00:00:00"/>
    <x v="193"/>
    <s v="Mexico"/>
    <s v="Location 13"/>
    <n v="111.69"/>
  </r>
  <r>
    <n v="2000"/>
    <n v="3880"/>
    <d v="2023-04-04T00:00:00"/>
    <x v="160"/>
    <s v="Mexico"/>
    <s v="Location 13"/>
    <n v="1.94"/>
  </r>
  <r>
    <n v="120"/>
    <n v="11030.4"/>
    <d v="2023-04-04T00:00:00"/>
    <x v="175"/>
    <s v="Mexico"/>
    <s v="Location 13"/>
    <n v="91.92"/>
  </r>
  <r>
    <n v="588"/>
    <n v="79585.8"/>
    <d v="2023-04-04T00:00:00"/>
    <x v="166"/>
    <s v="Mexico"/>
    <s v="Location 13"/>
    <n v="135.35"/>
  </r>
  <r>
    <n v="121"/>
    <n v="13514.49"/>
    <d v="2023-04-04T00:00:00"/>
    <x v="193"/>
    <s v="Mexico"/>
    <s v="Location 13"/>
    <n v="111.69"/>
  </r>
  <r>
    <n v="82"/>
    <n v="9158.58"/>
    <d v="2023-04-04T00:00:00"/>
    <x v="193"/>
    <s v="Mexico"/>
    <s v="Location 13"/>
    <n v="111.69"/>
  </r>
  <r>
    <n v="159"/>
    <n v="17758.71"/>
    <d v="2023-04-04T00:00:00"/>
    <x v="193"/>
    <s v="Mexico"/>
    <s v="Location 13"/>
    <n v="111.69"/>
  </r>
  <r>
    <n v="108"/>
    <n v="11654.28"/>
    <d v="2023-04-05T00:00:00"/>
    <x v="149"/>
    <s v="Mexico"/>
    <s v="Location 13"/>
    <n v="107.91"/>
  </r>
  <r>
    <n v="432"/>
    <n v="46617.120000000003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540"/>
    <n v="58271.4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324"/>
    <n v="34962.839999999997"/>
    <d v="2023-04-05T00:00:00"/>
    <x v="149"/>
    <s v="Mexico"/>
    <s v="Location 13"/>
    <n v="107.91"/>
  </r>
  <r>
    <n v="216"/>
    <n v="23308.560000000001"/>
    <d v="2023-04-05T00:00:00"/>
    <x v="149"/>
    <s v="Mexico"/>
    <s v="Location 13"/>
    <n v="107.91"/>
  </r>
  <r>
    <n v="216"/>
    <n v="23308.560000000001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324"/>
    <n v="34962.839999999997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216"/>
    <n v="23308.560000000001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108"/>
    <n v="11654.28"/>
    <d v="2023-04-05T00:00:00"/>
    <x v="149"/>
    <s v="Mexico"/>
    <s v="Location 13"/>
    <n v="107.91"/>
  </r>
  <r>
    <n v="216"/>
    <n v="23308.560000000001"/>
    <d v="2023-04-05T00:00:00"/>
    <x v="149"/>
    <s v="Mexico"/>
    <s v="Location 13"/>
    <n v="107.91"/>
  </r>
  <r>
    <n v="216"/>
    <n v="23308.560000000001"/>
    <d v="2023-04-11T00:00:00"/>
    <x v="149"/>
    <s v="Mexico"/>
    <s v="Location 13"/>
    <n v="107.91"/>
  </r>
  <r>
    <n v="216"/>
    <n v="23308.560000000001"/>
    <d v="2023-04-11T00:00:00"/>
    <x v="149"/>
    <s v="Mexico"/>
    <s v="Location 13"/>
    <n v="107.91"/>
  </r>
  <r>
    <n v="74"/>
    <n v="33352.54"/>
    <d v="2023-04-11T00:00:00"/>
    <x v="141"/>
    <s v="Mexico"/>
    <s v="Location 13"/>
    <n v="450.71"/>
  </r>
  <r>
    <n v="46"/>
    <n v="20732.66"/>
    <d v="2023-04-11T00:00:00"/>
    <x v="141"/>
    <s v="Mexico"/>
    <s v="Location 13"/>
    <n v="450.71"/>
  </r>
  <r>
    <n v="158"/>
    <n v="71212.179999999993"/>
    <d v="2023-04-11T00:00:00"/>
    <x v="141"/>
    <s v="Mexico"/>
    <s v="Location 13"/>
    <n v="450.71"/>
  </r>
  <r>
    <n v="82"/>
    <n v="34866.400000000001"/>
    <d v="2023-04-11T00:00:00"/>
    <x v="141"/>
    <s v="Mexico"/>
    <s v="Location 13"/>
    <n v="425.2"/>
  </r>
  <r>
    <n v="120"/>
    <n v="54085.2"/>
    <d v="2023-04-11T00:00:00"/>
    <x v="141"/>
    <s v="Mexico"/>
    <s v="Location 13"/>
    <n v="450.71"/>
  </r>
  <r>
    <n v="82"/>
    <n v="36958.22"/>
    <d v="2023-04-11T00:00:00"/>
    <x v="141"/>
    <s v="Mexico"/>
    <s v="Location 13"/>
    <n v="450.71"/>
  </r>
  <r>
    <n v="30"/>
    <n v="22780.2"/>
    <d v="2023-04-12T00:00:00"/>
    <x v="154"/>
    <s v="Mexico"/>
    <s v="Location 13"/>
    <n v="759.34"/>
  </r>
  <r>
    <n v="60"/>
    <n v="45560.4"/>
    <d v="2023-04-12T00:00:00"/>
    <x v="154"/>
    <s v="Mexico"/>
    <s v="Location 13"/>
    <n v="759.34"/>
  </r>
  <r>
    <n v="180"/>
    <n v="136681.20000000001"/>
    <d v="2023-04-12T00:00:00"/>
    <x v="154"/>
    <s v="Mexico"/>
    <s v="Location 13"/>
    <n v="759.34"/>
  </r>
  <r>
    <n v="60"/>
    <n v="45560.4"/>
    <d v="2023-04-12T00:00:00"/>
    <x v="154"/>
    <s v="Mexico"/>
    <s v="Location 13"/>
    <n v="759.34"/>
  </r>
  <r>
    <n v="60"/>
    <n v="45560.4"/>
    <d v="2023-04-12T00:00:00"/>
    <x v="154"/>
    <s v="Mexico"/>
    <s v="Location 13"/>
    <n v="759.34"/>
  </r>
  <r>
    <n v="270"/>
    <n v="205021.8"/>
    <d v="2023-04-12T00:00:00"/>
    <x v="154"/>
    <s v="Mexico"/>
    <s v="Location 13"/>
    <n v="759.34"/>
  </r>
  <r>
    <n v="60"/>
    <n v="45560.4"/>
    <d v="2023-04-12T00:00:00"/>
    <x v="154"/>
    <s v="Mexico"/>
    <s v="Location 13"/>
    <n v="759.34"/>
  </r>
  <r>
    <n v="90"/>
    <n v="68340.600000000006"/>
    <d v="2023-04-12T00:00:00"/>
    <x v="154"/>
    <s v="Mexico"/>
    <s v="Location 13"/>
    <n v="759.34"/>
  </r>
  <r>
    <n v="360"/>
    <n v="273362.40000000002"/>
    <d v="2023-04-12T00:00:00"/>
    <x v="154"/>
    <s v="Mexico"/>
    <s v="Location 13"/>
    <n v="759.34"/>
  </r>
  <r>
    <n v="25"/>
    <n v="47304.75"/>
    <d v="2023-01-27T00:00:00"/>
    <x v="209"/>
    <s v="Mexico"/>
    <s v="Location 13"/>
    <n v="1892.19"/>
  </r>
  <r>
    <n v="65"/>
    <n v="122992.35"/>
    <d v="2023-01-27T00:00:00"/>
    <x v="209"/>
    <s v="Mexico"/>
    <s v="Location 13"/>
    <n v="1892.19"/>
  </r>
  <r>
    <n v="65"/>
    <n v="122992.35"/>
    <d v="2023-01-27T00:00:00"/>
    <x v="209"/>
    <s v="Mexico"/>
    <s v="Location 13"/>
    <n v="1892.19"/>
  </r>
  <r>
    <n v="65"/>
    <n v="122992.35"/>
    <d v="2023-01-27T00:00:00"/>
    <x v="209"/>
    <s v="Mexico"/>
    <s v="Location 13"/>
    <n v="1892.19"/>
  </r>
  <r>
    <n v="65"/>
    <n v="122992.35"/>
    <d v="2023-01-27T00:00:00"/>
    <x v="209"/>
    <s v="Mexico"/>
    <s v="Location 13"/>
    <n v="1892.19"/>
  </r>
  <r>
    <n v="65"/>
    <n v="122992.35"/>
    <d v="2023-01-27T00:00:00"/>
    <x v="209"/>
    <s v="Mexico"/>
    <s v="Location 13"/>
    <n v="1892.19"/>
  </r>
  <r>
    <n v="70"/>
    <n v="132453.29999999999"/>
    <d v="2023-01-27T00:00:00"/>
    <x v="209"/>
    <s v="Mexico"/>
    <s v="Location 13"/>
    <n v="1892.19"/>
  </r>
  <r>
    <n v="18"/>
    <n v="34059.42"/>
    <d v="2023-01-27T00:00:00"/>
    <x v="209"/>
    <s v="Mexico"/>
    <s v="Location 13"/>
    <n v="1892.19"/>
  </r>
  <r>
    <n v="192"/>
    <n v="363300.48"/>
    <d v="2023-01-27T00:00:00"/>
    <x v="209"/>
    <s v="Mexico"/>
    <s v="Location 13"/>
    <n v="1892.19"/>
  </r>
  <r>
    <n v="98"/>
    <n v="185434.62"/>
    <d v="2023-01-27T00:00:00"/>
    <x v="209"/>
    <s v="Mexico"/>
    <s v="Location 13"/>
    <n v="1892.19"/>
  </r>
  <r>
    <n v="30"/>
    <n v="56765.7"/>
    <d v="2023-01-27T00:00:00"/>
    <x v="209"/>
    <s v="Mexico"/>
    <s v="Location 13"/>
    <n v="1892.19"/>
  </r>
  <r>
    <n v="392"/>
    <n v="741738.48"/>
    <d v="2023-01-27T00:00:00"/>
    <x v="209"/>
    <s v="Mexico"/>
    <s v="Location 13"/>
    <n v="1892.19"/>
  </r>
  <r>
    <n v="98"/>
    <n v="185434.62"/>
    <d v="2023-01-27T00:00:00"/>
    <x v="209"/>
    <s v="Mexico"/>
    <s v="Location 13"/>
    <n v="1892.19"/>
  </r>
  <r>
    <n v="92"/>
    <n v="174081.48"/>
    <d v="2023-01-27T00:00:00"/>
    <x v="209"/>
    <s v="Mexico"/>
    <s v="Location 13"/>
    <n v="1892.19"/>
  </r>
  <r>
    <n v="98"/>
    <n v="185434.62"/>
    <d v="2023-01-27T00:00:00"/>
    <x v="209"/>
    <s v="Mexico"/>
    <s v="Location 13"/>
    <n v="1892.19"/>
  </r>
  <r>
    <n v="98"/>
    <n v="185434.62"/>
    <d v="2023-01-27T00:00:00"/>
    <x v="209"/>
    <s v="Mexico"/>
    <s v="Location 13"/>
    <n v="1892.19"/>
  </r>
  <r>
    <n v="3024"/>
    <n v="126493.92"/>
    <d v="2023-01-30T00:00:00"/>
    <x v="164"/>
    <s v="Mexico"/>
    <s v="Location 13"/>
    <n v="41.83"/>
  </r>
  <r>
    <n v="84"/>
    <n v="20061.72"/>
    <d v="2023-01-30T00:00:00"/>
    <x v="211"/>
    <s v="Mexico"/>
    <s v="Location 13"/>
    <n v="238.83"/>
  </r>
  <r>
    <n v="84"/>
    <n v="20061.72"/>
    <d v="2023-01-30T00:00:00"/>
    <x v="211"/>
    <s v="Mexico"/>
    <s v="Location 13"/>
    <n v="238.83"/>
  </r>
  <r>
    <n v="84"/>
    <n v="20061.72"/>
    <d v="2023-01-30T00:00:00"/>
    <x v="211"/>
    <s v="Mexico"/>
    <s v="Location 13"/>
    <n v="238.83"/>
  </r>
  <r>
    <n v="108"/>
    <n v="11654.28"/>
    <d v="2023-05-09T00:00:00"/>
    <x v="149"/>
    <s v="Mexico"/>
    <s v="Location 13"/>
    <n v="107.91"/>
  </r>
  <r>
    <n v="540"/>
    <n v="58271.4"/>
    <d v="2023-05-09T00:00:00"/>
    <x v="149"/>
    <s v="Mexico"/>
    <s v="Location 13"/>
    <n v="107.91"/>
  </r>
  <r>
    <n v="324"/>
    <n v="34962.839999999997"/>
    <d v="2023-05-09T00:00:00"/>
    <x v="149"/>
    <s v="Mexico"/>
    <s v="Location 13"/>
    <n v="107.91"/>
  </r>
  <r>
    <n v="324"/>
    <n v="34962.839999999997"/>
    <d v="2023-05-09T00:00:00"/>
    <x v="149"/>
    <s v="Mexico"/>
    <s v="Location 13"/>
    <n v="107.91"/>
  </r>
  <r>
    <n v="324"/>
    <n v="34962.839999999997"/>
    <d v="2023-05-09T00:00:00"/>
    <x v="149"/>
    <s v="Mexico"/>
    <s v="Location 13"/>
    <n v="107.91"/>
  </r>
  <r>
    <n v="2000"/>
    <n v="3880"/>
    <d v="2023-05-09T00:00:00"/>
    <x v="160"/>
    <s v="Mexico"/>
    <s v="Location 13"/>
    <n v="1.94"/>
  </r>
  <r>
    <n v="120"/>
    <n v="54085.2"/>
    <d v="2023-05-09T00:00:00"/>
    <x v="141"/>
    <s v="Mexico"/>
    <s v="Location 13"/>
    <n v="450.71"/>
  </r>
  <r>
    <n v="240"/>
    <n v="105348"/>
    <d v="2023-05-09T00:00:00"/>
    <x v="145"/>
    <s v="Mexico"/>
    <s v="Location 13"/>
    <n v="438.95"/>
  </r>
  <r>
    <n v="360"/>
    <n v="158022"/>
    <d v="2023-05-09T00:00:00"/>
    <x v="145"/>
    <s v="Mexico"/>
    <s v="Location 13"/>
    <n v="438.95"/>
  </r>
  <r>
    <n v="84"/>
    <n v="20061.72"/>
    <d v="2023-01-30T00:00:00"/>
    <x v="211"/>
    <s v="Mexico"/>
    <s v="Location 13"/>
    <n v="238.83"/>
  </r>
  <r>
    <n v="84"/>
    <n v="20061.72"/>
    <d v="2023-01-30T00:00:00"/>
    <x v="211"/>
    <s v="Mexico"/>
    <s v="Location 13"/>
    <n v="238.83"/>
  </r>
  <r>
    <n v="84"/>
    <n v="20061.72"/>
    <d v="2023-01-30T00:00:00"/>
    <x v="211"/>
    <s v="Mexico"/>
    <s v="Location 13"/>
    <n v="238.83"/>
  </r>
  <r>
    <n v="350"/>
    <n v="145330.5"/>
    <d v="2023-01-30T00:00:00"/>
    <x v="176"/>
    <s v="Mexico"/>
    <s v="Location 13"/>
    <n v="415.23"/>
  </r>
  <r>
    <n v="140"/>
    <n v="58132.2"/>
    <d v="2023-01-30T00:00:00"/>
    <x v="176"/>
    <s v="Mexico"/>
    <s v="Location 13"/>
    <n v="415.23"/>
  </r>
  <r>
    <n v="140"/>
    <n v="58132.2"/>
    <d v="2023-01-30T00:00:00"/>
    <x v="176"/>
    <s v="Mexico"/>
    <s v="Location 13"/>
    <n v="415.23"/>
  </r>
  <r>
    <n v="30"/>
    <n v="24113.1"/>
    <d v="2023-01-30T00:00:00"/>
    <x v="154"/>
    <s v="Mexico"/>
    <s v="Location 13"/>
    <n v="803.77"/>
  </r>
  <r>
    <n v="266"/>
    <n v="18580.099999999999"/>
    <d v="2023-01-30T00:00:00"/>
    <x v="206"/>
    <s v="Mexico"/>
    <s v="Location 13"/>
    <n v="69.849999999999994"/>
  </r>
  <r>
    <n v="108"/>
    <n v="7543.8"/>
    <d v="2023-01-30T00:00:00"/>
    <x v="206"/>
    <s v="Mexico"/>
    <s v="Location 13"/>
    <n v="69.849999999999994"/>
  </r>
  <r>
    <n v="502"/>
    <n v="33242.44"/>
    <d v="2023-01-30T00:00:00"/>
    <x v="206"/>
    <s v="Mexico"/>
    <s v="Location 13"/>
    <n v="66.22"/>
  </r>
  <r>
    <n v="30"/>
    <n v="27226.2"/>
    <d v="2023-01-30T00:00:00"/>
    <x v="140"/>
    <s v="Mexico"/>
    <s v="Location 13"/>
    <n v="907.54"/>
  </r>
  <r>
    <n v="60"/>
    <n v="54452.4"/>
    <d v="2023-01-30T00:00:00"/>
    <x v="140"/>
    <s v="Mexico"/>
    <s v="Location 13"/>
    <n v="907.54"/>
  </r>
  <r>
    <n v="150"/>
    <n v="136131"/>
    <d v="2023-01-30T00:00:00"/>
    <x v="140"/>
    <s v="Mexico"/>
    <s v="Location 13"/>
    <n v="907.54"/>
  </r>
  <r>
    <n v="60"/>
    <n v="54452.4"/>
    <d v="2023-01-30T00:00:00"/>
    <x v="140"/>
    <s v="Mexico"/>
    <s v="Location 13"/>
    <n v="907.54"/>
  </r>
  <r>
    <n v="90"/>
    <n v="81678.600000000006"/>
    <d v="2023-01-30T00:00:00"/>
    <x v="140"/>
    <s v="Mexico"/>
    <s v="Location 13"/>
    <n v="907.54"/>
  </r>
  <r>
    <n v="240"/>
    <n v="217809.6"/>
    <d v="2023-01-30T00:00:00"/>
    <x v="140"/>
    <s v="Mexico"/>
    <s v="Location 13"/>
    <n v="907.54"/>
  </r>
  <r>
    <n v="240"/>
    <n v="108170.4"/>
    <d v="2023-04-17T00:00:00"/>
    <x v="141"/>
    <s v="Mexico"/>
    <s v="Location 13"/>
    <n v="450.71"/>
  </r>
  <r>
    <n v="120"/>
    <n v="54085.2"/>
    <d v="2023-04-17T00:00:00"/>
    <x v="141"/>
    <s v="Mexico"/>
    <s v="Location 13"/>
    <n v="450.71"/>
  </r>
  <r>
    <n v="255"/>
    <n v="231422.7"/>
    <d v="2023-01-31T00:00:00"/>
    <x v="140"/>
    <s v="Mexico"/>
    <s v="Location 13"/>
    <n v="907.54"/>
  </r>
  <r>
    <n v="150"/>
    <n v="136131"/>
    <d v="2023-01-31T00:00:00"/>
    <x v="140"/>
    <s v="Mexico"/>
    <s v="Location 13"/>
    <n v="907.54"/>
  </r>
  <r>
    <n v="30"/>
    <n v="27226.2"/>
    <d v="2023-01-31T00:00:00"/>
    <x v="140"/>
    <s v="Mexico"/>
    <s v="Location 13"/>
    <n v="907.54"/>
  </r>
  <r>
    <n v="120"/>
    <n v="108904.8"/>
    <d v="2023-01-31T00:00:00"/>
    <x v="140"/>
    <s v="Mexico"/>
    <s v="Location 13"/>
    <n v="907.54"/>
  </r>
  <r>
    <n v="165"/>
    <n v="149744.1"/>
    <d v="2023-01-31T00:00:00"/>
    <x v="140"/>
    <s v="Mexico"/>
    <s v="Location 13"/>
    <n v="907.54"/>
  </r>
  <r>
    <n v="240"/>
    <n v="217809.6"/>
    <d v="2023-01-31T00:00:00"/>
    <x v="140"/>
    <s v="Mexico"/>
    <s v="Location 13"/>
    <n v="907.54"/>
  </r>
  <r>
    <n v="150"/>
    <n v="136131"/>
    <d v="2023-01-31T00:00:00"/>
    <x v="140"/>
    <s v="Mexico"/>
    <s v="Location 13"/>
    <n v="907.54"/>
  </r>
  <r>
    <n v="30"/>
    <n v="27226.2"/>
    <d v="2023-01-31T00:00:00"/>
    <x v="140"/>
    <s v="Mexico"/>
    <s v="Location 13"/>
    <n v="907.54"/>
  </r>
  <r>
    <n v="30"/>
    <n v="27226.2"/>
    <d v="2023-01-31T00:00:00"/>
    <x v="140"/>
    <s v="Mexico"/>
    <s v="Location 13"/>
    <n v="907.54"/>
  </r>
  <r>
    <n v="135"/>
    <n v="122517.9"/>
    <d v="2023-01-31T00:00:00"/>
    <x v="140"/>
    <s v="Mexico"/>
    <s v="Location 13"/>
    <n v="907.54"/>
  </r>
  <r>
    <n v="255"/>
    <n v="231422.7"/>
    <d v="2023-01-31T00:00:00"/>
    <x v="140"/>
    <s v="Mexico"/>
    <s v="Location 13"/>
    <n v="907.54"/>
  </r>
  <r>
    <n v="30"/>
    <n v="27226.2"/>
    <d v="2023-01-31T00:00:00"/>
    <x v="140"/>
    <s v="Mexico"/>
    <s v="Location 13"/>
    <n v="907.54"/>
  </r>
  <r>
    <n v="360"/>
    <n v="162255.6"/>
    <d v="2023-04-17T00:00:00"/>
    <x v="141"/>
    <s v="Mexico"/>
    <s v="Location 13"/>
    <n v="450.71"/>
  </r>
  <r>
    <n v="120"/>
    <n v="54085.2"/>
    <d v="2023-04-17T00:00:00"/>
    <x v="141"/>
    <s v="Mexico"/>
    <s v="Location 13"/>
    <n v="450.71"/>
  </r>
  <r>
    <n v="216"/>
    <n v="23308.560000000001"/>
    <d v="2023-04-19T00:00:00"/>
    <x v="149"/>
    <s v="Mexico"/>
    <s v="Location 13"/>
    <n v="107.91"/>
  </r>
  <r>
    <n v="540"/>
    <n v="58271.4"/>
    <d v="2023-04-19T00:00:00"/>
    <x v="149"/>
    <s v="Mexico"/>
    <s v="Location 13"/>
    <n v="107.91"/>
  </r>
  <r>
    <n v="108"/>
    <n v="11654.28"/>
    <d v="2023-04-19T00:00:00"/>
    <x v="149"/>
    <s v="Mexico"/>
    <s v="Location 13"/>
    <n v="107.91"/>
  </r>
  <r>
    <n v="216"/>
    <n v="23308.560000000001"/>
    <d v="2023-04-19T00:00:00"/>
    <x v="149"/>
    <s v="Mexico"/>
    <s v="Location 13"/>
    <n v="107.91"/>
  </r>
  <r>
    <n v="252"/>
    <n v="20099.52"/>
    <d v="2023-04-19T00:00:00"/>
    <x v="163"/>
    <s v="Mexico"/>
    <s v="Location 13"/>
    <n v="79.760000000000005"/>
  </r>
  <r>
    <n v="252"/>
    <n v="20099.52"/>
    <d v="2023-04-19T00:00:00"/>
    <x v="163"/>
    <s v="Mexico"/>
    <s v="Location 13"/>
    <n v="79.760000000000005"/>
  </r>
  <r>
    <n v="252"/>
    <n v="21606.48"/>
    <d v="2023-04-19T00:00:00"/>
    <x v="163"/>
    <s v="Mexico"/>
    <s v="Location 13"/>
    <n v="85.74"/>
  </r>
  <r>
    <n v="504"/>
    <n v="43212.959999999999"/>
    <d v="2023-04-19T00:00:00"/>
    <x v="163"/>
    <s v="Mexico"/>
    <s v="Location 13"/>
    <n v="85.74"/>
  </r>
  <r>
    <n v="252"/>
    <n v="21606.48"/>
    <d v="2023-04-19T00:00:00"/>
    <x v="163"/>
    <s v="Mexico"/>
    <s v="Location 13"/>
    <n v="85.74"/>
  </r>
  <r>
    <n v="450"/>
    <n v="197527.5"/>
    <d v="2023-04-19T00:00:00"/>
    <x v="145"/>
    <s v="Mexico"/>
    <s v="Location 13"/>
    <n v="438.95"/>
  </r>
  <r>
    <n v="48"/>
    <n v="9991.68"/>
    <d v="2023-04-19T00:00:00"/>
    <x v="146"/>
    <s v="Mexico"/>
    <s v="Location 13"/>
    <n v="208.16"/>
  </r>
  <r>
    <n v="48"/>
    <n v="9991.68"/>
    <d v="2023-04-19T00:00:00"/>
    <x v="146"/>
    <s v="Mexico"/>
    <s v="Location 13"/>
    <n v="208.16"/>
  </r>
  <r>
    <n v="48"/>
    <n v="9991.68"/>
    <d v="2023-04-19T00:00:00"/>
    <x v="146"/>
    <s v="Mexico"/>
    <s v="Location 13"/>
    <n v="208.16"/>
  </r>
  <r>
    <n v="90"/>
    <n v="68340.600000000006"/>
    <d v="2023-04-19T00:00:00"/>
    <x v="154"/>
    <s v="Mexico"/>
    <s v="Location 13"/>
    <n v="759.34"/>
  </r>
  <r>
    <n v="240"/>
    <n v="217809.6"/>
    <d v="2023-04-19T00:00:00"/>
    <x v="140"/>
    <s v="Mexico"/>
    <s v="Location 13"/>
    <n v="907.54"/>
  </r>
  <r>
    <n v="135"/>
    <n v="122517.9"/>
    <d v="2023-04-19T00:00:00"/>
    <x v="140"/>
    <s v="Mexico"/>
    <s v="Location 13"/>
    <n v="907.54"/>
  </r>
  <r>
    <n v="240"/>
    <n v="217809.6"/>
    <d v="2023-04-19T00:00:00"/>
    <x v="140"/>
    <s v="Mexico"/>
    <s v="Location 13"/>
    <n v="907.54"/>
  </r>
  <r>
    <n v="135"/>
    <n v="122517.9"/>
    <d v="2023-04-19T00:00:00"/>
    <x v="140"/>
    <s v="Mexico"/>
    <s v="Location 13"/>
    <n v="907.54"/>
  </r>
  <r>
    <n v="255"/>
    <n v="231422.7"/>
    <d v="2023-01-31T00:00:00"/>
    <x v="140"/>
    <s v="Mexico"/>
    <s v="Location 13"/>
    <n v="907.54"/>
  </r>
  <r>
    <n v="150"/>
    <n v="136131"/>
    <d v="2023-01-31T00:00:00"/>
    <x v="140"/>
    <s v="Mexico"/>
    <s v="Location 13"/>
    <n v="907.54"/>
  </r>
  <r>
    <n v="255"/>
    <n v="231422.7"/>
    <d v="2023-01-31T00:00:00"/>
    <x v="140"/>
    <s v="Mexico"/>
    <s v="Location 13"/>
    <n v="907.54"/>
  </r>
  <r>
    <n v="150"/>
    <n v="136131"/>
    <d v="2023-01-31T00:00:00"/>
    <x v="140"/>
    <s v="Mexico"/>
    <s v="Location 13"/>
    <n v="907.54"/>
  </r>
  <r>
    <n v="42"/>
    <n v="2933.7"/>
    <d v="2023-02-02T00:00:00"/>
    <x v="206"/>
    <s v="Mexico"/>
    <s v="Location 13"/>
    <n v="69.849999999999994"/>
  </r>
  <r>
    <n v="60"/>
    <n v="4191"/>
    <d v="2023-02-02T00:00:00"/>
    <x v="206"/>
    <s v="Mexico"/>
    <s v="Location 13"/>
    <n v="69.849999999999994"/>
  </r>
  <r>
    <n v="444"/>
    <n v="31013.4"/>
    <d v="2023-02-02T00:00:00"/>
    <x v="206"/>
    <s v="Mexico"/>
    <s v="Location 13"/>
    <n v="69.849999999999994"/>
  </r>
  <r>
    <n v="90"/>
    <n v="6286.5"/>
    <d v="2023-02-02T00:00:00"/>
    <x v="206"/>
    <s v="Mexico"/>
    <s v="Location 13"/>
    <n v="69.849999999999994"/>
  </r>
  <r>
    <n v="81"/>
    <n v="5657.85"/>
    <d v="2023-02-02T00:00:00"/>
    <x v="206"/>
    <s v="Mexico"/>
    <s v="Location 13"/>
    <n v="69.849999999999994"/>
  </r>
  <r>
    <n v="27"/>
    <n v="1885.95"/>
    <d v="2023-02-02T00:00:00"/>
    <x v="206"/>
    <s v="Mexico"/>
    <s v="Location 13"/>
    <n v="69.849999999999994"/>
  </r>
  <r>
    <n v="363"/>
    <n v="25355.55"/>
    <d v="2023-02-08T00:00:00"/>
    <x v="206"/>
    <s v="Mexico"/>
    <s v="Location 13"/>
    <n v="69.849999999999994"/>
  </r>
  <r>
    <n v="71"/>
    <n v="4959.3500000000004"/>
    <d v="2023-02-08T00:00:00"/>
    <x v="206"/>
    <s v="Mexico"/>
    <s v="Location 13"/>
    <n v="69.849999999999994"/>
  </r>
  <r>
    <n v="105"/>
    <n v="95291.7"/>
    <d v="2023-02-08T00:00:00"/>
    <x v="140"/>
    <s v="Mexico"/>
    <s v="Location 13"/>
    <n v="907.54"/>
  </r>
  <r>
    <n v="150"/>
    <n v="65842.5"/>
    <d v="2023-05-09T00:00:00"/>
    <x v="145"/>
    <s v="Mexico"/>
    <s v="Location 13"/>
    <n v="438.95"/>
  </r>
  <r>
    <n v="150"/>
    <n v="65842.5"/>
    <d v="2023-05-09T00:00:00"/>
    <x v="145"/>
    <s v="Mexico"/>
    <s v="Location 13"/>
    <n v="438.95"/>
  </r>
  <r>
    <n v="420"/>
    <n v="184359"/>
    <d v="2023-05-09T00:00:00"/>
    <x v="145"/>
    <s v="Mexico"/>
    <s v="Location 13"/>
    <n v="438.95"/>
  </r>
  <r>
    <n v="180"/>
    <n v="136681.20000000001"/>
    <d v="2023-05-09T00:00:00"/>
    <x v="154"/>
    <s v="Mexico"/>
    <s v="Location 13"/>
    <n v="759.34"/>
  </r>
  <r>
    <n v="30"/>
    <n v="22780.2"/>
    <d v="2023-05-09T00:00:00"/>
    <x v="154"/>
    <s v="Mexico"/>
    <s v="Location 13"/>
    <n v="759.34"/>
  </r>
  <r>
    <n v="334"/>
    <n v="23329.9"/>
    <d v="2023-05-09T00:00:00"/>
    <x v="206"/>
    <s v="Mexico"/>
    <s v="Location 13"/>
    <n v="69.849999999999994"/>
  </r>
  <r>
    <n v="636"/>
    <n v="44424.6"/>
    <d v="2023-05-09T00:00:00"/>
    <x v="206"/>
    <s v="Mexico"/>
    <s v="Location 13"/>
    <n v="69.849999999999994"/>
  </r>
  <r>
    <n v="18"/>
    <n v="34059.42"/>
    <d v="2023-02-09T00:00:00"/>
    <x v="209"/>
    <s v="Mexico"/>
    <s v="Location 13"/>
    <n v="1892.19"/>
  </r>
  <r>
    <n v="108"/>
    <n v="11654.28"/>
    <d v="2023-02-10T00:00:00"/>
    <x v="149"/>
    <s v="Mexico"/>
    <s v="Location 13"/>
    <n v="107.91"/>
  </r>
  <r>
    <n v="324"/>
    <n v="34962.839999999997"/>
    <d v="2023-02-10T00:00:00"/>
    <x v="149"/>
    <s v="Mexico"/>
    <s v="Location 13"/>
    <n v="107.91"/>
  </r>
  <r>
    <n v="216"/>
    <n v="23308.560000000001"/>
    <d v="2023-02-10T00:00:00"/>
    <x v="149"/>
    <s v="Mexico"/>
    <s v="Location 13"/>
    <n v="107.91"/>
  </r>
  <r>
    <n v="216"/>
    <n v="23308.560000000001"/>
    <d v="2023-02-10T00:00:00"/>
    <x v="149"/>
    <s v="Mexico"/>
    <s v="Location 13"/>
    <n v="107.91"/>
  </r>
  <r>
    <n v="324"/>
    <n v="34962.839999999997"/>
    <d v="2023-02-10T00:00:00"/>
    <x v="149"/>
    <s v="Mexico"/>
    <s v="Location 13"/>
    <n v="107.91"/>
  </r>
  <r>
    <n v="258"/>
    <n v="488185.02"/>
    <d v="2023-02-10T00:00:00"/>
    <x v="209"/>
    <s v="Mexico"/>
    <s v="Location 13"/>
    <n v="1892.19"/>
  </r>
  <r>
    <n v="9000"/>
    <n v="922.5"/>
    <d v="2023-04-24T00:00:00"/>
    <x v="152"/>
    <s v="Mexico"/>
    <s v="Location 13"/>
    <n v="0.10249999999999999"/>
  </r>
  <r>
    <n v="9000"/>
    <n v="922.5"/>
    <d v="2023-04-24T00:00:00"/>
    <x v="152"/>
    <s v="Mexico"/>
    <s v="Location 13"/>
    <n v="0.10249999999999999"/>
  </r>
  <r>
    <n v="324"/>
    <n v="34962.839999999997"/>
    <d v="2023-02-28T00:00:00"/>
    <x v="149"/>
    <s v="Mexico"/>
    <s v="Location 13"/>
    <n v="107.91"/>
  </r>
  <r>
    <n v="648"/>
    <n v="69925.679999999993"/>
    <d v="2023-07-28T00:00:00"/>
    <x v="149"/>
    <s v="Mexico"/>
    <s v="Location 13"/>
    <n v="107.91"/>
  </r>
  <r>
    <n v="51"/>
    <n v="22986.21"/>
    <d v="2023-07-28T00:00:00"/>
    <x v="141"/>
    <s v="Mexico"/>
    <s v="Location 13"/>
    <n v="450.71"/>
  </r>
  <r>
    <n v="53"/>
    <n v="23887.63"/>
    <d v="2023-07-28T00:00:00"/>
    <x v="141"/>
    <s v="Mexico"/>
    <s v="Location 13"/>
    <n v="450.71"/>
  </r>
  <r>
    <n v="57"/>
    <n v="25690.47"/>
    <d v="2023-07-28T00:00:00"/>
    <x v="141"/>
    <s v="Mexico"/>
    <s v="Location 13"/>
    <n v="450.71"/>
  </r>
  <r>
    <n v="120"/>
    <n v="11030.4"/>
    <d v="2023-07-28T00:00:00"/>
    <x v="175"/>
    <s v="Mexico"/>
    <s v="Location 13"/>
    <n v="91.92"/>
  </r>
  <r>
    <n v="252"/>
    <n v="21606.48"/>
    <d v="2023-07-28T00:00:00"/>
    <x v="163"/>
    <s v="Mexico"/>
    <s v="Location 13"/>
    <n v="85.74"/>
  </r>
  <r>
    <n v="252"/>
    <n v="21606.48"/>
    <d v="2023-07-28T00:00:00"/>
    <x v="163"/>
    <s v="Mexico"/>
    <s v="Location 13"/>
    <n v="85.74"/>
  </r>
  <r>
    <n v="300"/>
    <n v="131685"/>
    <d v="2023-07-28T00:00:00"/>
    <x v="145"/>
    <s v="Mexico"/>
    <s v="Location 13"/>
    <n v="438.95"/>
  </r>
  <r>
    <n v="1820"/>
    <n v="4568.2"/>
    <d v="2023-07-28T00:00:00"/>
    <x v="161"/>
    <s v="Mexico"/>
    <s v="Location 13"/>
    <n v="2.5099999999999998"/>
  </r>
  <r>
    <n v="280"/>
    <n v="116264.4"/>
    <d v="2023-07-28T00:00:00"/>
    <x v="176"/>
    <s v="Mexico"/>
    <s v="Location 13"/>
    <n v="415.23"/>
  </r>
  <r>
    <n v="420"/>
    <n v="174396.6"/>
    <d v="2023-07-28T00:00:00"/>
    <x v="176"/>
    <s v="Mexico"/>
    <s v="Location 13"/>
    <n v="415.23"/>
  </r>
  <r>
    <n v="70"/>
    <n v="29066.1"/>
    <d v="2023-07-28T00:00:00"/>
    <x v="176"/>
    <s v="Mexico"/>
    <s v="Location 13"/>
    <n v="415.23"/>
  </r>
  <r>
    <n v="210"/>
    <n v="87198.3"/>
    <d v="2023-07-28T00:00:00"/>
    <x v="176"/>
    <s v="Mexico"/>
    <s v="Location 13"/>
    <n v="415.23"/>
  </r>
  <r>
    <n v="140"/>
    <n v="58132.2"/>
    <d v="2023-07-28T00:00:00"/>
    <x v="176"/>
    <s v="Mexico"/>
    <s v="Location 13"/>
    <n v="415.23"/>
  </r>
  <r>
    <n v="700"/>
    <n v="290661"/>
    <d v="2023-07-28T00:00:00"/>
    <x v="176"/>
    <s v="Mexico"/>
    <s v="Location 13"/>
    <n v="415.23"/>
  </r>
  <r>
    <n v="490"/>
    <n v="203462.7"/>
    <d v="2023-07-28T00:00:00"/>
    <x v="176"/>
    <s v="Mexico"/>
    <s v="Location 13"/>
    <n v="415.23"/>
  </r>
  <r>
    <n v="210"/>
    <n v="87198.3"/>
    <d v="2023-07-28T00:00:00"/>
    <x v="176"/>
    <s v="Mexico"/>
    <s v="Location 13"/>
    <n v="415.23"/>
  </r>
  <r>
    <n v="210"/>
    <n v="87198.3"/>
    <d v="2023-07-28T00:00:00"/>
    <x v="176"/>
    <s v="Mexico"/>
    <s v="Location 13"/>
    <n v="415.23"/>
  </r>
  <r>
    <n v="350"/>
    <n v="145330.5"/>
    <d v="2023-07-28T00:00:00"/>
    <x v="176"/>
    <s v="Mexico"/>
    <s v="Location 13"/>
    <n v="415.23"/>
  </r>
  <r>
    <n v="420"/>
    <n v="174396.6"/>
    <d v="2023-07-28T00:00:00"/>
    <x v="176"/>
    <s v="Mexico"/>
    <s v="Location 13"/>
    <n v="415.23"/>
  </r>
  <r>
    <n v="140"/>
    <n v="60040.4"/>
    <d v="2023-07-28T00:00:00"/>
    <x v="144"/>
    <s v="Mexico"/>
    <s v="Location 13"/>
    <n v="428.86"/>
  </r>
  <r>
    <n v="140"/>
    <n v="60040.4"/>
    <d v="2023-07-28T00:00:00"/>
    <x v="144"/>
    <s v="Mexico"/>
    <s v="Location 13"/>
    <n v="428.86"/>
  </r>
  <r>
    <n v="1980"/>
    <n v="1503493.2"/>
    <d v="2023-07-28T00:00:00"/>
    <x v="154"/>
    <s v="Mexico"/>
    <s v="Location 13"/>
    <n v="759.34"/>
  </r>
  <r>
    <n v="450"/>
    <n v="341703"/>
    <d v="2023-07-28T00:00:00"/>
    <x v="154"/>
    <s v="Mexico"/>
    <s v="Location 13"/>
    <n v="759.34"/>
  </r>
  <r>
    <n v="25"/>
    <n v="4461.25"/>
    <d v="2023-07-28T00:00:00"/>
    <x v="170"/>
    <s v="Mexico"/>
    <s v="Location 13"/>
    <n v="178.45"/>
  </r>
  <r>
    <n v="179"/>
    <n v="12503.15"/>
    <d v="2023-07-28T00:00:00"/>
    <x v="206"/>
    <s v="Mexico"/>
    <s v="Location 13"/>
    <n v="69.849999999999994"/>
  </r>
  <r>
    <n v="204"/>
    <n v="14249.4"/>
    <d v="2023-07-28T00:00:00"/>
    <x v="206"/>
    <s v="Mexico"/>
    <s v="Location 13"/>
    <n v="69.849999999999994"/>
  </r>
  <r>
    <n v="180"/>
    <n v="12573"/>
    <d v="2023-07-28T00:00:00"/>
    <x v="206"/>
    <s v="Mexico"/>
    <s v="Location 13"/>
    <n v="69.849999999999994"/>
  </r>
  <r>
    <n v="399"/>
    <n v="27870.15"/>
    <d v="2023-07-28T00:00:00"/>
    <x v="206"/>
    <s v="Mexico"/>
    <s v="Location 13"/>
    <n v="69.849999999999994"/>
  </r>
  <r>
    <n v="228"/>
    <n v="15925.8"/>
    <d v="2023-07-28T00:00:00"/>
    <x v="206"/>
    <s v="Mexico"/>
    <s v="Location 13"/>
    <n v="69.849999999999994"/>
  </r>
  <r>
    <n v="102"/>
    <n v="7124.7"/>
    <d v="2023-07-28T00:00:00"/>
    <x v="206"/>
    <s v="Mexico"/>
    <s v="Location 13"/>
    <n v="69.849999999999994"/>
  </r>
  <r>
    <n v="360"/>
    <n v="308653.2"/>
    <d v="2023-07-28T00:00:00"/>
    <x v="140"/>
    <s v="Mexico"/>
    <s v="Location 13"/>
    <n v="857.37"/>
  </r>
  <r>
    <n v="96"/>
    <n v="181650.24"/>
    <d v="2023-07-28T00:00:00"/>
    <x v="209"/>
    <s v="Mexico"/>
    <s v="Location 13"/>
    <n v="1892.19"/>
  </r>
  <r>
    <n v="112"/>
    <n v="211925.28"/>
    <d v="2023-07-28T00:00:00"/>
    <x v="209"/>
    <s v="Mexico"/>
    <s v="Location 13"/>
    <n v="1892.19"/>
  </r>
  <r>
    <n v="60"/>
    <n v="113531.4"/>
    <d v="2023-07-28T00:00:00"/>
    <x v="209"/>
    <s v="Mexico"/>
    <s v="Location 13"/>
    <n v="1892.19"/>
  </r>
  <r>
    <n v="112"/>
    <n v="211925.28"/>
    <d v="2023-07-28T00:00:00"/>
    <x v="209"/>
    <s v="Mexico"/>
    <s v="Location 13"/>
    <n v="1892.19"/>
  </r>
  <r>
    <n v="84"/>
    <n v="158943.96"/>
    <d v="2023-07-28T00:00:00"/>
    <x v="209"/>
    <s v="Mexico"/>
    <s v="Location 13"/>
    <n v="1892.19"/>
  </r>
  <r>
    <n v="39"/>
    <n v="2724.15"/>
    <d v="2023-08-07T00:00:00"/>
    <x v="206"/>
    <s v="Mexico"/>
    <s v="Location 13"/>
    <n v="69.849999999999994"/>
  </r>
  <r>
    <n v="240"/>
    <n v="108170.4"/>
    <d v="2023-08-08T00:00:00"/>
    <x v="141"/>
    <s v="Mexico"/>
    <s v="Location 13"/>
    <n v="450.71"/>
  </r>
  <r>
    <n v="648"/>
    <n v="69925.679999999993"/>
    <d v="2023-08-31T00:00:00"/>
    <x v="149"/>
    <s v="Mexico"/>
    <s v="Location 13"/>
    <n v="107.91"/>
  </r>
  <r>
    <n v="120"/>
    <n v="54085.2"/>
    <d v="2023-08-31T00:00:00"/>
    <x v="141"/>
    <s v="Mexico"/>
    <s v="Location 13"/>
    <n v="450.71"/>
  </r>
  <r>
    <n v="360"/>
    <n v="162255.6"/>
    <d v="2023-08-31T00:00:00"/>
    <x v="141"/>
    <s v="Mexico"/>
    <s v="Location 13"/>
    <n v="450.71"/>
  </r>
  <r>
    <n v="240"/>
    <n v="108170.4"/>
    <d v="2023-08-31T00:00:00"/>
    <x v="141"/>
    <s v="Mexico"/>
    <s v="Location 13"/>
    <n v="450.71"/>
  </r>
  <r>
    <n v="130"/>
    <n v="58592.3"/>
    <d v="2023-08-31T00:00:00"/>
    <x v="141"/>
    <s v="Mexico"/>
    <s v="Location 13"/>
    <n v="450.71"/>
  </r>
  <r>
    <n v="240"/>
    <n v="108170.4"/>
    <d v="2023-08-31T00:00:00"/>
    <x v="141"/>
    <s v="Mexico"/>
    <s v="Location 13"/>
    <n v="450.71"/>
  </r>
  <r>
    <n v="120"/>
    <n v="54085.2"/>
    <d v="2023-08-31T00:00:00"/>
    <x v="141"/>
    <s v="Mexico"/>
    <s v="Location 13"/>
    <n v="450.71"/>
  </r>
  <r>
    <n v="252"/>
    <n v="21606.48"/>
    <d v="2023-08-31T00:00:00"/>
    <x v="163"/>
    <s v="Mexico"/>
    <s v="Location 13"/>
    <n v="85.74"/>
  </r>
  <r>
    <n v="90"/>
    <n v="39505.5"/>
    <d v="2023-08-31T00:00:00"/>
    <x v="145"/>
    <s v="Mexico"/>
    <s v="Location 13"/>
    <n v="438.95"/>
  </r>
  <r>
    <n v="1200"/>
    <n v="526740"/>
    <d v="2023-08-31T00:00:00"/>
    <x v="145"/>
    <s v="Mexico"/>
    <s v="Location 13"/>
    <n v="438.95"/>
  </r>
  <r>
    <n v="600"/>
    <n v="263370"/>
    <d v="2023-08-31T00:00:00"/>
    <x v="145"/>
    <s v="Mexico"/>
    <s v="Location 13"/>
    <n v="438.95"/>
  </r>
  <r>
    <n v="120"/>
    <n v="52674"/>
    <d v="2023-08-31T00:00:00"/>
    <x v="145"/>
    <s v="Mexico"/>
    <s v="Location 13"/>
    <n v="438.95"/>
  </r>
  <r>
    <n v="210"/>
    <n v="92179.5"/>
    <d v="2023-08-31T00:00:00"/>
    <x v="145"/>
    <s v="Mexico"/>
    <s v="Location 13"/>
    <n v="438.95"/>
  </r>
  <r>
    <n v="1820"/>
    <n v="4568.2"/>
    <d v="2023-08-31T00:00:00"/>
    <x v="161"/>
    <s v="Mexico"/>
    <s v="Location 13"/>
    <n v="2.5099999999999998"/>
  </r>
  <r>
    <n v="210"/>
    <n v="87198.3"/>
    <d v="2023-08-31T00:00:00"/>
    <x v="176"/>
    <s v="Mexico"/>
    <s v="Location 13"/>
    <n v="415.23"/>
  </r>
  <r>
    <n v="420"/>
    <n v="174396.6"/>
    <d v="2023-08-31T00:00:00"/>
    <x v="176"/>
    <s v="Mexico"/>
    <s v="Location 13"/>
    <n v="415.23"/>
  </r>
  <r>
    <n v="4500"/>
    <n v="3088.8"/>
    <d v="2023-08-31T00:00:00"/>
    <x v="153"/>
    <s v="Mexico"/>
    <s v="Location 13"/>
    <n v="0.68640000000000001"/>
  </r>
  <r>
    <n v="30"/>
    <n v="22780.2"/>
    <d v="2023-08-31T00:00:00"/>
    <x v="154"/>
    <s v="Mexico"/>
    <s v="Location 13"/>
    <n v="759.34"/>
  </r>
  <r>
    <n v="120"/>
    <n v="91120.8"/>
    <d v="2023-08-31T00:00:00"/>
    <x v="154"/>
    <s v="Mexico"/>
    <s v="Location 13"/>
    <n v="759.34"/>
  </r>
  <r>
    <n v="60"/>
    <n v="45560.4"/>
    <d v="2023-08-31T00:00:00"/>
    <x v="154"/>
    <s v="Mexico"/>
    <s v="Location 13"/>
    <n v="759.34"/>
  </r>
  <r>
    <n v="60"/>
    <n v="45560.4"/>
    <d v="2023-08-31T00:00:00"/>
    <x v="154"/>
    <s v="Mexico"/>
    <s v="Location 13"/>
    <n v="759.34"/>
  </r>
  <r>
    <n v="30"/>
    <n v="22780.2"/>
    <d v="2023-08-31T00:00:00"/>
    <x v="154"/>
    <s v="Mexico"/>
    <s v="Location 13"/>
    <n v="759.34"/>
  </r>
  <r>
    <n v="60"/>
    <n v="45560.4"/>
    <d v="2023-08-31T00:00:00"/>
    <x v="154"/>
    <s v="Mexico"/>
    <s v="Location 13"/>
    <n v="759.34"/>
  </r>
  <r>
    <n v="1005"/>
    <n v="70199.25"/>
    <d v="2023-08-31T00:00:00"/>
    <x v="206"/>
    <s v="Mexico"/>
    <s v="Location 13"/>
    <n v="69.849999999999994"/>
  </r>
  <r>
    <n v="216"/>
    <n v="23308.560000000001"/>
    <d v="2023-06-07T00:00:00"/>
    <x v="149"/>
    <s v="Mexico"/>
    <s v="Location 13"/>
    <n v="107.91"/>
  </r>
  <r>
    <n v="108"/>
    <n v="11654.28"/>
    <d v="2023-06-07T00:00:00"/>
    <x v="149"/>
    <s v="Mexico"/>
    <s v="Location 13"/>
    <n v="107.91"/>
  </r>
  <r>
    <n v="324"/>
    <n v="34962.839999999997"/>
    <d v="2023-06-07T00:00:00"/>
    <x v="149"/>
    <s v="Mexico"/>
    <s v="Location 13"/>
    <n v="107.91"/>
  </r>
  <r>
    <n v="108"/>
    <n v="11654.28"/>
    <d v="2023-06-07T00:00:00"/>
    <x v="149"/>
    <s v="Mexico"/>
    <s v="Location 13"/>
    <n v="107.91"/>
  </r>
  <r>
    <n v="216"/>
    <n v="23308.560000000001"/>
    <d v="2023-06-07T00:00:00"/>
    <x v="149"/>
    <s v="Mexico"/>
    <s v="Location 13"/>
    <n v="107.91"/>
  </r>
  <r>
    <n v="216"/>
    <n v="23308.560000000001"/>
    <d v="2023-06-07T00:00:00"/>
    <x v="149"/>
    <s v="Mexico"/>
    <s v="Location 13"/>
    <n v="107.91"/>
  </r>
  <r>
    <n v="216"/>
    <n v="23308.560000000001"/>
    <d v="2023-06-07T00:00:00"/>
    <x v="149"/>
    <s v="Mexico"/>
    <s v="Location 13"/>
    <n v="107.91"/>
  </r>
  <r>
    <n v="432"/>
    <n v="46617.120000000003"/>
    <d v="2023-06-07T00:00:00"/>
    <x v="149"/>
    <s v="Mexico"/>
    <s v="Location 13"/>
    <n v="107.91"/>
  </r>
  <r>
    <n v="202"/>
    <n v="91043.42"/>
    <d v="2023-06-07T00:00:00"/>
    <x v="141"/>
    <s v="Mexico"/>
    <s v="Location 13"/>
    <n v="450.71"/>
  </r>
  <r>
    <n v="240"/>
    <n v="108170.4"/>
    <d v="2023-06-07T00:00:00"/>
    <x v="141"/>
    <s v="Mexico"/>
    <s v="Location 13"/>
    <n v="450.71"/>
  </r>
  <r>
    <n v="3024"/>
    <n v="133449.12"/>
    <d v="2023-06-07T00:00:00"/>
    <x v="164"/>
    <s v="Mexico"/>
    <s v="Location 13"/>
    <n v="44.13"/>
  </r>
  <r>
    <n v="252"/>
    <n v="21606.48"/>
    <d v="2023-06-07T00:00:00"/>
    <x v="163"/>
    <s v="Mexico"/>
    <s v="Location 13"/>
    <n v="85.74"/>
  </r>
  <r>
    <n v="240"/>
    <n v="105348"/>
    <d v="2023-06-07T00:00:00"/>
    <x v="145"/>
    <s v="Mexico"/>
    <s v="Location 13"/>
    <n v="438.95"/>
  </r>
  <r>
    <n v="300"/>
    <n v="131685"/>
    <d v="2023-06-07T00:00:00"/>
    <x v="145"/>
    <s v="Mexico"/>
    <s v="Location 13"/>
    <n v="438.95"/>
  </r>
  <r>
    <n v="120"/>
    <n v="52674"/>
    <d v="2023-06-07T00:00:00"/>
    <x v="145"/>
    <s v="Mexico"/>
    <s v="Location 13"/>
    <n v="438.95"/>
  </r>
  <r>
    <n v="30"/>
    <n v="13168.5"/>
    <d v="2023-06-07T00:00:00"/>
    <x v="145"/>
    <s v="Mexico"/>
    <s v="Location 13"/>
    <n v="438.95"/>
  </r>
  <r>
    <n v="270"/>
    <n v="118516.5"/>
    <d v="2023-06-07T00:00:00"/>
    <x v="145"/>
    <s v="Mexico"/>
    <s v="Location 13"/>
    <n v="438.95"/>
  </r>
  <r>
    <n v="450"/>
    <n v="197527.5"/>
    <d v="2023-06-07T00:00:00"/>
    <x v="145"/>
    <s v="Mexico"/>
    <s v="Location 13"/>
    <n v="438.95"/>
  </r>
  <r>
    <n v="510"/>
    <n v="223864.5"/>
    <d v="2023-06-07T00:00:00"/>
    <x v="145"/>
    <s v="Mexico"/>
    <s v="Location 13"/>
    <n v="438.95"/>
  </r>
  <r>
    <n v="120"/>
    <n v="52674"/>
    <d v="2023-06-07T00:00:00"/>
    <x v="145"/>
    <s v="Mexico"/>
    <s v="Location 13"/>
    <n v="438.95"/>
  </r>
  <r>
    <n v="1008"/>
    <n v="73402.559999999998"/>
    <d v="2023-06-07T00:00:00"/>
    <x v="168"/>
    <s v="Mexico"/>
    <s v="Location 13"/>
    <n v="72.819999999999993"/>
  </r>
  <r>
    <n v="1820"/>
    <n v="4568.2"/>
    <d v="2023-06-07T00:00:00"/>
    <x v="161"/>
    <s v="Mexico"/>
    <s v="Location 13"/>
    <n v="2.5099999999999998"/>
  </r>
  <r>
    <n v="490"/>
    <n v="210141.4"/>
    <d v="2023-06-07T00:00:00"/>
    <x v="144"/>
    <s v="Mexico"/>
    <s v="Location 13"/>
    <n v="428.86"/>
  </r>
  <r>
    <n v="140"/>
    <n v="60040.4"/>
    <d v="2023-06-07T00:00:00"/>
    <x v="144"/>
    <s v="Mexico"/>
    <s v="Location 13"/>
    <n v="428.86"/>
  </r>
  <r>
    <n v="159"/>
    <n v="17758.71"/>
    <d v="2023-06-07T00:00:00"/>
    <x v="193"/>
    <s v="Mexico"/>
    <s v="Location 13"/>
    <n v="111.69"/>
  </r>
  <r>
    <n v="160"/>
    <n v="17870.400000000001"/>
    <d v="2023-06-07T00:00:00"/>
    <x v="193"/>
    <s v="Mexico"/>
    <s v="Location 13"/>
    <n v="111.69"/>
  </r>
  <r>
    <n v="23"/>
    <n v="2568.87"/>
    <d v="2023-06-07T00:00:00"/>
    <x v="193"/>
    <s v="Mexico"/>
    <s v="Location 13"/>
    <n v="111.69"/>
  </r>
  <r>
    <n v="159"/>
    <n v="17758.71"/>
    <d v="2023-06-07T00:00:00"/>
    <x v="193"/>
    <s v="Mexico"/>
    <s v="Location 13"/>
    <n v="111.69"/>
  </r>
  <r>
    <n v="159"/>
    <n v="17758.71"/>
    <d v="2023-06-07T00:00:00"/>
    <x v="193"/>
    <s v="Mexico"/>
    <s v="Location 13"/>
    <n v="111.69"/>
  </r>
  <r>
    <n v="96"/>
    <n v="10722.24"/>
    <d v="2023-06-07T00:00:00"/>
    <x v="193"/>
    <s v="Mexico"/>
    <s v="Location 13"/>
    <n v="111.69"/>
  </r>
  <r>
    <n v="150"/>
    <n v="113901"/>
    <d v="2023-06-07T00:00:00"/>
    <x v="154"/>
    <s v="Mexico"/>
    <s v="Location 13"/>
    <n v="759.34"/>
  </r>
  <r>
    <n v="210"/>
    <n v="159461.4"/>
    <d v="2023-06-07T00:00:00"/>
    <x v="154"/>
    <s v="Mexico"/>
    <s v="Location 13"/>
    <n v="759.34"/>
  </r>
  <r>
    <n v="90"/>
    <n v="68340.600000000006"/>
    <d v="2023-06-07T00:00:00"/>
    <x v="154"/>
    <s v="Mexico"/>
    <s v="Location 13"/>
    <n v="759.34"/>
  </r>
  <r>
    <n v="60"/>
    <n v="45560.4"/>
    <d v="2023-06-07T00:00:00"/>
    <x v="154"/>
    <s v="Mexico"/>
    <s v="Location 13"/>
    <n v="759.34"/>
  </r>
  <r>
    <n v="270"/>
    <n v="205021.8"/>
    <d v="2023-06-07T00:00:00"/>
    <x v="154"/>
    <s v="Mexico"/>
    <s v="Location 13"/>
    <n v="759.34"/>
  </r>
  <r>
    <n v="210"/>
    <n v="159461.4"/>
    <d v="2023-06-07T00:00:00"/>
    <x v="154"/>
    <s v="Mexico"/>
    <s v="Location 13"/>
    <n v="759.34"/>
  </r>
  <r>
    <n v="120"/>
    <n v="91120.8"/>
    <d v="2023-06-07T00:00:00"/>
    <x v="154"/>
    <s v="Mexico"/>
    <s v="Location 13"/>
    <n v="759.34"/>
  </r>
  <r>
    <n v="180"/>
    <n v="136681.20000000001"/>
    <d v="2023-06-07T00:00:00"/>
    <x v="154"/>
    <s v="Mexico"/>
    <s v="Location 13"/>
    <n v="759.34"/>
  </r>
  <r>
    <n v="90"/>
    <n v="68340.600000000006"/>
    <d v="2023-06-07T00:00:00"/>
    <x v="154"/>
    <s v="Mexico"/>
    <s v="Location 13"/>
    <n v="759.34"/>
  </r>
  <r>
    <n v="60"/>
    <n v="45560.4"/>
    <d v="2023-06-07T00:00:00"/>
    <x v="154"/>
    <s v="Mexico"/>
    <s v="Location 13"/>
    <n v="759.34"/>
  </r>
  <r>
    <n v="60"/>
    <n v="45560.4"/>
    <d v="2023-06-07T00:00:00"/>
    <x v="154"/>
    <s v="Mexico"/>
    <s v="Location 13"/>
    <n v="759.34"/>
  </r>
  <r>
    <n v="60"/>
    <n v="45560.4"/>
    <d v="2023-06-07T00:00:00"/>
    <x v="154"/>
    <s v="Mexico"/>
    <s v="Location 13"/>
    <n v="759.34"/>
  </r>
  <r>
    <n v="143"/>
    <n v="25518.35"/>
    <d v="2023-06-07T00:00:00"/>
    <x v="170"/>
    <s v="Mexico"/>
    <s v="Location 13"/>
    <n v="178.45"/>
  </r>
  <r>
    <n v="107"/>
    <n v="19094.150000000001"/>
    <d v="2023-06-07T00:00:00"/>
    <x v="170"/>
    <s v="Mexico"/>
    <s v="Location 13"/>
    <n v="178.45"/>
  </r>
  <r>
    <n v="100"/>
    <n v="17845"/>
    <d v="2023-06-07T00:00:00"/>
    <x v="170"/>
    <s v="Mexico"/>
    <s v="Location 13"/>
    <n v="178.45"/>
  </r>
  <r>
    <n v="143"/>
    <n v="25518.35"/>
    <d v="2023-06-07T00:00:00"/>
    <x v="170"/>
    <s v="Mexico"/>
    <s v="Location 13"/>
    <n v="178.45"/>
  </r>
  <r>
    <n v="107"/>
    <n v="19094.150000000001"/>
    <d v="2023-06-07T00:00:00"/>
    <x v="170"/>
    <s v="Mexico"/>
    <s v="Location 13"/>
    <n v="178.45"/>
  </r>
  <r>
    <n v="143"/>
    <n v="25518.35"/>
    <d v="2023-06-07T00:00:00"/>
    <x v="170"/>
    <s v="Mexico"/>
    <s v="Location 13"/>
    <n v="178.45"/>
  </r>
  <r>
    <n v="143"/>
    <n v="25518.35"/>
    <d v="2023-06-07T00:00:00"/>
    <x v="170"/>
    <s v="Mexico"/>
    <s v="Location 13"/>
    <n v="178.45"/>
  </r>
  <r>
    <n v="145"/>
    <n v="25875.25"/>
    <d v="2023-06-07T00:00:00"/>
    <x v="170"/>
    <s v="Mexico"/>
    <s v="Location 13"/>
    <n v="178.45"/>
  </r>
  <r>
    <n v="143"/>
    <n v="25518.35"/>
    <d v="2023-06-07T00:00:00"/>
    <x v="170"/>
    <s v="Mexico"/>
    <s v="Location 13"/>
    <n v="178.45"/>
  </r>
  <r>
    <n v="143"/>
    <n v="25518.35"/>
    <d v="2023-06-07T00:00:00"/>
    <x v="170"/>
    <s v="Mexico"/>
    <s v="Location 13"/>
    <n v="178.45"/>
  </r>
  <r>
    <n v="107"/>
    <n v="19094.150000000001"/>
    <d v="2023-06-07T00:00:00"/>
    <x v="170"/>
    <s v="Mexico"/>
    <s v="Location 13"/>
    <n v="178.45"/>
  </r>
  <r>
    <n v="107"/>
    <n v="19094.150000000001"/>
    <d v="2023-06-07T00:00:00"/>
    <x v="170"/>
    <s v="Mexico"/>
    <s v="Location 13"/>
    <n v="178.45"/>
  </r>
  <r>
    <n v="107"/>
    <n v="19094.150000000001"/>
    <d v="2023-06-07T00:00:00"/>
    <x v="170"/>
    <s v="Mexico"/>
    <s v="Location 13"/>
    <n v="178.45"/>
  </r>
  <r>
    <n v="30"/>
    <n v="5353.5"/>
    <d v="2023-06-07T00:00:00"/>
    <x v="170"/>
    <s v="Mexico"/>
    <s v="Location 13"/>
    <n v="178.45"/>
  </r>
  <r>
    <n v="104"/>
    <n v="18558.8"/>
    <d v="2023-06-07T00:00:00"/>
    <x v="170"/>
    <s v="Mexico"/>
    <s v="Location 13"/>
    <n v="178.45"/>
  </r>
  <r>
    <n v="20"/>
    <n v="3569"/>
    <d v="2023-06-07T00:00:00"/>
    <x v="170"/>
    <s v="Mexico"/>
    <s v="Location 13"/>
    <n v="178.45"/>
  </r>
  <r>
    <n v="107"/>
    <n v="19094.150000000001"/>
    <d v="2023-06-07T00:00:00"/>
    <x v="170"/>
    <s v="Mexico"/>
    <s v="Location 13"/>
    <n v="178.45"/>
  </r>
  <r>
    <n v="108"/>
    <n v="19272.599999999999"/>
    <d v="2023-06-07T00:00:00"/>
    <x v="170"/>
    <s v="Mexico"/>
    <s v="Location 13"/>
    <n v="178.45"/>
  </r>
  <r>
    <n v="88"/>
    <n v="15703.6"/>
    <d v="2023-06-07T00:00:00"/>
    <x v="170"/>
    <s v="Mexico"/>
    <s v="Location 13"/>
    <n v="178.45"/>
  </r>
  <r>
    <n v="8"/>
    <n v="1427.6"/>
    <d v="2023-06-07T00:00:00"/>
    <x v="170"/>
    <s v="Mexico"/>
    <s v="Location 13"/>
    <n v="178.45"/>
  </r>
  <r>
    <n v="135"/>
    <n v="24090.75"/>
    <d v="2023-06-07T00:00:00"/>
    <x v="170"/>
    <s v="Mexico"/>
    <s v="Location 13"/>
    <n v="178.45"/>
  </r>
  <r>
    <n v="143"/>
    <n v="25518.35"/>
    <d v="2023-06-07T00:00:00"/>
    <x v="170"/>
    <s v="Mexico"/>
    <s v="Location 13"/>
    <n v="178.45"/>
  </r>
  <r>
    <n v="91"/>
    <n v="16238.95"/>
    <d v="2023-06-07T00:00:00"/>
    <x v="170"/>
    <s v="Mexico"/>
    <s v="Location 13"/>
    <n v="178.45"/>
  </r>
  <r>
    <n v="41"/>
    <n v="7316.45"/>
    <d v="2023-06-07T00:00:00"/>
    <x v="170"/>
    <s v="Mexico"/>
    <s v="Location 13"/>
    <n v="178.45"/>
  </r>
  <r>
    <n v="39"/>
    <n v="2724.15"/>
    <d v="2023-06-07T00:00:00"/>
    <x v="206"/>
    <s v="Mexico"/>
    <s v="Location 13"/>
    <n v="69.849999999999994"/>
  </r>
  <r>
    <n v="26"/>
    <n v="1816.1"/>
    <d v="2023-06-07T00:00:00"/>
    <x v="206"/>
    <s v="Mexico"/>
    <s v="Location 13"/>
    <n v="69.849999999999994"/>
  </r>
  <r>
    <n v="399"/>
    <n v="27870.15"/>
    <d v="2023-06-07T00:00:00"/>
    <x v="206"/>
    <s v="Mexico"/>
    <s v="Location 13"/>
    <n v="69.849999999999994"/>
  </r>
  <r>
    <n v="453"/>
    <n v="31642.05"/>
    <d v="2023-06-07T00:00:00"/>
    <x v="206"/>
    <s v="Mexico"/>
    <s v="Location 13"/>
    <n v="69.849999999999994"/>
  </r>
  <r>
    <n v="75"/>
    <n v="64302.75"/>
    <d v="2023-06-07T00:00:00"/>
    <x v="140"/>
    <s v="Mexico"/>
    <s v="Location 13"/>
    <n v="857.37"/>
  </r>
  <r>
    <n v="105"/>
    <n v="90023.85"/>
    <d v="2023-06-07T00:00:00"/>
    <x v="140"/>
    <s v="Mexico"/>
    <s v="Location 13"/>
    <n v="857.37"/>
  </r>
  <r>
    <n v="225"/>
    <n v="192908.25"/>
    <d v="2023-06-07T00:00:00"/>
    <x v="140"/>
    <s v="Mexico"/>
    <s v="Location 13"/>
    <n v="857.37"/>
  </r>
  <r>
    <n v="60"/>
    <n v="51442.2"/>
    <d v="2023-06-07T00:00:00"/>
    <x v="140"/>
    <s v="Mexico"/>
    <s v="Location 13"/>
    <n v="857.37"/>
  </r>
  <r>
    <n v="108"/>
    <n v="11654.28"/>
    <d v="2023-06-30T00:00:00"/>
    <x v="149"/>
    <s v="Mexico"/>
    <s v="Location 13"/>
    <n v="107.91"/>
  </r>
  <r>
    <n v="108"/>
    <n v="11654.28"/>
    <d v="2023-06-30T00:00:00"/>
    <x v="149"/>
    <s v="Mexico"/>
    <s v="Location 13"/>
    <n v="107.91"/>
  </r>
  <r>
    <n v="540"/>
    <n v="58271.4"/>
    <d v="2023-06-30T00:00:00"/>
    <x v="149"/>
    <s v="Mexico"/>
    <s v="Location 13"/>
    <n v="107.91"/>
  </r>
  <r>
    <n v="648"/>
    <n v="69925.679999999993"/>
    <d v="2023-06-30T00:00:00"/>
    <x v="149"/>
    <s v="Mexico"/>
    <s v="Location 13"/>
    <n v="107.91"/>
  </r>
  <r>
    <n v="108"/>
    <n v="11654.28"/>
    <d v="2023-06-30T00:00:00"/>
    <x v="149"/>
    <s v="Mexico"/>
    <s v="Location 13"/>
    <n v="107.91"/>
  </r>
  <r>
    <n v="108"/>
    <n v="11654.28"/>
    <d v="2023-06-30T00:00:00"/>
    <x v="149"/>
    <s v="Mexico"/>
    <s v="Location 13"/>
    <n v="107.91"/>
  </r>
  <r>
    <n v="324"/>
    <n v="34962.839999999997"/>
    <d v="2023-06-30T00:00:00"/>
    <x v="149"/>
    <s v="Mexico"/>
    <s v="Location 13"/>
    <n v="107.91"/>
  </r>
  <r>
    <n v="216"/>
    <n v="23308.560000000001"/>
    <d v="2023-06-30T00:00:00"/>
    <x v="149"/>
    <s v="Mexico"/>
    <s v="Location 13"/>
    <n v="107.91"/>
  </r>
  <r>
    <n v="1296"/>
    <n v="139851.35999999999"/>
    <d v="2023-06-30T00:00:00"/>
    <x v="149"/>
    <s v="Mexico"/>
    <s v="Location 13"/>
    <n v="107.91"/>
  </r>
  <r>
    <n v="4320"/>
    <n v="466171.2"/>
    <d v="2023-06-30T00:00:00"/>
    <x v="149"/>
    <s v="Mexico"/>
    <s v="Location 13"/>
    <n v="107.91"/>
  </r>
  <r>
    <n v="189"/>
    <n v="85184.19"/>
    <d v="2023-06-30T00:00:00"/>
    <x v="141"/>
    <s v="Mexico"/>
    <s v="Location 13"/>
    <n v="450.71"/>
  </r>
  <r>
    <n v="38"/>
    <n v="17126.98"/>
    <d v="2023-06-30T00:00:00"/>
    <x v="141"/>
    <s v="Mexico"/>
    <s v="Location 13"/>
    <n v="450.71"/>
  </r>
  <r>
    <n v="120"/>
    <n v="54085.2"/>
    <d v="2023-06-30T00:00:00"/>
    <x v="141"/>
    <s v="Mexico"/>
    <s v="Location 13"/>
    <n v="450.71"/>
  </r>
  <r>
    <n v="120"/>
    <n v="54085.2"/>
    <d v="2023-06-30T00:00:00"/>
    <x v="141"/>
    <s v="Mexico"/>
    <s v="Location 13"/>
    <n v="450.71"/>
  </r>
  <r>
    <n v="240"/>
    <n v="108170.4"/>
    <d v="2023-06-30T00:00:00"/>
    <x v="141"/>
    <s v="Mexico"/>
    <s v="Location 13"/>
    <n v="450.71"/>
  </r>
  <r>
    <n v="120"/>
    <n v="54085.2"/>
    <d v="2023-06-30T00:00:00"/>
    <x v="141"/>
    <s v="Mexico"/>
    <s v="Location 13"/>
    <n v="450.71"/>
  </r>
  <r>
    <n v="120"/>
    <n v="54085.2"/>
    <d v="2023-06-30T00:00:00"/>
    <x v="141"/>
    <s v="Mexico"/>
    <s v="Location 13"/>
    <n v="450.71"/>
  </r>
  <r>
    <n v="102"/>
    <n v="45972.42"/>
    <d v="2023-06-30T00:00:00"/>
    <x v="141"/>
    <s v="Mexico"/>
    <s v="Location 13"/>
    <n v="450.71"/>
  </r>
  <r>
    <n v="18"/>
    <n v="8112.78"/>
    <d v="2023-06-30T00:00:00"/>
    <x v="141"/>
    <s v="Mexico"/>
    <s v="Location 13"/>
    <n v="450.71"/>
  </r>
  <r>
    <n v="47"/>
    <n v="21183.37"/>
    <d v="2023-06-30T00:00:00"/>
    <x v="141"/>
    <s v="Mexico"/>
    <s v="Location 13"/>
    <n v="450.71"/>
  </r>
  <r>
    <n v="193"/>
    <n v="86987.03"/>
    <d v="2023-06-30T00:00:00"/>
    <x v="141"/>
    <s v="Mexico"/>
    <s v="Location 13"/>
    <n v="450.71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252"/>
    <n v="21606.48"/>
    <d v="2023-06-30T00:00:00"/>
    <x v="163"/>
    <s v="Mexico"/>
    <s v="Location 13"/>
    <n v="85.74"/>
  </r>
  <r>
    <n v="600"/>
    <n v="263370"/>
    <d v="2023-06-30T00:00:00"/>
    <x v="145"/>
    <s v="Mexico"/>
    <s v="Location 13"/>
    <n v="438.95"/>
  </r>
  <r>
    <n v="90"/>
    <n v="39505.5"/>
    <d v="2023-06-30T00:00:00"/>
    <x v="145"/>
    <s v="Mexico"/>
    <s v="Location 13"/>
    <n v="438.95"/>
  </r>
  <r>
    <n v="270"/>
    <n v="118516.5"/>
    <d v="2023-06-30T00:00:00"/>
    <x v="145"/>
    <s v="Mexico"/>
    <s v="Location 13"/>
    <n v="438.95"/>
  </r>
  <r>
    <n v="240"/>
    <n v="105348"/>
    <d v="2023-06-30T00:00:00"/>
    <x v="145"/>
    <s v="Mexico"/>
    <s v="Location 13"/>
    <n v="438.95"/>
  </r>
  <r>
    <n v="768"/>
    <n v="116090.88"/>
    <d v="2023-06-30T00:00:00"/>
    <x v="179"/>
    <s v="Mexico"/>
    <s v="Location 13"/>
    <n v="151.16"/>
  </r>
  <r>
    <n v="144"/>
    <n v="29975.040000000001"/>
    <d v="2023-06-30T00:00:00"/>
    <x v="146"/>
    <s v="Mexico"/>
    <s v="Location 13"/>
    <n v="208.16"/>
  </r>
  <r>
    <n v="1820"/>
    <n v="4568.2"/>
    <d v="2023-06-30T00:00:00"/>
    <x v="161"/>
    <s v="Mexico"/>
    <s v="Location 13"/>
    <n v="2.5099999999999998"/>
  </r>
  <r>
    <n v="1820"/>
    <n v="4568.2"/>
    <d v="2023-06-30T00:00:00"/>
    <x v="161"/>
    <s v="Mexico"/>
    <s v="Location 13"/>
    <n v="2.5099999999999998"/>
  </r>
  <r>
    <n v="70"/>
    <n v="29066.1"/>
    <d v="2023-06-30T00:00:00"/>
    <x v="176"/>
    <s v="Mexico"/>
    <s v="Location 13"/>
    <n v="415.23"/>
  </r>
  <r>
    <n v="140"/>
    <n v="58132.2"/>
    <d v="2023-06-30T00:00:00"/>
    <x v="176"/>
    <s v="Mexico"/>
    <s v="Location 13"/>
    <n v="415.23"/>
  </r>
  <r>
    <n v="420"/>
    <n v="174396.6"/>
    <d v="2023-06-30T00:00:00"/>
    <x v="176"/>
    <s v="Mexico"/>
    <s v="Location 13"/>
    <n v="415.23"/>
  </r>
  <r>
    <n v="70"/>
    <n v="29066.1"/>
    <d v="2023-06-30T00:00:00"/>
    <x v="176"/>
    <s v="Mexico"/>
    <s v="Location 13"/>
    <n v="415.23"/>
  </r>
  <r>
    <n v="280"/>
    <n v="116264.4"/>
    <d v="2023-06-30T00:00:00"/>
    <x v="176"/>
    <s v="Mexico"/>
    <s v="Location 13"/>
    <n v="415.23"/>
  </r>
  <r>
    <n v="280"/>
    <n v="116264.4"/>
    <d v="2023-06-30T00:00:00"/>
    <x v="176"/>
    <s v="Mexico"/>
    <s v="Location 13"/>
    <n v="415.23"/>
  </r>
  <r>
    <n v="140"/>
    <n v="58132.2"/>
    <d v="2023-06-30T00:00:00"/>
    <x v="176"/>
    <s v="Mexico"/>
    <s v="Location 13"/>
    <n v="415.23"/>
  </r>
  <r>
    <n v="280"/>
    <n v="116264.4"/>
    <d v="2023-06-30T00:00:00"/>
    <x v="176"/>
    <s v="Mexico"/>
    <s v="Location 13"/>
    <n v="415.23"/>
  </r>
  <r>
    <n v="210"/>
    <n v="87198.3"/>
    <d v="2023-06-30T00:00:00"/>
    <x v="176"/>
    <s v="Mexico"/>
    <s v="Location 13"/>
    <n v="415.23"/>
  </r>
  <r>
    <n v="210"/>
    <n v="87198.3"/>
    <d v="2023-06-30T00:00:00"/>
    <x v="176"/>
    <s v="Mexico"/>
    <s v="Location 13"/>
    <n v="415.23"/>
  </r>
  <r>
    <n v="63"/>
    <n v="7036.47"/>
    <d v="2023-06-30T00:00:00"/>
    <x v="193"/>
    <s v="Mexico"/>
    <s v="Location 13"/>
    <n v="111.69"/>
  </r>
  <r>
    <n v="159"/>
    <n v="17758.71"/>
    <d v="2023-06-30T00:00:00"/>
    <x v="193"/>
    <s v="Mexico"/>
    <s v="Location 13"/>
    <n v="111.69"/>
  </r>
  <r>
    <n v="7"/>
    <n v="781.83"/>
    <d v="2023-06-30T00:00:00"/>
    <x v="193"/>
    <s v="Mexico"/>
    <s v="Location 13"/>
    <n v="111.69"/>
  </r>
  <r>
    <n v="3000"/>
    <n v="2059.1999999999998"/>
    <d v="2023-06-30T00:00:00"/>
    <x v="153"/>
    <s v="Mexico"/>
    <s v="Location 13"/>
    <n v="0.68640000000000001"/>
  </r>
  <r>
    <n v="240"/>
    <n v="182241.6"/>
    <d v="2023-06-30T00:00:00"/>
    <x v="154"/>
    <s v="Mexico"/>
    <s v="Location 13"/>
    <n v="759.34"/>
  </r>
  <r>
    <n v="210"/>
    <n v="159461.4"/>
    <d v="2023-06-30T00:00:00"/>
    <x v="154"/>
    <s v="Mexico"/>
    <s v="Location 13"/>
    <n v="759.34"/>
  </r>
  <r>
    <n v="180"/>
    <n v="136681.20000000001"/>
    <d v="2023-06-30T00:00:00"/>
    <x v="154"/>
    <s v="Mexico"/>
    <s v="Location 13"/>
    <n v="759.34"/>
  </r>
  <r>
    <n v="120"/>
    <n v="91120.8"/>
    <d v="2023-06-30T00:00:00"/>
    <x v="154"/>
    <s v="Mexico"/>
    <s v="Location 13"/>
    <n v="759.34"/>
  </r>
  <r>
    <n v="90"/>
    <n v="68340.600000000006"/>
    <d v="2023-06-30T00:00:00"/>
    <x v="154"/>
    <s v="Mexico"/>
    <s v="Location 13"/>
    <n v="759.34"/>
  </r>
  <r>
    <n v="240"/>
    <n v="182241.6"/>
    <d v="2023-06-30T00:00:00"/>
    <x v="154"/>
    <s v="Mexico"/>
    <s v="Location 13"/>
    <n v="759.34"/>
  </r>
  <r>
    <n v="143"/>
    <n v="25518.35"/>
    <d v="2023-06-30T00:00:00"/>
    <x v="170"/>
    <s v="Mexico"/>
    <s v="Location 13"/>
    <n v="178.45"/>
  </r>
  <r>
    <n v="107"/>
    <n v="19094.150000000001"/>
    <d v="2023-06-30T00:00:00"/>
    <x v="170"/>
    <s v="Mexico"/>
    <s v="Location 13"/>
    <n v="178.45"/>
  </r>
  <r>
    <n v="25"/>
    <n v="4461.25"/>
    <d v="2023-06-30T00:00:00"/>
    <x v="170"/>
    <s v="Mexico"/>
    <s v="Location 13"/>
    <n v="178.45"/>
  </r>
  <r>
    <n v="82"/>
    <n v="14632.9"/>
    <d v="2023-06-30T00:00:00"/>
    <x v="170"/>
    <s v="Mexico"/>
    <s v="Location 13"/>
    <n v="178.45"/>
  </r>
  <r>
    <n v="52"/>
    <n v="9279.4"/>
    <d v="2023-06-30T00:00:00"/>
    <x v="170"/>
    <s v="Mexico"/>
    <s v="Location 13"/>
    <n v="178.45"/>
  </r>
  <r>
    <n v="107"/>
    <n v="19094.150000000001"/>
    <d v="2023-06-30T00:00:00"/>
    <x v="170"/>
    <s v="Mexico"/>
    <s v="Location 13"/>
    <n v="178.45"/>
  </r>
  <r>
    <n v="79"/>
    <n v="14097.55"/>
    <d v="2023-06-30T00:00:00"/>
    <x v="170"/>
    <s v="Mexico"/>
    <s v="Location 13"/>
    <n v="178.45"/>
  </r>
  <r>
    <n v="77"/>
    <n v="13740.65"/>
    <d v="2023-06-30T00:00:00"/>
    <x v="170"/>
    <s v="Mexico"/>
    <s v="Location 13"/>
    <n v="178.45"/>
  </r>
  <r>
    <n v="102"/>
    <n v="18201.900000000001"/>
    <d v="2023-06-30T00:00:00"/>
    <x v="170"/>
    <s v="Mexico"/>
    <s v="Location 13"/>
    <n v="178.45"/>
  </r>
  <r>
    <n v="273"/>
    <n v="48716.85"/>
    <d v="2023-06-30T00:00:00"/>
    <x v="170"/>
    <s v="Mexico"/>
    <s v="Location 13"/>
    <n v="178.45"/>
  </r>
  <r>
    <n v="95"/>
    <n v="16952.75"/>
    <d v="2023-06-30T00:00:00"/>
    <x v="170"/>
    <s v="Mexico"/>
    <s v="Location 13"/>
    <n v="178.45"/>
  </r>
  <r>
    <n v="57"/>
    <n v="10171.65"/>
    <d v="2023-06-30T00:00:00"/>
    <x v="170"/>
    <s v="Mexico"/>
    <s v="Location 13"/>
    <n v="178.45"/>
  </r>
  <r>
    <n v="16"/>
    <n v="1117.5999999999999"/>
    <d v="2023-06-30T00:00:00"/>
    <x v="206"/>
    <s v="Mexico"/>
    <s v="Location 13"/>
    <n v="69.849999999999994"/>
  </r>
  <r>
    <n v="621"/>
    <n v="43376.85"/>
    <d v="2023-06-30T00:00:00"/>
    <x v="206"/>
    <s v="Mexico"/>
    <s v="Location 13"/>
    <n v="69.849999999999994"/>
  </r>
  <r>
    <n v="135"/>
    <n v="115744.95"/>
    <d v="2023-06-30T00:00:00"/>
    <x v="140"/>
    <s v="Mexico"/>
    <s v="Location 13"/>
    <n v="857.37"/>
  </r>
  <r>
    <n v="60"/>
    <n v="51442.2"/>
    <d v="2023-06-30T00:00:00"/>
    <x v="140"/>
    <s v="Mexico"/>
    <s v="Location 13"/>
    <n v="857.37"/>
  </r>
  <r>
    <n v="120"/>
    <n v="102884.4"/>
    <d v="2023-06-30T00:00:00"/>
    <x v="140"/>
    <s v="Mexico"/>
    <s v="Location 13"/>
    <n v="857.37"/>
  </r>
  <r>
    <n v="146"/>
    <n v="276259.74"/>
    <d v="2023-06-30T00:00:00"/>
    <x v="209"/>
    <s v="Mexico"/>
    <s v="Location 13"/>
    <n v="1892.19"/>
  </r>
  <r>
    <n v="340"/>
    <n v="643344.6"/>
    <d v="2023-06-30T00:00:00"/>
    <x v="209"/>
    <s v="Mexico"/>
    <s v="Location 13"/>
    <n v="1892.19"/>
  </r>
  <r>
    <n v="140"/>
    <n v="60040.4"/>
    <d v="2023-06-30T00:00:00"/>
    <x v="144"/>
    <s v="Mexico"/>
    <s v="Location 13"/>
    <n v="428.86"/>
  </r>
  <r>
    <n v="140"/>
    <n v="60040.4"/>
    <d v="2023-06-30T00:00:00"/>
    <x v="144"/>
    <s v="Mexico"/>
    <s v="Location 13"/>
    <n v="428.86"/>
  </r>
  <r>
    <n v="70"/>
    <n v="30020.2"/>
    <d v="2023-06-30T00:00:00"/>
    <x v="144"/>
    <s v="Mexico"/>
    <s v="Location 13"/>
    <n v="428.86"/>
  </r>
  <r>
    <n v="140"/>
    <n v="60040.4"/>
    <d v="2023-06-30T00:00:00"/>
    <x v="144"/>
    <s v="Mexico"/>
    <s v="Location 13"/>
    <n v="428.86"/>
  </r>
  <r>
    <n v="140"/>
    <n v="60040.4"/>
    <d v="2023-06-30T00:00:00"/>
    <x v="144"/>
    <s v="Mexico"/>
    <s v="Location 13"/>
    <n v="428.86"/>
  </r>
  <r>
    <n v="70"/>
    <n v="30020.2"/>
    <d v="2023-06-30T00:00:00"/>
    <x v="144"/>
    <s v="Mexico"/>
    <s v="Location 13"/>
    <n v="428.86"/>
  </r>
  <r>
    <n v="280"/>
    <n v="120080.8"/>
    <d v="2023-06-30T00:00:00"/>
    <x v="144"/>
    <s v="Mexico"/>
    <s v="Location 13"/>
    <n v="428.86"/>
  </r>
  <r>
    <n v="280"/>
    <n v="120080.8"/>
    <d v="2023-06-30T00:00:00"/>
    <x v="144"/>
    <s v="Mexico"/>
    <s v="Location 13"/>
    <n v="428.86"/>
  </r>
  <r>
    <n v="140"/>
    <n v="60040.4"/>
    <d v="2023-06-30T00:00:00"/>
    <x v="144"/>
    <s v="Mexico"/>
    <s v="Location 13"/>
    <n v="428.86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4-28T00:00:00"/>
    <x v="148"/>
    <s v="Mexico"/>
    <s v="Location 13"/>
    <n v="383.7"/>
  </r>
  <r>
    <n v="70"/>
    <n v="26859"/>
    <d v="2023-06-07T00:00:00"/>
    <x v="148"/>
    <s v="Mexico"/>
    <s v="Location 13"/>
    <n v="383.7"/>
  </r>
  <r>
    <n v="70"/>
    <n v="26859"/>
    <d v="2023-06-07T00:00:00"/>
    <x v="148"/>
    <s v="Mexico"/>
    <s v="Location 13"/>
    <n v="383.7"/>
  </r>
  <r>
    <n v="70"/>
    <n v="26859"/>
    <d v="2023-06-07T00:00:00"/>
    <x v="148"/>
    <s v="Mexico"/>
    <s v="Location 13"/>
    <n v="383.7"/>
  </r>
  <r>
    <n v="70"/>
    <n v="26859"/>
    <d v="2023-06-07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1-17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5-09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7-28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6-30T00:00:00"/>
    <x v="148"/>
    <s v="Mexico"/>
    <s v="Location 13"/>
    <n v="383.7"/>
  </r>
  <r>
    <n v="70"/>
    <n v="26859"/>
    <d v="2023-01-12T00:00:00"/>
    <x v="148"/>
    <s v="Mexico"/>
    <s v="Location 13"/>
    <n v="383.7"/>
  </r>
  <r>
    <n v="70"/>
    <n v="26859"/>
    <d v="2023-01-12T00:00:00"/>
    <x v="148"/>
    <s v="Mexico"/>
    <s v="Location 13"/>
    <n v="383.7"/>
  </r>
  <r>
    <n v="-2184"/>
    <n v="-492077.04"/>
    <d v="2022-04-29T00:00:00"/>
    <x v="211"/>
    <s v="Mexico"/>
    <s v="Location 14"/>
    <n v="225.31"/>
  </r>
  <r>
    <n v="-1092"/>
    <n v="-246038.52"/>
    <d v="2022-04-29T00:00:00"/>
    <x v="211"/>
    <s v="Mexico"/>
    <s v="Location 14"/>
    <n v="225.31"/>
  </r>
  <r>
    <n v="-2772"/>
    <n v="-624559.31999999995"/>
    <d v="2022-04-29T00:00:00"/>
    <x v="211"/>
    <s v="Mexico"/>
    <s v="Location 14"/>
    <n v="225.31"/>
  </r>
  <r>
    <n v="1820"/>
    <n v="4313.3999999999996"/>
    <d v="2022-05-31T00:00:00"/>
    <x v="161"/>
    <s v="Mexico"/>
    <s v="Location 14"/>
    <n v="2.37"/>
  </r>
  <r>
    <n v="14"/>
    <n v="78886.5"/>
    <d v="2022-01-04T00:00:00"/>
    <x v="213"/>
    <s v="Mexico"/>
    <s v="Location 14"/>
    <n v="5634.75"/>
  </r>
  <r>
    <n v="1500"/>
    <n v="1725"/>
    <d v="2022-03-31T00:00:00"/>
    <x v="172"/>
    <s v="Mexico"/>
    <s v="Location 14"/>
    <n v="1.1499999999999999"/>
  </r>
  <r>
    <n v="2000"/>
    <n v="185940"/>
    <d v="2022-03-31T00:00:00"/>
    <x v="158"/>
    <s v="Mexico"/>
    <s v="Location 14"/>
    <n v="92.97"/>
  </r>
  <r>
    <n v="2382"/>
    <n v="221454.54"/>
    <d v="2022-03-31T00:00:00"/>
    <x v="158"/>
    <s v="Mexico"/>
    <s v="Location 14"/>
    <n v="92.97"/>
  </r>
  <r>
    <n v="3276"/>
    <n v="738115.56"/>
    <d v="2022-03-31T00:00:00"/>
    <x v="211"/>
    <s v="Mexico"/>
    <s v="Location 14"/>
    <n v="225.31"/>
  </r>
  <r>
    <n v="2772"/>
    <n v="624559.31999999995"/>
    <d v="2022-03-31T00:00:00"/>
    <x v="211"/>
    <s v="Mexico"/>
    <s v="Location 14"/>
    <n v="225.31"/>
  </r>
  <r>
    <n v="2"/>
    <n v="9015.6"/>
    <d v="2022-06-08T00:00:00"/>
    <x v="151"/>
    <s v="Mexico"/>
    <s v="Location 14"/>
    <n v="4507.8"/>
  </r>
  <r>
    <n v="210"/>
    <n v="946638"/>
    <d v="2022-06-08T00:00:00"/>
    <x v="151"/>
    <s v="Mexico"/>
    <s v="Location 14"/>
    <n v="4507.8"/>
  </r>
  <r>
    <n v="205"/>
    <n v="14319.25"/>
    <d v="2023-01-26T00:00:00"/>
    <x v="206"/>
    <s v="Mexico"/>
    <s v="Location 14"/>
    <n v="69.849999999999994"/>
  </r>
  <r>
    <n v="1176"/>
    <n v="963849.6"/>
    <d v="2022-04-12T00:00:00"/>
    <x v="214"/>
    <s v="Mexico"/>
    <s v="Location 14"/>
    <n v="819.6"/>
  </r>
  <r>
    <n v="2649"/>
    <n v="175416.78"/>
    <d v="2022-01-28T00:00:00"/>
    <x v="206"/>
    <s v="Mexico"/>
    <s v="Location 14"/>
    <n v="66.22"/>
  </r>
  <r>
    <n v="1650"/>
    <n v="109263"/>
    <d v="2022-01-28T00:00:00"/>
    <x v="206"/>
    <s v="Mexico"/>
    <s v="Location 14"/>
    <n v="66.22"/>
  </r>
  <r>
    <n v="756"/>
    <n v="372934.8"/>
    <d v="2022-04-13T00:00:00"/>
    <x v="215"/>
    <s v="Mexico"/>
    <s v="Location 14"/>
    <n v="493.3"/>
  </r>
  <r>
    <n v="33"/>
    <n v="148757.4"/>
    <d v="2022-05-06T00:00:00"/>
    <x v="151"/>
    <s v="Mexico"/>
    <s v="Location 14"/>
    <n v="4507.8"/>
  </r>
  <r>
    <n v="1500"/>
    <n v="1725"/>
    <d v="2022-06-22T00:00:00"/>
    <x v="172"/>
    <s v="Mexico"/>
    <s v="Location 14"/>
    <n v="1.1499999999999999"/>
  </r>
  <r>
    <n v="3000"/>
    <n v="3720"/>
    <d v="2022-06-22T00:00:00"/>
    <x v="162"/>
    <s v="Mexico"/>
    <s v="Location 14"/>
    <n v="1.24"/>
  </r>
  <r>
    <n v="12096"/>
    <n v="28667.52"/>
    <d v="2023-06-26T00:00:00"/>
    <x v="216"/>
    <s v="Mexico"/>
    <s v="Location 11"/>
    <n v="2.37"/>
  </r>
  <r>
    <n v="160"/>
    <n v="72113.600000000006"/>
    <d v="2023-04-17T00:00:00"/>
    <x v="141"/>
    <s v="Mexico"/>
    <s v="Location 11"/>
    <n v="450.71"/>
  </r>
  <r>
    <n v="1004"/>
    <n v="169023.4"/>
    <d v="2022-05-11T00:00:00"/>
    <x v="170"/>
    <s v="Mexico"/>
    <s v="Location 14"/>
    <n v="168.35"/>
  </r>
  <r>
    <n v="756"/>
    <n v="619617.6"/>
    <d v="2022-05-11T00:00:00"/>
    <x v="214"/>
    <s v="Mexico"/>
    <s v="Location 14"/>
    <n v="819.6"/>
  </r>
  <r>
    <n v="2184"/>
    <n v="492077.04"/>
    <d v="2022-04-29T00:00:00"/>
    <x v="211"/>
    <s v="Mexico"/>
    <s v="Location 14"/>
    <n v="225.31"/>
  </r>
  <r>
    <n v="1092"/>
    <n v="246038.52"/>
    <d v="2022-04-29T00:00:00"/>
    <x v="211"/>
    <s v="Mexico"/>
    <s v="Location 14"/>
    <n v="225.31"/>
  </r>
  <r>
    <n v="2772"/>
    <n v="624559.31999999995"/>
    <d v="2022-04-29T00:00:00"/>
    <x v="211"/>
    <s v="Mexico"/>
    <s v="Location 14"/>
    <n v="225.31"/>
  </r>
  <r>
    <n v="1296"/>
    <n v="139851.35999999999"/>
    <d v="2023-04-21T00:00:00"/>
    <x v="149"/>
    <s v="Mexico"/>
    <s v="Location 11"/>
    <n v="107.91"/>
  </r>
  <r>
    <n v="220"/>
    <n v="991716"/>
    <d v="2022-05-19T00:00:00"/>
    <x v="151"/>
    <s v="Mexico"/>
    <s v="Location 14"/>
    <n v="4507.8"/>
  </r>
  <r>
    <n v="930"/>
    <n v="409702.2"/>
    <d v="2022-05-23T00:00:00"/>
    <x v="145"/>
    <s v="Mexico"/>
    <s v="Location 14"/>
    <n v="440.54"/>
  </r>
  <r>
    <n v="322"/>
    <n v="29936.34"/>
    <d v="2022-04-26T00:00:00"/>
    <x v="158"/>
    <s v="Mexico"/>
    <s v="Location 14"/>
    <n v="92.97"/>
  </r>
  <r>
    <n v="1500"/>
    <n v="971.85"/>
    <d v="2022-09-07T00:00:00"/>
    <x v="153"/>
    <s v="Mexico"/>
    <s v="Location 14"/>
    <n v="0.64790000000000003"/>
  </r>
  <r>
    <n v="100"/>
    <n v="385088"/>
    <d v="2022-07-26T00:00:00"/>
    <x v="183"/>
    <s v="Mexico"/>
    <s v="Location 14"/>
    <n v="3850.88"/>
  </r>
  <r>
    <n v="1500"/>
    <n v="971.85"/>
    <d v="2022-09-22T00:00:00"/>
    <x v="153"/>
    <s v="Mexico"/>
    <s v="Location 14"/>
    <n v="0.64790000000000003"/>
  </r>
  <r>
    <n v="640"/>
    <n v="1614432"/>
    <d v="2022-10-28T00:00:00"/>
    <x v="174"/>
    <s v="Mexico"/>
    <s v="Location 11"/>
    <n v="2522.5500000000002"/>
  </r>
  <r>
    <n v="240"/>
    <n v="69144"/>
    <d v="2022-10-28T00:00:00"/>
    <x v="173"/>
    <s v="Mexico"/>
    <s v="Location 11"/>
    <n v="288.10000000000002"/>
  </r>
  <r>
    <n v="196"/>
    <n v="750999.48"/>
    <d v="2022-09-22T00:00:00"/>
    <x v="183"/>
    <s v="Mexico"/>
    <s v="Location 14"/>
    <n v="3831.63"/>
  </r>
  <r>
    <n v="536"/>
    <n v="44423.68"/>
    <d v="2022-10-03T00:00:00"/>
    <x v="169"/>
    <s v="Mexico"/>
    <s v="Location 14"/>
    <n v="82.88"/>
  </r>
  <r>
    <n v="1500"/>
    <n v="1725"/>
    <d v="2022-10-03T00:00:00"/>
    <x v="172"/>
    <s v="Mexico"/>
    <s v="Location 14"/>
    <n v="1.1499999999999999"/>
  </r>
  <r>
    <n v="630"/>
    <n v="66383.100000000006"/>
    <d v="2022-10-05T00:00:00"/>
    <x v="193"/>
    <s v="Mexico"/>
    <s v="Location 14"/>
    <n v="105.37"/>
  </r>
  <r>
    <n v="885"/>
    <n v="93252.45"/>
    <d v="2022-10-05T00:00:00"/>
    <x v="193"/>
    <s v="Mexico"/>
    <s v="Location 14"/>
    <n v="105.37"/>
  </r>
  <r>
    <n v="1196"/>
    <n v="201346.6"/>
    <d v="2022-10-11T00:00:00"/>
    <x v="170"/>
    <s v="Mexico"/>
    <s v="Location 14"/>
    <n v="168.35"/>
  </r>
  <r>
    <n v="1196"/>
    <n v="201346.6"/>
    <d v="2022-10-11T00:00:00"/>
    <x v="170"/>
    <s v="Mexico"/>
    <s v="Location 14"/>
    <n v="168.35"/>
  </r>
  <r>
    <n v="444"/>
    <n v="29401.68"/>
    <d v="2022-10-12T00:00:00"/>
    <x v="206"/>
    <s v="Mexico"/>
    <s v="Location 14"/>
    <n v="66.22"/>
  </r>
  <r>
    <n v="80"/>
    <n v="6630.4"/>
    <d v="2022-07-06T00:00:00"/>
    <x v="169"/>
    <s v="Mexico"/>
    <s v="Location 14"/>
    <n v="82.88"/>
  </r>
  <r>
    <n v="70"/>
    <n v="269561.59999999998"/>
    <d v="2022-07-06T00:00:00"/>
    <x v="183"/>
    <s v="Mexico"/>
    <s v="Location 14"/>
    <n v="3850.88"/>
  </r>
  <r>
    <n v="75"/>
    <n v="288816"/>
    <d v="2022-07-06T00:00:00"/>
    <x v="183"/>
    <s v="Mexico"/>
    <s v="Location 14"/>
    <n v="3850.88"/>
  </r>
  <r>
    <n v="198"/>
    <n v="892544.4"/>
    <d v="2022-07-07T00:00:00"/>
    <x v="151"/>
    <s v="Mexico"/>
    <s v="Location 14"/>
    <n v="4507.8"/>
  </r>
  <r>
    <n v="1408"/>
    <n v="1157207.04"/>
    <d v="2022-08-19T00:00:00"/>
    <x v="157"/>
    <s v="Mexico"/>
    <s v="Location 14"/>
    <n v="821.88"/>
  </r>
  <r>
    <n v="266"/>
    <n v="17614.52"/>
    <d v="2022-12-16T00:00:00"/>
    <x v="206"/>
    <s v="Mexico"/>
    <s v="Location 14"/>
    <n v="66.22"/>
  </r>
  <r>
    <n v="288"/>
    <n v="56557.440000000002"/>
    <d v="2022-07-14T00:00:00"/>
    <x v="146"/>
    <s v="Mexico"/>
    <s v="Location 14"/>
    <n v="196.38"/>
  </r>
  <r>
    <n v="768"/>
    <n v="90516.479999999996"/>
    <d v="2022-07-14T00:00:00"/>
    <x v="142"/>
    <s v="Mexico"/>
    <s v="Location 14"/>
    <n v="117.86"/>
  </r>
  <r>
    <n v="1320"/>
    <n v="581512.80000000005"/>
    <d v="2022-12-29T00:00:00"/>
    <x v="145"/>
    <s v="Mexico"/>
    <s v="Location 14"/>
    <n v="440.54"/>
  </r>
  <r>
    <n v="2"/>
    <n v="9015.6"/>
    <d v="2022-08-25T00:00:00"/>
    <x v="151"/>
    <s v="Mexico"/>
    <s v="Location 14"/>
    <n v="4507.8"/>
  </r>
  <r>
    <n v="252"/>
    <n v="21606.48"/>
    <d v="2023-08-29T00:00:00"/>
    <x v="163"/>
    <s v="Mexico"/>
    <s v="Location 14"/>
    <n v="85.74"/>
  </r>
  <r>
    <n v="35"/>
    <n v="157773"/>
    <d v="2022-08-31T00:00:00"/>
    <x v="151"/>
    <s v="Mexico"/>
    <s v="Location 14"/>
    <n v="4507.8"/>
  </r>
  <r>
    <n v="768"/>
    <n v="109524.48"/>
    <d v="2022-10-21T00:00:00"/>
    <x v="142"/>
    <s v="Mexico"/>
    <s v="Location 11"/>
    <n v="142.61000000000001"/>
  </r>
  <r>
    <n v="870"/>
    <n v="383269.8"/>
    <d v="2022-10-28T00:00:00"/>
    <x v="145"/>
    <s v="Mexico"/>
    <s v="Location 14"/>
    <n v="440.54"/>
  </r>
  <r>
    <n v="885"/>
    <n v="109704.6"/>
    <d v="2022-10-28T00:00:00"/>
    <x v="210"/>
    <s v="Mexico"/>
    <s v="Location 14"/>
    <n v="123.96"/>
  </r>
  <r>
    <n v="630"/>
    <n v="78094.8"/>
    <d v="2022-10-28T00:00:00"/>
    <x v="210"/>
    <s v="Mexico"/>
    <s v="Location 14"/>
    <n v="123.96"/>
  </r>
  <r>
    <n v="1674000"/>
    <n v="2075760"/>
    <d v="2023-06-30T00:00:00"/>
    <x v="203"/>
    <s v="Mexico"/>
    <s v="Location 11"/>
    <n v="1.24"/>
  </r>
  <r>
    <n v="67500"/>
    <n v="77625"/>
    <d v="2023-06-30T00:00:00"/>
    <x v="205"/>
    <s v="Mexico"/>
    <s v="Location 11"/>
    <n v="1.1499999999999999"/>
  </r>
  <r>
    <n v="48000"/>
    <n v="49920"/>
    <d v="2023-06-30T00:00:00"/>
    <x v="217"/>
    <s v="Mexico"/>
    <s v="Location 11"/>
    <n v="1.04"/>
  </r>
  <r>
    <n v="30000"/>
    <n v="13200"/>
    <d v="2023-06-30T00:00:00"/>
    <x v="218"/>
    <s v="Mexico"/>
    <s v="Location 11"/>
    <n v="0.44"/>
  </r>
  <r>
    <n v="33000"/>
    <n v="69960"/>
    <d v="2023-06-30T00:00:00"/>
    <x v="219"/>
    <s v="Mexico"/>
    <s v="Location 11"/>
    <n v="2.12"/>
  </r>
  <r>
    <n v="45000"/>
    <n v="69300"/>
    <d v="2023-06-30T00:00:00"/>
    <x v="204"/>
    <s v="Mexico"/>
    <s v="Location 11"/>
    <n v="1.54"/>
  </r>
  <r>
    <n v="225000"/>
    <n v="420750"/>
    <d v="2023-06-30T00:00:00"/>
    <x v="201"/>
    <s v="Mexico"/>
    <s v="Location 11"/>
    <n v="1.87"/>
  </r>
  <r>
    <n v="252500"/>
    <n v="391375"/>
    <d v="2023-06-30T00:00:00"/>
    <x v="220"/>
    <s v="Mexico"/>
    <s v="Location 11"/>
    <n v="1.55"/>
  </r>
  <r>
    <n v="327000"/>
    <n v="765180"/>
    <d v="2023-06-30T00:00:00"/>
    <x v="221"/>
    <s v="Mexico"/>
    <s v="Location 11"/>
    <n v="2.34"/>
  </r>
  <r>
    <n v="217500"/>
    <n v="369750"/>
    <d v="2023-06-30T00:00:00"/>
    <x v="222"/>
    <s v="Mexico"/>
    <s v="Location 11"/>
    <n v="1.7"/>
  </r>
  <r>
    <n v="2500"/>
    <n v="9100"/>
    <d v="2023-06-30T00:00:00"/>
    <x v="223"/>
    <s v="Mexico"/>
    <s v="Location 11"/>
    <n v="3.64"/>
  </r>
  <r>
    <n v="222000"/>
    <n v="699300"/>
    <d v="2023-06-30T00:00:00"/>
    <x v="202"/>
    <s v="Mexico"/>
    <s v="Location 11"/>
    <n v="3.15"/>
  </r>
  <r>
    <n v="197500"/>
    <n v="750500"/>
    <d v="2023-06-30T00:00:00"/>
    <x v="224"/>
    <s v="Mexico"/>
    <s v="Location 11"/>
    <n v="3.8"/>
  </r>
  <r>
    <n v="20000"/>
    <n v="291200"/>
    <d v="2023-06-30T00:00:00"/>
    <x v="224"/>
    <s v="Mexico"/>
    <s v="Location 11"/>
    <n v="14.56"/>
  </r>
  <r>
    <n v="-10164"/>
    <n v="-275342.76"/>
    <d v="2023-03-23T00:00:00"/>
    <x v="225"/>
    <s v="Hong Kong"/>
    <s v="Location 5"/>
    <n v="27.09"/>
  </r>
  <r>
    <n v="-31724"/>
    <n v="-859403.16"/>
    <d v="2023-03-23T00:00:00"/>
    <x v="225"/>
    <s v="Hong Kong"/>
    <s v="Location 5"/>
    <n v="27.09"/>
  </r>
  <r>
    <n v="-43120"/>
    <n v="-1168120.8"/>
    <d v="2023-03-23T00:00:00"/>
    <x v="225"/>
    <s v="Hong Kong"/>
    <s v="Location 5"/>
    <n v="27.09"/>
  </r>
  <r>
    <n v="-11088"/>
    <n v="-300373.92"/>
    <d v="2023-03-23T00:00:00"/>
    <x v="225"/>
    <s v="Hong Kong"/>
    <s v="Location 5"/>
    <n v="27.09"/>
  </r>
  <r>
    <n v="-9548"/>
    <n v="-258655.32"/>
    <d v="2023-03-23T00:00:00"/>
    <x v="225"/>
    <s v="Hong Kong"/>
    <s v="Location 5"/>
    <n v="27.09"/>
  </r>
  <r>
    <n v="-15708"/>
    <n v="-425529.72"/>
    <d v="2023-03-23T00:00:00"/>
    <x v="225"/>
    <s v="Hong Kong"/>
    <s v="Location 5"/>
    <n v="27.09"/>
  </r>
  <r>
    <n v="-10780"/>
    <n v="-292030.2"/>
    <d v="2023-03-23T00:00:00"/>
    <x v="225"/>
    <s v="Hong Kong"/>
    <s v="Location 5"/>
    <n v="27.09"/>
  </r>
  <r>
    <n v="-11396"/>
    <n v="-308717.64"/>
    <d v="2023-03-23T00:00:00"/>
    <x v="225"/>
    <s v="Hong Kong"/>
    <s v="Location 5"/>
    <n v="27.09"/>
  </r>
  <r>
    <n v="-1384"/>
    <n v="-22296.240000000002"/>
    <d v="2023-07-11T00:00:00"/>
    <x v="226"/>
    <s v="Italy"/>
    <s v="Location 9"/>
    <n v="16.11"/>
  </r>
  <r>
    <n v="-616"/>
    <n v="-322543.76"/>
    <d v="2023-03-01T00:00:00"/>
    <x v="227"/>
    <s v="Taiwan"/>
    <s v="Location 8"/>
    <n v="523.61"/>
  </r>
  <r>
    <n v="-37268"/>
    <n v="-1009590.12"/>
    <d v="2023-03-24T00:00:00"/>
    <x v="225"/>
    <s v="Hong Kong"/>
    <s v="Location 5"/>
    <n v="27.09"/>
  </r>
  <r>
    <n v="-735"/>
    <n v="-547347.15"/>
    <d v="2023-06-07T00:00:00"/>
    <x v="143"/>
    <s v="Taiwan"/>
    <s v="Location 8"/>
    <n v="744.69"/>
  </r>
  <r>
    <n v="-17248"/>
    <n v="-467248.32"/>
    <d v="2023-03-24T00:00:00"/>
    <x v="225"/>
    <s v="Hong Kong"/>
    <s v="Location 5"/>
    <n v="27.09"/>
  </r>
  <r>
    <n v="-23716"/>
    <n v="-642466.43999999994"/>
    <d v="2023-03-24T00:00:00"/>
    <x v="225"/>
    <s v="Hong Kong"/>
    <s v="Location 5"/>
    <n v="27.09"/>
  </r>
  <r>
    <n v="-33880"/>
    <n v="-917809.2"/>
    <d v="2023-03-24T00:00:00"/>
    <x v="225"/>
    <s v="Hong Kong"/>
    <s v="Location 5"/>
    <n v="27.09"/>
  </r>
  <r>
    <n v="-294"/>
    <n v="-218938.86"/>
    <d v="2023-06-08T00:00:00"/>
    <x v="143"/>
    <s v="Taiwan"/>
    <s v="Location 8"/>
    <n v="744.69"/>
  </r>
  <r>
    <n v="-30800"/>
    <n v="-834372"/>
    <d v="2023-03-24T00:00:00"/>
    <x v="225"/>
    <s v="Hong Kong"/>
    <s v="Location 5"/>
    <n v="27.09"/>
  </r>
  <r>
    <n v="-3969"/>
    <n v="-9724.0499999999993"/>
    <d v="2023-07-10T00:00:00"/>
    <x v="228"/>
    <s v="Italy"/>
    <s v="Location 9"/>
    <n v="2.4500000000000002"/>
  </r>
  <r>
    <n v="-20000"/>
    <s v=""/>
    <d v="2022-04-01T00:00:00"/>
    <x v="224"/>
    <s v="Hong Kong"/>
    <s v="Location 17"/>
    <s v=""/>
  </r>
  <r>
    <n v="-35"/>
    <n v="-197216.25"/>
    <d v="2022-03-08T00:00:00"/>
    <x v="213"/>
    <s v="Canada"/>
    <s v="Location 18"/>
    <n v="5634.75"/>
  </r>
  <r>
    <n v="-3430"/>
    <n v="-1475.93"/>
    <d v="2022-05-11T00:00:00"/>
    <x v="229"/>
    <s v="Romania"/>
    <s v="Location 6"/>
    <n v="0.43030000000000002"/>
  </r>
  <r>
    <n v="-4000"/>
    <n v="-5480"/>
    <d v="2023-04-26T00:00:00"/>
    <x v="198"/>
    <s v="USA"/>
    <s v="Location 16"/>
    <n v="1.37"/>
  </r>
  <r>
    <n v="-4000"/>
    <n v="-4560"/>
    <d v="2022-05-11T00:00:00"/>
    <x v="230"/>
    <s v="Romania"/>
    <s v="Location 6"/>
    <n v="1.1399999999999999"/>
  </r>
  <r>
    <n v="-84"/>
    <n v="-35363.160000000003"/>
    <d v="2022-05-11T00:00:00"/>
    <x v="231"/>
    <s v="Romania"/>
    <s v="Location 6"/>
    <n v="420.99"/>
  </r>
  <r>
    <n v="-4000"/>
    <n v="-4560"/>
    <d v="2022-05-11T00:00:00"/>
    <x v="230"/>
    <s v="Romania"/>
    <s v="Location 6"/>
    <n v="1.1399999999999999"/>
  </r>
  <r>
    <n v="-4000"/>
    <n v="-4560"/>
    <d v="2022-05-11T00:00:00"/>
    <x v="230"/>
    <s v="Romania"/>
    <s v="Location 6"/>
    <n v="1.1399999999999999"/>
  </r>
  <r>
    <n v="-4000"/>
    <n v="-4560"/>
    <d v="2022-05-11T00:00:00"/>
    <x v="230"/>
    <s v="Romania"/>
    <s v="Location 6"/>
    <n v="1.1399999999999999"/>
  </r>
  <r>
    <n v="-4000"/>
    <n v="-4560"/>
    <d v="2022-05-11T00:00:00"/>
    <x v="230"/>
    <s v="Romania"/>
    <s v="Location 6"/>
    <n v="1.1399999999999999"/>
  </r>
  <r>
    <n v="-4000"/>
    <n v="-4560"/>
    <d v="2022-05-11T00:00:00"/>
    <x v="230"/>
    <s v="Romania"/>
    <s v="Location 6"/>
    <n v="1.1399999999999999"/>
  </r>
  <r>
    <n v="-2000"/>
    <n v="-2280"/>
    <d v="2022-05-11T00:00:00"/>
    <x v="230"/>
    <s v="Romania"/>
    <s v="Location 6"/>
    <n v="1.1399999999999999"/>
  </r>
  <r>
    <n v="-4000"/>
    <n v="-4560"/>
    <d v="2022-05-11T00:00:00"/>
    <x v="230"/>
    <s v="Romania"/>
    <s v="Location 6"/>
    <n v="1.1399999999999999"/>
  </r>
  <r>
    <n v="-2000"/>
    <n v="-2280"/>
    <d v="2022-05-11T00:00:00"/>
    <x v="230"/>
    <s v="Romania"/>
    <s v="Location 6"/>
    <n v="1.1399999999999999"/>
  </r>
  <r>
    <n v="-2000"/>
    <n v="-2280"/>
    <d v="2022-05-11T00:00:00"/>
    <x v="230"/>
    <s v="Romania"/>
    <s v="Location 6"/>
    <n v="1.1399999999999999"/>
  </r>
  <r>
    <n v="-4000"/>
    <n v="-4560"/>
    <d v="2022-05-11T00:00:00"/>
    <x v="230"/>
    <s v="Romania"/>
    <s v="Location 6"/>
    <n v="1.1399999999999999"/>
  </r>
  <r>
    <n v="-2000"/>
    <n v="-2280"/>
    <d v="2022-05-11T00:00:00"/>
    <x v="230"/>
    <s v="Romania"/>
    <s v="Location 6"/>
    <n v="1.1399999999999999"/>
  </r>
  <r>
    <n v="-20000"/>
    <n v="-60800"/>
    <d v="2022-05-19T00:00:00"/>
    <x v="224"/>
    <s v="Hong Kong"/>
    <s v="Location 17"/>
    <n v="3.04"/>
  </r>
  <r>
    <n v="10164"/>
    <n v="273716.52"/>
    <d v="2023-03-23T00:00:00"/>
    <x v="225"/>
    <s v="Hong Kong"/>
    <s v="Location 5"/>
    <n v="26.93"/>
  </r>
  <r>
    <n v="31724"/>
    <n v="854327.32"/>
    <d v="2023-03-23T00:00:00"/>
    <x v="225"/>
    <s v="Hong Kong"/>
    <s v="Location 5"/>
    <n v="26.93"/>
  </r>
  <r>
    <n v="43120"/>
    <n v="1161221.6000000001"/>
    <d v="2023-03-23T00:00:00"/>
    <x v="225"/>
    <s v="Hong Kong"/>
    <s v="Location 5"/>
    <n v="26.93"/>
  </r>
  <r>
    <n v="11088"/>
    <n v="298599.84000000003"/>
    <d v="2023-03-23T00:00:00"/>
    <x v="225"/>
    <s v="Hong Kong"/>
    <s v="Location 5"/>
    <n v="26.93"/>
  </r>
  <r>
    <n v="15708"/>
    <n v="423016.44"/>
    <d v="2023-03-23T00:00:00"/>
    <x v="225"/>
    <s v="Hong Kong"/>
    <s v="Location 5"/>
    <n v="26.93"/>
  </r>
  <r>
    <n v="9548"/>
    <n v="257127.64"/>
    <d v="2023-03-23T00:00:00"/>
    <x v="225"/>
    <s v="Hong Kong"/>
    <s v="Location 5"/>
    <n v="26.93"/>
  </r>
  <r>
    <n v="10780"/>
    <n v="290305.40000000002"/>
    <d v="2023-03-23T00:00:00"/>
    <x v="225"/>
    <s v="Hong Kong"/>
    <s v="Location 5"/>
    <n v="26.93"/>
  </r>
  <r>
    <n v="11396"/>
    <n v="306894.28000000003"/>
    <d v="2023-03-23T00:00:00"/>
    <x v="225"/>
    <s v="Hong Kong"/>
    <s v="Location 5"/>
    <n v="26.93"/>
  </r>
  <r>
    <n v="33880"/>
    <n v="912388.4"/>
    <d v="2023-03-24T00:00:00"/>
    <x v="225"/>
    <s v="Hong Kong"/>
    <s v="Location 5"/>
    <n v="26.93"/>
  </r>
  <r>
    <n v="30800"/>
    <n v="829444"/>
    <d v="2023-03-24T00:00:00"/>
    <x v="225"/>
    <s v="Hong Kong"/>
    <s v="Location 5"/>
    <n v="26.93"/>
  </r>
  <r>
    <n v="37268"/>
    <n v="1003627.24"/>
    <d v="2023-03-24T00:00:00"/>
    <x v="225"/>
    <s v="Hong Kong"/>
    <s v="Location 5"/>
    <n v="26.93"/>
  </r>
  <r>
    <n v="17248"/>
    <n v="464488.64"/>
    <d v="2023-03-24T00:00:00"/>
    <x v="225"/>
    <s v="Hong Kong"/>
    <s v="Location 5"/>
    <n v="26.93"/>
  </r>
  <r>
    <n v="23716"/>
    <n v="638671.88"/>
    <d v="2023-03-24T00:00:00"/>
    <x v="225"/>
    <s v="Hong Kong"/>
    <s v="Location 5"/>
    <n v="26.93"/>
  </r>
  <r>
    <n v="616"/>
    <n v="304285.52"/>
    <d v="2023-03-01T00:00:00"/>
    <x v="227"/>
    <s v="Taiwan"/>
    <s v="Location 8"/>
    <n v="493.97"/>
  </r>
  <r>
    <n v="735"/>
    <n v="516366.9"/>
    <d v="2023-06-07T00:00:00"/>
    <x v="143"/>
    <s v="Taiwan"/>
    <s v="Location 8"/>
    <n v="702.54"/>
  </r>
  <r>
    <n v="294"/>
    <n v="206546.76"/>
    <d v="2023-06-08T00:00:00"/>
    <x v="143"/>
    <s v="Taiwan"/>
    <s v="Location 8"/>
    <n v="702.54"/>
  </r>
  <r>
    <n v="3969"/>
    <n v="10240.02"/>
    <d v="2023-07-10T00:00:00"/>
    <x v="228"/>
    <s v="Italy"/>
    <s v="Location 9"/>
    <n v="2.58"/>
  </r>
  <r>
    <n v="1384"/>
    <n v="23528"/>
    <d v="2023-07-11T00:00:00"/>
    <x v="226"/>
    <s v="Italy"/>
    <s v="Location 9"/>
    <n v="17"/>
  </r>
  <r>
    <n v="4000"/>
    <n v="5360"/>
    <d v="2023-04-26T00:00:00"/>
    <x v="198"/>
    <s v="USA"/>
    <s v="Location 16"/>
    <n v="1.34"/>
  </r>
  <r>
    <n v="3430"/>
    <n v="1475.93"/>
    <d v="2022-05-11T00:00:00"/>
    <x v="229"/>
    <s v="Romania"/>
    <s v="Location 6"/>
    <n v="0.43030000000000002"/>
  </r>
  <r>
    <n v="84"/>
    <n v="35363.160000000003"/>
    <d v="2022-05-11T00:00:00"/>
    <x v="231"/>
    <s v="Romania"/>
    <s v="Location 6"/>
    <n v="420.99"/>
  </r>
  <r>
    <n v="4000"/>
    <n v="456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2000"/>
    <n v="228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2000"/>
    <n v="2280"/>
    <d v="2022-05-11T00:00:00"/>
    <x v="230"/>
    <s v="Romania"/>
    <s v="Location 6"/>
    <n v="1.1399999999999999"/>
  </r>
  <r>
    <n v="2000"/>
    <n v="2280"/>
    <d v="2022-05-11T00:00:00"/>
    <x v="230"/>
    <s v="Romania"/>
    <s v="Location 6"/>
    <n v="1.1399999999999999"/>
  </r>
  <r>
    <n v="4000"/>
    <n v="4560"/>
    <d v="2022-05-11T00:00:00"/>
    <x v="230"/>
    <s v="Romania"/>
    <s v="Location 6"/>
    <n v="1.1399999999999999"/>
  </r>
  <r>
    <n v="2000"/>
    <n v="2280"/>
    <d v="2022-05-11T00:00:00"/>
    <x v="230"/>
    <s v="Romania"/>
    <s v="Location 6"/>
    <n v="1.1399999999999999"/>
  </r>
  <r>
    <n v="20000"/>
    <n v="60800"/>
    <d v="2022-05-19T00:00:00"/>
    <x v="224"/>
    <s v="Hong Kong"/>
    <s v="Location 17"/>
    <n v="3.04"/>
  </r>
  <r>
    <n v="-294"/>
    <n v="-206546.76"/>
    <d v="2023-01-19T00:00:00"/>
    <x v="143"/>
    <s v="Taiwan"/>
    <s v="Location 8"/>
    <n v="702.54"/>
  </r>
  <r>
    <n v="-270"/>
    <n v="-15076.8"/>
    <d v="2023-08-25T00:00:00"/>
    <x v="200"/>
    <s v="Taiwan"/>
    <s v="Location 19"/>
    <n v="55.84"/>
  </r>
  <r>
    <n v="-2000"/>
    <n v="-1780"/>
    <d v="2023-07-17T00:00:00"/>
    <x v="232"/>
    <s v="Romania"/>
    <s v="Location 6"/>
    <n v="0.89"/>
  </r>
  <r>
    <n v="-2000"/>
    <n v="-2160"/>
    <d v="2022-07-21T00:00:00"/>
    <x v="230"/>
    <s v="Romania"/>
    <s v="Location 6"/>
    <n v="1.08"/>
  </r>
  <r>
    <n v="-4000"/>
    <n v="-4320"/>
    <d v="2022-07-21T00:00:00"/>
    <x v="230"/>
    <s v="Romania"/>
    <s v="Location 6"/>
    <n v="1.08"/>
  </r>
  <r>
    <n v="-2000"/>
    <n v="-2160"/>
    <d v="2022-07-22T00:00:00"/>
    <x v="230"/>
    <s v="Romania"/>
    <s v="Location 6"/>
    <n v="1.08"/>
  </r>
  <r>
    <n v="-2000"/>
    <n v="-2160"/>
    <d v="2022-07-22T00:00:00"/>
    <x v="230"/>
    <s v="Romania"/>
    <s v="Location 6"/>
    <n v="1.08"/>
  </r>
  <r>
    <n v="-6000"/>
    <n v="-6480"/>
    <d v="2022-07-22T00:00:00"/>
    <x v="230"/>
    <s v="Romania"/>
    <s v="Location 6"/>
    <n v="1.08"/>
  </r>
  <r>
    <n v="-2000"/>
    <n v="-2160"/>
    <d v="2022-07-22T00:00:00"/>
    <x v="230"/>
    <s v="Romania"/>
    <s v="Location 6"/>
    <n v="1.08"/>
  </r>
  <r>
    <n v="-2000"/>
    <n v="-2160"/>
    <d v="2022-07-22T00:00:00"/>
    <x v="230"/>
    <s v="Romania"/>
    <s v="Location 6"/>
    <n v="1.08"/>
  </r>
  <r>
    <n v="-2000"/>
    <n v="-2160"/>
    <d v="2022-07-22T00:00:00"/>
    <x v="230"/>
    <s v="Romania"/>
    <s v="Location 6"/>
    <n v="1.08"/>
  </r>
  <r>
    <n v="-6000"/>
    <n v="-6480"/>
    <d v="2022-08-09T00:00:00"/>
    <x v="230"/>
    <s v="Romania"/>
    <s v="Location 6"/>
    <n v="1.08"/>
  </r>
  <r>
    <n v="80752"/>
    <n v="997287.2"/>
    <d v="2023-01-12T00:00:00"/>
    <x v="233"/>
    <s v="Hong Kong"/>
    <s v="Location 5"/>
    <n v="12.35"/>
  </r>
  <r>
    <n v="47040"/>
    <n v="580944"/>
    <d v="2023-01-12T00:00:00"/>
    <x v="234"/>
    <s v="Hong Kong"/>
    <s v="Location 5"/>
    <n v="12.35"/>
  </r>
  <r>
    <n v="43120"/>
    <n v="1168120.8"/>
    <d v="2023-01-12T00:00:00"/>
    <x v="225"/>
    <s v="Hong Kong"/>
    <s v="Location 5"/>
    <n v="27.09"/>
  </r>
  <r>
    <n v="41412"/>
    <n v="166476.24"/>
    <d v="2023-01-12T00:00:00"/>
    <x v="235"/>
    <s v="Hong Kong"/>
    <s v="Location 5"/>
    <n v="4.0199999999999996"/>
  </r>
  <r>
    <n v="37044"/>
    <n v="457493.4"/>
    <d v="2023-02-08T00:00:00"/>
    <x v="233"/>
    <s v="Hong Kong"/>
    <s v="Location 5"/>
    <n v="12.35"/>
  </r>
  <r>
    <n v="31752"/>
    <n v="392137.2"/>
    <d v="2023-02-08T00:00:00"/>
    <x v="233"/>
    <s v="Hong Kong"/>
    <s v="Location 5"/>
    <n v="12.35"/>
  </r>
  <r>
    <n v="63715"/>
    <n v="786880.25"/>
    <d v="2023-02-08T00:00:00"/>
    <x v="233"/>
    <s v="Hong Kong"/>
    <s v="Location 5"/>
    <n v="12.35"/>
  </r>
  <r>
    <n v="26809"/>
    <n v="331091.15000000002"/>
    <d v="2023-02-08T00:00:00"/>
    <x v="234"/>
    <s v="Hong Kong"/>
    <s v="Location 5"/>
    <n v="12.35"/>
  </r>
  <r>
    <n v="15876"/>
    <n v="196068.6"/>
    <d v="2023-02-08T00:00:00"/>
    <x v="234"/>
    <s v="Hong Kong"/>
    <s v="Location 5"/>
    <n v="12.35"/>
  </r>
  <r>
    <n v="32137"/>
    <n v="396891.95"/>
    <d v="2023-02-08T00:00:00"/>
    <x v="234"/>
    <s v="Hong Kong"/>
    <s v="Location 5"/>
    <n v="12.35"/>
  </r>
  <r>
    <n v="11088"/>
    <n v="300373.92"/>
    <d v="2023-02-08T00:00:00"/>
    <x v="225"/>
    <s v="Hong Kong"/>
    <s v="Location 5"/>
    <n v="27.09"/>
  </r>
  <r>
    <n v="15708"/>
    <n v="425529.72"/>
    <d v="2023-02-08T00:00:00"/>
    <x v="225"/>
    <s v="Hong Kong"/>
    <s v="Location 5"/>
    <n v="27.09"/>
  </r>
  <r>
    <n v="31724"/>
    <n v="859403.16"/>
    <d v="2023-02-08T00:00:00"/>
    <x v="225"/>
    <s v="Hong Kong"/>
    <s v="Location 5"/>
    <n v="27.09"/>
  </r>
  <r>
    <n v="9744"/>
    <n v="39170.879999999997"/>
    <d v="2023-02-08T00:00:00"/>
    <x v="235"/>
    <s v="Hong Kong"/>
    <s v="Location 5"/>
    <n v="4.0199999999999996"/>
  </r>
  <r>
    <n v="17074"/>
    <n v="68637.48"/>
    <d v="2023-02-08T00:00:00"/>
    <x v="235"/>
    <s v="Hong Kong"/>
    <s v="Location 5"/>
    <n v="4.0199999999999996"/>
  </r>
  <r>
    <n v="29232"/>
    <n v="117512.64"/>
    <d v="2023-02-08T00:00:00"/>
    <x v="235"/>
    <s v="Hong Kong"/>
    <s v="Location 5"/>
    <n v="4.0199999999999996"/>
  </r>
  <r>
    <n v="856"/>
    <n v="127458.4"/>
    <d v="2023-08-30T00:00:00"/>
    <x v="195"/>
    <s v="USA"/>
    <s v="Location 16"/>
    <n v="148.9"/>
  </r>
  <r>
    <n v="270"/>
    <n v="15076.8"/>
    <d v="2023-09-07T00:00:00"/>
    <x v="200"/>
    <s v="Hong Kong"/>
    <s v="Location 20"/>
    <n v="55.84"/>
  </r>
  <r>
    <n v="6000"/>
    <n v="11880"/>
    <d v="2023-02-06T00:00:00"/>
    <x v="197"/>
    <s v="USA"/>
    <s v="Location 16"/>
    <n v="1.98"/>
  </r>
  <r>
    <n v="4000"/>
    <n v="5360"/>
    <d v="2023-02-07T00:00:00"/>
    <x v="198"/>
    <s v="USA"/>
    <s v="Location 16"/>
    <n v="1.34"/>
  </r>
  <r>
    <n v="4000"/>
    <n v="5360"/>
    <d v="2023-02-07T00:00:00"/>
    <x v="198"/>
    <s v="USA"/>
    <s v="Location 16"/>
    <n v="1.34"/>
  </r>
  <r>
    <n v="4000"/>
    <n v="5360"/>
    <d v="2023-02-09T00:00:00"/>
    <x v="198"/>
    <s v="USA"/>
    <s v="Location 16"/>
    <n v="1.34"/>
  </r>
  <r>
    <n v="6000"/>
    <n v="10560"/>
    <d v="2023-03-02T00:00:00"/>
    <x v="146"/>
    <s v="USA"/>
    <s v="Location 16"/>
    <n v="1.76"/>
  </r>
  <r>
    <n v="4000"/>
    <n v="5480"/>
    <d v="2023-03-07T00:00:00"/>
    <x v="198"/>
    <s v="USA"/>
    <s v="Location 16"/>
    <n v="1.37"/>
  </r>
  <r>
    <n v="6000"/>
    <n v="11880"/>
    <d v="2023-03-08T00:00:00"/>
    <x v="197"/>
    <s v="USA"/>
    <s v="Location 16"/>
    <n v="1.98"/>
  </r>
  <r>
    <n v="4000"/>
    <n v="5360"/>
    <d v="2023-04-25T00:00:00"/>
    <x v="198"/>
    <s v="USA"/>
    <s v="Location 16"/>
    <n v="1.34"/>
  </r>
  <r>
    <n v="4000"/>
    <n v="5360"/>
    <d v="2023-04-25T00:00:00"/>
    <x v="198"/>
    <s v="USA"/>
    <s v="Location 16"/>
    <n v="1.34"/>
  </r>
  <r>
    <n v="9000"/>
    <n v="15750"/>
    <d v="2023-04-28T00:00:00"/>
    <x v="180"/>
    <s v="USA"/>
    <s v="Location 16"/>
    <n v="1.75"/>
  </r>
  <r>
    <n v="420"/>
    <n v="318922.8"/>
    <d v="2023-03-06T00:00:00"/>
    <x v="154"/>
    <s v="USA"/>
    <s v="Location 21"/>
    <n v="759.34"/>
  </r>
  <r>
    <n v="300"/>
    <n v="227802"/>
    <d v="2023-03-06T00:00:00"/>
    <x v="154"/>
    <s v="USA"/>
    <s v="Location 21"/>
    <n v="759.34"/>
  </r>
  <r>
    <n v="240"/>
    <n v="182241.6"/>
    <d v="2023-03-06T00:00:00"/>
    <x v="154"/>
    <s v="USA"/>
    <s v="Location 21"/>
    <n v="759.34"/>
  </r>
  <r>
    <n v="252"/>
    <n v="35899.919999999998"/>
    <d v="2023-02-15T00:00:00"/>
    <x v="195"/>
    <s v="USA"/>
    <s v="Location 16"/>
    <n v="142.46"/>
  </r>
  <r>
    <n v="270"/>
    <n v="35178.300000000003"/>
    <d v="2023-04-04T00:00:00"/>
    <x v="194"/>
    <s v="USA"/>
    <s v="Location 16"/>
    <n v="130.29"/>
  </r>
  <r>
    <n v="180"/>
    <n v="8766"/>
    <d v="2023-04-04T00:00:00"/>
    <x v="193"/>
    <s v="USA"/>
    <s v="Location 16"/>
    <n v="48.7"/>
  </r>
  <r>
    <n v="90"/>
    <n v="4192.2"/>
    <d v="2023-04-04T00:00:00"/>
    <x v="193"/>
    <s v="USA"/>
    <s v="Location 16"/>
    <n v="46.58"/>
  </r>
  <r>
    <n v="270"/>
    <n v="35178.300000000003"/>
    <d v="2023-04-28T00:00:00"/>
    <x v="194"/>
    <s v="USA"/>
    <s v="Location 16"/>
    <n v="130.29"/>
  </r>
  <r>
    <n v="1215"/>
    <n v="73568.25"/>
    <d v="2023-05-25T00:00:00"/>
    <x v="236"/>
    <s v="USA"/>
    <s v="Location 16"/>
    <n v="60.55"/>
  </r>
  <r>
    <n v="270"/>
    <n v="16348.5"/>
    <d v="2023-05-25T00:00:00"/>
    <x v="236"/>
    <s v="USA"/>
    <s v="Location 16"/>
    <n v="60.55"/>
  </r>
  <r>
    <n v="324"/>
    <n v="19618.2"/>
    <d v="2023-05-25T00:00:00"/>
    <x v="236"/>
    <s v="USA"/>
    <s v="Location 16"/>
    <n v="60.55"/>
  </r>
  <r>
    <n v="270"/>
    <n v="40203"/>
    <d v="2023-05-25T00:00:00"/>
    <x v="195"/>
    <s v="USA"/>
    <s v="Location 16"/>
    <n v="148.9"/>
  </r>
  <r>
    <n v="270"/>
    <n v="35178.300000000003"/>
    <d v="2023-05-25T00:00:00"/>
    <x v="194"/>
    <s v="USA"/>
    <s v="Location 16"/>
    <n v="130.29"/>
  </r>
  <r>
    <n v="270"/>
    <n v="35178.300000000003"/>
    <d v="2023-06-15T00:00:00"/>
    <x v="194"/>
    <s v="USA"/>
    <s v="Location 16"/>
    <n v="130.29"/>
  </r>
  <r>
    <n v="270"/>
    <n v="40203"/>
    <d v="2023-06-22T00:00:00"/>
    <x v="195"/>
    <s v="USA"/>
    <s v="Location 16"/>
    <n v="148.9"/>
  </r>
  <r>
    <n v="297"/>
    <n v="44223.3"/>
    <d v="2023-06-30T00:00:00"/>
    <x v="195"/>
    <s v="USA"/>
    <s v="Location 16"/>
    <n v="148.9"/>
  </r>
  <r>
    <n v="18"/>
    <n v="2680.2"/>
    <d v="2023-07-10T00:00:00"/>
    <x v="195"/>
    <s v="USA"/>
    <s v="Location 16"/>
    <n v="148.9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270"/>
    <n v="13149"/>
    <d v="2023-07-12T00:00:00"/>
    <x v="193"/>
    <s v="USA"/>
    <s v="Location 16"/>
    <n v="48.7"/>
  </r>
  <r>
    <n v="1404"/>
    <n v="85012.2"/>
    <d v="2023-07-18T00:00:00"/>
    <x v="236"/>
    <s v="USA"/>
    <s v="Location 16"/>
    <n v="60.55"/>
  </r>
  <r>
    <n v="270"/>
    <n v="35178.300000000003"/>
    <d v="2023-07-18T00:00:00"/>
    <x v="194"/>
    <s v="USA"/>
    <s v="Location 16"/>
    <n v="130.29"/>
  </r>
  <r>
    <n v="270"/>
    <n v="13149"/>
    <d v="2023-07-18T00:00:00"/>
    <x v="193"/>
    <s v="USA"/>
    <s v="Location 16"/>
    <n v="48.7"/>
  </r>
  <r>
    <n v="270"/>
    <n v="13149"/>
    <d v="2023-07-18T00:00:00"/>
    <x v="193"/>
    <s v="USA"/>
    <s v="Location 16"/>
    <n v="48.7"/>
  </r>
  <r>
    <n v="270"/>
    <n v="40203"/>
    <d v="2023-07-26T00:00:00"/>
    <x v="195"/>
    <s v="USA"/>
    <s v="Location 16"/>
    <n v="148.9"/>
  </r>
  <r>
    <n v="74"/>
    <n v="4132.16"/>
    <d v="2023-07-27T00:00:00"/>
    <x v="200"/>
    <s v="Hong Kong"/>
    <s v="Location 17"/>
    <n v="55.84"/>
  </r>
  <r>
    <n v="196"/>
    <n v="10944.64"/>
    <d v="2023-07-27T00:00:00"/>
    <x v="200"/>
    <s v="Hong Kong"/>
    <s v="Location 17"/>
    <n v="55.84"/>
  </r>
  <r>
    <n v="270"/>
    <n v="15076.8"/>
    <d v="2023-07-27T00:00:00"/>
    <x v="200"/>
    <s v="Taiwan"/>
    <s v="Location 19"/>
    <n v="55.84"/>
  </r>
  <r>
    <n v="1404"/>
    <n v="85012.2"/>
    <d v="2023-08-07T00:00:00"/>
    <x v="236"/>
    <s v="USA"/>
    <s v="Location 16"/>
    <n v="60.55"/>
  </r>
  <r>
    <n v="383"/>
    <n v="92628.55"/>
    <d v="2023-03-17T00:00:00"/>
    <x v="237"/>
    <s v="Taiwan"/>
    <s v="Location 8"/>
    <n v="241.85"/>
  </r>
  <r>
    <n v="120"/>
    <n v="80049.600000000006"/>
    <d v="2023-08-17T00:00:00"/>
    <x v="238"/>
    <s v="USA"/>
    <s v="Location 16"/>
    <n v="667.08"/>
  </r>
  <r>
    <n v="1215"/>
    <n v="73568.25"/>
    <d v="2023-08-24T00:00:00"/>
    <x v="236"/>
    <s v="USA"/>
    <s v="Location 16"/>
    <n v="60.55"/>
  </r>
  <r>
    <n v="297"/>
    <n v="17983.349999999999"/>
    <d v="2023-08-24T00:00:00"/>
    <x v="236"/>
    <s v="USA"/>
    <s v="Location 16"/>
    <n v="60.55"/>
  </r>
  <r>
    <n v="297"/>
    <n v="17983.349999999999"/>
    <d v="2023-08-24T00:00:00"/>
    <x v="236"/>
    <s v="USA"/>
    <s v="Location 16"/>
    <n v="60.55"/>
  </r>
  <r>
    <n v="1215"/>
    <n v="73568.25"/>
    <d v="2023-08-24T00:00:00"/>
    <x v="236"/>
    <s v="USA"/>
    <s v="Location 16"/>
    <n v="60.55"/>
  </r>
  <r>
    <n v="270"/>
    <n v="15076.8"/>
    <d v="2023-08-28T00:00:00"/>
    <x v="200"/>
    <s v="Hong Kong"/>
    <s v="Location 20"/>
    <n v="55.84"/>
  </r>
  <r>
    <n v="270"/>
    <n v="15076.8"/>
    <d v="2023-08-28T00:00:00"/>
    <x v="200"/>
    <s v="Hong Kong"/>
    <s v="Location 20"/>
    <n v="55.84"/>
  </r>
  <r>
    <n v="270"/>
    <n v="15076.8"/>
    <d v="2023-08-28T00:00:00"/>
    <x v="200"/>
    <s v="Hong Kong"/>
    <s v="Location 20"/>
    <n v="55.84"/>
  </r>
  <r>
    <n v="297"/>
    <n v="17983.349999999999"/>
    <d v="2023-08-29T00:00:00"/>
    <x v="236"/>
    <s v="USA"/>
    <s v="Location 16"/>
    <n v="60.55"/>
  </r>
  <r>
    <n v="135"/>
    <n v="17589.150000000001"/>
    <d v="2023-08-29T00:00:00"/>
    <x v="194"/>
    <s v="USA"/>
    <s v="Location 16"/>
    <n v="130.29"/>
  </r>
  <r>
    <n v="4000"/>
    <n v="5360"/>
    <d v="2023-06-26T00:00:00"/>
    <x v="198"/>
    <s v="USA"/>
    <s v="Location 16"/>
    <n v="1.34"/>
  </r>
  <r>
    <n v="4000"/>
    <n v="5360"/>
    <d v="2023-07-18T00:00:00"/>
    <x v="198"/>
    <s v="USA"/>
    <s v="Location 16"/>
    <n v="1.34"/>
  </r>
  <r>
    <n v="6000"/>
    <n v="11880"/>
    <d v="2023-07-27T00:00:00"/>
    <x v="197"/>
    <s v="USA"/>
    <s v="Location 16"/>
    <n v="1.98"/>
  </r>
  <r>
    <n v="9000"/>
    <n v="15750"/>
    <d v="2023-07-28T00:00:00"/>
    <x v="180"/>
    <s v="USA"/>
    <s v="Location 16"/>
    <n v="1.75"/>
  </r>
  <r>
    <n v="6000"/>
    <n v="10500"/>
    <d v="2023-08-17T00:00:00"/>
    <x v="180"/>
    <s v="USA"/>
    <s v="Location 16"/>
    <n v="1.75"/>
  </r>
  <r>
    <n v="4000"/>
    <n v="5480"/>
    <d v="2022-12-05T00:00:00"/>
    <x v="198"/>
    <s v="USA"/>
    <s v="Location 16"/>
    <n v="1.37"/>
  </r>
  <r>
    <n v="9000"/>
    <n v="15840"/>
    <d v="2022-12-07T00:00:00"/>
    <x v="146"/>
    <s v="USA"/>
    <s v="Location 16"/>
    <n v="1.76"/>
  </r>
  <r>
    <n v="4000"/>
    <n v="3559.6"/>
    <d v="2023-01-13T00:00:00"/>
    <x v="232"/>
    <s v="Romania"/>
    <s v="Location 6"/>
    <n v="0.88990000000000002"/>
  </r>
  <r>
    <n v="2000"/>
    <n v="1798"/>
    <d v="2023-01-13T00:00:00"/>
    <x v="232"/>
    <s v="Romania"/>
    <s v="Location 6"/>
    <n v="0.89900000000000002"/>
  </r>
  <r>
    <n v="5000"/>
    <n v="6150"/>
    <d v="2023-01-17T00:00:00"/>
    <x v="239"/>
    <s v="China"/>
    <s v="Location 10"/>
    <n v="1.23"/>
  </r>
  <r>
    <n v="4000"/>
    <n v="3559.6"/>
    <d v="2023-01-17T00:00:00"/>
    <x v="232"/>
    <s v="Romania"/>
    <s v="Location 6"/>
    <n v="0.88990000000000002"/>
  </r>
  <r>
    <n v="2500"/>
    <n v="3875"/>
    <d v="2023-01-17T00:00:00"/>
    <x v="220"/>
    <s v="Taiwan"/>
    <s v="Location 8"/>
    <n v="1.55"/>
  </r>
  <r>
    <n v="7500"/>
    <n v="11625"/>
    <d v="2023-01-17T00:00:00"/>
    <x v="220"/>
    <s v="Taiwan"/>
    <s v="Location 8"/>
    <n v="1.55"/>
  </r>
  <r>
    <n v="2500"/>
    <n v="3875"/>
    <d v="2023-01-17T00:00:00"/>
    <x v="220"/>
    <s v="Taiwan"/>
    <s v="Location 8"/>
    <n v="1.55"/>
  </r>
  <r>
    <n v="2500"/>
    <n v="9500"/>
    <d v="2023-01-17T00:00:00"/>
    <x v="224"/>
    <s v="Taiwan"/>
    <s v="Location 8"/>
    <n v="3.8"/>
  </r>
  <r>
    <n v="5000"/>
    <n v="19000"/>
    <d v="2023-01-17T00:00:00"/>
    <x v="224"/>
    <s v="Taiwan"/>
    <s v="Location 8"/>
    <n v="3.8"/>
  </r>
  <r>
    <n v="7500"/>
    <n v="28500"/>
    <d v="2023-01-17T00:00:00"/>
    <x v="224"/>
    <s v="Taiwan"/>
    <s v="Location 8"/>
    <n v="3.8"/>
  </r>
  <r>
    <n v="5000"/>
    <n v="19000"/>
    <d v="2023-01-17T00:00:00"/>
    <x v="224"/>
    <s v="Hong Kong"/>
    <s v="Location 12"/>
    <n v="3.8"/>
  </r>
  <r>
    <n v="2000"/>
    <n v="1779.8"/>
    <d v="2023-01-17T00:00:00"/>
    <x v="232"/>
    <s v="Hong Kong"/>
    <s v="Location 22"/>
    <n v="0.88990000000000002"/>
  </r>
  <r>
    <n v="2500"/>
    <n v="4250"/>
    <d v="2023-01-23T00:00:00"/>
    <x v="222"/>
    <s v="Taiwan"/>
    <s v="Location 8"/>
    <n v="1.7"/>
  </r>
  <r>
    <n v="2000"/>
    <n v="1779.8"/>
    <d v="2022-01-24T00:00:00"/>
    <x v="232"/>
    <s v="Hungary"/>
    <s v="Location 23"/>
    <n v="0.88990000000000002"/>
  </r>
  <r>
    <n v="2000"/>
    <n v="1779.8"/>
    <d v="2022-01-24T00:00:00"/>
    <x v="232"/>
    <s v="Hungary"/>
    <s v="Location 23"/>
    <n v="0.88990000000000002"/>
  </r>
  <r>
    <n v="2000"/>
    <n v="1779.8"/>
    <d v="2022-01-24T00:00:00"/>
    <x v="232"/>
    <s v="Hungary"/>
    <s v="Location 23"/>
    <n v="0.88990000000000002"/>
  </r>
  <r>
    <n v="6000"/>
    <n v="14040"/>
    <d v="2023-01-24T00:00:00"/>
    <x v="221"/>
    <s v="USA"/>
    <s v="Location 16"/>
    <n v="2.34"/>
  </r>
  <r>
    <n v="2500"/>
    <n v="3875"/>
    <d v="2023-02-06T00:00:00"/>
    <x v="220"/>
    <s v="Taiwan"/>
    <s v="Location 8"/>
    <n v="1.55"/>
  </r>
  <r>
    <n v="7500"/>
    <n v="28500"/>
    <d v="2023-02-06T00:00:00"/>
    <x v="224"/>
    <s v="Taiwan"/>
    <s v="Location 8"/>
    <n v="3.8"/>
  </r>
  <r>
    <n v="2500"/>
    <n v="3875"/>
    <d v="2023-02-07T00:00:00"/>
    <x v="220"/>
    <s v="Hong Kong"/>
    <s v="Location 12"/>
    <n v="1.55"/>
  </r>
  <r>
    <n v="10000"/>
    <n v="38000"/>
    <d v="2023-02-07T00:00:00"/>
    <x v="224"/>
    <s v="Hong Kong"/>
    <s v="Location 12"/>
    <n v="3.8"/>
  </r>
  <r>
    <n v="2500"/>
    <n v="3875"/>
    <d v="2023-02-16T00:00:00"/>
    <x v="220"/>
    <s v="Hong Kong"/>
    <s v="Location 12"/>
    <n v="1.55"/>
  </r>
  <r>
    <n v="5000"/>
    <n v="19000"/>
    <d v="2023-02-16T00:00:00"/>
    <x v="224"/>
    <s v="Hong Kong"/>
    <s v="Location 12"/>
    <n v="3.8"/>
  </r>
  <r>
    <n v="2000"/>
    <n v="1780"/>
    <d v="2023-05-22T00:00:00"/>
    <x v="232"/>
    <s v="China"/>
    <s v="Location 24"/>
    <n v="0.89"/>
  </r>
  <r>
    <n v="42500"/>
    <n v="52275"/>
    <d v="2023-05-25T00:00:00"/>
    <x v="239"/>
    <s v="China"/>
    <s v="Location 10"/>
    <n v="1.23"/>
  </r>
  <r>
    <n v="6000"/>
    <n v="5340"/>
    <d v="2023-06-14T00:00:00"/>
    <x v="232"/>
    <s v="Romania"/>
    <s v="Location 6"/>
    <n v="0.89"/>
  </r>
  <r>
    <n v="2000"/>
    <n v="1780"/>
    <d v="2023-06-15T00:00:00"/>
    <x v="232"/>
    <s v="Romania"/>
    <s v="Location 6"/>
    <n v="0.89"/>
  </r>
  <r>
    <n v="2500"/>
    <n v="3875"/>
    <d v="2022-06-17T00:00:00"/>
    <x v="220"/>
    <s v="Taiwan"/>
    <s v="Location 25"/>
    <n v="1.55"/>
  </r>
  <r>
    <n v="2000"/>
    <n v="1780"/>
    <d v="2023-06-22T00:00:00"/>
    <x v="232"/>
    <s v="Romania"/>
    <s v="Location 6"/>
    <n v="0.89"/>
  </r>
  <r>
    <n v="5000"/>
    <n v="19000"/>
    <d v="2023-03-08T00:00:00"/>
    <x v="224"/>
    <s v="Taiwan"/>
    <s v="Location 8"/>
    <n v="3.8"/>
  </r>
  <r>
    <n v="5000"/>
    <n v="6150"/>
    <d v="2022-03-17T00:00:00"/>
    <x v="239"/>
    <s v="China"/>
    <s v="Location 10"/>
    <n v="1.23"/>
  </r>
  <r>
    <n v="2500"/>
    <n v="12500"/>
    <d v="2022-03-28T00:00:00"/>
    <x v="240"/>
    <s v="China"/>
    <s v="Location 10"/>
    <n v="5"/>
  </r>
  <r>
    <n v="20000"/>
    <n v="60800"/>
    <d v="2022-03-30T00:00:00"/>
    <x v="224"/>
    <s v="Hong Kong"/>
    <s v="Location 17"/>
    <n v="3.04"/>
  </r>
  <r>
    <n v="2000"/>
    <n v="1780"/>
    <d v="2023-03-30T00:00:00"/>
    <x v="232"/>
    <s v="Romania"/>
    <s v="Location 6"/>
    <n v="0.89"/>
  </r>
  <r>
    <n v="2000"/>
    <n v="1779.8"/>
    <d v="2022-04-08T00:00:00"/>
    <x v="232"/>
    <s v="China"/>
    <s v="Location 24"/>
    <n v="0.88990000000000002"/>
  </r>
  <r>
    <n v="2500"/>
    <n v="9500"/>
    <d v="2023-04-17T00:00:00"/>
    <x v="224"/>
    <s v="Hong Kong"/>
    <s v="Location 17"/>
    <n v="3.8"/>
  </r>
  <r>
    <n v="2500"/>
    <n v="4250"/>
    <d v="2023-04-24T00:00:00"/>
    <x v="222"/>
    <s v="Taiwan"/>
    <s v="Location 8"/>
    <n v="1.7"/>
  </r>
  <r>
    <n v="2500"/>
    <n v="4250"/>
    <d v="2022-06-24T00:00:00"/>
    <x v="222"/>
    <s v="Taiwan"/>
    <s v="Location 25"/>
    <n v="1.7"/>
  </r>
  <r>
    <n v="2500"/>
    <n v="9100"/>
    <d v="2023-06-26T00:00:00"/>
    <x v="223"/>
    <s v="USA"/>
    <s v="Location 16"/>
    <n v="3.64"/>
  </r>
  <r>
    <n v="7500"/>
    <n v="109200"/>
    <d v="2022-06-28T00:00:00"/>
    <x v="224"/>
    <s v="Taiwan"/>
    <s v="Location 25"/>
    <n v="14.56"/>
  </r>
  <r>
    <n v="5000"/>
    <n v="72800"/>
    <d v="2022-06-28T00:00:00"/>
    <x v="224"/>
    <s v="Taiwan"/>
    <s v="Location 25"/>
    <n v="14.56"/>
  </r>
  <r>
    <n v="6000"/>
    <n v="14040"/>
    <d v="2023-07-07T00:00:00"/>
    <x v="221"/>
    <s v="USA"/>
    <s v="Location 16"/>
    <n v="2.34"/>
  </r>
  <r>
    <n v="5000"/>
    <n v="6150"/>
    <d v="2022-07-13T00:00:00"/>
    <x v="239"/>
    <s v="China"/>
    <s v="Location 10"/>
    <n v="1.23"/>
  </r>
  <r>
    <n v="2000"/>
    <n v="1779.8"/>
    <d v="2022-07-20T00:00:00"/>
    <x v="232"/>
    <s v="Hong Kong"/>
    <s v="Location 22"/>
    <n v="0.88990000000000002"/>
  </r>
  <r>
    <n v="2000"/>
    <n v="1779.8"/>
    <d v="2022-07-20T00:00:00"/>
    <x v="232"/>
    <s v="Hong Kong"/>
    <s v="Location 22"/>
    <n v="0.88990000000000002"/>
  </r>
  <r>
    <n v="5000"/>
    <n v="19000"/>
    <d v="2023-07-26T00:00:00"/>
    <x v="224"/>
    <s v="Hong Kong"/>
    <s v="Location 17"/>
    <n v="3.8"/>
  </r>
  <r>
    <n v="2500"/>
    <n v="9500"/>
    <d v="2023-07-26T00:00:00"/>
    <x v="224"/>
    <s v="Hong Kong"/>
    <s v="Location 17"/>
    <n v="3.8"/>
  </r>
  <r>
    <n v="5000"/>
    <n v="19000"/>
    <d v="2023-07-26T00:00:00"/>
    <x v="224"/>
    <s v="Hong Kong"/>
    <s v="Location 17"/>
    <n v="3.8"/>
  </r>
  <r>
    <n v="5000"/>
    <n v="7750"/>
    <d v="2022-07-29T00:00:00"/>
    <x v="220"/>
    <s v="Taiwan"/>
    <s v="Location 25"/>
    <n v="1.55"/>
  </r>
  <r>
    <n v="2500"/>
    <n v="4250"/>
    <d v="2022-05-09T00:00:00"/>
    <x v="222"/>
    <s v="Taiwan"/>
    <s v="Location 25"/>
    <n v="1.7"/>
  </r>
  <r>
    <n v="2500"/>
    <n v="3875"/>
    <d v="2022-05-12T00:00:00"/>
    <x v="220"/>
    <s v="Taiwan"/>
    <s v="Location 25"/>
    <n v="1.55"/>
  </r>
  <r>
    <n v="10000"/>
    <n v="145600"/>
    <d v="2022-08-29T00:00:00"/>
    <x v="224"/>
    <s v="Taiwan"/>
    <s v="Location 25"/>
    <n v="14.56"/>
  </r>
  <r>
    <n v="5000"/>
    <n v="19000"/>
    <d v="2022-09-08T00:00:00"/>
    <x v="224"/>
    <s v="Taiwan"/>
    <s v="Location 25"/>
    <n v="3.8"/>
  </r>
  <r>
    <n v="2000"/>
    <n v="1779.8"/>
    <d v="2022-08-18T00:00:00"/>
    <x v="232"/>
    <s v="Hong Kong"/>
    <s v="Location 22"/>
    <n v="0.88990000000000002"/>
  </r>
  <r>
    <n v="2500"/>
    <n v="9100"/>
    <d v="2022-08-19T00:00:00"/>
    <x v="223"/>
    <s v="Romania"/>
    <s v="Location 6"/>
    <n v="3.64"/>
  </r>
  <r>
    <n v="2500"/>
    <n v="3875"/>
    <d v="2022-08-19T00:00:00"/>
    <x v="220"/>
    <s v="Taiwan"/>
    <s v="Location 25"/>
    <n v="1.55"/>
  </r>
  <r>
    <n v="2500"/>
    <n v="4250"/>
    <d v="2022-08-19T00:00:00"/>
    <x v="222"/>
    <s v="Taiwan"/>
    <s v="Location 25"/>
    <n v="1.7"/>
  </r>
  <r>
    <n v="5000"/>
    <n v="72800"/>
    <d v="2022-08-26T00:00:00"/>
    <x v="224"/>
    <s v="Taiwan"/>
    <s v="Location 25"/>
    <n v="14.56"/>
  </r>
  <r>
    <n v="7500"/>
    <n v="28500"/>
    <d v="2022-09-23T00:00:00"/>
    <x v="224"/>
    <s v="Taiwan"/>
    <s v="Location 25"/>
    <n v="3.8"/>
  </r>
  <r>
    <n v="2000"/>
    <n v="1779.8"/>
    <d v="2022-11-18T00:00:00"/>
    <x v="232"/>
    <s v="Hong Kong"/>
    <s v="Location 22"/>
    <n v="0.88990000000000002"/>
  </r>
  <r>
    <n v="2500"/>
    <n v="3875"/>
    <d v="2022-09-30T00:00:00"/>
    <x v="220"/>
    <s v="Taiwan"/>
    <s v="Location 25"/>
    <n v="1.55"/>
  </r>
  <r>
    <n v="5000"/>
    <n v="7750"/>
    <d v="2022-09-30T00:00:00"/>
    <x v="220"/>
    <s v="Taiwan"/>
    <s v="Location 8"/>
    <n v="1.55"/>
  </r>
  <r>
    <n v="2500"/>
    <n v="36400"/>
    <d v="2022-10-21T00:00:00"/>
    <x v="224"/>
    <s v="Taiwan"/>
    <s v="Location 8"/>
    <n v="14.56"/>
  </r>
  <r>
    <n v="7500"/>
    <n v="28500"/>
    <d v="2022-12-23T00:00:00"/>
    <x v="224"/>
    <s v="Taiwan"/>
    <s v="Location 25"/>
    <n v="3.8"/>
  </r>
  <r>
    <n v="5000"/>
    <n v="7750"/>
    <d v="2022-12-23T00:00:00"/>
    <x v="220"/>
    <s v="Taiwan"/>
    <s v="Location 8"/>
    <n v="1.55"/>
  </r>
  <r>
    <n v="2500"/>
    <n v="3875"/>
    <d v="2022-12-23T00:00:00"/>
    <x v="220"/>
    <s v="Taiwan"/>
    <s v="Location 25"/>
    <n v="1.55"/>
  </r>
  <r>
    <n v="4000"/>
    <n v="4560"/>
    <d v="2022-03-10T00:00:00"/>
    <x v="230"/>
    <s v="Hungary"/>
    <s v="Location 23"/>
    <n v="1.1399999999999999"/>
  </r>
  <r>
    <n v="4000"/>
    <n v="4560"/>
    <d v="2022-03-10T00:00:00"/>
    <x v="230"/>
    <s v="Hungary"/>
    <s v="Location 23"/>
    <n v="1.1399999999999999"/>
  </r>
  <r>
    <n v="2000"/>
    <n v="2280"/>
    <d v="2022-03-10T00:00:00"/>
    <x v="230"/>
    <s v="Hungary"/>
    <s v="Location 23"/>
    <n v="1.1399999999999999"/>
  </r>
  <r>
    <n v="6000"/>
    <n v="6840"/>
    <d v="2022-03-10T00:00:00"/>
    <x v="230"/>
    <s v="Hungary"/>
    <s v="Location 23"/>
    <n v="1.1399999999999999"/>
  </r>
  <r>
    <n v="2000"/>
    <n v="2280"/>
    <d v="2022-03-24T00:00:00"/>
    <x v="230"/>
    <s v="Hungary"/>
    <s v="Location 23"/>
    <n v="1.1399999999999999"/>
  </r>
  <r>
    <n v="4000"/>
    <n v="456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2000"/>
    <n v="228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2000"/>
    <n v="2280"/>
    <d v="2022-05-03T00:00:00"/>
    <x v="230"/>
    <s v="Romania"/>
    <s v="Location 6"/>
    <n v="1.1399999999999999"/>
  </r>
  <r>
    <n v="2000"/>
    <n v="2280"/>
    <d v="2022-05-03T00:00:00"/>
    <x v="230"/>
    <s v="Romania"/>
    <s v="Location 6"/>
    <n v="1.1399999999999999"/>
  </r>
  <r>
    <n v="4000"/>
    <n v="4560"/>
    <d v="2022-05-03T00:00:00"/>
    <x v="230"/>
    <s v="Romania"/>
    <s v="Location 6"/>
    <n v="1.1399999999999999"/>
  </r>
  <r>
    <n v="2000"/>
    <n v="2280"/>
    <d v="2022-05-03T00:00:00"/>
    <x v="230"/>
    <s v="Romania"/>
    <s v="Location 6"/>
    <n v="1.1399999999999999"/>
  </r>
  <r>
    <n v="4000"/>
    <n v="4320"/>
    <d v="2023-01-11T00:00:00"/>
    <x v="230"/>
    <s v="Romania"/>
    <s v="Location 6"/>
    <n v="1.08"/>
  </r>
  <r>
    <n v="2000"/>
    <n v="2160"/>
    <d v="2023-01-17T00:00:00"/>
    <x v="230"/>
    <s v="Romania"/>
    <s v="Location 6"/>
    <n v="1.08"/>
  </r>
  <r>
    <n v="4000"/>
    <n v="432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4000"/>
    <n v="432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2000"/>
    <n v="2160"/>
    <d v="2023-01-18T00:00:00"/>
    <x v="230"/>
    <s v="Romania"/>
    <s v="Location 6"/>
    <n v="1.08"/>
  </r>
  <r>
    <n v="4000"/>
    <n v="4320"/>
    <d v="2023-01-18T00:00:00"/>
    <x v="230"/>
    <s v="Romania"/>
    <s v="Location 6"/>
    <n v="1.08"/>
  </r>
  <r>
    <n v="2000"/>
    <n v="2160"/>
    <d v="2023-01-19T00:00:00"/>
    <x v="230"/>
    <s v="Romania"/>
    <s v="Location 6"/>
    <n v="1.08"/>
  </r>
  <r>
    <n v="2000"/>
    <n v="2160"/>
    <d v="2023-01-24T00:00:00"/>
    <x v="230"/>
    <s v="Romania"/>
    <s v="Location 6"/>
    <n v="1.08"/>
  </r>
  <r>
    <n v="4000"/>
    <n v="4320"/>
    <d v="2023-01-24T00:00:00"/>
    <x v="230"/>
    <s v="Romania"/>
    <s v="Location 6"/>
    <n v="1.08"/>
  </r>
  <r>
    <n v="4000"/>
    <n v="4320"/>
    <d v="2023-05-12T00:00:00"/>
    <x v="230"/>
    <s v="Romania"/>
    <s v="Location 6"/>
    <n v="1.08"/>
  </r>
  <r>
    <n v="4000"/>
    <n v="432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4000"/>
    <n v="432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4000"/>
    <n v="432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500"/>
    <n v="540"/>
    <d v="2023-05-18T00:00:00"/>
    <x v="230"/>
    <s v="Romania"/>
    <s v="Location 6"/>
    <n v="1.08"/>
  </r>
  <r>
    <n v="2000"/>
    <n v="216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6000"/>
    <n v="6480"/>
    <d v="2022-06-30T00:00:00"/>
    <x v="230"/>
    <s v="Romania"/>
    <s v="Location 6"/>
    <n v="1.08"/>
  </r>
  <r>
    <n v="6000"/>
    <n v="648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4000"/>
    <n v="4320"/>
    <d v="2022-07-05T00:00:00"/>
    <x v="230"/>
    <s v="Romania"/>
    <s v="Location 6"/>
    <n v="1.08"/>
  </r>
  <r>
    <n v="1500"/>
    <n v="1620"/>
    <d v="2023-04-06T00:00:00"/>
    <x v="230"/>
    <s v="Romania"/>
    <s v="Location 6"/>
    <n v="1.08"/>
  </r>
  <r>
    <n v="4000"/>
    <n v="4320"/>
    <d v="2023-04-07T00:00:00"/>
    <x v="230"/>
    <s v="Romania"/>
    <s v="Location 6"/>
    <n v="1.08"/>
  </r>
  <r>
    <n v="2000"/>
    <n v="2160"/>
    <d v="2022-06-30T00:00:00"/>
    <x v="230"/>
    <s v="Romania"/>
    <s v="Location 6"/>
    <n v="1.08"/>
  </r>
  <r>
    <n v="2000"/>
    <n v="2160"/>
    <d v="2022-06-30T00:00:00"/>
    <x v="230"/>
    <s v="Romania"/>
    <s v="Location 6"/>
    <n v="1.08"/>
  </r>
  <r>
    <n v="2000"/>
    <n v="2160"/>
    <d v="2022-06-30T00:00:00"/>
    <x v="230"/>
    <s v="Romania"/>
    <s v="Location 6"/>
    <n v="1.08"/>
  </r>
  <r>
    <n v="2000"/>
    <n v="216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2000"/>
    <n v="2160"/>
    <d v="2022-06-30T00:00:00"/>
    <x v="230"/>
    <s v="Romania"/>
    <s v="Location 6"/>
    <n v="1.08"/>
  </r>
  <r>
    <n v="4000"/>
    <n v="4320"/>
    <d v="2022-06-30T00:00:00"/>
    <x v="230"/>
    <s v="Romania"/>
    <s v="Location 6"/>
    <n v="1.08"/>
  </r>
  <r>
    <n v="2000"/>
    <n v="2160"/>
    <d v="2022-06-30T00:00:00"/>
    <x v="230"/>
    <s v="Romania"/>
    <s v="Location 6"/>
    <n v="1.08"/>
  </r>
  <r>
    <n v="6000"/>
    <n v="6480"/>
    <d v="2022-07-22T00:00:00"/>
    <x v="230"/>
    <s v="Romania"/>
    <s v="Location 6"/>
    <n v="1.08"/>
  </r>
  <r>
    <n v="2000"/>
    <n v="2160"/>
    <d v="2022-07-22T00:00:00"/>
    <x v="230"/>
    <s v="Romania"/>
    <s v="Location 6"/>
    <n v="1.08"/>
  </r>
  <r>
    <n v="2000"/>
    <n v="2160"/>
    <d v="2022-07-22T00:00:00"/>
    <x v="230"/>
    <s v="Romania"/>
    <s v="Location 6"/>
    <n v="1.08"/>
  </r>
  <r>
    <n v="2000"/>
    <n v="2160"/>
    <d v="2022-07-22T00:00:00"/>
    <x v="230"/>
    <s v="Romania"/>
    <s v="Location 6"/>
    <n v="1.08"/>
  </r>
  <r>
    <n v="2000"/>
    <n v="2160"/>
    <d v="2022-07-22T00:00:00"/>
    <x v="230"/>
    <s v="Romania"/>
    <s v="Location 6"/>
    <n v="1.08"/>
  </r>
  <r>
    <n v="4000"/>
    <n v="4320"/>
    <d v="2022-07-22T00:00:00"/>
    <x v="230"/>
    <s v="Romania"/>
    <s v="Location 6"/>
    <n v="1.08"/>
  </r>
  <r>
    <n v="4000"/>
    <n v="4320"/>
    <d v="2022-07-22T00:00:00"/>
    <x v="230"/>
    <s v="Romania"/>
    <s v="Location 6"/>
    <n v="1.08"/>
  </r>
  <r>
    <n v="4000"/>
    <n v="4320"/>
    <d v="2023-05-05T00:00:00"/>
    <x v="230"/>
    <s v="Romania"/>
    <s v="Location 6"/>
    <n v="1.08"/>
  </r>
  <r>
    <n v="2000"/>
    <n v="2160"/>
    <d v="2023-05-05T00:00:00"/>
    <x v="230"/>
    <s v="Romania"/>
    <s v="Location 6"/>
    <n v="1.08"/>
  </r>
  <r>
    <n v="2000"/>
    <n v="2160"/>
    <d v="2023-05-05T00:00:00"/>
    <x v="230"/>
    <s v="Romania"/>
    <s v="Location 6"/>
    <n v="1.08"/>
  </r>
  <r>
    <n v="4000"/>
    <n v="4320"/>
    <d v="2023-05-05T00:00:00"/>
    <x v="230"/>
    <s v="Romania"/>
    <s v="Location 6"/>
    <n v="1.08"/>
  </r>
  <r>
    <n v="2000"/>
    <n v="216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4000"/>
    <n v="4320"/>
    <d v="2023-05-12T00:00:00"/>
    <x v="230"/>
    <s v="Romania"/>
    <s v="Location 6"/>
    <n v="1.08"/>
  </r>
  <r>
    <n v="2000"/>
    <n v="2160"/>
    <d v="2023-05-12T00:00:00"/>
    <x v="230"/>
    <s v="Romania"/>
    <s v="Location 6"/>
    <n v="1.08"/>
  </r>
  <r>
    <n v="6000"/>
    <n v="6480"/>
    <d v="2022-08-16T00:00:00"/>
    <x v="230"/>
    <s v="Romania"/>
    <s v="Location 6"/>
    <n v="1.08"/>
  </r>
  <r>
    <n v="2000"/>
    <n v="2160"/>
    <d v="2022-11-22T00:00:00"/>
    <x v="230"/>
    <s v="Romania"/>
    <s v="Location 6"/>
    <n v="1.08"/>
  </r>
  <r>
    <n v="2000"/>
    <n v="2160"/>
    <d v="2022-11-11T00:00:00"/>
    <x v="230"/>
    <s v="Romania"/>
    <s v="Location 6"/>
    <n v="1.08"/>
  </r>
  <r>
    <n v="2000"/>
    <n v="2160"/>
    <d v="2022-11-22T00:00:00"/>
    <x v="230"/>
    <s v="Romania"/>
    <s v="Location 6"/>
    <n v="1.08"/>
  </r>
  <r>
    <n v="2000"/>
    <n v="2160"/>
    <d v="2022-11-11T00:00:00"/>
    <x v="230"/>
    <s v="Romania"/>
    <s v="Location 6"/>
    <n v="1.08"/>
  </r>
  <r>
    <n v="4000"/>
    <n v="4320"/>
    <d v="2022-11-22T00:00:00"/>
    <x v="230"/>
    <s v="Romania"/>
    <s v="Location 6"/>
    <n v="1.08"/>
  </r>
  <r>
    <n v="4000"/>
    <n v="4320"/>
    <d v="2022-11-22T00:00:00"/>
    <x v="230"/>
    <s v="Romania"/>
    <s v="Location 6"/>
    <n v="1.08"/>
  </r>
  <r>
    <n v="33880"/>
    <n v="917809.2"/>
    <d v="2023-02-16T00:00:00"/>
    <x v="225"/>
    <s v="Hong Kong"/>
    <s v="Location 5"/>
    <n v="27.09"/>
  </r>
  <r>
    <n v="34104"/>
    <n v="137098.07999999999"/>
    <d v="2023-02-16T00:00:00"/>
    <x v="235"/>
    <s v="Hong Kong"/>
    <s v="Location 5"/>
    <n v="4.0199999999999996"/>
  </r>
  <r>
    <n v="-33880"/>
    <n v="-917809.2"/>
    <d v="2023-02-23T00:00:00"/>
    <x v="225"/>
    <s v="Hong Kong"/>
    <s v="Location 5"/>
    <n v="27.09"/>
  </r>
  <r>
    <n v="-34104"/>
    <n v="-137098.07999999999"/>
    <d v="2023-02-23T00:00:00"/>
    <x v="235"/>
    <s v="Hong Kong"/>
    <s v="Location 5"/>
    <n v="4.0199999999999996"/>
  </r>
  <r>
    <n v="33880"/>
    <n v="917809.2"/>
    <d v="2023-02-26T00:00:00"/>
    <x v="225"/>
    <s v="Hong Kong"/>
    <s v="Location 5"/>
    <n v="27.09"/>
  </r>
  <r>
    <n v="34104"/>
    <n v="137098.07999999999"/>
    <d v="2023-02-26T00:00:00"/>
    <x v="235"/>
    <s v="Hong Kong"/>
    <s v="Location 5"/>
    <n v="4.0199999999999996"/>
  </r>
  <r>
    <n v="30800"/>
    <n v="834372"/>
    <d v="2023-03-02T00:00:00"/>
    <x v="225"/>
    <s v="Hong Kong"/>
    <s v="Location 5"/>
    <n v="27.09"/>
  </r>
  <r>
    <n v="37268"/>
    <n v="1009590.12"/>
    <d v="2023-03-02T00:00:00"/>
    <x v="225"/>
    <s v="Hong Kong"/>
    <s v="Location 5"/>
    <n v="27.09"/>
  </r>
  <r>
    <n v="31668"/>
    <n v="127305.36"/>
    <d v="2023-03-02T00:00:00"/>
    <x v="235"/>
    <s v="Hong Kong"/>
    <s v="Location 5"/>
    <n v="4.0199999999999996"/>
  </r>
  <r>
    <n v="36540"/>
    <n v="146890.79999999999"/>
    <d v="2023-03-02T00:00:00"/>
    <x v="235"/>
    <s v="Hong Kong"/>
    <s v="Location 5"/>
    <n v="4.0199999999999996"/>
  </r>
  <r>
    <n v="17248"/>
    <n v="467248.32"/>
    <d v="2023-03-08T00:00:00"/>
    <x v="225"/>
    <s v="Hong Kong"/>
    <s v="Location 5"/>
    <n v="27.09"/>
  </r>
  <r>
    <n v="17052"/>
    <n v="68549.039999999994"/>
    <d v="2023-03-08T00:00:00"/>
    <x v="235"/>
    <s v="Hong Kong"/>
    <s v="Location 5"/>
    <n v="4.0199999999999996"/>
  </r>
  <r>
    <n v="23716"/>
    <n v="642466.43999999994"/>
    <d v="2023-03-17T00:00:00"/>
    <x v="225"/>
    <s v="Hong Kong"/>
    <s v="Location 5"/>
    <n v="27.09"/>
  </r>
  <r>
    <n v="-30800"/>
    <n v="-834372"/>
    <d v="2023-03-17T00:00:00"/>
    <x v="225"/>
    <s v="Hong Kong"/>
    <s v="Location 5"/>
    <n v="27.09"/>
  </r>
  <r>
    <n v="-37268"/>
    <n v="-1009590.12"/>
    <d v="2023-03-17T00:00:00"/>
    <x v="225"/>
    <s v="Hong Kong"/>
    <s v="Location 5"/>
    <n v="27.09"/>
  </r>
  <r>
    <n v="-17248"/>
    <n v="-467248.32"/>
    <d v="2023-03-17T00:00:00"/>
    <x v="225"/>
    <s v="Hong Kong"/>
    <s v="Location 5"/>
    <n v="27.09"/>
  </r>
  <r>
    <n v="-23716"/>
    <n v="-642466.43999999994"/>
    <d v="2023-03-17T00:00:00"/>
    <x v="225"/>
    <s v="Hong Kong"/>
    <s v="Location 5"/>
    <n v="27.09"/>
  </r>
  <r>
    <n v="20069"/>
    <n v="80677.38"/>
    <d v="2023-03-17T00:00:00"/>
    <x v="235"/>
    <s v="Hong Kong"/>
    <s v="Location 5"/>
    <n v="4.0199999999999996"/>
  </r>
  <r>
    <n v="4291"/>
    <n v="17249.82"/>
    <d v="2023-03-17T00:00:00"/>
    <x v="235"/>
    <s v="Hong Kong"/>
    <s v="Location 5"/>
    <n v="4.0199999999999996"/>
  </r>
  <r>
    <n v="-31668"/>
    <n v="-127305.36"/>
    <d v="2023-03-17T00:00:00"/>
    <x v="235"/>
    <s v="Hong Kong"/>
    <s v="Location 5"/>
    <n v="4.0199999999999996"/>
  </r>
  <r>
    <n v="-36540"/>
    <n v="-146890.79999999999"/>
    <d v="2023-03-17T00:00:00"/>
    <x v="235"/>
    <s v="Hong Kong"/>
    <s v="Location 5"/>
    <n v="4.0199999999999996"/>
  </r>
  <r>
    <n v="-17052"/>
    <n v="-68549.039999999994"/>
    <d v="2023-03-17T00:00:00"/>
    <x v="235"/>
    <s v="Hong Kong"/>
    <s v="Location 5"/>
    <n v="4.0199999999999996"/>
  </r>
  <r>
    <n v="-4291"/>
    <n v="-17249.82"/>
    <d v="2023-03-17T00:00:00"/>
    <x v="235"/>
    <s v="Hong Kong"/>
    <s v="Location 5"/>
    <n v="4.0199999999999996"/>
  </r>
  <r>
    <n v="-20069"/>
    <n v="-80677.38"/>
    <d v="2023-03-17T00:00:00"/>
    <x v="235"/>
    <s v="Hong Kong"/>
    <s v="Location 5"/>
    <n v="4.0199999999999996"/>
  </r>
  <r>
    <n v="30800"/>
    <n v="834372"/>
    <d v="2023-03-20T00:00:00"/>
    <x v="225"/>
    <s v="Hong Kong"/>
    <s v="Location 5"/>
    <n v="27.09"/>
  </r>
  <r>
    <n v="37268"/>
    <n v="1009590.12"/>
    <d v="2023-03-20T00:00:00"/>
    <x v="225"/>
    <s v="Hong Kong"/>
    <s v="Location 5"/>
    <n v="27.09"/>
  </r>
  <r>
    <n v="17248"/>
    <n v="467248.32"/>
    <d v="2023-03-20T00:00:00"/>
    <x v="225"/>
    <s v="Hong Kong"/>
    <s v="Location 5"/>
    <n v="27.09"/>
  </r>
  <r>
    <n v="23716"/>
    <n v="642466.43999999994"/>
    <d v="2023-03-20T00:00:00"/>
    <x v="225"/>
    <s v="Hong Kong"/>
    <s v="Location 5"/>
    <n v="27.09"/>
  </r>
  <r>
    <n v="31668"/>
    <n v="127305.36"/>
    <d v="2023-03-20T00:00:00"/>
    <x v="235"/>
    <s v="Hong Kong"/>
    <s v="Location 5"/>
    <n v="4.0199999999999996"/>
  </r>
  <r>
    <n v="36540"/>
    <n v="146890.79999999999"/>
    <d v="2023-03-20T00:00:00"/>
    <x v="235"/>
    <s v="Hong Kong"/>
    <s v="Location 5"/>
    <n v="4.0199999999999996"/>
  </r>
  <r>
    <n v="17052"/>
    <n v="68549.039999999994"/>
    <d v="2023-03-20T00:00:00"/>
    <x v="235"/>
    <s v="Hong Kong"/>
    <s v="Location 5"/>
    <n v="4.0199999999999996"/>
  </r>
  <r>
    <n v="24360"/>
    <n v="97927.2"/>
    <d v="2023-03-20T00:00:00"/>
    <x v="235"/>
    <s v="Hong Kong"/>
    <s v="Location 5"/>
    <n v="4.0199999999999996"/>
  </r>
  <r>
    <n v="10164"/>
    <n v="275342.76"/>
    <d v="2023-03-22T00:00:00"/>
    <x v="225"/>
    <s v="Hong Kong"/>
    <s v="Location 5"/>
    <n v="27.09"/>
  </r>
  <r>
    <n v="31724"/>
    <n v="859403.16"/>
    <d v="2023-03-22T00:00:00"/>
    <x v="225"/>
    <s v="Hong Kong"/>
    <s v="Location 5"/>
    <n v="27.09"/>
  </r>
  <r>
    <n v="12180"/>
    <n v="48963.6"/>
    <d v="2023-03-22T00:00:00"/>
    <x v="235"/>
    <s v="Hong Kong"/>
    <s v="Location 5"/>
    <n v="4.0199999999999996"/>
  </r>
  <r>
    <n v="31668"/>
    <n v="127305.36"/>
    <d v="2023-03-22T00:00:00"/>
    <x v="235"/>
    <s v="Hong Kong"/>
    <s v="Location 5"/>
    <n v="4.0199999999999996"/>
  </r>
  <r>
    <n v="21252"/>
    <n v="572316.36"/>
    <d v="2023-03-31T00:00:00"/>
    <x v="225"/>
    <s v="Hong Kong"/>
    <s v="Location 5"/>
    <n v="26.93"/>
  </r>
  <r>
    <n v="19488"/>
    <n v="78341.759999999995"/>
    <d v="2023-03-31T00:00:00"/>
    <x v="235"/>
    <s v="Hong Kong"/>
    <s v="Location 5"/>
    <n v="4.0199999999999996"/>
  </r>
  <r>
    <n v="18788"/>
    <n v="505960.84"/>
    <d v="2023-04-13T00:00:00"/>
    <x v="225"/>
    <s v="Hong Kong"/>
    <s v="Location 5"/>
    <n v="26.93"/>
  </r>
  <r>
    <n v="16016"/>
    <n v="431310.88"/>
    <d v="2023-04-13T00:00:00"/>
    <x v="225"/>
    <s v="Hong Kong"/>
    <s v="Location 5"/>
    <n v="26.93"/>
  </r>
  <r>
    <n v="19488"/>
    <n v="78341.759999999995"/>
    <d v="2023-04-13T00:00:00"/>
    <x v="235"/>
    <s v="Hong Kong"/>
    <s v="Location 5"/>
    <n v="4.0199999999999996"/>
  </r>
  <r>
    <n v="14616"/>
    <n v="58756.32"/>
    <d v="2023-04-13T00:00:00"/>
    <x v="235"/>
    <s v="Hong Kong"/>
    <s v="Location 5"/>
    <n v="4.0199999999999996"/>
  </r>
  <r>
    <n v="9240"/>
    <n v="248833.2"/>
    <d v="2023-04-25T00:00:00"/>
    <x v="225"/>
    <s v="Hong Kong"/>
    <s v="Location 5"/>
    <n v="26.93"/>
  </r>
  <r>
    <n v="9744"/>
    <n v="39170.879999999997"/>
    <d v="2023-04-25T00:00:00"/>
    <x v="235"/>
    <s v="Hong Kong"/>
    <s v="Location 5"/>
    <n v="4.0199999999999996"/>
  </r>
  <r>
    <n v="21252"/>
    <n v="572316.36"/>
    <d v="2023-04-27T00:00:00"/>
    <x v="225"/>
    <s v="Hong Kong"/>
    <s v="Location 5"/>
    <n v="26.93"/>
  </r>
  <r>
    <n v="21924"/>
    <n v="88134.48"/>
    <d v="2023-04-27T00:00:00"/>
    <x v="235"/>
    <s v="Hong Kong"/>
    <s v="Location 5"/>
    <n v="4.0199999999999996"/>
  </r>
  <r>
    <n v="31724"/>
    <n v="854327.32"/>
    <d v="2023-05-05T00:00:00"/>
    <x v="225"/>
    <s v="Hong Kong"/>
    <s v="Location 5"/>
    <n v="26.93"/>
  </r>
  <r>
    <n v="31668"/>
    <n v="127305.36"/>
    <d v="2023-05-05T00:00:00"/>
    <x v="235"/>
    <s v="Hong Kong"/>
    <s v="Location 5"/>
    <n v="4.0199999999999996"/>
  </r>
  <r>
    <n v="26796"/>
    <n v="721616.28"/>
    <d v="2023-05-16T00:00:00"/>
    <x v="225"/>
    <s v="Hong Kong"/>
    <s v="Location 5"/>
    <n v="26.93"/>
  </r>
  <r>
    <n v="26796"/>
    <n v="107719.92"/>
    <d v="2023-05-16T00:00:00"/>
    <x v="235"/>
    <s v="Hong Kong"/>
    <s v="Location 5"/>
    <n v="4.0199999999999996"/>
  </r>
  <r>
    <n v="42504"/>
    <n v="1144632.72"/>
    <d v="2023-05-17T00:00:00"/>
    <x v="225"/>
    <s v="Hong Kong"/>
    <s v="Location 5"/>
    <n v="26.93"/>
  </r>
  <r>
    <n v="43848"/>
    <n v="176268.96"/>
    <d v="2023-05-17T00:00:00"/>
    <x v="235"/>
    <s v="Hong Kong"/>
    <s v="Location 5"/>
    <n v="4.0199999999999996"/>
  </r>
  <r>
    <n v="10472"/>
    <n v="282010.96000000002"/>
    <d v="2023-05-22T00:00:00"/>
    <x v="225"/>
    <s v="Hong Kong"/>
    <s v="Location 5"/>
    <n v="26.93"/>
  </r>
  <r>
    <n v="9744"/>
    <n v="39170.879999999997"/>
    <d v="2023-05-22T00:00:00"/>
    <x v="235"/>
    <s v="Hong Kong"/>
    <s v="Location 5"/>
    <n v="4.0199999999999996"/>
  </r>
  <r>
    <n v="21252"/>
    <n v="572316.36"/>
    <d v="2023-06-15T00:00:00"/>
    <x v="225"/>
    <s v="Hong Kong"/>
    <s v="Location 5"/>
    <n v="26.93"/>
  </r>
  <r>
    <n v="32340"/>
    <n v="870916.2"/>
    <d v="2023-06-15T00:00:00"/>
    <x v="225"/>
    <s v="Hong Kong"/>
    <s v="Location 5"/>
    <n v="26.93"/>
  </r>
  <r>
    <n v="21924"/>
    <n v="88134.48"/>
    <d v="2023-06-15T00:00:00"/>
    <x v="235"/>
    <s v="Hong Kong"/>
    <s v="Location 5"/>
    <n v="4.0199999999999996"/>
  </r>
  <r>
    <n v="31668"/>
    <n v="127305.36"/>
    <d v="2023-06-15T00:00:00"/>
    <x v="235"/>
    <s v="Hong Kong"/>
    <s v="Location 5"/>
    <n v="4.0199999999999996"/>
  </r>
  <r>
    <n v="9856"/>
    <n v="265422.08000000002"/>
    <d v="2023-06-28T00:00:00"/>
    <x v="225"/>
    <s v="Hong Kong"/>
    <s v="Location 5"/>
    <n v="26.93"/>
  </r>
  <r>
    <n v="9744"/>
    <n v="39170.879999999997"/>
    <d v="2023-06-28T00:00:00"/>
    <x v="235"/>
    <s v="Hong Kong"/>
    <s v="Location 5"/>
    <n v="4.0199999999999996"/>
  </r>
  <r>
    <n v="10164"/>
    <n v="273716.52"/>
    <d v="2023-07-20T00:00:00"/>
    <x v="225"/>
    <s v="Hong Kong"/>
    <s v="Location 5"/>
    <n v="26.93"/>
  </r>
  <r>
    <n v="47432"/>
    <n v="1277343.76"/>
    <d v="2023-07-20T00:00:00"/>
    <x v="225"/>
    <s v="Hong Kong"/>
    <s v="Location 5"/>
    <n v="26.93"/>
  </r>
  <r>
    <n v="9744"/>
    <n v="39170.879999999997"/>
    <d v="2023-07-20T00:00:00"/>
    <x v="235"/>
    <s v="Hong Kong"/>
    <s v="Location 5"/>
    <n v="4.0199999999999996"/>
  </r>
  <r>
    <n v="48720"/>
    <n v="195854.4"/>
    <d v="2023-07-20T00:00:00"/>
    <x v="235"/>
    <s v="Hong Kong"/>
    <s v="Location 5"/>
    <n v="4.0199999999999996"/>
  </r>
  <r>
    <n v="7392"/>
    <n v="199066.56"/>
    <d v="2023-08-03T00:00:00"/>
    <x v="225"/>
    <s v="Hong Kong"/>
    <s v="Location 5"/>
    <n v="26.93"/>
  </r>
  <r>
    <n v="4872"/>
    <n v="19585.439999999999"/>
    <d v="2023-08-03T00:00:00"/>
    <x v="235"/>
    <s v="Hong Kong"/>
    <s v="Location 5"/>
    <n v="4.0199999999999996"/>
  </r>
  <r>
    <n v="14784"/>
    <n v="398133.12"/>
    <d v="2023-08-10T00:00:00"/>
    <x v="225"/>
    <s v="Hong Kong"/>
    <s v="Location 5"/>
    <n v="26.93"/>
  </r>
  <r>
    <n v="14616"/>
    <n v="58756.32"/>
    <d v="2023-08-10T00:00:00"/>
    <x v="235"/>
    <s v="Hong Kong"/>
    <s v="Location 5"/>
    <n v="4.0199999999999996"/>
  </r>
  <r>
    <n v="44660"/>
    <n v="1202693.8"/>
    <d v="2023-08-15T00:00:00"/>
    <x v="225"/>
    <s v="Hong Kong"/>
    <s v="Location 5"/>
    <n v="26.93"/>
  </r>
  <r>
    <n v="46284"/>
    <n v="186061.68"/>
    <d v="2023-08-15T00:00:00"/>
    <x v="235"/>
    <s v="Hong Kong"/>
    <s v="Location 5"/>
    <n v="4.0199999999999996"/>
  </r>
  <r>
    <n v="11088"/>
    <n v="298599.84000000003"/>
    <d v="2023-09-05T00:00:00"/>
    <x v="225"/>
    <s v="Hong Kong"/>
    <s v="Location 5"/>
    <n v="26.93"/>
  </r>
  <r>
    <n v="9744"/>
    <n v="39170.879999999997"/>
    <d v="2023-09-05T00:00:00"/>
    <x v="235"/>
    <s v="Hong Kong"/>
    <s v="Location 5"/>
    <n v="4.0199999999999996"/>
  </r>
  <r>
    <n v="33103"/>
    <n v="408822.05"/>
    <d v="2023-02-16T00:00:00"/>
    <x v="234"/>
    <s v="Hong Kong"/>
    <s v="Location 5"/>
    <n v="12.35"/>
  </r>
  <r>
    <n v="63504"/>
    <n v="784274.4"/>
    <d v="2023-02-16T00:00:00"/>
    <x v="233"/>
    <s v="Hong Kong"/>
    <s v="Location 5"/>
    <n v="12.35"/>
  </r>
  <r>
    <n v="-33103"/>
    <n v="-408822.05"/>
    <d v="2023-02-23T00:00:00"/>
    <x v="234"/>
    <s v="Hong Kong"/>
    <s v="Location 5"/>
    <n v="12.35"/>
  </r>
  <r>
    <n v="-63504"/>
    <n v="-784274.4"/>
    <d v="2023-02-23T00:00:00"/>
    <x v="233"/>
    <s v="Hong Kong"/>
    <s v="Location 5"/>
    <n v="12.35"/>
  </r>
  <r>
    <n v="33103"/>
    <n v="408822.05"/>
    <d v="2023-02-26T00:00:00"/>
    <x v="234"/>
    <s v="Hong Kong"/>
    <s v="Location 5"/>
    <n v="12.35"/>
  </r>
  <r>
    <n v="63504"/>
    <n v="784274.4"/>
    <d v="2023-02-26T00:00:00"/>
    <x v="233"/>
    <s v="Hong Kong"/>
    <s v="Location 5"/>
    <n v="12.35"/>
  </r>
  <r>
    <n v="40320"/>
    <n v="497952"/>
    <d v="2023-03-02T00:00:00"/>
    <x v="234"/>
    <s v="Hong Kong"/>
    <s v="Location 5"/>
    <n v="12.35"/>
  </r>
  <r>
    <n v="20160"/>
    <n v="248976"/>
    <d v="2023-03-02T00:00:00"/>
    <x v="234"/>
    <s v="Hong Kong"/>
    <s v="Location 5"/>
    <n v="12.35"/>
  </r>
  <r>
    <n v="73305"/>
    <n v="905316.75"/>
    <d v="2023-03-02T00:00:00"/>
    <x v="233"/>
    <s v="Hong Kong"/>
    <s v="Location 5"/>
    <n v="12.35"/>
  </r>
  <r>
    <n v="60480"/>
    <n v="746928"/>
    <d v="2023-03-02T00:00:00"/>
    <x v="233"/>
    <s v="Hong Kong"/>
    <s v="Location 5"/>
    <n v="12.35"/>
  </r>
  <r>
    <n v="20160"/>
    <n v="248976"/>
    <d v="2023-03-08T00:00:00"/>
    <x v="234"/>
    <s v="Hong Kong"/>
    <s v="Location 5"/>
    <n v="12.35"/>
  </r>
  <r>
    <n v="33600"/>
    <n v="414960"/>
    <d v="2023-03-08T00:00:00"/>
    <x v="233"/>
    <s v="Hong Kong"/>
    <s v="Location 5"/>
    <n v="12.35"/>
  </r>
  <r>
    <n v="13440"/>
    <n v="165984"/>
    <d v="2023-03-17T00:00:00"/>
    <x v="234"/>
    <s v="Hong Kong"/>
    <s v="Location 5"/>
    <n v="12.35"/>
  </r>
  <r>
    <n v="-40320"/>
    <n v="-497952"/>
    <d v="2023-03-17T00:00:00"/>
    <x v="234"/>
    <s v="Hong Kong"/>
    <s v="Location 5"/>
    <n v="12.35"/>
  </r>
  <r>
    <n v="-20160"/>
    <n v="-248976"/>
    <d v="2023-03-17T00:00:00"/>
    <x v="234"/>
    <s v="Hong Kong"/>
    <s v="Location 5"/>
    <n v="12.35"/>
  </r>
  <r>
    <n v="-20160"/>
    <n v="-248976"/>
    <d v="2023-03-17T00:00:00"/>
    <x v="234"/>
    <s v="Hong Kong"/>
    <s v="Location 5"/>
    <n v="12.35"/>
  </r>
  <r>
    <n v="-13440"/>
    <n v="-165984"/>
    <d v="2023-03-17T00:00:00"/>
    <x v="234"/>
    <s v="Hong Kong"/>
    <s v="Location 5"/>
    <n v="12.35"/>
  </r>
  <r>
    <n v="40320"/>
    <n v="497952"/>
    <d v="2023-03-17T00:00:00"/>
    <x v="233"/>
    <s v="Hong Kong"/>
    <s v="Location 5"/>
    <n v="12.35"/>
  </r>
  <r>
    <n v="-73305"/>
    <n v="-905316.75"/>
    <d v="2023-03-17T00:00:00"/>
    <x v="233"/>
    <s v="Hong Kong"/>
    <s v="Location 5"/>
    <n v="12.35"/>
  </r>
  <r>
    <n v="-60480"/>
    <n v="-746928"/>
    <d v="2023-03-17T00:00:00"/>
    <x v="233"/>
    <s v="Hong Kong"/>
    <s v="Location 5"/>
    <n v="12.35"/>
  </r>
  <r>
    <n v="-33600"/>
    <n v="-414960"/>
    <d v="2023-03-17T00:00:00"/>
    <x v="233"/>
    <s v="Hong Kong"/>
    <s v="Location 5"/>
    <n v="12.35"/>
  </r>
  <r>
    <n v="-40320"/>
    <n v="-497952"/>
    <d v="2023-03-17T00:00:00"/>
    <x v="233"/>
    <s v="Hong Kong"/>
    <s v="Location 5"/>
    <n v="12.35"/>
  </r>
  <r>
    <n v="40320"/>
    <n v="497952"/>
    <d v="2023-03-20T00:00:00"/>
    <x v="234"/>
    <s v="Hong Kong"/>
    <s v="Location 5"/>
    <n v="12.35"/>
  </r>
  <r>
    <n v="20160"/>
    <n v="248976"/>
    <d v="2023-03-20T00:00:00"/>
    <x v="234"/>
    <s v="Hong Kong"/>
    <s v="Location 5"/>
    <n v="12.35"/>
  </r>
  <r>
    <n v="20160"/>
    <n v="248976"/>
    <d v="2023-03-20T00:00:00"/>
    <x v="234"/>
    <s v="Hong Kong"/>
    <s v="Location 5"/>
    <n v="12.35"/>
  </r>
  <r>
    <n v="13440"/>
    <n v="165984"/>
    <d v="2023-03-20T00:00:00"/>
    <x v="234"/>
    <s v="Hong Kong"/>
    <s v="Location 5"/>
    <n v="12.35"/>
  </r>
  <r>
    <n v="73305"/>
    <n v="905316.75"/>
    <d v="2023-03-20T00:00:00"/>
    <x v="233"/>
    <s v="Hong Kong"/>
    <s v="Location 5"/>
    <n v="12.35"/>
  </r>
  <r>
    <n v="60480"/>
    <n v="746928"/>
    <d v="2023-03-20T00:00:00"/>
    <x v="233"/>
    <s v="Hong Kong"/>
    <s v="Location 5"/>
    <n v="12.35"/>
  </r>
  <r>
    <n v="33600"/>
    <n v="414960"/>
    <d v="2023-03-20T00:00:00"/>
    <x v="233"/>
    <s v="Hong Kong"/>
    <s v="Location 5"/>
    <n v="12.35"/>
  </r>
  <r>
    <n v="40320"/>
    <n v="497952"/>
    <d v="2023-03-20T00:00:00"/>
    <x v="233"/>
    <s v="Hong Kong"/>
    <s v="Location 5"/>
    <n v="12.35"/>
  </r>
  <r>
    <n v="26880"/>
    <n v="331968"/>
    <d v="2023-03-22T00:00:00"/>
    <x v="234"/>
    <s v="Hong Kong"/>
    <s v="Location 5"/>
    <n v="12.35"/>
  </r>
  <r>
    <n v="26880"/>
    <n v="331968"/>
    <d v="2023-03-22T00:00:00"/>
    <x v="234"/>
    <s v="Hong Kong"/>
    <s v="Location 5"/>
    <n v="12.35"/>
  </r>
  <r>
    <n v="40320"/>
    <n v="497952"/>
    <d v="2023-03-22T00:00:00"/>
    <x v="233"/>
    <s v="Hong Kong"/>
    <s v="Location 5"/>
    <n v="12.35"/>
  </r>
  <r>
    <n v="53760"/>
    <n v="663936"/>
    <d v="2023-03-22T00:00:00"/>
    <x v="233"/>
    <s v="Hong Kong"/>
    <s v="Location 5"/>
    <n v="12.35"/>
  </r>
  <r>
    <n v="13440"/>
    <n v="165984"/>
    <d v="2023-03-31T00:00:00"/>
    <x v="234"/>
    <s v="Hong Kong"/>
    <s v="Location 5"/>
    <n v="12.35"/>
  </r>
  <r>
    <n v="33600"/>
    <n v="414960"/>
    <d v="2023-03-31T00:00:00"/>
    <x v="233"/>
    <s v="Hong Kong"/>
    <s v="Location 5"/>
    <n v="12.35"/>
  </r>
  <r>
    <n v="20160"/>
    <n v="248976"/>
    <d v="2023-04-13T00:00:00"/>
    <x v="234"/>
    <s v="Hong Kong"/>
    <s v="Location 5"/>
    <n v="12.35"/>
  </r>
  <r>
    <n v="20160"/>
    <n v="248976"/>
    <d v="2023-04-13T00:00:00"/>
    <x v="234"/>
    <s v="Hong Kong"/>
    <s v="Location 5"/>
    <n v="12.35"/>
  </r>
  <r>
    <n v="40320"/>
    <n v="497952"/>
    <d v="2023-04-13T00:00:00"/>
    <x v="233"/>
    <s v="Hong Kong"/>
    <s v="Location 5"/>
    <n v="12.35"/>
  </r>
  <r>
    <n v="33600"/>
    <n v="414960"/>
    <d v="2023-04-13T00:00:00"/>
    <x v="233"/>
    <s v="Hong Kong"/>
    <s v="Location 5"/>
    <n v="12.35"/>
  </r>
  <r>
    <n v="13440"/>
    <n v="165984"/>
    <d v="2023-04-25T00:00:00"/>
    <x v="234"/>
    <s v="Hong Kong"/>
    <s v="Location 5"/>
    <n v="12.35"/>
  </r>
  <r>
    <n v="26880"/>
    <n v="331968"/>
    <d v="2023-04-25T00:00:00"/>
    <x v="233"/>
    <s v="Hong Kong"/>
    <s v="Location 5"/>
    <n v="12.35"/>
  </r>
  <r>
    <n v="26880"/>
    <n v="331968"/>
    <d v="2023-04-27T00:00:00"/>
    <x v="234"/>
    <s v="Hong Kong"/>
    <s v="Location 5"/>
    <n v="12.35"/>
  </r>
  <r>
    <n v="47040"/>
    <n v="580944"/>
    <d v="2023-04-27T00:00:00"/>
    <x v="233"/>
    <s v="Hong Kong"/>
    <s v="Location 5"/>
    <n v="12.35"/>
  </r>
  <r>
    <n v="26880"/>
    <n v="331968"/>
    <d v="2023-05-05T00:00:00"/>
    <x v="234"/>
    <s v="Hong Kong"/>
    <s v="Location 5"/>
    <n v="12.35"/>
  </r>
  <r>
    <n v="60480"/>
    <n v="746928"/>
    <d v="2023-05-05T00:00:00"/>
    <x v="233"/>
    <s v="Hong Kong"/>
    <s v="Location 5"/>
    <n v="12.35"/>
  </r>
  <r>
    <n v="26880"/>
    <n v="331968"/>
    <d v="2023-05-16T00:00:00"/>
    <x v="234"/>
    <s v="Hong Kong"/>
    <s v="Location 5"/>
    <n v="12.35"/>
  </r>
  <r>
    <n v="53760"/>
    <n v="663936"/>
    <d v="2023-05-16T00:00:00"/>
    <x v="233"/>
    <s v="Hong Kong"/>
    <s v="Location 5"/>
    <n v="12.35"/>
  </r>
  <r>
    <n v="26880"/>
    <n v="331968"/>
    <d v="2023-05-17T00:00:00"/>
    <x v="234"/>
    <s v="Hong Kong"/>
    <s v="Location 5"/>
    <n v="12.35"/>
  </r>
  <r>
    <n v="67200"/>
    <n v="829920"/>
    <d v="2023-05-17T00:00:00"/>
    <x v="233"/>
    <s v="Hong Kong"/>
    <s v="Location 5"/>
    <n v="12.35"/>
  </r>
  <r>
    <n v="20160"/>
    <n v="248976"/>
    <d v="2023-05-22T00:00:00"/>
    <x v="234"/>
    <s v="Hong Kong"/>
    <s v="Location 5"/>
    <n v="12.35"/>
  </r>
  <r>
    <n v="33600"/>
    <n v="414960"/>
    <d v="2023-05-22T00:00:00"/>
    <x v="233"/>
    <s v="Hong Kong"/>
    <s v="Location 5"/>
    <n v="12.35"/>
  </r>
  <r>
    <n v="20160"/>
    <n v="248976"/>
    <d v="2023-06-15T00:00:00"/>
    <x v="234"/>
    <s v="Hong Kong"/>
    <s v="Location 5"/>
    <n v="12.35"/>
  </r>
  <r>
    <n v="6720"/>
    <n v="82992"/>
    <d v="2023-06-15T00:00:00"/>
    <x v="234"/>
    <s v="Hong Kong"/>
    <s v="Location 5"/>
    <n v="12.35"/>
  </r>
  <r>
    <n v="40320"/>
    <n v="497952"/>
    <d v="2023-06-15T00:00:00"/>
    <x v="233"/>
    <s v="Hong Kong"/>
    <s v="Location 5"/>
    <n v="12.35"/>
  </r>
  <r>
    <n v="26880"/>
    <n v="331968"/>
    <d v="2023-06-15T00:00:00"/>
    <x v="233"/>
    <s v="Hong Kong"/>
    <s v="Location 5"/>
    <n v="12.35"/>
  </r>
  <r>
    <n v="13440"/>
    <n v="165984"/>
    <d v="2023-06-28T00:00:00"/>
    <x v="234"/>
    <s v="Hong Kong"/>
    <s v="Location 5"/>
    <n v="12.35"/>
  </r>
  <r>
    <n v="26880"/>
    <n v="331968"/>
    <d v="2023-06-28T00:00:00"/>
    <x v="233"/>
    <s v="Hong Kong"/>
    <s v="Location 5"/>
    <n v="12.35"/>
  </r>
  <r>
    <n v="6300"/>
    <n v="77805"/>
    <d v="2023-07-19T00:00:00"/>
    <x v="234"/>
    <s v="Hong Kong"/>
    <s v="Location 5"/>
    <n v="12.35"/>
  </r>
  <r>
    <n v="26880"/>
    <n v="331968"/>
    <d v="2023-07-20T00:00:00"/>
    <x v="234"/>
    <s v="Hong Kong"/>
    <s v="Location 5"/>
    <n v="12.35"/>
  </r>
  <r>
    <n v="20160"/>
    <n v="248976"/>
    <d v="2023-07-20T00:00:00"/>
    <x v="234"/>
    <s v="Hong Kong"/>
    <s v="Location 5"/>
    <n v="12.35"/>
  </r>
  <r>
    <n v="33600"/>
    <n v="414960"/>
    <d v="2023-07-20T00:00:00"/>
    <x v="233"/>
    <s v="Hong Kong"/>
    <s v="Location 5"/>
    <n v="12.35"/>
  </r>
  <r>
    <n v="80640"/>
    <n v="995904"/>
    <d v="2023-07-20T00:00:00"/>
    <x v="233"/>
    <s v="Hong Kong"/>
    <s v="Location 5"/>
    <n v="12.35"/>
  </r>
  <r>
    <n v="4900"/>
    <n v="60515"/>
    <d v="2023-07-28T00:00:00"/>
    <x v="234"/>
    <s v="Hong Kong"/>
    <s v="Location 5"/>
    <n v="12.35"/>
  </r>
  <r>
    <n v="13440"/>
    <n v="165984"/>
    <d v="2023-08-03T00:00:00"/>
    <x v="233"/>
    <s v="Hong Kong"/>
    <s v="Location 5"/>
    <n v="12.35"/>
  </r>
  <r>
    <n v="31948"/>
    <n v="394557.8"/>
    <d v="2023-08-09T00:00:00"/>
    <x v="234"/>
    <s v="Hong Kong"/>
    <s v="Location 5"/>
    <n v="12.35"/>
  </r>
  <r>
    <n v="47040"/>
    <n v="580944"/>
    <d v="2023-08-10T00:00:00"/>
    <x v="233"/>
    <s v="Hong Kong"/>
    <s v="Location 5"/>
    <n v="12.35"/>
  </r>
  <r>
    <n v="47628"/>
    <n v="588205.80000000005"/>
    <d v="2023-08-14T00:00:00"/>
    <x v="234"/>
    <s v="Hong Kong"/>
    <s v="Location 5"/>
    <n v="12.35"/>
  </r>
  <r>
    <n v="80500"/>
    <n v="994175"/>
    <d v="2023-08-14T00:00:00"/>
    <x v="233"/>
    <s v="Hong Kong"/>
    <s v="Location 5"/>
    <n v="12.35"/>
  </r>
  <r>
    <n v="6720"/>
    <n v="82992"/>
    <d v="2023-08-15T00:00:00"/>
    <x v="233"/>
    <s v="Hong Kong"/>
    <s v="Location 5"/>
    <n v="12.35"/>
  </r>
  <r>
    <n v="4116"/>
    <n v="50832.6"/>
    <d v="2023-09-11T00:00:00"/>
    <x v="234"/>
    <s v="Hong Kong"/>
    <s v="Location 5"/>
    <n v="12.35"/>
  </r>
  <r>
    <n v="14896"/>
    <n v="183965.6"/>
    <d v="2023-09-11T00:00:00"/>
    <x v="233"/>
    <s v="Hong Kong"/>
    <s v="Location 5"/>
    <n v="12.35"/>
  </r>
  <r>
    <n v="29"/>
    <n v="130726.2"/>
    <d v="2022-05-05T00:00:00"/>
    <x v="151"/>
    <s v="Canada"/>
    <s v="Location 18"/>
    <n v="4507.8"/>
  </r>
  <r>
    <n v="6"/>
    <n v="27046.799999999999"/>
    <d v="2022-04-27T00:00:00"/>
    <x v="151"/>
    <s v="Canada"/>
    <s v="Location 18"/>
    <n v="4507.8"/>
  </r>
  <r>
    <n v="35"/>
    <n v="197216.25"/>
    <d v="2021-11-04T00:00:00"/>
    <x v="213"/>
    <s v="Canada"/>
    <s v="Location 18"/>
    <n v="5634.75"/>
  </r>
  <r>
    <n v="84"/>
    <n v="20061.72"/>
    <d v="2023-01-20T00:00:00"/>
    <x v="211"/>
    <s v="USA"/>
    <s v="Location 26"/>
    <n v="238.83"/>
  </r>
  <r>
    <n v="13720"/>
    <n v="5903.72"/>
    <d v="2022-08-15T00:00:00"/>
    <x v="229"/>
    <s v="Italy"/>
    <s v="Location 9"/>
    <n v="0.43030000000000002"/>
  </r>
  <r>
    <n v="378"/>
    <n v="13218.66"/>
    <d v="2023-08-16T00:00:00"/>
    <x v="241"/>
    <s v="China"/>
    <s v="Location 10"/>
    <n v="34.97"/>
  </r>
  <r>
    <n v="189"/>
    <n v="6265.35"/>
    <d v="2022-08-17T00:00:00"/>
    <x v="241"/>
    <s v="China"/>
    <s v="Location 10"/>
    <n v="33.15"/>
  </r>
  <r>
    <n v="189"/>
    <n v="6265.35"/>
    <d v="2022-08-17T00:00:00"/>
    <x v="241"/>
    <s v="China"/>
    <s v="Location 10"/>
    <n v="33.15"/>
  </r>
  <r>
    <n v="78"/>
    <n v="2585.6999999999998"/>
    <d v="2022-08-18T00:00:00"/>
    <x v="241"/>
    <s v="China"/>
    <s v="Location 10"/>
    <n v="33.15"/>
  </r>
  <r>
    <n v="189"/>
    <n v="6609.33"/>
    <d v="2023-08-22T00:00:00"/>
    <x v="241"/>
    <s v="China"/>
    <s v="Location 10"/>
    <n v="34.97"/>
  </r>
  <r>
    <n v="189"/>
    <n v="6265.35"/>
    <d v="2022-09-13T00:00:00"/>
    <x v="241"/>
    <s v="China"/>
    <s v="Location 10"/>
    <n v="33.15"/>
  </r>
  <r>
    <n v="111"/>
    <n v="3679.65"/>
    <d v="2022-09-13T00:00:00"/>
    <x v="241"/>
    <s v="China"/>
    <s v="Location 10"/>
    <n v="33.15"/>
  </r>
  <r>
    <n v="78"/>
    <n v="2585.6999999999998"/>
    <d v="2022-09-14T00:00:00"/>
    <x v="241"/>
    <s v="China"/>
    <s v="Location 10"/>
    <n v="33.15"/>
  </r>
  <r>
    <n v="630"/>
    <n v="5701.5"/>
    <d v="2022-10-03T00:00:00"/>
    <x v="242"/>
    <s v="China"/>
    <s v="Location 10"/>
    <n v="9.0500000000000007"/>
  </r>
  <r>
    <n v="630"/>
    <n v="5701.5"/>
    <d v="2022-10-03T00:00:00"/>
    <x v="242"/>
    <s v="China"/>
    <s v="Location 10"/>
    <n v="9.0500000000000007"/>
  </r>
  <r>
    <n v="630"/>
    <n v="5701.5"/>
    <d v="2022-10-03T00:00:00"/>
    <x v="242"/>
    <s v="China"/>
    <s v="Location 10"/>
    <n v="9.0500000000000007"/>
  </r>
  <r>
    <n v="630"/>
    <n v="5701.5"/>
    <d v="2022-10-03T00:00:00"/>
    <x v="242"/>
    <s v="China"/>
    <s v="Location 10"/>
    <n v="9.0500000000000007"/>
  </r>
  <r>
    <n v="860"/>
    <n v="45072.6"/>
    <d v="2022-10-05T00:00:00"/>
    <x v="189"/>
    <s v="India"/>
    <s v="Location 7"/>
    <n v="52.41"/>
  </r>
  <r>
    <n v="260"/>
    <n v="13626.6"/>
    <d v="2022-10-05T00:00:00"/>
    <x v="189"/>
    <s v="India"/>
    <s v="Location 7"/>
    <n v="52.41"/>
  </r>
  <r>
    <n v="1120"/>
    <n v="58699.199999999997"/>
    <d v="2022-10-05T00:00:00"/>
    <x v="189"/>
    <s v="India"/>
    <s v="Location 7"/>
    <n v="52.41"/>
  </r>
  <r>
    <n v="588"/>
    <n v="54666.36"/>
    <d v="2022-10-05T00:00:00"/>
    <x v="158"/>
    <s v="India"/>
    <s v="Location 7"/>
    <n v="92.97"/>
  </r>
  <r>
    <n v="630"/>
    <n v="5701.5"/>
    <d v="2022-10-07T00:00:00"/>
    <x v="242"/>
    <s v="China"/>
    <s v="Location 10"/>
    <n v="9.0500000000000007"/>
  </r>
  <r>
    <n v="6860"/>
    <n v="2951.86"/>
    <d v="2022-10-18T00:00:00"/>
    <x v="229"/>
    <s v="Italy"/>
    <s v="Location 9"/>
    <n v="0.43030000000000002"/>
  </r>
  <r>
    <n v="3430"/>
    <n v="1475.93"/>
    <d v="2022-01-14T00:00:00"/>
    <x v="229"/>
    <s v="Hungary"/>
    <s v="Location 23"/>
    <n v="0.43030000000000002"/>
  </r>
  <r>
    <n v="3430"/>
    <n v="1475.93"/>
    <d v="2022-01-14T00:00:00"/>
    <x v="229"/>
    <s v="Hungary"/>
    <s v="Location 23"/>
    <n v="0.43030000000000002"/>
  </r>
  <r>
    <n v="3430"/>
    <n v="1475.93"/>
    <d v="2022-01-14T00:00:00"/>
    <x v="229"/>
    <s v="Hungary"/>
    <s v="Location 23"/>
    <n v="0.43030000000000002"/>
  </r>
  <r>
    <n v="504"/>
    <n v="22478.400000000001"/>
    <d v="2022-01-14T00:00:00"/>
    <x v="243"/>
    <s v="Hungary"/>
    <s v="Location 23"/>
    <n v="44.6"/>
  </r>
  <r>
    <n v="300"/>
    <n v="10491"/>
    <d v="2023-01-18T00:00:00"/>
    <x v="241"/>
    <s v="China"/>
    <s v="Location 10"/>
    <n v="34.97"/>
  </r>
  <r>
    <n v="189"/>
    <n v="6609.33"/>
    <d v="2023-01-18T00:00:00"/>
    <x v="241"/>
    <s v="China"/>
    <s v="Location 10"/>
    <n v="34.97"/>
  </r>
  <r>
    <n v="140"/>
    <n v="2214.8000000000002"/>
    <d v="2022-10-18T00:00:00"/>
    <x v="244"/>
    <s v="Italy"/>
    <s v="Location 9"/>
    <n v="15.82"/>
  </r>
  <r>
    <n v="5000"/>
    <n v="74800"/>
    <d v="2022-10-18T00:00:00"/>
    <x v="245"/>
    <s v="Italy"/>
    <s v="Location 9"/>
    <n v="14.96"/>
  </r>
  <r>
    <n v="5000"/>
    <n v="74800"/>
    <d v="2022-10-18T00:00:00"/>
    <x v="245"/>
    <s v="Italy"/>
    <s v="Location 9"/>
    <n v="14.96"/>
  </r>
  <r>
    <n v="5000"/>
    <n v="74800"/>
    <d v="2022-10-18T00:00:00"/>
    <x v="245"/>
    <s v="Italy"/>
    <s v="Location 9"/>
    <n v="14.96"/>
  </r>
  <r>
    <n v="260"/>
    <n v="3608.8"/>
    <d v="2022-11-01T00:00:00"/>
    <x v="182"/>
    <s v="India"/>
    <s v="Location 7"/>
    <n v="13.88"/>
  </r>
  <r>
    <n v="2646"/>
    <n v="11721.78"/>
    <d v="2022-11-14T00:00:00"/>
    <x v="246"/>
    <s v="Italy"/>
    <s v="Location 9"/>
    <n v="4.43"/>
  </r>
  <r>
    <n v="65"/>
    <n v="2154.75"/>
    <d v="2021-11-30T00:00:00"/>
    <x v="241"/>
    <s v="China"/>
    <s v="Location 10"/>
    <n v="33.15"/>
  </r>
  <r>
    <n v="5000"/>
    <n v="74800"/>
    <d v="2022-12-01T00:00:00"/>
    <x v="245"/>
    <s v="Italy"/>
    <s v="Location 9"/>
    <n v="14.96"/>
  </r>
  <r>
    <n v="70"/>
    <n v="13797"/>
    <d v="2023-01-26T00:00:00"/>
    <x v="247"/>
    <s v="China"/>
    <s v="Location 10"/>
    <n v="197.1"/>
  </r>
  <r>
    <n v="630"/>
    <n v="5701.5"/>
    <d v="2022-12-14T00:00:00"/>
    <x v="242"/>
    <s v="China"/>
    <s v="Location 10"/>
    <n v="9.0500000000000007"/>
  </r>
  <r>
    <n v="630"/>
    <n v="5701.5"/>
    <d v="2022-12-21T00:00:00"/>
    <x v="242"/>
    <s v="China"/>
    <s v="Location 10"/>
    <n v="9.0500000000000007"/>
  </r>
  <r>
    <n v="147"/>
    <n v="59418.87"/>
    <d v="2022-12-29T00:00:00"/>
    <x v="248"/>
    <s v="Hong Kong"/>
    <s v="Location 12"/>
    <n v="404.21"/>
  </r>
  <r>
    <n v="2646"/>
    <n v="15029.28"/>
    <d v="2023-02-02T00:00:00"/>
    <x v="246"/>
    <s v="China"/>
    <s v="Location 10"/>
    <n v="5.68"/>
  </r>
  <r>
    <n v="1930"/>
    <n v="25688.3"/>
    <d v="2023-02-02T00:00:00"/>
    <x v="226"/>
    <s v="Italy"/>
    <s v="Location 9"/>
    <n v="13.31"/>
  </r>
  <r>
    <n v="189"/>
    <n v="6609.33"/>
    <d v="2023-02-08T00:00:00"/>
    <x v="241"/>
    <s v="China"/>
    <s v="Location 10"/>
    <n v="34.97"/>
  </r>
  <r>
    <n v="378"/>
    <n v="13218.66"/>
    <d v="2023-02-08T00:00:00"/>
    <x v="241"/>
    <s v="China"/>
    <s v="Location 10"/>
    <n v="34.97"/>
  </r>
  <r>
    <n v="378"/>
    <n v="13218.66"/>
    <d v="2023-02-08T00:00:00"/>
    <x v="241"/>
    <s v="China"/>
    <s v="Location 10"/>
    <n v="34.97"/>
  </r>
  <r>
    <n v="189"/>
    <n v="6609.33"/>
    <d v="2023-02-08T00:00:00"/>
    <x v="241"/>
    <s v="China"/>
    <s v="Location 10"/>
    <n v="34.97"/>
  </r>
  <r>
    <n v="189"/>
    <n v="6609.33"/>
    <d v="2023-02-08T00:00:00"/>
    <x v="241"/>
    <s v="China"/>
    <s v="Location 10"/>
    <n v="34.97"/>
  </r>
  <r>
    <n v="189"/>
    <n v="6609.33"/>
    <d v="2023-02-08T00:00:00"/>
    <x v="241"/>
    <s v="China"/>
    <s v="Location 10"/>
    <n v="34.97"/>
  </r>
  <r>
    <n v="189"/>
    <n v="6609.33"/>
    <d v="2023-02-08T00:00:00"/>
    <x v="241"/>
    <s v="China"/>
    <s v="Location 10"/>
    <n v="34.97"/>
  </r>
  <r>
    <n v="354"/>
    <n v="2010.72"/>
    <d v="2023-02-09T00:00:00"/>
    <x v="246"/>
    <s v="China"/>
    <s v="Location 10"/>
    <n v="5.68"/>
  </r>
  <r>
    <n v="630"/>
    <n v="271.08999999999997"/>
    <d v="2022-02-11T00:00:00"/>
    <x v="229"/>
    <s v="Hungary"/>
    <s v="Location 23"/>
    <n v="0.43030000000000002"/>
  </r>
  <r>
    <n v="280"/>
    <n v="4429.6000000000004"/>
    <d v="2023-02-16T00:00:00"/>
    <x v="244"/>
    <s v="Italy"/>
    <s v="Location 9"/>
    <n v="15.82"/>
  </r>
  <r>
    <n v="5000"/>
    <n v="74800"/>
    <d v="2023-02-16T00:00:00"/>
    <x v="245"/>
    <s v="Italy"/>
    <s v="Location 9"/>
    <n v="14.96"/>
  </r>
  <r>
    <n v="1640"/>
    <n v="25944.799999999999"/>
    <d v="2023-02-17T00:00:00"/>
    <x v="244"/>
    <s v="Italy"/>
    <s v="Location 9"/>
    <n v="15.82"/>
  </r>
  <r>
    <n v="498"/>
    <n v="6628.38"/>
    <d v="2023-02-17T00:00:00"/>
    <x v="226"/>
    <s v="Italy"/>
    <s v="Location 9"/>
    <n v="13.31"/>
  </r>
  <r>
    <n v="3780"/>
    <n v="52466.400000000001"/>
    <d v="2023-02-20T00:00:00"/>
    <x v="182"/>
    <s v="Hong Kong"/>
    <s v="Location 12"/>
    <n v="13.88"/>
  </r>
  <r>
    <n v="147"/>
    <n v="76212.149999999994"/>
    <d v="2023-02-20T00:00:00"/>
    <x v="248"/>
    <s v="Hong Kong"/>
    <s v="Location 12"/>
    <n v="518.45000000000005"/>
  </r>
  <r>
    <n v="84"/>
    <n v="3471.72"/>
    <d v="2023-02-20T00:00:00"/>
    <x v="249"/>
    <s v="Hong Kong"/>
    <s v="Location 12"/>
    <n v="41.33"/>
  </r>
  <r>
    <n v="7938"/>
    <n v="33180.839999999997"/>
    <d v="2022-02-23T00:00:00"/>
    <x v="250"/>
    <s v="Italy"/>
    <s v="Location 9"/>
    <n v="4.18"/>
  </r>
  <r>
    <n v="189"/>
    <n v="6609.33"/>
    <d v="2023-02-23T00:00:00"/>
    <x v="241"/>
    <s v="China"/>
    <s v="Location 10"/>
    <n v="34.97"/>
  </r>
  <r>
    <n v="252"/>
    <n v="17481.240000000002"/>
    <d v="2023-03-07T00:00:00"/>
    <x v="186"/>
    <s v="India"/>
    <s v="Location 7"/>
    <n v="69.37"/>
  </r>
  <r>
    <n v="360"/>
    <n v="2606.4"/>
    <d v="2022-03-11T00:00:00"/>
    <x v="251"/>
    <s v="Hungary"/>
    <s v="Location 23"/>
    <n v="7.24"/>
  </r>
  <r>
    <n v="140"/>
    <n v="46452"/>
    <d v="2023-03-13T00:00:00"/>
    <x v="252"/>
    <s v="Hong Kong"/>
    <s v="Location 12"/>
    <n v="331.8"/>
  </r>
  <r>
    <n v="588"/>
    <n v="57953.279999999999"/>
    <d v="2023-03-15T00:00:00"/>
    <x v="158"/>
    <s v="India"/>
    <s v="Location 7"/>
    <n v="98.56"/>
  </r>
  <r>
    <n v="560"/>
    <n v="9340.7999999999993"/>
    <d v="2023-03-16T00:00:00"/>
    <x v="244"/>
    <s v="Italy"/>
    <s v="Location 9"/>
    <n v="16.68"/>
  </r>
  <r>
    <n v="630"/>
    <n v="6016.5"/>
    <d v="2023-03-21T00:00:00"/>
    <x v="242"/>
    <s v="China"/>
    <s v="Location 10"/>
    <n v="9.5500000000000007"/>
  </r>
  <r>
    <n v="588"/>
    <n v="32728.080000000002"/>
    <d v="2023-03-21T00:00:00"/>
    <x v="253"/>
    <s v="Hong Kong"/>
    <s v="Location 12"/>
    <n v="55.66"/>
  </r>
  <r>
    <n v="588"/>
    <n v="57953.279999999999"/>
    <d v="2023-03-21T00:00:00"/>
    <x v="158"/>
    <s v="India"/>
    <s v="Location 7"/>
    <n v="98.56"/>
  </r>
  <r>
    <n v="1323"/>
    <n v="3241.35"/>
    <d v="2022-03-25T00:00:00"/>
    <x v="228"/>
    <s v="Italy"/>
    <s v="Location 9"/>
    <n v="2.4500000000000002"/>
  </r>
  <r>
    <n v="189"/>
    <n v="6265.35"/>
    <d v="2022-04-12T00:00:00"/>
    <x v="241"/>
    <s v="China"/>
    <s v="Location 10"/>
    <n v="33.15"/>
  </r>
  <r>
    <n v="945"/>
    <n v="31326.75"/>
    <d v="2022-04-12T00:00:00"/>
    <x v="241"/>
    <s v="China"/>
    <s v="Location 10"/>
    <n v="33.15"/>
  </r>
  <r>
    <n v="378"/>
    <n v="12530.7"/>
    <d v="2022-04-12T00:00:00"/>
    <x v="241"/>
    <s v="China"/>
    <s v="Location 10"/>
    <n v="33.15"/>
  </r>
  <r>
    <n v="189"/>
    <n v="6265.35"/>
    <d v="2022-04-12T00:00:00"/>
    <x v="241"/>
    <s v="China"/>
    <s v="Location 10"/>
    <n v="33.15"/>
  </r>
  <r>
    <n v="189"/>
    <n v="6265.35"/>
    <d v="2022-04-12T00:00:00"/>
    <x v="241"/>
    <s v="China"/>
    <s v="Location 10"/>
    <n v="33.15"/>
  </r>
  <r>
    <n v="588"/>
    <n v="57953.279999999999"/>
    <d v="2023-04-19T00:00:00"/>
    <x v="158"/>
    <s v="India"/>
    <s v="Location 7"/>
    <n v="98.56"/>
  </r>
  <r>
    <n v="128000"/>
    <n v="3929.6"/>
    <d v="2022-04-28T00:00:00"/>
    <x v="254"/>
    <s v="China"/>
    <s v="Location 10"/>
    <n v="3.0700000000000002E-2"/>
  </r>
  <r>
    <n v="124"/>
    <n v="4110.6000000000004"/>
    <d v="2022-04-28T00:00:00"/>
    <x v="241"/>
    <s v="China"/>
    <s v="Location 10"/>
    <n v="33.15"/>
  </r>
  <r>
    <n v="13720"/>
    <n v="5903.72"/>
    <d v="2022-04-28T00:00:00"/>
    <x v="229"/>
    <s v="Italy"/>
    <s v="Location 9"/>
    <n v="0.43030000000000002"/>
  </r>
  <r>
    <n v="2520"/>
    <n v="34977.599999999999"/>
    <d v="2022-05-17T00:00:00"/>
    <x v="182"/>
    <s v="India"/>
    <s v="Location 7"/>
    <n v="13.88"/>
  </r>
  <r>
    <n v="1000"/>
    <n v="13880"/>
    <d v="2022-05-17T00:00:00"/>
    <x v="182"/>
    <s v="India"/>
    <s v="Location 7"/>
    <n v="13.88"/>
  </r>
  <r>
    <n v="1120"/>
    <n v="58699.199999999997"/>
    <d v="2022-05-19T00:00:00"/>
    <x v="189"/>
    <s v="India"/>
    <s v="Location 7"/>
    <n v="52.41"/>
  </r>
  <r>
    <n v="588"/>
    <n v="57953.279999999999"/>
    <d v="2023-05-23T00:00:00"/>
    <x v="158"/>
    <s v="India"/>
    <s v="Location 7"/>
    <n v="98.56"/>
  </r>
  <r>
    <n v="588"/>
    <n v="57953.279999999999"/>
    <d v="2023-05-23T00:00:00"/>
    <x v="158"/>
    <s v="India"/>
    <s v="Location 7"/>
    <n v="98.56"/>
  </r>
  <r>
    <n v="2924"/>
    <n v="43743.040000000001"/>
    <d v="2022-05-27T00:00:00"/>
    <x v="245"/>
    <s v="Italy"/>
    <s v="Location 9"/>
    <n v="14.96"/>
  </r>
  <r>
    <n v="280"/>
    <n v="4670.3999999999996"/>
    <d v="2023-05-29T00:00:00"/>
    <x v="244"/>
    <s v="Italy"/>
    <s v="Location 9"/>
    <n v="16.68"/>
  </r>
  <r>
    <n v="143"/>
    <n v="2139.2800000000002"/>
    <d v="2022-05-30T00:00:00"/>
    <x v="245"/>
    <s v="Italy"/>
    <s v="Location 9"/>
    <n v="14.96"/>
  </r>
  <r>
    <n v="189"/>
    <n v="6609.33"/>
    <d v="2023-05-31T00:00:00"/>
    <x v="241"/>
    <s v="China"/>
    <s v="Location 10"/>
    <n v="34.97"/>
  </r>
  <r>
    <n v="189"/>
    <n v="6609.33"/>
    <d v="2023-05-31T00:00:00"/>
    <x v="241"/>
    <s v="China"/>
    <s v="Location 10"/>
    <n v="34.97"/>
  </r>
  <r>
    <n v="3520"/>
    <n v="51779.199999999997"/>
    <d v="2023-06-13T00:00:00"/>
    <x v="182"/>
    <s v="India"/>
    <s v="Location 7"/>
    <n v="14.71"/>
  </r>
  <r>
    <n v="260"/>
    <n v="3824.6"/>
    <d v="2023-06-13T00:00:00"/>
    <x v="182"/>
    <s v="India"/>
    <s v="Location 7"/>
    <n v="14.71"/>
  </r>
  <r>
    <n v="630"/>
    <n v="5071.5"/>
    <d v="2022-06-14T00:00:00"/>
    <x v="255"/>
    <s v="Hong Kong"/>
    <s v="Location 12"/>
    <n v="8.0500000000000007"/>
  </r>
  <r>
    <n v="2846"/>
    <n v="16165.28"/>
    <d v="2023-06-15T00:00:00"/>
    <x v="246"/>
    <s v="Italy"/>
    <s v="Location 9"/>
    <n v="5.68"/>
  </r>
  <r>
    <n v="280"/>
    <n v="4429.6000000000004"/>
    <d v="2022-06-21T00:00:00"/>
    <x v="244"/>
    <s v="Italy"/>
    <s v="Location 9"/>
    <n v="15.82"/>
  </r>
  <r>
    <n v="630"/>
    <n v="6016.5"/>
    <d v="2023-06-21T00:00:00"/>
    <x v="242"/>
    <s v="China"/>
    <s v="Location 10"/>
    <n v="9.5500000000000007"/>
  </r>
  <r>
    <n v="588"/>
    <n v="57953.279999999999"/>
    <d v="2023-06-21T00:00:00"/>
    <x v="158"/>
    <s v="India"/>
    <s v="Location 7"/>
    <n v="98.56"/>
  </r>
  <r>
    <n v="588"/>
    <n v="57953.279999999999"/>
    <d v="2023-06-21T00:00:00"/>
    <x v="158"/>
    <s v="India"/>
    <s v="Location 7"/>
    <n v="98.56"/>
  </r>
  <r>
    <n v="588"/>
    <n v="57953.279999999999"/>
    <d v="2023-06-21T00:00:00"/>
    <x v="158"/>
    <s v="India"/>
    <s v="Location 7"/>
    <n v="98.56"/>
  </r>
  <r>
    <n v="1384"/>
    <n v="22296.240000000002"/>
    <d v="2023-06-23T00:00:00"/>
    <x v="226"/>
    <s v="Italy"/>
    <s v="Location 9"/>
    <n v="16.11"/>
  </r>
  <r>
    <n v="189"/>
    <n v="6609.33"/>
    <d v="2023-06-28T00:00:00"/>
    <x v="241"/>
    <s v="China"/>
    <s v="Location 10"/>
    <n v="34.97"/>
  </r>
  <r>
    <n v="189"/>
    <n v="6609.33"/>
    <d v="2023-06-28T00:00:00"/>
    <x v="241"/>
    <s v="China"/>
    <s v="Location 10"/>
    <n v="34.97"/>
  </r>
  <r>
    <n v="1480"/>
    <n v="3285.6"/>
    <d v="2023-06-28T00:00:00"/>
    <x v="256"/>
    <s v="Italy"/>
    <s v="Location 9"/>
    <n v="2.2200000000000002"/>
  </r>
  <r>
    <n v="1950"/>
    <n v="4329"/>
    <d v="2023-06-28T00:00:00"/>
    <x v="256"/>
    <s v="Italy"/>
    <s v="Location 9"/>
    <n v="2.2200000000000002"/>
  </r>
  <r>
    <n v="3969"/>
    <n v="9724.0499999999993"/>
    <d v="2023-06-29T00:00:00"/>
    <x v="228"/>
    <s v="Italy"/>
    <s v="Location 9"/>
    <n v="2.4500000000000002"/>
  </r>
  <r>
    <n v="189"/>
    <n v="6265.35"/>
    <d v="2022-06-30T00:00:00"/>
    <x v="241"/>
    <s v="China"/>
    <s v="Location 10"/>
    <n v="33.15"/>
  </r>
  <r>
    <n v="189"/>
    <n v="6265.35"/>
    <d v="2022-06-30T00:00:00"/>
    <x v="241"/>
    <s v="China"/>
    <s v="Location 10"/>
    <n v="33.15"/>
  </r>
  <r>
    <n v="189"/>
    <n v="6265.35"/>
    <d v="2022-06-30T00:00:00"/>
    <x v="241"/>
    <s v="China"/>
    <s v="Location 10"/>
    <n v="33.15"/>
  </r>
  <r>
    <n v="5292"/>
    <n v="13653.36"/>
    <d v="2023-07-11T00:00:00"/>
    <x v="228"/>
    <s v="Italy"/>
    <s v="Location 9"/>
    <n v="2.58"/>
  </r>
  <r>
    <n v="189"/>
    <n v="6265.35"/>
    <d v="2022-07-12T00:00:00"/>
    <x v="241"/>
    <s v="China"/>
    <s v="Location 10"/>
    <n v="33.15"/>
  </r>
  <r>
    <n v="189"/>
    <n v="6265.35"/>
    <d v="2022-07-12T00:00:00"/>
    <x v="241"/>
    <s v="China"/>
    <s v="Location 10"/>
    <n v="33.15"/>
  </r>
  <r>
    <n v="189"/>
    <n v="6265.35"/>
    <d v="2022-07-12T00:00:00"/>
    <x v="241"/>
    <s v="China"/>
    <s v="Location 10"/>
    <n v="33.15"/>
  </r>
  <r>
    <n v="189"/>
    <n v="6265.35"/>
    <d v="2022-07-12T00:00:00"/>
    <x v="241"/>
    <s v="China"/>
    <s v="Location 10"/>
    <n v="33.15"/>
  </r>
  <r>
    <n v="189"/>
    <n v="6265.35"/>
    <d v="2022-07-12T00:00:00"/>
    <x v="241"/>
    <s v="China"/>
    <s v="Location 10"/>
    <n v="33.15"/>
  </r>
  <r>
    <n v="189"/>
    <n v="6265.35"/>
    <d v="2022-07-12T00:00:00"/>
    <x v="241"/>
    <s v="China"/>
    <s v="Location 10"/>
    <n v="33.15"/>
  </r>
  <r>
    <n v="189"/>
    <n v="6265.35"/>
    <d v="2022-07-12T00:00:00"/>
    <x v="241"/>
    <s v="China"/>
    <s v="Location 10"/>
    <n v="33.15"/>
  </r>
  <r>
    <n v="10000"/>
    <n v="149600"/>
    <d v="2022-07-12T00:00:00"/>
    <x v="245"/>
    <s v="Italy"/>
    <s v="Location 9"/>
    <n v="14.96"/>
  </r>
  <r>
    <n v="5000"/>
    <n v="74800"/>
    <d v="2022-07-12T00:00:00"/>
    <x v="245"/>
    <s v="Italy"/>
    <s v="Location 9"/>
    <n v="14.96"/>
  </r>
  <r>
    <n v="180"/>
    <n v="2847.6"/>
    <d v="2022-07-14T00:00:00"/>
    <x v="244"/>
    <s v="Italy"/>
    <s v="Location 9"/>
    <n v="15.82"/>
  </r>
  <r>
    <n v="588"/>
    <n v="57953.279999999999"/>
    <d v="2023-07-21T00:00:00"/>
    <x v="158"/>
    <s v="India"/>
    <s v="Location 7"/>
    <n v="98.56"/>
  </r>
  <r>
    <n v="588"/>
    <n v="57953.279999999999"/>
    <d v="2023-07-21T00:00:00"/>
    <x v="158"/>
    <s v="India"/>
    <s v="Location 7"/>
    <n v="98.56"/>
  </r>
  <r>
    <n v="5000"/>
    <n v="74800"/>
    <d v="2022-07-25T00:00:00"/>
    <x v="245"/>
    <s v="Italy"/>
    <s v="Location 9"/>
    <n v="14.96"/>
  </r>
  <r>
    <n v="568"/>
    <n v="8497.2800000000007"/>
    <d v="2022-07-25T00:00:00"/>
    <x v="245"/>
    <s v="Italy"/>
    <s v="Location 9"/>
    <n v="14.96"/>
  </r>
  <r>
    <n v="630"/>
    <n v="5701.5"/>
    <d v="2022-07-27T00:00:00"/>
    <x v="242"/>
    <s v="China"/>
    <s v="Location 10"/>
    <n v="9.0500000000000007"/>
  </r>
  <r>
    <n v="1820"/>
    <n v="4113.2"/>
    <d v="2022-08-10T00:00:00"/>
    <x v="257"/>
    <s v="China"/>
    <s v="Location 10"/>
    <n v="2.2599999999999998"/>
  </r>
  <r>
    <n v="308"/>
    <n v="152142.76"/>
    <d v="2022-04-25T00:00:00"/>
    <x v="227"/>
    <s v="Taiwan"/>
    <s v="Location 25"/>
    <n v="493.97"/>
  </r>
  <r>
    <n v="140"/>
    <n v="168865.2"/>
    <d v="2023-01-10T00:00:00"/>
    <x v="258"/>
    <s v="Taiwan"/>
    <s v="Location 8"/>
    <n v="1206.18"/>
  </r>
  <r>
    <n v="147"/>
    <n v="103273.38"/>
    <d v="2023-01-11T00:00:00"/>
    <x v="143"/>
    <s v="Taiwan"/>
    <s v="Location 8"/>
    <n v="702.54"/>
  </r>
  <r>
    <n v="1911"/>
    <n v="1342553.94"/>
    <d v="2022-10-26T00:00:00"/>
    <x v="143"/>
    <s v="Taiwan"/>
    <s v="Location 8"/>
    <n v="702.54"/>
  </r>
  <r>
    <n v="84"/>
    <n v="85470"/>
    <d v="2022-11-07T00:00:00"/>
    <x v="259"/>
    <s v="Taiwan"/>
    <s v="Location 8"/>
    <n v="1017.5"/>
  </r>
  <r>
    <n v="91"/>
    <n v="20555.990000000002"/>
    <d v="2022-11-09T00:00:00"/>
    <x v="260"/>
    <s v="Taiwan"/>
    <s v="Location 8"/>
    <n v="225.89"/>
  </r>
  <r>
    <n v="72"/>
    <n v="16264.08"/>
    <d v="2022-11-09T00:00:00"/>
    <x v="260"/>
    <s v="Taiwan"/>
    <s v="Location 8"/>
    <n v="225.89"/>
  </r>
  <r>
    <n v="54"/>
    <n v="12198.06"/>
    <d v="2022-11-09T00:00:00"/>
    <x v="260"/>
    <s v="Taiwan"/>
    <s v="Location 8"/>
    <n v="225.89"/>
  </r>
  <r>
    <n v="210"/>
    <n v="253297.8"/>
    <d v="2023-01-26T00:00:00"/>
    <x v="258"/>
    <s v="Taiwan"/>
    <s v="Location 8"/>
    <n v="1206.18"/>
  </r>
  <r>
    <n v="1764"/>
    <n v="1239280.56"/>
    <d v="2023-01-26T00:00:00"/>
    <x v="143"/>
    <s v="Taiwan"/>
    <s v="Location 8"/>
    <n v="702.54"/>
  </r>
  <r>
    <n v="147"/>
    <n v="103273.38"/>
    <d v="2023-01-26T00:00:00"/>
    <x v="143"/>
    <s v="Taiwan"/>
    <s v="Location 8"/>
    <n v="702.54"/>
  </r>
  <r>
    <n v="147"/>
    <n v="103273.38"/>
    <d v="2023-01-26T00:00:00"/>
    <x v="143"/>
    <s v="Taiwan"/>
    <s v="Location 8"/>
    <n v="702.54"/>
  </r>
  <r>
    <n v="420"/>
    <n v="506595.6"/>
    <d v="2023-01-30T00:00:00"/>
    <x v="258"/>
    <s v="Taiwan"/>
    <s v="Location 8"/>
    <n v="1206.18"/>
  </r>
  <r>
    <n v="1911"/>
    <n v="1342553.94"/>
    <d v="2023-01-30T00:00:00"/>
    <x v="143"/>
    <s v="Taiwan"/>
    <s v="Location 8"/>
    <n v="702.54"/>
  </r>
  <r>
    <n v="2940"/>
    <n v="2065467.6"/>
    <d v="2023-01-30T00:00:00"/>
    <x v="143"/>
    <s v="Taiwan"/>
    <s v="Location 8"/>
    <n v="702.54"/>
  </r>
  <r>
    <n v="1911"/>
    <n v="1342553.94"/>
    <d v="2023-01-30T00:00:00"/>
    <x v="143"/>
    <s v="Taiwan"/>
    <s v="Location 8"/>
    <n v="702.54"/>
  </r>
  <r>
    <n v="294"/>
    <n v="206546.76"/>
    <d v="2023-01-30T00:00:00"/>
    <x v="143"/>
    <s v="Taiwan"/>
    <s v="Location 8"/>
    <n v="702.54"/>
  </r>
  <r>
    <n v="1764"/>
    <n v="1239280.56"/>
    <d v="2023-01-30T00:00:00"/>
    <x v="143"/>
    <s v="Taiwan"/>
    <s v="Location 8"/>
    <n v="702.54"/>
  </r>
  <r>
    <n v="1008"/>
    <n v="129870.72"/>
    <d v="2023-01-30T00:00:00"/>
    <x v="261"/>
    <s v="Taiwan"/>
    <s v="Location 8"/>
    <n v="128.84"/>
  </r>
  <r>
    <n v="7"/>
    <n v="33406.1"/>
    <d v="2023-01-30T00:00:00"/>
    <x v="262"/>
    <s v="Taiwan"/>
    <s v="Location 8"/>
    <n v="4772.3"/>
  </r>
  <r>
    <n v="6"/>
    <n v="28633.8"/>
    <d v="2023-01-30T00:00:00"/>
    <x v="263"/>
    <s v="Taiwan"/>
    <s v="Location 8"/>
    <n v="4772.3"/>
  </r>
  <r>
    <n v="50"/>
    <n v="238615"/>
    <d v="2023-01-30T00:00:00"/>
    <x v="263"/>
    <s v="Taiwan"/>
    <s v="Location 8"/>
    <n v="4772.3"/>
  </r>
  <r>
    <n v="350"/>
    <n v="422163"/>
    <d v="2022-12-23T00:00:00"/>
    <x v="258"/>
    <s v="Taiwan"/>
    <s v="Location 8"/>
    <n v="1206.18"/>
  </r>
  <r>
    <n v="70"/>
    <n v="84432.6"/>
    <d v="2022-12-23T00:00:00"/>
    <x v="258"/>
    <s v="Taiwan"/>
    <s v="Location 8"/>
    <n v="1206.18"/>
  </r>
  <r>
    <n v="210"/>
    <n v="253297.8"/>
    <d v="2022-12-23T00:00:00"/>
    <x v="258"/>
    <s v="Taiwan"/>
    <s v="Location 8"/>
    <n v="1206.18"/>
  </r>
  <r>
    <n v="441"/>
    <n v="309820.14"/>
    <d v="2022-12-28T00:00:00"/>
    <x v="143"/>
    <s v="Taiwan"/>
    <s v="Location 8"/>
    <n v="702.54"/>
  </r>
  <r>
    <n v="147"/>
    <n v="103273.38"/>
    <d v="2023-02-01T00:00:00"/>
    <x v="143"/>
    <s v="Taiwan"/>
    <s v="Location 8"/>
    <n v="702.54"/>
  </r>
  <r>
    <n v="2646"/>
    <n v="1858920.84"/>
    <d v="2023-02-01T00:00:00"/>
    <x v="143"/>
    <s v="Taiwan"/>
    <s v="Location 8"/>
    <n v="702.54"/>
  </r>
  <r>
    <n v="4998"/>
    <n v="3511294.92"/>
    <d v="2023-02-01T00:00:00"/>
    <x v="143"/>
    <s v="Taiwan"/>
    <s v="Location 8"/>
    <n v="702.54"/>
  </r>
  <r>
    <n v="1260"/>
    <n v="10143"/>
    <d v="2022-02-04T00:00:00"/>
    <x v="255"/>
    <s v="Taiwan"/>
    <s v="Location 8"/>
    <n v="8.0500000000000007"/>
  </r>
  <r>
    <n v="3150"/>
    <n v="25357.5"/>
    <d v="2022-02-04T00:00:00"/>
    <x v="255"/>
    <s v="Taiwan"/>
    <s v="Location 8"/>
    <n v="8.0500000000000007"/>
  </r>
  <r>
    <n v="616"/>
    <n v="322543.76"/>
    <d v="2023-02-10T00:00:00"/>
    <x v="227"/>
    <s v="Taiwan"/>
    <s v="Location 8"/>
    <n v="523.61"/>
  </r>
  <r>
    <n v="882"/>
    <n v="656816.57999999996"/>
    <d v="2023-08-14T00:00:00"/>
    <x v="143"/>
    <s v="Taiwan"/>
    <s v="Location 8"/>
    <n v="744.69"/>
  </r>
  <r>
    <n v="882"/>
    <n v="656816.57999999996"/>
    <d v="2023-08-14T00:00:00"/>
    <x v="143"/>
    <s v="Taiwan"/>
    <s v="Location 8"/>
    <n v="744.69"/>
  </r>
  <r>
    <n v="882"/>
    <n v="656816.57999999996"/>
    <d v="2023-08-14T00:00:00"/>
    <x v="143"/>
    <s v="Taiwan"/>
    <s v="Location 8"/>
    <n v="744.69"/>
  </r>
  <r>
    <n v="882"/>
    <n v="656816.57999999996"/>
    <d v="2023-08-14T00:00:00"/>
    <x v="143"/>
    <s v="Taiwan"/>
    <s v="Location 8"/>
    <n v="744.69"/>
  </r>
  <r>
    <n v="630"/>
    <n v="178995.6"/>
    <d v="2023-08-14T00:00:00"/>
    <x v="264"/>
    <s v="Taiwan"/>
    <s v="Location 8"/>
    <n v="284.12"/>
  </r>
  <r>
    <n v="630"/>
    <n v="178995.6"/>
    <d v="2023-08-14T00:00:00"/>
    <x v="264"/>
    <s v="Taiwan"/>
    <s v="Location 8"/>
    <n v="284.12"/>
  </r>
  <r>
    <n v="630"/>
    <n v="178995.6"/>
    <d v="2023-08-14T00:00:00"/>
    <x v="264"/>
    <s v="Taiwan"/>
    <s v="Location 8"/>
    <n v="284.12"/>
  </r>
  <r>
    <n v="630"/>
    <n v="178995.6"/>
    <d v="2023-08-14T00:00:00"/>
    <x v="264"/>
    <s v="Taiwan"/>
    <s v="Location 8"/>
    <n v="284.12"/>
  </r>
  <r>
    <n v="630"/>
    <n v="178995.6"/>
    <d v="2023-08-14T00:00:00"/>
    <x v="264"/>
    <s v="Taiwan"/>
    <s v="Location 8"/>
    <n v="284.12"/>
  </r>
  <r>
    <n v="613"/>
    <n v="146782.85"/>
    <d v="2023-08-14T00:00:00"/>
    <x v="260"/>
    <s v="Taiwan"/>
    <s v="Location 8"/>
    <n v="239.45"/>
  </r>
  <r>
    <n v="42"/>
    <n v="10056.9"/>
    <d v="2023-08-14T00:00:00"/>
    <x v="260"/>
    <s v="Taiwan"/>
    <s v="Location 8"/>
    <n v="239.45"/>
  </r>
  <r>
    <n v="103"/>
    <n v="24663.35"/>
    <d v="2023-08-14T00:00:00"/>
    <x v="260"/>
    <s v="Taiwan"/>
    <s v="Location 8"/>
    <n v="239.45"/>
  </r>
  <r>
    <n v="42"/>
    <n v="10056.9"/>
    <d v="2023-08-14T00:00:00"/>
    <x v="260"/>
    <s v="Taiwan"/>
    <s v="Location 8"/>
    <n v="239.45"/>
  </r>
  <r>
    <n v="2520"/>
    <n v="431751.6"/>
    <d v="2023-08-14T00:00:00"/>
    <x v="265"/>
    <s v="Taiwan"/>
    <s v="Location 8"/>
    <n v="171.33"/>
  </r>
  <r>
    <n v="168"/>
    <n v="138700.79999999999"/>
    <d v="2023-08-17T00:00:00"/>
    <x v="259"/>
    <s v="Taiwan"/>
    <s v="Location 8"/>
    <n v="825.6"/>
  </r>
  <r>
    <n v="84"/>
    <n v="69350.399999999994"/>
    <d v="2023-08-17T00:00:00"/>
    <x v="259"/>
    <s v="Taiwan"/>
    <s v="Location 8"/>
    <n v="825.6"/>
  </r>
  <r>
    <n v="84"/>
    <n v="69350.399999999994"/>
    <d v="2023-08-17T00:00:00"/>
    <x v="259"/>
    <s v="Taiwan"/>
    <s v="Location 8"/>
    <n v="825.6"/>
  </r>
  <r>
    <n v="1008"/>
    <n v="123389.28"/>
    <d v="2023-08-17T00:00:00"/>
    <x v="266"/>
    <s v="Taiwan"/>
    <s v="Location 8"/>
    <n v="122.41"/>
  </r>
  <r>
    <n v="168"/>
    <n v="138700.79999999999"/>
    <d v="2023-08-18T00:00:00"/>
    <x v="259"/>
    <s v="Taiwan"/>
    <s v="Location 8"/>
    <n v="825.6"/>
  </r>
  <r>
    <n v="84"/>
    <n v="69350.399999999994"/>
    <d v="2023-08-18T00:00:00"/>
    <x v="259"/>
    <s v="Taiwan"/>
    <s v="Location 8"/>
    <n v="825.6"/>
  </r>
  <r>
    <n v="84"/>
    <n v="69350.399999999994"/>
    <d v="2023-08-18T00:00:00"/>
    <x v="259"/>
    <s v="Taiwan"/>
    <s v="Location 8"/>
    <n v="825.6"/>
  </r>
  <r>
    <n v="84"/>
    <n v="69350.399999999994"/>
    <d v="2023-08-18T00:00:00"/>
    <x v="259"/>
    <s v="Taiwan"/>
    <s v="Location 8"/>
    <n v="825.6"/>
  </r>
  <r>
    <n v="2520"/>
    <n v="431751.6"/>
    <d v="2023-02-01T00:00:00"/>
    <x v="265"/>
    <s v="Taiwan"/>
    <s v="Location 8"/>
    <n v="171.33"/>
  </r>
  <r>
    <n v="210"/>
    <n v="253297.8"/>
    <d v="2023-02-14T00:00:00"/>
    <x v="258"/>
    <s v="Taiwan"/>
    <s v="Location 8"/>
    <n v="1206.18"/>
  </r>
  <r>
    <n v="350"/>
    <n v="422163"/>
    <d v="2023-02-14T00:00:00"/>
    <x v="258"/>
    <s v="Taiwan"/>
    <s v="Location 8"/>
    <n v="1206.18"/>
  </r>
  <r>
    <n v="140"/>
    <n v="168865.2"/>
    <d v="2023-02-14T00:00:00"/>
    <x v="258"/>
    <s v="Taiwan"/>
    <s v="Location 8"/>
    <n v="1206.18"/>
  </r>
  <r>
    <n v="350"/>
    <n v="422163"/>
    <d v="2023-02-14T00:00:00"/>
    <x v="258"/>
    <s v="Taiwan"/>
    <s v="Location 8"/>
    <n v="1206.18"/>
  </r>
  <r>
    <n v="147"/>
    <n v="103273.38"/>
    <d v="2023-02-22T00:00:00"/>
    <x v="143"/>
    <s v="Taiwan"/>
    <s v="Location 8"/>
    <n v="702.54"/>
  </r>
  <r>
    <n v="42"/>
    <n v="10056.9"/>
    <d v="2023-02-23T00:00:00"/>
    <x v="260"/>
    <s v="Taiwan"/>
    <s v="Location 8"/>
    <n v="239.45"/>
  </r>
  <r>
    <n v="0"/>
    <n v="-18258.240000000002"/>
    <d v="2023-02-24T00:00:00"/>
    <x v="227"/>
    <s v="Taiwan"/>
    <s v="Location 8"/>
    <n v="0"/>
  </r>
  <r>
    <n v="108"/>
    <n v="3310.2"/>
    <d v="2023-02-24T00:00:00"/>
    <x v="267"/>
    <s v="Taiwan"/>
    <s v="Location 8"/>
    <n v="30.65"/>
  </r>
  <r>
    <n v="147"/>
    <n v="103273.38"/>
    <d v="2023-03-08T00:00:00"/>
    <x v="143"/>
    <s v="Taiwan"/>
    <s v="Location 8"/>
    <n v="702.54"/>
  </r>
  <r>
    <n v="882"/>
    <n v="619640.28"/>
    <d v="2023-03-08T00:00:00"/>
    <x v="143"/>
    <s v="Taiwan"/>
    <s v="Location 8"/>
    <n v="702.54"/>
  </r>
  <r>
    <n v="882"/>
    <n v="619640.28"/>
    <d v="2023-03-09T00:00:00"/>
    <x v="143"/>
    <s v="Taiwan"/>
    <s v="Location 8"/>
    <n v="702.54"/>
  </r>
  <r>
    <n v="1232"/>
    <n v="608571.04"/>
    <d v="2023-03-10T00:00:00"/>
    <x v="227"/>
    <s v="Taiwan"/>
    <s v="Location 8"/>
    <n v="493.97"/>
  </r>
  <r>
    <n v="616"/>
    <n v="322543.76"/>
    <d v="2023-03-10T00:00:00"/>
    <x v="227"/>
    <s v="Taiwan"/>
    <s v="Location 8"/>
    <n v="523.61"/>
  </r>
  <r>
    <n v="616"/>
    <n v="322543.76"/>
    <d v="2023-03-13T00:00:00"/>
    <x v="227"/>
    <s v="Taiwan"/>
    <s v="Location 8"/>
    <n v="523.61"/>
  </r>
  <r>
    <n v="0"/>
    <n v="18258.240000000002"/>
    <d v="2023-03-15T00:00:00"/>
    <x v="227"/>
    <s v="Taiwan"/>
    <s v="Location 8"/>
    <n v="0"/>
  </r>
  <r>
    <n v="1232"/>
    <n v="608571.04"/>
    <d v="2023-03-27T00:00:00"/>
    <x v="227"/>
    <s v="Taiwan"/>
    <s v="Location 8"/>
    <n v="493.97"/>
  </r>
  <r>
    <n v="44"/>
    <n v="183963.12"/>
    <d v="2023-03-28T00:00:00"/>
    <x v="263"/>
    <s v="Taiwan"/>
    <s v="Location 8"/>
    <n v="4180.9799999999996"/>
  </r>
  <r>
    <n v="7"/>
    <n v="29266.86"/>
    <d v="2023-03-28T00:00:00"/>
    <x v="263"/>
    <s v="Taiwan"/>
    <s v="Location 8"/>
    <n v="4180.9799999999996"/>
  </r>
  <r>
    <n v="9"/>
    <n v="37628.82"/>
    <d v="2023-03-28T00:00:00"/>
    <x v="263"/>
    <s v="Taiwan"/>
    <s v="Location 8"/>
    <n v="4180.9799999999996"/>
  </r>
  <r>
    <n v="588"/>
    <n v="413093.52"/>
    <d v="2023-03-29T00:00:00"/>
    <x v="143"/>
    <s v="Taiwan"/>
    <s v="Location 8"/>
    <n v="702.54"/>
  </r>
  <r>
    <n v="84"/>
    <n v="69350.399999999994"/>
    <d v="2023-03-31T00:00:00"/>
    <x v="259"/>
    <s v="Taiwan"/>
    <s v="Location 8"/>
    <n v="825.6"/>
  </r>
  <r>
    <n v="84"/>
    <n v="69350.399999999994"/>
    <d v="2023-03-31T00:00:00"/>
    <x v="259"/>
    <s v="Taiwan"/>
    <s v="Location 8"/>
    <n v="825.6"/>
  </r>
  <r>
    <n v="147"/>
    <n v="103273.38"/>
    <d v="2023-04-04T00:00:00"/>
    <x v="143"/>
    <s v="Taiwan"/>
    <s v="Location 8"/>
    <n v="702.54"/>
  </r>
  <r>
    <n v="441"/>
    <n v="309820.14"/>
    <d v="2023-04-06T00:00:00"/>
    <x v="143"/>
    <s v="Taiwan"/>
    <s v="Location 8"/>
    <n v="702.54"/>
  </r>
  <r>
    <n v="924"/>
    <n v="483815.64"/>
    <d v="2023-04-14T00:00:00"/>
    <x v="227"/>
    <s v="Taiwan"/>
    <s v="Location 8"/>
    <n v="523.61"/>
  </r>
  <r>
    <n v="735"/>
    <n v="516366.9"/>
    <d v="2023-04-14T00:00:00"/>
    <x v="143"/>
    <s v="Taiwan"/>
    <s v="Location 8"/>
    <n v="702.54"/>
  </r>
  <r>
    <n v="1848"/>
    <n v="967631.28"/>
    <d v="2023-04-26T00:00:00"/>
    <x v="227"/>
    <s v="Taiwan"/>
    <s v="Location 8"/>
    <n v="523.61"/>
  </r>
  <r>
    <n v="630"/>
    <n v="178995.6"/>
    <d v="2023-04-27T00:00:00"/>
    <x v="264"/>
    <s v="Taiwan"/>
    <s v="Location 8"/>
    <n v="284.12"/>
  </r>
  <r>
    <n v="630"/>
    <n v="178995.6"/>
    <d v="2023-04-27T00:00:00"/>
    <x v="264"/>
    <s v="Taiwan"/>
    <s v="Location 8"/>
    <n v="284.12"/>
  </r>
  <r>
    <n v="54"/>
    <n v="12930.3"/>
    <d v="2023-04-27T00:00:00"/>
    <x v="260"/>
    <s v="Taiwan"/>
    <s v="Location 8"/>
    <n v="239.45"/>
  </r>
  <r>
    <n v="308"/>
    <n v="161271.88"/>
    <d v="2023-04-28T00:00:00"/>
    <x v="227"/>
    <s v="Taiwan"/>
    <s v="Location 8"/>
    <n v="523.61"/>
  </r>
  <r>
    <n v="616"/>
    <n v="322543.76"/>
    <d v="2023-04-28T00:00:00"/>
    <x v="227"/>
    <s v="Taiwan"/>
    <s v="Location 8"/>
    <n v="523.61"/>
  </r>
  <r>
    <n v="108"/>
    <n v="3310.2"/>
    <d v="2023-04-28T00:00:00"/>
    <x v="267"/>
    <s v="Taiwan"/>
    <s v="Location 8"/>
    <n v="30.65"/>
  </r>
  <r>
    <n v="735"/>
    <n v="547347.15"/>
    <d v="2023-05-03T00:00:00"/>
    <x v="143"/>
    <s v="Taiwan"/>
    <s v="Location 8"/>
    <n v="744.69"/>
  </r>
  <r>
    <n v="735"/>
    <n v="516366.9"/>
    <d v="2023-05-03T00:00:00"/>
    <x v="143"/>
    <s v="Taiwan"/>
    <s v="Location 8"/>
    <n v="702.54"/>
  </r>
  <r>
    <n v="1176"/>
    <n v="875755.44"/>
    <d v="2023-05-03T00:00:00"/>
    <x v="143"/>
    <s v="Taiwan"/>
    <s v="Location 8"/>
    <n v="744.69"/>
  </r>
  <r>
    <n v="630"/>
    <n v="178995.6"/>
    <d v="2023-05-09T00:00:00"/>
    <x v="264"/>
    <s v="Taiwan"/>
    <s v="Location 8"/>
    <n v="284.12"/>
  </r>
  <r>
    <n v="630"/>
    <n v="178995.6"/>
    <d v="2023-05-09T00:00:00"/>
    <x v="264"/>
    <s v="Taiwan"/>
    <s v="Location 8"/>
    <n v="284.12"/>
  </r>
  <r>
    <n v="25"/>
    <n v="89592.5"/>
    <d v="2023-05-09T00:00:00"/>
    <x v="262"/>
    <s v="Taiwan"/>
    <s v="Location 8"/>
    <n v="3583.7"/>
  </r>
  <r>
    <n v="7"/>
    <n v="25085.9"/>
    <d v="2023-05-09T00:00:00"/>
    <x v="262"/>
    <s v="Taiwan"/>
    <s v="Location 8"/>
    <n v="3583.7"/>
  </r>
  <r>
    <n v="616"/>
    <n v="322543.76"/>
    <d v="2023-05-19T00:00:00"/>
    <x v="227"/>
    <s v="Taiwan"/>
    <s v="Location 8"/>
    <n v="523.61"/>
  </r>
  <r>
    <n v="616"/>
    <n v="322543.76"/>
    <d v="2023-05-22T00:00:00"/>
    <x v="227"/>
    <s v="Taiwan"/>
    <s v="Location 8"/>
    <n v="523.61"/>
  </r>
  <r>
    <n v="6"/>
    <n v="25085.88"/>
    <d v="2023-06-05T00:00:00"/>
    <x v="263"/>
    <s v="Taiwan"/>
    <s v="Location 8"/>
    <n v="4180.9799999999996"/>
  </r>
  <r>
    <n v="35"/>
    <n v="146334.29999999999"/>
    <d v="2023-06-05T00:00:00"/>
    <x v="263"/>
    <s v="Taiwan"/>
    <s v="Location 8"/>
    <n v="4180.9799999999996"/>
  </r>
  <r>
    <n v="7"/>
    <n v="29266.86"/>
    <d v="2023-06-05T00:00:00"/>
    <x v="263"/>
    <s v="Taiwan"/>
    <s v="Location 8"/>
    <n v="4180.9799999999996"/>
  </r>
  <r>
    <n v="924"/>
    <n v="483815.64"/>
    <d v="2023-06-06T00:00:00"/>
    <x v="227"/>
    <s v="Taiwan"/>
    <s v="Location 8"/>
    <n v="523.61"/>
  </r>
  <r>
    <n v="924"/>
    <n v="483815.64"/>
    <d v="2023-06-06T00:00:00"/>
    <x v="227"/>
    <s v="Taiwan"/>
    <s v="Location 8"/>
    <n v="523.61"/>
  </r>
  <r>
    <n v="31"/>
    <n v="111094.7"/>
    <d v="2023-06-20T00:00:00"/>
    <x v="262"/>
    <s v="Taiwan"/>
    <s v="Location 8"/>
    <n v="3583.7"/>
  </r>
  <r>
    <n v="294"/>
    <n v="218938.86"/>
    <d v="2023-06-29T00:00:00"/>
    <x v="143"/>
    <s v="Taiwan"/>
    <s v="Location 8"/>
    <n v="744.69"/>
  </r>
  <r>
    <n v="882"/>
    <n v="656816.57999999996"/>
    <d v="2023-06-29T00:00:00"/>
    <x v="143"/>
    <s v="Taiwan"/>
    <s v="Location 8"/>
    <n v="744.69"/>
  </r>
  <r>
    <n v="280"/>
    <n v="357994"/>
    <d v="2023-06-30T00:00:00"/>
    <x v="258"/>
    <s v="Taiwan"/>
    <s v="Location 8"/>
    <n v="1278.55"/>
  </r>
  <r>
    <n v="350"/>
    <n v="447492.5"/>
    <d v="2023-06-30T00:00:00"/>
    <x v="258"/>
    <s v="Taiwan"/>
    <s v="Location 8"/>
    <n v="1278.55"/>
  </r>
  <r>
    <n v="1470"/>
    <n v="1094694.3"/>
    <d v="2023-06-30T00:00:00"/>
    <x v="143"/>
    <s v="Taiwan"/>
    <s v="Location 8"/>
    <n v="744.69"/>
  </r>
  <r>
    <n v="882"/>
    <n v="656816.57999999996"/>
    <d v="2023-06-30T00:00:00"/>
    <x v="143"/>
    <s v="Taiwan"/>
    <s v="Location 8"/>
    <n v="744.69"/>
  </r>
  <r>
    <n v="882"/>
    <n v="656816.57999999996"/>
    <d v="2023-06-30T00:00:00"/>
    <x v="143"/>
    <s v="Taiwan"/>
    <s v="Location 8"/>
    <n v="744.69"/>
  </r>
  <r>
    <n v="882"/>
    <n v="656816.57999999996"/>
    <d v="2023-06-30T00:00:00"/>
    <x v="143"/>
    <s v="Taiwan"/>
    <s v="Location 8"/>
    <n v="744.69"/>
  </r>
  <r>
    <n v="882"/>
    <n v="656816.57999999996"/>
    <d v="2023-06-30T00:00:00"/>
    <x v="143"/>
    <s v="Taiwan"/>
    <s v="Location 8"/>
    <n v="744.69"/>
  </r>
  <r>
    <n v="735"/>
    <n v="547347.15"/>
    <d v="2023-07-03T00:00:00"/>
    <x v="143"/>
    <s v="Taiwan"/>
    <s v="Location 8"/>
    <n v="744.69"/>
  </r>
  <r>
    <n v="735"/>
    <n v="547347.15"/>
    <d v="2023-07-04T00:00:00"/>
    <x v="143"/>
    <s v="Taiwan"/>
    <s v="Location 8"/>
    <n v="744.69"/>
  </r>
  <r>
    <n v="882"/>
    <n v="656816.57999999996"/>
    <d v="2023-07-05T00:00:00"/>
    <x v="143"/>
    <s v="Taiwan"/>
    <s v="Location 8"/>
    <n v="744.69"/>
  </r>
  <r>
    <n v="43"/>
    <n v="179782.14"/>
    <d v="2023-07-06T00:00:00"/>
    <x v="263"/>
    <s v="Taiwan"/>
    <s v="Location 8"/>
    <n v="4180.9799999999996"/>
  </r>
  <r>
    <n v="41"/>
    <n v="171420.18"/>
    <d v="2023-07-06T00:00:00"/>
    <x v="263"/>
    <s v="Taiwan"/>
    <s v="Location 8"/>
    <n v="4180.9799999999996"/>
  </r>
  <r>
    <n v="882"/>
    <n v="656816.57999999996"/>
    <d v="2023-07-14T00:00:00"/>
    <x v="143"/>
    <s v="Taiwan"/>
    <s v="Location 8"/>
    <n v="744.69"/>
  </r>
  <r>
    <n v="882"/>
    <n v="656816.57999999996"/>
    <d v="2023-07-18T00:00:00"/>
    <x v="143"/>
    <s v="Taiwan"/>
    <s v="Location 8"/>
    <n v="744.69"/>
  </r>
  <r>
    <n v="1540"/>
    <n v="806359.4"/>
    <d v="2023-07-25T00:00:00"/>
    <x v="227"/>
    <s v="Taiwan"/>
    <s v="Location 8"/>
    <n v="523.61"/>
  </r>
  <r>
    <n v="350"/>
    <n v="447492.5"/>
    <d v="2023-07-26T00:00:00"/>
    <x v="258"/>
    <s v="Taiwan"/>
    <s v="Location 8"/>
    <n v="1278.55"/>
  </r>
  <r>
    <n v="308"/>
    <n v="161271.88"/>
    <d v="2023-07-26T00:00:00"/>
    <x v="227"/>
    <s v="Taiwan"/>
    <s v="Location 8"/>
    <n v="523.61"/>
  </r>
  <r>
    <n v="147"/>
    <n v="109469.43"/>
    <d v="2023-07-28T00:00:00"/>
    <x v="143"/>
    <s v="Taiwan"/>
    <s v="Location 8"/>
    <n v="744.69"/>
  </r>
  <r>
    <n v="735"/>
    <n v="547347.15"/>
    <d v="2023-08-01T00:00:00"/>
    <x v="143"/>
    <s v="Taiwan"/>
    <s v="Location 8"/>
    <n v="744.69"/>
  </r>
  <r>
    <n v="441"/>
    <n v="328408.28999999998"/>
    <d v="2023-08-01T00:00:00"/>
    <x v="143"/>
    <s v="Taiwan"/>
    <s v="Location 8"/>
    <n v="744.69"/>
  </r>
  <r>
    <n v="210"/>
    <n v="268495.5"/>
    <d v="2023-08-02T00:00:00"/>
    <x v="258"/>
    <s v="Taiwan"/>
    <s v="Location 8"/>
    <n v="1278.55"/>
  </r>
  <r>
    <n v="140"/>
    <n v="178997"/>
    <d v="2023-08-02T00:00:00"/>
    <x v="258"/>
    <s v="Taiwan"/>
    <s v="Location 8"/>
    <n v="1278.55"/>
  </r>
  <r>
    <n v="210"/>
    <n v="268495.5"/>
    <d v="2023-08-02T00:00:00"/>
    <x v="258"/>
    <s v="Taiwan"/>
    <s v="Location 8"/>
    <n v="1278.55"/>
  </r>
  <r>
    <n v="280"/>
    <n v="357994"/>
    <d v="2023-08-02T00:00:00"/>
    <x v="258"/>
    <s v="Taiwan"/>
    <s v="Location 8"/>
    <n v="1278.55"/>
  </r>
  <r>
    <n v="70"/>
    <n v="89498.5"/>
    <d v="2023-08-02T00:00:00"/>
    <x v="258"/>
    <s v="Taiwan"/>
    <s v="Location 8"/>
    <n v="1278.55"/>
  </r>
  <r>
    <n v="3430"/>
    <n v="1475.93"/>
    <d v="2022-04-12T00:00:00"/>
    <x v="229"/>
    <s v="Romania"/>
    <s v="Location 6"/>
    <n v="0.43030000000000002"/>
  </r>
  <r>
    <n v="84"/>
    <n v="35363.160000000003"/>
    <d v="2022-04-20T00:00:00"/>
    <x v="231"/>
    <s v="Romania"/>
    <s v="Location 6"/>
    <n v="420.99"/>
  </r>
  <r>
    <n v="120"/>
    <n v="21718.799999999999"/>
    <d v="2022-09-02T00:00:00"/>
    <x v="268"/>
    <s v="Romania"/>
    <s v="Location 6"/>
    <n v="180.99"/>
  </r>
  <r>
    <n v="1820"/>
    <n v="4313.3999999999996"/>
    <d v="2022-09-08T00:00:00"/>
    <x v="161"/>
    <s v="Romania"/>
    <s v="Location 6"/>
    <n v="2.37"/>
  </r>
  <r>
    <n v="588"/>
    <n v="54666.36"/>
    <d v="2022-09-09T00:00:00"/>
    <x v="158"/>
    <s v="Romania"/>
    <s v="Location 6"/>
    <n v="92.97"/>
  </r>
  <r>
    <n v="229"/>
    <n v="3135.01"/>
    <d v="2022-09-13T00:00:00"/>
    <x v="269"/>
    <s v="Romania"/>
    <s v="Location 6"/>
    <n v="13.69"/>
  </r>
  <r>
    <n v="1820"/>
    <n v="4113.2"/>
    <d v="2022-09-16T00:00:00"/>
    <x v="257"/>
    <s v="Romania"/>
    <s v="Location 6"/>
    <n v="2.2599999999999998"/>
  </r>
  <r>
    <n v="1820"/>
    <n v="4113.2"/>
    <d v="2022-09-16T00:00:00"/>
    <x v="257"/>
    <s v="Romania"/>
    <s v="Location 6"/>
    <n v="2.2599999999999998"/>
  </r>
  <r>
    <n v="1820"/>
    <n v="4113.2"/>
    <d v="2022-09-16T00:00:00"/>
    <x v="257"/>
    <s v="Romania"/>
    <s v="Location 6"/>
    <n v="2.2599999999999998"/>
  </r>
  <r>
    <n v="17"/>
    <n v="232.73"/>
    <d v="2022-09-16T00:00:00"/>
    <x v="269"/>
    <s v="Romania"/>
    <s v="Location 6"/>
    <n v="13.69"/>
  </r>
  <r>
    <n v="205"/>
    <n v="2806.45"/>
    <d v="2022-09-16T00:00:00"/>
    <x v="269"/>
    <s v="Romania"/>
    <s v="Location 6"/>
    <n v="13.69"/>
  </r>
  <r>
    <n v="222"/>
    <n v="3039.18"/>
    <d v="2022-09-16T00:00:00"/>
    <x v="269"/>
    <s v="Romania"/>
    <s v="Location 6"/>
    <n v="13.69"/>
  </r>
  <r>
    <n v="132"/>
    <n v="1807.08"/>
    <d v="2022-09-16T00:00:00"/>
    <x v="269"/>
    <s v="Romania"/>
    <s v="Location 6"/>
    <n v="13.69"/>
  </r>
  <r>
    <n v="400"/>
    <n v="5476"/>
    <d v="2022-09-16T00:00:00"/>
    <x v="269"/>
    <s v="Romania"/>
    <s v="Location 6"/>
    <n v="13.69"/>
  </r>
  <r>
    <n v="24"/>
    <n v="328.56"/>
    <d v="2022-09-16T00:00:00"/>
    <x v="269"/>
    <s v="Romania"/>
    <s v="Location 6"/>
    <n v="13.69"/>
  </r>
  <r>
    <n v="268"/>
    <n v="3668.92"/>
    <d v="2022-09-19T00:00:00"/>
    <x v="269"/>
    <s v="Romania"/>
    <s v="Location 6"/>
    <n v="13.69"/>
  </r>
  <r>
    <n v="222"/>
    <n v="3039.18"/>
    <d v="2022-09-21T00:00:00"/>
    <x v="269"/>
    <s v="Romania"/>
    <s v="Location 6"/>
    <n v="13.69"/>
  </r>
  <r>
    <n v="320"/>
    <n v="4380.8"/>
    <d v="2022-09-21T00:00:00"/>
    <x v="269"/>
    <s v="Romania"/>
    <s v="Location 6"/>
    <n v="13.69"/>
  </r>
  <r>
    <n v="438"/>
    <n v="5996.22"/>
    <d v="2022-09-21T00:00:00"/>
    <x v="269"/>
    <s v="Romania"/>
    <s v="Location 6"/>
    <n v="13.69"/>
  </r>
  <r>
    <n v="7"/>
    <n v="95.83"/>
    <d v="2022-09-21T00:00:00"/>
    <x v="269"/>
    <s v="Romania"/>
    <s v="Location 6"/>
    <n v="13.69"/>
  </r>
  <r>
    <n v="209"/>
    <n v="2861.21"/>
    <d v="2022-09-21T00:00:00"/>
    <x v="269"/>
    <s v="Romania"/>
    <s v="Location 6"/>
    <n v="13.69"/>
  </r>
  <r>
    <n v="13"/>
    <n v="177.97"/>
    <d v="2022-09-21T00:00:00"/>
    <x v="269"/>
    <s v="Romania"/>
    <s v="Location 6"/>
    <n v="13.69"/>
  </r>
  <r>
    <n v="252"/>
    <n v="106089.48"/>
    <d v="2022-09-28T00:00:00"/>
    <x v="231"/>
    <s v="Romania"/>
    <s v="Location 6"/>
    <n v="420.99"/>
  </r>
  <r>
    <n v="252"/>
    <n v="106089.48"/>
    <d v="2022-09-28T00:00:00"/>
    <x v="231"/>
    <s v="Romania"/>
    <s v="Location 6"/>
    <n v="420.99"/>
  </r>
  <r>
    <n v="252"/>
    <n v="106089.48"/>
    <d v="2022-09-28T00:00:00"/>
    <x v="231"/>
    <s v="Romania"/>
    <s v="Location 6"/>
    <n v="420.99"/>
  </r>
  <r>
    <n v="168"/>
    <n v="70726.320000000007"/>
    <d v="2022-09-28T00:00:00"/>
    <x v="231"/>
    <s v="Romania"/>
    <s v="Location 6"/>
    <n v="420.99"/>
  </r>
  <r>
    <n v="84"/>
    <n v="35363.160000000003"/>
    <d v="2022-09-29T00:00:00"/>
    <x v="231"/>
    <s v="Romania"/>
    <s v="Location 6"/>
    <n v="420.99"/>
  </r>
  <r>
    <n v="252"/>
    <n v="106089.48"/>
    <d v="2022-09-29T00:00:00"/>
    <x v="231"/>
    <s v="Romania"/>
    <s v="Location 6"/>
    <n v="420.99"/>
  </r>
  <r>
    <n v="168"/>
    <n v="70726.320000000007"/>
    <d v="2022-09-29T00:00:00"/>
    <x v="231"/>
    <s v="Romania"/>
    <s v="Location 6"/>
    <n v="420.99"/>
  </r>
  <r>
    <n v="252"/>
    <n v="106089.48"/>
    <d v="2022-09-30T00:00:00"/>
    <x v="231"/>
    <s v="Romania"/>
    <s v="Location 6"/>
    <n v="420.99"/>
  </r>
  <r>
    <n v="432"/>
    <n v="83177.279999999999"/>
    <d v="2022-10-03T00:00:00"/>
    <x v="270"/>
    <s v="Romania"/>
    <s v="Location 6"/>
    <n v="192.54"/>
  </r>
  <r>
    <n v="84"/>
    <n v="54459.72"/>
    <d v="2022-10-03T00:00:00"/>
    <x v="271"/>
    <s v="Romania"/>
    <s v="Location 6"/>
    <n v="648.33000000000004"/>
  </r>
  <r>
    <n v="84"/>
    <n v="54459.72"/>
    <d v="2022-10-03T00:00:00"/>
    <x v="271"/>
    <s v="Romania"/>
    <s v="Location 6"/>
    <n v="648.33000000000004"/>
  </r>
  <r>
    <n v="1120"/>
    <n v="58699.199999999997"/>
    <d v="2022-10-03T00:00:00"/>
    <x v="189"/>
    <s v="Romania"/>
    <s v="Location 6"/>
    <n v="52.41"/>
  </r>
  <r>
    <n v="1120"/>
    <n v="58699.199999999997"/>
    <d v="2022-10-03T00:00:00"/>
    <x v="189"/>
    <s v="Romania"/>
    <s v="Location 6"/>
    <n v="52.41"/>
  </r>
  <r>
    <n v="1120"/>
    <n v="58699.199999999997"/>
    <d v="2022-10-03T00:00:00"/>
    <x v="189"/>
    <s v="Romania"/>
    <s v="Location 6"/>
    <n v="52.41"/>
  </r>
  <r>
    <n v="1120"/>
    <n v="58699.199999999997"/>
    <d v="2022-10-03T00:00:00"/>
    <x v="189"/>
    <s v="Romania"/>
    <s v="Location 6"/>
    <n v="52.41"/>
  </r>
  <r>
    <n v="1120"/>
    <n v="58699.199999999997"/>
    <d v="2022-10-03T00:00:00"/>
    <x v="189"/>
    <s v="Romania"/>
    <s v="Location 6"/>
    <n v="52.41"/>
  </r>
  <r>
    <n v="1120"/>
    <n v="58699.199999999997"/>
    <d v="2022-10-03T00:00:00"/>
    <x v="189"/>
    <s v="Romania"/>
    <s v="Location 6"/>
    <n v="52.41"/>
  </r>
  <r>
    <n v="1820"/>
    <n v="4313.3999999999996"/>
    <d v="2022-10-05T00:00:00"/>
    <x v="161"/>
    <s v="Romania"/>
    <s v="Location 6"/>
    <n v="2.37"/>
  </r>
  <r>
    <n v="1120"/>
    <n v="58699.199999999997"/>
    <d v="2022-10-05T00:00:00"/>
    <x v="189"/>
    <s v="Romania"/>
    <s v="Location 6"/>
    <n v="52.41"/>
  </r>
  <r>
    <n v="1120"/>
    <n v="58699.199999999997"/>
    <d v="2022-10-05T00:00:00"/>
    <x v="189"/>
    <s v="Romania"/>
    <s v="Location 6"/>
    <n v="52.41"/>
  </r>
  <r>
    <n v="1120"/>
    <n v="7560"/>
    <d v="2022-10-05T00:00:00"/>
    <x v="272"/>
    <s v="Romania"/>
    <s v="Location 6"/>
    <n v="6.75"/>
  </r>
  <r>
    <n v="420"/>
    <n v="4141.2"/>
    <d v="2022-10-10T00:00:00"/>
    <x v="273"/>
    <s v="Romania"/>
    <s v="Location 6"/>
    <n v="9.86"/>
  </r>
  <r>
    <n v="3780"/>
    <n v="52466.400000000001"/>
    <d v="2022-10-11T00:00:00"/>
    <x v="182"/>
    <s v="Romania"/>
    <s v="Location 6"/>
    <n v="13.88"/>
  </r>
  <r>
    <n v="120"/>
    <n v="21718.799999999999"/>
    <d v="2023-01-04T00:00:00"/>
    <x v="268"/>
    <s v="Romania"/>
    <s v="Location 6"/>
    <n v="180.99"/>
  </r>
  <r>
    <n v="588"/>
    <n v="128813.16"/>
    <d v="2022-10-19T00:00:00"/>
    <x v="274"/>
    <s v="Romania"/>
    <s v="Location 6"/>
    <n v="219.07"/>
  </r>
  <r>
    <n v="1120"/>
    <n v="58699.199999999997"/>
    <d v="2022-10-21T00:00:00"/>
    <x v="189"/>
    <s v="Romania"/>
    <s v="Location 6"/>
    <n v="52.41"/>
  </r>
  <r>
    <n v="3780"/>
    <n v="52466.400000000001"/>
    <d v="2022-10-25T00:00:00"/>
    <x v="182"/>
    <s v="Romania"/>
    <s v="Location 6"/>
    <n v="13.88"/>
  </r>
  <r>
    <n v="1008"/>
    <n v="44956.800000000003"/>
    <d v="2022-10-26T00:00:00"/>
    <x v="243"/>
    <s v="Romania"/>
    <s v="Location 6"/>
    <n v="44.6"/>
  </r>
  <r>
    <n v="120"/>
    <n v="21718.799999999999"/>
    <d v="2022-10-28T00:00:00"/>
    <x v="268"/>
    <s v="Romania"/>
    <s v="Location 6"/>
    <n v="180.99"/>
  </r>
  <r>
    <n v="588"/>
    <n v="128813.16"/>
    <d v="2022-11-03T00:00:00"/>
    <x v="274"/>
    <s v="Romania"/>
    <s v="Location 6"/>
    <n v="219.07"/>
  </r>
  <r>
    <n v="420"/>
    <n v="4141.2"/>
    <d v="2022-11-17T00:00:00"/>
    <x v="273"/>
    <s v="Romania"/>
    <s v="Location 6"/>
    <n v="9.86"/>
  </r>
  <r>
    <n v="1120"/>
    <n v="58699.199999999997"/>
    <d v="2022-11-18T00:00:00"/>
    <x v="189"/>
    <s v="Romania"/>
    <s v="Location 6"/>
    <n v="52.41"/>
  </r>
  <r>
    <n v="420"/>
    <n v="4141.2"/>
    <d v="2022-11-29T00:00:00"/>
    <x v="273"/>
    <s v="Romania"/>
    <s v="Location 6"/>
    <n v="9.86"/>
  </r>
  <r>
    <n v="308"/>
    <n v="18415.32"/>
    <d v="2022-12-01T00:00:00"/>
    <x v="275"/>
    <s v="Romania"/>
    <s v="Location 6"/>
    <n v="59.79"/>
  </r>
  <r>
    <n v="50"/>
    <n v="37927.5"/>
    <d v="2022-12-02T00:00:00"/>
    <x v="276"/>
    <s v="Romania"/>
    <s v="Location 6"/>
    <n v="758.55"/>
  </r>
  <r>
    <n v="9"/>
    <n v="6826.95"/>
    <d v="2022-12-06T00:00:00"/>
    <x v="276"/>
    <s v="Romania"/>
    <s v="Location 6"/>
    <n v="758.55"/>
  </r>
  <r>
    <n v="348"/>
    <n v="12604.56"/>
    <d v="2022-05-27T00:00:00"/>
    <x v="251"/>
    <s v="Romania"/>
    <s v="Location 6"/>
    <n v="36.22"/>
  </r>
  <r>
    <n v="348"/>
    <n v="12604.56"/>
    <d v="2022-05-27T00:00:00"/>
    <x v="251"/>
    <s v="Romania"/>
    <s v="Location 6"/>
    <n v="36.22"/>
  </r>
  <r>
    <n v="147"/>
    <n v="51078.09"/>
    <d v="2022-06-28T00:00:00"/>
    <x v="143"/>
    <s v="Romania"/>
    <s v="Location 6"/>
    <n v="347.47"/>
  </r>
  <r>
    <n v="334"/>
    <n v="12097.48"/>
    <d v="2022-06-29T00:00:00"/>
    <x v="251"/>
    <s v="Romania"/>
    <s v="Location 6"/>
    <n v="36.22"/>
  </r>
  <r>
    <n v="588"/>
    <n v="135869.16"/>
    <d v="2023-08-11T00:00:00"/>
    <x v="274"/>
    <s v="Romania"/>
    <s v="Location 6"/>
    <n v="231.07"/>
  </r>
  <r>
    <n v="420"/>
    <n v="4363.8"/>
    <d v="2023-08-15T00:00:00"/>
    <x v="273"/>
    <s v="Romania"/>
    <s v="Location 6"/>
    <n v="10.39"/>
  </r>
  <r>
    <n v="420"/>
    <n v="4363.8"/>
    <d v="2023-08-15T00:00:00"/>
    <x v="273"/>
    <s v="Romania"/>
    <s v="Location 6"/>
    <n v="10.39"/>
  </r>
  <r>
    <n v="70"/>
    <n v="35321.300000000003"/>
    <d v="2023-08-28T00:00:00"/>
    <x v="277"/>
    <s v="Romania"/>
    <s v="Location 6"/>
    <n v="504.59"/>
  </r>
  <r>
    <n v="70"/>
    <n v="35321.300000000003"/>
    <d v="2023-08-29T00:00:00"/>
    <x v="277"/>
    <s v="Romania"/>
    <s v="Location 6"/>
    <n v="504.59"/>
  </r>
  <r>
    <n v="252"/>
    <n v="6226.92"/>
    <d v="2023-08-30T00:00:00"/>
    <x v="152"/>
    <s v="Romania"/>
    <s v="Location 6"/>
    <n v="24.71"/>
  </r>
  <r>
    <n v="463"/>
    <n v="45633.279999999999"/>
    <d v="2023-09-06T00:00:00"/>
    <x v="158"/>
    <s v="Romania"/>
    <s v="Location 6"/>
    <n v="98.56"/>
  </r>
  <r>
    <n v="166"/>
    <n v="118582.1"/>
    <d v="2023-09-06T00:00:00"/>
    <x v="276"/>
    <s v="Romania"/>
    <s v="Location 6"/>
    <n v="714.35"/>
  </r>
  <r>
    <n v="216"/>
    <n v="154299.6"/>
    <d v="2023-09-06T00:00:00"/>
    <x v="276"/>
    <s v="Romania"/>
    <s v="Location 6"/>
    <n v="714.35"/>
  </r>
  <r>
    <n v="216"/>
    <n v="154299.6"/>
    <d v="2023-09-06T00:00:00"/>
    <x v="276"/>
    <s v="Romania"/>
    <s v="Location 6"/>
    <n v="714.35"/>
  </r>
  <r>
    <n v="14"/>
    <n v="10000.9"/>
    <d v="2023-09-06T00:00:00"/>
    <x v="276"/>
    <s v="Romania"/>
    <s v="Location 6"/>
    <n v="714.35"/>
  </r>
  <r>
    <n v="11"/>
    <n v="8344.0499999999993"/>
    <d v="2023-01-13T00:00:00"/>
    <x v="276"/>
    <s v="Romania"/>
    <s v="Location 6"/>
    <n v="758.55"/>
  </r>
  <r>
    <n v="84"/>
    <n v="57440.04"/>
    <d v="2023-01-16T00:00:00"/>
    <x v="271"/>
    <s v="Romania"/>
    <s v="Location 6"/>
    <n v="683.81"/>
  </r>
  <r>
    <n v="120"/>
    <n v="21718.799999999999"/>
    <d v="2023-01-19T00:00:00"/>
    <x v="268"/>
    <s v="Romania"/>
    <s v="Location 6"/>
    <n v="180.99"/>
  </r>
  <r>
    <n v="180"/>
    <n v="128583"/>
    <d v="2023-01-19T00:00:00"/>
    <x v="276"/>
    <s v="Romania"/>
    <s v="Location 6"/>
    <n v="714.35"/>
  </r>
  <r>
    <n v="180"/>
    <n v="128583"/>
    <d v="2023-01-19T00:00:00"/>
    <x v="276"/>
    <s v="Romania"/>
    <s v="Location 6"/>
    <n v="714.35"/>
  </r>
  <r>
    <n v="36"/>
    <n v="25716.6"/>
    <d v="2023-01-19T00:00:00"/>
    <x v="276"/>
    <s v="Romania"/>
    <s v="Location 6"/>
    <n v="714.35"/>
  </r>
  <r>
    <n v="216"/>
    <n v="154299.6"/>
    <d v="2023-01-19T00:00:00"/>
    <x v="276"/>
    <s v="Romania"/>
    <s v="Location 6"/>
    <n v="714.35"/>
  </r>
  <r>
    <n v="32"/>
    <n v="22859.200000000001"/>
    <d v="2023-01-19T00:00:00"/>
    <x v="276"/>
    <s v="Romania"/>
    <s v="Location 6"/>
    <n v="714.35"/>
  </r>
  <r>
    <n v="144"/>
    <n v="102866.4"/>
    <d v="2023-01-19T00:00:00"/>
    <x v="276"/>
    <s v="Romania"/>
    <s v="Location 6"/>
    <n v="714.35"/>
  </r>
  <r>
    <n v="108"/>
    <n v="77149.8"/>
    <d v="2023-01-19T00:00:00"/>
    <x v="276"/>
    <s v="Romania"/>
    <s v="Location 6"/>
    <n v="714.35"/>
  </r>
  <r>
    <n v="180"/>
    <n v="128583"/>
    <d v="2023-01-19T00:00:00"/>
    <x v="276"/>
    <s v="Romania"/>
    <s v="Location 6"/>
    <n v="714.35"/>
  </r>
  <r>
    <n v="216"/>
    <n v="154299.6"/>
    <d v="2023-01-19T00:00:00"/>
    <x v="276"/>
    <s v="Romania"/>
    <s v="Location 6"/>
    <n v="714.35"/>
  </r>
  <r>
    <n v="144"/>
    <n v="102866.4"/>
    <d v="2023-01-19T00:00:00"/>
    <x v="276"/>
    <s v="Romania"/>
    <s v="Location 6"/>
    <n v="714.35"/>
  </r>
  <r>
    <n v="180"/>
    <n v="128583"/>
    <d v="2023-01-19T00:00:00"/>
    <x v="276"/>
    <s v="Romania"/>
    <s v="Location 6"/>
    <n v="714.35"/>
  </r>
  <r>
    <n v="216"/>
    <n v="154299.6"/>
    <d v="2023-01-19T00:00:00"/>
    <x v="276"/>
    <s v="Romania"/>
    <s v="Location 6"/>
    <n v="714.35"/>
  </r>
  <r>
    <n v="180"/>
    <n v="128583"/>
    <d v="2023-01-19T00:00:00"/>
    <x v="276"/>
    <s v="Romania"/>
    <s v="Location 6"/>
    <n v="714.35"/>
  </r>
  <r>
    <n v="432"/>
    <n v="87730.559999999998"/>
    <d v="2023-01-26T00:00:00"/>
    <x v="270"/>
    <s v="Romania"/>
    <s v="Location 6"/>
    <n v="203.08"/>
  </r>
  <r>
    <n v="1820"/>
    <n v="4313.3999999999996"/>
    <d v="2023-01-26T00:00:00"/>
    <x v="161"/>
    <s v="Romania"/>
    <s v="Location 6"/>
    <n v="2.37"/>
  </r>
  <r>
    <n v="588"/>
    <n v="128813.16"/>
    <d v="2023-01-26T00:00:00"/>
    <x v="274"/>
    <s v="Romania"/>
    <s v="Location 6"/>
    <n v="219.07"/>
  </r>
  <r>
    <n v="120"/>
    <n v="23022"/>
    <d v="2023-01-26T00:00:00"/>
    <x v="268"/>
    <s v="Romania"/>
    <s v="Location 6"/>
    <n v="191.85"/>
  </r>
  <r>
    <n v="160"/>
    <n v="114296"/>
    <d v="2023-01-26T00:00:00"/>
    <x v="276"/>
    <s v="Romania"/>
    <s v="Location 6"/>
    <n v="714.35"/>
  </r>
  <r>
    <n v="940"/>
    <n v="1541.6"/>
    <d v="2023-01-27T00:00:00"/>
    <x v="278"/>
    <s v="Romania"/>
    <s v="Location 6"/>
    <n v="1.64"/>
  </r>
  <r>
    <n v="7"/>
    <n v="101.08"/>
    <d v="2023-02-06T00:00:00"/>
    <x v="269"/>
    <s v="Romania"/>
    <s v="Location 6"/>
    <n v="14.44"/>
  </r>
  <r>
    <n v="20"/>
    <n v="14287"/>
    <d v="2023-02-06T00:00:00"/>
    <x v="276"/>
    <s v="Romania"/>
    <s v="Location 6"/>
    <n v="714.35"/>
  </r>
  <r>
    <n v="222"/>
    <n v="3205.68"/>
    <d v="2023-02-08T00:00:00"/>
    <x v="269"/>
    <s v="Romania"/>
    <s v="Location 6"/>
    <n v="14.44"/>
  </r>
  <r>
    <n v="144"/>
    <n v="102866.4"/>
    <d v="2023-02-08T00:00:00"/>
    <x v="276"/>
    <s v="Romania"/>
    <s v="Location 6"/>
    <n v="714.35"/>
  </r>
  <r>
    <n v="252"/>
    <n v="180016.2"/>
    <d v="2023-02-08T00:00:00"/>
    <x v="276"/>
    <s v="Romania"/>
    <s v="Location 6"/>
    <n v="714.35"/>
  </r>
  <r>
    <n v="12100"/>
    <n v="68728"/>
    <d v="2023-02-09T00:00:00"/>
    <x v="246"/>
    <s v="Romania"/>
    <s v="Location 6"/>
    <n v="5.68"/>
  </r>
  <r>
    <n v="252"/>
    <n v="106089.48"/>
    <d v="2023-02-14T00:00:00"/>
    <x v="231"/>
    <s v="Romania"/>
    <s v="Location 6"/>
    <n v="420.99"/>
  </r>
  <r>
    <n v="86"/>
    <n v="61434.1"/>
    <d v="2023-02-15T00:00:00"/>
    <x v="276"/>
    <s v="Romania"/>
    <s v="Location 6"/>
    <n v="714.35"/>
  </r>
  <r>
    <n v="1120"/>
    <n v="1836.8"/>
    <d v="2023-02-22T00:00:00"/>
    <x v="278"/>
    <s v="Romania"/>
    <s v="Location 6"/>
    <n v="1.64"/>
  </r>
  <r>
    <n v="1512"/>
    <n v="455686.56"/>
    <d v="2023-02-22T00:00:00"/>
    <x v="279"/>
    <s v="Romania"/>
    <s v="Location 6"/>
    <n v="301.38"/>
  </r>
  <r>
    <n v="308"/>
    <n v="18014.919999999998"/>
    <d v="2023-02-22T00:00:00"/>
    <x v="275"/>
    <s v="Romania"/>
    <s v="Location 6"/>
    <n v="58.49"/>
  </r>
  <r>
    <n v="432"/>
    <n v="87730.559999999998"/>
    <d v="2023-03-03T00:00:00"/>
    <x v="270"/>
    <s v="Romania"/>
    <s v="Location 6"/>
    <n v="203.08"/>
  </r>
  <r>
    <n v="432"/>
    <n v="87730.559999999998"/>
    <d v="2023-03-15T00:00:00"/>
    <x v="270"/>
    <s v="Romania"/>
    <s v="Location 6"/>
    <n v="203.08"/>
  </r>
  <r>
    <n v="432"/>
    <n v="87730.559999999998"/>
    <d v="2023-03-15T00:00:00"/>
    <x v="270"/>
    <s v="Romania"/>
    <s v="Location 6"/>
    <n v="203.08"/>
  </r>
  <r>
    <n v="84"/>
    <n v="57440.04"/>
    <d v="2023-03-15T00:00:00"/>
    <x v="271"/>
    <s v="Romania"/>
    <s v="Location 6"/>
    <n v="683.81"/>
  </r>
  <r>
    <n v="216"/>
    <n v="154299.6"/>
    <d v="2023-03-21T00:00:00"/>
    <x v="276"/>
    <s v="Romania"/>
    <s v="Location 6"/>
    <n v="714.35"/>
  </r>
  <r>
    <n v="180"/>
    <n v="295.2"/>
    <d v="2023-03-22T00:00:00"/>
    <x v="278"/>
    <s v="Romania"/>
    <s v="Location 6"/>
    <n v="1.64"/>
  </r>
  <r>
    <n v="940"/>
    <n v="1541.6"/>
    <d v="2023-03-22T00:00:00"/>
    <x v="278"/>
    <s v="Romania"/>
    <s v="Location 6"/>
    <n v="1.64"/>
  </r>
  <r>
    <n v="15876"/>
    <n v="90175.679999999993"/>
    <d v="2023-03-23T00:00:00"/>
    <x v="246"/>
    <s v="Romania"/>
    <s v="Location 6"/>
    <n v="5.68"/>
  </r>
  <r>
    <n v="432"/>
    <n v="87730.559999999998"/>
    <d v="2023-03-27T00:00:00"/>
    <x v="270"/>
    <s v="Romania"/>
    <s v="Location 6"/>
    <n v="203.08"/>
  </r>
  <r>
    <n v="432"/>
    <n v="87730.559999999998"/>
    <d v="2023-04-04T00:00:00"/>
    <x v="270"/>
    <s v="Romania"/>
    <s v="Location 6"/>
    <n v="203.08"/>
  </r>
  <r>
    <n v="588"/>
    <n v="57953.279999999999"/>
    <d v="2023-04-11T00:00:00"/>
    <x v="158"/>
    <s v="Romania"/>
    <s v="Location 6"/>
    <n v="98.56"/>
  </r>
  <r>
    <n v="432"/>
    <n v="87730.559999999998"/>
    <d v="2023-04-18T00:00:00"/>
    <x v="270"/>
    <s v="Romania"/>
    <s v="Location 6"/>
    <n v="203.08"/>
  </r>
  <r>
    <n v="432"/>
    <n v="87730.559999999998"/>
    <d v="2023-04-18T00:00:00"/>
    <x v="270"/>
    <s v="Romania"/>
    <s v="Location 6"/>
    <n v="203.08"/>
  </r>
  <r>
    <n v="58"/>
    <n v="41432.300000000003"/>
    <d v="2023-05-25T00:00:00"/>
    <x v="276"/>
    <s v="Romania"/>
    <s v="Location 6"/>
    <n v="714.35"/>
  </r>
  <r>
    <n v="158"/>
    <n v="112867.3"/>
    <d v="2023-05-25T00:00:00"/>
    <x v="276"/>
    <s v="Romania"/>
    <s v="Location 6"/>
    <n v="714.35"/>
  </r>
  <r>
    <n v="1820"/>
    <n v="4368"/>
    <d v="2023-06-01T00:00:00"/>
    <x v="257"/>
    <s v="Romania"/>
    <s v="Location 6"/>
    <n v="2.4"/>
  </r>
  <r>
    <n v="158"/>
    <n v="112867.3"/>
    <d v="2023-06-01T00:00:00"/>
    <x v="276"/>
    <s v="Romania"/>
    <s v="Location 6"/>
    <n v="714.35"/>
  </r>
  <r>
    <n v="1820"/>
    <n v="4568.2"/>
    <d v="2023-06-12T00:00:00"/>
    <x v="161"/>
    <s v="Romania"/>
    <s v="Location 6"/>
    <n v="2.5099999999999998"/>
  </r>
  <r>
    <n v="1820"/>
    <n v="4568.2"/>
    <d v="2023-06-12T00:00:00"/>
    <x v="161"/>
    <s v="Romania"/>
    <s v="Location 6"/>
    <n v="2.5099999999999998"/>
  </r>
  <r>
    <n v="1820"/>
    <n v="4568.2"/>
    <d v="2023-06-12T00:00:00"/>
    <x v="161"/>
    <s v="Romania"/>
    <s v="Location 6"/>
    <n v="2.5099999999999998"/>
  </r>
  <r>
    <n v="1820"/>
    <n v="4568.2"/>
    <d v="2023-06-12T00:00:00"/>
    <x v="161"/>
    <s v="Romania"/>
    <s v="Location 6"/>
    <n v="2.5099999999999998"/>
  </r>
  <r>
    <n v="109"/>
    <n v="1573.96"/>
    <d v="2023-06-16T00:00:00"/>
    <x v="269"/>
    <s v="Romania"/>
    <s v="Location 6"/>
    <n v="14.44"/>
  </r>
  <r>
    <n v="208"/>
    <n v="3003.52"/>
    <d v="2023-06-16T00:00:00"/>
    <x v="269"/>
    <s v="Romania"/>
    <s v="Location 6"/>
    <n v="14.44"/>
  </r>
  <r>
    <n v="3780"/>
    <n v="55603.8"/>
    <d v="2023-06-23T00:00:00"/>
    <x v="182"/>
    <s v="Romania"/>
    <s v="Location 6"/>
    <n v="14.71"/>
  </r>
  <r>
    <n v="1820"/>
    <n v="4568.2"/>
    <d v="2023-06-23T00:00:00"/>
    <x v="161"/>
    <s v="Romania"/>
    <s v="Location 6"/>
    <n v="2.5099999999999998"/>
  </r>
  <r>
    <n v="1820"/>
    <n v="4568.2"/>
    <d v="2023-06-23T00:00:00"/>
    <x v="161"/>
    <s v="Romania"/>
    <s v="Location 6"/>
    <n v="2.5099999999999998"/>
  </r>
  <r>
    <n v="58"/>
    <n v="41432.300000000003"/>
    <d v="2023-06-28T00:00:00"/>
    <x v="276"/>
    <s v="Romania"/>
    <s v="Location 6"/>
    <n v="714.35"/>
  </r>
  <r>
    <n v="252"/>
    <n v="180016.2"/>
    <d v="2023-06-28T00:00:00"/>
    <x v="276"/>
    <s v="Romania"/>
    <s v="Location 6"/>
    <n v="714.35"/>
  </r>
  <r>
    <n v="252"/>
    <n v="180016.2"/>
    <d v="2023-06-28T00:00:00"/>
    <x v="276"/>
    <s v="Romania"/>
    <s v="Location 6"/>
    <n v="714.35"/>
  </r>
  <r>
    <n v="216"/>
    <n v="154299.6"/>
    <d v="2023-06-28T00:00:00"/>
    <x v="276"/>
    <s v="Romania"/>
    <s v="Location 6"/>
    <n v="714.35"/>
  </r>
  <r>
    <n v="1120"/>
    <n v="62227.199999999997"/>
    <d v="2023-06-30T00:00:00"/>
    <x v="189"/>
    <s v="Romania"/>
    <s v="Location 6"/>
    <n v="55.56"/>
  </r>
  <r>
    <n v="166"/>
    <n v="118582.1"/>
    <d v="2023-07-07T00:00:00"/>
    <x v="276"/>
    <s v="Romania"/>
    <s v="Location 6"/>
    <n v="714.35"/>
  </r>
  <r>
    <n v="86"/>
    <n v="61434.1"/>
    <d v="2023-07-07T00:00:00"/>
    <x v="276"/>
    <s v="Romania"/>
    <s v="Location 6"/>
    <n v="714.35"/>
  </r>
  <r>
    <n v="216"/>
    <n v="154299.6"/>
    <d v="2023-07-07T00:00:00"/>
    <x v="276"/>
    <s v="Romania"/>
    <s v="Location 6"/>
    <n v="714.35"/>
  </r>
  <r>
    <n v="252"/>
    <n v="180016.2"/>
    <d v="2023-07-07T00:00:00"/>
    <x v="276"/>
    <s v="Romania"/>
    <s v="Location 6"/>
    <n v="714.35"/>
  </r>
  <r>
    <n v="420"/>
    <n v="4363.8"/>
    <d v="2023-07-12T00:00:00"/>
    <x v="273"/>
    <s v="Romania"/>
    <s v="Location 6"/>
    <n v="10.39"/>
  </r>
  <r>
    <n v="3780"/>
    <n v="55603.8"/>
    <d v="2023-07-13T00:00:00"/>
    <x v="182"/>
    <s v="Romania"/>
    <s v="Location 6"/>
    <n v="14.71"/>
  </r>
  <r>
    <n v="13030"/>
    <n v="74010.399999999994"/>
    <d v="2023-07-13T00:00:00"/>
    <x v="246"/>
    <s v="Romania"/>
    <s v="Location 6"/>
    <n v="5.68"/>
  </r>
  <r>
    <n v="588"/>
    <n v="57953.279999999999"/>
    <d v="2023-07-14T00:00:00"/>
    <x v="158"/>
    <s v="Romania"/>
    <s v="Location 6"/>
    <n v="98.56"/>
  </r>
  <r>
    <n v="588"/>
    <n v="57953.279999999999"/>
    <d v="2023-07-14T00:00:00"/>
    <x v="158"/>
    <s v="Romania"/>
    <s v="Location 6"/>
    <n v="98.56"/>
  </r>
  <r>
    <n v="588"/>
    <n v="57953.279999999999"/>
    <d v="2023-07-18T00:00:00"/>
    <x v="158"/>
    <s v="Romania"/>
    <s v="Location 6"/>
    <n v="98.56"/>
  </r>
  <r>
    <n v="588"/>
    <n v="57953.279999999999"/>
    <d v="2023-07-18T00:00:00"/>
    <x v="158"/>
    <s v="Romania"/>
    <s v="Location 6"/>
    <n v="98.56"/>
  </r>
  <r>
    <n v="588"/>
    <n v="57953.279999999999"/>
    <d v="2023-07-18T00:00:00"/>
    <x v="158"/>
    <s v="Romania"/>
    <s v="Location 6"/>
    <n v="98.56"/>
  </r>
  <r>
    <n v="588"/>
    <n v="57953.279999999999"/>
    <d v="2023-07-18T00:00:00"/>
    <x v="158"/>
    <s v="Romania"/>
    <s v="Location 6"/>
    <n v="98.56"/>
  </r>
  <r>
    <n v="588"/>
    <n v="57953.279999999999"/>
    <d v="2023-07-21T00:00:00"/>
    <x v="158"/>
    <s v="Romania"/>
    <s v="Location 6"/>
    <n v="98.56"/>
  </r>
  <r>
    <n v="108"/>
    <n v="77149.8"/>
    <d v="2023-07-31T00:00:00"/>
    <x v="276"/>
    <s v="Romania"/>
    <s v="Location 6"/>
    <n v="714.35"/>
  </r>
  <r>
    <n v="50"/>
    <n v="35717.5"/>
    <d v="2023-07-31T00:00:00"/>
    <x v="276"/>
    <s v="Romania"/>
    <s v="Location 6"/>
    <n v="714.35"/>
  </r>
  <r>
    <n v="144"/>
    <n v="102866.4"/>
    <d v="2023-07-31T00:00:00"/>
    <x v="276"/>
    <s v="Romania"/>
    <s v="Location 6"/>
    <n v="714.35"/>
  </r>
  <r>
    <n v="180"/>
    <n v="128583"/>
    <d v="2023-07-31T00:00:00"/>
    <x v="276"/>
    <s v="Romania"/>
    <s v="Location 6"/>
    <n v="714.35"/>
  </r>
  <r>
    <n v="130"/>
    <n v="92865.5"/>
    <d v="2023-07-31T00:00:00"/>
    <x v="276"/>
    <s v="Romania"/>
    <s v="Location 6"/>
    <n v="714.35"/>
  </r>
  <r>
    <n v="216"/>
    <n v="154299.6"/>
    <d v="2023-07-31T00:00:00"/>
    <x v="276"/>
    <s v="Romania"/>
    <s v="Location 6"/>
    <n v="714.35"/>
  </r>
  <r>
    <n v="216"/>
    <n v="154299.6"/>
    <d v="2023-07-31T00:00:00"/>
    <x v="276"/>
    <s v="Romania"/>
    <s v="Location 6"/>
    <n v="714.35"/>
  </r>
  <r>
    <n v="588"/>
    <n v="57953.279999999999"/>
    <d v="2023-08-10T00:00:00"/>
    <x v="158"/>
    <s v="Romania"/>
    <s v="Location 6"/>
    <n v="98.56"/>
  </r>
  <r>
    <n v="588"/>
    <n v="57953.279999999999"/>
    <d v="2023-08-10T00:00:00"/>
    <x v="158"/>
    <s v="Romania"/>
    <s v="Location 6"/>
    <n v="98.56"/>
  </r>
  <r>
    <n v="3000"/>
    <n v="7020"/>
    <d v="2023-01-17T00:00:00"/>
    <x v="221"/>
    <s v="USA"/>
    <s v="Location 16"/>
    <n v="2.34"/>
  </r>
  <r>
    <n v="3000"/>
    <n v="7020"/>
    <d v="2023-01-17T00:00:00"/>
    <x v="221"/>
    <s v="USA"/>
    <s v="Location 16"/>
    <n v="2.34"/>
  </r>
  <r>
    <n v="3000"/>
    <n v="7020"/>
    <d v="2023-01-17T00:00:00"/>
    <x v="221"/>
    <s v="USA"/>
    <s v="Location 16"/>
    <n v="2.34"/>
  </r>
  <r>
    <n v="3000"/>
    <n v="7020"/>
    <d v="2023-01-17T00:00:00"/>
    <x v="221"/>
    <s v="USA"/>
    <s v="Location 16"/>
    <n v="2.34"/>
  </r>
  <r>
    <n v="3000"/>
    <n v="7020"/>
    <d v="2023-01-17T00:00:00"/>
    <x v="221"/>
    <s v="USA"/>
    <s v="Location 16"/>
    <n v="2.34"/>
  </r>
  <r>
    <n v="3000"/>
    <n v="7020"/>
    <d v="2023-01-17T00:00:00"/>
    <x v="221"/>
    <s v="USA"/>
    <s v="Location 16"/>
    <n v="2.34"/>
  </r>
  <r>
    <n v="3000"/>
    <n v="2719.2"/>
    <d v="2022-01-21T00:00:00"/>
    <x v="217"/>
    <s v="USA"/>
    <s v="Location 16"/>
    <n v="0.90639999999999998"/>
  </r>
  <r>
    <n v="3000"/>
    <n v="7020"/>
    <d v="2022-01-25T00:00:00"/>
    <x v="221"/>
    <s v="USA"/>
    <s v="Location 16"/>
    <n v="2.34"/>
  </r>
  <r>
    <n v="3000"/>
    <n v="1320"/>
    <d v="2022-02-01T00:00:00"/>
    <x v="218"/>
    <s v="USA"/>
    <s v="Location 16"/>
    <n v="0.44"/>
  </r>
  <r>
    <n v="3000"/>
    <n v="7020"/>
    <d v="2022-02-02T00:00:00"/>
    <x v="221"/>
    <s v="USA"/>
    <s v="Location 16"/>
    <n v="2.34"/>
  </r>
  <r>
    <n v="3000"/>
    <n v="3720"/>
    <d v="2023-02-06T00:00:00"/>
    <x v="203"/>
    <s v="USA"/>
    <s v="Location 16"/>
    <n v="1.24"/>
  </r>
  <r>
    <n v="3000"/>
    <n v="9450"/>
    <d v="2023-02-14T00:00:00"/>
    <x v="202"/>
    <s v="USA"/>
    <s v="Location 16"/>
    <n v="3.15"/>
  </r>
  <r>
    <n v="3000"/>
    <n v="7020"/>
    <d v="2022-02-23T00:00:00"/>
    <x v="221"/>
    <s v="USA"/>
    <s v="Location 16"/>
    <n v="2.34"/>
  </r>
  <r>
    <n v="3000"/>
    <n v="3720"/>
    <d v="2022-05-17T00:00:00"/>
    <x v="203"/>
    <s v="USA"/>
    <s v="Location 16"/>
    <n v="1.24"/>
  </r>
  <r>
    <n v="3000"/>
    <n v="9450"/>
    <d v="2022-05-17T00:00:00"/>
    <x v="202"/>
    <s v="USA"/>
    <s v="Location 16"/>
    <n v="3.15"/>
  </r>
  <r>
    <n v="3000"/>
    <n v="7020"/>
    <d v="2022-05-23T00:00:00"/>
    <x v="221"/>
    <s v="USA"/>
    <s v="Location 16"/>
    <n v="2.34"/>
  </r>
  <r>
    <n v="3000"/>
    <n v="7020"/>
    <d v="2023-05-25T00:00:00"/>
    <x v="221"/>
    <s v="USA"/>
    <s v="Location 16"/>
    <n v="2.34"/>
  </r>
  <r>
    <n v="3000"/>
    <n v="3720"/>
    <d v="2023-05-26T00:00:00"/>
    <x v="203"/>
    <s v="USA"/>
    <s v="Location 16"/>
    <n v="1.24"/>
  </r>
  <r>
    <n v="3000"/>
    <n v="4620"/>
    <d v="2023-05-26T00:00:00"/>
    <x v="204"/>
    <s v="USA"/>
    <s v="Location 16"/>
    <n v="1.54"/>
  </r>
  <r>
    <n v="3000"/>
    <n v="5610"/>
    <d v="2022-07-01T00:00:00"/>
    <x v="201"/>
    <s v="USA"/>
    <s v="Location 16"/>
    <n v="1.87"/>
  </r>
  <r>
    <n v="3000"/>
    <n v="9450"/>
    <d v="2022-07-01T00:00:00"/>
    <x v="202"/>
    <s v="USA"/>
    <s v="Location 16"/>
    <n v="3.15"/>
  </r>
  <r>
    <n v="3000"/>
    <n v="3720"/>
    <d v="2023-07-07T00:00:00"/>
    <x v="203"/>
    <s v="USA"/>
    <s v="Location 16"/>
    <n v="1.24"/>
  </r>
  <r>
    <n v="3000"/>
    <n v="3720"/>
    <d v="2023-07-07T00:00:00"/>
    <x v="203"/>
    <s v="USA"/>
    <s v="Location 16"/>
    <n v="1.24"/>
  </r>
  <r>
    <n v="3000"/>
    <n v="7020"/>
    <d v="2023-07-07T00:00:00"/>
    <x v="221"/>
    <s v="USA"/>
    <s v="Location 16"/>
    <n v="2.34"/>
  </r>
  <r>
    <n v="3000"/>
    <n v="9450"/>
    <d v="2022-02-23T00:00:00"/>
    <x v="202"/>
    <s v="USA"/>
    <s v="Location 16"/>
    <n v="3.15"/>
  </r>
  <r>
    <n v="3000"/>
    <n v="3690"/>
    <d v="2022-02-25T00:00:00"/>
    <x v="203"/>
    <s v="USA"/>
    <s v="Location 16"/>
    <n v="1.23"/>
  </r>
  <r>
    <n v="3000"/>
    <n v="3690"/>
    <d v="2022-02-25T00:00:00"/>
    <x v="203"/>
    <s v="USA"/>
    <s v="Location 16"/>
    <n v="1.23"/>
  </r>
  <r>
    <n v="3000"/>
    <n v="5610"/>
    <d v="2023-03-08T00:00:00"/>
    <x v="201"/>
    <s v="USA"/>
    <s v="Location 16"/>
    <n v="1.87"/>
  </r>
  <r>
    <n v="3000"/>
    <n v="3720"/>
    <d v="2022-03-11T00:00:00"/>
    <x v="203"/>
    <s v="USA"/>
    <s v="Location 16"/>
    <n v="1.24"/>
  </r>
  <r>
    <n v="3000"/>
    <n v="5610"/>
    <d v="2022-03-30T00:00:00"/>
    <x v="201"/>
    <s v="USA"/>
    <s v="Location 16"/>
    <n v="1.87"/>
  </r>
  <r>
    <n v="3000"/>
    <n v="7020"/>
    <d v="2022-04-02T00:00:00"/>
    <x v="221"/>
    <s v="USA"/>
    <s v="Location 16"/>
    <n v="2.34"/>
  </r>
  <r>
    <n v="3000"/>
    <n v="3720"/>
    <d v="2022-04-19T00:00:00"/>
    <x v="203"/>
    <s v="USA"/>
    <s v="Location 16"/>
    <n v="1.24"/>
  </r>
  <r>
    <n v="3000"/>
    <n v="5610"/>
    <d v="2022-04-19T00:00:00"/>
    <x v="201"/>
    <s v="USA"/>
    <s v="Location 16"/>
    <n v="1.87"/>
  </r>
  <r>
    <n v="3000"/>
    <n v="1323"/>
    <d v="2023-04-19T00:00:00"/>
    <x v="218"/>
    <s v="USA"/>
    <s v="Location 16"/>
    <n v="0.441"/>
  </r>
  <r>
    <n v="3000"/>
    <n v="9450"/>
    <d v="2023-06-23T00:00:00"/>
    <x v="202"/>
    <s v="USA"/>
    <s v="Location 16"/>
    <n v="3.15"/>
  </r>
  <r>
    <n v="3000"/>
    <n v="3720"/>
    <d v="2022-06-24T00:00:00"/>
    <x v="203"/>
    <s v="USA"/>
    <s v="Location 16"/>
    <n v="1.24"/>
  </r>
  <r>
    <n v="3000"/>
    <n v="7020"/>
    <d v="2022-06-24T00:00:00"/>
    <x v="221"/>
    <s v="USA"/>
    <s v="Location 16"/>
    <n v="2.34"/>
  </r>
  <r>
    <n v="3000"/>
    <n v="3720"/>
    <d v="2023-06-26T00:00:00"/>
    <x v="203"/>
    <s v="USA"/>
    <s v="Location 16"/>
    <n v="1.24"/>
  </r>
  <r>
    <n v="3000"/>
    <n v="5610"/>
    <d v="2023-06-26T00:00:00"/>
    <x v="201"/>
    <s v="USA"/>
    <s v="Location 16"/>
    <n v="1.87"/>
  </r>
  <r>
    <n v="3000"/>
    <n v="5610"/>
    <d v="2023-06-26T00:00:00"/>
    <x v="201"/>
    <s v="USA"/>
    <s v="Location 16"/>
    <n v="1.87"/>
  </r>
  <r>
    <n v="3000"/>
    <n v="5610"/>
    <d v="2023-06-26T00:00:00"/>
    <x v="201"/>
    <s v="USA"/>
    <s v="Location 16"/>
    <n v="1.87"/>
  </r>
  <r>
    <n v="3000"/>
    <n v="7020"/>
    <d v="2023-06-26T00:00:00"/>
    <x v="221"/>
    <s v="USA"/>
    <s v="Location 16"/>
    <n v="2.34"/>
  </r>
  <r>
    <n v="3000"/>
    <n v="7020"/>
    <d v="2023-07-07T00:00:00"/>
    <x v="221"/>
    <s v="USA"/>
    <s v="Location 16"/>
    <n v="2.34"/>
  </r>
  <r>
    <n v="3000"/>
    <n v="7020"/>
    <d v="2023-07-07T00:00:00"/>
    <x v="221"/>
    <s v="USA"/>
    <s v="Location 16"/>
    <n v="2.34"/>
  </r>
  <r>
    <n v="3000"/>
    <n v="9456"/>
    <d v="2023-07-10T00:00:00"/>
    <x v="202"/>
    <s v="USA"/>
    <s v="Location 16"/>
    <n v="3.1520000000000001"/>
  </r>
  <r>
    <n v="3000"/>
    <n v="7020"/>
    <d v="2022-07-15T00:00:00"/>
    <x v="221"/>
    <s v="USA"/>
    <s v="Location 16"/>
    <n v="2.34"/>
  </r>
  <r>
    <n v="3000"/>
    <n v="3720"/>
    <d v="2022-07-20T00:00:00"/>
    <x v="203"/>
    <s v="USA"/>
    <s v="Location 16"/>
    <n v="1.24"/>
  </r>
  <r>
    <n v="3000"/>
    <n v="7020"/>
    <d v="2022-07-20T00:00:00"/>
    <x v="221"/>
    <s v="USA"/>
    <s v="Location 16"/>
    <n v="2.34"/>
  </r>
  <r>
    <n v="3000"/>
    <n v="7020"/>
    <d v="2022-07-20T00:00:00"/>
    <x v="221"/>
    <s v="USA"/>
    <s v="Location 16"/>
    <n v="2.34"/>
  </r>
  <r>
    <n v="3000"/>
    <n v="9450"/>
    <d v="2022-07-25T00:00:00"/>
    <x v="202"/>
    <s v="USA"/>
    <s v="Location 16"/>
    <n v="3.15"/>
  </r>
  <r>
    <n v="3000"/>
    <n v="9450"/>
    <d v="2022-07-25T00:00:00"/>
    <x v="202"/>
    <s v="USA"/>
    <s v="Location 16"/>
    <n v="3.15"/>
  </r>
  <r>
    <n v="3000"/>
    <n v="9450"/>
    <d v="2022-07-25T00:00:00"/>
    <x v="202"/>
    <s v="USA"/>
    <s v="Location 16"/>
    <n v="3.15"/>
  </r>
  <r>
    <n v="3000"/>
    <n v="3720"/>
    <d v="2022-08-08T00:00:00"/>
    <x v="203"/>
    <s v="USA"/>
    <s v="Location 16"/>
    <n v="1.24"/>
  </r>
  <r>
    <n v="3000"/>
    <n v="7020"/>
    <d v="2022-04-26T00:00:00"/>
    <x v="221"/>
    <s v="USA"/>
    <s v="Location 16"/>
    <n v="2.34"/>
  </r>
  <r>
    <n v="3000"/>
    <n v="4620"/>
    <d v="2023-05-05T00:00:00"/>
    <x v="204"/>
    <s v="USA"/>
    <s v="Location 16"/>
    <n v="1.54"/>
  </r>
  <r>
    <n v="3000"/>
    <n v="3720"/>
    <d v="2022-08-09T00:00:00"/>
    <x v="203"/>
    <s v="USA"/>
    <s v="Location 16"/>
    <n v="1.24"/>
  </r>
  <r>
    <n v="3000"/>
    <n v="3720"/>
    <d v="2022-08-09T00:00:00"/>
    <x v="203"/>
    <s v="USA"/>
    <s v="Location 16"/>
    <n v="1.24"/>
  </r>
  <r>
    <n v="3000"/>
    <n v="3720"/>
    <d v="2022-08-19T00:00:00"/>
    <x v="203"/>
    <s v="USA"/>
    <s v="Location 16"/>
    <n v="1.24"/>
  </r>
  <r>
    <n v="3000"/>
    <n v="3120"/>
    <d v="2022-08-17T00:00:00"/>
    <x v="217"/>
    <s v="USA"/>
    <s v="Location 16"/>
    <n v="1.04"/>
  </r>
  <r>
    <n v="3000"/>
    <n v="4620"/>
    <d v="2022-08-19T00:00:00"/>
    <x v="204"/>
    <s v="USA"/>
    <s v="Location 16"/>
    <n v="1.54"/>
  </r>
  <r>
    <n v="3000"/>
    <n v="3720"/>
    <d v="2022-08-09T00:00:00"/>
    <x v="203"/>
    <s v="USA"/>
    <s v="Location 16"/>
    <n v="1.24"/>
  </r>
  <r>
    <n v="3000"/>
    <n v="3720"/>
    <d v="2022-08-09T00:00:00"/>
    <x v="203"/>
    <s v="USA"/>
    <s v="Location 16"/>
    <n v="1.24"/>
  </r>
  <r>
    <n v="3000"/>
    <n v="5610"/>
    <d v="2022-09-23T00:00:00"/>
    <x v="201"/>
    <s v="USA"/>
    <s v="Location 16"/>
    <n v="1.87"/>
  </r>
  <r>
    <n v="3000"/>
    <n v="3120"/>
    <d v="2022-11-11T00:00:00"/>
    <x v="217"/>
    <s v="USA"/>
    <s v="Location 16"/>
    <n v="1.04"/>
  </r>
  <r>
    <n v="3000"/>
    <n v="5610"/>
    <d v="2022-12-05T00:00:00"/>
    <x v="201"/>
    <s v="USA"/>
    <s v="Location 16"/>
    <n v="1.87"/>
  </r>
  <r>
    <n v="3000"/>
    <n v="5280"/>
    <d v="2022-01-06T00:00:00"/>
    <x v="146"/>
    <s v="USA"/>
    <s v="Location 16"/>
    <n v="1.76"/>
  </r>
  <r>
    <n v="3000"/>
    <n v="5280"/>
    <d v="2022-01-11T00:00:00"/>
    <x v="146"/>
    <s v="USA"/>
    <s v="Location 16"/>
    <n v="1.76"/>
  </r>
  <r>
    <n v="3000"/>
    <n v="5280"/>
    <d v="2022-01-19T00:00:00"/>
    <x v="146"/>
    <s v="USA"/>
    <s v="Location 16"/>
    <n v="1.76"/>
  </r>
  <r>
    <n v="3000"/>
    <n v="5280"/>
    <d v="2022-01-20T00:00:00"/>
    <x v="146"/>
    <s v="USA"/>
    <s v="Location 16"/>
    <n v="1.76"/>
  </r>
  <r>
    <n v="3000"/>
    <n v="5280"/>
    <d v="2022-01-28T00:00:00"/>
    <x v="146"/>
    <s v="USA"/>
    <s v="Location 16"/>
    <n v="1.76"/>
  </r>
  <r>
    <n v="3000"/>
    <n v="5280"/>
    <d v="2022-02-02T00:00:00"/>
    <x v="146"/>
    <s v="USA"/>
    <s v="Location 16"/>
    <n v="1.76"/>
  </r>
  <r>
    <n v="3000"/>
    <n v="5280"/>
    <d v="2023-02-07T00:00:00"/>
    <x v="146"/>
    <s v="USA"/>
    <s v="Location 16"/>
    <n v="1.76"/>
  </r>
  <r>
    <n v="3000"/>
    <n v="5940"/>
    <d v="2023-02-07T00:00:00"/>
    <x v="197"/>
    <s v="USA"/>
    <s v="Location 16"/>
    <n v="1.98"/>
  </r>
  <r>
    <n v="3000"/>
    <n v="5940"/>
    <d v="2023-02-07T00:00:00"/>
    <x v="197"/>
    <s v="USA"/>
    <s v="Location 16"/>
    <n v="1.98"/>
  </r>
  <r>
    <n v="3000"/>
    <n v="5280"/>
    <d v="2022-02-18T00:00:00"/>
    <x v="146"/>
    <s v="USA"/>
    <s v="Location 16"/>
    <n v="1.76"/>
  </r>
  <r>
    <n v="3000"/>
    <n v="5280"/>
    <d v="2022-02-18T00:00:00"/>
    <x v="146"/>
    <s v="USA"/>
    <s v="Location 16"/>
    <n v="1.76"/>
  </r>
  <r>
    <n v="3000"/>
    <n v="5280"/>
    <d v="2022-02-23T00:00:00"/>
    <x v="146"/>
    <s v="USA"/>
    <s v="Location 16"/>
    <n v="1.76"/>
  </r>
  <r>
    <n v="3000"/>
    <n v="5280"/>
    <d v="2023-04-04T00:00:00"/>
    <x v="146"/>
    <s v="USA"/>
    <s v="Location 16"/>
    <n v="1.76"/>
  </r>
  <r>
    <n v="3000"/>
    <n v="5940"/>
    <d v="2023-04-25T00:00:00"/>
    <x v="197"/>
    <s v="USA"/>
    <s v="Location 16"/>
    <n v="1.98"/>
  </r>
  <r>
    <n v="3000"/>
    <n v="5280"/>
    <d v="2023-05-05T00:00:00"/>
    <x v="146"/>
    <s v="USA"/>
    <s v="Location 16"/>
    <n v="1.76"/>
  </r>
  <r>
    <n v="3000"/>
    <n v="5940"/>
    <d v="2022-05-19T00:00:00"/>
    <x v="197"/>
    <s v="USA"/>
    <s v="Location 16"/>
    <n v="1.98"/>
  </r>
  <r>
    <n v="3000"/>
    <n v="5940"/>
    <d v="2022-05-23T00:00:00"/>
    <x v="197"/>
    <s v="USA"/>
    <s v="Location 16"/>
    <n v="1.98"/>
  </r>
  <r>
    <n v="3000"/>
    <n v="5940"/>
    <d v="2022-05-24T00:00:00"/>
    <x v="197"/>
    <s v="USA"/>
    <s v="Location 16"/>
    <n v="1.98"/>
  </r>
  <r>
    <n v="3000"/>
    <n v="5940"/>
    <d v="2022-06-30T00:00:00"/>
    <x v="197"/>
    <s v="USA"/>
    <s v="Location 16"/>
    <n v="1.98"/>
  </r>
  <r>
    <n v="3000"/>
    <n v="5940"/>
    <d v="2022-06-30T00:00:00"/>
    <x v="197"/>
    <s v="USA"/>
    <s v="Location 16"/>
    <n v="1.98"/>
  </r>
  <r>
    <n v="3000"/>
    <n v="5280"/>
    <d v="2023-08-15T00:00:00"/>
    <x v="146"/>
    <s v="USA"/>
    <s v="Location 16"/>
    <n v="1.76"/>
  </r>
  <r>
    <n v="3000"/>
    <n v="5940"/>
    <d v="2023-08-17T00:00:00"/>
    <x v="197"/>
    <s v="USA"/>
    <s v="Location 16"/>
    <n v="1.98"/>
  </r>
  <r>
    <n v="3000"/>
    <n v="5280"/>
    <d v="2021-11-12T00:00:00"/>
    <x v="146"/>
    <s v="USA"/>
    <s v="Location 16"/>
    <n v="1.76"/>
  </r>
  <r>
    <n v="3000"/>
    <n v="5280"/>
    <d v="2021-11-17T00:00:00"/>
    <x v="146"/>
    <s v="USA"/>
    <s v="Location 16"/>
    <n v="1.76"/>
  </r>
  <r>
    <n v="3000"/>
    <n v="5280"/>
    <d v="2021-11-22T00:00:00"/>
    <x v="146"/>
    <s v="USA"/>
    <s v="Location 16"/>
    <n v="1.76"/>
  </r>
  <r>
    <n v="3000"/>
    <n v="5280"/>
    <d v="2022-12-05T00:00:00"/>
    <x v="146"/>
    <s v="USA"/>
    <s v="Location 16"/>
    <n v="1.76"/>
  </r>
  <r>
    <n v="3000"/>
    <n v="5280"/>
    <d v="2022-12-05T00:00:00"/>
    <x v="146"/>
    <s v="USA"/>
    <s v="Location 16"/>
    <n v="1.76"/>
  </r>
  <r>
    <n v="3000"/>
    <n v="5940"/>
    <d v="2022-12-05T00:00:00"/>
    <x v="197"/>
    <s v="USA"/>
    <s v="Location 16"/>
    <n v="1.98"/>
  </r>
  <r>
    <n v="3000"/>
    <n v="5940"/>
    <d v="2022-12-05T00:00:00"/>
    <x v="197"/>
    <s v="USA"/>
    <s v="Location 16"/>
    <n v="1.98"/>
  </r>
  <r>
    <n v="3000"/>
    <n v="5940"/>
    <d v="2022-12-05T00:00:00"/>
    <x v="197"/>
    <s v="USA"/>
    <s v="Location 16"/>
    <n v="1.98"/>
  </r>
  <r>
    <n v="3000"/>
    <n v="5940"/>
    <d v="2022-12-05T00:00:00"/>
    <x v="197"/>
    <s v="USA"/>
    <s v="Location 16"/>
    <n v="1.98"/>
  </r>
  <r>
    <n v="3000"/>
    <n v="5940"/>
    <d v="2022-12-07T00:00:00"/>
    <x v="197"/>
    <s v="USA"/>
    <s v="Location 16"/>
    <n v="1.98"/>
  </r>
  <r>
    <n v="3000"/>
    <n v="6360"/>
    <d v="2023-01-17T00:00:00"/>
    <x v="219"/>
    <s v="Taiwan"/>
    <s v="Location 8"/>
    <n v="2.12"/>
  </r>
  <r>
    <n v="3000"/>
    <n v="2719.2"/>
    <d v="2022-01-24T00:00:00"/>
    <x v="217"/>
    <s v="Hungary"/>
    <s v="Location 23"/>
    <n v="0.90639999999999998"/>
  </r>
  <r>
    <n v="3000"/>
    <n v="3120"/>
    <d v="2023-01-24T00:00:00"/>
    <x v="217"/>
    <s v="Romania"/>
    <s v="Location 6"/>
    <n v="1.04"/>
  </r>
  <r>
    <n v="3000"/>
    <n v="2719.2"/>
    <d v="2022-01-25T00:00:00"/>
    <x v="217"/>
    <s v="China"/>
    <s v="Location 10"/>
    <n v="0.90639999999999998"/>
  </r>
  <r>
    <n v="3000"/>
    <n v="3120"/>
    <d v="2023-02-07T00:00:00"/>
    <x v="217"/>
    <s v="Romania"/>
    <s v="Location 6"/>
    <n v="1.04"/>
  </r>
  <r>
    <n v="3000"/>
    <n v="6360"/>
    <d v="2022-05-19T00:00:00"/>
    <x v="219"/>
    <s v="China"/>
    <s v="Location 10"/>
    <n v="2.12"/>
  </r>
  <r>
    <n v="3000"/>
    <n v="3120"/>
    <d v="2022-05-24T00:00:00"/>
    <x v="217"/>
    <s v="Romania"/>
    <s v="Location 6"/>
    <n v="1.04"/>
  </r>
  <r>
    <n v="3000"/>
    <n v="3120"/>
    <d v="2022-04-13T00:00:00"/>
    <x v="217"/>
    <s v="China"/>
    <s v="Location 10"/>
    <n v="1.04"/>
  </r>
  <r>
    <n v="3000"/>
    <n v="3120"/>
    <d v="2022-07-20T00:00:00"/>
    <x v="217"/>
    <s v="Romania"/>
    <s v="Location 6"/>
    <n v="1.04"/>
  </r>
  <r>
    <n v="3000"/>
    <n v="3120"/>
    <d v="2022-09-23T00:00:00"/>
    <x v="217"/>
    <s v="Romania"/>
    <s v="Location 6"/>
    <n v="1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155BB-575B-D74B-A6A6-1F1F50329EA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88" firstHeaderRow="1" firstDataRow="1" firstDataCol="1"/>
  <pivotFields count="7">
    <pivotField showAll="0"/>
    <pivotField axis="axisRow" showAll="0" sortType="descending">
      <items count="185">
        <item x="148"/>
        <item x="145"/>
        <item x="163"/>
        <item x="81"/>
        <item x="182"/>
        <item x="118"/>
        <item x="162"/>
        <item x="183"/>
        <item x="24"/>
        <item x="132"/>
        <item x="35"/>
        <item x="140"/>
        <item x="154"/>
        <item x="149"/>
        <item x="38"/>
        <item x="178"/>
        <item x="150"/>
        <item x="106"/>
        <item x="116"/>
        <item x="92"/>
        <item x="122"/>
        <item x="160"/>
        <item x="123"/>
        <item x="94"/>
        <item x="115"/>
        <item x="117"/>
        <item x="102"/>
        <item x="119"/>
        <item x="111"/>
        <item x="174"/>
        <item x="142"/>
        <item x="138"/>
        <item x="133"/>
        <item x="3"/>
        <item x="43"/>
        <item x="39"/>
        <item x="63"/>
        <item x="46"/>
        <item x="74"/>
        <item x="58"/>
        <item x="49"/>
        <item x="84"/>
        <item x="91"/>
        <item x="12"/>
        <item x="17"/>
        <item x="18"/>
        <item x="19"/>
        <item x="25"/>
        <item x="28"/>
        <item x="32"/>
        <item x="34"/>
        <item x="61"/>
        <item x="181"/>
        <item x="113"/>
        <item x="139"/>
        <item x="143"/>
        <item x="141"/>
        <item x="95"/>
        <item x="177"/>
        <item x="157"/>
        <item x="165"/>
        <item x="98"/>
        <item x="151"/>
        <item x="107"/>
        <item x="170"/>
        <item x="131"/>
        <item x="134"/>
        <item x="109"/>
        <item x="158"/>
        <item x="159"/>
        <item x="175"/>
        <item x="179"/>
        <item x="166"/>
        <item x="21"/>
        <item x="15"/>
        <item x="77"/>
        <item x="79"/>
        <item x="167"/>
        <item x="78"/>
        <item x="127"/>
        <item x="100"/>
        <item x="125"/>
        <item x="105"/>
        <item x="104"/>
        <item x="130"/>
        <item x="172"/>
        <item x="180"/>
        <item x="93"/>
        <item x="96"/>
        <item x="112"/>
        <item x="176"/>
        <item x="173"/>
        <item x="70"/>
        <item x="64"/>
        <item x="37"/>
        <item x="147"/>
        <item x="60"/>
        <item x="89"/>
        <item x="55"/>
        <item x="51"/>
        <item x="62"/>
        <item x="65"/>
        <item x="86"/>
        <item x="52"/>
        <item x="45"/>
        <item x="26"/>
        <item x="10"/>
        <item x="16"/>
        <item x="31"/>
        <item x="1"/>
        <item x="88"/>
        <item x="42"/>
        <item x="54"/>
        <item x="20"/>
        <item x="29"/>
        <item x="9"/>
        <item x="120"/>
        <item x="73"/>
        <item x="83"/>
        <item x="22"/>
        <item x="56"/>
        <item x="57"/>
        <item x="72"/>
        <item x="69"/>
        <item x="41"/>
        <item x="23"/>
        <item x="8"/>
        <item x="11"/>
        <item x="27"/>
        <item x="136"/>
        <item x="71"/>
        <item x="168"/>
        <item x="155"/>
        <item x="137"/>
        <item x="128"/>
        <item x="121"/>
        <item x="97"/>
        <item x="171"/>
        <item x="126"/>
        <item x="85"/>
        <item x="108"/>
        <item x="129"/>
        <item x="153"/>
        <item x="36"/>
        <item x="68"/>
        <item x="6"/>
        <item x="53"/>
        <item x="48"/>
        <item x="33"/>
        <item x="66"/>
        <item x="14"/>
        <item x="2"/>
        <item x="124"/>
        <item x="110"/>
        <item x="161"/>
        <item x="146"/>
        <item x="99"/>
        <item x="82"/>
        <item x="169"/>
        <item x="164"/>
        <item x="135"/>
        <item x="152"/>
        <item x="103"/>
        <item x="114"/>
        <item x="80"/>
        <item x="144"/>
        <item x="101"/>
        <item x="5"/>
        <item x="7"/>
        <item x="67"/>
        <item x="4"/>
        <item x="87"/>
        <item x="90"/>
        <item x="50"/>
        <item x="44"/>
        <item x="47"/>
        <item x="75"/>
        <item x="40"/>
        <item x="59"/>
        <item x="13"/>
        <item x="76"/>
        <item x="30"/>
        <item x="0"/>
        <item x="15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numFmtId="3" showAll="0"/>
    <pivotField numFmtId="14" showAll="0"/>
    <pivotField dataField="1" numFmtId="164" showAll="0"/>
    <pivotField numFmtId="44" showAll="0"/>
  </pivotFields>
  <rowFields count="1">
    <field x="1"/>
  </rowFields>
  <rowItems count="185">
    <i>
      <x v="94"/>
    </i>
    <i>
      <x v="141"/>
    </i>
    <i>
      <x v="160"/>
    </i>
    <i>
      <x v="34"/>
    </i>
    <i>
      <x v="10"/>
    </i>
    <i>
      <x v="79"/>
    </i>
    <i>
      <x v="31"/>
    </i>
    <i>
      <x v="37"/>
    </i>
    <i>
      <x v="148"/>
    </i>
    <i>
      <x v="81"/>
    </i>
    <i>
      <x v="111"/>
    </i>
    <i>
      <x v="66"/>
    </i>
    <i>
      <x v="58"/>
    </i>
    <i>
      <x v="139"/>
    </i>
    <i>
      <x v="177"/>
    </i>
    <i>
      <x v="9"/>
    </i>
    <i>
      <x v="62"/>
    </i>
    <i>
      <x v="178"/>
    </i>
    <i>
      <x v="175"/>
    </i>
    <i>
      <x v="54"/>
    </i>
    <i>
      <x v="130"/>
    </i>
    <i>
      <x v="2"/>
    </i>
    <i>
      <x v="14"/>
    </i>
    <i>
      <x v="84"/>
    </i>
    <i>
      <x v="143"/>
    </i>
    <i>
      <x v="134"/>
    </i>
    <i>
      <x v="97"/>
    </i>
    <i>
      <x v="52"/>
    </i>
    <i>
      <x v="39"/>
    </i>
    <i>
      <x v="16"/>
    </i>
    <i>
      <x v="157"/>
    </i>
    <i>
      <x v="29"/>
    </i>
    <i>
      <x v="4"/>
    </i>
    <i>
      <x v="172"/>
    </i>
    <i>
      <x v="11"/>
    </i>
    <i>
      <x v="147"/>
    </i>
    <i>
      <x v="42"/>
    </i>
    <i>
      <x v="7"/>
    </i>
    <i>
      <x v="166"/>
    </i>
    <i>
      <x v="115"/>
    </i>
    <i>
      <x v="40"/>
    </i>
    <i>
      <x v="56"/>
    </i>
    <i>
      <x v="98"/>
    </i>
    <i>
      <x v="95"/>
    </i>
    <i>
      <x v="137"/>
    </i>
    <i>
      <x v="76"/>
    </i>
    <i>
      <x v="161"/>
    </i>
    <i>
      <x v="96"/>
    </i>
    <i>
      <x v="88"/>
    </i>
    <i>
      <x v="170"/>
    </i>
    <i>
      <x v="3"/>
    </i>
    <i>
      <x v="91"/>
    </i>
    <i>
      <x v="183"/>
    </i>
    <i>
      <x v="93"/>
    </i>
    <i>
      <x v="30"/>
    </i>
    <i>
      <x v="173"/>
    </i>
    <i>
      <x v="13"/>
    </i>
    <i>
      <x v="121"/>
    </i>
    <i>
      <x v="15"/>
    </i>
    <i>
      <x v="102"/>
    </i>
    <i>
      <x v="159"/>
    </i>
    <i>
      <x v="122"/>
    </i>
    <i>
      <x v="152"/>
    </i>
    <i>
      <x v="49"/>
    </i>
    <i>
      <x/>
    </i>
    <i>
      <x v="120"/>
    </i>
    <i>
      <x v="55"/>
    </i>
    <i>
      <x v="99"/>
    </i>
    <i>
      <x v="165"/>
    </i>
    <i>
      <x v="103"/>
    </i>
    <i>
      <x v="6"/>
    </i>
    <i>
      <x v="92"/>
    </i>
    <i>
      <x v="73"/>
    </i>
    <i>
      <x v="53"/>
    </i>
    <i>
      <x v="174"/>
    </i>
    <i>
      <x v="129"/>
    </i>
    <i>
      <x v="59"/>
    </i>
    <i>
      <x v="101"/>
    </i>
    <i>
      <x v="78"/>
    </i>
    <i>
      <x v="64"/>
    </i>
    <i>
      <x v="44"/>
    </i>
    <i>
      <x v="67"/>
    </i>
    <i>
      <x v="19"/>
    </i>
    <i>
      <x v="182"/>
    </i>
    <i>
      <x v="1"/>
    </i>
    <i>
      <x v="146"/>
    </i>
    <i>
      <x v="125"/>
    </i>
    <i>
      <x v="24"/>
    </i>
    <i>
      <x v="105"/>
    </i>
    <i>
      <x v="5"/>
    </i>
    <i>
      <x v="181"/>
    </i>
    <i>
      <x v="20"/>
    </i>
    <i>
      <x v="135"/>
    </i>
    <i>
      <x v="114"/>
    </i>
    <i>
      <x v="179"/>
    </i>
    <i>
      <x v="82"/>
    </i>
    <i>
      <x v="171"/>
    </i>
    <i>
      <x v="71"/>
    </i>
    <i>
      <x v="168"/>
    </i>
    <i>
      <x v="156"/>
    </i>
    <i>
      <x v="8"/>
    </i>
    <i>
      <x v="18"/>
    </i>
    <i>
      <x v="180"/>
    </i>
    <i>
      <x v="131"/>
    </i>
    <i>
      <x v="80"/>
    </i>
    <i>
      <x v="126"/>
    </i>
    <i>
      <x v="128"/>
    </i>
    <i>
      <x v="27"/>
    </i>
    <i>
      <x v="145"/>
    </i>
    <i>
      <x v="61"/>
    </i>
    <i>
      <x v="116"/>
    </i>
    <i>
      <x v="48"/>
    </i>
    <i>
      <x v="164"/>
    </i>
    <i>
      <x v="85"/>
    </i>
    <i>
      <x v="23"/>
    </i>
    <i>
      <x v="151"/>
    </i>
    <i>
      <x v="149"/>
    </i>
    <i>
      <x v="68"/>
    </i>
    <i>
      <x v="69"/>
    </i>
    <i>
      <x v="169"/>
    </i>
    <i>
      <x v="46"/>
    </i>
    <i>
      <x v="28"/>
    </i>
    <i>
      <x v="65"/>
    </i>
    <i>
      <x v="35"/>
    </i>
    <i>
      <x v="162"/>
    </i>
    <i>
      <x v="127"/>
    </i>
    <i>
      <x v="63"/>
    </i>
    <i>
      <x v="74"/>
    </i>
    <i>
      <x v="110"/>
    </i>
    <i>
      <x v="86"/>
    </i>
    <i>
      <x v="60"/>
    </i>
    <i>
      <x v="117"/>
    </i>
    <i>
      <x v="77"/>
    </i>
    <i>
      <x v="176"/>
    </i>
    <i>
      <x v="47"/>
    </i>
    <i>
      <x v="25"/>
    </i>
    <i>
      <x v="50"/>
    </i>
    <i>
      <x v="138"/>
    </i>
    <i>
      <x v="75"/>
    </i>
    <i>
      <x v="158"/>
    </i>
    <i>
      <x v="144"/>
    </i>
    <i>
      <x v="21"/>
    </i>
    <i>
      <x v="112"/>
    </i>
    <i>
      <x v="155"/>
    </i>
    <i>
      <x v="38"/>
    </i>
    <i>
      <x v="72"/>
    </i>
    <i>
      <x v="45"/>
    </i>
    <i>
      <x v="153"/>
    </i>
    <i>
      <x v="109"/>
    </i>
    <i>
      <x v="87"/>
    </i>
    <i>
      <x v="119"/>
    </i>
    <i>
      <x v="163"/>
    </i>
    <i>
      <x v="123"/>
    </i>
    <i>
      <x v="154"/>
    </i>
    <i>
      <x v="33"/>
    </i>
    <i>
      <x v="57"/>
    </i>
    <i>
      <x v="118"/>
    </i>
    <i>
      <x v="70"/>
    </i>
    <i>
      <x v="150"/>
    </i>
    <i>
      <x v="17"/>
    </i>
    <i>
      <x v="113"/>
    </i>
    <i>
      <x v="89"/>
    </i>
    <i>
      <x v="32"/>
    </i>
    <i>
      <x v="124"/>
    </i>
    <i>
      <x v="140"/>
    </i>
    <i>
      <x v="107"/>
    </i>
    <i>
      <x v="104"/>
    </i>
    <i>
      <x v="133"/>
    </i>
    <i>
      <x v="41"/>
    </i>
    <i>
      <x v="90"/>
    </i>
    <i>
      <x v="36"/>
    </i>
    <i>
      <x v="132"/>
    </i>
    <i>
      <x v="142"/>
    </i>
    <i>
      <x v="51"/>
    </i>
    <i>
      <x v="100"/>
    </i>
    <i>
      <x v="12"/>
    </i>
    <i>
      <x v="83"/>
    </i>
    <i>
      <x v="43"/>
    </i>
    <i>
      <x v="22"/>
    </i>
    <i>
      <x v="108"/>
    </i>
    <i>
      <x v="26"/>
    </i>
    <i>
      <x v="106"/>
    </i>
    <i>
      <x v="167"/>
    </i>
    <i>
      <x v="136"/>
    </i>
    <i t="grand">
      <x/>
    </i>
  </rowItems>
  <colItems count="1">
    <i/>
  </colItems>
  <dataFields count="1">
    <dataField name="Sum of EXTENDED_RESAL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E992C-3F96-A04E-96E9-60359D542FA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54" firstHeaderRow="1" firstDataRow="1" firstDataCol="1"/>
  <pivotFields count="7">
    <pivotField showAll="0"/>
    <pivotField dataField="1" numFmtId="44" showAll="0"/>
    <pivotField showAll="0"/>
    <pivotField axis="axisRow" showAll="0" sortType="descending">
      <items count="151">
        <item x="115"/>
        <item x="131"/>
        <item x="81"/>
        <item x="73"/>
        <item x="118"/>
        <item x="135"/>
        <item x="90"/>
        <item x="106"/>
        <item x="145"/>
        <item x="5"/>
        <item x="2"/>
        <item x="149"/>
        <item x="111"/>
        <item x="0"/>
        <item x="112"/>
        <item x="80"/>
        <item x="87"/>
        <item x="83"/>
        <item x="134"/>
        <item x="100"/>
        <item x="96"/>
        <item x="52"/>
        <item x="46"/>
        <item x="29"/>
        <item x="50"/>
        <item x="21"/>
        <item x="10"/>
        <item x="17"/>
        <item x="31"/>
        <item x="33"/>
        <item x="37"/>
        <item x="38"/>
        <item x="53"/>
        <item x="71"/>
        <item x="51"/>
        <item x="47"/>
        <item x="123"/>
        <item x="97"/>
        <item x="146"/>
        <item x="127"/>
        <item x="138"/>
        <item x="121"/>
        <item x="130"/>
        <item x="95"/>
        <item x="91"/>
        <item x="88"/>
        <item x="116"/>
        <item x="129"/>
        <item x="141"/>
        <item x="136"/>
        <item x="120"/>
        <item x="142"/>
        <item x="13"/>
        <item x="49"/>
        <item x="68"/>
        <item x="108"/>
        <item x="77"/>
        <item x="75"/>
        <item x="140"/>
        <item x="139"/>
        <item x="144"/>
        <item x="119"/>
        <item x="126"/>
        <item x="148"/>
        <item x="70"/>
        <item x="58"/>
        <item x="3"/>
        <item x="60"/>
        <item x="99"/>
        <item x="147"/>
        <item x="45"/>
        <item x="28"/>
        <item x="48"/>
        <item x="24"/>
        <item x="22"/>
        <item x="74"/>
        <item x="8"/>
        <item x="42"/>
        <item x="26"/>
        <item x="62"/>
        <item x="15"/>
        <item x="69"/>
        <item x="23"/>
        <item x="35"/>
        <item x="6"/>
        <item x="19"/>
        <item x="14"/>
        <item x="89"/>
        <item x="7"/>
        <item x="55"/>
        <item x="20"/>
        <item x="32"/>
        <item x="61"/>
        <item x="9"/>
        <item x="40"/>
        <item x="36"/>
        <item x="41"/>
        <item x="43"/>
        <item x="30"/>
        <item x="56"/>
        <item x="125"/>
        <item x="76"/>
        <item x="94"/>
        <item x="92"/>
        <item x="109"/>
        <item x="79"/>
        <item x="143"/>
        <item x="84"/>
        <item x="11"/>
        <item x="63"/>
        <item x="113"/>
        <item x="78"/>
        <item x="86"/>
        <item x="107"/>
        <item x="122"/>
        <item x="1"/>
        <item x="16"/>
        <item x="137"/>
        <item x="54"/>
        <item x="105"/>
        <item x="102"/>
        <item x="85"/>
        <item x="98"/>
        <item x="114"/>
        <item x="59"/>
        <item x="124"/>
        <item x="132"/>
        <item x="128"/>
        <item x="117"/>
        <item x="104"/>
        <item x="103"/>
        <item x="65"/>
        <item x="101"/>
        <item x="93"/>
        <item x="82"/>
        <item x="4"/>
        <item x="66"/>
        <item x="110"/>
        <item x="44"/>
        <item x="67"/>
        <item x="25"/>
        <item x="18"/>
        <item x="27"/>
        <item x="34"/>
        <item x="39"/>
        <item x="64"/>
        <item x="72"/>
        <item x="57"/>
        <item x="12"/>
        <item x="1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showAll="0"/>
    <pivotField numFmtId="44" showAll="0"/>
  </pivotFields>
  <rowFields count="1">
    <field x="3"/>
  </rowFields>
  <rowItems count="151">
    <i>
      <x v="56"/>
    </i>
    <i>
      <x v="10"/>
    </i>
    <i>
      <x v="66"/>
    </i>
    <i>
      <x v="111"/>
    </i>
    <i>
      <x v="101"/>
    </i>
    <i>
      <x v="115"/>
    </i>
    <i>
      <x v="14"/>
    </i>
    <i>
      <x v="30"/>
    </i>
    <i>
      <x v="36"/>
    </i>
    <i>
      <x v="72"/>
    </i>
    <i>
      <x v="109"/>
    </i>
    <i>
      <x v="40"/>
    </i>
    <i>
      <x v="129"/>
    </i>
    <i>
      <x v="23"/>
    </i>
    <i>
      <x v="6"/>
    </i>
    <i>
      <x v="80"/>
    </i>
    <i>
      <x v="13"/>
    </i>
    <i>
      <x v="57"/>
    </i>
    <i>
      <x v="99"/>
    </i>
    <i>
      <x v="1"/>
    </i>
    <i>
      <x v="128"/>
    </i>
    <i>
      <x v="77"/>
    </i>
    <i>
      <x v="65"/>
    </i>
    <i>
      <x v="149"/>
    </i>
    <i>
      <x v="131"/>
    </i>
    <i>
      <x v="58"/>
    </i>
    <i>
      <x v="27"/>
    </i>
    <i>
      <x v="103"/>
    </i>
    <i>
      <x v="20"/>
    </i>
    <i>
      <x v="25"/>
    </i>
    <i>
      <x v="54"/>
    </i>
    <i>
      <x v="106"/>
    </i>
    <i>
      <x v="18"/>
    </i>
    <i>
      <x v="124"/>
    </i>
    <i>
      <x v="71"/>
    </i>
    <i>
      <x v="130"/>
    </i>
    <i>
      <x v="134"/>
    </i>
    <i>
      <x v="88"/>
    </i>
    <i>
      <x v="148"/>
    </i>
    <i>
      <x v="16"/>
    </i>
    <i>
      <x v="3"/>
    </i>
    <i>
      <x v="63"/>
    </i>
    <i>
      <x v="68"/>
    </i>
    <i>
      <x v="73"/>
    </i>
    <i>
      <x v="69"/>
    </i>
    <i>
      <x v="146"/>
    </i>
    <i>
      <x v="143"/>
    </i>
    <i>
      <x v="104"/>
    </i>
    <i>
      <x v="53"/>
    </i>
    <i>
      <x v="125"/>
    </i>
    <i>
      <x v="9"/>
    </i>
    <i>
      <x v="15"/>
    </i>
    <i>
      <x v="22"/>
    </i>
    <i>
      <x v="41"/>
    </i>
    <i>
      <x v="85"/>
    </i>
    <i>
      <x v="102"/>
    </i>
    <i>
      <x v="141"/>
    </i>
    <i>
      <x v="133"/>
    </i>
    <i>
      <x v="86"/>
    </i>
    <i>
      <x v="87"/>
    </i>
    <i>
      <x v="81"/>
    </i>
    <i>
      <x v="60"/>
    </i>
    <i>
      <x v="33"/>
    </i>
    <i>
      <x v="38"/>
    </i>
    <i>
      <x v="136"/>
    </i>
    <i>
      <x v="48"/>
    </i>
    <i>
      <x v="140"/>
    </i>
    <i>
      <x v="19"/>
    </i>
    <i>
      <x v="112"/>
    </i>
    <i>
      <x v="108"/>
    </i>
    <i>
      <x v="8"/>
    </i>
    <i>
      <x v="64"/>
    </i>
    <i>
      <x v="47"/>
    </i>
    <i>
      <x v="118"/>
    </i>
    <i>
      <x v="43"/>
    </i>
    <i>
      <x v="90"/>
    </i>
    <i>
      <x v="5"/>
    </i>
    <i>
      <x v="67"/>
    </i>
    <i>
      <x v="142"/>
    </i>
    <i>
      <x v="120"/>
    </i>
    <i>
      <x v="116"/>
    </i>
    <i>
      <x v="44"/>
    </i>
    <i>
      <x v="28"/>
    </i>
    <i>
      <x v="7"/>
    </i>
    <i>
      <x v="50"/>
    </i>
    <i>
      <x v="70"/>
    </i>
    <i>
      <x v="138"/>
    </i>
    <i>
      <x v="61"/>
    </i>
    <i>
      <x v="42"/>
    </i>
    <i>
      <x v="89"/>
    </i>
    <i>
      <x v="84"/>
    </i>
    <i>
      <x v="2"/>
    </i>
    <i>
      <x v="139"/>
    </i>
    <i>
      <x v="51"/>
    </i>
    <i>
      <x v="37"/>
    </i>
    <i>
      <x v="74"/>
    </i>
    <i>
      <x v="119"/>
    </i>
    <i>
      <x v="98"/>
    </i>
    <i>
      <x v="132"/>
    </i>
    <i>
      <x v="78"/>
    </i>
    <i>
      <x v="137"/>
    </i>
    <i>
      <x v="83"/>
    </i>
    <i>
      <x v="4"/>
    </i>
    <i>
      <x v="97"/>
    </i>
    <i>
      <x v="26"/>
    </i>
    <i>
      <x v="121"/>
    </i>
    <i>
      <x v="32"/>
    </i>
    <i>
      <x v="127"/>
    </i>
    <i>
      <x v="95"/>
    </i>
    <i>
      <x v="12"/>
    </i>
    <i>
      <x v="17"/>
    </i>
    <i>
      <x v="76"/>
    </i>
    <i>
      <x v="94"/>
    </i>
    <i>
      <x/>
    </i>
    <i>
      <x v="93"/>
    </i>
    <i>
      <x v="107"/>
    </i>
    <i>
      <x v="52"/>
    </i>
    <i>
      <x v="45"/>
    </i>
    <i>
      <x v="59"/>
    </i>
    <i>
      <x v="145"/>
    </i>
    <i>
      <x v="147"/>
    </i>
    <i>
      <x v="126"/>
    </i>
    <i>
      <x v="29"/>
    </i>
    <i>
      <x v="55"/>
    </i>
    <i>
      <x v="114"/>
    </i>
    <i>
      <x v="91"/>
    </i>
    <i>
      <x v="35"/>
    </i>
    <i>
      <x v="113"/>
    </i>
    <i>
      <x v="123"/>
    </i>
    <i>
      <x v="144"/>
    </i>
    <i>
      <x v="105"/>
    </i>
    <i>
      <x v="135"/>
    </i>
    <i>
      <x v="62"/>
    </i>
    <i>
      <x v="34"/>
    </i>
    <i>
      <x v="75"/>
    </i>
    <i>
      <x v="11"/>
    </i>
    <i>
      <x v="117"/>
    </i>
    <i>
      <x v="79"/>
    </i>
    <i>
      <x v="100"/>
    </i>
    <i>
      <x v="24"/>
    </i>
    <i>
      <x v="92"/>
    </i>
    <i>
      <x v="49"/>
    </i>
    <i>
      <x v="31"/>
    </i>
    <i>
      <x v="110"/>
    </i>
    <i>
      <x v="82"/>
    </i>
    <i>
      <x v="122"/>
    </i>
    <i>
      <x v="46"/>
    </i>
    <i>
      <x v="96"/>
    </i>
    <i>
      <x v="21"/>
    </i>
    <i>
      <x v="39"/>
    </i>
    <i t="grand">
      <x/>
    </i>
  </rowItems>
  <colItems count="1">
    <i/>
  </colItems>
  <dataFields count="1">
    <dataField name="Sum of EXT_RESAL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9F2DB-96FA-D644-A968-7E244153DE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0" firstHeaderRow="1" firstDataRow="1" firstDataCol="1"/>
  <pivotFields count="14">
    <pivotField showAll="0"/>
    <pivotField numFmtId="14" showAll="0"/>
    <pivotField showAll="0"/>
    <pivotField showAll="0"/>
    <pivotField dataField="1" numFmtId="164" showAll="0"/>
    <pivotField axis="axisRow" showAll="0" sortType="descending">
      <items count="187">
        <item x="168"/>
        <item x="167"/>
        <item x="108"/>
        <item x="124"/>
        <item x="23"/>
        <item x="162"/>
        <item x="119"/>
        <item x="107"/>
        <item x="128"/>
        <item x="24"/>
        <item x="184"/>
        <item x="0"/>
        <item x="177"/>
        <item x="172"/>
        <item x="169"/>
        <item x="3"/>
        <item x="183"/>
        <item x="109"/>
        <item x="117"/>
        <item x="152"/>
        <item x="146"/>
        <item x="179"/>
        <item x="147"/>
        <item x="129"/>
        <item x="143"/>
        <item x="132"/>
        <item x="144"/>
        <item x="139"/>
        <item x="118"/>
        <item x="165"/>
        <item x="175"/>
        <item x="185"/>
        <item x="61"/>
        <item x="66"/>
        <item x="71"/>
        <item x="77"/>
        <item x="80"/>
        <item x="82"/>
        <item x="88"/>
        <item x="29"/>
        <item x="35"/>
        <item x="41"/>
        <item x="44"/>
        <item x="45"/>
        <item x="46"/>
        <item x="50"/>
        <item x="52"/>
        <item x="55"/>
        <item x="58"/>
        <item x="5"/>
        <item x="127"/>
        <item x="112"/>
        <item x="176"/>
        <item x="166"/>
        <item x="154"/>
        <item x="125"/>
        <item x="178"/>
        <item x="159"/>
        <item x="158"/>
        <item x="101"/>
        <item x="130"/>
        <item x="110"/>
        <item x="113"/>
        <item x="170"/>
        <item x="163"/>
        <item x="137"/>
        <item x="102"/>
        <item x="103"/>
        <item x="121"/>
        <item x="99"/>
        <item x="160"/>
        <item x="181"/>
        <item x="19"/>
        <item x="17"/>
        <item x="18"/>
        <item x="21"/>
        <item x="182"/>
        <item x="20"/>
        <item x="93"/>
        <item x="131"/>
        <item x="150"/>
        <item x="135"/>
        <item x="134"/>
        <item x="96"/>
        <item x="115"/>
        <item x="161"/>
        <item x="153"/>
        <item x="155"/>
        <item x="141"/>
        <item x="122"/>
        <item x="116"/>
        <item x="14"/>
        <item x="7"/>
        <item x="2"/>
        <item x="157"/>
        <item x="6"/>
        <item x="4"/>
        <item x="34"/>
        <item x="64"/>
        <item x="73"/>
        <item x="79"/>
        <item x="85"/>
        <item x="90"/>
        <item x="26"/>
        <item x="39"/>
        <item x="43"/>
        <item x="54"/>
        <item x="60"/>
        <item x="68"/>
        <item x="70"/>
        <item x="31"/>
        <item x="48"/>
        <item x="33"/>
        <item x="12"/>
        <item x="105"/>
        <item x="13"/>
        <item x="145"/>
        <item x="65"/>
        <item x="28"/>
        <item x="49"/>
        <item x="63"/>
        <item x="75"/>
        <item x="76"/>
        <item x="81"/>
        <item x="87"/>
        <item x="92"/>
        <item x="38"/>
        <item x="40"/>
        <item x="51"/>
        <item x="56"/>
        <item x="171"/>
        <item x="15"/>
        <item x="140"/>
        <item x="173"/>
        <item x="94"/>
        <item x="126"/>
        <item x="114"/>
        <item x="156"/>
        <item x="151"/>
        <item x="27"/>
        <item x="32"/>
        <item x="136"/>
        <item x="95"/>
        <item x="120"/>
        <item x="98"/>
        <item x="1"/>
        <item x="86"/>
        <item x="8"/>
        <item x="74"/>
        <item x="84"/>
        <item x="57"/>
        <item x="9"/>
        <item x="16"/>
        <item x="36"/>
        <item x="149"/>
        <item x="148"/>
        <item x="138"/>
        <item x="180"/>
        <item x="104"/>
        <item x="25"/>
        <item x="111"/>
        <item x="123"/>
        <item x="174"/>
        <item x="164"/>
        <item x="97"/>
        <item x="133"/>
        <item x="142"/>
        <item x="22"/>
        <item x="106"/>
        <item x="11"/>
        <item x="10"/>
        <item x="62"/>
        <item x="67"/>
        <item x="69"/>
        <item x="72"/>
        <item x="78"/>
        <item x="83"/>
        <item x="89"/>
        <item x="91"/>
        <item x="30"/>
        <item x="37"/>
        <item x="42"/>
        <item x="47"/>
        <item x="53"/>
        <item x="59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4" showAll="0"/>
    <pivotField showAll="0"/>
    <pivotField showAll="0"/>
    <pivotField showAll="0"/>
    <pivotField numFmtId="165" showAll="0"/>
    <pivotField numFmtId="44" showAll="0"/>
    <pivotField numFmtId="44" showAll="0"/>
  </pivotFields>
  <rowFields count="1">
    <field x="5"/>
  </rowFields>
  <rowItems count="187">
    <i>
      <x v="140"/>
    </i>
    <i>
      <x v="55"/>
    </i>
    <i>
      <x v="150"/>
    </i>
    <i>
      <x v="80"/>
    </i>
    <i>
      <x v="97"/>
    </i>
    <i>
      <x v="50"/>
    </i>
    <i>
      <x v="178"/>
    </i>
    <i>
      <x v="10"/>
    </i>
    <i>
      <x v="60"/>
    </i>
    <i>
      <x v="180"/>
    </i>
    <i>
      <x v="163"/>
    </i>
    <i>
      <x v="34"/>
    </i>
    <i>
      <x v="64"/>
    </i>
    <i>
      <x v="109"/>
    </i>
    <i>
      <x v="131"/>
    </i>
    <i>
      <x v="2"/>
    </i>
    <i>
      <x v="168"/>
    </i>
    <i>
      <x v="115"/>
    </i>
    <i>
      <x v="5"/>
    </i>
    <i>
      <x v="173"/>
    </i>
    <i>
      <x v="28"/>
    </i>
    <i>
      <x v="159"/>
    </i>
    <i>
      <x v="81"/>
    </i>
    <i>
      <x v="181"/>
    </i>
    <i>
      <x v="171"/>
    </i>
    <i>
      <x v="87"/>
    </i>
    <i>
      <x v="8"/>
    </i>
    <i>
      <x v="40"/>
    </i>
    <i>
      <x v="164"/>
    </i>
    <i>
      <x v="96"/>
    </i>
    <i>
      <x v="185"/>
    </i>
    <i>
      <x v="92"/>
    </i>
    <i>
      <x v="102"/>
    </i>
    <i>
      <x v="16"/>
    </i>
    <i>
      <x v="123"/>
    </i>
    <i>
      <x v="162"/>
    </i>
    <i>
      <x v="155"/>
    </i>
    <i>
      <x v="47"/>
    </i>
    <i>
      <x v="4"/>
    </i>
    <i>
      <x v="90"/>
    </i>
    <i>
      <x v="6"/>
    </i>
    <i>
      <x v="103"/>
    </i>
    <i>
      <x v="136"/>
    </i>
    <i>
      <x v="75"/>
    </i>
    <i>
      <x v="91"/>
    </i>
    <i>
      <x v="7"/>
    </i>
    <i>
      <x v="175"/>
    </i>
    <i>
      <x v="130"/>
    </i>
    <i>
      <x v="72"/>
    </i>
    <i>
      <x v="51"/>
    </i>
    <i>
      <x v="79"/>
    </i>
    <i>
      <x v="126"/>
    </i>
    <i>
      <x v="65"/>
    </i>
    <i>
      <x v="42"/>
    </i>
    <i>
      <x v="184"/>
    </i>
    <i>
      <x v="19"/>
    </i>
    <i>
      <x v="20"/>
    </i>
    <i>
      <x v="183"/>
    </i>
    <i>
      <x v="167"/>
    </i>
    <i>
      <x v="84"/>
    </i>
    <i>
      <x v="112"/>
    </i>
    <i>
      <x v="135"/>
    </i>
    <i>
      <x v="172"/>
    </i>
    <i>
      <x v="70"/>
    </i>
    <i>
      <x v="77"/>
    </i>
    <i>
      <x v="62"/>
    </i>
    <i>
      <x v="174"/>
    </i>
    <i>
      <x v="29"/>
    </i>
    <i>
      <x v="94"/>
    </i>
    <i>
      <x v="98"/>
    </i>
    <i>
      <x v="56"/>
    </i>
    <i>
      <x v="101"/>
    </i>
    <i>
      <x v="18"/>
    </i>
    <i>
      <x v="9"/>
    </i>
    <i>
      <x v="182"/>
    </i>
    <i>
      <x v="132"/>
    </i>
    <i>
      <x v="37"/>
    </i>
    <i>
      <x v="30"/>
    </i>
    <i>
      <x v="26"/>
    </i>
    <i>
      <x v="128"/>
    </i>
    <i>
      <x v="85"/>
    </i>
    <i>
      <x v="108"/>
    </i>
    <i>
      <x v="170"/>
    </i>
    <i>
      <x v="67"/>
    </i>
    <i>
      <x v="59"/>
    </i>
    <i>
      <x v="147"/>
    </i>
    <i>
      <x v="46"/>
    </i>
    <i>
      <x v="116"/>
    </i>
    <i>
      <x v="12"/>
    </i>
    <i>
      <x v="149"/>
    </i>
    <i>
      <x v="57"/>
    </i>
    <i>
      <x v="33"/>
    </i>
    <i>
      <x v="151"/>
    </i>
    <i>
      <x v="66"/>
    </i>
    <i>
      <x v="27"/>
    </i>
    <i>
      <x v="44"/>
    </i>
    <i>
      <x v="35"/>
    </i>
    <i>
      <x v="63"/>
    </i>
    <i>
      <x v="127"/>
    </i>
    <i>
      <x v="165"/>
    </i>
    <i>
      <x v="73"/>
    </i>
    <i>
      <x v="61"/>
    </i>
    <i>
      <x v="176"/>
    </i>
    <i>
      <x v="52"/>
    </i>
    <i>
      <x v="14"/>
    </i>
    <i>
      <x v="122"/>
    </i>
    <i>
      <x v="117"/>
    </i>
    <i>
      <x v="58"/>
    </i>
    <i>
      <x v="76"/>
    </i>
    <i>
      <x v="177"/>
    </i>
    <i>
      <x v="24"/>
    </i>
    <i>
      <x v="45"/>
    </i>
    <i>
      <x v="138"/>
    </i>
    <i>
      <x v="48"/>
    </i>
    <i>
      <x v="99"/>
    </i>
    <i>
      <x v="53"/>
    </i>
    <i>
      <x v="43"/>
    </i>
    <i>
      <x v="156"/>
    </i>
    <i>
      <x v="148"/>
    </i>
    <i>
      <x v="1"/>
    </i>
    <i>
      <x v="129"/>
    </i>
    <i>
      <x v="154"/>
    </i>
    <i>
      <x v="86"/>
    </i>
    <i>
      <x v="107"/>
    </i>
    <i>
      <x v="166"/>
    </i>
    <i>
      <x v="119"/>
    </i>
    <i>
      <x v="38"/>
    </i>
    <i>
      <x v="71"/>
    </i>
    <i>
      <x v="157"/>
    </i>
    <i>
      <x v="124"/>
    </i>
    <i>
      <x v="146"/>
    </i>
    <i>
      <x v="21"/>
    </i>
    <i>
      <x v="32"/>
    </i>
    <i>
      <x v="54"/>
    </i>
    <i>
      <x v="17"/>
    </i>
    <i>
      <x v="152"/>
    </i>
    <i>
      <x v="111"/>
    </i>
    <i>
      <x v="88"/>
    </i>
    <i>
      <x v="118"/>
    </i>
    <i>
      <x v="68"/>
    </i>
    <i>
      <x v="125"/>
    </i>
    <i>
      <x v="31"/>
    </i>
    <i>
      <x v="141"/>
    </i>
    <i>
      <x v="105"/>
    </i>
    <i>
      <x v="36"/>
    </i>
    <i>
      <x v="133"/>
    </i>
    <i>
      <x v="39"/>
    </i>
    <i>
      <x v="89"/>
    </i>
    <i>
      <x v="121"/>
    </i>
    <i>
      <x/>
    </i>
    <i>
      <x v="144"/>
    </i>
    <i>
      <x v="49"/>
    </i>
    <i>
      <x v="13"/>
    </i>
    <i>
      <x v="100"/>
    </i>
    <i>
      <x v="41"/>
    </i>
    <i>
      <x v="82"/>
    </i>
    <i>
      <x v="106"/>
    </i>
    <i>
      <x v="22"/>
    </i>
    <i>
      <x v="120"/>
    </i>
    <i>
      <x v="137"/>
    </i>
    <i>
      <x v="104"/>
    </i>
    <i>
      <x v="25"/>
    </i>
    <i>
      <x v="69"/>
    </i>
    <i>
      <x v="3"/>
    </i>
    <i>
      <x v="78"/>
    </i>
    <i>
      <x v="23"/>
    </i>
    <i>
      <x v="161"/>
    </i>
    <i>
      <x v="11"/>
    </i>
    <i>
      <x v="179"/>
    </i>
    <i>
      <x v="145"/>
    </i>
    <i>
      <x v="74"/>
    </i>
    <i>
      <x v="113"/>
    </i>
    <i>
      <x v="160"/>
    </i>
    <i>
      <x v="158"/>
    </i>
    <i>
      <x v="139"/>
    </i>
    <i>
      <x v="143"/>
    </i>
    <i>
      <x v="153"/>
    </i>
    <i>
      <x v="95"/>
    </i>
    <i>
      <x v="142"/>
    </i>
    <i>
      <x v="110"/>
    </i>
    <i>
      <x v="93"/>
    </i>
    <i>
      <x v="114"/>
    </i>
    <i>
      <x v="15"/>
    </i>
    <i>
      <x v="169"/>
    </i>
    <i>
      <x v="134"/>
    </i>
    <i>
      <x v="83"/>
    </i>
    <i t="grand">
      <x/>
    </i>
  </rowItems>
  <colItems count="1">
    <i/>
  </colItems>
  <dataFields count="1">
    <dataField name="Sum of EXTENDED_RESAL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9FC97-B152-8745-ACEA-00BCE8328BB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284" firstHeaderRow="1" firstDataRow="1" firstDataCol="1"/>
  <pivotFields count="7">
    <pivotField numFmtId="3" showAll="0"/>
    <pivotField dataField="1" showAll="0"/>
    <pivotField numFmtId="14" showAll="0"/>
    <pivotField axis="axisRow" showAll="0" sortType="descending">
      <items count="281">
        <item x="198"/>
        <item x="199"/>
        <item x="145"/>
        <item x="203"/>
        <item x="243"/>
        <item x="8"/>
        <item x="208"/>
        <item x="209"/>
        <item x="207"/>
        <item x="142"/>
        <item x="143"/>
        <item x="217"/>
        <item x="184"/>
        <item x="215"/>
        <item x="216"/>
        <item x="115"/>
        <item x="147"/>
        <item x="134"/>
        <item x="250"/>
        <item x="249"/>
        <item x="251"/>
        <item x="212"/>
        <item x="151"/>
        <item x="93"/>
        <item x="194"/>
        <item x="187"/>
        <item x="197"/>
        <item x="95"/>
        <item x="157"/>
        <item x="255"/>
        <item x="214"/>
        <item x="247"/>
        <item x="273"/>
        <item x="274"/>
        <item x="275"/>
        <item x="265"/>
        <item x="165"/>
        <item x="178"/>
        <item x="179"/>
        <item x="237"/>
        <item x="279"/>
        <item x="248"/>
        <item x="277"/>
        <item x="244"/>
        <item x="278"/>
        <item x="231"/>
        <item x="268"/>
        <item x="271"/>
        <item x="177"/>
        <item x="238"/>
        <item x="236"/>
        <item x="12"/>
        <item x="26"/>
        <item x="40"/>
        <item x="52"/>
        <item x="96"/>
        <item x="29"/>
        <item x="124"/>
        <item x="77"/>
        <item x="74"/>
        <item x="92"/>
        <item x="108"/>
        <item x="48"/>
        <item x="127"/>
        <item x="38"/>
        <item x="53"/>
        <item x="75"/>
        <item x="80"/>
        <item x="84"/>
        <item x="86"/>
        <item x="104"/>
        <item x="22"/>
        <item x="7"/>
        <item x="116"/>
        <item x="106"/>
        <item x="101"/>
        <item x="131"/>
        <item x="137"/>
        <item x="46"/>
        <item x="122"/>
        <item x="119"/>
        <item x="20"/>
        <item x="140"/>
        <item x="189"/>
        <item x="195"/>
        <item x="196"/>
        <item x="193"/>
        <item x="152"/>
        <item x="154"/>
        <item x="167"/>
        <item x="166"/>
        <item x="168"/>
        <item x="266"/>
        <item x="111"/>
        <item x="113"/>
        <item x="182"/>
        <item x="183"/>
        <item x="161"/>
        <item x="159"/>
        <item x="239"/>
        <item x="267"/>
        <item x="181"/>
        <item x="246"/>
        <item x="171"/>
        <item x="164"/>
        <item x="163"/>
        <item x="172"/>
        <item x="173"/>
        <item x="170"/>
        <item x="169"/>
        <item x="49"/>
        <item x="21"/>
        <item x="16"/>
        <item x="36"/>
        <item x="155"/>
        <item x="19"/>
        <item x="233"/>
        <item x="258"/>
        <item x="276"/>
        <item x="245"/>
        <item x="256"/>
        <item x="235"/>
        <item x="144"/>
        <item x="211"/>
        <item x="213"/>
        <item x="206"/>
        <item x="272"/>
        <item x="240"/>
        <item x="175"/>
        <item x="269"/>
        <item x="162"/>
        <item x="150"/>
        <item x="148"/>
        <item x="44"/>
        <item x="1"/>
        <item x="85"/>
        <item x="2"/>
        <item x="146"/>
        <item x="210"/>
        <item x="33"/>
        <item x="9"/>
        <item x="0"/>
        <item x="6"/>
        <item x="56"/>
        <item x="47"/>
        <item x="27"/>
        <item x="17"/>
        <item x="91"/>
        <item x="34"/>
        <item x="60"/>
        <item x="90"/>
        <item x="64"/>
        <item x="68"/>
        <item x="82"/>
        <item x="3"/>
        <item x="138"/>
        <item x="117"/>
        <item x="132"/>
        <item x="66"/>
        <item x="41"/>
        <item x="61"/>
        <item x="103"/>
        <item x="129"/>
        <item x="18"/>
        <item x="100"/>
        <item x="87"/>
        <item x="186"/>
        <item x="28"/>
        <item x="126"/>
        <item x="110"/>
        <item x="78"/>
        <item x="10"/>
        <item x="32"/>
        <item x="112"/>
        <item x="58"/>
        <item x="57"/>
        <item x="45"/>
        <item x="31"/>
        <item x="67"/>
        <item x="139"/>
        <item x="73"/>
        <item x="76"/>
        <item x="102"/>
        <item x="118"/>
        <item x="89"/>
        <item x="128"/>
        <item x="123"/>
        <item x="62"/>
        <item x="5"/>
        <item x="99"/>
        <item x="191"/>
        <item x="190"/>
        <item x="192"/>
        <item x="230"/>
        <item x="234"/>
        <item x="158"/>
        <item x="264"/>
        <item x="223"/>
        <item x="254"/>
        <item x="176"/>
        <item x="220"/>
        <item x="252"/>
        <item x="222"/>
        <item x="259"/>
        <item x="121"/>
        <item x="14"/>
        <item x="232"/>
        <item x="257"/>
        <item x="228"/>
        <item x="225"/>
        <item x="261"/>
        <item x="226"/>
        <item x="218"/>
        <item x="160"/>
        <item x="94"/>
        <item x="25"/>
        <item x="42"/>
        <item x="59"/>
        <item x="54"/>
        <item x="107"/>
        <item x="136"/>
        <item x="24"/>
        <item x="202"/>
        <item x="133"/>
        <item x="97"/>
        <item x="263"/>
        <item x="262"/>
        <item x="241"/>
        <item x="242"/>
        <item x="204"/>
        <item x="205"/>
        <item x="201"/>
        <item x="50"/>
        <item x="37"/>
        <item x="156"/>
        <item x="153"/>
        <item x="188"/>
        <item x="185"/>
        <item x="174"/>
        <item x="180"/>
        <item x="149"/>
        <item x="229"/>
        <item x="270"/>
        <item x="4"/>
        <item x="200"/>
        <item x="260"/>
        <item x="227"/>
        <item x="219"/>
        <item x="224"/>
        <item x="221"/>
        <item x="253"/>
        <item x="114"/>
        <item x="79"/>
        <item x="23"/>
        <item x="35"/>
        <item x="30"/>
        <item x="69"/>
        <item x="98"/>
        <item x="55"/>
        <item x="15"/>
        <item x="11"/>
        <item x="120"/>
        <item x="109"/>
        <item x="83"/>
        <item x="65"/>
        <item x="71"/>
        <item x="130"/>
        <item x="70"/>
        <item x="39"/>
        <item x="63"/>
        <item x="72"/>
        <item x="81"/>
        <item x="13"/>
        <item x="43"/>
        <item x="105"/>
        <item x="51"/>
        <item x="125"/>
        <item x="135"/>
        <item x="88"/>
        <item x="1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3"/>
  </rowFields>
  <rowItems count="281">
    <i>
      <x v="154"/>
    </i>
    <i>
      <x v="10"/>
    </i>
    <i>
      <x v="205"/>
    </i>
    <i>
      <x v="88"/>
    </i>
    <i>
      <x v="188"/>
    </i>
    <i>
      <x v="2"/>
    </i>
    <i>
      <x v="82"/>
    </i>
    <i>
      <x v="141"/>
    </i>
    <i>
      <x v="135"/>
    </i>
    <i>
      <x v="209"/>
    </i>
    <i>
      <x v="23"/>
    </i>
    <i>
      <x v="116"/>
    </i>
    <i>
      <x v="199"/>
    </i>
    <i>
      <x v="113"/>
    </i>
    <i>
      <x v="233"/>
    </i>
    <i>
      <x v="48"/>
    </i>
    <i>
      <x v="16"/>
    </i>
    <i>
      <x v="72"/>
    </i>
    <i>
      <x v="214"/>
    </i>
    <i>
      <x v="194"/>
    </i>
    <i>
      <x v="140"/>
    </i>
    <i>
      <x v="240"/>
    </i>
    <i>
      <x v="7"/>
    </i>
    <i>
      <x v="256"/>
    </i>
    <i>
      <x v="165"/>
    </i>
    <i>
      <x v="246"/>
    </i>
    <i>
      <x v="5"/>
    </i>
    <i>
      <x v="132"/>
    </i>
    <i>
      <x v="243"/>
    </i>
    <i>
      <x v="122"/>
    </i>
    <i>
      <x v="183"/>
    </i>
    <i>
      <x v="117"/>
    </i>
    <i>
      <x v="146"/>
    </i>
    <i>
      <x v="28"/>
    </i>
    <i>
      <x v="134"/>
    </i>
    <i>
      <x v="279"/>
    </i>
    <i>
      <x v="220"/>
    </i>
    <i>
      <x v="118"/>
    </i>
    <i>
      <x v="273"/>
    </i>
    <i>
      <x v="96"/>
    </i>
    <i>
      <x v="234"/>
    </i>
    <i>
      <x v="112"/>
    </i>
    <i>
      <x v="22"/>
    </i>
    <i>
      <x v="260"/>
    </i>
    <i>
      <x v="27"/>
    </i>
    <i>
      <x v="121"/>
    </i>
    <i>
      <x v="195"/>
    </i>
    <i>
      <x v="163"/>
    </i>
    <i>
      <x v="148"/>
    </i>
    <i>
      <x v="238"/>
    </i>
    <i>
      <x v="265"/>
    </i>
    <i>
      <x v="123"/>
    </i>
    <i>
      <x v="269"/>
    </i>
    <i>
      <x v="3"/>
    </i>
    <i>
      <x v="68"/>
    </i>
    <i>
      <x v="248"/>
    </i>
    <i>
      <x v="191"/>
    </i>
    <i>
      <x v="232"/>
    </i>
    <i>
      <x v="57"/>
    </i>
    <i>
      <x v="196"/>
    </i>
    <i>
      <x v="30"/>
    </i>
    <i>
      <x v="59"/>
    </i>
    <i>
      <x v="53"/>
    </i>
    <i>
      <x v="239"/>
    </i>
    <i>
      <x v="83"/>
    </i>
    <i>
      <x v="110"/>
    </i>
    <i>
      <x v="237"/>
    </i>
    <i>
      <x v="176"/>
    </i>
    <i>
      <x v="253"/>
    </i>
    <i>
      <x v="105"/>
    </i>
    <i>
      <x v="115"/>
    </i>
    <i>
      <x v="98"/>
    </i>
    <i>
      <x v="255"/>
    </i>
    <i>
      <x v="108"/>
    </i>
    <i>
      <x v="86"/>
    </i>
    <i>
      <x v="65"/>
    </i>
    <i>
      <x v="186"/>
    </i>
    <i>
      <x v="225"/>
    </i>
    <i>
      <x v="158"/>
    </i>
    <i>
      <x v="125"/>
    </i>
    <i>
      <x v="271"/>
    </i>
    <i>
      <x v="249"/>
    </i>
    <i>
      <x v="142"/>
    </i>
    <i>
      <x v="137"/>
    </i>
    <i>
      <x v="35"/>
    </i>
    <i>
      <x v="276"/>
    </i>
    <i>
      <x v="187"/>
    </i>
    <i>
      <x v="222"/>
    </i>
    <i>
      <x v="45"/>
    </i>
    <i>
      <x v="147"/>
    </i>
    <i>
      <x v="203"/>
    </i>
    <i>
      <x v="80"/>
    </i>
    <i>
      <x v="133"/>
    </i>
    <i>
      <x v="12"/>
    </i>
    <i>
      <x v="266"/>
    </i>
    <i>
      <x v="242"/>
    </i>
    <i>
      <x v="221"/>
    </i>
    <i>
      <x v="104"/>
    </i>
    <i>
      <x v="274"/>
    </i>
    <i>
      <x v="119"/>
    </i>
    <i>
      <x v="218"/>
    </i>
    <i>
      <x v="24"/>
    </i>
    <i>
      <x v="52"/>
    </i>
    <i>
      <x v="90"/>
    </i>
    <i>
      <x v="267"/>
    </i>
    <i>
      <x v="138"/>
    </i>
    <i>
      <x v="258"/>
    </i>
    <i>
      <x v="84"/>
    </i>
    <i>
      <x v="136"/>
    </i>
    <i>
      <x v="9"/>
    </i>
    <i>
      <x v="17"/>
    </i>
    <i>
      <x v="33"/>
    </i>
    <i>
      <x v="231"/>
    </i>
    <i>
      <x v="160"/>
    </i>
    <i>
      <x v="95"/>
    </i>
    <i>
      <x v="216"/>
    </i>
    <i>
      <x v="50"/>
    </i>
    <i>
      <x v="55"/>
    </i>
    <i>
      <x v="200"/>
    </i>
    <i>
      <x v="67"/>
    </i>
    <i>
      <x v="179"/>
    </i>
    <i>
      <x v="40"/>
    </i>
    <i>
      <x v="202"/>
    </i>
    <i>
      <x v="153"/>
    </i>
    <i>
      <x v="107"/>
    </i>
    <i>
      <x v="139"/>
    </i>
    <i>
      <x v="66"/>
    </i>
    <i>
      <x v="13"/>
    </i>
    <i>
      <x v="101"/>
    </i>
    <i>
      <x v="159"/>
    </i>
    <i>
      <x v="111"/>
    </i>
    <i>
      <x v="97"/>
    </i>
    <i>
      <x v="227"/>
    </i>
    <i>
      <x v="75"/>
    </i>
    <i>
      <x v="236"/>
    </i>
    <i>
      <x v="62"/>
    </i>
    <i>
      <x v="74"/>
    </i>
    <i>
      <x v="102"/>
    </i>
    <i>
      <x v="245"/>
    </i>
    <i>
      <x v="261"/>
    </i>
    <i>
      <x v="226"/>
    </i>
    <i>
      <x v="79"/>
    </i>
    <i>
      <x v="150"/>
    </i>
    <i>
      <x v="193"/>
    </i>
    <i>
      <x v="26"/>
    </i>
    <i>
      <x v="175"/>
    </i>
    <i>
      <x v="268"/>
    </i>
    <i>
      <x v="38"/>
    </i>
    <i>
      <x v="47"/>
    </i>
    <i>
      <x v="76"/>
    </i>
    <i>
      <x v="167"/>
    </i>
    <i>
      <x v="91"/>
    </i>
    <i>
      <x v="275"/>
    </i>
    <i>
      <x v="190"/>
    </i>
    <i>
      <x v="128"/>
    </i>
    <i>
      <x v="254"/>
    </i>
    <i>
      <x v="171"/>
    </i>
    <i>
      <x v="131"/>
    </i>
    <i>
      <x v="89"/>
    </i>
    <i>
      <x v="145"/>
    </i>
    <i>
      <x v="61"/>
    </i>
    <i>
      <x v="41"/>
    </i>
    <i>
      <x v="204"/>
    </i>
    <i>
      <x v="210"/>
    </i>
    <i>
      <x v="56"/>
    </i>
    <i>
      <x v="109"/>
    </i>
    <i>
      <x v="92"/>
    </i>
    <i>
      <x v="168"/>
    </i>
    <i>
      <x/>
    </i>
    <i>
      <x v="174"/>
    </i>
    <i>
      <x v="46"/>
    </i>
    <i>
      <x v="185"/>
    </i>
    <i>
      <x v="244"/>
    </i>
    <i>
      <x v="149"/>
    </i>
    <i>
      <x v="8"/>
    </i>
    <i>
      <x v="178"/>
    </i>
    <i>
      <x v="217"/>
    </i>
    <i>
      <x v="1"/>
    </i>
    <i>
      <x v="151"/>
    </i>
    <i>
      <x v="229"/>
    </i>
    <i>
      <x v="224"/>
    </i>
    <i>
      <x v="39"/>
    </i>
    <i>
      <x v="106"/>
    </i>
    <i>
      <x v="172"/>
    </i>
    <i>
      <x v="114"/>
    </i>
    <i>
      <x v="259"/>
    </i>
    <i>
      <x v="264"/>
    </i>
    <i>
      <x v="230"/>
    </i>
    <i>
      <x v="11"/>
    </i>
    <i>
      <x v="58"/>
    </i>
    <i>
      <x v="247"/>
    </i>
    <i>
      <x v="252"/>
    </i>
    <i>
      <x v="257"/>
    </i>
    <i>
      <x v="49"/>
    </i>
    <i>
      <x v="124"/>
    </i>
    <i>
      <x v="180"/>
    </i>
    <i>
      <x v="152"/>
    </i>
    <i>
      <x v="6"/>
    </i>
    <i>
      <x v="270"/>
    </i>
    <i>
      <x v="21"/>
    </i>
    <i>
      <x v="189"/>
    </i>
    <i>
      <x v="99"/>
    </i>
    <i>
      <x v="77"/>
    </i>
    <i>
      <x v="42"/>
    </i>
    <i>
      <x v="4"/>
    </i>
    <i>
      <x v="161"/>
    </i>
    <i>
      <x v="213"/>
    </i>
    <i>
      <x v="81"/>
    </i>
    <i>
      <x v="182"/>
    </i>
    <i>
      <x v="228"/>
    </i>
    <i>
      <x v="69"/>
    </i>
    <i>
      <x v="211"/>
    </i>
    <i>
      <x v="215"/>
    </i>
    <i>
      <x v="36"/>
    </i>
    <i>
      <x v="70"/>
    </i>
    <i>
      <x v="43"/>
    </i>
    <i>
      <x v="173"/>
    </i>
    <i>
      <x v="201"/>
    </i>
    <i>
      <x v="166"/>
    </i>
    <i>
      <x v="78"/>
    </i>
    <i>
      <x v="129"/>
    </i>
    <i>
      <x v="162"/>
    </i>
    <i>
      <x v="15"/>
    </i>
    <i>
      <x v="29"/>
    </i>
    <i>
      <x v="93"/>
    </i>
    <i>
      <x v="20"/>
    </i>
    <i>
      <x v="34"/>
    </i>
    <i>
      <x v="277"/>
    </i>
    <i>
      <x v="206"/>
    </i>
    <i>
      <x v="60"/>
    </i>
    <i>
      <x v="169"/>
    </i>
    <i>
      <x v="18"/>
    </i>
    <i>
      <x v="144"/>
    </i>
    <i>
      <x v="25"/>
    </i>
    <i>
      <x v="250"/>
    </i>
    <i>
      <x v="94"/>
    </i>
    <i>
      <x v="181"/>
    </i>
    <i>
      <x v="14"/>
    </i>
    <i>
      <x v="263"/>
    </i>
    <i>
      <x v="197"/>
    </i>
    <i>
      <x v="208"/>
    </i>
    <i>
      <x v="278"/>
    </i>
    <i>
      <x v="130"/>
    </i>
    <i>
      <x v="71"/>
    </i>
    <i>
      <x v="223"/>
    </i>
    <i>
      <x v="32"/>
    </i>
    <i>
      <x v="235"/>
    </i>
    <i>
      <x v="272"/>
    </i>
    <i>
      <x v="184"/>
    </i>
    <i>
      <x v="241"/>
    </i>
    <i>
      <x v="207"/>
    </i>
    <i>
      <x v="156"/>
    </i>
    <i>
      <x v="54"/>
    </i>
    <i>
      <x v="192"/>
    </i>
    <i>
      <x v="64"/>
    </i>
    <i>
      <x v="37"/>
    </i>
    <i>
      <x v="212"/>
    </i>
    <i>
      <x v="170"/>
    </i>
    <i>
      <x v="31"/>
    </i>
    <i>
      <x v="219"/>
    </i>
    <i>
      <x v="87"/>
    </i>
    <i>
      <x v="51"/>
    </i>
    <i>
      <x v="164"/>
    </i>
    <i>
      <x v="127"/>
    </i>
    <i>
      <x v="103"/>
    </i>
    <i>
      <x v="177"/>
    </i>
    <i>
      <x v="120"/>
    </i>
    <i>
      <x v="73"/>
    </i>
    <i>
      <x v="126"/>
    </i>
    <i>
      <x v="157"/>
    </i>
    <i>
      <x v="63"/>
    </i>
    <i>
      <x v="100"/>
    </i>
    <i>
      <x v="85"/>
    </i>
    <i>
      <x v="143"/>
    </i>
    <i>
      <x v="44"/>
    </i>
    <i>
      <x v="155"/>
    </i>
    <i>
      <x v="198"/>
    </i>
    <i>
      <x v="251"/>
    </i>
    <i>
      <x v="19"/>
    </i>
    <i>
      <x v="262"/>
    </i>
    <i t="grand">
      <x/>
    </i>
  </rowItems>
  <colItems count="1">
    <i/>
  </colItems>
  <dataFields count="1">
    <dataField name="Sum of EXTENDED_RESALE_US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C01B-FA7B-3C45-BEC7-7BA648DC0088}">
  <dimension ref="A2:N284"/>
  <sheetViews>
    <sheetView topLeftCell="A154" workbookViewId="0">
      <selection activeCell="E190" sqref="E190"/>
    </sheetView>
  </sheetViews>
  <sheetFormatPr baseColWidth="10" defaultRowHeight="15" x14ac:dyDescent="0.2"/>
  <cols>
    <col min="1" max="1" width="22.33203125" bestFit="1" customWidth="1"/>
    <col min="2" max="2" width="21" style="6" bestFit="1" customWidth="1"/>
    <col min="3" max="5" width="14.1640625" customWidth="1"/>
    <col min="6" max="6" width="2.33203125" customWidth="1"/>
    <col min="7" max="7" width="23" bestFit="1" customWidth="1"/>
    <col min="8" max="8" width="15.6640625" bestFit="1" customWidth="1"/>
    <col min="9" max="9" width="2.6640625" customWidth="1"/>
    <col min="10" max="10" width="23" bestFit="1" customWidth="1"/>
    <col min="11" max="11" width="21" style="6" bestFit="1" customWidth="1"/>
    <col min="12" max="12" width="2.83203125" customWidth="1"/>
    <col min="13" max="13" width="23" bestFit="1" customWidth="1"/>
    <col min="14" max="14" width="25.1640625" style="15" bestFit="1" customWidth="1"/>
  </cols>
  <sheetData>
    <row r="2" spans="1:14" x14ac:dyDescent="0.2">
      <c r="G2" t="s">
        <v>392</v>
      </c>
      <c r="J2" t="s">
        <v>393</v>
      </c>
      <c r="M2" t="s">
        <v>395</v>
      </c>
    </row>
    <row r="3" spans="1:14" x14ac:dyDescent="0.2">
      <c r="A3" s="18" t="s">
        <v>389</v>
      </c>
      <c r="B3" s="6" t="s">
        <v>388</v>
      </c>
      <c r="G3" s="18" t="s">
        <v>389</v>
      </c>
      <c r="H3" t="s">
        <v>391</v>
      </c>
      <c r="J3" s="18" t="s">
        <v>389</v>
      </c>
      <c r="K3" s="6" t="s">
        <v>388</v>
      </c>
      <c r="M3" s="18" t="s">
        <v>389</v>
      </c>
      <c r="N3" s="15" t="s">
        <v>394</v>
      </c>
    </row>
    <row r="4" spans="1:14" x14ac:dyDescent="0.2">
      <c r="A4" s="19" t="s">
        <v>83</v>
      </c>
      <c r="B4" s="6">
        <v>8269212.6000000229</v>
      </c>
      <c r="C4">
        <f>VLOOKUP(A4,G:H,2,FALSE)</f>
        <v>3246368.4000000004</v>
      </c>
      <c r="D4">
        <f>VLOOKUP(A4,J:K,2,FALSE)</f>
        <v>7270975.7999999989</v>
      </c>
      <c r="E4">
        <f>VLOOKUP(A4,M:N,2,FALSE)</f>
        <v>25189153.199999973</v>
      </c>
      <c r="G4" s="19" t="s">
        <v>233</v>
      </c>
      <c r="H4">
        <v>29500406.399999987</v>
      </c>
      <c r="J4" s="19" t="s">
        <v>53</v>
      </c>
      <c r="K4" s="6">
        <v>26724852.000000004</v>
      </c>
      <c r="M4" s="19" t="s">
        <v>77</v>
      </c>
      <c r="N4" s="15">
        <v>31209956.609999973</v>
      </c>
    </row>
    <row r="5" spans="1:14" x14ac:dyDescent="0.2">
      <c r="A5" s="19" t="s">
        <v>265</v>
      </c>
      <c r="B5" s="6">
        <v>8269212.6000000229</v>
      </c>
      <c r="C5">
        <f t="shared" ref="C5:C29" si="0">VLOOKUP(A5,G:H,2,FALSE)</f>
        <v>3246368.4000000004</v>
      </c>
      <c r="D5">
        <f t="shared" ref="D5:D29" si="1">VLOOKUP(A5,J:K,2,FALSE)</f>
        <v>7270975.7999999989</v>
      </c>
      <c r="E5">
        <f t="shared" ref="E5:E29" si="2">VLOOKUP(A5,M:N,2,FALSE)</f>
        <v>25189153.199999973</v>
      </c>
      <c r="G5" s="19" t="s">
        <v>51</v>
      </c>
      <c r="H5">
        <v>29500406.399999987</v>
      </c>
      <c r="J5" s="19" t="s">
        <v>235</v>
      </c>
      <c r="K5" s="6">
        <v>26724852.000000004</v>
      </c>
      <c r="M5" s="19" t="s">
        <v>259</v>
      </c>
      <c r="N5" s="15">
        <v>31209956.609999973</v>
      </c>
    </row>
    <row r="6" spans="1:14" x14ac:dyDescent="0.2">
      <c r="A6" s="19" t="s">
        <v>108</v>
      </c>
      <c r="B6" s="6">
        <v>7899996.6500000004</v>
      </c>
      <c r="C6" t="e">
        <f t="shared" si="0"/>
        <v>#N/A</v>
      </c>
      <c r="D6">
        <f t="shared" si="1"/>
        <v>8408378.9299999997</v>
      </c>
      <c r="E6">
        <f t="shared" si="2"/>
        <v>4637796.7999999989</v>
      </c>
      <c r="G6" s="19" t="s">
        <v>53</v>
      </c>
      <c r="H6">
        <v>23223957.680000003</v>
      </c>
      <c r="J6" s="19" t="s">
        <v>304</v>
      </c>
      <c r="K6" s="6">
        <v>20720883.719999999</v>
      </c>
      <c r="M6" s="19" t="s">
        <v>83</v>
      </c>
      <c r="N6" s="15">
        <v>25189153.199999973</v>
      </c>
    </row>
    <row r="7" spans="1:14" x14ac:dyDescent="0.2">
      <c r="A7" s="19" t="s">
        <v>290</v>
      </c>
      <c r="B7" s="6">
        <v>7899996.6500000004</v>
      </c>
      <c r="C7" t="e">
        <f t="shared" si="0"/>
        <v>#N/A</v>
      </c>
      <c r="D7">
        <f t="shared" si="1"/>
        <v>8408378.9299999997</v>
      </c>
      <c r="E7">
        <f t="shared" si="2"/>
        <v>4637796.7999999989</v>
      </c>
      <c r="G7" s="19" t="s">
        <v>235</v>
      </c>
      <c r="H7">
        <v>23223957.680000003</v>
      </c>
      <c r="J7" s="19" t="s">
        <v>122</v>
      </c>
      <c r="K7" s="6">
        <v>20720883.719999999</v>
      </c>
      <c r="M7" s="19" t="s">
        <v>265</v>
      </c>
      <c r="N7" s="15">
        <v>25189153.199999973</v>
      </c>
    </row>
    <row r="8" spans="1:14" x14ac:dyDescent="0.2">
      <c r="A8" s="19" t="s">
        <v>85</v>
      </c>
      <c r="B8" s="6">
        <v>7780632.7500000279</v>
      </c>
      <c r="C8">
        <f t="shared" si="0"/>
        <v>4368461.4000000004</v>
      </c>
      <c r="D8">
        <f t="shared" si="1"/>
        <v>5234621.8500000006</v>
      </c>
      <c r="E8">
        <f t="shared" si="2"/>
        <v>22988310.599999979</v>
      </c>
      <c r="G8" s="19" t="s">
        <v>234</v>
      </c>
      <c r="H8">
        <v>14919623.719999999</v>
      </c>
      <c r="J8" s="19" t="s">
        <v>51</v>
      </c>
      <c r="K8" s="6">
        <v>19747363.509999998</v>
      </c>
      <c r="M8" s="19" t="s">
        <v>66</v>
      </c>
      <c r="N8" s="15">
        <v>23646683.999999996</v>
      </c>
    </row>
    <row r="9" spans="1:14" x14ac:dyDescent="0.2">
      <c r="A9" s="19" t="s">
        <v>267</v>
      </c>
      <c r="B9" s="6">
        <v>7780632.7500000279</v>
      </c>
      <c r="C9">
        <f t="shared" si="0"/>
        <v>4368461.4000000004</v>
      </c>
      <c r="D9">
        <f t="shared" si="1"/>
        <v>5234621.8500000006</v>
      </c>
      <c r="E9">
        <f t="shared" si="2"/>
        <v>22988310.599999979</v>
      </c>
      <c r="G9" s="19" t="s">
        <v>52</v>
      </c>
      <c r="H9">
        <v>14919623.719999999</v>
      </c>
      <c r="J9" s="19" t="s">
        <v>233</v>
      </c>
      <c r="K9" s="6">
        <v>19747363.509999998</v>
      </c>
      <c r="M9" s="19" t="s">
        <v>248</v>
      </c>
      <c r="N9" s="15">
        <v>23646683.999999996</v>
      </c>
    </row>
    <row r="10" spans="1:14" x14ac:dyDescent="0.2">
      <c r="A10" s="19" t="s">
        <v>142</v>
      </c>
      <c r="B10" s="6">
        <v>7339422.7199999997</v>
      </c>
      <c r="C10" t="e">
        <f t="shared" si="0"/>
        <v>#N/A</v>
      </c>
      <c r="D10">
        <f t="shared" si="1"/>
        <v>7163904</v>
      </c>
      <c r="E10">
        <f t="shared" si="2"/>
        <v>3322248.5999999996</v>
      </c>
      <c r="G10" s="19" t="s">
        <v>340</v>
      </c>
      <c r="H10">
        <v>7586577.5999999978</v>
      </c>
      <c r="J10" s="19" t="s">
        <v>315</v>
      </c>
      <c r="K10" s="6">
        <v>13325877</v>
      </c>
      <c r="M10" s="19" t="s">
        <v>267</v>
      </c>
      <c r="N10" s="15">
        <v>22988310.599999979</v>
      </c>
    </row>
    <row r="11" spans="1:14" x14ac:dyDescent="0.2">
      <c r="A11" s="19" t="s">
        <v>324</v>
      </c>
      <c r="B11" s="6">
        <v>7339422.7199999997</v>
      </c>
      <c r="C11" t="e">
        <f t="shared" si="0"/>
        <v>#N/A</v>
      </c>
      <c r="D11">
        <f t="shared" si="1"/>
        <v>7163904</v>
      </c>
      <c r="E11">
        <f t="shared" si="2"/>
        <v>3322248.5999999996</v>
      </c>
      <c r="G11" s="19" t="s">
        <v>158</v>
      </c>
      <c r="H11">
        <v>7586577.5999999978</v>
      </c>
      <c r="J11" s="19" t="s">
        <v>133</v>
      </c>
      <c r="K11" s="6">
        <v>13325877</v>
      </c>
      <c r="M11" s="19" t="s">
        <v>85</v>
      </c>
      <c r="N11" s="15">
        <v>22988310.599999979</v>
      </c>
    </row>
    <row r="12" spans="1:14" x14ac:dyDescent="0.2">
      <c r="A12" s="19" t="s">
        <v>270</v>
      </c>
      <c r="B12" s="6">
        <v>6933031.7099999925</v>
      </c>
      <c r="C12" t="e">
        <f t="shared" si="0"/>
        <v>#N/A</v>
      </c>
      <c r="D12">
        <f t="shared" si="1"/>
        <v>6767230.8000000007</v>
      </c>
      <c r="E12">
        <f t="shared" si="2"/>
        <v>4407259.12</v>
      </c>
      <c r="G12" s="19" t="s">
        <v>267</v>
      </c>
      <c r="H12">
        <v>4368461.4000000004</v>
      </c>
      <c r="J12" s="19" t="s">
        <v>108</v>
      </c>
      <c r="K12" s="6">
        <v>8408378.9299999997</v>
      </c>
      <c r="M12" s="19" t="s">
        <v>53</v>
      </c>
      <c r="N12" s="15">
        <v>18405362.360000003</v>
      </c>
    </row>
    <row r="13" spans="1:14" x14ac:dyDescent="0.2">
      <c r="A13" s="19" t="s">
        <v>88</v>
      </c>
      <c r="B13" s="6">
        <v>6933031.7099999925</v>
      </c>
      <c r="C13" t="e">
        <f t="shared" si="0"/>
        <v>#N/A</v>
      </c>
      <c r="D13">
        <f t="shared" si="1"/>
        <v>6767230.8000000007</v>
      </c>
      <c r="E13">
        <f t="shared" si="2"/>
        <v>4407259.12</v>
      </c>
      <c r="G13" s="19" t="s">
        <v>85</v>
      </c>
      <c r="H13">
        <v>4368461.4000000004</v>
      </c>
      <c r="J13" s="19" t="s">
        <v>290</v>
      </c>
      <c r="K13" s="6">
        <v>8408378.9299999997</v>
      </c>
      <c r="M13" s="19" t="s">
        <v>235</v>
      </c>
      <c r="N13" s="15">
        <v>18405362.360000003</v>
      </c>
    </row>
    <row r="14" spans="1:14" x14ac:dyDescent="0.2">
      <c r="A14" s="19" t="s">
        <v>304</v>
      </c>
      <c r="B14" s="6">
        <v>6178531.5599999959</v>
      </c>
      <c r="C14">
        <f t="shared" si="0"/>
        <v>3101529.96</v>
      </c>
      <c r="D14">
        <f t="shared" si="1"/>
        <v>20720883.719999999</v>
      </c>
      <c r="E14">
        <f t="shared" si="2"/>
        <v>1369917.0000000005</v>
      </c>
      <c r="G14" s="19" t="s">
        <v>83</v>
      </c>
      <c r="H14">
        <v>3246368.4000000004</v>
      </c>
      <c r="J14" s="19" t="s">
        <v>121</v>
      </c>
      <c r="K14" s="6">
        <v>8398744.2000000011</v>
      </c>
      <c r="M14" s="19" t="s">
        <v>51</v>
      </c>
      <c r="N14" s="15">
        <v>16622457.799999999</v>
      </c>
    </row>
    <row r="15" spans="1:14" x14ac:dyDescent="0.2">
      <c r="A15" s="19" t="s">
        <v>122</v>
      </c>
      <c r="B15" s="6">
        <v>6178531.5599999959</v>
      </c>
      <c r="C15">
        <f t="shared" si="0"/>
        <v>3101529.96</v>
      </c>
      <c r="D15">
        <f t="shared" si="1"/>
        <v>20720883.719999999</v>
      </c>
      <c r="E15">
        <f t="shared" si="2"/>
        <v>1369917.0000000005</v>
      </c>
      <c r="G15" s="19" t="s">
        <v>265</v>
      </c>
      <c r="H15">
        <v>3246368.4000000004</v>
      </c>
      <c r="J15" s="19" t="s">
        <v>303</v>
      </c>
      <c r="K15" s="6">
        <v>8398744.2000000011</v>
      </c>
      <c r="M15" s="19" t="s">
        <v>233</v>
      </c>
      <c r="N15" s="15">
        <v>16622457.799999999</v>
      </c>
    </row>
    <row r="16" spans="1:14" x14ac:dyDescent="0.2">
      <c r="A16" s="19" t="s">
        <v>303</v>
      </c>
      <c r="B16" s="6">
        <v>5866748.9999999944</v>
      </c>
      <c r="C16" t="e">
        <f t="shared" si="0"/>
        <v>#N/A</v>
      </c>
      <c r="D16">
        <f t="shared" si="1"/>
        <v>8398744.2000000011</v>
      </c>
      <c r="E16">
        <f t="shared" si="2"/>
        <v>338967.72</v>
      </c>
      <c r="G16" s="19" t="s">
        <v>304</v>
      </c>
      <c r="H16">
        <v>3101529.96</v>
      </c>
      <c r="J16" s="19" t="s">
        <v>265</v>
      </c>
      <c r="K16" s="6">
        <v>7270975.7999999989</v>
      </c>
      <c r="M16" s="19" t="s">
        <v>254</v>
      </c>
      <c r="N16" s="15">
        <v>11238166.800000006</v>
      </c>
    </row>
    <row r="17" spans="1:14" x14ac:dyDescent="0.2">
      <c r="A17" s="19" t="s">
        <v>121</v>
      </c>
      <c r="B17" s="6">
        <v>5866748.9999999944</v>
      </c>
      <c r="C17" t="e">
        <f t="shared" si="0"/>
        <v>#N/A</v>
      </c>
      <c r="D17">
        <f t="shared" si="1"/>
        <v>8398744.2000000011</v>
      </c>
      <c r="E17">
        <f t="shared" si="2"/>
        <v>338967.72</v>
      </c>
      <c r="G17" s="19" t="s">
        <v>122</v>
      </c>
      <c r="H17">
        <v>3101529.96</v>
      </c>
      <c r="J17" s="19" t="s">
        <v>83</v>
      </c>
      <c r="K17" s="6">
        <v>7270975.7999999989</v>
      </c>
      <c r="M17" s="19" t="s">
        <v>72</v>
      </c>
      <c r="N17" s="15">
        <v>11238166.800000006</v>
      </c>
    </row>
    <row r="18" spans="1:14" x14ac:dyDescent="0.2">
      <c r="A18" s="19" t="s">
        <v>66</v>
      </c>
      <c r="B18" s="6">
        <v>5807308.5</v>
      </c>
      <c r="C18">
        <f t="shared" si="0"/>
        <v>1722369</v>
      </c>
      <c r="D18">
        <f t="shared" si="1"/>
        <v>6555285</v>
      </c>
      <c r="E18">
        <f t="shared" si="2"/>
        <v>23646683.999999996</v>
      </c>
      <c r="G18" s="19" t="s">
        <v>259</v>
      </c>
      <c r="H18">
        <v>3016734</v>
      </c>
      <c r="J18" s="19" t="s">
        <v>142</v>
      </c>
      <c r="K18" s="6">
        <v>7163904</v>
      </c>
      <c r="M18" s="19" t="s">
        <v>76</v>
      </c>
      <c r="N18" s="15">
        <v>9531891.5999999903</v>
      </c>
    </row>
    <row r="19" spans="1:14" x14ac:dyDescent="0.2">
      <c r="A19" s="19" t="s">
        <v>248</v>
      </c>
      <c r="B19" s="6">
        <v>5807308.5</v>
      </c>
      <c r="C19">
        <f t="shared" si="0"/>
        <v>1722369</v>
      </c>
      <c r="D19">
        <f t="shared" si="1"/>
        <v>6555285</v>
      </c>
      <c r="E19">
        <f t="shared" si="2"/>
        <v>23646683.999999996</v>
      </c>
      <c r="G19" s="19" t="s">
        <v>77</v>
      </c>
      <c r="H19">
        <v>3016734</v>
      </c>
      <c r="J19" s="19" t="s">
        <v>324</v>
      </c>
      <c r="K19" s="6">
        <v>7163904</v>
      </c>
      <c r="M19" s="19" t="s">
        <v>258</v>
      </c>
      <c r="N19" s="15">
        <v>9531891.5999999903</v>
      </c>
    </row>
    <row r="20" spans="1:14" x14ac:dyDescent="0.2">
      <c r="A20" s="19" t="s">
        <v>246</v>
      </c>
      <c r="B20" s="6">
        <v>4563261.1500000004</v>
      </c>
      <c r="C20">
        <f t="shared" si="0"/>
        <v>469884.80000000005</v>
      </c>
      <c r="D20">
        <f t="shared" si="1"/>
        <v>2255447.0399999996</v>
      </c>
      <c r="E20">
        <f t="shared" si="2"/>
        <v>6834270.5199999986</v>
      </c>
      <c r="G20" s="19" t="s">
        <v>54</v>
      </c>
      <c r="H20">
        <v>2477048.9400000004</v>
      </c>
      <c r="J20" s="19" t="s">
        <v>270</v>
      </c>
      <c r="K20" s="6">
        <v>6767230.8000000007</v>
      </c>
      <c r="M20" s="19" t="s">
        <v>268</v>
      </c>
      <c r="N20" s="15">
        <v>9430247.0000000112</v>
      </c>
    </row>
    <row r="21" spans="1:14" x14ac:dyDescent="0.2">
      <c r="A21" s="19" t="s">
        <v>64</v>
      </c>
      <c r="B21" s="6">
        <v>4563261.1500000004</v>
      </c>
      <c r="C21">
        <f t="shared" si="0"/>
        <v>469884.80000000005</v>
      </c>
      <c r="D21">
        <f t="shared" si="1"/>
        <v>2255447.0399999996</v>
      </c>
      <c r="E21">
        <f t="shared" si="2"/>
        <v>6834270.5199999986</v>
      </c>
      <c r="G21" s="19" t="s">
        <v>236</v>
      </c>
      <c r="H21">
        <v>2477048.9400000004</v>
      </c>
      <c r="J21" s="19" t="s">
        <v>88</v>
      </c>
      <c r="K21" s="6">
        <v>6767230.8000000007</v>
      </c>
      <c r="M21" s="19" t="s">
        <v>86</v>
      </c>
      <c r="N21" s="15">
        <v>9430247.0000000112</v>
      </c>
    </row>
    <row r="22" spans="1:14" x14ac:dyDescent="0.2">
      <c r="A22" s="19" t="s">
        <v>302</v>
      </c>
      <c r="B22" s="6">
        <v>4280133.78</v>
      </c>
      <c r="C22" t="e">
        <f t="shared" si="0"/>
        <v>#N/A</v>
      </c>
      <c r="D22">
        <f t="shared" si="1"/>
        <v>4177778.2800000003</v>
      </c>
      <c r="E22">
        <f t="shared" si="2"/>
        <v>8079370.740000003</v>
      </c>
      <c r="G22" s="19" t="s">
        <v>66</v>
      </c>
      <c r="H22">
        <v>1722369</v>
      </c>
      <c r="J22" s="19" t="s">
        <v>134</v>
      </c>
      <c r="K22" s="6">
        <v>6692768.1600000001</v>
      </c>
      <c r="M22" s="19" t="s">
        <v>52</v>
      </c>
      <c r="N22" s="15">
        <v>8397221.9499999993</v>
      </c>
    </row>
    <row r="23" spans="1:14" x14ac:dyDescent="0.2">
      <c r="A23" s="19" t="s">
        <v>120</v>
      </c>
      <c r="B23" s="6">
        <v>4280133.78</v>
      </c>
      <c r="C23" t="e">
        <f t="shared" si="0"/>
        <v>#N/A</v>
      </c>
      <c r="D23">
        <f t="shared" si="1"/>
        <v>4177778.2800000003</v>
      </c>
      <c r="E23">
        <f t="shared" si="2"/>
        <v>8079370.740000003</v>
      </c>
      <c r="G23" s="19" t="s">
        <v>248</v>
      </c>
      <c r="H23">
        <v>1722369</v>
      </c>
      <c r="J23" s="19" t="s">
        <v>316</v>
      </c>
      <c r="K23" s="6">
        <v>6692768.1600000001</v>
      </c>
      <c r="M23" s="19" t="s">
        <v>234</v>
      </c>
      <c r="N23" s="15">
        <v>8397221.9499999993</v>
      </c>
    </row>
    <row r="24" spans="1:14" x14ac:dyDescent="0.2">
      <c r="A24" s="19" t="s">
        <v>258</v>
      </c>
      <c r="B24" s="6">
        <v>3846557.400000005</v>
      </c>
      <c r="C24">
        <f t="shared" si="0"/>
        <v>570318</v>
      </c>
      <c r="D24">
        <f t="shared" si="1"/>
        <v>4467491</v>
      </c>
      <c r="E24">
        <f t="shared" si="2"/>
        <v>9531891.5999999903</v>
      </c>
      <c r="G24" s="19" t="s">
        <v>344</v>
      </c>
      <c r="H24">
        <v>1503922.04</v>
      </c>
      <c r="J24" s="19" t="s">
        <v>66</v>
      </c>
      <c r="K24" s="6">
        <v>6555285</v>
      </c>
      <c r="M24" s="19" t="s">
        <v>55</v>
      </c>
      <c r="N24" s="15">
        <v>8286066.7200000007</v>
      </c>
    </row>
    <row r="25" spans="1:14" x14ac:dyDescent="0.2">
      <c r="A25" s="19" t="s">
        <v>76</v>
      </c>
      <c r="B25" s="6">
        <v>3846557.400000005</v>
      </c>
      <c r="C25">
        <f t="shared" si="0"/>
        <v>570318</v>
      </c>
      <c r="D25">
        <f t="shared" si="1"/>
        <v>4467491</v>
      </c>
      <c r="E25">
        <f t="shared" si="2"/>
        <v>9531891.5999999903</v>
      </c>
      <c r="G25" s="19" t="s">
        <v>162</v>
      </c>
      <c r="H25">
        <v>1503922.04</v>
      </c>
      <c r="J25" s="19" t="s">
        <v>248</v>
      </c>
      <c r="K25" s="6">
        <v>6555285</v>
      </c>
      <c r="M25" s="19" t="s">
        <v>237</v>
      </c>
      <c r="N25" s="15">
        <v>8286066.7200000007</v>
      </c>
    </row>
    <row r="26" spans="1:14" x14ac:dyDescent="0.2">
      <c r="A26" s="19" t="s">
        <v>275</v>
      </c>
      <c r="B26" s="6">
        <v>2986222.98</v>
      </c>
      <c r="C26" t="e">
        <f t="shared" si="0"/>
        <v>#N/A</v>
      </c>
      <c r="D26">
        <f t="shared" si="1"/>
        <v>310279.2</v>
      </c>
      <c r="E26">
        <f t="shared" si="2"/>
        <v>727579.60000000009</v>
      </c>
      <c r="G26" s="19" t="s">
        <v>58</v>
      </c>
      <c r="H26">
        <v>921213.41999999993</v>
      </c>
      <c r="J26" s="19" t="s">
        <v>54</v>
      </c>
      <c r="K26" s="6">
        <v>6358983.1199999982</v>
      </c>
      <c r="M26" s="19" t="s">
        <v>302</v>
      </c>
      <c r="N26" s="15">
        <v>8079370.740000003</v>
      </c>
    </row>
    <row r="27" spans="1:14" x14ac:dyDescent="0.2">
      <c r="A27" s="19" t="s">
        <v>93</v>
      </c>
      <c r="B27" s="6">
        <v>2986222.98</v>
      </c>
      <c r="C27" t="e">
        <f t="shared" si="0"/>
        <v>#N/A</v>
      </c>
      <c r="D27">
        <f t="shared" si="1"/>
        <v>310279.2</v>
      </c>
      <c r="E27">
        <f t="shared" si="2"/>
        <v>727579.60000000009</v>
      </c>
      <c r="G27" s="19" t="s">
        <v>240</v>
      </c>
      <c r="H27">
        <v>921213.41999999993</v>
      </c>
      <c r="J27" s="19" t="s">
        <v>236</v>
      </c>
      <c r="K27" s="6">
        <v>6358983.1199999982</v>
      </c>
      <c r="M27" s="19" t="s">
        <v>120</v>
      </c>
      <c r="N27" s="15">
        <v>8079370.740000003</v>
      </c>
    </row>
    <row r="28" spans="1:14" x14ac:dyDescent="0.2">
      <c r="A28" s="19" t="s">
        <v>113</v>
      </c>
      <c r="B28" s="6">
        <v>1609617.5999999987</v>
      </c>
      <c r="C28">
        <f t="shared" si="0"/>
        <v>73978.8</v>
      </c>
      <c r="D28">
        <f t="shared" si="1"/>
        <v>1538821.7999999996</v>
      </c>
      <c r="E28">
        <f t="shared" si="2"/>
        <v>192022.79999999993</v>
      </c>
      <c r="G28" s="19" t="s">
        <v>73</v>
      </c>
      <c r="H28">
        <v>908362</v>
      </c>
      <c r="J28" s="19" t="s">
        <v>52</v>
      </c>
      <c r="K28" s="6">
        <v>6168975.1199999992</v>
      </c>
      <c r="M28" s="19" t="s">
        <v>64</v>
      </c>
      <c r="N28" s="15">
        <v>6834270.5199999986</v>
      </c>
    </row>
    <row r="29" spans="1:14" x14ac:dyDescent="0.2">
      <c r="A29" s="19" t="s">
        <v>295</v>
      </c>
      <c r="B29" s="6">
        <v>1609617.5999999987</v>
      </c>
      <c r="C29">
        <f t="shared" si="0"/>
        <v>73978.8</v>
      </c>
      <c r="D29">
        <f t="shared" si="1"/>
        <v>1538821.7999999996</v>
      </c>
      <c r="E29">
        <f t="shared" si="2"/>
        <v>192022.79999999993</v>
      </c>
      <c r="G29" s="19" t="s">
        <v>255</v>
      </c>
      <c r="H29">
        <v>908362</v>
      </c>
      <c r="J29" s="19" t="s">
        <v>234</v>
      </c>
      <c r="K29" s="6">
        <v>6168975.1199999992</v>
      </c>
      <c r="M29" s="19" t="s">
        <v>246</v>
      </c>
      <c r="N29" s="15">
        <v>6834270.5199999986</v>
      </c>
    </row>
    <row r="30" spans="1:14" x14ac:dyDescent="0.2">
      <c r="A30" s="19" t="s">
        <v>268</v>
      </c>
      <c r="B30" s="6">
        <v>1497984.6600000001</v>
      </c>
      <c r="C30" t="e">
        <f t="shared" ref="C30:C93" si="3">VLOOKUP(A30,G:H,2,FALSE)</f>
        <v>#N/A</v>
      </c>
      <c r="D30">
        <f t="shared" ref="D30:D93" si="4">VLOOKUP(A30,J:K,2,FALSE)</f>
        <v>2538776.0699999998</v>
      </c>
      <c r="E30">
        <f t="shared" ref="E30:E93" si="5">VLOOKUP(A30,M:N,2,FALSE)</f>
        <v>9430247.0000000112</v>
      </c>
      <c r="G30" s="19" t="s">
        <v>147</v>
      </c>
      <c r="H30">
        <v>873589.5</v>
      </c>
      <c r="J30" s="19" t="s">
        <v>85</v>
      </c>
      <c r="K30" s="6">
        <v>5234621.8500000006</v>
      </c>
      <c r="M30" s="19" t="s">
        <v>74</v>
      </c>
      <c r="N30" s="15">
        <v>6379262.4000000022</v>
      </c>
    </row>
    <row r="31" spans="1:14" x14ac:dyDescent="0.2">
      <c r="A31" s="19" t="s">
        <v>86</v>
      </c>
      <c r="B31" s="6">
        <v>1497984.6600000001</v>
      </c>
      <c r="C31" t="e">
        <f t="shared" si="3"/>
        <v>#N/A</v>
      </c>
      <c r="D31">
        <f t="shared" si="4"/>
        <v>2538776.0699999998</v>
      </c>
      <c r="E31">
        <f t="shared" si="5"/>
        <v>9430247.0000000112</v>
      </c>
      <c r="G31" s="19" t="s">
        <v>329</v>
      </c>
      <c r="H31">
        <v>873589.5</v>
      </c>
      <c r="J31" s="19" t="s">
        <v>267</v>
      </c>
      <c r="K31" s="6">
        <v>5234621.8500000006</v>
      </c>
      <c r="M31" s="19" t="s">
        <v>256</v>
      </c>
      <c r="N31" s="15">
        <v>6379262.4000000022</v>
      </c>
    </row>
    <row r="32" spans="1:14" x14ac:dyDescent="0.2">
      <c r="A32" s="19" t="s">
        <v>237</v>
      </c>
      <c r="B32" s="6">
        <v>1351896.4800000007</v>
      </c>
      <c r="C32">
        <f t="shared" si="3"/>
        <v>546070.67999999993</v>
      </c>
      <c r="D32">
        <f t="shared" si="4"/>
        <v>1547087.04</v>
      </c>
      <c r="E32">
        <f t="shared" si="5"/>
        <v>8286066.7200000007</v>
      </c>
      <c r="G32" s="19" t="s">
        <v>315</v>
      </c>
      <c r="H32">
        <v>754786.56</v>
      </c>
      <c r="J32" s="19" t="s">
        <v>158</v>
      </c>
      <c r="K32" s="6">
        <v>4523495.76</v>
      </c>
      <c r="M32" s="19" t="s">
        <v>73</v>
      </c>
      <c r="N32" s="15">
        <v>6218273.4000000041</v>
      </c>
    </row>
    <row r="33" spans="1:14" x14ac:dyDescent="0.2">
      <c r="A33" s="19" t="s">
        <v>55</v>
      </c>
      <c r="B33" s="6">
        <v>1351896.4800000007</v>
      </c>
      <c r="C33">
        <f t="shared" si="3"/>
        <v>546070.67999999993</v>
      </c>
      <c r="D33">
        <f t="shared" si="4"/>
        <v>1547087.04</v>
      </c>
      <c r="E33">
        <f t="shared" si="5"/>
        <v>8286066.7200000007</v>
      </c>
      <c r="G33" s="19" t="s">
        <v>133</v>
      </c>
      <c r="H33">
        <v>754786.56</v>
      </c>
      <c r="J33" s="19" t="s">
        <v>340</v>
      </c>
      <c r="K33" s="6">
        <v>4523495.76</v>
      </c>
      <c r="M33" s="19" t="s">
        <v>255</v>
      </c>
      <c r="N33" s="15">
        <v>6218273.4000000041</v>
      </c>
    </row>
    <row r="34" spans="1:14" x14ac:dyDescent="0.2">
      <c r="A34" s="19" t="s">
        <v>240</v>
      </c>
      <c r="B34" s="6">
        <v>1298044.7999999998</v>
      </c>
      <c r="C34">
        <f t="shared" si="3"/>
        <v>921213.41999999993</v>
      </c>
      <c r="D34">
        <f t="shared" si="4"/>
        <v>1481684.24</v>
      </c>
      <c r="E34">
        <f t="shared" si="5"/>
        <v>5120259.3400000036</v>
      </c>
      <c r="G34" s="19" t="s">
        <v>72</v>
      </c>
      <c r="H34">
        <v>624162</v>
      </c>
      <c r="J34" s="19" t="s">
        <v>76</v>
      </c>
      <c r="K34" s="6">
        <v>4467491</v>
      </c>
      <c r="M34" s="19" t="s">
        <v>89</v>
      </c>
      <c r="N34" s="15">
        <v>5371600.5</v>
      </c>
    </row>
    <row r="35" spans="1:14" x14ac:dyDescent="0.2">
      <c r="A35" s="19" t="s">
        <v>58</v>
      </c>
      <c r="B35" s="6">
        <v>1298044.7999999998</v>
      </c>
      <c r="C35">
        <f t="shared" si="3"/>
        <v>921213.41999999993</v>
      </c>
      <c r="D35">
        <f t="shared" si="4"/>
        <v>1481684.24</v>
      </c>
      <c r="E35">
        <f t="shared" si="5"/>
        <v>5120259.3400000036</v>
      </c>
      <c r="G35" s="19" t="s">
        <v>254</v>
      </c>
      <c r="H35">
        <v>624162</v>
      </c>
      <c r="J35" s="19" t="s">
        <v>258</v>
      </c>
      <c r="K35" s="6">
        <v>4467491</v>
      </c>
      <c r="M35" s="19" t="s">
        <v>271</v>
      </c>
      <c r="N35" s="15">
        <v>5371600.5</v>
      </c>
    </row>
    <row r="36" spans="1:14" x14ac:dyDescent="0.2">
      <c r="A36" s="19" t="s">
        <v>141</v>
      </c>
      <c r="B36" s="6">
        <v>1226635.52</v>
      </c>
      <c r="C36" t="e">
        <f t="shared" si="3"/>
        <v>#N/A</v>
      </c>
      <c r="D36">
        <f t="shared" si="4"/>
        <v>1197306.8799999999</v>
      </c>
      <c r="E36">
        <f t="shared" si="5"/>
        <v>5257396.1600000039</v>
      </c>
      <c r="G36" s="19" t="s">
        <v>258</v>
      </c>
      <c r="H36">
        <v>570318</v>
      </c>
      <c r="J36" s="19" t="s">
        <v>302</v>
      </c>
      <c r="K36" s="6">
        <v>4177778.2800000003</v>
      </c>
      <c r="M36" s="19" t="s">
        <v>141</v>
      </c>
      <c r="N36" s="15">
        <v>5257396.1600000039</v>
      </c>
    </row>
    <row r="37" spans="1:14" x14ac:dyDescent="0.2">
      <c r="A37" s="19" t="s">
        <v>323</v>
      </c>
      <c r="B37" s="6">
        <v>1226635.52</v>
      </c>
      <c r="C37" t="e">
        <f t="shared" si="3"/>
        <v>#N/A</v>
      </c>
      <c r="D37">
        <f t="shared" si="4"/>
        <v>1197306.8799999999</v>
      </c>
      <c r="E37">
        <f t="shared" si="5"/>
        <v>5257396.1600000039</v>
      </c>
      <c r="G37" s="19" t="s">
        <v>76</v>
      </c>
      <c r="H37">
        <v>570318</v>
      </c>
      <c r="J37" s="19" t="s">
        <v>120</v>
      </c>
      <c r="K37" s="6">
        <v>4177778.2800000003</v>
      </c>
      <c r="M37" s="19" t="s">
        <v>323</v>
      </c>
      <c r="N37" s="15">
        <v>5257396.1600000039</v>
      </c>
    </row>
    <row r="38" spans="1:14" x14ac:dyDescent="0.2">
      <c r="A38" s="19" t="s">
        <v>132</v>
      </c>
      <c r="B38" s="6">
        <v>1179216</v>
      </c>
      <c r="C38" t="e">
        <f t="shared" si="3"/>
        <v>#N/A</v>
      </c>
      <c r="D38">
        <f t="shared" si="4"/>
        <v>1151020.8</v>
      </c>
      <c r="E38">
        <f t="shared" si="5"/>
        <v>1348329.6</v>
      </c>
      <c r="G38" s="19" t="s">
        <v>55</v>
      </c>
      <c r="H38">
        <v>546070.67999999993</v>
      </c>
      <c r="J38" s="19" t="s">
        <v>317</v>
      </c>
      <c r="K38" s="6">
        <v>3844129.3800000004</v>
      </c>
      <c r="M38" s="19" t="s">
        <v>58</v>
      </c>
      <c r="N38" s="15">
        <v>5120259.3400000036</v>
      </c>
    </row>
    <row r="39" spans="1:14" x14ac:dyDescent="0.2">
      <c r="A39" s="19" t="s">
        <v>314</v>
      </c>
      <c r="B39" s="6">
        <v>1179216</v>
      </c>
      <c r="C39" t="e">
        <f t="shared" si="3"/>
        <v>#N/A</v>
      </c>
      <c r="D39">
        <f t="shared" si="4"/>
        <v>1151020.8</v>
      </c>
      <c r="E39">
        <f t="shared" si="5"/>
        <v>1348329.6</v>
      </c>
      <c r="G39" s="19" t="s">
        <v>237</v>
      </c>
      <c r="H39">
        <v>546070.67999999993</v>
      </c>
      <c r="J39" s="19" t="s">
        <v>135</v>
      </c>
      <c r="K39" s="6">
        <v>3844129.3800000004</v>
      </c>
      <c r="M39" s="19" t="s">
        <v>240</v>
      </c>
      <c r="N39" s="15">
        <v>5120259.3400000036</v>
      </c>
    </row>
    <row r="40" spans="1:14" x14ac:dyDescent="0.2">
      <c r="A40" s="19" t="s">
        <v>288</v>
      </c>
      <c r="B40" s="6">
        <v>1075110</v>
      </c>
      <c r="C40" t="e">
        <f t="shared" si="3"/>
        <v>#N/A</v>
      </c>
      <c r="D40">
        <f t="shared" si="4"/>
        <v>1049400</v>
      </c>
      <c r="E40">
        <f t="shared" si="5"/>
        <v>259179.2</v>
      </c>
      <c r="G40" s="19" t="s">
        <v>246</v>
      </c>
      <c r="H40">
        <v>469884.80000000005</v>
      </c>
      <c r="J40" s="19" t="s">
        <v>86</v>
      </c>
      <c r="K40" s="6">
        <v>2538776.0699999998</v>
      </c>
      <c r="M40" s="19" t="s">
        <v>108</v>
      </c>
      <c r="N40" s="15">
        <v>4637796.7999999989</v>
      </c>
    </row>
    <row r="41" spans="1:14" x14ac:dyDescent="0.2">
      <c r="A41" s="19" t="s">
        <v>106</v>
      </c>
      <c r="B41" s="6">
        <v>1075110</v>
      </c>
      <c r="C41" t="e">
        <f t="shared" si="3"/>
        <v>#N/A</v>
      </c>
      <c r="D41">
        <f t="shared" si="4"/>
        <v>1049400</v>
      </c>
      <c r="E41">
        <f t="shared" si="5"/>
        <v>259179.2</v>
      </c>
      <c r="G41" s="19" t="s">
        <v>64</v>
      </c>
      <c r="H41">
        <v>469884.80000000005</v>
      </c>
      <c r="J41" s="19" t="s">
        <v>268</v>
      </c>
      <c r="K41" s="6">
        <v>2538776.0699999998</v>
      </c>
      <c r="M41" s="19" t="s">
        <v>290</v>
      </c>
      <c r="N41" s="15">
        <v>4637796.7999999989</v>
      </c>
    </row>
    <row r="42" spans="1:14" x14ac:dyDescent="0.2">
      <c r="A42" s="19" t="s">
        <v>74</v>
      </c>
      <c r="B42" s="6">
        <v>1074360</v>
      </c>
      <c r="C42">
        <f t="shared" si="3"/>
        <v>393246</v>
      </c>
      <c r="D42">
        <f t="shared" si="4"/>
        <v>1494334.8000000003</v>
      </c>
      <c r="E42">
        <f t="shared" si="5"/>
        <v>6379262.4000000022</v>
      </c>
      <c r="G42" s="19" t="s">
        <v>104</v>
      </c>
      <c r="H42">
        <v>421419.6</v>
      </c>
      <c r="J42" s="19" t="s">
        <v>246</v>
      </c>
      <c r="K42" s="6">
        <v>2255447.0399999996</v>
      </c>
      <c r="M42" s="19" t="s">
        <v>88</v>
      </c>
      <c r="N42" s="15">
        <v>4407259.12</v>
      </c>
    </row>
    <row r="43" spans="1:14" x14ac:dyDescent="0.2">
      <c r="A43" s="19" t="s">
        <v>256</v>
      </c>
      <c r="B43" s="6">
        <v>1074360</v>
      </c>
      <c r="C43">
        <f t="shared" si="3"/>
        <v>393246</v>
      </c>
      <c r="D43">
        <f t="shared" si="4"/>
        <v>1494334.8000000003</v>
      </c>
      <c r="E43">
        <f t="shared" si="5"/>
        <v>6379262.4000000022</v>
      </c>
      <c r="G43" s="19" t="s">
        <v>286</v>
      </c>
      <c r="H43">
        <v>421419.6</v>
      </c>
      <c r="J43" s="19" t="s">
        <v>64</v>
      </c>
      <c r="K43" s="6">
        <v>2255447.0399999996</v>
      </c>
      <c r="M43" s="19" t="s">
        <v>270</v>
      </c>
      <c r="N43" s="15">
        <v>4407259.12</v>
      </c>
    </row>
    <row r="44" spans="1:14" x14ac:dyDescent="0.2">
      <c r="A44" s="19" t="s">
        <v>259</v>
      </c>
      <c r="B44" s="6">
        <v>985224.87</v>
      </c>
      <c r="C44">
        <f t="shared" si="3"/>
        <v>3016734</v>
      </c>
      <c r="D44">
        <f t="shared" si="4"/>
        <v>437913</v>
      </c>
      <c r="E44">
        <f t="shared" si="5"/>
        <v>31209956.609999973</v>
      </c>
      <c r="G44" s="19" t="s">
        <v>74</v>
      </c>
      <c r="H44">
        <v>393246</v>
      </c>
      <c r="J44" s="19" t="s">
        <v>168</v>
      </c>
      <c r="K44" s="6">
        <v>2065829.4</v>
      </c>
      <c r="M44" s="19" t="s">
        <v>251</v>
      </c>
      <c r="N44" s="15">
        <v>3397499.2799999965</v>
      </c>
    </row>
    <row r="45" spans="1:14" x14ac:dyDescent="0.2">
      <c r="A45" s="19" t="s">
        <v>77</v>
      </c>
      <c r="B45" s="6">
        <v>985224.87</v>
      </c>
      <c r="C45">
        <f t="shared" si="3"/>
        <v>3016734</v>
      </c>
      <c r="D45">
        <f t="shared" si="4"/>
        <v>437913</v>
      </c>
      <c r="E45">
        <f t="shared" si="5"/>
        <v>31209956.609999973</v>
      </c>
      <c r="G45" s="19" t="s">
        <v>256</v>
      </c>
      <c r="H45">
        <v>393246</v>
      </c>
      <c r="J45" s="19" t="s">
        <v>350</v>
      </c>
      <c r="K45" s="6">
        <v>2065829.4</v>
      </c>
      <c r="M45" s="19" t="s">
        <v>69</v>
      </c>
      <c r="N45" s="15">
        <v>3397499.2799999965</v>
      </c>
    </row>
    <row r="46" spans="1:14" x14ac:dyDescent="0.2">
      <c r="A46" s="19" t="s">
        <v>254</v>
      </c>
      <c r="B46" s="6">
        <v>813850.7999999997</v>
      </c>
      <c r="C46">
        <f t="shared" si="3"/>
        <v>624162</v>
      </c>
      <c r="D46">
        <f t="shared" si="4"/>
        <v>1673889</v>
      </c>
      <c r="E46">
        <f t="shared" si="5"/>
        <v>11238166.800000006</v>
      </c>
      <c r="G46" s="19" t="s">
        <v>297</v>
      </c>
      <c r="H46">
        <v>347331.83999999997</v>
      </c>
      <c r="J46" s="19" t="s">
        <v>115</v>
      </c>
      <c r="K46" s="6">
        <v>1800000</v>
      </c>
      <c r="M46" s="19" t="s">
        <v>324</v>
      </c>
      <c r="N46" s="15">
        <v>3322248.5999999996</v>
      </c>
    </row>
    <row r="47" spans="1:14" x14ac:dyDescent="0.2">
      <c r="A47" s="19" t="s">
        <v>72</v>
      </c>
      <c r="B47" s="6">
        <v>813850.7999999997</v>
      </c>
      <c r="C47">
        <f t="shared" si="3"/>
        <v>624162</v>
      </c>
      <c r="D47">
        <f t="shared" si="4"/>
        <v>1673889</v>
      </c>
      <c r="E47">
        <f t="shared" si="5"/>
        <v>11238166.800000006</v>
      </c>
      <c r="G47" s="19" t="s">
        <v>115</v>
      </c>
      <c r="H47">
        <v>347331.83999999997</v>
      </c>
      <c r="J47" s="19" t="s">
        <v>297</v>
      </c>
      <c r="K47" s="6">
        <v>1800000</v>
      </c>
      <c r="M47" s="19" t="s">
        <v>142</v>
      </c>
      <c r="N47" s="15">
        <v>3322248.5999999996</v>
      </c>
    </row>
    <row r="48" spans="1:14" x14ac:dyDescent="0.2">
      <c r="A48" s="19" t="s">
        <v>65</v>
      </c>
      <c r="B48" s="6">
        <v>810792</v>
      </c>
      <c r="C48">
        <f t="shared" si="3"/>
        <v>131904</v>
      </c>
      <c r="D48">
        <f t="shared" si="4"/>
        <v>791424</v>
      </c>
      <c r="E48">
        <f t="shared" si="5"/>
        <v>808468.8</v>
      </c>
      <c r="G48" s="19" t="s">
        <v>351</v>
      </c>
      <c r="H48">
        <v>328602.12</v>
      </c>
      <c r="J48" s="19" t="s">
        <v>254</v>
      </c>
      <c r="K48" s="6">
        <v>1673889</v>
      </c>
      <c r="M48" s="19" t="s">
        <v>54</v>
      </c>
      <c r="N48" s="15">
        <v>2732257.3199999994</v>
      </c>
    </row>
    <row r="49" spans="1:14" x14ac:dyDescent="0.2">
      <c r="A49" s="19" t="s">
        <v>247</v>
      </c>
      <c r="B49" s="6">
        <v>810792</v>
      </c>
      <c r="C49">
        <f t="shared" si="3"/>
        <v>131904</v>
      </c>
      <c r="D49">
        <f t="shared" si="4"/>
        <v>791424</v>
      </c>
      <c r="E49">
        <f t="shared" si="5"/>
        <v>808468.8</v>
      </c>
      <c r="G49" s="19" t="s">
        <v>169</v>
      </c>
      <c r="H49">
        <v>328602.12</v>
      </c>
      <c r="J49" s="19" t="s">
        <v>72</v>
      </c>
      <c r="K49" s="6">
        <v>1673889</v>
      </c>
      <c r="M49" s="19" t="s">
        <v>236</v>
      </c>
      <c r="N49" s="15">
        <v>2732257.3199999994</v>
      </c>
    </row>
    <row r="50" spans="1:14" x14ac:dyDescent="0.2">
      <c r="A50" s="19" t="s">
        <v>129</v>
      </c>
      <c r="B50" s="6">
        <v>728590.62</v>
      </c>
      <c r="C50" t="e">
        <f t="shared" si="3"/>
        <v>#N/A</v>
      </c>
      <c r="D50">
        <f t="shared" si="4"/>
        <v>712227.78</v>
      </c>
      <c r="E50" t="e">
        <f t="shared" si="5"/>
        <v>#N/A</v>
      </c>
      <c r="G50" s="19" t="s">
        <v>156</v>
      </c>
      <c r="H50">
        <v>315400</v>
      </c>
      <c r="J50" s="19" t="s">
        <v>237</v>
      </c>
      <c r="K50" s="6">
        <v>1547087.04</v>
      </c>
      <c r="M50" s="19" t="s">
        <v>266</v>
      </c>
      <c r="N50" s="15">
        <v>2669692.0599999982</v>
      </c>
    </row>
    <row r="51" spans="1:14" x14ac:dyDescent="0.2">
      <c r="A51" s="19" t="s">
        <v>311</v>
      </c>
      <c r="B51" s="6">
        <v>728590.62</v>
      </c>
      <c r="C51" t="e">
        <f t="shared" si="3"/>
        <v>#N/A</v>
      </c>
      <c r="D51">
        <f t="shared" si="4"/>
        <v>712227.78</v>
      </c>
      <c r="E51" t="e">
        <f t="shared" si="5"/>
        <v>#N/A</v>
      </c>
      <c r="G51" s="19" t="s">
        <v>338</v>
      </c>
      <c r="H51">
        <v>315400</v>
      </c>
      <c r="J51" s="19" t="s">
        <v>55</v>
      </c>
      <c r="K51" s="6">
        <v>1547087.04</v>
      </c>
      <c r="M51" s="19" t="s">
        <v>84</v>
      </c>
      <c r="N51" s="15">
        <v>2669692.0599999982</v>
      </c>
    </row>
    <row r="52" spans="1:14" x14ac:dyDescent="0.2">
      <c r="A52" s="19" t="s">
        <v>70</v>
      </c>
      <c r="B52" s="6">
        <v>680971.2</v>
      </c>
      <c r="C52" t="e">
        <f t="shared" si="3"/>
        <v>#N/A</v>
      </c>
      <c r="D52">
        <f t="shared" si="4"/>
        <v>789588.79999999981</v>
      </c>
      <c r="E52">
        <f t="shared" si="5"/>
        <v>1364215.9999999993</v>
      </c>
      <c r="G52" s="19" t="s">
        <v>69</v>
      </c>
      <c r="H52">
        <v>303613.8</v>
      </c>
      <c r="J52" s="19" t="s">
        <v>295</v>
      </c>
      <c r="K52" s="6">
        <v>1538821.7999999996</v>
      </c>
      <c r="M52" s="19" t="s">
        <v>162</v>
      </c>
      <c r="N52" s="15">
        <v>2439305.8499999996</v>
      </c>
    </row>
    <row r="53" spans="1:14" x14ac:dyDescent="0.2">
      <c r="A53" s="19" t="s">
        <v>252</v>
      </c>
      <c r="B53" s="6">
        <v>680971.2</v>
      </c>
      <c r="C53" t="e">
        <f t="shared" si="3"/>
        <v>#N/A</v>
      </c>
      <c r="D53">
        <f t="shared" si="4"/>
        <v>789588.79999999981</v>
      </c>
      <c r="E53">
        <f t="shared" si="5"/>
        <v>1364215.9999999993</v>
      </c>
      <c r="G53" s="19" t="s">
        <v>251</v>
      </c>
      <c r="H53">
        <v>303613.8</v>
      </c>
      <c r="J53" s="19" t="s">
        <v>113</v>
      </c>
      <c r="K53" s="6">
        <v>1538821.7999999996</v>
      </c>
      <c r="M53" s="19" t="s">
        <v>344</v>
      </c>
      <c r="N53" s="15">
        <v>2439305.8499999996</v>
      </c>
    </row>
    <row r="54" spans="1:14" x14ac:dyDescent="0.2">
      <c r="A54" s="19" t="s">
        <v>271</v>
      </c>
      <c r="B54" s="6">
        <v>536991</v>
      </c>
      <c r="C54" t="e">
        <f t="shared" si="3"/>
        <v>#N/A</v>
      </c>
      <c r="D54">
        <f t="shared" si="4"/>
        <v>242134.2</v>
      </c>
      <c r="E54">
        <f t="shared" si="5"/>
        <v>5371600.5</v>
      </c>
      <c r="G54" s="19" t="s">
        <v>75</v>
      </c>
      <c r="H54">
        <v>265235.03999999998</v>
      </c>
      <c r="J54" s="19" t="s">
        <v>74</v>
      </c>
      <c r="K54" s="6">
        <v>1494334.8000000003</v>
      </c>
      <c r="M54" s="19" t="s">
        <v>167</v>
      </c>
      <c r="N54" s="15">
        <v>2365760.88</v>
      </c>
    </row>
    <row r="55" spans="1:14" x14ac:dyDescent="0.2">
      <c r="A55" s="19" t="s">
        <v>89</v>
      </c>
      <c r="B55" s="6">
        <v>536991</v>
      </c>
      <c r="C55" t="e">
        <f t="shared" si="3"/>
        <v>#N/A</v>
      </c>
      <c r="D55">
        <f t="shared" si="4"/>
        <v>242134.2</v>
      </c>
      <c r="E55">
        <f t="shared" si="5"/>
        <v>5371600.5</v>
      </c>
      <c r="G55" s="19" t="s">
        <v>257</v>
      </c>
      <c r="H55">
        <v>265235.03999999998</v>
      </c>
      <c r="J55" s="19" t="s">
        <v>256</v>
      </c>
      <c r="K55" s="6">
        <v>1494334.8000000003</v>
      </c>
      <c r="M55" s="19" t="s">
        <v>349</v>
      </c>
      <c r="N55" s="15">
        <v>2365760.88</v>
      </c>
    </row>
    <row r="56" spans="1:14" x14ac:dyDescent="0.2">
      <c r="A56" s="19" t="s">
        <v>277</v>
      </c>
      <c r="B56" s="6">
        <v>507888.56</v>
      </c>
      <c r="C56" t="e">
        <f t="shared" si="3"/>
        <v>#N/A</v>
      </c>
      <c r="D56">
        <f t="shared" si="4"/>
        <v>495370.18</v>
      </c>
      <c r="E56">
        <f t="shared" si="5"/>
        <v>277841.14</v>
      </c>
      <c r="G56" s="19" t="s">
        <v>117</v>
      </c>
      <c r="H56">
        <v>233042.03999999998</v>
      </c>
      <c r="J56" s="19" t="s">
        <v>240</v>
      </c>
      <c r="K56" s="6">
        <v>1481684.24</v>
      </c>
      <c r="M56" s="19" t="s">
        <v>178</v>
      </c>
      <c r="N56" s="15">
        <v>2161248</v>
      </c>
    </row>
    <row r="57" spans="1:14" x14ac:dyDescent="0.2">
      <c r="A57" s="19" t="s">
        <v>95</v>
      </c>
      <c r="B57" s="6">
        <v>507888.56</v>
      </c>
      <c r="C57" t="e">
        <f t="shared" si="3"/>
        <v>#N/A</v>
      </c>
      <c r="D57">
        <f t="shared" si="4"/>
        <v>495370.18</v>
      </c>
      <c r="E57">
        <f t="shared" si="5"/>
        <v>277841.14</v>
      </c>
      <c r="G57" s="19" t="s">
        <v>299</v>
      </c>
      <c r="H57">
        <v>233042.03999999998</v>
      </c>
      <c r="J57" s="19" t="s">
        <v>58</v>
      </c>
      <c r="K57" s="6">
        <v>1481684.24</v>
      </c>
      <c r="M57" s="19" t="s">
        <v>360</v>
      </c>
      <c r="N57" s="15">
        <v>2161248</v>
      </c>
    </row>
    <row r="58" spans="1:14" x14ac:dyDescent="0.2">
      <c r="A58" s="19" t="s">
        <v>110</v>
      </c>
      <c r="B58" s="6">
        <v>504417.76</v>
      </c>
      <c r="C58" t="e">
        <f t="shared" si="3"/>
        <v>#N/A</v>
      </c>
      <c r="D58">
        <f t="shared" si="4"/>
        <v>492344.16000000003</v>
      </c>
      <c r="E58">
        <f t="shared" si="5"/>
        <v>36430.239999999998</v>
      </c>
      <c r="G58" s="19" t="s">
        <v>84</v>
      </c>
      <c r="H58">
        <v>226262.39999999999</v>
      </c>
      <c r="J58" s="19" t="s">
        <v>305</v>
      </c>
      <c r="K58" s="6">
        <v>1476902.0899999999</v>
      </c>
      <c r="M58" s="19" t="s">
        <v>189</v>
      </c>
      <c r="N58" s="15">
        <v>1852800</v>
      </c>
    </row>
    <row r="59" spans="1:14" x14ac:dyDescent="0.2">
      <c r="A59" s="19" t="s">
        <v>292</v>
      </c>
      <c r="B59" s="6">
        <v>504417.76</v>
      </c>
      <c r="C59" t="e">
        <f t="shared" si="3"/>
        <v>#N/A</v>
      </c>
      <c r="D59">
        <f t="shared" si="4"/>
        <v>492344.16000000003</v>
      </c>
      <c r="E59">
        <f t="shared" si="5"/>
        <v>36430.239999999998</v>
      </c>
      <c r="G59" s="19" t="s">
        <v>266</v>
      </c>
      <c r="H59">
        <v>226262.39999999999</v>
      </c>
      <c r="J59" s="19" t="s">
        <v>123</v>
      </c>
      <c r="K59" s="6">
        <v>1476902.0899999999</v>
      </c>
      <c r="M59" s="19" t="s">
        <v>371</v>
      </c>
      <c r="N59" s="15">
        <v>1852800</v>
      </c>
    </row>
    <row r="60" spans="1:14" x14ac:dyDescent="0.2">
      <c r="A60" s="19" t="s">
        <v>286</v>
      </c>
      <c r="B60" s="6">
        <v>431751.6</v>
      </c>
      <c r="C60">
        <f t="shared" si="3"/>
        <v>421419.6</v>
      </c>
      <c r="D60">
        <f t="shared" si="4"/>
        <v>421419.6</v>
      </c>
      <c r="E60">
        <f t="shared" si="5"/>
        <v>863503.2</v>
      </c>
      <c r="G60" s="19" t="s">
        <v>148</v>
      </c>
      <c r="H60">
        <v>186976</v>
      </c>
      <c r="J60" s="19" t="s">
        <v>309</v>
      </c>
      <c r="K60" s="6">
        <v>1339800</v>
      </c>
      <c r="M60" s="19" t="s">
        <v>357</v>
      </c>
      <c r="N60" s="15">
        <v>1772208</v>
      </c>
    </row>
    <row r="61" spans="1:14" x14ac:dyDescent="0.2">
      <c r="A61" s="19" t="s">
        <v>104</v>
      </c>
      <c r="B61" s="6">
        <v>431751.6</v>
      </c>
      <c r="C61">
        <f t="shared" si="3"/>
        <v>421419.6</v>
      </c>
      <c r="D61">
        <f t="shared" si="4"/>
        <v>421419.6</v>
      </c>
      <c r="E61">
        <f t="shared" si="5"/>
        <v>863503.2</v>
      </c>
      <c r="G61" s="19" t="s">
        <v>330</v>
      </c>
      <c r="H61">
        <v>186976</v>
      </c>
      <c r="J61" s="19" t="s">
        <v>127</v>
      </c>
      <c r="K61" s="6">
        <v>1339800</v>
      </c>
      <c r="M61" s="19" t="s">
        <v>175</v>
      </c>
      <c r="N61" s="15">
        <v>1772208</v>
      </c>
    </row>
    <row r="62" spans="1:14" x14ac:dyDescent="0.2">
      <c r="A62" s="19" t="s">
        <v>73</v>
      </c>
      <c r="B62" s="6">
        <v>360242.40000000008</v>
      </c>
      <c r="C62">
        <f t="shared" si="3"/>
        <v>908362</v>
      </c>
      <c r="D62">
        <f t="shared" si="4"/>
        <v>146510</v>
      </c>
      <c r="E62">
        <f t="shared" si="5"/>
        <v>6218273.4000000041</v>
      </c>
      <c r="G62" s="19" t="s">
        <v>63</v>
      </c>
      <c r="H62">
        <v>182602.56</v>
      </c>
      <c r="J62" s="19" t="s">
        <v>323</v>
      </c>
      <c r="K62" s="6">
        <v>1197306.8799999999</v>
      </c>
      <c r="M62" s="19" t="s">
        <v>147</v>
      </c>
      <c r="N62" s="15">
        <v>1610960.4000000004</v>
      </c>
    </row>
    <row r="63" spans="1:14" x14ac:dyDescent="0.2">
      <c r="A63" s="19" t="s">
        <v>255</v>
      </c>
      <c r="B63" s="6">
        <v>360242.40000000008</v>
      </c>
      <c r="C63">
        <f t="shared" si="3"/>
        <v>908362</v>
      </c>
      <c r="D63">
        <f t="shared" si="4"/>
        <v>146510</v>
      </c>
      <c r="E63">
        <f t="shared" si="5"/>
        <v>6218273.4000000041</v>
      </c>
      <c r="G63" s="19" t="s">
        <v>245</v>
      </c>
      <c r="H63">
        <v>182602.56</v>
      </c>
      <c r="J63" s="19" t="s">
        <v>141</v>
      </c>
      <c r="K63" s="6">
        <v>1197306.8799999999</v>
      </c>
      <c r="M63" s="19" t="s">
        <v>329</v>
      </c>
      <c r="N63" s="15">
        <v>1610960.4000000004</v>
      </c>
    </row>
    <row r="64" spans="1:14" x14ac:dyDescent="0.2">
      <c r="A64" s="19" t="s">
        <v>84</v>
      </c>
      <c r="B64" s="6">
        <v>360039.68000000005</v>
      </c>
      <c r="C64">
        <f t="shared" si="3"/>
        <v>226262.39999999999</v>
      </c>
      <c r="D64">
        <f t="shared" si="4"/>
        <v>339393.6</v>
      </c>
      <c r="E64">
        <f t="shared" si="5"/>
        <v>2669692.0599999982</v>
      </c>
      <c r="G64" s="19" t="s">
        <v>119</v>
      </c>
      <c r="H64">
        <v>172290.86</v>
      </c>
      <c r="J64" s="19" t="s">
        <v>314</v>
      </c>
      <c r="K64" s="6">
        <v>1151020.8</v>
      </c>
      <c r="M64" s="19" t="s">
        <v>340</v>
      </c>
      <c r="N64" s="15">
        <v>1583467.2</v>
      </c>
    </row>
    <row r="65" spans="1:14" x14ac:dyDescent="0.2">
      <c r="A65" s="19" t="s">
        <v>266</v>
      </c>
      <c r="B65" s="6">
        <v>360039.68000000005</v>
      </c>
      <c r="C65">
        <f t="shared" si="3"/>
        <v>226262.39999999999</v>
      </c>
      <c r="D65">
        <f t="shared" si="4"/>
        <v>339393.6</v>
      </c>
      <c r="E65">
        <f t="shared" si="5"/>
        <v>2669692.0599999982</v>
      </c>
      <c r="G65" s="19" t="s">
        <v>301</v>
      </c>
      <c r="H65">
        <v>172290.86</v>
      </c>
      <c r="J65" s="19" t="s">
        <v>132</v>
      </c>
      <c r="K65" s="6">
        <v>1151020.8</v>
      </c>
      <c r="M65" s="19" t="s">
        <v>158</v>
      </c>
      <c r="N65" s="15">
        <v>1583467.2</v>
      </c>
    </row>
    <row r="66" spans="1:14" x14ac:dyDescent="0.2">
      <c r="A66" s="19" t="s">
        <v>118</v>
      </c>
      <c r="B66" s="6">
        <v>337270.49999999994</v>
      </c>
      <c r="C66">
        <f t="shared" si="3"/>
        <v>56434.32</v>
      </c>
      <c r="D66">
        <f t="shared" si="4"/>
        <v>299415.42000000004</v>
      </c>
      <c r="E66">
        <f t="shared" si="5"/>
        <v>1290870.1000000003</v>
      </c>
      <c r="G66" s="19" t="s">
        <v>168</v>
      </c>
      <c r="H66">
        <v>152300.94</v>
      </c>
      <c r="J66" s="19" t="s">
        <v>288</v>
      </c>
      <c r="K66" s="6">
        <v>1049400</v>
      </c>
      <c r="M66" s="19" t="s">
        <v>122</v>
      </c>
      <c r="N66" s="15">
        <v>1369917.0000000005</v>
      </c>
    </row>
    <row r="67" spans="1:14" x14ac:dyDescent="0.2">
      <c r="A67" s="19" t="s">
        <v>300</v>
      </c>
      <c r="B67" s="6">
        <v>337270.49999999994</v>
      </c>
      <c r="C67">
        <f t="shared" si="3"/>
        <v>56434.32</v>
      </c>
      <c r="D67">
        <f t="shared" si="4"/>
        <v>299415.42000000004</v>
      </c>
      <c r="E67">
        <f t="shared" si="5"/>
        <v>1290870.1000000003</v>
      </c>
      <c r="G67" s="19" t="s">
        <v>350</v>
      </c>
      <c r="H67">
        <v>152300.94</v>
      </c>
      <c r="J67" s="19" t="s">
        <v>106</v>
      </c>
      <c r="K67" s="6">
        <v>1049400</v>
      </c>
      <c r="M67" s="19" t="s">
        <v>304</v>
      </c>
      <c r="N67" s="15">
        <v>1369917.0000000005</v>
      </c>
    </row>
    <row r="68" spans="1:14" x14ac:dyDescent="0.2">
      <c r="A68" s="19" t="s">
        <v>71</v>
      </c>
      <c r="B68" s="6">
        <v>333925.2</v>
      </c>
      <c r="C68" t="e">
        <f t="shared" si="3"/>
        <v>#N/A</v>
      </c>
      <c r="D68">
        <f t="shared" si="4"/>
        <v>651903.84</v>
      </c>
      <c r="E68">
        <f t="shared" si="5"/>
        <v>1306931.9200000002</v>
      </c>
      <c r="G68" s="19" t="s">
        <v>61</v>
      </c>
      <c r="H68">
        <v>147629.16</v>
      </c>
      <c r="J68" s="19" t="s">
        <v>308</v>
      </c>
      <c r="K68" s="6">
        <v>966000</v>
      </c>
      <c r="M68" s="19" t="s">
        <v>252</v>
      </c>
      <c r="N68" s="15">
        <v>1364215.9999999993</v>
      </c>
    </row>
    <row r="69" spans="1:14" x14ac:dyDescent="0.2">
      <c r="A69" s="19" t="s">
        <v>253</v>
      </c>
      <c r="B69" s="6">
        <v>333925.2</v>
      </c>
      <c r="C69" t="e">
        <f t="shared" si="3"/>
        <v>#N/A</v>
      </c>
      <c r="D69">
        <f t="shared" si="4"/>
        <v>651903.84</v>
      </c>
      <c r="E69">
        <f t="shared" si="5"/>
        <v>1306931.9200000002</v>
      </c>
      <c r="G69" s="19" t="s">
        <v>243</v>
      </c>
      <c r="H69">
        <v>147629.16</v>
      </c>
      <c r="J69" s="19" t="s">
        <v>126</v>
      </c>
      <c r="K69" s="6">
        <v>966000</v>
      </c>
      <c r="M69" s="19" t="s">
        <v>70</v>
      </c>
      <c r="N69" s="15">
        <v>1364215.9999999993</v>
      </c>
    </row>
    <row r="70" spans="1:14" x14ac:dyDescent="0.2">
      <c r="A70" s="19" t="s">
        <v>123</v>
      </c>
      <c r="B70" s="6">
        <v>328203.36</v>
      </c>
      <c r="C70">
        <f t="shared" si="3"/>
        <v>143382.31</v>
      </c>
      <c r="D70">
        <f t="shared" si="4"/>
        <v>1476902.0899999999</v>
      </c>
      <c r="E70">
        <f t="shared" si="5"/>
        <v>80049.600000000006</v>
      </c>
      <c r="G70" s="19" t="s">
        <v>123</v>
      </c>
      <c r="H70">
        <v>143382.31</v>
      </c>
      <c r="J70" s="19" t="s">
        <v>306</v>
      </c>
      <c r="K70" s="6">
        <v>955034.96</v>
      </c>
      <c r="M70" s="19" t="s">
        <v>314</v>
      </c>
      <c r="N70" s="15">
        <v>1348329.6</v>
      </c>
    </row>
    <row r="71" spans="1:14" x14ac:dyDescent="0.2">
      <c r="A71" s="19" t="s">
        <v>305</v>
      </c>
      <c r="B71" s="6">
        <v>328203.36</v>
      </c>
      <c r="C71">
        <f t="shared" si="3"/>
        <v>143382.31</v>
      </c>
      <c r="D71">
        <f t="shared" si="4"/>
        <v>1476902.0899999999</v>
      </c>
      <c r="E71">
        <f t="shared" si="5"/>
        <v>80049.600000000006</v>
      </c>
      <c r="G71" s="19" t="s">
        <v>305</v>
      </c>
      <c r="H71">
        <v>143382.31</v>
      </c>
      <c r="J71" s="19" t="s">
        <v>124</v>
      </c>
      <c r="K71" s="6">
        <v>955034.96</v>
      </c>
      <c r="M71" s="19" t="s">
        <v>132</v>
      </c>
      <c r="N71" s="15">
        <v>1348329.6</v>
      </c>
    </row>
    <row r="72" spans="1:14" x14ac:dyDescent="0.2">
      <c r="A72" s="19" t="s">
        <v>297</v>
      </c>
      <c r="B72" s="6">
        <v>321108.47999999998</v>
      </c>
      <c r="C72">
        <f t="shared" si="3"/>
        <v>347331.83999999997</v>
      </c>
      <c r="D72">
        <f t="shared" si="4"/>
        <v>1800000</v>
      </c>
      <c r="E72">
        <f t="shared" si="5"/>
        <v>939083.52</v>
      </c>
      <c r="G72" s="19" t="s">
        <v>260</v>
      </c>
      <c r="H72">
        <v>139063.67999999999</v>
      </c>
      <c r="J72" s="19" t="s">
        <v>333</v>
      </c>
      <c r="K72" s="6">
        <v>853316.1</v>
      </c>
      <c r="M72" s="19" t="s">
        <v>61</v>
      </c>
      <c r="N72" s="15">
        <v>1331578.0799999994</v>
      </c>
    </row>
    <row r="73" spans="1:14" x14ac:dyDescent="0.2">
      <c r="A73" s="19" t="s">
        <v>115</v>
      </c>
      <c r="B73" s="6">
        <v>321108.47999999998</v>
      </c>
      <c r="C73">
        <f t="shared" si="3"/>
        <v>347331.83999999997</v>
      </c>
      <c r="D73">
        <f t="shared" si="4"/>
        <v>1800000</v>
      </c>
      <c r="E73">
        <f t="shared" si="5"/>
        <v>939083.52</v>
      </c>
      <c r="G73" s="19" t="s">
        <v>78</v>
      </c>
      <c r="H73">
        <v>139063.67999999999</v>
      </c>
      <c r="J73" s="19" t="s">
        <v>151</v>
      </c>
      <c r="K73" s="6">
        <v>853316.1</v>
      </c>
      <c r="M73" s="19" t="s">
        <v>243</v>
      </c>
      <c r="N73" s="15">
        <v>1331578.0799999994</v>
      </c>
    </row>
    <row r="74" spans="1:14" x14ac:dyDescent="0.2">
      <c r="A74" s="19" t="s">
        <v>318</v>
      </c>
      <c r="B74" s="6">
        <v>320892.00000000006</v>
      </c>
      <c r="C74" t="e">
        <f t="shared" si="3"/>
        <v>#N/A</v>
      </c>
      <c r="D74">
        <f t="shared" si="4"/>
        <v>693911.38000000012</v>
      </c>
      <c r="E74">
        <f t="shared" si="5"/>
        <v>183449.2</v>
      </c>
      <c r="G74" s="19" t="s">
        <v>247</v>
      </c>
      <c r="H74">
        <v>131904</v>
      </c>
      <c r="J74" s="19" t="s">
        <v>247</v>
      </c>
      <c r="K74" s="6">
        <v>791424</v>
      </c>
      <c r="M74" s="19" t="s">
        <v>71</v>
      </c>
      <c r="N74" s="15">
        <v>1306931.9200000002</v>
      </c>
    </row>
    <row r="75" spans="1:14" x14ac:dyDescent="0.2">
      <c r="A75" s="19" t="s">
        <v>136</v>
      </c>
      <c r="B75" s="6">
        <v>320892.00000000006</v>
      </c>
      <c r="C75" t="e">
        <f t="shared" si="3"/>
        <v>#N/A</v>
      </c>
      <c r="D75">
        <f t="shared" si="4"/>
        <v>693911.38000000012</v>
      </c>
      <c r="E75">
        <f t="shared" si="5"/>
        <v>183449.2</v>
      </c>
      <c r="G75" s="19" t="s">
        <v>65</v>
      </c>
      <c r="H75">
        <v>131904</v>
      </c>
      <c r="J75" s="19" t="s">
        <v>65</v>
      </c>
      <c r="K75" s="6">
        <v>791424</v>
      </c>
      <c r="M75" s="19" t="s">
        <v>253</v>
      </c>
      <c r="N75" s="15">
        <v>1306931.9200000002</v>
      </c>
    </row>
    <row r="76" spans="1:14" x14ac:dyDescent="0.2">
      <c r="A76" s="19" t="s">
        <v>257</v>
      </c>
      <c r="B76" s="6">
        <v>271738.32</v>
      </c>
      <c r="C76">
        <f t="shared" si="3"/>
        <v>265235.03999999998</v>
      </c>
      <c r="D76">
        <f t="shared" si="4"/>
        <v>265235.03999999998</v>
      </c>
      <c r="E76">
        <f t="shared" si="5"/>
        <v>522308.64</v>
      </c>
      <c r="G76" s="19" t="s">
        <v>242</v>
      </c>
      <c r="H76">
        <v>130243.68</v>
      </c>
      <c r="J76" s="19" t="s">
        <v>70</v>
      </c>
      <c r="K76" s="6">
        <v>789588.79999999981</v>
      </c>
      <c r="M76" s="19" t="s">
        <v>118</v>
      </c>
      <c r="N76" s="15">
        <v>1290870.1000000003</v>
      </c>
    </row>
    <row r="77" spans="1:14" x14ac:dyDescent="0.2">
      <c r="A77" s="19" t="s">
        <v>75</v>
      </c>
      <c r="B77" s="6">
        <v>271738.32</v>
      </c>
      <c r="C77">
        <f t="shared" si="3"/>
        <v>265235.03999999998</v>
      </c>
      <c r="D77">
        <f t="shared" si="4"/>
        <v>265235.03999999998</v>
      </c>
      <c r="E77">
        <f t="shared" si="5"/>
        <v>522308.64</v>
      </c>
      <c r="G77" s="19" t="s">
        <v>60</v>
      </c>
      <c r="H77">
        <v>130243.68</v>
      </c>
      <c r="J77" s="19" t="s">
        <v>252</v>
      </c>
      <c r="K77" s="6">
        <v>789588.79999999981</v>
      </c>
      <c r="M77" s="19" t="s">
        <v>300</v>
      </c>
      <c r="N77" s="15">
        <v>1290870.1000000003</v>
      </c>
    </row>
    <row r="78" spans="1:14" x14ac:dyDescent="0.2">
      <c r="A78" s="19" t="s">
        <v>98</v>
      </c>
      <c r="B78" s="6">
        <v>267697.92000000004</v>
      </c>
      <c r="C78" t="e">
        <f t="shared" si="3"/>
        <v>#N/A</v>
      </c>
      <c r="D78">
        <f t="shared" si="4"/>
        <v>261303</v>
      </c>
      <c r="E78">
        <f t="shared" si="5"/>
        <v>193253.76000000007</v>
      </c>
      <c r="G78" s="19" t="s">
        <v>331</v>
      </c>
      <c r="H78">
        <v>120435.84</v>
      </c>
      <c r="J78" s="19" t="s">
        <v>129</v>
      </c>
      <c r="K78" s="6">
        <v>712227.78</v>
      </c>
      <c r="M78" s="19" t="s">
        <v>350</v>
      </c>
      <c r="N78" s="15">
        <v>1101739.4999999995</v>
      </c>
    </row>
    <row r="79" spans="1:14" x14ac:dyDescent="0.2">
      <c r="A79" s="19" t="s">
        <v>280</v>
      </c>
      <c r="B79" s="6">
        <v>267697.92000000004</v>
      </c>
      <c r="C79" t="e">
        <f t="shared" si="3"/>
        <v>#N/A</v>
      </c>
      <c r="D79">
        <f t="shared" si="4"/>
        <v>261303</v>
      </c>
      <c r="E79">
        <f t="shared" si="5"/>
        <v>193253.76000000007</v>
      </c>
      <c r="G79" s="19" t="s">
        <v>149</v>
      </c>
      <c r="H79">
        <v>120435.84</v>
      </c>
      <c r="J79" s="19" t="s">
        <v>311</v>
      </c>
      <c r="K79" s="6">
        <v>712227.78</v>
      </c>
      <c r="M79" s="19" t="s">
        <v>168</v>
      </c>
      <c r="N79" s="15">
        <v>1101739.4999999995</v>
      </c>
    </row>
    <row r="80" spans="1:14" x14ac:dyDescent="0.2">
      <c r="A80" s="19" t="s">
        <v>133</v>
      </c>
      <c r="B80" s="6">
        <v>262315.8</v>
      </c>
      <c r="C80">
        <f t="shared" si="3"/>
        <v>754786.56</v>
      </c>
      <c r="D80">
        <f t="shared" si="4"/>
        <v>13325877</v>
      </c>
      <c r="E80">
        <f t="shared" si="5"/>
        <v>480645.89999999991</v>
      </c>
      <c r="G80" s="19" t="s">
        <v>347</v>
      </c>
      <c r="H80">
        <v>113318.39999999999</v>
      </c>
      <c r="J80" s="19" t="s">
        <v>318</v>
      </c>
      <c r="K80" s="6">
        <v>693911.38000000012</v>
      </c>
      <c r="M80" s="19" t="s">
        <v>107</v>
      </c>
      <c r="N80" s="15">
        <v>1069996.96</v>
      </c>
    </row>
    <row r="81" spans="1:14" x14ac:dyDescent="0.2">
      <c r="A81" s="19" t="s">
        <v>315</v>
      </c>
      <c r="B81" s="6">
        <v>262315.8</v>
      </c>
      <c r="C81">
        <f t="shared" si="3"/>
        <v>754786.56</v>
      </c>
      <c r="D81">
        <f t="shared" si="4"/>
        <v>13325877</v>
      </c>
      <c r="E81">
        <f t="shared" si="5"/>
        <v>480645.89999999991</v>
      </c>
      <c r="G81" s="19" t="s">
        <v>165</v>
      </c>
      <c r="H81">
        <v>113318.39999999999</v>
      </c>
      <c r="J81" s="19" t="s">
        <v>136</v>
      </c>
      <c r="K81" s="6">
        <v>693911.38000000012</v>
      </c>
      <c r="M81" s="19" t="s">
        <v>289</v>
      </c>
      <c r="N81" s="15">
        <v>1069996.96</v>
      </c>
    </row>
    <row r="82" spans="1:14" x14ac:dyDescent="0.2">
      <c r="A82" s="19" t="s">
        <v>284</v>
      </c>
      <c r="B82" s="6">
        <v>197980.80000000002</v>
      </c>
      <c r="C82" t="e">
        <f t="shared" si="3"/>
        <v>#N/A</v>
      </c>
      <c r="D82">
        <f t="shared" si="4"/>
        <v>193248</v>
      </c>
      <c r="E82">
        <f t="shared" si="5"/>
        <v>109897.2</v>
      </c>
      <c r="G82" s="19" t="s">
        <v>152</v>
      </c>
      <c r="H82">
        <v>106905.60000000001</v>
      </c>
      <c r="J82" s="19" t="s">
        <v>71</v>
      </c>
      <c r="K82" s="6">
        <v>651903.84</v>
      </c>
      <c r="M82" s="19" t="s">
        <v>119</v>
      </c>
      <c r="N82" s="15">
        <v>1012485.6500000001</v>
      </c>
    </row>
    <row r="83" spans="1:14" x14ac:dyDescent="0.2">
      <c r="A83" s="19" t="s">
        <v>102</v>
      </c>
      <c r="B83" s="6">
        <v>197980.80000000002</v>
      </c>
      <c r="C83" t="e">
        <f t="shared" si="3"/>
        <v>#N/A</v>
      </c>
      <c r="D83">
        <f t="shared" si="4"/>
        <v>193248</v>
      </c>
      <c r="E83">
        <f t="shared" si="5"/>
        <v>109897.2</v>
      </c>
      <c r="G83" s="19" t="s">
        <v>334</v>
      </c>
      <c r="H83">
        <v>106905.60000000001</v>
      </c>
      <c r="J83" s="19" t="s">
        <v>253</v>
      </c>
      <c r="K83" s="6">
        <v>651903.84</v>
      </c>
      <c r="M83" s="19" t="s">
        <v>301</v>
      </c>
      <c r="N83" s="15">
        <v>1012485.6500000001</v>
      </c>
    </row>
    <row r="84" spans="1:14" x14ac:dyDescent="0.2">
      <c r="A84" s="19" t="s">
        <v>301</v>
      </c>
      <c r="B84" s="6">
        <v>178466.74999999997</v>
      </c>
      <c r="C84">
        <f t="shared" si="3"/>
        <v>172290.86</v>
      </c>
      <c r="D84">
        <f t="shared" si="4"/>
        <v>82225.08</v>
      </c>
      <c r="E84">
        <f t="shared" si="5"/>
        <v>1012485.6500000001</v>
      </c>
      <c r="G84" s="19" t="s">
        <v>59</v>
      </c>
      <c r="H84">
        <v>105235.20000000001</v>
      </c>
      <c r="J84" s="19" t="s">
        <v>95</v>
      </c>
      <c r="K84" s="6">
        <v>495370.18</v>
      </c>
      <c r="M84" s="19" t="s">
        <v>187</v>
      </c>
      <c r="N84" s="15">
        <v>940680</v>
      </c>
    </row>
    <row r="85" spans="1:14" x14ac:dyDescent="0.2">
      <c r="A85" s="19" t="s">
        <v>119</v>
      </c>
      <c r="B85" s="6">
        <v>178466.74999999997</v>
      </c>
      <c r="C85">
        <f t="shared" si="3"/>
        <v>172290.86</v>
      </c>
      <c r="D85">
        <f t="shared" si="4"/>
        <v>82225.08</v>
      </c>
      <c r="E85">
        <f t="shared" si="5"/>
        <v>1012485.6500000001</v>
      </c>
      <c r="G85" s="19" t="s">
        <v>241</v>
      </c>
      <c r="H85">
        <v>105235.20000000001</v>
      </c>
      <c r="J85" s="19" t="s">
        <v>277</v>
      </c>
      <c r="K85" s="6">
        <v>495370.18</v>
      </c>
      <c r="M85" s="19" t="s">
        <v>369</v>
      </c>
      <c r="N85" s="15">
        <v>940680</v>
      </c>
    </row>
    <row r="86" spans="1:14" x14ac:dyDescent="0.2">
      <c r="A86" s="19" t="s">
        <v>61</v>
      </c>
      <c r="B86" s="6">
        <v>172851.84</v>
      </c>
      <c r="C86">
        <f t="shared" si="3"/>
        <v>147629.16</v>
      </c>
      <c r="D86">
        <f t="shared" si="4"/>
        <v>126539.28</v>
      </c>
      <c r="E86">
        <f t="shared" si="5"/>
        <v>1331578.0799999994</v>
      </c>
      <c r="G86" s="19" t="s">
        <v>153</v>
      </c>
      <c r="H86">
        <v>88800</v>
      </c>
      <c r="J86" s="19" t="s">
        <v>292</v>
      </c>
      <c r="K86" s="6">
        <v>492344.16000000003</v>
      </c>
      <c r="M86" s="19" t="s">
        <v>115</v>
      </c>
      <c r="N86" s="15">
        <v>939083.52</v>
      </c>
    </row>
    <row r="87" spans="1:14" x14ac:dyDescent="0.2">
      <c r="A87" s="19" t="s">
        <v>243</v>
      </c>
      <c r="B87" s="6">
        <v>172851.84</v>
      </c>
      <c r="C87">
        <f t="shared" si="3"/>
        <v>147629.16</v>
      </c>
      <c r="D87">
        <f t="shared" si="4"/>
        <v>126539.28</v>
      </c>
      <c r="E87">
        <f t="shared" si="5"/>
        <v>1331578.0799999994</v>
      </c>
      <c r="G87" s="19" t="s">
        <v>335</v>
      </c>
      <c r="H87">
        <v>88800</v>
      </c>
      <c r="J87" s="19" t="s">
        <v>110</v>
      </c>
      <c r="K87" s="6">
        <v>492344.16000000003</v>
      </c>
      <c r="M87" s="19" t="s">
        <v>297</v>
      </c>
      <c r="N87" s="15">
        <v>939083.52</v>
      </c>
    </row>
    <row r="88" spans="1:14" x14ac:dyDescent="0.2">
      <c r="A88" s="19" t="s">
        <v>241</v>
      </c>
      <c r="B88" s="6">
        <v>163674</v>
      </c>
      <c r="C88">
        <f t="shared" si="3"/>
        <v>105235.20000000001</v>
      </c>
      <c r="D88">
        <f t="shared" si="4"/>
        <v>162842.40000000002</v>
      </c>
      <c r="E88">
        <f t="shared" si="5"/>
        <v>481609.8</v>
      </c>
      <c r="G88" s="19" t="s">
        <v>239</v>
      </c>
      <c r="H88">
        <v>75884.639999999999</v>
      </c>
      <c r="J88" s="19" t="s">
        <v>307</v>
      </c>
      <c r="K88" s="6">
        <v>449545.2</v>
      </c>
      <c r="M88" s="19" t="s">
        <v>286</v>
      </c>
      <c r="N88" s="15">
        <v>863503.2</v>
      </c>
    </row>
    <row r="89" spans="1:14" x14ac:dyDescent="0.2">
      <c r="A89" s="19" t="s">
        <v>59</v>
      </c>
      <c r="B89" s="6">
        <v>163674</v>
      </c>
      <c r="C89">
        <f t="shared" si="3"/>
        <v>105235.20000000001</v>
      </c>
      <c r="D89">
        <f t="shared" si="4"/>
        <v>162842.40000000002</v>
      </c>
      <c r="E89">
        <f t="shared" si="5"/>
        <v>481609.8</v>
      </c>
      <c r="G89" s="19" t="s">
        <v>57</v>
      </c>
      <c r="H89">
        <v>75884.639999999999</v>
      </c>
      <c r="J89" s="19" t="s">
        <v>125</v>
      </c>
      <c r="K89" s="6">
        <v>449545.2</v>
      </c>
      <c r="M89" s="19" t="s">
        <v>104</v>
      </c>
      <c r="N89" s="15">
        <v>863503.2</v>
      </c>
    </row>
    <row r="90" spans="1:14" x14ac:dyDescent="0.2">
      <c r="A90" s="19" t="s">
        <v>103</v>
      </c>
      <c r="B90" s="6">
        <v>146578.81000000003</v>
      </c>
      <c r="C90" t="e">
        <f t="shared" si="3"/>
        <v>#N/A</v>
      </c>
      <c r="D90">
        <f t="shared" si="4"/>
        <v>153566.27999999997</v>
      </c>
      <c r="E90">
        <f t="shared" si="5"/>
        <v>45714.83</v>
      </c>
      <c r="G90" s="19" t="s">
        <v>113</v>
      </c>
      <c r="H90">
        <v>73978.8</v>
      </c>
      <c r="J90" s="19" t="s">
        <v>170</v>
      </c>
      <c r="K90" s="6">
        <v>444785.04</v>
      </c>
      <c r="M90" s="19" t="s">
        <v>177</v>
      </c>
      <c r="N90" s="15">
        <v>859956</v>
      </c>
    </row>
    <row r="91" spans="1:14" x14ac:dyDescent="0.2">
      <c r="A91" s="19" t="s">
        <v>285</v>
      </c>
      <c r="B91" s="6">
        <v>146578.81000000003</v>
      </c>
      <c r="C91" t="e">
        <f t="shared" si="3"/>
        <v>#N/A</v>
      </c>
      <c r="D91">
        <f t="shared" si="4"/>
        <v>153566.27999999997</v>
      </c>
      <c r="E91">
        <f t="shared" si="5"/>
        <v>45714.83</v>
      </c>
      <c r="G91" s="19" t="s">
        <v>295</v>
      </c>
      <c r="H91">
        <v>73978.8</v>
      </c>
      <c r="J91" s="19" t="s">
        <v>352</v>
      </c>
      <c r="K91" s="6">
        <v>444785.04</v>
      </c>
      <c r="M91" s="19" t="s">
        <v>359</v>
      </c>
      <c r="N91" s="15">
        <v>859956</v>
      </c>
    </row>
    <row r="92" spans="1:14" x14ac:dyDescent="0.2">
      <c r="A92" s="19" t="s">
        <v>317</v>
      </c>
      <c r="B92" s="6">
        <v>140713.20000000001</v>
      </c>
      <c r="C92" t="e">
        <f t="shared" si="3"/>
        <v>#N/A</v>
      </c>
      <c r="D92">
        <f t="shared" si="4"/>
        <v>3844129.3800000004</v>
      </c>
      <c r="E92">
        <f t="shared" si="5"/>
        <v>725585.01000000036</v>
      </c>
      <c r="G92" s="19" t="s">
        <v>298</v>
      </c>
      <c r="H92">
        <v>71648.639999999999</v>
      </c>
      <c r="J92" s="19" t="s">
        <v>77</v>
      </c>
      <c r="K92" s="6">
        <v>437913</v>
      </c>
      <c r="M92" s="19" t="s">
        <v>327</v>
      </c>
      <c r="N92" s="15">
        <v>848715.83999999985</v>
      </c>
    </row>
    <row r="93" spans="1:14" x14ac:dyDescent="0.2">
      <c r="A93" s="19" t="s">
        <v>135</v>
      </c>
      <c r="B93" s="6">
        <v>140713.20000000001</v>
      </c>
      <c r="C93" t="e">
        <f t="shared" si="3"/>
        <v>#N/A</v>
      </c>
      <c r="D93">
        <f t="shared" si="4"/>
        <v>3844129.3800000004</v>
      </c>
      <c r="E93">
        <f t="shared" si="5"/>
        <v>725585.01000000036</v>
      </c>
      <c r="G93" s="19" t="s">
        <v>116</v>
      </c>
      <c r="H93">
        <v>71648.639999999999</v>
      </c>
      <c r="J93" s="19" t="s">
        <v>259</v>
      </c>
      <c r="K93" s="6">
        <v>437913</v>
      </c>
      <c r="M93" s="19" t="s">
        <v>145</v>
      </c>
      <c r="N93" s="15">
        <v>848715.83999999985</v>
      </c>
    </row>
    <row r="94" spans="1:14" x14ac:dyDescent="0.2">
      <c r="A94" s="19" t="s">
        <v>299</v>
      </c>
      <c r="B94" s="6">
        <v>136026.75</v>
      </c>
      <c r="C94">
        <f t="shared" ref="C94:C157" si="6">VLOOKUP(A94,G:H,2,FALSE)</f>
        <v>233042.03999999998</v>
      </c>
      <c r="D94" t="e">
        <f t="shared" ref="D94:D157" si="7">VLOOKUP(A94,J:K,2,FALSE)</f>
        <v>#N/A</v>
      </c>
      <c r="E94">
        <f t="shared" ref="E94:E157" si="8">VLOOKUP(A94,M:N,2,FALSE)</f>
        <v>689212.44000000006</v>
      </c>
      <c r="G94" s="19" t="s">
        <v>82</v>
      </c>
      <c r="H94">
        <v>69778.8</v>
      </c>
      <c r="J94" s="19" t="s">
        <v>104</v>
      </c>
      <c r="K94" s="6">
        <v>421419.6</v>
      </c>
      <c r="M94" s="19" t="s">
        <v>291</v>
      </c>
      <c r="N94" s="15">
        <v>848324.4</v>
      </c>
    </row>
    <row r="95" spans="1:14" x14ac:dyDescent="0.2">
      <c r="A95" s="19" t="s">
        <v>117</v>
      </c>
      <c r="B95" s="6">
        <v>136026.75</v>
      </c>
      <c r="C95">
        <f t="shared" si="6"/>
        <v>233042.03999999998</v>
      </c>
      <c r="D95" t="e">
        <f t="shared" si="7"/>
        <v>#N/A</v>
      </c>
      <c r="E95">
        <f t="shared" si="8"/>
        <v>689212.44000000006</v>
      </c>
      <c r="G95" s="19" t="s">
        <v>264</v>
      </c>
      <c r="H95">
        <v>69778.8</v>
      </c>
      <c r="J95" s="19" t="s">
        <v>286</v>
      </c>
      <c r="K95" s="6">
        <v>421419.6</v>
      </c>
      <c r="M95" s="19" t="s">
        <v>109</v>
      </c>
      <c r="N95" s="15">
        <v>848324.4</v>
      </c>
    </row>
    <row r="96" spans="1:14" x14ac:dyDescent="0.2">
      <c r="A96" s="19" t="s">
        <v>60</v>
      </c>
      <c r="B96" s="6">
        <v>133449.12</v>
      </c>
      <c r="C96">
        <f t="shared" si="6"/>
        <v>130243.68</v>
      </c>
      <c r="D96">
        <f t="shared" si="7"/>
        <v>130243.68</v>
      </c>
      <c r="E96">
        <f t="shared" si="8"/>
        <v>772873.91999999993</v>
      </c>
      <c r="G96" s="19" t="s">
        <v>118</v>
      </c>
      <c r="H96">
        <v>56434.32</v>
      </c>
      <c r="J96" s="19" t="s">
        <v>266</v>
      </c>
      <c r="K96" s="6">
        <v>339393.6</v>
      </c>
      <c r="M96" s="19" t="s">
        <v>65</v>
      </c>
      <c r="N96" s="15">
        <v>808468.8</v>
      </c>
    </row>
    <row r="97" spans="1:14" x14ac:dyDescent="0.2">
      <c r="A97" s="19" t="s">
        <v>242</v>
      </c>
      <c r="B97" s="6">
        <v>133449.12</v>
      </c>
      <c r="C97">
        <f t="shared" si="6"/>
        <v>130243.68</v>
      </c>
      <c r="D97">
        <f t="shared" si="7"/>
        <v>130243.68</v>
      </c>
      <c r="E97">
        <f t="shared" si="8"/>
        <v>772873.91999999993</v>
      </c>
      <c r="G97" s="19" t="s">
        <v>300</v>
      </c>
      <c r="H97">
        <v>56434.32</v>
      </c>
      <c r="J97" s="19" t="s">
        <v>84</v>
      </c>
      <c r="K97" s="6">
        <v>339393.6</v>
      </c>
      <c r="M97" s="19" t="s">
        <v>247</v>
      </c>
      <c r="N97" s="15">
        <v>808468.8</v>
      </c>
    </row>
    <row r="98" spans="1:14" x14ac:dyDescent="0.2">
      <c r="A98" s="19" t="s">
        <v>279</v>
      </c>
      <c r="B98" s="6">
        <v>114880.08</v>
      </c>
      <c r="C98" t="e">
        <f t="shared" si="6"/>
        <v>#N/A</v>
      </c>
      <c r="D98">
        <f t="shared" si="7"/>
        <v>112133.28</v>
      </c>
      <c r="E98">
        <f t="shared" si="8"/>
        <v>223799.52000000002</v>
      </c>
      <c r="G98" s="19" t="s">
        <v>306</v>
      </c>
      <c r="H98">
        <v>55557.039999999994</v>
      </c>
      <c r="J98" s="19" t="s">
        <v>93</v>
      </c>
      <c r="K98" s="6">
        <v>310279.2</v>
      </c>
      <c r="M98" s="19" t="s">
        <v>50</v>
      </c>
      <c r="N98" s="15">
        <v>785021.76</v>
      </c>
    </row>
    <row r="99" spans="1:14" x14ac:dyDescent="0.2">
      <c r="A99" s="19" t="s">
        <v>97</v>
      </c>
      <c r="B99" s="6">
        <v>114880.08</v>
      </c>
      <c r="C99" t="e">
        <f t="shared" si="6"/>
        <v>#N/A</v>
      </c>
      <c r="D99">
        <f t="shared" si="7"/>
        <v>112133.28</v>
      </c>
      <c r="E99">
        <f t="shared" si="8"/>
        <v>223799.52000000002</v>
      </c>
      <c r="G99" s="19" t="s">
        <v>124</v>
      </c>
      <c r="H99">
        <v>55557.039999999994</v>
      </c>
      <c r="J99" s="19" t="s">
        <v>275</v>
      </c>
      <c r="K99" s="6">
        <v>310279.2</v>
      </c>
      <c r="M99" s="19" t="s">
        <v>386</v>
      </c>
      <c r="N99" s="15">
        <v>785021.76</v>
      </c>
    </row>
    <row r="100" spans="1:14" x14ac:dyDescent="0.2">
      <c r="A100" s="19" t="s">
        <v>128</v>
      </c>
      <c r="B100" s="6">
        <v>98238</v>
      </c>
      <c r="C100" t="e">
        <f t="shared" si="6"/>
        <v>#N/A</v>
      </c>
      <c r="D100">
        <f t="shared" si="7"/>
        <v>95886</v>
      </c>
      <c r="E100" t="e">
        <f t="shared" si="8"/>
        <v>#N/A</v>
      </c>
      <c r="G100" s="19" t="s">
        <v>289</v>
      </c>
      <c r="H100">
        <v>48972</v>
      </c>
      <c r="J100" s="19" t="s">
        <v>118</v>
      </c>
      <c r="K100" s="6">
        <v>299415.42000000004</v>
      </c>
      <c r="M100" s="19" t="s">
        <v>60</v>
      </c>
      <c r="N100" s="15">
        <v>772873.91999999993</v>
      </c>
    </row>
    <row r="101" spans="1:14" x14ac:dyDescent="0.2">
      <c r="A101" s="19" t="s">
        <v>310</v>
      </c>
      <c r="B101" s="6">
        <v>98238</v>
      </c>
      <c r="C101" t="e">
        <f t="shared" si="6"/>
        <v>#N/A</v>
      </c>
      <c r="D101">
        <f t="shared" si="7"/>
        <v>95886</v>
      </c>
      <c r="E101" t="e">
        <f t="shared" si="8"/>
        <v>#N/A</v>
      </c>
      <c r="G101" s="19" t="s">
        <v>107</v>
      </c>
      <c r="H101">
        <v>48972</v>
      </c>
      <c r="J101" s="19" t="s">
        <v>300</v>
      </c>
      <c r="K101" s="6">
        <v>299415.42000000004</v>
      </c>
      <c r="M101" s="19" t="s">
        <v>242</v>
      </c>
      <c r="N101" s="15">
        <v>772873.91999999993</v>
      </c>
    </row>
    <row r="102" spans="1:14" x14ac:dyDescent="0.2">
      <c r="A102" s="19" t="s">
        <v>91</v>
      </c>
      <c r="B102" s="6">
        <v>88284.65</v>
      </c>
      <c r="C102" t="e">
        <f t="shared" si="6"/>
        <v>#N/A</v>
      </c>
      <c r="D102">
        <f t="shared" si="7"/>
        <v>92326.5</v>
      </c>
      <c r="E102">
        <f t="shared" si="8"/>
        <v>20934.11</v>
      </c>
      <c r="G102" s="19" t="s">
        <v>333</v>
      </c>
      <c r="H102">
        <v>45262.62</v>
      </c>
      <c r="J102" s="19" t="s">
        <v>62</v>
      </c>
      <c r="K102" s="6">
        <v>273810.59999999998</v>
      </c>
      <c r="M102" s="19" t="s">
        <v>93</v>
      </c>
      <c r="N102" s="15">
        <v>727579.60000000009</v>
      </c>
    </row>
    <row r="103" spans="1:14" x14ac:dyDescent="0.2">
      <c r="A103" s="19" t="s">
        <v>273</v>
      </c>
      <c r="B103" s="6">
        <v>88284.65</v>
      </c>
      <c r="C103" t="e">
        <f t="shared" si="6"/>
        <v>#N/A</v>
      </c>
      <c r="D103">
        <f t="shared" si="7"/>
        <v>92326.5</v>
      </c>
      <c r="E103">
        <f t="shared" si="8"/>
        <v>20934.11</v>
      </c>
      <c r="G103" s="19" t="s">
        <v>151</v>
      </c>
      <c r="H103">
        <v>45262.62</v>
      </c>
      <c r="J103" s="19" t="s">
        <v>244</v>
      </c>
      <c r="K103" s="6">
        <v>273810.59999999998</v>
      </c>
      <c r="M103" s="19" t="s">
        <v>275</v>
      </c>
      <c r="N103" s="15">
        <v>727579.60000000009</v>
      </c>
    </row>
    <row r="104" spans="1:14" x14ac:dyDescent="0.2">
      <c r="A104" s="19" t="s">
        <v>68</v>
      </c>
      <c r="B104" s="6">
        <v>86795.799999999988</v>
      </c>
      <c r="C104">
        <f t="shared" si="6"/>
        <v>22295</v>
      </c>
      <c r="D104">
        <f t="shared" si="7"/>
        <v>84721</v>
      </c>
      <c r="E104">
        <f t="shared" si="8"/>
        <v>319737.60000000009</v>
      </c>
      <c r="G104" s="19" t="s">
        <v>339</v>
      </c>
      <c r="H104">
        <v>43746</v>
      </c>
      <c r="J104" s="19" t="s">
        <v>75</v>
      </c>
      <c r="K104" s="6">
        <v>265235.03999999998</v>
      </c>
      <c r="M104" s="19" t="s">
        <v>135</v>
      </c>
      <c r="N104" s="15">
        <v>725585.01000000036</v>
      </c>
    </row>
    <row r="105" spans="1:14" x14ac:dyDescent="0.2">
      <c r="A105" s="19" t="s">
        <v>250</v>
      </c>
      <c r="B105" s="6">
        <v>86795.799999999988</v>
      </c>
      <c r="C105">
        <f t="shared" si="6"/>
        <v>22295</v>
      </c>
      <c r="D105">
        <f t="shared" si="7"/>
        <v>84721</v>
      </c>
      <c r="E105">
        <f t="shared" si="8"/>
        <v>319737.60000000009</v>
      </c>
      <c r="G105" s="19" t="s">
        <v>157</v>
      </c>
      <c r="H105">
        <v>43746</v>
      </c>
      <c r="J105" s="19" t="s">
        <v>257</v>
      </c>
      <c r="K105" s="6">
        <v>265235.03999999998</v>
      </c>
      <c r="M105" s="19" t="s">
        <v>317</v>
      </c>
      <c r="N105" s="15">
        <v>725585.01000000036</v>
      </c>
    </row>
    <row r="106" spans="1:14" x14ac:dyDescent="0.2">
      <c r="A106" s="19" t="s">
        <v>134</v>
      </c>
      <c r="B106" s="6">
        <v>81001.600000000006</v>
      </c>
      <c r="C106" t="e">
        <f t="shared" si="6"/>
        <v>#N/A</v>
      </c>
      <c r="D106">
        <f t="shared" si="7"/>
        <v>6692768.1600000001</v>
      </c>
      <c r="E106">
        <f t="shared" si="8"/>
        <v>572684.41999999993</v>
      </c>
      <c r="G106" s="19" t="s">
        <v>345</v>
      </c>
      <c r="H106">
        <v>43164</v>
      </c>
      <c r="J106" s="19" t="s">
        <v>98</v>
      </c>
      <c r="K106" s="6">
        <v>261303</v>
      </c>
      <c r="M106" s="19" t="s">
        <v>117</v>
      </c>
      <c r="N106" s="15">
        <v>689212.44000000006</v>
      </c>
    </row>
    <row r="107" spans="1:14" x14ac:dyDescent="0.2">
      <c r="A107" s="19" t="s">
        <v>316</v>
      </c>
      <c r="B107" s="6">
        <v>81001.600000000006</v>
      </c>
      <c r="C107" t="e">
        <f t="shared" si="6"/>
        <v>#N/A</v>
      </c>
      <c r="D107">
        <f t="shared" si="7"/>
        <v>6692768.1600000001</v>
      </c>
      <c r="E107">
        <f t="shared" si="8"/>
        <v>572684.41999999993</v>
      </c>
      <c r="G107" s="19" t="s">
        <v>163</v>
      </c>
      <c r="H107">
        <v>43164</v>
      </c>
      <c r="J107" s="19" t="s">
        <v>280</v>
      </c>
      <c r="K107" s="6">
        <v>261303</v>
      </c>
      <c r="M107" s="19" t="s">
        <v>299</v>
      </c>
      <c r="N107" s="15">
        <v>689212.44000000006</v>
      </c>
    </row>
    <row r="108" spans="1:14" x14ac:dyDescent="0.2">
      <c r="A108" s="19" t="s">
        <v>309</v>
      </c>
      <c r="B108" s="6">
        <v>77220</v>
      </c>
      <c r="C108">
        <f t="shared" si="6"/>
        <v>34800</v>
      </c>
      <c r="D108">
        <f t="shared" si="7"/>
        <v>1339800</v>
      </c>
      <c r="E108">
        <f t="shared" si="8"/>
        <v>249480</v>
      </c>
      <c r="G108" s="19" t="s">
        <v>146</v>
      </c>
      <c r="H108">
        <v>41576.400000000001</v>
      </c>
      <c r="J108" s="19" t="s">
        <v>271</v>
      </c>
      <c r="K108" s="6">
        <v>242134.2</v>
      </c>
      <c r="M108" s="19" t="s">
        <v>169</v>
      </c>
      <c r="N108" s="15">
        <v>683639.40000000014</v>
      </c>
    </row>
    <row r="109" spans="1:14" x14ac:dyDescent="0.2">
      <c r="A109" s="19" t="s">
        <v>127</v>
      </c>
      <c r="B109" s="6">
        <v>77220</v>
      </c>
      <c r="C109">
        <f t="shared" si="6"/>
        <v>34800</v>
      </c>
      <c r="D109">
        <f t="shared" si="7"/>
        <v>1339800</v>
      </c>
      <c r="E109">
        <f t="shared" si="8"/>
        <v>249480</v>
      </c>
      <c r="G109" s="19" t="s">
        <v>328</v>
      </c>
      <c r="H109">
        <v>41576.400000000001</v>
      </c>
      <c r="J109" s="19" t="s">
        <v>89</v>
      </c>
      <c r="K109" s="6">
        <v>242134.2</v>
      </c>
      <c r="M109" s="19" t="s">
        <v>351</v>
      </c>
      <c r="N109" s="15">
        <v>683639.40000000014</v>
      </c>
    </row>
    <row r="110" spans="1:14" x14ac:dyDescent="0.2">
      <c r="A110" s="19" t="s">
        <v>116</v>
      </c>
      <c r="B110" s="6">
        <v>73402.559999999998</v>
      </c>
      <c r="C110">
        <f t="shared" si="6"/>
        <v>71648.639999999999</v>
      </c>
      <c r="D110">
        <f t="shared" si="7"/>
        <v>71648.639999999999</v>
      </c>
      <c r="E110">
        <f t="shared" si="8"/>
        <v>216407.52</v>
      </c>
      <c r="G110" s="19" t="s">
        <v>164</v>
      </c>
      <c r="H110">
        <v>40961.9</v>
      </c>
      <c r="J110" s="19" t="s">
        <v>102</v>
      </c>
      <c r="K110" s="6">
        <v>193248</v>
      </c>
      <c r="M110" s="19" t="s">
        <v>134</v>
      </c>
      <c r="N110" s="15">
        <v>572684.41999999993</v>
      </c>
    </row>
    <row r="111" spans="1:14" x14ac:dyDescent="0.2">
      <c r="A111" s="19" t="s">
        <v>298</v>
      </c>
      <c r="B111" s="6">
        <v>73402.559999999998</v>
      </c>
      <c r="C111">
        <f t="shared" si="6"/>
        <v>71648.639999999999</v>
      </c>
      <c r="D111">
        <f t="shared" si="7"/>
        <v>71648.639999999999</v>
      </c>
      <c r="E111">
        <f t="shared" si="8"/>
        <v>216407.52</v>
      </c>
      <c r="G111" s="19" t="s">
        <v>346</v>
      </c>
      <c r="H111">
        <v>40961.9</v>
      </c>
      <c r="J111" s="19" t="s">
        <v>284</v>
      </c>
      <c r="K111" s="6">
        <v>193248</v>
      </c>
      <c r="M111" s="19" t="s">
        <v>316</v>
      </c>
      <c r="N111" s="15">
        <v>572684.41999999993</v>
      </c>
    </row>
    <row r="112" spans="1:14" x14ac:dyDescent="0.2">
      <c r="A112" s="19" t="s">
        <v>322</v>
      </c>
      <c r="B112" s="6">
        <v>72718.8</v>
      </c>
      <c r="C112" t="e">
        <f t="shared" si="6"/>
        <v>#N/A</v>
      </c>
      <c r="D112">
        <f t="shared" si="7"/>
        <v>70963.199999999997</v>
      </c>
      <c r="E112">
        <f t="shared" si="8"/>
        <v>84562.799999999988</v>
      </c>
      <c r="G112" s="19" t="s">
        <v>127</v>
      </c>
      <c r="H112">
        <v>34800</v>
      </c>
      <c r="J112" s="19" t="s">
        <v>59</v>
      </c>
      <c r="K112" s="6">
        <v>162842.40000000002</v>
      </c>
      <c r="M112" s="19" t="s">
        <v>165</v>
      </c>
      <c r="N112" s="15">
        <v>548313.59999999998</v>
      </c>
    </row>
    <row r="113" spans="1:14" x14ac:dyDescent="0.2">
      <c r="A113" s="19" t="s">
        <v>140</v>
      </c>
      <c r="B113" s="6">
        <v>72718.8</v>
      </c>
      <c r="C113" t="e">
        <f t="shared" si="6"/>
        <v>#N/A</v>
      </c>
      <c r="D113">
        <f t="shared" si="7"/>
        <v>70963.199999999997</v>
      </c>
      <c r="E113">
        <f t="shared" si="8"/>
        <v>84562.799999999988</v>
      </c>
      <c r="G113" s="19" t="s">
        <v>309</v>
      </c>
      <c r="H113">
        <v>34800</v>
      </c>
      <c r="J113" s="19" t="s">
        <v>241</v>
      </c>
      <c r="K113" s="6">
        <v>162842.40000000002</v>
      </c>
      <c r="M113" s="19" t="s">
        <v>347</v>
      </c>
      <c r="N113" s="15">
        <v>548313.59999999998</v>
      </c>
    </row>
    <row r="114" spans="1:14" x14ac:dyDescent="0.2">
      <c r="A114" s="19" t="s">
        <v>283</v>
      </c>
      <c r="B114" s="6">
        <v>70642.600000000006</v>
      </c>
      <c r="C114" t="e">
        <f t="shared" si="6"/>
        <v>#N/A</v>
      </c>
      <c r="D114">
        <f t="shared" si="7"/>
        <v>68952.800000000003</v>
      </c>
      <c r="E114">
        <f t="shared" si="8"/>
        <v>70642.600000000006</v>
      </c>
      <c r="G114" s="19" t="s">
        <v>327</v>
      </c>
      <c r="H114">
        <v>34345.919999999998</v>
      </c>
      <c r="J114" s="19" t="s">
        <v>285</v>
      </c>
      <c r="K114" s="6">
        <v>153566.27999999997</v>
      </c>
      <c r="M114" s="19" t="s">
        <v>75</v>
      </c>
      <c r="N114" s="15">
        <v>522308.64</v>
      </c>
    </row>
    <row r="115" spans="1:14" x14ac:dyDescent="0.2">
      <c r="A115" s="19" t="s">
        <v>101</v>
      </c>
      <c r="B115" s="6">
        <v>70642.600000000006</v>
      </c>
      <c r="C115" t="e">
        <f t="shared" si="6"/>
        <v>#N/A</v>
      </c>
      <c r="D115">
        <f t="shared" si="7"/>
        <v>68952.800000000003</v>
      </c>
      <c r="E115">
        <f t="shared" si="8"/>
        <v>70642.600000000006</v>
      </c>
      <c r="G115" s="19" t="s">
        <v>145</v>
      </c>
      <c r="H115">
        <v>34345.919999999998</v>
      </c>
      <c r="J115" s="19" t="s">
        <v>103</v>
      </c>
      <c r="K115" s="6">
        <v>153566.27999999997</v>
      </c>
      <c r="M115" s="19" t="s">
        <v>257</v>
      </c>
      <c r="N115" s="15">
        <v>522308.64</v>
      </c>
    </row>
    <row r="116" spans="1:14" x14ac:dyDescent="0.2">
      <c r="A116" s="19" t="s">
        <v>291</v>
      </c>
      <c r="B116" s="6">
        <v>69350.399999999994</v>
      </c>
      <c r="C116" t="e">
        <f t="shared" si="6"/>
        <v>#N/A</v>
      </c>
      <c r="D116">
        <f t="shared" si="7"/>
        <v>67692.240000000005</v>
      </c>
      <c r="E116">
        <f t="shared" si="8"/>
        <v>848324.4</v>
      </c>
      <c r="G116" s="19" t="s">
        <v>126</v>
      </c>
      <c r="H116">
        <v>25200</v>
      </c>
      <c r="J116" s="19" t="s">
        <v>73</v>
      </c>
      <c r="K116" s="6">
        <v>146510</v>
      </c>
      <c r="M116" s="19" t="s">
        <v>358</v>
      </c>
      <c r="N116" s="15">
        <v>521730</v>
      </c>
    </row>
    <row r="117" spans="1:14" x14ac:dyDescent="0.2">
      <c r="A117" s="19" t="s">
        <v>109</v>
      </c>
      <c r="B117" s="6">
        <v>69350.399999999994</v>
      </c>
      <c r="C117" t="e">
        <f t="shared" si="6"/>
        <v>#N/A</v>
      </c>
      <c r="D117">
        <f t="shared" si="7"/>
        <v>67692.240000000005</v>
      </c>
      <c r="E117">
        <f t="shared" si="8"/>
        <v>848324.4</v>
      </c>
      <c r="G117" s="19" t="s">
        <v>308</v>
      </c>
      <c r="H117">
        <v>25200</v>
      </c>
      <c r="J117" s="19" t="s">
        <v>255</v>
      </c>
      <c r="K117" s="6">
        <v>146510</v>
      </c>
      <c r="M117" s="19" t="s">
        <v>176</v>
      </c>
      <c r="N117" s="15">
        <v>521730</v>
      </c>
    </row>
    <row r="118" spans="1:14" x14ac:dyDescent="0.2">
      <c r="A118" s="19" t="s">
        <v>124</v>
      </c>
      <c r="B118" s="6">
        <v>65802.8</v>
      </c>
      <c r="C118">
        <f t="shared" si="6"/>
        <v>55557.039999999994</v>
      </c>
      <c r="D118">
        <f t="shared" si="7"/>
        <v>955034.96</v>
      </c>
      <c r="E118">
        <f t="shared" si="8"/>
        <v>6355.2</v>
      </c>
      <c r="G118" s="19" t="s">
        <v>114</v>
      </c>
      <c r="H118">
        <v>22670.9</v>
      </c>
      <c r="J118" s="19" t="s">
        <v>269</v>
      </c>
      <c r="K118" s="6">
        <v>138100.95000000001</v>
      </c>
      <c r="M118" s="19" t="s">
        <v>241</v>
      </c>
      <c r="N118" s="15">
        <v>481609.8</v>
      </c>
    </row>
    <row r="119" spans="1:14" x14ac:dyDescent="0.2">
      <c r="A119" s="19" t="s">
        <v>306</v>
      </c>
      <c r="B119" s="6">
        <v>65802.8</v>
      </c>
      <c r="C119">
        <f t="shared" si="6"/>
        <v>55557.039999999994</v>
      </c>
      <c r="D119">
        <f t="shared" si="7"/>
        <v>955034.96</v>
      </c>
      <c r="E119">
        <f t="shared" si="8"/>
        <v>6355.2</v>
      </c>
      <c r="G119" s="19" t="s">
        <v>296</v>
      </c>
      <c r="H119">
        <v>22670.9</v>
      </c>
      <c r="J119" s="19" t="s">
        <v>87</v>
      </c>
      <c r="K119" s="6">
        <v>138100.95000000001</v>
      </c>
      <c r="M119" s="19" t="s">
        <v>59</v>
      </c>
      <c r="N119" s="15">
        <v>481609.8</v>
      </c>
    </row>
    <row r="120" spans="1:14" x14ac:dyDescent="0.2">
      <c r="A120" s="19" t="s">
        <v>96</v>
      </c>
      <c r="B120" s="6">
        <v>46265.310000000005</v>
      </c>
      <c r="C120" t="e">
        <f t="shared" si="6"/>
        <v>#N/A</v>
      </c>
      <c r="D120">
        <f t="shared" si="7"/>
        <v>45153.99</v>
      </c>
      <c r="E120">
        <f t="shared" si="8"/>
        <v>288678.3899999999</v>
      </c>
      <c r="G120" s="19" t="s">
        <v>68</v>
      </c>
      <c r="H120">
        <v>22295</v>
      </c>
      <c r="J120" s="19" t="s">
        <v>60</v>
      </c>
      <c r="K120" s="6">
        <v>130243.68</v>
      </c>
      <c r="M120" s="19" t="s">
        <v>315</v>
      </c>
      <c r="N120" s="15">
        <v>480645.89999999991</v>
      </c>
    </row>
    <row r="121" spans="1:14" x14ac:dyDescent="0.2">
      <c r="A121" s="19" t="s">
        <v>278</v>
      </c>
      <c r="B121" s="6">
        <v>46265.310000000005</v>
      </c>
      <c r="C121" t="e">
        <f t="shared" si="6"/>
        <v>#N/A</v>
      </c>
      <c r="D121">
        <f t="shared" si="7"/>
        <v>45153.99</v>
      </c>
      <c r="E121">
        <f t="shared" si="8"/>
        <v>288678.3899999999</v>
      </c>
      <c r="G121" s="19" t="s">
        <v>250</v>
      </c>
      <c r="H121">
        <v>22295</v>
      </c>
      <c r="J121" s="19" t="s">
        <v>242</v>
      </c>
      <c r="K121" s="6">
        <v>130243.68</v>
      </c>
      <c r="M121" s="19" t="s">
        <v>133</v>
      </c>
      <c r="N121" s="15">
        <v>480645.89999999991</v>
      </c>
    </row>
    <row r="122" spans="1:14" x14ac:dyDescent="0.2">
      <c r="A122" s="19" t="s">
        <v>125</v>
      </c>
      <c r="B122" s="6">
        <v>35877</v>
      </c>
      <c r="C122" t="e">
        <f t="shared" si="6"/>
        <v>#N/A</v>
      </c>
      <c r="D122">
        <f t="shared" si="7"/>
        <v>449545.2</v>
      </c>
      <c r="E122">
        <f t="shared" si="8"/>
        <v>106897.79999999999</v>
      </c>
      <c r="G122" s="19" t="s">
        <v>349</v>
      </c>
      <c r="H122">
        <v>19582.080000000002</v>
      </c>
      <c r="J122" s="19" t="s">
        <v>243</v>
      </c>
      <c r="K122" s="6">
        <v>126539.28</v>
      </c>
      <c r="M122" s="19" t="s">
        <v>368</v>
      </c>
      <c r="N122" s="15">
        <v>465000</v>
      </c>
    </row>
    <row r="123" spans="1:14" x14ac:dyDescent="0.2">
      <c r="A123" s="19" t="s">
        <v>307</v>
      </c>
      <c r="B123" s="6">
        <v>35877</v>
      </c>
      <c r="C123" t="e">
        <f t="shared" si="6"/>
        <v>#N/A</v>
      </c>
      <c r="D123">
        <f t="shared" si="7"/>
        <v>449545.2</v>
      </c>
      <c r="E123">
        <f t="shared" si="8"/>
        <v>106897.79999999999</v>
      </c>
      <c r="G123" s="19" t="s">
        <v>167</v>
      </c>
      <c r="H123">
        <v>19582.080000000002</v>
      </c>
      <c r="J123" s="19" t="s">
        <v>61</v>
      </c>
      <c r="K123" s="6">
        <v>126539.28</v>
      </c>
      <c r="M123" s="19" t="s">
        <v>186</v>
      </c>
      <c r="N123" s="15">
        <v>465000</v>
      </c>
    </row>
    <row r="124" spans="1:14" x14ac:dyDescent="0.2">
      <c r="A124" s="19" t="s">
        <v>107</v>
      </c>
      <c r="B124" s="6">
        <v>33447.839999999997</v>
      </c>
      <c r="C124">
        <f t="shared" si="6"/>
        <v>48972</v>
      </c>
      <c r="D124" t="e">
        <f t="shared" si="7"/>
        <v>#N/A</v>
      </c>
      <c r="E124">
        <f t="shared" si="8"/>
        <v>1069996.96</v>
      </c>
      <c r="G124" s="19" t="s">
        <v>81</v>
      </c>
      <c r="H124">
        <v>7035</v>
      </c>
      <c r="J124" s="19" t="s">
        <v>97</v>
      </c>
      <c r="K124" s="6">
        <v>112133.28</v>
      </c>
      <c r="M124" s="19" t="s">
        <v>170</v>
      </c>
      <c r="N124" s="15">
        <v>455686.56</v>
      </c>
    </row>
    <row r="125" spans="1:14" x14ac:dyDescent="0.2">
      <c r="A125" s="19" t="s">
        <v>289</v>
      </c>
      <c r="B125" s="6">
        <v>33447.839999999997</v>
      </c>
      <c r="C125">
        <f t="shared" si="6"/>
        <v>48972</v>
      </c>
      <c r="D125" t="e">
        <f t="shared" si="7"/>
        <v>#N/A</v>
      </c>
      <c r="E125">
        <f t="shared" si="8"/>
        <v>1069996.96</v>
      </c>
      <c r="G125" s="19" t="s">
        <v>263</v>
      </c>
      <c r="H125">
        <v>7035</v>
      </c>
      <c r="J125" s="19" t="s">
        <v>279</v>
      </c>
      <c r="K125" s="6">
        <v>112133.28</v>
      </c>
      <c r="M125" s="19" t="s">
        <v>352</v>
      </c>
      <c r="N125" s="15">
        <v>455686.56</v>
      </c>
    </row>
    <row r="126" spans="1:14" x14ac:dyDescent="0.2">
      <c r="A126" s="19" t="s">
        <v>293</v>
      </c>
      <c r="B126" s="6">
        <v>32076.799999999999</v>
      </c>
      <c r="C126" t="e">
        <f t="shared" si="6"/>
        <v>#N/A</v>
      </c>
      <c r="D126">
        <f t="shared" si="7"/>
        <v>31315.200000000001</v>
      </c>
      <c r="E126">
        <f t="shared" si="8"/>
        <v>7560</v>
      </c>
      <c r="G126" s="19" t="s">
        <v>155</v>
      </c>
      <c r="H126">
        <v>6800</v>
      </c>
      <c r="J126" s="19" t="s">
        <v>310</v>
      </c>
      <c r="K126" s="6">
        <v>95886</v>
      </c>
      <c r="M126" s="19" t="s">
        <v>370</v>
      </c>
      <c r="N126" s="15">
        <v>391000</v>
      </c>
    </row>
    <row r="127" spans="1:14" x14ac:dyDescent="0.2">
      <c r="A127" s="19" t="s">
        <v>111</v>
      </c>
      <c r="B127" s="6">
        <v>32076.799999999999</v>
      </c>
      <c r="C127" t="e">
        <f t="shared" si="6"/>
        <v>#N/A</v>
      </c>
      <c r="D127">
        <f t="shared" si="7"/>
        <v>31315.200000000001</v>
      </c>
      <c r="E127">
        <f t="shared" si="8"/>
        <v>7560</v>
      </c>
      <c r="G127" s="19" t="s">
        <v>337</v>
      </c>
      <c r="H127">
        <v>6800</v>
      </c>
      <c r="J127" s="19" t="s">
        <v>128</v>
      </c>
      <c r="K127" s="6">
        <v>95886</v>
      </c>
      <c r="M127" s="19" t="s">
        <v>188</v>
      </c>
      <c r="N127" s="15">
        <v>391000</v>
      </c>
    </row>
    <row r="128" spans="1:14" x14ac:dyDescent="0.2">
      <c r="A128" s="19" t="s">
        <v>282</v>
      </c>
      <c r="B128" s="6">
        <v>29679.3</v>
      </c>
      <c r="C128" t="e">
        <f t="shared" si="6"/>
        <v>#N/A</v>
      </c>
      <c r="D128">
        <f t="shared" si="7"/>
        <v>28967.4</v>
      </c>
      <c r="E128" t="e">
        <f t="shared" si="8"/>
        <v>#N/A</v>
      </c>
      <c r="G128" s="19" t="s">
        <v>238</v>
      </c>
      <c r="H128">
        <v>5670</v>
      </c>
      <c r="J128" s="19" t="s">
        <v>273</v>
      </c>
      <c r="K128" s="6">
        <v>92326.5</v>
      </c>
      <c r="M128" s="19" t="s">
        <v>239</v>
      </c>
      <c r="N128" s="15">
        <v>380292</v>
      </c>
    </row>
    <row r="129" spans="1:14" x14ac:dyDescent="0.2">
      <c r="A129" s="19" t="s">
        <v>100</v>
      </c>
      <c r="B129" s="6">
        <v>29679.3</v>
      </c>
      <c r="C129" t="e">
        <f t="shared" si="6"/>
        <v>#N/A</v>
      </c>
      <c r="D129">
        <f t="shared" si="7"/>
        <v>28967.4</v>
      </c>
      <c r="E129" t="e">
        <f t="shared" si="8"/>
        <v>#N/A</v>
      </c>
      <c r="G129" s="19" t="s">
        <v>154</v>
      </c>
      <c r="H129">
        <v>5670</v>
      </c>
      <c r="J129" s="19" t="s">
        <v>91</v>
      </c>
      <c r="K129" s="6">
        <v>92326.5</v>
      </c>
      <c r="M129" s="19" t="s">
        <v>57</v>
      </c>
      <c r="N129" s="15">
        <v>380292</v>
      </c>
    </row>
    <row r="130" spans="1:14" x14ac:dyDescent="0.2">
      <c r="A130" s="19" t="s">
        <v>139</v>
      </c>
      <c r="B130" s="6">
        <v>29460.54</v>
      </c>
      <c r="C130" t="e">
        <f t="shared" si="6"/>
        <v>#N/A</v>
      </c>
      <c r="D130">
        <f t="shared" si="7"/>
        <v>52563.28</v>
      </c>
      <c r="E130">
        <f t="shared" si="8"/>
        <v>128028.32</v>
      </c>
      <c r="G130" s="19" t="s">
        <v>56</v>
      </c>
      <c r="H130">
        <v>5670</v>
      </c>
      <c r="J130" s="19" t="s">
        <v>250</v>
      </c>
      <c r="K130" s="6">
        <v>84721</v>
      </c>
      <c r="M130" s="19" t="s">
        <v>183</v>
      </c>
      <c r="N130" s="15">
        <v>372934.8</v>
      </c>
    </row>
    <row r="131" spans="1:14" x14ac:dyDescent="0.2">
      <c r="A131" s="19" t="s">
        <v>321</v>
      </c>
      <c r="B131" s="6">
        <v>29460.54</v>
      </c>
      <c r="C131" t="e">
        <f t="shared" si="6"/>
        <v>#N/A</v>
      </c>
      <c r="D131">
        <f t="shared" si="7"/>
        <v>52563.28</v>
      </c>
      <c r="E131">
        <f t="shared" si="8"/>
        <v>128028.32</v>
      </c>
      <c r="G131" s="19" t="s">
        <v>336</v>
      </c>
      <c r="H131">
        <v>5670</v>
      </c>
      <c r="J131" s="19" t="s">
        <v>68</v>
      </c>
      <c r="K131" s="6">
        <v>84721</v>
      </c>
      <c r="M131" s="19" t="s">
        <v>365</v>
      </c>
      <c r="N131" s="15">
        <v>372934.8</v>
      </c>
    </row>
    <row r="132" spans="1:14" x14ac:dyDescent="0.2">
      <c r="A132" s="19" t="s">
        <v>320</v>
      </c>
      <c r="B132" s="6">
        <v>29347.200000000001</v>
      </c>
      <c r="C132" t="e">
        <f t="shared" si="6"/>
        <v>#N/A</v>
      </c>
      <c r="D132">
        <f t="shared" si="7"/>
        <v>28645.200000000001</v>
      </c>
      <c r="E132" t="e">
        <f t="shared" si="8"/>
        <v>#N/A</v>
      </c>
      <c r="G132" s="19" t="s">
        <v>342</v>
      </c>
      <c r="H132">
        <v>5600</v>
      </c>
      <c r="J132" s="19" t="s">
        <v>119</v>
      </c>
      <c r="K132" s="6">
        <v>82225.08</v>
      </c>
      <c r="M132" s="19" t="s">
        <v>303</v>
      </c>
      <c r="N132" s="15">
        <v>338967.72</v>
      </c>
    </row>
    <row r="133" spans="1:14" x14ac:dyDescent="0.2">
      <c r="A133" s="19" t="s">
        <v>138</v>
      </c>
      <c r="B133" s="6">
        <v>29347.200000000001</v>
      </c>
      <c r="C133" t="e">
        <f t="shared" si="6"/>
        <v>#N/A</v>
      </c>
      <c r="D133">
        <f t="shared" si="7"/>
        <v>28645.200000000001</v>
      </c>
      <c r="E133" t="e">
        <f t="shared" si="8"/>
        <v>#N/A</v>
      </c>
      <c r="G133" s="19" t="s">
        <v>160</v>
      </c>
      <c r="H133">
        <v>5600</v>
      </c>
      <c r="J133" s="19" t="s">
        <v>301</v>
      </c>
      <c r="K133" s="6">
        <v>82225.08</v>
      </c>
      <c r="M133" s="19" t="s">
        <v>121</v>
      </c>
      <c r="N133" s="15">
        <v>338967.72</v>
      </c>
    </row>
    <row r="134" spans="1:14" x14ac:dyDescent="0.2">
      <c r="A134" s="19" t="s">
        <v>137</v>
      </c>
      <c r="B134" s="6">
        <v>28687.68</v>
      </c>
      <c r="C134" t="e">
        <f t="shared" si="6"/>
        <v>#N/A</v>
      </c>
      <c r="D134">
        <f t="shared" si="7"/>
        <v>56004.480000000003</v>
      </c>
      <c r="E134">
        <f t="shared" si="8"/>
        <v>53991</v>
      </c>
      <c r="G134" s="19" t="s">
        <v>326</v>
      </c>
      <c r="H134">
        <v>5120</v>
      </c>
      <c r="J134" s="19" t="s">
        <v>298</v>
      </c>
      <c r="K134" s="6">
        <v>71648.639999999999</v>
      </c>
      <c r="M134" s="19" t="s">
        <v>68</v>
      </c>
      <c r="N134" s="15">
        <v>319737.60000000009</v>
      </c>
    </row>
    <row r="135" spans="1:14" x14ac:dyDescent="0.2">
      <c r="A135" s="19" t="s">
        <v>319</v>
      </c>
      <c r="B135" s="6">
        <v>28687.68</v>
      </c>
      <c r="C135" t="e">
        <f t="shared" si="6"/>
        <v>#N/A</v>
      </c>
      <c r="D135">
        <f t="shared" si="7"/>
        <v>56004.480000000003</v>
      </c>
      <c r="E135">
        <f t="shared" si="8"/>
        <v>53991</v>
      </c>
      <c r="G135" s="19" t="s">
        <v>144</v>
      </c>
      <c r="H135">
        <v>5120</v>
      </c>
      <c r="J135" s="19" t="s">
        <v>116</v>
      </c>
      <c r="K135" s="6">
        <v>71648.639999999999</v>
      </c>
      <c r="M135" s="19" t="s">
        <v>250</v>
      </c>
      <c r="N135" s="15">
        <v>319737.60000000009</v>
      </c>
    </row>
    <row r="136" spans="1:14" x14ac:dyDescent="0.2">
      <c r="A136" s="19" t="s">
        <v>112</v>
      </c>
      <c r="B136" s="6">
        <v>22370.760000000002</v>
      </c>
      <c r="C136">
        <f t="shared" si="6"/>
        <v>900</v>
      </c>
      <c r="D136">
        <f t="shared" si="7"/>
        <v>20934.72</v>
      </c>
      <c r="E136">
        <f t="shared" si="8"/>
        <v>13353.119999999999</v>
      </c>
      <c r="G136" s="19" t="s">
        <v>262</v>
      </c>
      <c r="H136">
        <v>3840</v>
      </c>
      <c r="J136" s="19" t="s">
        <v>322</v>
      </c>
      <c r="K136" s="6">
        <v>70963.199999999997</v>
      </c>
      <c r="M136" s="19" t="s">
        <v>278</v>
      </c>
      <c r="N136" s="15">
        <v>288678.3899999999</v>
      </c>
    </row>
    <row r="137" spans="1:14" x14ac:dyDescent="0.2">
      <c r="A137" s="19" t="s">
        <v>294</v>
      </c>
      <c r="B137" s="6">
        <v>22370.760000000002</v>
      </c>
      <c r="C137">
        <f t="shared" si="6"/>
        <v>900</v>
      </c>
      <c r="D137">
        <f t="shared" si="7"/>
        <v>20934.72</v>
      </c>
      <c r="E137">
        <f t="shared" si="8"/>
        <v>13353.119999999999</v>
      </c>
      <c r="G137" s="19" t="s">
        <v>80</v>
      </c>
      <c r="H137">
        <v>3840</v>
      </c>
      <c r="J137" s="19" t="s">
        <v>140</v>
      </c>
      <c r="K137" s="6">
        <v>70963.199999999997</v>
      </c>
      <c r="M137" s="19" t="s">
        <v>96</v>
      </c>
      <c r="N137" s="15">
        <v>288678.3899999999</v>
      </c>
    </row>
    <row r="138" spans="1:14" x14ac:dyDescent="0.2">
      <c r="A138" s="19" t="s">
        <v>249</v>
      </c>
      <c r="B138" s="6">
        <v>17455.2</v>
      </c>
      <c r="C138" t="e">
        <f t="shared" si="6"/>
        <v>#N/A</v>
      </c>
      <c r="D138">
        <f t="shared" si="7"/>
        <v>12776.400000000001</v>
      </c>
      <c r="E138">
        <f t="shared" si="8"/>
        <v>25514.999999999996</v>
      </c>
      <c r="G138" s="19" t="s">
        <v>130</v>
      </c>
      <c r="H138">
        <v>3300</v>
      </c>
      <c r="J138" s="19" t="s">
        <v>101</v>
      </c>
      <c r="K138" s="6">
        <v>68952.800000000003</v>
      </c>
      <c r="M138" s="19" t="s">
        <v>346</v>
      </c>
      <c r="N138" s="15">
        <v>285049.09999999998</v>
      </c>
    </row>
    <row r="139" spans="1:14" x14ac:dyDescent="0.2">
      <c r="A139" s="19" t="s">
        <v>67</v>
      </c>
      <c r="B139" s="6">
        <v>17455.2</v>
      </c>
      <c r="C139" t="e">
        <f t="shared" si="6"/>
        <v>#N/A</v>
      </c>
      <c r="D139">
        <f t="shared" si="7"/>
        <v>12776.400000000001</v>
      </c>
      <c r="E139">
        <f t="shared" si="8"/>
        <v>25514.999999999996</v>
      </c>
      <c r="G139" s="19" t="s">
        <v>312</v>
      </c>
      <c r="H139">
        <v>3300</v>
      </c>
      <c r="J139" s="19" t="s">
        <v>283</v>
      </c>
      <c r="K139" s="6">
        <v>68952.800000000003</v>
      </c>
      <c r="M139" s="19" t="s">
        <v>164</v>
      </c>
      <c r="N139" s="15">
        <v>285049.09999999998</v>
      </c>
    </row>
    <row r="140" spans="1:14" x14ac:dyDescent="0.2">
      <c r="A140" s="19" t="s">
        <v>99</v>
      </c>
      <c r="B140" s="6">
        <v>12923.8</v>
      </c>
      <c r="C140" t="e">
        <f t="shared" si="6"/>
        <v>#N/A</v>
      </c>
      <c r="D140">
        <f t="shared" si="7"/>
        <v>12610.550000000001</v>
      </c>
      <c r="E140">
        <f t="shared" si="8"/>
        <v>44929.38</v>
      </c>
      <c r="G140" s="19" t="s">
        <v>348</v>
      </c>
      <c r="H140">
        <v>2701.44</v>
      </c>
      <c r="J140" s="19" t="s">
        <v>109</v>
      </c>
      <c r="K140" s="6">
        <v>67692.240000000005</v>
      </c>
      <c r="M140" s="19" t="s">
        <v>95</v>
      </c>
      <c r="N140" s="15">
        <v>277841.14</v>
      </c>
    </row>
    <row r="141" spans="1:14" x14ac:dyDescent="0.2">
      <c r="A141" s="19" t="s">
        <v>281</v>
      </c>
      <c r="B141" s="6">
        <v>12923.8</v>
      </c>
      <c r="C141" t="e">
        <f t="shared" si="6"/>
        <v>#N/A</v>
      </c>
      <c r="D141">
        <f t="shared" si="7"/>
        <v>12610.550000000001</v>
      </c>
      <c r="E141">
        <f t="shared" si="8"/>
        <v>44929.38</v>
      </c>
      <c r="G141" s="19" t="s">
        <v>166</v>
      </c>
      <c r="H141">
        <v>2701.44</v>
      </c>
      <c r="J141" s="19" t="s">
        <v>291</v>
      </c>
      <c r="K141" s="6">
        <v>67692.240000000005</v>
      </c>
      <c r="M141" s="19" t="s">
        <v>277</v>
      </c>
      <c r="N141" s="15">
        <v>277841.14</v>
      </c>
    </row>
    <row r="142" spans="1:14" x14ac:dyDescent="0.2">
      <c r="A142" s="19" t="s">
        <v>79</v>
      </c>
      <c r="B142" s="6">
        <v>10980</v>
      </c>
      <c r="C142">
        <f t="shared" si="6"/>
        <v>1785</v>
      </c>
      <c r="D142">
        <f t="shared" si="7"/>
        <v>14280</v>
      </c>
      <c r="E142">
        <f t="shared" si="8"/>
        <v>86411.16</v>
      </c>
      <c r="G142" s="19" t="s">
        <v>313</v>
      </c>
      <c r="H142">
        <v>2179.1999999999998</v>
      </c>
      <c r="J142" s="19" t="s">
        <v>69</v>
      </c>
      <c r="K142" s="6">
        <v>60722.76</v>
      </c>
      <c r="M142" s="19" t="s">
        <v>330</v>
      </c>
      <c r="N142" s="15">
        <v>263565.33</v>
      </c>
    </row>
    <row r="143" spans="1:14" x14ac:dyDescent="0.2">
      <c r="A143" s="19" t="s">
        <v>261</v>
      </c>
      <c r="B143" s="6">
        <v>10980</v>
      </c>
      <c r="C143">
        <f t="shared" si="6"/>
        <v>1785</v>
      </c>
      <c r="D143">
        <f t="shared" si="7"/>
        <v>14280</v>
      </c>
      <c r="E143">
        <f t="shared" si="8"/>
        <v>86411.16</v>
      </c>
      <c r="G143" s="19" t="s">
        <v>131</v>
      </c>
      <c r="H143">
        <v>2179.1999999999998</v>
      </c>
      <c r="J143" s="19" t="s">
        <v>251</v>
      </c>
      <c r="K143" s="6">
        <v>60722.76</v>
      </c>
      <c r="M143" s="19" t="s">
        <v>148</v>
      </c>
      <c r="N143" s="15">
        <v>263565.33</v>
      </c>
    </row>
    <row r="144" spans="1:14" x14ac:dyDescent="0.2">
      <c r="A144" s="19" t="s">
        <v>143</v>
      </c>
      <c r="B144" s="6">
        <v>10786.8</v>
      </c>
      <c r="C144" t="e">
        <f t="shared" si="6"/>
        <v>#N/A</v>
      </c>
      <c r="D144">
        <f t="shared" si="7"/>
        <v>10528.8</v>
      </c>
      <c r="E144" t="e">
        <f t="shared" si="8"/>
        <v>#N/A</v>
      </c>
      <c r="G144" s="19" t="s">
        <v>79</v>
      </c>
      <c r="H144">
        <v>1785</v>
      </c>
      <c r="J144" s="19" t="s">
        <v>137</v>
      </c>
      <c r="K144" s="6">
        <v>56004.480000000003</v>
      </c>
      <c r="M144" s="19" t="s">
        <v>288</v>
      </c>
      <c r="N144" s="15">
        <v>259179.2</v>
      </c>
    </row>
    <row r="145" spans="1:14" x14ac:dyDescent="0.2">
      <c r="A145" s="19" t="s">
        <v>325</v>
      </c>
      <c r="B145" s="6">
        <v>10786.8</v>
      </c>
      <c r="C145" t="e">
        <f t="shared" si="6"/>
        <v>#N/A</v>
      </c>
      <c r="D145">
        <f t="shared" si="7"/>
        <v>10528.8</v>
      </c>
      <c r="E145" t="e">
        <f t="shared" si="8"/>
        <v>#N/A</v>
      </c>
      <c r="G145" s="19" t="s">
        <v>261</v>
      </c>
      <c r="H145">
        <v>1785</v>
      </c>
      <c r="J145" s="19" t="s">
        <v>319</v>
      </c>
      <c r="K145" s="6">
        <v>56004.480000000003</v>
      </c>
      <c r="M145" s="19" t="s">
        <v>106</v>
      </c>
      <c r="N145" s="15">
        <v>259179.2</v>
      </c>
    </row>
    <row r="146" spans="1:14" x14ac:dyDescent="0.2">
      <c r="A146" s="19" t="s">
        <v>276</v>
      </c>
      <c r="B146" s="6">
        <v>8736</v>
      </c>
      <c r="C146" t="e">
        <f t="shared" si="6"/>
        <v>#N/A</v>
      </c>
      <c r="D146">
        <f t="shared" si="7"/>
        <v>8517.6</v>
      </c>
      <c r="E146">
        <f t="shared" si="8"/>
        <v>20820.8</v>
      </c>
      <c r="G146" s="19" t="s">
        <v>159</v>
      </c>
      <c r="H146">
        <v>1728</v>
      </c>
      <c r="J146" s="19" t="s">
        <v>150</v>
      </c>
      <c r="K146" s="6">
        <v>55489.599999999999</v>
      </c>
      <c r="M146" s="19" t="s">
        <v>171</v>
      </c>
      <c r="N146" s="15">
        <v>251880</v>
      </c>
    </row>
    <row r="147" spans="1:14" x14ac:dyDescent="0.2">
      <c r="A147" s="19" t="s">
        <v>94</v>
      </c>
      <c r="B147" s="6">
        <v>8736</v>
      </c>
      <c r="C147" t="e">
        <f t="shared" si="6"/>
        <v>#N/A</v>
      </c>
      <c r="D147">
        <f t="shared" si="7"/>
        <v>8517.6</v>
      </c>
      <c r="E147">
        <f t="shared" si="8"/>
        <v>20820.8</v>
      </c>
      <c r="G147" s="19" t="s">
        <v>341</v>
      </c>
      <c r="H147">
        <v>1728</v>
      </c>
      <c r="J147" s="19" t="s">
        <v>332</v>
      </c>
      <c r="K147" s="6">
        <v>55489.599999999999</v>
      </c>
      <c r="M147" s="19" t="s">
        <v>353</v>
      </c>
      <c r="N147" s="15">
        <v>251880</v>
      </c>
    </row>
    <row r="148" spans="1:14" x14ac:dyDescent="0.2">
      <c r="A148" s="19" t="s">
        <v>131</v>
      </c>
      <c r="B148" s="6">
        <v>6138</v>
      </c>
      <c r="C148">
        <f t="shared" si="6"/>
        <v>2179.1999999999998</v>
      </c>
      <c r="D148">
        <f t="shared" si="7"/>
        <v>3813.6</v>
      </c>
      <c r="E148">
        <f t="shared" si="8"/>
        <v>19404</v>
      </c>
      <c r="G148" s="19" t="s">
        <v>150</v>
      </c>
      <c r="H148">
        <v>1344</v>
      </c>
      <c r="J148" s="19" t="s">
        <v>139</v>
      </c>
      <c r="K148" s="6">
        <v>52563.28</v>
      </c>
      <c r="M148" s="19" t="s">
        <v>309</v>
      </c>
      <c r="N148" s="15">
        <v>249480</v>
      </c>
    </row>
    <row r="149" spans="1:14" x14ac:dyDescent="0.2">
      <c r="A149" s="19" t="s">
        <v>313</v>
      </c>
      <c r="B149" s="6">
        <v>6138</v>
      </c>
      <c r="C149">
        <f t="shared" si="6"/>
        <v>2179.1999999999998</v>
      </c>
      <c r="D149">
        <f t="shared" si="7"/>
        <v>3813.6</v>
      </c>
      <c r="E149">
        <f t="shared" si="8"/>
        <v>19404</v>
      </c>
      <c r="G149" s="19" t="s">
        <v>332</v>
      </c>
      <c r="H149">
        <v>1344</v>
      </c>
      <c r="J149" s="19" t="s">
        <v>321</v>
      </c>
      <c r="K149" s="6">
        <v>52563.28</v>
      </c>
      <c r="M149" s="19" t="s">
        <v>127</v>
      </c>
      <c r="N149" s="15">
        <v>249480</v>
      </c>
    </row>
    <row r="150" spans="1:14" x14ac:dyDescent="0.2">
      <c r="A150" s="19" t="s">
        <v>80</v>
      </c>
      <c r="B150" s="6">
        <v>5895</v>
      </c>
      <c r="C150">
        <f t="shared" si="6"/>
        <v>3840</v>
      </c>
      <c r="D150">
        <f t="shared" si="7"/>
        <v>3840</v>
      </c>
      <c r="E150">
        <f t="shared" si="8"/>
        <v>26670</v>
      </c>
      <c r="G150" s="19" t="s">
        <v>343</v>
      </c>
      <c r="H150">
        <v>1310.4000000000001</v>
      </c>
      <c r="J150" s="19" t="s">
        <v>96</v>
      </c>
      <c r="K150" s="6">
        <v>45153.99</v>
      </c>
      <c r="M150" s="19" t="s">
        <v>174</v>
      </c>
      <c r="N150" s="15">
        <v>232181.76000000001</v>
      </c>
    </row>
    <row r="151" spans="1:14" x14ac:dyDescent="0.2">
      <c r="A151" s="19" t="s">
        <v>262</v>
      </c>
      <c r="B151" s="6">
        <v>5895</v>
      </c>
      <c r="C151">
        <f t="shared" si="6"/>
        <v>3840</v>
      </c>
      <c r="D151">
        <f t="shared" si="7"/>
        <v>3840</v>
      </c>
      <c r="E151">
        <f t="shared" si="8"/>
        <v>26670</v>
      </c>
      <c r="G151" s="19" t="s">
        <v>161</v>
      </c>
      <c r="H151">
        <v>1310.4000000000001</v>
      </c>
      <c r="J151" s="19" t="s">
        <v>278</v>
      </c>
      <c r="K151" s="6">
        <v>45153.99</v>
      </c>
      <c r="M151" s="19" t="s">
        <v>356</v>
      </c>
      <c r="N151" s="15">
        <v>232181.76000000001</v>
      </c>
    </row>
    <row r="152" spans="1:14" x14ac:dyDescent="0.2">
      <c r="A152" s="19" t="s">
        <v>126</v>
      </c>
      <c r="B152" s="6">
        <v>5360</v>
      </c>
      <c r="C152">
        <f t="shared" si="6"/>
        <v>25200</v>
      </c>
      <c r="D152">
        <f t="shared" si="7"/>
        <v>966000</v>
      </c>
      <c r="E152">
        <f t="shared" si="8"/>
        <v>112680</v>
      </c>
      <c r="G152" s="19" t="s">
        <v>112</v>
      </c>
      <c r="H152">
        <v>900</v>
      </c>
      <c r="J152" s="19" t="s">
        <v>111</v>
      </c>
      <c r="K152" s="6">
        <v>31315.200000000001</v>
      </c>
      <c r="M152" s="19" t="s">
        <v>279</v>
      </c>
      <c r="N152" s="15">
        <v>223799.52000000002</v>
      </c>
    </row>
    <row r="153" spans="1:14" x14ac:dyDescent="0.2">
      <c r="A153" s="19" t="s">
        <v>308</v>
      </c>
      <c r="B153" s="6">
        <v>5360</v>
      </c>
      <c r="C153">
        <f t="shared" si="6"/>
        <v>25200</v>
      </c>
      <c r="D153">
        <f t="shared" si="7"/>
        <v>966000</v>
      </c>
      <c r="E153">
        <f t="shared" si="8"/>
        <v>112680</v>
      </c>
      <c r="G153" s="19" t="s">
        <v>294</v>
      </c>
      <c r="H153">
        <v>900</v>
      </c>
      <c r="J153" s="19" t="s">
        <v>293</v>
      </c>
      <c r="K153" s="6">
        <v>31315.200000000001</v>
      </c>
      <c r="M153" s="19" t="s">
        <v>97</v>
      </c>
      <c r="N153" s="15">
        <v>223799.52000000002</v>
      </c>
    </row>
    <row r="154" spans="1:14" x14ac:dyDescent="0.2">
      <c r="A154" s="19" t="s">
        <v>238</v>
      </c>
      <c r="B154" s="6">
        <v>3880</v>
      </c>
      <c r="C154">
        <f t="shared" si="6"/>
        <v>5670</v>
      </c>
      <c r="D154">
        <f t="shared" si="7"/>
        <v>3780</v>
      </c>
      <c r="E154">
        <f t="shared" si="8"/>
        <v>67090</v>
      </c>
      <c r="G154" s="19" t="s">
        <v>390</v>
      </c>
      <c r="H154">
        <v>211942938.54000008</v>
      </c>
      <c r="J154" s="19" t="s">
        <v>100</v>
      </c>
      <c r="K154" s="6">
        <v>28967.4</v>
      </c>
      <c r="M154" s="19" t="s">
        <v>116</v>
      </c>
      <c r="N154" s="15">
        <v>216407.52</v>
      </c>
    </row>
    <row r="155" spans="1:14" x14ac:dyDescent="0.2">
      <c r="A155" s="19" t="s">
        <v>56</v>
      </c>
      <c r="B155" s="6">
        <v>3880</v>
      </c>
      <c r="C155">
        <f t="shared" si="6"/>
        <v>5670</v>
      </c>
      <c r="D155">
        <f t="shared" si="7"/>
        <v>3780</v>
      </c>
      <c r="E155">
        <f t="shared" si="8"/>
        <v>67090</v>
      </c>
      <c r="J155" s="19" t="s">
        <v>282</v>
      </c>
      <c r="K155" s="6">
        <v>28967.4</v>
      </c>
      <c r="M155" s="19" t="s">
        <v>298</v>
      </c>
      <c r="N155" s="15">
        <v>216407.52</v>
      </c>
    </row>
    <row r="156" spans="1:14" x14ac:dyDescent="0.2">
      <c r="A156" s="19" t="s">
        <v>312</v>
      </c>
      <c r="B156" s="6">
        <v>3381</v>
      </c>
      <c r="C156">
        <f t="shared" si="6"/>
        <v>3300</v>
      </c>
      <c r="D156">
        <f t="shared" si="7"/>
        <v>3300</v>
      </c>
      <c r="E156">
        <f t="shared" si="8"/>
        <v>32850</v>
      </c>
      <c r="J156" s="19" t="s">
        <v>138</v>
      </c>
      <c r="K156" s="6">
        <v>28645.200000000001</v>
      </c>
      <c r="M156" s="19" t="s">
        <v>98</v>
      </c>
      <c r="N156" s="15">
        <v>193253.76000000007</v>
      </c>
    </row>
    <row r="157" spans="1:14" x14ac:dyDescent="0.2">
      <c r="A157" s="19" t="s">
        <v>130</v>
      </c>
      <c r="B157" s="6">
        <v>3381</v>
      </c>
      <c r="C157">
        <f t="shared" si="6"/>
        <v>3300</v>
      </c>
      <c r="D157">
        <f t="shared" si="7"/>
        <v>3300</v>
      </c>
      <c r="E157">
        <f t="shared" si="8"/>
        <v>32850</v>
      </c>
      <c r="J157" s="19" t="s">
        <v>320</v>
      </c>
      <c r="K157" s="6">
        <v>28645.200000000001</v>
      </c>
      <c r="M157" s="19" t="s">
        <v>280</v>
      </c>
      <c r="N157" s="15">
        <v>193253.76000000007</v>
      </c>
    </row>
    <row r="158" spans="1:14" x14ac:dyDescent="0.2">
      <c r="A158" s="19" t="s">
        <v>92</v>
      </c>
      <c r="B158" s="6">
        <v>3285.6</v>
      </c>
      <c r="C158" t="e">
        <f t="shared" ref="C158:C190" si="9">VLOOKUP(A158,G:H,2,FALSE)</f>
        <v>#N/A</v>
      </c>
      <c r="D158">
        <f t="shared" ref="D158:D190" si="10">VLOOKUP(A158,J:K,2,FALSE)</f>
        <v>3211.6</v>
      </c>
      <c r="E158">
        <f t="shared" ref="E158:E190" si="11">VLOOKUP(A158,M:N,2,FALSE)</f>
        <v>7614.6</v>
      </c>
      <c r="J158" s="19" t="s">
        <v>112</v>
      </c>
      <c r="K158" s="6">
        <v>20934.72</v>
      </c>
      <c r="M158" s="19" t="s">
        <v>295</v>
      </c>
      <c r="N158" s="15">
        <v>192022.79999999993</v>
      </c>
    </row>
    <row r="159" spans="1:14" x14ac:dyDescent="0.2">
      <c r="A159" s="19" t="s">
        <v>274</v>
      </c>
      <c r="B159" s="6">
        <v>3285.6</v>
      </c>
      <c r="C159" t="e">
        <f t="shared" si="9"/>
        <v>#N/A</v>
      </c>
      <c r="D159">
        <f t="shared" si="10"/>
        <v>3211.6</v>
      </c>
      <c r="E159">
        <f t="shared" si="11"/>
        <v>7614.6</v>
      </c>
      <c r="J159" s="19" t="s">
        <v>294</v>
      </c>
      <c r="K159" s="6">
        <v>20934.72</v>
      </c>
      <c r="M159" s="19" t="s">
        <v>113</v>
      </c>
      <c r="N159" s="15">
        <v>192022.79999999993</v>
      </c>
    </row>
    <row r="160" spans="1:14" x14ac:dyDescent="0.2">
      <c r="A160" s="19" t="s">
        <v>105</v>
      </c>
      <c r="B160" s="6">
        <v>3011.4</v>
      </c>
      <c r="C160" t="e">
        <f t="shared" si="9"/>
        <v>#N/A</v>
      </c>
      <c r="D160">
        <f t="shared" si="10"/>
        <v>2940</v>
      </c>
      <c r="E160" t="e">
        <f t="shared" si="11"/>
        <v>#N/A</v>
      </c>
      <c r="J160" s="19" t="s">
        <v>79</v>
      </c>
      <c r="K160" s="6">
        <v>14280</v>
      </c>
      <c r="M160" s="19" t="s">
        <v>172</v>
      </c>
      <c r="N160" s="15">
        <v>188524.79999999999</v>
      </c>
    </row>
    <row r="161" spans="1:14" x14ac:dyDescent="0.2">
      <c r="A161" s="19" t="s">
        <v>287</v>
      </c>
      <c r="B161" s="6">
        <v>3011.4</v>
      </c>
      <c r="C161" t="e">
        <f t="shared" si="9"/>
        <v>#N/A</v>
      </c>
      <c r="D161">
        <f t="shared" si="10"/>
        <v>2940</v>
      </c>
      <c r="E161" t="e">
        <f t="shared" si="11"/>
        <v>#N/A</v>
      </c>
      <c r="J161" s="19" t="s">
        <v>261</v>
      </c>
      <c r="K161" s="6">
        <v>14280</v>
      </c>
      <c r="M161" s="19" t="s">
        <v>354</v>
      </c>
      <c r="N161" s="15">
        <v>188524.79999999999</v>
      </c>
    </row>
    <row r="162" spans="1:14" x14ac:dyDescent="0.2">
      <c r="A162" s="19" t="s">
        <v>114</v>
      </c>
      <c r="B162" s="6">
        <v>2322.6</v>
      </c>
      <c r="C162">
        <f t="shared" si="9"/>
        <v>22670.9</v>
      </c>
      <c r="D162" t="e">
        <f t="shared" si="10"/>
        <v>#N/A</v>
      </c>
      <c r="E162">
        <f t="shared" si="11"/>
        <v>46452</v>
      </c>
      <c r="J162" s="19" t="s">
        <v>67</v>
      </c>
      <c r="K162" s="6">
        <v>12776.400000000001</v>
      </c>
      <c r="M162" s="19" t="s">
        <v>318</v>
      </c>
      <c r="N162" s="15">
        <v>183449.2</v>
      </c>
    </row>
    <row r="163" spans="1:14" x14ac:dyDescent="0.2">
      <c r="A163" s="19" t="s">
        <v>296</v>
      </c>
      <c r="B163" s="6">
        <v>2322.6</v>
      </c>
      <c r="C163">
        <f t="shared" si="9"/>
        <v>22670.9</v>
      </c>
      <c r="D163" t="e">
        <f t="shared" si="10"/>
        <v>#N/A</v>
      </c>
      <c r="E163">
        <f t="shared" si="11"/>
        <v>46452</v>
      </c>
      <c r="J163" s="19" t="s">
        <v>249</v>
      </c>
      <c r="K163" s="6">
        <v>12776.400000000001</v>
      </c>
      <c r="M163" s="19" t="s">
        <v>136</v>
      </c>
      <c r="N163" s="15">
        <v>183449.2</v>
      </c>
    </row>
    <row r="164" spans="1:14" x14ac:dyDescent="0.2">
      <c r="A164" s="19" t="s">
        <v>90</v>
      </c>
      <c r="B164" s="6">
        <v>2132</v>
      </c>
      <c r="C164" t="e">
        <f t="shared" si="9"/>
        <v>#N/A</v>
      </c>
      <c r="D164">
        <f t="shared" si="10"/>
        <v>2080</v>
      </c>
      <c r="E164">
        <f t="shared" si="11"/>
        <v>5215.1999999999989</v>
      </c>
      <c r="J164" s="19" t="s">
        <v>99</v>
      </c>
      <c r="K164" s="6">
        <v>12610.550000000001</v>
      </c>
      <c r="M164" s="19" t="s">
        <v>43</v>
      </c>
      <c r="N164" s="15">
        <v>135631.01999999999</v>
      </c>
    </row>
    <row r="165" spans="1:14" x14ac:dyDescent="0.2">
      <c r="A165" s="19" t="s">
        <v>272</v>
      </c>
      <c r="B165" s="6">
        <v>2132</v>
      </c>
      <c r="C165" t="e">
        <f t="shared" si="9"/>
        <v>#N/A</v>
      </c>
      <c r="D165">
        <f t="shared" si="10"/>
        <v>2080</v>
      </c>
      <c r="E165">
        <f t="shared" si="11"/>
        <v>5215.1999999999989</v>
      </c>
      <c r="J165" s="19" t="s">
        <v>281</v>
      </c>
      <c r="K165" s="6">
        <v>12610.550000000001</v>
      </c>
      <c r="M165" s="19" t="s">
        <v>379</v>
      </c>
      <c r="N165" s="15">
        <v>135631.01999999999</v>
      </c>
    </row>
    <row r="166" spans="1:14" x14ac:dyDescent="0.2">
      <c r="A166" s="19" t="s">
        <v>239</v>
      </c>
      <c r="B166" s="6">
        <v>0</v>
      </c>
      <c r="C166">
        <f t="shared" si="9"/>
        <v>75884.639999999999</v>
      </c>
      <c r="D166" t="e">
        <f t="shared" si="10"/>
        <v>#N/A</v>
      </c>
      <c r="E166">
        <f t="shared" si="11"/>
        <v>380292</v>
      </c>
      <c r="J166" s="19" t="s">
        <v>325</v>
      </c>
      <c r="K166" s="6">
        <v>10528.8</v>
      </c>
      <c r="M166" s="19" t="s">
        <v>78</v>
      </c>
      <c r="N166" s="15">
        <v>129870.72</v>
      </c>
    </row>
    <row r="167" spans="1:14" x14ac:dyDescent="0.2">
      <c r="A167" s="19" t="s">
        <v>264</v>
      </c>
      <c r="B167" s="6">
        <v>0</v>
      </c>
      <c r="C167">
        <f t="shared" si="9"/>
        <v>69778.8</v>
      </c>
      <c r="D167" t="e">
        <f t="shared" si="10"/>
        <v>#N/A</v>
      </c>
      <c r="E167">
        <f t="shared" si="11"/>
        <v>67435.200000000012</v>
      </c>
      <c r="J167" s="19" t="s">
        <v>143</v>
      </c>
      <c r="K167" s="6">
        <v>10528.8</v>
      </c>
      <c r="M167" s="19" t="s">
        <v>260</v>
      </c>
      <c r="N167" s="15">
        <v>129870.72</v>
      </c>
    </row>
    <row r="168" spans="1:14" x14ac:dyDescent="0.2">
      <c r="A168" s="19" t="s">
        <v>233</v>
      </c>
      <c r="B168" s="6">
        <v>0</v>
      </c>
      <c r="C168">
        <f t="shared" si="9"/>
        <v>29500406.399999987</v>
      </c>
      <c r="D168">
        <f t="shared" si="10"/>
        <v>19747363.509999998</v>
      </c>
      <c r="E168">
        <f t="shared" si="11"/>
        <v>16622457.799999999</v>
      </c>
      <c r="J168" s="19" t="s">
        <v>276</v>
      </c>
      <c r="K168" s="6">
        <v>8517.6</v>
      </c>
      <c r="M168" s="19" t="s">
        <v>139</v>
      </c>
      <c r="N168" s="15">
        <v>128028.32</v>
      </c>
    </row>
    <row r="169" spans="1:14" x14ac:dyDescent="0.2">
      <c r="A169" s="19" t="s">
        <v>269</v>
      </c>
      <c r="B169" s="6">
        <v>0</v>
      </c>
      <c r="C169" t="e">
        <f t="shared" si="9"/>
        <v>#N/A</v>
      </c>
      <c r="D169">
        <f t="shared" si="10"/>
        <v>138100.95000000001</v>
      </c>
      <c r="E169">
        <f t="shared" si="11"/>
        <v>92628.55</v>
      </c>
      <c r="J169" s="19" t="s">
        <v>94</v>
      </c>
      <c r="K169" s="6">
        <v>8517.6</v>
      </c>
      <c r="M169" s="19" t="s">
        <v>321</v>
      </c>
      <c r="N169" s="15">
        <v>128028.32</v>
      </c>
    </row>
    <row r="170" spans="1:14" x14ac:dyDescent="0.2">
      <c r="A170" s="19" t="s">
        <v>263</v>
      </c>
      <c r="B170" s="6">
        <v>0</v>
      </c>
      <c r="C170">
        <f t="shared" si="9"/>
        <v>7035</v>
      </c>
      <c r="D170" t="e">
        <f t="shared" si="10"/>
        <v>#N/A</v>
      </c>
      <c r="E170">
        <f t="shared" si="11"/>
        <v>23161.05</v>
      </c>
      <c r="J170" s="19" t="s">
        <v>171</v>
      </c>
      <c r="K170" s="6">
        <v>6300</v>
      </c>
      <c r="M170" s="19" t="s">
        <v>331</v>
      </c>
      <c r="N170" s="15">
        <v>123389.28</v>
      </c>
    </row>
    <row r="171" spans="1:14" x14ac:dyDescent="0.2">
      <c r="A171" s="19" t="s">
        <v>51</v>
      </c>
      <c r="B171" s="6">
        <v>0</v>
      </c>
      <c r="C171">
        <f t="shared" si="9"/>
        <v>29500406.399999987</v>
      </c>
      <c r="D171">
        <f t="shared" si="10"/>
        <v>19747363.509999998</v>
      </c>
      <c r="E171">
        <f t="shared" si="11"/>
        <v>16622457.799999999</v>
      </c>
      <c r="J171" s="19" t="s">
        <v>353</v>
      </c>
      <c r="K171" s="6">
        <v>6300</v>
      </c>
      <c r="M171" s="19" t="s">
        <v>149</v>
      </c>
      <c r="N171" s="15">
        <v>123389.28</v>
      </c>
    </row>
    <row r="172" spans="1:14" x14ac:dyDescent="0.2">
      <c r="A172" s="19" t="s">
        <v>81</v>
      </c>
      <c r="B172" s="6">
        <v>0</v>
      </c>
      <c r="C172">
        <f t="shared" si="9"/>
        <v>7035</v>
      </c>
      <c r="D172" t="e">
        <f t="shared" si="10"/>
        <v>#N/A</v>
      </c>
      <c r="E172">
        <f t="shared" si="11"/>
        <v>23161.05</v>
      </c>
      <c r="J172" s="19" t="s">
        <v>80</v>
      </c>
      <c r="K172" s="6">
        <v>3840</v>
      </c>
      <c r="M172" s="19" t="s">
        <v>308</v>
      </c>
      <c r="N172" s="15">
        <v>112680</v>
      </c>
    </row>
    <row r="173" spans="1:14" x14ac:dyDescent="0.2">
      <c r="A173" s="19" t="s">
        <v>52</v>
      </c>
      <c r="B173" s="6">
        <v>0</v>
      </c>
      <c r="C173">
        <f t="shared" si="9"/>
        <v>14919623.719999999</v>
      </c>
      <c r="D173">
        <f t="shared" si="10"/>
        <v>6168975.1199999992</v>
      </c>
      <c r="E173">
        <f t="shared" si="11"/>
        <v>8397221.9499999993</v>
      </c>
      <c r="J173" s="19" t="s">
        <v>262</v>
      </c>
      <c r="K173" s="6">
        <v>3840</v>
      </c>
      <c r="M173" s="19" t="s">
        <v>126</v>
      </c>
      <c r="N173" s="15">
        <v>112680</v>
      </c>
    </row>
    <row r="174" spans="1:14" x14ac:dyDescent="0.2">
      <c r="A174" s="19" t="s">
        <v>69</v>
      </c>
      <c r="B174" s="6">
        <v>0</v>
      </c>
      <c r="C174">
        <f t="shared" si="9"/>
        <v>303613.8</v>
      </c>
      <c r="D174">
        <f t="shared" si="10"/>
        <v>60722.76</v>
      </c>
      <c r="E174">
        <f t="shared" si="11"/>
        <v>3397499.2799999965</v>
      </c>
      <c r="J174" s="19" t="s">
        <v>131</v>
      </c>
      <c r="K174" s="6">
        <v>3813.6</v>
      </c>
      <c r="M174" s="19" t="s">
        <v>284</v>
      </c>
      <c r="N174" s="15">
        <v>109897.2</v>
      </c>
    </row>
    <row r="175" spans="1:14" x14ac:dyDescent="0.2">
      <c r="A175" s="19" t="s">
        <v>63</v>
      </c>
      <c r="B175" s="6">
        <v>0</v>
      </c>
      <c r="C175">
        <f t="shared" si="9"/>
        <v>182602.56</v>
      </c>
      <c r="D175" t="e">
        <f t="shared" si="10"/>
        <v>#N/A</v>
      </c>
      <c r="E175" t="e">
        <f t="shared" si="11"/>
        <v>#N/A</v>
      </c>
      <c r="J175" s="19" t="s">
        <v>313</v>
      </c>
      <c r="K175" s="6">
        <v>3813.6</v>
      </c>
      <c r="M175" s="19" t="s">
        <v>102</v>
      </c>
      <c r="N175" s="15">
        <v>109897.2</v>
      </c>
    </row>
    <row r="176" spans="1:14" x14ac:dyDescent="0.2">
      <c r="A176" s="19" t="s">
        <v>251</v>
      </c>
      <c r="B176" s="6">
        <v>0</v>
      </c>
      <c r="C176">
        <f t="shared" si="9"/>
        <v>303613.8</v>
      </c>
      <c r="D176">
        <f t="shared" si="10"/>
        <v>60722.76</v>
      </c>
      <c r="E176">
        <f t="shared" si="11"/>
        <v>3397499.2799999965</v>
      </c>
      <c r="J176" s="19" t="s">
        <v>238</v>
      </c>
      <c r="K176" s="6">
        <v>3780</v>
      </c>
      <c r="M176" s="19" t="s">
        <v>333</v>
      </c>
      <c r="N176" s="15">
        <v>108552.96000000001</v>
      </c>
    </row>
    <row r="177" spans="1:14" x14ac:dyDescent="0.2">
      <c r="A177" s="19" t="s">
        <v>244</v>
      </c>
      <c r="B177" s="6">
        <v>0</v>
      </c>
      <c r="C177" t="e">
        <f t="shared" si="9"/>
        <v>#N/A</v>
      </c>
      <c r="D177">
        <f t="shared" si="10"/>
        <v>273810.59999999998</v>
      </c>
      <c r="E177" t="e">
        <f t="shared" si="11"/>
        <v>#N/A</v>
      </c>
      <c r="J177" s="19" t="s">
        <v>56</v>
      </c>
      <c r="K177" s="6">
        <v>3780</v>
      </c>
      <c r="M177" s="19" t="s">
        <v>151</v>
      </c>
      <c r="N177" s="15">
        <v>108552.96000000001</v>
      </c>
    </row>
    <row r="178" spans="1:14" x14ac:dyDescent="0.2">
      <c r="A178" s="19" t="s">
        <v>78</v>
      </c>
      <c r="B178" s="6">
        <v>0</v>
      </c>
      <c r="C178">
        <f t="shared" si="9"/>
        <v>139063.67999999999</v>
      </c>
      <c r="D178" t="e">
        <f t="shared" si="10"/>
        <v>#N/A</v>
      </c>
      <c r="E178">
        <f t="shared" si="11"/>
        <v>129870.72</v>
      </c>
      <c r="J178" s="19" t="s">
        <v>130</v>
      </c>
      <c r="K178" s="6">
        <v>3300</v>
      </c>
      <c r="M178" s="19" t="s">
        <v>345</v>
      </c>
      <c r="N178" s="15">
        <v>107909.69000000002</v>
      </c>
    </row>
    <row r="179" spans="1:14" x14ac:dyDescent="0.2">
      <c r="A179" s="19" t="s">
        <v>260</v>
      </c>
      <c r="B179" s="6">
        <v>0</v>
      </c>
      <c r="C179">
        <f t="shared" si="9"/>
        <v>139063.67999999999</v>
      </c>
      <c r="D179" t="e">
        <f t="shared" si="10"/>
        <v>#N/A</v>
      </c>
      <c r="E179">
        <f t="shared" si="11"/>
        <v>129870.72</v>
      </c>
      <c r="J179" s="19" t="s">
        <v>312</v>
      </c>
      <c r="K179" s="6">
        <v>3300</v>
      </c>
      <c r="M179" s="19" t="s">
        <v>163</v>
      </c>
      <c r="N179" s="15">
        <v>107909.69000000002</v>
      </c>
    </row>
    <row r="180" spans="1:14" x14ac:dyDescent="0.2">
      <c r="A180" s="19" t="s">
        <v>87</v>
      </c>
      <c r="B180" s="6">
        <v>0</v>
      </c>
      <c r="C180" t="e">
        <f t="shared" si="9"/>
        <v>#N/A</v>
      </c>
      <c r="D180">
        <f t="shared" si="10"/>
        <v>138100.95000000001</v>
      </c>
      <c r="E180">
        <f t="shared" si="11"/>
        <v>92628.55</v>
      </c>
      <c r="J180" s="19" t="s">
        <v>274</v>
      </c>
      <c r="K180" s="6">
        <v>3211.6</v>
      </c>
      <c r="M180" s="19" t="s">
        <v>125</v>
      </c>
      <c r="N180" s="15">
        <v>106897.79999999999</v>
      </c>
    </row>
    <row r="181" spans="1:14" x14ac:dyDescent="0.2">
      <c r="A181" s="19" t="s">
        <v>57</v>
      </c>
      <c r="B181" s="6">
        <v>0</v>
      </c>
      <c r="C181">
        <f t="shared" si="9"/>
        <v>75884.639999999999</v>
      </c>
      <c r="D181" t="e">
        <f t="shared" si="10"/>
        <v>#N/A</v>
      </c>
      <c r="E181">
        <f t="shared" si="11"/>
        <v>380292</v>
      </c>
      <c r="J181" s="19" t="s">
        <v>92</v>
      </c>
      <c r="K181" s="6">
        <v>3211.6</v>
      </c>
      <c r="M181" s="19" t="s">
        <v>307</v>
      </c>
      <c r="N181" s="15">
        <v>106897.79999999999</v>
      </c>
    </row>
    <row r="182" spans="1:14" x14ac:dyDescent="0.2">
      <c r="A182" s="19" t="s">
        <v>235</v>
      </c>
      <c r="B182" s="6">
        <v>0</v>
      </c>
      <c r="C182">
        <f t="shared" si="9"/>
        <v>23223957.680000003</v>
      </c>
      <c r="D182">
        <f t="shared" si="10"/>
        <v>26724852.000000004</v>
      </c>
      <c r="E182">
        <f t="shared" si="11"/>
        <v>18405362.360000003</v>
      </c>
      <c r="J182" s="19" t="s">
        <v>287</v>
      </c>
      <c r="K182" s="6">
        <v>2940</v>
      </c>
      <c r="M182" s="19" t="s">
        <v>179</v>
      </c>
      <c r="N182" s="15">
        <v>97020</v>
      </c>
    </row>
    <row r="183" spans="1:14" x14ac:dyDescent="0.2">
      <c r="A183" s="19" t="s">
        <v>82</v>
      </c>
      <c r="B183" s="6">
        <v>0</v>
      </c>
      <c r="C183">
        <f t="shared" si="9"/>
        <v>69778.8</v>
      </c>
      <c r="D183" t="e">
        <f t="shared" si="10"/>
        <v>#N/A</v>
      </c>
      <c r="E183">
        <f t="shared" si="11"/>
        <v>67435.200000000012</v>
      </c>
      <c r="J183" s="19" t="s">
        <v>105</v>
      </c>
      <c r="K183" s="6">
        <v>2940</v>
      </c>
      <c r="M183" s="19" t="s">
        <v>361</v>
      </c>
      <c r="N183" s="15">
        <v>97020</v>
      </c>
    </row>
    <row r="184" spans="1:14" x14ac:dyDescent="0.2">
      <c r="A184" s="19" t="s">
        <v>53</v>
      </c>
      <c r="B184" s="6">
        <v>0</v>
      </c>
      <c r="C184">
        <f t="shared" si="9"/>
        <v>23223957.680000003</v>
      </c>
      <c r="D184">
        <f t="shared" si="10"/>
        <v>26724852.000000004</v>
      </c>
      <c r="E184">
        <f t="shared" si="11"/>
        <v>18405362.360000003</v>
      </c>
      <c r="J184" s="19" t="s">
        <v>272</v>
      </c>
      <c r="K184" s="6">
        <v>2080</v>
      </c>
      <c r="M184" s="19" t="s">
        <v>87</v>
      </c>
      <c r="N184" s="15">
        <v>92628.55</v>
      </c>
    </row>
    <row r="185" spans="1:14" x14ac:dyDescent="0.2">
      <c r="A185" s="19" t="s">
        <v>245</v>
      </c>
      <c r="B185" s="6">
        <v>0</v>
      </c>
      <c r="C185">
        <f t="shared" si="9"/>
        <v>182602.56</v>
      </c>
      <c r="D185" t="e">
        <f t="shared" si="10"/>
        <v>#N/A</v>
      </c>
      <c r="E185" t="e">
        <f t="shared" si="11"/>
        <v>#N/A</v>
      </c>
      <c r="J185" s="19" t="s">
        <v>90</v>
      </c>
      <c r="K185" s="6">
        <v>2080</v>
      </c>
      <c r="M185" s="19" t="s">
        <v>269</v>
      </c>
      <c r="N185" s="15">
        <v>92628.55</v>
      </c>
    </row>
    <row r="186" spans="1:14" x14ac:dyDescent="0.2">
      <c r="A186" s="19" t="s">
        <v>54</v>
      </c>
      <c r="B186" s="6">
        <v>0</v>
      </c>
      <c r="C186">
        <f t="shared" si="9"/>
        <v>2477048.9400000004</v>
      </c>
      <c r="D186">
        <f t="shared" si="10"/>
        <v>6358983.1199999982</v>
      </c>
      <c r="E186">
        <f t="shared" si="11"/>
        <v>2732257.3199999994</v>
      </c>
      <c r="J186" s="19" t="s">
        <v>144</v>
      </c>
      <c r="K186" s="6">
        <v>160</v>
      </c>
      <c r="M186" s="19" t="s">
        <v>261</v>
      </c>
      <c r="N186" s="15">
        <v>86411.16</v>
      </c>
    </row>
    <row r="187" spans="1:14" x14ac:dyDescent="0.2">
      <c r="A187" s="19" t="s">
        <v>62</v>
      </c>
      <c r="B187" s="6">
        <v>0</v>
      </c>
      <c r="C187" t="e">
        <f t="shared" si="9"/>
        <v>#N/A</v>
      </c>
      <c r="D187">
        <f t="shared" si="10"/>
        <v>273810.59999999998</v>
      </c>
      <c r="E187" t="e">
        <f t="shared" si="11"/>
        <v>#N/A</v>
      </c>
      <c r="J187" s="19" t="s">
        <v>326</v>
      </c>
      <c r="K187" s="6">
        <v>160</v>
      </c>
      <c r="M187" s="19" t="s">
        <v>79</v>
      </c>
      <c r="N187" s="15">
        <v>86411.16</v>
      </c>
    </row>
    <row r="188" spans="1:14" x14ac:dyDescent="0.2">
      <c r="A188" s="19" t="s">
        <v>234</v>
      </c>
      <c r="B188" s="6">
        <v>0</v>
      </c>
      <c r="C188">
        <f t="shared" si="9"/>
        <v>14919623.719999999</v>
      </c>
      <c r="D188">
        <f t="shared" si="10"/>
        <v>6168975.1199999992</v>
      </c>
      <c r="E188">
        <f t="shared" si="11"/>
        <v>8397221.9499999993</v>
      </c>
      <c r="J188" s="19" t="s">
        <v>390</v>
      </c>
      <c r="K188" s="6">
        <v>405147852.80000007</v>
      </c>
      <c r="M188" s="19" t="s">
        <v>322</v>
      </c>
      <c r="N188" s="15">
        <v>84562.799999999988</v>
      </c>
    </row>
    <row r="189" spans="1:14" x14ac:dyDescent="0.2">
      <c r="A189" s="19" t="s">
        <v>236</v>
      </c>
      <c r="B189" s="6">
        <v>0</v>
      </c>
      <c r="C189">
        <f t="shared" si="9"/>
        <v>2477048.9400000004</v>
      </c>
      <c r="D189">
        <f t="shared" si="10"/>
        <v>6358983.1199999982</v>
      </c>
      <c r="E189">
        <f t="shared" si="11"/>
        <v>2732257.3199999994</v>
      </c>
      <c r="M189" s="19" t="s">
        <v>140</v>
      </c>
      <c r="N189" s="15">
        <v>84562.799999999988</v>
      </c>
    </row>
    <row r="190" spans="1:14" x14ac:dyDescent="0.2">
      <c r="A190" s="19" t="s">
        <v>390</v>
      </c>
      <c r="B190" s="6">
        <v>187558832.64000013</v>
      </c>
      <c r="C190">
        <f t="shared" si="9"/>
        <v>211942938.54000008</v>
      </c>
      <c r="D190">
        <f t="shared" si="10"/>
        <v>405147852.80000007</v>
      </c>
      <c r="E190">
        <f t="shared" si="11"/>
        <v>594428925.75999999</v>
      </c>
      <c r="M190" s="19" t="s">
        <v>160</v>
      </c>
      <c r="N190" s="15">
        <v>83375</v>
      </c>
    </row>
    <row r="191" spans="1:14" x14ac:dyDescent="0.2">
      <c r="M191" s="19" t="s">
        <v>342</v>
      </c>
      <c r="N191" s="15">
        <v>83375</v>
      </c>
    </row>
    <row r="192" spans="1:14" x14ac:dyDescent="0.2">
      <c r="M192" s="19" t="s">
        <v>335</v>
      </c>
      <c r="N192" s="15">
        <v>83037.599999999991</v>
      </c>
    </row>
    <row r="193" spans="13:14" x14ac:dyDescent="0.2">
      <c r="M193" s="19" t="s">
        <v>153</v>
      </c>
      <c r="N193" s="15">
        <v>83037.599999999991</v>
      </c>
    </row>
    <row r="194" spans="13:14" x14ac:dyDescent="0.2">
      <c r="M194" s="19" t="s">
        <v>367</v>
      </c>
      <c r="N194" s="15">
        <v>82680</v>
      </c>
    </row>
    <row r="195" spans="13:14" x14ac:dyDescent="0.2">
      <c r="M195" s="19" t="s">
        <v>185</v>
      </c>
      <c r="N195" s="15">
        <v>82680</v>
      </c>
    </row>
    <row r="196" spans="13:14" x14ac:dyDescent="0.2">
      <c r="M196" s="19" t="s">
        <v>123</v>
      </c>
      <c r="N196" s="15">
        <v>80049.600000000006</v>
      </c>
    </row>
    <row r="197" spans="13:14" x14ac:dyDescent="0.2">
      <c r="M197" s="19" t="s">
        <v>305</v>
      </c>
      <c r="N197" s="15">
        <v>80049.600000000006</v>
      </c>
    </row>
    <row r="198" spans="13:14" x14ac:dyDescent="0.2">
      <c r="M198" s="19" t="s">
        <v>364</v>
      </c>
      <c r="N198" s="15">
        <v>78886.5</v>
      </c>
    </row>
    <row r="199" spans="13:14" x14ac:dyDescent="0.2">
      <c r="M199" s="19" t="s">
        <v>182</v>
      </c>
      <c r="N199" s="15">
        <v>78886.5</v>
      </c>
    </row>
    <row r="200" spans="13:14" x14ac:dyDescent="0.2">
      <c r="M200" s="19" t="s">
        <v>180</v>
      </c>
      <c r="N200" s="15">
        <v>76624.800000000003</v>
      </c>
    </row>
    <row r="201" spans="13:14" x14ac:dyDescent="0.2">
      <c r="M201" s="19" t="s">
        <v>362</v>
      </c>
      <c r="N201" s="15">
        <v>76624.800000000003</v>
      </c>
    </row>
    <row r="202" spans="13:14" x14ac:dyDescent="0.2">
      <c r="M202" s="19" t="s">
        <v>181</v>
      </c>
      <c r="N202" s="15">
        <v>75075.839999999997</v>
      </c>
    </row>
    <row r="203" spans="13:14" x14ac:dyDescent="0.2">
      <c r="M203" s="19" t="s">
        <v>363</v>
      </c>
      <c r="N203" s="15">
        <v>75075.839999999997</v>
      </c>
    </row>
    <row r="204" spans="13:14" x14ac:dyDescent="0.2">
      <c r="M204" s="19" t="s">
        <v>192</v>
      </c>
      <c r="N204" s="15">
        <v>70725</v>
      </c>
    </row>
    <row r="205" spans="13:14" x14ac:dyDescent="0.2">
      <c r="M205" s="19" t="s">
        <v>374</v>
      </c>
      <c r="N205" s="15">
        <v>70725</v>
      </c>
    </row>
    <row r="206" spans="13:14" x14ac:dyDescent="0.2">
      <c r="M206" s="19" t="s">
        <v>101</v>
      </c>
      <c r="N206" s="15">
        <v>70642.600000000006</v>
      </c>
    </row>
    <row r="207" spans="13:14" x14ac:dyDescent="0.2">
      <c r="M207" s="19" t="s">
        <v>283</v>
      </c>
      <c r="N207" s="15">
        <v>70642.600000000006</v>
      </c>
    </row>
    <row r="208" spans="13:14" x14ac:dyDescent="0.2">
      <c r="M208" s="19" t="s">
        <v>264</v>
      </c>
      <c r="N208" s="15">
        <v>67435.200000000012</v>
      </c>
    </row>
    <row r="209" spans="13:14" x14ac:dyDescent="0.2">
      <c r="M209" s="19" t="s">
        <v>82</v>
      </c>
      <c r="N209" s="15">
        <v>67435.200000000012</v>
      </c>
    </row>
    <row r="210" spans="13:14" x14ac:dyDescent="0.2">
      <c r="M210" s="19" t="s">
        <v>238</v>
      </c>
      <c r="N210" s="15">
        <v>67090</v>
      </c>
    </row>
    <row r="211" spans="13:14" x14ac:dyDescent="0.2">
      <c r="M211" s="19" t="s">
        <v>56</v>
      </c>
      <c r="N211" s="15">
        <v>67090</v>
      </c>
    </row>
    <row r="212" spans="13:14" x14ac:dyDescent="0.2">
      <c r="M212" s="19" t="s">
        <v>194</v>
      </c>
      <c r="N212" s="15">
        <v>57645</v>
      </c>
    </row>
    <row r="213" spans="13:14" x14ac:dyDescent="0.2">
      <c r="M213" s="19" t="s">
        <v>376</v>
      </c>
      <c r="N213" s="15">
        <v>57645</v>
      </c>
    </row>
    <row r="214" spans="13:14" x14ac:dyDescent="0.2">
      <c r="M214" s="19" t="s">
        <v>190</v>
      </c>
      <c r="N214" s="15">
        <v>55844.679999999993</v>
      </c>
    </row>
    <row r="215" spans="13:14" x14ac:dyDescent="0.2">
      <c r="M215" s="19" t="s">
        <v>372</v>
      </c>
      <c r="N215" s="15">
        <v>55844.679999999993</v>
      </c>
    </row>
    <row r="216" spans="13:14" x14ac:dyDescent="0.2">
      <c r="M216" s="19" t="s">
        <v>137</v>
      </c>
      <c r="N216" s="15">
        <v>53991</v>
      </c>
    </row>
    <row r="217" spans="13:14" x14ac:dyDescent="0.2">
      <c r="M217" s="19" t="s">
        <v>319</v>
      </c>
      <c r="N217" s="15">
        <v>53991</v>
      </c>
    </row>
    <row r="218" spans="13:14" x14ac:dyDescent="0.2">
      <c r="M218" s="19" t="s">
        <v>195</v>
      </c>
      <c r="N218" s="15">
        <v>53877.599999999999</v>
      </c>
    </row>
    <row r="219" spans="13:14" x14ac:dyDescent="0.2">
      <c r="M219" s="19" t="s">
        <v>377</v>
      </c>
      <c r="N219" s="15">
        <v>53877.599999999999</v>
      </c>
    </row>
    <row r="220" spans="13:14" x14ac:dyDescent="0.2">
      <c r="M220" s="19" t="s">
        <v>114</v>
      </c>
      <c r="N220" s="15">
        <v>46452</v>
      </c>
    </row>
    <row r="221" spans="13:14" x14ac:dyDescent="0.2">
      <c r="M221" s="19" t="s">
        <v>296</v>
      </c>
      <c r="N221" s="15">
        <v>46452</v>
      </c>
    </row>
    <row r="222" spans="13:14" x14ac:dyDescent="0.2">
      <c r="M222" s="19" t="s">
        <v>285</v>
      </c>
      <c r="N222" s="15">
        <v>45714.83</v>
      </c>
    </row>
    <row r="223" spans="13:14" x14ac:dyDescent="0.2">
      <c r="M223" s="19" t="s">
        <v>103</v>
      </c>
      <c r="N223" s="15">
        <v>45714.83</v>
      </c>
    </row>
    <row r="224" spans="13:14" x14ac:dyDescent="0.2">
      <c r="M224" s="19" t="s">
        <v>281</v>
      </c>
      <c r="N224" s="15">
        <v>44929.38</v>
      </c>
    </row>
    <row r="225" spans="13:14" x14ac:dyDescent="0.2">
      <c r="M225" s="19" t="s">
        <v>99</v>
      </c>
      <c r="N225" s="15">
        <v>44929.38</v>
      </c>
    </row>
    <row r="226" spans="13:14" x14ac:dyDescent="0.2">
      <c r="M226" s="19" t="s">
        <v>48</v>
      </c>
      <c r="N226" s="15">
        <v>40572</v>
      </c>
    </row>
    <row r="227" spans="13:14" x14ac:dyDescent="0.2">
      <c r="M227" s="19" t="s">
        <v>384</v>
      </c>
      <c r="N227" s="15">
        <v>40572</v>
      </c>
    </row>
    <row r="228" spans="13:14" x14ac:dyDescent="0.2">
      <c r="M228" s="19" t="s">
        <v>46</v>
      </c>
      <c r="N228" s="15">
        <v>39913</v>
      </c>
    </row>
    <row r="229" spans="13:14" x14ac:dyDescent="0.2">
      <c r="M229" s="19" t="s">
        <v>382</v>
      </c>
      <c r="N229" s="15">
        <v>39913</v>
      </c>
    </row>
    <row r="230" spans="13:14" x14ac:dyDescent="0.2">
      <c r="M230" s="19" t="s">
        <v>292</v>
      </c>
      <c r="N230" s="15">
        <v>36430.239999999998</v>
      </c>
    </row>
    <row r="231" spans="13:14" x14ac:dyDescent="0.2">
      <c r="M231" s="19" t="s">
        <v>110</v>
      </c>
      <c r="N231" s="15">
        <v>36430.239999999998</v>
      </c>
    </row>
    <row r="232" spans="13:14" x14ac:dyDescent="0.2">
      <c r="M232" s="19" t="s">
        <v>341</v>
      </c>
      <c r="N232" s="15">
        <v>35615.4</v>
      </c>
    </row>
    <row r="233" spans="13:14" x14ac:dyDescent="0.2">
      <c r="M233" s="19" t="s">
        <v>159</v>
      </c>
      <c r="N233" s="15">
        <v>35615.4</v>
      </c>
    </row>
    <row r="234" spans="13:14" x14ac:dyDescent="0.2">
      <c r="M234" s="19" t="s">
        <v>45</v>
      </c>
      <c r="N234" s="15">
        <v>33180.839999999997</v>
      </c>
    </row>
    <row r="235" spans="13:14" x14ac:dyDescent="0.2">
      <c r="M235" s="19" t="s">
        <v>381</v>
      </c>
      <c r="N235" s="15">
        <v>33180.839999999997</v>
      </c>
    </row>
    <row r="236" spans="13:14" x14ac:dyDescent="0.2">
      <c r="M236" s="19" t="s">
        <v>130</v>
      </c>
      <c r="N236" s="15">
        <v>32850</v>
      </c>
    </row>
    <row r="237" spans="13:14" x14ac:dyDescent="0.2">
      <c r="M237" s="19" t="s">
        <v>312</v>
      </c>
      <c r="N237" s="15">
        <v>32850</v>
      </c>
    </row>
    <row r="238" spans="13:14" x14ac:dyDescent="0.2">
      <c r="M238" s="19" t="s">
        <v>383</v>
      </c>
      <c r="N238" s="15">
        <v>32728.080000000002</v>
      </c>
    </row>
    <row r="239" spans="13:14" x14ac:dyDescent="0.2">
      <c r="M239" s="19" t="s">
        <v>47</v>
      </c>
      <c r="N239" s="15">
        <v>32728.080000000002</v>
      </c>
    </row>
    <row r="240" spans="13:14" x14ac:dyDescent="0.2">
      <c r="M240" s="19" t="s">
        <v>184</v>
      </c>
      <c r="N240" s="15">
        <v>28667.52</v>
      </c>
    </row>
    <row r="241" spans="13:14" x14ac:dyDescent="0.2">
      <c r="M241" s="19" t="s">
        <v>366</v>
      </c>
      <c r="N241" s="15">
        <v>28667.52</v>
      </c>
    </row>
    <row r="242" spans="13:14" x14ac:dyDescent="0.2">
      <c r="M242" s="19" t="s">
        <v>156</v>
      </c>
      <c r="N242" s="15">
        <v>27300</v>
      </c>
    </row>
    <row r="243" spans="13:14" x14ac:dyDescent="0.2">
      <c r="M243" s="19" t="s">
        <v>338</v>
      </c>
      <c r="N243" s="15">
        <v>27300</v>
      </c>
    </row>
    <row r="244" spans="13:14" x14ac:dyDescent="0.2">
      <c r="M244" s="19" t="s">
        <v>373</v>
      </c>
      <c r="N244" s="15">
        <v>27134.730000000003</v>
      </c>
    </row>
    <row r="245" spans="13:14" x14ac:dyDescent="0.2">
      <c r="M245" s="19" t="s">
        <v>191</v>
      </c>
      <c r="N245" s="15">
        <v>27134.730000000003</v>
      </c>
    </row>
    <row r="246" spans="13:14" x14ac:dyDescent="0.2">
      <c r="M246" s="19" t="s">
        <v>262</v>
      </c>
      <c r="N246" s="15">
        <v>26670</v>
      </c>
    </row>
    <row r="247" spans="13:14" x14ac:dyDescent="0.2">
      <c r="M247" s="19" t="s">
        <v>80</v>
      </c>
      <c r="N247" s="15">
        <v>26670</v>
      </c>
    </row>
    <row r="248" spans="13:14" x14ac:dyDescent="0.2">
      <c r="M248" s="19" t="s">
        <v>67</v>
      </c>
      <c r="N248" s="15">
        <v>25514.999999999996</v>
      </c>
    </row>
    <row r="249" spans="13:14" x14ac:dyDescent="0.2">
      <c r="M249" s="19" t="s">
        <v>249</v>
      </c>
      <c r="N249" s="15">
        <v>25514.999999999996</v>
      </c>
    </row>
    <row r="250" spans="13:14" x14ac:dyDescent="0.2">
      <c r="M250" s="19" t="s">
        <v>263</v>
      </c>
      <c r="N250" s="15">
        <v>23161.05</v>
      </c>
    </row>
    <row r="251" spans="13:14" x14ac:dyDescent="0.2">
      <c r="M251" s="19" t="s">
        <v>81</v>
      </c>
      <c r="N251" s="15">
        <v>23161.05</v>
      </c>
    </row>
    <row r="252" spans="13:14" x14ac:dyDescent="0.2">
      <c r="M252" s="19" t="s">
        <v>91</v>
      </c>
      <c r="N252" s="15">
        <v>20934.11</v>
      </c>
    </row>
    <row r="253" spans="13:14" x14ac:dyDescent="0.2">
      <c r="M253" s="19" t="s">
        <v>273</v>
      </c>
      <c r="N253" s="15">
        <v>20934.11</v>
      </c>
    </row>
    <row r="254" spans="13:14" x14ac:dyDescent="0.2">
      <c r="M254" s="19" t="s">
        <v>276</v>
      </c>
      <c r="N254" s="15">
        <v>20820.8</v>
      </c>
    </row>
    <row r="255" spans="13:14" x14ac:dyDescent="0.2">
      <c r="M255" s="19" t="s">
        <v>94</v>
      </c>
      <c r="N255" s="15">
        <v>20820.8</v>
      </c>
    </row>
    <row r="256" spans="13:14" x14ac:dyDescent="0.2">
      <c r="M256" s="19" t="s">
        <v>131</v>
      </c>
      <c r="N256" s="15">
        <v>19404</v>
      </c>
    </row>
    <row r="257" spans="13:14" x14ac:dyDescent="0.2">
      <c r="M257" s="19" t="s">
        <v>313</v>
      </c>
      <c r="N257" s="15">
        <v>19404</v>
      </c>
    </row>
    <row r="258" spans="13:14" x14ac:dyDescent="0.2">
      <c r="M258" s="19" t="s">
        <v>173</v>
      </c>
      <c r="N258" s="15">
        <v>18030.72</v>
      </c>
    </row>
    <row r="259" spans="13:14" x14ac:dyDescent="0.2">
      <c r="M259" s="19" t="s">
        <v>355</v>
      </c>
      <c r="N259" s="15">
        <v>18030.72</v>
      </c>
    </row>
    <row r="260" spans="13:14" x14ac:dyDescent="0.2">
      <c r="M260" s="19" t="s">
        <v>336</v>
      </c>
      <c r="N260" s="15">
        <v>15843</v>
      </c>
    </row>
    <row r="261" spans="13:14" x14ac:dyDescent="0.2">
      <c r="M261" s="19" t="s">
        <v>154</v>
      </c>
      <c r="N261" s="15">
        <v>15843</v>
      </c>
    </row>
    <row r="262" spans="13:14" x14ac:dyDescent="0.2">
      <c r="M262" s="19" t="s">
        <v>378</v>
      </c>
      <c r="N262" s="15">
        <v>13797</v>
      </c>
    </row>
    <row r="263" spans="13:14" x14ac:dyDescent="0.2">
      <c r="M263" s="19" t="s">
        <v>196</v>
      </c>
      <c r="N263" s="15">
        <v>13797</v>
      </c>
    </row>
    <row r="264" spans="13:14" x14ac:dyDescent="0.2">
      <c r="M264" s="19" t="s">
        <v>294</v>
      </c>
      <c r="N264" s="15">
        <v>13353.119999999999</v>
      </c>
    </row>
    <row r="265" spans="13:14" x14ac:dyDescent="0.2">
      <c r="M265" s="19" t="s">
        <v>112</v>
      </c>
      <c r="N265" s="15">
        <v>13353.119999999999</v>
      </c>
    </row>
    <row r="266" spans="13:14" x14ac:dyDescent="0.2">
      <c r="M266" s="19" t="s">
        <v>193</v>
      </c>
      <c r="N266" s="15">
        <v>12500</v>
      </c>
    </row>
    <row r="267" spans="13:14" x14ac:dyDescent="0.2">
      <c r="M267" s="19" t="s">
        <v>375</v>
      </c>
      <c r="N267" s="15">
        <v>12500</v>
      </c>
    </row>
    <row r="268" spans="13:14" x14ac:dyDescent="0.2">
      <c r="M268" s="19" t="s">
        <v>343</v>
      </c>
      <c r="N268" s="15">
        <v>8331.9499999999989</v>
      </c>
    </row>
    <row r="269" spans="13:14" x14ac:dyDescent="0.2">
      <c r="M269" s="19" t="s">
        <v>161</v>
      </c>
      <c r="N269" s="15">
        <v>8331.9499999999989</v>
      </c>
    </row>
    <row r="270" spans="13:14" x14ac:dyDescent="0.2">
      <c r="M270" s="19" t="s">
        <v>274</v>
      </c>
      <c r="N270" s="15">
        <v>7614.6</v>
      </c>
    </row>
    <row r="271" spans="13:14" x14ac:dyDescent="0.2">
      <c r="M271" s="19" t="s">
        <v>92</v>
      </c>
      <c r="N271" s="15">
        <v>7614.6</v>
      </c>
    </row>
    <row r="272" spans="13:14" x14ac:dyDescent="0.2">
      <c r="M272" s="19" t="s">
        <v>293</v>
      </c>
      <c r="N272" s="15">
        <v>7560</v>
      </c>
    </row>
    <row r="273" spans="13:14" x14ac:dyDescent="0.2">
      <c r="M273" s="19" t="s">
        <v>111</v>
      </c>
      <c r="N273" s="15">
        <v>7560</v>
      </c>
    </row>
    <row r="274" spans="13:14" x14ac:dyDescent="0.2">
      <c r="M274" s="19" t="s">
        <v>49</v>
      </c>
      <c r="N274" s="15">
        <v>6620.4</v>
      </c>
    </row>
    <row r="275" spans="13:14" x14ac:dyDescent="0.2">
      <c r="M275" s="19" t="s">
        <v>385</v>
      </c>
      <c r="N275" s="15">
        <v>6620.4</v>
      </c>
    </row>
    <row r="276" spans="13:14" x14ac:dyDescent="0.2">
      <c r="M276" s="19" t="s">
        <v>306</v>
      </c>
      <c r="N276" s="15">
        <v>6355.2</v>
      </c>
    </row>
    <row r="277" spans="13:14" x14ac:dyDescent="0.2">
      <c r="M277" s="19" t="s">
        <v>124</v>
      </c>
      <c r="N277" s="15">
        <v>6355.2</v>
      </c>
    </row>
    <row r="278" spans="13:14" x14ac:dyDescent="0.2">
      <c r="M278" s="19" t="s">
        <v>272</v>
      </c>
      <c r="N278" s="15">
        <v>5215.1999999999989</v>
      </c>
    </row>
    <row r="279" spans="13:14" x14ac:dyDescent="0.2">
      <c r="M279" s="19" t="s">
        <v>90</v>
      </c>
      <c r="N279" s="15">
        <v>5215.1999999999989</v>
      </c>
    </row>
    <row r="280" spans="13:14" x14ac:dyDescent="0.2">
      <c r="M280" s="19" t="s">
        <v>326</v>
      </c>
      <c r="N280" s="15">
        <v>3929.6</v>
      </c>
    </row>
    <row r="281" spans="13:14" x14ac:dyDescent="0.2">
      <c r="M281" s="19" t="s">
        <v>144</v>
      </c>
      <c r="N281" s="15">
        <v>3929.6</v>
      </c>
    </row>
    <row r="282" spans="13:14" x14ac:dyDescent="0.2">
      <c r="M282" s="19" t="s">
        <v>380</v>
      </c>
      <c r="N282" s="15">
        <v>3471.72</v>
      </c>
    </row>
    <row r="283" spans="13:14" x14ac:dyDescent="0.2">
      <c r="M283" s="19" t="s">
        <v>44</v>
      </c>
      <c r="N283" s="15">
        <v>3471.72</v>
      </c>
    </row>
    <row r="284" spans="13:14" x14ac:dyDescent="0.2">
      <c r="M284" s="19" t="s">
        <v>390</v>
      </c>
      <c r="N284" s="15">
        <v>594428925.75999999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AB80-4E3E-43FD-8870-D860E922ABE8}">
  <dimension ref="A1:R3213"/>
  <sheetViews>
    <sheetView zoomScale="107" workbookViewId="0">
      <selection sqref="A1:R3213"/>
    </sheetView>
  </sheetViews>
  <sheetFormatPr baseColWidth="10" defaultColWidth="8.83203125" defaultRowHeight="15" x14ac:dyDescent="0.2"/>
  <cols>
    <col min="1" max="1" width="15.6640625" style="12" customWidth="1"/>
    <col min="2" max="2" width="28.1640625" style="12" customWidth="1"/>
    <col min="3" max="3" width="18.83203125" style="26" customWidth="1"/>
    <col min="4" max="4" width="15.83203125" style="21" customWidth="1"/>
    <col min="5" max="5" width="13.6640625" style="12" customWidth="1"/>
    <col min="6" max="6" width="21.5" style="12" customWidth="1"/>
    <col min="7" max="7" width="25.6640625" style="12" customWidth="1"/>
    <col min="8" max="8" width="29.1640625" style="41" customWidth="1"/>
    <col min="9" max="9" width="19.83203125" style="41" customWidth="1"/>
    <col min="10" max="10" width="10.1640625" customWidth="1"/>
    <col min="11" max="11" width="21.5" customWidth="1"/>
    <col min="12" max="12" width="16.1640625" customWidth="1"/>
    <col min="13" max="13" width="12.6640625" style="9" customWidth="1"/>
    <col min="14" max="14" width="17.5" style="6" customWidth="1"/>
    <col min="15" max="15" width="23.83203125" style="6" customWidth="1"/>
    <col min="16" max="16" width="18.83203125" customWidth="1"/>
    <col min="17" max="17" width="17.83203125" customWidth="1"/>
  </cols>
  <sheetData>
    <row r="1" spans="1:18" x14ac:dyDescent="0.2">
      <c r="A1" s="22" t="s">
        <v>0</v>
      </c>
      <c r="B1" s="22" t="s">
        <v>1</v>
      </c>
      <c r="C1" s="24" t="s">
        <v>387</v>
      </c>
      <c r="D1" s="20" t="s">
        <v>397</v>
      </c>
      <c r="E1" s="22" t="s">
        <v>2</v>
      </c>
      <c r="F1" s="22" t="s">
        <v>3</v>
      </c>
      <c r="G1" s="22" t="s">
        <v>4</v>
      </c>
      <c r="H1" s="39" t="s">
        <v>5</v>
      </c>
      <c r="I1" s="39" t="s">
        <v>426</v>
      </c>
      <c r="J1" s="4" t="s">
        <v>6</v>
      </c>
      <c r="K1" s="4" t="s">
        <v>232</v>
      </c>
      <c r="L1" s="4" t="s">
        <v>7</v>
      </c>
      <c r="M1" s="7" t="s">
        <v>8</v>
      </c>
      <c r="N1" s="47" t="s">
        <v>9</v>
      </c>
      <c r="O1" s="10" t="s">
        <v>10</v>
      </c>
      <c r="P1" t="s">
        <v>427</v>
      </c>
      <c r="Q1" t="s">
        <v>429</v>
      </c>
      <c r="R1" t="s">
        <v>430</v>
      </c>
    </row>
    <row r="2" spans="1:18" x14ac:dyDescent="0.2">
      <c r="A2" s="23">
        <v>45334</v>
      </c>
      <c r="B2" s="23">
        <v>45334</v>
      </c>
      <c r="C2" s="25" t="s">
        <v>398</v>
      </c>
      <c r="D2" s="20">
        <v>0</v>
      </c>
      <c r="E2" s="27">
        <v>0</v>
      </c>
      <c r="F2" s="22" t="s">
        <v>51</v>
      </c>
      <c r="G2" s="29">
        <v>42240</v>
      </c>
      <c r="H2" s="39">
        <v>45040</v>
      </c>
      <c r="I2" s="46">
        <f>IFERROR(A2-H2,"")*1</f>
        <v>294</v>
      </c>
      <c r="J2" s="4" t="s">
        <v>12</v>
      </c>
      <c r="K2" s="4" t="s">
        <v>197</v>
      </c>
      <c r="L2" s="4" t="s">
        <v>223</v>
      </c>
      <c r="M2" s="7">
        <v>42240</v>
      </c>
      <c r="N2" s="10">
        <v>0</v>
      </c>
      <c r="O2" s="10">
        <v>0</v>
      </c>
      <c r="P2">
        <f>IF(M2=G2,1,0)</f>
        <v>1</v>
      </c>
      <c r="Q2" s="36">
        <f>N2*G2</f>
        <v>0</v>
      </c>
      <c r="R2">
        <f>YEAR(H2)</f>
        <v>2023</v>
      </c>
    </row>
    <row r="3" spans="1:18" x14ac:dyDescent="0.2">
      <c r="A3" s="23">
        <v>45341</v>
      </c>
      <c r="B3" s="23">
        <v>45341</v>
      </c>
      <c r="C3" s="25" t="s">
        <v>398</v>
      </c>
      <c r="D3" s="20">
        <v>0</v>
      </c>
      <c r="E3" s="27">
        <v>0</v>
      </c>
      <c r="F3" s="22" t="s">
        <v>51</v>
      </c>
      <c r="G3" s="29">
        <v>31680</v>
      </c>
      <c r="H3" s="39">
        <v>45040</v>
      </c>
      <c r="I3" s="46">
        <f t="shared" ref="I3:I66" si="0">IFERROR(A3-H3,"")*1</f>
        <v>301</v>
      </c>
      <c r="J3" s="4" t="s">
        <v>12</v>
      </c>
      <c r="K3" s="4" t="s">
        <v>197</v>
      </c>
      <c r="L3" s="4" t="s">
        <v>223</v>
      </c>
      <c r="M3" s="7">
        <v>31680</v>
      </c>
      <c r="N3" s="10">
        <v>0</v>
      </c>
      <c r="O3" s="10">
        <v>0</v>
      </c>
      <c r="P3">
        <f t="shared" ref="P3:P66" si="1">IF(M3=G3,1,0)</f>
        <v>1</v>
      </c>
      <c r="Q3" s="36">
        <f t="shared" ref="Q3:Q66" si="2">N3*G3</f>
        <v>0</v>
      </c>
      <c r="R3">
        <f t="shared" ref="R3:R66" si="3">YEAR(H3)</f>
        <v>2023</v>
      </c>
    </row>
    <row r="4" spans="1:18" x14ac:dyDescent="0.2">
      <c r="A4" s="23">
        <v>45348</v>
      </c>
      <c r="B4" s="23">
        <v>45348</v>
      </c>
      <c r="C4" s="25" t="s">
        <v>398</v>
      </c>
      <c r="D4" s="20">
        <v>0</v>
      </c>
      <c r="E4" s="27">
        <v>0</v>
      </c>
      <c r="F4" s="22" t="s">
        <v>51</v>
      </c>
      <c r="G4" s="29">
        <v>31680</v>
      </c>
      <c r="H4" s="39">
        <v>45040</v>
      </c>
      <c r="I4" s="46">
        <f t="shared" si="0"/>
        <v>308</v>
      </c>
      <c r="J4" s="4" t="s">
        <v>12</v>
      </c>
      <c r="K4" s="4" t="s">
        <v>197</v>
      </c>
      <c r="L4" s="4" t="s">
        <v>223</v>
      </c>
      <c r="M4" s="7">
        <v>31680</v>
      </c>
      <c r="N4" s="10">
        <v>0</v>
      </c>
      <c r="O4" s="10">
        <v>0</v>
      </c>
      <c r="P4">
        <f t="shared" si="1"/>
        <v>1</v>
      </c>
      <c r="Q4" s="36">
        <f t="shared" si="2"/>
        <v>0</v>
      </c>
      <c r="R4">
        <f t="shared" si="3"/>
        <v>2023</v>
      </c>
    </row>
    <row r="5" spans="1:18" x14ac:dyDescent="0.2">
      <c r="A5" s="23">
        <v>45355</v>
      </c>
      <c r="B5" s="23">
        <v>45355</v>
      </c>
      <c r="C5" s="25" t="s">
        <v>398</v>
      </c>
      <c r="D5" s="20">
        <v>0</v>
      </c>
      <c r="E5" s="27">
        <v>0</v>
      </c>
      <c r="F5" s="22" t="s">
        <v>51</v>
      </c>
      <c r="G5" s="29">
        <v>52800</v>
      </c>
      <c r="H5" s="39">
        <v>45040</v>
      </c>
      <c r="I5" s="46">
        <f t="shared" si="0"/>
        <v>315</v>
      </c>
      <c r="J5" s="4" t="s">
        <v>12</v>
      </c>
      <c r="K5" s="4" t="s">
        <v>197</v>
      </c>
      <c r="L5" s="4" t="s">
        <v>223</v>
      </c>
      <c r="M5" s="7">
        <v>52800</v>
      </c>
      <c r="N5" s="10">
        <v>0</v>
      </c>
      <c r="O5" s="10">
        <v>0</v>
      </c>
      <c r="P5">
        <f t="shared" si="1"/>
        <v>1</v>
      </c>
      <c r="Q5" s="36">
        <f t="shared" si="2"/>
        <v>0</v>
      </c>
      <c r="R5">
        <f t="shared" si="3"/>
        <v>2023</v>
      </c>
    </row>
    <row r="6" spans="1:18" x14ac:dyDescent="0.2">
      <c r="A6" s="23">
        <v>45362</v>
      </c>
      <c r="B6" s="23">
        <v>45362</v>
      </c>
      <c r="C6" s="25" t="s">
        <v>398</v>
      </c>
      <c r="D6" s="20">
        <v>0</v>
      </c>
      <c r="E6" s="27">
        <v>0</v>
      </c>
      <c r="F6" s="22" t="s">
        <v>51</v>
      </c>
      <c r="G6" s="29">
        <v>52800</v>
      </c>
      <c r="H6" s="39">
        <v>45040</v>
      </c>
      <c r="I6" s="46">
        <f t="shared" si="0"/>
        <v>322</v>
      </c>
      <c r="J6" s="4" t="s">
        <v>12</v>
      </c>
      <c r="K6" s="4" t="s">
        <v>197</v>
      </c>
      <c r="L6" s="4" t="s">
        <v>223</v>
      </c>
      <c r="M6" s="7">
        <v>52800</v>
      </c>
      <c r="N6" s="10">
        <v>0</v>
      </c>
      <c r="O6" s="10">
        <v>0</v>
      </c>
      <c r="P6">
        <f t="shared" si="1"/>
        <v>1</v>
      </c>
      <c r="Q6" s="36">
        <f t="shared" si="2"/>
        <v>0</v>
      </c>
      <c r="R6">
        <f t="shared" si="3"/>
        <v>2023</v>
      </c>
    </row>
    <row r="7" spans="1:18" x14ac:dyDescent="0.2">
      <c r="A7" s="23">
        <v>45369</v>
      </c>
      <c r="B7" s="23">
        <v>45369</v>
      </c>
      <c r="C7" s="25" t="s">
        <v>398</v>
      </c>
      <c r="D7" s="20">
        <v>0</v>
      </c>
      <c r="E7" s="27">
        <v>0</v>
      </c>
      <c r="F7" s="22" t="s">
        <v>51</v>
      </c>
      <c r="G7" s="29">
        <v>52800</v>
      </c>
      <c r="H7" s="39">
        <v>45040</v>
      </c>
      <c r="I7" s="46">
        <f t="shared" si="0"/>
        <v>329</v>
      </c>
      <c r="J7" s="4" t="s">
        <v>12</v>
      </c>
      <c r="K7" s="4" t="s">
        <v>197</v>
      </c>
      <c r="L7" s="4" t="s">
        <v>223</v>
      </c>
      <c r="M7" s="7">
        <v>52800</v>
      </c>
      <c r="N7" s="10">
        <v>0</v>
      </c>
      <c r="O7" s="10">
        <v>0</v>
      </c>
      <c r="P7">
        <f t="shared" si="1"/>
        <v>1</v>
      </c>
      <c r="Q7" s="36">
        <f t="shared" si="2"/>
        <v>0</v>
      </c>
      <c r="R7">
        <f t="shared" si="3"/>
        <v>2023</v>
      </c>
    </row>
    <row r="8" spans="1:18" x14ac:dyDescent="0.2">
      <c r="A8" s="23">
        <v>45376</v>
      </c>
      <c r="B8" s="23">
        <v>45376</v>
      </c>
      <c r="C8" s="25" t="s">
        <v>398</v>
      </c>
      <c r="D8" s="20">
        <v>0</v>
      </c>
      <c r="E8" s="27">
        <v>0</v>
      </c>
      <c r="F8" s="22" t="s">
        <v>51</v>
      </c>
      <c r="G8" s="29">
        <v>52800</v>
      </c>
      <c r="H8" s="39">
        <v>45040</v>
      </c>
      <c r="I8" s="46">
        <f t="shared" si="0"/>
        <v>336</v>
      </c>
      <c r="J8" s="4" t="s">
        <v>12</v>
      </c>
      <c r="K8" s="4" t="s">
        <v>197</v>
      </c>
      <c r="L8" s="4" t="s">
        <v>223</v>
      </c>
      <c r="M8" s="7">
        <v>52800</v>
      </c>
      <c r="N8" s="10">
        <v>0</v>
      </c>
      <c r="O8" s="10">
        <v>0</v>
      </c>
      <c r="P8">
        <f t="shared" si="1"/>
        <v>1</v>
      </c>
      <c r="Q8" s="36">
        <f t="shared" si="2"/>
        <v>0</v>
      </c>
      <c r="R8">
        <f t="shared" si="3"/>
        <v>2023</v>
      </c>
    </row>
    <row r="9" spans="1:18" x14ac:dyDescent="0.2">
      <c r="A9" s="23">
        <v>45383</v>
      </c>
      <c r="B9" s="23">
        <v>45383</v>
      </c>
      <c r="C9" s="25" t="s">
        <v>398</v>
      </c>
      <c r="D9" s="20">
        <v>0</v>
      </c>
      <c r="E9" s="27">
        <v>0</v>
      </c>
      <c r="F9" s="22" t="s">
        <v>51</v>
      </c>
      <c r="G9" s="29">
        <v>52800</v>
      </c>
      <c r="H9" s="39">
        <v>45040</v>
      </c>
      <c r="I9" s="46">
        <f t="shared" si="0"/>
        <v>343</v>
      </c>
      <c r="J9" s="4" t="s">
        <v>12</v>
      </c>
      <c r="K9" s="4" t="s">
        <v>197</v>
      </c>
      <c r="L9" s="4" t="s">
        <v>223</v>
      </c>
      <c r="M9" s="7">
        <v>52800</v>
      </c>
      <c r="N9" s="10">
        <v>0</v>
      </c>
      <c r="O9" s="10">
        <v>0</v>
      </c>
      <c r="P9">
        <f t="shared" si="1"/>
        <v>1</v>
      </c>
      <c r="Q9" s="36">
        <f t="shared" si="2"/>
        <v>0</v>
      </c>
      <c r="R9">
        <f t="shared" si="3"/>
        <v>2023</v>
      </c>
    </row>
    <row r="10" spans="1:18" x14ac:dyDescent="0.2">
      <c r="A10" s="23">
        <v>45390</v>
      </c>
      <c r="B10" s="23">
        <v>45390</v>
      </c>
      <c r="C10" s="25" t="s">
        <v>398</v>
      </c>
      <c r="D10" s="20">
        <v>0</v>
      </c>
      <c r="E10" s="27">
        <v>0</v>
      </c>
      <c r="F10" s="22" t="s">
        <v>51</v>
      </c>
      <c r="G10" s="29">
        <v>52800</v>
      </c>
      <c r="H10" s="39">
        <v>45040</v>
      </c>
      <c r="I10" s="46">
        <f t="shared" si="0"/>
        <v>350</v>
      </c>
      <c r="J10" s="4" t="s">
        <v>12</v>
      </c>
      <c r="K10" s="4" t="s">
        <v>197</v>
      </c>
      <c r="L10" s="4" t="s">
        <v>223</v>
      </c>
      <c r="M10" s="7">
        <v>52800</v>
      </c>
      <c r="N10" s="10">
        <v>0</v>
      </c>
      <c r="O10" s="10">
        <v>0</v>
      </c>
      <c r="P10">
        <f t="shared" si="1"/>
        <v>1</v>
      </c>
      <c r="Q10" s="36">
        <f t="shared" si="2"/>
        <v>0</v>
      </c>
      <c r="R10">
        <f t="shared" si="3"/>
        <v>2023</v>
      </c>
    </row>
    <row r="11" spans="1:18" x14ac:dyDescent="0.2">
      <c r="A11" s="23">
        <v>45397</v>
      </c>
      <c r="B11" s="23">
        <v>45397</v>
      </c>
      <c r="C11" s="25" t="s">
        <v>398</v>
      </c>
      <c r="D11" s="20">
        <v>0</v>
      </c>
      <c r="E11" s="27">
        <v>0</v>
      </c>
      <c r="F11" s="22" t="s">
        <v>51</v>
      </c>
      <c r="G11" s="29">
        <v>52800</v>
      </c>
      <c r="H11" s="39">
        <v>45040</v>
      </c>
      <c r="I11" s="46">
        <f t="shared" si="0"/>
        <v>357</v>
      </c>
      <c r="J11" s="4" t="s">
        <v>12</v>
      </c>
      <c r="K11" s="4" t="s">
        <v>197</v>
      </c>
      <c r="L11" s="4" t="s">
        <v>223</v>
      </c>
      <c r="M11" s="7">
        <v>52800</v>
      </c>
      <c r="N11" s="10">
        <v>0</v>
      </c>
      <c r="O11" s="10">
        <v>0</v>
      </c>
      <c r="P11">
        <f t="shared" si="1"/>
        <v>1</v>
      </c>
      <c r="Q11" s="36">
        <f t="shared" si="2"/>
        <v>0</v>
      </c>
      <c r="R11">
        <f t="shared" si="3"/>
        <v>2023</v>
      </c>
    </row>
    <row r="12" spans="1:18" x14ac:dyDescent="0.2">
      <c r="A12" s="23">
        <v>45404</v>
      </c>
      <c r="B12" s="23">
        <v>45404</v>
      </c>
      <c r="C12" s="25" t="s">
        <v>398</v>
      </c>
      <c r="D12" s="20">
        <v>0</v>
      </c>
      <c r="E12" s="27">
        <v>0</v>
      </c>
      <c r="F12" s="22" t="s">
        <v>51</v>
      </c>
      <c r="G12" s="29">
        <v>52800</v>
      </c>
      <c r="H12" s="39">
        <v>45040</v>
      </c>
      <c r="I12" s="46">
        <f t="shared" si="0"/>
        <v>364</v>
      </c>
      <c r="J12" s="4" t="s">
        <v>12</v>
      </c>
      <c r="K12" s="4" t="s">
        <v>197</v>
      </c>
      <c r="L12" s="4" t="s">
        <v>223</v>
      </c>
      <c r="M12" s="7">
        <v>52800</v>
      </c>
      <c r="N12" s="10">
        <v>0</v>
      </c>
      <c r="O12" s="10">
        <v>0</v>
      </c>
      <c r="P12">
        <f t="shared" si="1"/>
        <v>1</v>
      </c>
      <c r="Q12" s="36">
        <f t="shared" si="2"/>
        <v>0</v>
      </c>
      <c r="R12">
        <f t="shared" si="3"/>
        <v>2023</v>
      </c>
    </row>
    <row r="13" spans="1:18" x14ac:dyDescent="0.2">
      <c r="A13" s="23">
        <v>45411</v>
      </c>
      <c r="B13" s="23">
        <v>45411</v>
      </c>
      <c r="C13" s="25" t="s">
        <v>398</v>
      </c>
      <c r="D13" s="20">
        <v>0</v>
      </c>
      <c r="E13" s="27">
        <v>0</v>
      </c>
      <c r="F13" s="22" t="s">
        <v>51</v>
      </c>
      <c r="G13" s="29">
        <v>52800</v>
      </c>
      <c r="H13" s="39">
        <v>45040</v>
      </c>
      <c r="I13" s="46">
        <f t="shared" si="0"/>
        <v>371</v>
      </c>
      <c r="J13" s="4" t="s">
        <v>12</v>
      </c>
      <c r="K13" s="4" t="s">
        <v>197</v>
      </c>
      <c r="L13" s="4" t="s">
        <v>223</v>
      </c>
      <c r="M13" s="7">
        <v>52800</v>
      </c>
      <c r="N13" s="10">
        <v>0</v>
      </c>
      <c r="O13" s="10">
        <v>0</v>
      </c>
      <c r="P13">
        <f t="shared" si="1"/>
        <v>1</v>
      </c>
      <c r="Q13" s="36">
        <f t="shared" si="2"/>
        <v>0</v>
      </c>
      <c r="R13">
        <f t="shared" si="3"/>
        <v>2023</v>
      </c>
    </row>
    <row r="14" spans="1:18" x14ac:dyDescent="0.2">
      <c r="A14" s="23">
        <v>45418</v>
      </c>
      <c r="B14" s="23">
        <v>45418</v>
      </c>
      <c r="C14" s="25" t="s">
        <v>398</v>
      </c>
      <c r="D14" s="20">
        <v>0</v>
      </c>
      <c r="E14" s="27">
        <v>0</v>
      </c>
      <c r="F14" s="22" t="s">
        <v>51</v>
      </c>
      <c r="G14" s="29">
        <v>42240</v>
      </c>
      <c r="H14" s="39">
        <v>45040</v>
      </c>
      <c r="I14" s="46">
        <f t="shared" si="0"/>
        <v>378</v>
      </c>
      <c r="J14" s="4" t="s">
        <v>12</v>
      </c>
      <c r="K14" s="4" t="s">
        <v>197</v>
      </c>
      <c r="L14" s="4" t="s">
        <v>223</v>
      </c>
      <c r="M14" s="7">
        <v>42240</v>
      </c>
      <c r="N14" s="10">
        <v>0</v>
      </c>
      <c r="O14" s="10">
        <v>0</v>
      </c>
      <c r="P14">
        <f t="shared" si="1"/>
        <v>1</v>
      </c>
      <c r="Q14" s="36">
        <f t="shared" si="2"/>
        <v>0</v>
      </c>
      <c r="R14">
        <f t="shared" si="3"/>
        <v>2023</v>
      </c>
    </row>
    <row r="15" spans="1:18" x14ac:dyDescent="0.2">
      <c r="A15" s="23">
        <v>45425</v>
      </c>
      <c r="B15" s="23">
        <v>45425</v>
      </c>
      <c r="C15" s="25" t="s">
        <v>398</v>
      </c>
      <c r="D15" s="20">
        <v>0</v>
      </c>
      <c r="E15" s="27">
        <v>0</v>
      </c>
      <c r="F15" s="22" t="s">
        <v>51</v>
      </c>
      <c r="G15" s="29">
        <v>52800</v>
      </c>
      <c r="H15" s="39">
        <v>45040</v>
      </c>
      <c r="I15" s="46">
        <f t="shared" si="0"/>
        <v>385</v>
      </c>
      <c r="J15" s="4" t="s">
        <v>12</v>
      </c>
      <c r="K15" s="4" t="s">
        <v>197</v>
      </c>
      <c r="L15" s="4" t="s">
        <v>223</v>
      </c>
      <c r="M15" s="7">
        <v>52800</v>
      </c>
      <c r="N15" s="10">
        <v>0</v>
      </c>
      <c r="O15" s="10">
        <v>0</v>
      </c>
      <c r="P15">
        <f t="shared" si="1"/>
        <v>1</v>
      </c>
      <c r="Q15" s="36">
        <f t="shared" si="2"/>
        <v>0</v>
      </c>
      <c r="R15">
        <f t="shared" si="3"/>
        <v>2023</v>
      </c>
    </row>
    <row r="16" spans="1:18" x14ac:dyDescent="0.2">
      <c r="A16" s="23">
        <v>45432</v>
      </c>
      <c r="B16" s="23">
        <v>45432</v>
      </c>
      <c r="C16" s="25" t="s">
        <v>398</v>
      </c>
      <c r="D16" s="20">
        <v>0</v>
      </c>
      <c r="E16" s="27">
        <v>0</v>
      </c>
      <c r="F16" s="22" t="s">
        <v>51</v>
      </c>
      <c r="G16" s="29">
        <v>42240</v>
      </c>
      <c r="H16" s="39">
        <v>45040</v>
      </c>
      <c r="I16" s="46">
        <f t="shared" si="0"/>
        <v>392</v>
      </c>
      <c r="J16" s="4" t="s">
        <v>12</v>
      </c>
      <c r="K16" s="4" t="s">
        <v>197</v>
      </c>
      <c r="L16" s="4" t="s">
        <v>223</v>
      </c>
      <c r="M16" s="7">
        <v>42240</v>
      </c>
      <c r="N16" s="10">
        <v>0</v>
      </c>
      <c r="O16" s="10">
        <v>0</v>
      </c>
      <c r="P16">
        <f t="shared" si="1"/>
        <v>1</v>
      </c>
      <c r="Q16" s="36">
        <f t="shared" si="2"/>
        <v>0</v>
      </c>
      <c r="R16">
        <f t="shared" si="3"/>
        <v>2023</v>
      </c>
    </row>
    <row r="17" spans="1:18" x14ac:dyDescent="0.2">
      <c r="A17" s="23">
        <v>45439</v>
      </c>
      <c r="B17" s="23">
        <v>45439</v>
      </c>
      <c r="C17" s="25" t="s">
        <v>398</v>
      </c>
      <c r="D17" s="20">
        <v>0</v>
      </c>
      <c r="E17" s="27">
        <v>0</v>
      </c>
      <c r="F17" s="22" t="s">
        <v>51</v>
      </c>
      <c r="G17" s="29">
        <v>42240</v>
      </c>
      <c r="H17" s="39">
        <v>45040</v>
      </c>
      <c r="I17" s="46">
        <f t="shared" si="0"/>
        <v>399</v>
      </c>
      <c r="J17" s="4" t="s">
        <v>12</v>
      </c>
      <c r="K17" s="4" t="s">
        <v>197</v>
      </c>
      <c r="L17" s="4" t="s">
        <v>223</v>
      </c>
      <c r="M17" s="7">
        <v>42240</v>
      </c>
      <c r="N17" s="10">
        <v>0</v>
      </c>
      <c r="O17" s="10">
        <v>0</v>
      </c>
      <c r="P17">
        <f t="shared" si="1"/>
        <v>1</v>
      </c>
      <c r="Q17" s="36">
        <f t="shared" si="2"/>
        <v>0</v>
      </c>
      <c r="R17">
        <f t="shared" si="3"/>
        <v>2023</v>
      </c>
    </row>
    <row r="18" spans="1:18" x14ac:dyDescent="0.2">
      <c r="A18" s="23">
        <v>45446</v>
      </c>
      <c r="B18" s="23">
        <v>45446</v>
      </c>
      <c r="C18" s="25" t="s">
        <v>398</v>
      </c>
      <c r="D18" s="20">
        <v>0</v>
      </c>
      <c r="E18" s="27">
        <v>0</v>
      </c>
      <c r="F18" s="22" t="s">
        <v>51</v>
      </c>
      <c r="G18" s="29">
        <v>42240</v>
      </c>
      <c r="H18" s="39">
        <v>45040</v>
      </c>
      <c r="I18" s="46">
        <f t="shared" si="0"/>
        <v>406</v>
      </c>
      <c r="J18" s="4" t="s">
        <v>12</v>
      </c>
      <c r="K18" s="4" t="s">
        <v>197</v>
      </c>
      <c r="L18" s="4" t="s">
        <v>223</v>
      </c>
      <c r="M18" s="7">
        <v>42240</v>
      </c>
      <c r="N18" s="10">
        <v>0</v>
      </c>
      <c r="O18" s="10">
        <v>0</v>
      </c>
      <c r="P18">
        <f t="shared" si="1"/>
        <v>1</v>
      </c>
      <c r="Q18" s="36">
        <f t="shared" si="2"/>
        <v>0</v>
      </c>
      <c r="R18">
        <f t="shared" si="3"/>
        <v>2023</v>
      </c>
    </row>
    <row r="19" spans="1:18" x14ac:dyDescent="0.2">
      <c r="A19" s="23">
        <v>45453</v>
      </c>
      <c r="B19" s="23">
        <v>45453</v>
      </c>
      <c r="C19" s="25" t="s">
        <v>398</v>
      </c>
      <c r="D19" s="20">
        <v>0</v>
      </c>
      <c r="E19" s="27">
        <v>0</v>
      </c>
      <c r="F19" s="22" t="s">
        <v>51</v>
      </c>
      <c r="G19" s="29">
        <v>42240</v>
      </c>
      <c r="H19" s="39">
        <v>45040</v>
      </c>
      <c r="I19" s="46">
        <f t="shared" si="0"/>
        <v>413</v>
      </c>
      <c r="J19" s="4" t="s">
        <v>12</v>
      </c>
      <c r="K19" s="4" t="s">
        <v>197</v>
      </c>
      <c r="L19" s="4" t="s">
        <v>223</v>
      </c>
      <c r="M19" s="7">
        <v>42240</v>
      </c>
      <c r="N19" s="10">
        <v>0</v>
      </c>
      <c r="O19" s="10">
        <v>0</v>
      </c>
      <c r="P19">
        <f t="shared" si="1"/>
        <v>1</v>
      </c>
      <c r="Q19" s="36">
        <f t="shared" si="2"/>
        <v>0</v>
      </c>
      <c r="R19">
        <f t="shared" si="3"/>
        <v>2023</v>
      </c>
    </row>
    <row r="20" spans="1:18" x14ac:dyDescent="0.2">
      <c r="A20" s="23">
        <v>45467</v>
      </c>
      <c r="B20" s="23">
        <v>45467</v>
      </c>
      <c r="C20" s="25" t="s">
        <v>398</v>
      </c>
      <c r="D20" s="20">
        <v>0</v>
      </c>
      <c r="E20" s="27">
        <v>0</v>
      </c>
      <c r="F20" s="22" t="s">
        <v>51</v>
      </c>
      <c r="G20" s="29">
        <v>21120</v>
      </c>
      <c r="H20" s="39">
        <v>45040</v>
      </c>
      <c r="I20" s="46">
        <f t="shared" si="0"/>
        <v>427</v>
      </c>
      <c r="J20" s="4" t="s">
        <v>12</v>
      </c>
      <c r="K20" s="4" t="s">
        <v>197</v>
      </c>
      <c r="L20" s="4" t="s">
        <v>223</v>
      </c>
      <c r="M20" s="7">
        <v>21120</v>
      </c>
      <c r="N20" s="10">
        <v>0</v>
      </c>
      <c r="O20" s="10">
        <v>0</v>
      </c>
      <c r="P20">
        <f t="shared" si="1"/>
        <v>1</v>
      </c>
      <c r="Q20" s="36">
        <f t="shared" si="2"/>
        <v>0</v>
      </c>
      <c r="R20">
        <f t="shared" si="3"/>
        <v>2023</v>
      </c>
    </row>
    <row r="21" spans="1:18" x14ac:dyDescent="0.2">
      <c r="A21" s="23">
        <v>45474</v>
      </c>
      <c r="B21" s="23">
        <v>45474</v>
      </c>
      <c r="C21" s="25" t="s">
        <v>398</v>
      </c>
      <c r="D21" s="20">
        <v>0</v>
      </c>
      <c r="E21" s="27">
        <v>0</v>
      </c>
      <c r="F21" s="22" t="s">
        <v>51</v>
      </c>
      <c r="G21" s="29">
        <v>21120</v>
      </c>
      <c r="H21" s="39">
        <v>45040</v>
      </c>
      <c r="I21" s="46">
        <f t="shared" si="0"/>
        <v>434</v>
      </c>
      <c r="J21" s="4" t="s">
        <v>12</v>
      </c>
      <c r="K21" s="4" t="s">
        <v>197</v>
      </c>
      <c r="L21" s="4" t="s">
        <v>223</v>
      </c>
      <c r="M21" s="7">
        <v>21120</v>
      </c>
      <c r="N21" s="10">
        <v>0</v>
      </c>
      <c r="O21" s="10">
        <v>0</v>
      </c>
      <c r="P21">
        <f t="shared" si="1"/>
        <v>1</v>
      </c>
      <c r="Q21" s="36">
        <f t="shared" si="2"/>
        <v>0</v>
      </c>
      <c r="R21">
        <f t="shared" si="3"/>
        <v>2023</v>
      </c>
    </row>
    <row r="22" spans="1:18" x14ac:dyDescent="0.2">
      <c r="A22" s="23">
        <v>45481</v>
      </c>
      <c r="B22" s="23">
        <v>45481</v>
      </c>
      <c r="C22" s="25" t="s">
        <v>398</v>
      </c>
      <c r="D22" s="20">
        <v>0</v>
      </c>
      <c r="E22" s="27">
        <v>0</v>
      </c>
      <c r="F22" s="22" t="s">
        <v>51</v>
      </c>
      <c r="G22" s="29">
        <v>31680</v>
      </c>
      <c r="H22" s="39">
        <v>45040</v>
      </c>
      <c r="I22" s="46">
        <f t="shared" si="0"/>
        <v>441</v>
      </c>
      <c r="J22" s="4" t="s">
        <v>12</v>
      </c>
      <c r="K22" s="4" t="s">
        <v>197</v>
      </c>
      <c r="L22" s="4" t="s">
        <v>223</v>
      </c>
      <c r="M22" s="7">
        <v>31680</v>
      </c>
      <c r="N22" s="10">
        <v>0</v>
      </c>
      <c r="O22" s="10">
        <v>0</v>
      </c>
      <c r="P22">
        <f t="shared" si="1"/>
        <v>1</v>
      </c>
      <c r="Q22" s="36">
        <f t="shared" si="2"/>
        <v>0</v>
      </c>
      <c r="R22">
        <f t="shared" si="3"/>
        <v>2023</v>
      </c>
    </row>
    <row r="23" spans="1:18" x14ac:dyDescent="0.2">
      <c r="A23" s="23">
        <v>45488</v>
      </c>
      <c r="B23" s="23">
        <v>45488</v>
      </c>
      <c r="C23" s="25" t="s">
        <v>398</v>
      </c>
      <c r="D23" s="20">
        <v>0</v>
      </c>
      <c r="E23" s="27">
        <v>0</v>
      </c>
      <c r="F23" s="22" t="s">
        <v>51</v>
      </c>
      <c r="G23" s="29">
        <v>21120</v>
      </c>
      <c r="H23" s="39">
        <v>45040</v>
      </c>
      <c r="I23" s="46">
        <f t="shared" si="0"/>
        <v>448</v>
      </c>
      <c r="J23" s="4" t="s">
        <v>12</v>
      </c>
      <c r="K23" s="4" t="s">
        <v>197</v>
      </c>
      <c r="L23" s="4" t="s">
        <v>223</v>
      </c>
      <c r="M23" s="7">
        <v>21120</v>
      </c>
      <c r="N23" s="10">
        <v>0</v>
      </c>
      <c r="O23" s="10">
        <v>0</v>
      </c>
      <c r="P23">
        <f t="shared" si="1"/>
        <v>1</v>
      </c>
      <c r="Q23" s="36">
        <f t="shared" si="2"/>
        <v>0</v>
      </c>
      <c r="R23">
        <f t="shared" si="3"/>
        <v>2023</v>
      </c>
    </row>
    <row r="24" spans="1:18" x14ac:dyDescent="0.2">
      <c r="A24" s="23">
        <v>45495</v>
      </c>
      <c r="B24" s="23">
        <v>45495</v>
      </c>
      <c r="C24" s="25" t="s">
        <v>398</v>
      </c>
      <c r="D24" s="20">
        <v>0</v>
      </c>
      <c r="E24" s="27">
        <v>0</v>
      </c>
      <c r="F24" s="22" t="s">
        <v>51</v>
      </c>
      <c r="G24" s="29">
        <v>21120</v>
      </c>
      <c r="H24" s="39">
        <v>45040</v>
      </c>
      <c r="I24" s="46">
        <f t="shared" si="0"/>
        <v>455</v>
      </c>
      <c r="J24" s="4" t="s">
        <v>12</v>
      </c>
      <c r="K24" s="4" t="s">
        <v>197</v>
      </c>
      <c r="L24" s="4" t="s">
        <v>223</v>
      </c>
      <c r="M24" s="7">
        <v>21120</v>
      </c>
      <c r="N24" s="10">
        <v>0</v>
      </c>
      <c r="O24" s="10">
        <v>0</v>
      </c>
      <c r="P24">
        <f t="shared" si="1"/>
        <v>1</v>
      </c>
      <c r="Q24" s="36">
        <f t="shared" si="2"/>
        <v>0</v>
      </c>
      <c r="R24">
        <f t="shared" si="3"/>
        <v>2023</v>
      </c>
    </row>
    <row r="25" spans="1:18" x14ac:dyDescent="0.2">
      <c r="A25" s="23">
        <v>45502</v>
      </c>
      <c r="B25" s="23">
        <v>45502</v>
      </c>
      <c r="C25" s="25" t="s">
        <v>398</v>
      </c>
      <c r="D25" s="20">
        <v>0</v>
      </c>
      <c r="E25" s="27">
        <v>0</v>
      </c>
      <c r="F25" s="22" t="s">
        <v>51</v>
      </c>
      <c r="G25" s="29">
        <v>21120</v>
      </c>
      <c r="H25" s="39">
        <v>45040</v>
      </c>
      <c r="I25" s="46">
        <f t="shared" si="0"/>
        <v>462</v>
      </c>
      <c r="J25" s="4" t="s">
        <v>12</v>
      </c>
      <c r="K25" s="4" t="s">
        <v>197</v>
      </c>
      <c r="L25" s="4" t="s">
        <v>223</v>
      </c>
      <c r="M25" s="7">
        <v>21120</v>
      </c>
      <c r="N25" s="10">
        <v>0</v>
      </c>
      <c r="O25" s="10">
        <v>0</v>
      </c>
      <c r="P25">
        <f t="shared" si="1"/>
        <v>1</v>
      </c>
      <c r="Q25" s="36">
        <f t="shared" si="2"/>
        <v>0</v>
      </c>
      <c r="R25">
        <f t="shared" si="3"/>
        <v>2023</v>
      </c>
    </row>
    <row r="26" spans="1:18" x14ac:dyDescent="0.2">
      <c r="A26" s="23">
        <v>45509</v>
      </c>
      <c r="B26" s="23">
        <v>45509</v>
      </c>
      <c r="C26" s="25" t="s">
        <v>398</v>
      </c>
      <c r="D26" s="20">
        <v>0</v>
      </c>
      <c r="E26" s="27">
        <v>0</v>
      </c>
      <c r="F26" s="22" t="s">
        <v>51</v>
      </c>
      <c r="G26" s="29">
        <v>21120</v>
      </c>
      <c r="H26" s="39">
        <v>45040</v>
      </c>
      <c r="I26" s="46">
        <f t="shared" si="0"/>
        <v>469</v>
      </c>
      <c r="J26" s="4" t="s">
        <v>12</v>
      </c>
      <c r="K26" s="4" t="s">
        <v>197</v>
      </c>
      <c r="L26" s="4" t="s">
        <v>223</v>
      </c>
      <c r="M26" s="7">
        <v>21120</v>
      </c>
      <c r="N26" s="10">
        <v>0</v>
      </c>
      <c r="O26" s="10">
        <v>0</v>
      </c>
      <c r="P26">
        <f t="shared" si="1"/>
        <v>1</v>
      </c>
      <c r="Q26" s="36">
        <f t="shared" si="2"/>
        <v>0</v>
      </c>
      <c r="R26">
        <f t="shared" si="3"/>
        <v>2023</v>
      </c>
    </row>
    <row r="27" spans="1:18" x14ac:dyDescent="0.2">
      <c r="A27" s="23">
        <v>45516</v>
      </c>
      <c r="B27" s="23">
        <v>45516</v>
      </c>
      <c r="C27" s="25" t="s">
        <v>398</v>
      </c>
      <c r="D27" s="20">
        <v>0</v>
      </c>
      <c r="E27" s="27">
        <v>0</v>
      </c>
      <c r="F27" s="22" t="s">
        <v>51</v>
      </c>
      <c r="G27" s="29">
        <v>21120</v>
      </c>
      <c r="H27" s="39">
        <v>45040</v>
      </c>
      <c r="I27" s="46">
        <f t="shared" si="0"/>
        <v>476</v>
      </c>
      <c r="J27" s="4" t="s">
        <v>12</v>
      </c>
      <c r="K27" s="4" t="s">
        <v>197</v>
      </c>
      <c r="L27" s="4" t="s">
        <v>223</v>
      </c>
      <c r="M27" s="7">
        <v>21120</v>
      </c>
      <c r="N27" s="10">
        <v>0</v>
      </c>
      <c r="O27" s="10">
        <v>0</v>
      </c>
      <c r="P27">
        <f t="shared" si="1"/>
        <v>1</v>
      </c>
      <c r="Q27" s="36">
        <f t="shared" si="2"/>
        <v>0</v>
      </c>
      <c r="R27">
        <f t="shared" si="3"/>
        <v>2023</v>
      </c>
    </row>
    <row r="28" spans="1:18" x14ac:dyDescent="0.2">
      <c r="A28" s="23">
        <v>45523</v>
      </c>
      <c r="B28" s="23">
        <v>45523</v>
      </c>
      <c r="C28" s="25" t="s">
        <v>398</v>
      </c>
      <c r="D28" s="20">
        <v>0</v>
      </c>
      <c r="E28" s="27">
        <v>0</v>
      </c>
      <c r="F28" s="22" t="s">
        <v>51</v>
      </c>
      <c r="G28" s="29">
        <v>21120</v>
      </c>
      <c r="H28" s="39">
        <v>45040</v>
      </c>
      <c r="I28" s="46">
        <f t="shared" si="0"/>
        <v>483</v>
      </c>
      <c r="J28" s="4" t="s">
        <v>12</v>
      </c>
      <c r="K28" s="4" t="s">
        <v>197</v>
      </c>
      <c r="L28" s="4" t="s">
        <v>223</v>
      </c>
      <c r="M28" s="7">
        <v>21120</v>
      </c>
      <c r="N28" s="10">
        <v>0</v>
      </c>
      <c r="O28" s="10">
        <v>0</v>
      </c>
      <c r="P28">
        <f t="shared" si="1"/>
        <v>1</v>
      </c>
      <c r="Q28" s="36">
        <f t="shared" si="2"/>
        <v>0</v>
      </c>
      <c r="R28">
        <f t="shared" si="3"/>
        <v>2023</v>
      </c>
    </row>
    <row r="29" spans="1:18" x14ac:dyDescent="0.2">
      <c r="A29" s="23">
        <v>45530</v>
      </c>
      <c r="B29" s="23">
        <v>45530</v>
      </c>
      <c r="C29" s="25" t="s">
        <v>398</v>
      </c>
      <c r="D29" s="20">
        <v>0</v>
      </c>
      <c r="E29" s="27">
        <v>0</v>
      </c>
      <c r="F29" s="22" t="s">
        <v>51</v>
      </c>
      <c r="G29" s="29">
        <v>21120</v>
      </c>
      <c r="H29" s="39">
        <v>45040</v>
      </c>
      <c r="I29" s="46">
        <f t="shared" si="0"/>
        <v>490</v>
      </c>
      <c r="J29" s="4" t="s">
        <v>12</v>
      </c>
      <c r="K29" s="4" t="s">
        <v>197</v>
      </c>
      <c r="L29" s="4" t="s">
        <v>223</v>
      </c>
      <c r="M29" s="7">
        <v>21120</v>
      </c>
      <c r="N29" s="10">
        <v>0</v>
      </c>
      <c r="O29" s="10">
        <v>0</v>
      </c>
      <c r="P29">
        <f t="shared" si="1"/>
        <v>1</v>
      </c>
      <c r="Q29" s="36">
        <f t="shared" si="2"/>
        <v>0</v>
      </c>
      <c r="R29">
        <f t="shared" si="3"/>
        <v>2023</v>
      </c>
    </row>
    <row r="30" spans="1:18" x14ac:dyDescent="0.2">
      <c r="A30" s="23">
        <v>45537</v>
      </c>
      <c r="B30" s="23">
        <v>45537</v>
      </c>
      <c r="C30" s="25" t="s">
        <v>398</v>
      </c>
      <c r="D30" s="20">
        <v>0</v>
      </c>
      <c r="E30" s="27">
        <v>0</v>
      </c>
      <c r="F30" s="22" t="s">
        <v>51</v>
      </c>
      <c r="G30" s="29">
        <v>21120</v>
      </c>
      <c r="H30" s="39">
        <v>45040</v>
      </c>
      <c r="I30" s="46">
        <f t="shared" si="0"/>
        <v>497</v>
      </c>
      <c r="J30" s="4" t="s">
        <v>12</v>
      </c>
      <c r="K30" s="4" t="s">
        <v>197</v>
      </c>
      <c r="L30" s="4" t="s">
        <v>223</v>
      </c>
      <c r="M30" s="7">
        <v>21120</v>
      </c>
      <c r="N30" s="10">
        <v>0</v>
      </c>
      <c r="O30" s="10">
        <v>0</v>
      </c>
      <c r="P30">
        <f t="shared" si="1"/>
        <v>1</v>
      </c>
      <c r="Q30" s="36">
        <f t="shared" si="2"/>
        <v>0</v>
      </c>
      <c r="R30">
        <f t="shared" si="3"/>
        <v>2023</v>
      </c>
    </row>
    <row r="31" spans="1:18" x14ac:dyDescent="0.2">
      <c r="A31" s="23">
        <v>45544</v>
      </c>
      <c r="B31" s="23">
        <v>45544</v>
      </c>
      <c r="C31" s="25" t="s">
        <v>398</v>
      </c>
      <c r="D31" s="20">
        <v>0</v>
      </c>
      <c r="E31" s="27">
        <v>0</v>
      </c>
      <c r="F31" s="22" t="s">
        <v>51</v>
      </c>
      <c r="G31" s="29">
        <v>31680</v>
      </c>
      <c r="H31" s="39">
        <v>45040</v>
      </c>
      <c r="I31" s="46">
        <f t="shared" si="0"/>
        <v>504</v>
      </c>
      <c r="J31" s="4" t="s">
        <v>12</v>
      </c>
      <c r="K31" s="4" t="s">
        <v>197</v>
      </c>
      <c r="L31" s="4" t="s">
        <v>223</v>
      </c>
      <c r="M31" s="7">
        <v>31680</v>
      </c>
      <c r="N31" s="10">
        <v>0</v>
      </c>
      <c r="O31" s="10">
        <v>0</v>
      </c>
      <c r="P31">
        <f t="shared" si="1"/>
        <v>1</v>
      </c>
      <c r="Q31" s="36">
        <f t="shared" si="2"/>
        <v>0</v>
      </c>
      <c r="R31">
        <f t="shared" si="3"/>
        <v>2023</v>
      </c>
    </row>
    <row r="32" spans="1:18" x14ac:dyDescent="0.2">
      <c r="A32" s="23">
        <v>45551</v>
      </c>
      <c r="B32" s="23">
        <v>45551</v>
      </c>
      <c r="C32" s="25" t="s">
        <v>398</v>
      </c>
      <c r="D32" s="20">
        <v>0</v>
      </c>
      <c r="E32" s="27">
        <v>0</v>
      </c>
      <c r="F32" s="22" t="s">
        <v>51</v>
      </c>
      <c r="G32" s="29">
        <v>21120</v>
      </c>
      <c r="H32" s="39">
        <v>45040</v>
      </c>
      <c r="I32" s="46">
        <f t="shared" si="0"/>
        <v>511</v>
      </c>
      <c r="J32" s="4" t="s">
        <v>12</v>
      </c>
      <c r="K32" s="4" t="s">
        <v>197</v>
      </c>
      <c r="L32" s="4" t="s">
        <v>223</v>
      </c>
      <c r="M32" s="7">
        <v>21120</v>
      </c>
      <c r="N32" s="10">
        <v>0</v>
      </c>
      <c r="O32" s="10">
        <v>0</v>
      </c>
      <c r="P32">
        <f t="shared" si="1"/>
        <v>1</v>
      </c>
      <c r="Q32" s="36">
        <f t="shared" si="2"/>
        <v>0</v>
      </c>
      <c r="R32">
        <f t="shared" si="3"/>
        <v>2023</v>
      </c>
    </row>
    <row r="33" spans="1:18" x14ac:dyDescent="0.2">
      <c r="A33" s="23">
        <v>45558</v>
      </c>
      <c r="B33" s="23">
        <v>45558</v>
      </c>
      <c r="C33" s="25" t="s">
        <v>398</v>
      </c>
      <c r="D33" s="20">
        <v>0</v>
      </c>
      <c r="E33" s="27">
        <v>0</v>
      </c>
      <c r="F33" s="22" t="s">
        <v>51</v>
      </c>
      <c r="G33" s="29">
        <v>21120</v>
      </c>
      <c r="H33" s="39">
        <v>45040</v>
      </c>
      <c r="I33" s="46">
        <f t="shared" si="0"/>
        <v>518</v>
      </c>
      <c r="J33" s="4" t="s">
        <v>12</v>
      </c>
      <c r="K33" s="4" t="s">
        <v>197</v>
      </c>
      <c r="L33" s="4" t="s">
        <v>223</v>
      </c>
      <c r="M33" s="7">
        <v>21120</v>
      </c>
      <c r="N33" s="10">
        <v>0</v>
      </c>
      <c r="O33" s="10">
        <v>0</v>
      </c>
      <c r="P33">
        <f t="shared" si="1"/>
        <v>1</v>
      </c>
      <c r="Q33" s="36">
        <f t="shared" si="2"/>
        <v>0</v>
      </c>
      <c r="R33">
        <f t="shared" si="3"/>
        <v>2023</v>
      </c>
    </row>
    <row r="34" spans="1:18" x14ac:dyDescent="0.2">
      <c r="A34" s="23">
        <v>45565</v>
      </c>
      <c r="B34" s="23">
        <v>45565</v>
      </c>
      <c r="C34" s="25" t="s">
        <v>398</v>
      </c>
      <c r="D34" s="20">
        <v>0</v>
      </c>
      <c r="E34" s="27">
        <v>0</v>
      </c>
      <c r="F34" s="22" t="s">
        <v>51</v>
      </c>
      <c r="G34" s="29">
        <v>31680</v>
      </c>
      <c r="H34" s="39">
        <v>45040</v>
      </c>
      <c r="I34" s="46">
        <f t="shared" si="0"/>
        <v>525</v>
      </c>
      <c r="J34" s="4" t="s">
        <v>12</v>
      </c>
      <c r="K34" s="4" t="s">
        <v>197</v>
      </c>
      <c r="L34" s="4" t="s">
        <v>223</v>
      </c>
      <c r="M34" s="7">
        <v>31680</v>
      </c>
      <c r="N34" s="10">
        <v>0</v>
      </c>
      <c r="O34" s="10">
        <v>0</v>
      </c>
      <c r="P34">
        <f t="shared" si="1"/>
        <v>1</v>
      </c>
      <c r="Q34" s="36">
        <f t="shared" si="2"/>
        <v>0</v>
      </c>
      <c r="R34">
        <f t="shared" si="3"/>
        <v>2023</v>
      </c>
    </row>
    <row r="35" spans="1:18" x14ac:dyDescent="0.2">
      <c r="A35" s="23">
        <v>45572</v>
      </c>
      <c r="B35" s="23">
        <v>45572</v>
      </c>
      <c r="C35" s="25" t="s">
        <v>398</v>
      </c>
      <c r="D35" s="20">
        <v>0</v>
      </c>
      <c r="E35" s="27">
        <v>0</v>
      </c>
      <c r="F35" s="22" t="s">
        <v>51</v>
      </c>
      <c r="G35" s="29">
        <v>21120</v>
      </c>
      <c r="H35" s="39">
        <v>45040</v>
      </c>
      <c r="I35" s="46">
        <f t="shared" si="0"/>
        <v>532</v>
      </c>
      <c r="J35" s="4" t="s">
        <v>12</v>
      </c>
      <c r="K35" s="4" t="s">
        <v>197</v>
      </c>
      <c r="L35" s="4" t="s">
        <v>223</v>
      </c>
      <c r="M35" s="7">
        <v>21120</v>
      </c>
      <c r="N35" s="10">
        <v>0</v>
      </c>
      <c r="O35" s="10">
        <v>0</v>
      </c>
      <c r="P35">
        <f t="shared" si="1"/>
        <v>1</v>
      </c>
      <c r="Q35" s="36">
        <f t="shared" si="2"/>
        <v>0</v>
      </c>
      <c r="R35">
        <f t="shared" si="3"/>
        <v>2023</v>
      </c>
    </row>
    <row r="36" spans="1:18" x14ac:dyDescent="0.2">
      <c r="A36" s="23">
        <v>45579</v>
      </c>
      <c r="B36" s="23">
        <v>45579</v>
      </c>
      <c r="C36" s="25" t="s">
        <v>398</v>
      </c>
      <c r="D36" s="20">
        <v>0</v>
      </c>
      <c r="E36" s="27">
        <v>0</v>
      </c>
      <c r="F36" s="22" t="s">
        <v>51</v>
      </c>
      <c r="G36" s="29">
        <v>21120</v>
      </c>
      <c r="H36" s="39">
        <v>45040</v>
      </c>
      <c r="I36" s="46">
        <f t="shared" si="0"/>
        <v>539</v>
      </c>
      <c r="J36" s="4" t="s">
        <v>12</v>
      </c>
      <c r="K36" s="4" t="s">
        <v>197</v>
      </c>
      <c r="L36" s="4" t="s">
        <v>223</v>
      </c>
      <c r="M36" s="7">
        <v>21120</v>
      </c>
      <c r="N36" s="10">
        <v>0</v>
      </c>
      <c r="O36" s="10">
        <v>0</v>
      </c>
      <c r="P36">
        <f t="shared" si="1"/>
        <v>1</v>
      </c>
      <c r="Q36" s="36">
        <f t="shared" si="2"/>
        <v>0</v>
      </c>
      <c r="R36">
        <f t="shared" si="3"/>
        <v>2023</v>
      </c>
    </row>
    <row r="37" spans="1:18" x14ac:dyDescent="0.2">
      <c r="A37" s="23">
        <v>45586</v>
      </c>
      <c r="B37" s="23">
        <v>45586</v>
      </c>
      <c r="C37" s="25" t="s">
        <v>398</v>
      </c>
      <c r="D37" s="20">
        <v>0</v>
      </c>
      <c r="E37" s="27">
        <v>0</v>
      </c>
      <c r="F37" s="22" t="s">
        <v>51</v>
      </c>
      <c r="G37" s="29">
        <v>52800</v>
      </c>
      <c r="H37" s="39">
        <v>45040</v>
      </c>
      <c r="I37" s="46">
        <f t="shared" si="0"/>
        <v>546</v>
      </c>
      <c r="J37" s="4" t="s">
        <v>12</v>
      </c>
      <c r="K37" s="4" t="s">
        <v>197</v>
      </c>
      <c r="L37" s="4" t="s">
        <v>223</v>
      </c>
      <c r="M37" s="7">
        <v>52800</v>
      </c>
      <c r="N37" s="10">
        <v>0</v>
      </c>
      <c r="O37" s="10">
        <v>0</v>
      </c>
      <c r="P37">
        <f t="shared" si="1"/>
        <v>1</v>
      </c>
      <c r="Q37" s="36">
        <f t="shared" si="2"/>
        <v>0</v>
      </c>
      <c r="R37">
        <f t="shared" si="3"/>
        <v>2023</v>
      </c>
    </row>
    <row r="38" spans="1:18" x14ac:dyDescent="0.2">
      <c r="A38" s="23">
        <v>45600</v>
      </c>
      <c r="B38" s="23">
        <v>45600</v>
      </c>
      <c r="C38" s="25" t="s">
        <v>398</v>
      </c>
      <c r="D38" s="20">
        <v>0</v>
      </c>
      <c r="E38" s="27">
        <v>0</v>
      </c>
      <c r="F38" s="22" t="s">
        <v>51</v>
      </c>
      <c r="G38" s="29">
        <v>21120</v>
      </c>
      <c r="H38" s="39">
        <v>45040</v>
      </c>
      <c r="I38" s="46">
        <f t="shared" si="0"/>
        <v>560</v>
      </c>
      <c r="J38" s="4" t="s">
        <v>12</v>
      </c>
      <c r="K38" s="4" t="s">
        <v>197</v>
      </c>
      <c r="L38" s="4" t="s">
        <v>223</v>
      </c>
      <c r="M38" s="7">
        <v>21120</v>
      </c>
      <c r="N38" s="10">
        <v>0</v>
      </c>
      <c r="O38" s="10">
        <v>0</v>
      </c>
      <c r="P38">
        <f t="shared" si="1"/>
        <v>1</v>
      </c>
      <c r="Q38" s="36">
        <f t="shared" si="2"/>
        <v>0</v>
      </c>
      <c r="R38">
        <f t="shared" si="3"/>
        <v>2023</v>
      </c>
    </row>
    <row r="39" spans="1:18" x14ac:dyDescent="0.2">
      <c r="A39" s="23">
        <v>45607</v>
      </c>
      <c r="B39" s="23">
        <v>45607</v>
      </c>
      <c r="C39" s="25" t="s">
        <v>398</v>
      </c>
      <c r="D39" s="20">
        <v>0</v>
      </c>
      <c r="E39" s="27">
        <v>0</v>
      </c>
      <c r="F39" s="22" t="s">
        <v>51</v>
      </c>
      <c r="G39" s="29">
        <v>10560</v>
      </c>
      <c r="H39" s="39">
        <v>45040</v>
      </c>
      <c r="I39" s="46">
        <f t="shared" si="0"/>
        <v>567</v>
      </c>
      <c r="J39" s="4" t="s">
        <v>12</v>
      </c>
      <c r="K39" s="4" t="s">
        <v>197</v>
      </c>
      <c r="L39" s="4" t="s">
        <v>223</v>
      </c>
      <c r="M39" s="7">
        <v>10560</v>
      </c>
      <c r="N39" s="10">
        <v>0</v>
      </c>
      <c r="O39" s="10">
        <v>0</v>
      </c>
      <c r="P39">
        <f t="shared" si="1"/>
        <v>1</v>
      </c>
      <c r="Q39" s="36">
        <f t="shared" si="2"/>
        <v>0</v>
      </c>
      <c r="R39">
        <f t="shared" si="3"/>
        <v>2023</v>
      </c>
    </row>
    <row r="40" spans="1:18" x14ac:dyDescent="0.2">
      <c r="A40" s="23">
        <v>45614</v>
      </c>
      <c r="B40" s="23">
        <v>45614</v>
      </c>
      <c r="C40" s="25" t="s">
        <v>398</v>
      </c>
      <c r="D40" s="20">
        <v>0</v>
      </c>
      <c r="E40" s="27">
        <v>0</v>
      </c>
      <c r="F40" s="22" t="s">
        <v>51</v>
      </c>
      <c r="G40" s="29">
        <v>21120</v>
      </c>
      <c r="H40" s="39">
        <v>45040</v>
      </c>
      <c r="I40" s="46">
        <f t="shared" si="0"/>
        <v>574</v>
      </c>
      <c r="J40" s="4" t="s">
        <v>12</v>
      </c>
      <c r="K40" s="4" t="s">
        <v>197</v>
      </c>
      <c r="L40" s="4" t="s">
        <v>223</v>
      </c>
      <c r="M40" s="7">
        <v>21120</v>
      </c>
      <c r="N40" s="10">
        <v>0</v>
      </c>
      <c r="O40" s="10">
        <v>0</v>
      </c>
      <c r="P40">
        <f t="shared" si="1"/>
        <v>1</v>
      </c>
      <c r="Q40" s="36">
        <f t="shared" si="2"/>
        <v>0</v>
      </c>
      <c r="R40">
        <f t="shared" si="3"/>
        <v>2023</v>
      </c>
    </row>
    <row r="41" spans="1:18" x14ac:dyDescent="0.2">
      <c r="A41" s="23">
        <v>45621</v>
      </c>
      <c r="B41" s="23">
        <v>45621</v>
      </c>
      <c r="C41" s="25" t="s">
        <v>398</v>
      </c>
      <c r="D41" s="20">
        <v>0</v>
      </c>
      <c r="E41" s="27">
        <v>0</v>
      </c>
      <c r="F41" s="22" t="s">
        <v>51</v>
      </c>
      <c r="G41" s="29">
        <v>21120</v>
      </c>
      <c r="H41" s="39">
        <v>45040</v>
      </c>
      <c r="I41" s="46">
        <f t="shared" si="0"/>
        <v>581</v>
      </c>
      <c r="J41" s="4" t="s">
        <v>12</v>
      </c>
      <c r="K41" s="4" t="s">
        <v>197</v>
      </c>
      <c r="L41" s="4" t="s">
        <v>223</v>
      </c>
      <c r="M41" s="7">
        <v>21120</v>
      </c>
      <c r="N41" s="10">
        <v>0</v>
      </c>
      <c r="O41" s="10">
        <v>0</v>
      </c>
      <c r="P41">
        <f t="shared" si="1"/>
        <v>1</v>
      </c>
      <c r="Q41" s="36">
        <f t="shared" si="2"/>
        <v>0</v>
      </c>
      <c r="R41">
        <f t="shared" si="3"/>
        <v>2023</v>
      </c>
    </row>
    <row r="42" spans="1:18" x14ac:dyDescent="0.2">
      <c r="A42" s="23">
        <v>45628</v>
      </c>
      <c r="B42" s="23">
        <v>45628</v>
      </c>
      <c r="C42" s="25" t="s">
        <v>398</v>
      </c>
      <c r="D42" s="20">
        <v>0</v>
      </c>
      <c r="E42" s="27">
        <v>0</v>
      </c>
      <c r="F42" s="22" t="s">
        <v>51</v>
      </c>
      <c r="G42" s="29">
        <v>31680</v>
      </c>
      <c r="H42" s="39">
        <v>45040</v>
      </c>
      <c r="I42" s="46">
        <f t="shared" si="0"/>
        <v>588</v>
      </c>
      <c r="J42" s="4" t="s">
        <v>12</v>
      </c>
      <c r="K42" s="4" t="s">
        <v>197</v>
      </c>
      <c r="L42" s="4" t="s">
        <v>223</v>
      </c>
      <c r="M42" s="7">
        <v>31680</v>
      </c>
      <c r="N42" s="10">
        <v>0</v>
      </c>
      <c r="O42" s="10">
        <v>0</v>
      </c>
      <c r="P42">
        <f t="shared" si="1"/>
        <v>1</v>
      </c>
      <c r="Q42" s="36">
        <f t="shared" si="2"/>
        <v>0</v>
      </c>
      <c r="R42">
        <f t="shared" si="3"/>
        <v>2023</v>
      </c>
    </row>
    <row r="43" spans="1:18" x14ac:dyDescent="0.2">
      <c r="A43" s="23">
        <v>45635</v>
      </c>
      <c r="B43" s="23">
        <v>45635</v>
      </c>
      <c r="C43" s="25" t="s">
        <v>398</v>
      </c>
      <c r="D43" s="20">
        <v>0</v>
      </c>
      <c r="E43" s="27">
        <v>0</v>
      </c>
      <c r="F43" s="22" t="s">
        <v>51</v>
      </c>
      <c r="G43" s="29">
        <v>31680</v>
      </c>
      <c r="H43" s="39">
        <v>45040</v>
      </c>
      <c r="I43" s="46">
        <f t="shared" si="0"/>
        <v>595</v>
      </c>
      <c r="J43" s="4" t="s">
        <v>12</v>
      </c>
      <c r="K43" s="4" t="s">
        <v>197</v>
      </c>
      <c r="L43" s="4" t="s">
        <v>223</v>
      </c>
      <c r="M43" s="7">
        <v>31680</v>
      </c>
      <c r="N43" s="10">
        <v>0</v>
      </c>
      <c r="O43" s="10">
        <v>0</v>
      </c>
      <c r="P43">
        <f t="shared" si="1"/>
        <v>1</v>
      </c>
      <c r="Q43" s="36">
        <f t="shared" si="2"/>
        <v>0</v>
      </c>
      <c r="R43">
        <f t="shared" si="3"/>
        <v>2023</v>
      </c>
    </row>
    <row r="44" spans="1:18" x14ac:dyDescent="0.2">
      <c r="A44" s="23">
        <v>45642</v>
      </c>
      <c r="B44" s="23">
        <v>45642</v>
      </c>
      <c r="C44" s="25" t="s">
        <v>398</v>
      </c>
      <c r="D44" s="20">
        <v>0</v>
      </c>
      <c r="E44" s="27">
        <v>0</v>
      </c>
      <c r="F44" s="22" t="s">
        <v>51</v>
      </c>
      <c r="G44" s="29">
        <v>42240</v>
      </c>
      <c r="H44" s="39">
        <v>45040</v>
      </c>
      <c r="I44" s="46">
        <f t="shared" si="0"/>
        <v>602</v>
      </c>
      <c r="J44" s="4" t="s">
        <v>12</v>
      </c>
      <c r="K44" s="4" t="s">
        <v>197</v>
      </c>
      <c r="L44" s="4" t="s">
        <v>223</v>
      </c>
      <c r="M44" s="7">
        <v>42240</v>
      </c>
      <c r="N44" s="10">
        <v>0</v>
      </c>
      <c r="O44" s="10">
        <v>0</v>
      </c>
      <c r="P44">
        <f t="shared" si="1"/>
        <v>1</v>
      </c>
      <c r="Q44" s="36">
        <f t="shared" si="2"/>
        <v>0</v>
      </c>
      <c r="R44">
        <f t="shared" si="3"/>
        <v>2023</v>
      </c>
    </row>
    <row r="45" spans="1:18" x14ac:dyDescent="0.2">
      <c r="A45" s="23">
        <v>45292</v>
      </c>
      <c r="B45" s="23">
        <v>45292</v>
      </c>
      <c r="C45" s="25" t="s">
        <v>398</v>
      </c>
      <c r="D45" s="20">
        <v>0</v>
      </c>
      <c r="E45" s="27">
        <v>0</v>
      </c>
      <c r="F45" s="22" t="s">
        <v>51</v>
      </c>
      <c r="G45" s="29">
        <v>23760</v>
      </c>
      <c r="H45" s="39">
        <v>45005</v>
      </c>
      <c r="I45" s="46">
        <f t="shared" si="0"/>
        <v>287</v>
      </c>
      <c r="J45" s="4" t="s">
        <v>12</v>
      </c>
      <c r="K45" s="4" t="s">
        <v>197</v>
      </c>
      <c r="L45" s="4" t="s">
        <v>223</v>
      </c>
      <c r="M45" s="7">
        <v>23760</v>
      </c>
      <c r="N45" s="10">
        <v>0</v>
      </c>
      <c r="O45" s="10">
        <v>0</v>
      </c>
      <c r="P45">
        <f t="shared" si="1"/>
        <v>1</v>
      </c>
      <c r="Q45" s="36">
        <f t="shared" si="2"/>
        <v>0</v>
      </c>
      <c r="R45">
        <f t="shared" si="3"/>
        <v>2023</v>
      </c>
    </row>
    <row r="46" spans="1:18" x14ac:dyDescent="0.2">
      <c r="A46" s="23">
        <v>45299</v>
      </c>
      <c r="B46" s="23">
        <v>45299</v>
      </c>
      <c r="C46" s="25" t="s">
        <v>398</v>
      </c>
      <c r="D46" s="20">
        <v>0</v>
      </c>
      <c r="E46" s="27">
        <v>0</v>
      </c>
      <c r="F46" s="22" t="s">
        <v>51</v>
      </c>
      <c r="G46" s="29">
        <v>34320</v>
      </c>
      <c r="H46" s="39">
        <v>45005</v>
      </c>
      <c r="I46" s="46">
        <f t="shared" si="0"/>
        <v>294</v>
      </c>
      <c r="J46" s="4" t="s">
        <v>12</v>
      </c>
      <c r="K46" s="4" t="s">
        <v>197</v>
      </c>
      <c r="L46" s="4" t="s">
        <v>223</v>
      </c>
      <c r="M46" s="7">
        <v>34320</v>
      </c>
      <c r="N46" s="10">
        <v>0</v>
      </c>
      <c r="O46" s="10">
        <v>0</v>
      </c>
      <c r="P46">
        <f t="shared" si="1"/>
        <v>1</v>
      </c>
      <c r="Q46" s="36">
        <f t="shared" si="2"/>
        <v>0</v>
      </c>
      <c r="R46">
        <f t="shared" si="3"/>
        <v>2023</v>
      </c>
    </row>
    <row r="47" spans="1:18" x14ac:dyDescent="0.2">
      <c r="A47" s="23">
        <v>45306</v>
      </c>
      <c r="B47" s="23">
        <v>45306</v>
      </c>
      <c r="C47" s="25" t="s">
        <v>398</v>
      </c>
      <c r="D47" s="20">
        <v>0</v>
      </c>
      <c r="E47" s="27">
        <v>0</v>
      </c>
      <c r="F47" s="22" t="s">
        <v>51</v>
      </c>
      <c r="G47" s="29">
        <v>42240</v>
      </c>
      <c r="H47" s="39">
        <v>45005</v>
      </c>
      <c r="I47" s="46">
        <f t="shared" si="0"/>
        <v>301</v>
      </c>
      <c r="J47" s="4" t="s">
        <v>12</v>
      </c>
      <c r="K47" s="4" t="s">
        <v>197</v>
      </c>
      <c r="L47" s="4" t="s">
        <v>223</v>
      </c>
      <c r="M47" s="7">
        <v>42240</v>
      </c>
      <c r="N47" s="10">
        <v>0</v>
      </c>
      <c r="O47" s="10">
        <v>0</v>
      </c>
      <c r="P47">
        <f t="shared" si="1"/>
        <v>1</v>
      </c>
      <c r="Q47" s="36">
        <f t="shared" si="2"/>
        <v>0</v>
      </c>
      <c r="R47">
        <f t="shared" si="3"/>
        <v>2023</v>
      </c>
    </row>
    <row r="48" spans="1:18" x14ac:dyDescent="0.2">
      <c r="A48" s="23">
        <v>45313</v>
      </c>
      <c r="B48" s="23">
        <v>45313</v>
      </c>
      <c r="C48" s="25" t="s">
        <v>398</v>
      </c>
      <c r="D48" s="20">
        <v>0</v>
      </c>
      <c r="E48" s="27">
        <v>0</v>
      </c>
      <c r="F48" s="22" t="s">
        <v>51</v>
      </c>
      <c r="G48" s="29">
        <v>42240</v>
      </c>
      <c r="H48" s="39">
        <v>45005</v>
      </c>
      <c r="I48" s="46">
        <f t="shared" si="0"/>
        <v>308</v>
      </c>
      <c r="J48" s="4" t="s">
        <v>12</v>
      </c>
      <c r="K48" s="4" t="s">
        <v>197</v>
      </c>
      <c r="L48" s="4" t="s">
        <v>223</v>
      </c>
      <c r="M48" s="7">
        <v>42240</v>
      </c>
      <c r="N48" s="10">
        <v>0</v>
      </c>
      <c r="O48" s="10">
        <v>0</v>
      </c>
      <c r="P48">
        <f t="shared" si="1"/>
        <v>1</v>
      </c>
      <c r="Q48" s="36">
        <f t="shared" si="2"/>
        <v>0</v>
      </c>
      <c r="R48">
        <f t="shared" si="3"/>
        <v>2023</v>
      </c>
    </row>
    <row r="49" spans="1:18" x14ac:dyDescent="0.2">
      <c r="A49" s="23">
        <v>45320</v>
      </c>
      <c r="B49" s="23">
        <v>45320</v>
      </c>
      <c r="C49" s="25" t="s">
        <v>398</v>
      </c>
      <c r="D49" s="20">
        <v>0</v>
      </c>
      <c r="E49" s="27">
        <v>0</v>
      </c>
      <c r="F49" s="22" t="s">
        <v>51</v>
      </c>
      <c r="G49" s="29">
        <v>31680</v>
      </c>
      <c r="H49" s="39">
        <v>45005</v>
      </c>
      <c r="I49" s="46">
        <f t="shared" si="0"/>
        <v>315</v>
      </c>
      <c r="J49" s="4" t="s">
        <v>12</v>
      </c>
      <c r="K49" s="4" t="s">
        <v>197</v>
      </c>
      <c r="L49" s="4" t="s">
        <v>223</v>
      </c>
      <c r="M49" s="7">
        <v>31680</v>
      </c>
      <c r="N49" s="10">
        <v>0</v>
      </c>
      <c r="O49" s="10">
        <v>0</v>
      </c>
      <c r="P49">
        <f t="shared" si="1"/>
        <v>1</v>
      </c>
      <c r="Q49" s="36">
        <f t="shared" si="2"/>
        <v>0</v>
      </c>
      <c r="R49">
        <f t="shared" si="3"/>
        <v>2023</v>
      </c>
    </row>
    <row r="50" spans="1:18" x14ac:dyDescent="0.2">
      <c r="A50" s="23">
        <v>45656</v>
      </c>
      <c r="B50" s="23">
        <v>45656</v>
      </c>
      <c r="C50" s="25" t="s">
        <v>398</v>
      </c>
      <c r="D50" s="20">
        <v>0</v>
      </c>
      <c r="E50" s="27">
        <v>0</v>
      </c>
      <c r="F50" s="22" t="s">
        <v>51</v>
      </c>
      <c r="G50" s="29">
        <v>21120</v>
      </c>
      <c r="H50" s="39">
        <v>45119</v>
      </c>
      <c r="I50" s="46">
        <f t="shared" si="0"/>
        <v>537</v>
      </c>
      <c r="J50" s="4" t="s">
        <v>12</v>
      </c>
      <c r="K50" s="4" t="s">
        <v>197</v>
      </c>
      <c r="L50" s="4" t="s">
        <v>223</v>
      </c>
      <c r="M50" s="7">
        <v>21120</v>
      </c>
      <c r="N50" s="10">
        <v>0</v>
      </c>
      <c r="O50" s="10">
        <v>0</v>
      </c>
      <c r="P50">
        <f t="shared" si="1"/>
        <v>1</v>
      </c>
      <c r="Q50" s="36">
        <f t="shared" si="2"/>
        <v>0</v>
      </c>
      <c r="R50">
        <f t="shared" si="3"/>
        <v>2023</v>
      </c>
    </row>
    <row r="51" spans="1:18" x14ac:dyDescent="0.2">
      <c r="A51" s="23">
        <v>45663</v>
      </c>
      <c r="B51" s="23">
        <v>45663</v>
      </c>
      <c r="C51" s="25" t="s">
        <v>398</v>
      </c>
      <c r="D51" s="20">
        <v>0</v>
      </c>
      <c r="E51" s="27">
        <v>0</v>
      </c>
      <c r="F51" s="22" t="s">
        <v>51</v>
      </c>
      <c r="G51" s="29">
        <v>21120</v>
      </c>
      <c r="H51" s="39">
        <v>45119</v>
      </c>
      <c r="I51" s="46">
        <f t="shared" si="0"/>
        <v>544</v>
      </c>
      <c r="J51" s="4" t="s">
        <v>12</v>
      </c>
      <c r="K51" s="4" t="s">
        <v>197</v>
      </c>
      <c r="L51" s="4" t="s">
        <v>223</v>
      </c>
      <c r="M51" s="7">
        <v>21120</v>
      </c>
      <c r="N51" s="10">
        <v>0</v>
      </c>
      <c r="O51" s="10">
        <v>0</v>
      </c>
      <c r="P51">
        <f t="shared" si="1"/>
        <v>1</v>
      </c>
      <c r="Q51" s="36">
        <f t="shared" si="2"/>
        <v>0</v>
      </c>
      <c r="R51">
        <f t="shared" si="3"/>
        <v>2023</v>
      </c>
    </row>
    <row r="52" spans="1:18" x14ac:dyDescent="0.2">
      <c r="A52" s="23">
        <v>45670</v>
      </c>
      <c r="B52" s="23">
        <v>45670</v>
      </c>
      <c r="C52" s="25" t="s">
        <v>398</v>
      </c>
      <c r="D52" s="20">
        <v>0</v>
      </c>
      <c r="E52" s="27">
        <v>0</v>
      </c>
      <c r="F52" s="22" t="s">
        <v>51</v>
      </c>
      <c r="G52" s="29">
        <v>31680</v>
      </c>
      <c r="H52" s="39">
        <v>45119</v>
      </c>
      <c r="I52" s="46">
        <f t="shared" si="0"/>
        <v>551</v>
      </c>
      <c r="J52" s="4" t="s">
        <v>12</v>
      </c>
      <c r="K52" s="4" t="s">
        <v>197</v>
      </c>
      <c r="L52" s="4" t="s">
        <v>223</v>
      </c>
      <c r="M52" s="7">
        <v>31680</v>
      </c>
      <c r="N52" s="10">
        <v>0</v>
      </c>
      <c r="O52" s="10">
        <v>0</v>
      </c>
      <c r="P52">
        <f t="shared" si="1"/>
        <v>1</v>
      </c>
      <c r="Q52" s="36">
        <f t="shared" si="2"/>
        <v>0</v>
      </c>
      <c r="R52">
        <f t="shared" si="3"/>
        <v>2023</v>
      </c>
    </row>
    <row r="53" spans="1:18" x14ac:dyDescent="0.2">
      <c r="A53" s="23">
        <v>45677</v>
      </c>
      <c r="B53" s="23">
        <v>45677</v>
      </c>
      <c r="C53" s="25" t="s">
        <v>398</v>
      </c>
      <c r="D53" s="20">
        <v>0</v>
      </c>
      <c r="E53" s="27">
        <v>0</v>
      </c>
      <c r="F53" s="22" t="s">
        <v>51</v>
      </c>
      <c r="G53" s="29">
        <v>21120</v>
      </c>
      <c r="H53" s="39">
        <v>45119</v>
      </c>
      <c r="I53" s="46">
        <f t="shared" si="0"/>
        <v>558</v>
      </c>
      <c r="J53" s="4" t="s">
        <v>12</v>
      </c>
      <c r="K53" s="4" t="s">
        <v>197</v>
      </c>
      <c r="L53" s="4" t="s">
        <v>223</v>
      </c>
      <c r="M53" s="7">
        <v>21120</v>
      </c>
      <c r="N53" s="10">
        <v>0</v>
      </c>
      <c r="O53" s="10">
        <v>0</v>
      </c>
      <c r="P53">
        <f t="shared" si="1"/>
        <v>1</v>
      </c>
      <c r="Q53" s="36">
        <f t="shared" si="2"/>
        <v>0</v>
      </c>
      <c r="R53">
        <f t="shared" si="3"/>
        <v>2023</v>
      </c>
    </row>
    <row r="54" spans="1:18" x14ac:dyDescent="0.2">
      <c r="A54" s="23">
        <v>45684</v>
      </c>
      <c r="B54" s="23">
        <v>45684</v>
      </c>
      <c r="C54" s="25" t="s">
        <v>398</v>
      </c>
      <c r="D54" s="20">
        <v>0</v>
      </c>
      <c r="E54" s="27">
        <v>0</v>
      </c>
      <c r="F54" s="22" t="s">
        <v>51</v>
      </c>
      <c r="G54" s="29">
        <v>21120</v>
      </c>
      <c r="H54" s="39">
        <v>45119</v>
      </c>
      <c r="I54" s="46">
        <f t="shared" si="0"/>
        <v>565</v>
      </c>
      <c r="J54" s="4" t="s">
        <v>12</v>
      </c>
      <c r="K54" s="4" t="s">
        <v>197</v>
      </c>
      <c r="L54" s="4" t="s">
        <v>223</v>
      </c>
      <c r="M54" s="7">
        <v>21120</v>
      </c>
      <c r="N54" s="10">
        <v>0</v>
      </c>
      <c r="O54" s="10">
        <v>0</v>
      </c>
      <c r="P54">
        <f t="shared" si="1"/>
        <v>1</v>
      </c>
      <c r="Q54" s="36">
        <f t="shared" si="2"/>
        <v>0</v>
      </c>
      <c r="R54">
        <f t="shared" si="3"/>
        <v>2023</v>
      </c>
    </row>
    <row r="55" spans="1:18" x14ac:dyDescent="0.2">
      <c r="A55" s="23">
        <v>45691</v>
      </c>
      <c r="B55" s="23">
        <v>45691</v>
      </c>
      <c r="C55" s="25" t="s">
        <v>398</v>
      </c>
      <c r="D55" s="20">
        <v>0</v>
      </c>
      <c r="E55" s="27">
        <v>0</v>
      </c>
      <c r="F55" s="22" t="s">
        <v>51</v>
      </c>
      <c r="G55" s="29">
        <v>21120</v>
      </c>
      <c r="H55" s="39">
        <v>45119</v>
      </c>
      <c r="I55" s="46">
        <f t="shared" si="0"/>
        <v>572</v>
      </c>
      <c r="J55" s="4" t="s">
        <v>12</v>
      </c>
      <c r="K55" s="4" t="s">
        <v>197</v>
      </c>
      <c r="L55" s="4" t="s">
        <v>223</v>
      </c>
      <c r="M55" s="7">
        <v>21120</v>
      </c>
      <c r="N55" s="10">
        <v>0</v>
      </c>
      <c r="O55" s="10">
        <v>0</v>
      </c>
      <c r="P55">
        <f t="shared" si="1"/>
        <v>1</v>
      </c>
      <c r="Q55" s="36">
        <f t="shared" si="2"/>
        <v>0</v>
      </c>
      <c r="R55">
        <f t="shared" si="3"/>
        <v>2023</v>
      </c>
    </row>
    <row r="56" spans="1:18" x14ac:dyDescent="0.2">
      <c r="A56" s="23">
        <v>45698</v>
      </c>
      <c r="B56" s="23">
        <v>45698</v>
      </c>
      <c r="C56" s="25" t="s">
        <v>398</v>
      </c>
      <c r="D56" s="20">
        <v>0</v>
      </c>
      <c r="E56" s="27">
        <v>0</v>
      </c>
      <c r="F56" s="22" t="s">
        <v>51</v>
      </c>
      <c r="G56" s="29">
        <v>21120</v>
      </c>
      <c r="H56" s="39">
        <v>45119</v>
      </c>
      <c r="I56" s="46">
        <f t="shared" si="0"/>
        <v>579</v>
      </c>
      <c r="J56" s="4" t="s">
        <v>12</v>
      </c>
      <c r="K56" s="4" t="s">
        <v>197</v>
      </c>
      <c r="L56" s="4" t="s">
        <v>223</v>
      </c>
      <c r="M56" s="7">
        <v>21120</v>
      </c>
      <c r="N56" s="10">
        <v>0</v>
      </c>
      <c r="O56" s="10">
        <v>0</v>
      </c>
      <c r="P56">
        <f t="shared" si="1"/>
        <v>1</v>
      </c>
      <c r="Q56" s="36">
        <f t="shared" si="2"/>
        <v>0</v>
      </c>
      <c r="R56">
        <f t="shared" si="3"/>
        <v>2023</v>
      </c>
    </row>
    <row r="57" spans="1:18" x14ac:dyDescent="0.2">
      <c r="A57" s="23">
        <v>45705</v>
      </c>
      <c r="B57" s="23">
        <v>45705</v>
      </c>
      <c r="C57" s="25" t="s">
        <v>398</v>
      </c>
      <c r="D57" s="20">
        <v>0</v>
      </c>
      <c r="E57" s="27">
        <v>0</v>
      </c>
      <c r="F57" s="22" t="s">
        <v>51</v>
      </c>
      <c r="G57" s="29">
        <v>21120</v>
      </c>
      <c r="H57" s="39">
        <v>45119</v>
      </c>
      <c r="I57" s="46">
        <f t="shared" si="0"/>
        <v>586</v>
      </c>
      <c r="J57" s="4" t="s">
        <v>12</v>
      </c>
      <c r="K57" s="4" t="s">
        <v>197</v>
      </c>
      <c r="L57" s="4" t="s">
        <v>223</v>
      </c>
      <c r="M57" s="7">
        <v>21120</v>
      </c>
      <c r="N57" s="10">
        <v>0</v>
      </c>
      <c r="O57" s="10">
        <v>0</v>
      </c>
      <c r="P57">
        <f t="shared" si="1"/>
        <v>1</v>
      </c>
      <c r="Q57" s="36">
        <f t="shared" si="2"/>
        <v>0</v>
      </c>
      <c r="R57">
        <f t="shared" si="3"/>
        <v>2023</v>
      </c>
    </row>
    <row r="58" spans="1:18" x14ac:dyDescent="0.2">
      <c r="A58" s="23">
        <v>45712</v>
      </c>
      <c r="B58" s="23">
        <v>45712</v>
      </c>
      <c r="C58" s="25" t="s">
        <v>398</v>
      </c>
      <c r="D58" s="20">
        <v>0</v>
      </c>
      <c r="E58" s="27">
        <v>0</v>
      </c>
      <c r="F58" s="22" t="s">
        <v>51</v>
      </c>
      <c r="G58" s="29">
        <v>216480</v>
      </c>
      <c r="H58" s="39">
        <v>45119</v>
      </c>
      <c r="I58" s="46">
        <f t="shared" si="0"/>
        <v>593</v>
      </c>
      <c r="J58" s="4" t="s">
        <v>12</v>
      </c>
      <c r="K58" s="4" t="s">
        <v>197</v>
      </c>
      <c r="L58" s="4" t="s">
        <v>223</v>
      </c>
      <c r="M58" s="7">
        <v>216480</v>
      </c>
      <c r="N58" s="10">
        <v>0</v>
      </c>
      <c r="O58" s="10">
        <v>0</v>
      </c>
      <c r="P58">
        <f t="shared" si="1"/>
        <v>1</v>
      </c>
      <c r="Q58" s="36">
        <f t="shared" si="2"/>
        <v>0</v>
      </c>
      <c r="R58">
        <f t="shared" si="3"/>
        <v>2023</v>
      </c>
    </row>
    <row r="59" spans="1:18" x14ac:dyDescent="0.2">
      <c r="A59" s="23">
        <v>45313</v>
      </c>
      <c r="B59" s="23">
        <v>45313</v>
      </c>
      <c r="C59" s="25" t="s">
        <v>398</v>
      </c>
      <c r="D59" s="20">
        <v>0</v>
      </c>
      <c r="E59" s="27">
        <v>0</v>
      </c>
      <c r="F59" s="22" t="s">
        <v>52</v>
      </c>
      <c r="G59" s="29">
        <v>21120</v>
      </c>
      <c r="H59" s="39">
        <v>45040</v>
      </c>
      <c r="I59" s="46">
        <f t="shared" si="0"/>
        <v>273</v>
      </c>
      <c r="J59" s="4" t="s">
        <v>12</v>
      </c>
      <c r="K59" s="4" t="s">
        <v>197</v>
      </c>
      <c r="L59" s="4" t="s">
        <v>223</v>
      </c>
      <c r="M59" s="7">
        <v>21120</v>
      </c>
      <c r="N59" s="10">
        <v>0</v>
      </c>
      <c r="O59" s="10">
        <v>0</v>
      </c>
      <c r="P59">
        <f t="shared" si="1"/>
        <v>1</v>
      </c>
      <c r="Q59" s="36">
        <f t="shared" si="2"/>
        <v>0</v>
      </c>
      <c r="R59">
        <f t="shared" si="3"/>
        <v>2023</v>
      </c>
    </row>
    <row r="60" spans="1:18" x14ac:dyDescent="0.2">
      <c r="A60" s="23">
        <v>45320</v>
      </c>
      <c r="B60" s="23">
        <v>45320</v>
      </c>
      <c r="C60" s="25" t="s">
        <v>398</v>
      </c>
      <c r="D60" s="20">
        <v>0</v>
      </c>
      <c r="E60" s="27">
        <v>0</v>
      </c>
      <c r="F60" s="22" t="s">
        <v>52</v>
      </c>
      <c r="G60" s="29">
        <v>15840</v>
      </c>
      <c r="H60" s="39">
        <v>45040</v>
      </c>
      <c r="I60" s="46">
        <f t="shared" si="0"/>
        <v>280</v>
      </c>
      <c r="J60" s="4" t="s">
        <v>12</v>
      </c>
      <c r="K60" s="4" t="s">
        <v>197</v>
      </c>
      <c r="L60" s="4" t="s">
        <v>223</v>
      </c>
      <c r="M60" s="7">
        <v>15840</v>
      </c>
      <c r="N60" s="10">
        <v>0</v>
      </c>
      <c r="O60" s="10">
        <v>0</v>
      </c>
      <c r="P60">
        <f t="shared" si="1"/>
        <v>1</v>
      </c>
      <c r="Q60" s="36">
        <f t="shared" si="2"/>
        <v>0</v>
      </c>
      <c r="R60">
        <f t="shared" si="3"/>
        <v>2023</v>
      </c>
    </row>
    <row r="61" spans="1:18" x14ac:dyDescent="0.2">
      <c r="A61" s="23">
        <v>45334</v>
      </c>
      <c r="B61" s="23">
        <v>45334</v>
      </c>
      <c r="C61" s="25" t="s">
        <v>398</v>
      </c>
      <c r="D61" s="20">
        <v>0</v>
      </c>
      <c r="E61" s="27">
        <v>0</v>
      </c>
      <c r="F61" s="22" t="s">
        <v>52</v>
      </c>
      <c r="G61" s="29">
        <v>21120</v>
      </c>
      <c r="H61" s="39">
        <v>45040</v>
      </c>
      <c r="I61" s="46">
        <f t="shared" si="0"/>
        <v>294</v>
      </c>
      <c r="J61" s="4" t="s">
        <v>12</v>
      </c>
      <c r="K61" s="4" t="s">
        <v>197</v>
      </c>
      <c r="L61" s="4" t="s">
        <v>223</v>
      </c>
      <c r="M61" s="7">
        <v>21120</v>
      </c>
      <c r="N61" s="10">
        <v>0</v>
      </c>
      <c r="O61" s="10">
        <v>0</v>
      </c>
      <c r="P61">
        <f t="shared" si="1"/>
        <v>1</v>
      </c>
      <c r="Q61" s="36">
        <f t="shared" si="2"/>
        <v>0</v>
      </c>
      <c r="R61">
        <f t="shared" si="3"/>
        <v>2023</v>
      </c>
    </row>
    <row r="62" spans="1:18" x14ac:dyDescent="0.2">
      <c r="A62" s="23">
        <v>45341</v>
      </c>
      <c r="B62" s="23">
        <v>45341</v>
      </c>
      <c r="C62" s="25" t="s">
        <v>398</v>
      </c>
      <c r="D62" s="20">
        <v>0</v>
      </c>
      <c r="E62" s="27">
        <v>0</v>
      </c>
      <c r="F62" s="22" t="s">
        <v>52</v>
      </c>
      <c r="G62" s="29">
        <v>15840</v>
      </c>
      <c r="H62" s="39">
        <v>45040</v>
      </c>
      <c r="I62" s="46">
        <f t="shared" si="0"/>
        <v>301</v>
      </c>
      <c r="J62" s="4" t="s">
        <v>12</v>
      </c>
      <c r="K62" s="4" t="s">
        <v>197</v>
      </c>
      <c r="L62" s="4" t="s">
        <v>223</v>
      </c>
      <c r="M62" s="7">
        <v>15840</v>
      </c>
      <c r="N62" s="10">
        <v>0</v>
      </c>
      <c r="O62" s="10">
        <v>0</v>
      </c>
      <c r="P62">
        <f t="shared" si="1"/>
        <v>1</v>
      </c>
      <c r="Q62" s="36">
        <f t="shared" si="2"/>
        <v>0</v>
      </c>
      <c r="R62">
        <f t="shared" si="3"/>
        <v>2023</v>
      </c>
    </row>
    <row r="63" spans="1:18" x14ac:dyDescent="0.2">
      <c r="A63" s="23">
        <v>45348</v>
      </c>
      <c r="B63" s="23">
        <v>45348</v>
      </c>
      <c r="C63" s="25" t="s">
        <v>398</v>
      </c>
      <c r="D63" s="20">
        <v>0</v>
      </c>
      <c r="E63" s="27">
        <v>0</v>
      </c>
      <c r="F63" s="22" t="s">
        <v>52</v>
      </c>
      <c r="G63" s="29">
        <v>15840</v>
      </c>
      <c r="H63" s="39">
        <v>45040</v>
      </c>
      <c r="I63" s="46">
        <f t="shared" si="0"/>
        <v>308</v>
      </c>
      <c r="J63" s="4" t="s">
        <v>12</v>
      </c>
      <c r="K63" s="4" t="s">
        <v>197</v>
      </c>
      <c r="L63" s="4" t="s">
        <v>223</v>
      </c>
      <c r="M63" s="7">
        <v>15840</v>
      </c>
      <c r="N63" s="10">
        <v>0</v>
      </c>
      <c r="O63" s="10">
        <v>0</v>
      </c>
      <c r="P63">
        <f t="shared" si="1"/>
        <v>1</v>
      </c>
      <c r="Q63" s="36">
        <f t="shared" si="2"/>
        <v>0</v>
      </c>
      <c r="R63">
        <f t="shared" si="3"/>
        <v>2023</v>
      </c>
    </row>
    <row r="64" spans="1:18" x14ac:dyDescent="0.2">
      <c r="A64" s="23">
        <v>45355</v>
      </c>
      <c r="B64" s="23">
        <v>45355</v>
      </c>
      <c r="C64" s="25" t="s">
        <v>398</v>
      </c>
      <c r="D64" s="20">
        <v>0</v>
      </c>
      <c r="E64" s="27">
        <v>0</v>
      </c>
      <c r="F64" s="22" t="s">
        <v>52</v>
      </c>
      <c r="G64" s="29">
        <v>26400</v>
      </c>
      <c r="H64" s="39">
        <v>45040</v>
      </c>
      <c r="I64" s="46">
        <f t="shared" si="0"/>
        <v>315</v>
      </c>
      <c r="J64" s="4" t="s">
        <v>12</v>
      </c>
      <c r="K64" s="4" t="s">
        <v>197</v>
      </c>
      <c r="L64" s="4" t="s">
        <v>223</v>
      </c>
      <c r="M64" s="7">
        <v>26400</v>
      </c>
      <c r="N64" s="10">
        <v>0</v>
      </c>
      <c r="O64" s="10">
        <v>0</v>
      </c>
      <c r="P64">
        <f t="shared" si="1"/>
        <v>1</v>
      </c>
      <c r="Q64" s="36">
        <f t="shared" si="2"/>
        <v>0</v>
      </c>
      <c r="R64">
        <f t="shared" si="3"/>
        <v>2023</v>
      </c>
    </row>
    <row r="65" spans="1:18" x14ac:dyDescent="0.2">
      <c r="A65" s="23">
        <v>45362</v>
      </c>
      <c r="B65" s="23">
        <v>45362</v>
      </c>
      <c r="C65" s="25" t="s">
        <v>398</v>
      </c>
      <c r="D65" s="20">
        <v>0</v>
      </c>
      <c r="E65" s="27">
        <v>0</v>
      </c>
      <c r="F65" s="22" t="s">
        <v>52</v>
      </c>
      <c r="G65" s="29">
        <v>26400</v>
      </c>
      <c r="H65" s="39">
        <v>45040</v>
      </c>
      <c r="I65" s="46">
        <f t="shared" si="0"/>
        <v>322</v>
      </c>
      <c r="J65" s="4" t="s">
        <v>12</v>
      </c>
      <c r="K65" s="4" t="s">
        <v>197</v>
      </c>
      <c r="L65" s="4" t="s">
        <v>223</v>
      </c>
      <c r="M65" s="7">
        <v>26400</v>
      </c>
      <c r="N65" s="10">
        <v>0</v>
      </c>
      <c r="O65" s="10">
        <v>0</v>
      </c>
      <c r="P65">
        <f t="shared" si="1"/>
        <v>1</v>
      </c>
      <c r="Q65" s="36">
        <f t="shared" si="2"/>
        <v>0</v>
      </c>
      <c r="R65">
        <f t="shared" si="3"/>
        <v>2023</v>
      </c>
    </row>
    <row r="66" spans="1:18" x14ac:dyDescent="0.2">
      <c r="A66" s="23">
        <v>45369</v>
      </c>
      <c r="B66" s="23">
        <v>45369</v>
      </c>
      <c r="C66" s="25" t="s">
        <v>398</v>
      </c>
      <c r="D66" s="20">
        <v>0</v>
      </c>
      <c r="E66" s="27">
        <v>0</v>
      </c>
      <c r="F66" s="22" t="s">
        <v>52</v>
      </c>
      <c r="G66" s="29">
        <v>26400</v>
      </c>
      <c r="H66" s="39">
        <v>45040</v>
      </c>
      <c r="I66" s="46">
        <f t="shared" si="0"/>
        <v>329</v>
      </c>
      <c r="J66" s="4" t="s">
        <v>12</v>
      </c>
      <c r="K66" s="4" t="s">
        <v>197</v>
      </c>
      <c r="L66" s="4" t="s">
        <v>223</v>
      </c>
      <c r="M66" s="7">
        <v>26400</v>
      </c>
      <c r="N66" s="10">
        <v>0</v>
      </c>
      <c r="O66" s="10">
        <v>0</v>
      </c>
      <c r="P66">
        <f t="shared" si="1"/>
        <v>1</v>
      </c>
      <c r="Q66" s="36">
        <f t="shared" si="2"/>
        <v>0</v>
      </c>
      <c r="R66">
        <f t="shared" si="3"/>
        <v>2023</v>
      </c>
    </row>
    <row r="67" spans="1:18" x14ac:dyDescent="0.2">
      <c r="A67" s="23">
        <v>45376</v>
      </c>
      <c r="B67" s="23">
        <v>45376</v>
      </c>
      <c r="C67" s="25" t="s">
        <v>398</v>
      </c>
      <c r="D67" s="20">
        <v>0</v>
      </c>
      <c r="E67" s="27">
        <v>0</v>
      </c>
      <c r="F67" s="22" t="s">
        <v>52</v>
      </c>
      <c r="G67" s="29">
        <v>26400</v>
      </c>
      <c r="H67" s="39">
        <v>45040</v>
      </c>
      <c r="I67" s="46">
        <f t="shared" ref="I67:I130" si="4">IFERROR(A67-H67,"")*1</f>
        <v>336</v>
      </c>
      <c r="J67" s="4" t="s">
        <v>12</v>
      </c>
      <c r="K67" s="4" t="s">
        <v>197</v>
      </c>
      <c r="L67" s="4" t="s">
        <v>223</v>
      </c>
      <c r="M67" s="7">
        <v>26400</v>
      </c>
      <c r="N67" s="10">
        <v>0</v>
      </c>
      <c r="O67" s="10">
        <v>0</v>
      </c>
      <c r="P67">
        <f t="shared" ref="P67:P130" si="5">IF(M67=G67,1,0)</f>
        <v>1</v>
      </c>
      <c r="Q67" s="36">
        <f t="shared" ref="Q67:Q130" si="6">N67*G67</f>
        <v>0</v>
      </c>
      <c r="R67">
        <f t="shared" ref="R67:R130" si="7">YEAR(H67)</f>
        <v>2023</v>
      </c>
    </row>
    <row r="68" spans="1:18" x14ac:dyDescent="0.2">
      <c r="A68" s="23">
        <v>45383</v>
      </c>
      <c r="B68" s="23">
        <v>45383</v>
      </c>
      <c r="C68" s="25" t="s">
        <v>398</v>
      </c>
      <c r="D68" s="20">
        <v>0</v>
      </c>
      <c r="E68" s="27">
        <v>0</v>
      </c>
      <c r="F68" s="22" t="s">
        <v>52</v>
      </c>
      <c r="G68" s="29">
        <v>26400</v>
      </c>
      <c r="H68" s="39">
        <v>45040</v>
      </c>
      <c r="I68" s="46">
        <f t="shared" si="4"/>
        <v>343</v>
      </c>
      <c r="J68" s="4" t="s">
        <v>12</v>
      </c>
      <c r="K68" s="4" t="s">
        <v>197</v>
      </c>
      <c r="L68" s="4" t="s">
        <v>223</v>
      </c>
      <c r="M68" s="7">
        <v>26400</v>
      </c>
      <c r="N68" s="10">
        <v>0</v>
      </c>
      <c r="O68" s="10">
        <v>0</v>
      </c>
      <c r="P68">
        <f t="shared" si="5"/>
        <v>1</v>
      </c>
      <c r="Q68" s="36">
        <f t="shared" si="6"/>
        <v>0</v>
      </c>
      <c r="R68">
        <f t="shared" si="7"/>
        <v>2023</v>
      </c>
    </row>
    <row r="69" spans="1:18" x14ac:dyDescent="0.2">
      <c r="A69" s="23">
        <v>45390</v>
      </c>
      <c r="B69" s="23">
        <v>45390</v>
      </c>
      <c r="C69" s="25" t="s">
        <v>398</v>
      </c>
      <c r="D69" s="20">
        <v>0</v>
      </c>
      <c r="E69" s="27">
        <v>0</v>
      </c>
      <c r="F69" s="22" t="s">
        <v>52</v>
      </c>
      <c r="G69" s="29">
        <v>26400</v>
      </c>
      <c r="H69" s="39">
        <v>45040</v>
      </c>
      <c r="I69" s="46">
        <f t="shared" si="4"/>
        <v>350</v>
      </c>
      <c r="J69" s="4" t="s">
        <v>12</v>
      </c>
      <c r="K69" s="4" t="s">
        <v>197</v>
      </c>
      <c r="L69" s="4" t="s">
        <v>223</v>
      </c>
      <c r="M69" s="7">
        <v>26400</v>
      </c>
      <c r="N69" s="10">
        <v>0</v>
      </c>
      <c r="O69" s="10">
        <v>0</v>
      </c>
      <c r="P69">
        <f t="shared" si="5"/>
        <v>1</v>
      </c>
      <c r="Q69" s="36">
        <f t="shared" si="6"/>
        <v>0</v>
      </c>
      <c r="R69">
        <f t="shared" si="7"/>
        <v>2023</v>
      </c>
    </row>
    <row r="70" spans="1:18" x14ac:dyDescent="0.2">
      <c r="A70" s="23">
        <v>45397</v>
      </c>
      <c r="B70" s="23">
        <v>45397</v>
      </c>
      <c r="C70" s="25" t="s">
        <v>398</v>
      </c>
      <c r="D70" s="20">
        <v>0</v>
      </c>
      <c r="E70" s="27">
        <v>0</v>
      </c>
      <c r="F70" s="22" t="s">
        <v>52</v>
      </c>
      <c r="G70" s="29">
        <v>26400</v>
      </c>
      <c r="H70" s="39">
        <v>45040</v>
      </c>
      <c r="I70" s="46">
        <f t="shared" si="4"/>
        <v>357</v>
      </c>
      <c r="J70" s="4" t="s">
        <v>12</v>
      </c>
      <c r="K70" s="4" t="s">
        <v>197</v>
      </c>
      <c r="L70" s="4" t="s">
        <v>223</v>
      </c>
      <c r="M70" s="7">
        <v>26400</v>
      </c>
      <c r="N70" s="10">
        <v>0</v>
      </c>
      <c r="O70" s="10">
        <v>0</v>
      </c>
      <c r="P70">
        <f t="shared" si="5"/>
        <v>1</v>
      </c>
      <c r="Q70" s="36">
        <f t="shared" si="6"/>
        <v>0</v>
      </c>
      <c r="R70">
        <f t="shared" si="7"/>
        <v>2023</v>
      </c>
    </row>
    <row r="71" spans="1:18" x14ac:dyDescent="0.2">
      <c r="A71" s="23">
        <v>45404</v>
      </c>
      <c r="B71" s="23">
        <v>45404</v>
      </c>
      <c r="C71" s="25" t="s">
        <v>398</v>
      </c>
      <c r="D71" s="20">
        <v>0</v>
      </c>
      <c r="E71" s="27">
        <v>0</v>
      </c>
      <c r="F71" s="22" t="s">
        <v>52</v>
      </c>
      <c r="G71" s="29">
        <v>26400</v>
      </c>
      <c r="H71" s="39">
        <v>45040</v>
      </c>
      <c r="I71" s="46">
        <f t="shared" si="4"/>
        <v>364</v>
      </c>
      <c r="J71" s="4" t="s">
        <v>12</v>
      </c>
      <c r="K71" s="4" t="s">
        <v>197</v>
      </c>
      <c r="L71" s="4" t="s">
        <v>223</v>
      </c>
      <c r="M71" s="7">
        <v>26400</v>
      </c>
      <c r="N71" s="10">
        <v>0</v>
      </c>
      <c r="O71" s="10">
        <v>0</v>
      </c>
      <c r="P71">
        <f t="shared" si="5"/>
        <v>1</v>
      </c>
      <c r="Q71" s="36">
        <f t="shared" si="6"/>
        <v>0</v>
      </c>
      <c r="R71">
        <f t="shared" si="7"/>
        <v>2023</v>
      </c>
    </row>
    <row r="72" spans="1:18" x14ac:dyDescent="0.2">
      <c r="A72" s="23">
        <v>45411</v>
      </c>
      <c r="B72" s="23">
        <v>45411</v>
      </c>
      <c r="C72" s="25" t="s">
        <v>398</v>
      </c>
      <c r="D72" s="20">
        <v>0</v>
      </c>
      <c r="E72" s="27">
        <v>0</v>
      </c>
      <c r="F72" s="22" t="s">
        <v>52</v>
      </c>
      <c r="G72" s="29">
        <v>26400</v>
      </c>
      <c r="H72" s="39">
        <v>45040</v>
      </c>
      <c r="I72" s="46">
        <f t="shared" si="4"/>
        <v>371</v>
      </c>
      <c r="J72" s="4" t="s">
        <v>12</v>
      </c>
      <c r="K72" s="4" t="s">
        <v>197</v>
      </c>
      <c r="L72" s="4" t="s">
        <v>223</v>
      </c>
      <c r="M72" s="7">
        <v>26400</v>
      </c>
      <c r="N72" s="10">
        <v>0</v>
      </c>
      <c r="O72" s="10">
        <v>0</v>
      </c>
      <c r="P72">
        <f t="shared" si="5"/>
        <v>1</v>
      </c>
      <c r="Q72" s="36">
        <f t="shared" si="6"/>
        <v>0</v>
      </c>
      <c r="R72">
        <f t="shared" si="7"/>
        <v>2023</v>
      </c>
    </row>
    <row r="73" spans="1:18" x14ac:dyDescent="0.2">
      <c r="A73" s="23">
        <v>45418</v>
      </c>
      <c r="B73" s="23">
        <v>45418</v>
      </c>
      <c r="C73" s="25" t="s">
        <v>398</v>
      </c>
      <c r="D73" s="20">
        <v>0</v>
      </c>
      <c r="E73" s="27">
        <v>0</v>
      </c>
      <c r="F73" s="22" t="s">
        <v>52</v>
      </c>
      <c r="G73" s="29">
        <v>21120</v>
      </c>
      <c r="H73" s="39">
        <v>45040</v>
      </c>
      <c r="I73" s="46">
        <f t="shared" si="4"/>
        <v>378</v>
      </c>
      <c r="J73" s="4" t="s">
        <v>12</v>
      </c>
      <c r="K73" s="4" t="s">
        <v>197</v>
      </c>
      <c r="L73" s="4" t="s">
        <v>223</v>
      </c>
      <c r="M73" s="7">
        <v>21120</v>
      </c>
      <c r="N73" s="10">
        <v>0</v>
      </c>
      <c r="O73" s="10">
        <v>0</v>
      </c>
      <c r="P73">
        <f t="shared" si="5"/>
        <v>1</v>
      </c>
      <c r="Q73" s="36">
        <f t="shared" si="6"/>
        <v>0</v>
      </c>
      <c r="R73">
        <f t="shared" si="7"/>
        <v>2023</v>
      </c>
    </row>
    <row r="74" spans="1:18" x14ac:dyDescent="0.2">
      <c r="A74" s="23">
        <v>45425</v>
      </c>
      <c r="B74" s="23">
        <v>45425</v>
      </c>
      <c r="C74" s="25" t="s">
        <v>398</v>
      </c>
      <c r="D74" s="20">
        <v>0</v>
      </c>
      <c r="E74" s="27">
        <v>0</v>
      </c>
      <c r="F74" s="22" t="s">
        <v>52</v>
      </c>
      <c r="G74" s="29">
        <v>26400</v>
      </c>
      <c r="H74" s="39">
        <v>45040</v>
      </c>
      <c r="I74" s="46">
        <f t="shared" si="4"/>
        <v>385</v>
      </c>
      <c r="J74" s="4" t="s">
        <v>12</v>
      </c>
      <c r="K74" s="4" t="s">
        <v>197</v>
      </c>
      <c r="L74" s="4" t="s">
        <v>223</v>
      </c>
      <c r="M74" s="7">
        <v>26400</v>
      </c>
      <c r="N74" s="10">
        <v>0</v>
      </c>
      <c r="O74" s="10">
        <v>0</v>
      </c>
      <c r="P74">
        <f t="shared" si="5"/>
        <v>1</v>
      </c>
      <c r="Q74" s="36">
        <f t="shared" si="6"/>
        <v>0</v>
      </c>
      <c r="R74">
        <f t="shared" si="7"/>
        <v>2023</v>
      </c>
    </row>
    <row r="75" spans="1:18" x14ac:dyDescent="0.2">
      <c r="A75" s="23">
        <v>45432</v>
      </c>
      <c r="B75" s="23">
        <v>45432</v>
      </c>
      <c r="C75" s="25" t="s">
        <v>398</v>
      </c>
      <c r="D75" s="20">
        <v>0</v>
      </c>
      <c r="E75" s="27">
        <v>0</v>
      </c>
      <c r="F75" s="22" t="s">
        <v>52</v>
      </c>
      <c r="G75" s="29">
        <v>21120</v>
      </c>
      <c r="H75" s="39">
        <v>45040</v>
      </c>
      <c r="I75" s="46">
        <f t="shared" si="4"/>
        <v>392</v>
      </c>
      <c r="J75" s="4" t="s">
        <v>12</v>
      </c>
      <c r="K75" s="4" t="s">
        <v>197</v>
      </c>
      <c r="L75" s="4" t="s">
        <v>223</v>
      </c>
      <c r="M75" s="7">
        <v>21120</v>
      </c>
      <c r="N75" s="10">
        <v>0</v>
      </c>
      <c r="O75" s="10">
        <v>0</v>
      </c>
      <c r="P75">
        <f t="shared" si="5"/>
        <v>1</v>
      </c>
      <c r="Q75" s="36">
        <f t="shared" si="6"/>
        <v>0</v>
      </c>
      <c r="R75">
        <f t="shared" si="7"/>
        <v>2023</v>
      </c>
    </row>
    <row r="76" spans="1:18" x14ac:dyDescent="0.2">
      <c r="A76" s="23">
        <v>45439</v>
      </c>
      <c r="B76" s="23">
        <v>45439</v>
      </c>
      <c r="C76" s="25" t="s">
        <v>398</v>
      </c>
      <c r="D76" s="20">
        <v>0</v>
      </c>
      <c r="E76" s="27">
        <v>0</v>
      </c>
      <c r="F76" s="22" t="s">
        <v>52</v>
      </c>
      <c r="G76" s="29">
        <v>21120</v>
      </c>
      <c r="H76" s="39">
        <v>45040</v>
      </c>
      <c r="I76" s="46">
        <f t="shared" si="4"/>
        <v>399</v>
      </c>
      <c r="J76" s="4" t="s">
        <v>12</v>
      </c>
      <c r="K76" s="4" t="s">
        <v>197</v>
      </c>
      <c r="L76" s="4" t="s">
        <v>223</v>
      </c>
      <c r="M76" s="7">
        <v>21120</v>
      </c>
      <c r="N76" s="10">
        <v>0</v>
      </c>
      <c r="O76" s="10">
        <v>0</v>
      </c>
      <c r="P76">
        <f t="shared" si="5"/>
        <v>1</v>
      </c>
      <c r="Q76" s="36">
        <f t="shared" si="6"/>
        <v>0</v>
      </c>
      <c r="R76">
        <f t="shared" si="7"/>
        <v>2023</v>
      </c>
    </row>
    <row r="77" spans="1:18" x14ac:dyDescent="0.2">
      <c r="A77" s="23">
        <v>45446</v>
      </c>
      <c r="B77" s="23">
        <v>45446</v>
      </c>
      <c r="C77" s="25" t="s">
        <v>398</v>
      </c>
      <c r="D77" s="20">
        <v>0</v>
      </c>
      <c r="E77" s="27">
        <v>0</v>
      </c>
      <c r="F77" s="22" t="s">
        <v>52</v>
      </c>
      <c r="G77" s="29">
        <v>21120</v>
      </c>
      <c r="H77" s="39">
        <v>45040</v>
      </c>
      <c r="I77" s="46">
        <f t="shared" si="4"/>
        <v>406</v>
      </c>
      <c r="J77" s="4" t="s">
        <v>12</v>
      </c>
      <c r="K77" s="4" t="s">
        <v>197</v>
      </c>
      <c r="L77" s="4" t="s">
        <v>223</v>
      </c>
      <c r="M77" s="7">
        <v>21120</v>
      </c>
      <c r="N77" s="10">
        <v>0</v>
      </c>
      <c r="O77" s="10">
        <v>0</v>
      </c>
      <c r="P77">
        <f t="shared" si="5"/>
        <v>1</v>
      </c>
      <c r="Q77" s="36">
        <f t="shared" si="6"/>
        <v>0</v>
      </c>
      <c r="R77">
        <f t="shared" si="7"/>
        <v>2023</v>
      </c>
    </row>
    <row r="78" spans="1:18" x14ac:dyDescent="0.2">
      <c r="A78" s="23">
        <v>45453</v>
      </c>
      <c r="B78" s="23">
        <v>45453</v>
      </c>
      <c r="C78" s="25" t="s">
        <v>398</v>
      </c>
      <c r="D78" s="20">
        <v>0</v>
      </c>
      <c r="E78" s="27">
        <v>0</v>
      </c>
      <c r="F78" s="22" t="s">
        <v>52</v>
      </c>
      <c r="G78" s="29">
        <v>21120</v>
      </c>
      <c r="H78" s="39">
        <v>45040</v>
      </c>
      <c r="I78" s="46">
        <f t="shared" si="4"/>
        <v>413</v>
      </c>
      <c r="J78" s="4" t="s">
        <v>12</v>
      </c>
      <c r="K78" s="4" t="s">
        <v>197</v>
      </c>
      <c r="L78" s="4" t="s">
        <v>223</v>
      </c>
      <c r="M78" s="7">
        <v>21120</v>
      </c>
      <c r="N78" s="10">
        <v>0</v>
      </c>
      <c r="O78" s="10">
        <v>0</v>
      </c>
      <c r="P78">
        <f t="shared" si="5"/>
        <v>1</v>
      </c>
      <c r="Q78" s="36">
        <f t="shared" si="6"/>
        <v>0</v>
      </c>
      <c r="R78">
        <f t="shared" si="7"/>
        <v>2023</v>
      </c>
    </row>
    <row r="79" spans="1:18" x14ac:dyDescent="0.2">
      <c r="A79" s="23">
        <v>45467</v>
      </c>
      <c r="B79" s="23">
        <v>45467</v>
      </c>
      <c r="C79" s="25" t="s">
        <v>398</v>
      </c>
      <c r="D79" s="20">
        <v>0</v>
      </c>
      <c r="E79" s="27">
        <v>0</v>
      </c>
      <c r="F79" s="22" t="s">
        <v>52</v>
      </c>
      <c r="G79" s="29">
        <v>10560</v>
      </c>
      <c r="H79" s="39">
        <v>45040</v>
      </c>
      <c r="I79" s="46">
        <f t="shared" si="4"/>
        <v>427</v>
      </c>
      <c r="J79" s="4" t="s">
        <v>12</v>
      </c>
      <c r="K79" s="4" t="s">
        <v>197</v>
      </c>
      <c r="L79" s="4" t="s">
        <v>223</v>
      </c>
      <c r="M79" s="7">
        <v>10560</v>
      </c>
      <c r="N79" s="10">
        <v>0</v>
      </c>
      <c r="O79" s="10">
        <v>0</v>
      </c>
      <c r="P79">
        <f t="shared" si="5"/>
        <v>1</v>
      </c>
      <c r="Q79" s="36">
        <f t="shared" si="6"/>
        <v>0</v>
      </c>
      <c r="R79">
        <f t="shared" si="7"/>
        <v>2023</v>
      </c>
    </row>
    <row r="80" spans="1:18" x14ac:dyDescent="0.2">
      <c r="A80" s="23">
        <v>45474</v>
      </c>
      <c r="B80" s="23">
        <v>45474</v>
      </c>
      <c r="C80" s="25" t="s">
        <v>398</v>
      </c>
      <c r="D80" s="20">
        <v>0</v>
      </c>
      <c r="E80" s="27">
        <v>0</v>
      </c>
      <c r="F80" s="22" t="s">
        <v>52</v>
      </c>
      <c r="G80" s="29">
        <v>10560</v>
      </c>
      <c r="H80" s="39">
        <v>45040</v>
      </c>
      <c r="I80" s="46">
        <f t="shared" si="4"/>
        <v>434</v>
      </c>
      <c r="J80" s="4" t="s">
        <v>12</v>
      </c>
      <c r="K80" s="4" t="s">
        <v>197</v>
      </c>
      <c r="L80" s="4" t="s">
        <v>223</v>
      </c>
      <c r="M80" s="7">
        <v>10560</v>
      </c>
      <c r="N80" s="10">
        <v>0</v>
      </c>
      <c r="O80" s="10">
        <v>0</v>
      </c>
      <c r="P80">
        <f t="shared" si="5"/>
        <v>1</v>
      </c>
      <c r="Q80" s="36">
        <f t="shared" si="6"/>
        <v>0</v>
      </c>
      <c r="R80">
        <f t="shared" si="7"/>
        <v>2023</v>
      </c>
    </row>
    <row r="81" spans="1:18" x14ac:dyDescent="0.2">
      <c r="A81" s="23">
        <v>45481</v>
      </c>
      <c r="B81" s="23">
        <v>45481</v>
      </c>
      <c r="C81" s="25" t="s">
        <v>398</v>
      </c>
      <c r="D81" s="20">
        <v>0</v>
      </c>
      <c r="E81" s="27">
        <v>0</v>
      </c>
      <c r="F81" s="22" t="s">
        <v>52</v>
      </c>
      <c r="G81" s="29">
        <v>15840</v>
      </c>
      <c r="H81" s="39">
        <v>45040</v>
      </c>
      <c r="I81" s="46">
        <f t="shared" si="4"/>
        <v>441</v>
      </c>
      <c r="J81" s="4" t="s">
        <v>12</v>
      </c>
      <c r="K81" s="4" t="s">
        <v>197</v>
      </c>
      <c r="L81" s="4" t="s">
        <v>223</v>
      </c>
      <c r="M81" s="7">
        <v>15840</v>
      </c>
      <c r="N81" s="10">
        <v>0</v>
      </c>
      <c r="O81" s="10">
        <v>0</v>
      </c>
      <c r="P81">
        <f t="shared" si="5"/>
        <v>1</v>
      </c>
      <c r="Q81" s="36">
        <f t="shared" si="6"/>
        <v>0</v>
      </c>
      <c r="R81">
        <f t="shared" si="7"/>
        <v>2023</v>
      </c>
    </row>
    <row r="82" spans="1:18" x14ac:dyDescent="0.2">
      <c r="A82" s="23">
        <v>45488</v>
      </c>
      <c r="B82" s="23">
        <v>45488</v>
      </c>
      <c r="C82" s="25" t="s">
        <v>398</v>
      </c>
      <c r="D82" s="20">
        <v>0</v>
      </c>
      <c r="E82" s="27">
        <v>0</v>
      </c>
      <c r="F82" s="22" t="s">
        <v>52</v>
      </c>
      <c r="G82" s="29">
        <v>10560</v>
      </c>
      <c r="H82" s="39">
        <v>45040</v>
      </c>
      <c r="I82" s="46">
        <f t="shared" si="4"/>
        <v>448</v>
      </c>
      <c r="J82" s="4" t="s">
        <v>12</v>
      </c>
      <c r="K82" s="4" t="s">
        <v>197</v>
      </c>
      <c r="L82" s="4" t="s">
        <v>223</v>
      </c>
      <c r="M82" s="7">
        <v>10560</v>
      </c>
      <c r="N82" s="10">
        <v>0</v>
      </c>
      <c r="O82" s="10">
        <v>0</v>
      </c>
      <c r="P82">
        <f t="shared" si="5"/>
        <v>1</v>
      </c>
      <c r="Q82" s="36">
        <f t="shared" si="6"/>
        <v>0</v>
      </c>
      <c r="R82">
        <f t="shared" si="7"/>
        <v>2023</v>
      </c>
    </row>
    <row r="83" spans="1:18" x14ac:dyDescent="0.2">
      <c r="A83" s="23">
        <v>45495</v>
      </c>
      <c r="B83" s="23">
        <v>45495</v>
      </c>
      <c r="C83" s="25" t="s">
        <v>398</v>
      </c>
      <c r="D83" s="20">
        <v>0</v>
      </c>
      <c r="E83" s="27">
        <v>0</v>
      </c>
      <c r="F83" s="22" t="s">
        <v>52</v>
      </c>
      <c r="G83" s="29">
        <v>10560</v>
      </c>
      <c r="H83" s="39">
        <v>45040</v>
      </c>
      <c r="I83" s="46">
        <f t="shared" si="4"/>
        <v>455</v>
      </c>
      <c r="J83" s="4" t="s">
        <v>12</v>
      </c>
      <c r="K83" s="4" t="s">
        <v>197</v>
      </c>
      <c r="L83" s="4" t="s">
        <v>223</v>
      </c>
      <c r="M83" s="7">
        <v>10560</v>
      </c>
      <c r="N83" s="10">
        <v>0</v>
      </c>
      <c r="O83" s="10">
        <v>0</v>
      </c>
      <c r="P83">
        <f t="shared" si="5"/>
        <v>1</v>
      </c>
      <c r="Q83" s="36">
        <f t="shared" si="6"/>
        <v>0</v>
      </c>
      <c r="R83">
        <f t="shared" si="7"/>
        <v>2023</v>
      </c>
    </row>
    <row r="84" spans="1:18" x14ac:dyDescent="0.2">
      <c r="A84" s="23">
        <v>45502</v>
      </c>
      <c r="B84" s="23">
        <v>45502</v>
      </c>
      <c r="C84" s="25" t="s">
        <v>398</v>
      </c>
      <c r="D84" s="20">
        <v>0</v>
      </c>
      <c r="E84" s="27">
        <v>0</v>
      </c>
      <c r="F84" s="22" t="s">
        <v>52</v>
      </c>
      <c r="G84" s="29">
        <v>10560</v>
      </c>
      <c r="H84" s="39">
        <v>45040</v>
      </c>
      <c r="I84" s="46">
        <f t="shared" si="4"/>
        <v>462</v>
      </c>
      <c r="J84" s="4" t="s">
        <v>12</v>
      </c>
      <c r="K84" s="4" t="s">
        <v>197</v>
      </c>
      <c r="L84" s="4" t="s">
        <v>223</v>
      </c>
      <c r="M84" s="7">
        <v>10560</v>
      </c>
      <c r="N84" s="10">
        <v>0</v>
      </c>
      <c r="O84" s="10">
        <v>0</v>
      </c>
      <c r="P84">
        <f t="shared" si="5"/>
        <v>1</v>
      </c>
      <c r="Q84" s="36">
        <f t="shared" si="6"/>
        <v>0</v>
      </c>
      <c r="R84">
        <f t="shared" si="7"/>
        <v>2023</v>
      </c>
    </row>
    <row r="85" spans="1:18" x14ac:dyDescent="0.2">
      <c r="A85" s="23">
        <v>45509</v>
      </c>
      <c r="B85" s="23">
        <v>45509</v>
      </c>
      <c r="C85" s="25" t="s">
        <v>398</v>
      </c>
      <c r="D85" s="20">
        <v>0</v>
      </c>
      <c r="E85" s="27">
        <v>0</v>
      </c>
      <c r="F85" s="22" t="s">
        <v>52</v>
      </c>
      <c r="G85" s="29">
        <v>10560</v>
      </c>
      <c r="H85" s="39">
        <v>45040</v>
      </c>
      <c r="I85" s="46">
        <f t="shared" si="4"/>
        <v>469</v>
      </c>
      <c r="J85" s="4" t="s">
        <v>12</v>
      </c>
      <c r="K85" s="4" t="s">
        <v>197</v>
      </c>
      <c r="L85" s="4" t="s">
        <v>223</v>
      </c>
      <c r="M85" s="7">
        <v>10560</v>
      </c>
      <c r="N85" s="10">
        <v>0</v>
      </c>
      <c r="O85" s="10">
        <v>0</v>
      </c>
      <c r="P85">
        <f t="shared" si="5"/>
        <v>1</v>
      </c>
      <c r="Q85" s="36">
        <f t="shared" si="6"/>
        <v>0</v>
      </c>
      <c r="R85">
        <f t="shared" si="7"/>
        <v>2023</v>
      </c>
    </row>
    <row r="86" spans="1:18" x14ac:dyDescent="0.2">
      <c r="A86" s="23">
        <v>45516</v>
      </c>
      <c r="B86" s="23">
        <v>45516</v>
      </c>
      <c r="C86" s="25" t="s">
        <v>398</v>
      </c>
      <c r="D86" s="20">
        <v>0</v>
      </c>
      <c r="E86" s="27">
        <v>0</v>
      </c>
      <c r="F86" s="22" t="s">
        <v>52</v>
      </c>
      <c r="G86" s="29">
        <v>10560</v>
      </c>
      <c r="H86" s="39">
        <v>45040</v>
      </c>
      <c r="I86" s="46">
        <f t="shared" si="4"/>
        <v>476</v>
      </c>
      <c r="J86" s="4" t="s">
        <v>12</v>
      </c>
      <c r="K86" s="4" t="s">
        <v>197</v>
      </c>
      <c r="L86" s="4" t="s">
        <v>223</v>
      </c>
      <c r="M86" s="7">
        <v>10560</v>
      </c>
      <c r="N86" s="10">
        <v>0</v>
      </c>
      <c r="O86" s="10">
        <v>0</v>
      </c>
      <c r="P86">
        <f t="shared" si="5"/>
        <v>1</v>
      </c>
      <c r="Q86" s="36">
        <f t="shared" si="6"/>
        <v>0</v>
      </c>
      <c r="R86">
        <f t="shared" si="7"/>
        <v>2023</v>
      </c>
    </row>
    <row r="87" spans="1:18" x14ac:dyDescent="0.2">
      <c r="A87" s="23">
        <v>45523</v>
      </c>
      <c r="B87" s="23">
        <v>45523</v>
      </c>
      <c r="C87" s="25" t="s">
        <v>398</v>
      </c>
      <c r="D87" s="20">
        <v>0</v>
      </c>
      <c r="E87" s="27">
        <v>0</v>
      </c>
      <c r="F87" s="22" t="s">
        <v>52</v>
      </c>
      <c r="G87" s="29">
        <v>10560</v>
      </c>
      <c r="H87" s="39">
        <v>45040</v>
      </c>
      <c r="I87" s="46">
        <f t="shared" si="4"/>
        <v>483</v>
      </c>
      <c r="J87" s="4" t="s">
        <v>12</v>
      </c>
      <c r="K87" s="4" t="s">
        <v>197</v>
      </c>
      <c r="L87" s="4" t="s">
        <v>223</v>
      </c>
      <c r="M87" s="7">
        <v>10560</v>
      </c>
      <c r="N87" s="10">
        <v>0</v>
      </c>
      <c r="O87" s="10">
        <v>0</v>
      </c>
      <c r="P87">
        <f t="shared" si="5"/>
        <v>1</v>
      </c>
      <c r="Q87" s="36">
        <f t="shared" si="6"/>
        <v>0</v>
      </c>
      <c r="R87">
        <f t="shared" si="7"/>
        <v>2023</v>
      </c>
    </row>
    <row r="88" spans="1:18" x14ac:dyDescent="0.2">
      <c r="A88" s="23">
        <v>45530</v>
      </c>
      <c r="B88" s="23">
        <v>45530</v>
      </c>
      <c r="C88" s="25" t="s">
        <v>398</v>
      </c>
      <c r="D88" s="20">
        <v>0</v>
      </c>
      <c r="E88" s="27">
        <v>0</v>
      </c>
      <c r="F88" s="22" t="s">
        <v>52</v>
      </c>
      <c r="G88" s="29">
        <v>10560</v>
      </c>
      <c r="H88" s="39">
        <v>45040</v>
      </c>
      <c r="I88" s="46">
        <f t="shared" si="4"/>
        <v>490</v>
      </c>
      <c r="J88" s="4" t="s">
        <v>12</v>
      </c>
      <c r="K88" s="4" t="s">
        <v>197</v>
      </c>
      <c r="L88" s="4" t="s">
        <v>223</v>
      </c>
      <c r="M88" s="7">
        <v>10560</v>
      </c>
      <c r="N88" s="10">
        <v>0</v>
      </c>
      <c r="O88" s="10">
        <v>0</v>
      </c>
      <c r="P88">
        <f t="shared" si="5"/>
        <v>1</v>
      </c>
      <c r="Q88" s="36">
        <f t="shared" si="6"/>
        <v>0</v>
      </c>
      <c r="R88">
        <f t="shared" si="7"/>
        <v>2023</v>
      </c>
    </row>
    <row r="89" spans="1:18" x14ac:dyDescent="0.2">
      <c r="A89" s="23">
        <v>45537</v>
      </c>
      <c r="B89" s="23">
        <v>45537</v>
      </c>
      <c r="C89" s="25" t="s">
        <v>398</v>
      </c>
      <c r="D89" s="20">
        <v>0</v>
      </c>
      <c r="E89" s="27">
        <v>0</v>
      </c>
      <c r="F89" s="22" t="s">
        <v>52</v>
      </c>
      <c r="G89" s="29">
        <v>10560</v>
      </c>
      <c r="H89" s="39">
        <v>45040</v>
      </c>
      <c r="I89" s="46">
        <f t="shared" si="4"/>
        <v>497</v>
      </c>
      <c r="J89" s="4" t="s">
        <v>12</v>
      </c>
      <c r="K89" s="4" t="s">
        <v>197</v>
      </c>
      <c r="L89" s="4" t="s">
        <v>223</v>
      </c>
      <c r="M89" s="7">
        <v>10560</v>
      </c>
      <c r="N89" s="10">
        <v>0</v>
      </c>
      <c r="O89" s="10">
        <v>0</v>
      </c>
      <c r="P89">
        <f t="shared" si="5"/>
        <v>1</v>
      </c>
      <c r="Q89" s="36">
        <f t="shared" si="6"/>
        <v>0</v>
      </c>
      <c r="R89">
        <f t="shared" si="7"/>
        <v>2023</v>
      </c>
    </row>
    <row r="90" spans="1:18" x14ac:dyDescent="0.2">
      <c r="A90" s="23">
        <v>45544</v>
      </c>
      <c r="B90" s="23">
        <v>45544</v>
      </c>
      <c r="C90" s="25" t="s">
        <v>398</v>
      </c>
      <c r="D90" s="20">
        <v>0</v>
      </c>
      <c r="E90" s="27">
        <v>0</v>
      </c>
      <c r="F90" s="22" t="s">
        <v>52</v>
      </c>
      <c r="G90" s="29">
        <v>15840</v>
      </c>
      <c r="H90" s="39">
        <v>45040</v>
      </c>
      <c r="I90" s="46">
        <f t="shared" si="4"/>
        <v>504</v>
      </c>
      <c r="J90" s="4" t="s">
        <v>12</v>
      </c>
      <c r="K90" s="4" t="s">
        <v>197</v>
      </c>
      <c r="L90" s="4" t="s">
        <v>223</v>
      </c>
      <c r="M90" s="7">
        <v>15840</v>
      </c>
      <c r="N90" s="10">
        <v>0</v>
      </c>
      <c r="O90" s="10">
        <v>0</v>
      </c>
      <c r="P90">
        <f t="shared" si="5"/>
        <v>1</v>
      </c>
      <c r="Q90" s="36">
        <f t="shared" si="6"/>
        <v>0</v>
      </c>
      <c r="R90">
        <f t="shared" si="7"/>
        <v>2023</v>
      </c>
    </row>
    <row r="91" spans="1:18" x14ac:dyDescent="0.2">
      <c r="A91" s="23">
        <v>45551</v>
      </c>
      <c r="B91" s="23">
        <v>45551</v>
      </c>
      <c r="C91" s="25" t="s">
        <v>398</v>
      </c>
      <c r="D91" s="20">
        <v>0</v>
      </c>
      <c r="E91" s="27">
        <v>0</v>
      </c>
      <c r="F91" s="22" t="s">
        <v>52</v>
      </c>
      <c r="G91" s="29">
        <v>10560</v>
      </c>
      <c r="H91" s="39">
        <v>45040</v>
      </c>
      <c r="I91" s="46">
        <f t="shared" si="4"/>
        <v>511</v>
      </c>
      <c r="J91" s="4" t="s">
        <v>12</v>
      </c>
      <c r="K91" s="4" t="s">
        <v>197</v>
      </c>
      <c r="L91" s="4" t="s">
        <v>223</v>
      </c>
      <c r="M91" s="7">
        <v>10560</v>
      </c>
      <c r="N91" s="10">
        <v>0</v>
      </c>
      <c r="O91" s="10">
        <v>0</v>
      </c>
      <c r="P91">
        <f t="shared" si="5"/>
        <v>1</v>
      </c>
      <c r="Q91" s="36">
        <f t="shared" si="6"/>
        <v>0</v>
      </c>
      <c r="R91">
        <f t="shared" si="7"/>
        <v>2023</v>
      </c>
    </row>
    <row r="92" spans="1:18" x14ac:dyDescent="0.2">
      <c r="A92" s="23">
        <v>45558</v>
      </c>
      <c r="B92" s="23">
        <v>45558</v>
      </c>
      <c r="C92" s="25" t="s">
        <v>398</v>
      </c>
      <c r="D92" s="20">
        <v>0</v>
      </c>
      <c r="E92" s="27">
        <v>0</v>
      </c>
      <c r="F92" s="22" t="s">
        <v>52</v>
      </c>
      <c r="G92" s="29">
        <v>10560</v>
      </c>
      <c r="H92" s="39">
        <v>45040</v>
      </c>
      <c r="I92" s="46">
        <f t="shared" si="4"/>
        <v>518</v>
      </c>
      <c r="J92" s="4" t="s">
        <v>12</v>
      </c>
      <c r="K92" s="4" t="s">
        <v>197</v>
      </c>
      <c r="L92" s="4" t="s">
        <v>223</v>
      </c>
      <c r="M92" s="7">
        <v>10560</v>
      </c>
      <c r="N92" s="10">
        <v>0</v>
      </c>
      <c r="O92" s="10">
        <v>0</v>
      </c>
      <c r="P92">
        <f t="shared" si="5"/>
        <v>1</v>
      </c>
      <c r="Q92" s="36">
        <f t="shared" si="6"/>
        <v>0</v>
      </c>
      <c r="R92">
        <f t="shared" si="7"/>
        <v>2023</v>
      </c>
    </row>
    <row r="93" spans="1:18" x14ac:dyDescent="0.2">
      <c r="A93" s="23">
        <v>45565</v>
      </c>
      <c r="B93" s="23">
        <v>45565</v>
      </c>
      <c r="C93" s="25" t="s">
        <v>398</v>
      </c>
      <c r="D93" s="20">
        <v>0</v>
      </c>
      <c r="E93" s="27">
        <v>0</v>
      </c>
      <c r="F93" s="22" t="s">
        <v>52</v>
      </c>
      <c r="G93" s="29">
        <v>15840</v>
      </c>
      <c r="H93" s="39">
        <v>45040</v>
      </c>
      <c r="I93" s="46">
        <f t="shared" si="4"/>
        <v>525</v>
      </c>
      <c r="J93" s="4" t="s">
        <v>12</v>
      </c>
      <c r="K93" s="4" t="s">
        <v>197</v>
      </c>
      <c r="L93" s="4" t="s">
        <v>223</v>
      </c>
      <c r="M93" s="7">
        <v>15840</v>
      </c>
      <c r="N93" s="10">
        <v>0</v>
      </c>
      <c r="O93" s="10">
        <v>0</v>
      </c>
      <c r="P93">
        <f t="shared" si="5"/>
        <v>1</v>
      </c>
      <c r="Q93" s="36">
        <f t="shared" si="6"/>
        <v>0</v>
      </c>
      <c r="R93">
        <f t="shared" si="7"/>
        <v>2023</v>
      </c>
    </row>
    <row r="94" spans="1:18" x14ac:dyDescent="0.2">
      <c r="A94" s="23">
        <v>45572</v>
      </c>
      <c r="B94" s="23">
        <v>45572</v>
      </c>
      <c r="C94" s="25" t="s">
        <v>398</v>
      </c>
      <c r="D94" s="20">
        <v>0</v>
      </c>
      <c r="E94" s="27">
        <v>0</v>
      </c>
      <c r="F94" s="22" t="s">
        <v>52</v>
      </c>
      <c r="G94" s="29">
        <v>10560</v>
      </c>
      <c r="H94" s="39">
        <v>45040</v>
      </c>
      <c r="I94" s="46">
        <f t="shared" si="4"/>
        <v>532</v>
      </c>
      <c r="J94" s="4" t="s">
        <v>12</v>
      </c>
      <c r="K94" s="4" t="s">
        <v>197</v>
      </c>
      <c r="L94" s="4" t="s">
        <v>223</v>
      </c>
      <c r="M94" s="7">
        <v>10560</v>
      </c>
      <c r="N94" s="10">
        <v>0</v>
      </c>
      <c r="O94" s="10">
        <v>0</v>
      </c>
      <c r="P94">
        <f t="shared" si="5"/>
        <v>1</v>
      </c>
      <c r="Q94" s="36">
        <f t="shared" si="6"/>
        <v>0</v>
      </c>
      <c r="R94">
        <f t="shared" si="7"/>
        <v>2023</v>
      </c>
    </row>
    <row r="95" spans="1:18" x14ac:dyDescent="0.2">
      <c r="A95" s="23">
        <v>45579</v>
      </c>
      <c r="B95" s="23">
        <v>45579</v>
      </c>
      <c r="C95" s="25" t="s">
        <v>398</v>
      </c>
      <c r="D95" s="20">
        <v>0</v>
      </c>
      <c r="E95" s="27">
        <v>0</v>
      </c>
      <c r="F95" s="22" t="s">
        <v>52</v>
      </c>
      <c r="G95" s="29">
        <v>10560</v>
      </c>
      <c r="H95" s="39">
        <v>45040</v>
      </c>
      <c r="I95" s="46">
        <f t="shared" si="4"/>
        <v>539</v>
      </c>
      <c r="J95" s="4" t="s">
        <v>12</v>
      </c>
      <c r="K95" s="4" t="s">
        <v>197</v>
      </c>
      <c r="L95" s="4" t="s">
        <v>223</v>
      </c>
      <c r="M95" s="7">
        <v>10560</v>
      </c>
      <c r="N95" s="10">
        <v>0</v>
      </c>
      <c r="O95" s="10">
        <v>0</v>
      </c>
      <c r="P95">
        <f t="shared" si="5"/>
        <v>1</v>
      </c>
      <c r="Q95" s="36">
        <f t="shared" si="6"/>
        <v>0</v>
      </c>
      <c r="R95">
        <f t="shared" si="7"/>
        <v>2023</v>
      </c>
    </row>
    <row r="96" spans="1:18" x14ac:dyDescent="0.2">
      <c r="A96" s="23">
        <v>45586</v>
      </c>
      <c r="B96" s="23">
        <v>45586</v>
      </c>
      <c r="C96" s="25" t="s">
        <v>398</v>
      </c>
      <c r="D96" s="20">
        <v>0</v>
      </c>
      <c r="E96" s="27">
        <v>0</v>
      </c>
      <c r="F96" s="22" t="s">
        <v>52</v>
      </c>
      <c r="G96" s="29">
        <v>26400</v>
      </c>
      <c r="H96" s="39">
        <v>45040</v>
      </c>
      <c r="I96" s="46">
        <f t="shared" si="4"/>
        <v>546</v>
      </c>
      <c r="J96" s="4" t="s">
        <v>12</v>
      </c>
      <c r="K96" s="4" t="s">
        <v>197</v>
      </c>
      <c r="L96" s="4" t="s">
        <v>223</v>
      </c>
      <c r="M96" s="7">
        <v>26400</v>
      </c>
      <c r="N96" s="10">
        <v>0</v>
      </c>
      <c r="O96" s="10">
        <v>0</v>
      </c>
      <c r="P96">
        <f t="shared" si="5"/>
        <v>1</v>
      </c>
      <c r="Q96" s="36">
        <f t="shared" si="6"/>
        <v>0</v>
      </c>
      <c r="R96">
        <f t="shared" si="7"/>
        <v>2023</v>
      </c>
    </row>
    <row r="97" spans="1:18" x14ac:dyDescent="0.2">
      <c r="A97" s="23">
        <v>45600</v>
      </c>
      <c r="B97" s="23">
        <v>45600</v>
      </c>
      <c r="C97" s="25" t="s">
        <v>398</v>
      </c>
      <c r="D97" s="20">
        <v>0</v>
      </c>
      <c r="E97" s="27">
        <v>0</v>
      </c>
      <c r="F97" s="22" t="s">
        <v>52</v>
      </c>
      <c r="G97" s="29">
        <v>10560</v>
      </c>
      <c r="H97" s="39">
        <v>45040</v>
      </c>
      <c r="I97" s="46">
        <f t="shared" si="4"/>
        <v>560</v>
      </c>
      <c r="J97" s="4" t="s">
        <v>12</v>
      </c>
      <c r="K97" s="4" t="s">
        <v>197</v>
      </c>
      <c r="L97" s="4" t="s">
        <v>223</v>
      </c>
      <c r="M97" s="7">
        <v>10560</v>
      </c>
      <c r="N97" s="10">
        <v>0</v>
      </c>
      <c r="O97" s="10">
        <v>0</v>
      </c>
      <c r="P97">
        <f t="shared" si="5"/>
        <v>1</v>
      </c>
      <c r="Q97" s="36">
        <f t="shared" si="6"/>
        <v>0</v>
      </c>
      <c r="R97">
        <f t="shared" si="7"/>
        <v>2023</v>
      </c>
    </row>
    <row r="98" spans="1:18" x14ac:dyDescent="0.2">
      <c r="A98" s="23">
        <v>45607</v>
      </c>
      <c r="B98" s="23">
        <v>45607</v>
      </c>
      <c r="C98" s="25" t="s">
        <v>398</v>
      </c>
      <c r="D98" s="20">
        <v>0</v>
      </c>
      <c r="E98" s="27">
        <v>0</v>
      </c>
      <c r="F98" s="22" t="s">
        <v>52</v>
      </c>
      <c r="G98" s="29">
        <v>5280</v>
      </c>
      <c r="H98" s="39">
        <v>45040</v>
      </c>
      <c r="I98" s="46">
        <f t="shared" si="4"/>
        <v>567</v>
      </c>
      <c r="J98" s="4" t="s">
        <v>12</v>
      </c>
      <c r="K98" s="4" t="s">
        <v>197</v>
      </c>
      <c r="L98" s="4" t="s">
        <v>223</v>
      </c>
      <c r="M98" s="7">
        <v>5280</v>
      </c>
      <c r="N98" s="10">
        <v>0</v>
      </c>
      <c r="O98" s="10">
        <v>0</v>
      </c>
      <c r="P98">
        <f t="shared" si="5"/>
        <v>1</v>
      </c>
      <c r="Q98" s="36">
        <f t="shared" si="6"/>
        <v>0</v>
      </c>
      <c r="R98">
        <f t="shared" si="7"/>
        <v>2023</v>
      </c>
    </row>
    <row r="99" spans="1:18" x14ac:dyDescent="0.2">
      <c r="A99" s="23">
        <v>45614</v>
      </c>
      <c r="B99" s="23">
        <v>45614</v>
      </c>
      <c r="C99" s="25" t="s">
        <v>398</v>
      </c>
      <c r="D99" s="20">
        <v>0</v>
      </c>
      <c r="E99" s="27">
        <v>0</v>
      </c>
      <c r="F99" s="22" t="s">
        <v>52</v>
      </c>
      <c r="G99" s="29">
        <v>10560</v>
      </c>
      <c r="H99" s="39">
        <v>45040</v>
      </c>
      <c r="I99" s="46">
        <f t="shared" si="4"/>
        <v>574</v>
      </c>
      <c r="J99" s="4" t="s">
        <v>12</v>
      </c>
      <c r="K99" s="4" t="s">
        <v>197</v>
      </c>
      <c r="L99" s="4" t="s">
        <v>223</v>
      </c>
      <c r="M99" s="7">
        <v>10560</v>
      </c>
      <c r="N99" s="10">
        <v>0</v>
      </c>
      <c r="O99" s="10">
        <v>0</v>
      </c>
      <c r="P99">
        <f t="shared" si="5"/>
        <v>1</v>
      </c>
      <c r="Q99" s="36">
        <f t="shared" si="6"/>
        <v>0</v>
      </c>
      <c r="R99">
        <f t="shared" si="7"/>
        <v>2023</v>
      </c>
    </row>
    <row r="100" spans="1:18" x14ac:dyDescent="0.2">
      <c r="A100" s="23">
        <v>45621</v>
      </c>
      <c r="B100" s="23">
        <v>45621</v>
      </c>
      <c r="C100" s="25" t="s">
        <v>398</v>
      </c>
      <c r="D100" s="20">
        <v>0</v>
      </c>
      <c r="E100" s="27">
        <v>0</v>
      </c>
      <c r="F100" s="22" t="s">
        <v>52</v>
      </c>
      <c r="G100" s="29">
        <v>10560</v>
      </c>
      <c r="H100" s="39">
        <v>45040</v>
      </c>
      <c r="I100" s="46">
        <f t="shared" si="4"/>
        <v>581</v>
      </c>
      <c r="J100" s="4" t="s">
        <v>12</v>
      </c>
      <c r="K100" s="4" t="s">
        <v>197</v>
      </c>
      <c r="L100" s="4" t="s">
        <v>223</v>
      </c>
      <c r="M100" s="7">
        <v>10560</v>
      </c>
      <c r="N100" s="10">
        <v>0</v>
      </c>
      <c r="O100" s="10">
        <v>0</v>
      </c>
      <c r="P100">
        <f t="shared" si="5"/>
        <v>1</v>
      </c>
      <c r="Q100" s="36">
        <f t="shared" si="6"/>
        <v>0</v>
      </c>
      <c r="R100">
        <f t="shared" si="7"/>
        <v>2023</v>
      </c>
    </row>
    <row r="101" spans="1:18" x14ac:dyDescent="0.2">
      <c r="A101" s="23">
        <v>45628</v>
      </c>
      <c r="B101" s="23">
        <v>45628</v>
      </c>
      <c r="C101" s="25" t="s">
        <v>398</v>
      </c>
      <c r="D101" s="20">
        <v>0</v>
      </c>
      <c r="E101" s="27">
        <v>0</v>
      </c>
      <c r="F101" s="22" t="s">
        <v>52</v>
      </c>
      <c r="G101" s="29">
        <v>15840</v>
      </c>
      <c r="H101" s="39">
        <v>45040</v>
      </c>
      <c r="I101" s="46">
        <f t="shared" si="4"/>
        <v>588</v>
      </c>
      <c r="J101" s="4" t="s">
        <v>12</v>
      </c>
      <c r="K101" s="4" t="s">
        <v>197</v>
      </c>
      <c r="L101" s="4" t="s">
        <v>223</v>
      </c>
      <c r="M101" s="7">
        <v>15840</v>
      </c>
      <c r="N101" s="10">
        <v>0</v>
      </c>
      <c r="O101" s="10">
        <v>0</v>
      </c>
      <c r="P101">
        <f t="shared" si="5"/>
        <v>1</v>
      </c>
      <c r="Q101" s="36">
        <f t="shared" si="6"/>
        <v>0</v>
      </c>
      <c r="R101">
        <f t="shared" si="7"/>
        <v>2023</v>
      </c>
    </row>
    <row r="102" spans="1:18" x14ac:dyDescent="0.2">
      <c r="A102" s="23">
        <v>45635</v>
      </c>
      <c r="B102" s="23">
        <v>45635</v>
      </c>
      <c r="C102" s="25" t="s">
        <v>398</v>
      </c>
      <c r="D102" s="20">
        <v>0</v>
      </c>
      <c r="E102" s="27">
        <v>0</v>
      </c>
      <c r="F102" s="22" t="s">
        <v>52</v>
      </c>
      <c r="G102" s="29">
        <v>15840</v>
      </c>
      <c r="H102" s="39">
        <v>45040</v>
      </c>
      <c r="I102" s="46">
        <f t="shared" si="4"/>
        <v>595</v>
      </c>
      <c r="J102" s="4" t="s">
        <v>12</v>
      </c>
      <c r="K102" s="4" t="s">
        <v>197</v>
      </c>
      <c r="L102" s="4" t="s">
        <v>223</v>
      </c>
      <c r="M102" s="7">
        <v>15840</v>
      </c>
      <c r="N102" s="10">
        <v>0</v>
      </c>
      <c r="O102" s="10">
        <v>0</v>
      </c>
      <c r="P102">
        <f t="shared" si="5"/>
        <v>1</v>
      </c>
      <c r="Q102" s="36">
        <f t="shared" si="6"/>
        <v>0</v>
      </c>
      <c r="R102">
        <f t="shared" si="7"/>
        <v>2023</v>
      </c>
    </row>
    <row r="103" spans="1:18" x14ac:dyDescent="0.2">
      <c r="A103" s="23">
        <v>45642</v>
      </c>
      <c r="B103" s="23">
        <v>45642</v>
      </c>
      <c r="C103" s="25" t="s">
        <v>398</v>
      </c>
      <c r="D103" s="20">
        <v>0</v>
      </c>
      <c r="E103" s="27">
        <v>0</v>
      </c>
      <c r="F103" s="22" t="s">
        <v>52</v>
      </c>
      <c r="G103" s="29">
        <v>21120</v>
      </c>
      <c r="H103" s="39">
        <v>45040</v>
      </c>
      <c r="I103" s="46">
        <f t="shared" si="4"/>
        <v>602</v>
      </c>
      <c r="J103" s="4" t="s">
        <v>12</v>
      </c>
      <c r="K103" s="4" t="s">
        <v>197</v>
      </c>
      <c r="L103" s="4" t="s">
        <v>223</v>
      </c>
      <c r="M103" s="7">
        <v>21120</v>
      </c>
      <c r="N103" s="10">
        <v>0</v>
      </c>
      <c r="O103" s="10">
        <v>0</v>
      </c>
      <c r="P103">
        <f t="shared" si="5"/>
        <v>1</v>
      </c>
      <c r="Q103" s="36">
        <f t="shared" si="6"/>
        <v>0</v>
      </c>
      <c r="R103">
        <f t="shared" si="7"/>
        <v>2023</v>
      </c>
    </row>
    <row r="104" spans="1:18" x14ac:dyDescent="0.2">
      <c r="A104" s="23">
        <v>45292</v>
      </c>
      <c r="B104" s="23">
        <v>45292</v>
      </c>
      <c r="C104" s="25" t="s">
        <v>398</v>
      </c>
      <c r="D104" s="20">
        <v>0</v>
      </c>
      <c r="E104" s="27">
        <v>0</v>
      </c>
      <c r="F104" s="22" t="s">
        <v>52</v>
      </c>
      <c r="G104" s="29">
        <v>2640</v>
      </c>
      <c r="H104" s="39">
        <v>45005</v>
      </c>
      <c r="I104" s="46">
        <f t="shared" si="4"/>
        <v>287</v>
      </c>
      <c r="J104" s="4" t="s">
        <v>12</v>
      </c>
      <c r="K104" s="4" t="s">
        <v>197</v>
      </c>
      <c r="L104" s="4" t="s">
        <v>223</v>
      </c>
      <c r="M104" s="7">
        <v>2640</v>
      </c>
      <c r="N104" s="10">
        <v>0</v>
      </c>
      <c r="O104" s="10">
        <v>0</v>
      </c>
      <c r="P104">
        <f t="shared" si="5"/>
        <v>1</v>
      </c>
      <c r="Q104" s="36">
        <f t="shared" si="6"/>
        <v>0</v>
      </c>
      <c r="R104">
        <f t="shared" si="7"/>
        <v>2023</v>
      </c>
    </row>
    <row r="105" spans="1:18" x14ac:dyDescent="0.2">
      <c r="A105" s="23">
        <v>45299</v>
      </c>
      <c r="B105" s="23">
        <v>45299</v>
      </c>
      <c r="C105" s="25" t="s">
        <v>398</v>
      </c>
      <c r="D105" s="20">
        <v>0</v>
      </c>
      <c r="E105" s="27">
        <v>0</v>
      </c>
      <c r="F105" s="22" t="s">
        <v>52</v>
      </c>
      <c r="G105" s="29">
        <v>15840</v>
      </c>
      <c r="H105" s="39">
        <v>45005</v>
      </c>
      <c r="I105" s="46">
        <f t="shared" si="4"/>
        <v>294</v>
      </c>
      <c r="J105" s="4" t="s">
        <v>12</v>
      </c>
      <c r="K105" s="4" t="s">
        <v>197</v>
      </c>
      <c r="L105" s="4" t="s">
        <v>223</v>
      </c>
      <c r="M105" s="7">
        <v>15840</v>
      </c>
      <c r="N105" s="10">
        <v>0</v>
      </c>
      <c r="O105" s="10">
        <v>0</v>
      </c>
      <c r="P105">
        <f t="shared" si="5"/>
        <v>1</v>
      </c>
      <c r="Q105" s="36">
        <f t="shared" si="6"/>
        <v>0</v>
      </c>
      <c r="R105">
        <f t="shared" si="7"/>
        <v>2023</v>
      </c>
    </row>
    <row r="106" spans="1:18" x14ac:dyDescent="0.2">
      <c r="A106" s="23">
        <v>45306</v>
      </c>
      <c r="B106" s="23">
        <v>45306</v>
      </c>
      <c r="C106" s="25" t="s">
        <v>398</v>
      </c>
      <c r="D106" s="20">
        <v>0</v>
      </c>
      <c r="E106" s="27">
        <v>0</v>
      </c>
      <c r="F106" s="22" t="s">
        <v>52</v>
      </c>
      <c r="G106" s="29">
        <v>21120</v>
      </c>
      <c r="H106" s="39">
        <v>45005</v>
      </c>
      <c r="I106" s="46">
        <f t="shared" si="4"/>
        <v>301</v>
      </c>
      <c r="J106" s="4" t="s">
        <v>12</v>
      </c>
      <c r="K106" s="4" t="s">
        <v>197</v>
      </c>
      <c r="L106" s="4" t="s">
        <v>223</v>
      </c>
      <c r="M106" s="7">
        <v>21120</v>
      </c>
      <c r="N106" s="10">
        <v>0</v>
      </c>
      <c r="O106" s="10">
        <v>0</v>
      </c>
      <c r="P106">
        <f t="shared" si="5"/>
        <v>1</v>
      </c>
      <c r="Q106" s="36">
        <f t="shared" si="6"/>
        <v>0</v>
      </c>
      <c r="R106">
        <f t="shared" si="7"/>
        <v>2023</v>
      </c>
    </row>
    <row r="107" spans="1:18" x14ac:dyDescent="0.2">
      <c r="A107" s="23">
        <v>45656</v>
      </c>
      <c r="B107" s="23">
        <v>45656</v>
      </c>
      <c r="C107" s="25" t="s">
        <v>398</v>
      </c>
      <c r="D107" s="20">
        <v>0</v>
      </c>
      <c r="E107" s="27">
        <v>0</v>
      </c>
      <c r="F107" s="22" t="s">
        <v>52</v>
      </c>
      <c r="G107" s="29">
        <v>10560</v>
      </c>
      <c r="H107" s="39">
        <v>45119</v>
      </c>
      <c r="I107" s="46">
        <f t="shared" si="4"/>
        <v>537</v>
      </c>
      <c r="J107" s="4" t="s">
        <v>12</v>
      </c>
      <c r="K107" s="4" t="s">
        <v>197</v>
      </c>
      <c r="L107" s="4" t="s">
        <v>223</v>
      </c>
      <c r="M107" s="7">
        <v>10560</v>
      </c>
      <c r="N107" s="10">
        <v>0</v>
      </c>
      <c r="O107" s="10">
        <v>0</v>
      </c>
      <c r="P107">
        <f t="shared" si="5"/>
        <v>1</v>
      </c>
      <c r="Q107" s="36">
        <f t="shared" si="6"/>
        <v>0</v>
      </c>
      <c r="R107">
        <f t="shared" si="7"/>
        <v>2023</v>
      </c>
    </row>
    <row r="108" spans="1:18" x14ac:dyDescent="0.2">
      <c r="A108" s="23">
        <v>45663</v>
      </c>
      <c r="B108" s="23">
        <v>45663</v>
      </c>
      <c r="C108" s="25" t="s">
        <v>398</v>
      </c>
      <c r="D108" s="20">
        <v>0</v>
      </c>
      <c r="E108" s="27">
        <v>0</v>
      </c>
      <c r="F108" s="22" t="s">
        <v>52</v>
      </c>
      <c r="G108" s="29">
        <v>10560</v>
      </c>
      <c r="H108" s="39">
        <v>45119</v>
      </c>
      <c r="I108" s="46">
        <f t="shared" si="4"/>
        <v>544</v>
      </c>
      <c r="J108" s="4" t="s">
        <v>12</v>
      </c>
      <c r="K108" s="4" t="s">
        <v>197</v>
      </c>
      <c r="L108" s="4" t="s">
        <v>223</v>
      </c>
      <c r="M108" s="7">
        <v>10560</v>
      </c>
      <c r="N108" s="10">
        <v>0</v>
      </c>
      <c r="O108" s="10">
        <v>0</v>
      </c>
      <c r="P108">
        <f t="shared" si="5"/>
        <v>1</v>
      </c>
      <c r="Q108" s="36">
        <f t="shared" si="6"/>
        <v>0</v>
      </c>
      <c r="R108">
        <f t="shared" si="7"/>
        <v>2023</v>
      </c>
    </row>
    <row r="109" spans="1:18" x14ac:dyDescent="0.2">
      <c r="A109" s="23">
        <v>45670</v>
      </c>
      <c r="B109" s="23">
        <v>45670</v>
      </c>
      <c r="C109" s="25" t="s">
        <v>398</v>
      </c>
      <c r="D109" s="20">
        <v>0</v>
      </c>
      <c r="E109" s="27">
        <v>0</v>
      </c>
      <c r="F109" s="22" t="s">
        <v>52</v>
      </c>
      <c r="G109" s="29">
        <v>15840</v>
      </c>
      <c r="H109" s="39">
        <v>45119</v>
      </c>
      <c r="I109" s="46">
        <f t="shared" si="4"/>
        <v>551</v>
      </c>
      <c r="J109" s="4" t="s">
        <v>12</v>
      </c>
      <c r="K109" s="4" t="s">
        <v>197</v>
      </c>
      <c r="L109" s="4" t="s">
        <v>223</v>
      </c>
      <c r="M109" s="7">
        <v>15840</v>
      </c>
      <c r="N109" s="10">
        <v>0</v>
      </c>
      <c r="O109" s="10">
        <v>0</v>
      </c>
      <c r="P109">
        <f t="shared" si="5"/>
        <v>1</v>
      </c>
      <c r="Q109" s="36">
        <f t="shared" si="6"/>
        <v>0</v>
      </c>
      <c r="R109">
        <f t="shared" si="7"/>
        <v>2023</v>
      </c>
    </row>
    <row r="110" spans="1:18" x14ac:dyDescent="0.2">
      <c r="A110" s="23">
        <v>45677</v>
      </c>
      <c r="B110" s="23">
        <v>45677</v>
      </c>
      <c r="C110" s="25" t="s">
        <v>398</v>
      </c>
      <c r="D110" s="20">
        <v>0</v>
      </c>
      <c r="E110" s="27">
        <v>0</v>
      </c>
      <c r="F110" s="22" t="s">
        <v>52</v>
      </c>
      <c r="G110" s="29">
        <v>10560</v>
      </c>
      <c r="H110" s="39">
        <v>45119</v>
      </c>
      <c r="I110" s="46">
        <f t="shared" si="4"/>
        <v>558</v>
      </c>
      <c r="J110" s="4" t="s">
        <v>12</v>
      </c>
      <c r="K110" s="4" t="s">
        <v>197</v>
      </c>
      <c r="L110" s="4" t="s">
        <v>223</v>
      </c>
      <c r="M110" s="7">
        <v>10560</v>
      </c>
      <c r="N110" s="10">
        <v>0</v>
      </c>
      <c r="O110" s="10">
        <v>0</v>
      </c>
      <c r="P110">
        <f t="shared" si="5"/>
        <v>1</v>
      </c>
      <c r="Q110" s="36">
        <f t="shared" si="6"/>
        <v>0</v>
      </c>
      <c r="R110">
        <f t="shared" si="7"/>
        <v>2023</v>
      </c>
    </row>
    <row r="111" spans="1:18" x14ac:dyDescent="0.2">
      <c r="A111" s="23">
        <v>45684</v>
      </c>
      <c r="B111" s="23">
        <v>45684</v>
      </c>
      <c r="C111" s="25" t="s">
        <v>398</v>
      </c>
      <c r="D111" s="20">
        <v>0</v>
      </c>
      <c r="E111" s="27">
        <v>0</v>
      </c>
      <c r="F111" s="22" t="s">
        <v>52</v>
      </c>
      <c r="G111" s="29">
        <v>10560</v>
      </c>
      <c r="H111" s="39">
        <v>45119</v>
      </c>
      <c r="I111" s="46">
        <f t="shared" si="4"/>
        <v>565</v>
      </c>
      <c r="J111" s="4" t="s">
        <v>12</v>
      </c>
      <c r="K111" s="4" t="s">
        <v>197</v>
      </c>
      <c r="L111" s="4" t="s">
        <v>223</v>
      </c>
      <c r="M111" s="7">
        <v>10560</v>
      </c>
      <c r="N111" s="10">
        <v>0</v>
      </c>
      <c r="O111" s="10">
        <v>0</v>
      </c>
      <c r="P111">
        <f t="shared" si="5"/>
        <v>1</v>
      </c>
      <c r="Q111" s="36">
        <f t="shared" si="6"/>
        <v>0</v>
      </c>
      <c r="R111">
        <f t="shared" si="7"/>
        <v>2023</v>
      </c>
    </row>
    <row r="112" spans="1:18" x14ac:dyDescent="0.2">
      <c r="A112" s="23">
        <v>45691</v>
      </c>
      <c r="B112" s="23">
        <v>45691</v>
      </c>
      <c r="C112" s="25" t="s">
        <v>398</v>
      </c>
      <c r="D112" s="20">
        <v>0</v>
      </c>
      <c r="E112" s="27">
        <v>0</v>
      </c>
      <c r="F112" s="22" t="s">
        <v>52</v>
      </c>
      <c r="G112" s="29">
        <v>10560</v>
      </c>
      <c r="H112" s="39">
        <v>45119</v>
      </c>
      <c r="I112" s="46">
        <f t="shared" si="4"/>
        <v>572</v>
      </c>
      <c r="J112" s="4" t="s">
        <v>12</v>
      </c>
      <c r="K112" s="4" t="s">
        <v>197</v>
      </c>
      <c r="L112" s="4" t="s">
        <v>223</v>
      </c>
      <c r="M112" s="7">
        <v>10560</v>
      </c>
      <c r="N112" s="10">
        <v>0</v>
      </c>
      <c r="O112" s="10">
        <v>0</v>
      </c>
      <c r="P112">
        <f t="shared" si="5"/>
        <v>1</v>
      </c>
      <c r="Q112" s="36">
        <f t="shared" si="6"/>
        <v>0</v>
      </c>
      <c r="R112">
        <f t="shared" si="7"/>
        <v>2023</v>
      </c>
    </row>
    <row r="113" spans="1:18" x14ac:dyDescent="0.2">
      <c r="A113" s="23">
        <v>45698</v>
      </c>
      <c r="B113" s="23">
        <v>45698</v>
      </c>
      <c r="C113" s="25" t="s">
        <v>398</v>
      </c>
      <c r="D113" s="20">
        <v>0</v>
      </c>
      <c r="E113" s="27">
        <v>0</v>
      </c>
      <c r="F113" s="22" t="s">
        <v>52</v>
      </c>
      <c r="G113" s="29">
        <v>10560</v>
      </c>
      <c r="H113" s="39">
        <v>45119</v>
      </c>
      <c r="I113" s="46">
        <f t="shared" si="4"/>
        <v>579</v>
      </c>
      <c r="J113" s="4" t="s">
        <v>12</v>
      </c>
      <c r="K113" s="4" t="s">
        <v>197</v>
      </c>
      <c r="L113" s="4" t="s">
        <v>223</v>
      </c>
      <c r="M113" s="7">
        <v>10560</v>
      </c>
      <c r="N113" s="10">
        <v>0</v>
      </c>
      <c r="O113" s="10">
        <v>0</v>
      </c>
      <c r="P113">
        <f t="shared" si="5"/>
        <v>1</v>
      </c>
      <c r="Q113" s="36">
        <f t="shared" si="6"/>
        <v>0</v>
      </c>
      <c r="R113">
        <f t="shared" si="7"/>
        <v>2023</v>
      </c>
    </row>
    <row r="114" spans="1:18" x14ac:dyDescent="0.2">
      <c r="A114" s="23">
        <v>45705</v>
      </c>
      <c r="B114" s="23">
        <v>45705</v>
      </c>
      <c r="C114" s="25" t="s">
        <v>398</v>
      </c>
      <c r="D114" s="20">
        <v>0</v>
      </c>
      <c r="E114" s="27">
        <v>0</v>
      </c>
      <c r="F114" s="22" t="s">
        <v>52</v>
      </c>
      <c r="G114" s="29">
        <v>10560</v>
      </c>
      <c r="H114" s="39">
        <v>45119</v>
      </c>
      <c r="I114" s="46">
        <f t="shared" si="4"/>
        <v>586</v>
      </c>
      <c r="J114" s="4" t="s">
        <v>12</v>
      </c>
      <c r="K114" s="4" t="s">
        <v>197</v>
      </c>
      <c r="L114" s="4" t="s">
        <v>223</v>
      </c>
      <c r="M114" s="7">
        <v>10560</v>
      </c>
      <c r="N114" s="10">
        <v>0</v>
      </c>
      <c r="O114" s="10">
        <v>0</v>
      </c>
      <c r="P114">
        <f t="shared" si="5"/>
        <v>1</v>
      </c>
      <c r="Q114" s="36">
        <f t="shared" si="6"/>
        <v>0</v>
      </c>
      <c r="R114">
        <f t="shared" si="7"/>
        <v>2023</v>
      </c>
    </row>
    <row r="115" spans="1:18" x14ac:dyDescent="0.2">
      <c r="A115" s="23">
        <v>45712</v>
      </c>
      <c r="B115" s="23">
        <v>45712</v>
      </c>
      <c r="C115" s="25" t="s">
        <v>398</v>
      </c>
      <c r="D115" s="20">
        <v>0</v>
      </c>
      <c r="E115" s="27">
        <v>0</v>
      </c>
      <c r="F115" s="22" t="s">
        <v>52</v>
      </c>
      <c r="G115" s="29">
        <v>108240</v>
      </c>
      <c r="H115" s="39">
        <v>45119</v>
      </c>
      <c r="I115" s="46">
        <f t="shared" si="4"/>
        <v>593</v>
      </c>
      <c r="J115" s="4" t="s">
        <v>12</v>
      </c>
      <c r="K115" s="4" t="s">
        <v>197</v>
      </c>
      <c r="L115" s="4" t="s">
        <v>223</v>
      </c>
      <c r="M115" s="7">
        <v>108240</v>
      </c>
      <c r="N115" s="10">
        <v>0</v>
      </c>
      <c r="O115" s="10">
        <v>0</v>
      </c>
      <c r="P115">
        <f t="shared" si="5"/>
        <v>1</v>
      </c>
      <c r="Q115" s="36">
        <f t="shared" si="6"/>
        <v>0</v>
      </c>
      <c r="R115">
        <f t="shared" si="7"/>
        <v>2023</v>
      </c>
    </row>
    <row r="116" spans="1:18" x14ac:dyDescent="0.2">
      <c r="A116" s="23">
        <v>45285</v>
      </c>
      <c r="B116" s="23">
        <v>45285</v>
      </c>
      <c r="C116" s="25" t="s">
        <v>398</v>
      </c>
      <c r="D116" s="20">
        <v>0</v>
      </c>
      <c r="E116" s="27">
        <v>0</v>
      </c>
      <c r="F116" s="22" t="s">
        <v>53</v>
      </c>
      <c r="G116" s="29">
        <v>15840</v>
      </c>
      <c r="H116" s="39">
        <v>45040</v>
      </c>
      <c r="I116" s="46">
        <f t="shared" si="4"/>
        <v>245</v>
      </c>
      <c r="J116" s="4" t="s">
        <v>12</v>
      </c>
      <c r="K116" s="4" t="s">
        <v>197</v>
      </c>
      <c r="L116" s="4" t="s">
        <v>223</v>
      </c>
      <c r="M116" s="7">
        <v>15840</v>
      </c>
      <c r="N116" s="10">
        <v>0</v>
      </c>
      <c r="O116" s="10">
        <v>0</v>
      </c>
      <c r="P116">
        <f t="shared" si="5"/>
        <v>1</v>
      </c>
      <c r="Q116" s="36">
        <f t="shared" si="6"/>
        <v>0</v>
      </c>
      <c r="R116">
        <f t="shared" si="7"/>
        <v>2023</v>
      </c>
    </row>
    <row r="117" spans="1:18" x14ac:dyDescent="0.2">
      <c r="A117" s="23">
        <v>45194</v>
      </c>
      <c r="B117" s="23">
        <v>45194</v>
      </c>
      <c r="C117" s="25" t="s">
        <v>398</v>
      </c>
      <c r="D117" s="20">
        <v>0</v>
      </c>
      <c r="E117" s="27">
        <v>0</v>
      </c>
      <c r="F117" s="22" t="s">
        <v>53</v>
      </c>
      <c r="G117" s="29">
        <v>15900</v>
      </c>
      <c r="H117" s="39">
        <v>45005</v>
      </c>
      <c r="I117" s="46">
        <f t="shared" si="4"/>
        <v>189</v>
      </c>
      <c r="J117" s="4" t="s">
        <v>12</v>
      </c>
      <c r="K117" s="4" t="s">
        <v>197</v>
      </c>
      <c r="L117" s="4" t="s">
        <v>223</v>
      </c>
      <c r="M117" s="7">
        <v>15900</v>
      </c>
      <c r="N117" s="10">
        <v>0</v>
      </c>
      <c r="O117" s="10">
        <v>0</v>
      </c>
      <c r="P117">
        <f t="shared" si="5"/>
        <v>1</v>
      </c>
      <c r="Q117" s="36">
        <f t="shared" si="6"/>
        <v>0</v>
      </c>
      <c r="R117">
        <f t="shared" si="7"/>
        <v>2023</v>
      </c>
    </row>
    <row r="118" spans="1:18" x14ac:dyDescent="0.2">
      <c r="A118" s="23">
        <v>45201</v>
      </c>
      <c r="B118" s="23">
        <v>45201</v>
      </c>
      <c r="C118" s="25" t="s">
        <v>398</v>
      </c>
      <c r="D118" s="20">
        <v>0</v>
      </c>
      <c r="E118" s="27">
        <v>0</v>
      </c>
      <c r="F118" s="22" t="s">
        <v>53</v>
      </c>
      <c r="G118" s="29">
        <v>15900</v>
      </c>
      <c r="H118" s="39">
        <v>45005</v>
      </c>
      <c r="I118" s="46">
        <f t="shared" si="4"/>
        <v>196</v>
      </c>
      <c r="J118" s="4" t="s">
        <v>12</v>
      </c>
      <c r="K118" s="4" t="s">
        <v>197</v>
      </c>
      <c r="L118" s="4" t="s">
        <v>223</v>
      </c>
      <c r="M118" s="7">
        <v>15900</v>
      </c>
      <c r="N118" s="10">
        <v>0</v>
      </c>
      <c r="O118" s="10">
        <v>0</v>
      </c>
      <c r="P118">
        <f t="shared" si="5"/>
        <v>1</v>
      </c>
      <c r="Q118" s="36">
        <f t="shared" si="6"/>
        <v>0</v>
      </c>
      <c r="R118">
        <f t="shared" si="7"/>
        <v>2023</v>
      </c>
    </row>
    <row r="119" spans="1:18" x14ac:dyDescent="0.2">
      <c r="A119" s="23">
        <v>45208</v>
      </c>
      <c r="B119" s="23">
        <v>45208</v>
      </c>
      <c r="C119" s="25" t="s">
        <v>398</v>
      </c>
      <c r="D119" s="20">
        <v>0</v>
      </c>
      <c r="E119" s="27">
        <v>0</v>
      </c>
      <c r="F119" s="22" t="s">
        <v>53</v>
      </c>
      <c r="G119" s="29">
        <v>15900</v>
      </c>
      <c r="H119" s="39">
        <v>45005</v>
      </c>
      <c r="I119" s="46">
        <f t="shared" si="4"/>
        <v>203</v>
      </c>
      <c r="J119" s="4" t="s">
        <v>12</v>
      </c>
      <c r="K119" s="4" t="s">
        <v>197</v>
      </c>
      <c r="L119" s="4" t="s">
        <v>223</v>
      </c>
      <c r="M119" s="7">
        <v>15900</v>
      </c>
      <c r="N119" s="10">
        <v>0</v>
      </c>
      <c r="O119" s="10">
        <v>0</v>
      </c>
      <c r="P119">
        <f t="shared" si="5"/>
        <v>1</v>
      </c>
      <c r="Q119" s="36">
        <f t="shared" si="6"/>
        <v>0</v>
      </c>
      <c r="R119">
        <f t="shared" si="7"/>
        <v>2023</v>
      </c>
    </row>
    <row r="120" spans="1:18" x14ac:dyDescent="0.2">
      <c r="A120" s="23">
        <v>45215</v>
      </c>
      <c r="B120" s="23">
        <v>45215</v>
      </c>
      <c r="C120" s="25" t="s">
        <v>398</v>
      </c>
      <c r="D120" s="20">
        <v>0</v>
      </c>
      <c r="E120" s="27">
        <v>0</v>
      </c>
      <c r="F120" s="22" t="s">
        <v>53</v>
      </c>
      <c r="G120" s="29">
        <v>5300</v>
      </c>
      <c r="H120" s="39">
        <v>45005</v>
      </c>
      <c r="I120" s="46">
        <f t="shared" si="4"/>
        <v>210</v>
      </c>
      <c r="J120" s="4" t="s">
        <v>12</v>
      </c>
      <c r="K120" s="4" t="s">
        <v>197</v>
      </c>
      <c r="L120" s="4" t="s">
        <v>223</v>
      </c>
      <c r="M120" s="7">
        <v>5300</v>
      </c>
      <c r="N120" s="10">
        <v>0</v>
      </c>
      <c r="O120" s="10">
        <v>0</v>
      </c>
      <c r="P120">
        <f t="shared" si="5"/>
        <v>1</v>
      </c>
      <c r="Q120" s="36">
        <f t="shared" si="6"/>
        <v>0</v>
      </c>
      <c r="R120">
        <f t="shared" si="7"/>
        <v>2023</v>
      </c>
    </row>
    <row r="121" spans="1:18" x14ac:dyDescent="0.2">
      <c r="A121" s="23">
        <v>45222</v>
      </c>
      <c r="B121" s="23">
        <v>45222</v>
      </c>
      <c r="C121" s="25" t="s">
        <v>398</v>
      </c>
      <c r="D121" s="20">
        <v>0</v>
      </c>
      <c r="E121" s="27">
        <v>0</v>
      </c>
      <c r="F121" s="22" t="s">
        <v>53</v>
      </c>
      <c r="G121" s="29">
        <v>15740</v>
      </c>
      <c r="H121" s="39">
        <v>45005</v>
      </c>
      <c r="I121" s="46">
        <f t="shared" si="4"/>
        <v>217</v>
      </c>
      <c r="J121" s="4" t="s">
        <v>12</v>
      </c>
      <c r="K121" s="4" t="s">
        <v>197</v>
      </c>
      <c r="L121" s="4" t="s">
        <v>223</v>
      </c>
      <c r="M121" s="7">
        <v>15740</v>
      </c>
      <c r="N121" s="10">
        <v>0</v>
      </c>
      <c r="O121" s="10">
        <v>0</v>
      </c>
      <c r="P121">
        <f t="shared" si="5"/>
        <v>1</v>
      </c>
      <c r="Q121" s="36">
        <f t="shared" si="6"/>
        <v>0</v>
      </c>
      <c r="R121">
        <f t="shared" si="7"/>
        <v>2023</v>
      </c>
    </row>
    <row r="122" spans="1:18" x14ac:dyDescent="0.2">
      <c r="A122" s="23">
        <v>45229</v>
      </c>
      <c r="B122" s="23">
        <v>45229</v>
      </c>
      <c r="C122" s="25" t="s">
        <v>398</v>
      </c>
      <c r="D122" s="20">
        <v>0</v>
      </c>
      <c r="E122" s="27">
        <v>0</v>
      </c>
      <c r="F122" s="22" t="s">
        <v>53</v>
      </c>
      <c r="G122" s="29">
        <v>21140</v>
      </c>
      <c r="H122" s="39">
        <v>45005</v>
      </c>
      <c r="I122" s="46">
        <f t="shared" si="4"/>
        <v>224</v>
      </c>
      <c r="J122" s="4" t="s">
        <v>12</v>
      </c>
      <c r="K122" s="4" t="s">
        <v>197</v>
      </c>
      <c r="L122" s="4" t="s">
        <v>223</v>
      </c>
      <c r="M122" s="7">
        <v>21140</v>
      </c>
      <c r="N122" s="10">
        <v>0</v>
      </c>
      <c r="O122" s="10">
        <v>0</v>
      </c>
      <c r="P122">
        <f t="shared" si="5"/>
        <v>1</v>
      </c>
      <c r="Q122" s="36">
        <f t="shared" si="6"/>
        <v>0</v>
      </c>
      <c r="R122">
        <f t="shared" si="7"/>
        <v>2023</v>
      </c>
    </row>
    <row r="123" spans="1:18" x14ac:dyDescent="0.2">
      <c r="A123" s="23">
        <v>45236</v>
      </c>
      <c r="B123" s="23">
        <v>45236</v>
      </c>
      <c r="C123" s="25" t="s">
        <v>398</v>
      </c>
      <c r="D123" s="20">
        <v>0</v>
      </c>
      <c r="E123" s="27">
        <v>0</v>
      </c>
      <c r="F123" s="22" t="s">
        <v>53</v>
      </c>
      <c r="G123" s="29">
        <v>15840</v>
      </c>
      <c r="H123" s="39">
        <v>45005</v>
      </c>
      <c r="I123" s="46">
        <f t="shared" si="4"/>
        <v>231</v>
      </c>
      <c r="J123" s="4" t="s">
        <v>12</v>
      </c>
      <c r="K123" s="4" t="s">
        <v>197</v>
      </c>
      <c r="L123" s="4" t="s">
        <v>223</v>
      </c>
      <c r="M123" s="7">
        <v>15840</v>
      </c>
      <c r="N123" s="10">
        <v>0</v>
      </c>
      <c r="O123" s="10">
        <v>0</v>
      </c>
      <c r="P123">
        <f t="shared" si="5"/>
        <v>1</v>
      </c>
      <c r="Q123" s="36">
        <f t="shared" si="6"/>
        <v>0</v>
      </c>
      <c r="R123">
        <f t="shared" si="7"/>
        <v>2023</v>
      </c>
    </row>
    <row r="124" spans="1:18" x14ac:dyDescent="0.2">
      <c r="A124" s="23">
        <v>45243</v>
      </c>
      <c r="B124" s="23">
        <v>45243</v>
      </c>
      <c r="C124" s="25" t="s">
        <v>398</v>
      </c>
      <c r="D124" s="20">
        <v>0</v>
      </c>
      <c r="E124" s="27">
        <v>0</v>
      </c>
      <c r="F124" s="22" t="s">
        <v>53</v>
      </c>
      <c r="G124" s="29">
        <v>18520</v>
      </c>
      <c r="H124" s="39">
        <v>45005</v>
      </c>
      <c r="I124" s="46">
        <f t="shared" si="4"/>
        <v>238</v>
      </c>
      <c r="J124" s="4" t="s">
        <v>12</v>
      </c>
      <c r="K124" s="4" t="s">
        <v>197</v>
      </c>
      <c r="L124" s="4" t="s">
        <v>223</v>
      </c>
      <c r="M124" s="7">
        <v>18520</v>
      </c>
      <c r="N124" s="10">
        <v>0</v>
      </c>
      <c r="O124" s="10">
        <v>0</v>
      </c>
      <c r="P124">
        <f t="shared" si="5"/>
        <v>1</v>
      </c>
      <c r="Q124" s="36">
        <f t="shared" si="6"/>
        <v>0</v>
      </c>
      <c r="R124">
        <f t="shared" si="7"/>
        <v>2023</v>
      </c>
    </row>
    <row r="125" spans="1:18" x14ac:dyDescent="0.2">
      <c r="A125" s="23">
        <v>45250</v>
      </c>
      <c r="B125" s="23">
        <v>45250</v>
      </c>
      <c r="C125" s="25" t="s">
        <v>398</v>
      </c>
      <c r="D125" s="20">
        <v>0</v>
      </c>
      <c r="E125" s="27">
        <v>0</v>
      </c>
      <c r="F125" s="22" t="s">
        <v>53</v>
      </c>
      <c r="G125" s="29">
        <v>12101</v>
      </c>
      <c r="H125" s="39">
        <v>45005</v>
      </c>
      <c r="I125" s="46">
        <f t="shared" si="4"/>
        <v>245</v>
      </c>
      <c r="J125" s="4" t="s">
        <v>12</v>
      </c>
      <c r="K125" s="4" t="s">
        <v>197</v>
      </c>
      <c r="L125" s="4" t="s">
        <v>223</v>
      </c>
      <c r="M125" s="7">
        <v>12101</v>
      </c>
      <c r="N125" s="10">
        <v>0</v>
      </c>
      <c r="O125" s="10">
        <v>0</v>
      </c>
      <c r="P125">
        <f t="shared" si="5"/>
        <v>1</v>
      </c>
      <c r="Q125" s="36">
        <f t="shared" si="6"/>
        <v>0</v>
      </c>
      <c r="R125">
        <f t="shared" si="7"/>
        <v>2023</v>
      </c>
    </row>
    <row r="126" spans="1:18" x14ac:dyDescent="0.2">
      <c r="A126" s="23">
        <v>45257</v>
      </c>
      <c r="B126" s="23">
        <v>45257</v>
      </c>
      <c r="C126" s="25" t="s">
        <v>398</v>
      </c>
      <c r="D126" s="20">
        <v>0</v>
      </c>
      <c r="E126" s="27">
        <v>0</v>
      </c>
      <c r="F126" s="22" t="s">
        <v>53</v>
      </c>
      <c r="G126" s="29">
        <v>6096</v>
      </c>
      <c r="H126" s="39">
        <v>45005</v>
      </c>
      <c r="I126" s="46">
        <f t="shared" si="4"/>
        <v>252</v>
      </c>
      <c r="J126" s="4" t="s">
        <v>12</v>
      </c>
      <c r="K126" s="4" t="s">
        <v>197</v>
      </c>
      <c r="L126" s="4" t="s">
        <v>223</v>
      </c>
      <c r="M126" s="7">
        <v>6096</v>
      </c>
      <c r="N126" s="10">
        <v>0</v>
      </c>
      <c r="O126" s="10">
        <v>0</v>
      </c>
      <c r="P126">
        <f t="shared" si="5"/>
        <v>1</v>
      </c>
      <c r="Q126" s="36">
        <f t="shared" si="6"/>
        <v>0</v>
      </c>
      <c r="R126">
        <f t="shared" si="7"/>
        <v>2023</v>
      </c>
    </row>
    <row r="127" spans="1:18" x14ac:dyDescent="0.2">
      <c r="A127" s="23">
        <v>45264</v>
      </c>
      <c r="B127" s="23">
        <v>45264</v>
      </c>
      <c r="C127" s="25" t="s">
        <v>398</v>
      </c>
      <c r="D127" s="20">
        <v>0</v>
      </c>
      <c r="E127" s="27">
        <v>0</v>
      </c>
      <c r="F127" s="22" t="s">
        <v>53</v>
      </c>
      <c r="G127" s="29">
        <v>15840</v>
      </c>
      <c r="H127" s="39">
        <v>45005</v>
      </c>
      <c r="I127" s="46">
        <f t="shared" si="4"/>
        <v>259</v>
      </c>
      <c r="J127" s="4" t="s">
        <v>12</v>
      </c>
      <c r="K127" s="4" t="s">
        <v>197</v>
      </c>
      <c r="L127" s="4" t="s">
        <v>223</v>
      </c>
      <c r="M127" s="7">
        <v>15840</v>
      </c>
      <c r="N127" s="10">
        <v>0</v>
      </c>
      <c r="O127" s="10">
        <v>0</v>
      </c>
      <c r="P127">
        <f t="shared" si="5"/>
        <v>1</v>
      </c>
      <c r="Q127" s="36">
        <f t="shared" si="6"/>
        <v>0</v>
      </c>
      <c r="R127">
        <f t="shared" si="7"/>
        <v>2023</v>
      </c>
    </row>
    <row r="128" spans="1:18" x14ac:dyDescent="0.2">
      <c r="A128" s="23">
        <v>45271</v>
      </c>
      <c r="B128" s="23">
        <v>45271</v>
      </c>
      <c r="C128" s="25" t="s">
        <v>398</v>
      </c>
      <c r="D128" s="20">
        <v>0</v>
      </c>
      <c r="E128" s="27">
        <v>0</v>
      </c>
      <c r="F128" s="22" t="s">
        <v>53</v>
      </c>
      <c r="G128" s="29">
        <v>15840</v>
      </c>
      <c r="H128" s="39">
        <v>45005</v>
      </c>
      <c r="I128" s="46">
        <f t="shared" si="4"/>
        <v>266</v>
      </c>
      <c r="J128" s="4" t="s">
        <v>12</v>
      </c>
      <c r="K128" s="4" t="s">
        <v>197</v>
      </c>
      <c r="L128" s="4" t="s">
        <v>223</v>
      </c>
      <c r="M128" s="7">
        <v>15840</v>
      </c>
      <c r="N128" s="10">
        <v>0</v>
      </c>
      <c r="O128" s="10">
        <v>0</v>
      </c>
      <c r="P128">
        <f t="shared" si="5"/>
        <v>1</v>
      </c>
      <c r="Q128" s="36">
        <f t="shared" si="6"/>
        <v>0</v>
      </c>
      <c r="R128">
        <f t="shared" si="7"/>
        <v>2023</v>
      </c>
    </row>
    <row r="129" spans="1:18" x14ac:dyDescent="0.2">
      <c r="A129" s="23">
        <v>45292</v>
      </c>
      <c r="B129" s="23">
        <v>45292</v>
      </c>
      <c r="C129" s="25" t="s">
        <v>398</v>
      </c>
      <c r="D129" s="20">
        <v>0</v>
      </c>
      <c r="E129" s="27">
        <v>0</v>
      </c>
      <c r="F129" s="22" t="s">
        <v>53</v>
      </c>
      <c r="G129" s="29">
        <v>21120</v>
      </c>
      <c r="H129" s="39">
        <v>45040</v>
      </c>
      <c r="I129" s="46">
        <f t="shared" si="4"/>
        <v>252</v>
      </c>
      <c r="J129" s="4" t="s">
        <v>12</v>
      </c>
      <c r="K129" s="4" t="s">
        <v>197</v>
      </c>
      <c r="L129" s="4" t="s">
        <v>223</v>
      </c>
      <c r="M129" s="7">
        <v>21120</v>
      </c>
      <c r="N129" s="10">
        <v>0</v>
      </c>
      <c r="O129" s="10">
        <v>0</v>
      </c>
      <c r="P129">
        <f t="shared" si="5"/>
        <v>1</v>
      </c>
      <c r="Q129" s="36">
        <f t="shared" si="6"/>
        <v>0</v>
      </c>
      <c r="R129">
        <f t="shared" si="7"/>
        <v>2023</v>
      </c>
    </row>
    <row r="130" spans="1:18" x14ac:dyDescent="0.2">
      <c r="A130" s="23">
        <v>45299</v>
      </c>
      <c r="B130" s="23">
        <v>45299</v>
      </c>
      <c r="C130" s="25" t="s">
        <v>398</v>
      </c>
      <c r="D130" s="20">
        <v>0</v>
      </c>
      <c r="E130" s="27">
        <v>0</v>
      </c>
      <c r="F130" s="22" t="s">
        <v>53</v>
      </c>
      <c r="G130" s="29">
        <v>18480</v>
      </c>
      <c r="H130" s="39">
        <v>45040</v>
      </c>
      <c r="I130" s="46">
        <f t="shared" si="4"/>
        <v>259</v>
      </c>
      <c r="J130" s="4" t="s">
        <v>12</v>
      </c>
      <c r="K130" s="4" t="s">
        <v>197</v>
      </c>
      <c r="L130" s="4" t="s">
        <v>223</v>
      </c>
      <c r="M130" s="7">
        <v>18480</v>
      </c>
      <c r="N130" s="10">
        <v>0</v>
      </c>
      <c r="O130" s="10">
        <v>0</v>
      </c>
      <c r="P130">
        <f t="shared" si="5"/>
        <v>1</v>
      </c>
      <c r="Q130" s="36">
        <f t="shared" si="6"/>
        <v>0</v>
      </c>
      <c r="R130">
        <f t="shared" si="7"/>
        <v>2023</v>
      </c>
    </row>
    <row r="131" spans="1:18" x14ac:dyDescent="0.2">
      <c r="A131" s="23">
        <v>45306</v>
      </c>
      <c r="B131" s="23">
        <v>45306</v>
      </c>
      <c r="C131" s="25" t="s">
        <v>398</v>
      </c>
      <c r="D131" s="20">
        <v>0</v>
      </c>
      <c r="E131" s="27">
        <v>0</v>
      </c>
      <c r="F131" s="22" t="s">
        <v>53</v>
      </c>
      <c r="G131" s="29">
        <v>21120</v>
      </c>
      <c r="H131" s="39">
        <v>45040</v>
      </c>
      <c r="I131" s="46">
        <f t="shared" ref="I131:I194" si="8">IFERROR(A131-H131,"")*1</f>
        <v>266</v>
      </c>
      <c r="J131" s="4" t="s">
        <v>12</v>
      </c>
      <c r="K131" s="4" t="s">
        <v>197</v>
      </c>
      <c r="L131" s="4" t="s">
        <v>223</v>
      </c>
      <c r="M131" s="7">
        <v>21120</v>
      </c>
      <c r="N131" s="10">
        <v>0</v>
      </c>
      <c r="O131" s="10">
        <v>0</v>
      </c>
      <c r="P131">
        <f t="shared" ref="P131:P194" si="9">IF(M131=G131,1,0)</f>
        <v>1</v>
      </c>
      <c r="Q131" s="36">
        <f t="shared" ref="Q131:Q194" si="10">N131*G131</f>
        <v>0</v>
      </c>
      <c r="R131">
        <f t="shared" ref="R131:R194" si="11">YEAR(H131)</f>
        <v>2023</v>
      </c>
    </row>
    <row r="132" spans="1:18" x14ac:dyDescent="0.2">
      <c r="A132" s="23">
        <v>45313</v>
      </c>
      <c r="B132" s="23">
        <v>45313</v>
      </c>
      <c r="C132" s="25" t="s">
        <v>398</v>
      </c>
      <c r="D132" s="20">
        <v>0</v>
      </c>
      <c r="E132" s="27">
        <v>0</v>
      </c>
      <c r="F132" s="22" t="s">
        <v>53</v>
      </c>
      <c r="G132" s="29">
        <v>21120</v>
      </c>
      <c r="H132" s="39">
        <v>45040</v>
      </c>
      <c r="I132" s="46">
        <f t="shared" si="8"/>
        <v>273</v>
      </c>
      <c r="J132" s="4" t="s">
        <v>12</v>
      </c>
      <c r="K132" s="4" t="s">
        <v>197</v>
      </c>
      <c r="L132" s="4" t="s">
        <v>223</v>
      </c>
      <c r="M132" s="7">
        <v>21120</v>
      </c>
      <c r="N132" s="10">
        <v>0</v>
      </c>
      <c r="O132" s="10">
        <v>0</v>
      </c>
      <c r="P132">
        <f t="shared" si="9"/>
        <v>1</v>
      </c>
      <c r="Q132" s="36">
        <f t="shared" si="10"/>
        <v>0</v>
      </c>
      <c r="R132">
        <f t="shared" si="11"/>
        <v>2023</v>
      </c>
    </row>
    <row r="133" spans="1:18" x14ac:dyDescent="0.2">
      <c r="A133" s="23">
        <v>45320</v>
      </c>
      <c r="B133" s="23">
        <v>45320</v>
      </c>
      <c r="C133" s="25" t="s">
        <v>398</v>
      </c>
      <c r="D133" s="20">
        <v>0</v>
      </c>
      <c r="E133" s="27">
        <v>0</v>
      </c>
      <c r="F133" s="22" t="s">
        <v>53</v>
      </c>
      <c r="G133" s="29">
        <v>15840</v>
      </c>
      <c r="H133" s="39">
        <v>45040</v>
      </c>
      <c r="I133" s="46">
        <f t="shared" si="8"/>
        <v>280</v>
      </c>
      <c r="J133" s="4" t="s">
        <v>12</v>
      </c>
      <c r="K133" s="4" t="s">
        <v>197</v>
      </c>
      <c r="L133" s="4" t="s">
        <v>223</v>
      </c>
      <c r="M133" s="7">
        <v>15840</v>
      </c>
      <c r="N133" s="10">
        <v>0</v>
      </c>
      <c r="O133" s="10">
        <v>0</v>
      </c>
      <c r="P133">
        <f t="shared" si="9"/>
        <v>1</v>
      </c>
      <c r="Q133" s="36">
        <f t="shared" si="10"/>
        <v>0</v>
      </c>
      <c r="R133">
        <f t="shared" si="11"/>
        <v>2023</v>
      </c>
    </row>
    <row r="134" spans="1:18" x14ac:dyDescent="0.2">
      <c r="A134" s="23">
        <v>45334</v>
      </c>
      <c r="B134" s="23">
        <v>45334</v>
      </c>
      <c r="C134" s="25" t="s">
        <v>398</v>
      </c>
      <c r="D134" s="20">
        <v>0</v>
      </c>
      <c r="E134" s="27">
        <v>0</v>
      </c>
      <c r="F134" s="22" t="s">
        <v>53</v>
      </c>
      <c r="G134" s="29">
        <v>21120</v>
      </c>
      <c r="H134" s="39">
        <v>45040</v>
      </c>
      <c r="I134" s="46">
        <f t="shared" si="8"/>
        <v>294</v>
      </c>
      <c r="J134" s="4" t="s">
        <v>12</v>
      </c>
      <c r="K134" s="4" t="s">
        <v>197</v>
      </c>
      <c r="L134" s="4" t="s">
        <v>223</v>
      </c>
      <c r="M134" s="7">
        <v>21120</v>
      </c>
      <c r="N134" s="10">
        <v>0</v>
      </c>
      <c r="O134" s="10">
        <v>0</v>
      </c>
      <c r="P134">
        <f t="shared" si="9"/>
        <v>1</v>
      </c>
      <c r="Q134" s="36">
        <f t="shared" si="10"/>
        <v>0</v>
      </c>
      <c r="R134">
        <f t="shared" si="11"/>
        <v>2023</v>
      </c>
    </row>
    <row r="135" spans="1:18" x14ac:dyDescent="0.2">
      <c r="A135" s="23">
        <v>45341</v>
      </c>
      <c r="B135" s="23">
        <v>45341</v>
      </c>
      <c r="C135" s="25" t="s">
        <v>398</v>
      </c>
      <c r="D135" s="20">
        <v>0</v>
      </c>
      <c r="E135" s="27">
        <v>0</v>
      </c>
      <c r="F135" s="22" t="s">
        <v>53</v>
      </c>
      <c r="G135" s="29">
        <v>15840</v>
      </c>
      <c r="H135" s="39">
        <v>45040</v>
      </c>
      <c r="I135" s="46">
        <f t="shared" si="8"/>
        <v>301</v>
      </c>
      <c r="J135" s="4" t="s">
        <v>12</v>
      </c>
      <c r="K135" s="4" t="s">
        <v>197</v>
      </c>
      <c r="L135" s="4" t="s">
        <v>223</v>
      </c>
      <c r="M135" s="7">
        <v>15840</v>
      </c>
      <c r="N135" s="10">
        <v>0</v>
      </c>
      <c r="O135" s="10">
        <v>0</v>
      </c>
      <c r="P135">
        <f t="shared" si="9"/>
        <v>1</v>
      </c>
      <c r="Q135" s="36">
        <f t="shared" si="10"/>
        <v>0</v>
      </c>
      <c r="R135">
        <f t="shared" si="11"/>
        <v>2023</v>
      </c>
    </row>
    <row r="136" spans="1:18" x14ac:dyDescent="0.2">
      <c r="A136" s="23">
        <v>45348</v>
      </c>
      <c r="B136" s="23">
        <v>45348</v>
      </c>
      <c r="C136" s="25" t="s">
        <v>398</v>
      </c>
      <c r="D136" s="20">
        <v>0</v>
      </c>
      <c r="E136" s="27">
        <v>0</v>
      </c>
      <c r="F136" s="22" t="s">
        <v>53</v>
      </c>
      <c r="G136" s="29">
        <v>15840</v>
      </c>
      <c r="H136" s="39">
        <v>45040</v>
      </c>
      <c r="I136" s="46">
        <f t="shared" si="8"/>
        <v>308</v>
      </c>
      <c r="J136" s="4" t="s">
        <v>12</v>
      </c>
      <c r="K136" s="4" t="s">
        <v>197</v>
      </c>
      <c r="L136" s="4" t="s">
        <v>223</v>
      </c>
      <c r="M136" s="7">
        <v>15840</v>
      </c>
      <c r="N136" s="10">
        <v>0</v>
      </c>
      <c r="O136" s="10">
        <v>0</v>
      </c>
      <c r="P136">
        <f t="shared" si="9"/>
        <v>1</v>
      </c>
      <c r="Q136" s="36">
        <f t="shared" si="10"/>
        <v>0</v>
      </c>
      <c r="R136">
        <f t="shared" si="11"/>
        <v>2023</v>
      </c>
    </row>
    <row r="137" spans="1:18" x14ac:dyDescent="0.2">
      <c r="A137" s="23">
        <v>45355</v>
      </c>
      <c r="B137" s="23">
        <v>45355</v>
      </c>
      <c r="C137" s="25" t="s">
        <v>398</v>
      </c>
      <c r="D137" s="20">
        <v>0</v>
      </c>
      <c r="E137" s="27">
        <v>0</v>
      </c>
      <c r="F137" s="22" t="s">
        <v>53</v>
      </c>
      <c r="G137" s="29">
        <v>26400</v>
      </c>
      <c r="H137" s="39">
        <v>45040</v>
      </c>
      <c r="I137" s="46">
        <f t="shared" si="8"/>
        <v>315</v>
      </c>
      <c r="J137" s="4" t="s">
        <v>12</v>
      </c>
      <c r="K137" s="4" t="s">
        <v>197</v>
      </c>
      <c r="L137" s="4" t="s">
        <v>223</v>
      </c>
      <c r="M137" s="7">
        <v>26400</v>
      </c>
      <c r="N137" s="10">
        <v>0</v>
      </c>
      <c r="O137" s="10">
        <v>0</v>
      </c>
      <c r="P137">
        <f t="shared" si="9"/>
        <v>1</v>
      </c>
      <c r="Q137" s="36">
        <f t="shared" si="10"/>
        <v>0</v>
      </c>
      <c r="R137">
        <f t="shared" si="11"/>
        <v>2023</v>
      </c>
    </row>
    <row r="138" spans="1:18" x14ac:dyDescent="0.2">
      <c r="A138" s="23">
        <v>45362</v>
      </c>
      <c r="B138" s="23">
        <v>45362</v>
      </c>
      <c r="C138" s="25" t="s">
        <v>398</v>
      </c>
      <c r="D138" s="20">
        <v>0</v>
      </c>
      <c r="E138" s="27">
        <v>0</v>
      </c>
      <c r="F138" s="22" t="s">
        <v>53</v>
      </c>
      <c r="G138" s="29">
        <v>26400</v>
      </c>
      <c r="H138" s="39">
        <v>45040</v>
      </c>
      <c r="I138" s="46">
        <f t="shared" si="8"/>
        <v>322</v>
      </c>
      <c r="J138" s="4" t="s">
        <v>12</v>
      </c>
      <c r="K138" s="4" t="s">
        <v>197</v>
      </c>
      <c r="L138" s="4" t="s">
        <v>223</v>
      </c>
      <c r="M138" s="7">
        <v>26400</v>
      </c>
      <c r="N138" s="10">
        <v>0</v>
      </c>
      <c r="O138" s="10">
        <v>0</v>
      </c>
      <c r="P138">
        <f t="shared" si="9"/>
        <v>1</v>
      </c>
      <c r="Q138" s="36">
        <f t="shared" si="10"/>
        <v>0</v>
      </c>
      <c r="R138">
        <f t="shared" si="11"/>
        <v>2023</v>
      </c>
    </row>
    <row r="139" spans="1:18" x14ac:dyDescent="0.2">
      <c r="A139" s="23">
        <v>45369</v>
      </c>
      <c r="B139" s="23">
        <v>45369</v>
      </c>
      <c r="C139" s="25" t="s">
        <v>398</v>
      </c>
      <c r="D139" s="20">
        <v>0</v>
      </c>
      <c r="E139" s="27">
        <v>0</v>
      </c>
      <c r="F139" s="22" t="s">
        <v>53</v>
      </c>
      <c r="G139" s="29">
        <v>26400</v>
      </c>
      <c r="H139" s="39">
        <v>45040</v>
      </c>
      <c r="I139" s="46">
        <f t="shared" si="8"/>
        <v>329</v>
      </c>
      <c r="J139" s="4" t="s">
        <v>12</v>
      </c>
      <c r="K139" s="4" t="s">
        <v>197</v>
      </c>
      <c r="L139" s="4" t="s">
        <v>223</v>
      </c>
      <c r="M139" s="7">
        <v>26400</v>
      </c>
      <c r="N139" s="10">
        <v>0</v>
      </c>
      <c r="O139" s="10">
        <v>0</v>
      </c>
      <c r="P139">
        <f t="shared" si="9"/>
        <v>1</v>
      </c>
      <c r="Q139" s="36">
        <f t="shared" si="10"/>
        <v>0</v>
      </c>
      <c r="R139">
        <f t="shared" si="11"/>
        <v>2023</v>
      </c>
    </row>
    <row r="140" spans="1:18" x14ac:dyDescent="0.2">
      <c r="A140" s="23">
        <v>45376</v>
      </c>
      <c r="B140" s="23">
        <v>45376</v>
      </c>
      <c r="C140" s="25" t="s">
        <v>398</v>
      </c>
      <c r="D140" s="20">
        <v>0</v>
      </c>
      <c r="E140" s="27">
        <v>0</v>
      </c>
      <c r="F140" s="22" t="s">
        <v>53</v>
      </c>
      <c r="G140" s="29">
        <v>26400</v>
      </c>
      <c r="H140" s="39">
        <v>45040</v>
      </c>
      <c r="I140" s="46">
        <f t="shared" si="8"/>
        <v>336</v>
      </c>
      <c r="J140" s="4" t="s">
        <v>12</v>
      </c>
      <c r="K140" s="4" t="s">
        <v>197</v>
      </c>
      <c r="L140" s="4" t="s">
        <v>223</v>
      </c>
      <c r="M140" s="7">
        <v>26400</v>
      </c>
      <c r="N140" s="10">
        <v>0</v>
      </c>
      <c r="O140" s="10">
        <v>0</v>
      </c>
      <c r="P140">
        <f t="shared" si="9"/>
        <v>1</v>
      </c>
      <c r="Q140" s="36">
        <f t="shared" si="10"/>
        <v>0</v>
      </c>
      <c r="R140">
        <f t="shared" si="11"/>
        <v>2023</v>
      </c>
    </row>
    <row r="141" spans="1:18" x14ac:dyDescent="0.2">
      <c r="A141" s="23">
        <v>45383</v>
      </c>
      <c r="B141" s="23">
        <v>45383</v>
      </c>
      <c r="C141" s="25" t="s">
        <v>398</v>
      </c>
      <c r="D141" s="20">
        <v>0</v>
      </c>
      <c r="E141" s="27">
        <v>0</v>
      </c>
      <c r="F141" s="22" t="s">
        <v>53</v>
      </c>
      <c r="G141" s="29">
        <v>26400</v>
      </c>
      <c r="H141" s="39">
        <v>45040</v>
      </c>
      <c r="I141" s="46">
        <f t="shared" si="8"/>
        <v>343</v>
      </c>
      <c r="J141" s="4" t="s">
        <v>12</v>
      </c>
      <c r="K141" s="4" t="s">
        <v>197</v>
      </c>
      <c r="L141" s="4" t="s">
        <v>223</v>
      </c>
      <c r="M141" s="7">
        <v>26400</v>
      </c>
      <c r="N141" s="10">
        <v>0</v>
      </c>
      <c r="O141" s="10">
        <v>0</v>
      </c>
      <c r="P141">
        <f t="shared" si="9"/>
        <v>1</v>
      </c>
      <c r="Q141" s="36">
        <f t="shared" si="10"/>
        <v>0</v>
      </c>
      <c r="R141">
        <f t="shared" si="11"/>
        <v>2023</v>
      </c>
    </row>
    <row r="142" spans="1:18" x14ac:dyDescent="0.2">
      <c r="A142" s="23">
        <v>45390</v>
      </c>
      <c r="B142" s="23">
        <v>45390</v>
      </c>
      <c r="C142" s="25" t="s">
        <v>398</v>
      </c>
      <c r="D142" s="20">
        <v>0</v>
      </c>
      <c r="E142" s="27">
        <v>0</v>
      </c>
      <c r="F142" s="22" t="s">
        <v>53</v>
      </c>
      <c r="G142" s="29">
        <v>26400</v>
      </c>
      <c r="H142" s="39">
        <v>45040</v>
      </c>
      <c r="I142" s="46">
        <f t="shared" si="8"/>
        <v>350</v>
      </c>
      <c r="J142" s="4" t="s">
        <v>12</v>
      </c>
      <c r="K142" s="4" t="s">
        <v>197</v>
      </c>
      <c r="L142" s="4" t="s">
        <v>223</v>
      </c>
      <c r="M142" s="7">
        <v>26400</v>
      </c>
      <c r="N142" s="10">
        <v>0</v>
      </c>
      <c r="O142" s="10">
        <v>0</v>
      </c>
      <c r="P142">
        <f t="shared" si="9"/>
        <v>1</v>
      </c>
      <c r="Q142" s="36">
        <f t="shared" si="10"/>
        <v>0</v>
      </c>
      <c r="R142">
        <f t="shared" si="11"/>
        <v>2023</v>
      </c>
    </row>
    <row r="143" spans="1:18" x14ac:dyDescent="0.2">
      <c r="A143" s="23">
        <v>45397</v>
      </c>
      <c r="B143" s="23">
        <v>45397</v>
      </c>
      <c r="C143" s="25" t="s">
        <v>398</v>
      </c>
      <c r="D143" s="20">
        <v>0</v>
      </c>
      <c r="E143" s="27">
        <v>0</v>
      </c>
      <c r="F143" s="22" t="s">
        <v>53</v>
      </c>
      <c r="G143" s="29">
        <v>26400</v>
      </c>
      <c r="H143" s="39">
        <v>45040</v>
      </c>
      <c r="I143" s="46">
        <f t="shared" si="8"/>
        <v>357</v>
      </c>
      <c r="J143" s="4" t="s">
        <v>12</v>
      </c>
      <c r="K143" s="4" t="s">
        <v>197</v>
      </c>
      <c r="L143" s="4" t="s">
        <v>223</v>
      </c>
      <c r="M143" s="7">
        <v>26400</v>
      </c>
      <c r="N143" s="10">
        <v>0</v>
      </c>
      <c r="O143" s="10">
        <v>0</v>
      </c>
      <c r="P143">
        <f t="shared" si="9"/>
        <v>1</v>
      </c>
      <c r="Q143" s="36">
        <f t="shared" si="10"/>
        <v>0</v>
      </c>
      <c r="R143">
        <f t="shared" si="11"/>
        <v>2023</v>
      </c>
    </row>
    <row r="144" spans="1:18" x14ac:dyDescent="0.2">
      <c r="A144" s="23">
        <v>45404</v>
      </c>
      <c r="B144" s="23">
        <v>45404</v>
      </c>
      <c r="C144" s="25" t="s">
        <v>398</v>
      </c>
      <c r="D144" s="20">
        <v>0</v>
      </c>
      <c r="E144" s="27">
        <v>0</v>
      </c>
      <c r="F144" s="22" t="s">
        <v>53</v>
      </c>
      <c r="G144" s="29">
        <v>26400</v>
      </c>
      <c r="H144" s="39">
        <v>45040</v>
      </c>
      <c r="I144" s="46">
        <f t="shared" si="8"/>
        <v>364</v>
      </c>
      <c r="J144" s="4" t="s">
        <v>12</v>
      </c>
      <c r="K144" s="4" t="s">
        <v>197</v>
      </c>
      <c r="L144" s="4" t="s">
        <v>223</v>
      </c>
      <c r="M144" s="7">
        <v>26400</v>
      </c>
      <c r="N144" s="10">
        <v>0</v>
      </c>
      <c r="O144" s="10">
        <v>0</v>
      </c>
      <c r="P144">
        <f t="shared" si="9"/>
        <v>1</v>
      </c>
      <c r="Q144" s="36">
        <f t="shared" si="10"/>
        <v>0</v>
      </c>
      <c r="R144">
        <f t="shared" si="11"/>
        <v>2023</v>
      </c>
    </row>
    <row r="145" spans="1:18" x14ac:dyDescent="0.2">
      <c r="A145" s="23">
        <v>45411</v>
      </c>
      <c r="B145" s="23">
        <v>45411</v>
      </c>
      <c r="C145" s="25" t="s">
        <v>398</v>
      </c>
      <c r="D145" s="20">
        <v>0</v>
      </c>
      <c r="E145" s="27">
        <v>0</v>
      </c>
      <c r="F145" s="22" t="s">
        <v>53</v>
      </c>
      <c r="G145" s="29">
        <v>26400</v>
      </c>
      <c r="H145" s="39">
        <v>45040</v>
      </c>
      <c r="I145" s="46">
        <f t="shared" si="8"/>
        <v>371</v>
      </c>
      <c r="J145" s="4" t="s">
        <v>12</v>
      </c>
      <c r="K145" s="4" t="s">
        <v>197</v>
      </c>
      <c r="L145" s="4" t="s">
        <v>223</v>
      </c>
      <c r="M145" s="7">
        <v>26400</v>
      </c>
      <c r="N145" s="10">
        <v>0</v>
      </c>
      <c r="O145" s="10">
        <v>0</v>
      </c>
      <c r="P145">
        <f t="shared" si="9"/>
        <v>1</v>
      </c>
      <c r="Q145" s="36">
        <f t="shared" si="10"/>
        <v>0</v>
      </c>
      <c r="R145">
        <f t="shared" si="11"/>
        <v>2023</v>
      </c>
    </row>
    <row r="146" spans="1:18" x14ac:dyDescent="0.2">
      <c r="A146" s="23">
        <v>45418</v>
      </c>
      <c r="B146" s="23">
        <v>45418</v>
      </c>
      <c r="C146" s="25" t="s">
        <v>398</v>
      </c>
      <c r="D146" s="20">
        <v>0</v>
      </c>
      <c r="E146" s="27">
        <v>0</v>
      </c>
      <c r="F146" s="22" t="s">
        <v>53</v>
      </c>
      <c r="G146" s="29">
        <v>21120</v>
      </c>
      <c r="H146" s="39">
        <v>45040</v>
      </c>
      <c r="I146" s="46">
        <f t="shared" si="8"/>
        <v>378</v>
      </c>
      <c r="J146" s="4" t="s">
        <v>12</v>
      </c>
      <c r="K146" s="4" t="s">
        <v>197</v>
      </c>
      <c r="L146" s="4" t="s">
        <v>223</v>
      </c>
      <c r="M146" s="7">
        <v>21120</v>
      </c>
      <c r="N146" s="10">
        <v>0</v>
      </c>
      <c r="O146" s="10">
        <v>0</v>
      </c>
      <c r="P146">
        <f t="shared" si="9"/>
        <v>1</v>
      </c>
      <c r="Q146" s="36">
        <f t="shared" si="10"/>
        <v>0</v>
      </c>
      <c r="R146">
        <f t="shared" si="11"/>
        <v>2023</v>
      </c>
    </row>
    <row r="147" spans="1:18" x14ac:dyDescent="0.2">
      <c r="A147" s="23">
        <v>45425</v>
      </c>
      <c r="B147" s="23">
        <v>45425</v>
      </c>
      <c r="C147" s="25" t="s">
        <v>398</v>
      </c>
      <c r="D147" s="20">
        <v>0</v>
      </c>
      <c r="E147" s="27">
        <v>0</v>
      </c>
      <c r="F147" s="22" t="s">
        <v>53</v>
      </c>
      <c r="G147" s="29">
        <v>26400</v>
      </c>
      <c r="H147" s="39">
        <v>45040</v>
      </c>
      <c r="I147" s="46">
        <f t="shared" si="8"/>
        <v>385</v>
      </c>
      <c r="J147" s="4" t="s">
        <v>12</v>
      </c>
      <c r="K147" s="4" t="s">
        <v>197</v>
      </c>
      <c r="L147" s="4" t="s">
        <v>223</v>
      </c>
      <c r="M147" s="7">
        <v>26400</v>
      </c>
      <c r="N147" s="10">
        <v>0</v>
      </c>
      <c r="O147" s="10">
        <v>0</v>
      </c>
      <c r="P147">
        <f t="shared" si="9"/>
        <v>1</v>
      </c>
      <c r="Q147" s="36">
        <f t="shared" si="10"/>
        <v>0</v>
      </c>
      <c r="R147">
        <f t="shared" si="11"/>
        <v>2023</v>
      </c>
    </row>
    <row r="148" spans="1:18" x14ac:dyDescent="0.2">
      <c r="A148" s="23">
        <v>45432</v>
      </c>
      <c r="B148" s="23">
        <v>45432</v>
      </c>
      <c r="C148" s="25" t="s">
        <v>398</v>
      </c>
      <c r="D148" s="20">
        <v>0</v>
      </c>
      <c r="E148" s="27">
        <v>0</v>
      </c>
      <c r="F148" s="22" t="s">
        <v>53</v>
      </c>
      <c r="G148" s="29">
        <v>21120</v>
      </c>
      <c r="H148" s="39">
        <v>45040</v>
      </c>
      <c r="I148" s="46">
        <f t="shared" si="8"/>
        <v>392</v>
      </c>
      <c r="J148" s="4" t="s">
        <v>12</v>
      </c>
      <c r="K148" s="4" t="s">
        <v>197</v>
      </c>
      <c r="L148" s="4" t="s">
        <v>223</v>
      </c>
      <c r="M148" s="7">
        <v>21120</v>
      </c>
      <c r="N148" s="10">
        <v>0</v>
      </c>
      <c r="O148" s="10">
        <v>0</v>
      </c>
      <c r="P148">
        <f t="shared" si="9"/>
        <v>1</v>
      </c>
      <c r="Q148" s="36">
        <f t="shared" si="10"/>
        <v>0</v>
      </c>
      <c r="R148">
        <f t="shared" si="11"/>
        <v>2023</v>
      </c>
    </row>
    <row r="149" spans="1:18" x14ac:dyDescent="0.2">
      <c r="A149" s="23">
        <v>45439</v>
      </c>
      <c r="B149" s="23">
        <v>45439</v>
      </c>
      <c r="C149" s="25" t="s">
        <v>398</v>
      </c>
      <c r="D149" s="20">
        <v>0</v>
      </c>
      <c r="E149" s="27">
        <v>0</v>
      </c>
      <c r="F149" s="22" t="s">
        <v>53</v>
      </c>
      <c r="G149" s="29">
        <v>21120</v>
      </c>
      <c r="H149" s="39">
        <v>45040</v>
      </c>
      <c r="I149" s="46">
        <f t="shared" si="8"/>
        <v>399</v>
      </c>
      <c r="J149" s="4" t="s">
        <v>12</v>
      </c>
      <c r="K149" s="4" t="s">
        <v>197</v>
      </c>
      <c r="L149" s="4" t="s">
        <v>223</v>
      </c>
      <c r="M149" s="7">
        <v>21120</v>
      </c>
      <c r="N149" s="10">
        <v>0</v>
      </c>
      <c r="O149" s="10">
        <v>0</v>
      </c>
      <c r="P149">
        <f t="shared" si="9"/>
        <v>1</v>
      </c>
      <c r="Q149" s="36">
        <f t="shared" si="10"/>
        <v>0</v>
      </c>
      <c r="R149">
        <f t="shared" si="11"/>
        <v>2023</v>
      </c>
    </row>
    <row r="150" spans="1:18" x14ac:dyDescent="0.2">
      <c r="A150" s="23">
        <v>45446</v>
      </c>
      <c r="B150" s="23">
        <v>45446</v>
      </c>
      <c r="C150" s="25" t="s">
        <v>398</v>
      </c>
      <c r="D150" s="20">
        <v>0</v>
      </c>
      <c r="E150" s="27">
        <v>0</v>
      </c>
      <c r="F150" s="22" t="s">
        <v>53</v>
      </c>
      <c r="G150" s="29">
        <v>21120</v>
      </c>
      <c r="H150" s="39">
        <v>45040</v>
      </c>
      <c r="I150" s="46">
        <f t="shared" si="8"/>
        <v>406</v>
      </c>
      <c r="J150" s="4" t="s">
        <v>12</v>
      </c>
      <c r="K150" s="4" t="s">
        <v>197</v>
      </c>
      <c r="L150" s="4" t="s">
        <v>223</v>
      </c>
      <c r="M150" s="7">
        <v>21120</v>
      </c>
      <c r="N150" s="10">
        <v>0</v>
      </c>
      <c r="O150" s="10">
        <v>0</v>
      </c>
      <c r="P150">
        <f t="shared" si="9"/>
        <v>1</v>
      </c>
      <c r="Q150" s="36">
        <f t="shared" si="10"/>
        <v>0</v>
      </c>
      <c r="R150">
        <f t="shared" si="11"/>
        <v>2023</v>
      </c>
    </row>
    <row r="151" spans="1:18" x14ac:dyDescent="0.2">
      <c r="A151" s="23">
        <v>45453</v>
      </c>
      <c r="B151" s="23">
        <v>45453</v>
      </c>
      <c r="C151" s="25" t="s">
        <v>398</v>
      </c>
      <c r="D151" s="20">
        <v>0</v>
      </c>
      <c r="E151" s="27">
        <v>0</v>
      </c>
      <c r="F151" s="22" t="s">
        <v>53</v>
      </c>
      <c r="G151" s="29">
        <v>21120</v>
      </c>
      <c r="H151" s="39">
        <v>45040</v>
      </c>
      <c r="I151" s="46">
        <f t="shared" si="8"/>
        <v>413</v>
      </c>
      <c r="J151" s="4" t="s">
        <v>12</v>
      </c>
      <c r="K151" s="4" t="s">
        <v>197</v>
      </c>
      <c r="L151" s="4" t="s">
        <v>223</v>
      </c>
      <c r="M151" s="7">
        <v>21120</v>
      </c>
      <c r="N151" s="10">
        <v>0</v>
      </c>
      <c r="O151" s="10">
        <v>0</v>
      </c>
      <c r="P151">
        <f t="shared" si="9"/>
        <v>1</v>
      </c>
      <c r="Q151" s="36">
        <f t="shared" si="10"/>
        <v>0</v>
      </c>
      <c r="R151">
        <f t="shared" si="11"/>
        <v>2023</v>
      </c>
    </row>
    <row r="152" spans="1:18" x14ac:dyDescent="0.2">
      <c r="A152" s="23">
        <v>45467</v>
      </c>
      <c r="B152" s="23">
        <v>45467</v>
      </c>
      <c r="C152" s="25" t="s">
        <v>398</v>
      </c>
      <c r="D152" s="20">
        <v>0</v>
      </c>
      <c r="E152" s="27">
        <v>0</v>
      </c>
      <c r="F152" s="22" t="s">
        <v>53</v>
      </c>
      <c r="G152" s="29">
        <v>10560</v>
      </c>
      <c r="H152" s="39">
        <v>45040</v>
      </c>
      <c r="I152" s="46">
        <f t="shared" si="8"/>
        <v>427</v>
      </c>
      <c r="J152" s="4" t="s">
        <v>12</v>
      </c>
      <c r="K152" s="4" t="s">
        <v>197</v>
      </c>
      <c r="L152" s="4" t="s">
        <v>223</v>
      </c>
      <c r="M152" s="7">
        <v>10560</v>
      </c>
      <c r="N152" s="10">
        <v>0</v>
      </c>
      <c r="O152" s="10">
        <v>0</v>
      </c>
      <c r="P152">
        <f t="shared" si="9"/>
        <v>1</v>
      </c>
      <c r="Q152" s="36">
        <f t="shared" si="10"/>
        <v>0</v>
      </c>
      <c r="R152">
        <f t="shared" si="11"/>
        <v>2023</v>
      </c>
    </row>
    <row r="153" spans="1:18" x14ac:dyDescent="0.2">
      <c r="A153" s="23">
        <v>45474</v>
      </c>
      <c r="B153" s="23">
        <v>45474</v>
      </c>
      <c r="C153" s="25" t="s">
        <v>398</v>
      </c>
      <c r="D153" s="20">
        <v>0</v>
      </c>
      <c r="E153" s="27">
        <v>0</v>
      </c>
      <c r="F153" s="22" t="s">
        <v>53</v>
      </c>
      <c r="G153" s="29">
        <v>10560</v>
      </c>
      <c r="H153" s="39">
        <v>45040</v>
      </c>
      <c r="I153" s="46">
        <f t="shared" si="8"/>
        <v>434</v>
      </c>
      <c r="J153" s="4" t="s">
        <v>12</v>
      </c>
      <c r="K153" s="4" t="s">
        <v>197</v>
      </c>
      <c r="L153" s="4" t="s">
        <v>223</v>
      </c>
      <c r="M153" s="7">
        <v>10560</v>
      </c>
      <c r="N153" s="10">
        <v>0</v>
      </c>
      <c r="O153" s="10">
        <v>0</v>
      </c>
      <c r="P153">
        <f t="shared" si="9"/>
        <v>1</v>
      </c>
      <c r="Q153" s="36">
        <f t="shared" si="10"/>
        <v>0</v>
      </c>
      <c r="R153">
        <f t="shared" si="11"/>
        <v>2023</v>
      </c>
    </row>
    <row r="154" spans="1:18" x14ac:dyDescent="0.2">
      <c r="A154" s="23">
        <v>45481</v>
      </c>
      <c r="B154" s="23">
        <v>45481</v>
      </c>
      <c r="C154" s="25" t="s">
        <v>398</v>
      </c>
      <c r="D154" s="20">
        <v>0</v>
      </c>
      <c r="E154" s="27">
        <v>0</v>
      </c>
      <c r="F154" s="22" t="s">
        <v>53</v>
      </c>
      <c r="G154" s="29">
        <v>15840</v>
      </c>
      <c r="H154" s="39">
        <v>45040</v>
      </c>
      <c r="I154" s="46">
        <f t="shared" si="8"/>
        <v>441</v>
      </c>
      <c r="J154" s="4" t="s">
        <v>12</v>
      </c>
      <c r="K154" s="4" t="s">
        <v>197</v>
      </c>
      <c r="L154" s="4" t="s">
        <v>223</v>
      </c>
      <c r="M154" s="7">
        <v>15840</v>
      </c>
      <c r="N154" s="10">
        <v>0</v>
      </c>
      <c r="O154" s="10">
        <v>0</v>
      </c>
      <c r="P154">
        <f t="shared" si="9"/>
        <v>1</v>
      </c>
      <c r="Q154" s="36">
        <f t="shared" si="10"/>
        <v>0</v>
      </c>
      <c r="R154">
        <f t="shared" si="11"/>
        <v>2023</v>
      </c>
    </row>
    <row r="155" spans="1:18" x14ac:dyDescent="0.2">
      <c r="A155" s="23">
        <v>45488</v>
      </c>
      <c r="B155" s="23">
        <v>45488</v>
      </c>
      <c r="C155" s="25" t="s">
        <v>398</v>
      </c>
      <c r="D155" s="20">
        <v>0</v>
      </c>
      <c r="E155" s="27">
        <v>0</v>
      </c>
      <c r="F155" s="22" t="s">
        <v>53</v>
      </c>
      <c r="G155" s="29">
        <v>10560</v>
      </c>
      <c r="H155" s="39">
        <v>45040</v>
      </c>
      <c r="I155" s="46">
        <f t="shared" si="8"/>
        <v>448</v>
      </c>
      <c r="J155" s="4" t="s">
        <v>12</v>
      </c>
      <c r="K155" s="4" t="s">
        <v>197</v>
      </c>
      <c r="L155" s="4" t="s">
        <v>223</v>
      </c>
      <c r="M155" s="7">
        <v>10560</v>
      </c>
      <c r="N155" s="10">
        <v>0</v>
      </c>
      <c r="O155" s="10">
        <v>0</v>
      </c>
      <c r="P155">
        <f t="shared" si="9"/>
        <v>1</v>
      </c>
      <c r="Q155" s="36">
        <f t="shared" si="10"/>
        <v>0</v>
      </c>
      <c r="R155">
        <f t="shared" si="11"/>
        <v>2023</v>
      </c>
    </row>
    <row r="156" spans="1:18" x14ac:dyDescent="0.2">
      <c r="A156" s="23">
        <v>45495</v>
      </c>
      <c r="B156" s="23">
        <v>45495</v>
      </c>
      <c r="C156" s="25" t="s">
        <v>398</v>
      </c>
      <c r="D156" s="20">
        <v>0</v>
      </c>
      <c r="E156" s="27">
        <v>0</v>
      </c>
      <c r="F156" s="22" t="s">
        <v>53</v>
      </c>
      <c r="G156" s="29">
        <v>10560</v>
      </c>
      <c r="H156" s="39">
        <v>45040</v>
      </c>
      <c r="I156" s="46">
        <f t="shared" si="8"/>
        <v>455</v>
      </c>
      <c r="J156" s="4" t="s">
        <v>12</v>
      </c>
      <c r="K156" s="4" t="s">
        <v>197</v>
      </c>
      <c r="L156" s="4" t="s">
        <v>223</v>
      </c>
      <c r="M156" s="7">
        <v>10560</v>
      </c>
      <c r="N156" s="10">
        <v>0</v>
      </c>
      <c r="O156" s="10">
        <v>0</v>
      </c>
      <c r="P156">
        <f t="shared" si="9"/>
        <v>1</v>
      </c>
      <c r="Q156" s="36">
        <f t="shared" si="10"/>
        <v>0</v>
      </c>
      <c r="R156">
        <f t="shared" si="11"/>
        <v>2023</v>
      </c>
    </row>
    <row r="157" spans="1:18" x14ac:dyDescent="0.2">
      <c r="A157" s="23">
        <v>45502</v>
      </c>
      <c r="B157" s="23">
        <v>45502</v>
      </c>
      <c r="C157" s="25" t="s">
        <v>398</v>
      </c>
      <c r="D157" s="20">
        <v>0</v>
      </c>
      <c r="E157" s="27">
        <v>0</v>
      </c>
      <c r="F157" s="22" t="s">
        <v>53</v>
      </c>
      <c r="G157" s="29">
        <v>10560</v>
      </c>
      <c r="H157" s="39">
        <v>45040</v>
      </c>
      <c r="I157" s="46">
        <f t="shared" si="8"/>
        <v>462</v>
      </c>
      <c r="J157" s="4" t="s">
        <v>12</v>
      </c>
      <c r="K157" s="4" t="s">
        <v>197</v>
      </c>
      <c r="L157" s="4" t="s">
        <v>223</v>
      </c>
      <c r="M157" s="7">
        <v>10560</v>
      </c>
      <c r="N157" s="10">
        <v>0</v>
      </c>
      <c r="O157" s="10">
        <v>0</v>
      </c>
      <c r="P157">
        <f t="shared" si="9"/>
        <v>1</v>
      </c>
      <c r="Q157" s="36">
        <f t="shared" si="10"/>
        <v>0</v>
      </c>
      <c r="R157">
        <f t="shared" si="11"/>
        <v>2023</v>
      </c>
    </row>
    <row r="158" spans="1:18" x14ac:dyDescent="0.2">
      <c r="A158" s="23">
        <v>45509</v>
      </c>
      <c r="B158" s="23">
        <v>45509</v>
      </c>
      <c r="C158" s="25" t="s">
        <v>398</v>
      </c>
      <c r="D158" s="20">
        <v>0</v>
      </c>
      <c r="E158" s="27">
        <v>0</v>
      </c>
      <c r="F158" s="22" t="s">
        <v>53</v>
      </c>
      <c r="G158" s="29">
        <v>10560</v>
      </c>
      <c r="H158" s="39">
        <v>45040</v>
      </c>
      <c r="I158" s="46">
        <f t="shared" si="8"/>
        <v>469</v>
      </c>
      <c r="J158" s="4" t="s">
        <v>12</v>
      </c>
      <c r="K158" s="4" t="s">
        <v>197</v>
      </c>
      <c r="L158" s="4" t="s">
        <v>223</v>
      </c>
      <c r="M158" s="7">
        <v>10560</v>
      </c>
      <c r="N158" s="10">
        <v>0</v>
      </c>
      <c r="O158" s="10">
        <v>0</v>
      </c>
      <c r="P158">
        <f t="shared" si="9"/>
        <v>1</v>
      </c>
      <c r="Q158" s="36">
        <f t="shared" si="10"/>
        <v>0</v>
      </c>
      <c r="R158">
        <f t="shared" si="11"/>
        <v>2023</v>
      </c>
    </row>
    <row r="159" spans="1:18" x14ac:dyDescent="0.2">
      <c r="A159" s="23">
        <v>45516</v>
      </c>
      <c r="B159" s="23">
        <v>45516</v>
      </c>
      <c r="C159" s="25" t="s">
        <v>398</v>
      </c>
      <c r="D159" s="20">
        <v>0</v>
      </c>
      <c r="E159" s="27">
        <v>0</v>
      </c>
      <c r="F159" s="22" t="s">
        <v>53</v>
      </c>
      <c r="G159" s="29">
        <v>10560</v>
      </c>
      <c r="H159" s="39">
        <v>45040</v>
      </c>
      <c r="I159" s="46">
        <f t="shared" si="8"/>
        <v>476</v>
      </c>
      <c r="J159" s="4" t="s">
        <v>12</v>
      </c>
      <c r="K159" s="4" t="s">
        <v>197</v>
      </c>
      <c r="L159" s="4" t="s">
        <v>223</v>
      </c>
      <c r="M159" s="7">
        <v>10560</v>
      </c>
      <c r="N159" s="10">
        <v>0</v>
      </c>
      <c r="O159" s="10">
        <v>0</v>
      </c>
      <c r="P159">
        <f t="shared" si="9"/>
        <v>1</v>
      </c>
      <c r="Q159" s="36">
        <f t="shared" si="10"/>
        <v>0</v>
      </c>
      <c r="R159">
        <f t="shared" si="11"/>
        <v>2023</v>
      </c>
    </row>
    <row r="160" spans="1:18" x14ac:dyDescent="0.2">
      <c r="A160" s="23">
        <v>45523</v>
      </c>
      <c r="B160" s="23">
        <v>45523</v>
      </c>
      <c r="C160" s="25" t="s">
        <v>398</v>
      </c>
      <c r="D160" s="20">
        <v>0</v>
      </c>
      <c r="E160" s="27">
        <v>0</v>
      </c>
      <c r="F160" s="22" t="s">
        <v>53</v>
      </c>
      <c r="G160" s="29">
        <v>10560</v>
      </c>
      <c r="H160" s="39">
        <v>45040</v>
      </c>
      <c r="I160" s="46">
        <f t="shared" si="8"/>
        <v>483</v>
      </c>
      <c r="J160" s="4" t="s">
        <v>12</v>
      </c>
      <c r="K160" s="4" t="s">
        <v>197</v>
      </c>
      <c r="L160" s="4" t="s">
        <v>223</v>
      </c>
      <c r="M160" s="7">
        <v>10560</v>
      </c>
      <c r="N160" s="10">
        <v>0</v>
      </c>
      <c r="O160" s="10">
        <v>0</v>
      </c>
      <c r="P160">
        <f t="shared" si="9"/>
        <v>1</v>
      </c>
      <c r="Q160" s="36">
        <f t="shared" si="10"/>
        <v>0</v>
      </c>
      <c r="R160">
        <f t="shared" si="11"/>
        <v>2023</v>
      </c>
    </row>
    <row r="161" spans="1:18" x14ac:dyDescent="0.2">
      <c r="A161" s="23">
        <v>45530</v>
      </c>
      <c r="B161" s="23">
        <v>45530</v>
      </c>
      <c r="C161" s="25" t="s">
        <v>398</v>
      </c>
      <c r="D161" s="20">
        <v>0</v>
      </c>
      <c r="E161" s="27">
        <v>0</v>
      </c>
      <c r="F161" s="22" t="s">
        <v>53</v>
      </c>
      <c r="G161" s="29">
        <v>10560</v>
      </c>
      <c r="H161" s="39">
        <v>45040</v>
      </c>
      <c r="I161" s="46">
        <f t="shared" si="8"/>
        <v>490</v>
      </c>
      <c r="J161" s="4" t="s">
        <v>12</v>
      </c>
      <c r="K161" s="4" t="s">
        <v>197</v>
      </c>
      <c r="L161" s="4" t="s">
        <v>223</v>
      </c>
      <c r="M161" s="7">
        <v>10560</v>
      </c>
      <c r="N161" s="10">
        <v>0</v>
      </c>
      <c r="O161" s="10">
        <v>0</v>
      </c>
      <c r="P161">
        <f t="shared" si="9"/>
        <v>1</v>
      </c>
      <c r="Q161" s="36">
        <f t="shared" si="10"/>
        <v>0</v>
      </c>
      <c r="R161">
        <f t="shared" si="11"/>
        <v>2023</v>
      </c>
    </row>
    <row r="162" spans="1:18" x14ac:dyDescent="0.2">
      <c r="A162" s="23">
        <v>45537</v>
      </c>
      <c r="B162" s="23">
        <v>45537</v>
      </c>
      <c r="C162" s="25" t="s">
        <v>398</v>
      </c>
      <c r="D162" s="20">
        <v>0</v>
      </c>
      <c r="E162" s="27">
        <v>0</v>
      </c>
      <c r="F162" s="22" t="s">
        <v>53</v>
      </c>
      <c r="G162" s="29">
        <v>10560</v>
      </c>
      <c r="H162" s="39">
        <v>45040</v>
      </c>
      <c r="I162" s="46">
        <f t="shared" si="8"/>
        <v>497</v>
      </c>
      <c r="J162" s="4" t="s">
        <v>12</v>
      </c>
      <c r="K162" s="4" t="s">
        <v>197</v>
      </c>
      <c r="L162" s="4" t="s">
        <v>223</v>
      </c>
      <c r="M162" s="7">
        <v>10560</v>
      </c>
      <c r="N162" s="10">
        <v>0</v>
      </c>
      <c r="O162" s="10">
        <v>0</v>
      </c>
      <c r="P162">
        <f t="shared" si="9"/>
        <v>1</v>
      </c>
      <c r="Q162" s="36">
        <f t="shared" si="10"/>
        <v>0</v>
      </c>
      <c r="R162">
        <f t="shared" si="11"/>
        <v>2023</v>
      </c>
    </row>
    <row r="163" spans="1:18" x14ac:dyDescent="0.2">
      <c r="A163" s="23">
        <v>45544</v>
      </c>
      <c r="B163" s="23">
        <v>45544</v>
      </c>
      <c r="C163" s="25" t="s">
        <v>398</v>
      </c>
      <c r="D163" s="20">
        <v>0</v>
      </c>
      <c r="E163" s="27">
        <v>0</v>
      </c>
      <c r="F163" s="22" t="s">
        <v>53</v>
      </c>
      <c r="G163" s="29">
        <v>15840</v>
      </c>
      <c r="H163" s="39">
        <v>45040</v>
      </c>
      <c r="I163" s="46">
        <f t="shared" si="8"/>
        <v>504</v>
      </c>
      <c r="J163" s="4" t="s">
        <v>12</v>
      </c>
      <c r="K163" s="4" t="s">
        <v>197</v>
      </c>
      <c r="L163" s="4" t="s">
        <v>223</v>
      </c>
      <c r="M163" s="7">
        <v>15840</v>
      </c>
      <c r="N163" s="10">
        <v>0</v>
      </c>
      <c r="O163" s="10">
        <v>0</v>
      </c>
      <c r="P163">
        <f t="shared" si="9"/>
        <v>1</v>
      </c>
      <c r="Q163" s="36">
        <f t="shared" si="10"/>
        <v>0</v>
      </c>
      <c r="R163">
        <f t="shared" si="11"/>
        <v>2023</v>
      </c>
    </row>
    <row r="164" spans="1:18" x14ac:dyDescent="0.2">
      <c r="A164" s="23">
        <v>45551</v>
      </c>
      <c r="B164" s="23">
        <v>45551</v>
      </c>
      <c r="C164" s="25" t="s">
        <v>398</v>
      </c>
      <c r="D164" s="20">
        <v>0</v>
      </c>
      <c r="E164" s="27">
        <v>0</v>
      </c>
      <c r="F164" s="22" t="s">
        <v>53</v>
      </c>
      <c r="G164" s="29">
        <v>10560</v>
      </c>
      <c r="H164" s="39">
        <v>45040</v>
      </c>
      <c r="I164" s="46">
        <f t="shared" si="8"/>
        <v>511</v>
      </c>
      <c r="J164" s="4" t="s">
        <v>12</v>
      </c>
      <c r="K164" s="4" t="s">
        <v>197</v>
      </c>
      <c r="L164" s="4" t="s">
        <v>223</v>
      </c>
      <c r="M164" s="7">
        <v>10560</v>
      </c>
      <c r="N164" s="10">
        <v>0</v>
      </c>
      <c r="O164" s="10">
        <v>0</v>
      </c>
      <c r="P164">
        <f t="shared" si="9"/>
        <v>1</v>
      </c>
      <c r="Q164" s="36">
        <f t="shared" si="10"/>
        <v>0</v>
      </c>
      <c r="R164">
        <f t="shared" si="11"/>
        <v>2023</v>
      </c>
    </row>
    <row r="165" spans="1:18" x14ac:dyDescent="0.2">
      <c r="A165" s="23">
        <v>45558</v>
      </c>
      <c r="B165" s="23">
        <v>45558</v>
      </c>
      <c r="C165" s="25" t="s">
        <v>398</v>
      </c>
      <c r="D165" s="20">
        <v>0</v>
      </c>
      <c r="E165" s="27">
        <v>0</v>
      </c>
      <c r="F165" s="22" t="s">
        <v>53</v>
      </c>
      <c r="G165" s="29">
        <v>10560</v>
      </c>
      <c r="H165" s="39">
        <v>45040</v>
      </c>
      <c r="I165" s="46">
        <f t="shared" si="8"/>
        <v>518</v>
      </c>
      <c r="J165" s="4" t="s">
        <v>12</v>
      </c>
      <c r="K165" s="4" t="s">
        <v>197</v>
      </c>
      <c r="L165" s="4" t="s">
        <v>223</v>
      </c>
      <c r="M165" s="7">
        <v>10560</v>
      </c>
      <c r="N165" s="10">
        <v>0</v>
      </c>
      <c r="O165" s="10">
        <v>0</v>
      </c>
      <c r="P165">
        <f t="shared" si="9"/>
        <v>1</v>
      </c>
      <c r="Q165" s="36">
        <f t="shared" si="10"/>
        <v>0</v>
      </c>
      <c r="R165">
        <f t="shared" si="11"/>
        <v>2023</v>
      </c>
    </row>
    <row r="166" spans="1:18" x14ac:dyDescent="0.2">
      <c r="A166" s="23">
        <v>45565</v>
      </c>
      <c r="B166" s="23">
        <v>45565</v>
      </c>
      <c r="C166" s="25" t="s">
        <v>398</v>
      </c>
      <c r="D166" s="20">
        <v>0</v>
      </c>
      <c r="E166" s="27">
        <v>0</v>
      </c>
      <c r="F166" s="22" t="s">
        <v>53</v>
      </c>
      <c r="G166" s="29">
        <v>15840</v>
      </c>
      <c r="H166" s="39">
        <v>45040</v>
      </c>
      <c r="I166" s="46">
        <f t="shared" si="8"/>
        <v>525</v>
      </c>
      <c r="J166" s="4" t="s">
        <v>12</v>
      </c>
      <c r="K166" s="4" t="s">
        <v>197</v>
      </c>
      <c r="L166" s="4" t="s">
        <v>223</v>
      </c>
      <c r="M166" s="7">
        <v>15840</v>
      </c>
      <c r="N166" s="10">
        <v>0</v>
      </c>
      <c r="O166" s="10">
        <v>0</v>
      </c>
      <c r="P166">
        <f t="shared" si="9"/>
        <v>1</v>
      </c>
      <c r="Q166" s="36">
        <f t="shared" si="10"/>
        <v>0</v>
      </c>
      <c r="R166">
        <f t="shared" si="11"/>
        <v>2023</v>
      </c>
    </row>
    <row r="167" spans="1:18" x14ac:dyDescent="0.2">
      <c r="A167" s="23">
        <v>45572</v>
      </c>
      <c r="B167" s="23">
        <v>45572</v>
      </c>
      <c r="C167" s="25" t="s">
        <v>398</v>
      </c>
      <c r="D167" s="20">
        <v>0</v>
      </c>
      <c r="E167" s="27">
        <v>0</v>
      </c>
      <c r="F167" s="22" t="s">
        <v>53</v>
      </c>
      <c r="G167" s="29">
        <v>10560</v>
      </c>
      <c r="H167" s="39">
        <v>45040</v>
      </c>
      <c r="I167" s="46">
        <f t="shared" si="8"/>
        <v>532</v>
      </c>
      <c r="J167" s="4" t="s">
        <v>12</v>
      </c>
      <c r="K167" s="4" t="s">
        <v>197</v>
      </c>
      <c r="L167" s="4" t="s">
        <v>223</v>
      </c>
      <c r="M167" s="7">
        <v>10560</v>
      </c>
      <c r="N167" s="10">
        <v>0</v>
      </c>
      <c r="O167" s="10">
        <v>0</v>
      </c>
      <c r="P167">
        <f t="shared" si="9"/>
        <v>1</v>
      </c>
      <c r="Q167" s="36">
        <f t="shared" si="10"/>
        <v>0</v>
      </c>
      <c r="R167">
        <f t="shared" si="11"/>
        <v>2023</v>
      </c>
    </row>
    <row r="168" spans="1:18" x14ac:dyDescent="0.2">
      <c r="A168" s="23">
        <v>45579</v>
      </c>
      <c r="B168" s="23">
        <v>45579</v>
      </c>
      <c r="C168" s="25" t="s">
        <v>398</v>
      </c>
      <c r="D168" s="20">
        <v>0</v>
      </c>
      <c r="E168" s="27">
        <v>0</v>
      </c>
      <c r="F168" s="22" t="s">
        <v>53</v>
      </c>
      <c r="G168" s="29">
        <v>10560</v>
      </c>
      <c r="H168" s="39">
        <v>45040</v>
      </c>
      <c r="I168" s="46">
        <f t="shared" si="8"/>
        <v>539</v>
      </c>
      <c r="J168" s="4" t="s">
        <v>12</v>
      </c>
      <c r="K168" s="4" t="s">
        <v>197</v>
      </c>
      <c r="L168" s="4" t="s">
        <v>223</v>
      </c>
      <c r="M168" s="7">
        <v>10560</v>
      </c>
      <c r="N168" s="10">
        <v>0</v>
      </c>
      <c r="O168" s="10">
        <v>0</v>
      </c>
      <c r="P168">
        <f t="shared" si="9"/>
        <v>1</v>
      </c>
      <c r="Q168" s="36">
        <f t="shared" si="10"/>
        <v>0</v>
      </c>
      <c r="R168">
        <f t="shared" si="11"/>
        <v>2023</v>
      </c>
    </row>
    <row r="169" spans="1:18" x14ac:dyDescent="0.2">
      <c r="A169" s="23">
        <v>45586</v>
      </c>
      <c r="B169" s="23">
        <v>45586</v>
      </c>
      <c r="C169" s="25" t="s">
        <v>398</v>
      </c>
      <c r="D169" s="20">
        <v>0</v>
      </c>
      <c r="E169" s="27">
        <v>0</v>
      </c>
      <c r="F169" s="22" t="s">
        <v>53</v>
      </c>
      <c r="G169" s="29">
        <v>26400</v>
      </c>
      <c r="H169" s="39">
        <v>45040</v>
      </c>
      <c r="I169" s="46">
        <f t="shared" si="8"/>
        <v>546</v>
      </c>
      <c r="J169" s="4" t="s">
        <v>12</v>
      </c>
      <c r="K169" s="4" t="s">
        <v>197</v>
      </c>
      <c r="L169" s="4" t="s">
        <v>223</v>
      </c>
      <c r="M169" s="7">
        <v>26400</v>
      </c>
      <c r="N169" s="10">
        <v>0</v>
      </c>
      <c r="O169" s="10">
        <v>0</v>
      </c>
      <c r="P169">
        <f t="shared" si="9"/>
        <v>1</v>
      </c>
      <c r="Q169" s="36">
        <f t="shared" si="10"/>
        <v>0</v>
      </c>
      <c r="R169">
        <f t="shared" si="11"/>
        <v>2023</v>
      </c>
    </row>
    <row r="170" spans="1:18" x14ac:dyDescent="0.2">
      <c r="A170" s="23">
        <v>45600</v>
      </c>
      <c r="B170" s="23">
        <v>45600</v>
      </c>
      <c r="C170" s="25" t="s">
        <v>398</v>
      </c>
      <c r="D170" s="20">
        <v>0</v>
      </c>
      <c r="E170" s="27">
        <v>0</v>
      </c>
      <c r="F170" s="22" t="s">
        <v>53</v>
      </c>
      <c r="G170" s="29">
        <v>10560</v>
      </c>
      <c r="H170" s="39">
        <v>45040</v>
      </c>
      <c r="I170" s="46">
        <f t="shared" si="8"/>
        <v>560</v>
      </c>
      <c r="J170" s="4" t="s">
        <v>12</v>
      </c>
      <c r="K170" s="4" t="s">
        <v>197</v>
      </c>
      <c r="L170" s="4" t="s">
        <v>223</v>
      </c>
      <c r="M170" s="7">
        <v>10560</v>
      </c>
      <c r="N170" s="10">
        <v>0</v>
      </c>
      <c r="O170" s="10">
        <v>0</v>
      </c>
      <c r="P170">
        <f t="shared" si="9"/>
        <v>1</v>
      </c>
      <c r="Q170" s="36">
        <f t="shared" si="10"/>
        <v>0</v>
      </c>
      <c r="R170">
        <f t="shared" si="11"/>
        <v>2023</v>
      </c>
    </row>
    <row r="171" spans="1:18" x14ac:dyDescent="0.2">
      <c r="A171" s="23">
        <v>45607</v>
      </c>
      <c r="B171" s="23">
        <v>45607</v>
      </c>
      <c r="C171" s="25" t="s">
        <v>398</v>
      </c>
      <c r="D171" s="20">
        <v>0</v>
      </c>
      <c r="E171" s="27">
        <v>0</v>
      </c>
      <c r="F171" s="22" t="s">
        <v>53</v>
      </c>
      <c r="G171" s="29">
        <v>5280</v>
      </c>
      <c r="H171" s="39">
        <v>45040</v>
      </c>
      <c r="I171" s="46">
        <f t="shared" si="8"/>
        <v>567</v>
      </c>
      <c r="J171" s="4" t="s">
        <v>12</v>
      </c>
      <c r="K171" s="4" t="s">
        <v>197</v>
      </c>
      <c r="L171" s="4" t="s">
        <v>223</v>
      </c>
      <c r="M171" s="7">
        <v>5280</v>
      </c>
      <c r="N171" s="10">
        <v>0</v>
      </c>
      <c r="O171" s="10">
        <v>0</v>
      </c>
      <c r="P171">
        <f t="shared" si="9"/>
        <v>1</v>
      </c>
      <c r="Q171" s="36">
        <f t="shared" si="10"/>
        <v>0</v>
      </c>
      <c r="R171">
        <f t="shared" si="11"/>
        <v>2023</v>
      </c>
    </row>
    <row r="172" spans="1:18" x14ac:dyDescent="0.2">
      <c r="A172" s="23">
        <v>45614</v>
      </c>
      <c r="B172" s="23">
        <v>45614</v>
      </c>
      <c r="C172" s="25" t="s">
        <v>398</v>
      </c>
      <c r="D172" s="20">
        <v>0</v>
      </c>
      <c r="E172" s="27">
        <v>0</v>
      </c>
      <c r="F172" s="22" t="s">
        <v>53</v>
      </c>
      <c r="G172" s="29">
        <v>10560</v>
      </c>
      <c r="H172" s="39">
        <v>45040</v>
      </c>
      <c r="I172" s="46">
        <f t="shared" si="8"/>
        <v>574</v>
      </c>
      <c r="J172" s="4" t="s">
        <v>12</v>
      </c>
      <c r="K172" s="4" t="s">
        <v>197</v>
      </c>
      <c r="L172" s="4" t="s">
        <v>223</v>
      </c>
      <c r="M172" s="7">
        <v>10560</v>
      </c>
      <c r="N172" s="10">
        <v>0</v>
      </c>
      <c r="O172" s="10">
        <v>0</v>
      </c>
      <c r="P172">
        <f t="shared" si="9"/>
        <v>1</v>
      </c>
      <c r="Q172" s="36">
        <f t="shared" si="10"/>
        <v>0</v>
      </c>
      <c r="R172">
        <f t="shared" si="11"/>
        <v>2023</v>
      </c>
    </row>
    <row r="173" spans="1:18" x14ac:dyDescent="0.2">
      <c r="A173" s="23">
        <v>45621</v>
      </c>
      <c r="B173" s="23">
        <v>45621</v>
      </c>
      <c r="C173" s="25" t="s">
        <v>398</v>
      </c>
      <c r="D173" s="20">
        <v>0</v>
      </c>
      <c r="E173" s="27">
        <v>0</v>
      </c>
      <c r="F173" s="22" t="s">
        <v>53</v>
      </c>
      <c r="G173" s="29">
        <v>10560</v>
      </c>
      <c r="H173" s="39">
        <v>45040</v>
      </c>
      <c r="I173" s="46">
        <f t="shared" si="8"/>
        <v>581</v>
      </c>
      <c r="J173" s="4" t="s">
        <v>12</v>
      </c>
      <c r="K173" s="4" t="s">
        <v>197</v>
      </c>
      <c r="L173" s="4" t="s">
        <v>223</v>
      </c>
      <c r="M173" s="7">
        <v>10560</v>
      </c>
      <c r="N173" s="10">
        <v>0</v>
      </c>
      <c r="O173" s="10">
        <v>0</v>
      </c>
      <c r="P173">
        <f t="shared" si="9"/>
        <v>1</v>
      </c>
      <c r="Q173" s="36">
        <f t="shared" si="10"/>
        <v>0</v>
      </c>
      <c r="R173">
        <f t="shared" si="11"/>
        <v>2023</v>
      </c>
    </row>
    <row r="174" spans="1:18" x14ac:dyDescent="0.2">
      <c r="A174" s="23">
        <v>45628</v>
      </c>
      <c r="B174" s="23">
        <v>45628</v>
      </c>
      <c r="C174" s="25" t="s">
        <v>398</v>
      </c>
      <c r="D174" s="20">
        <v>0</v>
      </c>
      <c r="E174" s="27">
        <v>0</v>
      </c>
      <c r="F174" s="22" t="s">
        <v>53</v>
      </c>
      <c r="G174" s="29">
        <v>15840</v>
      </c>
      <c r="H174" s="39">
        <v>45040</v>
      </c>
      <c r="I174" s="46">
        <f t="shared" si="8"/>
        <v>588</v>
      </c>
      <c r="J174" s="4" t="s">
        <v>12</v>
      </c>
      <c r="K174" s="4" t="s">
        <v>197</v>
      </c>
      <c r="L174" s="4" t="s">
        <v>223</v>
      </c>
      <c r="M174" s="7">
        <v>15840</v>
      </c>
      <c r="N174" s="10">
        <v>0</v>
      </c>
      <c r="O174" s="10">
        <v>0</v>
      </c>
      <c r="P174">
        <f t="shared" si="9"/>
        <v>1</v>
      </c>
      <c r="Q174" s="36">
        <f t="shared" si="10"/>
        <v>0</v>
      </c>
      <c r="R174">
        <f t="shared" si="11"/>
        <v>2023</v>
      </c>
    </row>
    <row r="175" spans="1:18" x14ac:dyDescent="0.2">
      <c r="A175" s="23">
        <v>45635</v>
      </c>
      <c r="B175" s="23">
        <v>45635</v>
      </c>
      <c r="C175" s="25" t="s">
        <v>398</v>
      </c>
      <c r="D175" s="20">
        <v>0</v>
      </c>
      <c r="E175" s="27">
        <v>0</v>
      </c>
      <c r="F175" s="22" t="s">
        <v>53</v>
      </c>
      <c r="G175" s="29">
        <v>15840</v>
      </c>
      <c r="H175" s="39">
        <v>45040</v>
      </c>
      <c r="I175" s="46">
        <f t="shared" si="8"/>
        <v>595</v>
      </c>
      <c r="J175" s="4" t="s">
        <v>12</v>
      </c>
      <c r="K175" s="4" t="s">
        <v>197</v>
      </c>
      <c r="L175" s="4" t="s">
        <v>223</v>
      </c>
      <c r="M175" s="7">
        <v>15840</v>
      </c>
      <c r="N175" s="10">
        <v>0</v>
      </c>
      <c r="O175" s="10">
        <v>0</v>
      </c>
      <c r="P175">
        <f t="shared" si="9"/>
        <v>1</v>
      </c>
      <c r="Q175" s="36">
        <f t="shared" si="10"/>
        <v>0</v>
      </c>
      <c r="R175">
        <f t="shared" si="11"/>
        <v>2023</v>
      </c>
    </row>
    <row r="176" spans="1:18" x14ac:dyDescent="0.2">
      <c r="A176" s="23">
        <v>45642</v>
      </c>
      <c r="B176" s="23">
        <v>45642</v>
      </c>
      <c r="C176" s="25" t="s">
        <v>398</v>
      </c>
      <c r="D176" s="20">
        <v>0</v>
      </c>
      <c r="E176" s="27">
        <v>0</v>
      </c>
      <c r="F176" s="22" t="s">
        <v>53</v>
      </c>
      <c r="G176" s="29">
        <v>21120</v>
      </c>
      <c r="H176" s="39">
        <v>45040</v>
      </c>
      <c r="I176" s="46">
        <f t="shared" si="8"/>
        <v>602</v>
      </c>
      <c r="J176" s="4" t="s">
        <v>12</v>
      </c>
      <c r="K176" s="4" t="s">
        <v>197</v>
      </c>
      <c r="L176" s="4" t="s">
        <v>223</v>
      </c>
      <c r="M176" s="7">
        <v>21120</v>
      </c>
      <c r="N176" s="10">
        <v>0</v>
      </c>
      <c r="O176" s="10">
        <v>0</v>
      </c>
      <c r="P176">
        <f t="shared" si="9"/>
        <v>1</v>
      </c>
      <c r="Q176" s="36">
        <f t="shared" si="10"/>
        <v>0</v>
      </c>
      <c r="R176">
        <f t="shared" si="11"/>
        <v>2023</v>
      </c>
    </row>
    <row r="177" spans="1:18" x14ac:dyDescent="0.2">
      <c r="A177" s="23">
        <v>45656</v>
      </c>
      <c r="B177" s="23">
        <v>45656</v>
      </c>
      <c r="C177" s="25" t="s">
        <v>398</v>
      </c>
      <c r="D177" s="20">
        <v>0</v>
      </c>
      <c r="E177" s="27">
        <v>0</v>
      </c>
      <c r="F177" s="22" t="s">
        <v>53</v>
      </c>
      <c r="G177" s="29">
        <v>10560</v>
      </c>
      <c r="H177" s="39">
        <v>45119</v>
      </c>
      <c r="I177" s="46">
        <f t="shared" si="8"/>
        <v>537</v>
      </c>
      <c r="J177" s="4" t="s">
        <v>12</v>
      </c>
      <c r="K177" s="4" t="s">
        <v>197</v>
      </c>
      <c r="L177" s="4" t="s">
        <v>223</v>
      </c>
      <c r="M177" s="7">
        <v>10560</v>
      </c>
      <c r="N177" s="10">
        <v>0</v>
      </c>
      <c r="O177" s="10">
        <v>0</v>
      </c>
      <c r="P177">
        <f t="shared" si="9"/>
        <v>1</v>
      </c>
      <c r="Q177" s="36">
        <f t="shared" si="10"/>
        <v>0</v>
      </c>
      <c r="R177">
        <f t="shared" si="11"/>
        <v>2023</v>
      </c>
    </row>
    <row r="178" spans="1:18" x14ac:dyDescent="0.2">
      <c r="A178" s="23">
        <v>45663</v>
      </c>
      <c r="B178" s="23">
        <v>45663</v>
      </c>
      <c r="C178" s="25" t="s">
        <v>398</v>
      </c>
      <c r="D178" s="20">
        <v>0</v>
      </c>
      <c r="E178" s="27">
        <v>0</v>
      </c>
      <c r="F178" s="22" t="s">
        <v>53</v>
      </c>
      <c r="G178" s="29">
        <v>10560</v>
      </c>
      <c r="H178" s="39">
        <v>45119</v>
      </c>
      <c r="I178" s="46">
        <f t="shared" si="8"/>
        <v>544</v>
      </c>
      <c r="J178" s="4" t="s">
        <v>12</v>
      </c>
      <c r="K178" s="4" t="s">
        <v>197</v>
      </c>
      <c r="L178" s="4" t="s">
        <v>223</v>
      </c>
      <c r="M178" s="7">
        <v>10560</v>
      </c>
      <c r="N178" s="10">
        <v>0</v>
      </c>
      <c r="O178" s="10">
        <v>0</v>
      </c>
      <c r="P178">
        <f t="shared" si="9"/>
        <v>1</v>
      </c>
      <c r="Q178" s="36">
        <f t="shared" si="10"/>
        <v>0</v>
      </c>
      <c r="R178">
        <f t="shared" si="11"/>
        <v>2023</v>
      </c>
    </row>
    <row r="179" spans="1:18" x14ac:dyDescent="0.2">
      <c r="A179" s="23">
        <v>45670</v>
      </c>
      <c r="B179" s="23">
        <v>45670</v>
      </c>
      <c r="C179" s="25" t="s">
        <v>398</v>
      </c>
      <c r="D179" s="20">
        <v>0</v>
      </c>
      <c r="E179" s="27">
        <v>0</v>
      </c>
      <c r="F179" s="22" t="s">
        <v>53</v>
      </c>
      <c r="G179" s="29">
        <v>15840</v>
      </c>
      <c r="H179" s="39">
        <v>45119</v>
      </c>
      <c r="I179" s="46">
        <f t="shared" si="8"/>
        <v>551</v>
      </c>
      <c r="J179" s="4" t="s">
        <v>12</v>
      </c>
      <c r="K179" s="4" t="s">
        <v>197</v>
      </c>
      <c r="L179" s="4" t="s">
        <v>223</v>
      </c>
      <c r="M179" s="7">
        <v>15840</v>
      </c>
      <c r="N179" s="10">
        <v>0</v>
      </c>
      <c r="O179" s="10">
        <v>0</v>
      </c>
      <c r="P179">
        <f t="shared" si="9"/>
        <v>1</v>
      </c>
      <c r="Q179" s="36">
        <f t="shared" si="10"/>
        <v>0</v>
      </c>
      <c r="R179">
        <f t="shared" si="11"/>
        <v>2023</v>
      </c>
    </row>
    <row r="180" spans="1:18" x14ac:dyDescent="0.2">
      <c r="A180" s="23">
        <v>45677</v>
      </c>
      <c r="B180" s="23">
        <v>45677</v>
      </c>
      <c r="C180" s="25" t="s">
        <v>398</v>
      </c>
      <c r="D180" s="20">
        <v>0</v>
      </c>
      <c r="E180" s="27">
        <v>0</v>
      </c>
      <c r="F180" s="22" t="s">
        <v>53</v>
      </c>
      <c r="G180" s="29">
        <v>10560</v>
      </c>
      <c r="H180" s="39">
        <v>45119</v>
      </c>
      <c r="I180" s="46">
        <f t="shared" si="8"/>
        <v>558</v>
      </c>
      <c r="J180" s="4" t="s">
        <v>12</v>
      </c>
      <c r="K180" s="4" t="s">
        <v>197</v>
      </c>
      <c r="L180" s="4" t="s">
        <v>223</v>
      </c>
      <c r="M180" s="7">
        <v>10560</v>
      </c>
      <c r="N180" s="10">
        <v>0</v>
      </c>
      <c r="O180" s="10">
        <v>0</v>
      </c>
      <c r="P180">
        <f t="shared" si="9"/>
        <v>1</v>
      </c>
      <c r="Q180" s="36">
        <f t="shared" si="10"/>
        <v>0</v>
      </c>
      <c r="R180">
        <f t="shared" si="11"/>
        <v>2023</v>
      </c>
    </row>
    <row r="181" spans="1:18" x14ac:dyDescent="0.2">
      <c r="A181" s="23">
        <v>45684</v>
      </c>
      <c r="B181" s="23">
        <v>45684</v>
      </c>
      <c r="C181" s="25" t="s">
        <v>398</v>
      </c>
      <c r="D181" s="20">
        <v>0</v>
      </c>
      <c r="E181" s="27">
        <v>0</v>
      </c>
      <c r="F181" s="22" t="s">
        <v>53</v>
      </c>
      <c r="G181" s="29">
        <v>10560</v>
      </c>
      <c r="H181" s="39">
        <v>45119</v>
      </c>
      <c r="I181" s="46">
        <f t="shared" si="8"/>
        <v>565</v>
      </c>
      <c r="J181" s="4" t="s">
        <v>12</v>
      </c>
      <c r="K181" s="4" t="s">
        <v>197</v>
      </c>
      <c r="L181" s="4" t="s">
        <v>223</v>
      </c>
      <c r="M181" s="7">
        <v>10560</v>
      </c>
      <c r="N181" s="10">
        <v>0</v>
      </c>
      <c r="O181" s="10">
        <v>0</v>
      </c>
      <c r="P181">
        <f t="shared" si="9"/>
        <v>1</v>
      </c>
      <c r="Q181" s="36">
        <f t="shared" si="10"/>
        <v>0</v>
      </c>
      <c r="R181">
        <f t="shared" si="11"/>
        <v>2023</v>
      </c>
    </row>
    <row r="182" spans="1:18" x14ac:dyDescent="0.2">
      <c r="A182" s="23">
        <v>45691</v>
      </c>
      <c r="B182" s="23">
        <v>45691</v>
      </c>
      <c r="C182" s="25" t="s">
        <v>398</v>
      </c>
      <c r="D182" s="20">
        <v>0</v>
      </c>
      <c r="E182" s="27">
        <v>0</v>
      </c>
      <c r="F182" s="22" t="s">
        <v>53</v>
      </c>
      <c r="G182" s="29">
        <v>10560</v>
      </c>
      <c r="H182" s="39">
        <v>45119</v>
      </c>
      <c r="I182" s="46">
        <f t="shared" si="8"/>
        <v>572</v>
      </c>
      <c r="J182" s="4" t="s">
        <v>12</v>
      </c>
      <c r="K182" s="4" t="s">
        <v>197</v>
      </c>
      <c r="L182" s="4" t="s">
        <v>223</v>
      </c>
      <c r="M182" s="7">
        <v>10560</v>
      </c>
      <c r="N182" s="10">
        <v>0</v>
      </c>
      <c r="O182" s="10">
        <v>0</v>
      </c>
      <c r="P182">
        <f t="shared" si="9"/>
        <v>1</v>
      </c>
      <c r="Q182" s="36">
        <f t="shared" si="10"/>
        <v>0</v>
      </c>
      <c r="R182">
        <f t="shared" si="11"/>
        <v>2023</v>
      </c>
    </row>
    <row r="183" spans="1:18" x14ac:dyDescent="0.2">
      <c r="A183" s="23">
        <v>45698</v>
      </c>
      <c r="B183" s="23">
        <v>45698</v>
      </c>
      <c r="C183" s="25" t="s">
        <v>398</v>
      </c>
      <c r="D183" s="20">
        <v>0</v>
      </c>
      <c r="E183" s="27">
        <v>0</v>
      </c>
      <c r="F183" s="22" t="s">
        <v>53</v>
      </c>
      <c r="G183" s="29">
        <v>10560</v>
      </c>
      <c r="H183" s="39">
        <v>45119</v>
      </c>
      <c r="I183" s="46">
        <f t="shared" si="8"/>
        <v>579</v>
      </c>
      <c r="J183" s="4" t="s">
        <v>12</v>
      </c>
      <c r="K183" s="4" t="s">
        <v>197</v>
      </c>
      <c r="L183" s="4" t="s">
        <v>223</v>
      </c>
      <c r="M183" s="7">
        <v>10560</v>
      </c>
      <c r="N183" s="10">
        <v>0</v>
      </c>
      <c r="O183" s="10">
        <v>0</v>
      </c>
      <c r="P183">
        <f t="shared" si="9"/>
        <v>1</v>
      </c>
      <c r="Q183" s="36">
        <f t="shared" si="10"/>
        <v>0</v>
      </c>
      <c r="R183">
        <f t="shared" si="11"/>
        <v>2023</v>
      </c>
    </row>
    <row r="184" spans="1:18" x14ac:dyDescent="0.2">
      <c r="A184" s="23">
        <v>45705</v>
      </c>
      <c r="B184" s="23">
        <v>45705</v>
      </c>
      <c r="C184" s="25" t="s">
        <v>398</v>
      </c>
      <c r="D184" s="20">
        <v>0</v>
      </c>
      <c r="E184" s="27">
        <v>0</v>
      </c>
      <c r="F184" s="22" t="s">
        <v>53</v>
      </c>
      <c r="G184" s="29">
        <v>10560</v>
      </c>
      <c r="H184" s="39">
        <v>45119</v>
      </c>
      <c r="I184" s="46">
        <f t="shared" si="8"/>
        <v>586</v>
      </c>
      <c r="J184" s="4" t="s">
        <v>12</v>
      </c>
      <c r="K184" s="4" t="s">
        <v>197</v>
      </c>
      <c r="L184" s="4" t="s">
        <v>223</v>
      </c>
      <c r="M184" s="7">
        <v>10560</v>
      </c>
      <c r="N184" s="10">
        <v>0</v>
      </c>
      <c r="O184" s="10">
        <v>0</v>
      </c>
      <c r="P184">
        <f t="shared" si="9"/>
        <v>1</v>
      </c>
      <c r="Q184" s="36">
        <f t="shared" si="10"/>
        <v>0</v>
      </c>
      <c r="R184">
        <f t="shared" si="11"/>
        <v>2023</v>
      </c>
    </row>
    <row r="185" spans="1:18" x14ac:dyDescent="0.2">
      <c r="A185" s="23">
        <v>45712</v>
      </c>
      <c r="B185" s="23">
        <v>45712</v>
      </c>
      <c r="C185" s="25" t="s">
        <v>398</v>
      </c>
      <c r="D185" s="20">
        <v>0</v>
      </c>
      <c r="E185" s="27">
        <v>0</v>
      </c>
      <c r="F185" s="22" t="s">
        <v>53</v>
      </c>
      <c r="G185" s="29">
        <v>108240</v>
      </c>
      <c r="H185" s="39">
        <v>45119</v>
      </c>
      <c r="I185" s="46">
        <f t="shared" si="8"/>
        <v>593</v>
      </c>
      <c r="J185" s="4" t="s">
        <v>12</v>
      </c>
      <c r="K185" s="4" t="s">
        <v>197</v>
      </c>
      <c r="L185" s="4" t="s">
        <v>223</v>
      </c>
      <c r="M185" s="7">
        <v>108240</v>
      </c>
      <c r="N185" s="10">
        <v>0</v>
      </c>
      <c r="O185" s="10">
        <v>0</v>
      </c>
      <c r="P185">
        <f t="shared" si="9"/>
        <v>1</v>
      </c>
      <c r="Q185" s="36">
        <f t="shared" si="10"/>
        <v>0</v>
      </c>
      <c r="R185">
        <f t="shared" si="11"/>
        <v>2023</v>
      </c>
    </row>
    <row r="186" spans="1:18" x14ac:dyDescent="0.2">
      <c r="A186" s="23">
        <v>45348</v>
      </c>
      <c r="B186" s="23">
        <v>45348</v>
      </c>
      <c r="C186" s="25" t="s">
        <v>398</v>
      </c>
      <c r="D186" s="20">
        <v>0</v>
      </c>
      <c r="E186" s="27">
        <v>0</v>
      </c>
      <c r="F186" s="22" t="s">
        <v>54</v>
      </c>
      <c r="G186" s="29">
        <v>15840</v>
      </c>
      <c r="H186" s="39">
        <v>45040</v>
      </c>
      <c r="I186" s="46">
        <f t="shared" si="8"/>
        <v>308</v>
      </c>
      <c r="J186" s="4" t="s">
        <v>12</v>
      </c>
      <c r="K186" s="4" t="s">
        <v>197</v>
      </c>
      <c r="L186" s="4" t="s">
        <v>223</v>
      </c>
      <c r="M186" s="7">
        <v>15840</v>
      </c>
      <c r="N186" s="10">
        <v>0</v>
      </c>
      <c r="O186" s="10">
        <v>0</v>
      </c>
      <c r="P186">
        <f t="shared" si="9"/>
        <v>1</v>
      </c>
      <c r="Q186" s="36">
        <f t="shared" si="10"/>
        <v>0</v>
      </c>
      <c r="R186">
        <f t="shared" si="11"/>
        <v>2023</v>
      </c>
    </row>
    <row r="187" spans="1:18" x14ac:dyDescent="0.2">
      <c r="A187" s="23">
        <v>45355</v>
      </c>
      <c r="B187" s="23">
        <v>45355</v>
      </c>
      <c r="C187" s="25" t="s">
        <v>398</v>
      </c>
      <c r="D187" s="20">
        <v>0</v>
      </c>
      <c r="E187" s="27">
        <v>0</v>
      </c>
      <c r="F187" s="22" t="s">
        <v>54</v>
      </c>
      <c r="G187" s="29">
        <v>26400</v>
      </c>
      <c r="H187" s="39">
        <v>45040</v>
      </c>
      <c r="I187" s="46">
        <f t="shared" si="8"/>
        <v>315</v>
      </c>
      <c r="J187" s="4" t="s">
        <v>12</v>
      </c>
      <c r="K187" s="4" t="s">
        <v>197</v>
      </c>
      <c r="L187" s="4" t="s">
        <v>223</v>
      </c>
      <c r="M187" s="7">
        <v>26400</v>
      </c>
      <c r="N187" s="10">
        <v>0</v>
      </c>
      <c r="O187" s="10">
        <v>0</v>
      </c>
      <c r="P187">
        <f t="shared" si="9"/>
        <v>1</v>
      </c>
      <c r="Q187" s="36">
        <f t="shared" si="10"/>
        <v>0</v>
      </c>
      <c r="R187">
        <f t="shared" si="11"/>
        <v>2023</v>
      </c>
    </row>
    <row r="188" spans="1:18" x14ac:dyDescent="0.2">
      <c r="A188" s="23">
        <v>45362</v>
      </c>
      <c r="B188" s="23">
        <v>45362</v>
      </c>
      <c r="C188" s="25" t="s">
        <v>398</v>
      </c>
      <c r="D188" s="20">
        <v>0</v>
      </c>
      <c r="E188" s="27">
        <v>0</v>
      </c>
      <c r="F188" s="22" t="s">
        <v>54</v>
      </c>
      <c r="G188" s="29">
        <v>26400</v>
      </c>
      <c r="H188" s="39">
        <v>45040</v>
      </c>
      <c r="I188" s="46">
        <f t="shared" si="8"/>
        <v>322</v>
      </c>
      <c r="J188" s="4" t="s">
        <v>12</v>
      </c>
      <c r="K188" s="4" t="s">
        <v>197</v>
      </c>
      <c r="L188" s="4" t="s">
        <v>223</v>
      </c>
      <c r="M188" s="7">
        <v>26400</v>
      </c>
      <c r="N188" s="10">
        <v>0</v>
      </c>
      <c r="O188" s="10">
        <v>0</v>
      </c>
      <c r="P188">
        <f t="shared" si="9"/>
        <v>1</v>
      </c>
      <c r="Q188" s="36">
        <f t="shared" si="10"/>
        <v>0</v>
      </c>
      <c r="R188">
        <f t="shared" si="11"/>
        <v>2023</v>
      </c>
    </row>
    <row r="189" spans="1:18" x14ac:dyDescent="0.2">
      <c r="A189" s="23">
        <v>45369</v>
      </c>
      <c r="B189" s="23">
        <v>45369</v>
      </c>
      <c r="C189" s="25" t="s">
        <v>398</v>
      </c>
      <c r="D189" s="20">
        <v>0</v>
      </c>
      <c r="E189" s="27">
        <v>0</v>
      </c>
      <c r="F189" s="22" t="s">
        <v>54</v>
      </c>
      <c r="G189" s="29">
        <v>26400</v>
      </c>
      <c r="H189" s="39">
        <v>45040</v>
      </c>
      <c r="I189" s="46">
        <f t="shared" si="8"/>
        <v>329</v>
      </c>
      <c r="J189" s="4" t="s">
        <v>12</v>
      </c>
      <c r="K189" s="4" t="s">
        <v>197</v>
      </c>
      <c r="L189" s="4" t="s">
        <v>223</v>
      </c>
      <c r="M189" s="7">
        <v>26400</v>
      </c>
      <c r="N189" s="10">
        <v>0</v>
      </c>
      <c r="O189" s="10">
        <v>0</v>
      </c>
      <c r="P189">
        <f t="shared" si="9"/>
        <v>1</v>
      </c>
      <c r="Q189" s="36">
        <f t="shared" si="10"/>
        <v>0</v>
      </c>
      <c r="R189">
        <f t="shared" si="11"/>
        <v>2023</v>
      </c>
    </row>
    <row r="190" spans="1:18" x14ac:dyDescent="0.2">
      <c r="A190" s="23">
        <v>45376</v>
      </c>
      <c r="B190" s="23">
        <v>45376</v>
      </c>
      <c r="C190" s="25" t="s">
        <v>398</v>
      </c>
      <c r="D190" s="20">
        <v>0</v>
      </c>
      <c r="E190" s="27">
        <v>0</v>
      </c>
      <c r="F190" s="22" t="s">
        <v>54</v>
      </c>
      <c r="G190" s="29">
        <v>26400</v>
      </c>
      <c r="H190" s="39">
        <v>45040</v>
      </c>
      <c r="I190" s="46">
        <f t="shared" si="8"/>
        <v>336</v>
      </c>
      <c r="J190" s="4" t="s">
        <v>12</v>
      </c>
      <c r="K190" s="4" t="s">
        <v>197</v>
      </c>
      <c r="L190" s="4" t="s">
        <v>223</v>
      </c>
      <c r="M190" s="7">
        <v>26400</v>
      </c>
      <c r="N190" s="10">
        <v>0</v>
      </c>
      <c r="O190" s="10">
        <v>0</v>
      </c>
      <c r="P190">
        <f t="shared" si="9"/>
        <v>1</v>
      </c>
      <c r="Q190" s="36">
        <f t="shared" si="10"/>
        <v>0</v>
      </c>
      <c r="R190">
        <f t="shared" si="11"/>
        <v>2023</v>
      </c>
    </row>
    <row r="191" spans="1:18" x14ac:dyDescent="0.2">
      <c r="A191" s="23">
        <v>45383</v>
      </c>
      <c r="B191" s="23">
        <v>45383</v>
      </c>
      <c r="C191" s="25" t="s">
        <v>398</v>
      </c>
      <c r="D191" s="20">
        <v>0</v>
      </c>
      <c r="E191" s="27">
        <v>0</v>
      </c>
      <c r="F191" s="22" t="s">
        <v>54</v>
      </c>
      <c r="G191" s="29">
        <v>26400</v>
      </c>
      <c r="H191" s="39">
        <v>45040</v>
      </c>
      <c r="I191" s="46">
        <f t="shared" si="8"/>
        <v>343</v>
      </c>
      <c r="J191" s="4" t="s">
        <v>12</v>
      </c>
      <c r="K191" s="4" t="s">
        <v>197</v>
      </c>
      <c r="L191" s="4" t="s">
        <v>223</v>
      </c>
      <c r="M191" s="7">
        <v>26400</v>
      </c>
      <c r="N191" s="10">
        <v>0</v>
      </c>
      <c r="O191" s="10">
        <v>0</v>
      </c>
      <c r="P191">
        <f t="shared" si="9"/>
        <v>1</v>
      </c>
      <c r="Q191" s="36">
        <f t="shared" si="10"/>
        <v>0</v>
      </c>
      <c r="R191">
        <f t="shared" si="11"/>
        <v>2023</v>
      </c>
    </row>
    <row r="192" spans="1:18" x14ac:dyDescent="0.2">
      <c r="A192" s="23">
        <v>45390</v>
      </c>
      <c r="B192" s="23">
        <v>45390</v>
      </c>
      <c r="C192" s="25" t="s">
        <v>398</v>
      </c>
      <c r="D192" s="20">
        <v>0</v>
      </c>
      <c r="E192" s="27">
        <v>0</v>
      </c>
      <c r="F192" s="22" t="s">
        <v>54</v>
      </c>
      <c r="G192" s="29">
        <v>26400</v>
      </c>
      <c r="H192" s="39">
        <v>45040</v>
      </c>
      <c r="I192" s="46">
        <f t="shared" si="8"/>
        <v>350</v>
      </c>
      <c r="J192" s="4" t="s">
        <v>12</v>
      </c>
      <c r="K192" s="4" t="s">
        <v>197</v>
      </c>
      <c r="L192" s="4" t="s">
        <v>223</v>
      </c>
      <c r="M192" s="7">
        <v>26400</v>
      </c>
      <c r="N192" s="10">
        <v>0</v>
      </c>
      <c r="O192" s="10">
        <v>0</v>
      </c>
      <c r="P192">
        <f t="shared" si="9"/>
        <v>1</v>
      </c>
      <c r="Q192" s="36">
        <f t="shared" si="10"/>
        <v>0</v>
      </c>
      <c r="R192">
        <f t="shared" si="11"/>
        <v>2023</v>
      </c>
    </row>
    <row r="193" spans="1:18" x14ac:dyDescent="0.2">
      <c r="A193" s="23">
        <v>45397</v>
      </c>
      <c r="B193" s="23">
        <v>45397</v>
      </c>
      <c r="C193" s="25" t="s">
        <v>398</v>
      </c>
      <c r="D193" s="20">
        <v>0</v>
      </c>
      <c r="E193" s="27">
        <v>0</v>
      </c>
      <c r="F193" s="22" t="s">
        <v>54</v>
      </c>
      <c r="G193" s="29">
        <v>26400</v>
      </c>
      <c r="H193" s="39">
        <v>45040</v>
      </c>
      <c r="I193" s="46">
        <f t="shared" si="8"/>
        <v>357</v>
      </c>
      <c r="J193" s="4" t="s">
        <v>12</v>
      </c>
      <c r="K193" s="4" t="s">
        <v>197</v>
      </c>
      <c r="L193" s="4" t="s">
        <v>223</v>
      </c>
      <c r="M193" s="7">
        <v>26400</v>
      </c>
      <c r="N193" s="10">
        <v>0</v>
      </c>
      <c r="O193" s="10">
        <v>0</v>
      </c>
      <c r="P193">
        <f t="shared" si="9"/>
        <v>1</v>
      </c>
      <c r="Q193" s="36">
        <f t="shared" si="10"/>
        <v>0</v>
      </c>
      <c r="R193">
        <f t="shared" si="11"/>
        <v>2023</v>
      </c>
    </row>
    <row r="194" spans="1:18" x14ac:dyDescent="0.2">
      <c r="A194" s="23">
        <v>45404</v>
      </c>
      <c r="B194" s="23">
        <v>45404</v>
      </c>
      <c r="C194" s="25" t="s">
        <v>398</v>
      </c>
      <c r="D194" s="20">
        <v>0</v>
      </c>
      <c r="E194" s="27">
        <v>0</v>
      </c>
      <c r="F194" s="22" t="s">
        <v>54</v>
      </c>
      <c r="G194" s="29">
        <v>26400</v>
      </c>
      <c r="H194" s="39">
        <v>45040</v>
      </c>
      <c r="I194" s="46">
        <f t="shared" si="8"/>
        <v>364</v>
      </c>
      <c r="J194" s="4" t="s">
        <v>12</v>
      </c>
      <c r="K194" s="4" t="s">
        <v>197</v>
      </c>
      <c r="L194" s="4" t="s">
        <v>223</v>
      </c>
      <c r="M194" s="7">
        <v>26400</v>
      </c>
      <c r="N194" s="10">
        <v>0</v>
      </c>
      <c r="O194" s="10">
        <v>0</v>
      </c>
      <c r="P194">
        <f t="shared" si="9"/>
        <v>1</v>
      </c>
      <c r="Q194" s="36">
        <f t="shared" si="10"/>
        <v>0</v>
      </c>
      <c r="R194">
        <f t="shared" si="11"/>
        <v>2023</v>
      </c>
    </row>
    <row r="195" spans="1:18" x14ac:dyDescent="0.2">
      <c r="A195" s="23">
        <v>45411</v>
      </c>
      <c r="B195" s="23">
        <v>45411</v>
      </c>
      <c r="C195" s="25" t="s">
        <v>398</v>
      </c>
      <c r="D195" s="20">
        <v>0</v>
      </c>
      <c r="E195" s="27">
        <v>0</v>
      </c>
      <c r="F195" s="22" t="s">
        <v>54</v>
      </c>
      <c r="G195" s="29">
        <v>26400</v>
      </c>
      <c r="H195" s="39">
        <v>45040</v>
      </c>
      <c r="I195" s="46">
        <f t="shared" ref="I195:I258" si="12">IFERROR(A195-H195,"")*1</f>
        <v>371</v>
      </c>
      <c r="J195" s="4" t="s">
        <v>12</v>
      </c>
      <c r="K195" s="4" t="s">
        <v>197</v>
      </c>
      <c r="L195" s="4" t="s">
        <v>223</v>
      </c>
      <c r="M195" s="7">
        <v>26400</v>
      </c>
      <c r="N195" s="10">
        <v>0</v>
      </c>
      <c r="O195" s="10">
        <v>0</v>
      </c>
      <c r="P195">
        <f t="shared" ref="P195:P258" si="13">IF(M195=G195,1,0)</f>
        <v>1</v>
      </c>
      <c r="Q195" s="36">
        <f t="shared" ref="Q195:Q258" si="14">N195*G195</f>
        <v>0</v>
      </c>
      <c r="R195">
        <f t="shared" ref="R195:R258" si="15">YEAR(H195)</f>
        <v>2023</v>
      </c>
    </row>
    <row r="196" spans="1:18" x14ac:dyDescent="0.2">
      <c r="A196" s="23">
        <v>45418</v>
      </c>
      <c r="B196" s="23">
        <v>45418</v>
      </c>
      <c r="C196" s="25" t="s">
        <v>398</v>
      </c>
      <c r="D196" s="20">
        <v>0</v>
      </c>
      <c r="E196" s="27">
        <v>0</v>
      </c>
      <c r="F196" s="22" t="s">
        <v>54</v>
      </c>
      <c r="G196" s="29">
        <v>21120</v>
      </c>
      <c r="H196" s="39">
        <v>45040</v>
      </c>
      <c r="I196" s="46">
        <f t="shared" si="12"/>
        <v>378</v>
      </c>
      <c r="J196" s="4" t="s">
        <v>12</v>
      </c>
      <c r="K196" s="4" t="s">
        <v>197</v>
      </c>
      <c r="L196" s="4" t="s">
        <v>223</v>
      </c>
      <c r="M196" s="7">
        <v>21120</v>
      </c>
      <c r="N196" s="10">
        <v>0</v>
      </c>
      <c r="O196" s="10">
        <v>0</v>
      </c>
      <c r="P196">
        <f t="shared" si="13"/>
        <v>1</v>
      </c>
      <c r="Q196" s="36">
        <f t="shared" si="14"/>
        <v>0</v>
      </c>
      <c r="R196">
        <f t="shared" si="15"/>
        <v>2023</v>
      </c>
    </row>
    <row r="197" spans="1:18" x14ac:dyDescent="0.2">
      <c r="A197" s="23">
        <v>45425</v>
      </c>
      <c r="B197" s="23">
        <v>45425</v>
      </c>
      <c r="C197" s="25" t="s">
        <v>398</v>
      </c>
      <c r="D197" s="20">
        <v>0</v>
      </c>
      <c r="E197" s="27">
        <v>0</v>
      </c>
      <c r="F197" s="22" t="s">
        <v>54</v>
      </c>
      <c r="G197" s="29">
        <v>26400</v>
      </c>
      <c r="H197" s="39">
        <v>45040</v>
      </c>
      <c r="I197" s="46">
        <f t="shared" si="12"/>
        <v>385</v>
      </c>
      <c r="J197" s="4" t="s">
        <v>12</v>
      </c>
      <c r="K197" s="4" t="s">
        <v>197</v>
      </c>
      <c r="L197" s="4" t="s">
        <v>223</v>
      </c>
      <c r="M197" s="7">
        <v>26400</v>
      </c>
      <c r="N197" s="10">
        <v>0</v>
      </c>
      <c r="O197" s="10">
        <v>0</v>
      </c>
      <c r="P197">
        <f t="shared" si="13"/>
        <v>1</v>
      </c>
      <c r="Q197" s="36">
        <f t="shared" si="14"/>
        <v>0</v>
      </c>
      <c r="R197">
        <f t="shared" si="15"/>
        <v>2023</v>
      </c>
    </row>
    <row r="198" spans="1:18" x14ac:dyDescent="0.2">
      <c r="A198" s="23">
        <v>45432</v>
      </c>
      <c r="B198" s="23">
        <v>45432</v>
      </c>
      <c r="C198" s="25" t="s">
        <v>398</v>
      </c>
      <c r="D198" s="20">
        <v>0</v>
      </c>
      <c r="E198" s="27">
        <v>0</v>
      </c>
      <c r="F198" s="22" t="s">
        <v>54</v>
      </c>
      <c r="G198" s="29">
        <v>21120</v>
      </c>
      <c r="H198" s="39">
        <v>45040</v>
      </c>
      <c r="I198" s="46">
        <f t="shared" si="12"/>
        <v>392</v>
      </c>
      <c r="J198" s="4" t="s">
        <v>12</v>
      </c>
      <c r="K198" s="4" t="s">
        <v>197</v>
      </c>
      <c r="L198" s="4" t="s">
        <v>223</v>
      </c>
      <c r="M198" s="7">
        <v>21120</v>
      </c>
      <c r="N198" s="10">
        <v>0</v>
      </c>
      <c r="O198" s="10">
        <v>0</v>
      </c>
      <c r="P198">
        <f t="shared" si="13"/>
        <v>1</v>
      </c>
      <c r="Q198" s="36">
        <f t="shared" si="14"/>
        <v>0</v>
      </c>
      <c r="R198">
        <f t="shared" si="15"/>
        <v>2023</v>
      </c>
    </row>
    <row r="199" spans="1:18" x14ac:dyDescent="0.2">
      <c r="A199" s="23">
        <v>45439</v>
      </c>
      <c r="B199" s="23">
        <v>45439</v>
      </c>
      <c r="C199" s="25" t="s">
        <v>398</v>
      </c>
      <c r="D199" s="20">
        <v>0</v>
      </c>
      <c r="E199" s="27">
        <v>0</v>
      </c>
      <c r="F199" s="22" t="s">
        <v>54</v>
      </c>
      <c r="G199" s="29">
        <v>21120</v>
      </c>
      <c r="H199" s="39">
        <v>45040</v>
      </c>
      <c r="I199" s="46">
        <f t="shared" si="12"/>
        <v>399</v>
      </c>
      <c r="J199" s="4" t="s">
        <v>12</v>
      </c>
      <c r="K199" s="4" t="s">
        <v>197</v>
      </c>
      <c r="L199" s="4" t="s">
        <v>223</v>
      </c>
      <c r="M199" s="7">
        <v>21120</v>
      </c>
      <c r="N199" s="10">
        <v>0</v>
      </c>
      <c r="O199" s="10">
        <v>0</v>
      </c>
      <c r="P199">
        <f t="shared" si="13"/>
        <v>1</v>
      </c>
      <c r="Q199" s="36">
        <f t="shared" si="14"/>
        <v>0</v>
      </c>
      <c r="R199">
        <f t="shared" si="15"/>
        <v>2023</v>
      </c>
    </row>
    <row r="200" spans="1:18" x14ac:dyDescent="0.2">
      <c r="A200" s="23">
        <v>45446</v>
      </c>
      <c r="B200" s="23">
        <v>45446</v>
      </c>
      <c r="C200" s="25" t="s">
        <v>398</v>
      </c>
      <c r="D200" s="20">
        <v>0</v>
      </c>
      <c r="E200" s="27">
        <v>0</v>
      </c>
      <c r="F200" s="22" t="s">
        <v>54</v>
      </c>
      <c r="G200" s="29">
        <v>21120</v>
      </c>
      <c r="H200" s="39">
        <v>45040</v>
      </c>
      <c r="I200" s="46">
        <f t="shared" si="12"/>
        <v>406</v>
      </c>
      <c r="J200" s="4" t="s">
        <v>12</v>
      </c>
      <c r="K200" s="4" t="s">
        <v>197</v>
      </c>
      <c r="L200" s="4" t="s">
        <v>223</v>
      </c>
      <c r="M200" s="7">
        <v>21120</v>
      </c>
      <c r="N200" s="10">
        <v>0</v>
      </c>
      <c r="O200" s="10">
        <v>0</v>
      </c>
      <c r="P200">
        <f t="shared" si="13"/>
        <v>1</v>
      </c>
      <c r="Q200" s="36">
        <f t="shared" si="14"/>
        <v>0</v>
      </c>
      <c r="R200">
        <f t="shared" si="15"/>
        <v>2023</v>
      </c>
    </row>
    <row r="201" spans="1:18" x14ac:dyDescent="0.2">
      <c r="A201" s="23">
        <v>45453</v>
      </c>
      <c r="B201" s="23">
        <v>45453</v>
      </c>
      <c r="C201" s="25" t="s">
        <v>398</v>
      </c>
      <c r="D201" s="20">
        <v>0</v>
      </c>
      <c r="E201" s="27">
        <v>0</v>
      </c>
      <c r="F201" s="22" t="s">
        <v>54</v>
      </c>
      <c r="G201" s="29">
        <v>21120</v>
      </c>
      <c r="H201" s="39">
        <v>45040</v>
      </c>
      <c r="I201" s="46">
        <f t="shared" si="12"/>
        <v>413</v>
      </c>
      <c r="J201" s="4" t="s">
        <v>12</v>
      </c>
      <c r="K201" s="4" t="s">
        <v>197</v>
      </c>
      <c r="L201" s="4" t="s">
        <v>223</v>
      </c>
      <c r="M201" s="7">
        <v>21120</v>
      </c>
      <c r="N201" s="10">
        <v>0</v>
      </c>
      <c r="O201" s="10">
        <v>0</v>
      </c>
      <c r="P201">
        <f t="shared" si="13"/>
        <v>1</v>
      </c>
      <c r="Q201" s="36">
        <f t="shared" si="14"/>
        <v>0</v>
      </c>
      <c r="R201">
        <f t="shared" si="15"/>
        <v>2023</v>
      </c>
    </row>
    <row r="202" spans="1:18" x14ac:dyDescent="0.2">
      <c r="A202" s="23">
        <v>45467</v>
      </c>
      <c r="B202" s="23">
        <v>45467</v>
      </c>
      <c r="C202" s="25" t="s">
        <v>398</v>
      </c>
      <c r="D202" s="20">
        <v>0</v>
      </c>
      <c r="E202" s="27">
        <v>0</v>
      </c>
      <c r="F202" s="22" t="s">
        <v>54</v>
      </c>
      <c r="G202" s="29">
        <v>10560</v>
      </c>
      <c r="H202" s="39">
        <v>45040</v>
      </c>
      <c r="I202" s="46">
        <f t="shared" si="12"/>
        <v>427</v>
      </c>
      <c r="J202" s="4" t="s">
        <v>12</v>
      </c>
      <c r="K202" s="4" t="s">
        <v>197</v>
      </c>
      <c r="L202" s="4" t="s">
        <v>223</v>
      </c>
      <c r="M202" s="7">
        <v>10560</v>
      </c>
      <c r="N202" s="10">
        <v>0</v>
      </c>
      <c r="O202" s="10">
        <v>0</v>
      </c>
      <c r="P202">
        <f t="shared" si="13"/>
        <v>1</v>
      </c>
      <c r="Q202" s="36">
        <f t="shared" si="14"/>
        <v>0</v>
      </c>
      <c r="R202">
        <f t="shared" si="15"/>
        <v>2023</v>
      </c>
    </row>
    <row r="203" spans="1:18" x14ac:dyDescent="0.2">
      <c r="A203" s="23">
        <v>45474</v>
      </c>
      <c r="B203" s="23">
        <v>45474</v>
      </c>
      <c r="C203" s="25" t="s">
        <v>398</v>
      </c>
      <c r="D203" s="20">
        <v>0</v>
      </c>
      <c r="E203" s="27">
        <v>0</v>
      </c>
      <c r="F203" s="22" t="s">
        <v>54</v>
      </c>
      <c r="G203" s="29">
        <v>10560</v>
      </c>
      <c r="H203" s="39">
        <v>45040</v>
      </c>
      <c r="I203" s="46">
        <f t="shared" si="12"/>
        <v>434</v>
      </c>
      <c r="J203" s="4" t="s">
        <v>12</v>
      </c>
      <c r="K203" s="4" t="s">
        <v>197</v>
      </c>
      <c r="L203" s="4" t="s">
        <v>223</v>
      </c>
      <c r="M203" s="7">
        <v>10560</v>
      </c>
      <c r="N203" s="10">
        <v>0</v>
      </c>
      <c r="O203" s="10">
        <v>0</v>
      </c>
      <c r="P203">
        <f t="shared" si="13"/>
        <v>1</v>
      </c>
      <c r="Q203" s="36">
        <f t="shared" si="14"/>
        <v>0</v>
      </c>
      <c r="R203">
        <f t="shared" si="15"/>
        <v>2023</v>
      </c>
    </row>
    <row r="204" spans="1:18" x14ac:dyDescent="0.2">
      <c r="A204" s="23">
        <v>45481</v>
      </c>
      <c r="B204" s="23">
        <v>45481</v>
      </c>
      <c r="C204" s="25" t="s">
        <v>398</v>
      </c>
      <c r="D204" s="20">
        <v>0</v>
      </c>
      <c r="E204" s="27">
        <v>0</v>
      </c>
      <c r="F204" s="22" t="s">
        <v>54</v>
      </c>
      <c r="G204" s="29">
        <v>15840</v>
      </c>
      <c r="H204" s="39">
        <v>45040</v>
      </c>
      <c r="I204" s="46">
        <f t="shared" si="12"/>
        <v>441</v>
      </c>
      <c r="J204" s="4" t="s">
        <v>12</v>
      </c>
      <c r="K204" s="4" t="s">
        <v>197</v>
      </c>
      <c r="L204" s="4" t="s">
        <v>223</v>
      </c>
      <c r="M204" s="7">
        <v>15840</v>
      </c>
      <c r="N204" s="10">
        <v>0</v>
      </c>
      <c r="O204" s="10">
        <v>0</v>
      </c>
      <c r="P204">
        <f t="shared" si="13"/>
        <v>1</v>
      </c>
      <c r="Q204" s="36">
        <f t="shared" si="14"/>
        <v>0</v>
      </c>
      <c r="R204">
        <f t="shared" si="15"/>
        <v>2023</v>
      </c>
    </row>
    <row r="205" spans="1:18" x14ac:dyDescent="0.2">
      <c r="A205" s="23">
        <v>45488</v>
      </c>
      <c r="B205" s="23">
        <v>45488</v>
      </c>
      <c r="C205" s="25" t="s">
        <v>398</v>
      </c>
      <c r="D205" s="20">
        <v>0</v>
      </c>
      <c r="E205" s="27">
        <v>0</v>
      </c>
      <c r="F205" s="22" t="s">
        <v>54</v>
      </c>
      <c r="G205" s="29">
        <v>10560</v>
      </c>
      <c r="H205" s="39">
        <v>45040</v>
      </c>
      <c r="I205" s="46">
        <f t="shared" si="12"/>
        <v>448</v>
      </c>
      <c r="J205" s="4" t="s">
        <v>12</v>
      </c>
      <c r="K205" s="4" t="s">
        <v>197</v>
      </c>
      <c r="L205" s="4" t="s">
        <v>223</v>
      </c>
      <c r="M205" s="7">
        <v>10560</v>
      </c>
      <c r="N205" s="10">
        <v>0</v>
      </c>
      <c r="O205" s="10">
        <v>0</v>
      </c>
      <c r="P205">
        <f t="shared" si="13"/>
        <v>1</v>
      </c>
      <c r="Q205" s="36">
        <f t="shared" si="14"/>
        <v>0</v>
      </c>
      <c r="R205">
        <f t="shared" si="15"/>
        <v>2023</v>
      </c>
    </row>
    <row r="206" spans="1:18" x14ac:dyDescent="0.2">
      <c r="A206" s="23">
        <v>45495</v>
      </c>
      <c r="B206" s="23">
        <v>45495</v>
      </c>
      <c r="C206" s="25" t="s">
        <v>398</v>
      </c>
      <c r="D206" s="20">
        <v>0</v>
      </c>
      <c r="E206" s="27">
        <v>0</v>
      </c>
      <c r="F206" s="22" t="s">
        <v>54</v>
      </c>
      <c r="G206" s="29">
        <v>10560</v>
      </c>
      <c r="H206" s="39">
        <v>45040</v>
      </c>
      <c r="I206" s="46">
        <f t="shared" si="12"/>
        <v>455</v>
      </c>
      <c r="J206" s="4" t="s">
        <v>12</v>
      </c>
      <c r="K206" s="4" t="s">
        <v>197</v>
      </c>
      <c r="L206" s="4" t="s">
        <v>223</v>
      </c>
      <c r="M206" s="7">
        <v>10560</v>
      </c>
      <c r="N206" s="10">
        <v>0</v>
      </c>
      <c r="O206" s="10">
        <v>0</v>
      </c>
      <c r="P206">
        <f t="shared" si="13"/>
        <v>1</v>
      </c>
      <c r="Q206" s="36">
        <f t="shared" si="14"/>
        <v>0</v>
      </c>
      <c r="R206">
        <f t="shared" si="15"/>
        <v>2023</v>
      </c>
    </row>
    <row r="207" spans="1:18" x14ac:dyDescent="0.2">
      <c r="A207" s="23">
        <v>45502</v>
      </c>
      <c r="B207" s="23">
        <v>45502</v>
      </c>
      <c r="C207" s="25" t="s">
        <v>398</v>
      </c>
      <c r="D207" s="20">
        <v>0</v>
      </c>
      <c r="E207" s="27">
        <v>0</v>
      </c>
      <c r="F207" s="22" t="s">
        <v>54</v>
      </c>
      <c r="G207" s="29">
        <v>10560</v>
      </c>
      <c r="H207" s="39">
        <v>45040</v>
      </c>
      <c r="I207" s="46">
        <f t="shared" si="12"/>
        <v>462</v>
      </c>
      <c r="J207" s="4" t="s">
        <v>12</v>
      </c>
      <c r="K207" s="4" t="s">
        <v>197</v>
      </c>
      <c r="L207" s="4" t="s">
        <v>223</v>
      </c>
      <c r="M207" s="7">
        <v>10560</v>
      </c>
      <c r="N207" s="10">
        <v>0</v>
      </c>
      <c r="O207" s="10">
        <v>0</v>
      </c>
      <c r="P207">
        <f t="shared" si="13"/>
        <v>1</v>
      </c>
      <c r="Q207" s="36">
        <f t="shared" si="14"/>
        <v>0</v>
      </c>
      <c r="R207">
        <f t="shared" si="15"/>
        <v>2023</v>
      </c>
    </row>
    <row r="208" spans="1:18" x14ac:dyDescent="0.2">
      <c r="A208" s="23">
        <v>45509</v>
      </c>
      <c r="B208" s="23">
        <v>45509</v>
      </c>
      <c r="C208" s="25" t="s">
        <v>398</v>
      </c>
      <c r="D208" s="20">
        <v>0</v>
      </c>
      <c r="E208" s="27">
        <v>0</v>
      </c>
      <c r="F208" s="22" t="s">
        <v>54</v>
      </c>
      <c r="G208" s="29">
        <v>10560</v>
      </c>
      <c r="H208" s="39">
        <v>45040</v>
      </c>
      <c r="I208" s="46">
        <f t="shared" si="12"/>
        <v>469</v>
      </c>
      <c r="J208" s="4" t="s">
        <v>12</v>
      </c>
      <c r="K208" s="4" t="s">
        <v>197</v>
      </c>
      <c r="L208" s="4" t="s">
        <v>223</v>
      </c>
      <c r="M208" s="7">
        <v>10560</v>
      </c>
      <c r="N208" s="10">
        <v>0</v>
      </c>
      <c r="O208" s="10">
        <v>0</v>
      </c>
      <c r="P208">
        <f t="shared" si="13"/>
        <v>1</v>
      </c>
      <c r="Q208" s="36">
        <f t="shared" si="14"/>
        <v>0</v>
      </c>
      <c r="R208">
        <f t="shared" si="15"/>
        <v>2023</v>
      </c>
    </row>
    <row r="209" spans="1:18" x14ac:dyDescent="0.2">
      <c r="A209" s="23">
        <v>45516</v>
      </c>
      <c r="B209" s="23">
        <v>45516</v>
      </c>
      <c r="C209" s="25" t="s">
        <v>398</v>
      </c>
      <c r="D209" s="20">
        <v>0</v>
      </c>
      <c r="E209" s="27">
        <v>0</v>
      </c>
      <c r="F209" s="22" t="s">
        <v>54</v>
      </c>
      <c r="G209" s="29">
        <v>10560</v>
      </c>
      <c r="H209" s="39">
        <v>45040</v>
      </c>
      <c r="I209" s="46">
        <f t="shared" si="12"/>
        <v>476</v>
      </c>
      <c r="J209" s="4" t="s">
        <v>12</v>
      </c>
      <c r="K209" s="4" t="s">
        <v>197</v>
      </c>
      <c r="L209" s="4" t="s">
        <v>223</v>
      </c>
      <c r="M209" s="7">
        <v>10560</v>
      </c>
      <c r="N209" s="10">
        <v>0</v>
      </c>
      <c r="O209" s="10">
        <v>0</v>
      </c>
      <c r="P209">
        <f t="shared" si="13"/>
        <v>1</v>
      </c>
      <c r="Q209" s="36">
        <f t="shared" si="14"/>
        <v>0</v>
      </c>
      <c r="R209">
        <f t="shared" si="15"/>
        <v>2023</v>
      </c>
    </row>
    <row r="210" spans="1:18" x14ac:dyDescent="0.2">
      <c r="A210" s="23">
        <v>45523</v>
      </c>
      <c r="B210" s="23">
        <v>45523</v>
      </c>
      <c r="C210" s="25" t="s">
        <v>398</v>
      </c>
      <c r="D210" s="20">
        <v>0</v>
      </c>
      <c r="E210" s="27">
        <v>0</v>
      </c>
      <c r="F210" s="22" t="s">
        <v>54</v>
      </c>
      <c r="G210" s="29">
        <v>10560</v>
      </c>
      <c r="H210" s="39">
        <v>45040</v>
      </c>
      <c r="I210" s="46">
        <f t="shared" si="12"/>
        <v>483</v>
      </c>
      <c r="J210" s="4" t="s">
        <v>12</v>
      </c>
      <c r="K210" s="4" t="s">
        <v>197</v>
      </c>
      <c r="L210" s="4" t="s">
        <v>223</v>
      </c>
      <c r="M210" s="7">
        <v>10560</v>
      </c>
      <c r="N210" s="10">
        <v>0</v>
      </c>
      <c r="O210" s="10">
        <v>0</v>
      </c>
      <c r="P210">
        <f t="shared" si="13"/>
        <v>1</v>
      </c>
      <c r="Q210" s="36">
        <f t="shared" si="14"/>
        <v>0</v>
      </c>
      <c r="R210">
        <f t="shared" si="15"/>
        <v>2023</v>
      </c>
    </row>
    <row r="211" spans="1:18" x14ac:dyDescent="0.2">
      <c r="A211" s="23">
        <v>45530</v>
      </c>
      <c r="B211" s="23">
        <v>45530</v>
      </c>
      <c r="C211" s="25" t="s">
        <v>398</v>
      </c>
      <c r="D211" s="20">
        <v>0</v>
      </c>
      <c r="E211" s="27">
        <v>0</v>
      </c>
      <c r="F211" s="22" t="s">
        <v>54</v>
      </c>
      <c r="G211" s="29">
        <v>10560</v>
      </c>
      <c r="H211" s="39">
        <v>45040</v>
      </c>
      <c r="I211" s="46">
        <f t="shared" si="12"/>
        <v>490</v>
      </c>
      <c r="J211" s="4" t="s">
        <v>12</v>
      </c>
      <c r="K211" s="4" t="s">
        <v>197</v>
      </c>
      <c r="L211" s="4" t="s">
        <v>223</v>
      </c>
      <c r="M211" s="7">
        <v>10560</v>
      </c>
      <c r="N211" s="10">
        <v>0</v>
      </c>
      <c r="O211" s="10">
        <v>0</v>
      </c>
      <c r="P211">
        <f t="shared" si="13"/>
        <v>1</v>
      </c>
      <c r="Q211" s="36">
        <f t="shared" si="14"/>
        <v>0</v>
      </c>
      <c r="R211">
        <f t="shared" si="15"/>
        <v>2023</v>
      </c>
    </row>
    <row r="212" spans="1:18" x14ac:dyDescent="0.2">
      <c r="A212" s="23">
        <v>45537</v>
      </c>
      <c r="B212" s="23">
        <v>45537</v>
      </c>
      <c r="C212" s="25" t="s">
        <v>398</v>
      </c>
      <c r="D212" s="20">
        <v>0</v>
      </c>
      <c r="E212" s="27">
        <v>0</v>
      </c>
      <c r="F212" s="22" t="s">
        <v>54</v>
      </c>
      <c r="G212" s="29">
        <v>10560</v>
      </c>
      <c r="H212" s="39">
        <v>45040</v>
      </c>
      <c r="I212" s="46">
        <f t="shared" si="12"/>
        <v>497</v>
      </c>
      <c r="J212" s="4" t="s">
        <v>12</v>
      </c>
      <c r="K212" s="4" t="s">
        <v>197</v>
      </c>
      <c r="L212" s="4" t="s">
        <v>223</v>
      </c>
      <c r="M212" s="7">
        <v>10560</v>
      </c>
      <c r="N212" s="10">
        <v>0</v>
      </c>
      <c r="O212" s="10">
        <v>0</v>
      </c>
      <c r="P212">
        <f t="shared" si="13"/>
        <v>1</v>
      </c>
      <c r="Q212" s="36">
        <f t="shared" si="14"/>
        <v>0</v>
      </c>
      <c r="R212">
        <f t="shared" si="15"/>
        <v>2023</v>
      </c>
    </row>
    <row r="213" spans="1:18" x14ac:dyDescent="0.2">
      <c r="A213" s="23">
        <v>45544</v>
      </c>
      <c r="B213" s="23">
        <v>45544</v>
      </c>
      <c r="C213" s="25" t="s">
        <v>398</v>
      </c>
      <c r="D213" s="20">
        <v>0</v>
      </c>
      <c r="E213" s="27">
        <v>0</v>
      </c>
      <c r="F213" s="22" t="s">
        <v>54</v>
      </c>
      <c r="G213" s="29">
        <v>15840</v>
      </c>
      <c r="H213" s="39">
        <v>45040</v>
      </c>
      <c r="I213" s="46">
        <f t="shared" si="12"/>
        <v>504</v>
      </c>
      <c r="J213" s="4" t="s">
        <v>12</v>
      </c>
      <c r="K213" s="4" t="s">
        <v>197</v>
      </c>
      <c r="L213" s="4" t="s">
        <v>223</v>
      </c>
      <c r="M213" s="7">
        <v>15840</v>
      </c>
      <c r="N213" s="10">
        <v>0</v>
      </c>
      <c r="O213" s="10">
        <v>0</v>
      </c>
      <c r="P213">
        <f t="shared" si="13"/>
        <v>1</v>
      </c>
      <c r="Q213" s="36">
        <f t="shared" si="14"/>
        <v>0</v>
      </c>
      <c r="R213">
        <f t="shared" si="15"/>
        <v>2023</v>
      </c>
    </row>
    <row r="214" spans="1:18" x14ac:dyDescent="0.2">
      <c r="A214" s="23">
        <v>45551</v>
      </c>
      <c r="B214" s="23">
        <v>45551</v>
      </c>
      <c r="C214" s="25" t="s">
        <v>398</v>
      </c>
      <c r="D214" s="20">
        <v>0</v>
      </c>
      <c r="E214" s="27">
        <v>0</v>
      </c>
      <c r="F214" s="22" t="s">
        <v>54</v>
      </c>
      <c r="G214" s="29">
        <v>10560</v>
      </c>
      <c r="H214" s="39">
        <v>45040</v>
      </c>
      <c r="I214" s="46">
        <f t="shared" si="12"/>
        <v>511</v>
      </c>
      <c r="J214" s="4" t="s">
        <v>12</v>
      </c>
      <c r="K214" s="4" t="s">
        <v>197</v>
      </c>
      <c r="L214" s="4" t="s">
        <v>223</v>
      </c>
      <c r="M214" s="7">
        <v>10560</v>
      </c>
      <c r="N214" s="10">
        <v>0</v>
      </c>
      <c r="O214" s="10">
        <v>0</v>
      </c>
      <c r="P214">
        <f t="shared" si="13"/>
        <v>1</v>
      </c>
      <c r="Q214" s="36">
        <f t="shared" si="14"/>
        <v>0</v>
      </c>
      <c r="R214">
        <f t="shared" si="15"/>
        <v>2023</v>
      </c>
    </row>
    <row r="215" spans="1:18" x14ac:dyDescent="0.2">
      <c r="A215" s="23">
        <v>45558</v>
      </c>
      <c r="B215" s="23">
        <v>45558</v>
      </c>
      <c r="C215" s="25" t="s">
        <v>398</v>
      </c>
      <c r="D215" s="20">
        <v>0</v>
      </c>
      <c r="E215" s="27">
        <v>0</v>
      </c>
      <c r="F215" s="22" t="s">
        <v>54</v>
      </c>
      <c r="G215" s="29">
        <v>10560</v>
      </c>
      <c r="H215" s="39">
        <v>45040</v>
      </c>
      <c r="I215" s="46">
        <f t="shared" si="12"/>
        <v>518</v>
      </c>
      <c r="J215" s="4" t="s">
        <v>12</v>
      </c>
      <c r="K215" s="4" t="s">
        <v>197</v>
      </c>
      <c r="L215" s="4" t="s">
        <v>223</v>
      </c>
      <c r="M215" s="7">
        <v>10560</v>
      </c>
      <c r="N215" s="10">
        <v>0</v>
      </c>
      <c r="O215" s="10">
        <v>0</v>
      </c>
      <c r="P215">
        <f t="shared" si="13"/>
        <v>1</v>
      </c>
      <c r="Q215" s="36">
        <f t="shared" si="14"/>
        <v>0</v>
      </c>
      <c r="R215">
        <f t="shared" si="15"/>
        <v>2023</v>
      </c>
    </row>
    <row r="216" spans="1:18" x14ac:dyDescent="0.2">
      <c r="A216" s="23">
        <v>45565</v>
      </c>
      <c r="B216" s="23">
        <v>45565</v>
      </c>
      <c r="C216" s="25" t="s">
        <v>398</v>
      </c>
      <c r="D216" s="20">
        <v>0</v>
      </c>
      <c r="E216" s="27">
        <v>0</v>
      </c>
      <c r="F216" s="22" t="s">
        <v>54</v>
      </c>
      <c r="G216" s="29">
        <v>15840</v>
      </c>
      <c r="H216" s="39">
        <v>45040</v>
      </c>
      <c r="I216" s="46">
        <f t="shared" si="12"/>
        <v>525</v>
      </c>
      <c r="J216" s="4" t="s">
        <v>12</v>
      </c>
      <c r="K216" s="4" t="s">
        <v>197</v>
      </c>
      <c r="L216" s="4" t="s">
        <v>223</v>
      </c>
      <c r="M216" s="7">
        <v>15840</v>
      </c>
      <c r="N216" s="10">
        <v>0</v>
      </c>
      <c r="O216" s="10">
        <v>0</v>
      </c>
      <c r="P216">
        <f t="shared" si="13"/>
        <v>1</v>
      </c>
      <c r="Q216" s="36">
        <f t="shared" si="14"/>
        <v>0</v>
      </c>
      <c r="R216">
        <f t="shared" si="15"/>
        <v>2023</v>
      </c>
    </row>
    <row r="217" spans="1:18" x14ac:dyDescent="0.2">
      <c r="A217" s="23">
        <v>45572</v>
      </c>
      <c r="B217" s="23">
        <v>45572</v>
      </c>
      <c r="C217" s="25" t="s">
        <v>398</v>
      </c>
      <c r="D217" s="20">
        <v>0</v>
      </c>
      <c r="E217" s="27">
        <v>0</v>
      </c>
      <c r="F217" s="22" t="s">
        <v>54</v>
      </c>
      <c r="G217" s="29">
        <v>10560</v>
      </c>
      <c r="H217" s="39">
        <v>45040</v>
      </c>
      <c r="I217" s="46">
        <f t="shared" si="12"/>
        <v>532</v>
      </c>
      <c r="J217" s="4" t="s">
        <v>12</v>
      </c>
      <c r="K217" s="4" t="s">
        <v>197</v>
      </c>
      <c r="L217" s="4" t="s">
        <v>223</v>
      </c>
      <c r="M217" s="7">
        <v>10560</v>
      </c>
      <c r="N217" s="10">
        <v>0</v>
      </c>
      <c r="O217" s="10">
        <v>0</v>
      </c>
      <c r="P217">
        <f t="shared" si="13"/>
        <v>1</v>
      </c>
      <c r="Q217" s="36">
        <f t="shared" si="14"/>
        <v>0</v>
      </c>
      <c r="R217">
        <f t="shared" si="15"/>
        <v>2023</v>
      </c>
    </row>
    <row r="218" spans="1:18" x14ac:dyDescent="0.2">
      <c r="A218" s="23">
        <v>45579</v>
      </c>
      <c r="B218" s="23">
        <v>45579</v>
      </c>
      <c r="C218" s="25" t="s">
        <v>398</v>
      </c>
      <c r="D218" s="20">
        <v>0</v>
      </c>
      <c r="E218" s="27">
        <v>0</v>
      </c>
      <c r="F218" s="22" t="s">
        <v>54</v>
      </c>
      <c r="G218" s="29">
        <v>10560</v>
      </c>
      <c r="H218" s="39">
        <v>45040</v>
      </c>
      <c r="I218" s="46">
        <f t="shared" si="12"/>
        <v>539</v>
      </c>
      <c r="J218" s="4" t="s">
        <v>12</v>
      </c>
      <c r="K218" s="4" t="s">
        <v>197</v>
      </c>
      <c r="L218" s="4" t="s">
        <v>223</v>
      </c>
      <c r="M218" s="7">
        <v>10560</v>
      </c>
      <c r="N218" s="10">
        <v>0</v>
      </c>
      <c r="O218" s="10">
        <v>0</v>
      </c>
      <c r="P218">
        <f t="shared" si="13"/>
        <v>1</v>
      </c>
      <c r="Q218" s="36">
        <f t="shared" si="14"/>
        <v>0</v>
      </c>
      <c r="R218">
        <f t="shared" si="15"/>
        <v>2023</v>
      </c>
    </row>
    <row r="219" spans="1:18" x14ac:dyDescent="0.2">
      <c r="A219" s="23">
        <v>45586</v>
      </c>
      <c r="B219" s="23">
        <v>45586</v>
      </c>
      <c r="C219" s="25" t="s">
        <v>398</v>
      </c>
      <c r="D219" s="20">
        <v>0</v>
      </c>
      <c r="E219" s="27">
        <v>0</v>
      </c>
      <c r="F219" s="22" t="s">
        <v>54</v>
      </c>
      <c r="G219" s="29">
        <v>26400</v>
      </c>
      <c r="H219" s="39">
        <v>45040</v>
      </c>
      <c r="I219" s="46">
        <f t="shared" si="12"/>
        <v>546</v>
      </c>
      <c r="J219" s="4" t="s">
        <v>12</v>
      </c>
      <c r="K219" s="4" t="s">
        <v>197</v>
      </c>
      <c r="L219" s="4" t="s">
        <v>223</v>
      </c>
      <c r="M219" s="7">
        <v>26400</v>
      </c>
      <c r="N219" s="10">
        <v>0</v>
      </c>
      <c r="O219" s="10">
        <v>0</v>
      </c>
      <c r="P219">
        <f t="shared" si="13"/>
        <v>1</v>
      </c>
      <c r="Q219" s="36">
        <f t="shared" si="14"/>
        <v>0</v>
      </c>
      <c r="R219">
        <f t="shared" si="15"/>
        <v>2023</v>
      </c>
    </row>
    <row r="220" spans="1:18" x14ac:dyDescent="0.2">
      <c r="A220" s="23">
        <v>45600</v>
      </c>
      <c r="B220" s="23">
        <v>45600</v>
      </c>
      <c r="C220" s="25" t="s">
        <v>398</v>
      </c>
      <c r="D220" s="20">
        <v>0</v>
      </c>
      <c r="E220" s="27">
        <v>0</v>
      </c>
      <c r="F220" s="22" t="s">
        <v>54</v>
      </c>
      <c r="G220" s="29">
        <v>10560</v>
      </c>
      <c r="H220" s="39">
        <v>45040</v>
      </c>
      <c r="I220" s="46">
        <f t="shared" si="12"/>
        <v>560</v>
      </c>
      <c r="J220" s="4" t="s">
        <v>12</v>
      </c>
      <c r="K220" s="4" t="s">
        <v>197</v>
      </c>
      <c r="L220" s="4" t="s">
        <v>223</v>
      </c>
      <c r="M220" s="7">
        <v>10560</v>
      </c>
      <c r="N220" s="10">
        <v>0</v>
      </c>
      <c r="O220" s="10">
        <v>0</v>
      </c>
      <c r="P220">
        <f t="shared" si="13"/>
        <v>1</v>
      </c>
      <c r="Q220" s="36">
        <f t="shared" si="14"/>
        <v>0</v>
      </c>
      <c r="R220">
        <f t="shared" si="15"/>
        <v>2023</v>
      </c>
    </row>
    <row r="221" spans="1:18" x14ac:dyDescent="0.2">
      <c r="A221" s="23">
        <v>45607</v>
      </c>
      <c r="B221" s="23">
        <v>45607</v>
      </c>
      <c r="C221" s="25" t="s">
        <v>398</v>
      </c>
      <c r="D221" s="20">
        <v>0</v>
      </c>
      <c r="E221" s="27">
        <v>0</v>
      </c>
      <c r="F221" s="22" t="s">
        <v>54</v>
      </c>
      <c r="G221" s="29">
        <v>5280</v>
      </c>
      <c r="H221" s="39">
        <v>45040</v>
      </c>
      <c r="I221" s="46">
        <f t="shared" si="12"/>
        <v>567</v>
      </c>
      <c r="J221" s="4" t="s">
        <v>12</v>
      </c>
      <c r="K221" s="4" t="s">
        <v>197</v>
      </c>
      <c r="L221" s="4" t="s">
        <v>223</v>
      </c>
      <c r="M221" s="7">
        <v>5280</v>
      </c>
      <c r="N221" s="10">
        <v>0</v>
      </c>
      <c r="O221" s="10">
        <v>0</v>
      </c>
      <c r="P221">
        <f t="shared" si="13"/>
        <v>1</v>
      </c>
      <c r="Q221" s="36">
        <f t="shared" si="14"/>
        <v>0</v>
      </c>
      <c r="R221">
        <f t="shared" si="15"/>
        <v>2023</v>
      </c>
    </row>
    <row r="222" spans="1:18" x14ac:dyDescent="0.2">
      <c r="A222" s="23">
        <v>45614</v>
      </c>
      <c r="B222" s="23">
        <v>45614</v>
      </c>
      <c r="C222" s="25" t="s">
        <v>398</v>
      </c>
      <c r="D222" s="20">
        <v>0</v>
      </c>
      <c r="E222" s="27">
        <v>0</v>
      </c>
      <c r="F222" s="22" t="s">
        <v>54</v>
      </c>
      <c r="G222" s="29">
        <v>10560</v>
      </c>
      <c r="H222" s="39">
        <v>45040</v>
      </c>
      <c r="I222" s="46">
        <f t="shared" si="12"/>
        <v>574</v>
      </c>
      <c r="J222" s="4" t="s">
        <v>12</v>
      </c>
      <c r="K222" s="4" t="s">
        <v>197</v>
      </c>
      <c r="L222" s="4" t="s">
        <v>223</v>
      </c>
      <c r="M222" s="7">
        <v>10560</v>
      </c>
      <c r="N222" s="10">
        <v>0</v>
      </c>
      <c r="O222" s="10">
        <v>0</v>
      </c>
      <c r="P222">
        <f t="shared" si="13"/>
        <v>1</v>
      </c>
      <c r="Q222" s="36">
        <f t="shared" si="14"/>
        <v>0</v>
      </c>
      <c r="R222">
        <f t="shared" si="15"/>
        <v>2023</v>
      </c>
    </row>
    <row r="223" spans="1:18" x14ac:dyDescent="0.2">
      <c r="A223" s="23">
        <v>45621</v>
      </c>
      <c r="B223" s="23">
        <v>45621</v>
      </c>
      <c r="C223" s="25" t="s">
        <v>398</v>
      </c>
      <c r="D223" s="20">
        <v>0</v>
      </c>
      <c r="E223" s="27">
        <v>0</v>
      </c>
      <c r="F223" s="22" t="s">
        <v>54</v>
      </c>
      <c r="G223" s="29">
        <v>10560</v>
      </c>
      <c r="H223" s="39">
        <v>45040</v>
      </c>
      <c r="I223" s="46">
        <f t="shared" si="12"/>
        <v>581</v>
      </c>
      <c r="J223" s="4" t="s">
        <v>12</v>
      </c>
      <c r="K223" s="4" t="s">
        <v>197</v>
      </c>
      <c r="L223" s="4" t="s">
        <v>223</v>
      </c>
      <c r="M223" s="7">
        <v>10560</v>
      </c>
      <c r="N223" s="10">
        <v>0</v>
      </c>
      <c r="O223" s="10">
        <v>0</v>
      </c>
      <c r="P223">
        <f t="shared" si="13"/>
        <v>1</v>
      </c>
      <c r="Q223" s="36">
        <f t="shared" si="14"/>
        <v>0</v>
      </c>
      <c r="R223">
        <f t="shared" si="15"/>
        <v>2023</v>
      </c>
    </row>
    <row r="224" spans="1:18" x14ac:dyDescent="0.2">
      <c r="A224" s="23">
        <v>45628</v>
      </c>
      <c r="B224" s="23">
        <v>45628</v>
      </c>
      <c r="C224" s="25" t="s">
        <v>398</v>
      </c>
      <c r="D224" s="20">
        <v>0</v>
      </c>
      <c r="E224" s="27">
        <v>0</v>
      </c>
      <c r="F224" s="22" t="s">
        <v>54</v>
      </c>
      <c r="G224" s="29">
        <v>15840</v>
      </c>
      <c r="H224" s="39">
        <v>45040</v>
      </c>
      <c r="I224" s="46">
        <f t="shared" si="12"/>
        <v>588</v>
      </c>
      <c r="J224" s="4" t="s">
        <v>12</v>
      </c>
      <c r="K224" s="4" t="s">
        <v>197</v>
      </c>
      <c r="L224" s="4" t="s">
        <v>223</v>
      </c>
      <c r="M224" s="7">
        <v>15840</v>
      </c>
      <c r="N224" s="10">
        <v>0</v>
      </c>
      <c r="O224" s="10">
        <v>0</v>
      </c>
      <c r="P224">
        <f t="shared" si="13"/>
        <v>1</v>
      </c>
      <c r="Q224" s="36">
        <f t="shared" si="14"/>
        <v>0</v>
      </c>
      <c r="R224">
        <f t="shared" si="15"/>
        <v>2023</v>
      </c>
    </row>
    <row r="225" spans="1:18" x14ac:dyDescent="0.2">
      <c r="A225" s="23">
        <v>45635</v>
      </c>
      <c r="B225" s="23">
        <v>45635</v>
      </c>
      <c r="C225" s="25" t="s">
        <v>398</v>
      </c>
      <c r="D225" s="20">
        <v>0</v>
      </c>
      <c r="E225" s="27">
        <v>0</v>
      </c>
      <c r="F225" s="22" t="s">
        <v>54</v>
      </c>
      <c r="G225" s="29">
        <v>15840</v>
      </c>
      <c r="H225" s="39">
        <v>45040</v>
      </c>
      <c r="I225" s="46">
        <f t="shared" si="12"/>
        <v>595</v>
      </c>
      <c r="J225" s="4" t="s">
        <v>12</v>
      </c>
      <c r="K225" s="4" t="s">
        <v>197</v>
      </c>
      <c r="L225" s="4" t="s">
        <v>223</v>
      </c>
      <c r="M225" s="7">
        <v>15840</v>
      </c>
      <c r="N225" s="10">
        <v>0</v>
      </c>
      <c r="O225" s="10">
        <v>0</v>
      </c>
      <c r="P225">
        <f t="shared" si="13"/>
        <v>1</v>
      </c>
      <c r="Q225" s="36">
        <f t="shared" si="14"/>
        <v>0</v>
      </c>
      <c r="R225">
        <f t="shared" si="15"/>
        <v>2023</v>
      </c>
    </row>
    <row r="226" spans="1:18" x14ac:dyDescent="0.2">
      <c r="A226" s="23">
        <v>45642</v>
      </c>
      <c r="B226" s="23">
        <v>45642</v>
      </c>
      <c r="C226" s="25" t="s">
        <v>398</v>
      </c>
      <c r="D226" s="20">
        <v>0</v>
      </c>
      <c r="E226" s="27">
        <v>0</v>
      </c>
      <c r="F226" s="22" t="s">
        <v>54</v>
      </c>
      <c r="G226" s="29">
        <v>21120</v>
      </c>
      <c r="H226" s="39">
        <v>45040</v>
      </c>
      <c r="I226" s="46">
        <f t="shared" si="12"/>
        <v>602</v>
      </c>
      <c r="J226" s="4" t="s">
        <v>12</v>
      </c>
      <c r="K226" s="4" t="s">
        <v>197</v>
      </c>
      <c r="L226" s="4" t="s">
        <v>223</v>
      </c>
      <c r="M226" s="7">
        <v>21120</v>
      </c>
      <c r="N226" s="10">
        <v>0</v>
      </c>
      <c r="O226" s="10">
        <v>0</v>
      </c>
      <c r="P226">
        <f t="shared" si="13"/>
        <v>1</v>
      </c>
      <c r="Q226" s="36">
        <f t="shared" si="14"/>
        <v>0</v>
      </c>
      <c r="R226">
        <f t="shared" si="15"/>
        <v>2023</v>
      </c>
    </row>
    <row r="227" spans="1:18" x14ac:dyDescent="0.2">
      <c r="A227" s="23">
        <v>45292</v>
      </c>
      <c r="B227" s="23">
        <v>45292</v>
      </c>
      <c r="C227" s="25" t="s">
        <v>398</v>
      </c>
      <c r="D227" s="20">
        <v>0</v>
      </c>
      <c r="E227" s="27">
        <v>0</v>
      </c>
      <c r="F227" s="22" t="s">
        <v>54</v>
      </c>
      <c r="G227" s="29">
        <v>21120</v>
      </c>
      <c r="H227" s="39">
        <v>45005</v>
      </c>
      <c r="I227" s="46">
        <f t="shared" si="12"/>
        <v>287</v>
      </c>
      <c r="J227" s="4" t="s">
        <v>12</v>
      </c>
      <c r="K227" s="4" t="s">
        <v>197</v>
      </c>
      <c r="L227" s="4" t="s">
        <v>223</v>
      </c>
      <c r="M227" s="7">
        <v>21120</v>
      </c>
      <c r="N227" s="10">
        <v>0</v>
      </c>
      <c r="O227" s="10">
        <v>0</v>
      </c>
      <c r="P227">
        <f t="shared" si="13"/>
        <v>1</v>
      </c>
      <c r="Q227" s="36">
        <f t="shared" si="14"/>
        <v>0</v>
      </c>
      <c r="R227">
        <f t="shared" si="15"/>
        <v>2023</v>
      </c>
    </row>
    <row r="228" spans="1:18" x14ac:dyDescent="0.2">
      <c r="A228" s="23">
        <v>45299</v>
      </c>
      <c r="B228" s="23">
        <v>45299</v>
      </c>
      <c r="C228" s="25" t="s">
        <v>398</v>
      </c>
      <c r="D228" s="20">
        <v>0</v>
      </c>
      <c r="E228" s="27">
        <v>0</v>
      </c>
      <c r="F228" s="22" t="s">
        <v>54</v>
      </c>
      <c r="G228" s="29">
        <v>18480</v>
      </c>
      <c r="H228" s="39">
        <v>45005</v>
      </c>
      <c r="I228" s="46">
        <f t="shared" si="12"/>
        <v>294</v>
      </c>
      <c r="J228" s="4" t="s">
        <v>12</v>
      </c>
      <c r="K228" s="4" t="s">
        <v>197</v>
      </c>
      <c r="L228" s="4" t="s">
        <v>223</v>
      </c>
      <c r="M228" s="7">
        <v>18480</v>
      </c>
      <c r="N228" s="10">
        <v>0</v>
      </c>
      <c r="O228" s="10">
        <v>0</v>
      </c>
      <c r="P228">
        <f t="shared" si="13"/>
        <v>1</v>
      </c>
      <c r="Q228" s="36">
        <f t="shared" si="14"/>
        <v>0</v>
      </c>
      <c r="R228">
        <f t="shared" si="15"/>
        <v>2023</v>
      </c>
    </row>
    <row r="229" spans="1:18" x14ac:dyDescent="0.2">
      <c r="A229" s="23">
        <v>45306</v>
      </c>
      <c r="B229" s="23">
        <v>45306</v>
      </c>
      <c r="C229" s="25" t="s">
        <v>398</v>
      </c>
      <c r="D229" s="20">
        <v>0</v>
      </c>
      <c r="E229" s="27">
        <v>0</v>
      </c>
      <c r="F229" s="22" t="s">
        <v>54</v>
      </c>
      <c r="G229" s="29">
        <v>21120</v>
      </c>
      <c r="H229" s="39">
        <v>45005</v>
      </c>
      <c r="I229" s="46">
        <f t="shared" si="12"/>
        <v>301</v>
      </c>
      <c r="J229" s="4" t="s">
        <v>12</v>
      </c>
      <c r="K229" s="4" t="s">
        <v>197</v>
      </c>
      <c r="L229" s="4" t="s">
        <v>223</v>
      </c>
      <c r="M229" s="7">
        <v>21120</v>
      </c>
      <c r="N229" s="10">
        <v>0</v>
      </c>
      <c r="O229" s="10">
        <v>0</v>
      </c>
      <c r="P229">
        <f t="shared" si="13"/>
        <v>1</v>
      </c>
      <c r="Q229" s="36">
        <f t="shared" si="14"/>
        <v>0</v>
      </c>
      <c r="R229">
        <f t="shared" si="15"/>
        <v>2023</v>
      </c>
    </row>
    <row r="230" spans="1:18" x14ac:dyDescent="0.2">
      <c r="A230" s="23">
        <v>45313</v>
      </c>
      <c r="B230" s="23">
        <v>45313</v>
      </c>
      <c r="C230" s="25" t="s">
        <v>398</v>
      </c>
      <c r="D230" s="20">
        <v>0</v>
      </c>
      <c r="E230" s="27">
        <v>0</v>
      </c>
      <c r="F230" s="22" t="s">
        <v>54</v>
      </c>
      <c r="G230" s="29">
        <v>21120</v>
      </c>
      <c r="H230" s="39">
        <v>45005</v>
      </c>
      <c r="I230" s="46">
        <f t="shared" si="12"/>
        <v>308</v>
      </c>
      <c r="J230" s="4" t="s">
        <v>12</v>
      </c>
      <c r="K230" s="4" t="s">
        <v>197</v>
      </c>
      <c r="L230" s="4" t="s">
        <v>223</v>
      </c>
      <c r="M230" s="7">
        <v>21120</v>
      </c>
      <c r="N230" s="10">
        <v>0</v>
      </c>
      <c r="O230" s="10">
        <v>0</v>
      </c>
      <c r="P230">
        <f t="shared" si="13"/>
        <v>1</v>
      </c>
      <c r="Q230" s="36">
        <f t="shared" si="14"/>
        <v>0</v>
      </c>
      <c r="R230">
        <f t="shared" si="15"/>
        <v>2023</v>
      </c>
    </row>
    <row r="231" spans="1:18" x14ac:dyDescent="0.2">
      <c r="A231" s="23">
        <v>45320</v>
      </c>
      <c r="B231" s="23">
        <v>45320</v>
      </c>
      <c r="C231" s="25" t="s">
        <v>398</v>
      </c>
      <c r="D231" s="20">
        <v>0</v>
      </c>
      <c r="E231" s="27">
        <v>0</v>
      </c>
      <c r="F231" s="22" t="s">
        <v>54</v>
      </c>
      <c r="G231" s="29">
        <v>15840</v>
      </c>
      <c r="H231" s="39">
        <v>45005</v>
      </c>
      <c r="I231" s="46">
        <f t="shared" si="12"/>
        <v>315</v>
      </c>
      <c r="J231" s="4" t="s">
        <v>12</v>
      </c>
      <c r="K231" s="4" t="s">
        <v>197</v>
      </c>
      <c r="L231" s="4" t="s">
        <v>223</v>
      </c>
      <c r="M231" s="7">
        <v>15840</v>
      </c>
      <c r="N231" s="10">
        <v>0</v>
      </c>
      <c r="O231" s="10">
        <v>0</v>
      </c>
      <c r="P231">
        <f t="shared" si="13"/>
        <v>1</v>
      </c>
      <c r="Q231" s="36">
        <f t="shared" si="14"/>
        <v>0</v>
      </c>
      <c r="R231">
        <f t="shared" si="15"/>
        <v>2023</v>
      </c>
    </row>
    <row r="232" spans="1:18" x14ac:dyDescent="0.2">
      <c r="A232" s="23">
        <v>45334</v>
      </c>
      <c r="B232" s="23">
        <v>45334</v>
      </c>
      <c r="C232" s="25" t="s">
        <v>398</v>
      </c>
      <c r="D232" s="20">
        <v>0</v>
      </c>
      <c r="E232" s="27">
        <v>0</v>
      </c>
      <c r="F232" s="22" t="s">
        <v>54</v>
      </c>
      <c r="G232" s="29">
        <v>21120</v>
      </c>
      <c r="H232" s="39">
        <v>45005</v>
      </c>
      <c r="I232" s="46">
        <f t="shared" si="12"/>
        <v>329</v>
      </c>
      <c r="J232" s="4" t="s">
        <v>12</v>
      </c>
      <c r="K232" s="4" t="s">
        <v>197</v>
      </c>
      <c r="L232" s="4" t="s">
        <v>223</v>
      </c>
      <c r="M232" s="7">
        <v>21120</v>
      </c>
      <c r="N232" s="10">
        <v>0</v>
      </c>
      <c r="O232" s="10">
        <v>0</v>
      </c>
      <c r="P232">
        <f t="shared" si="13"/>
        <v>1</v>
      </c>
      <c r="Q232" s="36">
        <f t="shared" si="14"/>
        <v>0</v>
      </c>
      <c r="R232">
        <f t="shared" si="15"/>
        <v>2023</v>
      </c>
    </row>
    <row r="233" spans="1:18" x14ac:dyDescent="0.2">
      <c r="A233" s="23">
        <v>45341</v>
      </c>
      <c r="B233" s="23">
        <v>45341</v>
      </c>
      <c r="C233" s="25" t="s">
        <v>398</v>
      </c>
      <c r="D233" s="20">
        <v>0</v>
      </c>
      <c r="E233" s="27">
        <v>0</v>
      </c>
      <c r="F233" s="22" t="s">
        <v>54</v>
      </c>
      <c r="G233" s="29">
        <v>15840</v>
      </c>
      <c r="H233" s="39">
        <v>45005</v>
      </c>
      <c r="I233" s="46">
        <f t="shared" si="12"/>
        <v>336</v>
      </c>
      <c r="J233" s="4" t="s">
        <v>12</v>
      </c>
      <c r="K233" s="4" t="s">
        <v>197</v>
      </c>
      <c r="L233" s="4" t="s">
        <v>223</v>
      </c>
      <c r="M233" s="7">
        <v>15840</v>
      </c>
      <c r="N233" s="10">
        <v>0</v>
      </c>
      <c r="O233" s="10">
        <v>0</v>
      </c>
      <c r="P233">
        <f t="shared" si="13"/>
        <v>1</v>
      </c>
      <c r="Q233" s="36">
        <f t="shared" si="14"/>
        <v>0</v>
      </c>
      <c r="R233">
        <f t="shared" si="15"/>
        <v>2023</v>
      </c>
    </row>
    <row r="234" spans="1:18" x14ac:dyDescent="0.2">
      <c r="A234" s="23">
        <v>45656</v>
      </c>
      <c r="B234" s="23">
        <v>45656</v>
      </c>
      <c r="C234" s="25" t="s">
        <v>398</v>
      </c>
      <c r="D234" s="20">
        <v>0</v>
      </c>
      <c r="E234" s="27">
        <v>0</v>
      </c>
      <c r="F234" s="22" t="s">
        <v>54</v>
      </c>
      <c r="G234" s="29">
        <v>10560</v>
      </c>
      <c r="H234" s="39">
        <v>45119</v>
      </c>
      <c r="I234" s="46">
        <f t="shared" si="12"/>
        <v>537</v>
      </c>
      <c r="J234" s="4" t="s">
        <v>12</v>
      </c>
      <c r="K234" s="4" t="s">
        <v>197</v>
      </c>
      <c r="L234" s="4" t="s">
        <v>223</v>
      </c>
      <c r="M234" s="7">
        <v>10560</v>
      </c>
      <c r="N234" s="10">
        <v>0</v>
      </c>
      <c r="O234" s="10">
        <v>0</v>
      </c>
      <c r="P234">
        <f t="shared" si="13"/>
        <v>1</v>
      </c>
      <c r="Q234" s="36">
        <f t="shared" si="14"/>
        <v>0</v>
      </c>
      <c r="R234">
        <f t="shared" si="15"/>
        <v>2023</v>
      </c>
    </row>
    <row r="235" spans="1:18" x14ac:dyDescent="0.2">
      <c r="A235" s="23">
        <v>45663</v>
      </c>
      <c r="B235" s="23">
        <v>45663</v>
      </c>
      <c r="C235" s="25" t="s">
        <v>398</v>
      </c>
      <c r="D235" s="20">
        <v>0</v>
      </c>
      <c r="E235" s="27">
        <v>0</v>
      </c>
      <c r="F235" s="22" t="s">
        <v>54</v>
      </c>
      <c r="G235" s="29">
        <v>10560</v>
      </c>
      <c r="H235" s="39">
        <v>45119</v>
      </c>
      <c r="I235" s="46">
        <f t="shared" si="12"/>
        <v>544</v>
      </c>
      <c r="J235" s="4" t="s">
        <v>12</v>
      </c>
      <c r="K235" s="4" t="s">
        <v>197</v>
      </c>
      <c r="L235" s="4" t="s">
        <v>223</v>
      </c>
      <c r="M235" s="7">
        <v>10560</v>
      </c>
      <c r="N235" s="10">
        <v>0</v>
      </c>
      <c r="O235" s="10">
        <v>0</v>
      </c>
      <c r="P235">
        <f t="shared" si="13"/>
        <v>1</v>
      </c>
      <c r="Q235" s="36">
        <f t="shared" si="14"/>
        <v>0</v>
      </c>
      <c r="R235">
        <f t="shared" si="15"/>
        <v>2023</v>
      </c>
    </row>
    <row r="236" spans="1:18" x14ac:dyDescent="0.2">
      <c r="A236" s="23">
        <v>45670</v>
      </c>
      <c r="B236" s="23">
        <v>45670</v>
      </c>
      <c r="C236" s="25" t="s">
        <v>398</v>
      </c>
      <c r="D236" s="20">
        <v>0</v>
      </c>
      <c r="E236" s="27">
        <v>0</v>
      </c>
      <c r="F236" s="22" t="s">
        <v>54</v>
      </c>
      <c r="G236" s="29">
        <v>15840</v>
      </c>
      <c r="H236" s="39">
        <v>45119</v>
      </c>
      <c r="I236" s="46">
        <f t="shared" si="12"/>
        <v>551</v>
      </c>
      <c r="J236" s="4" t="s">
        <v>12</v>
      </c>
      <c r="K236" s="4" t="s">
        <v>197</v>
      </c>
      <c r="L236" s="4" t="s">
        <v>223</v>
      </c>
      <c r="M236" s="7">
        <v>15840</v>
      </c>
      <c r="N236" s="10">
        <v>0</v>
      </c>
      <c r="O236" s="10">
        <v>0</v>
      </c>
      <c r="P236">
        <f t="shared" si="13"/>
        <v>1</v>
      </c>
      <c r="Q236" s="36">
        <f t="shared" si="14"/>
        <v>0</v>
      </c>
      <c r="R236">
        <f t="shared" si="15"/>
        <v>2023</v>
      </c>
    </row>
    <row r="237" spans="1:18" x14ac:dyDescent="0.2">
      <c r="A237" s="23">
        <v>45677</v>
      </c>
      <c r="B237" s="23">
        <v>45677</v>
      </c>
      <c r="C237" s="25" t="s">
        <v>398</v>
      </c>
      <c r="D237" s="20">
        <v>0</v>
      </c>
      <c r="E237" s="27">
        <v>0</v>
      </c>
      <c r="F237" s="22" t="s">
        <v>54</v>
      </c>
      <c r="G237" s="29">
        <v>10560</v>
      </c>
      <c r="H237" s="39">
        <v>45119</v>
      </c>
      <c r="I237" s="46">
        <f t="shared" si="12"/>
        <v>558</v>
      </c>
      <c r="J237" s="4" t="s">
        <v>12</v>
      </c>
      <c r="K237" s="4" t="s">
        <v>197</v>
      </c>
      <c r="L237" s="4" t="s">
        <v>223</v>
      </c>
      <c r="M237" s="7">
        <v>10560</v>
      </c>
      <c r="N237" s="10">
        <v>0</v>
      </c>
      <c r="O237" s="10">
        <v>0</v>
      </c>
      <c r="P237">
        <f t="shared" si="13"/>
        <v>1</v>
      </c>
      <c r="Q237" s="36">
        <f t="shared" si="14"/>
        <v>0</v>
      </c>
      <c r="R237">
        <f t="shared" si="15"/>
        <v>2023</v>
      </c>
    </row>
    <row r="238" spans="1:18" x14ac:dyDescent="0.2">
      <c r="A238" s="23">
        <v>45684</v>
      </c>
      <c r="B238" s="23">
        <v>45684</v>
      </c>
      <c r="C238" s="25" t="s">
        <v>398</v>
      </c>
      <c r="D238" s="20">
        <v>0</v>
      </c>
      <c r="E238" s="27">
        <v>0</v>
      </c>
      <c r="F238" s="22" t="s">
        <v>54</v>
      </c>
      <c r="G238" s="29">
        <v>10560</v>
      </c>
      <c r="H238" s="39">
        <v>45119</v>
      </c>
      <c r="I238" s="46">
        <f t="shared" si="12"/>
        <v>565</v>
      </c>
      <c r="J238" s="4" t="s">
        <v>12</v>
      </c>
      <c r="K238" s="4" t="s">
        <v>197</v>
      </c>
      <c r="L238" s="4" t="s">
        <v>223</v>
      </c>
      <c r="M238" s="7">
        <v>10560</v>
      </c>
      <c r="N238" s="10">
        <v>0</v>
      </c>
      <c r="O238" s="10">
        <v>0</v>
      </c>
      <c r="P238">
        <f t="shared" si="13"/>
        <v>1</v>
      </c>
      <c r="Q238" s="36">
        <f t="shared" si="14"/>
        <v>0</v>
      </c>
      <c r="R238">
        <f t="shared" si="15"/>
        <v>2023</v>
      </c>
    </row>
    <row r="239" spans="1:18" x14ac:dyDescent="0.2">
      <c r="A239" s="23">
        <v>45691</v>
      </c>
      <c r="B239" s="23">
        <v>45691</v>
      </c>
      <c r="C239" s="25" t="s">
        <v>398</v>
      </c>
      <c r="D239" s="20">
        <v>0</v>
      </c>
      <c r="E239" s="27">
        <v>0</v>
      </c>
      <c r="F239" s="22" t="s">
        <v>54</v>
      </c>
      <c r="G239" s="29">
        <v>10560</v>
      </c>
      <c r="H239" s="39">
        <v>45119</v>
      </c>
      <c r="I239" s="46">
        <f t="shared" si="12"/>
        <v>572</v>
      </c>
      <c r="J239" s="4" t="s">
        <v>12</v>
      </c>
      <c r="K239" s="4" t="s">
        <v>197</v>
      </c>
      <c r="L239" s="4" t="s">
        <v>223</v>
      </c>
      <c r="M239" s="7">
        <v>10560</v>
      </c>
      <c r="N239" s="10">
        <v>0</v>
      </c>
      <c r="O239" s="10">
        <v>0</v>
      </c>
      <c r="P239">
        <f t="shared" si="13"/>
        <v>1</v>
      </c>
      <c r="Q239" s="36">
        <f t="shared" si="14"/>
        <v>0</v>
      </c>
      <c r="R239">
        <f t="shared" si="15"/>
        <v>2023</v>
      </c>
    </row>
    <row r="240" spans="1:18" x14ac:dyDescent="0.2">
      <c r="A240" s="23">
        <v>45698</v>
      </c>
      <c r="B240" s="23">
        <v>45698</v>
      </c>
      <c r="C240" s="25" t="s">
        <v>398</v>
      </c>
      <c r="D240" s="20">
        <v>0</v>
      </c>
      <c r="E240" s="27">
        <v>0</v>
      </c>
      <c r="F240" s="22" t="s">
        <v>54</v>
      </c>
      <c r="G240" s="29">
        <v>10560</v>
      </c>
      <c r="H240" s="39">
        <v>45119</v>
      </c>
      <c r="I240" s="46">
        <f t="shared" si="12"/>
        <v>579</v>
      </c>
      <c r="J240" s="4" t="s">
        <v>12</v>
      </c>
      <c r="K240" s="4" t="s">
        <v>197</v>
      </c>
      <c r="L240" s="4" t="s">
        <v>223</v>
      </c>
      <c r="M240" s="7">
        <v>10560</v>
      </c>
      <c r="N240" s="10">
        <v>0</v>
      </c>
      <c r="O240" s="10">
        <v>0</v>
      </c>
      <c r="P240">
        <f t="shared" si="13"/>
        <v>1</v>
      </c>
      <c r="Q240" s="36">
        <f t="shared" si="14"/>
        <v>0</v>
      </c>
      <c r="R240">
        <f t="shared" si="15"/>
        <v>2023</v>
      </c>
    </row>
    <row r="241" spans="1:18" x14ac:dyDescent="0.2">
      <c r="A241" s="23">
        <v>45705</v>
      </c>
      <c r="B241" s="23">
        <v>45705</v>
      </c>
      <c r="C241" s="25" t="s">
        <v>398</v>
      </c>
      <c r="D241" s="20">
        <v>0</v>
      </c>
      <c r="E241" s="27">
        <v>0</v>
      </c>
      <c r="F241" s="22" t="s">
        <v>54</v>
      </c>
      <c r="G241" s="29">
        <v>10560</v>
      </c>
      <c r="H241" s="39">
        <v>45119</v>
      </c>
      <c r="I241" s="46">
        <f t="shared" si="12"/>
        <v>586</v>
      </c>
      <c r="J241" s="4" t="s">
        <v>12</v>
      </c>
      <c r="K241" s="4" t="s">
        <v>197</v>
      </c>
      <c r="L241" s="4" t="s">
        <v>223</v>
      </c>
      <c r="M241" s="7">
        <v>10560</v>
      </c>
      <c r="N241" s="10">
        <v>0</v>
      </c>
      <c r="O241" s="10">
        <v>0</v>
      </c>
      <c r="P241">
        <f t="shared" si="13"/>
        <v>1</v>
      </c>
      <c r="Q241" s="36">
        <f t="shared" si="14"/>
        <v>0</v>
      </c>
      <c r="R241">
        <f t="shared" si="15"/>
        <v>2023</v>
      </c>
    </row>
    <row r="242" spans="1:18" x14ac:dyDescent="0.2">
      <c r="A242" s="23">
        <v>45712</v>
      </c>
      <c r="B242" s="23">
        <v>45712</v>
      </c>
      <c r="C242" s="25" t="s">
        <v>398</v>
      </c>
      <c r="D242" s="20">
        <v>0</v>
      </c>
      <c r="E242" s="27">
        <v>0</v>
      </c>
      <c r="F242" s="22" t="s">
        <v>54</v>
      </c>
      <c r="G242" s="29">
        <v>108240</v>
      </c>
      <c r="H242" s="39">
        <v>45119</v>
      </c>
      <c r="I242" s="46">
        <f t="shared" si="12"/>
        <v>593</v>
      </c>
      <c r="J242" s="4" t="s">
        <v>12</v>
      </c>
      <c r="K242" s="4" t="s">
        <v>197</v>
      </c>
      <c r="L242" s="4" t="s">
        <v>223</v>
      </c>
      <c r="M242" s="7">
        <v>108240</v>
      </c>
      <c r="N242" s="10">
        <v>0</v>
      </c>
      <c r="O242" s="10">
        <v>0</v>
      </c>
      <c r="P242">
        <f t="shared" si="13"/>
        <v>1</v>
      </c>
      <c r="Q242" s="36">
        <f t="shared" si="14"/>
        <v>0</v>
      </c>
      <c r="R242">
        <f t="shared" si="15"/>
        <v>2023</v>
      </c>
    </row>
    <row r="243" spans="1:18" x14ac:dyDescent="0.2">
      <c r="A243" s="23">
        <v>45194</v>
      </c>
      <c r="B243" s="23">
        <v>45194</v>
      </c>
      <c r="C243" s="25" t="s">
        <v>398</v>
      </c>
      <c r="D243" s="20">
        <v>0</v>
      </c>
      <c r="E243" s="27">
        <v>0</v>
      </c>
      <c r="F243" s="22" t="s">
        <v>52</v>
      </c>
      <c r="G243" s="29">
        <v>15900</v>
      </c>
      <c r="H243" s="39">
        <v>45005</v>
      </c>
      <c r="I243" s="46">
        <f t="shared" si="12"/>
        <v>189</v>
      </c>
      <c r="J243" s="4" t="s">
        <v>12</v>
      </c>
      <c r="K243" s="4" t="s">
        <v>197</v>
      </c>
      <c r="L243" s="4" t="s">
        <v>223</v>
      </c>
      <c r="M243" s="7">
        <v>15900</v>
      </c>
      <c r="N243" s="10">
        <v>0</v>
      </c>
      <c r="O243" s="10">
        <v>0</v>
      </c>
      <c r="P243">
        <f t="shared" si="13"/>
        <v>1</v>
      </c>
      <c r="Q243" s="36">
        <f t="shared" si="14"/>
        <v>0</v>
      </c>
      <c r="R243">
        <f t="shared" si="15"/>
        <v>2023</v>
      </c>
    </row>
    <row r="244" spans="1:18" x14ac:dyDescent="0.2">
      <c r="A244" s="23">
        <v>45201</v>
      </c>
      <c r="B244" s="23">
        <v>45201</v>
      </c>
      <c r="C244" s="25" t="s">
        <v>398</v>
      </c>
      <c r="D244" s="20">
        <v>0</v>
      </c>
      <c r="E244" s="27">
        <v>0</v>
      </c>
      <c r="F244" s="22" t="s">
        <v>52</v>
      </c>
      <c r="G244" s="29">
        <v>15900</v>
      </c>
      <c r="H244" s="39">
        <v>45005</v>
      </c>
      <c r="I244" s="46">
        <f t="shared" si="12"/>
        <v>196</v>
      </c>
      <c r="J244" s="4" t="s">
        <v>12</v>
      </c>
      <c r="K244" s="4" t="s">
        <v>197</v>
      </c>
      <c r="L244" s="4" t="s">
        <v>223</v>
      </c>
      <c r="M244" s="7">
        <v>15900</v>
      </c>
      <c r="N244" s="10">
        <v>0</v>
      </c>
      <c r="O244" s="10">
        <v>0</v>
      </c>
      <c r="P244">
        <f t="shared" si="13"/>
        <v>1</v>
      </c>
      <c r="Q244" s="36">
        <f t="shared" si="14"/>
        <v>0</v>
      </c>
      <c r="R244">
        <f t="shared" si="15"/>
        <v>2023</v>
      </c>
    </row>
    <row r="245" spans="1:18" x14ac:dyDescent="0.2">
      <c r="A245" s="23">
        <v>45208</v>
      </c>
      <c r="B245" s="23">
        <v>45208</v>
      </c>
      <c r="C245" s="25" t="s">
        <v>398</v>
      </c>
      <c r="D245" s="20">
        <v>0</v>
      </c>
      <c r="E245" s="27">
        <v>0</v>
      </c>
      <c r="F245" s="22" t="s">
        <v>52</v>
      </c>
      <c r="G245" s="29">
        <v>10600</v>
      </c>
      <c r="H245" s="39">
        <v>45005</v>
      </c>
      <c r="I245" s="46">
        <f t="shared" si="12"/>
        <v>203</v>
      </c>
      <c r="J245" s="4" t="s">
        <v>12</v>
      </c>
      <c r="K245" s="4" t="s">
        <v>197</v>
      </c>
      <c r="L245" s="4" t="s">
        <v>223</v>
      </c>
      <c r="M245" s="7">
        <v>10600</v>
      </c>
      <c r="N245" s="10">
        <v>0</v>
      </c>
      <c r="O245" s="10">
        <v>0</v>
      </c>
      <c r="P245">
        <f t="shared" si="13"/>
        <v>1</v>
      </c>
      <c r="Q245" s="36">
        <f t="shared" si="14"/>
        <v>0</v>
      </c>
      <c r="R245">
        <f t="shared" si="15"/>
        <v>2023</v>
      </c>
    </row>
    <row r="246" spans="1:18" x14ac:dyDescent="0.2">
      <c r="A246" s="23">
        <v>45215</v>
      </c>
      <c r="B246" s="23">
        <v>45215</v>
      </c>
      <c r="C246" s="25" t="s">
        <v>398</v>
      </c>
      <c r="D246" s="20">
        <v>0</v>
      </c>
      <c r="E246" s="27">
        <v>0</v>
      </c>
      <c r="F246" s="22" t="s">
        <v>52</v>
      </c>
      <c r="G246" s="29">
        <v>10600</v>
      </c>
      <c r="H246" s="39">
        <v>45005</v>
      </c>
      <c r="I246" s="46">
        <f t="shared" si="12"/>
        <v>210</v>
      </c>
      <c r="J246" s="4" t="s">
        <v>12</v>
      </c>
      <c r="K246" s="4" t="s">
        <v>197</v>
      </c>
      <c r="L246" s="4" t="s">
        <v>223</v>
      </c>
      <c r="M246" s="7">
        <v>10600</v>
      </c>
      <c r="N246" s="10">
        <v>0</v>
      </c>
      <c r="O246" s="10">
        <v>0</v>
      </c>
      <c r="P246">
        <f t="shared" si="13"/>
        <v>1</v>
      </c>
      <c r="Q246" s="36">
        <f t="shared" si="14"/>
        <v>0</v>
      </c>
      <c r="R246">
        <f t="shared" si="15"/>
        <v>2023</v>
      </c>
    </row>
    <row r="247" spans="1:18" x14ac:dyDescent="0.2">
      <c r="A247" s="23">
        <v>45222</v>
      </c>
      <c r="B247" s="23">
        <v>45222</v>
      </c>
      <c r="C247" s="25" t="s">
        <v>398</v>
      </c>
      <c r="D247" s="20">
        <v>0</v>
      </c>
      <c r="E247" s="27">
        <v>0</v>
      </c>
      <c r="F247" s="22" t="s">
        <v>52</v>
      </c>
      <c r="G247" s="29">
        <v>17927</v>
      </c>
      <c r="H247" s="39">
        <v>45005</v>
      </c>
      <c r="I247" s="46">
        <f t="shared" si="12"/>
        <v>217</v>
      </c>
      <c r="J247" s="4" t="s">
        <v>12</v>
      </c>
      <c r="K247" s="4" t="s">
        <v>197</v>
      </c>
      <c r="L247" s="4" t="s">
        <v>223</v>
      </c>
      <c r="M247" s="7">
        <v>17927</v>
      </c>
      <c r="N247" s="10">
        <v>0</v>
      </c>
      <c r="O247" s="10">
        <v>0</v>
      </c>
      <c r="P247">
        <f t="shared" si="13"/>
        <v>1</v>
      </c>
      <c r="Q247" s="36">
        <f t="shared" si="14"/>
        <v>0</v>
      </c>
      <c r="R247">
        <f t="shared" si="15"/>
        <v>2023</v>
      </c>
    </row>
    <row r="248" spans="1:18" x14ac:dyDescent="0.2">
      <c r="A248" s="23">
        <v>45229</v>
      </c>
      <c r="B248" s="23">
        <v>45229</v>
      </c>
      <c r="C248" s="25" t="s">
        <v>398</v>
      </c>
      <c r="D248" s="20">
        <v>0</v>
      </c>
      <c r="E248" s="27">
        <v>0</v>
      </c>
      <c r="F248" s="22" t="s">
        <v>52</v>
      </c>
      <c r="G248" s="29">
        <v>15840</v>
      </c>
      <c r="H248" s="39">
        <v>45005</v>
      </c>
      <c r="I248" s="46">
        <f t="shared" si="12"/>
        <v>224</v>
      </c>
      <c r="J248" s="4" t="s">
        <v>12</v>
      </c>
      <c r="K248" s="4" t="s">
        <v>197</v>
      </c>
      <c r="L248" s="4" t="s">
        <v>223</v>
      </c>
      <c r="M248" s="7">
        <v>15840</v>
      </c>
      <c r="N248" s="10">
        <v>0</v>
      </c>
      <c r="O248" s="10">
        <v>0</v>
      </c>
      <c r="P248">
        <f t="shared" si="13"/>
        <v>1</v>
      </c>
      <c r="Q248" s="36">
        <f t="shared" si="14"/>
        <v>0</v>
      </c>
      <c r="R248">
        <f t="shared" si="15"/>
        <v>2023</v>
      </c>
    </row>
    <row r="249" spans="1:18" x14ac:dyDescent="0.2">
      <c r="A249" s="23">
        <v>45236</v>
      </c>
      <c r="B249" s="23">
        <v>45236</v>
      </c>
      <c r="C249" s="25" t="s">
        <v>398</v>
      </c>
      <c r="D249" s="20">
        <v>0</v>
      </c>
      <c r="E249" s="27">
        <v>0</v>
      </c>
      <c r="F249" s="22" t="s">
        <v>52</v>
      </c>
      <c r="G249" s="29">
        <v>18520</v>
      </c>
      <c r="H249" s="39">
        <v>45005</v>
      </c>
      <c r="I249" s="46">
        <f t="shared" si="12"/>
        <v>231</v>
      </c>
      <c r="J249" s="4" t="s">
        <v>12</v>
      </c>
      <c r="K249" s="4" t="s">
        <v>197</v>
      </c>
      <c r="L249" s="4" t="s">
        <v>223</v>
      </c>
      <c r="M249" s="7">
        <v>18520</v>
      </c>
      <c r="N249" s="10">
        <v>0</v>
      </c>
      <c r="O249" s="10">
        <v>0</v>
      </c>
      <c r="P249">
        <f t="shared" si="13"/>
        <v>1</v>
      </c>
      <c r="Q249" s="36">
        <f t="shared" si="14"/>
        <v>0</v>
      </c>
      <c r="R249">
        <f t="shared" si="15"/>
        <v>2023</v>
      </c>
    </row>
    <row r="250" spans="1:18" x14ac:dyDescent="0.2">
      <c r="A250" s="23">
        <v>45243</v>
      </c>
      <c r="B250" s="23">
        <v>45243</v>
      </c>
      <c r="C250" s="25" t="s">
        <v>398</v>
      </c>
      <c r="D250" s="20">
        <v>0</v>
      </c>
      <c r="E250" s="27">
        <v>0</v>
      </c>
      <c r="F250" s="22" t="s">
        <v>52</v>
      </c>
      <c r="G250" s="29">
        <v>15840</v>
      </c>
      <c r="H250" s="39">
        <v>45005</v>
      </c>
      <c r="I250" s="46">
        <f t="shared" si="12"/>
        <v>238</v>
      </c>
      <c r="J250" s="4" t="s">
        <v>12</v>
      </c>
      <c r="K250" s="4" t="s">
        <v>197</v>
      </c>
      <c r="L250" s="4" t="s">
        <v>223</v>
      </c>
      <c r="M250" s="7">
        <v>15840</v>
      </c>
      <c r="N250" s="10">
        <v>0</v>
      </c>
      <c r="O250" s="10">
        <v>0</v>
      </c>
      <c r="P250">
        <f t="shared" si="13"/>
        <v>1</v>
      </c>
      <c r="Q250" s="36">
        <f t="shared" si="14"/>
        <v>0</v>
      </c>
      <c r="R250">
        <f t="shared" si="15"/>
        <v>2023</v>
      </c>
    </row>
    <row r="251" spans="1:18" x14ac:dyDescent="0.2">
      <c r="A251" s="23">
        <v>45250</v>
      </c>
      <c r="B251" s="23">
        <v>45250</v>
      </c>
      <c r="C251" s="25" t="s">
        <v>398</v>
      </c>
      <c r="D251" s="20">
        <v>0</v>
      </c>
      <c r="E251" s="27">
        <v>0</v>
      </c>
      <c r="F251" s="22" t="s">
        <v>52</v>
      </c>
      <c r="G251" s="29">
        <v>6096</v>
      </c>
      <c r="H251" s="39">
        <v>45005</v>
      </c>
      <c r="I251" s="46">
        <f t="shared" si="12"/>
        <v>245</v>
      </c>
      <c r="J251" s="4" t="s">
        <v>12</v>
      </c>
      <c r="K251" s="4" t="s">
        <v>197</v>
      </c>
      <c r="L251" s="4" t="s">
        <v>223</v>
      </c>
      <c r="M251" s="7">
        <v>6096</v>
      </c>
      <c r="N251" s="10">
        <v>0</v>
      </c>
      <c r="O251" s="10">
        <v>0</v>
      </c>
      <c r="P251">
        <f t="shared" si="13"/>
        <v>1</v>
      </c>
      <c r="Q251" s="36">
        <f t="shared" si="14"/>
        <v>0</v>
      </c>
      <c r="R251">
        <f t="shared" si="15"/>
        <v>2023</v>
      </c>
    </row>
    <row r="252" spans="1:18" x14ac:dyDescent="0.2">
      <c r="A252" s="23">
        <v>45257</v>
      </c>
      <c r="B252" s="23">
        <v>45257</v>
      </c>
      <c r="C252" s="25" t="s">
        <v>398</v>
      </c>
      <c r="D252" s="20">
        <v>0</v>
      </c>
      <c r="E252" s="27">
        <v>0</v>
      </c>
      <c r="F252" s="22" t="s">
        <v>52</v>
      </c>
      <c r="G252" s="29">
        <v>15840</v>
      </c>
      <c r="H252" s="39">
        <v>45005</v>
      </c>
      <c r="I252" s="46">
        <f t="shared" si="12"/>
        <v>252</v>
      </c>
      <c r="J252" s="4" t="s">
        <v>12</v>
      </c>
      <c r="K252" s="4" t="s">
        <v>197</v>
      </c>
      <c r="L252" s="4" t="s">
        <v>223</v>
      </c>
      <c r="M252" s="7">
        <v>15840</v>
      </c>
      <c r="N252" s="10">
        <v>0</v>
      </c>
      <c r="O252" s="10">
        <v>0</v>
      </c>
      <c r="P252">
        <f t="shared" si="13"/>
        <v>1</v>
      </c>
      <c r="Q252" s="36">
        <f t="shared" si="14"/>
        <v>0</v>
      </c>
      <c r="R252">
        <f t="shared" si="15"/>
        <v>2023</v>
      </c>
    </row>
    <row r="253" spans="1:18" x14ac:dyDescent="0.2">
      <c r="A253" s="23">
        <v>45264</v>
      </c>
      <c r="B253" s="23">
        <v>45264</v>
      </c>
      <c r="C253" s="25" t="s">
        <v>398</v>
      </c>
      <c r="D253" s="20">
        <v>0</v>
      </c>
      <c r="E253" s="27">
        <v>0</v>
      </c>
      <c r="F253" s="22" t="s">
        <v>52</v>
      </c>
      <c r="G253" s="29">
        <v>15840</v>
      </c>
      <c r="H253" s="39">
        <v>45005</v>
      </c>
      <c r="I253" s="46">
        <f t="shared" si="12"/>
        <v>259</v>
      </c>
      <c r="J253" s="4" t="s">
        <v>12</v>
      </c>
      <c r="K253" s="4" t="s">
        <v>197</v>
      </c>
      <c r="L253" s="4" t="s">
        <v>223</v>
      </c>
      <c r="M253" s="7">
        <v>15840</v>
      </c>
      <c r="N253" s="10">
        <v>0</v>
      </c>
      <c r="O253" s="10">
        <v>0</v>
      </c>
      <c r="P253">
        <f t="shared" si="13"/>
        <v>1</v>
      </c>
      <c r="Q253" s="36">
        <f t="shared" si="14"/>
        <v>0</v>
      </c>
      <c r="R253">
        <f t="shared" si="15"/>
        <v>2023</v>
      </c>
    </row>
    <row r="254" spans="1:18" x14ac:dyDescent="0.2">
      <c r="A254" s="23">
        <v>45278</v>
      </c>
      <c r="B254" s="23">
        <v>45278</v>
      </c>
      <c r="C254" s="25" t="s">
        <v>398</v>
      </c>
      <c r="D254" s="20">
        <v>0</v>
      </c>
      <c r="E254" s="27">
        <v>0</v>
      </c>
      <c r="F254" s="22" t="s">
        <v>52</v>
      </c>
      <c r="G254" s="29">
        <v>15840</v>
      </c>
      <c r="H254" s="39">
        <v>45005</v>
      </c>
      <c r="I254" s="46">
        <f t="shared" si="12"/>
        <v>273</v>
      </c>
      <c r="J254" s="4" t="s">
        <v>12</v>
      </c>
      <c r="K254" s="4" t="s">
        <v>197</v>
      </c>
      <c r="L254" s="4" t="s">
        <v>223</v>
      </c>
      <c r="M254" s="7">
        <v>15840</v>
      </c>
      <c r="N254" s="10">
        <v>0</v>
      </c>
      <c r="O254" s="10">
        <v>0</v>
      </c>
      <c r="P254">
        <f t="shared" si="13"/>
        <v>1</v>
      </c>
      <c r="Q254" s="36">
        <f t="shared" si="14"/>
        <v>0</v>
      </c>
      <c r="R254">
        <f t="shared" si="15"/>
        <v>2023</v>
      </c>
    </row>
    <row r="255" spans="1:18" x14ac:dyDescent="0.2">
      <c r="A255" s="23">
        <v>45285</v>
      </c>
      <c r="B255" s="23">
        <v>45285</v>
      </c>
      <c r="C255" s="25" t="s">
        <v>398</v>
      </c>
      <c r="D255" s="20">
        <v>0</v>
      </c>
      <c r="E255" s="27">
        <v>0</v>
      </c>
      <c r="F255" s="22" t="s">
        <v>52</v>
      </c>
      <c r="G255" s="29">
        <v>21120</v>
      </c>
      <c r="H255" s="39">
        <v>45005</v>
      </c>
      <c r="I255" s="46">
        <f t="shared" si="12"/>
        <v>280</v>
      </c>
      <c r="J255" s="4" t="s">
        <v>12</v>
      </c>
      <c r="K255" s="4" t="s">
        <v>197</v>
      </c>
      <c r="L255" s="4" t="s">
        <v>223</v>
      </c>
      <c r="M255" s="7">
        <v>21120</v>
      </c>
      <c r="N255" s="10">
        <v>0</v>
      </c>
      <c r="O255" s="10">
        <v>0</v>
      </c>
      <c r="P255">
        <f t="shared" si="13"/>
        <v>1</v>
      </c>
      <c r="Q255" s="36">
        <f t="shared" si="14"/>
        <v>0</v>
      </c>
      <c r="R255">
        <f t="shared" si="15"/>
        <v>2023</v>
      </c>
    </row>
    <row r="256" spans="1:18" x14ac:dyDescent="0.2">
      <c r="A256" s="23">
        <v>45194</v>
      </c>
      <c r="B256" s="23">
        <v>45194</v>
      </c>
      <c r="C256" s="25" t="s">
        <v>398</v>
      </c>
      <c r="D256" s="20">
        <v>0</v>
      </c>
      <c r="E256" s="27">
        <v>0</v>
      </c>
      <c r="F256" s="22" t="s">
        <v>51</v>
      </c>
      <c r="G256" s="29">
        <v>31800</v>
      </c>
      <c r="H256" s="39">
        <v>45005</v>
      </c>
      <c r="I256" s="46">
        <f t="shared" si="12"/>
        <v>189</v>
      </c>
      <c r="J256" s="4" t="s">
        <v>12</v>
      </c>
      <c r="K256" s="4" t="s">
        <v>197</v>
      </c>
      <c r="L256" s="4" t="s">
        <v>223</v>
      </c>
      <c r="M256" s="7">
        <v>31800</v>
      </c>
      <c r="N256" s="10">
        <v>0</v>
      </c>
      <c r="O256" s="10">
        <v>0</v>
      </c>
      <c r="P256">
        <f t="shared" si="13"/>
        <v>1</v>
      </c>
      <c r="Q256" s="36">
        <f t="shared" si="14"/>
        <v>0</v>
      </c>
      <c r="R256">
        <f t="shared" si="15"/>
        <v>2023</v>
      </c>
    </row>
    <row r="257" spans="1:18" x14ac:dyDescent="0.2">
      <c r="A257" s="23">
        <v>45201</v>
      </c>
      <c r="B257" s="23">
        <v>45201</v>
      </c>
      <c r="C257" s="25" t="s">
        <v>398</v>
      </c>
      <c r="D257" s="20">
        <v>0</v>
      </c>
      <c r="E257" s="27">
        <v>0</v>
      </c>
      <c r="F257" s="22" t="s">
        <v>51</v>
      </c>
      <c r="G257" s="29">
        <v>31800</v>
      </c>
      <c r="H257" s="39">
        <v>45005</v>
      </c>
      <c r="I257" s="46">
        <f t="shared" si="12"/>
        <v>196</v>
      </c>
      <c r="J257" s="4" t="s">
        <v>12</v>
      </c>
      <c r="K257" s="4" t="s">
        <v>197</v>
      </c>
      <c r="L257" s="4" t="s">
        <v>223</v>
      </c>
      <c r="M257" s="7">
        <v>31800</v>
      </c>
      <c r="N257" s="10">
        <v>0</v>
      </c>
      <c r="O257" s="10">
        <v>0</v>
      </c>
      <c r="P257">
        <f t="shared" si="13"/>
        <v>1</v>
      </c>
      <c r="Q257" s="36">
        <f t="shared" si="14"/>
        <v>0</v>
      </c>
      <c r="R257">
        <f t="shared" si="15"/>
        <v>2023</v>
      </c>
    </row>
    <row r="258" spans="1:18" x14ac:dyDescent="0.2">
      <c r="A258" s="23">
        <v>45208</v>
      </c>
      <c r="B258" s="23">
        <v>45208</v>
      </c>
      <c r="C258" s="25" t="s">
        <v>398</v>
      </c>
      <c r="D258" s="20">
        <v>0</v>
      </c>
      <c r="E258" s="27">
        <v>0</v>
      </c>
      <c r="F258" s="22" t="s">
        <v>51</v>
      </c>
      <c r="G258" s="29">
        <v>26500</v>
      </c>
      <c r="H258" s="39">
        <v>45005</v>
      </c>
      <c r="I258" s="46">
        <f t="shared" si="12"/>
        <v>203</v>
      </c>
      <c r="J258" s="4" t="s">
        <v>12</v>
      </c>
      <c r="K258" s="4" t="s">
        <v>197</v>
      </c>
      <c r="L258" s="4" t="s">
        <v>223</v>
      </c>
      <c r="M258" s="7">
        <v>26500</v>
      </c>
      <c r="N258" s="10">
        <v>0</v>
      </c>
      <c r="O258" s="10">
        <v>0</v>
      </c>
      <c r="P258">
        <f t="shared" si="13"/>
        <v>1</v>
      </c>
      <c r="Q258" s="36">
        <f t="shared" si="14"/>
        <v>0</v>
      </c>
      <c r="R258">
        <f t="shared" si="15"/>
        <v>2023</v>
      </c>
    </row>
    <row r="259" spans="1:18" x14ac:dyDescent="0.2">
      <c r="A259" s="23">
        <v>45215</v>
      </c>
      <c r="B259" s="23">
        <v>45215</v>
      </c>
      <c r="C259" s="25" t="s">
        <v>398</v>
      </c>
      <c r="D259" s="20">
        <v>0</v>
      </c>
      <c r="E259" s="27">
        <v>0</v>
      </c>
      <c r="F259" s="22" t="s">
        <v>51</v>
      </c>
      <c r="G259" s="29">
        <v>15900</v>
      </c>
      <c r="H259" s="39">
        <v>45005</v>
      </c>
      <c r="I259" s="46">
        <f t="shared" ref="I259:I322" si="16">IFERROR(A259-H259,"")*1</f>
        <v>210</v>
      </c>
      <c r="J259" s="4" t="s">
        <v>12</v>
      </c>
      <c r="K259" s="4" t="s">
        <v>197</v>
      </c>
      <c r="L259" s="4" t="s">
        <v>223</v>
      </c>
      <c r="M259" s="7">
        <v>15900</v>
      </c>
      <c r="N259" s="10">
        <v>0</v>
      </c>
      <c r="O259" s="10">
        <v>0</v>
      </c>
      <c r="P259">
        <f t="shared" ref="P259:P322" si="17">IF(M259=G259,1,0)</f>
        <v>1</v>
      </c>
      <c r="Q259" s="36">
        <f t="shared" ref="Q259:Q322" si="18">N259*G259</f>
        <v>0</v>
      </c>
      <c r="R259">
        <f t="shared" ref="R259:R322" si="19">YEAR(H259)</f>
        <v>2023</v>
      </c>
    </row>
    <row r="260" spans="1:18" x14ac:dyDescent="0.2">
      <c r="A260" s="23">
        <v>45222</v>
      </c>
      <c r="B260" s="23">
        <v>45222</v>
      </c>
      <c r="C260" s="25" t="s">
        <v>398</v>
      </c>
      <c r="D260" s="20">
        <v>0</v>
      </c>
      <c r="E260" s="27">
        <v>0</v>
      </c>
      <c r="F260" s="22" t="s">
        <v>51</v>
      </c>
      <c r="G260" s="29">
        <v>33667</v>
      </c>
      <c r="H260" s="39">
        <v>45005</v>
      </c>
      <c r="I260" s="46">
        <f t="shared" si="16"/>
        <v>217</v>
      </c>
      <c r="J260" s="4" t="s">
        <v>12</v>
      </c>
      <c r="K260" s="4" t="s">
        <v>197</v>
      </c>
      <c r="L260" s="4" t="s">
        <v>223</v>
      </c>
      <c r="M260" s="7">
        <v>33667</v>
      </c>
      <c r="N260" s="10">
        <v>0</v>
      </c>
      <c r="O260" s="10">
        <v>0</v>
      </c>
      <c r="P260">
        <f t="shared" si="17"/>
        <v>1</v>
      </c>
      <c r="Q260" s="36">
        <f t="shared" si="18"/>
        <v>0</v>
      </c>
      <c r="R260">
        <f t="shared" si="19"/>
        <v>2023</v>
      </c>
    </row>
    <row r="261" spans="1:18" x14ac:dyDescent="0.2">
      <c r="A261" s="23">
        <v>45229</v>
      </c>
      <c r="B261" s="23">
        <v>45229</v>
      </c>
      <c r="C261" s="25" t="s">
        <v>398</v>
      </c>
      <c r="D261" s="20">
        <v>0</v>
      </c>
      <c r="E261" s="27">
        <v>0</v>
      </c>
      <c r="F261" s="22" t="s">
        <v>51</v>
      </c>
      <c r="G261" s="29">
        <v>36980</v>
      </c>
      <c r="H261" s="39">
        <v>45005</v>
      </c>
      <c r="I261" s="46">
        <f t="shared" si="16"/>
        <v>224</v>
      </c>
      <c r="J261" s="4" t="s">
        <v>12</v>
      </c>
      <c r="K261" s="4" t="s">
        <v>197</v>
      </c>
      <c r="L261" s="4" t="s">
        <v>223</v>
      </c>
      <c r="M261" s="7">
        <v>36980</v>
      </c>
      <c r="N261" s="10">
        <v>0</v>
      </c>
      <c r="O261" s="10">
        <v>0</v>
      </c>
      <c r="P261">
        <f t="shared" si="17"/>
        <v>1</v>
      </c>
      <c r="Q261" s="36">
        <f t="shared" si="18"/>
        <v>0</v>
      </c>
      <c r="R261">
        <f t="shared" si="19"/>
        <v>2023</v>
      </c>
    </row>
    <row r="262" spans="1:18" x14ac:dyDescent="0.2">
      <c r="A262" s="23">
        <v>45236</v>
      </c>
      <c r="B262" s="23">
        <v>45236</v>
      </c>
      <c r="C262" s="25" t="s">
        <v>398</v>
      </c>
      <c r="D262" s="20">
        <v>0</v>
      </c>
      <c r="E262" s="27">
        <v>0</v>
      </c>
      <c r="F262" s="22" t="s">
        <v>51</v>
      </c>
      <c r="G262" s="29">
        <v>34360</v>
      </c>
      <c r="H262" s="39">
        <v>45005</v>
      </c>
      <c r="I262" s="46">
        <f t="shared" si="16"/>
        <v>231</v>
      </c>
      <c r="J262" s="4" t="s">
        <v>12</v>
      </c>
      <c r="K262" s="4" t="s">
        <v>197</v>
      </c>
      <c r="L262" s="4" t="s">
        <v>223</v>
      </c>
      <c r="M262" s="7">
        <v>34360</v>
      </c>
      <c r="N262" s="10">
        <v>0</v>
      </c>
      <c r="O262" s="10">
        <v>0</v>
      </c>
      <c r="P262">
        <f t="shared" si="17"/>
        <v>1</v>
      </c>
      <c r="Q262" s="36">
        <f t="shared" si="18"/>
        <v>0</v>
      </c>
      <c r="R262">
        <f t="shared" si="19"/>
        <v>2023</v>
      </c>
    </row>
    <row r="263" spans="1:18" x14ac:dyDescent="0.2">
      <c r="A263" s="23">
        <v>45243</v>
      </c>
      <c r="B263" s="23">
        <v>45243</v>
      </c>
      <c r="C263" s="25" t="s">
        <v>398</v>
      </c>
      <c r="D263" s="20">
        <v>0</v>
      </c>
      <c r="E263" s="27">
        <v>0</v>
      </c>
      <c r="F263" s="22" t="s">
        <v>51</v>
      </c>
      <c r="G263" s="29">
        <v>34360</v>
      </c>
      <c r="H263" s="39">
        <v>45005</v>
      </c>
      <c r="I263" s="46">
        <f t="shared" si="16"/>
        <v>238</v>
      </c>
      <c r="J263" s="4" t="s">
        <v>12</v>
      </c>
      <c r="K263" s="4" t="s">
        <v>197</v>
      </c>
      <c r="L263" s="4" t="s">
        <v>223</v>
      </c>
      <c r="M263" s="7">
        <v>34360</v>
      </c>
      <c r="N263" s="10">
        <v>0</v>
      </c>
      <c r="O263" s="10">
        <v>0</v>
      </c>
      <c r="P263">
        <f t="shared" si="17"/>
        <v>1</v>
      </c>
      <c r="Q263" s="36">
        <f t="shared" si="18"/>
        <v>0</v>
      </c>
      <c r="R263">
        <f t="shared" si="19"/>
        <v>2023</v>
      </c>
    </row>
    <row r="264" spans="1:18" x14ac:dyDescent="0.2">
      <c r="A264" s="23">
        <v>45250</v>
      </c>
      <c r="B264" s="23">
        <v>45250</v>
      </c>
      <c r="C264" s="25" t="s">
        <v>398</v>
      </c>
      <c r="D264" s="20">
        <v>0</v>
      </c>
      <c r="E264" s="27">
        <v>0</v>
      </c>
      <c r="F264" s="22" t="s">
        <v>51</v>
      </c>
      <c r="G264" s="29">
        <v>18197</v>
      </c>
      <c r="H264" s="39">
        <v>45005</v>
      </c>
      <c r="I264" s="46">
        <f t="shared" si="16"/>
        <v>245</v>
      </c>
      <c r="J264" s="4" t="s">
        <v>12</v>
      </c>
      <c r="K264" s="4" t="s">
        <v>197</v>
      </c>
      <c r="L264" s="4" t="s">
        <v>223</v>
      </c>
      <c r="M264" s="7">
        <v>18197</v>
      </c>
      <c r="N264" s="10">
        <v>0</v>
      </c>
      <c r="O264" s="10">
        <v>0</v>
      </c>
      <c r="P264">
        <f t="shared" si="17"/>
        <v>1</v>
      </c>
      <c r="Q264" s="36">
        <f t="shared" si="18"/>
        <v>0</v>
      </c>
      <c r="R264">
        <f t="shared" si="19"/>
        <v>2023</v>
      </c>
    </row>
    <row r="265" spans="1:18" x14ac:dyDescent="0.2">
      <c r="A265" s="23">
        <v>45257</v>
      </c>
      <c r="B265" s="23">
        <v>45257</v>
      </c>
      <c r="C265" s="25" t="s">
        <v>398</v>
      </c>
      <c r="D265" s="20">
        <v>0</v>
      </c>
      <c r="E265" s="27">
        <v>0</v>
      </c>
      <c r="F265" s="22" t="s">
        <v>51</v>
      </c>
      <c r="G265" s="29">
        <v>21936</v>
      </c>
      <c r="H265" s="39">
        <v>45005</v>
      </c>
      <c r="I265" s="46">
        <f t="shared" si="16"/>
        <v>252</v>
      </c>
      <c r="J265" s="4" t="s">
        <v>12</v>
      </c>
      <c r="K265" s="4" t="s">
        <v>197</v>
      </c>
      <c r="L265" s="4" t="s">
        <v>223</v>
      </c>
      <c r="M265" s="7">
        <v>21936</v>
      </c>
      <c r="N265" s="10">
        <v>0</v>
      </c>
      <c r="O265" s="10">
        <v>0</v>
      </c>
      <c r="P265">
        <f t="shared" si="17"/>
        <v>1</v>
      </c>
      <c r="Q265" s="36">
        <f t="shared" si="18"/>
        <v>0</v>
      </c>
      <c r="R265">
        <f t="shared" si="19"/>
        <v>2023</v>
      </c>
    </row>
    <row r="266" spans="1:18" x14ac:dyDescent="0.2">
      <c r="A266" s="23">
        <v>45264</v>
      </c>
      <c r="B266" s="23">
        <v>45264</v>
      </c>
      <c r="C266" s="25" t="s">
        <v>398</v>
      </c>
      <c r="D266" s="20">
        <v>0</v>
      </c>
      <c r="E266" s="27">
        <v>0</v>
      </c>
      <c r="F266" s="22" t="s">
        <v>51</v>
      </c>
      <c r="G266" s="29">
        <v>31680</v>
      </c>
      <c r="H266" s="39">
        <v>45005</v>
      </c>
      <c r="I266" s="46">
        <f t="shared" si="16"/>
        <v>259</v>
      </c>
      <c r="J266" s="4" t="s">
        <v>12</v>
      </c>
      <c r="K266" s="4" t="s">
        <v>197</v>
      </c>
      <c r="L266" s="4" t="s">
        <v>223</v>
      </c>
      <c r="M266" s="7">
        <v>31680</v>
      </c>
      <c r="N266" s="10">
        <v>0</v>
      </c>
      <c r="O266" s="10">
        <v>0</v>
      </c>
      <c r="P266">
        <f t="shared" si="17"/>
        <v>1</v>
      </c>
      <c r="Q266" s="36">
        <f t="shared" si="18"/>
        <v>0</v>
      </c>
      <c r="R266">
        <f t="shared" si="19"/>
        <v>2023</v>
      </c>
    </row>
    <row r="267" spans="1:18" x14ac:dyDescent="0.2">
      <c r="A267" s="23">
        <v>45271</v>
      </c>
      <c r="B267" s="23">
        <v>45271</v>
      </c>
      <c r="C267" s="25" t="s">
        <v>398</v>
      </c>
      <c r="D267" s="20">
        <v>0</v>
      </c>
      <c r="E267" s="27">
        <v>0</v>
      </c>
      <c r="F267" s="22" t="s">
        <v>51</v>
      </c>
      <c r="G267" s="29">
        <v>15840</v>
      </c>
      <c r="H267" s="39">
        <v>45005</v>
      </c>
      <c r="I267" s="46">
        <f t="shared" si="16"/>
        <v>266</v>
      </c>
      <c r="J267" s="4" t="s">
        <v>12</v>
      </c>
      <c r="K267" s="4" t="s">
        <v>197</v>
      </c>
      <c r="L267" s="4" t="s">
        <v>223</v>
      </c>
      <c r="M267" s="7">
        <v>15840</v>
      </c>
      <c r="N267" s="10">
        <v>0</v>
      </c>
      <c r="O267" s="10">
        <v>0</v>
      </c>
      <c r="P267">
        <f t="shared" si="17"/>
        <v>1</v>
      </c>
      <c r="Q267" s="36">
        <f t="shared" si="18"/>
        <v>0</v>
      </c>
      <c r="R267">
        <f t="shared" si="19"/>
        <v>2023</v>
      </c>
    </row>
    <row r="268" spans="1:18" x14ac:dyDescent="0.2">
      <c r="A268" s="23">
        <v>45278</v>
      </c>
      <c r="B268" s="23">
        <v>45278</v>
      </c>
      <c r="C268" s="25" t="s">
        <v>398</v>
      </c>
      <c r="D268" s="20">
        <v>0</v>
      </c>
      <c r="E268" s="27">
        <v>0</v>
      </c>
      <c r="F268" s="22" t="s">
        <v>51</v>
      </c>
      <c r="G268" s="29">
        <v>15840</v>
      </c>
      <c r="H268" s="39">
        <v>45005</v>
      </c>
      <c r="I268" s="46">
        <f t="shared" si="16"/>
        <v>273</v>
      </c>
      <c r="J268" s="4" t="s">
        <v>12</v>
      </c>
      <c r="K268" s="4" t="s">
        <v>197</v>
      </c>
      <c r="L268" s="4" t="s">
        <v>223</v>
      </c>
      <c r="M268" s="7">
        <v>15840</v>
      </c>
      <c r="N268" s="10">
        <v>0</v>
      </c>
      <c r="O268" s="10">
        <v>0</v>
      </c>
      <c r="P268">
        <f t="shared" si="17"/>
        <v>1</v>
      </c>
      <c r="Q268" s="36">
        <f t="shared" si="18"/>
        <v>0</v>
      </c>
      <c r="R268">
        <f t="shared" si="19"/>
        <v>2023</v>
      </c>
    </row>
    <row r="269" spans="1:18" x14ac:dyDescent="0.2">
      <c r="A269" s="23">
        <v>45285</v>
      </c>
      <c r="B269" s="23">
        <v>45285</v>
      </c>
      <c r="C269" s="25" t="s">
        <v>398</v>
      </c>
      <c r="D269" s="20">
        <v>0</v>
      </c>
      <c r="E269" s="27">
        <v>0</v>
      </c>
      <c r="F269" s="22" t="s">
        <v>51</v>
      </c>
      <c r="G269" s="29">
        <v>36960</v>
      </c>
      <c r="H269" s="39">
        <v>45005</v>
      </c>
      <c r="I269" s="46">
        <f t="shared" si="16"/>
        <v>280</v>
      </c>
      <c r="J269" s="4" t="s">
        <v>12</v>
      </c>
      <c r="K269" s="4" t="s">
        <v>197</v>
      </c>
      <c r="L269" s="4" t="s">
        <v>223</v>
      </c>
      <c r="M269" s="7">
        <v>36960</v>
      </c>
      <c r="N269" s="10">
        <v>0</v>
      </c>
      <c r="O269" s="10">
        <v>0</v>
      </c>
      <c r="P269">
        <f t="shared" si="17"/>
        <v>1</v>
      </c>
      <c r="Q269" s="36">
        <f t="shared" si="18"/>
        <v>0</v>
      </c>
      <c r="R269">
        <f t="shared" si="19"/>
        <v>2023</v>
      </c>
    </row>
    <row r="270" spans="1:18" x14ac:dyDescent="0.2">
      <c r="A270" s="23">
        <v>45194</v>
      </c>
      <c r="B270" s="23">
        <v>45194</v>
      </c>
      <c r="C270" s="25" t="s">
        <v>398</v>
      </c>
      <c r="D270" s="20">
        <v>0</v>
      </c>
      <c r="E270" s="27">
        <v>0</v>
      </c>
      <c r="F270" s="22" t="s">
        <v>54</v>
      </c>
      <c r="G270" s="29">
        <v>15900</v>
      </c>
      <c r="H270" s="39">
        <v>45005</v>
      </c>
      <c r="I270" s="46">
        <f t="shared" si="16"/>
        <v>189</v>
      </c>
      <c r="J270" s="4" t="s">
        <v>12</v>
      </c>
      <c r="K270" s="4" t="s">
        <v>197</v>
      </c>
      <c r="L270" s="4" t="s">
        <v>223</v>
      </c>
      <c r="M270" s="7">
        <v>15900</v>
      </c>
      <c r="N270" s="10">
        <v>0</v>
      </c>
      <c r="O270" s="10">
        <v>0</v>
      </c>
      <c r="P270">
        <f t="shared" si="17"/>
        <v>1</v>
      </c>
      <c r="Q270" s="36">
        <f t="shared" si="18"/>
        <v>0</v>
      </c>
      <c r="R270">
        <f t="shared" si="19"/>
        <v>2023</v>
      </c>
    </row>
    <row r="271" spans="1:18" x14ac:dyDescent="0.2">
      <c r="A271" s="23">
        <v>45201</v>
      </c>
      <c r="B271" s="23">
        <v>45201</v>
      </c>
      <c r="C271" s="25" t="s">
        <v>398</v>
      </c>
      <c r="D271" s="20">
        <v>0</v>
      </c>
      <c r="E271" s="27">
        <v>0</v>
      </c>
      <c r="F271" s="22" t="s">
        <v>54</v>
      </c>
      <c r="G271" s="29">
        <v>15900</v>
      </c>
      <c r="H271" s="39">
        <v>45005</v>
      </c>
      <c r="I271" s="46">
        <f t="shared" si="16"/>
        <v>196</v>
      </c>
      <c r="J271" s="4" t="s">
        <v>12</v>
      </c>
      <c r="K271" s="4" t="s">
        <v>197</v>
      </c>
      <c r="L271" s="4" t="s">
        <v>223</v>
      </c>
      <c r="M271" s="7">
        <v>15900</v>
      </c>
      <c r="N271" s="10">
        <v>0</v>
      </c>
      <c r="O271" s="10">
        <v>0</v>
      </c>
      <c r="P271">
        <f t="shared" si="17"/>
        <v>1</v>
      </c>
      <c r="Q271" s="36">
        <f t="shared" si="18"/>
        <v>0</v>
      </c>
      <c r="R271">
        <f t="shared" si="19"/>
        <v>2023</v>
      </c>
    </row>
    <row r="272" spans="1:18" x14ac:dyDescent="0.2">
      <c r="A272" s="23">
        <v>45208</v>
      </c>
      <c r="B272" s="23">
        <v>45208</v>
      </c>
      <c r="C272" s="25" t="s">
        <v>398</v>
      </c>
      <c r="D272" s="20">
        <v>0</v>
      </c>
      <c r="E272" s="27">
        <v>0</v>
      </c>
      <c r="F272" s="22" t="s">
        <v>54</v>
      </c>
      <c r="G272" s="29">
        <v>15900</v>
      </c>
      <c r="H272" s="39">
        <v>45005</v>
      </c>
      <c r="I272" s="46">
        <f t="shared" si="16"/>
        <v>203</v>
      </c>
      <c r="J272" s="4" t="s">
        <v>12</v>
      </c>
      <c r="K272" s="4" t="s">
        <v>197</v>
      </c>
      <c r="L272" s="4" t="s">
        <v>223</v>
      </c>
      <c r="M272" s="7">
        <v>15900</v>
      </c>
      <c r="N272" s="10">
        <v>0</v>
      </c>
      <c r="O272" s="10">
        <v>0</v>
      </c>
      <c r="P272">
        <f t="shared" si="17"/>
        <v>1</v>
      </c>
      <c r="Q272" s="36">
        <f t="shared" si="18"/>
        <v>0</v>
      </c>
      <c r="R272">
        <f t="shared" si="19"/>
        <v>2023</v>
      </c>
    </row>
    <row r="273" spans="1:18" x14ac:dyDescent="0.2">
      <c r="A273" s="23">
        <v>45215</v>
      </c>
      <c r="B273" s="23">
        <v>45215</v>
      </c>
      <c r="C273" s="25" t="s">
        <v>398</v>
      </c>
      <c r="D273" s="20">
        <v>0</v>
      </c>
      <c r="E273" s="27">
        <v>0</v>
      </c>
      <c r="F273" s="22" t="s">
        <v>54</v>
      </c>
      <c r="G273" s="29">
        <v>5300</v>
      </c>
      <c r="H273" s="39">
        <v>45005</v>
      </c>
      <c r="I273" s="46">
        <f t="shared" si="16"/>
        <v>210</v>
      </c>
      <c r="J273" s="4" t="s">
        <v>12</v>
      </c>
      <c r="K273" s="4" t="s">
        <v>197</v>
      </c>
      <c r="L273" s="4" t="s">
        <v>223</v>
      </c>
      <c r="M273" s="7">
        <v>5300</v>
      </c>
      <c r="N273" s="10">
        <v>0</v>
      </c>
      <c r="O273" s="10">
        <v>0</v>
      </c>
      <c r="P273">
        <f t="shared" si="17"/>
        <v>1</v>
      </c>
      <c r="Q273" s="36">
        <f t="shared" si="18"/>
        <v>0</v>
      </c>
      <c r="R273">
        <f t="shared" si="19"/>
        <v>2023</v>
      </c>
    </row>
    <row r="274" spans="1:18" x14ac:dyDescent="0.2">
      <c r="A274" s="23">
        <v>45222</v>
      </c>
      <c r="B274" s="23">
        <v>45222</v>
      </c>
      <c r="C274" s="25" t="s">
        <v>398</v>
      </c>
      <c r="D274" s="20">
        <v>0</v>
      </c>
      <c r="E274" s="27">
        <v>0</v>
      </c>
      <c r="F274" s="22" t="s">
        <v>54</v>
      </c>
      <c r="G274" s="29">
        <v>15740</v>
      </c>
      <c r="H274" s="39">
        <v>45005</v>
      </c>
      <c r="I274" s="46">
        <f t="shared" si="16"/>
        <v>217</v>
      </c>
      <c r="J274" s="4" t="s">
        <v>12</v>
      </c>
      <c r="K274" s="4" t="s">
        <v>197</v>
      </c>
      <c r="L274" s="4" t="s">
        <v>223</v>
      </c>
      <c r="M274" s="7">
        <v>15740</v>
      </c>
      <c r="N274" s="10">
        <v>0</v>
      </c>
      <c r="O274" s="10">
        <v>0</v>
      </c>
      <c r="P274">
        <f t="shared" si="17"/>
        <v>1</v>
      </c>
      <c r="Q274" s="36">
        <f t="shared" si="18"/>
        <v>0</v>
      </c>
      <c r="R274">
        <f t="shared" si="19"/>
        <v>2023</v>
      </c>
    </row>
    <row r="275" spans="1:18" x14ac:dyDescent="0.2">
      <c r="A275" s="23">
        <v>45229</v>
      </c>
      <c r="B275" s="23">
        <v>45229</v>
      </c>
      <c r="C275" s="25" t="s">
        <v>398</v>
      </c>
      <c r="D275" s="20">
        <v>0</v>
      </c>
      <c r="E275" s="27">
        <v>0</v>
      </c>
      <c r="F275" s="22" t="s">
        <v>54</v>
      </c>
      <c r="G275" s="29">
        <v>21140</v>
      </c>
      <c r="H275" s="39">
        <v>45005</v>
      </c>
      <c r="I275" s="46">
        <f t="shared" si="16"/>
        <v>224</v>
      </c>
      <c r="J275" s="4" t="s">
        <v>12</v>
      </c>
      <c r="K275" s="4" t="s">
        <v>197</v>
      </c>
      <c r="L275" s="4" t="s">
        <v>223</v>
      </c>
      <c r="M275" s="7">
        <v>21140</v>
      </c>
      <c r="N275" s="10">
        <v>0</v>
      </c>
      <c r="O275" s="10">
        <v>0</v>
      </c>
      <c r="P275">
        <f t="shared" si="17"/>
        <v>1</v>
      </c>
      <c r="Q275" s="36">
        <f t="shared" si="18"/>
        <v>0</v>
      </c>
      <c r="R275">
        <f t="shared" si="19"/>
        <v>2023</v>
      </c>
    </row>
    <row r="276" spans="1:18" x14ac:dyDescent="0.2">
      <c r="A276" s="23">
        <v>45236</v>
      </c>
      <c r="B276" s="23">
        <v>45236</v>
      </c>
      <c r="C276" s="25" t="s">
        <v>398</v>
      </c>
      <c r="D276" s="20">
        <v>0</v>
      </c>
      <c r="E276" s="27">
        <v>0</v>
      </c>
      <c r="F276" s="22" t="s">
        <v>54</v>
      </c>
      <c r="G276" s="29">
        <v>15840</v>
      </c>
      <c r="H276" s="39">
        <v>45005</v>
      </c>
      <c r="I276" s="46">
        <f t="shared" si="16"/>
        <v>231</v>
      </c>
      <c r="J276" s="4" t="s">
        <v>12</v>
      </c>
      <c r="K276" s="4" t="s">
        <v>197</v>
      </c>
      <c r="L276" s="4" t="s">
        <v>223</v>
      </c>
      <c r="M276" s="7">
        <v>15840</v>
      </c>
      <c r="N276" s="10">
        <v>0</v>
      </c>
      <c r="O276" s="10">
        <v>0</v>
      </c>
      <c r="P276">
        <f t="shared" si="17"/>
        <v>1</v>
      </c>
      <c r="Q276" s="36">
        <f t="shared" si="18"/>
        <v>0</v>
      </c>
      <c r="R276">
        <f t="shared" si="19"/>
        <v>2023</v>
      </c>
    </row>
    <row r="277" spans="1:18" x14ac:dyDescent="0.2">
      <c r="A277" s="23">
        <v>45243</v>
      </c>
      <c r="B277" s="23">
        <v>45243</v>
      </c>
      <c r="C277" s="25" t="s">
        <v>398</v>
      </c>
      <c r="D277" s="20">
        <v>0</v>
      </c>
      <c r="E277" s="27">
        <v>0</v>
      </c>
      <c r="F277" s="22" t="s">
        <v>54</v>
      </c>
      <c r="G277" s="29">
        <v>18520</v>
      </c>
      <c r="H277" s="39">
        <v>45005</v>
      </c>
      <c r="I277" s="46">
        <f t="shared" si="16"/>
        <v>238</v>
      </c>
      <c r="J277" s="4" t="s">
        <v>12</v>
      </c>
      <c r="K277" s="4" t="s">
        <v>197</v>
      </c>
      <c r="L277" s="4" t="s">
        <v>223</v>
      </c>
      <c r="M277" s="7">
        <v>18520</v>
      </c>
      <c r="N277" s="10">
        <v>0</v>
      </c>
      <c r="O277" s="10">
        <v>0</v>
      </c>
      <c r="P277">
        <f t="shared" si="17"/>
        <v>1</v>
      </c>
      <c r="Q277" s="36">
        <f t="shared" si="18"/>
        <v>0</v>
      </c>
      <c r="R277">
        <f t="shared" si="19"/>
        <v>2023</v>
      </c>
    </row>
    <row r="278" spans="1:18" x14ac:dyDescent="0.2">
      <c r="A278" s="23">
        <v>45250</v>
      </c>
      <c r="B278" s="23">
        <v>45250</v>
      </c>
      <c r="C278" s="25" t="s">
        <v>398</v>
      </c>
      <c r="D278" s="20">
        <v>0</v>
      </c>
      <c r="E278" s="27">
        <v>0</v>
      </c>
      <c r="F278" s="22" t="s">
        <v>54</v>
      </c>
      <c r="G278" s="29">
        <v>12101</v>
      </c>
      <c r="H278" s="39">
        <v>45005</v>
      </c>
      <c r="I278" s="46">
        <f t="shared" si="16"/>
        <v>245</v>
      </c>
      <c r="J278" s="4" t="s">
        <v>12</v>
      </c>
      <c r="K278" s="4" t="s">
        <v>197</v>
      </c>
      <c r="L278" s="4" t="s">
        <v>223</v>
      </c>
      <c r="M278" s="7">
        <v>12101</v>
      </c>
      <c r="N278" s="10">
        <v>0</v>
      </c>
      <c r="O278" s="10">
        <v>0</v>
      </c>
      <c r="P278">
        <f t="shared" si="17"/>
        <v>1</v>
      </c>
      <c r="Q278" s="36">
        <f t="shared" si="18"/>
        <v>0</v>
      </c>
      <c r="R278">
        <f t="shared" si="19"/>
        <v>2023</v>
      </c>
    </row>
    <row r="279" spans="1:18" x14ac:dyDescent="0.2">
      <c r="A279" s="23">
        <v>45257</v>
      </c>
      <c r="B279" s="23">
        <v>45257</v>
      </c>
      <c r="C279" s="25" t="s">
        <v>398</v>
      </c>
      <c r="D279" s="20">
        <v>0</v>
      </c>
      <c r="E279" s="27">
        <v>0</v>
      </c>
      <c r="F279" s="22" t="s">
        <v>54</v>
      </c>
      <c r="G279" s="29">
        <v>6096</v>
      </c>
      <c r="H279" s="39">
        <v>45005</v>
      </c>
      <c r="I279" s="46">
        <f t="shared" si="16"/>
        <v>252</v>
      </c>
      <c r="J279" s="4" t="s">
        <v>12</v>
      </c>
      <c r="K279" s="4" t="s">
        <v>197</v>
      </c>
      <c r="L279" s="4" t="s">
        <v>223</v>
      </c>
      <c r="M279" s="7">
        <v>6096</v>
      </c>
      <c r="N279" s="10">
        <v>0</v>
      </c>
      <c r="O279" s="10">
        <v>0</v>
      </c>
      <c r="P279">
        <f t="shared" si="17"/>
        <v>1</v>
      </c>
      <c r="Q279" s="36">
        <f t="shared" si="18"/>
        <v>0</v>
      </c>
      <c r="R279">
        <f t="shared" si="19"/>
        <v>2023</v>
      </c>
    </row>
    <row r="280" spans="1:18" x14ac:dyDescent="0.2">
      <c r="A280" s="23">
        <v>45264</v>
      </c>
      <c r="B280" s="23">
        <v>45264</v>
      </c>
      <c r="C280" s="25" t="s">
        <v>398</v>
      </c>
      <c r="D280" s="20">
        <v>0</v>
      </c>
      <c r="E280" s="27">
        <v>0</v>
      </c>
      <c r="F280" s="22" t="s">
        <v>54</v>
      </c>
      <c r="G280" s="29">
        <v>15840</v>
      </c>
      <c r="H280" s="39">
        <v>45005</v>
      </c>
      <c r="I280" s="46">
        <f t="shared" si="16"/>
        <v>259</v>
      </c>
      <c r="J280" s="4" t="s">
        <v>12</v>
      </c>
      <c r="K280" s="4" t="s">
        <v>197</v>
      </c>
      <c r="L280" s="4" t="s">
        <v>223</v>
      </c>
      <c r="M280" s="7">
        <v>15840</v>
      </c>
      <c r="N280" s="10">
        <v>0</v>
      </c>
      <c r="O280" s="10">
        <v>0</v>
      </c>
      <c r="P280">
        <f t="shared" si="17"/>
        <v>1</v>
      </c>
      <c r="Q280" s="36">
        <f t="shared" si="18"/>
        <v>0</v>
      </c>
      <c r="R280">
        <f t="shared" si="19"/>
        <v>2023</v>
      </c>
    </row>
    <row r="281" spans="1:18" x14ac:dyDescent="0.2">
      <c r="A281" s="23">
        <v>45271</v>
      </c>
      <c r="B281" s="23">
        <v>45271</v>
      </c>
      <c r="C281" s="25" t="s">
        <v>398</v>
      </c>
      <c r="D281" s="20">
        <v>0</v>
      </c>
      <c r="E281" s="27">
        <v>0</v>
      </c>
      <c r="F281" s="22" t="s">
        <v>54</v>
      </c>
      <c r="G281" s="29">
        <v>15840</v>
      </c>
      <c r="H281" s="39">
        <v>45005</v>
      </c>
      <c r="I281" s="46">
        <f t="shared" si="16"/>
        <v>266</v>
      </c>
      <c r="J281" s="4" t="s">
        <v>12</v>
      </c>
      <c r="K281" s="4" t="s">
        <v>197</v>
      </c>
      <c r="L281" s="4" t="s">
        <v>223</v>
      </c>
      <c r="M281" s="7">
        <v>15840</v>
      </c>
      <c r="N281" s="10">
        <v>0</v>
      </c>
      <c r="O281" s="10">
        <v>0</v>
      </c>
      <c r="P281">
        <f t="shared" si="17"/>
        <v>1</v>
      </c>
      <c r="Q281" s="36">
        <f t="shared" si="18"/>
        <v>0</v>
      </c>
      <c r="R281">
        <f t="shared" si="19"/>
        <v>2023</v>
      </c>
    </row>
    <row r="282" spans="1:18" x14ac:dyDescent="0.2">
      <c r="A282" s="23">
        <v>45285</v>
      </c>
      <c r="B282" s="23">
        <v>45285</v>
      </c>
      <c r="C282" s="25" t="s">
        <v>398</v>
      </c>
      <c r="D282" s="20">
        <v>0</v>
      </c>
      <c r="E282" s="27">
        <v>0</v>
      </c>
      <c r="F282" s="22" t="s">
        <v>54</v>
      </c>
      <c r="G282" s="29">
        <v>15840</v>
      </c>
      <c r="H282" s="39">
        <v>45005</v>
      </c>
      <c r="I282" s="46">
        <f t="shared" si="16"/>
        <v>280</v>
      </c>
      <c r="J282" s="4" t="s">
        <v>12</v>
      </c>
      <c r="K282" s="4" t="s">
        <v>197</v>
      </c>
      <c r="L282" s="4" t="s">
        <v>223</v>
      </c>
      <c r="M282" s="7">
        <v>15840</v>
      </c>
      <c r="N282" s="10">
        <v>0</v>
      </c>
      <c r="O282" s="10">
        <v>0</v>
      </c>
      <c r="P282">
        <f t="shared" si="17"/>
        <v>1</v>
      </c>
      <c r="Q282" s="36">
        <f t="shared" si="18"/>
        <v>0</v>
      </c>
      <c r="R282">
        <f t="shared" si="19"/>
        <v>2023</v>
      </c>
    </row>
    <row r="283" spans="1:18" x14ac:dyDescent="0.2">
      <c r="A283" s="23">
        <v>45189</v>
      </c>
      <c r="B283" s="23">
        <v>44960</v>
      </c>
      <c r="C283" s="25" t="s">
        <v>399</v>
      </c>
      <c r="D283" s="20">
        <v>229</v>
      </c>
      <c r="E283" s="27">
        <v>0</v>
      </c>
      <c r="F283" s="22" t="s">
        <v>55</v>
      </c>
      <c r="G283" s="29">
        <v>1080</v>
      </c>
      <c r="H283" s="39">
        <v>44960</v>
      </c>
      <c r="I283" s="46">
        <f t="shared" si="16"/>
        <v>229</v>
      </c>
      <c r="J283" s="4" t="s">
        <v>14</v>
      </c>
      <c r="K283" s="4" t="s">
        <v>198</v>
      </c>
      <c r="L283" s="4" t="s">
        <v>224</v>
      </c>
      <c r="M283" s="7">
        <v>1080</v>
      </c>
      <c r="N283" s="10">
        <v>0</v>
      </c>
      <c r="O283" s="10">
        <v>0</v>
      </c>
      <c r="P283">
        <f t="shared" si="17"/>
        <v>1</v>
      </c>
      <c r="Q283" s="36">
        <f t="shared" si="18"/>
        <v>0</v>
      </c>
      <c r="R283">
        <f t="shared" si="19"/>
        <v>2023</v>
      </c>
    </row>
    <row r="284" spans="1:18" x14ac:dyDescent="0.2">
      <c r="A284" s="23">
        <v>45189</v>
      </c>
      <c r="B284" s="23">
        <v>44960</v>
      </c>
      <c r="C284" s="25" t="s">
        <v>399</v>
      </c>
      <c r="D284" s="20">
        <v>229</v>
      </c>
      <c r="E284" s="27">
        <v>0</v>
      </c>
      <c r="F284" s="22" t="s">
        <v>55</v>
      </c>
      <c r="G284" s="29">
        <v>1080</v>
      </c>
      <c r="H284" s="39">
        <v>44960</v>
      </c>
      <c r="I284" s="46">
        <f t="shared" si="16"/>
        <v>229</v>
      </c>
      <c r="J284" s="4" t="s">
        <v>14</v>
      </c>
      <c r="K284" s="4" t="s">
        <v>198</v>
      </c>
      <c r="L284" s="4" t="s">
        <v>224</v>
      </c>
      <c r="M284" s="7">
        <v>1080</v>
      </c>
      <c r="N284" s="10">
        <v>0</v>
      </c>
      <c r="O284" s="10">
        <v>0</v>
      </c>
      <c r="P284">
        <f t="shared" si="17"/>
        <v>1</v>
      </c>
      <c r="Q284" s="36">
        <f t="shared" si="18"/>
        <v>0</v>
      </c>
      <c r="R284">
        <f t="shared" si="19"/>
        <v>2023</v>
      </c>
    </row>
    <row r="285" spans="1:18" x14ac:dyDescent="0.2">
      <c r="A285" s="23">
        <v>45189</v>
      </c>
      <c r="B285" s="23">
        <v>44958</v>
      </c>
      <c r="C285" s="25" t="s">
        <v>399</v>
      </c>
      <c r="D285" s="20">
        <v>231</v>
      </c>
      <c r="E285" s="27">
        <v>0</v>
      </c>
      <c r="F285" s="22" t="s">
        <v>56</v>
      </c>
      <c r="G285" s="29">
        <v>1000</v>
      </c>
      <c r="H285" s="39">
        <v>44958</v>
      </c>
      <c r="I285" s="46">
        <f t="shared" si="16"/>
        <v>231</v>
      </c>
      <c r="J285" s="4" t="s">
        <v>14</v>
      </c>
      <c r="K285" s="4" t="s">
        <v>198</v>
      </c>
      <c r="L285" s="4" t="s">
        <v>224</v>
      </c>
      <c r="M285" s="7">
        <v>1000</v>
      </c>
      <c r="N285" s="10">
        <v>0</v>
      </c>
      <c r="O285" s="10">
        <v>0</v>
      </c>
      <c r="P285">
        <f t="shared" si="17"/>
        <v>1</v>
      </c>
      <c r="Q285" s="36">
        <f t="shared" si="18"/>
        <v>0</v>
      </c>
      <c r="R285">
        <f t="shared" si="19"/>
        <v>2023</v>
      </c>
    </row>
    <row r="286" spans="1:18" x14ac:dyDescent="0.2">
      <c r="A286" s="23">
        <v>45189</v>
      </c>
      <c r="B286" s="23">
        <v>44754</v>
      </c>
      <c r="C286" s="25" t="s">
        <v>399</v>
      </c>
      <c r="D286" s="20">
        <v>435</v>
      </c>
      <c r="E286" s="27">
        <v>0</v>
      </c>
      <c r="F286" s="22" t="s">
        <v>57</v>
      </c>
      <c r="G286" s="29">
        <v>120</v>
      </c>
      <c r="H286" s="39">
        <v>44648</v>
      </c>
      <c r="I286" s="46">
        <f t="shared" si="16"/>
        <v>541</v>
      </c>
      <c r="J286" s="4" t="s">
        <v>14</v>
      </c>
      <c r="K286" s="4" t="s">
        <v>198</v>
      </c>
      <c r="L286" s="4" t="s">
        <v>224</v>
      </c>
      <c r="M286" s="7">
        <v>120</v>
      </c>
      <c r="N286" s="10">
        <v>0</v>
      </c>
      <c r="O286" s="10">
        <v>0</v>
      </c>
      <c r="P286">
        <f t="shared" si="17"/>
        <v>1</v>
      </c>
      <c r="Q286" s="36">
        <f t="shared" si="18"/>
        <v>0</v>
      </c>
      <c r="R286">
        <f t="shared" si="19"/>
        <v>2022</v>
      </c>
    </row>
    <row r="287" spans="1:18" x14ac:dyDescent="0.2">
      <c r="A287" s="23">
        <v>45189</v>
      </c>
      <c r="B287" s="23">
        <v>44648</v>
      </c>
      <c r="C287" s="25" t="s">
        <v>399</v>
      </c>
      <c r="D287" s="20">
        <v>541</v>
      </c>
      <c r="E287" s="27">
        <v>0</v>
      </c>
      <c r="F287" s="22" t="s">
        <v>58</v>
      </c>
      <c r="G287" s="29">
        <v>720</v>
      </c>
      <c r="H287" s="39">
        <v>44648</v>
      </c>
      <c r="I287" s="46">
        <f t="shared" si="16"/>
        <v>541</v>
      </c>
      <c r="J287" s="4" t="s">
        <v>14</v>
      </c>
      <c r="K287" s="4" t="s">
        <v>198</v>
      </c>
      <c r="L287" s="4" t="s">
        <v>224</v>
      </c>
      <c r="M287" s="7">
        <v>720</v>
      </c>
      <c r="N287" s="10">
        <v>0</v>
      </c>
      <c r="O287" s="10">
        <v>0</v>
      </c>
      <c r="P287">
        <f t="shared" si="17"/>
        <v>1</v>
      </c>
      <c r="Q287" s="36">
        <f t="shared" si="18"/>
        <v>0</v>
      </c>
      <c r="R287">
        <f t="shared" si="19"/>
        <v>2022</v>
      </c>
    </row>
    <row r="288" spans="1:18" x14ac:dyDescent="0.2">
      <c r="A288" s="23">
        <v>45189</v>
      </c>
      <c r="B288" s="23">
        <v>44283</v>
      </c>
      <c r="C288" s="25" t="s">
        <v>399</v>
      </c>
      <c r="D288" s="20">
        <v>906</v>
      </c>
      <c r="E288" s="27">
        <v>0</v>
      </c>
      <c r="F288" s="22" t="s">
        <v>59</v>
      </c>
      <c r="G288" s="29">
        <v>3780</v>
      </c>
      <c r="H288" s="39">
        <v>44958</v>
      </c>
      <c r="I288" s="46">
        <f t="shared" si="16"/>
        <v>231</v>
      </c>
      <c r="J288" s="4" t="s">
        <v>14</v>
      </c>
      <c r="K288" s="4" t="s">
        <v>198</v>
      </c>
      <c r="L288" s="4" t="s">
        <v>224</v>
      </c>
      <c r="M288" s="7">
        <v>3780</v>
      </c>
      <c r="N288" s="10">
        <v>0</v>
      </c>
      <c r="O288" s="10">
        <v>0</v>
      </c>
      <c r="P288">
        <f t="shared" si="17"/>
        <v>1</v>
      </c>
      <c r="Q288" s="36">
        <f t="shared" si="18"/>
        <v>0</v>
      </c>
      <c r="R288">
        <f t="shared" si="19"/>
        <v>2023</v>
      </c>
    </row>
    <row r="289" spans="1:18" x14ac:dyDescent="0.2">
      <c r="A289" s="23">
        <v>45189</v>
      </c>
      <c r="B289" s="23">
        <v>44958</v>
      </c>
      <c r="C289" s="25" t="s">
        <v>399</v>
      </c>
      <c r="D289" s="20">
        <v>231</v>
      </c>
      <c r="E289" s="27">
        <v>0</v>
      </c>
      <c r="F289" s="22" t="s">
        <v>59</v>
      </c>
      <c r="G289" s="29">
        <v>3780</v>
      </c>
      <c r="H289" s="39">
        <v>44958</v>
      </c>
      <c r="I289" s="46">
        <f t="shared" si="16"/>
        <v>231</v>
      </c>
      <c r="J289" s="4" t="s">
        <v>14</v>
      </c>
      <c r="K289" s="4" t="s">
        <v>198</v>
      </c>
      <c r="L289" s="4" t="s">
        <v>224</v>
      </c>
      <c r="M289" s="7">
        <v>3780</v>
      </c>
      <c r="N289" s="10">
        <v>0</v>
      </c>
      <c r="O289" s="10">
        <v>0</v>
      </c>
      <c r="P289">
        <f t="shared" si="17"/>
        <v>1</v>
      </c>
      <c r="Q289" s="36">
        <f t="shared" si="18"/>
        <v>0</v>
      </c>
      <c r="R289">
        <f t="shared" si="19"/>
        <v>2023</v>
      </c>
    </row>
    <row r="290" spans="1:18" x14ac:dyDescent="0.2">
      <c r="A290" s="23">
        <v>45189</v>
      </c>
      <c r="B290" s="23">
        <v>45062</v>
      </c>
      <c r="C290" s="25" t="s">
        <v>399</v>
      </c>
      <c r="D290" s="20">
        <v>127</v>
      </c>
      <c r="E290" s="27">
        <v>0</v>
      </c>
      <c r="F290" s="22" t="s">
        <v>60</v>
      </c>
      <c r="G290" s="29">
        <v>3024</v>
      </c>
      <c r="H290" s="39">
        <v>44958</v>
      </c>
      <c r="I290" s="46">
        <f t="shared" si="16"/>
        <v>231</v>
      </c>
      <c r="J290" s="4" t="s">
        <v>14</v>
      </c>
      <c r="K290" s="4" t="s">
        <v>198</v>
      </c>
      <c r="L290" s="4" t="s">
        <v>224</v>
      </c>
      <c r="M290" s="7">
        <v>3024</v>
      </c>
      <c r="N290" s="10">
        <v>0</v>
      </c>
      <c r="O290" s="10">
        <v>0</v>
      </c>
      <c r="P290">
        <f t="shared" si="17"/>
        <v>1</v>
      </c>
      <c r="Q290" s="36">
        <f t="shared" si="18"/>
        <v>0</v>
      </c>
      <c r="R290">
        <f t="shared" si="19"/>
        <v>2023</v>
      </c>
    </row>
    <row r="291" spans="1:18" x14ac:dyDescent="0.2">
      <c r="A291" s="23">
        <v>45189</v>
      </c>
      <c r="B291" s="23">
        <v>44648</v>
      </c>
      <c r="C291" s="25" t="s">
        <v>399</v>
      </c>
      <c r="D291" s="20">
        <v>541</v>
      </c>
      <c r="E291" s="27">
        <v>0</v>
      </c>
      <c r="F291" s="22" t="s">
        <v>61</v>
      </c>
      <c r="G291" s="29">
        <v>756</v>
      </c>
      <c r="H291" s="39">
        <v>44648</v>
      </c>
      <c r="I291" s="46">
        <f t="shared" si="16"/>
        <v>541</v>
      </c>
      <c r="J291" s="4" t="s">
        <v>14</v>
      </c>
      <c r="K291" s="4" t="s">
        <v>198</v>
      </c>
      <c r="L291" s="4" t="s">
        <v>224</v>
      </c>
      <c r="M291" s="7">
        <v>756</v>
      </c>
      <c r="N291" s="10">
        <v>0</v>
      </c>
      <c r="O291" s="10">
        <v>0</v>
      </c>
      <c r="P291">
        <f t="shared" si="17"/>
        <v>1</v>
      </c>
      <c r="Q291" s="36">
        <f t="shared" si="18"/>
        <v>0</v>
      </c>
      <c r="R291">
        <f t="shared" si="19"/>
        <v>2022</v>
      </c>
    </row>
    <row r="292" spans="1:18" x14ac:dyDescent="0.2">
      <c r="A292" s="23">
        <v>45243</v>
      </c>
      <c r="B292" s="23">
        <v>44256</v>
      </c>
      <c r="C292" s="25" t="s">
        <v>399</v>
      </c>
      <c r="D292" s="20">
        <v>987</v>
      </c>
      <c r="E292" s="27">
        <v>0</v>
      </c>
      <c r="F292" s="22" t="s">
        <v>62</v>
      </c>
      <c r="G292" s="29">
        <v>336</v>
      </c>
      <c r="H292" s="39">
        <v>44958</v>
      </c>
      <c r="I292" s="46">
        <f t="shared" si="16"/>
        <v>285</v>
      </c>
      <c r="J292" s="4" t="s">
        <v>14</v>
      </c>
      <c r="K292" s="4" t="s">
        <v>198</v>
      </c>
      <c r="L292" s="4" t="s">
        <v>224</v>
      </c>
      <c r="M292" s="7">
        <v>336</v>
      </c>
      <c r="N292" s="10">
        <v>0</v>
      </c>
      <c r="O292" s="10">
        <v>0</v>
      </c>
      <c r="P292">
        <f t="shared" si="17"/>
        <v>1</v>
      </c>
      <c r="Q292" s="36">
        <f t="shared" si="18"/>
        <v>0</v>
      </c>
      <c r="R292">
        <f t="shared" si="19"/>
        <v>2023</v>
      </c>
    </row>
    <row r="293" spans="1:18" x14ac:dyDescent="0.2">
      <c r="A293" s="23">
        <v>45243</v>
      </c>
      <c r="B293" s="23">
        <v>44958</v>
      </c>
      <c r="C293" s="25" t="s">
        <v>399</v>
      </c>
      <c r="D293" s="20">
        <v>285</v>
      </c>
      <c r="E293" s="27">
        <v>0</v>
      </c>
      <c r="F293" s="22" t="s">
        <v>62</v>
      </c>
      <c r="G293" s="29">
        <v>924</v>
      </c>
      <c r="H293" s="39">
        <v>44958</v>
      </c>
      <c r="I293" s="46">
        <f t="shared" si="16"/>
        <v>285</v>
      </c>
      <c r="J293" s="4" t="s">
        <v>14</v>
      </c>
      <c r="K293" s="4" t="s">
        <v>198</v>
      </c>
      <c r="L293" s="4" t="s">
        <v>224</v>
      </c>
      <c r="M293" s="7">
        <v>924</v>
      </c>
      <c r="N293" s="10">
        <v>0</v>
      </c>
      <c r="O293" s="10">
        <v>0</v>
      </c>
      <c r="P293">
        <f t="shared" si="17"/>
        <v>1</v>
      </c>
      <c r="Q293" s="36">
        <f t="shared" si="18"/>
        <v>0</v>
      </c>
      <c r="R293">
        <f t="shared" si="19"/>
        <v>2023</v>
      </c>
    </row>
    <row r="294" spans="1:18" x14ac:dyDescent="0.2">
      <c r="A294" s="23">
        <v>45189</v>
      </c>
      <c r="B294" s="23">
        <v>44256</v>
      </c>
      <c r="C294" s="25" t="s">
        <v>399</v>
      </c>
      <c r="D294" s="20">
        <v>933</v>
      </c>
      <c r="E294" s="27">
        <v>0</v>
      </c>
      <c r="F294" s="22" t="s">
        <v>63</v>
      </c>
      <c r="G294" s="29">
        <v>672</v>
      </c>
      <c r="H294" s="39">
        <v>44958</v>
      </c>
      <c r="I294" s="46">
        <f t="shared" si="16"/>
        <v>231</v>
      </c>
      <c r="J294" s="4" t="s">
        <v>14</v>
      </c>
      <c r="K294" s="4" t="s">
        <v>198</v>
      </c>
      <c r="L294" s="4" t="s">
        <v>224</v>
      </c>
      <c r="M294" s="7">
        <v>672</v>
      </c>
      <c r="N294" s="10">
        <v>0</v>
      </c>
      <c r="O294" s="10">
        <v>0</v>
      </c>
      <c r="P294">
        <f t="shared" si="17"/>
        <v>1</v>
      </c>
      <c r="Q294" s="36">
        <f t="shared" si="18"/>
        <v>0</v>
      </c>
      <c r="R294">
        <f t="shared" si="19"/>
        <v>2023</v>
      </c>
    </row>
    <row r="295" spans="1:18" x14ac:dyDescent="0.2">
      <c r="A295" s="23">
        <v>45189</v>
      </c>
      <c r="B295" s="23">
        <v>44648</v>
      </c>
      <c r="C295" s="25" t="s">
        <v>399</v>
      </c>
      <c r="D295" s="20">
        <v>541</v>
      </c>
      <c r="E295" s="27">
        <v>0</v>
      </c>
      <c r="F295" s="22" t="s">
        <v>64</v>
      </c>
      <c r="G295" s="29">
        <v>3080</v>
      </c>
      <c r="H295" s="39">
        <v>44648</v>
      </c>
      <c r="I295" s="46">
        <f t="shared" si="16"/>
        <v>541</v>
      </c>
      <c r="J295" s="4" t="s">
        <v>14</v>
      </c>
      <c r="K295" s="4" t="s">
        <v>198</v>
      </c>
      <c r="L295" s="4" t="s">
        <v>224</v>
      </c>
      <c r="M295" s="7">
        <v>3080</v>
      </c>
      <c r="N295" s="10">
        <v>0</v>
      </c>
      <c r="O295" s="10">
        <v>0</v>
      </c>
      <c r="P295">
        <f t="shared" si="17"/>
        <v>1</v>
      </c>
      <c r="Q295" s="36">
        <f t="shared" si="18"/>
        <v>0</v>
      </c>
      <c r="R295">
        <f t="shared" si="19"/>
        <v>2022</v>
      </c>
    </row>
    <row r="296" spans="1:18" x14ac:dyDescent="0.2">
      <c r="A296" s="23">
        <v>45189</v>
      </c>
      <c r="B296" s="23">
        <v>44958</v>
      </c>
      <c r="C296" s="25" t="s">
        <v>399</v>
      </c>
      <c r="D296" s="20">
        <v>231</v>
      </c>
      <c r="E296" s="27">
        <v>0</v>
      </c>
      <c r="F296" s="22" t="s">
        <v>65</v>
      </c>
      <c r="G296" s="29">
        <v>800</v>
      </c>
      <c r="H296" s="39">
        <v>44958</v>
      </c>
      <c r="I296" s="46">
        <f t="shared" si="16"/>
        <v>231</v>
      </c>
      <c r="J296" s="4" t="s">
        <v>14</v>
      </c>
      <c r="K296" s="4" t="s">
        <v>198</v>
      </c>
      <c r="L296" s="4" t="s">
        <v>224</v>
      </c>
      <c r="M296" s="7">
        <v>800</v>
      </c>
      <c r="N296" s="10">
        <v>0</v>
      </c>
      <c r="O296" s="10">
        <v>0</v>
      </c>
      <c r="P296">
        <f t="shared" si="17"/>
        <v>1</v>
      </c>
      <c r="Q296" s="36">
        <f t="shared" si="18"/>
        <v>0</v>
      </c>
      <c r="R296">
        <f t="shared" si="19"/>
        <v>2023</v>
      </c>
    </row>
    <row r="297" spans="1:18" x14ac:dyDescent="0.2">
      <c r="A297" s="23">
        <v>45189</v>
      </c>
      <c r="B297" s="23">
        <v>44960</v>
      </c>
      <c r="C297" s="25" t="s">
        <v>399</v>
      </c>
      <c r="D297" s="20">
        <v>229</v>
      </c>
      <c r="E297" s="27">
        <v>0</v>
      </c>
      <c r="F297" s="22" t="s">
        <v>66</v>
      </c>
      <c r="G297" s="29">
        <v>1440</v>
      </c>
      <c r="H297" s="39">
        <v>44960</v>
      </c>
      <c r="I297" s="46">
        <f t="shared" si="16"/>
        <v>229</v>
      </c>
      <c r="J297" s="4" t="s">
        <v>14</v>
      </c>
      <c r="K297" s="4" t="s">
        <v>198</v>
      </c>
      <c r="L297" s="4" t="s">
        <v>224</v>
      </c>
      <c r="M297" s="7">
        <v>1440</v>
      </c>
      <c r="N297" s="10">
        <v>0</v>
      </c>
      <c r="O297" s="10">
        <v>0</v>
      </c>
      <c r="P297">
        <f t="shared" si="17"/>
        <v>1</v>
      </c>
      <c r="Q297" s="36">
        <f t="shared" si="18"/>
        <v>0</v>
      </c>
      <c r="R297">
        <f t="shared" si="19"/>
        <v>2023</v>
      </c>
    </row>
    <row r="298" spans="1:18" x14ac:dyDescent="0.2">
      <c r="A298" s="23">
        <v>45189</v>
      </c>
      <c r="B298" s="23">
        <v>44958</v>
      </c>
      <c r="C298" s="25" t="s">
        <v>399</v>
      </c>
      <c r="D298" s="20">
        <v>231</v>
      </c>
      <c r="E298" s="27">
        <v>0</v>
      </c>
      <c r="F298" s="22" t="s">
        <v>67</v>
      </c>
      <c r="G298" s="29">
        <v>420</v>
      </c>
      <c r="H298" s="39">
        <v>44958</v>
      </c>
      <c r="I298" s="46">
        <f t="shared" si="16"/>
        <v>231</v>
      </c>
      <c r="J298" s="4" t="s">
        <v>14</v>
      </c>
      <c r="K298" s="4" t="s">
        <v>198</v>
      </c>
      <c r="L298" s="4" t="s">
        <v>224</v>
      </c>
      <c r="M298" s="7">
        <v>420</v>
      </c>
      <c r="N298" s="10">
        <v>0</v>
      </c>
      <c r="O298" s="10">
        <v>0</v>
      </c>
      <c r="P298">
        <f t="shared" si="17"/>
        <v>1</v>
      </c>
      <c r="Q298" s="36">
        <f t="shared" si="18"/>
        <v>0</v>
      </c>
      <c r="R298">
        <f t="shared" si="19"/>
        <v>2023</v>
      </c>
    </row>
    <row r="299" spans="1:18" x14ac:dyDescent="0.2">
      <c r="A299" s="23">
        <v>45189</v>
      </c>
      <c r="B299" s="23">
        <v>44648</v>
      </c>
      <c r="C299" s="25" t="s">
        <v>399</v>
      </c>
      <c r="D299" s="20">
        <v>541</v>
      </c>
      <c r="E299" s="27">
        <v>0</v>
      </c>
      <c r="F299" s="22" t="s">
        <v>68</v>
      </c>
      <c r="G299" s="29">
        <v>5460</v>
      </c>
      <c r="H299" s="39">
        <v>44648</v>
      </c>
      <c r="I299" s="46">
        <f t="shared" si="16"/>
        <v>541</v>
      </c>
      <c r="J299" s="4" t="s">
        <v>14</v>
      </c>
      <c r="K299" s="4" t="s">
        <v>198</v>
      </c>
      <c r="L299" s="4" t="s">
        <v>224</v>
      </c>
      <c r="M299" s="7">
        <v>5460</v>
      </c>
      <c r="N299" s="10">
        <v>0</v>
      </c>
      <c r="O299" s="10">
        <v>0</v>
      </c>
      <c r="P299">
        <f t="shared" si="17"/>
        <v>1</v>
      </c>
      <c r="Q299" s="36">
        <f t="shared" si="18"/>
        <v>0</v>
      </c>
      <c r="R299">
        <f t="shared" si="19"/>
        <v>2022</v>
      </c>
    </row>
    <row r="300" spans="1:18" x14ac:dyDescent="0.2">
      <c r="A300" s="23">
        <v>45189</v>
      </c>
      <c r="B300" s="23">
        <v>44958</v>
      </c>
      <c r="C300" s="25" t="s">
        <v>399</v>
      </c>
      <c r="D300" s="20">
        <v>231</v>
      </c>
      <c r="E300" s="27">
        <v>0</v>
      </c>
      <c r="F300" s="22" t="s">
        <v>68</v>
      </c>
      <c r="G300" s="29">
        <v>1820</v>
      </c>
      <c r="H300" s="39">
        <v>44958</v>
      </c>
      <c r="I300" s="46">
        <f t="shared" si="16"/>
        <v>231</v>
      </c>
      <c r="J300" s="4" t="s">
        <v>14</v>
      </c>
      <c r="K300" s="4" t="s">
        <v>198</v>
      </c>
      <c r="L300" s="4" t="s">
        <v>224</v>
      </c>
      <c r="M300" s="7">
        <v>1820</v>
      </c>
      <c r="N300" s="10">
        <v>0</v>
      </c>
      <c r="O300" s="10">
        <v>0</v>
      </c>
      <c r="P300">
        <f t="shared" si="17"/>
        <v>1</v>
      </c>
      <c r="Q300" s="36">
        <f t="shared" si="18"/>
        <v>0</v>
      </c>
      <c r="R300">
        <f t="shared" si="19"/>
        <v>2023</v>
      </c>
    </row>
    <row r="301" spans="1:18" x14ac:dyDescent="0.2">
      <c r="A301" s="23">
        <v>45189</v>
      </c>
      <c r="B301" s="23">
        <v>44648</v>
      </c>
      <c r="C301" s="25" t="s">
        <v>399</v>
      </c>
      <c r="D301" s="20">
        <v>541</v>
      </c>
      <c r="E301" s="27">
        <v>0</v>
      </c>
      <c r="F301" s="22" t="s">
        <v>69</v>
      </c>
      <c r="G301" s="29">
        <v>588</v>
      </c>
      <c r="H301" s="39">
        <v>44648</v>
      </c>
      <c r="I301" s="46">
        <f t="shared" si="16"/>
        <v>541</v>
      </c>
      <c r="J301" s="4" t="s">
        <v>14</v>
      </c>
      <c r="K301" s="4" t="s">
        <v>198</v>
      </c>
      <c r="L301" s="4" t="s">
        <v>224</v>
      </c>
      <c r="M301" s="7">
        <v>588</v>
      </c>
      <c r="N301" s="10">
        <v>0</v>
      </c>
      <c r="O301" s="10">
        <v>0</v>
      </c>
      <c r="P301">
        <f t="shared" si="17"/>
        <v>1</v>
      </c>
      <c r="Q301" s="36">
        <f t="shared" si="18"/>
        <v>0</v>
      </c>
      <c r="R301">
        <f t="shared" si="19"/>
        <v>2022</v>
      </c>
    </row>
    <row r="302" spans="1:18" x14ac:dyDescent="0.2">
      <c r="A302" s="23">
        <v>45189</v>
      </c>
      <c r="B302" s="23">
        <v>44753</v>
      </c>
      <c r="C302" s="25" t="s">
        <v>399</v>
      </c>
      <c r="D302" s="20">
        <v>436</v>
      </c>
      <c r="E302" s="27">
        <v>0</v>
      </c>
      <c r="F302" s="22" t="s">
        <v>69</v>
      </c>
      <c r="G302" s="29">
        <v>588</v>
      </c>
      <c r="H302" s="39">
        <v>44648</v>
      </c>
      <c r="I302" s="46">
        <f t="shared" si="16"/>
        <v>541</v>
      </c>
      <c r="J302" s="4" t="s">
        <v>14</v>
      </c>
      <c r="K302" s="4" t="s">
        <v>198</v>
      </c>
      <c r="L302" s="4" t="s">
        <v>224</v>
      </c>
      <c r="M302" s="7">
        <v>588</v>
      </c>
      <c r="N302" s="10">
        <v>0</v>
      </c>
      <c r="O302" s="10">
        <v>0</v>
      </c>
      <c r="P302">
        <f t="shared" si="17"/>
        <v>1</v>
      </c>
      <c r="Q302" s="36">
        <f t="shared" si="18"/>
        <v>0</v>
      </c>
      <c r="R302">
        <f t="shared" si="19"/>
        <v>2022</v>
      </c>
    </row>
    <row r="303" spans="1:18" x14ac:dyDescent="0.2">
      <c r="A303" s="23">
        <v>45229</v>
      </c>
      <c r="B303" s="23">
        <v>44958</v>
      </c>
      <c r="C303" s="25" t="s">
        <v>399</v>
      </c>
      <c r="D303" s="20">
        <v>271</v>
      </c>
      <c r="E303" s="27">
        <v>0</v>
      </c>
      <c r="F303" s="22" t="s">
        <v>70</v>
      </c>
      <c r="G303" s="29">
        <v>1120</v>
      </c>
      <c r="H303" s="39">
        <v>44958</v>
      </c>
      <c r="I303" s="46">
        <f t="shared" si="16"/>
        <v>271</v>
      </c>
      <c r="J303" s="4" t="s">
        <v>14</v>
      </c>
      <c r="K303" s="4" t="s">
        <v>198</v>
      </c>
      <c r="L303" s="4" t="s">
        <v>224</v>
      </c>
      <c r="M303" s="7">
        <v>1120</v>
      </c>
      <c r="N303" s="10">
        <v>0</v>
      </c>
      <c r="O303" s="10">
        <v>0</v>
      </c>
      <c r="P303">
        <f t="shared" si="17"/>
        <v>1</v>
      </c>
      <c r="Q303" s="36">
        <f t="shared" si="18"/>
        <v>0</v>
      </c>
      <c r="R303">
        <f t="shared" si="19"/>
        <v>2023</v>
      </c>
    </row>
    <row r="304" spans="1:18" x14ac:dyDescent="0.2">
      <c r="A304" s="23">
        <v>45425</v>
      </c>
      <c r="B304" s="23">
        <v>44958</v>
      </c>
      <c r="C304" s="25" t="s">
        <v>399</v>
      </c>
      <c r="D304" s="20">
        <v>467</v>
      </c>
      <c r="E304" s="27">
        <v>0</v>
      </c>
      <c r="F304" s="22" t="s">
        <v>70</v>
      </c>
      <c r="G304" s="29">
        <v>1120</v>
      </c>
      <c r="H304" s="39">
        <v>44958</v>
      </c>
      <c r="I304" s="46">
        <f t="shared" si="16"/>
        <v>467</v>
      </c>
      <c r="J304" s="4" t="s">
        <v>14</v>
      </c>
      <c r="K304" s="4" t="s">
        <v>198</v>
      </c>
      <c r="L304" s="4" t="s">
        <v>224</v>
      </c>
      <c r="M304" s="7">
        <v>1120</v>
      </c>
      <c r="N304" s="10">
        <v>0</v>
      </c>
      <c r="O304" s="10">
        <v>0</v>
      </c>
      <c r="P304">
        <f t="shared" si="17"/>
        <v>1</v>
      </c>
      <c r="Q304" s="36">
        <f t="shared" si="18"/>
        <v>0</v>
      </c>
      <c r="R304">
        <f t="shared" si="19"/>
        <v>2023</v>
      </c>
    </row>
    <row r="305" spans="1:18" x14ac:dyDescent="0.2">
      <c r="A305" s="23">
        <v>45350</v>
      </c>
      <c r="B305" s="23">
        <v>44747</v>
      </c>
      <c r="C305" s="25" t="s">
        <v>399</v>
      </c>
      <c r="D305" s="20">
        <v>603</v>
      </c>
      <c r="E305" s="27">
        <v>0</v>
      </c>
      <c r="F305" s="22" t="s">
        <v>71</v>
      </c>
      <c r="G305" s="29">
        <v>3528</v>
      </c>
      <c r="H305" s="39">
        <v>44958</v>
      </c>
      <c r="I305" s="46">
        <f t="shared" si="16"/>
        <v>392</v>
      </c>
      <c r="J305" s="4" t="s">
        <v>14</v>
      </c>
      <c r="K305" s="4" t="s">
        <v>198</v>
      </c>
      <c r="L305" s="4" t="s">
        <v>224</v>
      </c>
      <c r="M305" s="7">
        <v>3528</v>
      </c>
      <c r="N305" s="10">
        <v>0</v>
      </c>
      <c r="O305" s="10">
        <v>0</v>
      </c>
      <c r="P305">
        <f t="shared" si="17"/>
        <v>1</v>
      </c>
      <c r="Q305" s="36">
        <f t="shared" si="18"/>
        <v>0</v>
      </c>
      <c r="R305">
        <f t="shared" si="19"/>
        <v>2023</v>
      </c>
    </row>
    <row r="306" spans="1:18" x14ac:dyDescent="0.2">
      <c r="A306" s="23">
        <v>45202</v>
      </c>
      <c r="B306" s="23">
        <v>45170</v>
      </c>
      <c r="C306" s="25" t="s">
        <v>399</v>
      </c>
      <c r="D306" s="20">
        <v>32</v>
      </c>
      <c r="E306" s="27">
        <v>0</v>
      </c>
      <c r="F306" s="22" t="s">
        <v>72</v>
      </c>
      <c r="G306" s="29">
        <v>630</v>
      </c>
      <c r="H306" s="39">
        <v>44965</v>
      </c>
      <c r="I306" s="46">
        <f t="shared" si="16"/>
        <v>237</v>
      </c>
      <c r="J306" s="4" t="s">
        <v>14</v>
      </c>
      <c r="K306" s="4" t="s">
        <v>198</v>
      </c>
      <c r="L306" s="4" t="s">
        <v>224</v>
      </c>
      <c r="M306" s="7">
        <v>630</v>
      </c>
      <c r="N306" s="10">
        <v>0</v>
      </c>
      <c r="O306" s="10">
        <v>0</v>
      </c>
      <c r="P306">
        <f t="shared" si="17"/>
        <v>1</v>
      </c>
      <c r="Q306" s="36">
        <f t="shared" si="18"/>
        <v>0</v>
      </c>
      <c r="R306">
        <f t="shared" si="19"/>
        <v>2023</v>
      </c>
    </row>
    <row r="307" spans="1:18" x14ac:dyDescent="0.2">
      <c r="A307" s="23">
        <v>45189</v>
      </c>
      <c r="B307" s="23">
        <v>44965</v>
      </c>
      <c r="C307" s="25" t="s">
        <v>399</v>
      </c>
      <c r="D307" s="20">
        <v>224</v>
      </c>
      <c r="E307" s="27">
        <v>0</v>
      </c>
      <c r="F307" s="22" t="s">
        <v>73</v>
      </c>
      <c r="G307" s="29">
        <v>350</v>
      </c>
      <c r="H307" s="39">
        <v>44965</v>
      </c>
      <c r="I307" s="46">
        <f t="shared" si="16"/>
        <v>224</v>
      </c>
      <c r="J307" s="4" t="s">
        <v>14</v>
      </c>
      <c r="K307" s="4" t="s">
        <v>198</v>
      </c>
      <c r="L307" s="4" t="s">
        <v>224</v>
      </c>
      <c r="M307" s="7">
        <v>350</v>
      </c>
      <c r="N307" s="10">
        <v>0</v>
      </c>
      <c r="O307" s="10">
        <v>0</v>
      </c>
      <c r="P307">
        <f t="shared" si="17"/>
        <v>1</v>
      </c>
      <c r="Q307" s="36">
        <f t="shared" si="18"/>
        <v>0</v>
      </c>
      <c r="R307">
        <f t="shared" si="19"/>
        <v>2023</v>
      </c>
    </row>
    <row r="308" spans="1:18" x14ac:dyDescent="0.2">
      <c r="A308" s="23">
        <v>45189</v>
      </c>
      <c r="B308" s="23">
        <v>44973</v>
      </c>
      <c r="C308" s="25" t="s">
        <v>399</v>
      </c>
      <c r="D308" s="20">
        <v>216</v>
      </c>
      <c r="E308" s="27">
        <v>0</v>
      </c>
      <c r="F308" s="22" t="s">
        <v>74</v>
      </c>
      <c r="G308" s="29">
        <v>490</v>
      </c>
      <c r="H308" s="39">
        <v>44973</v>
      </c>
      <c r="I308" s="46">
        <f t="shared" si="16"/>
        <v>216</v>
      </c>
      <c r="J308" s="4" t="s">
        <v>14</v>
      </c>
      <c r="K308" s="4" t="s">
        <v>198</v>
      </c>
      <c r="L308" s="4" t="s">
        <v>224</v>
      </c>
      <c r="M308" s="7">
        <v>490</v>
      </c>
      <c r="N308" s="10">
        <v>0</v>
      </c>
      <c r="O308" s="10">
        <v>0</v>
      </c>
      <c r="P308">
        <f t="shared" si="17"/>
        <v>1</v>
      </c>
      <c r="Q308" s="36">
        <f t="shared" si="18"/>
        <v>0</v>
      </c>
      <c r="R308">
        <f t="shared" si="19"/>
        <v>2023</v>
      </c>
    </row>
    <row r="309" spans="1:18" x14ac:dyDescent="0.2">
      <c r="A309" s="23">
        <v>45189</v>
      </c>
      <c r="B309" s="23">
        <v>44958</v>
      </c>
      <c r="C309" s="25" t="s">
        <v>399</v>
      </c>
      <c r="D309" s="20">
        <v>231</v>
      </c>
      <c r="E309" s="27">
        <v>0</v>
      </c>
      <c r="F309" s="22" t="s">
        <v>75</v>
      </c>
      <c r="G309" s="29">
        <v>588</v>
      </c>
      <c r="H309" s="39">
        <v>44958</v>
      </c>
      <c r="I309" s="46">
        <f t="shared" si="16"/>
        <v>231</v>
      </c>
      <c r="J309" s="4" t="s">
        <v>14</v>
      </c>
      <c r="K309" s="4" t="s">
        <v>198</v>
      </c>
      <c r="L309" s="4" t="s">
        <v>224</v>
      </c>
      <c r="M309" s="7">
        <v>588</v>
      </c>
      <c r="N309" s="10">
        <v>0</v>
      </c>
      <c r="O309" s="10">
        <v>0</v>
      </c>
      <c r="P309">
        <f t="shared" si="17"/>
        <v>1</v>
      </c>
      <c r="Q309" s="36">
        <f t="shared" si="18"/>
        <v>0</v>
      </c>
      <c r="R309">
        <f t="shared" si="19"/>
        <v>2023</v>
      </c>
    </row>
    <row r="310" spans="1:18" x14ac:dyDescent="0.2">
      <c r="A310" s="23">
        <v>45189</v>
      </c>
      <c r="B310" s="23">
        <v>44648</v>
      </c>
      <c r="C310" s="25" t="s">
        <v>399</v>
      </c>
      <c r="D310" s="20">
        <v>541</v>
      </c>
      <c r="E310" s="27">
        <v>0</v>
      </c>
      <c r="F310" s="22" t="s">
        <v>76</v>
      </c>
      <c r="G310" s="29">
        <v>420</v>
      </c>
      <c r="H310" s="39">
        <v>44648</v>
      </c>
      <c r="I310" s="46">
        <f t="shared" si="16"/>
        <v>541</v>
      </c>
      <c r="J310" s="4" t="s">
        <v>14</v>
      </c>
      <c r="K310" s="4" t="s">
        <v>198</v>
      </c>
      <c r="L310" s="4" t="s">
        <v>224</v>
      </c>
      <c r="M310" s="7">
        <v>420</v>
      </c>
      <c r="N310" s="10">
        <v>0</v>
      </c>
      <c r="O310" s="10">
        <v>0</v>
      </c>
      <c r="P310">
        <f t="shared" si="17"/>
        <v>1</v>
      </c>
      <c r="Q310" s="36">
        <f t="shared" si="18"/>
        <v>0</v>
      </c>
      <c r="R310">
        <f t="shared" si="19"/>
        <v>2022</v>
      </c>
    </row>
    <row r="311" spans="1:18" x14ac:dyDescent="0.2">
      <c r="A311" s="23">
        <v>45189</v>
      </c>
      <c r="B311" s="23">
        <v>44648</v>
      </c>
      <c r="C311" s="25" t="s">
        <v>399</v>
      </c>
      <c r="D311" s="20">
        <v>541</v>
      </c>
      <c r="E311" s="27">
        <v>0</v>
      </c>
      <c r="F311" s="22" t="s">
        <v>77</v>
      </c>
      <c r="G311" s="29">
        <v>2940</v>
      </c>
      <c r="H311" s="39">
        <v>44958</v>
      </c>
      <c r="I311" s="46">
        <f t="shared" si="16"/>
        <v>231</v>
      </c>
      <c r="J311" s="4" t="s">
        <v>14</v>
      </c>
      <c r="K311" s="4" t="s">
        <v>198</v>
      </c>
      <c r="L311" s="4" t="s">
        <v>224</v>
      </c>
      <c r="M311" s="7">
        <v>2940</v>
      </c>
      <c r="N311" s="10">
        <v>0</v>
      </c>
      <c r="O311" s="10">
        <v>0</v>
      </c>
      <c r="P311">
        <f t="shared" si="17"/>
        <v>1</v>
      </c>
      <c r="Q311" s="36">
        <f t="shared" si="18"/>
        <v>0</v>
      </c>
      <c r="R311">
        <f t="shared" si="19"/>
        <v>2023</v>
      </c>
    </row>
    <row r="312" spans="1:18" x14ac:dyDescent="0.2">
      <c r="A312" s="23">
        <v>45189</v>
      </c>
      <c r="B312" s="23">
        <v>44958</v>
      </c>
      <c r="C312" s="25" t="s">
        <v>399</v>
      </c>
      <c r="D312" s="20">
        <v>231</v>
      </c>
      <c r="E312" s="27">
        <v>0</v>
      </c>
      <c r="F312" s="22" t="s">
        <v>77</v>
      </c>
      <c r="G312" s="29">
        <v>147</v>
      </c>
      <c r="H312" s="39">
        <v>44958</v>
      </c>
      <c r="I312" s="46">
        <f t="shared" si="16"/>
        <v>231</v>
      </c>
      <c r="J312" s="4" t="s">
        <v>14</v>
      </c>
      <c r="K312" s="4" t="s">
        <v>198</v>
      </c>
      <c r="L312" s="4" t="s">
        <v>224</v>
      </c>
      <c r="M312" s="7">
        <v>147</v>
      </c>
      <c r="N312" s="10">
        <v>0</v>
      </c>
      <c r="O312" s="10">
        <v>0</v>
      </c>
      <c r="P312">
        <f t="shared" si="17"/>
        <v>1</v>
      </c>
      <c r="Q312" s="36">
        <f t="shared" si="18"/>
        <v>0</v>
      </c>
      <c r="R312">
        <f t="shared" si="19"/>
        <v>2023</v>
      </c>
    </row>
    <row r="313" spans="1:18" x14ac:dyDescent="0.2">
      <c r="A313" s="23">
        <v>45189</v>
      </c>
      <c r="B313" s="23">
        <v>44958</v>
      </c>
      <c r="C313" s="25" t="s">
        <v>399</v>
      </c>
      <c r="D313" s="20">
        <v>231</v>
      </c>
      <c r="E313" s="27">
        <v>0</v>
      </c>
      <c r="F313" s="22" t="s">
        <v>77</v>
      </c>
      <c r="G313" s="29">
        <v>2352</v>
      </c>
      <c r="H313" s="39">
        <v>44958</v>
      </c>
      <c r="I313" s="46">
        <f t="shared" si="16"/>
        <v>231</v>
      </c>
      <c r="J313" s="4" t="s">
        <v>14</v>
      </c>
      <c r="K313" s="4" t="s">
        <v>198</v>
      </c>
      <c r="L313" s="4" t="s">
        <v>224</v>
      </c>
      <c r="M313" s="7">
        <v>2352</v>
      </c>
      <c r="N313" s="10">
        <v>0</v>
      </c>
      <c r="O313" s="10">
        <v>0</v>
      </c>
      <c r="P313">
        <f t="shared" si="17"/>
        <v>1</v>
      </c>
      <c r="Q313" s="36">
        <f t="shared" si="18"/>
        <v>0</v>
      </c>
      <c r="R313">
        <f t="shared" si="19"/>
        <v>2023</v>
      </c>
    </row>
    <row r="314" spans="1:18" x14ac:dyDescent="0.2">
      <c r="A314" s="23">
        <v>45189</v>
      </c>
      <c r="B314" s="23">
        <v>44958</v>
      </c>
      <c r="C314" s="25" t="s">
        <v>399</v>
      </c>
      <c r="D314" s="20">
        <v>231</v>
      </c>
      <c r="E314" s="27">
        <v>0</v>
      </c>
      <c r="F314" s="22" t="s">
        <v>78</v>
      </c>
      <c r="G314" s="29">
        <v>1008</v>
      </c>
      <c r="H314" s="39">
        <v>44958</v>
      </c>
      <c r="I314" s="46">
        <f t="shared" si="16"/>
        <v>231</v>
      </c>
      <c r="J314" s="4" t="s">
        <v>14</v>
      </c>
      <c r="K314" s="4" t="s">
        <v>198</v>
      </c>
      <c r="L314" s="4" t="s">
        <v>224</v>
      </c>
      <c r="M314" s="7">
        <v>1008</v>
      </c>
      <c r="N314" s="10">
        <v>0</v>
      </c>
      <c r="O314" s="10">
        <v>0</v>
      </c>
      <c r="P314">
        <f t="shared" si="17"/>
        <v>1</v>
      </c>
      <c r="Q314" s="36">
        <f t="shared" si="18"/>
        <v>0</v>
      </c>
      <c r="R314">
        <f t="shared" si="19"/>
        <v>2023</v>
      </c>
    </row>
    <row r="315" spans="1:18" x14ac:dyDescent="0.2">
      <c r="A315" s="23">
        <v>45189</v>
      </c>
      <c r="B315" s="23">
        <v>44753</v>
      </c>
      <c r="C315" s="25" t="s">
        <v>399</v>
      </c>
      <c r="D315" s="20">
        <v>436</v>
      </c>
      <c r="E315" s="27">
        <v>0</v>
      </c>
      <c r="F315" s="22" t="s">
        <v>79</v>
      </c>
      <c r="G315" s="29">
        <v>1500</v>
      </c>
      <c r="H315" s="39">
        <v>44648</v>
      </c>
      <c r="I315" s="46">
        <f t="shared" si="16"/>
        <v>541</v>
      </c>
      <c r="J315" s="4" t="s">
        <v>14</v>
      </c>
      <c r="K315" s="4" t="s">
        <v>198</v>
      </c>
      <c r="L315" s="4" t="s">
        <v>224</v>
      </c>
      <c r="M315" s="7">
        <v>1500</v>
      </c>
      <c r="N315" s="10">
        <v>0</v>
      </c>
      <c r="O315" s="10">
        <v>0</v>
      </c>
      <c r="P315">
        <f t="shared" si="17"/>
        <v>1</v>
      </c>
      <c r="Q315" s="36">
        <f t="shared" si="18"/>
        <v>0</v>
      </c>
      <c r="R315">
        <f t="shared" si="19"/>
        <v>2022</v>
      </c>
    </row>
    <row r="316" spans="1:18" x14ac:dyDescent="0.2">
      <c r="A316" s="23">
        <v>45189</v>
      </c>
      <c r="B316" s="23">
        <v>44958</v>
      </c>
      <c r="C316" s="25" t="s">
        <v>399</v>
      </c>
      <c r="D316" s="20">
        <v>231</v>
      </c>
      <c r="E316" s="27">
        <v>0</v>
      </c>
      <c r="F316" s="22" t="s">
        <v>80</v>
      </c>
      <c r="G316" s="29">
        <v>1500</v>
      </c>
      <c r="H316" s="39">
        <v>44958</v>
      </c>
      <c r="I316" s="46">
        <f t="shared" si="16"/>
        <v>231</v>
      </c>
      <c r="J316" s="4" t="s">
        <v>14</v>
      </c>
      <c r="K316" s="4" t="s">
        <v>198</v>
      </c>
      <c r="L316" s="4" t="s">
        <v>224</v>
      </c>
      <c r="M316" s="7">
        <v>1500</v>
      </c>
      <c r="N316" s="10">
        <v>0</v>
      </c>
      <c r="O316" s="10">
        <v>0</v>
      </c>
      <c r="P316">
        <f t="shared" si="17"/>
        <v>1</v>
      </c>
      <c r="Q316" s="36">
        <f t="shared" si="18"/>
        <v>0</v>
      </c>
      <c r="R316">
        <f t="shared" si="19"/>
        <v>2023</v>
      </c>
    </row>
    <row r="317" spans="1:18" x14ac:dyDescent="0.2">
      <c r="A317" s="23">
        <v>45189</v>
      </c>
      <c r="B317" s="23">
        <v>44946</v>
      </c>
      <c r="C317" s="25" t="s">
        <v>399</v>
      </c>
      <c r="D317" s="20">
        <v>243</v>
      </c>
      <c r="E317" s="27">
        <v>0</v>
      </c>
      <c r="F317" s="22" t="s">
        <v>81</v>
      </c>
      <c r="G317" s="29">
        <v>1500</v>
      </c>
      <c r="H317" s="39">
        <v>44958</v>
      </c>
      <c r="I317" s="46">
        <f t="shared" si="16"/>
        <v>231</v>
      </c>
      <c r="J317" s="4" t="s">
        <v>14</v>
      </c>
      <c r="K317" s="4" t="s">
        <v>198</v>
      </c>
      <c r="L317" s="4" t="s">
        <v>224</v>
      </c>
      <c r="M317" s="7">
        <v>1500</v>
      </c>
      <c r="N317" s="10">
        <v>0</v>
      </c>
      <c r="O317" s="10">
        <v>0</v>
      </c>
      <c r="P317">
        <f t="shared" si="17"/>
        <v>1</v>
      </c>
      <c r="Q317" s="36">
        <f t="shared" si="18"/>
        <v>0</v>
      </c>
      <c r="R317">
        <f t="shared" si="19"/>
        <v>2023</v>
      </c>
    </row>
    <row r="318" spans="1:18" x14ac:dyDescent="0.2">
      <c r="A318" s="23">
        <v>45189</v>
      </c>
      <c r="B318" s="23">
        <v>44958</v>
      </c>
      <c r="C318" s="25" t="s">
        <v>399</v>
      </c>
      <c r="D318" s="20">
        <v>231</v>
      </c>
      <c r="E318" s="27">
        <v>0</v>
      </c>
      <c r="F318" s="22" t="s">
        <v>82</v>
      </c>
      <c r="G318" s="29">
        <v>1512</v>
      </c>
      <c r="H318" s="39">
        <v>44958</v>
      </c>
      <c r="I318" s="46">
        <f t="shared" si="16"/>
        <v>231</v>
      </c>
      <c r="J318" s="4" t="s">
        <v>14</v>
      </c>
      <c r="K318" s="4" t="s">
        <v>198</v>
      </c>
      <c r="L318" s="4" t="s">
        <v>224</v>
      </c>
      <c r="M318" s="7">
        <v>1512</v>
      </c>
      <c r="N318" s="10">
        <v>0</v>
      </c>
      <c r="O318" s="10">
        <v>0</v>
      </c>
      <c r="P318">
        <f t="shared" si="17"/>
        <v>1</v>
      </c>
      <c r="Q318" s="36">
        <f t="shared" si="18"/>
        <v>0</v>
      </c>
      <c r="R318">
        <f t="shared" si="19"/>
        <v>2023</v>
      </c>
    </row>
    <row r="319" spans="1:18" x14ac:dyDescent="0.2">
      <c r="A319" s="23">
        <v>45189</v>
      </c>
      <c r="B319" s="23">
        <v>45034</v>
      </c>
      <c r="C319" s="25" t="s">
        <v>399</v>
      </c>
      <c r="D319" s="20">
        <v>155</v>
      </c>
      <c r="E319" s="27">
        <v>0</v>
      </c>
      <c r="F319" s="22" t="s">
        <v>83</v>
      </c>
      <c r="G319" s="29">
        <v>300</v>
      </c>
      <c r="H319" s="39">
        <v>45034</v>
      </c>
      <c r="I319" s="46">
        <f t="shared" si="16"/>
        <v>155</v>
      </c>
      <c r="J319" s="4" t="s">
        <v>14</v>
      </c>
      <c r="K319" s="4" t="s">
        <v>198</v>
      </c>
      <c r="L319" s="4" t="s">
        <v>224</v>
      </c>
      <c r="M319" s="7">
        <v>300</v>
      </c>
      <c r="N319" s="10">
        <v>0</v>
      </c>
      <c r="O319" s="10">
        <v>0</v>
      </c>
      <c r="P319">
        <f t="shared" si="17"/>
        <v>1</v>
      </c>
      <c r="Q319" s="36">
        <f t="shared" si="18"/>
        <v>0</v>
      </c>
      <c r="R319">
        <f t="shared" si="19"/>
        <v>2023</v>
      </c>
    </row>
    <row r="320" spans="1:18" x14ac:dyDescent="0.2">
      <c r="A320" s="23">
        <v>45189</v>
      </c>
      <c r="B320" s="23">
        <v>45034</v>
      </c>
      <c r="C320" s="25" t="s">
        <v>399</v>
      </c>
      <c r="D320" s="20">
        <v>155</v>
      </c>
      <c r="E320" s="27">
        <v>0</v>
      </c>
      <c r="F320" s="22" t="s">
        <v>83</v>
      </c>
      <c r="G320" s="29">
        <v>570</v>
      </c>
      <c r="H320" s="39">
        <v>45034</v>
      </c>
      <c r="I320" s="46">
        <f t="shared" si="16"/>
        <v>155</v>
      </c>
      <c r="J320" s="4" t="s">
        <v>14</v>
      </c>
      <c r="K320" s="4" t="s">
        <v>198</v>
      </c>
      <c r="L320" s="4" t="s">
        <v>224</v>
      </c>
      <c r="M320" s="7">
        <v>570</v>
      </c>
      <c r="N320" s="10">
        <v>0</v>
      </c>
      <c r="O320" s="10">
        <v>0</v>
      </c>
      <c r="P320">
        <f t="shared" si="17"/>
        <v>1</v>
      </c>
      <c r="Q320" s="36">
        <f t="shared" si="18"/>
        <v>0</v>
      </c>
      <c r="R320">
        <f t="shared" si="19"/>
        <v>2023</v>
      </c>
    </row>
    <row r="321" spans="1:18" x14ac:dyDescent="0.2">
      <c r="A321" s="23">
        <v>45189</v>
      </c>
      <c r="B321" s="23">
        <v>44958</v>
      </c>
      <c r="C321" s="25" t="s">
        <v>399</v>
      </c>
      <c r="D321" s="20">
        <v>231</v>
      </c>
      <c r="E321" s="27">
        <v>0</v>
      </c>
      <c r="F321" s="22" t="s">
        <v>84</v>
      </c>
      <c r="G321" s="29">
        <v>588</v>
      </c>
      <c r="H321" s="39">
        <v>44958</v>
      </c>
      <c r="I321" s="46">
        <f t="shared" si="16"/>
        <v>231</v>
      </c>
      <c r="J321" s="4" t="s">
        <v>14</v>
      </c>
      <c r="K321" s="4" t="s">
        <v>198</v>
      </c>
      <c r="L321" s="4" t="s">
        <v>224</v>
      </c>
      <c r="M321" s="7">
        <v>588</v>
      </c>
      <c r="N321" s="10">
        <v>0</v>
      </c>
      <c r="O321" s="10">
        <v>0</v>
      </c>
      <c r="P321">
        <f t="shared" si="17"/>
        <v>1</v>
      </c>
      <c r="Q321" s="36">
        <f t="shared" si="18"/>
        <v>0</v>
      </c>
      <c r="R321">
        <f t="shared" si="19"/>
        <v>2023</v>
      </c>
    </row>
    <row r="322" spans="1:18" x14ac:dyDescent="0.2">
      <c r="A322" s="23">
        <v>45189</v>
      </c>
      <c r="B322" s="23">
        <v>45028</v>
      </c>
      <c r="C322" s="25" t="s">
        <v>399</v>
      </c>
      <c r="D322" s="20">
        <v>161</v>
      </c>
      <c r="E322" s="27">
        <v>0</v>
      </c>
      <c r="F322" s="22" t="s">
        <v>85</v>
      </c>
      <c r="G322" s="29">
        <v>855</v>
      </c>
      <c r="H322" s="39">
        <v>44960</v>
      </c>
      <c r="I322" s="46">
        <f t="shared" si="16"/>
        <v>229</v>
      </c>
      <c r="J322" s="4" t="s">
        <v>14</v>
      </c>
      <c r="K322" s="4" t="s">
        <v>198</v>
      </c>
      <c r="L322" s="4" t="s">
        <v>224</v>
      </c>
      <c r="M322" s="7">
        <v>855</v>
      </c>
      <c r="N322" s="10">
        <v>0</v>
      </c>
      <c r="O322" s="10">
        <v>0</v>
      </c>
      <c r="P322">
        <f t="shared" si="17"/>
        <v>1</v>
      </c>
      <c r="Q322" s="36">
        <f t="shared" si="18"/>
        <v>0</v>
      </c>
      <c r="R322">
        <f t="shared" si="19"/>
        <v>2023</v>
      </c>
    </row>
    <row r="323" spans="1:18" x14ac:dyDescent="0.2">
      <c r="A323" s="23">
        <v>45315</v>
      </c>
      <c r="B323" s="23">
        <v>44753</v>
      </c>
      <c r="C323" s="25" t="s">
        <v>399</v>
      </c>
      <c r="D323" s="20">
        <v>562</v>
      </c>
      <c r="E323" s="27">
        <v>0</v>
      </c>
      <c r="F323" s="22" t="s">
        <v>86</v>
      </c>
      <c r="G323" s="29">
        <v>96</v>
      </c>
      <c r="H323" s="39">
        <v>44753</v>
      </c>
      <c r="I323" s="46">
        <f t="shared" ref="I323:I386" si="20">IFERROR(A323-H323,"")*1</f>
        <v>562</v>
      </c>
      <c r="J323" s="4" t="s">
        <v>14</v>
      </c>
      <c r="K323" s="4" t="s">
        <v>198</v>
      </c>
      <c r="L323" s="4" t="s">
        <v>224</v>
      </c>
      <c r="M323" s="7">
        <v>96</v>
      </c>
      <c r="N323" s="10">
        <v>0</v>
      </c>
      <c r="O323" s="10">
        <v>0</v>
      </c>
      <c r="P323">
        <f t="shared" ref="P323:P386" si="21">IF(M323=G323,1,0)</f>
        <v>1</v>
      </c>
      <c r="Q323" s="36">
        <f t="shared" ref="Q323:Q386" si="22">N323*G323</f>
        <v>0</v>
      </c>
      <c r="R323">
        <f t="shared" ref="R323:R386" si="23">YEAR(H323)</f>
        <v>2022</v>
      </c>
    </row>
    <row r="324" spans="1:18" x14ac:dyDescent="0.2">
      <c r="A324" s="23">
        <v>45232</v>
      </c>
      <c r="B324" s="23">
        <v>44648</v>
      </c>
      <c r="C324" s="25" t="s">
        <v>399</v>
      </c>
      <c r="D324" s="20">
        <v>584</v>
      </c>
      <c r="E324" s="27">
        <v>0</v>
      </c>
      <c r="F324" s="22" t="s">
        <v>87</v>
      </c>
      <c r="G324" s="29">
        <v>383</v>
      </c>
      <c r="H324" s="39">
        <v>44648</v>
      </c>
      <c r="I324" s="46">
        <f t="shared" si="20"/>
        <v>584</v>
      </c>
      <c r="J324" s="4" t="s">
        <v>14</v>
      </c>
      <c r="K324" s="4" t="s">
        <v>198</v>
      </c>
      <c r="L324" s="4" t="s">
        <v>224</v>
      </c>
      <c r="M324" s="7">
        <v>383</v>
      </c>
      <c r="N324" s="10">
        <v>0</v>
      </c>
      <c r="O324" s="10">
        <v>0</v>
      </c>
      <c r="P324">
        <f t="shared" si="21"/>
        <v>1</v>
      </c>
      <c r="Q324" s="36">
        <f t="shared" si="22"/>
        <v>0</v>
      </c>
      <c r="R324">
        <f t="shared" si="23"/>
        <v>2022</v>
      </c>
    </row>
    <row r="325" spans="1:18" x14ac:dyDescent="0.2">
      <c r="A325" s="23">
        <v>45310</v>
      </c>
      <c r="B325" s="23">
        <v>44854</v>
      </c>
      <c r="C325" s="25" t="s">
        <v>399</v>
      </c>
      <c r="D325" s="20">
        <v>456</v>
      </c>
      <c r="E325" s="27">
        <v>52799.89</v>
      </c>
      <c r="F325" s="22" t="s">
        <v>88</v>
      </c>
      <c r="G325" s="29">
        <v>13</v>
      </c>
      <c r="H325" s="39">
        <v>44854</v>
      </c>
      <c r="I325" s="46">
        <f t="shared" si="20"/>
        <v>456</v>
      </c>
      <c r="J325" s="4" t="s">
        <v>15</v>
      </c>
      <c r="K325" s="4" t="s">
        <v>199</v>
      </c>
      <c r="L325" s="4" t="s">
        <v>225</v>
      </c>
      <c r="M325" s="7">
        <v>13</v>
      </c>
      <c r="N325" s="10">
        <v>4061.53</v>
      </c>
      <c r="O325" s="10">
        <v>52799.89</v>
      </c>
      <c r="P325">
        <f t="shared" si="21"/>
        <v>1</v>
      </c>
      <c r="Q325" s="36">
        <f t="shared" si="22"/>
        <v>52799.89</v>
      </c>
      <c r="R325">
        <f t="shared" si="23"/>
        <v>2022</v>
      </c>
    </row>
    <row r="326" spans="1:18" x14ac:dyDescent="0.2">
      <c r="A326" s="23">
        <v>45345</v>
      </c>
      <c r="B326" s="23">
        <v>45233</v>
      </c>
      <c r="C326" s="25" t="s">
        <v>399</v>
      </c>
      <c r="D326" s="20">
        <v>112</v>
      </c>
      <c r="E326" s="27">
        <v>52799.89</v>
      </c>
      <c r="F326" s="22" t="s">
        <v>88</v>
      </c>
      <c r="G326" s="29">
        <v>13</v>
      </c>
      <c r="H326" s="39">
        <v>44854</v>
      </c>
      <c r="I326" s="46">
        <f t="shared" si="20"/>
        <v>491</v>
      </c>
      <c r="J326" s="4" t="s">
        <v>15</v>
      </c>
      <c r="K326" s="4" t="s">
        <v>199</v>
      </c>
      <c r="L326" s="4" t="s">
        <v>225</v>
      </c>
      <c r="M326" s="7">
        <v>13</v>
      </c>
      <c r="N326" s="10">
        <v>4061.53</v>
      </c>
      <c r="O326" s="10">
        <v>52799.89</v>
      </c>
      <c r="P326">
        <f t="shared" si="21"/>
        <v>1</v>
      </c>
      <c r="Q326" s="36">
        <f t="shared" si="22"/>
        <v>52799.89</v>
      </c>
      <c r="R326">
        <f t="shared" si="23"/>
        <v>2022</v>
      </c>
    </row>
    <row r="327" spans="1:18" x14ac:dyDescent="0.2">
      <c r="A327" s="23">
        <v>45345</v>
      </c>
      <c r="B327" s="23">
        <v>45233</v>
      </c>
      <c r="C327" s="25" t="s">
        <v>399</v>
      </c>
      <c r="D327" s="20">
        <v>112</v>
      </c>
      <c r="E327" s="27">
        <v>52799.89</v>
      </c>
      <c r="F327" s="22" t="s">
        <v>88</v>
      </c>
      <c r="G327" s="29">
        <v>13</v>
      </c>
      <c r="H327" s="39">
        <v>44854</v>
      </c>
      <c r="I327" s="46">
        <f t="shared" si="20"/>
        <v>491</v>
      </c>
      <c r="J327" s="4" t="s">
        <v>15</v>
      </c>
      <c r="K327" s="4" t="s">
        <v>199</v>
      </c>
      <c r="L327" s="4" t="s">
        <v>225</v>
      </c>
      <c r="M327" s="7">
        <v>13</v>
      </c>
      <c r="N327" s="10">
        <v>4061.53</v>
      </c>
      <c r="O327" s="10">
        <v>52799.89</v>
      </c>
      <c r="P327">
        <f t="shared" si="21"/>
        <v>1</v>
      </c>
      <c r="Q327" s="36">
        <f t="shared" si="22"/>
        <v>52799.89</v>
      </c>
      <c r="R327">
        <f t="shared" si="23"/>
        <v>2022</v>
      </c>
    </row>
    <row r="328" spans="1:18" x14ac:dyDescent="0.2">
      <c r="A328" s="23">
        <v>45345</v>
      </c>
      <c r="B328" s="23">
        <v>45233</v>
      </c>
      <c r="C328" s="25" t="s">
        <v>399</v>
      </c>
      <c r="D328" s="20">
        <v>112</v>
      </c>
      <c r="E328" s="27">
        <v>52799.89</v>
      </c>
      <c r="F328" s="22" t="s">
        <v>88</v>
      </c>
      <c r="G328" s="29">
        <v>13</v>
      </c>
      <c r="H328" s="39">
        <v>44854</v>
      </c>
      <c r="I328" s="46">
        <f t="shared" si="20"/>
        <v>491</v>
      </c>
      <c r="J328" s="4" t="s">
        <v>15</v>
      </c>
      <c r="K328" s="4" t="s">
        <v>199</v>
      </c>
      <c r="L328" s="4" t="s">
        <v>225</v>
      </c>
      <c r="M328" s="7">
        <v>13</v>
      </c>
      <c r="N328" s="10">
        <v>4061.53</v>
      </c>
      <c r="O328" s="10">
        <v>52799.89</v>
      </c>
      <c r="P328">
        <f t="shared" si="21"/>
        <v>1</v>
      </c>
      <c r="Q328" s="36">
        <f t="shared" si="22"/>
        <v>52799.89</v>
      </c>
      <c r="R328">
        <f t="shared" si="23"/>
        <v>2022</v>
      </c>
    </row>
    <row r="329" spans="1:18" x14ac:dyDescent="0.2">
      <c r="A329" s="23">
        <v>45345</v>
      </c>
      <c r="B329" s="23">
        <v>45233</v>
      </c>
      <c r="C329" s="25" t="s">
        <v>399</v>
      </c>
      <c r="D329" s="20">
        <v>112</v>
      </c>
      <c r="E329" s="27">
        <v>52799.89</v>
      </c>
      <c r="F329" s="22" t="s">
        <v>88</v>
      </c>
      <c r="G329" s="29">
        <v>13</v>
      </c>
      <c r="H329" s="39">
        <v>44854</v>
      </c>
      <c r="I329" s="46">
        <f t="shared" si="20"/>
        <v>491</v>
      </c>
      <c r="J329" s="4" t="s">
        <v>15</v>
      </c>
      <c r="K329" s="4" t="s">
        <v>199</v>
      </c>
      <c r="L329" s="4" t="s">
        <v>225</v>
      </c>
      <c r="M329" s="7">
        <v>13</v>
      </c>
      <c r="N329" s="10">
        <v>4061.53</v>
      </c>
      <c r="O329" s="10">
        <v>52799.89</v>
      </c>
      <c r="P329">
        <f t="shared" si="21"/>
        <v>1</v>
      </c>
      <c r="Q329" s="36">
        <f t="shared" si="22"/>
        <v>52799.89</v>
      </c>
      <c r="R329">
        <f t="shared" si="23"/>
        <v>2022</v>
      </c>
    </row>
    <row r="330" spans="1:18" x14ac:dyDescent="0.2">
      <c r="A330" s="23">
        <v>45345</v>
      </c>
      <c r="B330" s="23">
        <v>45233</v>
      </c>
      <c r="C330" s="25" t="s">
        <v>399</v>
      </c>
      <c r="D330" s="20">
        <v>112</v>
      </c>
      <c r="E330" s="27">
        <v>52799.89</v>
      </c>
      <c r="F330" s="22" t="s">
        <v>88</v>
      </c>
      <c r="G330" s="29">
        <v>13</v>
      </c>
      <c r="H330" s="39">
        <v>44854</v>
      </c>
      <c r="I330" s="46">
        <f t="shared" si="20"/>
        <v>491</v>
      </c>
      <c r="J330" s="4" t="s">
        <v>15</v>
      </c>
      <c r="K330" s="4" t="s">
        <v>199</v>
      </c>
      <c r="L330" s="4" t="s">
        <v>225</v>
      </c>
      <c r="M330" s="7">
        <v>13</v>
      </c>
      <c r="N330" s="10">
        <v>4061.53</v>
      </c>
      <c r="O330" s="10">
        <v>52799.89</v>
      </c>
      <c r="P330">
        <f t="shared" si="21"/>
        <v>1</v>
      </c>
      <c r="Q330" s="36">
        <f t="shared" si="22"/>
        <v>52799.89</v>
      </c>
      <c r="R330">
        <f t="shared" si="23"/>
        <v>2022</v>
      </c>
    </row>
    <row r="331" spans="1:18" x14ac:dyDescent="0.2">
      <c r="A331" s="23">
        <v>45345</v>
      </c>
      <c r="B331" s="23">
        <v>45233</v>
      </c>
      <c r="C331" s="25" t="s">
        <v>399</v>
      </c>
      <c r="D331" s="20">
        <v>112</v>
      </c>
      <c r="E331" s="27">
        <v>52799.89</v>
      </c>
      <c r="F331" s="22" t="s">
        <v>88</v>
      </c>
      <c r="G331" s="29">
        <v>13</v>
      </c>
      <c r="H331" s="39">
        <v>44854</v>
      </c>
      <c r="I331" s="46">
        <f t="shared" si="20"/>
        <v>491</v>
      </c>
      <c r="J331" s="4" t="s">
        <v>15</v>
      </c>
      <c r="K331" s="4" t="s">
        <v>199</v>
      </c>
      <c r="L331" s="4" t="s">
        <v>225</v>
      </c>
      <c r="M331" s="7">
        <v>13</v>
      </c>
      <c r="N331" s="10">
        <v>4061.53</v>
      </c>
      <c r="O331" s="10">
        <v>52799.89</v>
      </c>
      <c r="P331">
        <f t="shared" si="21"/>
        <v>1</v>
      </c>
      <c r="Q331" s="36">
        <f t="shared" si="22"/>
        <v>52799.89</v>
      </c>
      <c r="R331">
        <f t="shared" si="23"/>
        <v>2022</v>
      </c>
    </row>
    <row r="332" spans="1:18" x14ac:dyDescent="0.2">
      <c r="A332" s="23">
        <v>45345</v>
      </c>
      <c r="B332" s="23">
        <v>45233</v>
      </c>
      <c r="C332" s="25" t="s">
        <v>399</v>
      </c>
      <c r="D332" s="20">
        <v>112</v>
      </c>
      <c r="E332" s="27">
        <v>52799.89</v>
      </c>
      <c r="F332" s="22" t="s">
        <v>88</v>
      </c>
      <c r="G332" s="29">
        <v>13</v>
      </c>
      <c r="H332" s="39">
        <v>44854</v>
      </c>
      <c r="I332" s="46">
        <f t="shared" si="20"/>
        <v>491</v>
      </c>
      <c r="J332" s="4" t="s">
        <v>15</v>
      </c>
      <c r="K332" s="4" t="s">
        <v>199</v>
      </c>
      <c r="L332" s="4" t="s">
        <v>225</v>
      </c>
      <c r="M332" s="7">
        <v>13</v>
      </c>
      <c r="N332" s="10">
        <v>4061.53</v>
      </c>
      <c r="O332" s="10">
        <v>52799.89</v>
      </c>
      <c r="P332">
        <f t="shared" si="21"/>
        <v>1</v>
      </c>
      <c r="Q332" s="36">
        <f t="shared" si="22"/>
        <v>52799.89</v>
      </c>
      <c r="R332">
        <f t="shared" si="23"/>
        <v>2022</v>
      </c>
    </row>
    <row r="333" spans="1:18" x14ac:dyDescent="0.2">
      <c r="A333" s="23">
        <v>45345</v>
      </c>
      <c r="B333" s="23">
        <v>45233</v>
      </c>
      <c r="C333" s="25" t="s">
        <v>399</v>
      </c>
      <c r="D333" s="20">
        <v>112</v>
      </c>
      <c r="E333" s="27">
        <v>52799.89</v>
      </c>
      <c r="F333" s="22" t="s">
        <v>88</v>
      </c>
      <c r="G333" s="29">
        <v>13</v>
      </c>
      <c r="H333" s="39">
        <v>44854</v>
      </c>
      <c r="I333" s="46">
        <f t="shared" si="20"/>
        <v>491</v>
      </c>
      <c r="J333" s="4" t="s">
        <v>15</v>
      </c>
      <c r="K333" s="4" t="s">
        <v>199</v>
      </c>
      <c r="L333" s="4" t="s">
        <v>225</v>
      </c>
      <c r="M333" s="7">
        <v>13</v>
      </c>
      <c r="N333" s="10">
        <v>4061.53</v>
      </c>
      <c r="O333" s="10">
        <v>52799.89</v>
      </c>
      <c r="P333">
        <f t="shared" si="21"/>
        <v>1</v>
      </c>
      <c r="Q333" s="36">
        <f t="shared" si="22"/>
        <v>52799.89</v>
      </c>
      <c r="R333">
        <f t="shared" si="23"/>
        <v>2022</v>
      </c>
    </row>
    <row r="334" spans="1:18" x14ac:dyDescent="0.2">
      <c r="A334" s="23">
        <v>45345</v>
      </c>
      <c r="B334" s="23">
        <v>45233</v>
      </c>
      <c r="C334" s="25" t="s">
        <v>399</v>
      </c>
      <c r="D334" s="20">
        <v>112</v>
      </c>
      <c r="E334" s="27">
        <v>52799.89</v>
      </c>
      <c r="F334" s="22" t="s">
        <v>88</v>
      </c>
      <c r="G334" s="29">
        <v>13</v>
      </c>
      <c r="H334" s="39">
        <v>44854</v>
      </c>
      <c r="I334" s="46">
        <f t="shared" si="20"/>
        <v>491</v>
      </c>
      <c r="J334" s="4" t="s">
        <v>15</v>
      </c>
      <c r="K334" s="4" t="s">
        <v>200</v>
      </c>
      <c r="L334" s="4" t="s">
        <v>225</v>
      </c>
      <c r="M334" s="7">
        <v>13</v>
      </c>
      <c r="N334" s="10">
        <v>4061.53</v>
      </c>
      <c r="O334" s="10">
        <v>52799.89</v>
      </c>
      <c r="P334">
        <f t="shared" si="21"/>
        <v>1</v>
      </c>
      <c r="Q334" s="36">
        <f t="shared" si="22"/>
        <v>52799.89</v>
      </c>
      <c r="R334">
        <f t="shared" si="23"/>
        <v>2022</v>
      </c>
    </row>
    <row r="335" spans="1:18" x14ac:dyDescent="0.2">
      <c r="A335" s="23">
        <v>45345</v>
      </c>
      <c r="B335" s="23">
        <v>45233</v>
      </c>
      <c r="C335" s="25" t="s">
        <v>399</v>
      </c>
      <c r="D335" s="20">
        <v>112</v>
      </c>
      <c r="E335" s="27">
        <v>52799.89</v>
      </c>
      <c r="F335" s="22" t="s">
        <v>88</v>
      </c>
      <c r="G335" s="29">
        <v>13</v>
      </c>
      <c r="H335" s="39">
        <v>44854</v>
      </c>
      <c r="I335" s="46">
        <f t="shared" si="20"/>
        <v>491</v>
      </c>
      <c r="J335" s="4" t="s">
        <v>15</v>
      </c>
      <c r="K335" s="4" t="s">
        <v>199</v>
      </c>
      <c r="L335" s="4" t="s">
        <v>225</v>
      </c>
      <c r="M335" s="7">
        <v>13</v>
      </c>
      <c r="N335" s="10">
        <v>4061.53</v>
      </c>
      <c r="O335" s="10">
        <v>52799.89</v>
      </c>
      <c r="P335">
        <f t="shared" si="21"/>
        <v>1</v>
      </c>
      <c r="Q335" s="36">
        <f t="shared" si="22"/>
        <v>52799.89</v>
      </c>
      <c r="R335">
        <f t="shared" si="23"/>
        <v>2022</v>
      </c>
    </row>
    <row r="336" spans="1:18" x14ac:dyDescent="0.2">
      <c r="A336" s="23">
        <v>45345</v>
      </c>
      <c r="B336" s="23">
        <v>45233</v>
      </c>
      <c r="C336" s="25" t="s">
        <v>399</v>
      </c>
      <c r="D336" s="20">
        <v>112</v>
      </c>
      <c r="E336" s="27">
        <v>52799.89</v>
      </c>
      <c r="F336" s="22" t="s">
        <v>88</v>
      </c>
      <c r="G336" s="29">
        <v>13</v>
      </c>
      <c r="H336" s="39">
        <v>44854</v>
      </c>
      <c r="I336" s="46">
        <f t="shared" si="20"/>
        <v>491</v>
      </c>
      <c r="J336" s="4" t="s">
        <v>15</v>
      </c>
      <c r="K336" s="4" t="s">
        <v>199</v>
      </c>
      <c r="L336" s="4" t="s">
        <v>225</v>
      </c>
      <c r="M336" s="7">
        <v>13</v>
      </c>
      <c r="N336" s="10">
        <v>4061.53</v>
      </c>
      <c r="O336" s="10">
        <v>52799.89</v>
      </c>
      <c r="P336">
        <f t="shared" si="21"/>
        <v>1</v>
      </c>
      <c r="Q336" s="36">
        <f t="shared" si="22"/>
        <v>52799.89</v>
      </c>
      <c r="R336">
        <f t="shared" si="23"/>
        <v>2022</v>
      </c>
    </row>
    <row r="337" spans="1:18" x14ac:dyDescent="0.2">
      <c r="A337" s="23">
        <v>45345</v>
      </c>
      <c r="B337" s="23">
        <v>45233</v>
      </c>
      <c r="C337" s="25" t="s">
        <v>399</v>
      </c>
      <c r="D337" s="20">
        <v>112</v>
      </c>
      <c r="E337" s="27">
        <v>52799.89</v>
      </c>
      <c r="F337" s="22" t="s">
        <v>88</v>
      </c>
      <c r="G337" s="29">
        <v>13</v>
      </c>
      <c r="H337" s="39">
        <v>44854</v>
      </c>
      <c r="I337" s="46">
        <f t="shared" si="20"/>
        <v>491</v>
      </c>
      <c r="J337" s="4" t="s">
        <v>15</v>
      </c>
      <c r="K337" s="4" t="s">
        <v>199</v>
      </c>
      <c r="L337" s="4" t="s">
        <v>225</v>
      </c>
      <c r="M337" s="7">
        <v>13</v>
      </c>
      <c r="N337" s="10">
        <v>4061.53</v>
      </c>
      <c r="O337" s="10">
        <v>52799.89</v>
      </c>
      <c r="P337">
        <f t="shared" si="21"/>
        <v>1</v>
      </c>
      <c r="Q337" s="36">
        <f t="shared" si="22"/>
        <v>52799.89</v>
      </c>
      <c r="R337">
        <f t="shared" si="23"/>
        <v>2022</v>
      </c>
    </row>
    <row r="338" spans="1:18" x14ac:dyDescent="0.2">
      <c r="A338" s="23">
        <v>45345</v>
      </c>
      <c r="B338" s="23">
        <v>45233</v>
      </c>
      <c r="C338" s="25" t="s">
        <v>399</v>
      </c>
      <c r="D338" s="20">
        <v>112</v>
      </c>
      <c r="E338" s="27">
        <v>52799.89</v>
      </c>
      <c r="F338" s="22" t="s">
        <v>88</v>
      </c>
      <c r="G338" s="29">
        <v>13</v>
      </c>
      <c r="H338" s="39">
        <v>44854</v>
      </c>
      <c r="I338" s="46">
        <f t="shared" si="20"/>
        <v>491</v>
      </c>
      <c r="J338" s="4" t="s">
        <v>15</v>
      </c>
      <c r="K338" s="4" t="s">
        <v>199</v>
      </c>
      <c r="L338" s="4" t="s">
        <v>225</v>
      </c>
      <c r="M338" s="7">
        <v>13</v>
      </c>
      <c r="N338" s="10">
        <v>4061.53</v>
      </c>
      <c r="O338" s="10">
        <v>52799.89</v>
      </c>
      <c r="P338">
        <f t="shared" si="21"/>
        <v>1</v>
      </c>
      <c r="Q338" s="36">
        <f t="shared" si="22"/>
        <v>52799.89</v>
      </c>
      <c r="R338">
        <f t="shared" si="23"/>
        <v>2022</v>
      </c>
    </row>
    <row r="339" spans="1:18" x14ac:dyDescent="0.2">
      <c r="A339" s="23">
        <v>45345</v>
      </c>
      <c r="B339" s="23">
        <v>45233</v>
      </c>
      <c r="C339" s="25" t="s">
        <v>399</v>
      </c>
      <c r="D339" s="20">
        <v>112</v>
      </c>
      <c r="E339" s="27">
        <v>52799.89</v>
      </c>
      <c r="F339" s="22" t="s">
        <v>88</v>
      </c>
      <c r="G339" s="29">
        <v>13</v>
      </c>
      <c r="H339" s="39">
        <v>44854</v>
      </c>
      <c r="I339" s="46">
        <f t="shared" si="20"/>
        <v>491</v>
      </c>
      <c r="J339" s="4" t="s">
        <v>15</v>
      </c>
      <c r="K339" s="4" t="s">
        <v>199</v>
      </c>
      <c r="L339" s="4" t="s">
        <v>225</v>
      </c>
      <c r="M339" s="7">
        <v>13</v>
      </c>
      <c r="N339" s="10">
        <v>4061.53</v>
      </c>
      <c r="O339" s="10">
        <v>52799.89</v>
      </c>
      <c r="P339">
        <f t="shared" si="21"/>
        <v>1</v>
      </c>
      <c r="Q339" s="36">
        <f t="shared" si="22"/>
        <v>52799.89</v>
      </c>
      <c r="R339">
        <f t="shared" si="23"/>
        <v>2022</v>
      </c>
    </row>
    <row r="340" spans="1:18" x14ac:dyDescent="0.2">
      <c r="A340" s="23">
        <v>45345</v>
      </c>
      <c r="B340" s="23">
        <v>45233</v>
      </c>
      <c r="C340" s="25" t="s">
        <v>399</v>
      </c>
      <c r="D340" s="20">
        <v>112</v>
      </c>
      <c r="E340" s="27">
        <v>52799.89</v>
      </c>
      <c r="F340" s="22" t="s">
        <v>88</v>
      </c>
      <c r="G340" s="29">
        <v>13</v>
      </c>
      <c r="H340" s="39">
        <v>44854</v>
      </c>
      <c r="I340" s="46">
        <f t="shared" si="20"/>
        <v>491</v>
      </c>
      <c r="J340" s="4" t="s">
        <v>15</v>
      </c>
      <c r="K340" s="4" t="s">
        <v>199</v>
      </c>
      <c r="L340" s="4" t="s">
        <v>225</v>
      </c>
      <c r="M340" s="7">
        <v>13</v>
      </c>
      <c r="N340" s="10">
        <v>4061.53</v>
      </c>
      <c r="O340" s="10">
        <v>52799.89</v>
      </c>
      <c r="P340">
        <f t="shared" si="21"/>
        <v>1</v>
      </c>
      <c r="Q340" s="36">
        <f t="shared" si="22"/>
        <v>52799.89</v>
      </c>
      <c r="R340">
        <f t="shared" si="23"/>
        <v>2022</v>
      </c>
    </row>
    <row r="341" spans="1:18" x14ac:dyDescent="0.2">
      <c r="A341" s="23">
        <v>45345</v>
      </c>
      <c r="B341" s="23">
        <v>45233</v>
      </c>
      <c r="C341" s="25" t="s">
        <v>399</v>
      </c>
      <c r="D341" s="20">
        <v>112</v>
      </c>
      <c r="E341" s="27">
        <v>52799.89</v>
      </c>
      <c r="F341" s="22" t="s">
        <v>88</v>
      </c>
      <c r="G341" s="29">
        <v>13</v>
      </c>
      <c r="H341" s="39">
        <v>44854</v>
      </c>
      <c r="I341" s="46">
        <f t="shared" si="20"/>
        <v>491</v>
      </c>
      <c r="J341" s="4" t="s">
        <v>15</v>
      </c>
      <c r="K341" s="4" t="s">
        <v>199</v>
      </c>
      <c r="L341" s="4" t="s">
        <v>225</v>
      </c>
      <c r="M341" s="7">
        <v>13</v>
      </c>
      <c r="N341" s="10">
        <v>4061.53</v>
      </c>
      <c r="O341" s="10">
        <v>52799.89</v>
      </c>
      <c r="P341">
        <f t="shared" si="21"/>
        <v>1</v>
      </c>
      <c r="Q341" s="36">
        <f t="shared" si="22"/>
        <v>52799.89</v>
      </c>
      <c r="R341">
        <f t="shared" si="23"/>
        <v>2022</v>
      </c>
    </row>
    <row r="342" spans="1:18" x14ac:dyDescent="0.2">
      <c r="A342" s="23">
        <v>45345</v>
      </c>
      <c r="B342" s="23">
        <v>45233</v>
      </c>
      <c r="C342" s="25" t="s">
        <v>399</v>
      </c>
      <c r="D342" s="20">
        <v>112</v>
      </c>
      <c r="E342" s="27">
        <v>52799.89</v>
      </c>
      <c r="F342" s="22" t="s">
        <v>88</v>
      </c>
      <c r="G342" s="29">
        <v>13</v>
      </c>
      <c r="H342" s="39">
        <v>44854</v>
      </c>
      <c r="I342" s="46">
        <f t="shared" si="20"/>
        <v>491</v>
      </c>
      <c r="J342" s="4" t="s">
        <v>15</v>
      </c>
      <c r="K342" s="4" t="s">
        <v>199</v>
      </c>
      <c r="L342" s="4" t="s">
        <v>225</v>
      </c>
      <c r="M342" s="7">
        <v>13</v>
      </c>
      <c r="N342" s="10">
        <v>4061.53</v>
      </c>
      <c r="O342" s="10">
        <v>52799.89</v>
      </c>
      <c r="P342">
        <f t="shared" si="21"/>
        <v>1</v>
      </c>
      <c r="Q342" s="36">
        <f t="shared" si="22"/>
        <v>52799.89</v>
      </c>
      <c r="R342">
        <f t="shared" si="23"/>
        <v>2022</v>
      </c>
    </row>
    <row r="343" spans="1:18" x14ac:dyDescent="0.2">
      <c r="A343" s="23">
        <v>45345</v>
      </c>
      <c r="B343" s="23">
        <v>45233</v>
      </c>
      <c r="C343" s="25" t="s">
        <v>399</v>
      </c>
      <c r="D343" s="20">
        <v>112</v>
      </c>
      <c r="E343" s="27">
        <v>4061.53</v>
      </c>
      <c r="F343" s="22" t="s">
        <v>88</v>
      </c>
      <c r="G343" s="29">
        <v>1</v>
      </c>
      <c r="H343" s="39">
        <v>44854</v>
      </c>
      <c r="I343" s="46">
        <f t="shared" si="20"/>
        <v>491</v>
      </c>
      <c r="J343" s="4" t="s">
        <v>15</v>
      </c>
      <c r="K343" s="4" t="s">
        <v>199</v>
      </c>
      <c r="L343" s="4" t="s">
        <v>225</v>
      </c>
      <c r="M343" s="7">
        <v>13</v>
      </c>
      <c r="N343" s="10">
        <v>4061.53</v>
      </c>
      <c r="O343" s="10">
        <v>52799.89</v>
      </c>
      <c r="P343">
        <f t="shared" si="21"/>
        <v>0</v>
      </c>
      <c r="Q343" s="36">
        <f t="shared" si="22"/>
        <v>4061.53</v>
      </c>
      <c r="R343">
        <f t="shared" si="23"/>
        <v>2022</v>
      </c>
    </row>
    <row r="344" spans="1:18" x14ac:dyDescent="0.2">
      <c r="A344" s="23">
        <v>45383</v>
      </c>
      <c r="B344" s="23">
        <v>45233</v>
      </c>
      <c r="C344" s="25" t="s">
        <v>399</v>
      </c>
      <c r="D344" s="20">
        <v>150</v>
      </c>
      <c r="E344" s="27">
        <v>48738.36</v>
      </c>
      <c r="F344" s="22" t="s">
        <v>88</v>
      </c>
      <c r="G344" s="29">
        <v>12</v>
      </c>
      <c r="H344" s="39">
        <v>44854</v>
      </c>
      <c r="I344" s="46">
        <f t="shared" si="20"/>
        <v>529</v>
      </c>
      <c r="J344" s="4" t="s">
        <v>15</v>
      </c>
      <c r="K344" s="4" t="s">
        <v>199</v>
      </c>
      <c r="L344" s="4" t="s">
        <v>225</v>
      </c>
      <c r="M344" s="7">
        <v>13</v>
      </c>
      <c r="N344" s="10">
        <v>4061.53</v>
      </c>
      <c r="O344" s="10">
        <v>52799.89</v>
      </c>
      <c r="P344">
        <f t="shared" si="21"/>
        <v>0</v>
      </c>
      <c r="Q344" s="36">
        <f t="shared" si="22"/>
        <v>48738.36</v>
      </c>
      <c r="R344">
        <f t="shared" si="23"/>
        <v>2022</v>
      </c>
    </row>
    <row r="345" spans="1:18" x14ac:dyDescent="0.2">
      <c r="A345" s="23">
        <v>45383</v>
      </c>
      <c r="B345" s="23">
        <v>45233</v>
      </c>
      <c r="C345" s="25" t="s">
        <v>399</v>
      </c>
      <c r="D345" s="20">
        <v>150</v>
      </c>
      <c r="E345" s="27">
        <v>52799.89</v>
      </c>
      <c r="F345" s="22" t="s">
        <v>88</v>
      </c>
      <c r="G345" s="29">
        <v>13</v>
      </c>
      <c r="H345" s="39">
        <v>44854</v>
      </c>
      <c r="I345" s="46">
        <f t="shared" si="20"/>
        <v>529</v>
      </c>
      <c r="J345" s="4" t="s">
        <v>15</v>
      </c>
      <c r="K345" s="4" t="s">
        <v>199</v>
      </c>
      <c r="L345" s="4" t="s">
        <v>225</v>
      </c>
      <c r="M345" s="7">
        <v>13</v>
      </c>
      <c r="N345" s="10">
        <v>4061.53</v>
      </c>
      <c r="O345" s="10">
        <v>52799.89</v>
      </c>
      <c r="P345">
        <f t="shared" si="21"/>
        <v>1</v>
      </c>
      <c r="Q345" s="36">
        <f t="shared" si="22"/>
        <v>52799.89</v>
      </c>
      <c r="R345">
        <f t="shared" si="23"/>
        <v>2022</v>
      </c>
    </row>
    <row r="346" spans="1:18" x14ac:dyDescent="0.2">
      <c r="A346" s="23">
        <v>45383</v>
      </c>
      <c r="B346" s="23">
        <v>45233</v>
      </c>
      <c r="C346" s="25" t="s">
        <v>399</v>
      </c>
      <c r="D346" s="20">
        <v>150</v>
      </c>
      <c r="E346" s="27">
        <v>52799.89</v>
      </c>
      <c r="F346" s="22" t="s">
        <v>88</v>
      </c>
      <c r="G346" s="29">
        <v>13</v>
      </c>
      <c r="H346" s="39">
        <v>44854</v>
      </c>
      <c r="I346" s="46">
        <f t="shared" si="20"/>
        <v>529</v>
      </c>
      <c r="J346" s="4" t="s">
        <v>15</v>
      </c>
      <c r="K346" s="4" t="s">
        <v>199</v>
      </c>
      <c r="L346" s="4" t="s">
        <v>225</v>
      </c>
      <c r="M346" s="7">
        <v>13</v>
      </c>
      <c r="N346" s="10">
        <v>4061.53</v>
      </c>
      <c r="O346" s="10">
        <v>52799.89</v>
      </c>
      <c r="P346">
        <f t="shared" si="21"/>
        <v>1</v>
      </c>
      <c r="Q346" s="36">
        <f t="shared" si="22"/>
        <v>52799.89</v>
      </c>
      <c r="R346">
        <f t="shared" si="23"/>
        <v>2022</v>
      </c>
    </row>
    <row r="347" spans="1:18" x14ac:dyDescent="0.2">
      <c r="A347" s="23">
        <v>45383</v>
      </c>
      <c r="B347" s="23">
        <v>45233</v>
      </c>
      <c r="C347" s="25" t="s">
        <v>399</v>
      </c>
      <c r="D347" s="20">
        <v>150</v>
      </c>
      <c r="E347" s="27">
        <v>52799.89</v>
      </c>
      <c r="F347" s="22" t="s">
        <v>88</v>
      </c>
      <c r="G347" s="29">
        <v>13</v>
      </c>
      <c r="H347" s="39">
        <v>44854</v>
      </c>
      <c r="I347" s="46">
        <f t="shared" si="20"/>
        <v>529</v>
      </c>
      <c r="J347" s="4" t="s">
        <v>15</v>
      </c>
      <c r="K347" s="4" t="s">
        <v>199</v>
      </c>
      <c r="L347" s="4" t="s">
        <v>225</v>
      </c>
      <c r="M347" s="7">
        <v>13</v>
      </c>
      <c r="N347" s="10">
        <v>4061.53</v>
      </c>
      <c r="O347" s="10">
        <v>52799.89</v>
      </c>
      <c r="P347">
        <f t="shared" si="21"/>
        <v>1</v>
      </c>
      <c r="Q347" s="36">
        <f t="shared" si="22"/>
        <v>52799.89</v>
      </c>
      <c r="R347">
        <f t="shared" si="23"/>
        <v>2022</v>
      </c>
    </row>
    <row r="348" spans="1:18" x14ac:dyDescent="0.2">
      <c r="A348" s="23">
        <v>45383</v>
      </c>
      <c r="B348" s="23">
        <v>45233</v>
      </c>
      <c r="C348" s="25" t="s">
        <v>399</v>
      </c>
      <c r="D348" s="20">
        <v>150</v>
      </c>
      <c r="E348" s="27">
        <v>52799.89</v>
      </c>
      <c r="F348" s="22" t="s">
        <v>88</v>
      </c>
      <c r="G348" s="29">
        <v>13</v>
      </c>
      <c r="H348" s="39">
        <v>44854</v>
      </c>
      <c r="I348" s="46">
        <f t="shared" si="20"/>
        <v>529</v>
      </c>
      <c r="J348" s="4" t="s">
        <v>15</v>
      </c>
      <c r="K348" s="4" t="s">
        <v>199</v>
      </c>
      <c r="L348" s="4" t="s">
        <v>225</v>
      </c>
      <c r="M348" s="7">
        <v>13</v>
      </c>
      <c r="N348" s="10">
        <v>4061.53</v>
      </c>
      <c r="O348" s="10">
        <v>52799.89</v>
      </c>
      <c r="P348">
        <f t="shared" si="21"/>
        <v>1</v>
      </c>
      <c r="Q348" s="36">
        <f t="shared" si="22"/>
        <v>52799.89</v>
      </c>
      <c r="R348">
        <f t="shared" si="23"/>
        <v>2022</v>
      </c>
    </row>
    <row r="349" spans="1:18" x14ac:dyDescent="0.2">
      <c r="A349" s="23">
        <v>45383</v>
      </c>
      <c r="B349" s="23">
        <v>45233</v>
      </c>
      <c r="C349" s="25" t="s">
        <v>399</v>
      </c>
      <c r="D349" s="20">
        <v>150</v>
      </c>
      <c r="E349" s="27">
        <v>52799.89</v>
      </c>
      <c r="F349" s="22" t="s">
        <v>88</v>
      </c>
      <c r="G349" s="29">
        <v>13</v>
      </c>
      <c r="H349" s="39">
        <v>44854</v>
      </c>
      <c r="I349" s="46">
        <f t="shared" si="20"/>
        <v>529</v>
      </c>
      <c r="J349" s="4" t="s">
        <v>15</v>
      </c>
      <c r="K349" s="4" t="s">
        <v>199</v>
      </c>
      <c r="L349" s="4" t="s">
        <v>225</v>
      </c>
      <c r="M349" s="7">
        <v>13</v>
      </c>
      <c r="N349" s="10">
        <v>4061.53</v>
      </c>
      <c r="O349" s="10">
        <v>52799.89</v>
      </c>
      <c r="P349">
        <f t="shared" si="21"/>
        <v>1</v>
      </c>
      <c r="Q349" s="36">
        <f t="shared" si="22"/>
        <v>52799.89</v>
      </c>
      <c r="R349">
        <f t="shared" si="23"/>
        <v>2022</v>
      </c>
    </row>
    <row r="350" spans="1:18" x14ac:dyDescent="0.2">
      <c r="A350" s="23">
        <v>45390</v>
      </c>
      <c r="B350" s="23">
        <v>45387</v>
      </c>
      <c r="C350" s="25" t="s">
        <v>399</v>
      </c>
      <c r="D350" s="20">
        <v>3</v>
      </c>
      <c r="E350" s="27">
        <v>52799.89</v>
      </c>
      <c r="F350" s="22" t="s">
        <v>88</v>
      </c>
      <c r="G350" s="29">
        <v>13</v>
      </c>
      <c r="H350" s="39">
        <v>44862</v>
      </c>
      <c r="I350" s="46">
        <f t="shared" si="20"/>
        <v>528</v>
      </c>
      <c r="J350" s="4" t="s">
        <v>15</v>
      </c>
      <c r="K350" s="4" t="s">
        <v>199</v>
      </c>
      <c r="L350" s="4" t="s">
        <v>225</v>
      </c>
      <c r="M350" s="7">
        <v>13</v>
      </c>
      <c r="N350" s="10">
        <v>4061.53</v>
      </c>
      <c r="O350" s="10">
        <v>52799.89</v>
      </c>
      <c r="P350">
        <f t="shared" si="21"/>
        <v>1</v>
      </c>
      <c r="Q350" s="36">
        <f t="shared" si="22"/>
        <v>52799.89</v>
      </c>
      <c r="R350">
        <f t="shared" si="23"/>
        <v>2022</v>
      </c>
    </row>
    <row r="351" spans="1:18" x14ac:dyDescent="0.2">
      <c r="A351" s="23">
        <v>45390</v>
      </c>
      <c r="B351" s="23">
        <v>45387</v>
      </c>
      <c r="C351" s="25" t="s">
        <v>399</v>
      </c>
      <c r="D351" s="20">
        <v>3</v>
      </c>
      <c r="E351" s="27">
        <v>52799.89</v>
      </c>
      <c r="F351" s="22" t="s">
        <v>88</v>
      </c>
      <c r="G351" s="29">
        <v>13</v>
      </c>
      <c r="H351" s="39">
        <v>44862</v>
      </c>
      <c r="I351" s="46">
        <f t="shared" si="20"/>
        <v>528</v>
      </c>
      <c r="J351" s="4" t="s">
        <v>15</v>
      </c>
      <c r="K351" s="4" t="s">
        <v>199</v>
      </c>
      <c r="L351" s="4" t="s">
        <v>225</v>
      </c>
      <c r="M351" s="7">
        <v>13</v>
      </c>
      <c r="N351" s="10">
        <v>4061.53</v>
      </c>
      <c r="O351" s="10">
        <v>52799.89</v>
      </c>
      <c r="P351">
        <f t="shared" si="21"/>
        <v>1</v>
      </c>
      <c r="Q351" s="36">
        <f t="shared" si="22"/>
        <v>52799.89</v>
      </c>
      <c r="R351">
        <f t="shared" si="23"/>
        <v>2022</v>
      </c>
    </row>
    <row r="352" spans="1:18" x14ac:dyDescent="0.2">
      <c r="A352" s="23">
        <v>45390</v>
      </c>
      <c r="B352" s="23">
        <v>45387</v>
      </c>
      <c r="C352" s="25" t="s">
        <v>399</v>
      </c>
      <c r="D352" s="20">
        <v>3</v>
      </c>
      <c r="E352" s="27">
        <v>52799.89</v>
      </c>
      <c r="F352" s="22" t="s">
        <v>88</v>
      </c>
      <c r="G352" s="29">
        <v>13</v>
      </c>
      <c r="H352" s="39">
        <v>44862</v>
      </c>
      <c r="I352" s="46">
        <f t="shared" si="20"/>
        <v>528</v>
      </c>
      <c r="J352" s="4" t="s">
        <v>15</v>
      </c>
      <c r="K352" s="4" t="s">
        <v>199</v>
      </c>
      <c r="L352" s="4" t="s">
        <v>225</v>
      </c>
      <c r="M352" s="7">
        <v>13</v>
      </c>
      <c r="N352" s="10">
        <v>4061.53</v>
      </c>
      <c r="O352" s="10">
        <v>52799.89</v>
      </c>
      <c r="P352">
        <f t="shared" si="21"/>
        <v>1</v>
      </c>
      <c r="Q352" s="36">
        <f t="shared" si="22"/>
        <v>52799.89</v>
      </c>
      <c r="R352">
        <f t="shared" si="23"/>
        <v>2022</v>
      </c>
    </row>
    <row r="353" spans="1:18" x14ac:dyDescent="0.2">
      <c r="A353" s="23">
        <v>45390</v>
      </c>
      <c r="B353" s="23">
        <v>45387</v>
      </c>
      <c r="C353" s="25" t="s">
        <v>399</v>
      </c>
      <c r="D353" s="20">
        <v>3</v>
      </c>
      <c r="E353" s="27">
        <v>52799.89</v>
      </c>
      <c r="F353" s="22" t="s">
        <v>88</v>
      </c>
      <c r="G353" s="29">
        <v>13</v>
      </c>
      <c r="H353" s="39">
        <v>44862</v>
      </c>
      <c r="I353" s="46">
        <f t="shared" si="20"/>
        <v>528</v>
      </c>
      <c r="J353" s="4" t="s">
        <v>15</v>
      </c>
      <c r="K353" s="4" t="s">
        <v>199</v>
      </c>
      <c r="L353" s="4" t="s">
        <v>225</v>
      </c>
      <c r="M353" s="7">
        <v>13</v>
      </c>
      <c r="N353" s="10">
        <v>4061.53</v>
      </c>
      <c r="O353" s="10">
        <v>52799.89</v>
      </c>
      <c r="P353">
        <f t="shared" si="21"/>
        <v>1</v>
      </c>
      <c r="Q353" s="36">
        <f t="shared" si="22"/>
        <v>52799.89</v>
      </c>
      <c r="R353">
        <f t="shared" si="23"/>
        <v>2022</v>
      </c>
    </row>
    <row r="354" spans="1:18" x14ac:dyDescent="0.2">
      <c r="A354" s="23">
        <v>45390</v>
      </c>
      <c r="B354" s="23">
        <v>45387</v>
      </c>
      <c r="C354" s="25" t="s">
        <v>399</v>
      </c>
      <c r="D354" s="20">
        <v>3</v>
      </c>
      <c r="E354" s="27">
        <v>52799.89</v>
      </c>
      <c r="F354" s="22" t="s">
        <v>88</v>
      </c>
      <c r="G354" s="29">
        <v>13</v>
      </c>
      <c r="H354" s="39">
        <v>44862</v>
      </c>
      <c r="I354" s="46">
        <f t="shared" si="20"/>
        <v>528</v>
      </c>
      <c r="J354" s="4" t="s">
        <v>15</v>
      </c>
      <c r="K354" s="4" t="s">
        <v>199</v>
      </c>
      <c r="L354" s="4" t="s">
        <v>225</v>
      </c>
      <c r="M354" s="7">
        <v>13</v>
      </c>
      <c r="N354" s="10">
        <v>4061.53</v>
      </c>
      <c r="O354" s="10">
        <v>52799.89</v>
      </c>
      <c r="P354">
        <f t="shared" si="21"/>
        <v>1</v>
      </c>
      <c r="Q354" s="36">
        <f t="shared" si="22"/>
        <v>52799.89</v>
      </c>
      <c r="R354">
        <f t="shared" si="23"/>
        <v>2022</v>
      </c>
    </row>
    <row r="355" spans="1:18" x14ac:dyDescent="0.2">
      <c r="A355" s="23">
        <v>45390</v>
      </c>
      <c r="B355" s="23">
        <v>45387</v>
      </c>
      <c r="C355" s="25" t="s">
        <v>399</v>
      </c>
      <c r="D355" s="20">
        <v>3</v>
      </c>
      <c r="E355" s="27">
        <v>52799.89</v>
      </c>
      <c r="F355" s="22" t="s">
        <v>88</v>
      </c>
      <c r="G355" s="29">
        <v>13</v>
      </c>
      <c r="H355" s="39">
        <v>44862</v>
      </c>
      <c r="I355" s="46">
        <f t="shared" si="20"/>
        <v>528</v>
      </c>
      <c r="J355" s="4" t="s">
        <v>15</v>
      </c>
      <c r="K355" s="4" t="s">
        <v>199</v>
      </c>
      <c r="L355" s="4" t="s">
        <v>225</v>
      </c>
      <c r="M355" s="7">
        <v>13</v>
      </c>
      <c r="N355" s="10">
        <v>4061.53</v>
      </c>
      <c r="O355" s="10">
        <v>52799.89</v>
      </c>
      <c r="P355">
        <f t="shared" si="21"/>
        <v>1</v>
      </c>
      <c r="Q355" s="36">
        <f t="shared" si="22"/>
        <v>52799.89</v>
      </c>
      <c r="R355">
        <f t="shared" si="23"/>
        <v>2022</v>
      </c>
    </row>
    <row r="356" spans="1:18" x14ac:dyDescent="0.2">
      <c r="A356" s="23">
        <v>45390</v>
      </c>
      <c r="B356" s="23">
        <v>45387</v>
      </c>
      <c r="C356" s="25" t="s">
        <v>399</v>
      </c>
      <c r="D356" s="20">
        <v>3</v>
      </c>
      <c r="E356" s="27">
        <v>52799.89</v>
      </c>
      <c r="F356" s="22" t="s">
        <v>88</v>
      </c>
      <c r="G356" s="29">
        <v>13</v>
      </c>
      <c r="H356" s="39">
        <v>44862</v>
      </c>
      <c r="I356" s="46">
        <f t="shared" si="20"/>
        <v>528</v>
      </c>
      <c r="J356" s="4" t="s">
        <v>15</v>
      </c>
      <c r="K356" s="4" t="s">
        <v>199</v>
      </c>
      <c r="L356" s="4" t="s">
        <v>225</v>
      </c>
      <c r="M356" s="7">
        <v>13</v>
      </c>
      <c r="N356" s="10">
        <v>4061.53</v>
      </c>
      <c r="O356" s="10">
        <v>52799.89</v>
      </c>
      <c r="P356">
        <f t="shared" si="21"/>
        <v>1</v>
      </c>
      <c r="Q356" s="36">
        <f t="shared" si="22"/>
        <v>52799.89</v>
      </c>
      <c r="R356">
        <f t="shared" si="23"/>
        <v>2022</v>
      </c>
    </row>
    <row r="357" spans="1:18" x14ac:dyDescent="0.2">
      <c r="A357" s="23">
        <v>45390</v>
      </c>
      <c r="B357" s="23">
        <v>45387</v>
      </c>
      <c r="C357" s="25" t="s">
        <v>399</v>
      </c>
      <c r="D357" s="20">
        <v>3</v>
      </c>
      <c r="E357" s="27">
        <v>52799.89</v>
      </c>
      <c r="F357" s="22" t="s">
        <v>88</v>
      </c>
      <c r="G357" s="29">
        <v>13</v>
      </c>
      <c r="H357" s="39">
        <v>44862</v>
      </c>
      <c r="I357" s="46">
        <f t="shared" si="20"/>
        <v>528</v>
      </c>
      <c r="J357" s="4" t="s">
        <v>15</v>
      </c>
      <c r="K357" s="4" t="s">
        <v>199</v>
      </c>
      <c r="L357" s="4" t="s">
        <v>225</v>
      </c>
      <c r="M357" s="7">
        <v>13</v>
      </c>
      <c r="N357" s="10">
        <v>4061.53</v>
      </c>
      <c r="O357" s="10">
        <v>52799.89</v>
      </c>
      <c r="P357">
        <f t="shared" si="21"/>
        <v>1</v>
      </c>
      <c r="Q357" s="36">
        <f t="shared" si="22"/>
        <v>52799.89</v>
      </c>
      <c r="R357">
        <f t="shared" si="23"/>
        <v>2022</v>
      </c>
    </row>
    <row r="358" spans="1:18" x14ac:dyDescent="0.2">
      <c r="A358" s="23">
        <v>45390</v>
      </c>
      <c r="B358" s="23">
        <v>45387</v>
      </c>
      <c r="C358" s="25" t="s">
        <v>399</v>
      </c>
      <c r="D358" s="20">
        <v>3</v>
      </c>
      <c r="E358" s="27">
        <v>52799.89</v>
      </c>
      <c r="F358" s="22" t="s">
        <v>88</v>
      </c>
      <c r="G358" s="29">
        <v>13</v>
      </c>
      <c r="H358" s="39">
        <v>44862</v>
      </c>
      <c r="I358" s="46">
        <f t="shared" si="20"/>
        <v>528</v>
      </c>
      <c r="J358" s="4" t="s">
        <v>15</v>
      </c>
      <c r="K358" s="4" t="s">
        <v>199</v>
      </c>
      <c r="L358" s="4" t="s">
        <v>225</v>
      </c>
      <c r="M358" s="7">
        <v>13</v>
      </c>
      <c r="N358" s="10">
        <v>4061.53</v>
      </c>
      <c r="O358" s="10">
        <v>52799.89</v>
      </c>
      <c r="P358">
        <f t="shared" si="21"/>
        <v>1</v>
      </c>
      <c r="Q358" s="36">
        <f t="shared" si="22"/>
        <v>52799.89</v>
      </c>
      <c r="R358">
        <f t="shared" si="23"/>
        <v>2022</v>
      </c>
    </row>
    <row r="359" spans="1:18" x14ac:dyDescent="0.2">
      <c r="A359" s="23">
        <v>45390</v>
      </c>
      <c r="B359" s="23">
        <v>45387</v>
      </c>
      <c r="C359" s="25" t="s">
        <v>399</v>
      </c>
      <c r="D359" s="20">
        <v>3</v>
      </c>
      <c r="E359" s="27">
        <v>52799.89</v>
      </c>
      <c r="F359" s="22" t="s">
        <v>88</v>
      </c>
      <c r="G359" s="29">
        <v>13</v>
      </c>
      <c r="H359" s="39">
        <v>44862</v>
      </c>
      <c r="I359" s="46">
        <f t="shared" si="20"/>
        <v>528</v>
      </c>
      <c r="J359" s="4" t="s">
        <v>15</v>
      </c>
      <c r="K359" s="4" t="s">
        <v>199</v>
      </c>
      <c r="L359" s="4" t="s">
        <v>225</v>
      </c>
      <c r="M359" s="7">
        <v>13</v>
      </c>
      <c r="N359" s="10">
        <v>4061.53</v>
      </c>
      <c r="O359" s="10">
        <v>52799.89</v>
      </c>
      <c r="P359">
        <f t="shared" si="21"/>
        <v>1</v>
      </c>
      <c r="Q359" s="36">
        <f t="shared" si="22"/>
        <v>52799.89</v>
      </c>
      <c r="R359">
        <f t="shared" si="23"/>
        <v>2022</v>
      </c>
    </row>
    <row r="360" spans="1:18" x14ac:dyDescent="0.2">
      <c r="A360" s="23">
        <v>45390</v>
      </c>
      <c r="B360" s="23">
        <v>45387</v>
      </c>
      <c r="C360" s="25" t="s">
        <v>399</v>
      </c>
      <c r="D360" s="20">
        <v>3</v>
      </c>
      <c r="E360" s="27">
        <v>52799.89</v>
      </c>
      <c r="F360" s="22" t="s">
        <v>88</v>
      </c>
      <c r="G360" s="29">
        <v>13</v>
      </c>
      <c r="H360" s="39">
        <v>44862</v>
      </c>
      <c r="I360" s="46">
        <f t="shared" si="20"/>
        <v>528</v>
      </c>
      <c r="J360" s="4" t="s">
        <v>15</v>
      </c>
      <c r="K360" s="4" t="s">
        <v>199</v>
      </c>
      <c r="L360" s="4" t="s">
        <v>225</v>
      </c>
      <c r="M360" s="7">
        <v>13</v>
      </c>
      <c r="N360" s="10">
        <v>4061.53</v>
      </c>
      <c r="O360" s="10">
        <v>52799.89</v>
      </c>
      <c r="P360">
        <f t="shared" si="21"/>
        <v>1</v>
      </c>
      <c r="Q360" s="36">
        <f t="shared" si="22"/>
        <v>52799.89</v>
      </c>
      <c r="R360">
        <f t="shared" si="23"/>
        <v>2022</v>
      </c>
    </row>
    <row r="361" spans="1:18" x14ac:dyDescent="0.2">
      <c r="A361" s="23">
        <v>45390</v>
      </c>
      <c r="B361" s="23">
        <v>45387</v>
      </c>
      <c r="C361" s="25" t="s">
        <v>399</v>
      </c>
      <c r="D361" s="20">
        <v>3</v>
      </c>
      <c r="E361" s="27">
        <v>52799.89</v>
      </c>
      <c r="F361" s="22" t="s">
        <v>88</v>
      </c>
      <c r="G361" s="29">
        <v>13</v>
      </c>
      <c r="H361" s="39">
        <v>44862</v>
      </c>
      <c r="I361" s="46">
        <f t="shared" si="20"/>
        <v>528</v>
      </c>
      <c r="J361" s="4" t="s">
        <v>15</v>
      </c>
      <c r="K361" s="4" t="s">
        <v>199</v>
      </c>
      <c r="L361" s="4" t="s">
        <v>225</v>
      </c>
      <c r="M361" s="7">
        <v>13</v>
      </c>
      <c r="N361" s="10">
        <v>4061.53</v>
      </c>
      <c r="O361" s="10">
        <v>52799.89</v>
      </c>
      <c r="P361">
        <f t="shared" si="21"/>
        <v>1</v>
      </c>
      <c r="Q361" s="36">
        <f t="shared" si="22"/>
        <v>52799.89</v>
      </c>
      <c r="R361">
        <f t="shared" si="23"/>
        <v>2022</v>
      </c>
    </row>
    <row r="362" spans="1:18" x14ac:dyDescent="0.2">
      <c r="A362" s="23">
        <v>45390</v>
      </c>
      <c r="B362" s="23">
        <v>45387</v>
      </c>
      <c r="C362" s="25" t="s">
        <v>399</v>
      </c>
      <c r="D362" s="20">
        <v>3</v>
      </c>
      <c r="E362" s="27">
        <v>52799.89</v>
      </c>
      <c r="F362" s="22" t="s">
        <v>88</v>
      </c>
      <c r="G362" s="29">
        <v>13</v>
      </c>
      <c r="H362" s="39">
        <v>44862</v>
      </c>
      <c r="I362" s="46">
        <f t="shared" si="20"/>
        <v>528</v>
      </c>
      <c r="J362" s="4" t="s">
        <v>15</v>
      </c>
      <c r="K362" s="4" t="s">
        <v>199</v>
      </c>
      <c r="L362" s="4" t="s">
        <v>225</v>
      </c>
      <c r="M362" s="7">
        <v>13</v>
      </c>
      <c r="N362" s="10">
        <v>4061.53</v>
      </c>
      <c r="O362" s="10">
        <v>52799.89</v>
      </c>
      <c r="P362">
        <f t="shared" si="21"/>
        <v>1</v>
      </c>
      <c r="Q362" s="36">
        <f t="shared" si="22"/>
        <v>52799.89</v>
      </c>
      <c r="R362">
        <f t="shared" si="23"/>
        <v>2022</v>
      </c>
    </row>
    <row r="363" spans="1:18" x14ac:dyDescent="0.2">
      <c r="A363" s="23">
        <v>45390</v>
      </c>
      <c r="B363" s="23">
        <v>45387</v>
      </c>
      <c r="C363" s="25" t="s">
        <v>399</v>
      </c>
      <c r="D363" s="20">
        <v>3</v>
      </c>
      <c r="E363" s="27">
        <v>52799.89</v>
      </c>
      <c r="F363" s="22" t="s">
        <v>88</v>
      </c>
      <c r="G363" s="29">
        <v>13</v>
      </c>
      <c r="H363" s="39">
        <v>44862</v>
      </c>
      <c r="I363" s="46">
        <f t="shared" si="20"/>
        <v>528</v>
      </c>
      <c r="J363" s="4" t="s">
        <v>15</v>
      </c>
      <c r="K363" s="4" t="s">
        <v>199</v>
      </c>
      <c r="L363" s="4" t="s">
        <v>225</v>
      </c>
      <c r="M363" s="7">
        <v>13</v>
      </c>
      <c r="N363" s="10">
        <v>4061.53</v>
      </c>
      <c r="O363" s="10">
        <v>52799.89</v>
      </c>
      <c r="P363">
        <f t="shared" si="21"/>
        <v>1</v>
      </c>
      <c r="Q363" s="36">
        <f t="shared" si="22"/>
        <v>52799.89</v>
      </c>
      <c r="R363">
        <f t="shared" si="23"/>
        <v>2022</v>
      </c>
    </row>
    <row r="364" spans="1:18" x14ac:dyDescent="0.2">
      <c r="A364" s="23">
        <v>45390</v>
      </c>
      <c r="B364" s="23">
        <v>45387</v>
      </c>
      <c r="C364" s="25" t="s">
        <v>399</v>
      </c>
      <c r="D364" s="20">
        <v>3</v>
      </c>
      <c r="E364" s="27">
        <v>52799.89</v>
      </c>
      <c r="F364" s="22" t="s">
        <v>88</v>
      </c>
      <c r="G364" s="29">
        <v>13</v>
      </c>
      <c r="H364" s="39">
        <v>44862</v>
      </c>
      <c r="I364" s="46">
        <f t="shared" si="20"/>
        <v>528</v>
      </c>
      <c r="J364" s="4" t="s">
        <v>15</v>
      </c>
      <c r="K364" s="4" t="s">
        <v>199</v>
      </c>
      <c r="L364" s="4" t="s">
        <v>225</v>
      </c>
      <c r="M364" s="7">
        <v>13</v>
      </c>
      <c r="N364" s="10">
        <v>4061.53</v>
      </c>
      <c r="O364" s="10">
        <v>52799.89</v>
      </c>
      <c r="P364">
        <f t="shared" si="21"/>
        <v>1</v>
      </c>
      <c r="Q364" s="36">
        <f t="shared" si="22"/>
        <v>52799.89</v>
      </c>
      <c r="R364">
        <f t="shared" si="23"/>
        <v>2022</v>
      </c>
    </row>
    <row r="365" spans="1:18" x14ac:dyDescent="0.2">
      <c r="A365" s="23">
        <v>45390</v>
      </c>
      <c r="B365" s="23">
        <v>45387</v>
      </c>
      <c r="C365" s="25" t="s">
        <v>399</v>
      </c>
      <c r="D365" s="20">
        <v>3</v>
      </c>
      <c r="E365" s="27">
        <v>52799.89</v>
      </c>
      <c r="F365" s="22" t="s">
        <v>88</v>
      </c>
      <c r="G365" s="29">
        <v>13</v>
      </c>
      <c r="H365" s="39">
        <v>44862</v>
      </c>
      <c r="I365" s="46">
        <f t="shared" si="20"/>
        <v>528</v>
      </c>
      <c r="J365" s="4" t="s">
        <v>15</v>
      </c>
      <c r="K365" s="4" t="s">
        <v>199</v>
      </c>
      <c r="L365" s="4" t="s">
        <v>225</v>
      </c>
      <c r="M365" s="7">
        <v>13</v>
      </c>
      <c r="N365" s="10">
        <v>4061.53</v>
      </c>
      <c r="O365" s="10">
        <v>52799.89</v>
      </c>
      <c r="P365">
        <f t="shared" si="21"/>
        <v>1</v>
      </c>
      <c r="Q365" s="36">
        <f t="shared" si="22"/>
        <v>52799.89</v>
      </c>
      <c r="R365">
        <f t="shared" si="23"/>
        <v>2022</v>
      </c>
    </row>
    <row r="366" spans="1:18" x14ac:dyDescent="0.2">
      <c r="A366" s="23">
        <v>45390</v>
      </c>
      <c r="B366" s="23">
        <v>45387</v>
      </c>
      <c r="C366" s="25" t="s">
        <v>399</v>
      </c>
      <c r="D366" s="20">
        <v>3</v>
      </c>
      <c r="E366" s="27">
        <v>52799.89</v>
      </c>
      <c r="F366" s="22" t="s">
        <v>88</v>
      </c>
      <c r="G366" s="29">
        <v>13</v>
      </c>
      <c r="H366" s="39">
        <v>44862</v>
      </c>
      <c r="I366" s="46">
        <f t="shared" si="20"/>
        <v>528</v>
      </c>
      <c r="J366" s="4" t="s">
        <v>15</v>
      </c>
      <c r="K366" s="4" t="s">
        <v>199</v>
      </c>
      <c r="L366" s="4" t="s">
        <v>225</v>
      </c>
      <c r="M366" s="7">
        <v>13</v>
      </c>
      <c r="N366" s="10">
        <v>4061.53</v>
      </c>
      <c r="O366" s="10">
        <v>52799.89</v>
      </c>
      <c r="P366">
        <f t="shared" si="21"/>
        <v>1</v>
      </c>
      <c r="Q366" s="36">
        <f t="shared" si="22"/>
        <v>52799.89</v>
      </c>
      <c r="R366">
        <f t="shared" si="23"/>
        <v>2022</v>
      </c>
    </row>
    <row r="367" spans="1:18" x14ac:dyDescent="0.2">
      <c r="A367" s="23">
        <v>45390</v>
      </c>
      <c r="B367" s="23">
        <v>45387</v>
      </c>
      <c r="C367" s="25" t="s">
        <v>399</v>
      </c>
      <c r="D367" s="20">
        <v>3</v>
      </c>
      <c r="E367" s="27">
        <v>52799.89</v>
      </c>
      <c r="F367" s="22" t="s">
        <v>88</v>
      </c>
      <c r="G367" s="29">
        <v>13</v>
      </c>
      <c r="H367" s="39">
        <v>44862</v>
      </c>
      <c r="I367" s="46">
        <f t="shared" si="20"/>
        <v>528</v>
      </c>
      <c r="J367" s="4" t="s">
        <v>15</v>
      </c>
      <c r="K367" s="4" t="s">
        <v>199</v>
      </c>
      <c r="L367" s="4" t="s">
        <v>225</v>
      </c>
      <c r="M367" s="7">
        <v>13</v>
      </c>
      <c r="N367" s="10">
        <v>4061.53</v>
      </c>
      <c r="O367" s="10">
        <v>52799.89</v>
      </c>
      <c r="P367">
        <f t="shared" si="21"/>
        <v>1</v>
      </c>
      <c r="Q367" s="36">
        <f t="shared" si="22"/>
        <v>52799.89</v>
      </c>
      <c r="R367">
        <f t="shared" si="23"/>
        <v>2022</v>
      </c>
    </row>
    <row r="368" spans="1:18" x14ac:dyDescent="0.2">
      <c r="A368" s="23">
        <v>45390</v>
      </c>
      <c r="B368" s="23">
        <v>45387</v>
      </c>
      <c r="C368" s="25" t="s">
        <v>399</v>
      </c>
      <c r="D368" s="20">
        <v>3</v>
      </c>
      <c r="E368" s="27">
        <v>52799.89</v>
      </c>
      <c r="F368" s="22" t="s">
        <v>88</v>
      </c>
      <c r="G368" s="29">
        <v>13</v>
      </c>
      <c r="H368" s="39">
        <v>44862</v>
      </c>
      <c r="I368" s="46">
        <f t="shared" si="20"/>
        <v>528</v>
      </c>
      <c r="J368" s="4" t="s">
        <v>15</v>
      </c>
      <c r="K368" s="4" t="s">
        <v>199</v>
      </c>
      <c r="L368" s="4" t="s">
        <v>225</v>
      </c>
      <c r="M368" s="7">
        <v>13</v>
      </c>
      <c r="N368" s="10">
        <v>4061.53</v>
      </c>
      <c r="O368" s="10">
        <v>52799.89</v>
      </c>
      <c r="P368">
        <f t="shared" si="21"/>
        <v>1</v>
      </c>
      <c r="Q368" s="36">
        <f t="shared" si="22"/>
        <v>52799.89</v>
      </c>
      <c r="R368">
        <f t="shared" si="23"/>
        <v>2022</v>
      </c>
    </row>
    <row r="369" spans="1:18" x14ac:dyDescent="0.2">
      <c r="A369" s="23">
        <v>45390</v>
      </c>
      <c r="B369" s="23">
        <v>45387</v>
      </c>
      <c r="C369" s="25" t="s">
        <v>399</v>
      </c>
      <c r="D369" s="20">
        <v>3</v>
      </c>
      <c r="E369" s="27">
        <v>52799.89</v>
      </c>
      <c r="F369" s="22" t="s">
        <v>88</v>
      </c>
      <c r="G369" s="29">
        <v>13</v>
      </c>
      <c r="H369" s="39">
        <v>44862</v>
      </c>
      <c r="I369" s="46">
        <f t="shared" si="20"/>
        <v>528</v>
      </c>
      <c r="J369" s="4" t="s">
        <v>15</v>
      </c>
      <c r="K369" s="4" t="s">
        <v>199</v>
      </c>
      <c r="L369" s="4" t="s">
        <v>225</v>
      </c>
      <c r="M369" s="7">
        <v>13</v>
      </c>
      <c r="N369" s="10">
        <v>4061.53</v>
      </c>
      <c r="O369" s="10">
        <v>52799.89</v>
      </c>
      <c r="P369">
        <f t="shared" si="21"/>
        <v>1</v>
      </c>
      <c r="Q369" s="36">
        <f t="shared" si="22"/>
        <v>52799.89</v>
      </c>
      <c r="R369">
        <f t="shared" si="23"/>
        <v>2022</v>
      </c>
    </row>
    <row r="370" spans="1:18" x14ac:dyDescent="0.2">
      <c r="A370" s="23">
        <v>45390</v>
      </c>
      <c r="B370" s="23">
        <v>45387</v>
      </c>
      <c r="C370" s="25" t="s">
        <v>399</v>
      </c>
      <c r="D370" s="20">
        <v>3</v>
      </c>
      <c r="E370" s="27">
        <v>52799.89</v>
      </c>
      <c r="F370" s="22" t="s">
        <v>88</v>
      </c>
      <c r="G370" s="29">
        <v>13</v>
      </c>
      <c r="H370" s="39">
        <v>44862</v>
      </c>
      <c r="I370" s="46">
        <f t="shared" si="20"/>
        <v>528</v>
      </c>
      <c r="J370" s="4" t="s">
        <v>15</v>
      </c>
      <c r="K370" s="4" t="s">
        <v>199</v>
      </c>
      <c r="L370" s="4" t="s">
        <v>225</v>
      </c>
      <c r="M370" s="7">
        <v>13</v>
      </c>
      <c r="N370" s="10">
        <v>4061.53</v>
      </c>
      <c r="O370" s="10">
        <v>52799.89</v>
      </c>
      <c r="P370">
        <f t="shared" si="21"/>
        <v>1</v>
      </c>
      <c r="Q370" s="36">
        <f t="shared" si="22"/>
        <v>52799.89</v>
      </c>
      <c r="R370">
        <f t="shared" si="23"/>
        <v>2022</v>
      </c>
    </row>
    <row r="371" spans="1:18" x14ac:dyDescent="0.2">
      <c r="A371" s="23">
        <v>45390</v>
      </c>
      <c r="B371" s="23">
        <v>45387</v>
      </c>
      <c r="C371" s="25" t="s">
        <v>399</v>
      </c>
      <c r="D371" s="20">
        <v>3</v>
      </c>
      <c r="E371" s="27">
        <v>52799.89</v>
      </c>
      <c r="F371" s="22" t="s">
        <v>88</v>
      </c>
      <c r="G371" s="29">
        <v>13</v>
      </c>
      <c r="H371" s="39">
        <v>44862</v>
      </c>
      <c r="I371" s="46">
        <f t="shared" si="20"/>
        <v>528</v>
      </c>
      <c r="J371" s="4" t="s">
        <v>15</v>
      </c>
      <c r="K371" s="4" t="s">
        <v>199</v>
      </c>
      <c r="L371" s="4" t="s">
        <v>225</v>
      </c>
      <c r="M371" s="7">
        <v>13</v>
      </c>
      <c r="N371" s="10">
        <v>4061.53</v>
      </c>
      <c r="O371" s="10">
        <v>52799.89</v>
      </c>
      <c r="P371">
        <f t="shared" si="21"/>
        <v>1</v>
      </c>
      <c r="Q371" s="36">
        <f t="shared" si="22"/>
        <v>52799.89</v>
      </c>
      <c r="R371">
        <f t="shared" si="23"/>
        <v>2022</v>
      </c>
    </row>
    <row r="372" spans="1:18" x14ac:dyDescent="0.2">
      <c r="A372" s="23">
        <v>45390</v>
      </c>
      <c r="B372" s="23">
        <v>45387</v>
      </c>
      <c r="C372" s="25" t="s">
        <v>399</v>
      </c>
      <c r="D372" s="20">
        <v>3</v>
      </c>
      <c r="E372" s="27">
        <v>52799.89</v>
      </c>
      <c r="F372" s="22" t="s">
        <v>88</v>
      </c>
      <c r="G372" s="29">
        <v>13</v>
      </c>
      <c r="H372" s="39">
        <v>44862</v>
      </c>
      <c r="I372" s="46">
        <f t="shared" si="20"/>
        <v>528</v>
      </c>
      <c r="J372" s="4" t="s">
        <v>15</v>
      </c>
      <c r="K372" s="4" t="s">
        <v>199</v>
      </c>
      <c r="L372" s="4" t="s">
        <v>225</v>
      </c>
      <c r="M372" s="7">
        <v>13</v>
      </c>
      <c r="N372" s="10">
        <v>4061.53</v>
      </c>
      <c r="O372" s="10">
        <v>52799.89</v>
      </c>
      <c r="P372">
        <f t="shared" si="21"/>
        <v>1</v>
      </c>
      <c r="Q372" s="36">
        <f t="shared" si="22"/>
        <v>52799.89</v>
      </c>
      <c r="R372">
        <f t="shared" si="23"/>
        <v>2022</v>
      </c>
    </row>
    <row r="373" spans="1:18" x14ac:dyDescent="0.2">
      <c r="A373" s="23">
        <v>45394</v>
      </c>
      <c r="B373" s="23">
        <v>45394</v>
      </c>
      <c r="C373" s="25" t="s">
        <v>398</v>
      </c>
      <c r="D373" s="20">
        <v>0</v>
      </c>
      <c r="E373" s="27">
        <v>52799.89</v>
      </c>
      <c r="F373" s="22" t="s">
        <v>88</v>
      </c>
      <c r="G373" s="29">
        <v>13</v>
      </c>
      <c r="H373" s="39">
        <v>44869</v>
      </c>
      <c r="I373" s="46">
        <f t="shared" si="20"/>
        <v>525</v>
      </c>
      <c r="J373" s="4" t="s">
        <v>15</v>
      </c>
      <c r="K373" s="4" t="s">
        <v>200</v>
      </c>
      <c r="L373" s="4" t="s">
        <v>225</v>
      </c>
      <c r="M373" s="7">
        <v>13</v>
      </c>
      <c r="N373" s="10">
        <v>4061.53</v>
      </c>
      <c r="O373" s="10">
        <v>52799.89</v>
      </c>
      <c r="P373">
        <f t="shared" si="21"/>
        <v>1</v>
      </c>
      <c r="Q373" s="36">
        <f t="shared" si="22"/>
        <v>52799.89</v>
      </c>
      <c r="R373">
        <f t="shared" si="23"/>
        <v>2022</v>
      </c>
    </row>
    <row r="374" spans="1:18" x14ac:dyDescent="0.2">
      <c r="A374" s="23">
        <v>45394</v>
      </c>
      <c r="B374" s="23">
        <v>45394</v>
      </c>
      <c r="C374" s="25" t="s">
        <v>398</v>
      </c>
      <c r="D374" s="20">
        <v>0</v>
      </c>
      <c r="E374" s="27">
        <v>52799.89</v>
      </c>
      <c r="F374" s="22" t="s">
        <v>88</v>
      </c>
      <c r="G374" s="29">
        <v>13</v>
      </c>
      <c r="H374" s="39">
        <v>44869</v>
      </c>
      <c r="I374" s="46">
        <f t="shared" si="20"/>
        <v>525</v>
      </c>
      <c r="J374" s="4" t="s">
        <v>15</v>
      </c>
      <c r="K374" s="4" t="s">
        <v>200</v>
      </c>
      <c r="L374" s="4" t="s">
        <v>225</v>
      </c>
      <c r="M374" s="7">
        <v>13</v>
      </c>
      <c r="N374" s="10">
        <v>4061.53</v>
      </c>
      <c r="O374" s="10">
        <v>52799.89</v>
      </c>
      <c r="P374">
        <f t="shared" si="21"/>
        <v>1</v>
      </c>
      <c r="Q374" s="36">
        <f t="shared" si="22"/>
        <v>52799.89</v>
      </c>
      <c r="R374">
        <f t="shared" si="23"/>
        <v>2022</v>
      </c>
    </row>
    <row r="375" spans="1:18" x14ac:dyDescent="0.2">
      <c r="A375" s="23">
        <v>45394</v>
      </c>
      <c r="B375" s="23">
        <v>45394</v>
      </c>
      <c r="C375" s="25" t="s">
        <v>398</v>
      </c>
      <c r="D375" s="20">
        <v>0</v>
      </c>
      <c r="E375" s="27">
        <v>52799.89</v>
      </c>
      <c r="F375" s="22" t="s">
        <v>88</v>
      </c>
      <c r="G375" s="29">
        <v>13</v>
      </c>
      <c r="H375" s="39">
        <v>44869</v>
      </c>
      <c r="I375" s="46">
        <f t="shared" si="20"/>
        <v>525</v>
      </c>
      <c r="J375" s="4" t="s">
        <v>15</v>
      </c>
      <c r="K375" s="4" t="s">
        <v>200</v>
      </c>
      <c r="L375" s="4" t="s">
        <v>225</v>
      </c>
      <c r="M375" s="7">
        <v>13</v>
      </c>
      <c r="N375" s="10">
        <v>4061.53</v>
      </c>
      <c r="O375" s="10">
        <v>52799.89</v>
      </c>
      <c r="P375">
        <f t="shared" si="21"/>
        <v>1</v>
      </c>
      <c r="Q375" s="36">
        <f t="shared" si="22"/>
        <v>52799.89</v>
      </c>
      <c r="R375">
        <f t="shared" si="23"/>
        <v>2022</v>
      </c>
    </row>
    <row r="376" spans="1:18" x14ac:dyDescent="0.2">
      <c r="A376" s="23">
        <v>45394</v>
      </c>
      <c r="B376" s="23">
        <v>45394</v>
      </c>
      <c r="C376" s="25" t="s">
        <v>398</v>
      </c>
      <c r="D376" s="20">
        <v>0</v>
      </c>
      <c r="E376" s="27">
        <v>52799.89</v>
      </c>
      <c r="F376" s="22" t="s">
        <v>88</v>
      </c>
      <c r="G376" s="29">
        <v>13</v>
      </c>
      <c r="H376" s="39">
        <v>44869</v>
      </c>
      <c r="I376" s="46">
        <f t="shared" si="20"/>
        <v>525</v>
      </c>
      <c r="J376" s="4" t="s">
        <v>15</v>
      </c>
      <c r="K376" s="4" t="s">
        <v>200</v>
      </c>
      <c r="L376" s="4" t="s">
        <v>225</v>
      </c>
      <c r="M376" s="7">
        <v>13</v>
      </c>
      <c r="N376" s="10">
        <v>4061.53</v>
      </c>
      <c r="O376" s="10">
        <v>52799.89</v>
      </c>
      <c r="P376">
        <f t="shared" si="21"/>
        <v>1</v>
      </c>
      <c r="Q376" s="36">
        <f t="shared" si="22"/>
        <v>52799.89</v>
      </c>
      <c r="R376">
        <f t="shared" si="23"/>
        <v>2022</v>
      </c>
    </row>
    <row r="377" spans="1:18" x14ac:dyDescent="0.2">
      <c r="A377" s="23">
        <v>45394</v>
      </c>
      <c r="B377" s="23">
        <v>45394</v>
      </c>
      <c r="C377" s="25" t="s">
        <v>398</v>
      </c>
      <c r="D377" s="20">
        <v>0</v>
      </c>
      <c r="E377" s="27">
        <v>52799.89</v>
      </c>
      <c r="F377" s="22" t="s">
        <v>88</v>
      </c>
      <c r="G377" s="29">
        <v>13</v>
      </c>
      <c r="H377" s="39">
        <v>44869</v>
      </c>
      <c r="I377" s="46">
        <f t="shared" si="20"/>
        <v>525</v>
      </c>
      <c r="J377" s="4" t="s">
        <v>15</v>
      </c>
      <c r="K377" s="4" t="s">
        <v>200</v>
      </c>
      <c r="L377" s="4" t="s">
        <v>225</v>
      </c>
      <c r="M377" s="7">
        <v>13</v>
      </c>
      <c r="N377" s="10">
        <v>4061.53</v>
      </c>
      <c r="O377" s="10">
        <v>52799.89</v>
      </c>
      <c r="P377">
        <f t="shared" si="21"/>
        <v>1</v>
      </c>
      <c r="Q377" s="36">
        <f t="shared" si="22"/>
        <v>52799.89</v>
      </c>
      <c r="R377">
        <f t="shared" si="23"/>
        <v>2022</v>
      </c>
    </row>
    <row r="378" spans="1:18" x14ac:dyDescent="0.2">
      <c r="A378" s="23">
        <v>45394</v>
      </c>
      <c r="B378" s="23">
        <v>45394</v>
      </c>
      <c r="C378" s="25" t="s">
        <v>398</v>
      </c>
      <c r="D378" s="20">
        <v>0</v>
      </c>
      <c r="E378" s="27">
        <v>52799.89</v>
      </c>
      <c r="F378" s="22" t="s">
        <v>88</v>
      </c>
      <c r="G378" s="29">
        <v>13</v>
      </c>
      <c r="H378" s="39">
        <v>44869</v>
      </c>
      <c r="I378" s="46">
        <f t="shared" si="20"/>
        <v>525</v>
      </c>
      <c r="J378" s="4" t="s">
        <v>15</v>
      </c>
      <c r="K378" s="4" t="s">
        <v>200</v>
      </c>
      <c r="L378" s="4" t="s">
        <v>225</v>
      </c>
      <c r="M378" s="7">
        <v>13</v>
      </c>
      <c r="N378" s="10">
        <v>4061.53</v>
      </c>
      <c r="O378" s="10">
        <v>52799.89</v>
      </c>
      <c r="P378">
        <f t="shared" si="21"/>
        <v>1</v>
      </c>
      <c r="Q378" s="36">
        <f t="shared" si="22"/>
        <v>52799.89</v>
      </c>
      <c r="R378">
        <f t="shared" si="23"/>
        <v>2022</v>
      </c>
    </row>
    <row r="379" spans="1:18" x14ac:dyDescent="0.2">
      <c r="A379" s="23">
        <v>45394</v>
      </c>
      <c r="B379" s="23">
        <v>45394</v>
      </c>
      <c r="C379" s="25" t="s">
        <v>398</v>
      </c>
      <c r="D379" s="20">
        <v>0</v>
      </c>
      <c r="E379" s="27">
        <v>52799.89</v>
      </c>
      <c r="F379" s="22" t="s">
        <v>88</v>
      </c>
      <c r="G379" s="29">
        <v>13</v>
      </c>
      <c r="H379" s="39">
        <v>44869</v>
      </c>
      <c r="I379" s="46">
        <f t="shared" si="20"/>
        <v>525</v>
      </c>
      <c r="J379" s="4" t="s">
        <v>15</v>
      </c>
      <c r="K379" s="4" t="s">
        <v>200</v>
      </c>
      <c r="L379" s="4" t="s">
        <v>225</v>
      </c>
      <c r="M379" s="7">
        <v>13</v>
      </c>
      <c r="N379" s="10">
        <v>4061.53</v>
      </c>
      <c r="O379" s="10">
        <v>52799.89</v>
      </c>
      <c r="P379">
        <f t="shared" si="21"/>
        <v>1</v>
      </c>
      <c r="Q379" s="36">
        <f t="shared" si="22"/>
        <v>52799.89</v>
      </c>
      <c r="R379">
        <f t="shared" si="23"/>
        <v>2022</v>
      </c>
    </row>
    <row r="380" spans="1:18" x14ac:dyDescent="0.2">
      <c r="A380" s="23">
        <v>45394</v>
      </c>
      <c r="B380" s="23">
        <v>45394</v>
      </c>
      <c r="C380" s="25" t="s">
        <v>398</v>
      </c>
      <c r="D380" s="20">
        <v>0</v>
      </c>
      <c r="E380" s="27">
        <v>52799.89</v>
      </c>
      <c r="F380" s="22" t="s">
        <v>88</v>
      </c>
      <c r="G380" s="29">
        <v>13</v>
      </c>
      <c r="H380" s="39">
        <v>44869</v>
      </c>
      <c r="I380" s="46">
        <f t="shared" si="20"/>
        <v>525</v>
      </c>
      <c r="J380" s="4" t="s">
        <v>15</v>
      </c>
      <c r="K380" s="4" t="s">
        <v>200</v>
      </c>
      <c r="L380" s="4" t="s">
        <v>225</v>
      </c>
      <c r="M380" s="7">
        <v>13</v>
      </c>
      <c r="N380" s="10">
        <v>4061.53</v>
      </c>
      <c r="O380" s="10">
        <v>52799.89</v>
      </c>
      <c r="P380">
        <f t="shared" si="21"/>
        <v>1</v>
      </c>
      <c r="Q380" s="36">
        <f t="shared" si="22"/>
        <v>52799.89</v>
      </c>
      <c r="R380">
        <f t="shared" si="23"/>
        <v>2022</v>
      </c>
    </row>
    <row r="381" spans="1:18" x14ac:dyDescent="0.2">
      <c r="A381" s="23">
        <v>45394</v>
      </c>
      <c r="B381" s="23">
        <v>45394</v>
      </c>
      <c r="C381" s="25" t="s">
        <v>398</v>
      </c>
      <c r="D381" s="20">
        <v>0</v>
      </c>
      <c r="E381" s="27">
        <v>52799.89</v>
      </c>
      <c r="F381" s="22" t="s">
        <v>88</v>
      </c>
      <c r="G381" s="29">
        <v>13</v>
      </c>
      <c r="H381" s="39">
        <v>44869</v>
      </c>
      <c r="I381" s="46">
        <f t="shared" si="20"/>
        <v>525</v>
      </c>
      <c r="J381" s="4" t="s">
        <v>15</v>
      </c>
      <c r="K381" s="4" t="s">
        <v>200</v>
      </c>
      <c r="L381" s="4" t="s">
        <v>225</v>
      </c>
      <c r="M381" s="7">
        <v>13</v>
      </c>
      <c r="N381" s="10">
        <v>4061.53</v>
      </c>
      <c r="O381" s="10">
        <v>52799.89</v>
      </c>
      <c r="P381">
        <f t="shared" si="21"/>
        <v>1</v>
      </c>
      <c r="Q381" s="36">
        <f t="shared" si="22"/>
        <v>52799.89</v>
      </c>
      <c r="R381">
        <f t="shared" si="23"/>
        <v>2022</v>
      </c>
    </row>
    <row r="382" spans="1:18" x14ac:dyDescent="0.2">
      <c r="A382" s="23">
        <v>45394</v>
      </c>
      <c r="B382" s="23">
        <v>45394</v>
      </c>
      <c r="C382" s="25" t="s">
        <v>398</v>
      </c>
      <c r="D382" s="20">
        <v>0</v>
      </c>
      <c r="E382" s="27">
        <v>52799.89</v>
      </c>
      <c r="F382" s="22" t="s">
        <v>88</v>
      </c>
      <c r="G382" s="29">
        <v>13</v>
      </c>
      <c r="H382" s="39">
        <v>44869</v>
      </c>
      <c r="I382" s="46">
        <f t="shared" si="20"/>
        <v>525</v>
      </c>
      <c r="J382" s="4" t="s">
        <v>15</v>
      </c>
      <c r="K382" s="4" t="s">
        <v>200</v>
      </c>
      <c r="L382" s="4" t="s">
        <v>225</v>
      </c>
      <c r="M382" s="7">
        <v>13</v>
      </c>
      <c r="N382" s="10">
        <v>4061.53</v>
      </c>
      <c r="O382" s="10">
        <v>52799.89</v>
      </c>
      <c r="P382">
        <f t="shared" si="21"/>
        <v>1</v>
      </c>
      <c r="Q382" s="36">
        <f t="shared" si="22"/>
        <v>52799.89</v>
      </c>
      <c r="R382">
        <f t="shared" si="23"/>
        <v>2022</v>
      </c>
    </row>
    <row r="383" spans="1:18" x14ac:dyDescent="0.2">
      <c r="A383" s="23">
        <v>45394</v>
      </c>
      <c r="B383" s="23">
        <v>45394</v>
      </c>
      <c r="C383" s="25" t="s">
        <v>398</v>
      </c>
      <c r="D383" s="20">
        <v>0</v>
      </c>
      <c r="E383" s="27">
        <v>52799.89</v>
      </c>
      <c r="F383" s="22" t="s">
        <v>88</v>
      </c>
      <c r="G383" s="29">
        <v>13</v>
      </c>
      <c r="H383" s="39">
        <v>44869</v>
      </c>
      <c r="I383" s="46">
        <f t="shared" si="20"/>
        <v>525</v>
      </c>
      <c r="J383" s="4" t="s">
        <v>15</v>
      </c>
      <c r="K383" s="4" t="s">
        <v>200</v>
      </c>
      <c r="L383" s="4" t="s">
        <v>225</v>
      </c>
      <c r="M383" s="7">
        <v>13</v>
      </c>
      <c r="N383" s="10">
        <v>4061.53</v>
      </c>
      <c r="O383" s="10">
        <v>52799.89</v>
      </c>
      <c r="P383">
        <f t="shared" si="21"/>
        <v>1</v>
      </c>
      <c r="Q383" s="36">
        <f t="shared" si="22"/>
        <v>52799.89</v>
      </c>
      <c r="R383">
        <f t="shared" si="23"/>
        <v>2022</v>
      </c>
    </row>
    <row r="384" spans="1:18" x14ac:dyDescent="0.2">
      <c r="A384" s="23">
        <v>45394</v>
      </c>
      <c r="B384" s="23">
        <v>45394</v>
      </c>
      <c r="C384" s="25" t="s">
        <v>398</v>
      </c>
      <c r="D384" s="20">
        <v>0</v>
      </c>
      <c r="E384" s="27">
        <v>52799.89</v>
      </c>
      <c r="F384" s="22" t="s">
        <v>88</v>
      </c>
      <c r="G384" s="29">
        <v>13</v>
      </c>
      <c r="H384" s="39">
        <v>44869</v>
      </c>
      <c r="I384" s="46">
        <f t="shared" si="20"/>
        <v>525</v>
      </c>
      <c r="J384" s="4" t="s">
        <v>15</v>
      </c>
      <c r="K384" s="4" t="s">
        <v>200</v>
      </c>
      <c r="L384" s="4" t="s">
        <v>225</v>
      </c>
      <c r="M384" s="7">
        <v>13</v>
      </c>
      <c r="N384" s="10">
        <v>4061.53</v>
      </c>
      <c r="O384" s="10">
        <v>52799.89</v>
      </c>
      <c r="P384">
        <f t="shared" si="21"/>
        <v>1</v>
      </c>
      <c r="Q384" s="36">
        <f t="shared" si="22"/>
        <v>52799.89</v>
      </c>
      <c r="R384">
        <f t="shared" si="23"/>
        <v>2022</v>
      </c>
    </row>
    <row r="385" spans="1:18" x14ac:dyDescent="0.2">
      <c r="A385" s="23">
        <v>45394</v>
      </c>
      <c r="B385" s="23">
        <v>45394</v>
      </c>
      <c r="C385" s="25" t="s">
        <v>398</v>
      </c>
      <c r="D385" s="20">
        <v>0</v>
      </c>
      <c r="E385" s="27">
        <v>52799.89</v>
      </c>
      <c r="F385" s="22" t="s">
        <v>88</v>
      </c>
      <c r="G385" s="29">
        <v>13</v>
      </c>
      <c r="H385" s="39">
        <v>44869</v>
      </c>
      <c r="I385" s="46">
        <f t="shared" si="20"/>
        <v>525</v>
      </c>
      <c r="J385" s="4" t="s">
        <v>15</v>
      </c>
      <c r="K385" s="4" t="s">
        <v>200</v>
      </c>
      <c r="L385" s="4" t="s">
        <v>225</v>
      </c>
      <c r="M385" s="7">
        <v>13</v>
      </c>
      <c r="N385" s="10">
        <v>4061.53</v>
      </c>
      <c r="O385" s="10">
        <v>52799.89</v>
      </c>
      <c r="P385">
        <f t="shared" si="21"/>
        <v>1</v>
      </c>
      <c r="Q385" s="36">
        <f t="shared" si="22"/>
        <v>52799.89</v>
      </c>
      <c r="R385">
        <f t="shared" si="23"/>
        <v>2022</v>
      </c>
    </row>
    <row r="386" spans="1:18" x14ac:dyDescent="0.2">
      <c r="A386" s="23">
        <v>45394</v>
      </c>
      <c r="B386" s="23">
        <v>45394</v>
      </c>
      <c r="C386" s="25" t="s">
        <v>398</v>
      </c>
      <c r="D386" s="20">
        <v>0</v>
      </c>
      <c r="E386" s="27">
        <v>52799.89</v>
      </c>
      <c r="F386" s="22" t="s">
        <v>88</v>
      </c>
      <c r="G386" s="29">
        <v>13</v>
      </c>
      <c r="H386" s="39">
        <v>44869</v>
      </c>
      <c r="I386" s="46">
        <f t="shared" si="20"/>
        <v>525</v>
      </c>
      <c r="J386" s="4" t="s">
        <v>15</v>
      </c>
      <c r="K386" s="4" t="s">
        <v>200</v>
      </c>
      <c r="L386" s="4" t="s">
        <v>225</v>
      </c>
      <c r="M386" s="7">
        <v>13</v>
      </c>
      <c r="N386" s="10">
        <v>4061.53</v>
      </c>
      <c r="O386" s="10">
        <v>52799.89</v>
      </c>
      <c r="P386">
        <f t="shared" si="21"/>
        <v>1</v>
      </c>
      <c r="Q386" s="36">
        <f t="shared" si="22"/>
        <v>52799.89</v>
      </c>
      <c r="R386">
        <f t="shared" si="23"/>
        <v>2022</v>
      </c>
    </row>
    <row r="387" spans="1:18" x14ac:dyDescent="0.2">
      <c r="A387" s="23">
        <v>45394</v>
      </c>
      <c r="B387" s="23">
        <v>45394</v>
      </c>
      <c r="C387" s="25" t="s">
        <v>398</v>
      </c>
      <c r="D387" s="20">
        <v>0</v>
      </c>
      <c r="E387" s="27">
        <v>52799.89</v>
      </c>
      <c r="F387" s="22" t="s">
        <v>88</v>
      </c>
      <c r="G387" s="29">
        <v>13</v>
      </c>
      <c r="H387" s="39">
        <v>44869</v>
      </c>
      <c r="I387" s="46">
        <f t="shared" ref="I387:I450" si="24">IFERROR(A387-H387,"")*1</f>
        <v>525</v>
      </c>
      <c r="J387" s="4" t="s">
        <v>15</v>
      </c>
      <c r="K387" s="4" t="s">
        <v>200</v>
      </c>
      <c r="L387" s="4" t="s">
        <v>225</v>
      </c>
      <c r="M387" s="7">
        <v>13</v>
      </c>
      <c r="N387" s="10">
        <v>4061.53</v>
      </c>
      <c r="O387" s="10">
        <v>52799.89</v>
      </c>
      <c r="P387">
        <f t="shared" ref="P387:P450" si="25">IF(M387=G387,1,0)</f>
        <v>1</v>
      </c>
      <c r="Q387" s="36">
        <f t="shared" ref="Q387:Q450" si="26">N387*G387</f>
        <v>52799.89</v>
      </c>
      <c r="R387">
        <f t="shared" ref="R387:R450" si="27">YEAR(H387)</f>
        <v>2022</v>
      </c>
    </row>
    <row r="388" spans="1:18" x14ac:dyDescent="0.2">
      <c r="A388" s="23">
        <v>45394</v>
      </c>
      <c r="B388" s="23">
        <v>45394</v>
      </c>
      <c r="C388" s="25" t="s">
        <v>398</v>
      </c>
      <c r="D388" s="20">
        <v>0</v>
      </c>
      <c r="E388" s="27">
        <v>52799.89</v>
      </c>
      <c r="F388" s="22" t="s">
        <v>88</v>
      </c>
      <c r="G388" s="29">
        <v>13</v>
      </c>
      <c r="H388" s="39">
        <v>44869</v>
      </c>
      <c r="I388" s="46">
        <f t="shared" si="24"/>
        <v>525</v>
      </c>
      <c r="J388" s="4" t="s">
        <v>15</v>
      </c>
      <c r="K388" s="4" t="s">
        <v>200</v>
      </c>
      <c r="L388" s="4" t="s">
        <v>225</v>
      </c>
      <c r="M388" s="7">
        <v>13</v>
      </c>
      <c r="N388" s="10">
        <v>4061.53</v>
      </c>
      <c r="O388" s="10">
        <v>52799.89</v>
      </c>
      <c r="P388">
        <f t="shared" si="25"/>
        <v>1</v>
      </c>
      <c r="Q388" s="36">
        <f t="shared" si="26"/>
        <v>52799.89</v>
      </c>
      <c r="R388">
        <f t="shared" si="27"/>
        <v>2022</v>
      </c>
    </row>
    <row r="389" spans="1:18" x14ac:dyDescent="0.2">
      <c r="A389" s="23">
        <v>45394</v>
      </c>
      <c r="B389" s="23">
        <v>45394</v>
      </c>
      <c r="C389" s="25" t="s">
        <v>398</v>
      </c>
      <c r="D389" s="20">
        <v>0</v>
      </c>
      <c r="E389" s="27">
        <v>52799.89</v>
      </c>
      <c r="F389" s="22" t="s">
        <v>88</v>
      </c>
      <c r="G389" s="29">
        <v>13</v>
      </c>
      <c r="H389" s="39">
        <v>44869</v>
      </c>
      <c r="I389" s="46">
        <f t="shared" si="24"/>
        <v>525</v>
      </c>
      <c r="J389" s="4" t="s">
        <v>15</v>
      </c>
      <c r="K389" s="4" t="s">
        <v>200</v>
      </c>
      <c r="L389" s="4" t="s">
        <v>225</v>
      </c>
      <c r="M389" s="7">
        <v>13</v>
      </c>
      <c r="N389" s="10">
        <v>4061.53</v>
      </c>
      <c r="O389" s="10">
        <v>52799.89</v>
      </c>
      <c r="P389">
        <f t="shared" si="25"/>
        <v>1</v>
      </c>
      <c r="Q389" s="36">
        <f t="shared" si="26"/>
        <v>52799.89</v>
      </c>
      <c r="R389">
        <f t="shared" si="27"/>
        <v>2022</v>
      </c>
    </row>
    <row r="390" spans="1:18" x14ac:dyDescent="0.2">
      <c r="A390" s="23">
        <v>45394</v>
      </c>
      <c r="B390" s="23">
        <v>45394</v>
      </c>
      <c r="C390" s="25" t="s">
        <v>398</v>
      </c>
      <c r="D390" s="20">
        <v>0</v>
      </c>
      <c r="E390" s="27">
        <v>52799.89</v>
      </c>
      <c r="F390" s="22" t="s">
        <v>88</v>
      </c>
      <c r="G390" s="29">
        <v>13</v>
      </c>
      <c r="H390" s="39">
        <v>44869</v>
      </c>
      <c r="I390" s="46">
        <f t="shared" si="24"/>
        <v>525</v>
      </c>
      <c r="J390" s="4" t="s">
        <v>15</v>
      </c>
      <c r="K390" s="4" t="s">
        <v>200</v>
      </c>
      <c r="L390" s="4" t="s">
        <v>225</v>
      </c>
      <c r="M390" s="7">
        <v>13</v>
      </c>
      <c r="N390" s="10">
        <v>4061.53</v>
      </c>
      <c r="O390" s="10">
        <v>52799.89</v>
      </c>
      <c r="P390">
        <f t="shared" si="25"/>
        <v>1</v>
      </c>
      <c r="Q390" s="36">
        <f t="shared" si="26"/>
        <v>52799.89</v>
      </c>
      <c r="R390">
        <f t="shared" si="27"/>
        <v>2022</v>
      </c>
    </row>
    <row r="391" spans="1:18" x14ac:dyDescent="0.2">
      <c r="A391" s="23">
        <v>45394</v>
      </c>
      <c r="B391" s="23">
        <v>45394</v>
      </c>
      <c r="C391" s="25" t="s">
        <v>398</v>
      </c>
      <c r="D391" s="20">
        <v>0</v>
      </c>
      <c r="E391" s="27">
        <v>52799.89</v>
      </c>
      <c r="F391" s="22" t="s">
        <v>88</v>
      </c>
      <c r="G391" s="29">
        <v>13</v>
      </c>
      <c r="H391" s="39">
        <v>44869</v>
      </c>
      <c r="I391" s="46">
        <f t="shared" si="24"/>
        <v>525</v>
      </c>
      <c r="J391" s="4" t="s">
        <v>15</v>
      </c>
      <c r="K391" s="4" t="s">
        <v>200</v>
      </c>
      <c r="L391" s="4" t="s">
        <v>225</v>
      </c>
      <c r="M391" s="7">
        <v>13</v>
      </c>
      <c r="N391" s="10">
        <v>4061.53</v>
      </c>
      <c r="O391" s="10">
        <v>52799.89</v>
      </c>
      <c r="P391">
        <f t="shared" si="25"/>
        <v>1</v>
      </c>
      <c r="Q391" s="36">
        <f t="shared" si="26"/>
        <v>52799.89</v>
      </c>
      <c r="R391">
        <f t="shared" si="27"/>
        <v>2022</v>
      </c>
    </row>
    <row r="392" spans="1:18" x14ac:dyDescent="0.2">
      <c r="A392" s="23">
        <v>45394</v>
      </c>
      <c r="B392" s="23">
        <v>45394</v>
      </c>
      <c r="C392" s="25" t="s">
        <v>398</v>
      </c>
      <c r="D392" s="20">
        <v>0</v>
      </c>
      <c r="E392" s="27">
        <v>52799.89</v>
      </c>
      <c r="F392" s="22" t="s">
        <v>88</v>
      </c>
      <c r="G392" s="29">
        <v>13</v>
      </c>
      <c r="H392" s="39">
        <v>44869</v>
      </c>
      <c r="I392" s="46">
        <f t="shared" si="24"/>
        <v>525</v>
      </c>
      <c r="J392" s="4" t="s">
        <v>15</v>
      </c>
      <c r="K392" s="4" t="s">
        <v>200</v>
      </c>
      <c r="L392" s="4" t="s">
        <v>225</v>
      </c>
      <c r="M392" s="7">
        <v>13</v>
      </c>
      <c r="N392" s="10">
        <v>4061.53</v>
      </c>
      <c r="O392" s="10">
        <v>52799.89</v>
      </c>
      <c r="P392">
        <f t="shared" si="25"/>
        <v>1</v>
      </c>
      <c r="Q392" s="36">
        <f t="shared" si="26"/>
        <v>52799.89</v>
      </c>
      <c r="R392">
        <f t="shared" si="27"/>
        <v>2022</v>
      </c>
    </row>
    <row r="393" spans="1:18" x14ac:dyDescent="0.2">
      <c r="A393" s="23">
        <v>45394</v>
      </c>
      <c r="B393" s="23">
        <v>45394</v>
      </c>
      <c r="C393" s="25" t="s">
        <v>398</v>
      </c>
      <c r="D393" s="20">
        <v>0</v>
      </c>
      <c r="E393" s="27">
        <v>52799.89</v>
      </c>
      <c r="F393" s="22" t="s">
        <v>88</v>
      </c>
      <c r="G393" s="29">
        <v>13</v>
      </c>
      <c r="H393" s="39">
        <v>44869</v>
      </c>
      <c r="I393" s="46">
        <f t="shared" si="24"/>
        <v>525</v>
      </c>
      <c r="J393" s="4" t="s">
        <v>15</v>
      </c>
      <c r="K393" s="4" t="s">
        <v>200</v>
      </c>
      <c r="L393" s="4" t="s">
        <v>225</v>
      </c>
      <c r="M393" s="7">
        <v>13</v>
      </c>
      <c r="N393" s="10">
        <v>4061.53</v>
      </c>
      <c r="O393" s="10">
        <v>52799.89</v>
      </c>
      <c r="P393">
        <f t="shared" si="25"/>
        <v>1</v>
      </c>
      <c r="Q393" s="36">
        <f t="shared" si="26"/>
        <v>52799.89</v>
      </c>
      <c r="R393">
        <f t="shared" si="27"/>
        <v>2022</v>
      </c>
    </row>
    <row r="394" spans="1:18" x14ac:dyDescent="0.2">
      <c r="A394" s="23">
        <v>45394</v>
      </c>
      <c r="B394" s="23">
        <v>45394</v>
      </c>
      <c r="C394" s="25" t="s">
        <v>398</v>
      </c>
      <c r="D394" s="20">
        <v>0</v>
      </c>
      <c r="E394" s="27">
        <v>52799.89</v>
      </c>
      <c r="F394" s="22" t="s">
        <v>88</v>
      </c>
      <c r="G394" s="29">
        <v>13</v>
      </c>
      <c r="H394" s="39">
        <v>44869</v>
      </c>
      <c r="I394" s="46">
        <f t="shared" si="24"/>
        <v>525</v>
      </c>
      <c r="J394" s="4" t="s">
        <v>15</v>
      </c>
      <c r="K394" s="4" t="s">
        <v>200</v>
      </c>
      <c r="L394" s="4" t="s">
        <v>225</v>
      </c>
      <c r="M394" s="7">
        <v>13</v>
      </c>
      <c r="N394" s="10">
        <v>4061.53</v>
      </c>
      <c r="O394" s="10">
        <v>52799.89</v>
      </c>
      <c r="P394">
        <f t="shared" si="25"/>
        <v>1</v>
      </c>
      <c r="Q394" s="36">
        <f t="shared" si="26"/>
        <v>52799.89</v>
      </c>
      <c r="R394">
        <f t="shared" si="27"/>
        <v>2022</v>
      </c>
    </row>
    <row r="395" spans="1:18" x14ac:dyDescent="0.2">
      <c r="A395" s="23">
        <v>45394</v>
      </c>
      <c r="B395" s="23">
        <v>45394</v>
      </c>
      <c r="C395" s="25" t="s">
        <v>398</v>
      </c>
      <c r="D395" s="20">
        <v>0</v>
      </c>
      <c r="E395" s="27">
        <v>52799.89</v>
      </c>
      <c r="F395" s="22" t="s">
        <v>88</v>
      </c>
      <c r="G395" s="29">
        <v>13</v>
      </c>
      <c r="H395" s="39">
        <v>44869</v>
      </c>
      <c r="I395" s="46">
        <f t="shared" si="24"/>
        <v>525</v>
      </c>
      <c r="J395" s="4" t="s">
        <v>15</v>
      </c>
      <c r="K395" s="4" t="s">
        <v>200</v>
      </c>
      <c r="L395" s="4" t="s">
        <v>225</v>
      </c>
      <c r="M395" s="7">
        <v>13</v>
      </c>
      <c r="N395" s="10">
        <v>4061.53</v>
      </c>
      <c r="O395" s="10">
        <v>52799.89</v>
      </c>
      <c r="P395">
        <f t="shared" si="25"/>
        <v>1</v>
      </c>
      <c r="Q395" s="36">
        <f t="shared" si="26"/>
        <v>52799.89</v>
      </c>
      <c r="R395">
        <f t="shared" si="27"/>
        <v>2022</v>
      </c>
    </row>
    <row r="396" spans="1:18" x14ac:dyDescent="0.2">
      <c r="A396" s="23">
        <v>45394</v>
      </c>
      <c r="B396" s="23">
        <v>45394</v>
      </c>
      <c r="C396" s="25" t="s">
        <v>398</v>
      </c>
      <c r="D396" s="20">
        <v>0</v>
      </c>
      <c r="E396" s="27">
        <v>52799.89</v>
      </c>
      <c r="F396" s="22" t="s">
        <v>88</v>
      </c>
      <c r="G396" s="29">
        <v>13</v>
      </c>
      <c r="H396" s="39">
        <v>44869</v>
      </c>
      <c r="I396" s="46">
        <f t="shared" si="24"/>
        <v>525</v>
      </c>
      <c r="J396" s="4" t="s">
        <v>15</v>
      </c>
      <c r="K396" s="4" t="s">
        <v>200</v>
      </c>
      <c r="L396" s="4" t="s">
        <v>225</v>
      </c>
      <c r="M396" s="7">
        <v>13</v>
      </c>
      <c r="N396" s="10">
        <v>4061.53</v>
      </c>
      <c r="O396" s="10">
        <v>52799.89</v>
      </c>
      <c r="P396">
        <f t="shared" si="25"/>
        <v>1</v>
      </c>
      <c r="Q396" s="36">
        <f t="shared" si="26"/>
        <v>52799.89</v>
      </c>
      <c r="R396">
        <f t="shared" si="27"/>
        <v>2022</v>
      </c>
    </row>
    <row r="397" spans="1:18" x14ac:dyDescent="0.2">
      <c r="A397" s="23">
        <v>45394</v>
      </c>
      <c r="B397" s="23">
        <v>45394</v>
      </c>
      <c r="C397" s="25" t="s">
        <v>398</v>
      </c>
      <c r="D397" s="20">
        <v>0</v>
      </c>
      <c r="E397" s="27">
        <v>52799.89</v>
      </c>
      <c r="F397" s="22" t="s">
        <v>88</v>
      </c>
      <c r="G397" s="29">
        <v>13</v>
      </c>
      <c r="H397" s="39">
        <v>44869</v>
      </c>
      <c r="I397" s="46">
        <f t="shared" si="24"/>
        <v>525</v>
      </c>
      <c r="J397" s="4" t="s">
        <v>15</v>
      </c>
      <c r="K397" s="4" t="s">
        <v>200</v>
      </c>
      <c r="L397" s="4" t="s">
        <v>225</v>
      </c>
      <c r="M397" s="7">
        <v>13</v>
      </c>
      <c r="N397" s="10">
        <v>4061.53</v>
      </c>
      <c r="O397" s="10">
        <v>52799.89</v>
      </c>
      <c r="P397">
        <f t="shared" si="25"/>
        <v>1</v>
      </c>
      <c r="Q397" s="36">
        <f t="shared" si="26"/>
        <v>52799.89</v>
      </c>
      <c r="R397">
        <f t="shared" si="27"/>
        <v>2022</v>
      </c>
    </row>
    <row r="398" spans="1:18" x14ac:dyDescent="0.2">
      <c r="A398" s="23">
        <v>45394</v>
      </c>
      <c r="B398" s="23">
        <v>45394</v>
      </c>
      <c r="C398" s="25" t="s">
        <v>398</v>
      </c>
      <c r="D398" s="20">
        <v>0</v>
      </c>
      <c r="E398" s="27">
        <v>52799.89</v>
      </c>
      <c r="F398" s="22" t="s">
        <v>88</v>
      </c>
      <c r="G398" s="29">
        <v>13</v>
      </c>
      <c r="H398" s="39">
        <v>44869</v>
      </c>
      <c r="I398" s="46">
        <f t="shared" si="24"/>
        <v>525</v>
      </c>
      <c r="J398" s="4" t="s">
        <v>15</v>
      </c>
      <c r="K398" s="4" t="s">
        <v>200</v>
      </c>
      <c r="L398" s="4" t="s">
        <v>225</v>
      </c>
      <c r="M398" s="7">
        <v>13</v>
      </c>
      <c r="N398" s="10">
        <v>4061.53</v>
      </c>
      <c r="O398" s="10">
        <v>52799.89</v>
      </c>
      <c r="P398">
        <f t="shared" si="25"/>
        <v>1</v>
      </c>
      <c r="Q398" s="36">
        <f t="shared" si="26"/>
        <v>52799.89</v>
      </c>
      <c r="R398">
        <f t="shared" si="27"/>
        <v>2022</v>
      </c>
    </row>
    <row r="399" spans="1:18" x14ac:dyDescent="0.2">
      <c r="A399" s="23">
        <v>45394</v>
      </c>
      <c r="B399" s="23">
        <v>45394</v>
      </c>
      <c r="C399" s="25" t="s">
        <v>398</v>
      </c>
      <c r="D399" s="20">
        <v>0</v>
      </c>
      <c r="E399" s="27">
        <v>52799.89</v>
      </c>
      <c r="F399" s="22" t="s">
        <v>88</v>
      </c>
      <c r="G399" s="29">
        <v>13</v>
      </c>
      <c r="H399" s="39">
        <v>44869</v>
      </c>
      <c r="I399" s="46">
        <f t="shared" si="24"/>
        <v>525</v>
      </c>
      <c r="J399" s="4" t="s">
        <v>15</v>
      </c>
      <c r="K399" s="4" t="s">
        <v>200</v>
      </c>
      <c r="L399" s="4" t="s">
        <v>225</v>
      </c>
      <c r="M399" s="7">
        <v>13</v>
      </c>
      <c r="N399" s="10">
        <v>4061.53</v>
      </c>
      <c r="O399" s="10">
        <v>52799.89</v>
      </c>
      <c r="P399">
        <f t="shared" si="25"/>
        <v>1</v>
      </c>
      <c r="Q399" s="36">
        <f t="shared" si="26"/>
        <v>52799.89</v>
      </c>
      <c r="R399">
        <f t="shared" si="27"/>
        <v>2022</v>
      </c>
    </row>
    <row r="400" spans="1:18" x14ac:dyDescent="0.2">
      <c r="A400" s="23">
        <v>45394</v>
      </c>
      <c r="B400" s="23">
        <v>45394</v>
      </c>
      <c r="C400" s="25" t="s">
        <v>398</v>
      </c>
      <c r="D400" s="20">
        <v>0</v>
      </c>
      <c r="E400" s="27">
        <v>52799.89</v>
      </c>
      <c r="F400" s="22" t="s">
        <v>88</v>
      </c>
      <c r="G400" s="29">
        <v>13</v>
      </c>
      <c r="H400" s="39">
        <v>44869</v>
      </c>
      <c r="I400" s="46">
        <f t="shared" si="24"/>
        <v>525</v>
      </c>
      <c r="J400" s="4" t="s">
        <v>15</v>
      </c>
      <c r="K400" s="4" t="s">
        <v>200</v>
      </c>
      <c r="L400" s="4" t="s">
        <v>225</v>
      </c>
      <c r="M400" s="7">
        <v>13</v>
      </c>
      <c r="N400" s="10">
        <v>4061.53</v>
      </c>
      <c r="O400" s="10">
        <v>52799.89</v>
      </c>
      <c r="P400">
        <f t="shared" si="25"/>
        <v>1</v>
      </c>
      <c r="Q400" s="36">
        <f t="shared" si="26"/>
        <v>52799.89</v>
      </c>
      <c r="R400">
        <f t="shared" si="27"/>
        <v>2022</v>
      </c>
    </row>
    <row r="401" spans="1:18" x14ac:dyDescent="0.2">
      <c r="A401" s="23">
        <v>45394</v>
      </c>
      <c r="B401" s="23">
        <v>45394</v>
      </c>
      <c r="C401" s="25" t="s">
        <v>398</v>
      </c>
      <c r="D401" s="20">
        <v>0</v>
      </c>
      <c r="E401" s="27">
        <v>52799.89</v>
      </c>
      <c r="F401" s="22" t="s">
        <v>88</v>
      </c>
      <c r="G401" s="29">
        <v>13</v>
      </c>
      <c r="H401" s="39">
        <v>44869</v>
      </c>
      <c r="I401" s="46">
        <f t="shared" si="24"/>
        <v>525</v>
      </c>
      <c r="J401" s="4" t="s">
        <v>15</v>
      </c>
      <c r="K401" s="4" t="s">
        <v>200</v>
      </c>
      <c r="L401" s="4" t="s">
        <v>225</v>
      </c>
      <c r="M401" s="7">
        <v>13</v>
      </c>
      <c r="N401" s="10">
        <v>4061.53</v>
      </c>
      <c r="O401" s="10">
        <v>52799.89</v>
      </c>
      <c r="P401">
        <f t="shared" si="25"/>
        <v>1</v>
      </c>
      <c r="Q401" s="36">
        <f t="shared" si="26"/>
        <v>52799.89</v>
      </c>
      <c r="R401">
        <f t="shared" si="27"/>
        <v>2022</v>
      </c>
    </row>
    <row r="402" spans="1:18" x14ac:dyDescent="0.2">
      <c r="A402" s="23">
        <v>45394</v>
      </c>
      <c r="B402" s="23">
        <v>45394</v>
      </c>
      <c r="C402" s="25" t="s">
        <v>398</v>
      </c>
      <c r="D402" s="20">
        <v>0</v>
      </c>
      <c r="E402" s="27">
        <v>52799.89</v>
      </c>
      <c r="F402" s="22" t="s">
        <v>88</v>
      </c>
      <c r="G402" s="29">
        <v>13</v>
      </c>
      <c r="H402" s="39">
        <v>44869</v>
      </c>
      <c r="I402" s="46">
        <f t="shared" si="24"/>
        <v>525</v>
      </c>
      <c r="J402" s="4" t="s">
        <v>15</v>
      </c>
      <c r="K402" s="4" t="s">
        <v>200</v>
      </c>
      <c r="L402" s="4" t="s">
        <v>225</v>
      </c>
      <c r="M402" s="7">
        <v>13</v>
      </c>
      <c r="N402" s="10">
        <v>4061.53</v>
      </c>
      <c r="O402" s="10">
        <v>52799.89</v>
      </c>
      <c r="P402">
        <f t="shared" si="25"/>
        <v>1</v>
      </c>
      <c r="Q402" s="36">
        <f t="shared" si="26"/>
        <v>52799.89</v>
      </c>
      <c r="R402">
        <f t="shared" si="27"/>
        <v>2022</v>
      </c>
    </row>
    <row r="403" spans="1:18" x14ac:dyDescent="0.2">
      <c r="A403" s="23">
        <v>45394</v>
      </c>
      <c r="B403" s="23">
        <v>45394</v>
      </c>
      <c r="C403" s="25" t="s">
        <v>398</v>
      </c>
      <c r="D403" s="20">
        <v>0</v>
      </c>
      <c r="E403" s="27">
        <v>52799.89</v>
      </c>
      <c r="F403" s="22" t="s">
        <v>88</v>
      </c>
      <c r="G403" s="29">
        <v>13</v>
      </c>
      <c r="H403" s="39">
        <v>44869</v>
      </c>
      <c r="I403" s="46">
        <f t="shared" si="24"/>
        <v>525</v>
      </c>
      <c r="J403" s="4" t="s">
        <v>15</v>
      </c>
      <c r="K403" s="4" t="s">
        <v>200</v>
      </c>
      <c r="L403" s="4" t="s">
        <v>225</v>
      </c>
      <c r="M403" s="7">
        <v>13</v>
      </c>
      <c r="N403" s="10">
        <v>4061.53</v>
      </c>
      <c r="O403" s="10">
        <v>52799.89</v>
      </c>
      <c r="P403">
        <f t="shared" si="25"/>
        <v>1</v>
      </c>
      <c r="Q403" s="36">
        <f t="shared" si="26"/>
        <v>52799.89</v>
      </c>
      <c r="R403">
        <f t="shared" si="27"/>
        <v>2022</v>
      </c>
    </row>
    <row r="404" spans="1:18" x14ac:dyDescent="0.2">
      <c r="A404" s="23">
        <v>45394</v>
      </c>
      <c r="B404" s="23">
        <v>45394</v>
      </c>
      <c r="C404" s="25" t="s">
        <v>398</v>
      </c>
      <c r="D404" s="20">
        <v>0</v>
      </c>
      <c r="E404" s="27">
        <v>52799.89</v>
      </c>
      <c r="F404" s="22" t="s">
        <v>88</v>
      </c>
      <c r="G404" s="29">
        <v>13</v>
      </c>
      <c r="H404" s="39">
        <v>44869</v>
      </c>
      <c r="I404" s="46">
        <f t="shared" si="24"/>
        <v>525</v>
      </c>
      <c r="J404" s="4" t="s">
        <v>15</v>
      </c>
      <c r="K404" s="4" t="s">
        <v>200</v>
      </c>
      <c r="L404" s="4" t="s">
        <v>225</v>
      </c>
      <c r="M404" s="7">
        <v>13</v>
      </c>
      <c r="N404" s="10">
        <v>4061.53</v>
      </c>
      <c r="O404" s="10">
        <v>52799.89</v>
      </c>
      <c r="P404">
        <f t="shared" si="25"/>
        <v>1</v>
      </c>
      <c r="Q404" s="36">
        <f t="shared" si="26"/>
        <v>52799.89</v>
      </c>
      <c r="R404">
        <f t="shared" si="27"/>
        <v>2022</v>
      </c>
    </row>
    <row r="405" spans="1:18" x14ac:dyDescent="0.2">
      <c r="A405" s="23">
        <v>45394</v>
      </c>
      <c r="B405" s="23">
        <v>45394</v>
      </c>
      <c r="C405" s="25" t="s">
        <v>398</v>
      </c>
      <c r="D405" s="20">
        <v>0</v>
      </c>
      <c r="E405" s="27">
        <v>52799.89</v>
      </c>
      <c r="F405" s="22" t="s">
        <v>88</v>
      </c>
      <c r="G405" s="29">
        <v>13</v>
      </c>
      <c r="H405" s="39">
        <v>44869</v>
      </c>
      <c r="I405" s="46">
        <f t="shared" si="24"/>
        <v>525</v>
      </c>
      <c r="J405" s="4" t="s">
        <v>15</v>
      </c>
      <c r="K405" s="4" t="s">
        <v>200</v>
      </c>
      <c r="L405" s="4" t="s">
        <v>225</v>
      </c>
      <c r="M405" s="7">
        <v>13</v>
      </c>
      <c r="N405" s="10">
        <v>4061.53</v>
      </c>
      <c r="O405" s="10">
        <v>52799.89</v>
      </c>
      <c r="P405">
        <f t="shared" si="25"/>
        <v>1</v>
      </c>
      <c r="Q405" s="36">
        <f t="shared" si="26"/>
        <v>52799.89</v>
      </c>
      <c r="R405">
        <f t="shared" si="27"/>
        <v>2022</v>
      </c>
    </row>
    <row r="406" spans="1:18" x14ac:dyDescent="0.2">
      <c r="A406" s="23">
        <v>45394</v>
      </c>
      <c r="B406" s="23">
        <v>45394</v>
      </c>
      <c r="C406" s="25" t="s">
        <v>398</v>
      </c>
      <c r="D406" s="20">
        <v>0</v>
      </c>
      <c r="E406" s="27">
        <v>52799.89</v>
      </c>
      <c r="F406" s="22" t="s">
        <v>88</v>
      </c>
      <c r="G406" s="29">
        <v>13</v>
      </c>
      <c r="H406" s="39">
        <v>44869</v>
      </c>
      <c r="I406" s="46">
        <f t="shared" si="24"/>
        <v>525</v>
      </c>
      <c r="J406" s="4" t="s">
        <v>15</v>
      </c>
      <c r="K406" s="4" t="s">
        <v>200</v>
      </c>
      <c r="L406" s="4" t="s">
        <v>225</v>
      </c>
      <c r="M406" s="7">
        <v>13</v>
      </c>
      <c r="N406" s="10">
        <v>4061.53</v>
      </c>
      <c r="O406" s="10">
        <v>52799.89</v>
      </c>
      <c r="P406">
        <f t="shared" si="25"/>
        <v>1</v>
      </c>
      <c r="Q406" s="36">
        <f t="shared" si="26"/>
        <v>52799.89</v>
      </c>
      <c r="R406">
        <f t="shared" si="27"/>
        <v>2022</v>
      </c>
    </row>
    <row r="407" spans="1:18" x14ac:dyDescent="0.2">
      <c r="A407" s="23">
        <v>45394</v>
      </c>
      <c r="B407" s="23">
        <v>45394</v>
      </c>
      <c r="C407" s="25" t="s">
        <v>398</v>
      </c>
      <c r="D407" s="20">
        <v>0</v>
      </c>
      <c r="E407" s="27">
        <v>52799.89</v>
      </c>
      <c r="F407" s="22" t="s">
        <v>88</v>
      </c>
      <c r="G407" s="29">
        <v>13</v>
      </c>
      <c r="H407" s="39">
        <v>44869</v>
      </c>
      <c r="I407" s="46">
        <f t="shared" si="24"/>
        <v>525</v>
      </c>
      <c r="J407" s="4" t="s">
        <v>15</v>
      </c>
      <c r="K407" s="4" t="s">
        <v>200</v>
      </c>
      <c r="L407" s="4" t="s">
        <v>225</v>
      </c>
      <c r="M407" s="7">
        <v>13</v>
      </c>
      <c r="N407" s="10">
        <v>4061.53</v>
      </c>
      <c r="O407" s="10">
        <v>52799.89</v>
      </c>
      <c r="P407">
        <f t="shared" si="25"/>
        <v>1</v>
      </c>
      <c r="Q407" s="36">
        <f t="shared" si="26"/>
        <v>52799.89</v>
      </c>
      <c r="R407">
        <f t="shared" si="27"/>
        <v>2022</v>
      </c>
    </row>
    <row r="408" spans="1:18" x14ac:dyDescent="0.2">
      <c r="A408" s="23">
        <v>45394</v>
      </c>
      <c r="B408" s="23">
        <v>45394</v>
      </c>
      <c r="C408" s="25" t="s">
        <v>398</v>
      </c>
      <c r="D408" s="20">
        <v>0</v>
      </c>
      <c r="E408" s="27">
        <v>52799.89</v>
      </c>
      <c r="F408" s="22" t="s">
        <v>88</v>
      </c>
      <c r="G408" s="29">
        <v>13</v>
      </c>
      <c r="H408" s="39">
        <v>44869</v>
      </c>
      <c r="I408" s="46">
        <f t="shared" si="24"/>
        <v>525</v>
      </c>
      <c r="J408" s="4" t="s">
        <v>15</v>
      </c>
      <c r="K408" s="4" t="s">
        <v>200</v>
      </c>
      <c r="L408" s="4" t="s">
        <v>225</v>
      </c>
      <c r="M408" s="7">
        <v>13</v>
      </c>
      <c r="N408" s="10">
        <v>4061.53</v>
      </c>
      <c r="O408" s="10">
        <v>52799.89</v>
      </c>
      <c r="P408">
        <f t="shared" si="25"/>
        <v>1</v>
      </c>
      <c r="Q408" s="36">
        <f t="shared" si="26"/>
        <v>52799.89</v>
      </c>
      <c r="R408">
        <f t="shared" si="27"/>
        <v>2022</v>
      </c>
    </row>
    <row r="409" spans="1:18" x14ac:dyDescent="0.2">
      <c r="A409" s="23">
        <v>45394</v>
      </c>
      <c r="B409" s="23">
        <v>45394</v>
      </c>
      <c r="C409" s="25" t="s">
        <v>398</v>
      </c>
      <c r="D409" s="20">
        <v>0</v>
      </c>
      <c r="E409" s="27">
        <v>52799.89</v>
      </c>
      <c r="F409" s="22" t="s">
        <v>88</v>
      </c>
      <c r="G409" s="29">
        <v>13</v>
      </c>
      <c r="H409" s="39">
        <v>44869</v>
      </c>
      <c r="I409" s="46">
        <f t="shared" si="24"/>
        <v>525</v>
      </c>
      <c r="J409" s="4" t="s">
        <v>15</v>
      </c>
      <c r="K409" s="4" t="s">
        <v>200</v>
      </c>
      <c r="L409" s="4" t="s">
        <v>225</v>
      </c>
      <c r="M409" s="7">
        <v>13</v>
      </c>
      <c r="N409" s="10">
        <v>4061.53</v>
      </c>
      <c r="O409" s="10">
        <v>52799.89</v>
      </c>
      <c r="P409">
        <f t="shared" si="25"/>
        <v>1</v>
      </c>
      <c r="Q409" s="36">
        <f t="shared" si="26"/>
        <v>52799.89</v>
      </c>
      <c r="R409">
        <f t="shared" si="27"/>
        <v>2022</v>
      </c>
    </row>
    <row r="410" spans="1:18" x14ac:dyDescent="0.2">
      <c r="A410" s="23">
        <v>45394</v>
      </c>
      <c r="B410" s="23">
        <v>45394</v>
      </c>
      <c r="C410" s="25" t="s">
        <v>398</v>
      </c>
      <c r="D410" s="20">
        <v>0</v>
      </c>
      <c r="E410" s="27">
        <v>52799.89</v>
      </c>
      <c r="F410" s="22" t="s">
        <v>88</v>
      </c>
      <c r="G410" s="29">
        <v>13</v>
      </c>
      <c r="H410" s="39">
        <v>44869</v>
      </c>
      <c r="I410" s="46">
        <f t="shared" si="24"/>
        <v>525</v>
      </c>
      <c r="J410" s="4" t="s">
        <v>15</v>
      </c>
      <c r="K410" s="4" t="s">
        <v>200</v>
      </c>
      <c r="L410" s="4" t="s">
        <v>225</v>
      </c>
      <c r="M410" s="7">
        <v>13</v>
      </c>
      <c r="N410" s="10">
        <v>4061.53</v>
      </c>
      <c r="O410" s="10">
        <v>52799.89</v>
      </c>
      <c r="P410">
        <f t="shared" si="25"/>
        <v>1</v>
      </c>
      <c r="Q410" s="36">
        <f t="shared" si="26"/>
        <v>52799.89</v>
      </c>
      <c r="R410">
        <f t="shared" si="27"/>
        <v>2022</v>
      </c>
    </row>
    <row r="411" spans="1:18" x14ac:dyDescent="0.2">
      <c r="A411" s="23">
        <v>45394</v>
      </c>
      <c r="B411" s="23">
        <v>45394</v>
      </c>
      <c r="C411" s="25" t="s">
        <v>398</v>
      </c>
      <c r="D411" s="20">
        <v>0</v>
      </c>
      <c r="E411" s="27">
        <v>52799.89</v>
      </c>
      <c r="F411" s="22" t="s">
        <v>88</v>
      </c>
      <c r="G411" s="29">
        <v>13</v>
      </c>
      <c r="H411" s="39">
        <v>44869</v>
      </c>
      <c r="I411" s="46">
        <f t="shared" si="24"/>
        <v>525</v>
      </c>
      <c r="J411" s="4" t="s">
        <v>15</v>
      </c>
      <c r="K411" s="4" t="s">
        <v>200</v>
      </c>
      <c r="L411" s="4" t="s">
        <v>225</v>
      </c>
      <c r="M411" s="7">
        <v>13</v>
      </c>
      <c r="N411" s="10">
        <v>4061.53</v>
      </c>
      <c r="O411" s="10">
        <v>52799.89</v>
      </c>
      <c r="P411">
        <f t="shared" si="25"/>
        <v>1</v>
      </c>
      <c r="Q411" s="36">
        <f t="shared" si="26"/>
        <v>52799.89</v>
      </c>
      <c r="R411">
        <f t="shared" si="27"/>
        <v>2022</v>
      </c>
    </row>
    <row r="412" spans="1:18" x14ac:dyDescent="0.2">
      <c r="A412" s="23">
        <v>45394</v>
      </c>
      <c r="B412" s="23">
        <v>45394</v>
      </c>
      <c r="C412" s="25" t="s">
        <v>398</v>
      </c>
      <c r="D412" s="20">
        <v>0</v>
      </c>
      <c r="E412" s="27">
        <v>52799.89</v>
      </c>
      <c r="F412" s="22" t="s">
        <v>88</v>
      </c>
      <c r="G412" s="29">
        <v>13</v>
      </c>
      <c r="H412" s="39">
        <v>44869</v>
      </c>
      <c r="I412" s="46">
        <f t="shared" si="24"/>
        <v>525</v>
      </c>
      <c r="J412" s="4" t="s">
        <v>15</v>
      </c>
      <c r="K412" s="4" t="s">
        <v>200</v>
      </c>
      <c r="L412" s="4" t="s">
        <v>225</v>
      </c>
      <c r="M412" s="7">
        <v>13</v>
      </c>
      <c r="N412" s="10">
        <v>4061.53</v>
      </c>
      <c r="O412" s="10">
        <v>52799.89</v>
      </c>
      <c r="P412">
        <f t="shared" si="25"/>
        <v>1</v>
      </c>
      <c r="Q412" s="36">
        <f t="shared" si="26"/>
        <v>52799.89</v>
      </c>
      <c r="R412">
        <f t="shared" si="27"/>
        <v>2022</v>
      </c>
    </row>
    <row r="413" spans="1:18" x14ac:dyDescent="0.2">
      <c r="A413" s="23">
        <v>45394</v>
      </c>
      <c r="B413" s="23">
        <v>45394</v>
      </c>
      <c r="C413" s="25" t="s">
        <v>398</v>
      </c>
      <c r="D413" s="20">
        <v>0</v>
      </c>
      <c r="E413" s="27">
        <v>52799.89</v>
      </c>
      <c r="F413" s="22" t="s">
        <v>88</v>
      </c>
      <c r="G413" s="29">
        <v>13</v>
      </c>
      <c r="H413" s="39">
        <v>44869</v>
      </c>
      <c r="I413" s="46">
        <f t="shared" si="24"/>
        <v>525</v>
      </c>
      <c r="J413" s="4" t="s">
        <v>15</v>
      </c>
      <c r="K413" s="4" t="s">
        <v>200</v>
      </c>
      <c r="L413" s="4" t="s">
        <v>225</v>
      </c>
      <c r="M413" s="7">
        <v>13</v>
      </c>
      <c r="N413" s="10">
        <v>4061.53</v>
      </c>
      <c r="O413" s="10">
        <v>52799.89</v>
      </c>
      <c r="P413">
        <f t="shared" si="25"/>
        <v>1</v>
      </c>
      <c r="Q413" s="36">
        <f t="shared" si="26"/>
        <v>52799.89</v>
      </c>
      <c r="R413">
        <f t="shared" si="27"/>
        <v>2022</v>
      </c>
    </row>
    <row r="414" spans="1:18" x14ac:dyDescent="0.2">
      <c r="A414" s="23">
        <v>45394</v>
      </c>
      <c r="B414" s="23">
        <v>45394</v>
      </c>
      <c r="C414" s="25" t="s">
        <v>398</v>
      </c>
      <c r="D414" s="20">
        <v>0</v>
      </c>
      <c r="E414" s="27">
        <v>52799.89</v>
      </c>
      <c r="F414" s="22" t="s">
        <v>88</v>
      </c>
      <c r="G414" s="29">
        <v>13</v>
      </c>
      <c r="H414" s="39">
        <v>44869</v>
      </c>
      <c r="I414" s="46">
        <f t="shared" si="24"/>
        <v>525</v>
      </c>
      <c r="J414" s="4" t="s">
        <v>15</v>
      </c>
      <c r="K414" s="4" t="s">
        <v>200</v>
      </c>
      <c r="L414" s="4" t="s">
        <v>225</v>
      </c>
      <c r="M414" s="7">
        <v>13</v>
      </c>
      <c r="N414" s="10">
        <v>4061.53</v>
      </c>
      <c r="O414" s="10">
        <v>52799.89</v>
      </c>
      <c r="P414">
        <f t="shared" si="25"/>
        <v>1</v>
      </c>
      <c r="Q414" s="36">
        <f t="shared" si="26"/>
        <v>52799.89</v>
      </c>
      <c r="R414">
        <f t="shared" si="27"/>
        <v>2022</v>
      </c>
    </row>
    <row r="415" spans="1:18" x14ac:dyDescent="0.2">
      <c r="A415" s="23">
        <v>45394</v>
      </c>
      <c r="B415" s="23">
        <v>45394</v>
      </c>
      <c r="C415" s="25" t="s">
        <v>398</v>
      </c>
      <c r="D415" s="20">
        <v>0</v>
      </c>
      <c r="E415" s="27">
        <v>52799.89</v>
      </c>
      <c r="F415" s="22" t="s">
        <v>88</v>
      </c>
      <c r="G415" s="29">
        <v>13</v>
      </c>
      <c r="H415" s="39">
        <v>44869</v>
      </c>
      <c r="I415" s="46">
        <f t="shared" si="24"/>
        <v>525</v>
      </c>
      <c r="J415" s="4" t="s">
        <v>15</v>
      </c>
      <c r="K415" s="4" t="s">
        <v>200</v>
      </c>
      <c r="L415" s="4" t="s">
        <v>225</v>
      </c>
      <c r="M415" s="7">
        <v>13</v>
      </c>
      <c r="N415" s="10">
        <v>4061.53</v>
      </c>
      <c r="O415" s="10">
        <v>52799.89</v>
      </c>
      <c r="P415">
        <f t="shared" si="25"/>
        <v>1</v>
      </c>
      <c r="Q415" s="36">
        <f t="shared" si="26"/>
        <v>52799.89</v>
      </c>
      <c r="R415">
        <f t="shared" si="27"/>
        <v>2022</v>
      </c>
    </row>
    <row r="416" spans="1:18" x14ac:dyDescent="0.2">
      <c r="A416" s="23">
        <v>45394</v>
      </c>
      <c r="B416" s="23">
        <v>45394</v>
      </c>
      <c r="C416" s="25" t="s">
        <v>398</v>
      </c>
      <c r="D416" s="20">
        <v>0</v>
      </c>
      <c r="E416" s="27">
        <v>52799.89</v>
      </c>
      <c r="F416" s="22" t="s">
        <v>88</v>
      </c>
      <c r="G416" s="29">
        <v>13</v>
      </c>
      <c r="H416" s="39">
        <v>44869</v>
      </c>
      <c r="I416" s="46">
        <f t="shared" si="24"/>
        <v>525</v>
      </c>
      <c r="J416" s="4" t="s">
        <v>15</v>
      </c>
      <c r="K416" s="4" t="s">
        <v>200</v>
      </c>
      <c r="L416" s="4" t="s">
        <v>225</v>
      </c>
      <c r="M416" s="7">
        <v>13</v>
      </c>
      <c r="N416" s="10">
        <v>4061.53</v>
      </c>
      <c r="O416" s="10">
        <v>52799.89</v>
      </c>
      <c r="P416">
        <f t="shared" si="25"/>
        <v>1</v>
      </c>
      <c r="Q416" s="36">
        <f t="shared" si="26"/>
        <v>52799.89</v>
      </c>
      <c r="R416">
        <f t="shared" si="27"/>
        <v>2022</v>
      </c>
    </row>
    <row r="417" spans="1:18" x14ac:dyDescent="0.2">
      <c r="A417" s="23">
        <v>45394</v>
      </c>
      <c r="B417" s="23">
        <v>45394</v>
      </c>
      <c r="C417" s="25" t="s">
        <v>398</v>
      </c>
      <c r="D417" s="20">
        <v>0</v>
      </c>
      <c r="E417" s="27">
        <v>52799.89</v>
      </c>
      <c r="F417" s="22" t="s">
        <v>88</v>
      </c>
      <c r="G417" s="29">
        <v>13</v>
      </c>
      <c r="H417" s="39">
        <v>44869</v>
      </c>
      <c r="I417" s="46">
        <f t="shared" si="24"/>
        <v>525</v>
      </c>
      <c r="J417" s="4" t="s">
        <v>15</v>
      </c>
      <c r="K417" s="4" t="s">
        <v>200</v>
      </c>
      <c r="L417" s="4" t="s">
        <v>225</v>
      </c>
      <c r="M417" s="7">
        <v>13</v>
      </c>
      <c r="N417" s="10">
        <v>4061.53</v>
      </c>
      <c r="O417" s="10">
        <v>52799.89</v>
      </c>
      <c r="P417">
        <f t="shared" si="25"/>
        <v>1</v>
      </c>
      <c r="Q417" s="36">
        <f t="shared" si="26"/>
        <v>52799.89</v>
      </c>
      <c r="R417">
        <f t="shared" si="27"/>
        <v>2022</v>
      </c>
    </row>
    <row r="418" spans="1:18" x14ac:dyDescent="0.2">
      <c r="A418" s="23">
        <v>45394</v>
      </c>
      <c r="B418" s="23">
        <v>45394</v>
      </c>
      <c r="C418" s="25" t="s">
        <v>398</v>
      </c>
      <c r="D418" s="20">
        <v>0</v>
      </c>
      <c r="E418" s="27">
        <v>52799.89</v>
      </c>
      <c r="F418" s="22" t="s">
        <v>88</v>
      </c>
      <c r="G418" s="29">
        <v>13</v>
      </c>
      <c r="H418" s="39">
        <v>44869</v>
      </c>
      <c r="I418" s="46">
        <f t="shared" si="24"/>
        <v>525</v>
      </c>
      <c r="J418" s="4" t="s">
        <v>15</v>
      </c>
      <c r="K418" s="4" t="s">
        <v>200</v>
      </c>
      <c r="L418" s="4" t="s">
        <v>225</v>
      </c>
      <c r="M418" s="7">
        <v>13</v>
      </c>
      <c r="N418" s="10">
        <v>4061.53</v>
      </c>
      <c r="O418" s="10">
        <v>52799.89</v>
      </c>
      <c r="P418">
        <f t="shared" si="25"/>
        <v>1</v>
      </c>
      <c r="Q418" s="36">
        <f t="shared" si="26"/>
        <v>52799.89</v>
      </c>
      <c r="R418">
        <f t="shared" si="27"/>
        <v>2022</v>
      </c>
    </row>
    <row r="419" spans="1:18" x14ac:dyDescent="0.2">
      <c r="A419" s="23">
        <v>45394</v>
      </c>
      <c r="B419" s="23">
        <v>45394</v>
      </c>
      <c r="C419" s="25" t="s">
        <v>398</v>
      </c>
      <c r="D419" s="20">
        <v>0</v>
      </c>
      <c r="E419" s="27">
        <v>52799.89</v>
      </c>
      <c r="F419" s="22" t="s">
        <v>88</v>
      </c>
      <c r="G419" s="29">
        <v>13</v>
      </c>
      <c r="H419" s="39">
        <v>44869</v>
      </c>
      <c r="I419" s="46">
        <f t="shared" si="24"/>
        <v>525</v>
      </c>
      <c r="J419" s="4" t="s">
        <v>15</v>
      </c>
      <c r="K419" s="4" t="s">
        <v>200</v>
      </c>
      <c r="L419" s="4" t="s">
        <v>225</v>
      </c>
      <c r="M419" s="7">
        <v>13</v>
      </c>
      <c r="N419" s="10">
        <v>4061.53</v>
      </c>
      <c r="O419" s="10">
        <v>52799.89</v>
      </c>
      <c r="P419">
        <f t="shared" si="25"/>
        <v>1</v>
      </c>
      <c r="Q419" s="36">
        <f t="shared" si="26"/>
        <v>52799.89</v>
      </c>
      <c r="R419">
        <f t="shared" si="27"/>
        <v>2022</v>
      </c>
    </row>
    <row r="420" spans="1:18" x14ac:dyDescent="0.2">
      <c r="A420" s="23">
        <v>45394</v>
      </c>
      <c r="B420" s="23">
        <v>45394</v>
      </c>
      <c r="C420" s="25" t="s">
        <v>398</v>
      </c>
      <c r="D420" s="20">
        <v>0</v>
      </c>
      <c r="E420" s="27">
        <v>52799.89</v>
      </c>
      <c r="F420" s="22" t="s">
        <v>88</v>
      </c>
      <c r="G420" s="29">
        <v>13</v>
      </c>
      <c r="H420" s="39">
        <v>44869</v>
      </c>
      <c r="I420" s="46">
        <f t="shared" si="24"/>
        <v>525</v>
      </c>
      <c r="J420" s="4" t="s">
        <v>15</v>
      </c>
      <c r="K420" s="4" t="s">
        <v>200</v>
      </c>
      <c r="L420" s="4" t="s">
        <v>225</v>
      </c>
      <c r="M420" s="7">
        <v>13</v>
      </c>
      <c r="N420" s="10">
        <v>4061.53</v>
      </c>
      <c r="O420" s="10">
        <v>52799.89</v>
      </c>
      <c r="P420">
        <f t="shared" si="25"/>
        <v>1</v>
      </c>
      <c r="Q420" s="36">
        <f t="shared" si="26"/>
        <v>52799.89</v>
      </c>
      <c r="R420">
        <f t="shared" si="27"/>
        <v>2022</v>
      </c>
    </row>
    <row r="421" spans="1:18" x14ac:dyDescent="0.2">
      <c r="A421" s="23">
        <v>45394</v>
      </c>
      <c r="B421" s="23">
        <v>45394</v>
      </c>
      <c r="C421" s="25" t="s">
        <v>398</v>
      </c>
      <c r="D421" s="20">
        <v>0</v>
      </c>
      <c r="E421" s="27">
        <v>52799.89</v>
      </c>
      <c r="F421" s="22" t="s">
        <v>88</v>
      </c>
      <c r="G421" s="29">
        <v>13</v>
      </c>
      <c r="H421" s="39">
        <v>44869</v>
      </c>
      <c r="I421" s="46">
        <f t="shared" si="24"/>
        <v>525</v>
      </c>
      <c r="J421" s="4" t="s">
        <v>15</v>
      </c>
      <c r="K421" s="4" t="s">
        <v>200</v>
      </c>
      <c r="L421" s="4" t="s">
        <v>225</v>
      </c>
      <c r="M421" s="7">
        <v>13</v>
      </c>
      <c r="N421" s="10">
        <v>4061.53</v>
      </c>
      <c r="O421" s="10">
        <v>52799.89</v>
      </c>
      <c r="P421">
        <f t="shared" si="25"/>
        <v>1</v>
      </c>
      <c r="Q421" s="36">
        <f t="shared" si="26"/>
        <v>52799.89</v>
      </c>
      <c r="R421">
        <f t="shared" si="27"/>
        <v>2022</v>
      </c>
    </row>
    <row r="422" spans="1:18" x14ac:dyDescent="0.2">
      <c r="A422" s="23">
        <v>45394</v>
      </c>
      <c r="B422" s="23">
        <v>45394</v>
      </c>
      <c r="C422" s="25" t="s">
        <v>398</v>
      </c>
      <c r="D422" s="20">
        <v>0</v>
      </c>
      <c r="E422" s="27">
        <v>52799.89</v>
      </c>
      <c r="F422" s="22" t="s">
        <v>88</v>
      </c>
      <c r="G422" s="29">
        <v>13</v>
      </c>
      <c r="H422" s="39">
        <v>44869</v>
      </c>
      <c r="I422" s="46">
        <f t="shared" si="24"/>
        <v>525</v>
      </c>
      <c r="J422" s="4" t="s">
        <v>15</v>
      </c>
      <c r="K422" s="4" t="s">
        <v>200</v>
      </c>
      <c r="L422" s="4" t="s">
        <v>225</v>
      </c>
      <c r="M422" s="7">
        <v>13</v>
      </c>
      <c r="N422" s="10">
        <v>4061.53</v>
      </c>
      <c r="O422" s="10">
        <v>52799.89</v>
      </c>
      <c r="P422">
        <f t="shared" si="25"/>
        <v>1</v>
      </c>
      <c r="Q422" s="36">
        <f t="shared" si="26"/>
        <v>52799.89</v>
      </c>
      <c r="R422">
        <f t="shared" si="27"/>
        <v>2022</v>
      </c>
    </row>
    <row r="423" spans="1:18" x14ac:dyDescent="0.2">
      <c r="A423" s="23">
        <v>45394</v>
      </c>
      <c r="B423" s="23">
        <v>45394</v>
      </c>
      <c r="C423" s="25" t="s">
        <v>398</v>
      </c>
      <c r="D423" s="20">
        <v>0</v>
      </c>
      <c r="E423" s="27">
        <v>52799.89</v>
      </c>
      <c r="F423" s="22" t="s">
        <v>88</v>
      </c>
      <c r="G423" s="29">
        <v>13</v>
      </c>
      <c r="H423" s="39">
        <v>44869</v>
      </c>
      <c r="I423" s="46">
        <f t="shared" si="24"/>
        <v>525</v>
      </c>
      <c r="J423" s="4" t="s">
        <v>15</v>
      </c>
      <c r="K423" s="4" t="s">
        <v>200</v>
      </c>
      <c r="L423" s="4" t="s">
        <v>225</v>
      </c>
      <c r="M423" s="7">
        <v>13</v>
      </c>
      <c r="N423" s="10">
        <v>4061.53</v>
      </c>
      <c r="O423" s="10">
        <v>52799.89</v>
      </c>
      <c r="P423">
        <f t="shared" si="25"/>
        <v>1</v>
      </c>
      <c r="Q423" s="36">
        <f t="shared" si="26"/>
        <v>52799.89</v>
      </c>
      <c r="R423">
        <f t="shared" si="27"/>
        <v>2022</v>
      </c>
    </row>
    <row r="424" spans="1:18" x14ac:dyDescent="0.2">
      <c r="A424" s="23">
        <v>45394</v>
      </c>
      <c r="B424" s="23">
        <v>45394</v>
      </c>
      <c r="C424" s="25" t="s">
        <v>398</v>
      </c>
      <c r="D424" s="20">
        <v>0</v>
      </c>
      <c r="E424" s="27">
        <v>52799.89</v>
      </c>
      <c r="F424" s="22" t="s">
        <v>88</v>
      </c>
      <c r="G424" s="29">
        <v>13</v>
      </c>
      <c r="H424" s="39">
        <v>44869</v>
      </c>
      <c r="I424" s="46">
        <f t="shared" si="24"/>
        <v>525</v>
      </c>
      <c r="J424" s="4" t="s">
        <v>15</v>
      </c>
      <c r="K424" s="4" t="s">
        <v>200</v>
      </c>
      <c r="L424" s="4" t="s">
        <v>225</v>
      </c>
      <c r="M424" s="7">
        <v>13</v>
      </c>
      <c r="N424" s="10">
        <v>4061.53</v>
      </c>
      <c r="O424" s="10">
        <v>52799.89</v>
      </c>
      <c r="P424">
        <f t="shared" si="25"/>
        <v>1</v>
      </c>
      <c r="Q424" s="36">
        <f t="shared" si="26"/>
        <v>52799.89</v>
      </c>
      <c r="R424">
        <f t="shared" si="27"/>
        <v>2022</v>
      </c>
    </row>
    <row r="425" spans="1:18" x14ac:dyDescent="0.2">
      <c r="A425" s="23">
        <v>45394</v>
      </c>
      <c r="B425" s="23">
        <v>45394</v>
      </c>
      <c r="C425" s="25" t="s">
        <v>398</v>
      </c>
      <c r="D425" s="20">
        <v>0</v>
      </c>
      <c r="E425" s="27">
        <v>52799.89</v>
      </c>
      <c r="F425" s="22" t="s">
        <v>88</v>
      </c>
      <c r="G425" s="29">
        <v>13</v>
      </c>
      <c r="H425" s="39">
        <v>44869</v>
      </c>
      <c r="I425" s="46">
        <f t="shared" si="24"/>
        <v>525</v>
      </c>
      <c r="J425" s="4" t="s">
        <v>15</v>
      </c>
      <c r="K425" s="4" t="s">
        <v>200</v>
      </c>
      <c r="L425" s="4" t="s">
        <v>225</v>
      </c>
      <c r="M425" s="7">
        <v>13</v>
      </c>
      <c r="N425" s="10">
        <v>4061.53</v>
      </c>
      <c r="O425" s="10">
        <v>52799.89</v>
      </c>
      <c r="P425">
        <f t="shared" si="25"/>
        <v>1</v>
      </c>
      <c r="Q425" s="36">
        <f t="shared" si="26"/>
        <v>52799.89</v>
      </c>
      <c r="R425">
        <f t="shared" si="27"/>
        <v>2022</v>
      </c>
    </row>
    <row r="426" spans="1:18" x14ac:dyDescent="0.2">
      <c r="A426" s="23">
        <v>45394</v>
      </c>
      <c r="B426" s="23">
        <v>45394</v>
      </c>
      <c r="C426" s="25" t="s">
        <v>398</v>
      </c>
      <c r="D426" s="20">
        <v>0</v>
      </c>
      <c r="E426" s="27">
        <v>52799.89</v>
      </c>
      <c r="F426" s="22" t="s">
        <v>88</v>
      </c>
      <c r="G426" s="29">
        <v>13</v>
      </c>
      <c r="H426" s="39">
        <v>44869</v>
      </c>
      <c r="I426" s="46">
        <f t="shared" si="24"/>
        <v>525</v>
      </c>
      <c r="J426" s="4" t="s">
        <v>15</v>
      </c>
      <c r="K426" s="4" t="s">
        <v>200</v>
      </c>
      <c r="L426" s="4" t="s">
        <v>225</v>
      </c>
      <c r="M426" s="7">
        <v>13</v>
      </c>
      <c r="N426" s="10">
        <v>4061.53</v>
      </c>
      <c r="O426" s="10">
        <v>52799.89</v>
      </c>
      <c r="P426">
        <f t="shared" si="25"/>
        <v>1</v>
      </c>
      <c r="Q426" s="36">
        <f t="shared" si="26"/>
        <v>52799.89</v>
      </c>
      <c r="R426">
        <f t="shared" si="27"/>
        <v>2022</v>
      </c>
    </row>
    <row r="427" spans="1:18" x14ac:dyDescent="0.2">
      <c r="A427" s="23">
        <v>45394</v>
      </c>
      <c r="B427" s="23">
        <v>45394</v>
      </c>
      <c r="C427" s="25" t="s">
        <v>398</v>
      </c>
      <c r="D427" s="20">
        <v>0</v>
      </c>
      <c r="E427" s="27">
        <v>52799.89</v>
      </c>
      <c r="F427" s="22" t="s">
        <v>88</v>
      </c>
      <c r="G427" s="29">
        <v>13</v>
      </c>
      <c r="H427" s="39">
        <v>44869</v>
      </c>
      <c r="I427" s="46">
        <f t="shared" si="24"/>
        <v>525</v>
      </c>
      <c r="J427" s="4" t="s">
        <v>15</v>
      </c>
      <c r="K427" s="4" t="s">
        <v>200</v>
      </c>
      <c r="L427" s="4" t="s">
        <v>225</v>
      </c>
      <c r="M427" s="7">
        <v>13</v>
      </c>
      <c r="N427" s="10">
        <v>4061.53</v>
      </c>
      <c r="O427" s="10">
        <v>52799.89</v>
      </c>
      <c r="P427">
        <f t="shared" si="25"/>
        <v>1</v>
      </c>
      <c r="Q427" s="36">
        <f t="shared" si="26"/>
        <v>52799.89</v>
      </c>
      <c r="R427">
        <f t="shared" si="27"/>
        <v>2022</v>
      </c>
    </row>
    <row r="428" spans="1:18" x14ac:dyDescent="0.2">
      <c r="A428" s="23">
        <v>45394</v>
      </c>
      <c r="B428" s="23">
        <v>45394</v>
      </c>
      <c r="C428" s="25" t="s">
        <v>398</v>
      </c>
      <c r="D428" s="20">
        <v>0</v>
      </c>
      <c r="E428" s="27">
        <v>52799.89</v>
      </c>
      <c r="F428" s="22" t="s">
        <v>88</v>
      </c>
      <c r="G428" s="29">
        <v>13</v>
      </c>
      <c r="H428" s="39">
        <v>44869</v>
      </c>
      <c r="I428" s="46">
        <f t="shared" si="24"/>
        <v>525</v>
      </c>
      <c r="J428" s="4" t="s">
        <v>15</v>
      </c>
      <c r="K428" s="4" t="s">
        <v>200</v>
      </c>
      <c r="L428" s="4" t="s">
        <v>225</v>
      </c>
      <c r="M428" s="7">
        <v>13</v>
      </c>
      <c r="N428" s="10">
        <v>4061.53</v>
      </c>
      <c r="O428" s="10">
        <v>52799.89</v>
      </c>
      <c r="P428">
        <f t="shared" si="25"/>
        <v>1</v>
      </c>
      <c r="Q428" s="36">
        <f t="shared" si="26"/>
        <v>52799.89</v>
      </c>
      <c r="R428">
        <f t="shared" si="27"/>
        <v>2022</v>
      </c>
    </row>
    <row r="429" spans="1:18" x14ac:dyDescent="0.2">
      <c r="A429" s="23">
        <v>45394</v>
      </c>
      <c r="B429" s="23">
        <v>45394</v>
      </c>
      <c r="C429" s="25" t="s">
        <v>398</v>
      </c>
      <c r="D429" s="20">
        <v>0</v>
      </c>
      <c r="E429" s="27">
        <v>52799.89</v>
      </c>
      <c r="F429" s="22" t="s">
        <v>88</v>
      </c>
      <c r="G429" s="29">
        <v>13</v>
      </c>
      <c r="H429" s="39">
        <v>44869</v>
      </c>
      <c r="I429" s="46">
        <f t="shared" si="24"/>
        <v>525</v>
      </c>
      <c r="J429" s="4" t="s">
        <v>15</v>
      </c>
      <c r="K429" s="4" t="s">
        <v>200</v>
      </c>
      <c r="L429" s="4" t="s">
        <v>225</v>
      </c>
      <c r="M429" s="7">
        <v>13</v>
      </c>
      <c r="N429" s="10">
        <v>4061.53</v>
      </c>
      <c r="O429" s="10">
        <v>52799.89</v>
      </c>
      <c r="P429">
        <f t="shared" si="25"/>
        <v>1</v>
      </c>
      <c r="Q429" s="36">
        <f t="shared" si="26"/>
        <v>52799.89</v>
      </c>
      <c r="R429">
        <f t="shared" si="27"/>
        <v>2022</v>
      </c>
    </row>
    <row r="430" spans="1:18" x14ac:dyDescent="0.2">
      <c r="A430" s="23">
        <v>45394</v>
      </c>
      <c r="B430" s="23">
        <v>45394</v>
      </c>
      <c r="C430" s="25" t="s">
        <v>398</v>
      </c>
      <c r="D430" s="20">
        <v>0</v>
      </c>
      <c r="E430" s="27">
        <v>52799.89</v>
      </c>
      <c r="F430" s="22" t="s">
        <v>88</v>
      </c>
      <c r="G430" s="29">
        <v>13</v>
      </c>
      <c r="H430" s="39">
        <v>44869</v>
      </c>
      <c r="I430" s="46">
        <f t="shared" si="24"/>
        <v>525</v>
      </c>
      <c r="J430" s="4" t="s">
        <v>15</v>
      </c>
      <c r="K430" s="4" t="s">
        <v>200</v>
      </c>
      <c r="L430" s="4" t="s">
        <v>225</v>
      </c>
      <c r="M430" s="7">
        <v>13</v>
      </c>
      <c r="N430" s="10">
        <v>4061.53</v>
      </c>
      <c r="O430" s="10">
        <v>52799.89</v>
      </c>
      <c r="P430">
        <f t="shared" si="25"/>
        <v>1</v>
      </c>
      <c r="Q430" s="36">
        <f t="shared" si="26"/>
        <v>52799.89</v>
      </c>
      <c r="R430">
        <f t="shared" si="27"/>
        <v>2022</v>
      </c>
    </row>
    <row r="431" spans="1:18" x14ac:dyDescent="0.2">
      <c r="A431" s="23">
        <v>45394</v>
      </c>
      <c r="B431" s="23">
        <v>45394</v>
      </c>
      <c r="C431" s="25" t="s">
        <v>398</v>
      </c>
      <c r="D431" s="20">
        <v>0</v>
      </c>
      <c r="E431" s="27">
        <v>52799.89</v>
      </c>
      <c r="F431" s="22" t="s">
        <v>88</v>
      </c>
      <c r="G431" s="29">
        <v>13</v>
      </c>
      <c r="H431" s="39">
        <v>44869</v>
      </c>
      <c r="I431" s="46">
        <f t="shared" si="24"/>
        <v>525</v>
      </c>
      <c r="J431" s="4" t="s">
        <v>15</v>
      </c>
      <c r="K431" s="4" t="s">
        <v>200</v>
      </c>
      <c r="L431" s="4" t="s">
        <v>225</v>
      </c>
      <c r="M431" s="7">
        <v>13</v>
      </c>
      <c r="N431" s="10">
        <v>4061.53</v>
      </c>
      <c r="O431" s="10">
        <v>52799.89</v>
      </c>
      <c r="P431">
        <f t="shared" si="25"/>
        <v>1</v>
      </c>
      <c r="Q431" s="36">
        <f t="shared" si="26"/>
        <v>52799.89</v>
      </c>
      <c r="R431">
        <f t="shared" si="27"/>
        <v>2022</v>
      </c>
    </row>
    <row r="432" spans="1:18" x14ac:dyDescent="0.2">
      <c r="A432" s="23">
        <v>45394</v>
      </c>
      <c r="B432" s="23">
        <v>45394</v>
      </c>
      <c r="C432" s="25" t="s">
        <v>398</v>
      </c>
      <c r="D432" s="20">
        <v>0</v>
      </c>
      <c r="E432" s="27">
        <v>52799.89</v>
      </c>
      <c r="F432" s="22" t="s">
        <v>88</v>
      </c>
      <c r="G432" s="29">
        <v>13</v>
      </c>
      <c r="H432" s="39">
        <v>44869</v>
      </c>
      <c r="I432" s="46">
        <f t="shared" si="24"/>
        <v>525</v>
      </c>
      <c r="J432" s="4" t="s">
        <v>15</v>
      </c>
      <c r="K432" s="4" t="s">
        <v>200</v>
      </c>
      <c r="L432" s="4" t="s">
        <v>225</v>
      </c>
      <c r="M432" s="7">
        <v>13</v>
      </c>
      <c r="N432" s="10">
        <v>4061.53</v>
      </c>
      <c r="O432" s="10">
        <v>52799.89</v>
      </c>
      <c r="P432">
        <f t="shared" si="25"/>
        <v>1</v>
      </c>
      <c r="Q432" s="36">
        <f t="shared" si="26"/>
        <v>52799.89</v>
      </c>
      <c r="R432">
        <f t="shared" si="27"/>
        <v>2022</v>
      </c>
    </row>
    <row r="433" spans="1:18" x14ac:dyDescent="0.2">
      <c r="A433" s="23">
        <v>45394</v>
      </c>
      <c r="B433" s="23">
        <v>45394</v>
      </c>
      <c r="C433" s="25" t="s">
        <v>398</v>
      </c>
      <c r="D433" s="20">
        <v>0</v>
      </c>
      <c r="E433" s="27">
        <v>52799.89</v>
      </c>
      <c r="F433" s="22" t="s">
        <v>88</v>
      </c>
      <c r="G433" s="29">
        <v>13</v>
      </c>
      <c r="H433" s="39">
        <v>44869</v>
      </c>
      <c r="I433" s="46">
        <f t="shared" si="24"/>
        <v>525</v>
      </c>
      <c r="J433" s="4" t="s">
        <v>15</v>
      </c>
      <c r="K433" s="4" t="s">
        <v>200</v>
      </c>
      <c r="L433" s="4" t="s">
        <v>225</v>
      </c>
      <c r="M433" s="7">
        <v>13</v>
      </c>
      <c r="N433" s="10">
        <v>4061.53</v>
      </c>
      <c r="O433" s="10">
        <v>52799.89</v>
      </c>
      <c r="P433">
        <f t="shared" si="25"/>
        <v>1</v>
      </c>
      <c r="Q433" s="36">
        <f t="shared" si="26"/>
        <v>52799.89</v>
      </c>
      <c r="R433">
        <f t="shared" si="27"/>
        <v>2022</v>
      </c>
    </row>
    <row r="434" spans="1:18" x14ac:dyDescent="0.2">
      <c r="A434" s="23">
        <v>45394</v>
      </c>
      <c r="B434" s="23">
        <v>45394</v>
      </c>
      <c r="C434" s="25" t="s">
        <v>398</v>
      </c>
      <c r="D434" s="20">
        <v>0</v>
      </c>
      <c r="E434" s="27">
        <v>52799.89</v>
      </c>
      <c r="F434" s="22" t="s">
        <v>88</v>
      </c>
      <c r="G434" s="29">
        <v>13</v>
      </c>
      <c r="H434" s="39">
        <v>44869</v>
      </c>
      <c r="I434" s="46">
        <f t="shared" si="24"/>
        <v>525</v>
      </c>
      <c r="J434" s="4" t="s">
        <v>15</v>
      </c>
      <c r="K434" s="4" t="s">
        <v>200</v>
      </c>
      <c r="L434" s="4" t="s">
        <v>225</v>
      </c>
      <c r="M434" s="7">
        <v>13</v>
      </c>
      <c r="N434" s="10">
        <v>4061.53</v>
      </c>
      <c r="O434" s="10">
        <v>52799.89</v>
      </c>
      <c r="P434">
        <f t="shared" si="25"/>
        <v>1</v>
      </c>
      <c r="Q434" s="36">
        <f t="shared" si="26"/>
        <v>52799.89</v>
      </c>
      <c r="R434">
        <f t="shared" si="27"/>
        <v>2022</v>
      </c>
    </row>
    <row r="435" spans="1:18" x14ac:dyDescent="0.2">
      <c r="A435" s="23">
        <v>45394</v>
      </c>
      <c r="B435" s="23">
        <v>45394</v>
      </c>
      <c r="C435" s="25" t="s">
        <v>398</v>
      </c>
      <c r="D435" s="20">
        <v>0</v>
      </c>
      <c r="E435" s="27">
        <v>52799.89</v>
      </c>
      <c r="F435" s="22" t="s">
        <v>88</v>
      </c>
      <c r="G435" s="29">
        <v>13</v>
      </c>
      <c r="H435" s="39">
        <v>44869</v>
      </c>
      <c r="I435" s="46">
        <f t="shared" si="24"/>
        <v>525</v>
      </c>
      <c r="J435" s="4" t="s">
        <v>15</v>
      </c>
      <c r="K435" s="4" t="s">
        <v>200</v>
      </c>
      <c r="L435" s="4" t="s">
        <v>225</v>
      </c>
      <c r="M435" s="7">
        <v>13</v>
      </c>
      <c r="N435" s="10">
        <v>4061.53</v>
      </c>
      <c r="O435" s="10">
        <v>52799.89</v>
      </c>
      <c r="P435">
        <f t="shared" si="25"/>
        <v>1</v>
      </c>
      <c r="Q435" s="36">
        <f t="shared" si="26"/>
        <v>52799.89</v>
      </c>
      <c r="R435">
        <f t="shared" si="27"/>
        <v>2022</v>
      </c>
    </row>
    <row r="436" spans="1:18" x14ac:dyDescent="0.2">
      <c r="A436" s="23">
        <v>45394</v>
      </c>
      <c r="B436" s="23">
        <v>45394</v>
      </c>
      <c r="C436" s="25" t="s">
        <v>398</v>
      </c>
      <c r="D436" s="20">
        <v>0</v>
      </c>
      <c r="E436" s="27">
        <v>52799.89</v>
      </c>
      <c r="F436" s="22" t="s">
        <v>88</v>
      </c>
      <c r="G436" s="29">
        <v>13</v>
      </c>
      <c r="H436" s="39">
        <v>44869</v>
      </c>
      <c r="I436" s="46">
        <f t="shared" si="24"/>
        <v>525</v>
      </c>
      <c r="J436" s="4" t="s">
        <v>15</v>
      </c>
      <c r="K436" s="4" t="s">
        <v>200</v>
      </c>
      <c r="L436" s="4" t="s">
        <v>225</v>
      </c>
      <c r="M436" s="7">
        <v>13</v>
      </c>
      <c r="N436" s="10">
        <v>4061.53</v>
      </c>
      <c r="O436" s="10">
        <v>52799.89</v>
      </c>
      <c r="P436">
        <f t="shared" si="25"/>
        <v>1</v>
      </c>
      <c r="Q436" s="36">
        <f t="shared" si="26"/>
        <v>52799.89</v>
      </c>
      <c r="R436">
        <f t="shared" si="27"/>
        <v>2022</v>
      </c>
    </row>
    <row r="437" spans="1:18" x14ac:dyDescent="0.2">
      <c r="A437" s="23">
        <v>45394</v>
      </c>
      <c r="B437" s="23">
        <v>45394</v>
      </c>
      <c r="C437" s="25" t="s">
        <v>398</v>
      </c>
      <c r="D437" s="20">
        <v>0</v>
      </c>
      <c r="E437" s="27">
        <v>52799.89</v>
      </c>
      <c r="F437" s="22" t="s">
        <v>88</v>
      </c>
      <c r="G437" s="29">
        <v>13</v>
      </c>
      <c r="H437" s="39">
        <v>44869</v>
      </c>
      <c r="I437" s="46">
        <f t="shared" si="24"/>
        <v>525</v>
      </c>
      <c r="J437" s="4" t="s">
        <v>15</v>
      </c>
      <c r="K437" s="4" t="s">
        <v>200</v>
      </c>
      <c r="L437" s="4" t="s">
        <v>225</v>
      </c>
      <c r="M437" s="7">
        <v>13</v>
      </c>
      <c r="N437" s="10">
        <v>4061.53</v>
      </c>
      <c r="O437" s="10">
        <v>52799.89</v>
      </c>
      <c r="P437">
        <f t="shared" si="25"/>
        <v>1</v>
      </c>
      <c r="Q437" s="36">
        <f t="shared" si="26"/>
        <v>52799.89</v>
      </c>
      <c r="R437">
        <f t="shared" si="27"/>
        <v>2022</v>
      </c>
    </row>
    <row r="438" spans="1:18" x14ac:dyDescent="0.2">
      <c r="A438" s="23">
        <v>45394</v>
      </c>
      <c r="B438" s="23">
        <v>45394</v>
      </c>
      <c r="C438" s="25" t="s">
        <v>398</v>
      </c>
      <c r="D438" s="20">
        <v>0</v>
      </c>
      <c r="E438" s="27">
        <v>52799.89</v>
      </c>
      <c r="F438" s="22" t="s">
        <v>88</v>
      </c>
      <c r="G438" s="29">
        <v>13</v>
      </c>
      <c r="H438" s="39">
        <v>44869</v>
      </c>
      <c r="I438" s="46">
        <f t="shared" si="24"/>
        <v>525</v>
      </c>
      <c r="J438" s="4" t="s">
        <v>15</v>
      </c>
      <c r="K438" s="4" t="s">
        <v>200</v>
      </c>
      <c r="L438" s="4" t="s">
        <v>225</v>
      </c>
      <c r="M438" s="7">
        <v>13</v>
      </c>
      <c r="N438" s="10">
        <v>4061.53</v>
      </c>
      <c r="O438" s="10">
        <v>52799.89</v>
      </c>
      <c r="P438">
        <f t="shared" si="25"/>
        <v>1</v>
      </c>
      <c r="Q438" s="36">
        <f t="shared" si="26"/>
        <v>52799.89</v>
      </c>
      <c r="R438">
        <f t="shared" si="27"/>
        <v>2022</v>
      </c>
    </row>
    <row r="439" spans="1:18" x14ac:dyDescent="0.2">
      <c r="A439" s="23">
        <v>45394</v>
      </c>
      <c r="B439" s="23">
        <v>45394</v>
      </c>
      <c r="C439" s="25" t="s">
        <v>398</v>
      </c>
      <c r="D439" s="20">
        <v>0</v>
      </c>
      <c r="E439" s="27">
        <v>52799.89</v>
      </c>
      <c r="F439" s="22" t="s">
        <v>88</v>
      </c>
      <c r="G439" s="29">
        <v>13</v>
      </c>
      <c r="H439" s="39">
        <v>44869</v>
      </c>
      <c r="I439" s="46">
        <f t="shared" si="24"/>
        <v>525</v>
      </c>
      <c r="J439" s="4" t="s">
        <v>15</v>
      </c>
      <c r="K439" s="4" t="s">
        <v>200</v>
      </c>
      <c r="L439" s="4" t="s">
        <v>225</v>
      </c>
      <c r="M439" s="7">
        <v>13</v>
      </c>
      <c r="N439" s="10">
        <v>4061.53</v>
      </c>
      <c r="O439" s="10">
        <v>52799.89</v>
      </c>
      <c r="P439">
        <f t="shared" si="25"/>
        <v>1</v>
      </c>
      <c r="Q439" s="36">
        <f t="shared" si="26"/>
        <v>52799.89</v>
      </c>
      <c r="R439">
        <f t="shared" si="27"/>
        <v>2022</v>
      </c>
    </row>
    <row r="440" spans="1:18" x14ac:dyDescent="0.2">
      <c r="A440" s="23">
        <v>45394</v>
      </c>
      <c r="B440" s="23">
        <v>45394</v>
      </c>
      <c r="C440" s="25" t="s">
        <v>398</v>
      </c>
      <c r="D440" s="20">
        <v>0</v>
      </c>
      <c r="E440" s="27">
        <v>52799.89</v>
      </c>
      <c r="F440" s="22" t="s">
        <v>88</v>
      </c>
      <c r="G440" s="29">
        <v>13</v>
      </c>
      <c r="H440" s="39">
        <v>44869</v>
      </c>
      <c r="I440" s="46">
        <f t="shared" si="24"/>
        <v>525</v>
      </c>
      <c r="J440" s="4" t="s">
        <v>15</v>
      </c>
      <c r="K440" s="4" t="s">
        <v>200</v>
      </c>
      <c r="L440" s="4" t="s">
        <v>225</v>
      </c>
      <c r="M440" s="7">
        <v>13</v>
      </c>
      <c r="N440" s="10">
        <v>4061.53</v>
      </c>
      <c r="O440" s="10">
        <v>52799.89</v>
      </c>
      <c r="P440">
        <f t="shared" si="25"/>
        <v>1</v>
      </c>
      <c r="Q440" s="36">
        <f t="shared" si="26"/>
        <v>52799.89</v>
      </c>
      <c r="R440">
        <f t="shared" si="27"/>
        <v>2022</v>
      </c>
    </row>
    <row r="441" spans="1:18" x14ac:dyDescent="0.2">
      <c r="A441" s="23">
        <v>45394</v>
      </c>
      <c r="B441" s="23">
        <v>45394</v>
      </c>
      <c r="C441" s="25" t="s">
        <v>398</v>
      </c>
      <c r="D441" s="20">
        <v>0</v>
      </c>
      <c r="E441" s="27">
        <v>52799.89</v>
      </c>
      <c r="F441" s="22" t="s">
        <v>88</v>
      </c>
      <c r="G441" s="29">
        <v>13</v>
      </c>
      <c r="H441" s="39">
        <v>44869</v>
      </c>
      <c r="I441" s="46">
        <f t="shared" si="24"/>
        <v>525</v>
      </c>
      <c r="J441" s="4" t="s">
        <v>15</v>
      </c>
      <c r="K441" s="4" t="s">
        <v>200</v>
      </c>
      <c r="L441" s="4" t="s">
        <v>225</v>
      </c>
      <c r="M441" s="7">
        <v>13</v>
      </c>
      <c r="N441" s="10">
        <v>4061.53</v>
      </c>
      <c r="O441" s="10">
        <v>52799.89</v>
      </c>
      <c r="P441">
        <f t="shared" si="25"/>
        <v>1</v>
      </c>
      <c r="Q441" s="36">
        <f t="shared" si="26"/>
        <v>52799.89</v>
      </c>
      <c r="R441">
        <f t="shared" si="27"/>
        <v>2022</v>
      </c>
    </row>
    <row r="442" spans="1:18" x14ac:dyDescent="0.2">
      <c r="A442" s="23">
        <v>45394</v>
      </c>
      <c r="B442" s="23">
        <v>45394</v>
      </c>
      <c r="C442" s="25" t="s">
        <v>398</v>
      </c>
      <c r="D442" s="20">
        <v>0</v>
      </c>
      <c r="E442" s="27">
        <v>52799.89</v>
      </c>
      <c r="F442" s="22" t="s">
        <v>88</v>
      </c>
      <c r="G442" s="29">
        <v>13</v>
      </c>
      <c r="H442" s="39">
        <v>44869</v>
      </c>
      <c r="I442" s="46">
        <f t="shared" si="24"/>
        <v>525</v>
      </c>
      <c r="J442" s="4" t="s">
        <v>15</v>
      </c>
      <c r="K442" s="4" t="s">
        <v>200</v>
      </c>
      <c r="L442" s="4" t="s">
        <v>225</v>
      </c>
      <c r="M442" s="7">
        <v>13</v>
      </c>
      <c r="N442" s="10">
        <v>4061.53</v>
      </c>
      <c r="O442" s="10">
        <v>52799.89</v>
      </c>
      <c r="P442">
        <f t="shared" si="25"/>
        <v>1</v>
      </c>
      <c r="Q442" s="36">
        <f t="shared" si="26"/>
        <v>52799.89</v>
      </c>
      <c r="R442">
        <f t="shared" si="27"/>
        <v>2022</v>
      </c>
    </row>
    <row r="443" spans="1:18" x14ac:dyDescent="0.2">
      <c r="A443" s="23">
        <v>45394</v>
      </c>
      <c r="B443" s="23">
        <v>45394</v>
      </c>
      <c r="C443" s="25" t="s">
        <v>398</v>
      </c>
      <c r="D443" s="20">
        <v>0</v>
      </c>
      <c r="E443" s="27">
        <v>52799.89</v>
      </c>
      <c r="F443" s="22" t="s">
        <v>88</v>
      </c>
      <c r="G443" s="29">
        <v>13</v>
      </c>
      <c r="H443" s="39">
        <v>44869</v>
      </c>
      <c r="I443" s="46">
        <f t="shared" si="24"/>
        <v>525</v>
      </c>
      <c r="J443" s="4" t="s">
        <v>15</v>
      </c>
      <c r="K443" s="4" t="s">
        <v>200</v>
      </c>
      <c r="L443" s="4" t="s">
        <v>225</v>
      </c>
      <c r="M443" s="7">
        <v>13</v>
      </c>
      <c r="N443" s="10">
        <v>4061.53</v>
      </c>
      <c r="O443" s="10">
        <v>52799.89</v>
      </c>
      <c r="P443">
        <f t="shared" si="25"/>
        <v>1</v>
      </c>
      <c r="Q443" s="36">
        <f t="shared" si="26"/>
        <v>52799.89</v>
      </c>
      <c r="R443">
        <f t="shared" si="27"/>
        <v>2022</v>
      </c>
    </row>
    <row r="444" spans="1:18" x14ac:dyDescent="0.2">
      <c r="A444" s="23">
        <v>45394</v>
      </c>
      <c r="B444" s="23">
        <v>45394</v>
      </c>
      <c r="C444" s="25" t="s">
        <v>398</v>
      </c>
      <c r="D444" s="20">
        <v>0</v>
      </c>
      <c r="E444" s="27">
        <v>52799.89</v>
      </c>
      <c r="F444" s="22" t="s">
        <v>88</v>
      </c>
      <c r="G444" s="29">
        <v>13</v>
      </c>
      <c r="H444" s="39">
        <v>44869</v>
      </c>
      <c r="I444" s="46">
        <f t="shared" si="24"/>
        <v>525</v>
      </c>
      <c r="J444" s="4" t="s">
        <v>15</v>
      </c>
      <c r="K444" s="4" t="s">
        <v>200</v>
      </c>
      <c r="L444" s="4" t="s">
        <v>225</v>
      </c>
      <c r="M444" s="7">
        <v>13</v>
      </c>
      <c r="N444" s="10">
        <v>4061.53</v>
      </c>
      <c r="O444" s="10">
        <v>52799.89</v>
      </c>
      <c r="P444">
        <f t="shared" si="25"/>
        <v>1</v>
      </c>
      <c r="Q444" s="36">
        <f t="shared" si="26"/>
        <v>52799.89</v>
      </c>
      <c r="R444">
        <f t="shared" si="27"/>
        <v>2022</v>
      </c>
    </row>
    <row r="445" spans="1:18" x14ac:dyDescent="0.2">
      <c r="A445" s="23">
        <v>45421</v>
      </c>
      <c r="B445" s="23">
        <v>45421</v>
      </c>
      <c r="C445" s="25" t="s">
        <v>398</v>
      </c>
      <c r="D445" s="20">
        <v>0</v>
      </c>
      <c r="E445" s="27">
        <v>52799.89</v>
      </c>
      <c r="F445" s="22" t="s">
        <v>88</v>
      </c>
      <c r="G445" s="29">
        <v>13</v>
      </c>
      <c r="H445" s="39">
        <v>44904</v>
      </c>
      <c r="I445" s="46">
        <f t="shared" si="24"/>
        <v>517</v>
      </c>
      <c r="J445" s="4" t="s">
        <v>15</v>
      </c>
      <c r="K445" s="4" t="s">
        <v>200</v>
      </c>
      <c r="L445" s="4" t="s">
        <v>225</v>
      </c>
      <c r="M445" s="7">
        <v>13</v>
      </c>
      <c r="N445" s="10">
        <v>4061.53</v>
      </c>
      <c r="O445" s="10">
        <v>52799.89</v>
      </c>
      <c r="P445">
        <f t="shared" si="25"/>
        <v>1</v>
      </c>
      <c r="Q445" s="36">
        <f t="shared" si="26"/>
        <v>52799.89</v>
      </c>
      <c r="R445">
        <f t="shared" si="27"/>
        <v>2022</v>
      </c>
    </row>
    <row r="446" spans="1:18" x14ac:dyDescent="0.2">
      <c r="A446" s="23" t="s">
        <v>13</v>
      </c>
      <c r="B446" s="23">
        <v>45180</v>
      </c>
      <c r="C446" s="25" t="s">
        <v>399</v>
      </c>
      <c r="D446" s="20" t="e">
        <v>#VALUE!</v>
      </c>
      <c r="E446" s="27">
        <v>0</v>
      </c>
      <c r="F446" s="22" t="s">
        <v>52</v>
      </c>
      <c r="G446" s="29">
        <v>9408</v>
      </c>
      <c r="H446" s="39">
        <v>45169</v>
      </c>
      <c r="I446" s="46" t="e">
        <f t="shared" si="24"/>
        <v>#VALUE!</v>
      </c>
      <c r="J446" s="4" t="s">
        <v>15</v>
      </c>
      <c r="K446" s="4" t="s">
        <v>201</v>
      </c>
      <c r="L446" s="4" t="s">
        <v>223</v>
      </c>
      <c r="M446" s="7">
        <v>9408</v>
      </c>
      <c r="N446" s="10">
        <v>12.35</v>
      </c>
      <c r="O446" s="10">
        <v>116188.8</v>
      </c>
      <c r="P446">
        <f t="shared" si="25"/>
        <v>1</v>
      </c>
      <c r="Q446" s="36">
        <f t="shared" si="26"/>
        <v>116188.8</v>
      </c>
      <c r="R446">
        <f t="shared" si="27"/>
        <v>2023</v>
      </c>
    </row>
    <row r="447" spans="1:18" x14ac:dyDescent="0.2">
      <c r="A447" s="23" t="s">
        <v>13</v>
      </c>
      <c r="B447" s="23">
        <v>45180</v>
      </c>
      <c r="C447" s="25" t="s">
        <v>399</v>
      </c>
      <c r="D447" s="20" t="e">
        <v>#VALUE!</v>
      </c>
      <c r="E447" s="27">
        <v>0</v>
      </c>
      <c r="F447" s="22" t="s">
        <v>51</v>
      </c>
      <c r="G447" s="29">
        <v>19992</v>
      </c>
      <c r="H447" s="39">
        <v>45169</v>
      </c>
      <c r="I447" s="46" t="e">
        <f t="shared" si="24"/>
        <v>#VALUE!</v>
      </c>
      <c r="J447" s="4" t="s">
        <v>15</v>
      </c>
      <c r="K447" s="4" t="s">
        <v>201</v>
      </c>
      <c r="L447" s="4" t="s">
        <v>223</v>
      </c>
      <c r="M447" s="7">
        <v>19992</v>
      </c>
      <c r="N447" s="10">
        <v>12.35</v>
      </c>
      <c r="O447" s="10">
        <v>246901.2</v>
      </c>
      <c r="P447">
        <f t="shared" si="25"/>
        <v>1</v>
      </c>
      <c r="Q447" s="36">
        <f t="shared" si="26"/>
        <v>246901.19999999998</v>
      </c>
      <c r="R447">
        <f t="shared" si="27"/>
        <v>2023</v>
      </c>
    </row>
    <row r="448" spans="1:18" x14ac:dyDescent="0.2">
      <c r="A448" s="23" t="s">
        <v>13</v>
      </c>
      <c r="B448" s="23">
        <v>45180</v>
      </c>
      <c r="C448" s="25" t="s">
        <v>399</v>
      </c>
      <c r="D448" s="20" t="e">
        <v>#VALUE!</v>
      </c>
      <c r="E448" s="27">
        <v>0</v>
      </c>
      <c r="F448" s="22" t="s">
        <v>54</v>
      </c>
      <c r="G448" s="29">
        <v>12180</v>
      </c>
      <c r="H448" s="39">
        <v>45169</v>
      </c>
      <c r="I448" s="46" t="e">
        <f t="shared" si="24"/>
        <v>#VALUE!</v>
      </c>
      <c r="J448" s="4" t="s">
        <v>15</v>
      </c>
      <c r="K448" s="4" t="s">
        <v>201</v>
      </c>
      <c r="L448" s="4" t="s">
        <v>223</v>
      </c>
      <c r="M448" s="7">
        <v>12180</v>
      </c>
      <c r="N448" s="10">
        <v>4.0199999999999996</v>
      </c>
      <c r="O448" s="10">
        <v>48963.6</v>
      </c>
      <c r="P448">
        <f t="shared" si="25"/>
        <v>1</v>
      </c>
      <c r="Q448" s="36">
        <f t="shared" si="26"/>
        <v>48963.599999999991</v>
      </c>
      <c r="R448">
        <f t="shared" si="27"/>
        <v>2023</v>
      </c>
    </row>
    <row r="449" spans="1:18" x14ac:dyDescent="0.2">
      <c r="A449" s="23" t="s">
        <v>13</v>
      </c>
      <c r="B449" s="23">
        <v>45180</v>
      </c>
      <c r="C449" s="25" t="s">
        <v>399</v>
      </c>
      <c r="D449" s="20" t="e">
        <v>#VALUE!</v>
      </c>
      <c r="E449" s="27">
        <v>0</v>
      </c>
      <c r="F449" s="22" t="s">
        <v>53</v>
      </c>
      <c r="G449" s="29">
        <v>9856</v>
      </c>
      <c r="H449" s="39">
        <v>45169</v>
      </c>
      <c r="I449" s="46" t="e">
        <f t="shared" si="24"/>
        <v>#VALUE!</v>
      </c>
      <c r="J449" s="4" t="s">
        <v>15</v>
      </c>
      <c r="K449" s="4" t="s">
        <v>201</v>
      </c>
      <c r="L449" s="4" t="s">
        <v>223</v>
      </c>
      <c r="M449" s="7">
        <v>9856</v>
      </c>
      <c r="N449" s="10">
        <v>26.93</v>
      </c>
      <c r="O449" s="10">
        <v>265422.08000000002</v>
      </c>
      <c r="P449">
        <f t="shared" si="25"/>
        <v>1</v>
      </c>
      <c r="Q449" s="36">
        <f t="shared" si="26"/>
        <v>265422.08000000002</v>
      </c>
      <c r="R449">
        <f t="shared" si="27"/>
        <v>2023</v>
      </c>
    </row>
    <row r="450" spans="1:18" x14ac:dyDescent="0.2">
      <c r="A450" s="23" t="s">
        <v>13</v>
      </c>
      <c r="B450" s="23">
        <v>45187</v>
      </c>
      <c r="C450" s="25" t="s">
        <v>399</v>
      </c>
      <c r="D450" s="20" t="e">
        <v>#VALUE!</v>
      </c>
      <c r="E450" s="27">
        <v>0</v>
      </c>
      <c r="F450" s="22" t="s">
        <v>54</v>
      </c>
      <c r="G450" s="29">
        <v>9104</v>
      </c>
      <c r="H450" s="39">
        <v>45181</v>
      </c>
      <c r="I450" s="46" t="e">
        <f t="shared" si="24"/>
        <v>#VALUE!</v>
      </c>
      <c r="J450" s="4" t="s">
        <v>15</v>
      </c>
      <c r="K450" s="4" t="s">
        <v>201</v>
      </c>
      <c r="L450" s="4" t="s">
        <v>223</v>
      </c>
      <c r="M450" s="7">
        <v>9104</v>
      </c>
      <c r="N450" s="10">
        <v>4.0199999999999996</v>
      </c>
      <c r="O450" s="10">
        <v>36598.080000000002</v>
      </c>
      <c r="P450">
        <f t="shared" si="25"/>
        <v>1</v>
      </c>
      <c r="Q450" s="36">
        <f t="shared" si="26"/>
        <v>36598.079999999994</v>
      </c>
      <c r="R450">
        <f t="shared" si="27"/>
        <v>2023</v>
      </c>
    </row>
    <row r="451" spans="1:18" x14ac:dyDescent="0.2">
      <c r="A451" s="23" t="s">
        <v>13</v>
      </c>
      <c r="B451" s="23">
        <v>45187</v>
      </c>
      <c r="C451" s="25" t="s">
        <v>399</v>
      </c>
      <c r="D451" s="20" t="e">
        <v>#VALUE!</v>
      </c>
      <c r="E451" s="27">
        <v>0</v>
      </c>
      <c r="F451" s="22" t="s">
        <v>53</v>
      </c>
      <c r="G451" s="29">
        <v>11031</v>
      </c>
      <c r="H451" s="39">
        <v>45181</v>
      </c>
      <c r="I451" s="46" t="e">
        <f t="shared" ref="I451:I514" si="28">IFERROR(A451-H451,"")*1</f>
        <v>#VALUE!</v>
      </c>
      <c r="J451" s="4" t="s">
        <v>15</v>
      </c>
      <c r="K451" s="4" t="s">
        <v>201</v>
      </c>
      <c r="L451" s="4" t="s">
        <v>223</v>
      </c>
      <c r="M451" s="7">
        <v>11031</v>
      </c>
      <c r="N451" s="10">
        <v>26.93</v>
      </c>
      <c r="O451" s="10">
        <v>297064.83</v>
      </c>
      <c r="P451">
        <f t="shared" ref="P451:P514" si="29">IF(M451=G451,1,0)</f>
        <v>1</v>
      </c>
      <c r="Q451" s="36">
        <f t="shared" ref="Q451:Q514" si="30">N451*G451</f>
        <v>297064.83</v>
      </c>
      <c r="R451">
        <f t="shared" ref="R451:R514" si="31">YEAR(H451)</f>
        <v>2023</v>
      </c>
    </row>
    <row r="452" spans="1:18" x14ac:dyDescent="0.2">
      <c r="A452" s="23" t="s">
        <v>13</v>
      </c>
      <c r="B452" s="23">
        <v>45187</v>
      </c>
      <c r="C452" s="25" t="s">
        <v>399</v>
      </c>
      <c r="D452" s="20" t="e">
        <v>#VALUE!</v>
      </c>
      <c r="E452" s="27">
        <v>0</v>
      </c>
      <c r="F452" s="22" t="s">
        <v>54</v>
      </c>
      <c r="G452" s="29">
        <v>5512</v>
      </c>
      <c r="H452" s="39">
        <v>45181</v>
      </c>
      <c r="I452" s="46" t="e">
        <f t="shared" si="28"/>
        <v>#VALUE!</v>
      </c>
      <c r="J452" s="4" t="s">
        <v>15</v>
      </c>
      <c r="K452" s="4" t="s">
        <v>201</v>
      </c>
      <c r="L452" s="4" t="s">
        <v>223</v>
      </c>
      <c r="M452" s="7">
        <v>5512</v>
      </c>
      <c r="N452" s="10">
        <v>4.0199999999999996</v>
      </c>
      <c r="O452" s="10">
        <v>22158.240000000002</v>
      </c>
      <c r="P452">
        <f t="shared" si="29"/>
        <v>1</v>
      </c>
      <c r="Q452" s="36">
        <f t="shared" si="30"/>
        <v>22158.239999999998</v>
      </c>
      <c r="R452">
        <f t="shared" si="31"/>
        <v>2023</v>
      </c>
    </row>
    <row r="453" spans="1:18" x14ac:dyDescent="0.2">
      <c r="A453" s="23" t="s">
        <v>13</v>
      </c>
      <c r="B453" s="23">
        <v>45187</v>
      </c>
      <c r="C453" s="25" t="s">
        <v>399</v>
      </c>
      <c r="D453" s="20" t="e">
        <v>#VALUE!</v>
      </c>
      <c r="E453" s="27">
        <v>0</v>
      </c>
      <c r="F453" s="22" t="s">
        <v>53</v>
      </c>
      <c r="G453" s="29">
        <v>5601</v>
      </c>
      <c r="H453" s="39">
        <v>45181</v>
      </c>
      <c r="I453" s="46" t="e">
        <f t="shared" si="28"/>
        <v>#VALUE!</v>
      </c>
      <c r="J453" s="4" t="s">
        <v>15</v>
      </c>
      <c r="K453" s="4" t="s">
        <v>201</v>
      </c>
      <c r="L453" s="4" t="s">
        <v>223</v>
      </c>
      <c r="M453" s="7">
        <v>5601</v>
      </c>
      <c r="N453" s="10">
        <v>26.93</v>
      </c>
      <c r="O453" s="10">
        <v>150834.93</v>
      </c>
      <c r="P453">
        <f t="shared" si="29"/>
        <v>1</v>
      </c>
      <c r="Q453" s="36">
        <f t="shared" si="30"/>
        <v>150834.93</v>
      </c>
      <c r="R453">
        <f t="shared" si="31"/>
        <v>2023</v>
      </c>
    </row>
    <row r="454" spans="1:18" x14ac:dyDescent="0.2">
      <c r="A454" s="23">
        <v>45506</v>
      </c>
      <c r="B454" s="23">
        <v>45295</v>
      </c>
      <c r="C454" s="25" t="s">
        <v>399</v>
      </c>
      <c r="D454" s="20">
        <v>211</v>
      </c>
      <c r="E454" s="27">
        <v>55603.8</v>
      </c>
      <c r="F454" s="22" t="s">
        <v>59</v>
      </c>
      <c r="G454" s="29">
        <v>3780</v>
      </c>
      <c r="H454" s="39">
        <v>45028</v>
      </c>
      <c r="I454" s="46">
        <f t="shared" si="28"/>
        <v>478</v>
      </c>
      <c r="J454" s="4" t="s">
        <v>15</v>
      </c>
      <c r="K454" s="4" t="s">
        <v>202</v>
      </c>
      <c r="L454" s="4" t="s">
        <v>226</v>
      </c>
      <c r="M454" s="7">
        <v>3780</v>
      </c>
      <c r="N454" s="10">
        <v>14.71</v>
      </c>
      <c r="O454" s="10">
        <v>55603.8</v>
      </c>
      <c r="P454">
        <f t="shared" si="29"/>
        <v>1</v>
      </c>
      <c r="Q454" s="36">
        <f t="shared" si="30"/>
        <v>55603.8</v>
      </c>
      <c r="R454">
        <f t="shared" si="31"/>
        <v>2023</v>
      </c>
    </row>
    <row r="455" spans="1:18" x14ac:dyDescent="0.2">
      <c r="A455" s="23">
        <v>45492</v>
      </c>
      <c r="B455" s="23">
        <v>45492</v>
      </c>
      <c r="C455" s="25" t="s">
        <v>398</v>
      </c>
      <c r="D455" s="20">
        <v>0</v>
      </c>
      <c r="E455" s="27">
        <v>55603.8</v>
      </c>
      <c r="F455" s="22" t="s">
        <v>59</v>
      </c>
      <c r="G455" s="29">
        <v>3780</v>
      </c>
      <c r="H455" s="39">
        <v>45044</v>
      </c>
      <c r="I455" s="46">
        <f t="shared" si="28"/>
        <v>448</v>
      </c>
      <c r="J455" s="4" t="s">
        <v>15</v>
      </c>
      <c r="K455" s="4" t="s">
        <v>203</v>
      </c>
      <c r="L455" s="4" t="s">
        <v>227</v>
      </c>
      <c r="M455" s="7">
        <v>3780</v>
      </c>
      <c r="N455" s="10">
        <v>14.71</v>
      </c>
      <c r="O455" s="10">
        <v>55603.8</v>
      </c>
      <c r="P455">
        <f t="shared" si="29"/>
        <v>1</v>
      </c>
      <c r="Q455" s="36">
        <f t="shared" si="30"/>
        <v>55603.8</v>
      </c>
      <c r="R455">
        <f t="shared" si="31"/>
        <v>2023</v>
      </c>
    </row>
    <row r="456" spans="1:18" x14ac:dyDescent="0.2">
      <c r="A456" s="23">
        <v>45233</v>
      </c>
      <c r="B456" s="23">
        <v>45139</v>
      </c>
      <c r="C456" s="25" t="s">
        <v>399</v>
      </c>
      <c r="D456" s="20">
        <v>94</v>
      </c>
      <c r="E456" s="27">
        <v>89498.5</v>
      </c>
      <c r="F456" s="22" t="s">
        <v>89</v>
      </c>
      <c r="G456" s="29">
        <v>70</v>
      </c>
      <c r="H456" s="39">
        <v>44648</v>
      </c>
      <c r="I456" s="46">
        <f t="shared" si="28"/>
        <v>585</v>
      </c>
      <c r="J456" s="4" t="s">
        <v>15</v>
      </c>
      <c r="K456" s="4" t="s">
        <v>204</v>
      </c>
      <c r="L456" s="4" t="s">
        <v>228</v>
      </c>
      <c r="M456" s="7">
        <v>420</v>
      </c>
      <c r="N456" s="10">
        <v>1278.55</v>
      </c>
      <c r="O456" s="10">
        <v>536991</v>
      </c>
      <c r="P456">
        <f t="shared" si="29"/>
        <v>0</v>
      </c>
      <c r="Q456" s="36">
        <f t="shared" si="30"/>
        <v>89498.5</v>
      </c>
      <c r="R456">
        <f t="shared" si="31"/>
        <v>2022</v>
      </c>
    </row>
    <row r="457" spans="1:18" x14ac:dyDescent="0.2">
      <c r="A457" s="23">
        <v>45315</v>
      </c>
      <c r="B457" s="23">
        <v>45200</v>
      </c>
      <c r="C457" s="25" t="s">
        <v>399</v>
      </c>
      <c r="D457" s="20">
        <v>115</v>
      </c>
      <c r="E457" s="27">
        <v>447492.5</v>
      </c>
      <c r="F457" s="22" t="s">
        <v>89</v>
      </c>
      <c r="G457" s="29">
        <v>350</v>
      </c>
      <c r="H457" s="39">
        <v>44937</v>
      </c>
      <c r="I457" s="46">
        <f t="shared" si="28"/>
        <v>378</v>
      </c>
      <c r="J457" s="4" t="s">
        <v>15</v>
      </c>
      <c r="K457" s="4" t="s">
        <v>204</v>
      </c>
      <c r="L457" s="4" t="s">
        <v>228</v>
      </c>
      <c r="M457" s="7">
        <v>350</v>
      </c>
      <c r="N457" s="10">
        <v>1278.55</v>
      </c>
      <c r="O457" s="10">
        <v>447492.5</v>
      </c>
      <c r="P457">
        <f t="shared" si="29"/>
        <v>1</v>
      </c>
      <c r="Q457" s="36">
        <f t="shared" si="30"/>
        <v>447492.5</v>
      </c>
      <c r="R457">
        <f t="shared" si="31"/>
        <v>2023</v>
      </c>
    </row>
    <row r="458" spans="1:18" x14ac:dyDescent="0.2">
      <c r="A458" s="23">
        <v>45388</v>
      </c>
      <c r="B458" s="23">
        <v>44649</v>
      </c>
      <c r="C458" s="25" t="s">
        <v>399</v>
      </c>
      <c r="D458" s="20">
        <v>739</v>
      </c>
      <c r="E458" s="27">
        <v>322543.76</v>
      </c>
      <c r="F458" s="22" t="s">
        <v>64</v>
      </c>
      <c r="G458" s="29">
        <v>616</v>
      </c>
      <c r="H458" s="39">
        <v>44648</v>
      </c>
      <c r="I458" s="46">
        <f t="shared" si="28"/>
        <v>740</v>
      </c>
      <c r="J458" s="4" t="s">
        <v>15</v>
      </c>
      <c r="K458" s="4" t="s">
        <v>204</v>
      </c>
      <c r="L458" s="4" t="s">
        <v>228</v>
      </c>
      <c r="M458" s="7">
        <v>616</v>
      </c>
      <c r="N458" s="10">
        <v>523.61</v>
      </c>
      <c r="O458" s="10">
        <v>322543.76</v>
      </c>
      <c r="P458">
        <f t="shared" si="29"/>
        <v>1</v>
      </c>
      <c r="Q458" s="36">
        <f t="shared" si="30"/>
        <v>322543.76</v>
      </c>
      <c r="R458">
        <f t="shared" si="31"/>
        <v>2022</v>
      </c>
    </row>
    <row r="459" spans="1:18" x14ac:dyDescent="0.2">
      <c r="A459" s="23">
        <v>45388</v>
      </c>
      <c r="B459" s="23">
        <v>44648</v>
      </c>
      <c r="C459" s="25" t="s">
        <v>399</v>
      </c>
      <c r="D459" s="20">
        <v>740</v>
      </c>
      <c r="E459" s="27">
        <v>645087.52</v>
      </c>
      <c r="F459" s="22" t="s">
        <v>64</v>
      </c>
      <c r="G459" s="29">
        <v>1232</v>
      </c>
      <c r="H459" s="39">
        <v>44648</v>
      </c>
      <c r="I459" s="46">
        <f t="shared" si="28"/>
        <v>740</v>
      </c>
      <c r="J459" s="4" t="s">
        <v>15</v>
      </c>
      <c r="K459" s="4" t="s">
        <v>204</v>
      </c>
      <c r="L459" s="4" t="s">
        <v>228</v>
      </c>
      <c r="M459" s="7">
        <v>1232</v>
      </c>
      <c r="N459" s="10">
        <v>523.61</v>
      </c>
      <c r="O459" s="10">
        <v>645087.52</v>
      </c>
      <c r="P459">
        <f t="shared" si="29"/>
        <v>1</v>
      </c>
      <c r="Q459" s="36">
        <f t="shared" si="30"/>
        <v>645087.52</v>
      </c>
      <c r="R459">
        <f t="shared" si="31"/>
        <v>2022</v>
      </c>
    </row>
    <row r="460" spans="1:18" x14ac:dyDescent="0.2">
      <c r="A460" s="23">
        <v>45392</v>
      </c>
      <c r="B460" s="23">
        <v>44650</v>
      </c>
      <c r="C460" s="25" t="s">
        <v>399</v>
      </c>
      <c r="D460" s="20">
        <v>742</v>
      </c>
      <c r="E460" s="27">
        <v>322543.76</v>
      </c>
      <c r="F460" s="22" t="s">
        <v>64</v>
      </c>
      <c r="G460" s="29">
        <v>616</v>
      </c>
      <c r="H460" s="39">
        <v>44650</v>
      </c>
      <c r="I460" s="46">
        <f t="shared" si="28"/>
        <v>742</v>
      </c>
      <c r="J460" s="4" t="s">
        <v>15</v>
      </c>
      <c r="K460" s="4" t="s">
        <v>204</v>
      </c>
      <c r="L460" s="4" t="s">
        <v>228</v>
      </c>
      <c r="M460" s="7">
        <v>616</v>
      </c>
      <c r="N460" s="10">
        <v>523.61</v>
      </c>
      <c r="O460" s="10">
        <v>322543.76</v>
      </c>
      <c r="P460">
        <f t="shared" si="29"/>
        <v>1</v>
      </c>
      <c r="Q460" s="36">
        <f t="shared" si="30"/>
        <v>322543.76</v>
      </c>
      <c r="R460">
        <f t="shared" si="31"/>
        <v>2022</v>
      </c>
    </row>
    <row r="461" spans="1:18" x14ac:dyDescent="0.2">
      <c r="A461" s="23">
        <v>45388</v>
      </c>
      <c r="B461" s="23">
        <v>44982</v>
      </c>
      <c r="C461" s="25" t="s">
        <v>399</v>
      </c>
      <c r="D461" s="20">
        <v>406</v>
      </c>
      <c r="E461" s="27">
        <v>161271.88</v>
      </c>
      <c r="F461" s="22" t="s">
        <v>64</v>
      </c>
      <c r="G461" s="29">
        <v>308</v>
      </c>
      <c r="H461" s="39">
        <v>44648</v>
      </c>
      <c r="I461" s="46">
        <f t="shared" si="28"/>
        <v>740</v>
      </c>
      <c r="J461" s="4" t="s">
        <v>15</v>
      </c>
      <c r="K461" s="4" t="s">
        <v>204</v>
      </c>
      <c r="L461" s="4" t="s">
        <v>228</v>
      </c>
      <c r="M461" s="7">
        <v>308</v>
      </c>
      <c r="N461" s="10">
        <v>523.61</v>
      </c>
      <c r="O461" s="10">
        <v>161271.88</v>
      </c>
      <c r="P461">
        <f t="shared" si="29"/>
        <v>1</v>
      </c>
      <c r="Q461" s="36">
        <f t="shared" si="30"/>
        <v>161271.88</v>
      </c>
      <c r="R461">
        <f t="shared" si="31"/>
        <v>2022</v>
      </c>
    </row>
    <row r="462" spans="1:18" x14ac:dyDescent="0.2">
      <c r="A462" s="23">
        <v>45388</v>
      </c>
      <c r="B462" s="23">
        <v>44954</v>
      </c>
      <c r="C462" s="25" t="s">
        <v>399</v>
      </c>
      <c r="D462" s="20">
        <v>434</v>
      </c>
      <c r="E462" s="27">
        <v>161271.88</v>
      </c>
      <c r="F462" s="22" t="s">
        <v>64</v>
      </c>
      <c r="G462" s="29">
        <v>308</v>
      </c>
      <c r="H462" s="39">
        <v>44648</v>
      </c>
      <c r="I462" s="46">
        <f t="shared" si="28"/>
        <v>740</v>
      </c>
      <c r="J462" s="4" t="s">
        <v>15</v>
      </c>
      <c r="K462" s="4" t="s">
        <v>204</v>
      </c>
      <c r="L462" s="4" t="s">
        <v>228</v>
      </c>
      <c r="M462" s="7">
        <v>308</v>
      </c>
      <c r="N462" s="10">
        <v>523.61</v>
      </c>
      <c r="O462" s="10">
        <v>161271.88</v>
      </c>
      <c r="P462">
        <f t="shared" si="29"/>
        <v>1</v>
      </c>
      <c r="Q462" s="36">
        <f t="shared" si="30"/>
        <v>161271.88</v>
      </c>
      <c r="R462">
        <f t="shared" si="31"/>
        <v>2022</v>
      </c>
    </row>
    <row r="463" spans="1:18" x14ac:dyDescent="0.2">
      <c r="A463" s="23">
        <v>45388</v>
      </c>
      <c r="B463" s="23">
        <v>44648</v>
      </c>
      <c r="C463" s="25" t="s">
        <v>399</v>
      </c>
      <c r="D463" s="20">
        <v>740</v>
      </c>
      <c r="E463" s="27">
        <v>161271.88</v>
      </c>
      <c r="F463" s="22" t="s">
        <v>64</v>
      </c>
      <c r="G463" s="29">
        <v>308</v>
      </c>
      <c r="H463" s="39">
        <v>44648</v>
      </c>
      <c r="I463" s="46">
        <f t="shared" si="28"/>
        <v>740</v>
      </c>
      <c r="J463" s="4" t="s">
        <v>15</v>
      </c>
      <c r="K463" s="4" t="s">
        <v>204</v>
      </c>
      <c r="L463" s="4" t="s">
        <v>228</v>
      </c>
      <c r="M463" s="7">
        <v>308</v>
      </c>
      <c r="N463" s="10">
        <v>523.61</v>
      </c>
      <c r="O463" s="10">
        <v>161271.88</v>
      </c>
      <c r="P463">
        <f t="shared" si="29"/>
        <v>1</v>
      </c>
      <c r="Q463" s="36">
        <f t="shared" si="30"/>
        <v>161271.88</v>
      </c>
      <c r="R463">
        <f t="shared" si="31"/>
        <v>2022</v>
      </c>
    </row>
    <row r="464" spans="1:18" x14ac:dyDescent="0.2">
      <c r="A464" s="23">
        <v>45388</v>
      </c>
      <c r="B464" s="23">
        <v>44650</v>
      </c>
      <c r="C464" s="25" t="s">
        <v>399</v>
      </c>
      <c r="D464" s="20">
        <v>738</v>
      </c>
      <c r="E464" s="27">
        <v>483815.64</v>
      </c>
      <c r="F464" s="22" t="s">
        <v>64</v>
      </c>
      <c r="G464" s="29">
        <v>924</v>
      </c>
      <c r="H464" s="39">
        <v>44650</v>
      </c>
      <c r="I464" s="46">
        <f t="shared" si="28"/>
        <v>738</v>
      </c>
      <c r="J464" s="4" t="s">
        <v>15</v>
      </c>
      <c r="K464" s="4" t="s">
        <v>204</v>
      </c>
      <c r="L464" s="4" t="s">
        <v>228</v>
      </c>
      <c r="M464" s="7">
        <v>924</v>
      </c>
      <c r="N464" s="10">
        <v>523.61</v>
      </c>
      <c r="O464" s="10">
        <v>483815.64</v>
      </c>
      <c r="P464">
        <f t="shared" si="29"/>
        <v>1</v>
      </c>
      <c r="Q464" s="36">
        <f t="shared" si="30"/>
        <v>483815.64</v>
      </c>
      <c r="R464">
        <f t="shared" si="31"/>
        <v>2022</v>
      </c>
    </row>
    <row r="465" spans="1:18" x14ac:dyDescent="0.2">
      <c r="A465" s="23">
        <v>45388</v>
      </c>
      <c r="B465" s="23">
        <v>45009</v>
      </c>
      <c r="C465" s="25" t="s">
        <v>399</v>
      </c>
      <c r="D465" s="20">
        <v>379</v>
      </c>
      <c r="E465" s="27">
        <v>322543.76</v>
      </c>
      <c r="F465" s="22" t="s">
        <v>64</v>
      </c>
      <c r="G465" s="29">
        <v>616</v>
      </c>
      <c r="H465" s="39">
        <v>44651</v>
      </c>
      <c r="I465" s="46">
        <f t="shared" si="28"/>
        <v>737</v>
      </c>
      <c r="J465" s="4" t="s">
        <v>15</v>
      </c>
      <c r="K465" s="4" t="s">
        <v>204</v>
      </c>
      <c r="L465" s="4" t="s">
        <v>228</v>
      </c>
      <c r="M465" s="7">
        <v>616</v>
      </c>
      <c r="N465" s="10">
        <v>523.61</v>
      </c>
      <c r="O465" s="10">
        <v>322543.76</v>
      </c>
      <c r="P465">
        <f t="shared" si="29"/>
        <v>1</v>
      </c>
      <c r="Q465" s="36">
        <f t="shared" si="30"/>
        <v>322543.76</v>
      </c>
      <c r="R465">
        <f t="shared" si="31"/>
        <v>2022</v>
      </c>
    </row>
    <row r="466" spans="1:18" x14ac:dyDescent="0.2">
      <c r="A466" s="23">
        <v>45388</v>
      </c>
      <c r="B466" s="23">
        <v>45100</v>
      </c>
      <c r="C466" s="25" t="s">
        <v>399</v>
      </c>
      <c r="D466" s="20">
        <v>288</v>
      </c>
      <c r="E466" s="27">
        <v>645087.52</v>
      </c>
      <c r="F466" s="22" t="s">
        <v>64</v>
      </c>
      <c r="G466" s="29">
        <v>1232</v>
      </c>
      <c r="H466" s="39">
        <v>44651</v>
      </c>
      <c r="I466" s="46">
        <f t="shared" si="28"/>
        <v>737</v>
      </c>
      <c r="J466" s="4" t="s">
        <v>15</v>
      </c>
      <c r="K466" s="4" t="s">
        <v>204</v>
      </c>
      <c r="L466" s="4" t="s">
        <v>228</v>
      </c>
      <c r="M466" s="7">
        <v>1232</v>
      </c>
      <c r="N466" s="10">
        <v>523.61</v>
      </c>
      <c r="O466" s="10">
        <v>645087.52</v>
      </c>
      <c r="P466">
        <f t="shared" si="29"/>
        <v>1</v>
      </c>
      <c r="Q466" s="36">
        <f t="shared" si="30"/>
        <v>645087.52</v>
      </c>
      <c r="R466">
        <f t="shared" si="31"/>
        <v>2022</v>
      </c>
    </row>
    <row r="467" spans="1:18" x14ac:dyDescent="0.2">
      <c r="A467" s="23">
        <v>45388</v>
      </c>
      <c r="B467" s="23">
        <v>45283</v>
      </c>
      <c r="C467" s="25" t="s">
        <v>399</v>
      </c>
      <c r="D467" s="20">
        <v>105</v>
      </c>
      <c r="E467" s="27">
        <v>645087.52</v>
      </c>
      <c r="F467" s="22" t="s">
        <v>64</v>
      </c>
      <c r="G467" s="29">
        <v>1232</v>
      </c>
      <c r="H467" s="39">
        <v>44665</v>
      </c>
      <c r="I467" s="46">
        <f t="shared" si="28"/>
        <v>723</v>
      </c>
      <c r="J467" s="4" t="s">
        <v>15</v>
      </c>
      <c r="K467" s="4" t="s">
        <v>204</v>
      </c>
      <c r="L467" s="4" t="s">
        <v>228</v>
      </c>
      <c r="M467" s="7">
        <v>1232</v>
      </c>
      <c r="N467" s="10">
        <v>523.61</v>
      </c>
      <c r="O467" s="10">
        <v>645087.52</v>
      </c>
      <c r="P467">
        <f t="shared" si="29"/>
        <v>1</v>
      </c>
      <c r="Q467" s="36">
        <f t="shared" si="30"/>
        <v>645087.52</v>
      </c>
      <c r="R467">
        <f t="shared" si="31"/>
        <v>2022</v>
      </c>
    </row>
    <row r="468" spans="1:18" x14ac:dyDescent="0.2">
      <c r="A468" s="23">
        <v>45388</v>
      </c>
      <c r="B468" s="23">
        <v>44651</v>
      </c>
      <c r="C468" s="25" t="s">
        <v>399</v>
      </c>
      <c r="D468" s="20">
        <v>737</v>
      </c>
      <c r="E468" s="27">
        <v>692736.03</v>
      </c>
      <c r="F468" s="22" t="s">
        <v>64</v>
      </c>
      <c r="G468" s="29">
        <v>1323</v>
      </c>
      <c r="H468" s="39">
        <v>45029</v>
      </c>
      <c r="I468" s="46">
        <f t="shared" si="28"/>
        <v>359</v>
      </c>
      <c r="J468" s="4" t="s">
        <v>15</v>
      </c>
      <c r="K468" s="4" t="s">
        <v>204</v>
      </c>
      <c r="L468" s="4" t="s">
        <v>228</v>
      </c>
      <c r="M468" s="7">
        <v>1323</v>
      </c>
      <c r="N468" s="10">
        <v>523.61</v>
      </c>
      <c r="O468" s="10">
        <v>692736.03</v>
      </c>
      <c r="P468">
        <f t="shared" si="29"/>
        <v>1</v>
      </c>
      <c r="Q468" s="36">
        <f t="shared" si="30"/>
        <v>692736.03</v>
      </c>
      <c r="R468">
        <f t="shared" si="31"/>
        <v>2023</v>
      </c>
    </row>
    <row r="469" spans="1:18" x14ac:dyDescent="0.2">
      <c r="A469" s="23">
        <v>45293</v>
      </c>
      <c r="B469" s="23">
        <v>45293</v>
      </c>
      <c r="C469" s="25" t="s">
        <v>398</v>
      </c>
      <c r="D469" s="20">
        <v>0</v>
      </c>
      <c r="E469" s="27">
        <v>2132</v>
      </c>
      <c r="F469" s="22" t="s">
        <v>90</v>
      </c>
      <c r="G469" s="29">
        <v>1300</v>
      </c>
      <c r="H469" s="39">
        <v>44888</v>
      </c>
      <c r="I469" s="46">
        <f t="shared" si="28"/>
        <v>405</v>
      </c>
      <c r="J469" s="4" t="s">
        <v>15</v>
      </c>
      <c r="K469" s="4" t="s">
        <v>202</v>
      </c>
      <c r="L469" s="4" t="s">
        <v>226</v>
      </c>
      <c r="M469" s="7">
        <v>1300</v>
      </c>
      <c r="N469" s="10">
        <v>1.64</v>
      </c>
      <c r="O469" s="10">
        <v>2132</v>
      </c>
      <c r="P469">
        <f t="shared" si="29"/>
        <v>1</v>
      </c>
      <c r="Q469" s="36">
        <f t="shared" si="30"/>
        <v>2132</v>
      </c>
      <c r="R469">
        <f t="shared" si="31"/>
        <v>2022</v>
      </c>
    </row>
    <row r="470" spans="1:18" x14ac:dyDescent="0.2">
      <c r="A470" s="23">
        <v>45453</v>
      </c>
      <c r="B470" s="23">
        <v>44620</v>
      </c>
      <c r="C470" s="25" t="s">
        <v>399</v>
      </c>
      <c r="D470" s="20">
        <v>833</v>
      </c>
      <c r="E470" s="27">
        <v>87079.81</v>
      </c>
      <c r="F470" s="22" t="s">
        <v>91</v>
      </c>
      <c r="G470" s="29">
        <v>202370</v>
      </c>
      <c r="H470" s="39">
        <v>44676</v>
      </c>
      <c r="I470" s="46">
        <f t="shared" si="28"/>
        <v>777</v>
      </c>
      <c r="J470" s="4" t="s">
        <v>15</v>
      </c>
      <c r="K470" s="4" t="s">
        <v>205</v>
      </c>
      <c r="L470" s="4" t="s">
        <v>229</v>
      </c>
      <c r="M470" s="7">
        <v>239470</v>
      </c>
      <c r="N470" s="10">
        <v>0.43</v>
      </c>
      <c r="O470" s="10">
        <v>102972.1</v>
      </c>
      <c r="P470">
        <f t="shared" si="29"/>
        <v>0</v>
      </c>
      <c r="Q470" s="36">
        <f t="shared" si="30"/>
        <v>87019.1</v>
      </c>
      <c r="R470">
        <f t="shared" si="31"/>
        <v>2022</v>
      </c>
    </row>
    <row r="471" spans="1:18" x14ac:dyDescent="0.2">
      <c r="A471" s="23">
        <v>45670</v>
      </c>
      <c r="B471" s="23">
        <v>44620</v>
      </c>
      <c r="C471" s="25" t="s">
        <v>399</v>
      </c>
      <c r="D471" s="20">
        <v>1050</v>
      </c>
      <c r="E471" s="27">
        <v>1204.8399999999999</v>
      </c>
      <c r="F471" s="22" t="s">
        <v>91</v>
      </c>
      <c r="G471" s="29">
        <v>2800</v>
      </c>
      <c r="H471" s="39">
        <v>44676</v>
      </c>
      <c r="I471" s="46">
        <f t="shared" si="28"/>
        <v>994</v>
      </c>
      <c r="J471" s="4" t="s">
        <v>15</v>
      </c>
      <c r="K471" s="4" t="s">
        <v>205</v>
      </c>
      <c r="L471" s="4" t="s">
        <v>229</v>
      </c>
      <c r="M471" s="7">
        <v>239470</v>
      </c>
      <c r="N471" s="10">
        <v>0.43</v>
      </c>
      <c r="O471" s="10">
        <v>102972.1</v>
      </c>
      <c r="P471">
        <f t="shared" si="29"/>
        <v>0</v>
      </c>
      <c r="Q471" s="36">
        <f t="shared" si="30"/>
        <v>1204</v>
      </c>
      <c r="R471">
        <f t="shared" si="31"/>
        <v>2022</v>
      </c>
    </row>
    <row r="472" spans="1:18" x14ac:dyDescent="0.2">
      <c r="A472" s="23">
        <v>45223</v>
      </c>
      <c r="B472" s="23">
        <v>45107</v>
      </c>
      <c r="C472" s="25" t="s">
        <v>399</v>
      </c>
      <c r="D472" s="20">
        <v>116</v>
      </c>
      <c r="E472" s="27">
        <v>3285.6</v>
      </c>
      <c r="F472" s="22" t="s">
        <v>92</v>
      </c>
      <c r="G472" s="29">
        <v>1480</v>
      </c>
      <c r="H472" s="39">
        <v>44777</v>
      </c>
      <c r="I472" s="46">
        <f t="shared" si="28"/>
        <v>446</v>
      </c>
      <c r="J472" s="4" t="s">
        <v>15</v>
      </c>
      <c r="K472" s="4" t="s">
        <v>205</v>
      </c>
      <c r="L472" s="4" t="s">
        <v>229</v>
      </c>
      <c r="M472" s="7">
        <v>3430</v>
      </c>
      <c r="N472" s="10">
        <v>2.2200000000000002</v>
      </c>
      <c r="O472" s="10">
        <v>7614.6</v>
      </c>
      <c r="P472">
        <f t="shared" si="29"/>
        <v>0</v>
      </c>
      <c r="Q472" s="36">
        <f t="shared" si="30"/>
        <v>3285.6000000000004</v>
      </c>
      <c r="R472">
        <f t="shared" si="31"/>
        <v>2022</v>
      </c>
    </row>
    <row r="473" spans="1:18" x14ac:dyDescent="0.2">
      <c r="A473" s="23">
        <v>45188</v>
      </c>
      <c r="B473" s="23">
        <v>44981</v>
      </c>
      <c r="C473" s="25" t="s">
        <v>399</v>
      </c>
      <c r="D473" s="20">
        <v>207</v>
      </c>
      <c r="E473" s="27">
        <v>2668287.54</v>
      </c>
      <c r="F473" s="22" t="s">
        <v>93</v>
      </c>
      <c r="G473" s="29">
        <v>169093</v>
      </c>
      <c r="H473" s="39">
        <v>44981</v>
      </c>
      <c r="I473" s="46">
        <f t="shared" si="28"/>
        <v>207</v>
      </c>
      <c r="J473" s="4" t="s">
        <v>15</v>
      </c>
      <c r="K473" s="4" t="s">
        <v>205</v>
      </c>
      <c r="L473" s="4" t="s">
        <v>229</v>
      </c>
      <c r="M473" s="7">
        <v>189241</v>
      </c>
      <c r="N473" s="10">
        <v>15.78</v>
      </c>
      <c r="O473" s="10">
        <v>2986222.98</v>
      </c>
      <c r="P473">
        <f t="shared" si="29"/>
        <v>0</v>
      </c>
      <c r="Q473" s="36">
        <f t="shared" si="30"/>
        <v>2668287.54</v>
      </c>
      <c r="R473">
        <f t="shared" si="31"/>
        <v>2023</v>
      </c>
    </row>
    <row r="474" spans="1:18" x14ac:dyDescent="0.2">
      <c r="A474" s="23">
        <v>45239</v>
      </c>
      <c r="B474" s="23">
        <v>44981</v>
      </c>
      <c r="C474" s="25" t="s">
        <v>399</v>
      </c>
      <c r="D474" s="20">
        <v>258</v>
      </c>
      <c r="E474" s="27">
        <v>317935.44</v>
      </c>
      <c r="F474" s="22" t="s">
        <v>93</v>
      </c>
      <c r="G474" s="29">
        <v>20148</v>
      </c>
      <c r="H474" s="39">
        <v>44981</v>
      </c>
      <c r="I474" s="46">
        <f t="shared" si="28"/>
        <v>258</v>
      </c>
      <c r="J474" s="4" t="s">
        <v>15</v>
      </c>
      <c r="K474" s="4" t="s">
        <v>205</v>
      </c>
      <c r="L474" s="4" t="s">
        <v>229</v>
      </c>
      <c r="M474" s="7">
        <v>189241</v>
      </c>
      <c r="N474" s="10">
        <v>15.78</v>
      </c>
      <c r="O474" s="10">
        <v>2986222.98</v>
      </c>
      <c r="P474">
        <f t="shared" si="29"/>
        <v>0</v>
      </c>
      <c r="Q474" s="36">
        <f t="shared" si="30"/>
        <v>317935.44</v>
      </c>
      <c r="R474">
        <f t="shared" si="31"/>
        <v>2023</v>
      </c>
    </row>
    <row r="475" spans="1:18" x14ac:dyDescent="0.2">
      <c r="A475" s="23">
        <v>45227</v>
      </c>
      <c r="B475" s="23">
        <v>45227</v>
      </c>
      <c r="C475" s="25" t="s">
        <v>398</v>
      </c>
      <c r="D475" s="20">
        <v>0</v>
      </c>
      <c r="E475" s="27">
        <v>4363.8</v>
      </c>
      <c r="F475" s="22" t="s">
        <v>67</v>
      </c>
      <c r="G475" s="29">
        <v>420</v>
      </c>
      <c r="H475" s="39">
        <v>44824</v>
      </c>
      <c r="I475" s="46">
        <f t="shared" si="28"/>
        <v>403</v>
      </c>
      <c r="J475" s="4" t="s">
        <v>15</v>
      </c>
      <c r="K475" s="4" t="s">
        <v>202</v>
      </c>
      <c r="L475" s="4" t="s">
        <v>226</v>
      </c>
      <c r="M475" s="7">
        <v>420</v>
      </c>
      <c r="N475" s="10">
        <v>10.39</v>
      </c>
      <c r="O475" s="10">
        <v>4363.8</v>
      </c>
      <c r="P475">
        <f t="shared" si="29"/>
        <v>1</v>
      </c>
      <c r="Q475" s="36">
        <f t="shared" si="30"/>
        <v>4363.8</v>
      </c>
      <c r="R475">
        <f t="shared" si="31"/>
        <v>2022</v>
      </c>
    </row>
    <row r="476" spans="1:18" x14ac:dyDescent="0.2">
      <c r="A476" s="23">
        <v>45337</v>
      </c>
      <c r="B476" s="23">
        <v>45142</v>
      </c>
      <c r="C476" s="25" t="s">
        <v>399</v>
      </c>
      <c r="D476" s="20">
        <v>195</v>
      </c>
      <c r="E476" s="27">
        <v>4363.8</v>
      </c>
      <c r="F476" s="22" t="s">
        <v>67</v>
      </c>
      <c r="G476" s="29">
        <v>420</v>
      </c>
      <c r="H476" s="39">
        <v>44824</v>
      </c>
      <c r="I476" s="46">
        <f t="shared" si="28"/>
        <v>513</v>
      </c>
      <c r="J476" s="4" t="s">
        <v>15</v>
      </c>
      <c r="K476" s="4" t="s">
        <v>202</v>
      </c>
      <c r="L476" s="4" t="s">
        <v>226</v>
      </c>
      <c r="M476" s="7">
        <v>420</v>
      </c>
      <c r="N476" s="10">
        <v>10.39</v>
      </c>
      <c r="O476" s="10">
        <v>4363.8</v>
      </c>
      <c r="P476">
        <f t="shared" si="29"/>
        <v>1</v>
      </c>
      <c r="Q476" s="36">
        <f t="shared" si="30"/>
        <v>4363.8</v>
      </c>
      <c r="R476">
        <f t="shared" si="31"/>
        <v>2022</v>
      </c>
    </row>
    <row r="477" spans="1:18" x14ac:dyDescent="0.2">
      <c r="A477" s="23">
        <v>45293</v>
      </c>
      <c r="B477" s="23">
        <v>45293</v>
      </c>
      <c r="C477" s="25" t="s">
        <v>398</v>
      </c>
      <c r="D477" s="20">
        <v>0</v>
      </c>
      <c r="E477" s="27">
        <v>4363.8</v>
      </c>
      <c r="F477" s="22" t="s">
        <v>67</v>
      </c>
      <c r="G477" s="29">
        <v>420</v>
      </c>
      <c r="H477" s="39">
        <v>44901</v>
      </c>
      <c r="I477" s="46">
        <f t="shared" si="28"/>
        <v>392</v>
      </c>
      <c r="J477" s="4" t="s">
        <v>15</v>
      </c>
      <c r="K477" s="4" t="s">
        <v>202</v>
      </c>
      <c r="L477" s="4" t="s">
        <v>226</v>
      </c>
      <c r="M477" s="7">
        <v>420</v>
      </c>
      <c r="N477" s="10">
        <v>10.39</v>
      </c>
      <c r="O477" s="10">
        <v>4363.8</v>
      </c>
      <c r="P477">
        <f t="shared" si="29"/>
        <v>1</v>
      </c>
      <c r="Q477" s="36">
        <f t="shared" si="30"/>
        <v>4363.8</v>
      </c>
      <c r="R477">
        <f t="shared" si="31"/>
        <v>2022</v>
      </c>
    </row>
    <row r="478" spans="1:18" x14ac:dyDescent="0.2">
      <c r="A478" s="23">
        <v>45302</v>
      </c>
      <c r="B478" s="23">
        <v>45293</v>
      </c>
      <c r="C478" s="25" t="s">
        <v>399</v>
      </c>
      <c r="D478" s="20">
        <v>9</v>
      </c>
      <c r="E478" s="27">
        <v>4363.8</v>
      </c>
      <c r="F478" s="22" t="s">
        <v>67</v>
      </c>
      <c r="G478" s="29">
        <v>420</v>
      </c>
      <c r="H478" s="39">
        <v>44964</v>
      </c>
      <c r="I478" s="46">
        <f t="shared" si="28"/>
        <v>338</v>
      </c>
      <c r="J478" s="4" t="s">
        <v>15</v>
      </c>
      <c r="K478" s="4" t="s">
        <v>202</v>
      </c>
      <c r="L478" s="4" t="s">
        <v>226</v>
      </c>
      <c r="M478" s="7">
        <v>420</v>
      </c>
      <c r="N478" s="10">
        <v>10.39</v>
      </c>
      <c r="O478" s="10">
        <v>4363.8</v>
      </c>
      <c r="P478">
        <f t="shared" si="29"/>
        <v>1</v>
      </c>
      <c r="Q478" s="36">
        <f t="shared" si="30"/>
        <v>4363.8</v>
      </c>
      <c r="R478">
        <f t="shared" si="31"/>
        <v>2023</v>
      </c>
    </row>
    <row r="479" spans="1:18" x14ac:dyDescent="0.2">
      <c r="A479" s="23">
        <v>45213</v>
      </c>
      <c r="B479" s="23">
        <v>44859</v>
      </c>
      <c r="C479" s="25" t="s">
        <v>399</v>
      </c>
      <c r="D479" s="20">
        <v>354</v>
      </c>
      <c r="E479" s="27">
        <v>4568.2</v>
      </c>
      <c r="F479" s="22" t="s">
        <v>68</v>
      </c>
      <c r="G479" s="29">
        <v>1820</v>
      </c>
      <c r="H479" s="39">
        <v>44508</v>
      </c>
      <c r="I479" s="46">
        <f t="shared" si="28"/>
        <v>705</v>
      </c>
      <c r="J479" s="4" t="s">
        <v>15</v>
      </c>
      <c r="K479" s="4" t="s">
        <v>202</v>
      </c>
      <c r="L479" s="4" t="s">
        <v>226</v>
      </c>
      <c r="M479" s="7">
        <v>1820</v>
      </c>
      <c r="N479" s="10">
        <v>2.5099999999999998</v>
      </c>
      <c r="O479" s="10">
        <v>4568.2</v>
      </c>
      <c r="P479">
        <f t="shared" si="29"/>
        <v>1</v>
      </c>
      <c r="Q479" s="36">
        <f t="shared" si="30"/>
        <v>4568.2</v>
      </c>
      <c r="R479">
        <f t="shared" si="31"/>
        <v>2021</v>
      </c>
    </row>
    <row r="480" spans="1:18" x14ac:dyDescent="0.2">
      <c r="A480" s="23">
        <v>45293</v>
      </c>
      <c r="B480" s="23">
        <v>45293</v>
      </c>
      <c r="C480" s="25" t="s">
        <v>398</v>
      </c>
      <c r="D480" s="20">
        <v>0</v>
      </c>
      <c r="E480" s="27">
        <v>4568.2</v>
      </c>
      <c r="F480" s="22" t="s">
        <v>68</v>
      </c>
      <c r="G480" s="29">
        <v>1820</v>
      </c>
      <c r="H480" s="39">
        <v>44888</v>
      </c>
      <c r="I480" s="46">
        <f t="shared" si="28"/>
        <v>405</v>
      </c>
      <c r="J480" s="4" t="s">
        <v>15</v>
      </c>
      <c r="K480" s="4" t="s">
        <v>202</v>
      </c>
      <c r="L480" s="4" t="s">
        <v>226</v>
      </c>
      <c r="M480" s="7">
        <v>1820</v>
      </c>
      <c r="N480" s="10">
        <v>2.5099999999999998</v>
      </c>
      <c r="O480" s="10">
        <v>4568.2</v>
      </c>
      <c r="P480">
        <f t="shared" si="29"/>
        <v>1</v>
      </c>
      <c r="Q480" s="36">
        <f t="shared" si="30"/>
        <v>4568.2</v>
      </c>
      <c r="R480">
        <f t="shared" si="31"/>
        <v>2022</v>
      </c>
    </row>
    <row r="481" spans="1:18" x14ac:dyDescent="0.2">
      <c r="A481" s="23">
        <v>45293</v>
      </c>
      <c r="B481" s="23">
        <v>45293</v>
      </c>
      <c r="C481" s="25" t="s">
        <v>398</v>
      </c>
      <c r="D481" s="20">
        <v>0</v>
      </c>
      <c r="E481" s="27">
        <v>4568.2</v>
      </c>
      <c r="F481" s="22" t="s">
        <v>68</v>
      </c>
      <c r="G481" s="29">
        <v>1820</v>
      </c>
      <c r="H481" s="39">
        <v>44901</v>
      </c>
      <c r="I481" s="46">
        <f t="shared" si="28"/>
        <v>392</v>
      </c>
      <c r="J481" s="4" t="s">
        <v>15</v>
      </c>
      <c r="K481" s="4" t="s">
        <v>202</v>
      </c>
      <c r="L481" s="4" t="s">
        <v>226</v>
      </c>
      <c r="M481" s="7">
        <v>1820</v>
      </c>
      <c r="N481" s="10">
        <v>2.5099999999999998</v>
      </c>
      <c r="O481" s="10">
        <v>4568.2</v>
      </c>
      <c r="P481">
        <f t="shared" si="29"/>
        <v>1</v>
      </c>
      <c r="Q481" s="36">
        <f t="shared" si="30"/>
        <v>4568.2</v>
      </c>
      <c r="R481">
        <f t="shared" si="31"/>
        <v>2022</v>
      </c>
    </row>
    <row r="482" spans="1:18" x14ac:dyDescent="0.2">
      <c r="A482" s="23">
        <v>45300</v>
      </c>
      <c r="B482" s="23">
        <v>45293</v>
      </c>
      <c r="C482" s="25" t="s">
        <v>399</v>
      </c>
      <c r="D482" s="20">
        <v>7</v>
      </c>
      <c r="E482" s="27">
        <v>4568.2</v>
      </c>
      <c r="F482" s="22" t="s">
        <v>68</v>
      </c>
      <c r="G482" s="29">
        <v>1820</v>
      </c>
      <c r="H482" s="39">
        <v>44957</v>
      </c>
      <c r="I482" s="46">
        <f t="shared" si="28"/>
        <v>343</v>
      </c>
      <c r="J482" s="4" t="s">
        <v>15</v>
      </c>
      <c r="K482" s="4" t="s">
        <v>202</v>
      </c>
      <c r="L482" s="4" t="s">
        <v>226</v>
      </c>
      <c r="M482" s="7">
        <v>1820</v>
      </c>
      <c r="N482" s="10">
        <v>2.5099999999999998</v>
      </c>
      <c r="O482" s="10">
        <v>4568.2</v>
      </c>
      <c r="P482">
        <f t="shared" si="29"/>
        <v>1</v>
      </c>
      <c r="Q482" s="36">
        <f t="shared" si="30"/>
        <v>4568.2</v>
      </c>
      <c r="R482">
        <f t="shared" si="31"/>
        <v>2023</v>
      </c>
    </row>
    <row r="483" spans="1:18" x14ac:dyDescent="0.2">
      <c r="A483" s="23">
        <v>45330</v>
      </c>
      <c r="B483" s="23">
        <v>45293</v>
      </c>
      <c r="C483" s="25" t="s">
        <v>399</v>
      </c>
      <c r="D483" s="20">
        <v>37</v>
      </c>
      <c r="E483" s="27">
        <v>4568.2</v>
      </c>
      <c r="F483" s="22" t="s">
        <v>68</v>
      </c>
      <c r="G483" s="29">
        <v>1820</v>
      </c>
      <c r="H483" s="39">
        <v>44971</v>
      </c>
      <c r="I483" s="46">
        <f t="shared" si="28"/>
        <v>359</v>
      </c>
      <c r="J483" s="4" t="s">
        <v>15</v>
      </c>
      <c r="K483" s="4" t="s">
        <v>202</v>
      </c>
      <c r="L483" s="4" t="s">
        <v>226</v>
      </c>
      <c r="M483" s="7">
        <v>1820</v>
      </c>
      <c r="N483" s="10">
        <v>2.5099999999999998</v>
      </c>
      <c r="O483" s="10">
        <v>4568.2</v>
      </c>
      <c r="P483">
        <f t="shared" si="29"/>
        <v>1</v>
      </c>
      <c r="Q483" s="36">
        <f t="shared" si="30"/>
        <v>4568.2</v>
      </c>
      <c r="R483">
        <f t="shared" si="31"/>
        <v>2023</v>
      </c>
    </row>
    <row r="484" spans="1:18" x14ac:dyDescent="0.2">
      <c r="A484" s="23">
        <v>45378</v>
      </c>
      <c r="B484" s="23">
        <v>45295</v>
      </c>
      <c r="C484" s="25" t="s">
        <v>399</v>
      </c>
      <c r="D484" s="20">
        <v>83</v>
      </c>
      <c r="E484" s="27">
        <v>4568.2</v>
      </c>
      <c r="F484" s="22" t="s">
        <v>68</v>
      </c>
      <c r="G484" s="29">
        <v>1820</v>
      </c>
      <c r="H484" s="39">
        <v>44999</v>
      </c>
      <c r="I484" s="46">
        <f t="shared" si="28"/>
        <v>379</v>
      </c>
      <c r="J484" s="4" t="s">
        <v>15</v>
      </c>
      <c r="K484" s="4" t="s">
        <v>202</v>
      </c>
      <c r="L484" s="4" t="s">
        <v>226</v>
      </c>
      <c r="M484" s="7">
        <v>1820</v>
      </c>
      <c r="N484" s="10">
        <v>2.5099999999999998</v>
      </c>
      <c r="O484" s="10">
        <v>4568.2</v>
      </c>
      <c r="P484">
        <f t="shared" si="29"/>
        <v>1</v>
      </c>
      <c r="Q484" s="36">
        <f t="shared" si="30"/>
        <v>4568.2</v>
      </c>
      <c r="R484">
        <f t="shared" si="31"/>
        <v>2023</v>
      </c>
    </row>
    <row r="485" spans="1:18" x14ac:dyDescent="0.2">
      <c r="A485" s="23">
        <v>45386</v>
      </c>
      <c r="B485" s="23">
        <v>45295</v>
      </c>
      <c r="C485" s="25" t="s">
        <v>399</v>
      </c>
      <c r="D485" s="20">
        <v>91</v>
      </c>
      <c r="E485" s="27">
        <v>4568.2</v>
      </c>
      <c r="F485" s="22" t="s">
        <v>68</v>
      </c>
      <c r="G485" s="29">
        <v>1820</v>
      </c>
      <c r="H485" s="39">
        <v>45013</v>
      </c>
      <c r="I485" s="46">
        <f t="shared" si="28"/>
        <v>373</v>
      </c>
      <c r="J485" s="4" t="s">
        <v>15</v>
      </c>
      <c r="K485" s="4" t="s">
        <v>202</v>
      </c>
      <c r="L485" s="4" t="s">
        <v>226</v>
      </c>
      <c r="M485" s="7">
        <v>1820</v>
      </c>
      <c r="N485" s="10">
        <v>2.5099999999999998</v>
      </c>
      <c r="O485" s="10">
        <v>4568.2</v>
      </c>
      <c r="P485">
        <f t="shared" si="29"/>
        <v>1</v>
      </c>
      <c r="Q485" s="36">
        <f t="shared" si="30"/>
        <v>4568.2</v>
      </c>
      <c r="R485">
        <f t="shared" si="31"/>
        <v>2023</v>
      </c>
    </row>
    <row r="486" spans="1:18" x14ac:dyDescent="0.2">
      <c r="A486" s="23">
        <v>45394</v>
      </c>
      <c r="B486" s="23">
        <v>45295</v>
      </c>
      <c r="C486" s="25" t="s">
        <v>399</v>
      </c>
      <c r="D486" s="20">
        <v>99</v>
      </c>
      <c r="E486" s="27">
        <v>4568.2</v>
      </c>
      <c r="F486" s="22" t="s">
        <v>68</v>
      </c>
      <c r="G486" s="29">
        <v>1820</v>
      </c>
      <c r="H486" s="39">
        <v>45028</v>
      </c>
      <c r="I486" s="46">
        <f t="shared" si="28"/>
        <v>366</v>
      </c>
      <c r="J486" s="4" t="s">
        <v>15</v>
      </c>
      <c r="K486" s="4" t="s">
        <v>202</v>
      </c>
      <c r="L486" s="4" t="s">
        <v>226</v>
      </c>
      <c r="M486" s="7">
        <v>1820</v>
      </c>
      <c r="N486" s="10">
        <v>2.5099999999999998</v>
      </c>
      <c r="O486" s="10">
        <v>4568.2</v>
      </c>
      <c r="P486">
        <f t="shared" si="29"/>
        <v>1</v>
      </c>
      <c r="Q486" s="36">
        <f t="shared" si="30"/>
        <v>4568.2</v>
      </c>
      <c r="R486">
        <f t="shared" si="31"/>
        <v>2023</v>
      </c>
    </row>
    <row r="487" spans="1:18" x14ac:dyDescent="0.2">
      <c r="A487" s="23">
        <v>45394</v>
      </c>
      <c r="B487" s="23">
        <v>45295</v>
      </c>
      <c r="C487" s="25" t="s">
        <v>399</v>
      </c>
      <c r="D487" s="20">
        <v>99</v>
      </c>
      <c r="E487" s="27">
        <v>4568.2</v>
      </c>
      <c r="F487" s="22" t="s">
        <v>68</v>
      </c>
      <c r="G487" s="29">
        <v>1820</v>
      </c>
      <c r="H487" s="39">
        <v>45028</v>
      </c>
      <c r="I487" s="46">
        <f t="shared" si="28"/>
        <v>366</v>
      </c>
      <c r="J487" s="4" t="s">
        <v>15</v>
      </c>
      <c r="K487" s="4" t="s">
        <v>202</v>
      </c>
      <c r="L487" s="4" t="s">
        <v>226</v>
      </c>
      <c r="M487" s="7">
        <v>1820</v>
      </c>
      <c r="N487" s="10">
        <v>2.5099999999999998</v>
      </c>
      <c r="O487" s="10">
        <v>4568.2</v>
      </c>
      <c r="P487">
        <f t="shared" si="29"/>
        <v>1</v>
      </c>
      <c r="Q487" s="36">
        <f t="shared" si="30"/>
        <v>4568.2</v>
      </c>
      <c r="R487">
        <f t="shared" si="31"/>
        <v>2023</v>
      </c>
    </row>
    <row r="488" spans="1:18" x14ac:dyDescent="0.2">
      <c r="A488" s="23">
        <v>45213</v>
      </c>
      <c r="B488" s="23">
        <v>44809</v>
      </c>
      <c r="C488" s="25" t="s">
        <v>399</v>
      </c>
      <c r="D488" s="20">
        <v>404</v>
      </c>
      <c r="E488" s="27">
        <v>4368</v>
      </c>
      <c r="F488" s="22" t="s">
        <v>94</v>
      </c>
      <c r="G488" s="29">
        <v>1820</v>
      </c>
      <c r="H488" s="39">
        <v>44581</v>
      </c>
      <c r="I488" s="46">
        <f t="shared" si="28"/>
        <v>632</v>
      </c>
      <c r="J488" s="4" t="s">
        <v>15</v>
      </c>
      <c r="K488" s="4" t="s">
        <v>202</v>
      </c>
      <c r="L488" s="4" t="s">
        <v>226</v>
      </c>
      <c r="M488" s="7">
        <v>1820</v>
      </c>
      <c r="N488" s="10">
        <v>2.4</v>
      </c>
      <c r="O488" s="10">
        <v>4368</v>
      </c>
      <c r="P488">
        <f t="shared" si="29"/>
        <v>1</v>
      </c>
      <c r="Q488" s="36">
        <f t="shared" si="30"/>
        <v>4368</v>
      </c>
      <c r="R488">
        <f t="shared" si="31"/>
        <v>2022</v>
      </c>
    </row>
    <row r="489" spans="1:18" x14ac:dyDescent="0.2">
      <c r="A489" s="23">
        <v>45212</v>
      </c>
      <c r="B489" s="23">
        <v>45086</v>
      </c>
      <c r="C489" s="25" t="s">
        <v>399</v>
      </c>
      <c r="D489" s="20">
        <v>126</v>
      </c>
      <c r="E489" s="27">
        <v>4368</v>
      </c>
      <c r="F489" s="22" t="s">
        <v>94</v>
      </c>
      <c r="G489" s="29">
        <v>1820</v>
      </c>
      <c r="H489" s="39">
        <v>44719</v>
      </c>
      <c r="I489" s="46">
        <f t="shared" si="28"/>
        <v>493</v>
      </c>
      <c r="J489" s="4" t="s">
        <v>15</v>
      </c>
      <c r="K489" s="4" t="s">
        <v>204</v>
      </c>
      <c r="L489" s="4" t="s">
        <v>228</v>
      </c>
      <c r="M489" s="7">
        <v>1820</v>
      </c>
      <c r="N489" s="10">
        <v>2.4</v>
      </c>
      <c r="O489" s="10">
        <v>4368</v>
      </c>
      <c r="P489">
        <f t="shared" si="29"/>
        <v>1</v>
      </c>
      <c r="Q489" s="36">
        <f t="shared" si="30"/>
        <v>4368</v>
      </c>
      <c r="R489">
        <f t="shared" si="31"/>
        <v>2022</v>
      </c>
    </row>
    <row r="490" spans="1:18" x14ac:dyDescent="0.2">
      <c r="A490" s="23">
        <v>45240</v>
      </c>
      <c r="B490" s="23">
        <v>44620</v>
      </c>
      <c r="C490" s="25" t="s">
        <v>399</v>
      </c>
      <c r="D490" s="20">
        <v>620</v>
      </c>
      <c r="E490" s="27">
        <v>507888.56</v>
      </c>
      <c r="F490" s="22" t="s">
        <v>95</v>
      </c>
      <c r="G490" s="29">
        <v>89417</v>
      </c>
      <c r="H490" s="39">
        <v>44876</v>
      </c>
      <c r="I490" s="46">
        <f t="shared" si="28"/>
        <v>364</v>
      </c>
      <c r="J490" s="4" t="s">
        <v>15</v>
      </c>
      <c r="K490" s="4" t="s">
        <v>205</v>
      </c>
      <c r="L490" s="4" t="s">
        <v>229</v>
      </c>
      <c r="M490" s="7">
        <v>89417</v>
      </c>
      <c r="N490" s="10">
        <v>5.68</v>
      </c>
      <c r="O490" s="10">
        <v>507888.56</v>
      </c>
      <c r="P490">
        <f t="shared" si="29"/>
        <v>1</v>
      </c>
      <c r="Q490" s="36">
        <f t="shared" si="30"/>
        <v>507888.56</v>
      </c>
      <c r="R490">
        <f t="shared" si="31"/>
        <v>2022</v>
      </c>
    </row>
    <row r="491" spans="1:18" x14ac:dyDescent="0.2">
      <c r="A491" s="23">
        <v>45218</v>
      </c>
      <c r="B491" s="23">
        <v>45079</v>
      </c>
      <c r="C491" s="25" t="s">
        <v>399</v>
      </c>
      <c r="D491" s="20">
        <v>139</v>
      </c>
      <c r="E491" s="27">
        <v>6609.33</v>
      </c>
      <c r="F491" s="22" t="s">
        <v>96</v>
      </c>
      <c r="G491" s="29">
        <v>189</v>
      </c>
      <c r="H491" s="39">
        <v>44789</v>
      </c>
      <c r="I491" s="46">
        <f t="shared" si="28"/>
        <v>429</v>
      </c>
      <c r="J491" s="4" t="s">
        <v>15</v>
      </c>
      <c r="K491" s="4" t="s">
        <v>206</v>
      </c>
      <c r="L491" s="4" t="s">
        <v>230</v>
      </c>
      <c r="M491" s="7">
        <v>189</v>
      </c>
      <c r="N491" s="10">
        <v>34.97</v>
      </c>
      <c r="O491" s="10">
        <v>6609.33</v>
      </c>
      <c r="P491">
        <f t="shared" si="29"/>
        <v>1</v>
      </c>
      <c r="Q491" s="36">
        <f t="shared" si="30"/>
        <v>6609.33</v>
      </c>
      <c r="R491">
        <f t="shared" si="31"/>
        <v>2022</v>
      </c>
    </row>
    <row r="492" spans="1:18" x14ac:dyDescent="0.2">
      <c r="A492" s="23">
        <v>45225</v>
      </c>
      <c r="B492" s="23">
        <v>45100</v>
      </c>
      <c r="C492" s="25" t="s">
        <v>399</v>
      </c>
      <c r="D492" s="20">
        <v>125</v>
      </c>
      <c r="E492" s="27">
        <v>6609.33</v>
      </c>
      <c r="F492" s="22" t="s">
        <v>96</v>
      </c>
      <c r="G492" s="29">
        <v>189</v>
      </c>
      <c r="H492" s="39">
        <v>44789</v>
      </c>
      <c r="I492" s="46">
        <f t="shared" si="28"/>
        <v>436</v>
      </c>
      <c r="J492" s="4" t="s">
        <v>15</v>
      </c>
      <c r="K492" s="4" t="s">
        <v>206</v>
      </c>
      <c r="L492" s="4" t="s">
        <v>230</v>
      </c>
      <c r="M492" s="7">
        <v>189</v>
      </c>
      <c r="N492" s="10">
        <v>34.97</v>
      </c>
      <c r="O492" s="10">
        <v>6609.33</v>
      </c>
      <c r="P492">
        <f t="shared" si="29"/>
        <v>1</v>
      </c>
      <c r="Q492" s="36">
        <f t="shared" si="30"/>
        <v>6609.33</v>
      </c>
      <c r="R492">
        <f t="shared" si="31"/>
        <v>2022</v>
      </c>
    </row>
    <row r="493" spans="1:18" x14ac:dyDescent="0.2">
      <c r="A493" s="23">
        <v>45218</v>
      </c>
      <c r="B493" s="23">
        <v>45079</v>
      </c>
      <c r="C493" s="25" t="s">
        <v>399</v>
      </c>
      <c r="D493" s="20">
        <v>139</v>
      </c>
      <c r="E493" s="27">
        <v>6609.33</v>
      </c>
      <c r="F493" s="22" t="s">
        <v>96</v>
      </c>
      <c r="G493" s="29">
        <v>189</v>
      </c>
      <c r="H493" s="39">
        <v>44810</v>
      </c>
      <c r="I493" s="46">
        <f t="shared" si="28"/>
        <v>408</v>
      </c>
      <c r="J493" s="4" t="s">
        <v>15</v>
      </c>
      <c r="K493" s="4" t="s">
        <v>206</v>
      </c>
      <c r="L493" s="4" t="s">
        <v>230</v>
      </c>
      <c r="M493" s="7">
        <v>189</v>
      </c>
      <c r="N493" s="10">
        <v>34.97</v>
      </c>
      <c r="O493" s="10">
        <v>6609.33</v>
      </c>
      <c r="P493">
        <f t="shared" si="29"/>
        <v>1</v>
      </c>
      <c r="Q493" s="36">
        <f t="shared" si="30"/>
        <v>6609.33</v>
      </c>
      <c r="R493">
        <f t="shared" si="31"/>
        <v>2022</v>
      </c>
    </row>
    <row r="494" spans="1:18" x14ac:dyDescent="0.2">
      <c r="A494" s="23">
        <v>45244</v>
      </c>
      <c r="B494" s="23">
        <v>45100</v>
      </c>
      <c r="C494" s="25" t="s">
        <v>399</v>
      </c>
      <c r="D494" s="20">
        <v>144</v>
      </c>
      <c r="E494" s="27">
        <v>6609.33</v>
      </c>
      <c r="F494" s="22" t="s">
        <v>96</v>
      </c>
      <c r="G494" s="29">
        <v>189</v>
      </c>
      <c r="H494" s="39">
        <v>44817</v>
      </c>
      <c r="I494" s="46">
        <f t="shared" si="28"/>
        <v>427</v>
      </c>
      <c r="J494" s="4" t="s">
        <v>15</v>
      </c>
      <c r="K494" s="4" t="s">
        <v>206</v>
      </c>
      <c r="L494" s="4" t="s">
        <v>230</v>
      </c>
      <c r="M494" s="7">
        <v>189</v>
      </c>
      <c r="N494" s="10">
        <v>34.97</v>
      </c>
      <c r="O494" s="10">
        <v>6609.33</v>
      </c>
      <c r="P494">
        <f t="shared" si="29"/>
        <v>1</v>
      </c>
      <c r="Q494" s="36">
        <f t="shared" si="30"/>
        <v>6609.33</v>
      </c>
      <c r="R494">
        <f t="shared" si="31"/>
        <v>2022</v>
      </c>
    </row>
    <row r="495" spans="1:18" x14ac:dyDescent="0.2">
      <c r="A495" s="23">
        <v>45244</v>
      </c>
      <c r="B495" s="23">
        <v>45184</v>
      </c>
      <c r="C495" s="25" t="s">
        <v>399</v>
      </c>
      <c r="D495" s="20">
        <v>60</v>
      </c>
      <c r="E495" s="27">
        <v>6609.33</v>
      </c>
      <c r="F495" s="22" t="s">
        <v>96</v>
      </c>
      <c r="G495" s="29">
        <v>189</v>
      </c>
      <c r="H495" s="39">
        <v>44894</v>
      </c>
      <c r="I495" s="46">
        <f t="shared" si="28"/>
        <v>350</v>
      </c>
      <c r="J495" s="4" t="s">
        <v>15</v>
      </c>
      <c r="K495" s="4" t="s">
        <v>206</v>
      </c>
      <c r="L495" s="4" t="s">
        <v>230</v>
      </c>
      <c r="M495" s="7">
        <v>189</v>
      </c>
      <c r="N495" s="10">
        <v>34.97</v>
      </c>
      <c r="O495" s="10">
        <v>6609.33</v>
      </c>
      <c r="P495">
        <f t="shared" si="29"/>
        <v>1</v>
      </c>
      <c r="Q495" s="36">
        <f t="shared" si="30"/>
        <v>6609.33</v>
      </c>
      <c r="R495">
        <f t="shared" si="31"/>
        <v>2022</v>
      </c>
    </row>
    <row r="496" spans="1:18" x14ac:dyDescent="0.2">
      <c r="A496" s="23">
        <v>45261</v>
      </c>
      <c r="B496" s="23">
        <v>45212</v>
      </c>
      <c r="C496" s="25" t="s">
        <v>399</v>
      </c>
      <c r="D496" s="20">
        <v>49</v>
      </c>
      <c r="E496" s="27">
        <v>6609.33</v>
      </c>
      <c r="F496" s="22" t="s">
        <v>96</v>
      </c>
      <c r="G496" s="29">
        <v>189</v>
      </c>
      <c r="H496" s="39">
        <v>44894</v>
      </c>
      <c r="I496" s="46">
        <f t="shared" si="28"/>
        <v>367</v>
      </c>
      <c r="J496" s="4" t="s">
        <v>15</v>
      </c>
      <c r="K496" s="4" t="s">
        <v>206</v>
      </c>
      <c r="L496" s="4" t="s">
        <v>230</v>
      </c>
      <c r="M496" s="7">
        <v>189</v>
      </c>
      <c r="N496" s="10">
        <v>34.97</v>
      </c>
      <c r="O496" s="10">
        <v>6609.33</v>
      </c>
      <c r="P496">
        <f t="shared" si="29"/>
        <v>1</v>
      </c>
      <c r="Q496" s="36">
        <f t="shared" si="30"/>
        <v>6609.33</v>
      </c>
      <c r="R496">
        <f t="shared" si="31"/>
        <v>2022</v>
      </c>
    </row>
    <row r="497" spans="1:18" x14ac:dyDescent="0.2">
      <c r="A497" s="23">
        <v>45244</v>
      </c>
      <c r="B497" s="23">
        <v>45177</v>
      </c>
      <c r="C497" s="25" t="s">
        <v>399</v>
      </c>
      <c r="D497" s="20">
        <v>67</v>
      </c>
      <c r="E497" s="27">
        <v>6609.33</v>
      </c>
      <c r="F497" s="22" t="s">
        <v>96</v>
      </c>
      <c r="G497" s="29">
        <v>189</v>
      </c>
      <c r="H497" s="39">
        <v>44896</v>
      </c>
      <c r="I497" s="46">
        <f t="shared" si="28"/>
        <v>348</v>
      </c>
      <c r="J497" s="4" t="s">
        <v>15</v>
      </c>
      <c r="K497" s="4" t="s">
        <v>206</v>
      </c>
      <c r="L497" s="4" t="s">
        <v>230</v>
      </c>
      <c r="M497" s="7">
        <v>189</v>
      </c>
      <c r="N497" s="10">
        <v>34.97</v>
      </c>
      <c r="O497" s="10">
        <v>6609.33</v>
      </c>
      <c r="P497">
        <f t="shared" si="29"/>
        <v>1</v>
      </c>
      <c r="Q497" s="36">
        <f t="shared" si="30"/>
        <v>6609.33</v>
      </c>
      <c r="R497">
        <f t="shared" si="31"/>
        <v>2022</v>
      </c>
    </row>
    <row r="498" spans="1:18" x14ac:dyDescent="0.2">
      <c r="A498" s="23">
        <v>45317</v>
      </c>
      <c r="B498" s="23">
        <v>45293</v>
      </c>
      <c r="C498" s="25" t="s">
        <v>399</v>
      </c>
      <c r="D498" s="20">
        <v>24</v>
      </c>
      <c r="E498" s="27">
        <v>57440.04</v>
      </c>
      <c r="F498" s="22" t="s">
        <v>97</v>
      </c>
      <c r="G498" s="29">
        <v>84</v>
      </c>
      <c r="H498" s="39">
        <v>44946</v>
      </c>
      <c r="I498" s="46">
        <f t="shared" si="28"/>
        <v>371</v>
      </c>
      <c r="J498" s="4" t="s">
        <v>15</v>
      </c>
      <c r="K498" s="4" t="s">
        <v>202</v>
      </c>
      <c r="L498" s="4" t="s">
        <v>226</v>
      </c>
      <c r="M498" s="7">
        <v>84</v>
      </c>
      <c r="N498" s="10">
        <v>683.81</v>
      </c>
      <c r="O498" s="10">
        <v>57440.04</v>
      </c>
      <c r="P498">
        <f t="shared" si="29"/>
        <v>1</v>
      </c>
      <c r="Q498" s="36">
        <f t="shared" si="30"/>
        <v>57440.039999999994</v>
      </c>
      <c r="R498">
        <f t="shared" si="31"/>
        <v>2023</v>
      </c>
    </row>
    <row r="499" spans="1:18" x14ac:dyDescent="0.2">
      <c r="A499" s="23">
        <v>45398</v>
      </c>
      <c r="B499" s="23">
        <v>45295</v>
      </c>
      <c r="C499" s="25" t="s">
        <v>399</v>
      </c>
      <c r="D499" s="20">
        <v>103</v>
      </c>
      <c r="E499" s="27">
        <v>57440.04</v>
      </c>
      <c r="F499" s="22" t="s">
        <v>97</v>
      </c>
      <c r="G499" s="29">
        <v>84</v>
      </c>
      <c r="H499" s="39">
        <v>45028</v>
      </c>
      <c r="I499" s="46">
        <f t="shared" si="28"/>
        <v>370</v>
      </c>
      <c r="J499" s="4" t="s">
        <v>15</v>
      </c>
      <c r="K499" s="4" t="s">
        <v>202</v>
      </c>
      <c r="L499" s="4" t="s">
        <v>226</v>
      </c>
      <c r="M499" s="7">
        <v>84</v>
      </c>
      <c r="N499" s="10">
        <v>683.81</v>
      </c>
      <c r="O499" s="10">
        <v>57440.04</v>
      </c>
      <c r="P499">
        <f t="shared" si="29"/>
        <v>1</v>
      </c>
      <c r="Q499" s="36">
        <f t="shared" si="30"/>
        <v>57440.039999999994</v>
      </c>
      <c r="R499">
        <f t="shared" si="31"/>
        <v>2023</v>
      </c>
    </row>
    <row r="500" spans="1:18" x14ac:dyDescent="0.2">
      <c r="A500" s="23">
        <v>45366</v>
      </c>
      <c r="B500" s="23">
        <v>45033</v>
      </c>
      <c r="C500" s="25" t="s">
        <v>399</v>
      </c>
      <c r="D500" s="20">
        <v>333</v>
      </c>
      <c r="E500" s="27">
        <v>151307.51999999999</v>
      </c>
      <c r="F500" s="22" t="s">
        <v>98</v>
      </c>
      <c r="G500" s="29">
        <v>1092</v>
      </c>
      <c r="H500" s="39">
        <v>45008</v>
      </c>
      <c r="I500" s="46">
        <f t="shared" si="28"/>
        <v>358</v>
      </c>
      <c r="J500" s="4" t="s">
        <v>15</v>
      </c>
      <c r="K500" s="4" t="s">
        <v>207</v>
      </c>
      <c r="L500" s="4" t="s">
        <v>224</v>
      </c>
      <c r="M500" s="7">
        <v>1092</v>
      </c>
      <c r="N500" s="10">
        <v>138.56</v>
      </c>
      <c r="O500" s="10">
        <v>151307.51999999999</v>
      </c>
      <c r="P500">
        <f t="shared" si="29"/>
        <v>1</v>
      </c>
      <c r="Q500" s="36">
        <f t="shared" si="30"/>
        <v>151307.51999999999</v>
      </c>
      <c r="R500">
        <f t="shared" si="31"/>
        <v>2023</v>
      </c>
    </row>
    <row r="501" spans="1:18" x14ac:dyDescent="0.2">
      <c r="A501" s="23">
        <v>45199</v>
      </c>
      <c r="B501" s="23">
        <v>44872</v>
      </c>
      <c r="C501" s="25" t="s">
        <v>399</v>
      </c>
      <c r="D501" s="20">
        <v>327</v>
      </c>
      <c r="E501" s="27">
        <v>3205.68</v>
      </c>
      <c r="F501" s="22" t="s">
        <v>99</v>
      </c>
      <c r="G501" s="29">
        <v>222</v>
      </c>
      <c r="H501" s="39">
        <v>44579</v>
      </c>
      <c r="I501" s="46">
        <f t="shared" si="28"/>
        <v>620</v>
      </c>
      <c r="J501" s="4" t="s">
        <v>15</v>
      </c>
      <c r="K501" s="4" t="s">
        <v>202</v>
      </c>
      <c r="L501" s="4" t="s">
        <v>226</v>
      </c>
      <c r="M501" s="7">
        <v>222</v>
      </c>
      <c r="N501" s="10">
        <v>14.44</v>
      </c>
      <c r="O501" s="10">
        <v>3205.68</v>
      </c>
      <c r="P501">
        <f t="shared" si="29"/>
        <v>1</v>
      </c>
      <c r="Q501" s="36">
        <f t="shared" si="30"/>
        <v>3205.68</v>
      </c>
      <c r="R501">
        <f t="shared" si="31"/>
        <v>2022</v>
      </c>
    </row>
    <row r="502" spans="1:18" x14ac:dyDescent="0.2">
      <c r="A502" s="23">
        <v>45199</v>
      </c>
      <c r="B502" s="23">
        <v>44844</v>
      </c>
      <c r="C502" s="25" t="s">
        <v>399</v>
      </c>
      <c r="D502" s="20">
        <v>355</v>
      </c>
      <c r="E502" s="27">
        <v>1631.72</v>
      </c>
      <c r="F502" s="22" t="s">
        <v>99</v>
      </c>
      <c r="G502" s="29">
        <v>113</v>
      </c>
      <c r="H502" s="39">
        <v>44585</v>
      </c>
      <c r="I502" s="46">
        <f t="shared" si="28"/>
        <v>614</v>
      </c>
      <c r="J502" s="4" t="s">
        <v>15</v>
      </c>
      <c r="K502" s="4" t="s">
        <v>202</v>
      </c>
      <c r="L502" s="4" t="s">
        <v>226</v>
      </c>
      <c r="M502" s="7">
        <v>222</v>
      </c>
      <c r="N502" s="10">
        <v>14.44</v>
      </c>
      <c r="O502" s="10">
        <v>3205.68</v>
      </c>
      <c r="P502">
        <f t="shared" si="29"/>
        <v>0</v>
      </c>
      <c r="Q502" s="36">
        <f t="shared" si="30"/>
        <v>1631.72</v>
      </c>
      <c r="R502">
        <f t="shared" si="31"/>
        <v>2022</v>
      </c>
    </row>
    <row r="503" spans="1:18" x14ac:dyDescent="0.2">
      <c r="A503" s="23">
        <v>45199</v>
      </c>
      <c r="B503" s="23">
        <v>44844</v>
      </c>
      <c r="C503" s="25" t="s">
        <v>399</v>
      </c>
      <c r="D503" s="20">
        <v>355</v>
      </c>
      <c r="E503" s="27">
        <v>101.08</v>
      </c>
      <c r="F503" s="22" t="s">
        <v>99</v>
      </c>
      <c r="G503" s="29">
        <v>7</v>
      </c>
      <c r="H503" s="39">
        <v>44607</v>
      </c>
      <c r="I503" s="46">
        <f t="shared" si="28"/>
        <v>592</v>
      </c>
      <c r="J503" s="4" t="s">
        <v>15</v>
      </c>
      <c r="K503" s="4" t="s">
        <v>202</v>
      </c>
      <c r="L503" s="4" t="s">
        <v>226</v>
      </c>
      <c r="M503" s="7">
        <v>7</v>
      </c>
      <c r="N503" s="10">
        <v>14.44</v>
      </c>
      <c r="O503" s="10">
        <v>101.08</v>
      </c>
      <c r="P503">
        <f t="shared" si="29"/>
        <v>1</v>
      </c>
      <c r="Q503" s="36">
        <f t="shared" si="30"/>
        <v>101.08</v>
      </c>
      <c r="R503">
        <f t="shared" si="31"/>
        <v>2022</v>
      </c>
    </row>
    <row r="504" spans="1:18" x14ac:dyDescent="0.2">
      <c r="A504" s="23">
        <v>45199</v>
      </c>
      <c r="B504" s="23">
        <v>44844</v>
      </c>
      <c r="C504" s="25" t="s">
        <v>399</v>
      </c>
      <c r="D504" s="20">
        <v>355</v>
      </c>
      <c r="E504" s="27">
        <v>3104.6</v>
      </c>
      <c r="F504" s="22" t="s">
        <v>99</v>
      </c>
      <c r="G504" s="29">
        <v>215</v>
      </c>
      <c r="H504" s="39">
        <v>44733</v>
      </c>
      <c r="I504" s="46">
        <f t="shared" si="28"/>
        <v>466</v>
      </c>
      <c r="J504" s="4" t="s">
        <v>15</v>
      </c>
      <c r="K504" s="4" t="s">
        <v>202</v>
      </c>
      <c r="L504" s="4" t="s">
        <v>226</v>
      </c>
      <c r="M504" s="7">
        <v>215</v>
      </c>
      <c r="N504" s="10">
        <v>14.44</v>
      </c>
      <c r="O504" s="10">
        <v>3104.6</v>
      </c>
      <c r="P504">
        <f t="shared" si="29"/>
        <v>1</v>
      </c>
      <c r="Q504" s="36">
        <f t="shared" si="30"/>
        <v>3104.6</v>
      </c>
      <c r="R504">
        <f t="shared" si="31"/>
        <v>2022</v>
      </c>
    </row>
    <row r="505" spans="1:18" x14ac:dyDescent="0.2">
      <c r="A505" s="23">
        <v>45199</v>
      </c>
      <c r="B505" s="23">
        <v>45027</v>
      </c>
      <c r="C505" s="25" t="s">
        <v>399</v>
      </c>
      <c r="D505" s="20">
        <v>172</v>
      </c>
      <c r="E505" s="27">
        <v>4880.72</v>
      </c>
      <c r="F505" s="22" t="s">
        <v>99</v>
      </c>
      <c r="G505" s="29">
        <v>338</v>
      </c>
      <c r="H505" s="39">
        <v>44750</v>
      </c>
      <c r="I505" s="46">
        <f t="shared" si="28"/>
        <v>449</v>
      </c>
      <c r="J505" s="4" t="s">
        <v>15</v>
      </c>
      <c r="K505" s="4" t="s">
        <v>202</v>
      </c>
      <c r="L505" s="4" t="s">
        <v>226</v>
      </c>
      <c r="M505" s="7">
        <v>338</v>
      </c>
      <c r="N505" s="10">
        <v>14.44</v>
      </c>
      <c r="O505" s="10">
        <v>4880.72</v>
      </c>
      <c r="P505">
        <f t="shared" si="29"/>
        <v>1</v>
      </c>
      <c r="Q505" s="36">
        <f t="shared" si="30"/>
        <v>4880.72</v>
      </c>
      <c r="R505">
        <f t="shared" si="31"/>
        <v>2022</v>
      </c>
    </row>
    <row r="506" spans="1:18" x14ac:dyDescent="0.2">
      <c r="A506" s="23">
        <v>45227</v>
      </c>
      <c r="B506" s="23">
        <v>45227</v>
      </c>
      <c r="C506" s="25" t="s">
        <v>398</v>
      </c>
      <c r="D506" s="20">
        <v>0</v>
      </c>
      <c r="E506" s="27">
        <v>62227.199999999997</v>
      </c>
      <c r="F506" s="22" t="s">
        <v>70</v>
      </c>
      <c r="G506" s="29">
        <v>1120</v>
      </c>
      <c r="H506" s="39">
        <v>44655</v>
      </c>
      <c r="I506" s="46">
        <f t="shared" si="28"/>
        <v>572</v>
      </c>
      <c r="J506" s="4" t="s">
        <v>15</v>
      </c>
      <c r="K506" s="4" t="s">
        <v>202</v>
      </c>
      <c r="L506" s="4" t="s">
        <v>226</v>
      </c>
      <c r="M506" s="7">
        <v>1120</v>
      </c>
      <c r="N506" s="10">
        <v>55.56</v>
      </c>
      <c r="O506" s="10">
        <v>62227.199999999997</v>
      </c>
      <c r="P506">
        <f t="shared" si="29"/>
        <v>1</v>
      </c>
      <c r="Q506" s="36">
        <f t="shared" si="30"/>
        <v>62227.200000000004</v>
      </c>
      <c r="R506">
        <f t="shared" si="31"/>
        <v>2022</v>
      </c>
    </row>
    <row r="507" spans="1:18" x14ac:dyDescent="0.2">
      <c r="A507" s="23">
        <v>45225</v>
      </c>
      <c r="B507" s="23">
        <v>45218</v>
      </c>
      <c r="C507" s="25" t="s">
        <v>399</v>
      </c>
      <c r="D507" s="20">
        <v>7</v>
      </c>
      <c r="E507" s="27">
        <v>62227.199999999997</v>
      </c>
      <c r="F507" s="22" t="s">
        <v>70</v>
      </c>
      <c r="G507" s="29">
        <v>1120</v>
      </c>
      <c r="H507" s="39">
        <v>44715</v>
      </c>
      <c r="I507" s="46">
        <f t="shared" si="28"/>
        <v>510</v>
      </c>
      <c r="J507" s="4" t="s">
        <v>15</v>
      </c>
      <c r="K507" s="4" t="s">
        <v>202</v>
      </c>
      <c r="L507" s="4" t="s">
        <v>226</v>
      </c>
      <c r="M507" s="7">
        <v>1120</v>
      </c>
      <c r="N507" s="10">
        <v>55.56</v>
      </c>
      <c r="O507" s="10">
        <v>62227.199999999997</v>
      </c>
      <c r="P507">
        <f t="shared" si="29"/>
        <v>1</v>
      </c>
      <c r="Q507" s="36">
        <f t="shared" si="30"/>
        <v>62227.200000000004</v>
      </c>
      <c r="R507">
        <f t="shared" si="31"/>
        <v>2022</v>
      </c>
    </row>
    <row r="508" spans="1:18" x14ac:dyDescent="0.2">
      <c r="A508" s="23">
        <v>45386</v>
      </c>
      <c r="B508" s="23">
        <v>45386</v>
      </c>
      <c r="C508" s="25" t="s">
        <v>398</v>
      </c>
      <c r="D508" s="20">
        <v>0</v>
      </c>
      <c r="E508" s="27">
        <v>62227.199999999997</v>
      </c>
      <c r="F508" s="22" t="s">
        <v>70</v>
      </c>
      <c r="G508" s="29">
        <v>1120</v>
      </c>
      <c r="H508" s="39">
        <v>44824</v>
      </c>
      <c r="I508" s="46">
        <f t="shared" si="28"/>
        <v>562</v>
      </c>
      <c r="J508" s="4" t="s">
        <v>15</v>
      </c>
      <c r="K508" s="4" t="s">
        <v>202</v>
      </c>
      <c r="L508" s="4" t="s">
        <v>226</v>
      </c>
      <c r="M508" s="7">
        <v>1120</v>
      </c>
      <c r="N508" s="10">
        <v>55.56</v>
      </c>
      <c r="O508" s="10">
        <v>62227.199999999997</v>
      </c>
      <c r="P508">
        <f t="shared" si="29"/>
        <v>1</v>
      </c>
      <c r="Q508" s="36">
        <f t="shared" si="30"/>
        <v>62227.200000000004</v>
      </c>
      <c r="R508">
        <f t="shared" si="31"/>
        <v>2022</v>
      </c>
    </row>
    <row r="509" spans="1:18" x14ac:dyDescent="0.2">
      <c r="A509" s="23">
        <v>45402</v>
      </c>
      <c r="B509" s="23">
        <v>45402</v>
      </c>
      <c r="C509" s="25" t="s">
        <v>398</v>
      </c>
      <c r="D509" s="20">
        <v>0</v>
      </c>
      <c r="E509" s="27">
        <v>62227.199999999997</v>
      </c>
      <c r="F509" s="22" t="s">
        <v>70</v>
      </c>
      <c r="G509" s="29">
        <v>1120</v>
      </c>
      <c r="H509" s="39">
        <v>44824</v>
      </c>
      <c r="I509" s="46">
        <f t="shared" si="28"/>
        <v>578</v>
      </c>
      <c r="J509" s="4" t="s">
        <v>15</v>
      </c>
      <c r="K509" s="4" t="s">
        <v>202</v>
      </c>
      <c r="L509" s="4" t="s">
        <v>226</v>
      </c>
      <c r="M509" s="7">
        <v>1120</v>
      </c>
      <c r="N509" s="10">
        <v>55.56</v>
      </c>
      <c r="O509" s="10">
        <v>62227.199999999997</v>
      </c>
      <c r="P509">
        <f t="shared" si="29"/>
        <v>1</v>
      </c>
      <c r="Q509" s="36">
        <f t="shared" si="30"/>
        <v>62227.200000000004</v>
      </c>
      <c r="R509">
        <f t="shared" si="31"/>
        <v>2022</v>
      </c>
    </row>
    <row r="510" spans="1:18" x14ac:dyDescent="0.2">
      <c r="A510" s="23">
        <v>45435</v>
      </c>
      <c r="B510" s="23">
        <v>45435</v>
      </c>
      <c r="C510" s="25" t="s">
        <v>398</v>
      </c>
      <c r="D510" s="20">
        <v>0</v>
      </c>
      <c r="E510" s="27">
        <v>62227.199999999997</v>
      </c>
      <c r="F510" s="22" t="s">
        <v>70</v>
      </c>
      <c r="G510" s="29">
        <v>1120</v>
      </c>
      <c r="H510" s="39">
        <v>44827</v>
      </c>
      <c r="I510" s="46">
        <f t="shared" si="28"/>
        <v>608</v>
      </c>
      <c r="J510" s="4" t="s">
        <v>15</v>
      </c>
      <c r="K510" s="4" t="s">
        <v>202</v>
      </c>
      <c r="L510" s="4" t="s">
        <v>226</v>
      </c>
      <c r="M510" s="7">
        <v>1120</v>
      </c>
      <c r="N510" s="10">
        <v>55.56</v>
      </c>
      <c r="O510" s="10">
        <v>62227.199999999997</v>
      </c>
      <c r="P510">
        <f t="shared" si="29"/>
        <v>1</v>
      </c>
      <c r="Q510" s="36">
        <f t="shared" si="30"/>
        <v>62227.200000000004</v>
      </c>
      <c r="R510">
        <f t="shared" si="31"/>
        <v>2022</v>
      </c>
    </row>
    <row r="511" spans="1:18" x14ac:dyDescent="0.2">
      <c r="A511" s="23">
        <v>45217</v>
      </c>
      <c r="B511" s="23">
        <v>44979</v>
      </c>
      <c r="C511" s="25" t="s">
        <v>399</v>
      </c>
      <c r="D511" s="20">
        <v>238</v>
      </c>
      <c r="E511" s="27">
        <v>58699.199999999997</v>
      </c>
      <c r="F511" s="22" t="s">
        <v>70</v>
      </c>
      <c r="G511" s="29">
        <v>1120</v>
      </c>
      <c r="H511" s="39">
        <v>44783</v>
      </c>
      <c r="I511" s="46">
        <f t="shared" si="28"/>
        <v>434</v>
      </c>
      <c r="J511" s="4" t="s">
        <v>15</v>
      </c>
      <c r="K511" s="4" t="s">
        <v>203</v>
      </c>
      <c r="L511" s="4" t="s">
        <v>227</v>
      </c>
      <c r="M511" s="7">
        <v>1120</v>
      </c>
      <c r="N511" s="10">
        <v>52.41</v>
      </c>
      <c r="O511" s="10">
        <v>58699.199999999997</v>
      </c>
      <c r="P511">
        <f t="shared" si="29"/>
        <v>1</v>
      </c>
      <c r="Q511" s="36">
        <f t="shared" si="30"/>
        <v>58699.199999999997</v>
      </c>
      <c r="R511">
        <f t="shared" si="31"/>
        <v>2022</v>
      </c>
    </row>
    <row r="512" spans="1:18" x14ac:dyDescent="0.2">
      <c r="A512" s="23">
        <v>45217</v>
      </c>
      <c r="B512" s="23">
        <v>44853</v>
      </c>
      <c r="C512" s="25" t="s">
        <v>399</v>
      </c>
      <c r="D512" s="20">
        <v>364</v>
      </c>
      <c r="E512" s="27">
        <v>62227.199999999997</v>
      </c>
      <c r="F512" s="22" t="s">
        <v>70</v>
      </c>
      <c r="G512" s="29">
        <v>1120</v>
      </c>
      <c r="H512" s="39">
        <v>44783</v>
      </c>
      <c r="I512" s="46">
        <f t="shared" si="28"/>
        <v>434</v>
      </c>
      <c r="J512" s="4" t="s">
        <v>15</v>
      </c>
      <c r="K512" s="4" t="s">
        <v>203</v>
      </c>
      <c r="L512" s="4" t="s">
        <v>227</v>
      </c>
      <c r="M512" s="7">
        <v>1120</v>
      </c>
      <c r="N512" s="10">
        <v>55.56</v>
      </c>
      <c r="O512" s="10">
        <v>62227.199999999997</v>
      </c>
      <c r="P512">
        <f t="shared" si="29"/>
        <v>1</v>
      </c>
      <c r="Q512" s="36">
        <f t="shared" si="30"/>
        <v>62227.200000000004</v>
      </c>
      <c r="R512">
        <f t="shared" si="31"/>
        <v>2022</v>
      </c>
    </row>
    <row r="513" spans="1:18" x14ac:dyDescent="0.2">
      <c r="A513" s="23">
        <v>45525</v>
      </c>
      <c r="B513" s="23">
        <v>45512</v>
      </c>
      <c r="C513" s="25" t="s">
        <v>399</v>
      </c>
      <c r="D513" s="20">
        <v>13</v>
      </c>
      <c r="E513" s="27">
        <v>62227.199999999997</v>
      </c>
      <c r="F513" s="22" t="s">
        <v>70</v>
      </c>
      <c r="G513" s="29">
        <v>1120</v>
      </c>
      <c r="H513" s="39">
        <v>45044</v>
      </c>
      <c r="I513" s="46">
        <f t="shared" si="28"/>
        <v>481</v>
      </c>
      <c r="J513" s="4" t="s">
        <v>15</v>
      </c>
      <c r="K513" s="4" t="s">
        <v>203</v>
      </c>
      <c r="L513" s="4" t="s">
        <v>227</v>
      </c>
      <c r="M513" s="7">
        <v>1120</v>
      </c>
      <c r="N513" s="10">
        <v>55.56</v>
      </c>
      <c r="O513" s="10">
        <v>62227.199999999997</v>
      </c>
      <c r="P513">
        <f t="shared" si="29"/>
        <v>1</v>
      </c>
      <c r="Q513" s="36">
        <f t="shared" si="30"/>
        <v>62227.200000000004</v>
      </c>
      <c r="R513">
        <f t="shared" si="31"/>
        <v>2023</v>
      </c>
    </row>
    <row r="514" spans="1:18" x14ac:dyDescent="0.2">
      <c r="A514" s="23">
        <v>45595</v>
      </c>
      <c r="B514" s="23">
        <v>45575</v>
      </c>
      <c r="C514" s="25" t="s">
        <v>399</v>
      </c>
      <c r="D514" s="20">
        <v>20</v>
      </c>
      <c r="E514" s="27">
        <v>62227.199999999997</v>
      </c>
      <c r="F514" s="22" t="s">
        <v>70</v>
      </c>
      <c r="G514" s="29">
        <v>1120</v>
      </c>
      <c r="H514" s="39">
        <v>45044</v>
      </c>
      <c r="I514" s="46">
        <f t="shared" si="28"/>
        <v>551</v>
      </c>
      <c r="J514" s="4" t="s">
        <v>15</v>
      </c>
      <c r="K514" s="4" t="s">
        <v>203</v>
      </c>
      <c r="L514" s="4" t="s">
        <v>227</v>
      </c>
      <c r="M514" s="7">
        <v>1120</v>
      </c>
      <c r="N514" s="10">
        <v>55.56</v>
      </c>
      <c r="O514" s="10">
        <v>62227.199999999997</v>
      </c>
      <c r="P514">
        <f t="shared" si="29"/>
        <v>1</v>
      </c>
      <c r="Q514" s="36">
        <f t="shared" si="30"/>
        <v>62227.200000000004</v>
      </c>
      <c r="R514">
        <f t="shared" si="31"/>
        <v>2023</v>
      </c>
    </row>
    <row r="515" spans="1:18" x14ac:dyDescent="0.2">
      <c r="A515" s="23">
        <v>45458</v>
      </c>
      <c r="B515" s="23">
        <v>45458</v>
      </c>
      <c r="C515" s="25" t="s">
        <v>398</v>
      </c>
      <c r="D515" s="20">
        <v>0</v>
      </c>
      <c r="E515" s="27">
        <v>29679.3</v>
      </c>
      <c r="F515" s="22" t="s">
        <v>100</v>
      </c>
      <c r="G515" s="29">
        <v>630</v>
      </c>
      <c r="H515" s="39">
        <v>45035</v>
      </c>
      <c r="I515" s="46">
        <f t="shared" ref="I515:I578" si="32">IFERROR(A515-H515,"")*1</f>
        <v>423</v>
      </c>
      <c r="J515" s="4" t="s">
        <v>15</v>
      </c>
      <c r="K515" s="4" t="s">
        <v>202</v>
      </c>
      <c r="L515" s="4" t="s">
        <v>226</v>
      </c>
      <c r="M515" s="7">
        <v>630</v>
      </c>
      <c r="N515" s="10">
        <v>47.11</v>
      </c>
      <c r="O515" s="10">
        <v>29679.3</v>
      </c>
      <c r="P515">
        <f t="shared" ref="P515:P578" si="33">IF(M515=G515,1,0)</f>
        <v>1</v>
      </c>
      <c r="Q515" s="36">
        <f t="shared" ref="Q515:Q578" si="34">N515*G515</f>
        <v>29679.3</v>
      </c>
      <c r="R515">
        <f t="shared" ref="R515:R578" si="35">YEAR(H515)</f>
        <v>2023</v>
      </c>
    </row>
    <row r="516" spans="1:18" x14ac:dyDescent="0.2">
      <c r="A516" s="23">
        <v>45300</v>
      </c>
      <c r="B516" s="23">
        <v>45293</v>
      </c>
      <c r="C516" s="25" t="s">
        <v>399</v>
      </c>
      <c r="D516" s="20">
        <v>7</v>
      </c>
      <c r="E516" s="27">
        <v>135869.16</v>
      </c>
      <c r="F516" s="22" t="s">
        <v>75</v>
      </c>
      <c r="G516" s="29">
        <v>588</v>
      </c>
      <c r="H516" s="39">
        <v>44901</v>
      </c>
      <c r="I516" s="46">
        <f t="shared" si="32"/>
        <v>399</v>
      </c>
      <c r="J516" s="4" t="s">
        <v>15</v>
      </c>
      <c r="K516" s="4" t="s">
        <v>202</v>
      </c>
      <c r="L516" s="4" t="s">
        <v>226</v>
      </c>
      <c r="M516" s="7">
        <v>588</v>
      </c>
      <c r="N516" s="10">
        <v>231.07</v>
      </c>
      <c r="O516" s="10">
        <v>135869.16</v>
      </c>
      <c r="P516">
        <f t="shared" si="33"/>
        <v>1</v>
      </c>
      <c r="Q516" s="36">
        <f t="shared" si="34"/>
        <v>135869.16</v>
      </c>
      <c r="R516">
        <f t="shared" si="35"/>
        <v>2022</v>
      </c>
    </row>
    <row r="517" spans="1:18" x14ac:dyDescent="0.2">
      <c r="A517" s="23">
        <v>45300</v>
      </c>
      <c r="B517" s="23">
        <v>45293</v>
      </c>
      <c r="C517" s="25" t="s">
        <v>399</v>
      </c>
      <c r="D517" s="20">
        <v>7</v>
      </c>
      <c r="E517" s="27">
        <v>135869.16</v>
      </c>
      <c r="F517" s="22" t="s">
        <v>75</v>
      </c>
      <c r="G517" s="29">
        <v>588</v>
      </c>
      <c r="H517" s="39">
        <v>44904</v>
      </c>
      <c r="I517" s="46">
        <f t="shared" si="32"/>
        <v>396</v>
      </c>
      <c r="J517" s="4" t="s">
        <v>15</v>
      </c>
      <c r="K517" s="4" t="s">
        <v>202</v>
      </c>
      <c r="L517" s="4" t="s">
        <v>226</v>
      </c>
      <c r="M517" s="7">
        <v>588</v>
      </c>
      <c r="N517" s="10">
        <v>231.07</v>
      </c>
      <c r="O517" s="10">
        <v>135869.16</v>
      </c>
      <c r="P517">
        <f t="shared" si="33"/>
        <v>1</v>
      </c>
      <c r="Q517" s="36">
        <f t="shared" si="34"/>
        <v>135869.16</v>
      </c>
      <c r="R517">
        <f t="shared" si="35"/>
        <v>2022</v>
      </c>
    </row>
    <row r="518" spans="1:18" x14ac:dyDescent="0.2">
      <c r="A518" s="23">
        <v>45317</v>
      </c>
      <c r="B518" s="23">
        <v>45293</v>
      </c>
      <c r="C518" s="25" t="s">
        <v>399</v>
      </c>
      <c r="D518" s="20">
        <v>24</v>
      </c>
      <c r="E518" s="27">
        <v>35321.300000000003</v>
      </c>
      <c r="F518" s="22" t="s">
        <v>101</v>
      </c>
      <c r="G518" s="29">
        <v>70</v>
      </c>
      <c r="H518" s="39">
        <v>44946</v>
      </c>
      <c r="I518" s="46">
        <f t="shared" si="32"/>
        <v>371</v>
      </c>
      <c r="J518" s="4" t="s">
        <v>15</v>
      </c>
      <c r="K518" s="4" t="s">
        <v>202</v>
      </c>
      <c r="L518" s="4" t="s">
        <v>226</v>
      </c>
      <c r="M518" s="7">
        <v>70</v>
      </c>
      <c r="N518" s="10">
        <v>504.59</v>
      </c>
      <c r="O518" s="10">
        <v>35321.300000000003</v>
      </c>
      <c r="P518">
        <f t="shared" si="33"/>
        <v>1</v>
      </c>
      <c r="Q518" s="36">
        <f t="shared" si="34"/>
        <v>35321.299999999996</v>
      </c>
      <c r="R518">
        <f t="shared" si="35"/>
        <v>2023</v>
      </c>
    </row>
    <row r="519" spans="1:18" x14ac:dyDescent="0.2">
      <c r="A519" s="23">
        <v>45317</v>
      </c>
      <c r="B519" s="23">
        <v>45293</v>
      </c>
      <c r="C519" s="25" t="s">
        <v>399</v>
      </c>
      <c r="D519" s="20">
        <v>24</v>
      </c>
      <c r="E519" s="27">
        <v>35321.300000000003</v>
      </c>
      <c r="F519" s="22" t="s">
        <v>101</v>
      </c>
      <c r="G519" s="29">
        <v>70</v>
      </c>
      <c r="H519" s="39">
        <v>44946</v>
      </c>
      <c r="I519" s="46">
        <f t="shared" si="32"/>
        <v>371</v>
      </c>
      <c r="J519" s="4" t="s">
        <v>15</v>
      </c>
      <c r="K519" s="4" t="s">
        <v>202</v>
      </c>
      <c r="L519" s="4" t="s">
        <v>226</v>
      </c>
      <c r="M519" s="7">
        <v>70</v>
      </c>
      <c r="N519" s="10">
        <v>504.59</v>
      </c>
      <c r="O519" s="10">
        <v>35321.300000000003</v>
      </c>
      <c r="P519">
        <f t="shared" si="33"/>
        <v>1</v>
      </c>
      <c r="Q519" s="36">
        <f t="shared" si="34"/>
        <v>35321.299999999996</v>
      </c>
      <c r="R519">
        <f t="shared" si="35"/>
        <v>2023</v>
      </c>
    </row>
    <row r="520" spans="1:18" x14ac:dyDescent="0.2">
      <c r="A520" s="23">
        <v>45332</v>
      </c>
      <c r="B520" s="23">
        <v>45138</v>
      </c>
      <c r="C520" s="25" t="s">
        <v>399</v>
      </c>
      <c r="D520" s="20">
        <v>194</v>
      </c>
      <c r="E520" s="27">
        <v>328408.28999999998</v>
      </c>
      <c r="F520" s="22" t="s">
        <v>77</v>
      </c>
      <c r="G520" s="29">
        <v>441</v>
      </c>
      <c r="H520" s="39">
        <v>44708</v>
      </c>
      <c r="I520" s="46">
        <f t="shared" si="32"/>
        <v>624</v>
      </c>
      <c r="J520" s="4" t="s">
        <v>15</v>
      </c>
      <c r="K520" s="4" t="s">
        <v>204</v>
      </c>
      <c r="L520" s="4" t="s">
        <v>228</v>
      </c>
      <c r="M520" s="7">
        <v>882</v>
      </c>
      <c r="N520" s="10">
        <v>744.69</v>
      </c>
      <c r="O520" s="10">
        <v>656816.57999999996</v>
      </c>
      <c r="P520">
        <f t="shared" si="33"/>
        <v>0</v>
      </c>
      <c r="Q520" s="36">
        <f t="shared" si="34"/>
        <v>328408.29000000004</v>
      </c>
      <c r="R520">
        <f t="shared" si="35"/>
        <v>2022</v>
      </c>
    </row>
    <row r="521" spans="1:18" x14ac:dyDescent="0.2">
      <c r="A521" s="23">
        <v>45332</v>
      </c>
      <c r="B521" s="23">
        <v>45145</v>
      </c>
      <c r="C521" s="25" t="s">
        <v>399</v>
      </c>
      <c r="D521" s="20">
        <v>187</v>
      </c>
      <c r="E521" s="27">
        <v>437877.72</v>
      </c>
      <c r="F521" s="22" t="s">
        <v>77</v>
      </c>
      <c r="G521" s="29">
        <v>588</v>
      </c>
      <c r="H521" s="39">
        <v>44708</v>
      </c>
      <c r="I521" s="46">
        <f t="shared" si="32"/>
        <v>624</v>
      </c>
      <c r="J521" s="4" t="s">
        <v>15</v>
      </c>
      <c r="K521" s="4" t="s">
        <v>204</v>
      </c>
      <c r="L521" s="4" t="s">
        <v>228</v>
      </c>
      <c r="M521" s="7">
        <v>882</v>
      </c>
      <c r="N521" s="10">
        <v>744.69</v>
      </c>
      <c r="O521" s="10">
        <v>656816.57999999996</v>
      </c>
      <c r="P521">
        <f t="shared" si="33"/>
        <v>0</v>
      </c>
      <c r="Q521" s="36">
        <f t="shared" si="34"/>
        <v>437877.72000000003</v>
      </c>
      <c r="R521">
        <f t="shared" si="35"/>
        <v>2022</v>
      </c>
    </row>
    <row r="522" spans="1:18" x14ac:dyDescent="0.2">
      <c r="A522" s="23">
        <v>45387</v>
      </c>
      <c r="B522" s="23">
        <v>45145</v>
      </c>
      <c r="C522" s="25" t="s">
        <v>399</v>
      </c>
      <c r="D522" s="20">
        <v>242</v>
      </c>
      <c r="E522" s="27">
        <v>218938.86</v>
      </c>
      <c r="F522" s="22" t="s">
        <v>77</v>
      </c>
      <c r="G522" s="29">
        <v>294</v>
      </c>
      <c r="H522" s="39">
        <v>44708</v>
      </c>
      <c r="I522" s="46">
        <f t="shared" si="32"/>
        <v>679</v>
      </c>
      <c r="J522" s="4" t="s">
        <v>15</v>
      </c>
      <c r="K522" s="4" t="s">
        <v>204</v>
      </c>
      <c r="L522" s="4" t="s">
        <v>228</v>
      </c>
      <c r="M522" s="7">
        <v>882</v>
      </c>
      <c r="N522" s="10">
        <v>744.69</v>
      </c>
      <c r="O522" s="10">
        <v>656816.57999999996</v>
      </c>
      <c r="P522">
        <f t="shared" si="33"/>
        <v>0</v>
      </c>
      <c r="Q522" s="36">
        <f t="shared" si="34"/>
        <v>218938.86000000002</v>
      </c>
      <c r="R522">
        <f t="shared" si="35"/>
        <v>2022</v>
      </c>
    </row>
    <row r="523" spans="1:18" x14ac:dyDescent="0.2">
      <c r="A523" s="23">
        <v>45330</v>
      </c>
      <c r="B523" s="23">
        <v>45065</v>
      </c>
      <c r="C523" s="25" t="s">
        <v>399</v>
      </c>
      <c r="D523" s="20">
        <v>265</v>
      </c>
      <c r="E523" s="27">
        <v>24747.599999999999</v>
      </c>
      <c r="F523" s="22" t="s">
        <v>102</v>
      </c>
      <c r="G523" s="29">
        <v>120</v>
      </c>
      <c r="H523" s="39">
        <v>44715</v>
      </c>
      <c r="I523" s="46">
        <f t="shared" si="32"/>
        <v>615</v>
      </c>
      <c r="J523" s="4" t="s">
        <v>15</v>
      </c>
      <c r="K523" s="4" t="s">
        <v>202</v>
      </c>
      <c r="L523" s="4" t="s">
        <v>226</v>
      </c>
      <c r="M523" s="7">
        <v>120</v>
      </c>
      <c r="N523" s="10">
        <v>206.23</v>
      </c>
      <c r="O523" s="10">
        <v>24747.599999999999</v>
      </c>
      <c r="P523">
        <f t="shared" si="33"/>
        <v>1</v>
      </c>
      <c r="Q523" s="36">
        <f t="shared" si="34"/>
        <v>24747.599999999999</v>
      </c>
      <c r="R523">
        <f t="shared" si="35"/>
        <v>2022</v>
      </c>
    </row>
    <row r="524" spans="1:18" x14ac:dyDescent="0.2">
      <c r="A524" s="23">
        <v>45337</v>
      </c>
      <c r="B524" s="23">
        <v>45125</v>
      </c>
      <c r="C524" s="25" t="s">
        <v>399</v>
      </c>
      <c r="D524" s="20">
        <v>212</v>
      </c>
      <c r="E524" s="27">
        <v>24747.599999999999</v>
      </c>
      <c r="F524" s="22" t="s">
        <v>102</v>
      </c>
      <c r="G524" s="29">
        <v>120</v>
      </c>
      <c r="H524" s="39">
        <v>44715</v>
      </c>
      <c r="I524" s="46">
        <f t="shared" si="32"/>
        <v>622</v>
      </c>
      <c r="J524" s="4" t="s">
        <v>15</v>
      </c>
      <c r="K524" s="4" t="s">
        <v>202</v>
      </c>
      <c r="L524" s="4" t="s">
        <v>226</v>
      </c>
      <c r="M524" s="7">
        <v>120</v>
      </c>
      <c r="N524" s="10">
        <v>206.23</v>
      </c>
      <c r="O524" s="10">
        <v>24747.599999999999</v>
      </c>
      <c r="P524">
        <f t="shared" si="33"/>
        <v>1</v>
      </c>
      <c r="Q524" s="36">
        <f t="shared" si="34"/>
        <v>24747.599999999999</v>
      </c>
      <c r="R524">
        <f t="shared" si="35"/>
        <v>2022</v>
      </c>
    </row>
    <row r="525" spans="1:18" x14ac:dyDescent="0.2">
      <c r="A525" s="23">
        <v>45337</v>
      </c>
      <c r="B525" s="23">
        <v>45079</v>
      </c>
      <c r="C525" s="25" t="s">
        <v>399</v>
      </c>
      <c r="D525" s="20">
        <v>258</v>
      </c>
      <c r="E525" s="27">
        <v>24747.599999999999</v>
      </c>
      <c r="F525" s="22" t="s">
        <v>102</v>
      </c>
      <c r="G525" s="29">
        <v>120</v>
      </c>
      <c r="H525" s="39">
        <v>44715</v>
      </c>
      <c r="I525" s="46">
        <f t="shared" si="32"/>
        <v>622</v>
      </c>
      <c r="J525" s="4" t="s">
        <v>15</v>
      </c>
      <c r="K525" s="4" t="s">
        <v>202</v>
      </c>
      <c r="L525" s="4" t="s">
        <v>226</v>
      </c>
      <c r="M525" s="7">
        <v>120</v>
      </c>
      <c r="N525" s="10">
        <v>206.23</v>
      </c>
      <c r="O525" s="10">
        <v>24747.599999999999</v>
      </c>
      <c r="P525">
        <f t="shared" si="33"/>
        <v>1</v>
      </c>
      <c r="Q525" s="36">
        <f t="shared" si="34"/>
        <v>24747.599999999999</v>
      </c>
      <c r="R525">
        <f t="shared" si="35"/>
        <v>2022</v>
      </c>
    </row>
    <row r="526" spans="1:18" x14ac:dyDescent="0.2">
      <c r="A526" s="23">
        <v>45332</v>
      </c>
      <c r="B526" s="23">
        <v>45188</v>
      </c>
      <c r="C526" s="25" t="s">
        <v>399</v>
      </c>
      <c r="D526" s="20">
        <v>144</v>
      </c>
      <c r="E526" s="27">
        <v>24747.599999999999</v>
      </c>
      <c r="F526" s="22" t="s">
        <v>102</v>
      </c>
      <c r="G526" s="29">
        <v>120</v>
      </c>
      <c r="H526" s="39">
        <v>44824</v>
      </c>
      <c r="I526" s="46">
        <f t="shared" si="32"/>
        <v>508</v>
      </c>
      <c r="J526" s="4" t="s">
        <v>15</v>
      </c>
      <c r="K526" s="4" t="s">
        <v>202</v>
      </c>
      <c r="L526" s="4" t="s">
        <v>226</v>
      </c>
      <c r="M526" s="7">
        <v>120</v>
      </c>
      <c r="N526" s="10">
        <v>206.23</v>
      </c>
      <c r="O526" s="10">
        <v>24747.599999999999</v>
      </c>
      <c r="P526">
        <f t="shared" si="33"/>
        <v>1</v>
      </c>
      <c r="Q526" s="36">
        <f t="shared" si="34"/>
        <v>24747.599999999999</v>
      </c>
      <c r="R526">
        <f t="shared" si="35"/>
        <v>2022</v>
      </c>
    </row>
    <row r="527" spans="1:18" x14ac:dyDescent="0.2">
      <c r="A527" s="23">
        <v>45332</v>
      </c>
      <c r="B527" s="23">
        <v>45224</v>
      </c>
      <c r="C527" s="25" t="s">
        <v>399</v>
      </c>
      <c r="D527" s="20">
        <v>108</v>
      </c>
      <c r="E527" s="27">
        <v>24747.599999999999</v>
      </c>
      <c r="F527" s="22" t="s">
        <v>102</v>
      </c>
      <c r="G527" s="29">
        <v>120</v>
      </c>
      <c r="H527" s="39">
        <v>44824</v>
      </c>
      <c r="I527" s="46">
        <f t="shared" si="32"/>
        <v>508</v>
      </c>
      <c r="J527" s="4" t="s">
        <v>15</v>
      </c>
      <c r="K527" s="4" t="s">
        <v>202</v>
      </c>
      <c r="L527" s="4" t="s">
        <v>226</v>
      </c>
      <c r="M527" s="7">
        <v>120</v>
      </c>
      <c r="N527" s="10">
        <v>206.23</v>
      </c>
      <c r="O527" s="10">
        <v>24747.599999999999</v>
      </c>
      <c r="P527">
        <f t="shared" si="33"/>
        <v>1</v>
      </c>
      <c r="Q527" s="36">
        <f t="shared" si="34"/>
        <v>24747.599999999999</v>
      </c>
      <c r="R527">
        <f t="shared" si="35"/>
        <v>2022</v>
      </c>
    </row>
    <row r="528" spans="1:18" x14ac:dyDescent="0.2">
      <c r="A528" s="23">
        <v>45343</v>
      </c>
      <c r="B528" s="23">
        <v>45295</v>
      </c>
      <c r="C528" s="25" t="s">
        <v>399</v>
      </c>
      <c r="D528" s="20">
        <v>48</v>
      </c>
      <c r="E528" s="27">
        <v>24747.599999999999</v>
      </c>
      <c r="F528" s="22" t="s">
        <v>102</v>
      </c>
      <c r="G528" s="29">
        <v>120</v>
      </c>
      <c r="H528" s="39">
        <v>45029</v>
      </c>
      <c r="I528" s="46">
        <f t="shared" si="32"/>
        <v>314</v>
      </c>
      <c r="J528" s="4" t="s">
        <v>15</v>
      </c>
      <c r="K528" s="4" t="s">
        <v>202</v>
      </c>
      <c r="L528" s="4" t="s">
        <v>226</v>
      </c>
      <c r="M528" s="7">
        <v>120</v>
      </c>
      <c r="N528" s="10">
        <v>206.23</v>
      </c>
      <c r="O528" s="10">
        <v>24747.599999999999</v>
      </c>
      <c r="P528">
        <f t="shared" si="33"/>
        <v>1</v>
      </c>
      <c r="Q528" s="36">
        <f t="shared" si="34"/>
        <v>24747.599999999999</v>
      </c>
      <c r="R528">
        <f t="shared" si="35"/>
        <v>2023</v>
      </c>
    </row>
    <row r="529" spans="1:18" x14ac:dyDescent="0.2">
      <c r="A529" s="23">
        <v>45433</v>
      </c>
      <c r="B529" s="23">
        <v>45295</v>
      </c>
      <c r="C529" s="25" t="s">
        <v>399</v>
      </c>
      <c r="D529" s="20">
        <v>138</v>
      </c>
      <c r="E529" s="27">
        <v>24747.599999999999</v>
      </c>
      <c r="F529" s="22" t="s">
        <v>102</v>
      </c>
      <c r="G529" s="29">
        <v>120</v>
      </c>
      <c r="H529" s="39">
        <v>45062</v>
      </c>
      <c r="I529" s="46">
        <f t="shared" si="32"/>
        <v>371</v>
      </c>
      <c r="J529" s="4" t="s">
        <v>15</v>
      </c>
      <c r="K529" s="4" t="s">
        <v>202</v>
      </c>
      <c r="L529" s="4" t="s">
        <v>226</v>
      </c>
      <c r="M529" s="7">
        <v>120</v>
      </c>
      <c r="N529" s="10">
        <v>206.23</v>
      </c>
      <c r="O529" s="10">
        <v>24747.599999999999</v>
      </c>
      <c r="P529">
        <f t="shared" si="33"/>
        <v>1</v>
      </c>
      <c r="Q529" s="36">
        <f t="shared" si="34"/>
        <v>24747.599999999999</v>
      </c>
      <c r="R529">
        <f t="shared" si="35"/>
        <v>2023</v>
      </c>
    </row>
    <row r="530" spans="1:18" x14ac:dyDescent="0.2">
      <c r="A530" s="23">
        <v>45433</v>
      </c>
      <c r="B530" s="23">
        <v>45295</v>
      </c>
      <c r="C530" s="25" t="s">
        <v>399</v>
      </c>
      <c r="D530" s="20">
        <v>138</v>
      </c>
      <c r="E530" s="27">
        <v>24747.599999999999</v>
      </c>
      <c r="F530" s="22" t="s">
        <v>102</v>
      </c>
      <c r="G530" s="29">
        <v>120</v>
      </c>
      <c r="H530" s="39">
        <v>45062</v>
      </c>
      <c r="I530" s="46">
        <f t="shared" si="32"/>
        <v>371</v>
      </c>
      <c r="J530" s="4" t="s">
        <v>15</v>
      </c>
      <c r="K530" s="4" t="s">
        <v>202</v>
      </c>
      <c r="L530" s="4" t="s">
        <v>226</v>
      </c>
      <c r="M530" s="7">
        <v>120</v>
      </c>
      <c r="N530" s="10">
        <v>206.23</v>
      </c>
      <c r="O530" s="10">
        <v>24747.599999999999</v>
      </c>
      <c r="P530">
        <f t="shared" si="33"/>
        <v>1</v>
      </c>
      <c r="Q530" s="36">
        <f t="shared" si="34"/>
        <v>24747.599999999999</v>
      </c>
      <c r="R530">
        <f t="shared" si="35"/>
        <v>2023</v>
      </c>
    </row>
    <row r="531" spans="1:18" x14ac:dyDescent="0.2">
      <c r="A531" s="23">
        <v>45225</v>
      </c>
      <c r="B531" s="23">
        <v>44963</v>
      </c>
      <c r="C531" s="25" t="s">
        <v>399</v>
      </c>
      <c r="D531" s="20">
        <v>262</v>
      </c>
      <c r="E531" s="27">
        <v>17481.240000000002</v>
      </c>
      <c r="F531" s="22" t="s">
        <v>103</v>
      </c>
      <c r="G531" s="29">
        <v>252</v>
      </c>
      <c r="H531" s="39">
        <v>44855</v>
      </c>
      <c r="I531" s="46">
        <f t="shared" si="32"/>
        <v>370</v>
      </c>
      <c r="J531" s="4" t="s">
        <v>15</v>
      </c>
      <c r="K531" s="4" t="s">
        <v>203</v>
      </c>
      <c r="L531" s="4" t="s">
        <v>227</v>
      </c>
      <c r="M531" s="7">
        <v>252</v>
      </c>
      <c r="N531" s="10">
        <v>69.37</v>
      </c>
      <c r="O531" s="10">
        <v>17481.240000000002</v>
      </c>
      <c r="P531">
        <f t="shared" si="33"/>
        <v>1</v>
      </c>
      <c r="Q531" s="36">
        <f t="shared" si="34"/>
        <v>17481.240000000002</v>
      </c>
      <c r="R531">
        <f t="shared" si="35"/>
        <v>2022</v>
      </c>
    </row>
    <row r="532" spans="1:18" x14ac:dyDescent="0.2">
      <c r="A532" s="23">
        <v>45251</v>
      </c>
      <c r="B532" s="23">
        <v>45108</v>
      </c>
      <c r="C532" s="25" t="s">
        <v>399</v>
      </c>
      <c r="D532" s="20">
        <v>143</v>
      </c>
      <c r="E532" s="27">
        <v>17481.240000000002</v>
      </c>
      <c r="F532" s="22" t="s">
        <v>103</v>
      </c>
      <c r="G532" s="29">
        <v>252</v>
      </c>
      <c r="H532" s="39">
        <v>45044</v>
      </c>
      <c r="I532" s="46">
        <f t="shared" si="32"/>
        <v>207</v>
      </c>
      <c r="J532" s="4" t="s">
        <v>15</v>
      </c>
      <c r="K532" s="4" t="s">
        <v>203</v>
      </c>
      <c r="L532" s="4" t="s">
        <v>227</v>
      </c>
      <c r="M532" s="7">
        <v>252</v>
      </c>
      <c r="N532" s="10">
        <v>69.37</v>
      </c>
      <c r="O532" s="10">
        <v>17481.240000000002</v>
      </c>
      <c r="P532">
        <f t="shared" si="33"/>
        <v>1</v>
      </c>
      <c r="Q532" s="36">
        <f t="shared" si="34"/>
        <v>17481.240000000002</v>
      </c>
      <c r="R532">
        <f t="shared" si="35"/>
        <v>2023</v>
      </c>
    </row>
    <row r="533" spans="1:18" x14ac:dyDescent="0.2">
      <c r="A533" s="23">
        <v>45422</v>
      </c>
      <c r="B533" s="23">
        <v>45352</v>
      </c>
      <c r="C533" s="25" t="s">
        <v>399</v>
      </c>
      <c r="D533" s="20">
        <v>70</v>
      </c>
      <c r="E533" s="27">
        <v>17481.240000000002</v>
      </c>
      <c r="F533" s="22" t="s">
        <v>103</v>
      </c>
      <c r="G533" s="29">
        <v>252</v>
      </c>
      <c r="H533" s="39">
        <v>45099</v>
      </c>
      <c r="I533" s="46">
        <f t="shared" si="32"/>
        <v>323</v>
      </c>
      <c r="J533" s="4" t="s">
        <v>15</v>
      </c>
      <c r="K533" s="4" t="s">
        <v>203</v>
      </c>
      <c r="L533" s="4" t="s">
        <v>227</v>
      </c>
      <c r="M533" s="7">
        <v>252</v>
      </c>
      <c r="N533" s="10">
        <v>69.37</v>
      </c>
      <c r="O533" s="10">
        <v>17481.240000000002</v>
      </c>
      <c r="P533">
        <f t="shared" si="33"/>
        <v>1</v>
      </c>
      <c r="Q533" s="36">
        <f t="shared" si="34"/>
        <v>17481.240000000002</v>
      </c>
      <c r="R533">
        <f t="shared" si="35"/>
        <v>2023</v>
      </c>
    </row>
    <row r="534" spans="1:18" x14ac:dyDescent="0.2">
      <c r="A534" s="23">
        <v>45428</v>
      </c>
      <c r="B534" s="23">
        <v>45394</v>
      </c>
      <c r="C534" s="25" t="s">
        <v>399</v>
      </c>
      <c r="D534" s="20">
        <v>34</v>
      </c>
      <c r="E534" s="27">
        <v>17481.240000000002</v>
      </c>
      <c r="F534" s="22" t="s">
        <v>103</v>
      </c>
      <c r="G534" s="29">
        <v>252</v>
      </c>
      <c r="H534" s="39">
        <v>45115</v>
      </c>
      <c r="I534" s="46">
        <f t="shared" si="32"/>
        <v>313</v>
      </c>
      <c r="J534" s="4" t="s">
        <v>15</v>
      </c>
      <c r="K534" s="4" t="s">
        <v>203</v>
      </c>
      <c r="L534" s="4" t="s">
        <v>227</v>
      </c>
      <c r="M534" s="7">
        <v>252</v>
      </c>
      <c r="N534" s="10">
        <v>69.37</v>
      </c>
      <c r="O534" s="10">
        <v>17481.240000000002</v>
      </c>
      <c r="P534">
        <f t="shared" si="33"/>
        <v>1</v>
      </c>
      <c r="Q534" s="36">
        <f t="shared" si="34"/>
        <v>17481.240000000002</v>
      </c>
      <c r="R534">
        <f t="shared" si="35"/>
        <v>2023</v>
      </c>
    </row>
    <row r="535" spans="1:18" x14ac:dyDescent="0.2">
      <c r="A535" s="23">
        <v>45429</v>
      </c>
      <c r="B535" s="23">
        <v>45429</v>
      </c>
      <c r="C535" s="25" t="s">
        <v>398</v>
      </c>
      <c r="D535" s="20">
        <v>0</v>
      </c>
      <c r="E535" s="27">
        <v>17481.240000000002</v>
      </c>
      <c r="F535" s="22" t="s">
        <v>103</v>
      </c>
      <c r="G535" s="29">
        <v>252</v>
      </c>
      <c r="H535" s="39">
        <v>45115</v>
      </c>
      <c r="I535" s="46">
        <f t="shared" si="32"/>
        <v>314</v>
      </c>
      <c r="J535" s="4" t="s">
        <v>15</v>
      </c>
      <c r="K535" s="4" t="s">
        <v>203</v>
      </c>
      <c r="L535" s="4" t="s">
        <v>227</v>
      </c>
      <c r="M535" s="7">
        <v>252</v>
      </c>
      <c r="N535" s="10">
        <v>69.37</v>
      </c>
      <c r="O535" s="10">
        <v>17481.240000000002</v>
      </c>
      <c r="P535">
        <f t="shared" si="33"/>
        <v>1</v>
      </c>
      <c r="Q535" s="36">
        <f t="shared" si="34"/>
        <v>17481.240000000002</v>
      </c>
      <c r="R535">
        <f t="shared" si="35"/>
        <v>2023</v>
      </c>
    </row>
    <row r="536" spans="1:18" x14ac:dyDescent="0.2">
      <c r="A536" s="23">
        <v>45187</v>
      </c>
      <c r="B536" s="23">
        <v>45171</v>
      </c>
      <c r="C536" s="25" t="s">
        <v>399</v>
      </c>
      <c r="D536" s="20">
        <v>16</v>
      </c>
      <c r="E536" s="27">
        <v>12320</v>
      </c>
      <c r="F536" s="22" t="s">
        <v>84</v>
      </c>
      <c r="G536" s="29">
        <v>125</v>
      </c>
      <c r="H536" s="39">
        <v>44757</v>
      </c>
      <c r="I536" s="46">
        <f t="shared" si="32"/>
        <v>430</v>
      </c>
      <c r="J536" s="4" t="s">
        <v>15</v>
      </c>
      <c r="K536" s="4" t="s">
        <v>202</v>
      </c>
      <c r="L536" s="4" t="s">
        <v>226</v>
      </c>
      <c r="M536" s="7">
        <v>588</v>
      </c>
      <c r="N536" s="10">
        <v>98.56</v>
      </c>
      <c r="O536" s="10">
        <v>57953.279999999999</v>
      </c>
      <c r="P536">
        <f t="shared" si="33"/>
        <v>0</v>
      </c>
      <c r="Q536" s="36">
        <f t="shared" si="34"/>
        <v>12320</v>
      </c>
      <c r="R536">
        <f t="shared" si="35"/>
        <v>2022</v>
      </c>
    </row>
    <row r="537" spans="1:18" x14ac:dyDescent="0.2">
      <c r="A537" s="23">
        <v>45261</v>
      </c>
      <c r="B537" s="23">
        <v>45261</v>
      </c>
      <c r="C537" s="25" t="s">
        <v>398</v>
      </c>
      <c r="D537" s="20">
        <v>0</v>
      </c>
      <c r="E537" s="27">
        <v>57953.279999999999</v>
      </c>
      <c r="F537" s="22" t="s">
        <v>84</v>
      </c>
      <c r="G537" s="29">
        <v>588</v>
      </c>
      <c r="H537" s="39">
        <v>44861</v>
      </c>
      <c r="I537" s="46">
        <f t="shared" si="32"/>
        <v>400</v>
      </c>
      <c r="J537" s="4" t="s">
        <v>15</v>
      </c>
      <c r="K537" s="4" t="s">
        <v>202</v>
      </c>
      <c r="L537" s="4" t="s">
        <v>226</v>
      </c>
      <c r="M537" s="7">
        <v>588</v>
      </c>
      <c r="N537" s="10">
        <v>98.56</v>
      </c>
      <c r="O537" s="10">
        <v>57953.279999999999</v>
      </c>
      <c r="P537">
        <f t="shared" si="33"/>
        <v>1</v>
      </c>
      <c r="Q537" s="36">
        <f t="shared" si="34"/>
        <v>57953.279999999999</v>
      </c>
      <c r="R537">
        <f t="shared" si="35"/>
        <v>2022</v>
      </c>
    </row>
    <row r="538" spans="1:18" x14ac:dyDescent="0.2">
      <c r="A538" s="23">
        <v>45293</v>
      </c>
      <c r="B538" s="23">
        <v>45293</v>
      </c>
      <c r="C538" s="25" t="s">
        <v>398</v>
      </c>
      <c r="D538" s="20">
        <v>0</v>
      </c>
      <c r="E538" s="27">
        <v>57953.279999999999</v>
      </c>
      <c r="F538" s="22" t="s">
        <v>84</v>
      </c>
      <c r="G538" s="29">
        <v>588</v>
      </c>
      <c r="H538" s="39">
        <v>44904</v>
      </c>
      <c r="I538" s="46">
        <f t="shared" si="32"/>
        <v>389</v>
      </c>
      <c r="J538" s="4" t="s">
        <v>15</v>
      </c>
      <c r="K538" s="4" t="s">
        <v>202</v>
      </c>
      <c r="L538" s="4" t="s">
        <v>226</v>
      </c>
      <c r="M538" s="7">
        <v>588</v>
      </c>
      <c r="N538" s="10">
        <v>98.56</v>
      </c>
      <c r="O538" s="10">
        <v>57953.279999999999</v>
      </c>
      <c r="P538">
        <f t="shared" si="33"/>
        <v>1</v>
      </c>
      <c r="Q538" s="36">
        <f t="shared" si="34"/>
        <v>57953.279999999999</v>
      </c>
      <c r="R538">
        <f t="shared" si="35"/>
        <v>2022</v>
      </c>
    </row>
    <row r="539" spans="1:18" x14ac:dyDescent="0.2">
      <c r="A539" s="23">
        <v>45304</v>
      </c>
      <c r="B539" s="23">
        <v>45293</v>
      </c>
      <c r="C539" s="25" t="s">
        <v>399</v>
      </c>
      <c r="D539" s="20">
        <v>11</v>
      </c>
      <c r="E539" s="27">
        <v>57953.279999999999</v>
      </c>
      <c r="F539" s="22" t="s">
        <v>84</v>
      </c>
      <c r="G539" s="29">
        <v>588</v>
      </c>
      <c r="H539" s="39">
        <v>44917</v>
      </c>
      <c r="I539" s="46">
        <f t="shared" si="32"/>
        <v>387</v>
      </c>
      <c r="J539" s="4" t="s">
        <v>15</v>
      </c>
      <c r="K539" s="4" t="s">
        <v>202</v>
      </c>
      <c r="L539" s="4" t="s">
        <v>226</v>
      </c>
      <c r="M539" s="7">
        <v>588</v>
      </c>
      <c r="N539" s="10">
        <v>98.56</v>
      </c>
      <c r="O539" s="10">
        <v>57953.279999999999</v>
      </c>
      <c r="P539">
        <f t="shared" si="33"/>
        <v>1</v>
      </c>
      <c r="Q539" s="36">
        <f t="shared" si="34"/>
        <v>57953.279999999999</v>
      </c>
      <c r="R539">
        <f t="shared" si="35"/>
        <v>2022</v>
      </c>
    </row>
    <row r="540" spans="1:18" x14ac:dyDescent="0.2">
      <c r="A540" s="23">
        <v>45304</v>
      </c>
      <c r="B540" s="23">
        <v>45293</v>
      </c>
      <c r="C540" s="25" t="s">
        <v>399</v>
      </c>
      <c r="D540" s="20">
        <v>11</v>
      </c>
      <c r="E540" s="27">
        <v>57953.279999999999</v>
      </c>
      <c r="F540" s="22" t="s">
        <v>84</v>
      </c>
      <c r="G540" s="29">
        <v>588</v>
      </c>
      <c r="H540" s="39">
        <v>44917</v>
      </c>
      <c r="I540" s="46">
        <f t="shared" si="32"/>
        <v>387</v>
      </c>
      <c r="J540" s="4" t="s">
        <v>15</v>
      </c>
      <c r="K540" s="4" t="s">
        <v>202</v>
      </c>
      <c r="L540" s="4" t="s">
        <v>226</v>
      </c>
      <c r="M540" s="7">
        <v>588</v>
      </c>
      <c r="N540" s="10">
        <v>98.56</v>
      </c>
      <c r="O540" s="10">
        <v>57953.279999999999</v>
      </c>
      <c r="P540">
        <f t="shared" si="33"/>
        <v>1</v>
      </c>
      <c r="Q540" s="36">
        <f t="shared" si="34"/>
        <v>57953.279999999999</v>
      </c>
      <c r="R540">
        <f t="shared" si="35"/>
        <v>2022</v>
      </c>
    </row>
    <row r="541" spans="1:18" x14ac:dyDescent="0.2">
      <c r="A541" s="23">
        <v>45331</v>
      </c>
      <c r="B541" s="23">
        <v>45293</v>
      </c>
      <c r="C541" s="25" t="s">
        <v>399</v>
      </c>
      <c r="D541" s="20">
        <v>38</v>
      </c>
      <c r="E541" s="27">
        <v>57953.279999999999</v>
      </c>
      <c r="F541" s="22" t="s">
        <v>84</v>
      </c>
      <c r="G541" s="29">
        <v>588</v>
      </c>
      <c r="H541" s="39">
        <v>44957</v>
      </c>
      <c r="I541" s="46">
        <f t="shared" si="32"/>
        <v>374</v>
      </c>
      <c r="J541" s="4" t="s">
        <v>15</v>
      </c>
      <c r="K541" s="4" t="s">
        <v>202</v>
      </c>
      <c r="L541" s="4" t="s">
        <v>226</v>
      </c>
      <c r="M541" s="7">
        <v>588</v>
      </c>
      <c r="N541" s="10">
        <v>98.56</v>
      </c>
      <c r="O541" s="10">
        <v>57953.279999999999</v>
      </c>
      <c r="P541">
        <f t="shared" si="33"/>
        <v>1</v>
      </c>
      <c r="Q541" s="36">
        <f t="shared" si="34"/>
        <v>57953.279999999999</v>
      </c>
      <c r="R541">
        <f t="shared" si="35"/>
        <v>2023</v>
      </c>
    </row>
    <row r="542" spans="1:18" x14ac:dyDescent="0.2">
      <c r="A542" s="23">
        <v>45394</v>
      </c>
      <c r="B542" s="23">
        <v>45295</v>
      </c>
      <c r="C542" s="25" t="s">
        <v>399</v>
      </c>
      <c r="D542" s="20">
        <v>99</v>
      </c>
      <c r="E542" s="27">
        <v>57953.279999999999</v>
      </c>
      <c r="F542" s="22" t="s">
        <v>84</v>
      </c>
      <c r="G542" s="29">
        <v>588</v>
      </c>
      <c r="H542" s="39">
        <v>45013</v>
      </c>
      <c r="I542" s="46">
        <f t="shared" si="32"/>
        <v>381</v>
      </c>
      <c r="J542" s="4" t="s">
        <v>15</v>
      </c>
      <c r="K542" s="4" t="s">
        <v>202</v>
      </c>
      <c r="L542" s="4" t="s">
        <v>226</v>
      </c>
      <c r="M542" s="7">
        <v>588</v>
      </c>
      <c r="N542" s="10">
        <v>98.56</v>
      </c>
      <c r="O542" s="10">
        <v>57953.279999999999</v>
      </c>
      <c r="P542">
        <f t="shared" si="33"/>
        <v>1</v>
      </c>
      <c r="Q542" s="36">
        <f t="shared" si="34"/>
        <v>57953.279999999999</v>
      </c>
      <c r="R542">
        <f t="shared" si="35"/>
        <v>2023</v>
      </c>
    </row>
    <row r="543" spans="1:18" x14ac:dyDescent="0.2">
      <c r="A543" s="23">
        <v>45290</v>
      </c>
      <c r="B543" s="23">
        <v>44967</v>
      </c>
      <c r="C543" s="25" t="s">
        <v>399</v>
      </c>
      <c r="D543" s="20">
        <v>323</v>
      </c>
      <c r="E543" s="27">
        <v>431751.6</v>
      </c>
      <c r="F543" s="22" t="s">
        <v>104</v>
      </c>
      <c r="G543" s="29">
        <v>2520</v>
      </c>
      <c r="H543" s="39">
        <v>44784</v>
      </c>
      <c r="I543" s="46">
        <f t="shared" si="32"/>
        <v>506</v>
      </c>
      <c r="J543" s="4" t="s">
        <v>15</v>
      </c>
      <c r="K543" s="4" t="s">
        <v>204</v>
      </c>
      <c r="L543" s="4" t="s">
        <v>228</v>
      </c>
      <c r="M543" s="7">
        <v>2520</v>
      </c>
      <c r="N543" s="10">
        <v>171.33</v>
      </c>
      <c r="O543" s="10">
        <v>431751.6</v>
      </c>
      <c r="P543">
        <f t="shared" si="33"/>
        <v>1</v>
      </c>
      <c r="Q543" s="36">
        <f t="shared" si="34"/>
        <v>431751.60000000003</v>
      </c>
      <c r="R543">
        <f t="shared" si="35"/>
        <v>2022</v>
      </c>
    </row>
    <row r="544" spans="1:18" x14ac:dyDescent="0.2">
      <c r="A544" s="23">
        <v>45225</v>
      </c>
      <c r="B544" s="23">
        <v>45219</v>
      </c>
      <c r="C544" s="25" t="s">
        <v>399</v>
      </c>
      <c r="D544" s="20">
        <v>6</v>
      </c>
      <c r="E544" s="27">
        <v>3011.4</v>
      </c>
      <c r="F544" s="22" t="s">
        <v>105</v>
      </c>
      <c r="G544" s="29">
        <v>21000</v>
      </c>
      <c r="H544" s="39">
        <v>44867</v>
      </c>
      <c r="I544" s="46">
        <f t="shared" si="32"/>
        <v>358</v>
      </c>
      <c r="J544" s="4" t="s">
        <v>15</v>
      </c>
      <c r="K544" s="4" t="s">
        <v>202</v>
      </c>
      <c r="L544" s="4" t="s">
        <v>226</v>
      </c>
      <c r="M544" s="7">
        <v>21000</v>
      </c>
      <c r="N544" s="10">
        <v>0.14000000000000001</v>
      </c>
      <c r="O544" s="10">
        <v>2940</v>
      </c>
      <c r="P544">
        <f t="shared" si="33"/>
        <v>1</v>
      </c>
      <c r="Q544" s="36">
        <f t="shared" si="34"/>
        <v>2940.0000000000005</v>
      </c>
      <c r="R544">
        <f t="shared" si="35"/>
        <v>2022</v>
      </c>
    </row>
    <row r="545" spans="1:18" x14ac:dyDescent="0.2">
      <c r="A545" s="23">
        <v>45219</v>
      </c>
      <c r="B545" s="23">
        <v>44957</v>
      </c>
      <c r="C545" s="25" t="s">
        <v>399</v>
      </c>
      <c r="D545" s="20">
        <v>262</v>
      </c>
      <c r="E545" s="27">
        <v>25085.9</v>
      </c>
      <c r="F545" s="22" t="s">
        <v>106</v>
      </c>
      <c r="G545" s="29">
        <v>7</v>
      </c>
      <c r="H545" s="39">
        <v>44566</v>
      </c>
      <c r="I545" s="46">
        <f t="shared" si="32"/>
        <v>653</v>
      </c>
      <c r="J545" s="4" t="s">
        <v>15</v>
      </c>
      <c r="K545" s="4" t="s">
        <v>204</v>
      </c>
      <c r="L545" s="4" t="s">
        <v>228</v>
      </c>
      <c r="M545" s="7">
        <v>7</v>
      </c>
      <c r="N545" s="10">
        <v>3583.7</v>
      </c>
      <c r="O545" s="10">
        <v>25085.9</v>
      </c>
      <c r="P545">
        <f t="shared" si="33"/>
        <v>1</v>
      </c>
      <c r="Q545" s="36">
        <f t="shared" si="34"/>
        <v>25085.899999999998</v>
      </c>
      <c r="R545">
        <f t="shared" si="35"/>
        <v>2022</v>
      </c>
    </row>
    <row r="546" spans="1:18" x14ac:dyDescent="0.2">
      <c r="A546" s="23">
        <v>45297</v>
      </c>
      <c r="B546" s="23">
        <v>45287</v>
      </c>
      <c r="C546" s="25" t="s">
        <v>399</v>
      </c>
      <c r="D546" s="20">
        <v>10</v>
      </c>
      <c r="E546" s="27">
        <v>179185</v>
      </c>
      <c r="F546" s="22" t="s">
        <v>106</v>
      </c>
      <c r="G546" s="29">
        <v>50</v>
      </c>
      <c r="H546" s="39">
        <v>44665</v>
      </c>
      <c r="I546" s="46">
        <f t="shared" si="32"/>
        <v>632</v>
      </c>
      <c r="J546" s="4" t="s">
        <v>15</v>
      </c>
      <c r="K546" s="4" t="s">
        <v>204</v>
      </c>
      <c r="L546" s="4" t="s">
        <v>228</v>
      </c>
      <c r="M546" s="7">
        <v>50</v>
      </c>
      <c r="N546" s="10">
        <v>3583.7</v>
      </c>
      <c r="O546" s="10">
        <v>179185</v>
      </c>
      <c r="P546">
        <f t="shared" si="33"/>
        <v>1</v>
      </c>
      <c r="Q546" s="36">
        <f t="shared" si="34"/>
        <v>179185</v>
      </c>
      <c r="R546">
        <f t="shared" si="35"/>
        <v>2022</v>
      </c>
    </row>
    <row r="547" spans="1:18" x14ac:dyDescent="0.2">
      <c r="A547" s="23">
        <v>45290</v>
      </c>
      <c r="B547" s="23">
        <v>45048</v>
      </c>
      <c r="C547" s="25" t="s">
        <v>399</v>
      </c>
      <c r="D547" s="20">
        <v>242</v>
      </c>
      <c r="E547" s="27">
        <v>179185</v>
      </c>
      <c r="F547" s="22" t="s">
        <v>106</v>
      </c>
      <c r="G547" s="29">
        <v>50</v>
      </c>
      <c r="H547" s="39">
        <v>44708</v>
      </c>
      <c r="I547" s="46">
        <f t="shared" si="32"/>
        <v>582</v>
      </c>
      <c r="J547" s="4" t="s">
        <v>15</v>
      </c>
      <c r="K547" s="4" t="s">
        <v>204</v>
      </c>
      <c r="L547" s="4" t="s">
        <v>228</v>
      </c>
      <c r="M547" s="7">
        <v>50</v>
      </c>
      <c r="N547" s="10">
        <v>3583.7</v>
      </c>
      <c r="O547" s="10">
        <v>179185</v>
      </c>
      <c r="P547">
        <f t="shared" si="33"/>
        <v>1</v>
      </c>
      <c r="Q547" s="36">
        <f t="shared" si="34"/>
        <v>179185</v>
      </c>
      <c r="R547">
        <f t="shared" si="35"/>
        <v>2022</v>
      </c>
    </row>
    <row r="548" spans="1:18" x14ac:dyDescent="0.2">
      <c r="A548" s="23">
        <v>45219</v>
      </c>
      <c r="B548" s="23">
        <v>44835</v>
      </c>
      <c r="C548" s="25" t="s">
        <v>399</v>
      </c>
      <c r="D548" s="20">
        <v>384</v>
      </c>
      <c r="E548" s="27">
        <v>154099.1</v>
      </c>
      <c r="F548" s="22" t="s">
        <v>106</v>
      </c>
      <c r="G548" s="29">
        <v>43</v>
      </c>
      <c r="H548" s="39">
        <v>44747</v>
      </c>
      <c r="I548" s="46">
        <f t="shared" si="32"/>
        <v>472</v>
      </c>
      <c r="J548" s="4" t="s">
        <v>15</v>
      </c>
      <c r="K548" s="4" t="s">
        <v>204</v>
      </c>
      <c r="L548" s="4" t="s">
        <v>228</v>
      </c>
      <c r="M548" s="7">
        <v>43</v>
      </c>
      <c r="N548" s="10">
        <v>3583.7</v>
      </c>
      <c r="O548" s="10">
        <v>154099.1</v>
      </c>
      <c r="P548">
        <f t="shared" si="33"/>
        <v>1</v>
      </c>
      <c r="Q548" s="36">
        <f t="shared" si="34"/>
        <v>154099.1</v>
      </c>
      <c r="R548">
        <f t="shared" si="35"/>
        <v>2022</v>
      </c>
    </row>
    <row r="549" spans="1:18" x14ac:dyDescent="0.2">
      <c r="A549" s="23">
        <v>45290</v>
      </c>
      <c r="B549" s="23">
        <v>45104</v>
      </c>
      <c r="C549" s="25" t="s">
        <v>399</v>
      </c>
      <c r="D549" s="20">
        <v>186</v>
      </c>
      <c r="E549" s="27">
        <v>179185</v>
      </c>
      <c r="F549" s="22" t="s">
        <v>106</v>
      </c>
      <c r="G549" s="29">
        <v>50</v>
      </c>
      <c r="H549" s="39">
        <v>44790</v>
      </c>
      <c r="I549" s="46">
        <f t="shared" si="32"/>
        <v>500</v>
      </c>
      <c r="J549" s="4" t="s">
        <v>15</v>
      </c>
      <c r="K549" s="4" t="s">
        <v>204</v>
      </c>
      <c r="L549" s="4" t="s">
        <v>228</v>
      </c>
      <c r="M549" s="7">
        <v>50</v>
      </c>
      <c r="N549" s="10">
        <v>3583.7</v>
      </c>
      <c r="O549" s="10">
        <v>179185</v>
      </c>
      <c r="P549">
        <f t="shared" si="33"/>
        <v>1</v>
      </c>
      <c r="Q549" s="36">
        <f t="shared" si="34"/>
        <v>179185</v>
      </c>
      <c r="R549">
        <f t="shared" si="35"/>
        <v>2022</v>
      </c>
    </row>
    <row r="550" spans="1:18" x14ac:dyDescent="0.2">
      <c r="A550" s="23">
        <v>45290</v>
      </c>
      <c r="B550" s="23">
        <v>45139</v>
      </c>
      <c r="C550" s="25" t="s">
        <v>399</v>
      </c>
      <c r="D550" s="20">
        <v>151</v>
      </c>
      <c r="E550" s="27">
        <v>358370</v>
      </c>
      <c r="F550" s="22" t="s">
        <v>106</v>
      </c>
      <c r="G550" s="29">
        <v>100</v>
      </c>
      <c r="H550" s="39">
        <v>44790</v>
      </c>
      <c r="I550" s="46">
        <f t="shared" si="32"/>
        <v>500</v>
      </c>
      <c r="J550" s="4" t="s">
        <v>15</v>
      </c>
      <c r="K550" s="4" t="s">
        <v>204</v>
      </c>
      <c r="L550" s="4" t="s">
        <v>228</v>
      </c>
      <c r="M550" s="7">
        <v>100</v>
      </c>
      <c r="N550" s="10">
        <v>3583.7</v>
      </c>
      <c r="O550" s="10">
        <v>358370</v>
      </c>
      <c r="P550">
        <f t="shared" si="33"/>
        <v>1</v>
      </c>
      <c r="Q550" s="36">
        <f t="shared" si="34"/>
        <v>358370</v>
      </c>
      <c r="R550">
        <f t="shared" si="35"/>
        <v>2022</v>
      </c>
    </row>
    <row r="551" spans="1:18" x14ac:dyDescent="0.2">
      <c r="A551" s="23">
        <v>45184</v>
      </c>
      <c r="B551" s="23">
        <v>45048</v>
      </c>
      <c r="C551" s="25" t="s">
        <v>399</v>
      </c>
      <c r="D551" s="20">
        <v>136</v>
      </c>
      <c r="E551" s="27">
        <v>33447.839999999997</v>
      </c>
      <c r="F551" s="22" t="s">
        <v>107</v>
      </c>
      <c r="G551" s="29">
        <v>8</v>
      </c>
      <c r="H551" s="39">
        <v>45098</v>
      </c>
      <c r="I551" s="46">
        <f t="shared" si="32"/>
        <v>86</v>
      </c>
      <c r="J551" s="4" t="s">
        <v>15</v>
      </c>
      <c r="K551" s="4" t="s">
        <v>204</v>
      </c>
      <c r="L551" s="4" t="s">
        <v>228</v>
      </c>
      <c r="M551" s="7">
        <v>8</v>
      </c>
      <c r="N551" s="10">
        <v>4180.9799999999996</v>
      </c>
      <c r="O551" s="10">
        <v>33447.839999999997</v>
      </c>
      <c r="P551">
        <f t="shared" si="33"/>
        <v>1</v>
      </c>
      <c r="Q551" s="36">
        <f t="shared" si="34"/>
        <v>33447.839999999997</v>
      </c>
      <c r="R551">
        <f t="shared" si="35"/>
        <v>2023</v>
      </c>
    </row>
    <row r="552" spans="1:18" x14ac:dyDescent="0.2">
      <c r="A552" s="23">
        <v>45218</v>
      </c>
      <c r="B552" s="23">
        <v>45001</v>
      </c>
      <c r="C552" s="25" t="s">
        <v>399</v>
      </c>
      <c r="D552" s="20">
        <v>217</v>
      </c>
      <c r="E552" s="27">
        <v>154299.6</v>
      </c>
      <c r="F552" s="22" t="s">
        <v>108</v>
      </c>
      <c r="G552" s="29">
        <v>216</v>
      </c>
      <c r="H552" s="39">
        <v>44680</v>
      </c>
      <c r="I552" s="46">
        <f t="shared" si="32"/>
        <v>538</v>
      </c>
      <c r="J552" s="4" t="s">
        <v>15</v>
      </c>
      <c r="K552" s="4" t="s">
        <v>202</v>
      </c>
      <c r="L552" s="4" t="s">
        <v>226</v>
      </c>
      <c r="M552" s="7">
        <v>216</v>
      </c>
      <c r="N552" s="10">
        <v>714.35</v>
      </c>
      <c r="O552" s="10">
        <v>154299.6</v>
      </c>
      <c r="P552">
        <f t="shared" si="33"/>
        <v>1</v>
      </c>
      <c r="Q552" s="36">
        <f t="shared" si="34"/>
        <v>154299.6</v>
      </c>
      <c r="R552">
        <f t="shared" si="35"/>
        <v>2022</v>
      </c>
    </row>
    <row r="553" spans="1:18" x14ac:dyDescent="0.2">
      <c r="A553" s="23">
        <v>45220</v>
      </c>
      <c r="B553" s="23">
        <v>45008</v>
      </c>
      <c r="C553" s="25" t="s">
        <v>399</v>
      </c>
      <c r="D553" s="20">
        <v>212</v>
      </c>
      <c r="E553" s="27">
        <v>87150.7</v>
      </c>
      <c r="F553" s="22" t="s">
        <v>108</v>
      </c>
      <c r="G553" s="29">
        <v>122</v>
      </c>
      <c r="H553" s="39">
        <v>44680</v>
      </c>
      <c r="I553" s="46">
        <f t="shared" si="32"/>
        <v>540</v>
      </c>
      <c r="J553" s="4" t="s">
        <v>15</v>
      </c>
      <c r="K553" s="4" t="s">
        <v>202</v>
      </c>
      <c r="L553" s="4" t="s">
        <v>226</v>
      </c>
      <c r="M553" s="7">
        <v>252</v>
      </c>
      <c r="N553" s="10">
        <v>714.35</v>
      </c>
      <c r="O553" s="10">
        <v>180016.2</v>
      </c>
      <c r="P553">
        <f t="shared" si="33"/>
        <v>0</v>
      </c>
      <c r="Q553" s="36">
        <f t="shared" si="34"/>
        <v>87150.7</v>
      </c>
      <c r="R553">
        <f t="shared" si="35"/>
        <v>2022</v>
      </c>
    </row>
    <row r="554" spans="1:18" x14ac:dyDescent="0.2">
      <c r="A554" s="23">
        <v>45232</v>
      </c>
      <c r="B554" s="23">
        <v>45008</v>
      </c>
      <c r="C554" s="25" t="s">
        <v>399</v>
      </c>
      <c r="D554" s="20">
        <v>224</v>
      </c>
      <c r="E554" s="27">
        <v>92865.5</v>
      </c>
      <c r="F554" s="22" t="s">
        <v>108</v>
      </c>
      <c r="G554" s="29">
        <v>130</v>
      </c>
      <c r="H554" s="39">
        <v>44680</v>
      </c>
      <c r="I554" s="46">
        <f t="shared" si="32"/>
        <v>552</v>
      </c>
      <c r="J554" s="4" t="s">
        <v>15</v>
      </c>
      <c r="K554" s="4" t="s">
        <v>202</v>
      </c>
      <c r="L554" s="4" t="s">
        <v>226</v>
      </c>
      <c r="M554" s="7">
        <v>252</v>
      </c>
      <c r="N554" s="10">
        <v>714.35</v>
      </c>
      <c r="O554" s="10">
        <v>180016.2</v>
      </c>
      <c r="P554">
        <f t="shared" si="33"/>
        <v>0</v>
      </c>
      <c r="Q554" s="36">
        <f t="shared" si="34"/>
        <v>92865.5</v>
      </c>
      <c r="R554">
        <f t="shared" si="35"/>
        <v>2022</v>
      </c>
    </row>
    <row r="555" spans="1:18" x14ac:dyDescent="0.2">
      <c r="A555" s="13">
        <v>45232</v>
      </c>
      <c r="B555" s="13">
        <v>45009</v>
      </c>
      <c r="C555" s="25" t="s">
        <v>399</v>
      </c>
      <c r="D555" s="20">
        <v>223</v>
      </c>
      <c r="E555" s="28">
        <v>102152.05</v>
      </c>
      <c r="F555" s="22" t="s">
        <v>108</v>
      </c>
      <c r="G555" s="14">
        <v>143</v>
      </c>
      <c r="H555" s="40">
        <v>44680</v>
      </c>
      <c r="I555" s="46">
        <f t="shared" si="32"/>
        <v>552</v>
      </c>
      <c r="J555" s="1" t="s">
        <v>15</v>
      </c>
      <c r="K555" s="4" t="s">
        <v>202</v>
      </c>
      <c r="L555" s="4" t="s">
        <v>226</v>
      </c>
      <c r="M555" s="8">
        <v>216</v>
      </c>
      <c r="N555" s="5">
        <v>714.35</v>
      </c>
      <c r="O555" s="5">
        <v>154299.6</v>
      </c>
      <c r="P555">
        <f t="shared" si="33"/>
        <v>0</v>
      </c>
      <c r="Q555" s="36">
        <f t="shared" si="34"/>
        <v>102152.05</v>
      </c>
      <c r="R555">
        <f t="shared" si="35"/>
        <v>2022</v>
      </c>
    </row>
    <row r="556" spans="1:18" x14ac:dyDescent="0.2">
      <c r="A556" s="13">
        <v>45239</v>
      </c>
      <c r="B556" s="13">
        <v>45009</v>
      </c>
      <c r="C556" s="25" t="s">
        <v>399</v>
      </c>
      <c r="D556" s="20">
        <v>230</v>
      </c>
      <c r="E556" s="28">
        <v>52147.55</v>
      </c>
      <c r="F556" s="22" t="s">
        <v>108</v>
      </c>
      <c r="G556" s="14">
        <v>73</v>
      </c>
      <c r="H556" s="40">
        <v>44680</v>
      </c>
      <c r="I556" s="46">
        <f t="shared" si="32"/>
        <v>559</v>
      </c>
      <c r="J556" s="1" t="s">
        <v>15</v>
      </c>
      <c r="K556" s="4" t="s">
        <v>202</v>
      </c>
      <c r="L556" s="4" t="s">
        <v>226</v>
      </c>
      <c r="M556" s="8">
        <v>216</v>
      </c>
      <c r="N556" s="5">
        <v>714.35</v>
      </c>
      <c r="O556" s="5">
        <v>154299.6</v>
      </c>
      <c r="P556">
        <f t="shared" si="33"/>
        <v>0</v>
      </c>
      <c r="Q556" s="36">
        <f t="shared" si="34"/>
        <v>52147.55</v>
      </c>
      <c r="R556">
        <f t="shared" si="35"/>
        <v>2022</v>
      </c>
    </row>
    <row r="557" spans="1:18" x14ac:dyDescent="0.2">
      <c r="A557" s="13">
        <v>45218</v>
      </c>
      <c r="B557" s="13">
        <v>45001</v>
      </c>
      <c r="C557" s="25" t="s">
        <v>399</v>
      </c>
      <c r="D557" s="20">
        <v>217</v>
      </c>
      <c r="E557" s="28">
        <v>154299.6</v>
      </c>
      <c r="F557" s="22" t="s">
        <v>108</v>
      </c>
      <c r="G557" s="14">
        <v>216</v>
      </c>
      <c r="H557" s="40">
        <v>44686</v>
      </c>
      <c r="I557" s="46">
        <f t="shared" si="32"/>
        <v>532</v>
      </c>
      <c r="J557" s="1" t="s">
        <v>15</v>
      </c>
      <c r="K557" s="4" t="s">
        <v>202</v>
      </c>
      <c r="L557" s="4" t="s">
        <v>226</v>
      </c>
      <c r="M557" s="8">
        <v>216</v>
      </c>
      <c r="N557" s="5">
        <v>714.35</v>
      </c>
      <c r="O557" s="5">
        <v>154299.6</v>
      </c>
      <c r="P557">
        <f t="shared" si="33"/>
        <v>1</v>
      </c>
      <c r="Q557" s="36">
        <f t="shared" si="34"/>
        <v>154299.6</v>
      </c>
      <c r="R557">
        <f t="shared" si="35"/>
        <v>2022</v>
      </c>
    </row>
    <row r="558" spans="1:18" x14ac:dyDescent="0.2">
      <c r="A558" s="13">
        <v>45218</v>
      </c>
      <c r="B558" s="13">
        <v>45002</v>
      </c>
      <c r="C558" s="25" t="s">
        <v>399</v>
      </c>
      <c r="D558" s="20">
        <v>216</v>
      </c>
      <c r="E558" s="28">
        <v>10000.9</v>
      </c>
      <c r="F558" s="22" t="s">
        <v>108</v>
      </c>
      <c r="G558" s="14">
        <v>14</v>
      </c>
      <c r="H558" s="40">
        <v>44686</v>
      </c>
      <c r="I558" s="46">
        <f t="shared" si="32"/>
        <v>532</v>
      </c>
      <c r="J558" s="1" t="s">
        <v>15</v>
      </c>
      <c r="K558" s="4" t="s">
        <v>202</v>
      </c>
      <c r="L558" s="4" t="s">
        <v>226</v>
      </c>
      <c r="M558" s="8">
        <v>216</v>
      </c>
      <c r="N558" s="5">
        <v>714.35</v>
      </c>
      <c r="O558" s="5">
        <v>154299.6</v>
      </c>
      <c r="P558">
        <f t="shared" si="33"/>
        <v>0</v>
      </c>
      <c r="Q558" s="36">
        <f t="shared" si="34"/>
        <v>10000.9</v>
      </c>
      <c r="R558">
        <f t="shared" si="35"/>
        <v>2022</v>
      </c>
    </row>
    <row r="559" spans="1:18" x14ac:dyDescent="0.2">
      <c r="A559" s="13">
        <v>45220</v>
      </c>
      <c r="B559" s="13">
        <v>45002</v>
      </c>
      <c r="C559" s="25" t="s">
        <v>399</v>
      </c>
      <c r="D559" s="20">
        <v>218</v>
      </c>
      <c r="E559" s="28">
        <v>144298.70000000001</v>
      </c>
      <c r="F559" s="22" t="s">
        <v>108</v>
      </c>
      <c r="G559" s="14">
        <v>202</v>
      </c>
      <c r="H559" s="40">
        <v>44686</v>
      </c>
      <c r="I559" s="46">
        <f t="shared" si="32"/>
        <v>534</v>
      </c>
      <c r="J559" s="1" t="s">
        <v>15</v>
      </c>
      <c r="K559" s="4" t="s">
        <v>202</v>
      </c>
      <c r="L559" s="4" t="s">
        <v>226</v>
      </c>
      <c r="M559" s="8">
        <v>216</v>
      </c>
      <c r="N559" s="5">
        <v>714.35</v>
      </c>
      <c r="O559" s="5">
        <v>154299.6</v>
      </c>
      <c r="P559">
        <f t="shared" si="33"/>
        <v>0</v>
      </c>
      <c r="Q559" s="36">
        <f t="shared" si="34"/>
        <v>144298.70000000001</v>
      </c>
      <c r="R559">
        <f t="shared" si="35"/>
        <v>2022</v>
      </c>
    </row>
    <row r="560" spans="1:18" x14ac:dyDescent="0.2">
      <c r="A560" s="13">
        <v>45218</v>
      </c>
      <c r="B560" s="13">
        <v>44995</v>
      </c>
      <c r="C560" s="25" t="s">
        <v>399</v>
      </c>
      <c r="D560" s="20">
        <v>223</v>
      </c>
      <c r="E560" s="28">
        <v>118582.1</v>
      </c>
      <c r="F560" s="22" t="s">
        <v>108</v>
      </c>
      <c r="G560" s="14">
        <v>166</v>
      </c>
      <c r="H560" s="40">
        <v>44686</v>
      </c>
      <c r="I560" s="46">
        <f t="shared" si="32"/>
        <v>532</v>
      </c>
      <c r="J560" s="1" t="s">
        <v>15</v>
      </c>
      <c r="K560" s="4" t="s">
        <v>202</v>
      </c>
      <c r="L560" s="4" t="s">
        <v>226</v>
      </c>
      <c r="M560" s="8">
        <v>180</v>
      </c>
      <c r="N560" s="5">
        <v>714.35</v>
      </c>
      <c r="O560" s="5">
        <v>128583</v>
      </c>
      <c r="P560">
        <f t="shared" si="33"/>
        <v>0</v>
      </c>
      <c r="Q560" s="36">
        <f t="shared" si="34"/>
        <v>118582.1</v>
      </c>
      <c r="R560">
        <f t="shared" si="35"/>
        <v>2022</v>
      </c>
    </row>
    <row r="561" spans="1:18" x14ac:dyDescent="0.2">
      <c r="A561" s="13">
        <v>45246</v>
      </c>
      <c r="B561" s="13">
        <v>45051</v>
      </c>
      <c r="C561" s="25" t="s">
        <v>399</v>
      </c>
      <c r="D561" s="20">
        <v>195</v>
      </c>
      <c r="E561" s="28">
        <v>154299.6</v>
      </c>
      <c r="F561" s="22" t="s">
        <v>108</v>
      </c>
      <c r="G561" s="14">
        <v>216</v>
      </c>
      <c r="H561" s="40">
        <v>44686</v>
      </c>
      <c r="I561" s="46">
        <f t="shared" si="32"/>
        <v>560</v>
      </c>
      <c r="J561" s="1" t="s">
        <v>15</v>
      </c>
      <c r="K561" s="4" t="s">
        <v>202</v>
      </c>
      <c r="L561" s="4" t="s">
        <v>226</v>
      </c>
      <c r="M561" s="8">
        <v>216</v>
      </c>
      <c r="N561" s="5">
        <v>714.35</v>
      </c>
      <c r="O561" s="5">
        <v>154299.6</v>
      </c>
      <c r="P561">
        <f t="shared" si="33"/>
        <v>1</v>
      </c>
      <c r="Q561" s="36">
        <f t="shared" si="34"/>
        <v>154299.6</v>
      </c>
      <c r="R561">
        <f t="shared" si="35"/>
        <v>2022</v>
      </c>
    </row>
    <row r="562" spans="1:18" x14ac:dyDescent="0.2">
      <c r="A562" s="13">
        <v>45246</v>
      </c>
      <c r="B562" s="13">
        <v>45051</v>
      </c>
      <c r="C562" s="25" t="s">
        <v>399</v>
      </c>
      <c r="D562" s="20">
        <v>195</v>
      </c>
      <c r="E562" s="28">
        <v>164300.5</v>
      </c>
      <c r="F562" s="22" t="s">
        <v>108</v>
      </c>
      <c r="G562" s="14">
        <v>230</v>
      </c>
      <c r="H562" s="40">
        <v>44686</v>
      </c>
      <c r="I562" s="46">
        <f t="shared" si="32"/>
        <v>560</v>
      </c>
      <c r="J562" s="1" t="s">
        <v>15</v>
      </c>
      <c r="K562" s="4" t="s">
        <v>202</v>
      </c>
      <c r="L562" s="4" t="s">
        <v>226</v>
      </c>
      <c r="M562" s="8">
        <v>252</v>
      </c>
      <c r="N562" s="5">
        <v>714.35</v>
      </c>
      <c r="O562" s="5">
        <v>180016.2</v>
      </c>
      <c r="P562">
        <f t="shared" si="33"/>
        <v>0</v>
      </c>
      <c r="Q562" s="36">
        <f t="shared" si="34"/>
        <v>164300.5</v>
      </c>
      <c r="R562">
        <f t="shared" si="35"/>
        <v>2022</v>
      </c>
    </row>
    <row r="563" spans="1:18" x14ac:dyDescent="0.2">
      <c r="A563" s="13">
        <v>45300</v>
      </c>
      <c r="B563" s="13">
        <v>45051</v>
      </c>
      <c r="C563" s="25" t="s">
        <v>399</v>
      </c>
      <c r="D563" s="20">
        <v>249</v>
      </c>
      <c r="E563" s="28">
        <v>15715.7</v>
      </c>
      <c r="F563" s="22" t="s">
        <v>108</v>
      </c>
      <c r="G563" s="14">
        <v>22</v>
      </c>
      <c r="H563" s="40">
        <v>44686</v>
      </c>
      <c r="I563" s="46">
        <f t="shared" si="32"/>
        <v>614</v>
      </c>
      <c r="J563" s="1" t="s">
        <v>15</v>
      </c>
      <c r="K563" s="4" t="s">
        <v>202</v>
      </c>
      <c r="L563" s="4" t="s">
        <v>226</v>
      </c>
      <c r="M563" s="8">
        <v>252</v>
      </c>
      <c r="N563" s="5">
        <v>714.35</v>
      </c>
      <c r="O563" s="5">
        <v>180016.2</v>
      </c>
      <c r="P563">
        <f t="shared" si="33"/>
        <v>0</v>
      </c>
      <c r="Q563" s="36">
        <f t="shared" si="34"/>
        <v>15715.7</v>
      </c>
      <c r="R563">
        <f t="shared" si="35"/>
        <v>2022</v>
      </c>
    </row>
    <row r="564" spans="1:18" x14ac:dyDescent="0.2">
      <c r="A564" s="13">
        <v>45300</v>
      </c>
      <c r="B564" s="13">
        <v>45065</v>
      </c>
      <c r="C564" s="25" t="s">
        <v>399</v>
      </c>
      <c r="D564" s="20">
        <v>235</v>
      </c>
      <c r="E564" s="28">
        <v>102866.4</v>
      </c>
      <c r="F564" s="22" t="s">
        <v>108</v>
      </c>
      <c r="G564" s="14">
        <v>144</v>
      </c>
      <c r="H564" s="40">
        <v>44686</v>
      </c>
      <c r="I564" s="46">
        <f t="shared" si="32"/>
        <v>614</v>
      </c>
      <c r="J564" s="1" t="s">
        <v>15</v>
      </c>
      <c r="K564" s="4" t="s">
        <v>202</v>
      </c>
      <c r="L564" s="4" t="s">
        <v>226</v>
      </c>
      <c r="M564" s="8">
        <v>144</v>
      </c>
      <c r="N564" s="5">
        <v>714.35</v>
      </c>
      <c r="O564" s="5">
        <v>102866.4</v>
      </c>
      <c r="P564">
        <f t="shared" si="33"/>
        <v>1</v>
      </c>
      <c r="Q564" s="36">
        <f t="shared" si="34"/>
        <v>102866.40000000001</v>
      </c>
      <c r="R564">
        <f t="shared" si="35"/>
        <v>2022</v>
      </c>
    </row>
    <row r="565" spans="1:18" x14ac:dyDescent="0.2">
      <c r="A565" s="13">
        <v>45300</v>
      </c>
      <c r="B565" s="13">
        <v>45226</v>
      </c>
      <c r="C565" s="25" t="s">
        <v>399</v>
      </c>
      <c r="D565" s="20">
        <v>74</v>
      </c>
      <c r="E565" s="28">
        <v>180016.2</v>
      </c>
      <c r="F565" s="22" t="s">
        <v>108</v>
      </c>
      <c r="G565" s="14">
        <v>252</v>
      </c>
      <c r="H565" s="40">
        <v>44686</v>
      </c>
      <c r="I565" s="46">
        <f t="shared" si="32"/>
        <v>614</v>
      </c>
      <c r="J565" s="1" t="s">
        <v>15</v>
      </c>
      <c r="K565" s="4" t="s">
        <v>202</v>
      </c>
      <c r="L565" s="4" t="s">
        <v>226</v>
      </c>
      <c r="M565" s="8">
        <v>252</v>
      </c>
      <c r="N565" s="5">
        <v>714.35</v>
      </c>
      <c r="O565" s="5">
        <v>180016.2</v>
      </c>
      <c r="P565">
        <f t="shared" si="33"/>
        <v>1</v>
      </c>
      <c r="Q565" s="36">
        <f t="shared" si="34"/>
        <v>180016.2</v>
      </c>
      <c r="R565">
        <f t="shared" si="35"/>
        <v>2022</v>
      </c>
    </row>
    <row r="566" spans="1:18" x14ac:dyDescent="0.2">
      <c r="A566" s="13">
        <v>45300</v>
      </c>
      <c r="B566" s="13">
        <v>45233</v>
      </c>
      <c r="C566" s="25" t="s">
        <v>399</v>
      </c>
      <c r="D566" s="20">
        <v>67</v>
      </c>
      <c r="E566" s="28">
        <v>102866.4</v>
      </c>
      <c r="F566" s="22" t="s">
        <v>108</v>
      </c>
      <c r="G566" s="14">
        <v>144</v>
      </c>
      <c r="H566" s="40">
        <v>44707</v>
      </c>
      <c r="I566" s="46">
        <f t="shared" si="32"/>
        <v>593</v>
      </c>
      <c r="J566" s="1" t="s">
        <v>15</v>
      </c>
      <c r="K566" s="4" t="s">
        <v>202</v>
      </c>
      <c r="L566" s="4" t="s">
        <v>226</v>
      </c>
      <c r="M566" s="8">
        <v>144</v>
      </c>
      <c r="N566" s="5">
        <v>714.35</v>
      </c>
      <c r="O566" s="5">
        <v>102866.4</v>
      </c>
      <c r="P566">
        <f t="shared" si="33"/>
        <v>1</v>
      </c>
      <c r="Q566" s="36">
        <f t="shared" si="34"/>
        <v>102866.40000000001</v>
      </c>
      <c r="R566">
        <f t="shared" si="35"/>
        <v>2022</v>
      </c>
    </row>
    <row r="567" spans="1:18" x14ac:dyDescent="0.2">
      <c r="A567" s="13">
        <v>45300</v>
      </c>
      <c r="B567" s="13">
        <v>45240</v>
      </c>
      <c r="C567" s="25" t="s">
        <v>399</v>
      </c>
      <c r="D567" s="20">
        <v>60</v>
      </c>
      <c r="E567" s="28">
        <v>180016.2</v>
      </c>
      <c r="F567" s="22" t="s">
        <v>108</v>
      </c>
      <c r="G567" s="14">
        <v>252</v>
      </c>
      <c r="H567" s="40">
        <v>44707</v>
      </c>
      <c r="I567" s="46">
        <f t="shared" si="32"/>
        <v>593</v>
      </c>
      <c r="J567" s="1" t="s">
        <v>15</v>
      </c>
      <c r="K567" s="4" t="s">
        <v>202</v>
      </c>
      <c r="L567" s="4" t="s">
        <v>226</v>
      </c>
      <c r="M567" s="8">
        <v>252</v>
      </c>
      <c r="N567" s="5">
        <v>714.35</v>
      </c>
      <c r="O567" s="5">
        <v>180016.2</v>
      </c>
      <c r="P567">
        <f t="shared" si="33"/>
        <v>1</v>
      </c>
      <c r="Q567" s="36">
        <f t="shared" si="34"/>
        <v>180016.2</v>
      </c>
      <c r="R567">
        <f t="shared" si="35"/>
        <v>2022</v>
      </c>
    </row>
    <row r="568" spans="1:18" x14ac:dyDescent="0.2">
      <c r="A568" s="13">
        <v>45300</v>
      </c>
      <c r="B568" s="13">
        <v>45233</v>
      </c>
      <c r="C568" s="25" t="s">
        <v>399</v>
      </c>
      <c r="D568" s="20">
        <v>67</v>
      </c>
      <c r="E568" s="28">
        <v>77149.8</v>
      </c>
      <c r="F568" s="22" t="s">
        <v>108</v>
      </c>
      <c r="G568" s="14">
        <v>108</v>
      </c>
      <c r="H568" s="40">
        <v>44707</v>
      </c>
      <c r="I568" s="46">
        <f t="shared" si="32"/>
        <v>593</v>
      </c>
      <c r="J568" s="1" t="s">
        <v>15</v>
      </c>
      <c r="K568" s="4" t="s">
        <v>202</v>
      </c>
      <c r="L568" s="4" t="s">
        <v>226</v>
      </c>
      <c r="M568" s="8">
        <v>108</v>
      </c>
      <c r="N568" s="5">
        <v>714.35</v>
      </c>
      <c r="O568" s="5">
        <v>77149.8</v>
      </c>
      <c r="P568">
        <f t="shared" si="33"/>
        <v>1</v>
      </c>
      <c r="Q568" s="36">
        <f t="shared" si="34"/>
        <v>77149.8</v>
      </c>
      <c r="R568">
        <f t="shared" si="35"/>
        <v>2022</v>
      </c>
    </row>
    <row r="569" spans="1:18" x14ac:dyDescent="0.2">
      <c r="A569" s="13">
        <v>45218</v>
      </c>
      <c r="B569" s="13">
        <v>44995</v>
      </c>
      <c r="C569" s="25" t="s">
        <v>399</v>
      </c>
      <c r="D569" s="20">
        <v>223</v>
      </c>
      <c r="E569" s="28">
        <v>51433.2</v>
      </c>
      <c r="F569" s="22" t="s">
        <v>108</v>
      </c>
      <c r="G569" s="14">
        <v>72</v>
      </c>
      <c r="H569" s="40">
        <v>44721</v>
      </c>
      <c r="I569" s="46">
        <f t="shared" si="32"/>
        <v>497</v>
      </c>
      <c r="J569" s="1" t="s">
        <v>15</v>
      </c>
      <c r="K569" s="4" t="s">
        <v>202</v>
      </c>
      <c r="L569" s="4" t="s">
        <v>226</v>
      </c>
      <c r="M569" s="8">
        <v>72</v>
      </c>
      <c r="N569" s="5">
        <v>714.35</v>
      </c>
      <c r="O569" s="5">
        <v>51433.2</v>
      </c>
      <c r="P569">
        <f t="shared" si="33"/>
        <v>1</v>
      </c>
      <c r="Q569" s="36">
        <f t="shared" si="34"/>
        <v>51433.200000000004</v>
      </c>
      <c r="R569">
        <f t="shared" si="35"/>
        <v>2022</v>
      </c>
    </row>
    <row r="570" spans="1:18" x14ac:dyDescent="0.2">
      <c r="A570" s="13">
        <v>45300</v>
      </c>
      <c r="B570" s="13">
        <v>45247</v>
      </c>
      <c r="C570" s="25" t="s">
        <v>399</v>
      </c>
      <c r="D570" s="20">
        <v>53</v>
      </c>
      <c r="E570" s="28">
        <v>25716.6</v>
      </c>
      <c r="F570" s="22" t="s">
        <v>108</v>
      </c>
      <c r="G570" s="14">
        <v>36</v>
      </c>
      <c r="H570" s="40">
        <v>44721</v>
      </c>
      <c r="I570" s="46">
        <f t="shared" si="32"/>
        <v>579</v>
      </c>
      <c r="J570" s="1" t="s">
        <v>15</v>
      </c>
      <c r="K570" s="4" t="s">
        <v>202</v>
      </c>
      <c r="L570" s="4" t="s">
        <v>226</v>
      </c>
      <c r="M570" s="8">
        <v>36</v>
      </c>
      <c r="N570" s="5">
        <v>714.35</v>
      </c>
      <c r="O570" s="5">
        <v>25716.6</v>
      </c>
      <c r="P570">
        <f t="shared" si="33"/>
        <v>1</v>
      </c>
      <c r="Q570" s="36">
        <f t="shared" si="34"/>
        <v>25716.600000000002</v>
      </c>
      <c r="R570">
        <f t="shared" si="35"/>
        <v>2022</v>
      </c>
    </row>
    <row r="571" spans="1:18" x14ac:dyDescent="0.2">
      <c r="A571" s="13">
        <v>45239</v>
      </c>
      <c r="B571" s="13">
        <v>45009</v>
      </c>
      <c r="C571" s="25" t="s">
        <v>399</v>
      </c>
      <c r="D571" s="20">
        <v>230</v>
      </c>
      <c r="E571" s="28">
        <v>127868.65</v>
      </c>
      <c r="F571" s="22" t="s">
        <v>108</v>
      </c>
      <c r="G571" s="14">
        <v>179</v>
      </c>
      <c r="H571" s="40">
        <v>44740</v>
      </c>
      <c r="I571" s="46">
        <f t="shared" si="32"/>
        <v>499</v>
      </c>
      <c r="J571" s="1" t="s">
        <v>15</v>
      </c>
      <c r="K571" s="4" t="s">
        <v>202</v>
      </c>
      <c r="L571" s="4" t="s">
        <v>226</v>
      </c>
      <c r="M571" s="8">
        <v>216</v>
      </c>
      <c r="N571" s="5">
        <v>714.35</v>
      </c>
      <c r="O571" s="5">
        <v>154299.6</v>
      </c>
      <c r="P571">
        <f t="shared" si="33"/>
        <v>0</v>
      </c>
      <c r="Q571" s="36">
        <f t="shared" si="34"/>
        <v>127868.65000000001</v>
      </c>
      <c r="R571">
        <f t="shared" si="35"/>
        <v>2022</v>
      </c>
    </row>
    <row r="572" spans="1:18" x14ac:dyDescent="0.2">
      <c r="A572" s="13">
        <v>45246</v>
      </c>
      <c r="B572" s="13">
        <v>45009</v>
      </c>
      <c r="C572" s="25" t="s">
        <v>399</v>
      </c>
      <c r="D572" s="20">
        <v>237</v>
      </c>
      <c r="E572" s="28">
        <v>26430.95</v>
      </c>
      <c r="F572" s="22" t="s">
        <v>108</v>
      </c>
      <c r="G572" s="14">
        <v>37</v>
      </c>
      <c r="H572" s="40">
        <v>44740</v>
      </c>
      <c r="I572" s="46">
        <f t="shared" si="32"/>
        <v>506</v>
      </c>
      <c r="J572" s="1" t="s">
        <v>15</v>
      </c>
      <c r="K572" s="4" t="s">
        <v>202</v>
      </c>
      <c r="L572" s="4" t="s">
        <v>226</v>
      </c>
      <c r="M572" s="8">
        <v>216</v>
      </c>
      <c r="N572" s="5">
        <v>714.35</v>
      </c>
      <c r="O572" s="5">
        <v>154299.6</v>
      </c>
      <c r="P572">
        <f t="shared" si="33"/>
        <v>0</v>
      </c>
      <c r="Q572" s="36">
        <f t="shared" si="34"/>
        <v>26430.95</v>
      </c>
      <c r="R572">
        <f t="shared" si="35"/>
        <v>2022</v>
      </c>
    </row>
    <row r="573" spans="1:18" x14ac:dyDescent="0.2">
      <c r="A573" s="13">
        <v>45246</v>
      </c>
      <c r="B573" s="13">
        <v>45023</v>
      </c>
      <c r="C573" s="25" t="s">
        <v>399</v>
      </c>
      <c r="D573" s="20">
        <v>223</v>
      </c>
      <c r="E573" s="28">
        <v>246450.75</v>
      </c>
      <c r="F573" s="22" t="s">
        <v>108</v>
      </c>
      <c r="G573" s="14">
        <v>345</v>
      </c>
      <c r="H573" s="40">
        <v>44740</v>
      </c>
      <c r="I573" s="46">
        <f t="shared" si="32"/>
        <v>506</v>
      </c>
      <c r="J573" s="1" t="s">
        <v>15</v>
      </c>
      <c r="K573" s="4" t="s">
        <v>202</v>
      </c>
      <c r="L573" s="4" t="s">
        <v>226</v>
      </c>
      <c r="M573" s="8">
        <v>345</v>
      </c>
      <c r="N573" s="5">
        <v>714.35</v>
      </c>
      <c r="O573" s="5">
        <v>246450.75</v>
      </c>
      <c r="P573">
        <f t="shared" si="33"/>
        <v>1</v>
      </c>
      <c r="Q573" s="36">
        <f t="shared" si="34"/>
        <v>246450.75</v>
      </c>
      <c r="R573">
        <f t="shared" si="35"/>
        <v>2022</v>
      </c>
    </row>
    <row r="574" spans="1:18" x14ac:dyDescent="0.2">
      <c r="A574" s="13">
        <v>45300</v>
      </c>
      <c r="B574" s="13">
        <v>45293</v>
      </c>
      <c r="C574" s="25" t="s">
        <v>399</v>
      </c>
      <c r="D574" s="20">
        <v>7</v>
      </c>
      <c r="E574" s="28">
        <v>154299.6</v>
      </c>
      <c r="F574" s="22" t="s">
        <v>108</v>
      </c>
      <c r="G574" s="14">
        <v>216</v>
      </c>
      <c r="H574" s="40">
        <v>44839</v>
      </c>
      <c r="I574" s="46">
        <f t="shared" si="32"/>
        <v>461</v>
      </c>
      <c r="J574" s="1" t="s">
        <v>15</v>
      </c>
      <c r="K574" s="4" t="s">
        <v>202</v>
      </c>
      <c r="L574" s="4" t="s">
        <v>226</v>
      </c>
      <c r="M574" s="8">
        <v>216</v>
      </c>
      <c r="N574" s="5">
        <v>714.35</v>
      </c>
      <c r="O574" s="5">
        <v>154299.6</v>
      </c>
      <c r="P574">
        <f t="shared" si="33"/>
        <v>1</v>
      </c>
      <c r="Q574" s="36">
        <f t="shared" si="34"/>
        <v>154299.6</v>
      </c>
      <c r="R574">
        <f t="shared" si="35"/>
        <v>2022</v>
      </c>
    </row>
    <row r="575" spans="1:18" x14ac:dyDescent="0.2">
      <c r="A575" s="13">
        <v>45300</v>
      </c>
      <c r="B575" s="13">
        <v>45293</v>
      </c>
      <c r="C575" s="25" t="s">
        <v>399</v>
      </c>
      <c r="D575" s="20">
        <v>7</v>
      </c>
      <c r="E575" s="28">
        <v>112867.3</v>
      </c>
      <c r="F575" s="22" t="s">
        <v>108</v>
      </c>
      <c r="G575" s="14">
        <v>158</v>
      </c>
      <c r="H575" s="40">
        <v>44839</v>
      </c>
      <c r="I575" s="46">
        <f t="shared" si="32"/>
        <v>461</v>
      </c>
      <c r="J575" s="1" t="s">
        <v>15</v>
      </c>
      <c r="K575" s="4" t="s">
        <v>202</v>
      </c>
      <c r="L575" s="4" t="s">
        <v>226</v>
      </c>
      <c r="M575" s="8">
        <v>216</v>
      </c>
      <c r="N575" s="5">
        <v>714.35</v>
      </c>
      <c r="O575" s="5">
        <v>154299.6</v>
      </c>
      <c r="P575">
        <f t="shared" si="33"/>
        <v>0</v>
      </c>
      <c r="Q575" s="36">
        <f t="shared" si="34"/>
        <v>112867.3</v>
      </c>
      <c r="R575">
        <f t="shared" si="35"/>
        <v>2022</v>
      </c>
    </row>
    <row r="576" spans="1:18" x14ac:dyDescent="0.2">
      <c r="A576" s="13">
        <v>45314</v>
      </c>
      <c r="B576" s="13">
        <v>45293</v>
      </c>
      <c r="C576" s="25" t="s">
        <v>399</v>
      </c>
      <c r="D576" s="20">
        <v>21</v>
      </c>
      <c r="E576" s="28">
        <v>41432.300000000003</v>
      </c>
      <c r="F576" s="22" t="s">
        <v>108</v>
      </c>
      <c r="G576" s="14">
        <v>58</v>
      </c>
      <c r="H576" s="40">
        <v>44839</v>
      </c>
      <c r="I576" s="46">
        <f t="shared" si="32"/>
        <v>475</v>
      </c>
      <c r="J576" s="1" t="s">
        <v>15</v>
      </c>
      <c r="K576" s="4" t="s">
        <v>202</v>
      </c>
      <c r="L576" s="4" t="s">
        <v>226</v>
      </c>
      <c r="M576" s="8">
        <v>216</v>
      </c>
      <c r="N576" s="5">
        <v>714.35</v>
      </c>
      <c r="O576" s="5">
        <v>154299.6</v>
      </c>
      <c r="P576">
        <f t="shared" si="33"/>
        <v>0</v>
      </c>
      <c r="Q576" s="36">
        <f t="shared" si="34"/>
        <v>41432.300000000003</v>
      </c>
      <c r="R576">
        <f t="shared" si="35"/>
        <v>2022</v>
      </c>
    </row>
    <row r="577" spans="1:18" x14ac:dyDescent="0.2">
      <c r="A577" s="13">
        <v>45314</v>
      </c>
      <c r="B577" s="13">
        <v>45293</v>
      </c>
      <c r="C577" s="25" t="s">
        <v>399</v>
      </c>
      <c r="D577" s="20">
        <v>21</v>
      </c>
      <c r="E577" s="28">
        <v>77149.8</v>
      </c>
      <c r="F577" s="22" t="s">
        <v>108</v>
      </c>
      <c r="G577" s="14">
        <v>108</v>
      </c>
      <c r="H577" s="40">
        <v>44839</v>
      </c>
      <c r="I577" s="46">
        <f t="shared" si="32"/>
        <v>475</v>
      </c>
      <c r="J577" s="1" t="s">
        <v>15</v>
      </c>
      <c r="K577" s="4" t="s">
        <v>202</v>
      </c>
      <c r="L577" s="4" t="s">
        <v>226</v>
      </c>
      <c r="M577" s="8">
        <v>108</v>
      </c>
      <c r="N577" s="5">
        <v>714.35</v>
      </c>
      <c r="O577" s="5">
        <v>77149.8</v>
      </c>
      <c r="P577">
        <f t="shared" si="33"/>
        <v>1</v>
      </c>
      <c r="Q577" s="36">
        <f t="shared" si="34"/>
        <v>77149.8</v>
      </c>
      <c r="R577">
        <f t="shared" si="35"/>
        <v>2022</v>
      </c>
    </row>
    <row r="578" spans="1:18" x14ac:dyDescent="0.2">
      <c r="A578" s="13">
        <v>45314</v>
      </c>
      <c r="B578" s="13">
        <v>45293</v>
      </c>
      <c r="C578" s="25" t="s">
        <v>399</v>
      </c>
      <c r="D578" s="20">
        <v>21</v>
      </c>
      <c r="E578" s="28">
        <v>257166</v>
      </c>
      <c r="F578" s="22" t="s">
        <v>108</v>
      </c>
      <c r="G578" s="14">
        <v>360</v>
      </c>
      <c r="H578" s="40">
        <v>44852</v>
      </c>
      <c r="I578" s="46">
        <f t="shared" si="32"/>
        <v>462</v>
      </c>
      <c r="J578" s="1" t="s">
        <v>15</v>
      </c>
      <c r="K578" s="4" t="s">
        <v>202</v>
      </c>
      <c r="L578" s="4" t="s">
        <v>226</v>
      </c>
      <c r="M578" s="8">
        <v>360</v>
      </c>
      <c r="N578" s="5">
        <v>714.35</v>
      </c>
      <c r="O578" s="5">
        <v>257166</v>
      </c>
      <c r="P578">
        <f t="shared" si="33"/>
        <v>1</v>
      </c>
      <c r="Q578" s="36">
        <f t="shared" si="34"/>
        <v>257166</v>
      </c>
      <c r="R578">
        <f t="shared" si="35"/>
        <v>2022</v>
      </c>
    </row>
    <row r="579" spans="1:18" x14ac:dyDescent="0.2">
      <c r="A579" s="13">
        <v>45317</v>
      </c>
      <c r="B579" s="13">
        <v>45293</v>
      </c>
      <c r="C579" s="25" t="s">
        <v>399</v>
      </c>
      <c r="D579" s="20">
        <v>24</v>
      </c>
      <c r="E579" s="28">
        <v>61434.1</v>
      </c>
      <c r="F579" s="22" t="s">
        <v>108</v>
      </c>
      <c r="G579" s="14">
        <v>86</v>
      </c>
      <c r="H579" s="40">
        <v>44862</v>
      </c>
      <c r="I579" s="46">
        <f t="shared" ref="I579:I642" si="36">IFERROR(A579-H579,"")*1</f>
        <v>455</v>
      </c>
      <c r="J579" s="1" t="s">
        <v>15</v>
      </c>
      <c r="K579" s="4" t="s">
        <v>202</v>
      </c>
      <c r="L579" s="4" t="s">
        <v>226</v>
      </c>
      <c r="M579" s="8">
        <v>288</v>
      </c>
      <c r="N579" s="5">
        <v>714.35</v>
      </c>
      <c r="O579" s="5">
        <v>205732.8</v>
      </c>
      <c r="P579">
        <f t="shared" ref="P579:P642" si="37">IF(M579=G579,1,0)</f>
        <v>0</v>
      </c>
      <c r="Q579" s="36">
        <f t="shared" ref="Q579:Q642" si="38">N579*G579</f>
        <v>61434.1</v>
      </c>
      <c r="R579">
        <f t="shared" ref="R579:R642" si="39">YEAR(H579)</f>
        <v>2022</v>
      </c>
    </row>
    <row r="580" spans="1:18" x14ac:dyDescent="0.2">
      <c r="A580" s="13">
        <v>45324</v>
      </c>
      <c r="B580" s="13">
        <v>45293</v>
      </c>
      <c r="C580" s="25" t="s">
        <v>399</v>
      </c>
      <c r="D580" s="20">
        <v>31</v>
      </c>
      <c r="E580" s="28">
        <v>144298.70000000001</v>
      </c>
      <c r="F580" s="22" t="s">
        <v>108</v>
      </c>
      <c r="G580" s="14">
        <v>202</v>
      </c>
      <c r="H580" s="40">
        <v>44862</v>
      </c>
      <c r="I580" s="46">
        <f t="shared" si="36"/>
        <v>462</v>
      </c>
      <c r="J580" s="1" t="s">
        <v>15</v>
      </c>
      <c r="K580" s="4" t="s">
        <v>202</v>
      </c>
      <c r="L580" s="4" t="s">
        <v>226</v>
      </c>
      <c r="M580" s="8">
        <v>288</v>
      </c>
      <c r="N580" s="5">
        <v>714.35</v>
      </c>
      <c r="O580" s="5">
        <v>205732.8</v>
      </c>
      <c r="P580">
        <f t="shared" si="37"/>
        <v>0</v>
      </c>
      <c r="Q580" s="36">
        <f t="shared" si="38"/>
        <v>144298.70000000001</v>
      </c>
      <c r="R580">
        <f t="shared" si="39"/>
        <v>2022</v>
      </c>
    </row>
    <row r="581" spans="1:18" x14ac:dyDescent="0.2">
      <c r="A581" s="13">
        <v>45324</v>
      </c>
      <c r="B581" s="13">
        <v>45293</v>
      </c>
      <c r="C581" s="25" t="s">
        <v>399</v>
      </c>
      <c r="D581" s="20">
        <v>31</v>
      </c>
      <c r="E581" s="28">
        <v>180016.2</v>
      </c>
      <c r="F581" s="22" t="s">
        <v>108</v>
      </c>
      <c r="G581" s="14">
        <v>252</v>
      </c>
      <c r="H581" s="40">
        <v>44862</v>
      </c>
      <c r="I581" s="46">
        <f t="shared" si="36"/>
        <v>462</v>
      </c>
      <c r="J581" s="1" t="s">
        <v>15</v>
      </c>
      <c r="K581" s="4" t="s">
        <v>202</v>
      </c>
      <c r="L581" s="4" t="s">
        <v>226</v>
      </c>
      <c r="M581" s="8">
        <v>252</v>
      </c>
      <c r="N581" s="5">
        <v>714.35</v>
      </c>
      <c r="O581" s="5">
        <v>180016.2</v>
      </c>
      <c r="P581">
        <f t="shared" si="37"/>
        <v>1</v>
      </c>
      <c r="Q581" s="36">
        <f t="shared" si="38"/>
        <v>180016.2</v>
      </c>
      <c r="R581">
        <f t="shared" si="39"/>
        <v>2022</v>
      </c>
    </row>
    <row r="582" spans="1:18" x14ac:dyDescent="0.2">
      <c r="A582" s="13">
        <v>45324</v>
      </c>
      <c r="B582" s="13">
        <v>45293</v>
      </c>
      <c r="C582" s="25" t="s">
        <v>399</v>
      </c>
      <c r="D582" s="20">
        <v>31</v>
      </c>
      <c r="E582" s="28">
        <v>360032.4</v>
      </c>
      <c r="F582" s="22" t="s">
        <v>108</v>
      </c>
      <c r="G582" s="14">
        <v>504</v>
      </c>
      <c r="H582" s="40">
        <v>44866</v>
      </c>
      <c r="I582" s="46">
        <f t="shared" si="36"/>
        <v>458</v>
      </c>
      <c r="J582" s="1" t="s">
        <v>15</v>
      </c>
      <c r="K582" s="4" t="s">
        <v>202</v>
      </c>
      <c r="L582" s="4" t="s">
        <v>226</v>
      </c>
      <c r="M582" s="8">
        <v>504</v>
      </c>
      <c r="N582" s="5">
        <v>714.35</v>
      </c>
      <c r="O582" s="5">
        <v>360032.4</v>
      </c>
      <c r="P582">
        <f t="shared" si="37"/>
        <v>1</v>
      </c>
      <c r="Q582" s="36">
        <f t="shared" si="38"/>
        <v>360032.4</v>
      </c>
      <c r="R582">
        <f t="shared" si="39"/>
        <v>2022</v>
      </c>
    </row>
    <row r="583" spans="1:18" x14ac:dyDescent="0.2">
      <c r="A583" s="13">
        <v>45324</v>
      </c>
      <c r="B583" s="13">
        <v>45293</v>
      </c>
      <c r="C583" s="25" t="s">
        <v>399</v>
      </c>
      <c r="D583" s="20">
        <v>31</v>
      </c>
      <c r="E583" s="28">
        <v>257166</v>
      </c>
      <c r="F583" s="22" t="s">
        <v>108</v>
      </c>
      <c r="G583" s="14">
        <v>360</v>
      </c>
      <c r="H583" s="40">
        <v>44866</v>
      </c>
      <c r="I583" s="46">
        <f t="shared" si="36"/>
        <v>458</v>
      </c>
      <c r="J583" s="1" t="s">
        <v>15</v>
      </c>
      <c r="K583" s="4" t="s">
        <v>202</v>
      </c>
      <c r="L583" s="4" t="s">
        <v>226</v>
      </c>
      <c r="M583" s="8">
        <v>360</v>
      </c>
      <c r="N583" s="5">
        <v>714.35</v>
      </c>
      <c r="O583" s="5">
        <v>257166</v>
      </c>
      <c r="P583">
        <f t="shared" si="37"/>
        <v>1</v>
      </c>
      <c r="Q583" s="36">
        <f t="shared" si="38"/>
        <v>257166</v>
      </c>
      <c r="R583">
        <f t="shared" si="39"/>
        <v>2022</v>
      </c>
    </row>
    <row r="584" spans="1:18" x14ac:dyDescent="0.2">
      <c r="A584" s="13">
        <v>45324</v>
      </c>
      <c r="B584" s="13">
        <v>45293</v>
      </c>
      <c r="C584" s="25" t="s">
        <v>399</v>
      </c>
      <c r="D584" s="20">
        <v>31</v>
      </c>
      <c r="E584" s="28">
        <v>10000.9</v>
      </c>
      <c r="F584" s="22" t="s">
        <v>108</v>
      </c>
      <c r="G584" s="14">
        <v>14</v>
      </c>
      <c r="H584" s="40">
        <v>44867</v>
      </c>
      <c r="I584" s="46">
        <f t="shared" si="36"/>
        <v>457</v>
      </c>
      <c r="J584" s="1" t="s">
        <v>15</v>
      </c>
      <c r="K584" s="4" t="s">
        <v>202</v>
      </c>
      <c r="L584" s="4" t="s">
        <v>226</v>
      </c>
      <c r="M584" s="8">
        <v>216</v>
      </c>
      <c r="N584" s="5">
        <v>714.35</v>
      </c>
      <c r="O584" s="5">
        <v>154299.6</v>
      </c>
      <c r="P584">
        <f t="shared" si="37"/>
        <v>0</v>
      </c>
      <c r="Q584" s="36">
        <f t="shared" si="38"/>
        <v>10000.9</v>
      </c>
      <c r="R584">
        <f t="shared" si="39"/>
        <v>2022</v>
      </c>
    </row>
    <row r="585" spans="1:18" x14ac:dyDescent="0.2">
      <c r="A585" s="13">
        <v>45331</v>
      </c>
      <c r="B585" s="13">
        <v>45293</v>
      </c>
      <c r="C585" s="25" t="s">
        <v>399</v>
      </c>
      <c r="D585" s="20">
        <v>38</v>
      </c>
      <c r="E585" s="28">
        <v>144298.70000000001</v>
      </c>
      <c r="F585" s="22" t="s">
        <v>108</v>
      </c>
      <c r="G585" s="14">
        <v>202</v>
      </c>
      <c r="H585" s="40">
        <v>44867</v>
      </c>
      <c r="I585" s="46">
        <f t="shared" si="36"/>
        <v>464</v>
      </c>
      <c r="J585" s="1" t="s">
        <v>15</v>
      </c>
      <c r="K585" s="4" t="s">
        <v>202</v>
      </c>
      <c r="L585" s="4" t="s">
        <v>226</v>
      </c>
      <c r="M585" s="8">
        <v>216</v>
      </c>
      <c r="N585" s="5">
        <v>714.35</v>
      </c>
      <c r="O585" s="5">
        <v>154299.6</v>
      </c>
      <c r="P585">
        <f t="shared" si="37"/>
        <v>0</v>
      </c>
      <c r="Q585" s="36">
        <f t="shared" si="38"/>
        <v>144298.70000000001</v>
      </c>
      <c r="R585">
        <f t="shared" si="39"/>
        <v>2022</v>
      </c>
    </row>
    <row r="586" spans="1:18" x14ac:dyDescent="0.2">
      <c r="A586" s="13">
        <v>45331</v>
      </c>
      <c r="B586" s="13">
        <v>45293</v>
      </c>
      <c r="C586" s="25" t="s">
        <v>399</v>
      </c>
      <c r="D586" s="20">
        <v>38</v>
      </c>
      <c r="E586" s="28">
        <v>128583</v>
      </c>
      <c r="F586" s="22" t="s">
        <v>108</v>
      </c>
      <c r="G586" s="14">
        <v>180</v>
      </c>
      <c r="H586" s="40">
        <v>44867</v>
      </c>
      <c r="I586" s="46">
        <f t="shared" si="36"/>
        <v>464</v>
      </c>
      <c r="J586" s="1" t="s">
        <v>15</v>
      </c>
      <c r="K586" s="4" t="s">
        <v>202</v>
      </c>
      <c r="L586" s="4" t="s">
        <v>226</v>
      </c>
      <c r="M586" s="8">
        <v>180</v>
      </c>
      <c r="N586" s="5">
        <v>714.35</v>
      </c>
      <c r="O586" s="5">
        <v>128583</v>
      </c>
      <c r="P586">
        <f t="shared" si="37"/>
        <v>1</v>
      </c>
      <c r="Q586" s="36">
        <f t="shared" si="38"/>
        <v>128583</v>
      </c>
      <c r="R586">
        <f t="shared" si="39"/>
        <v>2022</v>
      </c>
    </row>
    <row r="587" spans="1:18" x14ac:dyDescent="0.2">
      <c r="A587" s="13">
        <v>45331</v>
      </c>
      <c r="B587" s="13">
        <v>45293</v>
      </c>
      <c r="C587" s="25" t="s">
        <v>399</v>
      </c>
      <c r="D587" s="20">
        <v>38</v>
      </c>
      <c r="E587" s="28">
        <v>128583</v>
      </c>
      <c r="F587" s="22" t="s">
        <v>108</v>
      </c>
      <c r="G587" s="14">
        <v>180</v>
      </c>
      <c r="H587" s="40">
        <v>44867</v>
      </c>
      <c r="I587" s="46">
        <f t="shared" si="36"/>
        <v>464</v>
      </c>
      <c r="J587" s="1" t="s">
        <v>15</v>
      </c>
      <c r="K587" s="4" t="s">
        <v>202</v>
      </c>
      <c r="L587" s="4" t="s">
        <v>226</v>
      </c>
      <c r="M587" s="8">
        <v>180</v>
      </c>
      <c r="N587" s="5">
        <v>714.35</v>
      </c>
      <c r="O587" s="5">
        <v>128583</v>
      </c>
      <c r="P587">
        <f t="shared" si="37"/>
        <v>1</v>
      </c>
      <c r="Q587" s="36">
        <f t="shared" si="38"/>
        <v>128583</v>
      </c>
      <c r="R587">
        <f t="shared" si="39"/>
        <v>2022</v>
      </c>
    </row>
    <row r="588" spans="1:18" x14ac:dyDescent="0.2">
      <c r="A588" s="13">
        <v>45331</v>
      </c>
      <c r="B588" s="13">
        <v>45293</v>
      </c>
      <c r="C588" s="25" t="s">
        <v>399</v>
      </c>
      <c r="D588" s="20">
        <v>38</v>
      </c>
      <c r="E588" s="28">
        <v>154299.6</v>
      </c>
      <c r="F588" s="22" t="s">
        <v>108</v>
      </c>
      <c r="G588" s="14">
        <v>216</v>
      </c>
      <c r="H588" s="40">
        <v>44867</v>
      </c>
      <c r="I588" s="46">
        <f t="shared" si="36"/>
        <v>464</v>
      </c>
      <c r="J588" s="1" t="s">
        <v>15</v>
      </c>
      <c r="K588" s="4" t="s">
        <v>202</v>
      </c>
      <c r="L588" s="4" t="s">
        <v>226</v>
      </c>
      <c r="M588" s="8">
        <v>216</v>
      </c>
      <c r="N588" s="5">
        <v>714.35</v>
      </c>
      <c r="O588" s="5">
        <v>154299.6</v>
      </c>
      <c r="P588">
        <f t="shared" si="37"/>
        <v>1</v>
      </c>
      <c r="Q588" s="36">
        <f t="shared" si="38"/>
        <v>154299.6</v>
      </c>
      <c r="R588">
        <f t="shared" si="39"/>
        <v>2022</v>
      </c>
    </row>
    <row r="589" spans="1:18" x14ac:dyDescent="0.2">
      <c r="A589" s="13">
        <v>45331</v>
      </c>
      <c r="B589" s="13">
        <v>45293</v>
      </c>
      <c r="C589" s="25" t="s">
        <v>399</v>
      </c>
      <c r="D589" s="20">
        <v>38</v>
      </c>
      <c r="E589" s="28">
        <v>114296</v>
      </c>
      <c r="F589" s="22" t="s">
        <v>108</v>
      </c>
      <c r="G589" s="14">
        <v>160</v>
      </c>
      <c r="H589" s="40">
        <v>44869</v>
      </c>
      <c r="I589" s="46">
        <f t="shared" si="36"/>
        <v>462</v>
      </c>
      <c r="J589" s="1" t="s">
        <v>15</v>
      </c>
      <c r="K589" s="4" t="s">
        <v>202</v>
      </c>
      <c r="L589" s="4" t="s">
        <v>226</v>
      </c>
      <c r="M589" s="8">
        <v>540</v>
      </c>
      <c r="N589" s="5">
        <v>714.35</v>
      </c>
      <c r="O589" s="5">
        <v>385749</v>
      </c>
      <c r="P589">
        <f t="shared" si="37"/>
        <v>0</v>
      </c>
      <c r="Q589" s="36">
        <f t="shared" si="38"/>
        <v>114296</v>
      </c>
      <c r="R589">
        <f t="shared" si="39"/>
        <v>2022</v>
      </c>
    </row>
    <row r="590" spans="1:18" x14ac:dyDescent="0.2">
      <c r="A590" s="13">
        <v>45332</v>
      </c>
      <c r="B590" s="13">
        <v>45293</v>
      </c>
      <c r="C590" s="25" t="s">
        <v>399</v>
      </c>
      <c r="D590" s="20">
        <v>39</v>
      </c>
      <c r="E590" s="28">
        <v>102866.4</v>
      </c>
      <c r="F590" s="22" t="s">
        <v>108</v>
      </c>
      <c r="G590" s="14">
        <v>144</v>
      </c>
      <c r="H590" s="40">
        <v>44869</v>
      </c>
      <c r="I590" s="46">
        <f t="shared" si="36"/>
        <v>463</v>
      </c>
      <c r="J590" s="1" t="s">
        <v>15</v>
      </c>
      <c r="K590" s="4" t="s">
        <v>202</v>
      </c>
      <c r="L590" s="4" t="s">
        <v>226</v>
      </c>
      <c r="M590" s="8">
        <v>540</v>
      </c>
      <c r="N590" s="5">
        <v>714.35</v>
      </c>
      <c r="O590" s="5">
        <v>385749</v>
      </c>
      <c r="P590">
        <f t="shared" si="37"/>
        <v>0</v>
      </c>
      <c r="Q590" s="36">
        <f t="shared" si="38"/>
        <v>102866.40000000001</v>
      </c>
      <c r="R590">
        <f t="shared" si="39"/>
        <v>2022</v>
      </c>
    </row>
    <row r="591" spans="1:18" x14ac:dyDescent="0.2">
      <c r="A591" s="13">
        <v>45339</v>
      </c>
      <c r="B591" s="13">
        <v>45293</v>
      </c>
      <c r="C591" s="25" t="s">
        <v>399</v>
      </c>
      <c r="D591" s="20">
        <v>46</v>
      </c>
      <c r="E591" s="28">
        <v>168586.6</v>
      </c>
      <c r="F591" s="22" t="s">
        <v>108</v>
      </c>
      <c r="G591" s="14">
        <v>236</v>
      </c>
      <c r="H591" s="40">
        <v>44869</v>
      </c>
      <c r="I591" s="46">
        <f t="shared" si="36"/>
        <v>470</v>
      </c>
      <c r="J591" s="1" t="s">
        <v>15</v>
      </c>
      <c r="K591" s="4" t="s">
        <v>202</v>
      </c>
      <c r="L591" s="4" t="s">
        <v>226</v>
      </c>
      <c r="M591" s="8">
        <v>540</v>
      </c>
      <c r="N591" s="5">
        <v>714.35</v>
      </c>
      <c r="O591" s="5">
        <v>385749</v>
      </c>
      <c r="P591">
        <f t="shared" si="37"/>
        <v>0</v>
      </c>
      <c r="Q591" s="36">
        <f t="shared" si="38"/>
        <v>168586.6</v>
      </c>
      <c r="R591">
        <f t="shared" si="39"/>
        <v>2022</v>
      </c>
    </row>
    <row r="592" spans="1:18" x14ac:dyDescent="0.2">
      <c r="A592" s="13">
        <v>45339</v>
      </c>
      <c r="B592" s="13">
        <v>45293</v>
      </c>
      <c r="C592" s="25" t="s">
        <v>399</v>
      </c>
      <c r="D592" s="20">
        <v>46</v>
      </c>
      <c r="E592" s="28">
        <v>51433.2</v>
      </c>
      <c r="F592" s="22" t="s">
        <v>108</v>
      </c>
      <c r="G592" s="14">
        <v>72</v>
      </c>
      <c r="H592" s="40">
        <v>44875</v>
      </c>
      <c r="I592" s="46">
        <f t="shared" si="36"/>
        <v>464</v>
      </c>
      <c r="J592" s="1" t="s">
        <v>15</v>
      </c>
      <c r="K592" s="4" t="s">
        <v>202</v>
      </c>
      <c r="L592" s="4" t="s">
        <v>226</v>
      </c>
      <c r="M592" s="8">
        <v>72</v>
      </c>
      <c r="N592" s="5">
        <v>714.35</v>
      </c>
      <c r="O592" s="5">
        <v>51433.2</v>
      </c>
      <c r="P592">
        <f t="shared" si="37"/>
        <v>1</v>
      </c>
      <c r="Q592" s="36">
        <f t="shared" si="38"/>
        <v>51433.200000000004</v>
      </c>
      <c r="R592">
        <f t="shared" si="39"/>
        <v>2022</v>
      </c>
    </row>
    <row r="593" spans="1:18" x14ac:dyDescent="0.2">
      <c r="A593" s="13">
        <v>45339</v>
      </c>
      <c r="B593" s="13">
        <v>45293</v>
      </c>
      <c r="C593" s="25" t="s">
        <v>399</v>
      </c>
      <c r="D593" s="20">
        <v>46</v>
      </c>
      <c r="E593" s="28">
        <v>205732.8</v>
      </c>
      <c r="F593" s="22" t="s">
        <v>108</v>
      </c>
      <c r="G593" s="14">
        <v>288</v>
      </c>
      <c r="H593" s="40">
        <v>44879</v>
      </c>
      <c r="I593" s="46">
        <f t="shared" si="36"/>
        <v>460</v>
      </c>
      <c r="J593" s="1" t="s">
        <v>15</v>
      </c>
      <c r="K593" s="4" t="s">
        <v>202</v>
      </c>
      <c r="L593" s="4" t="s">
        <v>226</v>
      </c>
      <c r="M593" s="8">
        <v>288</v>
      </c>
      <c r="N593" s="5">
        <v>714.35</v>
      </c>
      <c r="O593" s="5">
        <v>205732.8</v>
      </c>
      <c r="P593">
        <f t="shared" si="37"/>
        <v>1</v>
      </c>
      <c r="Q593" s="36">
        <f t="shared" si="38"/>
        <v>205732.80000000002</v>
      </c>
      <c r="R593">
        <f t="shared" si="39"/>
        <v>2022</v>
      </c>
    </row>
    <row r="594" spans="1:18" x14ac:dyDescent="0.2">
      <c r="A594" s="13">
        <v>45339</v>
      </c>
      <c r="B594" s="13">
        <v>45293</v>
      </c>
      <c r="C594" s="25" t="s">
        <v>399</v>
      </c>
      <c r="D594" s="20">
        <v>46</v>
      </c>
      <c r="E594" s="28">
        <v>51433.2</v>
      </c>
      <c r="F594" s="22" t="s">
        <v>108</v>
      </c>
      <c r="G594" s="14">
        <v>72</v>
      </c>
      <c r="H594" s="40">
        <v>44895</v>
      </c>
      <c r="I594" s="46">
        <f t="shared" si="36"/>
        <v>444</v>
      </c>
      <c r="J594" s="1" t="s">
        <v>15</v>
      </c>
      <c r="K594" s="4" t="s">
        <v>202</v>
      </c>
      <c r="L594" s="4" t="s">
        <v>226</v>
      </c>
      <c r="M594" s="8">
        <v>72</v>
      </c>
      <c r="N594" s="5">
        <v>714.35</v>
      </c>
      <c r="O594" s="5">
        <v>51433.2</v>
      </c>
      <c r="P594">
        <f t="shared" si="37"/>
        <v>1</v>
      </c>
      <c r="Q594" s="36">
        <f t="shared" si="38"/>
        <v>51433.200000000004</v>
      </c>
      <c r="R594">
        <f t="shared" si="39"/>
        <v>2022</v>
      </c>
    </row>
    <row r="595" spans="1:18" x14ac:dyDescent="0.2">
      <c r="A595" s="13">
        <v>45339</v>
      </c>
      <c r="B595" s="13">
        <v>45293</v>
      </c>
      <c r="C595" s="25" t="s">
        <v>399</v>
      </c>
      <c r="D595" s="20">
        <v>46</v>
      </c>
      <c r="E595" s="28">
        <v>102866.4</v>
      </c>
      <c r="F595" s="22" t="s">
        <v>108</v>
      </c>
      <c r="G595" s="14">
        <v>144</v>
      </c>
      <c r="H595" s="40">
        <v>44895</v>
      </c>
      <c r="I595" s="46">
        <f t="shared" si="36"/>
        <v>444</v>
      </c>
      <c r="J595" s="1" t="s">
        <v>15</v>
      </c>
      <c r="K595" s="4" t="s">
        <v>202</v>
      </c>
      <c r="L595" s="4" t="s">
        <v>226</v>
      </c>
      <c r="M595" s="8">
        <v>144</v>
      </c>
      <c r="N595" s="5">
        <v>714.35</v>
      </c>
      <c r="O595" s="5">
        <v>102866.4</v>
      </c>
      <c r="P595">
        <f t="shared" si="37"/>
        <v>1</v>
      </c>
      <c r="Q595" s="36">
        <f t="shared" si="38"/>
        <v>102866.40000000001</v>
      </c>
      <c r="R595">
        <f t="shared" si="39"/>
        <v>2022</v>
      </c>
    </row>
    <row r="596" spans="1:18" x14ac:dyDescent="0.2">
      <c r="A596" s="13">
        <v>45339</v>
      </c>
      <c r="B596" s="13">
        <v>45293</v>
      </c>
      <c r="C596" s="25" t="s">
        <v>399</v>
      </c>
      <c r="D596" s="20">
        <v>46</v>
      </c>
      <c r="E596" s="28">
        <v>114296</v>
      </c>
      <c r="F596" s="22" t="s">
        <v>108</v>
      </c>
      <c r="G596" s="14">
        <v>160</v>
      </c>
      <c r="H596" s="40">
        <v>44895</v>
      </c>
      <c r="I596" s="46">
        <f t="shared" si="36"/>
        <v>444</v>
      </c>
      <c r="J596" s="1" t="s">
        <v>15</v>
      </c>
      <c r="K596" s="4" t="s">
        <v>202</v>
      </c>
      <c r="L596" s="4" t="s">
        <v>226</v>
      </c>
      <c r="M596" s="8">
        <v>180</v>
      </c>
      <c r="N596" s="5">
        <v>714.35</v>
      </c>
      <c r="O596" s="5">
        <v>128583</v>
      </c>
      <c r="P596">
        <f t="shared" si="37"/>
        <v>0</v>
      </c>
      <c r="Q596" s="36">
        <f t="shared" si="38"/>
        <v>114296</v>
      </c>
      <c r="R596">
        <f t="shared" si="39"/>
        <v>2022</v>
      </c>
    </row>
    <row r="597" spans="1:18" x14ac:dyDescent="0.2">
      <c r="A597" s="13">
        <v>45353</v>
      </c>
      <c r="B597" s="13">
        <v>45293</v>
      </c>
      <c r="C597" s="25" t="s">
        <v>399</v>
      </c>
      <c r="D597" s="20">
        <v>60</v>
      </c>
      <c r="E597" s="28">
        <v>14287</v>
      </c>
      <c r="F597" s="22" t="s">
        <v>108</v>
      </c>
      <c r="G597" s="14">
        <v>20</v>
      </c>
      <c r="H597" s="40">
        <v>44895</v>
      </c>
      <c r="I597" s="46">
        <f t="shared" si="36"/>
        <v>458</v>
      </c>
      <c r="J597" s="1" t="s">
        <v>15</v>
      </c>
      <c r="K597" s="4" t="s">
        <v>202</v>
      </c>
      <c r="L597" s="4" t="s">
        <v>226</v>
      </c>
      <c r="M597" s="8">
        <v>180</v>
      </c>
      <c r="N597" s="5">
        <v>714.35</v>
      </c>
      <c r="O597" s="5">
        <v>128583</v>
      </c>
      <c r="P597">
        <f t="shared" si="37"/>
        <v>0</v>
      </c>
      <c r="Q597" s="36">
        <f t="shared" si="38"/>
        <v>14287</v>
      </c>
      <c r="R597">
        <f t="shared" si="39"/>
        <v>2022</v>
      </c>
    </row>
    <row r="598" spans="1:18" x14ac:dyDescent="0.2">
      <c r="A598" s="13">
        <v>45353</v>
      </c>
      <c r="B598" s="13">
        <v>45293</v>
      </c>
      <c r="C598" s="25" t="s">
        <v>399</v>
      </c>
      <c r="D598" s="20">
        <v>60</v>
      </c>
      <c r="E598" s="28">
        <v>51433.2</v>
      </c>
      <c r="F598" s="22" t="s">
        <v>108</v>
      </c>
      <c r="G598" s="14">
        <v>72</v>
      </c>
      <c r="H598" s="40">
        <v>44901</v>
      </c>
      <c r="I598" s="46">
        <f t="shared" si="36"/>
        <v>452</v>
      </c>
      <c r="J598" s="1" t="s">
        <v>15</v>
      </c>
      <c r="K598" s="4" t="s">
        <v>202</v>
      </c>
      <c r="L598" s="4" t="s">
        <v>226</v>
      </c>
      <c r="M598" s="8">
        <v>72</v>
      </c>
      <c r="N598" s="5">
        <v>714.35</v>
      </c>
      <c r="O598" s="5">
        <v>51433.2</v>
      </c>
      <c r="P598">
        <f t="shared" si="37"/>
        <v>1</v>
      </c>
      <c r="Q598" s="36">
        <f t="shared" si="38"/>
        <v>51433.200000000004</v>
      </c>
      <c r="R598">
        <f t="shared" si="39"/>
        <v>2022</v>
      </c>
    </row>
    <row r="599" spans="1:18" x14ac:dyDescent="0.2">
      <c r="A599" s="13">
        <v>45353</v>
      </c>
      <c r="B599" s="13">
        <v>45293</v>
      </c>
      <c r="C599" s="25" t="s">
        <v>399</v>
      </c>
      <c r="D599" s="20">
        <v>60</v>
      </c>
      <c r="E599" s="28">
        <v>128583</v>
      </c>
      <c r="F599" s="22" t="s">
        <v>108</v>
      </c>
      <c r="G599" s="14">
        <v>180</v>
      </c>
      <c r="H599" s="40">
        <v>44909</v>
      </c>
      <c r="I599" s="46">
        <f t="shared" si="36"/>
        <v>444</v>
      </c>
      <c r="J599" s="1" t="s">
        <v>15</v>
      </c>
      <c r="K599" s="4" t="s">
        <v>202</v>
      </c>
      <c r="L599" s="4" t="s">
        <v>226</v>
      </c>
      <c r="M599" s="8">
        <v>180</v>
      </c>
      <c r="N599" s="5">
        <v>714.35</v>
      </c>
      <c r="O599" s="5">
        <v>128583</v>
      </c>
      <c r="P599">
        <f t="shared" si="37"/>
        <v>1</v>
      </c>
      <c r="Q599" s="36">
        <f t="shared" si="38"/>
        <v>128583</v>
      </c>
      <c r="R599">
        <f t="shared" si="39"/>
        <v>2022</v>
      </c>
    </row>
    <row r="600" spans="1:18" x14ac:dyDescent="0.2">
      <c r="A600" s="13">
        <v>45353</v>
      </c>
      <c r="B600" s="13">
        <v>45293</v>
      </c>
      <c r="C600" s="25" t="s">
        <v>399</v>
      </c>
      <c r="D600" s="20">
        <v>60</v>
      </c>
      <c r="E600" s="28">
        <v>154299.6</v>
      </c>
      <c r="F600" s="22" t="s">
        <v>108</v>
      </c>
      <c r="G600" s="14">
        <v>216</v>
      </c>
      <c r="H600" s="40">
        <v>44909</v>
      </c>
      <c r="I600" s="46">
        <f t="shared" si="36"/>
        <v>444</v>
      </c>
      <c r="J600" s="1" t="s">
        <v>15</v>
      </c>
      <c r="K600" s="4" t="s">
        <v>202</v>
      </c>
      <c r="L600" s="4" t="s">
        <v>226</v>
      </c>
      <c r="M600" s="8">
        <v>216</v>
      </c>
      <c r="N600" s="5">
        <v>714.35</v>
      </c>
      <c r="O600" s="5">
        <v>154299.6</v>
      </c>
      <c r="P600">
        <f t="shared" si="37"/>
        <v>1</v>
      </c>
      <c r="Q600" s="36">
        <f t="shared" si="38"/>
        <v>154299.6</v>
      </c>
      <c r="R600">
        <f t="shared" si="39"/>
        <v>2022</v>
      </c>
    </row>
    <row r="601" spans="1:18" x14ac:dyDescent="0.2">
      <c r="A601" s="13">
        <v>45353</v>
      </c>
      <c r="B601" s="13">
        <v>45293</v>
      </c>
      <c r="C601" s="25" t="s">
        <v>399</v>
      </c>
      <c r="D601" s="20">
        <v>60</v>
      </c>
      <c r="E601" s="28">
        <v>128583</v>
      </c>
      <c r="F601" s="22" t="s">
        <v>108</v>
      </c>
      <c r="G601" s="14">
        <v>180</v>
      </c>
      <c r="H601" s="40">
        <v>44909</v>
      </c>
      <c r="I601" s="46">
        <f t="shared" si="36"/>
        <v>444</v>
      </c>
      <c r="J601" s="1" t="s">
        <v>15</v>
      </c>
      <c r="K601" s="4" t="s">
        <v>202</v>
      </c>
      <c r="L601" s="4" t="s">
        <v>226</v>
      </c>
      <c r="M601" s="8">
        <v>180</v>
      </c>
      <c r="N601" s="5">
        <v>714.35</v>
      </c>
      <c r="O601" s="5">
        <v>128583</v>
      </c>
      <c r="P601">
        <f t="shared" si="37"/>
        <v>1</v>
      </c>
      <c r="Q601" s="36">
        <f t="shared" si="38"/>
        <v>128583</v>
      </c>
      <c r="R601">
        <f t="shared" si="39"/>
        <v>2022</v>
      </c>
    </row>
    <row r="602" spans="1:18" x14ac:dyDescent="0.2">
      <c r="A602" s="13">
        <v>45353</v>
      </c>
      <c r="B602" s="13">
        <v>45293</v>
      </c>
      <c r="C602" s="25" t="s">
        <v>399</v>
      </c>
      <c r="D602" s="20">
        <v>60</v>
      </c>
      <c r="E602" s="28">
        <v>128583</v>
      </c>
      <c r="F602" s="22" t="s">
        <v>108</v>
      </c>
      <c r="G602" s="14">
        <v>180</v>
      </c>
      <c r="H602" s="40">
        <v>44909</v>
      </c>
      <c r="I602" s="46">
        <f t="shared" si="36"/>
        <v>444</v>
      </c>
      <c r="J602" s="1" t="s">
        <v>15</v>
      </c>
      <c r="K602" s="4" t="s">
        <v>202</v>
      </c>
      <c r="L602" s="4" t="s">
        <v>226</v>
      </c>
      <c r="M602" s="8">
        <v>180</v>
      </c>
      <c r="N602" s="5">
        <v>714.35</v>
      </c>
      <c r="O602" s="5">
        <v>128583</v>
      </c>
      <c r="P602">
        <f t="shared" si="37"/>
        <v>1</v>
      </c>
      <c r="Q602" s="36">
        <f t="shared" si="38"/>
        <v>128583</v>
      </c>
      <c r="R602">
        <f t="shared" si="39"/>
        <v>2022</v>
      </c>
    </row>
    <row r="603" spans="1:18" x14ac:dyDescent="0.2">
      <c r="A603" s="13">
        <v>45353</v>
      </c>
      <c r="B603" s="13">
        <v>45293</v>
      </c>
      <c r="C603" s="25" t="s">
        <v>399</v>
      </c>
      <c r="D603" s="20">
        <v>60</v>
      </c>
      <c r="E603" s="28">
        <v>108581.2</v>
      </c>
      <c r="F603" s="22" t="s">
        <v>108</v>
      </c>
      <c r="G603" s="14">
        <v>152</v>
      </c>
      <c r="H603" s="40">
        <v>44909</v>
      </c>
      <c r="I603" s="46">
        <f t="shared" si="36"/>
        <v>444</v>
      </c>
      <c r="J603" s="1" t="s">
        <v>15</v>
      </c>
      <c r="K603" s="4" t="s">
        <v>202</v>
      </c>
      <c r="L603" s="4" t="s">
        <v>226</v>
      </c>
      <c r="M603" s="8">
        <v>180</v>
      </c>
      <c r="N603" s="5">
        <v>714.35</v>
      </c>
      <c r="O603" s="5">
        <v>128583</v>
      </c>
      <c r="P603">
        <f t="shared" si="37"/>
        <v>0</v>
      </c>
      <c r="Q603" s="36">
        <f t="shared" si="38"/>
        <v>108581.2</v>
      </c>
      <c r="R603">
        <f t="shared" si="39"/>
        <v>2022</v>
      </c>
    </row>
    <row r="604" spans="1:18" x14ac:dyDescent="0.2">
      <c r="A604" s="13">
        <v>45358</v>
      </c>
      <c r="B604" s="13">
        <v>45293</v>
      </c>
      <c r="C604" s="25" t="s">
        <v>399</v>
      </c>
      <c r="D604" s="20">
        <v>65</v>
      </c>
      <c r="E604" s="28">
        <v>20001.8</v>
      </c>
      <c r="F604" s="22" t="s">
        <v>108</v>
      </c>
      <c r="G604" s="14">
        <v>28</v>
      </c>
      <c r="H604" s="40">
        <v>44909</v>
      </c>
      <c r="I604" s="46">
        <f t="shared" si="36"/>
        <v>449</v>
      </c>
      <c r="J604" s="1" t="s">
        <v>15</v>
      </c>
      <c r="K604" s="4" t="s">
        <v>202</v>
      </c>
      <c r="L604" s="4" t="s">
        <v>226</v>
      </c>
      <c r="M604" s="8">
        <v>180</v>
      </c>
      <c r="N604" s="5">
        <v>714.35</v>
      </c>
      <c r="O604" s="5">
        <v>128583</v>
      </c>
      <c r="P604">
        <f t="shared" si="37"/>
        <v>0</v>
      </c>
      <c r="Q604" s="36">
        <f t="shared" si="38"/>
        <v>20001.8</v>
      </c>
      <c r="R604">
        <f t="shared" si="39"/>
        <v>2022</v>
      </c>
    </row>
    <row r="605" spans="1:18" x14ac:dyDescent="0.2">
      <c r="A605" s="13">
        <v>45358</v>
      </c>
      <c r="B605" s="13">
        <v>45293</v>
      </c>
      <c r="C605" s="25" t="s">
        <v>399</v>
      </c>
      <c r="D605" s="20">
        <v>65</v>
      </c>
      <c r="E605" s="28">
        <v>154299.6</v>
      </c>
      <c r="F605" s="22" t="s">
        <v>108</v>
      </c>
      <c r="G605" s="14">
        <v>216</v>
      </c>
      <c r="H605" s="40">
        <v>44909</v>
      </c>
      <c r="I605" s="46">
        <f t="shared" si="36"/>
        <v>449</v>
      </c>
      <c r="J605" s="1" t="s">
        <v>15</v>
      </c>
      <c r="K605" s="4" t="s">
        <v>202</v>
      </c>
      <c r="L605" s="4" t="s">
        <v>226</v>
      </c>
      <c r="M605" s="8">
        <v>216</v>
      </c>
      <c r="N605" s="5">
        <v>714.35</v>
      </c>
      <c r="O605" s="5">
        <v>154299.6</v>
      </c>
      <c r="P605">
        <f t="shared" si="37"/>
        <v>1</v>
      </c>
      <c r="Q605" s="36">
        <f t="shared" si="38"/>
        <v>154299.6</v>
      </c>
      <c r="R605">
        <f t="shared" si="39"/>
        <v>2022</v>
      </c>
    </row>
    <row r="606" spans="1:18" x14ac:dyDescent="0.2">
      <c r="A606" s="13">
        <v>45358</v>
      </c>
      <c r="B606" s="13">
        <v>45293</v>
      </c>
      <c r="C606" s="25" t="s">
        <v>399</v>
      </c>
      <c r="D606" s="20">
        <v>65</v>
      </c>
      <c r="E606" s="28">
        <v>57148</v>
      </c>
      <c r="F606" s="22" t="s">
        <v>108</v>
      </c>
      <c r="G606" s="14">
        <v>80</v>
      </c>
      <c r="H606" s="40">
        <v>44915</v>
      </c>
      <c r="I606" s="46">
        <f t="shared" si="36"/>
        <v>443</v>
      </c>
      <c r="J606" s="1" t="s">
        <v>15</v>
      </c>
      <c r="K606" s="4" t="s">
        <v>202</v>
      </c>
      <c r="L606" s="4" t="s">
        <v>226</v>
      </c>
      <c r="M606" s="8">
        <v>180</v>
      </c>
      <c r="N606" s="5">
        <v>714.35</v>
      </c>
      <c r="O606" s="5">
        <v>128583</v>
      </c>
      <c r="P606">
        <f t="shared" si="37"/>
        <v>0</v>
      </c>
      <c r="Q606" s="36">
        <f t="shared" si="38"/>
        <v>57148</v>
      </c>
      <c r="R606">
        <f t="shared" si="39"/>
        <v>2022</v>
      </c>
    </row>
    <row r="607" spans="1:18" x14ac:dyDescent="0.2">
      <c r="A607" s="13">
        <v>45367</v>
      </c>
      <c r="B607" s="13">
        <v>45293</v>
      </c>
      <c r="C607" s="25" t="s">
        <v>399</v>
      </c>
      <c r="D607" s="20">
        <v>74</v>
      </c>
      <c r="E607" s="28">
        <v>71435</v>
      </c>
      <c r="F607" s="22" t="s">
        <v>108</v>
      </c>
      <c r="G607" s="14">
        <v>100</v>
      </c>
      <c r="H607" s="40">
        <v>44915</v>
      </c>
      <c r="I607" s="46">
        <f t="shared" si="36"/>
        <v>452</v>
      </c>
      <c r="J607" s="1" t="s">
        <v>15</v>
      </c>
      <c r="K607" s="4" t="s">
        <v>202</v>
      </c>
      <c r="L607" s="4" t="s">
        <v>226</v>
      </c>
      <c r="M607" s="8">
        <v>180</v>
      </c>
      <c r="N607" s="5">
        <v>714.35</v>
      </c>
      <c r="O607" s="5">
        <v>128583</v>
      </c>
      <c r="P607">
        <f t="shared" si="37"/>
        <v>0</v>
      </c>
      <c r="Q607" s="36">
        <f t="shared" si="38"/>
        <v>71435</v>
      </c>
      <c r="R607">
        <f t="shared" si="39"/>
        <v>2022</v>
      </c>
    </row>
    <row r="608" spans="1:18" x14ac:dyDescent="0.2">
      <c r="A608" s="13">
        <v>45367</v>
      </c>
      <c r="B608" s="13">
        <v>45293</v>
      </c>
      <c r="C608" s="25" t="s">
        <v>399</v>
      </c>
      <c r="D608" s="20">
        <v>74</v>
      </c>
      <c r="E608" s="28">
        <v>31431.4</v>
      </c>
      <c r="F608" s="22" t="s">
        <v>108</v>
      </c>
      <c r="G608" s="14">
        <v>44</v>
      </c>
      <c r="H608" s="40">
        <v>44936</v>
      </c>
      <c r="I608" s="46">
        <f t="shared" si="36"/>
        <v>431</v>
      </c>
      <c r="J608" s="1" t="s">
        <v>15</v>
      </c>
      <c r="K608" s="4" t="s">
        <v>202</v>
      </c>
      <c r="L608" s="4" t="s">
        <v>226</v>
      </c>
      <c r="M608" s="8">
        <v>252</v>
      </c>
      <c r="N608" s="5">
        <v>714.35</v>
      </c>
      <c r="O608" s="5">
        <v>180016.2</v>
      </c>
      <c r="P608">
        <f t="shared" si="37"/>
        <v>0</v>
      </c>
      <c r="Q608" s="36">
        <f t="shared" si="38"/>
        <v>31431.4</v>
      </c>
      <c r="R608">
        <f t="shared" si="39"/>
        <v>2023</v>
      </c>
    </row>
    <row r="609" spans="1:18" x14ac:dyDescent="0.2">
      <c r="A609" s="13">
        <v>45370</v>
      </c>
      <c r="B609" s="13">
        <v>45293</v>
      </c>
      <c r="C609" s="25" t="s">
        <v>399</v>
      </c>
      <c r="D609" s="20">
        <v>77</v>
      </c>
      <c r="E609" s="28">
        <v>148584.79999999999</v>
      </c>
      <c r="F609" s="22" t="s">
        <v>108</v>
      </c>
      <c r="G609" s="14">
        <v>208</v>
      </c>
      <c r="H609" s="40">
        <v>44936</v>
      </c>
      <c r="I609" s="46">
        <f t="shared" si="36"/>
        <v>434</v>
      </c>
      <c r="J609" s="1" t="s">
        <v>15</v>
      </c>
      <c r="K609" s="4" t="s">
        <v>202</v>
      </c>
      <c r="L609" s="4" t="s">
        <v>226</v>
      </c>
      <c r="M609" s="8">
        <v>252</v>
      </c>
      <c r="N609" s="5">
        <v>714.35</v>
      </c>
      <c r="O609" s="5">
        <v>180016.2</v>
      </c>
      <c r="P609">
        <f t="shared" si="37"/>
        <v>0</v>
      </c>
      <c r="Q609" s="36">
        <f t="shared" si="38"/>
        <v>148584.80000000002</v>
      </c>
      <c r="R609">
        <f t="shared" si="39"/>
        <v>2023</v>
      </c>
    </row>
    <row r="610" spans="1:18" x14ac:dyDescent="0.2">
      <c r="A610" s="13">
        <v>45370</v>
      </c>
      <c r="B610" s="13">
        <v>45293</v>
      </c>
      <c r="C610" s="25" t="s">
        <v>399</v>
      </c>
      <c r="D610" s="20">
        <v>77</v>
      </c>
      <c r="E610" s="28">
        <v>160014.39999999999</v>
      </c>
      <c r="F610" s="22" t="s">
        <v>108</v>
      </c>
      <c r="G610" s="14">
        <v>224</v>
      </c>
      <c r="H610" s="40">
        <v>44936</v>
      </c>
      <c r="I610" s="46">
        <f t="shared" si="36"/>
        <v>434</v>
      </c>
      <c r="J610" s="1" t="s">
        <v>15</v>
      </c>
      <c r="K610" s="4" t="s">
        <v>202</v>
      </c>
      <c r="L610" s="4" t="s">
        <v>226</v>
      </c>
      <c r="M610" s="8">
        <v>252</v>
      </c>
      <c r="N610" s="5">
        <v>714.35</v>
      </c>
      <c r="O610" s="5">
        <v>180016.2</v>
      </c>
      <c r="P610">
        <f t="shared" si="37"/>
        <v>0</v>
      </c>
      <c r="Q610" s="36">
        <f t="shared" si="38"/>
        <v>160014.39999999999</v>
      </c>
      <c r="R610">
        <f t="shared" si="39"/>
        <v>2023</v>
      </c>
    </row>
    <row r="611" spans="1:18" x14ac:dyDescent="0.2">
      <c r="A611" s="13">
        <v>45387</v>
      </c>
      <c r="B611" s="13">
        <v>45293</v>
      </c>
      <c r="C611" s="25" t="s">
        <v>399</v>
      </c>
      <c r="D611" s="20">
        <v>94</v>
      </c>
      <c r="E611" s="28">
        <v>20001.8</v>
      </c>
      <c r="F611" s="22" t="s">
        <v>108</v>
      </c>
      <c r="G611" s="14">
        <v>28</v>
      </c>
      <c r="H611" s="40">
        <v>44936</v>
      </c>
      <c r="I611" s="46">
        <f t="shared" si="36"/>
        <v>451</v>
      </c>
      <c r="J611" s="1" t="s">
        <v>15</v>
      </c>
      <c r="K611" s="4" t="s">
        <v>202</v>
      </c>
      <c r="L611" s="4" t="s">
        <v>226</v>
      </c>
      <c r="M611" s="8">
        <v>252</v>
      </c>
      <c r="N611" s="5">
        <v>714.35</v>
      </c>
      <c r="O611" s="5">
        <v>180016.2</v>
      </c>
      <c r="P611">
        <f t="shared" si="37"/>
        <v>0</v>
      </c>
      <c r="Q611" s="36">
        <f t="shared" si="38"/>
        <v>20001.8</v>
      </c>
      <c r="R611">
        <f t="shared" si="39"/>
        <v>2023</v>
      </c>
    </row>
    <row r="612" spans="1:18" x14ac:dyDescent="0.2">
      <c r="A612" s="13">
        <v>45387</v>
      </c>
      <c r="B612" s="13">
        <v>45293</v>
      </c>
      <c r="C612" s="25" t="s">
        <v>399</v>
      </c>
      <c r="D612" s="20">
        <v>94</v>
      </c>
      <c r="E612" s="28">
        <v>77149.8</v>
      </c>
      <c r="F612" s="22" t="s">
        <v>108</v>
      </c>
      <c r="G612" s="14">
        <v>108</v>
      </c>
      <c r="H612" s="40">
        <v>44936</v>
      </c>
      <c r="I612" s="46">
        <f t="shared" si="36"/>
        <v>451</v>
      </c>
      <c r="J612" s="1" t="s">
        <v>15</v>
      </c>
      <c r="K612" s="4" t="s">
        <v>202</v>
      </c>
      <c r="L612" s="4" t="s">
        <v>226</v>
      </c>
      <c r="M612" s="8">
        <v>108</v>
      </c>
      <c r="N612" s="5">
        <v>714.35</v>
      </c>
      <c r="O612" s="5">
        <v>77149.8</v>
      </c>
      <c r="P612">
        <f t="shared" si="37"/>
        <v>1</v>
      </c>
      <c r="Q612" s="36">
        <f t="shared" si="38"/>
        <v>77149.8</v>
      </c>
      <c r="R612">
        <f t="shared" si="39"/>
        <v>2023</v>
      </c>
    </row>
    <row r="613" spans="1:18" x14ac:dyDescent="0.2">
      <c r="A613" s="13">
        <v>45387</v>
      </c>
      <c r="B613" s="13">
        <v>45293</v>
      </c>
      <c r="C613" s="25" t="s">
        <v>399</v>
      </c>
      <c r="D613" s="20">
        <v>94</v>
      </c>
      <c r="E613" s="28">
        <v>180016.2</v>
      </c>
      <c r="F613" s="22" t="s">
        <v>108</v>
      </c>
      <c r="G613" s="14">
        <v>252</v>
      </c>
      <c r="H613" s="40">
        <v>44944</v>
      </c>
      <c r="I613" s="46">
        <f t="shared" si="36"/>
        <v>443</v>
      </c>
      <c r="J613" s="1" t="s">
        <v>15</v>
      </c>
      <c r="K613" s="4" t="s">
        <v>202</v>
      </c>
      <c r="L613" s="4" t="s">
        <v>226</v>
      </c>
      <c r="M613" s="8">
        <v>252</v>
      </c>
      <c r="N613" s="5">
        <v>714.35</v>
      </c>
      <c r="O613" s="5">
        <v>180016.2</v>
      </c>
      <c r="P613">
        <f t="shared" si="37"/>
        <v>1</v>
      </c>
      <c r="Q613" s="36">
        <f t="shared" si="38"/>
        <v>180016.2</v>
      </c>
      <c r="R613">
        <f t="shared" si="39"/>
        <v>2023</v>
      </c>
    </row>
    <row r="614" spans="1:18" x14ac:dyDescent="0.2">
      <c r="A614" s="13">
        <v>45387</v>
      </c>
      <c r="B614" s="13">
        <v>45293</v>
      </c>
      <c r="C614" s="25" t="s">
        <v>399</v>
      </c>
      <c r="D614" s="20">
        <v>94</v>
      </c>
      <c r="E614" s="28">
        <v>205732.8</v>
      </c>
      <c r="F614" s="22" t="s">
        <v>108</v>
      </c>
      <c r="G614" s="14">
        <v>288</v>
      </c>
      <c r="H614" s="40">
        <v>44944</v>
      </c>
      <c r="I614" s="46">
        <f t="shared" si="36"/>
        <v>443</v>
      </c>
      <c r="J614" s="1" t="s">
        <v>15</v>
      </c>
      <c r="K614" s="4" t="s">
        <v>202</v>
      </c>
      <c r="L614" s="4" t="s">
        <v>226</v>
      </c>
      <c r="M614" s="8">
        <v>288</v>
      </c>
      <c r="N614" s="5">
        <v>714.35</v>
      </c>
      <c r="O614" s="5">
        <v>205732.8</v>
      </c>
      <c r="P614">
        <f t="shared" si="37"/>
        <v>1</v>
      </c>
      <c r="Q614" s="36">
        <f t="shared" si="38"/>
        <v>205732.80000000002</v>
      </c>
      <c r="R614">
        <f t="shared" si="39"/>
        <v>2023</v>
      </c>
    </row>
    <row r="615" spans="1:18" x14ac:dyDescent="0.2">
      <c r="A615" s="13">
        <v>45387</v>
      </c>
      <c r="B615" s="13">
        <v>45293</v>
      </c>
      <c r="C615" s="25" t="s">
        <v>399</v>
      </c>
      <c r="D615" s="20">
        <v>94</v>
      </c>
      <c r="E615" s="28">
        <v>5714.8</v>
      </c>
      <c r="F615" s="22" t="s">
        <v>108</v>
      </c>
      <c r="G615" s="14">
        <v>8</v>
      </c>
      <c r="H615" s="40">
        <v>44944</v>
      </c>
      <c r="I615" s="46">
        <f t="shared" si="36"/>
        <v>443</v>
      </c>
      <c r="J615" s="1" t="s">
        <v>15</v>
      </c>
      <c r="K615" s="4" t="s">
        <v>202</v>
      </c>
      <c r="L615" s="4" t="s">
        <v>226</v>
      </c>
      <c r="M615" s="8">
        <v>180</v>
      </c>
      <c r="N615" s="5">
        <v>714.35</v>
      </c>
      <c r="O615" s="5">
        <v>128583</v>
      </c>
      <c r="P615">
        <f t="shared" si="37"/>
        <v>0</v>
      </c>
      <c r="Q615" s="36">
        <f t="shared" si="38"/>
        <v>5714.8</v>
      </c>
      <c r="R615">
        <f t="shared" si="39"/>
        <v>2023</v>
      </c>
    </row>
    <row r="616" spans="1:18" x14ac:dyDescent="0.2">
      <c r="A616" s="13">
        <v>45394</v>
      </c>
      <c r="B616" s="13">
        <v>45293</v>
      </c>
      <c r="C616" s="25" t="s">
        <v>399</v>
      </c>
      <c r="D616" s="20">
        <v>101</v>
      </c>
      <c r="E616" s="28">
        <v>122868.2</v>
      </c>
      <c r="F616" s="22" t="s">
        <v>108</v>
      </c>
      <c r="G616" s="14">
        <v>172</v>
      </c>
      <c r="H616" s="40">
        <v>44944</v>
      </c>
      <c r="I616" s="46">
        <f t="shared" si="36"/>
        <v>450</v>
      </c>
      <c r="J616" s="1" t="s">
        <v>15</v>
      </c>
      <c r="K616" s="4" t="s">
        <v>202</v>
      </c>
      <c r="L616" s="4" t="s">
        <v>226</v>
      </c>
      <c r="M616" s="8">
        <v>180</v>
      </c>
      <c r="N616" s="5">
        <v>714.35</v>
      </c>
      <c r="O616" s="5">
        <v>128583</v>
      </c>
      <c r="P616">
        <f t="shared" si="37"/>
        <v>0</v>
      </c>
      <c r="Q616" s="36">
        <f t="shared" si="38"/>
        <v>122868.2</v>
      </c>
      <c r="R616">
        <f t="shared" si="39"/>
        <v>2023</v>
      </c>
    </row>
    <row r="617" spans="1:18" x14ac:dyDescent="0.2">
      <c r="A617" s="13">
        <v>45394</v>
      </c>
      <c r="B617" s="13">
        <v>45293</v>
      </c>
      <c r="C617" s="25" t="s">
        <v>399</v>
      </c>
      <c r="D617" s="20">
        <v>101</v>
      </c>
      <c r="E617" s="28">
        <v>180016.2</v>
      </c>
      <c r="F617" s="22" t="s">
        <v>108</v>
      </c>
      <c r="G617" s="14">
        <v>252</v>
      </c>
      <c r="H617" s="40">
        <v>44957</v>
      </c>
      <c r="I617" s="46">
        <f t="shared" si="36"/>
        <v>437</v>
      </c>
      <c r="J617" s="1" t="s">
        <v>15</v>
      </c>
      <c r="K617" s="4" t="s">
        <v>202</v>
      </c>
      <c r="L617" s="4" t="s">
        <v>226</v>
      </c>
      <c r="M617" s="8">
        <v>252</v>
      </c>
      <c r="N617" s="5">
        <v>714.35</v>
      </c>
      <c r="O617" s="5">
        <v>180016.2</v>
      </c>
      <c r="P617">
        <f t="shared" si="37"/>
        <v>1</v>
      </c>
      <c r="Q617" s="36">
        <f t="shared" si="38"/>
        <v>180016.2</v>
      </c>
      <c r="R617">
        <f t="shared" si="39"/>
        <v>2023</v>
      </c>
    </row>
    <row r="618" spans="1:18" x14ac:dyDescent="0.2">
      <c r="A618" s="13">
        <v>45394</v>
      </c>
      <c r="B618" s="13">
        <v>45293</v>
      </c>
      <c r="C618" s="25" t="s">
        <v>399</v>
      </c>
      <c r="D618" s="20">
        <v>101</v>
      </c>
      <c r="E618" s="28">
        <v>102866.4</v>
      </c>
      <c r="F618" s="22" t="s">
        <v>108</v>
      </c>
      <c r="G618" s="14">
        <v>144</v>
      </c>
      <c r="H618" s="40">
        <v>44957</v>
      </c>
      <c r="I618" s="46">
        <f t="shared" si="36"/>
        <v>437</v>
      </c>
      <c r="J618" s="1" t="s">
        <v>15</v>
      </c>
      <c r="K618" s="4" t="s">
        <v>202</v>
      </c>
      <c r="L618" s="4" t="s">
        <v>226</v>
      </c>
      <c r="M618" s="8">
        <v>144</v>
      </c>
      <c r="N618" s="5">
        <v>714.35</v>
      </c>
      <c r="O618" s="5">
        <v>102866.4</v>
      </c>
      <c r="P618">
        <f t="shared" si="37"/>
        <v>1</v>
      </c>
      <c r="Q618" s="36">
        <f t="shared" si="38"/>
        <v>102866.40000000001</v>
      </c>
      <c r="R618">
        <f t="shared" si="39"/>
        <v>2023</v>
      </c>
    </row>
    <row r="619" spans="1:18" x14ac:dyDescent="0.2">
      <c r="A619" s="13">
        <v>45394</v>
      </c>
      <c r="B619" s="13">
        <v>45293</v>
      </c>
      <c r="C619" s="25" t="s">
        <v>399</v>
      </c>
      <c r="D619" s="20">
        <v>101</v>
      </c>
      <c r="E619" s="28">
        <v>154299.6</v>
      </c>
      <c r="F619" s="22" t="s">
        <v>108</v>
      </c>
      <c r="G619" s="14">
        <v>216</v>
      </c>
      <c r="H619" s="40">
        <v>44957</v>
      </c>
      <c r="I619" s="46">
        <f t="shared" si="36"/>
        <v>437</v>
      </c>
      <c r="J619" s="1" t="s">
        <v>15</v>
      </c>
      <c r="K619" s="4" t="s">
        <v>202</v>
      </c>
      <c r="L619" s="4" t="s">
        <v>226</v>
      </c>
      <c r="M619" s="8">
        <v>216</v>
      </c>
      <c r="N619" s="5">
        <v>714.35</v>
      </c>
      <c r="O619" s="5">
        <v>154299.6</v>
      </c>
      <c r="P619">
        <f t="shared" si="37"/>
        <v>1</v>
      </c>
      <c r="Q619" s="36">
        <f t="shared" si="38"/>
        <v>154299.6</v>
      </c>
      <c r="R619">
        <f t="shared" si="39"/>
        <v>2023</v>
      </c>
    </row>
    <row r="620" spans="1:18" x14ac:dyDescent="0.2">
      <c r="A620" s="13">
        <v>45603</v>
      </c>
      <c r="B620" s="13">
        <v>45139</v>
      </c>
      <c r="C620" s="25" t="s">
        <v>399</v>
      </c>
      <c r="D620" s="20">
        <v>464</v>
      </c>
      <c r="E620" s="28">
        <v>69350.399999999994</v>
      </c>
      <c r="F620" s="22" t="s">
        <v>109</v>
      </c>
      <c r="G620" s="14">
        <v>84</v>
      </c>
      <c r="H620" s="40">
        <v>44799</v>
      </c>
      <c r="I620" s="46">
        <f t="shared" si="36"/>
        <v>804</v>
      </c>
      <c r="J620" s="1" t="s">
        <v>15</v>
      </c>
      <c r="K620" s="4" t="s">
        <v>204</v>
      </c>
      <c r="L620" s="4" t="s">
        <v>228</v>
      </c>
      <c r="M620" s="8">
        <v>84</v>
      </c>
      <c r="N620" s="5">
        <v>825.6</v>
      </c>
      <c r="O620" s="5">
        <v>69350.399999999994</v>
      </c>
      <c r="P620">
        <f t="shared" si="37"/>
        <v>1</v>
      </c>
      <c r="Q620" s="36">
        <f t="shared" si="38"/>
        <v>69350.400000000009</v>
      </c>
      <c r="R620">
        <f t="shared" si="39"/>
        <v>2022</v>
      </c>
    </row>
    <row r="621" spans="1:18" x14ac:dyDescent="0.2">
      <c r="A621" s="13">
        <v>45289</v>
      </c>
      <c r="B621" s="13">
        <v>44917</v>
      </c>
      <c r="C621" s="25" t="s">
        <v>399</v>
      </c>
      <c r="D621" s="20">
        <v>372</v>
      </c>
      <c r="E621" s="28">
        <v>72059.679999999993</v>
      </c>
      <c r="F621" s="22" t="s">
        <v>110</v>
      </c>
      <c r="G621" s="14">
        <v>1232</v>
      </c>
      <c r="H621" s="40">
        <v>44914</v>
      </c>
      <c r="I621" s="46">
        <f t="shared" si="36"/>
        <v>375</v>
      </c>
      <c r="J621" s="1" t="s">
        <v>15</v>
      </c>
      <c r="K621" s="4" t="s">
        <v>202</v>
      </c>
      <c r="L621" s="4" t="s">
        <v>226</v>
      </c>
      <c r="M621" s="8">
        <v>3696</v>
      </c>
      <c r="N621" s="5">
        <v>58.49</v>
      </c>
      <c r="O621" s="5">
        <v>216179.04</v>
      </c>
      <c r="P621">
        <f t="shared" si="37"/>
        <v>0</v>
      </c>
      <c r="Q621" s="36">
        <f t="shared" si="38"/>
        <v>72059.680000000008</v>
      </c>
      <c r="R621">
        <f t="shared" si="39"/>
        <v>2022</v>
      </c>
    </row>
    <row r="622" spans="1:18" x14ac:dyDescent="0.2">
      <c r="A622" s="13">
        <v>45302</v>
      </c>
      <c r="B622" s="13">
        <v>44917</v>
      </c>
      <c r="C622" s="25" t="s">
        <v>399</v>
      </c>
      <c r="D622" s="20">
        <v>385</v>
      </c>
      <c r="E622" s="28">
        <v>144119.35999999999</v>
      </c>
      <c r="F622" s="22" t="s">
        <v>110</v>
      </c>
      <c r="G622" s="14">
        <v>2464</v>
      </c>
      <c r="H622" s="40">
        <v>44914</v>
      </c>
      <c r="I622" s="46">
        <f t="shared" si="36"/>
        <v>388</v>
      </c>
      <c r="J622" s="1" t="s">
        <v>15</v>
      </c>
      <c r="K622" s="4" t="s">
        <v>202</v>
      </c>
      <c r="L622" s="4" t="s">
        <v>226</v>
      </c>
      <c r="M622" s="8">
        <v>3696</v>
      </c>
      <c r="N622" s="5">
        <v>58.49</v>
      </c>
      <c r="O622" s="5">
        <v>216179.04</v>
      </c>
      <c r="P622">
        <f t="shared" si="37"/>
        <v>0</v>
      </c>
      <c r="Q622" s="36">
        <f t="shared" si="38"/>
        <v>144119.36000000002</v>
      </c>
      <c r="R622">
        <f t="shared" si="39"/>
        <v>2022</v>
      </c>
    </row>
    <row r="623" spans="1:18" x14ac:dyDescent="0.2">
      <c r="A623" s="13">
        <v>45302</v>
      </c>
      <c r="B623" s="13">
        <v>45191</v>
      </c>
      <c r="C623" s="25" t="s">
        <v>399</v>
      </c>
      <c r="D623" s="20">
        <v>111</v>
      </c>
      <c r="E623" s="28">
        <v>72059.679999999993</v>
      </c>
      <c r="F623" s="22" t="s">
        <v>110</v>
      </c>
      <c r="G623" s="14">
        <v>1232</v>
      </c>
      <c r="H623" s="40">
        <v>44914</v>
      </c>
      <c r="I623" s="46">
        <f t="shared" si="36"/>
        <v>388</v>
      </c>
      <c r="J623" s="1" t="s">
        <v>15</v>
      </c>
      <c r="K623" s="4" t="s">
        <v>202</v>
      </c>
      <c r="L623" s="4" t="s">
        <v>226</v>
      </c>
      <c r="M623" s="8">
        <v>1232</v>
      </c>
      <c r="N623" s="5">
        <v>58.49</v>
      </c>
      <c r="O623" s="5">
        <v>72059.679999999993</v>
      </c>
      <c r="P623">
        <f t="shared" si="37"/>
        <v>1</v>
      </c>
      <c r="Q623" s="36">
        <f t="shared" si="38"/>
        <v>72059.680000000008</v>
      </c>
      <c r="R623">
        <f t="shared" si="39"/>
        <v>2022</v>
      </c>
    </row>
    <row r="624" spans="1:18" x14ac:dyDescent="0.2">
      <c r="A624" s="13">
        <v>45373</v>
      </c>
      <c r="B624" s="13">
        <v>45367</v>
      </c>
      <c r="C624" s="25" t="s">
        <v>399</v>
      </c>
      <c r="D624" s="20">
        <v>6</v>
      </c>
      <c r="E624" s="28">
        <v>216179.04</v>
      </c>
      <c r="F624" s="22" t="s">
        <v>110</v>
      </c>
      <c r="G624" s="14">
        <v>3696</v>
      </c>
      <c r="H624" s="40">
        <v>44949</v>
      </c>
      <c r="I624" s="46">
        <f t="shared" si="36"/>
        <v>424</v>
      </c>
      <c r="J624" s="1" t="s">
        <v>15</v>
      </c>
      <c r="K624" s="4" t="s">
        <v>202</v>
      </c>
      <c r="L624" s="4" t="s">
        <v>226</v>
      </c>
      <c r="M624" s="8">
        <v>3696</v>
      </c>
      <c r="N624" s="5">
        <v>58.49</v>
      </c>
      <c r="O624" s="5">
        <v>216179.04</v>
      </c>
      <c r="P624">
        <f t="shared" si="37"/>
        <v>1</v>
      </c>
      <c r="Q624" s="36">
        <f t="shared" si="38"/>
        <v>216179.04</v>
      </c>
      <c r="R624">
        <f t="shared" si="39"/>
        <v>2023</v>
      </c>
    </row>
    <row r="625" spans="1:18" x14ac:dyDescent="0.2">
      <c r="A625" s="13">
        <v>45237</v>
      </c>
      <c r="B625" s="13">
        <v>45205</v>
      </c>
      <c r="C625" s="25" t="s">
        <v>399</v>
      </c>
      <c r="D625" s="20">
        <v>32</v>
      </c>
      <c r="E625" s="28">
        <v>8019.2</v>
      </c>
      <c r="F625" s="22" t="s">
        <v>111</v>
      </c>
      <c r="G625" s="14">
        <v>1120</v>
      </c>
      <c r="H625" s="40">
        <v>44865</v>
      </c>
      <c r="I625" s="46">
        <f t="shared" si="36"/>
        <v>372</v>
      </c>
      <c r="J625" s="1" t="s">
        <v>15</v>
      </c>
      <c r="K625" s="4" t="s">
        <v>202</v>
      </c>
      <c r="L625" s="4" t="s">
        <v>226</v>
      </c>
      <c r="M625" s="8">
        <v>1120</v>
      </c>
      <c r="N625" s="5">
        <v>7.16</v>
      </c>
      <c r="O625" s="5">
        <v>8019.2</v>
      </c>
      <c r="P625">
        <f t="shared" si="37"/>
        <v>1</v>
      </c>
      <c r="Q625" s="36">
        <f t="shared" si="38"/>
        <v>8019.2</v>
      </c>
      <c r="R625">
        <f t="shared" si="39"/>
        <v>2022</v>
      </c>
    </row>
    <row r="626" spans="1:18" x14ac:dyDescent="0.2">
      <c r="A626" s="13">
        <v>45296</v>
      </c>
      <c r="B626" s="13">
        <v>45296</v>
      </c>
      <c r="C626" s="25" t="s">
        <v>398</v>
      </c>
      <c r="D626" s="20">
        <v>0</v>
      </c>
      <c r="E626" s="28">
        <v>16038.4</v>
      </c>
      <c r="F626" s="22" t="s">
        <v>111</v>
      </c>
      <c r="G626" s="14">
        <v>2240</v>
      </c>
      <c r="H626" s="40">
        <v>44915</v>
      </c>
      <c r="I626" s="46">
        <f t="shared" si="36"/>
        <v>381</v>
      </c>
      <c r="J626" s="1" t="s">
        <v>15</v>
      </c>
      <c r="K626" s="4" t="s">
        <v>202</v>
      </c>
      <c r="L626" s="4" t="s">
        <v>226</v>
      </c>
      <c r="M626" s="8">
        <v>2240</v>
      </c>
      <c r="N626" s="5">
        <v>7.16</v>
      </c>
      <c r="O626" s="5">
        <v>16038.4</v>
      </c>
      <c r="P626">
        <f t="shared" si="37"/>
        <v>1</v>
      </c>
      <c r="Q626" s="36">
        <f t="shared" si="38"/>
        <v>16038.4</v>
      </c>
      <c r="R626">
        <f t="shared" si="39"/>
        <v>2022</v>
      </c>
    </row>
    <row r="627" spans="1:18" x14ac:dyDescent="0.2">
      <c r="A627" s="13">
        <v>45387</v>
      </c>
      <c r="B627" s="13">
        <v>45387</v>
      </c>
      <c r="C627" s="25" t="s">
        <v>398</v>
      </c>
      <c r="D627" s="20">
        <v>0</v>
      </c>
      <c r="E627" s="28">
        <v>8019.2</v>
      </c>
      <c r="F627" s="22" t="s">
        <v>111</v>
      </c>
      <c r="G627" s="14">
        <v>1120</v>
      </c>
      <c r="H627" s="40">
        <v>44943</v>
      </c>
      <c r="I627" s="46">
        <f t="shared" si="36"/>
        <v>444</v>
      </c>
      <c r="J627" s="1" t="s">
        <v>15</v>
      </c>
      <c r="K627" s="4" t="s">
        <v>202</v>
      </c>
      <c r="L627" s="4" t="s">
        <v>226</v>
      </c>
      <c r="M627" s="8">
        <v>1120</v>
      </c>
      <c r="N627" s="5">
        <v>7.16</v>
      </c>
      <c r="O627" s="5">
        <v>8019.2</v>
      </c>
      <c r="P627">
        <f t="shared" si="37"/>
        <v>1</v>
      </c>
      <c r="Q627" s="36">
        <f t="shared" si="38"/>
        <v>8019.2</v>
      </c>
      <c r="R627">
        <f t="shared" si="39"/>
        <v>2023</v>
      </c>
    </row>
    <row r="628" spans="1:18" x14ac:dyDescent="0.2">
      <c r="A628" s="13">
        <v>45297</v>
      </c>
      <c r="B628" s="13">
        <v>45275</v>
      </c>
      <c r="C628" s="25" t="s">
        <v>399</v>
      </c>
      <c r="D628" s="20">
        <v>22</v>
      </c>
      <c r="E628" s="28">
        <v>6226.92</v>
      </c>
      <c r="F628" s="22" t="s">
        <v>112</v>
      </c>
      <c r="G628" s="14">
        <v>252</v>
      </c>
      <c r="H628" s="40">
        <v>44916</v>
      </c>
      <c r="I628" s="46">
        <f t="shared" si="36"/>
        <v>381</v>
      </c>
      <c r="J628" s="1" t="s">
        <v>15</v>
      </c>
      <c r="K628" s="4" t="s">
        <v>202</v>
      </c>
      <c r="L628" s="4" t="s">
        <v>226</v>
      </c>
      <c r="M628" s="8">
        <v>252</v>
      </c>
      <c r="N628" s="5">
        <v>24.71</v>
      </c>
      <c r="O628" s="5">
        <v>6226.92</v>
      </c>
      <c r="P628">
        <f t="shared" si="37"/>
        <v>1</v>
      </c>
      <c r="Q628" s="36">
        <f t="shared" si="38"/>
        <v>6226.92</v>
      </c>
      <c r="R628">
        <f t="shared" si="39"/>
        <v>2022</v>
      </c>
    </row>
    <row r="629" spans="1:18" x14ac:dyDescent="0.2">
      <c r="A629" s="13">
        <v>45297</v>
      </c>
      <c r="B629" s="13">
        <v>45275</v>
      </c>
      <c r="C629" s="25" t="s">
        <v>399</v>
      </c>
      <c r="D629" s="20">
        <v>22</v>
      </c>
      <c r="E629" s="28">
        <v>6226.92</v>
      </c>
      <c r="F629" s="22" t="s">
        <v>112</v>
      </c>
      <c r="G629" s="14">
        <v>252</v>
      </c>
      <c r="H629" s="40">
        <v>44916</v>
      </c>
      <c r="I629" s="46">
        <f t="shared" si="36"/>
        <v>381</v>
      </c>
      <c r="J629" s="1" t="s">
        <v>15</v>
      </c>
      <c r="K629" s="4" t="s">
        <v>202</v>
      </c>
      <c r="L629" s="4" t="s">
        <v>226</v>
      </c>
      <c r="M629" s="8">
        <v>252</v>
      </c>
      <c r="N629" s="5">
        <v>24.71</v>
      </c>
      <c r="O629" s="5">
        <v>6226.92</v>
      </c>
      <c r="P629">
        <f t="shared" si="37"/>
        <v>1</v>
      </c>
      <c r="Q629" s="36">
        <f t="shared" si="38"/>
        <v>6226.92</v>
      </c>
      <c r="R629">
        <f t="shared" si="39"/>
        <v>2022</v>
      </c>
    </row>
    <row r="630" spans="1:18" x14ac:dyDescent="0.2">
      <c r="A630" s="13">
        <v>45540</v>
      </c>
      <c r="B630" s="13">
        <v>45540</v>
      </c>
      <c r="C630" s="25" t="s">
        <v>398</v>
      </c>
      <c r="D630" s="20">
        <v>0</v>
      </c>
      <c r="E630" s="28">
        <v>6226.92</v>
      </c>
      <c r="F630" s="22" t="s">
        <v>112</v>
      </c>
      <c r="G630" s="14">
        <v>252</v>
      </c>
      <c r="H630" s="40">
        <v>45173</v>
      </c>
      <c r="I630" s="46">
        <f t="shared" si="36"/>
        <v>367</v>
      </c>
      <c r="J630" s="1" t="s">
        <v>15</v>
      </c>
      <c r="K630" s="4" t="s">
        <v>202</v>
      </c>
      <c r="L630" s="4" t="s">
        <v>226</v>
      </c>
      <c r="M630" s="8">
        <v>252</v>
      </c>
      <c r="N630" s="5">
        <v>24.71</v>
      </c>
      <c r="O630" s="5">
        <v>6226.92</v>
      </c>
      <c r="P630">
        <f t="shared" si="37"/>
        <v>1</v>
      </c>
      <c r="Q630" s="36">
        <f t="shared" si="38"/>
        <v>6226.92</v>
      </c>
      <c r="R630">
        <f t="shared" si="39"/>
        <v>2023</v>
      </c>
    </row>
    <row r="631" spans="1:18" x14ac:dyDescent="0.2">
      <c r="A631" s="13">
        <v>45226</v>
      </c>
      <c r="B631" s="13">
        <v>44918</v>
      </c>
      <c r="C631" s="25" t="s">
        <v>399</v>
      </c>
      <c r="D631" s="20">
        <v>308</v>
      </c>
      <c r="E631" s="28">
        <v>80231.199999999997</v>
      </c>
      <c r="F631" s="22" t="s">
        <v>113</v>
      </c>
      <c r="G631" s="14">
        <v>70</v>
      </c>
      <c r="H631" s="40">
        <v>44648</v>
      </c>
      <c r="I631" s="46">
        <f t="shared" si="36"/>
        <v>578</v>
      </c>
      <c r="J631" s="1" t="s">
        <v>15</v>
      </c>
      <c r="K631" s="4" t="s">
        <v>204</v>
      </c>
      <c r="L631" s="4" t="s">
        <v>228</v>
      </c>
      <c r="M631" s="8">
        <v>70</v>
      </c>
      <c r="N631" s="5">
        <v>1146.1600000000001</v>
      </c>
      <c r="O631" s="5">
        <v>80231.199999999997</v>
      </c>
      <c r="P631">
        <f t="shared" si="37"/>
        <v>1</v>
      </c>
      <c r="Q631" s="36">
        <f t="shared" si="38"/>
        <v>80231.200000000012</v>
      </c>
      <c r="R631">
        <f t="shared" si="39"/>
        <v>2022</v>
      </c>
    </row>
    <row r="632" spans="1:18" x14ac:dyDescent="0.2">
      <c r="A632" s="13">
        <v>45226</v>
      </c>
      <c r="B632" s="13">
        <v>44918</v>
      </c>
      <c r="C632" s="25" t="s">
        <v>399</v>
      </c>
      <c r="D632" s="20">
        <v>308</v>
      </c>
      <c r="E632" s="28">
        <v>80231.199999999997</v>
      </c>
      <c r="F632" s="22" t="s">
        <v>113</v>
      </c>
      <c r="G632" s="14">
        <v>70</v>
      </c>
      <c r="H632" s="40">
        <v>44708</v>
      </c>
      <c r="I632" s="46">
        <f t="shared" si="36"/>
        <v>518</v>
      </c>
      <c r="J632" s="1" t="s">
        <v>15</v>
      </c>
      <c r="K632" s="4" t="s">
        <v>204</v>
      </c>
      <c r="L632" s="4" t="s">
        <v>228</v>
      </c>
      <c r="M632" s="8">
        <v>70</v>
      </c>
      <c r="N632" s="5">
        <v>1146.1600000000001</v>
      </c>
      <c r="O632" s="5">
        <v>80231.199999999997</v>
      </c>
      <c r="P632">
        <f t="shared" si="37"/>
        <v>1</v>
      </c>
      <c r="Q632" s="36">
        <f t="shared" si="38"/>
        <v>80231.200000000012</v>
      </c>
      <c r="R632">
        <f t="shared" si="39"/>
        <v>2022</v>
      </c>
    </row>
    <row r="633" spans="1:18" x14ac:dyDescent="0.2">
      <c r="A633" s="13">
        <v>45226</v>
      </c>
      <c r="B633" s="13">
        <v>45077</v>
      </c>
      <c r="C633" s="25" t="s">
        <v>399</v>
      </c>
      <c r="D633" s="20">
        <v>149</v>
      </c>
      <c r="E633" s="28">
        <v>160462.39999999999</v>
      </c>
      <c r="F633" s="22" t="s">
        <v>113</v>
      </c>
      <c r="G633" s="14">
        <v>140</v>
      </c>
      <c r="H633" s="40">
        <v>44708</v>
      </c>
      <c r="I633" s="46">
        <f t="shared" si="36"/>
        <v>518</v>
      </c>
      <c r="J633" s="1" t="s">
        <v>15</v>
      </c>
      <c r="K633" s="4" t="s">
        <v>204</v>
      </c>
      <c r="L633" s="4" t="s">
        <v>228</v>
      </c>
      <c r="M633" s="8">
        <v>140</v>
      </c>
      <c r="N633" s="5">
        <v>1146.1600000000001</v>
      </c>
      <c r="O633" s="5">
        <v>160462.39999999999</v>
      </c>
      <c r="P633">
        <f t="shared" si="37"/>
        <v>1</v>
      </c>
      <c r="Q633" s="36">
        <f t="shared" si="38"/>
        <v>160462.40000000002</v>
      </c>
      <c r="R633">
        <f t="shared" si="39"/>
        <v>2022</v>
      </c>
    </row>
    <row r="634" spans="1:18" x14ac:dyDescent="0.2">
      <c r="A634" s="13">
        <v>45226</v>
      </c>
      <c r="B634" s="13">
        <v>44918</v>
      </c>
      <c r="C634" s="25" t="s">
        <v>399</v>
      </c>
      <c r="D634" s="20">
        <v>308</v>
      </c>
      <c r="E634" s="28">
        <v>80231.199999999997</v>
      </c>
      <c r="F634" s="22" t="s">
        <v>113</v>
      </c>
      <c r="G634" s="14">
        <v>70</v>
      </c>
      <c r="H634" s="40">
        <v>44714</v>
      </c>
      <c r="I634" s="46">
        <f t="shared" si="36"/>
        <v>512</v>
      </c>
      <c r="J634" s="1" t="s">
        <v>15</v>
      </c>
      <c r="K634" s="4" t="s">
        <v>204</v>
      </c>
      <c r="L634" s="4" t="s">
        <v>228</v>
      </c>
      <c r="M634" s="8">
        <v>70</v>
      </c>
      <c r="N634" s="5">
        <v>1146.1600000000001</v>
      </c>
      <c r="O634" s="5">
        <v>80231.199999999997</v>
      </c>
      <c r="P634">
        <f t="shared" si="37"/>
        <v>1</v>
      </c>
      <c r="Q634" s="36">
        <f t="shared" si="38"/>
        <v>80231.200000000012</v>
      </c>
      <c r="R634">
        <f t="shared" si="39"/>
        <v>2022</v>
      </c>
    </row>
    <row r="635" spans="1:18" x14ac:dyDescent="0.2">
      <c r="A635" s="13">
        <v>45226</v>
      </c>
      <c r="B635" s="13">
        <v>45048</v>
      </c>
      <c r="C635" s="25" t="s">
        <v>399</v>
      </c>
      <c r="D635" s="20">
        <v>178</v>
      </c>
      <c r="E635" s="28">
        <v>160462.39999999999</v>
      </c>
      <c r="F635" s="22" t="s">
        <v>113</v>
      </c>
      <c r="G635" s="14">
        <v>140</v>
      </c>
      <c r="H635" s="40">
        <v>44714</v>
      </c>
      <c r="I635" s="46">
        <f t="shared" si="36"/>
        <v>512</v>
      </c>
      <c r="J635" s="1" t="s">
        <v>15</v>
      </c>
      <c r="K635" s="4" t="s">
        <v>204</v>
      </c>
      <c r="L635" s="4" t="s">
        <v>228</v>
      </c>
      <c r="M635" s="8">
        <v>140</v>
      </c>
      <c r="N635" s="5">
        <v>1146.1600000000001</v>
      </c>
      <c r="O635" s="5">
        <v>160462.39999999999</v>
      </c>
      <c r="P635">
        <f t="shared" si="37"/>
        <v>1</v>
      </c>
      <c r="Q635" s="36">
        <f t="shared" si="38"/>
        <v>160462.40000000002</v>
      </c>
      <c r="R635">
        <f t="shared" si="39"/>
        <v>2022</v>
      </c>
    </row>
    <row r="636" spans="1:18" x14ac:dyDescent="0.2">
      <c r="A636" s="13">
        <v>45226</v>
      </c>
      <c r="B636" s="13">
        <v>45091</v>
      </c>
      <c r="C636" s="25" t="s">
        <v>399</v>
      </c>
      <c r="D636" s="20">
        <v>135</v>
      </c>
      <c r="E636" s="28">
        <v>80231.199999999997</v>
      </c>
      <c r="F636" s="22" t="s">
        <v>113</v>
      </c>
      <c r="G636" s="14">
        <v>70</v>
      </c>
      <c r="H636" s="40">
        <v>44714</v>
      </c>
      <c r="I636" s="46">
        <f t="shared" si="36"/>
        <v>512</v>
      </c>
      <c r="J636" s="1" t="s">
        <v>15</v>
      </c>
      <c r="K636" s="4" t="s">
        <v>204</v>
      </c>
      <c r="L636" s="4" t="s">
        <v>228</v>
      </c>
      <c r="M636" s="8">
        <v>70</v>
      </c>
      <c r="N636" s="5">
        <v>1146.1600000000001</v>
      </c>
      <c r="O636" s="5">
        <v>80231.199999999997</v>
      </c>
      <c r="P636">
        <f t="shared" si="37"/>
        <v>1</v>
      </c>
      <c r="Q636" s="36">
        <f t="shared" si="38"/>
        <v>80231.200000000012</v>
      </c>
      <c r="R636">
        <f t="shared" si="39"/>
        <v>2022</v>
      </c>
    </row>
    <row r="637" spans="1:18" x14ac:dyDescent="0.2">
      <c r="A637" s="13">
        <v>45226</v>
      </c>
      <c r="B637" s="13">
        <v>44918</v>
      </c>
      <c r="C637" s="25" t="s">
        <v>399</v>
      </c>
      <c r="D637" s="20">
        <v>308</v>
      </c>
      <c r="E637" s="28">
        <v>160462.39999999999</v>
      </c>
      <c r="F637" s="22" t="s">
        <v>113</v>
      </c>
      <c r="G637" s="14">
        <v>140</v>
      </c>
      <c r="H637" s="40">
        <v>44790</v>
      </c>
      <c r="I637" s="46">
        <f t="shared" si="36"/>
        <v>436</v>
      </c>
      <c r="J637" s="1" t="s">
        <v>15</v>
      </c>
      <c r="K637" s="4" t="s">
        <v>204</v>
      </c>
      <c r="L637" s="4" t="s">
        <v>228</v>
      </c>
      <c r="M637" s="8">
        <v>140</v>
      </c>
      <c r="N637" s="5">
        <v>1146.1600000000001</v>
      </c>
      <c r="O637" s="5">
        <v>160462.39999999999</v>
      </c>
      <c r="P637">
        <f t="shared" si="37"/>
        <v>1</v>
      </c>
      <c r="Q637" s="36">
        <f t="shared" si="38"/>
        <v>160462.40000000002</v>
      </c>
      <c r="R637">
        <f t="shared" si="39"/>
        <v>2022</v>
      </c>
    </row>
    <row r="638" spans="1:18" x14ac:dyDescent="0.2">
      <c r="A638" s="13">
        <v>45226</v>
      </c>
      <c r="B638" s="13">
        <v>45091</v>
      </c>
      <c r="C638" s="25" t="s">
        <v>399</v>
      </c>
      <c r="D638" s="20">
        <v>135</v>
      </c>
      <c r="E638" s="28">
        <v>80231.199999999997</v>
      </c>
      <c r="F638" s="22" t="s">
        <v>113</v>
      </c>
      <c r="G638" s="14">
        <v>70</v>
      </c>
      <c r="H638" s="40">
        <v>44790</v>
      </c>
      <c r="I638" s="46">
        <f t="shared" si="36"/>
        <v>436</v>
      </c>
      <c r="J638" s="1" t="s">
        <v>15</v>
      </c>
      <c r="K638" s="4" t="s">
        <v>204</v>
      </c>
      <c r="L638" s="4" t="s">
        <v>228</v>
      </c>
      <c r="M638" s="8">
        <v>70</v>
      </c>
      <c r="N638" s="5">
        <v>1146.1600000000001</v>
      </c>
      <c r="O638" s="5">
        <v>80231.199999999997</v>
      </c>
      <c r="P638">
        <f t="shared" si="37"/>
        <v>1</v>
      </c>
      <c r="Q638" s="36">
        <f t="shared" si="38"/>
        <v>80231.200000000012</v>
      </c>
      <c r="R638">
        <f t="shared" si="39"/>
        <v>2022</v>
      </c>
    </row>
    <row r="639" spans="1:18" x14ac:dyDescent="0.2">
      <c r="A639" s="13">
        <v>45226</v>
      </c>
      <c r="B639" s="13">
        <v>45104</v>
      </c>
      <c r="C639" s="25" t="s">
        <v>399</v>
      </c>
      <c r="D639" s="20">
        <v>122</v>
      </c>
      <c r="E639" s="28">
        <v>320924.79999999999</v>
      </c>
      <c r="F639" s="22" t="s">
        <v>113</v>
      </c>
      <c r="G639" s="14">
        <v>280</v>
      </c>
      <c r="H639" s="40">
        <v>44790</v>
      </c>
      <c r="I639" s="46">
        <f t="shared" si="36"/>
        <v>436</v>
      </c>
      <c r="J639" s="1" t="s">
        <v>15</v>
      </c>
      <c r="K639" s="4" t="s">
        <v>204</v>
      </c>
      <c r="L639" s="4" t="s">
        <v>228</v>
      </c>
      <c r="M639" s="8">
        <v>280</v>
      </c>
      <c r="N639" s="5">
        <v>1146.1600000000001</v>
      </c>
      <c r="O639" s="5">
        <v>320924.79999999999</v>
      </c>
      <c r="P639">
        <f t="shared" si="37"/>
        <v>1</v>
      </c>
      <c r="Q639" s="36">
        <f t="shared" si="38"/>
        <v>320924.80000000005</v>
      </c>
      <c r="R639">
        <f t="shared" si="39"/>
        <v>2022</v>
      </c>
    </row>
    <row r="640" spans="1:18" x14ac:dyDescent="0.2">
      <c r="A640" s="13">
        <v>45226</v>
      </c>
      <c r="B640" s="13">
        <v>45139</v>
      </c>
      <c r="C640" s="25" t="s">
        <v>399</v>
      </c>
      <c r="D640" s="20">
        <v>87</v>
      </c>
      <c r="E640" s="28">
        <v>240693.6</v>
      </c>
      <c r="F640" s="22" t="s">
        <v>113</v>
      </c>
      <c r="G640" s="14">
        <v>210</v>
      </c>
      <c r="H640" s="40">
        <v>44790</v>
      </c>
      <c r="I640" s="46">
        <f t="shared" si="36"/>
        <v>436</v>
      </c>
      <c r="J640" s="1" t="s">
        <v>15</v>
      </c>
      <c r="K640" s="4" t="s">
        <v>204</v>
      </c>
      <c r="L640" s="4" t="s">
        <v>228</v>
      </c>
      <c r="M640" s="8">
        <v>210</v>
      </c>
      <c r="N640" s="5">
        <v>1146.1600000000001</v>
      </c>
      <c r="O640" s="5">
        <v>240693.6</v>
      </c>
      <c r="P640">
        <f t="shared" si="37"/>
        <v>1</v>
      </c>
      <c r="Q640" s="36">
        <f t="shared" si="38"/>
        <v>240693.6</v>
      </c>
      <c r="R640">
        <f t="shared" si="39"/>
        <v>2022</v>
      </c>
    </row>
    <row r="641" spans="1:18" x14ac:dyDescent="0.2">
      <c r="A641" s="13">
        <v>45188</v>
      </c>
      <c r="B641" s="13">
        <v>44572</v>
      </c>
      <c r="C641" s="25" t="s">
        <v>399</v>
      </c>
      <c r="D641" s="20">
        <v>616</v>
      </c>
      <c r="E641" s="28">
        <v>2322.6</v>
      </c>
      <c r="F641" s="22" t="s">
        <v>114</v>
      </c>
      <c r="G641" s="14">
        <v>7</v>
      </c>
      <c r="H641" s="40">
        <v>44987</v>
      </c>
      <c r="I641" s="46">
        <f t="shared" si="36"/>
        <v>201</v>
      </c>
      <c r="J641" s="1" t="s">
        <v>15</v>
      </c>
      <c r="K641" s="4" t="s">
        <v>208</v>
      </c>
      <c r="L641" s="4" t="s">
        <v>228</v>
      </c>
      <c r="M641" s="8">
        <v>7</v>
      </c>
      <c r="N641" s="5">
        <v>331.8</v>
      </c>
      <c r="O641" s="5">
        <v>2322.6</v>
      </c>
      <c r="P641">
        <f t="shared" si="37"/>
        <v>1</v>
      </c>
      <c r="Q641" s="36">
        <f t="shared" si="38"/>
        <v>2322.6</v>
      </c>
      <c r="R641">
        <f t="shared" si="39"/>
        <v>2023</v>
      </c>
    </row>
    <row r="642" spans="1:18" x14ac:dyDescent="0.2">
      <c r="A642" s="13">
        <v>45624</v>
      </c>
      <c r="B642" s="13">
        <v>45624</v>
      </c>
      <c r="C642" s="25" t="s">
        <v>398</v>
      </c>
      <c r="D642" s="20">
        <v>0</v>
      </c>
      <c r="E642" s="28">
        <v>21120</v>
      </c>
      <c r="F642" s="22" t="s">
        <v>115</v>
      </c>
      <c r="G642" s="14">
        <v>12000</v>
      </c>
      <c r="H642" s="40">
        <v>44914</v>
      </c>
      <c r="I642" s="46">
        <f t="shared" si="36"/>
        <v>710</v>
      </c>
      <c r="J642" s="1" t="s">
        <v>15</v>
      </c>
      <c r="K642" s="4" t="s">
        <v>207</v>
      </c>
      <c r="L642" s="4" t="s">
        <v>224</v>
      </c>
      <c r="M642" s="8">
        <v>63000</v>
      </c>
      <c r="N642" s="5">
        <v>1.76</v>
      </c>
      <c r="O642" s="5">
        <v>110880</v>
      </c>
      <c r="P642">
        <f t="shared" si="37"/>
        <v>0</v>
      </c>
      <c r="Q642" s="36">
        <f t="shared" si="38"/>
        <v>21120</v>
      </c>
      <c r="R642">
        <f t="shared" si="39"/>
        <v>2022</v>
      </c>
    </row>
    <row r="643" spans="1:18" x14ac:dyDescent="0.2">
      <c r="A643" s="13">
        <v>45642</v>
      </c>
      <c r="B643" s="13">
        <v>45624</v>
      </c>
      <c r="C643" s="25" t="s">
        <v>399</v>
      </c>
      <c r="D643" s="20">
        <v>18</v>
      </c>
      <c r="E643" s="28">
        <v>89760</v>
      </c>
      <c r="F643" s="22" t="s">
        <v>115</v>
      </c>
      <c r="G643" s="14">
        <v>51000</v>
      </c>
      <c r="H643" s="40">
        <v>44914</v>
      </c>
      <c r="I643" s="46">
        <f t="shared" ref="I643:I706" si="40">IFERROR(A643-H643,"")*1</f>
        <v>728</v>
      </c>
      <c r="J643" s="1" t="s">
        <v>15</v>
      </c>
      <c r="K643" s="4" t="s">
        <v>207</v>
      </c>
      <c r="L643" s="4" t="s">
        <v>224</v>
      </c>
      <c r="M643" s="8">
        <v>63000</v>
      </c>
      <c r="N643" s="5">
        <v>1.76</v>
      </c>
      <c r="O643" s="5">
        <v>110880</v>
      </c>
      <c r="P643">
        <f t="shared" ref="P643:P706" si="41">IF(M643=G643,1,0)</f>
        <v>0</v>
      </c>
      <c r="Q643" s="36">
        <f t="shared" ref="Q643:Q706" si="42">N643*G643</f>
        <v>89760</v>
      </c>
      <c r="R643">
        <f t="shared" ref="R643:R706" si="43">YEAR(H643)</f>
        <v>2022</v>
      </c>
    </row>
    <row r="644" spans="1:18" x14ac:dyDescent="0.2">
      <c r="A644" s="13">
        <v>45225</v>
      </c>
      <c r="B644" s="13">
        <v>45225</v>
      </c>
      <c r="C644" s="25" t="s">
        <v>398</v>
      </c>
      <c r="D644" s="20">
        <v>0</v>
      </c>
      <c r="E644" s="28">
        <v>23308.560000000001</v>
      </c>
      <c r="F644" s="22" t="s">
        <v>55</v>
      </c>
      <c r="G644" s="14">
        <v>216</v>
      </c>
      <c r="H644" s="40">
        <v>44831</v>
      </c>
      <c r="I644" s="46">
        <f t="shared" si="40"/>
        <v>394</v>
      </c>
      <c r="J644" s="1" t="s">
        <v>15</v>
      </c>
      <c r="K644" s="4" t="s">
        <v>209</v>
      </c>
      <c r="L644" s="4" t="s">
        <v>231</v>
      </c>
      <c r="M644" s="8">
        <v>216</v>
      </c>
      <c r="N644" s="5">
        <v>107.91</v>
      </c>
      <c r="O644" s="5">
        <v>23308.560000000001</v>
      </c>
      <c r="P644">
        <f t="shared" si="41"/>
        <v>1</v>
      </c>
      <c r="Q644" s="36">
        <f t="shared" si="42"/>
        <v>23308.559999999998</v>
      </c>
      <c r="R644">
        <f t="shared" si="43"/>
        <v>2022</v>
      </c>
    </row>
    <row r="645" spans="1:18" x14ac:dyDescent="0.2">
      <c r="A645" s="13">
        <v>45218</v>
      </c>
      <c r="B645" s="13">
        <v>45218</v>
      </c>
      <c r="C645" s="25" t="s">
        <v>398</v>
      </c>
      <c r="D645" s="20">
        <v>0</v>
      </c>
      <c r="E645" s="28">
        <v>58271.4</v>
      </c>
      <c r="F645" s="22" t="s">
        <v>55</v>
      </c>
      <c r="G645" s="14">
        <v>540</v>
      </c>
      <c r="H645" s="40">
        <v>44931</v>
      </c>
      <c r="I645" s="46">
        <f t="shared" si="40"/>
        <v>287</v>
      </c>
      <c r="J645" s="1" t="s">
        <v>15</v>
      </c>
      <c r="K645" s="4" t="s">
        <v>209</v>
      </c>
      <c r="L645" s="4" t="s">
        <v>231</v>
      </c>
      <c r="M645" s="8">
        <v>540</v>
      </c>
      <c r="N645" s="5">
        <v>107.91</v>
      </c>
      <c r="O645" s="5">
        <v>58271.4</v>
      </c>
      <c r="P645">
        <f t="shared" si="41"/>
        <v>1</v>
      </c>
      <c r="Q645" s="36">
        <f t="shared" si="42"/>
        <v>58271.4</v>
      </c>
      <c r="R645">
        <f t="shared" si="43"/>
        <v>2023</v>
      </c>
    </row>
    <row r="646" spans="1:18" x14ac:dyDescent="0.2">
      <c r="A646" s="13">
        <v>45211</v>
      </c>
      <c r="B646" s="13">
        <v>45211</v>
      </c>
      <c r="C646" s="25" t="s">
        <v>398</v>
      </c>
      <c r="D646" s="20">
        <v>0</v>
      </c>
      <c r="E646" s="28">
        <v>46617.120000000003</v>
      </c>
      <c r="F646" s="22" t="s">
        <v>55</v>
      </c>
      <c r="G646" s="14">
        <v>432</v>
      </c>
      <c r="H646" s="40">
        <v>44937</v>
      </c>
      <c r="I646" s="46">
        <f t="shared" si="40"/>
        <v>274</v>
      </c>
      <c r="J646" s="1" t="s">
        <v>15</v>
      </c>
      <c r="K646" s="4" t="s">
        <v>209</v>
      </c>
      <c r="L646" s="4" t="s">
        <v>231</v>
      </c>
      <c r="M646" s="8">
        <v>432</v>
      </c>
      <c r="N646" s="5">
        <v>107.91</v>
      </c>
      <c r="O646" s="5">
        <v>46617.120000000003</v>
      </c>
      <c r="P646">
        <f t="shared" si="41"/>
        <v>1</v>
      </c>
      <c r="Q646" s="36">
        <f t="shared" si="42"/>
        <v>46617.119999999995</v>
      </c>
      <c r="R646">
        <f t="shared" si="43"/>
        <v>2023</v>
      </c>
    </row>
    <row r="647" spans="1:18" x14ac:dyDescent="0.2">
      <c r="A647" s="13">
        <v>45217</v>
      </c>
      <c r="B647" s="13">
        <v>45217</v>
      </c>
      <c r="C647" s="25" t="s">
        <v>398</v>
      </c>
      <c r="D647" s="20">
        <v>0</v>
      </c>
      <c r="E647" s="28">
        <v>139851.35999999999</v>
      </c>
      <c r="F647" s="22" t="s">
        <v>55</v>
      </c>
      <c r="G647" s="14">
        <v>1296</v>
      </c>
      <c r="H647" s="40">
        <v>44937</v>
      </c>
      <c r="I647" s="46">
        <f t="shared" si="40"/>
        <v>280</v>
      </c>
      <c r="J647" s="1" t="s">
        <v>15</v>
      </c>
      <c r="K647" s="4" t="s">
        <v>209</v>
      </c>
      <c r="L647" s="4" t="s">
        <v>231</v>
      </c>
      <c r="M647" s="8">
        <v>1296</v>
      </c>
      <c r="N647" s="5">
        <v>107.91</v>
      </c>
      <c r="O647" s="5">
        <v>139851.35999999999</v>
      </c>
      <c r="P647">
        <f t="shared" si="41"/>
        <v>1</v>
      </c>
      <c r="Q647" s="36">
        <f t="shared" si="42"/>
        <v>139851.35999999999</v>
      </c>
      <c r="R647">
        <f t="shared" si="43"/>
        <v>2023</v>
      </c>
    </row>
    <row r="648" spans="1:18" x14ac:dyDescent="0.2">
      <c r="A648" s="13">
        <v>45385</v>
      </c>
      <c r="B648" s="13">
        <v>45385</v>
      </c>
      <c r="C648" s="25" t="s">
        <v>398</v>
      </c>
      <c r="D648" s="20">
        <v>0</v>
      </c>
      <c r="E648" s="28">
        <v>54085.2</v>
      </c>
      <c r="F648" s="22" t="s">
        <v>58</v>
      </c>
      <c r="G648" s="14">
        <v>120</v>
      </c>
      <c r="H648" s="40">
        <v>44904</v>
      </c>
      <c r="I648" s="46">
        <f t="shared" si="40"/>
        <v>481</v>
      </c>
      <c r="J648" s="1" t="s">
        <v>15</v>
      </c>
      <c r="K648" s="4" t="s">
        <v>209</v>
      </c>
      <c r="L648" s="4" t="s">
        <v>231</v>
      </c>
      <c r="M648" s="8">
        <v>120</v>
      </c>
      <c r="N648" s="5">
        <v>450.71</v>
      </c>
      <c r="O648" s="5">
        <v>54085.2</v>
      </c>
      <c r="P648">
        <f t="shared" si="41"/>
        <v>1</v>
      </c>
      <c r="Q648" s="36">
        <f t="shared" si="42"/>
        <v>54085.2</v>
      </c>
      <c r="R648">
        <f t="shared" si="43"/>
        <v>2022</v>
      </c>
    </row>
    <row r="649" spans="1:18" x14ac:dyDescent="0.2">
      <c r="A649" s="13">
        <v>45392</v>
      </c>
      <c r="B649" s="13">
        <v>45392</v>
      </c>
      <c r="C649" s="25" t="s">
        <v>398</v>
      </c>
      <c r="D649" s="20">
        <v>0</v>
      </c>
      <c r="E649" s="28">
        <v>324511.2</v>
      </c>
      <c r="F649" s="22" t="s">
        <v>58</v>
      </c>
      <c r="G649" s="14">
        <v>720</v>
      </c>
      <c r="H649" s="40">
        <v>44917</v>
      </c>
      <c r="I649" s="46">
        <f t="shared" si="40"/>
        <v>475</v>
      </c>
      <c r="J649" s="1" t="s">
        <v>15</v>
      </c>
      <c r="K649" s="4" t="s">
        <v>209</v>
      </c>
      <c r="L649" s="4" t="s">
        <v>231</v>
      </c>
      <c r="M649" s="8">
        <v>720</v>
      </c>
      <c r="N649" s="5">
        <v>450.71</v>
      </c>
      <c r="O649" s="5">
        <v>324511.2</v>
      </c>
      <c r="P649">
        <f t="shared" si="41"/>
        <v>1</v>
      </c>
      <c r="Q649" s="36">
        <f t="shared" si="42"/>
        <v>324511.2</v>
      </c>
      <c r="R649">
        <f t="shared" si="43"/>
        <v>2022</v>
      </c>
    </row>
    <row r="650" spans="1:18" x14ac:dyDescent="0.2">
      <c r="A650" s="13">
        <v>45427</v>
      </c>
      <c r="B650" s="13">
        <v>45427</v>
      </c>
      <c r="C650" s="25" t="s">
        <v>398</v>
      </c>
      <c r="D650" s="20">
        <v>0</v>
      </c>
      <c r="E650" s="28">
        <v>162255.6</v>
      </c>
      <c r="F650" s="22" t="s">
        <v>58</v>
      </c>
      <c r="G650" s="14">
        <v>360</v>
      </c>
      <c r="H650" s="40">
        <v>44923</v>
      </c>
      <c r="I650" s="46">
        <f t="shared" si="40"/>
        <v>504</v>
      </c>
      <c r="J650" s="1" t="s">
        <v>15</v>
      </c>
      <c r="K650" s="4" t="s">
        <v>209</v>
      </c>
      <c r="L650" s="4" t="s">
        <v>231</v>
      </c>
      <c r="M650" s="8">
        <v>360</v>
      </c>
      <c r="N650" s="5">
        <v>450.71</v>
      </c>
      <c r="O650" s="5">
        <v>162255.6</v>
      </c>
      <c r="P650">
        <f t="shared" si="41"/>
        <v>1</v>
      </c>
      <c r="Q650" s="36">
        <f t="shared" si="42"/>
        <v>162255.6</v>
      </c>
      <c r="R650">
        <f t="shared" si="43"/>
        <v>2022</v>
      </c>
    </row>
    <row r="651" spans="1:18" x14ac:dyDescent="0.2">
      <c r="A651" s="13">
        <v>45455</v>
      </c>
      <c r="B651" s="13">
        <v>45455</v>
      </c>
      <c r="C651" s="25" t="s">
        <v>398</v>
      </c>
      <c r="D651" s="20">
        <v>0</v>
      </c>
      <c r="E651" s="28">
        <v>162255.6</v>
      </c>
      <c r="F651" s="22" t="s">
        <v>58</v>
      </c>
      <c r="G651" s="14">
        <v>360</v>
      </c>
      <c r="H651" s="40">
        <v>44945</v>
      </c>
      <c r="I651" s="46">
        <f t="shared" si="40"/>
        <v>510</v>
      </c>
      <c r="J651" s="1" t="s">
        <v>15</v>
      </c>
      <c r="K651" s="4" t="s">
        <v>209</v>
      </c>
      <c r="L651" s="4" t="s">
        <v>231</v>
      </c>
      <c r="M651" s="8">
        <v>360</v>
      </c>
      <c r="N651" s="5">
        <v>450.71</v>
      </c>
      <c r="O651" s="5">
        <v>162255.6</v>
      </c>
      <c r="P651">
        <f t="shared" si="41"/>
        <v>1</v>
      </c>
      <c r="Q651" s="36">
        <f t="shared" si="42"/>
        <v>162255.6</v>
      </c>
      <c r="R651">
        <f t="shared" si="43"/>
        <v>2023</v>
      </c>
    </row>
    <row r="652" spans="1:18" x14ac:dyDescent="0.2">
      <c r="A652" s="13">
        <v>45323</v>
      </c>
      <c r="B652" s="13">
        <v>44986</v>
      </c>
      <c r="C652" s="25" t="s">
        <v>399</v>
      </c>
      <c r="D652" s="20">
        <v>337</v>
      </c>
      <c r="E652" s="28">
        <v>5882.88</v>
      </c>
      <c r="F652" s="22" t="s">
        <v>113</v>
      </c>
      <c r="G652" s="14">
        <v>64</v>
      </c>
      <c r="H652" s="40">
        <v>44952</v>
      </c>
      <c r="I652" s="46">
        <f t="shared" si="40"/>
        <v>371</v>
      </c>
      <c r="J652" s="1" t="s">
        <v>15</v>
      </c>
      <c r="K652" s="4" t="s">
        <v>209</v>
      </c>
      <c r="L652" s="4" t="s">
        <v>231</v>
      </c>
      <c r="M652" s="8">
        <v>120</v>
      </c>
      <c r="N652" s="5">
        <v>91.92</v>
      </c>
      <c r="O652" s="5">
        <v>11030.4</v>
      </c>
      <c r="P652">
        <f t="shared" si="41"/>
        <v>0</v>
      </c>
      <c r="Q652" s="36">
        <f t="shared" si="42"/>
        <v>5882.88</v>
      </c>
      <c r="R652">
        <f t="shared" si="43"/>
        <v>2023</v>
      </c>
    </row>
    <row r="653" spans="1:18" x14ac:dyDescent="0.2">
      <c r="A653" s="13">
        <v>45328</v>
      </c>
      <c r="B653" s="13">
        <v>44986</v>
      </c>
      <c r="C653" s="25" t="s">
        <v>399</v>
      </c>
      <c r="D653" s="20">
        <v>342</v>
      </c>
      <c r="E653" s="28">
        <v>5147.5200000000004</v>
      </c>
      <c r="F653" s="22" t="s">
        <v>113</v>
      </c>
      <c r="G653" s="14">
        <v>56</v>
      </c>
      <c r="H653" s="40">
        <v>44952</v>
      </c>
      <c r="I653" s="46">
        <f t="shared" si="40"/>
        <v>376</v>
      </c>
      <c r="J653" s="1" t="s">
        <v>15</v>
      </c>
      <c r="K653" s="4" t="s">
        <v>209</v>
      </c>
      <c r="L653" s="4" t="s">
        <v>231</v>
      </c>
      <c r="M653" s="8">
        <v>120</v>
      </c>
      <c r="N653" s="5">
        <v>91.92</v>
      </c>
      <c r="O653" s="5">
        <v>11030.4</v>
      </c>
      <c r="P653">
        <f t="shared" si="41"/>
        <v>0</v>
      </c>
      <c r="Q653" s="36">
        <f t="shared" si="42"/>
        <v>5147.5200000000004</v>
      </c>
      <c r="R653">
        <f t="shared" si="43"/>
        <v>2023</v>
      </c>
    </row>
    <row r="654" spans="1:18" x14ac:dyDescent="0.2">
      <c r="A654" s="13">
        <v>45323</v>
      </c>
      <c r="B654" s="13">
        <v>44958</v>
      </c>
      <c r="C654" s="25" t="s">
        <v>399</v>
      </c>
      <c r="D654" s="20">
        <v>365</v>
      </c>
      <c r="E654" s="28">
        <v>11030.4</v>
      </c>
      <c r="F654" s="22" t="s">
        <v>113</v>
      </c>
      <c r="G654" s="14">
        <v>120</v>
      </c>
      <c r="H654" s="40">
        <v>44952</v>
      </c>
      <c r="I654" s="46">
        <f t="shared" si="40"/>
        <v>371</v>
      </c>
      <c r="J654" s="1" t="s">
        <v>15</v>
      </c>
      <c r="K654" s="4" t="s">
        <v>209</v>
      </c>
      <c r="L654" s="4" t="s">
        <v>231</v>
      </c>
      <c r="M654" s="8">
        <v>120</v>
      </c>
      <c r="N654" s="5">
        <v>91.92</v>
      </c>
      <c r="O654" s="5">
        <v>11030.4</v>
      </c>
      <c r="P654">
        <f t="shared" si="41"/>
        <v>1</v>
      </c>
      <c r="Q654" s="36">
        <f t="shared" si="42"/>
        <v>11030.4</v>
      </c>
      <c r="R654">
        <f t="shared" si="43"/>
        <v>2023</v>
      </c>
    </row>
    <row r="655" spans="1:18" x14ac:dyDescent="0.2">
      <c r="A655" s="13">
        <v>45427</v>
      </c>
      <c r="B655" s="13">
        <v>45040</v>
      </c>
      <c r="C655" s="25" t="s">
        <v>399</v>
      </c>
      <c r="D655" s="20">
        <v>387</v>
      </c>
      <c r="E655" s="28">
        <v>11030.4</v>
      </c>
      <c r="F655" s="22" t="s">
        <v>113</v>
      </c>
      <c r="G655" s="14">
        <v>120</v>
      </c>
      <c r="H655" s="40">
        <v>44952</v>
      </c>
      <c r="I655" s="46">
        <f t="shared" si="40"/>
        <v>475</v>
      </c>
      <c r="J655" s="1" t="s">
        <v>15</v>
      </c>
      <c r="K655" s="4" t="s">
        <v>209</v>
      </c>
      <c r="L655" s="4" t="s">
        <v>231</v>
      </c>
      <c r="M655" s="8">
        <v>120</v>
      </c>
      <c r="N655" s="5">
        <v>91.92</v>
      </c>
      <c r="O655" s="5">
        <v>11030.4</v>
      </c>
      <c r="P655">
        <f t="shared" si="41"/>
        <v>1</v>
      </c>
      <c r="Q655" s="36">
        <f t="shared" si="42"/>
        <v>11030.4</v>
      </c>
      <c r="R655">
        <f t="shared" si="43"/>
        <v>2023</v>
      </c>
    </row>
    <row r="656" spans="1:18" x14ac:dyDescent="0.2">
      <c r="A656" s="13">
        <v>45413</v>
      </c>
      <c r="B656" s="13">
        <v>45033</v>
      </c>
      <c r="C656" s="25" t="s">
        <v>399</v>
      </c>
      <c r="D656" s="20">
        <v>380</v>
      </c>
      <c r="E656" s="28">
        <v>5882.88</v>
      </c>
      <c r="F656" s="22" t="s">
        <v>113</v>
      </c>
      <c r="G656" s="14">
        <v>64</v>
      </c>
      <c r="H656" s="40">
        <v>44964</v>
      </c>
      <c r="I656" s="46">
        <f t="shared" si="40"/>
        <v>449</v>
      </c>
      <c r="J656" s="1" t="s">
        <v>15</v>
      </c>
      <c r="K656" s="4" t="s">
        <v>209</v>
      </c>
      <c r="L656" s="4" t="s">
        <v>231</v>
      </c>
      <c r="M656" s="8">
        <v>120</v>
      </c>
      <c r="N656" s="5">
        <v>91.92</v>
      </c>
      <c r="O656" s="5">
        <v>11030.4</v>
      </c>
      <c r="P656">
        <f t="shared" si="41"/>
        <v>0</v>
      </c>
      <c r="Q656" s="36">
        <f t="shared" si="42"/>
        <v>5882.88</v>
      </c>
      <c r="R656">
        <f t="shared" si="43"/>
        <v>2023</v>
      </c>
    </row>
    <row r="657" spans="1:18" x14ac:dyDescent="0.2">
      <c r="A657" s="13">
        <v>45427</v>
      </c>
      <c r="B657" s="13">
        <v>45033</v>
      </c>
      <c r="C657" s="25" t="s">
        <v>399</v>
      </c>
      <c r="D657" s="20">
        <v>394</v>
      </c>
      <c r="E657" s="28">
        <v>5147.5200000000004</v>
      </c>
      <c r="F657" s="22" t="s">
        <v>113</v>
      </c>
      <c r="G657" s="14">
        <v>56</v>
      </c>
      <c r="H657" s="40">
        <v>44964</v>
      </c>
      <c r="I657" s="46">
        <f t="shared" si="40"/>
        <v>463</v>
      </c>
      <c r="J657" s="1" t="s">
        <v>15</v>
      </c>
      <c r="K657" s="4" t="s">
        <v>209</v>
      </c>
      <c r="L657" s="4" t="s">
        <v>231</v>
      </c>
      <c r="M657" s="8">
        <v>120</v>
      </c>
      <c r="N657" s="5">
        <v>91.92</v>
      </c>
      <c r="O657" s="5">
        <v>11030.4</v>
      </c>
      <c r="P657">
        <f t="shared" si="41"/>
        <v>0</v>
      </c>
      <c r="Q657" s="36">
        <f t="shared" si="42"/>
        <v>5147.5200000000004</v>
      </c>
      <c r="R657">
        <f t="shared" si="43"/>
        <v>2023</v>
      </c>
    </row>
    <row r="658" spans="1:18" x14ac:dyDescent="0.2">
      <c r="A658" s="13">
        <v>45185</v>
      </c>
      <c r="B658" s="13">
        <v>45185</v>
      </c>
      <c r="C658" s="25" t="s">
        <v>398</v>
      </c>
      <c r="D658" s="20">
        <v>0</v>
      </c>
      <c r="E658" s="28">
        <v>21606.48</v>
      </c>
      <c r="F658" s="22" t="s">
        <v>61</v>
      </c>
      <c r="G658" s="14">
        <v>252</v>
      </c>
      <c r="H658" s="40">
        <v>44775</v>
      </c>
      <c r="I658" s="46">
        <f t="shared" si="40"/>
        <v>410</v>
      </c>
      <c r="J658" s="1" t="s">
        <v>15</v>
      </c>
      <c r="K658" s="4" t="s">
        <v>209</v>
      </c>
      <c r="L658" s="4" t="s">
        <v>231</v>
      </c>
      <c r="M658" s="8">
        <v>252</v>
      </c>
      <c r="N658" s="5">
        <v>85.74</v>
      </c>
      <c r="O658" s="5">
        <v>21606.48</v>
      </c>
      <c r="P658">
        <f t="shared" si="41"/>
        <v>1</v>
      </c>
      <c r="Q658" s="36">
        <f t="shared" si="42"/>
        <v>21606.48</v>
      </c>
      <c r="R658">
        <f t="shared" si="43"/>
        <v>2022</v>
      </c>
    </row>
    <row r="659" spans="1:18" x14ac:dyDescent="0.2">
      <c r="A659" s="13">
        <v>45324</v>
      </c>
      <c r="B659" s="13">
        <v>45259</v>
      </c>
      <c r="C659" s="25" t="s">
        <v>399</v>
      </c>
      <c r="D659" s="20">
        <v>65</v>
      </c>
      <c r="E659" s="28">
        <v>21606.48</v>
      </c>
      <c r="F659" s="22" t="s">
        <v>61</v>
      </c>
      <c r="G659" s="14">
        <v>252</v>
      </c>
      <c r="H659" s="40">
        <v>44969</v>
      </c>
      <c r="I659" s="46">
        <f t="shared" si="40"/>
        <v>355</v>
      </c>
      <c r="J659" s="1" t="s">
        <v>15</v>
      </c>
      <c r="K659" s="4" t="s">
        <v>209</v>
      </c>
      <c r="L659" s="4" t="s">
        <v>231</v>
      </c>
      <c r="M659" s="8">
        <v>252</v>
      </c>
      <c r="N659" s="5">
        <v>85.74</v>
      </c>
      <c r="O659" s="5">
        <v>21606.48</v>
      </c>
      <c r="P659">
        <f t="shared" si="41"/>
        <v>1</v>
      </c>
      <c r="Q659" s="36">
        <f t="shared" si="42"/>
        <v>21606.48</v>
      </c>
      <c r="R659">
        <f t="shared" si="43"/>
        <v>2023</v>
      </c>
    </row>
    <row r="660" spans="1:18" x14ac:dyDescent="0.2">
      <c r="A660" s="13">
        <v>45364</v>
      </c>
      <c r="B660" s="13">
        <v>45364</v>
      </c>
      <c r="C660" s="25" t="s">
        <v>398</v>
      </c>
      <c r="D660" s="20">
        <v>0</v>
      </c>
      <c r="E660" s="28">
        <v>21606.48</v>
      </c>
      <c r="F660" s="22" t="s">
        <v>61</v>
      </c>
      <c r="G660" s="14">
        <v>252</v>
      </c>
      <c r="H660" s="40">
        <v>44972</v>
      </c>
      <c r="I660" s="46">
        <f t="shared" si="40"/>
        <v>392</v>
      </c>
      <c r="J660" s="1" t="s">
        <v>15</v>
      </c>
      <c r="K660" s="4" t="s">
        <v>209</v>
      </c>
      <c r="L660" s="4" t="s">
        <v>231</v>
      </c>
      <c r="M660" s="8">
        <v>252</v>
      </c>
      <c r="N660" s="5">
        <v>85.74</v>
      </c>
      <c r="O660" s="5">
        <v>21606.48</v>
      </c>
      <c r="P660">
        <f t="shared" si="41"/>
        <v>1</v>
      </c>
      <c r="Q660" s="36">
        <f t="shared" si="42"/>
        <v>21606.48</v>
      </c>
      <c r="R660">
        <f t="shared" si="43"/>
        <v>2023</v>
      </c>
    </row>
    <row r="661" spans="1:18" x14ac:dyDescent="0.2">
      <c r="A661" s="13">
        <v>45513</v>
      </c>
      <c r="B661" s="13">
        <v>45513</v>
      </c>
      <c r="C661" s="25" t="s">
        <v>398</v>
      </c>
      <c r="D661" s="20">
        <v>0</v>
      </c>
      <c r="E661" s="28">
        <v>21606.48</v>
      </c>
      <c r="F661" s="22" t="s">
        <v>61</v>
      </c>
      <c r="G661" s="14">
        <v>252</v>
      </c>
      <c r="H661" s="40">
        <v>45124</v>
      </c>
      <c r="I661" s="46">
        <f t="shared" si="40"/>
        <v>389</v>
      </c>
      <c r="J661" s="1" t="s">
        <v>15</v>
      </c>
      <c r="K661" s="4" t="s">
        <v>209</v>
      </c>
      <c r="L661" s="4" t="s">
        <v>231</v>
      </c>
      <c r="M661" s="8">
        <v>252</v>
      </c>
      <c r="N661" s="5">
        <v>85.74</v>
      </c>
      <c r="O661" s="5">
        <v>21606.48</v>
      </c>
      <c r="P661">
        <f t="shared" si="41"/>
        <v>1</v>
      </c>
      <c r="Q661" s="36">
        <f t="shared" si="42"/>
        <v>21606.48</v>
      </c>
      <c r="R661">
        <f t="shared" si="43"/>
        <v>2023</v>
      </c>
    </row>
    <row r="662" spans="1:18" x14ac:dyDescent="0.2">
      <c r="A662" s="13">
        <v>45194</v>
      </c>
      <c r="B662" s="13">
        <v>45194</v>
      </c>
      <c r="C662" s="25" t="s">
        <v>398</v>
      </c>
      <c r="D662" s="20">
        <v>0</v>
      </c>
      <c r="E662" s="28">
        <v>922.5</v>
      </c>
      <c r="F662" s="22" t="s">
        <v>112</v>
      </c>
      <c r="G662" s="14">
        <v>9000</v>
      </c>
      <c r="H662" s="40">
        <v>45033</v>
      </c>
      <c r="I662" s="46">
        <f t="shared" si="40"/>
        <v>161</v>
      </c>
      <c r="J662" s="1" t="s">
        <v>15</v>
      </c>
      <c r="K662" s="4" t="s">
        <v>209</v>
      </c>
      <c r="L662" s="4" t="s">
        <v>231</v>
      </c>
      <c r="M662" s="8">
        <v>9000</v>
      </c>
      <c r="N662" s="5">
        <v>0.1</v>
      </c>
      <c r="O662" s="5">
        <v>900</v>
      </c>
      <c r="P662">
        <f t="shared" si="41"/>
        <v>1</v>
      </c>
      <c r="Q662" s="36">
        <f t="shared" si="42"/>
        <v>900</v>
      </c>
      <c r="R662">
        <f t="shared" si="43"/>
        <v>2023</v>
      </c>
    </row>
    <row r="663" spans="1:18" x14ac:dyDescent="0.2">
      <c r="A663" s="13">
        <v>45217</v>
      </c>
      <c r="B663" s="13">
        <v>45217</v>
      </c>
      <c r="C663" s="25" t="s">
        <v>398</v>
      </c>
      <c r="D663" s="20">
        <v>0</v>
      </c>
      <c r="E663" s="28">
        <v>776941.5</v>
      </c>
      <c r="F663" s="22" t="s">
        <v>66</v>
      </c>
      <c r="G663" s="14">
        <v>1770</v>
      </c>
      <c r="H663" s="40">
        <v>44848</v>
      </c>
      <c r="I663" s="46">
        <f t="shared" si="40"/>
        <v>369</v>
      </c>
      <c r="J663" s="1" t="s">
        <v>15</v>
      </c>
      <c r="K663" s="4" t="s">
        <v>209</v>
      </c>
      <c r="L663" s="4" t="s">
        <v>231</v>
      </c>
      <c r="M663" s="8">
        <v>1770</v>
      </c>
      <c r="N663" s="5">
        <v>438.95</v>
      </c>
      <c r="O663" s="5">
        <v>776941.5</v>
      </c>
      <c r="P663">
        <f t="shared" si="41"/>
        <v>1</v>
      </c>
      <c r="Q663" s="36">
        <f t="shared" si="42"/>
        <v>776941.5</v>
      </c>
      <c r="R663">
        <f t="shared" si="43"/>
        <v>2022</v>
      </c>
    </row>
    <row r="664" spans="1:18" x14ac:dyDescent="0.2">
      <c r="A664" s="13">
        <v>45224</v>
      </c>
      <c r="B664" s="13">
        <v>45224</v>
      </c>
      <c r="C664" s="25" t="s">
        <v>398</v>
      </c>
      <c r="D664" s="20">
        <v>0</v>
      </c>
      <c r="E664" s="28">
        <v>263370</v>
      </c>
      <c r="F664" s="22" t="s">
        <v>66</v>
      </c>
      <c r="G664" s="14">
        <v>600</v>
      </c>
      <c r="H664" s="40">
        <v>44848</v>
      </c>
      <c r="I664" s="46">
        <f t="shared" si="40"/>
        <v>376</v>
      </c>
      <c r="J664" s="1" t="s">
        <v>15</v>
      </c>
      <c r="K664" s="4" t="s">
        <v>209</v>
      </c>
      <c r="L664" s="4" t="s">
        <v>231</v>
      </c>
      <c r="M664" s="8">
        <v>600</v>
      </c>
      <c r="N664" s="5">
        <v>438.95</v>
      </c>
      <c r="O664" s="5">
        <v>263370</v>
      </c>
      <c r="P664">
        <f t="shared" si="41"/>
        <v>1</v>
      </c>
      <c r="Q664" s="36">
        <f t="shared" si="42"/>
        <v>263370</v>
      </c>
      <c r="R664">
        <f t="shared" si="43"/>
        <v>2022</v>
      </c>
    </row>
    <row r="665" spans="1:18" x14ac:dyDescent="0.2">
      <c r="A665" s="13">
        <v>45203</v>
      </c>
      <c r="B665" s="13">
        <v>45203</v>
      </c>
      <c r="C665" s="25" t="s">
        <v>398</v>
      </c>
      <c r="D665" s="20">
        <v>0</v>
      </c>
      <c r="E665" s="28">
        <v>276538.5</v>
      </c>
      <c r="F665" s="22" t="s">
        <v>66</v>
      </c>
      <c r="G665" s="14">
        <v>630</v>
      </c>
      <c r="H665" s="40">
        <v>44851</v>
      </c>
      <c r="I665" s="46">
        <f t="shared" si="40"/>
        <v>352</v>
      </c>
      <c r="J665" s="1" t="s">
        <v>15</v>
      </c>
      <c r="K665" s="4" t="s">
        <v>209</v>
      </c>
      <c r="L665" s="4" t="s">
        <v>231</v>
      </c>
      <c r="M665" s="8">
        <v>630</v>
      </c>
      <c r="N665" s="5">
        <v>438.95</v>
      </c>
      <c r="O665" s="5">
        <v>276538.5</v>
      </c>
      <c r="P665">
        <f t="shared" si="41"/>
        <v>1</v>
      </c>
      <c r="Q665" s="36">
        <f t="shared" si="42"/>
        <v>276538.5</v>
      </c>
      <c r="R665">
        <f t="shared" si="43"/>
        <v>2022</v>
      </c>
    </row>
    <row r="666" spans="1:18" x14ac:dyDescent="0.2">
      <c r="A666" s="13">
        <v>45308</v>
      </c>
      <c r="B666" s="13">
        <v>45308</v>
      </c>
      <c r="C666" s="25" t="s">
        <v>398</v>
      </c>
      <c r="D666" s="20">
        <v>0</v>
      </c>
      <c r="E666" s="28">
        <v>184359</v>
      </c>
      <c r="F666" s="22" t="s">
        <v>66</v>
      </c>
      <c r="G666" s="14">
        <v>420</v>
      </c>
      <c r="H666" s="40">
        <v>44937</v>
      </c>
      <c r="I666" s="46">
        <f t="shared" si="40"/>
        <v>371</v>
      </c>
      <c r="J666" s="1" t="s">
        <v>15</v>
      </c>
      <c r="K666" s="4" t="s">
        <v>209</v>
      </c>
      <c r="L666" s="4" t="s">
        <v>231</v>
      </c>
      <c r="M666" s="8">
        <v>1290</v>
      </c>
      <c r="N666" s="5">
        <v>438.95</v>
      </c>
      <c r="O666" s="5">
        <v>566245.5</v>
      </c>
      <c r="P666">
        <f t="shared" si="41"/>
        <v>0</v>
      </c>
      <c r="Q666" s="36">
        <f t="shared" si="42"/>
        <v>184359</v>
      </c>
      <c r="R666">
        <f t="shared" si="43"/>
        <v>2023</v>
      </c>
    </row>
    <row r="667" spans="1:18" x14ac:dyDescent="0.2">
      <c r="A667" s="13">
        <v>45330</v>
      </c>
      <c r="B667" s="13">
        <v>45308</v>
      </c>
      <c r="C667" s="25" t="s">
        <v>399</v>
      </c>
      <c r="D667" s="20">
        <v>22</v>
      </c>
      <c r="E667" s="28">
        <v>381886.5</v>
      </c>
      <c r="F667" s="22" t="s">
        <v>66</v>
      </c>
      <c r="G667" s="14">
        <v>870</v>
      </c>
      <c r="H667" s="40">
        <v>44937</v>
      </c>
      <c r="I667" s="46">
        <f t="shared" si="40"/>
        <v>393</v>
      </c>
      <c r="J667" s="1" t="s">
        <v>15</v>
      </c>
      <c r="K667" s="4" t="s">
        <v>209</v>
      </c>
      <c r="L667" s="4" t="s">
        <v>231</v>
      </c>
      <c r="M667" s="8">
        <v>1290</v>
      </c>
      <c r="N667" s="5">
        <v>438.95</v>
      </c>
      <c r="O667" s="5">
        <v>566245.5</v>
      </c>
      <c r="P667">
        <f t="shared" si="41"/>
        <v>0</v>
      </c>
      <c r="Q667" s="36">
        <f t="shared" si="42"/>
        <v>381886.5</v>
      </c>
      <c r="R667">
        <f t="shared" si="43"/>
        <v>2023</v>
      </c>
    </row>
    <row r="668" spans="1:18" x14ac:dyDescent="0.2">
      <c r="A668" s="13">
        <v>45485</v>
      </c>
      <c r="B668" s="13">
        <v>45485</v>
      </c>
      <c r="C668" s="25" t="s">
        <v>398</v>
      </c>
      <c r="D668" s="20">
        <v>0</v>
      </c>
      <c r="E668" s="28">
        <v>184359</v>
      </c>
      <c r="F668" s="22" t="s">
        <v>66</v>
      </c>
      <c r="G668" s="14">
        <v>420</v>
      </c>
      <c r="H668" s="40">
        <v>45090</v>
      </c>
      <c r="I668" s="46">
        <f t="shared" si="40"/>
        <v>395</v>
      </c>
      <c r="J668" s="1" t="s">
        <v>15</v>
      </c>
      <c r="K668" s="4" t="s">
        <v>209</v>
      </c>
      <c r="L668" s="4" t="s">
        <v>231</v>
      </c>
      <c r="M668" s="8">
        <v>420</v>
      </c>
      <c r="N668" s="5">
        <v>438.95</v>
      </c>
      <c r="O668" s="5">
        <v>184359</v>
      </c>
      <c r="P668">
        <f t="shared" si="41"/>
        <v>1</v>
      </c>
      <c r="Q668" s="36">
        <f t="shared" si="42"/>
        <v>184359</v>
      </c>
      <c r="R668">
        <f t="shared" si="43"/>
        <v>2023</v>
      </c>
    </row>
    <row r="669" spans="1:18" x14ac:dyDescent="0.2">
      <c r="A669" s="13">
        <v>45863</v>
      </c>
      <c r="B669" s="13">
        <v>45863</v>
      </c>
      <c r="C669" s="25" t="s">
        <v>398</v>
      </c>
      <c r="D669" s="20">
        <v>0</v>
      </c>
      <c r="E669" s="28">
        <v>13168.5</v>
      </c>
      <c r="F669" s="22" t="s">
        <v>66</v>
      </c>
      <c r="G669" s="14">
        <v>30</v>
      </c>
      <c r="H669" s="40">
        <v>45090</v>
      </c>
      <c r="I669" s="46">
        <f t="shared" si="40"/>
        <v>773</v>
      </c>
      <c r="J669" s="1" t="s">
        <v>15</v>
      </c>
      <c r="K669" s="4" t="s">
        <v>209</v>
      </c>
      <c r="L669" s="4" t="s">
        <v>231</v>
      </c>
      <c r="M669" s="8">
        <v>30</v>
      </c>
      <c r="N669" s="5">
        <v>438.95</v>
      </c>
      <c r="O669" s="5">
        <v>13168.5</v>
      </c>
      <c r="P669">
        <f t="shared" si="41"/>
        <v>1</v>
      </c>
      <c r="Q669" s="36">
        <f t="shared" si="42"/>
        <v>13168.5</v>
      </c>
      <c r="R669">
        <f t="shared" si="43"/>
        <v>2023</v>
      </c>
    </row>
    <row r="670" spans="1:18" x14ac:dyDescent="0.2">
      <c r="A670" s="13">
        <v>45190</v>
      </c>
      <c r="B670" s="13">
        <v>45156</v>
      </c>
      <c r="C670" s="25" t="s">
        <v>399</v>
      </c>
      <c r="D670" s="20">
        <v>34</v>
      </c>
      <c r="E670" s="28">
        <v>13168.5</v>
      </c>
      <c r="F670" s="22" t="s">
        <v>66</v>
      </c>
      <c r="G670" s="14">
        <v>30</v>
      </c>
      <c r="H670" s="40">
        <v>45174</v>
      </c>
      <c r="I670" s="46">
        <f t="shared" si="40"/>
        <v>16</v>
      </c>
      <c r="J670" s="1" t="s">
        <v>15</v>
      </c>
      <c r="K670" s="4" t="s">
        <v>209</v>
      </c>
      <c r="L670" s="4" t="s">
        <v>231</v>
      </c>
      <c r="M670" s="8">
        <v>450</v>
      </c>
      <c r="N670" s="5">
        <v>438.95</v>
      </c>
      <c r="O670" s="5">
        <v>197527.5</v>
      </c>
      <c r="P670">
        <f t="shared" si="41"/>
        <v>0</v>
      </c>
      <c r="Q670" s="36">
        <f t="shared" si="42"/>
        <v>13168.5</v>
      </c>
      <c r="R670">
        <f t="shared" si="43"/>
        <v>2023</v>
      </c>
    </row>
    <row r="671" spans="1:18" x14ac:dyDescent="0.2">
      <c r="A671" s="13">
        <v>45205</v>
      </c>
      <c r="B671" s="13">
        <v>45205</v>
      </c>
      <c r="C671" s="25" t="s">
        <v>398</v>
      </c>
      <c r="D671" s="20">
        <v>0</v>
      </c>
      <c r="E671" s="28">
        <v>89925.119999999995</v>
      </c>
      <c r="F671" s="22" t="s">
        <v>115</v>
      </c>
      <c r="G671" s="14">
        <v>432</v>
      </c>
      <c r="H671" s="40">
        <v>44881</v>
      </c>
      <c r="I671" s="46">
        <f t="shared" si="40"/>
        <v>324</v>
      </c>
      <c r="J671" s="1" t="s">
        <v>15</v>
      </c>
      <c r="K671" s="4" t="s">
        <v>209</v>
      </c>
      <c r="L671" s="4" t="s">
        <v>231</v>
      </c>
      <c r="M671" s="8">
        <v>432</v>
      </c>
      <c r="N671" s="5">
        <v>208.16</v>
      </c>
      <c r="O671" s="5">
        <v>89925.119999999995</v>
      </c>
      <c r="P671">
        <f t="shared" si="41"/>
        <v>1</v>
      </c>
      <c r="Q671" s="36">
        <f t="shared" si="42"/>
        <v>89925.119999999995</v>
      </c>
      <c r="R671">
        <f t="shared" si="43"/>
        <v>2022</v>
      </c>
    </row>
    <row r="672" spans="1:18" x14ac:dyDescent="0.2">
      <c r="A672" s="13">
        <v>45321</v>
      </c>
      <c r="B672" s="13">
        <v>45321</v>
      </c>
      <c r="C672" s="25" t="s">
        <v>398</v>
      </c>
      <c r="D672" s="20">
        <v>0</v>
      </c>
      <c r="E672" s="28">
        <v>9991.68</v>
      </c>
      <c r="F672" s="22" t="s">
        <v>115</v>
      </c>
      <c r="G672" s="14">
        <v>48</v>
      </c>
      <c r="H672" s="40">
        <v>44945</v>
      </c>
      <c r="I672" s="46">
        <f t="shared" si="40"/>
        <v>376</v>
      </c>
      <c r="J672" s="1" t="s">
        <v>15</v>
      </c>
      <c r="K672" s="4" t="s">
        <v>209</v>
      </c>
      <c r="L672" s="4" t="s">
        <v>231</v>
      </c>
      <c r="M672" s="8">
        <v>48</v>
      </c>
      <c r="N672" s="5">
        <v>208.16</v>
      </c>
      <c r="O672" s="5">
        <v>9991.68</v>
      </c>
      <c r="P672">
        <f t="shared" si="41"/>
        <v>1</v>
      </c>
      <c r="Q672" s="36">
        <f t="shared" si="42"/>
        <v>9991.68</v>
      </c>
      <c r="R672">
        <f t="shared" si="43"/>
        <v>2023</v>
      </c>
    </row>
    <row r="673" spans="1:18" x14ac:dyDescent="0.2">
      <c r="A673" s="13">
        <v>45254</v>
      </c>
      <c r="B673" s="13">
        <v>45254</v>
      </c>
      <c r="C673" s="25" t="s">
        <v>398</v>
      </c>
      <c r="D673" s="20">
        <v>0</v>
      </c>
      <c r="E673" s="28">
        <v>73402.559999999998</v>
      </c>
      <c r="F673" s="22" t="s">
        <v>116</v>
      </c>
      <c r="G673" s="14">
        <v>1008</v>
      </c>
      <c r="H673" s="40">
        <v>44715</v>
      </c>
      <c r="I673" s="46">
        <f t="shared" si="40"/>
        <v>539</v>
      </c>
      <c r="J673" s="1" t="s">
        <v>15</v>
      </c>
      <c r="K673" s="4" t="s">
        <v>209</v>
      </c>
      <c r="L673" s="4" t="s">
        <v>231</v>
      </c>
      <c r="M673" s="8">
        <v>1008</v>
      </c>
      <c r="N673" s="5">
        <v>72.819999999999993</v>
      </c>
      <c r="O673" s="5">
        <v>73402.559999999998</v>
      </c>
      <c r="P673">
        <f t="shared" si="41"/>
        <v>1</v>
      </c>
      <c r="Q673" s="36">
        <f t="shared" si="42"/>
        <v>73402.559999999998</v>
      </c>
      <c r="R673">
        <f t="shared" si="43"/>
        <v>2022</v>
      </c>
    </row>
    <row r="674" spans="1:18" x14ac:dyDescent="0.2">
      <c r="A674" s="13">
        <v>45208</v>
      </c>
      <c r="B674" s="13">
        <v>45041</v>
      </c>
      <c r="C674" s="25" t="s">
        <v>399</v>
      </c>
      <c r="D674" s="20">
        <v>167</v>
      </c>
      <c r="E674" s="28">
        <v>4568.2</v>
      </c>
      <c r="F674" s="22" t="s">
        <v>68</v>
      </c>
      <c r="G674" s="14">
        <v>1820</v>
      </c>
      <c r="H674" s="40">
        <v>44687</v>
      </c>
      <c r="I674" s="46">
        <f t="shared" si="40"/>
        <v>521</v>
      </c>
      <c r="J674" s="1" t="s">
        <v>15</v>
      </c>
      <c r="K674" s="4" t="s">
        <v>209</v>
      </c>
      <c r="L674" s="4" t="s">
        <v>231</v>
      </c>
      <c r="M674" s="8">
        <v>1820</v>
      </c>
      <c r="N674" s="5">
        <v>2.5099999999999998</v>
      </c>
      <c r="O674" s="5">
        <v>4568.2</v>
      </c>
      <c r="P674">
        <f t="shared" si="41"/>
        <v>1</v>
      </c>
      <c r="Q674" s="36">
        <f t="shared" si="42"/>
        <v>4568.2</v>
      </c>
      <c r="R674">
        <f t="shared" si="43"/>
        <v>2022</v>
      </c>
    </row>
    <row r="675" spans="1:18" x14ac:dyDescent="0.2">
      <c r="A675" s="13">
        <v>45208</v>
      </c>
      <c r="B675" s="13">
        <v>45107</v>
      </c>
      <c r="C675" s="25" t="s">
        <v>399</v>
      </c>
      <c r="D675" s="20">
        <v>101</v>
      </c>
      <c r="E675" s="28">
        <v>4568.2</v>
      </c>
      <c r="F675" s="22" t="s">
        <v>68</v>
      </c>
      <c r="G675" s="14">
        <v>1820</v>
      </c>
      <c r="H675" s="40">
        <v>44721</v>
      </c>
      <c r="I675" s="46">
        <f t="shared" si="40"/>
        <v>487</v>
      </c>
      <c r="J675" s="1" t="s">
        <v>15</v>
      </c>
      <c r="K675" s="4" t="s">
        <v>209</v>
      </c>
      <c r="L675" s="4" t="s">
        <v>231</v>
      </c>
      <c r="M675" s="8">
        <v>1820</v>
      </c>
      <c r="N675" s="5">
        <v>2.5099999999999998</v>
      </c>
      <c r="O675" s="5">
        <v>4568.2</v>
      </c>
      <c r="P675">
        <f t="shared" si="41"/>
        <v>1</v>
      </c>
      <c r="Q675" s="36">
        <f t="shared" si="42"/>
        <v>4568.2</v>
      </c>
      <c r="R675">
        <f t="shared" si="43"/>
        <v>2022</v>
      </c>
    </row>
    <row r="676" spans="1:18" x14ac:dyDescent="0.2">
      <c r="A676" s="13">
        <v>45415</v>
      </c>
      <c r="B676" s="13">
        <v>45415</v>
      </c>
      <c r="C676" s="25" t="s">
        <v>398</v>
      </c>
      <c r="D676" s="20">
        <v>0</v>
      </c>
      <c r="E676" s="28">
        <v>4568.2</v>
      </c>
      <c r="F676" s="22" t="s">
        <v>68</v>
      </c>
      <c r="G676" s="14">
        <v>1820</v>
      </c>
      <c r="H676" s="40">
        <v>45055</v>
      </c>
      <c r="I676" s="46">
        <f t="shared" si="40"/>
        <v>360</v>
      </c>
      <c r="J676" s="1" t="s">
        <v>15</v>
      </c>
      <c r="K676" s="4" t="s">
        <v>209</v>
      </c>
      <c r="L676" s="4" t="s">
        <v>231</v>
      </c>
      <c r="M676" s="8">
        <v>1820</v>
      </c>
      <c r="N676" s="5">
        <v>2.5099999999999998</v>
      </c>
      <c r="O676" s="5">
        <v>4568.2</v>
      </c>
      <c r="P676">
        <f t="shared" si="41"/>
        <v>1</v>
      </c>
      <c r="Q676" s="36">
        <f t="shared" si="42"/>
        <v>4568.2</v>
      </c>
      <c r="R676">
        <f t="shared" si="43"/>
        <v>2023</v>
      </c>
    </row>
    <row r="677" spans="1:18" x14ac:dyDescent="0.2">
      <c r="A677" s="13">
        <v>45503</v>
      </c>
      <c r="B677" s="13">
        <v>45503</v>
      </c>
      <c r="C677" s="25" t="s">
        <v>398</v>
      </c>
      <c r="D677" s="20">
        <v>0</v>
      </c>
      <c r="E677" s="28">
        <v>4568.2</v>
      </c>
      <c r="F677" s="22" t="s">
        <v>68</v>
      </c>
      <c r="G677" s="14">
        <v>1820</v>
      </c>
      <c r="H677" s="40">
        <v>45147</v>
      </c>
      <c r="I677" s="46">
        <f t="shared" si="40"/>
        <v>356</v>
      </c>
      <c r="J677" s="1" t="s">
        <v>15</v>
      </c>
      <c r="K677" s="4" t="s">
        <v>209</v>
      </c>
      <c r="L677" s="4" t="s">
        <v>231</v>
      </c>
      <c r="M677" s="8">
        <v>1820</v>
      </c>
      <c r="N677" s="5">
        <v>2.5099999999999998</v>
      </c>
      <c r="O677" s="5">
        <v>4568.2</v>
      </c>
      <c r="P677">
        <f t="shared" si="41"/>
        <v>1</v>
      </c>
      <c r="Q677" s="36">
        <f t="shared" si="42"/>
        <v>4568.2</v>
      </c>
      <c r="R677">
        <f t="shared" si="43"/>
        <v>2023</v>
      </c>
    </row>
    <row r="678" spans="1:18" x14ac:dyDescent="0.2">
      <c r="A678" s="13">
        <v>45531</v>
      </c>
      <c r="B678" s="13">
        <v>45531</v>
      </c>
      <c r="C678" s="25" t="s">
        <v>398</v>
      </c>
      <c r="D678" s="20">
        <v>0</v>
      </c>
      <c r="E678" s="28">
        <v>4568.2</v>
      </c>
      <c r="F678" s="22" t="s">
        <v>68</v>
      </c>
      <c r="G678" s="14">
        <v>1820</v>
      </c>
      <c r="H678" s="40">
        <v>45147</v>
      </c>
      <c r="I678" s="46">
        <f t="shared" si="40"/>
        <v>384</v>
      </c>
      <c r="J678" s="1" t="s">
        <v>15</v>
      </c>
      <c r="K678" s="4" t="s">
        <v>209</v>
      </c>
      <c r="L678" s="4" t="s">
        <v>231</v>
      </c>
      <c r="M678" s="8">
        <v>1820</v>
      </c>
      <c r="N678" s="5">
        <v>2.5099999999999998</v>
      </c>
      <c r="O678" s="5">
        <v>4568.2</v>
      </c>
      <c r="P678">
        <f t="shared" si="41"/>
        <v>1</v>
      </c>
      <c r="Q678" s="36">
        <f t="shared" si="42"/>
        <v>4568.2</v>
      </c>
      <c r="R678">
        <f t="shared" si="43"/>
        <v>2023</v>
      </c>
    </row>
    <row r="679" spans="1:18" x14ac:dyDescent="0.2">
      <c r="A679" s="13">
        <v>45183</v>
      </c>
      <c r="B679" s="13">
        <v>44839</v>
      </c>
      <c r="C679" s="25" t="s">
        <v>399</v>
      </c>
      <c r="D679" s="20">
        <v>344</v>
      </c>
      <c r="E679" s="28">
        <v>73224.350000000006</v>
      </c>
      <c r="F679" s="22" t="s">
        <v>117</v>
      </c>
      <c r="G679" s="14">
        <v>541</v>
      </c>
      <c r="H679" s="40">
        <v>45026</v>
      </c>
      <c r="I679" s="46">
        <f t="shared" si="40"/>
        <v>157</v>
      </c>
      <c r="J679" s="1" t="s">
        <v>15</v>
      </c>
      <c r="K679" s="4" t="s">
        <v>209</v>
      </c>
      <c r="L679" s="4" t="s">
        <v>231</v>
      </c>
      <c r="M679" s="8">
        <v>541</v>
      </c>
      <c r="N679" s="5">
        <v>135.35</v>
      </c>
      <c r="O679" s="5">
        <v>73224.350000000006</v>
      </c>
      <c r="P679">
        <f t="shared" si="41"/>
        <v>1</v>
      </c>
      <c r="Q679" s="36">
        <f t="shared" si="42"/>
        <v>73224.349999999991</v>
      </c>
      <c r="R679">
        <f t="shared" si="43"/>
        <v>2023</v>
      </c>
    </row>
    <row r="680" spans="1:18" x14ac:dyDescent="0.2">
      <c r="A680" s="13">
        <v>45183</v>
      </c>
      <c r="B680" s="13">
        <v>44798</v>
      </c>
      <c r="C680" s="25" t="s">
        <v>399</v>
      </c>
      <c r="D680" s="20">
        <v>385</v>
      </c>
      <c r="E680" s="28">
        <v>62802.400000000001</v>
      </c>
      <c r="F680" s="22" t="s">
        <v>117</v>
      </c>
      <c r="G680" s="14">
        <v>464</v>
      </c>
      <c r="H680" s="40">
        <v>45174</v>
      </c>
      <c r="I680" s="46">
        <f t="shared" si="40"/>
        <v>9</v>
      </c>
      <c r="J680" s="1" t="s">
        <v>15</v>
      </c>
      <c r="K680" s="4" t="s">
        <v>209</v>
      </c>
      <c r="L680" s="4" t="s">
        <v>231</v>
      </c>
      <c r="M680" s="8">
        <v>464</v>
      </c>
      <c r="N680" s="5">
        <v>135.35</v>
      </c>
      <c r="O680" s="5">
        <v>62802.400000000001</v>
      </c>
      <c r="P680">
        <f t="shared" si="41"/>
        <v>1</v>
      </c>
      <c r="Q680" s="36">
        <f t="shared" si="42"/>
        <v>62802.399999999994</v>
      </c>
      <c r="R680">
        <f t="shared" si="43"/>
        <v>2023</v>
      </c>
    </row>
    <row r="681" spans="1:18" x14ac:dyDescent="0.2">
      <c r="A681" s="13">
        <v>45194</v>
      </c>
      <c r="B681" s="13">
        <v>45063</v>
      </c>
      <c r="C681" s="25" t="s">
        <v>399</v>
      </c>
      <c r="D681" s="20">
        <v>131</v>
      </c>
      <c r="E681" s="28">
        <v>87198.3</v>
      </c>
      <c r="F681" s="22" t="s">
        <v>72</v>
      </c>
      <c r="G681" s="14">
        <v>210</v>
      </c>
      <c r="H681" s="40">
        <v>45114</v>
      </c>
      <c r="I681" s="46">
        <f t="shared" si="40"/>
        <v>80</v>
      </c>
      <c r="J681" s="1" t="s">
        <v>15</v>
      </c>
      <c r="K681" s="4" t="s">
        <v>209</v>
      </c>
      <c r="L681" s="4" t="s">
        <v>231</v>
      </c>
      <c r="M681" s="8">
        <v>420</v>
      </c>
      <c r="N681" s="5">
        <v>415.23</v>
      </c>
      <c r="O681" s="5">
        <v>174396.6</v>
      </c>
      <c r="P681">
        <f t="shared" si="41"/>
        <v>0</v>
      </c>
      <c r="Q681" s="36">
        <f t="shared" si="42"/>
        <v>87198.3</v>
      </c>
      <c r="R681">
        <f t="shared" si="43"/>
        <v>2023</v>
      </c>
    </row>
    <row r="682" spans="1:18" x14ac:dyDescent="0.2">
      <c r="A682" s="13">
        <v>45194</v>
      </c>
      <c r="B682" s="13">
        <v>45049</v>
      </c>
      <c r="C682" s="25" t="s">
        <v>399</v>
      </c>
      <c r="D682" s="20">
        <v>145</v>
      </c>
      <c r="E682" s="28">
        <v>29066.1</v>
      </c>
      <c r="F682" s="22" t="s">
        <v>72</v>
      </c>
      <c r="G682" s="14">
        <v>70</v>
      </c>
      <c r="H682" s="40">
        <v>45180</v>
      </c>
      <c r="I682" s="46">
        <f t="shared" si="40"/>
        <v>14</v>
      </c>
      <c r="J682" s="1" t="s">
        <v>15</v>
      </c>
      <c r="K682" s="4" t="s">
        <v>209</v>
      </c>
      <c r="L682" s="4" t="s">
        <v>231</v>
      </c>
      <c r="M682" s="8">
        <v>560</v>
      </c>
      <c r="N682" s="5">
        <v>415.23</v>
      </c>
      <c r="O682" s="5">
        <v>232528.8</v>
      </c>
      <c r="P682">
        <f t="shared" si="41"/>
        <v>0</v>
      </c>
      <c r="Q682" s="36">
        <f t="shared" si="42"/>
        <v>29066.100000000002</v>
      </c>
      <c r="R682">
        <f t="shared" si="43"/>
        <v>2023</v>
      </c>
    </row>
    <row r="683" spans="1:18" x14ac:dyDescent="0.2">
      <c r="A683" s="13">
        <v>45197</v>
      </c>
      <c r="B683" s="13">
        <v>45049</v>
      </c>
      <c r="C683" s="25" t="s">
        <v>399</v>
      </c>
      <c r="D683" s="20">
        <v>148</v>
      </c>
      <c r="E683" s="28">
        <v>203462.7</v>
      </c>
      <c r="F683" s="22" t="s">
        <v>72</v>
      </c>
      <c r="G683" s="14">
        <v>490</v>
      </c>
      <c r="H683" s="40">
        <v>45180</v>
      </c>
      <c r="I683" s="46">
        <f t="shared" si="40"/>
        <v>17</v>
      </c>
      <c r="J683" s="1" t="s">
        <v>15</v>
      </c>
      <c r="K683" s="4" t="s">
        <v>209</v>
      </c>
      <c r="L683" s="4" t="s">
        <v>231</v>
      </c>
      <c r="M683" s="8">
        <v>560</v>
      </c>
      <c r="N683" s="5">
        <v>415.23</v>
      </c>
      <c r="O683" s="5">
        <v>232528.8</v>
      </c>
      <c r="P683">
        <f t="shared" si="41"/>
        <v>0</v>
      </c>
      <c r="Q683" s="36">
        <f t="shared" si="42"/>
        <v>203462.7</v>
      </c>
      <c r="R683">
        <f t="shared" si="43"/>
        <v>2023</v>
      </c>
    </row>
    <row r="684" spans="1:18" x14ac:dyDescent="0.2">
      <c r="A684" s="13">
        <v>45217</v>
      </c>
      <c r="B684" s="13">
        <v>45217</v>
      </c>
      <c r="C684" s="25" t="s">
        <v>398</v>
      </c>
      <c r="D684" s="20">
        <v>0</v>
      </c>
      <c r="E684" s="28">
        <v>120080.8</v>
      </c>
      <c r="F684" s="22" t="s">
        <v>73</v>
      </c>
      <c r="G684" s="14">
        <v>280</v>
      </c>
      <c r="H684" s="40">
        <v>44881</v>
      </c>
      <c r="I684" s="46">
        <f t="shared" si="40"/>
        <v>336</v>
      </c>
      <c r="J684" s="1" t="s">
        <v>15</v>
      </c>
      <c r="K684" s="4" t="s">
        <v>209</v>
      </c>
      <c r="L684" s="4" t="s">
        <v>231</v>
      </c>
      <c r="M684" s="8">
        <v>280</v>
      </c>
      <c r="N684" s="5">
        <v>428.86</v>
      </c>
      <c r="O684" s="5">
        <v>120080.8</v>
      </c>
      <c r="P684">
        <f t="shared" si="41"/>
        <v>1</v>
      </c>
      <c r="Q684" s="36">
        <f t="shared" si="42"/>
        <v>120080.8</v>
      </c>
      <c r="R684">
        <f t="shared" si="43"/>
        <v>2022</v>
      </c>
    </row>
    <row r="685" spans="1:18" x14ac:dyDescent="0.2">
      <c r="A685" s="13">
        <v>45245</v>
      </c>
      <c r="B685" s="13">
        <v>45245</v>
      </c>
      <c r="C685" s="25" t="s">
        <v>398</v>
      </c>
      <c r="D685" s="20">
        <v>0</v>
      </c>
      <c r="E685" s="28">
        <v>90060.6</v>
      </c>
      <c r="F685" s="22" t="s">
        <v>73</v>
      </c>
      <c r="G685" s="14">
        <v>210</v>
      </c>
      <c r="H685" s="40">
        <v>44881</v>
      </c>
      <c r="I685" s="46">
        <f t="shared" si="40"/>
        <v>364</v>
      </c>
      <c r="J685" s="1" t="s">
        <v>15</v>
      </c>
      <c r="K685" s="4" t="s">
        <v>209</v>
      </c>
      <c r="L685" s="4" t="s">
        <v>231</v>
      </c>
      <c r="M685" s="8">
        <v>210</v>
      </c>
      <c r="N685" s="5">
        <v>428.86</v>
      </c>
      <c r="O685" s="5">
        <v>90060.6</v>
      </c>
      <c r="P685">
        <f t="shared" si="41"/>
        <v>1</v>
      </c>
      <c r="Q685" s="36">
        <f t="shared" si="42"/>
        <v>90060.6</v>
      </c>
      <c r="R685">
        <f t="shared" si="43"/>
        <v>2022</v>
      </c>
    </row>
    <row r="686" spans="1:18" x14ac:dyDescent="0.2">
      <c r="A686" s="13">
        <v>45194</v>
      </c>
      <c r="B686" s="13">
        <v>44986</v>
      </c>
      <c r="C686" s="25" t="s">
        <v>399</v>
      </c>
      <c r="D686" s="20">
        <v>208</v>
      </c>
      <c r="E686" s="28">
        <v>26859</v>
      </c>
      <c r="F686" s="22" t="s">
        <v>74</v>
      </c>
      <c r="G686" s="14">
        <v>70</v>
      </c>
      <c r="H686" s="40">
        <v>44625</v>
      </c>
      <c r="I686" s="46">
        <f t="shared" si="40"/>
        <v>569</v>
      </c>
      <c r="J686" s="1" t="s">
        <v>15</v>
      </c>
      <c r="K686" s="4" t="s">
        <v>209</v>
      </c>
      <c r="L686" s="4" t="s">
        <v>231</v>
      </c>
      <c r="M686" s="8">
        <v>70</v>
      </c>
      <c r="N686" s="5">
        <v>383.7</v>
      </c>
      <c r="O686" s="5">
        <v>26859</v>
      </c>
      <c r="P686">
        <f t="shared" si="41"/>
        <v>1</v>
      </c>
      <c r="Q686" s="36">
        <f t="shared" si="42"/>
        <v>26859</v>
      </c>
      <c r="R686">
        <f t="shared" si="43"/>
        <v>2022</v>
      </c>
    </row>
    <row r="687" spans="1:18" x14ac:dyDescent="0.2">
      <c r="A687" s="13">
        <v>45197</v>
      </c>
      <c r="B687" s="13">
        <v>44986</v>
      </c>
      <c r="C687" s="25" t="s">
        <v>399</v>
      </c>
      <c r="D687" s="20">
        <v>211</v>
      </c>
      <c r="E687" s="28">
        <v>26859</v>
      </c>
      <c r="F687" s="22" t="s">
        <v>74</v>
      </c>
      <c r="G687" s="14">
        <v>70</v>
      </c>
      <c r="H687" s="40">
        <v>44625</v>
      </c>
      <c r="I687" s="46">
        <f t="shared" si="40"/>
        <v>572</v>
      </c>
      <c r="J687" s="1" t="s">
        <v>15</v>
      </c>
      <c r="K687" s="4" t="s">
        <v>209</v>
      </c>
      <c r="L687" s="4" t="s">
        <v>231</v>
      </c>
      <c r="M687" s="8">
        <v>70</v>
      </c>
      <c r="N687" s="5">
        <v>383.7</v>
      </c>
      <c r="O687" s="5">
        <v>26859</v>
      </c>
      <c r="P687">
        <f t="shared" si="41"/>
        <v>1</v>
      </c>
      <c r="Q687" s="36">
        <f t="shared" si="42"/>
        <v>26859</v>
      </c>
      <c r="R687">
        <f t="shared" si="43"/>
        <v>2022</v>
      </c>
    </row>
    <row r="688" spans="1:18" x14ac:dyDescent="0.2">
      <c r="A688" s="13">
        <v>45197</v>
      </c>
      <c r="B688" s="13">
        <v>44960</v>
      </c>
      <c r="C688" s="25" t="s">
        <v>399</v>
      </c>
      <c r="D688" s="20">
        <v>237</v>
      </c>
      <c r="E688" s="28">
        <v>26859</v>
      </c>
      <c r="F688" s="22" t="s">
        <v>74</v>
      </c>
      <c r="G688" s="14">
        <v>70</v>
      </c>
      <c r="H688" s="40">
        <v>44625</v>
      </c>
      <c r="I688" s="46">
        <f t="shared" si="40"/>
        <v>572</v>
      </c>
      <c r="J688" s="1" t="s">
        <v>15</v>
      </c>
      <c r="K688" s="4" t="s">
        <v>209</v>
      </c>
      <c r="L688" s="4" t="s">
        <v>231</v>
      </c>
      <c r="M688" s="8">
        <v>70</v>
      </c>
      <c r="N688" s="5">
        <v>383.7</v>
      </c>
      <c r="O688" s="5">
        <v>26859</v>
      </c>
      <c r="P688">
        <f t="shared" si="41"/>
        <v>1</v>
      </c>
      <c r="Q688" s="36">
        <f t="shared" si="42"/>
        <v>26859</v>
      </c>
      <c r="R688">
        <f t="shared" si="43"/>
        <v>2022</v>
      </c>
    </row>
    <row r="689" spans="1:18" x14ac:dyDescent="0.2">
      <c r="A689" s="13">
        <v>45197</v>
      </c>
      <c r="B689" s="13">
        <v>44958</v>
      </c>
      <c r="C689" s="25" t="s">
        <v>399</v>
      </c>
      <c r="D689" s="20">
        <v>239</v>
      </c>
      <c r="E689" s="28">
        <v>26859</v>
      </c>
      <c r="F689" s="22" t="s">
        <v>74</v>
      </c>
      <c r="G689" s="14">
        <v>70</v>
      </c>
      <c r="H689" s="40">
        <v>44625</v>
      </c>
      <c r="I689" s="46">
        <f t="shared" si="40"/>
        <v>572</v>
      </c>
      <c r="J689" s="1" t="s">
        <v>15</v>
      </c>
      <c r="K689" s="4" t="s">
        <v>209</v>
      </c>
      <c r="L689" s="4" t="s">
        <v>231</v>
      </c>
      <c r="M689" s="8">
        <v>70</v>
      </c>
      <c r="N689" s="5">
        <v>383.7</v>
      </c>
      <c r="O689" s="5">
        <v>26859</v>
      </c>
      <c r="P689">
        <f t="shared" si="41"/>
        <v>1</v>
      </c>
      <c r="Q689" s="36">
        <f t="shared" si="42"/>
        <v>26859</v>
      </c>
      <c r="R689">
        <f t="shared" si="43"/>
        <v>2022</v>
      </c>
    </row>
    <row r="690" spans="1:18" x14ac:dyDescent="0.2">
      <c r="A690" s="13">
        <v>45225</v>
      </c>
      <c r="B690" s="13">
        <v>45225</v>
      </c>
      <c r="C690" s="25" t="s">
        <v>398</v>
      </c>
      <c r="D690" s="20">
        <v>0</v>
      </c>
      <c r="E690" s="28">
        <v>250582.2</v>
      </c>
      <c r="F690" s="22" t="s">
        <v>83</v>
      </c>
      <c r="G690" s="14">
        <v>330</v>
      </c>
      <c r="H690" s="40">
        <v>44691</v>
      </c>
      <c r="I690" s="46">
        <f t="shared" si="40"/>
        <v>534</v>
      </c>
      <c r="J690" s="1" t="s">
        <v>15</v>
      </c>
      <c r="K690" s="4" t="s">
        <v>209</v>
      </c>
      <c r="L690" s="4" t="s">
        <v>231</v>
      </c>
      <c r="M690" s="8">
        <v>330</v>
      </c>
      <c r="N690" s="5">
        <v>759.34</v>
      </c>
      <c r="O690" s="5">
        <v>250582.2</v>
      </c>
      <c r="P690">
        <f t="shared" si="41"/>
        <v>1</v>
      </c>
      <c r="Q690" s="36">
        <f t="shared" si="42"/>
        <v>250582.2</v>
      </c>
      <c r="R690">
        <f t="shared" si="43"/>
        <v>2022</v>
      </c>
    </row>
    <row r="691" spans="1:18" x14ac:dyDescent="0.2">
      <c r="A691" s="13">
        <v>45210</v>
      </c>
      <c r="B691" s="13">
        <v>45210</v>
      </c>
      <c r="C691" s="25" t="s">
        <v>398</v>
      </c>
      <c r="D691" s="20">
        <v>0</v>
      </c>
      <c r="E691" s="28">
        <v>205021.8</v>
      </c>
      <c r="F691" s="22" t="s">
        <v>83</v>
      </c>
      <c r="G691" s="14">
        <v>270</v>
      </c>
      <c r="H691" s="40">
        <v>44827</v>
      </c>
      <c r="I691" s="46">
        <f t="shared" si="40"/>
        <v>383</v>
      </c>
      <c r="J691" s="1" t="s">
        <v>15</v>
      </c>
      <c r="K691" s="4" t="s">
        <v>209</v>
      </c>
      <c r="L691" s="4" t="s">
        <v>231</v>
      </c>
      <c r="M691" s="8">
        <v>270</v>
      </c>
      <c r="N691" s="5">
        <v>759.34</v>
      </c>
      <c r="O691" s="5">
        <v>205021.8</v>
      </c>
      <c r="P691">
        <f t="shared" si="41"/>
        <v>1</v>
      </c>
      <c r="Q691" s="36">
        <f t="shared" si="42"/>
        <v>205021.80000000002</v>
      </c>
      <c r="R691">
        <f t="shared" si="43"/>
        <v>2022</v>
      </c>
    </row>
    <row r="692" spans="1:18" x14ac:dyDescent="0.2">
      <c r="A692" s="13">
        <v>45218</v>
      </c>
      <c r="B692" s="13">
        <v>45218</v>
      </c>
      <c r="C692" s="25" t="s">
        <v>398</v>
      </c>
      <c r="D692" s="20">
        <v>0</v>
      </c>
      <c r="E692" s="28">
        <v>91120.8</v>
      </c>
      <c r="F692" s="22" t="s">
        <v>83</v>
      </c>
      <c r="G692" s="14">
        <v>120</v>
      </c>
      <c r="H692" s="40">
        <v>44827</v>
      </c>
      <c r="I692" s="46">
        <f t="shared" si="40"/>
        <v>391</v>
      </c>
      <c r="J692" s="1" t="s">
        <v>15</v>
      </c>
      <c r="K692" s="4" t="s">
        <v>209</v>
      </c>
      <c r="L692" s="4" t="s">
        <v>231</v>
      </c>
      <c r="M692" s="8">
        <v>120</v>
      </c>
      <c r="N692" s="5">
        <v>759.34</v>
      </c>
      <c r="O692" s="5">
        <v>91120.8</v>
      </c>
      <c r="P692">
        <f t="shared" si="41"/>
        <v>1</v>
      </c>
      <c r="Q692" s="36">
        <f t="shared" si="42"/>
        <v>91120.8</v>
      </c>
      <c r="R692">
        <f t="shared" si="43"/>
        <v>2022</v>
      </c>
    </row>
    <row r="693" spans="1:18" x14ac:dyDescent="0.2">
      <c r="A693" s="13">
        <v>45217</v>
      </c>
      <c r="B693" s="13">
        <v>45217</v>
      </c>
      <c r="C693" s="25" t="s">
        <v>398</v>
      </c>
      <c r="D693" s="20">
        <v>0</v>
      </c>
      <c r="E693" s="28">
        <v>91120.8</v>
      </c>
      <c r="F693" s="22" t="s">
        <v>83</v>
      </c>
      <c r="G693" s="14">
        <v>120</v>
      </c>
      <c r="H693" s="40">
        <v>44831</v>
      </c>
      <c r="I693" s="46">
        <f t="shared" si="40"/>
        <v>386</v>
      </c>
      <c r="J693" s="1" t="s">
        <v>15</v>
      </c>
      <c r="K693" s="4" t="s">
        <v>209</v>
      </c>
      <c r="L693" s="4" t="s">
        <v>231</v>
      </c>
      <c r="M693" s="8">
        <v>120</v>
      </c>
      <c r="N693" s="5">
        <v>759.34</v>
      </c>
      <c r="O693" s="5">
        <v>91120.8</v>
      </c>
      <c r="P693">
        <f t="shared" si="41"/>
        <v>1</v>
      </c>
      <c r="Q693" s="36">
        <f t="shared" si="42"/>
        <v>91120.8</v>
      </c>
      <c r="R693">
        <f t="shared" si="43"/>
        <v>2022</v>
      </c>
    </row>
    <row r="694" spans="1:18" x14ac:dyDescent="0.2">
      <c r="A694" s="13">
        <v>45224</v>
      </c>
      <c r="B694" s="13">
        <v>45224</v>
      </c>
      <c r="C694" s="25" t="s">
        <v>398</v>
      </c>
      <c r="D694" s="20">
        <v>0</v>
      </c>
      <c r="E694" s="28">
        <v>68340.600000000006</v>
      </c>
      <c r="F694" s="22" t="s">
        <v>83</v>
      </c>
      <c r="G694" s="14">
        <v>90</v>
      </c>
      <c r="H694" s="40">
        <v>44831</v>
      </c>
      <c r="I694" s="46">
        <f t="shared" si="40"/>
        <v>393</v>
      </c>
      <c r="J694" s="1" t="s">
        <v>15</v>
      </c>
      <c r="K694" s="4" t="s">
        <v>209</v>
      </c>
      <c r="L694" s="4" t="s">
        <v>231</v>
      </c>
      <c r="M694" s="8">
        <v>90</v>
      </c>
      <c r="N694" s="5">
        <v>759.34</v>
      </c>
      <c r="O694" s="5">
        <v>68340.600000000006</v>
      </c>
      <c r="P694">
        <f t="shared" si="41"/>
        <v>1</v>
      </c>
      <c r="Q694" s="36">
        <f t="shared" si="42"/>
        <v>68340.600000000006</v>
      </c>
      <c r="R694">
        <f t="shared" si="43"/>
        <v>2022</v>
      </c>
    </row>
    <row r="695" spans="1:18" x14ac:dyDescent="0.2">
      <c r="A695" s="13">
        <v>45224</v>
      </c>
      <c r="B695" s="13">
        <v>45224</v>
      </c>
      <c r="C695" s="25" t="s">
        <v>398</v>
      </c>
      <c r="D695" s="20">
        <v>0</v>
      </c>
      <c r="E695" s="28">
        <v>45560.4</v>
      </c>
      <c r="F695" s="22" t="s">
        <v>83</v>
      </c>
      <c r="G695" s="14">
        <v>60</v>
      </c>
      <c r="H695" s="40">
        <v>44841</v>
      </c>
      <c r="I695" s="46">
        <f t="shared" si="40"/>
        <v>383</v>
      </c>
      <c r="J695" s="1" t="s">
        <v>15</v>
      </c>
      <c r="K695" s="4" t="s">
        <v>209</v>
      </c>
      <c r="L695" s="4" t="s">
        <v>231</v>
      </c>
      <c r="M695" s="8">
        <v>60</v>
      </c>
      <c r="N695" s="5">
        <v>759.34</v>
      </c>
      <c r="O695" s="5">
        <v>45560.4</v>
      </c>
      <c r="P695">
        <f t="shared" si="41"/>
        <v>1</v>
      </c>
      <c r="Q695" s="36">
        <f t="shared" si="42"/>
        <v>45560.4</v>
      </c>
      <c r="R695">
        <f t="shared" si="43"/>
        <v>2022</v>
      </c>
    </row>
    <row r="696" spans="1:18" x14ac:dyDescent="0.2">
      <c r="A696" s="13">
        <v>45225</v>
      </c>
      <c r="B696" s="13">
        <v>45225</v>
      </c>
      <c r="C696" s="25" t="s">
        <v>398</v>
      </c>
      <c r="D696" s="20">
        <v>0</v>
      </c>
      <c r="E696" s="28">
        <v>68340.600000000006</v>
      </c>
      <c r="F696" s="22" t="s">
        <v>83</v>
      </c>
      <c r="G696" s="14">
        <v>90</v>
      </c>
      <c r="H696" s="40">
        <v>44845</v>
      </c>
      <c r="I696" s="46">
        <f t="shared" si="40"/>
        <v>380</v>
      </c>
      <c r="J696" s="1" t="s">
        <v>15</v>
      </c>
      <c r="K696" s="4" t="s">
        <v>209</v>
      </c>
      <c r="L696" s="4" t="s">
        <v>231</v>
      </c>
      <c r="M696" s="8">
        <v>90</v>
      </c>
      <c r="N696" s="5">
        <v>759.34</v>
      </c>
      <c r="O696" s="5">
        <v>68340.600000000006</v>
      </c>
      <c r="P696">
        <f t="shared" si="41"/>
        <v>1</v>
      </c>
      <c r="Q696" s="36">
        <f t="shared" si="42"/>
        <v>68340.600000000006</v>
      </c>
      <c r="R696">
        <f t="shared" si="43"/>
        <v>2022</v>
      </c>
    </row>
    <row r="697" spans="1:18" x14ac:dyDescent="0.2">
      <c r="A697" s="13">
        <v>45295</v>
      </c>
      <c r="B697" s="13">
        <v>45295</v>
      </c>
      <c r="C697" s="25" t="s">
        <v>398</v>
      </c>
      <c r="D697" s="20">
        <v>0</v>
      </c>
      <c r="E697" s="28">
        <v>91120.8</v>
      </c>
      <c r="F697" s="22" t="s">
        <v>83</v>
      </c>
      <c r="G697" s="14">
        <v>120</v>
      </c>
      <c r="H697" s="40">
        <v>45007</v>
      </c>
      <c r="I697" s="46">
        <f t="shared" si="40"/>
        <v>288</v>
      </c>
      <c r="J697" s="1" t="s">
        <v>15</v>
      </c>
      <c r="K697" s="4" t="s">
        <v>209</v>
      </c>
      <c r="L697" s="4" t="s">
        <v>231</v>
      </c>
      <c r="M697" s="8">
        <v>120</v>
      </c>
      <c r="N697" s="5">
        <v>759.34</v>
      </c>
      <c r="O697" s="5">
        <v>91120.8</v>
      </c>
      <c r="P697">
        <f t="shared" si="41"/>
        <v>1</v>
      </c>
      <c r="Q697" s="36">
        <f t="shared" si="42"/>
        <v>91120.8</v>
      </c>
      <c r="R697">
        <f t="shared" si="43"/>
        <v>2023</v>
      </c>
    </row>
    <row r="698" spans="1:18" x14ac:dyDescent="0.2">
      <c r="A698" s="13">
        <v>45294</v>
      </c>
      <c r="B698" s="13">
        <v>45294</v>
      </c>
      <c r="C698" s="25" t="s">
        <v>398</v>
      </c>
      <c r="D698" s="20">
        <v>0</v>
      </c>
      <c r="E698" s="28">
        <v>227802</v>
      </c>
      <c r="F698" s="22" t="s">
        <v>83</v>
      </c>
      <c r="G698" s="14">
        <v>300</v>
      </c>
      <c r="H698" s="40">
        <v>45028</v>
      </c>
      <c r="I698" s="46">
        <f t="shared" si="40"/>
        <v>266</v>
      </c>
      <c r="J698" s="1" t="s">
        <v>15</v>
      </c>
      <c r="K698" s="4" t="s">
        <v>209</v>
      </c>
      <c r="L698" s="4" t="s">
        <v>231</v>
      </c>
      <c r="M698" s="8">
        <v>300</v>
      </c>
      <c r="N698" s="5">
        <v>759.34</v>
      </c>
      <c r="O698" s="5">
        <v>227802</v>
      </c>
      <c r="P698">
        <f t="shared" si="41"/>
        <v>1</v>
      </c>
      <c r="Q698" s="36">
        <f t="shared" si="42"/>
        <v>227802</v>
      </c>
      <c r="R698">
        <f t="shared" si="43"/>
        <v>2023</v>
      </c>
    </row>
    <row r="699" spans="1:18" x14ac:dyDescent="0.2">
      <c r="A699" s="13">
        <v>45301</v>
      </c>
      <c r="B699" s="13">
        <v>45301</v>
      </c>
      <c r="C699" s="25" t="s">
        <v>398</v>
      </c>
      <c r="D699" s="20">
        <v>0</v>
      </c>
      <c r="E699" s="28">
        <v>227802</v>
      </c>
      <c r="F699" s="22" t="s">
        <v>83</v>
      </c>
      <c r="G699" s="14">
        <v>300</v>
      </c>
      <c r="H699" s="40">
        <v>45028</v>
      </c>
      <c r="I699" s="46">
        <f t="shared" si="40"/>
        <v>273</v>
      </c>
      <c r="J699" s="1" t="s">
        <v>15</v>
      </c>
      <c r="K699" s="4" t="s">
        <v>209</v>
      </c>
      <c r="L699" s="4" t="s">
        <v>231</v>
      </c>
      <c r="M699" s="8">
        <v>300</v>
      </c>
      <c r="N699" s="5">
        <v>759.34</v>
      </c>
      <c r="O699" s="5">
        <v>227802</v>
      </c>
      <c r="P699">
        <f t="shared" si="41"/>
        <v>1</v>
      </c>
      <c r="Q699" s="36">
        <f t="shared" si="42"/>
        <v>227802</v>
      </c>
      <c r="R699">
        <f t="shared" si="43"/>
        <v>2023</v>
      </c>
    </row>
    <row r="700" spans="1:18" x14ac:dyDescent="0.2">
      <c r="A700" s="13">
        <v>45308</v>
      </c>
      <c r="B700" s="13">
        <v>45308</v>
      </c>
      <c r="C700" s="25" t="s">
        <v>398</v>
      </c>
      <c r="D700" s="20">
        <v>0</v>
      </c>
      <c r="E700" s="28">
        <v>205021.8</v>
      </c>
      <c r="F700" s="22" t="s">
        <v>83</v>
      </c>
      <c r="G700" s="14">
        <v>270</v>
      </c>
      <c r="H700" s="40">
        <v>45043</v>
      </c>
      <c r="I700" s="46">
        <f t="shared" si="40"/>
        <v>265</v>
      </c>
      <c r="J700" s="1" t="s">
        <v>15</v>
      </c>
      <c r="K700" s="4" t="s">
        <v>209</v>
      </c>
      <c r="L700" s="4" t="s">
        <v>231</v>
      </c>
      <c r="M700" s="8">
        <v>270</v>
      </c>
      <c r="N700" s="5">
        <v>759.34</v>
      </c>
      <c r="O700" s="5">
        <v>205021.8</v>
      </c>
      <c r="P700">
        <f t="shared" si="41"/>
        <v>1</v>
      </c>
      <c r="Q700" s="36">
        <f t="shared" si="42"/>
        <v>205021.80000000002</v>
      </c>
      <c r="R700">
        <f t="shared" si="43"/>
        <v>2023</v>
      </c>
    </row>
    <row r="701" spans="1:18" x14ac:dyDescent="0.2">
      <c r="A701" s="13">
        <v>45315</v>
      </c>
      <c r="B701" s="13">
        <v>45315</v>
      </c>
      <c r="C701" s="25" t="s">
        <v>398</v>
      </c>
      <c r="D701" s="20">
        <v>0</v>
      </c>
      <c r="E701" s="28">
        <v>205021.8</v>
      </c>
      <c r="F701" s="22" t="s">
        <v>83</v>
      </c>
      <c r="G701" s="14">
        <v>270</v>
      </c>
      <c r="H701" s="40">
        <v>45043</v>
      </c>
      <c r="I701" s="46">
        <f t="shared" si="40"/>
        <v>272</v>
      </c>
      <c r="J701" s="1" t="s">
        <v>15</v>
      </c>
      <c r="K701" s="4" t="s">
        <v>209</v>
      </c>
      <c r="L701" s="4" t="s">
        <v>231</v>
      </c>
      <c r="M701" s="8">
        <v>270</v>
      </c>
      <c r="N701" s="5">
        <v>759.34</v>
      </c>
      <c r="O701" s="5">
        <v>205021.8</v>
      </c>
      <c r="P701">
        <f t="shared" si="41"/>
        <v>1</v>
      </c>
      <c r="Q701" s="36">
        <f t="shared" si="42"/>
        <v>205021.80000000002</v>
      </c>
      <c r="R701">
        <f t="shared" si="43"/>
        <v>2023</v>
      </c>
    </row>
    <row r="702" spans="1:18" x14ac:dyDescent="0.2">
      <c r="A702" s="13">
        <v>45323</v>
      </c>
      <c r="B702" s="13">
        <v>45323</v>
      </c>
      <c r="C702" s="25" t="s">
        <v>398</v>
      </c>
      <c r="D702" s="20">
        <v>0</v>
      </c>
      <c r="E702" s="28">
        <v>22780.2</v>
      </c>
      <c r="F702" s="22" t="s">
        <v>83</v>
      </c>
      <c r="G702" s="14">
        <v>30</v>
      </c>
      <c r="H702" s="40">
        <v>45050</v>
      </c>
      <c r="I702" s="46">
        <f t="shared" si="40"/>
        <v>273</v>
      </c>
      <c r="J702" s="1" t="s">
        <v>15</v>
      </c>
      <c r="K702" s="4" t="s">
        <v>209</v>
      </c>
      <c r="L702" s="4" t="s">
        <v>231</v>
      </c>
      <c r="M702" s="8">
        <v>300</v>
      </c>
      <c r="N702" s="5">
        <v>759.34</v>
      </c>
      <c r="O702" s="5">
        <v>227802</v>
      </c>
      <c r="P702">
        <f t="shared" si="41"/>
        <v>0</v>
      </c>
      <c r="Q702" s="36">
        <f t="shared" si="42"/>
        <v>22780.2</v>
      </c>
      <c r="R702">
        <f t="shared" si="43"/>
        <v>2023</v>
      </c>
    </row>
    <row r="703" spans="1:18" x14ac:dyDescent="0.2">
      <c r="A703" s="13">
        <v>45418</v>
      </c>
      <c r="B703" s="13">
        <v>45323</v>
      </c>
      <c r="C703" s="25" t="s">
        <v>399</v>
      </c>
      <c r="D703" s="20">
        <v>95</v>
      </c>
      <c r="E703" s="28">
        <v>205021.8</v>
      </c>
      <c r="F703" s="22" t="s">
        <v>83</v>
      </c>
      <c r="G703" s="14">
        <v>270</v>
      </c>
      <c r="H703" s="40">
        <v>45050</v>
      </c>
      <c r="I703" s="46">
        <f t="shared" si="40"/>
        <v>368</v>
      </c>
      <c r="J703" s="1" t="s">
        <v>15</v>
      </c>
      <c r="K703" s="4" t="s">
        <v>209</v>
      </c>
      <c r="L703" s="4" t="s">
        <v>231</v>
      </c>
      <c r="M703" s="8">
        <v>300</v>
      </c>
      <c r="N703" s="5">
        <v>759.34</v>
      </c>
      <c r="O703" s="5">
        <v>227802</v>
      </c>
      <c r="P703">
        <f t="shared" si="41"/>
        <v>0</v>
      </c>
      <c r="Q703" s="36">
        <f t="shared" si="42"/>
        <v>205021.80000000002</v>
      </c>
      <c r="R703">
        <f t="shared" si="43"/>
        <v>2023</v>
      </c>
    </row>
    <row r="704" spans="1:18" x14ac:dyDescent="0.2">
      <c r="A704" s="13">
        <v>45330</v>
      </c>
      <c r="B704" s="13">
        <v>45330</v>
      </c>
      <c r="C704" s="25" t="s">
        <v>398</v>
      </c>
      <c r="D704" s="20">
        <v>0</v>
      </c>
      <c r="E704" s="28">
        <v>205021.8</v>
      </c>
      <c r="F704" s="22" t="s">
        <v>83</v>
      </c>
      <c r="G704" s="14">
        <v>270</v>
      </c>
      <c r="H704" s="40">
        <v>45050</v>
      </c>
      <c r="I704" s="46">
        <f t="shared" si="40"/>
        <v>280</v>
      </c>
      <c r="J704" s="1" t="s">
        <v>15</v>
      </c>
      <c r="K704" s="4" t="s">
        <v>209</v>
      </c>
      <c r="L704" s="4" t="s">
        <v>231</v>
      </c>
      <c r="M704" s="8">
        <v>270</v>
      </c>
      <c r="N704" s="5">
        <v>759.34</v>
      </c>
      <c r="O704" s="5">
        <v>205021.8</v>
      </c>
      <c r="P704">
        <f t="shared" si="41"/>
        <v>1</v>
      </c>
      <c r="Q704" s="36">
        <f t="shared" si="42"/>
        <v>205021.80000000002</v>
      </c>
      <c r="R704">
        <f t="shared" si="43"/>
        <v>2023</v>
      </c>
    </row>
    <row r="705" spans="1:18" x14ac:dyDescent="0.2">
      <c r="A705" s="13">
        <v>45418</v>
      </c>
      <c r="B705" s="13">
        <v>45331</v>
      </c>
      <c r="C705" s="25" t="s">
        <v>399</v>
      </c>
      <c r="D705" s="20">
        <v>87</v>
      </c>
      <c r="E705" s="28">
        <v>45560.4</v>
      </c>
      <c r="F705" s="22" t="s">
        <v>83</v>
      </c>
      <c r="G705" s="14">
        <v>60</v>
      </c>
      <c r="H705" s="40">
        <v>45050</v>
      </c>
      <c r="I705" s="46">
        <f t="shared" si="40"/>
        <v>368</v>
      </c>
      <c r="J705" s="1" t="s">
        <v>15</v>
      </c>
      <c r="K705" s="4" t="s">
        <v>209</v>
      </c>
      <c r="L705" s="4" t="s">
        <v>231</v>
      </c>
      <c r="M705" s="8">
        <v>300</v>
      </c>
      <c r="N705" s="5">
        <v>759.34</v>
      </c>
      <c r="O705" s="5">
        <v>227802</v>
      </c>
      <c r="P705">
        <f t="shared" si="41"/>
        <v>0</v>
      </c>
      <c r="Q705" s="36">
        <f t="shared" si="42"/>
        <v>45560.4</v>
      </c>
      <c r="R705">
        <f t="shared" si="43"/>
        <v>2023</v>
      </c>
    </row>
    <row r="706" spans="1:18" x14ac:dyDescent="0.2">
      <c r="A706" s="13">
        <v>45427</v>
      </c>
      <c r="B706" s="13">
        <v>45331</v>
      </c>
      <c r="C706" s="25" t="s">
        <v>399</v>
      </c>
      <c r="D706" s="20">
        <v>96</v>
      </c>
      <c r="E706" s="28">
        <v>182241.6</v>
      </c>
      <c r="F706" s="22" t="s">
        <v>83</v>
      </c>
      <c r="G706" s="14">
        <v>240</v>
      </c>
      <c r="H706" s="40">
        <v>45050</v>
      </c>
      <c r="I706" s="46">
        <f t="shared" si="40"/>
        <v>377</v>
      </c>
      <c r="J706" s="1" t="s">
        <v>15</v>
      </c>
      <c r="K706" s="4" t="s">
        <v>209</v>
      </c>
      <c r="L706" s="4" t="s">
        <v>231</v>
      </c>
      <c r="M706" s="8">
        <v>300</v>
      </c>
      <c r="N706" s="5">
        <v>759.34</v>
      </c>
      <c r="O706" s="5">
        <v>227802</v>
      </c>
      <c r="P706">
        <f t="shared" si="41"/>
        <v>0</v>
      </c>
      <c r="Q706" s="36">
        <f t="shared" si="42"/>
        <v>182241.6</v>
      </c>
      <c r="R706">
        <f t="shared" si="43"/>
        <v>2023</v>
      </c>
    </row>
    <row r="707" spans="1:18" x14ac:dyDescent="0.2">
      <c r="A707" s="13">
        <v>45418</v>
      </c>
      <c r="B707" s="13">
        <v>45331</v>
      </c>
      <c r="C707" s="25" t="s">
        <v>399</v>
      </c>
      <c r="D707" s="20">
        <v>87</v>
      </c>
      <c r="E707" s="28">
        <v>182241.6</v>
      </c>
      <c r="F707" s="22" t="s">
        <v>83</v>
      </c>
      <c r="G707" s="14">
        <v>240</v>
      </c>
      <c r="H707" s="40">
        <v>45050</v>
      </c>
      <c r="I707" s="46">
        <f t="shared" ref="I707:I770" si="44">IFERROR(A707-H707,"")*1</f>
        <v>368</v>
      </c>
      <c r="J707" s="1" t="s">
        <v>15</v>
      </c>
      <c r="K707" s="4" t="s">
        <v>209</v>
      </c>
      <c r="L707" s="4" t="s">
        <v>231</v>
      </c>
      <c r="M707" s="8">
        <v>240</v>
      </c>
      <c r="N707" s="5">
        <v>759.34</v>
      </c>
      <c r="O707" s="5">
        <v>182241.6</v>
      </c>
      <c r="P707">
        <f t="shared" ref="P707:P770" si="45">IF(M707=G707,1,0)</f>
        <v>1</v>
      </c>
      <c r="Q707" s="36">
        <f t="shared" ref="Q707:Q770" si="46">N707*G707</f>
        <v>182241.6</v>
      </c>
      <c r="R707">
        <f t="shared" ref="R707:R770" si="47">YEAR(H707)</f>
        <v>2023</v>
      </c>
    </row>
    <row r="708" spans="1:18" x14ac:dyDescent="0.2">
      <c r="A708" s="13">
        <v>45427</v>
      </c>
      <c r="B708" s="13">
        <v>45331</v>
      </c>
      <c r="C708" s="25" t="s">
        <v>399</v>
      </c>
      <c r="D708" s="20">
        <v>96</v>
      </c>
      <c r="E708" s="28">
        <v>22780.2</v>
      </c>
      <c r="F708" s="22" t="s">
        <v>83</v>
      </c>
      <c r="G708" s="14">
        <v>30</v>
      </c>
      <c r="H708" s="40">
        <v>45050</v>
      </c>
      <c r="I708" s="46">
        <f t="shared" si="44"/>
        <v>377</v>
      </c>
      <c r="J708" s="1" t="s">
        <v>15</v>
      </c>
      <c r="K708" s="4" t="s">
        <v>209</v>
      </c>
      <c r="L708" s="4" t="s">
        <v>231</v>
      </c>
      <c r="M708" s="8">
        <v>30</v>
      </c>
      <c r="N708" s="5">
        <v>759.34</v>
      </c>
      <c r="O708" s="5">
        <v>22780.2</v>
      </c>
      <c r="P708">
        <f t="shared" si="45"/>
        <v>1</v>
      </c>
      <c r="Q708" s="36">
        <f t="shared" si="46"/>
        <v>22780.2</v>
      </c>
      <c r="R708">
        <f t="shared" si="47"/>
        <v>2023</v>
      </c>
    </row>
    <row r="709" spans="1:18" x14ac:dyDescent="0.2">
      <c r="A709" s="13">
        <v>45334</v>
      </c>
      <c r="B709" s="13">
        <v>45334</v>
      </c>
      <c r="C709" s="25" t="s">
        <v>398</v>
      </c>
      <c r="D709" s="20">
        <v>0</v>
      </c>
      <c r="E709" s="28">
        <v>159461.4</v>
      </c>
      <c r="F709" s="22" t="s">
        <v>83</v>
      </c>
      <c r="G709" s="14">
        <v>210</v>
      </c>
      <c r="H709" s="40">
        <v>45056</v>
      </c>
      <c r="I709" s="46">
        <f t="shared" si="44"/>
        <v>278</v>
      </c>
      <c r="J709" s="1" t="s">
        <v>15</v>
      </c>
      <c r="K709" s="4" t="s">
        <v>209</v>
      </c>
      <c r="L709" s="4" t="s">
        <v>231</v>
      </c>
      <c r="M709" s="8">
        <v>210</v>
      </c>
      <c r="N709" s="5">
        <v>759.34</v>
      </c>
      <c r="O709" s="5">
        <v>159461.4</v>
      </c>
      <c r="P709">
        <f t="shared" si="45"/>
        <v>1</v>
      </c>
      <c r="Q709" s="36">
        <f t="shared" si="46"/>
        <v>159461.4</v>
      </c>
      <c r="R709">
        <f t="shared" si="47"/>
        <v>2023</v>
      </c>
    </row>
    <row r="710" spans="1:18" x14ac:dyDescent="0.2">
      <c r="A710" s="13">
        <v>45341</v>
      </c>
      <c r="B710" s="13">
        <v>45341</v>
      </c>
      <c r="C710" s="25" t="s">
        <v>398</v>
      </c>
      <c r="D710" s="20">
        <v>0</v>
      </c>
      <c r="E710" s="28">
        <v>205021.8</v>
      </c>
      <c r="F710" s="22" t="s">
        <v>83</v>
      </c>
      <c r="G710" s="14">
        <v>270</v>
      </c>
      <c r="H710" s="40">
        <v>45056</v>
      </c>
      <c r="I710" s="46">
        <f t="shared" si="44"/>
        <v>285</v>
      </c>
      <c r="J710" s="1" t="s">
        <v>15</v>
      </c>
      <c r="K710" s="4" t="s">
        <v>209</v>
      </c>
      <c r="L710" s="4" t="s">
        <v>231</v>
      </c>
      <c r="M710" s="8">
        <v>270</v>
      </c>
      <c r="N710" s="5">
        <v>759.34</v>
      </c>
      <c r="O710" s="5">
        <v>205021.8</v>
      </c>
      <c r="P710">
        <f t="shared" si="45"/>
        <v>1</v>
      </c>
      <c r="Q710" s="36">
        <f t="shared" si="46"/>
        <v>205021.80000000002</v>
      </c>
      <c r="R710">
        <f t="shared" si="47"/>
        <v>2023</v>
      </c>
    </row>
    <row r="711" spans="1:18" x14ac:dyDescent="0.2">
      <c r="A711" s="13">
        <v>45348</v>
      </c>
      <c r="B711" s="13">
        <v>45348</v>
      </c>
      <c r="C711" s="25" t="s">
        <v>398</v>
      </c>
      <c r="D711" s="20">
        <v>0</v>
      </c>
      <c r="E711" s="28">
        <v>182241.6</v>
      </c>
      <c r="F711" s="22" t="s">
        <v>83</v>
      </c>
      <c r="G711" s="14">
        <v>240</v>
      </c>
      <c r="H711" s="40">
        <v>45056</v>
      </c>
      <c r="I711" s="46">
        <f t="shared" si="44"/>
        <v>292</v>
      </c>
      <c r="J711" s="1" t="s">
        <v>15</v>
      </c>
      <c r="K711" s="4" t="s">
        <v>209</v>
      </c>
      <c r="L711" s="4" t="s">
        <v>231</v>
      </c>
      <c r="M711" s="8">
        <v>240</v>
      </c>
      <c r="N711" s="5">
        <v>759.34</v>
      </c>
      <c r="O711" s="5">
        <v>182241.6</v>
      </c>
      <c r="P711">
        <f t="shared" si="45"/>
        <v>1</v>
      </c>
      <c r="Q711" s="36">
        <f t="shared" si="46"/>
        <v>182241.6</v>
      </c>
      <c r="R711">
        <f t="shared" si="47"/>
        <v>2023</v>
      </c>
    </row>
    <row r="712" spans="1:18" x14ac:dyDescent="0.2">
      <c r="A712" s="13">
        <v>45355</v>
      </c>
      <c r="B712" s="13">
        <v>45355</v>
      </c>
      <c r="C712" s="25" t="s">
        <v>398</v>
      </c>
      <c r="D712" s="20">
        <v>0</v>
      </c>
      <c r="E712" s="28">
        <v>91120.8</v>
      </c>
      <c r="F712" s="22" t="s">
        <v>83</v>
      </c>
      <c r="G712" s="14">
        <v>120</v>
      </c>
      <c r="H712" s="40">
        <v>45056</v>
      </c>
      <c r="I712" s="46">
        <f t="shared" si="44"/>
        <v>299</v>
      </c>
      <c r="J712" s="1" t="s">
        <v>15</v>
      </c>
      <c r="K712" s="4" t="s">
        <v>209</v>
      </c>
      <c r="L712" s="4" t="s">
        <v>231</v>
      </c>
      <c r="M712" s="8">
        <v>120</v>
      </c>
      <c r="N712" s="5">
        <v>759.34</v>
      </c>
      <c r="O712" s="5">
        <v>91120.8</v>
      </c>
      <c r="P712">
        <f t="shared" si="45"/>
        <v>1</v>
      </c>
      <c r="Q712" s="36">
        <f t="shared" si="46"/>
        <v>91120.8</v>
      </c>
      <c r="R712">
        <f t="shared" si="47"/>
        <v>2023</v>
      </c>
    </row>
    <row r="713" spans="1:18" x14ac:dyDescent="0.2">
      <c r="A713" s="13">
        <v>45359</v>
      </c>
      <c r="B713" s="13">
        <v>45359</v>
      </c>
      <c r="C713" s="25" t="s">
        <v>398</v>
      </c>
      <c r="D713" s="20">
        <v>0</v>
      </c>
      <c r="E713" s="28">
        <v>227802</v>
      </c>
      <c r="F713" s="22" t="s">
        <v>83</v>
      </c>
      <c r="G713" s="14">
        <v>300</v>
      </c>
      <c r="H713" s="40">
        <v>45056</v>
      </c>
      <c r="I713" s="46">
        <f t="shared" si="44"/>
        <v>303</v>
      </c>
      <c r="J713" s="1" t="s">
        <v>15</v>
      </c>
      <c r="K713" s="4" t="s">
        <v>209</v>
      </c>
      <c r="L713" s="4" t="s">
        <v>231</v>
      </c>
      <c r="M713" s="8">
        <v>300</v>
      </c>
      <c r="N713" s="5">
        <v>759.34</v>
      </c>
      <c r="O713" s="5">
        <v>227802</v>
      </c>
      <c r="P713">
        <f t="shared" si="45"/>
        <v>1</v>
      </c>
      <c r="Q713" s="36">
        <f t="shared" si="46"/>
        <v>227802</v>
      </c>
      <c r="R713">
        <f t="shared" si="47"/>
        <v>2023</v>
      </c>
    </row>
    <row r="714" spans="1:18" x14ac:dyDescent="0.2">
      <c r="A714" s="13">
        <v>45362</v>
      </c>
      <c r="B714" s="13">
        <v>45362</v>
      </c>
      <c r="C714" s="25" t="s">
        <v>398</v>
      </c>
      <c r="D714" s="20">
        <v>0</v>
      </c>
      <c r="E714" s="28">
        <v>22780.2</v>
      </c>
      <c r="F714" s="22" t="s">
        <v>83</v>
      </c>
      <c r="G714" s="14">
        <v>30</v>
      </c>
      <c r="H714" s="40">
        <v>45056</v>
      </c>
      <c r="I714" s="46">
        <f t="shared" si="44"/>
        <v>306</v>
      </c>
      <c r="J714" s="1" t="s">
        <v>15</v>
      </c>
      <c r="K714" s="4" t="s">
        <v>209</v>
      </c>
      <c r="L714" s="4" t="s">
        <v>231</v>
      </c>
      <c r="M714" s="8">
        <v>30</v>
      </c>
      <c r="N714" s="5">
        <v>759.34</v>
      </c>
      <c r="O714" s="5">
        <v>22780.2</v>
      </c>
      <c r="P714">
        <f t="shared" si="45"/>
        <v>1</v>
      </c>
      <c r="Q714" s="36">
        <f t="shared" si="46"/>
        <v>22780.2</v>
      </c>
      <c r="R714">
        <f t="shared" si="47"/>
        <v>2023</v>
      </c>
    </row>
    <row r="715" spans="1:18" x14ac:dyDescent="0.2">
      <c r="A715" s="13">
        <v>45372</v>
      </c>
      <c r="B715" s="13">
        <v>45372</v>
      </c>
      <c r="C715" s="25" t="s">
        <v>398</v>
      </c>
      <c r="D715" s="20">
        <v>0</v>
      </c>
      <c r="E715" s="28">
        <v>227802</v>
      </c>
      <c r="F715" s="22" t="s">
        <v>83</v>
      </c>
      <c r="G715" s="14">
        <v>300</v>
      </c>
      <c r="H715" s="40">
        <v>45056</v>
      </c>
      <c r="I715" s="46">
        <f t="shared" si="44"/>
        <v>316</v>
      </c>
      <c r="J715" s="1" t="s">
        <v>15</v>
      </c>
      <c r="K715" s="4" t="s">
        <v>209</v>
      </c>
      <c r="L715" s="4" t="s">
        <v>231</v>
      </c>
      <c r="M715" s="8">
        <v>300</v>
      </c>
      <c r="N715" s="5">
        <v>759.34</v>
      </c>
      <c r="O715" s="5">
        <v>227802</v>
      </c>
      <c r="P715">
        <f t="shared" si="45"/>
        <v>1</v>
      </c>
      <c r="Q715" s="36">
        <f t="shared" si="46"/>
        <v>227802</v>
      </c>
      <c r="R715">
        <f t="shared" si="47"/>
        <v>2023</v>
      </c>
    </row>
    <row r="716" spans="1:18" x14ac:dyDescent="0.2">
      <c r="A716" s="13">
        <v>45373</v>
      </c>
      <c r="B716" s="13">
        <v>45373</v>
      </c>
      <c r="C716" s="25" t="s">
        <v>398</v>
      </c>
      <c r="D716" s="20">
        <v>0</v>
      </c>
      <c r="E716" s="28">
        <v>182241.6</v>
      </c>
      <c r="F716" s="22" t="s">
        <v>83</v>
      </c>
      <c r="G716" s="14">
        <v>240</v>
      </c>
      <c r="H716" s="40">
        <v>45056</v>
      </c>
      <c r="I716" s="46">
        <f t="shared" si="44"/>
        <v>317</v>
      </c>
      <c r="J716" s="1" t="s">
        <v>15</v>
      </c>
      <c r="K716" s="4" t="s">
        <v>209</v>
      </c>
      <c r="L716" s="4" t="s">
        <v>231</v>
      </c>
      <c r="M716" s="8">
        <v>240</v>
      </c>
      <c r="N716" s="5">
        <v>759.34</v>
      </c>
      <c r="O716" s="5">
        <v>182241.6</v>
      </c>
      <c r="P716">
        <f t="shared" si="45"/>
        <v>1</v>
      </c>
      <c r="Q716" s="36">
        <f t="shared" si="46"/>
        <v>182241.6</v>
      </c>
      <c r="R716">
        <f t="shared" si="47"/>
        <v>2023</v>
      </c>
    </row>
    <row r="717" spans="1:18" x14ac:dyDescent="0.2">
      <c r="A717" s="13">
        <v>45407</v>
      </c>
      <c r="B717" s="13">
        <v>45407</v>
      </c>
      <c r="C717" s="25" t="s">
        <v>398</v>
      </c>
      <c r="D717" s="20">
        <v>0</v>
      </c>
      <c r="E717" s="28">
        <v>205021.8</v>
      </c>
      <c r="F717" s="22" t="s">
        <v>83</v>
      </c>
      <c r="G717" s="14">
        <v>270</v>
      </c>
      <c r="H717" s="40">
        <v>45056</v>
      </c>
      <c r="I717" s="46">
        <f t="shared" si="44"/>
        <v>351</v>
      </c>
      <c r="J717" s="1" t="s">
        <v>15</v>
      </c>
      <c r="K717" s="4" t="s">
        <v>209</v>
      </c>
      <c r="L717" s="4" t="s">
        <v>231</v>
      </c>
      <c r="M717" s="8">
        <v>270</v>
      </c>
      <c r="N717" s="5">
        <v>759.34</v>
      </c>
      <c r="O717" s="5">
        <v>205021.8</v>
      </c>
      <c r="P717">
        <f t="shared" si="45"/>
        <v>1</v>
      </c>
      <c r="Q717" s="36">
        <f t="shared" si="46"/>
        <v>205021.80000000002</v>
      </c>
      <c r="R717">
        <f t="shared" si="47"/>
        <v>2023</v>
      </c>
    </row>
    <row r="718" spans="1:18" x14ac:dyDescent="0.2">
      <c r="A718" s="13">
        <v>45427</v>
      </c>
      <c r="B718" s="13">
        <v>45331</v>
      </c>
      <c r="C718" s="25" t="s">
        <v>399</v>
      </c>
      <c r="D718" s="20">
        <v>96</v>
      </c>
      <c r="E718" s="28">
        <v>205021.8</v>
      </c>
      <c r="F718" s="22" t="s">
        <v>83</v>
      </c>
      <c r="G718" s="14">
        <v>270</v>
      </c>
      <c r="H718" s="40">
        <v>45056</v>
      </c>
      <c r="I718" s="46">
        <f t="shared" si="44"/>
        <v>371</v>
      </c>
      <c r="J718" s="1" t="s">
        <v>15</v>
      </c>
      <c r="K718" s="4" t="s">
        <v>209</v>
      </c>
      <c r="L718" s="4" t="s">
        <v>231</v>
      </c>
      <c r="M718" s="8">
        <v>270</v>
      </c>
      <c r="N718" s="5">
        <v>759.34</v>
      </c>
      <c r="O718" s="5">
        <v>205021.8</v>
      </c>
      <c r="P718">
        <f t="shared" si="45"/>
        <v>1</v>
      </c>
      <c r="Q718" s="36">
        <f t="shared" si="46"/>
        <v>205021.80000000002</v>
      </c>
      <c r="R718">
        <f t="shared" si="47"/>
        <v>2023</v>
      </c>
    </row>
    <row r="719" spans="1:18" x14ac:dyDescent="0.2">
      <c r="A719" s="13">
        <v>45427</v>
      </c>
      <c r="B719" s="13">
        <v>45379</v>
      </c>
      <c r="C719" s="25" t="s">
        <v>399</v>
      </c>
      <c r="D719" s="20">
        <v>48</v>
      </c>
      <c r="E719" s="28">
        <v>182241.6</v>
      </c>
      <c r="F719" s="22" t="s">
        <v>83</v>
      </c>
      <c r="G719" s="14">
        <v>240</v>
      </c>
      <c r="H719" s="40">
        <v>45056</v>
      </c>
      <c r="I719" s="46">
        <f t="shared" si="44"/>
        <v>371</v>
      </c>
      <c r="J719" s="1" t="s">
        <v>15</v>
      </c>
      <c r="K719" s="4" t="s">
        <v>209</v>
      </c>
      <c r="L719" s="4" t="s">
        <v>231</v>
      </c>
      <c r="M719" s="8">
        <v>240</v>
      </c>
      <c r="N719" s="5">
        <v>759.34</v>
      </c>
      <c r="O719" s="5">
        <v>182241.6</v>
      </c>
      <c r="P719">
        <f t="shared" si="45"/>
        <v>1</v>
      </c>
      <c r="Q719" s="36">
        <f t="shared" si="46"/>
        <v>182241.6</v>
      </c>
      <c r="R719">
        <f t="shared" si="47"/>
        <v>2023</v>
      </c>
    </row>
    <row r="720" spans="1:18" x14ac:dyDescent="0.2">
      <c r="A720" s="13">
        <v>45427</v>
      </c>
      <c r="B720" s="13">
        <v>45386</v>
      </c>
      <c r="C720" s="25" t="s">
        <v>399</v>
      </c>
      <c r="D720" s="20">
        <v>41</v>
      </c>
      <c r="E720" s="28">
        <v>227802</v>
      </c>
      <c r="F720" s="22" t="s">
        <v>83</v>
      </c>
      <c r="G720" s="14">
        <v>300</v>
      </c>
      <c r="H720" s="40">
        <v>45056</v>
      </c>
      <c r="I720" s="46">
        <f t="shared" si="44"/>
        <v>371</v>
      </c>
      <c r="J720" s="1" t="s">
        <v>15</v>
      </c>
      <c r="K720" s="4" t="s">
        <v>209</v>
      </c>
      <c r="L720" s="4" t="s">
        <v>231</v>
      </c>
      <c r="M720" s="8">
        <v>300</v>
      </c>
      <c r="N720" s="5">
        <v>759.34</v>
      </c>
      <c r="O720" s="5">
        <v>227802</v>
      </c>
      <c r="P720">
        <f t="shared" si="45"/>
        <v>1</v>
      </c>
      <c r="Q720" s="36">
        <f t="shared" si="46"/>
        <v>227802</v>
      </c>
      <c r="R720">
        <f t="shared" si="47"/>
        <v>2023</v>
      </c>
    </row>
    <row r="721" spans="1:18" x14ac:dyDescent="0.2">
      <c r="A721" s="13">
        <v>45427</v>
      </c>
      <c r="B721" s="13">
        <v>45393</v>
      </c>
      <c r="C721" s="25" t="s">
        <v>399</v>
      </c>
      <c r="D721" s="20">
        <v>34</v>
      </c>
      <c r="E721" s="28">
        <v>205021.8</v>
      </c>
      <c r="F721" s="22" t="s">
        <v>83</v>
      </c>
      <c r="G721" s="14">
        <v>270</v>
      </c>
      <c r="H721" s="40">
        <v>45056</v>
      </c>
      <c r="I721" s="46">
        <f t="shared" si="44"/>
        <v>371</v>
      </c>
      <c r="J721" s="1" t="s">
        <v>15</v>
      </c>
      <c r="K721" s="4" t="s">
        <v>209</v>
      </c>
      <c r="L721" s="4" t="s">
        <v>231</v>
      </c>
      <c r="M721" s="8">
        <v>270</v>
      </c>
      <c r="N721" s="5">
        <v>759.34</v>
      </c>
      <c r="O721" s="5">
        <v>205021.8</v>
      </c>
      <c r="P721">
        <f t="shared" si="45"/>
        <v>1</v>
      </c>
      <c r="Q721" s="36">
        <f t="shared" si="46"/>
        <v>205021.80000000002</v>
      </c>
      <c r="R721">
        <f t="shared" si="47"/>
        <v>2023</v>
      </c>
    </row>
    <row r="722" spans="1:18" x14ac:dyDescent="0.2">
      <c r="A722" s="13">
        <v>45427</v>
      </c>
      <c r="B722" s="13">
        <v>45400</v>
      </c>
      <c r="C722" s="25" t="s">
        <v>399</v>
      </c>
      <c r="D722" s="20">
        <v>27</v>
      </c>
      <c r="E722" s="28">
        <v>227802</v>
      </c>
      <c r="F722" s="22" t="s">
        <v>83</v>
      </c>
      <c r="G722" s="14">
        <v>300</v>
      </c>
      <c r="H722" s="40">
        <v>45056</v>
      </c>
      <c r="I722" s="46">
        <f t="shared" si="44"/>
        <v>371</v>
      </c>
      <c r="J722" s="1" t="s">
        <v>15</v>
      </c>
      <c r="K722" s="4" t="s">
        <v>209</v>
      </c>
      <c r="L722" s="4" t="s">
        <v>231</v>
      </c>
      <c r="M722" s="8">
        <v>300</v>
      </c>
      <c r="N722" s="5">
        <v>759.34</v>
      </c>
      <c r="O722" s="5">
        <v>227802</v>
      </c>
      <c r="P722">
        <f t="shared" si="45"/>
        <v>1</v>
      </c>
      <c r="Q722" s="36">
        <f t="shared" si="46"/>
        <v>227802</v>
      </c>
      <c r="R722">
        <f t="shared" si="47"/>
        <v>2023</v>
      </c>
    </row>
    <row r="723" spans="1:18" x14ac:dyDescent="0.2">
      <c r="A723" s="13">
        <v>45427</v>
      </c>
      <c r="B723" s="13">
        <v>45372</v>
      </c>
      <c r="C723" s="25" t="s">
        <v>399</v>
      </c>
      <c r="D723" s="20">
        <v>55</v>
      </c>
      <c r="E723" s="28">
        <v>205021.8</v>
      </c>
      <c r="F723" s="22" t="s">
        <v>83</v>
      </c>
      <c r="G723" s="14">
        <v>270</v>
      </c>
      <c r="H723" s="40">
        <v>45056</v>
      </c>
      <c r="I723" s="46">
        <f t="shared" si="44"/>
        <v>371</v>
      </c>
      <c r="J723" s="1" t="s">
        <v>15</v>
      </c>
      <c r="K723" s="4" t="s">
        <v>209</v>
      </c>
      <c r="L723" s="4" t="s">
        <v>231</v>
      </c>
      <c r="M723" s="8">
        <v>270</v>
      </c>
      <c r="N723" s="5">
        <v>759.34</v>
      </c>
      <c r="O723" s="5">
        <v>205021.8</v>
      </c>
      <c r="P723">
        <f t="shared" si="45"/>
        <v>1</v>
      </c>
      <c r="Q723" s="36">
        <f t="shared" si="46"/>
        <v>205021.80000000002</v>
      </c>
      <c r="R723">
        <f t="shared" si="47"/>
        <v>2023</v>
      </c>
    </row>
    <row r="724" spans="1:18" x14ac:dyDescent="0.2">
      <c r="A724" s="13">
        <v>45229</v>
      </c>
      <c r="B724" s="13">
        <v>44977</v>
      </c>
      <c r="C724" s="25" t="s">
        <v>399</v>
      </c>
      <c r="D724" s="20">
        <v>252</v>
      </c>
      <c r="E724" s="28">
        <v>8208.7000000000007</v>
      </c>
      <c r="F724" s="22" t="s">
        <v>118</v>
      </c>
      <c r="G724" s="14">
        <v>46</v>
      </c>
      <c r="H724" s="40">
        <v>44747</v>
      </c>
      <c r="I724" s="46">
        <f t="shared" si="44"/>
        <v>482</v>
      </c>
      <c r="J724" s="1" t="s">
        <v>15</v>
      </c>
      <c r="K724" s="4" t="s">
        <v>209</v>
      </c>
      <c r="L724" s="4" t="s">
        <v>231</v>
      </c>
      <c r="M724" s="8">
        <v>46</v>
      </c>
      <c r="N724" s="5">
        <v>178.45</v>
      </c>
      <c r="O724" s="5">
        <v>8208.7000000000007</v>
      </c>
      <c r="P724">
        <f t="shared" si="45"/>
        <v>1</v>
      </c>
      <c r="Q724" s="36">
        <f t="shared" si="46"/>
        <v>8208.6999999999989</v>
      </c>
      <c r="R724">
        <f t="shared" si="47"/>
        <v>2022</v>
      </c>
    </row>
    <row r="725" spans="1:18" x14ac:dyDescent="0.2">
      <c r="A725" s="13">
        <v>45229</v>
      </c>
      <c r="B725" s="13">
        <v>45098</v>
      </c>
      <c r="C725" s="25" t="s">
        <v>399</v>
      </c>
      <c r="D725" s="20">
        <v>131</v>
      </c>
      <c r="E725" s="28">
        <v>2498.3000000000002</v>
      </c>
      <c r="F725" s="22" t="s">
        <v>118</v>
      </c>
      <c r="G725" s="14">
        <v>14</v>
      </c>
      <c r="H725" s="40">
        <v>44992</v>
      </c>
      <c r="I725" s="46">
        <f t="shared" si="44"/>
        <v>237</v>
      </c>
      <c r="J725" s="1" t="s">
        <v>15</v>
      </c>
      <c r="K725" s="4" t="s">
        <v>209</v>
      </c>
      <c r="L725" s="4" t="s">
        <v>231</v>
      </c>
      <c r="M725" s="8">
        <v>18</v>
      </c>
      <c r="N725" s="5">
        <v>178.45</v>
      </c>
      <c r="O725" s="5">
        <v>3212.1</v>
      </c>
      <c r="P725">
        <f t="shared" si="45"/>
        <v>0</v>
      </c>
      <c r="Q725" s="36">
        <f t="shared" si="46"/>
        <v>2498.2999999999997</v>
      </c>
      <c r="R725">
        <f t="shared" si="47"/>
        <v>2023</v>
      </c>
    </row>
    <row r="726" spans="1:18" x14ac:dyDescent="0.2">
      <c r="A726" s="13">
        <v>45239</v>
      </c>
      <c r="B726" s="13">
        <v>45098</v>
      </c>
      <c r="C726" s="25" t="s">
        <v>399</v>
      </c>
      <c r="D726" s="20">
        <v>141</v>
      </c>
      <c r="E726" s="28">
        <v>713.8</v>
      </c>
      <c r="F726" s="22" t="s">
        <v>118</v>
      </c>
      <c r="G726" s="14">
        <v>4</v>
      </c>
      <c r="H726" s="40">
        <v>44992</v>
      </c>
      <c r="I726" s="46">
        <f t="shared" si="44"/>
        <v>247</v>
      </c>
      <c r="J726" s="1" t="s">
        <v>15</v>
      </c>
      <c r="K726" s="4" t="s">
        <v>209</v>
      </c>
      <c r="L726" s="4" t="s">
        <v>231</v>
      </c>
      <c r="M726" s="8">
        <v>18</v>
      </c>
      <c r="N726" s="5">
        <v>178.45</v>
      </c>
      <c r="O726" s="5">
        <v>3212.1</v>
      </c>
      <c r="P726">
        <f t="shared" si="45"/>
        <v>0</v>
      </c>
      <c r="Q726" s="36">
        <f t="shared" si="46"/>
        <v>713.8</v>
      </c>
      <c r="R726">
        <f t="shared" si="47"/>
        <v>2023</v>
      </c>
    </row>
    <row r="727" spans="1:18" x14ac:dyDescent="0.2">
      <c r="A727" s="13">
        <v>45239</v>
      </c>
      <c r="B727" s="13">
        <v>44993</v>
      </c>
      <c r="C727" s="25" t="s">
        <v>399</v>
      </c>
      <c r="D727" s="20">
        <v>246</v>
      </c>
      <c r="E727" s="28">
        <v>2855.2</v>
      </c>
      <c r="F727" s="22" t="s">
        <v>118</v>
      </c>
      <c r="G727" s="14">
        <v>16</v>
      </c>
      <c r="H727" s="40">
        <v>44993</v>
      </c>
      <c r="I727" s="46">
        <f t="shared" si="44"/>
        <v>246</v>
      </c>
      <c r="J727" s="1" t="s">
        <v>15</v>
      </c>
      <c r="K727" s="4" t="s">
        <v>209</v>
      </c>
      <c r="L727" s="4" t="s">
        <v>231</v>
      </c>
      <c r="M727" s="8">
        <v>16</v>
      </c>
      <c r="N727" s="5">
        <v>178.45</v>
      </c>
      <c r="O727" s="5">
        <v>2855.2</v>
      </c>
      <c r="P727">
        <f t="shared" si="45"/>
        <v>1</v>
      </c>
      <c r="Q727" s="36">
        <f t="shared" si="46"/>
        <v>2855.2</v>
      </c>
      <c r="R727">
        <f t="shared" si="47"/>
        <v>2023</v>
      </c>
    </row>
    <row r="728" spans="1:18" x14ac:dyDescent="0.2">
      <c r="A728" s="13">
        <v>45239</v>
      </c>
      <c r="B728" s="13">
        <v>45238</v>
      </c>
      <c r="C728" s="25" t="s">
        <v>399</v>
      </c>
      <c r="D728" s="20">
        <v>1</v>
      </c>
      <c r="E728" s="28">
        <v>178.45</v>
      </c>
      <c r="F728" s="22" t="s">
        <v>118</v>
      </c>
      <c r="G728" s="14">
        <v>1</v>
      </c>
      <c r="H728" s="40">
        <v>44993</v>
      </c>
      <c r="I728" s="46">
        <f t="shared" si="44"/>
        <v>246</v>
      </c>
      <c r="J728" s="1" t="s">
        <v>15</v>
      </c>
      <c r="K728" s="4" t="s">
        <v>209</v>
      </c>
      <c r="L728" s="4" t="s">
        <v>231</v>
      </c>
      <c r="M728" s="8">
        <v>30</v>
      </c>
      <c r="N728" s="5">
        <v>178.45</v>
      </c>
      <c r="O728" s="5">
        <v>5353.5</v>
      </c>
      <c r="P728">
        <f t="shared" si="45"/>
        <v>0</v>
      </c>
      <c r="Q728" s="36">
        <f t="shared" si="46"/>
        <v>178.45</v>
      </c>
      <c r="R728">
        <f t="shared" si="47"/>
        <v>2023</v>
      </c>
    </row>
    <row r="729" spans="1:18" x14ac:dyDescent="0.2">
      <c r="A729" s="13">
        <v>45286</v>
      </c>
      <c r="B729" s="13">
        <v>45238</v>
      </c>
      <c r="C729" s="25" t="s">
        <v>399</v>
      </c>
      <c r="D729" s="20">
        <v>48</v>
      </c>
      <c r="E729" s="28">
        <v>5175.05</v>
      </c>
      <c r="F729" s="22" t="s">
        <v>118</v>
      </c>
      <c r="G729" s="14">
        <v>29</v>
      </c>
      <c r="H729" s="40">
        <v>44993</v>
      </c>
      <c r="I729" s="46">
        <f t="shared" si="44"/>
        <v>293</v>
      </c>
      <c r="J729" s="1" t="s">
        <v>15</v>
      </c>
      <c r="K729" s="4" t="s">
        <v>209</v>
      </c>
      <c r="L729" s="4" t="s">
        <v>231</v>
      </c>
      <c r="M729" s="8">
        <v>30</v>
      </c>
      <c r="N729" s="5">
        <v>178.45</v>
      </c>
      <c r="O729" s="5">
        <v>5353.5</v>
      </c>
      <c r="P729">
        <f t="shared" si="45"/>
        <v>0</v>
      </c>
      <c r="Q729" s="36">
        <f t="shared" si="46"/>
        <v>5175.0499999999993</v>
      </c>
      <c r="R729">
        <f t="shared" si="47"/>
        <v>2023</v>
      </c>
    </row>
    <row r="730" spans="1:18" x14ac:dyDescent="0.2">
      <c r="A730" s="13">
        <v>45252</v>
      </c>
      <c r="B730" s="13">
        <v>45252</v>
      </c>
      <c r="C730" s="25" t="s">
        <v>398</v>
      </c>
      <c r="D730" s="20">
        <v>0</v>
      </c>
      <c r="E730" s="28">
        <v>3569</v>
      </c>
      <c r="F730" s="22" t="s">
        <v>118</v>
      </c>
      <c r="G730" s="14">
        <v>20</v>
      </c>
      <c r="H730" s="40">
        <v>44993</v>
      </c>
      <c r="I730" s="46">
        <f t="shared" si="44"/>
        <v>259</v>
      </c>
      <c r="J730" s="1" t="s">
        <v>15</v>
      </c>
      <c r="K730" s="4" t="s">
        <v>209</v>
      </c>
      <c r="L730" s="4" t="s">
        <v>231</v>
      </c>
      <c r="M730" s="8">
        <v>20</v>
      </c>
      <c r="N730" s="5">
        <v>178.45</v>
      </c>
      <c r="O730" s="5">
        <v>3569</v>
      </c>
      <c r="P730">
        <f t="shared" si="45"/>
        <v>1</v>
      </c>
      <c r="Q730" s="36">
        <f t="shared" si="46"/>
        <v>3569</v>
      </c>
      <c r="R730">
        <f t="shared" si="47"/>
        <v>2023</v>
      </c>
    </row>
    <row r="731" spans="1:18" x14ac:dyDescent="0.2">
      <c r="A731" s="13">
        <v>45286</v>
      </c>
      <c r="B731" s="13">
        <v>45266</v>
      </c>
      <c r="C731" s="25" t="s">
        <v>399</v>
      </c>
      <c r="D731" s="20">
        <v>20</v>
      </c>
      <c r="E731" s="28">
        <v>5353.5</v>
      </c>
      <c r="F731" s="22" t="s">
        <v>118</v>
      </c>
      <c r="G731" s="14">
        <v>30</v>
      </c>
      <c r="H731" s="40">
        <v>44993</v>
      </c>
      <c r="I731" s="46">
        <f t="shared" si="44"/>
        <v>293</v>
      </c>
      <c r="J731" s="1" t="s">
        <v>15</v>
      </c>
      <c r="K731" s="4" t="s">
        <v>209</v>
      </c>
      <c r="L731" s="4" t="s">
        <v>231</v>
      </c>
      <c r="M731" s="8">
        <v>30</v>
      </c>
      <c r="N731" s="5">
        <v>178.45</v>
      </c>
      <c r="O731" s="5">
        <v>5353.5</v>
      </c>
      <c r="P731">
        <f t="shared" si="45"/>
        <v>1</v>
      </c>
      <c r="Q731" s="36">
        <f t="shared" si="46"/>
        <v>5353.5</v>
      </c>
      <c r="R731">
        <f t="shared" si="47"/>
        <v>2023</v>
      </c>
    </row>
    <row r="732" spans="1:18" x14ac:dyDescent="0.2">
      <c r="A732" s="13">
        <v>45286</v>
      </c>
      <c r="B732" s="13">
        <v>45147</v>
      </c>
      <c r="C732" s="25" t="s">
        <v>399</v>
      </c>
      <c r="D732" s="20">
        <v>139</v>
      </c>
      <c r="E732" s="28">
        <v>178.45</v>
      </c>
      <c r="F732" s="22" t="s">
        <v>118</v>
      </c>
      <c r="G732" s="14">
        <v>1</v>
      </c>
      <c r="H732" s="40">
        <v>44993</v>
      </c>
      <c r="I732" s="46">
        <f t="shared" si="44"/>
        <v>293</v>
      </c>
      <c r="J732" s="1" t="s">
        <v>15</v>
      </c>
      <c r="K732" s="4" t="s">
        <v>209</v>
      </c>
      <c r="L732" s="4" t="s">
        <v>231</v>
      </c>
      <c r="M732" s="8">
        <v>46</v>
      </c>
      <c r="N732" s="5">
        <v>178.45</v>
      </c>
      <c r="O732" s="5">
        <v>8208.7000000000007</v>
      </c>
      <c r="P732">
        <f t="shared" si="45"/>
        <v>0</v>
      </c>
      <c r="Q732" s="36">
        <f t="shared" si="46"/>
        <v>178.45</v>
      </c>
      <c r="R732">
        <f t="shared" si="47"/>
        <v>2023</v>
      </c>
    </row>
    <row r="733" spans="1:18" x14ac:dyDescent="0.2">
      <c r="A733" s="13">
        <v>45289</v>
      </c>
      <c r="B733" s="13">
        <v>45147</v>
      </c>
      <c r="C733" s="25" t="s">
        <v>399</v>
      </c>
      <c r="D733" s="20">
        <v>142</v>
      </c>
      <c r="E733" s="28">
        <v>8030.25</v>
      </c>
      <c r="F733" s="22" t="s">
        <v>118</v>
      </c>
      <c r="G733" s="14">
        <v>45</v>
      </c>
      <c r="H733" s="40">
        <v>44993</v>
      </c>
      <c r="I733" s="46">
        <f t="shared" si="44"/>
        <v>296</v>
      </c>
      <c r="J733" s="1" t="s">
        <v>15</v>
      </c>
      <c r="K733" s="4" t="s">
        <v>209</v>
      </c>
      <c r="L733" s="4" t="s">
        <v>231</v>
      </c>
      <c r="M733" s="8">
        <v>46</v>
      </c>
      <c r="N733" s="5">
        <v>178.45</v>
      </c>
      <c r="O733" s="5">
        <v>8208.7000000000007</v>
      </c>
      <c r="P733">
        <f t="shared" si="45"/>
        <v>0</v>
      </c>
      <c r="Q733" s="36">
        <f t="shared" si="46"/>
        <v>8030.2499999999991</v>
      </c>
      <c r="R733">
        <f t="shared" si="47"/>
        <v>2023</v>
      </c>
    </row>
    <row r="734" spans="1:18" x14ac:dyDescent="0.2">
      <c r="A734" s="13">
        <v>45289</v>
      </c>
      <c r="B734" s="13">
        <v>45266</v>
      </c>
      <c r="C734" s="25" t="s">
        <v>399</v>
      </c>
      <c r="D734" s="20">
        <v>23</v>
      </c>
      <c r="E734" s="28">
        <v>3033.65</v>
      </c>
      <c r="F734" s="22" t="s">
        <v>118</v>
      </c>
      <c r="G734" s="14">
        <v>17</v>
      </c>
      <c r="H734" s="40">
        <v>44993</v>
      </c>
      <c r="I734" s="46">
        <f t="shared" si="44"/>
        <v>296</v>
      </c>
      <c r="J734" s="1" t="s">
        <v>15</v>
      </c>
      <c r="K734" s="4" t="s">
        <v>209</v>
      </c>
      <c r="L734" s="4" t="s">
        <v>231</v>
      </c>
      <c r="M734" s="8">
        <v>24</v>
      </c>
      <c r="N734" s="5">
        <v>178.45</v>
      </c>
      <c r="O734" s="5">
        <v>4282.8</v>
      </c>
      <c r="P734">
        <f t="shared" si="45"/>
        <v>0</v>
      </c>
      <c r="Q734" s="36">
        <f t="shared" si="46"/>
        <v>3033.6499999999996</v>
      </c>
      <c r="R734">
        <f t="shared" si="47"/>
        <v>2023</v>
      </c>
    </row>
    <row r="735" spans="1:18" x14ac:dyDescent="0.2">
      <c r="A735" s="13">
        <v>45363</v>
      </c>
      <c r="B735" s="13">
        <v>45266</v>
      </c>
      <c r="C735" s="25" t="s">
        <v>399</v>
      </c>
      <c r="D735" s="20">
        <v>97</v>
      </c>
      <c r="E735" s="28">
        <v>1249.1500000000001</v>
      </c>
      <c r="F735" s="22" t="s">
        <v>118</v>
      </c>
      <c r="G735" s="14">
        <v>7</v>
      </c>
      <c r="H735" s="40">
        <v>44993</v>
      </c>
      <c r="I735" s="46">
        <f t="shared" si="44"/>
        <v>370</v>
      </c>
      <c r="J735" s="1" t="s">
        <v>15</v>
      </c>
      <c r="K735" s="4" t="s">
        <v>209</v>
      </c>
      <c r="L735" s="4" t="s">
        <v>231</v>
      </c>
      <c r="M735" s="8">
        <v>24</v>
      </c>
      <c r="N735" s="5">
        <v>178.45</v>
      </c>
      <c r="O735" s="5">
        <v>4282.8</v>
      </c>
      <c r="P735">
        <f t="shared" si="45"/>
        <v>0</v>
      </c>
      <c r="Q735" s="36">
        <f t="shared" si="46"/>
        <v>1249.1499999999999</v>
      </c>
      <c r="R735">
        <f t="shared" si="47"/>
        <v>2023</v>
      </c>
    </row>
    <row r="736" spans="1:18" x14ac:dyDescent="0.2">
      <c r="A736" s="13">
        <v>45289</v>
      </c>
      <c r="B736" s="13">
        <v>45121</v>
      </c>
      <c r="C736" s="25" t="s">
        <v>399</v>
      </c>
      <c r="D736" s="20">
        <v>168</v>
      </c>
      <c r="E736" s="28">
        <v>8208.7000000000007</v>
      </c>
      <c r="F736" s="22" t="s">
        <v>118</v>
      </c>
      <c r="G736" s="14">
        <v>46</v>
      </c>
      <c r="H736" s="40">
        <v>44993</v>
      </c>
      <c r="I736" s="46">
        <f t="shared" si="44"/>
        <v>296</v>
      </c>
      <c r="J736" s="1" t="s">
        <v>15</v>
      </c>
      <c r="K736" s="4" t="s">
        <v>209</v>
      </c>
      <c r="L736" s="4" t="s">
        <v>231</v>
      </c>
      <c r="M736" s="8">
        <v>46</v>
      </c>
      <c r="N736" s="5">
        <v>178.45</v>
      </c>
      <c r="O736" s="5">
        <v>8208.7000000000007</v>
      </c>
      <c r="P736">
        <f t="shared" si="45"/>
        <v>1</v>
      </c>
      <c r="Q736" s="36">
        <f t="shared" si="46"/>
        <v>8208.6999999999989</v>
      </c>
      <c r="R736">
        <f t="shared" si="47"/>
        <v>2023</v>
      </c>
    </row>
    <row r="737" spans="1:18" x14ac:dyDescent="0.2">
      <c r="A737" s="13">
        <v>45294</v>
      </c>
      <c r="B737" s="13">
        <v>45294</v>
      </c>
      <c r="C737" s="25" t="s">
        <v>398</v>
      </c>
      <c r="D737" s="20">
        <v>0</v>
      </c>
      <c r="E737" s="28">
        <v>5353.5</v>
      </c>
      <c r="F737" s="22" t="s">
        <v>118</v>
      </c>
      <c r="G737" s="14">
        <v>30</v>
      </c>
      <c r="H737" s="40">
        <v>44993</v>
      </c>
      <c r="I737" s="46">
        <f t="shared" si="44"/>
        <v>301</v>
      </c>
      <c r="J737" s="1" t="s">
        <v>15</v>
      </c>
      <c r="K737" s="4" t="s">
        <v>209</v>
      </c>
      <c r="L737" s="4" t="s">
        <v>231</v>
      </c>
      <c r="M737" s="8">
        <v>30</v>
      </c>
      <c r="N737" s="5">
        <v>178.45</v>
      </c>
      <c r="O737" s="5">
        <v>5353.5</v>
      </c>
      <c r="P737">
        <f t="shared" si="45"/>
        <v>1</v>
      </c>
      <c r="Q737" s="36">
        <f t="shared" si="46"/>
        <v>5353.5</v>
      </c>
      <c r="R737">
        <f t="shared" si="47"/>
        <v>2023</v>
      </c>
    </row>
    <row r="738" spans="1:18" x14ac:dyDescent="0.2">
      <c r="A738" s="13">
        <v>45301</v>
      </c>
      <c r="B738" s="13">
        <v>45301</v>
      </c>
      <c r="C738" s="25" t="s">
        <v>398</v>
      </c>
      <c r="D738" s="20">
        <v>0</v>
      </c>
      <c r="E738" s="28">
        <v>5175.05</v>
      </c>
      <c r="F738" s="22" t="s">
        <v>118</v>
      </c>
      <c r="G738" s="14">
        <v>29</v>
      </c>
      <c r="H738" s="40">
        <v>44993</v>
      </c>
      <c r="I738" s="46">
        <f t="shared" si="44"/>
        <v>308</v>
      </c>
      <c r="J738" s="1" t="s">
        <v>15</v>
      </c>
      <c r="K738" s="4" t="s">
        <v>209</v>
      </c>
      <c r="L738" s="4" t="s">
        <v>231</v>
      </c>
      <c r="M738" s="8">
        <v>29</v>
      </c>
      <c r="N738" s="5">
        <v>178.45</v>
      </c>
      <c r="O738" s="5">
        <v>5175.05</v>
      </c>
      <c r="P738">
        <f t="shared" si="45"/>
        <v>1</v>
      </c>
      <c r="Q738" s="36">
        <f t="shared" si="46"/>
        <v>5175.0499999999993</v>
      </c>
      <c r="R738">
        <f t="shared" si="47"/>
        <v>2023</v>
      </c>
    </row>
    <row r="739" spans="1:18" x14ac:dyDescent="0.2">
      <c r="A739" s="13">
        <v>45310</v>
      </c>
      <c r="B739" s="13">
        <v>45310</v>
      </c>
      <c r="C739" s="25" t="s">
        <v>398</v>
      </c>
      <c r="D739" s="20">
        <v>0</v>
      </c>
      <c r="E739" s="28">
        <v>2855.2</v>
      </c>
      <c r="F739" s="22" t="s">
        <v>118</v>
      </c>
      <c r="G739" s="14">
        <v>16</v>
      </c>
      <c r="H739" s="40">
        <v>44993</v>
      </c>
      <c r="I739" s="46">
        <f t="shared" si="44"/>
        <v>317</v>
      </c>
      <c r="J739" s="1" t="s">
        <v>15</v>
      </c>
      <c r="K739" s="4" t="s">
        <v>209</v>
      </c>
      <c r="L739" s="4" t="s">
        <v>231</v>
      </c>
      <c r="M739" s="8">
        <v>16</v>
      </c>
      <c r="N739" s="5">
        <v>178.45</v>
      </c>
      <c r="O739" s="5">
        <v>2855.2</v>
      </c>
      <c r="P739">
        <f t="shared" si="45"/>
        <v>1</v>
      </c>
      <c r="Q739" s="36">
        <f t="shared" si="46"/>
        <v>2855.2</v>
      </c>
      <c r="R739">
        <f t="shared" si="47"/>
        <v>2023</v>
      </c>
    </row>
    <row r="740" spans="1:18" x14ac:dyDescent="0.2">
      <c r="A740" s="13">
        <v>45324</v>
      </c>
      <c r="B740" s="13">
        <v>45324</v>
      </c>
      <c r="C740" s="25" t="s">
        <v>398</v>
      </c>
      <c r="D740" s="20">
        <v>0</v>
      </c>
      <c r="E740" s="28">
        <v>2855.2</v>
      </c>
      <c r="F740" s="22" t="s">
        <v>118</v>
      </c>
      <c r="G740" s="14">
        <v>16</v>
      </c>
      <c r="H740" s="40">
        <v>44993</v>
      </c>
      <c r="I740" s="46">
        <f t="shared" si="44"/>
        <v>331</v>
      </c>
      <c r="J740" s="1" t="s">
        <v>15</v>
      </c>
      <c r="K740" s="4" t="s">
        <v>209</v>
      </c>
      <c r="L740" s="4" t="s">
        <v>231</v>
      </c>
      <c r="M740" s="8">
        <v>16</v>
      </c>
      <c r="N740" s="5">
        <v>178.45</v>
      </c>
      <c r="O740" s="5">
        <v>2855.2</v>
      </c>
      <c r="P740">
        <f t="shared" si="45"/>
        <v>1</v>
      </c>
      <c r="Q740" s="36">
        <f t="shared" si="46"/>
        <v>2855.2</v>
      </c>
      <c r="R740">
        <f t="shared" si="47"/>
        <v>2023</v>
      </c>
    </row>
    <row r="741" spans="1:18" x14ac:dyDescent="0.2">
      <c r="A741" s="13">
        <v>45345</v>
      </c>
      <c r="B741" s="13">
        <v>45345</v>
      </c>
      <c r="C741" s="25" t="s">
        <v>398</v>
      </c>
      <c r="D741" s="20">
        <v>0</v>
      </c>
      <c r="E741" s="28">
        <v>3569</v>
      </c>
      <c r="F741" s="22" t="s">
        <v>118</v>
      </c>
      <c r="G741" s="14">
        <v>20</v>
      </c>
      <c r="H741" s="40">
        <v>44993</v>
      </c>
      <c r="I741" s="46">
        <f t="shared" si="44"/>
        <v>352</v>
      </c>
      <c r="J741" s="1" t="s">
        <v>15</v>
      </c>
      <c r="K741" s="4" t="s">
        <v>209</v>
      </c>
      <c r="L741" s="4" t="s">
        <v>231</v>
      </c>
      <c r="M741" s="8">
        <v>20</v>
      </c>
      <c r="N741" s="5">
        <v>178.45</v>
      </c>
      <c r="O741" s="5">
        <v>3569</v>
      </c>
      <c r="P741">
        <f t="shared" si="45"/>
        <v>1</v>
      </c>
      <c r="Q741" s="36">
        <f t="shared" si="46"/>
        <v>3569</v>
      </c>
      <c r="R741">
        <f t="shared" si="47"/>
        <v>2023</v>
      </c>
    </row>
    <row r="742" spans="1:18" x14ac:dyDescent="0.2">
      <c r="A742" s="13">
        <v>45363</v>
      </c>
      <c r="B742" s="13">
        <v>45252</v>
      </c>
      <c r="C742" s="25" t="s">
        <v>399</v>
      </c>
      <c r="D742" s="20">
        <v>111</v>
      </c>
      <c r="E742" s="28">
        <v>5353.5</v>
      </c>
      <c r="F742" s="22" t="s">
        <v>118</v>
      </c>
      <c r="G742" s="14">
        <v>30</v>
      </c>
      <c r="H742" s="40">
        <v>44993</v>
      </c>
      <c r="I742" s="46">
        <f t="shared" si="44"/>
        <v>370</v>
      </c>
      <c r="J742" s="1" t="s">
        <v>15</v>
      </c>
      <c r="K742" s="4" t="s">
        <v>209</v>
      </c>
      <c r="L742" s="4" t="s">
        <v>231</v>
      </c>
      <c r="M742" s="8">
        <v>30</v>
      </c>
      <c r="N742" s="5">
        <v>178.45</v>
      </c>
      <c r="O742" s="5">
        <v>5353.5</v>
      </c>
      <c r="P742">
        <f t="shared" si="45"/>
        <v>1</v>
      </c>
      <c r="Q742" s="36">
        <f t="shared" si="46"/>
        <v>5353.5</v>
      </c>
      <c r="R742">
        <f t="shared" si="47"/>
        <v>2023</v>
      </c>
    </row>
    <row r="743" spans="1:18" x14ac:dyDescent="0.2">
      <c r="A743" s="13">
        <v>45363</v>
      </c>
      <c r="B743" s="13">
        <v>45161</v>
      </c>
      <c r="C743" s="25" t="s">
        <v>399</v>
      </c>
      <c r="D743" s="20">
        <v>202</v>
      </c>
      <c r="E743" s="28">
        <v>8208.7000000000007</v>
      </c>
      <c r="F743" s="22" t="s">
        <v>118</v>
      </c>
      <c r="G743" s="14">
        <v>46</v>
      </c>
      <c r="H743" s="40">
        <v>44993</v>
      </c>
      <c r="I743" s="46">
        <f t="shared" si="44"/>
        <v>370</v>
      </c>
      <c r="J743" s="1" t="s">
        <v>15</v>
      </c>
      <c r="K743" s="4" t="s">
        <v>209</v>
      </c>
      <c r="L743" s="4" t="s">
        <v>231</v>
      </c>
      <c r="M743" s="8">
        <v>46</v>
      </c>
      <c r="N743" s="5">
        <v>178.45</v>
      </c>
      <c r="O743" s="5">
        <v>8208.7000000000007</v>
      </c>
      <c r="P743">
        <f t="shared" si="45"/>
        <v>1</v>
      </c>
      <c r="Q743" s="36">
        <f t="shared" si="46"/>
        <v>8208.6999999999989</v>
      </c>
      <c r="R743">
        <f t="shared" si="47"/>
        <v>2023</v>
      </c>
    </row>
    <row r="744" spans="1:18" x14ac:dyDescent="0.2">
      <c r="A744" s="13">
        <v>45363</v>
      </c>
      <c r="B744" s="13">
        <v>45317</v>
      </c>
      <c r="C744" s="25" t="s">
        <v>399</v>
      </c>
      <c r="D744" s="20">
        <v>46</v>
      </c>
      <c r="E744" s="28">
        <v>2855.2</v>
      </c>
      <c r="F744" s="22" t="s">
        <v>118</v>
      </c>
      <c r="G744" s="14">
        <v>16</v>
      </c>
      <c r="H744" s="40">
        <v>44993</v>
      </c>
      <c r="I744" s="46">
        <f t="shared" si="44"/>
        <v>370</v>
      </c>
      <c r="J744" s="1" t="s">
        <v>15</v>
      </c>
      <c r="K744" s="4" t="s">
        <v>209</v>
      </c>
      <c r="L744" s="4" t="s">
        <v>231</v>
      </c>
      <c r="M744" s="8">
        <v>16</v>
      </c>
      <c r="N744" s="5">
        <v>178.45</v>
      </c>
      <c r="O744" s="5">
        <v>2855.2</v>
      </c>
      <c r="P744">
        <f t="shared" si="45"/>
        <v>1</v>
      </c>
      <c r="Q744" s="36">
        <f t="shared" si="46"/>
        <v>2855.2</v>
      </c>
      <c r="R744">
        <f t="shared" si="47"/>
        <v>2023</v>
      </c>
    </row>
    <row r="745" spans="1:18" x14ac:dyDescent="0.2">
      <c r="A745" s="13">
        <v>45363</v>
      </c>
      <c r="B745" s="13">
        <v>45296</v>
      </c>
      <c r="C745" s="25" t="s">
        <v>399</v>
      </c>
      <c r="D745" s="20">
        <v>67</v>
      </c>
      <c r="E745" s="28">
        <v>3390.55</v>
      </c>
      <c r="F745" s="22" t="s">
        <v>118</v>
      </c>
      <c r="G745" s="14">
        <v>19</v>
      </c>
      <c r="H745" s="40">
        <v>44993</v>
      </c>
      <c r="I745" s="46">
        <f t="shared" si="44"/>
        <v>370</v>
      </c>
      <c r="J745" s="1" t="s">
        <v>15</v>
      </c>
      <c r="K745" s="4" t="s">
        <v>209</v>
      </c>
      <c r="L745" s="4" t="s">
        <v>231</v>
      </c>
      <c r="M745" s="8">
        <v>19</v>
      </c>
      <c r="N745" s="5">
        <v>178.45</v>
      </c>
      <c r="O745" s="5">
        <v>3390.55</v>
      </c>
      <c r="P745">
        <f t="shared" si="45"/>
        <v>1</v>
      </c>
      <c r="Q745" s="36">
        <f t="shared" si="46"/>
        <v>3390.5499999999997</v>
      </c>
      <c r="R745">
        <f t="shared" si="47"/>
        <v>2023</v>
      </c>
    </row>
    <row r="746" spans="1:18" x14ac:dyDescent="0.2">
      <c r="A746" s="13">
        <v>45363</v>
      </c>
      <c r="B746" s="13">
        <v>45114</v>
      </c>
      <c r="C746" s="25" t="s">
        <v>399</v>
      </c>
      <c r="D746" s="20">
        <v>249</v>
      </c>
      <c r="E746" s="28">
        <v>8208.7000000000007</v>
      </c>
      <c r="F746" s="22" t="s">
        <v>118</v>
      </c>
      <c r="G746" s="14">
        <v>46</v>
      </c>
      <c r="H746" s="40">
        <v>44993</v>
      </c>
      <c r="I746" s="46">
        <f t="shared" si="44"/>
        <v>370</v>
      </c>
      <c r="J746" s="1" t="s">
        <v>15</v>
      </c>
      <c r="K746" s="4" t="s">
        <v>209</v>
      </c>
      <c r="L746" s="4" t="s">
        <v>231</v>
      </c>
      <c r="M746" s="8">
        <v>46</v>
      </c>
      <c r="N746" s="5">
        <v>178.45</v>
      </c>
      <c r="O746" s="5">
        <v>8208.7000000000007</v>
      </c>
      <c r="P746">
        <f t="shared" si="45"/>
        <v>1</v>
      </c>
      <c r="Q746" s="36">
        <f t="shared" si="46"/>
        <v>8208.6999999999989</v>
      </c>
      <c r="R746">
        <f t="shared" si="47"/>
        <v>2023</v>
      </c>
    </row>
    <row r="747" spans="1:18" x14ac:dyDescent="0.2">
      <c r="A747" s="13">
        <v>45363</v>
      </c>
      <c r="B747" s="13">
        <v>45303</v>
      </c>
      <c r="C747" s="25" t="s">
        <v>399</v>
      </c>
      <c r="D747" s="20">
        <v>60</v>
      </c>
      <c r="E747" s="28">
        <v>3033.65</v>
      </c>
      <c r="F747" s="22" t="s">
        <v>118</v>
      </c>
      <c r="G747" s="14">
        <v>17</v>
      </c>
      <c r="H747" s="40">
        <v>44993</v>
      </c>
      <c r="I747" s="46">
        <f t="shared" si="44"/>
        <v>370</v>
      </c>
      <c r="J747" s="1" t="s">
        <v>15</v>
      </c>
      <c r="K747" s="4" t="s">
        <v>209</v>
      </c>
      <c r="L747" s="4" t="s">
        <v>231</v>
      </c>
      <c r="M747" s="8">
        <v>17</v>
      </c>
      <c r="N747" s="5">
        <v>178.45</v>
      </c>
      <c r="O747" s="5">
        <v>3033.65</v>
      </c>
      <c r="P747">
        <f t="shared" si="45"/>
        <v>1</v>
      </c>
      <c r="Q747" s="36">
        <f t="shared" si="46"/>
        <v>3033.6499999999996</v>
      </c>
      <c r="R747">
        <f t="shared" si="47"/>
        <v>2023</v>
      </c>
    </row>
    <row r="748" spans="1:18" x14ac:dyDescent="0.2">
      <c r="A748" s="13">
        <v>45363</v>
      </c>
      <c r="B748" s="13">
        <v>45154</v>
      </c>
      <c r="C748" s="25" t="s">
        <v>399</v>
      </c>
      <c r="D748" s="20">
        <v>209</v>
      </c>
      <c r="E748" s="28">
        <v>8208.7000000000007</v>
      </c>
      <c r="F748" s="22" t="s">
        <v>118</v>
      </c>
      <c r="G748" s="14">
        <v>46</v>
      </c>
      <c r="H748" s="40">
        <v>44993</v>
      </c>
      <c r="I748" s="46">
        <f t="shared" si="44"/>
        <v>370</v>
      </c>
      <c r="J748" s="1" t="s">
        <v>15</v>
      </c>
      <c r="K748" s="4" t="s">
        <v>209</v>
      </c>
      <c r="L748" s="4" t="s">
        <v>231</v>
      </c>
      <c r="M748" s="8">
        <v>46</v>
      </c>
      <c r="N748" s="5">
        <v>178.45</v>
      </c>
      <c r="O748" s="5">
        <v>8208.7000000000007</v>
      </c>
      <c r="P748">
        <f t="shared" si="45"/>
        <v>1</v>
      </c>
      <c r="Q748" s="36">
        <f t="shared" si="46"/>
        <v>8208.6999999999989</v>
      </c>
      <c r="R748">
        <f t="shared" si="47"/>
        <v>2023</v>
      </c>
    </row>
    <row r="749" spans="1:18" x14ac:dyDescent="0.2">
      <c r="A749" s="13">
        <v>45363</v>
      </c>
      <c r="B749" s="13">
        <v>45217</v>
      </c>
      <c r="C749" s="25" t="s">
        <v>399</v>
      </c>
      <c r="D749" s="20">
        <v>146</v>
      </c>
      <c r="E749" s="28">
        <v>5353.5</v>
      </c>
      <c r="F749" s="22" t="s">
        <v>118</v>
      </c>
      <c r="G749" s="14">
        <v>30</v>
      </c>
      <c r="H749" s="40">
        <v>44993</v>
      </c>
      <c r="I749" s="46">
        <f t="shared" si="44"/>
        <v>370</v>
      </c>
      <c r="J749" s="1" t="s">
        <v>15</v>
      </c>
      <c r="K749" s="4" t="s">
        <v>209</v>
      </c>
      <c r="L749" s="4" t="s">
        <v>231</v>
      </c>
      <c r="M749" s="8">
        <v>30</v>
      </c>
      <c r="N749" s="5">
        <v>178.45</v>
      </c>
      <c r="O749" s="5">
        <v>5353.5</v>
      </c>
      <c r="P749">
        <f t="shared" si="45"/>
        <v>1</v>
      </c>
      <c r="Q749" s="36">
        <f t="shared" si="46"/>
        <v>5353.5</v>
      </c>
      <c r="R749">
        <f t="shared" si="47"/>
        <v>2023</v>
      </c>
    </row>
    <row r="750" spans="1:18" x14ac:dyDescent="0.2">
      <c r="A750" s="13">
        <v>45363</v>
      </c>
      <c r="B750" s="13">
        <v>45205</v>
      </c>
      <c r="C750" s="25" t="s">
        <v>399</v>
      </c>
      <c r="D750" s="20">
        <v>158</v>
      </c>
      <c r="E750" s="28">
        <v>5353.5</v>
      </c>
      <c r="F750" s="22" t="s">
        <v>118</v>
      </c>
      <c r="G750" s="14">
        <v>30</v>
      </c>
      <c r="H750" s="40">
        <v>44993</v>
      </c>
      <c r="I750" s="46">
        <f t="shared" si="44"/>
        <v>370</v>
      </c>
      <c r="J750" s="1" t="s">
        <v>15</v>
      </c>
      <c r="K750" s="4" t="s">
        <v>209</v>
      </c>
      <c r="L750" s="4" t="s">
        <v>231</v>
      </c>
      <c r="M750" s="8">
        <v>30</v>
      </c>
      <c r="N750" s="5">
        <v>178.45</v>
      </c>
      <c r="O750" s="5">
        <v>5353.5</v>
      </c>
      <c r="P750">
        <f t="shared" si="45"/>
        <v>1</v>
      </c>
      <c r="Q750" s="36">
        <f t="shared" si="46"/>
        <v>5353.5</v>
      </c>
      <c r="R750">
        <f t="shared" si="47"/>
        <v>2023</v>
      </c>
    </row>
    <row r="751" spans="1:18" x14ac:dyDescent="0.2">
      <c r="A751" s="13">
        <v>45363</v>
      </c>
      <c r="B751" s="13">
        <v>45170</v>
      </c>
      <c r="C751" s="25" t="s">
        <v>399</v>
      </c>
      <c r="D751" s="20">
        <v>193</v>
      </c>
      <c r="E751" s="28">
        <v>4818.1499999999996</v>
      </c>
      <c r="F751" s="22" t="s">
        <v>118</v>
      </c>
      <c r="G751" s="14">
        <v>27</v>
      </c>
      <c r="H751" s="40">
        <v>44993</v>
      </c>
      <c r="I751" s="46">
        <f t="shared" si="44"/>
        <v>370</v>
      </c>
      <c r="J751" s="1" t="s">
        <v>15</v>
      </c>
      <c r="K751" s="4" t="s">
        <v>209</v>
      </c>
      <c r="L751" s="4" t="s">
        <v>231</v>
      </c>
      <c r="M751" s="8">
        <v>27</v>
      </c>
      <c r="N751" s="5">
        <v>178.45</v>
      </c>
      <c r="O751" s="5">
        <v>4818.1499999999996</v>
      </c>
      <c r="P751">
        <f t="shared" si="45"/>
        <v>1</v>
      </c>
      <c r="Q751" s="36">
        <f t="shared" si="46"/>
        <v>4818.1499999999996</v>
      </c>
      <c r="R751">
        <f t="shared" si="47"/>
        <v>2023</v>
      </c>
    </row>
    <row r="752" spans="1:18" x14ac:dyDescent="0.2">
      <c r="A752" s="13">
        <v>45363</v>
      </c>
      <c r="B752" s="13">
        <v>45119</v>
      </c>
      <c r="C752" s="25" t="s">
        <v>399</v>
      </c>
      <c r="D752" s="20">
        <v>244</v>
      </c>
      <c r="E752" s="28">
        <v>6067.3</v>
      </c>
      <c r="F752" s="22" t="s">
        <v>118</v>
      </c>
      <c r="G752" s="14">
        <v>34</v>
      </c>
      <c r="H752" s="40">
        <v>44993</v>
      </c>
      <c r="I752" s="46">
        <f t="shared" si="44"/>
        <v>370</v>
      </c>
      <c r="J752" s="1" t="s">
        <v>15</v>
      </c>
      <c r="K752" s="4" t="s">
        <v>209</v>
      </c>
      <c r="L752" s="4" t="s">
        <v>231</v>
      </c>
      <c r="M752" s="8">
        <v>34</v>
      </c>
      <c r="N752" s="5">
        <v>178.45</v>
      </c>
      <c r="O752" s="5">
        <v>6067.3</v>
      </c>
      <c r="P752">
        <f t="shared" si="45"/>
        <v>1</v>
      </c>
      <c r="Q752" s="36">
        <f t="shared" si="46"/>
        <v>6067.2999999999993</v>
      </c>
      <c r="R752">
        <f t="shared" si="47"/>
        <v>2023</v>
      </c>
    </row>
    <row r="753" spans="1:18" x14ac:dyDescent="0.2">
      <c r="A753" s="13">
        <v>45363</v>
      </c>
      <c r="B753" s="13">
        <v>45289</v>
      </c>
      <c r="C753" s="25" t="s">
        <v>399</v>
      </c>
      <c r="D753" s="20">
        <v>74</v>
      </c>
      <c r="E753" s="28">
        <v>3390.55</v>
      </c>
      <c r="F753" s="22" t="s">
        <v>118</v>
      </c>
      <c r="G753" s="14">
        <v>19</v>
      </c>
      <c r="H753" s="40">
        <v>44993</v>
      </c>
      <c r="I753" s="46">
        <f t="shared" si="44"/>
        <v>370</v>
      </c>
      <c r="J753" s="1" t="s">
        <v>15</v>
      </c>
      <c r="K753" s="4" t="s">
        <v>209</v>
      </c>
      <c r="L753" s="4" t="s">
        <v>231</v>
      </c>
      <c r="M753" s="8">
        <v>19</v>
      </c>
      <c r="N753" s="5">
        <v>178.45</v>
      </c>
      <c r="O753" s="5">
        <v>3390.55</v>
      </c>
      <c r="P753">
        <f t="shared" si="45"/>
        <v>1</v>
      </c>
      <c r="Q753" s="36">
        <f t="shared" si="46"/>
        <v>3390.5499999999997</v>
      </c>
      <c r="R753">
        <f t="shared" si="47"/>
        <v>2023</v>
      </c>
    </row>
    <row r="754" spans="1:18" x14ac:dyDescent="0.2">
      <c r="A754" s="13">
        <v>45363</v>
      </c>
      <c r="B754" s="13">
        <v>45189</v>
      </c>
      <c r="C754" s="25" t="s">
        <v>399</v>
      </c>
      <c r="D754" s="20">
        <v>174</v>
      </c>
      <c r="E754" s="28">
        <v>6424.2</v>
      </c>
      <c r="F754" s="22" t="s">
        <v>118</v>
      </c>
      <c r="G754" s="14">
        <v>36</v>
      </c>
      <c r="H754" s="40">
        <v>44993</v>
      </c>
      <c r="I754" s="46">
        <f t="shared" si="44"/>
        <v>370</v>
      </c>
      <c r="J754" s="1" t="s">
        <v>15</v>
      </c>
      <c r="K754" s="4" t="s">
        <v>209</v>
      </c>
      <c r="L754" s="4" t="s">
        <v>231</v>
      </c>
      <c r="M754" s="8">
        <v>36</v>
      </c>
      <c r="N754" s="5">
        <v>178.45</v>
      </c>
      <c r="O754" s="5">
        <v>6424.2</v>
      </c>
      <c r="P754">
        <f t="shared" si="45"/>
        <v>1</v>
      </c>
      <c r="Q754" s="36">
        <f t="shared" si="46"/>
        <v>6424.2</v>
      </c>
      <c r="R754">
        <f t="shared" si="47"/>
        <v>2023</v>
      </c>
    </row>
    <row r="755" spans="1:18" x14ac:dyDescent="0.2">
      <c r="A755" s="13">
        <v>45363</v>
      </c>
      <c r="B755" s="13">
        <v>45338</v>
      </c>
      <c r="C755" s="25" t="s">
        <v>399</v>
      </c>
      <c r="D755" s="20">
        <v>25</v>
      </c>
      <c r="E755" s="28">
        <v>2855.2</v>
      </c>
      <c r="F755" s="22" t="s">
        <v>118</v>
      </c>
      <c r="G755" s="14">
        <v>16</v>
      </c>
      <c r="H755" s="40">
        <v>44993</v>
      </c>
      <c r="I755" s="46">
        <f t="shared" si="44"/>
        <v>370</v>
      </c>
      <c r="J755" s="1" t="s">
        <v>15</v>
      </c>
      <c r="K755" s="4" t="s">
        <v>209</v>
      </c>
      <c r="L755" s="4" t="s">
        <v>231</v>
      </c>
      <c r="M755" s="8">
        <v>16</v>
      </c>
      <c r="N755" s="5">
        <v>178.45</v>
      </c>
      <c r="O755" s="5">
        <v>2855.2</v>
      </c>
      <c r="P755">
        <f t="shared" si="45"/>
        <v>1</v>
      </c>
      <c r="Q755" s="36">
        <f t="shared" si="46"/>
        <v>2855.2</v>
      </c>
      <c r="R755">
        <f t="shared" si="47"/>
        <v>2023</v>
      </c>
    </row>
    <row r="756" spans="1:18" x14ac:dyDescent="0.2">
      <c r="A756" s="13">
        <v>45363</v>
      </c>
      <c r="B756" s="13">
        <v>45149</v>
      </c>
      <c r="C756" s="25" t="s">
        <v>399</v>
      </c>
      <c r="D756" s="20">
        <v>214</v>
      </c>
      <c r="E756" s="28">
        <v>8208.7000000000007</v>
      </c>
      <c r="F756" s="22" t="s">
        <v>118</v>
      </c>
      <c r="G756" s="14">
        <v>46</v>
      </c>
      <c r="H756" s="40">
        <v>44993</v>
      </c>
      <c r="I756" s="46">
        <f t="shared" si="44"/>
        <v>370</v>
      </c>
      <c r="J756" s="1" t="s">
        <v>15</v>
      </c>
      <c r="K756" s="4" t="s">
        <v>209</v>
      </c>
      <c r="L756" s="4" t="s">
        <v>231</v>
      </c>
      <c r="M756" s="8">
        <v>46</v>
      </c>
      <c r="N756" s="5">
        <v>178.45</v>
      </c>
      <c r="O756" s="5">
        <v>8208.7000000000007</v>
      </c>
      <c r="P756">
        <f t="shared" si="45"/>
        <v>1</v>
      </c>
      <c r="Q756" s="36">
        <f t="shared" si="46"/>
        <v>8208.6999999999989</v>
      </c>
      <c r="R756">
        <f t="shared" si="47"/>
        <v>2023</v>
      </c>
    </row>
    <row r="757" spans="1:18" x14ac:dyDescent="0.2">
      <c r="A757" s="13">
        <v>45363</v>
      </c>
      <c r="B757" s="13">
        <v>45203</v>
      </c>
      <c r="C757" s="25" t="s">
        <v>399</v>
      </c>
      <c r="D757" s="20">
        <v>160</v>
      </c>
      <c r="E757" s="28">
        <v>5353.5</v>
      </c>
      <c r="F757" s="22" t="s">
        <v>118</v>
      </c>
      <c r="G757" s="14">
        <v>30</v>
      </c>
      <c r="H757" s="40">
        <v>44993</v>
      </c>
      <c r="I757" s="46">
        <f t="shared" si="44"/>
        <v>370</v>
      </c>
      <c r="J757" s="1" t="s">
        <v>15</v>
      </c>
      <c r="K757" s="4" t="s">
        <v>209</v>
      </c>
      <c r="L757" s="4" t="s">
        <v>231</v>
      </c>
      <c r="M757" s="8">
        <v>30</v>
      </c>
      <c r="N757" s="5">
        <v>178.45</v>
      </c>
      <c r="O757" s="5">
        <v>5353.5</v>
      </c>
      <c r="P757">
        <f t="shared" si="45"/>
        <v>1</v>
      </c>
      <c r="Q757" s="36">
        <f t="shared" si="46"/>
        <v>5353.5</v>
      </c>
      <c r="R757">
        <f t="shared" si="47"/>
        <v>2023</v>
      </c>
    </row>
    <row r="758" spans="1:18" x14ac:dyDescent="0.2">
      <c r="A758" s="13">
        <v>45363</v>
      </c>
      <c r="B758" s="13">
        <v>45259</v>
      </c>
      <c r="C758" s="25" t="s">
        <v>399</v>
      </c>
      <c r="D758" s="20">
        <v>104</v>
      </c>
      <c r="E758" s="28">
        <v>5353.5</v>
      </c>
      <c r="F758" s="22" t="s">
        <v>118</v>
      </c>
      <c r="G758" s="14">
        <v>30</v>
      </c>
      <c r="H758" s="40">
        <v>44993</v>
      </c>
      <c r="I758" s="46">
        <f t="shared" si="44"/>
        <v>370</v>
      </c>
      <c r="J758" s="1" t="s">
        <v>15</v>
      </c>
      <c r="K758" s="4" t="s">
        <v>209</v>
      </c>
      <c r="L758" s="4" t="s">
        <v>231</v>
      </c>
      <c r="M758" s="8">
        <v>30</v>
      </c>
      <c r="N758" s="5">
        <v>178.45</v>
      </c>
      <c r="O758" s="5">
        <v>5353.5</v>
      </c>
      <c r="P758">
        <f t="shared" si="45"/>
        <v>1</v>
      </c>
      <c r="Q758" s="36">
        <f t="shared" si="46"/>
        <v>5353.5</v>
      </c>
      <c r="R758">
        <f t="shared" si="47"/>
        <v>2023</v>
      </c>
    </row>
    <row r="759" spans="1:18" x14ac:dyDescent="0.2">
      <c r="A759" s="13">
        <v>45363</v>
      </c>
      <c r="B759" s="13">
        <v>45224</v>
      </c>
      <c r="C759" s="25" t="s">
        <v>399</v>
      </c>
      <c r="D759" s="20">
        <v>139</v>
      </c>
      <c r="E759" s="28">
        <v>5353.5</v>
      </c>
      <c r="F759" s="22" t="s">
        <v>118</v>
      </c>
      <c r="G759" s="14">
        <v>30</v>
      </c>
      <c r="H759" s="40">
        <v>44993</v>
      </c>
      <c r="I759" s="46">
        <f t="shared" si="44"/>
        <v>370</v>
      </c>
      <c r="J759" s="1" t="s">
        <v>15</v>
      </c>
      <c r="K759" s="4" t="s">
        <v>209</v>
      </c>
      <c r="L759" s="4" t="s">
        <v>231</v>
      </c>
      <c r="M759" s="8">
        <v>30</v>
      </c>
      <c r="N759" s="5">
        <v>178.45</v>
      </c>
      <c r="O759" s="5">
        <v>5353.5</v>
      </c>
      <c r="P759">
        <f t="shared" si="45"/>
        <v>1</v>
      </c>
      <c r="Q759" s="36">
        <f t="shared" si="46"/>
        <v>5353.5</v>
      </c>
      <c r="R759">
        <f t="shared" si="47"/>
        <v>2023</v>
      </c>
    </row>
    <row r="760" spans="1:18" x14ac:dyDescent="0.2">
      <c r="A760" s="13">
        <v>45373</v>
      </c>
      <c r="B760" s="13">
        <v>45373</v>
      </c>
      <c r="C760" s="25" t="s">
        <v>398</v>
      </c>
      <c r="D760" s="20">
        <v>0</v>
      </c>
      <c r="E760" s="28">
        <v>9279.4</v>
      </c>
      <c r="F760" s="22" t="s">
        <v>118</v>
      </c>
      <c r="G760" s="14">
        <v>52</v>
      </c>
      <c r="H760" s="40">
        <v>44993</v>
      </c>
      <c r="I760" s="46">
        <f t="shared" si="44"/>
        <v>380</v>
      </c>
      <c r="J760" s="1" t="s">
        <v>15</v>
      </c>
      <c r="K760" s="4" t="s">
        <v>209</v>
      </c>
      <c r="L760" s="4" t="s">
        <v>231</v>
      </c>
      <c r="M760" s="8">
        <v>52</v>
      </c>
      <c r="N760" s="5">
        <v>178.45</v>
      </c>
      <c r="O760" s="5">
        <v>9279.4</v>
      </c>
      <c r="P760">
        <f t="shared" si="45"/>
        <v>1</v>
      </c>
      <c r="Q760" s="36">
        <f t="shared" si="46"/>
        <v>9279.4</v>
      </c>
      <c r="R760">
        <f t="shared" si="47"/>
        <v>2023</v>
      </c>
    </row>
    <row r="761" spans="1:18" x14ac:dyDescent="0.2">
      <c r="A761" s="13">
        <v>45405</v>
      </c>
      <c r="B761" s="13">
        <v>45266</v>
      </c>
      <c r="C761" s="25" t="s">
        <v>399</v>
      </c>
      <c r="D761" s="20">
        <v>139</v>
      </c>
      <c r="E761" s="28">
        <v>5353.5</v>
      </c>
      <c r="F761" s="22" t="s">
        <v>118</v>
      </c>
      <c r="G761" s="14">
        <v>30</v>
      </c>
      <c r="H761" s="40">
        <v>44993</v>
      </c>
      <c r="I761" s="46">
        <f t="shared" si="44"/>
        <v>412</v>
      </c>
      <c r="J761" s="1" t="s">
        <v>15</v>
      </c>
      <c r="K761" s="4" t="s">
        <v>209</v>
      </c>
      <c r="L761" s="4" t="s">
        <v>231</v>
      </c>
      <c r="M761" s="8">
        <v>30</v>
      </c>
      <c r="N761" s="5">
        <v>178.45</v>
      </c>
      <c r="O761" s="5">
        <v>5353.5</v>
      </c>
      <c r="P761">
        <f t="shared" si="45"/>
        <v>1</v>
      </c>
      <c r="Q761" s="36">
        <f t="shared" si="46"/>
        <v>5353.5</v>
      </c>
      <c r="R761">
        <f t="shared" si="47"/>
        <v>2023</v>
      </c>
    </row>
    <row r="762" spans="1:18" x14ac:dyDescent="0.2">
      <c r="A762" s="13">
        <v>45551</v>
      </c>
      <c r="B762" s="13">
        <v>44965</v>
      </c>
      <c r="C762" s="25" t="s">
        <v>399</v>
      </c>
      <c r="D762" s="20">
        <v>586</v>
      </c>
      <c r="E762" s="28">
        <v>1536.7</v>
      </c>
      <c r="F762" s="22" t="s">
        <v>119</v>
      </c>
      <c r="G762" s="14">
        <v>22</v>
      </c>
      <c r="H762" s="40">
        <v>44460</v>
      </c>
      <c r="I762" s="46">
        <f t="shared" si="44"/>
        <v>1091</v>
      </c>
      <c r="J762" s="1" t="s">
        <v>15</v>
      </c>
      <c r="K762" s="4" t="s">
        <v>209</v>
      </c>
      <c r="L762" s="4" t="s">
        <v>231</v>
      </c>
      <c r="M762" s="8">
        <v>22</v>
      </c>
      <c r="N762" s="5">
        <v>69.849999999999994</v>
      </c>
      <c r="O762" s="5">
        <v>1536.7</v>
      </c>
      <c r="P762">
        <f t="shared" si="45"/>
        <v>1</v>
      </c>
      <c r="Q762" s="36">
        <f t="shared" si="46"/>
        <v>1536.6999999999998</v>
      </c>
      <c r="R762">
        <f t="shared" si="47"/>
        <v>2021</v>
      </c>
    </row>
    <row r="763" spans="1:18" x14ac:dyDescent="0.2">
      <c r="A763" s="13" t="s">
        <v>13</v>
      </c>
      <c r="B763" s="13">
        <v>45133</v>
      </c>
      <c r="C763" s="25" t="s">
        <v>399</v>
      </c>
      <c r="D763" s="20" t="e">
        <v>#VALUE!</v>
      </c>
      <c r="E763" s="28">
        <v>0</v>
      </c>
      <c r="F763" s="22" t="s">
        <v>119</v>
      </c>
      <c r="G763" s="14">
        <v>816</v>
      </c>
      <c r="H763" s="40">
        <v>44603</v>
      </c>
      <c r="I763" s="46" t="e">
        <f t="shared" si="44"/>
        <v>#VALUE!</v>
      </c>
      <c r="J763" s="1" t="s">
        <v>15</v>
      </c>
      <c r="K763" s="4" t="s">
        <v>209</v>
      </c>
      <c r="L763" s="4" t="s">
        <v>231</v>
      </c>
      <c r="M763" s="8">
        <v>816</v>
      </c>
      <c r="N763" s="5">
        <v>69.849999999999994</v>
      </c>
      <c r="O763" s="5">
        <v>56997.599999999999</v>
      </c>
      <c r="P763">
        <f t="shared" si="45"/>
        <v>1</v>
      </c>
      <c r="Q763" s="36">
        <f t="shared" si="46"/>
        <v>56997.599999999999</v>
      </c>
      <c r="R763">
        <f t="shared" si="47"/>
        <v>2022</v>
      </c>
    </row>
    <row r="764" spans="1:18" x14ac:dyDescent="0.2">
      <c r="A764" s="13">
        <v>45191</v>
      </c>
      <c r="B764" s="13">
        <v>45191</v>
      </c>
      <c r="C764" s="25" t="s">
        <v>398</v>
      </c>
      <c r="D764" s="20">
        <v>0</v>
      </c>
      <c r="E764" s="28">
        <v>5937.25</v>
      </c>
      <c r="F764" s="22" t="s">
        <v>119</v>
      </c>
      <c r="G764" s="14">
        <v>85</v>
      </c>
      <c r="H764" s="40">
        <v>44638</v>
      </c>
      <c r="I764" s="46">
        <f t="shared" si="44"/>
        <v>553</v>
      </c>
      <c r="J764" s="1" t="s">
        <v>15</v>
      </c>
      <c r="K764" s="4" t="s">
        <v>209</v>
      </c>
      <c r="L764" s="4" t="s">
        <v>231</v>
      </c>
      <c r="M764" s="8">
        <v>85</v>
      </c>
      <c r="N764" s="5">
        <v>69.849999999999994</v>
      </c>
      <c r="O764" s="5">
        <v>5937.25</v>
      </c>
      <c r="P764">
        <f t="shared" si="45"/>
        <v>1</v>
      </c>
      <c r="Q764" s="36">
        <f t="shared" si="46"/>
        <v>5937.2499999999991</v>
      </c>
      <c r="R764">
        <f t="shared" si="47"/>
        <v>2022</v>
      </c>
    </row>
    <row r="765" spans="1:18" x14ac:dyDescent="0.2">
      <c r="A765" s="13">
        <v>45198</v>
      </c>
      <c r="B765" s="13">
        <v>45198</v>
      </c>
      <c r="C765" s="25" t="s">
        <v>398</v>
      </c>
      <c r="D765" s="20">
        <v>0</v>
      </c>
      <c r="E765" s="28">
        <v>4610.1000000000004</v>
      </c>
      <c r="F765" s="22" t="s">
        <v>119</v>
      </c>
      <c r="G765" s="14">
        <v>66</v>
      </c>
      <c r="H765" s="40">
        <v>44644</v>
      </c>
      <c r="I765" s="46">
        <f t="shared" si="44"/>
        <v>554</v>
      </c>
      <c r="J765" s="1" t="s">
        <v>15</v>
      </c>
      <c r="K765" s="4" t="s">
        <v>209</v>
      </c>
      <c r="L765" s="4" t="s">
        <v>231</v>
      </c>
      <c r="M765" s="8">
        <v>66</v>
      </c>
      <c r="N765" s="5">
        <v>69.849999999999994</v>
      </c>
      <c r="O765" s="5">
        <v>4610.1000000000004</v>
      </c>
      <c r="P765">
        <f t="shared" si="45"/>
        <v>1</v>
      </c>
      <c r="Q765" s="36">
        <f t="shared" si="46"/>
        <v>4610.0999999999995</v>
      </c>
      <c r="R765">
        <f t="shared" si="47"/>
        <v>2022</v>
      </c>
    </row>
    <row r="766" spans="1:18" x14ac:dyDescent="0.2">
      <c r="A766" s="13">
        <v>45211</v>
      </c>
      <c r="B766" s="13">
        <v>45211</v>
      </c>
      <c r="C766" s="25" t="s">
        <v>398</v>
      </c>
      <c r="D766" s="20">
        <v>0</v>
      </c>
      <c r="E766" s="28">
        <v>10896.6</v>
      </c>
      <c r="F766" s="22" t="s">
        <v>119</v>
      </c>
      <c r="G766" s="14">
        <v>156</v>
      </c>
      <c r="H766" s="40">
        <v>44649</v>
      </c>
      <c r="I766" s="46">
        <f t="shared" si="44"/>
        <v>562</v>
      </c>
      <c r="J766" s="1" t="s">
        <v>15</v>
      </c>
      <c r="K766" s="4" t="s">
        <v>209</v>
      </c>
      <c r="L766" s="4" t="s">
        <v>231</v>
      </c>
      <c r="M766" s="8">
        <v>156</v>
      </c>
      <c r="N766" s="5">
        <v>69.849999999999994</v>
      </c>
      <c r="O766" s="5">
        <v>10896.6</v>
      </c>
      <c r="P766">
        <f t="shared" si="45"/>
        <v>1</v>
      </c>
      <c r="Q766" s="36">
        <f t="shared" si="46"/>
        <v>10896.599999999999</v>
      </c>
      <c r="R766">
        <f t="shared" si="47"/>
        <v>2022</v>
      </c>
    </row>
    <row r="767" spans="1:18" x14ac:dyDescent="0.2">
      <c r="A767" s="13">
        <v>45189</v>
      </c>
      <c r="B767" s="13">
        <v>45189</v>
      </c>
      <c r="C767" s="25" t="s">
        <v>398</v>
      </c>
      <c r="D767" s="20">
        <v>0</v>
      </c>
      <c r="E767" s="28">
        <v>27241.5</v>
      </c>
      <c r="F767" s="22" t="s">
        <v>119</v>
      </c>
      <c r="G767" s="14">
        <v>390</v>
      </c>
      <c r="H767" s="40">
        <v>44650</v>
      </c>
      <c r="I767" s="46">
        <f t="shared" si="44"/>
        <v>539</v>
      </c>
      <c r="J767" s="1" t="s">
        <v>15</v>
      </c>
      <c r="K767" s="4" t="s">
        <v>209</v>
      </c>
      <c r="L767" s="4" t="s">
        <v>231</v>
      </c>
      <c r="M767" s="8">
        <v>390</v>
      </c>
      <c r="N767" s="5">
        <v>69.849999999999994</v>
      </c>
      <c r="O767" s="5">
        <v>27241.5</v>
      </c>
      <c r="P767">
        <f t="shared" si="45"/>
        <v>1</v>
      </c>
      <c r="Q767" s="36">
        <f t="shared" si="46"/>
        <v>27241.499999999996</v>
      </c>
      <c r="R767">
        <f t="shared" si="47"/>
        <v>2022</v>
      </c>
    </row>
    <row r="768" spans="1:18" x14ac:dyDescent="0.2">
      <c r="A768" s="13">
        <v>45212</v>
      </c>
      <c r="B768" s="13">
        <v>45212</v>
      </c>
      <c r="C768" s="25" t="s">
        <v>398</v>
      </c>
      <c r="D768" s="20">
        <v>0</v>
      </c>
      <c r="E768" s="28">
        <v>16764</v>
      </c>
      <c r="F768" s="22" t="s">
        <v>119</v>
      </c>
      <c r="G768" s="14">
        <v>240</v>
      </c>
      <c r="H768" s="40">
        <v>44663</v>
      </c>
      <c r="I768" s="46">
        <f t="shared" si="44"/>
        <v>549</v>
      </c>
      <c r="J768" s="1" t="s">
        <v>15</v>
      </c>
      <c r="K768" s="4" t="s">
        <v>209</v>
      </c>
      <c r="L768" s="4" t="s">
        <v>231</v>
      </c>
      <c r="M768" s="8">
        <v>240</v>
      </c>
      <c r="N768" s="5">
        <v>69.849999999999994</v>
      </c>
      <c r="O768" s="5">
        <v>16764</v>
      </c>
      <c r="P768">
        <f t="shared" si="45"/>
        <v>1</v>
      </c>
      <c r="Q768" s="36">
        <f t="shared" si="46"/>
        <v>16764</v>
      </c>
      <c r="R768">
        <f t="shared" si="47"/>
        <v>2022</v>
      </c>
    </row>
    <row r="769" spans="1:18" x14ac:dyDescent="0.2">
      <c r="A769" s="13">
        <v>45211</v>
      </c>
      <c r="B769" s="13">
        <v>45211</v>
      </c>
      <c r="C769" s="25" t="s">
        <v>398</v>
      </c>
      <c r="D769" s="20">
        <v>0</v>
      </c>
      <c r="E769" s="28">
        <v>48196.5</v>
      </c>
      <c r="F769" s="22" t="s">
        <v>119</v>
      </c>
      <c r="G769" s="14">
        <v>690</v>
      </c>
      <c r="H769" s="40">
        <v>44664</v>
      </c>
      <c r="I769" s="46">
        <f t="shared" si="44"/>
        <v>547</v>
      </c>
      <c r="J769" s="1" t="s">
        <v>15</v>
      </c>
      <c r="K769" s="4" t="s">
        <v>209</v>
      </c>
      <c r="L769" s="4" t="s">
        <v>231</v>
      </c>
      <c r="M769" s="8">
        <v>690</v>
      </c>
      <c r="N769" s="5">
        <v>69.849999999999994</v>
      </c>
      <c r="O769" s="5">
        <v>48196.5</v>
      </c>
      <c r="P769">
        <f t="shared" si="45"/>
        <v>1</v>
      </c>
      <c r="Q769" s="36">
        <f t="shared" si="46"/>
        <v>48196.499999999993</v>
      </c>
      <c r="R769">
        <f t="shared" si="47"/>
        <v>2022</v>
      </c>
    </row>
    <row r="770" spans="1:18" x14ac:dyDescent="0.2">
      <c r="A770" s="13">
        <v>45220</v>
      </c>
      <c r="B770" s="13">
        <v>45220</v>
      </c>
      <c r="C770" s="25" t="s">
        <v>398</v>
      </c>
      <c r="D770" s="20">
        <v>0</v>
      </c>
      <c r="E770" s="28">
        <v>18021.3</v>
      </c>
      <c r="F770" s="22" t="s">
        <v>119</v>
      </c>
      <c r="G770" s="14">
        <v>258</v>
      </c>
      <c r="H770" s="40">
        <v>44677</v>
      </c>
      <c r="I770" s="46">
        <f t="shared" si="44"/>
        <v>543</v>
      </c>
      <c r="J770" s="1" t="s">
        <v>15</v>
      </c>
      <c r="K770" s="4" t="s">
        <v>209</v>
      </c>
      <c r="L770" s="4" t="s">
        <v>231</v>
      </c>
      <c r="M770" s="8">
        <v>258</v>
      </c>
      <c r="N770" s="5">
        <v>69.849999999999994</v>
      </c>
      <c r="O770" s="5">
        <v>18021.3</v>
      </c>
      <c r="P770">
        <f t="shared" si="45"/>
        <v>1</v>
      </c>
      <c r="Q770" s="36">
        <f t="shared" si="46"/>
        <v>18021.3</v>
      </c>
      <c r="R770">
        <f t="shared" si="47"/>
        <v>2022</v>
      </c>
    </row>
    <row r="771" spans="1:18" x14ac:dyDescent="0.2">
      <c r="A771" s="13">
        <v>45226</v>
      </c>
      <c r="B771" s="13">
        <v>45226</v>
      </c>
      <c r="C771" s="25" t="s">
        <v>398</v>
      </c>
      <c r="D771" s="20">
        <v>0</v>
      </c>
      <c r="E771" s="28">
        <v>20116.8</v>
      </c>
      <c r="F771" s="22" t="s">
        <v>119</v>
      </c>
      <c r="G771" s="14">
        <v>288</v>
      </c>
      <c r="H771" s="40">
        <v>44691</v>
      </c>
      <c r="I771" s="46">
        <f t="shared" ref="I771:I834" si="48">IFERROR(A771-H771,"")*1</f>
        <v>535</v>
      </c>
      <c r="J771" s="1" t="s">
        <v>15</v>
      </c>
      <c r="K771" s="4" t="s">
        <v>209</v>
      </c>
      <c r="L771" s="4" t="s">
        <v>231</v>
      </c>
      <c r="M771" s="8">
        <v>288</v>
      </c>
      <c r="N771" s="5">
        <v>69.849999999999994</v>
      </c>
      <c r="O771" s="5">
        <v>20116.8</v>
      </c>
      <c r="P771">
        <f t="shared" ref="P771:P834" si="49">IF(M771=G771,1,0)</f>
        <v>1</v>
      </c>
      <c r="Q771" s="36">
        <f t="shared" ref="Q771:Q834" si="50">N771*G771</f>
        <v>20116.8</v>
      </c>
      <c r="R771">
        <f t="shared" ref="R771:R834" si="51">YEAR(H771)</f>
        <v>2022</v>
      </c>
    </row>
    <row r="772" spans="1:18" x14ac:dyDescent="0.2">
      <c r="A772" s="13">
        <v>45267</v>
      </c>
      <c r="B772" s="13">
        <v>45267</v>
      </c>
      <c r="C772" s="25" t="s">
        <v>398</v>
      </c>
      <c r="D772" s="20">
        <v>0</v>
      </c>
      <c r="E772" s="28">
        <v>20116.8</v>
      </c>
      <c r="F772" s="22" t="s">
        <v>119</v>
      </c>
      <c r="G772" s="14">
        <v>288</v>
      </c>
      <c r="H772" s="40">
        <v>44734</v>
      </c>
      <c r="I772" s="46">
        <f t="shared" si="48"/>
        <v>533</v>
      </c>
      <c r="J772" s="1" t="s">
        <v>15</v>
      </c>
      <c r="K772" s="4" t="s">
        <v>209</v>
      </c>
      <c r="L772" s="4" t="s">
        <v>231</v>
      </c>
      <c r="M772" s="8">
        <v>288</v>
      </c>
      <c r="N772" s="5">
        <v>69.849999999999994</v>
      </c>
      <c r="O772" s="5">
        <v>20116.8</v>
      </c>
      <c r="P772">
        <f t="shared" si="49"/>
        <v>1</v>
      </c>
      <c r="Q772" s="36">
        <f t="shared" si="50"/>
        <v>20116.8</v>
      </c>
      <c r="R772">
        <f t="shared" si="51"/>
        <v>2022</v>
      </c>
    </row>
    <row r="773" spans="1:18" x14ac:dyDescent="0.2">
      <c r="A773" s="13">
        <v>45267</v>
      </c>
      <c r="B773" s="13">
        <v>45267</v>
      </c>
      <c r="C773" s="25" t="s">
        <v>398</v>
      </c>
      <c r="D773" s="20">
        <v>0</v>
      </c>
      <c r="E773" s="28">
        <v>5029.2</v>
      </c>
      <c r="F773" s="22" t="s">
        <v>119</v>
      </c>
      <c r="G773" s="14">
        <v>72</v>
      </c>
      <c r="H773" s="40">
        <v>44736</v>
      </c>
      <c r="I773" s="46">
        <f t="shared" si="48"/>
        <v>531</v>
      </c>
      <c r="J773" s="1" t="s">
        <v>15</v>
      </c>
      <c r="K773" s="4" t="s">
        <v>209</v>
      </c>
      <c r="L773" s="4" t="s">
        <v>231</v>
      </c>
      <c r="M773" s="8">
        <v>72</v>
      </c>
      <c r="N773" s="5">
        <v>69.849999999999994</v>
      </c>
      <c r="O773" s="5">
        <v>5029.2</v>
      </c>
      <c r="P773">
        <f t="shared" si="49"/>
        <v>1</v>
      </c>
      <c r="Q773" s="36">
        <f t="shared" si="50"/>
        <v>5029.2</v>
      </c>
      <c r="R773">
        <f t="shared" si="51"/>
        <v>2022</v>
      </c>
    </row>
    <row r="774" spans="1:18" x14ac:dyDescent="0.2">
      <c r="A774" s="13">
        <v>45191</v>
      </c>
      <c r="B774" s="13">
        <v>45191</v>
      </c>
      <c r="C774" s="25" t="s">
        <v>398</v>
      </c>
      <c r="D774" s="20">
        <v>0</v>
      </c>
      <c r="E774" s="28">
        <v>102884.4</v>
      </c>
      <c r="F774" s="22" t="s">
        <v>85</v>
      </c>
      <c r="G774" s="14">
        <v>120</v>
      </c>
      <c r="H774" s="40">
        <v>44812</v>
      </c>
      <c r="I774" s="46">
        <f t="shared" si="48"/>
        <v>379</v>
      </c>
      <c r="J774" s="1" t="s">
        <v>15</v>
      </c>
      <c r="K774" s="4" t="s">
        <v>209</v>
      </c>
      <c r="L774" s="4" t="s">
        <v>231</v>
      </c>
      <c r="M774" s="8">
        <v>120</v>
      </c>
      <c r="N774" s="5">
        <v>857.37</v>
      </c>
      <c r="O774" s="5">
        <v>102884.4</v>
      </c>
      <c r="P774">
        <f t="shared" si="49"/>
        <v>1</v>
      </c>
      <c r="Q774" s="36">
        <f t="shared" si="50"/>
        <v>102884.4</v>
      </c>
      <c r="R774">
        <f t="shared" si="51"/>
        <v>2022</v>
      </c>
    </row>
    <row r="775" spans="1:18" x14ac:dyDescent="0.2">
      <c r="A775" s="13">
        <v>45201</v>
      </c>
      <c r="B775" s="13">
        <v>45201</v>
      </c>
      <c r="C775" s="25" t="s">
        <v>398</v>
      </c>
      <c r="D775" s="20">
        <v>0</v>
      </c>
      <c r="E775" s="28">
        <v>102884.4</v>
      </c>
      <c r="F775" s="22" t="s">
        <v>85</v>
      </c>
      <c r="G775" s="14">
        <v>120</v>
      </c>
      <c r="H775" s="40">
        <v>44827</v>
      </c>
      <c r="I775" s="46">
        <f t="shared" si="48"/>
        <v>374</v>
      </c>
      <c r="J775" s="1" t="s">
        <v>15</v>
      </c>
      <c r="K775" s="4" t="s">
        <v>209</v>
      </c>
      <c r="L775" s="4" t="s">
        <v>231</v>
      </c>
      <c r="M775" s="8">
        <v>120</v>
      </c>
      <c r="N775" s="5">
        <v>857.37</v>
      </c>
      <c r="O775" s="5">
        <v>102884.4</v>
      </c>
      <c r="P775">
        <f t="shared" si="49"/>
        <v>1</v>
      </c>
      <c r="Q775" s="36">
        <f t="shared" si="50"/>
        <v>102884.4</v>
      </c>
      <c r="R775">
        <f t="shared" si="51"/>
        <v>2022</v>
      </c>
    </row>
    <row r="776" spans="1:18" x14ac:dyDescent="0.2">
      <c r="A776" s="13">
        <v>45208</v>
      </c>
      <c r="B776" s="13">
        <v>45208</v>
      </c>
      <c r="C776" s="25" t="s">
        <v>398</v>
      </c>
      <c r="D776" s="20">
        <v>0</v>
      </c>
      <c r="E776" s="28">
        <v>51442.2</v>
      </c>
      <c r="F776" s="22" t="s">
        <v>85</v>
      </c>
      <c r="G776" s="14">
        <v>60</v>
      </c>
      <c r="H776" s="40">
        <v>44827</v>
      </c>
      <c r="I776" s="46">
        <f t="shared" si="48"/>
        <v>381</v>
      </c>
      <c r="J776" s="1" t="s">
        <v>15</v>
      </c>
      <c r="K776" s="4" t="s">
        <v>209</v>
      </c>
      <c r="L776" s="4" t="s">
        <v>231</v>
      </c>
      <c r="M776" s="8">
        <v>60</v>
      </c>
      <c r="N776" s="5">
        <v>857.37</v>
      </c>
      <c r="O776" s="5">
        <v>51442.2</v>
      </c>
      <c r="P776">
        <f t="shared" si="49"/>
        <v>1</v>
      </c>
      <c r="Q776" s="36">
        <f t="shared" si="50"/>
        <v>51442.2</v>
      </c>
      <c r="R776">
        <f t="shared" si="51"/>
        <v>2022</v>
      </c>
    </row>
    <row r="777" spans="1:18" x14ac:dyDescent="0.2">
      <c r="A777" s="13">
        <v>45218</v>
      </c>
      <c r="B777" s="13">
        <v>45218</v>
      </c>
      <c r="C777" s="25" t="s">
        <v>398</v>
      </c>
      <c r="D777" s="20">
        <v>0</v>
      </c>
      <c r="E777" s="28">
        <v>1093146.75</v>
      </c>
      <c r="F777" s="22" t="s">
        <v>85</v>
      </c>
      <c r="G777" s="14">
        <v>1275</v>
      </c>
      <c r="H777" s="40">
        <v>44956</v>
      </c>
      <c r="I777" s="46">
        <f t="shared" si="48"/>
        <v>262</v>
      </c>
      <c r="J777" s="1" t="s">
        <v>15</v>
      </c>
      <c r="K777" s="4" t="s">
        <v>209</v>
      </c>
      <c r="L777" s="4" t="s">
        <v>231</v>
      </c>
      <c r="M777" s="8">
        <v>1275</v>
      </c>
      <c r="N777" s="5">
        <v>857.37</v>
      </c>
      <c r="O777" s="5">
        <v>1093146.75</v>
      </c>
      <c r="P777">
        <f t="shared" si="49"/>
        <v>1</v>
      </c>
      <c r="Q777" s="36">
        <f t="shared" si="50"/>
        <v>1093146.75</v>
      </c>
      <c r="R777">
        <f t="shared" si="51"/>
        <v>2023</v>
      </c>
    </row>
    <row r="778" spans="1:18" x14ac:dyDescent="0.2">
      <c r="A778" s="13">
        <v>45299</v>
      </c>
      <c r="B778" s="13">
        <v>45299</v>
      </c>
      <c r="C778" s="25" t="s">
        <v>398</v>
      </c>
      <c r="D778" s="20">
        <v>0</v>
      </c>
      <c r="E778" s="28">
        <v>192908.25</v>
      </c>
      <c r="F778" s="22" t="s">
        <v>85</v>
      </c>
      <c r="G778" s="14">
        <v>225</v>
      </c>
      <c r="H778" s="40">
        <v>44993</v>
      </c>
      <c r="I778" s="46">
        <f t="shared" si="48"/>
        <v>306</v>
      </c>
      <c r="J778" s="1" t="s">
        <v>15</v>
      </c>
      <c r="K778" s="4" t="s">
        <v>209</v>
      </c>
      <c r="L778" s="4" t="s">
        <v>231</v>
      </c>
      <c r="M778" s="8">
        <v>225</v>
      </c>
      <c r="N778" s="5">
        <v>857.37</v>
      </c>
      <c r="O778" s="5">
        <v>192908.25</v>
      </c>
      <c r="P778">
        <f t="shared" si="49"/>
        <v>1</v>
      </c>
      <c r="Q778" s="36">
        <f t="shared" si="50"/>
        <v>192908.25</v>
      </c>
      <c r="R778">
        <f t="shared" si="51"/>
        <v>2023</v>
      </c>
    </row>
    <row r="779" spans="1:18" x14ac:dyDescent="0.2">
      <c r="A779" s="13">
        <v>45302</v>
      </c>
      <c r="B779" s="13">
        <v>45302</v>
      </c>
      <c r="C779" s="25" t="s">
        <v>398</v>
      </c>
      <c r="D779" s="20">
        <v>0</v>
      </c>
      <c r="E779" s="28">
        <v>231489.9</v>
      </c>
      <c r="F779" s="22" t="s">
        <v>85</v>
      </c>
      <c r="G779" s="14">
        <v>270</v>
      </c>
      <c r="H779" s="40">
        <v>44993</v>
      </c>
      <c r="I779" s="46">
        <f t="shared" si="48"/>
        <v>309</v>
      </c>
      <c r="J779" s="1" t="s">
        <v>15</v>
      </c>
      <c r="K779" s="4" t="s">
        <v>209</v>
      </c>
      <c r="L779" s="4" t="s">
        <v>231</v>
      </c>
      <c r="M779" s="8">
        <v>270</v>
      </c>
      <c r="N779" s="5">
        <v>857.37</v>
      </c>
      <c r="O779" s="5">
        <v>231489.9</v>
      </c>
      <c r="P779">
        <f t="shared" si="49"/>
        <v>1</v>
      </c>
      <c r="Q779" s="36">
        <f t="shared" si="50"/>
        <v>231489.9</v>
      </c>
      <c r="R779">
        <f t="shared" si="51"/>
        <v>2023</v>
      </c>
    </row>
    <row r="780" spans="1:18" x14ac:dyDescent="0.2">
      <c r="A780" s="13">
        <v>45309</v>
      </c>
      <c r="B780" s="13">
        <v>45309</v>
      </c>
      <c r="C780" s="25" t="s">
        <v>398</v>
      </c>
      <c r="D780" s="20">
        <v>0</v>
      </c>
      <c r="E780" s="28">
        <v>64302.75</v>
      </c>
      <c r="F780" s="22" t="s">
        <v>85</v>
      </c>
      <c r="G780" s="14">
        <v>75</v>
      </c>
      <c r="H780" s="40">
        <v>44993</v>
      </c>
      <c r="I780" s="46">
        <f t="shared" si="48"/>
        <v>316</v>
      </c>
      <c r="J780" s="1" t="s">
        <v>15</v>
      </c>
      <c r="K780" s="4" t="s">
        <v>209</v>
      </c>
      <c r="L780" s="4" t="s">
        <v>231</v>
      </c>
      <c r="M780" s="8">
        <v>75</v>
      </c>
      <c r="N780" s="5">
        <v>857.37</v>
      </c>
      <c r="O780" s="5">
        <v>64302.75</v>
      </c>
      <c r="P780">
        <f t="shared" si="49"/>
        <v>1</v>
      </c>
      <c r="Q780" s="36">
        <f t="shared" si="50"/>
        <v>64302.75</v>
      </c>
      <c r="R780">
        <f t="shared" si="51"/>
        <v>2023</v>
      </c>
    </row>
    <row r="781" spans="1:18" x14ac:dyDescent="0.2">
      <c r="A781" s="13">
        <v>45316</v>
      </c>
      <c r="B781" s="13">
        <v>45316</v>
      </c>
      <c r="C781" s="25" t="s">
        <v>398</v>
      </c>
      <c r="D781" s="20">
        <v>0</v>
      </c>
      <c r="E781" s="28">
        <v>244350.45</v>
      </c>
      <c r="F781" s="22" t="s">
        <v>85</v>
      </c>
      <c r="G781" s="14">
        <v>285</v>
      </c>
      <c r="H781" s="40">
        <v>44993</v>
      </c>
      <c r="I781" s="46">
        <f t="shared" si="48"/>
        <v>323</v>
      </c>
      <c r="J781" s="1" t="s">
        <v>15</v>
      </c>
      <c r="K781" s="4" t="s">
        <v>209</v>
      </c>
      <c r="L781" s="4" t="s">
        <v>231</v>
      </c>
      <c r="M781" s="8">
        <v>285</v>
      </c>
      <c r="N781" s="5">
        <v>857.37</v>
      </c>
      <c r="O781" s="5">
        <v>244350.45</v>
      </c>
      <c r="P781">
        <f t="shared" si="49"/>
        <v>1</v>
      </c>
      <c r="Q781" s="36">
        <f t="shared" si="50"/>
        <v>244350.45</v>
      </c>
      <c r="R781">
        <f t="shared" si="51"/>
        <v>2023</v>
      </c>
    </row>
    <row r="782" spans="1:18" x14ac:dyDescent="0.2">
      <c r="A782" s="13">
        <v>45323</v>
      </c>
      <c r="B782" s="13">
        <v>45323</v>
      </c>
      <c r="C782" s="25" t="s">
        <v>398</v>
      </c>
      <c r="D782" s="20">
        <v>0</v>
      </c>
      <c r="E782" s="28">
        <v>231489.9</v>
      </c>
      <c r="F782" s="22" t="s">
        <v>85</v>
      </c>
      <c r="G782" s="14">
        <v>270</v>
      </c>
      <c r="H782" s="40">
        <v>44993</v>
      </c>
      <c r="I782" s="46">
        <f t="shared" si="48"/>
        <v>330</v>
      </c>
      <c r="J782" s="1" t="s">
        <v>15</v>
      </c>
      <c r="K782" s="4" t="s">
        <v>209</v>
      </c>
      <c r="L782" s="4" t="s">
        <v>231</v>
      </c>
      <c r="M782" s="8">
        <v>270</v>
      </c>
      <c r="N782" s="5">
        <v>857.37</v>
      </c>
      <c r="O782" s="5">
        <v>231489.9</v>
      </c>
      <c r="P782">
        <f t="shared" si="49"/>
        <v>1</v>
      </c>
      <c r="Q782" s="36">
        <f t="shared" si="50"/>
        <v>231489.9</v>
      </c>
      <c r="R782">
        <f t="shared" si="51"/>
        <v>2023</v>
      </c>
    </row>
    <row r="783" spans="1:18" x14ac:dyDescent="0.2">
      <c r="A783" s="13">
        <v>45330</v>
      </c>
      <c r="B783" s="13">
        <v>45330</v>
      </c>
      <c r="C783" s="25" t="s">
        <v>398</v>
      </c>
      <c r="D783" s="20">
        <v>0</v>
      </c>
      <c r="E783" s="28">
        <v>231489.9</v>
      </c>
      <c r="F783" s="22" t="s">
        <v>85</v>
      </c>
      <c r="G783" s="14">
        <v>270</v>
      </c>
      <c r="H783" s="40">
        <v>44993</v>
      </c>
      <c r="I783" s="46">
        <f t="shared" si="48"/>
        <v>337</v>
      </c>
      <c r="J783" s="1" t="s">
        <v>15</v>
      </c>
      <c r="K783" s="4" t="s">
        <v>209</v>
      </c>
      <c r="L783" s="4" t="s">
        <v>231</v>
      </c>
      <c r="M783" s="8">
        <v>270</v>
      </c>
      <c r="N783" s="5">
        <v>857.37</v>
      </c>
      <c r="O783" s="5">
        <v>231489.9</v>
      </c>
      <c r="P783">
        <f t="shared" si="49"/>
        <v>1</v>
      </c>
      <c r="Q783" s="36">
        <f t="shared" si="50"/>
        <v>231489.9</v>
      </c>
      <c r="R783">
        <f t="shared" si="51"/>
        <v>2023</v>
      </c>
    </row>
    <row r="784" spans="1:18" x14ac:dyDescent="0.2">
      <c r="A784" s="13">
        <v>45350</v>
      </c>
      <c r="B784" s="13">
        <v>45350</v>
      </c>
      <c r="C784" s="25" t="s">
        <v>398</v>
      </c>
      <c r="D784" s="20">
        <v>0</v>
      </c>
      <c r="E784" s="28">
        <v>51442.2</v>
      </c>
      <c r="F784" s="22" t="s">
        <v>85</v>
      </c>
      <c r="G784" s="14">
        <v>60</v>
      </c>
      <c r="H784" s="40">
        <v>45007</v>
      </c>
      <c r="I784" s="46">
        <f t="shared" si="48"/>
        <v>343</v>
      </c>
      <c r="J784" s="1" t="s">
        <v>15</v>
      </c>
      <c r="K784" s="4" t="s">
        <v>209</v>
      </c>
      <c r="L784" s="4" t="s">
        <v>231</v>
      </c>
      <c r="M784" s="8">
        <v>60</v>
      </c>
      <c r="N784" s="5">
        <v>857.37</v>
      </c>
      <c r="O784" s="5">
        <v>51442.2</v>
      </c>
      <c r="P784">
        <f t="shared" si="49"/>
        <v>1</v>
      </c>
      <c r="Q784" s="36">
        <f t="shared" si="50"/>
        <v>51442.2</v>
      </c>
      <c r="R784">
        <f t="shared" si="51"/>
        <v>2023</v>
      </c>
    </row>
    <row r="785" spans="1:18" x14ac:dyDescent="0.2">
      <c r="A785" s="13">
        <v>45351</v>
      </c>
      <c r="B785" s="13">
        <v>45351</v>
      </c>
      <c r="C785" s="25" t="s">
        <v>398</v>
      </c>
      <c r="D785" s="20">
        <v>0</v>
      </c>
      <c r="E785" s="28">
        <v>102884.4</v>
      </c>
      <c r="F785" s="22" t="s">
        <v>85</v>
      </c>
      <c r="G785" s="14">
        <v>120</v>
      </c>
      <c r="H785" s="40">
        <v>45007</v>
      </c>
      <c r="I785" s="46">
        <f t="shared" si="48"/>
        <v>344</v>
      </c>
      <c r="J785" s="1" t="s">
        <v>15</v>
      </c>
      <c r="K785" s="4" t="s">
        <v>209</v>
      </c>
      <c r="L785" s="4" t="s">
        <v>231</v>
      </c>
      <c r="M785" s="8">
        <v>120</v>
      </c>
      <c r="N785" s="5">
        <v>857.37</v>
      </c>
      <c r="O785" s="5">
        <v>102884.4</v>
      </c>
      <c r="P785">
        <f t="shared" si="49"/>
        <v>1</v>
      </c>
      <c r="Q785" s="36">
        <f t="shared" si="50"/>
        <v>102884.4</v>
      </c>
      <c r="R785">
        <f t="shared" si="51"/>
        <v>2023</v>
      </c>
    </row>
    <row r="786" spans="1:18" x14ac:dyDescent="0.2">
      <c r="A786" s="13">
        <v>45351</v>
      </c>
      <c r="B786" s="13">
        <v>45351</v>
      </c>
      <c r="C786" s="25" t="s">
        <v>398</v>
      </c>
      <c r="D786" s="20">
        <v>0</v>
      </c>
      <c r="E786" s="28">
        <v>38581.65</v>
      </c>
      <c r="F786" s="22" t="s">
        <v>85</v>
      </c>
      <c r="G786" s="14">
        <v>45</v>
      </c>
      <c r="H786" s="40">
        <v>45013</v>
      </c>
      <c r="I786" s="46">
        <f t="shared" si="48"/>
        <v>338</v>
      </c>
      <c r="J786" s="1" t="s">
        <v>15</v>
      </c>
      <c r="K786" s="4" t="s">
        <v>209</v>
      </c>
      <c r="L786" s="4" t="s">
        <v>231</v>
      </c>
      <c r="M786" s="8">
        <v>45</v>
      </c>
      <c r="N786" s="5">
        <v>857.37</v>
      </c>
      <c r="O786" s="5">
        <v>38581.65</v>
      </c>
      <c r="P786">
        <f t="shared" si="49"/>
        <v>1</v>
      </c>
      <c r="Q786" s="36">
        <f t="shared" si="50"/>
        <v>38581.65</v>
      </c>
      <c r="R786">
        <f t="shared" si="51"/>
        <v>2023</v>
      </c>
    </row>
    <row r="787" spans="1:18" x14ac:dyDescent="0.2">
      <c r="A787" s="13">
        <v>45371</v>
      </c>
      <c r="B787" s="13">
        <v>45371</v>
      </c>
      <c r="C787" s="25" t="s">
        <v>398</v>
      </c>
      <c r="D787" s="20">
        <v>0</v>
      </c>
      <c r="E787" s="28">
        <v>64302.75</v>
      </c>
      <c r="F787" s="22" t="s">
        <v>85</v>
      </c>
      <c r="G787" s="14">
        <v>75</v>
      </c>
      <c r="H787" s="40">
        <v>45013</v>
      </c>
      <c r="I787" s="46">
        <f t="shared" si="48"/>
        <v>358</v>
      </c>
      <c r="J787" s="1" t="s">
        <v>15</v>
      </c>
      <c r="K787" s="4" t="s">
        <v>209</v>
      </c>
      <c r="L787" s="4" t="s">
        <v>231</v>
      </c>
      <c r="M787" s="8">
        <v>75</v>
      </c>
      <c r="N787" s="5">
        <v>857.37</v>
      </c>
      <c r="O787" s="5">
        <v>64302.75</v>
      </c>
      <c r="P787">
        <f t="shared" si="49"/>
        <v>1</v>
      </c>
      <c r="Q787" s="36">
        <f t="shared" si="50"/>
        <v>64302.75</v>
      </c>
      <c r="R787">
        <f t="shared" si="51"/>
        <v>2023</v>
      </c>
    </row>
    <row r="788" spans="1:18" x14ac:dyDescent="0.2">
      <c r="A788" s="13">
        <v>45378</v>
      </c>
      <c r="B788" s="13">
        <v>45378</v>
      </c>
      <c r="C788" s="25" t="s">
        <v>398</v>
      </c>
      <c r="D788" s="20">
        <v>0</v>
      </c>
      <c r="E788" s="28">
        <v>257211</v>
      </c>
      <c r="F788" s="22" t="s">
        <v>85</v>
      </c>
      <c r="G788" s="14">
        <v>300</v>
      </c>
      <c r="H788" s="40">
        <v>45043</v>
      </c>
      <c r="I788" s="46">
        <f t="shared" si="48"/>
        <v>335</v>
      </c>
      <c r="J788" s="1" t="s">
        <v>15</v>
      </c>
      <c r="K788" s="4" t="s">
        <v>209</v>
      </c>
      <c r="L788" s="4" t="s">
        <v>231</v>
      </c>
      <c r="M788" s="8">
        <v>300</v>
      </c>
      <c r="N788" s="5">
        <v>857.37</v>
      </c>
      <c r="O788" s="5">
        <v>257211</v>
      </c>
      <c r="P788">
        <f t="shared" si="49"/>
        <v>1</v>
      </c>
      <c r="Q788" s="36">
        <f t="shared" si="50"/>
        <v>257211</v>
      </c>
      <c r="R788">
        <f t="shared" si="51"/>
        <v>2023</v>
      </c>
    </row>
    <row r="789" spans="1:18" x14ac:dyDescent="0.2">
      <c r="A789" s="13">
        <v>45385</v>
      </c>
      <c r="B789" s="13">
        <v>45385</v>
      </c>
      <c r="C789" s="25" t="s">
        <v>398</v>
      </c>
      <c r="D789" s="20">
        <v>0</v>
      </c>
      <c r="E789" s="28">
        <v>257211</v>
      </c>
      <c r="F789" s="22" t="s">
        <v>85</v>
      </c>
      <c r="G789" s="14">
        <v>300</v>
      </c>
      <c r="H789" s="40">
        <v>45043</v>
      </c>
      <c r="I789" s="46">
        <f t="shared" si="48"/>
        <v>342</v>
      </c>
      <c r="J789" s="1" t="s">
        <v>15</v>
      </c>
      <c r="K789" s="4" t="s">
        <v>209</v>
      </c>
      <c r="L789" s="4" t="s">
        <v>231</v>
      </c>
      <c r="M789" s="8">
        <v>300</v>
      </c>
      <c r="N789" s="5">
        <v>857.37</v>
      </c>
      <c r="O789" s="5">
        <v>257211</v>
      </c>
      <c r="P789">
        <f t="shared" si="49"/>
        <v>1</v>
      </c>
      <c r="Q789" s="36">
        <f t="shared" si="50"/>
        <v>257211</v>
      </c>
      <c r="R789">
        <f t="shared" si="51"/>
        <v>2023</v>
      </c>
    </row>
    <row r="790" spans="1:18" x14ac:dyDescent="0.2">
      <c r="A790" s="13">
        <v>45397</v>
      </c>
      <c r="B790" s="13">
        <v>45397</v>
      </c>
      <c r="C790" s="25" t="s">
        <v>398</v>
      </c>
      <c r="D790" s="20">
        <v>0</v>
      </c>
      <c r="E790" s="28">
        <v>25721.1</v>
      </c>
      <c r="F790" s="22" t="s">
        <v>85</v>
      </c>
      <c r="G790" s="14">
        <v>30</v>
      </c>
      <c r="H790" s="40">
        <v>45043</v>
      </c>
      <c r="I790" s="46">
        <f t="shared" si="48"/>
        <v>354</v>
      </c>
      <c r="J790" s="1" t="s">
        <v>15</v>
      </c>
      <c r="K790" s="4" t="s">
        <v>209</v>
      </c>
      <c r="L790" s="4" t="s">
        <v>231</v>
      </c>
      <c r="M790" s="8">
        <v>30</v>
      </c>
      <c r="N790" s="5">
        <v>857.37</v>
      </c>
      <c r="O790" s="5">
        <v>25721.1</v>
      </c>
      <c r="P790">
        <f t="shared" si="49"/>
        <v>1</v>
      </c>
      <c r="Q790" s="36">
        <f t="shared" si="50"/>
        <v>25721.1</v>
      </c>
      <c r="R790">
        <f t="shared" si="51"/>
        <v>2023</v>
      </c>
    </row>
    <row r="791" spans="1:18" x14ac:dyDescent="0.2">
      <c r="A791" s="13">
        <v>45399</v>
      </c>
      <c r="B791" s="13">
        <v>45399</v>
      </c>
      <c r="C791" s="25" t="s">
        <v>398</v>
      </c>
      <c r="D791" s="20">
        <v>0</v>
      </c>
      <c r="E791" s="28">
        <v>218629.35</v>
      </c>
      <c r="F791" s="22" t="s">
        <v>85</v>
      </c>
      <c r="G791" s="14">
        <v>255</v>
      </c>
      <c r="H791" s="40">
        <v>45043</v>
      </c>
      <c r="I791" s="46">
        <f t="shared" si="48"/>
        <v>356</v>
      </c>
      <c r="J791" s="1" t="s">
        <v>15</v>
      </c>
      <c r="K791" s="4" t="s">
        <v>209</v>
      </c>
      <c r="L791" s="4" t="s">
        <v>231</v>
      </c>
      <c r="M791" s="8">
        <v>255</v>
      </c>
      <c r="N791" s="5">
        <v>857.37</v>
      </c>
      <c r="O791" s="5">
        <v>218629.35</v>
      </c>
      <c r="P791">
        <f t="shared" si="49"/>
        <v>1</v>
      </c>
      <c r="Q791" s="36">
        <f t="shared" si="50"/>
        <v>218629.35</v>
      </c>
      <c r="R791">
        <f t="shared" si="51"/>
        <v>2023</v>
      </c>
    </row>
    <row r="792" spans="1:18" x14ac:dyDescent="0.2">
      <c r="A792" s="13">
        <v>45413</v>
      </c>
      <c r="B792" s="13">
        <v>45413</v>
      </c>
      <c r="C792" s="25" t="s">
        <v>398</v>
      </c>
      <c r="D792" s="20">
        <v>0</v>
      </c>
      <c r="E792" s="28">
        <v>321513.75</v>
      </c>
      <c r="F792" s="22" t="s">
        <v>85</v>
      </c>
      <c r="G792" s="14">
        <v>375</v>
      </c>
      <c r="H792" s="40">
        <v>45050</v>
      </c>
      <c r="I792" s="46">
        <f t="shared" si="48"/>
        <v>363</v>
      </c>
      <c r="J792" s="1" t="s">
        <v>15</v>
      </c>
      <c r="K792" s="4" t="s">
        <v>209</v>
      </c>
      <c r="L792" s="4" t="s">
        <v>231</v>
      </c>
      <c r="M792" s="8">
        <v>375</v>
      </c>
      <c r="N792" s="5">
        <v>857.37</v>
      </c>
      <c r="O792" s="5">
        <v>321513.75</v>
      </c>
      <c r="P792">
        <f t="shared" si="49"/>
        <v>1</v>
      </c>
      <c r="Q792" s="36">
        <f t="shared" si="50"/>
        <v>321513.75</v>
      </c>
      <c r="R792">
        <f t="shared" si="51"/>
        <v>2023</v>
      </c>
    </row>
    <row r="793" spans="1:18" x14ac:dyDescent="0.2">
      <c r="A793" s="13">
        <v>45420</v>
      </c>
      <c r="B793" s="13">
        <v>45420</v>
      </c>
      <c r="C793" s="25" t="s">
        <v>398</v>
      </c>
      <c r="D793" s="20">
        <v>0</v>
      </c>
      <c r="E793" s="28">
        <v>308653.2</v>
      </c>
      <c r="F793" s="22" t="s">
        <v>85</v>
      </c>
      <c r="G793" s="14">
        <v>360</v>
      </c>
      <c r="H793" s="40">
        <v>45050</v>
      </c>
      <c r="I793" s="46">
        <f t="shared" si="48"/>
        <v>370</v>
      </c>
      <c r="J793" s="1" t="s">
        <v>15</v>
      </c>
      <c r="K793" s="4" t="s">
        <v>209</v>
      </c>
      <c r="L793" s="4" t="s">
        <v>231</v>
      </c>
      <c r="M793" s="8">
        <v>360</v>
      </c>
      <c r="N793" s="5">
        <v>857.37</v>
      </c>
      <c r="O793" s="5">
        <v>308653.2</v>
      </c>
      <c r="P793">
        <f t="shared" si="49"/>
        <v>1</v>
      </c>
      <c r="Q793" s="36">
        <f t="shared" si="50"/>
        <v>308653.2</v>
      </c>
      <c r="R793">
        <f t="shared" si="51"/>
        <v>2023</v>
      </c>
    </row>
    <row r="794" spans="1:18" x14ac:dyDescent="0.2">
      <c r="A794" s="13">
        <v>45427</v>
      </c>
      <c r="B794" s="13">
        <v>45427</v>
      </c>
      <c r="C794" s="25" t="s">
        <v>398</v>
      </c>
      <c r="D794" s="20">
        <v>0</v>
      </c>
      <c r="E794" s="28">
        <v>270071.55</v>
      </c>
      <c r="F794" s="22" t="s">
        <v>85</v>
      </c>
      <c r="G794" s="14">
        <v>315</v>
      </c>
      <c r="H794" s="40">
        <v>45050</v>
      </c>
      <c r="I794" s="46">
        <f t="shared" si="48"/>
        <v>377</v>
      </c>
      <c r="J794" s="1" t="s">
        <v>15</v>
      </c>
      <c r="K794" s="4" t="s">
        <v>209</v>
      </c>
      <c r="L794" s="4" t="s">
        <v>231</v>
      </c>
      <c r="M794" s="8">
        <v>315</v>
      </c>
      <c r="N794" s="5">
        <v>857.37</v>
      </c>
      <c r="O794" s="5">
        <v>270071.55</v>
      </c>
      <c r="P794">
        <f t="shared" si="49"/>
        <v>1</v>
      </c>
      <c r="Q794" s="36">
        <f t="shared" si="50"/>
        <v>270071.55</v>
      </c>
      <c r="R794">
        <f t="shared" si="51"/>
        <v>2023</v>
      </c>
    </row>
    <row r="795" spans="1:18" x14ac:dyDescent="0.2">
      <c r="A795" s="13">
        <v>45310</v>
      </c>
      <c r="B795" s="13">
        <v>44972</v>
      </c>
      <c r="C795" s="25" t="s">
        <v>399</v>
      </c>
      <c r="D795" s="20">
        <v>338</v>
      </c>
      <c r="E795" s="28">
        <v>174081.48</v>
      </c>
      <c r="F795" s="22" t="s">
        <v>120</v>
      </c>
      <c r="G795" s="14">
        <v>92</v>
      </c>
      <c r="H795" s="40">
        <v>44476</v>
      </c>
      <c r="I795" s="46">
        <f t="shared" si="48"/>
        <v>834</v>
      </c>
      <c r="J795" s="1" t="s">
        <v>15</v>
      </c>
      <c r="K795" s="4" t="s">
        <v>209</v>
      </c>
      <c r="L795" s="4" t="s">
        <v>231</v>
      </c>
      <c r="M795" s="8">
        <v>92</v>
      </c>
      <c r="N795" s="5">
        <v>1892.19</v>
      </c>
      <c r="O795" s="5">
        <v>174081.48</v>
      </c>
      <c r="P795">
        <f t="shared" si="49"/>
        <v>1</v>
      </c>
      <c r="Q795" s="36">
        <f t="shared" si="50"/>
        <v>174081.48</v>
      </c>
      <c r="R795">
        <f t="shared" si="51"/>
        <v>2021</v>
      </c>
    </row>
    <row r="796" spans="1:18" x14ac:dyDescent="0.2">
      <c r="A796" s="13">
        <v>45310</v>
      </c>
      <c r="B796" s="13">
        <v>44965</v>
      </c>
      <c r="C796" s="25" t="s">
        <v>399</v>
      </c>
      <c r="D796" s="20">
        <v>345</v>
      </c>
      <c r="E796" s="28">
        <v>26490.66</v>
      </c>
      <c r="F796" s="22" t="s">
        <v>120</v>
      </c>
      <c r="G796" s="14">
        <v>14</v>
      </c>
      <c r="H796" s="40">
        <v>44489</v>
      </c>
      <c r="I796" s="46">
        <f t="shared" si="48"/>
        <v>821</v>
      </c>
      <c r="J796" s="1" t="s">
        <v>15</v>
      </c>
      <c r="K796" s="4" t="s">
        <v>209</v>
      </c>
      <c r="L796" s="4" t="s">
        <v>231</v>
      </c>
      <c r="M796" s="8">
        <v>14</v>
      </c>
      <c r="N796" s="5">
        <v>1892.19</v>
      </c>
      <c r="O796" s="5">
        <v>26490.66</v>
      </c>
      <c r="P796">
        <f t="shared" si="49"/>
        <v>1</v>
      </c>
      <c r="Q796" s="36">
        <f t="shared" si="50"/>
        <v>26490.66</v>
      </c>
      <c r="R796">
        <f t="shared" si="51"/>
        <v>2021</v>
      </c>
    </row>
    <row r="797" spans="1:18" x14ac:dyDescent="0.2">
      <c r="A797" s="13">
        <v>45310</v>
      </c>
      <c r="B797" s="13">
        <v>44979</v>
      </c>
      <c r="C797" s="25" t="s">
        <v>399</v>
      </c>
      <c r="D797" s="20">
        <v>331</v>
      </c>
      <c r="E797" s="28">
        <v>522244.44</v>
      </c>
      <c r="F797" s="22" t="s">
        <v>120</v>
      </c>
      <c r="G797" s="14">
        <v>276</v>
      </c>
      <c r="H797" s="40">
        <v>44489</v>
      </c>
      <c r="I797" s="46">
        <f t="shared" si="48"/>
        <v>821</v>
      </c>
      <c r="J797" s="1" t="s">
        <v>15</v>
      </c>
      <c r="K797" s="4" t="s">
        <v>209</v>
      </c>
      <c r="L797" s="4" t="s">
        <v>231</v>
      </c>
      <c r="M797" s="8">
        <v>276</v>
      </c>
      <c r="N797" s="5">
        <v>1892.19</v>
      </c>
      <c r="O797" s="5">
        <v>522244.44</v>
      </c>
      <c r="P797">
        <f t="shared" si="49"/>
        <v>1</v>
      </c>
      <c r="Q797" s="36">
        <f t="shared" si="50"/>
        <v>522244.44</v>
      </c>
      <c r="R797">
        <f t="shared" si="51"/>
        <v>2021</v>
      </c>
    </row>
    <row r="798" spans="1:18" x14ac:dyDescent="0.2">
      <c r="A798" s="13">
        <v>45310</v>
      </c>
      <c r="B798" s="13">
        <v>45007</v>
      </c>
      <c r="C798" s="25" t="s">
        <v>399</v>
      </c>
      <c r="D798" s="20">
        <v>303</v>
      </c>
      <c r="E798" s="28">
        <v>289505.07</v>
      </c>
      <c r="F798" s="22" t="s">
        <v>120</v>
      </c>
      <c r="G798" s="14">
        <v>153</v>
      </c>
      <c r="H798" s="40">
        <v>44533</v>
      </c>
      <c r="I798" s="46">
        <f t="shared" si="48"/>
        <v>777</v>
      </c>
      <c r="J798" s="1" t="s">
        <v>15</v>
      </c>
      <c r="K798" s="4" t="s">
        <v>209</v>
      </c>
      <c r="L798" s="4" t="s">
        <v>231</v>
      </c>
      <c r="M798" s="8">
        <v>153</v>
      </c>
      <c r="N798" s="5">
        <v>1892.19</v>
      </c>
      <c r="O798" s="5">
        <v>289505.07</v>
      </c>
      <c r="P798">
        <f t="shared" si="49"/>
        <v>1</v>
      </c>
      <c r="Q798" s="36">
        <f t="shared" si="50"/>
        <v>289505.07</v>
      </c>
      <c r="R798">
        <f t="shared" si="51"/>
        <v>2021</v>
      </c>
    </row>
    <row r="799" spans="1:18" x14ac:dyDescent="0.2">
      <c r="A799" s="13">
        <v>45310</v>
      </c>
      <c r="B799" s="13">
        <v>45035</v>
      </c>
      <c r="C799" s="25" t="s">
        <v>399</v>
      </c>
      <c r="D799" s="20">
        <v>275</v>
      </c>
      <c r="E799" s="28">
        <v>225170.61</v>
      </c>
      <c r="F799" s="22" t="s">
        <v>120</v>
      </c>
      <c r="G799" s="14">
        <v>119</v>
      </c>
      <c r="H799" s="40">
        <v>44540</v>
      </c>
      <c r="I799" s="46">
        <f t="shared" si="48"/>
        <v>770</v>
      </c>
      <c r="J799" s="1" t="s">
        <v>15</v>
      </c>
      <c r="K799" s="4" t="s">
        <v>209</v>
      </c>
      <c r="L799" s="4" t="s">
        <v>231</v>
      </c>
      <c r="M799" s="8">
        <v>119</v>
      </c>
      <c r="N799" s="5">
        <v>1892.19</v>
      </c>
      <c r="O799" s="5">
        <v>225170.61</v>
      </c>
      <c r="P799">
        <f t="shared" si="49"/>
        <v>1</v>
      </c>
      <c r="Q799" s="36">
        <f t="shared" si="50"/>
        <v>225170.61000000002</v>
      </c>
      <c r="R799">
        <f t="shared" si="51"/>
        <v>2021</v>
      </c>
    </row>
    <row r="800" spans="1:18" x14ac:dyDescent="0.2">
      <c r="A800" s="13">
        <v>45310</v>
      </c>
      <c r="B800" s="13">
        <v>45035</v>
      </c>
      <c r="C800" s="25" t="s">
        <v>399</v>
      </c>
      <c r="D800" s="20">
        <v>275</v>
      </c>
      <c r="E800" s="28">
        <v>664158.68999999994</v>
      </c>
      <c r="F800" s="22" t="s">
        <v>120</v>
      </c>
      <c r="G800" s="14">
        <v>351</v>
      </c>
      <c r="H800" s="40">
        <v>44594</v>
      </c>
      <c r="I800" s="46">
        <f t="shared" si="48"/>
        <v>716</v>
      </c>
      <c r="J800" s="1" t="s">
        <v>15</v>
      </c>
      <c r="K800" s="4" t="s">
        <v>209</v>
      </c>
      <c r="L800" s="4" t="s">
        <v>231</v>
      </c>
      <c r="M800" s="8">
        <v>351</v>
      </c>
      <c r="N800" s="5">
        <v>1892.19</v>
      </c>
      <c r="O800" s="5">
        <v>664158.68999999994</v>
      </c>
      <c r="P800">
        <f t="shared" si="49"/>
        <v>1</v>
      </c>
      <c r="Q800" s="36">
        <f t="shared" si="50"/>
        <v>664158.69000000006</v>
      </c>
      <c r="R800">
        <f t="shared" si="51"/>
        <v>2022</v>
      </c>
    </row>
    <row r="801" spans="1:18" x14ac:dyDescent="0.2">
      <c r="A801" s="13">
        <v>45310</v>
      </c>
      <c r="B801" s="13">
        <v>45035</v>
      </c>
      <c r="C801" s="25" t="s">
        <v>399</v>
      </c>
      <c r="D801" s="20">
        <v>275</v>
      </c>
      <c r="E801" s="28">
        <v>34059.42</v>
      </c>
      <c r="F801" s="22" t="s">
        <v>120</v>
      </c>
      <c r="G801" s="14">
        <v>18</v>
      </c>
      <c r="H801" s="40">
        <v>44594</v>
      </c>
      <c r="I801" s="46">
        <f t="shared" si="48"/>
        <v>716</v>
      </c>
      <c r="J801" s="1" t="s">
        <v>15</v>
      </c>
      <c r="K801" s="4" t="s">
        <v>209</v>
      </c>
      <c r="L801" s="4" t="s">
        <v>231</v>
      </c>
      <c r="M801" s="8">
        <v>18</v>
      </c>
      <c r="N801" s="5">
        <v>1892.19</v>
      </c>
      <c r="O801" s="5">
        <v>34059.42</v>
      </c>
      <c r="P801">
        <f t="shared" si="49"/>
        <v>1</v>
      </c>
      <c r="Q801" s="36">
        <f t="shared" si="50"/>
        <v>34059.42</v>
      </c>
      <c r="R801">
        <f t="shared" si="51"/>
        <v>2022</v>
      </c>
    </row>
    <row r="802" spans="1:18" x14ac:dyDescent="0.2">
      <c r="A802" s="13">
        <v>45310</v>
      </c>
      <c r="B802" s="13">
        <v>45063</v>
      </c>
      <c r="C802" s="25" t="s">
        <v>399</v>
      </c>
      <c r="D802" s="20">
        <v>247</v>
      </c>
      <c r="E802" s="28">
        <v>860946.45</v>
      </c>
      <c r="F802" s="22" t="s">
        <v>120</v>
      </c>
      <c r="G802" s="14">
        <v>455</v>
      </c>
      <c r="H802" s="40">
        <v>44594</v>
      </c>
      <c r="I802" s="46">
        <f t="shared" si="48"/>
        <v>716</v>
      </c>
      <c r="J802" s="1" t="s">
        <v>15</v>
      </c>
      <c r="K802" s="4" t="s">
        <v>209</v>
      </c>
      <c r="L802" s="4" t="s">
        <v>231</v>
      </c>
      <c r="M802" s="8">
        <v>455</v>
      </c>
      <c r="N802" s="5">
        <v>1892.19</v>
      </c>
      <c r="O802" s="5">
        <v>860946.45</v>
      </c>
      <c r="P802">
        <f t="shared" si="49"/>
        <v>1</v>
      </c>
      <c r="Q802" s="36">
        <f t="shared" si="50"/>
        <v>860946.45000000007</v>
      </c>
      <c r="R802">
        <f t="shared" si="51"/>
        <v>2022</v>
      </c>
    </row>
    <row r="803" spans="1:18" x14ac:dyDescent="0.2">
      <c r="A803" s="13">
        <v>45310</v>
      </c>
      <c r="B803" s="13">
        <v>45091</v>
      </c>
      <c r="C803" s="25" t="s">
        <v>399</v>
      </c>
      <c r="D803" s="20">
        <v>219</v>
      </c>
      <c r="E803" s="28">
        <v>208140.9</v>
      </c>
      <c r="F803" s="22" t="s">
        <v>120</v>
      </c>
      <c r="G803" s="14">
        <v>110</v>
      </c>
      <c r="H803" s="40">
        <v>44603</v>
      </c>
      <c r="I803" s="46">
        <f t="shared" si="48"/>
        <v>707</v>
      </c>
      <c r="J803" s="1" t="s">
        <v>15</v>
      </c>
      <c r="K803" s="4" t="s">
        <v>209</v>
      </c>
      <c r="L803" s="4" t="s">
        <v>231</v>
      </c>
      <c r="M803" s="8">
        <v>110</v>
      </c>
      <c r="N803" s="5">
        <v>1892.19</v>
      </c>
      <c r="O803" s="5">
        <v>208140.9</v>
      </c>
      <c r="P803">
        <f t="shared" si="49"/>
        <v>1</v>
      </c>
      <c r="Q803" s="36">
        <f t="shared" si="50"/>
        <v>208140.9</v>
      </c>
      <c r="R803">
        <f t="shared" si="51"/>
        <v>2022</v>
      </c>
    </row>
    <row r="804" spans="1:18" x14ac:dyDescent="0.2">
      <c r="A804" s="13">
        <v>45310</v>
      </c>
      <c r="B804" s="13">
        <v>45091</v>
      </c>
      <c r="C804" s="25" t="s">
        <v>399</v>
      </c>
      <c r="D804" s="20">
        <v>219</v>
      </c>
      <c r="E804" s="28">
        <v>232739.37</v>
      </c>
      <c r="F804" s="22" t="s">
        <v>120</v>
      </c>
      <c r="G804" s="14">
        <v>123</v>
      </c>
      <c r="H804" s="40">
        <v>44608</v>
      </c>
      <c r="I804" s="46">
        <f t="shared" si="48"/>
        <v>702</v>
      </c>
      <c r="J804" s="1" t="s">
        <v>15</v>
      </c>
      <c r="K804" s="4" t="s">
        <v>209</v>
      </c>
      <c r="L804" s="4" t="s">
        <v>231</v>
      </c>
      <c r="M804" s="8">
        <v>123</v>
      </c>
      <c r="N804" s="5">
        <v>1892.19</v>
      </c>
      <c r="O804" s="5">
        <v>232739.37</v>
      </c>
      <c r="P804">
        <f t="shared" si="49"/>
        <v>1</v>
      </c>
      <c r="Q804" s="36">
        <f t="shared" si="50"/>
        <v>232739.37</v>
      </c>
      <c r="R804">
        <f t="shared" si="51"/>
        <v>2022</v>
      </c>
    </row>
    <row r="805" spans="1:18" x14ac:dyDescent="0.2">
      <c r="A805" s="13">
        <v>45310</v>
      </c>
      <c r="B805" s="13">
        <v>45091</v>
      </c>
      <c r="C805" s="25" t="s">
        <v>399</v>
      </c>
      <c r="D805" s="20">
        <v>219</v>
      </c>
      <c r="E805" s="28">
        <v>219494.04</v>
      </c>
      <c r="F805" s="22" t="s">
        <v>120</v>
      </c>
      <c r="G805" s="14">
        <v>116</v>
      </c>
      <c r="H805" s="40">
        <v>44608</v>
      </c>
      <c r="I805" s="46">
        <f t="shared" si="48"/>
        <v>702</v>
      </c>
      <c r="J805" s="1" t="s">
        <v>15</v>
      </c>
      <c r="K805" s="4" t="s">
        <v>209</v>
      </c>
      <c r="L805" s="4" t="s">
        <v>231</v>
      </c>
      <c r="M805" s="8">
        <v>116</v>
      </c>
      <c r="N805" s="5">
        <v>1892.19</v>
      </c>
      <c r="O805" s="5">
        <v>219494.04</v>
      </c>
      <c r="P805">
        <f t="shared" si="49"/>
        <v>1</v>
      </c>
      <c r="Q805" s="36">
        <f t="shared" si="50"/>
        <v>219494.04</v>
      </c>
      <c r="R805">
        <f t="shared" si="51"/>
        <v>2022</v>
      </c>
    </row>
    <row r="806" spans="1:18" x14ac:dyDescent="0.2">
      <c r="A806" s="13">
        <v>45310</v>
      </c>
      <c r="B806" s="13">
        <v>45163</v>
      </c>
      <c r="C806" s="25" t="s">
        <v>399</v>
      </c>
      <c r="D806" s="20">
        <v>147</v>
      </c>
      <c r="E806" s="28">
        <v>204356.52</v>
      </c>
      <c r="F806" s="22" t="s">
        <v>120</v>
      </c>
      <c r="G806" s="14">
        <v>108</v>
      </c>
      <c r="H806" s="40">
        <v>44615</v>
      </c>
      <c r="I806" s="46">
        <f t="shared" si="48"/>
        <v>695</v>
      </c>
      <c r="J806" s="1" t="s">
        <v>15</v>
      </c>
      <c r="K806" s="4" t="s">
        <v>209</v>
      </c>
      <c r="L806" s="4" t="s">
        <v>231</v>
      </c>
      <c r="M806" s="8">
        <v>108</v>
      </c>
      <c r="N806" s="5">
        <v>1892.19</v>
      </c>
      <c r="O806" s="5">
        <v>204356.52</v>
      </c>
      <c r="P806">
        <f t="shared" si="49"/>
        <v>1</v>
      </c>
      <c r="Q806" s="36">
        <f t="shared" si="50"/>
        <v>204356.52000000002</v>
      </c>
      <c r="R806">
        <f t="shared" si="51"/>
        <v>2022</v>
      </c>
    </row>
    <row r="807" spans="1:18" x14ac:dyDescent="0.2">
      <c r="A807" s="13">
        <v>45310</v>
      </c>
      <c r="B807" s="13">
        <v>45170</v>
      </c>
      <c r="C807" s="25" t="s">
        <v>399</v>
      </c>
      <c r="D807" s="20">
        <v>140</v>
      </c>
      <c r="E807" s="28">
        <v>261122.22</v>
      </c>
      <c r="F807" s="22" t="s">
        <v>120</v>
      </c>
      <c r="G807" s="14">
        <v>138</v>
      </c>
      <c r="H807" s="40">
        <v>44637</v>
      </c>
      <c r="I807" s="46">
        <f t="shared" si="48"/>
        <v>673</v>
      </c>
      <c r="J807" s="1" t="s">
        <v>15</v>
      </c>
      <c r="K807" s="4" t="s">
        <v>209</v>
      </c>
      <c r="L807" s="4" t="s">
        <v>231</v>
      </c>
      <c r="M807" s="8">
        <v>138</v>
      </c>
      <c r="N807" s="5">
        <v>1892.19</v>
      </c>
      <c r="O807" s="5">
        <v>261122.22</v>
      </c>
      <c r="P807">
        <f t="shared" si="49"/>
        <v>1</v>
      </c>
      <c r="Q807" s="36">
        <f t="shared" si="50"/>
        <v>261122.22</v>
      </c>
      <c r="R807">
        <f t="shared" si="51"/>
        <v>2022</v>
      </c>
    </row>
    <row r="808" spans="1:18" x14ac:dyDescent="0.2">
      <c r="A808" s="13">
        <v>45310</v>
      </c>
      <c r="B808" s="13">
        <v>45197</v>
      </c>
      <c r="C808" s="25" t="s">
        <v>399</v>
      </c>
      <c r="D808" s="20">
        <v>113</v>
      </c>
      <c r="E808" s="28">
        <v>145698.63</v>
      </c>
      <c r="F808" s="22" t="s">
        <v>120</v>
      </c>
      <c r="G808" s="14">
        <v>77</v>
      </c>
      <c r="H808" s="40">
        <v>44642</v>
      </c>
      <c r="I808" s="46">
        <f t="shared" si="48"/>
        <v>668</v>
      </c>
      <c r="J808" s="1" t="s">
        <v>15</v>
      </c>
      <c r="K808" s="4" t="s">
        <v>209</v>
      </c>
      <c r="L808" s="4" t="s">
        <v>231</v>
      </c>
      <c r="M808" s="8">
        <v>77</v>
      </c>
      <c r="N808" s="5">
        <v>1892.19</v>
      </c>
      <c r="O808" s="5">
        <v>145698.63</v>
      </c>
      <c r="P808">
        <f t="shared" si="49"/>
        <v>1</v>
      </c>
      <c r="Q808" s="36">
        <f t="shared" si="50"/>
        <v>145698.63</v>
      </c>
      <c r="R808">
        <f t="shared" si="51"/>
        <v>2022</v>
      </c>
    </row>
    <row r="809" spans="1:18" x14ac:dyDescent="0.2">
      <c r="A809" s="13">
        <v>45310</v>
      </c>
      <c r="B809" s="13">
        <v>44958</v>
      </c>
      <c r="C809" s="25" t="s">
        <v>399</v>
      </c>
      <c r="D809" s="20">
        <v>352</v>
      </c>
      <c r="E809" s="28">
        <v>211925.28</v>
      </c>
      <c r="F809" s="22" t="s">
        <v>120</v>
      </c>
      <c r="G809" s="14">
        <v>112</v>
      </c>
      <c r="H809" s="40">
        <v>45119</v>
      </c>
      <c r="I809" s="46">
        <f t="shared" si="48"/>
        <v>191</v>
      </c>
      <c r="J809" s="1" t="s">
        <v>15</v>
      </c>
      <c r="K809" s="4" t="s">
        <v>209</v>
      </c>
      <c r="L809" s="4" t="s">
        <v>231</v>
      </c>
      <c r="M809" s="8">
        <v>112</v>
      </c>
      <c r="N809" s="5">
        <v>1892.19</v>
      </c>
      <c r="O809" s="5">
        <v>211925.28</v>
      </c>
      <c r="P809">
        <f t="shared" si="49"/>
        <v>1</v>
      </c>
      <c r="Q809" s="36">
        <f t="shared" si="50"/>
        <v>211925.28</v>
      </c>
      <c r="R809">
        <f t="shared" si="51"/>
        <v>2023</v>
      </c>
    </row>
    <row r="810" spans="1:18" x14ac:dyDescent="0.2">
      <c r="A810" s="13">
        <v>45315</v>
      </c>
      <c r="B810" s="13">
        <v>45315</v>
      </c>
      <c r="C810" s="25" t="s">
        <v>398</v>
      </c>
      <c r="D810" s="20">
        <v>0</v>
      </c>
      <c r="E810" s="28">
        <v>26074.44</v>
      </c>
      <c r="F810" s="22" t="s">
        <v>121</v>
      </c>
      <c r="G810" s="14">
        <v>63</v>
      </c>
      <c r="H810" s="40">
        <v>45079</v>
      </c>
      <c r="I810" s="46">
        <f t="shared" si="48"/>
        <v>236</v>
      </c>
      <c r="J810" s="1" t="s">
        <v>15</v>
      </c>
      <c r="K810" s="4" t="s">
        <v>209</v>
      </c>
      <c r="L810" s="4" t="s">
        <v>231</v>
      </c>
      <c r="M810" s="8">
        <v>63</v>
      </c>
      <c r="N810" s="5">
        <v>413.88</v>
      </c>
      <c r="O810" s="5">
        <v>26074.44</v>
      </c>
      <c r="P810">
        <f t="shared" si="49"/>
        <v>1</v>
      </c>
      <c r="Q810" s="36">
        <f t="shared" si="50"/>
        <v>26074.44</v>
      </c>
      <c r="R810">
        <f t="shared" si="51"/>
        <v>2023</v>
      </c>
    </row>
    <row r="811" spans="1:18" x14ac:dyDescent="0.2">
      <c r="A811" s="13">
        <v>45385</v>
      </c>
      <c r="B811" s="13">
        <v>45385</v>
      </c>
      <c r="C811" s="25" t="s">
        <v>398</v>
      </c>
      <c r="D811" s="20">
        <v>0</v>
      </c>
      <c r="E811" s="28">
        <v>26074.44</v>
      </c>
      <c r="F811" s="22" t="s">
        <v>121</v>
      </c>
      <c r="G811" s="14">
        <v>63</v>
      </c>
      <c r="H811" s="40">
        <v>45084</v>
      </c>
      <c r="I811" s="46">
        <f t="shared" si="48"/>
        <v>301</v>
      </c>
      <c r="J811" s="1" t="s">
        <v>15</v>
      </c>
      <c r="K811" s="4" t="s">
        <v>209</v>
      </c>
      <c r="L811" s="4" t="s">
        <v>231</v>
      </c>
      <c r="M811" s="8">
        <v>63</v>
      </c>
      <c r="N811" s="5">
        <v>413.88</v>
      </c>
      <c r="O811" s="5">
        <v>26074.44</v>
      </c>
      <c r="P811">
        <f t="shared" si="49"/>
        <v>1</v>
      </c>
      <c r="Q811" s="36">
        <f t="shared" si="50"/>
        <v>26074.44</v>
      </c>
      <c r="R811">
        <f t="shared" si="51"/>
        <v>2023</v>
      </c>
    </row>
    <row r="812" spans="1:18" x14ac:dyDescent="0.2">
      <c r="A812" s="13">
        <v>45412</v>
      </c>
      <c r="B812" s="13">
        <v>45412</v>
      </c>
      <c r="C812" s="25" t="s">
        <v>398</v>
      </c>
      <c r="D812" s="20">
        <v>0</v>
      </c>
      <c r="E812" s="28">
        <v>26074.44</v>
      </c>
      <c r="F812" s="22" t="s">
        <v>121</v>
      </c>
      <c r="G812" s="14">
        <v>63</v>
      </c>
      <c r="H812" s="40">
        <v>45090</v>
      </c>
      <c r="I812" s="46">
        <f t="shared" si="48"/>
        <v>322</v>
      </c>
      <c r="J812" s="1" t="s">
        <v>15</v>
      </c>
      <c r="K812" s="4" t="s">
        <v>209</v>
      </c>
      <c r="L812" s="4" t="s">
        <v>231</v>
      </c>
      <c r="M812" s="8">
        <v>63</v>
      </c>
      <c r="N812" s="5">
        <v>413.88</v>
      </c>
      <c r="O812" s="5">
        <v>26074.44</v>
      </c>
      <c r="P812">
        <f t="shared" si="49"/>
        <v>1</v>
      </c>
      <c r="Q812" s="36">
        <f t="shared" si="50"/>
        <v>26074.44</v>
      </c>
      <c r="R812">
        <f t="shared" si="51"/>
        <v>2023</v>
      </c>
    </row>
    <row r="813" spans="1:18" x14ac:dyDescent="0.2">
      <c r="A813" s="13">
        <v>45422</v>
      </c>
      <c r="B813" s="13">
        <v>45422</v>
      </c>
      <c r="C813" s="25" t="s">
        <v>398</v>
      </c>
      <c r="D813" s="20">
        <v>0</v>
      </c>
      <c r="E813" s="28">
        <v>26074.44</v>
      </c>
      <c r="F813" s="22" t="s">
        <v>121</v>
      </c>
      <c r="G813" s="14">
        <v>63</v>
      </c>
      <c r="H813" s="40">
        <v>45090</v>
      </c>
      <c r="I813" s="46">
        <f t="shared" si="48"/>
        <v>332</v>
      </c>
      <c r="J813" s="1" t="s">
        <v>15</v>
      </c>
      <c r="K813" s="4" t="s">
        <v>209</v>
      </c>
      <c r="L813" s="4" t="s">
        <v>231</v>
      </c>
      <c r="M813" s="8">
        <v>63</v>
      </c>
      <c r="N813" s="5">
        <v>413.88</v>
      </c>
      <c r="O813" s="5">
        <v>26074.44</v>
      </c>
      <c r="P813">
        <f t="shared" si="49"/>
        <v>1</v>
      </c>
      <c r="Q813" s="36">
        <f t="shared" si="50"/>
        <v>26074.44</v>
      </c>
      <c r="R813">
        <f t="shared" si="51"/>
        <v>2023</v>
      </c>
    </row>
    <row r="814" spans="1:18" x14ac:dyDescent="0.2">
      <c r="A814" s="13">
        <v>45450</v>
      </c>
      <c r="B814" s="13">
        <v>45443</v>
      </c>
      <c r="C814" s="25" t="s">
        <v>399</v>
      </c>
      <c r="D814" s="20">
        <v>7</v>
      </c>
      <c r="E814" s="28">
        <v>26074.44</v>
      </c>
      <c r="F814" s="22" t="s">
        <v>121</v>
      </c>
      <c r="G814" s="14">
        <v>63</v>
      </c>
      <c r="H814" s="40">
        <v>45090</v>
      </c>
      <c r="I814" s="46">
        <f t="shared" si="48"/>
        <v>360</v>
      </c>
      <c r="J814" s="1" t="s">
        <v>15</v>
      </c>
      <c r="K814" s="4" t="s">
        <v>209</v>
      </c>
      <c r="L814" s="4" t="s">
        <v>231</v>
      </c>
      <c r="M814" s="8">
        <v>63</v>
      </c>
      <c r="N814" s="5">
        <v>413.88</v>
      </c>
      <c r="O814" s="5">
        <v>26074.44</v>
      </c>
      <c r="P814">
        <f t="shared" si="49"/>
        <v>1</v>
      </c>
      <c r="Q814" s="36">
        <f t="shared" si="50"/>
        <v>26074.44</v>
      </c>
      <c r="R814">
        <f t="shared" si="51"/>
        <v>2023</v>
      </c>
    </row>
    <row r="815" spans="1:18" x14ac:dyDescent="0.2">
      <c r="A815" s="13">
        <v>45551</v>
      </c>
      <c r="B815" s="13">
        <v>45492</v>
      </c>
      <c r="C815" s="25" t="s">
        <v>399</v>
      </c>
      <c r="D815" s="20">
        <v>59</v>
      </c>
      <c r="E815" s="28">
        <v>26074.44</v>
      </c>
      <c r="F815" s="22" t="s">
        <v>121</v>
      </c>
      <c r="G815" s="14">
        <v>63</v>
      </c>
      <c r="H815" s="40">
        <v>45119</v>
      </c>
      <c r="I815" s="46">
        <f t="shared" si="48"/>
        <v>432</v>
      </c>
      <c r="J815" s="1" t="s">
        <v>15</v>
      </c>
      <c r="K815" s="4" t="s">
        <v>209</v>
      </c>
      <c r="L815" s="4" t="s">
        <v>231</v>
      </c>
      <c r="M815" s="8">
        <v>63</v>
      </c>
      <c r="N815" s="5">
        <v>413.88</v>
      </c>
      <c r="O815" s="5">
        <v>26074.44</v>
      </c>
      <c r="P815">
        <f t="shared" si="49"/>
        <v>1</v>
      </c>
      <c r="Q815" s="36">
        <f t="shared" si="50"/>
        <v>26074.44</v>
      </c>
      <c r="R815">
        <f t="shared" si="51"/>
        <v>2023</v>
      </c>
    </row>
    <row r="816" spans="1:18" x14ac:dyDescent="0.2">
      <c r="A816" s="13">
        <v>45203</v>
      </c>
      <c r="B816" s="13">
        <v>45203</v>
      </c>
      <c r="C816" s="25" t="s">
        <v>398</v>
      </c>
      <c r="D816" s="20">
        <v>0</v>
      </c>
      <c r="E816" s="28">
        <v>16585.560000000001</v>
      </c>
      <c r="F816" s="22" t="s">
        <v>122</v>
      </c>
      <c r="G816" s="14">
        <v>36</v>
      </c>
      <c r="H816" s="40">
        <v>45077</v>
      </c>
      <c r="I816" s="46">
        <f t="shared" si="48"/>
        <v>126</v>
      </c>
      <c r="J816" s="1" t="s">
        <v>15</v>
      </c>
      <c r="K816" s="4" t="s">
        <v>209</v>
      </c>
      <c r="L816" s="4" t="s">
        <v>231</v>
      </c>
      <c r="M816" s="8">
        <v>36</v>
      </c>
      <c r="N816" s="5">
        <v>460.71</v>
      </c>
      <c r="O816" s="5">
        <v>16585.560000000001</v>
      </c>
      <c r="P816">
        <f t="shared" si="49"/>
        <v>1</v>
      </c>
      <c r="Q816" s="36">
        <f t="shared" si="50"/>
        <v>16585.559999999998</v>
      </c>
      <c r="R816">
        <f t="shared" si="51"/>
        <v>2023</v>
      </c>
    </row>
    <row r="817" spans="1:18" x14ac:dyDescent="0.2">
      <c r="A817" s="13">
        <v>45210</v>
      </c>
      <c r="B817" s="13">
        <v>45210</v>
      </c>
      <c r="C817" s="25" t="s">
        <v>398</v>
      </c>
      <c r="D817" s="20">
        <v>0</v>
      </c>
      <c r="E817" s="28">
        <v>33171.120000000003</v>
      </c>
      <c r="F817" s="22" t="s">
        <v>122</v>
      </c>
      <c r="G817" s="14">
        <v>72</v>
      </c>
      <c r="H817" s="40">
        <v>45077</v>
      </c>
      <c r="I817" s="46">
        <f t="shared" si="48"/>
        <v>133</v>
      </c>
      <c r="J817" s="1" t="s">
        <v>15</v>
      </c>
      <c r="K817" s="4" t="s">
        <v>209</v>
      </c>
      <c r="L817" s="4" t="s">
        <v>231</v>
      </c>
      <c r="M817" s="8">
        <v>72</v>
      </c>
      <c r="N817" s="5">
        <v>460.71</v>
      </c>
      <c r="O817" s="5">
        <v>33171.120000000003</v>
      </c>
      <c r="P817">
        <f t="shared" si="49"/>
        <v>1</v>
      </c>
      <c r="Q817" s="36">
        <f t="shared" si="50"/>
        <v>33171.119999999995</v>
      </c>
      <c r="R817">
        <f t="shared" si="51"/>
        <v>2023</v>
      </c>
    </row>
    <row r="818" spans="1:18" x14ac:dyDescent="0.2">
      <c r="A818" s="13">
        <v>45217</v>
      </c>
      <c r="B818" s="13">
        <v>45217</v>
      </c>
      <c r="C818" s="25" t="s">
        <v>398</v>
      </c>
      <c r="D818" s="20">
        <v>0</v>
      </c>
      <c r="E818" s="28">
        <v>16585.560000000001</v>
      </c>
      <c r="F818" s="22" t="s">
        <v>122</v>
      </c>
      <c r="G818" s="14">
        <v>36</v>
      </c>
      <c r="H818" s="40">
        <v>45077</v>
      </c>
      <c r="I818" s="46">
        <f t="shared" si="48"/>
        <v>140</v>
      </c>
      <c r="J818" s="1" t="s">
        <v>15</v>
      </c>
      <c r="K818" s="4" t="s">
        <v>209</v>
      </c>
      <c r="L818" s="4" t="s">
        <v>231</v>
      </c>
      <c r="M818" s="8">
        <v>36</v>
      </c>
      <c r="N818" s="5">
        <v>460.71</v>
      </c>
      <c r="O818" s="5">
        <v>16585.560000000001</v>
      </c>
      <c r="P818">
        <f t="shared" si="49"/>
        <v>1</v>
      </c>
      <c r="Q818" s="36">
        <f t="shared" si="50"/>
        <v>16585.559999999998</v>
      </c>
      <c r="R818">
        <f t="shared" si="51"/>
        <v>2023</v>
      </c>
    </row>
    <row r="819" spans="1:18" x14ac:dyDescent="0.2">
      <c r="A819" s="13">
        <v>45224</v>
      </c>
      <c r="B819" s="13">
        <v>45224</v>
      </c>
      <c r="C819" s="25" t="s">
        <v>398</v>
      </c>
      <c r="D819" s="20">
        <v>0</v>
      </c>
      <c r="E819" s="28">
        <v>16585.560000000001</v>
      </c>
      <c r="F819" s="22" t="s">
        <v>122</v>
      </c>
      <c r="G819" s="14">
        <v>36</v>
      </c>
      <c r="H819" s="40">
        <v>45077</v>
      </c>
      <c r="I819" s="46">
        <f t="shared" si="48"/>
        <v>147</v>
      </c>
      <c r="J819" s="1" t="s">
        <v>15</v>
      </c>
      <c r="K819" s="4" t="s">
        <v>209</v>
      </c>
      <c r="L819" s="4" t="s">
        <v>231</v>
      </c>
      <c r="M819" s="8">
        <v>36</v>
      </c>
      <c r="N819" s="5">
        <v>460.71</v>
      </c>
      <c r="O819" s="5">
        <v>16585.560000000001</v>
      </c>
      <c r="P819">
        <f t="shared" si="49"/>
        <v>1</v>
      </c>
      <c r="Q819" s="36">
        <f t="shared" si="50"/>
        <v>16585.559999999998</v>
      </c>
      <c r="R819">
        <f t="shared" si="51"/>
        <v>2023</v>
      </c>
    </row>
    <row r="820" spans="1:18" x14ac:dyDescent="0.2">
      <c r="A820" s="13">
        <v>45231</v>
      </c>
      <c r="B820" s="13">
        <v>45231</v>
      </c>
      <c r="C820" s="25" t="s">
        <v>398</v>
      </c>
      <c r="D820" s="20">
        <v>0</v>
      </c>
      <c r="E820" s="28">
        <v>16585.560000000001</v>
      </c>
      <c r="F820" s="22" t="s">
        <v>122</v>
      </c>
      <c r="G820" s="14">
        <v>36</v>
      </c>
      <c r="H820" s="40">
        <v>45077</v>
      </c>
      <c r="I820" s="46">
        <f t="shared" si="48"/>
        <v>154</v>
      </c>
      <c r="J820" s="1" t="s">
        <v>15</v>
      </c>
      <c r="K820" s="4" t="s">
        <v>209</v>
      </c>
      <c r="L820" s="4" t="s">
        <v>231</v>
      </c>
      <c r="M820" s="8">
        <v>36</v>
      </c>
      <c r="N820" s="5">
        <v>460.71</v>
      </c>
      <c r="O820" s="5">
        <v>16585.560000000001</v>
      </c>
      <c r="P820">
        <f t="shared" si="49"/>
        <v>1</v>
      </c>
      <c r="Q820" s="36">
        <f t="shared" si="50"/>
        <v>16585.559999999998</v>
      </c>
      <c r="R820">
        <f t="shared" si="51"/>
        <v>2023</v>
      </c>
    </row>
    <row r="821" spans="1:18" x14ac:dyDescent="0.2">
      <c r="A821" s="13">
        <v>45238</v>
      </c>
      <c r="B821" s="13">
        <v>45238</v>
      </c>
      <c r="C821" s="25" t="s">
        <v>398</v>
      </c>
      <c r="D821" s="20">
        <v>0</v>
      </c>
      <c r="E821" s="28">
        <v>16585.560000000001</v>
      </c>
      <c r="F821" s="22" t="s">
        <v>122</v>
      </c>
      <c r="G821" s="14">
        <v>36</v>
      </c>
      <c r="H821" s="40">
        <v>45077</v>
      </c>
      <c r="I821" s="46">
        <f t="shared" si="48"/>
        <v>161</v>
      </c>
      <c r="J821" s="1" t="s">
        <v>15</v>
      </c>
      <c r="K821" s="4" t="s">
        <v>209</v>
      </c>
      <c r="L821" s="4" t="s">
        <v>231</v>
      </c>
      <c r="M821" s="8">
        <v>36</v>
      </c>
      <c r="N821" s="5">
        <v>460.71</v>
      </c>
      <c r="O821" s="5">
        <v>16585.560000000001</v>
      </c>
      <c r="P821">
        <f t="shared" si="49"/>
        <v>1</v>
      </c>
      <c r="Q821" s="36">
        <f t="shared" si="50"/>
        <v>16585.559999999998</v>
      </c>
      <c r="R821">
        <f t="shared" si="51"/>
        <v>2023</v>
      </c>
    </row>
    <row r="822" spans="1:18" x14ac:dyDescent="0.2">
      <c r="A822" s="13">
        <v>45245</v>
      </c>
      <c r="B822" s="13">
        <v>45245</v>
      </c>
      <c r="C822" s="25" t="s">
        <v>398</v>
      </c>
      <c r="D822" s="20">
        <v>0</v>
      </c>
      <c r="E822" s="28">
        <v>33171.120000000003</v>
      </c>
      <c r="F822" s="22" t="s">
        <v>122</v>
      </c>
      <c r="G822" s="14">
        <v>72</v>
      </c>
      <c r="H822" s="40">
        <v>45077</v>
      </c>
      <c r="I822" s="46">
        <f t="shared" si="48"/>
        <v>168</v>
      </c>
      <c r="J822" s="1" t="s">
        <v>15</v>
      </c>
      <c r="K822" s="4" t="s">
        <v>209</v>
      </c>
      <c r="L822" s="4" t="s">
        <v>231</v>
      </c>
      <c r="M822" s="8">
        <v>72</v>
      </c>
      <c r="N822" s="5">
        <v>460.71</v>
      </c>
      <c r="O822" s="5">
        <v>33171.120000000003</v>
      </c>
      <c r="P822">
        <f t="shared" si="49"/>
        <v>1</v>
      </c>
      <c r="Q822" s="36">
        <f t="shared" si="50"/>
        <v>33171.119999999995</v>
      </c>
      <c r="R822">
        <f t="shared" si="51"/>
        <v>2023</v>
      </c>
    </row>
    <row r="823" spans="1:18" x14ac:dyDescent="0.2">
      <c r="A823" s="13">
        <v>45252</v>
      </c>
      <c r="B823" s="13">
        <v>45252</v>
      </c>
      <c r="C823" s="25" t="s">
        <v>398</v>
      </c>
      <c r="D823" s="20">
        <v>0</v>
      </c>
      <c r="E823" s="28">
        <v>49756.68</v>
      </c>
      <c r="F823" s="22" t="s">
        <v>122</v>
      </c>
      <c r="G823" s="14">
        <v>108</v>
      </c>
      <c r="H823" s="40">
        <v>45077</v>
      </c>
      <c r="I823" s="46">
        <f t="shared" si="48"/>
        <v>175</v>
      </c>
      <c r="J823" s="1" t="s">
        <v>15</v>
      </c>
      <c r="K823" s="4" t="s">
        <v>209</v>
      </c>
      <c r="L823" s="4" t="s">
        <v>231</v>
      </c>
      <c r="M823" s="8">
        <v>108</v>
      </c>
      <c r="N823" s="5">
        <v>460.71</v>
      </c>
      <c r="O823" s="5">
        <v>49756.68</v>
      </c>
      <c r="P823">
        <f t="shared" si="49"/>
        <v>1</v>
      </c>
      <c r="Q823" s="36">
        <f t="shared" si="50"/>
        <v>49756.68</v>
      </c>
      <c r="R823">
        <f t="shared" si="51"/>
        <v>2023</v>
      </c>
    </row>
    <row r="824" spans="1:18" x14ac:dyDescent="0.2">
      <c r="A824" s="13">
        <v>45252</v>
      </c>
      <c r="B824" s="13">
        <v>45252</v>
      </c>
      <c r="C824" s="25" t="s">
        <v>398</v>
      </c>
      <c r="D824" s="20">
        <v>0</v>
      </c>
      <c r="E824" s="28">
        <v>33171.120000000003</v>
      </c>
      <c r="F824" s="22" t="s">
        <v>122</v>
      </c>
      <c r="G824" s="14">
        <v>72</v>
      </c>
      <c r="H824" s="40">
        <v>45077</v>
      </c>
      <c r="I824" s="46">
        <f t="shared" si="48"/>
        <v>175</v>
      </c>
      <c r="J824" s="1" t="s">
        <v>15</v>
      </c>
      <c r="K824" s="4" t="s">
        <v>209</v>
      </c>
      <c r="L824" s="4" t="s">
        <v>231</v>
      </c>
      <c r="M824" s="8">
        <v>72</v>
      </c>
      <c r="N824" s="5">
        <v>460.71</v>
      </c>
      <c r="O824" s="5">
        <v>33171.120000000003</v>
      </c>
      <c r="P824">
        <f t="shared" si="49"/>
        <v>1</v>
      </c>
      <c r="Q824" s="36">
        <f t="shared" si="50"/>
        <v>33171.119999999995</v>
      </c>
      <c r="R824">
        <f t="shared" si="51"/>
        <v>2023</v>
      </c>
    </row>
    <row r="825" spans="1:18" x14ac:dyDescent="0.2">
      <c r="A825" s="13">
        <v>45266</v>
      </c>
      <c r="B825" s="13">
        <v>45266</v>
      </c>
      <c r="C825" s="25" t="s">
        <v>398</v>
      </c>
      <c r="D825" s="20">
        <v>0</v>
      </c>
      <c r="E825" s="28">
        <v>16585.560000000001</v>
      </c>
      <c r="F825" s="22" t="s">
        <v>122</v>
      </c>
      <c r="G825" s="14">
        <v>36</v>
      </c>
      <c r="H825" s="40">
        <v>45077</v>
      </c>
      <c r="I825" s="46">
        <f t="shared" si="48"/>
        <v>189</v>
      </c>
      <c r="J825" s="1" t="s">
        <v>15</v>
      </c>
      <c r="K825" s="4" t="s">
        <v>209</v>
      </c>
      <c r="L825" s="4" t="s">
        <v>231</v>
      </c>
      <c r="M825" s="8">
        <v>36</v>
      </c>
      <c r="N825" s="5">
        <v>460.71</v>
      </c>
      <c r="O825" s="5">
        <v>16585.560000000001</v>
      </c>
      <c r="P825">
        <f t="shared" si="49"/>
        <v>1</v>
      </c>
      <c r="Q825" s="36">
        <f t="shared" si="50"/>
        <v>16585.559999999998</v>
      </c>
      <c r="R825">
        <f t="shared" si="51"/>
        <v>2023</v>
      </c>
    </row>
    <row r="826" spans="1:18" x14ac:dyDescent="0.2">
      <c r="A826" s="13">
        <v>45287</v>
      </c>
      <c r="B826" s="13">
        <v>45287</v>
      </c>
      <c r="C826" s="25" t="s">
        <v>398</v>
      </c>
      <c r="D826" s="20">
        <v>0</v>
      </c>
      <c r="E826" s="28">
        <v>33171.120000000003</v>
      </c>
      <c r="F826" s="22" t="s">
        <v>122</v>
      </c>
      <c r="G826" s="14">
        <v>72</v>
      </c>
      <c r="H826" s="40">
        <v>45077</v>
      </c>
      <c r="I826" s="46">
        <f t="shared" si="48"/>
        <v>210</v>
      </c>
      <c r="J826" s="1" t="s">
        <v>15</v>
      </c>
      <c r="K826" s="4" t="s">
        <v>209</v>
      </c>
      <c r="L826" s="4" t="s">
        <v>231</v>
      </c>
      <c r="M826" s="8">
        <v>72</v>
      </c>
      <c r="N826" s="5">
        <v>460.71</v>
      </c>
      <c r="O826" s="5">
        <v>33171.120000000003</v>
      </c>
      <c r="P826">
        <f t="shared" si="49"/>
        <v>1</v>
      </c>
      <c r="Q826" s="36">
        <f t="shared" si="50"/>
        <v>33171.119999999995</v>
      </c>
      <c r="R826">
        <f t="shared" si="51"/>
        <v>2023</v>
      </c>
    </row>
    <row r="827" spans="1:18" x14ac:dyDescent="0.2">
      <c r="A827" s="13">
        <v>45308</v>
      </c>
      <c r="B827" s="13">
        <v>45308</v>
      </c>
      <c r="C827" s="25" t="s">
        <v>398</v>
      </c>
      <c r="D827" s="20">
        <v>0</v>
      </c>
      <c r="E827" s="28">
        <v>16585.560000000001</v>
      </c>
      <c r="F827" s="22" t="s">
        <v>122</v>
      </c>
      <c r="G827" s="14">
        <v>36</v>
      </c>
      <c r="H827" s="40">
        <v>45077</v>
      </c>
      <c r="I827" s="46">
        <f t="shared" si="48"/>
        <v>231</v>
      </c>
      <c r="J827" s="1" t="s">
        <v>15</v>
      </c>
      <c r="K827" s="4" t="s">
        <v>209</v>
      </c>
      <c r="L827" s="4" t="s">
        <v>231</v>
      </c>
      <c r="M827" s="8">
        <v>36</v>
      </c>
      <c r="N827" s="5">
        <v>460.71</v>
      </c>
      <c r="O827" s="5">
        <v>16585.560000000001</v>
      </c>
      <c r="P827">
        <f t="shared" si="49"/>
        <v>1</v>
      </c>
      <c r="Q827" s="36">
        <f t="shared" si="50"/>
        <v>16585.559999999998</v>
      </c>
      <c r="R827">
        <f t="shared" si="51"/>
        <v>2023</v>
      </c>
    </row>
    <row r="828" spans="1:18" x14ac:dyDescent="0.2">
      <c r="A828" s="13">
        <v>45315</v>
      </c>
      <c r="B828" s="13">
        <v>45315</v>
      </c>
      <c r="C828" s="25" t="s">
        <v>398</v>
      </c>
      <c r="D828" s="20">
        <v>0</v>
      </c>
      <c r="E828" s="28">
        <v>33171.120000000003</v>
      </c>
      <c r="F828" s="22" t="s">
        <v>122</v>
      </c>
      <c r="G828" s="14">
        <v>72</v>
      </c>
      <c r="H828" s="40">
        <v>45077</v>
      </c>
      <c r="I828" s="46">
        <f t="shared" si="48"/>
        <v>238</v>
      </c>
      <c r="J828" s="1" t="s">
        <v>15</v>
      </c>
      <c r="K828" s="4" t="s">
        <v>209</v>
      </c>
      <c r="L828" s="4" t="s">
        <v>231</v>
      </c>
      <c r="M828" s="8">
        <v>72</v>
      </c>
      <c r="N828" s="5">
        <v>460.71</v>
      </c>
      <c r="O828" s="5">
        <v>33171.120000000003</v>
      </c>
      <c r="P828">
        <f t="shared" si="49"/>
        <v>1</v>
      </c>
      <c r="Q828" s="36">
        <f t="shared" si="50"/>
        <v>33171.119999999995</v>
      </c>
      <c r="R828">
        <f t="shared" si="51"/>
        <v>2023</v>
      </c>
    </row>
    <row r="829" spans="1:18" x14ac:dyDescent="0.2">
      <c r="A829" s="13">
        <v>45322</v>
      </c>
      <c r="B829" s="13">
        <v>45322</v>
      </c>
      <c r="C829" s="25" t="s">
        <v>398</v>
      </c>
      <c r="D829" s="20">
        <v>0</v>
      </c>
      <c r="E829" s="28">
        <v>33171.120000000003</v>
      </c>
      <c r="F829" s="22" t="s">
        <v>122</v>
      </c>
      <c r="G829" s="14">
        <v>72</v>
      </c>
      <c r="H829" s="40">
        <v>45077</v>
      </c>
      <c r="I829" s="46">
        <f t="shared" si="48"/>
        <v>245</v>
      </c>
      <c r="J829" s="1" t="s">
        <v>15</v>
      </c>
      <c r="K829" s="4" t="s">
        <v>209</v>
      </c>
      <c r="L829" s="4" t="s">
        <v>231</v>
      </c>
      <c r="M829" s="8">
        <v>72</v>
      </c>
      <c r="N829" s="5">
        <v>460.71</v>
      </c>
      <c r="O829" s="5">
        <v>33171.120000000003</v>
      </c>
      <c r="P829">
        <f t="shared" si="49"/>
        <v>1</v>
      </c>
      <c r="Q829" s="36">
        <f t="shared" si="50"/>
        <v>33171.119999999995</v>
      </c>
      <c r="R829">
        <f t="shared" si="51"/>
        <v>2023</v>
      </c>
    </row>
    <row r="830" spans="1:18" x14ac:dyDescent="0.2">
      <c r="A830" s="13">
        <v>45331</v>
      </c>
      <c r="B830" s="13">
        <v>45331</v>
      </c>
      <c r="C830" s="25" t="s">
        <v>398</v>
      </c>
      <c r="D830" s="20">
        <v>0</v>
      </c>
      <c r="E830" s="28">
        <v>33171.120000000003</v>
      </c>
      <c r="F830" s="22" t="s">
        <v>122</v>
      </c>
      <c r="G830" s="14">
        <v>72</v>
      </c>
      <c r="H830" s="40">
        <v>45077</v>
      </c>
      <c r="I830" s="46">
        <f t="shared" si="48"/>
        <v>254</v>
      </c>
      <c r="J830" s="1" t="s">
        <v>15</v>
      </c>
      <c r="K830" s="4" t="s">
        <v>209</v>
      </c>
      <c r="L830" s="4" t="s">
        <v>231</v>
      </c>
      <c r="M830" s="8">
        <v>72</v>
      </c>
      <c r="N830" s="5">
        <v>460.71</v>
      </c>
      <c r="O830" s="5">
        <v>33171.120000000003</v>
      </c>
      <c r="P830">
        <f t="shared" si="49"/>
        <v>1</v>
      </c>
      <c r="Q830" s="36">
        <f t="shared" si="50"/>
        <v>33171.119999999995</v>
      </c>
      <c r="R830">
        <f t="shared" si="51"/>
        <v>2023</v>
      </c>
    </row>
    <row r="831" spans="1:18" x14ac:dyDescent="0.2">
      <c r="A831" s="13">
        <v>45387</v>
      </c>
      <c r="B831" s="13">
        <v>45387</v>
      </c>
      <c r="C831" s="25" t="s">
        <v>398</v>
      </c>
      <c r="D831" s="20">
        <v>0</v>
      </c>
      <c r="E831" s="28">
        <v>33171.120000000003</v>
      </c>
      <c r="F831" s="22" t="s">
        <v>122</v>
      </c>
      <c r="G831" s="14">
        <v>72</v>
      </c>
      <c r="H831" s="40">
        <v>45090</v>
      </c>
      <c r="I831" s="46">
        <f t="shared" si="48"/>
        <v>297</v>
      </c>
      <c r="J831" s="1" t="s">
        <v>15</v>
      </c>
      <c r="K831" s="4" t="s">
        <v>209</v>
      </c>
      <c r="L831" s="4" t="s">
        <v>231</v>
      </c>
      <c r="M831" s="8">
        <v>72</v>
      </c>
      <c r="N831" s="5">
        <v>460.71</v>
      </c>
      <c r="O831" s="5">
        <v>33171.120000000003</v>
      </c>
      <c r="P831">
        <f t="shared" si="49"/>
        <v>1</v>
      </c>
      <c r="Q831" s="36">
        <f t="shared" si="50"/>
        <v>33171.119999999995</v>
      </c>
      <c r="R831">
        <f t="shared" si="51"/>
        <v>2023</v>
      </c>
    </row>
    <row r="832" spans="1:18" x14ac:dyDescent="0.2">
      <c r="A832" s="13">
        <v>45394</v>
      </c>
      <c r="B832" s="13">
        <v>45394</v>
      </c>
      <c r="C832" s="25" t="s">
        <v>398</v>
      </c>
      <c r="D832" s="20">
        <v>0</v>
      </c>
      <c r="E832" s="28">
        <v>33171.120000000003</v>
      </c>
      <c r="F832" s="22" t="s">
        <v>122</v>
      </c>
      <c r="G832" s="14">
        <v>72</v>
      </c>
      <c r="H832" s="40">
        <v>45090</v>
      </c>
      <c r="I832" s="46">
        <f t="shared" si="48"/>
        <v>304</v>
      </c>
      <c r="J832" s="1" t="s">
        <v>15</v>
      </c>
      <c r="K832" s="4" t="s">
        <v>209</v>
      </c>
      <c r="L832" s="4" t="s">
        <v>231</v>
      </c>
      <c r="M832" s="8">
        <v>72</v>
      </c>
      <c r="N832" s="5">
        <v>460.71</v>
      </c>
      <c r="O832" s="5">
        <v>33171.120000000003</v>
      </c>
      <c r="P832">
        <f t="shared" si="49"/>
        <v>1</v>
      </c>
      <c r="Q832" s="36">
        <f t="shared" si="50"/>
        <v>33171.119999999995</v>
      </c>
      <c r="R832">
        <f t="shared" si="51"/>
        <v>2023</v>
      </c>
    </row>
    <row r="833" spans="1:18" x14ac:dyDescent="0.2">
      <c r="A833" s="13">
        <v>45401</v>
      </c>
      <c r="B833" s="13">
        <v>45401</v>
      </c>
      <c r="C833" s="25" t="s">
        <v>398</v>
      </c>
      <c r="D833" s="20">
        <v>0</v>
      </c>
      <c r="E833" s="28">
        <v>33171.120000000003</v>
      </c>
      <c r="F833" s="22" t="s">
        <v>122</v>
      </c>
      <c r="G833" s="14">
        <v>72</v>
      </c>
      <c r="H833" s="40">
        <v>45090</v>
      </c>
      <c r="I833" s="46">
        <f t="shared" si="48"/>
        <v>311</v>
      </c>
      <c r="J833" s="1" t="s">
        <v>15</v>
      </c>
      <c r="K833" s="4" t="s">
        <v>209</v>
      </c>
      <c r="L833" s="4" t="s">
        <v>231</v>
      </c>
      <c r="M833" s="8">
        <v>72</v>
      </c>
      <c r="N833" s="5">
        <v>460.71</v>
      </c>
      <c r="O833" s="5">
        <v>33171.120000000003</v>
      </c>
      <c r="P833">
        <f t="shared" si="49"/>
        <v>1</v>
      </c>
      <c r="Q833" s="36">
        <f t="shared" si="50"/>
        <v>33171.119999999995</v>
      </c>
      <c r="R833">
        <f t="shared" si="51"/>
        <v>2023</v>
      </c>
    </row>
    <row r="834" spans="1:18" x14ac:dyDescent="0.2">
      <c r="A834" s="13">
        <v>45408</v>
      </c>
      <c r="B834" s="13">
        <v>45408</v>
      </c>
      <c r="C834" s="25" t="s">
        <v>398</v>
      </c>
      <c r="D834" s="20">
        <v>0</v>
      </c>
      <c r="E834" s="28">
        <v>16585.560000000001</v>
      </c>
      <c r="F834" s="22" t="s">
        <v>122</v>
      </c>
      <c r="G834" s="14">
        <v>36</v>
      </c>
      <c r="H834" s="40">
        <v>45090</v>
      </c>
      <c r="I834" s="46">
        <f t="shared" si="48"/>
        <v>318</v>
      </c>
      <c r="J834" s="1" t="s">
        <v>15</v>
      </c>
      <c r="K834" s="4" t="s">
        <v>209</v>
      </c>
      <c r="L834" s="4" t="s">
        <v>231</v>
      </c>
      <c r="M834" s="8">
        <v>36</v>
      </c>
      <c r="N834" s="5">
        <v>460.71</v>
      </c>
      <c r="O834" s="5">
        <v>16585.560000000001</v>
      </c>
      <c r="P834">
        <f t="shared" si="49"/>
        <v>1</v>
      </c>
      <c r="Q834" s="36">
        <f t="shared" si="50"/>
        <v>16585.559999999998</v>
      </c>
      <c r="R834">
        <f t="shared" si="51"/>
        <v>2023</v>
      </c>
    </row>
    <row r="835" spans="1:18" x14ac:dyDescent="0.2">
      <c r="A835" s="13">
        <v>45415</v>
      </c>
      <c r="B835" s="13">
        <v>45415</v>
      </c>
      <c r="C835" s="25" t="s">
        <v>398</v>
      </c>
      <c r="D835" s="20">
        <v>0</v>
      </c>
      <c r="E835" s="28">
        <v>33171.120000000003</v>
      </c>
      <c r="F835" s="22" t="s">
        <v>122</v>
      </c>
      <c r="G835" s="14">
        <v>72</v>
      </c>
      <c r="H835" s="40">
        <v>45090</v>
      </c>
      <c r="I835" s="46">
        <f t="shared" ref="I835:I898" si="52">IFERROR(A835-H835,"")*1</f>
        <v>325</v>
      </c>
      <c r="J835" s="1" t="s">
        <v>15</v>
      </c>
      <c r="K835" s="4" t="s">
        <v>209</v>
      </c>
      <c r="L835" s="4" t="s">
        <v>231</v>
      </c>
      <c r="M835" s="8">
        <v>72</v>
      </c>
      <c r="N835" s="5">
        <v>460.71</v>
      </c>
      <c r="O835" s="5">
        <v>33171.120000000003</v>
      </c>
      <c r="P835">
        <f t="shared" ref="P835:P898" si="53">IF(M835=G835,1,0)</f>
        <v>1</v>
      </c>
      <c r="Q835" s="36">
        <f t="shared" ref="Q835:Q898" si="54">N835*G835</f>
        <v>33171.119999999995</v>
      </c>
      <c r="R835">
        <f t="shared" ref="R835:R898" si="55">YEAR(H835)</f>
        <v>2023</v>
      </c>
    </row>
    <row r="836" spans="1:18" x14ac:dyDescent="0.2">
      <c r="A836" s="13">
        <v>45422</v>
      </c>
      <c r="B836" s="13">
        <v>45422</v>
      </c>
      <c r="C836" s="25" t="s">
        <v>398</v>
      </c>
      <c r="D836" s="20">
        <v>0</v>
      </c>
      <c r="E836" s="28">
        <v>33171.120000000003</v>
      </c>
      <c r="F836" s="22" t="s">
        <v>122</v>
      </c>
      <c r="G836" s="14">
        <v>72</v>
      </c>
      <c r="H836" s="40">
        <v>45090</v>
      </c>
      <c r="I836" s="46">
        <f t="shared" si="52"/>
        <v>332</v>
      </c>
      <c r="J836" s="1" t="s">
        <v>15</v>
      </c>
      <c r="K836" s="4" t="s">
        <v>209</v>
      </c>
      <c r="L836" s="4" t="s">
        <v>231</v>
      </c>
      <c r="M836" s="8">
        <v>72</v>
      </c>
      <c r="N836" s="5">
        <v>460.71</v>
      </c>
      <c r="O836" s="5">
        <v>33171.120000000003</v>
      </c>
      <c r="P836">
        <f t="shared" si="53"/>
        <v>1</v>
      </c>
      <c r="Q836" s="36">
        <f t="shared" si="54"/>
        <v>33171.119999999995</v>
      </c>
      <c r="R836">
        <f t="shared" si="55"/>
        <v>2023</v>
      </c>
    </row>
    <row r="837" spans="1:18" x14ac:dyDescent="0.2">
      <c r="A837" s="13">
        <v>45429</v>
      </c>
      <c r="B837" s="13">
        <v>45429</v>
      </c>
      <c r="C837" s="25" t="s">
        <v>398</v>
      </c>
      <c r="D837" s="20">
        <v>0</v>
      </c>
      <c r="E837" s="28">
        <v>33171.120000000003</v>
      </c>
      <c r="F837" s="22" t="s">
        <v>122</v>
      </c>
      <c r="G837" s="14">
        <v>72</v>
      </c>
      <c r="H837" s="40">
        <v>45090</v>
      </c>
      <c r="I837" s="46">
        <f t="shared" si="52"/>
        <v>339</v>
      </c>
      <c r="J837" s="1" t="s">
        <v>15</v>
      </c>
      <c r="K837" s="4" t="s">
        <v>209</v>
      </c>
      <c r="L837" s="4" t="s">
        <v>231</v>
      </c>
      <c r="M837" s="8">
        <v>72</v>
      </c>
      <c r="N837" s="5">
        <v>460.71</v>
      </c>
      <c r="O837" s="5">
        <v>33171.120000000003</v>
      </c>
      <c r="P837">
        <f t="shared" si="53"/>
        <v>1</v>
      </c>
      <c r="Q837" s="36">
        <f t="shared" si="54"/>
        <v>33171.119999999995</v>
      </c>
      <c r="R837">
        <f t="shared" si="55"/>
        <v>2023</v>
      </c>
    </row>
    <row r="838" spans="1:18" x14ac:dyDescent="0.2">
      <c r="A838" s="13">
        <v>45436</v>
      </c>
      <c r="B838" s="13">
        <v>45436</v>
      </c>
      <c r="C838" s="25" t="s">
        <v>398</v>
      </c>
      <c r="D838" s="20">
        <v>0</v>
      </c>
      <c r="E838" s="28">
        <v>16585.560000000001</v>
      </c>
      <c r="F838" s="22" t="s">
        <v>122</v>
      </c>
      <c r="G838" s="14">
        <v>36</v>
      </c>
      <c r="H838" s="40">
        <v>45090</v>
      </c>
      <c r="I838" s="46">
        <f t="shared" si="52"/>
        <v>346</v>
      </c>
      <c r="J838" s="1" t="s">
        <v>15</v>
      </c>
      <c r="K838" s="4" t="s">
        <v>209</v>
      </c>
      <c r="L838" s="4" t="s">
        <v>231</v>
      </c>
      <c r="M838" s="8">
        <v>36</v>
      </c>
      <c r="N838" s="5">
        <v>460.71</v>
      </c>
      <c r="O838" s="5">
        <v>16585.560000000001</v>
      </c>
      <c r="P838">
        <f t="shared" si="53"/>
        <v>1</v>
      </c>
      <c r="Q838" s="36">
        <f t="shared" si="54"/>
        <v>16585.559999999998</v>
      </c>
      <c r="R838">
        <f t="shared" si="55"/>
        <v>2023</v>
      </c>
    </row>
    <row r="839" spans="1:18" x14ac:dyDescent="0.2">
      <c r="A839" s="13">
        <v>45443</v>
      </c>
      <c r="B839" s="13">
        <v>45443</v>
      </c>
      <c r="C839" s="25" t="s">
        <v>398</v>
      </c>
      <c r="D839" s="20">
        <v>0</v>
      </c>
      <c r="E839" s="28">
        <v>33171.120000000003</v>
      </c>
      <c r="F839" s="22" t="s">
        <v>122</v>
      </c>
      <c r="G839" s="14">
        <v>72</v>
      </c>
      <c r="H839" s="40">
        <v>45090</v>
      </c>
      <c r="I839" s="46">
        <f t="shared" si="52"/>
        <v>353</v>
      </c>
      <c r="J839" s="1" t="s">
        <v>15</v>
      </c>
      <c r="K839" s="4" t="s">
        <v>209</v>
      </c>
      <c r="L839" s="4" t="s">
        <v>231</v>
      </c>
      <c r="M839" s="8">
        <v>72</v>
      </c>
      <c r="N839" s="5">
        <v>460.71</v>
      </c>
      <c r="O839" s="5">
        <v>33171.120000000003</v>
      </c>
      <c r="P839">
        <f t="shared" si="53"/>
        <v>1</v>
      </c>
      <c r="Q839" s="36">
        <f t="shared" si="54"/>
        <v>33171.119999999995</v>
      </c>
      <c r="R839">
        <f t="shared" si="55"/>
        <v>2023</v>
      </c>
    </row>
    <row r="840" spans="1:18" x14ac:dyDescent="0.2">
      <c r="A840" s="13">
        <v>45450</v>
      </c>
      <c r="B840" s="13">
        <v>45450</v>
      </c>
      <c r="C840" s="25" t="s">
        <v>398</v>
      </c>
      <c r="D840" s="20">
        <v>0</v>
      </c>
      <c r="E840" s="28">
        <v>33171.120000000003</v>
      </c>
      <c r="F840" s="22" t="s">
        <v>122</v>
      </c>
      <c r="G840" s="14">
        <v>72</v>
      </c>
      <c r="H840" s="40">
        <v>45090</v>
      </c>
      <c r="I840" s="46">
        <f t="shared" si="52"/>
        <v>360</v>
      </c>
      <c r="J840" s="1" t="s">
        <v>15</v>
      </c>
      <c r="K840" s="4" t="s">
        <v>209</v>
      </c>
      <c r="L840" s="4" t="s">
        <v>231</v>
      </c>
      <c r="M840" s="8">
        <v>72</v>
      </c>
      <c r="N840" s="5">
        <v>460.71</v>
      </c>
      <c r="O840" s="5">
        <v>33171.120000000003</v>
      </c>
      <c r="P840">
        <f t="shared" si="53"/>
        <v>1</v>
      </c>
      <c r="Q840" s="36">
        <f t="shared" si="54"/>
        <v>33171.119999999995</v>
      </c>
      <c r="R840">
        <f t="shared" si="55"/>
        <v>2023</v>
      </c>
    </row>
    <row r="841" spans="1:18" x14ac:dyDescent="0.2">
      <c r="A841" s="13">
        <v>45196</v>
      </c>
      <c r="B841" s="13">
        <v>45196</v>
      </c>
      <c r="C841" s="25" t="s">
        <v>398</v>
      </c>
      <c r="D841" s="20">
        <v>0</v>
      </c>
      <c r="E841" s="28">
        <v>16585.560000000001</v>
      </c>
      <c r="F841" s="22" t="s">
        <v>122</v>
      </c>
      <c r="G841" s="14">
        <v>36</v>
      </c>
      <c r="H841" s="40">
        <v>45180</v>
      </c>
      <c r="I841" s="46">
        <f t="shared" si="52"/>
        <v>16</v>
      </c>
      <c r="J841" s="1" t="s">
        <v>15</v>
      </c>
      <c r="K841" s="4" t="s">
        <v>209</v>
      </c>
      <c r="L841" s="4" t="s">
        <v>231</v>
      </c>
      <c r="M841" s="8">
        <v>36</v>
      </c>
      <c r="N841" s="5">
        <v>460.71</v>
      </c>
      <c r="O841" s="5">
        <v>16585.560000000001</v>
      </c>
      <c r="P841">
        <f t="shared" si="53"/>
        <v>1</v>
      </c>
      <c r="Q841" s="36">
        <f t="shared" si="54"/>
        <v>16585.559999999998</v>
      </c>
      <c r="R841">
        <f t="shared" si="55"/>
        <v>2023</v>
      </c>
    </row>
    <row r="842" spans="1:18" x14ac:dyDescent="0.2">
      <c r="A842" s="13">
        <v>45496</v>
      </c>
      <c r="B842" s="13">
        <v>45496</v>
      </c>
      <c r="C842" s="25" t="s">
        <v>398</v>
      </c>
      <c r="D842" s="20">
        <v>0</v>
      </c>
      <c r="E842" s="28">
        <v>80049.600000000006</v>
      </c>
      <c r="F842" s="22" t="s">
        <v>123</v>
      </c>
      <c r="G842" s="14">
        <v>120</v>
      </c>
      <c r="H842" s="40">
        <v>45013</v>
      </c>
      <c r="I842" s="46">
        <f t="shared" si="52"/>
        <v>483</v>
      </c>
      <c r="J842" s="1" t="s">
        <v>15</v>
      </c>
      <c r="K842" s="4" t="s">
        <v>209</v>
      </c>
      <c r="L842" s="4" t="s">
        <v>231</v>
      </c>
      <c r="M842" s="8">
        <v>120</v>
      </c>
      <c r="N842" s="5">
        <v>667.08</v>
      </c>
      <c r="O842" s="5">
        <v>80049.600000000006</v>
      </c>
      <c r="P842">
        <f t="shared" si="53"/>
        <v>1</v>
      </c>
      <c r="Q842" s="36">
        <f t="shared" si="54"/>
        <v>80049.600000000006</v>
      </c>
      <c r="R842">
        <f t="shared" si="55"/>
        <v>2023</v>
      </c>
    </row>
    <row r="843" spans="1:18" x14ac:dyDescent="0.2">
      <c r="A843" s="13">
        <v>45490</v>
      </c>
      <c r="B843" s="13">
        <v>45490</v>
      </c>
      <c r="C843" s="25" t="s">
        <v>398</v>
      </c>
      <c r="D843" s="20">
        <v>0</v>
      </c>
      <c r="E843" s="28">
        <v>40024.800000000003</v>
      </c>
      <c r="F843" s="22" t="s">
        <v>123</v>
      </c>
      <c r="G843" s="14">
        <v>60</v>
      </c>
      <c r="H843" s="40">
        <v>45056</v>
      </c>
      <c r="I843" s="46">
        <f t="shared" si="52"/>
        <v>434</v>
      </c>
      <c r="J843" s="1" t="s">
        <v>15</v>
      </c>
      <c r="K843" s="4" t="s">
        <v>209</v>
      </c>
      <c r="L843" s="4" t="s">
        <v>231</v>
      </c>
      <c r="M843" s="8">
        <v>60</v>
      </c>
      <c r="N843" s="5">
        <v>667.08</v>
      </c>
      <c r="O843" s="5">
        <v>40024.800000000003</v>
      </c>
      <c r="P843">
        <f t="shared" si="53"/>
        <v>1</v>
      </c>
      <c r="Q843" s="36">
        <f t="shared" si="54"/>
        <v>40024.800000000003</v>
      </c>
      <c r="R843">
        <f t="shared" si="55"/>
        <v>2023</v>
      </c>
    </row>
    <row r="844" spans="1:18" x14ac:dyDescent="0.2">
      <c r="A844" s="13">
        <v>45233</v>
      </c>
      <c r="B844" s="13">
        <v>45233</v>
      </c>
      <c r="C844" s="25" t="s">
        <v>398</v>
      </c>
      <c r="D844" s="20">
        <v>0</v>
      </c>
      <c r="E844" s="28">
        <v>6355.2</v>
      </c>
      <c r="F844" s="22" t="s">
        <v>124</v>
      </c>
      <c r="G844" s="14">
        <v>240</v>
      </c>
      <c r="H844" s="40">
        <v>44768</v>
      </c>
      <c r="I844" s="46">
        <f t="shared" si="52"/>
        <v>465</v>
      </c>
      <c r="J844" s="1" t="s">
        <v>15</v>
      </c>
      <c r="K844" s="4" t="s">
        <v>209</v>
      </c>
      <c r="L844" s="4" t="s">
        <v>231</v>
      </c>
      <c r="M844" s="8">
        <v>240</v>
      </c>
      <c r="N844" s="5">
        <v>26.48</v>
      </c>
      <c r="O844" s="5">
        <v>6355.2</v>
      </c>
      <c r="P844">
        <f t="shared" si="53"/>
        <v>1</v>
      </c>
      <c r="Q844" s="36">
        <f t="shared" si="54"/>
        <v>6355.2</v>
      </c>
      <c r="R844">
        <f t="shared" si="55"/>
        <v>2022</v>
      </c>
    </row>
    <row r="845" spans="1:18" x14ac:dyDescent="0.2">
      <c r="A845" s="13">
        <v>45331</v>
      </c>
      <c r="B845" s="13">
        <v>45331</v>
      </c>
      <c r="C845" s="25" t="s">
        <v>398</v>
      </c>
      <c r="D845" s="20">
        <v>0</v>
      </c>
      <c r="E845" s="28">
        <v>6355.2</v>
      </c>
      <c r="F845" s="22" t="s">
        <v>124</v>
      </c>
      <c r="G845" s="14">
        <v>240</v>
      </c>
      <c r="H845" s="40">
        <v>44845</v>
      </c>
      <c r="I845" s="46">
        <f t="shared" si="52"/>
        <v>486</v>
      </c>
      <c r="J845" s="1" t="s">
        <v>15</v>
      </c>
      <c r="K845" s="4" t="s">
        <v>209</v>
      </c>
      <c r="L845" s="4" t="s">
        <v>231</v>
      </c>
      <c r="M845" s="8">
        <v>240</v>
      </c>
      <c r="N845" s="5">
        <v>26.48</v>
      </c>
      <c r="O845" s="5">
        <v>6355.2</v>
      </c>
      <c r="P845">
        <f t="shared" si="53"/>
        <v>1</v>
      </c>
      <c r="Q845" s="36">
        <f t="shared" si="54"/>
        <v>6355.2</v>
      </c>
      <c r="R845">
        <f t="shared" si="55"/>
        <v>2022</v>
      </c>
    </row>
    <row r="846" spans="1:18" x14ac:dyDescent="0.2">
      <c r="A846" s="13">
        <v>45309</v>
      </c>
      <c r="B846" s="13">
        <v>45309</v>
      </c>
      <c r="C846" s="25" t="s">
        <v>398</v>
      </c>
      <c r="D846" s="20">
        <v>0</v>
      </c>
      <c r="E846" s="28">
        <v>6355.2</v>
      </c>
      <c r="F846" s="22" t="s">
        <v>124</v>
      </c>
      <c r="G846" s="14">
        <v>240</v>
      </c>
      <c r="H846" s="40">
        <v>44859</v>
      </c>
      <c r="I846" s="46">
        <f t="shared" si="52"/>
        <v>450</v>
      </c>
      <c r="J846" s="1" t="s">
        <v>15</v>
      </c>
      <c r="K846" s="4" t="s">
        <v>209</v>
      </c>
      <c r="L846" s="4" t="s">
        <v>231</v>
      </c>
      <c r="M846" s="8">
        <v>240</v>
      </c>
      <c r="N846" s="5">
        <v>26.48</v>
      </c>
      <c r="O846" s="5">
        <v>6355.2</v>
      </c>
      <c r="P846">
        <f t="shared" si="53"/>
        <v>1</v>
      </c>
      <c r="Q846" s="36">
        <f t="shared" si="54"/>
        <v>6355.2</v>
      </c>
      <c r="R846">
        <f t="shared" si="55"/>
        <v>2022</v>
      </c>
    </row>
    <row r="847" spans="1:18" x14ac:dyDescent="0.2">
      <c r="A847" s="13">
        <v>45362</v>
      </c>
      <c r="B847" s="13">
        <v>45362</v>
      </c>
      <c r="C847" s="25" t="s">
        <v>398</v>
      </c>
      <c r="D847" s="20">
        <v>0</v>
      </c>
      <c r="E847" s="28">
        <v>6355.2</v>
      </c>
      <c r="F847" s="22" t="s">
        <v>124</v>
      </c>
      <c r="G847" s="14">
        <v>240</v>
      </c>
      <c r="H847" s="40">
        <v>44866</v>
      </c>
      <c r="I847" s="46">
        <f t="shared" si="52"/>
        <v>496</v>
      </c>
      <c r="J847" s="1" t="s">
        <v>15</v>
      </c>
      <c r="K847" s="4" t="s">
        <v>209</v>
      </c>
      <c r="L847" s="4" t="s">
        <v>231</v>
      </c>
      <c r="M847" s="8">
        <v>240</v>
      </c>
      <c r="N847" s="5">
        <v>26.48</v>
      </c>
      <c r="O847" s="5">
        <v>6355.2</v>
      </c>
      <c r="P847">
        <f t="shared" si="53"/>
        <v>1</v>
      </c>
      <c r="Q847" s="36">
        <f t="shared" si="54"/>
        <v>6355.2</v>
      </c>
      <c r="R847">
        <f t="shared" si="55"/>
        <v>2022</v>
      </c>
    </row>
    <row r="848" spans="1:18" x14ac:dyDescent="0.2">
      <c r="A848" s="13">
        <v>45400</v>
      </c>
      <c r="B848" s="13">
        <v>45400</v>
      </c>
      <c r="C848" s="25" t="s">
        <v>398</v>
      </c>
      <c r="D848" s="20">
        <v>0</v>
      </c>
      <c r="E848" s="28">
        <v>6355.2</v>
      </c>
      <c r="F848" s="22" t="s">
        <v>124</v>
      </c>
      <c r="G848" s="14">
        <v>240</v>
      </c>
      <c r="H848" s="40">
        <v>44945</v>
      </c>
      <c r="I848" s="46">
        <f t="shared" si="52"/>
        <v>455</v>
      </c>
      <c r="J848" s="1" t="s">
        <v>15</v>
      </c>
      <c r="K848" s="4" t="s">
        <v>209</v>
      </c>
      <c r="L848" s="4" t="s">
        <v>231</v>
      </c>
      <c r="M848" s="8">
        <v>240</v>
      </c>
      <c r="N848" s="5">
        <v>26.48</v>
      </c>
      <c r="O848" s="5">
        <v>6355.2</v>
      </c>
      <c r="P848">
        <f t="shared" si="53"/>
        <v>1</v>
      </c>
      <c r="Q848" s="36">
        <f t="shared" si="54"/>
        <v>6355.2</v>
      </c>
      <c r="R848">
        <f t="shared" si="55"/>
        <v>2023</v>
      </c>
    </row>
    <row r="849" spans="1:18" x14ac:dyDescent="0.2">
      <c r="A849" s="13">
        <v>45428</v>
      </c>
      <c r="B849" s="13">
        <v>45428</v>
      </c>
      <c r="C849" s="25" t="s">
        <v>398</v>
      </c>
      <c r="D849" s="20">
        <v>0</v>
      </c>
      <c r="E849" s="28">
        <v>6355.2</v>
      </c>
      <c r="F849" s="22" t="s">
        <v>124</v>
      </c>
      <c r="G849" s="14">
        <v>240</v>
      </c>
      <c r="H849" s="40">
        <v>45016</v>
      </c>
      <c r="I849" s="46">
        <f t="shared" si="52"/>
        <v>412</v>
      </c>
      <c r="J849" s="1" t="s">
        <v>15</v>
      </c>
      <c r="K849" s="4" t="s">
        <v>209</v>
      </c>
      <c r="L849" s="4" t="s">
        <v>231</v>
      </c>
      <c r="M849" s="8">
        <v>240</v>
      </c>
      <c r="N849" s="5">
        <v>26.48</v>
      </c>
      <c r="O849" s="5">
        <v>6355.2</v>
      </c>
      <c r="P849">
        <f t="shared" si="53"/>
        <v>1</v>
      </c>
      <c r="Q849" s="36">
        <f t="shared" si="54"/>
        <v>6355.2</v>
      </c>
      <c r="R849">
        <f t="shared" si="55"/>
        <v>2023</v>
      </c>
    </row>
    <row r="850" spans="1:18" x14ac:dyDescent="0.2">
      <c r="A850" s="13">
        <v>45476</v>
      </c>
      <c r="B850" s="13">
        <v>45476</v>
      </c>
      <c r="C850" s="25" t="s">
        <v>398</v>
      </c>
      <c r="D850" s="20">
        <v>0</v>
      </c>
      <c r="E850" s="28">
        <v>3177.6</v>
      </c>
      <c r="F850" s="22" t="s">
        <v>124</v>
      </c>
      <c r="G850" s="14">
        <v>120</v>
      </c>
      <c r="H850" s="40">
        <v>45043</v>
      </c>
      <c r="I850" s="46">
        <f t="shared" si="52"/>
        <v>433</v>
      </c>
      <c r="J850" s="1" t="s">
        <v>15</v>
      </c>
      <c r="K850" s="4" t="s">
        <v>209</v>
      </c>
      <c r="L850" s="4" t="s">
        <v>231</v>
      </c>
      <c r="M850" s="8">
        <v>120</v>
      </c>
      <c r="N850" s="5">
        <v>26.48</v>
      </c>
      <c r="O850" s="5">
        <v>3177.6</v>
      </c>
      <c r="P850">
        <f t="shared" si="53"/>
        <v>1</v>
      </c>
      <c r="Q850" s="36">
        <f t="shared" si="54"/>
        <v>3177.6</v>
      </c>
      <c r="R850">
        <f t="shared" si="55"/>
        <v>2023</v>
      </c>
    </row>
    <row r="851" spans="1:18" x14ac:dyDescent="0.2">
      <c r="A851" s="13">
        <v>45491</v>
      </c>
      <c r="B851" s="13">
        <v>45491</v>
      </c>
      <c r="C851" s="25" t="s">
        <v>398</v>
      </c>
      <c r="D851" s="20">
        <v>0</v>
      </c>
      <c r="E851" s="28">
        <v>3177.6</v>
      </c>
      <c r="F851" s="22" t="s">
        <v>124</v>
      </c>
      <c r="G851" s="14">
        <v>120</v>
      </c>
      <c r="H851" s="40">
        <v>45050</v>
      </c>
      <c r="I851" s="46">
        <f t="shared" si="52"/>
        <v>441</v>
      </c>
      <c r="J851" s="1" t="s">
        <v>15</v>
      </c>
      <c r="K851" s="4" t="s">
        <v>209</v>
      </c>
      <c r="L851" s="4" t="s">
        <v>231</v>
      </c>
      <c r="M851" s="8">
        <v>120</v>
      </c>
      <c r="N851" s="5">
        <v>26.48</v>
      </c>
      <c r="O851" s="5">
        <v>3177.6</v>
      </c>
      <c r="P851">
        <f t="shared" si="53"/>
        <v>1</v>
      </c>
      <c r="Q851" s="36">
        <f t="shared" si="54"/>
        <v>3177.6</v>
      </c>
      <c r="R851">
        <f t="shared" si="55"/>
        <v>2023</v>
      </c>
    </row>
    <row r="852" spans="1:18" x14ac:dyDescent="0.2">
      <c r="A852" s="13">
        <v>45505</v>
      </c>
      <c r="B852" s="13">
        <v>45505</v>
      </c>
      <c r="C852" s="25" t="s">
        <v>398</v>
      </c>
      <c r="D852" s="20">
        <v>0</v>
      </c>
      <c r="E852" s="28">
        <v>3177.6</v>
      </c>
      <c r="F852" s="22" t="s">
        <v>124</v>
      </c>
      <c r="G852" s="14">
        <v>120</v>
      </c>
      <c r="H852" s="40">
        <v>45050</v>
      </c>
      <c r="I852" s="46">
        <f t="shared" si="52"/>
        <v>455</v>
      </c>
      <c r="J852" s="1" t="s">
        <v>15</v>
      </c>
      <c r="K852" s="4" t="s">
        <v>209</v>
      </c>
      <c r="L852" s="4" t="s">
        <v>231</v>
      </c>
      <c r="M852" s="8">
        <v>120</v>
      </c>
      <c r="N852" s="5">
        <v>26.48</v>
      </c>
      <c r="O852" s="5">
        <v>3177.6</v>
      </c>
      <c r="P852">
        <f t="shared" si="53"/>
        <v>1</v>
      </c>
      <c r="Q852" s="36">
        <f t="shared" si="54"/>
        <v>3177.6</v>
      </c>
      <c r="R852">
        <f t="shared" si="55"/>
        <v>2023</v>
      </c>
    </row>
    <row r="853" spans="1:18" x14ac:dyDescent="0.2">
      <c r="A853" s="13">
        <v>45519</v>
      </c>
      <c r="B853" s="13">
        <v>45519</v>
      </c>
      <c r="C853" s="25" t="s">
        <v>398</v>
      </c>
      <c r="D853" s="20">
        <v>0</v>
      </c>
      <c r="E853" s="28">
        <v>3177.6</v>
      </c>
      <c r="F853" s="22" t="s">
        <v>124</v>
      </c>
      <c r="G853" s="14">
        <v>120</v>
      </c>
      <c r="H853" s="40">
        <v>45056</v>
      </c>
      <c r="I853" s="46">
        <f t="shared" si="52"/>
        <v>463</v>
      </c>
      <c r="J853" s="1" t="s">
        <v>15</v>
      </c>
      <c r="K853" s="4" t="s">
        <v>209</v>
      </c>
      <c r="L853" s="4" t="s">
        <v>231</v>
      </c>
      <c r="M853" s="8">
        <v>120</v>
      </c>
      <c r="N853" s="5">
        <v>26.48</v>
      </c>
      <c r="O853" s="5">
        <v>3177.6</v>
      </c>
      <c r="P853">
        <f t="shared" si="53"/>
        <v>1</v>
      </c>
      <c r="Q853" s="36">
        <f t="shared" si="54"/>
        <v>3177.6</v>
      </c>
      <c r="R853">
        <f t="shared" si="55"/>
        <v>2023</v>
      </c>
    </row>
    <row r="854" spans="1:18" x14ac:dyDescent="0.2">
      <c r="A854" s="13">
        <v>45533</v>
      </c>
      <c r="B854" s="13">
        <v>45533</v>
      </c>
      <c r="C854" s="25" t="s">
        <v>398</v>
      </c>
      <c r="D854" s="20">
        <v>0</v>
      </c>
      <c r="E854" s="28">
        <v>450.16</v>
      </c>
      <c r="F854" s="22" t="s">
        <v>124</v>
      </c>
      <c r="G854" s="14">
        <v>17</v>
      </c>
      <c r="H854" s="40">
        <v>45076</v>
      </c>
      <c r="I854" s="46">
        <f t="shared" si="52"/>
        <v>457</v>
      </c>
      <c r="J854" s="1" t="s">
        <v>15</v>
      </c>
      <c r="K854" s="4" t="s">
        <v>209</v>
      </c>
      <c r="L854" s="4" t="s">
        <v>231</v>
      </c>
      <c r="M854" s="8">
        <v>120</v>
      </c>
      <c r="N854" s="5">
        <v>26.48</v>
      </c>
      <c r="O854" s="5">
        <v>3177.6</v>
      </c>
      <c r="P854">
        <f t="shared" si="53"/>
        <v>0</v>
      </c>
      <c r="Q854" s="36">
        <f t="shared" si="54"/>
        <v>450.16</v>
      </c>
      <c r="R854">
        <f t="shared" si="55"/>
        <v>2023</v>
      </c>
    </row>
    <row r="855" spans="1:18" x14ac:dyDescent="0.2">
      <c r="A855" s="13">
        <v>45561</v>
      </c>
      <c r="B855" s="13">
        <v>45533</v>
      </c>
      <c r="C855" s="25" t="s">
        <v>399</v>
      </c>
      <c r="D855" s="20">
        <v>28</v>
      </c>
      <c r="E855" s="28">
        <v>2727.44</v>
      </c>
      <c r="F855" s="22" t="s">
        <v>124</v>
      </c>
      <c r="G855" s="14">
        <v>103</v>
      </c>
      <c r="H855" s="40">
        <v>45076</v>
      </c>
      <c r="I855" s="46">
        <f t="shared" si="52"/>
        <v>485</v>
      </c>
      <c r="J855" s="1" t="s">
        <v>15</v>
      </c>
      <c r="K855" s="4" t="s">
        <v>209</v>
      </c>
      <c r="L855" s="4" t="s">
        <v>231</v>
      </c>
      <c r="M855" s="8">
        <v>120</v>
      </c>
      <c r="N855" s="5">
        <v>26.48</v>
      </c>
      <c r="O855" s="5">
        <v>3177.6</v>
      </c>
      <c r="P855">
        <f t="shared" si="53"/>
        <v>0</v>
      </c>
      <c r="Q855" s="36">
        <f t="shared" si="54"/>
        <v>2727.44</v>
      </c>
      <c r="R855">
        <f t="shared" si="55"/>
        <v>2023</v>
      </c>
    </row>
    <row r="856" spans="1:18" x14ac:dyDescent="0.2">
      <c r="A856" s="13">
        <v>45980</v>
      </c>
      <c r="B856" s="13">
        <v>45591</v>
      </c>
      <c r="C856" s="25" t="s">
        <v>399</v>
      </c>
      <c r="D856" s="20">
        <v>389</v>
      </c>
      <c r="E856" s="28">
        <v>3177.6</v>
      </c>
      <c r="F856" s="22" t="s">
        <v>124</v>
      </c>
      <c r="G856" s="14">
        <v>120</v>
      </c>
      <c r="H856" s="40">
        <v>45114</v>
      </c>
      <c r="I856" s="46">
        <f t="shared" si="52"/>
        <v>866</v>
      </c>
      <c r="J856" s="1" t="s">
        <v>15</v>
      </c>
      <c r="K856" s="4" t="s">
        <v>209</v>
      </c>
      <c r="L856" s="4" t="s">
        <v>231</v>
      </c>
      <c r="M856" s="8">
        <v>120</v>
      </c>
      <c r="N856" s="5">
        <v>26.48</v>
      </c>
      <c r="O856" s="5">
        <v>3177.6</v>
      </c>
      <c r="P856">
        <f t="shared" si="53"/>
        <v>1</v>
      </c>
      <c r="Q856" s="36">
        <f t="shared" si="54"/>
        <v>3177.6</v>
      </c>
      <c r="R856">
        <f t="shared" si="55"/>
        <v>2023</v>
      </c>
    </row>
    <row r="857" spans="1:18" x14ac:dyDescent="0.2">
      <c r="A857" s="13">
        <v>45567</v>
      </c>
      <c r="B857" s="13">
        <v>45567</v>
      </c>
      <c r="C857" s="25" t="s">
        <v>398</v>
      </c>
      <c r="D857" s="20">
        <v>0</v>
      </c>
      <c r="E857" s="28">
        <v>450.16</v>
      </c>
      <c r="F857" s="22" t="s">
        <v>124</v>
      </c>
      <c r="G857" s="14">
        <v>17</v>
      </c>
      <c r="H857" s="40">
        <v>45119</v>
      </c>
      <c r="I857" s="46">
        <f t="shared" si="52"/>
        <v>448</v>
      </c>
      <c r="J857" s="1" t="s">
        <v>15</v>
      </c>
      <c r="K857" s="4" t="s">
        <v>209</v>
      </c>
      <c r="L857" s="4" t="s">
        <v>231</v>
      </c>
      <c r="M857" s="8">
        <v>120</v>
      </c>
      <c r="N857" s="5">
        <v>26.48</v>
      </c>
      <c r="O857" s="5">
        <v>3177.6</v>
      </c>
      <c r="P857">
        <f t="shared" si="53"/>
        <v>0</v>
      </c>
      <c r="Q857" s="36">
        <f t="shared" si="54"/>
        <v>450.16</v>
      </c>
      <c r="R857">
        <f t="shared" si="55"/>
        <v>2023</v>
      </c>
    </row>
    <row r="858" spans="1:18" x14ac:dyDescent="0.2">
      <c r="A858" s="13">
        <v>45980</v>
      </c>
      <c r="B858" s="13">
        <v>45567</v>
      </c>
      <c r="C858" s="25" t="s">
        <v>399</v>
      </c>
      <c r="D858" s="20">
        <v>413</v>
      </c>
      <c r="E858" s="28">
        <v>2727.44</v>
      </c>
      <c r="F858" s="22" t="s">
        <v>124</v>
      </c>
      <c r="G858" s="14">
        <v>103</v>
      </c>
      <c r="H858" s="40">
        <v>45119</v>
      </c>
      <c r="I858" s="46">
        <f t="shared" si="52"/>
        <v>861</v>
      </c>
      <c r="J858" s="1" t="s">
        <v>15</v>
      </c>
      <c r="K858" s="4" t="s">
        <v>209</v>
      </c>
      <c r="L858" s="4" t="s">
        <v>231</v>
      </c>
      <c r="M858" s="8">
        <v>120</v>
      </c>
      <c r="N858" s="5">
        <v>26.48</v>
      </c>
      <c r="O858" s="5">
        <v>3177.6</v>
      </c>
      <c r="P858">
        <f t="shared" si="53"/>
        <v>0</v>
      </c>
      <c r="Q858" s="36">
        <f t="shared" si="54"/>
        <v>2727.44</v>
      </c>
      <c r="R858">
        <f t="shared" si="55"/>
        <v>2023</v>
      </c>
    </row>
    <row r="859" spans="1:18" x14ac:dyDescent="0.2">
      <c r="A859" s="13">
        <v>45980</v>
      </c>
      <c r="B859" s="13">
        <v>45582</v>
      </c>
      <c r="C859" s="25" t="s">
        <v>399</v>
      </c>
      <c r="D859" s="20">
        <v>398</v>
      </c>
      <c r="E859" s="28">
        <v>3177.6</v>
      </c>
      <c r="F859" s="22" t="s">
        <v>124</v>
      </c>
      <c r="G859" s="14">
        <v>120</v>
      </c>
      <c r="H859" s="40">
        <v>45121</v>
      </c>
      <c r="I859" s="46">
        <f t="shared" si="52"/>
        <v>859</v>
      </c>
      <c r="J859" s="1" t="s">
        <v>15</v>
      </c>
      <c r="K859" s="4" t="s">
        <v>209</v>
      </c>
      <c r="L859" s="4" t="s">
        <v>231</v>
      </c>
      <c r="M859" s="8">
        <v>120</v>
      </c>
      <c r="N859" s="5">
        <v>26.48</v>
      </c>
      <c r="O859" s="5">
        <v>3177.6</v>
      </c>
      <c r="P859">
        <f t="shared" si="53"/>
        <v>1</v>
      </c>
      <c r="Q859" s="36">
        <f t="shared" si="54"/>
        <v>3177.6</v>
      </c>
      <c r="R859">
        <f t="shared" si="55"/>
        <v>2023</v>
      </c>
    </row>
    <row r="860" spans="1:18" x14ac:dyDescent="0.2">
      <c r="A860" s="13">
        <v>45980</v>
      </c>
      <c r="B860" s="13">
        <v>45617</v>
      </c>
      <c r="C860" s="25" t="s">
        <v>399</v>
      </c>
      <c r="D860" s="20">
        <v>363</v>
      </c>
      <c r="E860" s="28">
        <v>2250.8000000000002</v>
      </c>
      <c r="F860" s="22" t="s">
        <v>124</v>
      </c>
      <c r="G860" s="14">
        <v>85</v>
      </c>
      <c r="H860" s="40">
        <v>45133</v>
      </c>
      <c r="I860" s="46">
        <f t="shared" si="52"/>
        <v>847</v>
      </c>
      <c r="J860" s="1" t="s">
        <v>15</v>
      </c>
      <c r="K860" s="4" t="s">
        <v>209</v>
      </c>
      <c r="L860" s="4" t="s">
        <v>231</v>
      </c>
      <c r="M860" s="8">
        <v>85</v>
      </c>
      <c r="N860" s="5">
        <v>26.48</v>
      </c>
      <c r="O860" s="5">
        <v>2250.8000000000002</v>
      </c>
      <c r="P860">
        <f t="shared" si="53"/>
        <v>1</v>
      </c>
      <c r="Q860" s="36">
        <f t="shared" si="54"/>
        <v>2250.8000000000002</v>
      </c>
      <c r="R860">
        <f t="shared" si="55"/>
        <v>2023</v>
      </c>
    </row>
    <row r="861" spans="1:18" x14ac:dyDescent="0.2">
      <c r="A861" s="13">
        <v>45429</v>
      </c>
      <c r="B861" s="13">
        <v>45315</v>
      </c>
      <c r="C861" s="25" t="s">
        <v>399</v>
      </c>
      <c r="D861" s="20">
        <v>114</v>
      </c>
      <c r="E861" s="28">
        <v>35877</v>
      </c>
      <c r="F861" s="22" t="s">
        <v>125</v>
      </c>
      <c r="G861" s="14">
        <v>60</v>
      </c>
      <c r="H861" s="40">
        <v>45124</v>
      </c>
      <c r="I861" s="46">
        <f t="shared" si="52"/>
        <v>305</v>
      </c>
      <c r="J861" s="1" t="s">
        <v>15</v>
      </c>
      <c r="K861" s="4" t="s">
        <v>209</v>
      </c>
      <c r="L861" s="4" t="s">
        <v>231</v>
      </c>
      <c r="M861" s="8">
        <v>60</v>
      </c>
      <c r="N861" s="5">
        <v>597.95000000000005</v>
      </c>
      <c r="O861" s="5">
        <v>35877</v>
      </c>
      <c r="P861">
        <f t="shared" si="53"/>
        <v>1</v>
      </c>
      <c r="Q861" s="36">
        <f t="shared" si="54"/>
        <v>35877</v>
      </c>
      <c r="R861">
        <f t="shared" si="55"/>
        <v>2023</v>
      </c>
    </row>
    <row r="862" spans="1:18" x14ac:dyDescent="0.2">
      <c r="A862" s="13">
        <v>45219</v>
      </c>
      <c r="B862" s="13">
        <v>45219</v>
      </c>
      <c r="C862" s="25" t="s">
        <v>398</v>
      </c>
      <c r="D862" s="20">
        <v>0</v>
      </c>
      <c r="E862" s="28">
        <v>5360</v>
      </c>
      <c r="F862" s="22" t="s">
        <v>126</v>
      </c>
      <c r="G862" s="14">
        <v>4000</v>
      </c>
      <c r="H862" s="40">
        <v>44630</v>
      </c>
      <c r="I862" s="46">
        <f t="shared" si="52"/>
        <v>589</v>
      </c>
      <c r="J862" s="1" t="s">
        <v>15</v>
      </c>
      <c r="K862" s="4" t="s">
        <v>209</v>
      </c>
      <c r="L862" s="4" t="s">
        <v>231</v>
      </c>
      <c r="M862" s="8">
        <v>4000</v>
      </c>
      <c r="N862" s="5">
        <v>1.34</v>
      </c>
      <c r="O862" s="5">
        <v>5360</v>
      </c>
      <c r="P862">
        <f t="shared" si="53"/>
        <v>1</v>
      </c>
      <c r="Q862" s="36">
        <f t="shared" si="54"/>
        <v>5360</v>
      </c>
      <c r="R862">
        <f t="shared" si="55"/>
        <v>2022</v>
      </c>
    </row>
    <row r="863" spans="1:18" x14ac:dyDescent="0.2">
      <c r="A863" s="13">
        <v>45392</v>
      </c>
      <c r="B863" s="13">
        <v>45392</v>
      </c>
      <c r="C863" s="25" t="s">
        <v>398</v>
      </c>
      <c r="D863" s="20">
        <v>0</v>
      </c>
      <c r="E863" s="28">
        <v>15750</v>
      </c>
      <c r="F863" s="22" t="s">
        <v>122</v>
      </c>
      <c r="G863" s="14">
        <v>9000</v>
      </c>
      <c r="H863" s="40">
        <v>44932</v>
      </c>
      <c r="I863" s="46">
        <f t="shared" si="52"/>
        <v>460</v>
      </c>
      <c r="J863" s="1" t="s">
        <v>15</v>
      </c>
      <c r="K863" s="4" t="s">
        <v>209</v>
      </c>
      <c r="L863" s="4" t="s">
        <v>231</v>
      </c>
      <c r="M863" s="8">
        <v>9000</v>
      </c>
      <c r="N863" s="5">
        <v>1.75</v>
      </c>
      <c r="O863" s="5">
        <v>15750</v>
      </c>
      <c r="P863">
        <f t="shared" si="53"/>
        <v>1</v>
      </c>
      <c r="Q863" s="36">
        <f t="shared" si="54"/>
        <v>15750</v>
      </c>
      <c r="R863">
        <f t="shared" si="55"/>
        <v>2023</v>
      </c>
    </row>
    <row r="864" spans="1:18" x14ac:dyDescent="0.2">
      <c r="A864" s="13">
        <v>45394</v>
      </c>
      <c r="B864" s="13">
        <v>45394</v>
      </c>
      <c r="C864" s="25" t="s">
        <v>398</v>
      </c>
      <c r="D864" s="20">
        <v>0</v>
      </c>
      <c r="E864" s="28">
        <v>5250</v>
      </c>
      <c r="F864" s="22" t="s">
        <v>122</v>
      </c>
      <c r="G864" s="14">
        <v>3000</v>
      </c>
      <c r="H864" s="40">
        <v>44935</v>
      </c>
      <c r="I864" s="46">
        <f t="shared" si="52"/>
        <v>459</v>
      </c>
      <c r="J864" s="1" t="s">
        <v>15</v>
      </c>
      <c r="K864" s="4" t="s">
        <v>209</v>
      </c>
      <c r="L864" s="4" t="s">
        <v>231</v>
      </c>
      <c r="M864" s="8">
        <v>3000</v>
      </c>
      <c r="N864" s="5">
        <v>1.75</v>
      </c>
      <c r="O864" s="5">
        <v>5250</v>
      </c>
      <c r="P864">
        <f t="shared" si="53"/>
        <v>1</v>
      </c>
      <c r="Q864" s="36">
        <f t="shared" si="54"/>
        <v>5250</v>
      </c>
      <c r="R864">
        <f t="shared" si="55"/>
        <v>2023</v>
      </c>
    </row>
    <row r="865" spans="1:18" x14ac:dyDescent="0.2">
      <c r="A865" s="13">
        <v>45415</v>
      </c>
      <c r="B865" s="13">
        <v>45404</v>
      </c>
      <c r="C865" s="25" t="s">
        <v>399</v>
      </c>
      <c r="D865" s="20">
        <v>11</v>
      </c>
      <c r="E865" s="28">
        <v>15750</v>
      </c>
      <c r="F865" s="22" t="s">
        <v>122</v>
      </c>
      <c r="G865" s="14">
        <v>9000</v>
      </c>
      <c r="H865" s="40">
        <v>44939</v>
      </c>
      <c r="I865" s="46">
        <f t="shared" si="52"/>
        <v>476</v>
      </c>
      <c r="J865" s="1" t="s">
        <v>15</v>
      </c>
      <c r="K865" s="4" t="s">
        <v>209</v>
      </c>
      <c r="L865" s="4" t="s">
        <v>231</v>
      </c>
      <c r="M865" s="8">
        <v>9000</v>
      </c>
      <c r="N865" s="5">
        <v>1.75</v>
      </c>
      <c r="O865" s="5">
        <v>15750</v>
      </c>
      <c r="P865">
        <f t="shared" si="53"/>
        <v>1</v>
      </c>
      <c r="Q865" s="36">
        <f t="shared" si="54"/>
        <v>15750</v>
      </c>
      <c r="R865">
        <f t="shared" si="55"/>
        <v>2023</v>
      </c>
    </row>
    <row r="866" spans="1:18" x14ac:dyDescent="0.2">
      <c r="A866" s="13">
        <v>45443</v>
      </c>
      <c r="B866" s="13">
        <v>45443</v>
      </c>
      <c r="C866" s="25" t="s">
        <v>398</v>
      </c>
      <c r="D866" s="20">
        <v>0</v>
      </c>
      <c r="E866" s="28">
        <v>21000</v>
      </c>
      <c r="F866" s="22" t="s">
        <v>122</v>
      </c>
      <c r="G866" s="14">
        <v>12000</v>
      </c>
      <c r="H866" s="40">
        <v>44939</v>
      </c>
      <c r="I866" s="46">
        <f t="shared" si="52"/>
        <v>504</v>
      </c>
      <c r="J866" s="1" t="s">
        <v>15</v>
      </c>
      <c r="K866" s="4" t="s">
        <v>209</v>
      </c>
      <c r="L866" s="4" t="s">
        <v>231</v>
      </c>
      <c r="M866" s="8">
        <v>12000</v>
      </c>
      <c r="N866" s="5">
        <v>1.75</v>
      </c>
      <c r="O866" s="5">
        <v>21000</v>
      </c>
      <c r="P866">
        <f t="shared" si="53"/>
        <v>1</v>
      </c>
      <c r="Q866" s="36">
        <f t="shared" si="54"/>
        <v>21000</v>
      </c>
      <c r="R866">
        <f t="shared" si="55"/>
        <v>2023</v>
      </c>
    </row>
    <row r="867" spans="1:18" x14ac:dyDescent="0.2">
      <c r="A867" s="13">
        <v>45455</v>
      </c>
      <c r="B867" s="13">
        <v>45455</v>
      </c>
      <c r="C867" s="25" t="s">
        <v>398</v>
      </c>
      <c r="D867" s="20">
        <v>0</v>
      </c>
      <c r="E867" s="28">
        <v>26250</v>
      </c>
      <c r="F867" s="22" t="s">
        <v>122</v>
      </c>
      <c r="G867" s="14">
        <v>15000</v>
      </c>
      <c r="H867" s="40">
        <v>44939</v>
      </c>
      <c r="I867" s="46">
        <f t="shared" si="52"/>
        <v>516</v>
      </c>
      <c r="J867" s="1" t="s">
        <v>15</v>
      </c>
      <c r="K867" s="4" t="s">
        <v>209</v>
      </c>
      <c r="L867" s="4" t="s">
        <v>231</v>
      </c>
      <c r="M867" s="8">
        <v>15000</v>
      </c>
      <c r="N867" s="5">
        <v>1.75</v>
      </c>
      <c r="O867" s="5">
        <v>26250</v>
      </c>
      <c r="P867">
        <f t="shared" si="53"/>
        <v>1</v>
      </c>
      <c r="Q867" s="36">
        <f t="shared" si="54"/>
        <v>26250</v>
      </c>
      <c r="R867">
        <f t="shared" si="55"/>
        <v>2023</v>
      </c>
    </row>
    <row r="868" spans="1:18" x14ac:dyDescent="0.2">
      <c r="A868" s="13">
        <v>45502</v>
      </c>
      <c r="B868" s="13">
        <v>45502</v>
      </c>
      <c r="C868" s="25" t="s">
        <v>398</v>
      </c>
      <c r="D868" s="20">
        <v>0</v>
      </c>
      <c r="E868" s="28">
        <v>10500</v>
      </c>
      <c r="F868" s="22" t="s">
        <v>122</v>
      </c>
      <c r="G868" s="14">
        <v>6000</v>
      </c>
      <c r="H868" s="40">
        <v>44939</v>
      </c>
      <c r="I868" s="46">
        <f t="shared" si="52"/>
        <v>563</v>
      </c>
      <c r="J868" s="1" t="s">
        <v>15</v>
      </c>
      <c r="K868" s="4" t="s">
        <v>209</v>
      </c>
      <c r="L868" s="4" t="s">
        <v>231</v>
      </c>
      <c r="M868" s="8">
        <v>12000</v>
      </c>
      <c r="N868" s="5">
        <v>1.75</v>
      </c>
      <c r="O868" s="5">
        <v>21000</v>
      </c>
      <c r="P868">
        <f t="shared" si="53"/>
        <v>0</v>
      </c>
      <c r="Q868" s="36">
        <f t="shared" si="54"/>
        <v>10500</v>
      </c>
      <c r="R868">
        <f t="shared" si="55"/>
        <v>2023</v>
      </c>
    </row>
    <row r="869" spans="1:18" x14ac:dyDescent="0.2">
      <c r="A869" s="13">
        <v>45513</v>
      </c>
      <c r="B869" s="13">
        <v>45502</v>
      </c>
      <c r="C869" s="25" t="s">
        <v>399</v>
      </c>
      <c r="D869" s="20">
        <v>11</v>
      </c>
      <c r="E869" s="28">
        <v>10500</v>
      </c>
      <c r="F869" s="22" t="s">
        <v>122</v>
      </c>
      <c r="G869" s="14">
        <v>6000</v>
      </c>
      <c r="H869" s="40">
        <v>44939</v>
      </c>
      <c r="I869" s="46">
        <f t="shared" si="52"/>
        <v>574</v>
      </c>
      <c r="J869" s="1" t="s">
        <v>15</v>
      </c>
      <c r="K869" s="4" t="s">
        <v>209</v>
      </c>
      <c r="L869" s="4" t="s">
        <v>231</v>
      </c>
      <c r="M869" s="8">
        <v>12000</v>
      </c>
      <c r="N869" s="5">
        <v>1.75</v>
      </c>
      <c r="O869" s="5">
        <v>21000</v>
      </c>
      <c r="P869">
        <f t="shared" si="53"/>
        <v>0</v>
      </c>
      <c r="Q869" s="36">
        <f t="shared" si="54"/>
        <v>10500</v>
      </c>
      <c r="R869">
        <f t="shared" si="55"/>
        <v>2023</v>
      </c>
    </row>
    <row r="870" spans="1:18" x14ac:dyDescent="0.2">
      <c r="A870" s="13">
        <v>45415</v>
      </c>
      <c r="B870" s="13">
        <v>45399</v>
      </c>
      <c r="C870" s="25" t="s">
        <v>399</v>
      </c>
      <c r="D870" s="20">
        <v>16</v>
      </c>
      <c r="E870" s="28">
        <v>5250</v>
      </c>
      <c r="F870" s="22" t="s">
        <v>122</v>
      </c>
      <c r="G870" s="14">
        <v>3000</v>
      </c>
      <c r="H870" s="40">
        <v>44943</v>
      </c>
      <c r="I870" s="46">
        <f t="shared" si="52"/>
        <v>472</v>
      </c>
      <c r="J870" s="1" t="s">
        <v>15</v>
      </c>
      <c r="K870" s="4" t="s">
        <v>209</v>
      </c>
      <c r="L870" s="4" t="s">
        <v>231</v>
      </c>
      <c r="M870" s="8">
        <v>3000</v>
      </c>
      <c r="N870" s="5">
        <v>1.75</v>
      </c>
      <c r="O870" s="5">
        <v>5250</v>
      </c>
      <c r="P870">
        <f t="shared" si="53"/>
        <v>1</v>
      </c>
      <c r="Q870" s="36">
        <f t="shared" si="54"/>
        <v>5250</v>
      </c>
      <c r="R870">
        <f t="shared" si="55"/>
        <v>2023</v>
      </c>
    </row>
    <row r="871" spans="1:18" x14ac:dyDescent="0.2">
      <c r="A871" s="13">
        <v>45392</v>
      </c>
      <c r="B871" s="13">
        <v>45392</v>
      </c>
      <c r="C871" s="25" t="s">
        <v>398</v>
      </c>
      <c r="D871" s="20">
        <v>0</v>
      </c>
      <c r="E871" s="28">
        <v>10500</v>
      </c>
      <c r="F871" s="22" t="s">
        <v>122</v>
      </c>
      <c r="G871" s="14">
        <v>6000</v>
      </c>
      <c r="H871" s="40">
        <v>44951</v>
      </c>
      <c r="I871" s="46">
        <f t="shared" si="52"/>
        <v>441</v>
      </c>
      <c r="J871" s="1" t="s">
        <v>15</v>
      </c>
      <c r="K871" s="4" t="s">
        <v>209</v>
      </c>
      <c r="L871" s="4" t="s">
        <v>231</v>
      </c>
      <c r="M871" s="8">
        <v>6000</v>
      </c>
      <c r="N871" s="5">
        <v>1.75</v>
      </c>
      <c r="O871" s="5">
        <v>10500</v>
      </c>
      <c r="P871">
        <f t="shared" si="53"/>
        <v>1</v>
      </c>
      <c r="Q871" s="36">
        <f t="shared" si="54"/>
        <v>10500</v>
      </c>
      <c r="R871">
        <f t="shared" si="55"/>
        <v>2023</v>
      </c>
    </row>
    <row r="872" spans="1:18" x14ac:dyDescent="0.2">
      <c r="A872" s="13">
        <v>45548</v>
      </c>
      <c r="B872" s="13">
        <v>45548</v>
      </c>
      <c r="C872" s="25" t="s">
        <v>398</v>
      </c>
      <c r="D872" s="20">
        <v>0</v>
      </c>
      <c r="E872" s="28">
        <v>5250</v>
      </c>
      <c r="F872" s="22" t="s">
        <v>122</v>
      </c>
      <c r="G872" s="14">
        <v>3000</v>
      </c>
      <c r="H872" s="40">
        <v>44953</v>
      </c>
      <c r="I872" s="46">
        <f t="shared" si="52"/>
        <v>595</v>
      </c>
      <c r="J872" s="1" t="s">
        <v>15</v>
      </c>
      <c r="K872" s="4" t="s">
        <v>209</v>
      </c>
      <c r="L872" s="4" t="s">
        <v>231</v>
      </c>
      <c r="M872" s="8">
        <v>3000</v>
      </c>
      <c r="N872" s="5">
        <v>1.75</v>
      </c>
      <c r="O872" s="5">
        <v>5250</v>
      </c>
      <c r="P872">
        <f t="shared" si="53"/>
        <v>1</v>
      </c>
      <c r="Q872" s="36">
        <f t="shared" si="54"/>
        <v>5250</v>
      </c>
      <c r="R872">
        <f t="shared" si="55"/>
        <v>2023</v>
      </c>
    </row>
    <row r="873" spans="1:18" x14ac:dyDescent="0.2">
      <c r="A873" s="13">
        <v>45604</v>
      </c>
      <c r="B873" s="13">
        <v>45604</v>
      </c>
      <c r="C873" s="25" t="s">
        <v>398</v>
      </c>
      <c r="D873" s="20">
        <v>0</v>
      </c>
      <c r="E873" s="28">
        <v>5250</v>
      </c>
      <c r="F873" s="22" t="s">
        <v>122</v>
      </c>
      <c r="G873" s="14">
        <v>3000</v>
      </c>
      <c r="H873" s="40">
        <v>45083</v>
      </c>
      <c r="I873" s="46">
        <f t="shared" si="52"/>
        <v>521</v>
      </c>
      <c r="J873" s="1" t="s">
        <v>15</v>
      </c>
      <c r="K873" s="4" t="s">
        <v>209</v>
      </c>
      <c r="L873" s="4" t="s">
        <v>231</v>
      </c>
      <c r="M873" s="8">
        <v>3000</v>
      </c>
      <c r="N873" s="5">
        <v>1.75</v>
      </c>
      <c r="O873" s="5">
        <v>5250</v>
      </c>
      <c r="P873">
        <f t="shared" si="53"/>
        <v>1</v>
      </c>
      <c r="Q873" s="36">
        <f t="shared" si="54"/>
        <v>5250</v>
      </c>
      <c r="R873">
        <f t="shared" si="55"/>
        <v>2023</v>
      </c>
    </row>
    <row r="874" spans="1:18" x14ac:dyDescent="0.2">
      <c r="A874" s="13">
        <v>45331</v>
      </c>
      <c r="B874" s="13">
        <v>45331</v>
      </c>
      <c r="C874" s="25" t="s">
        <v>398</v>
      </c>
      <c r="D874" s="20">
        <v>0</v>
      </c>
      <c r="E874" s="28">
        <v>5280</v>
      </c>
      <c r="F874" s="22" t="s">
        <v>115</v>
      </c>
      <c r="G874" s="14">
        <v>3000</v>
      </c>
      <c r="H874" s="40">
        <v>44855</v>
      </c>
      <c r="I874" s="46">
        <f t="shared" si="52"/>
        <v>476</v>
      </c>
      <c r="J874" s="1" t="s">
        <v>15</v>
      </c>
      <c r="K874" s="4" t="s">
        <v>209</v>
      </c>
      <c r="L874" s="4" t="s">
        <v>231</v>
      </c>
      <c r="M874" s="8">
        <v>3000</v>
      </c>
      <c r="N874" s="5">
        <v>1.76</v>
      </c>
      <c r="O874" s="5">
        <v>5280</v>
      </c>
      <c r="P874">
        <f t="shared" si="53"/>
        <v>1</v>
      </c>
      <c r="Q874" s="36">
        <f t="shared" si="54"/>
        <v>5280</v>
      </c>
      <c r="R874">
        <f t="shared" si="55"/>
        <v>2022</v>
      </c>
    </row>
    <row r="875" spans="1:18" x14ac:dyDescent="0.2">
      <c r="A875" s="13">
        <v>45391</v>
      </c>
      <c r="B875" s="13">
        <v>45391</v>
      </c>
      <c r="C875" s="25" t="s">
        <v>398</v>
      </c>
      <c r="D875" s="20">
        <v>0</v>
      </c>
      <c r="E875" s="28">
        <v>5280</v>
      </c>
      <c r="F875" s="22" t="s">
        <v>115</v>
      </c>
      <c r="G875" s="14">
        <v>3000</v>
      </c>
      <c r="H875" s="40">
        <v>44908</v>
      </c>
      <c r="I875" s="46">
        <f t="shared" si="52"/>
        <v>483</v>
      </c>
      <c r="J875" s="1" t="s">
        <v>15</v>
      </c>
      <c r="K875" s="4" t="s">
        <v>209</v>
      </c>
      <c r="L875" s="4" t="s">
        <v>231</v>
      </c>
      <c r="M875" s="8">
        <v>3000</v>
      </c>
      <c r="N875" s="5">
        <v>1.76</v>
      </c>
      <c r="O875" s="5">
        <v>5280</v>
      </c>
      <c r="P875">
        <f t="shared" si="53"/>
        <v>1</v>
      </c>
      <c r="Q875" s="36">
        <f t="shared" si="54"/>
        <v>5280</v>
      </c>
      <c r="R875">
        <f t="shared" si="55"/>
        <v>2022</v>
      </c>
    </row>
    <row r="876" spans="1:18" x14ac:dyDescent="0.2">
      <c r="A876" s="13">
        <v>45470</v>
      </c>
      <c r="B876" s="13">
        <v>45470</v>
      </c>
      <c r="C876" s="25" t="s">
        <v>398</v>
      </c>
      <c r="D876" s="20">
        <v>0</v>
      </c>
      <c r="E876" s="28">
        <v>10560</v>
      </c>
      <c r="F876" s="22" t="s">
        <v>115</v>
      </c>
      <c r="G876" s="14">
        <v>6000</v>
      </c>
      <c r="H876" s="40">
        <v>44939</v>
      </c>
      <c r="I876" s="46">
        <f t="shared" si="52"/>
        <v>531</v>
      </c>
      <c r="J876" s="1" t="s">
        <v>15</v>
      </c>
      <c r="K876" s="4" t="s">
        <v>209</v>
      </c>
      <c r="L876" s="4" t="s">
        <v>231</v>
      </c>
      <c r="M876" s="8">
        <v>6000</v>
      </c>
      <c r="N876" s="5">
        <v>1.76</v>
      </c>
      <c r="O876" s="5">
        <v>10560</v>
      </c>
      <c r="P876">
        <f t="shared" si="53"/>
        <v>1</v>
      </c>
      <c r="Q876" s="36">
        <f t="shared" si="54"/>
        <v>10560</v>
      </c>
      <c r="R876">
        <f t="shared" si="55"/>
        <v>2023</v>
      </c>
    </row>
    <row r="877" spans="1:18" x14ac:dyDescent="0.2">
      <c r="A877" s="13">
        <v>45503</v>
      </c>
      <c r="B877" s="13">
        <v>45503</v>
      </c>
      <c r="C877" s="25" t="s">
        <v>398</v>
      </c>
      <c r="D877" s="20">
        <v>0</v>
      </c>
      <c r="E877" s="28">
        <v>5280</v>
      </c>
      <c r="F877" s="22" t="s">
        <v>115</v>
      </c>
      <c r="G877" s="14">
        <v>3000</v>
      </c>
      <c r="H877" s="40">
        <v>44950</v>
      </c>
      <c r="I877" s="46">
        <f t="shared" si="52"/>
        <v>553</v>
      </c>
      <c r="J877" s="1" t="s">
        <v>15</v>
      </c>
      <c r="K877" s="4" t="s">
        <v>209</v>
      </c>
      <c r="L877" s="4" t="s">
        <v>231</v>
      </c>
      <c r="M877" s="8">
        <v>3000</v>
      </c>
      <c r="N877" s="5">
        <v>1.76</v>
      </c>
      <c r="O877" s="5">
        <v>5280</v>
      </c>
      <c r="P877">
        <f t="shared" si="53"/>
        <v>1</v>
      </c>
      <c r="Q877" s="36">
        <f t="shared" si="54"/>
        <v>5280</v>
      </c>
      <c r="R877">
        <f t="shared" si="55"/>
        <v>2023</v>
      </c>
    </row>
    <row r="878" spans="1:18" x14ac:dyDescent="0.2">
      <c r="A878" s="13">
        <v>45408</v>
      </c>
      <c r="B878" s="13">
        <v>45408</v>
      </c>
      <c r="C878" s="25" t="s">
        <v>398</v>
      </c>
      <c r="D878" s="20">
        <v>0</v>
      </c>
      <c r="E878" s="28">
        <v>5940</v>
      </c>
      <c r="F878" s="22" t="s">
        <v>127</v>
      </c>
      <c r="G878" s="14">
        <v>3000</v>
      </c>
      <c r="H878" s="40">
        <v>44931</v>
      </c>
      <c r="I878" s="46">
        <f t="shared" si="52"/>
        <v>477</v>
      </c>
      <c r="J878" s="1" t="s">
        <v>15</v>
      </c>
      <c r="K878" s="4" t="s">
        <v>209</v>
      </c>
      <c r="L878" s="4" t="s">
        <v>231</v>
      </c>
      <c r="M878" s="8">
        <v>3000</v>
      </c>
      <c r="N878" s="5">
        <v>1.98</v>
      </c>
      <c r="O878" s="5">
        <v>5940</v>
      </c>
      <c r="P878">
        <f t="shared" si="53"/>
        <v>1</v>
      </c>
      <c r="Q878" s="36">
        <f t="shared" si="54"/>
        <v>5940</v>
      </c>
      <c r="R878">
        <f t="shared" si="55"/>
        <v>2023</v>
      </c>
    </row>
    <row r="879" spans="1:18" x14ac:dyDescent="0.2">
      <c r="A879" s="13">
        <v>45450</v>
      </c>
      <c r="B879" s="13">
        <v>45450</v>
      </c>
      <c r="C879" s="25" t="s">
        <v>398</v>
      </c>
      <c r="D879" s="20">
        <v>0</v>
      </c>
      <c r="E879" s="28">
        <v>5940</v>
      </c>
      <c r="F879" s="22" t="s">
        <v>127</v>
      </c>
      <c r="G879" s="14">
        <v>3000</v>
      </c>
      <c r="H879" s="40">
        <v>44939</v>
      </c>
      <c r="I879" s="46">
        <f t="shared" si="52"/>
        <v>511</v>
      </c>
      <c r="J879" s="1" t="s">
        <v>15</v>
      </c>
      <c r="K879" s="4" t="s">
        <v>209</v>
      </c>
      <c r="L879" s="4" t="s">
        <v>231</v>
      </c>
      <c r="M879" s="8">
        <v>3000</v>
      </c>
      <c r="N879" s="5">
        <v>1.98</v>
      </c>
      <c r="O879" s="5">
        <v>5940</v>
      </c>
      <c r="P879">
        <f t="shared" si="53"/>
        <v>1</v>
      </c>
      <c r="Q879" s="36">
        <f t="shared" si="54"/>
        <v>5940</v>
      </c>
      <c r="R879">
        <f t="shared" si="55"/>
        <v>2023</v>
      </c>
    </row>
    <row r="880" spans="1:18" x14ac:dyDescent="0.2">
      <c r="A880" s="13">
        <v>45478</v>
      </c>
      <c r="B880" s="13">
        <v>45478</v>
      </c>
      <c r="C880" s="25" t="s">
        <v>398</v>
      </c>
      <c r="D880" s="20">
        <v>0</v>
      </c>
      <c r="E880" s="28">
        <v>5940</v>
      </c>
      <c r="F880" s="22" t="s">
        <v>127</v>
      </c>
      <c r="G880" s="14">
        <v>3000</v>
      </c>
      <c r="H880" s="40">
        <v>44939</v>
      </c>
      <c r="I880" s="46">
        <f t="shared" si="52"/>
        <v>539</v>
      </c>
      <c r="J880" s="1" t="s">
        <v>15</v>
      </c>
      <c r="K880" s="4" t="s">
        <v>209</v>
      </c>
      <c r="L880" s="4" t="s">
        <v>231</v>
      </c>
      <c r="M880" s="8">
        <v>3000</v>
      </c>
      <c r="N880" s="5">
        <v>1.98</v>
      </c>
      <c r="O880" s="5">
        <v>5940</v>
      </c>
      <c r="P880">
        <f t="shared" si="53"/>
        <v>1</v>
      </c>
      <c r="Q880" s="36">
        <f t="shared" si="54"/>
        <v>5940</v>
      </c>
      <c r="R880">
        <f t="shared" si="55"/>
        <v>2023</v>
      </c>
    </row>
    <row r="881" spans="1:18" x14ac:dyDescent="0.2">
      <c r="A881" s="13">
        <v>45506</v>
      </c>
      <c r="B881" s="13">
        <v>45506</v>
      </c>
      <c r="C881" s="25" t="s">
        <v>398</v>
      </c>
      <c r="D881" s="20">
        <v>0</v>
      </c>
      <c r="E881" s="28">
        <v>5940</v>
      </c>
      <c r="F881" s="22" t="s">
        <v>127</v>
      </c>
      <c r="G881" s="14">
        <v>3000</v>
      </c>
      <c r="H881" s="40">
        <v>44939</v>
      </c>
      <c r="I881" s="46">
        <f t="shared" si="52"/>
        <v>567</v>
      </c>
      <c r="J881" s="1" t="s">
        <v>15</v>
      </c>
      <c r="K881" s="4" t="s">
        <v>209</v>
      </c>
      <c r="L881" s="4" t="s">
        <v>231</v>
      </c>
      <c r="M881" s="8">
        <v>3000</v>
      </c>
      <c r="N881" s="5">
        <v>1.98</v>
      </c>
      <c r="O881" s="5">
        <v>5940</v>
      </c>
      <c r="P881">
        <f t="shared" si="53"/>
        <v>1</v>
      </c>
      <c r="Q881" s="36">
        <f t="shared" si="54"/>
        <v>5940</v>
      </c>
      <c r="R881">
        <f t="shared" si="55"/>
        <v>2023</v>
      </c>
    </row>
    <row r="882" spans="1:18" x14ac:dyDescent="0.2">
      <c r="A882" s="13">
        <v>45324</v>
      </c>
      <c r="B882" s="13">
        <v>44974</v>
      </c>
      <c r="C882" s="25" t="s">
        <v>399</v>
      </c>
      <c r="D882" s="20">
        <v>350</v>
      </c>
      <c r="E882" s="28">
        <v>21606.48</v>
      </c>
      <c r="F882" s="22" t="s">
        <v>61</v>
      </c>
      <c r="G882" s="14">
        <v>252</v>
      </c>
      <c r="H882" s="40">
        <v>45166</v>
      </c>
      <c r="I882" s="46">
        <f t="shared" si="52"/>
        <v>158</v>
      </c>
      <c r="J882" s="1" t="s">
        <v>15</v>
      </c>
      <c r="K882" s="4" t="s">
        <v>210</v>
      </c>
      <c r="L882" s="4" t="s">
        <v>225</v>
      </c>
      <c r="M882" s="8">
        <v>504</v>
      </c>
      <c r="N882" s="5">
        <v>85.74</v>
      </c>
      <c r="O882" s="5">
        <v>43212.959999999999</v>
      </c>
      <c r="P882">
        <f t="shared" si="53"/>
        <v>0</v>
      </c>
      <c r="Q882" s="36">
        <f t="shared" si="54"/>
        <v>21606.48</v>
      </c>
      <c r="R882">
        <f t="shared" si="55"/>
        <v>2023</v>
      </c>
    </row>
    <row r="883" spans="1:18" x14ac:dyDescent="0.2">
      <c r="A883" s="13">
        <v>45190</v>
      </c>
      <c r="B883" s="13">
        <v>44540</v>
      </c>
      <c r="C883" s="25" t="s">
        <v>399</v>
      </c>
      <c r="D883" s="20">
        <v>650</v>
      </c>
      <c r="E883" s="28">
        <v>79011</v>
      </c>
      <c r="F883" s="22" t="s">
        <v>66</v>
      </c>
      <c r="G883" s="14">
        <v>180</v>
      </c>
      <c r="H883" s="40">
        <v>45180</v>
      </c>
      <c r="I883" s="46">
        <f t="shared" si="52"/>
        <v>10</v>
      </c>
      <c r="J883" s="1" t="s">
        <v>15</v>
      </c>
      <c r="K883" s="4" t="s">
        <v>210</v>
      </c>
      <c r="L883" s="4" t="s">
        <v>225</v>
      </c>
      <c r="M883" s="8">
        <v>1620</v>
      </c>
      <c r="N883" s="5">
        <v>438.95</v>
      </c>
      <c r="O883" s="5">
        <v>711099</v>
      </c>
      <c r="P883">
        <f t="shared" si="53"/>
        <v>0</v>
      </c>
      <c r="Q883" s="36">
        <f t="shared" si="54"/>
        <v>79011</v>
      </c>
      <c r="R883">
        <f t="shared" si="55"/>
        <v>2023</v>
      </c>
    </row>
    <row r="884" spans="1:18" x14ac:dyDescent="0.2">
      <c r="A884" s="13">
        <v>45230</v>
      </c>
      <c r="B884" s="13">
        <v>44540</v>
      </c>
      <c r="C884" s="25" t="s">
        <v>399</v>
      </c>
      <c r="D884" s="20">
        <v>690</v>
      </c>
      <c r="E884" s="28">
        <v>632088</v>
      </c>
      <c r="F884" s="22" t="s">
        <v>66</v>
      </c>
      <c r="G884" s="14">
        <v>1440</v>
      </c>
      <c r="H884" s="40">
        <v>45180</v>
      </c>
      <c r="I884" s="46">
        <f t="shared" si="52"/>
        <v>50</v>
      </c>
      <c r="J884" s="1" t="s">
        <v>15</v>
      </c>
      <c r="K884" s="4" t="s">
        <v>210</v>
      </c>
      <c r="L884" s="4" t="s">
        <v>225</v>
      </c>
      <c r="M884" s="8">
        <v>1620</v>
      </c>
      <c r="N884" s="5">
        <v>438.95</v>
      </c>
      <c r="O884" s="5">
        <v>711099</v>
      </c>
      <c r="P884">
        <f t="shared" si="53"/>
        <v>0</v>
      </c>
      <c r="Q884" s="36">
        <f t="shared" si="54"/>
        <v>632088</v>
      </c>
      <c r="R884">
        <f t="shared" si="55"/>
        <v>2023</v>
      </c>
    </row>
    <row r="885" spans="1:18" x14ac:dyDescent="0.2">
      <c r="A885" s="13">
        <v>45218</v>
      </c>
      <c r="B885" s="13">
        <v>45124</v>
      </c>
      <c r="C885" s="25" t="s">
        <v>399</v>
      </c>
      <c r="D885" s="20">
        <v>94</v>
      </c>
      <c r="E885" s="28">
        <v>14034</v>
      </c>
      <c r="F885" s="22" t="s">
        <v>128</v>
      </c>
      <c r="G885" s="14">
        <v>120</v>
      </c>
      <c r="H885" s="40">
        <v>44971</v>
      </c>
      <c r="I885" s="46">
        <f t="shared" si="52"/>
        <v>247</v>
      </c>
      <c r="J885" s="1" t="s">
        <v>15</v>
      </c>
      <c r="K885" s="4" t="s">
        <v>210</v>
      </c>
      <c r="L885" s="4" t="s">
        <v>225</v>
      </c>
      <c r="M885" s="8">
        <v>120</v>
      </c>
      <c r="N885" s="5">
        <v>116.95</v>
      </c>
      <c r="O885" s="5">
        <v>14034</v>
      </c>
      <c r="P885">
        <f t="shared" si="53"/>
        <v>1</v>
      </c>
      <c r="Q885" s="36">
        <f t="shared" si="54"/>
        <v>14034</v>
      </c>
      <c r="R885">
        <f t="shared" si="55"/>
        <v>2023</v>
      </c>
    </row>
    <row r="886" spans="1:18" x14ac:dyDescent="0.2">
      <c r="A886" s="13">
        <v>45239</v>
      </c>
      <c r="B886" s="13">
        <v>45215</v>
      </c>
      <c r="C886" s="25" t="s">
        <v>399</v>
      </c>
      <c r="D886" s="20">
        <v>24</v>
      </c>
      <c r="E886" s="28">
        <v>42102</v>
      </c>
      <c r="F886" s="22" t="s">
        <v>128</v>
      </c>
      <c r="G886" s="14">
        <v>360</v>
      </c>
      <c r="H886" s="40">
        <v>44971</v>
      </c>
      <c r="I886" s="46">
        <f t="shared" si="52"/>
        <v>268</v>
      </c>
      <c r="J886" s="1" t="s">
        <v>15</v>
      </c>
      <c r="K886" s="4" t="s">
        <v>210</v>
      </c>
      <c r="L886" s="4" t="s">
        <v>225</v>
      </c>
      <c r="M886" s="8">
        <v>360</v>
      </c>
      <c r="N886" s="5">
        <v>116.95</v>
      </c>
      <c r="O886" s="5">
        <v>42102</v>
      </c>
      <c r="P886">
        <f t="shared" si="53"/>
        <v>1</v>
      </c>
      <c r="Q886" s="36">
        <f t="shared" si="54"/>
        <v>42102</v>
      </c>
      <c r="R886">
        <f t="shared" si="55"/>
        <v>2023</v>
      </c>
    </row>
    <row r="887" spans="1:18" x14ac:dyDescent="0.2">
      <c r="A887" s="13">
        <v>45345</v>
      </c>
      <c r="B887" s="13">
        <v>45303</v>
      </c>
      <c r="C887" s="25" t="s">
        <v>399</v>
      </c>
      <c r="D887" s="20">
        <v>42</v>
      </c>
      <c r="E887" s="28">
        <v>42102</v>
      </c>
      <c r="F887" s="22" t="s">
        <v>128</v>
      </c>
      <c r="G887" s="14">
        <v>360</v>
      </c>
      <c r="H887" s="40">
        <v>44971</v>
      </c>
      <c r="I887" s="46">
        <f t="shared" si="52"/>
        <v>374</v>
      </c>
      <c r="J887" s="1" t="s">
        <v>15</v>
      </c>
      <c r="K887" s="4" t="s">
        <v>210</v>
      </c>
      <c r="L887" s="4" t="s">
        <v>225</v>
      </c>
      <c r="M887" s="8">
        <v>360</v>
      </c>
      <c r="N887" s="5">
        <v>116.95</v>
      </c>
      <c r="O887" s="5">
        <v>42102</v>
      </c>
      <c r="P887">
        <f t="shared" si="53"/>
        <v>1</v>
      </c>
      <c r="Q887" s="36">
        <f t="shared" si="54"/>
        <v>42102</v>
      </c>
      <c r="R887">
        <f t="shared" si="55"/>
        <v>2023</v>
      </c>
    </row>
    <row r="888" spans="1:18" x14ac:dyDescent="0.2">
      <c r="A888" s="13">
        <v>45218</v>
      </c>
      <c r="B888" s="13">
        <v>45002</v>
      </c>
      <c r="C888" s="25" t="s">
        <v>399</v>
      </c>
      <c r="D888" s="20">
        <v>216</v>
      </c>
      <c r="E888" s="28">
        <v>65144.11</v>
      </c>
      <c r="F888" s="22" t="s">
        <v>129</v>
      </c>
      <c r="G888" s="14">
        <v>331</v>
      </c>
      <c r="H888" s="40">
        <v>45000</v>
      </c>
      <c r="I888" s="46">
        <f t="shared" si="52"/>
        <v>218</v>
      </c>
      <c r="J888" s="1" t="s">
        <v>15</v>
      </c>
      <c r="K888" s="4" t="s">
        <v>210</v>
      </c>
      <c r="L888" s="4" t="s">
        <v>225</v>
      </c>
      <c r="M888" s="8">
        <v>400</v>
      </c>
      <c r="N888" s="5">
        <v>196.81</v>
      </c>
      <c r="O888" s="5">
        <v>78724</v>
      </c>
      <c r="P888">
        <f t="shared" si="53"/>
        <v>0</v>
      </c>
      <c r="Q888" s="36">
        <f t="shared" si="54"/>
        <v>65144.11</v>
      </c>
      <c r="R888">
        <f t="shared" si="55"/>
        <v>2023</v>
      </c>
    </row>
    <row r="889" spans="1:18" x14ac:dyDescent="0.2">
      <c r="A889" s="13">
        <v>45219</v>
      </c>
      <c r="B889" s="13">
        <v>45002</v>
      </c>
      <c r="C889" s="25" t="s">
        <v>399</v>
      </c>
      <c r="D889" s="20">
        <v>217</v>
      </c>
      <c r="E889" s="28">
        <v>13579.89</v>
      </c>
      <c r="F889" s="22" t="s">
        <v>129</v>
      </c>
      <c r="G889" s="14">
        <v>69</v>
      </c>
      <c r="H889" s="40">
        <v>45000</v>
      </c>
      <c r="I889" s="46">
        <f t="shared" si="52"/>
        <v>219</v>
      </c>
      <c r="J889" s="1" t="s">
        <v>15</v>
      </c>
      <c r="K889" s="4" t="s">
        <v>210</v>
      </c>
      <c r="L889" s="4" t="s">
        <v>225</v>
      </c>
      <c r="M889" s="8">
        <v>400</v>
      </c>
      <c r="N889" s="5">
        <v>196.81</v>
      </c>
      <c r="O889" s="5">
        <v>78724</v>
      </c>
      <c r="P889">
        <f t="shared" si="53"/>
        <v>0</v>
      </c>
      <c r="Q889" s="36">
        <f t="shared" si="54"/>
        <v>13579.89</v>
      </c>
      <c r="R889">
        <f t="shared" si="55"/>
        <v>2023</v>
      </c>
    </row>
    <row r="890" spans="1:18" x14ac:dyDescent="0.2">
      <c r="A890" s="13">
        <v>45399</v>
      </c>
      <c r="B890" s="13">
        <v>45128</v>
      </c>
      <c r="C890" s="25" t="s">
        <v>399</v>
      </c>
      <c r="D890" s="20">
        <v>271</v>
      </c>
      <c r="E890" s="28">
        <v>13776.7</v>
      </c>
      <c r="F890" s="22" t="s">
        <v>129</v>
      </c>
      <c r="G890" s="14">
        <v>70</v>
      </c>
      <c r="H890" s="40">
        <v>45000</v>
      </c>
      <c r="I890" s="46">
        <f t="shared" si="52"/>
        <v>399</v>
      </c>
      <c r="J890" s="1" t="s">
        <v>15</v>
      </c>
      <c r="K890" s="4" t="s">
        <v>210</v>
      </c>
      <c r="L890" s="4" t="s">
        <v>225</v>
      </c>
      <c r="M890" s="8">
        <v>70</v>
      </c>
      <c r="N890" s="5">
        <v>196.81</v>
      </c>
      <c r="O890" s="5">
        <v>13776.7</v>
      </c>
      <c r="P890">
        <f t="shared" si="53"/>
        <v>1</v>
      </c>
      <c r="Q890" s="36">
        <f t="shared" si="54"/>
        <v>13776.7</v>
      </c>
      <c r="R890">
        <f t="shared" si="55"/>
        <v>2023</v>
      </c>
    </row>
    <row r="891" spans="1:18" x14ac:dyDescent="0.2">
      <c r="A891" s="13">
        <v>45399</v>
      </c>
      <c r="B891" s="13">
        <v>45137</v>
      </c>
      <c r="C891" s="25" t="s">
        <v>399</v>
      </c>
      <c r="D891" s="20">
        <v>262</v>
      </c>
      <c r="E891" s="28">
        <v>216491</v>
      </c>
      <c r="F891" s="22" t="s">
        <v>129</v>
      </c>
      <c r="G891" s="14">
        <v>1100</v>
      </c>
      <c r="H891" s="40">
        <v>45000</v>
      </c>
      <c r="I891" s="46">
        <f t="shared" si="52"/>
        <v>399</v>
      </c>
      <c r="J891" s="1" t="s">
        <v>15</v>
      </c>
      <c r="K891" s="4" t="s">
        <v>210</v>
      </c>
      <c r="L891" s="4" t="s">
        <v>225</v>
      </c>
      <c r="M891" s="8">
        <v>1100</v>
      </c>
      <c r="N891" s="5">
        <v>196.81</v>
      </c>
      <c r="O891" s="5">
        <v>216491</v>
      </c>
      <c r="P891">
        <f t="shared" si="53"/>
        <v>1</v>
      </c>
      <c r="Q891" s="36">
        <f t="shared" si="54"/>
        <v>216491</v>
      </c>
      <c r="R891">
        <f t="shared" si="55"/>
        <v>2023</v>
      </c>
    </row>
    <row r="892" spans="1:18" x14ac:dyDescent="0.2">
      <c r="A892" s="13">
        <v>45219</v>
      </c>
      <c r="B892" s="13">
        <v>45121</v>
      </c>
      <c r="C892" s="25" t="s">
        <v>399</v>
      </c>
      <c r="D892" s="20">
        <v>98</v>
      </c>
      <c r="E892" s="28">
        <v>196.81</v>
      </c>
      <c r="F892" s="22" t="s">
        <v>129</v>
      </c>
      <c r="G892" s="14">
        <v>1</v>
      </c>
      <c r="H892" s="40">
        <v>45036</v>
      </c>
      <c r="I892" s="46">
        <f t="shared" si="52"/>
        <v>183</v>
      </c>
      <c r="J892" s="1" t="s">
        <v>15</v>
      </c>
      <c r="K892" s="4" t="s">
        <v>210</v>
      </c>
      <c r="L892" s="4" t="s">
        <v>225</v>
      </c>
      <c r="M892" s="8">
        <v>2132</v>
      </c>
      <c r="N892" s="5">
        <v>196.81</v>
      </c>
      <c r="O892" s="5">
        <v>419598.92</v>
      </c>
      <c r="P892">
        <f t="shared" si="53"/>
        <v>0</v>
      </c>
      <c r="Q892" s="36">
        <f t="shared" si="54"/>
        <v>196.81</v>
      </c>
      <c r="R892">
        <f t="shared" si="55"/>
        <v>2023</v>
      </c>
    </row>
    <row r="893" spans="1:18" x14ac:dyDescent="0.2">
      <c r="A893" s="13">
        <v>45359</v>
      </c>
      <c r="B893" s="13">
        <v>45121</v>
      </c>
      <c r="C893" s="25" t="s">
        <v>399</v>
      </c>
      <c r="D893" s="20">
        <v>238</v>
      </c>
      <c r="E893" s="28">
        <v>216491</v>
      </c>
      <c r="F893" s="22" t="s">
        <v>129</v>
      </c>
      <c r="G893" s="14">
        <v>1100</v>
      </c>
      <c r="H893" s="40">
        <v>45036</v>
      </c>
      <c r="I893" s="46">
        <f t="shared" si="52"/>
        <v>323</v>
      </c>
      <c r="J893" s="1" t="s">
        <v>15</v>
      </c>
      <c r="K893" s="4" t="s">
        <v>210</v>
      </c>
      <c r="L893" s="4" t="s">
        <v>225</v>
      </c>
      <c r="M893" s="8">
        <v>2132</v>
      </c>
      <c r="N893" s="5">
        <v>196.81</v>
      </c>
      <c r="O893" s="5">
        <v>419598.92</v>
      </c>
      <c r="P893">
        <f t="shared" si="53"/>
        <v>0</v>
      </c>
      <c r="Q893" s="36">
        <f t="shared" si="54"/>
        <v>216491</v>
      </c>
      <c r="R893">
        <f t="shared" si="55"/>
        <v>2023</v>
      </c>
    </row>
    <row r="894" spans="1:18" x14ac:dyDescent="0.2">
      <c r="A894" s="13">
        <v>45365</v>
      </c>
      <c r="B894" s="13">
        <v>45121</v>
      </c>
      <c r="C894" s="25" t="s">
        <v>399</v>
      </c>
      <c r="D894" s="20">
        <v>244</v>
      </c>
      <c r="E894" s="28">
        <v>13579.89</v>
      </c>
      <c r="F894" s="22" t="s">
        <v>129</v>
      </c>
      <c r="G894" s="14">
        <v>69</v>
      </c>
      <c r="H894" s="40">
        <v>45036</v>
      </c>
      <c r="I894" s="46">
        <f t="shared" si="52"/>
        <v>329</v>
      </c>
      <c r="J894" s="1" t="s">
        <v>15</v>
      </c>
      <c r="K894" s="4" t="s">
        <v>210</v>
      </c>
      <c r="L894" s="4" t="s">
        <v>225</v>
      </c>
      <c r="M894" s="8">
        <v>2132</v>
      </c>
      <c r="N894" s="5">
        <v>196.81</v>
      </c>
      <c r="O894" s="5">
        <v>419598.92</v>
      </c>
      <c r="P894">
        <f t="shared" si="53"/>
        <v>0</v>
      </c>
      <c r="Q894" s="36">
        <f t="shared" si="54"/>
        <v>13579.89</v>
      </c>
      <c r="R894">
        <f t="shared" si="55"/>
        <v>2023</v>
      </c>
    </row>
    <row r="895" spans="1:18" x14ac:dyDescent="0.2">
      <c r="A895" s="13">
        <v>45399</v>
      </c>
      <c r="B895" s="13">
        <v>45121</v>
      </c>
      <c r="C895" s="25" t="s">
        <v>399</v>
      </c>
      <c r="D895" s="20">
        <v>278</v>
      </c>
      <c r="E895" s="28">
        <v>189331.22</v>
      </c>
      <c r="F895" s="22" t="s">
        <v>129</v>
      </c>
      <c r="G895" s="14">
        <v>962</v>
      </c>
      <c r="H895" s="40">
        <v>45036</v>
      </c>
      <c r="I895" s="46">
        <f t="shared" si="52"/>
        <v>363</v>
      </c>
      <c r="J895" s="1" t="s">
        <v>15</v>
      </c>
      <c r="K895" s="4" t="s">
        <v>210</v>
      </c>
      <c r="L895" s="4" t="s">
        <v>225</v>
      </c>
      <c r="M895" s="8">
        <v>2132</v>
      </c>
      <c r="N895" s="5">
        <v>196.81</v>
      </c>
      <c r="O895" s="5">
        <v>419598.92</v>
      </c>
      <c r="P895">
        <f t="shared" si="53"/>
        <v>0</v>
      </c>
      <c r="Q895" s="36">
        <f t="shared" si="54"/>
        <v>189331.22</v>
      </c>
      <c r="R895">
        <f t="shared" si="55"/>
        <v>2023</v>
      </c>
    </row>
    <row r="896" spans="1:18" x14ac:dyDescent="0.2">
      <c r="A896" s="13">
        <v>45196</v>
      </c>
      <c r="B896" s="13">
        <v>45196</v>
      </c>
      <c r="C896" s="25" t="s">
        <v>398</v>
      </c>
      <c r="D896" s="20">
        <v>0</v>
      </c>
      <c r="E896" s="28">
        <v>3381</v>
      </c>
      <c r="F896" s="22" t="s">
        <v>130</v>
      </c>
      <c r="G896" s="14">
        <v>300</v>
      </c>
      <c r="H896" s="40">
        <v>45180</v>
      </c>
      <c r="I896" s="46">
        <f t="shared" si="52"/>
        <v>16</v>
      </c>
      <c r="J896" s="1" t="s">
        <v>15</v>
      </c>
      <c r="K896" s="4" t="s">
        <v>211</v>
      </c>
      <c r="L896" s="4" t="s">
        <v>225</v>
      </c>
      <c r="M896" s="8">
        <v>300</v>
      </c>
      <c r="N896" s="5">
        <v>11.27</v>
      </c>
      <c r="O896" s="5">
        <v>3381</v>
      </c>
      <c r="P896">
        <f t="shared" si="53"/>
        <v>1</v>
      </c>
      <c r="Q896" s="36">
        <f t="shared" si="54"/>
        <v>3381</v>
      </c>
      <c r="R896">
        <f t="shared" si="55"/>
        <v>2023</v>
      </c>
    </row>
    <row r="897" spans="1:18" x14ac:dyDescent="0.2">
      <c r="A897" s="13">
        <v>45203</v>
      </c>
      <c r="B897" s="13">
        <v>45203</v>
      </c>
      <c r="C897" s="25" t="s">
        <v>398</v>
      </c>
      <c r="D897" s="20">
        <v>0</v>
      </c>
      <c r="E897" s="28">
        <v>3348</v>
      </c>
      <c r="F897" s="22" t="s">
        <v>131</v>
      </c>
      <c r="G897" s="14">
        <v>360</v>
      </c>
      <c r="H897" s="40">
        <v>44826</v>
      </c>
      <c r="I897" s="46">
        <f t="shared" si="52"/>
        <v>377</v>
      </c>
      <c r="J897" s="1" t="s">
        <v>15</v>
      </c>
      <c r="K897" s="4" t="s">
        <v>211</v>
      </c>
      <c r="L897" s="4" t="s">
        <v>225</v>
      </c>
      <c r="M897" s="8">
        <v>360</v>
      </c>
      <c r="N897" s="5">
        <v>9.3000000000000007</v>
      </c>
      <c r="O897" s="5">
        <v>3348</v>
      </c>
      <c r="P897">
        <f t="shared" si="53"/>
        <v>1</v>
      </c>
      <c r="Q897" s="36">
        <f t="shared" si="54"/>
        <v>3348.0000000000005</v>
      </c>
      <c r="R897">
        <f t="shared" si="55"/>
        <v>2022</v>
      </c>
    </row>
    <row r="898" spans="1:18" x14ac:dyDescent="0.2">
      <c r="A898" s="13">
        <v>45266</v>
      </c>
      <c r="B898" s="13">
        <v>45266</v>
      </c>
      <c r="C898" s="25" t="s">
        <v>398</v>
      </c>
      <c r="D898" s="20">
        <v>0</v>
      </c>
      <c r="E898" s="28">
        <v>2790</v>
      </c>
      <c r="F898" s="22" t="s">
        <v>131</v>
      </c>
      <c r="G898" s="14">
        <v>300</v>
      </c>
      <c r="H898" s="40">
        <v>44894</v>
      </c>
      <c r="I898" s="46">
        <f t="shared" si="52"/>
        <v>372</v>
      </c>
      <c r="J898" s="1" t="s">
        <v>15</v>
      </c>
      <c r="K898" s="4" t="s">
        <v>211</v>
      </c>
      <c r="L898" s="4" t="s">
        <v>225</v>
      </c>
      <c r="M898" s="8">
        <v>300</v>
      </c>
      <c r="N898" s="5">
        <v>9.3000000000000007</v>
      </c>
      <c r="O898" s="5">
        <v>2790</v>
      </c>
      <c r="P898">
        <f t="shared" si="53"/>
        <v>1</v>
      </c>
      <c r="Q898" s="36">
        <f t="shared" si="54"/>
        <v>2790</v>
      </c>
      <c r="R898">
        <f t="shared" si="55"/>
        <v>2022</v>
      </c>
    </row>
    <row r="899" spans="1:18" x14ac:dyDescent="0.2">
      <c r="A899" s="13">
        <v>45294</v>
      </c>
      <c r="B899" s="13">
        <v>45294</v>
      </c>
      <c r="C899" s="25" t="s">
        <v>398</v>
      </c>
      <c r="D899" s="20">
        <v>0</v>
      </c>
      <c r="E899" s="28">
        <v>11030.4</v>
      </c>
      <c r="F899" s="22" t="s">
        <v>113</v>
      </c>
      <c r="G899" s="14">
        <v>120</v>
      </c>
      <c r="H899" s="40">
        <v>44818</v>
      </c>
      <c r="I899" s="46">
        <f t="shared" ref="I899:I962" si="56">IFERROR(A899-H899,"")*1</f>
        <v>476</v>
      </c>
      <c r="J899" s="1" t="s">
        <v>15</v>
      </c>
      <c r="K899" s="4" t="s">
        <v>211</v>
      </c>
      <c r="L899" s="4" t="s">
        <v>225</v>
      </c>
      <c r="M899" s="8">
        <v>120</v>
      </c>
      <c r="N899" s="5">
        <v>91.92</v>
      </c>
      <c r="O899" s="5">
        <v>11030.4</v>
      </c>
      <c r="P899">
        <f t="shared" ref="P899:P962" si="57">IF(M899=G899,1,0)</f>
        <v>1</v>
      </c>
      <c r="Q899" s="36">
        <f t="shared" ref="Q899:Q962" si="58">N899*G899</f>
        <v>11030.4</v>
      </c>
      <c r="R899">
        <f t="shared" ref="R899:R962" si="59">YEAR(H899)</f>
        <v>2022</v>
      </c>
    </row>
    <row r="900" spans="1:18" x14ac:dyDescent="0.2">
      <c r="A900" s="13">
        <v>45294</v>
      </c>
      <c r="B900" s="13">
        <v>45294</v>
      </c>
      <c r="C900" s="25" t="s">
        <v>398</v>
      </c>
      <c r="D900" s="20">
        <v>0</v>
      </c>
      <c r="E900" s="28">
        <v>11030.4</v>
      </c>
      <c r="F900" s="22" t="s">
        <v>113</v>
      </c>
      <c r="G900" s="14">
        <v>120</v>
      </c>
      <c r="H900" s="40">
        <v>44818</v>
      </c>
      <c r="I900" s="46">
        <f t="shared" si="56"/>
        <v>476</v>
      </c>
      <c r="J900" s="1" t="s">
        <v>15</v>
      </c>
      <c r="K900" s="4" t="s">
        <v>211</v>
      </c>
      <c r="L900" s="4" t="s">
        <v>225</v>
      </c>
      <c r="M900" s="8">
        <v>120</v>
      </c>
      <c r="N900" s="5">
        <v>91.92</v>
      </c>
      <c r="O900" s="5">
        <v>11030.4</v>
      </c>
      <c r="P900">
        <f t="shared" si="57"/>
        <v>1</v>
      </c>
      <c r="Q900" s="36">
        <f t="shared" si="58"/>
        <v>11030.4</v>
      </c>
      <c r="R900">
        <f t="shared" si="59"/>
        <v>2022</v>
      </c>
    </row>
    <row r="901" spans="1:18" x14ac:dyDescent="0.2">
      <c r="A901" s="13">
        <v>45294</v>
      </c>
      <c r="B901" s="13">
        <v>45294</v>
      </c>
      <c r="C901" s="25" t="s">
        <v>398</v>
      </c>
      <c r="D901" s="20">
        <v>0</v>
      </c>
      <c r="E901" s="28">
        <v>11030.4</v>
      </c>
      <c r="F901" s="22" t="s">
        <v>113</v>
      </c>
      <c r="G901" s="14">
        <v>120</v>
      </c>
      <c r="H901" s="40">
        <v>44818</v>
      </c>
      <c r="I901" s="46">
        <f t="shared" si="56"/>
        <v>476</v>
      </c>
      <c r="J901" s="1" t="s">
        <v>15</v>
      </c>
      <c r="K901" s="4" t="s">
        <v>211</v>
      </c>
      <c r="L901" s="4" t="s">
        <v>225</v>
      </c>
      <c r="M901" s="8">
        <v>120</v>
      </c>
      <c r="N901" s="5">
        <v>91.92</v>
      </c>
      <c r="O901" s="5">
        <v>11030.4</v>
      </c>
      <c r="P901">
        <f t="shared" si="57"/>
        <v>1</v>
      </c>
      <c r="Q901" s="36">
        <f t="shared" si="58"/>
        <v>11030.4</v>
      </c>
      <c r="R901">
        <f t="shared" si="59"/>
        <v>2022</v>
      </c>
    </row>
    <row r="902" spans="1:18" x14ac:dyDescent="0.2">
      <c r="A902" s="13">
        <v>45294</v>
      </c>
      <c r="B902" s="13">
        <v>45294</v>
      </c>
      <c r="C902" s="25" t="s">
        <v>398</v>
      </c>
      <c r="D902" s="20">
        <v>0</v>
      </c>
      <c r="E902" s="28">
        <v>11030.4</v>
      </c>
      <c r="F902" s="22" t="s">
        <v>113</v>
      </c>
      <c r="G902" s="14">
        <v>120</v>
      </c>
      <c r="H902" s="40">
        <v>44818</v>
      </c>
      <c r="I902" s="46">
        <f t="shared" si="56"/>
        <v>476</v>
      </c>
      <c r="J902" s="1" t="s">
        <v>15</v>
      </c>
      <c r="K902" s="4" t="s">
        <v>211</v>
      </c>
      <c r="L902" s="4" t="s">
        <v>225</v>
      </c>
      <c r="M902" s="8">
        <v>120</v>
      </c>
      <c r="N902" s="5">
        <v>91.92</v>
      </c>
      <c r="O902" s="5">
        <v>11030.4</v>
      </c>
      <c r="P902">
        <f t="shared" si="57"/>
        <v>1</v>
      </c>
      <c r="Q902" s="36">
        <f t="shared" si="58"/>
        <v>11030.4</v>
      </c>
      <c r="R902">
        <f t="shared" si="59"/>
        <v>2022</v>
      </c>
    </row>
    <row r="903" spans="1:18" x14ac:dyDescent="0.2">
      <c r="A903" s="13">
        <v>45294</v>
      </c>
      <c r="B903" s="13">
        <v>45294</v>
      </c>
      <c r="C903" s="25" t="s">
        <v>398</v>
      </c>
      <c r="D903" s="20">
        <v>0</v>
      </c>
      <c r="E903" s="28">
        <v>11030.4</v>
      </c>
      <c r="F903" s="22" t="s">
        <v>113</v>
      </c>
      <c r="G903" s="14">
        <v>120</v>
      </c>
      <c r="H903" s="40">
        <v>44826</v>
      </c>
      <c r="I903" s="46">
        <f t="shared" si="56"/>
        <v>468</v>
      </c>
      <c r="J903" s="1" t="s">
        <v>15</v>
      </c>
      <c r="K903" s="4" t="s">
        <v>211</v>
      </c>
      <c r="L903" s="4" t="s">
        <v>225</v>
      </c>
      <c r="M903" s="8">
        <v>120</v>
      </c>
      <c r="N903" s="5">
        <v>91.92</v>
      </c>
      <c r="O903" s="5">
        <v>11030.4</v>
      </c>
      <c r="P903">
        <f t="shared" si="57"/>
        <v>1</v>
      </c>
      <c r="Q903" s="36">
        <f t="shared" si="58"/>
        <v>11030.4</v>
      </c>
      <c r="R903">
        <f t="shared" si="59"/>
        <v>2022</v>
      </c>
    </row>
    <row r="904" spans="1:18" x14ac:dyDescent="0.2">
      <c r="A904" s="13">
        <v>45294</v>
      </c>
      <c r="B904" s="13">
        <v>45294</v>
      </c>
      <c r="C904" s="25" t="s">
        <v>398</v>
      </c>
      <c r="D904" s="20">
        <v>0</v>
      </c>
      <c r="E904" s="28">
        <v>5882.88</v>
      </c>
      <c r="F904" s="22" t="s">
        <v>113</v>
      </c>
      <c r="G904" s="14">
        <v>64</v>
      </c>
      <c r="H904" s="40">
        <v>44845</v>
      </c>
      <c r="I904" s="46">
        <f t="shared" si="56"/>
        <v>449</v>
      </c>
      <c r="J904" s="1" t="s">
        <v>15</v>
      </c>
      <c r="K904" s="4" t="s">
        <v>211</v>
      </c>
      <c r="L904" s="4" t="s">
        <v>225</v>
      </c>
      <c r="M904" s="8">
        <v>120</v>
      </c>
      <c r="N904" s="5">
        <v>91.92</v>
      </c>
      <c r="O904" s="5">
        <v>11030.4</v>
      </c>
      <c r="P904">
        <f t="shared" si="57"/>
        <v>0</v>
      </c>
      <c r="Q904" s="36">
        <f t="shared" si="58"/>
        <v>5882.88</v>
      </c>
      <c r="R904">
        <f t="shared" si="59"/>
        <v>2022</v>
      </c>
    </row>
    <row r="905" spans="1:18" x14ac:dyDescent="0.2">
      <c r="A905" s="13">
        <v>45314</v>
      </c>
      <c r="B905" s="13">
        <v>45294</v>
      </c>
      <c r="C905" s="25" t="s">
        <v>399</v>
      </c>
      <c r="D905" s="20">
        <v>20</v>
      </c>
      <c r="E905" s="28">
        <v>5147.5200000000004</v>
      </c>
      <c r="F905" s="22" t="s">
        <v>113</v>
      </c>
      <c r="G905" s="14">
        <v>56</v>
      </c>
      <c r="H905" s="40">
        <v>44845</v>
      </c>
      <c r="I905" s="46">
        <f t="shared" si="56"/>
        <v>469</v>
      </c>
      <c r="J905" s="1" t="s">
        <v>15</v>
      </c>
      <c r="K905" s="4" t="s">
        <v>211</v>
      </c>
      <c r="L905" s="4" t="s">
        <v>225</v>
      </c>
      <c r="M905" s="8">
        <v>120</v>
      </c>
      <c r="N905" s="5">
        <v>91.92</v>
      </c>
      <c r="O905" s="5">
        <v>11030.4</v>
      </c>
      <c r="P905">
        <f t="shared" si="57"/>
        <v>0</v>
      </c>
      <c r="Q905" s="36">
        <f t="shared" si="58"/>
        <v>5147.5200000000004</v>
      </c>
      <c r="R905">
        <f t="shared" si="59"/>
        <v>2022</v>
      </c>
    </row>
    <row r="906" spans="1:18" x14ac:dyDescent="0.2">
      <c r="A906" s="13">
        <v>45314</v>
      </c>
      <c r="B906" s="13">
        <v>45294</v>
      </c>
      <c r="C906" s="25" t="s">
        <v>399</v>
      </c>
      <c r="D906" s="20">
        <v>20</v>
      </c>
      <c r="E906" s="28">
        <v>11030.4</v>
      </c>
      <c r="F906" s="22" t="s">
        <v>113</v>
      </c>
      <c r="G906" s="14">
        <v>120</v>
      </c>
      <c r="H906" s="40">
        <v>44845</v>
      </c>
      <c r="I906" s="46">
        <f t="shared" si="56"/>
        <v>469</v>
      </c>
      <c r="J906" s="1" t="s">
        <v>15</v>
      </c>
      <c r="K906" s="4" t="s">
        <v>211</v>
      </c>
      <c r="L906" s="4" t="s">
        <v>225</v>
      </c>
      <c r="M906" s="8">
        <v>120</v>
      </c>
      <c r="N906" s="5">
        <v>91.92</v>
      </c>
      <c r="O906" s="5">
        <v>11030.4</v>
      </c>
      <c r="P906">
        <f t="shared" si="57"/>
        <v>1</v>
      </c>
      <c r="Q906" s="36">
        <f t="shared" si="58"/>
        <v>11030.4</v>
      </c>
      <c r="R906">
        <f t="shared" si="59"/>
        <v>2022</v>
      </c>
    </row>
    <row r="907" spans="1:18" x14ac:dyDescent="0.2">
      <c r="A907" s="13">
        <v>45314</v>
      </c>
      <c r="B907" s="13">
        <v>45294</v>
      </c>
      <c r="C907" s="25" t="s">
        <v>399</v>
      </c>
      <c r="D907" s="20">
        <v>20</v>
      </c>
      <c r="E907" s="28">
        <v>5882.88</v>
      </c>
      <c r="F907" s="22" t="s">
        <v>113</v>
      </c>
      <c r="G907" s="14">
        <v>64</v>
      </c>
      <c r="H907" s="40">
        <v>44845</v>
      </c>
      <c r="I907" s="46">
        <f t="shared" si="56"/>
        <v>469</v>
      </c>
      <c r="J907" s="1" t="s">
        <v>15</v>
      </c>
      <c r="K907" s="4" t="s">
        <v>211</v>
      </c>
      <c r="L907" s="4" t="s">
        <v>225</v>
      </c>
      <c r="M907" s="8">
        <v>120</v>
      </c>
      <c r="N907" s="5">
        <v>91.92</v>
      </c>
      <c r="O907" s="5">
        <v>11030.4</v>
      </c>
      <c r="P907">
        <f t="shared" si="57"/>
        <v>0</v>
      </c>
      <c r="Q907" s="36">
        <f t="shared" si="58"/>
        <v>5882.88</v>
      </c>
      <c r="R907">
        <f t="shared" si="59"/>
        <v>2022</v>
      </c>
    </row>
    <row r="908" spans="1:18" x14ac:dyDescent="0.2">
      <c r="A908" s="13">
        <v>45323</v>
      </c>
      <c r="B908" s="13">
        <v>45294</v>
      </c>
      <c r="C908" s="25" t="s">
        <v>399</v>
      </c>
      <c r="D908" s="20">
        <v>29</v>
      </c>
      <c r="E908" s="28">
        <v>5147.5200000000004</v>
      </c>
      <c r="F908" s="22" t="s">
        <v>113</v>
      </c>
      <c r="G908" s="14">
        <v>56</v>
      </c>
      <c r="H908" s="40">
        <v>44845</v>
      </c>
      <c r="I908" s="46">
        <f t="shared" si="56"/>
        <v>478</v>
      </c>
      <c r="J908" s="1" t="s">
        <v>15</v>
      </c>
      <c r="K908" s="4" t="s">
        <v>211</v>
      </c>
      <c r="L908" s="4" t="s">
        <v>225</v>
      </c>
      <c r="M908" s="8">
        <v>120</v>
      </c>
      <c r="N908" s="5">
        <v>91.92</v>
      </c>
      <c r="O908" s="5">
        <v>11030.4</v>
      </c>
      <c r="P908">
        <f t="shared" si="57"/>
        <v>0</v>
      </c>
      <c r="Q908" s="36">
        <f t="shared" si="58"/>
        <v>5147.5200000000004</v>
      </c>
      <c r="R908">
        <f t="shared" si="59"/>
        <v>2022</v>
      </c>
    </row>
    <row r="909" spans="1:18" x14ac:dyDescent="0.2">
      <c r="A909" s="13">
        <v>45323</v>
      </c>
      <c r="B909" s="13">
        <v>45294</v>
      </c>
      <c r="C909" s="25" t="s">
        <v>399</v>
      </c>
      <c r="D909" s="20">
        <v>29</v>
      </c>
      <c r="E909" s="28">
        <v>11030.4</v>
      </c>
      <c r="F909" s="22" t="s">
        <v>113</v>
      </c>
      <c r="G909" s="14">
        <v>120</v>
      </c>
      <c r="H909" s="40">
        <v>44858</v>
      </c>
      <c r="I909" s="46">
        <f t="shared" si="56"/>
        <v>465</v>
      </c>
      <c r="J909" s="1" t="s">
        <v>15</v>
      </c>
      <c r="K909" s="4" t="s">
        <v>211</v>
      </c>
      <c r="L909" s="4" t="s">
        <v>225</v>
      </c>
      <c r="M909" s="8">
        <v>120</v>
      </c>
      <c r="N909" s="5">
        <v>91.92</v>
      </c>
      <c r="O909" s="5">
        <v>11030.4</v>
      </c>
      <c r="P909">
        <f t="shared" si="57"/>
        <v>1</v>
      </c>
      <c r="Q909" s="36">
        <f t="shared" si="58"/>
        <v>11030.4</v>
      </c>
      <c r="R909">
        <f t="shared" si="59"/>
        <v>2022</v>
      </c>
    </row>
    <row r="910" spans="1:18" x14ac:dyDescent="0.2">
      <c r="A910" s="13">
        <v>45328</v>
      </c>
      <c r="B910" s="13">
        <v>45321</v>
      </c>
      <c r="C910" s="25" t="s">
        <v>399</v>
      </c>
      <c r="D910" s="20">
        <v>7</v>
      </c>
      <c r="E910" s="28">
        <v>5882.88</v>
      </c>
      <c r="F910" s="22" t="s">
        <v>113</v>
      </c>
      <c r="G910" s="14">
        <v>64</v>
      </c>
      <c r="H910" s="40">
        <v>44945</v>
      </c>
      <c r="I910" s="46">
        <f t="shared" si="56"/>
        <v>383</v>
      </c>
      <c r="J910" s="1" t="s">
        <v>15</v>
      </c>
      <c r="K910" s="4" t="s">
        <v>211</v>
      </c>
      <c r="L910" s="4" t="s">
        <v>225</v>
      </c>
      <c r="M910" s="8">
        <v>120</v>
      </c>
      <c r="N910" s="5">
        <v>91.92</v>
      </c>
      <c r="O910" s="5">
        <v>11030.4</v>
      </c>
      <c r="P910">
        <f t="shared" si="57"/>
        <v>0</v>
      </c>
      <c r="Q910" s="36">
        <f t="shared" si="58"/>
        <v>5882.88</v>
      </c>
      <c r="R910">
        <f t="shared" si="59"/>
        <v>2023</v>
      </c>
    </row>
    <row r="911" spans="1:18" x14ac:dyDescent="0.2">
      <c r="A911" s="13">
        <v>45413</v>
      </c>
      <c r="B911" s="13">
        <v>45321</v>
      </c>
      <c r="C911" s="25" t="s">
        <v>399</v>
      </c>
      <c r="D911" s="20">
        <v>92</v>
      </c>
      <c r="E911" s="28">
        <v>5147.5200000000004</v>
      </c>
      <c r="F911" s="22" t="s">
        <v>113</v>
      </c>
      <c r="G911" s="14">
        <v>56</v>
      </c>
      <c r="H911" s="40">
        <v>44945</v>
      </c>
      <c r="I911" s="46">
        <f t="shared" si="56"/>
        <v>468</v>
      </c>
      <c r="J911" s="1" t="s">
        <v>15</v>
      </c>
      <c r="K911" s="4" t="s">
        <v>211</v>
      </c>
      <c r="L911" s="4" t="s">
        <v>225</v>
      </c>
      <c r="M911" s="8">
        <v>120</v>
      </c>
      <c r="N911" s="5">
        <v>91.92</v>
      </c>
      <c r="O911" s="5">
        <v>11030.4</v>
      </c>
      <c r="P911">
        <f t="shared" si="57"/>
        <v>0</v>
      </c>
      <c r="Q911" s="36">
        <f t="shared" si="58"/>
        <v>5147.5200000000004</v>
      </c>
      <c r="R911">
        <f t="shared" si="59"/>
        <v>2023</v>
      </c>
    </row>
    <row r="912" spans="1:18" x14ac:dyDescent="0.2">
      <c r="A912" s="13">
        <v>45532</v>
      </c>
      <c r="B912" s="13">
        <v>45532</v>
      </c>
      <c r="C912" s="25" t="s">
        <v>398</v>
      </c>
      <c r="D912" s="20">
        <v>0</v>
      </c>
      <c r="E912" s="28">
        <v>11030.4</v>
      </c>
      <c r="F912" s="22" t="s">
        <v>113</v>
      </c>
      <c r="G912" s="14">
        <v>120</v>
      </c>
      <c r="H912" s="40">
        <v>44973</v>
      </c>
      <c r="I912" s="46">
        <f t="shared" si="56"/>
        <v>559</v>
      </c>
      <c r="J912" s="1" t="s">
        <v>15</v>
      </c>
      <c r="K912" s="4" t="s">
        <v>211</v>
      </c>
      <c r="L912" s="4" t="s">
        <v>225</v>
      </c>
      <c r="M912" s="8">
        <v>120</v>
      </c>
      <c r="N912" s="5">
        <v>91.92</v>
      </c>
      <c r="O912" s="5">
        <v>11030.4</v>
      </c>
      <c r="P912">
        <f t="shared" si="57"/>
        <v>1</v>
      </c>
      <c r="Q912" s="36">
        <f t="shared" si="58"/>
        <v>11030.4</v>
      </c>
      <c r="R912">
        <f t="shared" si="59"/>
        <v>2023</v>
      </c>
    </row>
    <row r="913" spans="1:18" x14ac:dyDescent="0.2">
      <c r="A913" s="13">
        <v>45314</v>
      </c>
      <c r="B913" s="13">
        <v>45231</v>
      </c>
      <c r="C913" s="25" t="s">
        <v>399</v>
      </c>
      <c r="D913" s="20">
        <v>83</v>
      </c>
      <c r="E913" s="28">
        <v>2767.5</v>
      </c>
      <c r="F913" s="22" t="s">
        <v>112</v>
      </c>
      <c r="G913" s="14">
        <v>27000</v>
      </c>
      <c r="H913" s="40">
        <v>44944</v>
      </c>
      <c r="I913" s="46">
        <f t="shared" si="56"/>
        <v>370</v>
      </c>
      <c r="J913" s="1" t="s">
        <v>15</v>
      </c>
      <c r="K913" s="4" t="s">
        <v>211</v>
      </c>
      <c r="L913" s="4" t="s">
        <v>225</v>
      </c>
      <c r="M913" s="8">
        <v>27000</v>
      </c>
      <c r="N913" s="5">
        <v>0.1</v>
      </c>
      <c r="O913" s="5">
        <v>2700</v>
      </c>
      <c r="P913">
        <f t="shared" si="57"/>
        <v>1</v>
      </c>
      <c r="Q913" s="36">
        <f t="shared" si="58"/>
        <v>2700</v>
      </c>
      <c r="R913">
        <f t="shared" si="59"/>
        <v>2023</v>
      </c>
    </row>
    <row r="914" spans="1:18" x14ac:dyDescent="0.2">
      <c r="A914" s="13">
        <v>45191</v>
      </c>
      <c r="B914" s="13">
        <v>45191</v>
      </c>
      <c r="C914" s="25" t="s">
        <v>398</v>
      </c>
      <c r="D914" s="20">
        <v>0</v>
      </c>
      <c r="E914" s="28">
        <v>7882.7</v>
      </c>
      <c r="F914" s="22" t="s">
        <v>65</v>
      </c>
      <c r="G914" s="14">
        <v>70</v>
      </c>
      <c r="H914" s="40">
        <v>44819</v>
      </c>
      <c r="I914" s="46">
        <f t="shared" si="56"/>
        <v>372</v>
      </c>
      <c r="J914" s="1" t="s">
        <v>15</v>
      </c>
      <c r="K914" s="4" t="s">
        <v>211</v>
      </c>
      <c r="L914" s="4" t="s">
        <v>225</v>
      </c>
      <c r="M914" s="8">
        <v>400</v>
      </c>
      <c r="N914" s="5">
        <v>112.61</v>
      </c>
      <c r="O914" s="5">
        <v>45044</v>
      </c>
      <c r="P914">
        <f t="shared" si="57"/>
        <v>0</v>
      </c>
      <c r="Q914" s="36">
        <f t="shared" si="58"/>
        <v>7882.7</v>
      </c>
      <c r="R914">
        <f t="shared" si="59"/>
        <v>2022</v>
      </c>
    </row>
    <row r="915" spans="1:18" x14ac:dyDescent="0.2">
      <c r="A915" s="13">
        <v>45195</v>
      </c>
      <c r="B915" s="13">
        <v>45191</v>
      </c>
      <c r="C915" s="25" t="s">
        <v>399</v>
      </c>
      <c r="D915" s="20">
        <v>4</v>
      </c>
      <c r="E915" s="28">
        <v>37161.300000000003</v>
      </c>
      <c r="F915" s="22" t="s">
        <v>65</v>
      </c>
      <c r="G915" s="14">
        <v>330</v>
      </c>
      <c r="H915" s="40">
        <v>44819</v>
      </c>
      <c r="I915" s="46">
        <f t="shared" si="56"/>
        <v>376</v>
      </c>
      <c r="J915" s="1" t="s">
        <v>15</v>
      </c>
      <c r="K915" s="4" t="s">
        <v>211</v>
      </c>
      <c r="L915" s="4" t="s">
        <v>225</v>
      </c>
      <c r="M915" s="8">
        <v>400</v>
      </c>
      <c r="N915" s="5">
        <v>112.61</v>
      </c>
      <c r="O915" s="5">
        <v>45044</v>
      </c>
      <c r="P915">
        <f t="shared" si="57"/>
        <v>0</v>
      </c>
      <c r="Q915" s="36">
        <f t="shared" si="58"/>
        <v>37161.300000000003</v>
      </c>
      <c r="R915">
        <f t="shared" si="59"/>
        <v>2022</v>
      </c>
    </row>
    <row r="916" spans="1:18" x14ac:dyDescent="0.2">
      <c r="A916" s="13">
        <v>45233</v>
      </c>
      <c r="B916" s="13">
        <v>45233</v>
      </c>
      <c r="C916" s="25" t="s">
        <v>398</v>
      </c>
      <c r="D916" s="20">
        <v>0</v>
      </c>
      <c r="E916" s="28">
        <v>22522</v>
      </c>
      <c r="F916" s="22" t="s">
        <v>65</v>
      </c>
      <c r="G916" s="14">
        <v>200</v>
      </c>
      <c r="H916" s="40">
        <v>44834</v>
      </c>
      <c r="I916" s="46">
        <f t="shared" si="56"/>
        <v>399</v>
      </c>
      <c r="J916" s="1" t="s">
        <v>15</v>
      </c>
      <c r="K916" s="4" t="s">
        <v>211</v>
      </c>
      <c r="L916" s="4" t="s">
        <v>225</v>
      </c>
      <c r="M916" s="8">
        <v>200</v>
      </c>
      <c r="N916" s="5">
        <v>112.61</v>
      </c>
      <c r="O916" s="5">
        <v>22522</v>
      </c>
      <c r="P916">
        <f t="shared" si="57"/>
        <v>1</v>
      </c>
      <c r="Q916" s="36">
        <f t="shared" si="58"/>
        <v>22522</v>
      </c>
      <c r="R916">
        <f t="shared" si="59"/>
        <v>2022</v>
      </c>
    </row>
    <row r="917" spans="1:18" x14ac:dyDescent="0.2">
      <c r="A917" s="13">
        <v>45240</v>
      </c>
      <c r="B917" s="13">
        <v>45240</v>
      </c>
      <c r="C917" s="25" t="s">
        <v>398</v>
      </c>
      <c r="D917" s="20">
        <v>0</v>
      </c>
      <c r="E917" s="28">
        <v>45044</v>
      </c>
      <c r="F917" s="22" t="s">
        <v>65</v>
      </c>
      <c r="G917" s="14">
        <v>400</v>
      </c>
      <c r="H917" s="40">
        <v>44834</v>
      </c>
      <c r="I917" s="46">
        <f t="shared" si="56"/>
        <v>406</v>
      </c>
      <c r="J917" s="1" t="s">
        <v>15</v>
      </c>
      <c r="K917" s="4" t="s">
        <v>211</v>
      </c>
      <c r="L917" s="4" t="s">
        <v>225</v>
      </c>
      <c r="M917" s="8">
        <v>400</v>
      </c>
      <c r="N917" s="5">
        <v>112.61</v>
      </c>
      <c r="O917" s="5">
        <v>45044</v>
      </c>
      <c r="P917">
        <f t="shared" si="57"/>
        <v>1</v>
      </c>
      <c r="Q917" s="36">
        <f t="shared" si="58"/>
        <v>45044</v>
      </c>
      <c r="R917">
        <f t="shared" si="59"/>
        <v>2022</v>
      </c>
    </row>
    <row r="918" spans="1:18" x14ac:dyDescent="0.2">
      <c r="A918" s="13">
        <v>45247</v>
      </c>
      <c r="B918" s="13">
        <v>45247</v>
      </c>
      <c r="C918" s="25" t="s">
        <v>398</v>
      </c>
      <c r="D918" s="20">
        <v>0</v>
      </c>
      <c r="E918" s="28">
        <v>22522</v>
      </c>
      <c r="F918" s="22" t="s">
        <v>65</v>
      </c>
      <c r="G918" s="14">
        <v>200</v>
      </c>
      <c r="H918" s="40">
        <v>44834</v>
      </c>
      <c r="I918" s="46">
        <f t="shared" si="56"/>
        <v>413</v>
      </c>
      <c r="J918" s="1" t="s">
        <v>15</v>
      </c>
      <c r="K918" s="4" t="s">
        <v>211</v>
      </c>
      <c r="L918" s="4" t="s">
        <v>225</v>
      </c>
      <c r="M918" s="8">
        <v>200</v>
      </c>
      <c r="N918" s="5">
        <v>112.61</v>
      </c>
      <c r="O918" s="5">
        <v>22522</v>
      </c>
      <c r="P918">
        <f t="shared" si="57"/>
        <v>1</v>
      </c>
      <c r="Q918" s="36">
        <f t="shared" si="58"/>
        <v>22522</v>
      </c>
      <c r="R918">
        <f t="shared" si="59"/>
        <v>2022</v>
      </c>
    </row>
    <row r="919" spans="1:18" x14ac:dyDescent="0.2">
      <c r="A919" s="13">
        <v>45240</v>
      </c>
      <c r="B919" s="13">
        <v>45240</v>
      </c>
      <c r="C919" s="25" t="s">
        <v>398</v>
      </c>
      <c r="D919" s="20">
        <v>0</v>
      </c>
      <c r="E919" s="28">
        <v>45044</v>
      </c>
      <c r="F919" s="22" t="s">
        <v>65</v>
      </c>
      <c r="G919" s="14">
        <v>400</v>
      </c>
      <c r="H919" s="40">
        <v>44848</v>
      </c>
      <c r="I919" s="46">
        <f t="shared" si="56"/>
        <v>392</v>
      </c>
      <c r="J919" s="1" t="s">
        <v>15</v>
      </c>
      <c r="K919" s="4" t="s">
        <v>211</v>
      </c>
      <c r="L919" s="4" t="s">
        <v>225</v>
      </c>
      <c r="M919" s="8">
        <v>400</v>
      </c>
      <c r="N919" s="5">
        <v>112.61</v>
      </c>
      <c r="O919" s="5">
        <v>45044</v>
      </c>
      <c r="P919">
        <f t="shared" si="57"/>
        <v>1</v>
      </c>
      <c r="Q919" s="36">
        <f t="shared" si="58"/>
        <v>45044</v>
      </c>
      <c r="R919">
        <f t="shared" si="59"/>
        <v>2022</v>
      </c>
    </row>
    <row r="920" spans="1:18" x14ac:dyDescent="0.2">
      <c r="A920" s="13">
        <v>45254</v>
      </c>
      <c r="B920" s="13">
        <v>45254</v>
      </c>
      <c r="C920" s="25" t="s">
        <v>398</v>
      </c>
      <c r="D920" s="20">
        <v>0</v>
      </c>
      <c r="E920" s="28">
        <v>22522</v>
      </c>
      <c r="F920" s="22" t="s">
        <v>65</v>
      </c>
      <c r="G920" s="14">
        <v>200</v>
      </c>
      <c r="H920" s="40">
        <v>44848</v>
      </c>
      <c r="I920" s="46">
        <f t="shared" si="56"/>
        <v>406</v>
      </c>
      <c r="J920" s="1" t="s">
        <v>15</v>
      </c>
      <c r="K920" s="4" t="s">
        <v>211</v>
      </c>
      <c r="L920" s="4" t="s">
        <v>225</v>
      </c>
      <c r="M920" s="8">
        <v>200</v>
      </c>
      <c r="N920" s="5">
        <v>112.61</v>
      </c>
      <c r="O920" s="5">
        <v>22522</v>
      </c>
      <c r="P920">
        <f t="shared" si="57"/>
        <v>1</v>
      </c>
      <c r="Q920" s="36">
        <f t="shared" si="58"/>
        <v>22522</v>
      </c>
      <c r="R920">
        <f t="shared" si="59"/>
        <v>2022</v>
      </c>
    </row>
    <row r="921" spans="1:18" x14ac:dyDescent="0.2">
      <c r="A921" s="13">
        <v>45317</v>
      </c>
      <c r="B921" s="13">
        <v>45317</v>
      </c>
      <c r="C921" s="25" t="s">
        <v>398</v>
      </c>
      <c r="D921" s="20">
        <v>0</v>
      </c>
      <c r="E921" s="28">
        <v>45044</v>
      </c>
      <c r="F921" s="22" t="s">
        <v>65</v>
      </c>
      <c r="G921" s="14">
        <v>400</v>
      </c>
      <c r="H921" s="40">
        <v>44932</v>
      </c>
      <c r="I921" s="46">
        <f t="shared" si="56"/>
        <v>385</v>
      </c>
      <c r="J921" s="1" t="s">
        <v>15</v>
      </c>
      <c r="K921" s="4" t="s">
        <v>211</v>
      </c>
      <c r="L921" s="4" t="s">
        <v>225</v>
      </c>
      <c r="M921" s="8">
        <v>400</v>
      </c>
      <c r="N921" s="5">
        <v>112.61</v>
      </c>
      <c r="O921" s="5">
        <v>45044</v>
      </c>
      <c r="P921">
        <f t="shared" si="57"/>
        <v>1</v>
      </c>
      <c r="Q921" s="36">
        <f t="shared" si="58"/>
        <v>45044</v>
      </c>
      <c r="R921">
        <f t="shared" si="59"/>
        <v>2023</v>
      </c>
    </row>
    <row r="922" spans="1:18" x14ac:dyDescent="0.2">
      <c r="A922" s="13">
        <v>45328</v>
      </c>
      <c r="B922" s="13">
        <v>45149</v>
      </c>
      <c r="C922" s="25" t="s">
        <v>399</v>
      </c>
      <c r="D922" s="20">
        <v>179</v>
      </c>
      <c r="E922" s="28">
        <v>22522</v>
      </c>
      <c r="F922" s="22" t="s">
        <v>65</v>
      </c>
      <c r="G922" s="14">
        <v>200</v>
      </c>
      <c r="H922" s="40">
        <v>44932</v>
      </c>
      <c r="I922" s="46">
        <f t="shared" si="56"/>
        <v>396</v>
      </c>
      <c r="J922" s="1" t="s">
        <v>15</v>
      </c>
      <c r="K922" s="4" t="s">
        <v>211</v>
      </c>
      <c r="L922" s="4" t="s">
        <v>225</v>
      </c>
      <c r="M922" s="8">
        <v>200</v>
      </c>
      <c r="N922" s="5">
        <v>112.61</v>
      </c>
      <c r="O922" s="5">
        <v>22522</v>
      </c>
      <c r="P922">
        <f t="shared" si="57"/>
        <v>1</v>
      </c>
      <c r="Q922" s="36">
        <f t="shared" si="58"/>
        <v>22522</v>
      </c>
      <c r="R922">
        <f t="shared" si="59"/>
        <v>2023</v>
      </c>
    </row>
    <row r="923" spans="1:18" x14ac:dyDescent="0.2">
      <c r="A923" s="13">
        <v>45328</v>
      </c>
      <c r="B923" s="13">
        <v>45149</v>
      </c>
      <c r="C923" s="25" t="s">
        <v>399</v>
      </c>
      <c r="D923" s="20">
        <v>179</v>
      </c>
      <c r="E923" s="28">
        <v>7882.7</v>
      </c>
      <c r="F923" s="22" t="s">
        <v>65</v>
      </c>
      <c r="G923" s="14">
        <v>70</v>
      </c>
      <c r="H923" s="40">
        <v>44932</v>
      </c>
      <c r="I923" s="46">
        <f t="shared" si="56"/>
        <v>396</v>
      </c>
      <c r="J923" s="1" t="s">
        <v>15</v>
      </c>
      <c r="K923" s="4" t="s">
        <v>211</v>
      </c>
      <c r="L923" s="4" t="s">
        <v>225</v>
      </c>
      <c r="M923" s="8">
        <v>200</v>
      </c>
      <c r="N923" s="5">
        <v>112.61</v>
      </c>
      <c r="O923" s="5">
        <v>22522</v>
      </c>
      <c r="P923">
        <f t="shared" si="57"/>
        <v>0</v>
      </c>
      <c r="Q923" s="36">
        <f t="shared" si="58"/>
        <v>7882.7</v>
      </c>
      <c r="R923">
        <f t="shared" si="59"/>
        <v>2023</v>
      </c>
    </row>
    <row r="924" spans="1:18" x14ac:dyDescent="0.2">
      <c r="A924" s="13">
        <v>45330</v>
      </c>
      <c r="B924" s="13">
        <v>45149</v>
      </c>
      <c r="C924" s="25" t="s">
        <v>399</v>
      </c>
      <c r="D924" s="20">
        <v>181</v>
      </c>
      <c r="E924" s="28">
        <v>14639.3</v>
      </c>
      <c r="F924" s="22" t="s">
        <v>65</v>
      </c>
      <c r="G924" s="14">
        <v>130</v>
      </c>
      <c r="H924" s="40">
        <v>44932</v>
      </c>
      <c r="I924" s="46">
        <f t="shared" si="56"/>
        <v>398</v>
      </c>
      <c r="J924" s="1" t="s">
        <v>15</v>
      </c>
      <c r="K924" s="4" t="s">
        <v>211</v>
      </c>
      <c r="L924" s="4" t="s">
        <v>225</v>
      </c>
      <c r="M924" s="8">
        <v>200</v>
      </c>
      <c r="N924" s="5">
        <v>112.61</v>
      </c>
      <c r="O924" s="5">
        <v>22522</v>
      </c>
      <c r="P924">
        <f t="shared" si="57"/>
        <v>0</v>
      </c>
      <c r="Q924" s="36">
        <f t="shared" si="58"/>
        <v>14639.3</v>
      </c>
      <c r="R924">
        <f t="shared" si="59"/>
        <v>2023</v>
      </c>
    </row>
    <row r="925" spans="1:18" x14ac:dyDescent="0.2">
      <c r="A925" s="13">
        <v>45330</v>
      </c>
      <c r="B925" s="13">
        <v>45146</v>
      </c>
      <c r="C925" s="25" t="s">
        <v>399</v>
      </c>
      <c r="D925" s="20">
        <v>184</v>
      </c>
      <c r="E925" s="28">
        <v>22522</v>
      </c>
      <c r="F925" s="22" t="s">
        <v>65</v>
      </c>
      <c r="G925" s="14">
        <v>200</v>
      </c>
      <c r="H925" s="40">
        <v>44932</v>
      </c>
      <c r="I925" s="46">
        <f t="shared" si="56"/>
        <v>398</v>
      </c>
      <c r="J925" s="1" t="s">
        <v>15</v>
      </c>
      <c r="K925" s="4" t="s">
        <v>211</v>
      </c>
      <c r="L925" s="4" t="s">
        <v>225</v>
      </c>
      <c r="M925" s="8">
        <v>200</v>
      </c>
      <c r="N925" s="5">
        <v>112.61</v>
      </c>
      <c r="O925" s="5">
        <v>22522</v>
      </c>
      <c r="P925">
        <f t="shared" si="57"/>
        <v>1</v>
      </c>
      <c r="Q925" s="36">
        <f t="shared" si="58"/>
        <v>22522</v>
      </c>
      <c r="R925">
        <f t="shared" si="59"/>
        <v>2023</v>
      </c>
    </row>
    <row r="926" spans="1:18" x14ac:dyDescent="0.2">
      <c r="A926" s="13">
        <v>45330</v>
      </c>
      <c r="B926" s="13">
        <v>45138</v>
      </c>
      <c r="C926" s="25" t="s">
        <v>399</v>
      </c>
      <c r="D926" s="20">
        <v>192</v>
      </c>
      <c r="E926" s="28">
        <v>22522</v>
      </c>
      <c r="F926" s="22" t="s">
        <v>65</v>
      </c>
      <c r="G926" s="14">
        <v>200</v>
      </c>
      <c r="H926" s="40">
        <v>44932</v>
      </c>
      <c r="I926" s="46">
        <f t="shared" si="56"/>
        <v>398</v>
      </c>
      <c r="J926" s="1" t="s">
        <v>15</v>
      </c>
      <c r="K926" s="4" t="s">
        <v>211</v>
      </c>
      <c r="L926" s="4" t="s">
        <v>225</v>
      </c>
      <c r="M926" s="8">
        <v>200</v>
      </c>
      <c r="N926" s="5">
        <v>112.61</v>
      </c>
      <c r="O926" s="5">
        <v>22522</v>
      </c>
      <c r="P926">
        <f t="shared" si="57"/>
        <v>1</v>
      </c>
      <c r="Q926" s="36">
        <f t="shared" si="58"/>
        <v>22522</v>
      </c>
      <c r="R926">
        <f t="shared" si="59"/>
        <v>2023</v>
      </c>
    </row>
    <row r="927" spans="1:18" x14ac:dyDescent="0.2">
      <c r="A927" s="13">
        <v>45330</v>
      </c>
      <c r="B927" s="13">
        <v>45153</v>
      </c>
      <c r="C927" s="25" t="s">
        <v>399</v>
      </c>
      <c r="D927" s="20">
        <v>177</v>
      </c>
      <c r="E927" s="28">
        <v>7882.7</v>
      </c>
      <c r="F927" s="22" t="s">
        <v>65</v>
      </c>
      <c r="G927" s="14">
        <v>70</v>
      </c>
      <c r="H927" s="40">
        <v>44939</v>
      </c>
      <c r="I927" s="46">
        <f t="shared" si="56"/>
        <v>391</v>
      </c>
      <c r="J927" s="1" t="s">
        <v>15</v>
      </c>
      <c r="K927" s="4" t="s">
        <v>211</v>
      </c>
      <c r="L927" s="4" t="s">
        <v>225</v>
      </c>
      <c r="M927" s="8">
        <v>200</v>
      </c>
      <c r="N927" s="5">
        <v>112.61</v>
      </c>
      <c r="O927" s="5">
        <v>22522</v>
      </c>
      <c r="P927">
        <f t="shared" si="57"/>
        <v>0</v>
      </c>
      <c r="Q927" s="36">
        <f t="shared" si="58"/>
        <v>7882.7</v>
      </c>
      <c r="R927">
        <f t="shared" si="59"/>
        <v>2023</v>
      </c>
    </row>
    <row r="928" spans="1:18" x14ac:dyDescent="0.2">
      <c r="A928" s="13">
        <v>45338</v>
      </c>
      <c r="B928" s="13">
        <v>45153</v>
      </c>
      <c r="C928" s="25" t="s">
        <v>399</v>
      </c>
      <c r="D928" s="20">
        <v>185</v>
      </c>
      <c r="E928" s="28">
        <v>14639.3</v>
      </c>
      <c r="F928" s="22" t="s">
        <v>65</v>
      </c>
      <c r="G928" s="14">
        <v>130</v>
      </c>
      <c r="H928" s="40">
        <v>44939</v>
      </c>
      <c r="I928" s="46">
        <f t="shared" si="56"/>
        <v>399</v>
      </c>
      <c r="J928" s="1" t="s">
        <v>15</v>
      </c>
      <c r="K928" s="4" t="s">
        <v>211</v>
      </c>
      <c r="L928" s="4" t="s">
        <v>225</v>
      </c>
      <c r="M928" s="8">
        <v>200</v>
      </c>
      <c r="N928" s="5">
        <v>112.61</v>
      </c>
      <c r="O928" s="5">
        <v>22522</v>
      </c>
      <c r="P928">
        <f t="shared" si="57"/>
        <v>0</v>
      </c>
      <c r="Q928" s="36">
        <f t="shared" si="58"/>
        <v>14639.3</v>
      </c>
      <c r="R928">
        <f t="shared" si="59"/>
        <v>2023</v>
      </c>
    </row>
    <row r="929" spans="1:18" x14ac:dyDescent="0.2">
      <c r="A929" s="13">
        <v>45338</v>
      </c>
      <c r="B929" s="13">
        <v>45169</v>
      </c>
      <c r="C929" s="25" t="s">
        <v>399</v>
      </c>
      <c r="D929" s="20">
        <v>169</v>
      </c>
      <c r="E929" s="28">
        <v>30404.7</v>
      </c>
      <c r="F929" s="22" t="s">
        <v>65</v>
      </c>
      <c r="G929" s="14">
        <v>270</v>
      </c>
      <c r="H929" s="40">
        <v>44967</v>
      </c>
      <c r="I929" s="46">
        <f t="shared" si="56"/>
        <v>371</v>
      </c>
      <c r="J929" s="1" t="s">
        <v>15</v>
      </c>
      <c r="K929" s="4" t="s">
        <v>211</v>
      </c>
      <c r="L929" s="4" t="s">
        <v>225</v>
      </c>
      <c r="M929" s="8">
        <v>400</v>
      </c>
      <c r="N929" s="5">
        <v>112.61</v>
      </c>
      <c r="O929" s="5">
        <v>45044</v>
      </c>
      <c r="P929">
        <f t="shared" si="57"/>
        <v>0</v>
      </c>
      <c r="Q929" s="36">
        <f t="shared" si="58"/>
        <v>30404.7</v>
      </c>
      <c r="R929">
        <f t="shared" si="59"/>
        <v>2023</v>
      </c>
    </row>
    <row r="930" spans="1:18" x14ac:dyDescent="0.2">
      <c r="A930" s="13">
        <v>45379</v>
      </c>
      <c r="B930" s="13">
        <v>45169</v>
      </c>
      <c r="C930" s="25" t="s">
        <v>399</v>
      </c>
      <c r="D930" s="20">
        <v>210</v>
      </c>
      <c r="E930" s="28">
        <v>14639.3</v>
      </c>
      <c r="F930" s="22" t="s">
        <v>65</v>
      </c>
      <c r="G930" s="14">
        <v>130</v>
      </c>
      <c r="H930" s="40">
        <v>44967</v>
      </c>
      <c r="I930" s="46">
        <f t="shared" si="56"/>
        <v>412</v>
      </c>
      <c r="J930" s="1" t="s">
        <v>15</v>
      </c>
      <c r="K930" s="4" t="s">
        <v>211</v>
      </c>
      <c r="L930" s="4" t="s">
        <v>225</v>
      </c>
      <c r="M930" s="8">
        <v>400</v>
      </c>
      <c r="N930" s="5">
        <v>112.61</v>
      </c>
      <c r="O930" s="5">
        <v>45044</v>
      </c>
      <c r="P930">
        <f t="shared" si="57"/>
        <v>0</v>
      </c>
      <c r="Q930" s="36">
        <f t="shared" si="58"/>
        <v>14639.3</v>
      </c>
      <c r="R930">
        <f t="shared" si="59"/>
        <v>2023</v>
      </c>
    </row>
    <row r="931" spans="1:18" x14ac:dyDescent="0.2">
      <c r="A931" s="13">
        <v>45338</v>
      </c>
      <c r="B931" s="13">
        <v>45169</v>
      </c>
      <c r="C931" s="25" t="s">
        <v>399</v>
      </c>
      <c r="D931" s="20">
        <v>169</v>
      </c>
      <c r="E931" s="28">
        <v>22522</v>
      </c>
      <c r="F931" s="22" t="s">
        <v>65</v>
      </c>
      <c r="G931" s="14">
        <v>200</v>
      </c>
      <c r="H931" s="40">
        <v>44967</v>
      </c>
      <c r="I931" s="46">
        <f t="shared" si="56"/>
        <v>371</v>
      </c>
      <c r="J931" s="1" t="s">
        <v>15</v>
      </c>
      <c r="K931" s="4" t="s">
        <v>211</v>
      </c>
      <c r="L931" s="4" t="s">
        <v>225</v>
      </c>
      <c r="M931" s="8">
        <v>200</v>
      </c>
      <c r="N931" s="5">
        <v>112.61</v>
      </c>
      <c r="O931" s="5">
        <v>22522</v>
      </c>
      <c r="P931">
        <f t="shared" si="57"/>
        <v>1</v>
      </c>
      <c r="Q931" s="36">
        <f t="shared" si="58"/>
        <v>22522</v>
      </c>
      <c r="R931">
        <f t="shared" si="59"/>
        <v>2023</v>
      </c>
    </row>
    <row r="932" spans="1:18" x14ac:dyDescent="0.2">
      <c r="A932" s="13">
        <v>45379</v>
      </c>
      <c r="B932" s="13">
        <v>45170</v>
      </c>
      <c r="C932" s="25" t="s">
        <v>399</v>
      </c>
      <c r="D932" s="20">
        <v>209</v>
      </c>
      <c r="E932" s="28">
        <v>22522</v>
      </c>
      <c r="F932" s="22" t="s">
        <v>65</v>
      </c>
      <c r="G932" s="14">
        <v>200</v>
      </c>
      <c r="H932" s="40">
        <v>44973</v>
      </c>
      <c r="I932" s="46">
        <f t="shared" si="56"/>
        <v>406</v>
      </c>
      <c r="J932" s="1" t="s">
        <v>15</v>
      </c>
      <c r="K932" s="4" t="s">
        <v>211</v>
      </c>
      <c r="L932" s="4" t="s">
        <v>225</v>
      </c>
      <c r="M932" s="8">
        <v>200</v>
      </c>
      <c r="N932" s="5">
        <v>112.61</v>
      </c>
      <c r="O932" s="5">
        <v>22522</v>
      </c>
      <c r="P932">
        <f t="shared" si="57"/>
        <v>1</v>
      </c>
      <c r="Q932" s="36">
        <f t="shared" si="58"/>
        <v>22522</v>
      </c>
      <c r="R932">
        <f t="shared" si="59"/>
        <v>2023</v>
      </c>
    </row>
    <row r="933" spans="1:18" x14ac:dyDescent="0.2">
      <c r="A933" s="13">
        <v>45195</v>
      </c>
      <c r="B933" s="13">
        <v>45170</v>
      </c>
      <c r="C933" s="25" t="s">
        <v>399</v>
      </c>
      <c r="D933" s="20">
        <v>25</v>
      </c>
      <c r="E933" s="28">
        <v>7882.7</v>
      </c>
      <c r="F933" s="22" t="s">
        <v>65</v>
      </c>
      <c r="G933" s="14">
        <v>70</v>
      </c>
      <c r="H933" s="40">
        <v>44978</v>
      </c>
      <c r="I933" s="46">
        <f t="shared" si="56"/>
        <v>217</v>
      </c>
      <c r="J933" s="1" t="s">
        <v>15</v>
      </c>
      <c r="K933" s="4" t="s">
        <v>211</v>
      </c>
      <c r="L933" s="4" t="s">
        <v>225</v>
      </c>
      <c r="M933" s="8">
        <v>400</v>
      </c>
      <c r="N933" s="5">
        <v>112.61</v>
      </c>
      <c r="O933" s="5">
        <v>45044</v>
      </c>
      <c r="P933">
        <f t="shared" si="57"/>
        <v>0</v>
      </c>
      <c r="Q933" s="36">
        <f t="shared" si="58"/>
        <v>7882.7</v>
      </c>
      <c r="R933">
        <f t="shared" si="59"/>
        <v>2023</v>
      </c>
    </row>
    <row r="934" spans="1:18" x14ac:dyDescent="0.2">
      <c r="A934" s="13">
        <v>45316</v>
      </c>
      <c r="B934" s="13">
        <v>45170</v>
      </c>
      <c r="C934" s="25" t="s">
        <v>399</v>
      </c>
      <c r="D934" s="20">
        <v>146</v>
      </c>
      <c r="E934" s="28">
        <v>22522</v>
      </c>
      <c r="F934" s="22" t="s">
        <v>65</v>
      </c>
      <c r="G934" s="14">
        <v>200</v>
      </c>
      <c r="H934" s="40">
        <v>44978</v>
      </c>
      <c r="I934" s="46">
        <f t="shared" si="56"/>
        <v>338</v>
      </c>
      <c r="J934" s="1" t="s">
        <v>15</v>
      </c>
      <c r="K934" s="4" t="s">
        <v>211</v>
      </c>
      <c r="L934" s="4" t="s">
        <v>225</v>
      </c>
      <c r="M934" s="8">
        <v>400</v>
      </c>
      <c r="N934" s="5">
        <v>112.61</v>
      </c>
      <c r="O934" s="5">
        <v>45044</v>
      </c>
      <c r="P934">
        <f t="shared" si="57"/>
        <v>0</v>
      </c>
      <c r="Q934" s="36">
        <f t="shared" si="58"/>
        <v>22522</v>
      </c>
      <c r="R934">
        <f t="shared" si="59"/>
        <v>2023</v>
      </c>
    </row>
    <row r="935" spans="1:18" x14ac:dyDescent="0.2">
      <c r="A935" s="13">
        <v>45328</v>
      </c>
      <c r="B935" s="13">
        <v>45170</v>
      </c>
      <c r="C935" s="25" t="s">
        <v>399</v>
      </c>
      <c r="D935" s="20">
        <v>158</v>
      </c>
      <c r="E935" s="28">
        <v>14639.3</v>
      </c>
      <c r="F935" s="22" t="s">
        <v>65</v>
      </c>
      <c r="G935" s="14">
        <v>130</v>
      </c>
      <c r="H935" s="40">
        <v>44978</v>
      </c>
      <c r="I935" s="46">
        <f t="shared" si="56"/>
        <v>350</v>
      </c>
      <c r="J935" s="1" t="s">
        <v>15</v>
      </c>
      <c r="K935" s="4" t="s">
        <v>211</v>
      </c>
      <c r="L935" s="4" t="s">
        <v>225</v>
      </c>
      <c r="M935" s="8">
        <v>400</v>
      </c>
      <c r="N935" s="5">
        <v>112.61</v>
      </c>
      <c r="O935" s="5">
        <v>45044</v>
      </c>
      <c r="P935">
        <f t="shared" si="57"/>
        <v>0</v>
      </c>
      <c r="Q935" s="36">
        <f t="shared" si="58"/>
        <v>14639.3</v>
      </c>
      <c r="R935">
        <f t="shared" si="59"/>
        <v>2023</v>
      </c>
    </row>
    <row r="936" spans="1:18" x14ac:dyDescent="0.2">
      <c r="A936" s="13">
        <v>45401</v>
      </c>
      <c r="B936" s="13">
        <v>45401</v>
      </c>
      <c r="C936" s="25" t="s">
        <v>398</v>
      </c>
      <c r="D936" s="20">
        <v>0</v>
      </c>
      <c r="E936" s="28">
        <v>22522</v>
      </c>
      <c r="F936" s="22" t="s">
        <v>65</v>
      </c>
      <c r="G936" s="14">
        <v>200</v>
      </c>
      <c r="H936" s="40">
        <v>44995</v>
      </c>
      <c r="I936" s="46">
        <f t="shared" si="56"/>
        <v>406</v>
      </c>
      <c r="J936" s="1" t="s">
        <v>15</v>
      </c>
      <c r="K936" s="4" t="s">
        <v>211</v>
      </c>
      <c r="L936" s="4" t="s">
        <v>225</v>
      </c>
      <c r="M936" s="8">
        <v>200</v>
      </c>
      <c r="N936" s="5">
        <v>112.61</v>
      </c>
      <c r="O936" s="5">
        <v>22522</v>
      </c>
      <c r="P936">
        <f t="shared" si="57"/>
        <v>1</v>
      </c>
      <c r="Q936" s="36">
        <f t="shared" si="58"/>
        <v>22522</v>
      </c>
      <c r="R936">
        <f t="shared" si="59"/>
        <v>2023</v>
      </c>
    </row>
    <row r="937" spans="1:18" x14ac:dyDescent="0.2">
      <c r="A937" s="13">
        <v>45408</v>
      </c>
      <c r="B937" s="13">
        <v>45408</v>
      </c>
      <c r="C937" s="25" t="s">
        <v>398</v>
      </c>
      <c r="D937" s="20">
        <v>0</v>
      </c>
      <c r="E937" s="28">
        <v>45044</v>
      </c>
      <c r="F937" s="22" t="s">
        <v>65</v>
      </c>
      <c r="G937" s="14">
        <v>400</v>
      </c>
      <c r="H937" s="40">
        <v>44995</v>
      </c>
      <c r="I937" s="46">
        <f t="shared" si="56"/>
        <v>413</v>
      </c>
      <c r="J937" s="1" t="s">
        <v>15</v>
      </c>
      <c r="K937" s="4" t="s">
        <v>211</v>
      </c>
      <c r="L937" s="4" t="s">
        <v>225</v>
      </c>
      <c r="M937" s="8">
        <v>400</v>
      </c>
      <c r="N937" s="5">
        <v>112.61</v>
      </c>
      <c r="O937" s="5">
        <v>45044</v>
      </c>
      <c r="P937">
        <f t="shared" si="57"/>
        <v>1</v>
      </c>
      <c r="Q937" s="36">
        <f t="shared" si="58"/>
        <v>45044</v>
      </c>
      <c r="R937">
        <f t="shared" si="59"/>
        <v>2023</v>
      </c>
    </row>
    <row r="938" spans="1:18" x14ac:dyDescent="0.2">
      <c r="A938" s="13">
        <v>45463</v>
      </c>
      <c r="B938" s="13">
        <v>45463</v>
      </c>
      <c r="C938" s="25" t="s">
        <v>398</v>
      </c>
      <c r="D938" s="20">
        <v>0</v>
      </c>
      <c r="E938" s="28">
        <v>22522</v>
      </c>
      <c r="F938" s="22" t="s">
        <v>65</v>
      </c>
      <c r="G938" s="14">
        <v>200</v>
      </c>
      <c r="H938" s="40">
        <v>45105</v>
      </c>
      <c r="I938" s="46">
        <f t="shared" si="56"/>
        <v>358</v>
      </c>
      <c r="J938" s="1" t="s">
        <v>15</v>
      </c>
      <c r="K938" s="4" t="s">
        <v>211</v>
      </c>
      <c r="L938" s="4" t="s">
        <v>225</v>
      </c>
      <c r="M938" s="8">
        <v>200</v>
      </c>
      <c r="N938" s="5">
        <v>112.61</v>
      </c>
      <c r="O938" s="5">
        <v>22522</v>
      </c>
      <c r="P938">
        <f t="shared" si="57"/>
        <v>1</v>
      </c>
      <c r="Q938" s="36">
        <f t="shared" si="58"/>
        <v>22522</v>
      </c>
      <c r="R938">
        <f t="shared" si="59"/>
        <v>2023</v>
      </c>
    </row>
    <row r="939" spans="1:18" x14ac:dyDescent="0.2">
      <c r="A939" s="13">
        <v>45485</v>
      </c>
      <c r="B939" s="13">
        <v>45485</v>
      </c>
      <c r="C939" s="25" t="s">
        <v>398</v>
      </c>
      <c r="D939" s="20">
        <v>0</v>
      </c>
      <c r="E939" s="28">
        <v>45044</v>
      </c>
      <c r="F939" s="22" t="s">
        <v>65</v>
      </c>
      <c r="G939" s="14">
        <v>400</v>
      </c>
      <c r="H939" s="40">
        <v>45112</v>
      </c>
      <c r="I939" s="46">
        <f t="shared" si="56"/>
        <v>373</v>
      </c>
      <c r="J939" s="1" t="s">
        <v>15</v>
      </c>
      <c r="K939" s="4" t="s">
        <v>211</v>
      </c>
      <c r="L939" s="4" t="s">
        <v>225</v>
      </c>
      <c r="M939" s="8">
        <v>400</v>
      </c>
      <c r="N939" s="5">
        <v>112.61</v>
      </c>
      <c r="O939" s="5">
        <v>45044</v>
      </c>
      <c r="P939">
        <f t="shared" si="57"/>
        <v>1</v>
      </c>
      <c r="Q939" s="36">
        <f t="shared" si="58"/>
        <v>45044</v>
      </c>
      <c r="R939">
        <f t="shared" si="59"/>
        <v>2023</v>
      </c>
    </row>
    <row r="940" spans="1:18" x14ac:dyDescent="0.2">
      <c r="A940" s="13">
        <v>45483</v>
      </c>
      <c r="B940" s="13">
        <v>45483</v>
      </c>
      <c r="C940" s="25" t="s">
        <v>398</v>
      </c>
      <c r="D940" s="20">
        <v>0</v>
      </c>
      <c r="E940" s="28">
        <v>30404.7</v>
      </c>
      <c r="F940" s="22" t="s">
        <v>65</v>
      </c>
      <c r="G940" s="14">
        <v>270</v>
      </c>
      <c r="H940" s="40">
        <v>45125</v>
      </c>
      <c r="I940" s="46">
        <f t="shared" si="56"/>
        <v>358</v>
      </c>
      <c r="J940" s="1" t="s">
        <v>15</v>
      </c>
      <c r="K940" s="4" t="s">
        <v>211</v>
      </c>
      <c r="L940" s="4" t="s">
        <v>225</v>
      </c>
      <c r="M940" s="8">
        <v>400</v>
      </c>
      <c r="N940" s="5">
        <v>112.61</v>
      </c>
      <c r="O940" s="5">
        <v>45044</v>
      </c>
      <c r="P940">
        <f t="shared" si="57"/>
        <v>0</v>
      </c>
      <c r="Q940" s="36">
        <f t="shared" si="58"/>
        <v>30404.7</v>
      </c>
      <c r="R940">
        <f t="shared" si="59"/>
        <v>2023</v>
      </c>
    </row>
    <row r="941" spans="1:18" x14ac:dyDescent="0.2">
      <c r="A941" s="13">
        <v>45497</v>
      </c>
      <c r="B941" s="13">
        <v>45483</v>
      </c>
      <c r="C941" s="25" t="s">
        <v>399</v>
      </c>
      <c r="D941" s="20">
        <v>14</v>
      </c>
      <c r="E941" s="28">
        <v>14639.3</v>
      </c>
      <c r="F941" s="22" t="s">
        <v>65</v>
      </c>
      <c r="G941" s="14">
        <v>130</v>
      </c>
      <c r="H941" s="40">
        <v>45125</v>
      </c>
      <c r="I941" s="46">
        <f t="shared" si="56"/>
        <v>372</v>
      </c>
      <c r="J941" s="1" t="s">
        <v>15</v>
      </c>
      <c r="K941" s="4" t="s">
        <v>211</v>
      </c>
      <c r="L941" s="4" t="s">
        <v>225</v>
      </c>
      <c r="M941" s="8">
        <v>400</v>
      </c>
      <c r="N941" s="5">
        <v>112.61</v>
      </c>
      <c r="O941" s="5">
        <v>45044</v>
      </c>
      <c r="P941">
        <f t="shared" si="57"/>
        <v>0</v>
      </c>
      <c r="Q941" s="36">
        <f t="shared" si="58"/>
        <v>14639.3</v>
      </c>
      <c r="R941">
        <f t="shared" si="59"/>
        <v>2023</v>
      </c>
    </row>
    <row r="942" spans="1:18" x14ac:dyDescent="0.2">
      <c r="A942" s="13">
        <v>45497</v>
      </c>
      <c r="B942" s="13">
        <v>45491</v>
      </c>
      <c r="C942" s="25" t="s">
        <v>399</v>
      </c>
      <c r="D942" s="20">
        <v>6</v>
      </c>
      <c r="E942" s="28">
        <v>45044</v>
      </c>
      <c r="F942" s="22" t="s">
        <v>65</v>
      </c>
      <c r="G942" s="14">
        <v>400</v>
      </c>
      <c r="H942" s="40">
        <v>45132</v>
      </c>
      <c r="I942" s="46">
        <f t="shared" si="56"/>
        <v>365</v>
      </c>
      <c r="J942" s="1" t="s">
        <v>15</v>
      </c>
      <c r="K942" s="4" t="s">
        <v>211</v>
      </c>
      <c r="L942" s="4" t="s">
        <v>225</v>
      </c>
      <c r="M942" s="8">
        <v>400</v>
      </c>
      <c r="N942" s="5">
        <v>112.61</v>
      </c>
      <c r="O942" s="5">
        <v>45044</v>
      </c>
      <c r="P942">
        <f t="shared" si="57"/>
        <v>1</v>
      </c>
      <c r="Q942" s="36">
        <f t="shared" si="58"/>
        <v>45044</v>
      </c>
      <c r="R942">
        <f t="shared" si="59"/>
        <v>2023</v>
      </c>
    </row>
    <row r="943" spans="1:18" x14ac:dyDescent="0.2">
      <c r="A943" s="13">
        <v>45497</v>
      </c>
      <c r="B943" s="13">
        <v>45497</v>
      </c>
      <c r="C943" s="25" t="s">
        <v>398</v>
      </c>
      <c r="D943" s="20">
        <v>0</v>
      </c>
      <c r="E943" s="28">
        <v>30404.7</v>
      </c>
      <c r="F943" s="22" t="s">
        <v>65</v>
      </c>
      <c r="G943" s="14">
        <v>270</v>
      </c>
      <c r="H943" s="40">
        <v>45140</v>
      </c>
      <c r="I943" s="46">
        <f t="shared" si="56"/>
        <v>357</v>
      </c>
      <c r="J943" s="1" t="s">
        <v>15</v>
      </c>
      <c r="K943" s="4" t="s">
        <v>211</v>
      </c>
      <c r="L943" s="4" t="s">
        <v>225</v>
      </c>
      <c r="M943" s="8">
        <v>400</v>
      </c>
      <c r="N943" s="5">
        <v>112.61</v>
      </c>
      <c r="O943" s="5">
        <v>45044</v>
      </c>
      <c r="P943">
        <f t="shared" si="57"/>
        <v>0</v>
      </c>
      <c r="Q943" s="36">
        <f t="shared" si="58"/>
        <v>30404.7</v>
      </c>
      <c r="R943">
        <f t="shared" si="59"/>
        <v>2023</v>
      </c>
    </row>
    <row r="944" spans="1:18" x14ac:dyDescent="0.2">
      <c r="A944" s="13">
        <v>45511</v>
      </c>
      <c r="B944" s="13">
        <v>45497</v>
      </c>
      <c r="C944" s="25" t="s">
        <v>399</v>
      </c>
      <c r="D944" s="20">
        <v>14</v>
      </c>
      <c r="E944" s="28">
        <v>14639.3</v>
      </c>
      <c r="F944" s="22" t="s">
        <v>65</v>
      </c>
      <c r="G944" s="14">
        <v>130</v>
      </c>
      <c r="H944" s="40">
        <v>45140</v>
      </c>
      <c r="I944" s="46">
        <f t="shared" si="56"/>
        <v>371</v>
      </c>
      <c r="J944" s="1" t="s">
        <v>15</v>
      </c>
      <c r="K944" s="4" t="s">
        <v>211</v>
      </c>
      <c r="L944" s="4" t="s">
        <v>225</v>
      </c>
      <c r="M944" s="8">
        <v>400</v>
      </c>
      <c r="N944" s="5">
        <v>112.61</v>
      </c>
      <c r="O944" s="5">
        <v>45044</v>
      </c>
      <c r="P944">
        <f t="shared" si="57"/>
        <v>0</v>
      </c>
      <c r="Q944" s="36">
        <f t="shared" si="58"/>
        <v>14639.3</v>
      </c>
      <c r="R944">
        <f t="shared" si="59"/>
        <v>2023</v>
      </c>
    </row>
    <row r="945" spans="1:18" x14ac:dyDescent="0.2">
      <c r="A945" s="13">
        <v>45511</v>
      </c>
      <c r="B945" s="13">
        <v>45508</v>
      </c>
      <c r="C945" s="25" t="s">
        <v>399</v>
      </c>
      <c r="D945" s="20">
        <v>3</v>
      </c>
      <c r="E945" s="28">
        <v>30404.7</v>
      </c>
      <c r="F945" s="22" t="s">
        <v>65</v>
      </c>
      <c r="G945" s="14">
        <v>270</v>
      </c>
      <c r="H945" s="40">
        <v>45153</v>
      </c>
      <c r="I945" s="46">
        <f t="shared" si="56"/>
        <v>358</v>
      </c>
      <c r="J945" s="1" t="s">
        <v>15</v>
      </c>
      <c r="K945" s="4" t="s">
        <v>211</v>
      </c>
      <c r="L945" s="4" t="s">
        <v>225</v>
      </c>
      <c r="M945" s="8">
        <v>400</v>
      </c>
      <c r="N945" s="5">
        <v>112.61</v>
      </c>
      <c r="O945" s="5">
        <v>45044</v>
      </c>
      <c r="P945">
        <f t="shared" si="57"/>
        <v>0</v>
      </c>
      <c r="Q945" s="36">
        <f t="shared" si="58"/>
        <v>30404.7</v>
      </c>
      <c r="R945">
        <f t="shared" si="59"/>
        <v>2023</v>
      </c>
    </row>
    <row r="946" spans="1:18" x14ac:dyDescent="0.2">
      <c r="A946" s="13">
        <v>45525</v>
      </c>
      <c r="B946" s="13">
        <v>45508</v>
      </c>
      <c r="C946" s="25" t="s">
        <v>399</v>
      </c>
      <c r="D946" s="20">
        <v>17</v>
      </c>
      <c r="E946" s="28">
        <v>14639.3</v>
      </c>
      <c r="F946" s="22" t="s">
        <v>65</v>
      </c>
      <c r="G946" s="14">
        <v>130</v>
      </c>
      <c r="H946" s="40">
        <v>45153</v>
      </c>
      <c r="I946" s="46">
        <f t="shared" si="56"/>
        <v>372</v>
      </c>
      <c r="J946" s="1" t="s">
        <v>15</v>
      </c>
      <c r="K946" s="4" t="s">
        <v>211</v>
      </c>
      <c r="L946" s="4" t="s">
        <v>225</v>
      </c>
      <c r="M946" s="8">
        <v>400</v>
      </c>
      <c r="N946" s="5">
        <v>112.61</v>
      </c>
      <c r="O946" s="5">
        <v>45044</v>
      </c>
      <c r="P946">
        <f t="shared" si="57"/>
        <v>0</v>
      </c>
      <c r="Q946" s="36">
        <f t="shared" si="58"/>
        <v>14639.3</v>
      </c>
      <c r="R946">
        <f t="shared" si="59"/>
        <v>2023</v>
      </c>
    </row>
    <row r="947" spans="1:18" x14ac:dyDescent="0.2">
      <c r="A947" s="13">
        <v>45433</v>
      </c>
      <c r="B947" s="13">
        <v>45161</v>
      </c>
      <c r="C947" s="25" t="s">
        <v>399</v>
      </c>
      <c r="D947" s="20">
        <v>272</v>
      </c>
      <c r="E947" s="28">
        <v>235843.20000000001</v>
      </c>
      <c r="F947" s="22" t="s">
        <v>132</v>
      </c>
      <c r="G947" s="14">
        <v>576</v>
      </c>
      <c r="H947" s="40">
        <v>44848</v>
      </c>
      <c r="I947" s="46">
        <f t="shared" si="56"/>
        <v>585</v>
      </c>
      <c r="J947" s="1" t="s">
        <v>15</v>
      </c>
      <c r="K947" s="4" t="s">
        <v>211</v>
      </c>
      <c r="L947" s="4" t="s">
        <v>225</v>
      </c>
      <c r="M947" s="8">
        <v>576</v>
      </c>
      <c r="N947" s="5">
        <v>409.45</v>
      </c>
      <c r="O947" s="5">
        <v>235843.20000000001</v>
      </c>
      <c r="P947">
        <f t="shared" si="57"/>
        <v>1</v>
      </c>
      <c r="Q947" s="36">
        <f t="shared" si="58"/>
        <v>235843.19999999998</v>
      </c>
      <c r="R947">
        <f t="shared" si="59"/>
        <v>2022</v>
      </c>
    </row>
    <row r="948" spans="1:18" x14ac:dyDescent="0.2">
      <c r="A948" s="13">
        <v>45478</v>
      </c>
      <c r="B948" s="13">
        <v>45427</v>
      </c>
      <c r="C948" s="25" t="s">
        <v>399</v>
      </c>
      <c r="D948" s="20">
        <v>51</v>
      </c>
      <c r="E948" s="28">
        <v>235843.20000000001</v>
      </c>
      <c r="F948" s="22" t="s">
        <v>132</v>
      </c>
      <c r="G948" s="14">
        <v>576</v>
      </c>
      <c r="H948" s="40">
        <v>45044</v>
      </c>
      <c r="I948" s="46">
        <f t="shared" si="56"/>
        <v>434</v>
      </c>
      <c r="J948" s="1" t="s">
        <v>15</v>
      </c>
      <c r="K948" s="4" t="s">
        <v>211</v>
      </c>
      <c r="L948" s="4" t="s">
        <v>225</v>
      </c>
      <c r="M948" s="8">
        <v>576</v>
      </c>
      <c r="N948" s="5">
        <v>409.45</v>
      </c>
      <c r="O948" s="5">
        <v>235843.20000000001</v>
      </c>
      <c r="P948">
        <f t="shared" si="57"/>
        <v>1</v>
      </c>
      <c r="Q948" s="36">
        <f t="shared" si="58"/>
        <v>235843.19999999998</v>
      </c>
      <c r="R948">
        <f t="shared" si="59"/>
        <v>2023</v>
      </c>
    </row>
    <row r="949" spans="1:18" x14ac:dyDescent="0.2">
      <c r="A949" s="13">
        <v>45190</v>
      </c>
      <c r="B949" s="13">
        <v>45143</v>
      </c>
      <c r="C949" s="25" t="s">
        <v>399</v>
      </c>
      <c r="D949" s="20">
        <v>47</v>
      </c>
      <c r="E949" s="28">
        <v>235843.20000000001</v>
      </c>
      <c r="F949" s="22" t="s">
        <v>132</v>
      </c>
      <c r="G949" s="14">
        <v>576</v>
      </c>
      <c r="H949" s="40">
        <v>45098</v>
      </c>
      <c r="I949" s="46">
        <f t="shared" si="56"/>
        <v>92</v>
      </c>
      <c r="J949" s="1" t="s">
        <v>15</v>
      </c>
      <c r="K949" s="4" t="s">
        <v>211</v>
      </c>
      <c r="L949" s="4" t="s">
        <v>225</v>
      </c>
      <c r="M949" s="8">
        <v>576</v>
      </c>
      <c r="N949" s="5">
        <v>409.45</v>
      </c>
      <c r="O949" s="5">
        <v>235843.20000000001</v>
      </c>
      <c r="P949">
        <f t="shared" si="57"/>
        <v>1</v>
      </c>
      <c r="Q949" s="36">
        <f t="shared" si="58"/>
        <v>235843.19999999998</v>
      </c>
      <c r="R949">
        <f t="shared" si="59"/>
        <v>2023</v>
      </c>
    </row>
    <row r="950" spans="1:18" x14ac:dyDescent="0.2">
      <c r="A950" s="13">
        <v>45539</v>
      </c>
      <c r="B950" s="13">
        <v>45539</v>
      </c>
      <c r="C950" s="25" t="s">
        <v>398</v>
      </c>
      <c r="D950" s="20">
        <v>0</v>
      </c>
      <c r="E950" s="28">
        <v>471686.40000000002</v>
      </c>
      <c r="F950" s="22" t="s">
        <v>132</v>
      </c>
      <c r="G950" s="14">
        <v>1152</v>
      </c>
      <c r="H950" s="40">
        <v>45170</v>
      </c>
      <c r="I950" s="46">
        <f t="shared" si="56"/>
        <v>369</v>
      </c>
      <c r="J950" s="1" t="s">
        <v>15</v>
      </c>
      <c r="K950" s="4" t="s">
        <v>211</v>
      </c>
      <c r="L950" s="4" t="s">
        <v>225</v>
      </c>
      <c r="M950" s="8">
        <v>1152</v>
      </c>
      <c r="N950" s="5">
        <v>409.45</v>
      </c>
      <c r="O950" s="5">
        <v>471686.40000000002</v>
      </c>
      <c r="P950">
        <f t="shared" si="57"/>
        <v>1</v>
      </c>
      <c r="Q950" s="36">
        <f t="shared" si="58"/>
        <v>471686.39999999997</v>
      </c>
      <c r="R950">
        <f t="shared" si="59"/>
        <v>2023</v>
      </c>
    </row>
    <row r="951" spans="1:18" x14ac:dyDescent="0.2">
      <c r="A951" s="13">
        <v>45218</v>
      </c>
      <c r="B951" s="13">
        <v>45078</v>
      </c>
      <c r="C951" s="25" t="s">
        <v>399</v>
      </c>
      <c r="D951" s="20">
        <v>140</v>
      </c>
      <c r="E951" s="28">
        <v>11639.04</v>
      </c>
      <c r="F951" s="22" t="s">
        <v>98</v>
      </c>
      <c r="G951" s="14">
        <v>84</v>
      </c>
      <c r="H951" s="40">
        <v>44706</v>
      </c>
      <c r="I951" s="46">
        <f t="shared" si="56"/>
        <v>512</v>
      </c>
      <c r="J951" s="1" t="s">
        <v>15</v>
      </c>
      <c r="K951" s="4" t="s">
        <v>211</v>
      </c>
      <c r="L951" s="4" t="s">
        <v>225</v>
      </c>
      <c r="M951" s="8">
        <v>84</v>
      </c>
      <c r="N951" s="5">
        <v>138.56</v>
      </c>
      <c r="O951" s="5">
        <v>11639.04</v>
      </c>
      <c r="P951">
        <f t="shared" si="57"/>
        <v>1</v>
      </c>
      <c r="Q951" s="36">
        <f t="shared" si="58"/>
        <v>11639.04</v>
      </c>
      <c r="R951">
        <f t="shared" si="59"/>
        <v>2022</v>
      </c>
    </row>
    <row r="952" spans="1:18" x14ac:dyDescent="0.2">
      <c r="A952" s="13">
        <v>45218</v>
      </c>
      <c r="B952" s="13">
        <v>45113</v>
      </c>
      <c r="C952" s="25" t="s">
        <v>399</v>
      </c>
      <c r="D952" s="20">
        <v>105</v>
      </c>
      <c r="E952" s="28">
        <v>11639.04</v>
      </c>
      <c r="F952" s="22" t="s">
        <v>98</v>
      </c>
      <c r="G952" s="14">
        <v>84</v>
      </c>
      <c r="H952" s="40">
        <v>44719</v>
      </c>
      <c r="I952" s="46">
        <f t="shared" si="56"/>
        <v>499</v>
      </c>
      <c r="J952" s="1" t="s">
        <v>15</v>
      </c>
      <c r="K952" s="4" t="s">
        <v>211</v>
      </c>
      <c r="L952" s="4" t="s">
        <v>225</v>
      </c>
      <c r="M952" s="8">
        <v>84</v>
      </c>
      <c r="N952" s="5">
        <v>138.56</v>
      </c>
      <c r="O952" s="5">
        <v>11639.04</v>
      </c>
      <c r="P952">
        <f t="shared" si="57"/>
        <v>1</v>
      </c>
      <c r="Q952" s="36">
        <f t="shared" si="58"/>
        <v>11639.04</v>
      </c>
      <c r="R952">
        <f t="shared" si="59"/>
        <v>2022</v>
      </c>
    </row>
    <row r="953" spans="1:18" x14ac:dyDescent="0.2">
      <c r="A953" s="13">
        <v>45239</v>
      </c>
      <c r="B953" s="13">
        <v>45134</v>
      </c>
      <c r="C953" s="25" t="s">
        <v>399</v>
      </c>
      <c r="D953" s="20">
        <v>105</v>
      </c>
      <c r="E953" s="28">
        <v>11639.04</v>
      </c>
      <c r="F953" s="22" t="s">
        <v>98</v>
      </c>
      <c r="G953" s="14">
        <v>84</v>
      </c>
      <c r="H953" s="40">
        <v>44719</v>
      </c>
      <c r="I953" s="46">
        <f t="shared" si="56"/>
        <v>520</v>
      </c>
      <c r="J953" s="1" t="s">
        <v>15</v>
      </c>
      <c r="K953" s="4" t="s">
        <v>211</v>
      </c>
      <c r="L953" s="4" t="s">
        <v>225</v>
      </c>
      <c r="M953" s="8">
        <v>84</v>
      </c>
      <c r="N953" s="5">
        <v>138.56</v>
      </c>
      <c r="O953" s="5">
        <v>11639.04</v>
      </c>
      <c r="P953">
        <f t="shared" si="57"/>
        <v>1</v>
      </c>
      <c r="Q953" s="36">
        <f t="shared" si="58"/>
        <v>11639.04</v>
      </c>
      <c r="R953">
        <f t="shared" si="59"/>
        <v>2022</v>
      </c>
    </row>
    <row r="954" spans="1:18" x14ac:dyDescent="0.2">
      <c r="A954" s="13">
        <v>45217</v>
      </c>
      <c r="B954" s="13">
        <v>45072</v>
      </c>
      <c r="C954" s="25" t="s">
        <v>399</v>
      </c>
      <c r="D954" s="20">
        <v>145</v>
      </c>
      <c r="E954" s="28">
        <v>11639.04</v>
      </c>
      <c r="F954" s="22" t="s">
        <v>98</v>
      </c>
      <c r="G954" s="14">
        <v>84</v>
      </c>
      <c r="H954" s="40">
        <v>44778</v>
      </c>
      <c r="I954" s="46">
        <f t="shared" si="56"/>
        <v>439</v>
      </c>
      <c r="J954" s="1" t="s">
        <v>15</v>
      </c>
      <c r="K954" s="4" t="s">
        <v>211</v>
      </c>
      <c r="L954" s="4" t="s">
        <v>225</v>
      </c>
      <c r="M954" s="8">
        <v>84</v>
      </c>
      <c r="N954" s="5">
        <v>138.56</v>
      </c>
      <c r="O954" s="5">
        <v>11639.04</v>
      </c>
      <c r="P954">
        <f t="shared" si="57"/>
        <v>1</v>
      </c>
      <c r="Q954" s="36">
        <f t="shared" si="58"/>
        <v>11639.04</v>
      </c>
      <c r="R954">
        <f t="shared" si="59"/>
        <v>2022</v>
      </c>
    </row>
    <row r="955" spans="1:18" x14ac:dyDescent="0.2">
      <c r="A955" s="13">
        <v>45239</v>
      </c>
      <c r="B955" s="13">
        <v>45117</v>
      </c>
      <c r="C955" s="25" t="s">
        <v>399</v>
      </c>
      <c r="D955" s="20">
        <v>122</v>
      </c>
      <c r="E955" s="28">
        <v>11639.04</v>
      </c>
      <c r="F955" s="22" t="s">
        <v>98</v>
      </c>
      <c r="G955" s="14">
        <v>84</v>
      </c>
      <c r="H955" s="40">
        <v>44805</v>
      </c>
      <c r="I955" s="46">
        <f t="shared" si="56"/>
        <v>434</v>
      </c>
      <c r="J955" s="1" t="s">
        <v>15</v>
      </c>
      <c r="K955" s="4" t="s">
        <v>211</v>
      </c>
      <c r="L955" s="4" t="s">
        <v>225</v>
      </c>
      <c r="M955" s="8">
        <v>84</v>
      </c>
      <c r="N955" s="5">
        <v>138.56</v>
      </c>
      <c r="O955" s="5">
        <v>11639.04</v>
      </c>
      <c r="P955">
        <f t="shared" si="57"/>
        <v>1</v>
      </c>
      <c r="Q955" s="36">
        <f t="shared" si="58"/>
        <v>11639.04</v>
      </c>
      <c r="R955">
        <f t="shared" si="59"/>
        <v>2022</v>
      </c>
    </row>
    <row r="956" spans="1:18" x14ac:dyDescent="0.2">
      <c r="A956" s="13">
        <v>45245</v>
      </c>
      <c r="B956" s="13">
        <v>45134</v>
      </c>
      <c r="C956" s="25" t="s">
        <v>399</v>
      </c>
      <c r="D956" s="20">
        <v>111</v>
      </c>
      <c r="E956" s="28">
        <v>11639.04</v>
      </c>
      <c r="F956" s="22" t="s">
        <v>98</v>
      </c>
      <c r="G956" s="14">
        <v>84</v>
      </c>
      <c r="H956" s="40">
        <v>44827</v>
      </c>
      <c r="I956" s="46">
        <f t="shared" si="56"/>
        <v>418</v>
      </c>
      <c r="J956" s="1" t="s">
        <v>15</v>
      </c>
      <c r="K956" s="4" t="s">
        <v>211</v>
      </c>
      <c r="L956" s="4" t="s">
        <v>225</v>
      </c>
      <c r="M956" s="8">
        <v>84</v>
      </c>
      <c r="N956" s="5">
        <v>138.56</v>
      </c>
      <c r="O956" s="5">
        <v>11639.04</v>
      </c>
      <c r="P956">
        <f t="shared" si="57"/>
        <v>1</v>
      </c>
      <c r="Q956" s="36">
        <f t="shared" si="58"/>
        <v>11639.04</v>
      </c>
      <c r="R956">
        <f t="shared" si="59"/>
        <v>2022</v>
      </c>
    </row>
    <row r="957" spans="1:18" x14ac:dyDescent="0.2">
      <c r="A957" s="13">
        <v>45383</v>
      </c>
      <c r="B957" s="13">
        <v>45329</v>
      </c>
      <c r="C957" s="25" t="s">
        <v>399</v>
      </c>
      <c r="D957" s="20">
        <v>54</v>
      </c>
      <c r="E957" s="28">
        <v>11639.04</v>
      </c>
      <c r="F957" s="22" t="s">
        <v>98</v>
      </c>
      <c r="G957" s="14">
        <v>84</v>
      </c>
      <c r="H957" s="40">
        <v>44978</v>
      </c>
      <c r="I957" s="46">
        <f t="shared" si="56"/>
        <v>405</v>
      </c>
      <c r="J957" s="1" t="s">
        <v>15</v>
      </c>
      <c r="K957" s="4" t="s">
        <v>211</v>
      </c>
      <c r="L957" s="4" t="s">
        <v>225</v>
      </c>
      <c r="M957" s="8">
        <v>84</v>
      </c>
      <c r="N957" s="5">
        <v>138.56</v>
      </c>
      <c r="O957" s="5">
        <v>11639.04</v>
      </c>
      <c r="P957">
        <f t="shared" si="57"/>
        <v>1</v>
      </c>
      <c r="Q957" s="36">
        <f t="shared" si="58"/>
        <v>11639.04</v>
      </c>
      <c r="R957">
        <f t="shared" si="59"/>
        <v>2023</v>
      </c>
    </row>
    <row r="958" spans="1:18" x14ac:dyDescent="0.2">
      <c r="A958" s="13">
        <v>45405</v>
      </c>
      <c r="B958" s="13">
        <v>45371</v>
      </c>
      <c r="C958" s="25" t="s">
        <v>399</v>
      </c>
      <c r="D958" s="20">
        <v>34</v>
      </c>
      <c r="E958" s="28">
        <v>11639.04</v>
      </c>
      <c r="F958" s="22" t="s">
        <v>98</v>
      </c>
      <c r="G958" s="14">
        <v>84</v>
      </c>
      <c r="H958" s="40">
        <v>45007</v>
      </c>
      <c r="I958" s="46">
        <f t="shared" si="56"/>
        <v>398</v>
      </c>
      <c r="J958" s="1" t="s">
        <v>15</v>
      </c>
      <c r="K958" s="4" t="s">
        <v>211</v>
      </c>
      <c r="L958" s="4" t="s">
        <v>225</v>
      </c>
      <c r="M958" s="8">
        <v>84</v>
      </c>
      <c r="N958" s="5">
        <v>138.56</v>
      </c>
      <c r="O958" s="5">
        <v>11639.04</v>
      </c>
      <c r="P958">
        <f t="shared" si="57"/>
        <v>1</v>
      </c>
      <c r="Q958" s="36">
        <f t="shared" si="58"/>
        <v>11639.04</v>
      </c>
      <c r="R958">
        <f t="shared" si="59"/>
        <v>2023</v>
      </c>
    </row>
    <row r="959" spans="1:18" x14ac:dyDescent="0.2">
      <c r="A959" s="13">
        <v>45433</v>
      </c>
      <c r="B959" s="13">
        <v>45392</v>
      </c>
      <c r="C959" s="25" t="s">
        <v>399</v>
      </c>
      <c r="D959" s="20">
        <v>41</v>
      </c>
      <c r="E959" s="28">
        <v>11639.04</v>
      </c>
      <c r="F959" s="22" t="s">
        <v>98</v>
      </c>
      <c r="G959" s="14">
        <v>84</v>
      </c>
      <c r="H959" s="40">
        <v>45023</v>
      </c>
      <c r="I959" s="46">
        <f t="shared" si="56"/>
        <v>410</v>
      </c>
      <c r="J959" s="1" t="s">
        <v>15</v>
      </c>
      <c r="K959" s="4" t="s">
        <v>211</v>
      </c>
      <c r="L959" s="4" t="s">
        <v>225</v>
      </c>
      <c r="M959" s="8">
        <v>84</v>
      </c>
      <c r="N959" s="5">
        <v>138.56</v>
      </c>
      <c r="O959" s="5">
        <v>11639.04</v>
      </c>
      <c r="P959">
        <f t="shared" si="57"/>
        <v>1</v>
      </c>
      <c r="Q959" s="36">
        <f t="shared" si="58"/>
        <v>11639.04</v>
      </c>
      <c r="R959">
        <f t="shared" si="59"/>
        <v>2023</v>
      </c>
    </row>
    <row r="960" spans="1:18" x14ac:dyDescent="0.2">
      <c r="A960" s="13">
        <v>45189</v>
      </c>
      <c r="B960" s="13">
        <v>45071</v>
      </c>
      <c r="C960" s="25" t="s">
        <v>399</v>
      </c>
      <c r="D960" s="20">
        <v>118</v>
      </c>
      <c r="E960" s="28">
        <v>11639.04</v>
      </c>
      <c r="F960" s="22" t="s">
        <v>98</v>
      </c>
      <c r="G960" s="14">
        <v>84</v>
      </c>
      <c r="H960" s="40">
        <v>45180</v>
      </c>
      <c r="I960" s="46">
        <f t="shared" si="56"/>
        <v>9</v>
      </c>
      <c r="J960" s="1" t="s">
        <v>15</v>
      </c>
      <c r="K960" s="4" t="s">
        <v>211</v>
      </c>
      <c r="L960" s="4" t="s">
        <v>225</v>
      </c>
      <c r="M960" s="8">
        <v>84</v>
      </c>
      <c r="N960" s="5">
        <v>138.56</v>
      </c>
      <c r="O960" s="5">
        <v>11639.04</v>
      </c>
      <c r="P960">
        <f t="shared" si="57"/>
        <v>1</v>
      </c>
      <c r="Q960" s="36">
        <f t="shared" si="58"/>
        <v>11639.04</v>
      </c>
      <c r="R960">
        <f t="shared" si="59"/>
        <v>2023</v>
      </c>
    </row>
    <row r="961" spans="1:18" x14ac:dyDescent="0.2">
      <c r="A961" s="13">
        <v>45230</v>
      </c>
      <c r="B961" s="13">
        <v>45131</v>
      </c>
      <c r="C961" s="25" t="s">
        <v>399</v>
      </c>
      <c r="D961" s="20">
        <v>99</v>
      </c>
      <c r="E961" s="28">
        <v>62227.199999999997</v>
      </c>
      <c r="F961" s="22" t="s">
        <v>70</v>
      </c>
      <c r="G961" s="14">
        <v>1120</v>
      </c>
      <c r="H961" s="40">
        <v>44742</v>
      </c>
      <c r="I961" s="46">
        <f t="shared" si="56"/>
        <v>488</v>
      </c>
      <c r="J961" s="1" t="s">
        <v>15</v>
      </c>
      <c r="K961" s="4" t="s">
        <v>211</v>
      </c>
      <c r="L961" s="4" t="s">
        <v>225</v>
      </c>
      <c r="M961" s="8">
        <v>1120</v>
      </c>
      <c r="N961" s="5">
        <v>55.56</v>
      </c>
      <c r="O961" s="5">
        <v>62227.199999999997</v>
      </c>
      <c r="P961">
        <f t="shared" si="57"/>
        <v>1</v>
      </c>
      <c r="Q961" s="36">
        <f t="shared" si="58"/>
        <v>62227.200000000004</v>
      </c>
      <c r="R961">
        <f t="shared" si="59"/>
        <v>2022</v>
      </c>
    </row>
    <row r="962" spans="1:18" x14ac:dyDescent="0.2">
      <c r="A962" s="13">
        <v>45427</v>
      </c>
      <c r="B962" s="13">
        <v>45427</v>
      </c>
      <c r="C962" s="25" t="s">
        <v>398</v>
      </c>
      <c r="D962" s="20">
        <v>0</v>
      </c>
      <c r="E962" s="28">
        <v>62227.199999999997</v>
      </c>
      <c r="F962" s="22" t="s">
        <v>70</v>
      </c>
      <c r="G962" s="14">
        <v>1120</v>
      </c>
      <c r="H962" s="40">
        <v>44838</v>
      </c>
      <c r="I962" s="46">
        <f t="shared" si="56"/>
        <v>589</v>
      </c>
      <c r="J962" s="1" t="s">
        <v>15</v>
      </c>
      <c r="K962" s="4" t="s">
        <v>211</v>
      </c>
      <c r="L962" s="4" t="s">
        <v>225</v>
      </c>
      <c r="M962" s="8">
        <v>1120</v>
      </c>
      <c r="N962" s="5">
        <v>55.56</v>
      </c>
      <c r="O962" s="5">
        <v>62227.199999999997</v>
      </c>
      <c r="P962">
        <f t="shared" si="57"/>
        <v>1</v>
      </c>
      <c r="Q962" s="36">
        <f t="shared" si="58"/>
        <v>62227.200000000004</v>
      </c>
      <c r="R962">
        <f t="shared" si="59"/>
        <v>2022</v>
      </c>
    </row>
    <row r="963" spans="1:18" x14ac:dyDescent="0.2">
      <c r="A963" s="13">
        <v>45245</v>
      </c>
      <c r="B963" s="13">
        <v>45245</v>
      </c>
      <c r="C963" s="25" t="s">
        <v>398</v>
      </c>
      <c r="D963" s="20">
        <v>0</v>
      </c>
      <c r="E963" s="28">
        <v>3660</v>
      </c>
      <c r="F963" s="22" t="s">
        <v>79</v>
      </c>
      <c r="G963" s="14">
        <v>3000</v>
      </c>
      <c r="H963" s="40">
        <v>44903</v>
      </c>
      <c r="I963" s="46">
        <f t="shared" ref="I963:I1026" si="60">IFERROR(A963-H963,"")*1</f>
        <v>342</v>
      </c>
      <c r="J963" s="1" t="s">
        <v>15</v>
      </c>
      <c r="K963" s="4" t="s">
        <v>211</v>
      </c>
      <c r="L963" s="4" t="s">
        <v>225</v>
      </c>
      <c r="M963" s="8">
        <v>3000</v>
      </c>
      <c r="N963" s="5">
        <v>1.22</v>
      </c>
      <c r="O963" s="5">
        <v>3660</v>
      </c>
      <c r="P963">
        <f t="shared" ref="P963:P1026" si="61">IF(M963=G963,1,0)</f>
        <v>1</v>
      </c>
      <c r="Q963" s="36">
        <f t="shared" ref="Q963:Q1026" si="62">N963*G963</f>
        <v>3660</v>
      </c>
      <c r="R963">
        <f t="shared" ref="R963:R1026" si="63">YEAR(H963)</f>
        <v>2022</v>
      </c>
    </row>
    <row r="964" spans="1:18" x14ac:dyDescent="0.2">
      <c r="A964" s="13">
        <v>45301</v>
      </c>
      <c r="B964" s="13">
        <v>45301</v>
      </c>
      <c r="C964" s="25" t="s">
        <v>398</v>
      </c>
      <c r="D964" s="20">
        <v>0</v>
      </c>
      <c r="E964" s="28">
        <v>3660</v>
      </c>
      <c r="F964" s="22" t="s">
        <v>79</v>
      </c>
      <c r="G964" s="14">
        <v>3000</v>
      </c>
      <c r="H964" s="40">
        <v>44914</v>
      </c>
      <c r="I964" s="46">
        <f t="shared" si="60"/>
        <v>387</v>
      </c>
      <c r="J964" s="1" t="s">
        <v>15</v>
      </c>
      <c r="K964" s="4" t="s">
        <v>211</v>
      </c>
      <c r="L964" s="4" t="s">
        <v>225</v>
      </c>
      <c r="M964" s="8">
        <v>3000</v>
      </c>
      <c r="N964" s="5">
        <v>1.22</v>
      </c>
      <c r="O964" s="5">
        <v>3660</v>
      </c>
      <c r="P964">
        <f t="shared" si="61"/>
        <v>1</v>
      </c>
      <c r="Q964" s="36">
        <f t="shared" si="62"/>
        <v>3660</v>
      </c>
      <c r="R964">
        <f t="shared" si="63"/>
        <v>2022</v>
      </c>
    </row>
    <row r="965" spans="1:18" x14ac:dyDescent="0.2">
      <c r="A965" s="13">
        <v>45267</v>
      </c>
      <c r="B965" s="13">
        <v>45261</v>
      </c>
      <c r="C965" s="25" t="s">
        <v>399</v>
      </c>
      <c r="D965" s="20">
        <v>6</v>
      </c>
      <c r="E965" s="28">
        <v>17481.240000000002</v>
      </c>
      <c r="F965" s="22" t="s">
        <v>103</v>
      </c>
      <c r="G965" s="14">
        <v>252</v>
      </c>
      <c r="H965" s="40">
        <v>44883</v>
      </c>
      <c r="I965" s="46">
        <f t="shared" si="60"/>
        <v>384</v>
      </c>
      <c r="J965" s="1" t="s">
        <v>15</v>
      </c>
      <c r="K965" s="4" t="s">
        <v>211</v>
      </c>
      <c r="L965" s="4" t="s">
        <v>225</v>
      </c>
      <c r="M965" s="8">
        <v>252</v>
      </c>
      <c r="N965" s="5">
        <v>69.37</v>
      </c>
      <c r="O965" s="5">
        <v>17481.240000000002</v>
      </c>
      <c r="P965">
        <f t="shared" si="61"/>
        <v>1</v>
      </c>
      <c r="Q965" s="36">
        <f t="shared" si="62"/>
        <v>17481.240000000002</v>
      </c>
      <c r="R965">
        <f t="shared" si="63"/>
        <v>2022</v>
      </c>
    </row>
    <row r="966" spans="1:18" x14ac:dyDescent="0.2">
      <c r="A966" s="13">
        <v>45239</v>
      </c>
      <c r="B966" s="13">
        <v>45075</v>
      </c>
      <c r="C966" s="25" t="s">
        <v>399</v>
      </c>
      <c r="D966" s="20">
        <v>164</v>
      </c>
      <c r="E966" s="28">
        <v>17481.240000000002</v>
      </c>
      <c r="F966" s="22" t="s">
        <v>103</v>
      </c>
      <c r="G966" s="14">
        <v>252</v>
      </c>
      <c r="H966" s="40">
        <v>44889</v>
      </c>
      <c r="I966" s="46">
        <f t="shared" si="60"/>
        <v>350</v>
      </c>
      <c r="J966" s="1" t="s">
        <v>15</v>
      </c>
      <c r="K966" s="4" t="s">
        <v>211</v>
      </c>
      <c r="L966" s="4" t="s">
        <v>225</v>
      </c>
      <c r="M966" s="8">
        <v>252</v>
      </c>
      <c r="N966" s="5">
        <v>69.37</v>
      </c>
      <c r="O966" s="5">
        <v>17481.240000000002</v>
      </c>
      <c r="P966">
        <f t="shared" si="61"/>
        <v>1</v>
      </c>
      <c r="Q966" s="36">
        <f t="shared" si="62"/>
        <v>17481.240000000002</v>
      </c>
      <c r="R966">
        <f t="shared" si="63"/>
        <v>2022</v>
      </c>
    </row>
    <row r="967" spans="1:18" x14ac:dyDescent="0.2">
      <c r="A967" s="13">
        <v>45299</v>
      </c>
      <c r="B967" s="13">
        <v>45292</v>
      </c>
      <c r="C967" s="25" t="s">
        <v>399</v>
      </c>
      <c r="D967" s="20">
        <v>7</v>
      </c>
      <c r="E967" s="28">
        <v>17481.240000000002</v>
      </c>
      <c r="F967" s="22" t="s">
        <v>103</v>
      </c>
      <c r="G967" s="14">
        <v>252</v>
      </c>
      <c r="H967" s="40">
        <v>44939</v>
      </c>
      <c r="I967" s="46">
        <f t="shared" si="60"/>
        <v>360</v>
      </c>
      <c r="J967" s="1" t="s">
        <v>15</v>
      </c>
      <c r="K967" s="4" t="s">
        <v>211</v>
      </c>
      <c r="L967" s="4" t="s">
        <v>225</v>
      </c>
      <c r="M967" s="8">
        <v>252</v>
      </c>
      <c r="N967" s="5">
        <v>69.37</v>
      </c>
      <c r="O967" s="5">
        <v>17481.240000000002</v>
      </c>
      <c r="P967">
        <f t="shared" si="61"/>
        <v>1</v>
      </c>
      <c r="Q967" s="36">
        <f t="shared" si="62"/>
        <v>17481.240000000002</v>
      </c>
      <c r="R967">
        <f t="shared" si="63"/>
        <v>2023</v>
      </c>
    </row>
    <row r="968" spans="1:18" x14ac:dyDescent="0.2">
      <c r="A968" s="13">
        <v>45183</v>
      </c>
      <c r="B968" s="13">
        <v>44953</v>
      </c>
      <c r="C968" s="25" t="s">
        <v>399</v>
      </c>
      <c r="D968" s="20">
        <v>230</v>
      </c>
      <c r="E968" s="28">
        <v>6728.89</v>
      </c>
      <c r="F968" s="22" t="s">
        <v>103</v>
      </c>
      <c r="G968" s="14">
        <v>97</v>
      </c>
      <c r="H968" s="40">
        <v>45154</v>
      </c>
      <c r="I968" s="46">
        <f t="shared" si="60"/>
        <v>29</v>
      </c>
      <c r="J968" s="1" t="s">
        <v>15</v>
      </c>
      <c r="K968" s="4" t="s">
        <v>211</v>
      </c>
      <c r="L968" s="4" t="s">
        <v>225</v>
      </c>
      <c r="M968" s="8">
        <v>97</v>
      </c>
      <c r="N968" s="5">
        <v>69.37</v>
      </c>
      <c r="O968" s="5">
        <v>6728.89</v>
      </c>
      <c r="P968">
        <f t="shared" si="61"/>
        <v>1</v>
      </c>
      <c r="Q968" s="36">
        <f t="shared" si="62"/>
        <v>6728.89</v>
      </c>
      <c r="R968">
        <f t="shared" si="63"/>
        <v>2023</v>
      </c>
    </row>
    <row r="969" spans="1:18" x14ac:dyDescent="0.2">
      <c r="A969" s="13">
        <v>45303</v>
      </c>
      <c r="B969" s="13">
        <v>45303</v>
      </c>
      <c r="C969" s="25" t="s">
        <v>398</v>
      </c>
      <c r="D969" s="20">
        <v>0</v>
      </c>
      <c r="E969" s="28">
        <v>17983.349999999999</v>
      </c>
      <c r="F969" s="22" t="s">
        <v>133</v>
      </c>
      <c r="G969" s="14">
        <v>297</v>
      </c>
      <c r="H969" s="40">
        <v>44827</v>
      </c>
      <c r="I969" s="46">
        <f t="shared" si="60"/>
        <v>476</v>
      </c>
      <c r="J969" s="1" t="s">
        <v>15</v>
      </c>
      <c r="K969" s="4" t="s">
        <v>212</v>
      </c>
      <c r="L969" s="4" t="s">
        <v>225</v>
      </c>
      <c r="M969" s="8">
        <v>297</v>
      </c>
      <c r="N969" s="5">
        <v>60.55</v>
      </c>
      <c r="O969" s="5">
        <v>17983.349999999999</v>
      </c>
      <c r="P969">
        <f t="shared" si="61"/>
        <v>1</v>
      </c>
      <c r="Q969" s="36">
        <f t="shared" si="62"/>
        <v>17983.349999999999</v>
      </c>
      <c r="R969">
        <f t="shared" si="63"/>
        <v>2022</v>
      </c>
    </row>
    <row r="970" spans="1:18" x14ac:dyDescent="0.2">
      <c r="A970" s="13">
        <v>45310</v>
      </c>
      <c r="B970" s="13">
        <v>45310</v>
      </c>
      <c r="C970" s="25" t="s">
        <v>398</v>
      </c>
      <c r="D970" s="20">
        <v>0</v>
      </c>
      <c r="E970" s="28">
        <v>17983.349999999999</v>
      </c>
      <c r="F970" s="22" t="s">
        <v>133</v>
      </c>
      <c r="G970" s="14">
        <v>297</v>
      </c>
      <c r="H970" s="40">
        <v>44833</v>
      </c>
      <c r="I970" s="46">
        <f t="shared" si="60"/>
        <v>477</v>
      </c>
      <c r="J970" s="1" t="s">
        <v>15</v>
      </c>
      <c r="K970" s="4" t="s">
        <v>212</v>
      </c>
      <c r="L970" s="4" t="s">
        <v>225</v>
      </c>
      <c r="M970" s="8">
        <v>297</v>
      </c>
      <c r="N970" s="5">
        <v>60.55</v>
      </c>
      <c r="O970" s="5">
        <v>17983.349999999999</v>
      </c>
      <c r="P970">
        <f t="shared" si="61"/>
        <v>1</v>
      </c>
      <c r="Q970" s="36">
        <f t="shared" si="62"/>
        <v>17983.349999999999</v>
      </c>
      <c r="R970">
        <f t="shared" si="63"/>
        <v>2022</v>
      </c>
    </row>
    <row r="971" spans="1:18" x14ac:dyDescent="0.2">
      <c r="A971" s="13">
        <v>45303</v>
      </c>
      <c r="B971" s="13">
        <v>45303</v>
      </c>
      <c r="C971" s="25" t="s">
        <v>398</v>
      </c>
      <c r="D971" s="20">
        <v>0</v>
      </c>
      <c r="E971" s="28">
        <v>73568.25</v>
      </c>
      <c r="F971" s="22" t="s">
        <v>133</v>
      </c>
      <c r="G971" s="14">
        <v>1215</v>
      </c>
      <c r="H971" s="40">
        <v>44848</v>
      </c>
      <c r="I971" s="46">
        <f t="shared" si="60"/>
        <v>455</v>
      </c>
      <c r="J971" s="1" t="s">
        <v>15</v>
      </c>
      <c r="K971" s="4" t="s">
        <v>212</v>
      </c>
      <c r="L971" s="4" t="s">
        <v>225</v>
      </c>
      <c r="M971" s="8">
        <v>1215</v>
      </c>
      <c r="N971" s="5">
        <v>60.55</v>
      </c>
      <c r="O971" s="5">
        <v>73568.25</v>
      </c>
      <c r="P971">
        <f t="shared" si="61"/>
        <v>1</v>
      </c>
      <c r="Q971" s="36">
        <f t="shared" si="62"/>
        <v>73568.25</v>
      </c>
      <c r="R971">
        <f t="shared" si="63"/>
        <v>2022</v>
      </c>
    </row>
    <row r="972" spans="1:18" x14ac:dyDescent="0.2">
      <c r="A972" s="13">
        <v>45294</v>
      </c>
      <c r="B972" s="13">
        <v>45294</v>
      </c>
      <c r="C972" s="25" t="s">
        <v>398</v>
      </c>
      <c r="D972" s="20">
        <v>0</v>
      </c>
      <c r="E972" s="28">
        <v>17983.349999999999</v>
      </c>
      <c r="F972" s="22" t="s">
        <v>133</v>
      </c>
      <c r="G972" s="14">
        <v>297</v>
      </c>
      <c r="H972" s="40">
        <v>44855</v>
      </c>
      <c r="I972" s="46">
        <f t="shared" si="60"/>
        <v>439</v>
      </c>
      <c r="J972" s="1" t="s">
        <v>15</v>
      </c>
      <c r="K972" s="4" t="s">
        <v>212</v>
      </c>
      <c r="L972" s="4" t="s">
        <v>225</v>
      </c>
      <c r="M972" s="8">
        <v>297</v>
      </c>
      <c r="N972" s="5">
        <v>60.55</v>
      </c>
      <c r="O972" s="5">
        <v>17983.349999999999</v>
      </c>
      <c r="P972">
        <f t="shared" si="61"/>
        <v>1</v>
      </c>
      <c r="Q972" s="36">
        <f t="shared" si="62"/>
        <v>17983.349999999999</v>
      </c>
      <c r="R972">
        <f t="shared" si="63"/>
        <v>2022</v>
      </c>
    </row>
    <row r="973" spans="1:18" x14ac:dyDescent="0.2">
      <c r="A973" s="13">
        <v>45294</v>
      </c>
      <c r="B973" s="13">
        <v>45294</v>
      </c>
      <c r="C973" s="25" t="s">
        <v>398</v>
      </c>
      <c r="D973" s="20">
        <v>0</v>
      </c>
      <c r="E973" s="28">
        <v>17983.349999999999</v>
      </c>
      <c r="F973" s="22" t="s">
        <v>133</v>
      </c>
      <c r="G973" s="14">
        <v>297</v>
      </c>
      <c r="H973" s="40">
        <v>44862</v>
      </c>
      <c r="I973" s="46">
        <f t="shared" si="60"/>
        <v>432</v>
      </c>
      <c r="J973" s="1" t="s">
        <v>15</v>
      </c>
      <c r="K973" s="4" t="s">
        <v>212</v>
      </c>
      <c r="L973" s="4" t="s">
        <v>225</v>
      </c>
      <c r="M973" s="8">
        <v>297</v>
      </c>
      <c r="N973" s="5">
        <v>60.55</v>
      </c>
      <c r="O973" s="5">
        <v>17983.349999999999</v>
      </c>
      <c r="P973">
        <f t="shared" si="61"/>
        <v>1</v>
      </c>
      <c r="Q973" s="36">
        <f t="shared" si="62"/>
        <v>17983.349999999999</v>
      </c>
      <c r="R973">
        <f t="shared" si="63"/>
        <v>2022</v>
      </c>
    </row>
    <row r="974" spans="1:18" x14ac:dyDescent="0.2">
      <c r="A974" s="13">
        <v>45294</v>
      </c>
      <c r="B974" s="13">
        <v>45294</v>
      </c>
      <c r="C974" s="25" t="s">
        <v>398</v>
      </c>
      <c r="D974" s="20">
        <v>0</v>
      </c>
      <c r="E974" s="28">
        <v>17983.349999999999</v>
      </c>
      <c r="F974" s="22" t="s">
        <v>133</v>
      </c>
      <c r="G974" s="14">
        <v>297</v>
      </c>
      <c r="H974" s="40">
        <v>44869</v>
      </c>
      <c r="I974" s="46">
        <f t="shared" si="60"/>
        <v>425</v>
      </c>
      <c r="J974" s="1" t="s">
        <v>15</v>
      </c>
      <c r="K974" s="4" t="s">
        <v>212</v>
      </c>
      <c r="L974" s="4" t="s">
        <v>225</v>
      </c>
      <c r="M974" s="8">
        <v>297</v>
      </c>
      <c r="N974" s="5">
        <v>60.55</v>
      </c>
      <c r="O974" s="5">
        <v>17983.349999999999</v>
      </c>
      <c r="P974">
        <f t="shared" si="61"/>
        <v>1</v>
      </c>
      <c r="Q974" s="36">
        <f t="shared" si="62"/>
        <v>17983.349999999999</v>
      </c>
      <c r="R974">
        <f t="shared" si="63"/>
        <v>2022</v>
      </c>
    </row>
    <row r="975" spans="1:18" x14ac:dyDescent="0.2">
      <c r="A975" s="13">
        <v>45292</v>
      </c>
      <c r="B975" s="13">
        <v>45292</v>
      </c>
      <c r="C975" s="25" t="s">
        <v>398</v>
      </c>
      <c r="D975" s="20">
        <v>0</v>
      </c>
      <c r="E975" s="28">
        <v>16348.5</v>
      </c>
      <c r="F975" s="22" t="s">
        <v>133</v>
      </c>
      <c r="G975" s="14">
        <v>270</v>
      </c>
      <c r="H975" s="40">
        <v>44876</v>
      </c>
      <c r="I975" s="46">
        <f t="shared" si="60"/>
        <v>416</v>
      </c>
      <c r="J975" s="1" t="s">
        <v>15</v>
      </c>
      <c r="K975" s="4" t="s">
        <v>212</v>
      </c>
      <c r="L975" s="4" t="s">
        <v>225</v>
      </c>
      <c r="M975" s="8">
        <v>270</v>
      </c>
      <c r="N975" s="5">
        <v>60.55</v>
      </c>
      <c r="O975" s="5">
        <v>16348.5</v>
      </c>
      <c r="P975">
        <f t="shared" si="61"/>
        <v>1</v>
      </c>
      <c r="Q975" s="36">
        <f t="shared" si="62"/>
        <v>16348.5</v>
      </c>
      <c r="R975">
        <f t="shared" si="63"/>
        <v>2022</v>
      </c>
    </row>
    <row r="976" spans="1:18" x14ac:dyDescent="0.2">
      <c r="A976" s="13">
        <v>45321</v>
      </c>
      <c r="B976" s="13">
        <v>45321</v>
      </c>
      <c r="C976" s="25" t="s">
        <v>398</v>
      </c>
      <c r="D976" s="20">
        <v>0</v>
      </c>
      <c r="E976" s="28">
        <v>16348.5</v>
      </c>
      <c r="F976" s="22" t="s">
        <v>133</v>
      </c>
      <c r="G976" s="14">
        <v>270</v>
      </c>
      <c r="H976" s="40">
        <v>44923</v>
      </c>
      <c r="I976" s="46">
        <f t="shared" si="60"/>
        <v>398</v>
      </c>
      <c r="J976" s="1" t="s">
        <v>15</v>
      </c>
      <c r="K976" s="4" t="s">
        <v>212</v>
      </c>
      <c r="L976" s="4" t="s">
        <v>225</v>
      </c>
      <c r="M976" s="8">
        <v>270</v>
      </c>
      <c r="N976" s="5">
        <v>60.55</v>
      </c>
      <c r="O976" s="5">
        <v>16348.5</v>
      </c>
      <c r="P976">
        <f t="shared" si="61"/>
        <v>1</v>
      </c>
      <c r="Q976" s="36">
        <f t="shared" si="62"/>
        <v>16348.5</v>
      </c>
      <c r="R976">
        <f t="shared" si="63"/>
        <v>2022</v>
      </c>
    </row>
    <row r="977" spans="1:18" x14ac:dyDescent="0.2">
      <c r="A977" s="13">
        <v>45321</v>
      </c>
      <c r="B977" s="13">
        <v>45321</v>
      </c>
      <c r="C977" s="25" t="s">
        <v>398</v>
      </c>
      <c r="D977" s="20">
        <v>0</v>
      </c>
      <c r="E977" s="28">
        <v>16348.5</v>
      </c>
      <c r="F977" s="22" t="s">
        <v>133</v>
      </c>
      <c r="G977" s="14">
        <v>270</v>
      </c>
      <c r="H977" s="40">
        <v>44945</v>
      </c>
      <c r="I977" s="46">
        <f t="shared" si="60"/>
        <v>376</v>
      </c>
      <c r="J977" s="1" t="s">
        <v>15</v>
      </c>
      <c r="K977" s="4" t="s">
        <v>212</v>
      </c>
      <c r="L977" s="4" t="s">
        <v>225</v>
      </c>
      <c r="M977" s="8">
        <v>270</v>
      </c>
      <c r="N977" s="5">
        <v>60.55</v>
      </c>
      <c r="O977" s="5">
        <v>16348.5</v>
      </c>
      <c r="P977">
        <f t="shared" si="61"/>
        <v>1</v>
      </c>
      <c r="Q977" s="36">
        <f t="shared" si="62"/>
        <v>16348.5</v>
      </c>
      <c r="R977">
        <f t="shared" si="63"/>
        <v>2023</v>
      </c>
    </row>
    <row r="978" spans="1:18" x14ac:dyDescent="0.2">
      <c r="A978" s="13">
        <v>45321</v>
      </c>
      <c r="B978" s="13">
        <v>45321</v>
      </c>
      <c r="C978" s="25" t="s">
        <v>398</v>
      </c>
      <c r="D978" s="20">
        <v>0</v>
      </c>
      <c r="E978" s="28">
        <v>16348.5</v>
      </c>
      <c r="F978" s="22" t="s">
        <v>133</v>
      </c>
      <c r="G978" s="14">
        <v>270</v>
      </c>
      <c r="H978" s="40">
        <v>44952</v>
      </c>
      <c r="I978" s="46">
        <f t="shared" si="60"/>
        <v>369</v>
      </c>
      <c r="J978" s="1" t="s">
        <v>15</v>
      </c>
      <c r="K978" s="4" t="s">
        <v>212</v>
      </c>
      <c r="L978" s="4" t="s">
        <v>225</v>
      </c>
      <c r="M978" s="8">
        <v>270</v>
      </c>
      <c r="N978" s="5">
        <v>60.55</v>
      </c>
      <c r="O978" s="5">
        <v>16348.5</v>
      </c>
      <c r="P978">
        <f t="shared" si="61"/>
        <v>1</v>
      </c>
      <c r="Q978" s="36">
        <f t="shared" si="62"/>
        <v>16348.5</v>
      </c>
      <c r="R978">
        <f t="shared" si="63"/>
        <v>2023</v>
      </c>
    </row>
    <row r="979" spans="1:18" x14ac:dyDescent="0.2">
      <c r="A979" s="13">
        <v>45436</v>
      </c>
      <c r="B979" s="13">
        <v>45436</v>
      </c>
      <c r="C979" s="25" t="s">
        <v>398</v>
      </c>
      <c r="D979" s="20">
        <v>0</v>
      </c>
      <c r="E979" s="28">
        <v>16348.5</v>
      </c>
      <c r="F979" s="22" t="s">
        <v>133</v>
      </c>
      <c r="G979" s="14">
        <v>270</v>
      </c>
      <c r="H979" s="40">
        <v>44958</v>
      </c>
      <c r="I979" s="46">
        <f t="shared" si="60"/>
        <v>478</v>
      </c>
      <c r="J979" s="1" t="s">
        <v>15</v>
      </c>
      <c r="K979" s="4" t="s">
        <v>212</v>
      </c>
      <c r="L979" s="4" t="s">
        <v>225</v>
      </c>
      <c r="M979" s="8">
        <v>270</v>
      </c>
      <c r="N979" s="5">
        <v>60.55</v>
      </c>
      <c r="O979" s="5">
        <v>16348.5</v>
      </c>
      <c r="P979">
        <f t="shared" si="61"/>
        <v>1</v>
      </c>
      <c r="Q979" s="36">
        <f t="shared" si="62"/>
        <v>16348.5</v>
      </c>
      <c r="R979">
        <f t="shared" si="63"/>
        <v>2023</v>
      </c>
    </row>
    <row r="980" spans="1:18" x14ac:dyDescent="0.2">
      <c r="A980" s="13">
        <v>45478</v>
      </c>
      <c r="B980" s="13">
        <v>45478</v>
      </c>
      <c r="C980" s="25" t="s">
        <v>398</v>
      </c>
      <c r="D980" s="20">
        <v>0</v>
      </c>
      <c r="E980" s="28">
        <v>17088.3</v>
      </c>
      <c r="F980" s="22" t="s">
        <v>133</v>
      </c>
      <c r="G980" s="14">
        <v>270</v>
      </c>
      <c r="H980" s="40">
        <v>45002</v>
      </c>
      <c r="I980" s="46">
        <f t="shared" si="60"/>
        <v>476</v>
      </c>
      <c r="J980" s="1" t="s">
        <v>15</v>
      </c>
      <c r="K980" s="4" t="s">
        <v>212</v>
      </c>
      <c r="L980" s="4" t="s">
        <v>225</v>
      </c>
      <c r="M980" s="8">
        <v>270</v>
      </c>
      <c r="N980" s="5">
        <v>63.29</v>
      </c>
      <c r="O980" s="5">
        <v>17088.3</v>
      </c>
      <c r="P980">
        <f t="shared" si="61"/>
        <v>1</v>
      </c>
      <c r="Q980" s="36">
        <f t="shared" si="62"/>
        <v>17088.3</v>
      </c>
      <c r="R980">
        <f t="shared" si="63"/>
        <v>2023</v>
      </c>
    </row>
    <row r="981" spans="1:18" x14ac:dyDescent="0.2">
      <c r="A981" s="13">
        <v>45979</v>
      </c>
      <c r="B981" s="13">
        <v>45161</v>
      </c>
      <c r="C981" s="25" t="s">
        <v>399</v>
      </c>
      <c r="D981" s="20">
        <v>818</v>
      </c>
      <c r="E981" s="28">
        <v>81001.600000000006</v>
      </c>
      <c r="F981" s="22" t="s">
        <v>134</v>
      </c>
      <c r="G981" s="14">
        <v>544</v>
      </c>
      <c r="H981" s="40">
        <v>45167</v>
      </c>
      <c r="I981" s="46">
        <f t="shared" si="60"/>
        <v>812</v>
      </c>
      <c r="J981" s="1" t="s">
        <v>15</v>
      </c>
      <c r="K981" s="4" t="s">
        <v>212</v>
      </c>
      <c r="L981" s="4" t="s">
        <v>225</v>
      </c>
      <c r="M981" s="8">
        <v>1400</v>
      </c>
      <c r="N981" s="5">
        <v>148.9</v>
      </c>
      <c r="O981" s="5">
        <v>208460</v>
      </c>
      <c r="P981">
        <f t="shared" si="61"/>
        <v>0</v>
      </c>
      <c r="Q981" s="36">
        <f t="shared" si="62"/>
        <v>81001.600000000006</v>
      </c>
      <c r="R981">
        <f t="shared" si="63"/>
        <v>2023</v>
      </c>
    </row>
    <row r="982" spans="1:18" x14ac:dyDescent="0.2">
      <c r="A982" s="13">
        <v>45979</v>
      </c>
      <c r="B982" s="13">
        <v>45202</v>
      </c>
      <c r="C982" s="25" t="s">
        <v>399</v>
      </c>
      <c r="D982" s="20">
        <v>777</v>
      </c>
      <c r="E982" s="28">
        <v>35178.300000000003</v>
      </c>
      <c r="F982" s="22" t="s">
        <v>135</v>
      </c>
      <c r="G982" s="14">
        <v>270</v>
      </c>
      <c r="H982" s="40">
        <v>44736</v>
      </c>
      <c r="I982" s="46">
        <f t="shared" si="60"/>
        <v>1243</v>
      </c>
      <c r="J982" s="1" t="s">
        <v>15</v>
      </c>
      <c r="K982" s="4" t="s">
        <v>212</v>
      </c>
      <c r="L982" s="4" t="s">
        <v>225</v>
      </c>
      <c r="M982" s="8">
        <v>270</v>
      </c>
      <c r="N982" s="5">
        <v>130.29</v>
      </c>
      <c r="O982" s="5">
        <v>35178.300000000003</v>
      </c>
      <c r="P982">
        <f t="shared" si="61"/>
        <v>1</v>
      </c>
      <c r="Q982" s="36">
        <f t="shared" si="62"/>
        <v>35178.299999999996</v>
      </c>
      <c r="R982">
        <f t="shared" si="63"/>
        <v>2022</v>
      </c>
    </row>
    <row r="983" spans="1:18" x14ac:dyDescent="0.2">
      <c r="A983" s="13">
        <v>45979</v>
      </c>
      <c r="B983" s="13">
        <v>45237</v>
      </c>
      <c r="C983" s="25" t="s">
        <v>399</v>
      </c>
      <c r="D983" s="20">
        <v>742</v>
      </c>
      <c r="E983" s="28">
        <v>35178.300000000003</v>
      </c>
      <c r="F983" s="22" t="s">
        <v>135</v>
      </c>
      <c r="G983" s="14">
        <v>270</v>
      </c>
      <c r="H983" s="40">
        <v>44771</v>
      </c>
      <c r="I983" s="46">
        <f t="shared" si="60"/>
        <v>1208</v>
      </c>
      <c r="J983" s="1" t="s">
        <v>15</v>
      </c>
      <c r="K983" s="4" t="s">
        <v>212</v>
      </c>
      <c r="L983" s="4" t="s">
        <v>225</v>
      </c>
      <c r="M983" s="8">
        <v>270</v>
      </c>
      <c r="N983" s="5">
        <v>130.29</v>
      </c>
      <c r="O983" s="5">
        <v>35178.300000000003</v>
      </c>
      <c r="P983">
        <f t="shared" si="61"/>
        <v>1</v>
      </c>
      <c r="Q983" s="36">
        <f t="shared" si="62"/>
        <v>35178.299999999996</v>
      </c>
      <c r="R983">
        <f t="shared" si="63"/>
        <v>2022</v>
      </c>
    </row>
    <row r="984" spans="1:18" x14ac:dyDescent="0.2">
      <c r="A984" s="13">
        <v>45979</v>
      </c>
      <c r="B984" s="13">
        <v>45258</v>
      </c>
      <c r="C984" s="25" t="s">
        <v>399</v>
      </c>
      <c r="D984" s="20">
        <v>721</v>
      </c>
      <c r="E984" s="28">
        <v>35178.300000000003</v>
      </c>
      <c r="F984" s="22" t="s">
        <v>135</v>
      </c>
      <c r="G984" s="14">
        <v>270</v>
      </c>
      <c r="H984" s="40">
        <v>44802</v>
      </c>
      <c r="I984" s="46">
        <f t="shared" si="60"/>
        <v>1177</v>
      </c>
      <c r="J984" s="1" t="s">
        <v>15</v>
      </c>
      <c r="K984" s="4" t="s">
        <v>212</v>
      </c>
      <c r="L984" s="4" t="s">
        <v>225</v>
      </c>
      <c r="M984" s="8">
        <v>270</v>
      </c>
      <c r="N984" s="5">
        <v>130.29</v>
      </c>
      <c r="O984" s="5">
        <v>35178.300000000003</v>
      </c>
      <c r="P984">
        <f t="shared" si="61"/>
        <v>1</v>
      </c>
      <c r="Q984" s="36">
        <f t="shared" si="62"/>
        <v>35178.299999999996</v>
      </c>
      <c r="R984">
        <f t="shared" si="63"/>
        <v>2022</v>
      </c>
    </row>
    <row r="985" spans="1:18" x14ac:dyDescent="0.2">
      <c r="A985" s="13">
        <v>45979</v>
      </c>
      <c r="B985" s="13">
        <v>45524</v>
      </c>
      <c r="C985" s="25" t="s">
        <v>399</v>
      </c>
      <c r="D985" s="20">
        <v>455</v>
      </c>
      <c r="E985" s="28">
        <v>17589.150000000001</v>
      </c>
      <c r="F985" s="22" t="s">
        <v>135</v>
      </c>
      <c r="G985" s="14">
        <v>135</v>
      </c>
      <c r="H985" s="40">
        <v>45065</v>
      </c>
      <c r="I985" s="46">
        <f t="shared" si="60"/>
        <v>914</v>
      </c>
      <c r="J985" s="1" t="s">
        <v>15</v>
      </c>
      <c r="K985" s="4" t="s">
        <v>212</v>
      </c>
      <c r="L985" s="4" t="s">
        <v>225</v>
      </c>
      <c r="M985" s="8">
        <v>135</v>
      </c>
      <c r="N985" s="5">
        <v>130.29</v>
      </c>
      <c r="O985" s="5">
        <v>17589.150000000001</v>
      </c>
      <c r="P985">
        <f t="shared" si="61"/>
        <v>1</v>
      </c>
      <c r="Q985" s="36">
        <f t="shared" si="62"/>
        <v>17589.149999999998</v>
      </c>
      <c r="R985">
        <f t="shared" si="63"/>
        <v>2023</v>
      </c>
    </row>
    <row r="986" spans="1:18" x14ac:dyDescent="0.2">
      <c r="A986" s="13">
        <v>45979</v>
      </c>
      <c r="B986" s="13">
        <v>45139</v>
      </c>
      <c r="C986" s="25" t="s">
        <v>399</v>
      </c>
      <c r="D986" s="20">
        <v>840</v>
      </c>
      <c r="E986" s="28">
        <v>17589.150000000001</v>
      </c>
      <c r="F986" s="22" t="s">
        <v>135</v>
      </c>
      <c r="G986" s="14">
        <v>135</v>
      </c>
      <c r="H986" s="40">
        <v>45167</v>
      </c>
      <c r="I986" s="46">
        <f t="shared" si="60"/>
        <v>812</v>
      </c>
      <c r="J986" s="1" t="s">
        <v>15</v>
      </c>
      <c r="K986" s="4" t="s">
        <v>212</v>
      </c>
      <c r="L986" s="4" t="s">
        <v>225</v>
      </c>
      <c r="M986" s="8">
        <v>270</v>
      </c>
      <c r="N986" s="5">
        <v>130.29</v>
      </c>
      <c r="O986" s="5">
        <v>35178.300000000003</v>
      </c>
      <c r="P986">
        <f t="shared" si="61"/>
        <v>0</v>
      </c>
      <c r="Q986" s="36">
        <f t="shared" si="62"/>
        <v>17589.149999999998</v>
      </c>
      <c r="R986">
        <f t="shared" si="63"/>
        <v>2023</v>
      </c>
    </row>
    <row r="987" spans="1:18" x14ac:dyDescent="0.2">
      <c r="A987" s="13">
        <v>45286</v>
      </c>
      <c r="B987" s="13">
        <v>45286</v>
      </c>
      <c r="C987" s="25" t="s">
        <v>398</v>
      </c>
      <c r="D987" s="20">
        <v>0</v>
      </c>
      <c r="E987" s="28">
        <v>20679.48</v>
      </c>
      <c r="F987" s="22" t="s">
        <v>123</v>
      </c>
      <c r="G987" s="14">
        <v>31</v>
      </c>
      <c r="H987" s="40">
        <v>44819</v>
      </c>
      <c r="I987" s="46">
        <f t="shared" si="60"/>
        <v>467</v>
      </c>
      <c r="J987" s="1" t="s">
        <v>15</v>
      </c>
      <c r="K987" s="4" t="s">
        <v>212</v>
      </c>
      <c r="L987" s="4" t="s">
        <v>225</v>
      </c>
      <c r="M987" s="8">
        <v>120</v>
      </c>
      <c r="N987" s="5">
        <v>667.08</v>
      </c>
      <c r="O987" s="5">
        <v>80049.600000000006</v>
      </c>
      <c r="P987">
        <f t="shared" si="61"/>
        <v>0</v>
      </c>
      <c r="Q987" s="36">
        <f t="shared" si="62"/>
        <v>20679.48</v>
      </c>
      <c r="R987">
        <f t="shared" si="63"/>
        <v>2022</v>
      </c>
    </row>
    <row r="988" spans="1:18" x14ac:dyDescent="0.2">
      <c r="A988" s="13">
        <v>45299</v>
      </c>
      <c r="B988" s="13">
        <v>45286</v>
      </c>
      <c r="C988" s="25" t="s">
        <v>399</v>
      </c>
      <c r="D988" s="20">
        <v>13</v>
      </c>
      <c r="E988" s="28">
        <v>59370.12</v>
      </c>
      <c r="F988" s="22" t="s">
        <v>123</v>
      </c>
      <c r="G988" s="14">
        <v>89</v>
      </c>
      <c r="H988" s="40">
        <v>44819</v>
      </c>
      <c r="I988" s="46">
        <f t="shared" si="60"/>
        <v>480</v>
      </c>
      <c r="J988" s="1" t="s">
        <v>15</v>
      </c>
      <c r="K988" s="4" t="s">
        <v>212</v>
      </c>
      <c r="L988" s="4" t="s">
        <v>225</v>
      </c>
      <c r="M988" s="8">
        <v>120</v>
      </c>
      <c r="N988" s="5">
        <v>667.08</v>
      </c>
      <c r="O988" s="5">
        <v>80049.600000000006</v>
      </c>
      <c r="P988">
        <f t="shared" si="61"/>
        <v>0</v>
      </c>
      <c r="Q988" s="36">
        <f t="shared" si="62"/>
        <v>59370.12</v>
      </c>
      <c r="R988">
        <f t="shared" si="63"/>
        <v>2022</v>
      </c>
    </row>
    <row r="989" spans="1:18" x14ac:dyDescent="0.2">
      <c r="A989" s="13">
        <v>45426</v>
      </c>
      <c r="B989" s="13">
        <v>45426</v>
      </c>
      <c r="C989" s="25" t="s">
        <v>398</v>
      </c>
      <c r="D989" s="20">
        <v>0</v>
      </c>
      <c r="E989" s="28">
        <v>80049.600000000006</v>
      </c>
      <c r="F989" s="22" t="s">
        <v>123</v>
      </c>
      <c r="G989" s="14">
        <v>120</v>
      </c>
      <c r="H989" s="40">
        <v>44958</v>
      </c>
      <c r="I989" s="46">
        <f t="shared" si="60"/>
        <v>468</v>
      </c>
      <c r="J989" s="1" t="s">
        <v>15</v>
      </c>
      <c r="K989" s="4" t="s">
        <v>212</v>
      </c>
      <c r="L989" s="4" t="s">
        <v>225</v>
      </c>
      <c r="M989" s="8">
        <v>120</v>
      </c>
      <c r="N989" s="5">
        <v>667.08</v>
      </c>
      <c r="O989" s="5">
        <v>80049.600000000006</v>
      </c>
      <c r="P989">
        <f t="shared" si="61"/>
        <v>1</v>
      </c>
      <c r="Q989" s="36">
        <f t="shared" si="62"/>
        <v>80049.600000000006</v>
      </c>
      <c r="R989">
        <f t="shared" si="63"/>
        <v>2023</v>
      </c>
    </row>
    <row r="990" spans="1:18" x14ac:dyDescent="0.2">
      <c r="A990" s="13">
        <v>45184</v>
      </c>
      <c r="B990" s="13">
        <v>45160</v>
      </c>
      <c r="C990" s="25" t="s">
        <v>399</v>
      </c>
      <c r="D990" s="20">
        <v>24</v>
      </c>
      <c r="E990" s="28">
        <v>48029.760000000002</v>
      </c>
      <c r="F990" s="22" t="s">
        <v>123</v>
      </c>
      <c r="G990" s="14">
        <v>72</v>
      </c>
      <c r="H990" s="40">
        <v>45148</v>
      </c>
      <c r="I990" s="46">
        <f t="shared" si="60"/>
        <v>36</v>
      </c>
      <c r="J990" s="1" t="s">
        <v>15</v>
      </c>
      <c r="K990" s="4" t="s">
        <v>212</v>
      </c>
      <c r="L990" s="4" t="s">
        <v>225</v>
      </c>
      <c r="M990" s="8">
        <v>192</v>
      </c>
      <c r="N990" s="5">
        <v>667.08</v>
      </c>
      <c r="O990" s="5">
        <v>128079.36</v>
      </c>
      <c r="P990">
        <f t="shared" si="61"/>
        <v>0</v>
      </c>
      <c r="Q990" s="36">
        <f t="shared" si="62"/>
        <v>48029.760000000002</v>
      </c>
      <c r="R990">
        <f t="shared" si="63"/>
        <v>2023</v>
      </c>
    </row>
    <row r="991" spans="1:18" x14ac:dyDescent="0.2">
      <c r="A991" s="13">
        <v>45195</v>
      </c>
      <c r="B991" s="13">
        <v>45195</v>
      </c>
      <c r="C991" s="25" t="s">
        <v>398</v>
      </c>
      <c r="D991" s="20">
        <v>0</v>
      </c>
      <c r="E991" s="28">
        <v>10500</v>
      </c>
      <c r="F991" s="22" t="s">
        <v>122</v>
      </c>
      <c r="G991" s="14">
        <v>6000</v>
      </c>
      <c r="H991" s="40">
        <v>44819</v>
      </c>
      <c r="I991" s="46">
        <f t="shared" si="60"/>
        <v>376</v>
      </c>
      <c r="J991" s="1" t="s">
        <v>15</v>
      </c>
      <c r="K991" s="4" t="s">
        <v>212</v>
      </c>
      <c r="L991" s="4" t="s">
        <v>225</v>
      </c>
      <c r="M991" s="8">
        <v>6000</v>
      </c>
      <c r="N991" s="5">
        <v>1.75</v>
      </c>
      <c r="O991" s="5">
        <v>10500</v>
      </c>
      <c r="P991">
        <f t="shared" si="61"/>
        <v>1</v>
      </c>
      <c r="Q991" s="36">
        <f t="shared" si="62"/>
        <v>10500</v>
      </c>
      <c r="R991">
        <f t="shared" si="63"/>
        <v>2022</v>
      </c>
    </row>
    <row r="992" spans="1:18" x14ac:dyDescent="0.2">
      <c r="A992" s="13">
        <v>45258</v>
      </c>
      <c r="B992" s="13">
        <v>45258</v>
      </c>
      <c r="C992" s="25" t="s">
        <v>398</v>
      </c>
      <c r="D992" s="20">
        <v>0</v>
      </c>
      <c r="E992" s="28">
        <v>10500</v>
      </c>
      <c r="F992" s="22" t="s">
        <v>122</v>
      </c>
      <c r="G992" s="14">
        <v>6000</v>
      </c>
      <c r="H992" s="40">
        <v>44827</v>
      </c>
      <c r="I992" s="46">
        <f t="shared" si="60"/>
        <v>431</v>
      </c>
      <c r="J992" s="1" t="s">
        <v>15</v>
      </c>
      <c r="K992" s="4" t="s">
        <v>212</v>
      </c>
      <c r="L992" s="4" t="s">
        <v>225</v>
      </c>
      <c r="M992" s="8">
        <v>6000</v>
      </c>
      <c r="N992" s="5">
        <v>1.75</v>
      </c>
      <c r="O992" s="5">
        <v>10500</v>
      </c>
      <c r="P992">
        <f t="shared" si="61"/>
        <v>1</v>
      </c>
      <c r="Q992" s="36">
        <f t="shared" si="62"/>
        <v>10500</v>
      </c>
      <c r="R992">
        <f t="shared" si="63"/>
        <v>2022</v>
      </c>
    </row>
    <row r="993" spans="1:18" x14ac:dyDescent="0.2">
      <c r="A993" s="13">
        <v>45279</v>
      </c>
      <c r="B993" s="13">
        <v>45279</v>
      </c>
      <c r="C993" s="25" t="s">
        <v>398</v>
      </c>
      <c r="D993" s="20">
        <v>0</v>
      </c>
      <c r="E993" s="28">
        <v>10500</v>
      </c>
      <c r="F993" s="22" t="s">
        <v>122</v>
      </c>
      <c r="G993" s="14">
        <v>6000</v>
      </c>
      <c r="H993" s="40">
        <v>44827</v>
      </c>
      <c r="I993" s="46">
        <f t="shared" si="60"/>
        <v>452</v>
      </c>
      <c r="J993" s="1" t="s">
        <v>15</v>
      </c>
      <c r="K993" s="4" t="s">
        <v>212</v>
      </c>
      <c r="L993" s="4" t="s">
        <v>225</v>
      </c>
      <c r="M993" s="8">
        <v>6000</v>
      </c>
      <c r="N993" s="5">
        <v>1.75</v>
      </c>
      <c r="O993" s="5">
        <v>10500</v>
      </c>
      <c r="P993">
        <f t="shared" si="61"/>
        <v>1</v>
      </c>
      <c r="Q993" s="36">
        <f t="shared" si="62"/>
        <v>10500</v>
      </c>
      <c r="R993">
        <f t="shared" si="63"/>
        <v>2022</v>
      </c>
    </row>
    <row r="994" spans="1:18" x14ac:dyDescent="0.2">
      <c r="A994" s="13">
        <v>45286</v>
      </c>
      <c r="B994" s="13">
        <v>45286</v>
      </c>
      <c r="C994" s="25" t="s">
        <v>398</v>
      </c>
      <c r="D994" s="20">
        <v>0</v>
      </c>
      <c r="E994" s="28">
        <v>10500</v>
      </c>
      <c r="F994" s="22" t="s">
        <v>122</v>
      </c>
      <c r="G994" s="14">
        <v>6000</v>
      </c>
      <c r="H994" s="40">
        <v>44827</v>
      </c>
      <c r="I994" s="46">
        <f t="shared" si="60"/>
        <v>459</v>
      </c>
      <c r="J994" s="1" t="s">
        <v>15</v>
      </c>
      <c r="K994" s="4" t="s">
        <v>212</v>
      </c>
      <c r="L994" s="4" t="s">
        <v>225</v>
      </c>
      <c r="M994" s="8">
        <v>6000</v>
      </c>
      <c r="N994" s="5">
        <v>1.75</v>
      </c>
      <c r="O994" s="5">
        <v>10500</v>
      </c>
      <c r="P994">
        <f t="shared" si="61"/>
        <v>1</v>
      </c>
      <c r="Q994" s="36">
        <f t="shared" si="62"/>
        <v>10500</v>
      </c>
      <c r="R994">
        <f t="shared" si="63"/>
        <v>2022</v>
      </c>
    </row>
    <row r="995" spans="1:18" x14ac:dyDescent="0.2">
      <c r="A995" s="13">
        <v>45293</v>
      </c>
      <c r="B995" s="13">
        <v>45293</v>
      </c>
      <c r="C995" s="25" t="s">
        <v>398</v>
      </c>
      <c r="D995" s="20">
        <v>0</v>
      </c>
      <c r="E995" s="28">
        <v>5250</v>
      </c>
      <c r="F995" s="22" t="s">
        <v>122</v>
      </c>
      <c r="G995" s="14">
        <v>3000</v>
      </c>
      <c r="H995" s="40">
        <v>44834</v>
      </c>
      <c r="I995" s="46">
        <f t="shared" si="60"/>
        <v>459</v>
      </c>
      <c r="J995" s="1" t="s">
        <v>15</v>
      </c>
      <c r="K995" s="4" t="s">
        <v>212</v>
      </c>
      <c r="L995" s="4" t="s">
        <v>225</v>
      </c>
      <c r="M995" s="8">
        <v>3000</v>
      </c>
      <c r="N995" s="5">
        <v>1.75</v>
      </c>
      <c r="O995" s="5">
        <v>5250</v>
      </c>
      <c r="P995">
        <f t="shared" si="61"/>
        <v>1</v>
      </c>
      <c r="Q995" s="36">
        <f t="shared" si="62"/>
        <v>5250</v>
      </c>
      <c r="R995">
        <f t="shared" si="63"/>
        <v>2022</v>
      </c>
    </row>
    <row r="996" spans="1:18" x14ac:dyDescent="0.2">
      <c r="A996" s="13">
        <v>45300</v>
      </c>
      <c r="B996" s="13">
        <v>45300</v>
      </c>
      <c r="C996" s="25" t="s">
        <v>398</v>
      </c>
      <c r="D996" s="20">
        <v>0</v>
      </c>
      <c r="E996" s="28">
        <v>5250</v>
      </c>
      <c r="F996" s="22" t="s">
        <v>122</v>
      </c>
      <c r="G996" s="14">
        <v>3000</v>
      </c>
      <c r="H996" s="40">
        <v>44855</v>
      </c>
      <c r="I996" s="46">
        <f t="shared" si="60"/>
        <v>445</v>
      </c>
      <c r="J996" s="1" t="s">
        <v>15</v>
      </c>
      <c r="K996" s="4" t="s">
        <v>212</v>
      </c>
      <c r="L996" s="4" t="s">
        <v>225</v>
      </c>
      <c r="M996" s="8">
        <v>3000</v>
      </c>
      <c r="N996" s="5">
        <v>1.75</v>
      </c>
      <c r="O996" s="5">
        <v>5250</v>
      </c>
      <c r="P996">
        <f t="shared" si="61"/>
        <v>1</v>
      </c>
      <c r="Q996" s="36">
        <f t="shared" si="62"/>
        <v>5250</v>
      </c>
      <c r="R996">
        <f t="shared" si="63"/>
        <v>2022</v>
      </c>
    </row>
    <row r="997" spans="1:18" x14ac:dyDescent="0.2">
      <c r="A997" s="13">
        <v>45307</v>
      </c>
      <c r="B997" s="13">
        <v>45307</v>
      </c>
      <c r="C997" s="25" t="s">
        <v>398</v>
      </c>
      <c r="D997" s="20">
        <v>0</v>
      </c>
      <c r="E997" s="28">
        <v>10500</v>
      </c>
      <c r="F997" s="22" t="s">
        <v>122</v>
      </c>
      <c r="G997" s="14">
        <v>6000</v>
      </c>
      <c r="H997" s="40">
        <v>44855</v>
      </c>
      <c r="I997" s="46">
        <f t="shared" si="60"/>
        <v>452</v>
      </c>
      <c r="J997" s="1" t="s">
        <v>15</v>
      </c>
      <c r="K997" s="4" t="s">
        <v>212</v>
      </c>
      <c r="L997" s="4" t="s">
        <v>225</v>
      </c>
      <c r="M997" s="8">
        <v>6000</v>
      </c>
      <c r="N997" s="5">
        <v>1.75</v>
      </c>
      <c r="O997" s="5">
        <v>10500</v>
      </c>
      <c r="P997">
        <f t="shared" si="61"/>
        <v>1</v>
      </c>
      <c r="Q997" s="36">
        <f t="shared" si="62"/>
        <v>10500</v>
      </c>
      <c r="R997">
        <f t="shared" si="63"/>
        <v>2022</v>
      </c>
    </row>
    <row r="998" spans="1:18" x14ac:dyDescent="0.2">
      <c r="A998" s="13">
        <v>45510</v>
      </c>
      <c r="B998" s="13">
        <v>45510</v>
      </c>
      <c r="C998" s="25" t="s">
        <v>398</v>
      </c>
      <c r="D998" s="20">
        <v>0</v>
      </c>
      <c r="E998" s="28">
        <v>42000</v>
      </c>
      <c r="F998" s="22" t="s">
        <v>122</v>
      </c>
      <c r="G998" s="14">
        <v>24000</v>
      </c>
      <c r="H998" s="40">
        <v>44943</v>
      </c>
      <c r="I998" s="46">
        <f t="shared" si="60"/>
        <v>567</v>
      </c>
      <c r="J998" s="1" t="s">
        <v>15</v>
      </c>
      <c r="K998" s="4" t="s">
        <v>212</v>
      </c>
      <c r="L998" s="4" t="s">
        <v>225</v>
      </c>
      <c r="M998" s="8">
        <v>24000</v>
      </c>
      <c r="N998" s="5">
        <v>1.75</v>
      </c>
      <c r="O998" s="5">
        <v>42000</v>
      </c>
      <c r="P998">
        <f t="shared" si="61"/>
        <v>1</v>
      </c>
      <c r="Q998" s="36">
        <f t="shared" si="62"/>
        <v>42000</v>
      </c>
      <c r="R998">
        <f t="shared" si="63"/>
        <v>2023</v>
      </c>
    </row>
    <row r="999" spans="1:18" x14ac:dyDescent="0.2">
      <c r="A999" s="13">
        <v>45517</v>
      </c>
      <c r="B999" s="13">
        <v>45517</v>
      </c>
      <c r="C999" s="25" t="s">
        <v>398</v>
      </c>
      <c r="D999" s="20">
        <v>0</v>
      </c>
      <c r="E999" s="28">
        <v>42000</v>
      </c>
      <c r="F999" s="22" t="s">
        <v>122</v>
      </c>
      <c r="G999" s="14">
        <v>24000</v>
      </c>
      <c r="H999" s="40">
        <v>44943</v>
      </c>
      <c r="I999" s="46">
        <f t="shared" si="60"/>
        <v>574</v>
      </c>
      <c r="J999" s="1" t="s">
        <v>15</v>
      </c>
      <c r="K999" s="4" t="s">
        <v>212</v>
      </c>
      <c r="L999" s="4" t="s">
        <v>225</v>
      </c>
      <c r="M999" s="8">
        <v>24000</v>
      </c>
      <c r="N999" s="5">
        <v>1.75</v>
      </c>
      <c r="O999" s="5">
        <v>42000</v>
      </c>
      <c r="P999">
        <f t="shared" si="61"/>
        <v>1</v>
      </c>
      <c r="Q999" s="36">
        <f t="shared" si="62"/>
        <v>42000</v>
      </c>
      <c r="R999">
        <f t="shared" si="63"/>
        <v>2023</v>
      </c>
    </row>
    <row r="1000" spans="1:18" x14ac:dyDescent="0.2">
      <c r="A1000" s="13">
        <v>45524</v>
      </c>
      <c r="B1000" s="13">
        <v>45524</v>
      </c>
      <c r="C1000" s="25" t="s">
        <v>398</v>
      </c>
      <c r="D1000" s="20">
        <v>0</v>
      </c>
      <c r="E1000" s="28">
        <v>42000</v>
      </c>
      <c r="F1000" s="22" t="s">
        <v>122</v>
      </c>
      <c r="G1000" s="14">
        <v>24000</v>
      </c>
      <c r="H1000" s="40">
        <v>44943</v>
      </c>
      <c r="I1000" s="46">
        <f t="shared" si="60"/>
        <v>581</v>
      </c>
      <c r="J1000" s="1" t="s">
        <v>15</v>
      </c>
      <c r="K1000" s="4" t="s">
        <v>212</v>
      </c>
      <c r="L1000" s="4" t="s">
        <v>225</v>
      </c>
      <c r="M1000" s="8">
        <v>24000</v>
      </c>
      <c r="N1000" s="5">
        <v>1.75</v>
      </c>
      <c r="O1000" s="5">
        <v>42000</v>
      </c>
      <c r="P1000">
        <f t="shared" si="61"/>
        <v>1</v>
      </c>
      <c r="Q1000" s="36">
        <f t="shared" si="62"/>
        <v>42000</v>
      </c>
      <c r="R1000">
        <f t="shared" si="63"/>
        <v>2023</v>
      </c>
    </row>
    <row r="1001" spans="1:18" x14ac:dyDescent="0.2">
      <c r="A1001" s="13">
        <v>45531</v>
      </c>
      <c r="B1001" s="13">
        <v>45531</v>
      </c>
      <c r="C1001" s="25" t="s">
        <v>398</v>
      </c>
      <c r="D1001" s="20">
        <v>0</v>
      </c>
      <c r="E1001" s="28">
        <v>36750</v>
      </c>
      <c r="F1001" s="22" t="s">
        <v>122</v>
      </c>
      <c r="G1001" s="14">
        <v>21000</v>
      </c>
      <c r="H1001" s="40">
        <v>44943</v>
      </c>
      <c r="I1001" s="46">
        <f t="shared" si="60"/>
        <v>588</v>
      </c>
      <c r="J1001" s="1" t="s">
        <v>15</v>
      </c>
      <c r="K1001" s="4" t="s">
        <v>212</v>
      </c>
      <c r="L1001" s="4" t="s">
        <v>225</v>
      </c>
      <c r="M1001" s="8">
        <v>21000</v>
      </c>
      <c r="N1001" s="5">
        <v>1.75</v>
      </c>
      <c r="O1001" s="5">
        <v>36750</v>
      </c>
      <c r="P1001">
        <f t="shared" si="61"/>
        <v>1</v>
      </c>
      <c r="Q1001" s="36">
        <f t="shared" si="62"/>
        <v>36750</v>
      </c>
      <c r="R1001">
        <f t="shared" si="63"/>
        <v>2023</v>
      </c>
    </row>
    <row r="1002" spans="1:18" x14ac:dyDescent="0.2">
      <c r="A1002" s="13">
        <v>45286</v>
      </c>
      <c r="B1002" s="13">
        <v>45286</v>
      </c>
      <c r="C1002" s="25" t="s">
        <v>398</v>
      </c>
      <c r="D1002" s="20">
        <v>0</v>
      </c>
      <c r="E1002" s="28">
        <v>10560</v>
      </c>
      <c r="F1002" s="22" t="s">
        <v>115</v>
      </c>
      <c r="G1002" s="14">
        <v>6000</v>
      </c>
      <c r="H1002" s="40">
        <v>44827</v>
      </c>
      <c r="I1002" s="46">
        <f t="shared" si="60"/>
        <v>459</v>
      </c>
      <c r="J1002" s="1" t="s">
        <v>15</v>
      </c>
      <c r="K1002" s="4" t="s">
        <v>212</v>
      </c>
      <c r="L1002" s="4" t="s">
        <v>225</v>
      </c>
      <c r="M1002" s="8">
        <v>6000</v>
      </c>
      <c r="N1002" s="5">
        <v>1.76</v>
      </c>
      <c r="O1002" s="5">
        <v>10560</v>
      </c>
      <c r="P1002">
        <f t="shared" si="61"/>
        <v>1</v>
      </c>
      <c r="Q1002" s="36">
        <f t="shared" si="62"/>
        <v>10560</v>
      </c>
      <c r="R1002">
        <f t="shared" si="63"/>
        <v>2022</v>
      </c>
    </row>
    <row r="1003" spans="1:18" x14ac:dyDescent="0.2">
      <c r="A1003" s="13">
        <v>45307</v>
      </c>
      <c r="B1003" s="13">
        <v>45307</v>
      </c>
      <c r="C1003" s="25" t="s">
        <v>398</v>
      </c>
      <c r="D1003" s="20">
        <v>0</v>
      </c>
      <c r="E1003" s="28">
        <v>10560</v>
      </c>
      <c r="F1003" s="22" t="s">
        <v>115</v>
      </c>
      <c r="G1003" s="14">
        <v>6000</v>
      </c>
      <c r="H1003" s="40">
        <v>44855</v>
      </c>
      <c r="I1003" s="46">
        <f t="shared" si="60"/>
        <v>452</v>
      </c>
      <c r="J1003" s="1" t="s">
        <v>15</v>
      </c>
      <c r="K1003" s="4" t="s">
        <v>212</v>
      </c>
      <c r="L1003" s="4" t="s">
        <v>225</v>
      </c>
      <c r="M1003" s="8">
        <v>6000</v>
      </c>
      <c r="N1003" s="5">
        <v>1.76</v>
      </c>
      <c r="O1003" s="5">
        <v>10560</v>
      </c>
      <c r="P1003">
        <f t="shared" si="61"/>
        <v>1</v>
      </c>
      <c r="Q1003" s="36">
        <f t="shared" si="62"/>
        <v>10560</v>
      </c>
      <c r="R1003">
        <f t="shared" si="63"/>
        <v>2022</v>
      </c>
    </row>
    <row r="1004" spans="1:18" x14ac:dyDescent="0.2">
      <c r="A1004" s="13">
        <v>45342</v>
      </c>
      <c r="B1004" s="13">
        <v>45342</v>
      </c>
      <c r="C1004" s="25" t="s">
        <v>398</v>
      </c>
      <c r="D1004" s="20">
        <v>0</v>
      </c>
      <c r="E1004" s="28">
        <v>5280</v>
      </c>
      <c r="F1004" s="22" t="s">
        <v>115</v>
      </c>
      <c r="G1004" s="14">
        <v>3000</v>
      </c>
      <c r="H1004" s="40">
        <v>44893</v>
      </c>
      <c r="I1004" s="46">
        <f t="shared" si="60"/>
        <v>449</v>
      </c>
      <c r="J1004" s="1" t="s">
        <v>15</v>
      </c>
      <c r="K1004" s="4" t="s">
        <v>212</v>
      </c>
      <c r="L1004" s="4" t="s">
        <v>225</v>
      </c>
      <c r="M1004" s="8">
        <v>3000</v>
      </c>
      <c r="N1004" s="5">
        <v>1.76</v>
      </c>
      <c r="O1004" s="5">
        <v>5280</v>
      </c>
      <c r="P1004">
        <f t="shared" si="61"/>
        <v>1</v>
      </c>
      <c r="Q1004" s="36">
        <f t="shared" si="62"/>
        <v>5280</v>
      </c>
      <c r="R1004">
        <f t="shared" si="63"/>
        <v>2022</v>
      </c>
    </row>
    <row r="1005" spans="1:18" x14ac:dyDescent="0.2">
      <c r="A1005" s="13">
        <v>45349</v>
      </c>
      <c r="B1005" s="13">
        <v>45349</v>
      </c>
      <c r="C1005" s="25" t="s">
        <v>398</v>
      </c>
      <c r="D1005" s="20">
        <v>0</v>
      </c>
      <c r="E1005" s="28">
        <v>5280</v>
      </c>
      <c r="F1005" s="22" t="s">
        <v>115</v>
      </c>
      <c r="G1005" s="14">
        <v>3000</v>
      </c>
      <c r="H1005" s="40">
        <v>44915</v>
      </c>
      <c r="I1005" s="46">
        <f t="shared" si="60"/>
        <v>434</v>
      </c>
      <c r="J1005" s="1" t="s">
        <v>15</v>
      </c>
      <c r="K1005" s="4" t="s">
        <v>212</v>
      </c>
      <c r="L1005" s="4" t="s">
        <v>225</v>
      </c>
      <c r="M1005" s="8">
        <v>3000</v>
      </c>
      <c r="N1005" s="5">
        <v>1.76</v>
      </c>
      <c r="O1005" s="5">
        <v>5280</v>
      </c>
      <c r="P1005">
        <f t="shared" si="61"/>
        <v>1</v>
      </c>
      <c r="Q1005" s="36">
        <f t="shared" si="62"/>
        <v>5280</v>
      </c>
      <c r="R1005">
        <f t="shared" si="63"/>
        <v>2022</v>
      </c>
    </row>
    <row r="1006" spans="1:18" x14ac:dyDescent="0.2">
      <c r="A1006" s="13">
        <v>45524</v>
      </c>
      <c r="B1006" s="13">
        <v>45524</v>
      </c>
      <c r="C1006" s="25" t="s">
        <v>398</v>
      </c>
      <c r="D1006" s="20">
        <v>0</v>
      </c>
      <c r="E1006" s="28">
        <v>36960</v>
      </c>
      <c r="F1006" s="22" t="s">
        <v>115</v>
      </c>
      <c r="G1006" s="14">
        <v>21000</v>
      </c>
      <c r="H1006" s="40">
        <v>44943</v>
      </c>
      <c r="I1006" s="46">
        <f t="shared" si="60"/>
        <v>581</v>
      </c>
      <c r="J1006" s="1" t="s">
        <v>15</v>
      </c>
      <c r="K1006" s="4" t="s">
        <v>212</v>
      </c>
      <c r="L1006" s="4" t="s">
        <v>225</v>
      </c>
      <c r="M1006" s="8">
        <v>21000</v>
      </c>
      <c r="N1006" s="5">
        <v>1.76</v>
      </c>
      <c r="O1006" s="5">
        <v>36960</v>
      </c>
      <c r="P1006">
        <f t="shared" si="61"/>
        <v>1</v>
      </c>
      <c r="Q1006" s="36">
        <f t="shared" si="62"/>
        <v>36960</v>
      </c>
      <c r="R1006">
        <f t="shared" si="63"/>
        <v>2023</v>
      </c>
    </row>
    <row r="1007" spans="1:18" x14ac:dyDescent="0.2">
      <c r="A1007" s="13">
        <v>45638</v>
      </c>
      <c r="B1007" s="13">
        <v>45622</v>
      </c>
      <c r="C1007" s="25" t="s">
        <v>399</v>
      </c>
      <c r="D1007" s="20">
        <v>16</v>
      </c>
      <c r="E1007" s="28">
        <v>5280</v>
      </c>
      <c r="F1007" s="22" t="s">
        <v>115</v>
      </c>
      <c r="G1007" s="14">
        <v>3000</v>
      </c>
      <c r="H1007" s="40">
        <v>45125</v>
      </c>
      <c r="I1007" s="46">
        <f t="shared" si="60"/>
        <v>513</v>
      </c>
      <c r="J1007" s="1" t="s">
        <v>15</v>
      </c>
      <c r="K1007" s="4" t="s">
        <v>212</v>
      </c>
      <c r="L1007" s="4" t="s">
        <v>225</v>
      </c>
      <c r="M1007" s="8">
        <v>3000</v>
      </c>
      <c r="N1007" s="5">
        <v>1.76</v>
      </c>
      <c r="O1007" s="5">
        <v>5280</v>
      </c>
      <c r="P1007">
        <f t="shared" si="61"/>
        <v>1</v>
      </c>
      <c r="Q1007" s="36">
        <f t="shared" si="62"/>
        <v>5280</v>
      </c>
      <c r="R1007">
        <f t="shared" si="63"/>
        <v>2023</v>
      </c>
    </row>
    <row r="1008" spans="1:18" x14ac:dyDescent="0.2">
      <c r="A1008" s="13">
        <v>45251</v>
      </c>
      <c r="B1008" s="13">
        <v>45251</v>
      </c>
      <c r="C1008" s="25" t="s">
        <v>398</v>
      </c>
      <c r="D1008" s="20">
        <v>0</v>
      </c>
      <c r="E1008" s="28">
        <v>5940</v>
      </c>
      <c r="F1008" s="22" t="s">
        <v>127</v>
      </c>
      <c r="G1008" s="14">
        <v>3000</v>
      </c>
      <c r="H1008" s="40">
        <v>44827</v>
      </c>
      <c r="I1008" s="46">
        <f t="shared" si="60"/>
        <v>424</v>
      </c>
      <c r="J1008" s="1" t="s">
        <v>15</v>
      </c>
      <c r="K1008" s="4" t="s">
        <v>212</v>
      </c>
      <c r="L1008" s="4" t="s">
        <v>225</v>
      </c>
      <c r="M1008" s="8">
        <v>3000</v>
      </c>
      <c r="N1008" s="5">
        <v>1.98</v>
      </c>
      <c r="O1008" s="5">
        <v>5940</v>
      </c>
      <c r="P1008">
        <f t="shared" si="61"/>
        <v>1</v>
      </c>
      <c r="Q1008" s="36">
        <f t="shared" si="62"/>
        <v>5940</v>
      </c>
      <c r="R1008">
        <f t="shared" si="63"/>
        <v>2022</v>
      </c>
    </row>
    <row r="1009" spans="1:18" x14ac:dyDescent="0.2">
      <c r="A1009" s="13">
        <v>45286</v>
      </c>
      <c r="B1009" s="13">
        <v>45286</v>
      </c>
      <c r="C1009" s="25" t="s">
        <v>398</v>
      </c>
      <c r="D1009" s="20">
        <v>0</v>
      </c>
      <c r="E1009" s="28">
        <v>11880</v>
      </c>
      <c r="F1009" s="22" t="s">
        <v>127</v>
      </c>
      <c r="G1009" s="14">
        <v>6000</v>
      </c>
      <c r="H1009" s="40">
        <v>44827</v>
      </c>
      <c r="I1009" s="46">
        <f t="shared" si="60"/>
        <v>459</v>
      </c>
      <c r="J1009" s="1" t="s">
        <v>15</v>
      </c>
      <c r="K1009" s="4" t="s">
        <v>212</v>
      </c>
      <c r="L1009" s="4" t="s">
        <v>225</v>
      </c>
      <c r="M1009" s="8">
        <v>6000</v>
      </c>
      <c r="N1009" s="5">
        <v>1.98</v>
      </c>
      <c r="O1009" s="5">
        <v>11880</v>
      </c>
      <c r="P1009">
        <f t="shared" si="61"/>
        <v>1</v>
      </c>
      <c r="Q1009" s="36">
        <f t="shared" si="62"/>
        <v>11880</v>
      </c>
      <c r="R1009">
        <f t="shared" si="63"/>
        <v>2022</v>
      </c>
    </row>
    <row r="1010" spans="1:18" x14ac:dyDescent="0.2">
      <c r="A1010" s="13">
        <v>45412</v>
      </c>
      <c r="B1010" s="13">
        <v>45412</v>
      </c>
      <c r="C1010" s="25" t="s">
        <v>398</v>
      </c>
      <c r="D1010" s="20">
        <v>0</v>
      </c>
      <c r="E1010" s="28">
        <v>5940</v>
      </c>
      <c r="F1010" s="22" t="s">
        <v>127</v>
      </c>
      <c r="G1010" s="14">
        <v>3000</v>
      </c>
      <c r="H1010" s="40">
        <v>44956</v>
      </c>
      <c r="I1010" s="46">
        <f t="shared" si="60"/>
        <v>456</v>
      </c>
      <c r="J1010" s="1" t="s">
        <v>15</v>
      </c>
      <c r="K1010" s="4" t="s">
        <v>212</v>
      </c>
      <c r="L1010" s="4" t="s">
        <v>225</v>
      </c>
      <c r="M1010" s="8">
        <v>6000</v>
      </c>
      <c r="N1010" s="5">
        <v>1.98</v>
      </c>
      <c r="O1010" s="5">
        <v>11880</v>
      </c>
      <c r="P1010">
        <f t="shared" si="61"/>
        <v>0</v>
      </c>
      <c r="Q1010" s="36">
        <f t="shared" si="62"/>
        <v>5940</v>
      </c>
      <c r="R1010">
        <f t="shared" si="63"/>
        <v>2023</v>
      </c>
    </row>
    <row r="1011" spans="1:18" x14ac:dyDescent="0.2">
      <c r="A1011" s="13">
        <v>45672</v>
      </c>
      <c r="B1011" s="13">
        <v>45412</v>
      </c>
      <c r="C1011" s="25" t="s">
        <v>399</v>
      </c>
      <c r="D1011" s="20">
        <v>260</v>
      </c>
      <c r="E1011" s="28">
        <v>5940</v>
      </c>
      <c r="F1011" s="22" t="s">
        <v>127</v>
      </c>
      <c r="G1011" s="14">
        <v>3000</v>
      </c>
      <c r="H1011" s="40">
        <v>44956</v>
      </c>
      <c r="I1011" s="46">
        <f t="shared" si="60"/>
        <v>716</v>
      </c>
      <c r="J1011" s="1" t="s">
        <v>15</v>
      </c>
      <c r="K1011" s="4" t="s">
        <v>212</v>
      </c>
      <c r="L1011" s="4" t="s">
        <v>225</v>
      </c>
      <c r="M1011" s="8">
        <v>6000</v>
      </c>
      <c r="N1011" s="5">
        <v>1.98</v>
      </c>
      <c r="O1011" s="5">
        <v>11880</v>
      </c>
      <c r="P1011">
        <f t="shared" si="61"/>
        <v>0</v>
      </c>
      <c r="Q1011" s="36">
        <f t="shared" si="62"/>
        <v>5940</v>
      </c>
      <c r="R1011">
        <f t="shared" si="63"/>
        <v>2023</v>
      </c>
    </row>
    <row r="1012" spans="1:18" x14ac:dyDescent="0.2">
      <c r="A1012" s="13">
        <v>45503</v>
      </c>
      <c r="B1012" s="13">
        <v>45503</v>
      </c>
      <c r="C1012" s="25" t="s">
        <v>398</v>
      </c>
      <c r="D1012" s="20">
        <v>0</v>
      </c>
      <c r="E1012" s="28">
        <v>11880</v>
      </c>
      <c r="F1012" s="22" t="s">
        <v>127</v>
      </c>
      <c r="G1012" s="14">
        <v>6000</v>
      </c>
      <c r="H1012" s="40">
        <v>44956</v>
      </c>
      <c r="I1012" s="46">
        <f t="shared" si="60"/>
        <v>547</v>
      </c>
      <c r="J1012" s="1" t="s">
        <v>15</v>
      </c>
      <c r="K1012" s="4" t="s">
        <v>212</v>
      </c>
      <c r="L1012" s="4" t="s">
        <v>225</v>
      </c>
      <c r="M1012" s="8">
        <v>6000</v>
      </c>
      <c r="N1012" s="5">
        <v>1.98</v>
      </c>
      <c r="O1012" s="5">
        <v>11880</v>
      </c>
      <c r="P1012">
        <f t="shared" si="61"/>
        <v>1</v>
      </c>
      <c r="Q1012" s="36">
        <f t="shared" si="62"/>
        <v>11880</v>
      </c>
      <c r="R1012">
        <f t="shared" si="63"/>
        <v>2023</v>
      </c>
    </row>
    <row r="1013" spans="1:18" x14ac:dyDescent="0.2">
      <c r="A1013" s="13">
        <v>45672</v>
      </c>
      <c r="B1013" s="13">
        <v>45468</v>
      </c>
      <c r="C1013" s="25" t="s">
        <v>399</v>
      </c>
      <c r="D1013" s="20">
        <v>204</v>
      </c>
      <c r="E1013" s="28">
        <v>11880</v>
      </c>
      <c r="F1013" s="22" t="s">
        <v>127</v>
      </c>
      <c r="G1013" s="14">
        <v>6000</v>
      </c>
      <c r="H1013" s="40">
        <v>44956</v>
      </c>
      <c r="I1013" s="46">
        <f t="shared" si="60"/>
        <v>716</v>
      </c>
      <c r="J1013" s="1" t="s">
        <v>15</v>
      </c>
      <c r="K1013" s="4" t="s">
        <v>212</v>
      </c>
      <c r="L1013" s="4" t="s">
        <v>225</v>
      </c>
      <c r="M1013" s="8">
        <v>6000</v>
      </c>
      <c r="N1013" s="5">
        <v>1.98</v>
      </c>
      <c r="O1013" s="5">
        <v>11880</v>
      </c>
      <c r="P1013">
        <f t="shared" si="61"/>
        <v>1</v>
      </c>
      <c r="Q1013" s="36">
        <f t="shared" si="62"/>
        <v>11880</v>
      </c>
      <c r="R1013">
        <f t="shared" si="63"/>
        <v>2023</v>
      </c>
    </row>
    <row r="1014" spans="1:18" x14ac:dyDescent="0.2">
      <c r="A1014" s="13">
        <v>45190</v>
      </c>
      <c r="B1014" s="13">
        <v>45190</v>
      </c>
      <c r="C1014" s="25" t="s">
        <v>398</v>
      </c>
      <c r="D1014" s="20">
        <v>0</v>
      </c>
      <c r="E1014" s="28">
        <v>46617.120000000003</v>
      </c>
      <c r="F1014" s="22" t="s">
        <v>55</v>
      </c>
      <c r="G1014" s="14">
        <v>432</v>
      </c>
      <c r="H1014" s="40">
        <v>44811</v>
      </c>
      <c r="I1014" s="46">
        <f t="shared" si="60"/>
        <v>379</v>
      </c>
      <c r="J1014" s="1" t="s">
        <v>15</v>
      </c>
      <c r="K1014" s="4" t="s">
        <v>199</v>
      </c>
      <c r="L1014" s="4" t="s">
        <v>225</v>
      </c>
      <c r="M1014" s="8">
        <v>432</v>
      </c>
      <c r="N1014" s="5">
        <v>107.91</v>
      </c>
      <c r="O1014" s="5">
        <v>46617.120000000003</v>
      </c>
      <c r="P1014">
        <f t="shared" si="61"/>
        <v>1</v>
      </c>
      <c r="Q1014" s="36">
        <f t="shared" si="62"/>
        <v>46617.119999999995</v>
      </c>
      <c r="R1014">
        <f t="shared" si="63"/>
        <v>2022</v>
      </c>
    </row>
    <row r="1015" spans="1:18" x14ac:dyDescent="0.2">
      <c r="A1015" s="13">
        <v>45202</v>
      </c>
      <c r="B1015" s="13">
        <v>45202</v>
      </c>
      <c r="C1015" s="25" t="s">
        <v>398</v>
      </c>
      <c r="D1015" s="20">
        <v>0</v>
      </c>
      <c r="E1015" s="28">
        <v>34962.839999999997</v>
      </c>
      <c r="F1015" s="22" t="s">
        <v>55</v>
      </c>
      <c r="G1015" s="14">
        <v>324</v>
      </c>
      <c r="H1015" s="40">
        <v>44827</v>
      </c>
      <c r="I1015" s="46">
        <f t="shared" si="60"/>
        <v>375</v>
      </c>
      <c r="J1015" s="1" t="s">
        <v>15</v>
      </c>
      <c r="K1015" s="4" t="s">
        <v>199</v>
      </c>
      <c r="L1015" s="4" t="s">
        <v>225</v>
      </c>
      <c r="M1015" s="8">
        <v>324</v>
      </c>
      <c r="N1015" s="5">
        <v>107.91</v>
      </c>
      <c r="O1015" s="5">
        <v>34962.839999999997</v>
      </c>
      <c r="P1015">
        <f t="shared" si="61"/>
        <v>1</v>
      </c>
      <c r="Q1015" s="36">
        <f t="shared" si="62"/>
        <v>34962.839999999997</v>
      </c>
      <c r="R1015">
        <f t="shared" si="63"/>
        <v>2022</v>
      </c>
    </row>
    <row r="1016" spans="1:18" x14ac:dyDescent="0.2">
      <c r="A1016" s="13">
        <v>45202</v>
      </c>
      <c r="B1016" s="13">
        <v>45202</v>
      </c>
      <c r="C1016" s="25" t="s">
        <v>398</v>
      </c>
      <c r="D1016" s="20">
        <v>0</v>
      </c>
      <c r="E1016" s="28">
        <v>46617.120000000003</v>
      </c>
      <c r="F1016" s="22" t="s">
        <v>55</v>
      </c>
      <c r="G1016" s="14">
        <v>432</v>
      </c>
      <c r="H1016" s="40">
        <v>44827</v>
      </c>
      <c r="I1016" s="46">
        <f t="shared" si="60"/>
        <v>375</v>
      </c>
      <c r="J1016" s="1" t="s">
        <v>15</v>
      </c>
      <c r="K1016" s="4" t="s">
        <v>199</v>
      </c>
      <c r="L1016" s="4" t="s">
        <v>225</v>
      </c>
      <c r="M1016" s="8">
        <v>432</v>
      </c>
      <c r="N1016" s="5">
        <v>107.91</v>
      </c>
      <c r="O1016" s="5">
        <v>46617.120000000003</v>
      </c>
      <c r="P1016">
        <f t="shared" si="61"/>
        <v>1</v>
      </c>
      <c r="Q1016" s="36">
        <f t="shared" si="62"/>
        <v>46617.119999999995</v>
      </c>
      <c r="R1016">
        <f t="shared" si="63"/>
        <v>2022</v>
      </c>
    </row>
    <row r="1017" spans="1:18" x14ac:dyDescent="0.2">
      <c r="A1017" s="13">
        <v>45225</v>
      </c>
      <c r="B1017" s="13">
        <v>45225</v>
      </c>
      <c r="C1017" s="25" t="s">
        <v>398</v>
      </c>
      <c r="D1017" s="20">
        <v>0</v>
      </c>
      <c r="E1017" s="28">
        <v>11654.28</v>
      </c>
      <c r="F1017" s="22" t="s">
        <v>55</v>
      </c>
      <c r="G1017" s="14">
        <v>108</v>
      </c>
      <c r="H1017" s="40">
        <v>44847</v>
      </c>
      <c r="I1017" s="46">
        <f t="shared" si="60"/>
        <v>378</v>
      </c>
      <c r="J1017" s="1" t="s">
        <v>15</v>
      </c>
      <c r="K1017" s="4" t="s">
        <v>199</v>
      </c>
      <c r="L1017" s="4" t="s">
        <v>225</v>
      </c>
      <c r="M1017" s="8">
        <v>108</v>
      </c>
      <c r="N1017" s="5">
        <v>107.91</v>
      </c>
      <c r="O1017" s="5">
        <v>11654.28</v>
      </c>
      <c r="P1017">
        <f t="shared" si="61"/>
        <v>1</v>
      </c>
      <c r="Q1017" s="36">
        <f t="shared" si="62"/>
        <v>11654.279999999999</v>
      </c>
      <c r="R1017">
        <f t="shared" si="63"/>
        <v>2022</v>
      </c>
    </row>
    <row r="1018" spans="1:18" x14ac:dyDescent="0.2">
      <c r="A1018" s="13">
        <v>45225</v>
      </c>
      <c r="B1018" s="13">
        <v>45225</v>
      </c>
      <c r="C1018" s="25" t="s">
        <v>398</v>
      </c>
      <c r="D1018" s="20">
        <v>0</v>
      </c>
      <c r="E1018" s="28">
        <v>46617.120000000003</v>
      </c>
      <c r="F1018" s="22" t="s">
        <v>55</v>
      </c>
      <c r="G1018" s="14">
        <v>432</v>
      </c>
      <c r="H1018" s="40">
        <v>44848</v>
      </c>
      <c r="I1018" s="46">
        <f t="shared" si="60"/>
        <v>377</v>
      </c>
      <c r="J1018" s="1" t="s">
        <v>15</v>
      </c>
      <c r="K1018" s="4" t="s">
        <v>199</v>
      </c>
      <c r="L1018" s="4" t="s">
        <v>225</v>
      </c>
      <c r="M1018" s="8">
        <v>432</v>
      </c>
      <c r="N1018" s="5">
        <v>107.91</v>
      </c>
      <c r="O1018" s="5">
        <v>46617.120000000003</v>
      </c>
      <c r="P1018">
        <f t="shared" si="61"/>
        <v>1</v>
      </c>
      <c r="Q1018" s="36">
        <f t="shared" si="62"/>
        <v>46617.119999999995</v>
      </c>
      <c r="R1018">
        <f t="shared" si="63"/>
        <v>2022</v>
      </c>
    </row>
    <row r="1019" spans="1:18" x14ac:dyDescent="0.2">
      <c r="A1019" s="13">
        <v>45293</v>
      </c>
      <c r="B1019" s="13">
        <v>45293</v>
      </c>
      <c r="C1019" s="25" t="s">
        <v>398</v>
      </c>
      <c r="D1019" s="20">
        <v>0</v>
      </c>
      <c r="E1019" s="28">
        <v>46617.120000000003</v>
      </c>
      <c r="F1019" s="22" t="s">
        <v>55</v>
      </c>
      <c r="G1019" s="14">
        <v>432</v>
      </c>
      <c r="H1019" s="40">
        <v>44917</v>
      </c>
      <c r="I1019" s="46">
        <f t="shared" si="60"/>
        <v>376</v>
      </c>
      <c r="J1019" s="1" t="s">
        <v>15</v>
      </c>
      <c r="K1019" s="4" t="s">
        <v>199</v>
      </c>
      <c r="L1019" s="4" t="s">
        <v>225</v>
      </c>
      <c r="M1019" s="8">
        <v>432</v>
      </c>
      <c r="N1019" s="5">
        <v>107.91</v>
      </c>
      <c r="O1019" s="5">
        <v>46617.120000000003</v>
      </c>
      <c r="P1019">
        <f t="shared" si="61"/>
        <v>1</v>
      </c>
      <c r="Q1019" s="36">
        <f t="shared" si="62"/>
        <v>46617.119999999995</v>
      </c>
      <c r="R1019">
        <f t="shared" si="63"/>
        <v>2022</v>
      </c>
    </row>
    <row r="1020" spans="1:18" x14ac:dyDescent="0.2">
      <c r="A1020" s="13">
        <v>45293</v>
      </c>
      <c r="B1020" s="13">
        <v>45293</v>
      </c>
      <c r="C1020" s="25" t="s">
        <v>398</v>
      </c>
      <c r="D1020" s="20">
        <v>0</v>
      </c>
      <c r="E1020" s="28">
        <v>34962.839999999997</v>
      </c>
      <c r="F1020" s="22" t="s">
        <v>55</v>
      </c>
      <c r="G1020" s="14">
        <v>324</v>
      </c>
      <c r="H1020" s="40">
        <v>44917</v>
      </c>
      <c r="I1020" s="46">
        <f t="shared" si="60"/>
        <v>376</v>
      </c>
      <c r="J1020" s="1" t="s">
        <v>15</v>
      </c>
      <c r="K1020" s="4" t="s">
        <v>199</v>
      </c>
      <c r="L1020" s="4" t="s">
        <v>225</v>
      </c>
      <c r="M1020" s="8">
        <v>324</v>
      </c>
      <c r="N1020" s="5">
        <v>107.91</v>
      </c>
      <c r="O1020" s="5">
        <v>34962.839999999997</v>
      </c>
      <c r="P1020">
        <f t="shared" si="61"/>
        <v>1</v>
      </c>
      <c r="Q1020" s="36">
        <f t="shared" si="62"/>
        <v>34962.839999999997</v>
      </c>
      <c r="R1020">
        <f t="shared" si="63"/>
        <v>2022</v>
      </c>
    </row>
    <row r="1021" spans="1:18" x14ac:dyDescent="0.2">
      <c r="A1021" s="13">
        <v>45295</v>
      </c>
      <c r="B1021" s="13">
        <v>45295</v>
      </c>
      <c r="C1021" s="25" t="s">
        <v>398</v>
      </c>
      <c r="D1021" s="20">
        <v>0</v>
      </c>
      <c r="E1021" s="28">
        <v>34962.839999999997</v>
      </c>
      <c r="F1021" s="22" t="s">
        <v>55</v>
      </c>
      <c r="G1021" s="14">
        <v>324</v>
      </c>
      <c r="H1021" s="40">
        <v>44932</v>
      </c>
      <c r="I1021" s="46">
        <f t="shared" si="60"/>
        <v>363</v>
      </c>
      <c r="J1021" s="1" t="s">
        <v>15</v>
      </c>
      <c r="K1021" s="4" t="s">
        <v>199</v>
      </c>
      <c r="L1021" s="4" t="s">
        <v>225</v>
      </c>
      <c r="M1021" s="8">
        <v>324</v>
      </c>
      <c r="N1021" s="5">
        <v>107.91</v>
      </c>
      <c r="O1021" s="5">
        <v>34962.839999999997</v>
      </c>
      <c r="P1021">
        <f t="shared" si="61"/>
        <v>1</v>
      </c>
      <c r="Q1021" s="36">
        <f t="shared" si="62"/>
        <v>34962.839999999997</v>
      </c>
      <c r="R1021">
        <f t="shared" si="63"/>
        <v>2023</v>
      </c>
    </row>
    <row r="1022" spans="1:18" x14ac:dyDescent="0.2">
      <c r="A1022" s="13">
        <v>45295</v>
      </c>
      <c r="B1022" s="13">
        <v>45295</v>
      </c>
      <c r="C1022" s="25" t="s">
        <v>398</v>
      </c>
      <c r="D1022" s="20">
        <v>0</v>
      </c>
      <c r="E1022" s="28">
        <v>46617.120000000003</v>
      </c>
      <c r="F1022" s="22" t="s">
        <v>55</v>
      </c>
      <c r="G1022" s="14">
        <v>432</v>
      </c>
      <c r="H1022" s="40">
        <v>44932</v>
      </c>
      <c r="I1022" s="46">
        <f t="shared" si="60"/>
        <v>363</v>
      </c>
      <c r="J1022" s="1" t="s">
        <v>15</v>
      </c>
      <c r="K1022" s="4" t="s">
        <v>199</v>
      </c>
      <c r="L1022" s="4" t="s">
        <v>225</v>
      </c>
      <c r="M1022" s="8">
        <v>432</v>
      </c>
      <c r="N1022" s="5">
        <v>107.91</v>
      </c>
      <c r="O1022" s="5">
        <v>46617.120000000003</v>
      </c>
      <c r="P1022">
        <f t="shared" si="61"/>
        <v>1</v>
      </c>
      <c r="Q1022" s="36">
        <f t="shared" si="62"/>
        <v>46617.119999999995</v>
      </c>
      <c r="R1022">
        <f t="shared" si="63"/>
        <v>2023</v>
      </c>
    </row>
    <row r="1023" spans="1:18" x14ac:dyDescent="0.2">
      <c r="A1023" s="13">
        <v>45302</v>
      </c>
      <c r="B1023" s="13">
        <v>45302</v>
      </c>
      <c r="C1023" s="25" t="s">
        <v>398</v>
      </c>
      <c r="D1023" s="20">
        <v>0</v>
      </c>
      <c r="E1023" s="28">
        <v>34962.839999999997</v>
      </c>
      <c r="F1023" s="22" t="s">
        <v>55</v>
      </c>
      <c r="G1023" s="14">
        <v>324</v>
      </c>
      <c r="H1023" s="40">
        <v>44932</v>
      </c>
      <c r="I1023" s="46">
        <f t="shared" si="60"/>
        <v>370</v>
      </c>
      <c r="J1023" s="1" t="s">
        <v>15</v>
      </c>
      <c r="K1023" s="4" t="s">
        <v>199</v>
      </c>
      <c r="L1023" s="4" t="s">
        <v>225</v>
      </c>
      <c r="M1023" s="8">
        <v>324</v>
      </c>
      <c r="N1023" s="5">
        <v>107.91</v>
      </c>
      <c r="O1023" s="5">
        <v>34962.839999999997</v>
      </c>
      <c r="P1023">
        <f t="shared" si="61"/>
        <v>1</v>
      </c>
      <c r="Q1023" s="36">
        <f t="shared" si="62"/>
        <v>34962.839999999997</v>
      </c>
      <c r="R1023">
        <f t="shared" si="63"/>
        <v>2023</v>
      </c>
    </row>
    <row r="1024" spans="1:18" x14ac:dyDescent="0.2">
      <c r="A1024" s="13">
        <v>45302</v>
      </c>
      <c r="B1024" s="13">
        <v>45302</v>
      </c>
      <c r="C1024" s="25" t="s">
        <v>398</v>
      </c>
      <c r="D1024" s="20">
        <v>0</v>
      </c>
      <c r="E1024" s="28">
        <v>46617.120000000003</v>
      </c>
      <c r="F1024" s="22" t="s">
        <v>55</v>
      </c>
      <c r="G1024" s="14">
        <v>432</v>
      </c>
      <c r="H1024" s="40">
        <v>44932</v>
      </c>
      <c r="I1024" s="46">
        <f t="shared" si="60"/>
        <v>370</v>
      </c>
      <c r="J1024" s="1" t="s">
        <v>15</v>
      </c>
      <c r="K1024" s="4" t="s">
        <v>199</v>
      </c>
      <c r="L1024" s="4" t="s">
        <v>225</v>
      </c>
      <c r="M1024" s="8">
        <v>432</v>
      </c>
      <c r="N1024" s="5">
        <v>107.91</v>
      </c>
      <c r="O1024" s="5">
        <v>46617.120000000003</v>
      </c>
      <c r="P1024">
        <f t="shared" si="61"/>
        <v>1</v>
      </c>
      <c r="Q1024" s="36">
        <f t="shared" si="62"/>
        <v>46617.119999999995</v>
      </c>
      <c r="R1024">
        <f t="shared" si="63"/>
        <v>2023</v>
      </c>
    </row>
    <row r="1025" spans="1:18" x14ac:dyDescent="0.2">
      <c r="A1025" s="13">
        <v>45309</v>
      </c>
      <c r="B1025" s="13">
        <v>45309</v>
      </c>
      <c r="C1025" s="25" t="s">
        <v>398</v>
      </c>
      <c r="D1025" s="20">
        <v>0</v>
      </c>
      <c r="E1025" s="28">
        <v>34962.839999999997</v>
      </c>
      <c r="F1025" s="22" t="s">
        <v>55</v>
      </c>
      <c r="G1025" s="14">
        <v>324</v>
      </c>
      <c r="H1025" s="40">
        <v>44932</v>
      </c>
      <c r="I1025" s="46">
        <f t="shared" si="60"/>
        <v>377</v>
      </c>
      <c r="J1025" s="1" t="s">
        <v>15</v>
      </c>
      <c r="K1025" s="4" t="s">
        <v>199</v>
      </c>
      <c r="L1025" s="4" t="s">
        <v>225</v>
      </c>
      <c r="M1025" s="8">
        <v>324</v>
      </c>
      <c r="N1025" s="5">
        <v>107.91</v>
      </c>
      <c r="O1025" s="5">
        <v>34962.839999999997</v>
      </c>
      <c r="P1025">
        <f t="shared" si="61"/>
        <v>1</v>
      </c>
      <c r="Q1025" s="36">
        <f t="shared" si="62"/>
        <v>34962.839999999997</v>
      </c>
      <c r="R1025">
        <f t="shared" si="63"/>
        <v>2023</v>
      </c>
    </row>
    <row r="1026" spans="1:18" x14ac:dyDescent="0.2">
      <c r="A1026" s="13">
        <v>45309</v>
      </c>
      <c r="B1026" s="13">
        <v>45309</v>
      </c>
      <c r="C1026" s="25" t="s">
        <v>398</v>
      </c>
      <c r="D1026" s="20">
        <v>0</v>
      </c>
      <c r="E1026" s="28">
        <v>46617.120000000003</v>
      </c>
      <c r="F1026" s="22" t="s">
        <v>55</v>
      </c>
      <c r="G1026" s="14">
        <v>432</v>
      </c>
      <c r="H1026" s="40">
        <v>44932</v>
      </c>
      <c r="I1026" s="46">
        <f t="shared" si="60"/>
        <v>377</v>
      </c>
      <c r="J1026" s="1" t="s">
        <v>15</v>
      </c>
      <c r="K1026" s="4" t="s">
        <v>199</v>
      </c>
      <c r="L1026" s="4" t="s">
        <v>225</v>
      </c>
      <c r="M1026" s="8">
        <v>432</v>
      </c>
      <c r="N1026" s="5">
        <v>107.91</v>
      </c>
      <c r="O1026" s="5">
        <v>46617.120000000003</v>
      </c>
      <c r="P1026">
        <f t="shared" si="61"/>
        <v>1</v>
      </c>
      <c r="Q1026" s="36">
        <f t="shared" si="62"/>
        <v>46617.119999999995</v>
      </c>
      <c r="R1026">
        <f t="shared" si="63"/>
        <v>2023</v>
      </c>
    </row>
    <row r="1027" spans="1:18" x14ac:dyDescent="0.2">
      <c r="A1027" s="13">
        <v>45316</v>
      </c>
      <c r="B1027" s="13">
        <v>45316</v>
      </c>
      <c r="C1027" s="25" t="s">
        <v>398</v>
      </c>
      <c r="D1027" s="20">
        <v>0</v>
      </c>
      <c r="E1027" s="28">
        <v>46617.120000000003</v>
      </c>
      <c r="F1027" s="22" t="s">
        <v>55</v>
      </c>
      <c r="G1027" s="14">
        <v>432</v>
      </c>
      <c r="H1027" s="40">
        <v>44939</v>
      </c>
      <c r="I1027" s="46">
        <f t="shared" ref="I1027:I1090" si="64">IFERROR(A1027-H1027,"")*1</f>
        <v>377</v>
      </c>
      <c r="J1027" s="1" t="s">
        <v>15</v>
      </c>
      <c r="K1027" s="4" t="s">
        <v>199</v>
      </c>
      <c r="L1027" s="4" t="s">
        <v>225</v>
      </c>
      <c r="M1027" s="8">
        <v>432</v>
      </c>
      <c r="N1027" s="5">
        <v>107.91</v>
      </c>
      <c r="O1027" s="5">
        <v>46617.120000000003</v>
      </c>
      <c r="P1027">
        <f t="shared" ref="P1027:P1090" si="65">IF(M1027=G1027,1,0)</f>
        <v>1</v>
      </c>
      <c r="Q1027" s="36">
        <f t="shared" ref="Q1027:Q1090" si="66">N1027*G1027</f>
        <v>46617.119999999995</v>
      </c>
      <c r="R1027">
        <f t="shared" ref="R1027:R1090" si="67">YEAR(H1027)</f>
        <v>2023</v>
      </c>
    </row>
    <row r="1028" spans="1:18" x14ac:dyDescent="0.2">
      <c r="A1028" s="13">
        <v>45330</v>
      </c>
      <c r="B1028" s="13">
        <v>45330</v>
      </c>
      <c r="C1028" s="25" t="s">
        <v>398</v>
      </c>
      <c r="D1028" s="20">
        <v>0</v>
      </c>
      <c r="E1028" s="28">
        <v>46617.120000000003</v>
      </c>
      <c r="F1028" s="22" t="s">
        <v>55</v>
      </c>
      <c r="G1028" s="14">
        <v>432</v>
      </c>
      <c r="H1028" s="40">
        <v>44953</v>
      </c>
      <c r="I1028" s="46">
        <f t="shared" si="64"/>
        <v>377</v>
      </c>
      <c r="J1028" s="1" t="s">
        <v>15</v>
      </c>
      <c r="K1028" s="4" t="s">
        <v>200</v>
      </c>
      <c r="L1028" s="4" t="s">
        <v>225</v>
      </c>
      <c r="M1028" s="8">
        <v>432</v>
      </c>
      <c r="N1028" s="5">
        <v>107.91</v>
      </c>
      <c r="O1028" s="5">
        <v>46617.120000000003</v>
      </c>
      <c r="P1028">
        <f t="shared" si="65"/>
        <v>1</v>
      </c>
      <c r="Q1028" s="36">
        <f t="shared" si="66"/>
        <v>46617.119999999995</v>
      </c>
      <c r="R1028">
        <f t="shared" si="67"/>
        <v>2023</v>
      </c>
    </row>
    <row r="1029" spans="1:18" x14ac:dyDescent="0.2">
      <c r="A1029" s="13">
        <v>45330</v>
      </c>
      <c r="B1029" s="13">
        <v>45330</v>
      </c>
      <c r="C1029" s="25" t="s">
        <v>398</v>
      </c>
      <c r="D1029" s="20">
        <v>0</v>
      </c>
      <c r="E1029" s="28">
        <v>34962.839999999997</v>
      </c>
      <c r="F1029" s="22" t="s">
        <v>55</v>
      </c>
      <c r="G1029" s="14">
        <v>324</v>
      </c>
      <c r="H1029" s="40">
        <v>44953</v>
      </c>
      <c r="I1029" s="46">
        <f t="shared" si="64"/>
        <v>377</v>
      </c>
      <c r="J1029" s="1" t="s">
        <v>15</v>
      </c>
      <c r="K1029" s="4" t="s">
        <v>200</v>
      </c>
      <c r="L1029" s="4" t="s">
        <v>225</v>
      </c>
      <c r="M1029" s="8">
        <v>324</v>
      </c>
      <c r="N1029" s="5">
        <v>107.91</v>
      </c>
      <c r="O1029" s="5">
        <v>34962.839999999997</v>
      </c>
      <c r="P1029">
        <f t="shared" si="65"/>
        <v>1</v>
      </c>
      <c r="Q1029" s="36">
        <f t="shared" si="66"/>
        <v>34962.839999999997</v>
      </c>
      <c r="R1029">
        <f t="shared" si="67"/>
        <v>2023</v>
      </c>
    </row>
    <row r="1030" spans="1:18" x14ac:dyDescent="0.2">
      <c r="A1030" s="13">
        <v>45335</v>
      </c>
      <c r="B1030" s="13">
        <v>45335</v>
      </c>
      <c r="C1030" s="25" t="s">
        <v>398</v>
      </c>
      <c r="D1030" s="20">
        <v>0</v>
      </c>
      <c r="E1030" s="28">
        <v>46617.120000000003</v>
      </c>
      <c r="F1030" s="22" t="s">
        <v>55</v>
      </c>
      <c r="G1030" s="14">
        <v>432</v>
      </c>
      <c r="H1030" s="40">
        <v>44960</v>
      </c>
      <c r="I1030" s="46">
        <f t="shared" si="64"/>
        <v>375</v>
      </c>
      <c r="J1030" s="1" t="s">
        <v>15</v>
      </c>
      <c r="K1030" s="4" t="s">
        <v>200</v>
      </c>
      <c r="L1030" s="4" t="s">
        <v>225</v>
      </c>
      <c r="M1030" s="8">
        <v>432</v>
      </c>
      <c r="N1030" s="5">
        <v>107.91</v>
      </c>
      <c r="O1030" s="5">
        <v>46617.120000000003</v>
      </c>
      <c r="P1030">
        <f t="shared" si="65"/>
        <v>1</v>
      </c>
      <c r="Q1030" s="36">
        <f t="shared" si="66"/>
        <v>46617.119999999995</v>
      </c>
      <c r="R1030">
        <f t="shared" si="67"/>
        <v>2023</v>
      </c>
    </row>
    <row r="1031" spans="1:18" x14ac:dyDescent="0.2">
      <c r="A1031" s="13">
        <v>45349</v>
      </c>
      <c r="B1031" s="13">
        <v>45349</v>
      </c>
      <c r="C1031" s="25" t="s">
        <v>398</v>
      </c>
      <c r="D1031" s="20">
        <v>0</v>
      </c>
      <c r="E1031" s="28">
        <v>34962.839999999997</v>
      </c>
      <c r="F1031" s="22" t="s">
        <v>55</v>
      </c>
      <c r="G1031" s="14">
        <v>324</v>
      </c>
      <c r="H1031" s="40">
        <v>44973</v>
      </c>
      <c r="I1031" s="46">
        <f t="shared" si="64"/>
        <v>376</v>
      </c>
      <c r="J1031" s="1" t="s">
        <v>15</v>
      </c>
      <c r="K1031" s="4" t="s">
        <v>200</v>
      </c>
      <c r="L1031" s="4" t="s">
        <v>225</v>
      </c>
      <c r="M1031" s="8">
        <v>324</v>
      </c>
      <c r="N1031" s="5">
        <v>107.91</v>
      </c>
      <c r="O1031" s="5">
        <v>34962.839999999997</v>
      </c>
      <c r="P1031">
        <f t="shared" si="65"/>
        <v>1</v>
      </c>
      <c r="Q1031" s="36">
        <f t="shared" si="66"/>
        <v>34962.839999999997</v>
      </c>
      <c r="R1031">
        <f t="shared" si="67"/>
        <v>2023</v>
      </c>
    </row>
    <row r="1032" spans="1:18" x14ac:dyDescent="0.2">
      <c r="A1032" s="13">
        <v>45393</v>
      </c>
      <c r="B1032" s="13">
        <v>45393</v>
      </c>
      <c r="C1032" s="25" t="s">
        <v>398</v>
      </c>
      <c r="D1032" s="20">
        <v>0</v>
      </c>
      <c r="E1032" s="28">
        <v>23308.560000000001</v>
      </c>
      <c r="F1032" s="22" t="s">
        <v>55</v>
      </c>
      <c r="G1032" s="14">
        <v>216</v>
      </c>
      <c r="H1032" s="40">
        <v>45015</v>
      </c>
      <c r="I1032" s="46">
        <f t="shared" si="64"/>
        <v>378</v>
      </c>
      <c r="J1032" s="1" t="s">
        <v>15</v>
      </c>
      <c r="K1032" s="4" t="s">
        <v>200</v>
      </c>
      <c r="L1032" s="4" t="s">
        <v>225</v>
      </c>
      <c r="M1032" s="8">
        <v>216</v>
      </c>
      <c r="N1032" s="5">
        <v>107.91</v>
      </c>
      <c r="O1032" s="5">
        <v>23308.560000000001</v>
      </c>
      <c r="P1032">
        <f t="shared" si="65"/>
        <v>1</v>
      </c>
      <c r="Q1032" s="36">
        <f t="shared" si="66"/>
        <v>23308.559999999998</v>
      </c>
      <c r="R1032">
        <f t="shared" si="67"/>
        <v>2023</v>
      </c>
    </row>
    <row r="1033" spans="1:18" x14ac:dyDescent="0.2">
      <c r="A1033" s="13">
        <v>45393</v>
      </c>
      <c r="B1033" s="13">
        <v>45393</v>
      </c>
      <c r="C1033" s="25" t="s">
        <v>398</v>
      </c>
      <c r="D1033" s="20">
        <v>0</v>
      </c>
      <c r="E1033" s="28">
        <v>46617.120000000003</v>
      </c>
      <c r="F1033" s="22" t="s">
        <v>55</v>
      </c>
      <c r="G1033" s="14">
        <v>432</v>
      </c>
      <c r="H1033" s="40">
        <v>45016</v>
      </c>
      <c r="I1033" s="46">
        <f t="shared" si="64"/>
        <v>377</v>
      </c>
      <c r="J1033" s="1" t="s">
        <v>15</v>
      </c>
      <c r="K1033" s="4" t="s">
        <v>200</v>
      </c>
      <c r="L1033" s="4" t="s">
        <v>225</v>
      </c>
      <c r="M1033" s="8">
        <v>432</v>
      </c>
      <c r="N1033" s="5">
        <v>107.91</v>
      </c>
      <c r="O1033" s="5">
        <v>46617.120000000003</v>
      </c>
      <c r="P1033">
        <f t="shared" si="65"/>
        <v>1</v>
      </c>
      <c r="Q1033" s="36">
        <f t="shared" si="66"/>
        <v>46617.119999999995</v>
      </c>
      <c r="R1033">
        <f t="shared" si="67"/>
        <v>2023</v>
      </c>
    </row>
    <row r="1034" spans="1:18" x14ac:dyDescent="0.2">
      <c r="A1034" s="13">
        <v>45400</v>
      </c>
      <c r="B1034" s="13">
        <v>45400</v>
      </c>
      <c r="C1034" s="25" t="s">
        <v>398</v>
      </c>
      <c r="D1034" s="20">
        <v>0</v>
      </c>
      <c r="E1034" s="28">
        <v>11654.28</v>
      </c>
      <c r="F1034" s="22" t="s">
        <v>55</v>
      </c>
      <c r="G1034" s="14">
        <v>108</v>
      </c>
      <c r="H1034" s="40">
        <v>45020</v>
      </c>
      <c r="I1034" s="46">
        <f t="shared" si="64"/>
        <v>380</v>
      </c>
      <c r="J1034" s="1" t="s">
        <v>15</v>
      </c>
      <c r="K1034" s="4" t="s">
        <v>200</v>
      </c>
      <c r="L1034" s="4" t="s">
        <v>225</v>
      </c>
      <c r="M1034" s="8">
        <v>108</v>
      </c>
      <c r="N1034" s="5">
        <v>107.91</v>
      </c>
      <c r="O1034" s="5">
        <v>11654.28</v>
      </c>
      <c r="P1034">
        <f t="shared" si="65"/>
        <v>1</v>
      </c>
      <c r="Q1034" s="36">
        <f t="shared" si="66"/>
        <v>11654.279999999999</v>
      </c>
      <c r="R1034">
        <f t="shared" si="67"/>
        <v>2023</v>
      </c>
    </row>
    <row r="1035" spans="1:18" x14ac:dyDescent="0.2">
      <c r="A1035" s="13">
        <v>45400</v>
      </c>
      <c r="B1035" s="13">
        <v>45400</v>
      </c>
      <c r="C1035" s="25" t="s">
        <v>398</v>
      </c>
      <c r="D1035" s="20">
        <v>0</v>
      </c>
      <c r="E1035" s="28">
        <v>46617.120000000003</v>
      </c>
      <c r="F1035" s="22" t="s">
        <v>55</v>
      </c>
      <c r="G1035" s="14">
        <v>432</v>
      </c>
      <c r="H1035" s="40">
        <v>45022</v>
      </c>
      <c r="I1035" s="46">
        <f t="shared" si="64"/>
        <v>378</v>
      </c>
      <c r="J1035" s="1" t="s">
        <v>15</v>
      </c>
      <c r="K1035" s="4" t="s">
        <v>200</v>
      </c>
      <c r="L1035" s="4" t="s">
        <v>225</v>
      </c>
      <c r="M1035" s="8">
        <v>432</v>
      </c>
      <c r="N1035" s="5">
        <v>107.91</v>
      </c>
      <c r="O1035" s="5">
        <v>46617.120000000003</v>
      </c>
      <c r="P1035">
        <f t="shared" si="65"/>
        <v>1</v>
      </c>
      <c r="Q1035" s="36">
        <f t="shared" si="66"/>
        <v>46617.119999999995</v>
      </c>
      <c r="R1035">
        <f t="shared" si="67"/>
        <v>2023</v>
      </c>
    </row>
    <row r="1036" spans="1:18" x14ac:dyDescent="0.2">
      <c r="A1036" s="13">
        <v>45407</v>
      </c>
      <c r="B1036" s="13">
        <v>45407</v>
      </c>
      <c r="C1036" s="25" t="s">
        <v>398</v>
      </c>
      <c r="D1036" s="20">
        <v>0</v>
      </c>
      <c r="E1036" s="28">
        <v>46617.120000000003</v>
      </c>
      <c r="F1036" s="22" t="s">
        <v>55</v>
      </c>
      <c r="G1036" s="14">
        <v>432</v>
      </c>
      <c r="H1036" s="40">
        <v>45028</v>
      </c>
      <c r="I1036" s="46">
        <f t="shared" si="64"/>
        <v>379</v>
      </c>
      <c r="J1036" s="1" t="s">
        <v>15</v>
      </c>
      <c r="K1036" s="4" t="s">
        <v>200</v>
      </c>
      <c r="L1036" s="4" t="s">
        <v>225</v>
      </c>
      <c r="M1036" s="8">
        <v>432</v>
      </c>
      <c r="N1036" s="5">
        <v>107.91</v>
      </c>
      <c r="O1036" s="5">
        <v>46617.120000000003</v>
      </c>
      <c r="P1036">
        <f t="shared" si="65"/>
        <v>1</v>
      </c>
      <c r="Q1036" s="36">
        <f t="shared" si="66"/>
        <v>46617.119999999995</v>
      </c>
      <c r="R1036">
        <f t="shared" si="67"/>
        <v>2023</v>
      </c>
    </row>
    <row r="1037" spans="1:18" x14ac:dyDescent="0.2">
      <c r="A1037" s="13">
        <v>45407</v>
      </c>
      <c r="B1037" s="13">
        <v>45407</v>
      </c>
      <c r="C1037" s="25" t="s">
        <v>398</v>
      </c>
      <c r="D1037" s="20">
        <v>0</v>
      </c>
      <c r="E1037" s="28">
        <v>11654.28</v>
      </c>
      <c r="F1037" s="22" t="s">
        <v>55</v>
      </c>
      <c r="G1037" s="14">
        <v>108</v>
      </c>
      <c r="H1037" s="40">
        <v>45033</v>
      </c>
      <c r="I1037" s="46">
        <f t="shared" si="64"/>
        <v>374</v>
      </c>
      <c r="J1037" s="1" t="s">
        <v>15</v>
      </c>
      <c r="K1037" s="4" t="s">
        <v>200</v>
      </c>
      <c r="L1037" s="4" t="s">
        <v>225</v>
      </c>
      <c r="M1037" s="8">
        <v>108</v>
      </c>
      <c r="N1037" s="5">
        <v>107.91</v>
      </c>
      <c r="O1037" s="5">
        <v>11654.28</v>
      </c>
      <c r="P1037">
        <f t="shared" si="65"/>
        <v>1</v>
      </c>
      <c r="Q1037" s="36">
        <f t="shared" si="66"/>
        <v>11654.279999999999</v>
      </c>
      <c r="R1037">
        <f t="shared" si="67"/>
        <v>2023</v>
      </c>
    </row>
    <row r="1038" spans="1:18" x14ac:dyDescent="0.2">
      <c r="A1038" s="13">
        <v>45407</v>
      </c>
      <c r="B1038" s="13">
        <v>45407</v>
      </c>
      <c r="C1038" s="25" t="s">
        <v>398</v>
      </c>
      <c r="D1038" s="20">
        <v>0</v>
      </c>
      <c r="E1038" s="28">
        <v>46617.120000000003</v>
      </c>
      <c r="F1038" s="22" t="s">
        <v>55</v>
      </c>
      <c r="G1038" s="14">
        <v>432</v>
      </c>
      <c r="H1038" s="40">
        <v>45034</v>
      </c>
      <c r="I1038" s="46">
        <f t="shared" si="64"/>
        <v>373</v>
      </c>
      <c r="J1038" s="1" t="s">
        <v>15</v>
      </c>
      <c r="K1038" s="4" t="s">
        <v>200</v>
      </c>
      <c r="L1038" s="4" t="s">
        <v>225</v>
      </c>
      <c r="M1038" s="8">
        <v>432</v>
      </c>
      <c r="N1038" s="5">
        <v>107.91</v>
      </c>
      <c r="O1038" s="5">
        <v>46617.120000000003</v>
      </c>
      <c r="P1038">
        <f t="shared" si="65"/>
        <v>1</v>
      </c>
      <c r="Q1038" s="36">
        <f t="shared" si="66"/>
        <v>46617.119999999995</v>
      </c>
      <c r="R1038">
        <f t="shared" si="67"/>
        <v>2023</v>
      </c>
    </row>
    <row r="1039" spans="1:18" x14ac:dyDescent="0.2">
      <c r="A1039" s="13">
        <v>45414</v>
      </c>
      <c r="B1039" s="13">
        <v>45414</v>
      </c>
      <c r="C1039" s="25" t="s">
        <v>398</v>
      </c>
      <c r="D1039" s="20">
        <v>0</v>
      </c>
      <c r="E1039" s="28">
        <v>34962.839999999997</v>
      </c>
      <c r="F1039" s="22" t="s">
        <v>55</v>
      </c>
      <c r="G1039" s="14">
        <v>324</v>
      </c>
      <c r="H1039" s="40">
        <v>45034</v>
      </c>
      <c r="I1039" s="46">
        <f t="shared" si="64"/>
        <v>380</v>
      </c>
      <c r="J1039" s="1" t="s">
        <v>15</v>
      </c>
      <c r="K1039" s="4" t="s">
        <v>200</v>
      </c>
      <c r="L1039" s="4" t="s">
        <v>225</v>
      </c>
      <c r="M1039" s="8">
        <v>324</v>
      </c>
      <c r="N1039" s="5">
        <v>107.91</v>
      </c>
      <c r="O1039" s="5">
        <v>34962.839999999997</v>
      </c>
      <c r="P1039">
        <f t="shared" si="65"/>
        <v>1</v>
      </c>
      <c r="Q1039" s="36">
        <f t="shared" si="66"/>
        <v>34962.839999999997</v>
      </c>
      <c r="R1039">
        <f t="shared" si="67"/>
        <v>2023</v>
      </c>
    </row>
    <row r="1040" spans="1:18" x14ac:dyDescent="0.2">
      <c r="A1040" s="13">
        <v>45414</v>
      </c>
      <c r="B1040" s="13">
        <v>45414</v>
      </c>
      <c r="C1040" s="25" t="s">
        <v>398</v>
      </c>
      <c r="D1040" s="20">
        <v>0</v>
      </c>
      <c r="E1040" s="28">
        <v>46617.120000000003</v>
      </c>
      <c r="F1040" s="22" t="s">
        <v>55</v>
      </c>
      <c r="G1040" s="14">
        <v>432</v>
      </c>
      <c r="H1040" s="40">
        <v>45034</v>
      </c>
      <c r="I1040" s="46">
        <f t="shared" si="64"/>
        <v>380</v>
      </c>
      <c r="J1040" s="1" t="s">
        <v>15</v>
      </c>
      <c r="K1040" s="4" t="s">
        <v>200</v>
      </c>
      <c r="L1040" s="4" t="s">
        <v>225</v>
      </c>
      <c r="M1040" s="8">
        <v>432</v>
      </c>
      <c r="N1040" s="5">
        <v>107.91</v>
      </c>
      <c r="O1040" s="5">
        <v>46617.120000000003</v>
      </c>
      <c r="P1040">
        <f t="shared" si="65"/>
        <v>1</v>
      </c>
      <c r="Q1040" s="36">
        <f t="shared" si="66"/>
        <v>46617.119999999995</v>
      </c>
      <c r="R1040">
        <f t="shared" si="67"/>
        <v>2023</v>
      </c>
    </row>
    <row r="1041" spans="1:18" x14ac:dyDescent="0.2">
      <c r="A1041" s="13">
        <v>45419</v>
      </c>
      <c r="B1041" s="13">
        <v>45419</v>
      </c>
      <c r="C1041" s="25" t="s">
        <v>398</v>
      </c>
      <c r="D1041" s="20">
        <v>0</v>
      </c>
      <c r="E1041" s="28">
        <v>46617.120000000003</v>
      </c>
      <c r="F1041" s="22" t="s">
        <v>55</v>
      </c>
      <c r="G1041" s="14">
        <v>432</v>
      </c>
      <c r="H1041" s="40">
        <v>45042</v>
      </c>
      <c r="I1041" s="46">
        <f t="shared" si="64"/>
        <v>377</v>
      </c>
      <c r="J1041" s="1" t="s">
        <v>15</v>
      </c>
      <c r="K1041" s="4" t="s">
        <v>200</v>
      </c>
      <c r="L1041" s="4" t="s">
        <v>225</v>
      </c>
      <c r="M1041" s="8">
        <v>432</v>
      </c>
      <c r="N1041" s="5">
        <v>107.91</v>
      </c>
      <c r="O1041" s="5">
        <v>46617.120000000003</v>
      </c>
      <c r="P1041">
        <f t="shared" si="65"/>
        <v>1</v>
      </c>
      <c r="Q1041" s="36">
        <f t="shared" si="66"/>
        <v>46617.119999999995</v>
      </c>
      <c r="R1041">
        <f t="shared" si="67"/>
        <v>2023</v>
      </c>
    </row>
    <row r="1042" spans="1:18" x14ac:dyDescent="0.2">
      <c r="A1042" s="13">
        <v>45195</v>
      </c>
      <c r="B1042" s="13">
        <v>45195</v>
      </c>
      <c r="C1042" s="25" t="s">
        <v>398</v>
      </c>
      <c r="D1042" s="20">
        <v>0</v>
      </c>
      <c r="E1042" s="28">
        <v>3880</v>
      </c>
      <c r="F1042" s="22" t="s">
        <v>56</v>
      </c>
      <c r="G1042" s="14">
        <v>2000</v>
      </c>
      <c r="H1042" s="40">
        <v>44818</v>
      </c>
      <c r="I1042" s="46">
        <f t="shared" si="64"/>
        <v>377</v>
      </c>
      <c r="J1042" s="1" t="s">
        <v>15</v>
      </c>
      <c r="K1042" s="4" t="s">
        <v>199</v>
      </c>
      <c r="L1042" s="4" t="s">
        <v>225</v>
      </c>
      <c r="M1042" s="8">
        <v>2000</v>
      </c>
      <c r="N1042" s="5">
        <v>1.94</v>
      </c>
      <c r="O1042" s="5">
        <v>3880</v>
      </c>
      <c r="P1042">
        <f t="shared" si="65"/>
        <v>1</v>
      </c>
      <c r="Q1042" s="36">
        <f t="shared" si="66"/>
        <v>3880</v>
      </c>
      <c r="R1042">
        <f t="shared" si="67"/>
        <v>2022</v>
      </c>
    </row>
    <row r="1043" spans="1:18" x14ac:dyDescent="0.2">
      <c r="A1043" s="13">
        <v>45202</v>
      </c>
      <c r="B1043" s="13">
        <v>45202</v>
      </c>
      <c r="C1043" s="25" t="s">
        <v>398</v>
      </c>
      <c r="D1043" s="20">
        <v>0</v>
      </c>
      <c r="E1043" s="28">
        <v>54085.2</v>
      </c>
      <c r="F1043" s="22" t="s">
        <v>58</v>
      </c>
      <c r="G1043" s="14">
        <v>120</v>
      </c>
      <c r="H1043" s="40">
        <v>44805</v>
      </c>
      <c r="I1043" s="46">
        <f t="shared" si="64"/>
        <v>397</v>
      </c>
      <c r="J1043" s="1" t="s">
        <v>15</v>
      </c>
      <c r="K1043" s="4" t="s">
        <v>199</v>
      </c>
      <c r="L1043" s="4" t="s">
        <v>225</v>
      </c>
      <c r="M1043" s="8">
        <v>120</v>
      </c>
      <c r="N1043" s="5">
        <v>450.71</v>
      </c>
      <c r="O1043" s="5">
        <v>54085.2</v>
      </c>
      <c r="P1043">
        <f t="shared" si="65"/>
        <v>1</v>
      </c>
      <c r="Q1043" s="36">
        <f t="shared" si="66"/>
        <v>54085.2</v>
      </c>
      <c r="R1043">
        <f t="shared" si="67"/>
        <v>2022</v>
      </c>
    </row>
    <row r="1044" spans="1:18" x14ac:dyDescent="0.2">
      <c r="A1044" s="13">
        <v>45216</v>
      </c>
      <c r="B1044" s="13">
        <v>45216</v>
      </c>
      <c r="C1044" s="25" t="s">
        <v>398</v>
      </c>
      <c r="D1044" s="20">
        <v>0</v>
      </c>
      <c r="E1044" s="28">
        <v>54085.2</v>
      </c>
      <c r="F1044" s="22" t="s">
        <v>58</v>
      </c>
      <c r="G1044" s="14">
        <v>120</v>
      </c>
      <c r="H1044" s="40">
        <v>44812</v>
      </c>
      <c r="I1044" s="46">
        <f t="shared" si="64"/>
        <v>404</v>
      </c>
      <c r="J1044" s="1" t="s">
        <v>15</v>
      </c>
      <c r="K1044" s="4" t="s">
        <v>199</v>
      </c>
      <c r="L1044" s="4" t="s">
        <v>225</v>
      </c>
      <c r="M1044" s="8">
        <v>120</v>
      </c>
      <c r="N1044" s="5">
        <v>450.71</v>
      </c>
      <c r="O1044" s="5">
        <v>54085.2</v>
      </c>
      <c r="P1044">
        <f t="shared" si="65"/>
        <v>1</v>
      </c>
      <c r="Q1044" s="36">
        <f t="shared" si="66"/>
        <v>54085.2</v>
      </c>
      <c r="R1044">
        <f t="shared" si="67"/>
        <v>2022</v>
      </c>
    </row>
    <row r="1045" spans="1:18" x14ac:dyDescent="0.2">
      <c r="A1045" s="13">
        <v>45223</v>
      </c>
      <c r="B1045" s="13">
        <v>45223</v>
      </c>
      <c r="C1045" s="25" t="s">
        <v>398</v>
      </c>
      <c r="D1045" s="20">
        <v>0</v>
      </c>
      <c r="E1045" s="28">
        <v>54085.2</v>
      </c>
      <c r="F1045" s="22" t="s">
        <v>58</v>
      </c>
      <c r="G1045" s="14">
        <v>120</v>
      </c>
      <c r="H1045" s="40">
        <v>44819</v>
      </c>
      <c r="I1045" s="46">
        <f t="shared" si="64"/>
        <v>404</v>
      </c>
      <c r="J1045" s="1" t="s">
        <v>15</v>
      </c>
      <c r="K1045" s="4" t="s">
        <v>199</v>
      </c>
      <c r="L1045" s="4" t="s">
        <v>225</v>
      </c>
      <c r="M1045" s="8">
        <v>120</v>
      </c>
      <c r="N1045" s="5">
        <v>450.71</v>
      </c>
      <c r="O1045" s="5">
        <v>54085.2</v>
      </c>
      <c r="P1045">
        <f t="shared" si="65"/>
        <v>1</v>
      </c>
      <c r="Q1045" s="36">
        <f t="shared" si="66"/>
        <v>54085.2</v>
      </c>
      <c r="R1045">
        <f t="shared" si="67"/>
        <v>2022</v>
      </c>
    </row>
    <row r="1046" spans="1:18" x14ac:dyDescent="0.2">
      <c r="A1046" s="13">
        <v>45391</v>
      </c>
      <c r="B1046" s="13">
        <v>45391</v>
      </c>
      <c r="C1046" s="25" t="s">
        <v>398</v>
      </c>
      <c r="D1046" s="20">
        <v>0</v>
      </c>
      <c r="E1046" s="28">
        <v>108170.4</v>
      </c>
      <c r="F1046" s="22" t="s">
        <v>58</v>
      </c>
      <c r="G1046" s="14">
        <v>240</v>
      </c>
      <c r="H1046" s="40">
        <v>44897</v>
      </c>
      <c r="I1046" s="46">
        <f t="shared" si="64"/>
        <v>494</v>
      </c>
      <c r="J1046" s="1" t="s">
        <v>15</v>
      </c>
      <c r="K1046" s="4" t="s">
        <v>199</v>
      </c>
      <c r="L1046" s="4" t="s">
        <v>225</v>
      </c>
      <c r="M1046" s="8">
        <v>240</v>
      </c>
      <c r="N1046" s="5">
        <v>450.71</v>
      </c>
      <c r="O1046" s="5">
        <v>108170.4</v>
      </c>
      <c r="P1046">
        <f t="shared" si="65"/>
        <v>1</v>
      </c>
      <c r="Q1046" s="36">
        <f t="shared" si="66"/>
        <v>108170.4</v>
      </c>
      <c r="R1046">
        <f t="shared" si="67"/>
        <v>2022</v>
      </c>
    </row>
    <row r="1047" spans="1:18" x14ac:dyDescent="0.2">
      <c r="A1047" s="13">
        <v>45419</v>
      </c>
      <c r="B1047" s="13">
        <v>45419</v>
      </c>
      <c r="C1047" s="25" t="s">
        <v>398</v>
      </c>
      <c r="D1047" s="20">
        <v>0</v>
      </c>
      <c r="E1047" s="28">
        <v>54085.2</v>
      </c>
      <c r="F1047" s="22" t="s">
        <v>58</v>
      </c>
      <c r="G1047" s="14">
        <v>120</v>
      </c>
      <c r="H1047" s="40">
        <v>44917</v>
      </c>
      <c r="I1047" s="46">
        <f t="shared" si="64"/>
        <v>502</v>
      </c>
      <c r="J1047" s="1" t="s">
        <v>15</v>
      </c>
      <c r="K1047" s="4" t="s">
        <v>199</v>
      </c>
      <c r="L1047" s="4" t="s">
        <v>225</v>
      </c>
      <c r="M1047" s="8">
        <v>120</v>
      </c>
      <c r="N1047" s="5">
        <v>450.71</v>
      </c>
      <c r="O1047" s="5">
        <v>54085.2</v>
      </c>
      <c r="P1047">
        <f t="shared" si="65"/>
        <v>1</v>
      </c>
      <c r="Q1047" s="36">
        <f t="shared" si="66"/>
        <v>54085.2</v>
      </c>
      <c r="R1047">
        <f t="shared" si="67"/>
        <v>2022</v>
      </c>
    </row>
    <row r="1048" spans="1:18" x14ac:dyDescent="0.2">
      <c r="A1048" s="13">
        <v>45426</v>
      </c>
      <c r="B1048" s="13">
        <v>45426</v>
      </c>
      <c r="C1048" s="25" t="s">
        <v>398</v>
      </c>
      <c r="D1048" s="20">
        <v>0</v>
      </c>
      <c r="E1048" s="28">
        <v>54085.2</v>
      </c>
      <c r="F1048" s="22" t="s">
        <v>58</v>
      </c>
      <c r="G1048" s="14">
        <v>120</v>
      </c>
      <c r="H1048" s="40">
        <v>44923</v>
      </c>
      <c r="I1048" s="46">
        <f t="shared" si="64"/>
        <v>503</v>
      </c>
      <c r="J1048" s="1" t="s">
        <v>15</v>
      </c>
      <c r="K1048" s="4" t="s">
        <v>199</v>
      </c>
      <c r="L1048" s="4" t="s">
        <v>225</v>
      </c>
      <c r="M1048" s="8">
        <v>120</v>
      </c>
      <c r="N1048" s="5">
        <v>450.71</v>
      </c>
      <c r="O1048" s="5">
        <v>54085.2</v>
      </c>
      <c r="P1048">
        <f t="shared" si="65"/>
        <v>1</v>
      </c>
      <c r="Q1048" s="36">
        <f t="shared" si="66"/>
        <v>54085.2</v>
      </c>
      <c r="R1048">
        <f t="shared" si="67"/>
        <v>2022</v>
      </c>
    </row>
    <row r="1049" spans="1:18" x14ac:dyDescent="0.2">
      <c r="A1049" s="13">
        <v>45433</v>
      </c>
      <c r="B1049" s="13">
        <v>45433</v>
      </c>
      <c r="C1049" s="25" t="s">
        <v>398</v>
      </c>
      <c r="D1049" s="20">
        <v>0</v>
      </c>
      <c r="E1049" s="28">
        <v>54085.2</v>
      </c>
      <c r="F1049" s="22" t="s">
        <v>58</v>
      </c>
      <c r="G1049" s="14">
        <v>120</v>
      </c>
      <c r="H1049" s="40">
        <v>44932</v>
      </c>
      <c r="I1049" s="46">
        <f t="shared" si="64"/>
        <v>501</v>
      </c>
      <c r="J1049" s="1" t="s">
        <v>15</v>
      </c>
      <c r="K1049" s="4" t="s">
        <v>199</v>
      </c>
      <c r="L1049" s="4" t="s">
        <v>225</v>
      </c>
      <c r="M1049" s="8">
        <v>120</v>
      </c>
      <c r="N1049" s="5">
        <v>450.71</v>
      </c>
      <c r="O1049" s="5">
        <v>54085.2</v>
      </c>
      <c r="P1049">
        <f t="shared" si="65"/>
        <v>1</v>
      </c>
      <c r="Q1049" s="36">
        <f t="shared" si="66"/>
        <v>54085.2</v>
      </c>
      <c r="R1049">
        <f t="shared" si="67"/>
        <v>2023</v>
      </c>
    </row>
    <row r="1050" spans="1:18" x14ac:dyDescent="0.2">
      <c r="A1050" s="13">
        <v>45440</v>
      </c>
      <c r="B1050" s="13">
        <v>45440</v>
      </c>
      <c r="C1050" s="25" t="s">
        <v>398</v>
      </c>
      <c r="D1050" s="20">
        <v>0</v>
      </c>
      <c r="E1050" s="28">
        <v>54085.2</v>
      </c>
      <c r="F1050" s="22" t="s">
        <v>58</v>
      </c>
      <c r="G1050" s="14">
        <v>120</v>
      </c>
      <c r="H1050" s="40">
        <v>44939</v>
      </c>
      <c r="I1050" s="46">
        <f t="shared" si="64"/>
        <v>501</v>
      </c>
      <c r="J1050" s="1" t="s">
        <v>15</v>
      </c>
      <c r="K1050" s="4" t="s">
        <v>199</v>
      </c>
      <c r="L1050" s="4" t="s">
        <v>225</v>
      </c>
      <c r="M1050" s="8">
        <v>120</v>
      </c>
      <c r="N1050" s="5">
        <v>450.71</v>
      </c>
      <c r="O1050" s="5">
        <v>54085.2</v>
      </c>
      <c r="P1050">
        <f t="shared" si="65"/>
        <v>1</v>
      </c>
      <c r="Q1050" s="36">
        <f t="shared" si="66"/>
        <v>54085.2</v>
      </c>
      <c r="R1050">
        <f t="shared" si="67"/>
        <v>2023</v>
      </c>
    </row>
    <row r="1051" spans="1:18" x14ac:dyDescent="0.2">
      <c r="A1051" s="13">
        <v>45195</v>
      </c>
      <c r="B1051" s="13">
        <v>45195</v>
      </c>
      <c r="C1051" s="25" t="s">
        <v>398</v>
      </c>
      <c r="D1051" s="20">
        <v>0</v>
      </c>
      <c r="E1051" s="28">
        <v>44620.29</v>
      </c>
      <c r="F1051" s="22" t="s">
        <v>58</v>
      </c>
      <c r="G1051" s="14">
        <v>99</v>
      </c>
      <c r="H1051" s="40">
        <v>45180</v>
      </c>
      <c r="I1051" s="46">
        <f t="shared" si="64"/>
        <v>15</v>
      </c>
      <c r="J1051" s="1" t="s">
        <v>15</v>
      </c>
      <c r="K1051" s="4" t="s">
        <v>199</v>
      </c>
      <c r="L1051" s="4" t="s">
        <v>225</v>
      </c>
      <c r="M1051" s="8">
        <v>240</v>
      </c>
      <c r="N1051" s="5">
        <v>450.71</v>
      </c>
      <c r="O1051" s="5">
        <v>108170.4</v>
      </c>
      <c r="P1051">
        <f t="shared" si="65"/>
        <v>0</v>
      </c>
      <c r="Q1051" s="36">
        <f t="shared" si="66"/>
        <v>44620.29</v>
      </c>
      <c r="R1051">
        <f t="shared" si="67"/>
        <v>2023</v>
      </c>
    </row>
    <row r="1052" spans="1:18" x14ac:dyDescent="0.2">
      <c r="A1052" s="13">
        <v>45197</v>
      </c>
      <c r="B1052" s="13">
        <v>45195</v>
      </c>
      <c r="C1052" s="25" t="s">
        <v>399</v>
      </c>
      <c r="D1052" s="20">
        <v>2</v>
      </c>
      <c r="E1052" s="28">
        <v>63550.11</v>
      </c>
      <c r="F1052" s="22" t="s">
        <v>58</v>
      </c>
      <c r="G1052" s="14">
        <v>141</v>
      </c>
      <c r="H1052" s="40">
        <v>45180</v>
      </c>
      <c r="I1052" s="46">
        <f t="shared" si="64"/>
        <v>17</v>
      </c>
      <c r="J1052" s="1" t="s">
        <v>15</v>
      </c>
      <c r="K1052" s="4" t="s">
        <v>199</v>
      </c>
      <c r="L1052" s="4" t="s">
        <v>225</v>
      </c>
      <c r="M1052" s="8">
        <v>240</v>
      </c>
      <c r="N1052" s="5">
        <v>450.71</v>
      </c>
      <c r="O1052" s="5">
        <v>108170.4</v>
      </c>
      <c r="P1052">
        <f t="shared" si="65"/>
        <v>0</v>
      </c>
      <c r="Q1052" s="36">
        <f t="shared" si="66"/>
        <v>63550.11</v>
      </c>
      <c r="R1052">
        <f t="shared" si="67"/>
        <v>2023</v>
      </c>
    </row>
    <row r="1053" spans="1:18" x14ac:dyDescent="0.2">
      <c r="A1053" s="13">
        <v>45225</v>
      </c>
      <c r="B1053" s="13">
        <v>44974</v>
      </c>
      <c r="C1053" s="25" t="s">
        <v>399</v>
      </c>
      <c r="D1053" s="20">
        <v>251</v>
      </c>
      <c r="E1053" s="28">
        <v>32089.200000000001</v>
      </c>
      <c r="F1053" s="22" t="s">
        <v>136</v>
      </c>
      <c r="G1053" s="14">
        <v>220</v>
      </c>
      <c r="H1053" s="40">
        <v>44603</v>
      </c>
      <c r="I1053" s="46">
        <f t="shared" si="64"/>
        <v>622</v>
      </c>
      <c r="J1053" s="1" t="s">
        <v>15</v>
      </c>
      <c r="K1053" s="4" t="s">
        <v>199</v>
      </c>
      <c r="L1053" s="4" t="s">
        <v>225</v>
      </c>
      <c r="M1053" s="8">
        <v>220</v>
      </c>
      <c r="N1053" s="5">
        <v>145.86000000000001</v>
      </c>
      <c r="O1053" s="5">
        <v>32089.200000000001</v>
      </c>
      <c r="P1053">
        <f t="shared" si="65"/>
        <v>1</v>
      </c>
      <c r="Q1053" s="36">
        <f t="shared" si="66"/>
        <v>32089.200000000004</v>
      </c>
      <c r="R1053">
        <f t="shared" si="67"/>
        <v>2022</v>
      </c>
    </row>
    <row r="1054" spans="1:18" x14ac:dyDescent="0.2">
      <c r="A1054" s="13">
        <v>45225</v>
      </c>
      <c r="B1054" s="13">
        <v>44987</v>
      </c>
      <c r="C1054" s="25" t="s">
        <v>399</v>
      </c>
      <c r="D1054" s="20">
        <v>238</v>
      </c>
      <c r="E1054" s="28">
        <v>32089.200000000001</v>
      </c>
      <c r="F1054" s="22" t="s">
        <v>136</v>
      </c>
      <c r="G1054" s="14">
        <v>220</v>
      </c>
      <c r="H1054" s="40">
        <v>44624</v>
      </c>
      <c r="I1054" s="46">
        <f t="shared" si="64"/>
        <v>601</v>
      </c>
      <c r="J1054" s="1" t="s">
        <v>15</v>
      </c>
      <c r="K1054" s="4" t="s">
        <v>200</v>
      </c>
      <c r="L1054" s="4" t="s">
        <v>225</v>
      </c>
      <c r="M1054" s="8">
        <v>220</v>
      </c>
      <c r="N1054" s="5">
        <v>145.86000000000001</v>
      </c>
      <c r="O1054" s="5">
        <v>32089.200000000001</v>
      </c>
      <c r="P1054">
        <f t="shared" si="65"/>
        <v>1</v>
      </c>
      <c r="Q1054" s="36">
        <f t="shared" si="66"/>
        <v>32089.200000000004</v>
      </c>
      <c r="R1054">
        <f t="shared" si="67"/>
        <v>2022</v>
      </c>
    </row>
    <row r="1055" spans="1:18" x14ac:dyDescent="0.2">
      <c r="A1055" s="13">
        <v>45225</v>
      </c>
      <c r="B1055" s="13">
        <v>45008</v>
      </c>
      <c r="C1055" s="25" t="s">
        <v>399</v>
      </c>
      <c r="D1055" s="20">
        <v>217</v>
      </c>
      <c r="E1055" s="28">
        <v>32089.200000000001</v>
      </c>
      <c r="F1055" s="22" t="s">
        <v>136</v>
      </c>
      <c r="G1055" s="14">
        <v>220</v>
      </c>
      <c r="H1055" s="40">
        <v>44645</v>
      </c>
      <c r="I1055" s="46">
        <f t="shared" si="64"/>
        <v>580</v>
      </c>
      <c r="J1055" s="1" t="s">
        <v>15</v>
      </c>
      <c r="K1055" s="4" t="s">
        <v>200</v>
      </c>
      <c r="L1055" s="4" t="s">
        <v>225</v>
      </c>
      <c r="M1055" s="8">
        <v>220</v>
      </c>
      <c r="N1055" s="5">
        <v>145.86000000000001</v>
      </c>
      <c r="O1055" s="5">
        <v>32089.200000000001</v>
      </c>
      <c r="P1055">
        <f t="shared" si="65"/>
        <v>1</v>
      </c>
      <c r="Q1055" s="36">
        <f t="shared" si="66"/>
        <v>32089.200000000004</v>
      </c>
      <c r="R1055">
        <f t="shared" si="67"/>
        <v>2022</v>
      </c>
    </row>
    <row r="1056" spans="1:18" x14ac:dyDescent="0.2">
      <c r="A1056" s="13">
        <v>45225</v>
      </c>
      <c r="B1056" s="13">
        <v>45036</v>
      </c>
      <c r="C1056" s="25" t="s">
        <v>399</v>
      </c>
      <c r="D1056" s="20">
        <v>189</v>
      </c>
      <c r="E1056" s="28">
        <v>32089.200000000001</v>
      </c>
      <c r="F1056" s="22" t="s">
        <v>136</v>
      </c>
      <c r="G1056" s="14">
        <v>220</v>
      </c>
      <c r="H1056" s="40">
        <v>44673</v>
      </c>
      <c r="I1056" s="46">
        <f t="shared" si="64"/>
        <v>552</v>
      </c>
      <c r="J1056" s="1" t="s">
        <v>15</v>
      </c>
      <c r="K1056" s="4" t="s">
        <v>200</v>
      </c>
      <c r="L1056" s="4" t="s">
        <v>225</v>
      </c>
      <c r="M1056" s="8">
        <v>220</v>
      </c>
      <c r="N1056" s="5">
        <v>145.86000000000001</v>
      </c>
      <c r="O1056" s="5">
        <v>32089.200000000001</v>
      </c>
      <c r="P1056">
        <f t="shared" si="65"/>
        <v>1</v>
      </c>
      <c r="Q1056" s="36">
        <f t="shared" si="66"/>
        <v>32089.200000000004</v>
      </c>
      <c r="R1056">
        <f t="shared" si="67"/>
        <v>2022</v>
      </c>
    </row>
    <row r="1057" spans="1:18" x14ac:dyDescent="0.2">
      <c r="A1057" s="13">
        <v>45225</v>
      </c>
      <c r="B1057" s="13">
        <v>45043</v>
      </c>
      <c r="C1057" s="25" t="s">
        <v>399</v>
      </c>
      <c r="D1057" s="20">
        <v>182</v>
      </c>
      <c r="E1057" s="28">
        <v>32089.200000000001</v>
      </c>
      <c r="F1057" s="22" t="s">
        <v>136</v>
      </c>
      <c r="G1057" s="14">
        <v>220</v>
      </c>
      <c r="H1057" s="40">
        <v>44680</v>
      </c>
      <c r="I1057" s="46">
        <f t="shared" si="64"/>
        <v>545</v>
      </c>
      <c r="J1057" s="1" t="s">
        <v>15</v>
      </c>
      <c r="K1057" s="4" t="s">
        <v>200</v>
      </c>
      <c r="L1057" s="4" t="s">
        <v>225</v>
      </c>
      <c r="M1057" s="8">
        <v>220</v>
      </c>
      <c r="N1057" s="5">
        <v>145.86000000000001</v>
      </c>
      <c r="O1057" s="5">
        <v>32089.200000000001</v>
      </c>
      <c r="P1057">
        <f t="shared" si="65"/>
        <v>1</v>
      </c>
      <c r="Q1057" s="36">
        <f t="shared" si="66"/>
        <v>32089.200000000004</v>
      </c>
      <c r="R1057">
        <f t="shared" si="67"/>
        <v>2022</v>
      </c>
    </row>
    <row r="1058" spans="1:18" x14ac:dyDescent="0.2">
      <c r="A1058" s="13">
        <v>45197</v>
      </c>
      <c r="B1058" s="13">
        <v>44890</v>
      </c>
      <c r="C1058" s="25" t="s">
        <v>399</v>
      </c>
      <c r="D1058" s="20">
        <v>307</v>
      </c>
      <c r="E1058" s="28">
        <v>32089.200000000001</v>
      </c>
      <c r="F1058" s="22" t="s">
        <v>136</v>
      </c>
      <c r="G1058" s="14">
        <v>220</v>
      </c>
      <c r="H1058" s="40">
        <v>45180</v>
      </c>
      <c r="I1058" s="46">
        <f t="shared" si="64"/>
        <v>17</v>
      </c>
      <c r="J1058" s="1" t="s">
        <v>15</v>
      </c>
      <c r="K1058" s="4" t="s">
        <v>199</v>
      </c>
      <c r="L1058" s="4" t="s">
        <v>225</v>
      </c>
      <c r="M1058" s="8">
        <v>220</v>
      </c>
      <c r="N1058" s="5">
        <v>145.86000000000001</v>
      </c>
      <c r="O1058" s="5">
        <v>32089.200000000001</v>
      </c>
      <c r="P1058">
        <f t="shared" si="65"/>
        <v>1</v>
      </c>
      <c r="Q1058" s="36">
        <f t="shared" si="66"/>
        <v>32089.200000000004</v>
      </c>
      <c r="R1058">
        <f t="shared" si="67"/>
        <v>2023</v>
      </c>
    </row>
    <row r="1059" spans="1:18" x14ac:dyDescent="0.2">
      <c r="A1059" s="13">
        <v>45197</v>
      </c>
      <c r="B1059" s="13">
        <v>44904</v>
      </c>
      <c r="C1059" s="25" t="s">
        <v>399</v>
      </c>
      <c r="D1059" s="20">
        <v>293</v>
      </c>
      <c r="E1059" s="28">
        <v>32089.200000000001</v>
      </c>
      <c r="F1059" s="22" t="s">
        <v>136</v>
      </c>
      <c r="G1059" s="14">
        <v>220</v>
      </c>
      <c r="H1059" s="40">
        <v>45180</v>
      </c>
      <c r="I1059" s="46">
        <f t="shared" si="64"/>
        <v>17</v>
      </c>
      <c r="J1059" s="1" t="s">
        <v>15</v>
      </c>
      <c r="K1059" s="4" t="s">
        <v>199</v>
      </c>
      <c r="L1059" s="4" t="s">
        <v>225</v>
      </c>
      <c r="M1059" s="8">
        <v>220</v>
      </c>
      <c r="N1059" s="5">
        <v>145.86000000000001</v>
      </c>
      <c r="O1059" s="5">
        <v>32089.200000000001</v>
      </c>
      <c r="P1059">
        <f t="shared" si="65"/>
        <v>1</v>
      </c>
      <c r="Q1059" s="36">
        <f t="shared" si="66"/>
        <v>32089.200000000004</v>
      </c>
      <c r="R1059">
        <f t="shared" si="67"/>
        <v>2023</v>
      </c>
    </row>
    <row r="1060" spans="1:18" x14ac:dyDescent="0.2">
      <c r="A1060" s="13">
        <v>45197</v>
      </c>
      <c r="B1060" s="13">
        <v>44938</v>
      </c>
      <c r="C1060" s="25" t="s">
        <v>399</v>
      </c>
      <c r="D1060" s="20">
        <v>259</v>
      </c>
      <c r="E1060" s="28">
        <v>32089.200000000001</v>
      </c>
      <c r="F1060" s="22" t="s">
        <v>136</v>
      </c>
      <c r="G1060" s="14">
        <v>220</v>
      </c>
      <c r="H1060" s="40">
        <v>45180</v>
      </c>
      <c r="I1060" s="46">
        <f t="shared" si="64"/>
        <v>17</v>
      </c>
      <c r="J1060" s="1" t="s">
        <v>15</v>
      </c>
      <c r="K1060" s="4" t="s">
        <v>199</v>
      </c>
      <c r="L1060" s="4" t="s">
        <v>225</v>
      </c>
      <c r="M1060" s="8">
        <v>220</v>
      </c>
      <c r="N1060" s="5">
        <v>145.86000000000001</v>
      </c>
      <c r="O1060" s="5">
        <v>32089.200000000001</v>
      </c>
      <c r="P1060">
        <f t="shared" si="65"/>
        <v>1</v>
      </c>
      <c r="Q1060" s="36">
        <f t="shared" si="66"/>
        <v>32089.200000000004</v>
      </c>
      <c r="R1060">
        <f t="shared" si="67"/>
        <v>2023</v>
      </c>
    </row>
    <row r="1061" spans="1:18" x14ac:dyDescent="0.2">
      <c r="A1061" s="13">
        <v>45197</v>
      </c>
      <c r="B1061" s="13">
        <v>44974</v>
      </c>
      <c r="C1061" s="25" t="s">
        <v>399</v>
      </c>
      <c r="D1061" s="20">
        <v>223</v>
      </c>
      <c r="E1061" s="28">
        <v>32089.200000000001</v>
      </c>
      <c r="F1061" s="22" t="s">
        <v>136</v>
      </c>
      <c r="G1061" s="14">
        <v>220</v>
      </c>
      <c r="H1061" s="40">
        <v>45180</v>
      </c>
      <c r="I1061" s="46">
        <f t="shared" si="64"/>
        <v>17</v>
      </c>
      <c r="J1061" s="1" t="s">
        <v>15</v>
      </c>
      <c r="K1061" s="4" t="s">
        <v>199</v>
      </c>
      <c r="L1061" s="4" t="s">
        <v>225</v>
      </c>
      <c r="M1061" s="8">
        <v>220</v>
      </c>
      <c r="N1061" s="5">
        <v>145.86000000000001</v>
      </c>
      <c r="O1061" s="5">
        <v>32089.200000000001</v>
      </c>
      <c r="P1061">
        <f t="shared" si="65"/>
        <v>1</v>
      </c>
      <c r="Q1061" s="36">
        <f t="shared" si="66"/>
        <v>32089.200000000004</v>
      </c>
      <c r="R1061">
        <f t="shared" si="67"/>
        <v>2023</v>
      </c>
    </row>
    <row r="1062" spans="1:18" x14ac:dyDescent="0.2">
      <c r="A1062" s="13">
        <v>45197</v>
      </c>
      <c r="B1062" s="13">
        <v>44974</v>
      </c>
      <c r="C1062" s="25" t="s">
        <v>399</v>
      </c>
      <c r="D1062" s="20">
        <v>223</v>
      </c>
      <c r="E1062" s="28">
        <v>32089.200000000001</v>
      </c>
      <c r="F1062" s="22" t="s">
        <v>136</v>
      </c>
      <c r="G1062" s="14">
        <v>220</v>
      </c>
      <c r="H1062" s="40">
        <v>45180</v>
      </c>
      <c r="I1062" s="46">
        <f t="shared" si="64"/>
        <v>17</v>
      </c>
      <c r="J1062" s="1" t="s">
        <v>15</v>
      </c>
      <c r="K1062" s="4" t="s">
        <v>199</v>
      </c>
      <c r="L1062" s="4" t="s">
        <v>225</v>
      </c>
      <c r="M1062" s="8">
        <v>220</v>
      </c>
      <c r="N1062" s="5">
        <v>145.86000000000001</v>
      </c>
      <c r="O1062" s="5">
        <v>32089.200000000001</v>
      </c>
      <c r="P1062">
        <f t="shared" si="65"/>
        <v>1</v>
      </c>
      <c r="Q1062" s="36">
        <f t="shared" si="66"/>
        <v>32089.200000000004</v>
      </c>
      <c r="R1062">
        <f t="shared" si="67"/>
        <v>2023</v>
      </c>
    </row>
    <row r="1063" spans="1:18" x14ac:dyDescent="0.2">
      <c r="A1063" s="13">
        <v>45348</v>
      </c>
      <c r="B1063" s="13">
        <v>45341</v>
      </c>
      <c r="C1063" s="25" t="s">
        <v>399</v>
      </c>
      <c r="D1063" s="20">
        <v>7</v>
      </c>
      <c r="E1063" s="28">
        <v>52466.400000000001</v>
      </c>
      <c r="F1063" s="22" t="s">
        <v>59</v>
      </c>
      <c r="G1063" s="14">
        <v>3780</v>
      </c>
      <c r="H1063" s="40">
        <v>44971</v>
      </c>
      <c r="I1063" s="46">
        <f t="shared" si="64"/>
        <v>377</v>
      </c>
      <c r="J1063" s="1" t="s">
        <v>15</v>
      </c>
      <c r="K1063" s="4" t="s">
        <v>200</v>
      </c>
      <c r="L1063" s="4" t="s">
        <v>225</v>
      </c>
      <c r="M1063" s="8">
        <v>3780</v>
      </c>
      <c r="N1063" s="5">
        <v>13.88</v>
      </c>
      <c r="O1063" s="5">
        <v>52466.400000000001</v>
      </c>
      <c r="P1063">
        <f t="shared" si="65"/>
        <v>1</v>
      </c>
      <c r="Q1063" s="36">
        <f t="shared" si="66"/>
        <v>52466.400000000001</v>
      </c>
      <c r="R1063">
        <f t="shared" si="67"/>
        <v>2023</v>
      </c>
    </row>
    <row r="1064" spans="1:18" x14ac:dyDescent="0.2">
      <c r="A1064" s="13">
        <v>45195</v>
      </c>
      <c r="B1064" s="13">
        <v>45195</v>
      </c>
      <c r="C1064" s="25" t="s">
        <v>398</v>
      </c>
      <c r="D1064" s="20">
        <v>0</v>
      </c>
      <c r="E1064" s="28">
        <v>133449.12</v>
      </c>
      <c r="F1064" s="22" t="s">
        <v>60</v>
      </c>
      <c r="G1064" s="14">
        <v>3024</v>
      </c>
      <c r="H1064" s="40">
        <v>44819</v>
      </c>
      <c r="I1064" s="46">
        <f t="shared" si="64"/>
        <v>376</v>
      </c>
      <c r="J1064" s="1" t="s">
        <v>15</v>
      </c>
      <c r="K1064" s="4" t="s">
        <v>199</v>
      </c>
      <c r="L1064" s="4" t="s">
        <v>225</v>
      </c>
      <c r="M1064" s="8">
        <v>3024</v>
      </c>
      <c r="N1064" s="5">
        <v>44.13</v>
      </c>
      <c r="O1064" s="5">
        <v>133449.12</v>
      </c>
      <c r="P1064">
        <f t="shared" si="65"/>
        <v>1</v>
      </c>
      <c r="Q1064" s="36">
        <f t="shared" si="66"/>
        <v>133449.12</v>
      </c>
      <c r="R1064">
        <f t="shared" si="67"/>
        <v>2022</v>
      </c>
    </row>
    <row r="1065" spans="1:18" x14ac:dyDescent="0.2">
      <c r="A1065" s="13">
        <v>45230</v>
      </c>
      <c r="B1065" s="13">
        <v>45230</v>
      </c>
      <c r="C1065" s="25" t="s">
        <v>398</v>
      </c>
      <c r="D1065" s="20">
        <v>0</v>
      </c>
      <c r="E1065" s="28">
        <v>21606.48</v>
      </c>
      <c r="F1065" s="22" t="s">
        <v>61</v>
      </c>
      <c r="G1065" s="14">
        <v>252</v>
      </c>
      <c r="H1065" s="40">
        <v>44831</v>
      </c>
      <c r="I1065" s="46">
        <f t="shared" si="64"/>
        <v>399</v>
      </c>
      <c r="J1065" s="1" t="s">
        <v>15</v>
      </c>
      <c r="K1065" s="4" t="s">
        <v>199</v>
      </c>
      <c r="L1065" s="4" t="s">
        <v>225</v>
      </c>
      <c r="M1065" s="8">
        <v>252</v>
      </c>
      <c r="N1065" s="5">
        <v>85.74</v>
      </c>
      <c r="O1065" s="5">
        <v>21606.48</v>
      </c>
      <c r="P1065">
        <f t="shared" si="65"/>
        <v>1</v>
      </c>
      <c r="Q1065" s="36">
        <f t="shared" si="66"/>
        <v>21606.48</v>
      </c>
      <c r="R1065">
        <f t="shared" si="67"/>
        <v>2022</v>
      </c>
    </row>
    <row r="1066" spans="1:18" x14ac:dyDescent="0.2">
      <c r="A1066" s="13">
        <v>45237</v>
      </c>
      <c r="B1066" s="13">
        <v>45237</v>
      </c>
      <c r="C1066" s="25" t="s">
        <v>398</v>
      </c>
      <c r="D1066" s="20">
        <v>0</v>
      </c>
      <c r="E1066" s="28">
        <v>21606.48</v>
      </c>
      <c r="F1066" s="22" t="s">
        <v>61</v>
      </c>
      <c r="G1066" s="14">
        <v>252</v>
      </c>
      <c r="H1066" s="40">
        <v>44831</v>
      </c>
      <c r="I1066" s="46">
        <f t="shared" si="64"/>
        <v>406</v>
      </c>
      <c r="J1066" s="1" t="s">
        <v>15</v>
      </c>
      <c r="K1066" s="4" t="s">
        <v>199</v>
      </c>
      <c r="L1066" s="4" t="s">
        <v>225</v>
      </c>
      <c r="M1066" s="8">
        <v>252</v>
      </c>
      <c r="N1066" s="5">
        <v>85.74</v>
      </c>
      <c r="O1066" s="5">
        <v>21606.48</v>
      </c>
      <c r="P1066">
        <f t="shared" si="65"/>
        <v>1</v>
      </c>
      <c r="Q1066" s="36">
        <f t="shared" si="66"/>
        <v>21606.48</v>
      </c>
      <c r="R1066">
        <f t="shared" si="67"/>
        <v>2022</v>
      </c>
    </row>
    <row r="1067" spans="1:18" x14ac:dyDescent="0.2">
      <c r="A1067" s="13">
        <v>45251</v>
      </c>
      <c r="B1067" s="13">
        <v>45244</v>
      </c>
      <c r="C1067" s="25" t="s">
        <v>399</v>
      </c>
      <c r="D1067" s="20">
        <v>7</v>
      </c>
      <c r="E1067" s="28">
        <v>21606.48</v>
      </c>
      <c r="F1067" s="22" t="s">
        <v>61</v>
      </c>
      <c r="G1067" s="14">
        <v>252</v>
      </c>
      <c r="H1067" s="40">
        <v>44847</v>
      </c>
      <c r="I1067" s="46">
        <f t="shared" si="64"/>
        <v>404</v>
      </c>
      <c r="J1067" s="1" t="s">
        <v>15</v>
      </c>
      <c r="K1067" s="4" t="s">
        <v>199</v>
      </c>
      <c r="L1067" s="4" t="s">
        <v>225</v>
      </c>
      <c r="M1067" s="8">
        <v>252</v>
      </c>
      <c r="N1067" s="5">
        <v>85.74</v>
      </c>
      <c r="O1067" s="5">
        <v>21606.48</v>
      </c>
      <c r="P1067">
        <f t="shared" si="65"/>
        <v>1</v>
      </c>
      <c r="Q1067" s="36">
        <f t="shared" si="66"/>
        <v>21606.48</v>
      </c>
      <c r="R1067">
        <f t="shared" si="67"/>
        <v>2022</v>
      </c>
    </row>
    <row r="1068" spans="1:18" x14ac:dyDescent="0.2">
      <c r="A1068" s="13">
        <v>45335</v>
      </c>
      <c r="B1068" s="13">
        <v>45202</v>
      </c>
      <c r="C1068" s="25" t="s">
        <v>399</v>
      </c>
      <c r="D1068" s="20">
        <v>133</v>
      </c>
      <c r="E1068" s="28">
        <v>28687.68</v>
      </c>
      <c r="F1068" s="22" t="s">
        <v>137</v>
      </c>
      <c r="G1068" s="14">
        <v>252</v>
      </c>
      <c r="H1068" s="40">
        <v>44805</v>
      </c>
      <c r="I1068" s="46">
        <f t="shared" si="64"/>
        <v>530</v>
      </c>
      <c r="J1068" s="1" t="s">
        <v>15</v>
      </c>
      <c r="K1068" s="4" t="s">
        <v>199</v>
      </c>
      <c r="L1068" s="4" t="s">
        <v>225</v>
      </c>
      <c r="M1068" s="8">
        <v>252</v>
      </c>
      <c r="N1068" s="5">
        <v>113.84</v>
      </c>
      <c r="O1068" s="5">
        <v>28687.68</v>
      </c>
      <c r="P1068">
        <f t="shared" si="65"/>
        <v>1</v>
      </c>
      <c r="Q1068" s="36">
        <f t="shared" si="66"/>
        <v>28687.68</v>
      </c>
      <c r="R1068">
        <f t="shared" si="67"/>
        <v>2022</v>
      </c>
    </row>
    <row r="1069" spans="1:18" x14ac:dyDescent="0.2">
      <c r="A1069" s="13">
        <v>45218</v>
      </c>
      <c r="B1069" s="13">
        <v>44995</v>
      </c>
      <c r="C1069" s="25" t="s">
        <v>399</v>
      </c>
      <c r="D1069" s="20">
        <v>223</v>
      </c>
      <c r="E1069" s="28">
        <v>29347.200000000001</v>
      </c>
      <c r="F1069" s="22" t="s">
        <v>138</v>
      </c>
      <c r="G1069" s="14">
        <v>120</v>
      </c>
      <c r="H1069" s="40">
        <v>44628</v>
      </c>
      <c r="I1069" s="46">
        <f t="shared" si="64"/>
        <v>590</v>
      </c>
      <c r="J1069" s="1" t="s">
        <v>15</v>
      </c>
      <c r="K1069" s="4" t="s">
        <v>199</v>
      </c>
      <c r="L1069" s="4" t="s">
        <v>225</v>
      </c>
      <c r="M1069" s="8">
        <v>120</v>
      </c>
      <c r="N1069" s="5">
        <v>244.56</v>
      </c>
      <c r="O1069" s="5">
        <v>29347.200000000001</v>
      </c>
      <c r="P1069">
        <f t="shared" si="65"/>
        <v>1</v>
      </c>
      <c r="Q1069" s="36">
        <f t="shared" si="66"/>
        <v>29347.200000000001</v>
      </c>
      <c r="R1069">
        <f t="shared" si="67"/>
        <v>2022</v>
      </c>
    </row>
    <row r="1070" spans="1:18" x14ac:dyDescent="0.2">
      <c r="A1070" s="13">
        <v>45195</v>
      </c>
      <c r="B1070" s="13">
        <v>45195</v>
      </c>
      <c r="C1070" s="25" t="s">
        <v>398</v>
      </c>
      <c r="D1070" s="20">
        <v>0</v>
      </c>
      <c r="E1070" s="28">
        <v>26337</v>
      </c>
      <c r="F1070" s="22" t="s">
        <v>66</v>
      </c>
      <c r="G1070" s="14">
        <v>60</v>
      </c>
      <c r="H1070" s="40">
        <v>44847</v>
      </c>
      <c r="I1070" s="46">
        <f t="shared" si="64"/>
        <v>348</v>
      </c>
      <c r="J1070" s="1" t="s">
        <v>15</v>
      </c>
      <c r="K1070" s="4" t="s">
        <v>199</v>
      </c>
      <c r="L1070" s="4" t="s">
        <v>225</v>
      </c>
      <c r="M1070" s="8">
        <v>60</v>
      </c>
      <c r="N1070" s="5">
        <v>438.95</v>
      </c>
      <c r="O1070" s="5">
        <v>26337</v>
      </c>
      <c r="P1070">
        <f t="shared" si="65"/>
        <v>1</v>
      </c>
      <c r="Q1070" s="36">
        <f t="shared" si="66"/>
        <v>26337</v>
      </c>
      <c r="R1070">
        <f t="shared" si="67"/>
        <v>2022</v>
      </c>
    </row>
    <row r="1071" spans="1:18" x14ac:dyDescent="0.2">
      <c r="A1071" s="13">
        <v>45202</v>
      </c>
      <c r="B1071" s="13">
        <v>45202</v>
      </c>
      <c r="C1071" s="25" t="s">
        <v>398</v>
      </c>
      <c r="D1071" s="20">
        <v>0</v>
      </c>
      <c r="E1071" s="28">
        <v>237033</v>
      </c>
      <c r="F1071" s="22" t="s">
        <v>66</v>
      </c>
      <c r="G1071" s="14">
        <v>540</v>
      </c>
      <c r="H1071" s="40">
        <v>44847</v>
      </c>
      <c r="I1071" s="46">
        <f t="shared" si="64"/>
        <v>355</v>
      </c>
      <c r="J1071" s="1" t="s">
        <v>15</v>
      </c>
      <c r="K1071" s="4" t="s">
        <v>199</v>
      </c>
      <c r="L1071" s="4" t="s">
        <v>225</v>
      </c>
      <c r="M1071" s="8">
        <v>540</v>
      </c>
      <c r="N1071" s="5">
        <v>438.95</v>
      </c>
      <c r="O1071" s="5">
        <v>237033</v>
      </c>
      <c r="P1071">
        <f t="shared" si="65"/>
        <v>1</v>
      </c>
      <c r="Q1071" s="36">
        <f t="shared" si="66"/>
        <v>237033</v>
      </c>
      <c r="R1071">
        <f t="shared" si="67"/>
        <v>2022</v>
      </c>
    </row>
    <row r="1072" spans="1:18" x14ac:dyDescent="0.2">
      <c r="A1072" s="13">
        <v>45209</v>
      </c>
      <c r="B1072" s="13">
        <v>45209</v>
      </c>
      <c r="C1072" s="25" t="s">
        <v>398</v>
      </c>
      <c r="D1072" s="20">
        <v>0</v>
      </c>
      <c r="E1072" s="28">
        <v>223864.5</v>
      </c>
      <c r="F1072" s="22" t="s">
        <v>66</v>
      </c>
      <c r="G1072" s="14">
        <v>510</v>
      </c>
      <c r="H1072" s="40">
        <v>44847</v>
      </c>
      <c r="I1072" s="46">
        <f t="shared" si="64"/>
        <v>362</v>
      </c>
      <c r="J1072" s="1" t="s">
        <v>15</v>
      </c>
      <c r="K1072" s="4" t="s">
        <v>199</v>
      </c>
      <c r="L1072" s="4" t="s">
        <v>225</v>
      </c>
      <c r="M1072" s="8">
        <v>510</v>
      </c>
      <c r="N1072" s="5">
        <v>438.95</v>
      </c>
      <c r="O1072" s="5">
        <v>223864.5</v>
      </c>
      <c r="P1072">
        <f t="shared" si="65"/>
        <v>1</v>
      </c>
      <c r="Q1072" s="36">
        <f t="shared" si="66"/>
        <v>223864.5</v>
      </c>
      <c r="R1072">
        <f t="shared" si="67"/>
        <v>2022</v>
      </c>
    </row>
    <row r="1073" spans="1:18" x14ac:dyDescent="0.2">
      <c r="A1073" s="13">
        <v>45216</v>
      </c>
      <c r="B1073" s="13">
        <v>45216</v>
      </c>
      <c r="C1073" s="25" t="s">
        <v>398</v>
      </c>
      <c r="D1073" s="20">
        <v>0</v>
      </c>
      <c r="E1073" s="28">
        <v>237033</v>
      </c>
      <c r="F1073" s="22" t="s">
        <v>66</v>
      </c>
      <c r="G1073" s="14">
        <v>540</v>
      </c>
      <c r="H1073" s="40">
        <v>44847</v>
      </c>
      <c r="I1073" s="46">
        <f t="shared" si="64"/>
        <v>369</v>
      </c>
      <c r="J1073" s="1" t="s">
        <v>15</v>
      </c>
      <c r="K1073" s="4" t="s">
        <v>199</v>
      </c>
      <c r="L1073" s="4" t="s">
        <v>225</v>
      </c>
      <c r="M1073" s="8">
        <v>540</v>
      </c>
      <c r="N1073" s="5">
        <v>438.95</v>
      </c>
      <c r="O1073" s="5">
        <v>237033</v>
      </c>
      <c r="P1073">
        <f t="shared" si="65"/>
        <v>1</v>
      </c>
      <c r="Q1073" s="36">
        <f t="shared" si="66"/>
        <v>237033</v>
      </c>
      <c r="R1073">
        <f t="shared" si="67"/>
        <v>2022</v>
      </c>
    </row>
    <row r="1074" spans="1:18" x14ac:dyDescent="0.2">
      <c r="A1074" s="13">
        <v>45223</v>
      </c>
      <c r="B1074" s="13">
        <v>45223</v>
      </c>
      <c r="C1074" s="25" t="s">
        <v>398</v>
      </c>
      <c r="D1074" s="20">
        <v>0</v>
      </c>
      <c r="E1074" s="28">
        <v>237033</v>
      </c>
      <c r="F1074" s="22" t="s">
        <v>66</v>
      </c>
      <c r="G1074" s="14">
        <v>540</v>
      </c>
      <c r="H1074" s="40">
        <v>44847</v>
      </c>
      <c r="I1074" s="46">
        <f t="shared" si="64"/>
        <v>376</v>
      </c>
      <c r="J1074" s="1" t="s">
        <v>15</v>
      </c>
      <c r="K1074" s="4" t="s">
        <v>199</v>
      </c>
      <c r="L1074" s="4" t="s">
        <v>225</v>
      </c>
      <c r="M1074" s="8">
        <v>540</v>
      </c>
      <c r="N1074" s="5">
        <v>438.95</v>
      </c>
      <c r="O1074" s="5">
        <v>237033</v>
      </c>
      <c r="P1074">
        <f t="shared" si="65"/>
        <v>1</v>
      </c>
      <c r="Q1074" s="36">
        <f t="shared" si="66"/>
        <v>237033</v>
      </c>
      <c r="R1074">
        <f t="shared" si="67"/>
        <v>2022</v>
      </c>
    </row>
    <row r="1075" spans="1:18" x14ac:dyDescent="0.2">
      <c r="A1075" s="13">
        <v>45286</v>
      </c>
      <c r="B1075" s="13">
        <v>45286</v>
      </c>
      <c r="C1075" s="25" t="s">
        <v>398</v>
      </c>
      <c r="D1075" s="20">
        <v>0</v>
      </c>
      <c r="E1075" s="28">
        <v>13168.5</v>
      </c>
      <c r="F1075" s="22" t="s">
        <v>66</v>
      </c>
      <c r="G1075" s="14">
        <v>30</v>
      </c>
      <c r="H1075" s="40">
        <v>44908</v>
      </c>
      <c r="I1075" s="46">
        <f t="shared" si="64"/>
        <v>378</v>
      </c>
      <c r="J1075" s="1" t="s">
        <v>15</v>
      </c>
      <c r="K1075" s="4" t="s">
        <v>200</v>
      </c>
      <c r="L1075" s="4" t="s">
        <v>225</v>
      </c>
      <c r="M1075" s="8">
        <v>30</v>
      </c>
      <c r="N1075" s="5">
        <v>438.95</v>
      </c>
      <c r="O1075" s="5">
        <v>13168.5</v>
      </c>
      <c r="P1075">
        <f t="shared" si="65"/>
        <v>1</v>
      </c>
      <c r="Q1075" s="36">
        <f t="shared" si="66"/>
        <v>13168.5</v>
      </c>
      <c r="R1075">
        <f t="shared" si="67"/>
        <v>2022</v>
      </c>
    </row>
    <row r="1076" spans="1:18" x14ac:dyDescent="0.2">
      <c r="A1076" s="13">
        <v>45286</v>
      </c>
      <c r="B1076" s="13">
        <v>45286</v>
      </c>
      <c r="C1076" s="25" t="s">
        <v>398</v>
      </c>
      <c r="D1076" s="20">
        <v>0</v>
      </c>
      <c r="E1076" s="28">
        <v>39505.5</v>
      </c>
      <c r="F1076" s="22" t="s">
        <v>66</v>
      </c>
      <c r="G1076" s="14">
        <v>90</v>
      </c>
      <c r="H1076" s="40">
        <v>44910</v>
      </c>
      <c r="I1076" s="46">
        <f t="shared" si="64"/>
        <v>376</v>
      </c>
      <c r="J1076" s="1" t="s">
        <v>15</v>
      </c>
      <c r="K1076" s="4" t="s">
        <v>200</v>
      </c>
      <c r="L1076" s="4" t="s">
        <v>225</v>
      </c>
      <c r="M1076" s="8">
        <v>90</v>
      </c>
      <c r="N1076" s="5">
        <v>438.95</v>
      </c>
      <c r="O1076" s="5">
        <v>39505.5</v>
      </c>
      <c r="P1076">
        <f t="shared" si="65"/>
        <v>1</v>
      </c>
      <c r="Q1076" s="36">
        <f t="shared" si="66"/>
        <v>39505.5</v>
      </c>
      <c r="R1076">
        <f t="shared" si="67"/>
        <v>2022</v>
      </c>
    </row>
    <row r="1077" spans="1:18" x14ac:dyDescent="0.2">
      <c r="A1077" s="13">
        <v>45300</v>
      </c>
      <c r="B1077" s="13">
        <v>45300</v>
      </c>
      <c r="C1077" s="25" t="s">
        <v>398</v>
      </c>
      <c r="D1077" s="20">
        <v>0</v>
      </c>
      <c r="E1077" s="28">
        <v>13168.5</v>
      </c>
      <c r="F1077" s="22" t="s">
        <v>66</v>
      </c>
      <c r="G1077" s="14">
        <v>30</v>
      </c>
      <c r="H1077" s="40">
        <v>44921</v>
      </c>
      <c r="I1077" s="46">
        <f t="shared" si="64"/>
        <v>379</v>
      </c>
      <c r="J1077" s="1" t="s">
        <v>15</v>
      </c>
      <c r="K1077" s="4" t="s">
        <v>199</v>
      </c>
      <c r="L1077" s="4" t="s">
        <v>225</v>
      </c>
      <c r="M1077" s="8">
        <v>30</v>
      </c>
      <c r="N1077" s="5">
        <v>438.95</v>
      </c>
      <c r="O1077" s="5">
        <v>13168.5</v>
      </c>
      <c r="P1077">
        <f t="shared" si="65"/>
        <v>1</v>
      </c>
      <c r="Q1077" s="36">
        <f t="shared" si="66"/>
        <v>13168.5</v>
      </c>
      <c r="R1077">
        <f t="shared" si="67"/>
        <v>2022</v>
      </c>
    </row>
    <row r="1078" spans="1:18" x14ac:dyDescent="0.2">
      <c r="A1078" s="13">
        <v>45300</v>
      </c>
      <c r="B1078" s="13">
        <v>45300</v>
      </c>
      <c r="C1078" s="25" t="s">
        <v>398</v>
      </c>
      <c r="D1078" s="20">
        <v>0</v>
      </c>
      <c r="E1078" s="28">
        <v>39505.5</v>
      </c>
      <c r="F1078" s="22" t="s">
        <v>66</v>
      </c>
      <c r="G1078" s="14">
        <v>90</v>
      </c>
      <c r="H1078" s="40">
        <v>44923</v>
      </c>
      <c r="I1078" s="46">
        <f t="shared" si="64"/>
        <v>377</v>
      </c>
      <c r="J1078" s="1" t="s">
        <v>15</v>
      </c>
      <c r="K1078" s="4" t="s">
        <v>199</v>
      </c>
      <c r="L1078" s="4" t="s">
        <v>225</v>
      </c>
      <c r="M1078" s="8">
        <v>90</v>
      </c>
      <c r="N1078" s="5">
        <v>438.95</v>
      </c>
      <c r="O1078" s="5">
        <v>39505.5</v>
      </c>
      <c r="P1078">
        <f t="shared" si="65"/>
        <v>1</v>
      </c>
      <c r="Q1078" s="36">
        <f t="shared" si="66"/>
        <v>39505.5</v>
      </c>
      <c r="R1078">
        <f t="shared" si="67"/>
        <v>2022</v>
      </c>
    </row>
    <row r="1079" spans="1:18" x14ac:dyDescent="0.2">
      <c r="A1079" s="13">
        <v>45300</v>
      </c>
      <c r="B1079" s="13">
        <v>45300</v>
      </c>
      <c r="C1079" s="25" t="s">
        <v>398</v>
      </c>
      <c r="D1079" s="20">
        <v>0</v>
      </c>
      <c r="E1079" s="28">
        <v>26337</v>
      </c>
      <c r="F1079" s="22" t="s">
        <v>66</v>
      </c>
      <c r="G1079" s="14">
        <v>60</v>
      </c>
      <c r="H1079" s="40">
        <v>44932</v>
      </c>
      <c r="I1079" s="46">
        <f t="shared" si="64"/>
        <v>368</v>
      </c>
      <c r="J1079" s="1" t="s">
        <v>15</v>
      </c>
      <c r="K1079" s="4" t="s">
        <v>199</v>
      </c>
      <c r="L1079" s="4" t="s">
        <v>225</v>
      </c>
      <c r="M1079" s="8">
        <v>60</v>
      </c>
      <c r="N1079" s="5">
        <v>438.95</v>
      </c>
      <c r="O1079" s="5">
        <v>26337</v>
      </c>
      <c r="P1079">
        <f t="shared" si="65"/>
        <v>1</v>
      </c>
      <c r="Q1079" s="36">
        <f t="shared" si="66"/>
        <v>26337</v>
      </c>
      <c r="R1079">
        <f t="shared" si="67"/>
        <v>2023</v>
      </c>
    </row>
    <row r="1080" spans="1:18" x14ac:dyDescent="0.2">
      <c r="A1080" s="13">
        <v>45307</v>
      </c>
      <c r="B1080" s="13">
        <v>45307</v>
      </c>
      <c r="C1080" s="25" t="s">
        <v>398</v>
      </c>
      <c r="D1080" s="20">
        <v>0</v>
      </c>
      <c r="E1080" s="28">
        <v>26337</v>
      </c>
      <c r="F1080" s="22" t="s">
        <v>66</v>
      </c>
      <c r="G1080" s="14">
        <v>60</v>
      </c>
      <c r="H1080" s="40">
        <v>44932</v>
      </c>
      <c r="I1080" s="46">
        <f t="shared" si="64"/>
        <v>375</v>
      </c>
      <c r="J1080" s="1" t="s">
        <v>15</v>
      </c>
      <c r="K1080" s="4" t="s">
        <v>199</v>
      </c>
      <c r="L1080" s="4" t="s">
        <v>225</v>
      </c>
      <c r="M1080" s="8">
        <v>60</v>
      </c>
      <c r="N1080" s="5">
        <v>438.95</v>
      </c>
      <c r="O1080" s="5">
        <v>26337</v>
      </c>
      <c r="P1080">
        <f t="shared" si="65"/>
        <v>1</v>
      </c>
      <c r="Q1080" s="36">
        <f t="shared" si="66"/>
        <v>26337</v>
      </c>
      <c r="R1080">
        <f t="shared" si="67"/>
        <v>2023</v>
      </c>
    </row>
    <row r="1081" spans="1:18" x14ac:dyDescent="0.2">
      <c r="A1081" s="13">
        <v>45307</v>
      </c>
      <c r="B1081" s="13">
        <v>45307</v>
      </c>
      <c r="C1081" s="25" t="s">
        <v>398</v>
      </c>
      <c r="D1081" s="20">
        <v>0</v>
      </c>
      <c r="E1081" s="28">
        <v>39505.5</v>
      </c>
      <c r="F1081" s="22" t="s">
        <v>66</v>
      </c>
      <c r="G1081" s="14">
        <v>90</v>
      </c>
      <c r="H1081" s="40">
        <v>44932</v>
      </c>
      <c r="I1081" s="46">
        <f t="shared" si="64"/>
        <v>375</v>
      </c>
      <c r="J1081" s="1" t="s">
        <v>15</v>
      </c>
      <c r="K1081" s="4" t="s">
        <v>199</v>
      </c>
      <c r="L1081" s="4" t="s">
        <v>225</v>
      </c>
      <c r="M1081" s="8">
        <v>90</v>
      </c>
      <c r="N1081" s="5">
        <v>438.95</v>
      </c>
      <c r="O1081" s="5">
        <v>39505.5</v>
      </c>
      <c r="P1081">
        <f t="shared" si="65"/>
        <v>1</v>
      </c>
      <c r="Q1081" s="36">
        <f t="shared" si="66"/>
        <v>39505.5</v>
      </c>
      <c r="R1081">
        <f t="shared" si="67"/>
        <v>2023</v>
      </c>
    </row>
    <row r="1082" spans="1:18" x14ac:dyDescent="0.2">
      <c r="A1082" s="13">
        <v>45307</v>
      </c>
      <c r="B1082" s="13">
        <v>45307</v>
      </c>
      <c r="C1082" s="25" t="s">
        <v>398</v>
      </c>
      <c r="D1082" s="20">
        <v>0</v>
      </c>
      <c r="E1082" s="28">
        <v>39505.5</v>
      </c>
      <c r="F1082" s="22" t="s">
        <v>66</v>
      </c>
      <c r="G1082" s="14">
        <v>90</v>
      </c>
      <c r="H1082" s="40">
        <v>44932</v>
      </c>
      <c r="I1082" s="46">
        <f t="shared" si="64"/>
        <v>375</v>
      </c>
      <c r="J1082" s="1" t="s">
        <v>15</v>
      </c>
      <c r="K1082" s="4" t="s">
        <v>199</v>
      </c>
      <c r="L1082" s="4" t="s">
        <v>225</v>
      </c>
      <c r="M1082" s="8">
        <v>90</v>
      </c>
      <c r="N1082" s="5">
        <v>438.95</v>
      </c>
      <c r="O1082" s="5">
        <v>39505.5</v>
      </c>
      <c r="P1082">
        <f t="shared" si="65"/>
        <v>1</v>
      </c>
      <c r="Q1082" s="36">
        <f t="shared" si="66"/>
        <v>39505.5</v>
      </c>
      <c r="R1082">
        <f t="shared" si="67"/>
        <v>2023</v>
      </c>
    </row>
    <row r="1083" spans="1:18" x14ac:dyDescent="0.2">
      <c r="A1083" s="13">
        <v>45307</v>
      </c>
      <c r="B1083" s="13">
        <v>45307</v>
      </c>
      <c r="C1083" s="25" t="s">
        <v>398</v>
      </c>
      <c r="D1083" s="20">
        <v>0</v>
      </c>
      <c r="E1083" s="28">
        <v>39505.5</v>
      </c>
      <c r="F1083" s="22" t="s">
        <v>66</v>
      </c>
      <c r="G1083" s="14">
        <v>90</v>
      </c>
      <c r="H1083" s="40">
        <v>44932</v>
      </c>
      <c r="I1083" s="46">
        <f t="shared" si="64"/>
        <v>375</v>
      </c>
      <c r="J1083" s="1" t="s">
        <v>15</v>
      </c>
      <c r="K1083" s="4" t="s">
        <v>199</v>
      </c>
      <c r="L1083" s="4" t="s">
        <v>225</v>
      </c>
      <c r="M1083" s="8">
        <v>90</v>
      </c>
      <c r="N1083" s="5">
        <v>438.95</v>
      </c>
      <c r="O1083" s="5">
        <v>39505.5</v>
      </c>
      <c r="P1083">
        <f t="shared" si="65"/>
        <v>1</v>
      </c>
      <c r="Q1083" s="36">
        <f t="shared" si="66"/>
        <v>39505.5</v>
      </c>
      <c r="R1083">
        <f t="shared" si="67"/>
        <v>2023</v>
      </c>
    </row>
    <row r="1084" spans="1:18" x14ac:dyDescent="0.2">
      <c r="A1084" s="13">
        <v>45307</v>
      </c>
      <c r="B1084" s="13">
        <v>45307</v>
      </c>
      <c r="C1084" s="25" t="s">
        <v>398</v>
      </c>
      <c r="D1084" s="20">
        <v>0</v>
      </c>
      <c r="E1084" s="28">
        <v>39505.5</v>
      </c>
      <c r="F1084" s="22" t="s">
        <v>66</v>
      </c>
      <c r="G1084" s="14">
        <v>90</v>
      </c>
      <c r="H1084" s="40">
        <v>44932</v>
      </c>
      <c r="I1084" s="46">
        <f t="shared" si="64"/>
        <v>375</v>
      </c>
      <c r="J1084" s="1" t="s">
        <v>15</v>
      </c>
      <c r="K1084" s="4" t="s">
        <v>199</v>
      </c>
      <c r="L1084" s="4" t="s">
        <v>225</v>
      </c>
      <c r="M1084" s="8">
        <v>90</v>
      </c>
      <c r="N1084" s="5">
        <v>438.95</v>
      </c>
      <c r="O1084" s="5">
        <v>39505.5</v>
      </c>
      <c r="P1084">
        <f t="shared" si="65"/>
        <v>1</v>
      </c>
      <c r="Q1084" s="36">
        <f t="shared" si="66"/>
        <v>39505.5</v>
      </c>
      <c r="R1084">
        <f t="shared" si="67"/>
        <v>2023</v>
      </c>
    </row>
    <row r="1085" spans="1:18" x14ac:dyDescent="0.2">
      <c r="A1085" s="13">
        <v>45307</v>
      </c>
      <c r="B1085" s="13">
        <v>45307</v>
      </c>
      <c r="C1085" s="25" t="s">
        <v>398</v>
      </c>
      <c r="D1085" s="20">
        <v>0</v>
      </c>
      <c r="E1085" s="28">
        <v>39505.5</v>
      </c>
      <c r="F1085" s="22" t="s">
        <v>66</v>
      </c>
      <c r="G1085" s="14">
        <v>90</v>
      </c>
      <c r="H1085" s="40">
        <v>44932</v>
      </c>
      <c r="I1085" s="46">
        <f t="shared" si="64"/>
        <v>375</v>
      </c>
      <c r="J1085" s="1" t="s">
        <v>15</v>
      </c>
      <c r="K1085" s="4" t="s">
        <v>199</v>
      </c>
      <c r="L1085" s="4" t="s">
        <v>225</v>
      </c>
      <c r="M1085" s="8">
        <v>90</v>
      </c>
      <c r="N1085" s="5">
        <v>438.95</v>
      </c>
      <c r="O1085" s="5">
        <v>39505.5</v>
      </c>
      <c r="P1085">
        <f t="shared" si="65"/>
        <v>1</v>
      </c>
      <c r="Q1085" s="36">
        <f t="shared" si="66"/>
        <v>39505.5</v>
      </c>
      <c r="R1085">
        <f t="shared" si="67"/>
        <v>2023</v>
      </c>
    </row>
    <row r="1086" spans="1:18" x14ac:dyDescent="0.2">
      <c r="A1086" s="13">
        <v>45314</v>
      </c>
      <c r="B1086" s="13">
        <v>45314</v>
      </c>
      <c r="C1086" s="25" t="s">
        <v>398</v>
      </c>
      <c r="D1086" s="20">
        <v>0</v>
      </c>
      <c r="E1086" s="28">
        <v>39505.5</v>
      </c>
      <c r="F1086" s="22" t="s">
        <v>66</v>
      </c>
      <c r="G1086" s="14">
        <v>90</v>
      </c>
      <c r="H1086" s="40">
        <v>44939</v>
      </c>
      <c r="I1086" s="46">
        <f t="shared" si="64"/>
        <v>375</v>
      </c>
      <c r="J1086" s="1" t="s">
        <v>15</v>
      </c>
      <c r="K1086" s="4" t="s">
        <v>199</v>
      </c>
      <c r="L1086" s="4" t="s">
        <v>225</v>
      </c>
      <c r="M1086" s="8">
        <v>90</v>
      </c>
      <c r="N1086" s="5">
        <v>438.95</v>
      </c>
      <c r="O1086" s="5">
        <v>39505.5</v>
      </c>
      <c r="P1086">
        <f t="shared" si="65"/>
        <v>1</v>
      </c>
      <c r="Q1086" s="36">
        <f t="shared" si="66"/>
        <v>39505.5</v>
      </c>
      <c r="R1086">
        <f t="shared" si="67"/>
        <v>2023</v>
      </c>
    </row>
    <row r="1087" spans="1:18" x14ac:dyDescent="0.2">
      <c r="A1087" s="13">
        <v>45314</v>
      </c>
      <c r="B1087" s="13">
        <v>45314</v>
      </c>
      <c r="C1087" s="25" t="s">
        <v>398</v>
      </c>
      <c r="D1087" s="20">
        <v>0</v>
      </c>
      <c r="E1087" s="28">
        <v>39505.5</v>
      </c>
      <c r="F1087" s="22" t="s">
        <v>66</v>
      </c>
      <c r="G1087" s="14">
        <v>90</v>
      </c>
      <c r="H1087" s="40">
        <v>44939</v>
      </c>
      <c r="I1087" s="46">
        <f t="shared" si="64"/>
        <v>375</v>
      </c>
      <c r="J1087" s="1" t="s">
        <v>15</v>
      </c>
      <c r="K1087" s="4" t="s">
        <v>199</v>
      </c>
      <c r="L1087" s="4" t="s">
        <v>225</v>
      </c>
      <c r="M1087" s="8">
        <v>90</v>
      </c>
      <c r="N1087" s="5">
        <v>438.95</v>
      </c>
      <c r="O1087" s="5">
        <v>39505.5</v>
      </c>
      <c r="P1087">
        <f t="shared" si="65"/>
        <v>1</v>
      </c>
      <c r="Q1087" s="36">
        <f t="shared" si="66"/>
        <v>39505.5</v>
      </c>
      <c r="R1087">
        <f t="shared" si="67"/>
        <v>2023</v>
      </c>
    </row>
    <row r="1088" spans="1:18" x14ac:dyDescent="0.2">
      <c r="A1088" s="13">
        <v>45314</v>
      </c>
      <c r="B1088" s="13">
        <v>45314</v>
      </c>
      <c r="C1088" s="25" t="s">
        <v>398</v>
      </c>
      <c r="D1088" s="20">
        <v>0</v>
      </c>
      <c r="E1088" s="28">
        <v>39505.5</v>
      </c>
      <c r="F1088" s="22" t="s">
        <v>66</v>
      </c>
      <c r="G1088" s="14">
        <v>90</v>
      </c>
      <c r="H1088" s="40">
        <v>44939</v>
      </c>
      <c r="I1088" s="46">
        <f t="shared" si="64"/>
        <v>375</v>
      </c>
      <c r="J1088" s="1" t="s">
        <v>15</v>
      </c>
      <c r="K1088" s="4" t="s">
        <v>199</v>
      </c>
      <c r="L1088" s="4" t="s">
        <v>225</v>
      </c>
      <c r="M1088" s="8">
        <v>90</v>
      </c>
      <c r="N1088" s="5">
        <v>438.95</v>
      </c>
      <c r="O1088" s="5">
        <v>39505.5</v>
      </c>
      <c r="P1088">
        <f t="shared" si="65"/>
        <v>1</v>
      </c>
      <c r="Q1088" s="36">
        <f t="shared" si="66"/>
        <v>39505.5</v>
      </c>
      <c r="R1088">
        <f t="shared" si="67"/>
        <v>2023</v>
      </c>
    </row>
    <row r="1089" spans="1:18" x14ac:dyDescent="0.2">
      <c r="A1089" s="13">
        <v>45314</v>
      </c>
      <c r="B1089" s="13">
        <v>45314</v>
      </c>
      <c r="C1089" s="25" t="s">
        <v>398</v>
      </c>
      <c r="D1089" s="20">
        <v>0</v>
      </c>
      <c r="E1089" s="28">
        <v>13168.5</v>
      </c>
      <c r="F1089" s="22" t="s">
        <v>66</v>
      </c>
      <c r="G1089" s="14">
        <v>30</v>
      </c>
      <c r="H1089" s="40">
        <v>44939</v>
      </c>
      <c r="I1089" s="46">
        <f t="shared" si="64"/>
        <v>375</v>
      </c>
      <c r="J1089" s="1" t="s">
        <v>15</v>
      </c>
      <c r="K1089" s="4" t="s">
        <v>199</v>
      </c>
      <c r="L1089" s="4" t="s">
        <v>225</v>
      </c>
      <c r="M1089" s="8">
        <v>30</v>
      </c>
      <c r="N1089" s="5">
        <v>438.95</v>
      </c>
      <c r="O1089" s="5">
        <v>13168.5</v>
      </c>
      <c r="P1089">
        <f t="shared" si="65"/>
        <v>1</v>
      </c>
      <c r="Q1089" s="36">
        <f t="shared" si="66"/>
        <v>13168.5</v>
      </c>
      <c r="R1089">
        <f t="shared" si="67"/>
        <v>2023</v>
      </c>
    </row>
    <row r="1090" spans="1:18" x14ac:dyDescent="0.2">
      <c r="A1090" s="13">
        <v>45314</v>
      </c>
      <c r="B1090" s="13">
        <v>45314</v>
      </c>
      <c r="C1090" s="25" t="s">
        <v>398</v>
      </c>
      <c r="D1090" s="20">
        <v>0</v>
      </c>
      <c r="E1090" s="28">
        <v>39505.5</v>
      </c>
      <c r="F1090" s="22" t="s">
        <v>66</v>
      </c>
      <c r="G1090" s="14">
        <v>90</v>
      </c>
      <c r="H1090" s="40">
        <v>44939</v>
      </c>
      <c r="I1090" s="46">
        <f t="shared" si="64"/>
        <v>375</v>
      </c>
      <c r="J1090" s="1" t="s">
        <v>15</v>
      </c>
      <c r="K1090" s="4" t="s">
        <v>199</v>
      </c>
      <c r="L1090" s="4" t="s">
        <v>225</v>
      </c>
      <c r="M1090" s="8">
        <v>90</v>
      </c>
      <c r="N1090" s="5">
        <v>438.95</v>
      </c>
      <c r="O1090" s="5">
        <v>39505.5</v>
      </c>
      <c r="P1090">
        <f t="shared" si="65"/>
        <v>1</v>
      </c>
      <c r="Q1090" s="36">
        <f t="shared" si="66"/>
        <v>39505.5</v>
      </c>
      <c r="R1090">
        <f t="shared" si="67"/>
        <v>2023</v>
      </c>
    </row>
    <row r="1091" spans="1:18" x14ac:dyDescent="0.2">
      <c r="A1091" s="13">
        <v>45314</v>
      </c>
      <c r="B1091" s="13">
        <v>45314</v>
      </c>
      <c r="C1091" s="25" t="s">
        <v>398</v>
      </c>
      <c r="D1091" s="20">
        <v>0</v>
      </c>
      <c r="E1091" s="28">
        <v>39505.5</v>
      </c>
      <c r="F1091" s="22" t="s">
        <v>66</v>
      </c>
      <c r="G1091" s="14">
        <v>90</v>
      </c>
      <c r="H1091" s="40">
        <v>44939</v>
      </c>
      <c r="I1091" s="46">
        <f t="shared" ref="I1091:I1154" si="68">IFERROR(A1091-H1091,"")*1</f>
        <v>375</v>
      </c>
      <c r="J1091" s="1" t="s">
        <v>15</v>
      </c>
      <c r="K1091" s="4" t="s">
        <v>199</v>
      </c>
      <c r="L1091" s="4" t="s">
        <v>225</v>
      </c>
      <c r="M1091" s="8">
        <v>90</v>
      </c>
      <c r="N1091" s="5">
        <v>438.95</v>
      </c>
      <c r="O1091" s="5">
        <v>39505.5</v>
      </c>
      <c r="P1091">
        <f t="shared" ref="P1091:P1154" si="69">IF(M1091=G1091,1,0)</f>
        <v>1</v>
      </c>
      <c r="Q1091" s="36">
        <f t="shared" ref="Q1091:Q1154" si="70">N1091*G1091</f>
        <v>39505.5</v>
      </c>
      <c r="R1091">
        <f t="shared" ref="R1091:R1154" si="71">YEAR(H1091)</f>
        <v>2023</v>
      </c>
    </row>
    <row r="1092" spans="1:18" x14ac:dyDescent="0.2">
      <c r="A1092" s="13">
        <v>45321</v>
      </c>
      <c r="B1092" s="13">
        <v>45321</v>
      </c>
      <c r="C1092" s="25" t="s">
        <v>398</v>
      </c>
      <c r="D1092" s="20">
        <v>0</v>
      </c>
      <c r="E1092" s="28">
        <v>13168.5</v>
      </c>
      <c r="F1092" s="22" t="s">
        <v>66</v>
      </c>
      <c r="G1092" s="14">
        <v>30</v>
      </c>
      <c r="H1092" s="40">
        <v>44943</v>
      </c>
      <c r="I1092" s="46">
        <f t="shared" si="68"/>
        <v>378</v>
      </c>
      <c r="J1092" s="1" t="s">
        <v>15</v>
      </c>
      <c r="K1092" s="4" t="s">
        <v>200</v>
      </c>
      <c r="L1092" s="4" t="s">
        <v>225</v>
      </c>
      <c r="M1092" s="8">
        <v>30</v>
      </c>
      <c r="N1092" s="5">
        <v>438.95</v>
      </c>
      <c r="O1092" s="5">
        <v>13168.5</v>
      </c>
      <c r="P1092">
        <f t="shared" si="69"/>
        <v>1</v>
      </c>
      <c r="Q1092" s="36">
        <f t="shared" si="70"/>
        <v>13168.5</v>
      </c>
      <c r="R1092">
        <f t="shared" si="71"/>
        <v>2023</v>
      </c>
    </row>
    <row r="1093" spans="1:18" x14ac:dyDescent="0.2">
      <c r="A1093" s="13">
        <v>45321</v>
      </c>
      <c r="B1093" s="13">
        <v>45321</v>
      </c>
      <c r="C1093" s="25" t="s">
        <v>398</v>
      </c>
      <c r="D1093" s="20">
        <v>0</v>
      </c>
      <c r="E1093" s="28">
        <v>39505.5</v>
      </c>
      <c r="F1093" s="22" t="s">
        <v>66</v>
      </c>
      <c r="G1093" s="14">
        <v>90</v>
      </c>
      <c r="H1093" s="40">
        <v>44943</v>
      </c>
      <c r="I1093" s="46">
        <f t="shared" si="68"/>
        <v>378</v>
      </c>
      <c r="J1093" s="1" t="s">
        <v>15</v>
      </c>
      <c r="K1093" s="4" t="s">
        <v>200</v>
      </c>
      <c r="L1093" s="4" t="s">
        <v>225</v>
      </c>
      <c r="M1093" s="8">
        <v>90</v>
      </c>
      <c r="N1093" s="5">
        <v>438.95</v>
      </c>
      <c r="O1093" s="5">
        <v>39505.5</v>
      </c>
      <c r="P1093">
        <f t="shared" si="69"/>
        <v>1</v>
      </c>
      <c r="Q1093" s="36">
        <f t="shared" si="70"/>
        <v>39505.5</v>
      </c>
      <c r="R1093">
        <f t="shared" si="71"/>
        <v>2023</v>
      </c>
    </row>
    <row r="1094" spans="1:18" x14ac:dyDescent="0.2">
      <c r="A1094" s="13">
        <v>45321</v>
      </c>
      <c r="B1094" s="13">
        <v>45321</v>
      </c>
      <c r="C1094" s="25" t="s">
        <v>398</v>
      </c>
      <c r="D1094" s="20">
        <v>0</v>
      </c>
      <c r="E1094" s="28">
        <v>39505.5</v>
      </c>
      <c r="F1094" s="22" t="s">
        <v>66</v>
      </c>
      <c r="G1094" s="14">
        <v>90</v>
      </c>
      <c r="H1094" s="40">
        <v>44953</v>
      </c>
      <c r="I1094" s="46">
        <f t="shared" si="68"/>
        <v>368</v>
      </c>
      <c r="J1094" s="1" t="s">
        <v>15</v>
      </c>
      <c r="K1094" s="4" t="s">
        <v>199</v>
      </c>
      <c r="L1094" s="4" t="s">
        <v>225</v>
      </c>
      <c r="M1094" s="8">
        <v>90</v>
      </c>
      <c r="N1094" s="5">
        <v>438.95</v>
      </c>
      <c r="O1094" s="5">
        <v>39505.5</v>
      </c>
      <c r="P1094">
        <f t="shared" si="69"/>
        <v>1</v>
      </c>
      <c r="Q1094" s="36">
        <f t="shared" si="70"/>
        <v>39505.5</v>
      </c>
      <c r="R1094">
        <f t="shared" si="71"/>
        <v>2023</v>
      </c>
    </row>
    <row r="1095" spans="1:18" x14ac:dyDescent="0.2">
      <c r="A1095" s="13">
        <v>45321</v>
      </c>
      <c r="B1095" s="13">
        <v>45321</v>
      </c>
      <c r="C1095" s="25" t="s">
        <v>398</v>
      </c>
      <c r="D1095" s="20">
        <v>0</v>
      </c>
      <c r="E1095" s="28">
        <v>39505.5</v>
      </c>
      <c r="F1095" s="22" t="s">
        <v>66</v>
      </c>
      <c r="G1095" s="14">
        <v>90</v>
      </c>
      <c r="H1095" s="40">
        <v>44953</v>
      </c>
      <c r="I1095" s="46">
        <f t="shared" si="68"/>
        <v>368</v>
      </c>
      <c r="J1095" s="1" t="s">
        <v>15</v>
      </c>
      <c r="K1095" s="4" t="s">
        <v>199</v>
      </c>
      <c r="L1095" s="4" t="s">
        <v>225</v>
      </c>
      <c r="M1095" s="8">
        <v>90</v>
      </c>
      <c r="N1095" s="5">
        <v>438.95</v>
      </c>
      <c r="O1095" s="5">
        <v>39505.5</v>
      </c>
      <c r="P1095">
        <f t="shared" si="69"/>
        <v>1</v>
      </c>
      <c r="Q1095" s="36">
        <f t="shared" si="70"/>
        <v>39505.5</v>
      </c>
      <c r="R1095">
        <f t="shared" si="71"/>
        <v>2023</v>
      </c>
    </row>
    <row r="1096" spans="1:18" x14ac:dyDescent="0.2">
      <c r="A1096" s="13">
        <v>45321</v>
      </c>
      <c r="B1096" s="13">
        <v>45321</v>
      </c>
      <c r="C1096" s="25" t="s">
        <v>398</v>
      </c>
      <c r="D1096" s="20">
        <v>0</v>
      </c>
      <c r="E1096" s="28">
        <v>39505.5</v>
      </c>
      <c r="F1096" s="22" t="s">
        <v>66</v>
      </c>
      <c r="G1096" s="14">
        <v>90</v>
      </c>
      <c r="H1096" s="40">
        <v>44953</v>
      </c>
      <c r="I1096" s="46">
        <f t="shared" si="68"/>
        <v>368</v>
      </c>
      <c r="J1096" s="1" t="s">
        <v>15</v>
      </c>
      <c r="K1096" s="4" t="s">
        <v>199</v>
      </c>
      <c r="L1096" s="4" t="s">
        <v>225</v>
      </c>
      <c r="M1096" s="8">
        <v>90</v>
      </c>
      <c r="N1096" s="5">
        <v>438.95</v>
      </c>
      <c r="O1096" s="5">
        <v>39505.5</v>
      </c>
      <c r="P1096">
        <f t="shared" si="69"/>
        <v>1</v>
      </c>
      <c r="Q1096" s="36">
        <f t="shared" si="70"/>
        <v>39505.5</v>
      </c>
      <c r="R1096">
        <f t="shared" si="71"/>
        <v>2023</v>
      </c>
    </row>
    <row r="1097" spans="1:18" x14ac:dyDescent="0.2">
      <c r="A1097" s="13">
        <v>45321</v>
      </c>
      <c r="B1097" s="13">
        <v>45321</v>
      </c>
      <c r="C1097" s="25" t="s">
        <v>398</v>
      </c>
      <c r="D1097" s="20">
        <v>0</v>
      </c>
      <c r="E1097" s="28">
        <v>39505.5</v>
      </c>
      <c r="F1097" s="22" t="s">
        <v>66</v>
      </c>
      <c r="G1097" s="14">
        <v>90</v>
      </c>
      <c r="H1097" s="40">
        <v>44953</v>
      </c>
      <c r="I1097" s="46">
        <f t="shared" si="68"/>
        <v>368</v>
      </c>
      <c r="J1097" s="1" t="s">
        <v>15</v>
      </c>
      <c r="K1097" s="4" t="s">
        <v>199</v>
      </c>
      <c r="L1097" s="4" t="s">
        <v>225</v>
      </c>
      <c r="M1097" s="8">
        <v>90</v>
      </c>
      <c r="N1097" s="5">
        <v>438.95</v>
      </c>
      <c r="O1097" s="5">
        <v>39505.5</v>
      </c>
      <c r="P1097">
        <f t="shared" si="69"/>
        <v>1</v>
      </c>
      <c r="Q1097" s="36">
        <f t="shared" si="70"/>
        <v>39505.5</v>
      </c>
      <c r="R1097">
        <f t="shared" si="71"/>
        <v>2023</v>
      </c>
    </row>
    <row r="1098" spans="1:18" x14ac:dyDescent="0.2">
      <c r="A1098" s="13">
        <v>45321</v>
      </c>
      <c r="B1098" s="13">
        <v>45321</v>
      </c>
      <c r="C1098" s="25" t="s">
        <v>398</v>
      </c>
      <c r="D1098" s="20">
        <v>0</v>
      </c>
      <c r="E1098" s="28">
        <v>26337</v>
      </c>
      <c r="F1098" s="22" t="s">
        <v>66</v>
      </c>
      <c r="G1098" s="14">
        <v>60</v>
      </c>
      <c r="H1098" s="40">
        <v>44953</v>
      </c>
      <c r="I1098" s="46">
        <f t="shared" si="68"/>
        <v>368</v>
      </c>
      <c r="J1098" s="1" t="s">
        <v>15</v>
      </c>
      <c r="K1098" s="4" t="s">
        <v>199</v>
      </c>
      <c r="L1098" s="4" t="s">
        <v>225</v>
      </c>
      <c r="M1098" s="8">
        <v>60</v>
      </c>
      <c r="N1098" s="5">
        <v>438.95</v>
      </c>
      <c r="O1098" s="5">
        <v>26337</v>
      </c>
      <c r="P1098">
        <f t="shared" si="69"/>
        <v>1</v>
      </c>
      <c r="Q1098" s="36">
        <f t="shared" si="70"/>
        <v>26337</v>
      </c>
      <c r="R1098">
        <f t="shared" si="71"/>
        <v>2023</v>
      </c>
    </row>
    <row r="1099" spans="1:18" x14ac:dyDescent="0.2">
      <c r="A1099" s="13">
        <v>45321</v>
      </c>
      <c r="B1099" s="13">
        <v>45321</v>
      </c>
      <c r="C1099" s="25" t="s">
        <v>398</v>
      </c>
      <c r="D1099" s="20">
        <v>0</v>
      </c>
      <c r="E1099" s="28">
        <v>39505.5</v>
      </c>
      <c r="F1099" s="22" t="s">
        <v>66</v>
      </c>
      <c r="G1099" s="14">
        <v>90</v>
      </c>
      <c r="H1099" s="40">
        <v>44953</v>
      </c>
      <c r="I1099" s="46">
        <f t="shared" si="68"/>
        <v>368</v>
      </c>
      <c r="J1099" s="1" t="s">
        <v>15</v>
      </c>
      <c r="K1099" s="4" t="s">
        <v>199</v>
      </c>
      <c r="L1099" s="4" t="s">
        <v>225</v>
      </c>
      <c r="M1099" s="8">
        <v>90</v>
      </c>
      <c r="N1099" s="5">
        <v>438.95</v>
      </c>
      <c r="O1099" s="5">
        <v>39505.5</v>
      </c>
      <c r="P1099">
        <f t="shared" si="69"/>
        <v>1</v>
      </c>
      <c r="Q1099" s="36">
        <f t="shared" si="70"/>
        <v>39505.5</v>
      </c>
      <c r="R1099">
        <f t="shared" si="71"/>
        <v>2023</v>
      </c>
    </row>
    <row r="1100" spans="1:18" x14ac:dyDescent="0.2">
      <c r="A1100" s="13">
        <v>45328</v>
      </c>
      <c r="B1100" s="13">
        <v>45328</v>
      </c>
      <c r="C1100" s="25" t="s">
        <v>398</v>
      </c>
      <c r="D1100" s="20">
        <v>0</v>
      </c>
      <c r="E1100" s="28">
        <v>39505.5</v>
      </c>
      <c r="F1100" s="22" t="s">
        <v>66</v>
      </c>
      <c r="G1100" s="14">
        <v>90</v>
      </c>
      <c r="H1100" s="40">
        <v>44953</v>
      </c>
      <c r="I1100" s="46">
        <f t="shared" si="68"/>
        <v>375</v>
      </c>
      <c r="J1100" s="1" t="s">
        <v>15</v>
      </c>
      <c r="K1100" s="4" t="s">
        <v>199</v>
      </c>
      <c r="L1100" s="4" t="s">
        <v>225</v>
      </c>
      <c r="M1100" s="8">
        <v>90</v>
      </c>
      <c r="N1100" s="5">
        <v>438.95</v>
      </c>
      <c r="O1100" s="5">
        <v>39505.5</v>
      </c>
      <c r="P1100">
        <f t="shared" si="69"/>
        <v>1</v>
      </c>
      <c r="Q1100" s="36">
        <f t="shared" si="70"/>
        <v>39505.5</v>
      </c>
      <c r="R1100">
        <f t="shared" si="71"/>
        <v>2023</v>
      </c>
    </row>
    <row r="1101" spans="1:18" x14ac:dyDescent="0.2">
      <c r="A1101" s="13">
        <v>45328</v>
      </c>
      <c r="B1101" s="13">
        <v>45328</v>
      </c>
      <c r="C1101" s="25" t="s">
        <v>398</v>
      </c>
      <c r="D1101" s="20">
        <v>0</v>
      </c>
      <c r="E1101" s="28">
        <v>39505.5</v>
      </c>
      <c r="F1101" s="22" t="s">
        <v>66</v>
      </c>
      <c r="G1101" s="14">
        <v>90</v>
      </c>
      <c r="H1101" s="40">
        <v>44953</v>
      </c>
      <c r="I1101" s="46">
        <f t="shared" si="68"/>
        <v>375</v>
      </c>
      <c r="J1101" s="1" t="s">
        <v>15</v>
      </c>
      <c r="K1101" s="4" t="s">
        <v>199</v>
      </c>
      <c r="L1101" s="4" t="s">
        <v>225</v>
      </c>
      <c r="M1101" s="8">
        <v>90</v>
      </c>
      <c r="N1101" s="5">
        <v>438.95</v>
      </c>
      <c r="O1101" s="5">
        <v>39505.5</v>
      </c>
      <c r="P1101">
        <f t="shared" si="69"/>
        <v>1</v>
      </c>
      <c r="Q1101" s="36">
        <f t="shared" si="70"/>
        <v>39505.5</v>
      </c>
      <c r="R1101">
        <f t="shared" si="71"/>
        <v>2023</v>
      </c>
    </row>
    <row r="1102" spans="1:18" x14ac:dyDescent="0.2">
      <c r="A1102" s="13">
        <v>45328</v>
      </c>
      <c r="B1102" s="13">
        <v>45328</v>
      </c>
      <c r="C1102" s="25" t="s">
        <v>398</v>
      </c>
      <c r="D1102" s="20">
        <v>0</v>
      </c>
      <c r="E1102" s="28">
        <v>26337</v>
      </c>
      <c r="F1102" s="22" t="s">
        <v>66</v>
      </c>
      <c r="G1102" s="14">
        <v>60</v>
      </c>
      <c r="H1102" s="40">
        <v>44953</v>
      </c>
      <c r="I1102" s="46">
        <f t="shared" si="68"/>
        <v>375</v>
      </c>
      <c r="J1102" s="1" t="s">
        <v>15</v>
      </c>
      <c r="K1102" s="4" t="s">
        <v>199</v>
      </c>
      <c r="L1102" s="4" t="s">
        <v>225</v>
      </c>
      <c r="M1102" s="8">
        <v>60</v>
      </c>
      <c r="N1102" s="5">
        <v>438.95</v>
      </c>
      <c r="O1102" s="5">
        <v>26337</v>
      </c>
      <c r="P1102">
        <f t="shared" si="69"/>
        <v>1</v>
      </c>
      <c r="Q1102" s="36">
        <f t="shared" si="70"/>
        <v>26337</v>
      </c>
      <c r="R1102">
        <f t="shared" si="71"/>
        <v>2023</v>
      </c>
    </row>
    <row r="1103" spans="1:18" x14ac:dyDescent="0.2">
      <c r="A1103" s="13">
        <v>45328</v>
      </c>
      <c r="B1103" s="13">
        <v>45328</v>
      </c>
      <c r="C1103" s="25" t="s">
        <v>398</v>
      </c>
      <c r="D1103" s="20">
        <v>0</v>
      </c>
      <c r="E1103" s="28">
        <v>39505.5</v>
      </c>
      <c r="F1103" s="22" t="s">
        <v>66</v>
      </c>
      <c r="G1103" s="14">
        <v>90</v>
      </c>
      <c r="H1103" s="40">
        <v>44953</v>
      </c>
      <c r="I1103" s="46">
        <f t="shared" si="68"/>
        <v>375</v>
      </c>
      <c r="J1103" s="1" t="s">
        <v>15</v>
      </c>
      <c r="K1103" s="4" t="s">
        <v>199</v>
      </c>
      <c r="L1103" s="4" t="s">
        <v>225</v>
      </c>
      <c r="M1103" s="8">
        <v>90</v>
      </c>
      <c r="N1103" s="5">
        <v>438.95</v>
      </c>
      <c r="O1103" s="5">
        <v>39505.5</v>
      </c>
      <c r="P1103">
        <f t="shared" si="69"/>
        <v>1</v>
      </c>
      <c r="Q1103" s="36">
        <f t="shared" si="70"/>
        <v>39505.5</v>
      </c>
      <c r="R1103">
        <f t="shared" si="71"/>
        <v>2023</v>
      </c>
    </row>
    <row r="1104" spans="1:18" x14ac:dyDescent="0.2">
      <c r="A1104" s="13">
        <v>45328</v>
      </c>
      <c r="B1104" s="13">
        <v>45328</v>
      </c>
      <c r="C1104" s="25" t="s">
        <v>398</v>
      </c>
      <c r="D1104" s="20">
        <v>0</v>
      </c>
      <c r="E1104" s="28">
        <v>39505.5</v>
      </c>
      <c r="F1104" s="22" t="s">
        <v>66</v>
      </c>
      <c r="G1104" s="14">
        <v>90</v>
      </c>
      <c r="H1104" s="40">
        <v>44953</v>
      </c>
      <c r="I1104" s="46">
        <f t="shared" si="68"/>
        <v>375</v>
      </c>
      <c r="J1104" s="1" t="s">
        <v>15</v>
      </c>
      <c r="K1104" s="4" t="s">
        <v>199</v>
      </c>
      <c r="L1104" s="4" t="s">
        <v>225</v>
      </c>
      <c r="M1104" s="8">
        <v>90</v>
      </c>
      <c r="N1104" s="5">
        <v>438.95</v>
      </c>
      <c r="O1104" s="5">
        <v>39505.5</v>
      </c>
      <c r="P1104">
        <f t="shared" si="69"/>
        <v>1</v>
      </c>
      <c r="Q1104" s="36">
        <f t="shared" si="70"/>
        <v>39505.5</v>
      </c>
      <c r="R1104">
        <f t="shared" si="71"/>
        <v>2023</v>
      </c>
    </row>
    <row r="1105" spans="1:18" x14ac:dyDescent="0.2">
      <c r="A1105" s="13">
        <v>45328</v>
      </c>
      <c r="B1105" s="13">
        <v>45328</v>
      </c>
      <c r="C1105" s="25" t="s">
        <v>398</v>
      </c>
      <c r="D1105" s="20">
        <v>0</v>
      </c>
      <c r="E1105" s="28">
        <v>39505.5</v>
      </c>
      <c r="F1105" s="22" t="s">
        <v>66</v>
      </c>
      <c r="G1105" s="14">
        <v>90</v>
      </c>
      <c r="H1105" s="40">
        <v>44953</v>
      </c>
      <c r="I1105" s="46">
        <f t="shared" si="68"/>
        <v>375</v>
      </c>
      <c r="J1105" s="1" t="s">
        <v>15</v>
      </c>
      <c r="K1105" s="4" t="s">
        <v>199</v>
      </c>
      <c r="L1105" s="4" t="s">
        <v>225</v>
      </c>
      <c r="M1105" s="8">
        <v>90</v>
      </c>
      <c r="N1105" s="5">
        <v>438.95</v>
      </c>
      <c r="O1105" s="5">
        <v>39505.5</v>
      </c>
      <c r="P1105">
        <f t="shared" si="69"/>
        <v>1</v>
      </c>
      <c r="Q1105" s="36">
        <f t="shared" si="70"/>
        <v>39505.5</v>
      </c>
      <c r="R1105">
        <f t="shared" si="71"/>
        <v>2023</v>
      </c>
    </row>
    <row r="1106" spans="1:18" x14ac:dyDescent="0.2">
      <c r="A1106" s="13">
        <v>45366</v>
      </c>
      <c r="B1106" s="13">
        <v>45366</v>
      </c>
      <c r="C1106" s="25" t="s">
        <v>398</v>
      </c>
      <c r="D1106" s="20">
        <v>0</v>
      </c>
      <c r="E1106" s="28">
        <v>92179.5</v>
      </c>
      <c r="F1106" s="22" t="s">
        <v>66</v>
      </c>
      <c r="G1106" s="14">
        <v>210</v>
      </c>
      <c r="H1106" s="40">
        <v>44985</v>
      </c>
      <c r="I1106" s="46">
        <f t="shared" si="68"/>
        <v>381</v>
      </c>
      <c r="J1106" s="1" t="s">
        <v>15</v>
      </c>
      <c r="K1106" s="4" t="s">
        <v>200</v>
      </c>
      <c r="L1106" s="4" t="s">
        <v>225</v>
      </c>
      <c r="M1106" s="8">
        <v>210</v>
      </c>
      <c r="N1106" s="5">
        <v>438.95</v>
      </c>
      <c r="O1106" s="5">
        <v>92179.5</v>
      </c>
      <c r="P1106">
        <f t="shared" si="69"/>
        <v>1</v>
      </c>
      <c r="Q1106" s="36">
        <f t="shared" si="70"/>
        <v>92179.5</v>
      </c>
      <c r="R1106">
        <f t="shared" si="71"/>
        <v>2023</v>
      </c>
    </row>
    <row r="1107" spans="1:18" x14ac:dyDescent="0.2">
      <c r="A1107" s="13">
        <v>45366</v>
      </c>
      <c r="B1107" s="13">
        <v>45366</v>
      </c>
      <c r="C1107" s="25" t="s">
        <v>398</v>
      </c>
      <c r="D1107" s="20">
        <v>0</v>
      </c>
      <c r="E1107" s="28">
        <v>79011</v>
      </c>
      <c r="F1107" s="22" t="s">
        <v>66</v>
      </c>
      <c r="G1107" s="14">
        <v>180</v>
      </c>
      <c r="H1107" s="40">
        <v>44985</v>
      </c>
      <c r="I1107" s="46">
        <f t="shared" si="68"/>
        <v>381</v>
      </c>
      <c r="J1107" s="1" t="s">
        <v>15</v>
      </c>
      <c r="K1107" s="4" t="s">
        <v>200</v>
      </c>
      <c r="L1107" s="4" t="s">
        <v>225</v>
      </c>
      <c r="M1107" s="8">
        <v>180</v>
      </c>
      <c r="N1107" s="5">
        <v>438.95</v>
      </c>
      <c r="O1107" s="5">
        <v>79011</v>
      </c>
      <c r="P1107">
        <f t="shared" si="69"/>
        <v>1</v>
      </c>
      <c r="Q1107" s="36">
        <f t="shared" si="70"/>
        <v>79011</v>
      </c>
      <c r="R1107">
        <f t="shared" si="71"/>
        <v>2023</v>
      </c>
    </row>
    <row r="1108" spans="1:18" x14ac:dyDescent="0.2">
      <c r="A1108" s="13">
        <v>45366</v>
      </c>
      <c r="B1108" s="13">
        <v>45366</v>
      </c>
      <c r="C1108" s="25" t="s">
        <v>398</v>
      </c>
      <c r="D1108" s="20">
        <v>0</v>
      </c>
      <c r="E1108" s="28">
        <v>92179.5</v>
      </c>
      <c r="F1108" s="22" t="s">
        <v>66</v>
      </c>
      <c r="G1108" s="14">
        <v>210</v>
      </c>
      <c r="H1108" s="40">
        <v>44985</v>
      </c>
      <c r="I1108" s="46">
        <f t="shared" si="68"/>
        <v>381</v>
      </c>
      <c r="J1108" s="1" t="s">
        <v>15</v>
      </c>
      <c r="K1108" s="4" t="s">
        <v>200</v>
      </c>
      <c r="L1108" s="4" t="s">
        <v>225</v>
      </c>
      <c r="M1108" s="8">
        <v>210</v>
      </c>
      <c r="N1108" s="5">
        <v>438.95</v>
      </c>
      <c r="O1108" s="5">
        <v>92179.5</v>
      </c>
      <c r="P1108">
        <f t="shared" si="69"/>
        <v>1</v>
      </c>
      <c r="Q1108" s="36">
        <f t="shared" si="70"/>
        <v>92179.5</v>
      </c>
      <c r="R1108">
        <f t="shared" si="71"/>
        <v>2023</v>
      </c>
    </row>
    <row r="1109" spans="1:18" x14ac:dyDescent="0.2">
      <c r="A1109" s="13">
        <v>45366</v>
      </c>
      <c r="B1109" s="13">
        <v>45366</v>
      </c>
      <c r="C1109" s="25" t="s">
        <v>398</v>
      </c>
      <c r="D1109" s="20">
        <v>0</v>
      </c>
      <c r="E1109" s="28">
        <v>79011</v>
      </c>
      <c r="F1109" s="22" t="s">
        <v>66</v>
      </c>
      <c r="G1109" s="14">
        <v>180</v>
      </c>
      <c r="H1109" s="40">
        <v>44985</v>
      </c>
      <c r="I1109" s="46">
        <f t="shared" si="68"/>
        <v>381</v>
      </c>
      <c r="J1109" s="1" t="s">
        <v>15</v>
      </c>
      <c r="K1109" s="4" t="s">
        <v>200</v>
      </c>
      <c r="L1109" s="4" t="s">
        <v>225</v>
      </c>
      <c r="M1109" s="8">
        <v>180</v>
      </c>
      <c r="N1109" s="5">
        <v>438.95</v>
      </c>
      <c r="O1109" s="5">
        <v>79011</v>
      </c>
      <c r="P1109">
        <f t="shared" si="69"/>
        <v>1</v>
      </c>
      <c r="Q1109" s="36">
        <f t="shared" si="70"/>
        <v>79011</v>
      </c>
      <c r="R1109">
        <f t="shared" si="71"/>
        <v>2023</v>
      </c>
    </row>
    <row r="1110" spans="1:18" x14ac:dyDescent="0.2">
      <c r="A1110" s="13">
        <v>45366</v>
      </c>
      <c r="B1110" s="13">
        <v>45366</v>
      </c>
      <c r="C1110" s="25" t="s">
        <v>398</v>
      </c>
      <c r="D1110" s="20">
        <v>0</v>
      </c>
      <c r="E1110" s="28">
        <v>92179.5</v>
      </c>
      <c r="F1110" s="22" t="s">
        <v>66</v>
      </c>
      <c r="G1110" s="14">
        <v>210</v>
      </c>
      <c r="H1110" s="40">
        <v>44985</v>
      </c>
      <c r="I1110" s="46">
        <f t="shared" si="68"/>
        <v>381</v>
      </c>
      <c r="J1110" s="1" t="s">
        <v>15</v>
      </c>
      <c r="K1110" s="4" t="s">
        <v>200</v>
      </c>
      <c r="L1110" s="4" t="s">
        <v>225</v>
      </c>
      <c r="M1110" s="8">
        <v>210</v>
      </c>
      <c r="N1110" s="5">
        <v>438.95</v>
      </c>
      <c r="O1110" s="5">
        <v>92179.5</v>
      </c>
      <c r="P1110">
        <f t="shared" si="69"/>
        <v>1</v>
      </c>
      <c r="Q1110" s="36">
        <f t="shared" si="70"/>
        <v>92179.5</v>
      </c>
      <c r="R1110">
        <f t="shared" si="71"/>
        <v>2023</v>
      </c>
    </row>
    <row r="1111" spans="1:18" x14ac:dyDescent="0.2">
      <c r="A1111" s="13">
        <v>45366</v>
      </c>
      <c r="B1111" s="13">
        <v>45366</v>
      </c>
      <c r="C1111" s="25" t="s">
        <v>398</v>
      </c>
      <c r="D1111" s="20">
        <v>0</v>
      </c>
      <c r="E1111" s="28">
        <v>92179.5</v>
      </c>
      <c r="F1111" s="22" t="s">
        <v>66</v>
      </c>
      <c r="G1111" s="14">
        <v>210</v>
      </c>
      <c r="H1111" s="40">
        <v>44985</v>
      </c>
      <c r="I1111" s="46">
        <f t="shared" si="68"/>
        <v>381</v>
      </c>
      <c r="J1111" s="1" t="s">
        <v>15</v>
      </c>
      <c r="K1111" s="4" t="s">
        <v>200</v>
      </c>
      <c r="L1111" s="4" t="s">
        <v>225</v>
      </c>
      <c r="M1111" s="8">
        <v>210</v>
      </c>
      <c r="N1111" s="5">
        <v>438.95</v>
      </c>
      <c r="O1111" s="5">
        <v>92179.5</v>
      </c>
      <c r="P1111">
        <f t="shared" si="69"/>
        <v>1</v>
      </c>
      <c r="Q1111" s="36">
        <f t="shared" si="70"/>
        <v>92179.5</v>
      </c>
      <c r="R1111">
        <f t="shared" si="71"/>
        <v>2023</v>
      </c>
    </row>
    <row r="1112" spans="1:18" x14ac:dyDescent="0.2">
      <c r="A1112" s="13">
        <v>45366</v>
      </c>
      <c r="B1112" s="13">
        <v>45366</v>
      </c>
      <c r="C1112" s="25" t="s">
        <v>398</v>
      </c>
      <c r="D1112" s="20">
        <v>0</v>
      </c>
      <c r="E1112" s="28">
        <v>65842.5</v>
      </c>
      <c r="F1112" s="22" t="s">
        <v>66</v>
      </c>
      <c r="G1112" s="14">
        <v>150</v>
      </c>
      <c r="H1112" s="40">
        <v>44985</v>
      </c>
      <c r="I1112" s="46">
        <f t="shared" si="68"/>
        <v>381</v>
      </c>
      <c r="J1112" s="1" t="s">
        <v>15</v>
      </c>
      <c r="K1112" s="4" t="s">
        <v>200</v>
      </c>
      <c r="L1112" s="4" t="s">
        <v>225</v>
      </c>
      <c r="M1112" s="8">
        <v>150</v>
      </c>
      <c r="N1112" s="5">
        <v>438.95</v>
      </c>
      <c r="O1112" s="5">
        <v>65842.5</v>
      </c>
      <c r="P1112">
        <f t="shared" si="69"/>
        <v>1</v>
      </c>
      <c r="Q1112" s="36">
        <f t="shared" si="70"/>
        <v>65842.5</v>
      </c>
      <c r="R1112">
        <f t="shared" si="71"/>
        <v>2023</v>
      </c>
    </row>
    <row r="1113" spans="1:18" x14ac:dyDescent="0.2">
      <c r="A1113" s="13">
        <v>45366</v>
      </c>
      <c r="B1113" s="13">
        <v>45366</v>
      </c>
      <c r="C1113" s="25" t="s">
        <v>398</v>
      </c>
      <c r="D1113" s="20">
        <v>0</v>
      </c>
      <c r="E1113" s="28">
        <v>79011</v>
      </c>
      <c r="F1113" s="22" t="s">
        <v>66</v>
      </c>
      <c r="G1113" s="14">
        <v>180</v>
      </c>
      <c r="H1113" s="40">
        <v>44985</v>
      </c>
      <c r="I1113" s="46">
        <f t="shared" si="68"/>
        <v>381</v>
      </c>
      <c r="J1113" s="1" t="s">
        <v>15</v>
      </c>
      <c r="K1113" s="4" t="s">
        <v>200</v>
      </c>
      <c r="L1113" s="4" t="s">
        <v>225</v>
      </c>
      <c r="M1113" s="8">
        <v>180</v>
      </c>
      <c r="N1113" s="5">
        <v>438.95</v>
      </c>
      <c r="O1113" s="5">
        <v>79011</v>
      </c>
      <c r="P1113">
        <f t="shared" si="69"/>
        <v>1</v>
      </c>
      <c r="Q1113" s="36">
        <f t="shared" si="70"/>
        <v>79011</v>
      </c>
      <c r="R1113">
        <f t="shared" si="71"/>
        <v>2023</v>
      </c>
    </row>
    <row r="1114" spans="1:18" x14ac:dyDescent="0.2">
      <c r="A1114" s="13">
        <v>45366</v>
      </c>
      <c r="B1114" s="13">
        <v>45366</v>
      </c>
      <c r="C1114" s="25" t="s">
        <v>398</v>
      </c>
      <c r="D1114" s="20">
        <v>0</v>
      </c>
      <c r="E1114" s="28">
        <v>79011</v>
      </c>
      <c r="F1114" s="22" t="s">
        <v>66</v>
      </c>
      <c r="G1114" s="14">
        <v>180</v>
      </c>
      <c r="H1114" s="40">
        <v>44985</v>
      </c>
      <c r="I1114" s="46">
        <f t="shared" si="68"/>
        <v>381</v>
      </c>
      <c r="J1114" s="1" t="s">
        <v>15</v>
      </c>
      <c r="K1114" s="4" t="s">
        <v>200</v>
      </c>
      <c r="L1114" s="4" t="s">
        <v>225</v>
      </c>
      <c r="M1114" s="8">
        <v>180</v>
      </c>
      <c r="N1114" s="5">
        <v>438.95</v>
      </c>
      <c r="O1114" s="5">
        <v>79011</v>
      </c>
      <c r="P1114">
        <f t="shared" si="69"/>
        <v>1</v>
      </c>
      <c r="Q1114" s="36">
        <f t="shared" si="70"/>
        <v>79011</v>
      </c>
      <c r="R1114">
        <f t="shared" si="71"/>
        <v>2023</v>
      </c>
    </row>
    <row r="1115" spans="1:18" x14ac:dyDescent="0.2">
      <c r="A1115" s="13">
        <v>45366</v>
      </c>
      <c r="B1115" s="13">
        <v>45366</v>
      </c>
      <c r="C1115" s="25" t="s">
        <v>398</v>
      </c>
      <c r="D1115" s="20">
        <v>0</v>
      </c>
      <c r="E1115" s="28">
        <v>92179.5</v>
      </c>
      <c r="F1115" s="22" t="s">
        <v>66</v>
      </c>
      <c r="G1115" s="14">
        <v>210</v>
      </c>
      <c r="H1115" s="40">
        <v>44985</v>
      </c>
      <c r="I1115" s="46">
        <f t="shared" si="68"/>
        <v>381</v>
      </c>
      <c r="J1115" s="1" t="s">
        <v>15</v>
      </c>
      <c r="K1115" s="4" t="s">
        <v>200</v>
      </c>
      <c r="L1115" s="4" t="s">
        <v>225</v>
      </c>
      <c r="M1115" s="8">
        <v>210</v>
      </c>
      <c r="N1115" s="5">
        <v>438.95</v>
      </c>
      <c r="O1115" s="5">
        <v>92179.5</v>
      </c>
      <c r="P1115">
        <f t="shared" si="69"/>
        <v>1</v>
      </c>
      <c r="Q1115" s="36">
        <f t="shared" si="70"/>
        <v>92179.5</v>
      </c>
      <c r="R1115">
        <f t="shared" si="71"/>
        <v>2023</v>
      </c>
    </row>
    <row r="1116" spans="1:18" x14ac:dyDescent="0.2">
      <c r="A1116" s="13">
        <v>45366</v>
      </c>
      <c r="B1116" s="13">
        <v>45366</v>
      </c>
      <c r="C1116" s="25" t="s">
        <v>398</v>
      </c>
      <c r="D1116" s="20">
        <v>0</v>
      </c>
      <c r="E1116" s="28">
        <v>92179.5</v>
      </c>
      <c r="F1116" s="22" t="s">
        <v>66</v>
      </c>
      <c r="G1116" s="14">
        <v>210</v>
      </c>
      <c r="H1116" s="40">
        <v>44985</v>
      </c>
      <c r="I1116" s="46">
        <f t="shared" si="68"/>
        <v>381</v>
      </c>
      <c r="J1116" s="1" t="s">
        <v>15</v>
      </c>
      <c r="K1116" s="4" t="s">
        <v>200</v>
      </c>
      <c r="L1116" s="4" t="s">
        <v>225</v>
      </c>
      <c r="M1116" s="8">
        <v>210</v>
      </c>
      <c r="N1116" s="5">
        <v>438.95</v>
      </c>
      <c r="O1116" s="5">
        <v>92179.5</v>
      </c>
      <c r="P1116">
        <f t="shared" si="69"/>
        <v>1</v>
      </c>
      <c r="Q1116" s="36">
        <f t="shared" si="70"/>
        <v>92179.5</v>
      </c>
      <c r="R1116">
        <f t="shared" si="71"/>
        <v>2023</v>
      </c>
    </row>
    <row r="1117" spans="1:18" x14ac:dyDescent="0.2">
      <c r="A1117" s="13">
        <v>45366</v>
      </c>
      <c r="B1117" s="13">
        <v>45366</v>
      </c>
      <c r="C1117" s="25" t="s">
        <v>398</v>
      </c>
      <c r="D1117" s="20">
        <v>0</v>
      </c>
      <c r="E1117" s="28">
        <v>39505.5</v>
      </c>
      <c r="F1117" s="22" t="s">
        <v>66</v>
      </c>
      <c r="G1117" s="14">
        <v>90</v>
      </c>
      <c r="H1117" s="40">
        <v>44985</v>
      </c>
      <c r="I1117" s="46">
        <f t="shared" si="68"/>
        <v>381</v>
      </c>
      <c r="J1117" s="1" t="s">
        <v>15</v>
      </c>
      <c r="K1117" s="4" t="s">
        <v>200</v>
      </c>
      <c r="L1117" s="4" t="s">
        <v>225</v>
      </c>
      <c r="M1117" s="8">
        <v>90</v>
      </c>
      <c r="N1117" s="5">
        <v>438.95</v>
      </c>
      <c r="O1117" s="5">
        <v>39505.5</v>
      </c>
      <c r="P1117">
        <f t="shared" si="69"/>
        <v>1</v>
      </c>
      <c r="Q1117" s="36">
        <f t="shared" si="70"/>
        <v>39505.5</v>
      </c>
      <c r="R1117">
        <f t="shared" si="71"/>
        <v>2023</v>
      </c>
    </row>
    <row r="1118" spans="1:18" x14ac:dyDescent="0.2">
      <c r="A1118" s="13">
        <v>45195</v>
      </c>
      <c r="B1118" s="13">
        <v>45195</v>
      </c>
      <c r="C1118" s="25" t="s">
        <v>398</v>
      </c>
      <c r="D1118" s="20">
        <v>0</v>
      </c>
      <c r="E1118" s="28">
        <v>9991.68</v>
      </c>
      <c r="F1118" s="22" t="s">
        <v>115</v>
      </c>
      <c r="G1118" s="14">
        <v>48</v>
      </c>
      <c r="H1118" s="40">
        <v>45180</v>
      </c>
      <c r="I1118" s="46">
        <f t="shared" si="68"/>
        <v>15</v>
      </c>
      <c r="J1118" s="1" t="s">
        <v>15</v>
      </c>
      <c r="K1118" s="4" t="s">
        <v>200</v>
      </c>
      <c r="L1118" s="4" t="s">
        <v>225</v>
      </c>
      <c r="M1118" s="8">
        <v>48</v>
      </c>
      <c r="N1118" s="5">
        <v>208.16</v>
      </c>
      <c r="O1118" s="5">
        <v>9991.68</v>
      </c>
      <c r="P1118">
        <f t="shared" si="69"/>
        <v>1</v>
      </c>
      <c r="Q1118" s="36">
        <f t="shared" si="70"/>
        <v>9991.68</v>
      </c>
      <c r="R1118">
        <f t="shared" si="71"/>
        <v>2023</v>
      </c>
    </row>
    <row r="1119" spans="1:18" x14ac:dyDescent="0.2">
      <c r="A1119" s="13">
        <v>45264</v>
      </c>
      <c r="B1119" s="13">
        <v>45167</v>
      </c>
      <c r="C1119" s="25" t="s">
        <v>399</v>
      </c>
      <c r="D1119" s="20">
        <v>97</v>
      </c>
      <c r="E1119" s="28">
        <v>2535.1799999999998</v>
      </c>
      <c r="F1119" s="22" t="s">
        <v>139</v>
      </c>
      <c r="G1119" s="14">
        <v>29</v>
      </c>
      <c r="H1119" s="40">
        <v>44618</v>
      </c>
      <c r="I1119" s="46">
        <f t="shared" si="68"/>
        <v>646</v>
      </c>
      <c r="J1119" s="1" t="s">
        <v>15</v>
      </c>
      <c r="K1119" s="4" t="s">
        <v>199</v>
      </c>
      <c r="L1119" s="4" t="s">
        <v>225</v>
      </c>
      <c r="M1119" s="8">
        <v>308</v>
      </c>
      <c r="N1119" s="5">
        <v>87.42</v>
      </c>
      <c r="O1119" s="5">
        <v>26925.360000000001</v>
      </c>
      <c r="P1119">
        <f t="shared" si="69"/>
        <v>0</v>
      </c>
      <c r="Q1119" s="36">
        <f t="shared" si="70"/>
        <v>2535.1799999999998</v>
      </c>
      <c r="R1119">
        <f t="shared" si="71"/>
        <v>2022</v>
      </c>
    </row>
    <row r="1120" spans="1:18" x14ac:dyDescent="0.2">
      <c r="A1120" s="13">
        <v>45264</v>
      </c>
      <c r="B1120" s="13">
        <v>45258</v>
      </c>
      <c r="C1120" s="25" t="s">
        <v>399</v>
      </c>
      <c r="D1120" s="20">
        <v>6</v>
      </c>
      <c r="E1120" s="28">
        <v>24390.18</v>
      </c>
      <c r="F1120" s="22" t="s">
        <v>139</v>
      </c>
      <c r="G1120" s="14">
        <v>279</v>
      </c>
      <c r="H1120" s="40">
        <v>44678</v>
      </c>
      <c r="I1120" s="46">
        <f t="shared" si="68"/>
        <v>586</v>
      </c>
      <c r="J1120" s="1" t="s">
        <v>15</v>
      </c>
      <c r="K1120" s="4" t="s">
        <v>200</v>
      </c>
      <c r="L1120" s="4" t="s">
        <v>225</v>
      </c>
      <c r="M1120" s="8">
        <v>308</v>
      </c>
      <c r="N1120" s="5">
        <v>87.42</v>
      </c>
      <c r="O1120" s="5">
        <v>26925.360000000001</v>
      </c>
      <c r="P1120">
        <f t="shared" si="69"/>
        <v>0</v>
      </c>
      <c r="Q1120" s="36">
        <f t="shared" si="70"/>
        <v>24390.18</v>
      </c>
      <c r="R1120">
        <f t="shared" si="71"/>
        <v>2022</v>
      </c>
    </row>
    <row r="1121" spans="1:18" x14ac:dyDescent="0.2">
      <c r="A1121" s="13">
        <v>45267</v>
      </c>
      <c r="B1121" s="13">
        <v>45258</v>
      </c>
      <c r="C1121" s="25" t="s">
        <v>399</v>
      </c>
      <c r="D1121" s="20">
        <v>9</v>
      </c>
      <c r="E1121" s="28">
        <v>2535.1799999999998</v>
      </c>
      <c r="F1121" s="22" t="s">
        <v>139</v>
      </c>
      <c r="G1121" s="14">
        <v>29</v>
      </c>
      <c r="H1121" s="40">
        <v>44678</v>
      </c>
      <c r="I1121" s="46">
        <f t="shared" si="68"/>
        <v>589</v>
      </c>
      <c r="J1121" s="1" t="s">
        <v>15</v>
      </c>
      <c r="K1121" s="4" t="s">
        <v>200</v>
      </c>
      <c r="L1121" s="4" t="s">
        <v>225</v>
      </c>
      <c r="M1121" s="8">
        <v>308</v>
      </c>
      <c r="N1121" s="5">
        <v>87.42</v>
      </c>
      <c r="O1121" s="5">
        <v>26925.360000000001</v>
      </c>
      <c r="P1121">
        <f t="shared" si="69"/>
        <v>0</v>
      </c>
      <c r="Q1121" s="36">
        <f t="shared" si="70"/>
        <v>2535.1799999999998</v>
      </c>
      <c r="R1121">
        <f t="shared" si="71"/>
        <v>2022</v>
      </c>
    </row>
    <row r="1122" spans="1:18" x14ac:dyDescent="0.2">
      <c r="A1122" s="13">
        <v>45197</v>
      </c>
      <c r="B1122" s="13">
        <v>45043</v>
      </c>
      <c r="C1122" s="25" t="s">
        <v>399</v>
      </c>
      <c r="D1122" s="20">
        <v>154</v>
      </c>
      <c r="E1122" s="28">
        <v>13221.6</v>
      </c>
      <c r="F1122" s="22" t="s">
        <v>140</v>
      </c>
      <c r="G1122" s="14">
        <v>840</v>
      </c>
      <c r="H1122" s="40">
        <v>44680</v>
      </c>
      <c r="I1122" s="46">
        <f t="shared" si="68"/>
        <v>517</v>
      </c>
      <c r="J1122" s="1" t="s">
        <v>15</v>
      </c>
      <c r="K1122" s="4" t="s">
        <v>200</v>
      </c>
      <c r="L1122" s="4" t="s">
        <v>225</v>
      </c>
      <c r="M1122" s="8">
        <v>840</v>
      </c>
      <c r="N1122" s="5">
        <v>15.74</v>
      </c>
      <c r="O1122" s="5">
        <v>13221.6</v>
      </c>
      <c r="P1122">
        <f t="shared" si="69"/>
        <v>1</v>
      </c>
      <c r="Q1122" s="36">
        <f t="shared" si="70"/>
        <v>13221.6</v>
      </c>
      <c r="R1122">
        <f t="shared" si="71"/>
        <v>2022</v>
      </c>
    </row>
    <row r="1123" spans="1:18" x14ac:dyDescent="0.2">
      <c r="A1123" s="13">
        <v>45321</v>
      </c>
      <c r="B1123" s="13">
        <v>45321</v>
      </c>
      <c r="C1123" s="25" t="s">
        <v>398</v>
      </c>
      <c r="D1123" s="20">
        <v>0</v>
      </c>
      <c r="E1123" s="28">
        <v>13221.6</v>
      </c>
      <c r="F1123" s="22" t="s">
        <v>140</v>
      </c>
      <c r="G1123" s="14">
        <v>840</v>
      </c>
      <c r="H1123" s="40">
        <v>44896</v>
      </c>
      <c r="I1123" s="46">
        <f t="shared" si="68"/>
        <v>425</v>
      </c>
      <c r="J1123" s="1" t="s">
        <v>15</v>
      </c>
      <c r="K1123" s="4" t="s">
        <v>199</v>
      </c>
      <c r="L1123" s="4" t="s">
        <v>225</v>
      </c>
      <c r="M1123" s="8">
        <v>840</v>
      </c>
      <c r="N1123" s="5">
        <v>15.74</v>
      </c>
      <c r="O1123" s="5">
        <v>13221.6</v>
      </c>
      <c r="P1123">
        <f t="shared" si="69"/>
        <v>1</v>
      </c>
      <c r="Q1123" s="36">
        <f t="shared" si="70"/>
        <v>13221.6</v>
      </c>
      <c r="R1123">
        <f t="shared" si="71"/>
        <v>2022</v>
      </c>
    </row>
    <row r="1124" spans="1:18" x14ac:dyDescent="0.2">
      <c r="A1124" s="13">
        <v>45370</v>
      </c>
      <c r="B1124" s="13">
        <v>45370</v>
      </c>
      <c r="C1124" s="25" t="s">
        <v>398</v>
      </c>
      <c r="D1124" s="20">
        <v>0</v>
      </c>
      <c r="E1124" s="28">
        <v>13221.6</v>
      </c>
      <c r="F1124" s="22" t="s">
        <v>140</v>
      </c>
      <c r="G1124" s="14">
        <v>840</v>
      </c>
      <c r="H1124" s="40">
        <v>44896</v>
      </c>
      <c r="I1124" s="46">
        <f t="shared" si="68"/>
        <v>474</v>
      </c>
      <c r="J1124" s="1" t="s">
        <v>15</v>
      </c>
      <c r="K1124" s="4" t="s">
        <v>199</v>
      </c>
      <c r="L1124" s="4" t="s">
        <v>225</v>
      </c>
      <c r="M1124" s="8">
        <v>840</v>
      </c>
      <c r="N1124" s="5">
        <v>15.74</v>
      </c>
      <c r="O1124" s="5">
        <v>13221.6</v>
      </c>
      <c r="P1124">
        <f t="shared" si="69"/>
        <v>1</v>
      </c>
      <c r="Q1124" s="36">
        <f t="shared" si="70"/>
        <v>13221.6</v>
      </c>
      <c r="R1124">
        <f t="shared" si="71"/>
        <v>2022</v>
      </c>
    </row>
    <row r="1125" spans="1:18" x14ac:dyDescent="0.2">
      <c r="A1125" s="13">
        <v>45412</v>
      </c>
      <c r="B1125" s="13">
        <v>45406</v>
      </c>
      <c r="C1125" s="25" t="s">
        <v>399</v>
      </c>
      <c r="D1125" s="20">
        <v>6</v>
      </c>
      <c r="E1125" s="28">
        <v>13221.6</v>
      </c>
      <c r="F1125" s="22" t="s">
        <v>140</v>
      </c>
      <c r="G1125" s="14">
        <v>840</v>
      </c>
      <c r="H1125" s="40">
        <v>44901</v>
      </c>
      <c r="I1125" s="46">
        <f t="shared" si="68"/>
        <v>511</v>
      </c>
      <c r="J1125" s="1" t="s">
        <v>15</v>
      </c>
      <c r="K1125" s="4" t="s">
        <v>200</v>
      </c>
      <c r="L1125" s="4" t="s">
        <v>225</v>
      </c>
      <c r="M1125" s="8">
        <v>840</v>
      </c>
      <c r="N1125" s="5">
        <v>15.74</v>
      </c>
      <c r="O1125" s="5">
        <v>13221.6</v>
      </c>
      <c r="P1125">
        <f t="shared" si="69"/>
        <v>1</v>
      </c>
      <c r="Q1125" s="36">
        <f t="shared" si="70"/>
        <v>13221.6</v>
      </c>
      <c r="R1125">
        <f t="shared" si="71"/>
        <v>2022</v>
      </c>
    </row>
    <row r="1126" spans="1:18" x14ac:dyDescent="0.2">
      <c r="A1126" s="13">
        <v>45440</v>
      </c>
      <c r="B1126" s="13">
        <v>45440</v>
      </c>
      <c r="C1126" s="25" t="s">
        <v>398</v>
      </c>
      <c r="D1126" s="20">
        <v>0</v>
      </c>
      <c r="E1126" s="28">
        <v>6610.8</v>
      </c>
      <c r="F1126" s="22" t="s">
        <v>140</v>
      </c>
      <c r="G1126" s="14">
        <v>420</v>
      </c>
      <c r="H1126" s="40">
        <v>44939</v>
      </c>
      <c r="I1126" s="46">
        <f t="shared" si="68"/>
        <v>501</v>
      </c>
      <c r="J1126" s="1" t="s">
        <v>15</v>
      </c>
      <c r="K1126" s="4" t="s">
        <v>199</v>
      </c>
      <c r="L1126" s="4" t="s">
        <v>225</v>
      </c>
      <c r="M1126" s="8">
        <v>420</v>
      </c>
      <c r="N1126" s="5">
        <v>15.74</v>
      </c>
      <c r="O1126" s="5">
        <v>6610.8</v>
      </c>
      <c r="P1126">
        <f t="shared" si="69"/>
        <v>1</v>
      </c>
      <c r="Q1126" s="36">
        <f t="shared" si="70"/>
        <v>6610.8</v>
      </c>
      <c r="R1126">
        <f t="shared" si="71"/>
        <v>2023</v>
      </c>
    </row>
    <row r="1127" spans="1:18" x14ac:dyDescent="0.2">
      <c r="A1127" s="13">
        <v>45482</v>
      </c>
      <c r="B1127" s="13">
        <v>45482</v>
      </c>
      <c r="C1127" s="25" t="s">
        <v>398</v>
      </c>
      <c r="D1127" s="20">
        <v>0</v>
      </c>
      <c r="E1127" s="28">
        <v>13221.6</v>
      </c>
      <c r="F1127" s="22" t="s">
        <v>140</v>
      </c>
      <c r="G1127" s="14">
        <v>840</v>
      </c>
      <c r="H1127" s="40">
        <v>44988</v>
      </c>
      <c r="I1127" s="46">
        <f t="shared" si="68"/>
        <v>494</v>
      </c>
      <c r="J1127" s="1" t="s">
        <v>15</v>
      </c>
      <c r="K1127" s="4" t="s">
        <v>199</v>
      </c>
      <c r="L1127" s="4" t="s">
        <v>225</v>
      </c>
      <c r="M1127" s="8">
        <v>840</v>
      </c>
      <c r="N1127" s="5">
        <v>15.74</v>
      </c>
      <c r="O1127" s="5">
        <v>13221.6</v>
      </c>
      <c r="P1127">
        <f t="shared" si="69"/>
        <v>1</v>
      </c>
      <c r="Q1127" s="36">
        <f t="shared" si="70"/>
        <v>13221.6</v>
      </c>
      <c r="R1127">
        <f t="shared" si="71"/>
        <v>2023</v>
      </c>
    </row>
    <row r="1128" spans="1:18" x14ac:dyDescent="0.2">
      <c r="A1128" s="13">
        <v>45208</v>
      </c>
      <c r="B1128" s="13">
        <v>45146</v>
      </c>
      <c r="C1128" s="25" t="s">
        <v>399</v>
      </c>
      <c r="D1128" s="20">
        <v>62</v>
      </c>
      <c r="E1128" s="28">
        <v>4568.2</v>
      </c>
      <c r="F1128" s="22" t="s">
        <v>68</v>
      </c>
      <c r="G1128" s="14">
        <v>1820</v>
      </c>
      <c r="H1128" s="40">
        <v>44740</v>
      </c>
      <c r="I1128" s="46">
        <f t="shared" si="68"/>
        <v>468</v>
      </c>
      <c r="J1128" s="1" t="s">
        <v>15</v>
      </c>
      <c r="K1128" s="4" t="s">
        <v>199</v>
      </c>
      <c r="L1128" s="4" t="s">
        <v>225</v>
      </c>
      <c r="M1128" s="8">
        <v>1820</v>
      </c>
      <c r="N1128" s="5">
        <v>2.5099999999999998</v>
      </c>
      <c r="O1128" s="5">
        <v>4568.2</v>
      </c>
      <c r="P1128">
        <f t="shared" si="69"/>
        <v>1</v>
      </c>
      <c r="Q1128" s="36">
        <f t="shared" si="70"/>
        <v>4568.2</v>
      </c>
      <c r="R1128">
        <f t="shared" si="71"/>
        <v>2022</v>
      </c>
    </row>
    <row r="1129" spans="1:18" x14ac:dyDescent="0.2">
      <c r="A1129" s="13">
        <v>45209</v>
      </c>
      <c r="B1129" s="13">
        <v>45209</v>
      </c>
      <c r="C1129" s="25" t="s">
        <v>398</v>
      </c>
      <c r="D1129" s="20">
        <v>0</v>
      </c>
      <c r="E1129" s="28">
        <v>4568.2</v>
      </c>
      <c r="F1129" s="22" t="s">
        <v>68</v>
      </c>
      <c r="G1129" s="14">
        <v>1820</v>
      </c>
      <c r="H1129" s="40">
        <v>44805</v>
      </c>
      <c r="I1129" s="46">
        <f t="shared" si="68"/>
        <v>404</v>
      </c>
      <c r="J1129" s="1" t="s">
        <v>15</v>
      </c>
      <c r="K1129" s="4" t="s">
        <v>199</v>
      </c>
      <c r="L1129" s="4" t="s">
        <v>225</v>
      </c>
      <c r="M1129" s="8">
        <v>7280</v>
      </c>
      <c r="N1129" s="5">
        <v>2.5099999999999998</v>
      </c>
      <c r="O1129" s="5">
        <v>18272.8</v>
      </c>
      <c r="P1129">
        <f t="shared" si="69"/>
        <v>0</v>
      </c>
      <c r="Q1129" s="36">
        <f t="shared" si="70"/>
        <v>4568.2</v>
      </c>
      <c r="R1129">
        <f t="shared" si="71"/>
        <v>2022</v>
      </c>
    </row>
    <row r="1130" spans="1:18" x14ac:dyDescent="0.2">
      <c r="A1130" s="13">
        <v>45211</v>
      </c>
      <c r="B1130" s="13">
        <v>45209</v>
      </c>
      <c r="C1130" s="25" t="s">
        <v>399</v>
      </c>
      <c r="D1130" s="20">
        <v>2</v>
      </c>
      <c r="E1130" s="28">
        <v>13704.6</v>
      </c>
      <c r="F1130" s="22" t="s">
        <v>68</v>
      </c>
      <c r="G1130" s="14">
        <v>5460</v>
      </c>
      <c r="H1130" s="40">
        <v>44805</v>
      </c>
      <c r="I1130" s="46">
        <f t="shared" si="68"/>
        <v>406</v>
      </c>
      <c r="J1130" s="1" t="s">
        <v>15</v>
      </c>
      <c r="K1130" s="4" t="s">
        <v>199</v>
      </c>
      <c r="L1130" s="4" t="s">
        <v>225</v>
      </c>
      <c r="M1130" s="8">
        <v>7280</v>
      </c>
      <c r="N1130" s="5">
        <v>2.5099999999999998</v>
      </c>
      <c r="O1130" s="5">
        <v>18272.8</v>
      </c>
      <c r="P1130">
        <f t="shared" si="69"/>
        <v>0</v>
      </c>
      <c r="Q1130" s="36">
        <f t="shared" si="70"/>
        <v>13704.599999999999</v>
      </c>
      <c r="R1130">
        <f t="shared" si="71"/>
        <v>2022</v>
      </c>
    </row>
    <row r="1131" spans="1:18" x14ac:dyDescent="0.2">
      <c r="A1131" s="13">
        <v>45345</v>
      </c>
      <c r="B1131" s="13">
        <v>45230</v>
      </c>
      <c r="C1131" s="25" t="s">
        <v>399</v>
      </c>
      <c r="D1131" s="20">
        <v>115</v>
      </c>
      <c r="E1131" s="28">
        <v>333925.2</v>
      </c>
      <c r="F1131" s="22" t="s">
        <v>71</v>
      </c>
      <c r="G1131" s="14">
        <v>3528</v>
      </c>
      <c r="H1131" s="40">
        <v>44701</v>
      </c>
      <c r="I1131" s="46">
        <f t="shared" si="68"/>
        <v>644</v>
      </c>
      <c r="J1131" s="1" t="s">
        <v>15</v>
      </c>
      <c r="K1131" s="4" t="s">
        <v>200</v>
      </c>
      <c r="L1131" s="4" t="s">
        <v>225</v>
      </c>
      <c r="M1131" s="8">
        <v>3528</v>
      </c>
      <c r="N1131" s="5">
        <v>94.65</v>
      </c>
      <c r="O1131" s="5">
        <v>333925.2</v>
      </c>
      <c r="P1131">
        <f t="shared" si="69"/>
        <v>1</v>
      </c>
      <c r="Q1131" s="36">
        <f t="shared" si="70"/>
        <v>333925.2</v>
      </c>
      <c r="R1131">
        <f t="shared" si="71"/>
        <v>2022</v>
      </c>
    </row>
    <row r="1132" spans="1:18" x14ac:dyDescent="0.2">
      <c r="A1132" s="13">
        <v>45770</v>
      </c>
      <c r="B1132" s="13">
        <v>45139</v>
      </c>
      <c r="C1132" s="25" t="s">
        <v>399</v>
      </c>
      <c r="D1132" s="20">
        <v>631</v>
      </c>
      <c r="E1132" s="28">
        <v>87198.3</v>
      </c>
      <c r="F1132" s="22" t="s">
        <v>72</v>
      </c>
      <c r="G1132" s="14">
        <v>210</v>
      </c>
      <c r="H1132" s="40">
        <v>44735</v>
      </c>
      <c r="I1132" s="46">
        <f t="shared" si="68"/>
        <v>1035</v>
      </c>
      <c r="J1132" s="1" t="s">
        <v>15</v>
      </c>
      <c r="K1132" s="4" t="s">
        <v>200</v>
      </c>
      <c r="L1132" s="4" t="s">
        <v>225</v>
      </c>
      <c r="M1132" s="8">
        <v>210</v>
      </c>
      <c r="N1132" s="5">
        <v>415.23</v>
      </c>
      <c r="O1132" s="5">
        <v>87198.3</v>
      </c>
      <c r="P1132">
        <f t="shared" si="69"/>
        <v>1</v>
      </c>
      <c r="Q1132" s="36">
        <f t="shared" si="70"/>
        <v>87198.3</v>
      </c>
      <c r="R1132">
        <f t="shared" si="71"/>
        <v>2022</v>
      </c>
    </row>
    <row r="1133" spans="1:18" x14ac:dyDescent="0.2">
      <c r="A1133" s="13">
        <v>45209</v>
      </c>
      <c r="B1133" s="13">
        <v>45209</v>
      </c>
      <c r="C1133" s="25" t="s">
        <v>398</v>
      </c>
      <c r="D1133" s="20">
        <v>0</v>
      </c>
      <c r="E1133" s="28">
        <v>29066.1</v>
      </c>
      <c r="F1133" s="22" t="s">
        <v>72</v>
      </c>
      <c r="G1133" s="14">
        <v>70</v>
      </c>
      <c r="H1133" s="40">
        <v>44805</v>
      </c>
      <c r="I1133" s="46">
        <f t="shared" si="68"/>
        <v>404</v>
      </c>
      <c r="J1133" s="1" t="s">
        <v>15</v>
      </c>
      <c r="K1133" s="4" t="s">
        <v>199</v>
      </c>
      <c r="L1133" s="4" t="s">
        <v>225</v>
      </c>
      <c r="M1133" s="8">
        <v>70</v>
      </c>
      <c r="N1133" s="5">
        <v>415.23</v>
      </c>
      <c r="O1133" s="5">
        <v>29066.1</v>
      </c>
      <c r="P1133">
        <f t="shared" si="69"/>
        <v>1</v>
      </c>
      <c r="Q1133" s="36">
        <f t="shared" si="70"/>
        <v>29066.100000000002</v>
      </c>
      <c r="R1133">
        <f t="shared" si="71"/>
        <v>2022</v>
      </c>
    </row>
    <row r="1134" spans="1:18" x14ac:dyDescent="0.2">
      <c r="A1134" s="13">
        <v>45209</v>
      </c>
      <c r="B1134" s="13">
        <v>45209</v>
      </c>
      <c r="C1134" s="25" t="s">
        <v>398</v>
      </c>
      <c r="D1134" s="20">
        <v>0</v>
      </c>
      <c r="E1134" s="28">
        <v>29066.1</v>
      </c>
      <c r="F1134" s="22" t="s">
        <v>72</v>
      </c>
      <c r="G1134" s="14">
        <v>70</v>
      </c>
      <c r="H1134" s="40">
        <v>44805</v>
      </c>
      <c r="I1134" s="46">
        <f t="shared" si="68"/>
        <v>404</v>
      </c>
      <c r="J1134" s="1" t="s">
        <v>15</v>
      </c>
      <c r="K1134" s="4" t="s">
        <v>199</v>
      </c>
      <c r="L1134" s="4" t="s">
        <v>225</v>
      </c>
      <c r="M1134" s="8">
        <v>70</v>
      </c>
      <c r="N1134" s="5">
        <v>415.23</v>
      </c>
      <c r="O1134" s="5">
        <v>29066.1</v>
      </c>
      <c r="P1134">
        <f t="shared" si="69"/>
        <v>1</v>
      </c>
      <c r="Q1134" s="36">
        <f t="shared" si="70"/>
        <v>29066.100000000002</v>
      </c>
      <c r="R1134">
        <f t="shared" si="71"/>
        <v>2022</v>
      </c>
    </row>
    <row r="1135" spans="1:18" x14ac:dyDescent="0.2">
      <c r="A1135" s="13">
        <v>45216</v>
      </c>
      <c r="B1135" s="13">
        <v>45216</v>
      </c>
      <c r="C1135" s="25" t="s">
        <v>398</v>
      </c>
      <c r="D1135" s="20">
        <v>0</v>
      </c>
      <c r="E1135" s="28">
        <v>29066.1</v>
      </c>
      <c r="F1135" s="22" t="s">
        <v>72</v>
      </c>
      <c r="G1135" s="14">
        <v>70</v>
      </c>
      <c r="H1135" s="40">
        <v>44811</v>
      </c>
      <c r="I1135" s="46">
        <f t="shared" si="68"/>
        <v>405</v>
      </c>
      <c r="J1135" s="1" t="s">
        <v>15</v>
      </c>
      <c r="K1135" s="4" t="s">
        <v>199</v>
      </c>
      <c r="L1135" s="4" t="s">
        <v>225</v>
      </c>
      <c r="M1135" s="8">
        <v>70</v>
      </c>
      <c r="N1135" s="5">
        <v>415.23</v>
      </c>
      <c r="O1135" s="5">
        <v>29066.1</v>
      </c>
      <c r="P1135">
        <f t="shared" si="69"/>
        <v>1</v>
      </c>
      <c r="Q1135" s="36">
        <f t="shared" si="70"/>
        <v>29066.100000000002</v>
      </c>
      <c r="R1135">
        <f t="shared" si="71"/>
        <v>2022</v>
      </c>
    </row>
    <row r="1136" spans="1:18" x14ac:dyDescent="0.2">
      <c r="A1136" s="13">
        <v>45216</v>
      </c>
      <c r="B1136" s="13">
        <v>45216</v>
      </c>
      <c r="C1136" s="25" t="s">
        <v>398</v>
      </c>
      <c r="D1136" s="20">
        <v>0</v>
      </c>
      <c r="E1136" s="28">
        <v>29066.1</v>
      </c>
      <c r="F1136" s="22" t="s">
        <v>72</v>
      </c>
      <c r="G1136" s="14">
        <v>70</v>
      </c>
      <c r="H1136" s="40">
        <v>44811</v>
      </c>
      <c r="I1136" s="46">
        <f t="shared" si="68"/>
        <v>405</v>
      </c>
      <c r="J1136" s="1" t="s">
        <v>15</v>
      </c>
      <c r="K1136" s="4" t="s">
        <v>199</v>
      </c>
      <c r="L1136" s="4" t="s">
        <v>225</v>
      </c>
      <c r="M1136" s="8">
        <v>70</v>
      </c>
      <c r="N1136" s="5">
        <v>415.23</v>
      </c>
      <c r="O1136" s="5">
        <v>29066.1</v>
      </c>
      <c r="P1136">
        <f t="shared" si="69"/>
        <v>1</v>
      </c>
      <c r="Q1136" s="36">
        <f t="shared" si="70"/>
        <v>29066.100000000002</v>
      </c>
      <c r="R1136">
        <f t="shared" si="71"/>
        <v>2022</v>
      </c>
    </row>
    <row r="1137" spans="1:18" x14ac:dyDescent="0.2">
      <c r="A1137" s="13">
        <v>45216</v>
      </c>
      <c r="B1137" s="13">
        <v>45216</v>
      </c>
      <c r="C1137" s="25" t="s">
        <v>398</v>
      </c>
      <c r="D1137" s="20">
        <v>0</v>
      </c>
      <c r="E1137" s="28">
        <v>29066.1</v>
      </c>
      <c r="F1137" s="22" t="s">
        <v>72</v>
      </c>
      <c r="G1137" s="14">
        <v>70</v>
      </c>
      <c r="H1137" s="40">
        <v>44811</v>
      </c>
      <c r="I1137" s="46">
        <f t="shared" si="68"/>
        <v>405</v>
      </c>
      <c r="J1137" s="1" t="s">
        <v>15</v>
      </c>
      <c r="K1137" s="4" t="s">
        <v>199</v>
      </c>
      <c r="L1137" s="4" t="s">
        <v>225</v>
      </c>
      <c r="M1137" s="8">
        <v>70</v>
      </c>
      <c r="N1137" s="5">
        <v>415.23</v>
      </c>
      <c r="O1137" s="5">
        <v>29066.1</v>
      </c>
      <c r="P1137">
        <f t="shared" si="69"/>
        <v>1</v>
      </c>
      <c r="Q1137" s="36">
        <f t="shared" si="70"/>
        <v>29066.100000000002</v>
      </c>
      <c r="R1137">
        <f t="shared" si="71"/>
        <v>2022</v>
      </c>
    </row>
    <row r="1138" spans="1:18" x14ac:dyDescent="0.2">
      <c r="A1138" s="13">
        <v>45216</v>
      </c>
      <c r="B1138" s="13">
        <v>45216</v>
      </c>
      <c r="C1138" s="25" t="s">
        <v>398</v>
      </c>
      <c r="D1138" s="20">
        <v>0</v>
      </c>
      <c r="E1138" s="28">
        <v>29066.1</v>
      </c>
      <c r="F1138" s="22" t="s">
        <v>72</v>
      </c>
      <c r="G1138" s="14">
        <v>70</v>
      </c>
      <c r="H1138" s="40">
        <v>44811</v>
      </c>
      <c r="I1138" s="46">
        <f t="shared" si="68"/>
        <v>405</v>
      </c>
      <c r="J1138" s="1" t="s">
        <v>15</v>
      </c>
      <c r="K1138" s="4" t="s">
        <v>199</v>
      </c>
      <c r="L1138" s="4" t="s">
        <v>225</v>
      </c>
      <c r="M1138" s="8">
        <v>70</v>
      </c>
      <c r="N1138" s="5">
        <v>415.23</v>
      </c>
      <c r="O1138" s="5">
        <v>29066.1</v>
      </c>
      <c r="P1138">
        <f t="shared" si="69"/>
        <v>1</v>
      </c>
      <c r="Q1138" s="36">
        <f t="shared" si="70"/>
        <v>29066.100000000002</v>
      </c>
      <c r="R1138">
        <f t="shared" si="71"/>
        <v>2022</v>
      </c>
    </row>
    <row r="1139" spans="1:18" x14ac:dyDescent="0.2">
      <c r="A1139" s="13">
        <v>45223</v>
      </c>
      <c r="B1139" s="13">
        <v>45223</v>
      </c>
      <c r="C1139" s="25" t="s">
        <v>398</v>
      </c>
      <c r="D1139" s="20">
        <v>0</v>
      </c>
      <c r="E1139" s="28">
        <v>29066.1</v>
      </c>
      <c r="F1139" s="22" t="s">
        <v>72</v>
      </c>
      <c r="G1139" s="14">
        <v>70</v>
      </c>
      <c r="H1139" s="40">
        <v>44818</v>
      </c>
      <c r="I1139" s="46">
        <f t="shared" si="68"/>
        <v>405</v>
      </c>
      <c r="J1139" s="1" t="s">
        <v>15</v>
      </c>
      <c r="K1139" s="4" t="s">
        <v>199</v>
      </c>
      <c r="L1139" s="4" t="s">
        <v>225</v>
      </c>
      <c r="M1139" s="8">
        <v>70</v>
      </c>
      <c r="N1139" s="5">
        <v>415.23</v>
      </c>
      <c r="O1139" s="5">
        <v>29066.1</v>
      </c>
      <c r="P1139">
        <f t="shared" si="69"/>
        <v>1</v>
      </c>
      <c r="Q1139" s="36">
        <f t="shared" si="70"/>
        <v>29066.100000000002</v>
      </c>
      <c r="R1139">
        <f t="shared" si="71"/>
        <v>2022</v>
      </c>
    </row>
    <row r="1140" spans="1:18" x14ac:dyDescent="0.2">
      <c r="A1140" s="13">
        <v>45223</v>
      </c>
      <c r="B1140" s="13">
        <v>45223</v>
      </c>
      <c r="C1140" s="25" t="s">
        <v>398</v>
      </c>
      <c r="D1140" s="20">
        <v>0</v>
      </c>
      <c r="E1140" s="28">
        <v>29066.1</v>
      </c>
      <c r="F1140" s="22" t="s">
        <v>72</v>
      </c>
      <c r="G1140" s="14">
        <v>70</v>
      </c>
      <c r="H1140" s="40">
        <v>44818</v>
      </c>
      <c r="I1140" s="46">
        <f t="shared" si="68"/>
        <v>405</v>
      </c>
      <c r="J1140" s="1" t="s">
        <v>15</v>
      </c>
      <c r="K1140" s="4" t="s">
        <v>199</v>
      </c>
      <c r="L1140" s="4" t="s">
        <v>225</v>
      </c>
      <c r="M1140" s="8">
        <v>70</v>
      </c>
      <c r="N1140" s="5">
        <v>415.23</v>
      </c>
      <c r="O1140" s="5">
        <v>29066.1</v>
      </c>
      <c r="P1140">
        <f t="shared" si="69"/>
        <v>1</v>
      </c>
      <c r="Q1140" s="36">
        <f t="shared" si="70"/>
        <v>29066.100000000002</v>
      </c>
      <c r="R1140">
        <f t="shared" si="71"/>
        <v>2022</v>
      </c>
    </row>
    <row r="1141" spans="1:18" x14ac:dyDescent="0.2">
      <c r="A1141" s="13">
        <v>45223</v>
      </c>
      <c r="B1141" s="13">
        <v>45223</v>
      </c>
      <c r="C1141" s="25" t="s">
        <v>398</v>
      </c>
      <c r="D1141" s="20">
        <v>0</v>
      </c>
      <c r="E1141" s="28">
        <v>29066.1</v>
      </c>
      <c r="F1141" s="22" t="s">
        <v>72</v>
      </c>
      <c r="G1141" s="14">
        <v>70</v>
      </c>
      <c r="H1141" s="40">
        <v>44818</v>
      </c>
      <c r="I1141" s="46">
        <f t="shared" si="68"/>
        <v>405</v>
      </c>
      <c r="J1141" s="1" t="s">
        <v>15</v>
      </c>
      <c r="K1141" s="4" t="s">
        <v>199</v>
      </c>
      <c r="L1141" s="4" t="s">
        <v>225</v>
      </c>
      <c r="M1141" s="8">
        <v>70</v>
      </c>
      <c r="N1141" s="5">
        <v>415.23</v>
      </c>
      <c r="O1141" s="5">
        <v>29066.1</v>
      </c>
      <c r="P1141">
        <f t="shared" si="69"/>
        <v>1</v>
      </c>
      <c r="Q1141" s="36">
        <f t="shared" si="70"/>
        <v>29066.100000000002</v>
      </c>
      <c r="R1141">
        <f t="shared" si="71"/>
        <v>2022</v>
      </c>
    </row>
    <row r="1142" spans="1:18" x14ac:dyDescent="0.2">
      <c r="A1142" s="13">
        <v>45223</v>
      </c>
      <c r="B1142" s="13">
        <v>45223</v>
      </c>
      <c r="C1142" s="25" t="s">
        <v>398</v>
      </c>
      <c r="D1142" s="20">
        <v>0</v>
      </c>
      <c r="E1142" s="28">
        <v>29066.1</v>
      </c>
      <c r="F1142" s="22" t="s">
        <v>72</v>
      </c>
      <c r="G1142" s="14">
        <v>70</v>
      </c>
      <c r="H1142" s="40">
        <v>44818</v>
      </c>
      <c r="I1142" s="46">
        <f t="shared" si="68"/>
        <v>405</v>
      </c>
      <c r="J1142" s="1" t="s">
        <v>15</v>
      </c>
      <c r="K1142" s="4" t="s">
        <v>199</v>
      </c>
      <c r="L1142" s="4" t="s">
        <v>225</v>
      </c>
      <c r="M1142" s="8">
        <v>70</v>
      </c>
      <c r="N1142" s="5">
        <v>415.23</v>
      </c>
      <c r="O1142" s="5">
        <v>29066.1</v>
      </c>
      <c r="P1142">
        <f t="shared" si="69"/>
        <v>1</v>
      </c>
      <c r="Q1142" s="36">
        <f t="shared" si="70"/>
        <v>29066.100000000002</v>
      </c>
      <c r="R1142">
        <f t="shared" si="71"/>
        <v>2022</v>
      </c>
    </row>
    <row r="1143" spans="1:18" x14ac:dyDescent="0.2">
      <c r="A1143" s="13">
        <v>45197</v>
      </c>
      <c r="B1143" s="13">
        <v>45188</v>
      </c>
      <c r="C1143" s="25" t="s">
        <v>399</v>
      </c>
      <c r="D1143" s="20">
        <v>9</v>
      </c>
      <c r="E1143" s="28">
        <v>29066.1</v>
      </c>
      <c r="F1143" s="22" t="s">
        <v>72</v>
      </c>
      <c r="G1143" s="14">
        <v>70</v>
      </c>
      <c r="H1143" s="40">
        <v>45180</v>
      </c>
      <c r="I1143" s="46">
        <f t="shared" si="68"/>
        <v>17</v>
      </c>
      <c r="J1143" s="1" t="s">
        <v>15</v>
      </c>
      <c r="K1143" s="4" t="s">
        <v>200</v>
      </c>
      <c r="L1143" s="4" t="s">
        <v>225</v>
      </c>
      <c r="M1143" s="8">
        <v>70</v>
      </c>
      <c r="N1143" s="5">
        <v>415.23</v>
      </c>
      <c r="O1143" s="5">
        <v>29066.1</v>
      </c>
      <c r="P1143">
        <f t="shared" si="69"/>
        <v>1</v>
      </c>
      <c r="Q1143" s="36">
        <f t="shared" si="70"/>
        <v>29066.100000000002</v>
      </c>
      <c r="R1143">
        <f t="shared" si="71"/>
        <v>2023</v>
      </c>
    </row>
    <row r="1144" spans="1:18" x14ac:dyDescent="0.2">
      <c r="A1144" s="13">
        <v>45197</v>
      </c>
      <c r="B1144" s="13">
        <v>45188</v>
      </c>
      <c r="C1144" s="25" t="s">
        <v>399</v>
      </c>
      <c r="D1144" s="20">
        <v>9</v>
      </c>
      <c r="E1144" s="28">
        <v>29066.1</v>
      </c>
      <c r="F1144" s="22" t="s">
        <v>72</v>
      </c>
      <c r="G1144" s="14">
        <v>70</v>
      </c>
      <c r="H1144" s="40">
        <v>45180</v>
      </c>
      <c r="I1144" s="46">
        <f t="shared" si="68"/>
        <v>17</v>
      </c>
      <c r="J1144" s="1" t="s">
        <v>15</v>
      </c>
      <c r="K1144" s="4" t="s">
        <v>200</v>
      </c>
      <c r="L1144" s="4" t="s">
        <v>225</v>
      </c>
      <c r="M1144" s="8">
        <v>70</v>
      </c>
      <c r="N1144" s="5">
        <v>415.23</v>
      </c>
      <c r="O1144" s="5">
        <v>29066.1</v>
      </c>
      <c r="P1144">
        <f t="shared" si="69"/>
        <v>1</v>
      </c>
      <c r="Q1144" s="36">
        <f t="shared" si="70"/>
        <v>29066.100000000002</v>
      </c>
      <c r="R1144">
        <f t="shared" si="71"/>
        <v>2023</v>
      </c>
    </row>
    <row r="1145" spans="1:18" x14ac:dyDescent="0.2">
      <c r="A1145" s="13">
        <v>45197</v>
      </c>
      <c r="B1145" s="13">
        <v>45188</v>
      </c>
      <c r="C1145" s="25" t="s">
        <v>399</v>
      </c>
      <c r="D1145" s="20">
        <v>9</v>
      </c>
      <c r="E1145" s="28">
        <v>29066.1</v>
      </c>
      <c r="F1145" s="22" t="s">
        <v>72</v>
      </c>
      <c r="G1145" s="14">
        <v>70</v>
      </c>
      <c r="H1145" s="40">
        <v>45180</v>
      </c>
      <c r="I1145" s="46">
        <f t="shared" si="68"/>
        <v>17</v>
      </c>
      <c r="J1145" s="1" t="s">
        <v>15</v>
      </c>
      <c r="K1145" s="4" t="s">
        <v>200</v>
      </c>
      <c r="L1145" s="4" t="s">
        <v>225</v>
      </c>
      <c r="M1145" s="8">
        <v>70</v>
      </c>
      <c r="N1145" s="5">
        <v>415.23</v>
      </c>
      <c r="O1145" s="5">
        <v>29066.1</v>
      </c>
      <c r="P1145">
        <f t="shared" si="69"/>
        <v>1</v>
      </c>
      <c r="Q1145" s="36">
        <f t="shared" si="70"/>
        <v>29066.100000000002</v>
      </c>
      <c r="R1145">
        <f t="shared" si="71"/>
        <v>2023</v>
      </c>
    </row>
    <row r="1146" spans="1:18" x14ac:dyDescent="0.2">
      <c r="A1146" s="13">
        <v>45197</v>
      </c>
      <c r="B1146" s="13">
        <v>45188</v>
      </c>
      <c r="C1146" s="25" t="s">
        <v>399</v>
      </c>
      <c r="D1146" s="20">
        <v>9</v>
      </c>
      <c r="E1146" s="28">
        <v>29066.1</v>
      </c>
      <c r="F1146" s="22" t="s">
        <v>72</v>
      </c>
      <c r="G1146" s="14">
        <v>70</v>
      </c>
      <c r="H1146" s="40">
        <v>45180</v>
      </c>
      <c r="I1146" s="46">
        <f t="shared" si="68"/>
        <v>17</v>
      </c>
      <c r="J1146" s="1" t="s">
        <v>15</v>
      </c>
      <c r="K1146" s="4" t="s">
        <v>200</v>
      </c>
      <c r="L1146" s="4" t="s">
        <v>225</v>
      </c>
      <c r="M1146" s="8">
        <v>70</v>
      </c>
      <c r="N1146" s="5">
        <v>415.23</v>
      </c>
      <c r="O1146" s="5">
        <v>29066.1</v>
      </c>
      <c r="P1146">
        <f t="shared" si="69"/>
        <v>1</v>
      </c>
      <c r="Q1146" s="36">
        <f t="shared" si="70"/>
        <v>29066.100000000002</v>
      </c>
      <c r="R1146">
        <f t="shared" si="71"/>
        <v>2023</v>
      </c>
    </row>
    <row r="1147" spans="1:18" x14ac:dyDescent="0.2">
      <c r="A1147" s="13">
        <v>45188</v>
      </c>
      <c r="B1147" s="13">
        <v>45188</v>
      </c>
      <c r="C1147" s="25" t="s">
        <v>398</v>
      </c>
      <c r="D1147" s="20">
        <v>0</v>
      </c>
      <c r="E1147" s="28">
        <v>30020.2</v>
      </c>
      <c r="F1147" s="22" t="s">
        <v>73</v>
      </c>
      <c r="G1147" s="14">
        <v>70</v>
      </c>
      <c r="H1147" s="40">
        <v>44782</v>
      </c>
      <c r="I1147" s="46">
        <f t="shared" si="68"/>
        <v>406</v>
      </c>
      <c r="J1147" s="1" t="s">
        <v>15</v>
      </c>
      <c r="K1147" s="4" t="s">
        <v>200</v>
      </c>
      <c r="L1147" s="4" t="s">
        <v>225</v>
      </c>
      <c r="M1147" s="8">
        <v>70</v>
      </c>
      <c r="N1147" s="5">
        <v>428.86</v>
      </c>
      <c r="O1147" s="5">
        <v>30020.2</v>
      </c>
      <c r="P1147">
        <f t="shared" si="69"/>
        <v>1</v>
      </c>
      <c r="Q1147" s="36">
        <f t="shared" si="70"/>
        <v>30020.2</v>
      </c>
      <c r="R1147">
        <f t="shared" si="71"/>
        <v>2022</v>
      </c>
    </row>
    <row r="1148" spans="1:18" x14ac:dyDescent="0.2">
      <c r="A1148" s="13">
        <v>45188</v>
      </c>
      <c r="B1148" s="13">
        <v>45188</v>
      </c>
      <c r="C1148" s="25" t="s">
        <v>398</v>
      </c>
      <c r="D1148" s="20">
        <v>0</v>
      </c>
      <c r="E1148" s="28">
        <v>30020.2</v>
      </c>
      <c r="F1148" s="22" t="s">
        <v>73</v>
      </c>
      <c r="G1148" s="14">
        <v>70</v>
      </c>
      <c r="H1148" s="40">
        <v>44782</v>
      </c>
      <c r="I1148" s="46">
        <f t="shared" si="68"/>
        <v>406</v>
      </c>
      <c r="J1148" s="1" t="s">
        <v>15</v>
      </c>
      <c r="K1148" s="4" t="s">
        <v>200</v>
      </c>
      <c r="L1148" s="4" t="s">
        <v>225</v>
      </c>
      <c r="M1148" s="8">
        <v>70</v>
      </c>
      <c r="N1148" s="5">
        <v>428.86</v>
      </c>
      <c r="O1148" s="5">
        <v>30020.2</v>
      </c>
      <c r="P1148">
        <f t="shared" si="69"/>
        <v>1</v>
      </c>
      <c r="Q1148" s="36">
        <f t="shared" si="70"/>
        <v>30020.2</v>
      </c>
      <c r="R1148">
        <f t="shared" si="71"/>
        <v>2022</v>
      </c>
    </row>
    <row r="1149" spans="1:18" x14ac:dyDescent="0.2">
      <c r="A1149" s="13">
        <v>45219</v>
      </c>
      <c r="B1149" s="13">
        <v>45219</v>
      </c>
      <c r="C1149" s="25" t="s">
        <v>398</v>
      </c>
      <c r="D1149" s="20">
        <v>0</v>
      </c>
      <c r="E1149" s="28">
        <v>30020.2</v>
      </c>
      <c r="F1149" s="22" t="s">
        <v>73</v>
      </c>
      <c r="G1149" s="14">
        <v>70</v>
      </c>
      <c r="H1149" s="40">
        <v>44811</v>
      </c>
      <c r="I1149" s="46">
        <f t="shared" si="68"/>
        <v>408</v>
      </c>
      <c r="J1149" s="1" t="s">
        <v>15</v>
      </c>
      <c r="K1149" s="4" t="s">
        <v>199</v>
      </c>
      <c r="L1149" s="4" t="s">
        <v>225</v>
      </c>
      <c r="M1149" s="8">
        <v>70</v>
      </c>
      <c r="N1149" s="5">
        <v>428.86</v>
      </c>
      <c r="O1149" s="5">
        <v>30020.2</v>
      </c>
      <c r="P1149">
        <f t="shared" si="69"/>
        <v>1</v>
      </c>
      <c r="Q1149" s="36">
        <f t="shared" si="70"/>
        <v>30020.2</v>
      </c>
      <c r="R1149">
        <f t="shared" si="71"/>
        <v>2022</v>
      </c>
    </row>
    <row r="1150" spans="1:18" x14ac:dyDescent="0.2">
      <c r="A1150" s="13">
        <v>45219</v>
      </c>
      <c r="B1150" s="13">
        <v>45219</v>
      </c>
      <c r="C1150" s="25" t="s">
        <v>398</v>
      </c>
      <c r="D1150" s="20">
        <v>0</v>
      </c>
      <c r="E1150" s="28">
        <v>30020.2</v>
      </c>
      <c r="F1150" s="22" t="s">
        <v>73</v>
      </c>
      <c r="G1150" s="14">
        <v>70</v>
      </c>
      <c r="H1150" s="40">
        <v>44811</v>
      </c>
      <c r="I1150" s="46">
        <f t="shared" si="68"/>
        <v>408</v>
      </c>
      <c r="J1150" s="1" t="s">
        <v>15</v>
      </c>
      <c r="K1150" s="4" t="s">
        <v>199</v>
      </c>
      <c r="L1150" s="4" t="s">
        <v>225</v>
      </c>
      <c r="M1150" s="8">
        <v>70</v>
      </c>
      <c r="N1150" s="5">
        <v>428.86</v>
      </c>
      <c r="O1150" s="5">
        <v>30020.2</v>
      </c>
      <c r="P1150">
        <f t="shared" si="69"/>
        <v>1</v>
      </c>
      <c r="Q1150" s="36">
        <f t="shared" si="70"/>
        <v>30020.2</v>
      </c>
      <c r="R1150">
        <f t="shared" si="71"/>
        <v>2022</v>
      </c>
    </row>
    <row r="1151" spans="1:18" x14ac:dyDescent="0.2">
      <c r="A1151" s="13">
        <v>45219</v>
      </c>
      <c r="B1151" s="13">
        <v>45219</v>
      </c>
      <c r="C1151" s="25" t="s">
        <v>398</v>
      </c>
      <c r="D1151" s="20">
        <v>0</v>
      </c>
      <c r="E1151" s="28">
        <v>30020.2</v>
      </c>
      <c r="F1151" s="22" t="s">
        <v>73</v>
      </c>
      <c r="G1151" s="14">
        <v>70</v>
      </c>
      <c r="H1151" s="40">
        <v>44811</v>
      </c>
      <c r="I1151" s="46">
        <f t="shared" si="68"/>
        <v>408</v>
      </c>
      <c r="J1151" s="1" t="s">
        <v>15</v>
      </c>
      <c r="K1151" s="4" t="s">
        <v>199</v>
      </c>
      <c r="L1151" s="4" t="s">
        <v>225</v>
      </c>
      <c r="M1151" s="8">
        <v>70</v>
      </c>
      <c r="N1151" s="5">
        <v>428.86</v>
      </c>
      <c r="O1151" s="5">
        <v>30020.2</v>
      </c>
      <c r="P1151">
        <f t="shared" si="69"/>
        <v>1</v>
      </c>
      <c r="Q1151" s="36">
        <f t="shared" si="70"/>
        <v>30020.2</v>
      </c>
      <c r="R1151">
        <f t="shared" si="71"/>
        <v>2022</v>
      </c>
    </row>
    <row r="1152" spans="1:18" x14ac:dyDescent="0.2">
      <c r="A1152" s="13">
        <v>45202</v>
      </c>
      <c r="B1152" s="13">
        <v>45202</v>
      </c>
      <c r="C1152" s="25" t="s">
        <v>398</v>
      </c>
      <c r="D1152" s="20">
        <v>0</v>
      </c>
      <c r="E1152" s="28">
        <v>53718</v>
      </c>
      <c r="F1152" s="22" t="s">
        <v>74</v>
      </c>
      <c r="G1152" s="14">
        <v>140</v>
      </c>
      <c r="H1152" s="40">
        <v>44798</v>
      </c>
      <c r="I1152" s="46">
        <f t="shared" si="68"/>
        <v>404</v>
      </c>
      <c r="J1152" s="1" t="s">
        <v>15</v>
      </c>
      <c r="K1152" s="4" t="s">
        <v>199</v>
      </c>
      <c r="L1152" s="4" t="s">
        <v>225</v>
      </c>
      <c r="M1152" s="8">
        <v>140</v>
      </c>
      <c r="N1152" s="5">
        <v>383.7</v>
      </c>
      <c r="O1152" s="5">
        <v>53718</v>
      </c>
      <c r="P1152">
        <f t="shared" si="69"/>
        <v>1</v>
      </c>
      <c r="Q1152" s="36">
        <f t="shared" si="70"/>
        <v>53718</v>
      </c>
      <c r="R1152">
        <f t="shared" si="71"/>
        <v>2022</v>
      </c>
    </row>
    <row r="1153" spans="1:18" x14ac:dyDescent="0.2">
      <c r="A1153" s="13">
        <v>45202</v>
      </c>
      <c r="B1153" s="13">
        <v>45202</v>
      </c>
      <c r="C1153" s="25" t="s">
        <v>398</v>
      </c>
      <c r="D1153" s="20">
        <v>0</v>
      </c>
      <c r="E1153" s="28">
        <v>53718</v>
      </c>
      <c r="F1153" s="22" t="s">
        <v>74</v>
      </c>
      <c r="G1153" s="14">
        <v>140</v>
      </c>
      <c r="H1153" s="40">
        <v>44798</v>
      </c>
      <c r="I1153" s="46">
        <f t="shared" si="68"/>
        <v>404</v>
      </c>
      <c r="J1153" s="1" t="s">
        <v>15</v>
      </c>
      <c r="K1153" s="4" t="s">
        <v>199</v>
      </c>
      <c r="L1153" s="4" t="s">
        <v>225</v>
      </c>
      <c r="M1153" s="8">
        <v>140</v>
      </c>
      <c r="N1153" s="5">
        <v>383.7</v>
      </c>
      <c r="O1153" s="5">
        <v>53718</v>
      </c>
      <c r="P1153">
        <f t="shared" si="69"/>
        <v>1</v>
      </c>
      <c r="Q1153" s="36">
        <f t="shared" si="70"/>
        <v>53718</v>
      </c>
      <c r="R1153">
        <f t="shared" si="71"/>
        <v>2022</v>
      </c>
    </row>
    <row r="1154" spans="1:18" x14ac:dyDescent="0.2">
      <c r="A1154" s="13">
        <v>45209</v>
      </c>
      <c r="B1154" s="13">
        <v>45209</v>
      </c>
      <c r="C1154" s="25" t="s">
        <v>398</v>
      </c>
      <c r="D1154" s="20">
        <v>0</v>
      </c>
      <c r="E1154" s="28">
        <v>53718</v>
      </c>
      <c r="F1154" s="22" t="s">
        <v>74</v>
      </c>
      <c r="G1154" s="14">
        <v>140</v>
      </c>
      <c r="H1154" s="40">
        <v>44805</v>
      </c>
      <c r="I1154" s="46">
        <f t="shared" si="68"/>
        <v>404</v>
      </c>
      <c r="J1154" s="1" t="s">
        <v>15</v>
      </c>
      <c r="K1154" s="4" t="s">
        <v>199</v>
      </c>
      <c r="L1154" s="4" t="s">
        <v>225</v>
      </c>
      <c r="M1154" s="8">
        <v>140</v>
      </c>
      <c r="N1154" s="5">
        <v>383.7</v>
      </c>
      <c r="O1154" s="5">
        <v>53718</v>
      </c>
      <c r="P1154">
        <f t="shared" si="69"/>
        <v>1</v>
      </c>
      <c r="Q1154" s="36">
        <f t="shared" si="70"/>
        <v>53718</v>
      </c>
      <c r="R1154">
        <f t="shared" si="71"/>
        <v>2022</v>
      </c>
    </row>
    <row r="1155" spans="1:18" x14ac:dyDescent="0.2">
      <c r="A1155" s="13">
        <v>45209</v>
      </c>
      <c r="B1155" s="13">
        <v>45209</v>
      </c>
      <c r="C1155" s="25" t="s">
        <v>398</v>
      </c>
      <c r="D1155" s="20">
        <v>0</v>
      </c>
      <c r="E1155" s="28">
        <v>53718</v>
      </c>
      <c r="F1155" s="22" t="s">
        <v>74</v>
      </c>
      <c r="G1155" s="14">
        <v>140</v>
      </c>
      <c r="H1155" s="40">
        <v>44805</v>
      </c>
      <c r="I1155" s="46">
        <f t="shared" ref="I1155:I1218" si="72">IFERROR(A1155-H1155,"")*1</f>
        <v>404</v>
      </c>
      <c r="J1155" s="1" t="s">
        <v>15</v>
      </c>
      <c r="K1155" s="4" t="s">
        <v>199</v>
      </c>
      <c r="L1155" s="4" t="s">
        <v>225</v>
      </c>
      <c r="M1155" s="8">
        <v>140</v>
      </c>
      <c r="N1155" s="5">
        <v>383.7</v>
      </c>
      <c r="O1155" s="5">
        <v>53718</v>
      </c>
      <c r="P1155">
        <f t="shared" ref="P1155:P1218" si="73">IF(M1155=G1155,1,0)</f>
        <v>1</v>
      </c>
      <c r="Q1155" s="36">
        <f t="shared" ref="Q1155:Q1218" si="74">N1155*G1155</f>
        <v>53718</v>
      </c>
      <c r="R1155">
        <f t="shared" ref="R1155:R1218" si="75">YEAR(H1155)</f>
        <v>2022</v>
      </c>
    </row>
    <row r="1156" spans="1:18" x14ac:dyDescent="0.2">
      <c r="A1156" s="13">
        <v>45216</v>
      </c>
      <c r="B1156" s="13">
        <v>45216</v>
      </c>
      <c r="C1156" s="25" t="s">
        <v>398</v>
      </c>
      <c r="D1156" s="20">
        <v>0</v>
      </c>
      <c r="E1156" s="28">
        <v>26859</v>
      </c>
      <c r="F1156" s="22" t="s">
        <v>74</v>
      </c>
      <c r="G1156" s="14">
        <v>70</v>
      </c>
      <c r="H1156" s="40">
        <v>44811</v>
      </c>
      <c r="I1156" s="46">
        <f t="shared" si="72"/>
        <v>405</v>
      </c>
      <c r="J1156" s="1" t="s">
        <v>15</v>
      </c>
      <c r="K1156" s="4" t="s">
        <v>199</v>
      </c>
      <c r="L1156" s="4" t="s">
        <v>225</v>
      </c>
      <c r="M1156" s="8">
        <v>70</v>
      </c>
      <c r="N1156" s="5">
        <v>383.7</v>
      </c>
      <c r="O1156" s="5">
        <v>26859</v>
      </c>
      <c r="P1156">
        <f t="shared" si="73"/>
        <v>1</v>
      </c>
      <c r="Q1156" s="36">
        <f t="shared" si="74"/>
        <v>26859</v>
      </c>
      <c r="R1156">
        <f t="shared" si="75"/>
        <v>2022</v>
      </c>
    </row>
    <row r="1157" spans="1:18" x14ac:dyDescent="0.2">
      <c r="A1157" s="13">
        <v>45216</v>
      </c>
      <c r="B1157" s="13">
        <v>45216</v>
      </c>
      <c r="C1157" s="25" t="s">
        <v>398</v>
      </c>
      <c r="D1157" s="20">
        <v>0</v>
      </c>
      <c r="E1157" s="28">
        <v>53718</v>
      </c>
      <c r="F1157" s="22" t="s">
        <v>74</v>
      </c>
      <c r="G1157" s="14">
        <v>140</v>
      </c>
      <c r="H1157" s="40">
        <v>44811</v>
      </c>
      <c r="I1157" s="46">
        <f t="shared" si="72"/>
        <v>405</v>
      </c>
      <c r="J1157" s="1" t="s">
        <v>15</v>
      </c>
      <c r="K1157" s="4" t="s">
        <v>199</v>
      </c>
      <c r="L1157" s="4" t="s">
        <v>225</v>
      </c>
      <c r="M1157" s="8">
        <v>140</v>
      </c>
      <c r="N1157" s="5">
        <v>383.7</v>
      </c>
      <c r="O1157" s="5">
        <v>53718</v>
      </c>
      <c r="P1157">
        <f t="shared" si="73"/>
        <v>1</v>
      </c>
      <c r="Q1157" s="36">
        <f t="shared" si="74"/>
        <v>53718</v>
      </c>
      <c r="R1157">
        <f t="shared" si="75"/>
        <v>2022</v>
      </c>
    </row>
    <row r="1158" spans="1:18" x14ac:dyDescent="0.2">
      <c r="A1158" s="13">
        <v>45223</v>
      </c>
      <c r="B1158" s="13">
        <v>45223</v>
      </c>
      <c r="C1158" s="25" t="s">
        <v>398</v>
      </c>
      <c r="D1158" s="20">
        <v>0</v>
      </c>
      <c r="E1158" s="28">
        <v>53718</v>
      </c>
      <c r="F1158" s="22" t="s">
        <v>74</v>
      </c>
      <c r="G1158" s="14">
        <v>140</v>
      </c>
      <c r="H1158" s="40">
        <v>44819</v>
      </c>
      <c r="I1158" s="46">
        <f t="shared" si="72"/>
        <v>404</v>
      </c>
      <c r="J1158" s="1" t="s">
        <v>15</v>
      </c>
      <c r="K1158" s="4" t="s">
        <v>199</v>
      </c>
      <c r="L1158" s="4" t="s">
        <v>225</v>
      </c>
      <c r="M1158" s="8">
        <v>140</v>
      </c>
      <c r="N1158" s="5">
        <v>383.7</v>
      </c>
      <c r="O1158" s="5">
        <v>53718</v>
      </c>
      <c r="P1158">
        <f t="shared" si="73"/>
        <v>1</v>
      </c>
      <c r="Q1158" s="36">
        <f t="shared" si="74"/>
        <v>53718</v>
      </c>
      <c r="R1158">
        <f t="shared" si="75"/>
        <v>2022</v>
      </c>
    </row>
    <row r="1159" spans="1:18" x14ac:dyDescent="0.2">
      <c r="A1159" s="13">
        <v>45223</v>
      </c>
      <c r="B1159" s="13">
        <v>45223</v>
      </c>
      <c r="C1159" s="25" t="s">
        <v>398</v>
      </c>
      <c r="D1159" s="20">
        <v>0</v>
      </c>
      <c r="E1159" s="28">
        <v>53718</v>
      </c>
      <c r="F1159" s="22" t="s">
        <v>74</v>
      </c>
      <c r="G1159" s="14">
        <v>140</v>
      </c>
      <c r="H1159" s="40">
        <v>44819</v>
      </c>
      <c r="I1159" s="46">
        <f t="shared" si="72"/>
        <v>404</v>
      </c>
      <c r="J1159" s="1" t="s">
        <v>15</v>
      </c>
      <c r="K1159" s="4" t="s">
        <v>199</v>
      </c>
      <c r="L1159" s="4" t="s">
        <v>225</v>
      </c>
      <c r="M1159" s="8">
        <v>140</v>
      </c>
      <c r="N1159" s="5">
        <v>383.7</v>
      </c>
      <c r="O1159" s="5">
        <v>53718</v>
      </c>
      <c r="P1159">
        <f t="shared" si="73"/>
        <v>1</v>
      </c>
      <c r="Q1159" s="36">
        <f t="shared" si="74"/>
        <v>53718</v>
      </c>
      <c r="R1159">
        <f t="shared" si="75"/>
        <v>2022</v>
      </c>
    </row>
    <row r="1160" spans="1:18" x14ac:dyDescent="0.2">
      <c r="A1160" s="13">
        <v>45194</v>
      </c>
      <c r="B1160" s="13">
        <v>45055</v>
      </c>
      <c r="C1160" s="25" t="s">
        <v>399</v>
      </c>
      <c r="D1160" s="20">
        <v>139</v>
      </c>
      <c r="E1160" s="28">
        <v>26859</v>
      </c>
      <c r="F1160" s="22" t="s">
        <v>74</v>
      </c>
      <c r="G1160" s="14">
        <v>70</v>
      </c>
      <c r="H1160" s="40">
        <v>45154</v>
      </c>
      <c r="I1160" s="46">
        <f t="shared" si="72"/>
        <v>40</v>
      </c>
      <c r="J1160" s="1" t="s">
        <v>15</v>
      </c>
      <c r="K1160" s="4" t="s">
        <v>200</v>
      </c>
      <c r="L1160" s="4" t="s">
        <v>225</v>
      </c>
      <c r="M1160" s="8">
        <v>140</v>
      </c>
      <c r="N1160" s="5">
        <v>383.7</v>
      </c>
      <c r="O1160" s="5">
        <v>53718</v>
      </c>
      <c r="P1160">
        <f t="shared" si="73"/>
        <v>0</v>
      </c>
      <c r="Q1160" s="36">
        <f t="shared" si="74"/>
        <v>26859</v>
      </c>
      <c r="R1160">
        <f t="shared" si="75"/>
        <v>2023</v>
      </c>
    </row>
    <row r="1161" spans="1:18" x14ac:dyDescent="0.2">
      <c r="A1161" s="13">
        <v>45194</v>
      </c>
      <c r="B1161" s="13">
        <v>45055</v>
      </c>
      <c r="C1161" s="25" t="s">
        <v>399</v>
      </c>
      <c r="D1161" s="20">
        <v>139</v>
      </c>
      <c r="E1161" s="28">
        <v>26859</v>
      </c>
      <c r="F1161" s="22" t="s">
        <v>74</v>
      </c>
      <c r="G1161" s="14">
        <v>70</v>
      </c>
      <c r="H1161" s="40">
        <v>45180</v>
      </c>
      <c r="I1161" s="46">
        <f t="shared" si="72"/>
        <v>14</v>
      </c>
      <c r="J1161" s="1" t="s">
        <v>15</v>
      </c>
      <c r="K1161" s="4" t="s">
        <v>200</v>
      </c>
      <c r="L1161" s="4" t="s">
        <v>225</v>
      </c>
      <c r="M1161" s="8">
        <v>70</v>
      </c>
      <c r="N1161" s="5">
        <v>383.7</v>
      </c>
      <c r="O1161" s="5">
        <v>26859</v>
      </c>
      <c r="P1161">
        <f t="shared" si="73"/>
        <v>1</v>
      </c>
      <c r="Q1161" s="36">
        <f t="shared" si="74"/>
        <v>26859</v>
      </c>
      <c r="R1161">
        <f t="shared" si="75"/>
        <v>2023</v>
      </c>
    </row>
    <row r="1162" spans="1:18" x14ac:dyDescent="0.2">
      <c r="A1162" s="13">
        <v>45197</v>
      </c>
      <c r="B1162" s="13">
        <v>45111</v>
      </c>
      <c r="C1162" s="25" t="s">
        <v>399</v>
      </c>
      <c r="D1162" s="20">
        <v>86</v>
      </c>
      <c r="E1162" s="28">
        <v>53718</v>
      </c>
      <c r="F1162" s="22" t="s">
        <v>74</v>
      </c>
      <c r="G1162" s="14">
        <v>140</v>
      </c>
      <c r="H1162" s="40">
        <v>45180</v>
      </c>
      <c r="I1162" s="46">
        <f t="shared" si="72"/>
        <v>17</v>
      </c>
      <c r="J1162" s="1" t="s">
        <v>15</v>
      </c>
      <c r="K1162" s="4" t="s">
        <v>200</v>
      </c>
      <c r="L1162" s="4" t="s">
        <v>225</v>
      </c>
      <c r="M1162" s="8">
        <v>140</v>
      </c>
      <c r="N1162" s="5">
        <v>383.7</v>
      </c>
      <c r="O1162" s="5">
        <v>53718</v>
      </c>
      <c r="P1162">
        <f t="shared" si="73"/>
        <v>1</v>
      </c>
      <c r="Q1162" s="36">
        <f t="shared" si="74"/>
        <v>53718</v>
      </c>
      <c r="R1162">
        <f t="shared" si="75"/>
        <v>2023</v>
      </c>
    </row>
    <row r="1163" spans="1:18" x14ac:dyDescent="0.2">
      <c r="A1163" s="13">
        <v>45197</v>
      </c>
      <c r="B1163" s="13">
        <v>45118</v>
      </c>
      <c r="C1163" s="25" t="s">
        <v>399</v>
      </c>
      <c r="D1163" s="20">
        <v>79</v>
      </c>
      <c r="E1163" s="28">
        <v>53718</v>
      </c>
      <c r="F1163" s="22" t="s">
        <v>74</v>
      </c>
      <c r="G1163" s="14">
        <v>140</v>
      </c>
      <c r="H1163" s="40">
        <v>45180</v>
      </c>
      <c r="I1163" s="46">
        <f t="shared" si="72"/>
        <v>17</v>
      </c>
      <c r="J1163" s="1" t="s">
        <v>15</v>
      </c>
      <c r="K1163" s="4" t="s">
        <v>200</v>
      </c>
      <c r="L1163" s="4" t="s">
        <v>225</v>
      </c>
      <c r="M1163" s="8">
        <v>140</v>
      </c>
      <c r="N1163" s="5">
        <v>383.7</v>
      </c>
      <c r="O1163" s="5">
        <v>53718</v>
      </c>
      <c r="P1163">
        <f t="shared" si="73"/>
        <v>1</v>
      </c>
      <c r="Q1163" s="36">
        <f t="shared" si="74"/>
        <v>53718</v>
      </c>
      <c r="R1163">
        <f t="shared" si="75"/>
        <v>2023</v>
      </c>
    </row>
    <row r="1164" spans="1:18" x14ac:dyDescent="0.2">
      <c r="A1164" s="13">
        <v>45197</v>
      </c>
      <c r="B1164" s="13">
        <v>45111</v>
      </c>
      <c r="C1164" s="25" t="s">
        <v>399</v>
      </c>
      <c r="D1164" s="20">
        <v>86</v>
      </c>
      <c r="E1164" s="28">
        <v>53718</v>
      </c>
      <c r="F1164" s="22" t="s">
        <v>74</v>
      </c>
      <c r="G1164" s="14">
        <v>140</v>
      </c>
      <c r="H1164" s="40">
        <v>45180</v>
      </c>
      <c r="I1164" s="46">
        <f t="shared" si="72"/>
        <v>17</v>
      </c>
      <c r="J1164" s="1" t="s">
        <v>15</v>
      </c>
      <c r="K1164" s="4" t="s">
        <v>200</v>
      </c>
      <c r="L1164" s="4" t="s">
        <v>225</v>
      </c>
      <c r="M1164" s="8">
        <v>140</v>
      </c>
      <c r="N1164" s="5">
        <v>383.7</v>
      </c>
      <c r="O1164" s="5">
        <v>53718</v>
      </c>
      <c r="P1164">
        <f t="shared" si="73"/>
        <v>1</v>
      </c>
      <c r="Q1164" s="36">
        <f t="shared" si="74"/>
        <v>53718</v>
      </c>
      <c r="R1164">
        <f t="shared" si="75"/>
        <v>2023</v>
      </c>
    </row>
    <row r="1165" spans="1:18" x14ac:dyDescent="0.2">
      <c r="A1165" s="13">
        <v>45197</v>
      </c>
      <c r="B1165" s="13">
        <v>45118</v>
      </c>
      <c r="C1165" s="25" t="s">
        <v>399</v>
      </c>
      <c r="D1165" s="20">
        <v>79</v>
      </c>
      <c r="E1165" s="28">
        <v>53718</v>
      </c>
      <c r="F1165" s="22" t="s">
        <v>74</v>
      </c>
      <c r="G1165" s="14">
        <v>140</v>
      </c>
      <c r="H1165" s="40">
        <v>45180</v>
      </c>
      <c r="I1165" s="46">
        <f t="shared" si="72"/>
        <v>17</v>
      </c>
      <c r="J1165" s="1" t="s">
        <v>15</v>
      </c>
      <c r="K1165" s="4" t="s">
        <v>200</v>
      </c>
      <c r="L1165" s="4" t="s">
        <v>225</v>
      </c>
      <c r="M1165" s="8">
        <v>140</v>
      </c>
      <c r="N1165" s="5">
        <v>383.7</v>
      </c>
      <c r="O1165" s="5">
        <v>53718</v>
      </c>
      <c r="P1165">
        <f t="shared" si="73"/>
        <v>1</v>
      </c>
      <c r="Q1165" s="36">
        <f t="shared" si="74"/>
        <v>53718</v>
      </c>
      <c r="R1165">
        <f t="shared" si="75"/>
        <v>2023</v>
      </c>
    </row>
    <row r="1166" spans="1:18" x14ac:dyDescent="0.2">
      <c r="A1166" s="13">
        <v>45197</v>
      </c>
      <c r="B1166" s="13">
        <v>45125</v>
      </c>
      <c r="C1166" s="25" t="s">
        <v>399</v>
      </c>
      <c r="D1166" s="20">
        <v>72</v>
      </c>
      <c r="E1166" s="28">
        <v>53718</v>
      </c>
      <c r="F1166" s="22" t="s">
        <v>74</v>
      </c>
      <c r="G1166" s="14">
        <v>140</v>
      </c>
      <c r="H1166" s="40">
        <v>45180</v>
      </c>
      <c r="I1166" s="46">
        <f t="shared" si="72"/>
        <v>17</v>
      </c>
      <c r="J1166" s="1" t="s">
        <v>15</v>
      </c>
      <c r="K1166" s="4" t="s">
        <v>200</v>
      </c>
      <c r="L1166" s="4" t="s">
        <v>225</v>
      </c>
      <c r="M1166" s="8">
        <v>140</v>
      </c>
      <c r="N1166" s="5">
        <v>383.7</v>
      </c>
      <c r="O1166" s="5">
        <v>53718</v>
      </c>
      <c r="P1166">
        <f t="shared" si="73"/>
        <v>1</v>
      </c>
      <c r="Q1166" s="36">
        <f t="shared" si="74"/>
        <v>53718</v>
      </c>
      <c r="R1166">
        <f t="shared" si="75"/>
        <v>2023</v>
      </c>
    </row>
    <row r="1167" spans="1:18" x14ac:dyDescent="0.2">
      <c r="A1167" s="13">
        <v>45197</v>
      </c>
      <c r="B1167" s="13">
        <v>45125</v>
      </c>
      <c r="C1167" s="25" t="s">
        <v>399</v>
      </c>
      <c r="D1167" s="20">
        <v>72</v>
      </c>
      <c r="E1167" s="28">
        <v>53718</v>
      </c>
      <c r="F1167" s="22" t="s">
        <v>74</v>
      </c>
      <c r="G1167" s="14">
        <v>140</v>
      </c>
      <c r="H1167" s="40">
        <v>45180</v>
      </c>
      <c r="I1167" s="46">
        <f t="shared" si="72"/>
        <v>17</v>
      </c>
      <c r="J1167" s="1" t="s">
        <v>15</v>
      </c>
      <c r="K1167" s="4" t="s">
        <v>200</v>
      </c>
      <c r="L1167" s="4" t="s">
        <v>225</v>
      </c>
      <c r="M1167" s="8">
        <v>140</v>
      </c>
      <c r="N1167" s="5">
        <v>383.7</v>
      </c>
      <c r="O1167" s="5">
        <v>53718</v>
      </c>
      <c r="P1167">
        <f t="shared" si="73"/>
        <v>1</v>
      </c>
      <c r="Q1167" s="36">
        <f t="shared" si="74"/>
        <v>53718</v>
      </c>
      <c r="R1167">
        <f t="shared" si="75"/>
        <v>2023</v>
      </c>
    </row>
    <row r="1168" spans="1:18" x14ac:dyDescent="0.2">
      <c r="A1168" s="13">
        <v>45197</v>
      </c>
      <c r="B1168" s="13">
        <v>45146</v>
      </c>
      <c r="C1168" s="25" t="s">
        <v>399</v>
      </c>
      <c r="D1168" s="20">
        <v>51</v>
      </c>
      <c r="E1168" s="28">
        <v>26859</v>
      </c>
      <c r="F1168" s="22" t="s">
        <v>74</v>
      </c>
      <c r="G1168" s="14">
        <v>70</v>
      </c>
      <c r="H1168" s="40">
        <v>45180</v>
      </c>
      <c r="I1168" s="46">
        <f t="shared" si="72"/>
        <v>17</v>
      </c>
      <c r="J1168" s="1" t="s">
        <v>15</v>
      </c>
      <c r="K1168" s="4" t="s">
        <v>200</v>
      </c>
      <c r="L1168" s="4" t="s">
        <v>225</v>
      </c>
      <c r="M1168" s="8">
        <v>70</v>
      </c>
      <c r="N1168" s="5">
        <v>383.7</v>
      </c>
      <c r="O1168" s="5">
        <v>26859</v>
      </c>
      <c r="P1168">
        <f t="shared" si="73"/>
        <v>1</v>
      </c>
      <c r="Q1168" s="36">
        <f t="shared" si="74"/>
        <v>26859</v>
      </c>
      <c r="R1168">
        <f t="shared" si="75"/>
        <v>2023</v>
      </c>
    </row>
    <row r="1169" spans="1:18" x14ac:dyDescent="0.2">
      <c r="A1169" s="13">
        <v>45197</v>
      </c>
      <c r="B1169" s="13">
        <v>45167</v>
      </c>
      <c r="C1169" s="25" t="s">
        <v>399</v>
      </c>
      <c r="D1169" s="20">
        <v>30</v>
      </c>
      <c r="E1169" s="28">
        <v>26859</v>
      </c>
      <c r="F1169" s="22" t="s">
        <v>74</v>
      </c>
      <c r="G1169" s="14">
        <v>70</v>
      </c>
      <c r="H1169" s="40">
        <v>45180</v>
      </c>
      <c r="I1169" s="46">
        <f t="shared" si="72"/>
        <v>17</v>
      </c>
      <c r="J1169" s="1" t="s">
        <v>15</v>
      </c>
      <c r="K1169" s="4" t="s">
        <v>200</v>
      </c>
      <c r="L1169" s="4" t="s">
        <v>225</v>
      </c>
      <c r="M1169" s="8">
        <v>70</v>
      </c>
      <c r="N1169" s="5">
        <v>383.7</v>
      </c>
      <c r="O1169" s="5">
        <v>26859</v>
      </c>
      <c r="P1169">
        <f t="shared" si="73"/>
        <v>1</v>
      </c>
      <c r="Q1169" s="36">
        <f t="shared" si="74"/>
        <v>26859</v>
      </c>
      <c r="R1169">
        <f t="shared" si="75"/>
        <v>2023</v>
      </c>
    </row>
    <row r="1170" spans="1:18" x14ac:dyDescent="0.2">
      <c r="A1170" s="13">
        <v>45197</v>
      </c>
      <c r="B1170" s="13">
        <v>45167</v>
      </c>
      <c r="C1170" s="25" t="s">
        <v>399</v>
      </c>
      <c r="D1170" s="20">
        <v>30</v>
      </c>
      <c r="E1170" s="28">
        <v>53718</v>
      </c>
      <c r="F1170" s="22" t="s">
        <v>74</v>
      </c>
      <c r="G1170" s="14">
        <v>140</v>
      </c>
      <c r="H1170" s="40">
        <v>45180</v>
      </c>
      <c r="I1170" s="46">
        <f t="shared" si="72"/>
        <v>17</v>
      </c>
      <c r="J1170" s="1" t="s">
        <v>15</v>
      </c>
      <c r="K1170" s="4" t="s">
        <v>200</v>
      </c>
      <c r="L1170" s="4" t="s">
        <v>225</v>
      </c>
      <c r="M1170" s="8">
        <v>140</v>
      </c>
      <c r="N1170" s="5">
        <v>383.7</v>
      </c>
      <c r="O1170" s="5">
        <v>53718</v>
      </c>
      <c r="P1170">
        <f t="shared" si="73"/>
        <v>1</v>
      </c>
      <c r="Q1170" s="36">
        <f t="shared" si="74"/>
        <v>53718</v>
      </c>
      <c r="R1170">
        <f t="shared" si="75"/>
        <v>2023</v>
      </c>
    </row>
    <row r="1171" spans="1:18" x14ac:dyDescent="0.2">
      <c r="A1171" s="13">
        <v>45197</v>
      </c>
      <c r="B1171" s="13">
        <v>45195</v>
      </c>
      <c r="C1171" s="25" t="s">
        <v>399</v>
      </c>
      <c r="D1171" s="20">
        <v>2</v>
      </c>
      <c r="E1171" s="28">
        <v>26859</v>
      </c>
      <c r="F1171" s="22" t="s">
        <v>74</v>
      </c>
      <c r="G1171" s="14">
        <v>70</v>
      </c>
      <c r="H1171" s="40">
        <v>45180</v>
      </c>
      <c r="I1171" s="46">
        <f t="shared" si="72"/>
        <v>17</v>
      </c>
      <c r="J1171" s="1" t="s">
        <v>15</v>
      </c>
      <c r="K1171" s="4" t="s">
        <v>200</v>
      </c>
      <c r="L1171" s="4" t="s">
        <v>225</v>
      </c>
      <c r="M1171" s="8">
        <v>70</v>
      </c>
      <c r="N1171" s="5">
        <v>383.7</v>
      </c>
      <c r="O1171" s="5">
        <v>26859</v>
      </c>
      <c r="P1171">
        <f t="shared" si="73"/>
        <v>1</v>
      </c>
      <c r="Q1171" s="36">
        <f t="shared" si="74"/>
        <v>26859</v>
      </c>
      <c r="R1171">
        <f t="shared" si="75"/>
        <v>2023</v>
      </c>
    </row>
    <row r="1172" spans="1:18" x14ac:dyDescent="0.2">
      <c r="A1172" s="13">
        <v>45197</v>
      </c>
      <c r="B1172" s="13">
        <v>45195</v>
      </c>
      <c r="C1172" s="25" t="s">
        <v>399</v>
      </c>
      <c r="D1172" s="20">
        <v>2</v>
      </c>
      <c r="E1172" s="28">
        <v>53718</v>
      </c>
      <c r="F1172" s="22" t="s">
        <v>74</v>
      </c>
      <c r="G1172" s="14">
        <v>140</v>
      </c>
      <c r="H1172" s="40">
        <v>45180</v>
      </c>
      <c r="I1172" s="46">
        <f t="shared" si="72"/>
        <v>17</v>
      </c>
      <c r="J1172" s="1" t="s">
        <v>15</v>
      </c>
      <c r="K1172" s="4" t="s">
        <v>200</v>
      </c>
      <c r="L1172" s="4" t="s">
        <v>225</v>
      </c>
      <c r="M1172" s="8">
        <v>140</v>
      </c>
      <c r="N1172" s="5">
        <v>383.7</v>
      </c>
      <c r="O1172" s="5">
        <v>53718</v>
      </c>
      <c r="P1172">
        <f t="shared" si="73"/>
        <v>1</v>
      </c>
      <c r="Q1172" s="36">
        <f t="shared" si="74"/>
        <v>53718</v>
      </c>
      <c r="R1172">
        <f t="shared" si="75"/>
        <v>2023</v>
      </c>
    </row>
    <row r="1173" spans="1:18" x14ac:dyDescent="0.2">
      <c r="A1173" s="13">
        <v>45261</v>
      </c>
      <c r="B1173" s="13">
        <v>45146</v>
      </c>
      <c r="C1173" s="25" t="s">
        <v>399</v>
      </c>
      <c r="D1173" s="20">
        <v>115</v>
      </c>
      <c r="E1173" s="28">
        <v>48690.6</v>
      </c>
      <c r="F1173" s="22" t="s">
        <v>76</v>
      </c>
      <c r="G1173" s="14">
        <v>70</v>
      </c>
      <c r="H1173" s="40">
        <v>44568</v>
      </c>
      <c r="I1173" s="46">
        <f t="shared" si="72"/>
        <v>693</v>
      </c>
      <c r="J1173" s="1" t="s">
        <v>15</v>
      </c>
      <c r="K1173" s="4" t="s">
        <v>199</v>
      </c>
      <c r="L1173" s="4" t="s">
        <v>225</v>
      </c>
      <c r="M1173" s="8">
        <v>70</v>
      </c>
      <c r="N1173" s="5">
        <v>695.58</v>
      </c>
      <c r="O1173" s="5">
        <v>48690.6</v>
      </c>
      <c r="P1173">
        <f t="shared" si="73"/>
        <v>1</v>
      </c>
      <c r="Q1173" s="36">
        <f t="shared" si="74"/>
        <v>48690.600000000006</v>
      </c>
      <c r="R1173">
        <f t="shared" si="75"/>
        <v>2022</v>
      </c>
    </row>
    <row r="1174" spans="1:18" x14ac:dyDescent="0.2">
      <c r="A1174" s="13">
        <v>45293</v>
      </c>
      <c r="B1174" s="13">
        <v>45139</v>
      </c>
      <c r="C1174" s="25" t="s">
        <v>399</v>
      </c>
      <c r="D1174" s="20">
        <v>154</v>
      </c>
      <c r="E1174" s="28">
        <v>48690.6</v>
      </c>
      <c r="F1174" s="22" t="s">
        <v>76</v>
      </c>
      <c r="G1174" s="14">
        <v>70</v>
      </c>
      <c r="H1174" s="40">
        <v>44568</v>
      </c>
      <c r="I1174" s="46">
        <f t="shared" si="72"/>
        <v>725</v>
      </c>
      <c r="J1174" s="1" t="s">
        <v>15</v>
      </c>
      <c r="K1174" s="4" t="s">
        <v>199</v>
      </c>
      <c r="L1174" s="4" t="s">
        <v>225</v>
      </c>
      <c r="M1174" s="8">
        <v>70</v>
      </c>
      <c r="N1174" s="5">
        <v>695.58</v>
      </c>
      <c r="O1174" s="5">
        <v>48690.6</v>
      </c>
      <c r="P1174">
        <f t="shared" si="73"/>
        <v>1</v>
      </c>
      <c r="Q1174" s="36">
        <f t="shared" si="74"/>
        <v>48690.600000000006</v>
      </c>
      <c r="R1174">
        <f t="shared" si="75"/>
        <v>2022</v>
      </c>
    </row>
    <row r="1175" spans="1:18" x14ac:dyDescent="0.2">
      <c r="A1175" s="13">
        <v>45293</v>
      </c>
      <c r="B1175" s="13">
        <v>45146</v>
      </c>
      <c r="C1175" s="25" t="s">
        <v>399</v>
      </c>
      <c r="D1175" s="20">
        <v>147</v>
      </c>
      <c r="E1175" s="28">
        <v>48690.6</v>
      </c>
      <c r="F1175" s="22" t="s">
        <v>76</v>
      </c>
      <c r="G1175" s="14">
        <v>70</v>
      </c>
      <c r="H1175" s="40">
        <v>44568</v>
      </c>
      <c r="I1175" s="46">
        <f t="shared" si="72"/>
        <v>725</v>
      </c>
      <c r="J1175" s="1" t="s">
        <v>15</v>
      </c>
      <c r="K1175" s="4" t="s">
        <v>199</v>
      </c>
      <c r="L1175" s="4" t="s">
        <v>225</v>
      </c>
      <c r="M1175" s="8">
        <v>70</v>
      </c>
      <c r="N1175" s="5">
        <v>695.58</v>
      </c>
      <c r="O1175" s="5">
        <v>48690.6</v>
      </c>
      <c r="P1175">
        <f t="shared" si="73"/>
        <v>1</v>
      </c>
      <c r="Q1175" s="36">
        <f t="shared" si="74"/>
        <v>48690.600000000006</v>
      </c>
      <c r="R1175">
        <f t="shared" si="75"/>
        <v>2022</v>
      </c>
    </row>
    <row r="1176" spans="1:18" x14ac:dyDescent="0.2">
      <c r="A1176" s="13">
        <v>45293</v>
      </c>
      <c r="B1176" s="13">
        <v>45146</v>
      </c>
      <c r="C1176" s="25" t="s">
        <v>399</v>
      </c>
      <c r="D1176" s="20">
        <v>147</v>
      </c>
      <c r="E1176" s="28">
        <v>48690.6</v>
      </c>
      <c r="F1176" s="22" t="s">
        <v>76</v>
      </c>
      <c r="G1176" s="14">
        <v>70</v>
      </c>
      <c r="H1176" s="40">
        <v>44568</v>
      </c>
      <c r="I1176" s="46">
        <f t="shared" si="72"/>
        <v>725</v>
      </c>
      <c r="J1176" s="1" t="s">
        <v>15</v>
      </c>
      <c r="K1176" s="4" t="s">
        <v>199</v>
      </c>
      <c r="L1176" s="4" t="s">
        <v>225</v>
      </c>
      <c r="M1176" s="8">
        <v>70</v>
      </c>
      <c r="N1176" s="5">
        <v>695.58</v>
      </c>
      <c r="O1176" s="5">
        <v>48690.6</v>
      </c>
      <c r="P1176">
        <f t="shared" si="73"/>
        <v>1</v>
      </c>
      <c r="Q1176" s="36">
        <f t="shared" si="74"/>
        <v>48690.600000000006</v>
      </c>
      <c r="R1176">
        <f t="shared" si="75"/>
        <v>2022</v>
      </c>
    </row>
    <row r="1177" spans="1:18" x14ac:dyDescent="0.2">
      <c r="A1177" s="13">
        <v>45293</v>
      </c>
      <c r="B1177" s="13">
        <v>45139</v>
      </c>
      <c r="C1177" s="25" t="s">
        <v>399</v>
      </c>
      <c r="D1177" s="20">
        <v>154</v>
      </c>
      <c r="E1177" s="28">
        <v>48690.6</v>
      </c>
      <c r="F1177" s="22" t="s">
        <v>76</v>
      </c>
      <c r="G1177" s="14">
        <v>70</v>
      </c>
      <c r="H1177" s="40">
        <v>44568</v>
      </c>
      <c r="I1177" s="46">
        <f t="shared" si="72"/>
        <v>725</v>
      </c>
      <c r="J1177" s="1" t="s">
        <v>15</v>
      </c>
      <c r="K1177" s="4" t="s">
        <v>199</v>
      </c>
      <c r="L1177" s="4" t="s">
        <v>225</v>
      </c>
      <c r="M1177" s="8">
        <v>70</v>
      </c>
      <c r="N1177" s="5">
        <v>695.58</v>
      </c>
      <c r="O1177" s="5">
        <v>48690.6</v>
      </c>
      <c r="P1177">
        <f t="shared" si="73"/>
        <v>1</v>
      </c>
      <c r="Q1177" s="36">
        <f t="shared" si="74"/>
        <v>48690.600000000006</v>
      </c>
      <c r="R1177">
        <f t="shared" si="75"/>
        <v>2022</v>
      </c>
    </row>
    <row r="1178" spans="1:18" x14ac:dyDescent="0.2">
      <c r="A1178" s="13">
        <v>45293</v>
      </c>
      <c r="B1178" s="13">
        <v>45153</v>
      </c>
      <c r="C1178" s="25" t="s">
        <v>399</v>
      </c>
      <c r="D1178" s="20">
        <v>140</v>
      </c>
      <c r="E1178" s="28">
        <v>48690.6</v>
      </c>
      <c r="F1178" s="22" t="s">
        <v>76</v>
      </c>
      <c r="G1178" s="14">
        <v>70</v>
      </c>
      <c r="H1178" s="40">
        <v>44575</v>
      </c>
      <c r="I1178" s="46">
        <f t="shared" si="72"/>
        <v>718</v>
      </c>
      <c r="J1178" s="1" t="s">
        <v>15</v>
      </c>
      <c r="K1178" s="4" t="s">
        <v>199</v>
      </c>
      <c r="L1178" s="4" t="s">
        <v>225</v>
      </c>
      <c r="M1178" s="8">
        <v>70</v>
      </c>
      <c r="N1178" s="5">
        <v>695.58</v>
      </c>
      <c r="O1178" s="5">
        <v>48690.6</v>
      </c>
      <c r="P1178">
        <f t="shared" si="73"/>
        <v>1</v>
      </c>
      <c r="Q1178" s="36">
        <f t="shared" si="74"/>
        <v>48690.600000000006</v>
      </c>
      <c r="R1178">
        <f t="shared" si="75"/>
        <v>2022</v>
      </c>
    </row>
    <row r="1179" spans="1:18" x14ac:dyDescent="0.2">
      <c r="A1179" s="13">
        <v>45293</v>
      </c>
      <c r="B1179" s="13">
        <v>45153</v>
      </c>
      <c r="C1179" s="25" t="s">
        <v>399</v>
      </c>
      <c r="D1179" s="20">
        <v>140</v>
      </c>
      <c r="E1179" s="28">
        <v>48690.6</v>
      </c>
      <c r="F1179" s="22" t="s">
        <v>76</v>
      </c>
      <c r="G1179" s="14">
        <v>70</v>
      </c>
      <c r="H1179" s="40">
        <v>44575</v>
      </c>
      <c r="I1179" s="46">
        <f t="shared" si="72"/>
        <v>718</v>
      </c>
      <c r="J1179" s="1" t="s">
        <v>15</v>
      </c>
      <c r="K1179" s="4" t="s">
        <v>199</v>
      </c>
      <c r="L1179" s="4" t="s">
        <v>225</v>
      </c>
      <c r="M1179" s="8">
        <v>70</v>
      </c>
      <c r="N1179" s="5">
        <v>695.58</v>
      </c>
      <c r="O1179" s="5">
        <v>48690.6</v>
      </c>
      <c r="P1179">
        <f t="shared" si="73"/>
        <v>1</v>
      </c>
      <c r="Q1179" s="36">
        <f t="shared" si="74"/>
        <v>48690.600000000006</v>
      </c>
      <c r="R1179">
        <f t="shared" si="75"/>
        <v>2022</v>
      </c>
    </row>
    <row r="1180" spans="1:18" x14ac:dyDescent="0.2">
      <c r="A1180" s="13">
        <v>45293</v>
      </c>
      <c r="B1180" s="13">
        <v>45153</v>
      </c>
      <c r="C1180" s="25" t="s">
        <v>399</v>
      </c>
      <c r="D1180" s="20">
        <v>140</v>
      </c>
      <c r="E1180" s="28">
        <v>48690.6</v>
      </c>
      <c r="F1180" s="22" t="s">
        <v>76</v>
      </c>
      <c r="G1180" s="14">
        <v>70</v>
      </c>
      <c r="H1180" s="40">
        <v>44575</v>
      </c>
      <c r="I1180" s="46">
        <f t="shared" si="72"/>
        <v>718</v>
      </c>
      <c r="J1180" s="1" t="s">
        <v>15</v>
      </c>
      <c r="K1180" s="4" t="s">
        <v>199</v>
      </c>
      <c r="L1180" s="4" t="s">
        <v>225</v>
      </c>
      <c r="M1180" s="8">
        <v>70</v>
      </c>
      <c r="N1180" s="5">
        <v>695.58</v>
      </c>
      <c r="O1180" s="5">
        <v>48690.6</v>
      </c>
      <c r="P1180">
        <f t="shared" si="73"/>
        <v>1</v>
      </c>
      <c r="Q1180" s="36">
        <f t="shared" si="74"/>
        <v>48690.600000000006</v>
      </c>
      <c r="R1180">
        <f t="shared" si="75"/>
        <v>2022</v>
      </c>
    </row>
    <row r="1181" spans="1:18" x14ac:dyDescent="0.2">
      <c r="A1181" s="13">
        <v>45293</v>
      </c>
      <c r="B1181" s="13">
        <v>45160</v>
      </c>
      <c r="C1181" s="25" t="s">
        <v>399</v>
      </c>
      <c r="D1181" s="20">
        <v>133</v>
      </c>
      <c r="E1181" s="28">
        <v>48690.6</v>
      </c>
      <c r="F1181" s="22" t="s">
        <v>76</v>
      </c>
      <c r="G1181" s="14">
        <v>70</v>
      </c>
      <c r="H1181" s="40">
        <v>44581</v>
      </c>
      <c r="I1181" s="46">
        <f t="shared" si="72"/>
        <v>712</v>
      </c>
      <c r="J1181" s="1" t="s">
        <v>15</v>
      </c>
      <c r="K1181" s="4" t="s">
        <v>199</v>
      </c>
      <c r="L1181" s="4" t="s">
        <v>225</v>
      </c>
      <c r="M1181" s="8">
        <v>70</v>
      </c>
      <c r="N1181" s="5">
        <v>695.58</v>
      </c>
      <c r="O1181" s="5">
        <v>48690.6</v>
      </c>
      <c r="P1181">
        <f t="shared" si="73"/>
        <v>1</v>
      </c>
      <c r="Q1181" s="36">
        <f t="shared" si="74"/>
        <v>48690.600000000006</v>
      </c>
      <c r="R1181">
        <f t="shared" si="75"/>
        <v>2022</v>
      </c>
    </row>
    <row r="1182" spans="1:18" x14ac:dyDescent="0.2">
      <c r="A1182" s="13">
        <v>45293</v>
      </c>
      <c r="B1182" s="13">
        <v>45160</v>
      </c>
      <c r="C1182" s="25" t="s">
        <v>399</v>
      </c>
      <c r="D1182" s="20">
        <v>133</v>
      </c>
      <c r="E1182" s="28">
        <v>48690.6</v>
      </c>
      <c r="F1182" s="22" t="s">
        <v>76</v>
      </c>
      <c r="G1182" s="14">
        <v>70</v>
      </c>
      <c r="H1182" s="40">
        <v>44581</v>
      </c>
      <c r="I1182" s="46">
        <f t="shared" si="72"/>
        <v>712</v>
      </c>
      <c r="J1182" s="1" t="s">
        <v>15</v>
      </c>
      <c r="K1182" s="4" t="s">
        <v>199</v>
      </c>
      <c r="L1182" s="4" t="s">
        <v>225</v>
      </c>
      <c r="M1182" s="8">
        <v>70</v>
      </c>
      <c r="N1182" s="5">
        <v>695.58</v>
      </c>
      <c r="O1182" s="5">
        <v>48690.6</v>
      </c>
      <c r="P1182">
        <f t="shared" si="73"/>
        <v>1</v>
      </c>
      <c r="Q1182" s="36">
        <f t="shared" si="74"/>
        <v>48690.600000000006</v>
      </c>
      <c r="R1182">
        <f t="shared" si="75"/>
        <v>2022</v>
      </c>
    </row>
    <row r="1183" spans="1:18" x14ac:dyDescent="0.2">
      <c r="A1183" s="13">
        <v>45293</v>
      </c>
      <c r="B1183" s="13">
        <v>45160</v>
      </c>
      <c r="C1183" s="25" t="s">
        <v>399</v>
      </c>
      <c r="D1183" s="20">
        <v>133</v>
      </c>
      <c r="E1183" s="28">
        <v>48690.6</v>
      </c>
      <c r="F1183" s="22" t="s">
        <v>76</v>
      </c>
      <c r="G1183" s="14">
        <v>70</v>
      </c>
      <c r="H1183" s="40">
        <v>44581</v>
      </c>
      <c r="I1183" s="46">
        <f t="shared" si="72"/>
        <v>712</v>
      </c>
      <c r="J1183" s="1" t="s">
        <v>15</v>
      </c>
      <c r="K1183" s="4" t="s">
        <v>199</v>
      </c>
      <c r="L1183" s="4" t="s">
        <v>225</v>
      </c>
      <c r="M1183" s="8">
        <v>70</v>
      </c>
      <c r="N1183" s="5">
        <v>695.58</v>
      </c>
      <c r="O1183" s="5">
        <v>48690.6</v>
      </c>
      <c r="P1183">
        <f t="shared" si="73"/>
        <v>1</v>
      </c>
      <c r="Q1183" s="36">
        <f t="shared" si="74"/>
        <v>48690.600000000006</v>
      </c>
      <c r="R1183">
        <f t="shared" si="75"/>
        <v>2022</v>
      </c>
    </row>
    <row r="1184" spans="1:18" x14ac:dyDescent="0.2">
      <c r="A1184" s="13">
        <v>45293</v>
      </c>
      <c r="B1184" s="13">
        <v>45160</v>
      </c>
      <c r="C1184" s="25" t="s">
        <v>399</v>
      </c>
      <c r="D1184" s="20">
        <v>133</v>
      </c>
      <c r="E1184" s="28">
        <v>48690.6</v>
      </c>
      <c r="F1184" s="22" t="s">
        <v>76</v>
      </c>
      <c r="G1184" s="14">
        <v>70</v>
      </c>
      <c r="H1184" s="40">
        <v>44581</v>
      </c>
      <c r="I1184" s="46">
        <f t="shared" si="72"/>
        <v>712</v>
      </c>
      <c r="J1184" s="1" t="s">
        <v>15</v>
      </c>
      <c r="K1184" s="4" t="s">
        <v>199</v>
      </c>
      <c r="L1184" s="4" t="s">
        <v>225</v>
      </c>
      <c r="M1184" s="8">
        <v>70</v>
      </c>
      <c r="N1184" s="5">
        <v>695.58</v>
      </c>
      <c r="O1184" s="5">
        <v>48690.6</v>
      </c>
      <c r="P1184">
        <f t="shared" si="73"/>
        <v>1</v>
      </c>
      <c r="Q1184" s="36">
        <f t="shared" si="74"/>
        <v>48690.600000000006</v>
      </c>
      <c r="R1184">
        <f t="shared" si="75"/>
        <v>2022</v>
      </c>
    </row>
    <row r="1185" spans="1:18" x14ac:dyDescent="0.2">
      <c r="A1185" s="13">
        <v>45293</v>
      </c>
      <c r="B1185" s="13">
        <v>45167</v>
      </c>
      <c r="C1185" s="25" t="s">
        <v>399</v>
      </c>
      <c r="D1185" s="20">
        <v>126</v>
      </c>
      <c r="E1185" s="28">
        <v>48690.6</v>
      </c>
      <c r="F1185" s="22" t="s">
        <v>76</v>
      </c>
      <c r="G1185" s="14">
        <v>70</v>
      </c>
      <c r="H1185" s="40">
        <v>44595</v>
      </c>
      <c r="I1185" s="46">
        <f t="shared" si="72"/>
        <v>698</v>
      </c>
      <c r="J1185" s="1" t="s">
        <v>15</v>
      </c>
      <c r="K1185" s="4" t="s">
        <v>200</v>
      </c>
      <c r="L1185" s="4" t="s">
        <v>225</v>
      </c>
      <c r="M1185" s="8">
        <v>70</v>
      </c>
      <c r="N1185" s="5">
        <v>695.58</v>
      </c>
      <c r="O1185" s="5">
        <v>48690.6</v>
      </c>
      <c r="P1185">
        <f t="shared" si="73"/>
        <v>1</v>
      </c>
      <c r="Q1185" s="36">
        <f t="shared" si="74"/>
        <v>48690.600000000006</v>
      </c>
      <c r="R1185">
        <f t="shared" si="75"/>
        <v>2022</v>
      </c>
    </row>
    <row r="1186" spans="1:18" x14ac:dyDescent="0.2">
      <c r="A1186" s="13">
        <v>45299</v>
      </c>
      <c r="B1186" s="13">
        <v>45167</v>
      </c>
      <c r="C1186" s="25" t="s">
        <v>399</v>
      </c>
      <c r="D1186" s="20">
        <v>132</v>
      </c>
      <c r="E1186" s="28">
        <v>48690.6</v>
      </c>
      <c r="F1186" s="22" t="s">
        <v>76</v>
      </c>
      <c r="G1186" s="14">
        <v>70</v>
      </c>
      <c r="H1186" s="40">
        <v>44595</v>
      </c>
      <c r="I1186" s="46">
        <f t="shared" si="72"/>
        <v>704</v>
      </c>
      <c r="J1186" s="1" t="s">
        <v>15</v>
      </c>
      <c r="K1186" s="4" t="s">
        <v>200</v>
      </c>
      <c r="L1186" s="4" t="s">
        <v>225</v>
      </c>
      <c r="M1186" s="8">
        <v>70</v>
      </c>
      <c r="N1186" s="5">
        <v>695.58</v>
      </c>
      <c r="O1186" s="5">
        <v>48690.6</v>
      </c>
      <c r="P1186">
        <f t="shared" si="73"/>
        <v>1</v>
      </c>
      <c r="Q1186" s="36">
        <f t="shared" si="74"/>
        <v>48690.600000000006</v>
      </c>
      <c r="R1186">
        <f t="shared" si="75"/>
        <v>2022</v>
      </c>
    </row>
    <row r="1187" spans="1:18" x14ac:dyDescent="0.2">
      <c r="A1187" s="13">
        <v>45299</v>
      </c>
      <c r="B1187" s="13">
        <v>45167</v>
      </c>
      <c r="C1187" s="25" t="s">
        <v>399</v>
      </c>
      <c r="D1187" s="20">
        <v>132</v>
      </c>
      <c r="E1187" s="28">
        <v>48690.6</v>
      </c>
      <c r="F1187" s="22" t="s">
        <v>76</v>
      </c>
      <c r="G1187" s="14">
        <v>70</v>
      </c>
      <c r="H1187" s="40">
        <v>44595</v>
      </c>
      <c r="I1187" s="46">
        <f t="shared" si="72"/>
        <v>704</v>
      </c>
      <c r="J1187" s="1" t="s">
        <v>15</v>
      </c>
      <c r="K1187" s="4" t="s">
        <v>200</v>
      </c>
      <c r="L1187" s="4" t="s">
        <v>225</v>
      </c>
      <c r="M1187" s="8">
        <v>70</v>
      </c>
      <c r="N1187" s="5">
        <v>695.58</v>
      </c>
      <c r="O1187" s="5">
        <v>48690.6</v>
      </c>
      <c r="P1187">
        <f t="shared" si="73"/>
        <v>1</v>
      </c>
      <c r="Q1187" s="36">
        <f t="shared" si="74"/>
        <v>48690.600000000006</v>
      </c>
      <c r="R1187">
        <f t="shared" si="75"/>
        <v>2022</v>
      </c>
    </row>
    <row r="1188" spans="1:18" x14ac:dyDescent="0.2">
      <c r="A1188" s="13">
        <v>45299</v>
      </c>
      <c r="B1188" s="13">
        <v>45160</v>
      </c>
      <c r="C1188" s="25" t="s">
        <v>399</v>
      </c>
      <c r="D1188" s="20">
        <v>139</v>
      </c>
      <c r="E1188" s="28">
        <v>48690.6</v>
      </c>
      <c r="F1188" s="22" t="s">
        <v>76</v>
      </c>
      <c r="G1188" s="14">
        <v>70</v>
      </c>
      <c r="H1188" s="40">
        <v>44595</v>
      </c>
      <c r="I1188" s="46">
        <f t="shared" si="72"/>
        <v>704</v>
      </c>
      <c r="J1188" s="1" t="s">
        <v>15</v>
      </c>
      <c r="K1188" s="4" t="s">
        <v>200</v>
      </c>
      <c r="L1188" s="4" t="s">
        <v>225</v>
      </c>
      <c r="M1188" s="8">
        <v>70</v>
      </c>
      <c r="N1188" s="5">
        <v>695.58</v>
      </c>
      <c r="O1188" s="5">
        <v>48690.6</v>
      </c>
      <c r="P1188">
        <f t="shared" si="73"/>
        <v>1</v>
      </c>
      <c r="Q1188" s="36">
        <f t="shared" si="74"/>
        <v>48690.600000000006</v>
      </c>
      <c r="R1188">
        <f t="shared" si="75"/>
        <v>2022</v>
      </c>
    </row>
    <row r="1189" spans="1:18" x14ac:dyDescent="0.2">
      <c r="A1189" s="13">
        <v>45299</v>
      </c>
      <c r="B1189" s="13">
        <v>45167</v>
      </c>
      <c r="C1189" s="25" t="s">
        <v>399</v>
      </c>
      <c r="D1189" s="20">
        <v>132</v>
      </c>
      <c r="E1189" s="28">
        <v>48690.6</v>
      </c>
      <c r="F1189" s="22" t="s">
        <v>76</v>
      </c>
      <c r="G1189" s="14">
        <v>70</v>
      </c>
      <c r="H1189" s="40">
        <v>44603</v>
      </c>
      <c r="I1189" s="46">
        <f t="shared" si="72"/>
        <v>696</v>
      </c>
      <c r="J1189" s="1" t="s">
        <v>15</v>
      </c>
      <c r="K1189" s="4" t="s">
        <v>199</v>
      </c>
      <c r="L1189" s="4" t="s">
        <v>225</v>
      </c>
      <c r="M1189" s="8">
        <v>70</v>
      </c>
      <c r="N1189" s="5">
        <v>695.58</v>
      </c>
      <c r="O1189" s="5">
        <v>48690.6</v>
      </c>
      <c r="P1189">
        <f t="shared" si="73"/>
        <v>1</v>
      </c>
      <c r="Q1189" s="36">
        <f t="shared" si="74"/>
        <v>48690.600000000006</v>
      </c>
      <c r="R1189">
        <f t="shared" si="75"/>
        <v>2022</v>
      </c>
    </row>
    <row r="1190" spans="1:18" x14ac:dyDescent="0.2">
      <c r="A1190" s="13">
        <v>45307</v>
      </c>
      <c r="B1190" s="13">
        <v>45188</v>
      </c>
      <c r="C1190" s="25" t="s">
        <v>399</v>
      </c>
      <c r="D1190" s="20">
        <v>119</v>
      </c>
      <c r="E1190" s="28">
        <v>48690.6</v>
      </c>
      <c r="F1190" s="22" t="s">
        <v>76</v>
      </c>
      <c r="G1190" s="14">
        <v>70</v>
      </c>
      <c r="H1190" s="40">
        <v>44608</v>
      </c>
      <c r="I1190" s="46">
        <f t="shared" si="72"/>
        <v>699</v>
      </c>
      <c r="J1190" s="1" t="s">
        <v>15</v>
      </c>
      <c r="K1190" s="4" t="s">
        <v>199</v>
      </c>
      <c r="L1190" s="4" t="s">
        <v>225</v>
      </c>
      <c r="M1190" s="8">
        <v>70</v>
      </c>
      <c r="N1190" s="5">
        <v>695.58</v>
      </c>
      <c r="O1190" s="5">
        <v>48690.6</v>
      </c>
      <c r="P1190">
        <f t="shared" si="73"/>
        <v>1</v>
      </c>
      <c r="Q1190" s="36">
        <f t="shared" si="74"/>
        <v>48690.600000000006</v>
      </c>
      <c r="R1190">
        <f t="shared" si="75"/>
        <v>2022</v>
      </c>
    </row>
    <row r="1191" spans="1:18" x14ac:dyDescent="0.2">
      <c r="A1191" s="13">
        <v>45307</v>
      </c>
      <c r="B1191" s="13">
        <v>45188</v>
      </c>
      <c r="C1191" s="25" t="s">
        <v>399</v>
      </c>
      <c r="D1191" s="20">
        <v>119</v>
      </c>
      <c r="E1191" s="28">
        <v>48690.6</v>
      </c>
      <c r="F1191" s="22" t="s">
        <v>76</v>
      </c>
      <c r="G1191" s="14">
        <v>70</v>
      </c>
      <c r="H1191" s="40">
        <v>44608</v>
      </c>
      <c r="I1191" s="46">
        <f t="shared" si="72"/>
        <v>699</v>
      </c>
      <c r="J1191" s="1" t="s">
        <v>15</v>
      </c>
      <c r="K1191" s="4" t="s">
        <v>199</v>
      </c>
      <c r="L1191" s="4" t="s">
        <v>225</v>
      </c>
      <c r="M1191" s="8">
        <v>70</v>
      </c>
      <c r="N1191" s="5">
        <v>695.58</v>
      </c>
      <c r="O1191" s="5">
        <v>48690.6</v>
      </c>
      <c r="P1191">
        <f t="shared" si="73"/>
        <v>1</v>
      </c>
      <c r="Q1191" s="36">
        <f t="shared" si="74"/>
        <v>48690.600000000006</v>
      </c>
      <c r="R1191">
        <f t="shared" si="75"/>
        <v>2022</v>
      </c>
    </row>
    <row r="1192" spans="1:18" x14ac:dyDescent="0.2">
      <c r="A1192" s="13">
        <v>45307</v>
      </c>
      <c r="B1192" s="13">
        <v>45188</v>
      </c>
      <c r="C1192" s="25" t="s">
        <v>399</v>
      </c>
      <c r="D1192" s="20">
        <v>119</v>
      </c>
      <c r="E1192" s="28">
        <v>48690.6</v>
      </c>
      <c r="F1192" s="22" t="s">
        <v>76</v>
      </c>
      <c r="G1192" s="14">
        <v>70</v>
      </c>
      <c r="H1192" s="40">
        <v>44608</v>
      </c>
      <c r="I1192" s="46">
        <f t="shared" si="72"/>
        <v>699</v>
      </c>
      <c r="J1192" s="1" t="s">
        <v>15</v>
      </c>
      <c r="K1192" s="4" t="s">
        <v>199</v>
      </c>
      <c r="L1192" s="4" t="s">
        <v>225</v>
      </c>
      <c r="M1192" s="8">
        <v>70</v>
      </c>
      <c r="N1192" s="5">
        <v>695.58</v>
      </c>
      <c r="O1192" s="5">
        <v>48690.6</v>
      </c>
      <c r="P1192">
        <f t="shared" si="73"/>
        <v>1</v>
      </c>
      <c r="Q1192" s="36">
        <f t="shared" si="74"/>
        <v>48690.600000000006</v>
      </c>
      <c r="R1192">
        <f t="shared" si="75"/>
        <v>2022</v>
      </c>
    </row>
    <row r="1193" spans="1:18" x14ac:dyDescent="0.2">
      <c r="A1193" s="13">
        <v>45307</v>
      </c>
      <c r="B1193" s="13">
        <v>45188</v>
      </c>
      <c r="C1193" s="25" t="s">
        <v>399</v>
      </c>
      <c r="D1193" s="20">
        <v>119</v>
      </c>
      <c r="E1193" s="28">
        <v>48690.6</v>
      </c>
      <c r="F1193" s="22" t="s">
        <v>76</v>
      </c>
      <c r="G1193" s="14">
        <v>70</v>
      </c>
      <c r="H1193" s="40">
        <v>44608</v>
      </c>
      <c r="I1193" s="46">
        <f t="shared" si="72"/>
        <v>699</v>
      </c>
      <c r="J1193" s="1" t="s">
        <v>15</v>
      </c>
      <c r="K1193" s="4" t="s">
        <v>199</v>
      </c>
      <c r="L1193" s="4" t="s">
        <v>225</v>
      </c>
      <c r="M1193" s="8">
        <v>70</v>
      </c>
      <c r="N1193" s="5">
        <v>695.58</v>
      </c>
      <c r="O1193" s="5">
        <v>48690.6</v>
      </c>
      <c r="P1193">
        <f t="shared" si="73"/>
        <v>1</v>
      </c>
      <c r="Q1193" s="36">
        <f t="shared" si="74"/>
        <v>48690.600000000006</v>
      </c>
      <c r="R1193">
        <f t="shared" si="75"/>
        <v>2022</v>
      </c>
    </row>
    <row r="1194" spans="1:18" x14ac:dyDescent="0.2">
      <c r="A1194" s="13">
        <v>45307</v>
      </c>
      <c r="B1194" s="13">
        <v>45188</v>
      </c>
      <c r="C1194" s="25" t="s">
        <v>399</v>
      </c>
      <c r="D1194" s="20">
        <v>119</v>
      </c>
      <c r="E1194" s="28">
        <v>48690.6</v>
      </c>
      <c r="F1194" s="22" t="s">
        <v>76</v>
      </c>
      <c r="G1194" s="14">
        <v>70</v>
      </c>
      <c r="H1194" s="40">
        <v>44608</v>
      </c>
      <c r="I1194" s="46">
        <f t="shared" si="72"/>
        <v>699</v>
      </c>
      <c r="J1194" s="1" t="s">
        <v>15</v>
      </c>
      <c r="K1194" s="4" t="s">
        <v>199</v>
      </c>
      <c r="L1194" s="4" t="s">
        <v>225</v>
      </c>
      <c r="M1194" s="8">
        <v>70</v>
      </c>
      <c r="N1194" s="5">
        <v>695.58</v>
      </c>
      <c r="O1194" s="5">
        <v>48690.6</v>
      </c>
      <c r="P1194">
        <f t="shared" si="73"/>
        <v>1</v>
      </c>
      <c r="Q1194" s="36">
        <f t="shared" si="74"/>
        <v>48690.600000000006</v>
      </c>
      <c r="R1194">
        <f t="shared" si="75"/>
        <v>2022</v>
      </c>
    </row>
    <row r="1195" spans="1:18" x14ac:dyDescent="0.2">
      <c r="A1195" s="13">
        <v>45307</v>
      </c>
      <c r="B1195" s="13">
        <v>45195</v>
      </c>
      <c r="C1195" s="25" t="s">
        <v>399</v>
      </c>
      <c r="D1195" s="20">
        <v>112</v>
      </c>
      <c r="E1195" s="28">
        <v>48690.6</v>
      </c>
      <c r="F1195" s="22" t="s">
        <v>76</v>
      </c>
      <c r="G1195" s="14">
        <v>70</v>
      </c>
      <c r="H1195" s="40">
        <v>44617</v>
      </c>
      <c r="I1195" s="46">
        <f t="shared" si="72"/>
        <v>690</v>
      </c>
      <c r="J1195" s="1" t="s">
        <v>15</v>
      </c>
      <c r="K1195" s="4" t="s">
        <v>199</v>
      </c>
      <c r="L1195" s="4" t="s">
        <v>225</v>
      </c>
      <c r="M1195" s="8">
        <v>70</v>
      </c>
      <c r="N1195" s="5">
        <v>695.58</v>
      </c>
      <c r="O1195" s="5">
        <v>48690.6</v>
      </c>
      <c r="P1195">
        <f t="shared" si="73"/>
        <v>1</v>
      </c>
      <c r="Q1195" s="36">
        <f t="shared" si="74"/>
        <v>48690.600000000006</v>
      </c>
      <c r="R1195">
        <f t="shared" si="75"/>
        <v>2022</v>
      </c>
    </row>
    <row r="1196" spans="1:18" x14ac:dyDescent="0.2">
      <c r="A1196" s="13">
        <v>45307</v>
      </c>
      <c r="B1196" s="13">
        <v>45195</v>
      </c>
      <c r="C1196" s="25" t="s">
        <v>399</v>
      </c>
      <c r="D1196" s="20">
        <v>112</v>
      </c>
      <c r="E1196" s="28">
        <v>48690.6</v>
      </c>
      <c r="F1196" s="22" t="s">
        <v>76</v>
      </c>
      <c r="G1196" s="14">
        <v>70</v>
      </c>
      <c r="H1196" s="40">
        <v>44617</v>
      </c>
      <c r="I1196" s="46">
        <f t="shared" si="72"/>
        <v>690</v>
      </c>
      <c r="J1196" s="1" t="s">
        <v>15</v>
      </c>
      <c r="K1196" s="4" t="s">
        <v>199</v>
      </c>
      <c r="L1196" s="4" t="s">
        <v>225</v>
      </c>
      <c r="M1196" s="8">
        <v>70</v>
      </c>
      <c r="N1196" s="5">
        <v>695.58</v>
      </c>
      <c r="O1196" s="5">
        <v>48690.6</v>
      </c>
      <c r="P1196">
        <f t="shared" si="73"/>
        <v>1</v>
      </c>
      <c r="Q1196" s="36">
        <f t="shared" si="74"/>
        <v>48690.600000000006</v>
      </c>
      <c r="R1196">
        <f t="shared" si="75"/>
        <v>2022</v>
      </c>
    </row>
    <row r="1197" spans="1:18" x14ac:dyDescent="0.2">
      <c r="A1197" s="13">
        <v>45307</v>
      </c>
      <c r="B1197" s="13">
        <v>45202</v>
      </c>
      <c r="C1197" s="25" t="s">
        <v>399</v>
      </c>
      <c r="D1197" s="20">
        <v>105</v>
      </c>
      <c r="E1197" s="28">
        <v>48690.6</v>
      </c>
      <c r="F1197" s="22" t="s">
        <v>76</v>
      </c>
      <c r="G1197" s="14">
        <v>70</v>
      </c>
      <c r="H1197" s="40">
        <v>44622</v>
      </c>
      <c r="I1197" s="46">
        <f t="shared" si="72"/>
        <v>685</v>
      </c>
      <c r="J1197" s="1" t="s">
        <v>15</v>
      </c>
      <c r="K1197" s="4" t="s">
        <v>199</v>
      </c>
      <c r="L1197" s="4" t="s">
        <v>225</v>
      </c>
      <c r="M1197" s="8">
        <v>70</v>
      </c>
      <c r="N1197" s="5">
        <v>695.58</v>
      </c>
      <c r="O1197" s="5">
        <v>48690.6</v>
      </c>
      <c r="P1197">
        <f t="shared" si="73"/>
        <v>1</v>
      </c>
      <c r="Q1197" s="36">
        <f t="shared" si="74"/>
        <v>48690.600000000006</v>
      </c>
      <c r="R1197">
        <f t="shared" si="75"/>
        <v>2022</v>
      </c>
    </row>
    <row r="1198" spans="1:18" x14ac:dyDescent="0.2">
      <c r="A1198" s="13">
        <v>45307</v>
      </c>
      <c r="B1198" s="13">
        <v>45202</v>
      </c>
      <c r="C1198" s="25" t="s">
        <v>399</v>
      </c>
      <c r="D1198" s="20">
        <v>105</v>
      </c>
      <c r="E1198" s="28">
        <v>48690.6</v>
      </c>
      <c r="F1198" s="22" t="s">
        <v>76</v>
      </c>
      <c r="G1198" s="14">
        <v>70</v>
      </c>
      <c r="H1198" s="40">
        <v>44622</v>
      </c>
      <c r="I1198" s="46">
        <f t="shared" si="72"/>
        <v>685</v>
      </c>
      <c r="J1198" s="1" t="s">
        <v>15</v>
      </c>
      <c r="K1198" s="4" t="s">
        <v>199</v>
      </c>
      <c r="L1198" s="4" t="s">
        <v>225</v>
      </c>
      <c r="M1198" s="8">
        <v>70</v>
      </c>
      <c r="N1198" s="5">
        <v>695.58</v>
      </c>
      <c r="O1198" s="5">
        <v>48690.6</v>
      </c>
      <c r="P1198">
        <f t="shared" si="73"/>
        <v>1</v>
      </c>
      <c r="Q1198" s="36">
        <f t="shared" si="74"/>
        <v>48690.600000000006</v>
      </c>
      <c r="R1198">
        <f t="shared" si="75"/>
        <v>2022</v>
      </c>
    </row>
    <row r="1199" spans="1:18" x14ac:dyDescent="0.2">
      <c r="A1199" s="13">
        <v>45307</v>
      </c>
      <c r="B1199" s="13">
        <v>45202</v>
      </c>
      <c r="C1199" s="25" t="s">
        <v>399</v>
      </c>
      <c r="D1199" s="20">
        <v>105</v>
      </c>
      <c r="E1199" s="28">
        <v>48690.6</v>
      </c>
      <c r="F1199" s="22" t="s">
        <v>76</v>
      </c>
      <c r="G1199" s="14">
        <v>70</v>
      </c>
      <c r="H1199" s="40">
        <v>44622</v>
      </c>
      <c r="I1199" s="46">
        <f t="shared" si="72"/>
        <v>685</v>
      </c>
      <c r="J1199" s="1" t="s">
        <v>15</v>
      </c>
      <c r="K1199" s="4" t="s">
        <v>199</v>
      </c>
      <c r="L1199" s="4" t="s">
        <v>225</v>
      </c>
      <c r="M1199" s="8">
        <v>70</v>
      </c>
      <c r="N1199" s="5">
        <v>695.58</v>
      </c>
      <c r="O1199" s="5">
        <v>48690.6</v>
      </c>
      <c r="P1199">
        <f t="shared" si="73"/>
        <v>1</v>
      </c>
      <c r="Q1199" s="36">
        <f t="shared" si="74"/>
        <v>48690.600000000006</v>
      </c>
      <c r="R1199">
        <f t="shared" si="75"/>
        <v>2022</v>
      </c>
    </row>
    <row r="1200" spans="1:18" x14ac:dyDescent="0.2">
      <c r="A1200" s="13">
        <v>45307</v>
      </c>
      <c r="B1200" s="13">
        <v>45209</v>
      </c>
      <c r="C1200" s="25" t="s">
        <v>399</v>
      </c>
      <c r="D1200" s="20">
        <v>98</v>
      </c>
      <c r="E1200" s="28">
        <v>48690.6</v>
      </c>
      <c r="F1200" s="22" t="s">
        <v>76</v>
      </c>
      <c r="G1200" s="14">
        <v>70</v>
      </c>
      <c r="H1200" s="40">
        <v>44630</v>
      </c>
      <c r="I1200" s="46">
        <f t="shared" si="72"/>
        <v>677</v>
      </c>
      <c r="J1200" s="1" t="s">
        <v>15</v>
      </c>
      <c r="K1200" s="4" t="s">
        <v>199</v>
      </c>
      <c r="L1200" s="4" t="s">
        <v>225</v>
      </c>
      <c r="M1200" s="8">
        <v>70</v>
      </c>
      <c r="N1200" s="5">
        <v>695.58</v>
      </c>
      <c r="O1200" s="5">
        <v>48690.6</v>
      </c>
      <c r="P1200">
        <f t="shared" si="73"/>
        <v>1</v>
      </c>
      <c r="Q1200" s="36">
        <f t="shared" si="74"/>
        <v>48690.600000000006</v>
      </c>
      <c r="R1200">
        <f t="shared" si="75"/>
        <v>2022</v>
      </c>
    </row>
    <row r="1201" spans="1:18" x14ac:dyDescent="0.2">
      <c r="A1201" s="13">
        <v>45310</v>
      </c>
      <c r="B1201" s="13">
        <v>45209</v>
      </c>
      <c r="C1201" s="25" t="s">
        <v>399</v>
      </c>
      <c r="D1201" s="20">
        <v>101</v>
      </c>
      <c r="E1201" s="28">
        <v>48690.6</v>
      </c>
      <c r="F1201" s="22" t="s">
        <v>76</v>
      </c>
      <c r="G1201" s="14">
        <v>70</v>
      </c>
      <c r="H1201" s="40">
        <v>44630</v>
      </c>
      <c r="I1201" s="46">
        <f t="shared" si="72"/>
        <v>680</v>
      </c>
      <c r="J1201" s="1" t="s">
        <v>15</v>
      </c>
      <c r="K1201" s="4" t="s">
        <v>199</v>
      </c>
      <c r="L1201" s="4" t="s">
        <v>225</v>
      </c>
      <c r="M1201" s="8">
        <v>70</v>
      </c>
      <c r="N1201" s="5">
        <v>695.58</v>
      </c>
      <c r="O1201" s="5">
        <v>48690.6</v>
      </c>
      <c r="P1201">
        <f t="shared" si="73"/>
        <v>1</v>
      </c>
      <c r="Q1201" s="36">
        <f t="shared" si="74"/>
        <v>48690.600000000006</v>
      </c>
      <c r="R1201">
        <f t="shared" si="75"/>
        <v>2022</v>
      </c>
    </row>
    <row r="1202" spans="1:18" x14ac:dyDescent="0.2">
      <c r="A1202" s="13">
        <v>45310</v>
      </c>
      <c r="B1202" s="13">
        <v>45209</v>
      </c>
      <c r="C1202" s="25" t="s">
        <v>399</v>
      </c>
      <c r="D1202" s="20">
        <v>101</v>
      </c>
      <c r="E1202" s="28">
        <v>48690.6</v>
      </c>
      <c r="F1202" s="22" t="s">
        <v>76</v>
      </c>
      <c r="G1202" s="14">
        <v>70</v>
      </c>
      <c r="H1202" s="40">
        <v>44630</v>
      </c>
      <c r="I1202" s="46">
        <f t="shared" si="72"/>
        <v>680</v>
      </c>
      <c r="J1202" s="1" t="s">
        <v>15</v>
      </c>
      <c r="K1202" s="4" t="s">
        <v>199</v>
      </c>
      <c r="L1202" s="4" t="s">
        <v>225</v>
      </c>
      <c r="M1202" s="8">
        <v>70</v>
      </c>
      <c r="N1202" s="5">
        <v>695.58</v>
      </c>
      <c r="O1202" s="5">
        <v>48690.6</v>
      </c>
      <c r="P1202">
        <f t="shared" si="73"/>
        <v>1</v>
      </c>
      <c r="Q1202" s="36">
        <f t="shared" si="74"/>
        <v>48690.600000000006</v>
      </c>
      <c r="R1202">
        <f t="shared" si="75"/>
        <v>2022</v>
      </c>
    </row>
    <row r="1203" spans="1:18" x14ac:dyDescent="0.2">
      <c r="A1203" s="13">
        <v>45310</v>
      </c>
      <c r="B1203" s="13">
        <v>45209</v>
      </c>
      <c r="C1203" s="25" t="s">
        <v>399</v>
      </c>
      <c r="D1203" s="20">
        <v>101</v>
      </c>
      <c r="E1203" s="28">
        <v>48690.6</v>
      </c>
      <c r="F1203" s="22" t="s">
        <v>76</v>
      </c>
      <c r="G1203" s="14">
        <v>70</v>
      </c>
      <c r="H1203" s="40">
        <v>44630</v>
      </c>
      <c r="I1203" s="46">
        <f t="shared" si="72"/>
        <v>680</v>
      </c>
      <c r="J1203" s="1" t="s">
        <v>15</v>
      </c>
      <c r="K1203" s="4" t="s">
        <v>199</v>
      </c>
      <c r="L1203" s="4" t="s">
        <v>225</v>
      </c>
      <c r="M1203" s="8">
        <v>70</v>
      </c>
      <c r="N1203" s="5">
        <v>695.58</v>
      </c>
      <c r="O1203" s="5">
        <v>48690.6</v>
      </c>
      <c r="P1203">
        <f t="shared" si="73"/>
        <v>1</v>
      </c>
      <c r="Q1203" s="36">
        <f t="shared" si="74"/>
        <v>48690.600000000006</v>
      </c>
      <c r="R1203">
        <f t="shared" si="75"/>
        <v>2022</v>
      </c>
    </row>
    <row r="1204" spans="1:18" x14ac:dyDescent="0.2">
      <c r="A1204" s="13">
        <v>45310</v>
      </c>
      <c r="B1204" s="13">
        <v>45216</v>
      </c>
      <c r="C1204" s="25" t="s">
        <v>399</v>
      </c>
      <c r="D1204" s="20">
        <v>94</v>
      </c>
      <c r="E1204" s="28">
        <v>48690.6</v>
      </c>
      <c r="F1204" s="22" t="s">
        <v>76</v>
      </c>
      <c r="G1204" s="14">
        <v>70</v>
      </c>
      <c r="H1204" s="40">
        <v>44637</v>
      </c>
      <c r="I1204" s="46">
        <f t="shared" si="72"/>
        <v>673</v>
      </c>
      <c r="J1204" s="1" t="s">
        <v>15</v>
      </c>
      <c r="K1204" s="4" t="s">
        <v>199</v>
      </c>
      <c r="L1204" s="4" t="s">
        <v>225</v>
      </c>
      <c r="M1204" s="8">
        <v>70</v>
      </c>
      <c r="N1204" s="5">
        <v>695.58</v>
      </c>
      <c r="O1204" s="5">
        <v>48690.6</v>
      </c>
      <c r="P1204">
        <f t="shared" si="73"/>
        <v>1</v>
      </c>
      <c r="Q1204" s="36">
        <f t="shared" si="74"/>
        <v>48690.600000000006</v>
      </c>
      <c r="R1204">
        <f t="shared" si="75"/>
        <v>2022</v>
      </c>
    </row>
    <row r="1205" spans="1:18" x14ac:dyDescent="0.2">
      <c r="A1205" s="13">
        <v>45310</v>
      </c>
      <c r="B1205" s="13">
        <v>45216</v>
      </c>
      <c r="C1205" s="25" t="s">
        <v>399</v>
      </c>
      <c r="D1205" s="20">
        <v>94</v>
      </c>
      <c r="E1205" s="28">
        <v>48690.6</v>
      </c>
      <c r="F1205" s="22" t="s">
        <v>76</v>
      </c>
      <c r="G1205" s="14">
        <v>70</v>
      </c>
      <c r="H1205" s="40">
        <v>44637</v>
      </c>
      <c r="I1205" s="46">
        <f t="shared" si="72"/>
        <v>673</v>
      </c>
      <c r="J1205" s="1" t="s">
        <v>15</v>
      </c>
      <c r="K1205" s="4" t="s">
        <v>199</v>
      </c>
      <c r="L1205" s="4" t="s">
        <v>225</v>
      </c>
      <c r="M1205" s="8">
        <v>70</v>
      </c>
      <c r="N1205" s="5">
        <v>695.58</v>
      </c>
      <c r="O1205" s="5">
        <v>48690.6</v>
      </c>
      <c r="P1205">
        <f t="shared" si="73"/>
        <v>1</v>
      </c>
      <c r="Q1205" s="36">
        <f t="shared" si="74"/>
        <v>48690.600000000006</v>
      </c>
      <c r="R1205">
        <f t="shared" si="75"/>
        <v>2022</v>
      </c>
    </row>
    <row r="1206" spans="1:18" x14ac:dyDescent="0.2">
      <c r="A1206" s="13">
        <v>45310</v>
      </c>
      <c r="B1206" s="13">
        <v>45216</v>
      </c>
      <c r="C1206" s="25" t="s">
        <v>399</v>
      </c>
      <c r="D1206" s="20">
        <v>94</v>
      </c>
      <c r="E1206" s="28">
        <v>48690.6</v>
      </c>
      <c r="F1206" s="22" t="s">
        <v>76</v>
      </c>
      <c r="G1206" s="14">
        <v>70</v>
      </c>
      <c r="H1206" s="40">
        <v>44637</v>
      </c>
      <c r="I1206" s="46">
        <f t="shared" si="72"/>
        <v>673</v>
      </c>
      <c r="J1206" s="1" t="s">
        <v>15</v>
      </c>
      <c r="K1206" s="4" t="s">
        <v>199</v>
      </c>
      <c r="L1206" s="4" t="s">
        <v>225</v>
      </c>
      <c r="M1206" s="8">
        <v>70</v>
      </c>
      <c r="N1206" s="5">
        <v>695.58</v>
      </c>
      <c r="O1206" s="5">
        <v>48690.6</v>
      </c>
      <c r="P1206">
        <f t="shared" si="73"/>
        <v>1</v>
      </c>
      <c r="Q1206" s="36">
        <f t="shared" si="74"/>
        <v>48690.600000000006</v>
      </c>
      <c r="R1206">
        <f t="shared" si="75"/>
        <v>2022</v>
      </c>
    </row>
    <row r="1207" spans="1:18" x14ac:dyDescent="0.2">
      <c r="A1207" s="13">
        <v>45310</v>
      </c>
      <c r="B1207" s="13">
        <v>45216</v>
      </c>
      <c r="C1207" s="25" t="s">
        <v>399</v>
      </c>
      <c r="D1207" s="20">
        <v>94</v>
      </c>
      <c r="E1207" s="28">
        <v>48690.6</v>
      </c>
      <c r="F1207" s="22" t="s">
        <v>76</v>
      </c>
      <c r="G1207" s="14">
        <v>70</v>
      </c>
      <c r="H1207" s="40">
        <v>44637</v>
      </c>
      <c r="I1207" s="46">
        <f t="shared" si="72"/>
        <v>673</v>
      </c>
      <c r="J1207" s="1" t="s">
        <v>15</v>
      </c>
      <c r="K1207" s="4" t="s">
        <v>199</v>
      </c>
      <c r="L1207" s="4" t="s">
        <v>225</v>
      </c>
      <c r="M1207" s="8">
        <v>70</v>
      </c>
      <c r="N1207" s="5">
        <v>695.58</v>
      </c>
      <c r="O1207" s="5">
        <v>48690.6</v>
      </c>
      <c r="P1207">
        <f t="shared" si="73"/>
        <v>1</v>
      </c>
      <c r="Q1207" s="36">
        <f t="shared" si="74"/>
        <v>48690.600000000006</v>
      </c>
      <c r="R1207">
        <f t="shared" si="75"/>
        <v>2022</v>
      </c>
    </row>
    <row r="1208" spans="1:18" x14ac:dyDescent="0.2">
      <c r="A1208" s="13">
        <v>45310</v>
      </c>
      <c r="B1208" s="13">
        <v>45216</v>
      </c>
      <c r="C1208" s="25" t="s">
        <v>399</v>
      </c>
      <c r="D1208" s="20">
        <v>94</v>
      </c>
      <c r="E1208" s="28">
        <v>48690.6</v>
      </c>
      <c r="F1208" s="22" t="s">
        <v>76</v>
      </c>
      <c r="G1208" s="14">
        <v>70</v>
      </c>
      <c r="H1208" s="40">
        <v>44637</v>
      </c>
      <c r="I1208" s="46">
        <f t="shared" si="72"/>
        <v>673</v>
      </c>
      <c r="J1208" s="1" t="s">
        <v>15</v>
      </c>
      <c r="K1208" s="4" t="s">
        <v>199</v>
      </c>
      <c r="L1208" s="4" t="s">
        <v>225</v>
      </c>
      <c r="M1208" s="8">
        <v>70</v>
      </c>
      <c r="N1208" s="5">
        <v>695.58</v>
      </c>
      <c r="O1208" s="5">
        <v>48690.6</v>
      </c>
      <c r="P1208">
        <f t="shared" si="73"/>
        <v>1</v>
      </c>
      <c r="Q1208" s="36">
        <f t="shared" si="74"/>
        <v>48690.600000000006</v>
      </c>
      <c r="R1208">
        <f t="shared" si="75"/>
        <v>2022</v>
      </c>
    </row>
    <row r="1209" spans="1:18" x14ac:dyDescent="0.2">
      <c r="A1209" s="13">
        <v>45310</v>
      </c>
      <c r="B1209" s="13">
        <v>45223</v>
      </c>
      <c r="C1209" s="25" t="s">
        <v>399</v>
      </c>
      <c r="D1209" s="20">
        <v>87</v>
      </c>
      <c r="E1209" s="28">
        <v>48690.6</v>
      </c>
      <c r="F1209" s="22" t="s">
        <v>76</v>
      </c>
      <c r="G1209" s="14">
        <v>70</v>
      </c>
      <c r="H1209" s="40">
        <v>44645</v>
      </c>
      <c r="I1209" s="46">
        <f t="shared" si="72"/>
        <v>665</v>
      </c>
      <c r="J1209" s="1" t="s">
        <v>15</v>
      </c>
      <c r="K1209" s="4" t="s">
        <v>200</v>
      </c>
      <c r="L1209" s="4" t="s">
        <v>225</v>
      </c>
      <c r="M1209" s="8">
        <v>70</v>
      </c>
      <c r="N1209" s="5">
        <v>695.58</v>
      </c>
      <c r="O1209" s="5">
        <v>48690.6</v>
      </c>
      <c r="P1209">
        <f t="shared" si="73"/>
        <v>1</v>
      </c>
      <c r="Q1209" s="36">
        <f t="shared" si="74"/>
        <v>48690.600000000006</v>
      </c>
      <c r="R1209">
        <f t="shared" si="75"/>
        <v>2022</v>
      </c>
    </row>
    <row r="1210" spans="1:18" x14ac:dyDescent="0.2">
      <c r="A1210" s="13">
        <v>45310</v>
      </c>
      <c r="B1210" s="13">
        <v>45216</v>
      </c>
      <c r="C1210" s="25" t="s">
        <v>399</v>
      </c>
      <c r="D1210" s="20">
        <v>94</v>
      </c>
      <c r="E1210" s="28">
        <v>48690.6</v>
      </c>
      <c r="F1210" s="22" t="s">
        <v>76</v>
      </c>
      <c r="G1210" s="14">
        <v>70</v>
      </c>
      <c r="H1210" s="40">
        <v>44645</v>
      </c>
      <c r="I1210" s="46">
        <f t="shared" si="72"/>
        <v>665</v>
      </c>
      <c r="J1210" s="1" t="s">
        <v>15</v>
      </c>
      <c r="K1210" s="4" t="s">
        <v>200</v>
      </c>
      <c r="L1210" s="4" t="s">
        <v>225</v>
      </c>
      <c r="M1210" s="8">
        <v>70</v>
      </c>
      <c r="N1210" s="5">
        <v>695.58</v>
      </c>
      <c r="O1210" s="5">
        <v>48690.6</v>
      </c>
      <c r="P1210">
        <f t="shared" si="73"/>
        <v>1</v>
      </c>
      <c r="Q1210" s="36">
        <f t="shared" si="74"/>
        <v>48690.600000000006</v>
      </c>
      <c r="R1210">
        <f t="shared" si="75"/>
        <v>2022</v>
      </c>
    </row>
    <row r="1211" spans="1:18" x14ac:dyDescent="0.2">
      <c r="A1211" s="13">
        <v>45310</v>
      </c>
      <c r="B1211" s="13">
        <v>45223</v>
      </c>
      <c r="C1211" s="25" t="s">
        <v>399</v>
      </c>
      <c r="D1211" s="20">
        <v>87</v>
      </c>
      <c r="E1211" s="28">
        <v>48690.6</v>
      </c>
      <c r="F1211" s="22" t="s">
        <v>76</v>
      </c>
      <c r="G1211" s="14">
        <v>70</v>
      </c>
      <c r="H1211" s="40">
        <v>44645</v>
      </c>
      <c r="I1211" s="46">
        <f t="shared" si="72"/>
        <v>665</v>
      </c>
      <c r="J1211" s="1" t="s">
        <v>15</v>
      </c>
      <c r="K1211" s="4" t="s">
        <v>200</v>
      </c>
      <c r="L1211" s="4" t="s">
        <v>225</v>
      </c>
      <c r="M1211" s="8">
        <v>70</v>
      </c>
      <c r="N1211" s="5">
        <v>695.58</v>
      </c>
      <c r="O1211" s="5">
        <v>48690.6</v>
      </c>
      <c r="P1211">
        <f t="shared" si="73"/>
        <v>1</v>
      </c>
      <c r="Q1211" s="36">
        <f t="shared" si="74"/>
        <v>48690.600000000006</v>
      </c>
      <c r="R1211">
        <f t="shared" si="75"/>
        <v>2022</v>
      </c>
    </row>
    <row r="1212" spans="1:18" x14ac:dyDescent="0.2">
      <c r="A1212" s="13">
        <v>45310</v>
      </c>
      <c r="B1212" s="13">
        <v>45223</v>
      </c>
      <c r="C1212" s="25" t="s">
        <v>399</v>
      </c>
      <c r="D1212" s="20">
        <v>87</v>
      </c>
      <c r="E1212" s="28">
        <v>48690.6</v>
      </c>
      <c r="F1212" s="22" t="s">
        <v>76</v>
      </c>
      <c r="G1212" s="14">
        <v>70</v>
      </c>
      <c r="H1212" s="40">
        <v>44645</v>
      </c>
      <c r="I1212" s="46">
        <f t="shared" si="72"/>
        <v>665</v>
      </c>
      <c r="J1212" s="1" t="s">
        <v>15</v>
      </c>
      <c r="K1212" s="4" t="s">
        <v>200</v>
      </c>
      <c r="L1212" s="4" t="s">
        <v>225</v>
      </c>
      <c r="M1212" s="8">
        <v>70</v>
      </c>
      <c r="N1212" s="5">
        <v>695.58</v>
      </c>
      <c r="O1212" s="5">
        <v>48690.6</v>
      </c>
      <c r="P1212">
        <f t="shared" si="73"/>
        <v>1</v>
      </c>
      <c r="Q1212" s="36">
        <f t="shared" si="74"/>
        <v>48690.600000000006</v>
      </c>
      <c r="R1212">
        <f t="shared" si="75"/>
        <v>2022</v>
      </c>
    </row>
    <row r="1213" spans="1:18" x14ac:dyDescent="0.2">
      <c r="A1213" s="13">
        <v>45310</v>
      </c>
      <c r="B1213" s="13">
        <v>45223</v>
      </c>
      <c r="C1213" s="25" t="s">
        <v>399</v>
      </c>
      <c r="D1213" s="20">
        <v>87</v>
      </c>
      <c r="E1213" s="28">
        <v>48690.6</v>
      </c>
      <c r="F1213" s="22" t="s">
        <v>76</v>
      </c>
      <c r="G1213" s="14">
        <v>70</v>
      </c>
      <c r="H1213" s="40">
        <v>44645</v>
      </c>
      <c r="I1213" s="46">
        <f t="shared" si="72"/>
        <v>665</v>
      </c>
      <c r="J1213" s="1" t="s">
        <v>15</v>
      </c>
      <c r="K1213" s="4" t="s">
        <v>200</v>
      </c>
      <c r="L1213" s="4" t="s">
        <v>225</v>
      </c>
      <c r="M1213" s="8">
        <v>70</v>
      </c>
      <c r="N1213" s="5">
        <v>695.58</v>
      </c>
      <c r="O1213" s="5">
        <v>48690.6</v>
      </c>
      <c r="P1213">
        <f t="shared" si="73"/>
        <v>1</v>
      </c>
      <c r="Q1213" s="36">
        <f t="shared" si="74"/>
        <v>48690.600000000006</v>
      </c>
      <c r="R1213">
        <f t="shared" si="75"/>
        <v>2022</v>
      </c>
    </row>
    <row r="1214" spans="1:18" x14ac:dyDescent="0.2">
      <c r="A1214" s="13">
        <v>45310</v>
      </c>
      <c r="B1214" s="13">
        <v>45230</v>
      </c>
      <c r="C1214" s="25" t="s">
        <v>399</v>
      </c>
      <c r="D1214" s="20">
        <v>80</v>
      </c>
      <c r="E1214" s="28">
        <v>48690.6</v>
      </c>
      <c r="F1214" s="22" t="s">
        <v>76</v>
      </c>
      <c r="G1214" s="14">
        <v>70</v>
      </c>
      <c r="H1214" s="40">
        <v>44651</v>
      </c>
      <c r="I1214" s="46">
        <f t="shared" si="72"/>
        <v>659</v>
      </c>
      <c r="J1214" s="1" t="s">
        <v>15</v>
      </c>
      <c r="K1214" s="4" t="s">
        <v>200</v>
      </c>
      <c r="L1214" s="4" t="s">
        <v>225</v>
      </c>
      <c r="M1214" s="8">
        <v>70</v>
      </c>
      <c r="N1214" s="5">
        <v>695.58</v>
      </c>
      <c r="O1214" s="5">
        <v>48690.6</v>
      </c>
      <c r="P1214">
        <f t="shared" si="73"/>
        <v>1</v>
      </c>
      <c r="Q1214" s="36">
        <f t="shared" si="74"/>
        <v>48690.600000000006</v>
      </c>
      <c r="R1214">
        <f t="shared" si="75"/>
        <v>2022</v>
      </c>
    </row>
    <row r="1215" spans="1:18" x14ac:dyDescent="0.2">
      <c r="A1215" s="13">
        <v>45310</v>
      </c>
      <c r="B1215" s="13">
        <v>45230</v>
      </c>
      <c r="C1215" s="25" t="s">
        <v>399</v>
      </c>
      <c r="D1215" s="20">
        <v>80</v>
      </c>
      <c r="E1215" s="28">
        <v>48690.6</v>
      </c>
      <c r="F1215" s="22" t="s">
        <v>76</v>
      </c>
      <c r="G1215" s="14">
        <v>70</v>
      </c>
      <c r="H1215" s="40">
        <v>44651</v>
      </c>
      <c r="I1215" s="46">
        <f t="shared" si="72"/>
        <v>659</v>
      </c>
      <c r="J1215" s="1" t="s">
        <v>15</v>
      </c>
      <c r="K1215" s="4" t="s">
        <v>200</v>
      </c>
      <c r="L1215" s="4" t="s">
        <v>225</v>
      </c>
      <c r="M1215" s="8">
        <v>70</v>
      </c>
      <c r="N1215" s="5">
        <v>695.58</v>
      </c>
      <c r="O1215" s="5">
        <v>48690.6</v>
      </c>
      <c r="P1215">
        <f t="shared" si="73"/>
        <v>1</v>
      </c>
      <c r="Q1215" s="36">
        <f t="shared" si="74"/>
        <v>48690.600000000006</v>
      </c>
      <c r="R1215">
        <f t="shared" si="75"/>
        <v>2022</v>
      </c>
    </row>
    <row r="1216" spans="1:18" x14ac:dyDescent="0.2">
      <c r="A1216" s="13">
        <v>45310</v>
      </c>
      <c r="B1216" s="13">
        <v>45230</v>
      </c>
      <c r="C1216" s="25" t="s">
        <v>399</v>
      </c>
      <c r="D1216" s="20">
        <v>80</v>
      </c>
      <c r="E1216" s="28">
        <v>48690.6</v>
      </c>
      <c r="F1216" s="22" t="s">
        <v>76</v>
      </c>
      <c r="G1216" s="14">
        <v>70</v>
      </c>
      <c r="H1216" s="40">
        <v>44651</v>
      </c>
      <c r="I1216" s="46">
        <f t="shared" si="72"/>
        <v>659</v>
      </c>
      <c r="J1216" s="1" t="s">
        <v>15</v>
      </c>
      <c r="K1216" s="4" t="s">
        <v>200</v>
      </c>
      <c r="L1216" s="4" t="s">
        <v>225</v>
      </c>
      <c r="M1216" s="8">
        <v>70</v>
      </c>
      <c r="N1216" s="5">
        <v>695.58</v>
      </c>
      <c r="O1216" s="5">
        <v>48690.6</v>
      </c>
      <c r="P1216">
        <f t="shared" si="73"/>
        <v>1</v>
      </c>
      <c r="Q1216" s="36">
        <f t="shared" si="74"/>
        <v>48690.600000000006</v>
      </c>
      <c r="R1216">
        <f t="shared" si="75"/>
        <v>2022</v>
      </c>
    </row>
    <row r="1217" spans="1:18" x14ac:dyDescent="0.2">
      <c r="A1217" s="13">
        <v>45310</v>
      </c>
      <c r="B1217" s="13">
        <v>45237</v>
      </c>
      <c r="C1217" s="25" t="s">
        <v>399</v>
      </c>
      <c r="D1217" s="20">
        <v>73</v>
      </c>
      <c r="E1217" s="28">
        <v>48690.6</v>
      </c>
      <c r="F1217" s="22" t="s">
        <v>76</v>
      </c>
      <c r="G1217" s="14">
        <v>70</v>
      </c>
      <c r="H1217" s="40">
        <v>44659</v>
      </c>
      <c r="I1217" s="46">
        <f t="shared" si="72"/>
        <v>651</v>
      </c>
      <c r="J1217" s="1" t="s">
        <v>15</v>
      </c>
      <c r="K1217" s="4" t="s">
        <v>200</v>
      </c>
      <c r="L1217" s="4" t="s">
        <v>225</v>
      </c>
      <c r="M1217" s="8">
        <v>70</v>
      </c>
      <c r="N1217" s="5">
        <v>695.58</v>
      </c>
      <c r="O1217" s="5">
        <v>48690.6</v>
      </c>
      <c r="P1217">
        <f t="shared" si="73"/>
        <v>1</v>
      </c>
      <c r="Q1217" s="36">
        <f t="shared" si="74"/>
        <v>48690.600000000006</v>
      </c>
      <c r="R1217">
        <f t="shared" si="75"/>
        <v>2022</v>
      </c>
    </row>
    <row r="1218" spans="1:18" x14ac:dyDescent="0.2">
      <c r="A1218" s="13">
        <v>45310</v>
      </c>
      <c r="B1218" s="13">
        <v>45237</v>
      </c>
      <c r="C1218" s="25" t="s">
        <v>399</v>
      </c>
      <c r="D1218" s="20">
        <v>73</v>
      </c>
      <c r="E1218" s="28">
        <v>48690.6</v>
      </c>
      <c r="F1218" s="22" t="s">
        <v>76</v>
      </c>
      <c r="G1218" s="14">
        <v>70</v>
      </c>
      <c r="H1218" s="40">
        <v>44659</v>
      </c>
      <c r="I1218" s="46">
        <f t="shared" si="72"/>
        <v>651</v>
      </c>
      <c r="J1218" s="1" t="s">
        <v>15</v>
      </c>
      <c r="K1218" s="4" t="s">
        <v>200</v>
      </c>
      <c r="L1218" s="4" t="s">
        <v>225</v>
      </c>
      <c r="M1218" s="8">
        <v>70</v>
      </c>
      <c r="N1218" s="5">
        <v>695.58</v>
      </c>
      <c r="O1218" s="5">
        <v>48690.6</v>
      </c>
      <c r="P1218">
        <f t="shared" si="73"/>
        <v>1</v>
      </c>
      <c r="Q1218" s="36">
        <f t="shared" si="74"/>
        <v>48690.600000000006</v>
      </c>
      <c r="R1218">
        <f t="shared" si="75"/>
        <v>2022</v>
      </c>
    </row>
    <row r="1219" spans="1:18" x14ac:dyDescent="0.2">
      <c r="A1219" s="13">
        <v>45345</v>
      </c>
      <c r="B1219" s="13">
        <v>45237</v>
      </c>
      <c r="C1219" s="25" t="s">
        <v>399</v>
      </c>
      <c r="D1219" s="20">
        <v>108</v>
      </c>
      <c r="E1219" s="28">
        <v>48690.6</v>
      </c>
      <c r="F1219" s="22" t="s">
        <v>76</v>
      </c>
      <c r="G1219" s="14">
        <v>70</v>
      </c>
      <c r="H1219" s="40">
        <v>44659</v>
      </c>
      <c r="I1219" s="46">
        <f t="shared" ref="I1219:I1282" si="76">IFERROR(A1219-H1219,"")*1</f>
        <v>686</v>
      </c>
      <c r="J1219" s="1" t="s">
        <v>15</v>
      </c>
      <c r="K1219" s="4" t="s">
        <v>200</v>
      </c>
      <c r="L1219" s="4" t="s">
        <v>225</v>
      </c>
      <c r="M1219" s="8">
        <v>70</v>
      </c>
      <c r="N1219" s="5">
        <v>695.58</v>
      </c>
      <c r="O1219" s="5">
        <v>48690.6</v>
      </c>
      <c r="P1219">
        <f t="shared" ref="P1219:P1282" si="77">IF(M1219=G1219,1,0)</f>
        <v>1</v>
      </c>
      <c r="Q1219" s="36">
        <f t="shared" ref="Q1219:Q1282" si="78">N1219*G1219</f>
        <v>48690.600000000006</v>
      </c>
      <c r="R1219">
        <f t="shared" ref="R1219:R1282" si="79">YEAR(H1219)</f>
        <v>2022</v>
      </c>
    </row>
    <row r="1220" spans="1:18" x14ac:dyDescent="0.2">
      <c r="A1220" s="13">
        <v>45345</v>
      </c>
      <c r="B1220" s="13">
        <v>45237</v>
      </c>
      <c r="C1220" s="25" t="s">
        <v>399</v>
      </c>
      <c r="D1220" s="20">
        <v>108</v>
      </c>
      <c r="E1220" s="28">
        <v>48690.6</v>
      </c>
      <c r="F1220" s="22" t="s">
        <v>76</v>
      </c>
      <c r="G1220" s="14">
        <v>70</v>
      </c>
      <c r="H1220" s="40">
        <v>44659</v>
      </c>
      <c r="I1220" s="46">
        <f t="shared" si="76"/>
        <v>686</v>
      </c>
      <c r="J1220" s="1" t="s">
        <v>15</v>
      </c>
      <c r="K1220" s="4" t="s">
        <v>200</v>
      </c>
      <c r="L1220" s="4" t="s">
        <v>225</v>
      </c>
      <c r="M1220" s="8">
        <v>70</v>
      </c>
      <c r="N1220" s="5">
        <v>695.58</v>
      </c>
      <c r="O1220" s="5">
        <v>48690.6</v>
      </c>
      <c r="P1220">
        <f t="shared" si="77"/>
        <v>1</v>
      </c>
      <c r="Q1220" s="36">
        <f t="shared" si="78"/>
        <v>48690.600000000006</v>
      </c>
      <c r="R1220">
        <f t="shared" si="79"/>
        <v>2022</v>
      </c>
    </row>
    <row r="1221" spans="1:18" x14ac:dyDescent="0.2">
      <c r="A1221" s="13">
        <v>45345</v>
      </c>
      <c r="B1221" s="13">
        <v>45237</v>
      </c>
      <c r="C1221" s="25" t="s">
        <v>399</v>
      </c>
      <c r="D1221" s="20">
        <v>108</v>
      </c>
      <c r="E1221" s="28">
        <v>48690.6</v>
      </c>
      <c r="F1221" s="22" t="s">
        <v>76</v>
      </c>
      <c r="G1221" s="14">
        <v>70</v>
      </c>
      <c r="H1221" s="40">
        <v>44665</v>
      </c>
      <c r="I1221" s="46">
        <f t="shared" si="76"/>
        <v>680</v>
      </c>
      <c r="J1221" s="1" t="s">
        <v>15</v>
      </c>
      <c r="K1221" s="4" t="s">
        <v>200</v>
      </c>
      <c r="L1221" s="4" t="s">
        <v>225</v>
      </c>
      <c r="M1221" s="8">
        <v>70</v>
      </c>
      <c r="N1221" s="5">
        <v>695.58</v>
      </c>
      <c r="O1221" s="5">
        <v>48690.6</v>
      </c>
      <c r="P1221">
        <f t="shared" si="77"/>
        <v>1</v>
      </c>
      <c r="Q1221" s="36">
        <f t="shared" si="78"/>
        <v>48690.600000000006</v>
      </c>
      <c r="R1221">
        <f t="shared" si="79"/>
        <v>2022</v>
      </c>
    </row>
    <row r="1222" spans="1:18" x14ac:dyDescent="0.2">
      <c r="A1222" s="13">
        <v>45345</v>
      </c>
      <c r="B1222" s="13">
        <v>45230</v>
      </c>
      <c r="C1222" s="25" t="s">
        <v>399</v>
      </c>
      <c r="D1222" s="20">
        <v>115</v>
      </c>
      <c r="E1222" s="28">
        <v>48690.6</v>
      </c>
      <c r="F1222" s="22" t="s">
        <v>76</v>
      </c>
      <c r="G1222" s="14">
        <v>70</v>
      </c>
      <c r="H1222" s="40">
        <v>44665</v>
      </c>
      <c r="I1222" s="46">
        <f t="shared" si="76"/>
        <v>680</v>
      </c>
      <c r="J1222" s="1" t="s">
        <v>15</v>
      </c>
      <c r="K1222" s="4" t="s">
        <v>200</v>
      </c>
      <c r="L1222" s="4" t="s">
        <v>225</v>
      </c>
      <c r="M1222" s="8">
        <v>70</v>
      </c>
      <c r="N1222" s="5">
        <v>695.58</v>
      </c>
      <c r="O1222" s="5">
        <v>48690.6</v>
      </c>
      <c r="P1222">
        <f t="shared" si="77"/>
        <v>1</v>
      </c>
      <c r="Q1222" s="36">
        <f t="shared" si="78"/>
        <v>48690.600000000006</v>
      </c>
      <c r="R1222">
        <f t="shared" si="79"/>
        <v>2022</v>
      </c>
    </row>
    <row r="1223" spans="1:18" x14ac:dyDescent="0.2">
      <c r="A1223" s="13">
        <v>45345</v>
      </c>
      <c r="B1223" s="13">
        <v>45237</v>
      </c>
      <c r="C1223" s="25" t="s">
        <v>399</v>
      </c>
      <c r="D1223" s="20">
        <v>108</v>
      </c>
      <c r="E1223" s="28">
        <v>48690.6</v>
      </c>
      <c r="F1223" s="22" t="s">
        <v>76</v>
      </c>
      <c r="G1223" s="14">
        <v>70</v>
      </c>
      <c r="H1223" s="40">
        <v>44665</v>
      </c>
      <c r="I1223" s="46">
        <f t="shared" si="76"/>
        <v>680</v>
      </c>
      <c r="J1223" s="1" t="s">
        <v>15</v>
      </c>
      <c r="K1223" s="4" t="s">
        <v>200</v>
      </c>
      <c r="L1223" s="4" t="s">
        <v>225</v>
      </c>
      <c r="M1223" s="8">
        <v>70</v>
      </c>
      <c r="N1223" s="5">
        <v>695.58</v>
      </c>
      <c r="O1223" s="5">
        <v>48690.6</v>
      </c>
      <c r="P1223">
        <f t="shared" si="77"/>
        <v>1</v>
      </c>
      <c r="Q1223" s="36">
        <f t="shared" si="78"/>
        <v>48690.600000000006</v>
      </c>
      <c r="R1223">
        <f t="shared" si="79"/>
        <v>2022</v>
      </c>
    </row>
    <row r="1224" spans="1:18" x14ac:dyDescent="0.2">
      <c r="A1224" s="13">
        <v>45345</v>
      </c>
      <c r="B1224" s="13">
        <v>45230</v>
      </c>
      <c r="C1224" s="25" t="s">
        <v>399</v>
      </c>
      <c r="D1224" s="20">
        <v>115</v>
      </c>
      <c r="E1224" s="28">
        <v>48690.6</v>
      </c>
      <c r="F1224" s="22" t="s">
        <v>76</v>
      </c>
      <c r="G1224" s="14">
        <v>70</v>
      </c>
      <c r="H1224" s="40">
        <v>44665</v>
      </c>
      <c r="I1224" s="46">
        <f t="shared" si="76"/>
        <v>680</v>
      </c>
      <c r="J1224" s="1" t="s">
        <v>15</v>
      </c>
      <c r="K1224" s="4" t="s">
        <v>200</v>
      </c>
      <c r="L1224" s="4" t="s">
        <v>225</v>
      </c>
      <c r="M1224" s="8">
        <v>70</v>
      </c>
      <c r="N1224" s="5">
        <v>695.58</v>
      </c>
      <c r="O1224" s="5">
        <v>48690.6</v>
      </c>
      <c r="P1224">
        <f t="shared" si="77"/>
        <v>1</v>
      </c>
      <c r="Q1224" s="36">
        <f t="shared" si="78"/>
        <v>48690.600000000006</v>
      </c>
      <c r="R1224">
        <f t="shared" si="79"/>
        <v>2022</v>
      </c>
    </row>
    <row r="1225" spans="1:18" x14ac:dyDescent="0.2">
      <c r="A1225" s="13">
        <v>45345</v>
      </c>
      <c r="B1225" s="13">
        <v>45244</v>
      </c>
      <c r="C1225" s="25" t="s">
        <v>399</v>
      </c>
      <c r="D1225" s="20">
        <v>101</v>
      </c>
      <c r="E1225" s="28">
        <v>48690.6</v>
      </c>
      <c r="F1225" s="22" t="s">
        <v>76</v>
      </c>
      <c r="G1225" s="14">
        <v>70</v>
      </c>
      <c r="H1225" s="40">
        <v>44665</v>
      </c>
      <c r="I1225" s="46">
        <f t="shared" si="76"/>
        <v>680</v>
      </c>
      <c r="J1225" s="1" t="s">
        <v>15</v>
      </c>
      <c r="K1225" s="4" t="s">
        <v>200</v>
      </c>
      <c r="L1225" s="4" t="s">
        <v>225</v>
      </c>
      <c r="M1225" s="8">
        <v>70</v>
      </c>
      <c r="N1225" s="5">
        <v>695.58</v>
      </c>
      <c r="O1225" s="5">
        <v>48690.6</v>
      </c>
      <c r="P1225">
        <f t="shared" si="77"/>
        <v>1</v>
      </c>
      <c r="Q1225" s="36">
        <f t="shared" si="78"/>
        <v>48690.600000000006</v>
      </c>
      <c r="R1225">
        <f t="shared" si="79"/>
        <v>2022</v>
      </c>
    </row>
    <row r="1226" spans="1:18" x14ac:dyDescent="0.2">
      <c r="A1226" s="13">
        <v>45345</v>
      </c>
      <c r="B1226" s="13">
        <v>45237</v>
      </c>
      <c r="C1226" s="25" t="s">
        <v>399</v>
      </c>
      <c r="D1226" s="20">
        <v>108</v>
      </c>
      <c r="E1226" s="28">
        <v>48690.6</v>
      </c>
      <c r="F1226" s="22" t="s">
        <v>76</v>
      </c>
      <c r="G1226" s="14">
        <v>70</v>
      </c>
      <c r="H1226" s="40">
        <v>44665</v>
      </c>
      <c r="I1226" s="46">
        <f t="shared" si="76"/>
        <v>680</v>
      </c>
      <c r="J1226" s="1" t="s">
        <v>15</v>
      </c>
      <c r="K1226" s="4" t="s">
        <v>200</v>
      </c>
      <c r="L1226" s="4" t="s">
        <v>225</v>
      </c>
      <c r="M1226" s="8">
        <v>70</v>
      </c>
      <c r="N1226" s="5">
        <v>695.58</v>
      </c>
      <c r="O1226" s="5">
        <v>48690.6</v>
      </c>
      <c r="P1226">
        <f t="shared" si="77"/>
        <v>1</v>
      </c>
      <c r="Q1226" s="36">
        <f t="shared" si="78"/>
        <v>48690.600000000006</v>
      </c>
      <c r="R1226">
        <f t="shared" si="79"/>
        <v>2022</v>
      </c>
    </row>
    <row r="1227" spans="1:18" x14ac:dyDescent="0.2">
      <c r="A1227" s="13">
        <v>45345</v>
      </c>
      <c r="B1227" s="13">
        <v>45230</v>
      </c>
      <c r="C1227" s="25" t="s">
        <v>399</v>
      </c>
      <c r="D1227" s="20">
        <v>115</v>
      </c>
      <c r="E1227" s="28">
        <v>48690.6</v>
      </c>
      <c r="F1227" s="22" t="s">
        <v>76</v>
      </c>
      <c r="G1227" s="14">
        <v>70</v>
      </c>
      <c r="H1227" s="40">
        <v>44665</v>
      </c>
      <c r="I1227" s="46">
        <f t="shared" si="76"/>
        <v>680</v>
      </c>
      <c r="J1227" s="1" t="s">
        <v>15</v>
      </c>
      <c r="K1227" s="4" t="s">
        <v>200</v>
      </c>
      <c r="L1227" s="4" t="s">
        <v>225</v>
      </c>
      <c r="M1227" s="8">
        <v>70</v>
      </c>
      <c r="N1227" s="5">
        <v>695.58</v>
      </c>
      <c r="O1227" s="5">
        <v>48690.6</v>
      </c>
      <c r="P1227">
        <f t="shared" si="77"/>
        <v>1</v>
      </c>
      <c r="Q1227" s="36">
        <f t="shared" si="78"/>
        <v>48690.600000000006</v>
      </c>
      <c r="R1227">
        <f t="shared" si="79"/>
        <v>2022</v>
      </c>
    </row>
    <row r="1228" spans="1:18" x14ac:dyDescent="0.2">
      <c r="A1228" s="13">
        <v>45345</v>
      </c>
      <c r="B1228" s="13">
        <v>45237</v>
      </c>
      <c r="C1228" s="25" t="s">
        <v>399</v>
      </c>
      <c r="D1228" s="20">
        <v>108</v>
      </c>
      <c r="E1228" s="28">
        <v>48690.6</v>
      </c>
      <c r="F1228" s="22" t="s">
        <v>76</v>
      </c>
      <c r="G1228" s="14">
        <v>70</v>
      </c>
      <c r="H1228" s="40">
        <v>44665</v>
      </c>
      <c r="I1228" s="46">
        <f t="shared" si="76"/>
        <v>680</v>
      </c>
      <c r="J1228" s="1" t="s">
        <v>15</v>
      </c>
      <c r="K1228" s="4" t="s">
        <v>200</v>
      </c>
      <c r="L1228" s="4" t="s">
        <v>225</v>
      </c>
      <c r="M1228" s="8">
        <v>70</v>
      </c>
      <c r="N1228" s="5">
        <v>695.58</v>
      </c>
      <c r="O1228" s="5">
        <v>48690.6</v>
      </c>
      <c r="P1228">
        <f t="shared" si="77"/>
        <v>1</v>
      </c>
      <c r="Q1228" s="36">
        <f t="shared" si="78"/>
        <v>48690.600000000006</v>
      </c>
      <c r="R1228">
        <f t="shared" si="79"/>
        <v>2022</v>
      </c>
    </row>
    <row r="1229" spans="1:18" x14ac:dyDescent="0.2">
      <c r="A1229" s="13">
        <v>45387</v>
      </c>
      <c r="B1229" s="13">
        <v>45244</v>
      </c>
      <c r="C1229" s="25" t="s">
        <v>399</v>
      </c>
      <c r="D1229" s="20">
        <v>143</v>
      </c>
      <c r="E1229" s="28">
        <v>48690.6</v>
      </c>
      <c r="F1229" s="22" t="s">
        <v>76</v>
      </c>
      <c r="G1229" s="14">
        <v>70</v>
      </c>
      <c r="H1229" s="40">
        <v>44665</v>
      </c>
      <c r="I1229" s="46">
        <f t="shared" si="76"/>
        <v>722</v>
      </c>
      <c r="J1229" s="1" t="s">
        <v>15</v>
      </c>
      <c r="K1229" s="4" t="s">
        <v>200</v>
      </c>
      <c r="L1229" s="4" t="s">
        <v>225</v>
      </c>
      <c r="M1229" s="8">
        <v>70</v>
      </c>
      <c r="N1229" s="5">
        <v>695.58</v>
      </c>
      <c r="O1229" s="5">
        <v>48690.6</v>
      </c>
      <c r="P1229">
        <f t="shared" si="77"/>
        <v>1</v>
      </c>
      <c r="Q1229" s="36">
        <f t="shared" si="78"/>
        <v>48690.600000000006</v>
      </c>
      <c r="R1229">
        <f t="shared" si="79"/>
        <v>2022</v>
      </c>
    </row>
    <row r="1230" spans="1:18" x14ac:dyDescent="0.2">
      <c r="A1230" s="13">
        <v>45387</v>
      </c>
      <c r="B1230" s="13">
        <v>45244</v>
      </c>
      <c r="C1230" s="25" t="s">
        <v>399</v>
      </c>
      <c r="D1230" s="20">
        <v>143</v>
      </c>
      <c r="E1230" s="28">
        <v>48690.6</v>
      </c>
      <c r="F1230" s="22" t="s">
        <v>76</v>
      </c>
      <c r="G1230" s="14">
        <v>70</v>
      </c>
      <c r="H1230" s="40">
        <v>44665</v>
      </c>
      <c r="I1230" s="46">
        <f t="shared" si="76"/>
        <v>722</v>
      </c>
      <c r="J1230" s="1" t="s">
        <v>15</v>
      </c>
      <c r="K1230" s="4" t="s">
        <v>200</v>
      </c>
      <c r="L1230" s="4" t="s">
        <v>225</v>
      </c>
      <c r="M1230" s="8">
        <v>70</v>
      </c>
      <c r="N1230" s="5">
        <v>695.58</v>
      </c>
      <c r="O1230" s="5">
        <v>48690.6</v>
      </c>
      <c r="P1230">
        <f t="shared" si="77"/>
        <v>1</v>
      </c>
      <c r="Q1230" s="36">
        <f t="shared" si="78"/>
        <v>48690.600000000006</v>
      </c>
      <c r="R1230">
        <f t="shared" si="79"/>
        <v>2022</v>
      </c>
    </row>
    <row r="1231" spans="1:18" x14ac:dyDescent="0.2">
      <c r="A1231" s="13">
        <v>45387</v>
      </c>
      <c r="B1231" s="13">
        <v>45244</v>
      </c>
      <c r="C1231" s="25" t="s">
        <v>399</v>
      </c>
      <c r="D1231" s="20">
        <v>143</v>
      </c>
      <c r="E1231" s="28">
        <v>48690.6</v>
      </c>
      <c r="F1231" s="22" t="s">
        <v>76</v>
      </c>
      <c r="G1231" s="14">
        <v>70</v>
      </c>
      <c r="H1231" s="40">
        <v>44665</v>
      </c>
      <c r="I1231" s="46">
        <f t="shared" si="76"/>
        <v>722</v>
      </c>
      <c r="J1231" s="1" t="s">
        <v>15</v>
      </c>
      <c r="K1231" s="4" t="s">
        <v>200</v>
      </c>
      <c r="L1231" s="4" t="s">
        <v>225</v>
      </c>
      <c r="M1231" s="8">
        <v>70</v>
      </c>
      <c r="N1231" s="5">
        <v>695.58</v>
      </c>
      <c r="O1231" s="5">
        <v>48690.6</v>
      </c>
      <c r="P1231">
        <f t="shared" si="77"/>
        <v>1</v>
      </c>
      <c r="Q1231" s="36">
        <f t="shared" si="78"/>
        <v>48690.600000000006</v>
      </c>
      <c r="R1231">
        <f t="shared" si="79"/>
        <v>2022</v>
      </c>
    </row>
    <row r="1232" spans="1:18" x14ac:dyDescent="0.2">
      <c r="A1232" s="13">
        <v>45387</v>
      </c>
      <c r="B1232" s="13">
        <v>45258</v>
      </c>
      <c r="C1232" s="25" t="s">
        <v>399</v>
      </c>
      <c r="D1232" s="20">
        <v>129</v>
      </c>
      <c r="E1232" s="28">
        <v>48690.6</v>
      </c>
      <c r="F1232" s="22" t="s">
        <v>76</v>
      </c>
      <c r="G1232" s="14">
        <v>70</v>
      </c>
      <c r="H1232" s="40">
        <v>44680</v>
      </c>
      <c r="I1232" s="46">
        <f t="shared" si="76"/>
        <v>707</v>
      </c>
      <c r="J1232" s="1" t="s">
        <v>15</v>
      </c>
      <c r="K1232" s="4" t="s">
        <v>200</v>
      </c>
      <c r="L1232" s="4" t="s">
        <v>225</v>
      </c>
      <c r="M1232" s="8">
        <v>70</v>
      </c>
      <c r="N1232" s="5">
        <v>695.58</v>
      </c>
      <c r="O1232" s="5">
        <v>48690.6</v>
      </c>
      <c r="P1232">
        <f t="shared" si="77"/>
        <v>1</v>
      </c>
      <c r="Q1232" s="36">
        <f t="shared" si="78"/>
        <v>48690.600000000006</v>
      </c>
      <c r="R1232">
        <f t="shared" si="79"/>
        <v>2022</v>
      </c>
    </row>
    <row r="1233" spans="1:18" x14ac:dyDescent="0.2">
      <c r="A1233" s="13">
        <v>45387</v>
      </c>
      <c r="B1233" s="13">
        <v>45286</v>
      </c>
      <c r="C1233" s="25" t="s">
        <v>399</v>
      </c>
      <c r="D1233" s="20">
        <v>101</v>
      </c>
      <c r="E1233" s="28">
        <v>48690.6</v>
      </c>
      <c r="F1233" s="22" t="s">
        <v>76</v>
      </c>
      <c r="G1233" s="14">
        <v>70</v>
      </c>
      <c r="H1233" s="40">
        <v>44707</v>
      </c>
      <c r="I1233" s="46">
        <f t="shared" si="76"/>
        <v>680</v>
      </c>
      <c r="J1233" s="1" t="s">
        <v>15</v>
      </c>
      <c r="K1233" s="4" t="s">
        <v>200</v>
      </c>
      <c r="L1233" s="4" t="s">
        <v>225</v>
      </c>
      <c r="M1233" s="8">
        <v>70</v>
      </c>
      <c r="N1233" s="5">
        <v>695.58</v>
      </c>
      <c r="O1233" s="5">
        <v>48690.6</v>
      </c>
      <c r="P1233">
        <f t="shared" si="77"/>
        <v>1</v>
      </c>
      <c r="Q1233" s="36">
        <f t="shared" si="78"/>
        <v>48690.600000000006</v>
      </c>
      <c r="R1233">
        <f t="shared" si="79"/>
        <v>2022</v>
      </c>
    </row>
    <row r="1234" spans="1:18" x14ac:dyDescent="0.2">
      <c r="A1234" s="13">
        <v>45387</v>
      </c>
      <c r="B1234" s="13">
        <v>45286</v>
      </c>
      <c r="C1234" s="25" t="s">
        <v>399</v>
      </c>
      <c r="D1234" s="20">
        <v>101</v>
      </c>
      <c r="E1234" s="28">
        <v>48690.6</v>
      </c>
      <c r="F1234" s="22" t="s">
        <v>76</v>
      </c>
      <c r="G1234" s="14">
        <v>70</v>
      </c>
      <c r="H1234" s="40">
        <v>44707</v>
      </c>
      <c r="I1234" s="46">
        <f t="shared" si="76"/>
        <v>680</v>
      </c>
      <c r="J1234" s="1" t="s">
        <v>15</v>
      </c>
      <c r="K1234" s="4" t="s">
        <v>200</v>
      </c>
      <c r="L1234" s="4" t="s">
        <v>225</v>
      </c>
      <c r="M1234" s="8">
        <v>70</v>
      </c>
      <c r="N1234" s="5">
        <v>695.58</v>
      </c>
      <c r="O1234" s="5">
        <v>48690.6</v>
      </c>
      <c r="P1234">
        <f t="shared" si="77"/>
        <v>1</v>
      </c>
      <c r="Q1234" s="36">
        <f t="shared" si="78"/>
        <v>48690.600000000006</v>
      </c>
      <c r="R1234">
        <f t="shared" si="79"/>
        <v>2022</v>
      </c>
    </row>
    <row r="1235" spans="1:18" x14ac:dyDescent="0.2">
      <c r="A1235" s="13">
        <v>45387</v>
      </c>
      <c r="B1235" s="13">
        <v>45286</v>
      </c>
      <c r="C1235" s="25" t="s">
        <v>399</v>
      </c>
      <c r="D1235" s="20">
        <v>101</v>
      </c>
      <c r="E1235" s="28">
        <v>48690.6</v>
      </c>
      <c r="F1235" s="22" t="s">
        <v>76</v>
      </c>
      <c r="G1235" s="14">
        <v>70</v>
      </c>
      <c r="H1235" s="40">
        <v>44707</v>
      </c>
      <c r="I1235" s="46">
        <f t="shared" si="76"/>
        <v>680</v>
      </c>
      <c r="J1235" s="1" t="s">
        <v>15</v>
      </c>
      <c r="K1235" s="4" t="s">
        <v>200</v>
      </c>
      <c r="L1235" s="4" t="s">
        <v>225</v>
      </c>
      <c r="M1235" s="8">
        <v>70</v>
      </c>
      <c r="N1235" s="5">
        <v>695.58</v>
      </c>
      <c r="O1235" s="5">
        <v>48690.6</v>
      </c>
      <c r="P1235">
        <f t="shared" si="77"/>
        <v>1</v>
      </c>
      <c r="Q1235" s="36">
        <f t="shared" si="78"/>
        <v>48690.600000000006</v>
      </c>
      <c r="R1235">
        <f t="shared" si="79"/>
        <v>2022</v>
      </c>
    </row>
    <row r="1236" spans="1:18" x14ac:dyDescent="0.2">
      <c r="A1236" s="13">
        <v>45387</v>
      </c>
      <c r="B1236" s="13">
        <v>45286</v>
      </c>
      <c r="C1236" s="25" t="s">
        <v>399</v>
      </c>
      <c r="D1236" s="20">
        <v>101</v>
      </c>
      <c r="E1236" s="28">
        <v>48690.6</v>
      </c>
      <c r="F1236" s="22" t="s">
        <v>76</v>
      </c>
      <c r="G1236" s="14">
        <v>70</v>
      </c>
      <c r="H1236" s="40">
        <v>44707</v>
      </c>
      <c r="I1236" s="46">
        <f t="shared" si="76"/>
        <v>680</v>
      </c>
      <c r="J1236" s="1" t="s">
        <v>15</v>
      </c>
      <c r="K1236" s="4" t="s">
        <v>200</v>
      </c>
      <c r="L1236" s="4" t="s">
        <v>225</v>
      </c>
      <c r="M1236" s="8">
        <v>70</v>
      </c>
      <c r="N1236" s="5">
        <v>695.58</v>
      </c>
      <c r="O1236" s="5">
        <v>48690.6</v>
      </c>
      <c r="P1236">
        <f t="shared" si="77"/>
        <v>1</v>
      </c>
      <c r="Q1236" s="36">
        <f t="shared" si="78"/>
        <v>48690.600000000006</v>
      </c>
      <c r="R1236">
        <f t="shared" si="79"/>
        <v>2022</v>
      </c>
    </row>
    <row r="1237" spans="1:18" x14ac:dyDescent="0.2">
      <c r="A1237" s="13">
        <v>45387</v>
      </c>
      <c r="B1237" s="13">
        <v>45293</v>
      </c>
      <c r="C1237" s="25" t="s">
        <v>399</v>
      </c>
      <c r="D1237" s="20">
        <v>94</v>
      </c>
      <c r="E1237" s="28">
        <v>48690.6</v>
      </c>
      <c r="F1237" s="22" t="s">
        <v>76</v>
      </c>
      <c r="G1237" s="14">
        <v>70</v>
      </c>
      <c r="H1237" s="40">
        <v>44713</v>
      </c>
      <c r="I1237" s="46">
        <f t="shared" si="76"/>
        <v>674</v>
      </c>
      <c r="J1237" s="1" t="s">
        <v>15</v>
      </c>
      <c r="K1237" s="4" t="s">
        <v>200</v>
      </c>
      <c r="L1237" s="4" t="s">
        <v>225</v>
      </c>
      <c r="M1237" s="8">
        <v>70</v>
      </c>
      <c r="N1237" s="5">
        <v>695.58</v>
      </c>
      <c r="O1237" s="5">
        <v>48690.6</v>
      </c>
      <c r="P1237">
        <f t="shared" si="77"/>
        <v>1</v>
      </c>
      <c r="Q1237" s="36">
        <f t="shared" si="78"/>
        <v>48690.600000000006</v>
      </c>
      <c r="R1237">
        <f t="shared" si="79"/>
        <v>2022</v>
      </c>
    </row>
    <row r="1238" spans="1:18" x14ac:dyDescent="0.2">
      <c r="A1238" s="13">
        <v>45387</v>
      </c>
      <c r="B1238" s="13">
        <v>45293</v>
      </c>
      <c r="C1238" s="25" t="s">
        <v>399</v>
      </c>
      <c r="D1238" s="20">
        <v>94</v>
      </c>
      <c r="E1238" s="28">
        <v>48690.6</v>
      </c>
      <c r="F1238" s="22" t="s">
        <v>76</v>
      </c>
      <c r="G1238" s="14">
        <v>70</v>
      </c>
      <c r="H1238" s="40">
        <v>44713</v>
      </c>
      <c r="I1238" s="46">
        <f t="shared" si="76"/>
        <v>674</v>
      </c>
      <c r="J1238" s="1" t="s">
        <v>15</v>
      </c>
      <c r="K1238" s="4" t="s">
        <v>200</v>
      </c>
      <c r="L1238" s="4" t="s">
        <v>225</v>
      </c>
      <c r="M1238" s="8">
        <v>70</v>
      </c>
      <c r="N1238" s="5">
        <v>695.58</v>
      </c>
      <c r="O1238" s="5">
        <v>48690.6</v>
      </c>
      <c r="P1238">
        <f t="shared" si="77"/>
        <v>1</v>
      </c>
      <c r="Q1238" s="36">
        <f t="shared" si="78"/>
        <v>48690.600000000006</v>
      </c>
      <c r="R1238">
        <f t="shared" si="79"/>
        <v>2022</v>
      </c>
    </row>
    <row r="1239" spans="1:18" x14ac:dyDescent="0.2">
      <c r="A1239" s="13">
        <v>45387</v>
      </c>
      <c r="B1239" s="13">
        <v>45293</v>
      </c>
      <c r="C1239" s="25" t="s">
        <v>399</v>
      </c>
      <c r="D1239" s="20">
        <v>94</v>
      </c>
      <c r="E1239" s="28">
        <v>48690.6</v>
      </c>
      <c r="F1239" s="22" t="s">
        <v>76</v>
      </c>
      <c r="G1239" s="14">
        <v>70</v>
      </c>
      <c r="H1239" s="40">
        <v>44713</v>
      </c>
      <c r="I1239" s="46">
        <f t="shared" si="76"/>
        <v>674</v>
      </c>
      <c r="J1239" s="1" t="s">
        <v>15</v>
      </c>
      <c r="K1239" s="4" t="s">
        <v>200</v>
      </c>
      <c r="L1239" s="4" t="s">
        <v>225</v>
      </c>
      <c r="M1239" s="8">
        <v>70</v>
      </c>
      <c r="N1239" s="5">
        <v>695.58</v>
      </c>
      <c r="O1239" s="5">
        <v>48690.6</v>
      </c>
      <c r="P1239">
        <f t="shared" si="77"/>
        <v>1</v>
      </c>
      <c r="Q1239" s="36">
        <f t="shared" si="78"/>
        <v>48690.600000000006</v>
      </c>
      <c r="R1239">
        <f t="shared" si="79"/>
        <v>2022</v>
      </c>
    </row>
    <row r="1240" spans="1:18" x14ac:dyDescent="0.2">
      <c r="A1240" s="13">
        <v>45387</v>
      </c>
      <c r="B1240" s="13">
        <v>45293</v>
      </c>
      <c r="C1240" s="25" t="s">
        <v>399</v>
      </c>
      <c r="D1240" s="20">
        <v>94</v>
      </c>
      <c r="E1240" s="28">
        <v>48690.6</v>
      </c>
      <c r="F1240" s="22" t="s">
        <v>76</v>
      </c>
      <c r="G1240" s="14">
        <v>70</v>
      </c>
      <c r="H1240" s="40">
        <v>44713</v>
      </c>
      <c r="I1240" s="46">
        <f t="shared" si="76"/>
        <v>674</v>
      </c>
      <c r="J1240" s="1" t="s">
        <v>15</v>
      </c>
      <c r="K1240" s="4" t="s">
        <v>200</v>
      </c>
      <c r="L1240" s="4" t="s">
        <v>225</v>
      </c>
      <c r="M1240" s="8">
        <v>70</v>
      </c>
      <c r="N1240" s="5">
        <v>695.58</v>
      </c>
      <c r="O1240" s="5">
        <v>48690.6</v>
      </c>
      <c r="P1240">
        <f t="shared" si="77"/>
        <v>1</v>
      </c>
      <c r="Q1240" s="36">
        <f t="shared" si="78"/>
        <v>48690.600000000006</v>
      </c>
      <c r="R1240">
        <f t="shared" si="79"/>
        <v>2022</v>
      </c>
    </row>
    <row r="1241" spans="1:18" x14ac:dyDescent="0.2">
      <c r="A1241" s="13">
        <v>45387</v>
      </c>
      <c r="B1241" s="13">
        <v>45300</v>
      </c>
      <c r="C1241" s="25" t="s">
        <v>399</v>
      </c>
      <c r="D1241" s="20">
        <v>87</v>
      </c>
      <c r="E1241" s="28">
        <v>48690.6</v>
      </c>
      <c r="F1241" s="22" t="s">
        <v>76</v>
      </c>
      <c r="G1241" s="14">
        <v>70</v>
      </c>
      <c r="H1241" s="40">
        <v>44720</v>
      </c>
      <c r="I1241" s="46">
        <f t="shared" si="76"/>
        <v>667</v>
      </c>
      <c r="J1241" s="1" t="s">
        <v>15</v>
      </c>
      <c r="K1241" s="4" t="s">
        <v>199</v>
      </c>
      <c r="L1241" s="4" t="s">
        <v>225</v>
      </c>
      <c r="M1241" s="8">
        <v>70</v>
      </c>
      <c r="N1241" s="5">
        <v>695.58</v>
      </c>
      <c r="O1241" s="5">
        <v>48690.6</v>
      </c>
      <c r="P1241">
        <f t="shared" si="77"/>
        <v>1</v>
      </c>
      <c r="Q1241" s="36">
        <f t="shared" si="78"/>
        <v>48690.600000000006</v>
      </c>
      <c r="R1241">
        <f t="shared" si="79"/>
        <v>2022</v>
      </c>
    </row>
    <row r="1242" spans="1:18" x14ac:dyDescent="0.2">
      <c r="A1242" s="13">
        <v>45387</v>
      </c>
      <c r="B1242" s="13">
        <v>45300</v>
      </c>
      <c r="C1242" s="25" t="s">
        <v>399</v>
      </c>
      <c r="D1242" s="20">
        <v>87</v>
      </c>
      <c r="E1242" s="28">
        <v>48690.6</v>
      </c>
      <c r="F1242" s="22" t="s">
        <v>76</v>
      </c>
      <c r="G1242" s="14">
        <v>70</v>
      </c>
      <c r="H1242" s="40">
        <v>44720</v>
      </c>
      <c r="I1242" s="46">
        <f t="shared" si="76"/>
        <v>667</v>
      </c>
      <c r="J1242" s="1" t="s">
        <v>15</v>
      </c>
      <c r="K1242" s="4" t="s">
        <v>199</v>
      </c>
      <c r="L1242" s="4" t="s">
        <v>225</v>
      </c>
      <c r="M1242" s="8">
        <v>70</v>
      </c>
      <c r="N1242" s="5">
        <v>695.58</v>
      </c>
      <c r="O1242" s="5">
        <v>48690.6</v>
      </c>
      <c r="P1242">
        <f t="shared" si="77"/>
        <v>1</v>
      </c>
      <c r="Q1242" s="36">
        <f t="shared" si="78"/>
        <v>48690.600000000006</v>
      </c>
      <c r="R1242">
        <f t="shared" si="79"/>
        <v>2022</v>
      </c>
    </row>
    <row r="1243" spans="1:18" x14ac:dyDescent="0.2">
      <c r="A1243" s="13">
        <v>45387</v>
      </c>
      <c r="B1243" s="13">
        <v>45300</v>
      </c>
      <c r="C1243" s="25" t="s">
        <v>399</v>
      </c>
      <c r="D1243" s="20">
        <v>87</v>
      </c>
      <c r="E1243" s="28">
        <v>48690.6</v>
      </c>
      <c r="F1243" s="22" t="s">
        <v>76</v>
      </c>
      <c r="G1243" s="14">
        <v>70</v>
      </c>
      <c r="H1243" s="40">
        <v>44720</v>
      </c>
      <c r="I1243" s="46">
        <f t="shared" si="76"/>
        <v>667</v>
      </c>
      <c r="J1243" s="1" t="s">
        <v>15</v>
      </c>
      <c r="K1243" s="4" t="s">
        <v>199</v>
      </c>
      <c r="L1243" s="4" t="s">
        <v>225</v>
      </c>
      <c r="M1243" s="8">
        <v>70</v>
      </c>
      <c r="N1243" s="5">
        <v>695.58</v>
      </c>
      <c r="O1243" s="5">
        <v>48690.6</v>
      </c>
      <c r="P1243">
        <f t="shared" si="77"/>
        <v>1</v>
      </c>
      <c r="Q1243" s="36">
        <f t="shared" si="78"/>
        <v>48690.600000000006</v>
      </c>
      <c r="R1243">
        <f t="shared" si="79"/>
        <v>2022</v>
      </c>
    </row>
    <row r="1244" spans="1:18" x14ac:dyDescent="0.2">
      <c r="A1244" s="13">
        <v>45387</v>
      </c>
      <c r="B1244" s="13">
        <v>45300</v>
      </c>
      <c r="C1244" s="25" t="s">
        <v>399</v>
      </c>
      <c r="D1244" s="20">
        <v>87</v>
      </c>
      <c r="E1244" s="28">
        <v>48690.6</v>
      </c>
      <c r="F1244" s="22" t="s">
        <v>76</v>
      </c>
      <c r="G1244" s="14">
        <v>70</v>
      </c>
      <c r="H1244" s="40">
        <v>44720</v>
      </c>
      <c r="I1244" s="46">
        <f t="shared" si="76"/>
        <v>667</v>
      </c>
      <c r="J1244" s="1" t="s">
        <v>15</v>
      </c>
      <c r="K1244" s="4" t="s">
        <v>199</v>
      </c>
      <c r="L1244" s="4" t="s">
        <v>225</v>
      </c>
      <c r="M1244" s="8">
        <v>70</v>
      </c>
      <c r="N1244" s="5">
        <v>695.58</v>
      </c>
      <c r="O1244" s="5">
        <v>48690.6</v>
      </c>
      <c r="P1244">
        <f t="shared" si="77"/>
        <v>1</v>
      </c>
      <c r="Q1244" s="36">
        <f t="shared" si="78"/>
        <v>48690.600000000006</v>
      </c>
      <c r="R1244">
        <f t="shared" si="79"/>
        <v>2022</v>
      </c>
    </row>
    <row r="1245" spans="1:18" x14ac:dyDescent="0.2">
      <c r="A1245" s="13">
        <v>45387</v>
      </c>
      <c r="B1245" s="13">
        <v>45300</v>
      </c>
      <c r="C1245" s="25" t="s">
        <v>399</v>
      </c>
      <c r="D1245" s="20">
        <v>87</v>
      </c>
      <c r="E1245" s="28">
        <v>48690.6</v>
      </c>
      <c r="F1245" s="22" t="s">
        <v>76</v>
      </c>
      <c r="G1245" s="14">
        <v>70</v>
      </c>
      <c r="H1245" s="40">
        <v>44720</v>
      </c>
      <c r="I1245" s="46">
        <f t="shared" si="76"/>
        <v>667</v>
      </c>
      <c r="J1245" s="1" t="s">
        <v>15</v>
      </c>
      <c r="K1245" s="4" t="s">
        <v>199</v>
      </c>
      <c r="L1245" s="4" t="s">
        <v>225</v>
      </c>
      <c r="M1245" s="8">
        <v>70</v>
      </c>
      <c r="N1245" s="5">
        <v>695.58</v>
      </c>
      <c r="O1245" s="5">
        <v>48690.6</v>
      </c>
      <c r="P1245">
        <f t="shared" si="77"/>
        <v>1</v>
      </c>
      <c r="Q1245" s="36">
        <f t="shared" si="78"/>
        <v>48690.600000000006</v>
      </c>
      <c r="R1245">
        <f t="shared" si="79"/>
        <v>2022</v>
      </c>
    </row>
    <row r="1246" spans="1:18" x14ac:dyDescent="0.2">
      <c r="A1246" s="13">
        <v>45387</v>
      </c>
      <c r="B1246" s="13">
        <v>45314</v>
      </c>
      <c r="C1246" s="25" t="s">
        <v>399</v>
      </c>
      <c r="D1246" s="20">
        <v>73</v>
      </c>
      <c r="E1246" s="28">
        <v>48690.6</v>
      </c>
      <c r="F1246" s="22" t="s">
        <v>76</v>
      </c>
      <c r="G1246" s="14">
        <v>70</v>
      </c>
      <c r="H1246" s="40">
        <v>44735</v>
      </c>
      <c r="I1246" s="46">
        <f t="shared" si="76"/>
        <v>652</v>
      </c>
      <c r="J1246" s="1" t="s">
        <v>15</v>
      </c>
      <c r="K1246" s="4" t="s">
        <v>199</v>
      </c>
      <c r="L1246" s="4" t="s">
        <v>225</v>
      </c>
      <c r="M1246" s="8">
        <v>70</v>
      </c>
      <c r="N1246" s="5">
        <v>695.58</v>
      </c>
      <c r="O1246" s="5">
        <v>48690.6</v>
      </c>
      <c r="P1246">
        <f t="shared" si="77"/>
        <v>1</v>
      </c>
      <c r="Q1246" s="36">
        <f t="shared" si="78"/>
        <v>48690.600000000006</v>
      </c>
      <c r="R1246">
        <f t="shared" si="79"/>
        <v>2022</v>
      </c>
    </row>
    <row r="1247" spans="1:18" x14ac:dyDescent="0.2">
      <c r="A1247" s="13">
        <v>45387</v>
      </c>
      <c r="B1247" s="13">
        <v>45321</v>
      </c>
      <c r="C1247" s="25" t="s">
        <v>399</v>
      </c>
      <c r="D1247" s="20">
        <v>66</v>
      </c>
      <c r="E1247" s="28">
        <v>48690.6</v>
      </c>
      <c r="F1247" s="22" t="s">
        <v>76</v>
      </c>
      <c r="G1247" s="14">
        <v>70</v>
      </c>
      <c r="H1247" s="40">
        <v>44741</v>
      </c>
      <c r="I1247" s="46">
        <f t="shared" si="76"/>
        <v>646</v>
      </c>
      <c r="J1247" s="1" t="s">
        <v>15</v>
      </c>
      <c r="K1247" s="4" t="s">
        <v>199</v>
      </c>
      <c r="L1247" s="4" t="s">
        <v>225</v>
      </c>
      <c r="M1247" s="8">
        <v>70</v>
      </c>
      <c r="N1247" s="5">
        <v>695.58</v>
      </c>
      <c r="O1247" s="5">
        <v>48690.6</v>
      </c>
      <c r="P1247">
        <f t="shared" si="77"/>
        <v>1</v>
      </c>
      <c r="Q1247" s="36">
        <f t="shared" si="78"/>
        <v>48690.600000000006</v>
      </c>
      <c r="R1247">
        <f t="shared" si="79"/>
        <v>2022</v>
      </c>
    </row>
    <row r="1248" spans="1:18" x14ac:dyDescent="0.2">
      <c r="A1248" s="13">
        <v>45387</v>
      </c>
      <c r="B1248" s="13">
        <v>45321</v>
      </c>
      <c r="C1248" s="25" t="s">
        <v>399</v>
      </c>
      <c r="D1248" s="20">
        <v>66</v>
      </c>
      <c r="E1248" s="28">
        <v>48690.6</v>
      </c>
      <c r="F1248" s="22" t="s">
        <v>76</v>
      </c>
      <c r="G1248" s="14">
        <v>70</v>
      </c>
      <c r="H1248" s="40">
        <v>44741</v>
      </c>
      <c r="I1248" s="46">
        <f t="shared" si="76"/>
        <v>646</v>
      </c>
      <c r="J1248" s="1" t="s">
        <v>15</v>
      </c>
      <c r="K1248" s="4" t="s">
        <v>199</v>
      </c>
      <c r="L1248" s="4" t="s">
        <v>225</v>
      </c>
      <c r="M1248" s="8">
        <v>70</v>
      </c>
      <c r="N1248" s="5">
        <v>695.58</v>
      </c>
      <c r="O1248" s="5">
        <v>48690.6</v>
      </c>
      <c r="P1248">
        <f t="shared" si="77"/>
        <v>1</v>
      </c>
      <c r="Q1248" s="36">
        <f t="shared" si="78"/>
        <v>48690.600000000006</v>
      </c>
      <c r="R1248">
        <f t="shared" si="79"/>
        <v>2022</v>
      </c>
    </row>
    <row r="1249" spans="1:18" x14ac:dyDescent="0.2">
      <c r="A1249" s="13">
        <v>45387</v>
      </c>
      <c r="B1249" s="13">
        <v>45321</v>
      </c>
      <c r="C1249" s="25" t="s">
        <v>399</v>
      </c>
      <c r="D1249" s="20">
        <v>66</v>
      </c>
      <c r="E1249" s="28">
        <v>48690.6</v>
      </c>
      <c r="F1249" s="22" t="s">
        <v>76</v>
      </c>
      <c r="G1249" s="14">
        <v>70</v>
      </c>
      <c r="H1249" s="40">
        <v>44741</v>
      </c>
      <c r="I1249" s="46">
        <f t="shared" si="76"/>
        <v>646</v>
      </c>
      <c r="J1249" s="1" t="s">
        <v>15</v>
      </c>
      <c r="K1249" s="4" t="s">
        <v>199</v>
      </c>
      <c r="L1249" s="4" t="s">
        <v>225</v>
      </c>
      <c r="M1249" s="8">
        <v>70</v>
      </c>
      <c r="N1249" s="5">
        <v>695.58</v>
      </c>
      <c r="O1249" s="5">
        <v>48690.6</v>
      </c>
      <c r="P1249">
        <f t="shared" si="77"/>
        <v>1</v>
      </c>
      <c r="Q1249" s="36">
        <f t="shared" si="78"/>
        <v>48690.600000000006</v>
      </c>
      <c r="R1249">
        <f t="shared" si="79"/>
        <v>2022</v>
      </c>
    </row>
    <row r="1250" spans="1:18" x14ac:dyDescent="0.2">
      <c r="A1250" s="13">
        <v>45387</v>
      </c>
      <c r="B1250" s="13">
        <v>45321</v>
      </c>
      <c r="C1250" s="25" t="s">
        <v>399</v>
      </c>
      <c r="D1250" s="20">
        <v>66</v>
      </c>
      <c r="E1250" s="28">
        <v>48690.6</v>
      </c>
      <c r="F1250" s="22" t="s">
        <v>76</v>
      </c>
      <c r="G1250" s="14">
        <v>70</v>
      </c>
      <c r="H1250" s="40">
        <v>44741</v>
      </c>
      <c r="I1250" s="46">
        <f t="shared" si="76"/>
        <v>646</v>
      </c>
      <c r="J1250" s="1" t="s">
        <v>15</v>
      </c>
      <c r="K1250" s="4" t="s">
        <v>199</v>
      </c>
      <c r="L1250" s="4" t="s">
        <v>225</v>
      </c>
      <c r="M1250" s="8">
        <v>70</v>
      </c>
      <c r="N1250" s="5">
        <v>695.58</v>
      </c>
      <c r="O1250" s="5">
        <v>48690.6</v>
      </c>
      <c r="P1250">
        <f t="shared" si="77"/>
        <v>1</v>
      </c>
      <c r="Q1250" s="36">
        <f t="shared" si="78"/>
        <v>48690.600000000006</v>
      </c>
      <c r="R1250">
        <f t="shared" si="79"/>
        <v>2022</v>
      </c>
    </row>
    <row r="1251" spans="1:18" x14ac:dyDescent="0.2">
      <c r="A1251" s="13">
        <v>45387</v>
      </c>
      <c r="B1251" s="13">
        <v>45314</v>
      </c>
      <c r="C1251" s="25" t="s">
        <v>399</v>
      </c>
      <c r="D1251" s="20">
        <v>73</v>
      </c>
      <c r="E1251" s="28">
        <v>48690.6</v>
      </c>
      <c r="F1251" s="22" t="s">
        <v>76</v>
      </c>
      <c r="G1251" s="14">
        <v>70</v>
      </c>
      <c r="H1251" s="40">
        <v>44741</v>
      </c>
      <c r="I1251" s="46">
        <f t="shared" si="76"/>
        <v>646</v>
      </c>
      <c r="J1251" s="1" t="s">
        <v>15</v>
      </c>
      <c r="K1251" s="4" t="s">
        <v>199</v>
      </c>
      <c r="L1251" s="4" t="s">
        <v>225</v>
      </c>
      <c r="M1251" s="8">
        <v>70</v>
      </c>
      <c r="N1251" s="5">
        <v>695.58</v>
      </c>
      <c r="O1251" s="5">
        <v>48690.6</v>
      </c>
      <c r="P1251">
        <f t="shared" si="77"/>
        <v>1</v>
      </c>
      <c r="Q1251" s="36">
        <f t="shared" si="78"/>
        <v>48690.600000000006</v>
      </c>
      <c r="R1251">
        <f t="shared" si="79"/>
        <v>2022</v>
      </c>
    </row>
    <row r="1252" spans="1:18" x14ac:dyDescent="0.2">
      <c r="A1252" s="13">
        <v>45202</v>
      </c>
      <c r="B1252" s="13">
        <v>45202</v>
      </c>
      <c r="C1252" s="25" t="s">
        <v>398</v>
      </c>
      <c r="D1252" s="20">
        <v>0</v>
      </c>
      <c r="E1252" s="28">
        <v>3660</v>
      </c>
      <c r="F1252" s="22" t="s">
        <v>79</v>
      </c>
      <c r="G1252" s="14">
        <v>3000</v>
      </c>
      <c r="H1252" s="40">
        <v>44826</v>
      </c>
      <c r="I1252" s="46">
        <f t="shared" si="76"/>
        <v>376</v>
      </c>
      <c r="J1252" s="1" t="s">
        <v>15</v>
      </c>
      <c r="K1252" s="4" t="s">
        <v>200</v>
      </c>
      <c r="L1252" s="4" t="s">
        <v>225</v>
      </c>
      <c r="M1252" s="8">
        <v>3000</v>
      </c>
      <c r="N1252" s="5">
        <v>1.22</v>
      </c>
      <c r="O1252" s="5">
        <v>3660</v>
      </c>
      <c r="P1252">
        <f t="shared" si="77"/>
        <v>1</v>
      </c>
      <c r="Q1252" s="36">
        <f t="shared" si="78"/>
        <v>3660</v>
      </c>
      <c r="R1252">
        <f t="shared" si="79"/>
        <v>2022</v>
      </c>
    </row>
    <row r="1253" spans="1:18" x14ac:dyDescent="0.2">
      <c r="A1253" s="13">
        <v>45223</v>
      </c>
      <c r="B1253" s="13">
        <v>45223</v>
      </c>
      <c r="C1253" s="25" t="s">
        <v>398</v>
      </c>
      <c r="D1253" s="20">
        <v>0</v>
      </c>
      <c r="E1253" s="28">
        <v>1965</v>
      </c>
      <c r="F1253" s="22" t="s">
        <v>80</v>
      </c>
      <c r="G1253" s="14">
        <v>1500</v>
      </c>
      <c r="H1253" s="40">
        <v>44847</v>
      </c>
      <c r="I1253" s="46">
        <f t="shared" si="76"/>
        <v>376</v>
      </c>
      <c r="J1253" s="1" t="s">
        <v>15</v>
      </c>
      <c r="K1253" s="4" t="s">
        <v>200</v>
      </c>
      <c r="L1253" s="4" t="s">
        <v>225</v>
      </c>
      <c r="M1253" s="8">
        <v>4500</v>
      </c>
      <c r="N1253" s="5">
        <v>1.31</v>
      </c>
      <c r="O1253" s="5">
        <v>5895</v>
      </c>
      <c r="P1253">
        <f t="shared" si="77"/>
        <v>0</v>
      </c>
      <c r="Q1253" s="36">
        <f t="shared" si="78"/>
        <v>1965</v>
      </c>
      <c r="R1253">
        <f t="shared" si="79"/>
        <v>2022</v>
      </c>
    </row>
    <row r="1254" spans="1:18" x14ac:dyDescent="0.2">
      <c r="A1254" s="13">
        <v>45257</v>
      </c>
      <c r="B1254" s="13">
        <v>45223</v>
      </c>
      <c r="C1254" s="25" t="s">
        <v>399</v>
      </c>
      <c r="D1254" s="20">
        <v>34</v>
      </c>
      <c r="E1254" s="28">
        <v>3930</v>
      </c>
      <c r="F1254" s="22" t="s">
        <v>80</v>
      </c>
      <c r="G1254" s="14">
        <v>3000</v>
      </c>
      <c r="H1254" s="40">
        <v>44847</v>
      </c>
      <c r="I1254" s="46">
        <f t="shared" si="76"/>
        <v>410</v>
      </c>
      <c r="J1254" s="1" t="s">
        <v>15</v>
      </c>
      <c r="K1254" s="4" t="s">
        <v>200</v>
      </c>
      <c r="L1254" s="4" t="s">
        <v>225</v>
      </c>
      <c r="M1254" s="8">
        <v>4500</v>
      </c>
      <c r="N1254" s="5">
        <v>1.31</v>
      </c>
      <c r="O1254" s="5">
        <v>5895</v>
      </c>
      <c r="P1254">
        <f t="shared" si="77"/>
        <v>0</v>
      </c>
      <c r="Q1254" s="36">
        <f t="shared" si="78"/>
        <v>3930</v>
      </c>
      <c r="R1254">
        <f t="shared" si="79"/>
        <v>2022</v>
      </c>
    </row>
    <row r="1255" spans="1:18" x14ac:dyDescent="0.2">
      <c r="A1255" s="13">
        <v>45194</v>
      </c>
      <c r="B1255" s="13">
        <v>45194</v>
      </c>
      <c r="C1255" s="25" t="s">
        <v>398</v>
      </c>
      <c r="D1255" s="20">
        <v>0</v>
      </c>
      <c r="E1255" s="28">
        <v>22780.2</v>
      </c>
      <c r="F1255" s="22" t="s">
        <v>83</v>
      </c>
      <c r="G1255" s="14">
        <v>30</v>
      </c>
      <c r="H1255" s="40">
        <v>44782</v>
      </c>
      <c r="I1255" s="46">
        <f t="shared" si="76"/>
        <v>412</v>
      </c>
      <c r="J1255" s="1" t="s">
        <v>15</v>
      </c>
      <c r="K1255" s="4" t="s">
        <v>200</v>
      </c>
      <c r="L1255" s="4" t="s">
        <v>225</v>
      </c>
      <c r="M1255" s="8">
        <v>30</v>
      </c>
      <c r="N1255" s="5">
        <v>759.34</v>
      </c>
      <c r="O1255" s="5">
        <v>22780.2</v>
      </c>
      <c r="P1255">
        <f t="shared" si="77"/>
        <v>1</v>
      </c>
      <c r="Q1255" s="36">
        <f t="shared" si="78"/>
        <v>22780.2</v>
      </c>
      <c r="R1255">
        <f t="shared" si="79"/>
        <v>2022</v>
      </c>
    </row>
    <row r="1256" spans="1:18" x14ac:dyDescent="0.2">
      <c r="A1256" s="13">
        <v>45187</v>
      </c>
      <c r="B1256" s="13">
        <v>45187</v>
      </c>
      <c r="C1256" s="25" t="s">
        <v>398</v>
      </c>
      <c r="D1256" s="20">
        <v>0</v>
      </c>
      <c r="E1256" s="28">
        <v>45560.4</v>
      </c>
      <c r="F1256" s="22" t="s">
        <v>83</v>
      </c>
      <c r="G1256" s="14">
        <v>60</v>
      </c>
      <c r="H1256" s="40">
        <v>44783</v>
      </c>
      <c r="I1256" s="46">
        <f t="shared" si="76"/>
        <v>404</v>
      </c>
      <c r="J1256" s="1" t="s">
        <v>15</v>
      </c>
      <c r="K1256" s="4" t="s">
        <v>200</v>
      </c>
      <c r="L1256" s="4" t="s">
        <v>225</v>
      </c>
      <c r="M1256" s="8">
        <v>60</v>
      </c>
      <c r="N1256" s="5">
        <v>759.34</v>
      </c>
      <c r="O1256" s="5">
        <v>45560.4</v>
      </c>
      <c r="P1256">
        <f t="shared" si="77"/>
        <v>1</v>
      </c>
      <c r="Q1256" s="36">
        <f t="shared" si="78"/>
        <v>45560.4</v>
      </c>
      <c r="R1256">
        <f t="shared" si="79"/>
        <v>2022</v>
      </c>
    </row>
    <row r="1257" spans="1:18" x14ac:dyDescent="0.2">
      <c r="A1257" s="13">
        <v>45187</v>
      </c>
      <c r="B1257" s="13">
        <v>45187</v>
      </c>
      <c r="C1257" s="25" t="s">
        <v>398</v>
      </c>
      <c r="D1257" s="20">
        <v>0</v>
      </c>
      <c r="E1257" s="28">
        <v>45560.4</v>
      </c>
      <c r="F1257" s="22" t="s">
        <v>83</v>
      </c>
      <c r="G1257" s="14">
        <v>60</v>
      </c>
      <c r="H1257" s="40">
        <v>44783</v>
      </c>
      <c r="I1257" s="46">
        <f t="shared" si="76"/>
        <v>404</v>
      </c>
      <c r="J1257" s="1" t="s">
        <v>15</v>
      </c>
      <c r="K1257" s="4" t="s">
        <v>200</v>
      </c>
      <c r="L1257" s="4" t="s">
        <v>225</v>
      </c>
      <c r="M1257" s="8">
        <v>60</v>
      </c>
      <c r="N1257" s="5">
        <v>759.34</v>
      </c>
      <c r="O1257" s="5">
        <v>45560.4</v>
      </c>
      <c r="P1257">
        <f t="shared" si="77"/>
        <v>1</v>
      </c>
      <c r="Q1257" s="36">
        <f t="shared" si="78"/>
        <v>45560.4</v>
      </c>
      <c r="R1257">
        <f t="shared" si="79"/>
        <v>2022</v>
      </c>
    </row>
    <row r="1258" spans="1:18" x14ac:dyDescent="0.2">
      <c r="A1258" s="13">
        <v>45187</v>
      </c>
      <c r="B1258" s="13">
        <v>45187</v>
      </c>
      <c r="C1258" s="25" t="s">
        <v>398</v>
      </c>
      <c r="D1258" s="20">
        <v>0</v>
      </c>
      <c r="E1258" s="28">
        <v>45560.4</v>
      </c>
      <c r="F1258" s="22" t="s">
        <v>83</v>
      </c>
      <c r="G1258" s="14">
        <v>60</v>
      </c>
      <c r="H1258" s="40">
        <v>44783</v>
      </c>
      <c r="I1258" s="46">
        <f t="shared" si="76"/>
        <v>404</v>
      </c>
      <c r="J1258" s="1" t="s">
        <v>15</v>
      </c>
      <c r="K1258" s="4" t="s">
        <v>200</v>
      </c>
      <c r="L1258" s="4" t="s">
        <v>225</v>
      </c>
      <c r="M1258" s="8">
        <v>60</v>
      </c>
      <c r="N1258" s="5">
        <v>759.34</v>
      </c>
      <c r="O1258" s="5">
        <v>45560.4</v>
      </c>
      <c r="P1258">
        <f t="shared" si="77"/>
        <v>1</v>
      </c>
      <c r="Q1258" s="36">
        <f t="shared" si="78"/>
        <v>45560.4</v>
      </c>
      <c r="R1258">
        <f t="shared" si="79"/>
        <v>2022</v>
      </c>
    </row>
    <row r="1259" spans="1:18" x14ac:dyDescent="0.2">
      <c r="A1259" s="13">
        <v>45194</v>
      </c>
      <c r="B1259" s="13">
        <v>45194</v>
      </c>
      <c r="C1259" s="25" t="s">
        <v>398</v>
      </c>
      <c r="D1259" s="20">
        <v>0</v>
      </c>
      <c r="E1259" s="28">
        <v>45560.4</v>
      </c>
      <c r="F1259" s="22" t="s">
        <v>83</v>
      </c>
      <c r="G1259" s="14">
        <v>60</v>
      </c>
      <c r="H1259" s="40">
        <v>44783</v>
      </c>
      <c r="I1259" s="46">
        <f t="shared" si="76"/>
        <v>411</v>
      </c>
      <c r="J1259" s="1" t="s">
        <v>15</v>
      </c>
      <c r="K1259" s="4" t="s">
        <v>200</v>
      </c>
      <c r="L1259" s="4" t="s">
        <v>225</v>
      </c>
      <c r="M1259" s="8">
        <v>60</v>
      </c>
      <c r="N1259" s="5">
        <v>759.34</v>
      </c>
      <c r="O1259" s="5">
        <v>45560.4</v>
      </c>
      <c r="P1259">
        <f t="shared" si="77"/>
        <v>1</v>
      </c>
      <c r="Q1259" s="36">
        <f t="shared" si="78"/>
        <v>45560.4</v>
      </c>
      <c r="R1259">
        <f t="shared" si="79"/>
        <v>2022</v>
      </c>
    </row>
    <row r="1260" spans="1:18" x14ac:dyDescent="0.2">
      <c r="A1260" s="13">
        <v>45194</v>
      </c>
      <c r="B1260" s="13">
        <v>45194</v>
      </c>
      <c r="C1260" s="25" t="s">
        <v>398</v>
      </c>
      <c r="D1260" s="20">
        <v>0</v>
      </c>
      <c r="E1260" s="28">
        <v>45560.4</v>
      </c>
      <c r="F1260" s="22" t="s">
        <v>83</v>
      </c>
      <c r="G1260" s="14">
        <v>60</v>
      </c>
      <c r="H1260" s="40">
        <v>44783</v>
      </c>
      <c r="I1260" s="46">
        <f t="shared" si="76"/>
        <v>411</v>
      </c>
      <c r="J1260" s="1" t="s">
        <v>15</v>
      </c>
      <c r="K1260" s="4" t="s">
        <v>200</v>
      </c>
      <c r="L1260" s="4" t="s">
        <v>225</v>
      </c>
      <c r="M1260" s="8">
        <v>60</v>
      </c>
      <c r="N1260" s="5">
        <v>759.34</v>
      </c>
      <c r="O1260" s="5">
        <v>45560.4</v>
      </c>
      <c r="P1260">
        <f t="shared" si="77"/>
        <v>1</v>
      </c>
      <c r="Q1260" s="36">
        <f t="shared" si="78"/>
        <v>45560.4</v>
      </c>
      <c r="R1260">
        <f t="shared" si="79"/>
        <v>2022</v>
      </c>
    </row>
    <row r="1261" spans="1:18" x14ac:dyDescent="0.2">
      <c r="A1261" s="13">
        <v>45194</v>
      </c>
      <c r="B1261" s="13">
        <v>45194</v>
      </c>
      <c r="C1261" s="25" t="s">
        <v>398</v>
      </c>
      <c r="D1261" s="20">
        <v>0</v>
      </c>
      <c r="E1261" s="28">
        <v>45560.4</v>
      </c>
      <c r="F1261" s="22" t="s">
        <v>83</v>
      </c>
      <c r="G1261" s="14">
        <v>60</v>
      </c>
      <c r="H1261" s="40">
        <v>44783</v>
      </c>
      <c r="I1261" s="46">
        <f t="shared" si="76"/>
        <v>411</v>
      </c>
      <c r="J1261" s="1" t="s">
        <v>15</v>
      </c>
      <c r="K1261" s="4" t="s">
        <v>200</v>
      </c>
      <c r="L1261" s="4" t="s">
        <v>225</v>
      </c>
      <c r="M1261" s="8">
        <v>60</v>
      </c>
      <c r="N1261" s="5">
        <v>759.34</v>
      </c>
      <c r="O1261" s="5">
        <v>45560.4</v>
      </c>
      <c r="P1261">
        <f t="shared" si="77"/>
        <v>1</v>
      </c>
      <c r="Q1261" s="36">
        <f t="shared" si="78"/>
        <v>45560.4</v>
      </c>
      <c r="R1261">
        <f t="shared" si="79"/>
        <v>2022</v>
      </c>
    </row>
    <row r="1262" spans="1:18" x14ac:dyDescent="0.2">
      <c r="A1262" s="13">
        <v>45194</v>
      </c>
      <c r="B1262" s="13">
        <v>45194</v>
      </c>
      <c r="C1262" s="25" t="s">
        <v>398</v>
      </c>
      <c r="D1262" s="20">
        <v>0</v>
      </c>
      <c r="E1262" s="28">
        <v>45560.4</v>
      </c>
      <c r="F1262" s="22" t="s">
        <v>83</v>
      </c>
      <c r="G1262" s="14">
        <v>60</v>
      </c>
      <c r="H1262" s="40">
        <v>44783</v>
      </c>
      <c r="I1262" s="46">
        <f t="shared" si="76"/>
        <v>411</v>
      </c>
      <c r="J1262" s="1" t="s">
        <v>15</v>
      </c>
      <c r="K1262" s="4" t="s">
        <v>200</v>
      </c>
      <c r="L1262" s="4" t="s">
        <v>225</v>
      </c>
      <c r="M1262" s="8">
        <v>60</v>
      </c>
      <c r="N1262" s="5">
        <v>759.34</v>
      </c>
      <c r="O1262" s="5">
        <v>45560.4</v>
      </c>
      <c r="P1262">
        <f t="shared" si="77"/>
        <v>1</v>
      </c>
      <c r="Q1262" s="36">
        <f t="shared" si="78"/>
        <v>45560.4</v>
      </c>
      <c r="R1262">
        <f t="shared" si="79"/>
        <v>2022</v>
      </c>
    </row>
    <row r="1263" spans="1:18" x14ac:dyDescent="0.2">
      <c r="A1263" s="13">
        <v>45194</v>
      </c>
      <c r="B1263" s="13">
        <v>45194</v>
      </c>
      <c r="C1263" s="25" t="s">
        <v>398</v>
      </c>
      <c r="D1263" s="20">
        <v>0</v>
      </c>
      <c r="E1263" s="28">
        <v>45560.4</v>
      </c>
      <c r="F1263" s="22" t="s">
        <v>83</v>
      </c>
      <c r="G1263" s="14">
        <v>60</v>
      </c>
      <c r="H1263" s="40">
        <v>44783</v>
      </c>
      <c r="I1263" s="46">
        <f t="shared" si="76"/>
        <v>411</v>
      </c>
      <c r="J1263" s="1" t="s">
        <v>15</v>
      </c>
      <c r="K1263" s="4" t="s">
        <v>200</v>
      </c>
      <c r="L1263" s="4" t="s">
        <v>225</v>
      </c>
      <c r="M1263" s="8">
        <v>60</v>
      </c>
      <c r="N1263" s="5">
        <v>759.34</v>
      </c>
      <c r="O1263" s="5">
        <v>45560.4</v>
      </c>
      <c r="P1263">
        <f t="shared" si="77"/>
        <v>1</v>
      </c>
      <c r="Q1263" s="36">
        <f t="shared" si="78"/>
        <v>45560.4</v>
      </c>
      <c r="R1263">
        <f t="shared" si="79"/>
        <v>2022</v>
      </c>
    </row>
    <row r="1264" spans="1:18" x14ac:dyDescent="0.2">
      <c r="A1264" s="13">
        <v>45197</v>
      </c>
      <c r="B1264" s="13">
        <v>45197</v>
      </c>
      <c r="C1264" s="25" t="s">
        <v>398</v>
      </c>
      <c r="D1264" s="20">
        <v>0</v>
      </c>
      <c r="E1264" s="28">
        <v>45560.4</v>
      </c>
      <c r="F1264" s="22" t="s">
        <v>83</v>
      </c>
      <c r="G1264" s="14">
        <v>60</v>
      </c>
      <c r="H1264" s="40">
        <v>44790</v>
      </c>
      <c r="I1264" s="46">
        <f t="shared" si="76"/>
        <v>407</v>
      </c>
      <c r="J1264" s="1" t="s">
        <v>15</v>
      </c>
      <c r="K1264" s="4" t="s">
        <v>199</v>
      </c>
      <c r="L1264" s="4" t="s">
        <v>225</v>
      </c>
      <c r="M1264" s="8">
        <v>60</v>
      </c>
      <c r="N1264" s="5">
        <v>759.34</v>
      </c>
      <c r="O1264" s="5">
        <v>45560.4</v>
      </c>
      <c r="P1264">
        <f t="shared" si="77"/>
        <v>1</v>
      </c>
      <c r="Q1264" s="36">
        <f t="shared" si="78"/>
        <v>45560.4</v>
      </c>
      <c r="R1264">
        <f t="shared" si="79"/>
        <v>2022</v>
      </c>
    </row>
    <row r="1265" spans="1:18" x14ac:dyDescent="0.2">
      <c r="A1265" s="13">
        <v>45197</v>
      </c>
      <c r="B1265" s="13">
        <v>45197</v>
      </c>
      <c r="C1265" s="25" t="s">
        <v>398</v>
      </c>
      <c r="D1265" s="20">
        <v>0</v>
      </c>
      <c r="E1265" s="28">
        <v>45560.4</v>
      </c>
      <c r="F1265" s="22" t="s">
        <v>83</v>
      </c>
      <c r="G1265" s="14">
        <v>60</v>
      </c>
      <c r="H1265" s="40">
        <v>44790</v>
      </c>
      <c r="I1265" s="46">
        <f t="shared" si="76"/>
        <v>407</v>
      </c>
      <c r="J1265" s="1" t="s">
        <v>15</v>
      </c>
      <c r="K1265" s="4" t="s">
        <v>199</v>
      </c>
      <c r="L1265" s="4" t="s">
        <v>225</v>
      </c>
      <c r="M1265" s="8">
        <v>60</v>
      </c>
      <c r="N1265" s="5">
        <v>759.34</v>
      </c>
      <c r="O1265" s="5">
        <v>45560.4</v>
      </c>
      <c r="P1265">
        <f t="shared" si="77"/>
        <v>1</v>
      </c>
      <c r="Q1265" s="36">
        <f t="shared" si="78"/>
        <v>45560.4</v>
      </c>
      <c r="R1265">
        <f t="shared" si="79"/>
        <v>2022</v>
      </c>
    </row>
    <row r="1266" spans="1:18" x14ac:dyDescent="0.2">
      <c r="A1266" s="13">
        <v>45197</v>
      </c>
      <c r="B1266" s="13">
        <v>45197</v>
      </c>
      <c r="C1266" s="25" t="s">
        <v>398</v>
      </c>
      <c r="D1266" s="20">
        <v>0</v>
      </c>
      <c r="E1266" s="28">
        <v>45560.4</v>
      </c>
      <c r="F1266" s="22" t="s">
        <v>83</v>
      </c>
      <c r="G1266" s="14">
        <v>60</v>
      </c>
      <c r="H1266" s="40">
        <v>44790</v>
      </c>
      <c r="I1266" s="46">
        <f t="shared" si="76"/>
        <v>407</v>
      </c>
      <c r="J1266" s="1" t="s">
        <v>15</v>
      </c>
      <c r="K1266" s="4" t="s">
        <v>199</v>
      </c>
      <c r="L1266" s="4" t="s">
        <v>225</v>
      </c>
      <c r="M1266" s="8">
        <v>60</v>
      </c>
      <c r="N1266" s="5">
        <v>759.34</v>
      </c>
      <c r="O1266" s="5">
        <v>45560.4</v>
      </c>
      <c r="P1266">
        <f t="shared" si="77"/>
        <v>1</v>
      </c>
      <c r="Q1266" s="36">
        <f t="shared" si="78"/>
        <v>45560.4</v>
      </c>
      <c r="R1266">
        <f t="shared" si="79"/>
        <v>2022</v>
      </c>
    </row>
    <row r="1267" spans="1:18" x14ac:dyDescent="0.2">
      <c r="A1267" s="13">
        <v>45197</v>
      </c>
      <c r="B1267" s="13">
        <v>45197</v>
      </c>
      <c r="C1267" s="25" t="s">
        <v>398</v>
      </c>
      <c r="D1267" s="20">
        <v>0</v>
      </c>
      <c r="E1267" s="28">
        <v>45560.4</v>
      </c>
      <c r="F1267" s="22" t="s">
        <v>83</v>
      </c>
      <c r="G1267" s="14">
        <v>60</v>
      </c>
      <c r="H1267" s="40">
        <v>44790</v>
      </c>
      <c r="I1267" s="46">
        <f t="shared" si="76"/>
        <v>407</v>
      </c>
      <c r="J1267" s="1" t="s">
        <v>15</v>
      </c>
      <c r="K1267" s="4" t="s">
        <v>199</v>
      </c>
      <c r="L1267" s="4" t="s">
        <v>225</v>
      </c>
      <c r="M1267" s="8">
        <v>60</v>
      </c>
      <c r="N1267" s="5">
        <v>759.34</v>
      </c>
      <c r="O1267" s="5">
        <v>45560.4</v>
      </c>
      <c r="P1267">
        <f t="shared" si="77"/>
        <v>1</v>
      </c>
      <c r="Q1267" s="36">
        <f t="shared" si="78"/>
        <v>45560.4</v>
      </c>
      <c r="R1267">
        <f t="shared" si="79"/>
        <v>2022</v>
      </c>
    </row>
    <row r="1268" spans="1:18" x14ac:dyDescent="0.2">
      <c r="A1268" s="13">
        <v>45197</v>
      </c>
      <c r="B1268" s="13">
        <v>45197</v>
      </c>
      <c r="C1268" s="25" t="s">
        <v>398</v>
      </c>
      <c r="D1268" s="20">
        <v>0</v>
      </c>
      <c r="E1268" s="28">
        <v>45560.4</v>
      </c>
      <c r="F1268" s="22" t="s">
        <v>83</v>
      </c>
      <c r="G1268" s="14">
        <v>60</v>
      </c>
      <c r="H1268" s="40">
        <v>44790</v>
      </c>
      <c r="I1268" s="46">
        <f t="shared" si="76"/>
        <v>407</v>
      </c>
      <c r="J1268" s="1" t="s">
        <v>15</v>
      </c>
      <c r="K1268" s="4" t="s">
        <v>199</v>
      </c>
      <c r="L1268" s="4" t="s">
        <v>225</v>
      </c>
      <c r="M1268" s="8">
        <v>60</v>
      </c>
      <c r="N1268" s="5">
        <v>759.34</v>
      </c>
      <c r="O1268" s="5">
        <v>45560.4</v>
      </c>
      <c r="P1268">
        <f t="shared" si="77"/>
        <v>1</v>
      </c>
      <c r="Q1268" s="36">
        <f t="shared" si="78"/>
        <v>45560.4</v>
      </c>
      <c r="R1268">
        <f t="shared" si="79"/>
        <v>2022</v>
      </c>
    </row>
    <row r="1269" spans="1:18" x14ac:dyDescent="0.2">
      <c r="A1269" s="13">
        <v>45204</v>
      </c>
      <c r="B1269" s="13">
        <v>45204</v>
      </c>
      <c r="C1269" s="25" t="s">
        <v>398</v>
      </c>
      <c r="D1269" s="20">
        <v>0</v>
      </c>
      <c r="E1269" s="28">
        <v>45560.4</v>
      </c>
      <c r="F1269" s="22" t="s">
        <v>83</v>
      </c>
      <c r="G1269" s="14">
        <v>60</v>
      </c>
      <c r="H1269" s="40">
        <v>44790</v>
      </c>
      <c r="I1269" s="46">
        <f t="shared" si="76"/>
        <v>414</v>
      </c>
      <c r="J1269" s="1" t="s">
        <v>15</v>
      </c>
      <c r="K1269" s="4" t="s">
        <v>199</v>
      </c>
      <c r="L1269" s="4" t="s">
        <v>225</v>
      </c>
      <c r="M1269" s="8">
        <v>60</v>
      </c>
      <c r="N1269" s="5">
        <v>759.34</v>
      </c>
      <c r="O1269" s="5">
        <v>45560.4</v>
      </c>
      <c r="P1269">
        <f t="shared" si="77"/>
        <v>1</v>
      </c>
      <c r="Q1269" s="36">
        <f t="shared" si="78"/>
        <v>45560.4</v>
      </c>
      <c r="R1269">
        <f t="shared" si="79"/>
        <v>2022</v>
      </c>
    </row>
    <row r="1270" spans="1:18" x14ac:dyDescent="0.2">
      <c r="A1270" s="13">
        <v>45204</v>
      </c>
      <c r="B1270" s="13">
        <v>45204</v>
      </c>
      <c r="C1270" s="25" t="s">
        <v>398</v>
      </c>
      <c r="D1270" s="20">
        <v>0</v>
      </c>
      <c r="E1270" s="28">
        <v>45560.4</v>
      </c>
      <c r="F1270" s="22" t="s">
        <v>83</v>
      </c>
      <c r="G1270" s="14">
        <v>60</v>
      </c>
      <c r="H1270" s="40">
        <v>44790</v>
      </c>
      <c r="I1270" s="46">
        <f t="shared" si="76"/>
        <v>414</v>
      </c>
      <c r="J1270" s="1" t="s">
        <v>15</v>
      </c>
      <c r="K1270" s="4" t="s">
        <v>199</v>
      </c>
      <c r="L1270" s="4" t="s">
        <v>225</v>
      </c>
      <c r="M1270" s="8">
        <v>60</v>
      </c>
      <c r="N1270" s="5">
        <v>759.34</v>
      </c>
      <c r="O1270" s="5">
        <v>45560.4</v>
      </c>
      <c r="P1270">
        <f t="shared" si="77"/>
        <v>1</v>
      </c>
      <c r="Q1270" s="36">
        <f t="shared" si="78"/>
        <v>45560.4</v>
      </c>
      <c r="R1270">
        <f t="shared" si="79"/>
        <v>2022</v>
      </c>
    </row>
    <row r="1271" spans="1:18" x14ac:dyDescent="0.2">
      <c r="A1271" s="13">
        <v>45204</v>
      </c>
      <c r="B1271" s="13">
        <v>45204</v>
      </c>
      <c r="C1271" s="25" t="s">
        <v>398</v>
      </c>
      <c r="D1271" s="20">
        <v>0</v>
      </c>
      <c r="E1271" s="28">
        <v>45560.4</v>
      </c>
      <c r="F1271" s="22" t="s">
        <v>83</v>
      </c>
      <c r="G1271" s="14">
        <v>60</v>
      </c>
      <c r="H1271" s="40">
        <v>44790</v>
      </c>
      <c r="I1271" s="46">
        <f t="shared" si="76"/>
        <v>414</v>
      </c>
      <c r="J1271" s="1" t="s">
        <v>15</v>
      </c>
      <c r="K1271" s="4" t="s">
        <v>199</v>
      </c>
      <c r="L1271" s="4" t="s">
        <v>225</v>
      </c>
      <c r="M1271" s="8">
        <v>60</v>
      </c>
      <c r="N1271" s="5">
        <v>759.34</v>
      </c>
      <c r="O1271" s="5">
        <v>45560.4</v>
      </c>
      <c r="P1271">
        <f t="shared" si="77"/>
        <v>1</v>
      </c>
      <c r="Q1271" s="36">
        <f t="shared" si="78"/>
        <v>45560.4</v>
      </c>
      <c r="R1271">
        <f t="shared" si="79"/>
        <v>2022</v>
      </c>
    </row>
    <row r="1272" spans="1:18" x14ac:dyDescent="0.2">
      <c r="A1272" s="13">
        <v>45204</v>
      </c>
      <c r="B1272" s="13">
        <v>45204</v>
      </c>
      <c r="C1272" s="25" t="s">
        <v>398</v>
      </c>
      <c r="D1272" s="20">
        <v>0</v>
      </c>
      <c r="E1272" s="28">
        <v>45560.4</v>
      </c>
      <c r="F1272" s="22" t="s">
        <v>83</v>
      </c>
      <c r="G1272" s="14">
        <v>60</v>
      </c>
      <c r="H1272" s="40">
        <v>44790</v>
      </c>
      <c r="I1272" s="46">
        <f t="shared" si="76"/>
        <v>414</v>
      </c>
      <c r="J1272" s="1" t="s">
        <v>15</v>
      </c>
      <c r="K1272" s="4" t="s">
        <v>199</v>
      </c>
      <c r="L1272" s="4" t="s">
        <v>225</v>
      </c>
      <c r="M1272" s="8">
        <v>60</v>
      </c>
      <c r="N1272" s="5">
        <v>759.34</v>
      </c>
      <c r="O1272" s="5">
        <v>45560.4</v>
      </c>
      <c r="P1272">
        <f t="shared" si="77"/>
        <v>1</v>
      </c>
      <c r="Q1272" s="36">
        <f t="shared" si="78"/>
        <v>45560.4</v>
      </c>
      <c r="R1272">
        <f t="shared" si="79"/>
        <v>2022</v>
      </c>
    </row>
    <row r="1273" spans="1:18" x14ac:dyDescent="0.2">
      <c r="A1273" s="13">
        <v>45204</v>
      </c>
      <c r="B1273" s="13">
        <v>45204</v>
      </c>
      <c r="C1273" s="25" t="s">
        <v>398</v>
      </c>
      <c r="D1273" s="20">
        <v>0</v>
      </c>
      <c r="E1273" s="28">
        <v>45560.4</v>
      </c>
      <c r="F1273" s="22" t="s">
        <v>83</v>
      </c>
      <c r="G1273" s="14">
        <v>60</v>
      </c>
      <c r="H1273" s="40">
        <v>44790</v>
      </c>
      <c r="I1273" s="46">
        <f t="shared" si="76"/>
        <v>414</v>
      </c>
      <c r="J1273" s="1" t="s">
        <v>15</v>
      </c>
      <c r="K1273" s="4" t="s">
        <v>199</v>
      </c>
      <c r="L1273" s="4" t="s">
        <v>225</v>
      </c>
      <c r="M1273" s="8">
        <v>60</v>
      </c>
      <c r="N1273" s="5">
        <v>759.34</v>
      </c>
      <c r="O1273" s="5">
        <v>45560.4</v>
      </c>
      <c r="P1273">
        <f t="shared" si="77"/>
        <v>1</v>
      </c>
      <c r="Q1273" s="36">
        <f t="shared" si="78"/>
        <v>45560.4</v>
      </c>
      <c r="R1273">
        <f t="shared" si="79"/>
        <v>2022</v>
      </c>
    </row>
    <row r="1274" spans="1:18" x14ac:dyDescent="0.2">
      <c r="A1274" s="13">
        <v>45204</v>
      </c>
      <c r="B1274" s="13">
        <v>45204</v>
      </c>
      <c r="C1274" s="25" t="s">
        <v>398</v>
      </c>
      <c r="D1274" s="20">
        <v>0</v>
      </c>
      <c r="E1274" s="28">
        <v>45560.4</v>
      </c>
      <c r="F1274" s="22" t="s">
        <v>83</v>
      </c>
      <c r="G1274" s="14">
        <v>60</v>
      </c>
      <c r="H1274" s="40">
        <v>44790</v>
      </c>
      <c r="I1274" s="46">
        <f t="shared" si="76"/>
        <v>414</v>
      </c>
      <c r="J1274" s="1" t="s">
        <v>15</v>
      </c>
      <c r="K1274" s="4" t="s">
        <v>199</v>
      </c>
      <c r="L1274" s="4" t="s">
        <v>225</v>
      </c>
      <c r="M1274" s="8">
        <v>60</v>
      </c>
      <c r="N1274" s="5">
        <v>759.34</v>
      </c>
      <c r="O1274" s="5">
        <v>45560.4</v>
      </c>
      <c r="P1274">
        <f t="shared" si="77"/>
        <v>1</v>
      </c>
      <c r="Q1274" s="36">
        <f t="shared" si="78"/>
        <v>45560.4</v>
      </c>
      <c r="R1274">
        <f t="shared" si="79"/>
        <v>2022</v>
      </c>
    </row>
    <row r="1275" spans="1:18" x14ac:dyDescent="0.2">
      <c r="A1275" s="13">
        <v>45236</v>
      </c>
      <c r="B1275" s="13">
        <v>45236</v>
      </c>
      <c r="C1275" s="25" t="s">
        <v>398</v>
      </c>
      <c r="D1275" s="20">
        <v>0</v>
      </c>
      <c r="E1275" s="28">
        <v>22780.2</v>
      </c>
      <c r="F1275" s="22" t="s">
        <v>83</v>
      </c>
      <c r="G1275" s="14">
        <v>30</v>
      </c>
      <c r="H1275" s="40">
        <v>44826</v>
      </c>
      <c r="I1275" s="46">
        <f t="shared" si="76"/>
        <v>410</v>
      </c>
      <c r="J1275" s="1" t="s">
        <v>15</v>
      </c>
      <c r="K1275" s="4" t="s">
        <v>199</v>
      </c>
      <c r="L1275" s="4" t="s">
        <v>225</v>
      </c>
      <c r="M1275" s="8">
        <v>30</v>
      </c>
      <c r="N1275" s="5">
        <v>759.34</v>
      </c>
      <c r="O1275" s="5">
        <v>22780.2</v>
      </c>
      <c r="P1275">
        <f t="shared" si="77"/>
        <v>1</v>
      </c>
      <c r="Q1275" s="36">
        <f t="shared" si="78"/>
        <v>22780.2</v>
      </c>
      <c r="R1275">
        <f t="shared" si="79"/>
        <v>2022</v>
      </c>
    </row>
    <row r="1276" spans="1:18" x14ac:dyDescent="0.2">
      <c r="A1276" s="13">
        <v>45236</v>
      </c>
      <c r="B1276" s="13">
        <v>45236</v>
      </c>
      <c r="C1276" s="25" t="s">
        <v>398</v>
      </c>
      <c r="D1276" s="20">
        <v>0</v>
      </c>
      <c r="E1276" s="28">
        <v>45560.4</v>
      </c>
      <c r="F1276" s="22" t="s">
        <v>83</v>
      </c>
      <c r="G1276" s="14">
        <v>60</v>
      </c>
      <c r="H1276" s="40">
        <v>44827</v>
      </c>
      <c r="I1276" s="46">
        <f t="shared" si="76"/>
        <v>409</v>
      </c>
      <c r="J1276" s="1" t="s">
        <v>15</v>
      </c>
      <c r="K1276" s="4" t="s">
        <v>199</v>
      </c>
      <c r="L1276" s="4" t="s">
        <v>225</v>
      </c>
      <c r="M1276" s="8">
        <v>60</v>
      </c>
      <c r="N1276" s="5">
        <v>759.34</v>
      </c>
      <c r="O1276" s="5">
        <v>45560.4</v>
      </c>
      <c r="P1276">
        <f t="shared" si="77"/>
        <v>1</v>
      </c>
      <c r="Q1276" s="36">
        <f t="shared" si="78"/>
        <v>45560.4</v>
      </c>
      <c r="R1276">
        <f t="shared" si="79"/>
        <v>2022</v>
      </c>
    </row>
    <row r="1277" spans="1:18" x14ac:dyDescent="0.2">
      <c r="A1277" s="13">
        <v>45236</v>
      </c>
      <c r="B1277" s="13">
        <v>45236</v>
      </c>
      <c r="C1277" s="25" t="s">
        <v>398</v>
      </c>
      <c r="D1277" s="20">
        <v>0</v>
      </c>
      <c r="E1277" s="28">
        <v>45560.4</v>
      </c>
      <c r="F1277" s="22" t="s">
        <v>83</v>
      </c>
      <c r="G1277" s="14">
        <v>60</v>
      </c>
      <c r="H1277" s="40">
        <v>44827</v>
      </c>
      <c r="I1277" s="46">
        <f t="shared" si="76"/>
        <v>409</v>
      </c>
      <c r="J1277" s="1" t="s">
        <v>15</v>
      </c>
      <c r="K1277" s="4" t="s">
        <v>199</v>
      </c>
      <c r="L1277" s="4" t="s">
        <v>225</v>
      </c>
      <c r="M1277" s="8">
        <v>60</v>
      </c>
      <c r="N1277" s="5">
        <v>759.34</v>
      </c>
      <c r="O1277" s="5">
        <v>45560.4</v>
      </c>
      <c r="P1277">
        <f t="shared" si="77"/>
        <v>1</v>
      </c>
      <c r="Q1277" s="36">
        <f t="shared" si="78"/>
        <v>45560.4</v>
      </c>
      <c r="R1277">
        <f t="shared" si="79"/>
        <v>2022</v>
      </c>
    </row>
    <row r="1278" spans="1:18" x14ac:dyDescent="0.2">
      <c r="A1278" s="13">
        <v>45236</v>
      </c>
      <c r="B1278" s="13">
        <v>45236</v>
      </c>
      <c r="C1278" s="25" t="s">
        <v>398</v>
      </c>
      <c r="D1278" s="20">
        <v>0</v>
      </c>
      <c r="E1278" s="28">
        <v>45560.4</v>
      </c>
      <c r="F1278" s="22" t="s">
        <v>83</v>
      </c>
      <c r="G1278" s="14">
        <v>60</v>
      </c>
      <c r="H1278" s="40">
        <v>44827</v>
      </c>
      <c r="I1278" s="46">
        <f t="shared" si="76"/>
        <v>409</v>
      </c>
      <c r="J1278" s="1" t="s">
        <v>15</v>
      </c>
      <c r="K1278" s="4" t="s">
        <v>199</v>
      </c>
      <c r="L1278" s="4" t="s">
        <v>225</v>
      </c>
      <c r="M1278" s="8">
        <v>60</v>
      </c>
      <c r="N1278" s="5">
        <v>759.34</v>
      </c>
      <c r="O1278" s="5">
        <v>45560.4</v>
      </c>
      <c r="P1278">
        <f t="shared" si="77"/>
        <v>1</v>
      </c>
      <c r="Q1278" s="36">
        <f t="shared" si="78"/>
        <v>45560.4</v>
      </c>
      <c r="R1278">
        <f t="shared" si="79"/>
        <v>2022</v>
      </c>
    </row>
    <row r="1279" spans="1:18" x14ac:dyDescent="0.2">
      <c r="A1279" s="13">
        <v>45243</v>
      </c>
      <c r="B1279" s="13">
        <v>45243</v>
      </c>
      <c r="C1279" s="25" t="s">
        <v>398</v>
      </c>
      <c r="D1279" s="20">
        <v>0</v>
      </c>
      <c r="E1279" s="28">
        <v>45560.4</v>
      </c>
      <c r="F1279" s="22" t="s">
        <v>83</v>
      </c>
      <c r="G1279" s="14">
        <v>60</v>
      </c>
      <c r="H1279" s="40">
        <v>44832</v>
      </c>
      <c r="I1279" s="46">
        <f t="shared" si="76"/>
        <v>411</v>
      </c>
      <c r="J1279" s="1" t="s">
        <v>15</v>
      </c>
      <c r="K1279" s="4" t="s">
        <v>199</v>
      </c>
      <c r="L1279" s="4" t="s">
        <v>225</v>
      </c>
      <c r="M1279" s="8">
        <v>60</v>
      </c>
      <c r="N1279" s="5">
        <v>759.34</v>
      </c>
      <c r="O1279" s="5">
        <v>45560.4</v>
      </c>
      <c r="P1279">
        <f t="shared" si="77"/>
        <v>1</v>
      </c>
      <c r="Q1279" s="36">
        <f t="shared" si="78"/>
        <v>45560.4</v>
      </c>
      <c r="R1279">
        <f t="shared" si="79"/>
        <v>2022</v>
      </c>
    </row>
    <row r="1280" spans="1:18" x14ac:dyDescent="0.2">
      <c r="A1280" s="13">
        <v>45243</v>
      </c>
      <c r="B1280" s="13">
        <v>45243</v>
      </c>
      <c r="C1280" s="25" t="s">
        <v>398</v>
      </c>
      <c r="D1280" s="20">
        <v>0</v>
      </c>
      <c r="E1280" s="28">
        <v>45560.4</v>
      </c>
      <c r="F1280" s="22" t="s">
        <v>83</v>
      </c>
      <c r="G1280" s="14">
        <v>60</v>
      </c>
      <c r="H1280" s="40">
        <v>44832</v>
      </c>
      <c r="I1280" s="46">
        <f t="shared" si="76"/>
        <v>411</v>
      </c>
      <c r="J1280" s="1" t="s">
        <v>15</v>
      </c>
      <c r="K1280" s="4" t="s">
        <v>199</v>
      </c>
      <c r="L1280" s="4" t="s">
        <v>225</v>
      </c>
      <c r="M1280" s="8">
        <v>60</v>
      </c>
      <c r="N1280" s="5">
        <v>759.34</v>
      </c>
      <c r="O1280" s="5">
        <v>45560.4</v>
      </c>
      <c r="P1280">
        <f t="shared" si="77"/>
        <v>1</v>
      </c>
      <c r="Q1280" s="36">
        <f t="shared" si="78"/>
        <v>45560.4</v>
      </c>
      <c r="R1280">
        <f t="shared" si="79"/>
        <v>2022</v>
      </c>
    </row>
    <row r="1281" spans="1:18" x14ac:dyDescent="0.2">
      <c r="A1281" s="13">
        <v>45243</v>
      </c>
      <c r="B1281" s="13">
        <v>45243</v>
      </c>
      <c r="C1281" s="25" t="s">
        <v>398</v>
      </c>
      <c r="D1281" s="20">
        <v>0</v>
      </c>
      <c r="E1281" s="28">
        <v>45560.4</v>
      </c>
      <c r="F1281" s="22" t="s">
        <v>83</v>
      </c>
      <c r="G1281" s="14">
        <v>60</v>
      </c>
      <c r="H1281" s="40">
        <v>44832</v>
      </c>
      <c r="I1281" s="46">
        <f t="shared" si="76"/>
        <v>411</v>
      </c>
      <c r="J1281" s="1" t="s">
        <v>15</v>
      </c>
      <c r="K1281" s="4" t="s">
        <v>199</v>
      </c>
      <c r="L1281" s="4" t="s">
        <v>225</v>
      </c>
      <c r="M1281" s="8">
        <v>60</v>
      </c>
      <c r="N1281" s="5">
        <v>759.34</v>
      </c>
      <c r="O1281" s="5">
        <v>45560.4</v>
      </c>
      <c r="P1281">
        <f t="shared" si="77"/>
        <v>1</v>
      </c>
      <c r="Q1281" s="36">
        <f t="shared" si="78"/>
        <v>45560.4</v>
      </c>
      <c r="R1281">
        <f t="shared" si="79"/>
        <v>2022</v>
      </c>
    </row>
    <row r="1282" spans="1:18" x14ac:dyDescent="0.2">
      <c r="A1282" s="13">
        <v>45243</v>
      </c>
      <c r="B1282" s="13">
        <v>45243</v>
      </c>
      <c r="C1282" s="25" t="s">
        <v>398</v>
      </c>
      <c r="D1282" s="20">
        <v>0</v>
      </c>
      <c r="E1282" s="28">
        <v>45560.4</v>
      </c>
      <c r="F1282" s="22" t="s">
        <v>83</v>
      </c>
      <c r="G1282" s="14">
        <v>60</v>
      </c>
      <c r="H1282" s="40">
        <v>44832</v>
      </c>
      <c r="I1282" s="46">
        <f t="shared" si="76"/>
        <v>411</v>
      </c>
      <c r="J1282" s="1" t="s">
        <v>15</v>
      </c>
      <c r="K1282" s="4" t="s">
        <v>199</v>
      </c>
      <c r="L1282" s="4" t="s">
        <v>225</v>
      </c>
      <c r="M1282" s="8">
        <v>60</v>
      </c>
      <c r="N1282" s="5">
        <v>759.34</v>
      </c>
      <c r="O1282" s="5">
        <v>45560.4</v>
      </c>
      <c r="P1282">
        <f t="shared" si="77"/>
        <v>1</v>
      </c>
      <c r="Q1282" s="36">
        <f t="shared" si="78"/>
        <v>45560.4</v>
      </c>
      <c r="R1282">
        <f t="shared" si="79"/>
        <v>2022</v>
      </c>
    </row>
    <row r="1283" spans="1:18" x14ac:dyDescent="0.2">
      <c r="A1283" s="13">
        <v>45250</v>
      </c>
      <c r="B1283" s="13">
        <v>45250</v>
      </c>
      <c r="C1283" s="25" t="s">
        <v>398</v>
      </c>
      <c r="D1283" s="20">
        <v>0</v>
      </c>
      <c r="E1283" s="28">
        <v>45560.4</v>
      </c>
      <c r="F1283" s="22" t="s">
        <v>83</v>
      </c>
      <c r="G1283" s="14">
        <v>60</v>
      </c>
      <c r="H1283" s="40">
        <v>44847</v>
      </c>
      <c r="I1283" s="46">
        <f t="shared" ref="I1283:I1346" si="80">IFERROR(A1283-H1283,"")*1</f>
        <v>403</v>
      </c>
      <c r="J1283" s="1" t="s">
        <v>15</v>
      </c>
      <c r="K1283" s="4" t="s">
        <v>199</v>
      </c>
      <c r="L1283" s="4" t="s">
        <v>225</v>
      </c>
      <c r="M1283" s="8">
        <v>60</v>
      </c>
      <c r="N1283" s="5">
        <v>759.34</v>
      </c>
      <c r="O1283" s="5">
        <v>45560.4</v>
      </c>
      <c r="P1283">
        <f t="shared" ref="P1283:P1346" si="81">IF(M1283=G1283,1,0)</f>
        <v>1</v>
      </c>
      <c r="Q1283" s="36">
        <f t="shared" ref="Q1283:Q1346" si="82">N1283*G1283</f>
        <v>45560.4</v>
      </c>
      <c r="R1283">
        <f t="shared" ref="R1283:R1346" si="83">YEAR(H1283)</f>
        <v>2022</v>
      </c>
    </row>
    <row r="1284" spans="1:18" x14ac:dyDescent="0.2">
      <c r="A1284" s="13">
        <v>45250</v>
      </c>
      <c r="B1284" s="13">
        <v>45250</v>
      </c>
      <c r="C1284" s="25" t="s">
        <v>398</v>
      </c>
      <c r="D1284" s="20">
        <v>0</v>
      </c>
      <c r="E1284" s="28">
        <v>45560.4</v>
      </c>
      <c r="F1284" s="22" t="s">
        <v>83</v>
      </c>
      <c r="G1284" s="14">
        <v>60</v>
      </c>
      <c r="H1284" s="40">
        <v>44847</v>
      </c>
      <c r="I1284" s="46">
        <f t="shared" si="80"/>
        <v>403</v>
      </c>
      <c r="J1284" s="1" t="s">
        <v>15</v>
      </c>
      <c r="K1284" s="4" t="s">
        <v>199</v>
      </c>
      <c r="L1284" s="4" t="s">
        <v>225</v>
      </c>
      <c r="M1284" s="8">
        <v>60</v>
      </c>
      <c r="N1284" s="5">
        <v>759.34</v>
      </c>
      <c r="O1284" s="5">
        <v>45560.4</v>
      </c>
      <c r="P1284">
        <f t="shared" si="81"/>
        <v>1</v>
      </c>
      <c r="Q1284" s="36">
        <f t="shared" si="82"/>
        <v>45560.4</v>
      </c>
      <c r="R1284">
        <f t="shared" si="83"/>
        <v>2022</v>
      </c>
    </row>
    <row r="1285" spans="1:18" x14ac:dyDescent="0.2">
      <c r="A1285" s="13">
        <v>45250</v>
      </c>
      <c r="B1285" s="13">
        <v>45250</v>
      </c>
      <c r="C1285" s="25" t="s">
        <v>398</v>
      </c>
      <c r="D1285" s="20">
        <v>0</v>
      </c>
      <c r="E1285" s="28">
        <v>45560.4</v>
      </c>
      <c r="F1285" s="22" t="s">
        <v>83</v>
      </c>
      <c r="G1285" s="14">
        <v>60</v>
      </c>
      <c r="H1285" s="40">
        <v>44847</v>
      </c>
      <c r="I1285" s="46">
        <f t="shared" si="80"/>
        <v>403</v>
      </c>
      <c r="J1285" s="1" t="s">
        <v>15</v>
      </c>
      <c r="K1285" s="4" t="s">
        <v>199</v>
      </c>
      <c r="L1285" s="4" t="s">
        <v>225</v>
      </c>
      <c r="M1285" s="8">
        <v>60</v>
      </c>
      <c r="N1285" s="5">
        <v>759.34</v>
      </c>
      <c r="O1285" s="5">
        <v>45560.4</v>
      </c>
      <c r="P1285">
        <f t="shared" si="81"/>
        <v>1</v>
      </c>
      <c r="Q1285" s="36">
        <f t="shared" si="82"/>
        <v>45560.4</v>
      </c>
      <c r="R1285">
        <f t="shared" si="83"/>
        <v>2022</v>
      </c>
    </row>
    <row r="1286" spans="1:18" x14ac:dyDescent="0.2">
      <c r="A1286" s="13">
        <v>45257</v>
      </c>
      <c r="B1286" s="13">
        <v>45257</v>
      </c>
      <c r="C1286" s="25" t="s">
        <v>398</v>
      </c>
      <c r="D1286" s="20">
        <v>0</v>
      </c>
      <c r="E1286" s="28">
        <v>45560.4</v>
      </c>
      <c r="F1286" s="22" t="s">
        <v>83</v>
      </c>
      <c r="G1286" s="14">
        <v>60</v>
      </c>
      <c r="H1286" s="40">
        <v>44847</v>
      </c>
      <c r="I1286" s="46">
        <f t="shared" si="80"/>
        <v>410</v>
      </c>
      <c r="J1286" s="1" t="s">
        <v>15</v>
      </c>
      <c r="K1286" s="4" t="s">
        <v>199</v>
      </c>
      <c r="L1286" s="4" t="s">
        <v>225</v>
      </c>
      <c r="M1286" s="8">
        <v>60</v>
      </c>
      <c r="N1286" s="5">
        <v>759.34</v>
      </c>
      <c r="O1286" s="5">
        <v>45560.4</v>
      </c>
      <c r="P1286">
        <f t="shared" si="81"/>
        <v>1</v>
      </c>
      <c r="Q1286" s="36">
        <f t="shared" si="82"/>
        <v>45560.4</v>
      </c>
      <c r="R1286">
        <f t="shared" si="83"/>
        <v>2022</v>
      </c>
    </row>
    <row r="1287" spans="1:18" x14ac:dyDescent="0.2">
      <c r="A1287" s="13">
        <v>45257</v>
      </c>
      <c r="B1287" s="13">
        <v>45257</v>
      </c>
      <c r="C1287" s="25" t="s">
        <v>398</v>
      </c>
      <c r="D1287" s="20">
        <v>0</v>
      </c>
      <c r="E1287" s="28">
        <v>45560.4</v>
      </c>
      <c r="F1287" s="22" t="s">
        <v>83</v>
      </c>
      <c r="G1287" s="14">
        <v>60</v>
      </c>
      <c r="H1287" s="40">
        <v>44847</v>
      </c>
      <c r="I1287" s="46">
        <f t="shared" si="80"/>
        <v>410</v>
      </c>
      <c r="J1287" s="1" t="s">
        <v>15</v>
      </c>
      <c r="K1287" s="4" t="s">
        <v>199</v>
      </c>
      <c r="L1287" s="4" t="s">
        <v>225</v>
      </c>
      <c r="M1287" s="8">
        <v>60</v>
      </c>
      <c r="N1287" s="5">
        <v>759.34</v>
      </c>
      <c r="O1287" s="5">
        <v>45560.4</v>
      </c>
      <c r="P1287">
        <f t="shared" si="81"/>
        <v>1</v>
      </c>
      <c r="Q1287" s="36">
        <f t="shared" si="82"/>
        <v>45560.4</v>
      </c>
      <c r="R1287">
        <f t="shared" si="83"/>
        <v>2022</v>
      </c>
    </row>
    <row r="1288" spans="1:18" x14ac:dyDescent="0.2">
      <c r="A1288" s="13">
        <v>45257</v>
      </c>
      <c r="B1288" s="13">
        <v>45257</v>
      </c>
      <c r="C1288" s="25" t="s">
        <v>398</v>
      </c>
      <c r="D1288" s="20">
        <v>0</v>
      </c>
      <c r="E1288" s="28">
        <v>45560.4</v>
      </c>
      <c r="F1288" s="22" t="s">
        <v>83</v>
      </c>
      <c r="G1288" s="14">
        <v>60</v>
      </c>
      <c r="H1288" s="40">
        <v>44847</v>
      </c>
      <c r="I1288" s="46">
        <f t="shared" si="80"/>
        <v>410</v>
      </c>
      <c r="J1288" s="1" t="s">
        <v>15</v>
      </c>
      <c r="K1288" s="4" t="s">
        <v>199</v>
      </c>
      <c r="L1288" s="4" t="s">
        <v>225</v>
      </c>
      <c r="M1288" s="8">
        <v>60</v>
      </c>
      <c r="N1288" s="5">
        <v>759.34</v>
      </c>
      <c r="O1288" s="5">
        <v>45560.4</v>
      </c>
      <c r="P1288">
        <f t="shared" si="81"/>
        <v>1</v>
      </c>
      <c r="Q1288" s="36">
        <f t="shared" si="82"/>
        <v>45560.4</v>
      </c>
      <c r="R1288">
        <f t="shared" si="83"/>
        <v>2022</v>
      </c>
    </row>
    <row r="1289" spans="1:18" x14ac:dyDescent="0.2">
      <c r="A1289" s="13">
        <v>45257</v>
      </c>
      <c r="B1289" s="13">
        <v>45257</v>
      </c>
      <c r="C1289" s="25" t="s">
        <v>398</v>
      </c>
      <c r="D1289" s="20">
        <v>0</v>
      </c>
      <c r="E1289" s="28">
        <v>45560.4</v>
      </c>
      <c r="F1289" s="22" t="s">
        <v>83</v>
      </c>
      <c r="G1289" s="14">
        <v>60</v>
      </c>
      <c r="H1289" s="40">
        <v>44847</v>
      </c>
      <c r="I1289" s="46">
        <f t="shared" si="80"/>
        <v>410</v>
      </c>
      <c r="J1289" s="1" t="s">
        <v>15</v>
      </c>
      <c r="K1289" s="4" t="s">
        <v>199</v>
      </c>
      <c r="L1289" s="4" t="s">
        <v>225</v>
      </c>
      <c r="M1289" s="8">
        <v>60</v>
      </c>
      <c r="N1289" s="5">
        <v>759.34</v>
      </c>
      <c r="O1289" s="5">
        <v>45560.4</v>
      </c>
      <c r="P1289">
        <f t="shared" si="81"/>
        <v>1</v>
      </c>
      <c r="Q1289" s="36">
        <f t="shared" si="82"/>
        <v>45560.4</v>
      </c>
      <c r="R1289">
        <f t="shared" si="83"/>
        <v>2022</v>
      </c>
    </row>
    <row r="1290" spans="1:18" x14ac:dyDescent="0.2">
      <c r="A1290" s="13">
        <v>45257</v>
      </c>
      <c r="B1290" s="13">
        <v>45257</v>
      </c>
      <c r="C1290" s="25" t="s">
        <v>398</v>
      </c>
      <c r="D1290" s="20">
        <v>0</v>
      </c>
      <c r="E1290" s="28">
        <v>45560.4</v>
      </c>
      <c r="F1290" s="22" t="s">
        <v>83</v>
      </c>
      <c r="G1290" s="14">
        <v>60</v>
      </c>
      <c r="H1290" s="40">
        <v>44847</v>
      </c>
      <c r="I1290" s="46">
        <f t="shared" si="80"/>
        <v>410</v>
      </c>
      <c r="J1290" s="1" t="s">
        <v>15</v>
      </c>
      <c r="K1290" s="4" t="s">
        <v>199</v>
      </c>
      <c r="L1290" s="4" t="s">
        <v>225</v>
      </c>
      <c r="M1290" s="8">
        <v>60</v>
      </c>
      <c r="N1290" s="5">
        <v>759.34</v>
      </c>
      <c r="O1290" s="5">
        <v>45560.4</v>
      </c>
      <c r="P1290">
        <f t="shared" si="81"/>
        <v>1</v>
      </c>
      <c r="Q1290" s="36">
        <f t="shared" si="82"/>
        <v>45560.4</v>
      </c>
      <c r="R1290">
        <f t="shared" si="83"/>
        <v>2022</v>
      </c>
    </row>
    <row r="1291" spans="1:18" x14ac:dyDescent="0.2">
      <c r="A1291" s="13">
        <v>45341</v>
      </c>
      <c r="B1291" s="13">
        <v>45341</v>
      </c>
      <c r="C1291" s="25" t="s">
        <v>398</v>
      </c>
      <c r="D1291" s="20">
        <v>0</v>
      </c>
      <c r="E1291" s="28">
        <v>45560.4</v>
      </c>
      <c r="F1291" s="22" t="s">
        <v>83</v>
      </c>
      <c r="G1291" s="14">
        <v>60</v>
      </c>
      <c r="H1291" s="40">
        <v>44960</v>
      </c>
      <c r="I1291" s="46">
        <f t="shared" si="80"/>
        <v>381</v>
      </c>
      <c r="J1291" s="1" t="s">
        <v>15</v>
      </c>
      <c r="K1291" s="4" t="s">
        <v>200</v>
      </c>
      <c r="L1291" s="4" t="s">
        <v>225</v>
      </c>
      <c r="M1291" s="8">
        <v>60</v>
      </c>
      <c r="N1291" s="5">
        <v>759.34</v>
      </c>
      <c r="O1291" s="5">
        <v>45560.4</v>
      </c>
      <c r="P1291">
        <f t="shared" si="81"/>
        <v>1</v>
      </c>
      <c r="Q1291" s="36">
        <f t="shared" si="82"/>
        <v>45560.4</v>
      </c>
      <c r="R1291">
        <f t="shared" si="83"/>
        <v>2023</v>
      </c>
    </row>
    <row r="1292" spans="1:18" x14ac:dyDescent="0.2">
      <c r="A1292" s="13">
        <v>45341</v>
      </c>
      <c r="B1292" s="13">
        <v>45341</v>
      </c>
      <c r="C1292" s="25" t="s">
        <v>398</v>
      </c>
      <c r="D1292" s="20">
        <v>0</v>
      </c>
      <c r="E1292" s="28">
        <v>45560.4</v>
      </c>
      <c r="F1292" s="22" t="s">
        <v>83</v>
      </c>
      <c r="G1292" s="14">
        <v>60</v>
      </c>
      <c r="H1292" s="40">
        <v>44960</v>
      </c>
      <c r="I1292" s="46">
        <f t="shared" si="80"/>
        <v>381</v>
      </c>
      <c r="J1292" s="1" t="s">
        <v>15</v>
      </c>
      <c r="K1292" s="4" t="s">
        <v>200</v>
      </c>
      <c r="L1292" s="4" t="s">
        <v>225</v>
      </c>
      <c r="M1292" s="8">
        <v>60</v>
      </c>
      <c r="N1292" s="5">
        <v>759.34</v>
      </c>
      <c r="O1292" s="5">
        <v>45560.4</v>
      </c>
      <c r="P1292">
        <f t="shared" si="81"/>
        <v>1</v>
      </c>
      <c r="Q1292" s="36">
        <f t="shared" si="82"/>
        <v>45560.4</v>
      </c>
      <c r="R1292">
        <f t="shared" si="83"/>
        <v>2023</v>
      </c>
    </row>
    <row r="1293" spans="1:18" x14ac:dyDescent="0.2">
      <c r="A1293" s="13">
        <v>45400</v>
      </c>
      <c r="B1293" s="13">
        <v>45400</v>
      </c>
      <c r="C1293" s="25" t="s">
        <v>398</v>
      </c>
      <c r="D1293" s="20">
        <v>0</v>
      </c>
      <c r="E1293" s="28">
        <v>45560.4</v>
      </c>
      <c r="F1293" s="22" t="s">
        <v>83</v>
      </c>
      <c r="G1293" s="14">
        <v>60</v>
      </c>
      <c r="H1293" s="40">
        <v>45016</v>
      </c>
      <c r="I1293" s="46">
        <f t="shared" si="80"/>
        <v>384</v>
      </c>
      <c r="J1293" s="1" t="s">
        <v>15</v>
      </c>
      <c r="K1293" s="4" t="s">
        <v>200</v>
      </c>
      <c r="L1293" s="4" t="s">
        <v>225</v>
      </c>
      <c r="M1293" s="8">
        <v>60</v>
      </c>
      <c r="N1293" s="5">
        <v>759.34</v>
      </c>
      <c r="O1293" s="5">
        <v>45560.4</v>
      </c>
      <c r="P1293">
        <f t="shared" si="81"/>
        <v>1</v>
      </c>
      <c r="Q1293" s="36">
        <f t="shared" si="82"/>
        <v>45560.4</v>
      </c>
      <c r="R1293">
        <f t="shared" si="83"/>
        <v>2023</v>
      </c>
    </row>
    <row r="1294" spans="1:18" x14ac:dyDescent="0.2">
      <c r="A1294" s="13">
        <v>45400</v>
      </c>
      <c r="B1294" s="13">
        <v>45400</v>
      </c>
      <c r="C1294" s="25" t="s">
        <v>398</v>
      </c>
      <c r="D1294" s="20">
        <v>0</v>
      </c>
      <c r="E1294" s="28">
        <v>45560.4</v>
      </c>
      <c r="F1294" s="22" t="s">
        <v>83</v>
      </c>
      <c r="G1294" s="14">
        <v>60</v>
      </c>
      <c r="H1294" s="40">
        <v>45016</v>
      </c>
      <c r="I1294" s="46">
        <f t="shared" si="80"/>
        <v>384</v>
      </c>
      <c r="J1294" s="1" t="s">
        <v>15</v>
      </c>
      <c r="K1294" s="4" t="s">
        <v>200</v>
      </c>
      <c r="L1294" s="4" t="s">
        <v>225</v>
      </c>
      <c r="M1294" s="8">
        <v>60</v>
      </c>
      <c r="N1294" s="5">
        <v>759.34</v>
      </c>
      <c r="O1294" s="5">
        <v>45560.4</v>
      </c>
      <c r="P1294">
        <f t="shared" si="81"/>
        <v>1</v>
      </c>
      <c r="Q1294" s="36">
        <f t="shared" si="82"/>
        <v>45560.4</v>
      </c>
      <c r="R1294">
        <f t="shared" si="83"/>
        <v>2023</v>
      </c>
    </row>
    <row r="1295" spans="1:18" x14ac:dyDescent="0.2">
      <c r="A1295" s="13">
        <v>45400</v>
      </c>
      <c r="B1295" s="13">
        <v>45400</v>
      </c>
      <c r="C1295" s="25" t="s">
        <v>398</v>
      </c>
      <c r="D1295" s="20">
        <v>0</v>
      </c>
      <c r="E1295" s="28">
        <v>45560.4</v>
      </c>
      <c r="F1295" s="22" t="s">
        <v>83</v>
      </c>
      <c r="G1295" s="14">
        <v>60</v>
      </c>
      <c r="H1295" s="40">
        <v>45016</v>
      </c>
      <c r="I1295" s="46">
        <f t="shared" si="80"/>
        <v>384</v>
      </c>
      <c r="J1295" s="1" t="s">
        <v>15</v>
      </c>
      <c r="K1295" s="4" t="s">
        <v>200</v>
      </c>
      <c r="L1295" s="4" t="s">
        <v>225</v>
      </c>
      <c r="M1295" s="8">
        <v>60</v>
      </c>
      <c r="N1295" s="5">
        <v>759.34</v>
      </c>
      <c r="O1295" s="5">
        <v>45560.4</v>
      </c>
      <c r="P1295">
        <f t="shared" si="81"/>
        <v>1</v>
      </c>
      <c r="Q1295" s="36">
        <f t="shared" si="82"/>
        <v>45560.4</v>
      </c>
      <c r="R1295">
        <f t="shared" si="83"/>
        <v>2023</v>
      </c>
    </row>
    <row r="1296" spans="1:18" x14ac:dyDescent="0.2">
      <c r="A1296" s="13">
        <v>45400</v>
      </c>
      <c r="B1296" s="13">
        <v>45400</v>
      </c>
      <c r="C1296" s="25" t="s">
        <v>398</v>
      </c>
      <c r="D1296" s="20">
        <v>0</v>
      </c>
      <c r="E1296" s="28">
        <v>45560.4</v>
      </c>
      <c r="F1296" s="22" t="s">
        <v>83</v>
      </c>
      <c r="G1296" s="14">
        <v>60</v>
      </c>
      <c r="H1296" s="40">
        <v>45016</v>
      </c>
      <c r="I1296" s="46">
        <f t="shared" si="80"/>
        <v>384</v>
      </c>
      <c r="J1296" s="1" t="s">
        <v>15</v>
      </c>
      <c r="K1296" s="4" t="s">
        <v>200</v>
      </c>
      <c r="L1296" s="4" t="s">
        <v>225</v>
      </c>
      <c r="M1296" s="8">
        <v>60</v>
      </c>
      <c r="N1296" s="5">
        <v>759.34</v>
      </c>
      <c r="O1296" s="5">
        <v>45560.4</v>
      </c>
      <c r="P1296">
        <f t="shared" si="81"/>
        <v>1</v>
      </c>
      <c r="Q1296" s="36">
        <f t="shared" si="82"/>
        <v>45560.4</v>
      </c>
      <c r="R1296">
        <f t="shared" si="83"/>
        <v>2023</v>
      </c>
    </row>
    <row r="1297" spans="1:18" x14ac:dyDescent="0.2">
      <c r="A1297" s="13">
        <v>45400</v>
      </c>
      <c r="B1297" s="13">
        <v>45400</v>
      </c>
      <c r="C1297" s="25" t="s">
        <v>398</v>
      </c>
      <c r="D1297" s="20">
        <v>0</v>
      </c>
      <c r="E1297" s="28">
        <v>45560.4</v>
      </c>
      <c r="F1297" s="22" t="s">
        <v>83</v>
      </c>
      <c r="G1297" s="14">
        <v>60</v>
      </c>
      <c r="H1297" s="40">
        <v>45016</v>
      </c>
      <c r="I1297" s="46">
        <f t="shared" si="80"/>
        <v>384</v>
      </c>
      <c r="J1297" s="1" t="s">
        <v>15</v>
      </c>
      <c r="K1297" s="4" t="s">
        <v>200</v>
      </c>
      <c r="L1297" s="4" t="s">
        <v>225</v>
      </c>
      <c r="M1297" s="8">
        <v>60</v>
      </c>
      <c r="N1297" s="5">
        <v>759.34</v>
      </c>
      <c r="O1297" s="5">
        <v>45560.4</v>
      </c>
      <c r="P1297">
        <f t="shared" si="81"/>
        <v>1</v>
      </c>
      <c r="Q1297" s="36">
        <f t="shared" si="82"/>
        <v>45560.4</v>
      </c>
      <c r="R1297">
        <f t="shared" si="83"/>
        <v>2023</v>
      </c>
    </row>
    <row r="1298" spans="1:18" x14ac:dyDescent="0.2">
      <c r="A1298" s="13">
        <v>45411</v>
      </c>
      <c r="B1298" s="13">
        <v>45411</v>
      </c>
      <c r="C1298" s="25" t="s">
        <v>398</v>
      </c>
      <c r="D1298" s="20">
        <v>0</v>
      </c>
      <c r="E1298" s="28">
        <v>45560.4</v>
      </c>
      <c r="F1298" s="22" t="s">
        <v>83</v>
      </c>
      <c r="G1298" s="14">
        <v>60</v>
      </c>
      <c r="H1298" s="40">
        <v>45028</v>
      </c>
      <c r="I1298" s="46">
        <f t="shared" si="80"/>
        <v>383</v>
      </c>
      <c r="J1298" s="1" t="s">
        <v>15</v>
      </c>
      <c r="K1298" s="4" t="s">
        <v>200</v>
      </c>
      <c r="L1298" s="4" t="s">
        <v>225</v>
      </c>
      <c r="M1298" s="8">
        <v>60</v>
      </c>
      <c r="N1298" s="5">
        <v>759.34</v>
      </c>
      <c r="O1298" s="5">
        <v>45560.4</v>
      </c>
      <c r="P1298">
        <f t="shared" si="81"/>
        <v>1</v>
      </c>
      <c r="Q1298" s="36">
        <f t="shared" si="82"/>
        <v>45560.4</v>
      </c>
      <c r="R1298">
        <f t="shared" si="83"/>
        <v>2023</v>
      </c>
    </row>
    <row r="1299" spans="1:18" x14ac:dyDescent="0.2">
      <c r="A1299" s="13">
        <v>45411</v>
      </c>
      <c r="B1299" s="13">
        <v>45411</v>
      </c>
      <c r="C1299" s="25" t="s">
        <v>398</v>
      </c>
      <c r="D1299" s="20">
        <v>0</v>
      </c>
      <c r="E1299" s="28">
        <v>45560.4</v>
      </c>
      <c r="F1299" s="22" t="s">
        <v>83</v>
      </c>
      <c r="G1299" s="14">
        <v>60</v>
      </c>
      <c r="H1299" s="40">
        <v>45028</v>
      </c>
      <c r="I1299" s="46">
        <f t="shared" si="80"/>
        <v>383</v>
      </c>
      <c r="J1299" s="1" t="s">
        <v>15</v>
      </c>
      <c r="K1299" s="4" t="s">
        <v>200</v>
      </c>
      <c r="L1299" s="4" t="s">
        <v>225</v>
      </c>
      <c r="M1299" s="8">
        <v>60</v>
      </c>
      <c r="N1299" s="5">
        <v>759.34</v>
      </c>
      <c r="O1299" s="5">
        <v>45560.4</v>
      </c>
      <c r="P1299">
        <f t="shared" si="81"/>
        <v>1</v>
      </c>
      <c r="Q1299" s="36">
        <f t="shared" si="82"/>
        <v>45560.4</v>
      </c>
      <c r="R1299">
        <f t="shared" si="83"/>
        <v>2023</v>
      </c>
    </row>
    <row r="1300" spans="1:18" x14ac:dyDescent="0.2">
      <c r="A1300" s="13">
        <v>45411</v>
      </c>
      <c r="B1300" s="13">
        <v>45411</v>
      </c>
      <c r="C1300" s="25" t="s">
        <v>398</v>
      </c>
      <c r="D1300" s="20">
        <v>0</v>
      </c>
      <c r="E1300" s="28">
        <v>45560.4</v>
      </c>
      <c r="F1300" s="22" t="s">
        <v>83</v>
      </c>
      <c r="G1300" s="14">
        <v>60</v>
      </c>
      <c r="H1300" s="40">
        <v>45028</v>
      </c>
      <c r="I1300" s="46">
        <f t="shared" si="80"/>
        <v>383</v>
      </c>
      <c r="J1300" s="1" t="s">
        <v>15</v>
      </c>
      <c r="K1300" s="4" t="s">
        <v>200</v>
      </c>
      <c r="L1300" s="4" t="s">
        <v>225</v>
      </c>
      <c r="M1300" s="8">
        <v>60</v>
      </c>
      <c r="N1300" s="5">
        <v>759.34</v>
      </c>
      <c r="O1300" s="5">
        <v>45560.4</v>
      </c>
      <c r="P1300">
        <f t="shared" si="81"/>
        <v>1</v>
      </c>
      <c r="Q1300" s="36">
        <f t="shared" si="82"/>
        <v>45560.4</v>
      </c>
      <c r="R1300">
        <f t="shared" si="83"/>
        <v>2023</v>
      </c>
    </row>
    <row r="1301" spans="1:18" x14ac:dyDescent="0.2">
      <c r="A1301" s="13">
        <v>45411</v>
      </c>
      <c r="B1301" s="13">
        <v>45411</v>
      </c>
      <c r="C1301" s="25" t="s">
        <v>398</v>
      </c>
      <c r="D1301" s="20">
        <v>0</v>
      </c>
      <c r="E1301" s="28">
        <v>45560.4</v>
      </c>
      <c r="F1301" s="22" t="s">
        <v>83</v>
      </c>
      <c r="G1301" s="14">
        <v>60</v>
      </c>
      <c r="H1301" s="40">
        <v>45028</v>
      </c>
      <c r="I1301" s="46">
        <f t="shared" si="80"/>
        <v>383</v>
      </c>
      <c r="J1301" s="1" t="s">
        <v>15</v>
      </c>
      <c r="K1301" s="4" t="s">
        <v>200</v>
      </c>
      <c r="L1301" s="4" t="s">
        <v>225</v>
      </c>
      <c r="M1301" s="8">
        <v>60</v>
      </c>
      <c r="N1301" s="5">
        <v>759.34</v>
      </c>
      <c r="O1301" s="5">
        <v>45560.4</v>
      </c>
      <c r="P1301">
        <f t="shared" si="81"/>
        <v>1</v>
      </c>
      <c r="Q1301" s="36">
        <f t="shared" si="82"/>
        <v>45560.4</v>
      </c>
      <c r="R1301">
        <f t="shared" si="83"/>
        <v>2023</v>
      </c>
    </row>
    <row r="1302" spans="1:18" x14ac:dyDescent="0.2">
      <c r="A1302" s="13">
        <v>45411</v>
      </c>
      <c r="B1302" s="13">
        <v>45411</v>
      </c>
      <c r="C1302" s="25" t="s">
        <v>398</v>
      </c>
      <c r="D1302" s="20">
        <v>0</v>
      </c>
      <c r="E1302" s="28">
        <v>45560.4</v>
      </c>
      <c r="F1302" s="22" t="s">
        <v>83</v>
      </c>
      <c r="G1302" s="14">
        <v>60</v>
      </c>
      <c r="H1302" s="40">
        <v>45028</v>
      </c>
      <c r="I1302" s="46">
        <f t="shared" si="80"/>
        <v>383</v>
      </c>
      <c r="J1302" s="1" t="s">
        <v>15</v>
      </c>
      <c r="K1302" s="4" t="s">
        <v>200</v>
      </c>
      <c r="L1302" s="4" t="s">
        <v>225</v>
      </c>
      <c r="M1302" s="8">
        <v>60</v>
      </c>
      <c r="N1302" s="5">
        <v>759.34</v>
      </c>
      <c r="O1302" s="5">
        <v>45560.4</v>
      </c>
      <c r="P1302">
        <f t="shared" si="81"/>
        <v>1</v>
      </c>
      <c r="Q1302" s="36">
        <f t="shared" si="82"/>
        <v>45560.4</v>
      </c>
      <c r="R1302">
        <f t="shared" si="83"/>
        <v>2023</v>
      </c>
    </row>
    <row r="1303" spans="1:18" x14ac:dyDescent="0.2">
      <c r="A1303" s="13">
        <v>45414</v>
      </c>
      <c r="B1303" s="13">
        <v>45414</v>
      </c>
      <c r="C1303" s="25" t="s">
        <v>398</v>
      </c>
      <c r="D1303" s="20">
        <v>0</v>
      </c>
      <c r="E1303" s="28">
        <v>45560.4</v>
      </c>
      <c r="F1303" s="22" t="s">
        <v>83</v>
      </c>
      <c r="G1303" s="14">
        <v>60</v>
      </c>
      <c r="H1303" s="40">
        <v>45034</v>
      </c>
      <c r="I1303" s="46">
        <f t="shared" si="80"/>
        <v>380</v>
      </c>
      <c r="J1303" s="1" t="s">
        <v>15</v>
      </c>
      <c r="K1303" s="4" t="s">
        <v>200</v>
      </c>
      <c r="L1303" s="4" t="s">
        <v>225</v>
      </c>
      <c r="M1303" s="8">
        <v>60</v>
      </c>
      <c r="N1303" s="5">
        <v>759.34</v>
      </c>
      <c r="O1303" s="5">
        <v>45560.4</v>
      </c>
      <c r="P1303">
        <f t="shared" si="81"/>
        <v>1</v>
      </c>
      <c r="Q1303" s="36">
        <f t="shared" si="82"/>
        <v>45560.4</v>
      </c>
      <c r="R1303">
        <f t="shared" si="83"/>
        <v>2023</v>
      </c>
    </row>
    <row r="1304" spans="1:18" x14ac:dyDescent="0.2">
      <c r="A1304" s="13">
        <v>45414</v>
      </c>
      <c r="B1304" s="13">
        <v>45414</v>
      </c>
      <c r="C1304" s="25" t="s">
        <v>398</v>
      </c>
      <c r="D1304" s="20">
        <v>0</v>
      </c>
      <c r="E1304" s="28">
        <v>45560.4</v>
      </c>
      <c r="F1304" s="22" t="s">
        <v>83</v>
      </c>
      <c r="G1304" s="14">
        <v>60</v>
      </c>
      <c r="H1304" s="40">
        <v>45034</v>
      </c>
      <c r="I1304" s="46">
        <f t="shared" si="80"/>
        <v>380</v>
      </c>
      <c r="J1304" s="1" t="s">
        <v>15</v>
      </c>
      <c r="K1304" s="4" t="s">
        <v>200</v>
      </c>
      <c r="L1304" s="4" t="s">
        <v>225</v>
      </c>
      <c r="M1304" s="8">
        <v>60</v>
      </c>
      <c r="N1304" s="5">
        <v>759.34</v>
      </c>
      <c r="O1304" s="5">
        <v>45560.4</v>
      </c>
      <c r="P1304">
        <f t="shared" si="81"/>
        <v>1</v>
      </c>
      <c r="Q1304" s="36">
        <f t="shared" si="82"/>
        <v>45560.4</v>
      </c>
      <c r="R1304">
        <f t="shared" si="83"/>
        <v>2023</v>
      </c>
    </row>
    <row r="1305" spans="1:18" x14ac:dyDescent="0.2">
      <c r="A1305" s="13">
        <v>45414</v>
      </c>
      <c r="B1305" s="13">
        <v>45414</v>
      </c>
      <c r="C1305" s="25" t="s">
        <v>398</v>
      </c>
      <c r="D1305" s="20">
        <v>0</v>
      </c>
      <c r="E1305" s="28">
        <v>45560.4</v>
      </c>
      <c r="F1305" s="22" t="s">
        <v>83</v>
      </c>
      <c r="G1305" s="14">
        <v>60</v>
      </c>
      <c r="H1305" s="40">
        <v>45034</v>
      </c>
      <c r="I1305" s="46">
        <f t="shared" si="80"/>
        <v>380</v>
      </c>
      <c r="J1305" s="1" t="s">
        <v>15</v>
      </c>
      <c r="K1305" s="4" t="s">
        <v>200</v>
      </c>
      <c r="L1305" s="4" t="s">
        <v>225</v>
      </c>
      <c r="M1305" s="8">
        <v>60</v>
      </c>
      <c r="N1305" s="5">
        <v>759.34</v>
      </c>
      <c r="O1305" s="5">
        <v>45560.4</v>
      </c>
      <c r="P1305">
        <f t="shared" si="81"/>
        <v>1</v>
      </c>
      <c r="Q1305" s="36">
        <f t="shared" si="82"/>
        <v>45560.4</v>
      </c>
      <c r="R1305">
        <f t="shared" si="83"/>
        <v>2023</v>
      </c>
    </row>
    <row r="1306" spans="1:18" x14ac:dyDescent="0.2">
      <c r="A1306" s="13">
        <v>45414</v>
      </c>
      <c r="B1306" s="13">
        <v>45414</v>
      </c>
      <c r="C1306" s="25" t="s">
        <v>398</v>
      </c>
      <c r="D1306" s="20">
        <v>0</v>
      </c>
      <c r="E1306" s="28">
        <v>45560.4</v>
      </c>
      <c r="F1306" s="22" t="s">
        <v>83</v>
      </c>
      <c r="G1306" s="14">
        <v>60</v>
      </c>
      <c r="H1306" s="40">
        <v>45034</v>
      </c>
      <c r="I1306" s="46">
        <f t="shared" si="80"/>
        <v>380</v>
      </c>
      <c r="J1306" s="1" t="s">
        <v>15</v>
      </c>
      <c r="K1306" s="4" t="s">
        <v>200</v>
      </c>
      <c r="L1306" s="4" t="s">
        <v>225</v>
      </c>
      <c r="M1306" s="8">
        <v>60</v>
      </c>
      <c r="N1306" s="5">
        <v>759.34</v>
      </c>
      <c r="O1306" s="5">
        <v>45560.4</v>
      </c>
      <c r="P1306">
        <f t="shared" si="81"/>
        <v>1</v>
      </c>
      <c r="Q1306" s="36">
        <f t="shared" si="82"/>
        <v>45560.4</v>
      </c>
      <c r="R1306">
        <f t="shared" si="83"/>
        <v>2023</v>
      </c>
    </row>
    <row r="1307" spans="1:18" x14ac:dyDescent="0.2">
      <c r="A1307" s="13">
        <v>45421</v>
      </c>
      <c r="B1307" s="13">
        <v>45421</v>
      </c>
      <c r="C1307" s="25" t="s">
        <v>398</v>
      </c>
      <c r="D1307" s="20">
        <v>0</v>
      </c>
      <c r="E1307" s="28">
        <v>45560.4</v>
      </c>
      <c r="F1307" s="22" t="s">
        <v>83</v>
      </c>
      <c r="G1307" s="14">
        <v>60</v>
      </c>
      <c r="H1307" s="40">
        <v>45034</v>
      </c>
      <c r="I1307" s="46">
        <f t="shared" si="80"/>
        <v>387</v>
      </c>
      <c r="J1307" s="1" t="s">
        <v>15</v>
      </c>
      <c r="K1307" s="4" t="s">
        <v>200</v>
      </c>
      <c r="L1307" s="4" t="s">
        <v>225</v>
      </c>
      <c r="M1307" s="8">
        <v>60</v>
      </c>
      <c r="N1307" s="5">
        <v>759.34</v>
      </c>
      <c r="O1307" s="5">
        <v>45560.4</v>
      </c>
      <c r="P1307">
        <f t="shared" si="81"/>
        <v>1</v>
      </c>
      <c r="Q1307" s="36">
        <f t="shared" si="82"/>
        <v>45560.4</v>
      </c>
      <c r="R1307">
        <f t="shared" si="83"/>
        <v>2023</v>
      </c>
    </row>
    <row r="1308" spans="1:18" x14ac:dyDescent="0.2">
      <c r="A1308" s="13">
        <v>45421</v>
      </c>
      <c r="B1308" s="13">
        <v>45421</v>
      </c>
      <c r="C1308" s="25" t="s">
        <v>398</v>
      </c>
      <c r="D1308" s="20">
        <v>0</v>
      </c>
      <c r="E1308" s="28">
        <v>45560.4</v>
      </c>
      <c r="F1308" s="22" t="s">
        <v>83</v>
      </c>
      <c r="G1308" s="14">
        <v>60</v>
      </c>
      <c r="H1308" s="40">
        <v>45034</v>
      </c>
      <c r="I1308" s="46">
        <f t="shared" si="80"/>
        <v>387</v>
      </c>
      <c r="J1308" s="1" t="s">
        <v>15</v>
      </c>
      <c r="K1308" s="4" t="s">
        <v>200</v>
      </c>
      <c r="L1308" s="4" t="s">
        <v>225</v>
      </c>
      <c r="M1308" s="8">
        <v>60</v>
      </c>
      <c r="N1308" s="5">
        <v>759.34</v>
      </c>
      <c r="O1308" s="5">
        <v>45560.4</v>
      </c>
      <c r="P1308">
        <f t="shared" si="81"/>
        <v>1</v>
      </c>
      <c r="Q1308" s="36">
        <f t="shared" si="82"/>
        <v>45560.4</v>
      </c>
      <c r="R1308">
        <f t="shared" si="83"/>
        <v>2023</v>
      </c>
    </row>
    <row r="1309" spans="1:18" x14ac:dyDescent="0.2">
      <c r="A1309" s="13">
        <v>45421</v>
      </c>
      <c r="B1309" s="13">
        <v>45421</v>
      </c>
      <c r="C1309" s="25" t="s">
        <v>398</v>
      </c>
      <c r="D1309" s="20">
        <v>0</v>
      </c>
      <c r="E1309" s="28">
        <v>45560.4</v>
      </c>
      <c r="F1309" s="22" t="s">
        <v>83</v>
      </c>
      <c r="G1309" s="14">
        <v>60</v>
      </c>
      <c r="H1309" s="40">
        <v>45034</v>
      </c>
      <c r="I1309" s="46">
        <f t="shared" si="80"/>
        <v>387</v>
      </c>
      <c r="J1309" s="1" t="s">
        <v>15</v>
      </c>
      <c r="K1309" s="4" t="s">
        <v>200</v>
      </c>
      <c r="L1309" s="4" t="s">
        <v>225</v>
      </c>
      <c r="M1309" s="8">
        <v>60</v>
      </c>
      <c r="N1309" s="5">
        <v>759.34</v>
      </c>
      <c r="O1309" s="5">
        <v>45560.4</v>
      </c>
      <c r="P1309">
        <f t="shared" si="81"/>
        <v>1</v>
      </c>
      <c r="Q1309" s="36">
        <f t="shared" si="82"/>
        <v>45560.4</v>
      </c>
      <c r="R1309">
        <f t="shared" si="83"/>
        <v>2023</v>
      </c>
    </row>
    <row r="1310" spans="1:18" x14ac:dyDescent="0.2">
      <c r="A1310" s="13">
        <v>45421</v>
      </c>
      <c r="B1310" s="13">
        <v>45421</v>
      </c>
      <c r="C1310" s="25" t="s">
        <v>398</v>
      </c>
      <c r="D1310" s="20">
        <v>0</v>
      </c>
      <c r="E1310" s="28">
        <v>22780.2</v>
      </c>
      <c r="F1310" s="22" t="s">
        <v>83</v>
      </c>
      <c r="G1310" s="14">
        <v>30</v>
      </c>
      <c r="H1310" s="40">
        <v>45034</v>
      </c>
      <c r="I1310" s="46">
        <f t="shared" si="80"/>
        <v>387</v>
      </c>
      <c r="J1310" s="1" t="s">
        <v>15</v>
      </c>
      <c r="K1310" s="4" t="s">
        <v>200</v>
      </c>
      <c r="L1310" s="4" t="s">
        <v>225</v>
      </c>
      <c r="M1310" s="8">
        <v>30</v>
      </c>
      <c r="N1310" s="5">
        <v>759.34</v>
      </c>
      <c r="O1310" s="5">
        <v>22780.2</v>
      </c>
      <c r="P1310">
        <f t="shared" si="81"/>
        <v>1</v>
      </c>
      <c r="Q1310" s="36">
        <f t="shared" si="82"/>
        <v>22780.2</v>
      </c>
      <c r="R1310">
        <f t="shared" si="83"/>
        <v>2023</v>
      </c>
    </row>
    <row r="1311" spans="1:18" x14ac:dyDescent="0.2">
      <c r="A1311" s="13">
        <v>45421</v>
      </c>
      <c r="B1311" s="13">
        <v>45421</v>
      </c>
      <c r="C1311" s="25" t="s">
        <v>398</v>
      </c>
      <c r="D1311" s="20">
        <v>0</v>
      </c>
      <c r="E1311" s="28">
        <v>45560.4</v>
      </c>
      <c r="F1311" s="22" t="s">
        <v>83</v>
      </c>
      <c r="G1311" s="14">
        <v>60</v>
      </c>
      <c r="H1311" s="40">
        <v>45034</v>
      </c>
      <c r="I1311" s="46">
        <f t="shared" si="80"/>
        <v>387</v>
      </c>
      <c r="J1311" s="1" t="s">
        <v>15</v>
      </c>
      <c r="K1311" s="4" t="s">
        <v>200</v>
      </c>
      <c r="L1311" s="4" t="s">
        <v>225</v>
      </c>
      <c r="M1311" s="8">
        <v>60</v>
      </c>
      <c r="N1311" s="5">
        <v>759.34</v>
      </c>
      <c r="O1311" s="5">
        <v>45560.4</v>
      </c>
      <c r="P1311">
        <f t="shared" si="81"/>
        <v>1</v>
      </c>
      <c r="Q1311" s="36">
        <f t="shared" si="82"/>
        <v>45560.4</v>
      </c>
      <c r="R1311">
        <f t="shared" si="83"/>
        <v>2023</v>
      </c>
    </row>
    <row r="1312" spans="1:18" x14ac:dyDescent="0.2">
      <c r="A1312" s="13">
        <v>45425</v>
      </c>
      <c r="B1312" s="13">
        <v>45425</v>
      </c>
      <c r="C1312" s="25" t="s">
        <v>398</v>
      </c>
      <c r="D1312" s="20">
        <v>0</v>
      </c>
      <c r="E1312" s="28">
        <v>45560.4</v>
      </c>
      <c r="F1312" s="22" t="s">
        <v>83</v>
      </c>
      <c r="G1312" s="14">
        <v>60</v>
      </c>
      <c r="H1312" s="40">
        <v>45042</v>
      </c>
      <c r="I1312" s="46">
        <f t="shared" si="80"/>
        <v>383</v>
      </c>
      <c r="J1312" s="1" t="s">
        <v>15</v>
      </c>
      <c r="K1312" s="4" t="s">
        <v>200</v>
      </c>
      <c r="L1312" s="4" t="s">
        <v>225</v>
      </c>
      <c r="M1312" s="8">
        <v>60</v>
      </c>
      <c r="N1312" s="5">
        <v>759.34</v>
      </c>
      <c r="O1312" s="5">
        <v>45560.4</v>
      </c>
      <c r="P1312">
        <f t="shared" si="81"/>
        <v>1</v>
      </c>
      <c r="Q1312" s="36">
        <f t="shared" si="82"/>
        <v>45560.4</v>
      </c>
      <c r="R1312">
        <f t="shared" si="83"/>
        <v>2023</v>
      </c>
    </row>
    <row r="1313" spans="1:18" x14ac:dyDescent="0.2">
      <c r="A1313" s="13">
        <v>45425</v>
      </c>
      <c r="B1313" s="13">
        <v>45425</v>
      </c>
      <c r="C1313" s="25" t="s">
        <v>398</v>
      </c>
      <c r="D1313" s="20">
        <v>0</v>
      </c>
      <c r="E1313" s="28">
        <v>45560.4</v>
      </c>
      <c r="F1313" s="22" t="s">
        <v>83</v>
      </c>
      <c r="G1313" s="14">
        <v>60</v>
      </c>
      <c r="H1313" s="40">
        <v>45042</v>
      </c>
      <c r="I1313" s="46">
        <f t="shared" si="80"/>
        <v>383</v>
      </c>
      <c r="J1313" s="1" t="s">
        <v>15</v>
      </c>
      <c r="K1313" s="4" t="s">
        <v>200</v>
      </c>
      <c r="L1313" s="4" t="s">
        <v>225</v>
      </c>
      <c r="M1313" s="8">
        <v>60</v>
      </c>
      <c r="N1313" s="5">
        <v>759.34</v>
      </c>
      <c r="O1313" s="5">
        <v>45560.4</v>
      </c>
      <c r="P1313">
        <f t="shared" si="81"/>
        <v>1</v>
      </c>
      <c r="Q1313" s="36">
        <f t="shared" si="82"/>
        <v>45560.4</v>
      </c>
      <c r="R1313">
        <f t="shared" si="83"/>
        <v>2023</v>
      </c>
    </row>
    <row r="1314" spans="1:18" x14ac:dyDescent="0.2">
      <c r="A1314" s="13">
        <v>45425</v>
      </c>
      <c r="B1314" s="13">
        <v>45425</v>
      </c>
      <c r="C1314" s="25" t="s">
        <v>398</v>
      </c>
      <c r="D1314" s="20">
        <v>0</v>
      </c>
      <c r="E1314" s="28">
        <v>45560.4</v>
      </c>
      <c r="F1314" s="22" t="s">
        <v>83</v>
      </c>
      <c r="G1314" s="14">
        <v>60</v>
      </c>
      <c r="H1314" s="40">
        <v>45042</v>
      </c>
      <c r="I1314" s="46">
        <f t="shared" si="80"/>
        <v>383</v>
      </c>
      <c r="J1314" s="1" t="s">
        <v>15</v>
      </c>
      <c r="K1314" s="4" t="s">
        <v>200</v>
      </c>
      <c r="L1314" s="4" t="s">
        <v>225</v>
      </c>
      <c r="M1314" s="8">
        <v>60</v>
      </c>
      <c r="N1314" s="5">
        <v>759.34</v>
      </c>
      <c r="O1314" s="5">
        <v>45560.4</v>
      </c>
      <c r="P1314">
        <f t="shared" si="81"/>
        <v>1</v>
      </c>
      <c r="Q1314" s="36">
        <f t="shared" si="82"/>
        <v>45560.4</v>
      </c>
      <c r="R1314">
        <f t="shared" si="83"/>
        <v>2023</v>
      </c>
    </row>
    <row r="1315" spans="1:18" x14ac:dyDescent="0.2">
      <c r="A1315" s="13">
        <v>45425</v>
      </c>
      <c r="B1315" s="13">
        <v>45425</v>
      </c>
      <c r="C1315" s="25" t="s">
        <v>398</v>
      </c>
      <c r="D1315" s="20">
        <v>0</v>
      </c>
      <c r="E1315" s="28">
        <v>45560.4</v>
      </c>
      <c r="F1315" s="22" t="s">
        <v>83</v>
      </c>
      <c r="G1315" s="14">
        <v>60</v>
      </c>
      <c r="H1315" s="40">
        <v>45042</v>
      </c>
      <c r="I1315" s="46">
        <f t="shared" si="80"/>
        <v>383</v>
      </c>
      <c r="J1315" s="1" t="s">
        <v>15</v>
      </c>
      <c r="K1315" s="4" t="s">
        <v>200</v>
      </c>
      <c r="L1315" s="4" t="s">
        <v>225</v>
      </c>
      <c r="M1315" s="8">
        <v>60</v>
      </c>
      <c r="N1315" s="5">
        <v>759.34</v>
      </c>
      <c r="O1315" s="5">
        <v>45560.4</v>
      </c>
      <c r="P1315">
        <f t="shared" si="81"/>
        <v>1</v>
      </c>
      <c r="Q1315" s="36">
        <f t="shared" si="82"/>
        <v>45560.4</v>
      </c>
      <c r="R1315">
        <f t="shared" si="83"/>
        <v>2023</v>
      </c>
    </row>
    <row r="1316" spans="1:18" x14ac:dyDescent="0.2">
      <c r="A1316" s="13">
        <v>45432</v>
      </c>
      <c r="B1316" s="13">
        <v>45432</v>
      </c>
      <c r="C1316" s="25" t="s">
        <v>398</v>
      </c>
      <c r="D1316" s="20">
        <v>0</v>
      </c>
      <c r="E1316" s="28">
        <v>22780.2</v>
      </c>
      <c r="F1316" s="22" t="s">
        <v>83</v>
      </c>
      <c r="G1316" s="14">
        <v>30</v>
      </c>
      <c r="H1316" s="40">
        <v>45048</v>
      </c>
      <c r="I1316" s="46">
        <f t="shared" si="80"/>
        <v>384</v>
      </c>
      <c r="J1316" s="1" t="s">
        <v>15</v>
      </c>
      <c r="K1316" s="4" t="s">
        <v>200</v>
      </c>
      <c r="L1316" s="4" t="s">
        <v>225</v>
      </c>
      <c r="M1316" s="8">
        <v>30</v>
      </c>
      <c r="N1316" s="5">
        <v>759.34</v>
      </c>
      <c r="O1316" s="5">
        <v>22780.2</v>
      </c>
      <c r="P1316">
        <f t="shared" si="81"/>
        <v>1</v>
      </c>
      <c r="Q1316" s="36">
        <f t="shared" si="82"/>
        <v>22780.2</v>
      </c>
      <c r="R1316">
        <f t="shared" si="83"/>
        <v>2023</v>
      </c>
    </row>
    <row r="1317" spans="1:18" x14ac:dyDescent="0.2">
      <c r="A1317" s="13">
        <v>45432</v>
      </c>
      <c r="B1317" s="13">
        <v>45432</v>
      </c>
      <c r="C1317" s="25" t="s">
        <v>398</v>
      </c>
      <c r="D1317" s="20">
        <v>0</v>
      </c>
      <c r="E1317" s="28">
        <v>45560.4</v>
      </c>
      <c r="F1317" s="22" t="s">
        <v>83</v>
      </c>
      <c r="G1317" s="14">
        <v>60</v>
      </c>
      <c r="H1317" s="40">
        <v>45049</v>
      </c>
      <c r="I1317" s="46">
        <f t="shared" si="80"/>
        <v>383</v>
      </c>
      <c r="J1317" s="1" t="s">
        <v>15</v>
      </c>
      <c r="K1317" s="4" t="s">
        <v>200</v>
      </c>
      <c r="L1317" s="4" t="s">
        <v>225</v>
      </c>
      <c r="M1317" s="8">
        <v>60</v>
      </c>
      <c r="N1317" s="5">
        <v>759.34</v>
      </c>
      <c r="O1317" s="5">
        <v>45560.4</v>
      </c>
      <c r="P1317">
        <f t="shared" si="81"/>
        <v>1</v>
      </c>
      <c r="Q1317" s="36">
        <f t="shared" si="82"/>
        <v>45560.4</v>
      </c>
      <c r="R1317">
        <f t="shared" si="83"/>
        <v>2023</v>
      </c>
    </row>
    <row r="1318" spans="1:18" x14ac:dyDescent="0.2">
      <c r="A1318" s="13">
        <v>45432</v>
      </c>
      <c r="B1318" s="13">
        <v>45432</v>
      </c>
      <c r="C1318" s="25" t="s">
        <v>398</v>
      </c>
      <c r="D1318" s="20">
        <v>0</v>
      </c>
      <c r="E1318" s="28">
        <v>45560.4</v>
      </c>
      <c r="F1318" s="22" t="s">
        <v>83</v>
      </c>
      <c r="G1318" s="14">
        <v>60</v>
      </c>
      <c r="H1318" s="40">
        <v>45049</v>
      </c>
      <c r="I1318" s="46">
        <f t="shared" si="80"/>
        <v>383</v>
      </c>
      <c r="J1318" s="1" t="s">
        <v>15</v>
      </c>
      <c r="K1318" s="4" t="s">
        <v>200</v>
      </c>
      <c r="L1318" s="4" t="s">
        <v>225</v>
      </c>
      <c r="M1318" s="8">
        <v>60</v>
      </c>
      <c r="N1318" s="5">
        <v>759.34</v>
      </c>
      <c r="O1318" s="5">
        <v>45560.4</v>
      </c>
      <c r="P1318">
        <f t="shared" si="81"/>
        <v>1</v>
      </c>
      <c r="Q1318" s="36">
        <f t="shared" si="82"/>
        <v>45560.4</v>
      </c>
      <c r="R1318">
        <f t="shared" si="83"/>
        <v>2023</v>
      </c>
    </row>
    <row r="1319" spans="1:18" x14ac:dyDescent="0.2">
      <c r="A1319" s="13">
        <v>45432</v>
      </c>
      <c r="B1319" s="13">
        <v>45432</v>
      </c>
      <c r="C1319" s="25" t="s">
        <v>398</v>
      </c>
      <c r="D1319" s="20">
        <v>0</v>
      </c>
      <c r="E1319" s="28">
        <v>45560.4</v>
      </c>
      <c r="F1319" s="22" t="s">
        <v>83</v>
      </c>
      <c r="G1319" s="14">
        <v>60</v>
      </c>
      <c r="H1319" s="40">
        <v>45049</v>
      </c>
      <c r="I1319" s="46">
        <f t="shared" si="80"/>
        <v>383</v>
      </c>
      <c r="J1319" s="1" t="s">
        <v>15</v>
      </c>
      <c r="K1319" s="4" t="s">
        <v>200</v>
      </c>
      <c r="L1319" s="4" t="s">
        <v>225</v>
      </c>
      <c r="M1319" s="8">
        <v>60</v>
      </c>
      <c r="N1319" s="5">
        <v>759.34</v>
      </c>
      <c r="O1319" s="5">
        <v>45560.4</v>
      </c>
      <c r="P1319">
        <f t="shared" si="81"/>
        <v>1</v>
      </c>
      <c r="Q1319" s="36">
        <f t="shared" si="82"/>
        <v>45560.4</v>
      </c>
      <c r="R1319">
        <f t="shared" si="83"/>
        <v>2023</v>
      </c>
    </row>
    <row r="1320" spans="1:18" x14ac:dyDescent="0.2">
      <c r="A1320" s="13">
        <v>45265</v>
      </c>
      <c r="B1320" s="13">
        <v>45034</v>
      </c>
      <c r="C1320" s="25" t="s">
        <v>399</v>
      </c>
      <c r="D1320" s="20">
        <v>231</v>
      </c>
      <c r="E1320" s="28">
        <v>27878.080000000002</v>
      </c>
      <c r="F1320" s="22" t="s">
        <v>141</v>
      </c>
      <c r="G1320" s="14">
        <v>32</v>
      </c>
      <c r="H1320" s="40">
        <v>44673</v>
      </c>
      <c r="I1320" s="46">
        <f t="shared" si="80"/>
        <v>592</v>
      </c>
      <c r="J1320" s="1" t="s">
        <v>15</v>
      </c>
      <c r="K1320" s="4" t="s">
        <v>200</v>
      </c>
      <c r="L1320" s="4" t="s">
        <v>225</v>
      </c>
      <c r="M1320" s="8">
        <v>32</v>
      </c>
      <c r="N1320" s="5">
        <v>871.19</v>
      </c>
      <c r="O1320" s="5">
        <v>27878.080000000002</v>
      </c>
      <c r="P1320">
        <f t="shared" si="81"/>
        <v>1</v>
      </c>
      <c r="Q1320" s="36">
        <f t="shared" si="82"/>
        <v>27878.080000000002</v>
      </c>
      <c r="R1320">
        <f t="shared" si="83"/>
        <v>2022</v>
      </c>
    </row>
    <row r="1321" spans="1:18" x14ac:dyDescent="0.2">
      <c r="A1321" s="13">
        <v>45265</v>
      </c>
      <c r="B1321" s="13">
        <v>45034</v>
      </c>
      <c r="C1321" s="25" t="s">
        <v>399</v>
      </c>
      <c r="D1321" s="20">
        <v>231</v>
      </c>
      <c r="E1321" s="28">
        <v>55756.160000000003</v>
      </c>
      <c r="F1321" s="22" t="s">
        <v>141</v>
      </c>
      <c r="G1321" s="14">
        <v>64</v>
      </c>
      <c r="H1321" s="40">
        <v>44673</v>
      </c>
      <c r="I1321" s="46">
        <f t="shared" si="80"/>
        <v>592</v>
      </c>
      <c r="J1321" s="1" t="s">
        <v>15</v>
      </c>
      <c r="K1321" s="4" t="s">
        <v>200</v>
      </c>
      <c r="L1321" s="4" t="s">
        <v>225</v>
      </c>
      <c r="M1321" s="8">
        <v>64</v>
      </c>
      <c r="N1321" s="5">
        <v>871.19</v>
      </c>
      <c r="O1321" s="5">
        <v>55756.160000000003</v>
      </c>
      <c r="P1321">
        <f t="shared" si="81"/>
        <v>1</v>
      </c>
      <c r="Q1321" s="36">
        <f t="shared" si="82"/>
        <v>55756.160000000003</v>
      </c>
      <c r="R1321">
        <f t="shared" si="83"/>
        <v>2022</v>
      </c>
    </row>
    <row r="1322" spans="1:18" x14ac:dyDescent="0.2">
      <c r="A1322" s="13">
        <v>45265</v>
      </c>
      <c r="B1322" s="13">
        <v>45041</v>
      </c>
      <c r="C1322" s="25" t="s">
        <v>399</v>
      </c>
      <c r="D1322" s="20">
        <v>224</v>
      </c>
      <c r="E1322" s="28">
        <v>27878.080000000002</v>
      </c>
      <c r="F1322" s="22" t="s">
        <v>141</v>
      </c>
      <c r="G1322" s="14">
        <v>32</v>
      </c>
      <c r="H1322" s="40">
        <v>44680</v>
      </c>
      <c r="I1322" s="46">
        <f t="shared" si="80"/>
        <v>585</v>
      </c>
      <c r="J1322" s="1" t="s">
        <v>15</v>
      </c>
      <c r="K1322" s="4" t="s">
        <v>200</v>
      </c>
      <c r="L1322" s="4" t="s">
        <v>225</v>
      </c>
      <c r="M1322" s="8">
        <v>32</v>
      </c>
      <c r="N1322" s="5">
        <v>871.19</v>
      </c>
      <c r="O1322" s="5">
        <v>27878.080000000002</v>
      </c>
      <c r="P1322">
        <f t="shared" si="81"/>
        <v>1</v>
      </c>
      <c r="Q1322" s="36">
        <f t="shared" si="82"/>
        <v>27878.080000000002</v>
      </c>
      <c r="R1322">
        <f t="shared" si="83"/>
        <v>2022</v>
      </c>
    </row>
    <row r="1323" spans="1:18" x14ac:dyDescent="0.2">
      <c r="A1323" s="13">
        <v>45265</v>
      </c>
      <c r="B1323" s="13">
        <v>45041</v>
      </c>
      <c r="C1323" s="25" t="s">
        <v>399</v>
      </c>
      <c r="D1323" s="20">
        <v>224</v>
      </c>
      <c r="E1323" s="28">
        <v>27878.080000000002</v>
      </c>
      <c r="F1323" s="22" t="s">
        <v>141</v>
      </c>
      <c r="G1323" s="14">
        <v>32</v>
      </c>
      <c r="H1323" s="40">
        <v>44680</v>
      </c>
      <c r="I1323" s="46">
        <f t="shared" si="80"/>
        <v>585</v>
      </c>
      <c r="J1323" s="1" t="s">
        <v>15</v>
      </c>
      <c r="K1323" s="4" t="s">
        <v>200</v>
      </c>
      <c r="L1323" s="4" t="s">
        <v>225</v>
      </c>
      <c r="M1323" s="8">
        <v>32</v>
      </c>
      <c r="N1323" s="5">
        <v>871.19</v>
      </c>
      <c r="O1323" s="5">
        <v>27878.080000000002</v>
      </c>
      <c r="P1323">
        <f t="shared" si="81"/>
        <v>1</v>
      </c>
      <c r="Q1323" s="36">
        <f t="shared" si="82"/>
        <v>27878.080000000002</v>
      </c>
      <c r="R1323">
        <f t="shared" si="83"/>
        <v>2022</v>
      </c>
    </row>
    <row r="1324" spans="1:18" x14ac:dyDescent="0.2">
      <c r="A1324" s="13">
        <v>45265</v>
      </c>
      <c r="B1324" s="13">
        <v>45041</v>
      </c>
      <c r="C1324" s="25" t="s">
        <v>399</v>
      </c>
      <c r="D1324" s="20">
        <v>224</v>
      </c>
      <c r="E1324" s="28">
        <v>55756.160000000003</v>
      </c>
      <c r="F1324" s="22" t="s">
        <v>141</v>
      </c>
      <c r="G1324" s="14">
        <v>64</v>
      </c>
      <c r="H1324" s="40">
        <v>44680</v>
      </c>
      <c r="I1324" s="46">
        <f t="shared" si="80"/>
        <v>585</v>
      </c>
      <c r="J1324" s="1" t="s">
        <v>15</v>
      </c>
      <c r="K1324" s="4" t="s">
        <v>200</v>
      </c>
      <c r="L1324" s="4" t="s">
        <v>225</v>
      </c>
      <c r="M1324" s="8">
        <v>64</v>
      </c>
      <c r="N1324" s="5">
        <v>871.19</v>
      </c>
      <c r="O1324" s="5">
        <v>55756.160000000003</v>
      </c>
      <c r="P1324">
        <f t="shared" si="81"/>
        <v>1</v>
      </c>
      <c r="Q1324" s="36">
        <f t="shared" si="82"/>
        <v>55756.160000000003</v>
      </c>
      <c r="R1324">
        <f t="shared" si="83"/>
        <v>2022</v>
      </c>
    </row>
    <row r="1325" spans="1:18" x14ac:dyDescent="0.2">
      <c r="A1325" s="13">
        <v>45265</v>
      </c>
      <c r="B1325" s="13">
        <v>45258</v>
      </c>
      <c r="C1325" s="25" t="s">
        <v>399</v>
      </c>
      <c r="D1325" s="20">
        <v>7</v>
      </c>
      <c r="E1325" s="28">
        <v>334536.96000000002</v>
      </c>
      <c r="F1325" s="22" t="s">
        <v>141</v>
      </c>
      <c r="G1325" s="14">
        <v>384</v>
      </c>
      <c r="H1325" s="40">
        <v>44903</v>
      </c>
      <c r="I1325" s="46">
        <f t="shared" si="80"/>
        <v>362</v>
      </c>
      <c r="J1325" s="1" t="s">
        <v>15</v>
      </c>
      <c r="K1325" s="4" t="s">
        <v>199</v>
      </c>
      <c r="L1325" s="4" t="s">
        <v>225</v>
      </c>
      <c r="M1325" s="8">
        <v>576</v>
      </c>
      <c r="N1325" s="5">
        <v>871.19</v>
      </c>
      <c r="O1325" s="5">
        <v>501805.44</v>
      </c>
      <c r="P1325">
        <f t="shared" si="81"/>
        <v>0</v>
      </c>
      <c r="Q1325" s="36">
        <f t="shared" si="82"/>
        <v>334536.96000000002</v>
      </c>
      <c r="R1325">
        <f t="shared" si="83"/>
        <v>2022</v>
      </c>
    </row>
    <row r="1326" spans="1:18" x14ac:dyDescent="0.2">
      <c r="A1326" s="13">
        <v>45289</v>
      </c>
      <c r="B1326" s="13">
        <v>45258</v>
      </c>
      <c r="C1326" s="25" t="s">
        <v>399</v>
      </c>
      <c r="D1326" s="20">
        <v>31</v>
      </c>
      <c r="E1326" s="28">
        <v>167268.48000000001</v>
      </c>
      <c r="F1326" s="22" t="s">
        <v>141</v>
      </c>
      <c r="G1326" s="14">
        <v>192</v>
      </c>
      <c r="H1326" s="40">
        <v>44903</v>
      </c>
      <c r="I1326" s="46">
        <f t="shared" si="80"/>
        <v>386</v>
      </c>
      <c r="J1326" s="1" t="s">
        <v>15</v>
      </c>
      <c r="K1326" s="4" t="s">
        <v>199</v>
      </c>
      <c r="L1326" s="4" t="s">
        <v>225</v>
      </c>
      <c r="M1326" s="8">
        <v>576</v>
      </c>
      <c r="N1326" s="5">
        <v>871.19</v>
      </c>
      <c r="O1326" s="5">
        <v>501805.44</v>
      </c>
      <c r="P1326">
        <f t="shared" si="81"/>
        <v>0</v>
      </c>
      <c r="Q1326" s="36">
        <f t="shared" si="82"/>
        <v>167268.48000000001</v>
      </c>
      <c r="R1326">
        <f t="shared" si="83"/>
        <v>2022</v>
      </c>
    </row>
    <row r="1327" spans="1:18" x14ac:dyDescent="0.2">
      <c r="A1327" s="13">
        <v>45295</v>
      </c>
      <c r="B1327" s="13">
        <v>45295</v>
      </c>
      <c r="C1327" s="25" t="s">
        <v>398</v>
      </c>
      <c r="D1327" s="20">
        <v>0</v>
      </c>
      <c r="E1327" s="28">
        <v>334536.96000000002</v>
      </c>
      <c r="F1327" s="22" t="s">
        <v>141</v>
      </c>
      <c r="G1327" s="14">
        <v>384</v>
      </c>
      <c r="H1327" s="40">
        <v>44925</v>
      </c>
      <c r="I1327" s="46">
        <f t="shared" si="80"/>
        <v>370</v>
      </c>
      <c r="J1327" s="1" t="s">
        <v>15</v>
      </c>
      <c r="K1327" s="4" t="s">
        <v>199</v>
      </c>
      <c r="L1327" s="4" t="s">
        <v>225</v>
      </c>
      <c r="M1327" s="8">
        <v>608</v>
      </c>
      <c r="N1327" s="5">
        <v>871.19</v>
      </c>
      <c r="O1327" s="5">
        <v>529683.52</v>
      </c>
      <c r="P1327">
        <f t="shared" si="81"/>
        <v>0</v>
      </c>
      <c r="Q1327" s="36">
        <f t="shared" si="82"/>
        <v>334536.96000000002</v>
      </c>
      <c r="R1327">
        <f t="shared" si="83"/>
        <v>2022</v>
      </c>
    </row>
    <row r="1328" spans="1:18" x14ac:dyDescent="0.2">
      <c r="A1328" s="13">
        <v>45310</v>
      </c>
      <c r="B1328" s="13">
        <v>45295</v>
      </c>
      <c r="C1328" s="25" t="s">
        <v>399</v>
      </c>
      <c r="D1328" s="20">
        <v>15</v>
      </c>
      <c r="E1328" s="28">
        <v>195146.56</v>
      </c>
      <c r="F1328" s="22" t="s">
        <v>141</v>
      </c>
      <c r="G1328" s="14">
        <v>224</v>
      </c>
      <c r="H1328" s="40">
        <v>44925</v>
      </c>
      <c r="I1328" s="46">
        <f t="shared" si="80"/>
        <v>385</v>
      </c>
      <c r="J1328" s="1" t="s">
        <v>15</v>
      </c>
      <c r="K1328" s="4" t="s">
        <v>199</v>
      </c>
      <c r="L1328" s="4" t="s">
        <v>225</v>
      </c>
      <c r="M1328" s="8">
        <v>608</v>
      </c>
      <c r="N1328" s="5">
        <v>871.19</v>
      </c>
      <c r="O1328" s="5">
        <v>529683.52</v>
      </c>
      <c r="P1328">
        <f t="shared" si="81"/>
        <v>0</v>
      </c>
      <c r="Q1328" s="36">
        <f t="shared" si="82"/>
        <v>195146.56</v>
      </c>
      <c r="R1328">
        <f t="shared" si="83"/>
        <v>2022</v>
      </c>
    </row>
    <row r="1329" spans="1:18" x14ac:dyDescent="0.2">
      <c r="A1329" s="13">
        <v>45202</v>
      </c>
      <c r="B1329" s="13">
        <v>45202</v>
      </c>
      <c r="C1329" s="25" t="s">
        <v>398</v>
      </c>
      <c r="D1329" s="20">
        <v>0</v>
      </c>
      <c r="E1329" s="28">
        <v>9814.75</v>
      </c>
      <c r="F1329" s="22" t="s">
        <v>118</v>
      </c>
      <c r="G1329" s="14">
        <v>55</v>
      </c>
      <c r="H1329" s="40">
        <v>44841</v>
      </c>
      <c r="I1329" s="46">
        <f t="shared" si="80"/>
        <v>361</v>
      </c>
      <c r="J1329" s="1" t="s">
        <v>15</v>
      </c>
      <c r="K1329" s="4" t="s">
        <v>200</v>
      </c>
      <c r="L1329" s="4" t="s">
        <v>225</v>
      </c>
      <c r="M1329" s="8">
        <v>55</v>
      </c>
      <c r="N1329" s="5">
        <v>178.45</v>
      </c>
      <c r="O1329" s="5">
        <v>9814.75</v>
      </c>
      <c r="P1329">
        <f t="shared" si="81"/>
        <v>1</v>
      </c>
      <c r="Q1329" s="36">
        <f t="shared" si="82"/>
        <v>9814.75</v>
      </c>
      <c r="R1329">
        <f t="shared" si="83"/>
        <v>2022</v>
      </c>
    </row>
    <row r="1330" spans="1:18" x14ac:dyDescent="0.2">
      <c r="A1330" s="13">
        <v>45251</v>
      </c>
      <c r="B1330" s="13">
        <v>45251</v>
      </c>
      <c r="C1330" s="25" t="s">
        <v>398</v>
      </c>
      <c r="D1330" s="20">
        <v>0</v>
      </c>
      <c r="E1330" s="28">
        <v>4639.7</v>
      </c>
      <c r="F1330" s="22" t="s">
        <v>118</v>
      </c>
      <c r="G1330" s="14">
        <v>26</v>
      </c>
      <c r="H1330" s="40">
        <v>44875</v>
      </c>
      <c r="I1330" s="46">
        <f t="shared" si="80"/>
        <v>376</v>
      </c>
      <c r="J1330" s="1" t="s">
        <v>15</v>
      </c>
      <c r="K1330" s="4" t="s">
        <v>199</v>
      </c>
      <c r="L1330" s="4" t="s">
        <v>225</v>
      </c>
      <c r="M1330" s="8">
        <v>26</v>
      </c>
      <c r="N1330" s="5">
        <v>178.45</v>
      </c>
      <c r="O1330" s="5">
        <v>4639.7</v>
      </c>
      <c r="P1330">
        <f t="shared" si="81"/>
        <v>1</v>
      </c>
      <c r="Q1330" s="36">
        <f t="shared" si="82"/>
        <v>4639.7</v>
      </c>
      <c r="R1330">
        <f t="shared" si="83"/>
        <v>2022</v>
      </c>
    </row>
    <row r="1331" spans="1:18" x14ac:dyDescent="0.2">
      <c r="A1331" s="13">
        <v>45195</v>
      </c>
      <c r="B1331" s="13">
        <v>45195</v>
      </c>
      <c r="C1331" s="25" t="s">
        <v>398</v>
      </c>
      <c r="D1331" s="20">
        <v>0</v>
      </c>
      <c r="E1331" s="28">
        <v>10707</v>
      </c>
      <c r="F1331" s="22" t="s">
        <v>118</v>
      </c>
      <c r="G1331" s="14">
        <v>60</v>
      </c>
      <c r="H1331" s="40">
        <v>44876</v>
      </c>
      <c r="I1331" s="46">
        <f t="shared" si="80"/>
        <v>319</v>
      </c>
      <c r="J1331" s="1" t="s">
        <v>15</v>
      </c>
      <c r="K1331" s="4" t="s">
        <v>199</v>
      </c>
      <c r="L1331" s="4" t="s">
        <v>225</v>
      </c>
      <c r="M1331" s="8">
        <v>60</v>
      </c>
      <c r="N1331" s="5">
        <v>178.45</v>
      </c>
      <c r="O1331" s="5">
        <v>10707</v>
      </c>
      <c r="P1331">
        <f t="shared" si="81"/>
        <v>1</v>
      </c>
      <c r="Q1331" s="36">
        <f t="shared" si="82"/>
        <v>10707</v>
      </c>
      <c r="R1331">
        <f t="shared" si="83"/>
        <v>2022</v>
      </c>
    </row>
    <row r="1332" spans="1:18" x14ac:dyDescent="0.2">
      <c r="A1332" s="13">
        <v>45223</v>
      </c>
      <c r="B1332" s="13">
        <v>45223</v>
      </c>
      <c r="C1332" s="25" t="s">
        <v>398</v>
      </c>
      <c r="D1332" s="20">
        <v>0</v>
      </c>
      <c r="E1332" s="28">
        <v>10707</v>
      </c>
      <c r="F1332" s="22" t="s">
        <v>118</v>
      </c>
      <c r="G1332" s="14">
        <v>60</v>
      </c>
      <c r="H1332" s="40">
        <v>44876</v>
      </c>
      <c r="I1332" s="46">
        <f t="shared" si="80"/>
        <v>347</v>
      </c>
      <c r="J1332" s="1" t="s">
        <v>15</v>
      </c>
      <c r="K1332" s="4" t="s">
        <v>199</v>
      </c>
      <c r="L1332" s="4" t="s">
        <v>225</v>
      </c>
      <c r="M1332" s="8">
        <v>60</v>
      </c>
      <c r="N1332" s="5">
        <v>178.45</v>
      </c>
      <c r="O1332" s="5">
        <v>10707</v>
      </c>
      <c r="P1332">
        <f t="shared" si="81"/>
        <v>1</v>
      </c>
      <c r="Q1332" s="36">
        <f t="shared" si="82"/>
        <v>10707</v>
      </c>
      <c r="R1332">
        <f t="shared" si="83"/>
        <v>2022</v>
      </c>
    </row>
    <row r="1333" spans="1:18" x14ac:dyDescent="0.2">
      <c r="A1333" s="13">
        <v>45279</v>
      </c>
      <c r="B1333" s="13">
        <v>45279</v>
      </c>
      <c r="C1333" s="25" t="s">
        <v>398</v>
      </c>
      <c r="D1333" s="20">
        <v>0</v>
      </c>
      <c r="E1333" s="28">
        <v>10707</v>
      </c>
      <c r="F1333" s="22" t="s">
        <v>118</v>
      </c>
      <c r="G1333" s="14">
        <v>60</v>
      </c>
      <c r="H1333" s="40">
        <v>44903</v>
      </c>
      <c r="I1333" s="46">
        <f t="shared" si="80"/>
        <v>376</v>
      </c>
      <c r="J1333" s="1" t="s">
        <v>15</v>
      </c>
      <c r="K1333" s="4" t="s">
        <v>199</v>
      </c>
      <c r="L1333" s="4" t="s">
        <v>225</v>
      </c>
      <c r="M1333" s="8">
        <v>60</v>
      </c>
      <c r="N1333" s="5">
        <v>178.45</v>
      </c>
      <c r="O1333" s="5">
        <v>10707</v>
      </c>
      <c r="P1333">
        <f t="shared" si="81"/>
        <v>1</v>
      </c>
      <c r="Q1333" s="36">
        <f t="shared" si="82"/>
        <v>10707</v>
      </c>
      <c r="R1333">
        <f t="shared" si="83"/>
        <v>2022</v>
      </c>
    </row>
    <row r="1334" spans="1:18" x14ac:dyDescent="0.2">
      <c r="A1334" s="13">
        <v>45216</v>
      </c>
      <c r="B1334" s="13">
        <v>45216</v>
      </c>
      <c r="C1334" s="25" t="s">
        <v>398</v>
      </c>
      <c r="D1334" s="20">
        <v>0</v>
      </c>
      <c r="E1334" s="28">
        <v>23555.4</v>
      </c>
      <c r="F1334" s="22" t="s">
        <v>118</v>
      </c>
      <c r="G1334" s="14">
        <v>132</v>
      </c>
      <c r="H1334" s="40">
        <v>44915</v>
      </c>
      <c r="I1334" s="46">
        <f t="shared" si="80"/>
        <v>301</v>
      </c>
      <c r="J1334" s="1" t="s">
        <v>15</v>
      </c>
      <c r="K1334" s="4" t="s">
        <v>200</v>
      </c>
      <c r="L1334" s="4" t="s">
        <v>225</v>
      </c>
      <c r="M1334" s="8">
        <v>132</v>
      </c>
      <c r="N1334" s="5">
        <v>178.45</v>
      </c>
      <c r="O1334" s="5">
        <v>23555.4</v>
      </c>
      <c r="P1334">
        <f t="shared" si="81"/>
        <v>1</v>
      </c>
      <c r="Q1334" s="36">
        <f t="shared" si="82"/>
        <v>23555.399999999998</v>
      </c>
      <c r="R1334">
        <f t="shared" si="83"/>
        <v>2022</v>
      </c>
    </row>
    <row r="1335" spans="1:18" x14ac:dyDescent="0.2">
      <c r="A1335" s="13">
        <v>45244</v>
      </c>
      <c r="B1335" s="13">
        <v>45244</v>
      </c>
      <c r="C1335" s="25" t="s">
        <v>398</v>
      </c>
      <c r="D1335" s="20">
        <v>0</v>
      </c>
      <c r="E1335" s="28">
        <v>17845</v>
      </c>
      <c r="F1335" s="22" t="s">
        <v>118</v>
      </c>
      <c r="G1335" s="14">
        <v>100</v>
      </c>
      <c r="H1335" s="40">
        <v>44915</v>
      </c>
      <c r="I1335" s="46">
        <f t="shared" si="80"/>
        <v>329</v>
      </c>
      <c r="J1335" s="1" t="s">
        <v>15</v>
      </c>
      <c r="K1335" s="4" t="s">
        <v>200</v>
      </c>
      <c r="L1335" s="4" t="s">
        <v>225</v>
      </c>
      <c r="M1335" s="8">
        <v>100</v>
      </c>
      <c r="N1335" s="5">
        <v>178.45</v>
      </c>
      <c r="O1335" s="5">
        <v>17845</v>
      </c>
      <c r="P1335">
        <f t="shared" si="81"/>
        <v>1</v>
      </c>
      <c r="Q1335" s="36">
        <f t="shared" si="82"/>
        <v>17845</v>
      </c>
      <c r="R1335">
        <f t="shared" si="83"/>
        <v>2022</v>
      </c>
    </row>
    <row r="1336" spans="1:18" x14ac:dyDescent="0.2">
      <c r="A1336" s="13">
        <v>45279</v>
      </c>
      <c r="B1336" s="13">
        <v>45279</v>
      </c>
      <c r="C1336" s="25" t="s">
        <v>398</v>
      </c>
      <c r="D1336" s="20">
        <v>0</v>
      </c>
      <c r="E1336" s="28">
        <v>23555.4</v>
      </c>
      <c r="F1336" s="22" t="s">
        <v>118</v>
      </c>
      <c r="G1336" s="14">
        <v>132</v>
      </c>
      <c r="H1336" s="40">
        <v>44915</v>
      </c>
      <c r="I1336" s="46">
        <f t="shared" si="80"/>
        <v>364</v>
      </c>
      <c r="J1336" s="1" t="s">
        <v>15</v>
      </c>
      <c r="K1336" s="4" t="s">
        <v>200</v>
      </c>
      <c r="L1336" s="4" t="s">
        <v>225</v>
      </c>
      <c r="M1336" s="8">
        <v>132</v>
      </c>
      <c r="N1336" s="5">
        <v>178.45</v>
      </c>
      <c r="O1336" s="5">
        <v>23555.4</v>
      </c>
      <c r="P1336">
        <f t="shared" si="81"/>
        <v>1</v>
      </c>
      <c r="Q1336" s="36">
        <f t="shared" si="82"/>
        <v>23555.399999999998</v>
      </c>
      <c r="R1336">
        <f t="shared" si="83"/>
        <v>2022</v>
      </c>
    </row>
    <row r="1337" spans="1:18" x14ac:dyDescent="0.2">
      <c r="A1337" s="13">
        <v>45307</v>
      </c>
      <c r="B1337" s="13">
        <v>45307</v>
      </c>
      <c r="C1337" s="25" t="s">
        <v>398</v>
      </c>
      <c r="D1337" s="20">
        <v>0</v>
      </c>
      <c r="E1337" s="28">
        <v>5175.05</v>
      </c>
      <c r="F1337" s="22" t="s">
        <v>118</v>
      </c>
      <c r="G1337" s="14">
        <v>29</v>
      </c>
      <c r="H1337" s="40">
        <v>44932</v>
      </c>
      <c r="I1337" s="46">
        <f t="shared" si="80"/>
        <v>375</v>
      </c>
      <c r="J1337" s="1" t="s">
        <v>15</v>
      </c>
      <c r="K1337" s="4" t="s">
        <v>199</v>
      </c>
      <c r="L1337" s="4" t="s">
        <v>225</v>
      </c>
      <c r="M1337" s="8">
        <v>29</v>
      </c>
      <c r="N1337" s="5">
        <v>178.45</v>
      </c>
      <c r="O1337" s="5">
        <v>5175.05</v>
      </c>
      <c r="P1337">
        <f t="shared" si="81"/>
        <v>1</v>
      </c>
      <c r="Q1337" s="36">
        <f t="shared" si="82"/>
        <v>5175.0499999999993</v>
      </c>
      <c r="R1337">
        <f t="shared" si="83"/>
        <v>2023</v>
      </c>
    </row>
    <row r="1338" spans="1:18" x14ac:dyDescent="0.2">
      <c r="A1338" s="13">
        <v>45314</v>
      </c>
      <c r="B1338" s="13">
        <v>45314</v>
      </c>
      <c r="C1338" s="25" t="s">
        <v>398</v>
      </c>
      <c r="D1338" s="20">
        <v>0</v>
      </c>
      <c r="E1338" s="28">
        <v>5888.85</v>
      </c>
      <c r="F1338" s="22" t="s">
        <v>118</v>
      </c>
      <c r="G1338" s="14">
        <v>33</v>
      </c>
      <c r="H1338" s="40">
        <v>44939</v>
      </c>
      <c r="I1338" s="46">
        <f t="shared" si="80"/>
        <v>375</v>
      </c>
      <c r="J1338" s="1" t="s">
        <v>15</v>
      </c>
      <c r="K1338" s="4" t="s">
        <v>199</v>
      </c>
      <c r="L1338" s="4" t="s">
        <v>225</v>
      </c>
      <c r="M1338" s="8">
        <v>33</v>
      </c>
      <c r="N1338" s="5">
        <v>178.45</v>
      </c>
      <c r="O1338" s="5">
        <v>5888.85</v>
      </c>
      <c r="P1338">
        <f t="shared" si="81"/>
        <v>1</v>
      </c>
      <c r="Q1338" s="36">
        <f t="shared" si="82"/>
        <v>5888.8499999999995</v>
      </c>
      <c r="R1338">
        <f t="shared" si="83"/>
        <v>2023</v>
      </c>
    </row>
    <row r="1339" spans="1:18" x14ac:dyDescent="0.2">
      <c r="A1339" s="13">
        <v>45321</v>
      </c>
      <c r="B1339" s="13">
        <v>45321</v>
      </c>
      <c r="C1339" s="25" t="s">
        <v>398</v>
      </c>
      <c r="D1339" s="20">
        <v>0</v>
      </c>
      <c r="E1339" s="28">
        <v>5888.85</v>
      </c>
      <c r="F1339" s="22" t="s">
        <v>118</v>
      </c>
      <c r="G1339" s="14">
        <v>33</v>
      </c>
      <c r="H1339" s="40">
        <v>44943</v>
      </c>
      <c r="I1339" s="46">
        <f t="shared" si="80"/>
        <v>378</v>
      </c>
      <c r="J1339" s="1" t="s">
        <v>15</v>
      </c>
      <c r="K1339" s="4" t="s">
        <v>200</v>
      </c>
      <c r="L1339" s="4" t="s">
        <v>225</v>
      </c>
      <c r="M1339" s="8">
        <v>33</v>
      </c>
      <c r="N1339" s="5">
        <v>178.45</v>
      </c>
      <c r="O1339" s="5">
        <v>5888.85</v>
      </c>
      <c r="P1339">
        <f t="shared" si="81"/>
        <v>1</v>
      </c>
      <c r="Q1339" s="36">
        <f t="shared" si="82"/>
        <v>5888.8499999999995</v>
      </c>
      <c r="R1339">
        <f t="shared" si="83"/>
        <v>2023</v>
      </c>
    </row>
    <row r="1340" spans="1:18" x14ac:dyDescent="0.2">
      <c r="A1340" s="13">
        <v>45328</v>
      </c>
      <c r="B1340" s="13">
        <v>45328</v>
      </c>
      <c r="C1340" s="25" t="s">
        <v>398</v>
      </c>
      <c r="D1340" s="20">
        <v>0</v>
      </c>
      <c r="E1340" s="28">
        <v>5888.85</v>
      </c>
      <c r="F1340" s="22" t="s">
        <v>118</v>
      </c>
      <c r="G1340" s="14">
        <v>33</v>
      </c>
      <c r="H1340" s="40">
        <v>44953</v>
      </c>
      <c r="I1340" s="46">
        <f t="shared" si="80"/>
        <v>375</v>
      </c>
      <c r="J1340" s="1" t="s">
        <v>15</v>
      </c>
      <c r="K1340" s="4" t="s">
        <v>199</v>
      </c>
      <c r="L1340" s="4" t="s">
        <v>225</v>
      </c>
      <c r="M1340" s="8">
        <v>33</v>
      </c>
      <c r="N1340" s="5">
        <v>178.45</v>
      </c>
      <c r="O1340" s="5">
        <v>5888.85</v>
      </c>
      <c r="P1340">
        <f t="shared" si="81"/>
        <v>1</v>
      </c>
      <c r="Q1340" s="36">
        <f t="shared" si="82"/>
        <v>5888.8499999999995</v>
      </c>
      <c r="R1340">
        <f t="shared" si="83"/>
        <v>2023</v>
      </c>
    </row>
    <row r="1341" spans="1:18" x14ac:dyDescent="0.2">
      <c r="A1341" s="13">
        <v>45406</v>
      </c>
      <c r="B1341" s="13">
        <v>45406</v>
      </c>
      <c r="C1341" s="25" t="s">
        <v>398</v>
      </c>
      <c r="D1341" s="20">
        <v>0</v>
      </c>
      <c r="E1341" s="28">
        <v>2676.75</v>
      </c>
      <c r="F1341" s="22" t="s">
        <v>118</v>
      </c>
      <c r="G1341" s="14">
        <v>15</v>
      </c>
      <c r="H1341" s="40">
        <v>45027</v>
      </c>
      <c r="I1341" s="46">
        <f t="shared" si="80"/>
        <v>379</v>
      </c>
      <c r="J1341" s="1" t="s">
        <v>15</v>
      </c>
      <c r="K1341" s="4" t="s">
        <v>200</v>
      </c>
      <c r="L1341" s="4" t="s">
        <v>225</v>
      </c>
      <c r="M1341" s="8">
        <v>15</v>
      </c>
      <c r="N1341" s="5">
        <v>178.45</v>
      </c>
      <c r="O1341" s="5">
        <v>2676.75</v>
      </c>
      <c r="P1341">
        <f t="shared" si="81"/>
        <v>1</v>
      </c>
      <c r="Q1341" s="36">
        <f t="shared" si="82"/>
        <v>2676.75</v>
      </c>
      <c r="R1341">
        <f t="shared" si="83"/>
        <v>2023</v>
      </c>
    </row>
    <row r="1342" spans="1:18" x14ac:dyDescent="0.2">
      <c r="A1342" s="13">
        <v>45408</v>
      </c>
      <c r="B1342" s="13">
        <v>45408</v>
      </c>
      <c r="C1342" s="25" t="s">
        <v>398</v>
      </c>
      <c r="D1342" s="20">
        <v>0</v>
      </c>
      <c r="E1342" s="28">
        <v>5353.5</v>
      </c>
      <c r="F1342" s="22" t="s">
        <v>118</v>
      </c>
      <c r="G1342" s="14">
        <v>30</v>
      </c>
      <c r="H1342" s="40">
        <v>45034</v>
      </c>
      <c r="I1342" s="46">
        <f t="shared" si="80"/>
        <v>374</v>
      </c>
      <c r="J1342" s="1" t="s">
        <v>15</v>
      </c>
      <c r="K1342" s="4" t="s">
        <v>200</v>
      </c>
      <c r="L1342" s="4" t="s">
        <v>225</v>
      </c>
      <c r="M1342" s="8">
        <v>30</v>
      </c>
      <c r="N1342" s="5">
        <v>178.45</v>
      </c>
      <c r="O1342" s="5">
        <v>5353.5</v>
      </c>
      <c r="P1342">
        <f t="shared" si="81"/>
        <v>1</v>
      </c>
      <c r="Q1342" s="36">
        <f t="shared" si="82"/>
        <v>5353.5</v>
      </c>
      <c r="R1342">
        <f t="shared" si="83"/>
        <v>2023</v>
      </c>
    </row>
    <row r="1343" spans="1:18" x14ac:dyDescent="0.2">
      <c r="A1343" s="13">
        <v>45405</v>
      </c>
      <c r="B1343" s="13">
        <v>45405</v>
      </c>
      <c r="C1343" s="25" t="s">
        <v>398</v>
      </c>
      <c r="D1343" s="20">
        <v>0</v>
      </c>
      <c r="E1343" s="28">
        <v>8030.25</v>
      </c>
      <c r="F1343" s="22" t="s">
        <v>118</v>
      </c>
      <c r="G1343" s="14">
        <v>45</v>
      </c>
      <c r="H1343" s="40">
        <v>45041</v>
      </c>
      <c r="I1343" s="46">
        <f t="shared" si="80"/>
        <v>364</v>
      </c>
      <c r="J1343" s="1" t="s">
        <v>15</v>
      </c>
      <c r="K1343" s="4" t="s">
        <v>200</v>
      </c>
      <c r="L1343" s="4" t="s">
        <v>225</v>
      </c>
      <c r="M1343" s="8">
        <v>45</v>
      </c>
      <c r="N1343" s="5">
        <v>178.45</v>
      </c>
      <c r="O1343" s="5">
        <v>8030.25</v>
      </c>
      <c r="P1343">
        <f t="shared" si="81"/>
        <v>1</v>
      </c>
      <c r="Q1343" s="36">
        <f t="shared" si="82"/>
        <v>8030.2499999999991</v>
      </c>
      <c r="R1343">
        <f t="shared" si="83"/>
        <v>2023</v>
      </c>
    </row>
    <row r="1344" spans="1:18" x14ac:dyDescent="0.2">
      <c r="A1344" s="13">
        <v>45429</v>
      </c>
      <c r="B1344" s="13">
        <v>45429</v>
      </c>
      <c r="C1344" s="25" t="s">
        <v>398</v>
      </c>
      <c r="D1344" s="20">
        <v>0</v>
      </c>
      <c r="E1344" s="28">
        <v>5353.5</v>
      </c>
      <c r="F1344" s="22" t="s">
        <v>118</v>
      </c>
      <c r="G1344" s="14">
        <v>30</v>
      </c>
      <c r="H1344" s="40">
        <v>45062</v>
      </c>
      <c r="I1344" s="46">
        <f t="shared" si="80"/>
        <v>367</v>
      </c>
      <c r="J1344" s="1" t="s">
        <v>15</v>
      </c>
      <c r="K1344" s="4" t="s">
        <v>200</v>
      </c>
      <c r="L1344" s="4" t="s">
        <v>225</v>
      </c>
      <c r="M1344" s="8">
        <v>30</v>
      </c>
      <c r="N1344" s="5">
        <v>178.45</v>
      </c>
      <c r="O1344" s="5">
        <v>5353.5</v>
      </c>
      <c r="P1344">
        <f t="shared" si="81"/>
        <v>1</v>
      </c>
      <c r="Q1344" s="36">
        <f t="shared" si="82"/>
        <v>5353.5</v>
      </c>
      <c r="R1344">
        <f t="shared" si="83"/>
        <v>2023</v>
      </c>
    </row>
    <row r="1345" spans="1:18" x14ac:dyDescent="0.2">
      <c r="A1345" s="13">
        <v>45190</v>
      </c>
      <c r="B1345" s="13">
        <v>45190</v>
      </c>
      <c r="C1345" s="25" t="s">
        <v>398</v>
      </c>
      <c r="D1345" s="20">
        <v>0</v>
      </c>
      <c r="E1345" s="28">
        <v>38581.65</v>
      </c>
      <c r="F1345" s="22" t="s">
        <v>85</v>
      </c>
      <c r="G1345" s="14">
        <v>45</v>
      </c>
      <c r="H1345" s="40">
        <v>44811</v>
      </c>
      <c r="I1345" s="46">
        <f t="shared" si="80"/>
        <v>379</v>
      </c>
      <c r="J1345" s="1" t="s">
        <v>15</v>
      </c>
      <c r="K1345" s="4" t="s">
        <v>199</v>
      </c>
      <c r="L1345" s="4" t="s">
        <v>225</v>
      </c>
      <c r="M1345" s="8">
        <v>45</v>
      </c>
      <c r="N1345" s="5">
        <v>857.37</v>
      </c>
      <c r="O1345" s="5">
        <v>38581.65</v>
      </c>
      <c r="P1345">
        <f t="shared" si="81"/>
        <v>1</v>
      </c>
      <c r="Q1345" s="36">
        <f t="shared" si="82"/>
        <v>38581.65</v>
      </c>
      <c r="R1345">
        <f t="shared" si="83"/>
        <v>2022</v>
      </c>
    </row>
    <row r="1346" spans="1:18" x14ac:dyDescent="0.2">
      <c r="A1346" s="13">
        <v>45190</v>
      </c>
      <c r="B1346" s="13">
        <v>45190</v>
      </c>
      <c r="C1346" s="25" t="s">
        <v>398</v>
      </c>
      <c r="D1346" s="20">
        <v>0</v>
      </c>
      <c r="E1346" s="28">
        <v>38581.65</v>
      </c>
      <c r="F1346" s="22" t="s">
        <v>85</v>
      </c>
      <c r="G1346" s="14">
        <v>45</v>
      </c>
      <c r="H1346" s="40">
        <v>44811</v>
      </c>
      <c r="I1346" s="46">
        <f t="shared" si="80"/>
        <v>379</v>
      </c>
      <c r="J1346" s="1" t="s">
        <v>15</v>
      </c>
      <c r="K1346" s="4" t="s">
        <v>199</v>
      </c>
      <c r="L1346" s="4" t="s">
        <v>225</v>
      </c>
      <c r="M1346" s="8">
        <v>45</v>
      </c>
      <c r="N1346" s="5">
        <v>857.37</v>
      </c>
      <c r="O1346" s="5">
        <v>38581.65</v>
      </c>
      <c r="P1346">
        <f t="shared" si="81"/>
        <v>1</v>
      </c>
      <c r="Q1346" s="36">
        <f t="shared" si="82"/>
        <v>38581.65</v>
      </c>
      <c r="R1346">
        <f t="shared" si="83"/>
        <v>2022</v>
      </c>
    </row>
    <row r="1347" spans="1:18" x14ac:dyDescent="0.2">
      <c r="A1347" s="13">
        <v>45190</v>
      </c>
      <c r="B1347" s="13">
        <v>45190</v>
      </c>
      <c r="C1347" s="25" t="s">
        <v>398</v>
      </c>
      <c r="D1347" s="20">
        <v>0</v>
      </c>
      <c r="E1347" s="28">
        <v>25721.1</v>
      </c>
      <c r="F1347" s="22" t="s">
        <v>85</v>
      </c>
      <c r="G1347" s="14">
        <v>30</v>
      </c>
      <c r="H1347" s="40">
        <v>44811</v>
      </c>
      <c r="I1347" s="46">
        <f t="shared" ref="I1347:I1410" si="84">IFERROR(A1347-H1347,"")*1</f>
        <v>379</v>
      </c>
      <c r="J1347" s="1" t="s">
        <v>15</v>
      </c>
      <c r="K1347" s="4" t="s">
        <v>199</v>
      </c>
      <c r="L1347" s="4" t="s">
        <v>225</v>
      </c>
      <c r="M1347" s="8">
        <v>30</v>
      </c>
      <c r="N1347" s="5">
        <v>857.37</v>
      </c>
      <c r="O1347" s="5">
        <v>25721.1</v>
      </c>
      <c r="P1347">
        <f t="shared" ref="P1347:P1410" si="85">IF(M1347=G1347,1,0)</f>
        <v>1</v>
      </c>
      <c r="Q1347" s="36">
        <f t="shared" ref="Q1347:Q1410" si="86">N1347*G1347</f>
        <v>25721.1</v>
      </c>
      <c r="R1347">
        <f t="shared" ref="R1347:R1410" si="87">YEAR(H1347)</f>
        <v>2022</v>
      </c>
    </row>
    <row r="1348" spans="1:18" x14ac:dyDescent="0.2">
      <c r="A1348" s="13">
        <v>45190</v>
      </c>
      <c r="B1348" s="13">
        <v>45190</v>
      </c>
      <c r="C1348" s="25" t="s">
        <v>398</v>
      </c>
      <c r="D1348" s="20">
        <v>0</v>
      </c>
      <c r="E1348" s="28">
        <v>38581.65</v>
      </c>
      <c r="F1348" s="22" t="s">
        <v>85</v>
      </c>
      <c r="G1348" s="14">
        <v>45</v>
      </c>
      <c r="H1348" s="40">
        <v>44811</v>
      </c>
      <c r="I1348" s="46">
        <f t="shared" si="84"/>
        <v>379</v>
      </c>
      <c r="J1348" s="1" t="s">
        <v>15</v>
      </c>
      <c r="K1348" s="4" t="s">
        <v>199</v>
      </c>
      <c r="L1348" s="4" t="s">
        <v>225</v>
      </c>
      <c r="M1348" s="8">
        <v>45</v>
      </c>
      <c r="N1348" s="5">
        <v>857.37</v>
      </c>
      <c r="O1348" s="5">
        <v>38581.65</v>
      </c>
      <c r="P1348">
        <f t="shared" si="85"/>
        <v>1</v>
      </c>
      <c r="Q1348" s="36">
        <f t="shared" si="86"/>
        <v>38581.65</v>
      </c>
      <c r="R1348">
        <f t="shared" si="87"/>
        <v>2022</v>
      </c>
    </row>
    <row r="1349" spans="1:18" x14ac:dyDescent="0.2">
      <c r="A1349" s="13">
        <v>45190</v>
      </c>
      <c r="B1349" s="13">
        <v>45190</v>
      </c>
      <c r="C1349" s="25" t="s">
        <v>398</v>
      </c>
      <c r="D1349" s="20">
        <v>0</v>
      </c>
      <c r="E1349" s="28">
        <v>38581.65</v>
      </c>
      <c r="F1349" s="22" t="s">
        <v>85</v>
      </c>
      <c r="G1349" s="14">
        <v>45</v>
      </c>
      <c r="H1349" s="40">
        <v>44811</v>
      </c>
      <c r="I1349" s="46">
        <f t="shared" si="84"/>
        <v>379</v>
      </c>
      <c r="J1349" s="1" t="s">
        <v>15</v>
      </c>
      <c r="K1349" s="4" t="s">
        <v>199</v>
      </c>
      <c r="L1349" s="4" t="s">
        <v>225</v>
      </c>
      <c r="M1349" s="8">
        <v>45</v>
      </c>
      <c r="N1349" s="5">
        <v>857.37</v>
      </c>
      <c r="O1349" s="5">
        <v>38581.65</v>
      </c>
      <c r="P1349">
        <f t="shared" si="85"/>
        <v>1</v>
      </c>
      <c r="Q1349" s="36">
        <f t="shared" si="86"/>
        <v>38581.65</v>
      </c>
      <c r="R1349">
        <f t="shared" si="87"/>
        <v>2022</v>
      </c>
    </row>
    <row r="1350" spans="1:18" x14ac:dyDescent="0.2">
      <c r="A1350" s="13">
        <v>45190</v>
      </c>
      <c r="B1350" s="13">
        <v>45190</v>
      </c>
      <c r="C1350" s="25" t="s">
        <v>398</v>
      </c>
      <c r="D1350" s="20">
        <v>0</v>
      </c>
      <c r="E1350" s="28">
        <v>38581.65</v>
      </c>
      <c r="F1350" s="22" t="s">
        <v>85</v>
      </c>
      <c r="G1350" s="14">
        <v>45</v>
      </c>
      <c r="H1350" s="40">
        <v>44811</v>
      </c>
      <c r="I1350" s="46">
        <f t="shared" si="84"/>
        <v>379</v>
      </c>
      <c r="J1350" s="1" t="s">
        <v>15</v>
      </c>
      <c r="K1350" s="4" t="s">
        <v>199</v>
      </c>
      <c r="L1350" s="4" t="s">
        <v>225</v>
      </c>
      <c r="M1350" s="8">
        <v>45</v>
      </c>
      <c r="N1350" s="5">
        <v>857.37</v>
      </c>
      <c r="O1350" s="5">
        <v>38581.65</v>
      </c>
      <c r="P1350">
        <f t="shared" si="85"/>
        <v>1</v>
      </c>
      <c r="Q1350" s="36">
        <f t="shared" si="86"/>
        <v>38581.65</v>
      </c>
      <c r="R1350">
        <f t="shared" si="87"/>
        <v>2022</v>
      </c>
    </row>
    <row r="1351" spans="1:18" x14ac:dyDescent="0.2">
      <c r="A1351" s="13">
        <v>45190</v>
      </c>
      <c r="B1351" s="13">
        <v>45190</v>
      </c>
      <c r="C1351" s="25" t="s">
        <v>398</v>
      </c>
      <c r="D1351" s="20">
        <v>0</v>
      </c>
      <c r="E1351" s="28">
        <v>38581.65</v>
      </c>
      <c r="F1351" s="22" t="s">
        <v>85</v>
      </c>
      <c r="G1351" s="14">
        <v>45</v>
      </c>
      <c r="H1351" s="40">
        <v>44811</v>
      </c>
      <c r="I1351" s="46">
        <f t="shared" si="84"/>
        <v>379</v>
      </c>
      <c r="J1351" s="1" t="s">
        <v>15</v>
      </c>
      <c r="K1351" s="4" t="s">
        <v>199</v>
      </c>
      <c r="L1351" s="4" t="s">
        <v>225</v>
      </c>
      <c r="M1351" s="8">
        <v>45</v>
      </c>
      <c r="N1351" s="5">
        <v>857.37</v>
      </c>
      <c r="O1351" s="5">
        <v>38581.65</v>
      </c>
      <c r="P1351">
        <f t="shared" si="85"/>
        <v>1</v>
      </c>
      <c r="Q1351" s="36">
        <f t="shared" si="86"/>
        <v>38581.65</v>
      </c>
      <c r="R1351">
        <f t="shared" si="87"/>
        <v>2022</v>
      </c>
    </row>
    <row r="1352" spans="1:18" x14ac:dyDescent="0.2">
      <c r="A1352" s="13">
        <v>45190</v>
      </c>
      <c r="B1352" s="13">
        <v>45190</v>
      </c>
      <c r="C1352" s="25" t="s">
        <v>398</v>
      </c>
      <c r="D1352" s="20">
        <v>0</v>
      </c>
      <c r="E1352" s="28">
        <v>38581.65</v>
      </c>
      <c r="F1352" s="22" t="s">
        <v>85</v>
      </c>
      <c r="G1352" s="14">
        <v>45</v>
      </c>
      <c r="H1352" s="40">
        <v>44811</v>
      </c>
      <c r="I1352" s="46">
        <f t="shared" si="84"/>
        <v>379</v>
      </c>
      <c r="J1352" s="1" t="s">
        <v>15</v>
      </c>
      <c r="K1352" s="4" t="s">
        <v>199</v>
      </c>
      <c r="L1352" s="4" t="s">
        <v>225</v>
      </c>
      <c r="M1352" s="8">
        <v>45</v>
      </c>
      <c r="N1352" s="5">
        <v>857.37</v>
      </c>
      <c r="O1352" s="5">
        <v>38581.65</v>
      </c>
      <c r="P1352">
        <f t="shared" si="85"/>
        <v>1</v>
      </c>
      <c r="Q1352" s="36">
        <f t="shared" si="86"/>
        <v>38581.65</v>
      </c>
      <c r="R1352">
        <f t="shared" si="87"/>
        <v>2022</v>
      </c>
    </row>
    <row r="1353" spans="1:18" x14ac:dyDescent="0.2">
      <c r="A1353" s="13">
        <v>45197</v>
      </c>
      <c r="B1353" s="13">
        <v>45197</v>
      </c>
      <c r="C1353" s="25" t="s">
        <v>398</v>
      </c>
      <c r="D1353" s="20">
        <v>0</v>
      </c>
      <c r="E1353" s="28">
        <v>25721.1</v>
      </c>
      <c r="F1353" s="22" t="s">
        <v>85</v>
      </c>
      <c r="G1353" s="14">
        <v>30</v>
      </c>
      <c r="H1353" s="40">
        <v>44818</v>
      </c>
      <c r="I1353" s="46">
        <f t="shared" si="84"/>
        <v>379</v>
      </c>
      <c r="J1353" s="1" t="s">
        <v>15</v>
      </c>
      <c r="K1353" s="4" t="s">
        <v>199</v>
      </c>
      <c r="L1353" s="4" t="s">
        <v>225</v>
      </c>
      <c r="M1353" s="8">
        <v>30</v>
      </c>
      <c r="N1353" s="5">
        <v>857.37</v>
      </c>
      <c r="O1353" s="5">
        <v>25721.1</v>
      </c>
      <c r="P1353">
        <f t="shared" si="85"/>
        <v>1</v>
      </c>
      <c r="Q1353" s="36">
        <f t="shared" si="86"/>
        <v>25721.1</v>
      </c>
      <c r="R1353">
        <f t="shared" si="87"/>
        <v>2022</v>
      </c>
    </row>
    <row r="1354" spans="1:18" x14ac:dyDescent="0.2">
      <c r="A1354" s="13">
        <v>45197</v>
      </c>
      <c r="B1354" s="13">
        <v>45197</v>
      </c>
      <c r="C1354" s="25" t="s">
        <v>398</v>
      </c>
      <c r="D1354" s="20">
        <v>0</v>
      </c>
      <c r="E1354" s="28">
        <v>38581.65</v>
      </c>
      <c r="F1354" s="22" t="s">
        <v>85</v>
      </c>
      <c r="G1354" s="14">
        <v>45</v>
      </c>
      <c r="H1354" s="40">
        <v>44819</v>
      </c>
      <c r="I1354" s="46">
        <f t="shared" si="84"/>
        <v>378</v>
      </c>
      <c r="J1354" s="1" t="s">
        <v>15</v>
      </c>
      <c r="K1354" s="4" t="s">
        <v>199</v>
      </c>
      <c r="L1354" s="4" t="s">
        <v>225</v>
      </c>
      <c r="M1354" s="8">
        <v>45</v>
      </c>
      <c r="N1354" s="5">
        <v>857.37</v>
      </c>
      <c r="O1354" s="5">
        <v>38581.65</v>
      </c>
      <c r="P1354">
        <f t="shared" si="85"/>
        <v>1</v>
      </c>
      <c r="Q1354" s="36">
        <f t="shared" si="86"/>
        <v>38581.65</v>
      </c>
      <c r="R1354">
        <f t="shared" si="87"/>
        <v>2022</v>
      </c>
    </row>
    <row r="1355" spans="1:18" x14ac:dyDescent="0.2">
      <c r="A1355" s="13">
        <v>45197</v>
      </c>
      <c r="B1355" s="13">
        <v>45197</v>
      </c>
      <c r="C1355" s="25" t="s">
        <v>398</v>
      </c>
      <c r="D1355" s="20">
        <v>0</v>
      </c>
      <c r="E1355" s="28">
        <v>38581.65</v>
      </c>
      <c r="F1355" s="22" t="s">
        <v>85</v>
      </c>
      <c r="G1355" s="14">
        <v>45</v>
      </c>
      <c r="H1355" s="40">
        <v>44819</v>
      </c>
      <c r="I1355" s="46">
        <f t="shared" si="84"/>
        <v>378</v>
      </c>
      <c r="J1355" s="1" t="s">
        <v>15</v>
      </c>
      <c r="K1355" s="4" t="s">
        <v>199</v>
      </c>
      <c r="L1355" s="4" t="s">
        <v>225</v>
      </c>
      <c r="M1355" s="8">
        <v>45</v>
      </c>
      <c r="N1355" s="5">
        <v>857.37</v>
      </c>
      <c r="O1355" s="5">
        <v>38581.65</v>
      </c>
      <c r="P1355">
        <f t="shared" si="85"/>
        <v>1</v>
      </c>
      <c r="Q1355" s="36">
        <f t="shared" si="86"/>
        <v>38581.65</v>
      </c>
      <c r="R1355">
        <f t="shared" si="87"/>
        <v>2022</v>
      </c>
    </row>
    <row r="1356" spans="1:18" x14ac:dyDescent="0.2">
      <c r="A1356" s="13">
        <v>45204</v>
      </c>
      <c r="B1356" s="13">
        <v>45204</v>
      </c>
      <c r="C1356" s="25" t="s">
        <v>398</v>
      </c>
      <c r="D1356" s="20">
        <v>0</v>
      </c>
      <c r="E1356" s="28">
        <v>25721.1</v>
      </c>
      <c r="F1356" s="22" t="s">
        <v>85</v>
      </c>
      <c r="G1356" s="14">
        <v>30</v>
      </c>
      <c r="H1356" s="40">
        <v>44826</v>
      </c>
      <c r="I1356" s="46">
        <f t="shared" si="84"/>
        <v>378</v>
      </c>
      <c r="J1356" s="1" t="s">
        <v>15</v>
      </c>
      <c r="K1356" s="4" t="s">
        <v>200</v>
      </c>
      <c r="L1356" s="4" t="s">
        <v>225</v>
      </c>
      <c r="M1356" s="8">
        <v>30</v>
      </c>
      <c r="N1356" s="5">
        <v>857.37</v>
      </c>
      <c r="O1356" s="5">
        <v>25721.1</v>
      </c>
      <c r="P1356">
        <f t="shared" si="85"/>
        <v>1</v>
      </c>
      <c r="Q1356" s="36">
        <f t="shared" si="86"/>
        <v>25721.1</v>
      </c>
      <c r="R1356">
        <f t="shared" si="87"/>
        <v>2022</v>
      </c>
    </row>
    <row r="1357" spans="1:18" x14ac:dyDescent="0.2">
      <c r="A1357" s="13">
        <v>45204</v>
      </c>
      <c r="B1357" s="13">
        <v>45204</v>
      </c>
      <c r="C1357" s="25" t="s">
        <v>398</v>
      </c>
      <c r="D1357" s="20">
        <v>0</v>
      </c>
      <c r="E1357" s="28">
        <v>38581.65</v>
      </c>
      <c r="F1357" s="22" t="s">
        <v>85</v>
      </c>
      <c r="G1357" s="14">
        <v>45</v>
      </c>
      <c r="H1357" s="40">
        <v>44827</v>
      </c>
      <c r="I1357" s="46">
        <f t="shared" si="84"/>
        <v>377</v>
      </c>
      <c r="J1357" s="1" t="s">
        <v>15</v>
      </c>
      <c r="K1357" s="4" t="s">
        <v>200</v>
      </c>
      <c r="L1357" s="4" t="s">
        <v>225</v>
      </c>
      <c r="M1357" s="8">
        <v>45</v>
      </c>
      <c r="N1357" s="5">
        <v>857.37</v>
      </c>
      <c r="O1357" s="5">
        <v>38581.65</v>
      </c>
      <c r="P1357">
        <f t="shared" si="85"/>
        <v>1</v>
      </c>
      <c r="Q1357" s="36">
        <f t="shared" si="86"/>
        <v>38581.65</v>
      </c>
      <c r="R1357">
        <f t="shared" si="87"/>
        <v>2022</v>
      </c>
    </row>
    <row r="1358" spans="1:18" x14ac:dyDescent="0.2">
      <c r="A1358" s="13">
        <v>45204</v>
      </c>
      <c r="B1358" s="13">
        <v>45204</v>
      </c>
      <c r="C1358" s="25" t="s">
        <v>398</v>
      </c>
      <c r="D1358" s="20">
        <v>0</v>
      </c>
      <c r="E1358" s="28">
        <v>38581.65</v>
      </c>
      <c r="F1358" s="22" t="s">
        <v>85</v>
      </c>
      <c r="G1358" s="14">
        <v>45</v>
      </c>
      <c r="H1358" s="40">
        <v>44827</v>
      </c>
      <c r="I1358" s="46">
        <f t="shared" si="84"/>
        <v>377</v>
      </c>
      <c r="J1358" s="1" t="s">
        <v>15</v>
      </c>
      <c r="K1358" s="4" t="s">
        <v>200</v>
      </c>
      <c r="L1358" s="4" t="s">
        <v>225</v>
      </c>
      <c r="M1358" s="8">
        <v>45</v>
      </c>
      <c r="N1358" s="5">
        <v>857.37</v>
      </c>
      <c r="O1358" s="5">
        <v>38581.65</v>
      </c>
      <c r="P1358">
        <f t="shared" si="85"/>
        <v>1</v>
      </c>
      <c r="Q1358" s="36">
        <f t="shared" si="86"/>
        <v>38581.65</v>
      </c>
      <c r="R1358">
        <f t="shared" si="87"/>
        <v>2022</v>
      </c>
    </row>
    <row r="1359" spans="1:18" x14ac:dyDescent="0.2">
      <c r="A1359" s="13">
        <v>45204</v>
      </c>
      <c r="B1359" s="13">
        <v>45204</v>
      </c>
      <c r="C1359" s="25" t="s">
        <v>398</v>
      </c>
      <c r="D1359" s="20">
        <v>0</v>
      </c>
      <c r="E1359" s="28">
        <v>38581.65</v>
      </c>
      <c r="F1359" s="22" t="s">
        <v>85</v>
      </c>
      <c r="G1359" s="14">
        <v>45</v>
      </c>
      <c r="H1359" s="40">
        <v>44827</v>
      </c>
      <c r="I1359" s="46">
        <f t="shared" si="84"/>
        <v>377</v>
      </c>
      <c r="J1359" s="1" t="s">
        <v>15</v>
      </c>
      <c r="K1359" s="4" t="s">
        <v>200</v>
      </c>
      <c r="L1359" s="4" t="s">
        <v>225</v>
      </c>
      <c r="M1359" s="8">
        <v>45</v>
      </c>
      <c r="N1359" s="5">
        <v>857.37</v>
      </c>
      <c r="O1359" s="5">
        <v>38581.65</v>
      </c>
      <c r="P1359">
        <f t="shared" si="85"/>
        <v>1</v>
      </c>
      <c r="Q1359" s="36">
        <f t="shared" si="86"/>
        <v>38581.65</v>
      </c>
      <c r="R1359">
        <f t="shared" si="87"/>
        <v>2022</v>
      </c>
    </row>
    <row r="1360" spans="1:18" x14ac:dyDescent="0.2">
      <c r="A1360" s="13">
        <v>45204</v>
      </c>
      <c r="B1360" s="13">
        <v>45204</v>
      </c>
      <c r="C1360" s="25" t="s">
        <v>398</v>
      </c>
      <c r="D1360" s="20">
        <v>0</v>
      </c>
      <c r="E1360" s="28">
        <v>38581.65</v>
      </c>
      <c r="F1360" s="22" t="s">
        <v>85</v>
      </c>
      <c r="G1360" s="14">
        <v>45</v>
      </c>
      <c r="H1360" s="40">
        <v>44827</v>
      </c>
      <c r="I1360" s="46">
        <f t="shared" si="84"/>
        <v>377</v>
      </c>
      <c r="J1360" s="1" t="s">
        <v>15</v>
      </c>
      <c r="K1360" s="4" t="s">
        <v>200</v>
      </c>
      <c r="L1360" s="4" t="s">
        <v>225</v>
      </c>
      <c r="M1360" s="8">
        <v>45</v>
      </c>
      <c r="N1360" s="5">
        <v>857.37</v>
      </c>
      <c r="O1360" s="5">
        <v>38581.65</v>
      </c>
      <c r="P1360">
        <f t="shared" si="85"/>
        <v>1</v>
      </c>
      <c r="Q1360" s="36">
        <f t="shared" si="86"/>
        <v>38581.65</v>
      </c>
      <c r="R1360">
        <f t="shared" si="87"/>
        <v>2022</v>
      </c>
    </row>
    <row r="1361" spans="1:18" x14ac:dyDescent="0.2">
      <c r="A1361" s="13">
        <v>45204</v>
      </c>
      <c r="B1361" s="13">
        <v>45204</v>
      </c>
      <c r="C1361" s="25" t="s">
        <v>398</v>
      </c>
      <c r="D1361" s="20">
        <v>0</v>
      </c>
      <c r="E1361" s="28">
        <v>38581.65</v>
      </c>
      <c r="F1361" s="22" t="s">
        <v>85</v>
      </c>
      <c r="G1361" s="14">
        <v>45</v>
      </c>
      <c r="H1361" s="40">
        <v>44827</v>
      </c>
      <c r="I1361" s="46">
        <f t="shared" si="84"/>
        <v>377</v>
      </c>
      <c r="J1361" s="1" t="s">
        <v>15</v>
      </c>
      <c r="K1361" s="4" t="s">
        <v>200</v>
      </c>
      <c r="L1361" s="4" t="s">
        <v>225</v>
      </c>
      <c r="M1361" s="8">
        <v>45</v>
      </c>
      <c r="N1361" s="5">
        <v>857.37</v>
      </c>
      <c r="O1361" s="5">
        <v>38581.65</v>
      </c>
      <c r="P1361">
        <f t="shared" si="85"/>
        <v>1</v>
      </c>
      <c r="Q1361" s="36">
        <f t="shared" si="86"/>
        <v>38581.65</v>
      </c>
      <c r="R1361">
        <f t="shared" si="87"/>
        <v>2022</v>
      </c>
    </row>
    <row r="1362" spans="1:18" x14ac:dyDescent="0.2">
      <c r="A1362" s="13">
        <v>45204</v>
      </c>
      <c r="B1362" s="13">
        <v>45204</v>
      </c>
      <c r="C1362" s="25" t="s">
        <v>398</v>
      </c>
      <c r="D1362" s="20">
        <v>0</v>
      </c>
      <c r="E1362" s="28">
        <v>38581.65</v>
      </c>
      <c r="F1362" s="22" t="s">
        <v>85</v>
      </c>
      <c r="G1362" s="14">
        <v>45</v>
      </c>
      <c r="H1362" s="40">
        <v>44827</v>
      </c>
      <c r="I1362" s="46">
        <f t="shared" si="84"/>
        <v>377</v>
      </c>
      <c r="J1362" s="1" t="s">
        <v>15</v>
      </c>
      <c r="K1362" s="4" t="s">
        <v>200</v>
      </c>
      <c r="L1362" s="4" t="s">
        <v>225</v>
      </c>
      <c r="M1362" s="8">
        <v>45</v>
      </c>
      <c r="N1362" s="5">
        <v>857.37</v>
      </c>
      <c r="O1362" s="5">
        <v>38581.65</v>
      </c>
      <c r="P1362">
        <f t="shared" si="85"/>
        <v>1</v>
      </c>
      <c r="Q1362" s="36">
        <f t="shared" si="86"/>
        <v>38581.65</v>
      </c>
      <c r="R1362">
        <f t="shared" si="87"/>
        <v>2022</v>
      </c>
    </row>
    <row r="1363" spans="1:18" x14ac:dyDescent="0.2">
      <c r="A1363" s="13">
        <v>45211</v>
      </c>
      <c r="B1363" s="13">
        <v>45211</v>
      </c>
      <c r="C1363" s="25" t="s">
        <v>398</v>
      </c>
      <c r="D1363" s="20">
        <v>0</v>
      </c>
      <c r="E1363" s="28">
        <v>12860.55</v>
      </c>
      <c r="F1363" s="22" t="s">
        <v>85</v>
      </c>
      <c r="G1363" s="14">
        <v>15</v>
      </c>
      <c r="H1363" s="40">
        <v>44831</v>
      </c>
      <c r="I1363" s="46">
        <f t="shared" si="84"/>
        <v>380</v>
      </c>
      <c r="J1363" s="1" t="s">
        <v>15</v>
      </c>
      <c r="K1363" s="4" t="s">
        <v>199</v>
      </c>
      <c r="L1363" s="4" t="s">
        <v>225</v>
      </c>
      <c r="M1363" s="8">
        <v>15</v>
      </c>
      <c r="N1363" s="5">
        <v>857.37</v>
      </c>
      <c r="O1363" s="5">
        <v>12860.55</v>
      </c>
      <c r="P1363">
        <f t="shared" si="85"/>
        <v>1</v>
      </c>
      <c r="Q1363" s="36">
        <f t="shared" si="86"/>
        <v>12860.55</v>
      </c>
      <c r="R1363">
        <f t="shared" si="87"/>
        <v>2022</v>
      </c>
    </row>
    <row r="1364" spans="1:18" x14ac:dyDescent="0.2">
      <c r="A1364" s="13">
        <v>45211</v>
      </c>
      <c r="B1364" s="13">
        <v>45211</v>
      </c>
      <c r="C1364" s="25" t="s">
        <v>398</v>
      </c>
      <c r="D1364" s="20">
        <v>0</v>
      </c>
      <c r="E1364" s="28">
        <v>38581.65</v>
      </c>
      <c r="F1364" s="22" t="s">
        <v>85</v>
      </c>
      <c r="G1364" s="14">
        <v>45</v>
      </c>
      <c r="H1364" s="40">
        <v>44832</v>
      </c>
      <c r="I1364" s="46">
        <f t="shared" si="84"/>
        <v>379</v>
      </c>
      <c r="J1364" s="1" t="s">
        <v>15</v>
      </c>
      <c r="K1364" s="4" t="s">
        <v>199</v>
      </c>
      <c r="L1364" s="4" t="s">
        <v>225</v>
      </c>
      <c r="M1364" s="8">
        <v>45</v>
      </c>
      <c r="N1364" s="5">
        <v>857.37</v>
      </c>
      <c r="O1364" s="5">
        <v>38581.65</v>
      </c>
      <c r="P1364">
        <f t="shared" si="85"/>
        <v>1</v>
      </c>
      <c r="Q1364" s="36">
        <f t="shared" si="86"/>
        <v>38581.65</v>
      </c>
      <c r="R1364">
        <f t="shared" si="87"/>
        <v>2022</v>
      </c>
    </row>
    <row r="1365" spans="1:18" x14ac:dyDescent="0.2">
      <c r="A1365" s="13">
        <v>45211</v>
      </c>
      <c r="B1365" s="13">
        <v>45211</v>
      </c>
      <c r="C1365" s="25" t="s">
        <v>398</v>
      </c>
      <c r="D1365" s="20">
        <v>0</v>
      </c>
      <c r="E1365" s="28">
        <v>38581.65</v>
      </c>
      <c r="F1365" s="22" t="s">
        <v>85</v>
      </c>
      <c r="G1365" s="14">
        <v>45</v>
      </c>
      <c r="H1365" s="40">
        <v>44832</v>
      </c>
      <c r="I1365" s="46">
        <f t="shared" si="84"/>
        <v>379</v>
      </c>
      <c r="J1365" s="1" t="s">
        <v>15</v>
      </c>
      <c r="K1365" s="4" t="s">
        <v>199</v>
      </c>
      <c r="L1365" s="4" t="s">
        <v>225</v>
      </c>
      <c r="M1365" s="8">
        <v>45</v>
      </c>
      <c r="N1365" s="5">
        <v>857.37</v>
      </c>
      <c r="O1365" s="5">
        <v>38581.65</v>
      </c>
      <c r="P1365">
        <f t="shared" si="85"/>
        <v>1</v>
      </c>
      <c r="Q1365" s="36">
        <f t="shared" si="86"/>
        <v>38581.65</v>
      </c>
      <c r="R1365">
        <f t="shared" si="87"/>
        <v>2022</v>
      </c>
    </row>
    <row r="1366" spans="1:18" x14ac:dyDescent="0.2">
      <c r="A1366" s="13">
        <v>45211</v>
      </c>
      <c r="B1366" s="13">
        <v>45211</v>
      </c>
      <c r="C1366" s="25" t="s">
        <v>398</v>
      </c>
      <c r="D1366" s="20">
        <v>0</v>
      </c>
      <c r="E1366" s="28">
        <v>38581.65</v>
      </c>
      <c r="F1366" s="22" t="s">
        <v>85</v>
      </c>
      <c r="G1366" s="14">
        <v>45</v>
      </c>
      <c r="H1366" s="40">
        <v>44832</v>
      </c>
      <c r="I1366" s="46">
        <f t="shared" si="84"/>
        <v>379</v>
      </c>
      <c r="J1366" s="1" t="s">
        <v>15</v>
      </c>
      <c r="K1366" s="4" t="s">
        <v>199</v>
      </c>
      <c r="L1366" s="4" t="s">
        <v>225</v>
      </c>
      <c r="M1366" s="8">
        <v>45</v>
      </c>
      <c r="N1366" s="5">
        <v>857.37</v>
      </c>
      <c r="O1366" s="5">
        <v>38581.65</v>
      </c>
      <c r="P1366">
        <f t="shared" si="85"/>
        <v>1</v>
      </c>
      <c r="Q1366" s="36">
        <f t="shared" si="86"/>
        <v>38581.65</v>
      </c>
      <c r="R1366">
        <f t="shared" si="87"/>
        <v>2022</v>
      </c>
    </row>
    <row r="1367" spans="1:18" x14ac:dyDescent="0.2">
      <c r="A1367" s="13">
        <v>45211</v>
      </c>
      <c r="B1367" s="13">
        <v>45211</v>
      </c>
      <c r="C1367" s="25" t="s">
        <v>398</v>
      </c>
      <c r="D1367" s="20">
        <v>0</v>
      </c>
      <c r="E1367" s="28">
        <v>38581.65</v>
      </c>
      <c r="F1367" s="22" t="s">
        <v>85</v>
      </c>
      <c r="G1367" s="14">
        <v>45</v>
      </c>
      <c r="H1367" s="40">
        <v>44832</v>
      </c>
      <c r="I1367" s="46">
        <f t="shared" si="84"/>
        <v>379</v>
      </c>
      <c r="J1367" s="1" t="s">
        <v>15</v>
      </c>
      <c r="K1367" s="4" t="s">
        <v>199</v>
      </c>
      <c r="L1367" s="4" t="s">
        <v>225</v>
      </c>
      <c r="M1367" s="8">
        <v>45</v>
      </c>
      <c r="N1367" s="5">
        <v>857.37</v>
      </c>
      <c r="O1367" s="5">
        <v>38581.65</v>
      </c>
      <c r="P1367">
        <f t="shared" si="85"/>
        <v>1</v>
      </c>
      <c r="Q1367" s="36">
        <f t="shared" si="86"/>
        <v>38581.65</v>
      </c>
      <c r="R1367">
        <f t="shared" si="87"/>
        <v>2022</v>
      </c>
    </row>
    <row r="1368" spans="1:18" x14ac:dyDescent="0.2">
      <c r="A1368" s="13">
        <v>45211</v>
      </c>
      <c r="B1368" s="13">
        <v>45211</v>
      </c>
      <c r="C1368" s="25" t="s">
        <v>398</v>
      </c>
      <c r="D1368" s="20">
        <v>0</v>
      </c>
      <c r="E1368" s="28">
        <v>38581.65</v>
      </c>
      <c r="F1368" s="22" t="s">
        <v>85</v>
      </c>
      <c r="G1368" s="14">
        <v>45</v>
      </c>
      <c r="H1368" s="40">
        <v>44832</v>
      </c>
      <c r="I1368" s="46">
        <f t="shared" si="84"/>
        <v>379</v>
      </c>
      <c r="J1368" s="1" t="s">
        <v>15</v>
      </c>
      <c r="K1368" s="4" t="s">
        <v>199</v>
      </c>
      <c r="L1368" s="4" t="s">
        <v>225</v>
      </c>
      <c r="M1368" s="8">
        <v>45</v>
      </c>
      <c r="N1368" s="5">
        <v>857.37</v>
      </c>
      <c r="O1368" s="5">
        <v>38581.65</v>
      </c>
      <c r="P1368">
        <f t="shared" si="85"/>
        <v>1</v>
      </c>
      <c r="Q1368" s="36">
        <f t="shared" si="86"/>
        <v>38581.65</v>
      </c>
      <c r="R1368">
        <f t="shared" si="87"/>
        <v>2022</v>
      </c>
    </row>
    <row r="1369" spans="1:18" x14ac:dyDescent="0.2">
      <c r="A1369" s="13">
        <v>45225</v>
      </c>
      <c r="B1369" s="13">
        <v>45225</v>
      </c>
      <c r="C1369" s="25" t="s">
        <v>398</v>
      </c>
      <c r="D1369" s="20">
        <v>0</v>
      </c>
      <c r="E1369" s="28">
        <v>25721.1</v>
      </c>
      <c r="F1369" s="22" t="s">
        <v>85</v>
      </c>
      <c r="G1369" s="14">
        <v>30</v>
      </c>
      <c r="H1369" s="40">
        <v>44846</v>
      </c>
      <c r="I1369" s="46">
        <f t="shared" si="84"/>
        <v>379</v>
      </c>
      <c r="J1369" s="1" t="s">
        <v>15</v>
      </c>
      <c r="K1369" s="4" t="s">
        <v>199</v>
      </c>
      <c r="L1369" s="4" t="s">
        <v>225</v>
      </c>
      <c r="M1369" s="8">
        <v>30</v>
      </c>
      <c r="N1369" s="5">
        <v>857.37</v>
      </c>
      <c r="O1369" s="5">
        <v>25721.1</v>
      </c>
      <c r="P1369">
        <f t="shared" si="85"/>
        <v>1</v>
      </c>
      <c r="Q1369" s="36">
        <f t="shared" si="86"/>
        <v>25721.1</v>
      </c>
      <c r="R1369">
        <f t="shared" si="87"/>
        <v>2022</v>
      </c>
    </row>
    <row r="1370" spans="1:18" x14ac:dyDescent="0.2">
      <c r="A1370" s="13">
        <v>45218</v>
      </c>
      <c r="B1370" s="13">
        <v>45218</v>
      </c>
      <c r="C1370" s="25" t="s">
        <v>398</v>
      </c>
      <c r="D1370" s="20">
        <v>0</v>
      </c>
      <c r="E1370" s="28">
        <v>38581.65</v>
      </c>
      <c r="F1370" s="22" t="s">
        <v>85</v>
      </c>
      <c r="G1370" s="14">
        <v>45</v>
      </c>
      <c r="H1370" s="40">
        <v>44847</v>
      </c>
      <c r="I1370" s="46">
        <f t="shared" si="84"/>
        <v>371</v>
      </c>
      <c r="J1370" s="1" t="s">
        <v>15</v>
      </c>
      <c r="K1370" s="4" t="s">
        <v>199</v>
      </c>
      <c r="L1370" s="4" t="s">
        <v>225</v>
      </c>
      <c r="M1370" s="8">
        <v>45</v>
      </c>
      <c r="N1370" s="5">
        <v>857.37</v>
      </c>
      <c r="O1370" s="5">
        <v>38581.65</v>
      </c>
      <c r="P1370">
        <f t="shared" si="85"/>
        <v>1</v>
      </c>
      <c r="Q1370" s="36">
        <f t="shared" si="86"/>
        <v>38581.65</v>
      </c>
      <c r="R1370">
        <f t="shared" si="87"/>
        <v>2022</v>
      </c>
    </row>
    <row r="1371" spans="1:18" x14ac:dyDescent="0.2">
      <c r="A1371" s="13">
        <v>45218</v>
      </c>
      <c r="B1371" s="13">
        <v>45218</v>
      </c>
      <c r="C1371" s="25" t="s">
        <v>398</v>
      </c>
      <c r="D1371" s="20">
        <v>0</v>
      </c>
      <c r="E1371" s="28">
        <v>38581.65</v>
      </c>
      <c r="F1371" s="22" t="s">
        <v>85</v>
      </c>
      <c r="G1371" s="14">
        <v>45</v>
      </c>
      <c r="H1371" s="40">
        <v>44847</v>
      </c>
      <c r="I1371" s="46">
        <f t="shared" si="84"/>
        <v>371</v>
      </c>
      <c r="J1371" s="1" t="s">
        <v>15</v>
      </c>
      <c r="K1371" s="4" t="s">
        <v>199</v>
      </c>
      <c r="L1371" s="4" t="s">
        <v>225</v>
      </c>
      <c r="M1371" s="8">
        <v>45</v>
      </c>
      <c r="N1371" s="5">
        <v>857.37</v>
      </c>
      <c r="O1371" s="5">
        <v>38581.65</v>
      </c>
      <c r="P1371">
        <f t="shared" si="85"/>
        <v>1</v>
      </c>
      <c r="Q1371" s="36">
        <f t="shared" si="86"/>
        <v>38581.65</v>
      </c>
      <c r="R1371">
        <f t="shared" si="87"/>
        <v>2022</v>
      </c>
    </row>
    <row r="1372" spans="1:18" x14ac:dyDescent="0.2">
      <c r="A1372" s="13">
        <v>45218</v>
      </c>
      <c r="B1372" s="13">
        <v>45218</v>
      </c>
      <c r="C1372" s="25" t="s">
        <v>398</v>
      </c>
      <c r="D1372" s="20">
        <v>0</v>
      </c>
      <c r="E1372" s="28">
        <v>38581.65</v>
      </c>
      <c r="F1372" s="22" t="s">
        <v>85</v>
      </c>
      <c r="G1372" s="14">
        <v>45</v>
      </c>
      <c r="H1372" s="40">
        <v>44847</v>
      </c>
      <c r="I1372" s="46">
        <f t="shared" si="84"/>
        <v>371</v>
      </c>
      <c r="J1372" s="1" t="s">
        <v>15</v>
      </c>
      <c r="K1372" s="4" t="s">
        <v>199</v>
      </c>
      <c r="L1372" s="4" t="s">
        <v>225</v>
      </c>
      <c r="M1372" s="8">
        <v>45</v>
      </c>
      <c r="N1372" s="5">
        <v>857.37</v>
      </c>
      <c r="O1372" s="5">
        <v>38581.65</v>
      </c>
      <c r="P1372">
        <f t="shared" si="85"/>
        <v>1</v>
      </c>
      <c r="Q1372" s="36">
        <f t="shared" si="86"/>
        <v>38581.65</v>
      </c>
      <c r="R1372">
        <f t="shared" si="87"/>
        <v>2022</v>
      </c>
    </row>
    <row r="1373" spans="1:18" x14ac:dyDescent="0.2">
      <c r="A1373" s="13">
        <v>45218</v>
      </c>
      <c r="B1373" s="13">
        <v>45218</v>
      </c>
      <c r="C1373" s="25" t="s">
        <v>398</v>
      </c>
      <c r="D1373" s="20">
        <v>0</v>
      </c>
      <c r="E1373" s="28">
        <v>38581.65</v>
      </c>
      <c r="F1373" s="22" t="s">
        <v>85</v>
      </c>
      <c r="G1373" s="14">
        <v>45</v>
      </c>
      <c r="H1373" s="40">
        <v>44847</v>
      </c>
      <c r="I1373" s="46">
        <f t="shared" si="84"/>
        <v>371</v>
      </c>
      <c r="J1373" s="1" t="s">
        <v>15</v>
      </c>
      <c r="K1373" s="4" t="s">
        <v>199</v>
      </c>
      <c r="L1373" s="4" t="s">
        <v>225</v>
      </c>
      <c r="M1373" s="8">
        <v>45</v>
      </c>
      <c r="N1373" s="5">
        <v>857.37</v>
      </c>
      <c r="O1373" s="5">
        <v>38581.65</v>
      </c>
      <c r="P1373">
        <f t="shared" si="85"/>
        <v>1</v>
      </c>
      <c r="Q1373" s="36">
        <f t="shared" si="86"/>
        <v>38581.65</v>
      </c>
      <c r="R1373">
        <f t="shared" si="87"/>
        <v>2022</v>
      </c>
    </row>
    <row r="1374" spans="1:18" x14ac:dyDescent="0.2">
      <c r="A1374" s="13">
        <v>45225</v>
      </c>
      <c r="B1374" s="13">
        <v>45225</v>
      </c>
      <c r="C1374" s="25" t="s">
        <v>398</v>
      </c>
      <c r="D1374" s="20">
        <v>0</v>
      </c>
      <c r="E1374" s="28">
        <v>38581.65</v>
      </c>
      <c r="F1374" s="22" t="s">
        <v>85</v>
      </c>
      <c r="G1374" s="14">
        <v>45</v>
      </c>
      <c r="H1374" s="40">
        <v>44847</v>
      </c>
      <c r="I1374" s="46">
        <f t="shared" si="84"/>
        <v>378</v>
      </c>
      <c r="J1374" s="1" t="s">
        <v>15</v>
      </c>
      <c r="K1374" s="4" t="s">
        <v>199</v>
      </c>
      <c r="L1374" s="4" t="s">
        <v>225</v>
      </c>
      <c r="M1374" s="8">
        <v>45</v>
      </c>
      <c r="N1374" s="5">
        <v>857.37</v>
      </c>
      <c r="O1374" s="5">
        <v>38581.65</v>
      </c>
      <c r="P1374">
        <f t="shared" si="85"/>
        <v>1</v>
      </c>
      <c r="Q1374" s="36">
        <f t="shared" si="86"/>
        <v>38581.65</v>
      </c>
      <c r="R1374">
        <f t="shared" si="87"/>
        <v>2022</v>
      </c>
    </row>
    <row r="1375" spans="1:18" x14ac:dyDescent="0.2">
      <c r="A1375" s="13">
        <v>45225</v>
      </c>
      <c r="B1375" s="13">
        <v>45225</v>
      </c>
      <c r="C1375" s="25" t="s">
        <v>398</v>
      </c>
      <c r="D1375" s="20">
        <v>0</v>
      </c>
      <c r="E1375" s="28">
        <v>38581.65</v>
      </c>
      <c r="F1375" s="22" t="s">
        <v>85</v>
      </c>
      <c r="G1375" s="14">
        <v>45</v>
      </c>
      <c r="H1375" s="40">
        <v>44847</v>
      </c>
      <c r="I1375" s="46">
        <f t="shared" si="84"/>
        <v>378</v>
      </c>
      <c r="J1375" s="1" t="s">
        <v>15</v>
      </c>
      <c r="K1375" s="4" t="s">
        <v>199</v>
      </c>
      <c r="L1375" s="4" t="s">
        <v>225</v>
      </c>
      <c r="M1375" s="8">
        <v>45</v>
      </c>
      <c r="N1375" s="5">
        <v>857.37</v>
      </c>
      <c r="O1375" s="5">
        <v>38581.65</v>
      </c>
      <c r="P1375">
        <f t="shared" si="85"/>
        <v>1</v>
      </c>
      <c r="Q1375" s="36">
        <f t="shared" si="86"/>
        <v>38581.65</v>
      </c>
      <c r="R1375">
        <f t="shared" si="87"/>
        <v>2022</v>
      </c>
    </row>
    <row r="1376" spans="1:18" x14ac:dyDescent="0.2">
      <c r="A1376" s="13">
        <v>45225</v>
      </c>
      <c r="B1376" s="13">
        <v>45225</v>
      </c>
      <c r="C1376" s="25" t="s">
        <v>398</v>
      </c>
      <c r="D1376" s="20">
        <v>0</v>
      </c>
      <c r="E1376" s="28">
        <v>38581.65</v>
      </c>
      <c r="F1376" s="22" t="s">
        <v>85</v>
      </c>
      <c r="G1376" s="14">
        <v>45</v>
      </c>
      <c r="H1376" s="40">
        <v>44847</v>
      </c>
      <c r="I1376" s="46">
        <f t="shared" si="84"/>
        <v>378</v>
      </c>
      <c r="J1376" s="1" t="s">
        <v>15</v>
      </c>
      <c r="K1376" s="4" t="s">
        <v>199</v>
      </c>
      <c r="L1376" s="4" t="s">
        <v>225</v>
      </c>
      <c r="M1376" s="8">
        <v>45</v>
      </c>
      <c r="N1376" s="5">
        <v>857.37</v>
      </c>
      <c r="O1376" s="5">
        <v>38581.65</v>
      </c>
      <c r="P1376">
        <f t="shared" si="85"/>
        <v>1</v>
      </c>
      <c r="Q1376" s="36">
        <f t="shared" si="86"/>
        <v>38581.65</v>
      </c>
      <c r="R1376">
        <f t="shared" si="87"/>
        <v>2022</v>
      </c>
    </row>
    <row r="1377" spans="1:18" x14ac:dyDescent="0.2">
      <c r="A1377" s="13">
        <v>45225</v>
      </c>
      <c r="B1377" s="13">
        <v>45225</v>
      </c>
      <c r="C1377" s="25" t="s">
        <v>398</v>
      </c>
      <c r="D1377" s="20">
        <v>0</v>
      </c>
      <c r="E1377" s="28">
        <v>38581.65</v>
      </c>
      <c r="F1377" s="22" t="s">
        <v>85</v>
      </c>
      <c r="G1377" s="14">
        <v>45</v>
      </c>
      <c r="H1377" s="40">
        <v>44847</v>
      </c>
      <c r="I1377" s="46">
        <f t="shared" si="84"/>
        <v>378</v>
      </c>
      <c r="J1377" s="1" t="s">
        <v>15</v>
      </c>
      <c r="K1377" s="4" t="s">
        <v>199</v>
      </c>
      <c r="L1377" s="4" t="s">
        <v>225</v>
      </c>
      <c r="M1377" s="8">
        <v>45</v>
      </c>
      <c r="N1377" s="5">
        <v>857.37</v>
      </c>
      <c r="O1377" s="5">
        <v>38581.65</v>
      </c>
      <c r="P1377">
        <f t="shared" si="85"/>
        <v>1</v>
      </c>
      <c r="Q1377" s="36">
        <f t="shared" si="86"/>
        <v>38581.65</v>
      </c>
      <c r="R1377">
        <f t="shared" si="87"/>
        <v>2022</v>
      </c>
    </row>
    <row r="1378" spans="1:18" x14ac:dyDescent="0.2">
      <c r="A1378" s="13">
        <v>45225</v>
      </c>
      <c r="B1378" s="13">
        <v>45225</v>
      </c>
      <c r="C1378" s="25" t="s">
        <v>398</v>
      </c>
      <c r="D1378" s="20">
        <v>0</v>
      </c>
      <c r="E1378" s="28">
        <v>38581.65</v>
      </c>
      <c r="F1378" s="22" t="s">
        <v>85</v>
      </c>
      <c r="G1378" s="14">
        <v>45</v>
      </c>
      <c r="H1378" s="40">
        <v>44847</v>
      </c>
      <c r="I1378" s="46">
        <f t="shared" si="84"/>
        <v>378</v>
      </c>
      <c r="J1378" s="1" t="s">
        <v>15</v>
      </c>
      <c r="K1378" s="4" t="s">
        <v>199</v>
      </c>
      <c r="L1378" s="4" t="s">
        <v>225</v>
      </c>
      <c r="M1378" s="8">
        <v>45</v>
      </c>
      <c r="N1378" s="5">
        <v>857.37</v>
      </c>
      <c r="O1378" s="5">
        <v>38581.65</v>
      </c>
      <c r="P1378">
        <f t="shared" si="85"/>
        <v>1</v>
      </c>
      <c r="Q1378" s="36">
        <f t="shared" si="86"/>
        <v>38581.65</v>
      </c>
      <c r="R1378">
        <f t="shared" si="87"/>
        <v>2022</v>
      </c>
    </row>
    <row r="1379" spans="1:18" x14ac:dyDescent="0.2">
      <c r="A1379" s="13">
        <v>45225</v>
      </c>
      <c r="B1379" s="13">
        <v>45225</v>
      </c>
      <c r="C1379" s="25" t="s">
        <v>398</v>
      </c>
      <c r="D1379" s="20">
        <v>0</v>
      </c>
      <c r="E1379" s="28">
        <v>38581.65</v>
      </c>
      <c r="F1379" s="22" t="s">
        <v>85</v>
      </c>
      <c r="G1379" s="14">
        <v>45</v>
      </c>
      <c r="H1379" s="40">
        <v>44847</v>
      </c>
      <c r="I1379" s="46">
        <f t="shared" si="84"/>
        <v>378</v>
      </c>
      <c r="J1379" s="1" t="s">
        <v>15</v>
      </c>
      <c r="K1379" s="4" t="s">
        <v>199</v>
      </c>
      <c r="L1379" s="4" t="s">
        <v>225</v>
      </c>
      <c r="M1379" s="8">
        <v>45</v>
      </c>
      <c r="N1379" s="5">
        <v>857.37</v>
      </c>
      <c r="O1379" s="5">
        <v>38581.65</v>
      </c>
      <c r="P1379">
        <f t="shared" si="85"/>
        <v>1</v>
      </c>
      <c r="Q1379" s="36">
        <f t="shared" si="86"/>
        <v>38581.65</v>
      </c>
      <c r="R1379">
        <f t="shared" si="87"/>
        <v>2022</v>
      </c>
    </row>
    <row r="1380" spans="1:18" x14ac:dyDescent="0.2">
      <c r="A1380" s="13">
        <v>45225</v>
      </c>
      <c r="B1380" s="13">
        <v>45225</v>
      </c>
      <c r="C1380" s="25" t="s">
        <v>398</v>
      </c>
      <c r="D1380" s="20">
        <v>0</v>
      </c>
      <c r="E1380" s="28">
        <v>38581.65</v>
      </c>
      <c r="F1380" s="22" t="s">
        <v>85</v>
      </c>
      <c r="G1380" s="14">
        <v>45</v>
      </c>
      <c r="H1380" s="40">
        <v>44847</v>
      </c>
      <c r="I1380" s="46">
        <f t="shared" si="84"/>
        <v>378</v>
      </c>
      <c r="J1380" s="1" t="s">
        <v>15</v>
      </c>
      <c r="K1380" s="4" t="s">
        <v>199</v>
      </c>
      <c r="L1380" s="4" t="s">
        <v>225</v>
      </c>
      <c r="M1380" s="8">
        <v>45</v>
      </c>
      <c r="N1380" s="5">
        <v>857.37</v>
      </c>
      <c r="O1380" s="5">
        <v>38581.65</v>
      </c>
      <c r="P1380">
        <f t="shared" si="85"/>
        <v>1</v>
      </c>
      <c r="Q1380" s="36">
        <f t="shared" si="86"/>
        <v>38581.65</v>
      </c>
      <c r="R1380">
        <f t="shared" si="87"/>
        <v>2022</v>
      </c>
    </row>
    <row r="1381" spans="1:18" x14ac:dyDescent="0.2">
      <c r="A1381" s="13">
        <v>45288</v>
      </c>
      <c r="B1381" s="13">
        <v>45288</v>
      </c>
      <c r="C1381" s="25" t="s">
        <v>398</v>
      </c>
      <c r="D1381" s="20">
        <v>0</v>
      </c>
      <c r="E1381" s="28">
        <v>38581.65</v>
      </c>
      <c r="F1381" s="22" t="s">
        <v>85</v>
      </c>
      <c r="G1381" s="14">
        <v>45</v>
      </c>
      <c r="H1381" s="40">
        <v>44910</v>
      </c>
      <c r="I1381" s="46">
        <f t="shared" si="84"/>
        <v>378</v>
      </c>
      <c r="J1381" s="1" t="s">
        <v>15</v>
      </c>
      <c r="K1381" s="4" t="s">
        <v>200</v>
      </c>
      <c r="L1381" s="4" t="s">
        <v>225</v>
      </c>
      <c r="M1381" s="8">
        <v>45</v>
      </c>
      <c r="N1381" s="5">
        <v>857.37</v>
      </c>
      <c r="O1381" s="5">
        <v>38581.65</v>
      </c>
      <c r="P1381">
        <f t="shared" si="85"/>
        <v>1</v>
      </c>
      <c r="Q1381" s="36">
        <f t="shared" si="86"/>
        <v>38581.65</v>
      </c>
      <c r="R1381">
        <f t="shared" si="87"/>
        <v>2022</v>
      </c>
    </row>
    <row r="1382" spans="1:18" x14ac:dyDescent="0.2">
      <c r="A1382" s="13">
        <v>45288</v>
      </c>
      <c r="B1382" s="13">
        <v>45288</v>
      </c>
      <c r="C1382" s="25" t="s">
        <v>398</v>
      </c>
      <c r="D1382" s="20">
        <v>0</v>
      </c>
      <c r="E1382" s="28">
        <v>38581.65</v>
      </c>
      <c r="F1382" s="22" t="s">
        <v>85</v>
      </c>
      <c r="G1382" s="14">
        <v>45</v>
      </c>
      <c r="H1382" s="40">
        <v>44910</v>
      </c>
      <c r="I1382" s="46">
        <f t="shared" si="84"/>
        <v>378</v>
      </c>
      <c r="J1382" s="1" t="s">
        <v>15</v>
      </c>
      <c r="K1382" s="4" t="s">
        <v>200</v>
      </c>
      <c r="L1382" s="4" t="s">
        <v>225</v>
      </c>
      <c r="M1382" s="8">
        <v>45</v>
      </c>
      <c r="N1382" s="5">
        <v>857.37</v>
      </c>
      <c r="O1382" s="5">
        <v>38581.65</v>
      </c>
      <c r="P1382">
        <f t="shared" si="85"/>
        <v>1</v>
      </c>
      <c r="Q1382" s="36">
        <f t="shared" si="86"/>
        <v>38581.65</v>
      </c>
      <c r="R1382">
        <f t="shared" si="87"/>
        <v>2022</v>
      </c>
    </row>
    <row r="1383" spans="1:18" x14ac:dyDescent="0.2">
      <c r="A1383" s="13">
        <v>45288</v>
      </c>
      <c r="B1383" s="13">
        <v>45288</v>
      </c>
      <c r="C1383" s="25" t="s">
        <v>398</v>
      </c>
      <c r="D1383" s="20">
        <v>0</v>
      </c>
      <c r="E1383" s="28">
        <v>25721.1</v>
      </c>
      <c r="F1383" s="22" t="s">
        <v>85</v>
      </c>
      <c r="G1383" s="14">
        <v>30</v>
      </c>
      <c r="H1383" s="40">
        <v>44914</v>
      </c>
      <c r="I1383" s="46">
        <f t="shared" si="84"/>
        <v>374</v>
      </c>
      <c r="J1383" s="1" t="s">
        <v>15</v>
      </c>
      <c r="K1383" s="4" t="s">
        <v>199</v>
      </c>
      <c r="L1383" s="4" t="s">
        <v>225</v>
      </c>
      <c r="M1383" s="8">
        <v>30</v>
      </c>
      <c r="N1383" s="5">
        <v>857.37</v>
      </c>
      <c r="O1383" s="5">
        <v>25721.1</v>
      </c>
      <c r="P1383">
        <f t="shared" si="85"/>
        <v>1</v>
      </c>
      <c r="Q1383" s="36">
        <f t="shared" si="86"/>
        <v>25721.1</v>
      </c>
      <c r="R1383">
        <f t="shared" si="87"/>
        <v>2022</v>
      </c>
    </row>
    <row r="1384" spans="1:18" x14ac:dyDescent="0.2">
      <c r="A1384" s="13">
        <v>45274</v>
      </c>
      <c r="B1384" s="13">
        <v>45274</v>
      </c>
      <c r="C1384" s="25" t="s">
        <v>398</v>
      </c>
      <c r="D1384" s="20">
        <v>0</v>
      </c>
      <c r="E1384" s="28">
        <v>38581.65</v>
      </c>
      <c r="F1384" s="22" t="s">
        <v>85</v>
      </c>
      <c r="G1384" s="14">
        <v>45</v>
      </c>
      <c r="H1384" s="40">
        <v>44915</v>
      </c>
      <c r="I1384" s="46">
        <f t="shared" si="84"/>
        <v>359</v>
      </c>
      <c r="J1384" s="1" t="s">
        <v>15</v>
      </c>
      <c r="K1384" s="4" t="s">
        <v>200</v>
      </c>
      <c r="L1384" s="4" t="s">
        <v>225</v>
      </c>
      <c r="M1384" s="8">
        <v>45</v>
      </c>
      <c r="N1384" s="5">
        <v>857.37</v>
      </c>
      <c r="O1384" s="5">
        <v>38581.65</v>
      </c>
      <c r="P1384">
        <f t="shared" si="85"/>
        <v>1</v>
      </c>
      <c r="Q1384" s="36">
        <f t="shared" si="86"/>
        <v>38581.65</v>
      </c>
      <c r="R1384">
        <f t="shared" si="87"/>
        <v>2022</v>
      </c>
    </row>
    <row r="1385" spans="1:18" x14ac:dyDescent="0.2">
      <c r="A1385" s="13">
        <v>45274</v>
      </c>
      <c r="B1385" s="13">
        <v>45274</v>
      </c>
      <c r="C1385" s="25" t="s">
        <v>398</v>
      </c>
      <c r="D1385" s="20">
        <v>0</v>
      </c>
      <c r="E1385" s="28">
        <v>38581.65</v>
      </c>
      <c r="F1385" s="22" t="s">
        <v>85</v>
      </c>
      <c r="G1385" s="14">
        <v>45</v>
      </c>
      <c r="H1385" s="40">
        <v>44915</v>
      </c>
      <c r="I1385" s="46">
        <f t="shared" si="84"/>
        <v>359</v>
      </c>
      <c r="J1385" s="1" t="s">
        <v>15</v>
      </c>
      <c r="K1385" s="4" t="s">
        <v>200</v>
      </c>
      <c r="L1385" s="4" t="s">
        <v>225</v>
      </c>
      <c r="M1385" s="8">
        <v>45</v>
      </c>
      <c r="N1385" s="5">
        <v>857.37</v>
      </c>
      <c r="O1385" s="5">
        <v>38581.65</v>
      </c>
      <c r="P1385">
        <f t="shared" si="85"/>
        <v>1</v>
      </c>
      <c r="Q1385" s="36">
        <f t="shared" si="86"/>
        <v>38581.65</v>
      </c>
      <c r="R1385">
        <f t="shared" si="87"/>
        <v>2022</v>
      </c>
    </row>
    <row r="1386" spans="1:18" x14ac:dyDescent="0.2">
      <c r="A1386" s="13">
        <v>45274</v>
      </c>
      <c r="B1386" s="13">
        <v>45274</v>
      </c>
      <c r="C1386" s="25" t="s">
        <v>398</v>
      </c>
      <c r="D1386" s="20">
        <v>0</v>
      </c>
      <c r="E1386" s="28">
        <v>38581.65</v>
      </c>
      <c r="F1386" s="22" t="s">
        <v>85</v>
      </c>
      <c r="G1386" s="14">
        <v>45</v>
      </c>
      <c r="H1386" s="40">
        <v>44915</v>
      </c>
      <c r="I1386" s="46">
        <f t="shared" si="84"/>
        <v>359</v>
      </c>
      <c r="J1386" s="1" t="s">
        <v>15</v>
      </c>
      <c r="K1386" s="4" t="s">
        <v>200</v>
      </c>
      <c r="L1386" s="4" t="s">
        <v>225</v>
      </c>
      <c r="M1386" s="8">
        <v>45</v>
      </c>
      <c r="N1386" s="5">
        <v>857.37</v>
      </c>
      <c r="O1386" s="5">
        <v>38581.65</v>
      </c>
      <c r="P1386">
        <f t="shared" si="85"/>
        <v>1</v>
      </c>
      <c r="Q1386" s="36">
        <f t="shared" si="86"/>
        <v>38581.65</v>
      </c>
      <c r="R1386">
        <f t="shared" si="87"/>
        <v>2022</v>
      </c>
    </row>
    <row r="1387" spans="1:18" x14ac:dyDescent="0.2">
      <c r="A1387" s="13">
        <v>45281</v>
      </c>
      <c r="B1387" s="13">
        <v>45281</v>
      </c>
      <c r="C1387" s="25" t="s">
        <v>398</v>
      </c>
      <c r="D1387" s="20">
        <v>0</v>
      </c>
      <c r="E1387" s="28">
        <v>38581.65</v>
      </c>
      <c r="F1387" s="22" t="s">
        <v>85</v>
      </c>
      <c r="G1387" s="14">
        <v>45</v>
      </c>
      <c r="H1387" s="40">
        <v>44915</v>
      </c>
      <c r="I1387" s="46">
        <f t="shared" si="84"/>
        <v>366</v>
      </c>
      <c r="J1387" s="1" t="s">
        <v>15</v>
      </c>
      <c r="K1387" s="4" t="s">
        <v>200</v>
      </c>
      <c r="L1387" s="4" t="s">
        <v>225</v>
      </c>
      <c r="M1387" s="8">
        <v>45</v>
      </c>
      <c r="N1387" s="5">
        <v>857.37</v>
      </c>
      <c r="O1387" s="5">
        <v>38581.65</v>
      </c>
      <c r="P1387">
        <f t="shared" si="85"/>
        <v>1</v>
      </c>
      <c r="Q1387" s="36">
        <f t="shared" si="86"/>
        <v>38581.65</v>
      </c>
      <c r="R1387">
        <f t="shared" si="87"/>
        <v>2022</v>
      </c>
    </row>
    <row r="1388" spans="1:18" x14ac:dyDescent="0.2">
      <c r="A1388" s="13">
        <v>45281</v>
      </c>
      <c r="B1388" s="13">
        <v>45281</v>
      </c>
      <c r="C1388" s="25" t="s">
        <v>398</v>
      </c>
      <c r="D1388" s="20">
        <v>0</v>
      </c>
      <c r="E1388" s="28">
        <v>38581.65</v>
      </c>
      <c r="F1388" s="22" t="s">
        <v>85</v>
      </c>
      <c r="G1388" s="14">
        <v>45</v>
      </c>
      <c r="H1388" s="40">
        <v>44915</v>
      </c>
      <c r="I1388" s="46">
        <f t="shared" si="84"/>
        <v>366</v>
      </c>
      <c r="J1388" s="1" t="s">
        <v>15</v>
      </c>
      <c r="K1388" s="4" t="s">
        <v>200</v>
      </c>
      <c r="L1388" s="4" t="s">
        <v>225</v>
      </c>
      <c r="M1388" s="8">
        <v>45</v>
      </c>
      <c r="N1388" s="5">
        <v>857.37</v>
      </c>
      <c r="O1388" s="5">
        <v>38581.65</v>
      </c>
      <c r="P1388">
        <f t="shared" si="85"/>
        <v>1</v>
      </c>
      <c r="Q1388" s="36">
        <f t="shared" si="86"/>
        <v>38581.65</v>
      </c>
      <c r="R1388">
        <f t="shared" si="87"/>
        <v>2022</v>
      </c>
    </row>
    <row r="1389" spans="1:18" x14ac:dyDescent="0.2">
      <c r="A1389" s="13">
        <v>45281</v>
      </c>
      <c r="B1389" s="13">
        <v>45281</v>
      </c>
      <c r="C1389" s="25" t="s">
        <v>398</v>
      </c>
      <c r="D1389" s="20">
        <v>0</v>
      </c>
      <c r="E1389" s="28">
        <v>38581.65</v>
      </c>
      <c r="F1389" s="22" t="s">
        <v>85</v>
      </c>
      <c r="G1389" s="14">
        <v>45</v>
      </c>
      <c r="H1389" s="40">
        <v>44915</v>
      </c>
      <c r="I1389" s="46">
        <f t="shared" si="84"/>
        <v>366</v>
      </c>
      <c r="J1389" s="1" t="s">
        <v>15</v>
      </c>
      <c r="K1389" s="4" t="s">
        <v>200</v>
      </c>
      <c r="L1389" s="4" t="s">
        <v>225</v>
      </c>
      <c r="M1389" s="8">
        <v>45</v>
      </c>
      <c r="N1389" s="5">
        <v>857.37</v>
      </c>
      <c r="O1389" s="5">
        <v>38581.65</v>
      </c>
      <c r="P1389">
        <f t="shared" si="85"/>
        <v>1</v>
      </c>
      <c r="Q1389" s="36">
        <f t="shared" si="86"/>
        <v>38581.65</v>
      </c>
      <c r="R1389">
        <f t="shared" si="87"/>
        <v>2022</v>
      </c>
    </row>
    <row r="1390" spans="1:18" x14ac:dyDescent="0.2">
      <c r="A1390" s="13">
        <v>45281</v>
      </c>
      <c r="B1390" s="13">
        <v>45281</v>
      </c>
      <c r="C1390" s="25" t="s">
        <v>398</v>
      </c>
      <c r="D1390" s="20">
        <v>0</v>
      </c>
      <c r="E1390" s="28">
        <v>38581.65</v>
      </c>
      <c r="F1390" s="22" t="s">
        <v>85</v>
      </c>
      <c r="G1390" s="14">
        <v>45</v>
      </c>
      <c r="H1390" s="40">
        <v>44915</v>
      </c>
      <c r="I1390" s="46">
        <f t="shared" si="84"/>
        <v>366</v>
      </c>
      <c r="J1390" s="1" t="s">
        <v>15</v>
      </c>
      <c r="K1390" s="4" t="s">
        <v>200</v>
      </c>
      <c r="L1390" s="4" t="s">
        <v>225</v>
      </c>
      <c r="M1390" s="8">
        <v>45</v>
      </c>
      <c r="N1390" s="5">
        <v>857.37</v>
      </c>
      <c r="O1390" s="5">
        <v>38581.65</v>
      </c>
      <c r="P1390">
        <f t="shared" si="85"/>
        <v>1</v>
      </c>
      <c r="Q1390" s="36">
        <f t="shared" si="86"/>
        <v>38581.65</v>
      </c>
      <c r="R1390">
        <f t="shared" si="87"/>
        <v>2022</v>
      </c>
    </row>
    <row r="1391" spans="1:18" x14ac:dyDescent="0.2">
      <c r="A1391" s="13">
        <v>45281</v>
      </c>
      <c r="B1391" s="13">
        <v>45281</v>
      </c>
      <c r="C1391" s="25" t="s">
        <v>398</v>
      </c>
      <c r="D1391" s="20">
        <v>0</v>
      </c>
      <c r="E1391" s="28">
        <v>38581.65</v>
      </c>
      <c r="F1391" s="22" t="s">
        <v>85</v>
      </c>
      <c r="G1391" s="14">
        <v>45</v>
      </c>
      <c r="H1391" s="40">
        <v>44915</v>
      </c>
      <c r="I1391" s="46">
        <f t="shared" si="84"/>
        <v>366</v>
      </c>
      <c r="J1391" s="1" t="s">
        <v>15</v>
      </c>
      <c r="K1391" s="4" t="s">
        <v>200</v>
      </c>
      <c r="L1391" s="4" t="s">
        <v>225</v>
      </c>
      <c r="M1391" s="8">
        <v>45</v>
      </c>
      <c r="N1391" s="5">
        <v>857.37</v>
      </c>
      <c r="O1391" s="5">
        <v>38581.65</v>
      </c>
      <c r="P1391">
        <f t="shared" si="85"/>
        <v>1</v>
      </c>
      <c r="Q1391" s="36">
        <f t="shared" si="86"/>
        <v>38581.65</v>
      </c>
      <c r="R1391">
        <f t="shared" si="87"/>
        <v>2022</v>
      </c>
    </row>
    <row r="1392" spans="1:18" x14ac:dyDescent="0.2">
      <c r="A1392" s="13">
        <v>45281</v>
      </c>
      <c r="B1392" s="13">
        <v>45281</v>
      </c>
      <c r="C1392" s="25" t="s">
        <v>398</v>
      </c>
      <c r="D1392" s="20">
        <v>0</v>
      </c>
      <c r="E1392" s="28">
        <v>38581.65</v>
      </c>
      <c r="F1392" s="22" t="s">
        <v>85</v>
      </c>
      <c r="G1392" s="14">
        <v>45</v>
      </c>
      <c r="H1392" s="40">
        <v>44915</v>
      </c>
      <c r="I1392" s="46">
        <f t="shared" si="84"/>
        <v>366</v>
      </c>
      <c r="J1392" s="1" t="s">
        <v>15</v>
      </c>
      <c r="K1392" s="4" t="s">
        <v>200</v>
      </c>
      <c r="L1392" s="4" t="s">
        <v>225</v>
      </c>
      <c r="M1392" s="8">
        <v>45</v>
      </c>
      <c r="N1392" s="5">
        <v>857.37</v>
      </c>
      <c r="O1392" s="5">
        <v>38581.65</v>
      </c>
      <c r="P1392">
        <f t="shared" si="85"/>
        <v>1</v>
      </c>
      <c r="Q1392" s="36">
        <f t="shared" si="86"/>
        <v>38581.65</v>
      </c>
      <c r="R1392">
        <f t="shared" si="87"/>
        <v>2022</v>
      </c>
    </row>
    <row r="1393" spans="1:18" x14ac:dyDescent="0.2">
      <c r="A1393" s="13">
        <v>45281</v>
      </c>
      <c r="B1393" s="13">
        <v>45281</v>
      </c>
      <c r="C1393" s="25" t="s">
        <v>398</v>
      </c>
      <c r="D1393" s="20">
        <v>0</v>
      </c>
      <c r="E1393" s="28">
        <v>38581.65</v>
      </c>
      <c r="F1393" s="22" t="s">
        <v>85</v>
      </c>
      <c r="G1393" s="14">
        <v>45</v>
      </c>
      <c r="H1393" s="40">
        <v>44915</v>
      </c>
      <c r="I1393" s="46">
        <f t="shared" si="84"/>
        <v>366</v>
      </c>
      <c r="J1393" s="1" t="s">
        <v>15</v>
      </c>
      <c r="K1393" s="4" t="s">
        <v>200</v>
      </c>
      <c r="L1393" s="4" t="s">
        <v>225</v>
      </c>
      <c r="M1393" s="8">
        <v>45</v>
      </c>
      <c r="N1393" s="5">
        <v>857.37</v>
      </c>
      <c r="O1393" s="5">
        <v>38581.65</v>
      </c>
      <c r="P1393">
        <f t="shared" si="85"/>
        <v>1</v>
      </c>
      <c r="Q1393" s="36">
        <f t="shared" si="86"/>
        <v>38581.65</v>
      </c>
      <c r="R1393">
        <f t="shared" si="87"/>
        <v>2022</v>
      </c>
    </row>
    <row r="1394" spans="1:18" x14ac:dyDescent="0.2">
      <c r="A1394" s="13">
        <v>45288</v>
      </c>
      <c r="B1394" s="13">
        <v>45288</v>
      </c>
      <c r="C1394" s="25" t="s">
        <v>398</v>
      </c>
      <c r="D1394" s="20">
        <v>0</v>
      </c>
      <c r="E1394" s="28">
        <v>38581.65</v>
      </c>
      <c r="F1394" s="22" t="s">
        <v>85</v>
      </c>
      <c r="G1394" s="14">
        <v>45</v>
      </c>
      <c r="H1394" s="40">
        <v>44915</v>
      </c>
      <c r="I1394" s="46">
        <f t="shared" si="84"/>
        <v>373</v>
      </c>
      <c r="J1394" s="1" t="s">
        <v>15</v>
      </c>
      <c r="K1394" s="4" t="s">
        <v>199</v>
      </c>
      <c r="L1394" s="4" t="s">
        <v>225</v>
      </c>
      <c r="M1394" s="8">
        <v>45</v>
      </c>
      <c r="N1394" s="5">
        <v>857.37</v>
      </c>
      <c r="O1394" s="5">
        <v>38581.65</v>
      </c>
      <c r="P1394">
        <f t="shared" si="85"/>
        <v>1</v>
      </c>
      <c r="Q1394" s="36">
        <f t="shared" si="86"/>
        <v>38581.65</v>
      </c>
      <c r="R1394">
        <f t="shared" si="87"/>
        <v>2022</v>
      </c>
    </row>
    <row r="1395" spans="1:18" x14ac:dyDescent="0.2">
      <c r="A1395" s="13">
        <v>45288</v>
      </c>
      <c r="B1395" s="13">
        <v>45288</v>
      </c>
      <c r="C1395" s="25" t="s">
        <v>398</v>
      </c>
      <c r="D1395" s="20">
        <v>0</v>
      </c>
      <c r="E1395" s="28">
        <v>38581.65</v>
      </c>
      <c r="F1395" s="22" t="s">
        <v>85</v>
      </c>
      <c r="G1395" s="14">
        <v>45</v>
      </c>
      <c r="H1395" s="40">
        <v>44915</v>
      </c>
      <c r="I1395" s="46">
        <f t="shared" si="84"/>
        <v>373</v>
      </c>
      <c r="J1395" s="1" t="s">
        <v>15</v>
      </c>
      <c r="K1395" s="4" t="s">
        <v>199</v>
      </c>
      <c r="L1395" s="4" t="s">
        <v>225</v>
      </c>
      <c r="M1395" s="8">
        <v>45</v>
      </c>
      <c r="N1395" s="5">
        <v>857.37</v>
      </c>
      <c r="O1395" s="5">
        <v>38581.65</v>
      </c>
      <c r="P1395">
        <f t="shared" si="85"/>
        <v>1</v>
      </c>
      <c r="Q1395" s="36">
        <f t="shared" si="86"/>
        <v>38581.65</v>
      </c>
      <c r="R1395">
        <f t="shared" si="87"/>
        <v>2022</v>
      </c>
    </row>
    <row r="1396" spans="1:18" x14ac:dyDescent="0.2">
      <c r="A1396" s="13">
        <v>45288</v>
      </c>
      <c r="B1396" s="13">
        <v>45288</v>
      </c>
      <c r="C1396" s="25" t="s">
        <v>398</v>
      </c>
      <c r="D1396" s="20">
        <v>0</v>
      </c>
      <c r="E1396" s="28">
        <v>38581.65</v>
      </c>
      <c r="F1396" s="22" t="s">
        <v>85</v>
      </c>
      <c r="G1396" s="14">
        <v>45</v>
      </c>
      <c r="H1396" s="40">
        <v>44915</v>
      </c>
      <c r="I1396" s="46">
        <f t="shared" si="84"/>
        <v>373</v>
      </c>
      <c r="J1396" s="1" t="s">
        <v>15</v>
      </c>
      <c r="K1396" s="4" t="s">
        <v>199</v>
      </c>
      <c r="L1396" s="4" t="s">
        <v>225</v>
      </c>
      <c r="M1396" s="8">
        <v>45</v>
      </c>
      <c r="N1396" s="5">
        <v>857.37</v>
      </c>
      <c r="O1396" s="5">
        <v>38581.65</v>
      </c>
      <c r="P1396">
        <f t="shared" si="85"/>
        <v>1</v>
      </c>
      <c r="Q1396" s="36">
        <f t="shared" si="86"/>
        <v>38581.65</v>
      </c>
      <c r="R1396">
        <f t="shared" si="87"/>
        <v>2022</v>
      </c>
    </row>
    <row r="1397" spans="1:18" x14ac:dyDescent="0.2">
      <c r="A1397" s="13">
        <v>45288</v>
      </c>
      <c r="B1397" s="13">
        <v>45288</v>
      </c>
      <c r="C1397" s="25" t="s">
        <v>398</v>
      </c>
      <c r="D1397" s="20">
        <v>0</v>
      </c>
      <c r="E1397" s="28">
        <v>38581.65</v>
      </c>
      <c r="F1397" s="22" t="s">
        <v>85</v>
      </c>
      <c r="G1397" s="14">
        <v>45</v>
      </c>
      <c r="H1397" s="40">
        <v>44915</v>
      </c>
      <c r="I1397" s="46">
        <f t="shared" si="84"/>
        <v>373</v>
      </c>
      <c r="J1397" s="1" t="s">
        <v>15</v>
      </c>
      <c r="K1397" s="4" t="s">
        <v>199</v>
      </c>
      <c r="L1397" s="4" t="s">
        <v>225</v>
      </c>
      <c r="M1397" s="8">
        <v>45</v>
      </c>
      <c r="N1397" s="5">
        <v>857.37</v>
      </c>
      <c r="O1397" s="5">
        <v>38581.65</v>
      </c>
      <c r="P1397">
        <f t="shared" si="85"/>
        <v>1</v>
      </c>
      <c r="Q1397" s="36">
        <f t="shared" si="86"/>
        <v>38581.65</v>
      </c>
      <c r="R1397">
        <f t="shared" si="87"/>
        <v>2022</v>
      </c>
    </row>
    <row r="1398" spans="1:18" x14ac:dyDescent="0.2">
      <c r="A1398" s="13">
        <v>45288</v>
      </c>
      <c r="B1398" s="13">
        <v>45288</v>
      </c>
      <c r="C1398" s="25" t="s">
        <v>398</v>
      </c>
      <c r="D1398" s="20">
        <v>0</v>
      </c>
      <c r="E1398" s="28">
        <v>38581.65</v>
      </c>
      <c r="F1398" s="22" t="s">
        <v>85</v>
      </c>
      <c r="G1398" s="14">
        <v>45</v>
      </c>
      <c r="H1398" s="40">
        <v>44915</v>
      </c>
      <c r="I1398" s="46">
        <f t="shared" si="84"/>
        <v>373</v>
      </c>
      <c r="J1398" s="1" t="s">
        <v>15</v>
      </c>
      <c r="K1398" s="4" t="s">
        <v>199</v>
      </c>
      <c r="L1398" s="4" t="s">
        <v>225</v>
      </c>
      <c r="M1398" s="8">
        <v>45</v>
      </c>
      <c r="N1398" s="5">
        <v>857.37</v>
      </c>
      <c r="O1398" s="5">
        <v>38581.65</v>
      </c>
      <c r="P1398">
        <f t="shared" si="85"/>
        <v>1</v>
      </c>
      <c r="Q1398" s="36">
        <f t="shared" si="86"/>
        <v>38581.65</v>
      </c>
      <c r="R1398">
        <f t="shared" si="87"/>
        <v>2022</v>
      </c>
    </row>
    <row r="1399" spans="1:18" x14ac:dyDescent="0.2">
      <c r="A1399" s="13">
        <v>45288</v>
      </c>
      <c r="B1399" s="13">
        <v>45288</v>
      </c>
      <c r="C1399" s="25" t="s">
        <v>398</v>
      </c>
      <c r="D1399" s="20">
        <v>0</v>
      </c>
      <c r="E1399" s="28">
        <v>38581.65</v>
      </c>
      <c r="F1399" s="22" t="s">
        <v>85</v>
      </c>
      <c r="G1399" s="14">
        <v>45</v>
      </c>
      <c r="H1399" s="40">
        <v>44915</v>
      </c>
      <c r="I1399" s="46">
        <f t="shared" si="84"/>
        <v>373</v>
      </c>
      <c r="J1399" s="1" t="s">
        <v>15</v>
      </c>
      <c r="K1399" s="4" t="s">
        <v>200</v>
      </c>
      <c r="L1399" s="4" t="s">
        <v>225</v>
      </c>
      <c r="M1399" s="8">
        <v>45</v>
      </c>
      <c r="N1399" s="5">
        <v>857.37</v>
      </c>
      <c r="O1399" s="5">
        <v>38581.65</v>
      </c>
      <c r="P1399">
        <f t="shared" si="85"/>
        <v>1</v>
      </c>
      <c r="Q1399" s="36">
        <f t="shared" si="86"/>
        <v>38581.65</v>
      </c>
      <c r="R1399">
        <f t="shared" si="87"/>
        <v>2022</v>
      </c>
    </row>
    <row r="1400" spans="1:18" x14ac:dyDescent="0.2">
      <c r="A1400" s="13">
        <v>45295</v>
      </c>
      <c r="B1400" s="13">
        <v>45295</v>
      </c>
      <c r="C1400" s="25" t="s">
        <v>398</v>
      </c>
      <c r="D1400" s="20">
        <v>0</v>
      </c>
      <c r="E1400" s="28">
        <v>38581.65</v>
      </c>
      <c r="F1400" s="22" t="s">
        <v>85</v>
      </c>
      <c r="G1400" s="14">
        <v>45</v>
      </c>
      <c r="H1400" s="40">
        <v>44915</v>
      </c>
      <c r="I1400" s="46">
        <f t="shared" si="84"/>
        <v>380</v>
      </c>
      <c r="J1400" s="1" t="s">
        <v>15</v>
      </c>
      <c r="K1400" s="4" t="s">
        <v>200</v>
      </c>
      <c r="L1400" s="4" t="s">
        <v>225</v>
      </c>
      <c r="M1400" s="8">
        <v>45</v>
      </c>
      <c r="N1400" s="5">
        <v>857.37</v>
      </c>
      <c r="O1400" s="5">
        <v>38581.65</v>
      </c>
      <c r="P1400">
        <f t="shared" si="85"/>
        <v>1</v>
      </c>
      <c r="Q1400" s="36">
        <f t="shared" si="86"/>
        <v>38581.65</v>
      </c>
      <c r="R1400">
        <f t="shared" si="87"/>
        <v>2022</v>
      </c>
    </row>
    <row r="1401" spans="1:18" x14ac:dyDescent="0.2">
      <c r="A1401" s="13">
        <v>45295</v>
      </c>
      <c r="B1401" s="13">
        <v>45295</v>
      </c>
      <c r="C1401" s="25" t="s">
        <v>398</v>
      </c>
      <c r="D1401" s="20">
        <v>0</v>
      </c>
      <c r="E1401" s="28">
        <v>38581.65</v>
      </c>
      <c r="F1401" s="22" t="s">
        <v>85</v>
      </c>
      <c r="G1401" s="14">
        <v>45</v>
      </c>
      <c r="H1401" s="40">
        <v>44915</v>
      </c>
      <c r="I1401" s="46">
        <f t="shared" si="84"/>
        <v>380</v>
      </c>
      <c r="J1401" s="1" t="s">
        <v>15</v>
      </c>
      <c r="K1401" s="4" t="s">
        <v>200</v>
      </c>
      <c r="L1401" s="4" t="s">
        <v>225</v>
      </c>
      <c r="M1401" s="8">
        <v>45</v>
      </c>
      <c r="N1401" s="5">
        <v>857.37</v>
      </c>
      <c r="O1401" s="5">
        <v>38581.65</v>
      </c>
      <c r="P1401">
        <f t="shared" si="85"/>
        <v>1</v>
      </c>
      <c r="Q1401" s="36">
        <f t="shared" si="86"/>
        <v>38581.65</v>
      </c>
      <c r="R1401">
        <f t="shared" si="87"/>
        <v>2022</v>
      </c>
    </row>
    <row r="1402" spans="1:18" x14ac:dyDescent="0.2">
      <c r="A1402" s="13">
        <v>45295</v>
      </c>
      <c r="B1402" s="13">
        <v>45295</v>
      </c>
      <c r="C1402" s="25" t="s">
        <v>398</v>
      </c>
      <c r="D1402" s="20">
        <v>0</v>
      </c>
      <c r="E1402" s="28">
        <v>38581.65</v>
      </c>
      <c r="F1402" s="22" t="s">
        <v>85</v>
      </c>
      <c r="G1402" s="14">
        <v>45</v>
      </c>
      <c r="H1402" s="40">
        <v>44915</v>
      </c>
      <c r="I1402" s="46">
        <f t="shared" si="84"/>
        <v>380</v>
      </c>
      <c r="J1402" s="1" t="s">
        <v>15</v>
      </c>
      <c r="K1402" s="4" t="s">
        <v>200</v>
      </c>
      <c r="L1402" s="4" t="s">
        <v>225</v>
      </c>
      <c r="M1402" s="8">
        <v>45</v>
      </c>
      <c r="N1402" s="5">
        <v>857.37</v>
      </c>
      <c r="O1402" s="5">
        <v>38581.65</v>
      </c>
      <c r="P1402">
        <f t="shared" si="85"/>
        <v>1</v>
      </c>
      <c r="Q1402" s="36">
        <f t="shared" si="86"/>
        <v>38581.65</v>
      </c>
      <c r="R1402">
        <f t="shared" si="87"/>
        <v>2022</v>
      </c>
    </row>
    <row r="1403" spans="1:18" x14ac:dyDescent="0.2">
      <c r="A1403" s="13">
        <v>45295</v>
      </c>
      <c r="B1403" s="13">
        <v>45295</v>
      </c>
      <c r="C1403" s="25" t="s">
        <v>398</v>
      </c>
      <c r="D1403" s="20">
        <v>0</v>
      </c>
      <c r="E1403" s="28">
        <v>38581.65</v>
      </c>
      <c r="F1403" s="22" t="s">
        <v>85</v>
      </c>
      <c r="G1403" s="14">
        <v>45</v>
      </c>
      <c r="H1403" s="40">
        <v>44915</v>
      </c>
      <c r="I1403" s="46">
        <f t="shared" si="84"/>
        <v>380</v>
      </c>
      <c r="J1403" s="1" t="s">
        <v>15</v>
      </c>
      <c r="K1403" s="4" t="s">
        <v>199</v>
      </c>
      <c r="L1403" s="4" t="s">
        <v>225</v>
      </c>
      <c r="M1403" s="8">
        <v>45</v>
      </c>
      <c r="N1403" s="5">
        <v>857.37</v>
      </c>
      <c r="O1403" s="5">
        <v>38581.65</v>
      </c>
      <c r="P1403">
        <f t="shared" si="85"/>
        <v>1</v>
      </c>
      <c r="Q1403" s="36">
        <f t="shared" si="86"/>
        <v>38581.65</v>
      </c>
      <c r="R1403">
        <f t="shared" si="87"/>
        <v>2022</v>
      </c>
    </row>
    <row r="1404" spans="1:18" x14ac:dyDescent="0.2">
      <c r="A1404" s="13">
        <v>45295</v>
      </c>
      <c r="B1404" s="13">
        <v>45295</v>
      </c>
      <c r="C1404" s="25" t="s">
        <v>398</v>
      </c>
      <c r="D1404" s="20">
        <v>0</v>
      </c>
      <c r="E1404" s="28">
        <v>38581.65</v>
      </c>
      <c r="F1404" s="22" t="s">
        <v>85</v>
      </c>
      <c r="G1404" s="14">
        <v>45</v>
      </c>
      <c r="H1404" s="40">
        <v>44915</v>
      </c>
      <c r="I1404" s="46">
        <f t="shared" si="84"/>
        <v>380</v>
      </c>
      <c r="J1404" s="1" t="s">
        <v>15</v>
      </c>
      <c r="K1404" s="4" t="s">
        <v>199</v>
      </c>
      <c r="L1404" s="4" t="s">
        <v>225</v>
      </c>
      <c r="M1404" s="8">
        <v>45</v>
      </c>
      <c r="N1404" s="5">
        <v>857.37</v>
      </c>
      <c r="O1404" s="5">
        <v>38581.65</v>
      </c>
      <c r="P1404">
        <f t="shared" si="85"/>
        <v>1</v>
      </c>
      <c r="Q1404" s="36">
        <f t="shared" si="86"/>
        <v>38581.65</v>
      </c>
      <c r="R1404">
        <f t="shared" si="87"/>
        <v>2022</v>
      </c>
    </row>
    <row r="1405" spans="1:18" x14ac:dyDescent="0.2">
      <c r="A1405" s="13">
        <v>45295</v>
      </c>
      <c r="B1405" s="13">
        <v>45295</v>
      </c>
      <c r="C1405" s="25" t="s">
        <v>398</v>
      </c>
      <c r="D1405" s="20">
        <v>0</v>
      </c>
      <c r="E1405" s="28">
        <v>38581.65</v>
      </c>
      <c r="F1405" s="22" t="s">
        <v>85</v>
      </c>
      <c r="G1405" s="14">
        <v>45</v>
      </c>
      <c r="H1405" s="40">
        <v>44915</v>
      </c>
      <c r="I1405" s="46">
        <f t="shared" si="84"/>
        <v>380</v>
      </c>
      <c r="J1405" s="1" t="s">
        <v>15</v>
      </c>
      <c r="K1405" s="4" t="s">
        <v>199</v>
      </c>
      <c r="L1405" s="4" t="s">
        <v>225</v>
      </c>
      <c r="M1405" s="8">
        <v>45</v>
      </c>
      <c r="N1405" s="5">
        <v>857.37</v>
      </c>
      <c r="O1405" s="5">
        <v>38581.65</v>
      </c>
      <c r="P1405">
        <f t="shared" si="85"/>
        <v>1</v>
      </c>
      <c r="Q1405" s="36">
        <f t="shared" si="86"/>
        <v>38581.65</v>
      </c>
      <c r="R1405">
        <f t="shared" si="87"/>
        <v>2022</v>
      </c>
    </row>
    <row r="1406" spans="1:18" x14ac:dyDescent="0.2">
      <c r="A1406" s="13">
        <v>45295</v>
      </c>
      <c r="B1406" s="13">
        <v>45295</v>
      </c>
      <c r="C1406" s="25" t="s">
        <v>398</v>
      </c>
      <c r="D1406" s="20">
        <v>0</v>
      </c>
      <c r="E1406" s="28">
        <v>38581.65</v>
      </c>
      <c r="F1406" s="22" t="s">
        <v>85</v>
      </c>
      <c r="G1406" s="14">
        <v>45</v>
      </c>
      <c r="H1406" s="40">
        <v>44915</v>
      </c>
      <c r="I1406" s="46">
        <f t="shared" si="84"/>
        <v>380</v>
      </c>
      <c r="J1406" s="1" t="s">
        <v>15</v>
      </c>
      <c r="K1406" s="4" t="s">
        <v>200</v>
      </c>
      <c r="L1406" s="4" t="s">
        <v>225</v>
      </c>
      <c r="M1406" s="8">
        <v>45</v>
      </c>
      <c r="N1406" s="5">
        <v>857.37</v>
      </c>
      <c r="O1406" s="5">
        <v>38581.65</v>
      </c>
      <c r="P1406">
        <f t="shared" si="85"/>
        <v>1</v>
      </c>
      <c r="Q1406" s="36">
        <f t="shared" si="86"/>
        <v>38581.65</v>
      </c>
      <c r="R1406">
        <f t="shared" si="87"/>
        <v>2022</v>
      </c>
    </row>
    <row r="1407" spans="1:18" x14ac:dyDescent="0.2">
      <c r="A1407" s="13">
        <v>45300</v>
      </c>
      <c r="B1407" s="13">
        <v>45300</v>
      </c>
      <c r="C1407" s="25" t="s">
        <v>398</v>
      </c>
      <c r="D1407" s="20">
        <v>0</v>
      </c>
      <c r="E1407" s="28">
        <v>12860.55</v>
      </c>
      <c r="F1407" s="22" t="s">
        <v>85</v>
      </c>
      <c r="G1407" s="14">
        <v>15</v>
      </c>
      <c r="H1407" s="40">
        <v>44921</v>
      </c>
      <c r="I1407" s="46">
        <f t="shared" si="84"/>
        <v>379</v>
      </c>
      <c r="J1407" s="1" t="s">
        <v>15</v>
      </c>
      <c r="K1407" s="4" t="s">
        <v>199</v>
      </c>
      <c r="L1407" s="4" t="s">
        <v>225</v>
      </c>
      <c r="M1407" s="8">
        <v>15</v>
      </c>
      <c r="N1407" s="5">
        <v>857.37</v>
      </c>
      <c r="O1407" s="5">
        <v>12860.55</v>
      </c>
      <c r="P1407">
        <f t="shared" si="85"/>
        <v>1</v>
      </c>
      <c r="Q1407" s="36">
        <f t="shared" si="86"/>
        <v>12860.55</v>
      </c>
      <c r="R1407">
        <f t="shared" si="87"/>
        <v>2022</v>
      </c>
    </row>
    <row r="1408" spans="1:18" x14ac:dyDescent="0.2">
      <c r="A1408" s="13">
        <v>45300</v>
      </c>
      <c r="B1408" s="13">
        <v>45300</v>
      </c>
      <c r="C1408" s="25" t="s">
        <v>398</v>
      </c>
      <c r="D1408" s="20">
        <v>0</v>
      </c>
      <c r="E1408" s="28">
        <v>38581.65</v>
      </c>
      <c r="F1408" s="22" t="s">
        <v>85</v>
      </c>
      <c r="G1408" s="14">
        <v>45</v>
      </c>
      <c r="H1408" s="40">
        <v>44923</v>
      </c>
      <c r="I1408" s="46">
        <f t="shared" si="84"/>
        <v>377</v>
      </c>
      <c r="J1408" s="1" t="s">
        <v>15</v>
      </c>
      <c r="K1408" s="4" t="s">
        <v>199</v>
      </c>
      <c r="L1408" s="4" t="s">
        <v>225</v>
      </c>
      <c r="M1408" s="8">
        <v>45</v>
      </c>
      <c r="N1408" s="5">
        <v>857.37</v>
      </c>
      <c r="O1408" s="5">
        <v>38581.65</v>
      </c>
      <c r="P1408">
        <f t="shared" si="85"/>
        <v>1</v>
      </c>
      <c r="Q1408" s="36">
        <f t="shared" si="86"/>
        <v>38581.65</v>
      </c>
      <c r="R1408">
        <f t="shared" si="87"/>
        <v>2022</v>
      </c>
    </row>
    <row r="1409" spans="1:18" x14ac:dyDescent="0.2">
      <c r="A1409" s="13">
        <v>45300</v>
      </c>
      <c r="B1409" s="13">
        <v>45300</v>
      </c>
      <c r="C1409" s="25" t="s">
        <v>398</v>
      </c>
      <c r="D1409" s="20">
        <v>0</v>
      </c>
      <c r="E1409" s="28">
        <v>38581.65</v>
      </c>
      <c r="F1409" s="22" t="s">
        <v>85</v>
      </c>
      <c r="G1409" s="14">
        <v>45</v>
      </c>
      <c r="H1409" s="40">
        <v>44923</v>
      </c>
      <c r="I1409" s="46">
        <f t="shared" si="84"/>
        <v>377</v>
      </c>
      <c r="J1409" s="1" t="s">
        <v>15</v>
      </c>
      <c r="K1409" s="4" t="s">
        <v>199</v>
      </c>
      <c r="L1409" s="4" t="s">
        <v>225</v>
      </c>
      <c r="M1409" s="8">
        <v>45</v>
      </c>
      <c r="N1409" s="5">
        <v>857.37</v>
      </c>
      <c r="O1409" s="5">
        <v>38581.65</v>
      </c>
      <c r="P1409">
        <f t="shared" si="85"/>
        <v>1</v>
      </c>
      <c r="Q1409" s="36">
        <f t="shared" si="86"/>
        <v>38581.65</v>
      </c>
      <c r="R1409">
        <f t="shared" si="87"/>
        <v>2022</v>
      </c>
    </row>
    <row r="1410" spans="1:18" x14ac:dyDescent="0.2">
      <c r="A1410" s="13">
        <v>45300</v>
      </c>
      <c r="B1410" s="13">
        <v>45300</v>
      </c>
      <c r="C1410" s="25" t="s">
        <v>398</v>
      </c>
      <c r="D1410" s="20">
        <v>0</v>
      </c>
      <c r="E1410" s="28">
        <v>38581.65</v>
      </c>
      <c r="F1410" s="22" t="s">
        <v>85</v>
      </c>
      <c r="G1410" s="14">
        <v>45</v>
      </c>
      <c r="H1410" s="40">
        <v>44923</v>
      </c>
      <c r="I1410" s="46">
        <f t="shared" si="84"/>
        <v>377</v>
      </c>
      <c r="J1410" s="1" t="s">
        <v>15</v>
      </c>
      <c r="K1410" s="4" t="s">
        <v>199</v>
      </c>
      <c r="L1410" s="4" t="s">
        <v>225</v>
      </c>
      <c r="M1410" s="8">
        <v>45</v>
      </c>
      <c r="N1410" s="5">
        <v>857.37</v>
      </c>
      <c r="O1410" s="5">
        <v>38581.65</v>
      </c>
      <c r="P1410">
        <f t="shared" si="85"/>
        <v>1</v>
      </c>
      <c r="Q1410" s="36">
        <f t="shared" si="86"/>
        <v>38581.65</v>
      </c>
      <c r="R1410">
        <f t="shared" si="87"/>
        <v>2022</v>
      </c>
    </row>
    <row r="1411" spans="1:18" x14ac:dyDescent="0.2">
      <c r="A1411" s="13">
        <v>45300</v>
      </c>
      <c r="B1411" s="13">
        <v>45300</v>
      </c>
      <c r="C1411" s="25" t="s">
        <v>398</v>
      </c>
      <c r="D1411" s="20">
        <v>0</v>
      </c>
      <c r="E1411" s="28">
        <v>38581.65</v>
      </c>
      <c r="F1411" s="22" t="s">
        <v>85</v>
      </c>
      <c r="G1411" s="14">
        <v>45</v>
      </c>
      <c r="H1411" s="40">
        <v>44923</v>
      </c>
      <c r="I1411" s="46">
        <f t="shared" ref="I1411:I1474" si="88">IFERROR(A1411-H1411,"")*1</f>
        <v>377</v>
      </c>
      <c r="J1411" s="1" t="s">
        <v>15</v>
      </c>
      <c r="K1411" s="4" t="s">
        <v>199</v>
      </c>
      <c r="L1411" s="4" t="s">
        <v>225</v>
      </c>
      <c r="M1411" s="8">
        <v>45</v>
      </c>
      <c r="N1411" s="5">
        <v>857.37</v>
      </c>
      <c r="O1411" s="5">
        <v>38581.65</v>
      </c>
      <c r="P1411">
        <f t="shared" ref="P1411:P1474" si="89">IF(M1411=G1411,1,0)</f>
        <v>1</v>
      </c>
      <c r="Q1411" s="36">
        <f t="shared" ref="Q1411:Q1474" si="90">N1411*G1411</f>
        <v>38581.65</v>
      </c>
      <c r="R1411">
        <f t="shared" ref="R1411:R1474" si="91">YEAR(H1411)</f>
        <v>2022</v>
      </c>
    </row>
    <row r="1412" spans="1:18" x14ac:dyDescent="0.2">
      <c r="A1412" s="13">
        <v>45300</v>
      </c>
      <c r="B1412" s="13">
        <v>45300</v>
      </c>
      <c r="C1412" s="25" t="s">
        <v>398</v>
      </c>
      <c r="D1412" s="20">
        <v>0</v>
      </c>
      <c r="E1412" s="28">
        <v>38581.65</v>
      </c>
      <c r="F1412" s="22" t="s">
        <v>85</v>
      </c>
      <c r="G1412" s="14">
        <v>45</v>
      </c>
      <c r="H1412" s="40">
        <v>44923</v>
      </c>
      <c r="I1412" s="46">
        <f t="shared" si="88"/>
        <v>377</v>
      </c>
      <c r="J1412" s="1" t="s">
        <v>15</v>
      </c>
      <c r="K1412" s="4" t="s">
        <v>199</v>
      </c>
      <c r="L1412" s="4" t="s">
        <v>225</v>
      </c>
      <c r="M1412" s="8">
        <v>45</v>
      </c>
      <c r="N1412" s="5">
        <v>857.37</v>
      </c>
      <c r="O1412" s="5">
        <v>38581.65</v>
      </c>
      <c r="P1412">
        <f t="shared" si="89"/>
        <v>1</v>
      </c>
      <c r="Q1412" s="36">
        <f t="shared" si="90"/>
        <v>38581.65</v>
      </c>
      <c r="R1412">
        <f t="shared" si="91"/>
        <v>2022</v>
      </c>
    </row>
    <row r="1413" spans="1:18" x14ac:dyDescent="0.2">
      <c r="A1413" s="13">
        <v>45302</v>
      </c>
      <c r="B1413" s="13">
        <v>45302</v>
      </c>
      <c r="C1413" s="25" t="s">
        <v>398</v>
      </c>
      <c r="D1413" s="20">
        <v>0</v>
      </c>
      <c r="E1413" s="28">
        <v>38581.65</v>
      </c>
      <c r="F1413" s="22" t="s">
        <v>85</v>
      </c>
      <c r="G1413" s="14">
        <v>45</v>
      </c>
      <c r="H1413" s="40">
        <v>44932</v>
      </c>
      <c r="I1413" s="46">
        <f t="shared" si="88"/>
        <v>370</v>
      </c>
      <c r="J1413" s="1" t="s">
        <v>15</v>
      </c>
      <c r="K1413" s="4" t="s">
        <v>199</v>
      </c>
      <c r="L1413" s="4" t="s">
        <v>225</v>
      </c>
      <c r="M1413" s="8">
        <v>45</v>
      </c>
      <c r="N1413" s="5">
        <v>857.37</v>
      </c>
      <c r="O1413" s="5">
        <v>38581.65</v>
      </c>
      <c r="P1413">
        <f t="shared" si="89"/>
        <v>1</v>
      </c>
      <c r="Q1413" s="36">
        <f t="shared" si="90"/>
        <v>38581.65</v>
      </c>
      <c r="R1413">
        <f t="shared" si="91"/>
        <v>2023</v>
      </c>
    </row>
    <row r="1414" spans="1:18" x14ac:dyDescent="0.2">
      <c r="A1414" s="13">
        <v>45302</v>
      </c>
      <c r="B1414" s="13">
        <v>45302</v>
      </c>
      <c r="C1414" s="25" t="s">
        <v>398</v>
      </c>
      <c r="D1414" s="20">
        <v>0</v>
      </c>
      <c r="E1414" s="28">
        <v>38581.65</v>
      </c>
      <c r="F1414" s="22" t="s">
        <v>85</v>
      </c>
      <c r="G1414" s="14">
        <v>45</v>
      </c>
      <c r="H1414" s="40">
        <v>44932</v>
      </c>
      <c r="I1414" s="46">
        <f t="shared" si="88"/>
        <v>370</v>
      </c>
      <c r="J1414" s="1" t="s">
        <v>15</v>
      </c>
      <c r="K1414" s="4" t="s">
        <v>199</v>
      </c>
      <c r="L1414" s="4" t="s">
        <v>225</v>
      </c>
      <c r="M1414" s="8">
        <v>45</v>
      </c>
      <c r="N1414" s="5">
        <v>857.37</v>
      </c>
      <c r="O1414" s="5">
        <v>38581.65</v>
      </c>
      <c r="P1414">
        <f t="shared" si="89"/>
        <v>1</v>
      </c>
      <c r="Q1414" s="36">
        <f t="shared" si="90"/>
        <v>38581.65</v>
      </c>
      <c r="R1414">
        <f t="shared" si="91"/>
        <v>2023</v>
      </c>
    </row>
    <row r="1415" spans="1:18" x14ac:dyDescent="0.2">
      <c r="A1415" s="13">
        <v>45302</v>
      </c>
      <c r="B1415" s="13">
        <v>45302</v>
      </c>
      <c r="C1415" s="25" t="s">
        <v>398</v>
      </c>
      <c r="D1415" s="20">
        <v>0</v>
      </c>
      <c r="E1415" s="28">
        <v>38581.65</v>
      </c>
      <c r="F1415" s="22" t="s">
        <v>85</v>
      </c>
      <c r="G1415" s="14">
        <v>45</v>
      </c>
      <c r="H1415" s="40">
        <v>44932</v>
      </c>
      <c r="I1415" s="46">
        <f t="shared" si="88"/>
        <v>370</v>
      </c>
      <c r="J1415" s="1" t="s">
        <v>15</v>
      </c>
      <c r="K1415" s="4" t="s">
        <v>199</v>
      </c>
      <c r="L1415" s="4" t="s">
        <v>225</v>
      </c>
      <c r="M1415" s="8">
        <v>45</v>
      </c>
      <c r="N1415" s="5">
        <v>857.37</v>
      </c>
      <c r="O1415" s="5">
        <v>38581.65</v>
      </c>
      <c r="P1415">
        <f t="shared" si="89"/>
        <v>1</v>
      </c>
      <c r="Q1415" s="36">
        <f t="shared" si="90"/>
        <v>38581.65</v>
      </c>
      <c r="R1415">
        <f t="shared" si="91"/>
        <v>2023</v>
      </c>
    </row>
    <row r="1416" spans="1:18" x14ac:dyDescent="0.2">
      <c r="A1416" s="13">
        <v>45302</v>
      </c>
      <c r="B1416" s="13">
        <v>45302</v>
      </c>
      <c r="C1416" s="25" t="s">
        <v>398</v>
      </c>
      <c r="D1416" s="20">
        <v>0</v>
      </c>
      <c r="E1416" s="28">
        <v>38581.65</v>
      </c>
      <c r="F1416" s="22" t="s">
        <v>85</v>
      </c>
      <c r="G1416" s="14">
        <v>45</v>
      </c>
      <c r="H1416" s="40">
        <v>44932</v>
      </c>
      <c r="I1416" s="46">
        <f t="shared" si="88"/>
        <v>370</v>
      </c>
      <c r="J1416" s="1" t="s">
        <v>15</v>
      </c>
      <c r="K1416" s="4" t="s">
        <v>199</v>
      </c>
      <c r="L1416" s="4" t="s">
        <v>225</v>
      </c>
      <c r="M1416" s="8">
        <v>45</v>
      </c>
      <c r="N1416" s="5">
        <v>857.37</v>
      </c>
      <c r="O1416" s="5">
        <v>38581.65</v>
      </c>
      <c r="P1416">
        <f t="shared" si="89"/>
        <v>1</v>
      </c>
      <c r="Q1416" s="36">
        <f t="shared" si="90"/>
        <v>38581.65</v>
      </c>
      <c r="R1416">
        <f t="shared" si="91"/>
        <v>2023</v>
      </c>
    </row>
    <row r="1417" spans="1:18" x14ac:dyDescent="0.2">
      <c r="A1417" s="13">
        <v>45302</v>
      </c>
      <c r="B1417" s="13">
        <v>45302</v>
      </c>
      <c r="C1417" s="25" t="s">
        <v>398</v>
      </c>
      <c r="D1417" s="20">
        <v>0</v>
      </c>
      <c r="E1417" s="28">
        <v>38581.65</v>
      </c>
      <c r="F1417" s="22" t="s">
        <v>85</v>
      </c>
      <c r="G1417" s="14">
        <v>45</v>
      </c>
      <c r="H1417" s="40">
        <v>44932</v>
      </c>
      <c r="I1417" s="46">
        <f t="shared" si="88"/>
        <v>370</v>
      </c>
      <c r="J1417" s="1" t="s">
        <v>15</v>
      </c>
      <c r="K1417" s="4" t="s">
        <v>199</v>
      </c>
      <c r="L1417" s="4" t="s">
        <v>225</v>
      </c>
      <c r="M1417" s="8">
        <v>45</v>
      </c>
      <c r="N1417" s="5">
        <v>857.37</v>
      </c>
      <c r="O1417" s="5">
        <v>38581.65</v>
      </c>
      <c r="P1417">
        <f t="shared" si="89"/>
        <v>1</v>
      </c>
      <c r="Q1417" s="36">
        <f t="shared" si="90"/>
        <v>38581.65</v>
      </c>
      <c r="R1417">
        <f t="shared" si="91"/>
        <v>2023</v>
      </c>
    </row>
    <row r="1418" spans="1:18" x14ac:dyDescent="0.2">
      <c r="A1418" s="13">
        <v>45309</v>
      </c>
      <c r="B1418" s="13">
        <v>45309</v>
      </c>
      <c r="C1418" s="25" t="s">
        <v>398</v>
      </c>
      <c r="D1418" s="20">
        <v>0</v>
      </c>
      <c r="E1418" s="28">
        <v>38581.65</v>
      </c>
      <c r="F1418" s="22" t="s">
        <v>85</v>
      </c>
      <c r="G1418" s="14">
        <v>45</v>
      </c>
      <c r="H1418" s="40">
        <v>44932</v>
      </c>
      <c r="I1418" s="46">
        <f t="shared" si="88"/>
        <v>377</v>
      </c>
      <c r="J1418" s="1" t="s">
        <v>15</v>
      </c>
      <c r="K1418" s="4" t="s">
        <v>199</v>
      </c>
      <c r="L1418" s="4" t="s">
        <v>225</v>
      </c>
      <c r="M1418" s="8">
        <v>45</v>
      </c>
      <c r="N1418" s="5">
        <v>857.37</v>
      </c>
      <c r="O1418" s="5">
        <v>38581.65</v>
      </c>
      <c r="P1418">
        <f t="shared" si="89"/>
        <v>1</v>
      </c>
      <c r="Q1418" s="36">
        <f t="shared" si="90"/>
        <v>38581.65</v>
      </c>
      <c r="R1418">
        <f t="shared" si="91"/>
        <v>2023</v>
      </c>
    </row>
    <row r="1419" spans="1:18" x14ac:dyDescent="0.2">
      <c r="A1419" s="13">
        <v>45309</v>
      </c>
      <c r="B1419" s="13">
        <v>45309</v>
      </c>
      <c r="C1419" s="25" t="s">
        <v>398</v>
      </c>
      <c r="D1419" s="20">
        <v>0</v>
      </c>
      <c r="E1419" s="28">
        <v>38581.65</v>
      </c>
      <c r="F1419" s="22" t="s">
        <v>85</v>
      </c>
      <c r="G1419" s="14">
        <v>45</v>
      </c>
      <c r="H1419" s="40">
        <v>44932</v>
      </c>
      <c r="I1419" s="46">
        <f t="shared" si="88"/>
        <v>377</v>
      </c>
      <c r="J1419" s="1" t="s">
        <v>15</v>
      </c>
      <c r="K1419" s="4" t="s">
        <v>199</v>
      </c>
      <c r="L1419" s="4" t="s">
        <v>225</v>
      </c>
      <c r="M1419" s="8">
        <v>45</v>
      </c>
      <c r="N1419" s="5">
        <v>857.37</v>
      </c>
      <c r="O1419" s="5">
        <v>38581.65</v>
      </c>
      <c r="P1419">
        <f t="shared" si="89"/>
        <v>1</v>
      </c>
      <c r="Q1419" s="36">
        <f t="shared" si="90"/>
        <v>38581.65</v>
      </c>
      <c r="R1419">
        <f t="shared" si="91"/>
        <v>2023</v>
      </c>
    </row>
    <row r="1420" spans="1:18" x14ac:dyDescent="0.2">
      <c r="A1420" s="13">
        <v>45309</v>
      </c>
      <c r="B1420" s="13">
        <v>45309</v>
      </c>
      <c r="C1420" s="25" t="s">
        <v>398</v>
      </c>
      <c r="D1420" s="20">
        <v>0</v>
      </c>
      <c r="E1420" s="28">
        <v>38581.65</v>
      </c>
      <c r="F1420" s="22" t="s">
        <v>85</v>
      </c>
      <c r="G1420" s="14">
        <v>45</v>
      </c>
      <c r="H1420" s="40">
        <v>44932</v>
      </c>
      <c r="I1420" s="46">
        <f t="shared" si="88"/>
        <v>377</v>
      </c>
      <c r="J1420" s="1" t="s">
        <v>15</v>
      </c>
      <c r="K1420" s="4" t="s">
        <v>199</v>
      </c>
      <c r="L1420" s="4" t="s">
        <v>225</v>
      </c>
      <c r="M1420" s="8">
        <v>45</v>
      </c>
      <c r="N1420" s="5">
        <v>857.37</v>
      </c>
      <c r="O1420" s="5">
        <v>38581.65</v>
      </c>
      <c r="P1420">
        <f t="shared" si="89"/>
        <v>1</v>
      </c>
      <c r="Q1420" s="36">
        <f t="shared" si="90"/>
        <v>38581.65</v>
      </c>
      <c r="R1420">
        <f t="shared" si="91"/>
        <v>2023</v>
      </c>
    </row>
    <row r="1421" spans="1:18" x14ac:dyDescent="0.2">
      <c r="A1421" s="13">
        <v>45309</v>
      </c>
      <c r="B1421" s="13">
        <v>45309</v>
      </c>
      <c r="C1421" s="25" t="s">
        <v>398</v>
      </c>
      <c r="D1421" s="20">
        <v>0</v>
      </c>
      <c r="E1421" s="28">
        <v>38581.65</v>
      </c>
      <c r="F1421" s="22" t="s">
        <v>85</v>
      </c>
      <c r="G1421" s="14">
        <v>45</v>
      </c>
      <c r="H1421" s="40">
        <v>44932</v>
      </c>
      <c r="I1421" s="46">
        <f t="shared" si="88"/>
        <v>377</v>
      </c>
      <c r="J1421" s="1" t="s">
        <v>15</v>
      </c>
      <c r="K1421" s="4" t="s">
        <v>199</v>
      </c>
      <c r="L1421" s="4" t="s">
        <v>225</v>
      </c>
      <c r="M1421" s="8">
        <v>45</v>
      </c>
      <c r="N1421" s="5">
        <v>857.37</v>
      </c>
      <c r="O1421" s="5">
        <v>38581.65</v>
      </c>
      <c r="P1421">
        <f t="shared" si="89"/>
        <v>1</v>
      </c>
      <c r="Q1421" s="36">
        <f t="shared" si="90"/>
        <v>38581.65</v>
      </c>
      <c r="R1421">
        <f t="shared" si="91"/>
        <v>2023</v>
      </c>
    </row>
    <row r="1422" spans="1:18" x14ac:dyDescent="0.2">
      <c r="A1422" s="13">
        <v>45309</v>
      </c>
      <c r="B1422" s="13">
        <v>45309</v>
      </c>
      <c r="C1422" s="25" t="s">
        <v>398</v>
      </c>
      <c r="D1422" s="20">
        <v>0</v>
      </c>
      <c r="E1422" s="28">
        <v>38581.65</v>
      </c>
      <c r="F1422" s="22" t="s">
        <v>85</v>
      </c>
      <c r="G1422" s="14">
        <v>45</v>
      </c>
      <c r="H1422" s="40">
        <v>44932</v>
      </c>
      <c r="I1422" s="46">
        <f t="shared" si="88"/>
        <v>377</v>
      </c>
      <c r="J1422" s="1" t="s">
        <v>15</v>
      </c>
      <c r="K1422" s="4" t="s">
        <v>199</v>
      </c>
      <c r="L1422" s="4" t="s">
        <v>225</v>
      </c>
      <c r="M1422" s="8">
        <v>45</v>
      </c>
      <c r="N1422" s="5">
        <v>857.37</v>
      </c>
      <c r="O1422" s="5">
        <v>38581.65</v>
      </c>
      <c r="P1422">
        <f t="shared" si="89"/>
        <v>1</v>
      </c>
      <c r="Q1422" s="36">
        <f t="shared" si="90"/>
        <v>38581.65</v>
      </c>
      <c r="R1422">
        <f t="shared" si="91"/>
        <v>2023</v>
      </c>
    </row>
    <row r="1423" spans="1:18" x14ac:dyDescent="0.2">
      <c r="A1423" s="13">
        <v>45309</v>
      </c>
      <c r="B1423" s="13">
        <v>45309</v>
      </c>
      <c r="C1423" s="25" t="s">
        <v>398</v>
      </c>
      <c r="D1423" s="20">
        <v>0</v>
      </c>
      <c r="E1423" s="28">
        <v>38581.65</v>
      </c>
      <c r="F1423" s="22" t="s">
        <v>85</v>
      </c>
      <c r="G1423" s="14">
        <v>45</v>
      </c>
      <c r="H1423" s="40">
        <v>44932</v>
      </c>
      <c r="I1423" s="46">
        <f t="shared" si="88"/>
        <v>377</v>
      </c>
      <c r="J1423" s="1" t="s">
        <v>15</v>
      </c>
      <c r="K1423" s="4" t="s">
        <v>199</v>
      </c>
      <c r="L1423" s="4" t="s">
        <v>225</v>
      </c>
      <c r="M1423" s="8">
        <v>45</v>
      </c>
      <c r="N1423" s="5">
        <v>857.37</v>
      </c>
      <c r="O1423" s="5">
        <v>38581.65</v>
      </c>
      <c r="P1423">
        <f t="shared" si="89"/>
        <v>1</v>
      </c>
      <c r="Q1423" s="36">
        <f t="shared" si="90"/>
        <v>38581.65</v>
      </c>
      <c r="R1423">
        <f t="shared" si="91"/>
        <v>2023</v>
      </c>
    </row>
    <row r="1424" spans="1:18" x14ac:dyDescent="0.2">
      <c r="A1424" s="13">
        <v>45309</v>
      </c>
      <c r="B1424" s="13">
        <v>45309</v>
      </c>
      <c r="C1424" s="25" t="s">
        <v>398</v>
      </c>
      <c r="D1424" s="20">
        <v>0</v>
      </c>
      <c r="E1424" s="28">
        <v>38581.65</v>
      </c>
      <c r="F1424" s="22" t="s">
        <v>85</v>
      </c>
      <c r="G1424" s="14">
        <v>45</v>
      </c>
      <c r="H1424" s="40">
        <v>44932</v>
      </c>
      <c r="I1424" s="46">
        <f t="shared" si="88"/>
        <v>377</v>
      </c>
      <c r="J1424" s="1" t="s">
        <v>15</v>
      </c>
      <c r="K1424" s="4" t="s">
        <v>199</v>
      </c>
      <c r="L1424" s="4" t="s">
        <v>225</v>
      </c>
      <c r="M1424" s="8">
        <v>45</v>
      </c>
      <c r="N1424" s="5">
        <v>857.37</v>
      </c>
      <c r="O1424" s="5">
        <v>38581.65</v>
      </c>
      <c r="P1424">
        <f t="shared" si="89"/>
        <v>1</v>
      </c>
      <c r="Q1424" s="36">
        <f t="shared" si="90"/>
        <v>38581.65</v>
      </c>
      <c r="R1424">
        <f t="shared" si="91"/>
        <v>2023</v>
      </c>
    </row>
    <row r="1425" spans="1:18" x14ac:dyDescent="0.2">
      <c r="A1425" s="13">
        <v>45316</v>
      </c>
      <c r="B1425" s="13">
        <v>45316</v>
      </c>
      <c r="C1425" s="25" t="s">
        <v>398</v>
      </c>
      <c r="D1425" s="20">
        <v>0</v>
      </c>
      <c r="E1425" s="28">
        <v>38581.65</v>
      </c>
      <c r="F1425" s="22" t="s">
        <v>85</v>
      </c>
      <c r="G1425" s="14">
        <v>45</v>
      </c>
      <c r="H1425" s="40">
        <v>44939</v>
      </c>
      <c r="I1425" s="46">
        <f t="shared" si="88"/>
        <v>377</v>
      </c>
      <c r="J1425" s="1" t="s">
        <v>15</v>
      </c>
      <c r="K1425" s="4" t="s">
        <v>199</v>
      </c>
      <c r="L1425" s="4" t="s">
        <v>225</v>
      </c>
      <c r="M1425" s="8">
        <v>45</v>
      </c>
      <c r="N1425" s="5">
        <v>857.37</v>
      </c>
      <c r="O1425" s="5">
        <v>38581.65</v>
      </c>
      <c r="P1425">
        <f t="shared" si="89"/>
        <v>1</v>
      </c>
      <c r="Q1425" s="36">
        <f t="shared" si="90"/>
        <v>38581.65</v>
      </c>
      <c r="R1425">
        <f t="shared" si="91"/>
        <v>2023</v>
      </c>
    </row>
    <row r="1426" spans="1:18" x14ac:dyDescent="0.2">
      <c r="A1426" s="13">
        <v>45316</v>
      </c>
      <c r="B1426" s="13">
        <v>45316</v>
      </c>
      <c r="C1426" s="25" t="s">
        <v>398</v>
      </c>
      <c r="D1426" s="20">
        <v>0</v>
      </c>
      <c r="E1426" s="28">
        <v>38581.65</v>
      </c>
      <c r="F1426" s="22" t="s">
        <v>85</v>
      </c>
      <c r="G1426" s="14">
        <v>45</v>
      </c>
      <c r="H1426" s="40">
        <v>44939</v>
      </c>
      <c r="I1426" s="46">
        <f t="shared" si="88"/>
        <v>377</v>
      </c>
      <c r="J1426" s="1" t="s">
        <v>15</v>
      </c>
      <c r="K1426" s="4" t="s">
        <v>199</v>
      </c>
      <c r="L1426" s="4" t="s">
        <v>225</v>
      </c>
      <c r="M1426" s="8">
        <v>45</v>
      </c>
      <c r="N1426" s="5">
        <v>857.37</v>
      </c>
      <c r="O1426" s="5">
        <v>38581.65</v>
      </c>
      <c r="P1426">
        <f t="shared" si="89"/>
        <v>1</v>
      </c>
      <c r="Q1426" s="36">
        <f t="shared" si="90"/>
        <v>38581.65</v>
      </c>
      <c r="R1426">
        <f t="shared" si="91"/>
        <v>2023</v>
      </c>
    </row>
    <row r="1427" spans="1:18" x14ac:dyDescent="0.2">
      <c r="A1427" s="13">
        <v>45316</v>
      </c>
      <c r="B1427" s="13">
        <v>45316</v>
      </c>
      <c r="C1427" s="25" t="s">
        <v>398</v>
      </c>
      <c r="D1427" s="20">
        <v>0</v>
      </c>
      <c r="E1427" s="28">
        <v>38581.65</v>
      </c>
      <c r="F1427" s="22" t="s">
        <v>85</v>
      </c>
      <c r="G1427" s="14">
        <v>45</v>
      </c>
      <c r="H1427" s="40">
        <v>44939</v>
      </c>
      <c r="I1427" s="46">
        <f t="shared" si="88"/>
        <v>377</v>
      </c>
      <c r="J1427" s="1" t="s">
        <v>15</v>
      </c>
      <c r="K1427" s="4" t="s">
        <v>199</v>
      </c>
      <c r="L1427" s="4" t="s">
        <v>225</v>
      </c>
      <c r="M1427" s="8">
        <v>45</v>
      </c>
      <c r="N1427" s="5">
        <v>857.37</v>
      </c>
      <c r="O1427" s="5">
        <v>38581.65</v>
      </c>
      <c r="P1427">
        <f t="shared" si="89"/>
        <v>1</v>
      </c>
      <c r="Q1427" s="36">
        <f t="shared" si="90"/>
        <v>38581.65</v>
      </c>
      <c r="R1427">
        <f t="shared" si="91"/>
        <v>2023</v>
      </c>
    </row>
    <row r="1428" spans="1:18" x14ac:dyDescent="0.2">
      <c r="A1428" s="13">
        <v>45316</v>
      </c>
      <c r="B1428" s="13">
        <v>45316</v>
      </c>
      <c r="C1428" s="25" t="s">
        <v>398</v>
      </c>
      <c r="D1428" s="20">
        <v>0</v>
      </c>
      <c r="E1428" s="28">
        <v>12860.55</v>
      </c>
      <c r="F1428" s="22" t="s">
        <v>85</v>
      </c>
      <c r="G1428" s="14">
        <v>15</v>
      </c>
      <c r="H1428" s="40">
        <v>44939</v>
      </c>
      <c r="I1428" s="46">
        <f t="shared" si="88"/>
        <v>377</v>
      </c>
      <c r="J1428" s="1" t="s">
        <v>15</v>
      </c>
      <c r="K1428" s="4" t="s">
        <v>199</v>
      </c>
      <c r="L1428" s="4" t="s">
        <v>225</v>
      </c>
      <c r="M1428" s="8">
        <v>15</v>
      </c>
      <c r="N1428" s="5">
        <v>857.37</v>
      </c>
      <c r="O1428" s="5">
        <v>12860.55</v>
      </c>
      <c r="P1428">
        <f t="shared" si="89"/>
        <v>1</v>
      </c>
      <c r="Q1428" s="36">
        <f t="shared" si="90"/>
        <v>12860.55</v>
      </c>
      <c r="R1428">
        <f t="shared" si="91"/>
        <v>2023</v>
      </c>
    </row>
    <row r="1429" spans="1:18" x14ac:dyDescent="0.2">
      <c r="A1429" s="13">
        <v>45419</v>
      </c>
      <c r="B1429" s="13">
        <v>45419</v>
      </c>
      <c r="C1429" s="25" t="s">
        <v>398</v>
      </c>
      <c r="D1429" s="20">
        <v>0</v>
      </c>
      <c r="E1429" s="28">
        <v>25721.1</v>
      </c>
      <c r="F1429" s="22" t="s">
        <v>85</v>
      </c>
      <c r="G1429" s="14">
        <v>30</v>
      </c>
      <c r="H1429" s="40">
        <v>45041</v>
      </c>
      <c r="I1429" s="46">
        <f t="shared" si="88"/>
        <v>378</v>
      </c>
      <c r="J1429" s="1" t="s">
        <v>15</v>
      </c>
      <c r="K1429" s="4" t="s">
        <v>200</v>
      </c>
      <c r="L1429" s="4" t="s">
        <v>225</v>
      </c>
      <c r="M1429" s="8">
        <v>30</v>
      </c>
      <c r="N1429" s="5">
        <v>857.37</v>
      </c>
      <c r="O1429" s="5">
        <v>25721.1</v>
      </c>
      <c r="P1429">
        <f t="shared" si="89"/>
        <v>1</v>
      </c>
      <c r="Q1429" s="36">
        <f t="shared" si="90"/>
        <v>25721.1</v>
      </c>
      <c r="R1429">
        <f t="shared" si="91"/>
        <v>2023</v>
      </c>
    </row>
    <row r="1430" spans="1:18" x14ac:dyDescent="0.2">
      <c r="A1430" s="13">
        <v>45419</v>
      </c>
      <c r="B1430" s="13">
        <v>45419</v>
      </c>
      <c r="C1430" s="25" t="s">
        <v>398</v>
      </c>
      <c r="D1430" s="20">
        <v>0</v>
      </c>
      <c r="E1430" s="28">
        <v>38581.65</v>
      </c>
      <c r="F1430" s="22" t="s">
        <v>85</v>
      </c>
      <c r="G1430" s="14">
        <v>45</v>
      </c>
      <c r="H1430" s="40">
        <v>45042</v>
      </c>
      <c r="I1430" s="46">
        <f t="shared" si="88"/>
        <v>377</v>
      </c>
      <c r="J1430" s="1" t="s">
        <v>15</v>
      </c>
      <c r="K1430" s="4" t="s">
        <v>200</v>
      </c>
      <c r="L1430" s="4" t="s">
        <v>225</v>
      </c>
      <c r="M1430" s="8">
        <v>45</v>
      </c>
      <c r="N1430" s="5">
        <v>857.37</v>
      </c>
      <c r="O1430" s="5">
        <v>38581.65</v>
      </c>
      <c r="P1430">
        <f t="shared" si="89"/>
        <v>1</v>
      </c>
      <c r="Q1430" s="36">
        <f t="shared" si="90"/>
        <v>38581.65</v>
      </c>
      <c r="R1430">
        <f t="shared" si="91"/>
        <v>2023</v>
      </c>
    </row>
    <row r="1431" spans="1:18" x14ac:dyDescent="0.2">
      <c r="A1431" s="13">
        <v>45419</v>
      </c>
      <c r="B1431" s="13">
        <v>45419</v>
      </c>
      <c r="C1431" s="25" t="s">
        <v>398</v>
      </c>
      <c r="D1431" s="20">
        <v>0</v>
      </c>
      <c r="E1431" s="28">
        <v>38581.65</v>
      </c>
      <c r="F1431" s="22" t="s">
        <v>85</v>
      </c>
      <c r="G1431" s="14">
        <v>45</v>
      </c>
      <c r="H1431" s="40">
        <v>45042</v>
      </c>
      <c r="I1431" s="46">
        <f t="shared" si="88"/>
        <v>377</v>
      </c>
      <c r="J1431" s="1" t="s">
        <v>15</v>
      </c>
      <c r="K1431" s="4" t="s">
        <v>200</v>
      </c>
      <c r="L1431" s="4" t="s">
        <v>225</v>
      </c>
      <c r="M1431" s="8">
        <v>45</v>
      </c>
      <c r="N1431" s="5">
        <v>857.37</v>
      </c>
      <c r="O1431" s="5">
        <v>38581.65</v>
      </c>
      <c r="P1431">
        <f t="shared" si="89"/>
        <v>1</v>
      </c>
      <c r="Q1431" s="36">
        <f t="shared" si="90"/>
        <v>38581.65</v>
      </c>
      <c r="R1431">
        <f t="shared" si="91"/>
        <v>2023</v>
      </c>
    </row>
    <row r="1432" spans="1:18" x14ac:dyDescent="0.2">
      <c r="A1432" s="13">
        <v>45419</v>
      </c>
      <c r="B1432" s="13">
        <v>45419</v>
      </c>
      <c r="C1432" s="25" t="s">
        <v>398</v>
      </c>
      <c r="D1432" s="20">
        <v>0</v>
      </c>
      <c r="E1432" s="28">
        <v>38581.65</v>
      </c>
      <c r="F1432" s="22" t="s">
        <v>85</v>
      </c>
      <c r="G1432" s="14">
        <v>45</v>
      </c>
      <c r="H1432" s="40">
        <v>45042</v>
      </c>
      <c r="I1432" s="46">
        <f t="shared" si="88"/>
        <v>377</v>
      </c>
      <c r="J1432" s="1" t="s">
        <v>15</v>
      </c>
      <c r="K1432" s="4" t="s">
        <v>200</v>
      </c>
      <c r="L1432" s="4" t="s">
        <v>225</v>
      </c>
      <c r="M1432" s="8">
        <v>45</v>
      </c>
      <c r="N1432" s="5">
        <v>857.37</v>
      </c>
      <c r="O1432" s="5">
        <v>38581.65</v>
      </c>
      <c r="P1432">
        <f t="shared" si="89"/>
        <v>1</v>
      </c>
      <c r="Q1432" s="36">
        <f t="shared" si="90"/>
        <v>38581.65</v>
      </c>
      <c r="R1432">
        <f t="shared" si="91"/>
        <v>2023</v>
      </c>
    </row>
    <row r="1433" spans="1:18" x14ac:dyDescent="0.2">
      <c r="A1433" s="13">
        <v>45419</v>
      </c>
      <c r="B1433" s="13">
        <v>45419</v>
      </c>
      <c r="C1433" s="25" t="s">
        <v>398</v>
      </c>
      <c r="D1433" s="20">
        <v>0</v>
      </c>
      <c r="E1433" s="28">
        <v>38581.65</v>
      </c>
      <c r="F1433" s="22" t="s">
        <v>85</v>
      </c>
      <c r="G1433" s="14">
        <v>45</v>
      </c>
      <c r="H1433" s="40">
        <v>45042</v>
      </c>
      <c r="I1433" s="46">
        <f t="shared" si="88"/>
        <v>377</v>
      </c>
      <c r="J1433" s="1" t="s">
        <v>15</v>
      </c>
      <c r="K1433" s="4" t="s">
        <v>200</v>
      </c>
      <c r="L1433" s="4" t="s">
        <v>225</v>
      </c>
      <c r="M1433" s="8">
        <v>45</v>
      </c>
      <c r="N1433" s="5">
        <v>857.37</v>
      </c>
      <c r="O1433" s="5">
        <v>38581.65</v>
      </c>
      <c r="P1433">
        <f t="shared" si="89"/>
        <v>1</v>
      </c>
      <c r="Q1433" s="36">
        <f t="shared" si="90"/>
        <v>38581.65</v>
      </c>
      <c r="R1433">
        <f t="shared" si="91"/>
        <v>2023</v>
      </c>
    </row>
    <row r="1434" spans="1:18" x14ac:dyDescent="0.2">
      <c r="A1434" s="13">
        <v>45419</v>
      </c>
      <c r="B1434" s="13">
        <v>45419</v>
      </c>
      <c r="C1434" s="25" t="s">
        <v>398</v>
      </c>
      <c r="D1434" s="20">
        <v>0</v>
      </c>
      <c r="E1434" s="28">
        <v>38581.65</v>
      </c>
      <c r="F1434" s="22" t="s">
        <v>85</v>
      </c>
      <c r="G1434" s="14">
        <v>45</v>
      </c>
      <c r="H1434" s="40">
        <v>45042</v>
      </c>
      <c r="I1434" s="46">
        <f t="shared" si="88"/>
        <v>377</v>
      </c>
      <c r="J1434" s="1" t="s">
        <v>15</v>
      </c>
      <c r="K1434" s="4" t="s">
        <v>200</v>
      </c>
      <c r="L1434" s="4" t="s">
        <v>225</v>
      </c>
      <c r="M1434" s="8">
        <v>45</v>
      </c>
      <c r="N1434" s="5">
        <v>857.37</v>
      </c>
      <c r="O1434" s="5">
        <v>38581.65</v>
      </c>
      <c r="P1434">
        <f t="shared" si="89"/>
        <v>1</v>
      </c>
      <c r="Q1434" s="36">
        <f t="shared" si="90"/>
        <v>38581.65</v>
      </c>
      <c r="R1434">
        <f t="shared" si="91"/>
        <v>2023</v>
      </c>
    </row>
    <row r="1435" spans="1:18" x14ac:dyDescent="0.2">
      <c r="A1435" s="13">
        <v>45310</v>
      </c>
      <c r="B1435" s="13">
        <v>44863</v>
      </c>
      <c r="C1435" s="25" t="s">
        <v>399</v>
      </c>
      <c r="D1435" s="20">
        <v>447</v>
      </c>
      <c r="E1435" s="28">
        <v>79495.039999999994</v>
      </c>
      <c r="F1435" s="22" t="s">
        <v>86</v>
      </c>
      <c r="G1435" s="14">
        <v>32</v>
      </c>
      <c r="H1435" s="40">
        <v>44470</v>
      </c>
      <c r="I1435" s="46">
        <f t="shared" si="88"/>
        <v>840</v>
      </c>
      <c r="J1435" s="1" t="s">
        <v>15</v>
      </c>
      <c r="K1435" s="4" t="s">
        <v>199</v>
      </c>
      <c r="L1435" s="4" t="s">
        <v>225</v>
      </c>
      <c r="M1435" s="8">
        <v>32</v>
      </c>
      <c r="N1435" s="5">
        <v>2484.2199999999998</v>
      </c>
      <c r="O1435" s="5">
        <v>79495.039999999994</v>
      </c>
      <c r="P1435">
        <f t="shared" si="89"/>
        <v>1</v>
      </c>
      <c r="Q1435" s="36">
        <f t="shared" si="90"/>
        <v>79495.039999999994</v>
      </c>
      <c r="R1435">
        <f t="shared" si="91"/>
        <v>2021</v>
      </c>
    </row>
    <row r="1436" spans="1:18" x14ac:dyDescent="0.2">
      <c r="A1436" s="13">
        <v>45310</v>
      </c>
      <c r="B1436" s="13">
        <v>44833</v>
      </c>
      <c r="C1436" s="25" t="s">
        <v>399</v>
      </c>
      <c r="D1436" s="20">
        <v>477</v>
      </c>
      <c r="E1436" s="28">
        <v>79495.039999999994</v>
      </c>
      <c r="F1436" s="22" t="s">
        <v>86</v>
      </c>
      <c r="G1436" s="14">
        <v>32</v>
      </c>
      <c r="H1436" s="40">
        <v>44470</v>
      </c>
      <c r="I1436" s="46">
        <f t="shared" si="88"/>
        <v>840</v>
      </c>
      <c r="J1436" s="1" t="s">
        <v>15</v>
      </c>
      <c r="K1436" s="4" t="s">
        <v>199</v>
      </c>
      <c r="L1436" s="4" t="s">
        <v>225</v>
      </c>
      <c r="M1436" s="8">
        <v>32</v>
      </c>
      <c r="N1436" s="5">
        <v>2484.2199999999998</v>
      </c>
      <c r="O1436" s="5">
        <v>79495.039999999994</v>
      </c>
      <c r="P1436">
        <f t="shared" si="89"/>
        <v>1</v>
      </c>
      <c r="Q1436" s="36">
        <f t="shared" si="90"/>
        <v>79495.039999999994</v>
      </c>
      <c r="R1436">
        <f t="shared" si="91"/>
        <v>2021</v>
      </c>
    </row>
    <row r="1437" spans="1:18" x14ac:dyDescent="0.2">
      <c r="A1437" s="13">
        <v>45310</v>
      </c>
      <c r="B1437" s="13">
        <v>44833</v>
      </c>
      <c r="C1437" s="25" t="s">
        <v>399</v>
      </c>
      <c r="D1437" s="20">
        <v>477</v>
      </c>
      <c r="E1437" s="28">
        <v>39747.519999999997</v>
      </c>
      <c r="F1437" s="22" t="s">
        <v>86</v>
      </c>
      <c r="G1437" s="14">
        <v>16</v>
      </c>
      <c r="H1437" s="40">
        <v>44470</v>
      </c>
      <c r="I1437" s="46">
        <f t="shared" si="88"/>
        <v>840</v>
      </c>
      <c r="J1437" s="1" t="s">
        <v>15</v>
      </c>
      <c r="K1437" s="4" t="s">
        <v>199</v>
      </c>
      <c r="L1437" s="4" t="s">
        <v>225</v>
      </c>
      <c r="M1437" s="8">
        <v>16</v>
      </c>
      <c r="N1437" s="5">
        <v>2484.2199999999998</v>
      </c>
      <c r="O1437" s="5">
        <v>39747.519999999997</v>
      </c>
      <c r="P1437">
        <f t="shared" si="89"/>
        <v>1</v>
      </c>
      <c r="Q1437" s="36">
        <f t="shared" si="90"/>
        <v>39747.519999999997</v>
      </c>
      <c r="R1437">
        <f t="shared" si="91"/>
        <v>2021</v>
      </c>
    </row>
    <row r="1438" spans="1:18" x14ac:dyDescent="0.2">
      <c r="A1438" s="13">
        <v>45310</v>
      </c>
      <c r="B1438" s="13">
        <v>44833</v>
      </c>
      <c r="C1438" s="25" t="s">
        <v>399</v>
      </c>
      <c r="D1438" s="20">
        <v>477</v>
      </c>
      <c r="E1438" s="28">
        <v>79495.039999999994</v>
      </c>
      <c r="F1438" s="22" t="s">
        <v>86</v>
      </c>
      <c r="G1438" s="14">
        <v>32</v>
      </c>
      <c r="H1438" s="40">
        <v>44470</v>
      </c>
      <c r="I1438" s="46">
        <f t="shared" si="88"/>
        <v>840</v>
      </c>
      <c r="J1438" s="1" t="s">
        <v>15</v>
      </c>
      <c r="K1438" s="4" t="s">
        <v>199</v>
      </c>
      <c r="L1438" s="4" t="s">
        <v>225</v>
      </c>
      <c r="M1438" s="8">
        <v>32</v>
      </c>
      <c r="N1438" s="5">
        <v>2484.2199999999998</v>
      </c>
      <c r="O1438" s="5">
        <v>79495.039999999994</v>
      </c>
      <c r="P1438">
        <f t="shared" si="89"/>
        <v>1</v>
      </c>
      <c r="Q1438" s="36">
        <f t="shared" si="90"/>
        <v>79495.039999999994</v>
      </c>
      <c r="R1438">
        <f t="shared" si="91"/>
        <v>2021</v>
      </c>
    </row>
    <row r="1439" spans="1:18" x14ac:dyDescent="0.2">
      <c r="A1439" s="13">
        <v>45310</v>
      </c>
      <c r="B1439" s="13">
        <v>44833</v>
      </c>
      <c r="C1439" s="25" t="s">
        <v>399</v>
      </c>
      <c r="D1439" s="20">
        <v>477</v>
      </c>
      <c r="E1439" s="28">
        <v>79495.039999999994</v>
      </c>
      <c r="F1439" s="22" t="s">
        <v>86</v>
      </c>
      <c r="G1439" s="14">
        <v>32</v>
      </c>
      <c r="H1439" s="40">
        <v>44470</v>
      </c>
      <c r="I1439" s="46">
        <f t="shared" si="88"/>
        <v>840</v>
      </c>
      <c r="J1439" s="1" t="s">
        <v>15</v>
      </c>
      <c r="K1439" s="4" t="s">
        <v>199</v>
      </c>
      <c r="L1439" s="4" t="s">
        <v>225</v>
      </c>
      <c r="M1439" s="8">
        <v>32</v>
      </c>
      <c r="N1439" s="5">
        <v>2484.2199999999998</v>
      </c>
      <c r="O1439" s="5">
        <v>79495.039999999994</v>
      </c>
      <c r="P1439">
        <f t="shared" si="89"/>
        <v>1</v>
      </c>
      <c r="Q1439" s="36">
        <f t="shared" si="90"/>
        <v>79495.039999999994</v>
      </c>
      <c r="R1439">
        <f t="shared" si="91"/>
        <v>2021</v>
      </c>
    </row>
    <row r="1440" spans="1:18" x14ac:dyDescent="0.2">
      <c r="A1440" s="13">
        <v>45310</v>
      </c>
      <c r="B1440" s="13">
        <v>44833</v>
      </c>
      <c r="C1440" s="25" t="s">
        <v>399</v>
      </c>
      <c r="D1440" s="20">
        <v>477</v>
      </c>
      <c r="E1440" s="28">
        <v>79495.039999999994</v>
      </c>
      <c r="F1440" s="22" t="s">
        <v>86</v>
      </c>
      <c r="G1440" s="14">
        <v>32</v>
      </c>
      <c r="H1440" s="40">
        <v>44470</v>
      </c>
      <c r="I1440" s="46">
        <f t="shared" si="88"/>
        <v>840</v>
      </c>
      <c r="J1440" s="1" t="s">
        <v>15</v>
      </c>
      <c r="K1440" s="4" t="s">
        <v>199</v>
      </c>
      <c r="L1440" s="4" t="s">
        <v>225</v>
      </c>
      <c r="M1440" s="8">
        <v>32</v>
      </c>
      <c r="N1440" s="5">
        <v>2484.2199999999998</v>
      </c>
      <c r="O1440" s="5">
        <v>79495.039999999994</v>
      </c>
      <c r="P1440">
        <f t="shared" si="89"/>
        <v>1</v>
      </c>
      <c r="Q1440" s="36">
        <f t="shared" si="90"/>
        <v>79495.039999999994</v>
      </c>
      <c r="R1440">
        <f t="shared" si="91"/>
        <v>2021</v>
      </c>
    </row>
    <row r="1441" spans="1:18" x14ac:dyDescent="0.2">
      <c r="A1441" s="13">
        <v>45310</v>
      </c>
      <c r="B1441" s="13">
        <v>44833</v>
      </c>
      <c r="C1441" s="25" t="s">
        <v>399</v>
      </c>
      <c r="D1441" s="20">
        <v>477</v>
      </c>
      <c r="E1441" s="28">
        <v>79495.039999999994</v>
      </c>
      <c r="F1441" s="22" t="s">
        <v>86</v>
      </c>
      <c r="G1441" s="14">
        <v>32</v>
      </c>
      <c r="H1441" s="40">
        <v>44470</v>
      </c>
      <c r="I1441" s="46">
        <f t="shared" si="88"/>
        <v>840</v>
      </c>
      <c r="J1441" s="1" t="s">
        <v>15</v>
      </c>
      <c r="K1441" s="4" t="s">
        <v>199</v>
      </c>
      <c r="L1441" s="4" t="s">
        <v>225</v>
      </c>
      <c r="M1441" s="8">
        <v>32</v>
      </c>
      <c r="N1441" s="5">
        <v>2484.2199999999998</v>
      </c>
      <c r="O1441" s="5">
        <v>79495.039999999994</v>
      </c>
      <c r="P1441">
        <f t="shared" si="89"/>
        <v>1</v>
      </c>
      <c r="Q1441" s="36">
        <f t="shared" si="90"/>
        <v>79495.039999999994</v>
      </c>
      <c r="R1441">
        <f t="shared" si="91"/>
        <v>2021</v>
      </c>
    </row>
    <row r="1442" spans="1:18" x14ac:dyDescent="0.2">
      <c r="A1442" s="13">
        <v>45310</v>
      </c>
      <c r="B1442" s="13">
        <v>44833</v>
      </c>
      <c r="C1442" s="25" t="s">
        <v>399</v>
      </c>
      <c r="D1442" s="20">
        <v>477</v>
      </c>
      <c r="E1442" s="28">
        <v>79495.039999999994</v>
      </c>
      <c r="F1442" s="22" t="s">
        <v>86</v>
      </c>
      <c r="G1442" s="14">
        <v>32</v>
      </c>
      <c r="H1442" s="40">
        <v>44470</v>
      </c>
      <c r="I1442" s="46">
        <f t="shared" si="88"/>
        <v>840</v>
      </c>
      <c r="J1442" s="1" t="s">
        <v>15</v>
      </c>
      <c r="K1442" s="4" t="s">
        <v>199</v>
      </c>
      <c r="L1442" s="4" t="s">
        <v>225</v>
      </c>
      <c r="M1442" s="8">
        <v>32</v>
      </c>
      <c r="N1442" s="5">
        <v>2484.2199999999998</v>
      </c>
      <c r="O1442" s="5">
        <v>79495.039999999994</v>
      </c>
      <c r="P1442">
        <f t="shared" si="89"/>
        <v>1</v>
      </c>
      <c r="Q1442" s="36">
        <f t="shared" si="90"/>
        <v>79495.039999999994</v>
      </c>
      <c r="R1442">
        <f t="shared" si="91"/>
        <v>2021</v>
      </c>
    </row>
    <row r="1443" spans="1:18" x14ac:dyDescent="0.2">
      <c r="A1443" s="13">
        <v>45310</v>
      </c>
      <c r="B1443" s="13">
        <v>44833</v>
      </c>
      <c r="C1443" s="25" t="s">
        <v>399</v>
      </c>
      <c r="D1443" s="20">
        <v>477</v>
      </c>
      <c r="E1443" s="28">
        <v>79495.039999999994</v>
      </c>
      <c r="F1443" s="22" t="s">
        <v>86</v>
      </c>
      <c r="G1443" s="14">
        <v>32</v>
      </c>
      <c r="H1443" s="40">
        <v>44470</v>
      </c>
      <c r="I1443" s="46">
        <f t="shared" si="88"/>
        <v>840</v>
      </c>
      <c r="J1443" s="1" t="s">
        <v>15</v>
      </c>
      <c r="K1443" s="4" t="s">
        <v>199</v>
      </c>
      <c r="L1443" s="4" t="s">
        <v>225</v>
      </c>
      <c r="M1443" s="8">
        <v>32</v>
      </c>
      <c r="N1443" s="5">
        <v>2484.2199999999998</v>
      </c>
      <c r="O1443" s="5">
        <v>79495.039999999994</v>
      </c>
      <c r="P1443">
        <f t="shared" si="89"/>
        <v>1</v>
      </c>
      <c r="Q1443" s="36">
        <f t="shared" si="90"/>
        <v>79495.039999999994</v>
      </c>
      <c r="R1443">
        <f t="shared" si="91"/>
        <v>2021</v>
      </c>
    </row>
    <row r="1444" spans="1:18" x14ac:dyDescent="0.2">
      <c r="A1444" s="13">
        <v>45310</v>
      </c>
      <c r="B1444" s="13">
        <v>44833</v>
      </c>
      <c r="C1444" s="25" t="s">
        <v>399</v>
      </c>
      <c r="D1444" s="20">
        <v>477</v>
      </c>
      <c r="E1444" s="28">
        <v>79495.039999999994</v>
      </c>
      <c r="F1444" s="22" t="s">
        <v>86</v>
      </c>
      <c r="G1444" s="14">
        <v>32</v>
      </c>
      <c r="H1444" s="40">
        <v>44470</v>
      </c>
      <c r="I1444" s="46">
        <f t="shared" si="88"/>
        <v>840</v>
      </c>
      <c r="J1444" s="1" t="s">
        <v>15</v>
      </c>
      <c r="K1444" s="4" t="s">
        <v>199</v>
      </c>
      <c r="L1444" s="4" t="s">
        <v>225</v>
      </c>
      <c r="M1444" s="8">
        <v>32</v>
      </c>
      <c r="N1444" s="5">
        <v>2484.2199999999998</v>
      </c>
      <c r="O1444" s="5">
        <v>79495.039999999994</v>
      </c>
      <c r="P1444">
        <f t="shared" si="89"/>
        <v>1</v>
      </c>
      <c r="Q1444" s="36">
        <f t="shared" si="90"/>
        <v>79495.039999999994</v>
      </c>
      <c r="R1444">
        <f t="shared" si="91"/>
        <v>2021</v>
      </c>
    </row>
    <row r="1445" spans="1:18" x14ac:dyDescent="0.2">
      <c r="A1445" s="13">
        <v>45310</v>
      </c>
      <c r="B1445" s="13">
        <v>44833</v>
      </c>
      <c r="C1445" s="25" t="s">
        <v>399</v>
      </c>
      <c r="D1445" s="20">
        <v>477</v>
      </c>
      <c r="E1445" s="28">
        <v>79495.039999999994</v>
      </c>
      <c r="F1445" s="22" t="s">
        <v>86</v>
      </c>
      <c r="G1445" s="14">
        <v>32</v>
      </c>
      <c r="H1445" s="40">
        <v>44470</v>
      </c>
      <c r="I1445" s="46">
        <f t="shared" si="88"/>
        <v>840</v>
      </c>
      <c r="J1445" s="1" t="s">
        <v>15</v>
      </c>
      <c r="K1445" s="4" t="s">
        <v>199</v>
      </c>
      <c r="L1445" s="4" t="s">
        <v>225</v>
      </c>
      <c r="M1445" s="8">
        <v>32</v>
      </c>
      <c r="N1445" s="5">
        <v>2484.2199999999998</v>
      </c>
      <c r="O1445" s="5">
        <v>79495.039999999994</v>
      </c>
      <c r="P1445">
        <f t="shared" si="89"/>
        <v>1</v>
      </c>
      <c r="Q1445" s="36">
        <f t="shared" si="90"/>
        <v>79495.039999999994</v>
      </c>
      <c r="R1445">
        <f t="shared" si="91"/>
        <v>2021</v>
      </c>
    </row>
    <row r="1446" spans="1:18" x14ac:dyDescent="0.2">
      <c r="A1446" s="13">
        <v>45310</v>
      </c>
      <c r="B1446" s="13">
        <v>44833</v>
      </c>
      <c r="C1446" s="25" t="s">
        <v>399</v>
      </c>
      <c r="D1446" s="20">
        <v>477</v>
      </c>
      <c r="E1446" s="28">
        <v>79495.039999999994</v>
      </c>
      <c r="F1446" s="22" t="s">
        <v>86</v>
      </c>
      <c r="G1446" s="14">
        <v>32</v>
      </c>
      <c r="H1446" s="40">
        <v>44470</v>
      </c>
      <c r="I1446" s="46">
        <f t="shared" si="88"/>
        <v>840</v>
      </c>
      <c r="J1446" s="1" t="s">
        <v>15</v>
      </c>
      <c r="K1446" s="4" t="s">
        <v>199</v>
      </c>
      <c r="L1446" s="4" t="s">
        <v>225</v>
      </c>
      <c r="M1446" s="8">
        <v>32</v>
      </c>
      <c r="N1446" s="5">
        <v>2484.2199999999998</v>
      </c>
      <c r="O1446" s="5">
        <v>79495.039999999994</v>
      </c>
      <c r="P1446">
        <f t="shared" si="89"/>
        <v>1</v>
      </c>
      <c r="Q1446" s="36">
        <f t="shared" si="90"/>
        <v>79495.039999999994</v>
      </c>
      <c r="R1446">
        <f t="shared" si="91"/>
        <v>2021</v>
      </c>
    </row>
    <row r="1447" spans="1:18" x14ac:dyDescent="0.2">
      <c r="A1447" s="13">
        <v>45310</v>
      </c>
      <c r="B1447" s="13">
        <v>44833</v>
      </c>
      <c r="C1447" s="25" t="s">
        <v>399</v>
      </c>
      <c r="D1447" s="20">
        <v>477</v>
      </c>
      <c r="E1447" s="28">
        <v>79495.039999999994</v>
      </c>
      <c r="F1447" s="22" t="s">
        <v>86</v>
      </c>
      <c r="G1447" s="14">
        <v>32</v>
      </c>
      <c r="H1447" s="40">
        <v>44475</v>
      </c>
      <c r="I1447" s="46">
        <f t="shared" si="88"/>
        <v>835</v>
      </c>
      <c r="J1447" s="1" t="s">
        <v>15</v>
      </c>
      <c r="K1447" s="4" t="s">
        <v>199</v>
      </c>
      <c r="L1447" s="4" t="s">
        <v>225</v>
      </c>
      <c r="M1447" s="8">
        <v>32</v>
      </c>
      <c r="N1447" s="5">
        <v>2484.2199999999998</v>
      </c>
      <c r="O1447" s="5">
        <v>79495.039999999994</v>
      </c>
      <c r="P1447">
        <f t="shared" si="89"/>
        <v>1</v>
      </c>
      <c r="Q1447" s="36">
        <f t="shared" si="90"/>
        <v>79495.039999999994</v>
      </c>
      <c r="R1447">
        <f t="shared" si="91"/>
        <v>2021</v>
      </c>
    </row>
    <row r="1448" spans="1:18" x14ac:dyDescent="0.2">
      <c r="A1448" s="13">
        <v>45310</v>
      </c>
      <c r="B1448" s="13">
        <v>44840</v>
      </c>
      <c r="C1448" s="25" t="s">
        <v>399</v>
      </c>
      <c r="D1448" s="20">
        <v>470</v>
      </c>
      <c r="E1448" s="28">
        <v>39747.519999999997</v>
      </c>
      <c r="F1448" s="22" t="s">
        <v>86</v>
      </c>
      <c r="G1448" s="14">
        <v>16</v>
      </c>
      <c r="H1448" s="40">
        <v>44475</v>
      </c>
      <c r="I1448" s="46">
        <f t="shared" si="88"/>
        <v>835</v>
      </c>
      <c r="J1448" s="1" t="s">
        <v>15</v>
      </c>
      <c r="K1448" s="4" t="s">
        <v>199</v>
      </c>
      <c r="L1448" s="4" t="s">
        <v>225</v>
      </c>
      <c r="M1448" s="8">
        <v>16</v>
      </c>
      <c r="N1448" s="5">
        <v>2484.2199999999998</v>
      </c>
      <c r="O1448" s="5">
        <v>39747.519999999997</v>
      </c>
      <c r="P1448">
        <f t="shared" si="89"/>
        <v>1</v>
      </c>
      <c r="Q1448" s="36">
        <f t="shared" si="90"/>
        <v>39747.519999999997</v>
      </c>
      <c r="R1448">
        <f t="shared" si="91"/>
        <v>2021</v>
      </c>
    </row>
    <row r="1449" spans="1:18" x14ac:dyDescent="0.2">
      <c r="A1449" s="13">
        <v>45310</v>
      </c>
      <c r="B1449" s="13">
        <v>44833</v>
      </c>
      <c r="C1449" s="25" t="s">
        <v>399</v>
      </c>
      <c r="D1449" s="20">
        <v>477</v>
      </c>
      <c r="E1449" s="28">
        <v>39747.519999999997</v>
      </c>
      <c r="F1449" s="22" t="s">
        <v>86</v>
      </c>
      <c r="G1449" s="14">
        <v>16</v>
      </c>
      <c r="H1449" s="40">
        <v>44475</v>
      </c>
      <c r="I1449" s="46">
        <f t="shared" si="88"/>
        <v>835</v>
      </c>
      <c r="J1449" s="1" t="s">
        <v>15</v>
      </c>
      <c r="K1449" s="4" t="s">
        <v>199</v>
      </c>
      <c r="L1449" s="4" t="s">
        <v>225</v>
      </c>
      <c r="M1449" s="8">
        <v>16</v>
      </c>
      <c r="N1449" s="5">
        <v>2484.2199999999998</v>
      </c>
      <c r="O1449" s="5">
        <v>39747.519999999997</v>
      </c>
      <c r="P1449">
        <f t="shared" si="89"/>
        <v>1</v>
      </c>
      <c r="Q1449" s="36">
        <f t="shared" si="90"/>
        <v>39747.519999999997</v>
      </c>
      <c r="R1449">
        <f t="shared" si="91"/>
        <v>2021</v>
      </c>
    </row>
    <row r="1450" spans="1:18" x14ac:dyDescent="0.2">
      <c r="A1450" s="13">
        <v>45310</v>
      </c>
      <c r="B1450" s="13">
        <v>44833</v>
      </c>
      <c r="C1450" s="25" t="s">
        <v>399</v>
      </c>
      <c r="D1450" s="20">
        <v>477</v>
      </c>
      <c r="E1450" s="28">
        <v>39747.519999999997</v>
      </c>
      <c r="F1450" s="22" t="s">
        <v>86</v>
      </c>
      <c r="G1450" s="14">
        <v>16</v>
      </c>
      <c r="H1450" s="40">
        <v>44475</v>
      </c>
      <c r="I1450" s="46">
        <f t="shared" si="88"/>
        <v>835</v>
      </c>
      <c r="J1450" s="1" t="s">
        <v>15</v>
      </c>
      <c r="K1450" s="4" t="s">
        <v>199</v>
      </c>
      <c r="L1450" s="4" t="s">
        <v>225</v>
      </c>
      <c r="M1450" s="8">
        <v>16</v>
      </c>
      <c r="N1450" s="5">
        <v>2484.2199999999998</v>
      </c>
      <c r="O1450" s="5">
        <v>39747.519999999997</v>
      </c>
      <c r="P1450">
        <f t="shared" si="89"/>
        <v>1</v>
      </c>
      <c r="Q1450" s="36">
        <f t="shared" si="90"/>
        <v>39747.519999999997</v>
      </c>
      <c r="R1450">
        <f t="shared" si="91"/>
        <v>2021</v>
      </c>
    </row>
    <row r="1451" spans="1:18" x14ac:dyDescent="0.2">
      <c r="A1451" s="13">
        <v>45310</v>
      </c>
      <c r="B1451" s="13">
        <v>44840</v>
      </c>
      <c r="C1451" s="25" t="s">
        <v>399</v>
      </c>
      <c r="D1451" s="20">
        <v>470</v>
      </c>
      <c r="E1451" s="28">
        <v>39747.519999999997</v>
      </c>
      <c r="F1451" s="22" t="s">
        <v>86</v>
      </c>
      <c r="G1451" s="14">
        <v>16</v>
      </c>
      <c r="H1451" s="40">
        <v>44475</v>
      </c>
      <c r="I1451" s="46">
        <f t="shared" si="88"/>
        <v>835</v>
      </c>
      <c r="J1451" s="1" t="s">
        <v>15</v>
      </c>
      <c r="K1451" s="4" t="s">
        <v>199</v>
      </c>
      <c r="L1451" s="4" t="s">
        <v>225</v>
      </c>
      <c r="M1451" s="8">
        <v>16</v>
      </c>
      <c r="N1451" s="5">
        <v>2484.2199999999998</v>
      </c>
      <c r="O1451" s="5">
        <v>39747.519999999997</v>
      </c>
      <c r="P1451">
        <f t="shared" si="89"/>
        <v>1</v>
      </c>
      <c r="Q1451" s="36">
        <f t="shared" si="90"/>
        <v>39747.519999999997</v>
      </c>
      <c r="R1451">
        <f t="shared" si="91"/>
        <v>2021</v>
      </c>
    </row>
    <row r="1452" spans="1:18" x14ac:dyDescent="0.2">
      <c r="A1452" s="13">
        <v>45310</v>
      </c>
      <c r="B1452" s="13">
        <v>44833</v>
      </c>
      <c r="C1452" s="25" t="s">
        <v>399</v>
      </c>
      <c r="D1452" s="20">
        <v>477</v>
      </c>
      <c r="E1452" s="28">
        <v>79495.039999999994</v>
      </c>
      <c r="F1452" s="22" t="s">
        <v>86</v>
      </c>
      <c r="G1452" s="14">
        <v>32</v>
      </c>
      <c r="H1452" s="40">
        <v>44475</v>
      </c>
      <c r="I1452" s="46">
        <f t="shared" si="88"/>
        <v>835</v>
      </c>
      <c r="J1452" s="1" t="s">
        <v>15</v>
      </c>
      <c r="K1452" s="4" t="s">
        <v>199</v>
      </c>
      <c r="L1452" s="4" t="s">
        <v>225</v>
      </c>
      <c r="M1452" s="8">
        <v>32</v>
      </c>
      <c r="N1452" s="5">
        <v>2484.2199999999998</v>
      </c>
      <c r="O1452" s="5">
        <v>79495.039999999994</v>
      </c>
      <c r="P1452">
        <f t="shared" si="89"/>
        <v>1</v>
      </c>
      <c r="Q1452" s="36">
        <f t="shared" si="90"/>
        <v>79495.039999999994</v>
      </c>
      <c r="R1452">
        <f t="shared" si="91"/>
        <v>2021</v>
      </c>
    </row>
    <row r="1453" spans="1:18" x14ac:dyDescent="0.2">
      <c r="A1453" s="13">
        <v>45310</v>
      </c>
      <c r="B1453" s="13">
        <v>44840</v>
      </c>
      <c r="C1453" s="25" t="s">
        <v>399</v>
      </c>
      <c r="D1453" s="20">
        <v>470</v>
      </c>
      <c r="E1453" s="28">
        <v>79495.039999999994</v>
      </c>
      <c r="F1453" s="22" t="s">
        <v>86</v>
      </c>
      <c r="G1453" s="14">
        <v>32</v>
      </c>
      <c r="H1453" s="40">
        <v>44475</v>
      </c>
      <c r="I1453" s="46">
        <f t="shared" si="88"/>
        <v>835</v>
      </c>
      <c r="J1453" s="1" t="s">
        <v>15</v>
      </c>
      <c r="K1453" s="4" t="s">
        <v>199</v>
      </c>
      <c r="L1453" s="4" t="s">
        <v>225</v>
      </c>
      <c r="M1453" s="8">
        <v>32</v>
      </c>
      <c r="N1453" s="5">
        <v>2484.2199999999998</v>
      </c>
      <c r="O1453" s="5">
        <v>79495.039999999994</v>
      </c>
      <c r="P1453">
        <f t="shared" si="89"/>
        <v>1</v>
      </c>
      <c r="Q1453" s="36">
        <f t="shared" si="90"/>
        <v>79495.039999999994</v>
      </c>
      <c r="R1453">
        <f t="shared" si="91"/>
        <v>2021</v>
      </c>
    </row>
    <row r="1454" spans="1:18" x14ac:dyDescent="0.2">
      <c r="A1454" s="13">
        <v>45310</v>
      </c>
      <c r="B1454" s="13">
        <v>44840</v>
      </c>
      <c r="C1454" s="25" t="s">
        <v>399</v>
      </c>
      <c r="D1454" s="20">
        <v>470</v>
      </c>
      <c r="E1454" s="28">
        <v>79495.039999999994</v>
      </c>
      <c r="F1454" s="22" t="s">
        <v>86</v>
      </c>
      <c r="G1454" s="14">
        <v>32</v>
      </c>
      <c r="H1454" s="40">
        <v>44475</v>
      </c>
      <c r="I1454" s="46">
        <f t="shared" si="88"/>
        <v>835</v>
      </c>
      <c r="J1454" s="1" t="s">
        <v>15</v>
      </c>
      <c r="K1454" s="4" t="s">
        <v>199</v>
      </c>
      <c r="L1454" s="4" t="s">
        <v>225</v>
      </c>
      <c r="M1454" s="8">
        <v>32</v>
      </c>
      <c r="N1454" s="5">
        <v>2484.2199999999998</v>
      </c>
      <c r="O1454" s="5">
        <v>79495.039999999994</v>
      </c>
      <c r="P1454">
        <f t="shared" si="89"/>
        <v>1</v>
      </c>
      <c r="Q1454" s="36">
        <f t="shared" si="90"/>
        <v>79495.039999999994</v>
      </c>
      <c r="R1454">
        <f t="shared" si="91"/>
        <v>2021</v>
      </c>
    </row>
    <row r="1455" spans="1:18" x14ac:dyDescent="0.2">
      <c r="A1455" s="13">
        <v>45310</v>
      </c>
      <c r="B1455" s="13">
        <v>44840</v>
      </c>
      <c r="C1455" s="25" t="s">
        <v>399</v>
      </c>
      <c r="D1455" s="20">
        <v>470</v>
      </c>
      <c r="E1455" s="28">
        <v>39747.519999999997</v>
      </c>
      <c r="F1455" s="22" t="s">
        <v>86</v>
      </c>
      <c r="G1455" s="14">
        <v>16</v>
      </c>
      <c r="H1455" s="40">
        <v>44475</v>
      </c>
      <c r="I1455" s="46">
        <f t="shared" si="88"/>
        <v>835</v>
      </c>
      <c r="J1455" s="1" t="s">
        <v>15</v>
      </c>
      <c r="K1455" s="4" t="s">
        <v>199</v>
      </c>
      <c r="L1455" s="4" t="s">
        <v>225</v>
      </c>
      <c r="M1455" s="8">
        <v>16</v>
      </c>
      <c r="N1455" s="5">
        <v>2484.2199999999998</v>
      </c>
      <c r="O1455" s="5">
        <v>39747.519999999997</v>
      </c>
      <c r="P1455">
        <f t="shared" si="89"/>
        <v>1</v>
      </c>
      <c r="Q1455" s="36">
        <f t="shared" si="90"/>
        <v>39747.519999999997</v>
      </c>
      <c r="R1455">
        <f t="shared" si="91"/>
        <v>2021</v>
      </c>
    </row>
    <row r="1456" spans="1:18" x14ac:dyDescent="0.2">
      <c r="A1456" s="13">
        <v>45310</v>
      </c>
      <c r="B1456" s="13">
        <v>44833</v>
      </c>
      <c r="C1456" s="25" t="s">
        <v>399</v>
      </c>
      <c r="D1456" s="20">
        <v>477</v>
      </c>
      <c r="E1456" s="28">
        <v>39747.519999999997</v>
      </c>
      <c r="F1456" s="22" t="s">
        <v>86</v>
      </c>
      <c r="G1456" s="14">
        <v>16</v>
      </c>
      <c r="H1456" s="40">
        <v>44475</v>
      </c>
      <c r="I1456" s="46">
        <f t="shared" si="88"/>
        <v>835</v>
      </c>
      <c r="J1456" s="1" t="s">
        <v>15</v>
      </c>
      <c r="K1456" s="4" t="s">
        <v>199</v>
      </c>
      <c r="L1456" s="4" t="s">
        <v>225</v>
      </c>
      <c r="M1456" s="8">
        <v>16</v>
      </c>
      <c r="N1456" s="5">
        <v>2484.2199999999998</v>
      </c>
      <c r="O1456" s="5">
        <v>39747.519999999997</v>
      </c>
      <c r="P1456">
        <f t="shared" si="89"/>
        <v>1</v>
      </c>
      <c r="Q1456" s="36">
        <f t="shared" si="90"/>
        <v>39747.519999999997</v>
      </c>
      <c r="R1456">
        <f t="shared" si="91"/>
        <v>2021</v>
      </c>
    </row>
    <row r="1457" spans="1:18" x14ac:dyDescent="0.2">
      <c r="A1457" s="13">
        <v>45310</v>
      </c>
      <c r="B1457" s="13">
        <v>44833</v>
      </c>
      <c r="C1457" s="25" t="s">
        <v>399</v>
      </c>
      <c r="D1457" s="20">
        <v>477</v>
      </c>
      <c r="E1457" s="28">
        <v>27326.42</v>
      </c>
      <c r="F1457" s="22" t="s">
        <v>86</v>
      </c>
      <c r="G1457" s="14">
        <v>11</v>
      </c>
      <c r="H1457" s="40">
        <v>45047</v>
      </c>
      <c r="I1457" s="46">
        <f t="shared" si="88"/>
        <v>263</v>
      </c>
      <c r="J1457" s="1" t="s">
        <v>15</v>
      </c>
      <c r="K1457" s="4" t="s">
        <v>199</v>
      </c>
      <c r="L1457" s="4" t="s">
        <v>225</v>
      </c>
      <c r="M1457" s="8">
        <v>32</v>
      </c>
      <c r="N1457" s="5">
        <v>2484.2199999999998</v>
      </c>
      <c r="O1457" s="5">
        <v>79495.039999999994</v>
      </c>
      <c r="P1457">
        <f t="shared" si="89"/>
        <v>0</v>
      </c>
      <c r="Q1457" s="36">
        <f t="shared" si="90"/>
        <v>27326.42</v>
      </c>
      <c r="R1457">
        <f t="shared" si="91"/>
        <v>2023</v>
      </c>
    </row>
    <row r="1458" spans="1:18" x14ac:dyDescent="0.2">
      <c r="A1458" s="13">
        <v>45345</v>
      </c>
      <c r="B1458" s="13">
        <v>45233</v>
      </c>
      <c r="C1458" s="25" t="s">
        <v>399</v>
      </c>
      <c r="D1458" s="20">
        <v>112</v>
      </c>
      <c r="E1458" s="28">
        <v>40615.300000000003</v>
      </c>
      <c r="F1458" s="22" t="s">
        <v>88</v>
      </c>
      <c r="G1458" s="14">
        <v>10</v>
      </c>
      <c r="H1458" s="40">
        <v>44854</v>
      </c>
      <c r="I1458" s="46">
        <f t="shared" si="88"/>
        <v>491</v>
      </c>
      <c r="J1458" s="1" t="s">
        <v>15</v>
      </c>
      <c r="K1458" s="4" t="s">
        <v>199</v>
      </c>
      <c r="L1458" s="4" t="s">
        <v>225</v>
      </c>
      <c r="M1458" s="8">
        <v>10</v>
      </c>
      <c r="N1458" s="5">
        <v>4061.53</v>
      </c>
      <c r="O1458" s="5">
        <v>40615.300000000003</v>
      </c>
      <c r="P1458">
        <f t="shared" si="89"/>
        <v>1</v>
      </c>
      <c r="Q1458" s="36">
        <f t="shared" si="90"/>
        <v>40615.300000000003</v>
      </c>
      <c r="R1458">
        <f t="shared" si="91"/>
        <v>2022</v>
      </c>
    </row>
    <row r="1459" spans="1:18" x14ac:dyDescent="0.2">
      <c r="A1459" s="13">
        <v>45390</v>
      </c>
      <c r="B1459" s="13">
        <v>45387</v>
      </c>
      <c r="C1459" s="25" t="s">
        <v>399</v>
      </c>
      <c r="D1459" s="20">
        <v>3</v>
      </c>
      <c r="E1459" s="28">
        <v>4061.53</v>
      </c>
      <c r="F1459" s="22" t="s">
        <v>88</v>
      </c>
      <c r="G1459" s="14">
        <v>1</v>
      </c>
      <c r="H1459" s="40">
        <v>44860</v>
      </c>
      <c r="I1459" s="46">
        <f t="shared" si="88"/>
        <v>530</v>
      </c>
      <c r="J1459" s="1" t="s">
        <v>15</v>
      </c>
      <c r="K1459" s="4" t="s">
        <v>200</v>
      </c>
      <c r="L1459" s="4" t="s">
        <v>225</v>
      </c>
      <c r="M1459" s="8">
        <v>1</v>
      </c>
      <c r="N1459" s="5">
        <v>4061.53</v>
      </c>
      <c r="O1459" s="5">
        <v>4061.53</v>
      </c>
      <c r="P1459">
        <f t="shared" si="89"/>
        <v>1</v>
      </c>
      <c r="Q1459" s="36">
        <f t="shared" si="90"/>
        <v>4061.53</v>
      </c>
      <c r="R1459">
        <f t="shared" si="91"/>
        <v>2022</v>
      </c>
    </row>
    <row r="1460" spans="1:18" x14ac:dyDescent="0.2">
      <c r="A1460" s="13">
        <v>45394</v>
      </c>
      <c r="B1460" s="13">
        <v>45394</v>
      </c>
      <c r="C1460" s="25" t="s">
        <v>398</v>
      </c>
      <c r="D1460" s="20">
        <v>0</v>
      </c>
      <c r="E1460" s="28">
        <v>40615.300000000003</v>
      </c>
      <c r="F1460" s="22" t="s">
        <v>88</v>
      </c>
      <c r="G1460" s="14">
        <v>10</v>
      </c>
      <c r="H1460" s="40">
        <v>44869</v>
      </c>
      <c r="I1460" s="46">
        <f t="shared" si="88"/>
        <v>525</v>
      </c>
      <c r="J1460" s="1" t="s">
        <v>15</v>
      </c>
      <c r="K1460" s="4" t="s">
        <v>200</v>
      </c>
      <c r="L1460" s="4" t="s">
        <v>225</v>
      </c>
      <c r="M1460" s="8">
        <v>10</v>
      </c>
      <c r="N1460" s="5">
        <v>4061.53</v>
      </c>
      <c r="O1460" s="5">
        <v>40615.300000000003</v>
      </c>
      <c r="P1460">
        <f t="shared" si="89"/>
        <v>1</v>
      </c>
      <c r="Q1460" s="36">
        <f t="shared" si="90"/>
        <v>40615.300000000003</v>
      </c>
      <c r="R1460">
        <f t="shared" si="91"/>
        <v>2022</v>
      </c>
    </row>
    <row r="1461" spans="1:18" x14ac:dyDescent="0.2">
      <c r="A1461" s="13">
        <v>45394</v>
      </c>
      <c r="B1461" s="13">
        <v>45394</v>
      </c>
      <c r="C1461" s="25" t="s">
        <v>398</v>
      </c>
      <c r="D1461" s="20">
        <v>0</v>
      </c>
      <c r="E1461" s="28">
        <v>40615.300000000003</v>
      </c>
      <c r="F1461" s="22" t="s">
        <v>88</v>
      </c>
      <c r="G1461" s="14">
        <v>10</v>
      </c>
      <c r="H1461" s="40">
        <v>44869</v>
      </c>
      <c r="I1461" s="46">
        <f t="shared" si="88"/>
        <v>525</v>
      </c>
      <c r="J1461" s="1" t="s">
        <v>15</v>
      </c>
      <c r="K1461" s="4" t="s">
        <v>200</v>
      </c>
      <c r="L1461" s="4" t="s">
        <v>225</v>
      </c>
      <c r="M1461" s="8">
        <v>10</v>
      </c>
      <c r="N1461" s="5">
        <v>4061.53</v>
      </c>
      <c r="O1461" s="5">
        <v>40615.300000000003</v>
      </c>
      <c r="P1461">
        <f t="shared" si="89"/>
        <v>1</v>
      </c>
      <c r="Q1461" s="36">
        <f t="shared" si="90"/>
        <v>40615.300000000003</v>
      </c>
      <c r="R1461">
        <f t="shared" si="91"/>
        <v>2022</v>
      </c>
    </row>
    <row r="1462" spans="1:18" x14ac:dyDescent="0.2">
      <c r="A1462" s="13">
        <v>45394</v>
      </c>
      <c r="B1462" s="13">
        <v>45394</v>
      </c>
      <c r="C1462" s="25" t="s">
        <v>398</v>
      </c>
      <c r="D1462" s="20">
        <v>0</v>
      </c>
      <c r="E1462" s="28">
        <v>48738.36</v>
      </c>
      <c r="F1462" s="22" t="s">
        <v>88</v>
      </c>
      <c r="G1462" s="14">
        <v>12</v>
      </c>
      <c r="H1462" s="40">
        <v>44869</v>
      </c>
      <c r="I1462" s="46">
        <f t="shared" si="88"/>
        <v>525</v>
      </c>
      <c r="J1462" s="1" t="s">
        <v>15</v>
      </c>
      <c r="K1462" s="4" t="s">
        <v>200</v>
      </c>
      <c r="L1462" s="4" t="s">
        <v>225</v>
      </c>
      <c r="M1462" s="8">
        <v>12</v>
      </c>
      <c r="N1462" s="5">
        <v>4061.53</v>
      </c>
      <c r="O1462" s="5">
        <v>48738.36</v>
      </c>
      <c r="P1462">
        <f t="shared" si="89"/>
        <v>1</v>
      </c>
      <c r="Q1462" s="36">
        <f t="shared" si="90"/>
        <v>48738.36</v>
      </c>
      <c r="R1462">
        <f t="shared" si="91"/>
        <v>2022</v>
      </c>
    </row>
    <row r="1463" spans="1:18" x14ac:dyDescent="0.2">
      <c r="A1463" s="13">
        <v>45401</v>
      </c>
      <c r="B1463" s="13">
        <v>45401</v>
      </c>
      <c r="C1463" s="25" t="s">
        <v>398</v>
      </c>
      <c r="D1463" s="20">
        <v>0</v>
      </c>
      <c r="E1463" s="28">
        <v>16246.12</v>
      </c>
      <c r="F1463" s="22" t="s">
        <v>88</v>
      </c>
      <c r="G1463" s="14">
        <v>4</v>
      </c>
      <c r="H1463" s="40">
        <v>44873</v>
      </c>
      <c r="I1463" s="46">
        <f t="shared" si="88"/>
        <v>528</v>
      </c>
      <c r="J1463" s="1" t="s">
        <v>15</v>
      </c>
      <c r="K1463" s="4" t="s">
        <v>200</v>
      </c>
      <c r="L1463" s="4" t="s">
        <v>225</v>
      </c>
      <c r="M1463" s="8">
        <v>4</v>
      </c>
      <c r="N1463" s="5">
        <v>4061.53</v>
      </c>
      <c r="O1463" s="5">
        <v>16246.12</v>
      </c>
      <c r="P1463">
        <f t="shared" si="89"/>
        <v>1</v>
      </c>
      <c r="Q1463" s="36">
        <f t="shared" si="90"/>
        <v>16246.12</v>
      </c>
      <c r="R1463">
        <f t="shared" si="91"/>
        <v>2022</v>
      </c>
    </row>
    <row r="1464" spans="1:18" x14ac:dyDescent="0.2">
      <c r="A1464" s="13">
        <v>45345</v>
      </c>
      <c r="B1464" s="13">
        <v>45226</v>
      </c>
      <c r="C1464" s="25" t="s">
        <v>399</v>
      </c>
      <c r="D1464" s="20">
        <v>119</v>
      </c>
      <c r="E1464" s="28">
        <v>32492.240000000002</v>
      </c>
      <c r="F1464" s="22" t="s">
        <v>88</v>
      </c>
      <c r="G1464" s="14">
        <v>8</v>
      </c>
      <c r="H1464" s="40">
        <v>44875</v>
      </c>
      <c r="I1464" s="46">
        <f t="shared" si="88"/>
        <v>470</v>
      </c>
      <c r="J1464" s="1" t="s">
        <v>15</v>
      </c>
      <c r="K1464" s="4" t="s">
        <v>199</v>
      </c>
      <c r="L1464" s="4" t="s">
        <v>225</v>
      </c>
      <c r="M1464" s="8">
        <v>8</v>
      </c>
      <c r="N1464" s="5">
        <v>4061.53</v>
      </c>
      <c r="O1464" s="5">
        <v>32492.240000000002</v>
      </c>
      <c r="P1464">
        <f t="shared" si="89"/>
        <v>1</v>
      </c>
      <c r="Q1464" s="36">
        <f t="shared" si="90"/>
        <v>32492.240000000002</v>
      </c>
      <c r="R1464">
        <f t="shared" si="91"/>
        <v>2022</v>
      </c>
    </row>
    <row r="1465" spans="1:18" x14ac:dyDescent="0.2">
      <c r="A1465" s="13">
        <v>45345</v>
      </c>
      <c r="B1465" s="13">
        <v>45226</v>
      </c>
      <c r="C1465" s="25" t="s">
        <v>399</v>
      </c>
      <c r="D1465" s="20">
        <v>119</v>
      </c>
      <c r="E1465" s="28">
        <v>32492.240000000002</v>
      </c>
      <c r="F1465" s="22" t="s">
        <v>88</v>
      </c>
      <c r="G1465" s="14">
        <v>8</v>
      </c>
      <c r="H1465" s="40">
        <v>44875</v>
      </c>
      <c r="I1465" s="46">
        <f t="shared" si="88"/>
        <v>470</v>
      </c>
      <c r="J1465" s="1" t="s">
        <v>15</v>
      </c>
      <c r="K1465" s="4" t="s">
        <v>199</v>
      </c>
      <c r="L1465" s="4" t="s">
        <v>225</v>
      </c>
      <c r="M1465" s="8">
        <v>8</v>
      </c>
      <c r="N1465" s="5">
        <v>4061.53</v>
      </c>
      <c r="O1465" s="5">
        <v>32492.240000000002</v>
      </c>
      <c r="P1465">
        <f t="shared" si="89"/>
        <v>1</v>
      </c>
      <c r="Q1465" s="36">
        <f t="shared" si="90"/>
        <v>32492.240000000002</v>
      </c>
      <c r="R1465">
        <f t="shared" si="91"/>
        <v>2022</v>
      </c>
    </row>
    <row r="1466" spans="1:18" x14ac:dyDescent="0.2">
      <c r="A1466" s="13">
        <v>45345</v>
      </c>
      <c r="B1466" s="13">
        <v>45226</v>
      </c>
      <c r="C1466" s="25" t="s">
        <v>399</v>
      </c>
      <c r="D1466" s="20">
        <v>119</v>
      </c>
      <c r="E1466" s="28">
        <v>32492.240000000002</v>
      </c>
      <c r="F1466" s="22" t="s">
        <v>88</v>
      </c>
      <c r="G1466" s="14">
        <v>8</v>
      </c>
      <c r="H1466" s="40">
        <v>44875</v>
      </c>
      <c r="I1466" s="46">
        <f t="shared" si="88"/>
        <v>470</v>
      </c>
      <c r="J1466" s="1" t="s">
        <v>15</v>
      </c>
      <c r="K1466" s="4" t="s">
        <v>199</v>
      </c>
      <c r="L1466" s="4" t="s">
        <v>225</v>
      </c>
      <c r="M1466" s="8">
        <v>8</v>
      </c>
      <c r="N1466" s="5">
        <v>4061.53</v>
      </c>
      <c r="O1466" s="5">
        <v>32492.240000000002</v>
      </c>
      <c r="P1466">
        <f t="shared" si="89"/>
        <v>1</v>
      </c>
      <c r="Q1466" s="36">
        <f t="shared" si="90"/>
        <v>32492.240000000002</v>
      </c>
      <c r="R1466">
        <f t="shared" si="91"/>
        <v>2022</v>
      </c>
    </row>
    <row r="1467" spans="1:18" x14ac:dyDescent="0.2">
      <c r="A1467" s="13">
        <v>45345</v>
      </c>
      <c r="B1467" s="13">
        <v>45226</v>
      </c>
      <c r="C1467" s="25" t="s">
        <v>399</v>
      </c>
      <c r="D1467" s="20">
        <v>119</v>
      </c>
      <c r="E1467" s="28">
        <v>32492.240000000002</v>
      </c>
      <c r="F1467" s="22" t="s">
        <v>88</v>
      </c>
      <c r="G1467" s="14">
        <v>8</v>
      </c>
      <c r="H1467" s="40">
        <v>44875</v>
      </c>
      <c r="I1467" s="46">
        <f t="shared" si="88"/>
        <v>470</v>
      </c>
      <c r="J1467" s="1" t="s">
        <v>15</v>
      </c>
      <c r="K1467" s="4" t="s">
        <v>199</v>
      </c>
      <c r="L1467" s="4" t="s">
        <v>225</v>
      </c>
      <c r="M1467" s="8">
        <v>8</v>
      </c>
      <c r="N1467" s="5">
        <v>4061.53</v>
      </c>
      <c r="O1467" s="5">
        <v>32492.240000000002</v>
      </c>
      <c r="P1467">
        <f t="shared" si="89"/>
        <v>1</v>
      </c>
      <c r="Q1467" s="36">
        <f t="shared" si="90"/>
        <v>32492.240000000002</v>
      </c>
      <c r="R1467">
        <f t="shared" si="91"/>
        <v>2022</v>
      </c>
    </row>
    <row r="1468" spans="1:18" x14ac:dyDescent="0.2">
      <c r="A1468" s="13">
        <v>45345</v>
      </c>
      <c r="B1468" s="13">
        <v>45226</v>
      </c>
      <c r="C1468" s="25" t="s">
        <v>399</v>
      </c>
      <c r="D1468" s="20">
        <v>119</v>
      </c>
      <c r="E1468" s="28">
        <v>20307.650000000001</v>
      </c>
      <c r="F1468" s="22" t="s">
        <v>88</v>
      </c>
      <c r="G1468" s="14">
        <v>5</v>
      </c>
      <c r="H1468" s="40">
        <v>44875</v>
      </c>
      <c r="I1468" s="46">
        <f t="shared" si="88"/>
        <v>470</v>
      </c>
      <c r="J1468" s="1" t="s">
        <v>15</v>
      </c>
      <c r="K1468" s="4" t="s">
        <v>199</v>
      </c>
      <c r="L1468" s="4" t="s">
        <v>225</v>
      </c>
      <c r="M1468" s="8">
        <v>5</v>
      </c>
      <c r="N1468" s="5">
        <v>4061.53</v>
      </c>
      <c r="O1468" s="5">
        <v>20307.650000000001</v>
      </c>
      <c r="P1468">
        <f t="shared" si="89"/>
        <v>1</v>
      </c>
      <c r="Q1468" s="36">
        <f t="shared" si="90"/>
        <v>20307.650000000001</v>
      </c>
      <c r="R1468">
        <f t="shared" si="91"/>
        <v>2022</v>
      </c>
    </row>
    <row r="1469" spans="1:18" x14ac:dyDescent="0.2">
      <c r="A1469" s="13">
        <v>45345</v>
      </c>
      <c r="B1469" s="13">
        <v>45226</v>
      </c>
      <c r="C1469" s="25" t="s">
        <v>399</v>
      </c>
      <c r="D1469" s="20">
        <v>119</v>
      </c>
      <c r="E1469" s="28">
        <v>32492.240000000002</v>
      </c>
      <c r="F1469" s="22" t="s">
        <v>88</v>
      </c>
      <c r="G1469" s="14">
        <v>8</v>
      </c>
      <c r="H1469" s="40">
        <v>44875</v>
      </c>
      <c r="I1469" s="46">
        <f t="shared" si="88"/>
        <v>470</v>
      </c>
      <c r="J1469" s="1" t="s">
        <v>15</v>
      </c>
      <c r="K1469" s="4" t="s">
        <v>199</v>
      </c>
      <c r="L1469" s="4" t="s">
        <v>225</v>
      </c>
      <c r="M1469" s="8">
        <v>8</v>
      </c>
      <c r="N1469" s="5">
        <v>4061.53</v>
      </c>
      <c r="O1469" s="5">
        <v>32492.240000000002</v>
      </c>
      <c r="P1469">
        <f t="shared" si="89"/>
        <v>1</v>
      </c>
      <c r="Q1469" s="36">
        <f t="shared" si="90"/>
        <v>32492.240000000002</v>
      </c>
      <c r="R1469">
        <f t="shared" si="91"/>
        <v>2022</v>
      </c>
    </row>
    <row r="1470" spans="1:18" x14ac:dyDescent="0.2">
      <c r="A1470" s="13">
        <v>45345</v>
      </c>
      <c r="B1470" s="13">
        <v>45226</v>
      </c>
      <c r="C1470" s="25" t="s">
        <v>399</v>
      </c>
      <c r="D1470" s="20">
        <v>119</v>
      </c>
      <c r="E1470" s="28">
        <v>32492.240000000002</v>
      </c>
      <c r="F1470" s="22" t="s">
        <v>88</v>
      </c>
      <c r="G1470" s="14">
        <v>8</v>
      </c>
      <c r="H1470" s="40">
        <v>44875</v>
      </c>
      <c r="I1470" s="46">
        <f t="shared" si="88"/>
        <v>470</v>
      </c>
      <c r="J1470" s="1" t="s">
        <v>15</v>
      </c>
      <c r="K1470" s="4" t="s">
        <v>199</v>
      </c>
      <c r="L1470" s="4" t="s">
        <v>225</v>
      </c>
      <c r="M1470" s="8">
        <v>8</v>
      </c>
      <c r="N1470" s="5">
        <v>4061.53</v>
      </c>
      <c r="O1470" s="5">
        <v>32492.240000000002</v>
      </c>
      <c r="P1470">
        <f t="shared" si="89"/>
        <v>1</v>
      </c>
      <c r="Q1470" s="36">
        <f t="shared" si="90"/>
        <v>32492.240000000002</v>
      </c>
      <c r="R1470">
        <f t="shared" si="91"/>
        <v>2022</v>
      </c>
    </row>
    <row r="1471" spans="1:18" x14ac:dyDescent="0.2">
      <c r="A1471" s="13">
        <v>45345</v>
      </c>
      <c r="B1471" s="13">
        <v>45226</v>
      </c>
      <c r="C1471" s="25" t="s">
        <v>399</v>
      </c>
      <c r="D1471" s="20">
        <v>119</v>
      </c>
      <c r="E1471" s="28">
        <v>32492.240000000002</v>
      </c>
      <c r="F1471" s="22" t="s">
        <v>88</v>
      </c>
      <c r="G1471" s="14">
        <v>8</v>
      </c>
      <c r="H1471" s="40">
        <v>44875</v>
      </c>
      <c r="I1471" s="46">
        <f t="shared" si="88"/>
        <v>470</v>
      </c>
      <c r="J1471" s="1" t="s">
        <v>15</v>
      </c>
      <c r="K1471" s="4" t="s">
        <v>199</v>
      </c>
      <c r="L1471" s="4" t="s">
        <v>225</v>
      </c>
      <c r="M1471" s="8">
        <v>8</v>
      </c>
      <c r="N1471" s="5">
        <v>4061.53</v>
      </c>
      <c r="O1471" s="5">
        <v>32492.240000000002</v>
      </c>
      <c r="P1471">
        <f t="shared" si="89"/>
        <v>1</v>
      </c>
      <c r="Q1471" s="36">
        <f t="shared" si="90"/>
        <v>32492.240000000002</v>
      </c>
      <c r="R1471">
        <f t="shared" si="91"/>
        <v>2022</v>
      </c>
    </row>
    <row r="1472" spans="1:18" x14ac:dyDescent="0.2">
      <c r="A1472" s="13">
        <v>45345</v>
      </c>
      <c r="B1472" s="13">
        <v>45226</v>
      </c>
      <c r="C1472" s="25" t="s">
        <v>399</v>
      </c>
      <c r="D1472" s="20">
        <v>119</v>
      </c>
      <c r="E1472" s="28">
        <v>32492.240000000002</v>
      </c>
      <c r="F1472" s="22" t="s">
        <v>88</v>
      </c>
      <c r="G1472" s="14">
        <v>8</v>
      </c>
      <c r="H1472" s="40">
        <v>44875</v>
      </c>
      <c r="I1472" s="46">
        <f t="shared" si="88"/>
        <v>470</v>
      </c>
      <c r="J1472" s="1" t="s">
        <v>15</v>
      </c>
      <c r="K1472" s="4" t="s">
        <v>199</v>
      </c>
      <c r="L1472" s="4" t="s">
        <v>225</v>
      </c>
      <c r="M1472" s="8">
        <v>8</v>
      </c>
      <c r="N1472" s="5">
        <v>4061.53</v>
      </c>
      <c r="O1472" s="5">
        <v>32492.240000000002</v>
      </c>
      <c r="P1472">
        <f t="shared" si="89"/>
        <v>1</v>
      </c>
      <c r="Q1472" s="36">
        <f t="shared" si="90"/>
        <v>32492.240000000002</v>
      </c>
      <c r="R1472">
        <f t="shared" si="91"/>
        <v>2022</v>
      </c>
    </row>
    <row r="1473" spans="1:18" x14ac:dyDescent="0.2">
      <c r="A1473" s="13">
        <v>45345</v>
      </c>
      <c r="B1473" s="13">
        <v>45226</v>
      </c>
      <c r="C1473" s="25" t="s">
        <v>399</v>
      </c>
      <c r="D1473" s="20">
        <v>119</v>
      </c>
      <c r="E1473" s="28">
        <v>32492.240000000002</v>
      </c>
      <c r="F1473" s="22" t="s">
        <v>88</v>
      </c>
      <c r="G1473" s="14">
        <v>8</v>
      </c>
      <c r="H1473" s="40">
        <v>44875</v>
      </c>
      <c r="I1473" s="46">
        <f t="shared" si="88"/>
        <v>470</v>
      </c>
      <c r="J1473" s="1" t="s">
        <v>15</v>
      </c>
      <c r="K1473" s="4" t="s">
        <v>199</v>
      </c>
      <c r="L1473" s="4" t="s">
        <v>225</v>
      </c>
      <c r="M1473" s="8">
        <v>8</v>
      </c>
      <c r="N1473" s="5">
        <v>4061.53</v>
      </c>
      <c r="O1473" s="5">
        <v>32492.240000000002</v>
      </c>
      <c r="P1473">
        <f t="shared" si="89"/>
        <v>1</v>
      </c>
      <c r="Q1473" s="36">
        <f t="shared" si="90"/>
        <v>32492.240000000002</v>
      </c>
      <c r="R1473">
        <f t="shared" si="91"/>
        <v>2022</v>
      </c>
    </row>
    <row r="1474" spans="1:18" x14ac:dyDescent="0.2">
      <c r="A1474" s="13">
        <v>45415</v>
      </c>
      <c r="B1474" s="13">
        <v>45415</v>
      </c>
      <c r="C1474" s="25" t="s">
        <v>398</v>
      </c>
      <c r="D1474" s="20">
        <v>0</v>
      </c>
      <c r="E1474" s="28">
        <v>48738.36</v>
      </c>
      <c r="F1474" s="22" t="s">
        <v>88</v>
      </c>
      <c r="G1474" s="14">
        <v>12</v>
      </c>
      <c r="H1474" s="40">
        <v>44897</v>
      </c>
      <c r="I1474" s="46">
        <f t="shared" si="88"/>
        <v>518</v>
      </c>
      <c r="J1474" s="1" t="s">
        <v>15</v>
      </c>
      <c r="K1474" s="4" t="s">
        <v>199</v>
      </c>
      <c r="L1474" s="4" t="s">
        <v>225</v>
      </c>
      <c r="M1474" s="8">
        <v>12</v>
      </c>
      <c r="N1474" s="5">
        <v>4061.53</v>
      </c>
      <c r="O1474" s="5">
        <v>48738.36</v>
      </c>
      <c r="P1474">
        <f t="shared" si="89"/>
        <v>1</v>
      </c>
      <c r="Q1474" s="36">
        <f t="shared" si="90"/>
        <v>48738.36</v>
      </c>
      <c r="R1474">
        <f t="shared" si="91"/>
        <v>2022</v>
      </c>
    </row>
    <row r="1475" spans="1:18" x14ac:dyDescent="0.2">
      <c r="A1475" s="13">
        <v>45421</v>
      </c>
      <c r="B1475" s="13">
        <v>45421</v>
      </c>
      <c r="C1475" s="25" t="s">
        <v>398</v>
      </c>
      <c r="D1475" s="20">
        <v>0</v>
      </c>
      <c r="E1475" s="28">
        <v>12184.59</v>
      </c>
      <c r="F1475" s="22" t="s">
        <v>88</v>
      </c>
      <c r="G1475" s="14">
        <v>3</v>
      </c>
      <c r="H1475" s="40">
        <v>44904</v>
      </c>
      <c r="I1475" s="46">
        <f t="shared" ref="I1475:I1538" si="92">IFERROR(A1475-H1475,"")*1</f>
        <v>517</v>
      </c>
      <c r="J1475" s="1" t="s">
        <v>15</v>
      </c>
      <c r="K1475" s="4" t="s">
        <v>200</v>
      </c>
      <c r="L1475" s="4" t="s">
        <v>225</v>
      </c>
      <c r="M1475" s="8">
        <v>3</v>
      </c>
      <c r="N1475" s="5">
        <v>4061.53</v>
      </c>
      <c r="O1475" s="5">
        <v>12184.59</v>
      </c>
      <c r="P1475">
        <f t="shared" ref="P1475:P1538" si="93">IF(M1475=G1475,1,0)</f>
        <v>1</v>
      </c>
      <c r="Q1475" s="36">
        <f t="shared" ref="Q1475:Q1538" si="94">N1475*G1475</f>
        <v>12184.59</v>
      </c>
      <c r="R1475">
        <f t="shared" ref="R1475:R1538" si="95">YEAR(H1475)</f>
        <v>2022</v>
      </c>
    </row>
    <row r="1476" spans="1:18" x14ac:dyDescent="0.2">
      <c r="A1476" s="13">
        <v>45545</v>
      </c>
      <c r="B1476" s="13">
        <v>45545</v>
      </c>
      <c r="C1476" s="25" t="s">
        <v>398</v>
      </c>
      <c r="D1476" s="20">
        <v>0</v>
      </c>
      <c r="E1476" s="28">
        <v>32492.240000000002</v>
      </c>
      <c r="F1476" s="22" t="s">
        <v>88</v>
      </c>
      <c r="G1476" s="14">
        <v>8</v>
      </c>
      <c r="H1476" s="40">
        <v>45030</v>
      </c>
      <c r="I1476" s="46">
        <f t="shared" si="92"/>
        <v>515</v>
      </c>
      <c r="J1476" s="1" t="s">
        <v>15</v>
      </c>
      <c r="K1476" s="4" t="s">
        <v>200</v>
      </c>
      <c r="L1476" s="4" t="s">
        <v>225</v>
      </c>
      <c r="M1476" s="8">
        <v>8</v>
      </c>
      <c r="N1476" s="5">
        <v>4061.53</v>
      </c>
      <c r="O1476" s="5">
        <v>32492.240000000002</v>
      </c>
      <c r="P1476">
        <f t="shared" si="93"/>
        <v>1</v>
      </c>
      <c r="Q1476" s="36">
        <f t="shared" si="94"/>
        <v>32492.240000000002</v>
      </c>
      <c r="R1476">
        <f t="shared" si="95"/>
        <v>2023</v>
      </c>
    </row>
    <row r="1477" spans="1:18" x14ac:dyDescent="0.2">
      <c r="A1477" s="13">
        <v>45202</v>
      </c>
      <c r="B1477" s="13">
        <v>44988</v>
      </c>
      <c r="C1477" s="25" t="s">
        <v>399</v>
      </c>
      <c r="D1477" s="20">
        <v>214</v>
      </c>
      <c r="E1477" s="28">
        <v>152904.64000000001</v>
      </c>
      <c r="F1477" s="22" t="s">
        <v>142</v>
      </c>
      <c r="G1477" s="14">
        <v>32</v>
      </c>
      <c r="H1477" s="40">
        <v>44874</v>
      </c>
      <c r="I1477" s="46">
        <f t="shared" si="92"/>
        <v>328</v>
      </c>
      <c r="J1477" s="1" t="s">
        <v>15</v>
      </c>
      <c r="K1477" s="4" t="s">
        <v>200</v>
      </c>
      <c r="L1477" s="4" t="s">
        <v>225</v>
      </c>
      <c r="M1477" s="8">
        <v>32</v>
      </c>
      <c r="N1477" s="5">
        <v>4778.2700000000004</v>
      </c>
      <c r="O1477" s="5">
        <v>152904.64000000001</v>
      </c>
      <c r="P1477">
        <f t="shared" si="93"/>
        <v>1</v>
      </c>
      <c r="Q1477" s="36">
        <f t="shared" si="94"/>
        <v>152904.64000000001</v>
      </c>
      <c r="R1477">
        <f t="shared" si="95"/>
        <v>2022</v>
      </c>
    </row>
    <row r="1478" spans="1:18" x14ac:dyDescent="0.2">
      <c r="A1478" s="13">
        <v>45202</v>
      </c>
      <c r="B1478" s="13">
        <v>44960</v>
      </c>
      <c r="C1478" s="25" t="s">
        <v>399</v>
      </c>
      <c r="D1478" s="20">
        <v>242</v>
      </c>
      <c r="E1478" s="28">
        <v>535166.24</v>
      </c>
      <c r="F1478" s="22" t="s">
        <v>142</v>
      </c>
      <c r="G1478" s="14">
        <v>112</v>
      </c>
      <c r="H1478" s="40">
        <v>44875</v>
      </c>
      <c r="I1478" s="46">
        <f t="shared" si="92"/>
        <v>327</v>
      </c>
      <c r="J1478" s="1" t="s">
        <v>15</v>
      </c>
      <c r="K1478" s="4" t="s">
        <v>200</v>
      </c>
      <c r="L1478" s="4" t="s">
        <v>225</v>
      </c>
      <c r="M1478" s="8">
        <v>112</v>
      </c>
      <c r="N1478" s="5">
        <v>4778.2700000000004</v>
      </c>
      <c r="O1478" s="5">
        <v>535166.24</v>
      </c>
      <c r="P1478">
        <f t="shared" si="93"/>
        <v>1</v>
      </c>
      <c r="Q1478" s="36">
        <f t="shared" si="94"/>
        <v>535166.24</v>
      </c>
      <c r="R1478">
        <f t="shared" si="95"/>
        <v>2022</v>
      </c>
    </row>
    <row r="1479" spans="1:18" x14ac:dyDescent="0.2">
      <c r="A1479" s="13">
        <v>45202</v>
      </c>
      <c r="B1479" s="13">
        <v>45142</v>
      </c>
      <c r="C1479" s="25" t="s">
        <v>399</v>
      </c>
      <c r="D1479" s="20">
        <v>60</v>
      </c>
      <c r="E1479" s="28">
        <v>76452.320000000007</v>
      </c>
      <c r="F1479" s="22" t="s">
        <v>142</v>
      </c>
      <c r="G1479" s="14">
        <v>16</v>
      </c>
      <c r="H1479" s="40">
        <v>44875</v>
      </c>
      <c r="I1479" s="46">
        <f t="shared" si="92"/>
        <v>327</v>
      </c>
      <c r="J1479" s="1" t="s">
        <v>15</v>
      </c>
      <c r="K1479" s="4" t="s">
        <v>200</v>
      </c>
      <c r="L1479" s="4" t="s">
        <v>225</v>
      </c>
      <c r="M1479" s="8">
        <v>160</v>
      </c>
      <c r="N1479" s="5">
        <v>4778.2700000000004</v>
      </c>
      <c r="O1479" s="5">
        <v>764523.2</v>
      </c>
      <c r="P1479">
        <f t="shared" si="93"/>
        <v>0</v>
      </c>
      <c r="Q1479" s="36">
        <f t="shared" si="94"/>
        <v>76452.320000000007</v>
      </c>
      <c r="R1479">
        <f t="shared" si="95"/>
        <v>2022</v>
      </c>
    </row>
    <row r="1480" spans="1:18" x14ac:dyDescent="0.2">
      <c r="A1480" s="13">
        <v>45204</v>
      </c>
      <c r="B1480" s="13">
        <v>45142</v>
      </c>
      <c r="C1480" s="25" t="s">
        <v>399</v>
      </c>
      <c r="D1480" s="20">
        <v>62</v>
      </c>
      <c r="E1480" s="28">
        <v>688070.88</v>
      </c>
      <c r="F1480" s="22" t="s">
        <v>142</v>
      </c>
      <c r="G1480" s="14">
        <v>144</v>
      </c>
      <c r="H1480" s="40">
        <v>44875</v>
      </c>
      <c r="I1480" s="46">
        <f t="shared" si="92"/>
        <v>329</v>
      </c>
      <c r="J1480" s="1" t="s">
        <v>15</v>
      </c>
      <c r="K1480" s="4" t="s">
        <v>200</v>
      </c>
      <c r="L1480" s="4" t="s">
        <v>225</v>
      </c>
      <c r="M1480" s="8">
        <v>160</v>
      </c>
      <c r="N1480" s="5">
        <v>4778.2700000000004</v>
      </c>
      <c r="O1480" s="5">
        <v>764523.2</v>
      </c>
      <c r="P1480">
        <f t="shared" si="93"/>
        <v>0</v>
      </c>
      <c r="Q1480" s="36">
        <f t="shared" si="94"/>
        <v>688070.88000000012</v>
      </c>
      <c r="R1480">
        <f t="shared" si="95"/>
        <v>2022</v>
      </c>
    </row>
    <row r="1481" spans="1:18" x14ac:dyDescent="0.2">
      <c r="A1481" s="13">
        <v>45202</v>
      </c>
      <c r="B1481" s="13">
        <v>45023</v>
      </c>
      <c r="C1481" s="25" t="s">
        <v>399</v>
      </c>
      <c r="D1481" s="20">
        <v>179</v>
      </c>
      <c r="E1481" s="28">
        <v>1070332.48</v>
      </c>
      <c r="F1481" s="22" t="s">
        <v>142</v>
      </c>
      <c r="G1481" s="14">
        <v>224</v>
      </c>
      <c r="H1481" s="40">
        <v>44875</v>
      </c>
      <c r="I1481" s="46">
        <f t="shared" si="92"/>
        <v>327</v>
      </c>
      <c r="J1481" s="1" t="s">
        <v>15</v>
      </c>
      <c r="K1481" s="4" t="s">
        <v>200</v>
      </c>
      <c r="L1481" s="4" t="s">
        <v>225</v>
      </c>
      <c r="M1481" s="8">
        <v>224</v>
      </c>
      <c r="N1481" s="5">
        <v>4778.2700000000004</v>
      </c>
      <c r="O1481" s="5">
        <v>1070332.48</v>
      </c>
      <c r="P1481">
        <f t="shared" si="93"/>
        <v>1</v>
      </c>
      <c r="Q1481" s="36">
        <f t="shared" si="94"/>
        <v>1070332.48</v>
      </c>
      <c r="R1481">
        <f t="shared" si="95"/>
        <v>2022</v>
      </c>
    </row>
    <row r="1482" spans="1:18" x14ac:dyDescent="0.2">
      <c r="A1482" s="13">
        <v>45202</v>
      </c>
      <c r="B1482" s="13">
        <v>45114</v>
      </c>
      <c r="C1482" s="25" t="s">
        <v>399</v>
      </c>
      <c r="D1482" s="20">
        <v>88</v>
      </c>
      <c r="E1482" s="28">
        <v>840975.52</v>
      </c>
      <c r="F1482" s="22" t="s">
        <v>142</v>
      </c>
      <c r="G1482" s="14">
        <v>176</v>
      </c>
      <c r="H1482" s="40">
        <v>44875</v>
      </c>
      <c r="I1482" s="46">
        <f t="shared" si="92"/>
        <v>327</v>
      </c>
      <c r="J1482" s="1" t="s">
        <v>15</v>
      </c>
      <c r="K1482" s="4" t="s">
        <v>200</v>
      </c>
      <c r="L1482" s="4" t="s">
        <v>225</v>
      </c>
      <c r="M1482" s="8">
        <v>176</v>
      </c>
      <c r="N1482" s="5">
        <v>4778.2700000000004</v>
      </c>
      <c r="O1482" s="5">
        <v>840975.52</v>
      </c>
      <c r="P1482">
        <f t="shared" si="93"/>
        <v>1</v>
      </c>
      <c r="Q1482" s="36">
        <f t="shared" si="94"/>
        <v>840975.52</v>
      </c>
      <c r="R1482">
        <f t="shared" si="95"/>
        <v>2022</v>
      </c>
    </row>
    <row r="1483" spans="1:18" x14ac:dyDescent="0.2">
      <c r="A1483" s="13">
        <v>45202</v>
      </c>
      <c r="B1483" s="13">
        <v>45079</v>
      </c>
      <c r="C1483" s="25" t="s">
        <v>399</v>
      </c>
      <c r="D1483" s="20">
        <v>123</v>
      </c>
      <c r="E1483" s="28">
        <v>535166.24</v>
      </c>
      <c r="F1483" s="22" t="s">
        <v>142</v>
      </c>
      <c r="G1483" s="14">
        <v>112</v>
      </c>
      <c r="H1483" s="40">
        <v>44875</v>
      </c>
      <c r="I1483" s="46">
        <f t="shared" si="92"/>
        <v>327</v>
      </c>
      <c r="J1483" s="1" t="s">
        <v>15</v>
      </c>
      <c r="K1483" s="4" t="s">
        <v>200</v>
      </c>
      <c r="L1483" s="4" t="s">
        <v>225</v>
      </c>
      <c r="M1483" s="8">
        <v>112</v>
      </c>
      <c r="N1483" s="5">
        <v>4778.2700000000004</v>
      </c>
      <c r="O1483" s="5">
        <v>535166.24</v>
      </c>
      <c r="P1483">
        <f t="shared" si="93"/>
        <v>1</v>
      </c>
      <c r="Q1483" s="36">
        <f t="shared" si="94"/>
        <v>535166.24</v>
      </c>
      <c r="R1483">
        <f t="shared" si="95"/>
        <v>2022</v>
      </c>
    </row>
    <row r="1484" spans="1:18" x14ac:dyDescent="0.2">
      <c r="A1484" s="13">
        <v>45202</v>
      </c>
      <c r="B1484" s="13">
        <v>45051</v>
      </c>
      <c r="C1484" s="25" t="s">
        <v>399</v>
      </c>
      <c r="D1484" s="20">
        <v>151</v>
      </c>
      <c r="E1484" s="28">
        <v>764523.2</v>
      </c>
      <c r="F1484" s="22" t="s">
        <v>142</v>
      </c>
      <c r="G1484" s="14">
        <v>160</v>
      </c>
      <c r="H1484" s="40">
        <v>44875</v>
      </c>
      <c r="I1484" s="46">
        <f t="shared" si="92"/>
        <v>327</v>
      </c>
      <c r="J1484" s="1" t="s">
        <v>15</v>
      </c>
      <c r="K1484" s="4" t="s">
        <v>200</v>
      </c>
      <c r="L1484" s="4" t="s">
        <v>225</v>
      </c>
      <c r="M1484" s="8">
        <v>160</v>
      </c>
      <c r="N1484" s="5">
        <v>4778.2700000000004</v>
      </c>
      <c r="O1484" s="5">
        <v>764523.2</v>
      </c>
      <c r="P1484">
        <f t="shared" si="93"/>
        <v>1</v>
      </c>
      <c r="Q1484" s="36">
        <f t="shared" si="94"/>
        <v>764523.20000000007</v>
      </c>
      <c r="R1484">
        <f t="shared" si="95"/>
        <v>2022</v>
      </c>
    </row>
    <row r="1485" spans="1:18" x14ac:dyDescent="0.2">
      <c r="A1485" s="13">
        <v>45204</v>
      </c>
      <c r="B1485" s="13">
        <v>45170</v>
      </c>
      <c r="C1485" s="25" t="s">
        <v>399</v>
      </c>
      <c r="D1485" s="20">
        <v>34</v>
      </c>
      <c r="E1485" s="28">
        <v>229356.96</v>
      </c>
      <c r="F1485" s="22" t="s">
        <v>142</v>
      </c>
      <c r="G1485" s="14">
        <v>48</v>
      </c>
      <c r="H1485" s="40">
        <v>44875</v>
      </c>
      <c r="I1485" s="46">
        <f t="shared" si="92"/>
        <v>329</v>
      </c>
      <c r="J1485" s="1" t="s">
        <v>15</v>
      </c>
      <c r="K1485" s="4" t="s">
        <v>200</v>
      </c>
      <c r="L1485" s="4" t="s">
        <v>225</v>
      </c>
      <c r="M1485" s="8">
        <v>128</v>
      </c>
      <c r="N1485" s="5">
        <v>4778.2700000000004</v>
      </c>
      <c r="O1485" s="5">
        <v>611618.56000000006</v>
      </c>
      <c r="P1485">
        <f t="shared" si="93"/>
        <v>0</v>
      </c>
      <c r="Q1485" s="36">
        <f t="shared" si="94"/>
        <v>229356.96000000002</v>
      </c>
      <c r="R1485">
        <f t="shared" si="95"/>
        <v>2022</v>
      </c>
    </row>
    <row r="1486" spans="1:18" x14ac:dyDescent="0.2">
      <c r="A1486" s="13">
        <v>45244</v>
      </c>
      <c r="B1486" s="13">
        <v>45170</v>
      </c>
      <c r="C1486" s="25" t="s">
        <v>399</v>
      </c>
      <c r="D1486" s="20">
        <v>74</v>
      </c>
      <c r="E1486" s="28">
        <v>382261.6</v>
      </c>
      <c r="F1486" s="22" t="s">
        <v>142</v>
      </c>
      <c r="G1486" s="14">
        <v>80</v>
      </c>
      <c r="H1486" s="40">
        <v>44875</v>
      </c>
      <c r="I1486" s="46">
        <f t="shared" si="92"/>
        <v>369</v>
      </c>
      <c r="J1486" s="1" t="s">
        <v>15</v>
      </c>
      <c r="K1486" s="4" t="s">
        <v>200</v>
      </c>
      <c r="L1486" s="4" t="s">
        <v>225</v>
      </c>
      <c r="M1486" s="8">
        <v>128</v>
      </c>
      <c r="N1486" s="5">
        <v>4778.2700000000004</v>
      </c>
      <c r="O1486" s="5">
        <v>611618.56000000006</v>
      </c>
      <c r="P1486">
        <f t="shared" si="93"/>
        <v>0</v>
      </c>
      <c r="Q1486" s="36">
        <f t="shared" si="94"/>
        <v>382261.60000000003</v>
      </c>
      <c r="R1486">
        <f t="shared" si="95"/>
        <v>2022</v>
      </c>
    </row>
    <row r="1487" spans="1:18" x14ac:dyDescent="0.2">
      <c r="A1487" s="13">
        <v>45244</v>
      </c>
      <c r="B1487" s="13">
        <v>45205</v>
      </c>
      <c r="C1487" s="25" t="s">
        <v>399</v>
      </c>
      <c r="D1487" s="20">
        <v>39</v>
      </c>
      <c r="E1487" s="28">
        <v>764523.2</v>
      </c>
      <c r="F1487" s="22" t="s">
        <v>142</v>
      </c>
      <c r="G1487" s="14">
        <v>160</v>
      </c>
      <c r="H1487" s="40">
        <v>44875</v>
      </c>
      <c r="I1487" s="46">
        <f t="shared" si="92"/>
        <v>369</v>
      </c>
      <c r="J1487" s="1" t="s">
        <v>15</v>
      </c>
      <c r="K1487" s="4" t="s">
        <v>200</v>
      </c>
      <c r="L1487" s="4" t="s">
        <v>225</v>
      </c>
      <c r="M1487" s="8">
        <v>192</v>
      </c>
      <c r="N1487" s="5">
        <v>4778.2700000000004</v>
      </c>
      <c r="O1487" s="5">
        <v>917427.84</v>
      </c>
      <c r="P1487">
        <f t="shared" si="93"/>
        <v>0</v>
      </c>
      <c r="Q1487" s="36">
        <f t="shared" si="94"/>
        <v>764523.20000000007</v>
      </c>
      <c r="R1487">
        <f t="shared" si="95"/>
        <v>2022</v>
      </c>
    </row>
    <row r="1488" spans="1:18" x14ac:dyDescent="0.2">
      <c r="A1488" s="13">
        <v>45345</v>
      </c>
      <c r="B1488" s="13">
        <v>45205</v>
      </c>
      <c r="C1488" s="25" t="s">
        <v>399</v>
      </c>
      <c r="D1488" s="20">
        <v>140</v>
      </c>
      <c r="E1488" s="28">
        <v>152904.64000000001</v>
      </c>
      <c r="F1488" s="22" t="s">
        <v>142</v>
      </c>
      <c r="G1488" s="14">
        <v>32</v>
      </c>
      <c r="H1488" s="40">
        <v>44875</v>
      </c>
      <c r="I1488" s="46">
        <f t="shared" si="92"/>
        <v>470</v>
      </c>
      <c r="J1488" s="1" t="s">
        <v>15</v>
      </c>
      <c r="K1488" s="4" t="s">
        <v>200</v>
      </c>
      <c r="L1488" s="4" t="s">
        <v>225</v>
      </c>
      <c r="M1488" s="8">
        <v>192</v>
      </c>
      <c r="N1488" s="5">
        <v>4778.2700000000004</v>
      </c>
      <c r="O1488" s="5">
        <v>917427.84</v>
      </c>
      <c r="P1488">
        <f t="shared" si="93"/>
        <v>0</v>
      </c>
      <c r="Q1488" s="36">
        <f t="shared" si="94"/>
        <v>152904.64000000001</v>
      </c>
      <c r="R1488">
        <f t="shared" si="95"/>
        <v>2022</v>
      </c>
    </row>
    <row r="1489" spans="1:18" x14ac:dyDescent="0.2">
      <c r="A1489" s="13">
        <v>45345</v>
      </c>
      <c r="B1489" s="13">
        <v>45233</v>
      </c>
      <c r="C1489" s="25" t="s">
        <v>399</v>
      </c>
      <c r="D1489" s="20">
        <v>112</v>
      </c>
      <c r="E1489" s="28">
        <v>917427.84</v>
      </c>
      <c r="F1489" s="22" t="s">
        <v>142</v>
      </c>
      <c r="G1489" s="14">
        <v>192</v>
      </c>
      <c r="H1489" s="40">
        <v>44875</v>
      </c>
      <c r="I1489" s="46">
        <f t="shared" si="92"/>
        <v>470</v>
      </c>
      <c r="J1489" s="1" t="s">
        <v>15</v>
      </c>
      <c r="K1489" s="4" t="s">
        <v>200</v>
      </c>
      <c r="L1489" s="4" t="s">
        <v>225</v>
      </c>
      <c r="M1489" s="8">
        <v>192</v>
      </c>
      <c r="N1489" s="5">
        <v>4778.2700000000004</v>
      </c>
      <c r="O1489" s="5">
        <v>917427.84</v>
      </c>
      <c r="P1489">
        <f t="shared" si="93"/>
        <v>1</v>
      </c>
      <c r="Q1489" s="36">
        <f t="shared" si="94"/>
        <v>917427.84000000008</v>
      </c>
      <c r="R1489">
        <f t="shared" si="95"/>
        <v>2022</v>
      </c>
    </row>
    <row r="1490" spans="1:18" x14ac:dyDescent="0.2">
      <c r="A1490" s="13">
        <v>45345</v>
      </c>
      <c r="B1490" s="13">
        <v>45261</v>
      </c>
      <c r="C1490" s="25" t="s">
        <v>399</v>
      </c>
      <c r="D1490" s="20">
        <v>84</v>
      </c>
      <c r="E1490" s="28">
        <v>229356.96</v>
      </c>
      <c r="F1490" s="22" t="s">
        <v>142</v>
      </c>
      <c r="G1490" s="14">
        <v>48</v>
      </c>
      <c r="H1490" s="40">
        <v>44875</v>
      </c>
      <c r="I1490" s="46">
        <f t="shared" si="92"/>
        <v>470</v>
      </c>
      <c r="J1490" s="1" t="s">
        <v>15</v>
      </c>
      <c r="K1490" s="4" t="s">
        <v>200</v>
      </c>
      <c r="L1490" s="4" t="s">
        <v>225</v>
      </c>
      <c r="M1490" s="8">
        <v>48</v>
      </c>
      <c r="N1490" s="5">
        <v>4778.2700000000004</v>
      </c>
      <c r="O1490" s="5">
        <v>229356.96</v>
      </c>
      <c r="P1490">
        <f t="shared" si="93"/>
        <v>1</v>
      </c>
      <c r="Q1490" s="36">
        <f t="shared" si="94"/>
        <v>229356.96000000002</v>
      </c>
      <c r="R1490">
        <f t="shared" si="95"/>
        <v>2022</v>
      </c>
    </row>
    <row r="1491" spans="1:18" x14ac:dyDescent="0.2">
      <c r="A1491" s="13">
        <v>45330</v>
      </c>
      <c r="B1491" s="13">
        <v>45230</v>
      </c>
      <c r="C1491" s="25" t="s">
        <v>399</v>
      </c>
      <c r="D1491" s="20">
        <v>100</v>
      </c>
      <c r="E1491" s="28">
        <v>10786.8</v>
      </c>
      <c r="F1491" s="22" t="s">
        <v>143</v>
      </c>
      <c r="G1491" s="14">
        <v>120</v>
      </c>
      <c r="H1491" s="40">
        <v>44967</v>
      </c>
      <c r="I1491" s="46">
        <f t="shared" si="92"/>
        <v>363</v>
      </c>
      <c r="J1491" s="1" t="s">
        <v>15</v>
      </c>
      <c r="K1491" s="4" t="s">
        <v>200</v>
      </c>
      <c r="L1491" s="4" t="s">
        <v>225</v>
      </c>
      <c r="M1491" s="8">
        <v>120</v>
      </c>
      <c r="N1491" s="5">
        <v>89.89</v>
      </c>
      <c r="O1491" s="5">
        <v>10786.8</v>
      </c>
      <c r="P1491">
        <f t="shared" si="93"/>
        <v>1</v>
      </c>
      <c r="Q1491" s="36">
        <f t="shared" si="94"/>
        <v>10786.8</v>
      </c>
      <c r="R1491">
        <f t="shared" si="95"/>
        <v>2023</v>
      </c>
    </row>
    <row r="1492" spans="1:18" x14ac:dyDescent="0.2">
      <c r="A1492" s="13">
        <v>45503</v>
      </c>
      <c r="B1492" s="13">
        <v>45503</v>
      </c>
      <c r="C1492" s="25" t="s">
        <v>398</v>
      </c>
      <c r="D1492" s="20">
        <v>0</v>
      </c>
      <c r="E1492" s="28">
        <v>165855.6</v>
      </c>
      <c r="F1492" s="22" t="s">
        <v>122</v>
      </c>
      <c r="G1492" s="14">
        <v>360</v>
      </c>
      <c r="H1492" s="40">
        <v>45140</v>
      </c>
      <c r="I1492" s="46">
        <f t="shared" si="92"/>
        <v>363</v>
      </c>
      <c r="J1492" s="1" t="s">
        <v>15</v>
      </c>
      <c r="K1492" s="4" t="s">
        <v>200</v>
      </c>
      <c r="L1492" s="4" t="s">
        <v>225</v>
      </c>
      <c r="M1492" s="8">
        <v>360</v>
      </c>
      <c r="N1492" s="5">
        <v>460.71</v>
      </c>
      <c r="O1492" s="5">
        <v>165855.6</v>
      </c>
      <c r="P1492">
        <f t="shared" si="93"/>
        <v>1</v>
      </c>
      <c r="Q1492" s="36">
        <f t="shared" si="94"/>
        <v>165855.6</v>
      </c>
      <c r="R1492">
        <f t="shared" si="95"/>
        <v>2023</v>
      </c>
    </row>
    <row r="1493" spans="1:18" x14ac:dyDescent="0.2">
      <c r="A1493" s="13">
        <v>45517</v>
      </c>
      <c r="B1493" s="13">
        <v>45517</v>
      </c>
      <c r="C1493" s="25" t="s">
        <v>398</v>
      </c>
      <c r="D1493" s="20">
        <v>0</v>
      </c>
      <c r="E1493" s="28">
        <v>66342.240000000005</v>
      </c>
      <c r="F1493" s="22" t="s">
        <v>122</v>
      </c>
      <c r="G1493" s="14">
        <v>144</v>
      </c>
      <c r="H1493" s="40">
        <v>45140</v>
      </c>
      <c r="I1493" s="46">
        <f t="shared" si="92"/>
        <v>377</v>
      </c>
      <c r="J1493" s="1" t="s">
        <v>15</v>
      </c>
      <c r="K1493" s="4" t="s">
        <v>200</v>
      </c>
      <c r="L1493" s="4" t="s">
        <v>225</v>
      </c>
      <c r="M1493" s="8">
        <v>144</v>
      </c>
      <c r="N1493" s="5">
        <v>460.71</v>
      </c>
      <c r="O1493" s="5">
        <v>66342.240000000005</v>
      </c>
      <c r="P1493">
        <f t="shared" si="93"/>
        <v>1</v>
      </c>
      <c r="Q1493" s="36">
        <f t="shared" si="94"/>
        <v>66342.239999999991</v>
      </c>
      <c r="R1493">
        <f t="shared" si="95"/>
        <v>2023</v>
      </c>
    </row>
    <row r="1494" spans="1:18" x14ac:dyDescent="0.2">
      <c r="A1494" s="13">
        <v>45517</v>
      </c>
      <c r="B1494" s="13">
        <v>45517</v>
      </c>
      <c r="C1494" s="25" t="s">
        <v>398</v>
      </c>
      <c r="D1494" s="20">
        <v>0</v>
      </c>
      <c r="E1494" s="28">
        <v>33171.120000000003</v>
      </c>
      <c r="F1494" s="22" t="s">
        <v>122</v>
      </c>
      <c r="G1494" s="14">
        <v>72</v>
      </c>
      <c r="H1494" s="40">
        <v>45140</v>
      </c>
      <c r="I1494" s="46">
        <f t="shared" si="92"/>
        <v>377</v>
      </c>
      <c r="J1494" s="1" t="s">
        <v>15</v>
      </c>
      <c r="K1494" s="4" t="s">
        <v>200</v>
      </c>
      <c r="L1494" s="4" t="s">
        <v>225</v>
      </c>
      <c r="M1494" s="8">
        <v>72</v>
      </c>
      <c r="N1494" s="5">
        <v>460.71</v>
      </c>
      <c r="O1494" s="5">
        <v>33171.120000000003</v>
      </c>
      <c r="P1494">
        <f t="shared" si="93"/>
        <v>1</v>
      </c>
      <c r="Q1494" s="36">
        <f t="shared" si="94"/>
        <v>33171.119999999995</v>
      </c>
      <c r="R1494">
        <f t="shared" si="95"/>
        <v>2023</v>
      </c>
    </row>
    <row r="1495" spans="1:18" x14ac:dyDescent="0.2">
      <c r="A1495" s="13">
        <v>45524</v>
      </c>
      <c r="B1495" s="13">
        <v>45524</v>
      </c>
      <c r="C1495" s="25" t="s">
        <v>398</v>
      </c>
      <c r="D1495" s="20">
        <v>0</v>
      </c>
      <c r="E1495" s="28">
        <v>33171.120000000003</v>
      </c>
      <c r="F1495" s="22" t="s">
        <v>122</v>
      </c>
      <c r="G1495" s="14">
        <v>72</v>
      </c>
      <c r="H1495" s="40">
        <v>45146</v>
      </c>
      <c r="I1495" s="46">
        <f t="shared" si="92"/>
        <v>378</v>
      </c>
      <c r="J1495" s="1" t="s">
        <v>15</v>
      </c>
      <c r="K1495" s="4" t="s">
        <v>200</v>
      </c>
      <c r="L1495" s="4" t="s">
        <v>225</v>
      </c>
      <c r="M1495" s="8">
        <v>72</v>
      </c>
      <c r="N1495" s="5">
        <v>460.71</v>
      </c>
      <c r="O1495" s="5">
        <v>33171.120000000003</v>
      </c>
      <c r="P1495">
        <f t="shared" si="93"/>
        <v>1</v>
      </c>
      <c r="Q1495" s="36">
        <f t="shared" si="94"/>
        <v>33171.119999999995</v>
      </c>
      <c r="R1495">
        <f t="shared" si="95"/>
        <v>2023</v>
      </c>
    </row>
    <row r="1496" spans="1:18" x14ac:dyDescent="0.2">
      <c r="A1496" s="13">
        <v>45232</v>
      </c>
      <c r="B1496" s="13">
        <v>45232</v>
      </c>
      <c r="C1496" s="25" t="s">
        <v>398</v>
      </c>
      <c r="D1496" s="20">
        <v>0</v>
      </c>
      <c r="E1496" s="28">
        <v>26074.44</v>
      </c>
      <c r="F1496" s="22" t="s">
        <v>121</v>
      </c>
      <c r="G1496" s="14">
        <v>63</v>
      </c>
      <c r="H1496" s="40">
        <v>44992</v>
      </c>
      <c r="I1496" s="46">
        <f t="shared" si="92"/>
        <v>240</v>
      </c>
      <c r="J1496" s="1" t="s">
        <v>15</v>
      </c>
      <c r="K1496" s="4" t="s">
        <v>199</v>
      </c>
      <c r="L1496" s="4" t="s">
        <v>225</v>
      </c>
      <c r="M1496" s="8">
        <v>63</v>
      </c>
      <c r="N1496" s="5">
        <v>413.88</v>
      </c>
      <c r="O1496" s="5">
        <v>26074.44</v>
      </c>
      <c r="P1496">
        <f t="shared" si="93"/>
        <v>1</v>
      </c>
      <c r="Q1496" s="36">
        <f t="shared" si="94"/>
        <v>26074.44</v>
      </c>
      <c r="R1496">
        <f t="shared" si="95"/>
        <v>2023</v>
      </c>
    </row>
    <row r="1497" spans="1:18" x14ac:dyDescent="0.2">
      <c r="A1497" s="13">
        <v>45239</v>
      </c>
      <c r="B1497" s="13">
        <v>45239</v>
      </c>
      <c r="C1497" s="25" t="s">
        <v>398</v>
      </c>
      <c r="D1497" s="20">
        <v>0</v>
      </c>
      <c r="E1497" s="28">
        <v>26074.44</v>
      </c>
      <c r="F1497" s="22" t="s">
        <v>121</v>
      </c>
      <c r="G1497" s="14">
        <v>63</v>
      </c>
      <c r="H1497" s="40">
        <v>44992</v>
      </c>
      <c r="I1497" s="46">
        <f t="shared" si="92"/>
        <v>247</v>
      </c>
      <c r="J1497" s="1" t="s">
        <v>15</v>
      </c>
      <c r="K1497" s="4" t="s">
        <v>199</v>
      </c>
      <c r="L1497" s="4" t="s">
        <v>225</v>
      </c>
      <c r="M1497" s="8">
        <v>63</v>
      </c>
      <c r="N1497" s="5">
        <v>413.88</v>
      </c>
      <c r="O1497" s="5">
        <v>26074.44</v>
      </c>
      <c r="P1497">
        <f t="shared" si="93"/>
        <v>1</v>
      </c>
      <c r="Q1497" s="36">
        <f t="shared" si="94"/>
        <v>26074.44</v>
      </c>
      <c r="R1497">
        <f t="shared" si="95"/>
        <v>2023</v>
      </c>
    </row>
    <row r="1498" spans="1:18" x14ac:dyDescent="0.2">
      <c r="A1498" s="13">
        <v>45266</v>
      </c>
      <c r="B1498" s="13">
        <v>45266</v>
      </c>
      <c r="C1498" s="25" t="s">
        <v>398</v>
      </c>
      <c r="D1498" s="20">
        <v>0</v>
      </c>
      <c r="E1498" s="28">
        <v>26074.44</v>
      </c>
      <c r="F1498" s="22" t="s">
        <v>121</v>
      </c>
      <c r="G1498" s="14">
        <v>63</v>
      </c>
      <c r="H1498" s="40">
        <v>44992</v>
      </c>
      <c r="I1498" s="46">
        <f t="shared" si="92"/>
        <v>274</v>
      </c>
      <c r="J1498" s="1" t="s">
        <v>15</v>
      </c>
      <c r="K1498" s="4" t="s">
        <v>199</v>
      </c>
      <c r="L1498" s="4" t="s">
        <v>225</v>
      </c>
      <c r="M1498" s="8">
        <v>63</v>
      </c>
      <c r="N1498" s="5">
        <v>413.88</v>
      </c>
      <c r="O1498" s="5">
        <v>26074.44</v>
      </c>
      <c r="P1498">
        <f t="shared" si="93"/>
        <v>1</v>
      </c>
      <c r="Q1498" s="36">
        <f t="shared" si="94"/>
        <v>26074.44</v>
      </c>
      <c r="R1498">
        <f t="shared" si="95"/>
        <v>2023</v>
      </c>
    </row>
    <row r="1499" spans="1:18" x14ac:dyDescent="0.2">
      <c r="A1499" s="13">
        <v>45280</v>
      </c>
      <c r="B1499" s="13">
        <v>45280</v>
      </c>
      <c r="C1499" s="25" t="s">
        <v>398</v>
      </c>
      <c r="D1499" s="20">
        <v>0</v>
      </c>
      <c r="E1499" s="28">
        <v>26074.44</v>
      </c>
      <c r="F1499" s="22" t="s">
        <v>121</v>
      </c>
      <c r="G1499" s="14">
        <v>63</v>
      </c>
      <c r="H1499" s="40">
        <v>44992</v>
      </c>
      <c r="I1499" s="46">
        <f t="shared" si="92"/>
        <v>288</v>
      </c>
      <c r="J1499" s="1" t="s">
        <v>15</v>
      </c>
      <c r="K1499" s="4" t="s">
        <v>199</v>
      </c>
      <c r="L1499" s="4" t="s">
        <v>225</v>
      </c>
      <c r="M1499" s="8">
        <v>63</v>
      </c>
      <c r="N1499" s="5">
        <v>413.88</v>
      </c>
      <c r="O1499" s="5">
        <v>26074.44</v>
      </c>
      <c r="P1499">
        <f t="shared" si="93"/>
        <v>1</v>
      </c>
      <c r="Q1499" s="36">
        <f t="shared" si="94"/>
        <v>26074.44</v>
      </c>
      <c r="R1499">
        <f t="shared" si="95"/>
        <v>2023</v>
      </c>
    </row>
    <row r="1500" spans="1:18" x14ac:dyDescent="0.2">
      <c r="A1500" s="13">
        <v>45294</v>
      </c>
      <c r="B1500" s="13">
        <v>45294</v>
      </c>
      <c r="C1500" s="25" t="s">
        <v>398</v>
      </c>
      <c r="D1500" s="20">
        <v>0</v>
      </c>
      <c r="E1500" s="28">
        <v>26074.44</v>
      </c>
      <c r="F1500" s="22" t="s">
        <v>121</v>
      </c>
      <c r="G1500" s="14">
        <v>63</v>
      </c>
      <c r="H1500" s="40">
        <v>44992</v>
      </c>
      <c r="I1500" s="46">
        <f t="shared" si="92"/>
        <v>302</v>
      </c>
      <c r="J1500" s="1" t="s">
        <v>15</v>
      </c>
      <c r="K1500" s="4" t="s">
        <v>199</v>
      </c>
      <c r="L1500" s="4" t="s">
        <v>225</v>
      </c>
      <c r="M1500" s="8">
        <v>63</v>
      </c>
      <c r="N1500" s="5">
        <v>413.88</v>
      </c>
      <c r="O1500" s="5">
        <v>26074.44</v>
      </c>
      <c r="P1500">
        <f t="shared" si="93"/>
        <v>1</v>
      </c>
      <c r="Q1500" s="36">
        <f t="shared" si="94"/>
        <v>26074.44</v>
      </c>
      <c r="R1500">
        <f t="shared" si="95"/>
        <v>2023</v>
      </c>
    </row>
    <row r="1501" spans="1:18" x14ac:dyDescent="0.2">
      <c r="A1501" s="13">
        <v>45303</v>
      </c>
      <c r="B1501" s="13">
        <v>45301</v>
      </c>
      <c r="C1501" s="25" t="s">
        <v>399</v>
      </c>
      <c r="D1501" s="20">
        <v>2</v>
      </c>
      <c r="E1501" s="28">
        <v>26074.44</v>
      </c>
      <c r="F1501" s="22" t="s">
        <v>121</v>
      </c>
      <c r="G1501" s="14">
        <v>63</v>
      </c>
      <c r="H1501" s="40">
        <v>44992</v>
      </c>
      <c r="I1501" s="46">
        <f t="shared" si="92"/>
        <v>311</v>
      </c>
      <c r="J1501" s="1" t="s">
        <v>15</v>
      </c>
      <c r="K1501" s="4" t="s">
        <v>199</v>
      </c>
      <c r="L1501" s="4" t="s">
        <v>225</v>
      </c>
      <c r="M1501" s="8">
        <v>63</v>
      </c>
      <c r="N1501" s="5">
        <v>413.88</v>
      </c>
      <c r="O1501" s="5">
        <v>26074.44</v>
      </c>
      <c r="P1501">
        <f t="shared" si="93"/>
        <v>1</v>
      </c>
      <c r="Q1501" s="36">
        <f t="shared" si="94"/>
        <v>26074.44</v>
      </c>
      <c r="R1501">
        <f t="shared" si="95"/>
        <v>2023</v>
      </c>
    </row>
    <row r="1502" spans="1:18" x14ac:dyDescent="0.2">
      <c r="A1502" s="13">
        <v>45315</v>
      </c>
      <c r="B1502" s="13">
        <v>45315</v>
      </c>
      <c r="C1502" s="25" t="s">
        <v>398</v>
      </c>
      <c r="D1502" s="20">
        <v>0</v>
      </c>
      <c r="E1502" s="28">
        <v>26074.44</v>
      </c>
      <c r="F1502" s="22" t="s">
        <v>121</v>
      </c>
      <c r="G1502" s="14">
        <v>63</v>
      </c>
      <c r="H1502" s="40">
        <v>44992</v>
      </c>
      <c r="I1502" s="46">
        <f t="shared" si="92"/>
        <v>323</v>
      </c>
      <c r="J1502" s="1" t="s">
        <v>15</v>
      </c>
      <c r="K1502" s="4" t="s">
        <v>199</v>
      </c>
      <c r="L1502" s="4" t="s">
        <v>225</v>
      </c>
      <c r="M1502" s="8">
        <v>63</v>
      </c>
      <c r="N1502" s="5">
        <v>413.88</v>
      </c>
      <c r="O1502" s="5">
        <v>26074.44</v>
      </c>
      <c r="P1502">
        <f t="shared" si="93"/>
        <v>1</v>
      </c>
      <c r="Q1502" s="36">
        <f t="shared" si="94"/>
        <v>26074.44</v>
      </c>
      <c r="R1502">
        <f t="shared" si="95"/>
        <v>2023</v>
      </c>
    </row>
    <row r="1503" spans="1:18" x14ac:dyDescent="0.2">
      <c r="A1503" s="13">
        <v>45329</v>
      </c>
      <c r="B1503" s="13">
        <v>45329</v>
      </c>
      <c r="C1503" s="25" t="s">
        <v>398</v>
      </c>
      <c r="D1503" s="20">
        <v>0</v>
      </c>
      <c r="E1503" s="28">
        <v>26074.44</v>
      </c>
      <c r="F1503" s="22" t="s">
        <v>121</v>
      </c>
      <c r="G1503" s="14">
        <v>63</v>
      </c>
      <c r="H1503" s="40">
        <v>44992</v>
      </c>
      <c r="I1503" s="46">
        <f t="shared" si="92"/>
        <v>337</v>
      </c>
      <c r="J1503" s="1" t="s">
        <v>15</v>
      </c>
      <c r="K1503" s="4" t="s">
        <v>199</v>
      </c>
      <c r="L1503" s="4" t="s">
        <v>225</v>
      </c>
      <c r="M1503" s="8">
        <v>63</v>
      </c>
      <c r="N1503" s="5">
        <v>413.88</v>
      </c>
      <c r="O1503" s="5">
        <v>26074.44</v>
      </c>
      <c r="P1503">
        <f t="shared" si="93"/>
        <v>1</v>
      </c>
      <c r="Q1503" s="36">
        <f t="shared" si="94"/>
        <v>26074.44</v>
      </c>
      <c r="R1503">
        <f t="shared" si="95"/>
        <v>2023</v>
      </c>
    </row>
    <row r="1504" spans="1:18" x14ac:dyDescent="0.2">
      <c r="A1504" s="13">
        <v>45357</v>
      </c>
      <c r="B1504" s="13">
        <v>45357</v>
      </c>
      <c r="C1504" s="25" t="s">
        <v>398</v>
      </c>
      <c r="D1504" s="20">
        <v>0</v>
      </c>
      <c r="E1504" s="28">
        <v>26074.44</v>
      </c>
      <c r="F1504" s="22" t="s">
        <v>121</v>
      </c>
      <c r="G1504" s="14">
        <v>63</v>
      </c>
      <c r="H1504" s="40">
        <v>44992</v>
      </c>
      <c r="I1504" s="46">
        <f t="shared" si="92"/>
        <v>365</v>
      </c>
      <c r="J1504" s="1" t="s">
        <v>15</v>
      </c>
      <c r="K1504" s="4" t="s">
        <v>199</v>
      </c>
      <c r="L1504" s="4" t="s">
        <v>225</v>
      </c>
      <c r="M1504" s="8">
        <v>63</v>
      </c>
      <c r="N1504" s="5">
        <v>413.88</v>
      </c>
      <c r="O1504" s="5">
        <v>26074.44</v>
      </c>
      <c r="P1504">
        <f t="shared" si="93"/>
        <v>1</v>
      </c>
      <c r="Q1504" s="36">
        <f t="shared" si="94"/>
        <v>26074.44</v>
      </c>
      <c r="R1504">
        <f t="shared" si="95"/>
        <v>2023</v>
      </c>
    </row>
    <row r="1505" spans="1:18" x14ac:dyDescent="0.2">
      <c r="A1505" s="13">
        <v>45364</v>
      </c>
      <c r="B1505" s="13">
        <v>45364</v>
      </c>
      <c r="C1505" s="25" t="s">
        <v>398</v>
      </c>
      <c r="D1505" s="20">
        <v>0</v>
      </c>
      <c r="E1505" s="28">
        <v>26074.44</v>
      </c>
      <c r="F1505" s="22" t="s">
        <v>121</v>
      </c>
      <c r="G1505" s="14">
        <v>63</v>
      </c>
      <c r="H1505" s="40">
        <v>44992</v>
      </c>
      <c r="I1505" s="46">
        <f t="shared" si="92"/>
        <v>372</v>
      </c>
      <c r="J1505" s="1" t="s">
        <v>15</v>
      </c>
      <c r="K1505" s="4" t="s">
        <v>199</v>
      </c>
      <c r="L1505" s="4" t="s">
        <v>225</v>
      </c>
      <c r="M1505" s="8">
        <v>63</v>
      </c>
      <c r="N1505" s="5">
        <v>413.88</v>
      </c>
      <c r="O1505" s="5">
        <v>26074.44</v>
      </c>
      <c r="P1505">
        <f t="shared" si="93"/>
        <v>1</v>
      </c>
      <c r="Q1505" s="36">
        <f t="shared" si="94"/>
        <v>26074.44</v>
      </c>
      <c r="R1505">
        <f t="shared" si="95"/>
        <v>2023</v>
      </c>
    </row>
    <row r="1506" spans="1:18" x14ac:dyDescent="0.2">
      <c r="A1506" s="13">
        <v>45201</v>
      </c>
      <c r="B1506" s="13">
        <v>45201</v>
      </c>
      <c r="C1506" s="25" t="s">
        <v>398</v>
      </c>
      <c r="D1506" s="20">
        <v>0</v>
      </c>
      <c r="E1506" s="28">
        <v>1303722</v>
      </c>
      <c r="F1506" s="22" t="s">
        <v>121</v>
      </c>
      <c r="G1506" s="14">
        <v>3150</v>
      </c>
      <c r="H1506" s="40">
        <v>44993</v>
      </c>
      <c r="I1506" s="46">
        <f t="shared" si="92"/>
        <v>208</v>
      </c>
      <c r="J1506" s="1" t="s">
        <v>15</v>
      </c>
      <c r="K1506" s="4" t="s">
        <v>200</v>
      </c>
      <c r="L1506" s="4" t="s">
        <v>225</v>
      </c>
      <c r="M1506" s="8">
        <v>3150</v>
      </c>
      <c r="N1506" s="5">
        <v>413.88</v>
      </c>
      <c r="O1506" s="5">
        <v>1303722</v>
      </c>
      <c r="P1506">
        <f t="shared" si="93"/>
        <v>1</v>
      </c>
      <c r="Q1506" s="36">
        <f t="shared" si="94"/>
        <v>1303722</v>
      </c>
      <c r="R1506">
        <f t="shared" si="95"/>
        <v>2023</v>
      </c>
    </row>
    <row r="1507" spans="1:18" x14ac:dyDescent="0.2">
      <c r="A1507" s="13">
        <v>45292</v>
      </c>
      <c r="B1507" s="13">
        <v>45292</v>
      </c>
      <c r="C1507" s="25" t="s">
        <v>398</v>
      </c>
      <c r="D1507" s="20">
        <v>0</v>
      </c>
      <c r="E1507" s="28">
        <v>1042977.6</v>
      </c>
      <c r="F1507" s="22" t="s">
        <v>121</v>
      </c>
      <c r="G1507" s="14">
        <v>2520</v>
      </c>
      <c r="H1507" s="40">
        <v>44993</v>
      </c>
      <c r="I1507" s="46">
        <f t="shared" si="92"/>
        <v>299</v>
      </c>
      <c r="J1507" s="1" t="s">
        <v>15</v>
      </c>
      <c r="K1507" s="4" t="s">
        <v>200</v>
      </c>
      <c r="L1507" s="4" t="s">
        <v>225</v>
      </c>
      <c r="M1507" s="8">
        <v>2520</v>
      </c>
      <c r="N1507" s="5">
        <v>413.88</v>
      </c>
      <c r="O1507" s="5">
        <v>1042977.6</v>
      </c>
      <c r="P1507">
        <f t="shared" si="93"/>
        <v>1</v>
      </c>
      <c r="Q1507" s="36">
        <f t="shared" si="94"/>
        <v>1042977.6</v>
      </c>
      <c r="R1507">
        <f t="shared" si="95"/>
        <v>2023</v>
      </c>
    </row>
    <row r="1508" spans="1:18" x14ac:dyDescent="0.2">
      <c r="A1508" s="13">
        <v>45337</v>
      </c>
      <c r="B1508" s="13">
        <v>45337</v>
      </c>
      <c r="C1508" s="25" t="s">
        <v>398</v>
      </c>
      <c r="D1508" s="20">
        <v>0</v>
      </c>
      <c r="E1508" s="28">
        <v>26074.44</v>
      </c>
      <c r="F1508" s="22" t="s">
        <v>121</v>
      </c>
      <c r="G1508" s="14">
        <v>63</v>
      </c>
      <c r="H1508" s="40">
        <v>45000</v>
      </c>
      <c r="I1508" s="46">
        <f t="shared" si="92"/>
        <v>337</v>
      </c>
      <c r="J1508" s="1" t="s">
        <v>15</v>
      </c>
      <c r="K1508" s="4" t="s">
        <v>199</v>
      </c>
      <c r="L1508" s="4" t="s">
        <v>225</v>
      </c>
      <c r="M1508" s="8">
        <v>63</v>
      </c>
      <c r="N1508" s="5">
        <v>413.88</v>
      </c>
      <c r="O1508" s="5">
        <v>26074.44</v>
      </c>
      <c r="P1508">
        <f t="shared" si="93"/>
        <v>1</v>
      </c>
      <c r="Q1508" s="36">
        <f t="shared" si="94"/>
        <v>26074.44</v>
      </c>
      <c r="R1508">
        <f t="shared" si="95"/>
        <v>2023</v>
      </c>
    </row>
    <row r="1509" spans="1:18" x14ac:dyDescent="0.2">
      <c r="A1509" s="13">
        <v>45357</v>
      </c>
      <c r="B1509" s="13">
        <v>45357</v>
      </c>
      <c r="C1509" s="25" t="s">
        <v>398</v>
      </c>
      <c r="D1509" s="20">
        <v>0</v>
      </c>
      <c r="E1509" s="28">
        <v>26074.44</v>
      </c>
      <c r="F1509" s="22" t="s">
        <v>121</v>
      </c>
      <c r="G1509" s="14">
        <v>63</v>
      </c>
      <c r="H1509" s="40">
        <v>45000</v>
      </c>
      <c r="I1509" s="46">
        <f t="shared" si="92"/>
        <v>357</v>
      </c>
      <c r="J1509" s="1" t="s">
        <v>15</v>
      </c>
      <c r="K1509" s="4" t="s">
        <v>199</v>
      </c>
      <c r="L1509" s="4" t="s">
        <v>225</v>
      </c>
      <c r="M1509" s="8">
        <v>63</v>
      </c>
      <c r="N1509" s="5">
        <v>413.88</v>
      </c>
      <c r="O1509" s="5">
        <v>26074.44</v>
      </c>
      <c r="P1509">
        <f t="shared" si="93"/>
        <v>1</v>
      </c>
      <c r="Q1509" s="36">
        <f t="shared" si="94"/>
        <v>26074.44</v>
      </c>
      <c r="R1509">
        <f t="shared" si="95"/>
        <v>2023</v>
      </c>
    </row>
    <row r="1510" spans="1:18" x14ac:dyDescent="0.2">
      <c r="A1510" s="13">
        <v>45359</v>
      </c>
      <c r="B1510" s="13">
        <v>45359</v>
      </c>
      <c r="C1510" s="25" t="s">
        <v>398</v>
      </c>
      <c r="D1510" s="20">
        <v>0</v>
      </c>
      <c r="E1510" s="28">
        <v>260744.4</v>
      </c>
      <c r="F1510" s="22" t="s">
        <v>121</v>
      </c>
      <c r="G1510" s="14">
        <v>630</v>
      </c>
      <c r="H1510" s="40">
        <v>45000</v>
      </c>
      <c r="I1510" s="46">
        <f t="shared" si="92"/>
        <v>359</v>
      </c>
      <c r="J1510" s="1" t="s">
        <v>15</v>
      </c>
      <c r="K1510" s="4" t="s">
        <v>200</v>
      </c>
      <c r="L1510" s="4" t="s">
        <v>225</v>
      </c>
      <c r="M1510" s="8">
        <v>630</v>
      </c>
      <c r="N1510" s="5">
        <v>413.88</v>
      </c>
      <c r="O1510" s="5">
        <v>260744.4</v>
      </c>
      <c r="P1510">
        <f t="shared" si="93"/>
        <v>1</v>
      </c>
      <c r="Q1510" s="36">
        <f t="shared" si="94"/>
        <v>260744.4</v>
      </c>
      <c r="R1510">
        <f t="shared" si="95"/>
        <v>2023</v>
      </c>
    </row>
    <row r="1511" spans="1:18" x14ac:dyDescent="0.2">
      <c r="A1511" s="13">
        <v>45378</v>
      </c>
      <c r="B1511" s="13">
        <v>45378</v>
      </c>
      <c r="C1511" s="25" t="s">
        <v>398</v>
      </c>
      <c r="D1511" s="20">
        <v>0</v>
      </c>
      <c r="E1511" s="28">
        <v>26074.44</v>
      </c>
      <c r="F1511" s="22" t="s">
        <v>121</v>
      </c>
      <c r="G1511" s="14">
        <v>63</v>
      </c>
      <c r="H1511" s="40">
        <v>45000</v>
      </c>
      <c r="I1511" s="46">
        <f t="shared" si="92"/>
        <v>378</v>
      </c>
      <c r="J1511" s="1" t="s">
        <v>15</v>
      </c>
      <c r="K1511" s="4" t="s">
        <v>199</v>
      </c>
      <c r="L1511" s="4" t="s">
        <v>225</v>
      </c>
      <c r="M1511" s="8">
        <v>63</v>
      </c>
      <c r="N1511" s="5">
        <v>413.88</v>
      </c>
      <c r="O1511" s="5">
        <v>26074.44</v>
      </c>
      <c r="P1511">
        <f t="shared" si="93"/>
        <v>1</v>
      </c>
      <c r="Q1511" s="36">
        <f t="shared" si="94"/>
        <v>26074.44</v>
      </c>
      <c r="R1511">
        <f t="shared" si="95"/>
        <v>2023</v>
      </c>
    </row>
    <row r="1512" spans="1:18" x14ac:dyDescent="0.2">
      <c r="A1512" s="13">
        <v>45392</v>
      </c>
      <c r="B1512" s="13">
        <v>45392</v>
      </c>
      <c r="C1512" s="25" t="s">
        <v>398</v>
      </c>
      <c r="D1512" s="20">
        <v>0</v>
      </c>
      <c r="E1512" s="28">
        <v>26074.44</v>
      </c>
      <c r="F1512" s="22" t="s">
        <v>121</v>
      </c>
      <c r="G1512" s="14">
        <v>63</v>
      </c>
      <c r="H1512" s="40">
        <v>45015</v>
      </c>
      <c r="I1512" s="46">
        <f t="shared" si="92"/>
        <v>377</v>
      </c>
      <c r="J1512" s="1" t="s">
        <v>15</v>
      </c>
      <c r="K1512" s="4" t="s">
        <v>200</v>
      </c>
      <c r="L1512" s="4" t="s">
        <v>225</v>
      </c>
      <c r="M1512" s="8">
        <v>63</v>
      </c>
      <c r="N1512" s="5">
        <v>413.88</v>
      </c>
      <c r="O1512" s="5">
        <v>26074.44</v>
      </c>
      <c r="P1512">
        <f t="shared" si="93"/>
        <v>1</v>
      </c>
      <c r="Q1512" s="36">
        <f t="shared" si="94"/>
        <v>26074.44</v>
      </c>
      <c r="R1512">
        <f t="shared" si="95"/>
        <v>2023</v>
      </c>
    </row>
    <row r="1513" spans="1:18" x14ac:dyDescent="0.2">
      <c r="A1513" s="13">
        <v>45392</v>
      </c>
      <c r="B1513" s="13">
        <v>45392</v>
      </c>
      <c r="C1513" s="25" t="s">
        <v>398</v>
      </c>
      <c r="D1513" s="20">
        <v>0</v>
      </c>
      <c r="E1513" s="28">
        <v>26074.44</v>
      </c>
      <c r="F1513" s="22" t="s">
        <v>121</v>
      </c>
      <c r="G1513" s="14">
        <v>63</v>
      </c>
      <c r="H1513" s="40">
        <v>45015</v>
      </c>
      <c r="I1513" s="46">
        <f t="shared" si="92"/>
        <v>377</v>
      </c>
      <c r="J1513" s="1" t="s">
        <v>15</v>
      </c>
      <c r="K1513" s="4" t="s">
        <v>200</v>
      </c>
      <c r="L1513" s="4" t="s">
        <v>225</v>
      </c>
      <c r="M1513" s="8">
        <v>63</v>
      </c>
      <c r="N1513" s="5">
        <v>413.88</v>
      </c>
      <c r="O1513" s="5">
        <v>26074.44</v>
      </c>
      <c r="P1513">
        <f t="shared" si="93"/>
        <v>1</v>
      </c>
      <c r="Q1513" s="36">
        <f t="shared" si="94"/>
        <v>26074.44</v>
      </c>
      <c r="R1513">
        <f t="shared" si="95"/>
        <v>2023</v>
      </c>
    </row>
    <row r="1514" spans="1:18" x14ac:dyDescent="0.2">
      <c r="A1514" s="13">
        <v>45392</v>
      </c>
      <c r="B1514" s="13">
        <v>45392</v>
      </c>
      <c r="C1514" s="25" t="s">
        <v>398</v>
      </c>
      <c r="D1514" s="20">
        <v>0</v>
      </c>
      <c r="E1514" s="28">
        <v>52148.88</v>
      </c>
      <c r="F1514" s="22" t="s">
        <v>121</v>
      </c>
      <c r="G1514" s="14">
        <v>126</v>
      </c>
      <c r="H1514" s="40">
        <v>45016</v>
      </c>
      <c r="I1514" s="46">
        <f t="shared" si="92"/>
        <v>376</v>
      </c>
      <c r="J1514" s="1" t="s">
        <v>15</v>
      </c>
      <c r="K1514" s="4" t="s">
        <v>200</v>
      </c>
      <c r="L1514" s="4" t="s">
        <v>225</v>
      </c>
      <c r="M1514" s="8">
        <v>126</v>
      </c>
      <c r="N1514" s="5">
        <v>413.88</v>
      </c>
      <c r="O1514" s="5">
        <v>52148.88</v>
      </c>
      <c r="P1514">
        <f t="shared" si="93"/>
        <v>1</v>
      </c>
      <c r="Q1514" s="36">
        <f t="shared" si="94"/>
        <v>52148.88</v>
      </c>
      <c r="R1514">
        <f t="shared" si="95"/>
        <v>2023</v>
      </c>
    </row>
    <row r="1515" spans="1:18" x14ac:dyDescent="0.2">
      <c r="A1515" s="13">
        <v>45450</v>
      </c>
      <c r="B1515" s="13">
        <v>45450</v>
      </c>
      <c r="C1515" s="25" t="s">
        <v>398</v>
      </c>
      <c r="D1515" s="20">
        <v>0</v>
      </c>
      <c r="E1515" s="28">
        <v>78223.320000000007</v>
      </c>
      <c r="F1515" s="22" t="s">
        <v>121</v>
      </c>
      <c r="G1515" s="14">
        <v>189</v>
      </c>
      <c r="H1515" s="40">
        <v>45084</v>
      </c>
      <c r="I1515" s="46">
        <f t="shared" si="92"/>
        <v>366</v>
      </c>
      <c r="J1515" s="1" t="s">
        <v>15</v>
      </c>
      <c r="K1515" s="4" t="s">
        <v>200</v>
      </c>
      <c r="L1515" s="4" t="s">
        <v>225</v>
      </c>
      <c r="M1515" s="8">
        <v>189</v>
      </c>
      <c r="N1515" s="5">
        <v>413.88</v>
      </c>
      <c r="O1515" s="5">
        <v>78223.320000000007</v>
      </c>
      <c r="P1515">
        <f t="shared" si="93"/>
        <v>1</v>
      </c>
      <c r="Q1515" s="36">
        <f t="shared" si="94"/>
        <v>78223.319999999992</v>
      </c>
      <c r="R1515">
        <f t="shared" si="95"/>
        <v>2023</v>
      </c>
    </row>
    <row r="1516" spans="1:18" x14ac:dyDescent="0.2">
      <c r="A1516" s="13">
        <v>45450</v>
      </c>
      <c r="B1516" s="13">
        <v>45450</v>
      </c>
      <c r="C1516" s="25" t="s">
        <v>398</v>
      </c>
      <c r="D1516" s="20">
        <v>0</v>
      </c>
      <c r="E1516" s="28">
        <v>78223.320000000007</v>
      </c>
      <c r="F1516" s="22" t="s">
        <v>121</v>
      </c>
      <c r="G1516" s="14">
        <v>189</v>
      </c>
      <c r="H1516" s="40">
        <v>45084</v>
      </c>
      <c r="I1516" s="46">
        <f t="shared" si="92"/>
        <v>366</v>
      </c>
      <c r="J1516" s="1" t="s">
        <v>15</v>
      </c>
      <c r="K1516" s="4" t="s">
        <v>200</v>
      </c>
      <c r="L1516" s="4" t="s">
        <v>225</v>
      </c>
      <c r="M1516" s="8">
        <v>189</v>
      </c>
      <c r="N1516" s="5">
        <v>413.88</v>
      </c>
      <c r="O1516" s="5">
        <v>78223.320000000007</v>
      </c>
      <c r="P1516">
        <f t="shared" si="93"/>
        <v>1</v>
      </c>
      <c r="Q1516" s="36">
        <f t="shared" si="94"/>
        <v>78223.319999999992</v>
      </c>
      <c r="R1516">
        <f t="shared" si="95"/>
        <v>2023</v>
      </c>
    </row>
    <row r="1517" spans="1:18" x14ac:dyDescent="0.2">
      <c r="A1517" s="13">
        <v>45450</v>
      </c>
      <c r="B1517" s="13">
        <v>45450</v>
      </c>
      <c r="C1517" s="25" t="s">
        <v>398</v>
      </c>
      <c r="D1517" s="20">
        <v>0</v>
      </c>
      <c r="E1517" s="28">
        <v>52148.88</v>
      </c>
      <c r="F1517" s="22" t="s">
        <v>121</v>
      </c>
      <c r="G1517" s="14">
        <v>126</v>
      </c>
      <c r="H1517" s="40">
        <v>45084</v>
      </c>
      <c r="I1517" s="46">
        <f t="shared" si="92"/>
        <v>366</v>
      </c>
      <c r="J1517" s="1" t="s">
        <v>15</v>
      </c>
      <c r="K1517" s="4" t="s">
        <v>200</v>
      </c>
      <c r="L1517" s="4" t="s">
        <v>225</v>
      </c>
      <c r="M1517" s="8">
        <v>126</v>
      </c>
      <c r="N1517" s="5">
        <v>413.88</v>
      </c>
      <c r="O1517" s="5">
        <v>52148.88</v>
      </c>
      <c r="P1517">
        <f t="shared" si="93"/>
        <v>1</v>
      </c>
      <c r="Q1517" s="36">
        <f t="shared" si="94"/>
        <v>52148.88</v>
      </c>
      <c r="R1517">
        <f t="shared" si="95"/>
        <v>2023</v>
      </c>
    </row>
    <row r="1518" spans="1:18" x14ac:dyDescent="0.2">
      <c r="A1518" s="13">
        <v>45450</v>
      </c>
      <c r="B1518" s="13">
        <v>45450</v>
      </c>
      <c r="C1518" s="25" t="s">
        <v>398</v>
      </c>
      <c r="D1518" s="20">
        <v>0</v>
      </c>
      <c r="E1518" s="28">
        <v>78223.320000000007</v>
      </c>
      <c r="F1518" s="22" t="s">
        <v>121</v>
      </c>
      <c r="G1518" s="14">
        <v>189</v>
      </c>
      <c r="H1518" s="40">
        <v>45084</v>
      </c>
      <c r="I1518" s="46">
        <f t="shared" si="92"/>
        <v>366</v>
      </c>
      <c r="J1518" s="1" t="s">
        <v>15</v>
      </c>
      <c r="K1518" s="4" t="s">
        <v>200</v>
      </c>
      <c r="L1518" s="4" t="s">
        <v>225</v>
      </c>
      <c r="M1518" s="8">
        <v>189</v>
      </c>
      <c r="N1518" s="5">
        <v>413.88</v>
      </c>
      <c r="O1518" s="5">
        <v>78223.320000000007</v>
      </c>
      <c r="P1518">
        <f t="shared" si="93"/>
        <v>1</v>
      </c>
      <c r="Q1518" s="36">
        <f t="shared" si="94"/>
        <v>78223.319999999992</v>
      </c>
      <c r="R1518">
        <f t="shared" si="95"/>
        <v>2023</v>
      </c>
    </row>
    <row r="1519" spans="1:18" x14ac:dyDescent="0.2">
      <c r="A1519" s="13">
        <v>45469</v>
      </c>
      <c r="B1519" s="13">
        <v>45469</v>
      </c>
      <c r="C1519" s="25" t="s">
        <v>398</v>
      </c>
      <c r="D1519" s="20">
        <v>0</v>
      </c>
      <c r="E1519" s="28">
        <v>26074.44</v>
      </c>
      <c r="F1519" s="22" t="s">
        <v>121</v>
      </c>
      <c r="G1519" s="14">
        <v>63</v>
      </c>
      <c r="H1519" s="40">
        <v>45096</v>
      </c>
      <c r="I1519" s="46">
        <f t="shared" si="92"/>
        <v>373</v>
      </c>
      <c r="J1519" s="1" t="s">
        <v>15</v>
      </c>
      <c r="K1519" s="4" t="s">
        <v>200</v>
      </c>
      <c r="L1519" s="4" t="s">
        <v>225</v>
      </c>
      <c r="M1519" s="8">
        <v>63</v>
      </c>
      <c r="N1519" s="5">
        <v>413.88</v>
      </c>
      <c r="O1519" s="5">
        <v>26074.44</v>
      </c>
      <c r="P1519">
        <f t="shared" si="93"/>
        <v>1</v>
      </c>
      <c r="Q1519" s="36">
        <f t="shared" si="94"/>
        <v>26074.44</v>
      </c>
      <c r="R1519">
        <f t="shared" si="95"/>
        <v>2023</v>
      </c>
    </row>
    <row r="1520" spans="1:18" x14ac:dyDescent="0.2">
      <c r="A1520" s="13">
        <v>45470</v>
      </c>
      <c r="B1520" s="13">
        <v>45470</v>
      </c>
      <c r="C1520" s="25" t="s">
        <v>398</v>
      </c>
      <c r="D1520" s="20">
        <v>0</v>
      </c>
      <c r="E1520" s="28">
        <v>26074.44</v>
      </c>
      <c r="F1520" s="22" t="s">
        <v>121</v>
      </c>
      <c r="G1520" s="14">
        <v>63</v>
      </c>
      <c r="H1520" s="40">
        <v>45096</v>
      </c>
      <c r="I1520" s="46">
        <f t="shared" si="92"/>
        <v>374</v>
      </c>
      <c r="J1520" s="1" t="s">
        <v>15</v>
      </c>
      <c r="K1520" s="4" t="s">
        <v>200</v>
      </c>
      <c r="L1520" s="4" t="s">
        <v>225</v>
      </c>
      <c r="M1520" s="8">
        <v>63</v>
      </c>
      <c r="N1520" s="5">
        <v>413.88</v>
      </c>
      <c r="O1520" s="5">
        <v>26074.44</v>
      </c>
      <c r="P1520">
        <f t="shared" si="93"/>
        <v>1</v>
      </c>
      <c r="Q1520" s="36">
        <f t="shared" si="94"/>
        <v>26074.44</v>
      </c>
      <c r="R1520">
        <f t="shared" si="95"/>
        <v>2023</v>
      </c>
    </row>
    <row r="1521" spans="1:18" x14ac:dyDescent="0.2">
      <c r="A1521" s="13">
        <v>45470</v>
      </c>
      <c r="B1521" s="13">
        <v>45470</v>
      </c>
      <c r="C1521" s="25" t="s">
        <v>398</v>
      </c>
      <c r="D1521" s="20">
        <v>0</v>
      </c>
      <c r="E1521" s="28">
        <v>26074.44</v>
      </c>
      <c r="F1521" s="22" t="s">
        <v>121</v>
      </c>
      <c r="G1521" s="14">
        <v>63</v>
      </c>
      <c r="H1521" s="40">
        <v>45096</v>
      </c>
      <c r="I1521" s="46">
        <f t="shared" si="92"/>
        <v>374</v>
      </c>
      <c r="J1521" s="1" t="s">
        <v>15</v>
      </c>
      <c r="K1521" s="4" t="s">
        <v>200</v>
      </c>
      <c r="L1521" s="4" t="s">
        <v>225</v>
      </c>
      <c r="M1521" s="8">
        <v>63</v>
      </c>
      <c r="N1521" s="5">
        <v>413.88</v>
      </c>
      <c r="O1521" s="5">
        <v>26074.44</v>
      </c>
      <c r="P1521">
        <f t="shared" si="93"/>
        <v>1</v>
      </c>
      <c r="Q1521" s="36">
        <f t="shared" si="94"/>
        <v>26074.44</v>
      </c>
      <c r="R1521">
        <f t="shared" si="95"/>
        <v>2023</v>
      </c>
    </row>
    <row r="1522" spans="1:18" x14ac:dyDescent="0.2">
      <c r="A1522" s="13">
        <v>45476</v>
      </c>
      <c r="B1522" s="13">
        <v>45476</v>
      </c>
      <c r="C1522" s="25" t="s">
        <v>398</v>
      </c>
      <c r="D1522" s="20">
        <v>0</v>
      </c>
      <c r="E1522" s="28">
        <v>26074.44</v>
      </c>
      <c r="F1522" s="22" t="s">
        <v>121</v>
      </c>
      <c r="G1522" s="14">
        <v>63</v>
      </c>
      <c r="H1522" s="40">
        <v>45096</v>
      </c>
      <c r="I1522" s="46">
        <f t="shared" si="92"/>
        <v>380</v>
      </c>
      <c r="J1522" s="1" t="s">
        <v>15</v>
      </c>
      <c r="K1522" s="4" t="s">
        <v>200</v>
      </c>
      <c r="L1522" s="4" t="s">
        <v>225</v>
      </c>
      <c r="M1522" s="8">
        <v>63</v>
      </c>
      <c r="N1522" s="5">
        <v>413.88</v>
      </c>
      <c r="O1522" s="5">
        <v>26074.44</v>
      </c>
      <c r="P1522">
        <f t="shared" si="93"/>
        <v>1</v>
      </c>
      <c r="Q1522" s="36">
        <f t="shared" si="94"/>
        <v>26074.44</v>
      </c>
      <c r="R1522">
        <f t="shared" si="95"/>
        <v>2023</v>
      </c>
    </row>
    <row r="1523" spans="1:18" x14ac:dyDescent="0.2">
      <c r="A1523" s="13">
        <v>45476</v>
      </c>
      <c r="B1523" s="13">
        <v>45476</v>
      </c>
      <c r="C1523" s="25" t="s">
        <v>398</v>
      </c>
      <c r="D1523" s="20">
        <v>0</v>
      </c>
      <c r="E1523" s="28">
        <v>26074.44</v>
      </c>
      <c r="F1523" s="22" t="s">
        <v>121</v>
      </c>
      <c r="G1523" s="14">
        <v>63</v>
      </c>
      <c r="H1523" s="40">
        <v>45096</v>
      </c>
      <c r="I1523" s="46">
        <f t="shared" si="92"/>
        <v>380</v>
      </c>
      <c r="J1523" s="1" t="s">
        <v>15</v>
      </c>
      <c r="K1523" s="4" t="s">
        <v>200</v>
      </c>
      <c r="L1523" s="4" t="s">
        <v>225</v>
      </c>
      <c r="M1523" s="8">
        <v>63</v>
      </c>
      <c r="N1523" s="5">
        <v>413.88</v>
      </c>
      <c r="O1523" s="5">
        <v>26074.44</v>
      </c>
      <c r="P1523">
        <f t="shared" si="93"/>
        <v>1</v>
      </c>
      <c r="Q1523" s="36">
        <f t="shared" si="94"/>
        <v>26074.44</v>
      </c>
      <c r="R1523">
        <f t="shared" si="95"/>
        <v>2023</v>
      </c>
    </row>
    <row r="1524" spans="1:18" x14ac:dyDescent="0.2">
      <c r="A1524" s="13">
        <v>45477</v>
      </c>
      <c r="B1524" s="13">
        <v>45477</v>
      </c>
      <c r="C1524" s="25" t="s">
        <v>398</v>
      </c>
      <c r="D1524" s="20">
        <v>0</v>
      </c>
      <c r="E1524" s="28">
        <v>26074.44</v>
      </c>
      <c r="F1524" s="22" t="s">
        <v>121</v>
      </c>
      <c r="G1524" s="14">
        <v>63</v>
      </c>
      <c r="H1524" s="40">
        <v>45096</v>
      </c>
      <c r="I1524" s="46">
        <f t="shared" si="92"/>
        <v>381</v>
      </c>
      <c r="J1524" s="1" t="s">
        <v>15</v>
      </c>
      <c r="K1524" s="4" t="s">
        <v>200</v>
      </c>
      <c r="L1524" s="4" t="s">
        <v>225</v>
      </c>
      <c r="M1524" s="8">
        <v>63</v>
      </c>
      <c r="N1524" s="5">
        <v>413.88</v>
      </c>
      <c r="O1524" s="5">
        <v>26074.44</v>
      </c>
      <c r="P1524">
        <f t="shared" si="93"/>
        <v>1</v>
      </c>
      <c r="Q1524" s="36">
        <f t="shared" si="94"/>
        <v>26074.44</v>
      </c>
      <c r="R1524">
        <f t="shared" si="95"/>
        <v>2023</v>
      </c>
    </row>
    <row r="1525" spans="1:18" x14ac:dyDescent="0.2">
      <c r="A1525" s="13">
        <v>45477</v>
      </c>
      <c r="B1525" s="13">
        <v>45477</v>
      </c>
      <c r="C1525" s="25" t="s">
        <v>398</v>
      </c>
      <c r="D1525" s="20">
        <v>0</v>
      </c>
      <c r="E1525" s="28">
        <v>26074.44</v>
      </c>
      <c r="F1525" s="22" t="s">
        <v>121</v>
      </c>
      <c r="G1525" s="14">
        <v>63</v>
      </c>
      <c r="H1525" s="40">
        <v>45096</v>
      </c>
      <c r="I1525" s="46">
        <f t="shared" si="92"/>
        <v>381</v>
      </c>
      <c r="J1525" s="1" t="s">
        <v>15</v>
      </c>
      <c r="K1525" s="4" t="s">
        <v>200</v>
      </c>
      <c r="L1525" s="4" t="s">
        <v>225</v>
      </c>
      <c r="M1525" s="8">
        <v>63</v>
      </c>
      <c r="N1525" s="5">
        <v>413.88</v>
      </c>
      <c r="O1525" s="5">
        <v>26074.44</v>
      </c>
      <c r="P1525">
        <f t="shared" si="93"/>
        <v>1</v>
      </c>
      <c r="Q1525" s="36">
        <f t="shared" si="94"/>
        <v>26074.44</v>
      </c>
      <c r="R1525">
        <f t="shared" si="95"/>
        <v>2023</v>
      </c>
    </row>
    <row r="1526" spans="1:18" x14ac:dyDescent="0.2">
      <c r="A1526" s="13">
        <v>45469</v>
      </c>
      <c r="B1526" s="13">
        <v>45469</v>
      </c>
      <c r="C1526" s="25" t="s">
        <v>398</v>
      </c>
      <c r="D1526" s="20">
        <v>0</v>
      </c>
      <c r="E1526" s="28">
        <v>52148.88</v>
      </c>
      <c r="F1526" s="22" t="s">
        <v>121</v>
      </c>
      <c r="G1526" s="14">
        <v>126</v>
      </c>
      <c r="H1526" s="40">
        <v>45097</v>
      </c>
      <c r="I1526" s="46">
        <f t="shared" si="92"/>
        <v>372</v>
      </c>
      <c r="J1526" s="1" t="s">
        <v>15</v>
      </c>
      <c r="K1526" s="4" t="s">
        <v>200</v>
      </c>
      <c r="L1526" s="4" t="s">
        <v>225</v>
      </c>
      <c r="M1526" s="8">
        <v>126</v>
      </c>
      <c r="N1526" s="5">
        <v>413.88</v>
      </c>
      <c r="O1526" s="5">
        <v>52148.88</v>
      </c>
      <c r="P1526">
        <f t="shared" si="93"/>
        <v>1</v>
      </c>
      <c r="Q1526" s="36">
        <f t="shared" si="94"/>
        <v>52148.88</v>
      </c>
      <c r="R1526">
        <f t="shared" si="95"/>
        <v>2023</v>
      </c>
    </row>
    <row r="1527" spans="1:18" x14ac:dyDescent="0.2">
      <c r="A1527" s="13">
        <v>45469</v>
      </c>
      <c r="B1527" s="13">
        <v>45469</v>
      </c>
      <c r="C1527" s="25" t="s">
        <v>398</v>
      </c>
      <c r="D1527" s="20">
        <v>0</v>
      </c>
      <c r="E1527" s="28">
        <v>52148.88</v>
      </c>
      <c r="F1527" s="22" t="s">
        <v>121</v>
      </c>
      <c r="G1527" s="14">
        <v>126</v>
      </c>
      <c r="H1527" s="40">
        <v>45097</v>
      </c>
      <c r="I1527" s="46">
        <f t="shared" si="92"/>
        <v>372</v>
      </c>
      <c r="J1527" s="1" t="s">
        <v>15</v>
      </c>
      <c r="K1527" s="4" t="s">
        <v>200</v>
      </c>
      <c r="L1527" s="4" t="s">
        <v>225</v>
      </c>
      <c r="M1527" s="8">
        <v>126</v>
      </c>
      <c r="N1527" s="5">
        <v>413.88</v>
      </c>
      <c r="O1527" s="5">
        <v>52148.88</v>
      </c>
      <c r="P1527">
        <f t="shared" si="93"/>
        <v>1</v>
      </c>
      <c r="Q1527" s="36">
        <f t="shared" si="94"/>
        <v>52148.88</v>
      </c>
      <c r="R1527">
        <f t="shared" si="95"/>
        <v>2023</v>
      </c>
    </row>
    <row r="1528" spans="1:18" x14ac:dyDescent="0.2">
      <c r="A1528" s="13">
        <v>45469</v>
      </c>
      <c r="B1528" s="13">
        <v>45469</v>
      </c>
      <c r="C1528" s="25" t="s">
        <v>398</v>
      </c>
      <c r="D1528" s="20">
        <v>0</v>
      </c>
      <c r="E1528" s="28">
        <v>52148.88</v>
      </c>
      <c r="F1528" s="22" t="s">
        <v>121</v>
      </c>
      <c r="G1528" s="14">
        <v>126</v>
      </c>
      <c r="H1528" s="40">
        <v>45097</v>
      </c>
      <c r="I1528" s="46">
        <f t="shared" si="92"/>
        <v>372</v>
      </c>
      <c r="J1528" s="1" t="s">
        <v>15</v>
      </c>
      <c r="K1528" s="4" t="s">
        <v>200</v>
      </c>
      <c r="L1528" s="4" t="s">
        <v>225</v>
      </c>
      <c r="M1528" s="8">
        <v>126</v>
      </c>
      <c r="N1528" s="5">
        <v>413.88</v>
      </c>
      <c r="O1528" s="5">
        <v>52148.88</v>
      </c>
      <c r="P1528">
        <f t="shared" si="93"/>
        <v>1</v>
      </c>
      <c r="Q1528" s="36">
        <f t="shared" si="94"/>
        <v>52148.88</v>
      </c>
      <c r="R1528">
        <f t="shared" si="95"/>
        <v>2023</v>
      </c>
    </row>
    <row r="1529" spans="1:18" x14ac:dyDescent="0.2">
      <c r="A1529" s="13">
        <v>45475</v>
      </c>
      <c r="B1529" s="13">
        <v>45475</v>
      </c>
      <c r="C1529" s="25" t="s">
        <v>398</v>
      </c>
      <c r="D1529" s="20">
        <v>0</v>
      </c>
      <c r="E1529" s="28">
        <v>52148.88</v>
      </c>
      <c r="F1529" s="22" t="s">
        <v>121</v>
      </c>
      <c r="G1529" s="14">
        <v>126</v>
      </c>
      <c r="H1529" s="40">
        <v>45097</v>
      </c>
      <c r="I1529" s="46">
        <f t="shared" si="92"/>
        <v>378</v>
      </c>
      <c r="J1529" s="1" t="s">
        <v>15</v>
      </c>
      <c r="K1529" s="4" t="s">
        <v>200</v>
      </c>
      <c r="L1529" s="4" t="s">
        <v>225</v>
      </c>
      <c r="M1529" s="8">
        <v>126</v>
      </c>
      <c r="N1529" s="5">
        <v>413.88</v>
      </c>
      <c r="O1529" s="5">
        <v>52148.88</v>
      </c>
      <c r="P1529">
        <f t="shared" si="93"/>
        <v>1</v>
      </c>
      <c r="Q1529" s="36">
        <f t="shared" si="94"/>
        <v>52148.88</v>
      </c>
      <c r="R1529">
        <f t="shared" si="95"/>
        <v>2023</v>
      </c>
    </row>
    <row r="1530" spans="1:18" x14ac:dyDescent="0.2">
      <c r="A1530" s="13">
        <v>45476</v>
      </c>
      <c r="B1530" s="13">
        <v>45476</v>
      </c>
      <c r="C1530" s="25" t="s">
        <v>398</v>
      </c>
      <c r="D1530" s="20">
        <v>0</v>
      </c>
      <c r="E1530" s="28">
        <v>52148.88</v>
      </c>
      <c r="F1530" s="22" t="s">
        <v>121</v>
      </c>
      <c r="G1530" s="14">
        <v>126</v>
      </c>
      <c r="H1530" s="40">
        <v>45097</v>
      </c>
      <c r="I1530" s="46">
        <f t="shared" si="92"/>
        <v>379</v>
      </c>
      <c r="J1530" s="1" t="s">
        <v>15</v>
      </c>
      <c r="K1530" s="4" t="s">
        <v>200</v>
      </c>
      <c r="L1530" s="4" t="s">
        <v>225</v>
      </c>
      <c r="M1530" s="8">
        <v>126</v>
      </c>
      <c r="N1530" s="5">
        <v>413.88</v>
      </c>
      <c r="O1530" s="5">
        <v>52148.88</v>
      </c>
      <c r="P1530">
        <f t="shared" si="93"/>
        <v>1</v>
      </c>
      <c r="Q1530" s="36">
        <f t="shared" si="94"/>
        <v>52148.88</v>
      </c>
      <c r="R1530">
        <f t="shared" si="95"/>
        <v>2023</v>
      </c>
    </row>
    <row r="1531" spans="1:18" x14ac:dyDescent="0.2">
      <c r="A1531" s="13">
        <v>45476</v>
      </c>
      <c r="B1531" s="13">
        <v>45476</v>
      </c>
      <c r="C1531" s="25" t="s">
        <v>398</v>
      </c>
      <c r="D1531" s="20">
        <v>0</v>
      </c>
      <c r="E1531" s="28">
        <v>52148.88</v>
      </c>
      <c r="F1531" s="22" t="s">
        <v>121</v>
      </c>
      <c r="G1531" s="14">
        <v>126</v>
      </c>
      <c r="H1531" s="40">
        <v>45097</v>
      </c>
      <c r="I1531" s="46">
        <f t="shared" si="92"/>
        <v>379</v>
      </c>
      <c r="J1531" s="1" t="s">
        <v>15</v>
      </c>
      <c r="K1531" s="4" t="s">
        <v>200</v>
      </c>
      <c r="L1531" s="4" t="s">
        <v>225</v>
      </c>
      <c r="M1531" s="8">
        <v>126</v>
      </c>
      <c r="N1531" s="5">
        <v>413.88</v>
      </c>
      <c r="O1531" s="5">
        <v>52148.88</v>
      </c>
      <c r="P1531">
        <f t="shared" si="93"/>
        <v>1</v>
      </c>
      <c r="Q1531" s="36">
        <f t="shared" si="94"/>
        <v>52148.88</v>
      </c>
      <c r="R1531">
        <f t="shared" si="95"/>
        <v>2023</v>
      </c>
    </row>
    <row r="1532" spans="1:18" x14ac:dyDescent="0.2">
      <c r="A1532" s="13">
        <v>45551</v>
      </c>
      <c r="B1532" s="13">
        <v>45476</v>
      </c>
      <c r="C1532" s="25" t="s">
        <v>399</v>
      </c>
      <c r="D1532" s="20">
        <v>75</v>
      </c>
      <c r="E1532" s="28">
        <v>52148.88</v>
      </c>
      <c r="F1532" s="22" t="s">
        <v>121</v>
      </c>
      <c r="G1532" s="14">
        <v>126</v>
      </c>
      <c r="H1532" s="40">
        <v>45140</v>
      </c>
      <c r="I1532" s="46">
        <f t="shared" si="92"/>
        <v>411</v>
      </c>
      <c r="J1532" s="1" t="s">
        <v>15</v>
      </c>
      <c r="K1532" s="4" t="s">
        <v>200</v>
      </c>
      <c r="L1532" s="4" t="s">
        <v>225</v>
      </c>
      <c r="M1532" s="8">
        <v>126</v>
      </c>
      <c r="N1532" s="5">
        <v>413.88</v>
      </c>
      <c r="O1532" s="5">
        <v>52148.88</v>
      </c>
      <c r="P1532">
        <f t="shared" si="93"/>
        <v>1</v>
      </c>
      <c r="Q1532" s="36">
        <f t="shared" si="94"/>
        <v>52148.88</v>
      </c>
      <c r="R1532">
        <f t="shared" si="95"/>
        <v>2023</v>
      </c>
    </row>
    <row r="1533" spans="1:18" x14ac:dyDescent="0.2">
      <c r="A1533" s="13">
        <v>45551</v>
      </c>
      <c r="B1533" s="13">
        <v>45476</v>
      </c>
      <c r="C1533" s="25" t="s">
        <v>399</v>
      </c>
      <c r="D1533" s="20">
        <v>75</v>
      </c>
      <c r="E1533" s="28">
        <v>52148.88</v>
      </c>
      <c r="F1533" s="22" t="s">
        <v>121</v>
      </c>
      <c r="G1533" s="14">
        <v>126</v>
      </c>
      <c r="H1533" s="40">
        <v>45140</v>
      </c>
      <c r="I1533" s="46">
        <f t="shared" si="92"/>
        <v>411</v>
      </c>
      <c r="J1533" s="1" t="s">
        <v>15</v>
      </c>
      <c r="K1533" s="4" t="s">
        <v>200</v>
      </c>
      <c r="L1533" s="4" t="s">
        <v>225</v>
      </c>
      <c r="M1533" s="8">
        <v>126</v>
      </c>
      <c r="N1533" s="5">
        <v>413.88</v>
      </c>
      <c r="O1533" s="5">
        <v>52148.88</v>
      </c>
      <c r="P1533">
        <f t="shared" si="93"/>
        <v>1</v>
      </c>
      <c r="Q1533" s="36">
        <f t="shared" si="94"/>
        <v>52148.88</v>
      </c>
      <c r="R1533">
        <f t="shared" si="95"/>
        <v>2023</v>
      </c>
    </row>
    <row r="1534" spans="1:18" x14ac:dyDescent="0.2">
      <c r="A1534" s="13">
        <v>45551</v>
      </c>
      <c r="B1534" s="13">
        <v>45476</v>
      </c>
      <c r="C1534" s="25" t="s">
        <v>399</v>
      </c>
      <c r="D1534" s="20">
        <v>75</v>
      </c>
      <c r="E1534" s="28">
        <v>52148.88</v>
      </c>
      <c r="F1534" s="22" t="s">
        <v>121</v>
      </c>
      <c r="G1534" s="14">
        <v>126</v>
      </c>
      <c r="H1534" s="40">
        <v>45140</v>
      </c>
      <c r="I1534" s="46">
        <f t="shared" si="92"/>
        <v>411</v>
      </c>
      <c r="J1534" s="1" t="s">
        <v>15</v>
      </c>
      <c r="K1534" s="4" t="s">
        <v>200</v>
      </c>
      <c r="L1534" s="4" t="s">
        <v>225</v>
      </c>
      <c r="M1534" s="8">
        <v>126</v>
      </c>
      <c r="N1534" s="5">
        <v>413.88</v>
      </c>
      <c r="O1534" s="5">
        <v>52148.88</v>
      </c>
      <c r="P1534">
        <f t="shared" si="93"/>
        <v>1</v>
      </c>
      <c r="Q1534" s="36">
        <f t="shared" si="94"/>
        <v>52148.88</v>
      </c>
      <c r="R1534">
        <f t="shared" si="95"/>
        <v>2023</v>
      </c>
    </row>
    <row r="1535" spans="1:18" x14ac:dyDescent="0.2">
      <c r="A1535" s="13">
        <v>45551</v>
      </c>
      <c r="B1535" s="13">
        <v>45477</v>
      </c>
      <c r="C1535" s="25" t="s">
        <v>399</v>
      </c>
      <c r="D1535" s="20">
        <v>74</v>
      </c>
      <c r="E1535" s="28">
        <v>52148.88</v>
      </c>
      <c r="F1535" s="22" t="s">
        <v>121</v>
      </c>
      <c r="G1535" s="14">
        <v>126</v>
      </c>
      <c r="H1535" s="40">
        <v>45140</v>
      </c>
      <c r="I1535" s="46">
        <f t="shared" si="92"/>
        <v>411</v>
      </c>
      <c r="J1535" s="1" t="s">
        <v>15</v>
      </c>
      <c r="K1535" s="4" t="s">
        <v>200</v>
      </c>
      <c r="L1535" s="4" t="s">
        <v>225</v>
      </c>
      <c r="M1535" s="8">
        <v>126</v>
      </c>
      <c r="N1535" s="5">
        <v>413.88</v>
      </c>
      <c r="O1535" s="5">
        <v>52148.88</v>
      </c>
      <c r="P1535">
        <f t="shared" si="93"/>
        <v>1</v>
      </c>
      <c r="Q1535" s="36">
        <f t="shared" si="94"/>
        <v>52148.88</v>
      </c>
      <c r="R1535">
        <f t="shared" si="95"/>
        <v>2023</v>
      </c>
    </row>
    <row r="1536" spans="1:18" x14ac:dyDescent="0.2">
      <c r="A1536" s="13">
        <v>45551</v>
      </c>
      <c r="B1536" s="13">
        <v>45477</v>
      </c>
      <c r="C1536" s="25" t="s">
        <v>399</v>
      </c>
      <c r="D1536" s="20">
        <v>74</v>
      </c>
      <c r="E1536" s="28">
        <v>52148.88</v>
      </c>
      <c r="F1536" s="22" t="s">
        <v>121</v>
      </c>
      <c r="G1536" s="14">
        <v>126</v>
      </c>
      <c r="H1536" s="40">
        <v>45140</v>
      </c>
      <c r="I1536" s="46">
        <f t="shared" si="92"/>
        <v>411</v>
      </c>
      <c r="J1536" s="1" t="s">
        <v>15</v>
      </c>
      <c r="K1536" s="4" t="s">
        <v>200</v>
      </c>
      <c r="L1536" s="4" t="s">
        <v>225</v>
      </c>
      <c r="M1536" s="8">
        <v>126</v>
      </c>
      <c r="N1536" s="5">
        <v>413.88</v>
      </c>
      <c r="O1536" s="5">
        <v>52148.88</v>
      </c>
      <c r="P1536">
        <f t="shared" si="93"/>
        <v>1</v>
      </c>
      <c r="Q1536" s="36">
        <f t="shared" si="94"/>
        <v>52148.88</v>
      </c>
      <c r="R1536">
        <f t="shared" si="95"/>
        <v>2023</v>
      </c>
    </row>
    <row r="1537" spans="1:18" x14ac:dyDescent="0.2">
      <c r="A1537" s="13">
        <v>45551</v>
      </c>
      <c r="B1537" s="13">
        <v>45476</v>
      </c>
      <c r="C1537" s="25" t="s">
        <v>399</v>
      </c>
      <c r="D1537" s="20">
        <v>75</v>
      </c>
      <c r="E1537" s="28">
        <v>52148.88</v>
      </c>
      <c r="F1537" s="22" t="s">
        <v>121</v>
      </c>
      <c r="G1537" s="14">
        <v>126</v>
      </c>
      <c r="H1537" s="40">
        <v>45140</v>
      </c>
      <c r="I1537" s="46">
        <f t="shared" si="92"/>
        <v>411</v>
      </c>
      <c r="J1537" s="1" t="s">
        <v>15</v>
      </c>
      <c r="K1537" s="4" t="s">
        <v>200</v>
      </c>
      <c r="L1537" s="4" t="s">
        <v>225</v>
      </c>
      <c r="M1537" s="8">
        <v>126</v>
      </c>
      <c r="N1537" s="5">
        <v>413.88</v>
      </c>
      <c r="O1537" s="5">
        <v>52148.88</v>
      </c>
      <c r="P1537">
        <f t="shared" si="93"/>
        <v>1</v>
      </c>
      <c r="Q1537" s="36">
        <f t="shared" si="94"/>
        <v>52148.88</v>
      </c>
      <c r="R1537">
        <f t="shared" si="95"/>
        <v>2023</v>
      </c>
    </row>
    <row r="1538" spans="1:18" x14ac:dyDescent="0.2">
      <c r="A1538" s="13">
        <v>45551</v>
      </c>
      <c r="B1538" s="13">
        <v>45512</v>
      </c>
      <c r="C1538" s="25" t="s">
        <v>399</v>
      </c>
      <c r="D1538" s="20">
        <v>39</v>
      </c>
      <c r="E1538" s="28">
        <v>52148.88</v>
      </c>
      <c r="F1538" s="22" t="s">
        <v>121</v>
      </c>
      <c r="G1538" s="14">
        <v>126</v>
      </c>
      <c r="H1538" s="40">
        <v>45141</v>
      </c>
      <c r="I1538" s="46">
        <f t="shared" si="92"/>
        <v>410</v>
      </c>
      <c r="J1538" s="1" t="s">
        <v>15</v>
      </c>
      <c r="K1538" s="4" t="s">
        <v>200</v>
      </c>
      <c r="L1538" s="4" t="s">
        <v>225</v>
      </c>
      <c r="M1538" s="8">
        <v>126</v>
      </c>
      <c r="N1538" s="5">
        <v>413.88</v>
      </c>
      <c r="O1538" s="5">
        <v>52148.88</v>
      </c>
      <c r="P1538">
        <f t="shared" si="93"/>
        <v>1</v>
      </c>
      <c r="Q1538" s="36">
        <f t="shared" si="94"/>
        <v>52148.88</v>
      </c>
      <c r="R1538">
        <f t="shared" si="95"/>
        <v>2023</v>
      </c>
    </row>
    <row r="1539" spans="1:18" x14ac:dyDescent="0.2">
      <c r="A1539" s="13">
        <v>45551</v>
      </c>
      <c r="B1539" s="13">
        <v>45511</v>
      </c>
      <c r="C1539" s="25" t="s">
        <v>399</v>
      </c>
      <c r="D1539" s="20">
        <v>40</v>
      </c>
      <c r="E1539" s="28">
        <v>52148.88</v>
      </c>
      <c r="F1539" s="22" t="s">
        <v>121</v>
      </c>
      <c r="G1539" s="14">
        <v>126</v>
      </c>
      <c r="H1539" s="40">
        <v>45141</v>
      </c>
      <c r="I1539" s="46">
        <f t="shared" ref="I1539:I1602" si="96">IFERROR(A1539-H1539,"")*1</f>
        <v>410</v>
      </c>
      <c r="J1539" s="1" t="s">
        <v>15</v>
      </c>
      <c r="K1539" s="4" t="s">
        <v>200</v>
      </c>
      <c r="L1539" s="4" t="s">
        <v>225</v>
      </c>
      <c r="M1539" s="8">
        <v>126</v>
      </c>
      <c r="N1539" s="5">
        <v>413.88</v>
      </c>
      <c r="O1539" s="5">
        <v>52148.88</v>
      </c>
      <c r="P1539">
        <f t="shared" ref="P1539:P1602" si="97">IF(M1539=G1539,1,0)</f>
        <v>1</v>
      </c>
      <c r="Q1539" s="36">
        <f t="shared" ref="Q1539:Q1602" si="98">N1539*G1539</f>
        <v>52148.88</v>
      </c>
      <c r="R1539">
        <f t="shared" ref="R1539:R1602" si="99">YEAR(H1539)</f>
        <v>2023</v>
      </c>
    </row>
    <row r="1540" spans="1:18" x14ac:dyDescent="0.2">
      <c r="A1540" s="13">
        <v>45551</v>
      </c>
      <c r="B1540" s="13">
        <v>45512</v>
      </c>
      <c r="C1540" s="25" t="s">
        <v>399</v>
      </c>
      <c r="D1540" s="20">
        <v>39</v>
      </c>
      <c r="E1540" s="28">
        <v>52148.88</v>
      </c>
      <c r="F1540" s="22" t="s">
        <v>121</v>
      </c>
      <c r="G1540" s="14">
        <v>126</v>
      </c>
      <c r="H1540" s="40">
        <v>45141</v>
      </c>
      <c r="I1540" s="46">
        <f t="shared" si="96"/>
        <v>410</v>
      </c>
      <c r="J1540" s="1" t="s">
        <v>15</v>
      </c>
      <c r="K1540" s="4" t="s">
        <v>200</v>
      </c>
      <c r="L1540" s="4" t="s">
        <v>225</v>
      </c>
      <c r="M1540" s="8">
        <v>126</v>
      </c>
      <c r="N1540" s="5">
        <v>413.88</v>
      </c>
      <c r="O1540" s="5">
        <v>52148.88</v>
      </c>
      <c r="P1540">
        <f t="shared" si="97"/>
        <v>1</v>
      </c>
      <c r="Q1540" s="36">
        <f t="shared" si="98"/>
        <v>52148.88</v>
      </c>
      <c r="R1540">
        <f t="shared" si="99"/>
        <v>2023</v>
      </c>
    </row>
    <row r="1541" spans="1:18" x14ac:dyDescent="0.2">
      <c r="A1541" s="13">
        <v>45551</v>
      </c>
      <c r="B1541" s="13">
        <v>45512</v>
      </c>
      <c r="C1541" s="25" t="s">
        <v>399</v>
      </c>
      <c r="D1541" s="20">
        <v>39</v>
      </c>
      <c r="E1541" s="28">
        <v>52148.88</v>
      </c>
      <c r="F1541" s="22" t="s">
        <v>121</v>
      </c>
      <c r="G1541" s="14">
        <v>126</v>
      </c>
      <c r="H1541" s="40">
        <v>45141</v>
      </c>
      <c r="I1541" s="46">
        <f t="shared" si="96"/>
        <v>410</v>
      </c>
      <c r="J1541" s="1" t="s">
        <v>15</v>
      </c>
      <c r="K1541" s="4" t="s">
        <v>200</v>
      </c>
      <c r="L1541" s="4" t="s">
        <v>225</v>
      </c>
      <c r="M1541" s="8">
        <v>126</v>
      </c>
      <c r="N1541" s="5">
        <v>413.88</v>
      </c>
      <c r="O1541" s="5">
        <v>52148.88</v>
      </c>
      <c r="P1541">
        <f t="shared" si="97"/>
        <v>1</v>
      </c>
      <c r="Q1541" s="36">
        <f t="shared" si="98"/>
        <v>52148.88</v>
      </c>
      <c r="R1541">
        <f t="shared" si="99"/>
        <v>2023</v>
      </c>
    </row>
    <row r="1542" spans="1:18" x14ac:dyDescent="0.2">
      <c r="A1542" s="13">
        <v>45551</v>
      </c>
      <c r="B1542" s="13">
        <v>45511</v>
      </c>
      <c r="C1542" s="25" t="s">
        <v>399</v>
      </c>
      <c r="D1542" s="20">
        <v>40</v>
      </c>
      <c r="E1542" s="28">
        <v>52148.88</v>
      </c>
      <c r="F1542" s="22" t="s">
        <v>121</v>
      </c>
      <c r="G1542" s="14">
        <v>126</v>
      </c>
      <c r="H1542" s="40">
        <v>45141</v>
      </c>
      <c r="I1542" s="46">
        <f t="shared" si="96"/>
        <v>410</v>
      </c>
      <c r="J1542" s="1" t="s">
        <v>15</v>
      </c>
      <c r="K1542" s="4" t="s">
        <v>200</v>
      </c>
      <c r="L1542" s="4" t="s">
        <v>225</v>
      </c>
      <c r="M1542" s="8">
        <v>126</v>
      </c>
      <c r="N1542" s="5">
        <v>413.88</v>
      </c>
      <c r="O1542" s="5">
        <v>52148.88</v>
      </c>
      <c r="P1542">
        <f t="shared" si="97"/>
        <v>1</v>
      </c>
      <c r="Q1542" s="36">
        <f t="shared" si="98"/>
        <v>52148.88</v>
      </c>
      <c r="R1542">
        <f t="shared" si="99"/>
        <v>2023</v>
      </c>
    </row>
    <row r="1543" spans="1:18" x14ac:dyDescent="0.2">
      <c r="A1543" s="13">
        <v>45551</v>
      </c>
      <c r="B1543" s="13">
        <v>45511</v>
      </c>
      <c r="C1543" s="25" t="s">
        <v>399</v>
      </c>
      <c r="D1543" s="20">
        <v>40</v>
      </c>
      <c r="E1543" s="28">
        <v>52148.88</v>
      </c>
      <c r="F1543" s="22" t="s">
        <v>121</v>
      </c>
      <c r="G1543" s="14">
        <v>126</v>
      </c>
      <c r="H1543" s="40">
        <v>45141</v>
      </c>
      <c r="I1543" s="46">
        <f t="shared" si="96"/>
        <v>410</v>
      </c>
      <c r="J1543" s="1" t="s">
        <v>15</v>
      </c>
      <c r="K1543" s="4" t="s">
        <v>200</v>
      </c>
      <c r="L1543" s="4" t="s">
        <v>225</v>
      </c>
      <c r="M1543" s="8">
        <v>126</v>
      </c>
      <c r="N1543" s="5">
        <v>413.88</v>
      </c>
      <c r="O1543" s="5">
        <v>52148.88</v>
      </c>
      <c r="P1543">
        <f t="shared" si="97"/>
        <v>1</v>
      </c>
      <c r="Q1543" s="36">
        <f t="shared" si="98"/>
        <v>52148.88</v>
      </c>
      <c r="R1543">
        <f t="shared" si="99"/>
        <v>2023</v>
      </c>
    </row>
    <row r="1544" spans="1:18" x14ac:dyDescent="0.2">
      <c r="A1544" s="13">
        <v>45551</v>
      </c>
      <c r="B1544" s="13">
        <v>45511</v>
      </c>
      <c r="C1544" s="25" t="s">
        <v>399</v>
      </c>
      <c r="D1544" s="20">
        <v>40</v>
      </c>
      <c r="E1544" s="28">
        <v>52148.88</v>
      </c>
      <c r="F1544" s="22" t="s">
        <v>121</v>
      </c>
      <c r="G1544" s="14">
        <v>126</v>
      </c>
      <c r="H1544" s="40">
        <v>45141</v>
      </c>
      <c r="I1544" s="46">
        <f t="shared" si="96"/>
        <v>410</v>
      </c>
      <c r="J1544" s="1" t="s">
        <v>15</v>
      </c>
      <c r="K1544" s="4" t="s">
        <v>200</v>
      </c>
      <c r="L1544" s="4" t="s">
        <v>225</v>
      </c>
      <c r="M1544" s="8">
        <v>126</v>
      </c>
      <c r="N1544" s="5">
        <v>413.88</v>
      </c>
      <c r="O1544" s="5">
        <v>52148.88</v>
      </c>
      <c r="P1544">
        <f t="shared" si="97"/>
        <v>1</v>
      </c>
      <c r="Q1544" s="36">
        <f t="shared" si="98"/>
        <v>52148.88</v>
      </c>
      <c r="R1544">
        <f t="shared" si="99"/>
        <v>2023</v>
      </c>
    </row>
    <row r="1545" spans="1:18" x14ac:dyDescent="0.2">
      <c r="A1545" s="13">
        <v>45551</v>
      </c>
      <c r="B1545" s="13">
        <v>45511</v>
      </c>
      <c r="C1545" s="25" t="s">
        <v>399</v>
      </c>
      <c r="D1545" s="20">
        <v>40</v>
      </c>
      <c r="E1545" s="28">
        <v>52148.88</v>
      </c>
      <c r="F1545" s="22" t="s">
        <v>121</v>
      </c>
      <c r="G1545" s="14">
        <v>126</v>
      </c>
      <c r="H1545" s="40">
        <v>45141</v>
      </c>
      <c r="I1545" s="46">
        <f t="shared" si="96"/>
        <v>410</v>
      </c>
      <c r="J1545" s="1" t="s">
        <v>15</v>
      </c>
      <c r="K1545" s="4" t="s">
        <v>200</v>
      </c>
      <c r="L1545" s="4" t="s">
        <v>225</v>
      </c>
      <c r="M1545" s="8">
        <v>126</v>
      </c>
      <c r="N1545" s="5">
        <v>413.88</v>
      </c>
      <c r="O1545" s="5">
        <v>52148.88</v>
      </c>
      <c r="P1545">
        <f t="shared" si="97"/>
        <v>1</v>
      </c>
      <c r="Q1545" s="36">
        <f t="shared" si="98"/>
        <v>52148.88</v>
      </c>
      <c r="R1545">
        <f t="shared" si="99"/>
        <v>2023</v>
      </c>
    </row>
    <row r="1546" spans="1:18" x14ac:dyDescent="0.2">
      <c r="A1546" s="13">
        <v>45551</v>
      </c>
      <c r="B1546" s="13">
        <v>45482</v>
      </c>
      <c r="C1546" s="25" t="s">
        <v>399</v>
      </c>
      <c r="D1546" s="20">
        <v>69</v>
      </c>
      <c r="E1546" s="28">
        <v>52148.88</v>
      </c>
      <c r="F1546" s="22" t="s">
        <v>121</v>
      </c>
      <c r="G1546" s="14">
        <v>126</v>
      </c>
      <c r="H1546" s="40">
        <v>45141</v>
      </c>
      <c r="I1546" s="46">
        <f t="shared" si="96"/>
        <v>410</v>
      </c>
      <c r="J1546" s="1" t="s">
        <v>15</v>
      </c>
      <c r="K1546" s="4" t="s">
        <v>200</v>
      </c>
      <c r="L1546" s="4" t="s">
        <v>225</v>
      </c>
      <c r="M1546" s="8">
        <v>126</v>
      </c>
      <c r="N1546" s="5">
        <v>413.88</v>
      </c>
      <c r="O1546" s="5">
        <v>52148.88</v>
      </c>
      <c r="P1546">
        <f t="shared" si="97"/>
        <v>1</v>
      </c>
      <c r="Q1546" s="36">
        <f t="shared" si="98"/>
        <v>52148.88</v>
      </c>
      <c r="R1546">
        <f t="shared" si="99"/>
        <v>2023</v>
      </c>
    </row>
    <row r="1547" spans="1:18" x14ac:dyDescent="0.2">
      <c r="A1547" s="13">
        <v>45551</v>
      </c>
      <c r="B1547" s="13">
        <v>45490</v>
      </c>
      <c r="C1547" s="25" t="s">
        <v>399</v>
      </c>
      <c r="D1547" s="20">
        <v>61</v>
      </c>
      <c r="E1547" s="28">
        <v>52148.88</v>
      </c>
      <c r="F1547" s="22" t="s">
        <v>121</v>
      </c>
      <c r="G1547" s="14">
        <v>126</v>
      </c>
      <c r="H1547" s="40">
        <v>45141</v>
      </c>
      <c r="I1547" s="46">
        <f t="shared" si="96"/>
        <v>410</v>
      </c>
      <c r="J1547" s="1" t="s">
        <v>15</v>
      </c>
      <c r="K1547" s="4" t="s">
        <v>200</v>
      </c>
      <c r="L1547" s="4" t="s">
        <v>225</v>
      </c>
      <c r="M1547" s="8">
        <v>126</v>
      </c>
      <c r="N1547" s="5">
        <v>413.88</v>
      </c>
      <c r="O1547" s="5">
        <v>52148.88</v>
      </c>
      <c r="P1547">
        <f t="shared" si="97"/>
        <v>1</v>
      </c>
      <c r="Q1547" s="36">
        <f t="shared" si="98"/>
        <v>52148.88</v>
      </c>
      <c r="R1547">
        <f t="shared" si="99"/>
        <v>2023</v>
      </c>
    </row>
    <row r="1548" spans="1:18" x14ac:dyDescent="0.2">
      <c r="A1548" s="13">
        <v>45551</v>
      </c>
      <c r="B1548" s="13">
        <v>45504</v>
      </c>
      <c r="C1548" s="25" t="s">
        <v>399</v>
      </c>
      <c r="D1548" s="20">
        <v>47</v>
      </c>
      <c r="E1548" s="28">
        <v>52148.88</v>
      </c>
      <c r="F1548" s="22" t="s">
        <v>121</v>
      </c>
      <c r="G1548" s="14">
        <v>126</v>
      </c>
      <c r="H1548" s="40">
        <v>45141</v>
      </c>
      <c r="I1548" s="46">
        <f t="shared" si="96"/>
        <v>410</v>
      </c>
      <c r="J1548" s="1" t="s">
        <v>15</v>
      </c>
      <c r="K1548" s="4" t="s">
        <v>200</v>
      </c>
      <c r="L1548" s="4" t="s">
        <v>225</v>
      </c>
      <c r="M1548" s="8">
        <v>126</v>
      </c>
      <c r="N1548" s="5">
        <v>413.88</v>
      </c>
      <c r="O1548" s="5">
        <v>52148.88</v>
      </c>
      <c r="P1548">
        <f t="shared" si="97"/>
        <v>1</v>
      </c>
      <c r="Q1548" s="36">
        <f t="shared" si="98"/>
        <v>52148.88</v>
      </c>
      <c r="R1548">
        <f t="shared" si="99"/>
        <v>2023</v>
      </c>
    </row>
    <row r="1549" spans="1:18" x14ac:dyDescent="0.2">
      <c r="A1549" s="13">
        <v>45551</v>
      </c>
      <c r="B1549" s="13">
        <v>45484</v>
      </c>
      <c r="C1549" s="25" t="s">
        <v>399</v>
      </c>
      <c r="D1549" s="20">
        <v>67</v>
      </c>
      <c r="E1549" s="28">
        <v>52148.88</v>
      </c>
      <c r="F1549" s="22" t="s">
        <v>121</v>
      </c>
      <c r="G1549" s="14">
        <v>126</v>
      </c>
      <c r="H1549" s="40">
        <v>45141</v>
      </c>
      <c r="I1549" s="46">
        <f t="shared" si="96"/>
        <v>410</v>
      </c>
      <c r="J1549" s="1" t="s">
        <v>15</v>
      </c>
      <c r="K1549" s="4" t="s">
        <v>200</v>
      </c>
      <c r="L1549" s="4" t="s">
        <v>225</v>
      </c>
      <c r="M1549" s="8">
        <v>126</v>
      </c>
      <c r="N1549" s="5">
        <v>413.88</v>
      </c>
      <c r="O1549" s="5">
        <v>52148.88</v>
      </c>
      <c r="P1549">
        <f t="shared" si="97"/>
        <v>1</v>
      </c>
      <c r="Q1549" s="36">
        <f t="shared" si="98"/>
        <v>52148.88</v>
      </c>
      <c r="R1549">
        <f t="shared" si="99"/>
        <v>2023</v>
      </c>
    </row>
    <row r="1550" spans="1:18" x14ac:dyDescent="0.2">
      <c r="A1550" s="13">
        <v>45551</v>
      </c>
      <c r="B1550" s="13">
        <v>45483</v>
      </c>
      <c r="C1550" s="25" t="s">
        <v>399</v>
      </c>
      <c r="D1550" s="20">
        <v>68</v>
      </c>
      <c r="E1550" s="28">
        <v>52148.88</v>
      </c>
      <c r="F1550" s="22" t="s">
        <v>121</v>
      </c>
      <c r="G1550" s="14">
        <v>126</v>
      </c>
      <c r="H1550" s="40">
        <v>45141</v>
      </c>
      <c r="I1550" s="46">
        <f t="shared" si="96"/>
        <v>410</v>
      </c>
      <c r="J1550" s="1" t="s">
        <v>15</v>
      </c>
      <c r="K1550" s="4" t="s">
        <v>200</v>
      </c>
      <c r="L1550" s="4" t="s">
        <v>225</v>
      </c>
      <c r="M1550" s="8">
        <v>126</v>
      </c>
      <c r="N1550" s="5">
        <v>413.88</v>
      </c>
      <c r="O1550" s="5">
        <v>52148.88</v>
      </c>
      <c r="P1550">
        <f t="shared" si="97"/>
        <v>1</v>
      </c>
      <c r="Q1550" s="36">
        <f t="shared" si="98"/>
        <v>52148.88</v>
      </c>
      <c r="R1550">
        <f t="shared" si="99"/>
        <v>2023</v>
      </c>
    </row>
    <row r="1551" spans="1:18" x14ac:dyDescent="0.2">
      <c r="A1551" s="13">
        <v>45551</v>
      </c>
      <c r="B1551" s="13">
        <v>45483</v>
      </c>
      <c r="C1551" s="25" t="s">
        <v>399</v>
      </c>
      <c r="D1551" s="20">
        <v>68</v>
      </c>
      <c r="E1551" s="28">
        <v>52148.88</v>
      </c>
      <c r="F1551" s="22" t="s">
        <v>121</v>
      </c>
      <c r="G1551" s="14">
        <v>126</v>
      </c>
      <c r="H1551" s="40">
        <v>45141</v>
      </c>
      <c r="I1551" s="46">
        <f t="shared" si="96"/>
        <v>410</v>
      </c>
      <c r="J1551" s="1" t="s">
        <v>15</v>
      </c>
      <c r="K1551" s="4" t="s">
        <v>200</v>
      </c>
      <c r="L1551" s="4" t="s">
        <v>225</v>
      </c>
      <c r="M1551" s="8">
        <v>126</v>
      </c>
      <c r="N1551" s="5">
        <v>413.88</v>
      </c>
      <c r="O1551" s="5">
        <v>52148.88</v>
      </c>
      <c r="P1551">
        <f t="shared" si="97"/>
        <v>1</v>
      </c>
      <c r="Q1551" s="36">
        <f t="shared" si="98"/>
        <v>52148.88</v>
      </c>
      <c r="R1551">
        <f t="shared" si="99"/>
        <v>2023</v>
      </c>
    </row>
    <row r="1552" spans="1:18" x14ac:dyDescent="0.2">
      <c r="A1552" s="13">
        <v>45551</v>
      </c>
      <c r="B1552" s="13">
        <v>45511</v>
      </c>
      <c r="C1552" s="25" t="s">
        <v>399</v>
      </c>
      <c r="D1552" s="20">
        <v>40</v>
      </c>
      <c r="E1552" s="28">
        <v>52148.88</v>
      </c>
      <c r="F1552" s="22" t="s">
        <v>121</v>
      </c>
      <c r="G1552" s="14">
        <v>126</v>
      </c>
      <c r="H1552" s="40">
        <v>45141</v>
      </c>
      <c r="I1552" s="46">
        <f t="shared" si="96"/>
        <v>410</v>
      </c>
      <c r="J1552" s="1" t="s">
        <v>15</v>
      </c>
      <c r="K1552" s="4" t="s">
        <v>200</v>
      </c>
      <c r="L1552" s="4" t="s">
        <v>225</v>
      </c>
      <c r="M1552" s="8">
        <v>126</v>
      </c>
      <c r="N1552" s="5">
        <v>413.88</v>
      </c>
      <c r="O1552" s="5">
        <v>52148.88</v>
      </c>
      <c r="P1552">
        <f t="shared" si="97"/>
        <v>1</v>
      </c>
      <c r="Q1552" s="36">
        <f t="shared" si="98"/>
        <v>52148.88</v>
      </c>
      <c r="R1552">
        <f t="shared" si="99"/>
        <v>2023</v>
      </c>
    </row>
    <row r="1553" spans="1:18" x14ac:dyDescent="0.2">
      <c r="A1553" s="13">
        <v>45551</v>
      </c>
      <c r="B1553" s="13">
        <v>45489</v>
      </c>
      <c r="C1553" s="25" t="s">
        <v>399</v>
      </c>
      <c r="D1553" s="20">
        <v>62</v>
      </c>
      <c r="E1553" s="28">
        <v>52148.88</v>
      </c>
      <c r="F1553" s="22" t="s">
        <v>121</v>
      </c>
      <c r="G1553" s="14">
        <v>126</v>
      </c>
      <c r="H1553" s="40">
        <v>45141</v>
      </c>
      <c r="I1553" s="46">
        <f t="shared" si="96"/>
        <v>410</v>
      </c>
      <c r="J1553" s="1" t="s">
        <v>15</v>
      </c>
      <c r="K1553" s="4" t="s">
        <v>200</v>
      </c>
      <c r="L1553" s="4" t="s">
        <v>225</v>
      </c>
      <c r="M1553" s="8">
        <v>126</v>
      </c>
      <c r="N1553" s="5">
        <v>413.88</v>
      </c>
      <c r="O1553" s="5">
        <v>52148.88</v>
      </c>
      <c r="P1553">
        <f t="shared" si="97"/>
        <v>1</v>
      </c>
      <c r="Q1553" s="36">
        <f t="shared" si="98"/>
        <v>52148.88</v>
      </c>
      <c r="R1553">
        <f t="shared" si="99"/>
        <v>2023</v>
      </c>
    </row>
    <row r="1554" spans="1:18" x14ac:dyDescent="0.2">
      <c r="A1554" s="13">
        <v>45551</v>
      </c>
      <c r="B1554" s="13">
        <v>45484</v>
      </c>
      <c r="C1554" s="25" t="s">
        <v>399</v>
      </c>
      <c r="D1554" s="20">
        <v>67</v>
      </c>
      <c r="E1554" s="28">
        <v>52148.88</v>
      </c>
      <c r="F1554" s="22" t="s">
        <v>121</v>
      </c>
      <c r="G1554" s="14">
        <v>126</v>
      </c>
      <c r="H1554" s="40">
        <v>45141</v>
      </c>
      <c r="I1554" s="46">
        <f t="shared" si="96"/>
        <v>410</v>
      </c>
      <c r="J1554" s="1" t="s">
        <v>15</v>
      </c>
      <c r="K1554" s="4" t="s">
        <v>200</v>
      </c>
      <c r="L1554" s="4" t="s">
        <v>225</v>
      </c>
      <c r="M1554" s="8">
        <v>126</v>
      </c>
      <c r="N1554" s="5">
        <v>413.88</v>
      </c>
      <c r="O1554" s="5">
        <v>52148.88</v>
      </c>
      <c r="P1554">
        <f t="shared" si="97"/>
        <v>1</v>
      </c>
      <c r="Q1554" s="36">
        <f t="shared" si="98"/>
        <v>52148.88</v>
      </c>
      <c r="R1554">
        <f t="shared" si="99"/>
        <v>2023</v>
      </c>
    </row>
    <row r="1555" spans="1:18" x14ac:dyDescent="0.2">
      <c r="A1555" s="13">
        <v>45551</v>
      </c>
      <c r="B1555" s="13">
        <v>45512</v>
      </c>
      <c r="C1555" s="25" t="s">
        <v>399</v>
      </c>
      <c r="D1555" s="20">
        <v>39</v>
      </c>
      <c r="E1555" s="28">
        <v>52148.88</v>
      </c>
      <c r="F1555" s="22" t="s">
        <v>121</v>
      </c>
      <c r="G1555" s="14">
        <v>126</v>
      </c>
      <c r="H1555" s="40">
        <v>45141</v>
      </c>
      <c r="I1555" s="46">
        <f t="shared" si="96"/>
        <v>410</v>
      </c>
      <c r="J1555" s="1" t="s">
        <v>15</v>
      </c>
      <c r="K1555" s="4" t="s">
        <v>200</v>
      </c>
      <c r="L1555" s="4" t="s">
        <v>225</v>
      </c>
      <c r="M1555" s="8">
        <v>126</v>
      </c>
      <c r="N1555" s="5">
        <v>413.88</v>
      </c>
      <c r="O1555" s="5">
        <v>52148.88</v>
      </c>
      <c r="P1555">
        <f t="shared" si="97"/>
        <v>1</v>
      </c>
      <c r="Q1555" s="36">
        <f t="shared" si="98"/>
        <v>52148.88</v>
      </c>
      <c r="R1555">
        <f t="shared" si="99"/>
        <v>2023</v>
      </c>
    </row>
    <row r="1556" spans="1:18" x14ac:dyDescent="0.2">
      <c r="A1556" s="13">
        <v>45551</v>
      </c>
      <c r="B1556" s="13">
        <v>45511</v>
      </c>
      <c r="C1556" s="25" t="s">
        <v>399</v>
      </c>
      <c r="D1556" s="20">
        <v>40</v>
      </c>
      <c r="E1556" s="28">
        <v>52148.88</v>
      </c>
      <c r="F1556" s="22" t="s">
        <v>121</v>
      </c>
      <c r="G1556" s="14">
        <v>126</v>
      </c>
      <c r="H1556" s="40">
        <v>45141</v>
      </c>
      <c r="I1556" s="46">
        <f t="shared" si="96"/>
        <v>410</v>
      </c>
      <c r="J1556" s="1" t="s">
        <v>15</v>
      </c>
      <c r="K1556" s="4" t="s">
        <v>200</v>
      </c>
      <c r="L1556" s="4" t="s">
        <v>225</v>
      </c>
      <c r="M1556" s="8">
        <v>126</v>
      </c>
      <c r="N1556" s="5">
        <v>413.88</v>
      </c>
      <c r="O1556" s="5">
        <v>52148.88</v>
      </c>
      <c r="P1556">
        <f t="shared" si="97"/>
        <v>1</v>
      </c>
      <c r="Q1556" s="36">
        <f t="shared" si="98"/>
        <v>52148.88</v>
      </c>
      <c r="R1556">
        <f t="shared" si="99"/>
        <v>2023</v>
      </c>
    </row>
    <row r="1557" spans="1:18" x14ac:dyDescent="0.2">
      <c r="A1557" s="13">
        <v>45551</v>
      </c>
      <c r="B1557" s="13">
        <v>45512</v>
      </c>
      <c r="C1557" s="25" t="s">
        <v>399</v>
      </c>
      <c r="D1557" s="20">
        <v>39</v>
      </c>
      <c r="E1557" s="28">
        <v>52148.88</v>
      </c>
      <c r="F1557" s="22" t="s">
        <v>121</v>
      </c>
      <c r="G1557" s="14">
        <v>126</v>
      </c>
      <c r="H1557" s="40">
        <v>45141</v>
      </c>
      <c r="I1557" s="46">
        <f t="shared" si="96"/>
        <v>410</v>
      </c>
      <c r="J1557" s="1" t="s">
        <v>15</v>
      </c>
      <c r="K1557" s="4" t="s">
        <v>200</v>
      </c>
      <c r="L1557" s="4" t="s">
        <v>225</v>
      </c>
      <c r="M1557" s="8">
        <v>126</v>
      </c>
      <c r="N1557" s="5">
        <v>413.88</v>
      </c>
      <c r="O1557" s="5">
        <v>52148.88</v>
      </c>
      <c r="P1557">
        <f t="shared" si="97"/>
        <v>1</v>
      </c>
      <c r="Q1557" s="36">
        <f t="shared" si="98"/>
        <v>52148.88</v>
      </c>
      <c r="R1557">
        <f t="shared" si="99"/>
        <v>2023</v>
      </c>
    </row>
    <row r="1558" spans="1:18" x14ac:dyDescent="0.2">
      <c r="A1558" s="13">
        <v>45551</v>
      </c>
      <c r="B1558" s="13">
        <v>45511</v>
      </c>
      <c r="C1558" s="25" t="s">
        <v>399</v>
      </c>
      <c r="D1558" s="20">
        <v>40</v>
      </c>
      <c r="E1558" s="28">
        <v>52148.88</v>
      </c>
      <c r="F1558" s="22" t="s">
        <v>121</v>
      </c>
      <c r="G1558" s="14">
        <v>126</v>
      </c>
      <c r="H1558" s="40">
        <v>45141</v>
      </c>
      <c r="I1558" s="46">
        <f t="shared" si="96"/>
        <v>410</v>
      </c>
      <c r="J1558" s="1" t="s">
        <v>15</v>
      </c>
      <c r="K1558" s="4" t="s">
        <v>200</v>
      </c>
      <c r="L1558" s="4" t="s">
        <v>225</v>
      </c>
      <c r="M1558" s="8">
        <v>126</v>
      </c>
      <c r="N1558" s="5">
        <v>413.88</v>
      </c>
      <c r="O1558" s="5">
        <v>52148.88</v>
      </c>
      <c r="P1558">
        <f t="shared" si="97"/>
        <v>1</v>
      </c>
      <c r="Q1558" s="36">
        <f t="shared" si="98"/>
        <v>52148.88</v>
      </c>
      <c r="R1558">
        <f t="shared" si="99"/>
        <v>2023</v>
      </c>
    </row>
    <row r="1559" spans="1:18" x14ac:dyDescent="0.2">
      <c r="A1559" s="13">
        <v>45551</v>
      </c>
      <c r="B1559" s="13">
        <v>45504</v>
      </c>
      <c r="C1559" s="25" t="s">
        <v>399</v>
      </c>
      <c r="D1559" s="20">
        <v>47</v>
      </c>
      <c r="E1559" s="28">
        <v>52148.88</v>
      </c>
      <c r="F1559" s="22" t="s">
        <v>121</v>
      </c>
      <c r="G1559" s="14">
        <v>126</v>
      </c>
      <c r="H1559" s="40">
        <v>45141</v>
      </c>
      <c r="I1559" s="46">
        <f t="shared" si="96"/>
        <v>410</v>
      </c>
      <c r="J1559" s="1" t="s">
        <v>15</v>
      </c>
      <c r="K1559" s="4" t="s">
        <v>200</v>
      </c>
      <c r="L1559" s="4" t="s">
        <v>225</v>
      </c>
      <c r="M1559" s="8">
        <v>126</v>
      </c>
      <c r="N1559" s="5">
        <v>413.88</v>
      </c>
      <c r="O1559" s="5">
        <v>52148.88</v>
      </c>
      <c r="P1559">
        <f t="shared" si="97"/>
        <v>1</v>
      </c>
      <c r="Q1559" s="36">
        <f t="shared" si="98"/>
        <v>52148.88</v>
      </c>
      <c r="R1559">
        <f t="shared" si="99"/>
        <v>2023</v>
      </c>
    </row>
    <row r="1560" spans="1:18" x14ac:dyDescent="0.2">
      <c r="A1560" s="13">
        <v>45551</v>
      </c>
      <c r="B1560" s="13">
        <v>45511</v>
      </c>
      <c r="C1560" s="25" t="s">
        <v>399</v>
      </c>
      <c r="D1560" s="20">
        <v>40</v>
      </c>
      <c r="E1560" s="28">
        <v>52148.88</v>
      </c>
      <c r="F1560" s="22" t="s">
        <v>121</v>
      </c>
      <c r="G1560" s="14">
        <v>126</v>
      </c>
      <c r="H1560" s="40">
        <v>45141</v>
      </c>
      <c r="I1560" s="46">
        <f t="shared" si="96"/>
        <v>410</v>
      </c>
      <c r="J1560" s="1" t="s">
        <v>15</v>
      </c>
      <c r="K1560" s="4" t="s">
        <v>200</v>
      </c>
      <c r="L1560" s="4" t="s">
        <v>225</v>
      </c>
      <c r="M1560" s="8">
        <v>126</v>
      </c>
      <c r="N1560" s="5">
        <v>413.88</v>
      </c>
      <c r="O1560" s="5">
        <v>52148.88</v>
      </c>
      <c r="P1560">
        <f t="shared" si="97"/>
        <v>1</v>
      </c>
      <c r="Q1560" s="36">
        <f t="shared" si="98"/>
        <v>52148.88</v>
      </c>
      <c r="R1560">
        <f t="shared" si="99"/>
        <v>2023</v>
      </c>
    </row>
    <row r="1561" spans="1:18" x14ac:dyDescent="0.2">
      <c r="A1561" s="13">
        <v>45551</v>
      </c>
      <c r="B1561" s="13">
        <v>45504</v>
      </c>
      <c r="C1561" s="25" t="s">
        <v>399</v>
      </c>
      <c r="D1561" s="20">
        <v>47</v>
      </c>
      <c r="E1561" s="28">
        <v>52148.88</v>
      </c>
      <c r="F1561" s="22" t="s">
        <v>121</v>
      </c>
      <c r="G1561" s="14">
        <v>126</v>
      </c>
      <c r="H1561" s="40">
        <v>45141</v>
      </c>
      <c r="I1561" s="46">
        <f t="shared" si="96"/>
        <v>410</v>
      </c>
      <c r="J1561" s="1" t="s">
        <v>15</v>
      </c>
      <c r="K1561" s="4" t="s">
        <v>200</v>
      </c>
      <c r="L1561" s="4" t="s">
        <v>225</v>
      </c>
      <c r="M1561" s="8">
        <v>126</v>
      </c>
      <c r="N1561" s="5">
        <v>413.88</v>
      </c>
      <c r="O1561" s="5">
        <v>52148.88</v>
      </c>
      <c r="P1561">
        <f t="shared" si="97"/>
        <v>1</v>
      </c>
      <c r="Q1561" s="36">
        <f t="shared" si="98"/>
        <v>52148.88</v>
      </c>
      <c r="R1561">
        <f t="shared" si="99"/>
        <v>2023</v>
      </c>
    </row>
    <row r="1562" spans="1:18" x14ac:dyDescent="0.2">
      <c r="A1562" s="13">
        <v>45551</v>
      </c>
      <c r="B1562" s="13">
        <v>45504</v>
      </c>
      <c r="C1562" s="25" t="s">
        <v>399</v>
      </c>
      <c r="D1562" s="20">
        <v>47</v>
      </c>
      <c r="E1562" s="28">
        <v>52148.88</v>
      </c>
      <c r="F1562" s="22" t="s">
        <v>121</v>
      </c>
      <c r="G1562" s="14">
        <v>126</v>
      </c>
      <c r="H1562" s="40">
        <v>45141</v>
      </c>
      <c r="I1562" s="46">
        <f t="shared" si="96"/>
        <v>410</v>
      </c>
      <c r="J1562" s="1" t="s">
        <v>15</v>
      </c>
      <c r="K1562" s="4" t="s">
        <v>200</v>
      </c>
      <c r="L1562" s="4" t="s">
        <v>225</v>
      </c>
      <c r="M1562" s="8">
        <v>126</v>
      </c>
      <c r="N1562" s="5">
        <v>413.88</v>
      </c>
      <c r="O1562" s="5">
        <v>52148.88</v>
      </c>
      <c r="P1562">
        <f t="shared" si="97"/>
        <v>1</v>
      </c>
      <c r="Q1562" s="36">
        <f t="shared" si="98"/>
        <v>52148.88</v>
      </c>
      <c r="R1562">
        <f t="shared" si="99"/>
        <v>2023</v>
      </c>
    </row>
    <row r="1563" spans="1:18" x14ac:dyDescent="0.2">
      <c r="A1563" s="13">
        <v>45551</v>
      </c>
      <c r="B1563" s="13">
        <v>45483</v>
      </c>
      <c r="C1563" s="25" t="s">
        <v>399</v>
      </c>
      <c r="D1563" s="20">
        <v>68</v>
      </c>
      <c r="E1563" s="28">
        <v>52148.88</v>
      </c>
      <c r="F1563" s="22" t="s">
        <v>121</v>
      </c>
      <c r="G1563" s="14">
        <v>126</v>
      </c>
      <c r="H1563" s="40">
        <v>45141</v>
      </c>
      <c r="I1563" s="46">
        <f t="shared" si="96"/>
        <v>410</v>
      </c>
      <c r="J1563" s="1" t="s">
        <v>15</v>
      </c>
      <c r="K1563" s="4" t="s">
        <v>200</v>
      </c>
      <c r="L1563" s="4" t="s">
        <v>225</v>
      </c>
      <c r="M1563" s="8">
        <v>126</v>
      </c>
      <c r="N1563" s="5">
        <v>413.88</v>
      </c>
      <c r="O1563" s="5">
        <v>52148.88</v>
      </c>
      <c r="P1563">
        <f t="shared" si="97"/>
        <v>1</v>
      </c>
      <c r="Q1563" s="36">
        <f t="shared" si="98"/>
        <v>52148.88</v>
      </c>
      <c r="R1563">
        <f t="shared" si="99"/>
        <v>2023</v>
      </c>
    </row>
    <row r="1564" spans="1:18" x14ac:dyDescent="0.2">
      <c r="A1564" s="13">
        <v>45551</v>
      </c>
      <c r="B1564" s="13">
        <v>45511</v>
      </c>
      <c r="C1564" s="25" t="s">
        <v>399</v>
      </c>
      <c r="D1564" s="20">
        <v>40</v>
      </c>
      <c r="E1564" s="28">
        <v>52148.88</v>
      </c>
      <c r="F1564" s="22" t="s">
        <v>121</v>
      </c>
      <c r="G1564" s="14">
        <v>126</v>
      </c>
      <c r="H1564" s="40">
        <v>45141</v>
      </c>
      <c r="I1564" s="46">
        <f t="shared" si="96"/>
        <v>410</v>
      </c>
      <c r="J1564" s="1" t="s">
        <v>15</v>
      </c>
      <c r="K1564" s="4" t="s">
        <v>200</v>
      </c>
      <c r="L1564" s="4" t="s">
        <v>225</v>
      </c>
      <c r="M1564" s="8">
        <v>126</v>
      </c>
      <c r="N1564" s="5">
        <v>413.88</v>
      </c>
      <c r="O1564" s="5">
        <v>52148.88</v>
      </c>
      <c r="P1564">
        <f t="shared" si="97"/>
        <v>1</v>
      </c>
      <c r="Q1564" s="36">
        <f t="shared" si="98"/>
        <v>52148.88</v>
      </c>
      <c r="R1564">
        <f t="shared" si="99"/>
        <v>2023</v>
      </c>
    </row>
    <row r="1565" spans="1:18" x14ac:dyDescent="0.2">
      <c r="A1565" s="13">
        <v>45551</v>
      </c>
      <c r="B1565" s="13">
        <v>45483</v>
      </c>
      <c r="C1565" s="25" t="s">
        <v>399</v>
      </c>
      <c r="D1565" s="20">
        <v>68</v>
      </c>
      <c r="E1565" s="28">
        <v>52148.88</v>
      </c>
      <c r="F1565" s="22" t="s">
        <v>121</v>
      </c>
      <c r="G1565" s="14">
        <v>126</v>
      </c>
      <c r="H1565" s="40">
        <v>45141</v>
      </c>
      <c r="I1565" s="46">
        <f t="shared" si="96"/>
        <v>410</v>
      </c>
      <c r="J1565" s="1" t="s">
        <v>15</v>
      </c>
      <c r="K1565" s="4" t="s">
        <v>200</v>
      </c>
      <c r="L1565" s="4" t="s">
        <v>225</v>
      </c>
      <c r="M1565" s="8">
        <v>126</v>
      </c>
      <c r="N1565" s="5">
        <v>413.88</v>
      </c>
      <c r="O1565" s="5">
        <v>52148.88</v>
      </c>
      <c r="P1565">
        <f t="shared" si="97"/>
        <v>1</v>
      </c>
      <c r="Q1565" s="36">
        <f t="shared" si="98"/>
        <v>52148.88</v>
      </c>
      <c r="R1565">
        <f t="shared" si="99"/>
        <v>2023</v>
      </c>
    </row>
    <row r="1566" spans="1:18" x14ac:dyDescent="0.2">
      <c r="A1566" s="13">
        <v>45551</v>
      </c>
      <c r="B1566" s="13">
        <v>45483</v>
      </c>
      <c r="C1566" s="25" t="s">
        <v>399</v>
      </c>
      <c r="D1566" s="20">
        <v>68</v>
      </c>
      <c r="E1566" s="28">
        <v>52148.88</v>
      </c>
      <c r="F1566" s="22" t="s">
        <v>121</v>
      </c>
      <c r="G1566" s="14">
        <v>126</v>
      </c>
      <c r="H1566" s="40">
        <v>45141</v>
      </c>
      <c r="I1566" s="46">
        <f t="shared" si="96"/>
        <v>410</v>
      </c>
      <c r="J1566" s="1" t="s">
        <v>15</v>
      </c>
      <c r="K1566" s="4" t="s">
        <v>200</v>
      </c>
      <c r="L1566" s="4" t="s">
        <v>225</v>
      </c>
      <c r="M1566" s="8">
        <v>126</v>
      </c>
      <c r="N1566" s="5">
        <v>413.88</v>
      </c>
      <c r="O1566" s="5">
        <v>52148.88</v>
      </c>
      <c r="P1566">
        <f t="shared" si="97"/>
        <v>1</v>
      </c>
      <c r="Q1566" s="36">
        <f t="shared" si="98"/>
        <v>52148.88</v>
      </c>
      <c r="R1566">
        <f t="shared" si="99"/>
        <v>2023</v>
      </c>
    </row>
    <row r="1567" spans="1:18" x14ac:dyDescent="0.2">
      <c r="A1567" s="13">
        <v>45551</v>
      </c>
      <c r="B1567" s="13">
        <v>45504</v>
      </c>
      <c r="C1567" s="25" t="s">
        <v>399</v>
      </c>
      <c r="D1567" s="20">
        <v>47</v>
      </c>
      <c r="E1567" s="28">
        <v>52148.88</v>
      </c>
      <c r="F1567" s="22" t="s">
        <v>121</v>
      </c>
      <c r="G1567" s="14">
        <v>126</v>
      </c>
      <c r="H1567" s="40">
        <v>45141</v>
      </c>
      <c r="I1567" s="46">
        <f t="shared" si="96"/>
        <v>410</v>
      </c>
      <c r="J1567" s="1" t="s">
        <v>15</v>
      </c>
      <c r="K1567" s="4" t="s">
        <v>200</v>
      </c>
      <c r="L1567" s="4" t="s">
        <v>225</v>
      </c>
      <c r="M1567" s="8">
        <v>126</v>
      </c>
      <c r="N1567" s="5">
        <v>413.88</v>
      </c>
      <c r="O1567" s="5">
        <v>52148.88</v>
      </c>
      <c r="P1567">
        <f t="shared" si="97"/>
        <v>1</v>
      </c>
      <c r="Q1567" s="36">
        <f t="shared" si="98"/>
        <v>52148.88</v>
      </c>
      <c r="R1567">
        <f t="shared" si="99"/>
        <v>2023</v>
      </c>
    </row>
    <row r="1568" spans="1:18" x14ac:dyDescent="0.2">
      <c r="A1568" s="13">
        <v>45364</v>
      </c>
      <c r="B1568" s="13">
        <v>45364</v>
      </c>
      <c r="C1568" s="25" t="s">
        <v>398</v>
      </c>
      <c r="D1568" s="20">
        <v>0</v>
      </c>
      <c r="E1568" s="28">
        <v>16585.560000000001</v>
      </c>
      <c r="F1568" s="22" t="s">
        <v>122</v>
      </c>
      <c r="G1568" s="14">
        <v>36</v>
      </c>
      <c r="H1568" s="40">
        <v>45083</v>
      </c>
      <c r="I1568" s="46">
        <f t="shared" si="96"/>
        <v>281</v>
      </c>
      <c r="J1568" s="1" t="s">
        <v>15</v>
      </c>
      <c r="K1568" s="4" t="s">
        <v>200</v>
      </c>
      <c r="L1568" s="4" t="s">
        <v>225</v>
      </c>
      <c r="M1568" s="8">
        <v>36</v>
      </c>
      <c r="N1568" s="5">
        <v>460.71</v>
      </c>
      <c r="O1568" s="5">
        <v>16585.560000000001</v>
      </c>
      <c r="P1568">
        <f t="shared" si="97"/>
        <v>1</v>
      </c>
      <c r="Q1568" s="36">
        <f t="shared" si="98"/>
        <v>16585.559999999998</v>
      </c>
      <c r="R1568">
        <f t="shared" si="99"/>
        <v>2023</v>
      </c>
    </row>
    <row r="1569" spans="1:18" x14ac:dyDescent="0.2">
      <c r="A1569" s="13">
        <v>45378</v>
      </c>
      <c r="B1569" s="13">
        <v>45378</v>
      </c>
      <c r="C1569" s="25" t="s">
        <v>398</v>
      </c>
      <c r="D1569" s="20">
        <v>0</v>
      </c>
      <c r="E1569" s="28">
        <v>16585.560000000001</v>
      </c>
      <c r="F1569" s="22" t="s">
        <v>122</v>
      </c>
      <c r="G1569" s="14">
        <v>36</v>
      </c>
      <c r="H1569" s="40">
        <v>45083</v>
      </c>
      <c r="I1569" s="46">
        <f t="shared" si="96"/>
        <v>295</v>
      </c>
      <c r="J1569" s="1" t="s">
        <v>15</v>
      </c>
      <c r="K1569" s="4" t="s">
        <v>200</v>
      </c>
      <c r="L1569" s="4" t="s">
        <v>225</v>
      </c>
      <c r="M1569" s="8">
        <v>36</v>
      </c>
      <c r="N1569" s="5">
        <v>460.71</v>
      </c>
      <c r="O1569" s="5">
        <v>16585.560000000001</v>
      </c>
      <c r="P1569">
        <f t="shared" si="97"/>
        <v>1</v>
      </c>
      <c r="Q1569" s="36">
        <f t="shared" si="98"/>
        <v>16585.559999999998</v>
      </c>
      <c r="R1569">
        <f t="shared" si="99"/>
        <v>2023</v>
      </c>
    </row>
    <row r="1570" spans="1:18" x14ac:dyDescent="0.2">
      <c r="A1570" s="13">
        <v>45427</v>
      </c>
      <c r="B1570" s="13">
        <v>45427</v>
      </c>
      <c r="C1570" s="25" t="s">
        <v>398</v>
      </c>
      <c r="D1570" s="20">
        <v>0</v>
      </c>
      <c r="E1570" s="28">
        <v>16585.560000000001</v>
      </c>
      <c r="F1570" s="22" t="s">
        <v>122</v>
      </c>
      <c r="G1570" s="14">
        <v>36</v>
      </c>
      <c r="H1570" s="40">
        <v>45083</v>
      </c>
      <c r="I1570" s="46">
        <f t="shared" si="96"/>
        <v>344</v>
      </c>
      <c r="J1570" s="1" t="s">
        <v>15</v>
      </c>
      <c r="K1570" s="4" t="s">
        <v>200</v>
      </c>
      <c r="L1570" s="4" t="s">
        <v>225</v>
      </c>
      <c r="M1570" s="8">
        <v>36</v>
      </c>
      <c r="N1570" s="5">
        <v>460.71</v>
      </c>
      <c r="O1570" s="5">
        <v>16585.560000000001</v>
      </c>
      <c r="P1570">
        <f t="shared" si="97"/>
        <v>1</v>
      </c>
      <c r="Q1570" s="36">
        <f t="shared" si="98"/>
        <v>16585.559999999998</v>
      </c>
      <c r="R1570">
        <f t="shared" si="99"/>
        <v>2023</v>
      </c>
    </row>
    <row r="1571" spans="1:18" x14ac:dyDescent="0.2">
      <c r="A1571" s="13">
        <v>45462</v>
      </c>
      <c r="B1571" s="13">
        <v>45462</v>
      </c>
      <c r="C1571" s="25" t="s">
        <v>398</v>
      </c>
      <c r="D1571" s="20">
        <v>0</v>
      </c>
      <c r="E1571" s="28">
        <v>16585.560000000001</v>
      </c>
      <c r="F1571" s="22" t="s">
        <v>122</v>
      </c>
      <c r="G1571" s="14">
        <v>36</v>
      </c>
      <c r="H1571" s="40">
        <v>45083</v>
      </c>
      <c r="I1571" s="46">
        <f t="shared" si="96"/>
        <v>379</v>
      </c>
      <c r="J1571" s="1" t="s">
        <v>15</v>
      </c>
      <c r="K1571" s="4" t="s">
        <v>200</v>
      </c>
      <c r="L1571" s="4" t="s">
        <v>225</v>
      </c>
      <c r="M1571" s="8">
        <v>36</v>
      </c>
      <c r="N1571" s="5">
        <v>460.71</v>
      </c>
      <c r="O1571" s="5">
        <v>16585.560000000001</v>
      </c>
      <c r="P1571">
        <f t="shared" si="97"/>
        <v>1</v>
      </c>
      <c r="Q1571" s="36">
        <f t="shared" si="98"/>
        <v>16585.559999999998</v>
      </c>
      <c r="R1571">
        <f t="shared" si="99"/>
        <v>2023</v>
      </c>
    </row>
    <row r="1572" spans="1:18" x14ac:dyDescent="0.2">
      <c r="A1572" s="13">
        <v>45447</v>
      </c>
      <c r="B1572" s="13">
        <v>45447</v>
      </c>
      <c r="C1572" s="25" t="s">
        <v>398</v>
      </c>
      <c r="D1572" s="20">
        <v>0</v>
      </c>
      <c r="E1572" s="28">
        <v>66342.240000000005</v>
      </c>
      <c r="F1572" s="22" t="s">
        <v>122</v>
      </c>
      <c r="G1572" s="14">
        <v>144</v>
      </c>
      <c r="H1572" s="40">
        <v>45084</v>
      </c>
      <c r="I1572" s="46">
        <f t="shared" si="96"/>
        <v>363</v>
      </c>
      <c r="J1572" s="1" t="s">
        <v>15</v>
      </c>
      <c r="K1572" s="4" t="s">
        <v>200</v>
      </c>
      <c r="L1572" s="4" t="s">
        <v>225</v>
      </c>
      <c r="M1572" s="8">
        <v>144</v>
      </c>
      <c r="N1572" s="5">
        <v>460.71</v>
      </c>
      <c r="O1572" s="5">
        <v>66342.240000000005</v>
      </c>
      <c r="P1572">
        <f t="shared" si="97"/>
        <v>1</v>
      </c>
      <c r="Q1572" s="36">
        <f t="shared" si="98"/>
        <v>66342.239999999991</v>
      </c>
      <c r="R1572">
        <f t="shared" si="99"/>
        <v>2023</v>
      </c>
    </row>
    <row r="1573" spans="1:18" x14ac:dyDescent="0.2">
      <c r="A1573" s="13">
        <v>45448</v>
      </c>
      <c r="B1573" s="13">
        <v>45448</v>
      </c>
      <c r="C1573" s="25" t="s">
        <v>398</v>
      </c>
      <c r="D1573" s="20">
        <v>0</v>
      </c>
      <c r="E1573" s="28">
        <v>132684.48000000001</v>
      </c>
      <c r="F1573" s="22" t="s">
        <v>122</v>
      </c>
      <c r="G1573" s="14">
        <v>288</v>
      </c>
      <c r="H1573" s="40">
        <v>45085</v>
      </c>
      <c r="I1573" s="46">
        <f t="shared" si="96"/>
        <v>363</v>
      </c>
      <c r="J1573" s="1" t="s">
        <v>15</v>
      </c>
      <c r="K1573" s="4" t="s">
        <v>200</v>
      </c>
      <c r="L1573" s="4" t="s">
        <v>225</v>
      </c>
      <c r="M1573" s="8">
        <v>288</v>
      </c>
      <c r="N1573" s="5">
        <v>460.71</v>
      </c>
      <c r="O1573" s="5">
        <v>132684.48000000001</v>
      </c>
      <c r="P1573">
        <f t="shared" si="97"/>
        <v>1</v>
      </c>
      <c r="Q1573" s="36">
        <f t="shared" si="98"/>
        <v>132684.47999999998</v>
      </c>
      <c r="R1573">
        <f t="shared" si="99"/>
        <v>2023</v>
      </c>
    </row>
    <row r="1574" spans="1:18" x14ac:dyDescent="0.2">
      <c r="A1574" s="13">
        <v>45448</v>
      </c>
      <c r="B1574" s="13">
        <v>45448</v>
      </c>
      <c r="C1574" s="25" t="s">
        <v>398</v>
      </c>
      <c r="D1574" s="20">
        <v>0</v>
      </c>
      <c r="E1574" s="28">
        <v>132684.48000000001</v>
      </c>
      <c r="F1574" s="22" t="s">
        <v>122</v>
      </c>
      <c r="G1574" s="14">
        <v>288</v>
      </c>
      <c r="H1574" s="40">
        <v>45085</v>
      </c>
      <c r="I1574" s="46">
        <f t="shared" si="96"/>
        <v>363</v>
      </c>
      <c r="J1574" s="1" t="s">
        <v>15</v>
      </c>
      <c r="K1574" s="4" t="s">
        <v>200</v>
      </c>
      <c r="L1574" s="4" t="s">
        <v>225</v>
      </c>
      <c r="M1574" s="8">
        <v>288</v>
      </c>
      <c r="N1574" s="5">
        <v>460.71</v>
      </c>
      <c r="O1574" s="5">
        <v>132684.48000000001</v>
      </c>
      <c r="P1574">
        <f t="shared" si="97"/>
        <v>1</v>
      </c>
      <c r="Q1574" s="36">
        <f t="shared" si="98"/>
        <v>132684.47999999998</v>
      </c>
      <c r="R1574">
        <f t="shared" si="99"/>
        <v>2023</v>
      </c>
    </row>
    <row r="1575" spans="1:18" x14ac:dyDescent="0.2">
      <c r="A1575" s="13">
        <v>45448</v>
      </c>
      <c r="B1575" s="13">
        <v>45448</v>
      </c>
      <c r="C1575" s="25" t="s">
        <v>398</v>
      </c>
      <c r="D1575" s="20">
        <v>0</v>
      </c>
      <c r="E1575" s="28">
        <v>132684.48000000001</v>
      </c>
      <c r="F1575" s="22" t="s">
        <v>122</v>
      </c>
      <c r="G1575" s="14">
        <v>288</v>
      </c>
      <c r="H1575" s="40">
        <v>45085</v>
      </c>
      <c r="I1575" s="46">
        <f t="shared" si="96"/>
        <v>363</v>
      </c>
      <c r="J1575" s="1" t="s">
        <v>15</v>
      </c>
      <c r="K1575" s="4" t="s">
        <v>200</v>
      </c>
      <c r="L1575" s="4" t="s">
        <v>225</v>
      </c>
      <c r="M1575" s="8">
        <v>288</v>
      </c>
      <c r="N1575" s="5">
        <v>460.71</v>
      </c>
      <c r="O1575" s="5">
        <v>132684.48000000001</v>
      </c>
      <c r="P1575">
        <f t="shared" si="97"/>
        <v>1</v>
      </c>
      <c r="Q1575" s="36">
        <f t="shared" si="98"/>
        <v>132684.47999999998</v>
      </c>
      <c r="R1575">
        <f t="shared" si="99"/>
        <v>2023</v>
      </c>
    </row>
    <row r="1576" spans="1:18" x14ac:dyDescent="0.2">
      <c r="A1576" s="13">
        <v>45448</v>
      </c>
      <c r="B1576" s="13">
        <v>45448</v>
      </c>
      <c r="C1576" s="25" t="s">
        <v>398</v>
      </c>
      <c r="D1576" s="20">
        <v>0</v>
      </c>
      <c r="E1576" s="28">
        <v>132684.48000000001</v>
      </c>
      <c r="F1576" s="22" t="s">
        <v>122</v>
      </c>
      <c r="G1576" s="14">
        <v>288</v>
      </c>
      <c r="H1576" s="40">
        <v>45085</v>
      </c>
      <c r="I1576" s="46">
        <f t="shared" si="96"/>
        <v>363</v>
      </c>
      <c r="J1576" s="1" t="s">
        <v>15</v>
      </c>
      <c r="K1576" s="4" t="s">
        <v>200</v>
      </c>
      <c r="L1576" s="4" t="s">
        <v>225</v>
      </c>
      <c r="M1576" s="8">
        <v>288</v>
      </c>
      <c r="N1576" s="5">
        <v>460.71</v>
      </c>
      <c r="O1576" s="5">
        <v>132684.48000000001</v>
      </c>
      <c r="P1576">
        <f t="shared" si="97"/>
        <v>1</v>
      </c>
      <c r="Q1576" s="36">
        <f t="shared" si="98"/>
        <v>132684.47999999998</v>
      </c>
      <c r="R1576">
        <f t="shared" si="99"/>
        <v>2023</v>
      </c>
    </row>
    <row r="1577" spans="1:18" x14ac:dyDescent="0.2">
      <c r="A1577" s="13">
        <v>45448</v>
      </c>
      <c r="B1577" s="13">
        <v>45448</v>
      </c>
      <c r="C1577" s="25" t="s">
        <v>398</v>
      </c>
      <c r="D1577" s="20">
        <v>0</v>
      </c>
      <c r="E1577" s="28">
        <v>132684.48000000001</v>
      </c>
      <c r="F1577" s="22" t="s">
        <v>122</v>
      </c>
      <c r="G1577" s="14">
        <v>288</v>
      </c>
      <c r="H1577" s="40">
        <v>45085</v>
      </c>
      <c r="I1577" s="46">
        <f t="shared" si="96"/>
        <v>363</v>
      </c>
      <c r="J1577" s="1" t="s">
        <v>15</v>
      </c>
      <c r="K1577" s="4" t="s">
        <v>200</v>
      </c>
      <c r="L1577" s="4" t="s">
        <v>225</v>
      </c>
      <c r="M1577" s="8">
        <v>288</v>
      </c>
      <c r="N1577" s="5">
        <v>460.71</v>
      </c>
      <c r="O1577" s="5">
        <v>132684.48000000001</v>
      </c>
      <c r="P1577">
        <f t="shared" si="97"/>
        <v>1</v>
      </c>
      <c r="Q1577" s="36">
        <f t="shared" si="98"/>
        <v>132684.47999999998</v>
      </c>
      <c r="R1577">
        <f t="shared" si="99"/>
        <v>2023</v>
      </c>
    </row>
    <row r="1578" spans="1:18" x14ac:dyDescent="0.2">
      <c r="A1578" s="13">
        <v>45448</v>
      </c>
      <c r="B1578" s="13">
        <v>45448</v>
      </c>
      <c r="C1578" s="25" t="s">
        <v>398</v>
      </c>
      <c r="D1578" s="20">
        <v>0</v>
      </c>
      <c r="E1578" s="28">
        <v>132684.48000000001</v>
      </c>
      <c r="F1578" s="22" t="s">
        <v>122</v>
      </c>
      <c r="G1578" s="14">
        <v>288</v>
      </c>
      <c r="H1578" s="40">
        <v>45085</v>
      </c>
      <c r="I1578" s="46">
        <f t="shared" si="96"/>
        <v>363</v>
      </c>
      <c r="J1578" s="1" t="s">
        <v>15</v>
      </c>
      <c r="K1578" s="4" t="s">
        <v>200</v>
      </c>
      <c r="L1578" s="4" t="s">
        <v>225</v>
      </c>
      <c r="M1578" s="8">
        <v>288</v>
      </c>
      <c r="N1578" s="5">
        <v>460.71</v>
      </c>
      <c r="O1578" s="5">
        <v>132684.48000000001</v>
      </c>
      <c r="P1578">
        <f t="shared" si="97"/>
        <v>1</v>
      </c>
      <c r="Q1578" s="36">
        <f t="shared" si="98"/>
        <v>132684.47999999998</v>
      </c>
      <c r="R1578">
        <f t="shared" si="99"/>
        <v>2023</v>
      </c>
    </row>
    <row r="1579" spans="1:18" x14ac:dyDescent="0.2">
      <c r="A1579" s="13">
        <v>45448</v>
      </c>
      <c r="B1579" s="13">
        <v>45448</v>
      </c>
      <c r="C1579" s="25" t="s">
        <v>398</v>
      </c>
      <c r="D1579" s="20">
        <v>0</v>
      </c>
      <c r="E1579" s="28">
        <v>132684.48000000001</v>
      </c>
      <c r="F1579" s="22" t="s">
        <v>122</v>
      </c>
      <c r="G1579" s="14">
        <v>288</v>
      </c>
      <c r="H1579" s="40">
        <v>45085</v>
      </c>
      <c r="I1579" s="46">
        <f t="shared" si="96"/>
        <v>363</v>
      </c>
      <c r="J1579" s="1" t="s">
        <v>15</v>
      </c>
      <c r="K1579" s="4" t="s">
        <v>200</v>
      </c>
      <c r="L1579" s="4" t="s">
        <v>225</v>
      </c>
      <c r="M1579" s="8">
        <v>288</v>
      </c>
      <c r="N1579" s="5">
        <v>460.71</v>
      </c>
      <c r="O1579" s="5">
        <v>132684.48000000001</v>
      </c>
      <c r="P1579">
        <f t="shared" si="97"/>
        <v>1</v>
      </c>
      <c r="Q1579" s="36">
        <f t="shared" si="98"/>
        <v>132684.47999999998</v>
      </c>
      <c r="R1579">
        <f t="shared" si="99"/>
        <v>2023</v>
      </c>
    </row>
    <row r="1580" spans="1:18" x14ac:dyDescent="0.2">
      <c r="A1580" s="13">
        <v>45448</v>
      </c>
      <c r="B1580" s="13">
        <v>45448</v>
      </c>
      <c r="C1580" s="25" t="s">
        <v>398</v>
      </c>
      <c r="D1580" s="20">
        <v>0</v>
      </c>
      <c r="E1580" s="28">
        <v>132684.48000000001</v>
      </c>
      <c r="F1580" s="22" t="s">
        <v>122</v>
      </c>
      <c r="G1580" s="14">
        <v>288</v>
      </c>
      <c r="H1580" s="40">
        <v>45085</v>
      </c>
      <c r="I1580" s="46">
        <f t="shared" si="96"/>
        <v>363</v>
      </c>
      <c r="J1580" s="1" t="s">
        <v>15</v>
      </c>
      <c r="K1580" s="4" t="s">
        <v>200</v>
      </c>
      <c r="L1580" s="4" t="s">
        <v>225</v>
      </c>
      <c r="M1580" s="8">
        <v>288</v>
      </c>
      <c r="N1580" s="5">
        <v>460.71</v>
      </c>
      <c r="O1580" s="5">
        <v>132684.48000000001</v>
      </c>
      <c r="P1580">
        <f t="shared" si="97"/>
        <v>1</v>
      </c>
      <c r="Q1580" s="36">
        <f t="shared" si="98"/>
        <v>132684.47999999998</v>
      </c>
      <c r="R1580">
        <f t="shared" si="99"/>
        <v>2023</v>
      </c>
    </row>
    <row r="1581" spans="1:18" x14ac:dyDescent="0.2">
      <c r="A1581" s="13">
        <v>45448</v>
      </c>
      <c r="B1581" s="13">
        <v>45448</v>
      </c>
      <c r="C1581" s="25" t="s">
        <v>398</v>
      </c>
      <c r="D1581" s="20">
        <v>0</v>
      </c>
      <c r="E1581" s="28">
        <v>132684.48000000001</v>
      </c>
      <c r="F1581" s="22" t="s">
        <v>122</v>
      </c>
      <c r="G1581" s="14">
        <v>288</v>
      </c>
      <c r="H1581" s="40">
        <v>45085</v>
      </c>
      <c r="I1581" s="46">
        <f t="shared" si="96"/>
        <v>363</v>
      </c>
      <c r="J1581" s="1" t="s">
        <v>15</v>
      </c>
      <c r="K1581" s="4" t="s">
        <v>200</v>
      </c>
      <c r="L1581" s="4" t="s">
        <v>225</v>
      </c>
      <c r="M1581" s="8">
        <v>288</v>
      </c>
      <c r="N1581" s="5">
        <v>460.71</v>
      </c>
      <c r="O1581" s="5">
        <v>132684.48000000001</v>
      </c>
      <c r="P1581">
        <f t="shared" si="97"/>
        <v>1</v>
      </c>
      <c r="Q1581" s="36">
        <f t="shared" si="98"/>
        <v>132684.47999999998</v>
      </c>
      <c r="R1581">
        <f t="shared" si="99"/>
        <v>2023</v>
      </c>
    </row>
    <row r="1582" spans="1:18" x14ac:dyDescent="0.2">
      <c r="A1582" s="13">
        <v>45448</v>
      </c>
      <c r="B1582" s="13">
        <v>45448</v>
      </c>
      <c r="C1582" s="25" t="s">
        <v>398</v>
      </c>
      <c r="D1582" s="20">
        <v>0</v>
      </c>
      <c r="E1582" s="28">
        <v>132684.48000000001</v>
      </c>
      <c r="F1582" s="22" t="s">
        <v>122</v>
      </c>
      <c r="G1582" s="14">
        <v>288</v>
      </c>
      <c r="H1582" s="40">
        <v>45085</v>
      </c>
      <c r="I1582" s="46">
        <f t="shared" si="96"/>
        <v>363</v>
      </c>
      <c r="J1582" s="1" t="s">
        <v>15</v>
      </c>
      <c r="K1582" s="4" t="s">
        <v>200</v>
      </c>
      <c r="L1582" s="4" t="s">
        <v>225</v>
      </c>
      <c r="M1582" s="8">
        <v>288</v>
      </c>
      <c r="N1582" s="5">
        <v>460.71</v>
      </c>
      <c r="O1582" s="5">
        <v>132684.48000000001</v>
      </c>
      <c r="P1582">
        <f t="shared" si="97"/>
        <v>1</v>
      </c>
      <c r="Q1582" s="36">
        <f t="shared" si="98"/>
        <v>132684.47999999998</v>
      </c>
      <c r="R1582">
        <f t="shared" si="99"/>
        <v>2023</v>
      </c>
    </row>
    <row r="1583" spans="1:18" x14ac:dyDescent="0.2">
      <c r="A1583" s="13">
        <v>45448</v>
      </c>
      <c r="B1583" s="13">
        <v>45448</v>
      </c>
      <c r="C1583" s="25" t="s">
        <v>398</v>
      </c>
      <c r="D1583" s="20">
        <v>0</v>
      </c>
      <c r="E1583" s="28">
        <v>132684.48000000001</v>
      </c>
      <c r="F1583" s="22" t="s">
        <v>122</v>
      </c>
      <c r="G1583" s="14">
        <v>288</v>
      </c>
      <c r="H1583" s="40">
        <v>45085</v>
      </c>
      <c r="I1583" s="46">
        <f t="shared" si="96"/>
        <v>363</v>
      </c>
      <c r="J1583" s="1" t="s">
        <v>15</v>
      </c>
      <c r="K1583" s="4" t="s">
        <v>200</v>
      </c>
      <c r="L1583" s="4" t="s">
        <v>225</v>
      </c>
      <c r="M1583" s="8">
        <v>288</v>
      </c>
      <c r="N1583" s="5">
        <v>460.71</v>
      </c>
      <c r="O1583" s="5">
        <v>132684.48000000001</v>
      </c>
      <c r="P1583">
        <f t="shared" si="97"/>
        <v>1</v>
      </c>
      <c r="Q1583" s="36">
        <f t="shared" si="98"/>
        <v>132684.47999999998</v>
      </c>
      <c r="R1583">
        <f t="shared" si="99"/>
        <v>2023</v>
      </c>
    </row>
    <row r="1584" spans="1:18" x14ac:dyDescent="0.2">
      <c r="A1584" s="13">
        <v>45448</v>
      </c>
      <c r="B1584" s="13">
        <v>45448</v>
      </c>
      <c r="C1584" s="25" t="s">
        <v>398</v>
      </c>
      <c r="D1584" s="20">
        <v>0</v>
      </c>
      <c r="E1584" s="28">
        <v>132684.48000000001</v>
      </c>
      <c r="F1584" s="22" t="s">
        <v>122</v>
      </c>
      <c r="G1584" s="14">
        <v>288</v>
      </c>
      <c r="H1584" s="40">
        <v>45085</v>
      </c>
      <c r="I1584" s="46">
        <f t="shared" si="96"/>
        <v>363</v>
      </c>
      <c r="J1584" s="1" t="s">
        <v>15</v>
      </c>
      <c r="K1584" s="4" t="s">
        <v>200</v>
      </c>
      <c r="L1584" s="4" t="s">
        <v>225</v>
      </c>
      <c r="M1584" s="8">
        <v>288</v>
      </c>
      <c r="N1584" s="5">
        <v>460.71</v>
      </c>
      <c r="O1584" s="5">
        <v>132684.48000000001</v>
      </c>
      <c r="P1584">
        <f t="shared" si="97"/>
        <v>1</v>
      </c>
      <c r="Q1584" s="36">
        <f t="shared" si="98"/>
        <v>132684.47999999998</v>
      </c>
      <c r="R1584">
        <f t="shared" si="99"/>
        <v>2023</v>
      </c>
    </row>
    <row r="1585" spans="1:18" x14ac:dyDescent="0.2">
      <c r="A1585" s="13">
        <v>45448</v>
      </c>
      <c r="B1585" s="13">
        <v>45448</v>
      </c>
      <c r="C1585" s="25" t="s">
        <v>398</v>
      </c>
      <c r="D1585" s="20">
        <v>0</v>
      </c>
      <c r="E1585" s="28">
        <v>132684.48000000001</v>
      </c>
      <c r="F1585" s="22" t="s">
        <v>122</v>
      </c>
      <c r="G1585" s="14">
        <v>288</v>
      </c>
      <c r="H1585" s="40">
        <v>45085</v>
      </c>
      <c r="I1585" s="46">
        <f t="shared" si="96"/>
        <v>363</v>
      </c>
      <c r="J1585" s="1" t="s">
        <v>15</v>
      </c>
      <c r="K1585" s="4" t="s">
        <v>200</v>
      </c>
      <c r="L1585" s="4" t="s">
        <v>225</v>
      </c>
      <c r="M1585" s="8">
        <v>288</v>
      </c>
      <c r="N1585" s="5">
        <v>460.71</v>
      </c>
      <c r="O1585" s="5">
        <v>132684.48000000001</v>
      </c>
      <c r="P1585">
        <f t="shared" si="97"/>
        <v>1</v>
      </c>
      <c r="Q1585" s="36">
        <f t="shared" si="98"/>
        <v>132684.47999999998</v>
      </c>
      <c r="R1585">
        <f t="shared" si="99"/>
        <v>2023</v>
      </c>
    </row>
    <row r="1586" spans="1:18" x14ac:dyDescent="0.2">
      <c r="A1586" s="13">
        <v>45448</v>
      </c>
      <c r="B1586" s="13">
        <v>45448</v>
      </c>
      <c r="C1586" s="25" t="s">
        <v>398</v>
      </c>
      <c r="D1586" s="20">
        <v>0</v>
      </c>
      <c r="E1586" s="28">
        <v>132684.48000000001</v>
      </c>
      <c r="F1586" s="22" t="s">
        <v>122</v>
      </c>
      <c r="G1586" s="14">
        <v>288</v>
      </c>
      <c r="H1586" s="40">
        <v>45085</v>
      </c>
      <c r="I1586" s="46">
        <f t="shared" si="96"/>
        <v>363</v>
      </c>
      <c r="J1586" s="1" t="s">
        <v>15</v>
      </c>
      <c r="K1586" s="4" t="s">
        <v>200</v>
      </c>
      <c r="L1586" s="4" t="s">
        <v>225</v>
      </c>
      <c r="M1586" s="8">
        <v>288</v>
      </c>
      <c r="N1586" s="5">
        <v>460.71</v>
      </c>
      <c r="O1586" s="5">
        <v>132684.48000000001</v>
      </c>
      <c r="P1586">
        <f t="shared" si="97"/>
        <v>1</v>
      </c>
      <c r="Q1586" s="36">
        <f t="shared" si="98"/>
        <v>132684.47999999998</v>
      </c>
      <c r="R1586">
        <f t="shared" si="99"/>
        <v>2023</v>
      </c>
    </row>
    <row r="1587" spans="1:18" x14ac:dyDescent="0.2">
      <c r="A1587" s="13">
        <v>45448</v>
      </c>
      <c r="B1587" s="13">
        <v>45448</v>
      </c>
      <c r="C1587" s="25" t="s">
        <v>398</v>
      </c>
      <c r="D1587" s="20">
        <v>0</v>
      </c>
      <c r="E1587" s="28">
        <v>132684.48000000001</v>
      </c>
      <c r="F1587" s="22" t="s">
        <v>122</v>
      </c>
      <c r="G1587" s="14">
        <v>288</v>
      </c>
      <c r="H1587" s="40">
        <v>45085</v>
      </c>
      <c r="I1587" s="46">
        <f t="shared" si="96"/>
        <v>363</v>
      </c>
      <c r="J1587" s="1" t="s">
        <v>15</v>
      </c>
      <c r="K1587" s="4" t="s">
        <v>200</v>
      </c>
      <c r="L1587" s="4" t="s">
        <v>225</v>
      </c>
      <c r="M1587" s="8">
        <v>288</v>
      </c>
      <c r="N1587" s="5">
        <v>460.71</v>
      </c>
      <c r="O1587" s="5">
        <v>132684.48000000001</v>
      </c>
      <c r="P1587">
        <f t="shared" si="97"/>
        <v>1</v>
      </c>
      <c r="Q1587" s="36">
        <f t="shared" si="98"/>
        <v>132684.47999999998</v>
      </c>
      <c r="R1587">
        <f t="shared" si="99"/>
        <v>2023</v>
      </c>
    </row>
    <row r="1588" spans="1:18" x14ac:dyDescent="0.2">
      <c r="A1588" s="13">
        <v>45448</v>
      </c>
      <c r="B1588" s="13">
        <v>45448</v>
      </c>
      <c r="C1588" s="25" t="s">
        <v>398</v>
      </c>
      <c r="D1588" s="20">
        <v>0</v>
      </c>
      <c r="E1588" s="28">
        <v>132684.48000000001</v>
      </c>
      <c r="F1588" s="22" t="s">
        <v>122</v>
      </c>
      <c r="G1588" s="14">
        <v>288</v>
      </c>
      <c r="H1588" s="40">
        <v>45085</v>
      </c>
      <c r="I1588" s="46">
        <f t="shared" si="96"/>
        <v>363</v>
      </c>
      <c r="J1588" s="1" t="s">
        <v>15</v>
      </c>
      <c r="K1588" s="4" t="s">
        <v>200</v>
      </c>
      <c r="L1588" s="4" t="s">
        <v>225</v>
      </c>
      <c r="M1588" s="8">
        <v>288</v>
      </c>
      <c r="N1588" s="5">
        <v>460.71</v>
      </c>
      <c r="O1588" s="5">
        <v>132684.48000000001</v>
      </c>
      <c r="P1588">
        <f t="shared" si="97"/>
        <v>1</v>
      </c>
      <c r="Q1588" s="36">
        <f t="shared" si="98"/>
        <v>132684.47999999998</v>
      </c>
      <c r="R1588">
        <f t="shared" si="99"/>
        <v>2023</v>
      </c>
    </row>
    <row r="1589" spans="1:18" x14ac:dyDescent="0.2">
      <c r="A1589" s="13">
        <v>45484</v>
      </c>
      <c r="B1589" s="13">
        <v>45484</v>
      </c>
      <c r="C1589" s="25" t="s">
        <v>398</v>
      </c>
      <c r="D1589" s="20">
        <v>0</v>
      </c>
      <c r="E1589" s="28">
        <v>82927.8</v>
      </c>
      <c r="F1589" s="22" t="s">
        <v>122</v>
      </c>
      <c r="G1589" s="14">
        <v>180</v>
      </c>
      <c r="H1589" s="40">
        <v>45092</v>
      </c>
      <c r="I1589" s="46">
        <f t="shared" si="96"/>
        <v>392</v>
      </c>
      <c r="J1589" s="1" t="s">
        <v>15</v>
      </c>
      <c r="K1589" s="4" t="s">
        <v>200</v>
      </c>
      <c r="L1589" s="4" t="s">
        <v>225</v>
      </c>
      <c r="M1589" s="8">
        <v>180</v>
      </c>
      <c r="N1589" s="5">
        <v>460.71</v>
      </c>
      <c r="O1589" s="5">
        <v>82927.8</v>
      </c>
      <c r="P1589">
        <f t="shared" si="97"/>
        <v>1</v>
      </c>
      <c r="Q1589" s="36">
        <f t="shared" si="98"/>
        <v>82927.8</v>
      </c>
      <c r="R1589">
        <f t="shared" si="99"/>
        <v>2023</v>
      </c>
    </row>
    <row r="1590" spans="1:18" x14ac:dyDescent="0.2">
      <c r="A1590" s="13">
        <v>45469</v>
      </c>
      <c r="B1590" s="13">
        <v>45469</v>
      </c>
      <c r="C1590" s="25" t="s">
        <v>398</v>
      </c>
      <c r="D1590" s="20">
        <v>0</v>
      </c>
      <c r="E1590" s="28">
        <v>16585.560000000001</v>
      </c>
      <c r="F1590" s="22" t="s">
        <v>122</v>
      </c>
      <c r="G1590" s="14">
        <v>36</v>
      </c>
      <c r="H1590" s="40">
        <v>45098</v>
      </c>
      <c r="I1590" s="46">
        <f t="shared" si="96"/>
        <v>371</v>
      </c>
      <c r="J1590" s="1" t="s">
        <v>15</v>
      </c>
      <c r="K1590" s="4" t="s">
        <v>200</v>
      </c>
      <c r="L1590" s="4" t="s">
        <v>225</v>
      </c>
      <c r="M1590" s="8">
        <v>36</v>
      </c>
      <c r="N1590" s="5">
        <v>460.71</v>
      </c>
      <c r="O1590" s="5">
        <v>16585.560000000001</v>
      </c>
      <c r="P1590">
        <f t="shared" si="97"/>
        <v>1</v>
      </c>
      <c r="Q1590" s="36">
        <f t="shared" si="98"/>
        <v>16585.559999999998</v>
      </c>
      <c r="R1590">
        <f t="shared" si="99"/>
        <v>2023</v>
      </c>
    </row>
    <row r="1591" spans="1:18" x14ac:dyDescent="0.2">
      <c r="A1591" s="13">
        <v>45286</v>
      </c>
      <c r="B1591" s="13">
        <v>45286</v>
      </c>
      <c r="C1591" s="25" t="s">
        <v>398</v>
      </c>
      <c r="D1591" s="20">
        <v>0</v>
      </c>
      <c r="E1591" s="28">
        <v>165855.6</v>
      </c>
      <c r="F1591" s="22" t="s">
        <v>122</v>
      </c>
      <c r="G1591" s="14">
        <v>360</v>
      </c>
      <c r="H1591" s="40">
        <v>45099</v>
      </c>
      <c r="I1591" s="46">
        <f t="shared" si="96"/>
        <v>187</v>
      </c>
      <c r="J1591" s="1" t="s">
        <v>15</v>
      </c>
      <c r="K1591" s="4" t="s">
        <v>200</v>
      </c>
      <c r="L1591" s="4" t="s">
        <v>225</v>
      </c>
      <c r="M1591" s="8">
        <v>360</v>
      </c>
      <c r="N1591" s="5">
        <v>460.71</v>
      </c>
      <c r="O1591" s="5">
        <v>165855.6</v>
      </c>
      <c r="P1591">
        <f t="shared" si="97"/>
        <v>1</v>
      </c>
      <c r="Q1591" s="36">
        <f t="shared" si="98"/>
        <v>165855.6</v>
      </c>
      <c r="R1591">
        <f t="shared" si="99"/>
        <v>2023</v>
      </c>
    </row>
    <row r="1592" spans="1:18" x14ac:dyDescent="0.2">
      <c r="A1592" s="13">
        <v>45307</v>
      </c>
      <c r="B1592" s="13">
        <v>45307</v>
      </c>
      <c r="C1592" s="25" t="s">
        <v>398</v>
      </c>
      <c r="D1592" s="20">
        <v>0</v>
      </c>
      <c r="E1592" s="28">
        <v>165855.6</v>
      </c>
      <c r="F1592" s="22" t="s">
        <v>122</v>
      </c>
      <c r="G1592" s="14">
        <v>360</v>
      </c>
      <c r="H1592" s="40">
        <v>45099</v>
      </c>
      <c r="I1592" s="46">
        <f t="shared" si="96"/>
        <v>208</v>
      </c>
      <c r="J1592" s="1" t="s">
        <v>15</v>
      </c>
      <c r="K1592" s="4" t="s">
        <v>200</v>
      </c>
      <c r="L1592" s="4" t="s">
        <v>225</v>
      </c>
      <c r="M1592" s="8">
        <v>360</v>
      </c>
      <c r="N1592" s="5">
        <v>460.71</v>
      </c>
      <c r="O1592" s="5">
        <v>165855.6</v>
      </c>
      <c r="P1592">
        <f t="shared" si="97"/>
        <v>1</v>
      </c>
      <c r="Q1592" s="36">
        <f t="shared" si="98"/>
        <v>165855.6</v>
      </c>
      <c r="R1592">
        <f t="shared" si="99"/>
        <v>2023</v>
      </c>
    </row>
    <row r="1593" spans="1:18" x14ac:dyDescent="0.2">
      <c r="A1593" s="13">
        <v>45307</v>
      </c>
      <c r="B1593" s="13">
        <v>45307</v>
      </c>
      <c r="C1593" s="25" t="s">
        <v>398</v>
      </c>
      <c r="D1593" s="20">
        <v>0</v>
      </c>
      <c r="E1593" s="28">
        <v>165855.6</v>
      </c>
      <c r="F1593" s="22" t="s">
        <v>122</v>
      </c>
      <c r="G1593" s="14">
        <v>360</v>
      </c>
      <c r="H1593" s="40">
        <v>45099</v>
      </c>
      <c r="I1593" s="46">
        <f t="shared" si="96"/>
        <v>208</v>
      </c>
      <c r="J1593" s="1" t="s">
        <v>15</v>
      </c>
      <c r="K1593" s="4" t="s">
        <v>200</v>
      </c>
      <c r="L1593" s="4" t="s">
        <v>225</v>
      </c>
      <c r="M1593" s="8">
        <v>360</v>
      </c>
      <c r="N1593" s="5">
        <v>460.71</v>
      </c>
      <c r="O1593" s="5">
        <v>165855.6</v>
      </c>
      <c r="P1593">
        <f t="shared" si="97"/>
        <v>1</v>
      </c>
      <c r="Q1593" s="36">
        <f t="shared" si="98"/>
        <v>165855.6</v>
      </c>
      <c r="R1593">
        <f t="shared" si="99"/>
        <v>2023</v>
      </c>
    </row>
    <row r="1594" spans="1:18" x14ac:dyDescent="0.2">
      <c r="A1594" s="13">
        <v>45364</v>
      </c>
      <c r="B1594" s="13">
        <v>45364</v>
      </c>
      <c r="C1594" s="25" t="s">
        <v>398</v>
      </c>
      <c r="D1594" s="20">
        <v>0</v>
      </c>
      <c r="E1594" s="28">
        <v>165855.6</v>
      </c>
      <c r="F1594" s="22" t="s">
        <v>122</v>
      </c>
      <c r="G1594" s="14">
        <v>360</v>
      </c>
      <c r="H1594" s="40">
        <v>45099</v>
      </c>
      <c r="I1594" s="46">
        <f t="shared" si="96"/>
        <v>265</v>
      </c>
      <c r="J1594" s="1" t="s">
        <v>15</v>
      </c>
      <c r="K1594" s="4" t="s">
        <v>200</v>
      </c>
      <c r="L1594" s="4" t="s">
        <v>225</v>
      </c>
      <c r="M1594" s="8">
        <v>360</v>
      </c>
      <c r="N1594" s="5">
        <v>460.71</v>
      </c>
      <c r="O1594" s="5">
        <v>165855.6</v>
      </c>
      <c r="P1594">
        <f t="shared" si="97"/>
        <v>1</v>
      </c>
      <c r="Q1594" s="36">
        <f t="shared" si="98"/>
        <v>165855.6</v>
      </c>
      <c r="R1594">
        <f t="shared" si="99"/>
        <v>2023</v>
      </c>
    </row>
    <row r="1595" spans="1:18" x14ac:dyDescent="0.2">
      <c r="A1595" s="13">
        <v>45378</v>
      </c>
      <c r="B1595" s="13">
        <v>45378</v>
      </c>
      <c r="C1595" s="25" t="s">
        <v>398</v>
      </c>
      <c r="D1595" s="20">
        <v>0</v>
      </c>
      <c r="E1595" s="28">
        <v>165855.6</v>
      </c>
      <c r="F1595" s="22" t="s">
        <v>122</v>
      </c>
      <c r="G1595" s="14">
        <v>360</v>
      </c>
      <c r="H1595" s="40">
        <v>45099</v>
      </c>
      <c r="I1595" s="46">
        <f t="shared" si="96"/>
        <v>279</v>
      </c>
      <c r="J1595" s="1" t="s">
        <v>15</v>
      </c>
      <c r="K1595" s="4" t="s">
        <v>200</v>
      </c>
      <c r="L1595" s="4" t="s">
        <v>225</v>
      </c>
      <c r="M1595" s="8">
        <v>360</v>
      </c>
      <c r="N1595" s="5">
        <v>460.71</v>
      </c>
      <c r="O1595" s="5">
        <v>165855.6</v>
      </c>
      <c r="P1595">
        <f t="shared" si="97"/>
        <v>1</v>
      </c>
      <c r="Q1595" s="36">
        <f t="shared" si="98"/>
        <v>165855.6</v>
      </c>
      <c r="R1595">
        <f t="shared" si="99"/>
        <v>2023</v>
      </c>
    </row>
    <row r="1596" spans="1:18" x14ac:dyDescent="0.2">
      <c r="A1596" s="13">
        <v>45399</v>
      </c>
      <c r="B1596" s="13">
        <v>45399</v>
      </c>
      <c r="C1596" s="25" t="s">
        <v>398</v>
      </c>
      <c r="D1596" s="20">
        <v>0</v>
      </c>
      <c r="E1596" s="28">
        <v>165855.6</v>
      </c>
      <c r="F1596" s="22" t="s">
        <v>122</v>
      </c>
      <c r="G1596" s="14">
        <v>360</v>
      </c>
      <c r="H1596" s="40">
        <v>45099</v>
      </c>
      <c r="I1596" s="46">
        <f t="shared" si="96"/>
        <v>300</v>
      </c>
      <c r="J1596" s="1" t="s">
        <v>15</v>
      </c>
      <c r="K1596" s="4" t="s">
        <v>200</v>
      </c>
      <c r="L1596" s="4" t="s">
        <v>225</v>
      </c>
      <c r="M1596" s="8">
        <v>360</v>
      </c>
      <c r="N1596" s="5">
        <v>460.71</v>
      </c>
      <c r="O1596" s="5">
        <v>165855.6</v>
      </c>
      <c r="P1596">
        <f t="shared" si="97"/>
        <v>1</v>
      </c>
      <c r="Q1596" s="36">
        <f t="shared" si="98"/>
        <v>165855.6</v>
      </c>
      <c r="R1596">
        <f t="shared" si="99"/>
        <v>2023</v>
      </c>
    </row>
    <row r="1597" spans="1:18" x14ac:dyDescent="0.2">
      <c r="A1597" s="13">
        <v>45406</v>
      </c>
      <c r="B1597" s="13">
        <v>45406</v>
      </c>
      <c r="C1597" s="25" t="s">
        <v>398</v>
      </c>
      <c r="D1597" s="20">
        <v>0</v>
      </c>
      <c r="E1597" s="28">
        <v>165855.6</v>
      </c>
      <c r="F1597" s="22" t="s">
        <v>122</v>
      </c>
      <c r="G1597" s="14">
        <v>360</v>
      </c>
      <c r="H1597" s="40">
        <v>45099</v>
      </c>
      <c r="I1597" s="46">
        <f t="shared" si="96"/>
        <v>307</v>
      </c>
      <c r="J1597" s="1" t="s">
        <v>15</v>
      </c>
      <c r="K1597" s="4" t="s">
        <v>200</v>
      </c>
      <c r="L1597" s="4" t="s">
        <v>225</v>
      </c>
      <c r="M1597" s="8">
        <v>360</v>
      </c>
      <c r="N1597" s="5">
        <v>460.71</v>
      </c>
      <c r="O1597" s="5">
        <v>165855.6</v>
      </c>
      <c r="P1597">
        <f t="shared" si="97"/>
        <v>1</v>
      </c>
      <c r="Q1597" s="36">
        <f t="shared" si="98"/>
        <v>165855.6</v>
      </c>
      <c r="R1597">
        <f t="shared" si="99"/>
        <v>2023</v>
      </c>
    </row>
    <row r="1598" spans="1:18" x14ac:dyDescent="0.2">
      <c r="A1598" s="13">
        <v>45455</v>
      </c>
      <c r="B1598" s="13">
        <v>45455</v>
      </c>
      <c r="C1598" s="25" t="s">
        <v>398</v>
      </c>
      <c r="D1598" s="20">
        <v>0</v>
      </c>
      <c r="E1598" s="28">
        <v>165855.6</v>
      </c>
      <c r="F1598" s="22" t="s">
        <v>122</v>
      </c>
      <c r="G1598" s="14">
        <v>360</v>
      </c>
      <c r="H1598" s="40">
        <v>45099</v>
      </c>
      <c r="I1598" s="46">
        <f t="shared" si="96"/>
        <v>356</v>
      </c>
      <c r="J1598" s="1" t="s">
        <v>15</v>
      </c>
      <c r="K1598" s="4" t="s">
        <v>200</v>
      </c>
      <c r="L1598" s="4" t="s">
        <v>225</v>
      </c>
      <c r="M1598" s="8">
        <v>360</v>
      </c>
      <c r="N1598" s="5">
        <v>460.71</v>
      </c>
      <c r="O1598" s="5">
        <v>165855.6</v>
      </c>
      <c r="P1598">
        <f t="shared" si="97"/>
        <v>1</v>
      </c>
      <c r="Q1598" s="36">
        <f t="shared" si="98"/>
        <v>165855.6</v>
      </c>
      <c r="R1598">
        <f t="shared" si="99"/>
        <v>2023</v>
      </c>
    </row>
    <row r="1599" spans="1:18" x14ac:dyDescent="0.2">
      <c r="A1599" s="13">
        <v>45469</v>
      </c>
      <c r="B1599" s="13">
        <v>45469</v>
      </c>
      <c r="C1599" s="25" t="s">
        <v>398</v>
      </c>
      <c r="D1599" s="20">
        <v>0</v>
      </c>
      <c r="E1599" s="28">
        <v>165855.6</v>
      </c>
      <c r="F1599" s="22" t="s">
        <v>122</v>
      </c>
      <c r="G1599" s="14">
        <v>360</v>
      </c>
      <c r="H1599" s="40">
        <v>45099</v>
      </c>
      <c r="I1599" s="46">
        <f t="shared" si="96"/>
        <v>370</v>
      </c>
      <c r="J1599" s="1" t="s">
        <v>15</v>
      </c>
      <c r="K1599" s="4" t="s">
        <v>200</v>
      </c>
      <c r="L1599" s="4" t="s">
        <v>225</v>
      </c>
      <c r="M1599" s="8">
        <v>360</v>
      </c>
      <c r="N1599" s="5">
        <v>460.71</v>
      </c>
      <c r="O1599" s="5">
        <v>165855.6</v>
      </c>
      <c r="P1599">
        <f t="shared" si="97"/>
        <v>1</v>
      </c>
      <c r="Q1599" s="36">
        <f t="shared" si="98"/>
        <v>165855.6</v>
      </c>
      <c r="R1599">
        <f t="shared" si="99"/>
        <v>2023</v>
      </c>
    </row>
    <row r="1600" spans="1:18" x14ac:dyDescent="0.2">
      <c r="A1600" s="13">
        <v>45475</v>
      </c>
      <c r="B1600" s="13">
        <v>45475</v>
      </c>
      <c r="C1600" s="25" t="s">
        <v>398</v>
      </c>
      <c r="D1600" s="20">
        <v>0</v>
      </c>
      <c r="E1600" s="28">
        <v>49756.68</v>
      </c>
      <c r="F1600" s="22" t="s">
        <v>122</v>
      </c>
      <c r="G1600" s="14">
        <v>108</v>
      </c>
      <c r="H1600" s="40">
        <v>45099</v>
      </c>
      <c r="I1600" s="46">
        <f t="shared" si="96"/>
        <v>376</v>
      </c>
      <c r="J1600" s="1" t="s">
        <v>15</v>
      </c>
      <c r="K1600" s="4" t="s">
        <v>200</v>
      </c>
      <c r="L1600" s="4" t="s">
        <v>225</v>
      </c>
      <c r="M1600" s="8">
        <v>108</v>
      </c>
      <c r="N1600" s="5">
        <v>460.71</v>
      </c>
      <c r="O1600" s="5">
        <v>49756.68</v>
      </c>
      <c r="P1600">
        <f t="shared" si="97"/>
        <v>1</v>
      </c>
      <c r="Q1600" s="36">
        <f t="shared" si="98"/>
        <v>49756.68</v>
      </c>
      <c r="R1600">
        <f t="shared" si="99"/>
        <v>2023</v>
      </c>
    </row>
    <row r="1601" spans="1:18" x14ac:dyDescent="0.2">
      <c r="A1601" s="13">
        <v>45475</v>
      </c>
      <c r="B1601" s="13">
        <v>45475</v>
      </c>
      <c r="C1601" s="25" t="s">
        <v>398</v>
      </c>
      <c r="D1601" s="20">
        <v>0</v>
      </c>
      <c r="E1601" s="28">
        <v>49756.68</v>
      </c>
      <c r="F1601" s="22" t="s">
        <v>122</v>
      </c>
      <c r="G1601" s="14">
        <v>108</v>
      </c>
      <c r="H1601" s="40">
        <v>45099</v>
      </c>
      <c r="I1601" s="46">
        <f t="shared" si="96"/>
        <v>376</v>
      </c>
      <c r="J1601" s="1" t="s">
        <v>15</v>
      </c>
      <c r="K1601" s="4" t="s">
        <v>200</v>
      </c>
      <c r="L1601" s="4" t="s">
        <v>225</v>
      </c>
      <c r="M1601" s="8">
        <v>108</v>
      </c>
      <c r="N1601" s="5">
        <v>460.71</v>
      </c>
      <c r="O1601" s="5">
        <v>49756.68</v>
      </c>
      <c r="P1601">
        <f t="shared" si="97"/>
        <v>1</v>
      </c>
      <c r="Q1601" s="36">
        <f t="shared" si="98"/>
        <v>49756.68</v>
      </c>
      <c r="R1601">
        <f t="shared" si="99"/>
        <v>2023</v>
      </c>
    </row>
    <row r="1602" spans="1:18" x14ac:dyDescent="0.2">
      <c r="A1602" s="13">
        <v>45476</v>
      </c>
      <c r="B1602" s="13">
        <v>45476</v>
      </c>
      <c r="C1602" s="25" t="s">
        <v>398</v>
      </c>
      <c r="D1602" s="20">
        <v>0</v>
      </c>
      <c r="E1602" s="28">
        <v>49756.68</v>
      </c>
      <c r="F1602" s="22" t="s">
        <v>122</v>
      </c>
      <c r="G1602" s="14">
        <v>108</v>
      </c>
      <c r="H1602" s="40">
        <v>45099</v>
      </c>
      <c r="I1602" s="46">
        <f t="shared" si="96"/>
        <v>377</v>
      </c>
      <c r="J1602" s="1" t="s">
        <v>15</v>
      </c>
      <c r="K1602" s="4" t="s">
        <v>200</v>
      </c>
      <c r="L1602" s="4" t="s">
        <v>225</v>
      </c>
      <c r="M1602" s="8">
        <v>108</v>
      </c>
      <c r="N1602" s="5">
        <v>460.71</v>
      </c>
      <c r="O1602" s="5">
        <v>49756.68</v>
      </c>
      <c r="P1602">
        <f t="shared" si="97"/>
        <v>1</v>
      </c>
      <c r="Q1602" s="36">
        <f t="shared" si="98"/>
        <v>49756.68</v>
      </c>
      <c r="R1602">
        <f t="shared" si="99"/>
        <v>2023</v>
      </c>
    </row>
    <row r="1603" spans="1:18" x14ac:dyDescent="0.2">
      <c r="A1603" s="13">
        <v>45482</v>
      </c>
      <c r="B1603" s="13">
        <v>45482</v>
      </c>
      <c r="C1603" s="25" t="s">
        <v>398</v>
      </c>
      <c r="D1603" s="20">
        <v>0</v>
      </c>
      <c r="E1603" s="28">
        <v>165855.6</v>
      </c>
      <c r="F1603" s="22" t="s">
        <v>122</v>
      </c>
      <c r="G1603" s="14">
        <v>360</v>
      </c>
      <c r="H1603" s="40">
        <v>45140</v>
      </c>
      <c r="I1603" s="46">
        <f t="shared" ref="I1603:I1666" si="100">IFERROR(A1603-H1603,"")*1</f>
        <v>342</v>
      </c>
      <c r="J1603" s="1" t="s">
        <v>15</v>
      </c>
      <c r="K1603" s="4" t="s">
        <v>200</v>
      </c>
      <c r="L1603" s="4" t="s">
        <v>225</v>
      </c>
      <c r="M1603" s="8">
        <v>360</v>
      </c>
      <c r="N1603" s="5">
        <v>460.71</v>
      </c>
      <c r="O1603" s="5">
        <v>165855.6</v>
      </c>
      <c r="P1603">
        <f t="shared" ref="P1603:P1666" si="101">IF(M1603=G1603,1,0)</f>
        <v>1</v>
      </c>
      <c r="Q1603" s="36">
        <f t="shared" ref="Q1603:Q1666" si="102">N1603*G1603</f>
        <v>165855.6</v>
      </c>
      <c r="R1603">
        <f t="shared" ref="R1603:R1666" si="103">YEAR(H1603)</f>
        <v>2023</v>
      </c>
    </row>
    <row r="1604" spans="1:18" x14ac:dyDescent="0.2">
      <c r="A1604" s="13">
        <v>45489</v>
      </c>
      <c r="B1604" s="13">
        <v>45489</v>
      </c>
      <c r="C1604" s="25" t="s">
        <v>398</v>
      </c>
      <c r="D1604" s="20">
        <v>0</v>
      </c>
      <c r="E1604" s="28">
        <v>165855.6</v>
      </c>
      <c r="F1604" s="22" t="s">
        <v>122</v>
      </c>
      <c r="G1604" s="14">
        <v>360</v>
      </c>
      <c r="H1604" s="40">
        <v>45140</v>
      </c>
      <c r="I1604" s="46">
        <f t="shared" si="100"/>
        <v>349</v>
      </c>
      <c r="J1604" s="1" t="s">
        <v>15</v>
      </c>
      <c r="K1604" s="4" t="s">
        <v>200</v>
      </c>
      <c r="L1604" s="4" t="s">
        <v>225</v>
      </c>
      <c r="M1604" s="8">
        <v>360</v>
      </c>
      <c r="N1604" s="5">
        <v>460.71</v>
      </c>
      <c r="O1604" s="5">
        <v>165855.6</v>
      </c>
      <c r="P1604">
        <f t="shared" si="101"/>
        <v>1</v>
      </c>
      <c r="Q1604" s="36">
        <f t="shared" si="102"/>
        <v>165855.6</v>
      </c>
      <c r="R1604">
        <f t="shared" si="103"/>
        <v>2023</v>
      </c>
    </row>
    <row r="1605" spans="1:18" x14ac:dyDescent="0.2">
      <c r="A1605" s="13">
        <v>45503</v>
      </c>
      <c r="B1605" s="13">
        <v>45503</v>
      </c>
      <c r="C1605" s="25" t="s">
        <v>398</v>
      </c>
      <c r="D1605" s="20">
        <v>0</v>
      </c>
      <c r="E1605" s="28">
        <v>165855.6</v>
      </c>
      <c r="F1605" s="22" t="s">
        <v>122</v>
      </c>
      <c r="G1605" s="14">
        <v>360</v>
      </c>
      <c r="H1605" s="40">
        <v>45140</v>
      </c>
      <c r="I1605" s="46">
        <f t="shared" si="100"/>
        <v>363</v>
      </c>
      <c r="J1605" s="1" t="s">
        <v>15</v>
      </c>
      <c r="K1605" s="4" t="s">
        <v>200</v>
      </c>
      <c r="L1605" s="4" t="s">
        <v>225</v>
      </c>
      <c r="M1605" s="8">
        <v>360</v>
      </c>
      <c r="N1605" s="5">
        <v>460.71</v>
      </c>
      <c r="O1605" s="5">
        <v>165855.6</v>
      </c>
      <c r="P1605">
        <f t="shared" si="101"/>
        <v>1</v>
      </c>
      <c r="Q1605" s="36">
        <f t="shared" si="102"/>
        <v>165855.6</v>
      </c>
      <c r="R1605">
        <f t="shared" si="103"/>
        <v>2023</v>
      </c>
    </row>
    <row r="1606" spans="1:18" x14ac:dyDescent="0.2">
      <c r="A1606" s="13">
        <v>45503</v>
      </c>
      <c r="B1606" s="13">
        <v>45503</v>
      </c>
      <c r="C1606" s="25" t="s">
        <v>398</v>
      </c>
      <c r="D1606" s="20">
        <v>0</v>
      </c>
      <c r="E1606" s="28">
        <v>165855.6</v>
      </c>
      <c r="F1606" s="22" t="s">
        <v>122</v>
      </c>
      <c r="G1606" s="14">
        <v>360</v>
      </c>
      <c r="H1606" s="40">
        <v>45140</v>
      </c>
      <c r="I1606" s="46">
        <f t="shared" si="100"/>
        <v>363</v>
      </c>
      <c r="J1606" s="1" t="s">
        <v>15</v>
      </c>
      <c r="K1606" s="4" t="s">
        <v>200</v>
      </c>
      <c r="L1606" s="4" t="s">
        <v>225</v>
      </c>
      <c r="M1606" s="8">
        <v>360</v>
      </c>
      <c r="N1606" s="5">
        <v>460.71</v>
      </c>
      <c r="O1606" s="5">
        <v>165855.6</v>
      </c>
      <c r="P1606">
        <f t="shared" si="101"/>
        <v>1</v>
      </c>
      <c r="Q1606" s="36">
        <f t="shared" si="102"/>
        <v>165855.6</v>
      </c>
      <c r="R1606">
        <f t="shared" si="103"/>
        <v>2023</v>
      </c>
    </row>
    <row r="1607" spans="1:18" x14ac:dyDescent="0.2">
      <c r="A1607" s="13">
        <v>45551</v>
      </c>
      <c r="B1607" s="13">
        <v>45531</v>
      </c>
      <c r="C1607" s="25" t="s">
        <v>399</v>
      </c>
      <c r="D1607" s="20">
        <v>20</v>
      </c>
      <c r="E1607" s="28">
        <v>149270.04</v>
      </c>
      <c r="F1607" s="22" t="s">
        <v>122</v>
      </c>
      <c r="G1607" s="14">
        <v>324</v>
      </c>
      <c r="H1607" s="40">
        <v>45155</v>
      </c>
      <c r="I1607" s="46">
        <f t="shared" si="100"/>
        <v>396</v>
      </c>
      <c r="J1607" s="1" t="s">
        <v>15</v>
      </c>
      <c r="K1607" s="4" t="s">
        <v>200</v>
      </c>
      <c r="L1607" s="4" t="s">
        <v>225</v>
      </c>
      <c r="M1607" s="8">
        <v>324</v>
      </c>
      <c r="N1607" s="5">
        <v>460.71</v>
      </c>
      <c r="O1607" s="5">
        <v>149270.04</v>
      </c>
      <c r="P1607">
        <f t="shared" si="101"/>
        <v>1</v>
      </c>
      <c r="Q1607" s="36">
        <f t="shared" si="102"/>
        <v>149270.03999999998</v>
      </c>
      <c r="R1607">
        <f t="shared" si="103"/>
        <v>2023</v>
      </c>
    </row>
    <row r="1608" spans="1:18" x14ac:dyDescent="0.2">
      <c r="A1608" s="23">
        <v>45334</v>
      </c>
      <c r="B1608" s="23">
        <v>45334</v>
      </c>
      <c r="C1608" s="25" t="s">
        <v>398</v>
      </c>
      <c r="D1608" s="20">
        <v>0</v>
      </c>
      <c r="E1608" s="27">
        <v>0</v>
      </c>
      <c r="F1608" s="22" t="s">
        <v>233</v>
      </c>
      <c r="G1608" s="29">
        <v>42240</v>
      </c>
      <c r="H1608" s="39">
        <v>45040</v>
      </c>
      <c r="I1608" s="46">
        <f t="shared" si="100"/>
        <v>294</v>
      </c>
      <c r="J1608" s="4" t="s">
        <v>12</v>
      </c>
      <c r="K1608" s="4" t="s">
        <v>197</v>
      </c>
      <c r="L1608" s="4" t="s">
        <v>223</v>
      </c>
      <c r="M1608" s="7">
        <v>42240</v>
      </c>
      <c r="N1608" s="10">
        <v>0</v>
      </c>
      <c r="O1608" s="10">
        <v>0</v>
      </c>
      <c r="P1608">
        <f t="shared" si="101"/>
        <v>1</v>
      </c>
      <c r="Q1608" s="36">
        <f t="shared" si="102"/>
        <v>0</v>
      </c>
      <c r="R1608">
        <f t="shared" si="103"/>
        <v>2023</v>
      </c>
    </row>
    <row r="1609" spans="1:18" x14ac:dyDescent="0.2">
      <c r="A1609" s="23">
        <v>45341</v>
      </c>
      <c r="B1609" s="23">
        <v>45341</v>
      </c>
      <c r="C1609" s="25" t="s">
        <v>398</v>
      </c>
      <c r="D1609" s="20">
        <v>0</v>
      </c>
      <c r="E1609" s="27">
        <v>0</v>
      </c>
      <c r="F1609" s="22" t="s">
        <v>233</v>
      </c>
      <c r="G1609" s="29">
        <v>31680</v>
      </c>
      <c r="H1609" s="39">
        <v>45040</v>
      </c>
      <c r="I1609" s="46">
        <f t="shared" si="100"/>
        <v>301</v>
      </c>
      <c r="J1609" s="4" t="s">
        <v>12</v>
      </c>
      <c r="K1609" s="4" t="s">
        <v>197</v>
      </c>
      <c r="L1609" s="4" t="s">
        <v>223</v>
      </c>
      <c r="M1609" s="7">
        <v>31680</v>
      </c>
      <c r="N1609" s="10">
        <v>0</v>
      </c>
      <c r="O1609" s="10">
        <v>0</v>
      </c>
      <c r="P1609">
        <f t="shared" si="101"/>
        <v>1</v>
      </c>
      <c r="Q1609" s="36">
        <f t="shared" si="102"/>
        <v>0</v>
      </c>
      <c r="R1609">
        <f t="shared" si="103"/>
        <v>2023</v>
      </c>
    </row>
    <row r="1610" spans="1:18" x14ac:dyDescent="0.2">
      <c r="A1610" s="23">
        <v>45348</v>
      </c>
      <c r="B1610" s="23">
        <v>45348</v>
      </c>
      <c r="C1610" s="25" t="s">
        <v>398</v>
      </c>
      <c r="D1610" s="20">
        <v>0</v>
      </c>
      <c r="E1610" s="27">
        <v>0</v>
      </c>
      <c r="F1610" s="22" t="s">
        <v>233</v>
      </c>
      <c r="G1610" s="29">
        <v>31680</v>
      </c>
      <c r="H1610" s="39">
        <v>45040</v>
      </c>
      <c r="I1610" s="46">
        <f t="shared" si="100"/>
        <v>308</v>
      </c>
      <c r="J1610" s="4" t="s">
        <v>12</v>
      </c>
      <c r="K1610" s="4" t="s">
        <v>197</v>
      </c>
      <c r="L1610" s="4" t="s">
        <v>223</v>
      </c>
      <c r="M1610" s="7">
        <v>31680</v>
      </c>
      <c r="N1610" s="10">
        <v>0</v>
      </c>
      <c r="O1610" s="10">
        <v>0</v>
      </c>
      <c r="P1610">
        <f t="shared" si="101"/>
        <v>1</v>
      </c>
      <c r="Q1610" s="36">
        <f t="shared" si="102"/>
        <v>0</v>
      </c>
      <c r="R1610">
        <f t="shared" si="103"/>
        <v>2023</v>
      </c>
    </row>
    <row r="1611" spans="1:18" x14ac:dyDescent="0.2">
      <c r="A1611" s="23">
        <v>45355</v>
      </c>
      <c r="B1611" s="23">
        <v>45355</v>
      </c>
      <c r="C1611" s="25" t="s">
        <v>398</v>
      </c>
      <c r="D1611" s="20">
        <v>0</v>
      </c>
      <c r="E1611" s="27">
        <v>0</v>
      </c>
      <c r="F1611" s="22" t="s">
        <v>233</v>
      </c>
      <c r="G1611" s="29">
        <v>52800</v>
      </c>
      <c r="H1611" s="39">
        <v>45040</v>
      </c>
      <c r="I1611" s="46">
        <f t="shared" si="100"/>
        <v>315</v>
      </c>
      <c r="J1611" s="4" t="s">
        <v>12</v>
      </c>
      <c r="K1611" s="4" t="s">
        <v>197</v>
      </c>
      <c r="L1611" s="4" t="s">
        <v>223</v>
      </c>
      <c r="M1611" s="7">
        <v>52800</v>
      </c>
      <c r="N1611" s="10">
        <v>0</v>
      </c>
      <c r="O1611" s="10">
        <v>0</v>
      </c>
      <c r="P1611">
        <f t="shared" si="101"/>
        <v>1</v>
      </c>
      <c r="Q1611" s="36">
        <f t="shared" si="102"/>
        <v>0</v>
      </c>
      <c r="R1611">
        <f t="shared" si="103"/>
        <v>2023</v>
      </c>
    </row>
    <row r="1612" spans="1:18" x14ac:dyDescent="0.2">
      <c r="A1612" s="23">
        <v>45362</v>
      </c>
      <c r="B1612" s="23">
        <v>45362</v>
      </c>
      <c r="C1612" s="25" t="s">
        <v>398</v>
      </c>
      <c r="D1612" s="20">
        <v>0</v>
      </c>
      <c r="E1612" s="27">
        <v>0</v>
      </c>
      <c r="F1612" s="22" t="s">
        <v>233</v>
      </c>
      <c r="G1612" s="29">
        <v>52800</v>
      </c>
      <c r="H1612" s="39">
        <v>45040</v>
      </c>
      <c r="I1612" s="46">
        <f t="shared" si="100"/>
        <v>322</v>
      </c>
      <c r="J1612" s="4" t="s">
        <v>12</v>
      </c>
      <c r="K1612" s="4" t="s">
        <v>197</v>
      </c>
      <c r="L1612" s="4" t="s">
        <v>223</v>
      </c>
      <c r="M1612" s="7">
        <v>52800</v>
      </c>
      <c r="N1612" s="10">
        <v>0</v>
      </c>
      <c r="O1612" s="10">
        <v>0</v>
      </c>
      <c r="P1612">
        <f t="shared" si="101"/>
        <v>1</v>
      </c>
      <c r="Q1612" s="36">
        <f t="shared" si="102"/>
        <v>0</v>
      </c>
      <c r="R1612">
        <f t="shared" si="103"/>
        <v>2023</v>
      </c>
    </row>
    <row r="1613" spans="1:18" x14ac:dyDescent="0.2">
      <c r="A1613" s="23">
        <v>45369</v>
      </c>
      <c r="B1613" s="23">
        <v>45369</v>
      </c>
      <c r="C1613" s="25" t="s">
        <v>398</v>
      </c>
      <c r="D1613" s="20">
        <v>0</v>
      </c>
      <c r="E1613" s="27">
        <v>0</v>
      </c>
      <c r="F1613" s="22" t="s">
        <v>233</v>
      </c>
      <c r="G1613" s="29">
        <v>52800</v>
      </c>
      <c r="H1613" s="39">
        <v>45040</v>
      </c>
      <c r="I1613" s="46">
        <f t="shared" si="100"/>
        <v>329</v>
      </c>
      <c r="J1613" s="4" t="s">
        <v>12</v>
      </c>
      <c r="K1613" s="4" t="s">
        <v>197</v>
      </c>
      <c r="L1613" s="4" t="s">
        <v>223</v>
      </c>
      <c r="M1613" s="7">
        <v>52800</v>
      </c>
      <c r="N1613" s="10">
        <v>0</v>
      </c>
      <c r="O1613" s="10">
        <v>0</v>
      </c>
      <c r="P1613">
        <f t="shared" si="101"/>
        <v>1</v>
      </c>
      <c r="Q1613" s="36">
        <f t="shared" si="102"/>
        <v>0</v>
      </c>
      <c r="R1613">
        <f t="shared" si="103"/>
        <v>2023</v>
      </c>
    </row>
    <row r="1614" spans="1:18" x14ac:dyDescent="0.2">
      <c r="A1614" s="23">
        <v>45376</v>
      </c>
      <c r="B1614" s="23">
        <v>45376</v>
      </c>
      <c r="C1614" s="25" t="s">
        <v>398</v>
      </c>
      <c r="D1614" s="20">
        <v>0</v>
      </c>
      <c r="E1614" s="27">
        <v>0</v>
      </c>
      <c r="F1614" s="22" t="s">
        <v>233</v>
      </c>
      <c r="G1614" s="29">
        <v>52800</v>
      </c>
      <c r="H1614" s="39">
        <v>45040</v>
      </c>
      <c r="I1614" s="46">
        <f t="shared" si="100"/>
        <v>336</v>
      </c>
      <c r="J1614" s="4" t="s">
        <v>12</v>
      </c>
      <c r="K1614" s="4" t="s">
        <v>197</v>
      </c>
      <c r="L1614" s="4" t="s">
        <v>223</v>
      </c>
      <c r="M1614" s="7">
        <v>52800</v>
      </c>
      <c r="N1614" s="10">
        <v>0</v>
      </c>
      <c r="O1614" s="10">
        <v>0</v>
      </c>
      <c r="P1614">
        <f t="shared" si="101"/>
        <v>1</v>
      </c>
      <c r="Q1614" s="36">
        <f t="shared" si="102"/>
        <v>0</v>
      </c>
      <c r="R1614">
        <f t="shared" si="103"/>
        <v>2023</v>
      </c>
    </row>
    <row r="1615" spans="1:18" x14ac:dyDescent="0.2">
      <c r="A1615" s="23">
        <v>45383</v>
      </c>
      <c r="B1615" s="23">
        <v>45383</v>
      </c>
      <c r="C1615" s="25" t="s">
        <v>398</v>
      </c>
      <c r="D1615" s="20">
        <v>0</v>
      </c>
      <c r="E1615" s="27">
        <v>0</v>
      </c>
      <c r="F1615" s="22" t="s">
        <v>233</v>
      </c>
      <c r="G1615" s="29">
        <v>52800</v>
      </c>
      <c r="H1615" s="39">
        <v>45040</v>
      </c>
      <c r="I1615" s="46">
        <f t="shared" si="100"/>
        <v>343</v>
      </c>
      <c r="J1615" s="4" t="s">
        <v>12</v>
      </c>
      <c r="K1615" s="4" t="s">
        <v>197</v>
      </c>
      <c r="L1615" s="4" t="s">
        <v>223</v>
      </c>
      <c r="M1615" s="7">
        <v>52800</v>
      </c>
      <c r="N1615" s="10">
        <v>0</v>
      </c>
      <c r="O1615" s="10">
        <v>0</v>
      </c>
      <c r="P1615">
        <f t="shared" si="101"/>
        <v>1</v>
      </c>
      <c r="Q1615" s="36">
        <f t="shared" si="102"/>
        <v>0</v>
      </c>
      <c r="R1615">
        <f t="shared" si="103"/>
        <v>2023</v>
      </c>
    </row>
    <row r="1616" spans="1:18" x14ac:dyDescent="0.2">
      <c r="A1616" s="23">
        <v>45390</v>
      </c>
      <c r="B1616" s="23">
        <v>45390</v>
      </c>
      <c r="C1616" s="25" t="s">
        <v>398</v>
      </c>
      <c r="D1616" s="20">
        <v>0</v>
      </c>
      <c r="E1616" s="27">
        <v>0</v>
      </c>
      <c r="F1616" s="22" t="s">
        <v>233</v>
      </c>
      <c r="G1616" s="29">
        <v>52800</v>
      </c>
      <c r="H1616" s="39">
        <v>45040</v>
      </c>
      <c r="I1616" s="46">
        <f t="shared" si="100"/>
        <v>350</v>
      </c>
      <c r="J1616" s="4" t="s">
        <v>12</v>
      </c>
      <c r="K1616" s="4" t="s">
        <v>197</v>
      </c>
      <c r="L1616" s="4" t="s">
        <v>223</v>
      </c>
      <c r="M1616" s="7">
        <v>52800</v>
      </c>
      <c r="N1616" s="10">
        <v>0</v>
      </c>
      <c r="O1616" s="10">
        <v>0</v>
      </c>
      <c r="P1616">
        <f t="shared" si="101"/>
        <v>1</v>
      </c>
      <c r="Q1616" s="36">
        <f t="shared" si="102"/>
        <v>0</v>
      </c>
      <c r="R1616">
        <f t="shared" si="103"/>
        <v>2023</v>
      </c>
    </row>
    <row r="1617" spans="1:18" x14ac:dyDescent="0.2">
      <c r="A1617" s="23">
        <v>45397</v>
      </c>
      <c r="B1617" s="23">
        <v>45397</v>
      </c>
      <c r="C1617" s="25" t="s">
        <v>398</v>
      </c>
      <c r="D1617" s="20">
        <v>0</v>
      </c>
      <c r="E1617" s="27">
        <v>0</v>
      </c>
      <c r="F1617" s="22" t="s">
        <v>233</v>
      </c>
      <c r="G1617" s="29">
        <v>52800</v>
      </c>
      <c r="H1617" s="39">
        <v>45040</v>
      </c>
      <c r="I1617" s="46">
        <f t="shared" si="100"/>
        <v>357</v>
      </c>
      <c r="J1617" s="4" t="s">
        <v>12</v>
      </c>
      <c r="K1617" s="4" t="s">
        <v>197</v>
      </c>
      <c r="L1617" s="4" t="s">
        <v>223</v>
      </c>
      <c r="M1617" s="7">
        <v>52800</v>
      </c>
      <c r="N1617" s="10">
        <v>0</v>
      </c>
      <c r="O1617" s="10">
        <v>0</v>
      </c>
      <c r="P1617">
        <f t="shared" si="101"/>
        <v>1</v>
      </c>
      <c r="Q1617" s="36">
        <f t="shared" si="102"/>
        <v>0</v>
      </c>
      <c r="R1617">
        <f t="shared" si="103"/>
        <v>2023</v>
      </c>
    </row>
    <row r="1618" spans="1:18" x14ac:dyDescent="0.2">
      <c r="A1618" s="23">
        <v>45404</v>
      </c>
      <c r="B1618" s="23">
        <v>45404</v>
      </c>
      <c r="C1618" s="25" t="s">
        <v>398</v>
      </c>
      <c r="D1618" s="20">
        <v>0</v>
      </c>
      <c r="E1618" s="27">
        <v>0</v>
      </c>
      <c r="F1618" s="22" t="s">
        <v>233</v>
      </c>
      <c r="G1618" s="29">
        <v>52800</v>
      </c>
      <c r="H1618" s="39">
        <v>45040</v>
      </c>
      <c r="I1618" s="46">
        <f t="shared" si="100"/>
        <v>364</v>
      </c>
      <c r="J1618" s="4" t="s">
        <v>12</v>
      </c>
      <c r="K1618" s="4" t="s">
        <v>197</v>
      </c>
      <c r="L1618" s="4" t="s">
        <v>223</v>
      </c>
      <c r="M1618" s="7">
        <v>52800</v>
      </c>
      <c r="N1618" s="10">
        <v>0</v>
      </c>
      <c r="O1618" s="10">
        <v>0</v>
      </c>
      <c r="P1618">
        <f t="shared" si="101"/>
        <v>1</v>
      </c>
      <c r="Q1618" s="36">
        <f t="shared" si="102"/>
        <v>0</v>
      </c>
      <c r="R1618">
        <f t="shared" si="103"/>
        <v>2023</v>
      </c>
    </row>
    <row r="1619" spans="1:18" x14ac:dyDescent="0.2">
      <c r="A1619" s="23">
        <v>45411</v>
      </c>
      <c r="B1619" s="23">
        <v>45411</v>
      </c>
      <c r="C1619" s="25" t="s">
        <v>398</v>
      </c>
      <c r="D1619" s="20">
        <v>0</v>
      </c>
      <c r="E1619" s="27">
        <v>0</v>
      </c>
      <c r="F1619" s="22" t="s">
        <v>233</v>
      </c>
      <c r="G1619" s="29">
        <v>52800</v>
      </c>
      <c r="H1619" s="39">
        <v>45040</v>
      </c>
      <c r="I1619" s="46">
        <f t="shared" si="100"/>
        <v>371</v>
      </c>
      <c r="J1619" s="4" t="s">
        <v>12</v>
      </c>
      <c r="K1619" s="4" t="s">
        <v>197</v>
      </c>
      <c r="L1619" s="4" t="s">
        <v>223</v>
      </c>
      <c r="M1619" s="7">
        <v>52800</v>
      </c>
      <c r="N1619" s="10">
        <v>0</v>
      </c>
      <c r="O1619" s="10">
        <v>0</v>
      </c>
      <c r="P1619">
        <f t="shared" si="101"/>
        <v>1</v>
      </c>
      <c r="Q1619" s="36">
        <f t="shared" si="102"/>
        <v>0</v>
      </c>
      <c r="R1619">
        <f t="shared" si="103"/>
        <v>2023</v>
      </c>
    </row>
    <row r="1620" spans="1:18" x14ac:dyDescent="0.2">
      <c r="A1620" s="23">
        <v>45418</v>
      </c>
      <c r="B1620" s="23">
        <v>45418</v>
      </c>
      <c r="C1620" s="25" t="s">
        <v>398</v>
      </c>
      <c r="D1620" s="20">
        <v>0</v>
      </c>
      <c r="E1620" s="27">
        <v>0</v>
      </c>
      <c r="F1620" s="22" t="s">
        <v>233</v>
      </c>
      <c r="G1620" s="29">
        <v>42240</v>
      </c>
      <c r="H1620" s="39">
        <v>45040</v>
      </c>
      <c r="I1620" s="46">
        <f t="shared" si="100"/>
        <v>378</v>
      </c>
      <c r="J1620" s="4" t="s">
        <v>12</v>
      </c>
      <c r="K1620" s="4" t="s">
        <v>197</v>
      </c>
      <c r="L1620" s="4" t="s">
        <v>223</v>
      </c>
      <c r="M1620" s="7">
        <v>42240</v>
      </c>
      <c r="N1620" s="10">
        <v>0</v>
      </c>
      <c r="O1620" s="10">
        <v>0</v>
      </c>
      <c r="P1620">
        <f t="shared" si="101"/>
        <v>1</v>
      </c>
      <c r="Q1620" s="36">
        <f t="shared" si="102"/>
        <v>0</v>
      </c>
      <c r="R1620">
        <f t="shared" si="103"/>
        <v>2023</v>
      </c>
    </row>
    <row r="1621" spans="1:18" x14ac:dyDescent="0.2">
      <c r="A1621" s="23">
        <v>45425</v>
      </c>
      <c r="B1621" s="23">
        <v>45425</v>
      </c>
      <c r="C1621" s="25" t="s">
        <v>398</v>
      </c>
      <c r="D1621" s="20">
        <v>0</v>
      </c>
      <c r="E1621" s="27">
        <v>0</v>
      </c>
      <c r="F1621" s="22" t="s">
        <v>233</v>
      </c>
      <c r="G1621" s="29">
        <v>52800</v>
      </c>
      <c r="H1621" s="39">
        <v>45040</v>
      </c>
      <c r="I1621" s="46">
        <f t="shared" si="100"/>
        <v>385</v>
      </c>
      <c r="J1621" s="4" t="s">
        <v>12</v>
      </c>
      <c r="K1621" s="4" t="s">
        <v>197</v>
      </c>
      <c r="L1621" s="4" t="s">
        <v>223</v>
      </c>
      <c r="M1621" s="7">
        <v>52800</v>
      </c>
      <c r="N1621" s="10">
        <v>0</v>
      </c>
      <c r="O1621" s="10">
        <v>0</v>
      </c>
      <c r="P1621">
        <f t="shared" si="101"/>
        <v>1</v>
      </c>
      <c r="Q1621" s="36">
        <f t="shared" si="102"/>
        <v>0</v>
      </c>
      <c r="R1621">
        <f t="shared" si="103"/>
        <v>2023</v>
      </c>
    </row>
    <row r="1622" spans="1:18" x14ac:dyDescent="0.2">
      <c r="A1622" s="23">
        <v>45432</v>
      </c>
      <c r="B1622" s="23">
        <v>45432</v>
      </c>
      <c r="C1622" s="25" t="s">
        <v>398</v>
      </c>
      <c r="D1622" s="20">
        <v>0</v>
      </c>
      <c r="E1622" s="27">
        <v>0</v>
      </c>
      <c r="F1622" s="22" t="s">
        <v>233</v>
      </c>
      <c r="G1622" s="29">
        <v>42240</v>
      </c>
      <c r="H1622" s="39">
        <v>45040</v>
      </c>
      <c r="I1622" s="46">
        <f t="shared" si="100"/>
        <v>392</v>
      </c>
      <c r="J1622" s="4" t="s">
        <v>12</v>
      </c>
      <c r="K1622" s="4" t="s">
        <v>197</v>
      </c>
      <c r="L1622" s="4" t="s">
        <v>223</v>
      </c>
      <c r="M1622" s="7">
        <v>42240</v>
      </c>
      <c r="N1622" s="10">
        <v>0</v>
      </c>
      <c r="O1622" s="10">
        <v>0</v>
      </c>
      <c r="P1622">
        <f t="shared" si="101"/>
        <v>1</v>
      </c>
      <c r="Q1622" s="36">
        <f t="shared" si="102"/>
        <v>0</v>
      </c>
      <c r="R1622">
        <f t="shared" si="103"/>
        <v>2023</v>
      </c>
    </row>
    <row r="1623" spans="1:18" x14ac:dyDescent="0.2">
      <c r="A1623" s="23">
        <v>45439</v>
      </c>
      <c r="B1623" s="23">
        <v>45439</v>
      </c>
      <c r="C1623" s="25" t="s">
        <v>398</v>
      </c>
      <c r="D1623" s="20">
        <v>0</v>
      </c>
      <c r="E1623" s="27">
        <v>0</v>
      </c>
      <c r="F1623" s="22" t="s">
        <v>233</v>
      </c>
      <c r="G1623" s="29">
        <v>42240</v>
      </c>
      <c r="H1623" s="39">
        <v>45040</v>
      </c>
      <c r="I1623" s="46">
        <f t="shared" si="100"/>
        <v>399</v>
      </c>
      <c r="J1623" s="4" t="s">
        <v>12</v>
      </c>
      <c r="K1623" s="4" t="s">
        <v>197</v>
      </c>
      <c r="L1623" s="4" t="s">
        <v>223</v>
      </c>
      <c r="M1623" s="7">
        <v>42240</v>
      </c>
      <c r="N1623" s="10">
        <v>0</v>
      </c>
      <c r="O1623" s="10">
        <v>0</v>
      </c>
      <c r="P1623">
        <f t="shared" si="101"/>
        <v>1</v>
      </c>
      <c r="Q1623" s="36">
        <f t="shared" si="102"/>
        <v>0</v>
      </c>
      <c r="R1623">
        <f t="shared" si="103"/>
        <v>2023</v>
      </c>
    </row>
    <row r="1624" spans="1:18" x14ac:dyDescent="0.2">
      <c r="A1624" s="23">
        <v>45446</v>
      </c>
      <c r="B1624" s="23">
        <v>45446</v>
      </c>
      <c r="C1624" s="25" t="s">
        <v>398</v>
      </c>
      <c r="D1624" s="20">
        <v>0</v>
      </c>
      <c r="E1624" s="27">
        <v>0</v>
      </c>
      <c r="F1624" s="22" t="s">
        <v>233</v>
      </c>
      <c r="G1624" s="29">
        <v>42240</v>
      </c>
      <c r="H1624" s="39">
        <v>45040</v>
      </c>
      <c r="I1624" s="46">
        <f t="shared" si="100"/>
        <v>406</v>
      </c>
      <c r="J1624" s="4" t="s">
        <v>12</v>
      </c>
      <c r="K1624" s="4" t="s">
        <v>197</v>
      </c>
      <c r="L1624" s="4" t="s">
        <v>223</v>
      </c>
      <c r="M1624" s="7">
        <v>42240</v>
      </c>
      <c r="N1624" s="10">
        <v>0</v>
      </c>
      <c r="O1624" s="10">
        <v>0</v>
      </c>
      <c r="P1624">
        <f t="shared" si="101"/>
        <v>1</v>
      </c>
      <c r="Q1624" s="36">
        <f t="shared" si="102"/>
        <v>0</v>
      </c>
      <c r="R1624">
        <f t="shared" si="103"/>
        <v>2023</v>
      </c>
    </row>
    <row r="1625" spans="1:18" x14ac:dyDescent="0.2">
      <c r="A1625" s="23">
        <v>45453</v>
      </c>
      <c r="B1625" s="23">
        <v>45453</v>
      </c>
      <c r="C1625" s="25" t="s">
        <v>398</v>
      </c>
      <c r="D1625" s="20">
        <v>0</v>
      </c>
      <c r="E1625" s="27">
        <v>0</v>
      </c>
      <c r="F1625" s="22" t="s">
        <v>233</v>
      </c>
      <c r="G1625" s="29">
        <v>42240</v>
      </c>
      <c r="H1625" s="39">
        <v>45040</v>
      </c>
      <c r="I1625" s="46">
        <f t="shared" si="100"/>
        <v>413</v>
      </c>
      <c r="J1625" s="4" t="s">
        <v>12</v>
      </c>
      <c r="K1625" s="4" t="s">
        <v>197</v>
      </c>
      <c r="L1625" s="4" t="s">
        <v>223</v>
      </c>
      <c r="M1625" s="7">
        <v>42240</v>
      </c>
      <c r="N1625" s="10">
        <v>0</v>
      </c>
      <c r="O1625" s="10">
        <v>0</v>
      </c>
      <c r="P1625">
        <f t="shared" si="101"/>
        <v>1</v>
      </c>
      <c r="Q1625" s="36">
        <f t="shared" si="102"/>
        <v>0</v>
      </c>
      <c r="R1625">
        <f t="shared" si="103"/>
        <v>2023</v>
      </c>
    </row>
    <row r="1626" spans="1:18" x14ac:dyDescent="0.2">
      <c r="A1626" s="23">
        <v>45467</v>
      </c>
      <c r="B1626" s="23">
        <v>45467</v>
      </c>
      <c r="C1626" s="25" t="s">
        <v>398</v>
      </c>
      <c r="D1626" s="20">
        <v>0</v>
      </c>
      <c r="E1626" s="27">
        <v>0</v>
      </c>
      <c r="F1626" s="22" t="s">
        <v>233</v>
      </c>
      <c r="G1626" s="29">
        <v>21120</v>
      </c>
      <c r="H1626" s="39">
        <v>45040</v>
      </c>
      <c r="I1626" s="46">
        <f t="shared" si="100"/>
        <v>427</v>
      </c>
      <c r="J1626" s="4" t="s">
        <v>12</v>
      </c>
      <c r="K1626" s="4" t="s">
        <v>197</v>
      </c>
      <c r="L1626" s="4" t="s">
        <v>223</v>
      </c>
      <c r="M1626" s="7">
        <v>21120</v>
      </c>
      <c r="N1626" s="10">
        <v>0</v>
      </c>
      <c r="O1626" s="10">
        <v>0</v>
      </c>
      <c r="P1626">
        <f t="shared" si="101"/>
        <v>1</v>
      </c>
      <c r="Q1626" s="36">
        <f t="shared" si="102"/>
        <v>0</v>
      </c>
      <c r="R1626">
        <f t="shared" si="103"/>
        <v>2023</v>
      </c>
    </row>
    <row r="1627" spans="1:18" x14ac:dyDescent="0.2">
      <c r="A1627" s="23">
        <v>45474</v>
      </c>
      <c r="B1627" s="23">
        <v>45474</v>
      </c>
      <c r="C1627" s="25" t="s">
        <v>398</v>
      </c>
      <c r="D1627" s="20">
        <v>0</v>
      </c>
      <c r="E1627" s="27">
        <v>0</v>
      </c>
      <c r="F1627" s="22" t="s">
        <v>233</v>
      </c>
      <c r="G1627" s="29">
        <v>21120</v>
      </c>
      <c r="H1627" s="39">
        <v>45040</v>
      </c>
      <c r="I1627" s="46">
        <f t="shared" si="100"/>
        <v>434</v>
      </c>
      <c r="J1627" s="4" t="s">
        <v>12</v>
      </c>
      <c r="K1627" s="4" t="s">
        <v>197</v>
      </c>
      <c r="L1627" s="4" t="s">
        <v>223</v>
      </c>
      <c r="M1627" s="7">
        <v>21120</v>
      </c>
      <c r="N1627" s="10">
        <v>0</v>
      </c>
      <c r="O1627" s="10">
        <v>0</v>
      </c>
      <c r="P1627">
        <f t="shared" si="101"/>
        <v>1</v>
      </c>
      <c r="Q1627" s="36">
        <f t="shared" si="102"/>
        <v>0</v>
      </c>
      <c r="R1627">
        <f t="shared" si="103"/>
        <v>2023</v>
      </c>
    </row>
    <row r="1628" spans="1:18" x14ac:dyDescent="0.2">
      <c r="A1628" s="23">
        <v>45481</v>
      </c>
      <c r="B1628" s="23">
        <v>45481</v>
      </c>
      <c r="C1628" s="25" t="s">
        <v>398</v>
      </c>
      <c r="D1628" s="20">
        <v>0</v>
      </c>
      <c r="E1628" s="27">
        <v>0</v>
      </c>
      <c r="F1628" s="22" t="s">
        <v>233</v>
      </c>
      <c r="G1628" s="29">
        <v>31680</v>
      </c>
      <c r="H1628" s="39">
        <v>45040</v>
      </c>
      <c r="I1628" s="46">
        <f t="shared" si="100"/>
        <v>441</v>
      </c>
      <c r="J1628" s="4" t="s">
        <v>12</v>
      </c>
      <c r="K1628" s="4" t="s">
        <v>197</v>
      </c>
      <c r="L1628" s="4" t="s">
        <v>223</v>
      </c>
      <c r="M1628" s="7">
        <v>31680</v>
      </c>
      <c r="N1628" s="10">
        <v>0</v>
      </c>
      <c r="O1628" s="10">
        <v>0</v>
      </c>
      <c r="P1628">
        <f t="shared" si="101"/>
        <v>1</v>
      </c>
      <c r="Q1628" s="36">
        <f t="shared" si="102"/>
        <v>0</v>
      </c>
      <c r="R1628">
        <f t="shared" si="103"/>
        <v>2023</v>
      </c>
    </row>
    <row r="1629" spans="1:18" x14ac:dyDescent="0.2">
      <c r="A1629" s="23">
        <v>45488</v>
      </c>
      <c r="B1629" s="23">
        <v>45488</v>
      </c>
      <c r="C1629" s="25" t="s">
        <v>398</v>
      </c>
      <c r="D1629" s="20">
        <v>0</v>
      </c>
      <c r="E1629" s="27">
        <v>0</v>
      </c>
      <c r="F1629" s="22" t="s">
        <v>233</v>
      </c>
      <c r="G1629" s="29">
        <v>21120</v>
      </c>
      <c r="H1629" s="39">
        <v>45040</v>
      </c>
      <c r="I1629" s="46">
        <f t="shared" si="100"/>
        <v>448</v>
      </c>
      <c r="J1629" s="4" t="s">
        <v>12</v>
      </c>
      <c r="K1629" s="4" t="s">
        <v>197</v>
      </c>
      <c r="L1629" s="4" t="s">
        <v>223</v>
      </c>
      <c r="M1629" s="7">
        <v>21120</v>
      </c>
      <c r="N1629" s="10">
        <v>0</v>
      </c>
      <c r="O1629" s="10">
        <v>0</v>
      </c>
      <c r="P1629">
        <f t="shared" si="101"/>
        <v>1</v>
      </c>
      <c r="Q1629" s="36">
        <f t="shared" si="102"/>
        <v>0</v>
      </c>
      <c r="R1629">
        <f t="shared" si="103"/>
        <v>2023</v>
      </c>
    </row>
    <row r="1630" spans="1:18" x14ac:dyDescent="0.2">
      <c r="A1630" s="23">
        <v>45495</v>
      </c>
      <c r="B1630" s="23">
        <v>45495</v>
      </c>
      <c r="C1630" s="25" t="s">
        <v>398</v>
      </c>
      <c r="D1630" s="20">
        <v>0</v>
      </c>
      <c r="E1630" s="27">
        <v>0</v>
      </c>
      <c r="F1630" s="22" t="s">
        <v>233</v>
      </c>
      <c r="G1630" s="29">
        <v>21120</v>
      </c>
      <c r="H1630" s="39">
        <v>45040</v>
      </c>
      <c r="I1630" s="46">
        <f t="shared" si="100"/>
        <v>455</v>
      </c>
      <c r="J1630" s="4" t="s">
        <v>12</v>
      </c>
      <c r="K1630" s="4" t="s">
        <v>197</v>
      </c>
      <c r="L1630" s="4" t="s">
        <v>223</v>
      </c>
      <c r="M1630" s="7">
        <v>21120</v>
      </c>
      <c r="N1630" s="10">
        <v>0</v>
      </c>
      <c r="O1630" s="10">
        <v>0</v>
      </c>
      <c r="P1630">
        <f t="shared" si="101"/>
        <v>1</v>
      </c>
      <c r="Q1630" s="36">
        <f t="shared" si="102"/>
        <v>0</v>
      </c>
      <c r="R1630">
        <f t="shared" si="103"/>
        <v>2023</v>
      </c>
    </row>
    <row r="1631" spans="1:18" x14ac:dyDescent="0.2">
      <c r="A1631" s="23">
        <v>45502</v>
      </c>
      <c r="B1631" s="23">
        <v>45502</v>
      </c>
      <c r="C1631" s="25" t="s">
        <v>398</v>
      </c>
      <c r="D1631" s="20">
        <v>0</v>
      </c>
      <c r="E1631" s="27">
        <v>0</v>
      </c>
      <c r="F1631" s="22" t="s">
        <v>233</v>
      </c>
      <c r="G1631" s="29">
        <v>21120</v>
      </c>
      <c r="H1631" s="39">
        <v>45040</v>
      </c>
      <c r="I1631" s="46">
        <f t="shared" si="100"/>
        <v>462</v>
      </c>
      <c r="J1631" s="4" t="s">
        <v>12</v>
      </c>
      <c r="K1631" s="4" t="s">
        <v>197</v>
      </c>
      <c r="L1631" s="4" t="s">
        <v>223</v>
      </c>
      <c r="M1631" s="7">
        <v>21120</v>
      </c>
      <c r="N1631" s="10">
        <v>0</v>
      </c>
      <c r="O1631" s="10">
        <v>0</v>
      </c>
      <c r="P1631">
        <f t="shared" si="101"/>
        <v>1</v>
      </c>
      <c r="Q1631" s="36">
        <f t="shared" si="102"/>
        <v>0</v>
      </c>
      <c r="R1631">
        <f t="shared" si="103"/>
        <v>2023</v>
      </c>
    </row>
    <row r="1632" spans="1:18" x14ac:dyDescent="0.2">
      <c r="A1632" s="23">
        <v>45509</v>
      </c>
      <c r="B1632" s="23">
        <v>45509</v>
      </c>
      <c r="C1632" s="25" t="s">
        <v>398</v>
      </c>
      <c r="D1632" s="20">
        <v>0</v>
      </c>
      <c r="E1632" s="27">
        <v>0</v>
      </c>
      <c r="F1632" s="22" t="s">
        <v>233</v>
      </c>
      <c r="G1632" s="29">
        <v>21120</v>
      </c>
      <c r="H1632" s="39">
        <v>45040</v>
      </c>
      <c r="I1632" s="46">
        <f t="shared" si="100"/>
        <v>469</v>
      </c>
      <c r="J1632" s="4" t="s">
        <v>12</v>
      </c>
      <c r="K1632" s="4" t="s">
        <v>197</v>
      </c>
      <c r="L1632" s="4" t="s">
        <v>223</v>
      </c>
      <c r="M1632" s="7">
        <v>21120</v>
      </c>
      <c r="N1632" s="10">
        <v>0</v>
      </c>
      <c r="O1632" s="10">
        <v>0</v>
      </c>
      <c r="P1632">
        <f t="shared" si="101"/>
        <v>1</v>
      </c>
      <c r="Q1632" s="36">
        <f t="shared" si="102"/>
        <v>0</v>
      </c>
      <c r="R1632">
        <f t="shared" si="103"/>
        <v>2023</v>
      </c>
    </row>
    <row r="1633" spans="1:18" x14ac:dyDescent="0.2">
      <c r="A1633" s="23">
        <v>45516</v>
      </c>
      <c r="B1633" s="23">
        <v>45516</v>
      </c>
      <c r="C1633" s="25" t="s">
        <v>398</v>
      </c>
      <c r="D1633" s="20">
        <v>0</v>
      </c>
      <c r="E1633" s="27">
        <v>0</v>
      </c>
      <c r="F1633" s="22" t="s">
        <v>233</v>
      </c>
      <c r="G1633" s="29">
        <v>21120</v>
      </c>
      <c r="H1633" s="39">
        <v>45040</v>
      </c>
      <c r="I1633" s="46">
        <f t="shared" si="100"/>
        <v>476</v>
      </c>
      <c r="J1633" s="4" t="s">
        <v>12</v>
      </c>
      <c r="K1633" s="4" t="s">
        <v>197</v>
      </c>
      <c r="L1633" s="4" t="s">
        <v>223</v>
      </c>
      <c r="M1633" s="7">
        <v>21120</v>
      </c>
      <c r="N1633" s="10">
        <v>0</v>
      </c>
      <c r="O1633" s="10">
        <v>0</v>
      </c>
      <c r="P1633">
        <f t="shared" si="101"/>
        <v>1</v>
      </c>
      <c r="Q1633" s="36">
        <f t="shared" si="102"/>
        <v>0</v>
      </c>
      <c r="R1633">
        <f t="shared" si="103"/>
        <v>2023</v>
      </c>
    </row>
    <row r="1634" spans="1:18" x14ac:dyDescent="0.2">
      <c r="A1634" s="23">
        <v>45523</v>
      </c>
      <c r="B1634" s="23">
        <v>45523</v>
      </c>
      <c r="C1634" s="25" t="s">
        <v>398</v>
      </c>
      <c r="D1634" s="20">
        <v>0</v>
      </c>
      <c r="E1634" s="27">
        <v>0</v>
      </c>
      <c r="F1634" s="22" t="s">
        <v>233</v>
      </c>
      <c r="G1634" s="29">
        <v>21120</v>
      </c>
      <c r="H1634" s="39">
        <v>45040</v>
      </c>
      <c r="I1634" s="46">
        <f t="shared" si="100"/>
        <v>483</v>
      </c>
      <c r="J1634" s="4" t="s">
        <v>12</v>
      </c>
      <c r="K1634" s="4" t="s">
        <v>197</v>
      </c>
      <c r="L1634" s="4" t="s">
        <v>223</v>
      </c>
      <c r="M1634" s="7">
        <v>21120</v>
      </c>
      <c r="N1634" s="10">
        <v>0</v>
      </c>
      <c r="O1634" s="10">
        <v>0</v>
      </c>
      <c r="P1634">
        <f t="shared" si="101"/>
        <v>1</v>
      </c>
      <c r="Q1634" s="36">
        <f t="shared" si="102"/>
        <v>0</v>
      </c>
      <c r="R1634">
        <f t="shared" si="103"/>
        <v>2023</v>
      </c>
    </row>
    <row r="1635" spans="1:18" x14ac:dyDescent="0.2">
      <c r="A1635" s="23">
        <v>45530</v>
      </c>
      <c r="B1635" s="23">
        <v>45530</v>
      </c>
      <c r="C1635" s="25" t="s">
        <v>398</v>
      </c>
      <c r="D1635" s="20">
        <v>0</v>
      </c>
      <c r="E1635" s="27">
        <v>0</v>
      </c>
      <c r="F1635" s="22" t="s">
        <v>233</v>
      </c>
      <c r="G1635" s="29">
        <v>21120</v>
      </c>
      <c r="H1635" s="39">
        <v>45040</v>
      </c>
      <c r="I1635" s="46">
        <f t="shared" si="100"/>
        <v>490</v>
      </c>
      <c r="J1635" s="4" t="s">
        <v>12</v>
      </c>
      <c r="K1635" s="4" t="s">
        <v>197</v>
      </c>
      <c r="L1635" s="4" t="s">
        <v>223</v>
      </c>
      <c r="M1635" s="7">
        <v>21120</v>
      </c>
      <c r="N1635" s="10">
        <v>0</v>
      </c>
      <c r="O1635" s="10">
        <v>0</v>
      </c>
      <c r="P1635">
        <f t="shared" si="101"/>
        <v>1</v>
      </c>
      <c r="Q1635" s="36">
        <f t="shared" si="102"/>
        <v>0</v>
      </c>
      <c r="R1635">
        <f t="shared" si="103"/>
        <v>2023</v>
      </c>
    </row>
    <row r="1636" spans="1:18" x14ac:dyDescent="0.2">
      <c r="A1636" s="23">
        <v>45537</v>
      </c>
      <c r="B1636" s="23">
        <v>45537</v>
      </c>
      <c r="C1636" s="25" t="s">
        <v>398</v>
      </c>
      <c r="D1636" s="20">
        <v>0</v>
      </c>
      <c r="E1636" s="27">
        <v>0</v>
      </c>
      <c r="F1636" s="22" t="s">
        <v>233</v>
      </c>
      <c r="G1636" s="29">
        <v>21120</v>
      </c>
      <c r="H1636" s="39">
        <v>45040</v>
      </c>
      <c r="I1636" s="46">
        <f t="shared" si="100"/>
        <v>497</v>
      </c>
      <c r="J1636" s="4" t="s">
        <v>12</v>
      </c>
      <c r="K1636" s="4" t="s">
        <v>197</v>
      </c>
      <c r="L1636" s="4" t="s">
        <v>223</v>
      </c>
      <c r="M1636" s="7">
        <v>21120</v>
      </c>
      <c r="N1636" s="10">
        <v>0</v>
      </c>
      <c r="O1636" s="10">
        <v>0</v>
      </c>
      <c r="P1636">
        <f t="shared" si="101"/>
        <v>1</v>
      </c>
      <c r="Q1636" s="36">
        <f t="shared" si="102"/>
        <v>0</v>
      </c>
      <c r="R1636">
        <f t="shared" si="103"/>
        <v>2023</v>
      </c>
    </row>
    <row r="1637" spans="1:18" x14ac:dyDescent="0.2">
      <c r="A1637" s="23">
        <v>45544</v>
      </c>
      <c r="B1637" s="23">
        <v>45544</v>
      </c>
      <c r="C1637" s="25" t="s">
        <v>398</v>
      </c>
      <c r="D1637" s="20">
        <v>0</v>
      </c>
      <c r="E1637" s="27">
        <v>0</v>
      </c>
      <c r="F1637" s="22" t="s">
        <v>233</v>
      </c>
      <c r="G1637" s="29">
        <v>31680</v>
      </c>
      <c r="H1637" s="39">
        <v>45040</v>
      </c>
      <c r="I1637" s="46">
        <f t="shared" si="100"/>
        <v>504</v>
      </c>
      <c r="J1637" s="4" t="s">
        <v>12</v>
      </c>
      <c r="K1637" s="4" t="s">
        <v>197</v>
      </c>
      <c r="L1637" s="4" t="s">
        <v>223</v>
      </c>
      <c r="M1637" s="7">
        <v>31680</v>
      </c>
      <c r="N1637" s="10">
        <v>0</v>
      </c>
      <c r="O1637" s="10">
        <v>0</v>
      </c>
      <c r="P1637">
        <f t="shared" si="101"/>
        <v>1</v>
      </c>
      <c r="Q1637" s="36">
        <f t="shared" si="102"/>
        <v>0</v>
      </c>
      <c r="R1637">
        <f t="shared" si="103"/>
        <v>2023</v>
      </c>
    </row>
    <row r="1638" spans="1:18" x14ac:dyDescent="0.2">
      <c r="A1638" s="23">
        <v>45551</v>
      </c>
      <c r="B1638" s="23">
        <v>45551</v>
      </c>
      <c r="C1638" s="25" t="s">
        <v>398</v>
      </c>
      <c r="D1638" s="20">
        <v>0</v>
      </c>
      <c r="E1638" s="27">
        <v>0</v>
      </c>
      <c r="F1638" s="22" t="s">
        <v>233</v>
      </c>
      <c r="G1638" s="29">
        <v>21120</v>
      </c>
      <c r="H1638" s="39">
        <v>45040</v>
      </c>
      <c r="I1638" s="46">
        <f t="shared" si="100"/>
        <v>511</v>
      </c>
      <c r="J1638" s="4" t="s">
        <v>12</v>
      </c>
      <c r="K1638" s="4" t="s">
        <v>197</v>
      </c>
      <c r="L1638" s="4" t="s">
        <v>223</v>
      </c>
      <c r="M1638" s="7">
        <v>21120</v>
      </c>
      <c r="N1638" s="10">
        <v>0</v>
      </c>
      <c r="O1638" s="10">
        <v>0</v>
      </c>
      <c r="P1638">
        <f t="shared" si="101"/>
        <v>1</v>
      </c>
      <c r="Q1638" s="36">
        <f t="shared" si="102"/>
        <v>0</v>
      </c>
      <c r="R1638">
        <f t="shared" si="103"/>
        <v>2023</v>
      </c>
    </row>
    <row r="1639" spans="1:18" x14ac:dyDescent="0.2">
      <c r="A1639" s="23">
        <v>45558</v>
      </c>
      <c r="B1639" s="23">
        <v>45558</v>
      </c>
      <c r="C1639" s="25" t="s">
        <v>398</v>
      </c>
      <c r="D1639" s="20">
        <v>0</v>
      </c>
      <c r="E1639" s="27">
        <v>0</v>
      </c>
      <c r="F1639" s="22" t="s">
        <v>233</v>
      </c>
      <c r="G1639" s="29">
        <v>21120</v>
      </c>
      <c r="H1639" s="39">
        <v>45040</v>
      </c>
      <c r="I1639" s="46">
        <f t="shared" si="100"/>
        <v>518</v>
      </c>
      <c r="J1639" s="4" t="s">
        <v>12</v>
      </c>
      <c r="K1639" s="4" t="s">
        <v>197</v>
      </c>
      <c r="L1639" s="4" t="s">
        <v>223</v>
      </c>
      <c r="M1639" s="7">
        <v>21120</v>
      </c>
      <c r="N1639" s="10">
        <v>0</v>
      </c>
      <c r="O1639" s="10">
        <v>0</v>
      </c>
      <c r="P1639">
        <f t="shared" si="101"/>
        <v>1</v>
      </c>
      <c r="Q1639" s="36">
        <f t="shared" si="102"/>
        <v>0</v>
      </c>
      <c r="R1639">
        <f t="shared" si="103"/>
        <v>2023</v>
      </c>
    </row>
    <row r="1640" spans="1:18" x14ac:dyDescent="0.2">
      <c r="A1640" s="23">
        <v>45565</v>
      </c>
      <c r="B1640" s="23">
        <v>45565</v>
      </c>
      <c r="C1640" s="25" t="s">
        <v>398</v>
      </c>
      <c r="D1640" s="20">
        <v>0</v>
      </c>
      <c r="E1640" s="27">
        <v>0</v>
      </c>
      <c r="F1640" s="22" t="s">
        <v>233</v>
      </c>
      <c r="G1640" s="29">
        <v>31680</v>
      </c>
      <c r="H1640" s="39">
        <v>45040</v>
      </c>
      <c r="I1640" s="46">
        <f t="shared" si="100"/>
        <v>525</v>
      </c>
      <c r="J1640" s="4" t="s">
        <v>12</v>
      </c>
      <c r="K1640" s="4" t="s">
        <v>197</v>
      </c>
      <c r="L1640" s="4" t="s">
        <v>223</v>
      </c>
      <c r="M1640" s="7">
        <v>31680</v>
      </c>
      <c r="N1640" s="10">
        <v>0</v>
      </c>
      <c r="O1640" s="10">
        <v>0</v>
      </c>
      <c r="P1640">
        <f t="shared" si="101"/>
        <v>1</v>
      </c>
      <c r="Q1640" s="36">
        <f t="shared" si="102"/>
        <v>0</v>
      </c>
      <c r="R1640">
        <f t="shared" si="103"/>
        <v>2023</v>
      </c>
    </row>
    <row r="1641" spans="1:18" x14ac:dyDescent="0.2">
      <c r="A1641" s="23">
        <v>45572</v>
      </c>
      <c r="B1641" s="23">
        <v>45572</v>
      </c>
      <c r="C1641" s="25" t="s">
        <v>398</v>
      </c>
      <c r="D1641" s="20">
        <v>0</v>
      </c>
      <c r="E1641" s="27">
        <v>0</v>
      </c>
      <c r="F1641" s="22" t="s">
        <v>233</v>
      </c>
      <c r="G1641" s="29">
        <v>21120</v>
      </c>
      <c r="H1641" s="39">
        <v>45040</v>
      </c>
      <c r="I1641" s="46">
        <f t="shared" si="100"/>
        <v>532</v>
      </c>
      <c r="J1641" s="4" t="s">
        <v>12</v>
      </c>
      <c r="K1641" s="4" t="s">
        <v>197</v>
      </c>
      <c r="L1641" s="4" t="s">
        <v>223</v>
      </c>
      <c r="M1641" s="7">
        <v>21120</v>
      </c>
      <c r="N1641" s="10">
        <v>0</v>
      </c>
      <c r="O1641" s="10">
        <v>0</v>
      </c>
      <c r="P1641">
        <f t="shared" si="101"/>
        <v>1</v>
      </c>
      <c r="Q1641" s="36">
        <f t="shared" si="102"/>
        <v>0</v>
      </c>
      <c r="R1641">
        <f t="shared" si="103"/>
        <v>2023</v>
      </c>
    </row>
    <row r="1642" spans="1:18" x14ac:dyDescent="0.2">
      <c r="A1642" s="23">
        <v>45579</v>
      </c>
      <c r="B1642" s="23">
        <v>45579</v>
      </c>
      <c r="C1642" s="25" t="s">
        <v>398</v>
      </c>
      <c r="D1642" s="20">
        <v>0</v>
      </c>
      <c r="E1642" s="27">
        <v>0</v>
      </c>
      <c r="F1642" s="22" t="s">
        <v>233</v>
      </c>
      <c r="G1642" s="29">
        <v>21120</v>
      </c>
      <c r="H1642" s="39">
        <v>45040</v>
      </c>
      <c r="I1642" s="46">
        <f t="shared" si="100"/>
        <v>539</v>
      </c>
      <c r="J1642" s="4" t="s">
        <v>12</v>
      </c>
      <c r="K1642" s="4" t="s">
        <v>197</v>
      </c>
      <c r="L1642" s="4" t="s">
        <v>223</v>
      </c>
      <c r="M1642" s="7">
        <v>21120</v>
      </c>
      <c r="N1642" s="10">
        <v>0</v>
      </c>
      <c r="O1642" s="10">
        <v>0</v>
      </c>
      <c r="P1642">
        <f t="shared" si="101"/>
        <v>1</v>
      </c>
      <c r="Q1642" s="36">
        <f t="shared" si="102"/>
        <v>0</v>
      </c>
      <c r="R1642">
        <f t="shared" si="103"/>
        <v>2023</v>
      </c>
    </row>
    <row r="1643" spans="1:18" x14ac:dyDescent="0.2">
      <c r="A1643" s="23">
        <v>45586</v>
      </c>
      <c r="B1643" s="23">
        <v>45586</v>
      </c>
      <c r="C1643" s="25" t="s">
        <v>398</v>
      </c>
      <c r="D1643" s="20">
        <v>0</v>
      </c>
      <c r="E1643" s="27">
        <v>0</v>
      </c>
      <c r="F1643" s="22" t="s">
        <v>233</v>
      </c>
      <c r="G1643" s="29">
        <v>52800</v>
      </c>
      <c r="H1643" s="39">
        <v>45040</v>
      </c>
      <c r="I1643" s="46">
        <f t="shared" si="100"/>
        <v>546</v>
      </c>
      <c r="J1643" s="4" t="s">
        <v>12</v>
      </c>
      <c r="K1643" s="4" t="s">
        <v>197</v>
      </c>
      <c r="L1643" s="4" t="s">
        <v>223</v>
      </c>
      <c r="M1643" s="7">
        <v>52800</v>
      </c>
      <c r="N1643" s="10">
        <v>0</v>
      </c>
      <c r="O1643" s="10">
        <v>0</v>
      </c>
      <c r="P1643">
        <f t="shared" si="101"/>
        <v>1</v>
      </c>
      <c r="Q1643" s="36">
        <f t="shared" si="102"/>
        <v>0</v>
      </c>
      <c r="R1643">
        <f t="shared" si="103"/>
        <v>2023</v>
      </c>
    </row>
    <row r="1644" spans="1:18" x14ac:dyDescent="0.2">
      <c r="A1644" s="23">
        <v>45600</v>
      </c>
      <c r="B1644" s="23">
        <v>45600</v>
      </c>
      <c r="C1644" s="25" t="s">
        <v>398</v>
      </c>
      <c r="D1644" s="20">
        <v>0</v>
      </c>
      <c r="E1644" s="27">
        <v>0</v>
      </c>
      <c r="F1644" s="22" t="s">
        <v>233</v>
      </c>
      <c r="G1644" s="29">
        <v>21120</v>
      </c>
      <c r="H1644" s="39">
        <v>45040</v>
      </c>
      <c r="I1644" s="46">
        <f t="shared" si="100"/>
        <v>560</v>
      </c>
      <c r="J1644" s="4" t="s">
        <v>12</v>
      </c>
      <c r="K1644" s="4" t="s">
        <v>197</v>
      </c>
      <c r="L1644" s="4" t="s">
        <v>223</v>
      </c>
      <c r="M1644" s="7">
        <v>21120</v>
      </c>
      <c r="N1644" s="10">
        <v>0</v>
      </c>
      <c r="O1644" s="10">
        <v>0</v>
      </c>
      <c r="P1644">
        <f t="shared" si="101"/>
        <v>1</v>
      </c>
      <c r="Q1644" s="36">
        <f t="shared" si="102"/>
        <v>0</v>
      </c>
      <c r="R1644">
        <f t="shared" si="103"/>
        <v>2023</v>
      </c>
    </row>
    <row r="1645" spans="1:18" x14ac:dyDescent="0.2">
      <c r="A1645" s="23">
        <v>45607</v>
      </c>
      <c r="B1645" s="23">
        <v>45607</v>
      </c>
      <c r="C1645" s="25" t="s">
        <v>398</v>
      </c>
      <c r="D1645" s="20">
        <v>0</v>
      </c>
      <c r="E1645" s="27">
        <v>0</v>
      </c>
      <c r="F1645" s="22" t="s">
        <v>233</v>
      </c>
      <c r="G1645" s="29">
        <v>10560</v>
      </c>
      <c r="H1645" s="39">
        <v>45040</v>
      </c>
      <c r="I1645" s="46">
        <f t="shared" si="100"/>
        <v>567</v>
      </c>
      <c r="J1645" s="4" t="s">
        <v>12</v>
      </c>
      <c r="K1645" s="4" t="s">
        <v>197</v>
      </c>
      <c r="L1645" s="4" t="s">
        <v>223</v>
      </c>
      <c r="M1645" s="7">
        <v>10560</v>
      </c>
      <c r="N1645" s="10">
        <v>0</v>
      </c>
      <c r="O1645" s="10">
        <v>0</v>
      </c>
      <c r="P1645">
        <f t="shared" si="101"/>
        <v>1</v>
      </c>
      <c r="Q1645" s="36">
        <f t="shared" si="102"/>
        <v>0</v>
      </c>
      <c r="R1645">
        <f t="shared" si="103"/>
        <v>2023</v>
      </c>
    </row>
    <row r="1646" spans="1:18" x14ac:dyDescent="0.2">
      <c r="A1646" s="23">
        <v>45614</v>
      </c>
      <c r="B1646" s="23">
        <v>45614</v>
      </c>
      <c r="C1646" s="25" t="s">
        <v>398</v>
      </c>
      <c r="D1646" s="20">
        <v>0</v>
      </c>
      <c r="E1646" s="27">
        <v>0</v>
      </c>
      <c r="F1646" s="22" t="s">
        <v>233</v>
      </c>
      <c r="G1646" s="29">
        <v>21120</v>
      </c>
      <c r="H1646" s="39">
        <v>45040</v>
      </c>
      <c r="I1646" s="46">
        <f t="shared" si="100"/>
        <v>574</v>
      </c>
      <c r="J1646" s="4" t="s">
        <v>12</v>
      </c>
      <c r="K1646" s="4" t="s">
        <v>197</v>
      </c>
      <c r="L1646" s="4" t="s">
        <v>223</v>
      </c>
      <c r="M1646" s="7">
        <v>21120</v>
      </c>
      <c r="N1646" s="10">
        <v>0</v>
      </c>
      <c r="O1646" s="10">
        <v>0</v>
      </c>
      <c r="P1646">
        <f t="shared" si="101"/>
        <v>1</v>
      </c>
      <c r="Q1646" s="36">
        <f t="shared" si="102"/>
        <v>0</v>
      </c>
      <c r="R1646">
        <f t="shared" si="103"/>
        <v>2023</v>
      </c>
    </row>
    <row r="1647" spans="1:18" x14ac:dyDescent="0.2">
      <c r="A1647" s="23">
        <v>45621</v>
      </c>
      <c r="B1647" s="23">
        <v>45621</v>
      </c>
      <c r="C1647" s="25" t="s">
        <v>398</v>
      </c>
      <c r="D1647" s="20">
        <v>0</v>
      </c>
      <c r="E1647" s="27">
        <v>0</v>
      </c>
      <c r="F1647" s="22" t="s">
        <v>233</v>
      </c>
      <c r="G1647" s="29">
        <v>21120</v>
      </c>
      <c r="H1647" s="39">
        <v>45040</v>
      </c>
      <c r="I1647" s="46">
        <f t="shared" si="100"/>
        <v>581</v>
      </c>
      <c r="J1647" s="4" t="s">
        <v>12</v>
      </c>
      <c r="K1647" s="4" t="s">
        <v>197</v>
      </c>
      <c r="L1647" s="4" t="s">
        <v>223</v>
      </c>
      <c r="M1647" s="7">
        <v>21120</v>
      </c>
      <c r="N1647" s="10">
        <v>0</v>
      </c>
      <c r="O1647" s="10">
        <v>0</v>
      </c>
      <c r="P1647">
        <f t="shared" si="101"/>
        <v>1</v>
      </c>
      <c r="Q1647" s="36">
        <f t="shared" si="102"/>
        <v>0</v>
      </c>
      <c r="R1647">
        <f t="shared" si="103"/>
        <v>2023</v>
      </c>
    </row>
    <row r="1648" spans="1:18" x14ac:dyDescent="0.2">
      <c r="A1648" s="23">
        <v>45628</v>
      </c>
      <c r="B1648" s="23">
        <v>45628</v>
      </c>
      <c r="C1648" s="25" t="s">
        <v>398</v>
      </c>
      <c r="D1648" s="20">
        <v>0</v>
      </c>
      <c r="E1648" s="27">
        <v>0</v>
      </c>
      <c r="F1648" s="22" t="s">
        <v>233</v>
      </c>
      <c r="G1648" s="29">
        <v>31680</v>
      </c>
      <c r="H1648" s="39">
        <v>45040</v>
      </c>
      <c r="I1648" s="46">
        <f t="shared" si="100"/>
        <v>588</v>
      </c>
      <c r="J1648" s="4" t="s">
        <v>12</v>
      </c>
      <c r="K1648" s="4" t="s">
        <v>197</v>
      </c>
      <c r="L1648" s="4" t="s">
        <v>223</v>
      </c>
      <c r="M1648" s="7">
        <v>31680</v>
      </c>
      <c r="N1648" s="10">
        <v>0</v>
      </c>
      <c r="O1648" s="10">
        <v>0</v>
      </c>
      <c r="P1648">
        <f t="shared" si="101"/>
        <v>1</v>
      </c>
      <c r="Q1648" s="36">
        <f t="shared" si="102"/>
        <v>0</v>
      </c>
      <c r="R1648">
        <f t="shared" si="103"/>
        <v>2023</v>
      </c>
    </row>
    <row r="1649" spans="1:18" x14ac:dyDescent="0.2">
      <c r="A1649" s="23">
        <v>45635</v>
      </c>
      <c r="B1649" s="23">
        <v>45635</v>
      </c>
      <c r="C1649" s="25" t="s">
        <v>398</v>
      </c>
      <c r="D1649" s="20">
        <v>0</v>
      </c>
      <c r="E1649" s="27">
        <v>0</v>
      </c>
      <c r="F1649" s="22" t="s">
        <v>233</v>
      </c>
      <c r="G1649" s="29">
        <v>31680</v>
      </c>
      <c r="H1649" s="39">
        <v>45040</v>
      </c>
      <c r="I1649" s="46">
        <f t="shared" si="100"/>
        <v>595</v>
      </c>
      <c r="J1649" s="4" t="s">
        <v>12</v>
      </c>
      <c r="K1649" s="4" t="s">
        <v>197</v>
      </c>
      <c r="L1649" s="4" t="s">
        <v>223</v>
      </c>
      <c r="M1649" s="7">
        <v>31680</v>
      </c>
      <c r="N1649" s="10">
        <v>0</v>
      </c>
      <c r="O1649" s="10">
        <v>0</v>
      </c>
      <c r="P1649">
        <f t="shared" si="101"/>
        <v>1</v>
      </c>
      <c r="Q1649" s="36">
        <f t="shared" si="102"/>
        <v>0</v>
      </c>
      <c r="R1649">
        <f t="shared" si="103"/>
        <v>2023</v>
      </c>
    </row>
    <row r="1650" spans="1:18" x14ac:dyDescent="0.2">
      <c r="A1650" s="23">
        <v>45642</v>
      </c>
      <c r="B1650" s="23">
        <v>45642</v>
      </c>
      <c r="C1650" s="25" t="s">
        <v>398</v>
      </c>
      <c r="D1650" s="20">
        <v>0</v>
      </c>
      <c r="E1650" s="27">
        <v>0</v>
      </c>
      <c r="F1650" s="22" t="s">
        <v>233</v>
      </c>
      <c r="G1650" s="29">
        <v>42240</v>
      </c>
      <c r="H1650" s="39">
        <v>45040</v>
      </c>
      <c r="I1650" s="46">
        <f t="shared" si="100"/>
        <v>602</v>
      </c>
      <c r="J1650" s="4" t="s">
        <v>12</v>
      </c>
      <c r="K1650" s="4" t="s">
        <v>197</v>
      </c>
      <c r="L1650" s="4" t="s">
        <v>223</v>
      </c>
      <c r="M1650" s="7">
        <v>42240</v>
      </c>
      <c r="N1650" s="10">
        <v>0</v>
      </c>
      <c r="O1650" s="10">
        <v>0</v>
      </c>
      <c r="P1650">
        <f t="shared" si="101"/>
        <v>1</v>
      </c>
      <c r="Q1650" s="36">
        <f t="shared" si="102"/>
        <v>0</v>
      </c>
      <c r="R1650">
        <f t="shared" si="103"/>
        <v>2023</v>
      </c>
    </row>
    <row r="1651" spans="1:18" x14ac:dyDescent="0.2">
      <c r="A1651" s="23">
        <v>45292</v>
      </c>
      <c r="B1651" s="23">
        <v>45292</v>
      </c>
      <c r="C1651" s="25" t="s">
        <v>398</v>
      </c>
      <c r="D1651" s="20">
        <v>0</v>
      </c>
      <c r="E1651" s="27">
        <v>0</v>
      </c>
      <c r="F1651" s="22" t="s">
        <v>233</v>
      </c>
      <c r="G1651" s="29">
        <v>23760</v>
      </c>
      <c r="H1651" s="39">
        <v>45005</v>
      </c>
      <c r="I1651" s="46">
        <f t="shared" si="100"/>
        <v>287</v>
      </c>
      <c r="J1651" s="4" t="s">
        <v>12</v>
      </c>
      <c r="K1651" s="4" t="s">
        <v>197</v>
      </c>
      <c r="L1651" s="4" t="s">
        <v>223</v>
      </c>
      <c r="M1651" s="7">
        <v>23760</v>
      </c>
      <c r="N1651" s="10">
        <v>0</v>
      </c>
      <c r="O1651" s="10">
        <v>0</v>
      </c>
      <c r="P1651">
        <f t="shared" si="101"/>
        <v>1</v>
      </c>
      <c r="Q1651" s="36">
        <f t="shared" si="102"/>
        <v>0</v>
      </c>
      <c r="R1651">
        <f t="shared" si="103"/>
        <v>2023</v>
      </c>
    </row>
    <row r="1652" spans="1:18" x14ac:dyDescent="0.2">
      <c r="A1652" s="23">
        <v>45299</v>
      </c>
      <c r="B1652" s="23">
        <v>45299</v>
      </c>
      <c r="C1652" s="25" t="s">
        <v>398</v>
      </c>
      <c r="D1652" s="20">
        <v>0</v>
      </c>
      <c r="E1652" s="27">
        <v>0</v>
      </c>
      <c r="F1652" s="22" t="s">
        <v>233</v>
      </c>
      <c r="G1652" s="29">
        <v>34320</v>
      </c>
      <c r="H1652" s="39">
        <v>45005</v>
      </c>
      <c r="I1652" s="46">
        <f t="shared" si="100"/>
        <v>294</v>
      </c>
      <c r="J1652" s="4" t="s">
        <v>12</v>
      </c>
      <c r="K1652" s="4" t="s">
        <v>197</v>
      </c>
      <c r="L1652" s="4" t="s">
        <v>223</v>
      </c>
      <c r="M1652" s="7">
        <v>34320</v>
      </c>
      <c r="N1652" s="10">
        <v>0</v>
      </c>
      <c r="O1652" s="10">
        <v>0</v>
      </c>
      <c r="P1652">
        <f t="shared" si="101"/>
        <v>1</v>
      </c>
      <c r="Q1652" s="36">
        <f t="shared" si="102"/>
        <v>0</v>
      </c>
      <c r="R1652">
        <f t="shared" si="103"/>
        <v>2023</v>
      </c>
    </row>
    <row r="1653" spans="1:18" x14ac:dyDescent="0.2">
      <c r="A1653" s="23">
        <v>45306</v>
      </c>
      <c r="B1653" s="23">
        <v>45306</v>
      </c>
      <c r="C1653" s="25" t="s">
        <v>398</v>
      </c>
      <c r="D1653" s="20">
        <v>0</v>
      </c>
      <c r="E1653" s="27">
        <v>0</v>
      </c>
      <c r="F1653" s="22" t="s">
        <v>233</v>
      </c>
      <c r="G1653" s="29">
        <v>42240</v>
      </c>
      <c r="H1653" s="39">
        <v>45005</v>
      </c>
      <c r="I1653" s="46">
        <f t="shared" si="100"/>
        <v>301</v>
      </c>
      <c r="J1653" s="4" t="s">
        <v>12</v>
      </c>
      <c r="K1653" s="4" t="s">
        <v>197</v>
      </c>
      <c r="L1653" s="4" t="s">
        <v>223</v>
      </c>
      <c r="M1653" s="7">
        <v>42240</v>
      </c>
      <c r="N1653" s="10">
        <v>0</v>
      </c>
      <c r="O1653" s="10">
        <v>0</v>
      </c>
      <c r="P1653">
        <f t="shared" si="101"/>
        <v>1</v>
      </c>
      <c r="Q1653" s="36">
        <f t="shared" si="102"/>
        <v>0</v>
      </c>
      <c r="R1653">
        <f t="shared" si="103"/>
        <v>2023</v>
      </c>
    </row>
    <row r="1654" spans="1:18" x14ac:dyDescent="0.2">
      <c r="A1654" s="23">
        <v>45313</v>
      </c>
      <c r="B1654" s="23">
        <v>45313</v>
      </c>
      <c r="C1654" s="25" t="s">
        <v>398</v>
      </c>
      <c r="D1654" s="20">
        <v>0</v>
      </c>
      <c r="E1654" s="27">
        <v>0</v>
      </c>
      <c r="F1654" s="22" t="s">
        <v>233</v>
      </c>
      <c r="G1654" s="29">
        <v>42240</v>
      </c>
      <c r="H1654" s="39">
        <v>45005</v>
      </c>
      <c r="I1654" s="46">
        <f t="shared" si="100"/>
        <v>308</v>
      </c>
      <c r="J1654" s="4" t="s">
        <v>12</v>
      </c>
      <c r="K1654" s="4" t="s">
        <v>197</v>
      </c>
      <c r="L1654" s="4" t="s">
        <v>223</v>
      </c>
      <c r="M1654" s="7">
        <v>42240</v>
      </c>
      <c r="N1654" s="10">
        <v>0</v>
      </c>
      <c r="O1654" s="10">
        <v>0</v>
      </c>
      <c r="P1654">
        <f t="shared" si="101"/>
        <v>1</v>
      </c>
      <c r="Q1654" s="36">
        <f t="shared" si="102"/>
        <v>0</v>
      </c>
      <c r="R1654">
        <f t="shared" si="103"/>
        <v>2023</v>
      </c>
    </row>
    <row r="1655" spans="1:18" x14ac:dyDescent="0.2">
      <c r="A1655" s="23">
        <v>45320</v>
      </c>
      <c r="B1655" s="23">
        <v>45320</v>
      </c>
      <c r="C1655" s="25" t="s">
        <v>398</v>
      </c>
      <c r="D1655" s="20">
        <v>0</v>
      </c>
      <c r="E1655" s="27">
        <v>0</v>
      </c>
      <c r="F1655" s="22" t="s">
        <v>233</v>
      </c>
      <c r="G1655" s="29">
        <v>31680</v>
      </c>
      <c r="H1655" s="39">
        <v>45005</v>
      </c>
      <c r="I1655" s="46">
        <f t="shared" si="100"/>
        <v>315</v>
      </c>
      <c r="J1655" s="4" t="s">
        <v>12</v>
      </c>
      <c r="K1655" s="4" t="s">
        <v>197</v>
      </c>
      <c r="L1655" s="4" t="s">
        <v>223</v>
      </c>
      <c r="M1655" s="7">
        <v>31680</v>
      </c>
      <c r="N1655" s="10">
        <v>0</v>
      </c>
      <c r="O1655" s="10">
        <v>0</v>
      </c>
      <c r="P1655">
        <f t="shared" si="101"/>
        <v>1</v>
      </c>
      <c r="Q1655" s="36">
        <f t="shared" si="102"/>
        <v>0</v>
      </c>
      <c r="R1655">
        <f t="shared" si="103"/>
        <v>2023</v>
      </c>
    </row>
    <row r="1656" spans="1:18" x14ac:dyDescent="0.2">
      <c r="A1656" s="23">
        <v>45656</v>
      </c>
      <c r="B1656" s="23">
        <v>45656</v>
      </c>
      <c r="C1656" s="25" t="s">
        <v>398</v>
      </c>
      <c r="D1656" s="20">
        <v>0</v>
      </c>
      <c r="E1656" s="27">
        <v>0</v>
      </c>
      <c r="F1656" s="22" t="s">
        <v>233</v>
      </c>
      <c r="G1656" s="29">
        <v>21120</v>
      </c>
      <c r="H1656" s="39">
        <v>45119</v>
      </c>
      <c r="I1656" s="46">
        <f t="shared" si="100"/>
        <v>537</v>
      </c>
      <c r="J1656" s="4" t="s">
        <v>12</v>
      </c>
      <c r="K1656" s="4" t="s">
        <v>197</v>
      </c>
      <c r="L1656" s="4" t="s">
        <v>223</v>
      </c>
      <c r="M1656" s="7">
        <v>21120</v>
      </c>
      <c r="N1656" s="10">
        <v>0</v>
      </c>
      <c r="O1656" s="10">
        <v>0</v>
      </c>
      <c r="P1656">
        <f t="shared" si="101"/>
        <v>1</v>
      </c>
      <c r="Q1656" s="36">
        <f t="shared" si="102"/>
        <v>0</v>
      </c>
      <c r="R1656">
        <f t="shared" si="103"/>
        <v>2023</v>
      </c>
    </row>
    <row r="1657" spans="1:18" x14ac:dyDescent="0.2">
      <c r="A1657" s="23">
        <v>45663</v>
      </c>
      <c r="B1657" s="23">
        <v>45663</v>
      </c>
      <c r="C1657" s="25" t="s">
        <v>398</v>
      </c>
      <c r="D1657" s="20">
        <v>0</v>
      </c>
      <c r="E1657" s="27">
        <v>0</v>
      </c>
      <c r="F1657" s="22" t="s">
        <v>233</v>
      </c>
      <c r="G1657" s="29">
        <v>21120</v>
      </c>
      <c r="H1657" s="39">
        <v>45119</v>
      </c>
      <c r="I1657" s="46">
        <f t="shared" si="100"/>
        <v>544</v>
      </c>
      <c r="J1657" s="4" t="s">
        <v>12</v>
      </c>
      <c r="K1657" s="4" t="s">
        <v>197</v>
      </c>
      <c r="L1657" s="4" t="s">
        <v>223</v>
      </c>
      <c r="M1657" s="7">
        <v>21120</v>
      </c>
      <c r="N1657" s="10">
        <v>0</v>
      </c>
      <c r="O1657" s="10">
        <v>0</v>
      </c>
      <c r="P1657">
        <f t="shared" si="101"/>
        <v>1</v>
      </c>
      <c r="Q1657" s="36">
        <f t="shared" si="102"/>
        <v>0</v>
      </c>
      <c r="R1657">
        <f t="shared" si="103"/>
        <v>2023</v>
      </c>
    </row>
    <row r="1658" spans="1:18" x14ac:dyDescent="0.2">
      <c r="A1658" s="23">
        <v>45670</v>
      </c>
      <c r="B1658" s="23">
        <v>45670</v>
      </c>
      <c r="C1658" s="25" t="s">
        <v>398</v>
      </c>
      <c r="D1658" s="20">
        <v>0</v>
      </c>
      <c r="E1658" s="27">
        <v>0</v>
      </c>
      <c r="F1658" s="22" t="s">
        <v>233</v>
      </c>
      <c r="G1658" s="29">
        <v>31680</v>
      </c>
      <c r="H1658" s="39">
        <v>45119</v>
      </c>
      <c r="I1658" s="46">
        <f t="shared" si="100"/>
        <v>551</v>
      </c>
      <c r="J1658" s="4" t="s">
        <v>12</v>
      </c>
      <c r="K1658" s="4" t="s">
        <v>197</v>
      </c>
      <c r="L1658" s="4" t="s">
        <v>223</v>
      </c>
      <c r="M1658" s="7">
        <v>31680</v>
      </c>
      <c r="N1658" s="10">
        <v>0</v>
      </c>
      <c r="O1658" s="10">
        <v>0</v>
      </c>
      <c r="P1658">
        <f t="shared" si="101"/>
        <v>1</v>
      </c>
      <c r="Q1658" s="36">
        <f t="shared" si="102"/>
        <v>0</v>
      </c>
      <c r="R1658">
        <f t="shared" si="103"/>
        <v>2023</v>
      </c>
    </row>
    <row r="1659" spans="1:18" x14ac:dyDescent="0.2">
      <c r="A1659" s="23">
        <v>45677</v>
      </c>
      <c r="B1659" s="23">
        <v>45677</v>
      </c>
      <c r="C1659" s="25" t="s">
        <v>398</v>
      </c>
      <c r="D1659" s="20">
        <v>0</v>
      </c>
      <c r="E1659" s="27">
        <v>0</v>
      </c>
      <c r="F1659" s="22" t="s">
        <v>233</v>
      </c>
      <c r="G1659" s="29">
        <v>21120</v>
      </c>
      <c r="H1659" s="39">
        <v>45119</v>
      </c>
      <c r="I1659" s="46">
        <f t="shared" si="100"/>
        <v>558</v>
      </c>
      <c r="J1659" s="4" t="s">
        <v>12</v>
      </c>
      <c r="K1659" s="4" t="s">
        <v>197</v>
      </c>
      <c r="L1659" s="4" t="s">
        <v>223</v>
      </c>
      <c r="M1659" s="7">
        <v>21120</v>
      </c>
      <c r="N1659" s="10">
        <v>0</v>
      </c>
      <c r="O1659" s="10">
        <v>0</v>
      </c>
      <c r="P1659">
        <f t="shared" si="101"/>
        <v>1</v>
      </c>
      <c r="Q1659" s="36">
        <f t="shared" si="102"/>
        <v>0</v>
      </c>
      <c r="R1659">
        <f t="shared" si="103"/>
        <v>2023</v>
      </c>
    </row>
    <row r="1660" spans="1:18" x14ac:dyDescent="0.2">
      <c r="A1660" s="23">
        <v>45684</v>
      </c>
      <c r="B1660" s="23">
        <v>45684</v>
      </c>
      <c r="C1660" s="25" t="s">
        <v>398</v>
      </c>
      <c r="D1660" s="20">
        <v>0</v>
      </c>
      <c r="E1660" s="27">
        <v>0</v>
      </c>
      <c r="F1660" s="22" t="s">
        <v>233</v>
      </c>
      <c r="G1660" s="29">
        <v>21120</v>
      </c>
      <c r="H1660" s="39">
        <v>45119</v>
      </c>
      <c r="I1660" s="46">
        <f t="shared" si="100"/>
        <v>565</v>
      </c>
      <c r="J1660" s="4" t="s">
        <v>12</v>
      </c>
      <c r="K1660" s="4" t="s">
        <v>197</v>
      </c>
      <c r="L1660" s="4" t="s">
        <v>223</v>
      </c>
      <c r="M1660" s="7">
        <v>21120</v>
      </c>
      <c r="N1660" s="10">
        <v>0</v>
      </c>
      <c r="O1660" s="10">
        <v>0</v>
      </c>
      <c r="P1660">
        <f t="shared" si="101"/>
        <v>1</v>
      </c>
      <c r="Q1660" s="36">
        <f t="shared" si="102"/>
        <v>0</v>
      </c>
      <c r="R1660">
        <f t="shared" si="103"/>
        <v>2023</v>
      </c>
    </row>
    <row r="1661" spans="1:18" x14ac:dyDescent="0.2">
      <c r="A1661" s="23">
        <v>45691</v>
      </c>
      <c r="B1661" s="23">
        <v>45691</v>
      </c>
      <c r="C1661" s="25" t="s">
        <v>398</v>
      </c>
      <c r="D1661" s="20">
        <v>0</v>
      </c>
      <c r="E1661" s="27">
        <v>0</v>
      </c>
      <c r="F1661" s="22" t="s">
        <v>233</v>
      </c>
      <c r="G1661" s="29">
        <v>21120</v>
      </c>
      <c r="H1661" s="39">
        <v>45119</v>
      </c>
      <c r="I1661" s="46">
        <f t="shared" si="100"/>
        <v>572</v>
      </c>
      <c r="J1661" s="4" t="s">
        <v>12</v>
      </c>
      <c r="K1661" s="4" t="s">
        <v>197</v>
      </c>
      <c r="L1661" s="4" t="s">
        <v>223</v>
      </c>
      <c r="M1661" s="7">
        <v>21120</v>
      </c>
      <c r="N1661" s="10">
        <v>0</v>
      </c>
      <c r="O1661" s="10">
        <v>0</v>
      </c>
      <c r="P1661">
        <f t="shared" si="101"/>
        <v>1</v>
      </c>
      <c r="Q1661" s="36">
        <f t="shared" si="102"/>
        <v>0</v>
      </c>
      <c r="R1661">
        <f t="shared" si="103"/>
        <v>2023</v>
      </c>
    </row>
    <row r="1662" spans="1:18" x14ac:dyDescent="0.2">
      <c r="A1662" s="23">
        <v>45698</v>
      </c>
      <c r="B1662" s="23">
        <v>45698</v>
      </c>
      <c r="C1662" s="25" t="s">
        <v>398</v>
      </c>
      <c r="D1662" s="20">
        <v>0</v>
      </c>
      <c r="E1662" s="27">
        <v>0</v>
      </c>
      <c r="F1662" s="22" t="s">
        <v>233</v>
      </c>
      <c r="G1662" s="29">
        <v>21120</v>
      </c>
      <c r="H1662" s="39">
        <v>45119</v>
      </c>
      <c r="I1662" s="46">
        <f t="shared" si="100"/>
        <v>579</v>
      </c>
      <c r="J1662" s="4" t="s">
        <v>12</v>
      </c>
      <c r="K1662" s="4" t="s">
        <v>197</v>
      </c>
      <c r="L1662" s="4" t="s">
        <v>223</v>
      </c>
      <c r="M1662" s="7">
        <v>21120</v>
      </c>
      <c r="N1662" s="10">
        <v>0</v>
      </c>
      <c r="O1662" s="10">
        <v>0</v>
      </c>
      <c r="P1662">
        <f t="shared" si="101"/>
        <v>1</v>
      </c>
      <c r="Q1662" s="36">
        <f t="shared" si="102"/>
        <v>0</v>
      </c>
      <c r="R1662">
        <f t="shared" si="103"/>
        <v>2023</v>
      </c>
    </row>
    <row r="1663" spans="1:18" x14ac:dyDescent="0.2">
      <c r="A1663" s="23">
        <v>45705</v>
      </c>
      <c r="B1663" s="23">
        <v>45705</v>
      </c>
      <c r="C1663" s="25" t="s">
        <v>398</v>
      </c>
      <c r="D1663" s="20">
        <v>0</v>
      </c>
      <c r="E1663" s="27">
        <v>0</v>
      </c>
      <c r="F1663" s="22" t="s">
        <v>233</v>
      </c>
      <c r="G1663" s="29">
        <v>21120</v>
      </c>
      <c r="H1663" s="39">
        <v>45119</v>
      </c>
      <c r="I1663" s="46">
        <f t="shared" si="100"/>
        <v>586</v>
      </c>
      <c r="J1663" s="4" t="s">
        <v>12</v>
      </c>
      <c r="K1663" s="4" t="s">
        <v>197</v>
      </c>
      <c r="L1663" s="4" t="s">
        <v>223</v>
      </c>
      <c r="M1663" s="7">
        <v>21120</v>
      </c>
      <c r="N1663" s="10">
        <v>0</v>
      </c>
      <c r="O1663" s="10">
        <v>0</v>
      </c>
      <c r="P1663">
        <f t="shared" si="101"/>
        <v>1</v>
      </c>
      <c r="Q1663" s="36">
        <f t="shared" si="102"/>
        <v>0</v>
      </c>
      <c r="R1663">
        <f t="shared" si="103"/>
        <v>2023</v>
      </c>
    </row>
    <row r="1664" spans="1:18" x14ac:dyDescent="0.2">
      <c r="A1664" s="23">
        <v>45712</v>
      </c>
      <c r="B1664" s="23">
        <v>45712</v>
      </c>
      <c r="C1664" s="25" t="s">
        <v>398</v>
      </c>
      <c r="D1664" s="20">
        <v>0</v>
      </c>
      <c r="E1664" s="27">
        <v>0</v>
      </c>
      <c r="F1664" s="22" t="s">
        <v>233</v>
      </c>
      <c r="G1664" s="29">
        <v>216480</v>
      </c>
      <c r="H1664" s="39">
        <v>45119</v>
      </c>
      <c r="I1664" s="46">
        <f t="shared" si="100"/>
        <v>593</v>
      </c>
      <c r="J1664" s="4" t="s">
        <v>12</v>
      </c>
      <c r="K1664" s="4" t="s">
        <v>197</v>
      </c>
      <c r="L1664" s="4" t="s">
        <v>223</v>
      </c>
      <c r="M1664" s="7">
        <v>216480</v>
      </c>
      <c r="N1664" s="10">
        <v>0</v>
      </c>
      <c r="O1664" s="10">
        <v>0</v>
      </c>
      <c r="P1664">
        <f t="shared" si="101"/>
        <v>1</v>
      </c>
      <c r="Q1664" s="36">
        <f t="shared" si="102"/>
        <v>0</v>
      </c>
      <c r="R1664">
        <f t="shared" si="103"/>
        <v>2023</v>
      </c>
    </row>
    <row r="1665" spans="1:18" x14ac:dyDescent="0.2">
      <c r="A1665" s="23">
        <v>45313</v>
      </c>
      <c r="B1665" s="23">
        <v>45313</v>
      </c>
      <c r="C1665" s="25" t="s">
        <v>398</v>
      </c>
      <c r="D1665" s="20">
        <v>0</v>
      </c>
      <c r="E1665" s="27">
        <v>0</v>
      </c>
      <c r="F1665" s="22" t="s">
        <v>234</v>
      </c>
      <c r="G1665" s="29">
        <v>21120</v>
      </c>
      <c r="H1665" s="39">
        <v>45040</v>
      </c>
      <c r="I1665" s="46">
        <f t="shared" si="100"/>
        <v>273</v>
      </c>
      <c r="J1665" s="4" t="s">
        <v>12</v>
      </c>
      <c r="K1665" s="4" t="s">
        <v>197</v>
      </c>
      <c r="L1665" s="4" t="s">
        <v>223</v>
      </c>
      <c r="M1665" s="7">
        <v>21120</v>
      </c>
      <c r="N1665" s="10">
        <v>0</v>
      </c>
      <c r="O1665" s="10">
        <v>0</v>
      </c>
      <c r="P1665">
        <f t="shared" si="101"/>
        <v>1</v>
      </c>
      <c r="Q1665" s="36">
        <f t="shared" si="102"/>
        <v>0</v>
      </c>
      <c r="R1665">
        <f t="shared" si="103"/>
        <v>2023</v>
      </c>
    </row>
    <row r="1666" spans="1:18" x14ac:dyDescent="0.2">
      <c r="A1666" s="23">
        <v>45320</v>
      </c>
      <c r="B1666" s="23">
        <v>45320</v>
      </c>
      <c r="C1666" s="25" t="s">
        <v>398</v>
      </c>
      <c r="D1666" s="20">
        <v>0</v>
      </c>
      <c r="E1666" s="27">
        <v>0</v>
      </c>
      <c r="F1666" s="22" t="s">
        <v>234</v>
      </c>
      <c r="G1666" s="29">
        <v>15840</v>
      </c>
      <c r="H1666" s="39">
        <v>45040</v>
      </c>
      <c r="I1666" s="46">
        <f t="shared" si="100"/>
        <v>280</v>
      </c>
      <c r="J1666" s="4" t="s">
        <v>12</v>
      </c>
      <c r="K1666" s="4" t="s">
        <v>197</v>
      </c>
      <c r="L1666" s="4" t="s">
        <v>223</v>
      </c>
      <c r="M1666" s="7">
        <v>15840</v>
      </c>
      <c r="N1666" s="10">
        <v>0</v>
      </c>
      <c r="O1666" s="10">
        <v>0</v>
      </c>
      <c r="P1666">
        <f t="shared" si="101"/>
        <v>1</v>
      </c>
      <c r="Q1666" s="36">
        <f t="shared" si="102"/>
        <v>0</v>
      </c>
      <c r="R1666">
        <f t="shared" si="103"/>
        <v>2023</v>
      </c>
    </row>
    <row r="1667" spans="1:18" x14ac:dyDescent="0.2">
      <c r="A1667" s="23">
        <v>45334</v>
      </c>
      <c r="B1667" s="23">
        <v>45334</v>
      </c>
      <c r="C1667" s="25" t="s">
        <v>398</v>
      </c>
      <c r="D1667" s="20">
        <v>0</v>
      </c>
      <c r="E1667" s="27">
        <v>0</v>
      </c>
      <c r="F1667" s="22" t="s">
        <v>234</v>
      </c>
      <c r="G1667" s="29">
        <v>21120</v>
      </c>
      <c r="H1667" s="39">
        <v>45040</v>
      </c>
      <c r="I1667" s="46">
        <f t="shared" ref="I1667:I1730" si="104">IFERROR(A1667-H1667,"")*1</f>
        <v>294</v>
      </c>
      <c r="J1667" s="4" t="s">
        <v>12</v>
      </c>
      <c r="K1667" s="4" t="s">
        <v>197</v>
      </c>
      <c r="L1667" s="4" t="s">
        <v>223</v>
      </c>
      <c r="M1667" s="7">
        <v>21120</v>
      </c>
      <c r="N1667" s="10">
        <v>0</v>
      </c>
      <c r="O1667" s="10">
        <v>0</v>
      </c>
      <c r="P1667">
        <f t="shared" ref="P1667:P1730" si="105">IF(M1667=G1667,1,0)</f>
        <v>1</v>
      </c>
      <c r="Q1667" s="36">
        <f t="shared" ref="Q1667:Q1730" si="106">N1667*G1667</f>
        <v>0</v>
      </c>
      <c r="R1667">
        <f t="shared" ref="R1667:R1730" si="107">YEAR(H1667)</f>
        <v>2023</v>
      </c>
    </row>
    <row r="1668" spans="1:18" x14ac:dyDescent="0.2">
      <c r="A1668" s="23">
        <v>45341</v>
      </c>
      <c r="B1668" s="23">
        <v>45341</v>
      </c>
      <c r="C1668" s="25" t="s">
        <v>398</v>
      </c>
      <c r="D1668" s="20">
        <v>0</v>
      </c>
      <c r="E1668" s="27">
        <v>0</v>
      </c>
      <c r="F1668" s="22" t="s">
        <v>234</v>
      </c>
      <c r="G1668" s="29">
        <v>15840</v>
      </c>
      <c r="H1668" s="39">
        <v>45040</v>
      </c>
      <c r="I1668" s="46">
        <f t="shared" si="104"/>
        <v>301</v>
      </c>
      <c r="J1668" s="4" t="s">
        <v>12</v>
      </c>
      <c r="K1668" s="4" t="s">
        <v>197</v>
      </c>
      <c r="L1668" s="4" t="s">
        <v>223</v>
      </c>
      <c r="M1668" s="7">
        <v>15840</v>
      </c>
      <c r="N1668" s="10">
        <v>0</v>
      </c>
      <c r="O1668" s="10">
        <v>0</v>
      </c>
      <c r="P1668">
        <f t="shared" si="105"/>
        <v>1</v>
      </c>
      <c r="Q1668" s="36">
        <f t="shared" si="106"/>
        <v>0</v>
      </c>
      <c r="R1668">
        <f t="shared" si="107"/>
        <v>2023</v>
      </c>
    </row>
    <row r="1669" spans="1:18" x14ac:dyDescent="0.2">
      <c r="A1669" s="23">
        <v>45348</v>
      </c>
      <c r="B1669" s="23">
        <v>45348</v>
      </c>
      <c r="C1669" s="25" t="s">
        <v>398</v>
      </c>
      <c r="D1669" s="20">
        <v>0</v>
      </c>
      <c r="E1669" s="27">
        <v>0</v>
      </c>
      <c r="F1669" s="22" t="s">
        <v>234</v>
      </c>
      <c r="G1669" s="29">
        <v>15840</v>
      </c>
      <c r="H1669" s="39">
        <v>45040</v>
      </c>
      <c r="I1669" s="46">
        <f t="shared" si="104"/>
        <v>308</v>
      </c>
      <c r="J1669" s="4" t="s">
        <v>12</v>
      </c>
      <c r="K1669" s="4" t="s">
        <v>197</v>
      </c>
      <c r="L1669" s="4" t="s">
        <v>223</v>
      </c>
      <c r="M1669" s="7">
        <v>15840</v>
      </c>
      <c r="N1669" s="10">
        <v>0</v>
      </c>
      <c r="O1669" s="10">
        <v>0</v>
      </c>
      <c r="P1669">
        <f t="shared" si="105"/>
        <v>1</v>
      </c>
      <c r="Q1669" s="36">
        <f t="shared" si="106"/>
        <v>0</v>
      </c>
      <c r="R1669">
        <f t="shared" si="107"/>
        <v>2023</v>
      </c>
    </row>
    <row r="1670" spans="1:18" x14ac:dyDescent="0.2">
      <c r="A1670" s="23">
        <v>45355</v>
      </c>
      <c r="B1670" s="23">
        <v>45355</v>
      </c>
      <c r="C1670" s="25" t="s">
        <v>398</v>
      </c>
      <c r="D1670" s="20">
        <v>0</v>
      </c>
      <c r="E1670" s="27">
        <v>0</v>
      </c>
      <c r="F1670" s="22" t="s">
        <v>234</v>
      </c>
      <c r="G1670" s="29">
        <v>26400</v>
      </c>
      <c r="H1670" s="39">
        <v>45040</v>
      </c>
      <c r="I1670" s="46">
        <f t="shared" si="104"/>
        <v>315</v>
      </c>
      <c r="J1670" s="4" t="s">
        <v>12</v>
      </c>
      <c r="K1670" s="4" t="s">
        <v>197</v>
      </c>
      <c r="L1670" s="4" t="s">
        <v>223</v>
      </c>
      <c r="M1670" s="7">
        <v>26400</v>
      </c>
      <c r="N1670" s="10">
        <v>0</v>
      </c>
      <c r="O1670" s="10">
        <v>0</v>
      </c>
      <c r="P1670">
        <f t="shared" si="105"/>
        <v>1</v>
      </c>
      <c r="Q1670" s="36">
        <f t="shared" si="106"/>
        <v>0</v>
      </c>
      <c r="R1670">
        <f t="shared" si="107"/>
        <v>2023</v>
      </c>
    </row>
    <row r="1671" spans="1:18" x14ac:dyDescent="0.2">
      <c r="A1671" s="23">
        <v>45362</v>
      </c>
      <c r="B1671" s="23">
        <v>45362</v>
      </c>
      <c r="C1671" s="25" t="s">
        <v>398</v>
      </c>
      <c r="D1671" s="20">
        <v>0</v>
      </c>
      <c r="E1671" s="27">
        <v>0</v>
      </c>
      <c r="F1671" s="22" t="s">
        <v>234</v>
      </c>
      <c r="G1671" s="29">
        <v>26400</v>
      </c>
      <c r="H1671" s="39">
        <v>45040</v>
      </c>
      <c r="I1671" s="46">
        <f t="shared" si="104"/>
        <v>322</v>
      </c>
      <c r="J1671" s="4" t="s">
        <v>12</v>
      </c>
      <c r="K1671" s="4" t="s">
        <v>197</v>
      </c>
      <c r="L1671" s="4" t="s">
        <v>223</v>
      </c>
      <c r="M1671" s="7">
        <v>26400</v>
      </c>
      <c r="N1671" s="10">
        <v>0</v>
      </c>
      <c r="O1671" s="10">
        <v>0</v>
      </c>
      <c r="P1671">
        <f t="shared" si="105"/>
        <v>1</v>
      </c>
      <c r="Q1671" s="36">
        <f t="shared" si="106"/>
        <v>0</v>
      </c>
      <c r="R1671">
        <f t="shared" si="107"/>
        <v>2023</v>
      </c>
    </row>
    <row r="1672" spans="1:18" x14ac:dyDescent="0.2">
      <c r="A1672" s="23">
        <v>45369</v>
      </c>
      <c r="B1672" s="23">
        <v>45369</v>
      </c>
      <c r="C1672" s="25" t="s">
        <v>398</v>
      </c>
      <c r="D1672" s="20">
        <v>0</v>
      </c>
      <c r="E1672" s="27">
        <v>0</v>
      </c>
      <c r="F1672" s="22" t="s">
        <v>234</v>
      </c>
      <c r="G1672" s="29">
        <v>26400</v>
      </c>
      <c r="H1672" s="39">
        <v>45040</v>
      </c>
      <c r="I1672" s="46">
        <f t="shared" si="104"/>
        <v>329</v>
      </c>
      <c r="J1672" s="4" t="s">
        <v>12</v>
      </c>
      <c r="K1672" s="4" t="s">
        <v>197</v>
      </c>
      <c r="L1672" s="4" t="s">
        <v>223</v>
      </c>
      <c r="M1672" s="7">
        <v>26400</v>
      </c>
      <c r="N1672" s="10">
        <v>0</v>
      </c>
      <c r="O1672" s="10">
        <v>0</v>
      </c>
      <c r="P1672">
        <f t="shared" si="105"/>
        <v>1</v>
      </c>
      <c r="Q1672" s="36">
        <f t="shared" si="106"/>
        <v>0</v>
      </c>
      <c r="R1672">
        <f t="shared" si="107"/>
        <v>2023</v>
      </c>
    </row>
    <row r="1673" spans="1:18" x14ac:dyDescent="0.2">
      <c r="A1673" s="23">
        <v>45376</v>
      </c>
      <c r="B1673" s="23">
        <v>45376</v>
      </c>
      <c r="C1673" s="25" t="s">
        <v>398</v>
      </c>
      <c r="D1673" s="20">
        <v>0</v>
      </c>
      <c r="E1673" s="27">
        <v>0</v>
      </c>
      <c r="F1673" s="22" t="s">
        <v>234</v>
      </c>
      <c r="G1673" s="29">
        <v>26400</v>
      </c>
      <c r="H1673" s="39">
        <v>45040</v>
      </c>
      <c r="I1673" s="46">
        <f t="shared" si="104"/>
        <v>336</v>
      </c>
      <c r="J1673" s="4" t="s">
        <v>12</v>
      </c>
      <c r="K1673" s="4" t="s">
        <v>197</v>
      </c>
      <c r="L1673" s="4" t="s">
        <v>223</v>
      </c>
      <c r="M1673" s="7">
        <v>26400</v>
      </c>
      <c r="N1673" s="10">
        <v>0</v>
      </c>
      <c r="O1673" s="10">
        <v>0</v>
      </c>
      <c r="P1673">
        <f t="shared" si="105"/>
        <v>1</v>
      </c>
      <c r="Q1673" s="36">
        <f t="shared" si="106"/>
        <v>0</v>
      </c>
      <c r="R1673">
        <f t="shared" si="107"/>
        <v>2023</v>
      </c>
    </row>
    <row r="1674" spans="1:18" x14ac:dyDescent="0.2">
      <c r="A1674" s="23">
        <v>45383</v>
      </c>
      <c r="B1674" s="23">
        <v>45383</v>
      </c>
      <c r="C1674" s="25" t="s">
        <v>398</v>
      </c>
      <c r="D1674" s="20">
        <v>0</v>
      </c>
      <c r="E1674" s="27">
        <v>0</v>
      </c>
      <c r="F1674" s="22" t="s">
        <v>234</v>
      </c>
      <c r="G1674" s="29">
        <v>26400</v>
      </c>
      <c r="H1674" s="39">
        <v>45040</v>
      </c>
      <c r="I1674" s="46">
        <f t="shared" si="104"/>
        <v>343</v>
      </c>
      <c r="J1674" s="4" t="s">
        <v>12</v>
      </c>
      <c r="K1674" s="4" t="s">
        <v>197</v>
      </c>
      <c r="L1674" s="4" t="s">
        <v>223</v>
      </c>
      <c r="M1674" s="7">
        <v>26400</v>
      </c>
      <c r="N1674" s="10">
        <v>0</v>
      </c>
      <c r="O1674" s="10">
        <v>0</v>
      </c>
      <c r="P1674">
        <f t="shared" si="105"/>
        <v>1</v>
      </c>
      <c r="Q1674" s="36">
        <f t="shared" si="106"/>
        <v>0</v>
      </c>
      <c r="R1674">
        <f t="shared" si="107"/>
        <v>2023</v>
      </c>
    </row>
    <row r="1675" spans="1:18" x14ac:dyDescent="0.2">
      <c r="A1675" s="23">
        <v>45390</v>
      </c>
      <c r="B1675" s="23">
        <v>45390</v>
      </c>
      <c r="C1675" s="25" t="s">
        <v>398</v>
      </c>
      <c r="D1675" s="20">
        <v>0</v>
      </c>
      <c r="E1675" s="27">
        <v>0</v>
      </c>
      <c r="F1675" s="22" t="s">
        <v>234</v>
      </c>
      <c r="G1675" s="29">
        <v>26400</v>
      </c>
      <c r="H1675" s="39">
        <v>45040</v>
      </c>
      <c r="I1675" s="46">
        <f t="shared" si="104"/>
        <v>350</v>
      </c>
      <c r="J1675" s="4" t="s">
        <v>12</v>
      </c>
      <c r="K1675" s="4" t="s">
        <v>197</v>
      </c>
      <c r="L1675" s="4" t="s">
        <v>223</v>
      </c>
      <c r="M1675" s="7">
        <v>26400</v>
      </c>
      <c r="N1675" s="10">
        <v>0</v>
      </c>
      <c r="O1675" s="10">
        <v>0</v>
      </c>
      <c r="P1675">
        <f t="shared" si="105"/>
        <v>1</v>
      </c>
      <c r="Q1675" s="36">
        <f t="shared" si="106"/>
        <v>0</v>
      </c>
      <c r="R1675">
        <f t="shared" si="107"/>
        <v>2023</v>
      </c>
    </row>
    <row r="1676" spans="1:18" x14ac:dyDescent="0.2">
      <c r="A1676" s="23">
        <v>45397</v>
      </c>
      <c r="B1676" s="23">
        <v>45397</v>
      </c>
      <c r="C1676" s="25" t="s">
        <v>398</v>
      </c>
      <c r="D1676" s="20">
        <v>0</v>
      </c>
      <c r="E1676" s="27">
        <v>0</v>
      </c>
      <c r="F1676" s="22" t="s">
        <v>234</v>
      </c>
      <c r="G1676" s="29">
        <v>26400</v>
      </c>
      <c r="H1676" s="39">
        <v>45040</v>
      </c>
      <c r="I1676" s="46">
        <f t="shared" si="104"/>
        <v>357</v>
      </c>
      <c r="J1676" s="4" t="s">
        <v>12</v>
      </c>
      <c r="K1676" s="4" t="s">
        <v>197</v>
      </c>
      <c r="L1676" s="4" t="s">
        <v>223</v>
      </c>
      <c r="M1676" s="7">
        <v>26400</v>
      </c>
      <c r="N1676" s="10">
        <v>0</v>
      </c>
      <c r="O1676" s="10">
        <v>0</v>
      </c>
      <c r="P1676">
        <f t="shared" si="105"/>
        <v>1</v>
      </c>
      <c r="Q1676" s="36">
        <f t="shared" si="106"/>
        <v>0</v>
      </c>
      <c r="R1676">
        <f t="shared" si="107"/>
        <v>2023</v>
      </c>
    </row>
    <row r="1677" spans="1:18" x14ac:dyDescent="0.2">
      <c r="A1677" s="23">
        <v>45404</v>
      </c>
      <c r="B1677" s="23">
        <v>45404</v>
      </c>
      <c r="C1677" s="25" t="s">
        <v>398</v>
      </c>
      <c r="D1677" s="20">
        <v>0</v>
      </c>
      <c r="E1677" s="27">
        <v>0</v>
      </c>
      <c r="F1677" s="22" t="s">
        <v>234</v>
      </c>
      <c r="G1677" s="29">
        <v>26400</v>
      </c>
      <c r="H1677" s="39">
        <v>45040</v>
      </c>
      <c r="I1677" s="46">
        <f t="shared" si="104"/>
        <v>364</v>
      </c>
      <c r="J1677" s="4" t="s">
        <v>12</v>
      </c>
      <c r="K1677" s="4" t="s">
        <v>197</v>
      </c>
      <c r="L1677" s="4" t="s">
        <v>223</v>
      </c>
      <c r="M1677" s="7">
        <v>26400</v>
      </c>
      <c r="N1677" s="10">
        <v>0</v>
      </c>
      <c r="O1677" s="10">
        <v>0</v>
      </c>
      <c r="P1677">
        <f t="shared" si="105"/>
        <v>1</v>
      </c>
      <c r="Q1677" s="36">
        <f t="shared" si="106"/>
        <v>0</v>
      </c>
      <c r="R1677">
        <f t="shared" si="107"/>
        <v>2023</v>
      </c>
    </row>
    <row r="1678" spans="1:18" x14ac:dyDescent="0.2">
      <c r="A1678" s="23">
        <v>45411</v>
      </c>
      <c r="B1678" s="23">
        <v>45411</v>
      </c>
      <c r="C1678" s="25" t="s">
        <v>398</v>
      </c>
      <c r="D1678" s="20">
        <v>0</v>
      </c>
      <c r="E1678" s="27">
        <v>0</v>
      </c>
      <c r="F1678" s="22" t="s">
        <v>234</v>
      </c>
      <c r="G1678" s="29">
        <v>26400</v>
      </c>
      <c r="H1678" s="39">
        <v>45040</v>
      </c>
      <c r="I1678" s="46">
        <f t="shared" si="104"/>
        <v>371</v>
      </c>
      <c r="J1678" s="4" t="s">
        <v>12</v>
      </c>
      <c r="K1678" s="4" t="s">
        <v>197</v>
      </c>
      <c r="L1678" s="4" t="s">
        <v>223</v>
      </c>
      <c r="M1678" s="7">
        <v>26400</v>
      </c>
      <c r="N1678" s="10">
        <v>0</v>
      </c>
      <c r="O1678" s="10">
        <v>0</v>
      </c>
      <c r="P1678">
        <f t="shared" si="105"/>
        <v>1</v>
      </c>
      <c r="Q1678" s="36">
        <f t="shared" si="106"/>
        <v>0</v>
      </c>
      <c r="R1678">
        <f t="shared" si="107"/>
        <v>2023</v>
      </c>
    </row>
    <row r="1679" spans="1:18" x14ac:dyDescent="0.2">
      <c r="A1679" s="23">
        <v>45418</v>
      </c>
      <c r="B1679" s="23">
        <v>45418</v>
      </c>
      <c r="C1679" s="25" t="s">
        <v>398</v>
      </c>
      <c r="D1679" s="20">
        <v>0</v>
      </c>
      <c r="E1679" s="27">
        <v>0</v>
      </c>
      <c r="F1679" s="22" t="s">
        <v>234</v>
      </c>
      <c r="G1679" s="29">
        <v>21120</v>
      </c>
      <c r="H1679" s="39">
        <v>45040</v>
      </c>
      <c r="I1679" s="46">
        <f t="shared" si="104"/>
        <v>378</v>
      </c>
      <c r="J1679" s="4" t="s">
        <v>12</v>
      </c>
      <c r="K1679" s="4" t="s">
        <v>197</v>
      </c>
      <c r="L1679" s="4" t="s">
        <v>223</v>
      </c>
      <c r="M1679" s="7">
        <v>21120</v>
      </c>
      <c r="N1679" s="10">
        <v>0</v>
      </c>
      <c r="O1679" s="10">
        <v>0</v>
      </c>
      <c r="P1679">
        <f t="shared" si="105"/>
        <v>1</v>
      </c>
      <c r="Q1679" s="36">
        <f t="shared" si="106"/>
        <v>0</v>
      </c>
      <c r="R1679">
        <f t="shared" si="107"/>
        <v>2023</v>
      </c>
    </row>
    <row r="1680" spans="1:18" x14ac:dyDescent="0.2">
      <c r="A1680" s="23">
        <v>45425</v>
      </c>
      <c r="B1680" s="23">
        <v>45425</v>
      </c>
      <c r="C1680" s="25" t="s">
        <v>398</v>
      </c>
      <c r="D1680" s="20">
        <v>0</v>
      </c>
      <c r="E1680" s="27">
        <v>0</v>
      </c>
      <c r="F1680" s="22" t="s">
        <v>234</v>
      </c>
      <c r="G1680" s="29">
        <v>26400</v>
      </c>
      <c r="H1680" s="39">
        <v>45040</v>
      </c>
      <c r="I1680" s="46">
        <f t="shared" si="104"/>
        <v>385</v>
      </c>
      <c r="J1680" s="4" t="s">
        <v>12</v>
      </c>
      <c r="K1680" s="4" t="s">
        <v>197</v>
      </c>
      <c r="L1680" s="4" t="s">
        <v>223</v>
      </c>
      <c r="M1680" s="7">
        <v>26400</v>
      </c>
      <c r="N1680" s="10">
        <v>0</v>
      </c>
      <c r="O1680" s="10">
        <v>0</v>
      </c>
      <c r="P1680">
        <f t="shared" si="105"/>
        <v>1</v>
      </c>
      <c r="Q1680" s="36">
        <f t="shared" si="106"/>
        <v>0</v>
      </c>
      <c r="R1680">
        <f t="shared" si="107"/>
        <v>2023</v>
      </c>
    </row>
    <row r="1681" spans="1:18" x14ac:dyDescent="0.2">
      <c r="A1681" s="23">
        <v>45432</v>
      </c>
      <c r="B1681" s="23">
        <v>45432</v>
      </c>
      <c r="C1681" s="25" t="s">
        <v>398</v>
      </c>
      <c r="D1681" s="20">
        <v>0</v>
      </c>
      <c r="E1681" s="27">
        <v>0</v>
      </c>
      <c r="F1681" s="22" t="s">
        <v>234</v>
      </c>
      <c r="G1681" s="29">
        <v>21120</v>
      </c>
      <c r="H1681" s="39">
        <v>45040</v>
      </c>
      <c r="I1681" s="46">
        <f t="shared" si="104"/>
        <v>392</v>
      </c>
      <c r="J1681" s="4" t="s">
        <v>12</v>
      </c>
      <c r="K1681" s="4" t="s">
        <v>197</v>
      </c>
      <c r="L1681" s="4" t="s">
        <v>223</v>
      </c>
      <c r="M1681" s="7">
        <v>21120</v>
      </c>
      <c r="N1681" s="10">
        <v>0</v>
      </c>
      <c r="O1681" s="10">
        <v>0</v>
      </c>
      <c r="P1681">
        <f t="shared" si="105"/>
        <v>1</v>
      </c>
      <c r="Q1681" s="36">
        <f t="shared" si="106"/>
        <v>0</v>
      </c>
      <c r="R1681">
        <f t="shared" si="107"/>
        <v>2023</v>
      </c>
    </row>
    <row r="1682" spans="1:18" x14ac:dyDescent="0.2">
      <c r="A1682" s="23">
        <v>45439</v>
      </c>
      <c r="B1682" s="23">
        <v>45439</v>
      </c>
      <c r="C1682" s="25" t="s">
        <v>398</v>
      </c>
      <c r="D1682" s="20">
        <v>0</v>
      </c>
      <c r="E1682" s="27">
        <v>0</v>
      </c>
      <c r="F1682" s="22" t="s">
        <v>234</v>
      </c>
      <c r="G1682" s="29">
        <v>21120</v>
      </c>
      <c r="H1682" s="39">
        <v>45040</v>
      </c>
      <c r="I1682" s="46">
        <f t="shared" si="104"/>
        <v>399</v>
      </c>
      <c r="J1682" s="4" t="s">
        <v>12</v>
      </c>
      <c r="K1682" s="4" t="s">
        <v>197</v>
      </c>
      <c r="L1682" s="4" t="s">
        <v>223</v>
      </c>
      <c r="M1682" s="7">
        <v>21120</v>
      </c>
      <c r="N1682" s="10">
        <v>0</v>
      </c>
      <c r="O1682" s="10">
        <v>0</v>
      </c>
      <c r="P1682">
        <f t="shared" si="105"/>
        <v>1</v>
      </c>
      <c r="Q1682" s="36">
        <f t="shared" si="106"/>
        <v>0</v>
      </c>
      <c r="R1682">
        <f t="shared" si="107"/>
        <v>2023</v>
      </c>
    </row>
    <row r="1683" spans="1:18" x14ac:dyDescent="0.2">
      <c r="A1683" s="23">
        <v>45446</v>
      </c>
      <c r="B1683" s="23">
        <v>45446</v>
      </c>
      <c r="C1683" s="25" t="s">
        <v>398</v>
      </c>
      <c r="D1683" s="20">
        <v>0</v>
      </c>
      <c r="E1683" s="27">
        <v>0</v>
      </c>
      <c r="F1683" s="22" t="s">
        <v>234</v>
      </c>
      <c r="G1683" s="29">
        <v>21120</v>
      </c>
      <c r="H1683" s="39">
        <v>45040</v>
      </c>
      <c r="I1683" s="46">
        <f t="shared" si="104"/>
        <v>406</v>
      </c>
      <c r="J1683" s="4" t="s">
        <v>12</v>
      </c>
      <c r="K1683" s="4" t="s">
        <v>197</v>
      </c>
      <c r="L1683" s="4" t="s">
        <v>223</v>
      </c>
      <c r="M1683" s="7">
        <v>21120</v>
      </c>
      <c r="N1683" s="10">
        <v>0</v>
      </c>
      <c r="O1683" s="10">
        <v>0</v>
      </c>
      <c r="P1683">
        <f t="shared" si="105"/>
        <v>1</v>
      </c>
      <c r="Q1683" s="36">
        <f t="shared" si="106"/>
        <v>0</v>
      </c>
      <c r="R1683">
        <f t="shared" si="107"/>
        <v>2023</v>
      </c>
    </row>
    <row r="1684" spans="1:18" x14ac:dyDescent="0.2">
      <c r="A1684" s="23">
        <v>45453</v>
      </c>
      <c r="B1684" s="23">
        <v>45453</v>
      </c>
      <c r="C1684" s="25" t="s">
        <v>398</v>
      </c>
      <c r="D1684" s="20">
        <v>0</v>
      </c>
      <c r="E1684" s="27">
        <v>0</v>
      </c>
      <c r="F1684" s="22" t="s">
        <v>234</v>
      </c>
      <c r="G1684" s="29">
        <v>21120</v>
      </c>
      <c r="H1684" s="39">
        <v>45040</v>
      </c>
      <c r="I1684" s="46">
        <f t="shared" si="104"/>
        <v>413</v>
      </c>
      <c r="J1684" s="4" t="s">
        <v>12</v>
      </c>
      <c r="K1684" s="4" t="s">
        <v>197</v>
      </c>
      <c r="L1684" s="4" t="s">
        <v>223</v>
      </c>
      <c r="M1684" s="7">
        <v>21120</v>
      </c>
      <c r="N1684" s="10">
        <v>0</v>
      </c>
      <c r="O1684" s="10">
        <v>0</v>
      </c>
      <c r="P1684">
        <f t="shared" si="105"/>
        <v>1</v>
      </c>
      <c r="Q1684" s="36">
        <f t="shared" si="106"/>
        <v>0</v>
      </c>
      <c r="R1684">
        <f t="shared" si="107"/>
        <v>2023</v>
      </c>
    </row>
    <row r="1685" spans="1:18" x14ac:dyDescent="0.2">
      <c r="A1685" s="23">
        <v>45467</v>
      </c>
      <c r="B1685" s="23">
        <v>45467</v>
      </c>
      <c r="C1685" s="25" t="s">
        <v>398</v>
      </c>
      <c r="D1685" s="20">
        <v>0</v>
      </c>
      <c r="E1685" s="27">
        <v>0</v>
      </c>
      <c r="F1685" s="22" t="s">
        <v>234</v>
      </c>
      <c r="G1685" s="29">
        <v>10560</v>
      </c>
      <c r="H1685" s="39">
        <v>45040</v>
      </c>
      <c r="I1685" s="46">
        <f t="shared" si="104"/>
        <v>427</v>
      </c>
      <c r="J1685" s="4" t="s">
        <v>12</v>
      </c>
      <c r="K1685" s="4" t="s">
        <v>197</v>
      </c>
      <c r="L1685" s="4" t="s">
        <v>223</v>
      </c>
      <c r="M1685" s="7">
        <v>10560</v>
      </c>
      <c r="N1685" s="10">
        <v>0</v>
      </c>
      <c r="O1685" s="10">
        <v>0</v>
      </c>
      <c r="P1685">
        <f t="shared" si="105"/>
        <v>1</v>
      </c>
      <c r="Q1685" s="36">
        <f t="shared" si="106"/>
        <v>0</v>
      </c>
      <c r="R1685">
        <f t="shared" si="107"/>
        <v>2023</v>
      </c>
    </row>
    <row r="1686" spans="1:18" x14ac:dyDescent="0.2">
      <c r="A1686" s="23">
        <v>45474</v>
      </c>
      <c r="B1686" s="23">
        <v>45474</v>
      </c>
      <c r="C1686" s="25" t="s">
        <v>398</v>
      </c>
      <c r="D1686" s="20">
        <v>0</v>
      </c>
      <c r="E1686" s="27">
        <v>0</v>
      </c>
      <c r="F1686" s="22" t="s">
        <v>234</v>
      </c>
      <c r="G1686" s="29">
        <v>10560</v>
      </c>
      <c r="H1686" s="39">
        <v>45040</v>
      </c>
      <c r="I1686" s="46">
        <f t="shared" si="104"/>
        <v>434</v>
      </c>
      <c r="J1686" s="4" t="s">
        <v>12</v>
      </c>
      <c r="K1686" s="4" t="s">
        <v>197</v>
      </c>
      <c r="L1686" s="4" t="s">
        <v>223</v>
      </c>
      <c r="M1686" s="7">
        <v>10560</v>
      </c>
      <c r="N1686" s="10">
        <v>0</v>
      </c>
      <c r="O1686" s="10">
        <v>0</v>
      </c>
      <c r="P1686">
        <f t="shared" si="105"/>
        <v>1</v>
      </c>
      <c r="Q1686" s="36">
        <f t="shared" si="106"/>
        <v>0</v>
      </c>
      <c r="R1686">
        <f t="shared" si="107"/>
        <v>2023</v>
      </c>
    </row>
    <row r="1687" spans="1:18" x14ac:dyDescent="0.2">
      <c r="A1687" s="23">
        <v>45481</v>
      </c>
      <c r="B1687" s="23">
        <v>45481</v>
      </c>
      <c r="C1687" s="25" t="s">
        <v>398</v>
      </c>
      <c r="D1687" s="20">
        <v>0</v>
      </c>
      <c r="E1687" s="27">
        <v>0</v>
      </c>
      <c r="F1687" s="22" t="s">
        <v>234</v>
      </c>
      <c r="G1687" s="29">
        <v>15840</v>
      </c>
      <c r="H1687" s="39">
        <v>45040</v>
      </c>
      <c r="I1687" s="46">
        <f t="shared" si="104"/>
        <v>441</v>
      </c>
      <c r="J1687" s="4" t="s">
        <v>12</v>
      </c>
      <c r="K1687" s="4" t="s">
        <v>197</v>
      </c>
      <c r="L1687" s="4" t="s">
        <v>223</v>
      </c>
      <c r="M1687" s="7">
        <v>15840</v>
      </c>
      <c r="N1687" s="10">
        <v>0</v>
      </c>
      <c r="O1687" s="10">
        <v>0</v>
      </c>
      <c r="P1687">
        <f t="shared" si="105"/>
        <v>1</v>
      </c>
      <c r="Q1687" s="36">
        <f t="shared" si="106"/>
        <v>0</v>
      </c>
      <c r="R1687">
        <f t="shared" si="107"/>
        <v>2023</v>
      </c>
    </row>
    <row r="1688" spans="1:18" x14ac:dyDescent="0.2">
      <c r="A1688" s="23">
        <v>45488</v>
      </c>
      <c r="B1688" s="23">
        <v>45488</v>
      </c>
      <c r="C1688" s="25" t="s">
        <v>398</v>
      </c>
      <c r="D1688" s="20">
        <v>0</v>
      </c>
      <c r="E1688" s="27">
        <v>0</v>
      </c>
      <c r="F1688" s="22" t="s">
        <v>234</v>
      </c>
      <c r="G1688" s="29">
        <v>10560</v>
      </c>
      <c r="H1688" s="39">
        <v>45040</v>
      </c>
      <c r="I1688" s="46">
        <f t="shared" si="104"/>
        <v>448</v>
      </c>
      <c r="J1688" s="4" t="s">
        <v>12</v>
      </c>
      <c r="K1688" s="4" t="s">
        <v>197</v>
      </c>
      <c r="L1688" s="4" t="s">
        <v>223</v>
      </c>
      <c r="M1688" s="7">
        <v>10560</v>
      </c>
      <c r="N1688" s="10">
        <v>0</v>
      </c>
      <c r="O1688" s="10">
        <v>0</v>
      </c>
      <c r="P1688">
        <f t="shared" si="105"/>
        <v>1</v>
      </c>
      <c r="Q1688" s="36">
        <f t="shared" si="106"/>
        <v>0</v>
      </c>
      <c r="R1688">
        <f t="shared" si="107"/>
        <v>2023</v>
      </c>
    </row>
    <row r="1689" spans="1:18" x14ac:dyDescent="0.2">
      <c r="A1689" s="23">
        <v>45495</v>
      </c>
      <c r="B1689" s="23">
        <v>45495</v>
      </c>
      <c r="C1689" s="25" t="s">
        <v>398</v>
      </c>
      <c r="D1689" s="20">
        <v>0</v>
      </c>
      <c r="E1689" s="27">
        <v>0</v>
      </c>
      <c r="F1689" s="22" t="s">
        <v>234</v>
      </c>
      <c r="G1689" s="29">
        <v>10560</v>
      </c>
      <c r="H1689" s="39">
        <v>45040</v>
      </c>
      <c r="I1689" s="46">
        <f t="shared" si="104"/>
        <v>455</v>
      </c>
      <c r="J1689" s="4" t="s">
        <v>12</v>
      </c>
      <c r="K1689" s="4" t="s">
        <v>197</v>
      </c>
      <c r="L1689" s="4" t="s">
        <v>223</v>
      </c>
      <c r="M1689" s="7">
        <v>10560</v>
      </c>
      <c r="N1689" s="10">
        <v>0</v>
      </c>
      <c r="O1689" s="10">
        <v>0</v>
      </c>
      <c r="P1689">
        <f t="shared" si="105"/>
        <v>1</v>
      </c>
      <c r="Q1689" s="36">
        <f t="shared" si="106"/>
        <v>0</v>
      </c>
      <c r="R1689">
        <f t="shared" si="107"/>
        <v>2023</v>
      </c>
    </row>
    <row r="1690" spans="1:18" x14ac:dyDescent="0.2">
      <c r="A1690" s="23">
        <v>45502</v>
      </c>
      <c r="B1690" s="23">
        <v>45502</v>
      </c>
      <c r="C1690" s="25" t="s">
        <v>398</v>
      </c>
      <c r="D1690" s="20">
        <v>0</v>
      </c>
      <c r="E1690" s="27">
        <v>0</v>
      </c>
      <c r="F1690" s="22" t="s">
        <v>234</v>
      </c>
      <c r="G1690" s="29">
        <v>10560</v>
      </c>
      <c r="H1690" s="39">
        <v>45040</v>
      </c>
      <c r="I1690" s="46">
        <f t="shared" si="104"/>
        <v>462</v>
      </c>
      <c r="J1690" s="4" t="s">
        <v>12</v>
      </c>
      <c r="K1690" s="4" t="s">
        <v>197</v>
      </c>
      <c r="L1690" s="4" t="s">
        <v>223</v>
      </c>
      <c r="M1690" s="7">
        <v>10560</v>
      </c>
      <c r="N1690" s="10">
        <v>0</v>
      </c>
      <c r="O1690" s="10">
        <v>0</v>
      </c>
      <c r="P1690">
        <f t="shared" si="105"/>
        <v>1</v>
      </c>
      <c r="Q1690" s="36">
        <f t="shared" si="106"/>
        <v>0</v>
      </c>
      <c r="R1690">
        <f t="shared" si="107"/>
        <v>2023</v>
      </c>
    </row>
    <row r="1691" spans="1:18" x14ac:dyDescent="0.2">
      <c r="A1691" s="23">
        <v>45509</v>
      </c>
      <c r="B1691" s="23">
        <v>45509</v>
      </c>
      <c r="C1691" s="25" t="s">
        <v>398</v>
      </c>
      <c r="D1691" s="20">
        <v>0</v>
      </c>
      <c r="E1691" s="27">
        <v>0</v>
      </c>
      <c r="F1691" s="22" t="s">
        <v>234</v>
      </c>
      <c r="G1691" s="29">
        <v>10560</v>
      </c>
      <c r="H1691" s="39">
        <v>45040</v>
      </c>
      <c r="I1691" s="46">
        <f t="shared" si="104"/>
        <v>469</v>
      </c>
      <c r="J1691" s="4" t="s">
        <v>12</v>
      </c>
      <c r="K1691" s="4" t="s">
        <v>197</v>
      </c>
      <c r="L1691" s="4" t="s">
        <v>223</v>
      </c>
      <c r="M1691" s="7">
        <v>10560</v>
      </c>
      <c r="N1691" s="10">
        <v>0</v>
      </c>
      <c r="O1691" s="10">
        <v>0</v>
      </c>
      <c r="P1691">
        <f t="shared" si="105"/>
        <v>1</v>
      </c>
      <c r="Q1691" s="36">
        <f t="shared" si="106"/>
        <v>0</v>
      </c>
      <c r="R1691">
        <f t="shared" si="107"/>
        <v>2023</v>
      </c>
    </row>
    <row r="1692" spans="1:18" x14ac:dyDescent="0.2">
      <c r="A1692" s="23">
        <v>45516</v>
      </c>
      <c r="B1692" s="23">
        <v>45516</v>
      </c>
      <c r="C1692" s="25" t="s">
        <v>398</v>
      </c>
      <c r="D1692" s="20">
        <v>0</v>
      </c>
      <c r="E1692" s="27">
        <v>0</v>
      </c>
      <c r="F1692" s="22" t="s">
        <v>234</v>
      </c>
      <c r="G1692" s="29">
        <v>10560</v>
      </c>
      <c r="H1692" s="39">
        <v>45040</v>
      </c>
      <c r="I1692" s="46">
        <f t="shared" si="104"/>
        <v>476</v>
      </c>
      <c r="J1692" s="4" t="s">
        <v>12</v>
      </c>
      <c r="K1692" s="4" t="s">
        <v>197</v>
      </c>
      <c r="L1692" s="4" t="s">
        <v>223</v>
      </c>
      <c r="M1692" s="7">
        <v>10560</v>
      </c>
      <c r="N1692" s="10">
        <v>0</v>
      </c>
      <c r="O1692" s="10">
        <v>0</v>
      </c>
      <c r="P1692">
        <f t="shared" si="105"/>
        <v>1</v>
      </c>
      <c r="Q1692" s="36">
        <f t="shared" si="106"/>
        <v>0</v>
      </c>
      <c r="R1692">
        <f t="shared" si="107"/>
        <v>2023</v>
      </c>
    </row>
    <row r="1693" spans="1:18" x14ac:dyDescent="0.2">
      <c r="A1693" s="23">
        <v>45523</v>
      </c>
      <c r="B1693" s="23">
        <v>45523</v>
      </c>
      <c r="C1693" s="25" t="s">
        <v>398</v>
      </c>
      <c r="D1693" s="20">
        <v>0</v>
      </c>
      <c r="E1693" s="27">
        <v>0</v>
      </c>
      <c r="F1693" s="22" t="s">
        <v>234</v>
      </c>
      <c r="G1693" s="29">
        <v>10560</v>
      </c>
      <c r="H1693" s="39">
        <v>45040</v>
      </c>
      <c r="I1693" s="46">
        <f t="shared" si="104"/>
        <v>483</v>
      </c>
      <c r="J1693" s="4" t="s">
        <v>12</v>
      </c>
      <c r="K1693" s="4" t="s">
        <v>197</v>
      </c>
      <c r="L1693" s="4" t="s">
        <v>223</v>
      </c>
      <c r="M1693" s="7">
        <v>10560</v>
      </c>
      <c r="N1693" s="10">
        <v>0</v>
      </c>
      <c r="O1693" s="10">
        <v>0</v>
      </c>
      <c r="P1693">
        <f t="shared" si="105"/>
        <v>1</v>
      </c>
      <c r="Q1693" s="36">
        <f t="shared" si="106"/>
        <v>0</v>
      </c>
      <c r="R1693">
        <f t="shared" si="107"/>
        <v>2023</v>
      </c>
    </row>
    <row r="1694" spans="1:18" x14ac:dyDescent="0.2">
      <c r="A1694" s="23">
        <v>45530</v>
      </c>
      <c r="B1694" s="23">
        <v>45530</v>
      </c>
      <c r="C1694" s="25" t="s">
        <v>398</v>
      </c>
      <c r="D1694" s="20">
        <v>0</v>
      </c>
      <c r="E1694" s="27">
        <v>0</v>
      </c>
      <c r="F1694" s="22" t="s">
        <v>234</v>
      </c>
      <c r="G1694" s="29">
        <v>10560</v>
      </c>
      <c r="H1694" s="39">
        <v>45040</v>
      </c>
      <c r="I1694" s="46">
        <f t="shared" si="104"/>
        <v>490</v>
      </c>
      <c r="J1694" s="4" t="s">
        <v>12</v>
      </c>
      <c r="K1694" s="4" t="s">
        <v>197</v>
      </c>
      <c r="L1694" s="4" t="s">
        <v>223</v>
      </c>
      <c r="M1694" s="7">
        <v>10560</v>
      </c>
      <c r="N1694" s="10">
        <v>0</v>
      </c>
      <c r="O1694" s="10">
        <v>0</v>
      </c>
      <c r="P1694">
        <f t="shared" si="105"/>
        <v>1</v>
      </c>
      <c r="Q1694" s="36">
        <f t="shared" si="106"/>
        <v>0</v>
      </c>
      <c r="R1694">
        <f t="shared" si="107"/>
        <v>2023</v>
      </c>
    </row>
    <row r="1695" spans="1:18" x14ac:dyDescent="0.2">
      <c r="A1695" s="23">
        <v>45537</v>
      </c>
      <c r="B1695" s="23">
        <v>45537</v>
      </c>
      <c r="C1695" s="25" t="s">
        <v>398</v>
      </c>
      <c r="D1695" s="20">
        <v>0</v>
      </c>
      <c r="E1695" s="27">
        <v>0</v>
      </c>
      <c r="F1695" s="22" t="s">
        <v>234</v>
      </c>
      <c r="G1695" s="29">
        <v>10560</v>
      </c>
      <c r="H1695" s="39">
        <v>45040</v>
      </c>
      <c r="I1695" s="46">
        <f t="shared" si="104"/>
        <v>497</v>
      </c>
      <c r="J1695" s="4" t="s">
        <v>12</v>
      </c>
      <c r="K1695" s="4" t="s">
        <v>197</v>
      </c>
      <c r="L1695" s="4" t="s">
        <v>223</v>
      </c>
      <c r="M1695" s="7">
        <v>10560</v>
      </c>
      <c r="N1695" s="10">
        <v>0</v>
      </c>
      <c r="O1695" s="10">
        <v>0</v>
      </c>
      <c r="P1695">
        <f t="shared" si="105"/>
        <v>1</v>
      </c>
      <c r="Q1695" s="36">
        <f t="shared" si="106"/>
        <v>0</v>
      </c>
      <c r="R1695">
        <f t="shared" si="107"/>
        <v>2023</v>
      </c>
    </row>
    <row r="1696" spans="1:18" x14ac:dyDescent="0.2">
      <c r="A1696" s="23">
        <v>45544</v>
      </c>
      <c r="B1696" s="23">
        <v>45544</v>
      </c>
      <c r="C1696" s="25" t="s">
        <v>398</v>
      </c>
      <c r="D1696" s="20">
        <v>0</v>
      </c>
      <c r="E1696" s="27">
        <v>0</v>
      </c>
      <c r="F1696" s="22" t="s">
        <v>234</v>
      </c>
      <c r="G1696" s="29">
        <v>15840</v>
      </c>
      <c r="H1696" s="39">
        <v>45040</v>
      </c>
      <c r="I1696" s="46">
        <f t="shared" si="104"/>
        <v>504</v>
      </c>
      <c r="J1696" s="4" t="s">
        <v>12</v>
      </c>
      <c r="K1696" s="4" t="s">
        <v>197</v>
      </c>
      <c r="L1696" s="4" t="s">
        <v>223</v>
      </c>
      <c r="M1696" s="7">
        <v>15840</v>
      </c>
      <c r="N1696" s="10">
        <v>0</v>
      </c>
      <c r="O1696" s="10">
        <v>0</v>
      </c>
      <c r="P1696">
        <f t="shared" si="105"/>
        <v>1</v>
      </c>
      <c r="Q1696" s="36">
        <f t="shared" si="106"/>
        <v>0</v>
      </c>
      <c r="R1696">
        <f t="shared" si="107"/>
        <v>2023</v>
      </c>
    </row>
    <row r="1697" spans="1:18" x14ac:dyDescent="0.2">
      <c r="A1697" s="23">
        <v>45551</v>
      </c>
      <c r="B1697" s="23">
        <v>45551</v>
      </c>
      <c r="C1697" s="25" t="s">
        <v>398</v>
      </c>
      <c r="D1697" s="20">
        <v>0</v>
      </c>
      <c r="E1697" s="27">
        <v>0</v>
      </c>
      <c r="F1697" s="22" t="s">
        <v>234</v>
      </c>
      <c r="G1697" s="29">
        <v>10560</v>
      </c>
      <c r="H1697" s="39">
        <v>45040</v>
      </c>
      <c r="I1697" s="46">
        <f t="shared" si="104"/>
        <v>511</v>
      </c>
      <c r="J1697" s="4" t="s">
        <v>12</v>
      </c>
      <c r="K1697" s="4" t="s">
        <v>197</v>
      </c>
      <c r="L1697" s="4" t="s">
        <v>223</v>
      </c>
      <c r="M1697" s="7">
        <v>10560</v>
      </c>
      <c r="N1697" s="10">
        <v>0</v>
      </c>
      <c r="O1697" s="10">
        <v>0</v>
      </c>
      <c r="P1697">
        <f t="shared" si="105"/>
        <v>1</v>
      </c>
      <c r="Q1697" s="36">
        <f t="shared" si="106"/>
        <v>0</v>
      </c>
      <c r="R1697">
        <f t="shared" si="107"/>
        <v>2023</v>
      </c>
    </row>
    <row r="1698" spans="1:18" x14ac:dyDescent="0.2">
      <c r="A1698" s="23">
        <v>45558</v>
      </c>
      <c r="B1698" s="23">
        <v>45558</v>
      </c>
      <c r="C1698" s="25" t="s">
        <v>398</v>
      </c>
      <c r="D1698" s="20">
        <v>0</v>
      </c>
      <c r="E1698" s="27">
        <v>0</v>
      </c>
      <c r="F1698" s="22" t="s">
        <v>234</v>
      </c>
      <c r="G1698" s="29">
        <v>10560</v>
      </c>
      <c r="H1698" s="39">
        <v>45040</v>
      </c>
      <c r="I1698" s="46">
        <f t="shared" si="104"/>
        <v>518</v>
      </c>
      <c r="J1698" s="4" t="s">
        <v>12</v>
      </c>
      <c r="K1698" s="4" t="s">
        <v>197</v>
      </c>
      <c r="L1698" s="4" t="s">
        <v>223</v>
      </c>
      <c r="M1698" s="7">
        <v>10560</v>
      </c>
      <c r="N1698" s="10">
        <v>0</v>
      </c>
      <c r="O1698" s="10">
        <v>0</v>
      </c>
      <c r="P1698">
        <f t="shared" si="105"/>
        <v>1</v>
      </c>
      <c r="Q1698" s="36">
        <f t="shared" si="106"/>
        <v>0</v>
      </c>
      <c r="R1698">
        <f t="shared" si="107"/>
        <v>2023</v>
      </c>
    </row>
    <row r="1699" spans="1:18" x14ac:dyDescent="0.2">
      <c r="A1699" s="23">
        <v>45565</v>
      </c>
      <c r="B1699" s="23">
        <v>45565</v>
      </c>
      <c r="C1699" s="25" t="s">
        <v>398</v>
      </c>
      <c r="D1699" s="20">
        <v>0</v>
      </c>
      <c r="E1699" s="27">
        <v>0</v>
      </c>
      <c r="F1699" s="22" t="s">
        <v>234</v>
      </c>
      <c r="G1699" s="29">
        <v>15840</v>
      </c>
      <c r="H1699" s="39">
        <v>45040</v>
      </c>
      <c r="I1699" s="46">
        <f t="shared" si="104"/>
        <v>525</v>
      </c>
      <c r="J1699" s="4" t="s">
        <v>12</v>
      </c>
      <c r="K1699" s="4" t="s">
        <v>197</v>
      </c>
      <c r="L1699" s="4" t="s">
        <v>223</v>
      </c>
      <c r="M1699" s="7">
        <v>15840</v>
      </c>
      <c r="N1699" s="10">
        <v>0</v>
      </c>
      <c r="O1699" s="10">
        <v>0</v>
      </c>
      <c r="P1699">
        <f t="shared" si="105"/>
        <v>1</v>
      </c>
      <c r="Q1699" s="36">
        <f t="shared" si="106"/>
        <v>0</v>
      </c>
      <c r="R1699">
        <f t="shared" si="107"/>
        <v>2023</v>
      </c>
    </row>
    <row r="1700" spans="1:18" x14ac:dyDescent="0.2">
      <c r="A1700" s="23">
        <v>45572</v>
      </c>
      <c r="B1700" s="23">
        <v>45572</v>
      </c>
      <c r="C1700" s="25" t="s">
        <v>398</v>
      </c>
      <c r="D1700" s="20">
        <v>0</v>
      </c>
      <c r="E1700" s="27">
        <v>0</v>
      </c>
      <c r="F1700" s="22" t="s">
        <v>234</v>
      </c>
      <c r="G1700" s="29">
        <v>10560</v>
      </c>
      <c r="H1700" s="39">
        <v>45040</v>
      </c>
      <c r="I1700" s="46">
        <f t="shared" si="104"/>
        <v>532</v>
      </c>
      <c r="J1700" s="4" t="s">
        <v>12</v>
      </c>
      <c r="K1700" s="4" t="s">
        <v>197</v>
      </c>
      <c r="L1700" s="4" t="s">
        <v>223</v>
      </c>
      <c r="M1700" s="7">
        <v>10560</v>
      </c>
      <c r="N1700" s="10">
        <v>0</v>
      </c>
      <c r="O1700" s="10">
        <v>0</v>
      </c>
      <c r="P1700">
        <f t="shared" si="105"/>
        <v>1</v>
      </c>
      <c r="Q1700" s="36">
        <f t="shared" si="106"/>
        <v>0</v>
      </c>
      <c r="R1700">
        <f t="shared" si="107"/>
        <v>2023</v>
      </c>
    </row>
    <row r="1701" spans="1:18" x14ac:dyDescent="0.2">
      <c r="A1701" s="23">
        <v>45579</v>
      </c>
      <c r="B1701" s="23">
        <v>45579</v>
      </c>
      <c r="C1701" s="25" t="s">
        <v>398</v>
      </c>
      <c r="D1701" s="20">
        <v>0</v>
      </c>
      <c r="E1701" s="27">
        <v>0</v>
      </c>
      <c r="F1701" s="22" t="s">
        <v>234</v>
      </c>
      <c r="G1701" s="29">
        <v>10560</v>
      </c>
      <c r="H1701" s="39">
        <v>45040</v>
      </c>
      <c r="I1701" s="46">
        <f t="shared" si="104"/>
        <v>539</v>
      </c>
      <c r="J1701" s="4" t="s">
        <v>12</v>
      </c>
      <c r="K1701" s="4" t="s">
        <v>197</v>
      </c>
      <c r="L1701" s="4" t="s">
        <v>223</v>
      </c>
      <c r="M1701" s="7">
        <v>10560</v>
      </c>
      <c r="N1701" s="10">
        <v>0</v>
      </c>
      <c r="O1701" s="10">
        <v>0</v>
      </c>
      <c r="P1701">
        <f t="shared" si="105"/>
        <v>1</v>
      </c>
      <c r="Q1701" s="36">
        <f t="shared" si="106"/>
        <v>0</v>
      </c>
      <c r="R1701">
        <f t="shared" si="107"/>
        <v>2023</v>
      </c>
    </row>
    <row r="1702" spans="1:18" x14ac:dyDescent="0.2">
      <c r="A1702" s="23">
        <v>45586</v>
      </c>
      <c r="B1702" s="23">
        <v>45586</v>
      </c>
      <c r="C1702" s="25" t="s">
        <v>398</v>
      </c>
      <c r="D1702" s="20">
        <v>0</v>
      </c>
      <c r="E1702" s="27">
        <v>0</v>
      </c>
      <c r="F1702" s="22" t="s">
        <v>234</v>
      </c>
      <c r="G1702" s="29">
        <v>26400</v>
      </c>
      <c r="H1702" s="39">
        <v>45040</v>
      </c>
      <c r="I1702" s="46">
        <f t="shared" si="104"/>
        <v>546</v>
      </c>
      <c r="J1702" s="4" t="s">
        <v>12</v>
      </c>
      <c r="K1702" s="4" t="s">
        <v>197</v>
      </c>
      <c r="L1702" s="4" t="s">
        <v>223</v>
      </c>
      <c r="M1702" s="7">
        <v>26400</v>
      </c>
      <c r="N1702" s="10">
        <v>0</v>
      </c>
      <c r="O1702" s="10">
        <v>0</v>
      </c>
      <c r="P1702">
        <f t="shared" si="105"/>
        <v>1</v>
      </c>
      <c r="Q1702" s="36">
        <f t="shared" si="106"/>
        <v>0</v>
      </c>
      <c r="R1702">
        <f t="shared" si="107"/>
        <v>2023</v>
      </c>
    </row>
    <row r="1703" spans="1:18" x14ac:dyDescent="0.2">
      <c r="A1703" s="23">
        <v>45600</v>
      </c>
      <c r="B1703" s="23">
        <v>45600</v>
      </c>
      <c r="C1703" s="25" t="s">
        <v>398</v>
      </c>
      <c r="D1703" s="20">
        <v>0</v>
      </c>
      <c r="E1703" s="27">
        <v>0</v>
      </c>
      <c r="F1703" s="22" t="s">
        <v>234</v>
      </c>
      <c r="G1703" s="29">
        <v>10560</v>
      </c>
      <c r="H1703" s="39">
        <v>45040</v>
      </c>
      <c r="I1703" s="46">
        <f t="shared" si="104"/>
        <v>560</v>
      </c>
      <c r="J1703" s="4" t="s">
        <v>12</v>
      </c>
      <c r="K1703" s="4" t="s">
        <v>197</v>
      </c>
      <c r="L1703" s="4" t="s">
        <v>223</v>
      </c>
      <c r="M1703" s="7">
        <v>10560</v>
      </c>
      <c r="N1703" s="10">
        <v>0</v>
      </c>
      <c r="O1703" s="10">
        <v>0</v>
      </c>
      <c r="P1703">
        <f t="shared" si="105"/>
        <v>1</v>
      </c>
      <c r="Q1703" s="36">
        <f t="shared" si="106"/>
        <v>0</v>
      </c>
      <c r="R1703">
        <f t="shared" si="107"/>
        <v>2023</v>
      </c>
    </row>
    <row r="1704" spans="1:18" x14ac:dyDescent="0.2">
      <c r="A1704" s="23">
        <v>45607</v>
      </c>
      <c r="B1704" s="23">
        <v>45607</v>
      </c>
      <c r="C1704" s="25" t="s">
        <v>398</v>
      </c>
      <c r="D1704" s="20">
        <v>0</v>
      </c>
      <c r="E1704" s="27">
        <v>0</v>
      </c>
      <c r="F1704" s="22" t="s">
        <v>234</v>
      </c>
      <c r="G1704" s="29">
        <v>5280</v>
      </c>
      <c r="H1704" s="39">
        <v>45040</v>
      </c>
      <c r="I1704" s="46">
        <f t="shared" si="104"/>
        <v>567</v>
      </c>
      <c r="J1704" s="4" t="s">
        <v>12</v>
      </c>
      <c r="K1704" s="4" t="s">
        <v>197</v>
      </c>
      <c r="L1704" s="4" t="s">
        <v>223</v>
      </c>
      <c r="M1704" s="7">
        <v>5280</v>
      </c>
      <c r="N1704" s="10">
        <v>0</v>
      </c>
      <c r="O1704" s="10">
        <v>0</v>
      </c>
      <c r="P1704">
        <f t="shared" si="105"/>
        <v>1</v>
      </c>
      <c r="Q1704" s="36">
        <f t="shared" si="106"/>
        <v>0</v>
      </c>
      <c r="R1704">
        <f t="shared" si="107"/>
        <v>2023</v>
      </c>
    </row>
    <row r="1705" spans="1:18" x14ac:dyDescent="0.2">
      <c r="A1705" s="23">
        <v>45614</v>
      </c>
      <c r="B1705" s="23">
        <v>45614</v>
      </c>
      <c r="C1705" s="25" t="s">
        <v>398</v>
      </c>
      <c r="D1705" s="20">
        <v>0</v>
      </c>
      <c r="E1705" s="27">
        <v>0</v>
      </c>
      <c r="F1705" s="22" t="s">
        <v>234</v>
      </c>
      <c r="G1705" s="29">
        <v>10560</v>
      </c>
      <c r="H1705" s="39">
        <v>45040</v>
      </c>
      <c r="I1705" s="46">
        <f t="shared" si="104"/>
        <v>574</v>
      </c>
      <c r="J1705" s="4" t="s">
        <v>12</v>
      </c>
      <c r="K1705" s="4" t="s">
        <v>197</v>
      </c>
      <c r="L1705" s="4" t="s">
        <v>223</v>
      </c>
      <c r="M1705" s="7">
        <v>10560</v>
      </c>
      <c r="N1705" s="10">
        <v>0</v>
      </c>
      <c r="O1705" s="10">
        <v>0</v>
      </c>
      <c r="P1705">
        <f t="shared" si="105"/>
        <v>1</v>
      </c>
      <c r="Q1705" s="36">
        <f t="shared" si="106"/>
        <v>0</v>
      </c>
      <c r="R1705">
        <f t="shared" si="107"/>
        <v>2023</v>
      </c>
    </row>
    <row r="1706" spans="1:18" x14ac:dyDescent="0.2">
      <c r="A1706" s="23">
        <v>45621</v>
      </c>
      <c r="B1706" s="23">
        <v>45621</v>
      </c>
      <c r="C1706" s="25" t="s">
        <v>398</v>
      </c>
      <c r="D1706" s="20">
        <v>0</v>
      </c>
      <c r="E1706" s="27">
        <v>0</v>
      </c>
      <c r="F1706" s="22" t="s">
        <v>234</v>
      </c>
      <c r="G1706" s="29">
        <v>10560</v>
      </c>
      <c r="H1706" s="39">
        <v>45040</v>
      </c>
      <c r="I1706" s="46">
        <f t="shared" si="104"/>
        <v>581</v>
      </c>
      <c r="J1706" s="4" t="s">
        <v>12</v>
      </c>
      <c r="K1706" s="4" t="s">
        <v>197</v>
      </c>
      <c r="L1706" s="4" t="s">
        <v>223</v>
      </c>
      <c r="M1706" s="7">
        <v>10560</v>
      </c>
      <c r="N1706" s="10">
        <v>0</v>
      </c>
      <c r="O1706" s="10">
        <v>0</v>
      </c>
      <c r="P1706">
        <f t="shared" si="105"/>
        <v>1</v>
      </c>
      <c r="Q1706" s="36">
        <f t="shared" si="106"/>
        <v>0</v>
      </c>
      <c r="R1706">
        <f t="shared" si="107"/>
        <v>2023</v>
      </c>
    </row>
    <row r="1707" spans="1:18" x14ac:dyDescent="0.2">
      <c r="A1707" s="23">
        <v>45628</v>
      </c>
      <c r="B1707" s="23">
        <v>45628</v>
      </c>
      <c r="C1707" s="25" t="s">
        <v>398</v>
      </c>
      <c r="D1707" s="20">
        <v>0</v>
      </c>
      <c r="E1707" s="27">
        <v>0</v>
      </c>
      <c r="F1707" s="22" t="s">
        <v>234</v>
      </c>
      <c r="G1707" s="29">
        <v>15840</v>
      </c>
      <c r="H1707" s="39">
        <v>45040</v>
      </c>
      <c r="I1707" s="46">
        <f t="shared" si="104"/>
        <v>588</v>
      </c>
      <c r="J1707" s="4" t="s">
        <v>12</v>
      </c>
      <c r="K1707" s="4" t="s">
        <v>197</v>
      </c>
      <c r="L1707" s="4" t="s">
        <v>223</v>
      </c>
      <c r="M1707" s="7">
        <v>15840</v>
      </c>
      <c r="N1707" s="10">
        <v>0</v>
      </c>
      <c r="O1707" s="10">
        <v>0</v>
      </c>
      <c r="P1707">
        <f t="shared" si="105"/>
        <v>1</v>
      </c>
      <c r="Q1707" s="36">
        <f t="shared" si="106"/>
        <v>0</v>
      </c>
      <c r="R1707">
        <f t="shared" si="107"/>
        <v>2023</v>
      </c>
    </row>
    <row r="1708" spans="1:18" x14ac:dyDescent="0.2">
      <c r="A1708" s="23">
        <v>45635</v>
      </c>
      <c r="B1708" s="23">
        <v>45635</v>
      </c>
      <c r="C1708" s="25" t="s">
        <v>398</v>
      </c>
      <c r="D1708" s="20">
        <v>0</v>
      </c>
      <c r="E1708" s="27">
        <v>0</v>
      </c>
      <c r="F1708" s="22" t="s">
        <v>234</v>
      </c>
      <c r="G1708" s="29">
        <v>15840</v>
      </c>
      <c r="H1708" s="39">
        <v>45040</v>
      </c>
      <c r="I1708" s="46">
        <f t="shared" si="104"/>
        <v>595</v>
      </c>
      <c r="J1708" s="4" t="s">
        <v>12</v>
      </c>
      <c r="K1708" s="4" t="s">
        <v>197</v>
      </c>
      <c r="L1708" s="4" t="s">
        <v>223</v>
      </c>
      <c r="M1708" s="7">
        <v>15840</v>
      </c>
      <c r="N1708" s="10">
        <v>0</v>
      </c>
      <c r="O1708" s="10">
        <v>0</v>
      </c>
      <c r="P1708">
        <f t="shared" si="105"/>
        <v>1</v>
      </c>
      <c r="Q1708" s="36">
        <f t="shared" si="106"/>
        <v>0</v>
      </c>
      <c r="R1708">
        <f t="shared" si="107"/>
        <v>2023</v>
      </c>
    </row>
    <row r="1709" spans="1:18" x14ac:dyDescent="0.2">
      <c r="A1709" s="23">
        <v>45642</v>
      </c>
      <c r="B1709" s="23">
        <v>45642</v>
      </c>
      <c r="C1709" s="25" t="s">
        <v>398</v>
      </c>
      <c r="D1709" s="20">
        <v>0</v>
      </c>
      <c r="E1709" s="27">
        <v>0</v>
      </c>
      <c r="F1709" s="22" t="s">
        <v>234</v>
      </c>
      <c r="G1709" s="29">
        <v>21120</v>
      </c>
      <c r="H1709" s="39">
        <v>45040</v>
      </c>
      <c r="I1709" s="46">
        <f t="shared" si="104"/>
        <v>602</v>
      </c>
      <c r="J1709" s="4" t="s">
        <v>12</v>
      </c>
      <c r="K1709" s="4" t="s">
        <v>197</v>
      </c>
      <c r="L1709" s="4" t="s">
        <v>223</v>
      </c>
      <c r="M1709" s="7">
        <v>21120</v>
      </c>
      <c r="N1709" s="10">
        <v>0</v>
      </c>
      <c r="O1709" s="10">
        <v>0</v>
      </c>
      <c r="P1709">
        <f t="shared" si="105"/>
        <v>1</v>
      </c>
      <c r="Q1709" s="36">
        <f t="shared" si="106"/>
        <v>0</v>
      </c>
      <c r="R1709">
        <f t="shared" si="107"/>
        <v>2023</v>
      </c>
    </row>
    <row r="1710" spans="1:18" x14ac:dyDescent="0.2">
      <c r="A1710" s="23">
        <v>45292</v>
      </c>
      <c r="B1710" s="23">
        <v>45292</v>
      </c>
      <c r="C1710" s="25" t="s">
        <v>398</v>
      </c>
      <c r="D1710" s="20">
        <v>0</v>
      </c>
      <c r="E1710" s="27">
        <v>0</v>
      </c>
      <c r="F1710" s="22" t="s">
        <v>234</v>
      </c>
      <c r="G1710" s="29">
        <v>2640</v>
      </c>
      <c r="H1710" s="39">
        <v>45005</v>
      </c>
      <c r="I1710" s="46">
        <f t="shared" si="104"/>
        <v>287</v>
      </c>
      <c r="J1710" s="4" t="s">
        <v>12</v>
      </c>
      <c r="K1710" s="4" t="s">
        <v>197</v>
      </c>
      <c r="L1710" s="4" t="s">
        <v>223</v>
      </c>
      <c r="M1710" s="7">
        <v>2640</v>
      </c>
      <c r="N1710" s="10">
        <v>0</v>
      </c>
      <c r="O1710" s="10">
        <v>0</v>
      </c>
      <c r="P1710">
        <f t="shared" si="105"/>
        <v>1</v>
      </c>
      <c r="Q1710" s="36">
        <f t="shared" si="106"/>
        <v>0</v>
      </c>
      <c r="R1710">
        <f t="shared" si="107"/>
        <v>2023</v>
      </c>
    </row>
    <row r="1711" spans="1:18" x14ac:dyDescent="0.2">
      <c r="A1711" s="23">
        <v>45299</v>
      </c>
      <c r="B1711" s="23">
        <v>45299</v>
      </c>
      <c r="C1711" s="25" t="s">
        <v>398</v>
      </c>
      <c r="D1711" s="20">
        <v>0</v>
      </c>
      <c r="E1711" s="27">
        <v>0</v>
      </c>
      <c r="F1711" s="22" t="s">
        <v>234</v>
      </c>
      <c r="G1711" s="29">
        <v>15840</v>
      </c>
      <c r="H1711" s="39">
        <v>45005</v>
      </c>
      <c r="I1711" s="46">
        <f t="shared" si="104"/>
        <v>294</v>
      </c>
      <c r="J1711" s="4" t="s">
        <v>12</v>
      </c>
      <c r="K1711" s="4" t="s">
        <v>197</v>
      </c>
      <c r="L1711" s="4" t="s">
        <v>223</v>
      </c>
      <c r="M1711" s="7">
        <v>15840</v>
      </c>
      <c r="N1711" s="10">
        <v>0</v>
      </c>
      <c r="O1711" s="10">
        <v>0</v>
      </c>
      <c r="P1711">
        <f t="shared" si="105"/>
        <v>1</v>
      </c>
      <c r="Q1711" s="36">
        <f t="shared" si="106"/>
        <v>0</v>
      </c>
      <c r="R1711">
        <f t="shared" si="107"/>
        <v>2023</v>
      </c>
    </row>
    <row r="1712" spans="1:18" x14ac:dyDescent="0.2">
      <c r="A1712" s="23">
        <v>45306</v>
      </c>
      <c r="B1712" s="23">
        <v>45306</v>
      </c>
      <c r="C1712" s="25" t="s">
        <v>398</v>
      </c>
      <c r="D1712" s="20">
        <v>0</v>
      </c>
      <c r="E1712" s="27">
        <v>0</v>
      </c>
      <c r="F1712" s="22" t="s">
        <v>234</v>
      </c>
      <c r="G1712" s="29">
        <v>21120</v>
      </c>
      <c r="H1712" s="39">
        <v>45005</v>
      </c>
      <c r="I1712" s="46">
        <f t="shared" si="104"/>
        <v>301</v>
      </c>
      <c r="J1712" s="4" t="s">
        <v>12</v>
      </c>
      <c r="K1712" s="4" t="s">
        <v>197</v>
      </c>
      <c r="L1712" s="4" t="s">
        <v>223</v>
      </c>
      <c r="M1712" s="7">
        <v>21120</v>
      </c>
      <c r="N1712" s="10">
        <v>0</v>
      </c>
      <c r="O1712" s="10">
        <v>0</v>
      </c>
      <c r="P1712">
        <f t="shared" si="105"/>
        <v>1</v>
      </c>
      <c r="Q1712" s="36">
        <f t="shared" si="106"/>
        <v>0</v>
      </c>
      <c r="R1712">
        <f t="shared" si="107"/>
        <v>2023</v>
      </c>
    </row>
    <row r="1713" spans="1:18" x14ac:dyDescent="0.2">
      <c r="A1713" s="23">
        <v>45656</v>
      </c>
      <c r="B1713" s="23">
        <v>45656</v>
      </c>
      <c r="C1713" s="25" t="s">
        <v>398</v>
      </c>
      <c r="D1713" s="20">
        <v>0</v>
      </c>
      <c r="E1713" s="27">
        <v>0</v>
      </c>
      <c r="F1713" s="22" t="s">
        <v>234</v>
      </c>
      <c r="G1713" s="29">
        <v>10560</v>
      </c>
      <c r="H1713" s="39">
        <v>45119</v>
      </c>
      <c r="I1713" s="46">
        <f t="shared" si="104"/>
        <v>537</v>
      </c>
      <c r="J1713" s="4" t="s">
        <v>12</v>
      </c>
      <c r="K1713" s="4" t="s">
        <v>197</v>
      </c>
      <c r="L1713" s="4" t="s">
        <v>223</v>
      </c>
      <c r="M1713" s="7">
        <v>10560</v>
      </c>
      <c r="N1713" s="10">
        <v>0</v>
      </c>
      <c r="O1713" s="10">
        <v>0</v>
      </c>
      <c r="P1713">
        <f t="shared" si="105"/>
        <v>1</v>
      </c>
      <c r="Q1713" s="36">
        <f t="shared" si="106"/>
        <v>0</v>
      </c>
      <c r="R1713">
        <f t="shared" si="107"/>
        <v>2023</v>
      </c>
    </row>
    <row r="1714" spans="1:18" x14ac:dyDescent="0.2">
      <c r="A1714" s="23">
        <v>45663</v>
      </c>
      <c r="B1714" s="23">
        <v>45663</v>
      </c>
      <c r="C1714" s="25" t="s">
        <v>398</v>
      </c>
      <c r="D1714" s="20">
        <v>0</v>
      </c>
      <c r="E1714" s="27">
        <v>0</v>
      </c>
      <c r="F1714" s="22" t="s">
        <v>234</v>
      </c>
      <c r="G1714" s="29">
        <v>10560</v>
      </c>
      <c r="H1714" s="39">
        <v>45119</v>
      </c>
      <c r="I1714" s="46">
        <f t="shared" si="104"/>
        <v>544</v>
      </c>
      <c r="J1714" s="4" t="s">
        <v>12</v>
      </c>
      <c r="K1714" s="4" t="s">
        <v>197</v>
      </c>
      <c r="L1714" s="4" t="s">
        <v>223</v>
      </c>
      <c r="M1714" s="7">
        <v>10560</v>
      </c>
      <c r="N1714" s="10">
        <v>0</v>
      </c>
      <c r="O1714" s="10">
        <v>0</v>
      </c>
      <c r="P1714">
        <f t="shared" si="105"/>
        <v>1</v>
      </c>
      <c r="Q1714" s="36">
        <f t="shared" si="106"/>
        <v>0</v>
      </c>
      <c r="R1714">
        <f t="shared" si="107"/>
        <v>2023</v>
      </c>
    </row>
    <row r="1715" spans="1:18" x14ac:dyDescent="0.2">
      <c r="A1715" s="23">
        <v>45670</v>
      </c>
      <c r="B1715" s="23">
        <v>45670</v>
      </c>
      <c r="C1715" s="25" t="s">
        <v>398</v>
      </c>
      <c r="D1715" s="20">
        <v>0</v>
      </c>
      <c r="E1715" s="27">
        <v>0</v>
      </c>
      <c r="F1715" s="22" t="s">
        <v>234</v>
      </c>
      <c r="G1715" s="29">
        <v>15840</v>
      </c>
      <c r="H1715" s="39">
        <v>45119</v>
      </c>
      <c r="I1715" s="46">
        <f t="shared" si="104"/>
        <v>551</v>
      </c>
      <c r="J1715" s="4" t="s">
        <v>12</v>
      </c>
      <c r="K1715" s="4" t="s">
        <v>197</v>
      </c>
      <c r="L1715" s="4" t="s">
        <v>223</v>
      </c>
      <c r="M1715" s="7">
        <v>15840</v>
      </c>
      <c r="N1715" s="10">
        <v>0</v>
      </c>
      <c r="O1715" s="10">
        <v>0</v>
      </c>
      <c r="P1715">
        <f t="shared" si="105"/>
        <v>1</v>
      </c>
      <c r="Q1715" s="36">
        <f t="shared" si="106"/>
        <v>0</v>
      </c>
      <c r="R1715">
        <f t="shared" si="107"/>
        <v>2023</v>
      </c>
    </row>
    <row r="1716" spans="1:18" x14ac:dyDescent="0.2">
      <c r="A1716" s="23">
        <v>45677</v>
      </c>
      <c r="B1716" s="23">
        <v>45677</v>
      </c>
      <c r="C1716" s="25" t="s">
        <v>398</v>
      </c>
      <c r="D1716" s="20">
        <v>0</v>
      </c>
      <c r="E1716" s="27">
        <v>0</v>
      </c>
      <c r="F1716" s="22" t="s">
        <v>234</v>
      </c>
      <c r="G1716" s="29">
        <v>10560</v>
      </c>
      <c r="H1716" s="39">
        <v>45119</v>
      </c>
      <c r="I1716" s="46">
        <f t="shared" si="104"/>
        <v>558</v>
      </c>
      <c r="J1716" s="4" t="s">
        <v>12</v>
      </c>
      <c r="K1716" s="4" t="s">
        <v>197</v>
      </c>
      <c r="L1716" s="4" t="s">
        <v>223</v>
      </c>
      <c r="M1716" s="7">
        <v>10560</v>
      </c>
      <c r="N1716" s="10">
        <v>0</v>
      </c>
      <c r="O1716" s="10">
        <v>0</v>
      </c>
      <c r="P1716">
        <f t="shared" si="105"/>
        <v>1</v>
      </c>
      <c r="Q1716" s="36">
        <f t="shared" si="106"/>
        <v>0</v>
      </c>
      <c r="R1716">
        <f t="shared" si="107"/>
        <v>2023</v>
      </c>
    </row>
    <row r="1717" spans="1:18" x14ac:dyDescent="0.2">
      <c r="A1717" s="23">
        <v>45684</v>
      </c>
      <c r="B1717" s="23">
        <v>45684</v>
      </c>
      <c r="C1717" s="25" t="s">
        <v>398</v>
      </c>
      <c r="D1717" s="20">
        <v>0</v>
      </c>
      <c r="E1717" s="27">
        <v>0</v>
      </c>
      <c r="F1717" s="22" t="s">
        <v>234</v>
      </c>
      <c r="G1717" s="29">
        <v>10560</v>
      </c>
      <c r="H1717" s="39">
        <v>45119</v>
      </c>
      <c r="I1717" s="46">
        <f t="shared" si="104"/>
        <v>565</v>
      </c>
      <c r="J1717" s="4" t="s">
        <v>12</v>
      </c>
      <c r="K1717" s="4" t="s">
        <v>197</v>
      </c>
      <c r="L1717" s="4" t="s">
        <v>223</v>
      </c>
      <c r="M1717" s="7">
        <v>10560</v>
      </c>
      <c r="N1717" s="10">
        <v>0</v>
      </c>
      <c r="O1717" s="10">
        <v>0</v>
      </c>
      <c r="P1717">
        <f t="shared" si="105"/>
        <v>1</v>
      </c>
      <c r="Q1717" s="36">
        <f t="shared" si="106"/>
        <v>0</v>
      </c>
      <c r="R1717">
        <f t="shared" si="107"/>
        <v>2023</v>
      </c>
    </row>
    <row r="1718" spans="1:18" x14ac:dyDescent="0.2">
      <c r="A1718" s="23">
        <v>45691</v>
      </c>
      <c r="B1718" s="23">
        <v>45691</v>
      </c>
      <c r="C1718" s="25" t="s">
        <v>398</v>
      </c>
      <c r="D1718" s="20">
        <v>0</v>
      </c>
      <c r="E1718" s="27">
        <v>0</v>
      </c>
      <c r="F1718" s="22" t="s">
        <v>234</v>
      </c>
      <c r="G1718" s="29">
        <v>10560</v>
      </c>
      <c r="H1718" s="39">
        <v>45119</v>
      </c>
      <c r="I1718" s="46">
        <f t="shared" si="104"/>
        <v>572</v>
      </c>
      <c r="J1718" s="4" t="s">
        <v>12</v>
      </c>
      <c r="K1718" s="4" t="s">
        <v>197</v>
      </c>
      <c r="L1718" s="4" t="s">
        <v>223</v>
      </c>
      <c r="M1718" s="7">
        <v>10560</v>
      </c>
      <c r="N1718" s="10">
        <v>0</v>
      </c>
      <c r="O1718" s="10">
        <v>0</v>
      </c>
      <c r="P1718">
        <f t="shared" si="105"/>
        <v>1</v>
      </c>
      <c r="Q1718" s="36">
        <f t="shared" si="106"/>
        <v>0</v>
      </c>
      <c r="R1718">
        <f t="shared" si="107"/>
        <v>2023</v>
      </c>
    </row>
    <row r="1719" spans="1:18" x14ac:dyDescent="0.2">
      <c r="A1719" s="23">
        <v>45698</v>
      </c>
      <c r="B1719" s="23">
        <v>45698</v>
      </c>
      <c r="C1719" s="25" t="s">
        <v>398</v>
      </c>
      <c r="D1719" s="20">
        <v>0</v>
      </c>
      <c r="E1719" s="27">
        <v>0</v>
      </c>
      <c r="F1719" s="22" t="s">
        <v>234</v>
      </c>
      <c r="G1719" s="29">
        <v>10560</v>
      </c>
      <c r="H1719" s="39">
        <v>45119</v>
      </c>
      <c r="I1719" s="46">
        <f t="shared" si="104"/>
        <v>579</v>
      </c>
      <c r="J1719" s="4" t="s">
        <v>12</v>
      </c>
      <c r="K1719" s="4" t="s">
        <v>197</v>
      </c>
      <c r="L1719" s="4" t="s">
        <v>223</v>
      </c>
      <c r="M1719" s="7">
        <v>10560</v>
      </c>
      <c r="N1719" s="10">
        <v>0</v>
      </c>
      <c r="O1719" s="10">
        <v>0</v>
      </c>
      <c r="P1719">
        <f t="shared" si="105"/>
        <v>1</v>
      </c>
      <c r="Q1719" s="36">
        <f t="shared" si="106"/>
        <v>0</v>
      </c>
      <c r="R1719">
        <f t="shared" si="107"/>
        <v>2023</v>
      </c>
    </row>
    <row r="1720" spans="1:18" x14ac:dyDescent="0.2">
      <c r="A1720" s="23">
        <v>45705</v>
      </c>
      <c r="B1720" s="23">
        <v>45705</v>
      </c>
      <c r="C1720" s="25" t="s">
        <v>398</v>
      </c>
      <c r="D1720" s="20">
        <v>0</v>
      </c>
      <c r="E1720" s="27">
        <v>0</v>
      </c>
      <c r="F1720" s="22" t="s">
        <v>234</v>
      </c>
      <c r="G1720" s="29">
        <v>10560</v>
      </c>
      <c r="H1720" s="39">
        <v>45119</v>
      </c>
      <c r="I1720" s="46">
        <f t="shared" si="104"/>
        <v>586</v>
      </c>
      <c r="J1720" s="4" t="s">
        <v>12</v>
      </c>
      <c r="K1720" s="4" t="s">
        <v>197</v>
      </c>
      <c r="L1720" s="4" t="s">
        <v>223</v>
      </c>
      <c r="M1720" s="7">
        <v>10560</v>
      </c>
      <c r="N1720" s="10">
        <v>0</v>
      </c>
      <c r="O1720" s="10">
        <v>0</v>
      </c>
      <c r="P1720">
        <f t="shared" si="105"/>
        <v>1</v>
      </c>
      <c r="Q1720" s="36">
        <f t="shared" si="106"/>
        <v>0</v>
      </c>
      <c r="R1720">
        <f t="shared" si="107"/>
        <v>2023</v>
      </c>
    </row>
    <row r="1721" spans="1:18" x14ac:dyDescent="0.2">
      <c r="A1721" s="23">
        <v>45712</v>
      </c>
      <c r="B1721" s="23">
        <v>45712</v>
      </c>
      <c r="C1721" s="25" t="s">
        <v>398</v>
      </c>
      <c r="D1721" s="20">
        <v>0</v>
      </c>
      <c r="E1721" s="27">
        <v>0</v>
      </c>
      <c r="F1721" s="22" t="s">
        <v>234</v>
      </c>
      <c r="G1721" s="29">
        <v>108240</v>
      </c>
      <c r="H1721" s="39">
        <v>45119</v>
      </c>
      <c r="I1721" s="46">
        <f t="shared" si="104"/>
        <v>593</v>
      </c>
      <c r="J1721" s="4" t="s">
        <v>12</v>
      </c>
      <c r="K1721" s="4" t="s">
        <v>197</v>
      </c>
      <c r="L1721" s="4" t="s">
        <v>223</v>
      </c>
      <c r="M1721" s="7">
        <v>108240</v>
      </c>
      <c r="N1721" s="10">
        <v>0</v>
      </c>
      <c r="O1721" s="10">
        <v>0</v>
      </c>
      <c r="P1721">
        <f t="shared" si="105"/>
        <v>1</v>
      </c>
      <c r="Q1721" s="36">
        <f t="shared" si="106"/>
        <v>0</v>
      </c>
      <c r="R1721">
        <f t="shared" si="107"/>
        <v>2023</v>
      </c>
    </row>
    <row r="1722" spans="1:18" x14ac:dyDescent="0.2">
      <c r="A1722" s="23">
        <v>45285</v>
      </c>
      <c r="B1722" s="23">
        <v>45285</v>
      </c>
      <c r="C1722" s="25" t="s">
        <v>398</v>
      </c>
      <c r="D1722" s="20">
        <v>0</v>
      </c>
      <c r="E1722" s="27">
        <v>0</v>
      </c>
      <c r="F1722" s="22" t="s">
        <v>235</v>
      </c>
      <c r="G1722" s="29">
        <v>15840</v>
      </c>
      <c r="H1722" s="39">
        <v>45040</v>
      </c>
      <c r="I1722" s="46">
        <f t="shared" si="104"/>
        <v>245</v>
      </c>
      <c r="J1722" s="4" t="s">
        <v>12</v>
      </c>
      <c r="K1722" s="4" t="s">
        <v>197</v>
      </c>
      <c r="L1722" s="4" t="s">
        <v>223</v>
      </c>
      <c r="M1722" s="7">
        <v>15840</v>
      </c>
      <c r="N1722" s="10">
        <v>0</v>
      </c>
      <c r="O1722" s="10">
        <v>0</v>
      </c>
      <c r="P1722">
        <f t="shared" si="105"/>
        <v>1</v>
      </c>
      <c r="Q1722" s="36">
        <f t="shared" si="106"/>
        <v>0</v>
      </c>
      <c r="R1722">
        <f t="shared" si="107"/>
        <v>2023</v>
      </c>
    </row>
    <row r="1723" spans="1:18" x14ac:dyDescent="0.2">
      <c r="A1723" s="23">
        <v>45194</v>
      </c>
      <c r="B1723" s="23">
        <v>45194</v>
      </c>
      <c r="C1723" s="25" t="s">
        <v>398</v>
      </c>
      <c r="D1723" s="20">
        <v>0</v>
      </c>
      <c r="E1723" s="27">
        <v>0</v>
      </c>
      <c r="F1723" s="22" t="s">
        <v>235</v>
      </c>
      <c r="G1723" s="29">
        <v>15900</v>
      </c>
      <c r="H1723" s="39">
        <v>45005</v>
      </c>
      <c r="I1723" s="46">
        <f t="shared" si="104"/>
        <v>189</v>
      </c>
      <c r="J1723" s="4" t="s">
        <v>12</v>
      </c>
      <c r="K1723" s="4" t="s">
        <v>197</v>
      </c>
      <c r="L1723" s="4" t="s">
        <v>223</v>
      </c>
      <c r="M1723" s="7">
        <v>15900</v>
      </c>
      <c r="N1723" s="10">
        <v>0</v>
      </c>
      <c r="O1723" s="10">
        <v>0</v>
      </c>
      <c r="P1723">
        <f t="shared" si="105"/>
        <v>1</v>
      </c>
      <c r="Q1723" s="36">
        <f t="shared" si="106"/>
        <v>0</v>
      </c>
      <c r="R1723">
        <f t="shared" si="107"/>
        <v>2023</v>
      </c>
    </row>
    <row r="1724" spans="1:18" x14ac:dyDescent="0.2">
      <c r="A1724" s="23">
        <v>45201</v>
      </c>
      <c r="B1724" s="23">
        <v>45201</v>
      </c>
      <c r="C1724" s="25" t="s">
        <v>398</v>
      </c>
      <c r="D1724" s="20">
        <v>0</v>
      </c>
      <c r="E1724" s="27">
        <v>0</v>
      </c>
      <c r="F1724" s="22" t="s">
        <v>235</v>
      </c>
      <c r="G1724" s="29">
        <v>15900</v>
      </c>
      <c r="H1724" s="39">
        <v>45005</v>
      </c>
      <c r="I1724" s="46">
        <f t="shared" si="104"/>
        <v>196</v>
      </c>
      <c r="J1724" s="4" t="s">
        <v>12</v>
      </c>
      <c r="K1724" s="4" t="s">
        <v>197</v>
      </c>
      <c r="L1724" s="4" t="s">
        <v>223</v>
      </c>
      <c r="M1724" s="7">
        <v>15900</v>
      </c>
      <c r="N1724" s="10">
        <v>0</v>
      </c>
      <c r="O1724" s="10">
        <v>0</v>
      </c>
      <c r="P1724">
        <f t="shared" si="105"/>
        <v>1</v>
      </c>
      <c r="Q1724" s="36">
        <f t="shared" si="106"/>
        <v>0</v>
      </c>
      <c r="R1724">
        <f t="shared" si="107"/>
        <v>2023</v>
      </c>
    </row>
    <row r="1725" spans="1:18" x14ac:dyDescent="0.2">
      <c r="A1725" s="23">
        <v>45208</v>
      </c>
      <c r="B1725" s="23">
        <v>45208</v>
      </c>
      <c r="C1725" s="25" t="s">
        <v>398</v>
      </c>
      <c r="D1725" s="20">
        <v>0</v>
      </c>
      <c r="E1725" s="27">
        <v>0</v>
      </c>
      <c r="F1725" s="22" t="s">
        <v>235</v>
      </c>
      <c r="G1725" s="29">
        <v>15900</v>
      </c>
      <c r="H1725" s="39">
        <v>45005</v>
      </c>
      <c r="I1725" s="46">
        <f t="shared" si="104"/>
        <v>203</v>
      </c>
      <c r="J1725" s="4" t="s">
        <v>12</v>
      </c>
      <c r="K1725" s="4" t="s">
        <v>197</v>
      </c>
      <c r="L1725" s="4" t="s">
        <v>223</v>
      </c>
      <c r="M1725" s="7">
        <v>15900</v>
      </c>
      <c r="N1725" s="10">
        <v>0</v>
      </c>
      <c r="O1725" s="10">
        <v>0</v>
      </c>
      <c r="P1725">
        <f t="shared" si="105"/>
        <v>1</v>
      </c>
      <c r="Q1725" s="36">
        <f t="shared" si="106"/>
        <v>0</v>
      </c>
      <c r="R1725">
        <f t="shared" si="107"/>
        <v>2023</v>
      </c>
    </row>
    <row r="1726" spans="1:18" x14ac:dyDescent="0.2">
      <c r="A1726" s="23">
        <v>45215</v>
      </c>
      <c r="B1726" s="23">
        <v>45215</v>
      </c>
      <c r="C1726" s="25" t="s">
        <v>398</v>
      </c>
      <c r="D1726" s="20">
        <v>0</v>
      </c>
      <c r="E1726" s="27">
        <v>0</v>
      </c>
      <c r="F1726" s="22" t="s">
        <v>235</v>
      </c>
      <c r="G1726" s="29">
        <v>5300</v>
      </c>
      <c r="H1726" s="39">
        <v>45005</v>
      </c>
      <c r="I1726" s="46">
        <f t="shared" si="104"/>
        <v>210</v>
      </c>
      <c r="J1726" s="4" t="s">
        <v>12</v>
      </c>
      <c r="K1726" s="4" t="s">
        <v>197</v>
      </c>
      <c r="L1726" s="4" t="s">
        <v>223</v>
      </c>
      <c r="M1726" s="7">
        <v>5300</v>
      </c>
      <c r="N1726" s="10">
        <v>0</v>
      </c>
      <c r="O1726" s="10">
        <v>0</v>
      </c>
      <c r="P1726">
        <f t="shared" si="105"/>
        <v>1</v>
      </c>
      <c r="Q1726" s="36">
        <f t="shared" si="106"/>
        <v>0</v>
      </c>
      <c r="R1726">
        <f t="shared" si="107"/>
        <v>2023</v>
      </c>
    </row>
    <row r="1727" spans="1:18" x14ac:dyDescent="0.2">
      <c r="A1727" s="23">
        <v>45222</v>
      </c>
      <c r="B1727" s="23">
        <v>45222</v>
      </c>
      <c r="C1727" s="25" t="s">
        <v>398</v>
      </c>
      <c r="D1727" s="20">
        <v>0</v>
      </c>
      <c r="E1727" s="27">
        <v>0</v>
      </c>
      <c r="F1727" s="22" t="s">
        <v>235</v>
      </c>
      <c r="G1727" s="29">
        <v>15740</v>
      </c>
      <c r="H1727" s="39">
        <v>45005</v>
      </c>
      <c r="I1727" s="46">
        <f t="shared" si="104"/>
        <v>217</v>
      </c>
      <c r="J1727" s="4" t="s">
        <v>12</v>
      </c>
      <c r="K1727" s="4" t="s">
        <v>197</v>
      </c>
      <c r="L1727" s="4" t="s">
        <v>223</v>
      </c>
      <c r="M1727" s="7">
        <v>15740</v>
      </c>
      <c r="N1727" s="10">
        <v>0</v>
      </c>
      <c r="O1727" s="10">
        <v>0</v>
      </c>
      <c r="P1727">
        <f t="shared" si="105"/>
        <v>1</v>
      </c>
      <c r="Q1727" s="36">
        <f t="shared" si="106"/>
        <v>0</v>
      </c>
      <c r="R1727">
        <f t="shared" si="107"/>
        <v>2023</v>
      </c>
    </row>
    <row r="1728" spans="1:18" x14ac:dyDescent="0.2">
      <c r="A1728" s="23">
        <v>45229</v>
      </c>
      <c r="B1728" s="23">
        <v>45229</v>
      </c>
      <c r="C1728" s="25" t="s">
        <v>398</v>
      </c>
      <c r="D1728" s="20">
        <v>0</v>
      </c>
      <c r="E1728" s="27">
        <v>0</v>
      </c>
      <c r="F1728" s="22" t="s">
        <v>235</v>
      </c>
      <c r="G1728" s="29">
        <v>21140</v>
      </c>
      <c r="H1728" s="39">
        <v>45005</v>
      </c>
      <c r="I1728" s="46">
        <f t="shared" si="104"/>
        <v>224</v>
      </c>
      <c r="J1728" s="4" t="s">
        <v>12</v>
      </c>
      <c r="K1728" s="4" t="s">
        <v>197</v>
      </c>
      <c r="L1728" s="4" t="s">
        <v>223</v>
      </c>
      <c r="M1728" s="7">
        <v>21140</v>
      </c>
      <c r="N1728" s="10">
        <v>0</v>
      </c>
      <c r="O1728" s="10">
        <v>0</v>
      </c>
      <c r="P1728">
        <f t="shared" si="105"/>
        <v>1</v>
      </c>
      <c r="Q1728" s="36">
        <f t="shared" si="106"/>
        <v>0</v>
      </c>
      <c r="R1728">
        <f t="shared" si="107"/>
        <v>2023</v>
      </c>
    </row>
    <row r="1729" spans="1:18" x14ac:dyDescent="0.2">
      <c r="A1729" s="23">
        <v>45236</v>
      </c>
      <c r="B1729" s="23">
        <v>45236</v>
      </c>
      <c r="C1729" s="25" t="s">
        <v>398</v>
      </c>
      <c r="D1729" s="20">
        <v>0</v>
      </c>
      <c r="E1729" s="27">
        <v>0</v>
      </c>
      <c r="F1729" s="22" t="s">
        <v>235</v>
      </c>
      <c r="G1729" s="29">
        <v>15840</v>
      </c>
      <c r="H1729" s="39">
        <v>45005</v>
      </c>
      <c r="I1729" s="46">
        <f t="shared" si="104"/>
        <v>231</v>
      </c>
      <c r="J1729" s="4" t="s">
        <v>12</v>
      </c>
      <c r="K1729" s="4" t="s">
        <v>197</v>
      </c>
      <c r="L1729" s="4" t="s">
        <v>223</v>
      </c>
      <c r="M1729" s="7">
        <v>15840</v>
      </c>
      <c r="N1729" s="10">
        <v>0</v>
      </c>
      <c r="O1729" s="10">
        <v>0</v>
      </c>
      <c r="P1729">
        <f t="shared" si="105"/>
        <v>1</v>
      </c>
      <c r="Q1729" s="36">
        <f t="shared" si="106"/>
        <v>0</v>
      </c>
      <c r="R1729">
        <f t="shared" si="107"/>
        <v>2023</v>
      </c>
    </row>
    <row r="1730" spans="1:18" x14ac:dyDescent="0.2">
      <c r="A1730" s="23">
        <v>45243</v>
      </c>
      <c r="B1730" s="23">
        <v>45243</v>
      </c>
      <c r="C1730" s="25" t="s">
        <v>398</v>
      </c>
      <c r="D1730" s="20">
        <v>0</v>
      </c>
      <c r="E1730" s="27">
        <v>0</v>
      </c>
      <c r="F1730" s="22" t="s">
        <v>235</v>
      </c>
      <c r="G1730" s="29">
        <v>18520</v>
      </c>
      <c r="H1730" s="39">
        <v>45005</v>
      </c>
      <c r="I1730" s="46">
        <f t="shared" si="104"/>
        <v>238</v>
      </c>
      <c r="J1730" s="4" t="s">
        <v>12</v>
      </c>
      <c r="K1730" s="4" t="s">
        <v>197</v>
      </c>
      <c r="L1730" s="4" t="s">
        <v>223</v>
      </c>
      <c r="M1730" s="7">
        <v>18520</v>
      </c>
      <c r="N1730" s="10">
        <v>0</v>
      </c>
      <c r="O1730" s="10">
        <v>0</v>
      </c>
      <c r="P1730">
        <f t="shared" si="105"/>
        <v>1</v>
      </c>
      <c r="Q1730" s="36">
        <f t="shared" si="106"/>
        <v>0</v>
      </c>
      <c r="R1730">
        <f t="shared" si="107"/>
        <v>2023</v>
      </c>
    </row>
    <row r="1731" spans="1:18" x14ac:dyDescent="0.2">
      <c r="A1731" s="23">
        <v>45250</v>
      </c>
      <c r="B1731" s="23">
        <v>45250</v>
      </c>
      <c r="C1731" s="25" t="s">
        <v>398</v>
      </c>
      <c r="D1731" s="20">
        <v>0</v>
      </c>
      <c r="E1731" s="27">
        <v>0</v>
      </c>
      <c r="F1731" s="22" t="s">
        <v>235</v>
      </c>
      <c r="G1731" s="29">
        <v>12101</v>
      </c>
      <c r="H1731" s="39">
        <v>45005</v>
      </c>
      <c r="I1731" s="46">
        <f t="shared" ref="I1731:I1794" si="108">IFERROR(A1731-H1731,"")*1</f>
        <v>245</v>
      </c>
      <c r="J1731" s="4" t="s">
        <v>12</v>
      </c>
      <c r="K1731" s="4" t="s">
        <v>197</v>
      </c>
      <c r="L1731" s="4" t="s">
        <v>223</v>
      </c>
      <c r="M1731" s="7">
        <v>12101</v>
      </c>
      <c r="N1731" s="10">
        <v>0</v>
      </c>
      <c r="O1731" s="10">
        <v>0</v>
      </c>
      <c r="P1731">
        <f t="shared" ref="P1731:P1794" si="109">IF(M1731=G1731,1,0)</f>
        <v>1</v>
      </c>
      <c r="Q1731" s="36">
        <f t="shared" ref="Q1731:Q1794" si="110">N1731*G1731</f>
        <v>0</v>
      </c>
      <c r="R1731">
        <f t="shared" ref="R1731:R1794" si="111">YEAR(H1731)</f>
        <v>2023</v>
      </c>
    </row>
    <row r="1732" spans="1:18" x14ac:dyDescent="0.2">
      <c r="A1732" s="23">
        <v>45257</v>
      </c>
      <c r="B1732" s="23">
        <v>45257</v>
      </c>
      <c r="C1732" s="25" t="s">
        <v>398</v>
      </c>
      <c r="D1732" s="20">
        <v>0</v>
      </c>
      <c r="E1732" s="27">
        <v>0</v>
      </c>
      <c r="F1732" s="22" t="s">
        <v>235</v>
      </c>
      <c r="G1732" s="29">
        <v>6096</v>
      </c>
      <c r="H1732" s="39">
        <v>45005</v>
      </c>
      <c r="I1732" s="46">
        <f t="shared" si="108"/>
        <v>252</v>
      </c>
      <c r="J1732" s="4" t="s">
        <v>12</v>
      </c>
      <c r="K1732" s="4" t="s">
        <v>197</v>
      </c>
      <c r="L1732" s="4" t="s">
        <v>223</v>
      </c>
      <c r="M1732" s="7">
        <v>6096</v>
      </c>
      <c r="N1732" s="10">
        <v>0</v>
      </c>
      <c r="O1732" s="10">
        <v>0</v>
      </c>
      <c r="P1732">
        <f t="shared" si="109"/>
        <v>1</v>
      </c>
      <c r="Q1732" s="36">
        <f t="shared" si="110"/>
        <v>0</v>
      </c>
      <c r="R1732">
        <f t="shared" si="111"/>
        <v>2023</v>
      </c>
    </row>
    <row r="1733" spans="1:18" x14ac:dyDescent="0.2">
      <c r="A1733" s="23">
        <v>45264</v>
      </c>
      <c r="B1733" s="23">
        <v>45264</v>
      </c>
      <c r="C1733" s="25" t="s">
        <v>398</v>
      </c>
      <c r="D1733" s="20">
        <v>0</v>
      </c>
      <c r="E1733" s="27">
        <v>0</v>
      </c>
      <c r="F1733" s="22" t="s">
        <v>235</v>
      </c>
      <c r="G1733" s="29">
        <v>15840</v>
      </c>
      <c r="H1733" s="39">
        <v>45005</v>
      </c>
      <c r="I1733" s="46">
        <f t="shared" si="108"/>
        <v>259</v>
      </c>
      <c r="J1733" s="4" t="s">
        <v>12</v>
      </c>
      <c r="K1733" s="4" t="s">
        <v>197</v>
      </c>
      <c r="L1733" s="4" t="s">
        <v>223</v>
      </c>
      <c r="M1733" s="7">
        <v>15840</v>
      </c>
      <c r="N1733" s="10">
        <v>0</v>
      </c>
      <c r="O1733" s="10">
        <v>0</v>
      </c>
      <c r="P1733">
        <f t="shared" si="109"/>
        <v>1</v>
      </c>
      <c r="Q1733" s="36">
        <f t="shared" si="110"/>
        <v>0</v>
      </c>
      <c r="R1733">
        <f t="shared" si="111"/>
        <v>2023</v>
      </c>
    </row>
    <row r="1734" spans="1:18" x14ac:dyDescent="0.2">
      <c r="A1734" s="23">
        <v>45271</v>
      </c>
      <c r="B1734" s="23">
        <v>45271</v>
      </c>
      <c r="C1734" s="25" t="s">
        <v>398</v>
      </c>
      <c r="D1734" s="20">
        <v>0</v>
      </c>
      <c r="E1734" s="27">
        <v>0</v>
      </c>
      <c r="F1734" s="22" t="s">
        <v>235</v>
      </c>
      <c r="G1734" s="29">
        <v>15840</v>
      </c>
      <c r="H1734" s="39">
        <v>45005</v>
      </c>
      <c r="I1734" s="46">
        <f t="shared" si="108"/>
        <v>266</v>
      </c>
      <c r="J1734" s="4" t="s">
        <v>12</v>
      </c>
      <c r="K1734" s="4" t="s">
        <v>197</v>
      </c>
      <c r="L1734" s="4" t="s">
        <v>223</v>
      </c>
      <c r="M1734" s="7">
        <v>15840</v>
      </c>
      <c r="N1734" s="10">
        <v>0</v>
      </c>
      <c r="O1734" s="10">
        <v>0</v>
      </c>
      <c r="P1734">
        <f t="shared" si="109"/>
        <v>1</v>
      </c>
      <c r="Q1734" s="36">
        <f t="shared" si="110"/>
        <v>0</v>
      </c>
      <c r="R1734">
        <f t="shared" si="111"/>
        <v>2023</v>
      </c>
    </row>
    <row r="1735" spans="1:18" x14ac:dyDescent="0.2">
      <c r="A1735" s="23">
        <v>45292</v>
      </c>
      <c r="B1735" s="23">
        <v>45292</v>
      </c>
      <c r="C1735" s="25" t="s">
        <v>398</v>
      </c>
      <c r="D1735" s="20">
        <v>0</v>
      </c>
      <c r="E1735" s="27">
        <v>0</v>
      </c>
      <c r="F1735" s="22" t="s">
        <v>235</v>
      </c>
      <c r="G1735" s="29">
        <v>21120</v>
      </c>
      <c r="H1735" s="39">
        <v>45040</v>
      </c>
      <c r="I1735" s="46">
        <f t="shared" si="108"/>
        <v>252</v>
      </c>
      <c r="J1735" s="4" t="s">
        <v>12</v>
      </c>
      <c r="K1735" s="4" t="s">
        <v>197</v>
      </c>
      <c r="L1735" s="4" t="s">
        <v>223</v>
      </c>
      <c r="M1735" s="7">
        <v>21120</v>
      </c>
      <c r="N1735" s="10">
        <v>0</v>
      </c>
      <c r="O1735" s="10">
        <v>0</v>
      </c>
      <c r="P1735">
        <f t="shared" si="109"/>
        <v>1</v>
      </c>
      <c r="Q1735" s="36">
        <f t="shared" si="110"/>
        <v>0</v>
      </c>
      <c r="R1735">
        <f t="shared" si="111"/>
        <v>2023</v>
      </c>
    </row>
    <row r="1736" spans="1:18" x14ac:dyDescent="0.2">
      <c r="A1736" s="23">
        <v>45299</v>
      </c>
      <c r="B1736" s="23">
        <v>45299</v>
      </c>
      <c r="C1736" s="25" t="s">
        <v>398</v>
      </c>
      <c r="D1736" s="20">
        <v>0</v>
      </c>
      <c r="E1736" s="27">
        <v>0</v>
      </c>
      <c r="F1736" s="22" t="s">
        <v>235</v>
      </c>
      <c r="G1736" s="29">
        <v>18480</v>
      </c>
      <c r="H1736" s="39">
        <v>45040</v>
      </c>
      <c r="I1736" s="46">
        <f t="shared" si="108"/>
        <v>259</v>
      </c>
      <c r="J1736" s="4" t="s">
        <v>12</v>
      </c>
      <c r="K1736" s="4" t="s">
        <v>197</v>
      </c>
      <c r="L1736" s="4" t="s">
        <v>223</v>
      </c>
      <c r="M1736" s="7">
        <v>18480</v>
      </c>
      <c r="N1736" s="10">
        <v>0</v>
      </c>
      <c r="O1736" s="10">
        <v>0</v>
      </c>
      <c r="P1736">
        <f t="shared" si="109"/>
        <v>1</v>
      </c>
      <c r="Q1736" s="36">
        <f t="shared" si="110"/>
        <v>0</v>
      </c>
      <c r="R1736">
        <f t="shared" si="111"/>
        <v>2023</v>
      </c>
    </row>
    <row r="1737" spans="1:18" x14ac:dyDescent="0.2">
      <c r="A1737" s="23">
        <v>45306</v>
      </c>
      <c r="B1737" s="23">
        <v>45306</v>
      </c>
      <c r="C1737" s="25" t="s">
        <v>398</v>
      </c>
      <c r="D1737" s="20">
        <v>0</v>
      </c>
      <c r="E1737" s="27">
        <v>0</v>
      </c>
      <c r="F1737" s="22" t="s">
        <v>235</v>
      </c>
      <c r="G1737" s="29">
        <v>21120</v>
      </c>
      <c r="H1737" s="39">
        <v>45040</v>
      </c>
      <c r="I1737" s="46">
        <f t="shared" si="108"/>
        <v>266</v>
      </c>
      <c r="J1737" s="4" t="s">
        <v>12</v>
      </c>
      <c r="K1737" s="4" t="s">
        <v>197</v>
      </c>
      <c r="L1737" s="4" t="s">
        <v>223</v>
      </c>
      <c r="M1737" s="7">
        <v>21120</v>
      </c>
      <c r="N1737" s="10">
        <v>0</v>
      </c>
      <c r="O1737" s="10">
        <v>0</v>
      </c>
      <c r="P1737">
        <f t="shared" si="109"/>
        <v>1</v>
      </c>
      <c r="Q1737" s="36">
        <f t="shared" si="110"/>
        <v>0</v>
      </c>
      <c r="R1737">
        <f t="shared" si="111"/>
        <v>2023</v>
      </c>
    </row>
    <row r="1738" spans="1:18" x14ac:dyDescent="0.2">
      <c r="A1738" s="23">
        <v>45313</v>
      </c>
      <c r="B1738" s="23">
        <v>45313</v>
      </c>
      <c r="C1738" s="25" t="s">
        <v>398</v>
      </c>
      <c r="D1738" s="20">
        <v>0</v>
      </c>
      <c r="E1738" s="27">
        <v>0</v>
      </c>
      <c r="F1738" s="22" t="s">
        <v>235</v>
      </c>
      <c r="G1738" s="29">
        <v>21120</v>
      </c>
      <c r="H1738" s="39">
        <v>45040</v>
      </c>
      <c r="I1738" s="46">
        <f t="shared" si="108"/>
        <v>273</v>
      </c>
      <c r="J1738" s="4" t="s">
        <v>12</v>
      </c>
      <c r="K1738" s="4" t="s">
        <v>197</v>
      </c>
      <c r="L1738" s="4" t="s">
        <v>223</v>
      </c>
      <c r="M1738" s="7">
        <v>21120</v>
      </c>
      <c r="N1738" s="10">
        <v>0</v>
      </c>
      <c r="O1738" s="10">
        <v>0</v>
      </c>
      <c r="P1738">
        <f t="shared" si="109"/>
        <v>1</v>
      </c>
      <c r="Q1738" s="36">
        <f t="shared" si="110"/>
        <v>0</v>
      </c>
      <c r="R1738">
        <f t="shared" si="111"/>
        <v>2023</v>
      </c>
    </row>
    <row r="1739" spans="1:18" x14ac:dyDescent="0.2">
      <c r="A1739" s="23">
        <v>45320</v>
      </c>
      <c r="B1739" s="23">
        <v>45320</v>
      </c>
      <c r="C1739" s="25" t="s">
        <v>398</v>
      </c>
      <c r="D1739" s="20">
        <v>0</v>
      </c>
      <c r="E1739" s="27">
        <v>0</v>
      </c>
      <c r="F1739" s="22" t="s">
        <v>235</v>
      </c>
      <c r="G1739" s="29">
        <v>15840</v>
      </c>
      <c r="H1739" s="39">
        <v>45040</v>
      </c>
      <c r="I1739" s="46">
        <f t="shared" si="108"/>
        <v>280</v>
      </c>
      <c r="J1739" s="4" t="s">
        <v>12</v>
      </c>
      <c r="K1739" s="4" t="s">
        <v>197</v>
      </c>
      <c r="L1739" s="4" t="s">
        <v>223</v>
      </c>
      <c r="M1739" s="7">
        <v>15840</v>
      </c>
      <c r="N1739" s="10">
        <v>0</v>
      </c>
      <c r="O1739" s="10">
        <v>0</v>
      </c>
      <c r="P1739">
        <f t="shared" si="109"/>
        <v>1</v>
      </c>
      <c r="Q1739" s="36">
        <f t="shared" si="110"/>
        <v>0</v>
      </c>
      <c r="R1739">
        <f t="shared" si="111"/>
        <v>2023</v>
      </c>
    </row>
    <row r="1740" spans="1:18" x14ac:dyDescent="0.2">
      <c r="A1740" s="23">
        <v>45334</v>
      </c>
      <c r="B1740" s="23">
        <v>45334</v>
      </c>
      <c r="C1740" s="25" t="s">
        <v>398</v>
      </c>
      <c r="D1740" s="20">
        <v>0</v>
      </c>
      <c r="E1740" s="27">
        <v>0</v>
      </c>
      <c r="F1740" s="22" t="s">
        <v>235</v>
      </c>
      <c r="G1740" s="29">
        <v>21120</v>
      </c>
      <c r="H1740" s="39">
        <v>45040</v>
      </c>
      <c r="I1740" s="46">
        <f t="shared" si="108"/>
        <v>294</v>
      </c>
      <c r="J1740" s="4" t="s">
        <v>12</v>
      </c>
      <c r="K1740" s="4" t="s">
        <v>197</v>
      </c>
      <c r="L1740" s="4" t="s">
        <v>223</v>
      </c>
      <c r="M1740" s="7">
        <v>21120</v>
      </c>
      <c r="N1740" s="10">
        <v>0</v>
      </c>
      <c r="O1740" s="10">
        <v>0</v>
      </c>
      <c r="P1740">
        <f t="shared" si="109"/>
        <v>1</v>
      </c>
      <c r="Q1740" s="36">
        <f t="shared" si="110"/>
        <v>0</v>
      </c>
      <c r="R1740">
        <f t="shared" si="111"/>
        <v>2023</v>
      </c>
    </row>
    <row r="1741" spans="1:18" x14ac:dyDescent="0.2">
      <c r="A1741" s="23">
        <v>45341</v>
      </c>
      <c r="B1741" s="23">
        <v>45341</v>
      </c>
      <c r="C1741" s="25" t="s">
        <v>398</v>
      </c>
      <c r="D1741" s="20">
        <v>0</v>
      </c>
      <c r="E1741" s="27">
        <v>0</v>
      </c>
      <c r="F1741" s="22" t="s">
        <v>235</v>
      </c>
      <c r="G1741" s="29">
        <v>15840</v>
      </c>
      <c r="H1741" s="39">
        <v>45040</v>
      </c>
      <c r="I1741" s="46">
        <f t="shared" si="108"/>
        <v>301</v>
      </c>
      <c r="J1741" s="4" t="s">
        <v>12</v>
      </c>
      <c r="K1741" s="4" t="s">
        <v>197</v>
      </c>
      <c r="L1741" s="4" t="s">
        <v>223</v>
      </c>
      <c r="M1741" s="7">
        <v>15840</v>
      </c>
      <c r="N1741" s="10">
        <v>0</v>
      </c>
      <c r="O1741" s="10">
        <v>0</v>
      </c>
      <c r="P1741">
        <f t="shared" si="109"/>
        <v>1</v>
      </c>
      <c r="Q1741" s="36">
        <f t="shared" si="110"/>
        <v>0</v>
      </c>
      <c r="R1741">
        <f t="shared" si="111"/>
        <v>2023</v>
      </c>
    </row>
    <row r="1742" spans="1:18" x14ac:dyDescent="0.2">
      <c r="A1742" s="23">
        <v>45348</v>
      </c>
      <c r="B1742" s="23">
        <v>45348</v>
      </c>
      <c r="C1742" s="25" t="s">
        <v>398</v>
      </c>
      <c r="D1742" s="20">
        <v>0</v>
      </c>
      <c r="E1742" s="27">
        <v>0</v>
      </c>
      <c r="F1742" s="22" t="s">
        <v>235</v>
      </c>
      <c r="G1742" s="29">
        <v>15840</v>
      </c>
      <c r="H1742" s="39">
        <v>45040</v>
      </c>
      <c r="I1742" s="46">
        <f t="shared" si="108"/>
        <v>308</v>
      </c>
      <c r="J1742" s="4" t="s">
        <v>12</v>
      </c>
      <c r="K1742" s="4" t="s">
        <v>197</v>
      </c>
      <c r="L1742" s="4" t="s">
        <v>223</v>
      </c>
      <c r="M1742" s="7">
        <v>15840</v>
      </c>
      <c r="N1742" s="10">
        <v>0</v>
      </c>
      <c r="O1742" s="10">
        <v>0</v>
      </c>
      <c r="P1742">
        <f t="shared" si="109"/>
        <v>1</v>
      </c>
      <c r="Q1742" s="36">
        <f t="shared" si="110"/>
        <v>0</v>
      </c>
      <c r="R1742">
        <f t="shared" si="111"/>
        <v>2023</v>
      </c>
    </row>
    <row r="1743" spans="1:18" x14ac:dyDescent="0.2">
      <c r="A1743" s="23">
        <v>45355</v>
      </c>
      <c r="B1743" s="23">
        <v>45355</v>
      </c>
      <c r="C1743" s="25" t="s">
        <v>398</v>
      </c>
      <c r="D1743" s="20">
        <v>0</v>
      </c>
      <c r="E1743" s="27">
        <v>0</v>
      </c>
      <c r="F1743" s="22" t="s">
        <v>235</v>
      </c>
      <c r="G1743" s="29">
        <v>26400</v>
      </c>
      <c r="H1743" s="39">
        <v>45040</v>
      </c>
      <c r="I1743" s="46">
        <f t="shared" si="108"/>
        <v>315</v>
      </c>
      <c r="J1743" s="4" t="s">
        <v>12</v>
      </c>
      <c r="K1743" s="4" t="s">
        <v>197</v>
      </c>
      <c r="L1743" s="4" t="s">
        <v>223</v>
      </c>
      <c r="M1743" s="7">
        <v>26400</v>
      </c>
      <c r="N1743" s="10">
        <v>0</v>
      </c>
      <c r="O1743" s="10">
        <v>0</v>
      </c>
      <c r="P1743">
        <f t="shared" si="109"/>
        <v>1</v>
      </c>
      <c r="Q1743" s="36">
        <f t="shared" si="110"/>
        <v>0</v>
      </c>
      <c r="R1743">
        <f t="shared" si="111"/>
        <v>2023</v>
      </c>
    </row>
    <row r="1744" spans="1:18" x14ac:dyDescent="0.2">
      <c r="A1744" s="23">
        <v>45362</v>
      </c>
      <c r="B1744" s="23">
        <v>45362</v>
      </c>
      <c r="C1744" s="25" t="s">
        <v>398</v>
      </c>
      <c r="D1744" s="20">
        <v>0</v>
      </c>
      <c r="E1744" s="27">
        <v>0</v>
      </c>
      <c r="F1744" s="22" t="s">
        <v>235</v>
      </c>
      <c r="G1744" s="29">
        <v>26400</v>
      </c>
      <c r="H1744" s="39">
        <v>45040</v>
      </c>
      <c r="I1744" s="46">
        <f t="shared" si="108"/>
        <v>322</v>
      </c>
      <c r="J1744" s="4" t="s">
        <v>12</v>
      </c>
      <c r="K1744" s="4" t="s">
        <v>197</v>
      </c>
      <c r="L1744" s="4" t="s">
        <v>223</v>
      </c>
      <c r="M1744" s="7">
        <v>26400</v>
      </c>
      <c r="N1744" s="10">
        <v>0</v>
      </c>
      <c r="O1744" s="10">
        <v>0</v>
      </c>
      <c r="P1744">
        <f t="shared" si="109"/>
        <v>1</v>
      </c>
      <c r="Q1744" s="36">
        <f t="shared" si="110"/>
        <v>0</v>
      </c>
      <c r="R1744">
        <f t="shared" si="111"/>
        <v>2023</v>
      </c>
    </row>
    <row r="1745" spans="1:18" x14ac:dyDescent="0.2">
      <c r="A1745" s="23">
        <v>45369</v>
      </c>
      <c r="B1745" s="23">
        <v>45369</v>
      </c>
      <c r="C1745" s="25" t="s">
        <v>398</v>
      </c>
      <c r="D1745" s="20">
        <v>0</v>
      </c>
      <c r="E1745" s="27">
        <v>0</v>
      </c>
      <c r="F1745" s="22" t="s">
        <v>235</v>
      </c>
      <c r="G1745" s="29">
        <v>26400</v>
      </c>
      <c r="H1745" s="39">
        <v>45040</v>
      </c>
      <c r="I1745" s="46">
        <f t="shared" si="108"/>
        <v>329</v>
      </c>
      <c r="J1745" s="4" t="s">
        <v>12</v>
      </c>
      <c r="K1745" s="4" t="s">
        <v>197</v>
      </c>
      <c r="L1745" s="4" t="s">
        <v>223</v>
      </c>
      <c r="M1745" s="7">
        <v>26400</v>
      </c>
      <c r="N1745" s="10">
        <v>0</v>
      </c>
      <c r="O1745" s="10">
        <v>0</v>
      </c>
      <c r="P1745">
        <f t="shared" si="109"/>
        <v>1</v>
      </c>
      <c r="Q1745" s="36">
        <f t="shared" si="110"/>
        <v>0</v>
      </c>
      <c r="R1745">
        <f t="shared" si="111"/>
        <v>2023</v>
      </c>
    </row>
    <row r="1746" spans="1:18" x14ac:dyDescent="0.2">
      <c r="A1746" s="23">
        <v>45376</v>
      </c>
      <c r="B1746" s="23">
        <v>45376</v>
      </c>
      <c r="C1746" s="25" t="s">
        <v>398</v>
      </c>
      <c r="D1746" s="20">
        <v>0</v>
      </c>
      <c r="E1746" s="27">
        <v>0</v>
      </c>
      <c r="F1746" s="22" t="s">
        <v>235</v>
      </c>
      <c r="G1746" s="29">
        <v>26400</v>
      </c>
      <c r="H1746" s="39">
        <v>45040</v>
      </c>
      <c r="I1746" s="46">
        <f t="shared" si="108"/>
        <v>336</v>
      </c>
      <c r="J1746" s="4" t="s">
        <v>12</v>
      </c>
      <c r="K1746" s="4" t="s">
        <v>197</v>
      </c>
      <c r="L1746" s="4" t="s">
        <v>223</v>
      </c>
      <c r="M1746" s="7">
        <v>26400</v>
      </c>
      <c r="N1746" s="10">
        <v>0</v>
      </c>
      <c r="O1746" s="10">
        <v>0</v>
      </c>
      <c r="P1746">
        <f t="shared" si="109"/>
        <v>1</v>
      </c>
      <c r="Q1746" s="36">
        <f t="shared" si="110"/>
        <v>0</v>
      </c>
      <c r="R1746">
        <f t="shared" si="111"/>
        <v>2023</v>
      </c>
    </row>
    <row r="1747" spans="1:18" x14ac:dyDescent="0.2">
      <c r="A1747" s="23">
        <v>45383</v>
      </c>
      <c r="B1747" s="23">
        <v>45383</v>
      </c>
      <c r="C1747" s="25" t="s">
        <v>398</v>
      </c>
      <c r="D1747" s="20">
        <v>0</v>
      </c>
      <c r="E1747" s="27">
        <v>0</v>
      </c>
      <c r="F1747" s="22" t="s">
        <v>235</v>
      </c>
      <c r="G1747" s="29">
        <v>26400</v>
      </c>
      <c r="H1747" s="39">
        <v>45040</v>
      </c>
      <c r="I1747" s="46">
        <f t="shared" si="108"/>
        <v>343</v>
      </c>
      <c r="J1747" s="4" t="s">
        <v>12</v>
      </c>
      <c r="K1747" s="4" t="s">
        <v>197</v>
      </c>
      <c r="L1747" s="4" t="s">
        <v>223</v>
      </c>
      <c r="M1747" s="7">
        <v>26400</v>
      </c>
      <c r="N1747" s="10">
        <v>0</v>
      </c>
      <c r="O1747" s="10">
        <v>0</v>
      </c>
      <c r="P1747">
        <f t="shared" si="109"/>
        <v>1</v>
      </c>
      <c r="Q1747" s="36">
        <f t="shared" si="110"/>
        <v>0</v>
      </c>
      <c r="R1747">
        <f t="shared" si="111"/>
        <v>2023</v>
      </c>
    </row>
    <row r="1748" spans="1:18" x14ac:dyDescent="0.2">
      <c r="A1748" s="23">
        <v>45390</v>
      </c>
      <c r="B1748" s="23">
        <v>45390</v>
      </c>
      <c r="C1748" s="25" t="s">
        <v>398</v>
      </c>
      <c r="D1748" s="20">
        <v>0</v>
      </c>
      <c r="E1748" s="27">
        <v>0</v>
      </c>
      <c r="F1748" s="22" t="s">
        <v>235</v>
      </c>
      <c r="G1748" s="29">
        <v>26400</v>
      </c>
      <c r="H1748" s="39">
        <v>45040</v>
      </c>
      <c r="I1748" s="46">
        <f t="shared" si="108"/>
        <v>350</v>
      </c>
      <c r="J1748" s="4" t="s">
        <v>12</v>
      </c>
      <c r="K1748" s="4" t="s">
        <v>197</v>
      </c>
      <c r="L1748" s="4" t="s">
        <v>223</v>
      </c>
      <c r="M1748" s="7">
        <v>26400</v>
      </c>
      <c r="N1748" s="10">
        <v>0</v>
      </c>
      <c r="O1748" s="10">
        <v>0</v>
      </c>
      <c r="P1748">
        <f t="shared" si="109"/>
        <v>1</v>
      </c>
      <c r="Q1748" s="36">
        <f t="shared" si="110"/>
        <v>0</v>
      </c>
      <c r="R1748">
        <f t="shared" si="111"/>
        <v>2023</v>
      </c>
    </row>
    <row r="1749" spans="1:18" x14ac:dyDescent="0.2">
      <c r="A1749" s="23">
        <v>45397</v>
      </c>
      <c r="B1749" s="23">
        <v>45397</v>
      </c>
      <c r="C1749" s="25" t="s">
        <v>398</v>
      </c>
      <c r="D1749" s="20">
        <v>0</v>
      </c>
      <c r="E1749" s="27">
        <v>0</v>
      </c>
      <c r="F1749" s="22" t="s">
        <v>235</v>
      </c>
      <c r="G1749" s="29">
        <v>26400</v>
      </c>
      <c r="H1749" s="39">
        <v>45040</v>
      </c>
      <c r="I1749" s="46">
        <f t="shared" si="108"/>
        <v>357</v>
      </c>
      <c r="J1749" s="4" t="s">
        <v>12</v>
      </c>
      <c r="K1749" s="4" t="s">
        <v>197</v>
      </c>
      <c r="L1749" s="4" t="s">
        <v>223</v>
      </c>
      <c r="M1749" s="7">
        <v>26400</v>
      </c>
      <c r="N1749" s="10">
        <v>0</v>
      </c>
      <c r="O1749" s="10">
        <v>0</v>
      </c>
      <c r="P1749">
        <f t="shared" si="109"/>
        <v>1</v>
      </c>
      <c r="Q1749" s="36">
        <f t="shared" si="110"/>
        <v>0</v>
      </c>
      <c r="R1749">
        <f t="shared" si="111"/>
        <v>2023</v>
      </c>
    </row>
    <row r="1750" spans="1:18" x14ac:dyDescent="0.2">
      <c r="A1750" s="23">
        <v>45404</v>
      </c>
      <c r="B1750" s="23">
        <v>45404</v>
      </c>
      <c r="C1750" s="25" t="s">
        <v>398</v>
      </c>
      <c r="D1750" s="20">
        <v>0</v>
      </c>
      <c r="E1750" s="27">
        <v>0</v>
      </c>
      <c r="F1750" s="22" t="s">
        <v>235</v>
      </c>
      <c r="G1750" s="29">
        <v>26400</v>
      </c>
      <c r="H1750" s="39">
        <v>45040</v>
      </c>
      <c r="I1750" s="46">
        <f t="shared" si="108"/>
        <v>364</v>
      </c>
      <c r="J1750" s="4" t="s">
        <v>12</v>
      </c>
      <c r="K1750" s="4" t="s">
        <v>197</v>
      </c>
      <c r="L1750" s="4" t="s">
        <v>223</v>
      </c>
      <c r="M1750" s="7">
        <v>26400</v>
      </c>
      <c r="N1750" s="10">
        <v>0</v>
      </c>
      <c r="O1750" s="10">
        <v>0</v>
      </c>
      <c r="P1750">
        <f t="shared" si="109"/>
        <v>1</v>
      </c>
      <c r="Q1750" s="36">
        <f t="shared" si="110"/>
        <v>0</v>
      </c>
      <c r="R1750">
        <f t="shared" si="111"/>
        <v>2023</v>
      </c>
    </row>
    <row r="1751" spans="1:18" x14ac:dyDescent="0.2">
      <c r="A1751" s="23">
        <v>45411</v>
      </c>
      <c r="B1751" s="23">
        <v>45411</v>
      </c>
      <c r="C1751" s="25" t="s">
        <v>398</v>
      </c>
      <c r="D1751" s="20">
        <v>0</v>
      </c>
      <c r="E1751" s="27">
        <v>0</v>
      </c>
      <c r="F1751" s="22" t="s">
        <v>235</v>
      </c>
      <c r="G1751" s="29">
        <v>26400</v>
      </c>
      <c r="H1751" s="39">
        <v>45040</v>
      </c>
      <c r="I1751" s="46">
        <f t="shared" si="108"/>
        <v>371</v>
      </c>
      <c r="J1751" s="4" t="s">
        <v>12</v>
      </c>
      <c r="K1751" s="4" t="s">
        <v>197</v>
      </c>
      <c r="L1751" s="4" t="s">
        <v>223</v>
      </c>
      <c r="M1751" s="7">
        <v>26400</v>
      </c>
      <c r="N1751" s="10">
        <v>0</v>
      </c>
      <c r="O1751" s="10">
        <v>0</v>
      </c>
      <c r="P1751">
        <f t="shared" si="109"/>
        <v>1</v>
      </c>
      <c r="Q1751" s="36">
        <f t="shared" si="110"/>
        <v>0</v>
      </c>
      <c r="R1751">
        <f t="shared" si="111"/>
        <v>2023</v>
      </c>
    </row>
    <row r="1752" spans="1:18" x14ac:dyDescent="0.2">
      <c r="A1752" s="23">
        <v>45418</v>
      </c>
      <c r="B1752" s="23">
        <v>45418</v>
      </c>
      <c r="C1752" s="25" t="s">
        <v>398</v>
      </c>
      <c r="D1752" s="20">
        <v>0</v>
      </c>
      <c r="E1752" s="27">
        <v>0</v>
      </c>
      <c r="F1752" s="22" t="s">
        <v>235</v>
      </c>
      <c r="G1752" s="29">
        <v>21120</v>
      </c>
      <c r="H1752" s="39">
        <v>45040</v>
      </c>
      <c r="I1752" s="46">
        <f t="shared" si="108"/>
        <v>378</v>
      </c>
      <c r="J1752" s="4" t="s">
        <v>12</v>
      </c>
      <c r="K1752" s="4" t="s">
        <v>197</v>
      </c>
      <c r="L1752" s="4" t="s">
        <v>223</v>
      </c>
      <c r="M1752" s="7">
        <v>21120</v>
      </c>
      <c r="N1752" s="10">
        <v>0</v>
      </c>
      <c r="O1752" s="10">
        <v>0</v>
      </c>
      <c r="P1752">
        <f t="shared" si="109"/>
        <v>1</v>
      </c>
      <c r="Q1752" s="36">
        <f t="shared" si="110"/>
        <v>0</v>
      </c>
      <c r="R1752">
        <f t="shared" si="111"/>
        <v>2023</v>
      </c>
    </row>
    <row r="1753" spans="1:18" x14ac:dyDescent="0.2">
      <c r="A1753" s="23">
        <v>45425</v>
      </c>
      <c r="B1753" s="23">
        <v>45425</v>
      </c>
      <c r="C1753" s="25" t="s">
        <v>398</v>
      </c>
      <c r="D1753" s="20">
        <v>0</v>
      </c>
      <c r="E1753" s="27">
        <v>0</v>
      </c>
      <c r="F1753" s="22" t="s">
        <v>235</v>
      </c>
      <c r="G1753" s="29">
        <v>26400</v>
      </c>
      <c r="H1753" s="39">
        <v>45040</v>
      </c>
      <c r="I1753" s="46">
        <f t="shared" si="108"/>
        <v>385</v>
      </c>
      <c r="J1753" s="4" t="s">
        <v>12</v>
      </c>
      <c r="K1753" s="4" t="s">
        <v>197</v>
      </c>
      <c r="L1753" s="4" t="s">
        <v>223</v>
      </c>
      <c r="M1753" s="7">
        <v>26400</v>
      </c>
      <c r="N1753" s="10">
        <v>0</v>
      </c>
      <c r="O1753" s="10">
        <v>0</v>
      </c>
      <c r="P1753">
        <f t="shared" si="109"/>
        <v>1</v>
      </c>
      <c r="Q1753" s="36">
        <f t="shared" si="110"/>
        <v>0</v>
      </c>
      <c r="R1753">
        <f t="shared" si="111"/>
        <v>2023</v>
      </c>
    </row>
    <row r="1754" spans="1:18" x14ac:dyDescent="0.2">
      <c r="A1754" s="23">
        <v>45432</v>
      </c>
      <c r="B1754" s="23">
        <v>45432</v>
      </c>
      <c r="C1754" s="25" t="s">
        <v>398</v>
      </c>
      <c r="D1754" s="20">
        <v>0</v>
      </c>
      <c r="E1754" s="27">
        <v>0</v>
      </c>
      <c r="F1754" s="22" t="s">
        <v>235</v>
      </c>
      <c r="G1754" s="29">
        <v>21120</v>
      </c>
      <c r="H1754" s="39">
        <v>45040</v>
      </c>
      <c r="I1754" s="46">
        <f t="shared" si="108"/>
        <v>392</v>
      </c>
      <c r="J1754" s="4" t="s">
        <v>12</v>
      </c>
      <c r="K1754" s="4" t="s">
        <v>197</v>
      </c>
      <c r="L1754" s="4" t="s">
        <v>223</v>
      </c>
      <c r="M1754" s="7">
        <v>21120</v>
      </c>
      <c r="N1754" s="10">
        <v>0</v>
      </c>
      <c r="O1754" s="10">
        <v>0</v>
      </c>
      <c r="P1754">
        <f t="shared" si="109"/>
        <v>1</v>
      </c>
      <c r="Q1754" s="36">
        <f t="shared" si="110"/>
        <v>0</v>
      </c>
      <c r="R1754">
        <f t="shared" si="111"/>
        <v>2023</v>
      </c>
    </row>
    <row r="1755" spans="1:18" x14ac:dyDescent="0.2">
      <c r="A1755" s="23">
        <v>45439</v>
      </c>
      <c r="B1755" s="23">
        <v>45439</v>
      </c>
      <c r="C1755" s="25" t="s">
        <v>398</v>
      </c>
      <c r="D1755" s="20">
        <v>0</v>
      </c>
      <c r="E1755" s="27">
        <v>0</v>
      </c>
      <c r="F1755" s="22" t="s">
        <v>235</v>
      </c>
      <c r="G1755" s="29">
        <v>21120</v>
      </c>
      <c r="H1755" s="39">
        <v>45040</v>
      </c>
      <c r="I1755" s="46">
        <f t="shared" si="108"/>
        <v>399</v>
      </c>
      <c r="J1755" s="4" t="s">
        <v>12</v>
      </c>
      <c r="K1755" s="4" t="s">
        <v>197</v>
      </c>
      <c r="L1755" s="4" t="s">
        <v>223</v>
      </c>
      <c r="M1755" s="7">
        <v>21120</v>
      </c>
      <c r="N1755" s="10">
        <v>0</v>
      </c>
      <c r="O1755" s="10">
        <v>0</v>
      </c>
      <c r="P1755">
        <f t="shared" si="109"/>
        <v>1</v>
      </c>
      <c r="Q1755" s="36">
        <f t="shared" si="110"/>
        <v>0</v>
      </c>
      <c r="R1755">
        <f t="shared" si="111"/>
        <v>2023</v>
      </c>
    </row>
    <row r="1756" spans="1:18" x14ac:dyDescent="0.2">
      <c r="A1756" s="23">
        <v>45446</v>
      </c>
      <c r="B1756" s="23">
        <v>45446</v>
      </c>
      <c r="C1756" s="25" t="s">
        <v>398</v>
      </c>
      <c r="D1756" s="20">
        <v>0</v>
      </c>
      <c r="E1756" s="27">
        <v>0</v>
      </c>
      <c r="F1756" s="22" t="s">
        <v>235</v>
      </c>
      <c r="G1756" s="29">
        <v>21120</v>
      </c>
      <c r="H1756" s="39">
        <v>45040</v>
      </c>
      <c r="I1756" s="46">
        <f t="shared" si="108"/>
        <v>406</v>
      </c>
      <c r="J1756" s="4" t="s">
        <v>12</v>
      </c>
      <c r="K1756" s="4" t="s">
        <v>197</v>
      </c>
      <c r="L1756" s="4" t="s">
        <v>223</v>
      </c>
      <c r="M1756" s="7">
        <v>21120</v>
      </c>
      <c r="N1756" s="10">
        <v>0</v>
      </c>
      <c r="O1756" s="10">
        <v>0</v>
      </c>
      <c r="P1756">
        <f t="shared" si="109"/>
        <v>1</v>
      </c>
      <c r="Q1756" s="36">
        <f t="shared" si="110"/>
        <v>0</v>
      </c>
      <c r="R1756">
        <f t="shared" si="111"/>
        <v>2023</v>
      </c>
    </row>
    <row r="1757" spans="1:18" x14ac:dyDescent="0.2">
      <c r="A1757" s="23">
        <v>45453</v>
      </c>
      <c r="B1757" s="23">
        <v>45453</v>
      </c>
      <c r="C1757" s="25" t="s">
        <v>398</v>
      </c>
      <c r="D1757" s="20">
        <v>0</v>
      </c>
      <c r="E1757" s="27">
        <v>0</v>
      </c>
      <c r="F1757" s="22" t="s">
        <v>235</v>
      </c>
      <c r="G1757" s="29">
        <v>21120</v>
      </c>
      <c r="H1757" s="39">
        <v>45040</v>
      </c>
      <c r="I1757" s="46">
        <f t="shared" si="108"/>
        <v>413</v>
      </c>
      <c r="J1757" s="4" t="s">
        <v>12</v>
      </c>
      <c r="K1757" s="4" t="s">
        <v>197</v>
      </c>
      <c r="L1757" s="4" t="s">
        <v>223</v>
      </c>
      <c r="M1757" s="7">
        <v>21120</v>
      </c>
      <c r="N1757" s="10">
        <v>0</v>
      </c>
      <c r="O1757" s="10">
        <v>0</v>
      </c>
      <c r="P1757">
        <f t="shared" si="109"/>
        <v>1</v>
      </c>
      <c r="Q1757" s="36">
        <f t="shared" si="110"/>
        <v>0</v>
      </c>
      <c r="R1757">
        <f t="shared" si="111"/>
        <v>2023</v>
      </c>
    </row>
    <row r="1758" spans="1:18" x14ac:dyDescent="0.2">
      <c r="A1758" s="23">
        <v>45467</v>
      </c>
      <c r="B1758" s="23">
        <v>45467</v>
      </c>
      <c r="C1758" s="25" t="s">
        <v>398</v>
      </c>
      <c r="D1758" s="20">
        <v>0</v>
      </c>
      <c r="E1758" s="27">
        <v>0</v>
      </c>
      <c r="F1758" s="22" t="s">
        <v>235</v>
      </c>
      <c r="G1758" s="29">
        <v>10560</v>
      </c>
      <c r="H1758" s="39">
        <v>45040</v>
      </c>
      <c r="I1758" s="46">
        <f t="shared" si="108"/>
        <v>427</v>
      </c>
      <c r="J1758" s="4" t="s">
        <v>12</v>
      </c>
      <c r="K1758" s="4" t="s">
        <v>197</v>
      </c>
      <c r="L1758" s="4" t="s">
        <v>223</v>
      </c>
      <c r="M1758" s="7">
        <v>10560</v>
      </c>
      <c r="N1758" s="10">
        <v>0</v>
      </c>
      <c r="O1758" s="10">
        <v>0</v>
      </c>
      <c r="P1758">
        <f t="shared" si="109"/>
        <v>1</v>
      </c>
      <c r="Q1758" s="36">
        <f t="shared" si="110"/>
        <v>0</v>
      </c>
      <c r="R1758">
        <f t="shared" si="111"/>
        <v>2023</v>
      </c>
    </row>
    <row r="1759" spans="1:18" x14ac:dyDescent="0.2">
      <c r="A1759" s="23">
        <v>45474</v>
      </c>
      <c r="B1759" s="23">
        <v>45474</v>
      </c>
      <c r="C1759" s="25" t="s">
        <v>398</v>
      </c>
      <c r="D1759" s="20">
        <v>0</v>
      </c>
      <c r="E1759" s="27">
        <v>0</v>
      </c>
      <c r="F1759" s="22" t="s">
        <v>235</v>
      </c>
      <c r="G1759" s="29">
        <v>10560</v>
      </c>
      <c r="H1759" s="39">
        <v>45040</v>
      </c>
      <c r="I1759" s="46">
        <f t="shared" si="108"/>
        <v>434</v>
      </c>
      <c r="J1759" s="4" t="s">
        <v>12</v>
      </c>
      <c r="K1759" s="4" t="s">
        <v>197</v>
      </c>
      <c r="L1759" s="4" t="s">
        <v>223</v>
      </c>
      <c r="M1759" s="7">
        <v>10560</v>
      </c>
      <c r="N1759" s="10">
        <v>0</v>
      </c>
      <c r="O1759" s="10">
        <v>0</v>
      </c>
      <c r="P1759">
        <f t="shared" si="109"/>
        <v>1</v>
      </c>
      <c r="Q1759" s="36">
        <f t="shared" si="110"/>
        <v>0</v>
      </c>
      <c r="R1759">
        <f t="shared" si="111"/>
        <v>2023</v>
      </c>
    </row>
    <row r="1760" spans="1:18" x14ac:dyDescent="0.2">
      <c r="A1760" s="23">
        <v>45481</v>
      </c>
      <c r="B1760" s="23">
        <v>45481</v>
      </c>
      <c r="C1760" s="25" t="s">
        <v>398</v>
      </c>
      <c r="D1760" s="20">
        <v>0</v>
      </c>
      <c r="E1760" s="27">
        <v>0</v>
      </c>
      <c r="F1760" s="22" t="s">
        <v>235</v>
      </c>
      <c r="G1760" s="29">
        <v>15840</v>
      </c>
      <c r="H1760" s="39">
        <v>45040</v>
      </c>
      <c r="I1760" s="46">
        <f t="shared" si="108"/>
        <v>441</v>
      </c>
      <c r="J1760" s="4" t="s">
        <v>12</v>
      </c>
      <c r="K1760" s="4" t="s">
        <v>197</v>
      </c>
      <c r="L1760" s="4" t="s">
        <v>223</v>
      </c>
      <c r="M1760" s="7">
        <v>15840</v>
      </c>
      <c r="N1760" s="10">
        <v>0</v>
      </c>
      <c r="O1760" s="10">
        <v>0</v>
      </c>
      <c r="P1760">
        <f t="shared" si="109"/>
        <v>1</v>
      </c>
      <c r="Q1760" s="36">
        <f t="shared" si="110"/>
        <v>0</v>
      </c>
      <c r="R1760">
        <f t="shared" si="111"/>
        <v>2023</v>
      </c>
    </row>
    <row r="1761" spans="1:18" x14ac:dyDescent="0.2">
      <c r="A1761" s="23">
        <v>45488</v>
      </c>
      <c r="B1761" s="23">
        <v>45488</v>
      </c>
      <c r="C1761" s="25" t="s">
        <v>398</v>
      </c>
      <c r="D1761" s="20">
        <v>0</v>
      </c>
      <c r="E1761" s="27">
        <v>0</v>
      </c>
      <c r="F1761" s="22" t="s">
        <v>235</v>
      </c>
      <c r="G1761" s="29">
        <v>10560</v>
      </c>
      <c r="H1761" s="39">
        <v>45040</v>
      </c>
      <c r="I1761" s="46">
        <f t="shared" si="108"/>
        <v>448</v>
      </c>
      <c r="J1761" s="4" t="s">
        <v>12</v>
      </c>
      <c r="K1761" s="4" t="s">
        <v>197</v>
      </c>
      <c r="L1761" s="4" t="s">
        <v>223</v>
      </c>
      <c r="M1761" s="7">
        <v>10560</v>
      </c>
      <c r="N1761" s="10">
        <v>0</v>
      </c>
      <c r="O1761" s="10">
        <v>0</v>
      </c>
      <c r="P1761">
        <f t="shared" si="109"/>
        <v>1</v>
      </c>
      <c r="Q1761" s="36">
        <f t="shared" si="110"/>
        <v>0</v>
      </c>
      <c r="R1761">
        <f t="shared" si="111"/>
        <v>2023</v>
      </c>
    </row>
    <row r="1762" spans="1:18" x14ac:dyDescent="0.2">
      <c r="A1762" s="23">
        <v>45495</v>
      </c>
      <c r="B1762" s="23">
        <v>45495</v>
      </c>
      <c r="C1762" s="25" t="s">
        <v>398</v>
      </c>
      <c r="D1762" s="20">
        <v>0</v>
      </c>
      <c r="E1762" s="27">
        <v>0</v>
      </c>
      <c r="F1762" s="22" t="s">
        <v>235</v>
      </c>
      <c r="G1762" s="29">
        <v>10560</v>
      </c>
      <c r="H1762" s="39">
        <v>45040</v>
      </c>
      <c r="I1762" s="46">
        <f t="shared" si="108"/>
        <v>455</v>
      </c>
      <c r="J1762" s="4" t="s">
        <v>12</v>
      </c>
      <c r="K1762" s="4" t="s">
        <v>197</v>
      </c>
      <c r="L1762" s="4" t="s">
        <v>223</v>
      </c>
      <c r="M1762" s="7">
        <v>10560</v>
      </c>
      <c r="N1762" s="10">
        <v>0</v>
      </c>
      <c r="O1762" s="10">
        <v>0</v>
      </c>
      <c r="P1762">
        <f t="shared" si="109"/>
        <v>1</v>
      </c>
      <c r="Q1762" s="36">
        <f t="shared" si="110"/>
        <v>0</v>
      </c>
      <c r="R1762">
        <f t="shared" si="111"/>
        <v>2023</v>
      </c>
    </row>
    <row r="1763" spans="1:18" x14ac:dyDescent="0.2">
      <c r="A1763" s="23">
        <v>45502</v>
      </c>
      <c r="B1763" s="23">
        <v>45502</v>
      </c>
      <c r="C1763" s="25" t="s">
        <v>398</v>
      </c>
      <c r="D1763" s="20">
        <v>0</v>
      </c>
      <c r="E1763" s="27">
        <v>0</v>
      </c>
      <c r="F1763" s="22" t="s">
        <v>235</v>
      </c>
      <c r="G1763" s="29">
        <v>10560</v>
      </c>
      <c r="H1763" s="39">
        <v>45040</v>
      </c>
      <c r="I1763" s="46">
        <f t="shared" si="108"/>
        <v>462</v>
      </c>
      <c r="J1763" s="4" t="s">
        <v>12</v>
      </c>
      <c r="K1763" s="4" t="s">
        <v>197</v>
      </c>
      <c r="L1763" s="4" t="s">
        <v>223</v>
      </c>
      <c r="M1763" s="7">
        <v>10560</v>
      </c>
      <c r="N1763" s="10">
        <v>0</v>
      </c>
      <c r="O1763" s="10">
        <v>0</v>
      </c>
      <c r="P1763">
        <f t="shared" si="109"/>
        <v>1</v>
      </c>
      <c r="Q1763" s="36">
        <f t="shared" si="110"/>
        <v>0</v>
      </c>
      <c r="R1763">
        <f t="shared" si="111"/>
        <v>2023</v>
      </c>
    </row>
    <row r="1764" spans="1:18" x14ac:dyDescent="0.2">
      <c r="A1764" s="23">
        <v>45509</v>
      </c>
      <c r="B1764" s="23">
        <v>45509</v>
      </c>
      <c r="C1764" s="25" t="s">
        <v>398</v>
      </c>
      <c r="D1764" s="20">
        <v>0</v>
      </c>
      <c r="E1764" s="27">
        <v>0</v>
      </c>
      <c r="F1764" s="22" t="s">
        <v>235</v>
      </c>
      <c r="G1764" s="29">
        <v>10560</v>
      </c>
      <c r="H1764" s="39">
        <v>45040</v>
      </c>
      <c r="I1764" s="46">
        <f t="shared" si="108"/>
        <v>469</v>
      </c>
      <c r="J1764" s="4" t="s">
        <v>12</v>
      </c>
      <c r="K1764" s="4" t="s">
        <v>197</v>
      </c>
      <c r="L1764" s="4" t="s">
        <v>223</v>
      </c>
      <c r="M1764" s="7">
        <v>10560</v>
      </c>
      <c r="N1764" s="10">
        <v>0</v>
      </c>
      <c r="O1764" s="10">
        <v>0</v>
      </c>
      <c r="P1764">
        <f t="shared" si="109"/>
        <v>1</v>
      </c>
      <c r="Q1764" s="36">
        <f t="shared" si="110"/>
        <v>0</v>
      </c>
      <c r="R1764">
        <f t="shared" si="111"/>
        <v>2023</v>
      </c>
    </row>
    <row r="1765" spans="1:18" x14ac:dyDescent="0.2">
      <c r="A1765" s="23">
        <v>45516</v>
      </c>
      <c r="B1765" s="23">
        <v>45516</v>
      </c>
      <c r="C1765" s="25" t="s">
        <v>398</v>
      </c>
      <c r="D1765" s="20">
        <v>0</v>
      </c>
      <c r="E1765" s="27">
        <v>0</v>
      </c>
      <c r="F1765" s="22" t="s">
        <v>235</v>
      </c>
      <c r="G1765" s="29">
        <v>10560</v>
      </c>
      <c r="H1765" s="39">
        <v>45040</v>
      </c>
      <c r="I1765" s="46">
        <f t="shared" si="108"/>
        <v>476</v>
      </c>
      <c r="J1765" s="4" t="s">
        <v>12</v>
      </c>
      <c r="K1765" s="4" t="s">
        <v>197</v>
      </c>
      <c r="L1765" s="4" t="s">
        <v>223</v>
      </c>
      <c r="M1765" s="7">
        <v>10560</v>
      </c>
      <c r="N1765" s="10">
        <v>0</v>
      </c>
      <c r="O1765" s="10">
        <v>0</v>
      </c>
      <c r="P1765">
        <f t="shared" si="109"/>
        <v>1</v>
      </c>
      <c r="Q1765" s="36">
        <f t="shared" si="110"/>
        <v>0</v>
      </c>
      <c r="R1765">
        <f t="shared" si="111"/>
        <v>2023</v>
      </c>
    </row>
    <row r="1766" spans="1:18" x14ac:dyDescent="0.2">
      <c r="A1766" s="23">
        <v>45523</v>
      </c>
      <c r="B1766" s="23">
        <v>45523</v>
      </c>
      <c r="C1766" s="25" t="s">
        <v>398</v>
      </c>
      <c r="D1766" s="20">
        <v>0</v>
      </c>
      <c r="E1766" s="27">
        <v>0</v>
      </c>
      <c r="F1766" s="22" t="s">
        <v>235</v>
      </c>
      <c r="G1766" s="29">
        <v>10560</v>
      </c>
      <c r="H1766" s="39">
        <v>45040</v>
      </c>
      <c r="I1766" s="46">
        <f t="shared" si="108"/>
        <v>483</v>
      </c>
      <c r="J1766" s="4" t="s">
        <v>12</v>
      </c>
      <c r="K1766" s="4" t="s">
        <v>197</v>
      </c>
      <c r="L1766" s="4" t="s">
        <v>223</v>
      </c>
      <c r="M1766" s="7">
        <v>10560</v>
      </c>
      <c r="N1766" s="10">
        <v>0</v>
      </c>
      <c r="O1766" s="10">
        <v>0</v>
      </c>
      <c r="P1766">
        <f t="shared" si="109"/>
        <v>1</v>
      </c>
      <c r="Q1766" s="36">
        <f t="shared" si="110"/>
        <v>0</v>
      </c>
      <c r="R1766">
        <f t="shared" si="111"/>
        <v>2023</v>
      </c>
    </row>
    <row r="1767" spans="1:18" x14ac:dyDescent="0.2">
      <c r="A1767" s="23">
        <v>45530</v>
      </c>
      <c r="B1767" s="23">
        <v>45530</v>
      </c>
      <c r="C1767" s="25" t="s">
        <v>398</v>
      </c>
      <c r="D1767" s="20">
        <v>0</v>
      </c>
      <c r="E1767" s="27">
        <v>0</v>
      </c>
      <c r="F1767" s="22" t="s">
        <v>235</v>
      </c>
      <c r="G1767" s="29">
        <v>10560</v>
      </c>
      <c r="H1767" s="39">
        <v>45040</v>
      </c>
      <c r="I1767" s="46">
        <f t="shared" si="108"/>
        <v>490</v>
      </c>
      <c r="J1767" s="4" t="s">
        <v>12</v>
      </c>
      <c r="K1767" s="4" t="s">
        <v>197</v>
      </c>
      <c r="L1767" s="4" t="s">
        <v>223</v>
      </c>
      <c r="M1767" s="7">
        <v>10560</v>
      </c>
      <c r="N1767" s="10">
        <v>0</v>
      </c>
      <c r="O1767" s="10">
        <v>0</v>
      </c>
      <c r="P1767">
        <f t="shared" si="109"/>
        <v>1</v>
      </c>
      <c r="Q1767" s="36">
        <f t="shared" si="110"/>
        <v>0</v>
      </c>
      <c r="R1767">
        <f t="shared" si="111"/>
        <v>2023</v>
      </c>
    </row>
    <row r="1768" spans="1:18" x14ac:dyDescent="0.2">
      <c r="A1768" s="23">
        <v>45537</v>
      </c>
      <c r="B1768" s="23">
        <v>45537</v>
      </c>
      <c r="C1768" s="25" t="s">
        <v>398</v>
      </c>
      <c r="D1768" s="20">
        <v>0</v>
      </c>
      <c r="E1768" s="27">
        <v>0</v>
      </c>
      <c r="F1768" s="22" t="s">
        <v>235</v>
      </c>
      <c r="G1768" s="29">
        <v>10560</v>
      </c>
      <c r="H1768" s="39">
        <v>45040</v>
      </c>
      <c r="I1768" s="46">
        <f t="shared" si="108"/>
        <v>497</v>
      </c>
      <c r="J1768" s="4" t="s">
        <v>12</v>
      </c>
      <c r="K1768" s="4" t="s">
        <v>197</v>
      </c>
      <c r="L1768" s="4" t="s">
        <v>223</v>
      </c>
      <c r="M1768" s="7">
        <v>10560</v>
      </c>
      <c r="N1768" s="10">
        <v>0</v>
      </c>
      <c r="O1768" s="10">
        <v>0</v>
      </c>
      <c r="P1768">
        <f t="shared" si="109"/>
        <v>1</v>
      </c>
      <c r="Q1768" s="36">
        <f t="shared" si="110"/>
        <v>0</v>
      </c>
      <c r="R1768">
        <f t="shared" si="111"/>
        <v>2023</v>
      </c>
    </row>
    <row r="1769" spans="1:18" x14ac:dyDescent="0.2">
      <c r="A1769" s="23">
        <v>45544</v>
      </c>
      <c r="B1769" s="23">
        <v>45544</v>
      </c>
      <c r="C1769" s="25" t="s">
        <v>398</v>
      </c>
      <c r="D1769" s="20">
        <v>0</v>
      </c>
      <c r="E1769" s="27">
        <v>0</v>
      </c>
      <c r="F1769" s="22" t="s">
        <v>235</v>
      </c>
      <c r="G1769" s="29">
        <v>15840</v>
      </c>
      <c r="H1769" s="39">
        <v>45040</v>
      </c>
      <c r="I1769" s="46">
        <f t="shared" si="108"/>
        <v>504</v>
      </c>
      <c r="J1769" s="4" t="s">
        <v>12</v>
      </c>
      <c r="K1769" s="4" t="s">
        <v>197</v>
      </c>
      <c r="L1769" s="4" t="s">
        <v>223</v>
      </c>
      <c r="M1769" s="7">
        <v>15840</v>
      </c>
      <c r="N1769" s="10">
        <v>0</v>
      </c>
      <c r="O1769" s="10">
        <v>0</v>
      </c>
      <c r="P1769">
        <f t="shared" si="109"/>
        <v>1</v>
      </c>
      <c r="Q1769" s="36">
        <f t="shared" si="110"/>
        <v>0</v>
      </c>
      <c r="R1769">
        <f t="shared" si="111"/>
        <v>2023</v>
      </c>
    </row>
    <row r="1770" spans="1:18" x14ac:dyDescent="0.2">
      <c r="A1770" s="23">
        <v>45551</v>
      </c>
      <c r="B1770" s="23">
        <v>45551</v>
      </c>
      <c r="C1770" s="25" t="s">
        <v>398</v>
      </c>
      <c r="D1770" s="20">
        <v>0</v>
      </c>
      <c r="E1770" s="27">
        <v>0</v>
      </c>
      <c r="F1770" s="22" t="s">
        <v>235</v>
      </c>
      <c r="G1770" s="29">
        <v>10560</v>
      </c>
      <c r="H1770" s="39">
        <v>45040</v>
      </c>
      <c r="I1770" s="46">
        <f t="shared" si="108"/>
        <v>511</v>
      </c>
      <c r="J1770" s="4" t="s">
        <v>12</v>
      </c>
      <c r="K1770" s="4" t="s">
        <v>197</v>
      </c>
      <c r="L1770" s="4" t="s">
        <v>223</v>
      </c>
      <c r="M1770" s="7">
        <v>10560</v>
      </c>
      <c r="N1770" s="10">
        <v>0</v>
      </c>
      <c r="O1770" s="10">
        <v>0</v>
      </c>
      <c r="P1770">
        <f t="shared" si="109"/>
        <v>1</v>
      </c>
      <c r="Q1770" s="36">
        <f t="shared" si="110"/>
        <v>0</v>
      </c>
      <c r="R1770">
        <f t="shared" si="111"/>
        <v>2023</v>
      </c>
    </row>
    <row r="1771" spans="1:18" x14ac:dyDescent="0.2">
      <c r="A1771" s="23">
        <v>45558</v>
      </c>
      <c r="B1771" s="23">
        <v>45558</v>
      </c>
      <c r="C1771" s="25" t="s">
        <v>398</v>
      </c>
      <c r="D1771" s="20">
        <v>0</v>
      </c>
      <c r="E1771" s="27">
        <v>0</v>
      </c>
      <c r="F1771" s="22" t="s">
        <v>235</v>
      </c>
      <c r="G1771" s="29">
        <v>10560</v>
      </c>
      <c r="H1771" s="39">
        <v>45040</v>
      </c>
      <c r="I1771" s="46">
        <f t="shared" si="108"/>
        <v>518</v>
      </c>
      <c r="J1771" s="4" t="s">
        <v>12</v>
      </c>
      <c r="K1771" s="4" t="s">
        <v>197</v>
      </c>
      <c r="L1771" s="4" t="s">
        <v>223</v>
      </c>
      <c r="M1771" s="7">
        <v>10560</v>
      </c>
      <c r="N1771" s="10">
        <v>0</v>
      </c>
      <c r="O1771" s="10">
        <v>0</v>
      </c>
      <c r="P1771">
        <f t="shared" si="109"/>
        <v>1</v>
      </c>
      <c r="Q1771" s="36">
        <f t="shared" si="110"/>
        <v>0</v>
      </c>
      <c r="R1771">
        <f t="shared" si="111"/>
        <v>2023</v>
      </c>
    </row>
    <row r="1772" spans="1:18" x14ac:dyDescent="0.2">
      <c r="A1772" s="23">
        <v>45565</v>
      </c>
      <c r="B1772" s="23">
        <v>45565</v>
      </c>
      <c r="C1772" s="25" t="s">
        <v>398</v>
      </c>
      <c r="D1772" s="20">
        <v>0</v>
      </c>
      <c r="E1772" s="27">
        <v>0</v>
      </c>
      <c r="F1772" s="22" t="s">
        <v>235</v>
      </c>
      <c r="G1772" s="29">
        <v>15840</v>
      </c>
      <c r="H1772" s="39">
        <v>45040</v>
      </c>
      <c r="I1772" s="46">
        <f t="shared" si="108"/>
        <v>525</v>
      </c>
      <c r="J1772" s="4" t="s">
        <v>12</v>
      </c>
      <c r="K1772" s="4" t="s">
        <v>197</v>
      </c>
      <c r="L1772" s="4" t="s">
        <v>223</v>
      </c>
      <c r="M1772" s="7">
        <v>15840</v>
      </c>
      <c r="N1772" s="10">
        <v>0</v>
      </c>
      <c r="O1772" s="10">
        <v>0</v>
      </c>
      <c r="P1772">
        <f t="shared" si="109"/>
        <v>1</v>
      </c>
      <c r="Q1772" s="36">
        <f t="shared" si="110"/>
        <v>0</v>
      </c>
      <c r="R1772">
        <f t="shared" si="111"/>
        <v>2023</v>
      </c>
    </row>
    <row r="1773" spans="1:18" x14ac:dyDescent="0.2">
      <c r="A1773" s="23">
        <v>45572</v>
      </c>
      <c r="B1773" s="23">
        <v>45572</v>
      </c>
      <c r="C1773" s="25" t="s">
        <v>398</v>
      </c>
      <c r="D1773" s="20">
        <v>0</v>
      </c>
      <c r="E1773" s="27">
        <v>0</v>
      </c>
      <c r="F1773" s="22" t="s">
        <v>235</v>
      </c>
      <c r="G1773" s="29">
        <v>10560</v>
      </c>
      <c r="H1773" s="39">
        <v>45040</v>
      </c>
      <c r="I1773" s="46">
        <f t="shared" si="108"/>
        <v>532</v>
      </c>
      <c r="J1773" s="4" t="s">
        <v>12</v>
      </c>
      <c r="K1773" s="4" t="s">
        <v>197</v>
      </c>
      <c r="L1773" s="4" t="s">
        <v>223</v>
      </c>
      <c r="M1773" s="7">
        <v>10560</v>
      </c>
      <c r="N1773" s="10">
        <v>0</v>
      </c>
      <c r="O1773" s="10">
        <v>0</v>
      </c>
      <c r="P1773">
        <f t="shared" si="109"/>
        <v>1</v>
      </c>
      <c r="Q1773" s="36">
        <f t="shared" si="110"/>
        <v>0</v>
      </c>
      <c r="R1773">
        <f t="shared" si="111"/>
        <v>2023</v>
      </c>
    </row>
    <row r="1774" spans="1:18" x14ac:dyDescent="0.2">
      <c r="A1774" s="23">
        <v>45579</v>
      </c>
      <c r="B1774" s="23">
        <v>45579</v>
      </c>
      <c r="C1774" s="25" t="s">
        <v>398</v>
      </c>
      <c r="D1774" s="20">
        <v>0</v>
      </c>
      <c r="E1774" s="27">
        <v>0</v>
      </c>
      <c r="F1774" s="22" t="s">
        <v>235</v>
      </c>
      <c r="G1774" s="29">
        <v>10560</v>
      </c>
      <c r="H1774" s="39">
        <v>45040</v>
      </c>
      <c r="I1774" s="46">
        <f t="shared" si="108"/>
        <v>539</v>
      </c>
      <c r="J1774" s="4" t="s">
        <v>12</v>
      </c>
      <c r="K1774" s="4" t="s">
        <v>197</v>
      </c>
      <c r="L1774" s="4" t="s">
        <v>223</v>
      </c>
      <c r="M1774" s="7">
        <v>10560</v>
      </c>
      <c r="N1774" s="10">
        <v>0</v>
      </c>
      <c r="O1774" s="10">
        <v>0</v>
      </c>
      <c r="P1774">
        <f t="shared" si="109"/>
        <v>1</v>
      </c>
      <c r="Q1774" s="36">
        <f t="shared" si="110"/>
        <v>0</v>
      </c>
      <c r="R1774">
        <f t="shared" si="111"/>
        <v>2023</v>
      </c>
    </row>
    <row r="1775" spans="1:18" x14ac:dyDescent="0.2">
      <c r="A1775" s="23">
        <v>45586</v>
      </c>
      <c r="B1775" s="23">
        <v>45586</v>
      </c>
      <c r="C1775" s="25" t="s">
        <v>398</v>
      </c>
      <c r="D1775" s="20">
        <v>0</v>
      </c>
      <c r="E1775" s="27">
        <v>0</v>
      </c>
      <c r="F1775" s="22" t="s">
        <v>235</v>
      </c>
      <c r="G1775" s="29">
        <v>26400</v>
      </c>
      <c r="H1775" s="39">
        <v>45040</v>
      </c>
      <c r="I1775" s="46">
        <f t="shared" si="108"/>
        <v>546</v>
      </c>
      <c r="J1775" s="4" t="s">
        <v>12</v>
      </c>
      <c r="K1775" s="4" t="s">
        <v>197</v>
      </c>
      <c r="L1775" s="4" t="s">
        <v>223</v>
      </c>
      <c r="M1775" s="7">
        <v>26400</v>
      </c>
      <c r="N1775" s="10">
        <v>0</v>
      </c>
      <c r="O1775" s="10">
        <v>0</v>
      </c>
      <c r="P1775">
        <f t="shared" si="109"/>
        <v>1</v>
      </c>
      <c r="Q1775" s="36">
        <f t="shared" si="110"/>
        <v>0</v>
      </c>
      <c r="R1775">
        <f t="shared" si="111"/>
        <v>2023</v>
      </c>
    </row>
    <row r="1776" spans="1:18" x14ac:dyDescent="0.2">
      <c r="A1776" s="23">
        <v>45600</v>
      </c>
      <c r="B1776" s="23">
        <v>45600</v>
      </c>
      <c r="C1776" s="25" t="s">
        <v>398</v>
      </c>
      <c r="D1776" s="20">
        <v>0</v>
      </c>
      <c r="E1776" s="27">
        <v>0</v>
      </c>
      <c r="F1776" s="22" t="s">
        <v>235</v>
      </c>
      <c r="G1776" s="29">
        <v>10560</v>
      </c>
      <c r="H1776" s="39">
        <v>45040</v>
      </c>
      <c r="I1776" s="46">
        <f t="shared" si="108"/>
        <v>560</v>
      </c>
      <c r="J1776" s="4" t="s">
        <v>12</v>
      </c>
      <c r="K1776" s="4" t="s">
        <v>197</v>
      </c>
      <c r="L1776" s="4" t="s">
        <v>223</v>
      </c>
      <c r="M1776" s="7">
        <v>10560</v>
      </c>
      <c r="N1776" s="10">
        <v>0</v>
      </c>
      <c r="O1776" s="10">
        <v>0</v>
      </c>
      <c r="P1776">
        <f t="shared" si="109"/>
        <v>1</v>
      </c>
      <c r="Q1776" s="36">
        <f t="shared" si="110"/>
        <v>0</v>
      </c>
      <c r="R1776">
        <f t="shared" si="111"/>
        <v>2023</v>
      </c>
    </row>
    <row r="1777" spans="1:18" x14ac:dyDescent="0.2">
      <c r="A1777" s="23">
        <v>45607</v>
      </c>
      <c r="B1777" s="23">
        <v>45607</v>
      </c>
      <c r="C1777" s="25" t="s">
        <v>398</v>
      </c>
      <c r="D1777" s="20">
        <v>0</v>
      </c>
      <c r="E1777" s="27">
        <v>0</v>
      </c>
      <c r="F1777" s="22" t="s">
        <v>235</v>
      </c>
      <c r="G1777" s="29">
        <v>5280</v>
      </c>
      <c r="H1777" s="39">
        <v>45040</v>
      </c>
      <c r="I1777" s="46">
        <f t="shared" si="108"/>
        <v>567</v>
      </c>
      <c r="J1777" s="4" t="s">
        <v>12</v>
      </c>
      <c r="K1777" s="4" t="s">
        <v>197</v>
      </c>
      <c r="L1777" s="4" t="s">
        <v>223</v>
      </c>
      <c r="M1777" s="7">
        <v>5280</v>
      </c>
      <c r="N1777" s="10">
        <v>0</v>
      </c>
      <c r="O1777" s="10">
        <v>0</v>
      </c>
      <c r="P1777">
        <f t="shared" si="109"/>
        <v>1</v>
      </c>
      <c r="Q1777" s="36">
        <f t="shared" si="110"/>
        <v>0</v>
      </c>
      <c r="R1777">
        <f t="shared" si="111"/>
        <v>2023</v>
      </c>
    </row>
    <row r="1778" spans="1:18" x14ac:dyDescent="0.2">
      <c r="A1778" s="23">
        <v>45614</v>
      </c>
      <c r="B1778" s="23">
        <v>45614</v>
      </c>
      <c r="C1778" s="25" t="s">
        <v>398</v>
      </c>
      <c r="D1778" s="20">
        <v>0</v>
      </c>
      <c r="E1778" s="27">
        <v>0</v>
      </c>
      <c r="F1778" s="22" t="s">
        <v>235</v>
      </c>
      <c r="G1778" s="29">
        <v>10560</v>
      </c>
      <c r="H1778" s="39">
        <v>45040</v>
      </c>
      <c r="I1778" s="46">
        <f t="shared" si="108"/>
        <v>574</v>
      </c>
      <c r="J1778" s="4" t="s">
        <v>12</v>
      </c>
      <c r="K1778" s="4" t="s">
        <v>197</v>
      </c>
      <c r="L1778" s="4" t="s">
        <v>223</v>
      </c>
      <c r="M1778" s="7">
        <v>10560</v>
      </c>
      <c r="N1778" s="10">
        <v>0</v>
      </c>
      <c r="O1778" s="10">
        <v>0</v>
      </c>
      <c r="P1778">
        <f t="shared" si="109"/>
        <v>1</v>
      </c>
      <c r="Q1778" s="36">
        <f t="shared" si="110"/>
        <v>0</v>
      </c>
      <c r="R1778">
        <f t="shared" si="111"/>
        <v>2023</v>
      </c>
    </row>
    <row r="1779" spans="1:18" x14ac:dyDescent="0.2">
      <c r="A1779" s="23">
        <v>45621</v>
      </c>
      <c r="B1779" s="23">
        <v>45621</v>
      </c>
      <c r="C1779" s="25" t="s">
        <v>398</v>
      </c>
      <c r="D1779" s="20">
        <v>0</v>
      </c>
      <c r="E1779" s="27">
        <v>0</v>
      </c>
      <c r="F1779" s="22" t="s">
        <v>235</v>
      </c>
      <c r="G1779" s="29">
        <v>10560</v>
      </c>
      <c r="H1779" s="39">
        <v>45040</v>
      </c>
      <c r="I1779" s="46">
        <f t="shared" si="108"/>
        <v>581</v>
      </c>
      <c r="J1779" s="4" t="s">
        <v>12</v>
      </c>
      <c r="K1779" s="4" t="s">
        <v>197</v>
      </c>
      <c r="L1779" s="4" t="s">
        <v>223</v>
      </c>
      <c r="M1779" s="7">
        <v>10560</v>
      </c>
      <c r="N1779" s="10">
        <v>0</v>
      </c>
      <c r="O1779" s="10">
        <v>0</v>
      </c>
      <c r="P1779">
        <f t="shared" si="109"/>
        <v>1</v>
      </c>
      <c r="Q1779" s="36">
        <f t="shared" si="110"/>
        <v>0</v>
      </c>
      <c r="R1779">
        <f t="shared" si="111"/>
        <v>2023</v>
      </c>
    </row>
    <row r="1780" spans="1:18" x14ac:dyDescent="0.2">
      <c r="A1780" s="23">
        <v>45628</v>
      </c>
      <c r="B1780" s="23">
        <v>45628</v>
      </c>
      <c r="C1780" s="25" t="s">
        <v>398</v>
      </c>
      <c r="D1780" s="20">
        <v>0</v>
      </c>
      <c r="E1780" s="27">
        <v>0</v>
      </c>
      <c r="F1780" s="22" t="s">
        <v>235</v>
      </c>
      <c r="G1780" s="29">
        <v>15840</v>
      </c>
      <c r="H1780" s="39">
        <v>45040</v>
      </c>
      <c r="I1780" s="46">
        <f t="shared" si="108"/>
        <v>588</v>
      </c>
      <c r="J1780" s="4" t="s">
        <v>12</v>
      </c>
      <c r="K1780" s="4" t="s">
        <v>197</v>
      </c>
      <c r="L1780" s="4" t="s">
        <v>223</v>
      </c>
      <c r="M1780" s="7">
        <v>15840</v>
      </c>
      <c r="N1780" s="10">
        <v>0</v>
      </c>
      <c r="O1780" s="10">
        <v>0</v>
      </c>
      <c r="P1780">
        <f t="shared" si="109"/>
        <v>1</v>
      </c>
      <c r="Q1780" s="36">
        <f t="shared" si="110"/>
        <v>0</v>
      </c>
      <c r="R1780">
        <f t="shared" si="111"/>
        <v>2023</v>
      </c>
    </row>
    <row r="1781" spans="1:18" x14ac:dyDescent="0.2">
      <c r="A1781" s="23">
        <v>45635</v>
      </c>
      <c r="B1781" s="23">
        <v>45635</v>
      </c>
      <c r="C1781" s="25" t="s">
        <v>398</v>
      </c>
      <c r="D1781" s="20">
        <v>0</v>
      </c>
      <c r="E1781" s="27">
        <v>0</v>
      </c>
      <c r="F1781" s="22" t="s">
        <v>235</v>
      </c>
      <c r="G1781" s="29">
        <v>15840</v>
      </c>
      <c r="H1781" s="39">
        <v>45040</v>
      </c>
      <c r="I1781" s="46">
        <f t="shared" si="108"/>
        <v>595</v>
      </c>
      <c r="J1781" s="4" t="s">
        <v>12</v>
      </c>
      <c r="K1781" s="4" t="s">
        <v>197</v>
      </c>
      <c r="L1781" s="4" t="s">
        <v>223</v>
      </c>
      <c r="M1781" s="7">
        <v>15840</v>
      </c>
      <c r="N1781" s="10">
        <v>0</v>
      </c>
      <c r="O1781" s="10">
        <v>0</v>
      </c>
      <c r="P1781">
        <f t="shared" si="109"/>
        <v>1</v>
      </c>
      <c r="Q1781" s="36">
        <f t="shared" si="110"/>
        <v>0</v>
      </c>
      <c r="R1781">
        <f t="shared" si="111"/>
        <v>2023</v>
      </c>
    </row>
    <row r="1782" spans="1:18" x14ac:dyDescent="0.2">
      <c r="A1782" s="23">
        <v>45642</v>
      </c>
      <c r="B1782" s="23">
        <v>45642</v>
      </c>
      <c r="C1782" s="25" t="s">
        <v>398</v>
      </c>
      <c r="D1782" s="20">
        <v>0</v>
      </c>
      <c r="E1782" s="27">
        <v>0</v>
      </c>
      <c r="F1782" s="22" t="s">
        <v>235</v>
      </c>
      <c r="G1782" s="29">
        <v>21120</v>
      </c>
      <c r="H1782" s="39">
        <v>45040</v>
      </c>
      <c r="I1782" s="46">
        <f t="shared" si="108"/>
        <v>602</v>
      </c>
      <c r="J1782" s="4" t="s">
        <v>12</v>
      </c>
      <c r="K1782" s="4" t="s">
        <v>197</v>
      </c>
      <c r="L1782" s="4" t="s">
        <v>223</v>
      </c>
      <c r="M1782" s="7">
        <v>21120</v>
      </c>
      <c r="N1782" s="10">
        <v>0</v>
      </c>
      <c r="O1782" s="10">
        <v>0</v>
      </c>
      <c r="P1782">
        <f t="shared" si="109"/>
        <v>1</v>
      </c>
      <c r="Q1782" s="36">
        <f t="shared" si="110"/>
        <v>0</v>
      </c>
      <c r="R1782">
        <f t="shared" si="111"/>
        <v>2023</v>
      </c>
    </row>
    <row r="1783" spans="1:18" x14ac:dyDescent="0.2">
      <c r="A1783" s="23">
        <v>45656</v>
      </c>
      <c r="B1783" s="23">
        <v>45656</v>
      </c>
      <c r="C1783" s="25" t="s">
        <v>398</v>
      </c>
      <c r="D1783" s="20">
        <v>0</v>
      </c>
      <c r="E1783" s="27">
        <v>0</v>
      </c>
      <c r="F1783" s="22" t="s">
        <v>235</v>
      </c>
      <c r="G1783" s="29">
        <v>10560</v>
      </c>
      <c r="H1783" s="39">
        <v>45119</v>
      </c>
      <c r="I1783" s="46">
        <f t="shared" si="108"/>
        <v>537</v>
      </c>
      <c r="J1783" s="4" t="s">
        <v>12</v>
      </c>
      <c r="K1783" s="4" t="s">
        <v>197</v>
      </c>
      <c r="L1783" s="4" t="s">
        <v>223</v>
      </c>
      <c r="M1783" s="7">
        <v>10560</v>
      </c>
      <c r="N1783" s="10">
        <v>0</v>
      </c>
      <c r="O1783" s="10">
        <v>0</v>
      </c>
      <c r="P1783">
        <f t="shared" si="109"/>
        <v>1</v>
      </c>
      <c r="Q1783" s="36">
        <f t="shared" si="110"/>
        <v>0</v>
      </c>
      <c r="R1783">
        <f t="shared" si="111"/>
        <v>2023</v>
      </c>
    </row>
    <row r="1784" spans="1:18" x14ac:dyDescent="0.2">
      <c r="A1784" s="23">
        <v>45663</v>
      </c>
      <c r="B1784" s="23">
        <v>45663</v>
      </c>
      <c r="C1784" s="25" t="s">
        <v>398</v>
      </c>
      <c r="D1784" s="20">
        <v>0</v>
      </c>
      <c r="E1784" s="27">
        <v>0</v>
      </c>
      <c r="F1784" s="22" t="s">
        <v>235</v>
      </c>
      <c r="G1784" s="29">
        <v>10560</v>
      </c>
      <c r="H1784" s="39">
        <v>45119</v>
      </c>
      <c r="I1784" s="46">
        <f t="shared" si="108"/>
        <v>544</v>
      </c>
      <c r="J1784" s="4" t="s">
        <v>12</v>
      </c>
      <c r="K1784" s="4" t="s">
        <v>197</v>
      </c>
      <c r="L1784" s="4" t="s">
        <v>223</v>
      </c>
      <c r="M1784" s="7">
        <v>10560</v>
      </c>
      <c r="N1784" s="10">
        <v>0</v>
      </c>
      <c r="O1784" s="10">
        <v>0</v>
      </c>
      <c r="P1784">
        <f t="shared" si="109"/>
        <v>1</v>
      </c>
      <c r="Q1784" s="36">
        <f t="shared" si="110"/>
        <v>0</v>
      </c>
      <c r="R1784">
        <f t="shared" si="111"/>
        <v>2023</v>
      </c>
    </row>
    <row r="1785" spans="1:18" x14ac:dyDescent="0.2">
      <c r="A1785" s="23">
        <v>45670</v>
      </c>
      <c r="B1785" s="23">
        <v>45670</v>
      </c>
      <c r="C1785" s="25" t="s">
        <v>398</v>
      </c>
      <c r="D1785" s="20">
        <v>0</v>
      </c>
      <c r="E1785" s="27">
        <v>0</v>
      </c>
      <c r="F1785" s="22" t="s">
        <v>235</v>
      </c>
      <c r="G1785" s="29">
        <v>15840</v>
      </c>
      <c r="H1785" s="39">
        <v>45119</v>
      </c>
      <c r="I1785" s="46">
        <f t="shared" si="108"/>
        <v>551</v>
      </c>
      <c r="J1785" s="4" t="s">
        <v>12</v>
      </c>
      <c r="K1785" s="4" t="s">
        <v>197</v>
      </c>
      <c r="L1785" s="4" t="s">
        <v>223</v>
      </c>
      <c r="M1785" s="7">
        <v>15840</v>
      </c>
      <c r="N1785" s="10">
        <v>0</v>
      </c>
      <c r="O1785" s="10">
        <v>0</v>
      </c>
      <c r="P1785">
        <f t="shared" si="109"/>
        <v>1</v>
      </c>
      <c r="Q1785" s="36">
        <f t="shared" si="110"/>
        <v>0</v>
      </c>
      <c r="R1785">
        <f t="shared" si="111"/>
        <v>2023</v>
      </c>
    </row>
    <row r="1786" spans="1:18" x14ac:dyDescent="0.2">
      <c r="A1786" s="23">
        <v>45677</v>
      </c>
      <c r="B1786" s="23">
        <v>45677</v>
      </c>
      <c r="C1786" s="25" t="s">
        <v>398</v>
      </c>
      <c r="D1786" s="20">
        <v>0</v>
      </c>
      <c r="E1786" s="27">
        <v>0</v>
      </c>
      <c r="F1786" s="22" t="s">
        <v>235</v>
      </c>
      <c r="G1786" s="29">
        <v>10560</v>
      </c>
      <c r="H1786" s="39">
        <v>45119</v>
      </c>
      <c r="I1786" s="46">
        <f t="shared" si="108"/>
        <v>558</v>
      </c>
      <c r="J1786" s="4" t="s">
        <v>12</v>
      </c>
      <c r="K1786" s="4" t="s">
        <v>197</v>
      </c>
      <c r="L1786" s="4" t="s">
        <v>223</v>
      </c>
      <c r="M1786" s="7">
        <v>10560</v>
      </c>
      <c r="N1786" s="10">
        <v>0</v>
      </c>
      <c r="O1786" s="10">
        <v>0</v>
      </c>
      <c r="P1786">
        <f t="shared" si="109"/>
        <v>1</v>
      </c>
      <c r="Q1786" s="36">
        <f t="shared" si="110"/>
        <v>0</v>
      </c>
      <c r="R1786">
        <f t="shared" si="111"/>
        <v>2023</v>
      </c>
    </row>
    <row r="1787" spans="1:18" x14ac:dyDescent="0.2">
      <c r="A1787" s="23">
        <v>45684</v>
      </c>
      <c r="B1787" s="23">
        <v>45684</v>
      </c>
      <c r="C1787" s="25" t="s">
        <v>398</v>
      </c>
      <c r="D1787" s="20">
        <v>0</v>
      </c>
      <c r="E1787" s="27">
        <v>0</v>
      </c>
      <c r="F1787" s="22" t="s">
        <v>235</v>
      </c>
      <c r="G1787" s="29">
        <v>10560</v>
      </c>
      <c r="H1787" s="39">
        <v>45119</v>
      </c>
      <c r="I1787" s="46">
        <f t="shared" si="108"/>
        <v>565</v>
      </c>
      <c r="J1787" s="4" t="s">
        <v>12</v>
      </c>
      <c r="K1787" s="4" t="s">
        <v>197</v>
      </c>
      <c r="L1787" s="4" t="s">
        <v>223</v>
      </c>
      <c r="M1787" s="7">
        <v>10560</v>
      </c>
      <c r="N1787" s="10">
        <v>0</v>
      </c>
      <c r="O1787" s="10">
        <v>0</v>
      </c>
      <c r="P1787">
        <f t="shared" si="109"/>
        <v>1</v>
      </c>
      <c r="Q1787" s="36">
        <f t="shared" si="110"/>
        <v>0</v>
      </c>
      <c r="R1787">
        <f t="shared" si="111"/>
        <v>2023</v>
      </c>
    </row>
    <row r="1788" spans="1:18" x14ac:dyDescent="0.2">
      <c r="A1788" s="23">
        <v>45691</v>
      </c>
      <c r="B1788" s="23">
        <v>45691</v>
      </c>
      <c r="C1788" s="25" t="s">
        <v>398</v>
      </c>
      <c r="D1788" s="20">
        <v>0</v>
      </c>
      <c r="E1788" s="27">
        <v>0</v>
      </c>
      <c r="F1788" s="22" t="s">
        <v>235</v>
      </c>
      <c r="G1788" s="29">
        <v>10560</v>
      </c>
      <c r="H1788" s="39">
        <v>45119</v>
      </c>
      <c r="I1788" s="46">
        <f t="shared" si="108"/>
        <v>572</v>
      </c>
      <c r="J1788" s="4" t="s">
        <v>12</v>
      </c>
      <c r="K1788" s="4" t="s">
        <v>197</v>
      </c>
      <c r="L1788" s="4" t="s">
        <v>223</v>
      </c>
      <c r="M1788" s="7">
        <v>10560</v>
      </c>
      <c r="N1788" s="10">
        <v>0</v>
      </c>
      <c r="O1788" s="10">
        <v>0</v>
      </c>
      <c r="P1788">
        <f t="shared" si="109"/>
        <v>1</v>
      </c>
      <c r="Q1788" s="36">
        <f t="shared" si="110"/>
        <v>0</v>
      </c>
      <c r="R1788">
        <f t="shared" si="111"/>
        <v>2023</v>
      </c>
    </row>
    <row r="1789" spans="1:18" x14ac:dyDescent="0.2">
      <c r="A1789" s="23">
        <v>45698</v>
      </c>
      <c r="B1789" s="23">
        <v>45698</v>
      </c>
      <c r="C1789" s="25" t="s">
        <v>398</v>
      </c>
      <c r="D1789" s="20">
        <v>0</v>
      </c>
      <c r="E1789" s="27">
        <v>0</v>
      </c>
      <c r="F1789" s="22" t="s">
        <v>235</v>
      </c>
      <c r="G1789" s="29">
        <v>10560</v>
      </c>
      <c r="H1789" s="39">
        <v>45119</v>
      </c>
      <c r="I1789" s="46">
        <f t="shared" si="108"/>
        <v>579</v>
      </c>
      <c r="J1789" s="4" t="s">
        <v>12</v>
      </c>
      <c r="K1789" s="4" t="s">
        <v>197</v>
      </c>
      <c r="L1789" s="4" t="s">
        <v>223</v>
      </c>
      <c r="M1789" s="7">
        <v>10560</v>
      </c>
      <c r="N1789" s="10">
        <v>0</v>
      </c>
      <c r="O1789" s="10">
        <v>0</v>
      </c>
      <c r="P1789">
        <f t="shared" si="109"/>
        <v>1</v>
      </c>
      <c r="Q1789" s="36">
        <f t="shared" si="110"/>
        <v>0</v>
      </c>
      <c r="R1789">
        <f t="shared" si="111"/>
        <v>2023</v>
      </c>
    </row>
    <row r="1790" spans="1:18" x14ac:dyDescent="0.2">
      <c r="A1790" s="23">
        <v>45705</v>
      </c>
      <c r="B1790" s="23">
        <v>45705</v>
      </c>
      <c r="C1790" s="25" t="s">
        <v>398</v>
      </c>
      <c r="D1790" s="20">
        <v>0</v>
      </c>
      <c r="E1790" s="27">
        <v>0</v>
      </c>
      <c r="F1790" s="22" t="s">
        <v>235</v>
      </c>
      <c r="G1790" s="29">
        <v>10560</v>
      </c>
      <c r="H1790" s="39">
        <v>45119</v>
      </c>
      <c r="I1790" s="46">
        <f t="shared" si="108"/>
        <v>586</v>
      </c>
      <c r="J1790" s="4" t="s">
        <v>12</v>
      </c>
      <c r="K1790" s="4" t="s">
        <v>197</v>
      </c>
      <c r="L1790" s="4" t="s">
        <v>223</v>
      </c>
      <c r="M1790" s="7">
        <v>10560</v>
      </c>
      <c r="N1790" s="10">
        <v>0</v>
      </c>
      <c r="O1790" s="10">
        <v>0</v>
      </c>
      <c r="P1790">
        <f t="shared" si="109"/>
        <v>1</v>
      </c>
      <c r="Q1790" s="36">
        <f t="shared" si="110"/>
        <v>0</v>
      </c>
      <c r="R1790">
        <f t="shared" si="111"/>
        <v>2023</v>
      </c>
    </row>
    <row r="1791" spans="1:18" x14ac:dyDescent="0.2">
      <c r="A1791" s="23">
        <v>45712</v>
      </c>
      <c r="B1791" s="23">
        <v>45712</v>
      </c>
      <c r="C1791" s="25" t="s">
        <v>398</v>
      </c>
      <c r="D1791" s="20">
        <v>0</v>
      </c>
      <c r="E1791" s="27">
        <v>0</v>
      </c>
      <c r="F1791" s="22" t="s">
        <v>235</v>
      </c>
      <c r="G1791" s="29">
        <v>108240</v>
      </c>
      <c r="H1791" s="39">
        <v>45119</v>
      </c>
      <c r="I1791" s="46">
        <f t="shared" si="108"/>
        <v>593</v>
      </c>
      <c r="J1791" s="4" t="s">
        <v>12</v>
      </c>
      <c r="K1791" s="4" t="s">
        <v>197</v>
      </c>
      <c r="L1791" s="4" t="s">
        <v>223</v>
      </c>
      <c r="M1791" s="7">
        <v>108240</v>
      </c>
      <c r="N1791" s="10">
        <v>0</v>
      </c>
      <c r="O1791" s="10">
        <v>0</v>
      </c>
      <c r="P1791">
        <f t="shared" si="109"/>
        <v>1</v>
      </c>
      <c r="Q1791" s="36">
        <f t="shared" si="110"/>
        <v>0</v>
      </c>
      <c r="R1791">
        <f t="shared" si="111"/>
        <v>2023</v>
      </c>
    </row>
    <row r="1792" spans="1:18" x14ac:dyDescent="0.2">
      <c r="A1792" s="23">
        <v>45348</v>
      </c>
      <c r="B1792" s="23">
        <v>45348</v>
      </c>
      <c r="C1792" s="25" t="s">
        <v>398</v>
      </c>
      <c r="D1792" s="20">
        <v>0</v>
      </c>
      <c r="E1792" s="27">
        <v>0</v>
      </c>
      <c r="F1792" s="22" t="s">
        <v>236</v>
      </c>
      <c r="G1792" s="29">
        <v>15840</v>
      </c>
      <c r="H1792" s="39">
        <v>45040</v>
      </c>
      <c r="I1792" s="46">
        <f t="shared" si="108"/>
        <v>308</v>
      </c>
      <c r="J1792" s="4" t="s">
        <v>12</v>
      </c>
      <c r="K1792" s="4" t="s">
        <v>197</v>
      </c>
      <c r="L1792" s="4" t="s">
        <v>223</v>
      </c>
      <c r="M1792" s="7">
        <v>15840</v>
      </c>
      <c r="N1792" s="10">
        <v>0</v>
      </c>
      <c r="O1792" s="10">
        <v>0</v>
      </c>
      <c r="P1792">
        <f t="shared" si="109"/>
        <v>1</v>
      </c>
      <c r="Q1792" s="36">
        <f t="shared" si="110"/>
        <v>0</v>
      </c>
      <c r="R1792">
        <f t="shared" si="111"/>
        <v>2023</v>
      </c>
    </row>
    <row r="1793" spans="1:18" x14ac:dyDescent="0.2">
      <c r="A1793" s="23">
        <v>45355</v>
      </c>
      <c r="B1793" s="23">
        <v>45355</v>
      </c>
      <c r="C1793" s="25" t="s">
        <v>398</v>
      </c>
      <c r="D1793" s="20">
        <v>0</v>
      </c>
      <c r="E1793" s="27">
        <v>0</v>
      </c>
      <c r="F1793" s="22" t="s">
        <v>236</v>
      </c>
      <c r="G1793" s="29">
        <v>26400</v>
      </c>
      <c r="H1793" s="39">
        <v>45040</v>
      </c>
      <c r="I1793" s="46">
        <f t="shared" si="108"/>
        <v>315</v>
      </c>
      <c r="J1793" s="4" t="s">
        <v>12</v>
      </c>
      <c r="K1793" s="4" t="s">
        <v>197</v>
      </c>
      <c r="L1793" s="4" t="s">
        <v>223</v>
      </c>
      <c r="M1793" s="7">
        <v>26400</v>
      </c>
      <c r="N1793" s="10">
        <v>0</v>
      </c>
      <c r="O1793" s="10">
        <v>0</v>
      </c>
      <c r="P1793">
        <f t="shared" si="109"/>
        <v>1</v>
      </c>
      <c r="Q1793" s="36">
        <f t="shared" si="110"/>
        <v>0</v>
      </c>
      <c r="R1793">
        <f t="shared" si="111"/>
        <v>2023</v>
      </c>
    </row>
    <row r="1794" spans="1:18" x14ac:dyDescent="0.2">
      <c r="A1794" s="23">
        <v>45362</v>
      </c>
      <c r="B1794" s="23">
        <v>45362</v>
      </c>
      <c r="C1794" s="25" t="s">
        <v>398</v>
      </c>
      <c r="D1794" s="20">
        <v>0</v>
      </c>
      <c r="E1794" s="27">
        <v>0</v>
      </c>
      <c r="F1794" s="22" t="s">
        <v>236</v>
      </c>
      <c r="G1794" s="29">
        <v>26400</v>
      </c>
      <c r="H1794" s="39">
        <v>45040</v>
      </c>
      <c r="I1794" s="46">
        <f t="shared" si="108"/>
        <v>322</v>
      </c>
      <c r="J1794" s="4" t="s">
        <v>12</v>
      </c>
      <c r="K1794" s="4" t="s">
        <v>197</v>
      </c>
      <c r="L1794" s="4" t="s">
        <v>223</v>
      </c>
      <c r="M1794" s="7">
        <v>26400</v>
      </c>
      <c r="N1794" s="10">
        <v>0</v>
      </c>
      <c r="O1794" s="10">
        <v>0</v>
      </c>
      <c r="P1794">
        <f t="shared" si="109"/>
        <v>1</v>
      </c>
      <c r="Q1794" s="36">
        <f t="shared" si="110"/>
        <v>0</v>
      </c>
      <c r="R1794">
        <f t="shared" si="111"/>
        <v>2023</v>
      </c>
    </row>
    <row r="1795" spans="1:18" x14ac:dyDescent="0.2">
      <c r="A1795" s="23">
        <v>45369</v>
      </c>
      <c r="B1795" s="23">
        <v>45369</v>
      </c>
      <c r="C1795" s="25" t="s">
        <v>398</v>
      </c>
      <c r="D1795" s="20">
        <v>0</v>
      </c>
      <c r="E1795" s="27">
        <v>0</v>
      </c>
      <c r="F1795" s="22" t="s">
        <v>236</v>
      </c>
      <c r="G1795" s="29">
        <v>26400</v>
      </c>
      <c r="H1795" s="39">
        <v>45040</v>
      </c>
      <c r="I1795" s="46">
        <f t="shared" ref="I1795:I1858" si="112">IFERROR(A1795-H1795,"")*1</f>
        <v>329</v>
      </c>
      <c r="J1795" s="4" t="s">
        <v>12</v>
      </c>
      <c r="K1795" s="4" t="s">
        <v>197</v>
      </c>
      <c r="L1795" s="4" t="s">
        <v>223</v>
      </c>
      <c r="M1795" s="7">
        <v>26400</v>
      </c>
      <c r="N1795" s="10">
        <v>0</v>
      </c>
      <c r="O1795" s="10">
        <v>0</v>
      </c>
      <c r="P1795">
        <f t="shared" ref="P1795:P1858" si="113">IF(M1795=G1795,1,0)</f>
        <v>1</v>
      </c>
      <c r="Q1795" s="36">
        <f t="shared" ref="Q1795:Q1858" si="114">N1795*G1795</f>
        <v>0</v>
      </c>
      <c r="R1795">
        <f t="shared" ref="R1795:R1858" si="115">YEAR(H1795)</f>
        <v>2023</v>
      </c>
    </row>
    <row r="1796" spans="1:18" x14ac:dyDescent="0.2">
      <c r="A1796" s="23">
        <v>45376</v>
      </c>
      <c r="B1796" s="23">
        <v>45376</v>
      </c>
      <c r="C1796" s="25" t="s">
        <v>398</v>
      </c>
      <c r="D1796" s="20">
        <v>0</v>
      </c>
      <c r="E1796" s="27">
        <v>0</v>
      </c>
      <c r="F1796" s="22" t="s">
        <v>236</v>
      </c>
      <c r="G1796" s="29">
        <v>26400</v>
      </c>
      <c r="H1796" s="39">
        <v>45040</v>
      </c>
      <c r="I1796" s="46">
        <f t="shared" si="112"/>
        <v>336</v>
      </c>
      <c r="J1796" s="4" t="s">
        <v>12</v>
      </c>
      <c r="K1796" s="4" t="s">
        <v>197</v>
      </c>
      <c r="L1796" s="4" t="s">
        <v>223</v>
      </c>
      <c r="M1796" s="7">
        <v>26400</v>
      </c>
      <c r="N1796" s="10">
        <v>0</v>
      </c>
      <c r="O1796" s="10">
        <v>0</v>
      </c>
      <c r="P1796">
        <f t="shared" si="113"/>
        <v>1</v>
      </c>
      <c r="Q1796" s="36">
        <f t="shared" si="114"/>
        <v>0</v>
      </c>
      <c r="R1796">
        <f t="shared" si="115"/>
        <v>2023</v>
      </c>
    </row>
    <row r="1797" spans="1:18" x14ac:dyDescent="0.2">
      <c r="A1797" s="23">
        <v>45383</v>
      </c>
      <c r="B1797" s="23">
        <v>45383</v>
      </c>
      <c r="C1797" s="25" t="s">
        <v>398</v>
      </c>
      <c r="D1797" s="20">
        <v>0</v>
      </c>
      <c r="E1797" s="27">
        <v>0</v>
      </c>
      <c r="F1797" s="22" t="s">
        <v>236</v>
      </c>
      <c r="G1797" s="29">
        <v>26400</v>
      </c>
      <c r="H1797" s="39">
        <v>45040</v>
      </c>
      <c r="I1797" s="46">
        <f t="shared" si="112"/>
        <v>343</v>
      </c>
      <c r="J1797" s="4" t="s">
        <v>12</v>
      </c>
      <c r="K1797" s="4" t="s">
        <v>197</v>
      </c>
      <c r="L1797" s="4" t="s">
        <v>223</v>
      </c>
      <c r="M1797" s="7">
        <v>26400</v>
      </c>
      <c r="N1797" s="10">
        <v>0</v>
      </c>
      <c r="O1797" s="10">
        <v>0</v>
      </c>
      <c r="P1797">
        <f t="shared" si="113"/>
        <v>1</v>
      </c>
      <c r="Q1797" s="36">
        <f t="shared" si="114"/>
        <v>0</v>
      </c>
      <c r="R1797">
        <f t="shared" si="115"/>
        <v>2023</v>
      </c>
    </row>
    <row r="1798" spans="1:18" x14ac:dyDescent="0.2">
      <c r="A1798" s="23">
        <v>45390</v>
      </c>
      <c r="B1798" s="23">
        <v>45390</v>
      </c>
      <c r="C1798" s="25" t="s">
        <v>398</v>
      </c>
      <c r="D1798" s="20">
        <v>0</v>
      </c>
      <c r="E1798" s="27">
        <v>0</v>
      </c>
      <c r="F1798" s="22" t="s">
        <v>236</v>
      </c>
      <c r="G1798" s="29">
        <v>26400</v>
      </c>
      <c r="H1798" s="39">
        <v>45040</v>
      </c>
      <c r="I1798" s="46">
        <f t="shared" si="112"/>
        <v>350</v>
      </c>
      <c r="J1798" s="4" t="s">
        <v>12</v>
      </c>
      <c r="K1798" s="4" t="s">
        <v>197</v>
      </c>
      <c r="L1798" s="4" t="s">
        <v>223</v>
      </c>
      <c r="M1798" s="7">
        <v>26400</v>
      </c>
      <c r="N1798" s="10">
        <v>0</v>
      </c>
      <c r="O1798" s="10">
        <v>0</v>
      </c>
      <c r="P1798">
        <f t="shared" si="113"/>
        <v>1</v>
      </c>
      <c r="Q1798" s="36">
        <f t="shared" si="114"/>
        <v>0</v>
      </c>
      <c r="R1798">
        <f t="shared" si="115"/>
        <v>2023</v>
      </c>
    </row>
    <row r="1799" spans="1:18" x14ac:dyDescent="0.2">
      <c r="A1799" s="23">
        <v>45397</v>
      </c>
      <c r="B1799" s="23">
        <v>45397</v>
      </c>
      <c r="C1799" s="25" t="s">
        <v>398</v>
      </c>
      <c r="D1799" s="20">
        <v>0</v>
      </c>
      <c r="E1799" s="27">
        <v>0</v>
      </c>
      <c r="F1799" s="22" t="s">
        <v>236</v>
      </c>
      <c r="G1799" s="29">
        <v>26400</v>
      </c>
      <c r="H1799" s="39">
        <v>45040</v>
      </c>
      <c r="I1799" s="46">
        <f t="shared" si="112"/>
        <v>357</v>
      </c>
      <c r="J1799" s="4" t="s">
        <v>12</v>
      </c>
      <c r="K1799" s="4" t="s">
        <v>197</v>
      </c>
      <c r="L1799" s="4" t="s">
        <v>223</v>
      </c>
      <c r="M1799" s="7">
        <v>26400</v>
      </c>
      <c r="N1799" s="10">
        <v>0</v>
      </c>
      <c r="O1799" s="10">
        <v>0</v>
      </c>
      <c r="P1799">
        <f t="shared" si="113"/>
        <v>1</v>
      </c>
      <c r="Q1799" s="36">
        <f t="shared" si="114"/>
        <v>0</v>
      </c>
      <c r="R1799">
        <f t="shared" si="115"/>
        <v>2023</v>
      </c>
    </row>
    <row r="1800" spans="1:18" x14ac:dyDescent="0.2">
      <c r="A1800" s="23">
        <v>45404</v>
      </c>
      <c r="B1800" s="23">
        <v>45404</v>
      </c>
      <c r="C1800" s="25" t="s">
        <v>398</v>
      </c>
      <c r="D1800" s="20">
        <v>0</v>
      </c>
      <c r="E1800" s="27">
        <v>0</v>
      </c>
      <c r="F1800" s="22" t="s">
        <v>236</v>
      </c>
      <c r="G1800" s="29">
        <v>26400</v>
      </c>
      <c r="H1800" s="39">
        <v>45040</v>
      </c>
      <c r="I1800" s="46">
        <f t="shared" si="112"/>
        <v>364</v>
      </c>
      <c r="J1800" s="4" t="s">
        <v>12</v>
      </c>
      <c r="K1800" s="4" t="s">
        <v>197</v>
      </c>
      <c r="L1800" s="4" t="s">
        <v>223</v>
      </c>
      <c r="M1800" s="7">
        <v>26400</v>
      </c>
      <c r="N1800" s="10">
        <v>0</v>
      </c>
      <c r="O1800" s="10">
        <v>0</v>
      </c>
      <c r="P1800">
        <f t="shared" si="113"/>
        <v>1</v>
      </c>
      <c r="Q1800" s="36">
        <f t="shared" si="114"/>
        <v>0</v>
      </c>
      <c r="R1800">
        <f t="shared" si="115"/>
        <v>2023</v>
      </c>
    </row>
    <row r="1801" spans="1:18" x14ac:dyDescent="0.2">
      <c r="A1801" s="23">
        <v>45411</v>
      </c>
      <c r="B1801" s="23">
        <v>45411</v>
      </c>
      <c r="C1801" s="25" t="s">
        <v>398</v>
      </c>
      <c r="D1801" s="20">
        <v>0</v>
      </c>
      <c r="E1801" s="27">
        <v>0</v>
      </c>
      <c r="F1801" s="22" t="s">
        <v>236</v>
      </c>
      <c r="G1801" s="29">
        <v>26400</v>
      </c>
      <c r="H1801" s="39">
        <v>45040</v>
      </c>
      <c r="I1801" s="46">
        <f t="shared" si="112"/>
        <v>371</v>
      </c>
      <c r="J1801" s="4" t="s">
        <v>12</v>
      </c>
      <c r="K1801" s="4" t="s">
        <v>197</v>
      </c>
      <c r="L1801" s="4" t="s">
        <v>223</v>
      </c>
      <c r="M1801" s="7">
        <v>26400</v>
      </c>
      <c r="N1801" s="10">
        <v>0</v>
      </c>
      <c r="O1801" s="10">
        <v>0</v>
      </c>
      <c r="P1801">
        <f t="shared" si="113"/>
        <v>1</v>
      </c>
      <c r="Q1801" s="36">
        <f t="shared" si="114"/>
        <v>0</v>
      </c>
      <c r="R1801">
        <f t="shared" si="115"/>
        <v>2023</v>
      </c>
    </row>
    <row r="1802" spans="1:18" x14ac:dyDescent="0.2">
      <c r="A1802" s="23">
        <v>45418</v>
      </c>
      <c r="B1802" s="23">
        <v>45418</v>
      </c>
      <c r="C1802" s="25" t="s">
        <v>398</v>
      </c>
      <c r="D1802" s="20">
        <v>0</v>
      </c>
      <c r="E1802" s="27">
        <v>0</v>
      </c>
      <c r="F1802" s="22" t="s">
        <v>236</v>
      </c>
      <c r="G1802" s="29">
        <v>21120</v>
      </c>
      <c r="H1802" s="39">
        <v>45040</v>
      </c>
      <c r="I1802" s="46">
        <f t="shared" si="112"/>
        <v>378</v>
      </c>
      <c r="J1802" s="4" t="s">
        <v>12</v>
      </c>
      <c r="K1802" s="4" t="s">
        <v>197</v>
      </c>
      <c r="L1802" s="4" t="s">
        <v>223</v>
      </c>
      <c r="M1802" s="7">
        <v>21120</v>
      </c>
      <c r="N1802" s="10">
        <v>0</v>
      </c>
      <c r="O1802" s="10">
        <v>0</v>
      </c>
      <c r="P1802">
        <f t="shared" si="113"/>
        <v>1</v>
      </c>
      <c r="Q1802" s="36">
        <f t="shared" si="114"/>
        <v>0</v>
      </c>
      <c r="R1802">
        <f t="shared" si="115"/>
        <v>2023</v>
      </c>
    </row>
    <row r="1803" spans="1:18" x14ac:dyDescent="0.2">
      <c r="A1803" s="23">
        <v>45425</v>
      </c>
      <c r="B1803" s="23">
        <v>45425</v>
      </c>
      <c r="C1803" s="25" t="s">
        <v>398</v>
      </c>
      <c r="D1803" s="20">
        <v>0</v>
      </c>
      <c r="E1803" s="27">
        <v>0</v>
      </c>
      <c r="F1803" s="22" t="s">
        <v>236</v>
      </c>
      <c r="G1803" s="29">
        <v>26400</v>
      </c>
      <c r="H1803" s="39">
        <v>45040</v>
      </c>
      <c r="I1803" s="46">
        <f t="shared" si="112"/>
        <v>385</v>
      </c>
      <c r="J1803" s="4" t="s">
        <v>12</v>
      </c>
      <c r="K1803" s="4" t="s">
        <v>197</v>
      </c>
      <c r="L1803" s="4" t="s">
        <v>223</v>
      </c>
      <c r="M1803" s="7">
        <v>26400</v>
      </c>
      <c r="N1803" s="10">
        <v>0</v>
      </c>
      <c r="O1803" s="10">
        <v>0</v>
      </c>
      <c r="P1803">
        <f t="shared" si="113"/>
        <v>1</v>
      </c>
      <c r="Q1803" s="36">
        <f t="shared" si="114"/>
        <v>0</v>
      </c>
      <c r="R1803">
        <f t="shared" si="115"/>
        <v>2023</v>
      </c>
    </row>
    <row r="1804" spans="1:18" x14ac:dyDescent="0.2">
      <c r="A1804" s="23">
        <v>45432</v>
      </c>
      <c r="B1804" s="23">
        <v>45432</v>
      </c>
      <c r="C1804" s="25" t="s">
        <v>398</v>
      </c>
      <c r="D1804" s="20">
        <v>0</v>
      </c>
      <c r="E1804" s="27">
        <v>0</v>
      </c>
      <c r="F1804" s="22" t="s">
        <v>236</v>
      </c>
      <c r="G1804" s="29">
        <v>21120</v>
      </c>
      <c r="H1804" s="39">
        <v>45040</v>
      </c>
      <c r="I1804" s="46">
        <f t="shared" si="112"/>
        <v>392</v>
      </c>
      <c r="J1804" s="4" t="s">
        <v>12</v>
      </c>
      <c r="K1804" s="4" t="s">
        <v>197</v>
      </c>
      <c r="L1804" s="4" t="s">
        <v>223</v>
      </c>
      <c r="M1804" s="7">
        <v>21120</v>
      </c>
      <c r="N1804" s="10">
        <v>0</v>
      </c>
      <c r="O1804" s="10">
        <v>0</v>
      </c>
      <c r="P1804">
        <f t="shared" si="113"/>
        <v>1</v>
      </c>
      <c r="Q1804" s="36">
        <f t="shared" si="114"/>
        <v>0</v>
      </c>
      <c r="R1804">
        <f t="shared" si="115"/>
        <v>2023</v>
      </c>
    </row>
    <row r="1805" spans="1:18" x14ac:dyDescent="0.2">
      <c r="A1805" s="23">
        <v>45439</v>
      </c>
      <c r="B1805" s="23">
        <v>45439</v>
      </c>
      <c r="C1805" s="25" t="s">
        <v>398</v>
      </c>
      <c r="D1805" s="20">
        <v>0</v>
      </c>
      <c r="E1805" s="27">
        <v>0</v>
      </c>
      <c r="F1805" s="22" t="s">
        <v>236</v>
      </c>
      <c r="G1805" s="29">
        <v>21120</v>
      </c>
      <c r="H1805" s="39">
        <v>45040</v>
      </c>
      <c r="I1805" s="46">
        <f t="shared" si="112"/>
        <v>399</v>
      </c>
      <c r="J1805" s="4" t="s">
        <v>12</v>
      </c>
      <c r="K1805" s="4" t="s">
        <v>197</v>
      </c>
      <c r="L1805" s="4" t="s">
        <v>223</v>
      </c>
      <c r="M1805" s="7">
        <v>21120</v>
      </c>
      <c r="N1805" s="10">
        <v>0</v>
      </c>
      <c r="O1805" s="10">
        <v>0</v>
      </c>
      <c r="P1805">
        <f t="shared" si="113"/>
        <v>1</v>
      </c>
      <c r="Q1805" s="36">
        <f t="shared" si="114"/>
        <v>0</v>
      </c>
      <c r="R1805">
        <f t="shared" si="115"/>
        <v>2023</v>
      </c>
    </row>
    <row r="1806" spans="1:18" x14ac:dyDescent="0.2">
      <c r="A1806" s="23">
        <v>45446</v>
      </c>
      <c r="B1806" s="23">
        <v>45446</v>
      </c>
      <c r="C1806" s="25" t="s">
        <v>398</v>
      </c>
      <c r="D1806" s="20">
        <v>0</v>
      </c>
      <c r="E1806" s="27">
        <v>0</v>
      </c>
      <c r="F1806" s="22" t="s">
        <v>236</v>
      </c>
      <c r="G1806" s="29">
        <v>21120</v>
      </c>
      <c r="H1806" s="39">
        <v>45040</v>
      </c>
      <c r="I1806" s="46">
        <f t="shared" si="112"/>
        <v>406</v>
      </c>
      <c r="J1806" s="4" t="s">
        <v>12</v>
      </c>
      <c r="K1806" s="4" t="s">
        <v>197</v>
      </c>
      <c r="L1806" s="4" t="s">
        <v>223</v>
      </c>
      <c r="M1806" s="7">
        <v>21120</v>
      </c>
      <c r="N1806" s="10">
        <v>0</v>
      </c>
      <c r="O1806" s="10">
        <v>0</v>
      </c>
      <c r="P1806">
        <f t="shared" si="113"/>
        <v>1</v>
      </c>
      <c r="Q1806" s="36">
        <f t="shared" si="114"/>
        <v>0</v>
      </c>
      <c r="R1806">
        <f t="shared" si="115"/>
        <v>2023</v>
      </c>
    </row>
    <row r="1807" spans="1:18" x14ac:dyDescent="0.2">
      <c r="A1807" s="23">
        <v>45453</v>
      </c>
      <c r="B1807" s="23">
        <v>45453</v>
      </c>
      <c r="C1807" s="25" t="s">
        <v>398</v>
      </c>
      <c r="D1807" s="20">
        <v>0</v>
      </c>
      <c r="E1807" s="27">
        <v>0</v>
      </c>
      <c r="F1807" s="22" t="s">
        <v>236</v>
      </c>
      <c r="G1807" s="29">
        <v>21120</v>
      </c>
      <c r="H1807" s="39">
        <v>45040</v>
      </c>
      <c r="I1807" s="46">
        <f t="shared" si="112"/>
        <v>413</v>
      </c>
      <c r="J1807" s="4" t="s">
        <v>12</v>
      </c>
      <c r="K1807" s="4" t="s">
        <v>197</v>
      </c>
      <c r="L1807" s="4" t="s">
        <v>223</v>
      </c>
      <c r="M1807" s="7">
        <v>21120</v>
      </c>
      <c r="N1807" s="10">
        <v>0</v>
      </c>
      <c r="O1807" s="10">
        <v>0</v>
      </c>
      <c r="P1807">
        <f t="shared" si="113"/>
        <v>1</v>
      </c>
      <c r="Q1807" s="36">
        <f t="shared" si="114"/>
        <v>0</v>
      </c>
      <c r="R1807">
        <f t="shared" si="115"/>
        <v>2023</v>
      </c>
    </row>
    <row r="1808" spans="1:18" x14ac:dyDescent="0.2">
      <c r="A1808" s="23">
        <v>45467</v>
      </c>
      <c r="B1808" s="23">
        <v>45467</v>
      </c>
      <c r="C1808" s="25" t="s">
        <v>398</v>
      </c>
      <c r="D1808" s="20">
        <v>0</v>
      </c>
      <c r="E1808" s="27">
        <v>0</v>
      </c>
      <c r="F1808" s="22" t="s">
        <v>236</v>
      </c>
      <c r="G1808" s="29">
        <v>10560</v>
      </c>
      <c r="H1808" s="39">
        <v>45040</v>
      </c>
      <c r="I1808" s="46">
        <f t="shared" si="112"/>
        <v>427</v>
      </c>
      <c r="J1808" s="4" t="s">
        <v>12</v>
      </c>
      <c r="K1808" s="4" t="s">
        <v>197</v>
      </c>
      <c r="L1808" s="4" t="s">
        <v>223</v>
      </c>
      <c r="M1808" s="7">
        <v>10560</v>
      </c>
      <c r="N1808" s="10">
        <v>0</v>
      </c>
      <c r="O1808" s="10">
        <v>0</v>
      </c>
      <c r="P1808">
        <f t="shared" si="113"/>
        <v>1</v>
      </c>
      <c r="Q1808" s="36">
        <f t="shared" si="114"/>
        <v>0</v>
      </c>
      <c r="R1808">
        <f t="shared" si="115"/>
        <v>2023</v>
      </c>
    </row>
    <row r="1809" spans="1:18" x14ac:dyDescent="0.2">
      <c r="A1809" s="23">
        <v>45474</v>
      </c>
      <c r="B1809" s="23">
        <v>45474</v>
      </c>
      <c r="C1809" s="25" t="s">
        <v>398</v>
      </c>
      <c r="D1809" s="20">
        <v>0</v>
      </c>
      <c r="E1809" s="27">
        <v>0</v>
      </c>
      <c r="F1809" s="22" t="s">
        <v>236</v>
      </c>
      <c r="G1809" s="29">
        <v>10560</v>
      </c>
      <c r="H1809" s="39">
        <v>45040</v>
      </c>
      <c r="I1809" s="46">
        <f t="shared" si="112"/>
        <v>434</v>
      </c>
      <c r="J1809" s="4" t="s">
        <v>12</v>
      </c>
      <c r="K1809" s="4" t="s">
        <v>197</v>
      </c>
      <c r="L1809" s="4" t="s">
        <v>223</v>
      </c>
      <c r="M1809" s="7">
        <v>10560</v>
      </c>
      <c r="N1809" s="10">
        <v>0</v>
      </c>
      <c r="O1809" s="10">
        <v>0</v>
      </c>
      <c r="P1809">
        <f t="shared" si="113"/>
        <v>1</v>
      </c>
      <c r="Q1809" s="36">
        <f t="shared" si="114"/>
        <v>0</v>
      </c>
      <c r="R1809">
        <f t="shared" si="115"/>
        <v>2023</v>
      </c>
    </row>
    <row r="1810" spans="1:18" x14ac:dyDescent="0.2">
      <c r="A1810" s="23">
        <v>45481</v>
      </c>
      <c r="B1810" s="23">
        <v>45481</v>
      </c>
      <c r="C1810" s="25" t="s">
        <v>398</v>
      </c>
      <c r="D1810" s="20">
        <v>0</v>
      </c>
      <c r="E1810" s="27">
        <v>0</v>
      </c>
      <c r="F1810" s="22" t="s">
        <v>236</v>
      </c>
      <c r="G1810" s="29">
        <v>15840</v>
      </c>
      <c r="H1810" s="39">
        <v>45040</v>
      </c>
      <c r="I1810" s="46">
        <f t="shared" si="112"/>
        <v>441</v>
      </c>
      <c r="J1810" s="4" t="s">
        <v>12</v>
      </c>
      <c r="K1810" s="4" t="s">
        <v>197</v>
      </c>
      <c r="L1810" s="4" t="s">
        <v>223</v>
      </c>
      <c r="M1810" s="7">
        <v>15840</v>
      </c>
      <c r="N1810" s="10">
        <v>0</v>
      </c>
      <c r="O1810" s="10">
        <v>0</v>
      </c>
      <c r="P1810">
        <f t="shared" si="113"/>
        <v>1</v>
      </c>
      <c r="Q1810" s="36">
        <f t="shared" si="114"/>
        <v>0</v>
      </c>
      <c r="R1810">
        <f t="shared" si="115"/>
        <v>2023</v>
      </c>
    </row>
    <row r="1811" spans="1:18" x14ac:dyDescent="0.2">
      <c r="A1811" s="23">
        <v>45488</v>
      </c>
      <c r="B1811" s="23">
        <v>45488</v>
      </c>
      <c r="C1811" s="25" t="s">
        <v>398</v>
      </c>
      <c r="D1811" s="20">
        <v>0</v>
      </c>
      <c r="E1811" s="27">
        <v>0</v>
      </c>
      <c r="F1811" s="22" t="s">
        <v>236</v>
      </c>
      <c r="G1811" s="29">
        <v>10560</v>
      </c>
      <c r="H1811" s="39">
        <v>45040</v>
      </c>
      <c r="I1811" s="46">
        <f t="shared" si="112"/>
        <v>448</v>
      </c>
      <c r="J1811" s="4" t="s">
        <v>12</v>
      </c>
      <c r="K1811" s="4" t="s">
        <v>197</v>
      </c>
      <c r="L1811" s="4" t="s">
        <v>223</v>
      </c>
      <c r="M1811" s="7">
        <v>10560</v>
      </c>
      <c r="N1811" s="10">
        <v>0</v>
      </c>
      <c r="O1811" s="10">
        <v>0</v>
      </c>
      <c r="P1811">
        <f t="shared" si="113"/>
        <v>1</v>
      </c>
      <c r="Q1811" s="36">
        <f t="shared" si="114"/>
        <v>0</v>
      </c>
      <c r="R1811">
        <f t="shared" si="115"/>
        <v>2023</v>
      </c>
    </row>
    <row r="1812" spans="1:18" x14ac:dyDescent="0.2">
      <c r="A1812" s="23">
        <v>45495</v>
      </c>
      <c r="B1812" s="23">
        <v>45495</v>
      </c>
      <c r="C1812" s="25" t="s">
        <v>398</v>
      </c>
      <c r="D1812" s="20">
        <v>0</v>
      </c>
      <c r="E1812" s="27">
        <v>0</v>
      </c>
      <c r="F1812" s="22" t="s">
        <v>236</v>
      </c>
      <c r="G1812" s="29">
        <v>10560</v>
      </c>
      <c r="H1812" s="39">
        <v>45040</v>
      </c>
      <c r="I1812" s="46">
        <f t="shared" si="112"/>
        <v>455</v>
      </c>
      <c r="J1812" s="4" t="s">
        <v>12</v>
      </c>
      <c r="K1812" s="4" t="s">
        <v>197</v>
      </c>
      <c r="L1812" s="4" t="s">
        <v>223</v>
      </c>
      <c r="M1812" s="7">
        <v>10560</v>
      </c>
      <c r="N1812" s="10">
        <v>0</v>
      </c>
      <c r="O1812" s="10">
        <v>0</v>
      </c>
      <c r="P1812">
        <f t="shared" si="113"/>
        <v>1</v>
      </c>
      <c r="Q1812" s="36">
        <f t="shared" si="114"/>
        <v>0</v>
      </c>
      <c r="R1812">
        <f t="shared" si="115"/>
        <v>2023</v>
      </c>
    </row>
    <row r="1813" spans="1:18" x14ac:dyDescent="0.2">
      <c r="A1813" s="23">
        <v>45502</v>
      </c>
      <c r="B1813" s="23">
        <v>45502</v>
      </c>
      <c r="C1813" s="25" t="s">
        <v>398</v>
      </c>
      <c r="D1813" s="20">
        <v>0</v>
      </c>
      <c r="E1813" s="27">
        <v>0</v>
      </c>
      <c r="F1813" s="22" t="s">
        <v>236</v>
      </c>
      <c r="G1813" s="29">
        <v>10560</v>
      </c>
      <c r="H1813" s="39">
        <v>45040</v>
      </c>
      <c r="I1813" s="46">
        <f t="shared" si="112"/>
        <v>462</v>
      </c>
      <c r="J1813" s="4" t="s">
        <v>12</v>
      </c>
      <c r="K1813" s="4" t="s">
        <v>197</v>
      </c>
      <c r="L1813" s="4" t="s">
        <v>223</v>
      </c>
      <c r="M1813" s="7">
        <v>10560</v>
      </c>
      <c r="N1813" s="10">
        <v>0</v>
      </c>
      <c r="O1813" s="10">
        <v>0</v>
      </c>
      <c r="P1813">
        <f t="shared" si="113"/>
        <v>1</v>
      </c>
      <c r="Q1813" s="36">
        <f t="shared" si="114"/>
        <v>0</v>
      </c>
      <c r="R1813">
        <f t="shared" si="115"/>
        <v>2023</v>
      </c>
    </row>
    <row r="1814" spans="1:18" x14ac:dyDescent="0.2">
      <c r="A1814" s="23">
        <v>45509</v>
      </c>
      <c r="B1814" s="23">
        <v>45509</v>
      </c>
      <c r="C1814" s="25" t="s">
        <v>398</v>
      </c>
      <c r="D1814" s="20">
        <v>0</v>
      </c>
      <c r="E1814" s="27">
        <v>0</v>
      </c>
      <c r="F1814" s="22" t="s">
        <v>236</v>
      </c>
      <c r="G1814" s="29">
        <v>10560</v>
      </c>
      <c r="H1814" s="39">
        <v>45040</v>
      </c>
      <c r="I1814" s="46">
        <f t="shared" si="112"/>
        <v>469</v>
      </c>
      <c r="J1814" s="4" t="s">
        <v>12</v>
      </c>
      <c r="K1814" s="4" t="s">
        <v>197</v>
      </c>
      <c r="L1814" s="4" t="s">
        <v>223</v>
      </c>
      <c r="M1814" s="7">
        <v>10560</v>
      </c>
      <c r="N1814" s="10">
        <v>0</v>
      </c>
      <c r="O1814" s="10">
        <v>0</v>
      </c>
      <c r="P1814">
        <f t="shared" si="113"/>
        <v>1</v>
      </c>
      <c r="Q1814" s="36">
        <f t="shared" si="114"/>
        <v>0</v>
      </c>
      <c r="R1814">
        <f t="shared" si="115"/>
        <v>2023</v>
      </c>
    </row>
    <row r="1815" spans="1:18" x14ac:dyDescent="0.2">
      <c r="A1815" s="23">
        <v>45516</v>
      </c>
      <c r="B1815" s="23">
        <v>45516</v>
      </c>
      <c r="C1815" s="25" t="s">
        <v>398</v>
      </c>
      <c r="D1815" s="20">
        <v>0</v>
      </c>
      <c r="E1815" s="27">
        <v>0</v>
      </c>
      <c r="F1815" s="22" t="s">
        <v>236</v>
      </c>
      <c r="G1815" s="29">
        <v>10560</v>
      </c>
      <c r="H1815" s="39">
        <v>45040</v>
      </c>
      <c r="I1815" s="46">
        <f t="shared" si="112"/>
        <v>476</v>
      </c>
      <c r="J1815" s="4" t="s">
        <v>12</v>
      </c>
      <c r="K1815" s="4" t="s">
        <v>197</v>
      </c>
      <c r="L1815" s="4" t="s">
        <v>223</v>
      </c>
      <c r="M1815" s="7">
        <v>10560</v>
      </c>
      <c r="N1815" s="10">
        <v>0</v>
      </c>
      <c r="O1815" s="10">
        <v>0</v>
      </c>
      <c r="P1815">
        <f t="shared" si="113"/>
        <v>1</v>
      </c>
      <c r="Q1815" s="36">
        <f t="shared" si="114"/>
        <v>0</v>
      </c>
      <c r="R1815">
        <f t="shared" si="115"/>
        <v>2023</v>
      </c>
    </row>
    <row r="1816" spans="1:18" x14ac:dyDescent="0.2">
      <c r="A1816" s="23">
        <v>45523</v>
      </c>
      <c r="B1816" s="23">
        <v>45523</v>
      </c>
      <c r="C1816" s="25" t="s">
        <v>398</v>
      </c>
      <c r="D1816" s="20">
        <v>0</v>
      </c>
      <c r="E1816" s="27">
        <v>0</v>
      </c>
      <c r="F1816" s="22" t="s">
        <v>236</v>
      </c>
      <c r="G1816" s="29">
        <v>10560</v>
      </c>
      <c r="H1816" s="39">
        <v>45040</v>
      </c>
      <c r="I1816" s="46">
        <f t="shared" si="112"/>
        <v>483</v>
      </c>
      <c r="J1816" s="4" t="s">
        <v>12</v>
      </c>
      <c r="K1816" s="4" t="s">
        <v>197</v>
      </c>
      <c r="L1816" s="4" t="s">
        <v>223</v>
      </c>
      <c r="M1816" s="7">
        <v>10560</v>
      </c>
      <c r="N1816" s="10">
        <v>0</v>
      </c>
      <c r="O1816" s="10">
        <v>0</v>
      </c>
      <c r="P1816">
        <f t="shared" si="113"/>
        <v>1</v>
      </c>
      <c r="Q1816" s="36">
        <f t="shared" si="114"/>
        <v>0</v>
      </c>
      <c r="R1816">
        <f t="shared" si="115"/>
        <v>2023</v>
      </c>
    </row>
    <row r="1817" spans="1:18" x14ac:dyDescent="0.2">
      <c r="A1817" s="23">
        <v>45530</v>
      </c>
      <c r="B1817" s="23">
        <v>45530</v>
      </c>
      <c r="C1817" s="25" t="s">
        <v>398</v>
      </c>
      <c r="D1817" s="20">
        <v>0</v>
      </c>
      <c r="E1817" s="27">
        <v>0</v>
      </c>
      <c r="F1817" s="22" t="s">
        <v>236</v>
      </c>
      <c r="G1817" s="29">
        <v>10560</v>
      </c>
      <c r="H1817" s="39">
        <v>45040</v>
      </c>
      <c r="I1817" s="46">
        <f t="shared" si="112"/>
        <v>490</v>
      </c>
      <c r="J1817" s="4" t="s">
        <v>12</v>
      </c>
      <c r="K1817" s="4" t="s">
        <v>197</v>
      </c>
      <c r="L1817" s="4" t="s">
        <v>223</v>
      </c>
      <c r="M1817" s="7">
        <v>10560</v>
      </c>
      <c r="N1817" s="10">
        <v>0</v>
      </c>
      <c r="O1817" s="10">
        <v>0</v>
      </c>
      <c r="P1817">
        <f t="shared" si="113"/>
        <v>1</v>
      </c>
      <c r="Q1817" s="36">
        <f t="shared" si="114"/>
        <v>0</v>
      </c>
      <c r="R1817">
        <f t="shared" si="115"/>
        <v>2023</v>
      </c>
    </row>
    <row r="1818" spans="1:18" x14ac:dyDescent="0.2">
      <c r="A1818" s="23">
        <v>45537</v>
      </c>
      <c r="B1818" s="23">
        <v>45537</v>
      </c>
      <c r="C1818" s="25" t="s">
        <v>398</v>
      </c>
      <c r="D1818" s="20">
        <v>0</v>
      </c>
      <c r="E1818" s="27">
        <v>0</v>
      </c>
      <c r="F1818" s="22" t="s">
        <v>236</v>
      </c>
      <c r="G1818" s="29">
        <v>10560</v>
      </c>
      <c r="H1818" s="39">
        <v>45040</v>
      </c>
      <c r="I1818" s="46">
        <f t="shared" si="112"/>
        <v>497</v>
      </c>
      <c r="J1818" s="4" t="s">
        <v>12</v>
      </c>
      <c r="K1818" s="4" t="s">
        <v>197</v>
      </c>
      <c r="L1818" s="4" t="s">
        <v>223</v>
      </c>
      <c r="M1818" s="7">
        <v>10560</v>
      </c>
      <c r="N1818" s="10">
        <v>0</v>
      </c>
      <c r="O1818" s="10">
        <v>0</v>
      </c>
      <c r="P1818">
        <f t="shared" si="113"/>
        <v>1</v>
      </c>
      <c r="Q1818" s="36">
        <f t="shared" si="114"/>
        <v>0</v>
      </c>
      <c r="R1818">
        <f t="shared" si="115"/>
        <v>2023</v>
      </c>
    </row>
    <row r="1819" spans="1:18" x14ac:dyDescent="0.2">
      <c r="A1819" s="23">
        <v>45544</v>
      </c>
      <c r="B1819" s="23">
        <v>45544</v>
      </c>
      <c r="C1819" s="25" t="s">
        <v>398</v>
      </c>
      <c r="D1819" s="20">
        <v>0</v>
      </c>
      <c r="E1819" s="27">
        <v>0</v>
      </c>
      <c r="F1819" s="22" t="s">
        <v>236</v>
      </c>
      <c r="G1819" s="29">
        <v>15840</v>
      </c>
      <c r="H1819" s="39">
        <v>45040</v>
      </c>
      <c r="I1819" s="46">
        <f t="shared" si="112"/>
        <v>504</v>
      </c>
      <c r="J1819" s="4" t="s">
        <v>12</v>
      </c>
      <c r="K1819" s="4" t="s">
        <v>197</v>
      </c>
      <c r="L1819" s="4" t="s">
        <v>223</v>
      </c>
      <c r="M1819" s="7">
        <v>15840</v>
      </c>
      <c r="N1819" s="10">
        <v>0</v>
      </c>
      <c r="O1819" s="10">
        <v>0</v>
      </c>
      <c r="P1819">
        <f t="shared" si="113"/>
        <v>1</v>
      </c>
      <c r="Q1819" s="36">
        <f t="shared" si="114"/>
        <v>0</v>
      </c>
      <c r="R1819">
        <f t="shared" si="115"/>
        <v>2023</v>
      </c>
    </row>
    <row r="1820" spans="1:18" x14ac:dyDescent="0.2">
      <c r="A1820" s="23">
        <v>45551</v>
      </c>
      <c r="B1820" s="23">
        <v>45551</v>
      </c>
      <c r="C1820" s="25" t="s">
        <v>398</v>
      </c>
      <c r="D1820" s="20">
        <v>0</v>
      </c>
      <c r="E1820" s="27">
        <v>0</v>
      </c>
      <c r="F1820" s="22" t="s">
        <v>236</v>
      </c>
      <c r="G1820" s="29">
        <v>10560</v>
      </c>
      <c r="H1820" s="39">
        <v>45040</v>
      </c>
      <c r="I1820" s="46">
        <f t="shared" si="112"/>
        <v>511</v>
      </c>
      <c r="J1820" s="4" t="s">
        <v>12</v>
      </c>
      <c r="K1820" s="4" t="s">
        <v>197</v>
      </c>
      <c r="L1820" s="4" t="s">
        <v>223</v>
      </c>
      <c r="M1820" s="7">
        <v>10560</v>
      </c>
      <c r="N1820" s="10">
        <v>0</v>
      </c>
      <c r="O1820" s="10">
        <v>0</v>
      </c>
      <c r="P1820">
        <f t="shared" si="113"/>
        <v>1</v>
      </c>
      <c r="Q1820" s="36">
        <f t="shared" si="114"/>
        <v>0</v>
      </c>
      <c r="R1820">
        <f t="shared" si="115"/>
        <v>2023</v>
      </c>
    </row>
    <row r="1821" spans="1:18" x14ac:dyDescent="0.2">
      <c r="A1821" s="23">
        <v>45558</v>
      </c>
      <c r="B1821" s="23">
        <v>45558</v>
      </c>
      <c r="C1821" s="25" t="s">
        <v>398</v>
      </c>
      <c r="D1821" s="20">
        <v>0</v>
      </c>
      <c r="E1821" s="27">
        <v>0</v>
      </c>
      <c r="F1821" s="22" t="s">
        <v>236</v>
      </c>
      <c r="G1821" s="29">
        <v>10560</v>
      </c>
      <c r="H1821" s="39">
        <v>45040</v>
      </c>
      <c r="I1821" s="46">
        <f t="shared" si="112"/>
        <v>518</v>
      </c>
      <c r="J1821" s="4" t="s">
        <v>12</v>
      </c>
      <c r="K1821" s="4" t="s">
        <v>197</v>
      </c>
      <c r="L1821" s="4" t="s">
        <v>223</v>
      </c>
      <c r="M1821" s="7">
        <v>10560</v>
      </c>
      <c r="N1821" s="10">
        <v>0</v>
      </c>
      <c r="O1821" s="10">
        <v>0</v>
      </c>
      <c r="P1821">
        <f t="shared" si="113"/>
        <v>1</v>
      </c>
      <c r="Q1821" s="36">
        <f t="shared" si="114"/>
        <v>0</v>
      </c>
      <c r="R1821">
        <f t="shared" si="115"/>
        <v>2023</v>
      </c>
    </row>
    <row r="1822" spans="1:18" x14ac:dyDescent="0.2">
      <c r="A1822" s="23">
        <v>45565</v>
      </c>
      <c r="B1822" s="23">
        <v>45565</v>
      </c>
      <c r="C1822" s="25" t="s">
        <v>398</v>
      </c>
      <c r="D1822" s="20">
        <v>0</v>
      </c>
      <c r="E1822" s="27">
        <v>0</v>
      </c>
      <c r="F1822" s="22" t="s">
        <v>236</v>
      </c>
      <c r="G1822" s="29">
        <v>15840</v>
      </c>
      <c r="H1822" s="39">
        <v>45040</v>
      </c>
      <c r="I1822" s="46">
        <f t="shared" si="112"/>
        <v>525</v>
      </c>
      <c r="J1822" s="4" t="s">
        <v>12</v>
      </c>
      <c r="K1822" s="4" t="s">
        <v>197</v>
      </c>
      <c r="L1822" s="4" t="s">
        <v>223</v>
      </c>
      <c r="M1822" s="7">
        <v>15840</v>
      </c>
      <c r="N1822" s="10">
        <v>0</v>
      </c>
      <c r="O1822" s="10">
        <v>0</v>
      </c>
      <c r="P1822">
        <f t="shared" si="113"/>
        <v>1</v>
      </c>
      <c r="Q1822" s="36">
        <f t="shared" si="114"/>
        <v>0</v>
      </c>
      <c r="R1822">
        <f t="shared" si="115"/>
        <v>2023</v>
      </c>
    </row>
    <row r="1823" spans="1:18" x14ac:dyDescent="0.2">
      <c r="A1823" s="23">
        <v>45572</v>
      </c>
      <c r="B1823" s="23">
        <v>45572</v>
      </c>
      <c r="C1823" s="25" t="s">
        <v>398</v>
      </c>
      <c r="D1823" s="20">
        <v>0</v>
      </c>
      <c r="E1823" s="27">
        <v>0</v>
      </c>
      <c r="F1823" s="22" t="s">
        <v>236</v>
      </c>
      <c r="G1823" s="29">
        <v>10560</v>
      </c>
      <c r="H1823" s="39">
        <v>45040</v>
      </c>
      <c r="I1823" s="46">
        <f t="shared" si="112"/>
        <v>532</v>
      </c>
      <c r="J1823" s="4" t="s">
        <v>12</v>
      </c>
      <c r="K1823" s="4" t="s">
        <v>197</v>
      </c>
      <c r="L1823" s="4" t="s">
        <v>223</v>
      </c>
      <c r="M1823" s="7">
        <v>10560</v>
      </c>
      <c r="N1823" s="10">
        <v>0</v>
      </c>
      <c r="O1823" s="10">
        <v>0</v>
      </c>
      <c r="P1823">
        <f t="shared" si="113"/>
        <v>1</v>
      </c>
      <c r="Q1823" s="36">
        <f t="shared" si="114"/>
        <v>0</v>
      </c>
      <c r="R1823">
        <f t="shared" si="115"/>
        <v>2023</v>
      </c>
    </row>
    <row r="1824" spans="1:18" x14ac:dyDescent="0.2">
      <c r="A1824" s="23">
        <v>45579</v>
      </c>
      <c r="B1824" s="23">
        <v>45579</v>
      </c>
      <c r="C1824" s="25" t="s">
        <v>398</v>
      </c>
      <c r="D1824" s="20">
        <v>0</v>
      </c>
      <c r="E1824" s="27">
        <v>0</v>
      </c>
      <c r="F1824" s="22" t="s">
        <v>236</v>
      </c>
      <c r="G1824" s="29">
        <v>10560</v>
      </c>
      <c r="H1824" s="39">
        <v>45040</v>
      </c>
      <c r="I1824" s="46">
        <f t="shared" si="112"/>
        <v>539</v>
      </c>
      <c r="J1824" s="4" t="s">
        <v>12</v>
      </c>
      <c r="K1824" s="4" t="s">
        <v>197</v>
      </c>
      <c r="L1824" s="4" t="s">
        <v>223</v>
      </c>
      <c r="M1824" s="7">
        <v>10560</v>
      </c>
      <c r="N1824" s="10">
        <v>0</v>
      </c>
      <c r="O1824" s="10">
        <v>0</v>
      </c>
      <c r="P1824">
        <f t="shared" si="113"/>
        <v>1</v>
      </c>
      <c r="Q1824" s="36">
        <f t="shared" si="114"/>
        <v>0</v>
      </c>
      <c r="R1824">
        <f t="shared" si="115"/>
        <v>2023</v>
      </c>
    </row>
    <row r="1825" spans="1:18" x14ac:dyDescent="0.2">
      <c r="A1825" s="23">
        <v>45586</v>
      </c>
      <c r="B1825" s="23">
        <v>45586</v>
      </c>
      <c r="C1825" s="25" t="s">
        <v>398</v>
      </c>
      <c r="D1825" s="20">
        <v>0</v>
      </c>
      <c r="E1825" s="27">
        <v>0</v>
      </c>
      <c r="F1825" s="22" t="s">
        <v>236</v>
      </c>
      <c r="G1825" s="29">
        <v>26400</v>
      </c>
      <c r="H1825" s="39">
        <v>45040</v>
      </c>
      <c r="I1825" s="46">
        <f t="shared" si="112"/>
        <v>546</v>
      </c>
      <c r="J1825" s="4" t="s">
        <v>12</v>
      </c>
      <c r="K1825" s="4" t="s">
        <v>197</v>
      </c>
      <c r="L1825" s="4" t="s">
        <v>223</v>
      </c>
      <c r="M1825" s="7">
        <v>26400</v>
      </c>
      <c r="N1825" s="10">
        <v>0</v>
      </c>
      <c r="O1825" s="10">
        <v>0</v>
      </c>
      <c r="P1825">
        <f t="shared" si="113"/>
        <v>1</v>
      </c>
      <c r="Q1825" s="36">
        <f t="shared" si="114"/>
        <v>0</v>
      </c>
      <c r="R1825">
        <f t="shared" si="115"/>
        <v>2023</v>
      </c>
    </row>
    <row r="1826" spans="1:18" x14ac:dyDescent="0.2">
      <c r="A1826" s="23">
        <v>45600</v>
      </c>
      <c r="B1826" s="23">
        <v>45600</v>
      </c>
      <c r="C1826" s="25" t="s">
        <v>398</v>
      </c>
      <c r="D1826" s="20">
        <v>0</v>
      </c>
      <c r="E1826" s="27">
        <v>0</v>
      </c>
      <c r="F1826" s="22" t="s">
        <v>236</v>
      </c>
      <c r="G1826" s="29">
        <v>10560</v>
      </c>
      <c r="H1826" s="39">
        <v>45040</v>
      </c>
      <c r="I1826" s="46">
        <f t="shared" si="112"/>
        <v>560</v>
      </c>
      <c r="J1826" s="4" t="s">
        <v>12</v>
      </c>
      <c r="K1826" s="4" t="s">
        <v>197</v>
      </c>
      <c r="L1826" s="4" t="s">
        <v>223</v>
      </c>
      <c r="M1826" s="7">
        <v>10560</v>
      </c>
      <c r="N1826" s="10">
        <v>0</v>
      </c>
      <c r="O1826" s="10">
        <v>0</v>
      </c>
      <c r="P1826">
        <f t="shared" si="113"/>
        <v>1</v>
      </c>
      <c r="Q1826" s="36">
        <f t="shared" si="114"/>
        <v>0</v>
      </c>
      <c r="R1826">
        <f t="shared" si="115"/>
        <v>2023</v>
      </c>
    </row>
    <row r="1827" spans="1:18" x14ac:dyDescent="0.2">
      <c r="A1827" s="23">
        <v>45607</v>
      </c>
      <c r="B1827" s="23">
        <v>45607</v>
      </c>
      <c r="C1827" s="25" t="s">
        <v>398</v>
      </c>
      <c r="D1827" s="20">
        <v>0</v>
      </c>
      <c r="E1827" s="27">
        <v>0</v>
      </c>
      <c r="F1827" s="22" t="s">
        <v>236</v>
      </c>
      <c r="G1827" s="29">
        <v>5280</v>
      </c>
      <c r="H1827" s="39">
        <v>45040</v>
      </c>
      <c r="I1827" s="46">
        <f t="shared" si="112"/>
        <v>567</v>
      </c>
      <c r="J1827" s="4" t="s">
        <v>12</v>
      </c>
      <c r="K1827" s="4" t="s">
        <v>197</v>
      </c>
      <c r="L1827" s="4" t="s">
        <v>223</v>
      </c>
      <c r="M1827" s="7">
        <v>5280</v>
      </c>
      <c r="N1827" s="10">
        <v>0</v>
      </c>
      <c r="O1827" s="10">
        <v>0</v>
      </c>
      <c r="P1827">
        <f t="shared" si="113"/>
        <v>1</v>
      </c>
      <c r="Q1827" s="36">
        <f t="shared" si="114"/>
        <v>0</v>
      </c>
      <c r="R1827">
        <f t="shared" si="115"/>
        <v>2023</v>
      </c>
    </row>
    <row r="1828" spans="1:18" x14ac:dyDescent="0.2">
      <c r="A1828" s="23">
        <v>45614</v>
      </c>
      <c r="B1828" s="23">
        <v>45614</v>
      </c>
      <c r="C1828" s="25" t="s">
        <v>398</v>
      </c>
      <c r="D1828" s="20">
        <v>0</v>
      </c>
      <c r="E1828" s="27">
        <v>0</v>
      </c>
      <c r="F1828" s="22" t="s">
        <v>236</v>
      </c>
      <c r="G1828" s="29">
        <v>10560</v>
      </c>
      <c r="H1828" s="39">
        <v>45040</v>
      </c>
      <c r="I1828" s="46">
        <f t="shared" si="112"/>
        <v>574</v>
      </c>
      <c r="J1828" s="4" t="s">
        <v>12</v>
      </c>
      <c r="K1828" s="4" t="s">
        <v>197</v>
      </c>
      <c r="L1828" s="4" t="s">
        <v>223</v>
      </c>
      <c r="M1828" s="7">
        <v>10560</v>
      </c>
      <c r="N1828" s="10">
        <v>0</v>
      </c>
      <c r="O1828" s="10">
        <v>0</v>
      </c>
      <c r="P1828">
        <f t="shared" si="113"/>
        <v>1</v>
      </c>
      <c r="Q1828" s="36">
        <f t="shared" si="114"/>
        <v>0</v>
      </c>
      <c r="R1828">
        <f t="shared" si="115"/>
        <v>2023</v>
      </c>
    </row>
    <row r="1829" spans="1:18" x14ac:dyDescent="0.2">
      <c r="A1829" s="23">
        <v>45621</v>
      </c>
      <c r="B1829" s="23">
        <v>45621</v>
      </c>
      <c r="C1829" s="25" t="s">
        <v>398</v>
      </c>
      <c r="D1829" s="20">
        <v>0</v>
      </c>
      <c r="E1829" s="27">
        <v>0</v>
      </c>
      <c r="F1829" s="22" t="s">
        <v>236</v>
      </c>
      <c r="G1829" s="29">
        <v>10560</v>
      </c>
      <c r="H1829" s="39">
        <v>45040</v>
      </c>
      <c r="I1829" s="46">
        <f t="shared" si="112"/>
        <v>581</v>
      </c>
      <c r="J1829" s="4" t="s">
        <v>12</v>
      </c>
      <c r="K1829" s="4" t="s">
        <v>197</v>
      </c>
      <c r="L1829" s="4" t="s">
        <v>223</v>
      </c>
      <c r="M1829" s="7">
        <v>10560</v>
      </c>
      <c r="N1829" s="10">
        <v>0</v>
      </c>
      <c r="O1829" s="10">
        <v>0</v>
      </c>
      <c r="P1829">
        <f t="shared" si="113"/>
        <v>1</v>
      </c>
      <c r="Q1829" s="36">
        <f t="shared" si="114"/>
        <v>0</v>
      </c>
      <c r="R1829">
        <f t="shared" si="115"/>
        <v>2023</v>
      </c>
    </row>
    <row r="1830" spans="1:18" x14ac:dyDescent="0.2">
      <c r="A1830" s="23">
        <v>45628</v>
      </c>
      <c r="B1830" s="23">
        <v>45628</v>
      </c>
      <c r="C1830" s="25" t="s">
        <v>398</v>
      </c>
      <c r="D1830" s="20">
        <v>0</v>
      </c>
      <c r="E1830" s="27">
        <v>0</v>
      </c>
      <c r="F1830" s="22" t="s">
        <v>236</v>
      </c>
      <c r="G1830" s="29">
        <v>15840</v>
      </c>
      <c r="H1830" s="39">
        <v>45040</v>
      </c>
      <c r="I1830" s="46">
        <f t="shared" si="112"/>
        <v>588</v>
      </c>
      <c r="J1830" s="4" t="s">
        <v>12</v>
      </c>
      <c r="K1830" s="4" t="s">
        <v>197</v>
      </c>
      <c r="L1830" s="4" t="s">
        <v>223</v>
      </c>
      <c r="M1830" s="7">
        <v>15840</v>
      </c>
      <c r="N1830" s="10">
        <v>0</v>
      </c>
      <c r="O1830" s="10">
        <v>0</v>
      </c>
      <c r="P1830">
        <f t="shared" si="113"/>
        <v>1</v>
      </c>
      <c r="Q1830" s="36">
        <f t="shared" si="114"/>
        <v>0</v>
      </c>
      <c r="R1830">
        <f t="shared" si="115"/>
        <v>2023</v>
      </c>
    </row>
    <row r="1831" spans="1:18" x14ac:dyDescent="0.2">
      <c r="A1831" s="23">
        <v>45635</v>
      </c>
      <c r="B1831" s="23">
        <v>45635</v>
      </c>
      <c r="C1831" s="25" t="s">
        <v>398</v>
      </c>
      <c r="D1831" s="20">
        <v>0</v>
      </c>
      <c r="E1831" s="27">
        <v>0</v>
      </c>
      <c r="F1831" s="22" t="s">
        <v>236</v>
      </c>
      <c r="G1831" s="29">
        <v>15840</v>
      </c>
      <c r="H1831" s="39">
        <v>45040</v>
      </c>
      <c r="I1831" s="46">
        <f t="shared" si="112"/>
        <v>595</v>
      </c>
      <c r="J1831" s="4" t="s">
        <v>12</v>
      </c>
      <c r="K1831" s="4" t="s">
        <v>197</v>
      </c>
      <c r="L1831" s="4" t="s">
        <v>223</v>
      </c>
      <c r="M1831" s="7">
        <v>15840</v>
      </c>
      <c r="N1831" s="10">
        <v>0</v>
      </c>
      <c r="O1831" s="10">
        <v>0</v>
      </c>
      <c r="P1831">
        <f t="shared" si="113"/>
        <v>1</v>
      </c>
      <c r="Q1831" s="36">
        <f t="shared" si="114"/>
        <v>0</v>
      </c>
      <c r="R1831">
        <f t="shared" si="115"/>
        <v>2023</v>
      </c>
    </row>
    <row r="1832" spans="1:18" x14ac:dyDescent="0.2">
      <c r="A1832" s="23">
        <v>45642</v>
      </c>
      <c r="B1832" s="23">
        <v>45642</v>
      </c>
      <c r="C1832" s="25" t="s">
        <v>398</v>
      </c>
      <c r="D1832" s="20">
        <v>0</v>
      </c>
      <c r="E1832" s="27">
        <v>0</v>
      </c>
      <c r="F1832" s="22" t="s">
        <v>236</v>
      </c>
      <c r="G1832" s="29">
        <v>21120</v>
      </c>
      <c r="H1832" s="39">
        <v>45040</v>
      </c>
      <c r="I1832" s="46">
        <f t="shared" si="112"/>
        <v>602</v>
      </c>
      <c r="J1832" s="4" t="s">
        <v>12</v>
      </c>
      <c r="K1832" s="4" t="s">
        <v>197</v>
      </c>
      <c r="L1832" s="4" t="s">
        <v>223</v>
      </c>
      <c r="M1832" s="7">
        <v>21120</v>
      </c>
      <c r="N1832" s="10">
        <v>0</v>
      </c>
      <c r="O1832" s="10">
        <v>0</v>
      </c>
      <c r="P1832">
        <f t="shared" si="113"/>
        <v>1</v>
      </c>
      <c r="Q1832" s="36">
        <f t="shared" si="114"/>
        <v>0</v>
      </c>
      <c r="R1832">
        <f t="shared" si="115"/>
        <v>2023</v>
      </c>
    </row>
    <row r="1833" spans="1:18" x14ac:dyDescent="0.2">
      <c r="A1833" s="23">
        <v>45292</v>
      </c>
      <c r="B1833" s="23">
        <v>45292</v>
      </c>
      <c r="C1833" s="25" t="s">
        <v>398</v>
      </c>
      <c r="D1833" s="20">
        <v>0</v>
      </c>
      <c r="E1833" s="27">
        <v>0</v>
      </c>
      <c r="F1833" s="22" t="s">
        <v>236</v>
      </c>
      <c r="G1833" s="29">
        <v>21120</v>
      </c>
      <c r="H1833" s="39">
        <v>45005</v>
      </c>
      <c r="I1833" s="46">
        <f t="shared" si="112"/>
        <v>287</v>
      </c>
      <c r="J1833" s="4" t="s">
        <v>12</v>
      </c>
      <c r="K1833" s="4" t="s">
        <v>197</v>
      </c>
      <c r="L1833" s="4" t="s">
        <v>223</v>
      </c>
      <c r="M1833" s="7">
        <v>21120</v>
      </c>
      <c r="N1833" s="10">
        <v>0</v>
      </c>
      <c r="O1833" s="10">
        <v>0</v>
      </c>
      <c r="P1833">
        <f t="shared" si="113"/>
        <v>1</v>
      </c>
      <c r="Q1833" s="36">
        <f t="shared" si="114"/>
        <v>0</v>
      </c>
      <c r="R1833">
        <f t="shared" si="115"/>
        <v>2023</v>
      </c>
    </row>
    <row r="1834" spans="1:18" x14ac:dyDescent="0.2">
      <c r="A1834" s="23">
        <v>45299</v>
      </c>
      <c r="B1834" s="23">
        <v>45299</v>
      </c>
      <c r="C1834" s="25" t="s">
        <v>398</v>
      </c>
      <c r="D1834" s="20">
        <v>0</v>
      </c>
      <c r="E1834" s="27">
        <v>0</v>
      </c>
      <c r="F1834" s="22" t="s">
        <v>236</v>
      </c>
      <c r="G1834" s="29">
        <v>18480</v>
      </c>
      <c r="H1834" s="39">
        <v>45005</v>
      </c>
      <c r="I1834" s="46">
        <f t="shared" si="112"/>
        <v>294</v>
      </c>
      <c r="J1834" s="4" t="s">
        <v>12</v>
      </c>
      <c r="K1834" s="4" t="s">
        <v>197</v>
      </c>
      <c r="L1834" s="4" t="s">
        <v>223</v>
      </c>
      <c r="M1834" s="7">
        <v>18480</v>
      </c>
      <c r="N1834" s="10">
        <v>0</v>
      </c>
      <c r="O1834" s="10">
        <v>0</v>
      </c>
      <c r="P1834">
        <f t="shared" si="113"/>
        <v>1</v>
      </c>
      <c r="Q1834" s="36">
        <f t="shared" si="114"/>
        <v>0</v>
      </c>
      <c r="R1834">
        <f t="shared" si="115"/>
        <v>2023</v>
      </c>
    </row>
    <row r="1835" spans="1:18" x14ac:dyDescent="0.2">
      <c r="A1835" s="23">
        <v>45306</v>
      </c>
      <c r="B1835" s="23">
        <v>45306</v>
      </c>
      <c r="C1835" s="25" t="s">
        <v>398</v>
      </c>
      <c r="D1835" s="20">
        <v>0</v>
      </c>
      <c r="E1835" s="27">
        <v>0</v>
      </c>
      <c r="F1835" s="22" t="s">
        <v>236</v>
      </c>
      <c r="G1835" s="29">
        <v>21120</v>
      </c>
      <c r="H1835" s="39">
        <v>45005</v>
      </c>
      <c r="I1835" s="46">
        <f t="shared" si="112"/>
        <v>301</v>
      </c>
      <c r="J1835" s="4" t="s">
        <v>12</v>
      </c>
      <c r="K1835" s="4" t="s">
        <v>197</v>
      </c>
      <c r="L1835" s="4" t="s">
        <v>223</v>
      </c>
      <c r="M1835" s="7">
        <v>21120</v>
      </c>
      <c r="N1835" s="10">
        <v>0</v>
      </c>
      <c r="O1835" s="10">
        <v>0</v>
      </c>
      <c r="P1835">
        <f t="shared" si="113"/>
        <v>1</v>
      </c>
      <c r="Q1835" s="36">
        <f t="shared" si="114"/>
        <v>0</v>
      </c>
      <c r="R1835">
        <f t="shared" si="115"/>
        <v>2023</v>
      </c>
    </row>
    <row r="1836" spans="1:18" x14ac:dyDescent="0.2">
      <c r="A1836" s="23">
        <v>45313</v>
      </c>
      <c r="B1836" s="23">
        <v>45313</v>
      </c>
      <c r="C1836" s="25" t="s">
        <v>398</v>
      </c>
      <c r="D1836" s="20">
        <v>0</v>
      </c>
      <c r="E1836" s="27">
        <v>0</v>
      </c>
      <c r="F1836" s="22" t="s">
        <v>236</v>
      </c>
      <c r="G1836" s="29">
        <v>21120</v>
      </c>
      <c r="H1836" s="39">
        <v>45005</v>
      </c>
      <c r="I1836" s="46">
        <f t="shared" si="112"/>
        <v>308</v>
      </c>
      <c r="J1836" s="4" t="s">
        <v>12</v>
      </c>
      <c r="K1836" s="4" t="s">
        <v>197</v>
      </c>
      <c r="L1836" s="4" t="s">
        <v>223</v>
      </c>
      <c r="M1836" s="7">
        <v>21120</v>
      </c>
      <c r="N1836" s="10">
        <v>0</v>
      </c>
      <c r="O1836" s="10">
        <v>0</v>
      </c>
      <c r="P1836">
        <f t="shared" si="113"/>
        <v>1</v>
      </c>
      <c r="Q1836" s="36">
        <f t="shared" si="114"/>
        <v>0</v>
      </c>
      <c r="R1836">
        <f t="shared" si="115"/>
        <v>2023</v>
      </c>
    </row>
    <row r="1837" spans="1:18" x14ac:dyDescent="0.2">
      <c r="A1837" s="23">
        <v>45320</v>
      </c>
      <c r="B1837" s="23">
        <v>45320</v>
      </c>
      <c r="C1837" s="25" t="s">
        <v>398</v>
      </c>
      <c r="D1837" s="20">
        <v>0</v>
      </c>
      <c r="E1837" s="27">
        <v>0</v>
      </c>
      <c r="F1837" s="22" t="s">
        <v>236</v>
      </c>
      <c r="G1837" s="29">
        <v>15840</v>
      </c>
      <c r="H1837" s="39">
        <v>45005</v>
      </c>
      <c r="I1837" s="46">
        <f t="shared" si="112"/>
        <v>315</v>
      </c>
      <c r="J1837" s="4" t="s">
        <v>12</v>
      </c>
      <c r="K1837" s="4" t="s">
        <v>197</v>
      </c>
      <c r="L1837" s="4" t="s">
        <v>223</v>
      </c>
      <c r="M1837" s="7">
        <v>15840</v>
      </c>
      <c r="N1837" s="10">
        <v>0</v>
      </c>
      <c r="O1837" s="10">
        <v>0</v>
      </c>
      <c r="P1837">
        <f t="shared" si="113"/>
        <v>1</v>
      </c>
      <c r="Q1837" s="36">
        <f t="shared" si="114"/>
        <v>0</v>
      </c>
      <c r="R1837">
        <f t="shared" si="115"/>
        <v>2023</v>
      </c>
    </row>
    <row r="1838" spans="1:18" x14ac:dyDescent="0.2">
      <c r="A1838" s="23">
        <v>45334</v>
      </c>
      <c r="B1838" s="23">
        <v>45334</v>
      </c>
      <c r="C1838" s="25" t="s">
        <v>398</v>
      </c>
      <c r="D1838" s="20">
        <v>0</v>
      </c>
      <c r="E1838" s="27">
        <v>0</v>
      </c>
      <c r="F1838" s="22" t="s">
        <v>236</v>
      </c>
      <c r="G1838" s="29">
        <v>21120</v>
      </c>
      <c r="H1838" s="39">
        <v>45005</v>
      </c>
      <c r="I1838" s="46">
        <f t="shared" si="112"/>
        <v>329</v>
      </c>
      <c r="J1838" s="4" t="s">
        <v>12</v>
      </c>
      <c r="K1838" s="4" t="s">
        <v>197</v>
      </c>
      <c r="L1838" s="4" t="s">
        <v>223</v>
      </c>
      <c r="M1838" s="7">
        <v>21120</v>
      </c>
      <c r="N1838" s="10">
        <v>0</v>
      </c>
      <c r="O1838" s="10">
        <v>0</v>
      </c>
      <c r="P1838">
        <f t="shared" si="113"/>
        <v>1</v>
      </c>
      <c r="Q1838" s="36">
        <f t="shared" si="114"/>
        <v>0</v>
      </c>
      <c r="R1838">
        <f t="shared" si="115"/>
        <v>2023</v>
      </c>
    </row>
    <row r="1839" spans="1:18" x14ac:dyDescent="0.2">
      <c r="A1839" s="23">
        <v>45341</v>
      </c>
      <c r="B1839" s="23">
        <v>45341</v>
      </c>
      <c r="C1839" s="25" t="s">
        <v>398</v>
      </c>
      <c r="D1839" s="20">
        <v>0</v>
      </c>
      <c r="E1839" s="27">
        <v>0</v>
      </c>
      <c r="F1839" s="22" t="s">
        <v>236</v>
      </c>
      <c r="G1839" s="29">
        <v>15840</v>
      </c>
      <c r="H1839" s="39">
        <v>45005</v>
      </c>
      <c r="I1839" s="46">
        <f t="shared" si="112"/>
        <v>336</v>
      </c>
      <c r="J1839" s="4" t="s">
        <v>12</v>
      </c>
      <c r="K1839" s="4" t="s">
        <v>197</v>
      </c>
      <c r="L1839" s="4" t="s">
        <v>223</v>
      </c>
      <c r="M1839" s="7">
        <v>15840</v>
      </c>
      <c r="N1839" s="10">
        <v>0</v>
      </c>
      <c r="O1839" s="10">
        <v>0</v>
      </c>
      <c r="P1839">
        <f t="shared" si="113"/>
        <v>1</v>
      </c>
      <c r="Q1839" s="36">
        <f t="shared" si="114"/>
        <v>0</v>
      </c>
      <c r="R1839">
        <f t="shared" si="115"/>
        <v>2023</v>
      </c>
    </row>
    <row r="1840" spans="1:18" x14ac:dyDescent="0.2">
      <c r="A1840" s="23">
        <v>45656</v>
      </c>
      <c r="B1840" s="23">
        <v>45656</v>
      </c>
      <c r="C1840" s="25" t="s">
        <v>398</v>
      </c>
      <c r="D1840" s="20">
        <v>0</v>
      </c>
      <c r="E1840" s="27">
        <v>0</v>
      </c>
      <c r="F1840" s="22" t="s">
        <v>236</v>
      </c>
      <c r="G1840" s="29">
        <v>10560</v>
      </c>
      <c r="H1840" s="39">
        <v>45119</v>
      </c>
      <c r="I1840" s="46">
        <f t="shared" si="112"/>
        <v>537</v>
      </c>
      <c r="J1840" s="4" t="s">
        <v>12</v>
      </c>
      <c r="K1840" s="4" t="s">
        <v>197</v>
      </c>
      <c r="L1840" s="4" t="s">
        <v>223</v>
      </c>
      <c r="M1840" s="7">
        <v>10560</v>
      </c>
      <c r="N1840" s="10">
        <v>0</v>
      </c>
      <c r="O1840" s="10">
        <v>0</v>
      </c>
      <c r="P1840">
        <f t="shared" si="113"/>
        <v>1</v>
      </c>
      <c r="Q1840" s="36">
        <f t="shared" si="114"/>
        <v>0</v>
      </c>
      <c r="R1840">
        <f t="shared" si="115"/>
        <v>2023</v>
      </c>
    </row>
    <row r="1841" spans="1:18" x14ac:dyDescent="0.2">
      <c r="A1841" s="23">
        <v>45663</v>
      </c>
      <c r="B1841" s="23">
        <v>45663</v>
      </c>
      <c r="C1841" s="25" t="s">
        <v>398</v>
      </c>
      <c r="D1841" s="20">
        <v>0</v>
      </c>
      <c r="E1841" s="27">
        <v>0</v>
      </c>
      <c r="F1841" s="22" t="s">
        <v>236</v>
      </c>
      <c r="G1841" s="29">
        <v>10560</v>
      </c>
      <c r="H1841" s="39">
        <v>45119</v>
      </c>
      <c r="I1841" s="46">
        <f t="shared" si="112"/>
        <v>544</v>
      </c>
      <c r="J1841" s="4" t="s">
        <v>12</v>
      </c>
      <c r="K1841" s="4" t="s">
        <v>197</v>
      </c>
      <c r="L1841" s="4" t="s">
        <v>223</v>
      </c>
      <c r="M1841" s="7">
        <v>10560</v>
      </c>
      <c r="N1841" s="10">
        <v>0</v>
      </c>
      <c r="O1841" s="10">
        <v>0</v>
      </c>
      <c r="P1841">
        <f t="shared" si="113"/>
        <v>1</v>
      </c>
      <c r="Q1841" s="36">
        <f t="shared" si="114"/>
        <v>0</v>
      </c>
      <c r="R1841">
        <f t="shared" si="115"/>
        <v>2023</v>
      </c>
    </row>
    <row r="1842" spans="1:18" x14ac:dyDescent="0.2">
      <c r="A1842" s="23">
        <v>45670</v>
      </c>
      <c r="B1842" s="23">
        <v>45670</v>
      </c>
      <c r="C1842" s="25" t="s">
        <v>398</v>
      </c>
      <c r="D1842" s="20">
        <v>0</v>
      </c>
      <c r="E1842" s="27">
        <v>0</v>
      </c>
      <c r="F1842" s="22" t="s">
        <v>236</v>
      </c>
      <c r="G1842" s="29">
        <v>15840</v>
      </c>
      <c r="H1842" s="39">
        <v>45119</v>
      </c>
      <c r="I1842" s="46">
        <f t="shared" si="112"/>
        <v>551</v>
      </c>
      <c r="J1842" s="4" t="s">
        <v>12</v>
      </c>
      <c r="K1842" s="4" t="s">
        <v>197</v>
      </c>
      <c r="L1842" s="4" t="s">
        <v>223</v>
      </c>
      <c r="M1842" s="7">
        <v>15840</v>
      </c>
      <c r="N1842" s="10">
        <v>0</v>
      </c>
      <c r="O1842" s="10">
        <v>0</v>
      </c>
      <c r="P1842">
        <f t="shared" si="113"/>
        <v>1</v>
      </c>
      <c r="Q1842" s="36">
        <f t="shared" si="114"/>
        <v>0</v>
      </c>
      <c r="R1842">
        <f t="shared" si="115"/>
        <v>2023</v>
      </c>
    </row>
    <row r="1843" spans="1:18" x14ac:dyDescent="0.2">
      <c r="A1843" s="23">
        <v>45677</v>
      </c>
      <c r="B1843" s="23">
        <v>45677</v>
      </c>
      <c r="C1843" s="25" t="s">
        <v>398</v>
      </c>
      <c r="D1843" s="20">
        <v>0</v>
      </c>
      <c r="E1843" s="27">
        <v>0</v>
      </c>
      <c r="F1843" s="22" t="s">
        <v>236</v>
      </c>
      <c r="G1843" s="29">
        <v>10560</v>
      </c>
      <c r="H1843" s="39">
        <v>45119</v>
      </c>
      <c r="I1843" s="46">
        <f t="shared" si="112"/>
        <v>558</v>
      </c>
      <c r="J1843" s="4" t="s">
        <v>12</v>
      </c>
      <c r="K1843" s="4" t="s">
        <v>197</v>
      </c>
      <c r="L1843" s="4" t="s">
        <v>223</v>
      </c>
      <c r="M1843" s="7">
        <v>10560</v>
      </c>
      <c r="N1843" s="10">
        <v>0</v>
      </c>
      <c r="O1843" s="10">
        <v>0</v>
      </c>
      <c r="P1843">
        <f t="shared" si="113"/>
        <v>1</v>
      </c>
      <c r="Q1843" s="36">
        <f t="shared" si="114"/>
        <v>0</v>
      </c>
      <c r="R1843">
        <f t="shared" si="115"/>
        <v>2023</v>
      </c>
    </row>
    <row r="1844" spans="1:18" x14ac:dyDescent="0.2">
      <c r="A1844" s="23">
        <v>45684</v>
      </c>
      <c r="B1844" s="23">
        <v>45684</v>
      </c>
      <c r="C1844" s="25" t="s">
        <v>398</v>
      </c>
      <c r="D1844" s="20">
        <v>0</v>
      </c>
      <c r="E1844" s="27">
        <v>0</v>
      </c>
      <c r="F1844" s="22" t="s">
        <v>236</v>
      </c>
      <c r="G1844" s="29">
        <v>10560</v>
      </c>
      <c r="H1844" s="39">
        <v>45119</v>
      </c>
      <c r="I1844" s="46">
        <f t="shared" si="112"/>
        <v>565</v>
      </c>
      <c r="J1844" s="4" t="s">
        <v>12</v>
      </c>
      <c r="K1844" s="4" t="s">
        <v>197</v>
      </c>
      <c r="L1844" s="4" t="s">
        <v>223</v>
      </c>
      <c r="M1844" s="7">
        <v>10560</v>
      </c>
      <c r="N1844" s="10">
        <v>0</v>
      </c>
      <c r="O1844" s="10">
        <v>0</v>
      </c>
      <c r="P1844">
        <f t="shared" si="113"/>
        <v>1</v>
      </c>
      <c r="Q1844" s="36">
        <f t="shared" si="114"/>
        <v>0</v>
      </c>
      <c r="R1844">
        <f t="shared" si="115"/>
        <v>2023</v>
      </c>
    </row>
    <row r="1845" spans="1:18" x14ac:dyDescent="0.2">
      <c r="A1845" s="23">
        <v>45691</v>
      </c>
      <c r="B1845" s="23">
        <v>45691</v>
      </c>
      <c r="C1845" s="25" t="s">
        <v>398</v>
      </c>
      <c r="D1845" s="20">
        <v>0</v>
      </c>
      <c r="E1845" s="27">
        <v>0</v>
      </c>
      <c r="F1845" s="22" t="s">
        <v>236</v>
      </c>
      <c r="G1845" s="29">
        <v>10560</v>
      </c>
      <c r="H1845" s="39">
        <v>45119</v>
      </c>
      <c r="I1845" s="46">
        <f t="shared" si="112"/>
        <v>572</v>
      </c>
      <c r="J1845" s="4" t="s">
        <v>12</v>
      </c>
      <c r="K1845" s="4" t="s">
        <v>197</v>
      </c>
      <c r="L1845" s="4" t="s">
        <v>223</v>
      </c>
      <c r="M1845" s="7">
        <v>10560</v>
      </c>
      <c r="N1845" s="10">
        <v>0</v>
      </c>
      <c r="O1845" s="10">
        <v>0</v>
      </c>
      <c r="P1845">
        <f t="shared" si="113"/>
        <v>1</v>
      </c>
      <c r="Q1845" s="36">
        <f t="shared" si="114"/>
        <v>0</v>
      </c>
      <c r="R1845">
        <f t="shared" si="115"/>
        <v>2023</v>
      </c>
    </row>
    <row r="1846" spans="1:18" x14ac:dyDescent="0.2">
      <c r="A1846" s="23">
        <v>45698</v>
      </c>
      <c r="B1846" s="23">
        <v>45698</v>
      </c>
      <c r="C1846" s="25" t="s">
        <v>398</v>
      </c>
      <c r="D1846" s="20">
        <v>0</v>
      </c>
      <c r="E1846" s="27">
        <v>0</v>
      </c>
      <c r="F1846" s="22" t="s">
        <v>236</v>
      </c>
      <c r="G1846" s="29">
        <v>10560</v>
      </c>
      <c r="H1846" s="39">
        <v>45119</v>
      </c>
      <c r="I1846" s="46">
        <f t="shared" si="112"/>
        <v>579</v>
      </c>
      <c r="J1846" s="4" t="s">
        <v>12</v>
      </c>
      <c r="K1846" s="4" t="s">
        <v>197</v>
      </c>
      <c r="L1846" s="4" t="s">
        <v>223</v>
      </c>
      <c r="M1846" s="7">
        <v>10560</v>
      </c>
      <c r="N1846" s="10">
        <v>0</v>
      </c>
      <c r="O1846" s="10">
        <v>0</v>
      </c>
      <c r="P1846">
        <f t="shared" si="113"/>
        <v>1</v>
      </c>
      <c r="Q1846" s="36">
        <f t="shared" si="114"/>
        <v>0</v>
      </c>
      <c r="R1846">
        <f t="shared" si="115"/>
        <v>2023</v>
      </c>
    </row>
    <row r="1847" spans="1:18" x14ac:dyDescent="0.2">
      <c r="A1847" s="23">
        <v>45705</v>
      </c>
      <c r="B1847" s="23">
        <v>45705</v>
      </c>
      <c r="C1847" s="25" t="s">
        <v>398</v>
      </c>
      <c r="D1847" s="20">
        <v>0</v>
      </c>
      <c r="E1847" s="27">
        <v>0</v>
      </c>
      <c r="F1847" s="22" t="s">
        <v>236</v>
      </c>
      <c r="G1847" s="29">
        <v>10560</v>
      </c>
      <c r="H1847" s="39">
        <v>45119</v>
      </c>
      <c r="I1847" s="46">
        <f t="shared" si="112"/>
        <v>586</v>
      </c>
      <c r="J1847" s="4" t="s">
        <v>12</v>
      </c>
      <c r="K1847" s="4" t="s">
        <v>197</v>
      </c>
      <c r="L1847" s="4" t="s">
        <v>223</v>
      </c>
      <c r="M1847" s="7">
        <v>10560</v>
      </c>
      <c r="N1847" s="10">
        <v>0</v>
      </c>
      <c r="O1847" s="10">
        <v>0</v>
      </c>
      <c r="P1847">
        <f t="shared" si="113"/>
        <v>1</v>
      </c>
      <c r="Q1847" s="36">
        <f t="shared" si="114"/>
        <v>0</v>
      </c>
      <c r="R1847">
        <f t="shared" si="115"/>
        <v>2023</v>
      </c>
    </row>
    <row r="1848" spans="1:18" x14ac:dyDescent="0.2">
      <c r="A1848" s="23">
        <v>45712</v>
      </c>
      <c r="B1848" s="23">
        <v>45712</v>
      </c>
      <c r="C1848" s="25" t="s">
        <v>398</v>
      </c>
      <c r="D1848" s="20">
        <v>0</v>
      </c>
      <c r="E1848" s="27">
        <v>0</v>
      </c>
      <c r="F1848" s="22" t="s">
        <v>236</v>
      </c>
      <c r="G1848" s="29">
        <v>108240</v>
      </c>
      <c r="H1848" s="39">
        <v>45119</v>
      </c>
      <c r="I1848" s="46">
        <f t="shared" si="112"/>
        <v>593</v>
      </c>
      <c r="J1848" s="4" t="s">
        <v>12</v>
      </c>
      <c r="K1848" s="4" t="s">
        <v>197</v>
      </c>
      <c r="L1848" s="4" t="s">
        <v>223</v>
      </c>
      <c r="M1848" s="7">
        <v>108240</v>
      </c>
      <c r="N1848" s="10">
        <v>0</v>
      </c>
      <c r="O1848" s="10">
        <v>0</v>
      </c>
      <c r="P1848">
        <f t="shared" si="113"/>
        <v>1</v>
      </c>
      <c r="Q1848" s="36">
        <f t="shared" si="114"/>
        <v>0</v>
      </c>
      <c r="R1848">
        <f t="shared" si="115"/>
        <v>2023</v>
      </c>
    </row>
    <row r="1849" spans="1:18" x14ac:dyDescent="0.2">
      <c r="A1849" s="23">
        <v>45194</v>
      </c>
      <c r="B1849" s="23">
        <v>45194</v>
      </c>
      <c r="C1849" s="25" t="s">
        <v>398</v>
      </c>
      <c r="D1849" s="20">
        <v>0</v>
      </c>
      <c r="E1849" s="27">
        <v>0</v>
      </c>
      <c r="F1849" s="22" t="s">
        <v>234</v>
      </c>
      <c r="G1849" s="29">
        <v>15900</v>
      </c>
      <c r="H1849" s="39">
        <v>45005</v>
      </c>
      <c r="I1849" s="46">
        <f t="shared" si="112"/>
        <v>189</v>
      </c>
      <c r="J1849" s="4" t="s">
        <v>12</v>
      </c>
      <c r="K1849" s="4" t="s">
        <v>197</v>
      </c>
      <c r="L1849" s="4" t="s">
        <v>223</v>
      </c>
      <c r="M1849" s="7">
        <v>15900</v>
      </c>
      <c r="N1849" s="10">
        <v>0</v>
      </c>
      <c r="O1849" s="10">
        <v>0</v>
      </c>
      <c r="P1849">
        <f t="shared" si="113"/>
        <v>1</v>
      </c>
      <c r="Q1849" s="36">
        <f t="shared" si="114"/>
        <v>0</v>
      </c>
      <c r="R1849">
        <f t="shared" si="115"/>
        <v>2023</v>
      </c>
    </row>
    <row r="1850" spans="1:18" x14ac:dyDescent="0.2">
      <c r="A1850" s="23">
        <v>45201</v>
      </c>
      <c r="B1850" s="23">
        <v>45201</v>
      </c>
      <c r="C1850" s="25" t="s">
        <v>398</v>
      </c>
      <c r="D1850" s="20">
        <v>0</v>
      </c>
      <c r="E1850" s="27">
        <v>0</v>
      </c>
      <c r="F1850" s="22" t="s">
        <v>234</v>
      </c>
      <c r="G1850" s="29">
        <v>15900</v>
      </c>
      <c r="H1850" s="39">
        <v>45005</v>
      </c>
      <c r="I1850" s="46">
        <f t="shared" si="112"/>
        <v>196</v>
      </c>
      <c r="J1850" s="4" t="s">
        <v>12</v>
      </c>
      <c r="K1850" s="4" t="s">
        <v>197</v>
      </c>
      <c r="L1850" s="4" t="s">
        <v>223</v>
      </c>
      <c r="M1850" s="7">
        <v>15900</v>
      </c>
      <c r="N1850" s="10">
        <v>0</v>
      </c>
      <c r="O1850" s="10">
        <v>0</v>
      </c>
      <c r="P1850">
        <f t="shared" si="113"/>
        <v>1</v>
      </c>
      <c r="Q1850" s="36">
        <f t="shared" si="114"/>
        <v>0</v>
      </c>
      <c r="R1850">
        <f t="shared" si="115"/>
        <v>2023</v>
      </c>
    </row>
    <row r="1851" spans="1:18" x14ac:dyDescent="0.2">
      <c r="A1851" s="23">
        <v>45208</v>
      </c>
      <c r="B1851" s="23">
        <v>45208</v>
      </c>
      <c r="C1851" s="25" t="s">
        <v>398</v>
      </c>
      <c r="D1851" s="20">
        <v>0</v>
      </c>
      <c r="E1851" s="27">
        <v>0</v>
      </c>
      <c r="F1851" s="22" t="s">
        <v>234</v>
      </c>
      <c r="G1851" s="29">
        <v>10600</v>
      </c>
      <c r="H1851" s="39">
        <v>45005</v>
      </c>
      <c r="I1851" s="46">
        <f t="shared" si="112"/>
        <v>203</v>
      </c>
      <c r="J1851" s="4" t="s">
        <v>12</v>
      </c>
      <c r="K1851" s="4" t="s">
        <v>197</v>
      </c>
      <c r="L1851" s="4" t="s">
        <v>223</v>
      </c>
      <c r="M1851" s="7">
        <v>10600</v>
      </c>
      <c r="N1851" s="10">
        <v>0</v>
      </c>
      <c r="O1851" s="10">
        <v>0</v>
      </c>
      <c r="P1851">
        <f t="shared" si="113"/>
        <v>1</v>
      </c>
      <c r="Q1851" s="36">
        <f t="shared" si="114"/>
        <v>0</v>
      </c>
      <c r="R1851">
        <f t="shared" si="115"/>
        <v>2023</v>
      </c>
    </row>
    <row r="1852" spans="1:18" x14ac:dyDescent="0.2">
      <c r="A1852" s="23">
        <v>45215</v>
      </c>
      <c r="B1852" s="23">
        <v>45215</v>
      </c>
      <c r="C1852" s="25" t="s">
        <v>398</v>
      </c>
      <c r="D1852" s="20">
        <v>0</v>
      </c>
      <c r="E1852" s="27">
        <v>0</v>
      </c>
      <c r="F1852" s="22" t="s">
        <v>234</v>
      </c>
      <c r="G1852" s="29">
        <v>10600</v>
      </c>
      <c r="H1852" s="39">
        <v>45005</v>
      </c>
      <c r="I1852" s="46">
        <f t="shared" si="112"/>
        <v>210</v>
      </c>
      <c r="J1852" s="4" t="s">
        <v>12</v>
      </c>
      <c r="K1852" s="4" t="s">
        <v>197</v>
      </c>
      <c r="L1852" s="4" t="s">
        <v>223</v>
      </c>
      <c r="M1852" s="7">
        <v>10600</v>
      </c>
      <c r="N1852" s="10">
        <v>0</v>
      </c>
      <c r="O1852" s="10">
        <v>0</v>
      </c>
      <c r="P1852">
        <f t="shared" si="113"/>
        <v>1</v>
      </c>
      <c r="Q1852" s="36">
        <f t="shared" si="114"/>
        <v>0</v>
      </c>
      <c r="R1852">
        <f t="shared" si="115"/>
        <v>2023</v>
      </c>
    </row>
    <row r="1853" spans="1:18" x14ac:dyDescent="0.2">
      <c r="A1853" s="23">
        <v>45222</v>
      </c>
      <c r="B1853" s="23">
        <v>45222</v>
      </c>
      <c r="C1853" s="25" t="s">
        <v>398</v>
      </c>
      <c r="D1853" s="20">
        <v>0</v>
      </c>
      <c r="E1853" s="27">
        <v>0</v>
      </c>
      <c r="F1853" s="22" t="s">
        <v>234</v>
      </c>
      <c r="G1853" s="29">
        <v>17927</v>
      </c>
      <c r="H1853" s="39">
        <v>45005</v>
      </c>
      <c r="I1853" s="46">
        <f t="shared" si="112"/>
        <v>217</v>
      </c>
      <c r="J1853" s="4" t="s">
        <v>12</v>
      </c>
      <c r="K1853" s="4" t="s">
        <v>197</v>
      </c>
      <c r="L1853" s="4" t="s">
        <v>223</v>
      </c>
      <c r="M1853" s="7">
        <v>17927</v>
      </c>
      <c r="N1853" s="10">
        <v>0</v>
      </c>
      <c r="O1853" s="10">
        <v>0</v>
      </c>
      <c r="P1853">
        <f t="shared" si="113"/>
        <v>1</v>
      </c>
      <c r="Q1853" s="36">
        <f t="shared" si="114"/>
        <v>0</v>
      </c>
      <c r="R1853">
        <f t="shared" si="115"/>
        <v>2023</v>
      </c>
    </row>
    <row r="1854" spans="1:18" x14ac:dyDescent="0.2">
      <c r="A1854" s="23">
        <v>45229</v>
      </c>
      <c r="B1854" s="23">
        <v>45229</v>
      </c>
      <c r="C1854" s="25" t="s">
        <v>398</v>
      </c>
      <c r="D1854" s="20">
        <v>0</v>
      </c>
      <c r="E1854" s="27">
        <v>0</v>
      </c>
      <c r="F1854" s="22" t="s">
        <v>234</v>
      </c>
      <c r="G1854" s="29">
        <v>15840</v>
      </c>
      <c r="H1854" s="39">
        <v>45005</v>
      </c>
      <c r="I1854" s="46">
        <f t="shared" si="112"/>
        <v>224</v>
      </c>
      <c r="J1854" s="4" t="s">
        <v>12</v>
      </c>
      <c r="K1854" s="4" t="s">
        <v>197</v>
      </c>
      <c r="L1854" s="4" t="s">
        <v>223</v>
      </c>
      <c r="M1854" s="7">
        <v>15840</v>
      </c>
      <c r="N1854" s="10">
        <v>0</v>
      </c>
      <c r="O1854" s="10">
        <v>0</v>
      </c>
      <c r="P1854">
        <f t="shared" si="113"/>
        <v>1</v>
      </c>
      <c r="Q1854" s="36">
        <f t="shared" si="114"/>
        <v>0</v>
      </c>
      <c r="R1854">
        <f t="shared" si="115"/>
        <v>2023</v>
      </c>
    </row>
    <row r="1855" spans="1:18" x14ac:dyDescent="0.2">
      <c r="A1855" s="23">
        <v>45236</v>
      </c>
      <c r="B1855" s="23">
        <v>45236</v>
      </c>
      <c r="C1855" s="25" t="s">
        <v>398</v>
      </c>
      <c r="D1855" s="20">
        <v>0</v>
      </c>
      <c r="E1855" s="27">
        <v>0</v>
      </c>
      <c r="F1855" s="22" t="s">
        <v>234</v>
      </c>
      <c r="G1855" s="29">
        <v>18520</v>
      </c>
      <c r="H1855" s="39">
        <v>45005</v>
      </c>
      <c r="I1855" s="46">
        <f t="shared" si="112"/>
        <v>231</v>
      </c>
      <c r="J1855" s="4" t="s">
        <v>12</v>
      </c>
      <c r="K1855" s="4" t="s">
        <v>197</v>
      </c>
      <c r="L1855" s="4" t="s">
        <v>223</v>
      </c>
      <c r="M1855" s="7">
        <v>18520</v>
      </c>
      <c r="N1855" s="10">
        <v>0</v>
      </c>
      <c r="O1855" s="10">
        <v>0</v>
      </c>
      <c r="P1855">
        <f t="shared" si="113"/>
        <v>1</v>
      </c>
      <c r="Q1855" s="36">
        <f t="shared" si="114"/>
        <v>0</v>
      </c>
      <c r="R1855">
        <f t="shared" si="115"/>
        <v>2023</v>
      </c>
    </row>
    <row r="1856" spans="1:18" x14ac:dyDescent="0.2">
      <c r="A1856" s="23">
        <v>45243</v>
      </c>
      <c r="B1856" s="23">
        <v>45243</v>
      </c>
      <c r="C1856" s="25" t="s">
        <v>398</v>
      </c>
      <c r="D1856" s="20">
        <v>0</v>
      </c>
      <c r="E1856" s="27">
        <v>0</v>
      </c>
      <c r="F1856" s="22" t="s">
        <v>234</v>
      </c>
      <c r="G1856" s="29">
        <v>15840</v>
      </c>
      <c r="H1856" s="39">
        <v>45005</v>
      </c>
      <c r="I1856" s="46">
        <f t="shared" si="112"/>
        <v>238</v>
      </c>
      <c r="J1856" s="4" t="s">
        <v>12</v>
      </c>
      <c r="K1856" s="4" t="s">
        <v>197</v>
      </c>
      <c r="L1856" s="4" t="s">
        <v>223</v>
      </c>
      <c r="M1856" s="7">
        <v>15840</v>
      </c>
      <c r="N1856" s="10">
        <v>0</v>
      </c>
      <c r="O1856" s="10">
        <v>0</v>
      </c>
      <c r="P1856">
        <f t="shared" si="113"/>
        <v>1</v>
      </c>
      <c r="Q1856" s="36">
        <f t="shared" si="114"/>
        <v>0</v>
      </c>
      <c r="R1856">
        <f t="shared" si="115"/>
        <v>2023</v>
      </c>
    </row>
    <row r="1857" spans="1:18" x14ac:dyDescent="0.2">
      <c r="A1857" s="23">
        <v>45250</v>
      </c>
      <c r="B1857" s="23">
        <v>45250</v>
      </c>
      <c r="C1857" s="25" t="s">
        <v>398</v>
      </c>
      <c r="D1857" s="20">
        <v>0</v>
      </c>
      <c r="E1857" s="27">
        <v>0</v>
      </c>
      <c r="F1857" s="22" t="s">
        <v>234</v>
      </c>
      <c r="G1857" s="29">
        <v>6096</v>
      </c>
      <c r="H1857" s="39">
        <v>45005</v>
      </c>
      <c r="I1857" s="46">
        <f t="shared" si="112"/>
        <v>245</v>
      </c>
      <c r="J1857" s="4" t="s">
        <v>12</v>
      </c>
      <c r="K1857" s="4" t="s">
        <v>197</v>
      </c>
      <c r="L1857" s="4" t="s">
        <v>223</v>
      </c>
      <c r="M1857" s="7">
        <v>6096</v>
      </c>
      <c r="N1857" s="10">
        <v>0</v>
      </c>
      <c r="O1857" s="10">
        <v>0</v>
      </c>
      <c r="P1857">
        <f t="shared" si="113"/>
        <v>1</v>
      </c>
      <c r="Q1857" s="36">
        <f t="shared" si="114"/>
        <v>0</v>
      </c>
      <c r="R1857">
        <f t="shared" si="115"/>
        <v>2023</v>
      </c>
    </row>
    <row r="1858" spans="1:18" x14ac:dyDescent="0.2">
      <c r="A1858" s="23">
        <v>45257</v>
      </c>
      <c r="B1858" s="23">
        <v>45257</v>
      </c>
      <c r="C1858" s="25" t="s">
        <v>398</v>
      </c>
      <c r="D1858" s="20">
        <v>0</v>
      </c>
      <c r="E1858" s="27">
        <v>0</v>
      </c>
      <c r="F1858" s="22" t="s">
        <v>234</v>
      </c>
      <c r="G1858" s="29">
        <v>15840</v>
      </c>
      <c r="H1858" s="39">
        <v>45005</v>
      </c>
      <c r="I1858" s="46">
        <f t="shared" si="112"/>
        <v>252</v>
      </c>
      <c r="J1858" s="4" t="s">
        <v>12</v>
      </c>
      <c r="K1858" s="4" t="s">
        <v>197</v>
      </c>
      <c r="L1858" s="4" t="s">
        <v>223</v>
      </c>
      <c r="M1858" s="7">
        <v>15840</v>
      </c>
      <c r="N1858" s="10">
        <v>0</v>
      </c>
      <c r="O1858" s="10">
        <v>0</v>
      </c>
      <c r="P1858">
        <f t="shared" si="113"/>
        <v>1</v>
      </c>
      <c r="Q1858" s="36">
        <f t="shared" si="114"/>
        <v>0</v>
      </c>
      <c r="R1858">
        <f t="shared" si="115"/>
        <v>2023</v>
      </c>
    </row>
    <row r="1859" spans="1:18" x14ac:dyDescent="0.2">
      <c r="A1859" s="23">
        <v>45264</v>
      </c>
      <c r="B1859" s="23">
        <v>45264</v>
      </c>
      <c r="C1859" s="25" t="s">
        <v>398</v>
      </c>
      <c r="D1859" s="20">
        <v>0</v>
      </c>
      <c r="E1859" s="27">
        <v>0</v>
      </c>
      <c r="F1859" s="22" t="s">
        <v>234</v>
      </c>
      <c r="G1859" s="29">
        <v>15840</v>
      </c>
      <c r="H1859" s="39">
        <v>45005</v>
      </c>
      <c r="I1859" s="46">
        <f t="shared" ref="I1859:I1922" si="116">IFERROR(A1859-H1859,"")*1</f>
        <v>259</v>
      </c>
      <c r="J1859" s="4" t="s">
        <v>12</v>
      </c>
      <c r="K1859" s="4" t="s">
        <v>197</v>
      </c>
      <c r="L1859" s="4" t="s">
        <v>223</v>
      </c>
      <c r="M1859" s="7">
        <v>15840</v>
      </c>
      <c r="N1859" s="10">
        <v>0</v>
      </c>
      <c r="O1859" s="10">
        <v>0</v>
      </c>
      <c r="P1859">
        <f t="shared" ref="P1859:P1922" si="117">IF(M1859=G1859,1,0)</f>
        <v>1</v>
      </c>
      <c r="Q1859" s="36">
        <f t="shared" ref="Q1859:Q1922" si="118">N1859*G1859</f>
        <v>0</v>
      </c>
      <c r="R1859">
        <f t="shared" ref="R1859:R1922" si="119">YEAR(H1859)</f>
        <v>2023</v>
      </c>
    </row>
    <row r="1860" spans="1:18" x14ac:dyDescent="0.2">
      <c r="A1860" s="23">
        <v>45278</v>
      </c>
      <c r="B1860" s="23">
        <v>45278</v>
      </c>
      <c r="C1860" s="25" t="s">
        <v>398</v>
      </c>
      <c r="D1860" s="20">
        <v>0</v>
      </c>
      <c r="E1860" s="27">
        <v>0</v>
      </c>
      <c r="F1860" s="22" t="s">
        <v>234</v>
      </c>
      <c r="G1860" s="29">
        <v>15840</v>
      </c>
      <c r="H1860" s="39">
        <v>45005</v>
      </c>
      <c r="I1860" s="46">
        <f t="shared" si="116"/>
        <v>273</v>
      </c>
      <c r="J1860" s="4" t="s">
        <v>12</v>
      </c>
      <c r="K1860" s="4" t="s">
        <v>197</v>
      </c>
      <c r="L1860" s="4" t="s">
        <v>223</v>
      </c>
      <c r="M1860" s="7">
        <v>15840</v>
      </c>
      <c r="N1860" s="10">
        <v>0</v>
      </c>
      <c r="O1860" s="10">
        <v>0</v>
      </c>
      <c r="P1860">
        <f t="shared" si="117"/>
        <v>1</v>
      </c>
      <c r="Q1860" s="36">
        <f t="shared" si="118"/>
        <v>0</v>
      </c>
      <c r="R1860">
        <f t="shared" si="119"/>
        <v>2023</v>
      </c>
    </row>
    <row r="1861" spans="1:18" x14ac:dyDescent="0.2">
      <c r="A1861" s="23">
        <v>45285</v>
      </c>
      <c r="B1861" s="23">
        <v>45285</v>
      </c>
      <c r="C1861" s="25" t="s">
        <v>398</v>
      </c>
      <c r="D1861" s="20">
        <v>0</v>
      </c>
      <c r="E1861" s="27">
        <v>0</v>
      </c>
      <c r="F1861" s="22" t="s">
        <v>234</v>
      </c>
      <c r="G1861" s="29">
        <v>21120</v>
      </c>
      <c r="H1861" s="39">
        <v>45005</v>
      </c>
      <c r="I1861" s="46">
        <f t="shared" si="116"/>
        <v>280</v>
      </c>
      <c r="J1861" s="4" t="s">
        <v>12</v>
      </c>
      <c r="K1861" s="4" t="s">
        <v>197</v>
      </c>
      <c r="L1861" s="4" t="s">
        <v>223</v>
      </c>
      <c r="M1861" s="7">
        <v>21120</v>
      </c>
      <c r="N1861" s="10">
        <v>0</v>
      </c>
      <c r="O1861" s="10">
        <v>0</v>
      </c>
      <c r="P1861">
        <f t="shared" si="117"/>
        <v>1</v>
      </c>
      <c r="Q1861" s="36">
        <f t="shared" si="118"/>
        <v>0</v>
      </c>
      <c r="R1861">
        <f t="shared" si="119"/>
        <v>2023</v>
      </c>
    </row>
    <row r="1862" spans="1:18" x14ac:dyDescent="0.2">
      <c r="A1862" s="23">
        <v>45194</v>
      </c>
      <c r="B1862" s="23">
        <v>45194</v>
      </c>
      <c r="C1862" s="25" t="s">
        <v>398</v>
      </c>
      <c r="D1862" s="20">
        <v>0</v>
      </c>
      <c r="E1862" s="27">
        <v>0</v>
      </c>
      <c r="F1862" s="22" t="s">
        <v>233</v>
      </c>
      <c r="G1862" s="29">
        <v>31800</v>
      </c>
      <c r="H1862" s="39">
        <v>45005</v>
      </c>
      <c r="I1862" s="46">
        <f t="shared" si="116"/>
        <v>189</v>
      </c>
      <c r="J1862" s="4" t="s">
        <v>12</v>
      </c>
      <c r="K1862" s="4" t="s">
        <v>197</v>
      </c>
      <c r="L1862" s="4" t="s">
        <v>223</v>
      </c>
      <c r="M1862" s="7">
        <v>31800</v>
      </c>
      <c r="N1862" s="10">
        <v>0</v>
      </c>
      <c r="O1862" s="10">
        <v>0</v>
      </c>
      <c r="P1862">
        <f t="shared" si="117"/>
        <v>1</v>
      </c>
      <c r="Q1862" s="36">
        <f t="shared" si="118"/>
        <v>0</v>
      </c>
      <c r="R1862">
        <f t="shared" si="119"/>
        <v>2023</v>
      </c>
    </row>
    <row r="1863" spans="1:18" x14ac:dyDescent="0.2">
      <c r="A1863" s="23">
        <v>45201</v>
      </c>
      <c r="B1863" s="23">
        <v>45201</v>
      </c>
      <c r="C1863" s="25" t="s">
        <v>398</v>
      </c>
      <c r="D1863" s="20">
        <v>0</v>
      </c>
      <c r="E1863" s="27">
        <v>0</v>
      </c>
      <c r="F1863" s="22" t="s">
        <v>233</v>
      </c>
      <c r="G1863" s="29">
        <v>31800</v>
      </c>
      <c r="H1863" s="39">
        <v>45005</v>
      </c>
      <c r="I1863" s="46">
        <f t="shared" si="116"/>
        <v>196</v>
      </c>
      <c r="J1863" s="4" t="s">
        <v>12</v>
      </c>
      <c r="K1863" s="4" t="s">
        <v>197</v>
      </c>
      <c r="L1863" s="4" t="s">
        <v>223</v>
      </c>
      <c r="M1863" s="7">
        <v>31800</v>
      </c>
      <c r="N1863" s="10">
        <v>0</v>
      </c>
      <c r="O1863" s="10">
        <v>0</v>
      </c>
      <c r="P1863">
        <f t="shared" si="117"/>
        <v>1</v>
      </c>
      <c r="Q1863" s="36">
        <f t="shared" si="118"/>
        <v>0</v>
      </c>
      <c r="R1863">
        <f t="shared" si="119"/>
        <v>2023</v>
      </c>
    </row>
    <row r="1864" spans="1:18" x14ac:dyDescent="0.2">
      <c r="A1864" s="23">
        <v>45208</v>
      </c>
      <c r="B1864" s="23">
        <v>45208</v>
      </c>
      <c r="C1864" s="25" t="s">
        <v>398</v>
      </c>
      <c r="D1864" s="20">
        <v>0</v>
      </c>
      <c r="E1864" s="27">
        <v>0</v>
      </c>
      <c r="F1864" s="22" t="s">
        <v>233</v>
      </c>
      <c r="G1864" s="29">
        <v>26500</v>
      </c>
      <c r="H1864" s="39">
        <v>45005</v>
      </c>
      <c r="I1864" s="46">
        <f t="shared" si="116"/>
        <v>203</v>
      </c>
      <c r="J1864" s="4" t="s">
        <v>12</v>
      </c>
      <c r="K1864" s="4" t="s">
        <v>197</v>
      </c>
      <c r="L1864" s="4" t="s">
        <v>223</v>
      </c>
      <c r="M1864" s="7">
        <v>26500</v>
      </c>
      <c r="N1864" s="10">
        <v>0</v>
      </c>
      <c r="O1864" s="10">
        <v>0</v>
      </c>
      <c r="P1864">
        <f t="shared" si="117"/>
        <v>1</v>
      </c>
      <c r="Q1864" s="36">
        <f t="shared" si="118"/>
        <v>0</v>
      </c>
      <c r="R1864">
        <f t="shared" si="119"/>
        <v>2023</v>
      </c>
    </row>
    <row r="1865" spans="1:18" x14ac:dyDescent="0.2">
      <c r="A1865" s="23">
        <v>45215</v>
      </c>
      <c r="B1865" s="23">
        <v>45215</v>
      </c>
      <c r="C1865" s="25" t="s">
        <v>398</v>
      </c>
      <c r="D1865" s="20">
        <v>0</v>
      </c>
      <c r="E1865" s="27">
        <v>0</v>
      </c>
      <c r="F1865" s="22" t="s">
        <v>233</v>
      </c>
      <c r="G1865" s="29">
        <v>15900</v>
      </c>
      <c r="H1865" s="39">
        <v>45005</v>
      </c>
      <c r="I1865" s="46">
        <f t="shared" si="116"/>
        <v>210</v>
      </c>
      <c r="J1865" s="4" t="s">
        <v>12</v>
      </c>
      <c r="K1865" s="4" t="s">
        <v>197</v>
      </c>
      <c r="L1865" s="4" t="s">
        <v>223</v>
      </c>
      <c r="M1865" s="7">
        <v>15900</v>
      </c>
      <c r="N1865" s="10">
        <v>0</v>
      </c>
      <c r="O1865" s="10">
        <v>0</v>
      </c>
      <c r="P1865">
        <f t="shared" si="117"/>
        <v>1</v>
      </c>
      <c r="Q1865" s="36">
        <f t="shared" si="118"/>
        <v>0</v>
      </c>
      <c r="R1865">
        <f t="shared" si="119"/>
        <v>2023</v>
      </c>
    </row>
    <row r="1866" spans="1:18" x14ac:dyDescent="0.2">
      <c r="A1866" s="23">
        <v>45222</v>
      </c>
      <c r="B1866" s="23">
        <v>45222</v>
      </c>
      <c r="C1866" s="25" t="s">
        <v>398</v>
      </c>
      <c r="D1866" s="20">
        <v>0</v>
      </c>
      <c r="E1866" s="27">
        <v>0</v>
      </c>
      <c r="F1866" s="22" t="s">
        <v>233</v>
      </c>
      <c r="G1866" s="29">
        <v>33667</v>
      </c>
      <c r="H1866" s="39">
        <v>45005</v>
      </c>
      <c r="I1866" s="46">
        <f t="shared" si="116"/>
        <v>217</v>
      </c>
      <c r="J1866" s="4" t="s">
        <v>12</v>
      </c>
      <c r="K1866" s="4" t="s">
        <v>197</v>
      </c>
      <c r="L1866" s="4" t="s">
        <v>223</v>
      </c>
      <c r="M1866" s="7">
        <v>33667</v>
      </c>
      <c r="N1866" s="10">
        <v>0</v>
      </c>
      <c r="O1866" s="10">
        <v>0</v>
      </c>
      <c r="P1866">
        <f t="shared" si="117"/>
        <v>1</v>
      </c>
      <c r="Q1866" s="36">
        <f t="shared" si="118"/>
        <v>0</v>
      </c>
      <c r="R1866">
        <f t="shared" si="119"/>
        <v>2023</v>
      </c>
    </row>
    <row r="1867" spans="1:18" x14ac:dyDescent="0.2">
      <c r="A1867" s="23">
        <v>45229</v>
      </c>
      <c r="B1867" s="23">
        <v>45229</v>
      </c>
      <c r="C1867" s="25" t="s">
        <v>398</v>
      </c>
      <c r="D1867" s="20">
        <v>0</v>
      </c>
      <c r="E1867" s="27">
        <v>0</v>
      </c>
      <c r="F1867" s="22" t="s">
        <v>233</v>
      </c>
      <c r="G1867" s="29">
        <v>36980</v>
      </c>
      <c r="H1867" s="39">
        <v>45005</v>
      </c>
      <c r="I1867" s="46">
        <f t="shared" si="116"/>
        <v>224</v>
      </c>
      <c r="J1867" s="4" t="s">
        <v>12</v>
      </c>
      <c r="K1867" s="4" t="s">
        <v>197</v>
      </c>
      <c r="L1867" s="4" t="s">
        <v>223</v>
      </c>
      <c r="M1867" s="7">
        <v>36980</v>
      </c>
      <c r="N1867" s="10">
        <v>0</v>
      </c>
      <c r="O1867" s="10">
        <v>0</v>
      </c>
      <c r="P1867">
        <f t="shared" si="117"/>
        <v>1</v>
      </c>
      <c r="Q1867" s="36">
        <f t="shared" si="118"/>
        <v>0</v>
      </c>
      <c r="R1867">
        <f t="shared" si="119"/>
        <v>2023</v>
      </c>
    </row>
    <row r="1868" spans="1:18" x14ac:dyDescent="0.2">
      <c r="A1868" s="23">
        <v>45236</v>
      </c>
      <c r="B1868" s="23">
        <v>45236</v>
      </c>
      <c r="C1868" s="25" t="s">
        <v>398</v>
      </c>
      <c r="D1868" s="20">
        <v>0</v>
      </c>
      <c r="E1868" s="27">
        <v>0</v>
      </c>
      <c r="F1868" s="22" t="s">
        <v>233</v>
      </c>
      <c r="G1868" s="29">
        <v>34360</v>
      </c>
      <c r="H1868" s="39">
        <v>45005</v>
      </c>
      <c r="I1868" s="46">
        <f t="shared" si="116"/>
        <v>231</v>
      </c>
      <c r="J1868" s="4" t="s">
        <v>12</v>
      </c>
      <c r="K1868" s="4" t="s">
        <v>197</v>
      </c>
      <c r="L1868" s="4" t="s">
        <v>223</v>
      </c>
      <c r="M1868" s="7">
        <v>34360</v>
      </c>
      <c r="N1868" s="10">
        <v>0</v>
      </c>
      <c r="O1868" s="10">
        <v>0</v>
      </c>
      <c r="P1868">
        <f t="shared" si="117"/>
        <v>1</v>
      </c>
      <c r="Q1868" s="36">
        <f t="shared" si="118"/>
        <v>0</v>
      </c>
      <c r="R1868">
        <f t="shared" si="119"/>
        <v>2023</v>
      </c>
    </row>
    <row r="1869" spans="1:18" x14ac:dyDescent="0.2">
      <c r="A1869" s="23">
        <v>45243</v>
      </c>
      <c r="B1869" s="23">
        <v>45243</v>
      </c>
      <c r="C1869" s="25" t="s">
        <v>398</v>
      </c>
      <c r="D1869" s="20">
        <v>0</v>
      </c>
      <c r="E1869" s="27">
        <v>0</v>
      </c>
      <c r="F1869" s="22" t="s">
        <v>233</v>
      </c>
      <c r="G1869" s="29">
        <v>34360</v>
      </c>
      <c r="H1869" s="39">
        <v>45005</v>
      </c>
      <c r="I1869" s="46">
        <f t="shared" si="116"/>
        <v>238</v>
      </c>
      <c r="J1869" s="4" t="s">
        <v>12</v>
      </c>
      <c r="K1869" s="4" t="s">
        <v>197</v>
      </c>
      <c r="L1869" s="4" t="s">
        <v>223</v>
      </c>
      <c r="M1869" s="7">
        <v>34360</v>
      </c>
      <c r="N1869" s="10">
        <v>0</v>
      </c>
      <c r="O1869" s="10">
        <v>0</v>
      </c>
      <c r="P1869">
        <f t="shared" si="117"/>
        <v>1</v>
      </c>
      <c r="Q1869" s="36">
        <f t="shared" si="118"/>
        <v>0</v>
      </c>
      <c r="R1869">
        <f t="shared" si="119"/>
        <v>2023</v>
      </c>
    </row>
    <row r="1870" spans="1:18" x14ac:dyDescent="0.2">
      <c r="A1870" s="23">
        <v>45250</v>
      </c>
      <c r="B1870" s="23">
        <v>45250</v>
      </c>
      <c r="C1870" s="25" t="s">
        <v>398</v>
      </c>
      <c r="D1870" s="20">
        <v>0</v>
      </c>
      <c r="E1870" s="27">
        <v>0</v>
      </c>
      <c r="F1870" s="22" t="s">
        <v>233</v>
      </c>
      <c r="G1870" s="29">
        <v>18197</v>
      </c>
      <c r="H1870" s="39">
        <v>45005</v>
      </c>
      <c r="I1870" s="46">
        <f t="shared" si="116"/>
        <v>245</v>
      </c>
      <c r="J1870" s="4" t="s">
        <v>12</v>
      </c>
      <c r="K1870" s="4" t="s">
        <v>197</v>
      </c>
      <c r="L1870" s="4" t="s">
        <v>223</v>
      </c>
      <c r="M1870" s="7">
        <v>18197</v>
      </c>
      <c r="N1870" s="10">
        <v>0</v>
      </c>
      <c r="O1870" s="10">
        <v>0</v>
      </c>
      <c r="P1870">
        <f t="shared" si="117"/>
        <v>1</v>
      </c>
      <c r="Q1870" s="36">
        <f t="shared" si="118"/>
        <v>0</v>
      </c>
      <c r="R1870">
        <f t="shared" si="119"/>
        <v>2023</v>
      </c>
    </row>
    <row r="1871" spans="1:18" x14ac:dyDescent="0.2">
      <c r="A1871" s="23">
        <v>45257</v>
      </c>
      <c r="B1871" s="23">
        <v>45257</v>
      </c>
      <c r="C1871" s="25" t="s">
        <v>398</v>
      </c>
      <c r="D1871" s="20">
        <v>0</v>
      </c>
      <c r="E1871" s="27">
        <v>0</v>
      </c>
      <c r="F1871" s="22" t="s">
        <v>233</v>
      </c>
      <c r="G1871" s="29">
        <v>21936</v>
      </c>
      <c r="H1871" s="39">
        <v>45005</v>
      </c>
      <c r="I1871" s="46">
        <f t="shared" si="116"/>
        <v>252</v>
      </c>
      <c r="J1871" s="4" t="s">
        <v>12</v>
      </c>
      <c r="K1871" s="4" t="s">
        <v>197</v>
      </c>
      <c r="L1871" s="4" t="s">
        <v>223</v>
      </c>
      <c r="M1871" s="7">
        <v>21936</v>
      </c>
      <c r="N1871" s="10">
        <v>0</v>
      </c>
      <c r="O1871" s="10">
        <v>0</v>
      </c>
      <c r="P1871">
        <f t="shared" si="117"/>
        <v>1</v>
      </c>
      <c r="Q1871" s="36">
        <f t="shared" si="118"/>
        <v>0</v>
      </c>
      <c r="R1871">
        <f t="shared" si="119"/>
        <v>2023</v>
      </c>
    </row>
    <row r="1872" spans="1:18" x14ac:dyDescent="0.2">
      <c r="A1872" s="23">
        <v>45264</v>
      </c>
      <c r="B1872" s="23">
        <v>45264</v>
      </c>
      <c r="C1872" s="25" t="s">
        <v>398</v>
      </c>
      <c r="D1872" s="20">
        <v>0</v>
      </c>
      <c r="E1872" s="27">
        <v>0</v>
      </c>
      <c r="F1872" s="22" t="s">
        <v>233</v>
      </c>
      <c r="G1872" s="29">
        <v>31680</v>
      </c>
      <c r="H1872" s="39">
        <v>45005</v>
      </c>
      <c r="I1872" s="46">
        <f t="shared" si="116"/>
        <v>259</v>
      </c>
      <c r="J1872" s="4" t="s">
        <v>12</v>
      </c>
      <c r="K1872" s="4" t="s">
        <v>197</v>
      </c>
      <c r="L1872" s="4" t="s">
        <v>223</v>
      </c>
      <c r="M1872" s="7">
        <v>31680</v>
      </c>
      <c r="N1872" s="10">
        <v>0</v>
      </c>
      <c r="O1872" s="10">
        <v>0</v>
      </c>
      <c r="P1872">
        <f t="shared" si="117"/>
        <v>1</v>
      </c>
      <c r="Q1872" s="36">
        <f t="shared" si="118"/>
        <v>0</v>
      </c>
      <c r="R1872">
        <f t="shared" si="119"/>
        <v>2023</v>
      </c>
    </row>
    <row r="1873" spans="1:18" x14ac:dyDescent="0.2">
      <c r="A1873" s="23">
        <v>45271</v>
      </c>
      <c r="B1873" s="23">
        <v>45271</v>
      </c>
      <c r="C1873" s="25" t="s">
        <v>398</v>
      </c>
      <c r="D1873" s="20">
        <v>0</v>
      </c>
      <c r="E1873" s="27">
        <v>0</v>
      </c>
      <c r="F1873" s="22" t="s">
        <v>233</v>
      </c>
      <c r="G1873" s="29">
        <v>15840</v>
      </c>
      <c r="H1873" s="39">
        <v>45005</v>
      </c>
      <c r="I1873" s="46">
        <f t="shared" si="116"/>
        <v>266</v>
      </c>
      <c r="J1873" s="4" t="s">
        <v>12</v>
      </c>
      <c r="K1873" s="4" t="s">
        <v>197</v>
      </c>
      <c r="L1873" s="4" t="s">
        <v>223</v>
      </c>
      <c r="M1873" s="7">
        <v>15840</v>
      </c>
      <c r="N1873" s="10">
        <v>0</v>
      </c>
      <c r="O1873" s="10">
        <v>0</v>
      </c>
      <c r="P1873">
        <f t="shared" si="117"/>
        <v>1</v>
      </c>
      <c r="Q1873" s="36">
        <f t="shared" si="118"/>
        <v>0</v>
      </c>
      <c r="R1873">
        <f t="shared" si="119"/>
        <v>2023</v>
      </c>
    </row>
    <row r="1874" spans="1:18" x14ac:dyDescent="0.2">
      <c r="A1874" s="23">
        <v>45278</v>
      </c>
      <c r="B1874" s="23">
        <v>45278</v>
      </c>
      <c r="C1874" s="25" t="s">
        <v>398</v>
      </c>
      <c r="D1874" s="20">
        <v>0</v>
      </c>
      <c r="E1874" s="27">
        <v>0</v>
      </c>
      <c r="F1874" s="22" t="s">
        <v>233</v>
      </c>
      <c r="G1874" s="29">
        <v>15840</v>
      </c>
      <c r="H1874" s="39">
        <v>45005</v>
      </c>
      <c r="I1874" s="46">
        <f t="shared" si="116"/>
        <v>273</v>
      </c>
      <c r="J1874" s="4" t="s">
        <v>12</v>
      </c>
      <c r="K1874" s="4" t="s">
        <v>197</v>
      </c>
      <c r="L1874" s="4" t="s">
        <v>223</v>
      </c>
      <c r="M1874" s="7">
        <v>15840</v>
      </c>
      <c r="N1874" s="10">
        <v>0</v>
      </c>
      <c r="O1874" s="10">
        <v>0</v>
      </c>
      <c r="P1874">
        <f t="shared" si="117"/>
        <v>1</v>
      </c>
      <c r="Q1874" s="36">
        <f t="shared" si="118"/>
        <v>0</v>
      </c>
      <c r="R1874">
        <f t="shared" si="119"/>
        <v>2023</v>
      </c>
    </row>
    <row r="1875" spans="1:18" x14ac:dyDescent="0.2">
      <c r="A1875" s="23">
        <v>45285</v>
      </c>
      <c r="B1875" s="23">
        <v>45285</v>
      </c>
      <c r="C1875" s="25" t="s">
        <v>398</v>
      </c>
      <c r="D1875" s="20">
        <v>0</v>
      </c>
      <c r="E1875" s="27">
        <v>0</v>
      </c>
      <c r="F1875" s="22" t="s">
        <v>233</v>
      </c>
      <c r="G1875" s="29">
        <v>36960</v>
      </c>
      <c r="H1875" s="39">
        <v>45005</v>
      </c>
      <c r="I1875" s="46">
        <f t="shared" si="116"/>
        <v>280</v>
      </c>
      <c r="J1875" s="4" t="s">
        <v>12</v>
      </c>
      <c r="K1875" s="4" t="s">
        <v>197</v>
      </c>
      <c r="L1875" s="4" t="s">
        <v>223</v>
      </c>
      <c r="M1875" s="7">
        <v>36960</v>
      </c>
      <c r="N1875" s="10">
        <v>0</v>
      </c>
      <c r="O1875" s="10">
        <v>0</v>
      </c>
      <c r="P1875">
        <f t="shared" si="117"/>
        <v>1</v>
      </c>
      <c r="Q1875" s="36">
        <f t="shared" si="118"/>
        <v>0</v>
      </c>
      <c r="R1875">
        <f t="shared" si="119"/>
        <v>2023</v>
      </c>
    </row>
    <row r="1876" spans="1:18" x14ac:dyDescent="0.2">
      <c r="A1876" s="23">
        <v>45194</v>
      </c>
      <c r="B1876" s="23">
        <v>45194</v>
      </c>
      <c r="C1876" s="25" t="s">
        <v>398</v>
      </c>
      <c r="D1876" s="20">
        <v>0</v>
      </c>
      <c r="E1876" s="27">
        <v>0</v>
      </c>
      <c r="F1876" s="22" t="s">
        <v>236</v>
      </c>
      <c r="G1876" s="29">
        <v>15900</v>
      </c>
      <c r="H1876" s="39">
        <v>45005</v>
      </c>
      <c r="I1876" s="46">
        <f t="shared" si="116"/>
        <v>189</v>
      </c>
      <c r="J1876" s="4" t="s">
        <v>12</v>
      </c>
      <c r="K1876" s="4" t="s">
        <v>197</v>
      </c>
      <c r="L1876" s="4" t="s">
        <v>223</v>
      </c>
      <c r="M1876" s="7">
        <v>15900</v>
      </c>
      <c r="N1876" s="10">
        <v>0</v>
      </c>
      <c r="O1876" s="10">
        <v>0</v>
      </c>
      <c r="P1876">
        <f t="shared" si="117"/>
        <v>1</v>
      </c>
      <c r="Q1876" s="36">
        <f t="shared" si="118"/>
        <v>0</v>
      </c>
      <c r="R1876">
        <f t="shared" si="119"/>
        <v>2023</v>
      </c>
    </row>
    <row r="1877" spans="1:18" x14ac:dyDescent="0.2">
      <c r="A1877" s="23">
        <v>45201</v>
      </c>
      <c r="B1877" s="23">
        <v>45201</v>
      </c>
      <c r="C1877" s="25" t="s">
        <v>398</v>
      </c>
      <c r="D1877" s="20">
        <v>0</v>
      </c>
      <c r="E1877" s="27">
        <v>0</v>
      </c>
      <c r="F1877" s="22" t="s">
        <v>236</v>
      </c>
      <c r="G1877" s="29">
        <v>15900</v>
      </c>
      <c r="H1877" s="39">
        <v>45005</v>
      </c>
      <c r="I1877" s="46">
        <f t="shared" si="116"/>
        <v>196</v>
      </c>
      <c r="J1877" s="4" t="s">
        <v>12</v>
      </c>
      <c r="K1877" s="4" t="s">
        <v>197</v>
      </c>
      <c r="L1877" s="4" t="s">
        <v>223</v>
      </c>
      <c r="M1877" s="7">
        <v>15900</v>
      </c>
      <c r="N1877" s="10">
        <v>0</v>
      </c>
      <c r="O1877" s="10">
        <v>0</v>
      </c>
      <c r="P1877">
        <f t="shared" si="117"/>
        <v>1</v>
      </c>
      <c r="Q1877" s="36">
        <f t="shared" si="118"/>
        <v>0</v>
      </c>
      <c r="R1877">
        <f t="shared" si="119"/>
        <v>2023</v>
      </c>
    </row>
    <row r="1878" spans="1:18" x14ac:dyDescent="0.2">
      <c r="A1878" s="23">
        <v>45208</v>
      </c>
      <c r="B1878" s="23">
        <v>45208</v>
      </c>
      <c r="C1878" s="25" t="s">
        <v>398</v>
      </c>
      <c r="D1878" s="20">
        <v>0</v>
      </c>
      <c r="E1878" s="27">
        <v>0</v>
      </c>
      <c r="F1878" s="22" t="s">
        <v>236</v>
      </c>
      <c r="G1878" s="29">
        <v>15900</v>
      </c>
      <c r="H1878" s="39">
        <v>45005</v>
      </c>
      <c r="I1878" s="46">
        <f t="shared" si="116"/>
        <v>203</v>
      </c>
      <c r="J1878" s="4" t="s">
        <v>12</v>
      </c>
      <c r="K1878" s="4" t="s">
        <v>197</v>
      </c>
      <c r="L1878" s="4" t="s">
        <v>223</v>
      </c>
      <c r="M1878" s="7">
        <v>15900</v>
      </c>
      <c r="N1878" s="10">
        <v>0</v>
      </c>
      <c r="O1878" s="10">
        <v>0</v>
      </c>
      <c r="P1878">
        <f t="shared" si="117"/>
        <v>1</v>
      </c>
      <c r="Q1878" s="36">
        <f t="shared" si="118"/>
        <v>0</v>
      </c>
      <c r="R1878">
        <f t="shared" si="119"/>
        <v>2023</v>
      </c>
    </row>
    <row r="1879" spans="1:18" x14ac:dyDescent="0.2">
      <c r="A1879" s="23">
        <v>45215</v>
      </c>
      <c r="B1879" s="23">
        <v>45215</v>
      </c>
      <c r="C1879" s="25" t="s">
        <v>398</v>
      </c>
      <c r="D1879" s="20">
        <v>0</v>
      </c>
      <c r="E1879" s="27">
        <v>0</v>
      </c>
      <c r="F1879" s="22" t="s">
        <v>236</v>
      </c>
      <c r="G1879" s="29">
        <v>5300</v>
      </c>
      <c r="H1879" s="39">
        <v>45005</v>
      </c>
      <c r="I1879" s="46">
        <f t="shared" si="116"/>
        <v>210</v>
      </c>
      <c r="J1879" s="4" t="s">
        <v>12</v>
      </c>
      <c r="K1879" s="4" t="s">
        <v>197</v>
      </c>
      <c r="L1879" s="4" t="s">
        <v>223</v>
      </c>
      <c r="M1879" s="7">
        <v>5300</v>
      </c>
      <c r="N1879" s="10">
        <v>0</v>
      </c>
      <c r="O1879" s="10">
        <v>0</v>
      </c>
      <c r="P1879">
        <f t="shared" si="117"/>
        <v>1</v>
      </c>
      <c r="Q1879" s="36">
        <f t="shared" si="118"/>
        <v>0</v>
      </c>
      <c r="R1879">
        <f t="shared" si="119"/>
        <v>2023</v>
      </c>
    </row>
    <row r="1880" spans="1:18" x14ac:dyDescent="0.2">
      <c r="A1880" s="23">
        <v>45222</v>
      </c>
      <c r="B1880" s="23">
        <v>45222</v>
      </c>
      <c r="C1880" s="25" t="s">
        <v>398</v>
      </c>
      <c r="D1880" s="20">
        <v>0</v>
      </c>
      <c r="E1880" s="27">
        <v>0</v>
      </c>
      <c r="F1880" s="22" t="s">
        <v>236</v>
      </c>
      <c r="G1880" s="29">
        <v>15740</v>
      </c>
      <c r="H1880" s="39">
        <v>45005</v>
      </c>
      <c r="I1880" s="46">
        <f t="shared" si="116"/>
        <v>217</v>
      </c>
      <c r="J1880" s="4" t="s">
        <v>12</v>
      </c>
      <c r="K1880" s="4" t="s">
        <v>197</v>
      </c>
      <c r="L1880" s="4" t="s">
        <v>223</v>
      </c>
      <c r="M1880" s="7">
        <v>15740</v>
      </c>
      <c r="N1880" s="10">
        <v>0</v>
      </c>
      <c r="O1880" s="10">
        <v>0</v>
      </c>
      <c r="P1880">
        <f t="shared" si="117"/>
        <v>1</v>
      </c>
      <c r="Q1880" s="36">
        <f t="shared" si="118"/>
        <v>0</v>
      </c>
      <c r="R1880">
        <f t="shared" si="119"/>
        <v>2023</v>
      </c>
    </row>
    <row r="1881" spans="1:18" x14ac:dyDescent="0.2">
      <c r="A1881" s="23">
        <v>45229</v>
      </c>
      <c r="B1881" s="23">
        <v>45229</v>
      </c>
      <c r="C1881" s="25" t="s">
        <v>398</v>
      </c>
      <c r="D1881" s="20">
        <v>0</v>
      </c>
      <c r="E1881" s="27">
        <v>0</v>
      </c>
      <c r="F1881" s="22" t="s">
        <v>236</v>
      </c>
      <c r="G1881" s="29">
        <v>21140</v>
      </c>
      <c r="H1881" s="39">
        <v>45005</v>
      </c>
      <c r="I1881" s="46">
        <f t="shared" si="116"/>
        <v>224</v>
      </c>
      <c r="J1881" s="4" t="s">
        <v>12</v>
      </c>
      <c r="K1881" s="4" t="s">
        <v>197</v>
      </c>
      <c r="L1881" s="4" t="s">
        <v>223</v>
      </c>
      <c r="M1881" s="7">
        <v>21140</v>
      </c>
      <c r="N1881" s="10">
        <v>0</v>
      </c>
      <c r="O1881" s="10">
        <v>0</v>
      </c>
      <c r="P1881">
        <f t="shared" si="117"/>
        <v>1</v>
      </c>
      <c r="Q1881" s="36">
        <f t="shared" si="118"/>
        <v>0</v>
      </c>
      <c r="R1881">
        <f t="shared" si="119"/>
        <v>2023</v>
      </c>
    </row>
    <row r="1882" spans="1:18" x14ac:dyDescent="0.2">
      <c r="A1882" s="23">
        <v>45236</v>
      </c>
      <c r="B1882" s="23">
        <v>45236</v>
      </c>
      <c r="C1882" s="25" t="s">
        <v>398</v>
      </c>
      <c r="D1882" s="20">
        <v>0</v>
      </c>
      <c r="E1882" s="27">
        <v>0</v>
      </c>
      <c r="F1882" s="22" t="s">
        <v>236</v>
      </c>
      <c r="G1882" s="29">
        <v>15840</v>
      </c>
      <c r="H1882" s="39">
        <v>45005</v>
      </c>
      <c r="I1882" s="46">
        <f t="shared" si="116"/>
        <v>231</v>
      </c>
      <c r="J1882" s="4" t="s">
        <v>12</v>
      </c>
      <c r="K1882" s="4" t="s">
        <v>197</v>
      </c>
      <c r="L1882" s="4" t="s">
        <v>223</v>
      </c>
      <c r="M1882" s="7">
        <v>15840</v>
      </c>
      <c r="N1882" s="10">
        <v>0</v>
      </c>
      <c r="O1882" s="10">
        <v>0</v>
      </c>
      <c r="P1882">
        <f t="shared" si="117"/>
        <v>1</v>
      </c>
      <c r="Q1882" s="36">
        <f t="shared" si="118"/>
        <v>0</v>
      </c>
      <c r="R1882">
        <f t="shared" si="119"/>
        <v>2023</v>
      </c>
    </row>
    <row r="1883" spans="1:18" x14ac:dyDescent="0.2">
      <c r="A1883" s="23">
        <v>45243</v>
      </c>
      <c r="B1883" s="23">
        <v>45243</v>
      </c>
      <c r="C1883" s="25" t="s">
        <v>398</v>
      </c>
      <c r="D1883" s="20">
        <v>0</v>
      </c>
      <c r="E1883" s="27">
        <v>0</v>
      </c>
      <c r="F1883" s="22" t="s">
        <v>236</v>
      </c>
      <c r="G1883" s="29">
        <v>18520</v>
      </c>
      <c r="H1883" s="39">
        <v>45005</v>
      </c>
      <c r="I1883" s="46">
        <f t="shared" si="116"/>
        <v>238</v>
      </c>
      <c r="J1883" s="4" t="s">
        <v>12</v>
      </c>
      <c r="K1883" s="4" t="s">
        <v>197</v>
      </c>
      <c r="L1883" s="4" t="s">
        <v>223</v>
      </c>
      <c r="M1883" s="7">
        <v>18520</v>
      </c>
      <c r="N1883" s="10">
        <v>0</v>
      </c>
      <c r="O1883" s="10">
        <v>0</v>
      </c>
      <c r="P1883">
        <f t="shared" si="117"/>
        <v>1</v>
      </c>
      <c r="Q1883" s="36">
        <f t="shared" si="118"/>
        <v>0</v>
      </c>
      <c r="R1883">
        <f t="shared" si="119"/>
        <v>2023</v>
      </c>
    </row>
    <row r="1884" spans="1:18" x14ac:dyDescent="0.2">
      <c r="A1884" s="23">
        <v>45250</v>
      </c>
      <c r="B1884" s="23">
        <v>45250</v>
      </c>
      <c r="C1884" s="25" t="s">
        <v>398</v>
      </c>
      <c r="D1884" s="20">
        <v>0</v>
      </c>
      <c r="E1884" s="27">
        <v>0</v>
      </c>
      <c r="F1884" s="22" t="s">
        <v>236</v>
      </c>
      <c r="G1884" s="29">
        <v>12101</v>
      </c>
      <c r="H1884" s="39">
        <v>45005</v>
      </c>
      <c r="I1884" s="46">
        <f t="shared" si="116"/>
        <v>245</v>
      </c>
      <c r="J1884" s="4" t="s">
        <v>12</v>
      </c>
      <c r="K1884" s="4" t="s">
        <v>197</v>
      </c>
      <c r="L1884" s="4" t="s">
        <v>223</v>
      </c>
      <c r="M1884" s="7">
        <v>12101</v>
      </c>
      <c r="N1884" s="10">
        <v>0</v>
      </c>
      <c r="O1884" s="10">
        <v>0</v>
      </c>
      <c r="P1884">
        <f t="shared" si="117"/>
        <v>1</v>
      </c>
      <c r="Q1884" s="36">
        <f t="shared" si="118"/>
        <v>0</v>
      </c>
      <c r="R1884">
        <f t="shared" si="119"/>
        <v>2023</v>
      </c>
    </row>
    <row r="1885" spans="1:18" x14ac:dyDescent="0.2">
      <c r="A1885" s="23">
        <v>45257</v>
      </c>
      <c r="B1885" s="23">
        <v>45257</v>
      </c>
      <c r="C1885" s="25" t="s">
        <v>398</v>
      </c>
      <c r="D1885" s="20">
        <v>0</v>
      </c>
      <c r="E1885" s="27">
        <v>0</v>
      </c>
      <c r="F1885" s="22" t="s">
        <v>236</v>
      </c>
      <c r="G1885" s="29">
        <v>6096</v>
      </c>
      <c r="H1885" s="39">
        <v>45005</v>
      </c>
      <c r="I1885" s="46">
        <f t="shared" si="116"/>
        <v>252</v>
      </c>
      <c r="J1885" s="4" t="s">
        <v>12</v>
      </c>
      <c r="K1885" s="4" t="s">
        <v>197</v>
      </c>
      <c r="L1885" s="4" t="s">
        <v>223</v>
      </c>
      <c r="M1885" s="7">
        <v>6096</v>
      </c>
      <c r="N1885" s="10">
        <v>0</v>
      </c>
      <c r="O1885" s="10">
        <v>0</v>
      </c>
      <c r="P1885">
        <f t="shared" si="117"/>
        <v>1</v>
      </c>
      <c r="Q1885" s="36">
        <f t="shared" si="118"/>
        <v>0</v>
      </c>
      <c r="R1885">
        <f t="shared" si="119"/>
        <v>2023</v>
      </c>
    </row>
    <row r="1886" spans="1:18" x14ac:dyDescent="0.2">
      <c r="A1886" s="23">
        <v>45264</v>
      </c>
      <c r="B1886" s="23">
        <v>45264</v>
      </c>
      <c r="C1886" s="25" t="s">
        <v>398</v>
      </c>
      <c r="D1886" s="20">
        <v>0</v>
      </c>
      <c r="E1886" s="27">
        <v>0</v>
      </c>
      <c r="F1886" s="22" t="s">
        <v>236</v>
      </c>
      <c r="G1886" s="29">
        <v>15840</v>
      </c>
      <c r="H1886" s="39">
        <v>45005</v>
      </c>
      <c r="I1886" s="46">
        <f t="shared" si="116"/>
        <v>259</v>
      </c>
      <c r="J1886" s="4" t="s">
        <v>12</v>
      </c>
      <c r="K1886" s="4" t="s">
        <v>197</v>
      </c>
      <c r="L1886" s="4" t="s">
        <v>223</v>
      </c>
      <c r="M1886" s="7">
        <v>15840</v>
      </c>
      <c r="N1886" s="10">
        <v>0</v>
      </c>
      <c r="O1886" s="10">
        <v>0</v>
      </c>
      <c r="P1886">
        <f t="shared" si="117"/>
        <v>1</v>
      </c>
      <c r="Q1886" s="36">
        <f t="shared" si="118"/>
        <v>0</v>
      </c>
      <c r="R1886">
        <f t="shared" si="119"/>
        <v>2023</v>
      </c>
    </row>
    <row r="1887" spans="1:18" x14ac:dyDescent="0.2">
      <c r="A1887" s="23">
        <v>45271</v>
      </c>
      <c r="B1887" s="23">
        <v>45271</v>
      </c>
      <c r="C1887" s="25" t="s">
        <v>398</v>
      </c>
      <c r="D1887" s="20">
        <v>0</v>
      </c>
      <c r="E1887" s="27">
        <v>0</v>
      </c>
      <c r="F1887" s="22" t="s">
        <v>236</v>
      </c>
      <c r="G1887" s="29">
        <v>15840</v>
      </c>
      <c r="H1887" s="39">
        <v>45005</v>
      </c>
      <c r="I1887" s="46">
        <f t="shared" si="116"/>
        <v>266</v>
      </c>
      <c r="J1887" s="4" t="s">
        <v>12</v>
      </c>
      <c r="K1887" s="4" t="s">
        <v>197</v>
      </c>
      <c r="L1887" s="4" t="s">
        <v>223</v>
      </c>
      <c r="M1887" s="7">
        <v>15840</v>
      </c>
      <c r="N1887" s="10">
        <v>0</v>
      </c>
      <c r="O1887" s="10">
        <v>0</v>
      </c>
      <c r="P1887">
        <f t="shared" si="117"/>
        <v>1</v>
      </c>
      <c r="Q1887" s="36">
        <f t="shared" si="118"/>
        <v>0</v>
      </c>
      <c r="R1887">
        <f t="shared" si="119"/>
        <v>2023</v>
      </c>
    </row>
    <row r="1888" spans="1:18" x14ac:dyDescent="0.2">
      <c r="A1888" s="23">
        <v>45285</v>
      </c>
      <c r="B1888" s="23">
        <v>45285</v>
      </c>
      <c r="C1888" s="25" t="s">
        <v>398</v>
      </c>
      <c r="D1888" s="20">
        <v>0</v>
      </c>
      <c r="E1888" s="27">
        <v>0</v>
      </c>
      <c r="F1888" s="22" t="s">
        <v>236</v>
      </c>
      <c r="G1888" s="29">
        <v>15840</v>
      </c>
      <c r="H1888" s="39">
        <v>45005</v>
      </c>
      <c r="I1888" s="46">
        <f t="shared" si="116"/>
        <v>280</v>
      </c>
      <c r="J1888" s="4" t="s">
        <v>12</v>
      </c>
      <c r="K1888" s="4" t="s">
        <v>197</v>
      </c>
      <c r="L1888" s="4" t="s">
        <v>223</v>
      </c>
      <c r="M1888" s="7">
        <v>15840</v>
      </c>
      <c r="N1888" s="10">
        <v>0</v>
      </c>
      <c r="O1888" s="10">
        <v>0</v>
      </c>
      <c r="P1888">
        <f t="shared" si="117"/>
        <v>1</v>
      </c>
      <c r="Q1888" s="36">
        <f t="shared" si="118"/>
        <v>0</v>
      </c>
      <c r="R1888">
        <f t="shared" si="119"/>
        <v>2023</v>
      </c>
    </row>
    <row r="1889" spans="1:18" x14ac:dyDescent="0.2">
      <c r="A1889" s="23">
        <v>45189</v>
      </c>
      <c r="B1889" s="23">
        <v>44960</v>
      </c>
      <c r="C1889" s="25" t="s">
        <v>399</v>
      </c>
      <c r="D1889" s="20">
        <v>229</v>
      </c>
      <c r="E1889" s="27">
        <v>0</v>
      </c>
      <c r="F1889" s="22" t="s">
        <v>237</v>
      </c>
      <c r="G1889" s="29">
        <v>1080</v>
      </c>
      <c r="H1889" s="39">
        <v>44960</v>
      </c>
      <c r="I1889" s="46">
        <f t="shared" si="116"/>
        <v>229</v>
      </c>
      <c r="J1889" s="4" t="s">
        <v>14</v>
      </c>
      <c r="K1889" s="4" t="s">
        <v>198</v>
      </c>
      <c r="L1889" s="4" t="s">
        <v>224</v>
      </c>
      <c r="M1889" s="7">
        <v>1080</v>
      </c>
      <c r="N1889" s="10">
        <v>0</v>
      </c>
      <c r="O1889" s="10">
        <v>0</v>
      </c>
      <c r="P1889">
        <f t="shared" si="117"/>
        <v>1</v>
      </c>
      <c r="Q1889" s="36">
        <f t="shared" si="118"/>
        <v>0</v>
      </c>
      <c r="R1889">
        <f t="shared" si="119"/>
        <v>2023</v>
      </c>
    </row>
    <row r="1890" spans="1:18" x14ac:dyDescent="0.2">
      <c r="A1890" s="23">
        <v>45189</v>
      </c>
      <c r="B1890" s="23">
        <v>44960</v>
      </c>
      <c r="C1890" s="25" t="s">
        <v>399</v>
      </c>
      <c r="D1890" s="20">
        <v>229</v>
      </c>
      <c r="E1890" s="27">
        <v>0</v>
      </c>
      <c r="F1890" s="22" t="s">
        <v>237</v>
      </c>
      <c r="G1890" s="29">
        <v>1080</v>
      </c>
      <c r="H1890" s="39">
        <v>44960</v>
      </c>
      <c r="I1890" s="46">
        <f t="shared" si="116"/>
        <v>229</v>
      </c>
      <c r="J1890" s="4" t="s">
        <v>14</v>
      </c>
      <c r="K1890" s="4" t="s">
        <v>198</v>
      </c>
      <c r="L1890" s="4" t="s">
        <v>224</v>
      </c>
      <c r="M1890" s="7">
        <v>1080</v>
      </c>
      <c r="N1890" s="10">
        <v>0</v>
      </c>
      <c r="O1890" s="10">
        <v>0</v>
      </c>
      <c r="P1890">
        <f t="shared" si="117"/>
        <v>1</v>
      </c>
      <c r="Q1890" s="36">
        <f t="shared" si="118"/>
        <v>0</v>
      </c>
      <c r="R1890">
        <f t="shared" si="119"/>
        <v>2023</v>
      </c>
    </row>
    <row r="1891" spans="1:18" x14ac:dyDescent="0.2">
      <c r="A1891" s="23">
        <v>45189</v>
      </c>
      <c r="B1891" s="23">
        <v>44958</v>
      </c>
      <c r="C1891" s="25" t="s">
        <v>399</v>
      </c>
      <c r="D1891" s="20">
        <v>231</v>
      </c>
      <c r="E1891" s="27">
        <v>0</v>
      </c>
      <c r="F1891" s="22" t="s">
        <v>238</v>
      </c>
      <c r="G1891" s="29">
        <v>1000</v>
      </c>
      <c r="H1891" s="39">
        <v>44958</v>
      </c>
      <c r="I1891" s="46">
        <f t="shared" si="116"/>
        <v>231</v>
      </c>
      <c r="J1891" s="4" t="s">
        <v>14</v>
      </c>
      <c r="K1891" s="4" t="s">
        <v>198</v>
      </c>
      <c r="L1891" s="4" t="s">
        <v>224</v>
      </c>
      <c r="M1891" s="7">
        <v>1000</v>
      </c>
      <c r="N1891" s="10">
        <v>0</v>
      </c>
      <c r="O1891" s="10">
        <v>0</v>
      </c>
      <c r="P1891">
        <f t="shared" si="117"/>
        <v>1</v>
      </c>
      <c r="Q1891" s="36">
        <f t="shared" si="118"/>
        <v>0</v>
      </c>
      <c r="R1891">
        <f t="shared" si="119"/>
        <v>2023</v>
      </c>
    </row>
    <row r="1892" spans="1:18" x14ac:dyDescent="0.2">
      <c r="A1892" s="23">
        <v>45189</v>
      </c>
      <c r="B1892" s="23">
        <v>44754</v>
      </c>
      <c r="C1892" s="25" t="s">
        <v>399</v>
      </c>
      <c r="D1892" s="20">
        <v>435</v>
      </c>
      <c r="E1892" s="27">
        <v>0</v>
      </c>
      <c r="F1892" s="22" t="s">
        <v>239</v>
      </c>
      <c r="G1892" s="29">
        <v>120</v>
      </c>
      <c r="H1892" s="39">
        <v>44648</v>
      </c>
      <c r="I1892" s="46">
        <f t="shared" si="116"/>
        <v>541</v>
      </c>
      <c r="J1892" s="4" t="s">
        <v>14</v>
      </c>
      <c r="K1892" s="4" t="s">
        <v>198</v>
      </c>
      <c r="L1892" s="4" t="s">
        <v>224</v>
      </c>
      <c r="M1892" s="7">
        <v>120</v>
      </c>
      <c r="N1892" s="10">
        <v>0</v>
      </c>
      <c r="O1892" s="10">
        <v>0</v>
      </c>
      <c r="P1892">
        <f t="shared" si="117"/>
        <v>1</v>
      </c>
      <c r="Q1892" s="36">
        <f t="shared" si="118"/>
        <v>0</v>
      </c>
      <c r="R1892">
        <f t="shared" si="119"/>
        <v>2022</v>
      </c>
    </row>
    <row r="1893" spans="1:18" x14ac:dyDescent="0.2">
      <c r="A1893" s="23">
        <v>45189</v>
      </c>
      <c r="B1893" s="23">
        <v>44648</v>
      </c>
      <c r="C1893" s="25" t="s">
        <v>399</v>
      </c>
      <c r="D1893" s="20">
        <v>541</v>
      </c>
      <c r="E1893" s="27">
        <v>0</v>
      </c>
      <c r="F1893" s="22" t="s">
        <v>240</v>
      </c>
      <c r="G1893" s="29">
        <v>720</v>
      </c>
      <c r="H1893" s="39">
        <v>44648</v>
      </c>
      <c r="I1893" s="46">
        <f t="shared" si="116"/>
        <v>541</v>
      </c>
      <c r="J1893" s="4" t="s">
        <v>14</v>
      </c>
      <c r="K1893" s="4" t="s">
        <v>198</v>
      </c>
      <c r="L1893" s="4" t="s">
        <v>224</v>
      </c>
      <c r="M1893" s="7">
        <v>720</v>
      </c>
      <c r="N1893" s="10">
        <v>0</v>
      </c>
      <c r="O1893" s="10">
        <v>0</v>
      </c>
      <c r="P1893">
        <f t="shared" si="117"/>
        <v>1</v>
      </c>
      <c r="Q1893" s="36">
        <f t="shared" si="118"/>
        <v>0</v>
      </c>
      <c r="R1893">
        <f t="shared" si="119"/>
        <v>2022</v>
      </c>
    </row>
    <row r="1894" spans="1:18" x14ac:dyDescent="0.2">
      <c r="A1894" s="23">
        <v>45189</v>
      </c>
      <c r="B1894" s="23">
        <v>44283</v>
      </c>
      <c r="C1894" s="25" t="s">
        <v>399</v>
      </c>
      <c r="D1894" s="20">
        <v>906</v>
      </c>
      <c r="E1894" s="27">
        <v>0</v>
      </c>
      <c r="F1894" s="22" t="s">
        <v>241</v>
      </c>
      <c r="G1894" s="29">
        <v>3780</v>
      </c>
      <c r="H1894" s="39">
        <v>44958</v>
      </c>
      <c r="I1894" s="46">
        <f t="shared" si="116"/>
        <v>231</v>
      </c>
      <c r="J1894" s="4" t="s">
        <v>14</v>
      </c>
      <c r="K1894" s="4" t="s">
        <v>198</v>
      </c>
      <c r="L1894" s="4" t="s">
        <v>224</v>
      </c>
      <c r="M1894" s="7">
        <v>3780</v>
      </c>
      <c r="N1894" s="10">
        <v>0</v>
      </c>
      <c r="O1894" s="10">
        <v>0</v>
      </c>
      <c r="P1894">
        <f t="shared" si="117"/>
        <v>1</v>
      </c>
      <c r="Q1894" s="36">
        <f t="shared" si="118"/>
        <v>0</v>
      </c>
      <c r="R1894">
        <f t="shared" si="119"/>
        <v>2023</v>
      </c>
    </row>
    <row r="1895" spans="1:18" x14ac:dyDescent="0.2">
      <c r="A1895" s="23">
        <v>45189</v>
      </c>
      <c r="B1895" s="23">
        <v>44958</v>
      </c>
      <c r="C1895" s="25" t="s">
        <v>399</v>
      </c>
      <c r="D1895" s="20">
        <v>231</v>
      </c>
      <c r="E1895" s="27">
        <v>0</v>
      </c>
      <c r="F1895" s="22" t="s">
        <v>241</v>
      </c>
      <c r="G1895" s="29">
        <v>3780</v>
      </c>
      <c r="H1895" s="39">
        <v>44958</v>
      </c>
      <c r="I1895" s="46">
        <f t="shared" si="116"/>
        <v>231</v>
      </c>
      <c r="J1895" s="4" t="s">
        <v>14</v>
      </c>
      <c r="K1895" s="4" t="s">
        <v>198</v>
      </c>
      <c r="L1895" s="4" t="s">
        <v>224</v>
      </c>
      <c r="M1895" s="7">
        <v>3780</v>
      </c>
      <c r="N1895" s="10">
        <v>0</v>
      </c>
      <c r="O1895" s="10">
        <v>0</v>
      </c>
      <c r="P1895">
        <f t="shared" si="117"/>
        <v>1</v>
      </c>
      <c r="Q1895" s="36">
        <f t="shared" si="118"/>
        <v>0</v>
      </c>
      <c r="R1895">
        <f t="shared" si="119"/>
        <v>2023</v>
      </c>
    </row>
    <row r="1896" spans="1:18" x14ac:dyDescent="0.2">
      <c r="A1896" s="23">
        <v>45189</v>
      </c>
      <c r="B1896" s="23">
        <v>45062</v>
      </c>
      <c r="C1896" s="25" t="s">
        <v>399</v>
      </c>
      <c r="D1896" s="20">
        <v>127</v>
      </c>
      <c r="E1896" s="27">
        <v>0</v>
      </c>
      <c r="F1896" s="22" t="s">
        <v>242</v>
      </c>
      <c r="G1896" s="29">
        <v>3024</v>
      </c>
      <c r="H1896" s="39">
        <v>44958</v>
      </c>
      <c r="I1896" s="46">
        <f t="shared" si="116"/>
        <v>231</v>
      </c>
      <c r="J1896" s="4" t="s">
        <v>14</v>
      </c>
      <c r="K1896" s="4" t="s">
        <v>198</v>
      </c>
      <c r="L1896" s="4" t="s">
        <v>224</v>
      </c>
      <c r="M1896" s="7">
        <v>3024</v>
      </c>
      <c r="N1896" s="10">
        <v>0</v>
      </c>
      <c r="O1896" s="10">
        <v>0</v>
      </c>
      <c r="P1896">
        <f t="shared" si="117"/>
        <v>1</v>
      </c>
      <c r="Q1896" s="36">
        <f t="shared" si="118"/>
        <v>0</v>
      </c>
      <c r="R1896">
        <f t="shared" si="119"/>
        <v>2023</v>
      </c>
    </row>
    <row r="1897" spans="1:18" x14ac:dyDescent="0.2">
      <c r="A1897" s="23">
        <v>45189</v>
      </c>
      <c r="B1897" s="23">
        <v>44648</v>
      </c>
      <c r="C1897" s="25" t="s">
        <v>399</v>
      </c>
      <c r="D1897" s="20">
        <v>541</v>
      </c>
      <c r="E1897" s="27">
        <v>0</v>
      </c>
      <c r="F1897" s="22" t="s">
        <v>243</v>
      </c>
      <c r="G1897" s="29">
        <v>756</v>
      </c>
      <c r="H1897" s="39">
        <v>44648</v>
      </c>
      <c r="I1897" s="46">
        <f t="shared" si="116"/>
        <v>541</v>
      </c>
      <c r="J1897" s="4" t="s">
        <v>14</v>
      </c>
      <c r="K1897" s="4" t="s">
        <v>198</v>
      </c>
      <c r="L1897" s="4" t="s">
        <v>224</v>
      </c>
      <c r="M1897" s="7">
        <v>756</v>
      </c>
      <c r="N1897" s="10">
        <v>0</v>
      </c>
      <c r="O1897" s="10">
        <v>0</v>
      </c>
      <c r="P1897">
        <f t="shared" si="117"/>
        <v>1</v>
      </c>
      <c r="Q1897" s="36">
        <f t="shared" si="118"/>
        <v>0</v>
      </c>
      <c r="R1897">
        <f t="shared" si="119"/>
        <v>2022</v>
      </c>
    </row>
    <row r="1898" spans="1:18" x14ac:dyDescent="0.2">
      <c r="A1898" s="23">
        <v>45243</v>
      </c>
      <c r="B1898" s="23">
        <v>44256</v>
      </c>
      <c r="C1898" s="25" t="s">
        <v>399</v>
      </c>
      <c r="D1898" s="20">
        <v>987</v>
      </c>
      <c r="E1898" s="27">
        <v>0</v>
      </c>
      <c r="F1898" s="22" t="s">
        <v>244</v>
      </c>
      <c r="G1898" s="29">
        <v>336</v>
      </c>
      <c r="H1898" s="39">
        <v>44958</v>
      </c>
      <c r="I1898" s="46">
        <f t="shared" si="116"/>
        <v>285</v>
      </c>
      <c r="J1898" s="4" t="s">
        <v>14</v>
      </c>
      <c r="K1898" s="4" t="s">
        <v>198</v>
      </c>
      <c r="L1898" s="4" t="s">
        <v>224</v>
      </c>
      <c r="M1898" s="7">
        <v>336</v>
      </c>
      <c r="N1898" s="10">
        <v>0</v>
      </c>
      <c r="O1898" s="10">
        <v>0</v>
      </c>
      <c r="P1898">
        <f t="shared" si="117"/>
        <v>1</v>
      </c>
      <c r="Q1898" s="36">
        <f t="shared" si="118"/>
        <v>0</v>
      </c>
      <c r="R1898">
        <f t="shared" si="119"/>
        <v>2023</v>
      </c>
    </row>
    <row r="1899" spans="1:18" x14ac:dyDescent="0.2">
      <c r="A1899" s="23">
        <v>45243</v>
      </c>
      <c r="B1899" s="23">
        <v>44958</v>
      </c>
      <c r="C1899" s="25" t="s">
        <v>399</v>
      </c>
      <c r="D1899" s="20">
        <v>285</v>
      </c>
      <c r="E1899" s="27">
        <v>0</v>
      </c>
      <c r="F1899" s="22" t="s">
        <v>244</v>
      </c>
      <c r="G1899" s="29">
        <v>924</v>
      </c>
      <c r="H1899" s="39">
        <v>44958</v>
      </c>
      <c r="I1899" s="46">
        <f t="shared" si="116"/>
        <v>285</v>
      </c>
      <c r="J1899" s="4" t="s">
        <v>14</v>
      </c>
      <c r="K1899" s="4" t="s">
        <v>198</v>
      </c>
      <c r="L1899" s="4" t="s">
        <v>224</v>
      </c>
      <c r="M1899" s="7">
        <v>924</v>
      </c>
      <c r="N1899" s="10">
        <v>0</v>
      </c>
      <c r="O1899" s="10">
        <v>0</v>
      </c>
      <c r="P1899">
        <f t="shared" si="117"/>
        <v>1</v>
      </c>
      <c r="Q1899" s="36">
        <f t="shared" si="118"/>
        <v>0</v>
      </c>
      <c r="R1899">
        <f t="shared" si="119"/>
        <v>2023</v>
      </c>
    </row>
    <row r="1900" spans="1:18" x14ac:dyDescent="0.2">
      <c r="A1900" s="23">
        <v>45189</v>
      </c>
      <c r="B1900" s="23">
        <v>44256</v>
      </c>
      <c r="C1900" s="25" t="s">
        <v>399</v>
      </c>
      <c r="D1900" s="20">
        <v>933</v>
      </c>
      <c r="E1900" s="27">
        <v>0</v>
      </c>
      <c r="F1900" s="22" t="s">
        <v>245</v>
      </c>
      <c r="G1900" s="29">
        <v>672</v>
      </c>
      <c r="H1900" s="39">
        <v>44958</v>
      </c>
      <c r="I1900" s="46">
        <f t="shared" si="116"/>
        <v>231</v>
      </c>
      <c r="J1900" s="4" t="s">
        <v>14</v>
      </c>
      <c r="K1900" s="4" t="s">
        <v>198</v>
      </c>
      <c r="L1900" s="4" t="s">
        <v>224</v>
      </c>
      <c r="M1900" s="7">
        <v>672</v>
      </c>
      <c r="N1900" s="10">
        <v>0</v>
      </c>
      <c r="O1900" s="10">
        <v>0</v>
      </c>
      <c r="P1900">
        <f t="shared" si="117"/>
        <v>1</v>
      </c>
      <c r="Q1900" s="36">
        <f t="shared" si="118"/>
        <v>0</v>
      </c>
      <c r="R1900">
        <f t="shared" si="119"/>
        <v>2023</v>
      </c>
    </row>
    <row r="1901" spans="1:18" x14ac:dyDescent="0.2">
      <c r="A1901" s="23">
        <v>45189</v>
      </c>
      <c r="B1901" s="23">
        <v>44648</v>
      </c>
      <c r="C1901" s="25" t="s">
        <v>399</v>
      </c>
      <c r="D1901" s="20">
        <v>541</v>
      </c>
      <c r="E1901" s="27">
        <v>0</v>
      </c>
      <c r="F1901" s="22" t="s">
        <v>246</v>
      </c>
      <c r="G1901" s="29">
        <v>3080</v>
      </c>
      <c r="H1901" s="39">
        <v>44648</v>
      </c>
      <c r="I1901" s="46">
        <f t="shared" si="116"/>
        <v>541</v>
      </c>
      <c r="J1901" s="4" t="s">
        <v>14</v>
      </c>
      <c r="K1901" s="4" t="s">
        <v>198</v>
      </c>
      <c r="L1901" s="4" t="s">
        <v>224</v>
      </c>
      <c r="M1901" s="7">
        <v>3080</v>
      </c>
      <c r="N1901" s="10">
        <v>0</v>
      </c>
      <c r="O1901" s="10">
        <v>0</v>
      </c>
      <c r="P1901">
        <f t="shared" si="117"/>
        <v>1</v>
      </c>
      <c r="Q1901" s="36">
        <f t="shared" si="118"/>
        <v>0</v>
      </c>
      <c r="R1901">
        <f t="shared" si="119"/>
        <v>2022</v>
      </c>
    </row>
    <row r="1902" spans="1:18" x14ac:dyDescent="0.2">
      <c r="A1902" s="23">
        <v>45189</v>
      </c>
      <c r="B1902" s="23">
        <v>44958</v>
      </c>
      <c r="C1902" s="25" t="s">
        <v>399</v>
      </c>
      <c r="D1902" s="20">
        <v>231</v>
      </c>
      <c r="E1902" s="27">
        <v>0</v>
      </c>
      <c r="F1902" s="22" t="s">
        <v>247</v>
      </c>
      <c r="G1902" s="29">
        <v>800</v>
      </c>
      <c r="H1902" s="39">
        <v>44958</v>
      </c>
      <c r="I1902" s="46">
        <f t="shared" si="116"/>
        <v>231</v>
      </c>
      <c r="J1902" s="4" t="s">
        <v>14</v>
      </c>
      <c r="K1902" s="4" t="s">
        <v>198</v>
      </c>
      <c r="L1902" s="4" t="s">
        <v>224</v>
      </c>
      <c r="M1902" s="7">
        <v>800</v>
      </c>
      <c r="N1902" s="10">
        <v>0</v>
      </c>
      <c r="O1902" s="10">
        <v>0</v>
      </c>
      <c r="P1902">
        <f t="shared" si="117"/>
        <v>1</v>
      </c>
      <c r="Q1902" s="36">
        <f t="shared" si="118"/>
        <v>0</v>
      </c>
      <c r="R1902">
        <f t="shared" si="119"/>
        <v>2023</v>
      </c>
    </row>
    <row r="1903" spans="1:18" x14ac:dyDescent="0.2">
      <c r="A1903" s="23">
        <v>45189</v>
      </c>
      <c r="B1903" s="23">
        <v>44960</v>
      </c>
      <c r="C1903" s="25" t="s">
        <v>399</v>
      </c>
      <c r="D1903" s="20">
        <v>229</v>
      </c>
      <c r="E1903" s="27">
        <v>0</v>
      </c>
      <c r="F1903" s="22" t="s">
        <v>248</v>
      </c>
      <c r="G1903" s="29">
        <v>1440</v>
      </c>
      <c r="H1903" s="39">
        <v>44960</v>
      </c>
      <c r="I1903" s="46">
        <f t="shared" si="116"/>
        <v>229</v>
      </c>
      <c r="J1903" s="4" t="s">
        <v>14</v>
      </c>
      <c r="K1903" s="4" t="s">
        <v>198</v>
      </c>
      <c r="L1903" s="4" t="s">
        <v>224</v>
      </c>
      <c r="M1903" s="7">
        <v>1440</v>
      </c>
      <c r="N1903" s="10">
        <v>0</v>
      </c>
      <c r="O1903" s="10">
        <v>0</v>
      </c>
      <c r="P1903">
        <f t="shared" si="117"/>
        <v>1</v>
      </c>
      <c r="Q1903" s="36">
        <f t="shared" si="118"/>
        <v>0</v>
      </c>
      <c r="R1903">
        <f t="shared" si="119"/>
        <v>2023</v>
      </c>
    </row>
    <row r="1904" spans="1:18" x14ac:dyDescent="0.2">
      <c r="A1904" s="23">
        <v>45189</v>
      </c>
      <c r="B1904" s="23">
        <v>44958</v>
      </c>
      <c r="C1904" s="25" t="s">
        <v>399</v>
      </c>
      <c r="D1904" s="20">
        <v>231</v>
      </c>
      <c r="E1904" s="27">
        <v>0</v>
      </c>
      <c r="F1904" s="22" t="s">
        <v>249</v>
      </c>
      <c r="G1904" s="29">
        <v>420</v>
      </c>
      <c r="H1904" s="39">
        <v>44958</v>
      </c>
      <c r="I1904" s="46">
        <f t="shared" si="116"/>
        <v>231</v>
      </c>
      <c r="J1904" s="4" t="s">
        <v>14</v>
      </c>
      <c r="K1904" s="4" t="s">
        <v>198</v>
      </c>
      <c r="L1904" s="4" t="s">
        <v>224</v>
      </c>
      <c r="M1904" s="7">
        <v>420</v>
      </c>
      <c r="N1904" s="10">
        <v>0</v>
      </c>
      <c r="O1904" s="10">
        <v>0</v>
      </c>
      <c r="P1904">
        <f t="shared" si="117"/>
        <v>1</v>
      </c>
      <c r="Q1904" s="36">
        <f t="shared" si="118"/>
        <v>0</v>
      </c>
      <c r="R1904">
        <f t="shared" si="119"/>
        <v>2023</v>
      </c>
    </row>
    <row r="1905" spans="1:18" x14ac:dyDescent="0.2">
      <c r="A1905" s="23">
        <v>45189</v>
      </c>
      <c r="B1905" s="23">
        <v>44648</v>
      </c>
      <c r="C1905" s="25" t="s">
        <v>399</v>
      </c>
      <c r="D1905" s="20">
        <v>541</v>
      </c>
      <c r="E1905" s="27">
        <v>0</v>
      </c>
      <c r="F1905" s="22" t="s">
        <v>250</v>
      </c>
      <c r="G1905" s="29">
        <v>5460</v>
      </c>
      <c r="H1905" s="39">
        <v>44648</v>
      </c>
      <c r="I1905" s="46">
        <f t="shared" si="116"/>
        <v>541</v>
      </c>
      <c r="J1905" s="4" t="s">
        <v>14</v>
      </c>
      <c r="K1905" s="4" t="s">
        <v>198</v>
      </c>
      <c r="L1905" s="4" t="s">
        <v>224</v>
      </c>
      <c r="M1905" s="7">
        <v>5460</v>
      </c>
      <c r="N1905" s="10">
        <v>0</v>
      </c>
      <c r="O1905" s="10">
        <v>0</v>
      </c>
      <c r="P1905">
        <f t="shared" si="117"/>
        <v>1</v>
      </c>
      <c r="Q1905" s="36">
        <f t="shared" si="118"/>
        <v>0</v>
      </c>
      <c r="R1905">
        <f t="shared" si="119"/>
        <v>2022</v>
      </c>
    </row>
    <row r="1906" spans="1:18" x14ac:dyDescent="0.2">
      <c r="A1906" s="23">
        <v>45189</v>
      </c>
      <c r="B1906" s="23">
        <v>44958</v>
      </c>
      <c r="C1906" s="25" t="s">
        <v>399</v>
      </c>
      <c r="D1906" s="20">
        <v>231</v>
      </c>
      <c r="E1906" s="27">
        <v>0</v>
      </c>
      <c r="F1906" s="22" t="s">
        <v>250</v>
      </c>
      <c r="G1906" s="29">
        <v>1820</v>
      </c>
      <c r="H1906" s="39">
        <v>44958</v>
      </c>
      <c r="I1906" s="46">
        <f t="shared" si="116"/>
        <v>231</v>
      </c>
      <c r="J1906" s="4" t="s">
        <v>14</v>
      </c>
      <c r="K1906" s="4" t="s">
        <v>198</v>
      </c>
      <c r="L1906" s="4" t="s">
        <v>224</v>
      </c>
      <c r="M1906" s="7">
        <v>1820</v>
      </c>
      <c r="N1906" s="10">
        <v>0</v>
      </c>
      <c r="O1906" s="10">
        <v>0</v>
      </c>
      <c r="P1906">
        <f t="shared" si="117"/>
        <v>1</v>
      </c>
      <c r="Q1906" s="36">
        <f t="shared" si="118"/>
        <v>0</v>
      </c>
      <c r="R1906">
        <f t="shared" si="119"/>
        <v>2023</v>
      </c>
    </row>
    <row r="1907" spans="1:18" x14ac:dyDescent="0.2">
      <c r="A1907" s="23">
        <v>45189</v>
      </c>
      <c r="B1907" s="23">
        <v>44648</v>
      </c>
      <c r="C1907" s="25" t="s">
        <v>399</v>
      </c>
      <c r="D1907" s="20">
        <v>541</v>
      </c>
      <c r="E1907" s="27">
        <v>0</v>
      </c>
      <c r="F1907" s="22" t="s">
        <v>251</v>
      </c>
      <c r="G1907" s="29">
        <v>588</v>
      </c>
      <c r="H1907" s="39">
        <v>44648</v>
      </c>
      <c r="I1907" s="46">
        <f t="shared" si="116"/>
        <v>541</v>
      </c>
      <c r="J1907" s="4" t="s">
        <v>14</v>
      </c>
      <c r="K1907" s="4" t="s">
        <v>198</v>
      </c>
      <c r="L1907" s="4" t="s">
        <v>224</v>
      </c>
      <c r="M1907" s="7">
        <v>588</v>
      </c>
      <c r="N1907" s="10">
        <v>0</v>
      </c>
      <c r="O1907" s="10">
        <v>0</v>
      </c>
      <c r="P1907">
        <f t="shared" si="117"/>
        <v>1</v>
      </c>
      <c r="Q1907" s="36">
        <f t="shared" si="118"/>
        <v>0</v>
      </c>
      <c r="R1907">
        <f t="shared" si="119"/>
        <v>2022</v>
      </c>
    </row>
    <row r="1908" spans="1:18" x14ac:dyDescent="0.2">
      <c r="A1908" s="23">
        <v>45189</v>
      </c>
      <c r="B1908" s="23">
        <v>44753</v>
      </c>
      <c r="C1908" s="25" t="s">
        <v>399</v>
      </c>
      <c r="D1908" s="20">
        <v>436</v>
      </c>
      <c r="E1908" s="27">
        <v>0</v>
      </c>
      <c r="F1908" s="22" t="s">
        <v>251</v>
      </c>
      <c r="G1908" s="29">
        <v>588</v>
      </c>
      <c r="H1908" s="39">
        <v>44648</v>
      </c>
      <c r="I1908" s="46">
        <f t="shared" si="116"/>
        <v>541</v>
      </c>
      <c r="J1908" s="4" t="s">
        <v>14</v>
      </c>
      <c r="K1908" s="4" t="s">
        <v>198</v>
      </c>
      <c r="L1908" s="4" t="s">
        <v>224</v>
      </c>
      <c r="M1908" s="7">
        <v>588</v>
      </c>
      <c r="N1908" s="10">
        <v>0</v>
      </c>
      <c r="O1908" s="10">
        <v>0</v>
      </c>
      <c r="P1908">
        <f t="shared" si="117"/>
        <v>1</v>
      </c>
      <c r="Q1908" s="36">
        <f t="shared" si="118"/>
        <v>0</v>
      </c>
      <c r="R1908">
        <f t="shared" si="119"/>
        <v>2022</v>
      </c>
    </row>
    <row r="1909" spans="1:18" x14ac:dyDescent="0.2">
      <c r="A1909" s="23">
        <v>45229</v>
      </c>
      <c r="B1909" s="23">
        <v>44958</v>
      </c>
      <c r="C1909" s="25" t="s">
        <v>399</v>
      </c>
      <c r="D1909" s="20">
        <v>271</v>
      </c>
      <c r="E1909" s="27">
        <v>0</v>
      </c>
      <c r="F1909" s="22" t="s">
        <v>252</v>
      </c>
      <c r="G1909" s="29">
        <v>1120</v>
      </c>
      <c r="H1909" s="39">
        <v>44958</v>
      </c>
      <c r="I1909" s="46">
        <f t="shared" si="116"/>
        <v>271</v>
      </c>
      <c r="J1909" s="4" t="s">
        <v>14</v>
      </c>
      <c r="K1909" s="4" t="s">
        <v>198</v>
      </c>
      <c r="L1909" s="4" t="s">
        <v>224</v>
      </c>
      <c r="M1909" s="7">
        <v>1120</v>
      </c>
      <c r="N1909" s="10">
        <v>0</v>
      </c>
      <c r="O1909" s="10">
        <v>0</v>
      </c>
      <c r="P1909">
        <f t="shared" si="117"/>
        <v>1</v>
      </c>
      <c r="Q1909" s="36">
        <f t="shared" si="118"/>
        <v>0</v>
      </c>
      <c r="R1909">
        <f t="shared" si="119"/>
        <v>2023</v>
      </c>
    </row>
    <row r="1910" spans="1:18" x14ac:dyDescent="0.2">
      <c r="A1910" s="23">
        <v>45425</v>
      </c>
      <c r="B1910" s="23">
        <v>44958</v>
      </c>
      <c r="C1910" s="25" t="s">
        <v>399</v>
      </c>
      <c r="D1910" s="20">
        <v>467</v>
      </c>
      <c r="E1910" s="27">
        <v>0</v>
      </c>
      <c r="F1910" s="22" t="s">
        <v>252</v>
      </c>
      <c r="G1910" s="29">
        <v>1120</v>
      </c>
      <c r="H1910" s="39">
        <v>44958</v>
      </c>
      <c r="I1910" s="46">
        <f t="shared" si="116"/>
        <v>467</v>
      </c>
      <c r="J1910" s="4" t="s">
        <v>14</v>
      </c>
      <c r="K1910" s="4" t="s">
        <v>198</v>
      </c>
      <c r="L1910" s="4" t="s">
        <v>224</v>
      </c>
      <c r="M1910" s="7">
        <v>1120</v>
      </c>
      <c r="N1910" s="10">
        <v>0</v>
      </c>
      <c r="O1910" s="10">
        <v>0</v>
      </c>
      <c r="P1910">
        <f t="shared" si="117"/>
        <v>1</v>
      </c>
      <c r="Q1910" s="36">
        <f t="shared" si="118"/>
        <v>0</v>
      </c>
      <c r="R1910">
        <f t="shared" si="119"/>
        <v>2023</v>
      </c>
    </row>
    <row r="1911" spans="1:18" x14ac:dyDescent="0.2">
      <c r="A1911" s="23">
        <v>45350</v>
      </c>
      <c r="B1911" s="23">
        <v>44747</v>
      </c>
      <c r="C1911" s="25" t="s">
        <v>399</v>
      </c>
      <c r="D1911" s="20">
        <v>603</v>
      </c>
      <c r="E1911" s="27">
        <v>0</v>
      </c>
      <c r="F1911" s="22" t="s">
        <v>253</v>
      </c>
      <c r="G1911" s="29">
        <v>3528</v>
      </c>
      <c r="H1911" s="39">
        <v>44958</v>
      </c>
      <c r="I1911" s="46">
        <f t="shared" si="116"/>
        <v>392</v>
      </c>
      <c r="J1911" s="4" t="s">
        <v>14</v>
      </c>
      <c r="K1911" s="4" t="s">
        <v>198</v>
      </c>
      <c r="L1911" s="4" t="s">
        <v>224</v>
      </c>
      <c r="M1911" s="7">
        <v>3528</v>
      </c>
      <c r="N1911" s="10">
        <v>0</v>
      </c>
      <c r="O1911" s="10">
        <v>0</v>
      </c>
      <c r="P1911">
        <f t="shared" si="117"/>
        <v>1</v>
      </c>
      <c r="Q1911" s="36">
        <f t="shared" si="118"/>
        <v>0</v>
      </c>
      <c r="R1911">
        <f t="shared" si="119"/>
        <v>2023</v>
      </c>
    </row>
    <row r="1912" spans="1:18" x14ac:dyDescent="0.2">
      <c r="A1912" s="23">
        <v>45202</v>
      </c>
      <c r="B1912" s="23">
        <v>45170</v>
      </c>
      <c r="C1912" s="25" t="s">
        <v>399</v>
      </c>
      <c r="D1912" s="20">
        <v>32</v>
      </c>
      <c r="E1912" s="27">
        <v>0</v>
      </c>
      <c r="F1912" s="22" t="s">
        <v>254</v>
      </c>
      <c r="G1912" s="29">
        <v>630</v>
      </c>
      <c r="H1912" s="39">
        <v>44965</v>
      </c>
      <c r="I1912" s="46">
        <f t="shared" si="116"/>
        <v>237</v>
      </c>
      <c r="J1912" s="4" t="s">
        <v>14</v>
      </c>
      <c r="K1912" s="4" t="s">
        <v>198</v>
      </c>
      <c r="L1912" s="4" t="s">
        <v>224</v>
      </c>
      <c r="M1912" s="7">
        <v>630</v>
      </c>
      <c r="N1912" s="10">
        <v>0</v>
      </c>
      <c r="O1912" s="10">
        <v>0</v>
      </c>
      <c r="P1912">
        <f t="shared" si="117"/>
        <v>1</v>
      </c>
      <c r="Q1912" s="36">
        <f t="shared" si="118"/>
        <v>0</v>
      </c>
      <c r="R1912">
        <f t="shared" si="119"/>
        <v>2023</v>
      </c>
    </row>
    <row r="1913" spans="1:18" x14ac:dyDescent="0.2">
      <c r="A1913" s="23">
        <v>45189</v>
      </c>
      <c r="B1913" s="23">
        <v>44965</v>
      </c>
      <c r="C1913" s="25" t="s">
        <v>399</v>
      </c>
      <c r="D1913" s="20">
        <v>224</v>
      </c>
      <c r="E1913" s="27">
        <v>0</v>
      </c>
      <c r="F1913" s="22" t="s">
        <v>255</v>
      </c>
      <c r="G1913" s="29">
        <v>350</v>
      </c>
      <c r="H1913" s="39">
        <v>44965</v>
      </c>
      <c r="I1913" s="46">
        <f t="shared" si="116"/>
        <v>224</v>
      </c>
      <c r="J1913" s="4" t="s">
        <v>14</v>
      </c>
      <c r="K1913" s="4" t="s">
        <v>198</v>
      </c>
      <c r="L1913" s="4" t="s">
        <v>224</v>
      </c>
      <c r="M1913" s="7">
        <v>350</v>
      </c>
      <c r="N1913" s="10">
        <v>0</v>
      </c>
      <c r="O1913" s="10">
        <v>0</v>
      </c>
      <c r="P1913">
        <f t="shared" si="117"/>
        <v>1</v>
      </c>
      <c r="Q1913" s="36">
        <f t="shared" si="118"/>
        <v>0</v>
      </c>
      <c r="R1913">
        <f t="shared" si="119"/>
        <v>2023</v>
      </c>
    </row>
    <row r="1914" spans="1:18" x14ac:dyDescent="0.2">
      <c r="A1914" s="23">
        <v>45189</v>
      </c>
      <c r="B1914" s="23">
        <v>44973</v>
      </c>
      <c r="C1914" s="25" t="s">
        <v>399</v>
      </c>
      <c r="D1914" s="20">
        <v>216</v>
      </c>
      <c r="E1914" s="27">
        <v>0</v>
      </c>
      <c r="F1914" s="22" t="s">
        <v>256</v>
      </c>
      <c r="G1914" s="29">
        <v>490</v>
      </c>
      <c r="H1914" s="39">
        <v>44973</v>
      </c>
      <c r="I1914" s="46">
        <f t="shared" si="116"/>
        <v>216</v>
      </c>
      <c r="J1914" s="4" t="s">
        <v>14</v>
      </c>
      <c r="K1914" s="4" t="s">
        <v>198</v>
      </c>
      <c r="L1914" s="4" t="s">
        <v>224</v>
      </c>
      <c r="M1914" s="7">
        <v>490</v>
      </c>
      <c r="N1914" s="10">
        <v>0</v>
      </c>
      <c r="O1914" s="10">
        <v>0</v>
      </c>
      <c r="P1914">
        <f t="shared" si="117"/>
        <v>1</v>
      </c>
      <c r="Q1914" s="36">
        <f t="shared" si="118"/>
        <v>0</v>
      </c>
      <c r="R1914">
        <f t="shared" si="119"/>
        <v>2023</v>
      </c>
    </row>
    <row r="1915" spans="1:18" x14ac:dyDescent="0.2">
      <c r="A1915" s="23">
        <v>45189</v>
      </c>
      <c r="B1915" s="23">
        <v>44958</v>
      </c>
      <c r="C1915" s="25" t="s">
        <v>399</v>
      </c>
      <c r="D1915" s="20">
        <v>231</v>
      </c>
      <c r="E1915" s="27">
        <v>0</v>
      </c>
      <c r="F1915" s="22" t="s">
        <v>257</v>
      </c>
      <c r="G1915" s="29">
        <v>588</v>
      </c>
      <c r="H1915" s="39">
        <v>44958</v>
      </c>
      <c r="I1915" s="46">
        <f t="shared" si="116"/>
        <v>231</v>
      </c>
      <c r="J1915" s="4" t="s">
        <v>14</v>
      </c>
      <c r="K1915" s="4" t="s">
        <v>198</v>
      </c>
      <c r="L1915" s="4" t="s">
        <v>224</v>
      </c>
      <c r="M1915" s="7">
        <v>588</v>
      </c>
      <c r="N1915" s="10">
        <v>0</v>
      </c>
      <c r="O1915" s="10">
        <v>0</v>
      </c>
      <c r="P1915">
        <f t="shared" si="117"/>
        <v>1</v>
      </c>
      <c r="Q1915" s="36">
        <f t="shared" si="118"/>
        <v>0</v>
      </c>
      <c r="R1915">
        <f t="shared" si="119"/>
        <v>2023</v>
      </c>
    </row>
    <row r="1916" spans="1:18" x14ac:dyDescent="0.2">
      <c r="A1916" s="23">
        <v>45189</v>
      </c>
      <c r="B1916" s="23">
        <v>44648</v>
      </c>
      <c r="C1916" s="25" t="s">
        <v>399</v>
      </c>
      <c r="D1916" s="20">
        <v>541</v>
      </c>
      <c r="E1916" s="27">
        <v>0</v>
      </c>
      <c r="F1916" s="22" t="s">
        <v>258</v>
      </c>
      <c r="G1916" s="29">
        <v>420</v>
      </c>
      <c r="H1916" s="39">
        <v>44648</v>
      </c>
      <c r="I1916" s="46">
        <f t="shared" si="116"/>
        <v>541</v>
      </c>
      <c r="J1916" s="4" t="s">
        <v>14</v>
      </c>
      <c r="K1916" s="4" t="s">
        <v>198</v>
      </c>
      <c r="L1916" s="4" t="s">
        <v>224</v>
      </c>
      <c r="M1916" s="7">
        <v>420</v>
      </c>
      <c r="N1916" s="10">
        <v>0</v>
      </c>
      <c r="O1916" s="10">
        <v>0</v>
      </c>
      <c r="P1916">
        <f t="shared" si="117"/>
        <v>1</v>
      </c>
      <c r="Q1916" s="36">
        <f t="shared" si="118"/>
        <v>0</v>
      </c>
      <c r="R1916">
        <f t="shared" si="119"/>
        <v>2022</v>
      </c>
    </row>
    <row r="1917" spans="1:18" x14ac:dyDescent="0.2">
      <c r="A1917" s="23">
        <v>45189</v>
      </c>
      <c r="B1917" s="23">
        <v>44648</v>
      </c>
      <c r="C1917" s="25" t="s">
        <v>399</v>
      </c>
      <c r="D1917" s="20">
        <v>541</v>
      </c>
      <c r="E1917" s="27">
        <v>0</v>
      </c>
      <c r="F1917" s="22" t="s">
        <v>259</v>
      </c>
      <c r="G1917" s="29">
        <v>2940</v>
      </c>
      <c r="H1917" s="39">
        <v>44958</v>
      </c>
      <c r="I1917" s="46">
        <f t="shared" si="116"/>
        <v>231</v>
      </c>
      <c r="J1917" s="4" t="s">
        <v>14</v>
      </c>
      <c r="K1917" s="4" t="s">
        <v>198</v>
      </c>
      <c r="L1917" s="4" t="s">
        <v>224</v>
      </c>
      <c r="M1917" s="7">
        <v>2940</v>
      </c>
      <c r="N1917" s="10">
        <v>0</v>
      </c>
      <c r="O1917" s="10">
        <v>0</v>
      </c>
      <c r="P1917">
        <f t="shared" si="117"/>
        <v>1</v>
      </c>
      <c r="Q1917" s="36">
        <f t="shared" si="118"/>
        <v>0</v>
      </c>
      <c r="R1917">
        <f t="shared" si="119"/>
        <v>2023</v>
      </c>
    </row>
    <row r="1918" spans="1:18" x14ac:dyDescent="0.2">
      <c r="A1918" s="23">
        <v>45189</v>
      </c>
      <c r="B1918" s="23">
        <v>44958</v>
      </c>
      <c r="C1918" s="25" t="s">
        <v>399</v>
      </c>
      <c r="D1918" s="20">
        <v>231</v>
      </c>
      <c r="E1918" s="27">
        <v>0</v>
      </c>
      <c r="F1918" s="22" t="s">
        <v>259</v>
      </c>
      <c r="G1918" s="29">
        <v>147</v>
      </c>
      <c r="H1918" s="39">
        <v>44958</v>
      </c>
      <c r="I1918" s="46">
        <f t="shared" si="116"/>
        <v>231</v>
      </c>
      <c r="J1918" s="4" t="s">
        <v>14</v>
      </c>
      <c r="K1918" s="4" t="s">
        <v>198</v>
      </c>
      <c r="L1918" s="4" t="s">
        <v>224</v>
      </c>
      <c r="M1918" s="7">
        <v>147</v>
      </c>
      <c r="N1918" s="10">
        <v>0</v>
      </c>
      <c r="O1918" s="10">
        <v>0</v>
      </c>
      <c r="P1918">
        <f t="shared" si="117"/>
        <v>1</v>
      </c>
      <c r="Q1918" s="36">
        <f t="shared" si="118"/>
        <v>0</v>
      </c>
      <c r="R1918">
        <f t="shared" si="119"/>
        <v>2023</v>
      </c>
    </row>
    <row r="1919" spans="1:18" x14ac:dyDescent="0.2">
      <c r="A1919" s="23">
        <v>45189</v>
      </c>
      <c r="B1919" s="23">
        <v>44958</v>
      </c>
      <c r="C1919" s="25" t="s">
        <v>399</v>
      </c>
      <c r="D1919" s="20">
        <v>231</v>
      </c>
      <c r="E1919" s="27">
        <v>0</v>
      </c>
      <c r="F1919" s="22" t="s">
        <v>259</v>
      </c>
      <c r="G1919" s="29">
        <v>2352</v>
      </c>
      <c r="H1919" s="39">
        <v>44958</v>
      </c>
      <c r="I1919" s="46">
        <f t="shared" si="116"/>
        <v>231</v>
      </c>
      <c r="J1919" s="4" t="s">
        <v>14</v>
      </c>
      <c r="K1919" s="4" t="s">
        <v>198</v>
      </c>
      <c r="L1919" s="4" t="s">
        <v>224</v>
      </c>
      <c r="M1919" s="7">
        <v>2352</v>
      </c>
      <c r="N1919" s="10">
        <v>0</v>
      </c>
      <c r="O1919" s="10">
        <v>0</v>
      </c>
      <c r="P1919">
        <f t="shared" si="117"/>
        <v>1</v>
      </c>
      <c r="Q1919" s="36">
        <f t="shared" si="118"/>
        <v>0</v>
      </c>
      <c r="R1919">
        <f t="shared" si="119"/>
        <v>2023</v>
      </c>
    </row>
    <row r="1920" spans="1:18" x14ac:dyDescent="0.2">
      <c r="A1920" s="23">
        <v>45189</v>
      </c>
      <c r="B1920" s="23">
        <v>44958</v>
      </c>
      <c r="C1920" s="25" t="s">
        <v>399</v>
      </c>
      <c r="D1920" s="20">
        <v>231</v>
      </c>
      <c r="E1920" s="27">
        <v>0</v>
      </c>
      <c r="F1920" s="22" t="s">
        <v>260</v>
      </c>
      <c r="G1920" s="29">
        <v>1008</v>
      </c>
      <c r="H1920" s="39">
        <v>44958</v>
      </c>
      <c r="I1920" s="46">
        <f t="shared" si="116"/>
        <v>231</v>
      </c>
      <c r="J1920" s="4" t="s">
        <v>14</v>
      </c>
      <c r="K1920" s="4" t="s">
        <v>198</v>
      </c>
      <c r="L1920" s="4" t="s">
        <v>224</v>
      </c>
      <c r="M1920" s="7">
        <v>1008</v>
      </c>
      <c r="N1920" s="10">
        <v>0</v>
      </c>
      <c r="O1920" s="10">
        <v>0</v>
      </c>
      <c r="P1920">
        <f t="shared" si="117"/>
        <v>1</v>
      </c>
      <c r="Q1920" s="36">
        <f t="shared" si="118"/>
        <v>0</v>
      </c>
      <c r="R1920">
        <f t="shared" si="119"/>
        <v>2023</v>
      </c>
    </row>
    <row r="1921" spans="1:18" x14ac:dyDescent="0.2">
      <c r="A1921" s="23">
        <v>45189</v>
      </c>
      <c r="B1921" s="23">
        <v>44753</v>
      </c>
      <c r="C1921" s="25" t="s">
        <v>399</v>
      </c>
      <c r="D1921" s="20">
        <v>436</v>
      </c>
      <c r="E1921" s="27">
        <v>0</v>
      </c>
      <c r="F1921" s="22" t="s">
        <v>261</v>
      </c>
      <c r="G1921" s="29">
        <v>1500</v>
      </c>
      <c r="H1921" s="39">
        <v>44648</v>
      </c>
      <c r="I1921" s="46">
        <f t="shared" si="116"/>
        <v>541</v>
      </c>
      <c r="J1921" s="4" t="s">
        <v>14</v>
      </c>
      <c r="K1921" s="4" t="s">
        <v>198</v>
      </c>
      <c r="L1921" s="4" t="s">
        <v>224</v>
      </c>
      <c r="M1921" s="7">
        <v>1500</v>
      </c>
      <c r="N1921" s="10">
        <v>0</v>
      </c>
      <c r="O1921" s="10">
        <v>0</v>
      </c>
      <c r="P1921">
        <f t="shared" si="117"/>
        <v>1</v>
      </c>
      <c r="Q1921" s="36">
        <f t="shared" si="118"/>
        <v>0</v>
      </c>
      <c r="R1921">
        <f t="shared" si="119"/>
        <v>2022</v>
      </c>
    </row>
    <row r="1922" spans="1:18" x14ac:dyDescent="0.2">
      <c r="A1922" s="23">
        <v>45189</v>
      </c>
      <c r="B1922" s="23">
        <v>44958</v>
      </c>
      <c r="C1922" s="25" t="s">
        <v>399</v>
      </c>
      <c r="D1922" s="20">
        <v>231</v>
      </c>
      <c r="E1922" s="27">
        <v>0</v>
      </c>
      <c r="F1922" s="22" t="s">
        <v>262</v>
      </c>
      <c r="G1922" s="29">
        <v>1500</v>
      </c>
      <c r="H1922" s="39">
        <v>44958</v>
      </c>
      <c r="I1922" s="46">
        <f t="shared" si="116"/>
        <v>231</v>
      </c>
      <c r="J1922" s="4" t="s">
        <v>14</v>
      </c>
      <c r="K1922" s="4" t="s">
        <v>198</v>
      </c>
      <c r="L1922" s="4" t="s">
        <v>224</v>
      </c>
      <c r="M1922" s="7">
        <v>1500</v>
      </c>
      <c r="N1922" s="10">
        <v>0</v>
      </c>
      <c r="O1922" s="10">
        <v>0</v>
      </c>
      <c r="P1922">
        <f t="shared" si="117"/>
        <v>1</v>
      </c>
      <c r="Q1922" s="36">
        <f t="shared" si="118"/>
        <v>0</v>
      </c>
      <c r="R1922">
        <f t="shared" si="119"/>
        <v>2023</v>
      </c>
    </row>
    <row r="1923" spans="1:18" x14ac:dyDescent="0.2">
      <c r="A1923" s="23">
        <v>45189</v>
      </c>
      <c r="B1923" s="23">
        <v>44946</v>
      </c>
      <c r="C1923" s="25" t="s">
        <v>399</v>
      </c>
      <c r="D1923" s="20">
        <v>243</v>
      </c>
      <c r="E1923" s="27">
        <v>0</v>
      </c>
      <c r="F1923" s="22" t="s">
        <v>263</v>
      </c>
      <c r="G1923" s="29">
        <v>1500</v>
      </c>
      <c r="H1923" s="39">
        <v>44958</v>
      </c>
      <c r="I1923" s="46">
        <f t="shared" ref="I1923:I1986" si="120">IFERROR(A1923-H1923,"")*1</f>
        <v>231</v>
      </c>
      <c r="J1923" s="4" t="s">
        <v>14</v>
      </c>
      <c r="K1923" s="4" t="s">
        <v>198</v>
      </c>
      <c r="L1923" s="4" t="s">
        <v>224</v>
      </c>
      <c r="M1923" s="7">
        <v>1500</v>
      </c>
      <c r="N1923" s="10">
        <v>0</v>
      </c>
      <c r="O1923" s="10">
        <v>0</v>
      </c>
      <c r="P1923">
        <f t="shared" ref="P1923:P1986" si="121">IF(M1923=G1923,1,0)</f>
        <v>1</v>
      </c>
      <c r="Q1923" s="36">
        <f t="shared" ref="Q1923:Q1986" si="122">N1923*G1923</f>
        <v>0</v>
      </c>
      <c r="R1923">
        <f t="shared" ref="R1923:R1986" si="123">YEAR(H1923)</f>
        <v>2023</v>
      </c>
    </row>
    <row r="1924" spans="1:18" x14ac:dyDescent="0.2">
      <c r="A1924" s="23">
        <v>45189</v>
      </c>
      <c r="B1924" s="23">
        <v>44958</v>
      </c>
      <c r="C1924" s="25" t="s">
        <v>399</v>
      </c>
      <c r="D1924" s="20">
        <v>231</v>
      </c>
      <c r="E1924" s="27">
        <v>0</v>
      </c>
      <c r="F1924" s="22" t="s">
        <v>264</v>
      </c>
      <c r="G1924" s="29">
        <v>1512</v>
      </c>
      <c r="H1924" s="39">
        <v>44958</v>
      </c>
      <c r="I1924" s="46">
        <f t="shared" si="120"/>
        <v>231</v>
      </c>
      <c r="J1924" s="4" t="s">
        <v>14</v>
      </c>
      <c r="K1924" s="4" t="s">
        <v>198</v>
      </c>
      <c r="L1924" s="4" t="s">
        <v>224</v>
      </c>
      <c r="M1924" s="7">
        <v>1512</v>
      </c>
      <c r="N1924" s="10">
        <v>0</v>
      </c>
      <c r="O1924" s="10">
        <v>0</v>
      </c>
      <c r="P1924">
        <f t="shared" si="121"/>
        <v>1</v>
      </c>
      <c r="Q1924" s="36">
        <f t="shared" si="122"/>
        <v>0</v>
      </c>
      <c r="R1924">
        <f t="shared" si="123"/>
        <v>2023</v>
      </c>
    </row>
    <row r="1925" spans="1:18" x14ac:dyDescent="0.2">
      <c r="A1925" s="23">
        <v>45189</v>
      </c>
      <c r="B1925" s="23">
        <v>45034</v>
      </c>
      <c r="C1925" s="25" t="s">
        <v>399</v>
      </c>
      <c r="D1925" s="20">
        <v>155</v>
      </c>
      <c r="E1925" s="27">
        <v>0</v>
      </c>
      <c r="F1925" s="22" t="s">
        <v>265</v>
      </c>
      <c r="G1925" s="29">
        <v>300</v>
      </c>
      <c r="H1925" s="39">
        <v>45034</v>
      </c>
      <c r="I1925" s="46">
        <f t="shared" si="120"/>
        <v>155</v>
      </c>
      <c r="J1925" s="4" t="s">
        <v>14</v>
      </c>
      <c r="K1925" s="4" t="s">
        <v>198</v>
      </c>
      <c r="L1925" s="4" t="s">
        <v>224</v>
      </c>
      <c r="M1925" s="7">
        <v>300</v>
      </c>
      <c r="N1925" s="10">
        <v>0</v>
      </c>
      <c r="O1925" s="10">
        <v>0</v>
      </c>
      <c r="P1925">
        <f t="shared" si="121"/>
        <v>1</v>
      </c>
      <c r="Q1925" s="36">
        <f t="shared" si="122"/>
        <v>0</v>
      </c>
      <c r="R1925">
        <f t="shared" si="123"/>
        <v>2023</v>
      </c>
    </row>
    <row r="1926" spans="1:18" x14ac:dyDescent="0.2">
      <c r="A1926" s="23">
        <v>45189</v>
      </c>
      <c r="B1926" s="23">
        <v>45034</v>
      </c>
      <c r="C1926" s="25" t="s">
        <v>399</v>
      </c>
      <c r="D1926" s="20">
        <v>155</v>
      </c>
      <c r="E1926" s="27">
        <v>0</v>
      </c>
      <c r="F1926" s="22" t="s">
        <v>265</v>
      </c>
      <c r="G1926" s="29">
        <v>570</v>
      </c>
      <c r="H1926" s="39">
        <v>45034</v>
      </c>
      <c r="I1926" s="46">
        <f t="shared" si="120"/>
        <v>155</v>
      </c>
      <c r="J1926" s="4" t="s">
        <v>14</v>
      </c>
      <c r="K1926" s="4" t="s">
        <v>198</v>
      </c>
      <c r="L1926" s="4" t="s">
        <v>224</v>
      </c>
      <c r="M1926" s="7">
        <v>570</v>
      </c>
      <c r="N1926" s="10">
        <v>0</v>
      </c>
      <c r="O1926" s="10">
        <v>0</v>
      </c>
      <c r="P1926">
        <f t="shared" si="121"/>
        <v>1</v>
      </c>
      <c r="Q1926" s="36">
        <f t="shared" si="122"/>
        <v>0</v>
      </c>
      <c r="R1926">
        <f t="shared" si="123"/>
        <v>2023</v>
      </c>
    </row>
    <row r="1927" spans="1:18" x14ac:dyDescent="0.2">
      <c r="A1927" s="23">
        <v>45189</v>
      </c>
      <c r="B1927" s="23">
        <v>44958</v>
      </c>
      <c r="C1927" s="25" t="s">
        <v>399</v>
      </c>
      <c r="D1927" s="20">
        <v>231</v>
      </c>
      <c r="E1927" s="27">
        <v>0</v>
      </c>
      <c r="F1927" s="22" t="s">
        <v>266</v>
      </c>
      <c r="G1927" s="29">
        <v>588</v>
      </c>
      <c r="H1927" s="39">
        <v>44958</v>
      </c>
      <c r="I1927" s="46">
        <f t="shared" si="120"/>
        <v>231</v>
      </c>
      <c r="J1927" s="4" t="s">
        <v>14</v>
      </c>
      <c r="K1927" s="4" t="s">
        <v>198</v>
      </c>
      <c r="L1927" s="4" t="s">
        <v>224</v>
      </c>
      <c r="M1927" s="7">
        <v>588</v>
      </c>
      <c r="N1927" s="10">
        <v>0</v>
      </c>
      <c r="O1927" s="10">
        <v>0</v>
      </c>
      <c r="P1927">
        <f t="shared" si="121"/>
        <v>1</v>
      </c>
      <c r="Q1927" s="36">
        <f t="shared" si="122"/>
        <v>0</v>
      </c>
      <c r="R1927">
        <f t="shared" si="123"/>
        <v>2023</v>
      </c>
    </row>
    <row r="1928" spans="1:18" x14ac:dyDescent="0.2">
      <c r="A1928" s="23">
        <v>45189</v>
      </c>
      <c r="B1928" s="23">
        <v>45028</v>
      </c>
      <c r="C1928" s="25" t="s">
        <v>399</v>
      </c>
      <c r="D1928" s="20">
        <v>161</v>
      </c>
      <c r="E1928" s="27">
        <v>0</v>
      </c>
      <c r="F1928" s="22" t="s">
        <v>267</v>
      </c>
      <c r="G1928" s="29">
        <v>855</v>
      </c>
      <c r="H1928" s="39">
        <v>44960</v>
      </c>
      <c r="I1928" s="46">
        <f t="shared" si="120"/>
        <v>229</v>
      </c>
      <c r="J1928" s="4" t="s">
        <v>14</v>
      </c>
      <c r="K1928" s="4" t="s">
        <v>198</v>
      </c>
      <c r="L1928" s="4" t="s">
        <v>224</v>
      </c>
      <c r="M1928" s="7">
        <v>855</v>
      </c>
      <c r="N1928" s="10">
        <v>0</v>
      </c>
      <c r="O1928" s="10">
        <v>0</v>
      </c>
      <c r="P1928">
        <f t="shared" si="121"/>
        <v>1</v>
      </c>
      <c r="Q1928" s="36">
        <f t="shared" si="122"/>
        <v>0</v>
      </c>
      <c r="R1928">
        <f t="shared" si="123"/>
        <v>2023</v>
      </c>
    </row>
    <row r="1929" spans="1:18" x14ac:dyDescent="0.2">
      <c r="A1929" s="23">
        <v>45315</v>
      </c>
      <c r="B1929" s="23">
        <v>44753</v>
      </c>
      <c r="C1929" s="25" t="s">
        <v>399</v>
      </c>
      <c r="D1929" s="20">
        <v>562</v>
      </c>
      <c r="E1929" s="27">
        <v>0</v>
      </c>
      <c r="F1929" s="22" t="s">
        <v>268</v>
      </c>
      <c r="G1929" s="29">
        <v>96</v>
      </c>
      <c r="H1929" s="39">
        <v>44753</v>
      </c>
      <c r="I1929" s="46">
        <f t="shared" si="120"/>
        <v>562</v>
      </c>
      <c r="J1929" s="4" t="s">
        <v>14</v>
      </c>
      <c r="K1929" s="4" t="s">
        <v>198</v>
      </c>
      <c r="L1929" s="4" t="s">
        <v>224</v>
      </c>
      <c r="M1929" s="7">
        <v>96</v>
      </c>
      <c r="N1929" s="10">
        <v>0</v>
      </c>
      <c r="O1929" s="10">
        <v>0</v>
      </c>
      <c r="P1929">
        <f t="shared" si="121"/>
        <v>1</v>
      </c>
      <c r="Q1929" s="36">
        <f t="shared" si="122"/>
        <v>0</v>
      </c>
      <c r="R1929">
        <f t="shared" si="123"/>
        <v>2022</v>
      </c>
    </row>
    <row r="1930" spans="1:18" x14ac:dyDescent="0.2">
      <c r="A1930" s="23">
        <v>45232</v>
      </c>
      <c r="B1930" s="23">
        <v>44648</v>
      </c>
      <c r="C1930" s="25" t="s">
        <v>399</v>
      </c>
      <c r="D1930" s="20">
        <v>584</v>
      </c>
      <c r="E1930" s="27">
        <v>0</v>
      </c>
      <c r="F1930" s="22" t="s">
        <v>269</v>
      </c>
      <c r="G1930" s="29">
        <v>383</v>
      </c>
      <c r="H1930" s="39">
        <v>44648</v>
      </c>
      <c r="I1930" s="46">
        <f t="shared" si="120"/>
        <v>584</v>
      </c>
      <c r="J1930" s="4" t="s">
        <v>14</v>
      </c>
      <c r="K1930" s="4" t="s">
        <v>198</v>
      </c>
      <c r="L1930" s="4" t="s">
        <v>224</v>
      </c>
      <c r="M1930" s="7">
        <v>383</v>
      </c>
      <c r="N1930" s="10">
        <v>0</v>
      </c>
      <c r="O1930" s="10">
        <v>0</v>
      </c>
      <c r="P1930">
        <f t="shared" si="121"/>
        <v>1</v>
      </c>
      <c r="Q1930" s="36">
        <f t="shared" si="122"/>
        <v>0</v>
      </c>
      <c r="R1930">
        <f t="shared" si="123"/>
        <v>2022</v>
      </c>
    </row>
    <row r="1931" spans="1:18" x14ac:dyDescent="0.2">
      <c r="A1931" s="23">
        <v>45310</v>
      </c>
      <c r="B1931" s="23">
        <v>44854</v>
      </c>
      <c r="C1931" s="25" t="s">
        <v>399</v>
      </c>
      <c r="D1931" s="20">
        <v>456</v>
      </c>
      <c r="E1931" s="27">
        <v>52799.89</v>
      </c>
      <c r="F1931" s="22" t="s">
        <v>270</v>
      </c>
      <c r="G1931" s="29">
        <v>13</v>
      </c>
      <c r="H1931" s="39">
        <v>44854</v>
      </c>
      <c r="I1931" s="46">
        <f t="shared" si="120"/>
        <v>456</v>
      </c>
      <c r="J1931" s="4" t="s">
        <v>15</v>
      </c>
      <c r="K1931" s="4" t="s">
        <v>199</v>
      </c>
      <c r="L1931" s="4" t="s">
        <v>225</v>
      </c>
      <c r="M1931" s="7">
        <v>13</v>
      </c>
      <c r="N1931" s="10">
        <v>4061.53</v>
      </c>
      <c r="O1931" s="10">
        <v>52799.89</v>
      </c>
      <c r="P1931">
        <f t="shared" si="121"/>
        <v>1</v>
      </c>
      <c r="Q1931" s="36">
        <f t="shared" si="122"/>
        <v>52799.89</v>
      </c>
      <c r="R1931">
        <f t="shared" si="123"/>
        <v>2022</v>
      </c>
    </row>
    <row r="1932" spans="1:18" x14ac:dyDescent="0.2">
      <c r="A1932" s="23">
        <v>45345</v>
      </c>
      <c r="B1932" s="23">
        <v>45233</v>
      </c>
      <c r="C1932" s="25" t="s">
        <v>399</v>
      </c>
      <c r="D1932" s="20">
        <v>112</v>
      </c>
      <c r="E1932" s="27">
        <v>52799.89</v>
      </c>
      <c r="F1932" s="22" t="s">
        <v>270</v>
      </c>
      <c r="G1932" s="29">
        <v>13</v>
      </c>
      <c r="H1932" s="39">
        <v>44854</v>
      </c>
      <c r="I1932" s="46">
        <f t="shared" si="120"/>
        <v>491</v>
      </c>
      <c r="J1932" s="4" t="s">
        <v>15</v>
      </c>
      <c r="K1932" s="4" t="s">
        <v>199</v>
      </c>
      <c r="L1932" s="4" t="s">
        <v>225</v>
      </c>
      <c r="M1932" s="7">
        <v>13</v>
      </c>
      <c r="N1932" s="10">
        <v>4061.53</v>
      </c>
      <c r="O1932" s="10">
        <v>52799.89</v>
      </c>
      <c r="P1932">
        <f t="shared" si="121"/>
        <v>1</v>
      </c>
      <c r="Q1932" s="36">
        <f t="shared" si="122"/>
        <v>52799.89</v>
      </c>
      <c r="R1932">
        <f t="shared" si="123"/>
        <v>2022</v>
      </c>
    </row>
    <row r="1933" spans="1:18" x14ac:dyDescent="0.2">
      <c r="A1933" s="23">
        <v>45345</v>
      </c>
      <c r="B1933" s="23">
        <v>45233</v>
      </c>
      <c r="C1933" s="25" t="s">
        <v>399</v>
      </c>
      <c r="D1933" s="20">
        <v>112</v>
      </c>
      <c r="E1933" s="27">
        <v>52799.89</v>
      </c>
      <c r="F1933" s="22" t="s">
        <v>270</v>
      </c>
      <c r="G1933" s="29">
        <v>13</v>
      </c>
      <c r="H1933" s="39">
        <v>44854</v>
      </c>
      <c r="I1933" s="46">
        <f t="shared" si="120"/>
        <v>491</v>
      </c>
      <c r="J1933" s="4" t="s">
        <v>15</v>
      </c>
      <c r="K1933" s="4" t="s">
        <v>199</v>
      </c>
      <c r="L1933" s="4" t="s">
        <v>225</v>
      </c>
      <c r="M1933" s="7">
        <v>13</v>
      </c>
      <c r="N1933" s="10">
        <v>4061.53</v>
      </c>
      <c r="O1933" s="10">
        <v>52799.89</v>
      </c>
      <c r="P1933">
        <f t="shared" si="121"/>
        <v>1</v>
      </c>
      <c r="Q1933" s="36">
        <f t="shared" si="122"/>
        <v>52799.89</v>
      </c>
      <c r="R1933">
        <f t="shared" si="123"/>
        <v>2022</v>
      </c>
    </row>
    <row r="1934" spans="1:18" x14ac:dyDescent="0.2">
      <c r="A1934" s="23">
        <v>45345</v>
      </c>
      <c r="B1934" s="23">
        <v>45233</v>
      </c>
      <c r="C1934" s="25" t="s">
        <v>399</v>
      </c>
      <c r="D1934" s="20">
        <v>112</v>
      </c>
      <c r="E1934" s="27">
        <v>52799.89</v>
      </c>
      <c r="F1934" s="22" t="s">
        <v>270</v>
      </c>
      <c r="G1934" s="29">
        <v>13</v>
      </c>
      <c r="H1934" s="39">
        <v>44854</v>
      </c>
      <c r="I1934" s="46">
        <f t="shared" si="120"/>
        <v>491</v>
      </c>
      <c r="J1934" s="4" t="s">
        <v>15</v>
      </c>
      <c r="K1934" s="4" t="s">
        <v>199</v>
      </c>
      <c r="L1934" s="4" t="s">
        <v>225</v>
      </c>
      <c r="M1934" s="7">
        <v>13</v>
      </c>
      <c r="N1934" s="10">
        <v>4061.53</v>
      </c>
      <c r="O1934" s="10">
        <v>52799.89</v>
      </c>
      <c r="P1934">
        <f t="shared" si="121"/>
        <v>1</v>
      </c>
      <c r="Q1934" s="36">
        <f t="shared" si="122"/>
        <v>52799.89</v>
      </c>
      <c r="R1934">
        <f t="shared" si="123"/>
        <v>2022</v>
      </c>
    </row>
    <row r="1935" spans="1:18" x14ac:dyDescent="0.2">
      <c r="A1935" s="23">
        <v>45345</v>
      </c>
      <c r="B1935" s="23">
        <v>45233</v>
      </c>
      <c r="C1935" s="25" t="s">
        <v>399</v>
      </c>
      <c r="D1935" s="20">
        <v>112</v>
      </c>
      <c r="E1935" s="27">
        <v>52799.89</v>
      </c>
      <c r="F1935" s="22" t="s">
        <v>270</v>
      </c>
      <c r="G1935" s="29">
        <v>13</v>
      </c>
      <c r="H1935" s="39">
        <v>44854</v>
      </c>
      <c r="I1935" s="46">
        <f t="shared" si="120"/>
        <v>491</v>
      </c>
      <c r="J1935" s="4" t="s">
        <v>15</v>
      </c>
      <c r="K1935" s="4" t="s">
        <v>199</v>
      </c>
      <c r="L1935" s="4" t="s">
        <v>225</v>
      </c>
      <c r="M1935" s="7">
        <v>13</v>
      </c>
      <c r="N1935" s="10">
        <v>4061.53</v>
      </c>
      <c r="O1935" s="10">
        <v>52799.89</v>
      </c>
      <c r="P1935">
        <f t="shared" si="121"/>
        <v>1</v>
      </c>
      <c r="Q1935" s="36">
        <f t="shared" si="122"/>
        <v>52799.89</v>
      </c>
      <c r="R1935">
        <f t="shared" si="123"/>
        <v>2022</v>
      </c>
    </row>
    <row r="1936" spans="1:18" x14ac:dyDescent="0.2">
      <c r="A1936" s="23">
        <v>45345</v>
      </c>
      <c r="B1936" s="23">
        <v>45233</v>
      </c>
      <c r="C1936" s="25" t="s">
        <v>399</v>
      </c>
      <c r="D1936" s="20">
        <v>112</v>
      </c>
      <c r="E1936" s="27">
        <v>52799.89</v>
      </c>
      <c r="F1936" s="22" t="s">
        <v>270</v>
      </c>
      <c r="G1936" s="29">
        <v>13</v>
      </c>
      <c r="H1936" s="39">
        <v>44854</v>
      </c>
      <c r="I1936" s="46">
        <f t="shared" si="120"/>
        <v>491</v>
      </c>
      <c r="J1936" s="4" t="s">
        <v>15</v>
      </c>
      <c r="K1936" s="4" t="s">
        <v>199</v>
      </c>
      <c r="L1936" s="4" t="s">
        <v>225</v>
      </c>
      <c r="M1936" s="7">
        <v>13</v>
      </c>
      <c r="N1936" s="10">
        <v>4061.53</v>
      </c>
      <c r="O1936" s="10">
        <v>52799.89</v>
      </c>
      <c r="P1936">
        <f t="shared" si="121"/>
        <v>1</v>
      </c>
      <c r="Q1936" s="36">
        <f t="shared" si="122"/>
        <v>52799.89</v>
      </c>
      <c r="R1936">
        <f t="shared" si="123"/>
        <v>2022</v>
      </c>
    </row>
    <row r="1937" spans="1:18" x14ac:dyDescent="0.2">
      <c r="A1937" s="23">
        <v>45345</v>
      </c>
      <c r="B1937" s="23">
        <v>45233</v>
      </c>
      <c r="C1937" s="25" t="s">
        <v>399</v>
      </c>
      <c r="D1937" s="20">
        <v>112</v>
      </c>
      <c r="E1937" s="27">
        <v>52799.89</v>
      </c>
      <c r="F1937" s="22" t="s">
        <v>270</v>
      </c>
      <c r="G1937" s="29">
        <v>13</v>
      </c>
      <c r="H1937" s="39">
        <v>44854</v>
      </c>
      <c r="I1937" s="46">
        <f t="shared" si="120"/>
        <v>491</v>
      </c>
      <c r="J1937" s="4" t="s">
        <v>15</v>
      </c>
      <c r="K1937" s="4" t="s">
        <v>199</v>
      </c>
      <c r="L1937" s="4" t="s">
        <v>225</v>
      </c>
      <c r="M1937" s="7">
        <v>13</v>
      </c>
      <c r="N1937" s="10">
        <v>4061.53</v>
      </c>
      <c r="O1937" s="10">
        <v>52799.89</v>
      </c>
      <c r="P1937">
        <f t="shared" si="121"/>
        <v>1</v>
      </c>
      <c r="Q1937" s="36">
        <f t="shared" si="122"/>
        <v>52799.89</v>
      </c>
      <c r="R1937">
        <f t="shared" si="123"/>
        <v>2022</v>
      </c>
    </row>
    <row r="1938" spans="1:18" x14ac:dyDescent="0.2">
      <c r="A1938" s="23">
        <v>45345</v>
      </c>
      <c r="B1938" s="23">
        <v>45233</v>
      </c>
      <c r="C1938" s="25" t="s">
        <v>399</v>
      </c>
      <c r="D1938" s="20">
        <v>112</v>
      </c>
      <c r="E1938" s="27">
        <v>52799.89</v>
      </c>
      <c r="F1938" s="22" t="s">
        <v>270</v>
      </c>
      <c r="G1938" s="29">
        <v>13</v>
      </c>
      <c r="H1938" s="39">
        <v>44854</v>
      </c>
      <c r="I1938" s="46">
        <f t="shared" si="120"/>
        <v>491</v>
      </c>
      <c r="J1938" s="4" t="s">
        <v>15</v>
      </c>
      <c r="K1938" s="4" t="s">
        <v>199</v>
      </c>
      <c r="L1938" s="4" t="s">
        <v>225</v>
      </c>
      <c r="M1938" s="7">
        <v>13</v>
      </c>
      <c r="N1938" s="10">
        <v>4061.53</v>
      </c>
      <c r="O1938" s="10">
        <v>52799.89</v>
      </c>
      <c r="P1938">
        <f t="shared" si="121"/>
        <v>1</v>
      </c>
      <c r="Q1938" s="36">
        <f t="shared" si="122"/>
        <v>52799.89</v>
      </c>
      <c r="R1938">
        <f t="shared" si="123"/>
        <v>2022</v>
      </c>
    </row>
    <row r="1939" spans="1:18" x14ac:dyDescent="0.2">
      <c r="A1939" s="23">
        <v>45345</v>
      </c>
      <c r="B1939" s="23">
        <v>45233</v>
      </c>
      <c r="C1939" s="25" t="s">
        <v>399</v>
      </c>
      <c r="D1939" s="20">
        <v>112</v>
      </c>
      <c r="E1939" s="27">
        <v>52799.89</v>
      </c>
      <c r="F1939" s="22" t="s">
        <v>270</v>
      </c>
      <c r="G1939" s="29">
        <v>13</v>
      </c>
      <c r="H1939" s="39">
        <v>44854</v>
      </c>
      <c r="I1939" s="46">
        <f t="shared" si="120"/>
        <v>491</v>
      </c>
      <c r="J1939" s="4" t="s">
        <v>15</v>
      </c>
      <c r="K1939" s="4" t="s">
        <v>199</v>
      </c>
      <c r="L1939" s="4" t="s">
        <v>225</v>
      </c>
      <c r="M1939" s="7">
        <v>13</v>
      </c>
      <c r="N1939" s="10">
        <v>4061.53</v>
      </c>
      <c r="O1939" s="10">
        <v>52799.89</v>
      </c>
      <c r="P1939">
        <f t="shared" si="121"/>
        <v>1</v>
      </c>
      <c r="Q1939" s="36">
        <f t="shared" si="122"/>
        <v>52799.89</v>
      </c>
      <c r="R1939">
        <f t="shared" si="123"/>
        <v>2022</v>
      </c>
    </row>
    <row r="1940" spans="1:18" x14ac:dyDescent="0.2">
      <c r="A1940" s="23">
        <v>45345</v>
      </c>
      <c r="B1940" s="23">
        <v>45233</v>
      </c>
      <c r="C1940" s="25" t="s">
        <v>399</v>
      </c>
      <c r="D1940" s="20">
        <v>112</v>
      </c>
      <c r="E1940" s="27">
        <v>52799.89</v>
      </c>
      <c r="F1940" s="22" t="s">
        <v>270</v>
      </c>
      <c r="G1940" s="29">
        <v>13</v>
      </c>
      <c r="H1940" s="39">
        <v>44854</v>
      </c>
      <c r="I1940" s="46">
        <f t="shared" si="120"/>
        <v>491</v>
      </c>
      <c r="J1940" s="4" t="s">
        <v>15</v>
      </c>
      <c r="K1940" s="4" t="s">
        <v>200</v>
      </c>
      <c r="L1940" s="4" t="s">
        <v>225</v>
      </c>
      <c r="M1940" s="7">
        <v>13</v>
      </c>
      <c r="N1940" s="10">
        <v>4061.53</v>
      </c>
      <c r="O1940" s="10">
        <v>52799.89</v>
      </c>
      <c r="P1940">
        <f t="shared" si="121"/>
        <v>1</v>
      </c>
      <c r="Q1940" s="36">
        <f t="shared" si="122"/>
        <v>52799.89</v>
      </c>
      <c r="R1940">
        <f t="shared" si="123"/>
        <v>2022</v>
      </c>
    </row>
    <row r="1941" spans="1:18" x14ac:dyDescent="0.2">
      <c r="A1941" s="23">
        <v>45345</v>
      </c>
      <c r="B1941" s="23">
        <v>45233</v>
      </c>
      <c r="C1941" s="25" t="s">
        <v>399</v>
      </c>
      <c r="D1941" s="20">
        <v>112</v>
      </c>
      <c r="E1941" s="27">
        <v>52799.89</v>
      </c>
      <c r="F1941" s="22" t="s">
        <v>270</v>
      </c>
      <c r="G1941" s="29">
        <v>13</v>
      </c>
      <c r="H1941" s="39">
        <v>44854</v>
      </c>
      <c r="I1941" s="46">
        <f t="shared" si="120"/>
        <v>491</v>
      </c>
      <c r="J1941" s="4" t="s">
        <v>15</v>
      </c>
      <c r="K1941" s="4" t="s">
        <v>199</v>
      </c>
      <c r="L1941" s="4" t="s">
        <v>225</v>
      </c>
      <c r="M1941" s="7">
        <v>13</v>
      </c>
      <c r="N1941" s="10">
        <v>4061.53</v>
      </c>
      <c r="O1941" s="10">
        <v>52799.89</v>
      </c>
      <c r="P1941">
        <f t="shared" si="121"/>
        <v>1</v>
      </c>
      <c r="Q1941" s="36">
        <f t="shared" si="122"/>
        <v>52799.89</v>
      </c>
      <c r="R1941">
        <f t="shared" si="123"/>
        <v>2022</v>
      </c>
    </row>
    <row r="1942" spans="1:18" x14ac:dyDescent="0.2">
      <c r="A1942" s="23">
        <v>45345</v>
      </c>
      <c r="B1942" s="23">
        <v>45233</v>
      </c>
      <c r="C1942" s="25" t="s">
        <v>399</v>
      </c>
      <c r="D1942" s="20">
        <v>112</v>
      </c>
      <c r="E1942" s="27">
        <v>52799.89</v>
      </c>
      <c r="F1942" s="22" t="s">
        <v>270</v>
      </c>
      <c r="G1942" s="29">
        <v>13</v>
      </c>
      <c r="H1942" s="39">
        <v>44854</v>
      </c>
      <c r="I1942" s="46">
        <f t="shared" si="120"/>
        <v>491</v>
      </c>
      <c r="J1942" s="4" t="s">
        <v>15</v>
      </c>
      <c r="K1942" s="4" t="s">
        <v>199</v>
      </c>
      <c r="L1942" s="4" t="s">
        <v>225</v>
      </c>
      <c r="M1942" s="7">
        <v>13</v>
      </c>
      <c r="N1942" s="10">
        <v>4061.53</v>
      </c>
      <c r="O1942" s="10">
        <v>52799.89</v>
      </c>
      <c r="P1942">
        <f t="shared" si="121"/>
        <v>1</v>
      </c>
      <c r="Q1942" s="36">
        <f t="shared" si="122"/>
        <v>52799.89</v>
      </c>
      <c r="R1942">
        <f t="shared" si="123"/>
        <v>2022</v>
      </c>
    </row>
    <row r="1943" spans="1:18" x14ac:dyDescent="0.2">
      <c r="A1943" s="23">
        <v>45345</v>
      </c>
      <c r="B1943" s="23">
        <v>45233</v>
      </c>
      <c r="C1943" s="25" t="s">
        <v>399</v>
      </c>
      <c r="D1943" s="20">
        <v>112</v>
      </c>
      <c r="E1943" s="27">
        <v>52799.89</v>
      </c>
      <c r="F1943" s="22" t="s">
        <v>270</v>
      </c>
      <c r="G1943" s="29">
        <v>13</v>
      </c>
      <c r="H1943" s="39">
        <v>44854</v>
      </c>
      <c r="I1943" s="46">
        <f t="shared" si="120"/>
        <v>491</v>
      </c>
      <c r="J1943" s="4" t="s">
        <v>15</v>
      </c>
      <c r="K1943" s="4" t="s">
        <v>199</v>
      </c>
      <c r="L1943" s="4" t="s">
        <v>225</v>
      </c>
      <c r="M1943" s="7">
        <v>13</v>
      </c>
      <c r="N1943" s="10">
        <v>4061.53</v>
      </c>
      <c r="O1943" s="10">
        <v>52799.89</v>
      </c>
      <c r="P1943">
        <f t="shared" si="121"/>
        <v>1</v>
      </c>
      <c r="Q1943" s="36">
        <f t="shared" si="122"/>
        <v>52799.89</v>
      </c>
      <c r="R1943">
        <f t="shared" si="123"/>
        <v>2022</v>
      </c>
    </row>
    <row r="1944" spans="1:18" x14ac:dyDescent="0.2">
      <c r="A1944" s="23">
        <v>45345</v>
      </c>
      <c r="B1944" s="23">
        <v>45233</v>
      </c>
      <c r="C1944" s="25" t="s">
        <v>399</v>
      </c>
      <c r="D1944" s="20">
        <v>112</v>
      </c>
      <c r="E1944" s="27">
        <v>52799.89</v>
      </c>
      <c r="F1944" s="22" t="s">
        <v>270</v>
      </c>
      <c r="G1944" s="29">
        <v>13</v>
      </c>
      <c r="H1944" s="39">
        <v>44854</v>
      </c>
      <c r="I1944" s="46">
        <f t="shared" si="120"/>
        <v>491</v>
      </c>
      <c r="J1944" s="4" t="s">
        <v>15</v>
      </c>
      <c r="K1944" s="4" t="s">
        <v>199</v>
      </c>
      <c r="L1944" s="4" t="s">
        <v>225</v>
      </c>
      <c r="M1944" s="7">
        <v>13</v>
      </c>
      <c r="N1944" s="10">
        <v>4061.53</v>
      </c>
      <c r="O1944" s="10">
        <v>52799.89</v>
      </c>
      <c r="P1944">
        <f t="shared" si="121"/>
        <v>1</v>
      </c>
      <c r="Q1944" s="36">
        <f t="shared" si="122"/>
        <v>52799.89</v>
      </c>
      <c r="R1944">
        <f t="shared" si="123"/>
        <v>2022</v>
      </c>
    </row>
    <row r="1945" spans="1:18" x14ac:dyDescent="0.2">
      <c r="A1945" s="23">
        <v>45345</v>
      </c>
      <c r="B1945" s="23">
        <v>45233</v>
      </c>
      <c r="C1945" s="25" t="s">
        <v>399</v>
      </c>
      <c r="D1945" s="20">
        <v>112</v>
      </c>
      <c r="E1945" s="27">
        <v>52799.89</v>
      </c>
      <c r="F1945" s="22" t="s">
        <v>270</v>
      </c>
      <c r="G1945" s="29">
        <v>13</v>
      </c>
      <c r="H1945" s="39">
        <v>44854</v>
      </c>
      <c r="I1945" s="46">
        <f t="shared" si="120"/>
        <v>491</v>
      </c>
      <c r="J1945" s="4" t="s">
        <v>15</v>
      </c>
      <c r="K1945" s="4" t="s">
        <v>199</v>
      </c>
      <c r="L1945" s="4" t="s">
        <v>225</v>
      </c>
      <c r="M1945" s="7">
        <v>13</v>
      </c>
      <c r="N1945" s="10">
        <v>4061.53</v>
      </c>
      <c r="O1945" s="10">
        <v>52799.89</v>
      </c>
      <c r="P1945">
        <f t="shared" si="121"/>
        <v>1</v>
      </c>
      <c r="Q1945" s="36">
        <f t="shared" si="122"/>
        <v>52799.89</v>
      </c>
      <c r="R1945">
        <f t="shared" si="123"/>
        <v>2022</v>
      </c>
    </row>
    <row r="1946" spans="1:18" x14ac:dyDescent="0.2">
      <c r="A1946" s="23">
        <v>45345</v>
      </c>
      <c r="B1946" s="23">
        <v>45233</v>
      </c>
      <c r="C1946" s="25" t="s">
        <v>399</v>
      </c>
      <c r="D1946" s="20">
        <v>112</v>
      </c>
      <c r="E1946" s="27">
        <v>52799.89</v>
      </c>
      <c r="F1946" s="22" t="s">
        <v>270</v>
      </c>
      <c r="G1946" s="29">
        <v>13</v>
      </c>
      <c r="H1946" s="39">
        <v>44854</v>
      </c>
      <c r="I1946" s="46">
        <f t="shared" si="120"/>
        <v>491</v>
      </c>
      <c r="J1946" s="4" t="s">
        <v>15</v>
      </c>
      <c r="K1946" s="4" t="s">
        <v>199</v>
      </c>
      <c r="L1946" s="4" t="s">
        <v>225</v>
      </c>
      <c r="M1946" s="7">
        <v>13</v>
      </c>
      <c r="N1946" s="10">
        <v>4061.53</v>
      </c>
      <c r="O1946" s="10">
        <v>52799.89</v>
      </c>
      <c r="P1946">
        <f t="shared" si="121"/>
        <v>1</v>
      </c>
      <c r="Q1946" s="36">
        <f t="shared" si="122"/>
        <v>52799.89</v>
      </c>
      <c r="R1946">
        <f t="shared" si="123"/>
        <v>2022</v>
      </c>
    </row>
    <row r="1947" spans="1:18" x14ac:dyDescent="0.2">
      <c r="A1947" s="23">
        <v>45345</v>
      </c>
      <c r="B1947" s="23">
        <v>45233</v>
      </c>
      <c r="C1947" s="25" t="s">
        <v>399</v>
      </c>
      <c r="D1947" s="20">
        <v>112</v>
      </c>
      <c r="E1947" s="27">
        <v>52799.89</v>
      </c>
      <c r="F1947" s="22" t="s">
        <v>270</v>
      </c>
      <c r="G1947" s="29">
        <v>13</v>
      </c>
      <c r="H1947" s="39">
        <v>44854</v>
      </c>
      <c r="I1947" s="46">
        <f t="shared" si="120"/>
        <v>491</v>
      </c>
      <c r="J1947" s="4" t="s">
        <v>15</v>
      </c>
      <c r="K1947" s="4" t="s">
        <v>199</v>
      </c>
      <c r="L1947" s="4" t="s">
        <v>225</v>
      </c>
      <c r="M1947" s="7">
        <v>13</v>
      </c>
      <c r="N1947" s="10">
        <v>4061.53</v>
      </c>
      <c r="O1947" s="10">
        <v>52799.89</v>
      </c>
      <c r="P1947">
        <f t="shared" si="121"/>
        <v>1</v>
      </c>
      <c r="Q1947" s="36">
        <f t="shared" si="122"/>
        <v>52799.89</v>
      </c>
      <c r="R1947">
        <f t="shared" si="123"/>
        <v>2022</v>
      </c>
    </row>
    <row r="1948" spans="1:18" x14ac:dyDescent="0.2">
      <c r="A1948" s="23">
        <v>45345</v>
      </c>
      <c r="B1948" s="23">
        <v>45233</v>
      </c>
      <c r="C1948" s="25" t="s">
        <v>399</v>
      </c>
      <c r="D1948" s="20">
        <v>112</v>
      </c>
      <c r="E1948" s="27">
        <v>52799.89</v>
      </c>
      <c r="F1948" s="22" t="s">
        <v>270</v>
      </c>
      <c r="G1948" s="29">
        <v>13</v>
      </c>
      <c r="H1948" s="39">
        <v>44854</v>
      </c>
      <c r="I1948" s="46">
        <f t="shared" si="120"/>
        <v>491</v>
      </c>
      <c r="J1948" s="4" t="s">
        <v>15</v>
      </c>
      <c r="K1948" s="4" t="s">
        <v>199</v>
      </c>
      <c r="L1948" s="4" t="s">
        <v>225</v>
      </c>
      <c r="M1948" s="7">
        <v>13</v>
      </c>
      <c r="N1948" s="10">
        <v>4061.53</v>
      </c>
      <c r="O1948" s="10">
        <v>52799.89</v>
      </c>
      <c r="P1948">
        <f t="shared" si="121"/>
        <v>1</v>
      </c>
      <c r="Q1948" s="36">
        <f t="shared" si="122"/>
        <v>52799.89</v>
      </c>
      <c r="R1948">
        <f t="shared" si="123"/>
        <v>2022</v>
      </c>
    </row>
    <row r="1949" spans="1:18" x14ac:dyDescent="0.2">
      <c r="A1949" s="23">
        <v>45345</v>
      </c>
      <c r="B1949" s="23">
        <v>45233</v>
      </c>
      <c r="C1949" s="25" t="s">
        <v>399</v>
      </c>
      <c r="D1949" s="20">
        <v>112</v>
      </c>
      <c r="E1949" s="27">
        <v>4061.53</v>
      </c>
      <c r="F1949" s="22" t="s">
        <v>270</v>
      </c>
      <c r="G1949" s="29">
        <v>1</v>
      </c>
      <c r="H1949" s="39">
        <v>44854</v>
      </c>
      <c r="I1949" s="46">
        <f t="shared" si="120"/>
        <v>491</v>
      </c>
      <c r="J1949" s="4" t="s">
        <v>15</v>
      </c>
      <c r="K1949" s="4" t="s">
        <v>199</v>
      </c>
      <c r="L1949" s="4" t="s">
        <v>225</v>
      </c>
      <c r="M1949" s="7">
        <v>13</v>
      </c>
      <c r="N1949" s="10">
        <v>4061.53</v>
      </c>
      <c r="O1949" s="10">
        <v>52799.89</v>
      </c>
      <c r="P1949">
        <f t="shared" si="121"/>
        <v>0</v>
      </c>
      <c r="Q1949" s="36">
        <f t="shared" si="122"/>
        <v>4061.53</v>
      </c>
      <c r="R1949">
        <f t="shared" si="123"/>
        <v>2022</v>
      </c>
    </row>
    <row r="1950" spans="1:18" x14ac:dyDescent="0.2">
      <c r="A1950" s="23">
        <v>45383</v>
      </c>
      <c r="B1950" s="23">
        <v>45233</v>
      </c>
      <c r="C1950" s="25" t="s">
        <v>399</v>
      </c>
      <c r="D1950" s="20">
        <v>150</v>
      </c>
      <c r="E1950" s="27">
        <v>48738.36</v>
      </c>
      <c r="F1950" s="22" t="s">
        <v>270</v>
      </c>
      <c r="G1950" s="29">
        <v>12</v>
      </c>
      <c r="H1950" s="39">
        <v>44854</v>
      </c>
      <c r="I1950" s="46">
        <f t="shared" si="120"/>
        <v>529</v>
      </c>
      <c r="J1950" s="4" t="s">
        <v>15</v>
      </c>
      <c r="K1950" s="4" t="s">
        <v>199</v>
      </c>
      <c r="L1950" s="4" t="s">
        <v>225</v>
      </c>
      <c r="M1950" s="7">
        <v>13</v>
      </c>
      <c r="N1950" s="10">
        <v>4061.53</v>
      </c>
      <c r="O1950" s="10">
        <v>52799.89</v>
      </c>
      <c r="P1950">
        <f t="shared" si="121"/>
        <v>0</v>
      </c>
      <c r="Q1950" s="36">
        <f t="shared" si="122"/>
        <v>48738.36</v>
      </c>
      <c r="R1950">
        <f t="shared" si="123"/>
        <v>2022</v>
      </c>
    </row>
    <row r="1951" spans="1:18" x14ac:dyDescent="0.2">
      <c r="A1951" s="23">
        <v>45383</v>
      </c>
      <c r="B1951" s="23">
        <v>45233</v>
      </c>
      <c r="C1951" s="25" t="s">
        <v>399</v>
      </c>
      <c r="D1951" s="20">
        <v>150</v>
      </c>
      <c r="E1951" s="27">
        <v>52799.89</v>
      </c>
      <c r="F1951" s="22" t="s">
        <v>270</v>
      </c>
      <c r="G1951" s="29">
        <v>13</v>
      </c>
      <c r="H1951" s="39">
        <v>44854</v>
      </c>
      <c r="I1951" s="46">
        <f t="shared" si="120"/>
        <v>529</v>
      </c>
      <c r="J1951" s="4" t="s">
        <v>15</v>
      </c>
      <c r="K1951" s="4" t="s">
        <v>199</v>
      </c>
      <c r="L1951" s="4" t="s">
        <v>225</v>
      </c>
      <c r="M1951" s="7">
        <v>13</v>
      </c>
      <c r="N1951" s="10">
        <v>4061.53</v>
      </c>
      <c r="O1951" s="10">
        <v>52799.89</v>
      </c>
      <c r="P1951">
        <f t="shared" si="121"/>
        <v>1</v>
      </c>
      <c r="Q1951" s="36">
        <f t="shared" si="122"/>
        <v>52799.89</v>
      </c>
      <c r="R1951">
        <f t="shared" si="123"/>
        <v>2022</v>
      </c>
    </row>
    <row r="1952" spans="1:18" x14ac:dyDescent="0.2">
      <c r="A1952" s="23">
        <v>45383</v>
      </c>
      <c r="B1952" s="23">
        <v>45233</v>
      </c>
      <c r="C1952" s="25" t="s">
        <v>399</v>
      </c>
      <c r="D1952" s="20">
        <v>150</v>
      </c>
      <c r="E1952" s="27">
        <v>52799.89</v>
      </c>
      <c r="F1952" s="22" t="s">
        <v>270</v>
      </c>
      <c r="G1952" s="29">
        <v>13</v>
      </c>
      <c r="H1952" s="39">
        <v>44854</v>
      </c>
      <c r="I1952" s="46">
        <f t="shared" si="120"/>
        <v>529</v>
      </c>
      <c r="J1952" s="4" t="s">
        <v>15</v>
      </c>
      <c r="K1952" s="4" t="s">
        <v>199</v>
      </c>
      <c r="L1952" s="4" t="s">
        <v>225</v>
      </c>
      <c r="M1952" s="7">
        <v>13</v>
      </c>
      <c r="N1952" s="10">
        <v>4061.53</v>
      </c>
      <c r="O1952" s="10">
        <v>52799.89</v>
      </c>
      <c r="P1952">
        <f t="shared" si="121"/>
        <v>1</v>
      </c>
      <c r="Q1952" s="36">
        <f t="shared" si="122"/>
        <v>52799.89</v>
      </c>
      <c r="R1952">
        <f t="shared" si="123"/>
        <v>2022</v>
      </c>
    </row>
    <row r="1953" spans="1:18" x14ac:dyDescent="0.2">
      <c r="A1953" s="23">
        <v>45383</v>
      </c>
      <c r="B1953" s="23">
        <v>45233</v>
      </c>
      <c r="C1953" s="25" t="s">
        <v>399</v>
      </c>
      <c r="D1953" s="20">
        <v>150</v>
      </c>
      <c r="E1953" s="27">
        <v>52799.89</v>
      </c>
      <c r="F1953" s="22" t="s">
        <v>270</v>
      </c>
      <c r="G1953" s="29">
        <v>13</v>
      </c>
      <c r="H1953" s="39">
        <v>44854</v>
      </c>
      <c r="I1953" s="46">
        <f t="shared" si="120"/>
        <v>529</v>
      </c>
      <c r="J1953" s="4" t="s">
        <v>15</v>
      </c>
      <c r="K1953" s="4" t="s">
        <v>199</v>
      </c>
      <c r="L1953" s="4" t="s">
        <v>225</v>
      </c>
      <c r="M1953" s="7">
        <v>13</v>
      </c>
      <c r="N1953" s="10">
        <v>4061.53</v>
      </c>
      <c r="O1953" s="10">
        <v>52799.89</v>
      </c>
      <c r="P1953">
        <f t="shared" si="121"/>
        <v>1</v>
      </c>
      <c r="Q1953" s="36">
        <f t="shared" si="122"/>
        <v>52799.89</v>
      </c>
      <c r="R1953">
        <f t="shared" si="123"/>
        <v>2022</v>
      </c>
    </row>
    <row r="1954" spans="1:18" x14ac:dyDescent="0.2">
      <c r="A1954" s="23">
        <v>45383</v>
      </c>
      <c r="B1954" s="23">
        <v>45233</v>
      </c>
      <c r="C1954" s="25" t="s">
        <v>399</v>
      </c>
      <c r="D1954" s="20">
        <v>150</v>
      </c>
      <c r="E1954" s="27">
        <v>52799.89</v>
      </c>
      <c r="F1954" s="22" t="s">
        <v>270</v>
      </c>
      <c r="G1954" s="29">
        <v>13</v>
      </c>
      <c r="H1954" s="39">
        <v>44854</v>
      </c>
      <c r="I1954" s="46">
        <f t="shared" si="120"/>
        <v>529</v>
      </c>
      <c r="J1954" s="4" t="s">
        <v>15</v>
      </c>
      <c r="K1954" s="4" t="s">
        <v>199</v>
      </c>
      <c r="L1954" s="4" t="s">
        <v>225</v>
      </c>
      <c r="M1954" s="7">
        <v>13</v>
      </c>
      <c r="N1954" s="10">
        <v>4061.53</v>
      </c>
      <c r="O1954" s="10">
        <v>52799.89</v>
      </c>
      <c r="P1954">
        <f t="shared" si="121"/>
        <v>1</v>
      </c>
      <c r="Q1954" s="36">
        <f t="shared" si="122"/>
        <v>52799.89</v>
      </c>
      <c r="R1954">
        <f t="shared" si="123"/>
        <v>2022</v>
      </c>
    </row>
    <row r="1955" spans="1:18" x14ac:dyDescent="0.2">
      <c r="A1955" s="23">
        <v>45383</v>
      </c>
      <c r="B1955" s="23">
        <v>45233</v>
      </c>
      <c r="C1955" s="25" t="s">
        <v>399</v>
      </c>
      <c r="D1955" s="20">
        <v>150</v>
      </c>
      <c r="E1955" s="27">
        <v>52799.89</v>
      </c>
      <c r="F1955" s="22" t="s">
        <v>270</v>
      </c>
      <c r="G1955" s="29">
        <v>13</v>
      </c>
      <c r="H1955" s="39">
        <v>44854</v>
      </c>
      <c r="I1955" s="46">
        <f t="shared" si="120"/>
        <v>529</v>
      </c>
      <c r="J1955" s="4" t="s">
        <v>15</v>
      </c>
      <c r="K1955" s="4" t="s">
        <v>199</v>
      </c>
      <c r="L1955" s="4" t="s">
        <v>225</v>
      </c>
      <c r="M1955" s="7">
        <v>13</v>
      </c>
      <c r="N1955" s="10">
        <v>4061.53</v>
      </c>
      <c r="O1955" s="10">
        <v>52799.89</v>
      </c>
      <c r="P1955">
        <f t="shared" si="121"/>
        <v>1</v>
      </c>
      <c r="Q1955" s="36">
        <f t="shared" si="122"/>
        <v>52799.89</v>
      </c>
      <c r="R1955">
        <f t="shared" si="123"/>
        <v>2022</v>
      </c>
    </row>
    <row r="1956" spans="1:18" x14ac:dyDescent="0.2">
      <c r="A1956" s="23">
        <v>45390</v>
      </c>
      <c r="B1956" s="23">
        <v>45387</v>
      </c>
      <c r="C1956" s="25" t="s">
        <v>399</v>
      </c>
      <c r="D1956" s="20">
        <v>3</v>
      </c>
      <c r="E1956" s="27">
        <v>52799.89</v>
      </c>
      <c r="F1956" s="22" t="s">
        <v>270</v>
      </c>
      <c r="G1956" s="29">
        <v>13</v>
      </c>
      <c r="H1956" s="39">
        <v>44862</v>
      </c>
      <c r="I1956" s="46">
        <f t="shared" si="120"/>
        <v>528</v>
      </c>
      <c r="J1956" s="4" t="s">
        <v>15</v>
      </c>
      <c r="K1956" s="4" t="s">
        <v>199</v>
      </c>
      <c r="L1956" s="4" t="s">
        <v>225</v>
      </c>
      <c r="M1956" s="7">
        <v>13</v>
      </c>
      <c r="N1956" s="10">
        <v>4061.53</v>
      </c>
      <c r="O1956" s="10">
        <v>52799.89</v>
      </c>
      <c r="P1956">
        <f t="shared" si="121"/>
        <v>1</v>
      </c>
      <c r="Q1956" s="36">
        <f t="shared" si="122"/>
        <v>52799.89</v>
      </c>
      <c r="R1956">
        <f t="shared" si="123"/>
        <v>2022</v>
      </c>
    </row>
    <row r="1957" spans="1:18" x14ac:dyDescent="0.2">
      <c r="A1957" s="23">
        <v>45390</v>
      </c>
      <c r="B1957" s="23">
        <v>45387</v>
      </c>
      <c r="C1957" s="25" t="s">
        <v>399</v>
      </c>
      <c r="D1957" s="20">
        <v>3</v>
      </c>
      <c r="E1957" s="27">
        <v>52799.89</v>
      </c>
      <c r="F1957" s="22" t="s">
        <v>270</v>
      </c>
      <c r="G1957" s="29">
        <v>13</v>
      </c>
      <c r="H1957" s="39">
        <v>44862</v>
      </c>
      <c r="I1957" s="46">
        <f t="shared" si="120"/>
        <v>528</v>
      </c>
      <c r="J1957" s="4" t="s">
        <v>15</v>
      </c>
      <c r="K1957" s="4" t="s">
        <v>199</v>
      </c>
      <c r="L1957" s="4" t="s">
        <v>225</v>
      </c>
      <c r="M1957" s="7">
        <v>13</v>
      </c>
      <c r="N1957" s="10">
        <v>4061.53</v>
      </c>
      <c r="O1957" s="10">
        <v>52799.89</v>
      </c>
      <c r="P1957">
        <f t="shared" si="121"/>
        <v>1</v>
      </c>
      <c r="Q1957" s="36">
        <f t="shared" si="122"/>
        <v>52799.89</v>
      </c>
      <c r="R1957">
        <f t="shared" si="123"/>
        <v>2022</v>
      </c>
    </row>
    <row r="1958" spans="1:18" x14ac:dyDescent="0.2">
      <c r="A1958" s="23">
        <v>45390</v>
      </c>
      <c r="B1958" s="23">
        <v>45387</v>
      </c>
      <c r="C1958" s="25" t="s">
        <v>399</v>
      </c>
      <c r="D1958" s="20">
        <v>3</v>
      </c>
      <c r="E1958" s="27">
        <v>52799.89</v>
      </c>
      <c r="F1958" s="22" t="s">
        <v>270</v>
      </c>
      <c r="G1958" s="29">
        <v>13</v>
      </c>
      <c r="H1958" s="39">
        <v>44862</v>
      </c>
      <c r="I1958" s="46">
        <f t="shared" si="120"/>
        <v>528</v>
      </c>
      <c r="J1958" s="4" t="s">
        <v>15</v>
      </c>
      <c r="K1958" s="4" t="s">
        <v>199</v>
      </c>
      <c r="L1958" s="4" t="s">
        <v>225</v>
      </c>
      <c r="M1958" s="7">
        <v>13</v>
      </c>
      <c r="N1958" s="10">
        <v>4061.53</v>
      </c>
      <c r="O1958" s="10">
        <v>52799.89</v>
      </c>
      <c r="P1958">
        <f t="shared" si="121"/>
        <v>1</v>
      </c>
      <c r="Q1958" s="36">
        <f t="shared" si="122"/>
        <v>52799.89</v>
      </c>
      <c r="R1958">
        <f t="shared" si="123"/>
        <v>2022</v>
      </c>
    </row>
    <row r="1959" spans="1:18" x14ac:dyDescent="0.2">
      <c r="A1959" s="23">
        <v>45390</v>
      </c>
      <c r="B1959" s="23">
        <v>45387</v>
      </c>
      <c r="C1959" s="25" t="s">
        <v>399</v>
      </c>
      <c r="D1959" s="20">
        <v>3</v>
      </c>
      <c r="E1959" s="27">
        <v>52799.89</v>
      </c>
      <c r="F1959" s="22" t="s">
        <v>270</v>
      </c>
      <c r="G1959" s="29">
        <v>13</v>
      </c>
      <c r="H1959" s="39">
        <v>44862</v>
      </c>
      <c r="I1959" s="46">
        <f t="shared" si="120"/>
        <v>528</v>
      </c>
      <c r="J1959" s="4" t="s">
        <v>15</v>
      </c>
      <c r="K1959" s="4" t="s">
        <v>199</v>
      </c>
      <c r="L1959" s="4" t="s">
        <v>225</v>
      </c>
      <c r="M1959" s="7">
        <v>13</v>
      </c>
      <c r="N1959" s="10">
        <v>4061.53</v>
      </c>
      <c r="O1959" s="10">
        <v>52799.89</v>
      </c>
      <c r="P1959">
        <f t="shared" si="121"/>
        <v>1</v>
      </c>
      <c r="Q1959" s="36">
        <f t="shared" si="122"/>
        <v>52799.89</v>
      </c>
      <c r="R1959">
        <f t="shared" si="123"/>
        <v>2022</v>
      </c>
    </row>
    <row r="1960" spans="1:18" x14ac:dyDescent="0.2">
      <c r="A1960" s="23">
        <v>45390</v>
      </c>
      <c r="B1960" s="23">
        <v>45387</v>
      </c>
      <c r="C1960" s="25" t="s">
        <v>399</v>
      </c>
      <c r="D1960" s="20">
        <v>3</v>
      </c>
      <c r="E1960" s="27">
        <v>52799.89</v>
      </c>
      <c r="F1960" s="22" t="s">
        <v>270</v>
      </c>
      <c r="G1960" s="29">
        <v>13</v>
      </c>
      <c r="H1960" s="39">
        <v>44862</v>
      </c>
      <c r="I1960" s="46">
        <f t="shared" si="120"/>
        <v>528</v>
      </c>
      <c r="J1960" s="4" t="s">
        <v>15</v>
      </c>
      <c r="K1960" s="4" t="s">
        <v>199</v>
      </c>
      <c r="L1960" s="4" t="s">
        <v>225</v>
      </c>
      <c r="M1960" s="7">
        <v>13</v>
      </c>
      <c r="N1960" s="10">
        <v>4061.53</v>
      </c>
      <c r="O1960" s="10">
        <v>52799.89</v>
      </c>
      <c r="P1960">
        <f t="shared" si="121"/>
        <v>1</v>
      </c>
      <c r="Q1960" s="36">
        <f t="shared" si="122"/>
        <v>52799.89</v>
      </c>
      <c r="R1960">
        <f t="shared" si="123"/>
        <v>2022</v>
      </c>
    </row>
    <row r="1961" spans="1:18" x14ac:dyDescent="0.2">
      <c r="A1961" s="23">
        <v>45390</v>
      </c>
      <c r="B1961" s="23">
        <v>45387</v>
      </c>
      <c r="C1961" s="25" t="s">
        <v>399</v>
      </c>
      <c r="D1961" s="20">
        <v>3</v>
      </c>
      <c r="E1961" s="27">
        <v>52799.89</v>
      </c>
      <c r="F1961" s="22" t="s">
        <v>270</v>
      </c>
      <c r="G1961" s="29">
        <v>13</v>
      </c>
      <c r="H1961" s="39">
        <v>44862</v>
      </c>
      <c r="I1961" s="46">
        <f t="shared" si="120"/>
        <v>528</v>
      </c>
      <c r="J1961" s="4" t="s">
        <v>15</v>
      </c>
      <c r="K1961" s="4" t="s">
        <v>199</v>
      </c>
      <c r="L1961" s="4" t="s">
        <v>225</v>
      </c>
      <c r="M1961" s="7">
        <v>13</v>
      </c>
      <c r="N1961" s="10">
        <v>4061.53</v>
      </c>
      <c r="O1961" s="10">
        <v>52799.89</v>
      </c>
      <c r="P1961">
        <f t="shared" si="121"/>
        <v>1</v>
      </c>
      <c r="Q1961" s="36">
        <f t="shared" si="122"/>
        <v>52799.89</v>
      </c>
      <c r="R1961">
        <f t="shared" si="123"/>
        <v>2022</v>
      </c>
    </row>
    <row r="1962" spans="1:18" x14ac:dyDescent="0.2">
      <c r="A1962" s="23">
        <v>45390</v>
      </c>
      <c r="B1962" s="23">
        <v>45387</v>
      </c>
      <c r="C1962" s="25" t="s">
        <v>399</v>
      </c>
      <c r="D1962" s="20">
        <v>3</v>
      </c>
      <c r="E1962" s="27">
        <v>52799.89</v>
      </c>
      <c r="F1962" s="22" t="s">
        <v>270</v>
      </c>
      <c r="G1962" s="29">
        <v>13</v>
      </c>
      <c r="H1962" s="39">
        <v>44862</v>
      </c>
      <c r="I1962" s="46">
        <f t="shared" si="120"/>
        <v>528</v>
      </c>
      <c r="J1962" s="4" t="s">
        <v>15</v>
      </c>
      <c r="K1962" s="4" t="s">
        <v>199</v>
      </c>
      <c r="L1962" s="4" t="s">
        <v>225</v>
      </c>
      <c r="M1962" s="7">
        <v>13</v>
      </c>
      <c r="N1962" s="10">
        <v>4061.53</v>
      </c>
      <c r="O1962" s="10">
        <v>52799.89</v>
      </c>
      <c r="P1962">
        <f t="shared" si="121"/>
        <v>1</v>
      </c>
      <c r="Q1962" s="36">
        <f t="shared" si="122"/>
        <v>52799.89</v>
      </c>
      <c r="R1962">
        <f t="shared" si="123"/>
        <v>2022</v>
      </c>
    </row>
    <row r="1963" spans="1:18" x14ac:dyDescent="0.2">
      <c r="A1963" s="23">
        <v>45390</v>
      </c>
      <c r="B1963" s="23">
        <v>45387</v>
      </c>
      <c r="C1963" s="25" t="s">
        <v>399</v>
      </c>
      <c r="D1963" s="20">
        <v>3</v>
      </c>
      <c r="E1963" s="27">
        <v>52799.89</v>
      </c>
      <c r="F1963" s="22" t="s">
        <v>270</v>
      </c>
      <c r="G1963" s="29">
        <v>13</v>
      </c>
      <c r="H1963" s="39">
        <v>44862</v>
      </c>
      <c r="I1963" s="46">
        <f t="shared" si="120"/>
        <v>528</v>
      </c>
      <c r="J1963" s="4" t="s">
        <v>15</v>
      </c>
      <c r="K1963" s="4" t="s">
        <v>199</v>
      </c>
      <c r="L1963" s="4" t="s">
        <v>225</v>
      </c>
      <c r="M1963" s="7">
        <v>13</v>
      </c>
      <c r="N1963" s="10">
        <v>4061.53</v>
      </c>
      <c r="O1963" s="10">
        <v>52799.89</v>
      </c>
      <c r="P1963">
        <f t="shared" si="121"/>
        <v>1</v>
      </c>
      <c r="Q1963" s="36">
        <f t="shared" si="122"/>
        <v>52799.89</v>
      </c>
      <c r="R1963">
        <f t="shared" si="123"/>
        <v>2022</v>
      </c>
    </row>
    <row r="1964" spans="1:18" x14ac:dyDescent="0.2">
      <c r="A1964" s="23">
        <v>45390</v>
      </c>
      <c r="B1964" s="23">
        <v>45387</v>
      </c>
      <c r="C1964" s="25" t="s">
        <v>399</v>
      </c>
      <c r="D1964" s="20">
        <v>3</v>
      </c>
      <c r="E1964" s="27">
        <v>52799.89</v>
      </c>
      <c r="F1964" s="22" t="s">
        <v>270</v>
      </c>
      <c r="G1964" s="29">
        <v>13</v>
      </c>
      <c r="H1964" s="39">
        <v>44862</v>
      </c>
      <c r="I1964" s="46">
        <f t="shared" si="120"/>
        <v>528</v>
      </c>
      <c r="J1964" s="4" t="s">
        <v>15</v>
      </c>
      <c r="K1964" s="4" t="s">
        <v>199</v>
      </c>
      <c r="L1964" s="4" t="s">
        <v>225</v>
      </c>
      <c r="M1964" s="7">
        <v>13</v>
      </c>
      <c r="N1964" s="10">
        <v>4061.53</v>
      </c>
      <c r="O1964" s="10">
        <v>52799.89</v>
      </c>
      <c r="P1964">
        <f t="shared" si="121"/>
        <v>1</v>
      </c>
      <c r="Q1964" s="36">
        <f t="shared" si="122"/>
        <v>52799.89</v>
      </c>
      <c r="R1964">
        <f t="shared" si="123"/>
        <v>2022</v>
      </c>
    </row>
    <row r="1965" spans="1:18" x14ac:dyDescent="0.2">
      <c r="A1965" s="23">
        <v>45390</v>
      </c>
      <c r="B1965" s="23">
        <v>45387</v>
      </c>
      <c r="C1965" s="25" t="s">
        <v>399</v>
      </c>
      <c r="D1965" s="20">
        <v>3</v>
      </c>
      <c r="E1965" s="27">
        <v>52799.89</v>
      </c>
      <c r="F1965" s="22" t="s">
        <v>270</v>
      </c>
      <c r="G1965" s="29">
        <v>13</v>
      </c>
      <c r="H1965" s="39">
        <v>44862</v>
      </c>
      <c r="I1965" s="46">
        <f t="shared" si="120"/>
        <v>528</v>
      </c>
      <c r="J1965" s="4" t="s">
        <v>15</v>
      </c>
      <c r="K1965" s="4" t="s">
        <v>199</v>
      </c>
      <c r="L1965" s="4" t="s">
        <v>225</v>
      </c>
      <c r="M1965" s="7">
        <v>13</v>
      </c>
      <c r="N1965" s="10">
        <v>4061.53</v>
      </c>
      <c r="O1965" s="10">
        <v>52799.89</v>
      </c>
      <c r="P1965">
        <f t="shared" si="121"/>
        <v>1</v>
      </c>
      <c r="Q1965" s="36">
        <f t="shared" si="122"/>
        <v>52799.89</v>
      </c>
      <c r="R1965">
        <f t="shared" si="123"/>
        <v>2022</v>
      </c>
    </row>
    <row r="1966" spans="1:18" x14ac:dyDescent="0.2">
      <c r="A1966" s="23">
        <v>45390</v>
      </c>
      <c r="B1966" s="23">
        <v>45387</v>
      </c>
      <c r="C1966" s="25" t="s">
        <v>399</v>
      </c>
      <c r="D1966" s="20">
        <v>3</v>
      </c>
      <c r="E1966" s="27">
        <v>52799.89</v>
      </c>
      <c r="F1966" s="22" t="s">
        <v>270</v>
      </c>
      <c r="G1966" s="29">
        <v>13</v>
      </c>
      <c r="H1966" s="39">
        <v>44862</v>
      </c>
      <c r="I1966" s="46">
        <f t="shared" si="120"/>
        <v>528</v>
      </c>
      <c r="J1966" s="4" t="s">
        <v>15</v>
      </c>
      <c r="K1966" s="4" t="s">
        <v>199</v>
      </c>
      <c r="L1966" s="4" t="s">
        <v>225</v>
      </c>
      <c r="M1966" s="7">
        <v>13</v>
      </c>
      <c r="N1966" s="10">
        <v>4061.53</v>
      </c>
      <c r="O1966" s="10">
        <v>52799.89</v>
      </c>
      <c r="P1966">
        <f t="shared" si="121"/>
        <v>1</v>
      </c>
      <c r="Q1966" s="36">
        <f t="shared" si="122"/>
        <v>52799.89</v>
      </c>
      <c r="R1966">
        <f t="shared" si="123"/>
        <v>2022</v>
      </c>
    </row>
    <row r="1967" spans="1:18" x14ac:dyDescent="0.2">
      <c r="A1967" s="23">
        <v>45390</v>
      </c>
      <c r="B1967" s="23">
        <v>45387</v>
      </c>
      <c r="C1967" s="25" t="s">
        <v>399</v>
      </c>
      <c r="D1967" s="20">
        <v>3</v>
      </c>
      <c r="E1967" s="27">
        <v>52799.89</v>
      </c>
      <c r="F1967" s="22" t="s">
        <v>270</v>
      </c>
      <c r="G1967" s="29">
        <v>13</v>
      </c>
      <c r="H1967" s="39">
        <v>44862</v>
      </c>
      <c r="I1967" s="46">
        <f t="shared" si="120"/>
        <v>528</v>
      </c>
      <c r="J1967" s="4" t="s">
        <v>15</v>
      </c>
      <c r="K1967" s="4" t="s">
        <v>199</v>
      </c>
      <c r="L1967" s="4" t="s">
        <v>225</v>
      </c>
      <c r="M1967" s="7">
        <v>13</v>
      </c>
      <c r="N1967" s="10">
        <v>4061.53</v>
      </c>
      <c r="O1967" s="10">
        <v>52799.89</v>
      </c>
      <c r="P1967">
        <f t="shared" si="121"/>
        <v>1</v>
      </c>
      <c r="Q1967" s="36">
        <f t="shared" si="122"/>
        <v>52799.89</v>
      </c>
      <c r="R1967">
        <f t="shared" si="123"/>
        <v>2022</v>
      </c>
    </row>
    <row r="1968" spans="1:18" x14ac:dyDescent="0.2">
      <c r="A1968" s="23">
        <v>45390</v>
      </c>
      <c r="B1968" s="23">
        <v>45387</v>
      </c>
      <c r="C1968" s="25" t="s">
        <v>399</v>
      </c>
      <c r="D1968" s="20">
        <v>3</v>
      </c>
      <c r="E1968" s="27">
        <v>52799.89</v>
      </c>
      <c r="F1968" s="22" t="s">
        <v>270</v>
      </c>
      <c r="G1968" s="29">
        <v>13</v>
      </c>
      <c r="H1968" s="39">
        <v>44862</v>
      </c>
      <c r="I1968" s="46">
        <f t="shared" si="120"/>
        <v>528</v>
      </c>
      <c r="J1968" s="4" t="s">
        <v>15</v>
      </c>
      <c r="K1968" s="4" t="s">
        <v>199</v>
      </c>
      <c r="L1968" s="4" t="s">
        <v>225</v>
      </c>
      <c r="M1968" s="7">
        <v>13</v>
      </c>
      <c r="N1968" s="10">
        <v>4061.53</v>
      </c>
      <c r="O1968" s="10">
        <v>52799.89</v>
      </c>
      <c r="P1968">
        <f t="shared" si="121"/>
        <v>1</v>
      </c>
      <c r="Q1968" s="36">
        <f t="shared" si="122"/>
        <v>52799.89</v>
      </c>
      <c r="R1968">
        <f t="shared" si="123"/>
        <v>2022</v>
      </c>
    </row>
    <row r="1969" spans="1:18" x14ac:dyDescent="0.2">
      <c r="A1969" s="23">
        <v>45390</v>
      </c>
      <c r="B1969" s="23">
        <v>45387</v>
      </c>
      <c r="C1969" s="25" t="s">
        <v>399</v>
      </c>
      <c r="D1969" s="20">
        <v>3</v>
      </c>
      <c r="E1969" s="27">
        <v>52799.89</v>
      </c>
      <c r="F1969" s="22" t="s">
        <v>270</v>
      </c>
      <c r="G1969" s="29">
        <v>13</v>
      </c>
      <c r="H1969" s="39">
        <v>44862</v>
      </c>
      <c r="I1969" s="46">
        <f t="shared" si="120"/>
        <v>528</v>
      </c>
      <c r="J1969" s="4" t="s">
        <v>15</v>
      </c>
      <c r="K1969" s="4" t="s">
        <v>199</v>
      </c>
      <c r="L1969" s="4" t="s">
        <v>225</v>
      </c>
      <c r="M1969" s="7">
        <v>13</v>
      </c>
      <c r="N1969" s="10">
        <v>4061.53</v>
      </c>
      <c r="O1969" s="10">
        <v>52799.89</v>
      </c>
      <c r="P1969">
        <f t="shared" si="121"/>
        <v>1</v>
      </c>
      <c r="Q1969" s="36">
        <f t="shared" si="122"/>
        <v>52799.89</v>
      </c>
      <c r="R1969">
        <f t="shared" si="123"/>
        <v>2022</v>
      </c>
    </row>
    <row r="1970" spans="1:18" x14ac:dyDescent="0.2">
      <c r="A1970" s="23">
        <v>45390</v>
      </c>
      <c r="B1970" s="23">
        <v>45387</v>
      </c>
      <c r="C1970" s="25" t="s">
        <v>399</v>
      </c>
      <c r="D1970" s="20">
        <v>3</v>
      </c>
      <c r="E1970" s="27">
        <v>52799.89</v>
      </c>
      <c r="F1970" s="22" t="s">
        <v>270</v>
      </c>
      <c r="G1970" s="29">
        <v>13</v>
      </c>
      <c r="H1970" s="39">
        <v>44862</v>
      </c>
      <c r="I1970" s="46">
        <f t="shared" si="120"/>
        <v>528</v>
      </c>
      <c r="J1970" s="4" t="s">
        <v>15</v>
      </c>
      <c r="K1970" s="4" t="s">
        <v>199</v>
      </c>
      <c r="L1970" s="4" t="s">
        <v>225</v>
      </c>
      <c r="M1970" s="7">
        <v>13</v>
      </c>
      <c r="N1970" s="10">
        <v>4061.53</v>
      </c>
      <c r="O1970" s="10">
        <v>52799.89</v>
      </c>
      <c r="P1970">
        <f t="shared" si="121"/>
        <v>1</v>
      </c>
      <c r="Q1970" s="36">
        <f t="shared" si="122"/>
        <v>52799.89</v>
      </c>
      <c r="R1970">
        <f t="shared" si="123"/>
        <v>2022</v>
      </c>
    </row>
    <row r="1971" spans="1:18" x14ac:dyDescent="0.2">
      <c r="A1971" s="23">
        <v>45390</v>
      </c>
      <c r="B1971" s="23">
        <v>45387</v>
      </c>
      <c r="C1971" s="25" t="s">
        <v>399</v>
      </c>
      <c r="D1971" s="20">
        <v>3</v>
      </c>
      <c r="E1971" s="27">
        <v>52799.89</v>
      </c>
      <c r="F1971" s="22" t="s">
        <v>270</v>
      </c>
      <c r="G1971" s="29">
        <v>13</v>
      </c>
      <c r="H1971" s="39">
        <v>44862</v>
      </c>
      <c r="I1971" s="46">
        <f t="shared" si="120"/>
        <v>528</v>
      </c>
      <c r="J1971" s="4" t="s">
        <v>15</v>
      </c>
      <c r="K1971" s="4" t="s">
        <v>199</v>
      </c>
      <c r="L1971" s="4" t="s">
        <v>225</v>
      </c>
      <c r="M1971" s="7">
        <v>13</v>
      </c>
      <c r="N1971" s="10">
        <v>4061.53</v>
      </c>
      <c r="O1971" s="10">
        <v>52799.89</v>
      </c>
      <c r="P1971">
        <f t="shared" si="121"/>
        <v>1</v>
      </c>
      <c r="Q1971" s="36">
        <f t="shared" si="122"/>
        <v>52799.89</v>
      </c>
      <c r="R1971">
        <f t="shared" si="123"/>
        <v>2022</v>
      </c>
    </row>
    <row r="1972" spans="1:18" x14ac:dyDescent="0.2">
      <c r="A1972" s="23">
        <v>45390</v>
      </c>
      <c r="B1972" s="23">
        <v>45387</v>
      </c>
      <c r="C1972" s="25" t="s">
        <v>399</v>
      </c>
      <c r="D1972" s="20">
        <v>3</v>
      </c>
      <c r="E1972" s="27">
        <v>52799.89</v>
      </c>
      <c r="F1972" s="22" t="s">
        <v>270</v>
      </c>
      <c r="G1972" s="29">
        <v>13</v>
      </c>
      <c r="H1972" s="39">
        <v>44862</v>
      </c>
      <c r="I1972" s="46">
        <f t="shared" si="120"/>
        <v>528</v>
      </c>
      <c r="J1972" s="4" t="s">
        <v>15</v>
      </c>
      <c r="K1972" s="4" t="s">
        <v>199</v>
      </c>
      <c r="L1972" s="4" t="s">
        <v>225</v>
      </c>
      <c r="M1972" s="7">
        <v>13</v>
      </c>
      <c r="N1972" s="10">
        <v>4061.53</v>
      </c>
      <c r="O1972" s="10">
        <v>52799.89</v>
      </c>
      <c r="P1972">
        <f t="shared" si="121"/>
        <v>1</v>
      </c>
      <c r="Q1972" s="36">
        <f t="shared" si="122"/>
        <v>52799.89</v>
      </c>
      <c r="R1972">
        <f t="shared" si="123"/>
        <v>2022</v>
      </c>
    </row>
    <row r="1973" spans="1:18" x14ac:dyDescent="0.2">
      <c r="A1973" s="23">
        <v>45390</v>
      </c>
      <c r="B1973" s="23">
        <v>45387</v>
      </c>
      <c r="C1973" s="25" t="s">
        <v>399</v>
      </c>
      <c r="D1973" s="20">
        <v>3</v>
      </c>
      <c r="E1973" s="27">
        <v>52799.89</v>
      </c>
      <c r="F1973" s="22" t="s">
        <v>270</v>
      </c>
      <c r="G1973" s="29">
        <v>13</v>
      </c>
      <c r="H1973" s="39">
        <v>44862</v>
      </c>
      <c r="I1973" s="46">
        <f t="shared" si="120"/>
        <v>528</v>
      </c>
      <c r="J1973" s="4" t="s">
        <v>15</v>
      </c>
      <c r="K1973" s="4" t="s">
        <v>199</v>
      </c>
      <c r="L1973" s="4" t="s">
        <v>225</v>
      </c>
      <c r="M1973" s="7">
        <v>13</v>
      </c>
      <c r="N1973" s="10">
        <v>4061.53</v>
      </c>
      <c r="O1973" s="10">
        <v>52799.89</v>
      </c>
      <c r="P1973">
        <f t="shared" si="121"/>
        <v>1</v>
      </c>
      <c r="Q1973" s="36">
        <f t="shared" si="122"/>
        <v>52799.89</v>
      </c>
      <c r="R1973">
        <f t="shared" si="123"/>
        <v>2022</v>
      </c>
    </row>
    <row r="1974" spans="1:18" x14ac:dyDescent="0.2">
      <c r="A1974" s="23">
        <v>45390</v>
      </c>
      <c r="B1974" s="23">
        <v>45387</v>
      </c>
      <c r="C1974" s="25" t="s">
        <v>399</v>
      </c>
      <c r="D1974" s="20">
        <v>3</v>
      </c>
      <c r="E1974" s="27">
        <v>52799.89</v>
      </c>
      <c r="F1974" s="22" t="s">
        <v>270</v>
      </c>
      <c r="G1974" s="29">
        <v>13</v>
      </c>
      <c r="H1974" s="39">
        <v>44862</v>
      </c>
      <c r="I1974" s="46">
        <f t="shared" si="120"/>
        <v>528</v>
      </c>
      <c r="J1974" s="4" t="s">
        <v>15</v>
      </c>
      <c r="K1974" s="4" t="s">
        <v>199</v>
      </c>
      <c r="L1974" s="4" t="s">
        <v>225</v>
      </c>
      <c r="M1974" s="7">
        <v>13</v>
      </c>
      <c r="N1974" s="10">
        <v>4061.53</v>
      </c>
      <c r="O1974" s="10">
        <v>52799.89</v>
      </c>
      <c r="P1974">
        <f t="shared" si="121"/>
        <v>1</v>
      </c>
      <c r="Q1974" s="36">
        <f t="shared" si="122"/>
        <v>52799.89</v>
      </c>
      <c r="R1974">
        <f t="shared" si="123"/>
        <v>2022</v>
      </c>
    </row>
    <row r="1975" spans="1:18" x14ac:dyDescent="0.2">
      <c r="A1975" s="23">
        <v>45390</v>
      </c>
      <c r="B1975" s="23">
        <v>45387</v>
      </c>
      <c r="C1975" s="25" t="s">
        <v>399</v>
      </c>
      <c r="D1975" s="20">
        <v>3</v>
      </c>
      <c r="E1975" s="27">
        <v>52799.89</v>
      </c>
      <c r="F1975" s="22" t="s">
        <v>270</v>
      </c>
      <c r="G1975" s="29">
        <v>13</v>
      </c>
      <c r="H1975" s="39">
        <v>44862</v>
      </c>
      <c r="I1975" s="46">
        <f t="shared" si="120"/>
        <v>528</v>
      </c>
      <c r="J1975" s="4" t="s">
        <v>15</v>
      </c>
      <c r="K1975" s="4" t="s">
        <v>199</v>
      </c>
      <c r="L1975" s="4" t="s">
        <v>225</v>
      </c>
      <c r="M1975" s="7">
        <v>13</v>
      </c>
      <c r="N1975" s="10">
        <v>4061.53</v>
      </c>
      <c r="O1975" s="10">
        <v>52799.89</v>
      </c>
      <c r="P1975">
        <f t="shared" si="121"/>
        <v>1</v>
      </c>
      <c r="Q1975" s="36">
        <f t="shared" si="122"/>
        <v>52799.89</v>
      </c>
      <c r="R1975">
        <f t="shared" si="123"/>
        <v>2022</v>
      </c>
    </row>
    <row r="1976" spans="1:18" x14ac:dyDescent="0.2">
      <c r="A1976" s="23">
        <v>45390</v>
      </c>
      <c r="B1976" s="23">
        <v>45387</v>
      </c>
      <c r="C1976" s="25" t="s">
        <v>399</v>
      </c>
      <c r="D1976" s="20">
        <v>3</v>
      </c>
      <c r="E1976" s="27">
        <v>52799.89</v>
      </c>
      <c r="F1976" s="22" t="s">
        <v>270</v>
      </c>
      <c r="G1976" s="29">
        <v>13</v>
      </c>
      <c r="H1976" s="39">
        <v>44862</v>
      </c>
      <c r="I1976" s="46">
        <f t="shared" si="120"/>
        <v>528</v>
      </c>
      <c r="J1976" s="4" t="s">
        <v>15</v>
      </c>
      <c r="K1976" s="4" t="s">
        <v>199</v>
      </c>
      <c r="L1976" s="4" t="s">
        <v>225</v>
      </c>
      <c r="M1976" s="7">
        <v>13</v>
      </c>
      <c r="N1976" s="10">
        <v>4061.53</v>
      </c>
      <c r="O1976" s="10">
        <v>52799.89</v>
      </c>
      <c r="P1976">
        <f t="shared" si="121"/>
        <v>1</v>
      </c>
      <c r="Q1976" s="36">
        <f t="shared" si="122"/>
        <v>52799.89</v>
      </c>
      <c r="R1976">
        <f t="shared" si="123"/>
        <v>2022</v>
      </c>
    </row>
    <row r="1977" spans="1:18" x14ac:dyDescent="0.2">
      <c r="A1977" s="23">
        <v>45390</v>
      </c>
      <c r="B1977" s="23">
        <v>45387</v>
      </c>
      <c r="C1977" s="25" t="s">
        <v>399</v>
      </c>
      <c r="D1977" s="20">
        <v>3</v>
      </c>
      <c r="E1977" s="27">
        <v>52799.89</v>
      </c>
      <c r="F1977" s="22" t="s">
        <v>270</v>
      </c>
      <c r="G1977" s="29">
        <v>13</v>
      </c>
      <c r="H1977" s="39">
        <v>44862</v>
      </c>
      <c r="I1977" s="46">
        <f t="shared" si="120"/>
        <v>528</v>
      </c>
      <c r="J1977" s="4" t="s">
        <v>15</v>
      </c>
      <c r="K1977" s="4" t="s">
        <v>199</v>
      </c>
      <c r="L1977" s="4" t="s">
        <v>225</v>
      </c>
      <c r="M1977" s="7">
        <v>13</v>
      </c>
      <c r="N1977" s="10">
        <v>4061.53</v>
      </c>
      <c r="O1977" s="10">
        <v>52799.89</v>
      </c>
      <c r="P1977">
        <f t="shared" si="121"/>
        <v>1</v>
      </c>
      <c r="Q1977" s="36">
        <f t="shared" si="122"/>
        <v>52799.89</v>
      </c>
      <c r="R1977">
        <f t="shared" si="123"/>
        <v>2022</v>
      </c>
    </row>
    <row r="1978" spans="1:18" x14ac:dyDescent="0.2">
      <c r="A1978" s="23">
        <v>45390</v>
      </c>
      <c r="B1978" s="23">
        <v>45387</v>
      </c>
      <c r="C1978" s="25" t="s">
        <v>399</v>
      </c>
      <c r="D1978" s="20">
        <v>3</v>
      </c>
      <c r="E1978" s="27">
        <v>52799.89</v>
      </c>
      <c r="F1978" s="22" t="s">
        <v>270</v>
      </c>
      <c r="G1978" s="29">
        <v>13</v>
      </c>
      <c r="H1978" s="39">
        <v>44862</v>
      </c>
      <c r="I1978" s="46">
        <f t="shared" si="120"/>
        <v>528</v>
      </c>
      <c r="J1978" s="4" t="s">
        <v>15</v>
      </c>
      <c r="K1978" s="4" t="s">
        <v>199</v>
      </c>
      <c r="L1978" s="4" t="s">
        <v>225</v>
      </c>
      <c r="M1978" s="7">
        <v>13</v>
      </c>
      <c r="N1978" s="10">
        <v>4061.53</v>
      </c>
      <c r="O1978" s="10">
        <v>52799.89</v>
      </c>
      <c r="P1978">
        <f t="shared" si="121"/>
        <v>1</v>
      </c>
      <c r="Q1978" s="36">
        <f t="shared" si="122"/>
        <v>52799.89</v>
      </c>
      <c r="R1978">
        <f t="shared" si="123"/>
        <v>2022</v>
      </c>
    </row>
    <row r="1979" spans="1:18" x14ac:dyDescent="0.2">
      <c r="A1979" s="23">
        <v>45394</v>
      </c>
      <c r="B1979" s="23">
        <v>45394</v>
      </c>
      <c r="C1979" s="25" t="s">
        <v>398</v>
      </c>
      <c r="D1979" s="20">
        <v>0</v>
      </c>
      <c r="E1979" s="27">
        <v>52799.89</v>
      </c>
      <c r="F1979" s="22" t="s">
        <v>270</v>
      </c>
      <c r="G1979" s="29">
        <v>13</v>
      </c>
      <c r="H1979" s="39">
        <v>44869</v>
      </c>
      <c r="I1979" s="46">
        <f t="shared" si="120"/>
        <v>525</v>
      </c>
      <c r="J1979" s="4" t="s">
        <v>15</v>
      </c>
      <c r="K1979" s="4" t="s">
        <v>200</v>
      </c>
      <c r="L1979" s="4" t="s">
        <v>225</v>
      </c>
      <c r="M1979" s="7">
        <v>13</v>
      </c>
      <c r="N1979" s="10">
        <v>4061.53</v>
      </c>
      <c r="O1979" s="10">
        <v>52799.89</v>
      </c>
      <c r="P1979">
        <f t="shared" si="121"/>
        <v>1</v>
      </c>
      <c r="Q1979" s="36">
        <f t="shared" si="122"/>
        <v>52799.89</v>
      </c>
      <c r="R1979">
        <f t="shared" si="123"/>
        <v>2022</v>
      </c>
    </row>
    <row r="1980" spans="1:18" x14ac:dyDescent="0.2">
      <c r="A1980" s="23">
        <v>45394</v>
      </c>
      <c r="B1980" s="23">
        <v>45394</v>
      </c>
      <c r="C1980" s="25" t="s">
        <v>398</v>
      </c>
      <c r="D1980" s="20">
        <v>0</v>
      </c>
      <c r="E1980" s="27">
        <v>52799.89</v>
      </c>
      <c r="F1980" s="22" t="s">
        <v>270</v>
      </c>
      <c r="G1980" s="29">
        <v>13</v>
      </c>
      <c r="H1980" s="39">
        <v>44869</v>
      </c>
      <c r="I1980" s="46">
        <f t="shared" si="120"/>
        <v>525</v>
      </c>
      <c r="J1980" s="4" t="s">
        <v>15</v>
      </c>
      <c r="K1980" s="4" t="s">
        <v>200</v>
      </c>
      <c r="L1980" s="4" t="s">
        <v>225</v>
      </c>
      <c r="M1980" s="7">
        <v>13</v>
      </c>
      <c r="N1980" s="10">
        <v>4061.53</v>
      </c>
      <c r="O1980" s="10">
        <v>52799.89</v>
      </c>
      <c r="P1980">
        <f t="shared" si="121"/>
        <v>1</v>
      </c>
      <c r="Q1980" s="36">
        <f t="shared" si="122"/>
        <v>52799.89</v>
      </c>
      <c r="R1980">
        <f t="shared" si="123"/>
        <v>2022</v>
      </c>
    </row>
    <row r="1981" spans="1:18" x14ac:dyDescent="0.2">
      <c r="A1981" s="23">
        <v>45394</v>
      </c>
      <c r="B1981" s="23">
        <v>45394</v>
      </c>
      <c r="C1981" s="25" t="s">
        <v>398</v>
      </c>
      <c r="D1981" s="20">
        <v>0</v>
      </c>
      <c r="E1981" s="27">
        <v>52799.89</v>
      </c>
      <c r="F1981" s="22" t="s">
        <v>270</v>
      </c>
      <c r="G1981" s="29">
        <v>13</v>
      </c>
      <c r="H1981" s="39">
        <v>44869</v>
      </c>
      <c r="I1981" s="46">
        <f t="shared" si="120"/>
        <v>525</v>
      </c>
      <c r="J1981" s="4" t="s">
        <v>15</v>
      </c>
      <c r="K1981" s="4" t="s">
        <v>200</v>
      </c>
      <c r="L1981" s="4" t="s">
        <v>225</v>
      </c>
      <c r="M1981" s="7">
        <v>13</v>
      </c>
      <c r="N1981" s="10">
        <v>4061.53</v>
      </c>
      <c r="O1981" s="10">
        <v>52799.89</v>
      </c>
      <c r="P1981">
        <f t="shared" si="121"/>
        <v>1</v>
      </c>
      <c r="Q1981" s="36">
        <f t="shared" si="122"/>
        <v>52799.89</v>
      </c>
      <c r="R1981">
        <f t="shared" si="123"/>
        <v>2022</v>
      </c>
    </row>
    <row r="1982" spans="1:18" x14ac:dyDescent="0.2">
      <c r="A1982" s="23">
        <v>45394</v>
      </c>
      <c r="B1982" s="23">
        <v>45394</v>
      </c>
      <c r="C1982" s="25" t="s">
        <v>398</v>
      </c>
      <c r="D1982" s="20">
        <v>0</v>
      </c>
      <c r="E1982" s="27">
        <v>52799.89</v>
      </c>
      <c r="F1982" s="22" t="s">
        <v>270</v>
      </c>
      <c r="G1982" s="29">
        <v>13</v>
      </c>
      <c r="H1982" s="39">
        <v>44869</v>
      </c>
      <c r="I1982" s="46">
        <f t="shared" si="120"/>
        <v>525</v>
      </c>
      <c r="J1982" s="4" t="s">
        <v>15</v>
      </c>
      <c r="K1982" s="4" t="s">
        <v>200</v>
      </c>
      <c r="L1982" s="4" t="s">
        <v>225</v>
      </c>
      <c r="M1982" s="7">
        <v>13</v>
      </c>
      <c r="N1982" s="10">
        <v>4061.53</v>
      </c>
      <c r="O1982" s="10">
        <v>52799.89</v>
      </c>
      <c r="P1982">
        <f t="shared" si="121"/>
        <v>1</v>
      </c>
      <c r="Q1982" s="36">
        <f t="shared" si="122"/>
        <v>52799.89</v>
      </c>
      <c r="R1982">
        <f t="shared" si="123"/>
        <v>2022</v>
      </c>
    </row>
    <row r="1983" spans="1:18" x14ac:dyDescent="0.2">
      <c r="A1983" s="23">
        <v>45394</v>
      </c>
      <c r="B1983" s="23">
        <v>45394</v>
      </c>
      <c r="C1983" s="25" t="s">
        <v>398</v>
      </c>
      <c r="D1983" s="20">
        <v>0</v>
      </c>
      <c r="E1983" s="27">
        <v>52799.89</v>
      </c>
      <c r="F1983" s="22" t="s">
        <v>270</v>
      </c>
      <c r="G1983" s="29">
        <v>13</v>
      </c>
      <c r="H1983" s="39">
        <v>44869</v>
      </c>
      <c r="I1983" s="46">
        <f t="shared" si="120"/>
        <v>525</v>
      </c>
      <c r="J1983" s="4" t="s">
        <v>15</v>
      </c>
      <c r="K1983" s="4" t="s">
        <v>200</v>
      </c>
      <c r="L1983" s="4" t="s">
        <v>225</v>
      </c>
      <c r="M1983" s="7">
        <v>13</v>
      </c>
      <c r="N1983" s="10">
        <v>4061.53</v>
      </c>
      <c r="O1983" s="10">
        <v>52799.89</v>
      </c>
      <c r="P1983">
        <f t="shared" si="121"/>
        <v>1</v>
      </c>
      <c r="Q1983" s="36">
        <f t="shared" si="122"/>
        <v>52799.89</v>
      </c>
      <c r="R1983">
        <f t="shared" si="123"/>
        <v>2022</v>
      </c>
    </row>
    <row r="1984" spans="1:18" x14ac:dyDescent="0.2">
      <c r="A1984" s="23">
        <v>45394</v>
      </c>
      <c r="B1984" s="23">
        <v>45394</v>
      </c>
      <c r="C1984" s="25" t="s">
        <v>398</v>
      </c>
      <c r="D1984" s="20">
        <v>0</v>
      </c>
      <c r="E1984" s="27">
        <v>52799.89</v>
      </c>
      <c r="F1984" s="22" t="s">
        <v>270</v>
      </c>
      <c r="G1984" s="29">
        <v>13</v>
      </c>
      <c r="H1984" s="39">
        <v>44869</v>
      </c>
      <c r="I1984" s="46">
        <f t="shared" si="120"/>
        <v>525</v>
      </c>
      <c r="J1984" s="4" t="s">
        <v>15</v>
      </c>
      <c r="K1984" s="4" t="s">
        <v>200</v>
      </c>
      <c r="L1984" s="4" t="s">
        <v>225</v>
      </c>
      <c r="M1984" s="7">
        <v>13</v>
      </c>
      <c r="N1984" s="10">
        <v>4061.53</v>
      </c>
      <c r="O1984" s="10">
        <v>52799.89</v>
      </c>
      <c r="P1984">
        <f t="shared" si="121"/>
        <v>1</v>
      </c>
      <c r="Q1984" s="36">
        <f t="shared" si="122"/>
        <v>52799.89</v>
      </c>
      <c r="R1984">
        <f t="shared" si="123"/>
        <v>2022</v>
      </c>
    </row>
    <row r="1985" spans="1:18" x14ac:dyDescent="0.2">
      <c r="A1985" s="23">
        <v>45394</v>
      </c>
      <c r="B1985" s="23">
        <v>45394</v>
      </c>
      <c r="C1985" s="25" t="s">
        <v>398</v>
      </c>
      <c r="D1985" s="20">
        <v>0</v>
      </c>
      <c r="E1985" s="27">
        <v>52799.89</v>
      </c>
      <c r="F1985" s="22" t="s">
        <v>270</v>
      </c>
      <c r="G1985" s="29">
        <v>13</v>
      </c>
      <c r="H1985" s="39">
        <v>44869</v>
      </c>
      <c r="I1985" s="46">
        <f t="shared" si="120"/>
        <v>525</v>
      </c>
      <c r="J1985" s="4" t="s">
        <v>15</v>
      </c>
      <c r="K1985" s="4" t="s">
        <v>200</v>
      </c>
      <c r="L1985" s="4" t="s">
        <v>225</v>
      </c>
      <c r="M1985" s="7">
        <v>13</v>
      </c>
      <c r="N1985" s="10">
        <v>4061.53</v>
      </c>
      <c r="O1985" s="10">
        <v>52799.89</v>
      </c>
      <c r="P1985">
        <f t="shared" si="121"/>
        <v>1</v>
      </c>
      <c r="Q1985" s="36">
        <f t="shared" si="122"/>
        <v>52799.89</v>
      </c>
      <c r="R1985">
        <f t="shared" si="123"/>
        <v>2022</v>
      </c>
    </row>
    <row r="1986" spans="1:18" x14ac:dyDescent="0.2">
      <c r="A1986" s="23">
        <v>45394</v>
      </c>
      <c r="B1986" s="23">
        <v>45394</v>
      </c>
      <c r="C1986" s="25" t="s">
        <v>398</v>
      </c>
      <c r="D1986" s="20">
        <v>0</v>
      </c>
      <c r="E1986" s="27">
        <v>52799.89</v>
      </c>
      <c r="F1986" s="22" t="s">
        <v>270</v>
      </c>
      <c r="G1986" s="29">
        <v>13</v>
      </c>
      <c r="H1986" s="39">
        <v>44869</v>
      </c>
      <c r="I1986" s="46">
        <f t="shared" si="120"/>
        <v>525</v>
      </c>
      <c r="J1986" s="4" t="s">
        <v>15</v>
      </c>
      <c r="K1986" s="4" t="s">
        <v>200</v>
      </c>
      <c r="L1986" s="4" t="s">
        <v>225</v>
      </c>
      <c r="M1986" s="7">
        <v>13</v>
      </c>
      <c r="N1986" s="10">
        <v>4061.53</v>
      </c>
      <c r="O1986" s="10">
        <v>52799.89</v>
      </c>
      <c r="P1986">
        <f t="shared" si="121"/>
        <v>1</v>
      </c>
      <c r="Q1986" s="36">
        <f t="shared" si="122"/>
        <v>52799.89</v>
      </c>
      <c r="R1986">
        <f t="shared" si="123"/>
        <v>2022</v>
      </c>
    </row>
    <row r="1987" spans="1:18" x14ac:dyDescent="0.2">
      <c r="A1987" s="23">
        <v>45394</v>
      </c>
      <c r="B1987" s="23">
        <v>45394</v>
      </c>
      <c r="C1987" s="25" t="s">
        <v>398</v>
      </c>
      <c r="D1987" s="20">
        <v>0</v>
      </c>
      <c r="E1987" s="27">
        <v>52799.89</v>
      </c>
      <c r="F1987" s="22" t="s">
        <v>270</v>
      </c>
      <c r="G1987" s="29">
        <v>13</v>
      </c>
      <c r="H1987" s="39">
        <v>44869</v>
      </c>
      <c r="I1987" s="46">
        <f t="shared" ref="I1987:I2050" si="124">IFERROR(A1987-H1987,"")*1</f>
        <v>525</v>
      </c>
      <c r="J1987" s="4" t="s">
        <v>15</v>
      </c>
      <c r="K1987" s="4" t="s">
        <v>200</v>
      </c>
      <c r="L1987" s="4" t="s">
        <v>225</v>
      </c>
      <c r="M1987" s="7">
        <v>13</v>
      </c>
      <c r="N1987" s="10">
        <v>4061.53</v>
      </c>
      <c r="O1987" s="10">
        <v>52799.89</v>
      </c>
      <c r="P1987">
        <f t="shared" ref="P1987:P2050" si="125">IF(M1987=G1987,1,0)</f>
        <v>1</v>
      </c>
      <c r="Q1987" s="36">
        <f t="shared" ref="Q1987:Q2050" si="126">N1987*G1987</f>
        <v>52799.89</v>
      </c>
      <c r="R1987">
        <f t="shared" ref="R1987:R2050" si="127">YEAR(H1987)</f>
        <v>2022</v>
      </c>
    </row>
    <row r="1988" spans="1:18" x14ac:dyDescent="0.2">
      <c r="A1988" s="23">
        <v>45394</v>
      </c>
      <c r="B1988" s="23">
        <v>45394</v>
      </c>
      <c r="C1988" s="25" t="s">
        <v>398</v>
      </c>
      <c r="D1988" s="20">
        <v>0</v>
      </c>
      <c r="E1988" s="27">
        <v>52799.89</v>
      </c>
      <c r="F1988" s="22" t="s">
        <v>270</v>
      </c>
      <c r="G1988" s="29">
        <v>13</v>
      </c>
      <c r="H1988" s="39">
        <v>44869</v>
      </c>
      <c r="I1988" s="46">
        <f t="shared" si="124"/>
        <v>525</v>
      </c>
      <c r="J1988" s="4" t="s">
        <v>15</v>
      </c>
      <c r="K1988" s="4" t="s">
        <v>200</v>
      </c>
      <c r="L1988" s="4" t="s">
        <v>225</v>
      </c>
      <c r="M1988" s="7">
        <v>13</v>
      </c>
      <c r="N1988" s="10">
        <v>4061.53</v>
      </c>
      <c r="O1988" s="10">
        <v>52799.89</v>
      </c>
      <c r="P1988">
        <f t="shared" si="125"/>
        <v>1</v>
      </c>
      <c r="Q1988" s="36">
        <f t="shared" si="126"/>
        <v>52799.89</v>
      </c>
      <c r="R1988">
        <f t="shared" si="127"/>
        <v>2022</v>
      </c>
    </row>
    <row r="1989" spans="1:18" x14ac:dyDescent="0.2">
      <c r="A1989" s="23">
        <v>45394</v>
      </c>
      <c r="B1989" s="23">
        <v>45394</v>
      </c>
      <c r="C1989" s="25" t="s">
        <v>398</v>
      </c>
      <c r="D1989" s="20">
        <v>0</v>
      </c>
      <c r="E1989" s="27">
        <v>52799.89</v>
      </c>
      <c r="F1989" s="22" t="s">
        <v>270</v>
      </c>
      <c r="G1989" s="29">
        <v>13</v>
      </c>
      <c r="H1989" s="39">
        <v>44869</v>
      </c>
      <c r="I1989" s="46">
        <f t="shared" si="124"/>
        <v>525</v>
      </c>
      <c r="J1989" s="4" t="s">
        <v>15</v>
      </c>
      <c r="K1989" s="4" t="s">
        <v>200</v>
      </c>
      <c r="L1989" s="4" t="s">
        <v>225</v>
      </c>
      <c r="M1989" s="7">
        <v>13</v>
      </c>
      <c r="N1989" s="10">
        <v>4061.53</v>
      </c>
      <c r="O1989" s="10">
        <v>52799.89</v>
      </c>
      <c r="P1989">
        <f t="shared" si="125"/>
        <v>1</v>
      </c>
      <c r="Q1989" s="36">
        <f t="shared" si="126"/>
        <v>52799.89</v>
      </c>
      <c r="R1989">
        <f t="shared" si="127"/>
        <v>2022</v>
      </c>
    </row>
    <row r="1990" spans="1:18" x14ac:dyDescent="0.2">
      <c r="A1990" s="23">
        <v>45394</v>
      </c>
      <c r="B1990" s="23">
        <v>45394</v>
      </c>
      <c r="C1990" s="25" t="s">
        <v>398</v>
      </c>
      <c r="D1990" s="20">
        <v>0</v>
      </c>
      <c r="E1990" s="27">
        <v>52799.89</v>
      </c>
      <c r="F1990" s="22" t="s">
        <v>270</v>
      </c>
      <c r="G1990" s="29">
        <v>13</v>
      </c>
      <c r="H1990" s="39">
        <v>44869</v>
      </c>
      <c r="I1990" s="46">
        <f t="shared" si="124"/>
        <v>525</v>
      </c>
      <c r="J1990" s="4" t="s">
        <v>15</v>
      </c>
      <c r="K1990" s="4" t="s">
        <v>200</v>
      </c>
      <c r="L1990" s="4" t="s">
        <v>225</v>
      </c>
      <c r="M1990" s="7">
        <v>13</v>
      </c>
      <c r="N1990" s="10">
        <v>4061.53</v>
      </c>
      <c r="O1990" s="10">
        <v>52799.89</v>
      </c>
      <c r="P1990">
        <f t="shared" si="125"/>
        <v>1</v>
      </c>
      <c r="Q1990" s="36">
        <f t="shared" si="126"/>
        <v>52799.89</v>
      </c>
      <c r="R1990">
        <f t="shared" si="127"/>
        <v>2022</v>
      </c>
    </row>
    <row r="1991" spans="1:18" x14ac:dyDescent="0.2">
      <c r="A1991" s="23">
        <v>45394</v>
      </c>
      <c r="B1991" s="23">
        <v>45394</v>
      </c>
      <c r="C1991" s="25" t="s">
        <v>398</v>
      </c>
      <c r="D1991" s="20">
        <v>0</v>
      </c>
      <c r="E1991" s="27">
        <v>52799.89</v>
      </c>
      <c r="F1991" s="22" t="s">
        <v>270</v>
      </c>
      <c r="G1991" s="29">
        <v>13</v>
      </c>
      <c r="H1991" s="39">
        <v>44869</v>
      </c>
      <c r="I1991" s="46">
        <f t="shared" si="124"/>
        <v>525</v>
      </c>
      <c r="J1991" s="4" t="s">
        <v>15</v>
      </c>
      <c r="K1991" s="4" t="s">
        <v>200</v>
      </c>
      <c r="L1991" s="4" t="s">
        <v>225</v>
      </c>
      <c r="M1991" s="7">
        <v>13</v>
      </c>
      <c r="N1991" s="10">
        <v>4061.53</v>
      </c>
      <c r="O1991" s="10">
        <v>52799.89</v>
      </c>
      <c r="P1991">
        <f t="shared" si="125"/>
        <v>1</v>
      </c>
      <c r="Q1991" s="36">
        <f t="shared" si="126"/>
        <v>52799.89</v>
      </c>
      <c r="R1991">
        <f t="shared" si="127"/>
        <v>2022</v>
      </c>
    </row>
    <row r="1992" spans="1:18" x14ac:dyDescent="0.2">
      <c r="A1992" s="23">
        <v>45394</v>
      </c>
      <c r="B1992" s="23">
        <v>45394</v>
      </c>
      <c r="C1992" s="25" t="s">
        <v>398</v>
      </c>
      <c r="D1992" s="20">
        <v>0</v>
      </c>
      <c r="E1992" s="27">
        <v>52799.89</v>
      </c>
      <c r="F1992" s="22" t="s">
        <v>270</v>
      </c>
      <c r="G1992" s="29">
        <v>13</v>
      </c>
      <c r="H1992" s="39">
        <v>44869</v>
      </c>
      <c r="I1992" s="46">
        <f t="shared" si="124"/>
        <v>525</v>
      </c>
      <c r="J1992" s="4" t="s">
        <v>15</v>
      </c>
      <c r="K1992" s="4" t="s">
        <v>200</v>
      </c>
      <c r="L1992" s="4" t="s">
        <v>225</v>
      </c>
      <c r="M1992" s="7">
        <v>13</v>
      </c>
      <c r="N1992" s="10">
        <v>4061.53</v>
      </c>
      <c r="O1992" s="10">
        <v>52799.89</v>
      </c>
      <c r="P1992">
        <f t="shared" si="125"/>
        <v>1</v>
      </c>
      <c r="Q1992" s="36">
        <f t="shared" si="126"/>
        <v>52799.89</v>
      </c>
      <c r="R1992">
        <f t="shared" si="127"/>
        <v>2022</v>
      </c>
    </row>
    <row r="1993" spans="1:18" x14ac:dyDescent="0.2">
      <c r="A1993" s="23">
        <v>45394</v>
      </c>
      <c r="B1993" s="23">
        <v>45394</v>
      </c>
      <c r="C1993" s="25" t="s">
        <v>398</v>
      </c>
      <c r="D1993" s="20">
        <v>0</v>
      </c>
      <c r="E1993" s="27">
        <v>52799.89</v>
      </c>
      <c r="F1993" s="22" t="s">
        <v>270</v>
      </c>
      <c r="G1993" s="29">
        <v>13</v>
      </c>
      <c r="H1993" s="39">
        <v>44869</v>
      </c>
      <c r="I1993" s="46">
        <f t="shared" si="124"/>
        <v>525</v>
      </c>
      <c r="J1993" s="4" t="s">
        <v>15</v>
      </c>
      <c r="K1993" s="4" t="s">
        <v>200</v>
      </c>
      <c r="L1993" s="4" t="s">
        <v>225</v>
      </c>
      <c r="M1993" s="7">
        <v>13</v>
      </c>
      <c r="N1993" s="10">
        <v>4061.53</v>
      </c>
      <c r="O1993" s="10">
        <v>52799.89</v>
      </c>
      <c r="P1993">
        <f t="shared" si="125"/>
        <v>1</v>
      </c>
      <c r="Q1993" s="36">
        <f t="shared" si="126"/>
        <v>52799.89</v>
      </c>
      <c r="R1993">
        <f t="shared" si="127"/>
        <v>2022</v>
      </c>
    </row>
    <row r="1994" spans="1:18" x14ac:dyDescent="0.2">
      <c r="A1994" s="23">
        <v>45394</v>
      </c>
      <c r="B1994" s="23">
        <v>45394</v>
      </c>
      <c r="C1994" s="25" t="s">
        <v>398</v>
      </c>
      <c r="D1994" s="20">
        <v>0</v>
      </c>
      <c r="E1994" s="27">
        <v>52799.89</v>
      </c>
      <c r="F1994" s="22" t="s">
        <v>270</v>
      </c>
      <c r="G1994" s="29">
        <v>13</v>
      </c>
      <c r="H1994" s="39">
        <v>44869</v>
      </c>
      <c r="I1994" s="46">
        <f t="shared" si="124"/>
        <v>525</v>
      </c>
      <c r="J1994" s="4" t="s">
        <v>15</v>
      </c>
      <c r="K1994" s="4" t="s">
        <v>200</v>
      </c>
      <c r="L1994" s="4" t="s">
        <v>225</v>
      </c>
      <c r="M1994" s="7">
        <v>13</v>
      </c>
      <c r="N1994" s="10">
        <v>4061.53</v>
      </c>
      <c r="O1994" s="10">
        <v>52799.89</v>
      </c>
      <c r="P1994">
        <f t="shared" si="125"/>
        <v>1</v>
      </c>
      <c r="Q1994" s="36">
        <f t="shared" si="126"/>
        <v>52799.89</v>
      </c>
      <c r="R1994">
        <f t="shared" si="127"/>
        <v>2022</v>
      </c>
    </row>
    <row r="1995" spans="1:18" x14ac:dyDescent="0.2">
      <c r="A1995" s="23">
        <v>45394</v>
      </c>
      <c r="B1995" s="23">
        <v>45394</v>
      </c>
      <c r="C1995" s="25" t="s">
        <v>398</v>
      </c>
      <c r="D1995" s="20">
        <v>0</v>
      </c>
      <c r="E1995" s="27">
        <v>52799.89</v>
      </c>
      <c r="F1995" s="22" t="s">
        <v>270</v>
      </c>
      <c r="G1995" s="29">
        <v>13</v>
      </c>
      <c r="H1995" s="39">
        <v>44869</v>
      </c>
      <c r="I1995" s="46">
        <f t="shared" si="124"/>
        <v>525</v>
      </c>
      <c r="J1995" s="4" t="s">
        <v>15</v>
      </c>
      <c r="K1995" s="4" t="s">
        <v>200</v>
      </c>
      <c r="L1995" s="4" t="s">
        <v>225</v>
      </c>
      <c r="M1995" s="7">
        <v>13</v>
      </c>
      <c r="N1995" s="10">
        <v>4061.53</v>
      </c>
      <c r="O1995" s="10">
        <v>52799.89</v>
      </c>
      <c r="P1995">
        <f t="shared" si="125"/>
        <v>1</v>
      </c>
      <c r="Q1995" s="36">
        <f t="shared" si="126"/>
        <v>52799.89</v>
      </c>
      <c r="R1995">
        <f t="shared" si="127"/>
        <v>2022</v>
      </c>
    </row>
    <row r="1996" spans="1:18" x14ac:dyDescent="0.2">
      <c r="A1996" s="23">
        <v>45394</v>
      </c>
      <c r="B1996" s="23">
        <v>45394</v>
      </c>
      <c r="C1996" s="25" t="s">
        <v>398</v>
      </c>
      <c r="D1996" s="20">
        <v>0</v>
      </c>
      <c r="E1996" s="27">
        <v>52799.89</v>
      </c>
      <c r="F1996" s="22" t="s">
        <v>270</v>
      </c>
      <c r="G1996" s="29">
        <v>13</v>
      </c>
      <c r="H1996" s="39">
        <v>44869</v>
      </c>
      <c r="I1996" s="46">
        <f t="shared" si="124"/>
        <v>525</v>
      </c>
      <c r="J1996" s="4" t="s">
        <v>15</v>
      </c>
      <c r="K1996" s="4" t="s">
        <v>200</v>
      </c>
      <c r="L1996" s="4" t="s">
        <v>225</v>
      </c>
      <c r="M1996" s="7">
        <v>13</v>
      </c>
      <c r="N1996" s="10">
        <v>4061.53</v>
      </c>
      <c r="O1996" s="10">
        <v>52799.89</v>
      </c>
      <c r="P1996">
        <f t="shared" si="125"/>
        <v>1</v>
      </c>
      <c r="Q1996" s="36">
        <f t="shared" si="126"/>
        <v>52799.89</v>
      </c>
      <c r="R1996">
        <f t="shared" si="127"/>
        <v>2022</v>
      </c>
    </row>
    <row r="1997" spans="1:18" x14ac:dyDescent="0.2">
      <c r="A1997" s="23">
        <v>45394</v>
      </c>
      <c r="B1997" s="23">
        <v>45394</v>
      </c>
      <c r="C1997" s="25" t="s">
        <v>398</v>
      </c>
      <c r="D1997" s="20">
        <v>0</v>
      </c>
      <c r="E1997" s="27">
        <v>52799.89</v>
      </c>
      <c r="F1997" s="22" t="s">
        <v>270</v>
      </c>
      <c r="G1997" s="29">
        <v>13</v>
      </c>
      <c r="H1997" s="39">
        <v>44869</v>
      </c>
      <c r="I1997" s="46">
        <f t="shared" si="124"/>
        <v>525</v>
      </c>
      <c r="J1997" s="4" t="s">
        <v>15</v>
      </c>
      <c r="K1997" s="4" t="s">
        <v>200</v>
      </c>
      <c r="L1997" s="4" t="s">
        <v>225</v>
      </c>
      <c r="M1997" s="7">
        <v>13</v>
      </c>
      <c r="N1997" s="10">
        <v>4061.53</v>
      </c>
      <c r="O1997" s="10">
        <v>52799.89</v>
      </c>
      <c r="P1997">
        <f t="shared" si="125"/>
        <v>1</v>
      </c>
      <c r="Q1997" s="36">
        <f t="shared" si="126"/>
        <v>52799.89</v>
      </c>
      <c r="R1997">
        <f t="shared" si="127"/>
        <v>2022</v>
      </c>
    </row>
    <row r="1998" spans="1:18" x14ac:dyDescent="0.2">
      <c r="A1998" s="23">
        <v>45394</v>
      </c>
      <c r="B1998" s="23">
        <v>45394</v>
      </c>
      <c r="C1998" s="25" t="s">
        <v>398</v>
      </c>
      <c r="D1998" s="20">
        <v>0</v>
      </c>
      <c r="E1998" s="27">
        <v>52799.89</v>
      </c>
      <c r="F1998" s="22" t="s">
        <v>270</v>
      </c>
      <c r="G1998" s="29">
        <v>13</v>
      </c>
      <c r="H1998" s="39">
        <v>44869</v>
      </c>
      <c r="I1998" s="46">
        <f t="shared" si="124"/>
        <v>525</v>
      </c>
      <c r="J1998" s="4" t="s">
        <v>15</v>
      </c>
      <c r="K1998" s="4" t="s">
        <v>200</v>
      </c>
      <c r="L1998" s="4" t="s">
        <v>225</v>
      </c>
      <c r="M1998" s="7">
        <v>13</v>
      </c>
      <c r="N1998" s="10">
        <v>4061.53</v>
      </c>
      <c r="O1998" s="10">
        <v>52799.89</v>
      </c>
      <c r="P1998">
        <f t="shared" si="125"/>
        <v>1</v>
      </c>
      <c r="Q1998" s="36">
        <f t="shared" si="126"/>
        <v>52799.89</v>
      </c>
      <c r="R1998">
        <f t="shared" si="127"/>
        <v>2022</v>
      </c>
    </row>
    <row r="1999" spans="1:18" x14ac:dyDescent="0.2">
      <c r="A1999" s="23">
        <v>45394</v>
      </c>
      <c r="B1999" s="23">
        <v>45394</v>
      </c>
      <c r="C1999" s="25" t="s">
        <v>398</v>
      </c>
      <c r="D1999" s="20">
        <v>0</v>
      </c>
      <c r="E1999" s="27">
        <v>52799.89</v>
      </c>
      <c r="F1999" s="22" t="s">
        <v>270</v>
      </c>
      <c r="G1999" s="29">
        <v>13</v>
      </c>
      <c r="H1999" s="39">
        <v>44869</v>
      </c>
      <c r="I1999" s="46">
        <f t="shared" si="124"/>
        <v>525</v>
      </c>
      <c r="J1999" s="4" t="s">
        <v>15</v>
      </c>
      <c r="K1999" s="4" t="s">
        <v>200</v>
      </c>
      <c r="L1999" s="4" t="s">
        <v>225</v>
      </c>
      <c r="M1999" s="7">
        <v>13</v>
      </c>
      <c r="N1999" s="10">
        <v>4061.53</v>
      </c>
      <c r="O1999" s="10">
        <v>52799.89</v>
      </c>
      <c r="P1999">
        <f t="shared" si="125"/>
        <v>1</v>
      </c>
      <c r="Q1999" s="36">
        <f t="shared" si="126"/>
        <v>52799.89</v>
      </c>
      <c r="R1999">
        <f t="shared" si="127"/>
        <v>2022</v>
      </c>
    </row>
    <row r="2000" spans="1:18" x14ac:dyDescent="0.2">
      <c r="A2000" s="23">
        <v>45394</v>
      </c>
      <c r="B2000" s="23">
        <v>45394</v>
      </c>
      <c r="C2000" s="25" t="s">
        <v>398</v>
      </c>
      <c r="D2000" s="20">
        <v>0</v>
      </c>
      <c r="E2000" s="27">
        <v>52799.89</v>
      </c>
      <c r="F2000" s="22" t="s">
        <v>270</v>
      </c>
      <c r="G2000" s="29">
        <v>13</v>
      </c>
      <c r="H2000" s="39">
        <v>44869</v>
      </c>
      <c r="I2000" s="46">
        <f t="shared" si="124"/>
        <v>525</v>
      </c>
      <c r="J2000" s="4" t="s">
        <v>15</v>
      </c>
      <c r="K2000" s="4" t="s">
        <v>200</v>
      </c>
      <c r="L2000" s="4" t="s">
        <v>225</v>
      </c>
      <c r="M2000" s="7">
        <v>13</v>
      </c>
      <c r="N2000" s="10">
        <v>4061.53</v>
      </c>
      <c r="O2000" s="10">
        <v>52799.89</v>
      </c>
      <c r="P2000">
        <f t="shared" si="125"/>
        <v>1</v>
      </c>
      <c r="Q2000" s="36">
        <f t="shared" si="126"/>
        <v>52799.89</v>
      </c>
      <c r="R2000">
        <f t="shared" si="127"/>
        <v>2022</v>
      </c>
    </row>
    <row r="2001" spans="1:18" x14ac:dyDescent="0.2">
      <c r="A2001" s="23">
        <v>45394</v>
      </c>
      <c r="B2001" s="23">
        <v>45394</v>
      </c>
      <c r="C2001" s="25" t="s">
        <v>398</v>
      </c>
      <c r="D2001" s="20">
        <v>0</v>
      </c>
      <c r="E2001" s="27">
        <v>52799.89</v>
      </c>
      <c r="F2001" s="22" t="s">
        <v>270</v>
      </c>
      <c r="G2001" s="29">
        <v>13</v>
      </c>
      <c r="H2001" s="39">
        <v>44869</v>
      </c>
      <c r="I2001" s="46">
        <f t="shared" si="124"/>
        <v>525</v>
      </c>
      <c r="J2001" s="4" t="s">
        <v>15</v>
      </c>
      <c r="K2001" s="4" t="s">
        <v>200</v>
      </c>
      <c r="L2001" s="4" t="s">
        <v>225</v>
      </c>
      <c r="M2001" s="7">
        <v>13</v>
      </c>
      <c r="N2001" s="10">
        <v>4061.53</v>
      </c>
      <c r="O2001" s="10">
        <v>52799.89</v>
      </c>
      <c r="P2001">
        <f t="shared" si="125"/>
        <v>1</v>
      </c>
      <c r="Q2001" s="36">
        <f t="shared" si="126"/>
        <v>52799.89</v>
      </c>
      <c r="R2001">
        <f t="shared" si="127"/>
        <v>2022</v>
      </c>
    </row>
    <row r="2002" spans="1:18" x14ac:dyDescent="0.2">
      <c r="A2002" s="23">
        <v>45394</v>
      </c>
      <c r="B2002" s="23">
        <v>45394</v>
      </c>
      <c r="C2002" s="25" t="s">
        <v>398</v>
      </c>
      <c r="D2002" s="20">
        <v>0</v>
      </c>
      <c r="E2002" s="27">
        <v>52799.89</v>
      </c>
      <c r="F2002" s="22" t="s">
        <v>270</v>
      </c>
      <c r="G2002" s="29">
        <v>13</v>
      </c>
      <c r="H2002" s="39">
        <v>44869</v>
      </c>
      <c r="I2002" s="46">
        <f t="shared" si="124"/>
        <v>525</v>
      </c>
      <c r="J2002" s="4" t="s">
        <v>15</v>
      </c>
      <c r="K2002" s="4" t="s">
        <v>200</v>
      </c>
      <c r="L2002" s="4" t="s">
        <v>225</v>
      </c>
      <c r="M2002" s="7">
        <v>13</v>
      </c>
      <c r="N2002" s="10">
        <v>4061.53</v>
      </c>
      <c r="O2002" s="10">
        <v>52799.89</v>
      </c>
      <c r="P2002">
        <f t="shared" si="125"/>
        <v>1</v>
      </c>
      <c r="Q2002" s="36">
        <f t="shared" si="126"/>
        <v>52799.89</v>
      </c>
      <c r="R2002">
        <f t="shared" si="127"/>
        <v>2022</v>
      </c>
    </row>
    <row r="2003" spans="1:18" x14ac:dyDescent="0.2">
      <c r="A2003" s="23">
        <v>45394</v>
      </c>
      <c r="B2003" s="23">
        <v>45394</v>
      </c>
      <c r="C2003" s="25" t="s">
        <v>398</v>
      </c>
      <c r="D2003" s="20">
        <v>0</v>
      </c>
      <c r="E2003" s="27">
        <v>52799.89</v>
      </c>
      <c r="F2003" s="22" t="s">
        <v>270</v>
      </c>
      <c r="G2003" s="29">
        <v>13</v>
      </c>
      <c r="H2003" s="39">
        <v>44869</v>
      </c>
      <c r="I2003" s="46">
        <f t="shared" si="124"/>
        <v>525</v>
      </c>
      <c r="J2003" s="4" t="s">
        <v>15</v>
      </c>
      <c r="K2003" s="4" t="s">
        <v>200</v>
      </c>
      <c r="L2003" s="4" t="s">
        <v>225</v>
      </c>
      <c r="M2003" s="7">
        <v>13</v>
      </c>
      <c r="N2003" s="10">
        <v>4061.53</v>
      </c>
      <c r="O2003" s="10">
        <v>52799.89</v>
      </c>
      <c r="P2003">
        <f t="shared" si="125"/>
        <v>1</v>
      </c>
      <c r="Q2003" s="36">
        <f t="shared" si="126"/>
        <v>52799.89</v>
      </c>
      <c r="R2003">
        <f t="shared" si="127"/>
        <v>2022</v>
      </c>
    </row>
    <row r="2004" spans="1:18" x14ac:dyDescent="0.2">
      <c r="A2004" s="23">
        <v>45394</v>
      </c>
      <c r="B2004" s="23">
        <v>45394</v>
      </c>
      <c r="C2004" s="25" t="s">
        <v>398</v>
      </c>
      <c r="D2004" s="20">
        <v>0</v>
      </c>
      <c r="E2004" s="27">
        <v>52799.89</v>
      </c>
      <c r="F2004" s="22" t="s">
        <v>270</v>
      </c>
      <c r="G2004" s="29">
        <v>13</v>
      </c>
      <c r="H2004" s="39">
        <v>44869</v>
      </c>
      <c r="I2004" s="46">
        <f t="shared" si="124"/>
        <v>525</v>
      </c>
      <c r="J2004" s="4" t="s">
        <v>15</v>
      </c>
      <c r="K2004" s="4" t="s">
        <v>200</v>
      </c>
      <c r="L2004" s="4" t="s">
        <v>225</v>
      </c>
      <c r="M2004" s="7">
        <v>13</v>
      </c>
      <c r="N2004" s="10">
        <v>4061.53</v>
      </c>
      <c r="O2004" s="10">
        <v>52799.89</v>
      </c>
      <c r="P2004">
        <f t="shared" si="125"/>
        <v>1</v>
      </c>
      <c r="Q2004" s="36">
        <f t="shared" si="126"/>
        <v>52799.89</v>
      </c>
      <c r="R2004">
        <f t="shared" si="127"/>
        <v>2022</v>
      </c>
    </row>
    <row r="2005" spans="1:18" x14ac:dyDescent="0.2">
      <c r="A2005" s="23">
        <v>45394</v>
      </c>
      <c r="B2005" s="23">
        <v>45394</v>
      </c>
      <c r="C2005" s="25" t="s">
        <v>398</v>
      </c>
      <c r="D2005" s="20">
        <v>0</v>
      </c>
      <c r="E2005" s="27">
        <v>52799.89</v>
      </c>
      <c r="F2005" s="22" t="s">
        <v>270</v>
      </c>
      <c r="G2005" s="29">
        <v>13</v>
      </c>
      <c r="H2005" s="39">
        <v>44869</v>
      </c>
      <c r="I2005" s="46">
        <f t="shared" si="124"/>
        <v>525</v>
      </c>
      <c r="J2005" s="4" t="s">
        <v>15</v>
      </c>
      <c r="K2005" s="4" t="s">
        <v>200</v>
      </c>
      <c r="L2005" s="4" t="s">
        <v>225</v>
      </c>
      <c r="M2005" s="7">
        <v>13</v>
      </c>
      <c r="N2005" s="10">
        <v>4061.53</v>
      </c>
      <c r="O2005" s="10">
        <v>52799.89</v>
      </c>
      <c r="P2005">
        <f t="shared" si="125"/>
        <v>1</v>
      </c>
      <c r="Q2005" s="36">
        <f t="shared" si="126"/>
        <v>52799.89</v>
      </c>
      <c r="R2005">
        <f t="shared" si="127"/>
        <v>2022</v>
      </c>
    </row>
    <row r="2006" spans="1:18" x14ac:dyDescent="0.2">
      <c r="A2006" s="23">
        <v>45394</v>
      </c>
      <c r="B2006" s="23">
        <v>45394</v>
      </c>
      <c r="C2006" s="25" t="s">
        <v>398</v>
      </c>
      <c r="D2006" s="20">
        <v>0</v>
      </c>
      <c r="E2006" s="27">
        <v>52799.89</v>
      </c>
      <c r="F2006" s="22" t="s">
        <v>270</v>
      </c>
      <c r="G2006" s="29">
        <v>13</v>
      </c>
      <c r="H2006" s="39">
        <v>44869</v>
      </c>
      <c r="I2006" s="46">
        <f t="shared" si="124"/>
        <v>525</v>
      </c>
      <c r="J2006" s="4" t="s">
        <v>15</v>
      </c>
      <c r="K2006" s="4" t="s">
        <v>200</v>
      </c>
      <c r="L2006" s="4" t="s">
        <v>225</v>
      </c>
      <c r="M2006" s="7">
        <v>13</v>
      </c>
      <c r="N2006" s="10">
        <v>4061.53</v>
      </c>
      <c r="O2006" s="10">
        <v>52799.89</v>
      </c>
      <c r="P2006">
        <f t="shared" si="125"/>
        <v>1</v>
      </c>
      <c r="Q2006" s="36">
        <f t="shared" si="126"/>
        <v>52799.89</v>
      </c>
      <c r="R2006">
        <f t="shared" si="127"/>
        <v>2022</v>
      </c>
    </row>
    <row r="2007" spans="1:18" x14ac:dyDescent="0.2">
      <c r="A2007" s="23">
        <v>45394</v>
      </c>
      <c r="B2007" s="23">
        <v>45394</v>
      </c>
      <c r="C2007" s="25" t="s">
        <v>398</v>
      </c>
      <c r="D2007" s="20">
        <v>0</v>
      </c>
      <c r="E2007" s="27">
        <v>52799.89</v>
      </c>
      <c r="F2007" s="22" t="s">
        <v>270</v>
      </c>
      <c r="G2007" s="29">
        <v>13</v>
      </c>
      <c r="H2007" s="39">
        <v>44869</v>
      </c>
      <c r="I2007" s="46">
        <f t="shared" si="124"/>
        <v>525</v>
      </c>
      <c r="J2007" s="4" t="s">
        <v>15</v>
      </c>
      <c r="K2007" s="4" t="s">
        <v>200</v>
      </c>
      <c r="L2007" s="4" t="s">
        <v>225</v>
      </c>
      <c r="M2007" s="7">
        <v>13</v>
      </c>
      <c r="N2007" s="10">
        <v>4061.53</v>
      </c>
      <c r="O2007" s="10">
        <v>52799.89</v>
      </c>
      <c r="P2007">
        <f t="shared" si="125"/>
        <v>1</v>
      </c>
      <c r="Q2007" s="36">
        <f t="shared" si="126"/>
        <v>52799.89</v>
      </c>
      <c r="R2007">
        <f t="shared" si="127"/>
        <v>2022</v>
      </c>
    </row>
    <row r="2008" spans="1:18" x14ac:dyDescent="0.2">
      <c r="A2008" s="23">
        <v>45394</v>
      </c>
      <c r="B2008" s="23">
        <v>45394</v>
      </c>
      <c r="C2008" s="25" t="s">
        <v>398</v>
      </c>
      <c r="D2008" s="20">
        <v>0</v>
      </c>
      <c r="E2008" s="27">
        <v>52799.89</v>
      </c>
      <c r="F2008" s="22" t="s">
        <v>270</v>
      </c>
      <c r="G2008" s="29">
        <v>13</v>
      </c>
      <c r="H2008" s="39">
        <v>44869</v>
      </c>
      <c r="I2008" s="46">
        <f t="shared" si="124"/>
        <v>525</v>
      </c>
      <c r="J2008" s="4" t="s">
        <v>15</v>
      </c>
      <c r="K2008" s="4" t="s">
        <v>200</v>
      </c>
      <c r="L2008" s="4" t="s">
        <v>225</v>
      </c>
      <c r="M2008" s="7">
        <v>13</v>
      </c>
      <c r="N2008" s="10">
        <v>4061.53</v>
      </c>
      <c r="O2008" s="10">
        <v>52799.89</v>
      </c>
      <c r="P2008">
        <f t="shared" si="125"/>
        <v>1</v>
      </c>
      <c r="Q2008" s="36">
        <f t="shared" si="126"/>
        <v>52799.89</v>
      </c>
      <c r="R2008">
        <f t="shared" si="127"/>
        <v>2022</v>
      </c>
    </row>
    <row r="2009" spans="1:18" x14ac:dyDescent="0.2">
      <c r="A2009" s="23">
        <v>45394</v>
      </c>
      <c r="B2009" s="23">
        <v>45394</v>
      </c>
      <c r="C2009" s="25" t="s">
        <v>398</v>
      </c>
      <c r="D2009" s="20">
        <v>0</v>
      </c>
      <c r="E2009" s="27">
        <v>52799.89</v>
      </c>
      <c r="F2009" s="22" t="s">
        <v>270</v>
      </c>
      <c r="G2009" s="29">
        <v>13</v>
      </c>
      <c r="H2009" s="39">
        <v>44869</v>
      </c>
      <c r="I2009" s="46">
        <f t="shared" si="124"/>
        <v>525</v>
      </c>
      <c r="J2009" s="4" t="s">
        <v>15</v>
      </c>
      <c r="K2009" s="4" t="s">
        <v>200</v>
      </c>
      <c r="L2009" s="4" t="s">
        <v>225</v>
      </c>
      <c r="M2009" s="7">
        <v>13</v>
      </c>
      <c r="N2009" s="10">
        <v>4061.53</v>
      </c>
      <c r="O2009" s="10">
        <v>52799.89</v>
      </c>
      <c r="P2009">
        <f t="shared" si="125"/>
        <v>1</v>
      </c>
      <c r="Q2009" s="36">
        <f t="shared" si="126"/>
        <v>52799.89</v>
      </c>
      <c r="R2009">
        <f t="shared" si="127"/>
        <v>2022</v>
      </c>
    </row>
    <row r="2010" spans="1:18" x14ac:dyDescent="0.2">
      <c r="A2010" s="23">
        <v>45394</v>
      </c>
      <c r="B2010" s="23">
        <v>45394</v>
      </c>
      <c r="C2010" s="25" t="s">
        <v>398</v>
      </c>
      <c r="D2010" s="20">
        <v>0</v>
      </c>
      <c r="E2010" s="27">
        <v>52799.89</v>
      </c>
      <c r="F2010" s="22" t="s">
        <v>270</v>
      </c>
      <c r="G2010" s="29">
        <v>13</v>
      </c>
      <c r="H2010" s="39">
        <v>44869</v>
      </c>
      <c r="I2010" s="46">
        <f t="shared" si="124"/>
        <v>525</v>
      </c>
      <c r="J2010" s="4" t="s">
        <v>15</v>
      </c>
      <c r="K2010" s="4" t="s">
        <v>200</v>
      </c>
      <c r="L2010" s="4" t="s">
        <v>225</v>
      </c>
      <c r="M2010" s="7">
        <v>13</v>
      </c>
      <c r="N2010" s="10">
        <v>4061.53</v>
      </c>
      <c r="O2010" s="10">
        <v>52799.89</v>
      </c>
      <c r="P2010">
        <f t="shared" si="125"/>
        <v>1</v>
      </c>
      <c r="Q2010" s="36">
        <f t="shared" si="126"/>
        <v>52799.89</v>
      </c>
      <c r="R2010">
        <f t="shared" si="127"/>
        <v>2022</v>
      </c>
    </row>
    <row r="2011" spans="1:18" x14ac:dyDescent="0.2">
      <c r="A2011" s="23">
        <v>45394</v>
      </c>
      <c r="B2011" s="23">
        <v>45394</v>
      </c>
      <c r="C2011" s="25" t="s">
        <v>398</v>
      </c>
      <c r="D2011" s="20">
        <v>0</v>
      </c>
      <c r="E2011" s="27">
        <v>52799.89</v>
      </c>
      <c r="F2011" s="22" t="s">
        <v>270</v>
      </c>
      <c r="G2011" s="29">
        <v>13</v>
      </c>
      <c r="H2011" s="39">
        <v>44869</v>
      </c>
      <c r="I2011" s="46">
        <f t="shared" si="124"/>
        <v>525</v>
      </c>
      <c r="J2011" s="4" t="s">
        <v>15</v>
      </c>
      <c r="K2011" s="4" t="s">
        <v>200</v>
      </c>
      <c r="L2011" s="4" t="s">
        <v>225</v>
      </c>
      <c r="M2011" s="7">
        <v>13</v>
      </c>
      <c r="N2011" s="10">
        <v>4061.53</v>
      </c>
      <c r="O2011" s="10">
        <v>52799.89</v>
      </c>
      <c r="P2011">
        <f t="shared" si="125"/>
        <v>1</v>
      </c>
      <c r="Q2011" s="36">
        <f t="shared" si="126"/>
        <v>52799.89</v>
      </c>
      <c r="R2011">
        <f t="shared" si="127"/>
        <v>2022</v>
      </c>
    </row>
    <row r="2012" spans="1:18" x14ac:dyDescent="0.2">
      <c r="A2012" s="23">
        <v>45394</v>
      </c>
      <c r="B2012" s="23">
        <v>45394</v>
      </c>
      <c r="C2012" s="25" t="s">
        <v>398</v>
      </c>
      <c r="D2012" s="20">
        <v>0</v>
      </c>
      <c r="E2012" s="27">
        <v>52799.89</v>
      </c>
      <c r="F2012" s="22" t="s">
        <v>270</v>
      </c>
      <c r="G2012" s="29">
        <v>13</v>
      </c>
      <c r="H2012" s="39">
        <v>44869</v>
      </c>
      <c r="I2012" s="46">
        <f t="shared" si="124"/>
        <v>525</v>
      </c>
      <c r="J2012" s="4" t="s">
        <v>15</v>
      </c>
      <c r="K2012" s="4" t="s">
        <v>200</v>
      </c>
      <c r="L2012" s="4" t="s">
        <v>225</v>
      </c>
      <c r="M2012" s="7">
        <v>13</v>
      </c>
      <c r="N2012" s="10">
        <v>4061.53</v>
      </c>
      <c r="O2012" s="10">
        <v>52799.89</v>
      </c>
      <c r="P2012">
        <f t="shared" si="125"/>
        <v>1</v>
      </c>
      <c r="Q2012" s="36">
        <f t="shared" si="126"/>
        <v>52799.89</v>
      </c>
      <c r="R2012">
        <f t="shared" si="127"/>
        <v>2022</v>
      </c>
    </row>
    <row r="2013" spans="1:18" x14ac:dyDescent="0.2">
      <c r="A2013" s="23">
        <v>45394</v>
      </c>
      <c r="B2013" s="23">
        <v>45394</v>
      </c>
      <c r="C2013" s="25" t="s">
        <v>398</v>
      </c>
      <c r="D2013" s="20">
        <v>0</v>
      </c>
      <c r="E2013" s="27">
        <v>52799.89</v>
      </c>
      <c r="F2013" s="22" t="s">
        <v>270</v>
      </c>
      <c r="G2013" s="29">
        <v>13</v>
      </c>
      <c r="H2013" s="39">
        <v>44869</v>
      </c>
      <c r="I2013" s="46">
        <f t="shared" si="124"/>
        <v>525</v>
      </c>
      <c r="J2013" s="4" t="s">
        <v>15</v>
      </c>
      <c r="K2013" s="4" t="s">
        <v>200</v>
      </c>
      <c r="L2013" s="4" t="s">
        <v>225</v>
      </c>
      <c r="M2013" s="7">
        <v>13</v>
      </c>
      <c r="N2013" s="10">
        <v>4061.53</v>
      </c>
      <c r="O2013" s="10">
        <v>52799.89</v>
      </c>
      <c r="P2013">
        <f t="shared" si="125"/>
        <v>1</v>
      </c>
      <c r="Q2013" s="36">
        <f t="shared" si="126"/>
        <v>52799.89</v>
      </c>
      <c r="R2013">
        <f t="shared" si="127"/>
        <v>2022</v>
      </c>
    </row>
    <row r="2014" spans="1:18" x14ac:dyDescent="0.2">
      <c r="A2014" s="23">
        <v>45394</v>
      </c>
      <c r="B2014" s="23">
        <v>45394</v>
      </c>
      <c r="C2014" s="25" t="s">
        <v>398</v>
      </c>
      <c r="D2014" s="20">
        <v>0</v>
      </c>
      <c r="E2014" s="27">
        <v>52799.89</v>
      </c>
      <c r="F2014" s="22" t="s">
        <v>270</v>
      </c>
      <c r="G2014" s="29">
        <v>13</v>
      </c>
      <c r="H2014" s="39">
        <v>44869</v>
      </c>
      <c r="I2014" s="46">
        <f t="shared" si="124"/>
        <v>525</v>
      </c>
      <c r="J2014" s="4" t="s">
        <v>15</v>
      </c>
      <c r="K2014" s="4" t="s">
        <v>200</v>
      </c>
      <c r="L2014" s="4" t="s">
        <v>225</v>
      </c>
      <c r="M2014" s="7">
        <v>13</v>
      </c>
      <c r="N2014" s="10">
        <v>4061.53</v>
      </c>
      <c r="O2014" s="10">
        <v>52799.89</v>
      </c>
      <c r="P2014">
        <f t="shared" si="125"/>
        <v>1</v>
      </c>
      <c r="Q2014" s="36">
        <f t="shared" si="126"/>
        <v>52799.89</v>
      </c>
      <c r="R2014">
        <f t="shared" si="127"/>
        <v>2022</v>
      </c>
    </row>
    <row r="2015" spans="1:18" x14ac:dyDescent="0.2">
      <c r="A2015" s="23">
        <v>45394</v>
      </c>
      <c r="B2015" s="23">
        <v>45394</v>
      </c>
      <c r="C2015" s="25" t="s">
        <v>398</v>
      </c>
      <c r="D2015" s="20">
        <v>0</v>
      </c>
      <c r="E2015" s="27">
        <v>52799.89</v>
      </c>
      <c r="F2015" s="22" t="s">
        <v>270</v>
      </c>
      <c r="G2015" s="29">
        <v>13</v>
      </c>
      <c r="H2015" s="39">
        <v>44869</v>
      </c>
      <c r="I2015" s="46">
        <f t="shared" si="124"/>
        <v>525</v>
      </c>
      <c r="J2015" s="4" t="s">
        <v>15</v>
      </c>
      <c r="K2015" s="4" t="s">
        <v>200</v>
      </c>
      <c r="L2015" s="4" t="s">
        <v>225</v>
      </c>
      <c r="M2015" s="7">
        <v>13</v>
      </c>
      <c r="N2015" s="10">
        <v>4061.53</v>
      </c>
      <c r="O2015" s="10">
        <v>52799.89</v>
      </c>
      <c r="P2015">
        <f t="shared" si="125"/>
        <v>1</v>
      </c>
      <c r="Q2015" s="36">
        <f t="shared" si="126"/>
        <v>52799.89</v>
      </c>
      <c r="R2015">
        <f t="shared" si="127"/>
        <v>2022</v>
      </c>
    </row>
    <row r="2016" spans="1:18" x14ac:dyDescent="0.2">
      <c r="A2016" s="23">
        <v>45394</v>
      </c>
      <c r="B2016" s="23">
        <v>45394</v>
      </c>
      <c r="C2016" s="25" t="s">
        <v>398</v>
      </c>
      <c r="D2016" s="20">
        <v>0</v>
      </c>
      <c r="E2016" s="27">
        <v>52799.89</v>
      </c>
      <c r="F2016" s="22" t="s">
        <v>270</v>
      </c>
      <c r="G2016" s="29">
        <v>13</v>
      </c>
      <c r="H2016" s="39">
        <v>44869</v>
      </c>
      <c r="I2016" s="46">
        <f t="shared" si="124"/>
        <v>525</v>
      </c>
      <c r="J2016" s="4" t="s">
        <v>15</v>
      </c>
      <c r="K2016" s="4" t="s">
        <v>200</v>
      </c>
      <c r="L2016" s="4" t="s">
        <v>225</v>
      </c>
      <c r="M2016" s="7">
        <v>13</v>
      </c>
      <c r="N2016" s="10">
        <v>4061.53</v>
      </c>
      <c r="O2016" s="10">
        <v>52799.89</v>
      </c>
      <c r="P2016">
        <f t="shared" si="125"/>
        <v>1</v>
      </c>
      <c r="Q2016" s="36">
        <f t="shared" si="126"/>
        <v>52799.89</v>
      </c>
      <c r="R2016">
        <f t="shared" si="127"/>
        <v>2022</v>
      </c>
    </row>
    <row r="2017" spans="1:18" x14ac:dyDescent="0.2">
      <c r="A2017" s="23">
        <v>45394</v>
      </c>
      <c r="B2017" s="23">
        <v>45394</v>
      </c>
      <c r="C2017" s="25" t="s">
        <v>398</v>
      </c>
      <c r="D2017" s="20">
        <v>0</v>
      </c>
      <c r="E2017" s="27">
        <v>52799.89</v>
      </c>
      <c r="F2017" s="22" t="s">
        <v>270</v>
      </c>
      <c r="G2017" s="29">
        <v>13</v>
      </c>
      <c r="H2017" s="39">
        <v>44869</v>
      </c>
      <c r="I2017" s="46">
        <f t="shared" si="124"/>
        <v>525</v>
      </c>
      <c r="J2017" s="4" t="s">
        <v>15</v>
      </c>
      <c r="K2017" s="4" t="s">
        <v>200</v>
      </c>
      <c r="L2017" s="4" t="s">
        <v>225</v>
      </c>
      <c r="M2017" s="7">
        <v>13</v>
      </c>
      <c r="N2017" s="10">
        <v>4061.53</v>
      </c>
      <c r="O2017" s="10">
        <v>52799.89</v>
      </c>
      <c r="P2017">
        <f t="shared" si="125"/>
        <v>1</v>
      </c>
      <c r="Q2017" s="36">
        <f t="shared" si="126"/>
        <v>52799.89</v>
      </c>
      <c r="R2017">
        <f t="shared" si="127"/>
        <v>2022</v>
      </c>
    </row>
    <row r="2018" spans="1:18" x14ac:dyDescent="0.2">
      <c r="A2018" s="23">
        <v>45394</v>
      </c>
      <c r="B2018" s="23">
        <v>45394</v>
      </c>
      <c r="C2018" s="25" t="s">
        <v>398</v>
      </c>
      <c r="D2018" s="20">
        <v>0</v>
      </c>
      <c r="E2018" s="27">
        <v>52799.89</v>
      </c>
      <c r="F2018" s="22" t="s">
        <v>270</v>
      </c>
      <c r="G2018" s="29">
        <v>13</v>
      </c>
      <c r="H2018" s="39">
        <v>44869</v>
      </c>
      <c r="I2018" s="46">
        <f t="shared" si="124"/>
        <v>525</v>
      </c>
      <c r="J2018" s="4" t="s">
        <v>15</v>
      </c>
      <c r="K2018" s="4" t="s">
        <v>200</v>
      </c>
      <c r="L2018" s="4" t="s">
        <v>225</v>
      </c>
      <c r="M2018" s="7">
        <v>13</v>
      </c>
      <c r="N2018" s="10">
        <v>4061.53</v>
      </c>
      <c r="O2018" s="10">
        <v>52799.89</v>
      </c>
      <c r="P2018">
        <f t="shared" si="125"/>
        <v>1</v>
      </c>
      <c r="Q2018" s="36">
        <f t="shared" si="126"/>
        <v>52799.89</v>
      </c>
      <c r="R2018">
        <f t="shared" si="127"/>
        <v>2022</v>
      </c>
    </row>
    <row r="2019" spans="1:18" x14ac:dyDescent="0.2">
      <c r="A2019" s="23">
        <v>45394</v>
      </c>
      <c r="B2019" s="23">
        <v>45394</v>
      </c>
      <c r="C2019" s="25" t="s">
        <v>398</v>
      </c>
      <c r="D2019" s="20">
        <v>0</v>
      </c>
      <c r="E2019" s="27">
        <v>52799.89</v>
      </c>
      <c r="F2019" s="22" t="s">
        <v>270</v>
      </c>
      <c r="G2019" s="29">
        <v>13</v>
      </c>
      <c r="H2019" s="39">
        <v>44869</v>
      </c>
      <c r="I2019" s="46">
        <f t="shared" si="124"/>
        <v>525</v>
      </c>
      <c r="J2019" s="4" t="s">
        <v>15</v>
      </c>
      <c r="K2019" s="4" t="s">
        <v>200</v>
      </c>
      <c r="L2019" s="4" t="s">
        <v>225</v>
      </c>
      <c r="M2019" s="7">
        <v>13</v>
      </c>
      <c r="N2019" s="10">
        <v>4061.53</v>
      </c>
      <c r="O2019" s="10">
        <v>52799.89</v>
      </c>
      <c r="P2019">
        <f t="shared" si="125"/>
        <v>1</v>
      </c>
      <c r="Q2019" s="36">
        <f t="shared" si="126"/>
        <v>52799.89</v>
      </c>
      <c r="R2019">
        <f t="shared" si="127"/>
        <v>2022</v>
      </c>
    </row>
    <row r="2020" spans="1:18" x14ac:dyDescent="0.2">
      <c r="A2020" s="23">
        <v>45394</v>
      </c>
      <c r="B2020" s="23">
        <v>45394</v>
      </c>
      <c r="C2020" s="25" t="s">
        <v>398</v>
      </c>
      <c r="D2020" s="20">
        <v>0</v>
      </c>
      <c r="E2020" s="27">
        <v>52799.89</v>
      </c>
      <c r="F2020" s="22" t="s">
        <v>270</v>
      </c>
      <c r="G2020" s="29">
        <v>13</v>
      </c>
      <c r="H2020" s="39">
        <v>44869</v>
      </c>
      <c r="I2020" s="46">
        <f t="shared" si="124"/>
        <v>525</v>
      </c>
      <c r="J2020" s="4" t="s">
        <v>15</v>
      </c>
      <c r="K2020" s="4" t="s">
        <v>200</v>
      </c>
      <c r="L2020" s="4" t="s">
        <v>225</v>
      </c>
      <c r="M2020" s="7">
        <v>13</v>
      </c>
      <c r="N2020" s="10">
        <v>4061.53</v>
      </c>
      <c r="O2020" s="10">
        <v>52799.89</v>
      </c>
      <c r="P2020">
        <f t="shared" si="125"/>
        <v>1</v>
      </c>
      <c r="Q2020" s="36">
        <f t="shared" si="126"/>
        <v>52799.89</v>
      </c>
      <c r="R2020">
        <f t="shared" si="127"/>
        <v>2022</v>
      </c>
    </row>
    <row r="2021" spans="1:18" x14ac:dyDescent="0.2">
      <c r="A2021" s="23">
        <v>45394</v>
      </c>
      <c r="B2021" s="23">
        <v>45394</v>
      </c>
      <c r="C2021" s="25" t="s">
        <v>398</v>
      </c>
      <c r="D2021" s="20">
        <v>0</v>
      </c>
      <c r="E2021" s="27">
        <v>52799.89</v>
      </c>
      <c r="F2021" s="22" t="s">
        <v>270</v>
      </c>
      <c r="G2021" s="29">
        <v>13</v>
      </c>
      <c r="H2021" s="39">
        <v>44869</v>
      </c>
      <c r="I2021" s="46">
        <f t="shared" si="124"/>
        <v>525</v>
      </c>
      <c r="J2021" s="4" t="s">
        <v>15</v>
      </c>
      <c r="K2021" s="4" t="s">
        <v>200</v>
      </c>
      <c r="L2021" s="4" t="s">
        <v>225</v>
      </c>
      <c r="M2021" s="7">
        <v>13</v>
      </c>
      <c r="N2021" s="10">
        <v>4061.53</v>
      </c>
      <c r="O2021" s="10">
        <v>52799.89</v>
      </c>
      <c r="P2021">
        <f t="shared" si="125"/>
        <v>1</v>
      </c>
      <c r="Q2021" s="36">
        <f t="shared" si="126"/>
        <v>52799.89</v>
      </c>
      <c r="R2021">
        <f t="shared" si="127"/>
        <v>2022</v>
      </c>
    </row>
    <row r="2022" spans="1:18" x14ac:dyDescent="0.2">
      <c r="A2022" s="23">
        <v>45394</v>
      </c>
      <c r="B2022" s="23">
        <v>45394</v>
      </c>
      <c r="C2022" s="25" t="s">
        <v>398</v>
      </c>
      <c r="D2022" s="20">
        <v>0</v>
      </c>
      <c r="E2022" s="27">
        <v>52799.89</v>
      </c>
      <c r="F2022" s="22" t="s">
        <v>270</v>
      </c>
      <c r="G2022" s="29">
        <v>13</v>
      </c>
      <c r="H2022" s="39">
        <v>44869</v>
      </c>
      <c r="I2022" s="46">
        <f t="shared" si="124"/>
        <v>525</v>
      </c>
      <c r="J2022" s="4" t="s">
        <v>15</v>
      </c>
      <c r="K2022" s="4" t="s">
        <v>200</v>
      </c>
      <c r="L2022" s="4" t="s">
        <v>225</v>
      </c>
      <c r="M2022" s="7">
        <v>13</v>
      </c>
      <c r="N2022" s="10">
        <v>4061.53</v>
      </c>
      <c r="O2022" s="10">
        <v>52799.89</v>
      </c>
      <c r="P2022">
        <f t="shared" si="125"/>
        <v>1</v>
      </c>
      <c r="Q2022" s="36">
        <f t="shared" si="126"/>
        <v>52799.89</v>
      </c>
      <c r="R2022">
        <f t="shared" si="127"/>
        <v>2022</v>
      </c>
    </row>
    <row r="2023" spans="1:18" x14ac:dyDescent="0.2">
      <c r="A2023" s="23">
        <v>45394</v>
      </c>
      <c r="B2023" s="23">
        <v>45394</v>
      </c>
      <c r="C2023" s="25" t="s">
        <v>398</v>
      </c>
      <c r="D2023" s="20">
        <v>0</v>
      </c>
      <c r="E2023" s="27">
        <v>52799.89</v>
      </c>
      <c r="F2023" s="22" t="s">
        <v>270</v>
      </c>
      <c r="G2023" s="29">
        <v>13</v>
      </c>
      <c r="H2023" s="39">
        <v>44869</v>
      </c>
      <c r="I2023" s="46">
        <f t="shared" si="124"/>
        <v>525</v>
      </c>
      <c r="J2023" s="4" t="s">
        <v>15</v>
      </c>
      <c r="K2023" s="4" t="s">
        <v>200</v>
      </c>
      <c r="L2023" s="4" t="s">
        <v>225</v>
      </c>
      <c r="M2023" s="7">
        <v>13</v>
      </c>
      <c r="N2023" s="10">
        <v>4061.53</v>
      </c>
      <c r="O2023" s="10">
        <v>52799.89</v>
      </c>
      <c r="P2023">
        <f t="shared" si="125"/>
        <v>1</v>
      </c>
      <c r="Q2023" s="36">
        <f t="shared" si="126"/>
        <v>52799.89</v>
      </c>
      <c r="R2023">
        <f t="shared" si="127"/>
        <v>2022</v>
      </c>
    </row>
    <row r="2024" spans="1:18" x14ac:dyDescent="0.2">
      <c r="A2024" s="23">
        <v>45394</v>
      </c>
      <c r="B2024" s="23">
        <v>45394</v>
      </c>
      <c r="C2024" s="25" t="s">
        <v>398</v>
      </c>
      <c r="D2024" s="20">
        <v>0</v>
      </c>
      <c r="E2024" s="27">
        <v>52799.89</v>
      </c>
      <c r="F2024" s="22" t="s">
        <v>270</v>
      </c>
      <c r="G2024" s="29">
        <v>13</v>
      </c>
      <c r="H2024" s="39">
        <v>44869</v>
      </c>
      <c r="I2024" s="46">
        <f t="shared" si="124"/>
        <v>525</v>
      </c>
      <c r="J2024" s="4" t="s">
        <v>15</v>
      </c>
      <c r="K2024" s="4" t="s">
        <v>200</v>
      </c>
      <c r="L2024" s="4" t="s">
        <v>225</v>
      </c>
      <c r="M2024" s="7">
        <v>13</v>
      </c>
      <c r="N2024" s="10">
        <v>4061.53</v>
      </c>
      <c r="O2024" s="10">
        <v>52799.89</v>
      </c>
      <c r="P2024">
        <f t="shared" si="125"/>
        <v>1</v>
      </c>
      <c r="Q2024" s="36">
        <f t="shared" si="126"/>
        <v>52799.89</v>
      </c>
      <c r="R2024">
        <f t="shared" si="127"/>
        <v>2022</v>
      </c>
    </row>
    <row r="2025" spans="1:18" x14ac:dyDescent="0.2">
      <c r="A2025" s="23">
        <v>45394</v>
      </c>
      <c r="B2025" s="23">
        <v>45394</v>
      </c>
      <c r="C2025" s="25" t="s">
        <v>398</v>
      </c>
      <c r="D2025" s="20">
        <v>0</v>
      </c>
      <c r="E2025" s="27">
        <v>52799.89</v>
      </c>
      <c r="F2025" s="22" t="s">
        <v>270</v>
      </c>
      <c r="G2025" s="29">
        <v>13</v>
      </c>
      <c r="H2025" s="39">
        <v>44869</v>
      </c>
      <c r="I2025" s="46">
        <f t="shared" si="124"/>
        <v>525</v>
      </c>
      <c r="J2025" s="4" t="s">
        <v>15</v>
      </c>
      <c r="K2025" s="4" t="s">
        <v>200</v>
      </c>
      <c r="L2025" s="4" t="s">
        <v>225</v>
      </c>
      <c r="M2025" s="7">
        <v>13</v>
      </c>
      <c r="N2025" s="10">
        <v>4061.53</v>
      </c>
      <c r="O2025" s="10">
        <v>52799.89</v>
      </c>
      <c r="P2025">
        <f t="shared" si="125"/>
        <v>1</v>
      </c>
      <c r="Q2025" s="36">
        <f t="shared" si="126"/>
        <v>52799.89</v>
      </c>
      <c r="R2025">
        <f t="shared" si="127"/>
        <v>2022</v>
      </c>
    </row>
    <row r="2026" spans="1:18" x14ac:dyDescent="0.2">
      <c r="A2026" s="23">
        <v>45394</v>
      </c>
      <c r="B2026" s="23">
        <v>45394</v>
      </c>
      <c r="C2026" s="25" t="s">
        <v>398</v>
      </c>
      <c r="D2026" s="20">
        <v>0</v>
      </c>
      <c r="E2026" s="27">
        <v>52799.89</v>
      </c>
      <c r="F2026" s="22" t="s">
        <v>270</v>
      </c>
      <c r="G2026" s="29">
        <v>13</v>
      </c>
      <c r="H2026" s="39">
        <v>44869</v>
      </c>
      <c r="I2026" s="46">
        <f t="shared" si="124"/>
        <v>525</v>
      </c>
      <c r="J2026" s="4" t="s">
        <v>15</v>
      </c>
      <c r="K2026" s="4" t="s">
        <v>200</v>
      </c>
      <c r="L2026" s="4" t="s">
        <v>225</v>
      </c>
      <c r="M2026" s="7">
        <v>13</v>
      </c>
      <c r="N2026" s="10">
        <v>4061.53</v>
      </c>
      <c r="O2026" s="10">
        <v>52799.89</v>
      </c>
      <c r="P2026">
        <f t="shared" si="125"/>
        <v>1</v>
      </c>
      <c r="Q2026" s="36">
        <f t="shared" si="126"/>
        <v>52799.89</v>
      </c>
      <c r="R2026">
        <f t="shared" si="127"/>
        <v>2022</v>
      </c>
    </row>
    <row r="2027" spans="1:18" x14ac:dyDescent="0.2">
      <c r="A2027" s="23">
        <v>45394</v>
      </c>
      <c r="B2027" s="23">
        <v>45394</v>
      </c>
      <c r="C2027" s="25" t="s">
        <v>398</v>
      </c>
      <c r="D2027" s="20">
        <v>0</v>
      </c>
      <c r="E2027" s="27">
        <v>52799.89</v>
      </c>
      <c r="F2027" s="22" t="s">
        <v>270</v>
      </c>
      <c r="G2027" s="29">
        <v>13</v>
      </c>
      <c r="H2027" s="39">
        <v>44869</v>
      </c>
      <c r="I2027" s="46">
        <f t="shared" si="124"/>
        <v>525</v>
      </c>
      <c r="J2027" s="4" t="s">
        <v>15</v>
      </c>
      <c r="K2027" s="4" t="s">
        <v>200</v>
      </c>
      <c r="L2027" s="4" t="s">
        <v>225</v>
      </c>
      <c r="M2027" s="7">
        <v>13</v>
      </c>
      <c r="N2027" s="10">
        <v>4061.53</v>
      </c>
      <c r="O2027" s="10">
        <v>52799.89</v>
      </c>
      <c r="P2027">
        <f t="shared" si="125"/>
        <v>1</v>
      </c>
      <c r="Q2027" s="36">
        <f t="shared" si="126"/>
        <v>52799.89</v>
      </c>
      <c r="R2027">
        <f t="shared" si="127"/>
        <v>2022</v>
      </c>
    </row>
    <row r="2028" spans="1:18" x14ac:dyDescent="0.2">
      <c r="A2028" s="23">
        <v>45394</v>
      </c>
      <c r="B2028" s="23">
        <v>45394</v>
      </c>
      <c r="C2028" s="25" t="s">
        <v>398</v>
      </c>
      <c r="D2028" s="20">
        <v>0</v>
      </c>
      <c r="E2028" s="27">
        <v>52799.89</v>
      </c>
      <c r="F2028" s="22" t="s">
        <v>270</v>
      </c>
      <c r="G2028" s="29">
        <v>13</v>
      </c>
      <c r="H2028" s="39">
        <v>44869</v>
      </c>
      <c r="I2028" s="46">
        <f t="shared" si="124"/>
        <v>525</v>
      </c>
      <c r="J2028" s="4" t="s">
        <v>15</v>
      </c>
      <c r="K2028" s="4" t="s">
        <v>200</v>
      </c>
      <c r="L2028" s="4" t="s">
        <v>225</v>
      </c>
      <c r="M2028" s="7">
        <v>13</v>
      </c>
      <c r="N2028" s="10">
        <v>4061.53</v>
      </c>
      <c r="O2028" s="10">
        <v>52799.89</v>
      </c>
      <c r="P2028">
        <f t="shared" si="125"/>
        <v>1</v>
      </c>
      <c r="Q2028" s="36">
        <f t="shared" si="126"/>
        <v>52799.89</v>
      </c>
      <c r="R2028">
        <f t="shared" si="127"/>
        <v>2022</v>
      </c>
    </row>
    <row r="2029" spans="1:18" x14ac:dyDescent="0.2">
      <c r="A2029" s="23">
        <v>45394</v>
      </c>
      <c r="B2029" s="23">
        <v>45394</v>
      </c>
      <c r="C2029" s="25" t="s">
        <v>398</v>
      </c>
      <c r="D2029" s="20">
        <v>0</v>
      </c>
      <c r="E2029" s="27">
        <v>52799.89</v>
      </c>
      <c r="F2029" s="22" t="s">
        <v>270</v>
      </c>
      <c r="G2029" s="29">
        <v>13</v>
      </c>
      <c r="H2029" s="39">
        <v>44869</v>
      </c>
      <c r="I2029" s="46">
        <f t="shared" si="124"/>
        <v>525</v>
      </c>
      <c r="J2029" s="4" t="s">
        <v>15</v>
      </c>
      <c r="K2029" s="4" t="s">
        <v>200</v>
      </c>
      <c r="L2029" s="4" t="s">
        <v>225</v>
      </c>
      <c r="M2029" s="7">
        <v>13</v>
      </c>
      <c r="N2029" s="10">
        <v>4061.53</v>
      </c>
      <c r="O2029" s="10">
        <v>52799.89</v>
      </c>
      <c r="P2029">
        <f t="shared" si="125"/>
        <v>1</v>
      </c>
      <c r="Q2029" s="36">
        <f t="shared" si="126"/>
        <v>52799.89</v>
      </c>
      <c r="R2029">
        <f t="shared" si="127"/>
        <v>2022</v>
      </c>
    </row>
    <row r="2030" spans="1:18" x14ac:dyDescent="0.2">
      <c r="A2030" s="23">
        <v>45394</v>
      </c>
      <c r="B2030" s="23">
        <v>45394</v>
      </c>
      <c r="C2030" s="25" t="s">
        <v>398</v>
      </c>
      <c r="D2030" s="20">
        <v>0</v>
      </c>
      <c r="E2030" s="27">
        <v>52799.89</v>
      </c>
      <c r="F2030" s="22" t="s">
        <v>270</v>
      </c>
      <c r="G2030" s="29">
        <v>13</v>
      </c>
      <c r="H2030" s="39">
        <v>44869</v>
      </c>
      <c r="I2030" s="46">
        <f t="shared" si="124"/>
        <v>525</v>
      </c>
      <c r="J2030" s="4" t="s">
        <v>15</v>
      </c>
      <c r="K2030" s="4" t="s">
        <v>200</v>
      </c>
      <c r="L2030" s="4" t="s">
        <v>225</v>
      </c>
      <c r="M2030" s="7">
        <v>13</v>
      </c>
      <c r="N2030" s="10">
        <v>4061.53</v>
      </c>
      <c r="O2030" s="10">
        <v>52799.89</v>
      </c>
      <c r="P2030">
        <f t="shared" si="125"/>
        <v>1</v>
      </c>
      <c r="Q2030" s="36">
        <f t="shared" si="126"/>
        <v>52799.89</v>
      </c>
      <c r="R2030">
        <f t="shared" si="127"/>
        <v>2022</v>
      </c>
    </row>
    <row r="2031" spans="1:18" x14ac:dyDescent="0.2">
      <c r="A2031" s="23">
        <v>45394</v>
      </c>
      <c r="B2031" s="23">
        <v>45394</v>
      </c>
      <c r="C2031" s="25" t="s">
        <v>398</v>
      </c>
      <c r="D2031" s="20">
        <v>0</v>
      </c>
      <c r="E2031" s="27">
        <v>52799.89</v>
      </c>
      <c r="F2031" s="22" t="s">
        <v>270</v>
      </c>
      <c r="G2031" s="29">
        <v>13</v>
      </c>
      <c r="H2031" s="39">
        <v>44869</v>
      </c>
      <c r="I2031" s="46">
        <f t="shared" si="124"/>
        <v>525</v>
      </c>
      <c r="J2031" s="4" t="s">
        <v>15</v>
      </c>
      <c r="K2031" s="4" t="s">
        <v>200</v>
      </c>
      <c r="L2031" s="4" t="s">
        <v>225</v>
      </c>
      <c r="M2031" s="7">
        <v>13</v>
      </c>
      <c r="N2031" s="10">
        <v>4061.53</v>
      </c>
      <c r="O2031" s="10">
        <v>52799.89</v>
      </c>
      <c r="P2031">
        <f t="shared" si="125"/>
        <v>1</v>
      </c>
      <c r="Q2031" s="36">
        <f t="shared" si="126"/>
        <v>52799.89</v>
      </c>
      <c r="R2031">
        <f t="shared" si="127"/>
        <v>2022</v>
      </c>
    </row>
    <row r="2032" spans="1:18" x14ac:dyDescent="0.2">
      <c r="A2032" s="23">
        <v>45394</v>
      </c>
      <c r="B2032" s="23">
        <v>45394</v>
      </c>
      <c r="C2032" s="25" t="s">
        <v>398</v>
      </c>
      <c r="D2032" s="20">
        <v>0</v>
      </c>
      <c r="E2032" s="27">
        <v>52799.89</v>
      </c>
      <c r="F2032" s="22" t="s">
        <v>270</v>
      </c>
      <c r="G2032" s="29">
        <v>13</v>
      </c>
      <c r="H2032" s="39">
        <v>44869</v>
      </c>
      <c r="I2032" s="46">
        <f t="shared" si="124"/>
        <v>525</v>
      </c>
      <c r="J2032" s="4" t="s">
        <v>15</v>
      </c>
      <c r="K2032" s="4" t="s">
        <v>200</v>
      </c>
      <c r="L2032" s="4" t="s">
        <v>225</v>
      </c>
      <c r="M2032" s="7">
        <v>13</v>
      </c>
      <c r="N2032" s="10">
        <v>4061.53</v>
      </c>
      <c r="O2032" s="10">
        <v>52799.89</v>
      </c>
      <c r="P2032">
        <f t="shared" si="125"/>
        <v>1</v>
      </c>
      <c r="Q2032" s="36">
        <f t="shared" si="126"/>
        <v>52799.89</v>
      </c>
      <c r="R2032">
        <f t="shared" si="127"/>
        <v>2022</v>
      </c>
    </row>
    <row r="2033" spans="1:18" x14ac:dyDescent="0.2">
      <c r="A2033" s="23">
        <v>45394</v>
      </c>
      <c r="B2033" s="23">
        <v>45394</v>
      </c>
      <c r="C2033" s="25" t="s">
        <v>398</v>
      </c>
      <c r="D2033" s="20">
        <v>0</v>
      </c>
      <c r="E2033" s="27">
        <v>52799.89</v>
      </c>
      <c r="F2033" s="22" t="s">
        <v>270</v>
      </c>
      <c r="G2033" s="29">
        <v>13</v>
      </c>
      <c r="H2033" s="39">
        <v>44869</v>
      </c>
      <c r="I2033" s="46">
        <f t="shared" si="124"/>
        <v>525</v>
      </c>
      <c r="J2033" s="4" t="s">
        <v>15</v>
      </c>
      <c r="K2033" s="4" t="s">
        <v>200</v>
      </c>
      <c r="L2033" s="4" t="s">
        <v>225</v>
      </c>
      <c r="M2033" s="7">
        <v>13</v>
      </c>
      <c r="N2033" s="10">
        <v>4061.53</v>
      </c>
      <c r="O2033" s="10">
        <v>52799.89</v>
      </c>
      <c r="P2033">
        <f t="shared" si="125"/>
        <v>1</v>
      </c>
      <c r="Q2033" s="36">
        <f t="shared" si="126"/>
        <v>52799.89</v>
      </c>
      <c r="R2033">
        <f t="shared" si="127"/>
        <v>2022</v>
      </c>
    </row>
    <row r="2034" spans="1:18" x14ac:dyDescent="0.2">
      <c r="A2034" s="23">
        <v>45394</v>
      </c>
      <c r="B2034" s="23">
        <v>45394</v>
      </c>
      <c r="C2034" s="25" t="s">
        <v>398</v>
      </c>
      <c r="D2034" s="20">
        <v>0</v>
      </c>
      <c r="E2034" s="27">
        <v>52799.89</v>
      </c>
      <c r="F2034" s="22" t="s">
        <v>270</v>
      </c>
      <c r="G2034" s="29">
        <v>13</v>
      </c>
      <c r="H2034" s="39">
        <v>44869</v>
      </c>
      <c r="I2034" s="46">
        <f t="shared" si="124"/>
        <v>525</v>
      </c>
      <c r="J2034" s="4" t="s">
        <v>15</v>
      </c>
      <c r="K2034" s="4" t="s">
        <v>200</v>
      </c>
      <c r="L2034" s="4" t="s">
        <v>225</v>
      </c>
      <c r="M2034" s="7">
        <v>13</v>
      </c>
      <c r="N2034" s="10">
        <v>4061.53</v>
      </c>
      <c r="O2034" s="10">
        <v>52799.89</v>
      </c>
      <c r="P2034">
        <f t="shared" si="125"/>
        <v>1</v>
      </c>
      <c r="Q2034" s="36">
        <f t="shared" si="126"/>
        <v>52799.89</v>
      </c>
      <c r="R2034">
        <f t="shared" si="127"/>
        <v>2022</v>
      </c>
    </row>
    <row r="2035" spans="1:18" x14ac:dyDescent="0.2">
      <c r="A2035" s="23">
        <v>45394</v>
      </c>
      <c r="B2035" s="23">
        <v>45394</v>
      </c>
      <c r="C2035" s="25" t="s">
        <v>398</v>
      </c>
      <c r="D2035" s="20">
        <v>0</v>
      </c>
      <c r="E2035" s="27">
        <v>52799.89</v>
      </c>
      <c r="F2035" s="22" t="s">
        <v>270</v>
      </c>
      <c r="G2035" s="29">
        <v>13</v>
      </c>
      <c r="H2035" s="39">
        <v>44869</v>
      </c>
      <c r="I2035" s="46">
        <f t="shared" si="124"/>
        <v>525</v>
      </c>
      <c r="J2035" s="4" t="s">
        <v>15</v>
      </c>
      <c r="K2035" s="4" t="s">
        <v>200</v>
      </c>
      <c r="L2035" s="4" t="s">
        <v>225</v>
      </c>
      <c r="M2035" s="7">
        <v>13</v>
      </c>
      <c r="N2035" s="10">
        <v>4061.53</v>
      </c>
      <c r="O2035" s="10">
        <v>52799.89</v>
      </c>
      <c r="P2035">
        <f t="shared" si="125"/>
        <v>1</v>
      </c>
      <c r="Q2035" s="36">
        <f t="shared" si="126"/>
        <v>52799.89</v>
      </c>
      <c r="R2035">
        <f t="shared" si="127"/>
        <v>2022</v>
      </c>
    </row>
    <row r="2036" spans="1:18" x14ac:dyDescent="0.2">
      <c r="A2036" s="23">
        <v>45394</v>
      </c>
      <c r="B2036" s="23">
        <v>45394</v>
      </c>
      <c r="C2036" s="25" t="s">
        <v>398</v>
      </c>
      <c r="D2036" s="20">
        <v>0</v>
      </c>
      <c r="E2036" s="27">
        <v>52799.89</v>
      </c>
      <c r="F2036" s="22" t="s">
        <v>270</v>
      </c>
      <c r="G2036" s="29">
        <v>13</v>
      </c>
      <c r="H2036" s="39">
        <v>44869</v>
      </c>
      <c r="I2036" s="46">
        <f t="shared" si="124"/>
        <v>525</v>
      </c>
      <c r="J2036" s="4" t="s">
        <v>15</v>
      </c>
      <c r="K2036" s="4" t="s">
        <v>200</v>
      </c>
      <c r="L2036" s="4" t="s">
        <v>225</v>
      </c>
      <c r="M2036" s="7">
        <v>13</v>
      </c>
      <c r="N2036" s="10">
        <v>4061.53</v>
      </c>
      <c r="O2036" s="10">
        <v>52799.89</v>
      </c>
      <c r="P2036">
        <f t="shared" si="125"/>
        <v>1</v>
      </c>
      <c r="Q2036" s="36">
        <f t="shared" si="126"/>
        <v>52799.89</v>
      </c>
      <c r="R2036">
        <f t="shared" si="127"/>
        <v>2022</v>
      </c>
    </row>
    <row r="2037" spans="1:18" x14ac:dyDescent="0.2">
      <c r="A2037" s="23">
        <v>45394</v>
      </c>
      <c r="B2037" s="23">
        <v>45394</v>
      </c>
      <c r="C2037" s="25" t="s">
        <v>398</v>
      </c>
      <c r="D2037" s="20">
        <v>0</v>
      </c>
      <c r="E2037" s="27">
        <v>52799.89</v>
      </c>
      <c r="F2037" s="22" t="s">
        <v>270</v>
      </c>
      <c r="G2037" s="29">
        <v>13</v>
      </c>
      <c r="H2037" s="39">
        <v>44869</v>
      </c>
      <c r="I2037" s="46">
        <f t="shared" si="124"/>
        <v>525</v>
      </c>
      <c r="J2037" s="4" t="s">
        <v>15</v>
      </c>
      <c r="K2037" s="4" t="s">
        <v>200</v>
      </c>
      <c r="L2037" s="4" t="s">
        <v>225</v>
      </c>
      <c r="M2037" s="7">
        <v>13</v>
      </c>
      <c r="N2037" s="10">
        <v>4061.53</v>
      </c>
      <c r="O2037" s="10">
        <v>52799.89</v>
      </c>
      <c r="P2037">
        <f t="shared" si="125"/>
        <v>1</v>
      </c>
      <c r="Q2037" s="36">
        <f t="shared" si="126"/>
        <v>52799.89</v>
      </c>
      <c r="R2037">
        <f t="shared" si="127"/>
        <v>2022</v>
      </c>
    </row>
    <row r="2038" spans="1:18" x14ac:dyDescent="0.2">
      <c r="A2038" s="23">
        <v>45394</v>
      </c>
      <c r="B2038" s="23">
        <v>45394</v>
      </c>
      <c r="C2038" s="25" t="s">
        <v>398</v>
      </c>
      <c r="D2038" s="20">
        <v>0</v>
      </c>
      <c r="E2038" s="27">
        <v>52799.89</v>
      </c>
      <c r="F2038" s="22" t="s">
        <v>270</v>
      </c>
      <c r="G2038" s="29">
        <v>13</v>
      </c>
      <c r="H2038" s="39">
        <v>44869</v>
      </c>
      <c r="I2038" s="46">
        <f t="shared" si="124"/>
        <v>525</v>
      </c>
      <c r="J2038" s="4" t="s">
        <v>15</v>
      </c>
      <c r="K2038" s="4" t="s">
        <v>200</v>
      </c>
      <c r="L2038" s="4" t="s">
        <v>225</v>
      </c>
      <c r="M2038" s="7">
        <v>13</v>
      </c>
      <c r="N2038" s="10">
        <v>4061.53</v>
      </c>
      <c r="O2038" s="10">
        <v>52799.89</v>
      </c>
      <c r="P2038">
        <f t="shared" si="125"/>
        <v>1</v>
      </c>
      <c r="Q2038" s="36">
        <f t="shared" si="126"/>
        <v>52799.89</v>
      </c>
      <c r="R2038">
        <f t="shared" si="127"/>
        <v>2022</v>
      </c>
    </row>
    <row r="2039" spans="1:18" x14ac:dyDescent="0.2">
      <c r="A2039" s="23">
        <v>45394</v>
      </c>
      <c r="B2039" s="23">
        <v>45394</v>
      </c>
      <c r="C2039" s="25" t="s">
        <v>398</v>
      </c>
      <c r="D2039" s="20">
        <v>0</v>
      </c>
      <c r="E2039" s="27">
        <v>52799.89</v>
      </c>
      <c r="F2039" s="22" t="s">
        <v>270</v>
      </c>
      <c r="G2039" s="29">
        <v>13</v>
      </c>
      <c r="H2039" s="39">
        <v>44869</v>
      </c>
      <c r="I2039" s="46">
        <f t="shared" si="124"/>
        <v>525</v>
      </c>
      <c r="J2039" s="4" t="s">
        <v>15</v>
      </c>
      <c r="K2039" s="4" t="s">
        <v>200</v>
      </c>
      <c r="L2039" s="4" t="s">
        <v>225</v>
      </c>
      <c r="M2039" s="7">
        <v>13</v>
      </c>
      <c r="N2039" s="10">
        <v>4061.53</v>
      </c>
      <c r="O2039" s="10">
        <v>52799.89</v>
      </c>
      <c r="P2039">
        <f t="shared" si="125"/>
        <v>1</v>
      </c>
      <c r="Q2039" s="36">
        <f t="shared" si="126"/>
        <v>52799.89</v>
      </c>
      <c r="R2039">
        <f t="shared" si="127"/>
        <v>2022</v>
      </c>
    </row>
    <row r="2040" spans="1:18" x14ac:dyDescent="0.2">
      <c r="A2040" s="23">
        <v>45394</v>
      </c>
      <c r="B2040" s="23">
        <v>45394</v>
      </c>
      <c r="C2040" s="25" t="s">
        <v>398</v>
      </c>
      <c r="D2040" s="20">
        <v>0</v>
      </c>
      <c r="E2040" s="27">
        <v>52799.89</v>
      </c>
      <c r="F2040" s="22" t="s">
        <v>270</v>
      </c>
      <c r="G2040" s="29">
        <v>13</v>
      </c>
      <c r="H2040" s="39">
        <v>44869</v>
      </c>
      <c r="I2040" s="46">
        <f t="shared" si="124"/>
        <v>525</v>
      </c>
      <c r="J2040" s="4" t="s">
        <v>15</v>
      </c>
      <c r="K2040" s="4" t="s">
        <v>200</v>
      </c>
      <c r="L2040" s="4" t="s">
        <v>225</v>
      </c>
      <c r="M2040" s="7">
        <v>13</v>
      </c>
      <c r="N2040" s="10">
        <v>4061.53</v>
      </c>
      <c r="O2040" s="10">
        <v>52799.89</v>
      </c>
      <c r="P2040">
        <f t="shared" si="125"/>
        <v>1</v>
      </c>
      <c r="Q2040" s="36">
        <f t="shared" si="126"/>
        <v>52799.89</v>
      </c>
      <c r="R2040">
        <f t="shared" si="127"/>
        <v>2022</v>
      </c>
    </row>
    <row r="2041" spans="1:18" x14ac:dyDescent="0.2">
      <c r="A2041" s="23">
        <v>45394</v>
      </c>
      <c r="B2041" s="23">
        <v>45394</v>
      </c>
      <c r="C2041" s="25" t="s">
        <v>398</v>
      </c>
      <c r="D2041" s="20">
        <v>0</v>
      </c>
      <c r="E2041" s="27">
        <v>52799.89</v>
      </c>
      <c r="F2041" s="22" t="s">
        <v>270</v>
      </c>
      <c r="G2041" s="29">
        <v>13</v>
      </c>
      <c r="H2041" s="39">
        <v>44869</v>
      </c>
      <c r="I2041" s="46">
        <f t="shared" si="124"/>
        <v>525</v>
      </c>
      <c r="J2041" s="4" t="s">
        <v>15</v>
      </c>
      <c r="K2041" s="4" t="s">
        <v>200</v>
      </c>
      <c r="L2041" s="4" t="s">
        <v>225</v>
      </c>
      <c r="M2041" s="7">
        <v>13</v>
      </c>
      <c r="N2041" s="10">
        <v>4061.53</v>
      </c>
      <c r="O2041" s="10">
        <v>52799.89</v>
      </c>
      <c r="P2041">
        <f t="shared" si="125"/>
        <v>1</v>
      </c>
      <c r="Q2041" s="36">
        <f t="shared" si="126"/>
        <v>52799.89</v>
      </c>
      <c r="R2041">
        <f t="shared" si="127"/>
        <v>2022</v>
      </c>
    </row>
    <row r="2042" spans="1:18" x14ac:dyDescent="0.2">
      <c r="A2042" s="23">
        <v>45394</v>
      </c>
      <c r="B2042" s="23">
        <v>45394</v>
      </c>
      <c r="C2042" s="25" t="s">
        <v>398</v>
      </c>
      <c r="D2042" s="20">
        <v>0</v>
      </c>
      <c r="E2042" s="27">
        <v>52799.89</v>
      </c>
      <c r="F2042" s="22" t="s">
        <v>270</v>
      </c>
      <c r="G2042" s="29">
        <v>13</v>
      </c>
      <c r="H2042" s="39">
        <v>44869</v>
      </c>
      <c r="I2042" s="46">
        <f t="shared" si="124"/>
        <v>525</v>
      </c>
      <c r="J2042" s="4" t="s">
        <v>15</v>
      </c>
      <c r="K2042" s="4" t="s">
        <v>200</v>
      </c>
      <c r="L2042" s="4" t="s">
        <v>225</v>
      </c>
      <c r="M2042" s="7">
        <v>13</v>
      </c>
      <c r="N2042" s="10">
        <v>4061.53</v>
      </c>
      <c r="O2042" s="10">
        <v>52799.89</v>
      </c>
      <c r="P2042">
        <f t="shared" si="125"/>
        <v>1</v>
      </c>
      <c r="Q2042" s="36">
        <f t="shared" si="126"/>
        <v>52799.89</v>
      </c>
      <c r="R2042">
        <f t="shared" si="127"/>
        <v>2022</v>
      </c>
    </row>
    <row r="2043" spans="1:18" x14ac:dyDescent="0.2">
      <c r="A2043" s="23">
        <v>45394</v>
      </c>
      <c r="B2043" s="23">
        <v>45394</v>
      </c>
      <c r="C2043" s="25" t="s">
        <v>398</v>
      </c>
      <c r="D2043" s="20">
        <v>0</v>
      </c>
      <c r="E2043" s="27">
        <v>52799.89</v>
      </c>
      <c r="F2043" s="22" t="s">
        <v>270</v>
      </c>
      <c r="G2043" s="29">
        <v>13</v>
      </c>
      <c r="H2043" s="39">
        <v>44869</v>
      </c>
      <c r="I2043" s="46">
        <f t="shared" si="124"/>
        <v>525</v>
      </c>
      <c r="J2043" s="4" t="s">
        <v>15</v>
      </c>
      <c r="K2043" s="4" t="s">
        <v>200</v>
      </c>
      <c r="L2043" s="4" t="s">
        <v>225</v>
      </c>
      <c r="M2043" s="7">
        <v>13</v>
      </c>
      <c r="N2043" s="10">
        <v>4061.53</v>
      </c>
      <c r="O2043" s="10">
        <v>52799.89</v>
      </c>
      <c r="P2043">
        <f t="shared" si="125"/>
        <v>1</v>
      </c>
      <c r="Q2043" s="36">
        <f t="shared" si="126"/>
        <v>52799.89</v>
      </c>
      <c r="R2043">
        <f t="shared" si="127"/>
        <v>2022</v>
      </c>
    </row>
    <row r="2044" spans="1:18" x14ac:dyDescent="0.2">
      <c r="A2044" s="23">
        <v>45394</v>
      </c>
      <c r="B2044" s="23">
        <v>45394</v>
      </c>
      <c r="C2044" s="25" t="s">
        <v>398</v>
      </c>
      <c r="D2044" s="20">
        <v>0</v>
      </c>
      <c r="E2044" s="27">
        <v>52799.89</v>
      </c>
      <c r="F2044" s="22" t="s">
        <v>270</v>
      </c>
      <c r="G2044" s="29">
        <v>13</v>
      </c>
      <c r="H2044" s="39">
        <v>44869</v>
      </c>
      <c r="I2044" s="46">
        <f t="shared" si="124"/>
        <v>525</v>
      </c>
      <c r="J2044" s="4" t="s">
        <v>15</v>
      </c>
      <c r="K2044" s="4" t="s">
        <v>200</v>
      </c>
      <c r="L2044" s="4" t="s">
        <v>225</v>
      </c>
      <c r="M2044" s="7">
        <v>13</v>
      </c>
      <c r="N2044" s="10">
        <v>4061.53</v>
      </c>
      <c r="O2044" s="10">
        <v>52799.89</v>
      </c>
      <c r="P2044">
        <f t="shared" si="125"/>
        <v>1</v>
      </c>
      <c r="Q2044" s="36">
        <f t="shared" si="126"/>
        <v>52799.89</v>
      </c>
      <c r="R2044">
        <f t="shared" si="127"/>
        <v>2022</v>
      </c>
    </row>
    <row r="2045" spans="1:18" x14ac:dyDescent="0.2">
      <c r="A2045" s="23">
        <v>45394</v>
      </c>
      <c r="B2045" s="23">
        <v>45394</v>
      </c>
      <c r="C2045" s="25" t="s">
        <v>398</v>
      </c>
      <c r="D2045" s="20">
        <v>0</v>
      </c>
      <c r="E2045" s="27">
        <v>52799.89</v>
      </c>
      <c r="F2045" s="22" t="s">
        <v>270</v>
      </c>
      <c r="G2045" s="29">
        <v>13</v>
      </c>
      <c r="H2045" s="39">
        <v>44869</v>
      </c>
      <c r="I2045" s="46">
        <f t="shared" si="124"/>
        <v>525</v>
      </c>
      <c r="J2045" s="4" t="s">
        <v>15</v>
      </c>
      <c r="K2045" s="4" t="s">
        <v>200</v>
      </c>
      <c r="L2045" s="4" t="s">
        <v>225</v>
      </c>
      <c r="M2045" s="7">
        <v>13</v>
      </c>
      <c r="N2045" s="10">
        <v>4061.53</v>
      </c>
      <c r="O2045" s="10">
        <v>52799.89</v>
      </c>
      <c r="P2045">
        <f t="shared" si="125"/>
        <v>1</v>
      </c>
      <c r="Q2045" s="36">
        <f t="shared" si="126"/>
        <v>52799.89</v>
      </c>
      <c r="R2045">
        <f t="shared" si="127"/>
        <v>2022</v>
      </c>
    </row>
    <row r="2046" spans="1:18" x14ac:dyDescent="0.2">
      <c r="A2046" s="23">
        <v>45394</v>
      </c>
      <c r="B2046" s="23">
        <v>45394</v>
      </c>
      <c r="C2046" s="25" t="s">
        <v>398</v>
      </c>
      <c r="D2046" s="20">
        <v>0</v>
      </c>
      <c r="E2046" s="27">
        <v>52799.89</v>
      </c>
      <c r="F2046" s="22" t="s">
        <v>270</v>
      </c>
      <c r="G2046" s="29">
        <v>13</v>
      </c>
      <c r="H2046" s="39">
        <v>44869</v>
      </c>
      <c r="I2046" s="46">
        <f t="shared" si="124"/>
        <v>525</v>
      </c>
      <c r="J2046" s="4" t="s">
        <v>15</v>
      </c>
      <c r="K2046" s="4" t="s">
        <v>200</v>
      </c>
      <c r="L2046" s="4" t="s">
        <v>225</v>
      </c>
      <c r="M2046" s="7">
        <v>13</v>
      </c>
      <c r="N2046" s="10">
        <v>4061.53</v>
      </c>
      <c r="O2046" s="10">
        <v>52799.89</v>
      </c>
      <c r="P2046">
        <f t="shared" si="125"/>
        <v>1</v>
      </c>
      <c r="Q2046" s="36">
        <f t="shared" si="126"/>
        <v>52799.89</v>
      </c>
      <c r="R2046">
        <f t="shared" si="127"/>
        <v>2022</v>
      </c>
    </row>
    <row r="2047" spans="1:18" x14ac:dyDescent="0.2">
      <c r="A2047" s="23">
        <v>45394</v>
      </c>
      <c r="B2047" s="23">
        <v>45394</v>
      </c>
      <c r="C2047" s="25" t="s">
        <v>398</v>
      </c>
      <c r="D2047" s="20">
        <v>0</v>
      </c>
      <c r="E2047" s="27">
        <v>52799.89</v>
      </c>
      <c r="F2047" s="22" t="s">
        <v>270</v>
      </c>
      <c r="G2047" s="29">
        <v>13</v>
      </c>
      <c r="H2047" s="39">
        <v>44869</v>
      </c>
      <c r="I2047" s="46">
        <f t="shared" si="124"/>
        <v>525</v>
      </c>
      <c r="J2047" s="4" t="s">
        <v>15</v>
      </c>
      <c r="K2047" s="4" t="s">
        <v>200</v>
      </c>
      <c r="L2047" s="4" t="s">
        <v>225</v>
      </c>
      <c r="M2047" s="7">
        <v>13</v>
      </c>
      <c r="N2047" s="10">
        <v>4061.53</v>
      </c>
      <c r="O2047" s="10">
        <v>52799.89</v>
      </c>
      <c r="P2047">
        <f t="shared" si="125"/>
        <v>1</v>
      </c>
      <c r="Q2047" s="36">
        <f t="shared" si="126"/>
        <v>52799.89</v>
      </c>
      <c r="R2047">
        <f t="shared" si="127"/>
        <v>2022</v>
      </c>
    </row>
    <row r="2048" spans="1:18" x14ac:dyDescent="0.2">
      <c r="A2048" s="23">
        <v>45394</v>
      </c>
      <c r="B2048" s="23">
        <v>45394</v>
      </c>
      <c r="C2048" s="25" t="s">
        <v>398</v>
      </c>
      <c r="D2048" s="20">
        <v>0</v>
      </c>
      <c r="E2048" s="27">
        <v>52799.89</v>
      </c>
      <c r="F2048" s="22" t="s">
        <v>270</v>
      </c>
      <c r="G2048" s="29">
        <v>13</v>
      </c>
      <c r="H2048" s="39">
        <v>44869</v>
      </c>
      <c r="I2048" s="46">
        <f t="shared" si="124"/>
        <v>525</v>
      </c>
      <c r="J2048" s="4" t="s">
        <v>15</v>
      </c>
      <c r="K2048" s="4" t="s">
        <v>200</v>
      </c>
      <c r="L2048" s="4" t="s">
        <v>225</v>
      </c>
      <c r="M2048" s="7">
        <v>13</v>
      </c>
      <c r="N2048" s="10">
        <v>4061.53</v>
      </c>
      <c r="O2048" s="10">
        <v>52799.89</v>
      </c>
      <c r="P2048">
        <f t="shared" si="125"/>
        <v>1</v>
      </c>
      <c r="Q2048" s="36">
        <f t="shared" si="126"/>
        <v>52799.89</v>
      </c>
      <c r="R2048">
        <f t="shared" si="127"/>
        <v>2022</v>
      </c>
    </row>
    <row r="2049" spans="1:18" x14ac:dyDescent="0.2">
      <c r="A2049" s="23">
        <v>45394</v>
      </c>
      <c r="B2049" s="23">
        <v>45394</v>
      </c>
      <c r="C2049" s="25" t="s">
        <v>398</v>
      </c>
      <c r="D2049" s="20">
        <v>0</v>
      </c>
      <c r="E2049" s="27">
        <v>52799.89</v>
      </c>
      <c r="F2049" s="22" t="s">
        <v>270</v>
      </c>
      <c r="G2049" s="29">
        <v>13</v>
      </c>
      <c r="H2049" s="39">
        <v>44869</v>
      </c>
      <c r="I2049" s="46">
        <f t="shared" si="124"/>
        <v>525</v>
      </c>
      <c r="J2049" s="4" t="s">
        <v>15</v>
      </c>
      <c r="K2049" s="4" t="s">
        <v>200</v>
      </c>
      <c r="L2049" s="4" t="s">
        <v>225</v>
      </c>
      <c r="M2049" s="7">
        <v>13</v>
      </c>
      <c r="N2049" s="10">
        <v>4061.53</v>
      </c>
      <c r="O2049" s="10">
        <v>52799.89</v>
      </c>
      <c r="P2049">
        <f t="shared" si="125"/>
        <v>1</v>
      </c>
      <c r="Q2049" s="36">
        <f t="shared" si="126"/>
        <v>52799.89</v>
      </c>
      <c r="R2049">
        <f t="shared" si="127"/>
        <v>2022</v>
      </c>
    </row>
    <row r="2050" spans="1:18" x14ac:dyDescent="0.2">
      <c r="A2050" s="23">
        <v>45394</v>
      </c>
      <c r="B2050" s="23">
        <v>45394</v>
      </c>
      <c r="C2050" s="25" t="s">
        <v>398</v>
      </c>
      <c r="D2050" s="20">
        <v>0</v>
      </c>
      <c r="E2050" s="27">
        <v>52799.89</v>
      </c>
      <c r="F2050" s="22" t="s">
        <v>270</v>
      </c>
      <c r="G2050" s="29">
        <v>13</v>
      </c>
      <c r="H2050" s="39">
        <v>44869</v>
      </c>
      <c r="I2050" s="46">
        <f t="shared" si="124"/>
        <v>525</v>
      </c>
      <c r="J2050" s="4" t="s">
        <v>15</v>
      </c>
      <c r="K2050" s="4" t="s">
        <v>200</v>
      </c>
      <c r="L2050" s="4" t="s">
        <v>225</v>
      </c>
      <c r="M2050" s="7">
        <v>13</v>
      </c>
      <c r="N2050" s="10">
        <v>4061.53</v>
      </c>
      <c r="O2050" s="10">
        <v>52799.89</v>
      </c>
      <c r="P2050">
        <f t="shared" si="125"/>
        <v>1</v>
      </c>
      <c r="Q2050" s="36">
        <f t="shared" si="126"/>
        <v>52799.89</v>
      </c>
      <c r="R2050">
        <f t="shared" si="127"/>
        <v>2022</v>
      </c>
    </row>
    <row r="2051" spans="1:18" x14ac:dyDescent="0.2">
      <c r="A2051" s="23">
        <v>45421</v>
      </c>
      <c r="B2051" s="23">
        <v>45421</v>
      </c>
      <c r="C2051" s="25" t="s">
        <v>398</v>
      </c>
      <c r="D2051" s="20">
        <v>0</v>
      </c>
      <c r="E2051" s="27">
        <v>52799.89</v>
      </c>
      <c r="F2051" s="22" t="s">
        <v>270</v>
      </c>
      <c r="G2051" s="29">
        <v>13</v>
      </c>
      <c r="H2051" s="39">
        <v>44904</v>
      </c>
      <c r="I2051" s="46">
        <f t="shared" ref="I2051:I2114" si="128">IFERROR(A2051-H2051,"")*1</f>
        <v>517</v>
      </c>
      <c r="J2051" s="4" t="s">
        <v>15</v>
      </c>
      <c r="K2051" s="4" t="s">
        <v>200</v>
      </c>
      <c r="L2051" s="4" t="s">
        <v>225</v>
      </c>
      <c r="M2051" s="7">
        <v>13</v>
      </c>
      <c r="N2051" s="10">
        <v>4061.53</v>
      </c>
      <c r="O2051" s="10">
        <v>52799.89</v>
      </c>
      <c r="P2051">
        <f t="shared" ref="P2051:P2114" si="129">IF(M2051=G2051,1,0)</f>
        <v>1</v>
      </c>
      <c r="Q2051" s="36">
        <f t="shared" ref="Q2051:Q2114" si="130">N2051*G2051</f>
        <v>52799.89</v>
      </c>
      <c r="R2051">
        <f t="shared" ref="R2051:R2114" si="131">YEAR(H2051)</f>
        <v>2022</v>
      </c>
    </row>
    <row r="2052" spans="1:18" x14ac:dyDescent="0.2">
      <c r="A2052" s="23" t="s">
        <v>13</v>
      </c>
      <c r="B2052" s="23">
        <v>45180</v>
      </c>
      <c r="C2052" s="25" t="s">
        <v>399</v>
      </c>
      <c r="D2052" s="20" t="e">
        <v>#VALUE!</v>
      </c>
      <c r="E2052" s="27">
        <v>0</v>
      </c>
      <c r="F2052" s="22" t="s">
        <v>234</v>
      </c>
      <c r="G2052" s="29">
        <v>9408</v>
      </c>
      <c r="H2052" s="39">
        <v>45169</v>
      </c>
      <c r="I2052" s="46" t="e">
        <f t="shared" si="128"/>
        <v>#VALUE!</v>
      </c>
      <c r="J2052" s="4" t="s">
        <v>15</v>
      </c>
      <c r="K2052" s="4" t="s">
        <v>201</v>
      </c>
      <c r="L2052" s="4" t="s">
        <v>223</v>
      </c>
      <c r="M2052" s="7">
        <v>9408</v>
      </c>
      <c r="N2052" s="10">
        <v>12.35</v>
      </c>
      <c r="O2052" s="10">
        <v>116188.8</v>
      </c>
      <c r="P2052">
        <f t="shared" si="129"/>
        <v>1</v>
      </c>
      <c r="Q2052" s="36">
        <f t="shared" si="130"/>
        <v>116188.8</v>
      </c>
      <c r="R2052">
        <f t="shared" si="131"/>
        <v>2023</v>
      </c>
    </row>
    <row r="2053" spans="1:18" x14ac:dyDescent="0.2">
      <c r="A2053" s="23" t="s">
        <v>13</v>
      </c>
      <c r="B2053" s="23">
        <v>45180</v>
      </c>
      <c r="C2053" s="25" t="s">
        <v>399</v>
      </c>
      <c r="D2053" s="20" t="e">
        <v>#VALUE!</v>
      </c>
      <c r="E2053" s="27">
        <v>0</v>
      </c>
      <c r="F2053" s="22" t="s">
        <v>233</v>
      </c>
      <c r="G2053" s="29">
        <v>19992</v>
      </c>
      <c r="H2053" s="39">
        <v>45169</v>
      </c>
      <c r="I2053" s="46" t="e">
        <f t="shared" si="128"/>
        <v>#VALUE!</v>
      </c>
      <c r="J2053" s="4" t="s">
        <v>15</v>
      </c>
      <c r="K2053" s="4" t="s">
        <v>201</v>
      </c>
      <c r="L2053" s="4" t="s">
        <v>223</v>
      </c>
      <c r="M2053" s="7">
        <v>19992</v>
      </c>
      <c r="N2053" s="10">
        <v>12.35</v>
      </c>
      <c r="O2053" s="10">
        <v>246901.2</v>
      </c>
      <c r="P2053">
        <f t="shared" si="129"/>
        <v>1</v>
      </c>
      <c r="Q2053" s="36">
        <f t="shared" si="130"/>
        <v>246901.19999999998</v>
      </c>
      <c r="R2053">
        <f t="shared" si="131"/>
        <v>2023</v>
      </c>
    </row>
    <row r="2054" spans="1:18" x14ac:dyDescent="0.2">
      <c r="A2054" s="23" t="s">
        <v>13</v>
      </c>
      <c r="B2054" s="23">
        <v>45180</v>
      </c>
      <c r="C2054" s="25" t="s">
        <v>399</v>
      </c>
      <c r="D2054" s="20" t="e">
        <v>#VALUE!</v>
      </c>
      <c r="E2054" s="27">
        <v>0</v>
      </c>
      <c r="F2054" s="22" t="s">
        <v>236</v>
      </c>
      <c r="G2054" s="29">
        <v>12180</v>
      </c>
      <c r="H2054" s="39">
        <v>45169</v>
      </c>
      <c r="I2054" s="46" t="e">
        <f t="shared" si="128"/>
        <v>#VALUE!</v>
      </c>
      <c r="J2054" s="4" t="s">
        <v>15</v>
      </c>
      <c r="K2054" s="4" t="s">
        <v>201</v>
      </c>
      <c r="L2054" s="4" t="s">
        <v>223</v>
      </c>
      <c r="M2054" s="7">
        <v>12180</v>
      </c>
      <c r="N2054" s="10">
        <v>4.0199999999999996</v>
      </c>
      <c r="O2054" s="10">
        <v>48963.6</v>
      </c>
      <c r="P2054">
        <f t="shared" si="129"/>
        <v>1</v>
      </c>
      <c r="Q2054" s="36">
        <f t="shared" si="130"/>
        <v>48963.599999999991</v>
      </c>
      <c r="R2054">
        <f t="shared" si="131"/>
        <v>2023</v>
      </c>
    </row>
    <row r="2055" spans="1:18" x14ac:dyDescent="0.2">
      <c r="A2055" s="23" t="s">
        <v>13</v>
      </c>
      <c r="B2055" s="23">
        <v>45180</v>
      </c>
      <c r="C2055" s="25" t="s">
        <v>399</v>
      </c>
      <c r="D2055" s="20" t="e">
        <v>#VALUE!</v>
      </c>
      <c r="E2055" s="27">
        <v>0</v>
      </c>
      <c r="F2055" s="22" t="s">
        <v>235</v>
      </c>
      <c r="G2055" s="29">
        <v>9856</v>
      </c>
      <c r="H2055" s="39">
        <v>45169</v>
      </c>
      <c r="I2055" s="46" t="e">
        <f t="shared" si="128"/>
        <v>#VALUE!</v>
      </c>
      <c r="J2055" s="4" t="s">
        <v>15</v>
      </c>
      <c r="K2055" s="4" t="s">
        <v>201</v>
      </c>
      <c r="L2055" s="4" t="s">
        <v>223</v>
      </c>
      <c r="M2055" s="7">
        <v>9856</v>
      </c>
      <c r="N2055" s="10">
        <v>26.93</v>
      </c>
      <c r="O2055" s="10">
        <v>265422.08000000002</v>
      </c>
      <c r="P2055">
        <f t="shared" si="129"/>
        <v>1</v>
      </c>
      <c r="Q2055" s="36">
        <f t="shared" si="130"/>
        <v>265422.08000000002</v>
      </c>
      <c r="R2055">
        <f t="shared" si="131"/>
        <v>2023</v>
      </c>
    </row>
    <row r="2056" spans="1:18" x14ac:dyDescent="0.2">
      <c r="A2056" s="23" t="s">
        <v>13</v>
      </c>
      <c r="B2056" s="23">
        <v>45187</v>
      </c>
      <c r="C2056" s="25" t="s">
        <v>399</v>
      </c>
      <c r="D2056" s="20" t="e">
        <v>#VALUE!</v>
      </c>
      <c r="E2056" s="27">
        <v>0</v>
      </c>
      <c r="F2056" s="22" t="s">
        <v>236</v>
      </c>
      <c r="G2056" s="29">
        <v>9104</v>
      </c>
      <c r="H2056" s="39">
        <v>45181</v>
      </c>
      <c r="I2056" s="46" t="e">
        <f t="shared" si="128"/>
        <v>#VALUE!</v>
      </c>
      <c r="J2056" s="4" t="s">
        <v>15</v>
      </c>
      <c r="K2056" s="4" t="s">
        <v>201</v>
      </c>
      <c r="L2056" s="4" t="s">
        <v>223</v>
      </c>
      <c r="M2056" s="7">
        <v>9104</v>
      </c>
      <c r="N2056" s="10">
        <v>4.0199999999999996</v>
      </c>
      <c r="O2056" s="10">
        <v>36598.080000000002</v>
      </c>
      <c r="P2056">
        <f t="shared" si="129"/>
        <v>1</v>
      </c>
      <c r="Q2056" s="36">
        <f t="shared" si="130"/>
        <v>36598.079999999994</v>
      </c>
      <c r="R2056">
        <f t="shared" si="131"/>
        <v>2023</v>
      </c>
    </row>
    <row r="2057" spans="1:18" x14ac:dyDescent="0.2">
      <c r="A2057" s="23" t="s">
        <v>13</v>
      </c>
      <c r="B2057" s="23">
        <v>45187</v>
      </c>
      <c r="C2057" s="25" t="s">
        <v>399</v>
      </c>
      <c r="D2057" s="20" t="e">
        <v>#VALUE!</v>
      </c>
      <c r="E2057" s="27">
        <v>0</v>
      </c>
      <c r="F2057" s="22" t="s">
        <v>235</v>
      </c>
      <c r="G2057" s="29">
        <v>11031</v>
      </c>
      <c r="H2057" s="39">
        <v>45181</v>
      </c>
      <c r="I2057" s="46" t="e">
        <f t="shared" si="128"/>
        <v>#VALUE!</v>
      </c>
      <c r="J2057" s="4" t="s">
        <v>15</v>
      </c>
      <c r="K2057" s="4" t="s">
        <v>201</v>
      </c>
      <c r="L2057" s="4" t="s">
        <v>223</v>
      </c>
      <c r="M2057" s="7">
        <v>11031</v>
      </c>
      <c r="N2057" s="10">
        <v>26.93</v>
      </c>
      <c r="O2057" s="10">
        <v>297064.83</v>
      </c>
      <c r="P2057">
        <f t="shared" si="129"/>
        <v>1</v>
      </c>
      <c r="Q2057" s="36">
        <f t="shared" si="130"/>
        <v>297064.83</v>
      </c>
      <c r="R2057">
        <f t="shared" si="131"/>
        <v>2023</v>
      </c>
    </row>
    <row r="2058" spans="1:18" x14ac:dyDescent="0.2">
      <c r="A2058" s="23" t="s">
        <v>13</v>
      </c>
      <c r="B2058" s="23">
        <v>45187</v>
      </c>
      <c r="C2058" s="25" t="s">
        <v>399</v>
      </c>
      <c r="D2058" s="20" t="e">
        <v>#VALUE!</v>
      </c>
      <c r="E2058" s="27">
        <v>0</v>
      </c>
      <c r="F2058" s="22" t="s">
        <v>236</v>
      </c>
      <c r="G2058" s="29">
        <v>5512</v>
      </c>
      <c r="H2058" s="39">
        <v>45181</v>
      </c>
      <c r="I2058" s="46" t="e">
        <f t="shared" si="128"/>
        <v>#VALUE!</v>
      </c>
      <c r="J2058" s="4" t="s">
        <v>15</v>
      </c>
      <c r="K2058" s="4" t="s">
        <v>201</v>
      </c>
      <c r="L2058" s="4" t="s">
        <v>223</v>
      </c>
      <c r="M2058" s="7">
        <v>5512</v>
      </c>
      <c r="N2058" s="10">
        <v>4.0199999999999996</v>
      </c>
      <c r="O2058" s="10">
        <v>22158.240000000002</v>
      </c>
      <c r="P2058">
        <f t="shared" si="129"/>
        <v>1</v>
      </c>
      <c r="Q2058" s="36">
        <f t="shared" si="130"/>
        <v>22158.239999999998</v>
      </c>
      <c r="R2058">
        <f t="shared" si="131"/>
        <v>2023</v>
      </c>
    </row>
    <row r="2059" spans="1:18" x14ac:dyDescent="0.2">
      <c r="A2059" s="23" t="s">
        <v>13</v>
      </c>
      <c r="B2059" s="23">
        <v>45187</v>
      </c>
      <c r="C2059" s="25" t="s">
        <v>399</v>
      </c>
      <c r="D2059" s="20" t="e">
        <v>#VALUE!</v>
      </c>
      <c r="E2059" s="27">
        <v>0</v>
      </c>
      <c r="F2059" s="22" t="s">
        <v>235</v>
      </c>
      <c r="G2059" s="29">
        <v>5601</v>
      </c>
      <c r="H2059" s="39">
        <v>45181</v>
      </c>
      <c r="I2059" s="46" t="e">
        <f t="shared" si="128"/>
        <v>#VALUE!</v>
      </c>
      <c r="J2059" s="4" t="s">
        <v>15</v>
      </c>
      <c r="K2059" s="4" t="s">
        <v>201</v>
      </c>
      <c r="L2059" s="4" t="s">
        <v>223</v>
      </c>
      <c r="M2059" s="7">
        <v>5601</v>
      </c>
      <c r="N2059" s="10">
        <v>26.93</v>
      </c>
      <c r="O2059" s="10">
        <v>150834.93</v>
      </c>
      <c r="P2059">
        <f t="shared" si="129"/>
        <v>1</v>
      </c>
      <c r="Q2059" s="36">
        <f t="shared" si="130"/>
        <v>150834.93</v>
      </c>
      <c r="R2059">
        <f t="shared" si="131"/>
        <v>2023</v>
      </c>
    </row>
    <row r="2060" spans="1:18" x14ac:dyDescent="0.2">
      <c r="A2060" s="23">
        <v>45506</v>
      </c>
      <c r="B2060" s="23">
        <v>45295</v>
      </c>
      <c r="C2060" s="25" t="s">
        <v>399</v>
      </c>
      <c r="D2060" s="20">
        <v>211</v>
      </c>
      <c r="E2060" s="27">
        <v>55603.8</v>
      </c>
      <c r="F2060" s="22" t="s">
        <v>241</v>
      </c>
      <c r="G2060" s="29">
        <v>3780</v>
      </c>
      <c r="H2060" s="39">
        <v>45028</v>
      </c>
      <c r="I2060" s="46">
        <f t="shared" si="128"/>
        <v>478</v>
      </c>
      <c r="J2060" s="4" t="s">
        <v>15</v>
      </c>
      <c r="K2060" s="4" t="s">
        <v>202</v>
      </c>
      <c r="L2060" s="4" t="s">
        <v>226</v>
      </c>
      <c r="M2060" s="7">
        <v>3780</v>
      </c>
      <c r="N2060" s="10">
        <v>14.71</v>
      </c>
      <c r="O2060" s="10">
        <v>55603.8</v>
      </c>
      <c r="P2060">
        <f t="shared" si="129"/>
        <v>1</v>
      </c>
      <c r="Q2060" s="36">
        <f t="shared" si="130"/>
        <v>55603.8</v>
      </c>
      <c r="R2060">
        <f t="shared" si="131"/>
        <v>2023</v>
      </c>
    </row>
    <row r="2061" spans="1:18" x14ac:dyDescent="0.2">
      <c r="A2061" s="23">
        <v>45492</v>
      </c>
      <c r="B2061" s="23">
        <v>45492</v>
      </c>
      <c r="C2061" s="25" t="s">
        <v>398</v>
      </c>
      <c r="D2061" s="20">
        <v>0</v>
      </c>
      <c r="E2061" s="27">
        <v>55603.8</v>
      </c>
      <c r="F2061" s="22" t="s">
        <v>241</v>
      </c>
      <c r="G2061" s="29">
        <v>3780</v>
      </c>
      <c r="H2061" s="39">
        <v>45044</v>
      </c>
      <c r="I2061" s="46">
        <f t="shared" si="128"/>
        <v>448</v>
      </c>
      <c r="J2061" s="4" t="s">
        <v>15</v>
      </c>
      <c r="K2061" s="4" t="s">
        <v>203</v>
      </c>
      <c r="L2061" s="4" t="s">
        <v>227</v>
      </c>
      <c r="M2061" s="7">
        <v>3780</v>
      </c>
      <c r="N2061" s="10">
        <v>14.71</v>
      </c>
      <c r="O2061" s="10">
        <v>55603.8</v>
      </c>
      <c r="P2061">
        <f t="shared" si="129"/>
        <v>1</v>
      </c>
      <c r="Q2061" s="36">
        <f t="shared" si="130"/>
        <v>55603.8</v>
      </c>
      <c r="R2061">
        <f t="shared" si="131"/>
        <v>2023</v>
      </c>
    </row>
    <row r="2062" spans="1:18" x14ac:dyDescent="0.2">
      <c r="A2062" s="23">
        <v>45233</v>
      </c>
      <c r="B2062" s="23">
        <v>45139</v>
      </c>
      <c r="C2062" s="25" t="s">
        <v>399</v>
      </c>
      <c r="D2062" s="20">
        <v>94</v>
      </c>
      <c r="E2062" s="27">
        <v>89498.5</v>
      </c>
      <c r="F2062" s="22" t="s">
        <v>271</v>
      </c>
      <c r="G2062" s="29">
        <v>70</v>
      </c>
      <c r="H2062" s="39">
        <v>44648</v>
      </c>
      <c r="I2062" s="46">
        <f t="shared" si="128"/>
        <v>585</v>
      </c>
      <c r="J2062" s="4" t="s">
        <v>15</v>
      </c>
      <c r="K2062" s="4" t="s">
        <v>204</v>
      </c>
      <c r="L2062" s="4" t="s">
        <v>228</v>
      </c>
      <c r="M2062" s="7">
        <v>420</v>
      </c>
      <c r="N2062" s="10">
        <v>1278.55</v>
      </c>
      <c r="O2062" s="10">
        <v>536991</v>
      </c>
      <c r="P2062">
        <f t="shared" si="129"/>
        <v>0</v>
      </c>
      <c r="Q2062" s="36">
        <f t="shared" si="130"/>
        <v>89498.5</v>
      </c>
      <c r="R2062">
        <f t="shared" si="131"/>
        <v>2022</v>
      </c>
    </row>
    <row r="2063" spans="1:18" x14ac:dyDescent="0.2">
      <c r="A2063" s="23">
        <v>45315</v>
      </c>
      <c r="B2063" s="23">
        <v>45200</v>
      </c>
      <c r="C2063" s="25" t="s">
        <v>399</v>
      </c>
      <c r="D2063" s="20">
        <v>115</v>
      </c>
      <c r="E2063" s="27">
        <v>447492.5</v>
      </c>
      <c r="F2063" s="22" t="s">
        <v>271</v>
      </c>
      <c r="G2063" s="29">
        <v>350</v>
      </c>
      <c r="H2063" s="39">
        <v>44937</v>
      </c>
      <c r="I2063" s="46">
        <f t="shared" si="128"/>
        <v>378</v>
      </c>
      <c r="J2063" s="4" t="s">
        <v>15</v>
      </c>
      <c r="K2063" s="4" t="s">
        <v>204</v>
      </c>
      <c r="L2063" s="4" t="s">
        <v>228</v>
      </c>
      <c r="M2063" s="7">
        <v>350</v>
      </c>
      <c r="N2063" s="10">
        <v>1278.55</v>
      </c>
      <c r="O2063" s="10">
        <v>447492.5</v>
      </c>
      <c r="P2063">
        <f t="shared" si="129"/>
        <v>1</v>
      </c>
      <c r="Q2063" s="36">
        <f t="shared" si="130"/>
        <v>447492.5</v>
      </c>
      <c r="R2063">
        <f t="shared" si="131"/>
        <v>2023</v>
      </c>
    </row>
    <row r="2064" spans="1:18" x14ac:dyDescent="0.2">
      <c r="A2064" s="23">
        <v>45388</v>
      </c>
      <c r="B2064" s="23">
        <v>44649</v>
      </c>
      <c r="C2064" s="25" t="s">
        <v>399</v>
      </c>
      <c r="D2064" s="20">
        <v>739</v>
      </c>
      <c r="E2064" s="27">
        <v>322543.76</v>
      </c>
      <c r="F2064" s="22" t="s">
        <v>246</v>
      </c>
      <c r="G2064" s="29">
        <v>616</v>
      </c>
      <c r="H2064" s="39">
        <v>44648</v>
      </c>
      <c r="I2064" s="46">
        <f t="shared" si="128"/>
        <v>740</v>
      </c>
      <c r="J2064" s="4" t="s">
        <v>15</v>
      </c>
      <c r="K2064" s="4" t="s">
        <v>204</v>
      </c>
      <c r="L2064" s="4" t="s">
        <v>228</v>
      </c>
      <c r="M2064" s="7">
        <v>616</v>
      </c>
      <c r="N2064" s="10">
        <v>523.61</v>
      </c>
      <c r="O2064" s="10">
        <v>322543.76</v>
      </c>
      <c r="P2064">
        <f t="shared" si="129"/>
        <v>1</v>
      </c>
      <c r="Q2064" s="36">
        <f t="shared" si="130"/>
        <v>322543.76</v>
      </c>
      <c r="R2064">
        <f t="shared" si="131"/>
        <v>2022</v>
      </c>
    </row>
    <row r="2065" spans="1:18" x14ac:dyDescent="0.2">
      <c r="A2065" s="23">
        <v>45388</v>
      </c>
      <c r="B2065" s="23">
        <v>44648</v>
      </c>
      <c r="C2065" s="25" t="s">
        <v>399</v>
      </c>
      <c r="D2065" s="20">
        <v>740</v>
      </c>
      <c r="E2065" s="27">
        <v>645087.52</v>
      </c>
      <c r="F2065" s="22" t="s">
        <v>246</v>
      </c>
      <c r="G2065" s="29">
        <v>1232</v>
      </c>
      <c r="H2065" s="39">
        <v>44648</v>
      </c>
      <c r="I2065" s="46">
        <f t="shared" si="128"/>
        <v>740</v>
      </c>
      <c r="J2065" s="4" t="s">
        <v>15</v>
      </c>
      <c r="K2065" s="4" t="s">
        <v>204</v>
      </c>
      <c r="L2065" s="4" t="s">
        <v>228</v>
      </c>
      <c r="M2065" s="7">
        <v>1232</v>
      </c>
      <c r="N2065" s="10">
        <v>523.61</v>
      </c>
      <c r="O2065" s="10">
        <v>645087.52</v>
      </c>
      <c r="P2065">
        <f t="shared" si="129"/>
        <v>1</v>
      </c>
      <c r="Q2065" s="36">
        <f t="shared" si="130"/>
        <v>645087.52</v>
      </c>
      <c r="R2065">
        <f t="shared" si="131"/>
        <v>2022</v>
      </c>
    </row>
    <row r="2066" spans="1:18" x14ac:dyDescent="0.2">
      <c r="A2066" s="23">
        <v>45392</v>
      </c>
      <c r="B2066" s="23">
        <v>44650</v>
      </c>
      <c r="C2066" s="25" t="s">
        <v>399</v>
      </c>
      <c r="D2066" s="20">
        <v>742</v>
      </c>
      <c r="E2066" s="27">
        <v>322543.76</v>
      </c>
      <c r="F2066" s="22" t="s">
        <v>246</v>
      </c>
      <c r="G2066" s="29">
        <v>616</v>
      </c>
      <c r="H2066" s="39">
        <v>44650</v>
      </c>
      <c r="I2066" s="46">
        <f t="shared" si="128"/>
        <v>742</v>
      </c>
      <c r="J2066" s="4" t="s">
        <v>15</v>
      </c>
      <c r="K2066" s="4" t="s">
        <v>204</v>
      </c>
      <c r="L2066" s="4" t="s">
        <v>228</v>
      </c>
      <c r="M2066" s="7">
        <v>616</v>
      </c>
      <c r="N2066" s="10">
        <v>523.61</v>
      </c>
      <c r="O2066" s="10">
        <v>322543.76</v>
      </c>
      <c r="P2066">
        <f t="shared" si="129"/>
        <v>1</v>
      </c>
      <c r="Q2066" s="36">
        <f t="shared" si="130"/>
        <v>322543.76</v>
      </c>
      <c r="R2066">
        <f t="shared" si="131"/>
        <v>2022</v>
      </c>
    </row>
    <row r="2067" spans="1:18" x14ac:dyDescent="0.2">
      <c r="A2067" s="23">
        <v>45388</v>
      </c>
      <c r="B2067" s="23">
        <v>44982</v>
      </c>
      <c r="C2067" s="25" t="s">
        <v>399</v>
      </c>
      <c r="D2067" s="20">
        <v>406</v>
      </c>
      <c r="E2067" s="27">
        <v>161271.88</v>
      </c>
      <c r="F2067" s="22" t="s">
        <v>246</v>
      </c>
      <c r="G2067" s="29">
        <v>308</v>
      </c>
      <c r="H2067" s="39">
        <v>44648</v>
      </c>
      <c r="I2067" s="46">
        <f t="shared" si="128"/>
        <v>740</v>
      </c>
      <c r="J2067" s="4" t="s">
        <v>15</v>
      </c>
      <c r="K2067" s="4" t="s">
        <v>204</v>
      </c>
      <c r="L2067" s="4" t="s">
        <v>228</v>
      </c>
      <c r="M2067" s="7">
        <v>308</v>
      </c>
      <c r="N2067" s="10">
        <v>523.61</v>
      </c>
      <c r="O2067" s="10">
        <v>161271.88</v>
      </c>
      <c r="P2067">
        <f t="shared" si="129"/>
        <v>1</v>
      </c>
      <c r="Q2067" s="36">
        <f t="shared" si="130"/>
        <v>161271.88</v>
      </c>
      <c r="R2067">
        <f t="shared" si="131"/>
        <v>2022</v>
      </c>
    </row>
    <row r="2068" spans="1:18" x14ac:dyDescent="0.2">
      <c r="A2068" s="23">
        <v>45388</v>
      </c>
      <c r="B2068" s="23">
        <v>44954</v>
      </c>
      <c r="C2068" s="25" t="s">
        <v>399</v>
      </c>
      <c r="D2068" s="20">
        <v>434</v>
      </c>
      <c r="E2068" s="27">
        <v>161271.88</v>
      </c>
      <c r="F2068" s="22" t="s">
        <v>246</v>
      </c>
      <c r="G2068" s="29">
        <v>308</v>
      </c>
      <c r="H2068" s="39">
        <v>44648</v>
      </c>
      <c r="I2068" s="46">
        <f t="shared" si="128"/>
        <v>740</v>
      </c>
      <c r="J2068" s="4" t="s">
        <v>15</v>
      </c>
      <c r="K2068" s="4" t="s">
        <v>204</v>
      </c>
      <c r="L2068" s="4" t="s">
        <v>228</v>
      </c>
      <c r="M2068" s="7">
        <v>308</v>
      </c>
      <c r="N2068" s="10">
        <v>523.61</v>
      </c>
      <c r="O2068" s="10">
        <v>161271.88</v>
      </c>
      <c r="P2068">
        <f t="shared" si="129"/>
        <v>1</v>
      </c>
      <c r="Q2068" s="36">
        <f t="shared" si="130"/>
        <v>161271.88</v>
      </c>
      <c r="R2068">
        <f t="shared" si="131"/>
        <v>2022</v>
      </c>
    </row>
    <row r="2069" spans="1:18" x14ac:dyDescent="0.2">
      <c r="A2069" s="23">
        <v>45388</v>
      </c>
      <c r="B2069" s="23">
        <v>44648</v>
      </c>
      <c r="C2069" s="25" t="s">
        <v>399</v>
      </c>
      <c r="D2069" s="20">
        <v>740</v>
      </c>
      <c r="E2069" s="27">
        <v>161271.88</v>
      </c>
      <c r="F2069" s="22" t="s">
        <v>246</v>
      </c>
      <c r="G2069" s="29">
        <v>308</v>
      </c>
      <c r="H2069" s="39">
        <v>44648</v>
      </c>
      <c r="I2069" s="46">
        <f t="shared" si="128"/>
        <v>740</v>
      </c>
      <c r="J2069" s="4" t="s">
        <v>15</v>
      </c>
      <c r="K2069" s="4" t="s">
        <v>204</v>
      </c>
      <c r="L2069" s="4" t="s">
        <v>228</v>
      </c>
      <c r="M2069" s="7">
        <v>308</v>
      </c>
      <c r="N2069" s="10">
        <v>523.61</v>
      </c>
      <c r="O2069" s="10">
        <v>161271.88</v>
      </c>
      <c r="P2069">
        <f t="shared" si="129"/>
        <v>1</v>
      </c>
      <c r="Q2069" s="36">
        <f t="shared" si="130"/>
        <v>161271.88</v>
      </c>
      <c r="R2069">
        <f t="shared" si="131"/>
        <v>2022</v>
      </c>
    </row>
    <row r="2070" spans="1:18" x14ac:dyDescent="0.2">
      <c r="A2070" s="23">
        <v>45388</v>
      </c>
      <c r="B2070" s="23">
        <v>44650</v>
      </c>
      <c r="C2070" s="25" t="s">
        <v>399</v>
      </c>
      <c r="D2070" s="20">
        <v>738</v>
      </c>
      <c r="E2070" s="27">
        <v>483815.64</v>
      </c>
      <c r="F2070" s="22" t="s">
        <v>246</v>
      </c>
      <c r="G2070" s="29">
        <v>924</v>
      </c>
      <c r="H2070" s="39">
        <v>44650</v>
      </c>
      <c r="I2070" s="46">
        <f t="shared" si="128"/>
        <v>738</v>
      </c>
      <c r="J2070" s="4" t="s">
        <v>15</v>
      </c>
      <c r="K2070" s="4" t="s">
        <v>204</v>
      </c>
      <c r="L2070" s="4" t="s">
        <v>228</v>
      </c>
      <c r="M2070" s="7">
        <v>924</v>
      </c>
      <c r="N2070" s="10">
        <v>523.61</v>
      </c>
      <c r="O2070" s="10">
        <v>483815.64</v>
      </c>
      <c r="P2070">
        <f t="shared" si="129"/>
        <v>1</v>
      </c>
      <c r="Q2070" s="36">
        <f t="shared" si="130"/>
        <v>483815.64</v>
      </c>
      <c r="R2070">
        <f t="shared" si="131"/>
        <v>2022</v>
      </c>
    </row>
    <row r="2071" spans="1:18" x14ac:dyDescent="0.2">
      <c r="A2071" s="23">
        <v>45388</v>
      </c>
      <c r="B2071" s="23">
        <v>45009</v>
      </c>
      <c r="C2071" s="25" t="s">
        <v>399</v>
      </c>
      <c r="D2071" s="20">
        <v>379</v>
      </c>
      <c r="E2071" s="27">
        <v>322543.76</v>
      </c>
      <c r="F2071" s="22" t="s">
        <v>246</v>
      </c>
      <c r="G2071" s="29">
        <v>616</v>
      </c>
      <c r="H2071" s="39">
        <v>44651</v>
      </c>
      <c r="I2071" s="46">
        <f t="shared" si="128"/>
        <v>737</v>
      </c>
      <c r="J2071" s="4" t="s">
        <v>15</v>
      </c>
      <c r="K2071" s="4" t="s">
        <v>204</v>
      </c>
      <c r="L2071" s="4" t="s">
        <v>228</v>
      </c>
      <c r="M2071" s="7">
        <v>616</v>
      </c>
      <c r="N2071" s="10">
        <v>523.61</v>
      </c>
      <c r="O2071" s="10">
        <v>322543.76</v>
      </c>
      <c r="P2071">
        <f t="shared" si="129"/>
        <v>1</v>
      </c>
      <c r="Q2071" s="36">
        <f t="shared" si="130"/>
        <v>322543.76</v>
      </c>
      <c r="R2071">
        <f t="shared" si="131"/>
        <v>2022</v>
      </c>
    </row>
    <row r="2072" spans="1:18" x14ac:dyDescent="0.2">
      <c r="A2072" s="23">
        <v>45388</v>
      </c>
      <c r="B2072" s="23">
        <v>45100</v>
      </c>
      <c r="C2072" s="25" t="s">
        <v>399</v>
      </c>
      <c r="D2072" s="20">
        <v>288</v>
      </c>
      <c r="E2072" s="27">
        <v>645087.52</v>
      </c>
      <c r="F2072" s="22" t="s">
        <v>246</v>
      </c>
      <c r="G2072" s="29">
        <v>1232</v>
      </c>
      <c r="H2072" s="39">
        <v>44651</v>
      </c>
      <c r="I2072" s="46">
        <f t="shared" si="128"/>
        <v>737</v>
      </c>
      <c r="J2072" s="4" t="s">
        <v>15</v>
      </c>
      <c r="K2072" s="4" t="s">
        <v>204</v>
      </c>
      <c r="L2072" s="4" t="s">
        <v>228</v>
      </c>
      <c r="M2072" s="7">
        <v>1232</v>
      </c>
      <c r="N2072" s="10">
        <v>523.61</v>
      </c>
      <c r="O2072" s="10">
        <v>645087.52</v>
      </c>
      <c r="P2072">
        <f t="shared" si="129"/>
        <v>1</v>
      </c>
      <c r="Q2072" s="36">
        <f t="shared" si="130"/>
        <v>645087.52</v>
      </c>
      <c r="R2072">
        <f t="shared" si="131"/>
        <v>2022</v>
      </c>
    </row>
    <row r="2073" spans="1:18" x14ac:dyDescent="0.2">
      <c r="A2073" s="23">
        <v>45388</v>
      </c>
      <c r="B2073" s="23">
        <v>45283</v>
      </c>
      <c r="C2073" s="25" t="s">
        <v>399</v>
      </c>
      <c r="D2073" s="20">
        <v>105</v>
      </c>
      <c r="E2073" s="27">
        <v>645087.52</v>
      </c>
      <c r="F2073" s="22" t="s">
        <v>246</v>
      </c>
      <c r="G2073" s="29">
        <v>1232</v>
      </c>
      <c r="H2073" s="39">
        <v>44665</v>
      </c>
      <c r="I2073" s="46">
        <f t="shared" si="128"/>
        <v>723</v>
      </c>
      <c r="J2073" s="4" t="s">
        <v>15</v>
      </c>
      <c r="K2073" s="4" t="s">
        <v>204</v>
      </c>
      <c r="L2073" s="4" t="s">
        <v>228</v>
      </c>
      <c r="M2073" s="7">
        <v>1232</v>
      </c>
      <c r="N2073" s="10">
        <v>523.61</v>
      </c>
      <c r="O2073" s="10">
        <v>645087.52</v>
      </c>
      <c r="P2073">
        <f t="shared" si="129"/>
        <v>1</v>
      </c>
      <c r="Q2073" s="36">
        <f t="shared" si="130"/>
        <v>645087.52</v>
      </c>
      <c r="R2073">
        <f t="shared" si="131"/>
        <v>2022</v>
      </c>
    </row>
    <row r="2074" spans="1:18" x14ac:dyDescent="0.2">
      <c r="A2074" s="23">
        <v>45388</v>
      </c>
      <c r="B2074" s="23">
        <v>44651</v>
      </c>
      <c r="C2074" s="25" t="s">
        <v>399</v>
      </c>
      <c r="D2074" s="20">
        <v>737</v>
      </c>
      <c r="E2074" s="27">
        <v>692736.03</v>
      </c>
      <c r="F2074" s="22" t="s">
        <v>246</v>
      </c>
      <c r="G2074" s="29">
        <v>1323</v>
      </c>
      <c r="H2074" s="39">
        <v>45029</v>
      </c>
      <c r="I2074" s="46">
        <f t="shared" si="128"/>
        <v>359</v>
      </c>
      <c r="J2074" s="4" t="s">
        <v>15</v>
      </c>
      <c r="K2074" s="4" t="s">
        <v>204</v>
      </c>
      <c r="L2074" s="4" t="s">
        <v>228</v>
      </c>
      <c r="M2074" s="7">
        <v>1323</v>
      </c>
      <c r="N2074" s="10">
        <v>523.61</v>
      </c>
      <c r="O2074" s="10">
        <v>692736.03</v>
      </c>
      <c r="P2074">
        <f t="shared" si="129"/>
        <v>1</v>
      </c>
      <c r="Q2074" s="36">
        <f t="shared" si="130"/>
        <v>692736.03</v>
      </c>
      <c r="R2074">
        <f t="shared" si="131"/>
        <v>2023</v>
      </c>
    </row>
    <row r="2075" spans="1:18" x14ac:dyDescent="0.2">
      <c r="A2075" s="23">
        <v>45293</v>
      </c>
      <c r="B2075" s="23">
        <v>45293</v>
      </c>
      <c r="C2075" s="25" t="s">
        <v>398</v>
      </c>
      <c r="D2075" s="20">
        <v>0</v>
      </c>
      <c r="E2075" s="27">
        <v>2132</v>
      </c>
      <c r="F2075" s="22" t="s">
        <v>272</v>
      </c>
      <c r="G2075" s="29">
        <v>1300</v>
      </c>
      <c r="H2075" s="39">
        <v>44888</v>
      </c>
      <c r="I2075" s="46">
        <f t="shared" si="128"/>
        <v>405</v>
      </c>
      <c r="J2075" s="4" t="s">
        <v>15</v>
      </c>
      <c r="K2075" s="4" t="s">
        <v>202</v>
      </c>
      <c r="L2075" s="4" t="s">
        <v>226</v>
      </c>
      <c r="M2075" s="7">
        <v>1300</v>
      </c>
      <c r="N2075" s="10">
        <v>1.64</v>
      </c>
      <c r="O2075" s="10">
        <v>2132</v>
      </c>
      <c r="P2075">
        <f t="shared" si="129"/>
        <v>1</v>
      </c>
      <c r="Q2075" s="36">
        <f t="shared" si="130"/>
        <v>2132</v>
      </c>
      <c r="R2075">
        <f t="shared" si="131"/>
        <v>2022</v>
      </c>
    </row>
    <row r="2076" spans="1:18" x14ac:dyDescent="0.2">
      <c r="A2076" s="23">
        <v>45453</v>
      </c>
      <c r="B2076" s="23">
        <v>44620</v>
      </c>
      <c r="C2076" s="25" t="s">
        <v>399</v>
      </c>
      <c r="D2076" s="20">
        <v>833</v>
      </c>
      <c r="E2076" s="27">
        <v>87079.81</v>
      </c>
      <c r="F2076" s="22" t="s">
        <v>273</v>
      </c>
      <c r="G2076" s="29">
        <v>202370</v>
      </c>
      <c r="H2076" s="39">
        <v>44676</v>
      </c>
      <c r="I2076" s="46">
        <f t="shared" si="128"/>
        <v>777</v>
      </c>
      <c r="J2076" s="4" t="s">
        <v>15</v>
      </c>
      <c r="K2076" s="4" t="s">
        <v>205</v>
      </c>
      <c r="L2076" s="4" t="s">
        <v>229</v>
      </c>
      <c r="M2076" s="7">
        <v>239470</v>
      </c>
      <c r="N2076" s="10">
        <v>0.43</v>
      </c>
      <c r="O2076" s="10">
        <v>102972.1</v>
      </c>
      <c r="P2076">
        <f t="shared" si="129"/>
        <v>0</v>
      </c>
      <c r="Q2076" s="36">
        <f t="shared" si="130"/>
        <v>87019.1</v>
      </c>
      <c r="R2076">
        <f t="shared" si="131"/>
        <v>2022</v>
      </c>
    </row>
    <row r="2077" spans="1:18" x14ac:dyDescent="0.2">
      <c r="A2077" s="23">
        <v>45670</v>
      </c>
      <c r="B2077" s="23">
        <v>44620</v>
      </c>
      <c r="C2077" s="25" t="s">
        <v>399</v>
      </c>
      <c r="D2077" s="20">
        <v>1050</v>
      </c>
      <c r="E2077" s="27">
        <v>1204.8399999999999</v>
      </c>
      <c r="F2077" s="22" t="s">
        <v>273</v>
      </c>
      <c r="G2077" s="29">
        <v>2800</v>
      </c>
      <c r="H2077" s="39">
        <v>44676</v>
      </c>
      <c r="I2077" s="46">
        <f t="shared" si="128"/>
        <v>994</v>
      </c>
      <c r="J2077" s="4" t="s">
        <v>15</v>
      </c>
      <c r="K2077" s="4" t="s">
        <v>205</v>
      </c>
      <c r="L2077" s="4" t="s">
        <v>229</v>
      </c>
      <c r="M2077" s="7">
        <v>239470</v>
      </c>
      <c r="N2077" s="10">
        <v>0.43</v>
      </c>
      <c r="O2077" s="10">
        <v>102972.1</v>
      </c>
      <c r="P2077">
        <f t="shared" si="129"/>
        <v>0</v>
      </c>
      <c r="Q2077" s="36">
        <f t="shared" si="130"/>
        <v>1204</v>
      </c>
      <c r="R2077">
        <f t="shared" si="131"/>
        <v>2022</v>
      </c>
    </row>
    <row r="2078" spans="1:18" x14ac:dyDescent="0.2">
      <c r="A2078" s="23">
        <v>45223</v>
      </c>
      <c r="B2078" s="23">
        <v>45107</v>
      </c>
      <c r="C2078" s="25" t="s">
        <v>399</v>
      </c>
      <c r="D2078" s="20">
        <v>116</v>
      </c>
      <c r="E2078" s="27">
        <v>3285.6</v>
      </c>
      <c r="F2078" s="22" t="s">
        <v>274</v>
      </c>
      <c r="G2078" s="29">
        <v>1480</v>
      </c>
      <c r="H2078" s="39">
        <v>44777</v>
      </c>
      <c r="I2078" s="46">
        <f t="shared" si="128"/>
        <v>446</v>
      </c>
      <c r="J2078" s="4" t="s">
        <v>15</v>
      </c>
      <c r="K2078" s="4" t="s">
        <v>205</v>
      </c>
      <c r="L2078" s="4" t="s">
        <v>229</v>
      </c>
      <c r="M2078" s="7">
        <v>3430</v>
      </c>
      <c r="N2078" s="10">
        <v>2.2200000000000002</v>
      </c>
      <c r="O2078" s="10">
        <v>7614.6</v>
      </c>
      <c r="P2078">
        <f t="shared" si="129"/>
        <v>0</v>
      </c>
      <c r="Q2078" s="36">
        <f t="shared" si="130"/>
        <v>3285.6000000000004</v>
      </c>
      <c r="R2078">
        <f t="shared" si="131"/>
        <v>2022</v>
      </c>
    </row>
    <row r="2079" spans="1:18" x14ac:dyDescent="0.2">
      <c r="A2079" s="23">
        <v>45188</v>
      </c>
      <c r="B2079" s="23">
        <v>44981</v>
      </c>
      <c r="C2079" s="25" t="s">
        <v>399</v>
      </c>
      <c r="D2079" s="20">
        <v>207</v>
      </c>
      <c r="E2079" s="27">
        <v>2668287.54</v>
      </c>
      <c r="F2079" s="22" t="s">
        <v>275</v>
      </c>
      <c r="G2079" s="29">
        <v>169093</v>
      </c>
      <c r="H2079" s="39">
        <v>44981</v>
      </c>
      <c r="I2079" s="46">
        <f t="shared" si="128"/>
        <v>207</v>
      </c>
      <c r="J2079" s="4" t="s">
        <v>15</v>
      </c>
      <c r="K2079" s="4" t="s">
        <v>205</v>
      </c>
      <c r="L2079" s="4" t="s">
        <v>229</v>
      </c>
      <c r="M2079" s="7">
        <v>189241</v>
      </c>
      <c r="N2079" s="10">
        <v>15.78</v>
      </c>
      <c r="O2079" s="10">
        <v>2986222.98</v>
      </c>
      <c r="P2079">
        <f t="shared" si="129"/>
        <v>0</v>
      </c>
      <c r="Q2079" s="36">
        <f t="shared" si="130"/>
        <v>2668287.54</v>
      </c>
      <c r="R2079">
        <f t="shared" si="131"/>
        <v>2023</v>
      </c>
    </row>
    <row r="2080" spans="1:18" x14ac:dyDescent="0.2">
      <c r="A2080" s="23">
        <v>45239</v>
      </c>
      <c r="B2080" s="23">
        <v>44981</v>
      </c>
      <c r="C2080" s="25" t="s">
        <v>399</v>
      </c>
      <c r="D2080" s="20">
        <v>258</v>
      </c>
      <c r="E2080" s="27">
        <v>317935.44</v>
      </c>
      <c r="F2080" s="22" t="s">
        <v>275</v>
      </c>
      <c r="G2080" s="29">
        <v>20148</v>
      </c>
      <c r="H2080" s="39">
        <v>44981</v>
      </c>
      <c r="I2080" s="46">
        <f t="shared" si="128"/>
        <v>258</v>
      </c>
      <c r="J2080" s="4" t="s">
        <v>15</v>
      </c>
      <c r="K2080" s="4" t="s">
        <v>205</v>
      </c>
      <c r="L2080" s="4" t="s">
        <v>229</v>
      </c>
      <c r="M2080" s="7">
        <v>189241</v>
      </c>
      <c r="N2080" s="10">
        <v>15.78</v>
      </c>
      <c r="O2080" s="10">
        <v>2986222.98</v>
      </c>
      <c r="P2080">
        <f t="shared" si="129"/>
        <v>0</v>
      </c>
      <c r="Q2080" s="36">
        <f t="shared" si="130"/>
        <v>317935.44</v>
      </c>
      <c r="R2080">
        <f t="shared" si="131"/>
        <v>2023</v>
      </c>
    </row>
    <row r="2081" spans="1:18" x14ac:dyDescent="0.2">
      <c r="A2081" s="23">
        <v>45227</v>
      </c>
      <c r="B2081" s="23">
        <v>45227</v>
      </c>
      <c r="C2081" s="25" t="s">
        <v>398</v>
      </c>
      <c r="D2081" s="20">
        <v>0</v>
      </c>
      <c r="E2081" s="27">
        <v>4363.8</v>
      </c>
      <c r="F2081" s="22" t="s">
        <v>249</v>
      </c>
      <c r="G2081" s="29">
        <v>420</v>
      </c>
      <c r="H2081" s="39">
        <v>44824</v>
      </c>
      <c r="I2081" s="46">
        <f t="shared" si="128"/>
        <v>403</v>
      </c>
      <c r="J2081" s="4" t="s">
        <v>15</v>
      </c>
      <c r="K2081" s="4" t="s">
        <v>202</v>
      </c>
      <c r="L2081" s="4" t="s">
        <v>226</v>
      </c>
      <c r="M2081" s="7">
        <v>420</v>
      </c>
      <c r="N2081" s="10">
        <v>10.39</v>
      </c>
      <c r="O2081" s="10">
        <v>4363.8</v>
      </c>
      <c r="P2081">
        <f t="shared" si="129"/>
        <v>1</v>
      </c>
      <c r="Q2081" s="36">
        <f t="shared" si="130"/>
        <v>4363.8</v>
      </c>
      <c r="R2081">
        <f t="shared" si="131"/>
        <v>2022</v>
      </c>
    </row>
    <row r="2082" spans="1:18" x14ac:dyDescent="0.2">
      <c r="A2082" s="23">
        <v>45337</v>
      </c>
      <c r="B2082" s="23">
        <v>45142</v>
      </c>
      <c r="C2082" s="25" t="s">
        <v>399</v>
      </c>
      <c r="D2082" s="20">
        <v>195</v>
      </c>
      <c r="E2082" s="27">
        <v>4363.8</v>
      </c>
      <c r="F2082" s="22" t="s">
        <v>249</v>
      </c>
      <c r="G2082" s="29">
        <v>420</v>
      </c>
      <c r="H2082" s="39">
        <v>44824</v>
      </c>
      <c r="I2082" s="46">
        <f t="shared" si="128"/>
        <v>513</v>
      </c>
      <c r="J2082" s="4" t="s">
        <v>15</v>
      </c>
      <c r="K2082" s="4" t="s">
        <v>202</v>
      </c>
      <c r="L2082" s="4" t="s">
        <v>226</v>
      </c>
      <c r="M2082" s="7">
        <v>420</v>
      </c>
      <c r="N2082" s="10">
        <v>10.39</v>
      </c>
      <c r="O2082" s="10">
        <v>4363.8</v>
      </c>
      <c r="P2082">
        <f t="shared" si="129"/>
        <v>1</v>
      </c>
      <c r="Q2082" s="36">
        <f t="shared" si="130"/>
        <v>4363.8</v>
      </c>
      <c r="R2082">
        <f t="shared" si="131"/>
        <v>2022</v>
      </c>
    </row>
    <row r="2083" spans="1:18" x14ac:dyDescent="0.2">
      <c r="A2083" s="23">
        <v>45293</v>
      </c>
      <c r="B2083" s="23">
        <v>45293</v>
      </c>
      <c r="C2083" s="25" t="s">
        <v>398</v>
      </c>
      <c r="D2083" s="20">
        <v>0</v>
      </c>
      <c r="E2083" s="27">
        <v>4363.8</v>
      </c>
      <c r="F2083" s="22" t="s">
        <v>249</v>
      </c>
      <c r="G2083" s="29">
        <v>420</v>
      </c>
      <c r="H2083" s="39">
        <v>44901</v>
      </c>
      <c r="I2083" s="46">
        <f t="shared" si="128"/>
        <v>392</v>
      </c>
      <c r="J2083" s="4" t="s">
        <v>15</v>
      </c>
      <c r="K2083" s="4" t="s">
        <v>202</v>
      </c>
      <c r="L2083" s="4" t="s">
        <v>226</v>
      </c>
      <c r="M2083" s="7">
        <v>420</v>
      </c>
      <c r="N2083" s="10">
        <v>10.39</v>
      </c>
      <c r="O2083" s="10">
        <v>4363.8</v>
      </c>
      <c r="P2083">
        <f t="shared" si="129"/>
        <v>1</v>
      </c>
      <c r="Q2083" s="36">
        <f t="shared" si="130"/>
        <v>4363.8</v>
      </c>
      <c r="R2083">
        <f t="shared" si="131"/>
        <v>2022</v>
      </c>
    </row>
    <row r="2084" spans="1:18" x14ac:dyDescent="0.2">
      <c r="A2084" s="23">
        <v>45302</v>
      </c>
      <c r="B2084" s="23">
        <v>45293</v>
      </c>
      <c r="C2084" s="25" t="s">
        <v>399</v>
      </c>
      <c r="D2084" s="20">
        <v>9</v>
      </c>
      <c r="E2084" s="27">
        <v>4363.8</v>
      </c>
      <c r="F2084" s="22" t="s">
        <v>249</v>
      </c>
      <c r="G2084" s="29">
        <v>420</v>
      </c>
      <c r="H2084" s="39">
        <v>44964</v>
      </c>
      <c r="I2084" s="46">
        <f t="shared" si="128"/>
        <v>338</v>
      </c>
      <c r="J2084" s="4" t="s">
        <v>15</v>
      </c>
      <c r="K2084" s="4" t="s">
        <v>202</v>
      </c>
      <c r="L2084" s="4" t="s">
        <v>226</v>
      </c>
      <c r="M2084" s="7">
        <v>420</v>
      </c>
      <c r="N2084" s="10">
        <v>10.39</v>
      </c>
      <c r="O2084" s="10">
        <v>4363.8</v>
      </c>
      <c r="P2084">
        <f t="shared" si="129"/>
        <v>1</v>
      </c>
      <c r="Q2084" s="36">
        <f t="shared" si="130"/>
        <v>4363.8</v>
      </c>
      <c r="R2084">
        <f t="shared" si="131"/>
        <v>2023</v>
      </c>
    </row>
    <row r="2085" spans="1:18" x14ac:dyDescent="0.2">
      <c r="A2085" s="23">
        <v>45213</v>
      </c>
      <c r="B2085" s="23">
        <v>44859</v>
      </c>
      <c r="C2085" s="25" t="s">
        <v>399</v>
      </c>
      <c r="D2085" s="20">
        <v>354</v>
      </c>
      <c r="E2085" s="27">
        <v>4568.2</v>
      </c>
      <c r="F2085" s="22" t="s">
        <v>250</v>
      </c>
      <c r="G2085" s="29">
        <v>1820</v>
      </c>
      <c r="H2085" s="39">
        <v>44508</v>
      </c>
      <c r="I2085" s="46">
        <f t="shared" si="128"/>
        <v>705</v>
      </c>
      <c r="J2085" s="4" t="s">
        <v>15</v>
      </c>
      <c r="K2085" s="4" t="s">
        <v>202</v>
      </c>
      <c r="L2085" s="4" t="s">
        <v>226</v>
      </c>
      <c r="M2085" s="7">
        <v>1820</v>
      </c>
      <c r="N2085" s="10">
        <v>2.5099999999999998</v>
      </c>
      <c r="O2085" s="10">
        <v>4568.2</v>
      </c>
      <c r="P2085">
        <f t="shared" si="129"/>
        <v>1</v>
      </c>
      <c r="Q2085" s="36">
        <f t="shared" si="130"/>
        <v>4568.2</v>
      </c>
      <c r="R2085">
        <f t="shared" si="131"/>
        <v>2021</v>
      </c>
    </row>
    <row r="2086" spans="1:18" x14ac:dyDescent="0.2">
      <c r="A2086" s="23">
        <v>45293</v>
      </c>
      <c r="B2086" s="23">
        <v>45293</v>
      </c>
      <c r="C2086" s="25" t="s">
        <v>398</v>
      </c>
      <c r="D2086" s="20">
        <v>0</v>
      </c>
      <c r="E2086" s="27">
        <v>4568.2</v>
      </c>
      <c r="F2086" s="22" t="s">
        <v>250</v>
      </c>
      <c r="G2086" s="29">
        <v>1820</v>
      </c>
      <c r="H2086" s="39">
        <v>44888</v>
      </c>
      <c r="I2086" s="46">
        <f t="shared" si="128"/>
        <v>405</v>
      </c>
      <c r="J2086" s="4" t="s">
        <v>15</v>
      </c>
      <c r="K2086" s="4" t="s">
        <v>202</v>
      </c>
      <c r="L2086" s="4" t="s">
        <v>226</v>
      </c>
      <c r="M2086" s="7">
        <v>1820</v>
      </c>
      <c r="N2086" s="10">
        <v>2.5099999999999998</v>
      </c>
      <c r="O2086" s="10">
        <v>4568.2</v>
      </c>
      <c r="P2086">
        <f t="shared" si="129"/>
        <v>1</v>
      </c>
      <c r="Q2086" s="36">
        <f t="shared" si="130"/>
        <v>4568.2</v>
      </c>
      <c r="R2086">
        <f t="shared" si="131"/>
        <v>2022</v>
      </c>
    </row>
    <row r="2087" spans="1:18" x14ac:dyDescent="0.2">
      <c r="A2087" s="23">
        <v>45293</v>
      </c>
      <c r="B2087" s="23">
        <v>45293</v>
      </c>
      <c r="C2087" s="25" t="s">
        <v>398</v>
      </c>
      <c r="D2087" s="20">
        <v>0</v>
      </c>
      <c r="E2087" s="27">
        <v>4568.2</v>
      </c>
      <c r="F2087" s="22" t="s">
        <v>250</v>
      </c>
      <c r="G2087" s="29">
        <v>1820</v>
      </c>
      <c r="H2087" s="39">
        <v>44901</v>
      </c>
      <c r="I2087" s="46">
        <f t="shared" si="128"/>
        <v>392</v>
      </c>
      <c r="J2087" s="4" t="s">
        <v>15</v>
      </c>
      <c r="K2087" s="4" t="s">
        <v>202</v>
      </c>
      <c r="L2087" s="4" t="s">
        <v>226</v>
      </c>
      <c r="M2087" s="7">
        <v>1820</v>
      </c>
      <c r="N2087" s="10">
        <v>2.5099999999999998</v>
      </c>
      <c r="O2087" s="10">
        <v>4568.2</v>
      </c>
      <c r="P2087">
        <f t="shared" si="129"/>
        <v>1</v>
      </c>
      <c r="Q2087" s="36">
        <f t="shared" si="130"/>
        <v>4568.2</v>
      </c>
      <c r="R2087">
        <f t="shared" si="131"/>
        <v>2022</v>
      </c>
    </row>
    <row r="2088" spans="1:18" x14ac:dyDescent="0.2">
      <c r="A2088" s="23">
        <v>45300</v>
      </c>
      <c r="B2088" s="23">
        <v>45293</v>
      </c>
      <c r="C2088" s="25" t="s">
        <v>399</v>
      </c>
      <c r="D2088" s="20">
        <v>7</v>
      </c>
      <c r="E2088" s="27">
        <v>4568.2</v>
      </c>
      <c r="F2088" s="22" t="s">
        <v>250</v>
      </c>
      <c r="G2088" s="29">
        <v>1820</v>
      </c>
      <c r="H2088" s="39">
        <v>44957</v>
      </c>
      <c r="I2088" s="46">
        <f t="shared" si="128"/>
        <v>343</v>
      </c>
      <c r="J2088" s="4" t="s">
        <v>15</v>
      </c>
      <c r="K2088" s="4" t="s">
        <v>202</v>
      </c>
      <c r="L2088" s="4" t="s">
        <v>226</v>
      </c>
      <c r="M2088" s="7">
        <v>1820</v>
      </c>
      <c r="N2088" s="10">
        <v>2.5099999999999998</v>
      </c>
      <c r="O2088" s="10">
        <v>4568.2</v>
      </c>
      <c r="P2088">
        <f t="shared" si="129"/>
        <v>1</v>
      </c>
      <c r="Q2088" s="36">
        <f t="shared" si="130"/>
        <v>4568.2</v>
      </c>
      <c r="R2088">
        <f t="shared" si="131"/>
        <v>2023</v>
      </c>
    </row>
    <row r="2089" spans="1:18" x14ac:dyDescent="0.2">
      <c r="A2089" s="23">
        <v>45330</v>
      </c>
      <c r="B2089" s="23">
        <v>45293</v>
      </c>
      <c r="C2089" s="25" t="s">
        <v>399</v>
      </c>
      <c r="D2089" s="20">
        <v>37</v>
      </c>
      <c r="E2089" s="27">
        <v>4568.2</v>
      </c>
      <c r="F2089" s="22" t="s">
        <v>250</v>
      </c>
      <c r="G2089" s="29">
        <v>1820</v>
      </c>
      <c r="H2089" s="39">
        <v>44971</v>
      </c>
      <c r="I2089" s="46">
        <f t="shared" si="128"/>
        <v>359</v>
      </c>
      <c r="J2089" s="4" t="s">
        <v>15</v>
      </c>
      <c r="K2089" s="4" t="s">
        <v>202</v>
      </c>
      <c r="L2089" s="4" t="s">
        <v>226</v>
      </c>
      <c r="M2089" s="7">
        <v>1820</v>
      </c>
      <c r="N2089" s="10">
        <v>2.5099999999999998</v>
      </c>
      <c r="O2089" s="10">
        <v>4568.2</v>
      </c>
      <c r="P2089">
        <f t="shared" si="129"/>
        <v>1</v>
      </c>
      <c r="Q2089" s="36">
        <f t="shared" si="130"/>
        <v>4568.2</v>
      </c>
      <c r="R2089">
        <f t="shared" si="131"/>
        <v>2023</v>
      </c>
    </row>
    <row r="2090" spans="1:18" x14ac:dyDescent="0.2">
      <c r="A2090" s="23">
        <v>45378</v>
      </c>
      <c r="B2090" s="23">
        <v>45295</v>
      </c>
      <c r="C2090" s="25" t="s">
        <v>399</v>
      </c>
      <c r="D2090" s="20">
        <v>83</v>
      </c>
      <c r="E2090" s="27">
        <v>4568.2</v>
      </c>
      <c r="F2090" s="22" t="s">
        <v>250</v>
      </c>
      <c r="G2090" s="29">
        <v>1820</v>
      </c>
      <c r="H2090" s="39">
        <v>44999</v>
      </c>
      <c r="I2090" s="46">
        <f t="shared" si="128"/>
        <v>379</v>
      </c>
      <c r="J2090" s="4" t="s">
        <v>15</v>
      </c>
      <c r="K2090" s="4" t="s">
        <v>202</v>
      </c>
      <c r="L2090" s="4" t="s">
        <v>226</v>
      </c>
      <c r="M2090" s="7">
        <v>1820</v>
      </c>
      <c r="N2090" s="10">
        <v>2.5099999999999998</v>
      </c>
      <c r="O2090" s="10">
        <v>4568.2</v>
      </c>
      <c r="P2090">
        <f t="shared" si="129"/>
        <v>1</v>
      </c>
      <c r="Q2090" s="36">
        <f t="shared" si="130"/>
        <v>4568.2</v>
      </c>
      <c r="R2090">
        <f t="shared" si="131"/>
        <v>2023</v>
      </c>
    </row>
    <row r="2091" spans="1:18" x14ac:dyDescent="0.2">
      <c r="A2091" s="23">
        <v>45386</v>
      </c>
      <c r="B2091" s="23">
        <v>45295</v>
      </c>
      <c r="C2091" s="25" t="s">
        <v>399</v>
      </c>
      <c r="D2091" s="20">
        <v>91</v>
      </c>
      <c r="E2091" s="27">
        <v>4568.2</v>
      </c>
      <c r="F2091" s="22" t="s">
        <v>250</v>
      </c>
      <c r="G2091" s="29">
        <v>1820</v>
      </c>
      <c r="H2091" s="39">
        <v>45013</v>
      </c>
      <c r="I2091" s="46">
        <f t="shared" si="128"/>
        <v>373</v>
      </c>
      <c r="J2091" s="4" t="s">
        <v>15</v>
      </c>
      <c r="K2091" s="4" t="s">
        <v>202</v>
      </c>
      <c r="L2091" s="4" t="s">
        <v>226</v>
      </c>
      <c r="M2091" s="7">
        <v>1820</v>
      </c>
      <c r="N2091" s="10">
        <v>2.5099999999999998</v>
      </c>
      <c r="O2091" s="10">
        <v>4568.2</v>
      </c>
      <c r="P2091">
        <f t="shared" si="129"/>
        <v>1</v>
      </c>
      <c r="Q2091" s="36">
        <f t="shared" si="130"/>
        <v>4568.2</v>
      </c>
      <c r="R2091">
        <f t="shared" si="131"/>
        <v>2023</v>
      </c>
    </row>
    <row r="2092" spans="1:18" x14ac:dyDescent="0.2">
      <c r="A2092" s="23">
        <v>45394</v>
      </c>
      <c r="B2092" s="23">
        <v>45295</v>
      </c>
      <c r="C2092" s="25" t="s">
        <v>399</v>
      </c>
      <c r="D2092" s="20">
        <v>99</v>
      </c>
      <c r="E2092" s="27">
        <v>4568.2</v>
      </c>
      <c r="F2092" s="22" t="s">
        <v>250</v>
      </c>
      <c r="G2092" s="29">
        <v>1820</v>
      </c>
      <c r="H2092" s="39">
        <v>45028</v>
      </c>
      <c r="I2092" s="46">
        <f t="shared" si="128"/>
        <v>366</v>
      </c>
      <c r="J2092" s="4" t="s">
        <v>15</v>
      </c>
      <c r="K2092" s="4" t="s">
        <v>202</v>
      </c>
      <c r="L2092" s="4" t="s">
        <v>226</v>
      </c>
      <c r="M2092" s="7">
        <v>1820</v>
      </c>
      <c r="N2092" s="10">
        <v>2.5099999999999998</v>
      </c>
      <c r="O2092" s="10">
        <v>4568.2</v>
      </c>
      <c r="P2092">
        <f t="shared" si="129"/>
        <v>1</v>
      </c>
      <c r="Q2092" s="36">
        <f t="shared" si="130"/>
        <v>4568.2</v>
      </c>
      <c r="R2092">
        <f t="shared" si="131"/>
        <v>2023</v>
      </c>
    </row>
    <row r="2093" spans="1:18" x14ac:dyDescent="0.2">
      <c r="A2093" s="23">
        <v>45394</v>
      </c>
      <c r="B2093" s="23">
        <v>45295</v>
      </c>
      <c r="C2093" s="25" t="s">
        <v>399</v>
      </c>
      <c r="D2093" s="20">
        <v>99</v>
      </c>
      <c r="E2093" s="27">
        <v>4568.2</v>
      </c>
      <c r="F2093" s="22" t="s">
        <v>250</v>
      </c>
      <c r="G2093" s="29">
        <v>1820</v>
      </c>
      <c r="H2093" s="39">
        <v>45028</v>
      </c>
      <c r="I2093" s="46">
        <f t="shared" si="128"/>
        <v>366</v>
      </c>
      <c r="J2093" s="4" t="s">
        <v>15</v>
      </c>
      <c r="K2093" s="4" t="s">
        <v>202</v>
      </c>
      <c r="L2093" s="4" t="s">
        <v>226</v>
      </c>
      <c r="M2093" s="7">
        <v>1820</v>
      </c>
      <c r="N2093" s="10">
        <v>2.5099999999999998</v>
      </c>
      <c r="O2093" s="10">
        <v>4568.2</v>
      </c>
      <c r="P2093">
        <f t="shared" si="129"/>
        <v>1</v>
      </c>
      <c r="Q2093" s="36">
        <f t="shared" si="130"/>
        <v>4568.2</v>
      </c>
      <c r="R2093">
        <f t="shared" si="131"/>
        <v>2023</v>
      </c>
    </row>
    <row r="2094" spans="1:18" x14ac:dyDescent="0.2">
      <c r="A2094" s="23">
        <v>45213</v>
      </c>
      <c r="B2094" s="23">
        <v>44809</v>
      </c>
      <c r="C2094" s="25" t="s">
        <v>399</v>
      </c>
      <c r="D2094" s="20">
        <v>404</v>
      </c>
      <c r="E2094" s="27">
        <v>4368</v>
      </c>
      <c r="F2094" s="22" t="s">
        <v>276</v>
      </c>
      <c r="G2094" s="29">
        <v>1820</v>
      </c>
      <c r="H2094" s="39">
        <v>44581</v>
      </c>
      <c r="I2094" s="46">
        <f t="shared" si="128"/>
        <v>632</v>
      </c>
      <c r="J2094" s="4" t="s">
        <v>15</v>
      </c>
      <c r="K2094" s="4" t="s">
        <v>202</v>
      </c>
      <c r="L2094" s="4" t="s">
        <v>226</v>
      </c>
      <c r="M2094" s="7">
        <v>1820</v>
      </c>
      <c r="N2094" s="10">
        <v>2.4</v>
      </c>
      <c r="O2094" s="10">
        <v>4368</v>
      </c>
      <c r="P2094">
        <f t="shared" si="129"/>
        <v>1</v>
      </c>
      <c r="Q2094" s="36">
        <f t="shared" si="130"/>
        <v>4368</v>
      </c>
      <c r="R2094">
        <f t="shared" si="131"/>
        <v>2022</v>
      </c>
    </row>
    <row r="2095" spans="1:18" x14ac:dyDescent="0.2">
      <c r="A2095" s="23">
        <v>45212</v>
      </c>
      <c r="B2095" s="23">
        <v>45086</v>
      </c>
      <c r="C2095" s="25" t="s">
        <v>399</v>
      </c>
      <c r="D2095" s="20">
        <v>126</v>
      </c>
      <c r="E2095" s="27">
        <v>4368</v>
      </c>
      <c r="F2095" s="22" t="s">
        <v>276</v>
      </c>
      <c r="G2095" s="29">
        <v>1820</v>
      </c>
      <c r="H2095" s="39">
        <v>44719</v>
      </c>
      <c r="I2095" s="46">
        <f t="shared" si="128"/>
        <v>493</v>
      </c>
      <c r="J2095" s="4" t="s">
        <v>15</v>
      </c>
      <c r="K2095" s="4" t="s">
        <v>204</v>
      </c>
      <c r="L2095" s="4" t="s">
        <v>228</v>
      </c>
      <c r="M2095" s="7">
        <v>1820</v>
      </c>
      <c r="N2095" s="10">
        <v>2.4</v>
      </c>
      <c r="O2095" s="10">
        <v>4368</v>
      </c>
      <c r="P2095">
        <f t="shared" si="129"/>
        <v>1</v>
      </c>
      <c r="Q2095" s="36">
        <f t="shared" si="130"/>
        <v>4368</v>
      </c>
      <c r="R2095">
        <f t="shared" si="131"/>
        <v>2022</v>
      </c>
    </row>
    <row r="2096" spans="1:18" x14ac:dyDescent="0.2">
      <c r="A2096" s="23">
        <v>45240</v>
      </c>
      <c r="B2096" s="23">
        <v>44620</v>
      </c>
      <c r="C2096" s="25" t="s">
        <v>399</v>
      </c>
      <c r="D2096" s="20">
        <v>620</v>
      </c>
      <c r="E2096" s="27">
        <v>507888.56</v>
      </c>
      <c r="F2096" s="22" t="s">
        <v>277</v>
      </c>
      <c r="G2096" s="29">
        <v>89417</v>
      </c>
      <c r="H2096" s="39">
        <v>44876</v>
      </c>
      <c r="I2096" s="46">
        <f t="shared" si="128"/>
        <v>364</v>
      </c>
      <c r="J2096" s="4" t="s">
        <v>15</v>
      </c>
      <c r="K2096" s="4" t="s">
        <v>205</v>
      </c>
      <c r="L2096" s="4" t="s">
        <v>229</v>
      </c>
      <c r="M2096" s="7">
        <v>89417</v>
      </c>
      <c r="N2096" s="10">
        <v>5.68</v>
      </c>
      <c r="O2096" s="10">
        <v>507888.56</v>
      </c>
      <c r="P2096">
        <f t="shared" si="129"/>
        <v>1</v>
      </c>
      <c r="Q2096" s="36">
        <f t="shared" si="130"/>
        <v>507888.56</v>
      </c>
      <c r="R2096">
        <f t="shared" si="131"/>
        <v>2022</v>
      </c>
    </row>
    <row r="2097" spans="1:18" x14ac:dyDescent="0.2">
      <c r="A2097" s="23">
        <v>45218</v>
      </c>
      <c r="B2097" s="23">
        <v>45079</v>
      </c>
      <c r="C2097" s="25" t="s">
        <v>399</v>
      </c>
      <c r="D2097" s="20">
        <v>139</v>
      </c>
      <c r="E2097" s="27">
        <v>6609.33</v>
      </c>
      <c r="F2097" s="22" t="s">
        <v>278</v>
      </c>
      <c r="G2097" s="29">
        <v>189</v>
      </c>
      <c r="H2097" s="39">
        <v>44789</v>
      </c>
      <c r="I2097" s="46">
        <f t="shared" si="128"/>
        <v>429</v>
      </c>
      <c r="J2097" s="4" t="s">
        <v>15</v>
      </c>
      <c r="K2097" s="4" t="s">
        <v>206</v>
      </c>
      <c r="L2097" s="4" t="s">
        <v>230</v>
      </c>
      <c r="M2097" s="7">
        <v>189</v>
      </c>
      <c r="N2097" s="10">
        <v>34.97</v>
      </c>
      <c r="O2097" s="10">
        <v>6609.33</v>
      </c>
      <c r="P2097">
        <f t="shared" si="129"/>
        <v>1</v>
      </c>
      <c r="Q2097" s="36">
        <f t="shared" si="130"/>
        <v>6609.33</v>
      </c>
      <c r="R2097">
        <f t="shared" si="131"/>
        <v>2022</v>
      </c>
    </row>
    <row r="2098" spans="1:18" x14ac:dyDescent="0.2">
      <c r="A2098" s="23">
        <v>45225</v>
      </c>
      <c r="B2098" s="23">
        <v>45100</v>
      </c>
      <c r="C2098" s="25" t="s">
        <v>399</v>
      </c>
      <c r="D2098" s="20">
        <v>125</v>
      </c>
      <c r="E2098" s="27">
        <v>6609.33</v>
      </c>
      <c r="F2098" s="22" t="s">
        <v>278</v>
      </c>
      <c r="G2098" s="29">
        <v>189</v>
      </c>
      <c r="H2098" s="39">
        <v>44789</v>
      </c>
      <c r="I2098" s="46">
        <f t="shared" si="128"/>
        <v>436</v>
      </c>
      <c r="J2098" s="4" t="s">
        <v>15</v>
      </c>
      <c r="K2098" s="4" t="s">
        <v>206</v>
      </c>
      <c r="L2098" s="4" t="s">
        <v>230</v>
      </c>
      <c r="M2098" s="7">
        <v>189</v>
      </c>
      <c r="N2098" s="10">
        <v>34.97</v>
      </c>
      <c r="O2098" s="10">
        <v>6609.33</v>
      </c>
      <c r="P2098">
        <f t="shared" si="129"/>
        <v>1</v>
      </c>
      <c r="Q2098" s="36">
        <f t="shared" si="130"/>
        <v>6609.33</v>
      </c>
      <c r="R2098">
        <f t="shared" si="131"/>
        <v>2022</v>
      </c>
    </row>
    <row r="2099" spans="1:18" x14ac:dyDescent="0.2">
      <c r="A2099" s="23">
        <v>45218</v>
      </c>
      <c r="B2099" s="23">
        <v>45079</v>
      </c>
      <c r="C2099" s="25" t="s">
        <v>399</v>
      </c>
      <c r="D2099" s="20">
        <v>139</v>
      </c>
      <c r="E2099" s="27">
        <v>6609.33</v>
      </c>
      <c r="F2099" s="22" t="s">
        <v>278</v>
      </c>
      <c r="G2099" s="29">
        <v>189</v>
      </c>
      <c r="H2099" s="39">
        <v>44810</v>
      </c>
      <c r="I2099" s="46">
        <f t="shared" si="128"/>
        <v>408</v>
      </c>
      <c r="J2099" s="4" t="s">
        <v>15</v>
      </c>
      <c r="K2099" s="4" t="s">
        <v>206</v>
      </c>
      <c r="L2099" s="4" t="s">
        <v>230</v>
      </c>
      <c r="M2099" s="7">
        <v>189</v>
      </c>
      <c r="N2099" s="10">
        <v>34.97</v>
      </c>
      <c r="O2099" s="10">
        <v>6609.33</v>
      </c>
      <c r="P2099">
        <f t="shared" si="129"/>
        <v>1</v>
      </c>
      <c r="Q2099" s="36">
        <f t="shared" si="130"/>
        <v>6609.33</v>
      </c>
      <c r="R2099">
        <f t="shared" si="131"/>
        <v>2022</v>
      </c>
    </row>
    <row r="2100" spans="1:18" x14ac:dyDescent="0.2">
      <c r="A2100" s="23">
        <v>45244</v>
      </c>
      <c r="B2100" s="23">
        <v>45100</v>
      </c>
      <c r="C2100" s="25" t="s">
        <v>399</v>
      </c>
      <c r="D2100" s="20">
        <v>144</v>
      </c>
      <c r="E2100" s="27">
        <v>6609.33</v>
      </c>
      <c r="F2100" s="22" t="s">
        <v>278</v>
      </c>
      <c r="G2100" s="29">
        <v>189</v>
      </c>
      <c r="H2100" s="39">
        <v>44817</v>
      </c>
      <c r="I2100" s="46">
        <f t="shared" si="128"/>
        <v>427</v>
      </c>
      <c r="J2100" s="4" t="s">
        <v>15</v>
      </c>
      <c r="K2100" s="4" t="s">
        <v>206</v>
      </c>
      <c r="L2100" s="4" t="s">
        <v>230</v>
      </c>
      <c r="M2100" s="7">
        <v>189</v>
      </c>
      <c r="N2100" s="10">
        <v>34.97</v>
      </c>
      <c r="O2100" s="10">
        <v>6609.33</v>
      </c>
      <c r="P2100">
        <f t="shared" si="129"/>
        <v>1</v>
      </c>
      <c r="Q2100" s="36">
        <f t="shared" si="130"/>
        <v>6609.33</v>
      </c>
      <c r="R2100">
        <f t="shared" si="131"/>
        <v>2022</v>
      </c>
    </row>
    <row r="2101" spans="1:18" x14ac:dyDescent="0.2">
      <c r="A2101" s="23">
        <v>45244</v>
      </c>
      <c r="B2101" s="23">
        <v>45184</v>
      </c>
      <c r="C2101" s="25" t="s">
        <v>399</v>
      </c>
      <c r="D2101" s="20">
        <v>60</v>
      </c>
      <c r="E2101" s="27">
        <v>6609.33</v>
      </c>
      <c r="F2101" s="22" t="s">
        <v>278</v>
      </c>
      <c r="G2101" s="29">
        <v>189</v>
      </c>
      <c r="H2101" s="39">
        <v>44894</v>
      </c>
      <c r="I2101" s="46">
        <f t="shared" si="128"/>
        <v>350</v>
      </c>
      <c r="J2101" s="4" t="s">
        <v>15</v>
      </c>
      <c r="K2101" s="4" t="s">
        <v>206</v>
      </c>
      <c r="L2101" s="4" t="s">
        <v>230</v>
      </c>
      <c r="M2101" s="7">
        <v>189</v>
      </c>
      <c r="N2101" s="10">
        <v>34.97</v>
      </c>
      <c r="O2101" s="10">
        <v>6609.33</v>
      </c>
      <c r="P2101">
        <f t="shared" si="129"/>
        <v>1</v>
      </c>
      <c r="Q2101" s="36">
        <f t="shared" si="130"/>
        <v>6609.33</v>
      </c>
      <c r="R2101">
        <f t="shared" si="131"/>
        <v>2022</v>
      </c>
    </row>
    <row r="2102" spans="1:18" x14ac:dyDescent="0.2">
      <c r="A2102" s="23">
        <v>45261</v>
      </c>
      <c r="B2102" s="23">
        <v>45212</v>
      </c>
      <c r="C2102" s="25" t="s">
        <v>399</v>
      </c>
      <c r="D2102" s="20">
        <v>49</v>
      </c>
      <c r="E2102" s="27">
        <v>6609.33</v>
      </c>
      <c r="F2102" s="22" t="s">
        <v>278</v>
      </c>
      <c r="G2102" s="29">
        <v>189</v>
      </c>
      <c r="H2102" s="39">
        <v>44894</v>
      </c>
      <c r="I2102" s="46">
        <f t="shared" si="128"/>
        <v>367</v>
      </c>
      <c r="J2102" s="4" t="s">
        <v>15</v>
      </c>
      <c r="K2102" s="4" t="s">
        <v>206</v>
      </c>
      <c r="L2102" s="4" t="s">
        <v>230</v>
      </c>
      <c r="M2102" s="7">
        <v>189</v>
      </c>
      <c r="N2102" s="10">
        <v>34.97</v>
      </c>
      <c r="O2102" s="10">
        <v>6609.33</v>
      </c>
      <c r="P2102">
        <f t="shared" si="129"/>
        <v>1</v>
      </c>
      <c r="Q2102" s="36">
        <f t="shared" si="130"/>
        <v>6609.33</v>
      </c>
      <c r="R2102">
        <f t="shared" si="131"/>
        <v>2022</v>
      </c>
    </row>
    <row r="2103" spans="1:18" x14ac:dyDescent="0.2">
      <c r="A2103" s="23">
        <v>45244</v>
      </c>
      <c r="B2103" s="23">
        <v>45177</v>
      </c>
      <c r="C2103" s="25" t="s">
        <v>399</v>
      </c>
      <c r="D2103" s="20">
        <v>67</v>
      </c>
      <c r="E2103" s="27">
        <v>6609.33</v>
      </c>
      <c r="F2103" s="22" t="s">
        <v>278</v>
      </c>
      <c r="G2103" s="29">
        <v>189</v>
      </c>
      <c r="H2103" s="39">
        <v>44896</v>
      </c>
      <c r="I2103" s="46">
        <f t="shared" si="128"/>
        <v>348</v>
      </c>
      <c r="J2103" s="4" t="s">
        <v>15</v>
      </c>
      <c r="K2103" s="4" t="s">
        <v>206</v>
      </c>
      <c r="L2103" s="4" t="s">
        <v>230</v>
      </c>
      <c r="M2103" s="7">
        <v>189</v>
      </c>
      <c r="N2103" s="10">
        <v>34.97</v>
      </c>
      <c r="O2103" s="10">
        <v>6609.33</v>
      </c>
      <c r="P2103">
        <f t="shared" si="129"/>
        <v>1</v>
      </c>
      <c r="Q2103" s="36">
        <f t="shared" si="130"/>
        <v>6609.33</v>
      </c>
      <c r="R2103">
        <f t="shared" si="131"/>
        <v>2022</v>
      </c>
    </row>
    <row r="2104" spans="1:18" x14ac:dyDescent="0.2">
      <c r="A2104" s="23">
        <v>45317</v>
      </c>
      <c r="B2104" s="23">
        <v>45293</v>
      </c>
      <c r="C2104" s="25" t="s">
        <v>399</v>
      </c>
      <c r="D2104" s="20">
        <v>24</v>
      </c>
      <c r="E2104" s="27">
        <v>57440.04</v>
      </c>
      <c r="F2104" s="22" t="s">
        <v>279</v>
      </c>
      <c r="G2104" s="29">
        <v>84</v>
      </c>
      <c r="H2104" s="39">
        <v>44946</v>
      </c>
      <c r="I2104" s="46">
        <f t="shared" si="128"/>
        <v>371</v>
      </c>
      <c r="J2104" s="4" t="s">
        <v>15</v>
      </c>
      <c r="K2104" s="4" t="s">
        <v>202</v>
      </c>
      <c r="L2104" s="4" t="s">
        <v>226</v>
      </c>
      <c r="M2104" s="7">
        <v>84</v>
      </c>
      <c r="N2104" s="10">
        <v>683.81</v>
      </c>
      <c r="O2104" s="10">
        <v>57440.04</v>
      </c>
      <c r="P2104">
        <f t="shared" si="129"/>
        <v>1</v>
      </c>
      <c r="Q2104" s="36">
        <f t="shared" si="130"/>
        <v>57440.039999999994</v>
      </c>
      <c r="R2104">
        <f t="shared" si="131"/>
        <v>2023</v>
      </c>
    </row>
    <row r="2105" spans="1:18" x14ac:dyDescent="0.2">
      <c r="A2105" s="23">
        <v>45398</v>
      </c>
      <c r="B2105" s="23">
        <v>45295</v>
      </c>
      <c r="C2105" s="25" t="s">
        <v>399</v>
      </c>
      <c r="D2105" s="20">
        <v>103</v>
      </c>
      <c r="E2105" s="27">
        <v>57440.04</v>
      </c>
      <c r="F2105" s="22" t="s">
        <v>279</v>
      </c>
      <c r="G2105" s="29">
        <v>84</v>
      </c>
      <c r="H2105" s="39">
        <v>45028</v>
      </c>
      <c r="I2105" s="46">
        <f t="shared" si="128"/>
        <v>370</v>
      </c>
      <c r="J2105" s="4" t="s">
        <v>15</v>
      </c>
      <c r="K2105" s="4" t="s">
        <v>202</v>
      </c>
      <c r="L2105" s="4" t="s">
        <v>226</v>
      </c>
      <c r="M2105" s="7">
        <v>84</v>
      </c>
      <c r="N2105" s="10">
        <v>683.81</v>
      </c>
      <c r="O2105" s="10">
        <v>57440.04</v>
      </c>
      <c r="P2105">
        <f t="shared" si="129"/>
        <v>1</v>
      </c>
      <c r="Q2105" s="36">
        <f t="shared" si="130"/>
        <v>57440.039999999994</v>
      </c>
      <c r="R2105">
        <f t="shared" si="131"/>
        <v>2023</v>
      </c>
    </row>
    <row r="2106" spans="1:18" x14ac:dyDescent="0.2">
      <c r="A2106" s="23">
        <v>45366</v>
      </c>
      <c r="B2106" s="23">
        <v>45033</v>
      </c>
      <c r="C2106" s="25" t="s">
        <v>399</v>
      </c>
      <c r="D2106" s="20">
        <v>333</v>
      </c>
      <c r="E2106" s="27">
        <v>151307.51999999999</v>
      </c>
      <c r="F2106" s="22" t="s">
        <v>280</v>
      </c>
      <c r="G2106" s="29">
        <v>1092</v>
      </c>
      <c r="H2106" s="39">
        <v>45008</v>
      </c>
      <c r="I2106" s="46">
        <f t="shared" si="128"/>
        <v>358</v>
      </c>
      <c r="J2106" s="4" t="s">
        <v>15</v>
      </c>
      <c r="K2106" s="4" t="s">
        <v>207</v>
      </c>
      <c r="L2106" s="4" t="s">
        <v>224</v>
      </c>
      <c r="M2106" s="7">
        <v>1092</v>
      </c>
      <c r="N2106" s="10">
        <v>138.56</v>
      </c>
      <c r="O2106" s="10">
        <v>151307.51999999999</v>
      </c>
      <c r="P2106">
        <f t="shared" si="129"/>
        <v>1</v>
      </c>
      <c r="Q2106" s="36">
        <f t="shared" si="130"/>
        <v>151307.51999999999</v>
      </c>
      <c r="R2106">
        <f t="shared" si="131"/>
        <v>2023</v>
      </c>
    </row>
    <row r="2107" spans="1:18" x14ac:dyDescent="0.2">
      <c r="A2107" s="23">
        <v>45199</v>
      </c>
      <c r="B2107" s="23">
        <v>44872</v>
      </c>
      <c r="C2107" s="25" t="s">
        <v>399</v>
      </c>
      <c r="D2107" s="20">
        <v>327</v>
      </c>
      <c r="E2107" s="27">
        <v>3205.68</v>
      </c>
      <c r="F2107" s="22" t="s">
        <v>281</v>
      </c>
      <c r="G2107" s="29">
        <v>222</v>
      </c>
      <c r="H2107" s="39">
        <v>44579</v>
      </c>
      <c r="I2107" s="46">
        <f t="shared" si="128"/>
        <v>620</v>
      </c>
      <c r="J2107" s="4" t="s">
        <v>15</v>
      </c>
      <c r="K2107" s="4" t="s">
        <v>202</v>
      </c>
      <c r="L2107" s="4" t="s">
        <v>226</v>
      </c>
      <c r="M2107" s="7">
        <v>222</v>
      </c>
      <c r="N2107" s="10">
        <v>14.44</v>
      </c>
      <c r="O2107" s="10">
        <v>3205.68</v>
      </c>
      <c r="P2107">
        <f t="shared" si="129"/>
        <v>1</v>
      </c>
      <c r="Q2107" s="36">
        <f t="shared" si="130"/>
        <v>3205.68</v>
      </c>
      <c r="R2107">
        <f t="shared" si="131"/>
        <v>2022</v>
      </c>
    </row>
    <row r="2108" spans="1:18" x14ac:dyDescent="0.2">
      <c r="A2108" s="23">
        <v>45199</v>
      </c>
      <c r="B2108" s="23">
        <v>44844</v>
      </c>
      <c r="C2108" s="25" t="s">
        <v>399</v>
      </c>
      <c r="D2108" s="20">
        <v>355</v>
      </c>
      <c r="E2108" s="27">
        <v>1631.72</v>
      </c>
      <c r="F2108" s="22" t="s">
        <v>281</v>
      </c>
      <c r="G2108" s="29">
        <v>113</v>
      </c>
      <c r="H2108" s="39">
        <v>44585</v>
      </c>
      <c r="I2108" s="46">
        <f t="shared" si="128"/>
        <v>614</v>
      </c>
      <c r="J2108" s="4" t="s">
        <v>15</v>
      </c>
      <c r="K2108" s="4" t="s">
        <v>202</v>
      </c>
      <c r="L2108" s="4" t="s">
        <v>226</v>
      </c>
      <c r="M2108" s="7">
        <v>222</v>
      </c>
      <c r="N2108" s="10">
        <v>14.44</v>
      </c>
      <c r="O2108" s="10">
        <v>3205.68</v>
      </c>
      <c r="P2108">
        <f t="shared" si="129"/>
        <v>0</v>
      </c>
      <c r="Q2108" s="36">
        <f t="shared" si="130"/>
        <v>1631.72</v>
      </c>
      <c r="R2108">
        <f t="shared" si="131"/>
        <v>2022</v>
      </c>
    </row>
    <row r="2109" spans="1:18" x14ac:dyDescent="0.2">
      <c r="A2109" s="23">
        <v>45199</v>
      </c>
      <c r="B2109" s="23">
        <v>44844</v>
      </c>
      <c r="C2109" s="25" t="s">
        <v>399</v>
      </c>
      <c r="D2109" s="20">
        <v>355</v>
      </c>
      <c r="E2109" s="27">
        <v>101.08</v>
      </c>
      <c r="F2109" s="22" t="s">
        <v>281</v>
      </c>
      <c r="G2109" s="29">
        <v>7</v>
      </c>
      <c r="H2109" s="39">
        <v>44607</v>
      </c>
      <c r="I2109" s="46">
        <f t="shared" si="128"/>
        <v>592</v>
      </c>
      <c r="J2109" s="4" t="s">
        <v>15</v>
      </c>
      <c r="K2109" s="4" t="s">
        <v>202</v>
      </c>
      <c r="L2109" s="4" t="s">
        <v>226</v>
      </c>
      <c r="M2109" s="7">
        <v>7</v>
      </c>
      <c r="N2109" s="10">
        <v>14.44</v>
      </c>
      <c r="O2109" s="10">
        <v>101.08</v>
      </c>
      <c r="P2109">
        <f t="shared" si="129"/>
        <v>1</v>
      </c>
      <c r="Q2109" s="36">
        <f t="shared" si="130"/>
        <v>101.08</v>
      </c>
      <c r="R2109">
        <f t="shared" si="131"/>
        <v>2022</v>
      </c>
    </row>
    <row r="2110" spans="1:18" x14ac:dyDescent="0.2">
      <c r="A2110" s="23">
        <v>45199</v>
      </c>
      <c r="B2110" s="23">
        <v>44844</v>
      </c>
      <c r="C2110" s="25" t="s">
        <v>399</v>
      </c>
      <c r="D2110" s="20">
        <v>355</v>
      </c>
      <c r="E2110" s="27">
        <v>3104.6</v>
      </c>
      <c r="F2110" s="22" t="s">
        <v>281</v>
      </c>
      <c r="G2110" s="29">
        <v>215</v>
      </c>
      <c r="H2110" s="39">
        <v>44733</v>
      </c>
      <c r="I2110" s="46">
        <f t="shared" si="128"/>
        <v>466</v>
      </c>
      <c r="J2110" s="4" t="s">
        <v>15</v>
      </c>
      <c r="K2110" s="4" t="s">
        <v>202</v>
      </c>
      <c r="L2110" s="4" t="s">
        <v>226</v>
      </c>
      <c r="M2110" s="7">
        <v>215</v>
      </c>
      <c r="N2110" s="10">
        <v>14.44</v>
      </c>
      <c r="O2110" s="10">
        <v>3104.6</v>
      </c>
      <c r="P2110">
        <f t="shared" si="129"/>
        <v>1</v>
      </c>
      <c r="Q2110" s="36">
        <f t="shared" si="130"/>
        <v>3104.6</v>
      </c>
      <c r="R2110">
        <f t="shared" si="131"/>
        <v>2022</v>
      </c>
    </row>
    <row r="2111" spans="1:18" x14ac:dyDescent="0.2">
      <c r="A2111" s="23">
        <v>45199</v>
      </c>
      <c r="B2111" s="23">
        <v>45027</v>
      </c>
      <c r="C2111" s="25" t="s">
        <v>399</v>
      </c>
      <c r="D2111" s="20">
        <v>172</v>
      </c>
      <c r="E2111" s="27">
        <v>4880.72</v>
      </c>
      <c r="F2111" s="22" t="s">
        <v>281</v>
      </c>
      <c r="G2111" s="29">
        <v>338</v>
      </c>
      <c r="H2111" s="39">
        <v>44750</v>
      </c>
      <c r="I2111" s="46">
        <f t="shared" si="128"/>
        <v>449</v>
      </c>
      <c r="J2111" s="4" t="s">
        <v>15</v>
      </c>
      <c r="K2111" s="4" t="s">
        <v>202</v>
      </c>
      <c r="L2111" s="4" t="s">
        <v>226</v>
      </c>
      <c r="M2111" s="7">
        <v>338</v>
      </c>
      <c r="N2111" s="10">
        <v>14.44</v>
      </c>
      <c r="O2111" s="10">
        <v>4880.72</v>
      </c>
      <c r="P2111">
        <f t="shared" si="129"/>
        <v>1</v>
      </c>
      <c r="Q2111" s="36">
        <f t="shared" si="130"/>
        <v>4880.72</v>
      </c>
      <c r="R2111">
        <f t="shared" si="131"/>
        <v>2022</v>
      </c>
    </row>
    <row r="2112" spans="1:18" x14ac:dyDescent="0.2">
      <c r="A2112" s="23">
        <v>45227</v>
      </c>
      <c r="B2112" s="23">
        <v>45227</v>
      </c>
      <c r="C2112" s="25" t="s">
        <v>398</v>
      </c>
      <c r="D2112" s="20">
        <v>0</v>
      </c>
      <c r="E2112" s="27">
        <v>62227.199999999997</v>
      </c>
      <c r="F2112" s="22" t="s">
        <v>252</v>
      </c>
      <c r="G2112" s="29">
        <v>1120</v>
      </c>
      <c r="H2112" s="39">
        <v>44655</v>
      </c>
      <c r="I2112" s="46">
        <f t="shared" si="128"/>
        <v>572</v>
      </c>
      <c r="J2112" s="4" t="s">
        <v>15</v>
      </c>
      <c r="K2112" s="4" t="s">
        <v>202</v>
      </c>
      <c r="L2112" s="4" t="s">
        <v>226</v>
      </c>
      <c r="M2112" s="7">
        <v>1120</v>
      </c>
      <c r="N2112" s="10">
        <v>55.56</v>
      </c>
      <c r="O2112" s="10">
        <v>62227.199999999997</v>
      </c>
      <c r="P2112">
        <f t="shared" si="129"/>
        <v>1</v>
      </c>
      <c r="Q2112" s="36">
        <f t="shared" si="130"/>
        <v>62227.200000000004</v>
      </c>
      <c r="R2112">
        <f t="shared" si="131"/>
        <v>2022</v>
      </c>
    </row>
    <row r="2113" spans="1:18" x14ac:dyDescent="0.2">
      <c r="A2113" s="23">
        <v>45225</v>
      </c>
      <c r="B2113" s="23">
        <v>45218</v>
      </c>
      <c r="C2113" s="25" t="s">
        <v>399</v>
      </c>
      <c r="D2113" s="20">
        <v>7</v>
      </c>
      <c r="E2113" s="27">
        <v>62227.199999999997</v>
      </c>
      <c r="F2113" s="22" t="s">
        <v>252</v>
      </c>
      <c r="G2113" s="29">
        <v>1120</v>
      </c>
      <c r="H2113" s="39">
        <v>44715</v>
      </c>
      <c r="I2113" s="46">
        <f t="shared" si="128"/>
        <v>510</v>
      </c>
      <c r="J2113" s="4" t="s">
        <v>15</v>
      </c>
      <c r="K2113" s="4" t="s">
        <v>202</v>
      </c>
      <c r="L2113" s="4" t="s">
        <v>226</v>
      </c>
      <c r="M2113" s="7">
        <v>1120</v>
      </c>
      <c r="N2113" s="10">
        <v>55.56</v>
      </c>
      <c r="O2113" s="10">
        <v>62227.199999999997</v>
      </c>
      <c r="P2113">
        <f t="shared" si="129"/>
        <v>1</v>
      </c>
      <c r="Q2113" s="36">
        <f t="shared" si="130"/>
        <v>62227.200000000004</v>
      </c>
      <c r="R2113">
        <f t="shared" si="131"/>
        <v>2022</v>
      </c>
    </row>
    <row r="2114" spans="1:18" x14ac:dyDescent="0.2">
      <c r="A2114" s="23">
        <v>45386</v>
      </c>
      <c r="B2114" s="23">
        <v>45386</v>
      </c>
      <c r="C2114" s="25" t="s">
        <v>398</v>
      </c>
      <c r="D2114" s="20">
        <v>0</v>
      </c>
      <c r="E2114" s="27">
        <v>62227.199999999997</v>
      </c>
      <c r="F2114" s="22" t="s">
        <v>252</v>
      </c>
      <c r="G2114" s="29">
        <v>1120</v>
      </c>
      <c r="H2114" s="39">
        <v>44824</v>
      </c>
      <c r="I2114" s="46">
        <f t="shared" si="128"/>
        <v>562</v>
      </c>
      <c r="J2114" s="4" t="s">
        <v>15</v>
      </c>
      <c r="K2114" s="4" t="s">
        <v>202</v>
      </c>
      <c r="L2114" s="4" t="s">
        <v>226</v>
      </c>
      <c r="M2114" s="7">
        <v>1120</v>
      </c>
      <c r="N2114" s="10">
        <v>55.56</v>
      </c>
      <c r="O2114" s="10">
        <v>62227.199999999997</v>
      </c>
      <c r="P2114">
        <f t="shared" si="129"/>
        <v>1</v>
      </c>
      <c r="Q2114" s="36">
        <f t="shared" si="130"/>
        <v>62227.200000000004</v>
      </c>
      <c r="R2114">
        <f t="shared" si="131"/>
        <v>2022</v>
      </c>
    </row>
    <row r="2115" spans="1:18" x14ac:dyDescent="0.2">
      <c r="A2115" s="23">
        <v>45402</v>
      </c>
      <c r="B2115" s="23">
        <v>45402</v>
      </c>
      <c r="C2115" s="25" t="s">
        <v>398</v>
      </c>
      <c r="D2115" s="20">
        <v>0</v>
      </c>
      <c r="E2115" s="27">
        <v>62227.199999999997</v>
      </c>
      <c r="F2115" s="22" t="s">
        <v>252</v>
      </c>
      <c r="G2115" s="29">
        <v>1120</v>
      </c>
      <c r="H2115" s="39">
        <v>44824</v>
      </c>
      <c r="I2115" s="46">
        <f t="shared" ref="I2115:I2178" si="132">IFERROR(A2115-H2115,"")*1</f>
        <v>578</v>
      </c>
      <c r="J2115" s="4" t="s">
        <v>15</v>
      </c>
      <c r="K2115" s="4" t="s">
        <v>202</v>
      </c>
      <c r="L2115" s="4" t="s">
        <v>226</v>
      </c>
      <c r="M2115" s="7">
        <v>1120</v>
      </c>
      <c r="N2115" s="10">
        <v>55.56</v>
      </c>
      <c r="O2115" s="10">
        <v>62227.199999999997</v>
      </c>
      <c r="P2115">
        <f t="shared" ref="P2115:P2178" si="133">IF(M2115=G2115,1,0)</f>
        <v>1</v>
      </c>
      <c r="Q2115" s="36">
        <f t="shared" ref="Q2115:Q2178" si="134">N2115*G2115</f>
        <v>62227.200000000004</v>
      </c>
      <c r="R2115">
        <f t="shared" ref="R2115:R2178" si="135">YEAR(H2115)</f>
        <v>2022</v>
      </c>
    </row>
    <row r="2116" spans="1:18" x14ac:dyDescent="0.2">
      <c r="A2116" s="23">
        <v>45435</v>
      </c>
      <c r="B2116" s="23">
        <v>45435</v>
      </c>
      <c r="C2116" s="25" t="s">
        <v>398</v>
      </c>
      <c r="D2116" s="20">
        <v>0</v>
      </c>
      <c r="E2116" s="27">
        <v>62227.199999999997</v>
      </c>
      <c r="F2116" s="22" t="s">
        <v>252</v>
      </c>
      <c r="G2116" s="29">
        <v>1120</v>
      </c>
      <c r="H2116" s="39">
        <v>44827</v>
      </c>
      <c r="I2116" s="46">
        <f t="shared" si="132"/>
        <v>608</v>
      </c>
      <c r="J2116" s="4" t="s">
        <v>15</v>
      </c>
      <c r="K2116" s="4" t="s">
        <v>202</v>
      </c>
      <c r="L2116" s="4" t="s">
        <v>226</v>
      </c>
      <c r="M2116" s="7">
        <v>1120</v>
      </c>
      <c r="N2116" s="10">
        <v>55.56</v>
      </c>
      <c r="O2116" s="10">
        <v>62227.199999999997</v>
      </c>
      <c r="P2116">
        <f t="shared" si="133"/>
        <v>1</v>
      </c>
      <c r="Q2116" s="36">
        <f t="shared" si="134"/>
        <v>62227.200000000004</v>
      </c>
      <c r="R2116">
        <f t="shared" si="135"/>
        <v>2022</v>
      </c>
    </row>
    <row r="2117" spans="1:18" x14ac:dyDescent="0.2">
      <c r="A2117" s="23">
        <v>45217</v>
      </c>
      <c r="B2117" s="23">
        <v>44979</v>
      </c>
      <c r="C2117" s="25" t="s">
        <v>399</v>
      </c>
      <c r="D2117" s="20">
        <v>238</v>
      </c>
      <c r="E2117" s="27">
        <v>58699.199999999997</v>
      </c>
      <c r="F2117" s="22" t="s">
        <v>252</v>
      </c>
      <c r="G2117" s="29">
        <v>1120</v>
      </c>
      <c r="H2117" s="39">
        <v>44783</v>
      </c>
      <c r="I2117" s="46">
        <f t="shared" si="132"/>
        <v>434</v>
      </c>
      <c r="J2117" s="4" t="s">
        <v>15</v>
      </c>
      <c r="K2117" s="4" t="s">
        <v>203</v>
      </c>
      <c r="L2117" s="4" t="s">
        <v>227</v>
      </c>
      <c r="M2117" s="7">
        <v>1120</v>
      </c>
      <c r="N2117" s="10">
        <v>52.41</v>
      </c>
      <c r="O2117" s="10">
        <v>58699.199999999997</v>
      </c>
      <c r="P2117">
        <f t="shared" si="133"/>
        <v>1</v>
      </c>
      <c r="Q2117" s="36">
        <f t="shared" si="134"/>
        <v>58699.199999999997</v>
      </c>
      <c r="R2117">
        <f t="shared" si="135"/>
        <v>2022</v>
      </c>
    </row>
    <row r="2118" spans="1:18" x14ac:dyDescent="0.2">
      <c r="A2118" s="23">
        <v>45217</v>
      </c>
      <c r="B2118" s="23">
        <v>44853</v>
      </c>
      <c r="C2118" s="25" t="s">
        <v>399</v>
      </c>
      <c r="D2118" s="20">
        <v>364</v>
      </c>
      <c r="E2118" s="27">
        <v>62227.199999999997</v>
      </c>
      <c r="F2118" s="22" t="s">
        <v>252</v>
      </c>
      <c r="G2118" s="29">
        <v>1120</v>
      </c>
      <c r="H2118" s="39">
        <v>44783</v>
      </c>
      <c r="I2118" s="46">
        <f t="shared" si="132"/>
        <v>434</v>
      </c>
      <c r="J2118" s="4" t="s">
        <v>15</v>
      </c>
      <c r="K2118" s="4" t="s">
        <v>203</v>
      </c>
      <c r="L2118" s="4" t="s">
        <v>227</v>
      </c>
      <c r="M2118" s="7">
        <v>1120</v>
      </c>
      <c r="N2118" s="10">
        <v>55.56</v>
      </c>
      <c r="O2118" s="10">
        <v>62227.199999999997</v>
      </c>
      <c r="P2118">
        <f t="shared" si="133"/>
        <v>1</v>
      </c>
      <c r="Q2118" s="36">
        <f t="shared" si="134"/>
        <v>62227.200000000004</v>
      </c>
      <c r="R2118">
        <f t="shared" si="135"/>
        <v>2022</v>
      </c>
    </row>
    <row r="2119" spans="1:18" x14ac:dyDescent="0.2">
      <c r="A2119" s="23">
        <v>45525</v>
      </c>
      <c r="B2119" s="23">
        <v>45512</v>
      </c>
      <c r="C2119" s="25" t="s">
        <v>399</v>
      </c>
      <c r="D2119" s="20">
        <v>13</v>
      </c>
      <c r="E2119" s="27">
        <v>62227.199999999997</v>
      </c>
      <c r="F2119" s="22" t="s">
        <v>252</v>
      </c>
      <c r="G2119" s="29">
        <v>1120</v>
      </c>
      <c r="H2119" s="39">
        <v>45044</v>
      </c>
      <c r="I2119" s="46">
        <f t="shared" si="132"/>
        <v>481</v>
      </c>
      <c r="J2119" s="4" t="s">
        <v>15</v>
      </c>
      <c r="K2119" s="4" t="s">
        <v>203</v>
      </c>
      <c r="L2119" s="4" t="s">
        <v>227</v>
      </c>
      <c r="M2119" s="7">
        <v>1120</v>
      </c>
      <c r="N2119" s="10">
        <v>55.56</v>
      </c>
      <c r="O2119" s="10">
        <v>62227.199999999997</v>
      </c>
      <c r="P2119">
        <f t="shared" si="133"/>
        <v>1</v>
      </c>
      <c r="Q2119" s="36">
        <f t="shared" si="134"/>
        <v>62227.200000000004</v>
      </c>
      <c r="R2119">
        <f t="shared" si="135"/>
        <v>2023</v>
      </c>
    </row>
    <row r="2120" spans="1:18" x14ac:dyDescent="0.2">
      <c r="A2120" s="23">
        <v>45595</v>
      </c>
      <c r="B2120" s="23">
        <v>45575</v>
      </c>
      <c r="C2120" s="25" t="s">
        <v>399</v>
      </c>
      <c r="D2120" s="20">
        <v>20</v>
      </c>
      <c r="E2120" s="27">
        <v>62227.199999999997</v>
      </c>
      <c r="F2120" s="22" t="s">
        <v>252</v>
      </c>
      <c r="G2120" s="29">
        <v>1120</v>
      </c>
      <c r="H2120" s="39">
        <v>45044</v>
      </c>
      <c r="I2120" s="46">
        <f t="shared" si="132"/>
        <v>551</v>
      </c>
      <c r="J2120" s="4" t="s">
        <v>15</v>
      </c>
      <c r="K2120" s="4" t="s">
        <v>203</v>
      </c>
      <c r="L2120" s="4" t="s">
        <v>227</v>
      </c>
      <c r="M2120" s="7">
        <v>1120</v>
      </c>
      <c r="N2120" s="10">
        <v>55.56</v>
      </c>
      <c r="O2120" s="10">
        <v>62227.199999999997</v>
      </c>
      <c r="P2120">
        <f t="shared" si="133"/>
        <v>1</v>
      </c>
      <c r="Q2120" s="36">
        <f t="shared" si="134"/>
        <v>62227.200000000004</v>
      </c>
      <c r="R2120">
        <f t="shared" si="135"/>
        <v>2023</v>
      </c>
    </row>
    <row r="2121" spans="1:18" x14ac:dyDescent="0.2">
      <c r="A2121" s="23">
        <v>45458</v>
      </c>
      <c r="B2121" s="23">
        <v>45458</v>
      </c>
      <c r="C2121" s="25" t="s">
        <v>398</v>
      </c>
      <c r="D2121" s="20">
        <v>0</v>
      </c>
      <c r="E2121" s="27">
        <v>29679.3</v>
      </c>
      <c r="F2121" s="22" t="s">
        <v>282</v>
      </c>
      <c r="G2121" s="29">
        <v>630</v>
      </c>
      <c r="H2121" s="39">
        <v>45035</v>
      </c>
      <c r="I2121" s="46">
        <f t="shared" si="132"/>
        <v>423</v>
      </c>
      <c r="J2121" s="4" t="s">
        <v>15</v>
      </c>
      <c r="K2121" s="4" t="s">
        <v>202</v>
      </c>
      <c r="L2121" s="4" t="s">
        <v>226</v>
      </c>
      <c r="M2121" s="7">
        <v>630</v>
      </c>
      <c r="N2121" s="10">
        <v>47.11</v>
      </c>
      <c r="O2121" s="10">
        <v>29679.3</v>
      </c>
      <c r="P2121">
        <f t="shared" si="133"/>
        <v>1</v>
      </c>
      <c r="Q2121" s="36">
        <f t="shared" si="134"/>
        <v>29679.3</v>
      </c>
      <c r="R2121">
        <f t="shared" si="135"/>
        <v>2023</v>
      </c>
    </row>
    <row r="2122" spans="1:18" x14ac:dyDescent="0.2">
      <c r="A2122" s="23">
        <v>45300</v>
      </c>
      <c r="B2122" s="23">
        <v>45293</v>
      </c>
      <c r="C2122" s="25" t="s">
        <v>399</v>
      </c>
      <c r="D2122" s="20">
        <v>7</v>
      </c>
      <c r="E2122" s="27">
        <v>135869.16</v>
      </c>
      <c r="F2122" s="22" t="s">
        <v>257</v>
      </c>
      <c r="G2122" s="29">
        <v>588</v>
      </c>
      <c r="H2122" s="39">
        <v>44901</v>
      </c>
      <c r="I2122" s="46">
        <f t="shared" si="132"/>
        <v>399</v>
      </c>
      <c r="J2122" s="4" t="s">
        <v>15</v>
      </c>
      <c r="K2122" s="4" t="s">
        <v>202</v>
      </c>
      <c r="L2122" s="4" t="s">
        <v>226</v>
      </c>
      <c r="M2122" s="7">
        <v>588</v>
      </c>
      <c r="N2122" s="10">
        <v>231.07</v>
      </c>
      <c r="O2122" s="10">
        <v>135869.16</v>
      </c>
      <c r="P2122">
        <f t="shared" si="133"/>
        <v>1</v>
      </c>
      <c r="Q2122" s="36">
        <f t="shared" si="134"/>
        <v>135869.16</v>
      </c>
      <c r="R2122">
        <f t="shared" si="135"/>
        <v>2022</v>
      </c>
    </row>
    <row r="2123" spans="1:18" x14ac:dyDescent="0.2">
      <c r="A2123" s="23">
        <v>45300</v>
      </c>
      <c r="B2123" s="23">
        <v>45293</v>
      </c>
      <c r="C2123" s="25" t="s">
        <v>399</v>
      </c>
      <c r="D2123" s="20">
        <v>7</v>
      </c>
      <c r="E2123" s="27">
        <v>135869.16</v>
      </c>
      <c r="F2123" s="22" t="s">
        <v>257</v>
      </c>
      <c r="G2123" s="29">
        <v>588</v>
      </c>
      <c r="H2123" s="39">
        <v>44904</v>
      </c>
      <c r="I2123" s="46">
        <f t="shared" si="132"/>
        <v>396</v>
      </c>
      <c r="J2123" s="4" t="s">
        <v>15</v>
      </c>
      <c r="K2123" s="4" t="s">
        <v>202</v>
      </c>
      <c r="L2123" s="4" t="s">
        <v>226</v>
      </c>
      <c r="M2123" s="7">
        <v>588</v>
      </c>
      <c r="N2123" s="10">
        <v>231.07</v>
      </c>
      <c r="O2123" s="10">
        <v>135869.16</v>
      </c>
      <c r="P2123">
        <f t="shared" si="133"/>
        <v>1</v>
      </c>
      <c r="Q2123" s="36">
        <f t="shared" si="134"/>
        <v>135869.16</v>
      </c>
      <c r="R2123">
        <f t="shared" si="135"/>
        <v>2022</v>
      </c>
    </row>
    <row r="2124" spans="1:18" x14ac:dyDescent="0.2">
      <c r="A2124" s="23">
        <v>45317</v>
      </c>
      <c r="B2124" s="23">
        <v>45293</v>
      </c>
      <c r="C2124" s="25" t="s">
        <v>399</v>
      </c>
      <c r="D2124" s="20">
        <v>24</v>
      </c>
      <c r="E2124" s="27">
        <v>35321.300000000003</v>
      </c>
      <c r="F2124" s="22" t="s">
        <v>283</v>
      </c>
      <c r="G2124" s="29">
        <v>70</v>
      </c>
      <c r="H2124" s="39">
        <v>44946</v>
      </c>
      <c r="I2124" s="46">
        <f t="shared" si="132"/>
        <v>371</v>
      </c>
      <c r="J2124" s="4" t="s">
        <v>15</v>
      </c>
      <c r="K2124" s="4" t="s">
        <v>202</v>
      </c>
      <c r="L2124" s="4" t="s">
        <v>226</v>
      </c>
      <c r="M2124" s="7">
        <v>70</v>
      </c>
      <c r="N2124" s="10">
        <v>504.59</v>
      </c>
      <c r="O2124" s="10">
        <v>35321.300000000003</v>
      </c>
      <c r="P2124">
        <f t="shared" si="133"/>
        <v>1</v>
      </c>
      <c r="Q2124" s="36">
        <f t="shared" si="134"/>
        <v>35321.299999999996</v>
      </c>
      <c r="R2124">
        <f t="shared" si="135"/>
        <v>2023</v>
      </c>
    </row>
    <row r="2125" spans="1:18" x14ac:dyDescent="0.2">
      <c r="A2125" s="23">
        <v>45317</v>
      </c>
      <c r="B2125" s="23">
        <v>45293</v>
      </c>
      <c r="C2125" s="25" t="s">
        <v>399</v>
      </c>
      <c r="D2125" s="20">
        <v>24</v>
      </c>
      <c r="E2125" s="27">
        <v>35321.300000000003</v>
      </c>
      <c r="F2125" s="22" t="s">
        <v>283</v>
      </c>
      <c r="G2125" s="29">
        <v>70</v>
      </c>
      <c r="H2125" s="39">
        <v>44946</v>
      </c>
      <c r="I2125" s="46">
        <f t="shared" si="132"/>
        <v>371</v>
      </c>
      <c r="J2125" s="4" t="s">
        <v>15</v>
      </c>
      <c r="K2125" s="4" t="s">
        <v>202</v>
      </c>
      <c r="L2125" s="4" t="s">
        <v>226</v>
      </c>
      <c r="M2125" s="7">
        <v>70</v>
      </c>
      <c r="N2125" s="10">
        <v>504.59</v>
      </c>
      <c r="O2125" s="10">
        <v>35321.300000000003</v>
      </c>
      <c r="P2125">
        <f t="shared" si="133"/>
        <v>1</v>
      </c>
      <c r="Q2125" s="36">
        <f t="shared" si="134"/>
        <v>35321.299999999996</v>
      </c>
      <c r="R2125">
        <f t="shared" si="135"/>
        <v>2023</v>
      </c>
    </row>
    <row r="2126" spans="1:18" x14ac:dyDescent="0.2">
      <c r="A2126" s="23">
        <v>45332</v>
      </c>
      <c r="B2126" s="23">
        <v>45138</v>
      </c>
      <c r="C2126" s="25" t="s">
        <v>399</v>
      </c>
      <c r="D2126" s="20">
        <v>194</v>
      </c>
      <c r="E2126" s="27">
        <v>328408.28999999998</v>
      </c>
      <c r="F2126" s="22" t="s">
        <v>259</v>
      </c>
      <c r="G2126" s="29">
        <v>441</v>
      </c>
      <c r="H2126" s="39">
        <v>44708</v>
      </c>
      <c r="I2126" s="46">
        <f t="shared" si="132"/>
        <v>624</v>
      </c>
      <c r="J2126" s="4" t="s">
        <v>15</v>
      </c>
      <c r="K2126" s="4" t="s">
        <v>204</v>
      </c>
      <c r="L2126" s="4" t="s">
        <v>228</v>
      </c>
      <c r="M2126" s="7">
        <v>882</v>
      </c>
      <c r="N2126" s="10">
        <v>744.69</v>
      </c>
      <c r="O2126" s="10">
        <v>656816.57999999996</v>
      </c>
      <c r="P2126">
        <f t="shared" si="133"/>
        <v>0</v>
      </c>
      <c r="Q2126" s="36">
        <f t="shared" si="134"/>
        <v>328408.29000000004</v>
      </c>
      <c r="R2126">
        <f t="shared" si="135"/>
        <v>2022</v>
      </c>
    </row>
    <row r="2127" spans="1:18" x14ac:dyDescent="0.2">
      <c r="A2127" s="23">
        <v>45332</v>
      </c>
      <c r="B2127" s="23">
        <v>45145</v>
      </c>
      <c r="C2127" s="25" t="s">
        <v>399</v>
      </c>
      <c r="D2127" s="20">
        <v>187</v>
      </c>
      <c r="E2127" s="27">
        <v>437877.72</v>
      </c>
      <c r="F2127" s="22" t="s">
        <v>259</v>
      </c>
      <c r="G2127" s="29">
        <v>588</v>
      </c>
      <c r="H2127" s="39">
        <v>44708</v>
      </c>
      <c r="I2127" s="46">
        <f t="shared" si="132"/>
        <v>624</v>
      </c>
      <c r="J2127" s="4" t="s">
        <v>15</v>
      </c>
      <c r="K2127" s="4" t="s">
        <v>204</v>
      </c>
      <c r="L2127" s="4" t="s">
        <v>228</v>
      </c>
      <c r="M2127" s="7">
        <v>882</v>
      </c>
      <c r="N2127" s="10">
        <v>744.69</v>
      </c>
      <c r="O2127" s="10">
        <v>656816.57999999996</v>
      </c>
      <c r="P2127">
        <f t="shared" si="133"/>
        <v>0</v>
      </c>
      <c r="Q2127" s="36">
        <f t="shared" si="134"/>
        <v>437877.72000000003</v>
      </c>
      <c r="R2127">
        <f t="shared" si="135"/>
        <v>2022</v>
      </c>
    </row>
    <row r="2128" spans="1:18" x14ac:dyDescent="0.2">
      <c r="A2128" s="23">
        <v>45387</v>
      </c>
      <c r="B2128" s="23">
        <v>45145</v>
      </c>
      <c r="C2128" s="25" t="s">
        <v>399</v>
      </c>
      <c r="D2128" s="20">
        <v>242</v>
      </c>
      <c r="E2128" s="27">
        <v>218938.86</v>
      </c>
      <c r="F2128" s="22" t="s">
        <v>259</v>
      </c>
      <c r="G2128" s="29">
        <v>294</v>
      </c>
      <c r="H2128" s="39">
        <v>44708</v>
      </c>
      <c r="I2128" s="46">
        <f t="shared" si="132"/>
        <v>679</v>
      </c>
      <c r="J2128" s="4" t="s">
        <v>15</v>
      </c>
      <c r="K2128" s="4" t="s">
        <v>204</v>
      </c>
      <c r="L2128" s="4" t="s">
        <v>228</v>
      </c>
      <c r="M2128" s="7">
        <v>882</v>
      </c>
      <c r="N2128" s="10">
        <v>744.69</v>
      </c>
      <c r="O2128" s="10">
        <v>656816.57999999996</v>
      </c>
      <c r="P2128">
        <f t="shared" si="133"/>
        <v>0</v>
      </c>
      <c r="Q2128" s="36">
        <f t="shared" si="134"/>
        <v>218938.86000000002</v>
      </c>
      <c r="R2128">
        <f t="shared" si="135"/>
        <v>2022</v>
      </c>
    </row>
    <row r="2129" spans="1:18" x14ac:dyDescent="0.2">
      <c r="A2129" s="23">
        <v>45330</v>
      </c>
      <c r="B2129" s="23">
        <v>45065</v>
      </c>
      <c r="C2129" s="25" t="s">
        <v>399</v>
      </c>
      <c r="D2129" s="20">
        <v>265</v>
      </c>
      <c r="E2129" s="27">
        <v>24747.599999999999</v>
      </c>
      <c r="F2129" s="22" t="s">
        <v>284</v>
      </c>
      <c r="G2129" s="29">
        <v>120</v>
      </c>
      <c r="H2129" s="39">
        <v>44715</v>
      </c>
      <c r="I2129" s="46">
        <f t="shared" si="132"/>
        <v>615</v>
      </c>
      <c r="J2129" s="4" t="s">
        <v>15</v>
      </c>
      <c r="K2129" s="4" t="s">
        <v>202</v>
      </c>
      <c r="L2129" s="4" t="s">
        <v>226</v>
      </c>
      <c r="M2129" s="7">
        <v>120</v>
      </c>
      <c r="N2129" s="10">
        <v>206.23</v>
      </c>
      <c r="O2129" s="10">
        <v>24747.599999999999</v>
      </c>
      <c r="P2129">
        <f t="shared" si="133"/>
        <v>1</v>
      </c>
      <c r="Q2129" s="36">
        <f t="shared" si="134"/>
        <v>24747.599999999999</v>
      </c>
      <c r="R2129">
        <f t="shared" si="135"/>
        <v>2022</v>
      </c>
    </row>
    <row r="2130" spans="1:18" x14ac:dyDescent="0.2">
      <c r="A2130" s="23">
        <v>45337</v>
      </c>
      <c r="B2130" s="23">
        <v>45125</v>
      </c>
      <c r="C2130" s="25" t="s">
        <v>399</v>
      </c>
      <c r="D2130" s="20">
        <v>212</v>
      </c>
      <c r="E2130" s="27">
        <v>24747.599999999999</v>
      </c>
      <c r="F2130" s="22" t="s">
        <v>284</v>
      </c>
      <c r="G2130" s="29">
        <v>120</v>
      </c>
      <c r="H2130" s="39">
        <v>44715</v>
      </c>
      <c r="I2130" s="46">
        <f t="shared" si="132"/>
        <v>622</v>
      </c>
      <c r="J2130" s="4" t="s">
        <v>15</v>
      </c>
      <c r="K2130" s="4" t="s">
        <v>202</v>
      </c>
      <c r="L2130" s="4" t="s">
        <v>226</v>
      </c>
      <c r="M2130" s="7">
        <v>120</v>
      </c>
      <c r="N2130" s="10">
        <v>206.23</v>
      </c>
      <c r="O2130" s="10">
        <v>24747.599999999999</v>
      </c>
      <c r="P2130">
        <f t="shared" si="133"/>
        <v>1</v>
      </c>
      <c r="Q2130" s="36">
        <f t="shared" si="134"/>
        <v>24747.599999999999</v>
      </c>
      <c r="R2130">
        <f t="shared" si="135"/>
        <v>2022</v>
      </c>
    </row>
    <row r="2131" spans="1:18" x14ac:dyDescent="0.2">
      <c r="A2131" s="23">
        <v>45337</v>
      </c>
      <c r="B2131" s="23">
        <v>45079</v>
      </c>
      <c r="C2131" s="25" t="s">
        <v>399</v>
      </c>
      <c r="D2131" s="20">
        <v>258</v>
      </c>
      <c r="E2131" s="27">
        <v>24747.599999999999</v>
      </c>
      <c r="F2131" s="22" t="s">
        <v>284</v>
      </c>
      <c r="G2131" s="29">
        <v>120</v>
      </c>
      <c r="H2131" s="39">
        <v>44715</v>
      </c>
      <c r="I2131" s="46">
        <f t="shared" si="132"/>
        <v>622</v>
      </c>
      <c r="J2131" s="4" t="s">
        <v>15</v>
      </c>
      <c r="K2131" s="4" t="s">
        <v>202</v>
      </c>
      <c r="L2131" s="4" t="s">
        <v>226</v>
      </c>
      <c r="M2131" s="7">
        <v>120</v>
      </c>
      <c r="N2131" s="10">
        <v>206.23</v>
      </c>
      <c r="O2131" s="10">
        <v>24747.599999999999</v>
      </c>
      <c r="P2131">
        <f t="shared" si="133"/>
        <v>1</v>
      </c>
      <c r="Q2131" s="36">
        <f t="shared" si="134"/>
        <v>24747.599999999999</v>
      </c>
      <c r="R2131">
        <f t="shared" si="135"/>
        <v>2022</v>
      </c>
    </row>
    <row r="2132" spans="1:18" x14ac:dyDescent="0.2">
      <c r="A2132" s="23">
        <v>45332</v>
      </c>
      <c r="B2132" s="23">
        <v>45188</v>
      </c>
      <c r="C2132" s="25" t="s">
        <v>399</v>
      </c>
      <c r="D2132" s="20">
        <v>144</v>
      </c>
      <c r="E2132" s="27">
        <v>24747.599999999999</v>
      </c>
      <c r="F2132" s="22" t="s">
        <v>284</v>
      </c>
      <c r="G2132" s="29">
        <v>120</v>
      </c>
      <c r="H2132" s="39">
        <v>44824</v>
      </c>
      <c r="I2132" s="46">
        <f t="shared" si="132"/>
        <v>508</v>
      </c>
      <c r="J2132" s="4" t="s">
        <v>15</v>
      </c>
      <c r="K2132" s="4" t="s">
        <v>202</v>
      </c>
      <c r="L2132" s="4" t="s">
        <v>226</v>
      </c>
      <c r="M2132" s="7">
        <v>120</v>
      </c>
      <c r="N2132" s="10">
        <v>206.23</v>
      </c>
      <c r="O2132" s="10">
        <v>24747.599999999999</v>
      </c>
      <c r="P2132">
        <f t="shared" si="133"/>
        <v>1</v>
      </c>
      <c r="Q2132" s="36">
        <f t="shared" si="134"/>
        <v>24747.599999999999</v>
      </c>
      <c r="R2132">
        <f t="shared" si="135"/>
        <v>2022</v>
      </c>
    </row>
    <row r="2133" spans="1:18" x14ac:dyDescent="0.2">
      <c r="A2133" s="23">
        <v>45332</v>
      </c>
      <c r="B2133" s="23">
        <v>45224</v>
      </c>
      <c r="C2133" s="25" t="s">
        <v>399</v>
      </c>
      <c r="D2133" s="20">
        <v>108</v>
      </c>
      <c r="E2133" s="27">
        <v>24747.599999999999</v>
      </c>
      <c r="F2133" s="22" t="s">
        <v>284</v>
      </c>
      <c r="G2133" s="29">
        <v>120</v>
      </c>
      <c r="H2133" s="39">
        <v>44824</v>
      </c>
      <c r="I2133" s="46">
        <f t="shared" si="132"/>
        <v>508</v>
      </c>
      <c r="J2133" s="4" t="s">
        <v>15</v>
      </c>
      <c r="K2133" s="4" t="s">
        <v>202</v>
      </c>
      <c r="L2133" s="4" t="s">
        <v>226</v>
      </c>
      <c r="M2133" s="7">
        <v>120</v>
      </c>
      <c r="N2133" s="10">
        <v>206.23</v>
      </c>
      <c r="O2133" s="10">
        <v>24747.599999999999</v>
      </c>
      <c r="P2133">
        <f t="shared" si="133"/>
        <v>1</v>
      </c>
      <c r="Q2133" s="36">
        <f t="shared" si="134"/>
        <v>24747.599999999999</v>
      </c>
      <c r="R2133">
        <f t="shared" si="135"/>
        <v>2022</v>
      </c>
    </row>
    <row r="2134" spans="1:18" x14ac:dyDescent="0.2">
      <c r="A2134" s="23">
        <v>45343</v>
      </c>
      <c r="B2134" s="23">
        <v>45295</v>
      </c>
      <c r="C2134" s="25" t="s">
        <v>399</v>
      </c>
      <c r="D2134" s="20">
        <v>48</v>
      </c>
      <c r="E2134" s="27">
        <v>24747.599999999999</v>
      </c>
      <c r="F2134" s="22" t="s">
        <v>284</v>
      </c>
      <c r="G2134" s="29">
        <v>120</v>
      </c>
      <c r="H2134" s="39">
        <v>45029</v>
      </c>
      <c r="I2134" s="46">
        <f t="shared" si="132"/>
        <v>314</v>
      </c>
      <c r="J2134" s="4" t="s">
        <v>15</v>
      </c>
      <c r="K2134" s="4" t="s">
        <v>202</v>
      </c>
      <c r="L2134" s="4" t="s">
        <v>226</v>
      </c>
      <c r="M2134" s="7">
        <v>120</v>
      </c>
      <c r="N2134" s="10">
        <v>206.23</v>
      </c>
      <c r="O2134" s="10">
        <v>24747.599999999999</v>
      </c>
      <c r="P2134">
        <f t="shared" si="133"/>
        <v>1</v>
      </c>
      <c r="Q2134" s="36">
        <f t="shared" si="134"/>
        <v>24747.599999999999</v>
      </c>
      <c r="R2134">
        <f t="shared" si="135"/>
        <v>2023</v>
      </c>
    </row>
    <row r="2135" spans="1:18" x14ac:dyDescent="0.2">
      <c r="A2135" s="23">
        <v>45433</v>
      </c>
      <c r="B2135" s="23">
        <v>45295</v>
      </c>
      <c r="C2135" s="25" t="s">
        <v>399</v>
      </c>
      <c r="D2135" s="20">
        <v>138</v>
      </c>
      <c r="E2135" s="27">
        <v>24747.599999999999</v>
      </c>
      <c r="F2135" s="22" t="s">
        <v>284</v>
      </c>
      <c r="G2135" s="29">
        <v>120</v>
      </c>
      <c r="H2135" s="39">
        <v>45062</v>
      </c>
      <c r="I2135" s="46">
        <f t="shared" si="132"/>
        <v>371</v>
      </c>
      <c r="J2135" s="4" t="s">
        <v>15</v>
      </c>
      <c r="K2135" s="4" t="s">
        <v>202</v>
      </c>
      <c r="L2135" s="4" t="s">
        <v>226</v>
      </c>
      <c r="M2135" s="7">
        <v>120</v>
      </c>
      <c r="N2135" s="10">
        <v>206.23</v>
      </c>
      <c r="O2135" s="10">
        <v>24747.599999999999</v>
      </c>
      <c r="P2135">
        <f t="shared" si="133"/>
        <v>1</v>
      </c>
      <c r="Q2135" s="36">
        <f t="shared" si="134"/>
        <v>24747.599999999999</v>
      </c>
      <c r="R2135">
        <f t="shared" si="135"/>
        <v>2023</v>
      </c>
    </row>
    <row r="2136" spans="1:18" x14ac:dyDescent="0.2">
      <c r="A2136" s="23">
        <v>45433</v>
      </c>
      <c r="B2136" s="23">
        <v>45295</v>
      </c>
      <c r="C2136" s="25" t="s">
        <v>399</v>
      </c>
      <c r="D2136" s="20">
        <v>138</v>
      </c>
      <c r="E2136" s="27">
        <v>24747.599999999999</v>
      </c>
      <c r="F2136" s="22" t="s">
        <v>284</v>
      </c>
      <c r="G2136" s="29">
        <v>120</v>
      </c>
      <c r="H2136" s="39">
        <v>45062</v>
      </c>
      <c r="I2136" s="46">
        <f t="shared" si="132"/>
        <v>371</v>
      </c>
      <c r="J2136" s="4" t="s">
        <v>15</v>
      </c>
      <c r="K2136" s="4" t="s">
        <v>202</v>
      </c>
      <c r="L2136" s="4" t="s">
        <v>226</v>
      </c>
      <c r="M2136" s="7">
        <v>120</v>
      </c>
      <c r="N2136" s="10">
        <v>206.23</v>
      </c>
      <c r="O2136" s="10">
        <v>24747.599999999999</v>
      </c>
      <c r="P2136">
        <f t="shared" si="133"/>
        <v>1</v>
      </c>
      <c r="Q2136" s="36">
        <f t="shared" si="134"/>
        <v>24747.599999999999</v>
      </c>
      <c r="R2136">
        <f t="shared" si="135"/>
        <v>2023</v>
      </c>
    </row>
    <row r="2137" spans="1:18" x14ac:dyDescent="0.2">
      <c r="A2137" s="23">
        <v>45225</v>
      </c>
      <c r="B2137" s="23">
        <v>44963</v>
      </c>
      <c r="C2137" s="25" t="s">
        <v>399</v>
      </c>
      <c r="D2137" s="20">
        <v>262</v>
      </c>
      <c r="E2137" s="27">
        <v>17481.240000000002</v>
      </c>
      <c r="F2137" s="22" t="s">
        <v>285</v>
      </c>
      <c r="G2137" s="29">
        <v>252</v>
      </c>
      <c r="H2137" s="39">
        <v>44855</v>
      </c>
      <c r="I2137" s="46">
        <f t="shared" si="132"/>
        <v>370</v>
      </c>
      <c r="J2137" s="4" t="s">
        <v>15</v>
      </c>
      <c r="K2137" s="4" t="s">
        <v>203</v>
      </c>
      <c r="L2137" s="4" t="s">
        <v>227</v>
      </c>
      <c r="M2137" s="7">
        <v>252</v>
      </c>
      <c r="N2137" s="10">
        <v>69.37</v>
      </c>
      <c r="O2137" s="10">
        <v>17481.240000000002</v>
      </c>
      <c r="P2137">
        <f t="shared" si="133"/>
        <v>1</v>
      </c>
      <c r="Q2137" s="36">
        <f t="shared" si="134"/>
        <v>17481.240000000002</v>
      </c>
      <c r="R2137">
        <f t="shared" si="135"/>
        <v>2022</v>
      </c>
    </row>
    <row r="2138" spans="1:18" x14ac:dyDescent="0.2">
      <c r="A2138" s="23">
        <v>45251</v>
      </c>
      <c r="B2138" s="23">
        <v>45108</v>
      </c>
      <c r="C2138" s="25" t="s">
        <v>399</v>
      </c>
      <c r="D2138" s="20">
        <v>143</v>
      </c>
      <c r="E2138" s="27">
        <v>17481.240000000002</v>
      </c>
      <c r="F2138" s="22" t="s">
        <v>285</v>
      </c>
      <c r="G2138" s="29">
        <v>252</v>
      </c>
      <c r="H2138" s="39">
        <v>45044</v>
      </c>
      <c r="I2138" s="46">
        <f t="shared" si="132"/>
        <v>207</v>
      </c>
      <c r="J2138" s="4" t="s">
        <v>15</v>
      </c>
      <c r="K2138" s="4" t="s">
        <v>203</v>
      </c>
      <c r="L2138" s="4" t="s">
        <v>227</v>
      </c>
      <c r="M2138" s="7">
        <v>252</v>
      </c>
      <c r="N2138" s="10">
        <v>69.37</v>
      </c>
      <c r="O2138" s="10">
        <v>17481.240000000002</v>
      </c>
      <c r="P2138">
        <f t="shared" si="133"/>
        <v>1</v>
      </c>
      <c r="Q2138" s="36">
        <f t="shared" si="134"/>
        <v>17481.240000000002</v>
      </c>
      <c r="R2138">
        <f t="shared" si="135"/>
        <v>2023</v>
      </c>
    </row>
    <row r="2139" spans="1:18" x14ac:dyDescent="0.2">
      <c r="A2139" s="23">
        <v>45422</v>
      </c>
      <c r="B2139" s="23">
        <v>45352</v>
      </c>
      <c r="C2139" s="25" t="s">
        <v>399</v>
      </c>
      <c r="D2139" s="20">
        <v>70</v>
      </c>
      <c r="E2139" s="27">
        <v>17481.240000000002</v>
      </c>
      <c r="F2139" s="22" t="s">
        <v>285</v>
      </c>
      <c r="G2139" s="29">
        <v>252</v>
      </c>
      <c r="H2139" s="39">
        <v>45099</v>
      </c>
      <c r="I2139" s="46">
        <f t="shared" si="132"/>
        <v>323</v>
      </c>
      <c r="J2139" s="4" t="s">
        <v>15</v>
      </c>
      <c r="K2139" s="4" t="s">
        <v>203</v>
      </c>
      <c r="L2139" s="4" t="s">
        <v>227</v>
      </c>
      <c r="M2139" s="7">
        <v>252</v>
      </c>
      <c r="N2139" s="10">
        <v>69.37</v>
      </c>
      <c r="O2139" s="10">
        <v>17481.240000000002</v>
      </c>
      <c r="P2139">
        <f t="shared" si="133"/>
        <v>1</v>
      </c>
      <c r="Q2139" s="36">
        <f t="shared" si="134"/>
        <v>17481.240000000002</v>
      </c>
      <c r="R2139">
        <f t="shared" si="135"/>
        <v>2023</v>
      </c>
    </row>
    <row r="2140" spans="1:18" x14ac:dyDescent="0.2">
      <c r="A2140" s="23">
        <v>45428</v>
      </c>
      <c r="B2140" s="23">
        <v>45394</v>
      </c>
      <c r="C2140" s="25" t="s">
        <v>399</v>
      </c>
      <c r="D2140" s="20">
        <v>34</v>
      </c>
      <c r="E2140" s="27">
        <v>17481.240000000002</v>
      </c>
      <c r="F2140" s="22" t="s">
        <v>285</v>
      </c>
      <c r="G2140" s="29">
        <v>252</v>
      </c>
      <c r="H2140" s="39">
        <v>45115</v>
      </c>
      <c r="I2140" s="46">
        <f t="shared" si="132"/>
        <v>313</v>
      </c>
      <c r="J2140" s="4" t="s">
        <v>15</v>
      </c>
      <c r="K2140" s="4" t="s">
        <v>203</v>
      </c>
      <c r="L2140" s="4" t="s">
        <v>227</v>
      </c>
      <c r="M2140" s="7">
        <v>252</v>
      </c>
      <c r="N2140" s="10">
        <v>69.37</v>
      </c>
      <c r="O2140" s="10">
        <v>17481.240000000002</v>
      </c>
      <c r="P2140">
        <f t="shared" si="133"/>
        <v>1</v>
      </c>
      <c r="Q2140" s="36">
        <f t="shared" si="134"/>
        <v>17481.240000000002</v>
      </c>
      <c r="R2140">
        <f t="shared" si="135"/>
        <v>2023</v>
      </c>
    </row>
    <row r="2141" spans="1:18" x14ac:dyDescent="0.2">
      <c r="A2141" s="23">
        <v>45429</v>
      </c>
      <c r="B2141" s="23">
        <v>45429</v>
      </c>
      <c r="C2141" s="25" t="s">
        <v>398</v>
      </c>
      <c r="D2141" s="20">
        <v>0</v>
      </c>
      <c r="E2141" s="27">
        <v>17481.240000000002</v>
      </c>
      <c r="F2141" s="22" t="s">
        <v>285</v>
      </c>
      <c r="G2141" s="29">
        <v>252</v>
      </c>
      <c r="H2141" s="39">
        <v>45115</v>
      </c>
      <c r="I2141" s="46">
        <f t="shared" si="132"/>
        <v>314</v>
      </c>
      <c r="J2141" s="4" t="s">
        <v>15</v>
      </c>
      <c r="K2141" s="4" t="s">
        <v>203</v>
      </c>
      <c r="L2141" s="4" t="s">
        <v>227</v>
      </c>
      <c r="M2141" s="7">
        <v>252</v>
      </c>
      <c r="N2141" s="10">
        <v>69.37</v>
      </c>
      <c r="O2141" s="10">
        <v>17481.240000000002</v>
      </c>
      <c r="P2141">
        <f t="shared" si="133"/>
        <v>1</v>
      </c>
      <c r="Q2141" s="36">
        <f t="shared" si="134"/>
        <v>17481.240000000002</v>
      </c>
      <c r="R2141">
        <f t="shared" si="135"/>
        <v>2023</v>
      </c>
    </row>
    <row r="2142" spans="1:18" x14ac:dyDescent="0.2">
      <c r="A2142" s="23">
        <v>45187</v>
      </c>
      <c r="B2142" s="23">
        <v>45171</v>
      </c>
      <c r="C2142" s="25" t="s">
        <v>399</v>
      </c>
      <c r="D2142" s="20">
        <v>16</v>
      </c>
      <c r="E2142" s="27">
        <v>12320</v>
      </c>
      <c r="F2142" s="22" t="s">
        <v>266</v>
      </c>
      <c r="G2142" s="29">
        <v>125</v>
      </c>
      <c r="H2142" s="39">
        <v>44757</v>
      </c>
      <c r="I2142" s="46">
        <f t="shared" si="132"/>
        <v>430</v>
      </c>
      <c r="J2142" s="4" t="s">
        <v>15</v>
      </c>
      <c r="K2142" s="4" t="s">
        <v>202</v>
      </c>
      <c r="L2142" s="4" t="s">
        <v>226</v>
      </c>
      <c r="M2142" s="7">
        <v>588</v>
      </c>
      <c r="N2142" s="10">
        <v>98.56</v>
      </c>
      <c r="O2142" s="10">
        <v>57953.279999999999</v>
      </c>
      <c r="P2142">
        <f t="shared" si="133"/>
        <v>0</v>
      </c>
      <c r="Q2142" s="36">
        <f t="shared" si="134"/>
        <v>12320</v>
      </c>
      <c r="R2142">
        <f t="shared" si="135"/>
        <v>2022</v>
      </c>
    </row>
    <row r="2143" spans="1:18" x14ac:dyDescent="0.2">
      <c r="A2143" s="23">
        <v>45261</v>
      </c>
      <c r="B2143" s="23">
        <v>45261</v>
      </c>
      <c r="C2143" s="25" t="s">
        <v>398</v>
      </c>
      <c r="D2143" s="20">
        <v>0</v>
      </c>
      <c r="E2143" s="27">
        <v>57953.279999999999</v>
      </c>
      <c r="F2143" s="22" t="s">
        <v>266</v>
      </c>
      <c r="G2143" s="29">
        <v>588</v>
      </c>
      <c r="H2143" s="39">
        <v>44861</v>
      </c>
      <c r="I2143" s="46">
        <f t="shared" si="132"/>
        <v>400</v>
      </c>
      <c r="J2143" s="4" t="s">
        <v>15</v>
      </c>
      <c r="K2143" s="4" t="s">
        <v>202</v>
      </c>
      <c r="L2143" s="4" t="s">
        <v>226</v>
      </c>
      <c r="M2143" s="7">
        <v>588</v>
      </c>
      <c r="N2143" s="10">
        <v>98.56</v>
      </c>
      <c r="O2143" s="10">
        <v>57953.279999999999</v>
      </c>
      <c r="P2143">
        <f t="shared" si="133"/>
        <v>1</v>
      </c>
      <c r="Q2143" s="36">
        <f t="shared" si="134"/>
        <v>57953.279999999999</v>
      </c>
      <c r="R2143">
        <f t="shared" si="135"/>
        <v>2022</v>
      </c>
    </row>
    <row r="2144" spans="1:18" x14ac:dyDescent="0.2">
      <c r="A2144" s="23">
        <v>45293</v>
      </c>
      <c r="B2144" s="23">
        <v>45293</v>
      </c>
      <c r="C2144" s="25" t="s">
        <v>398</v>
      </c>
      <c r="D2144" s="20">
        <v>0</v>
      </c>
      <c r="E2144" s="27">
        <v>57953.279999999999</v>
      </c>
      <c r="F2144" s="22" t="s">
        <v>266</v>
      </c>
      <c r="G2144" s="29">
        <v>588</v>
      </c>
      <c r="H2144" s="39">
        <v>44904</v>
      </c>
      <c r="I2144" s="46">
        <f t="shared" si="132"/>
        <v>389</v>
      </c>
      <c r="J2144" s="4" t="s">
        <v>15</v>
      </c>
      <c r="K2144" s="4" t="s">
        <v>202</v>
      </c>
      <c r="L2144" s="4" t="s">
        <v>226</v>
      </c>
      <c r="M2144" s="7">
        <v>588</v>
      </c>
      <c r="N2144" s="10">
        <v>98.56</v>
      </c>
      <c r="O2144" s="10">
        <v>57953.279999999999</v>
      </c>
      <c r="P2144">
        <f t="shared" si="133"/>
        <v>1</v>
      </c>
      <c r="Q2144" s="36">
        <f t="shared" si="134"/>
        <v>57953.279999999999</v>
      </c>
      <c r="R2144">
        <f t="shared" si="135"/>
        <v>2022</v>
      </c>
    </row>
    <row r="2145" spans="1:18" x14ac:dyDescent="0.2">
      <c r="A2145" s="23">
        <v>45304</v>
      </c>
      <c r="B2145" s="23">
        <v>45293</v>
      </c>
      <c r="C2145" s="25" t="s">
        <v>399</v>
      </c>
      <c r="D2145" s="20">
        <v>11</v>
      </c>
      <c r="E2145" s="27">
        <v>57953.279999999999</v>
      </c>
      <c r="F2145" s="22" t="s">
        <v>266</v>
      </c>
      <c r="G2145" s="29">
        <v>588</v>
      </c>
      <c r="H2145" s="39">
        <v>44917</v>
      </c>
      <c r="I2145" s="46">
        <f t="shared" si="132"/>
        <v>387</v>
      </c>
      <c r="J2145" s="4" t="s">
        <v>15</v>
      </c>
      <c r="K2145" s="4" t="s">
        <v>202</v>
      </c>
      <c r="L2145" s="4" t="s">
        <v>226</v>
      </c>
      <c r="M2145" s="7">
        <v>588</v>
      </c>
      <c r="N2145" s="10">
        <v>98.56</v>
      </c>
      <c r="O2145" s="10">
        <v>57953.279999999999</v>
      </c>
      <c r="P2145">
        <f t="shared" si="133"/>
        <v>1</v>
      </c>
      <c r="Q2145" s="36">
        <f t="shared" si="134"/>
        <v>57953.279999999999</v>
      </c>
      <c r="R2145">
        <f t="shared" si="135"/>
        <v>2022</v>
      </c>
    </row>
    <row r="2146" spans="1:18" x14ac:dyDescent="0.2">
      <c r="A2146" s="23">
        <v>45304</v>
      </c>
      <c r="B2146" s="23">
        <v>45293</v>
      </c>
      <c r="C2146" s="25" t="s">
        <v>399</v>
      </c>
      <c r="D2146" s="20">
        <v>11</v>
      </c>
      <c r="E2146" s="27">
        <v>57953.279999999999</v>
      </c>
      <c r="F2146" s="22" t="s">
        <v>266</v>
      </c>
      <c r="G2146" s="29">
        <v>588</v>
      </c>
      <c r="H2146" s="39">
        <v>44917</v>
      </c>
      <c r="I2146" s="46">
        <f t="shared" si="132"/>
        <v>387</v>
      </c>
      <c r="J2146" s="4" t="s">
        <v>15</v>
      </c>
      <c r="K2146" s="4" t="s">
        <v>202</v>
      </c>
      <c r="L2146" s="4" t="s">
        <v>226</v>
      </c>
      <c r="M2146" s="7">
        <v>588</v>
      </c>
      <c r="N2146" s="10">
        <v>98.56</v>
      </c>
      <c r="O2146" s="10">
        <v>57953.279999999999</v>
      </c>
      <c r="P2146">
        <f t="shared" si="133"/>
        <v>1</v>
      </c>
      <c r="Q2146" s="36">
        <f t="shared" si="134"/>
        <v>57953.279999999999</v>
      </c>
      <c r="R2146">
        <f t="shared" si="135"/>
        <v>2022</v>
      </c>
    </row>
    <row r="2147" spans="1:18" x14ac:dyDescent="0.2">
      <c r="A2147" s="23">
        <v>45331</v>
      </c>
      <c r="B2147" s="23">
        <v>45293</v>
      </c>
      <c r="C2147" s="25" t="s">
        <v>399</v>
      </c>
      <c r="D2147" s="20">
        <v>38</v>
      </c>
      <c r="E2147" s="27">
        <v>57953.279999999999</v>
      </c>
      <c r="F2147" s="22" t="s">
        <v>266</v>
      </c>
      <c r="G2147" s="29">
        <v>588</v>
      </c>
      <c r="H2147" s="39">
        <v>44957</v>
      </c>
      <c r="I2147" s="46">
        <f t="shared" si="132"/>
        <v>374</v>
      </c>
      <c r="J2147" s="4" t="s">
        <v>15</v>
      </c>
      <c r="K2147" s="4" t="s">
        <v>202</v>
      </c>
      <c r="L2147" s="4" t="s">
        <v>226</v>
      </c>
      <c r="M2147" s="7">
        <v>588</v>
      </c>
      <c r="N2147" s="10">
        <v>98.56</v>
      </c>
      <c r="O2147" s="10">
        <v>57953.279999999999</v>
      </c>
      <c r="P2147">
        <f t="shared" si="133"/>
        <v>1</v>
      </c>
      <c r="Q2147" s="36">
        <f t="shared" si="134"/>
        <v>57953.279999999999</v>
      </c>
      <c r="R2147">
        <f t="shared" si="135"/>
        <v>2023</v>
      </c>
    </row>
    <row r="2148" spans="1:18" x14ac:dyDescent="0.2">
      <c r="A2148" s="23">
        <v>45394</v>
      </c>
      <c r="B2148" s="23">
        <v>45295</v>
      </c>
      <c r="C2148" s="25" t="s">
        <v>399</v>
      </c>
      <c r="D2148" s="20">
        <v>99</v>
      </c>
      <c r="E2148" s="27">
        <v>57953.279999999999</v>
      </c>
      <c r="F2148" s="22" t="s">
        <v>266</v>
      </c>
      <c r="G2148" s="29">
        <v>588</v>
      </c>
      <c r="H2148" s="39">
        <v>45013</v>
      </c>
      <c r="I2148" s="46">
        <f t="shared" si="132"/>
        <v>381</v>
      </c>
      <c r="J2148" s="4" t="s">
        <v>15</v>
      </c>
      <c r="K2148" s="4" t="s">
        <v>202</v>
      </c>
      <c r="L2148" s="4" t="s">
        <v>226</v>
      </c>
      <c r="M2148" s="7">
        <v>588</v>
      </c>
      <c r="N2148" s="10">
        <v>98.56</v>
      </c>
      <c r="O2148" s="10">
        <v>57953.279999999999</v>
      </c>
      <c r="P2148">
        <f t="shared" si="133"/>
        <v>1</v>
      </c>
      <c r="Q2148" s="36">
        <f t="shared" si="134"/>
        <v>57953.279999999999</v>
      </c>
      <c r="R2148">
        <f t="shared" si="135"/>
        <v>2023</v>
      </c>
    </row>
    <row r="2149" spans="1:18" x14ac:dyDescent="0.2">
      <c r="A2149" s="23">
        <v>45290</v>
      </c>
      <c r="B2149" s="23">
        <v>44967</v>
      </c>
      <c r="C2149" s="25" t="s">
        <v>399</v>
      </c>
      <c r="D2149" s="20">
        <v>323</v>
      </c>
      <c r="E2149" s="27">
        <v>431751.6</v>
      </c>
      <c r="F2149" s="22" t="s">
        <v>286</v>
      </c>
      <c r="G2149" s="29">
        <v>2520</v>
      </c>
      <c r="H2149" s="39">
        <v>44784</v>
      </c>
      <c r="I2149" s="46">
        <f t="shared" si="132"/>
        <v>506</v>
      </c>
      <c r="J2149" s="4" t="s">
        <v>15</v>
      </c>
      <c r="K2149" s="4" t="s">
        <v>204</v>
      </c>
      <c r="L2149" s="4" t="s">
        <v>228</v>
      </c>
      <c r="M2149" s="7">
        <v>2520</v>
      </c>
      <c r="N2149" s="10">
        <v>171.33</v>
      </c>
      <c r="O2149" s="10">
        <v>431751.6</v>
      </c>
      <c r="P2149">
        <f t="shared" si="133"/>
        <v>1</v>
      </c>
      <c r="Q2149" s="36">
        <f t="shared" si="134"/>
        <v>431751.60000000003</v>
      </c>
      <c r="R2149">
        <f t="shared" si="135"/>
        <v>2022</v>
      </c>
    </row>
    <row r="2150" spans="1:18" x14ac:dyDescent="0.2">
      <c r="A2150" s="23">
        <v>45225</v>
      </c>
      <c r="B2150" s="23">
        <v>45219</v>
      </c>
      <c r="C2150" s="25" t="s">
        <v>399</v>
      </c>
      <c r="D2150" s="20">
        <v>6</v>
      </c>
      <c r="E2150" s="27">
        <v>3011.4</v>
      </c>
      <c r="F2150" s="22" t="s">
        <v>287</v>
      </c>
      <c r="G2150" s="29">
        <v>21000</v>
      </c>
      <c r="H2150" s="39">
        <v>44867</v>
      </c>
      <c r="I2150" s="46">
        <f t="shared" si="132"/>
        <v>358</v>
      </c>
      <c r="J2150" s="4" t="s">
        <v>15</v>
      </c>
      <c r="K2150" s="4" t="s">
        <v>202</v>
      </c>
      <c r="L2150" s="4" t="s">
        <v>226</v>
      </c>
      <c r="M2150" s="7">
        <v>21000</v>
      </c>
      <c r="N2150" s="10">
        <v>0.14000000000000001</v>
      </c>
      <c r="O2150" s="10">
        <v>2940</v>
      </c>
      <c r="P2150">
        <f t="shared" si="133"/>
        <v>1</v>
      </c>
      <c r="Q2150" s="36">
        <f t="shared" si="134"/>
        <v>2940.0000000000005</v>
      </c>
      <c r="R2150">
        <f t="shared" si="135"/>
        <v>2022</v>
      </c>
    </row>
    <row r="2151" spans="1:18" x14ac:dyDescent="0.2">
      <c r="A2151" s="23">
        <v>45219</v>
      </c>
      <c r="B2151" s="23">
        <v>44957</v>
      </c>
      <c r="C2151" s="25" t="s">
        <v>399</v>
      </c>
      <c r="D2151" s="20">
        <v>262</v>
      </c>
      <c r="E2151" s="27">
        <v>25085.9</v>
      </c>
      <c r="F2151" s="22" t="s">
        <v>288</v>
      </c>
      <c r="G2151" s="29">
        <v>7</v>
      </c>
      <c r="H2151" s="39">
        <v>44566</v>
      </c>
      <c r="I2151" s="46">
        <f t="shared" si="132"/>
        <v>653</v>
      </c>
      <c r="J2151" s="4" t="s">
        <v>15</v>
      </c>
      <c r="K2151" s="4" t="s">
        <v>204</v>
      </c>
      <c r="L2151" s="4" t="s">
        <v>228</v>
      </c>
      <c r="M2151" s="7">
        <v>7</v>
      </c>
      <c r="N2151" s="10">
        <v>3583.7</v>
      </c>
      <c r="O2151" s="10">
        <v>25085.9</v>
      </c>
      <c r="P2151">
        <f t="shared" si="133"/>
        <v>1</v>
      </c>
      <c r="Q2151" s="36">
        <f t="shared" si="134"/>
        <v>25085.899999999998</v>
      </c>
      <c r="R2151">
        <f t="shared" si="135"/>
        <v>2022</v>
      </c>
    </row>
    <row r="2152" spans="1:18" x14ac:dyDescent="0.2">
      <c r="A2152" s="23">
        <v>45297</v>
      </c>
      <c r="B2152" s="23">
        <v>45287</v>
      </c>
      <c r="C2152" s="25" t="s">
        <v>399</v>
      </c>
      <c r="D2152" s="20">
        <v>10</v>
      </c>
      <c r="E2152" s="27">
        <v>179185</v>
      </c>
      <c r="F2152" s="22" t="s">
        <v>288</v>
      </c>
      <c r="G2152" s="29">
        <v>50</v>
      </c>
      <c r="H2152" s="39">
        <v>44665</v>
      </c>
      <c r="I2152" s="46">
        <f t="shared" si="132"/>
        <v>632</v>
      </c>
      <c r="J2152" s="4" t="s">
        <v>15</v>
      </c>
      <c r="K2152" s="4" t="s">
        <v>204</v>
      </c>
      <c r="L2152" s="4" t="s">
        <v>228</v>
      </c>
      <c r="M2152" s="7">
        <v>50</v>
      </c>
      <c r="N2152" s="10">
        <v>3583.7</v>
      </c>
      <c r="O2152" s="10">
        <v>179185</v>
      </c>
      <c r="P2152">
        <f t="shared" si="133"/>
        <v>1</v>
      </c>
      <c r="Q2152" s="36">
        <f t="shared" si="134"/>
        <v>179185</v>
      </c>
      <c r="R2152">
        <f t="shared" si="135"/>
        <v>2022</v>
      </c>
    </row>
    <row r="2153" spans="1:18" x14ac:dyDescent="0.2">
      <c r="A2153" s="23">
        <v>45290</v>
      </c>
      <c r="B2153" s="23">
        <v>45048</v>
      </c>
      <c r="C2153" s="25" t="s">
        <v>399</v>
      </c>
      <c r="D2153" s="20">
        <v>242</v>
      </c>
      <c r="E2153" s="27">
        <v>179185</v>
      </c>
      <c r="F2153" s="22" t="s">
        <v>288</v>
      </c>
      <c r="G2153" s="29">
        <v>50</v>
      </c>
      <c r="H2153" s="39">
        <v>44708</v>
      </c>
      <c r="I2153" s="46">
        <f t="shared" si="132"/>
        <v>582</v>
      </c>
      <c r="J2153" s="4" t="s">
        <v>15</v>
      </c>
      <c r="K2153" s="4" t="s">
        <v>204</v>
      </c>
      <c r="L2153" s="4" t="s">
        <v>228</v>
      </c>
      <c r="M2153" s="7">
        <v>50</v>
      </c>
      <c r="N2153" s="10">
        <v>3583.7</v>
      </c>
      <c r="O2153" s="10">
        <v>179185</v>
      </c>
      <c r="P2153">
        <f t="shared" si="133"/>
        <v>1</v>
      </c>
      <c r="Q2153" s="36">
        <f t="shared" si="134"/>
        <v>179185</v>
      </c>
      <c r="R2153">
        <f t="shared" si="135"/>
        <v>2022</v>
      </c>
    </row>
    <row r="2154" spans="1:18" x14ac:dyDescent="0.2">
      <c r="A2154" s="23">
        <v>45219</v>
      </c>
      <c r="B2154" s="23">
        <v>44835</v>
      </c>
      <c r="C2154" s="25" t="s">
        <v>399</v>
      </c>
      <c r="D2154" s="20">
        <v>384</v>
      </c>
      <c r="E2154" s="27">
        <v>154099.1</v>
      </c>
      <c r="F2154" s="22" t="s">
        <v>288</v>
      </c>
      <c r="G2154" s="29">
        <v>43</v>
      </c>
      <c r="H2154" s="39">
        <v>44747</v>
      </c>
      <c r="I2154" s="46">
        <f t="shared" si="132"/>
        <v>472</v>
      </c>
      <c r="J2154" s="4" t="s">
        <v>15</v>
      </c>
      <c r="K2154" s="4" t="s">
        <v>204</v>
      </c>
      <c r="L2154" s="4" t="s">
        <v>228</v>
      </c>
      <c r="M2154" s="7">
        <v>43</v>
      </c>
      <c r="N2154" s="10">
        <v>3583.7</v>
      </c>
      <c r="O2154" s="10">
        <v>154099.1</v>
      </c>
      <c r="P2154">
        <f t="shared" si="133"/>
        <v>1</v>
      </c>
      <c r="Q2154" s="36">
        <f t="shared" si="134"/>
        <v>154099.1</v>
      </c>
      <c r="R2154">
        <f t="shared" si="135"/>
        <v>2022</v>
      </c>
    </row>
    <row r="2155" spans="1:18" x14ac:dyDescent="0.2">
      <c r="A2155" s="23">
        <v>45290</v>
      </c>
      <c r="B2155" s="23">
        <v>45104</v>
      </c>
      <c r="C2155" s="25" t="s">
        <v>399</v>
      </c>
      <c r="D2155" s="20">
        <v>186</v>
      </c>
      <c r="E2155" s="27">
        <v>179185</v>
      </c>
      <c r="F2155" s="22" t="s">
        <v>288</v>
      </c>
      <c r="G2155" s="29">
        <v>50</v>
      </c>
      <c r="H2155" s="39">
        <v>44790</v>
      </c>
      <c r="I2155" s="46">
        <f t="shared" si="132"/>
        <v>500</v>
      </c>
      <c r="J2155" s="4" t="s">
        <v>15</v>
      </c>
      <c r="K2155" s="4" t="s">
        <v>204</v>
      </c>
      <c r="L2155" s="4" t="s">
        <v>228</v>
      </c>
      <c r="M2155" s="7">
        <v>50</v>
      </c>
      <c r="N2155" s="10">
        <v>3583.7</v>
      </c>
      <c r="O2155" s="10">
        <v>179185</v>
      </c>
      <c r="P2155">
        <f t="shared" si="133"/>
        <v>1</v>
      </c>
      <c r="Q2155" s="36">
        <f t="shared" si="134"/>
        <v>179185</v>
      </c>
      <c r="R2155">
        <f t="shared" si="135"/>
        <v>2022</v>
      </c>
    </row>
    <row r="2156" spans="1:18" x14ac:dyDescent="0.2">
      <c r="A2156" s="23">
        <v>45290</v>
      </c>
      <c r="B2156" s="23">
        <v>45139</v>
      </c>
      <c r="C2156" s="25" t="s">
        <v>399</v>
      </c>
      <c r="D2156" s="20">
        <v>151</v>
      </c>
      <c r="E2156" s="27">
        <v>358370</v>
      </c>
      <c r="F2156" s="22" t="s">
        <v>288</v>
      </c>
      <c r="G2156" s="29">
        <v>100</v>
      </c>
      <c r="H2156" s="39">
        <v>44790</v>
      </c>
      <c r="I2156" s="46">
        <f t="shared" si="132"/>
        <v>500</v>
      </c>
      <c r="J2156" s="4" t="s">
        <v>15</v>
      </c>
      <c r="K2156" s="4" t="s">
        <v>204</v>
      </c>
      <c r="L2156" s="4" t="s">
        <v>228</v>
      </c>
      <c r="M2156" s="7">
        <v>100</v>
      </c>
      <c r="N2156" s="10">
        <v>3583.7</v>
      </c>
      <c r="O2156" s="10">
        <v>358370</v>
      </c>
      <c r="P2156">
        <f t="shared" si="133"/>
        <v>1</v>
      </c>
      <c r="Q2156" s="36">
        <f t="shared" si="134"/>
        <v>358370</v>
      </c>
      <c r="R2156">
        <f t="shared" si="135"/>
        <v>2022</v>
      </c>
    </row>
    <row r="2157" spans="1:18" x14ac:dyDescent="0.2">
      <c r="A2157" s="23">
        <v>45184</v>
      </c>
      <c r="B2157" s="23">
        <v>45048</v>
      </c>
      <c r="C2157" s="25" t="s">
        <v>399</v>
      </c>
      <c r="D2157" s="20">
        <v>136</v>
      </c>
      <c r="E2157" s="27">
        <v>33447.839999999997</v>
      </c>
      <c r="F2157" s="22" t="s">
        <v>289</v>
      </c>
      <c r="G2157" s="29">
        <v>8</v>
      </c>
      <c r="H2157" s="39">
        <v>45098</v>
      </c>
      <c r="I2157" s="46">
        <f t="shared" si="132"/>
        <v>86</v>
      </c>
      <c r="J2157" s="4" t="s">
        <v>15</v>
      </c>
      <c r="K2157" s="4" t="s">
        <v>204</v>
      </c>
      <c r="L2157" s="4" t="s">
        <v>228</v>
      </c>
      <c r="M2157" s="7">
        <v>8</v>
      </c>
      <c r="N2157" s="10">
        <v>4180.9799999999996</v>
      </c>
      <c r="O2157" s="10">
        <v>33447.839999999997</v>
      </c>
      <c r="P2157">
        <f t="shared" si="133"/>
        <v>1</v>
      </c>
      <c r="Q2157" s="36">
        <f t="shared" si="134"/>
        <v>33447.839999999997</v>
      </c>
      <c r="R2157">
        <f t="shared" si="135"/>
        <v>2023</v>
      </c>
    </row>
    <row r="2158" spans="1:18" x14ac:dyDescent="0.2">
      <c r="A2158" s="23">
        <v>45218</v>
      </c>
      <c r="B2158" s="23">
        <v>45001</v>
      </c>
      <c r="C2158" s="25" t="s">
        <v>399</v>
      </c>
      <c r="D2158" s="20">
        <v>217</v>
      </c>
      <c r="E2158" s="27">
        <v>154299.6</v>
      </c>
      <c r="F2158" s="22" t="s">
        <v>290</v>
      </c>
      <c r="G2158" s="29">
        <v>216</v>
      </c>
      <c r="H2158" s="39">
        <v>44680</v>
      </c>
      <c r="I2158" s="46">
        <f t="shared" si="132"/>
        <v>538</v>
      </c>
      <c r="J2158" s="4" t="s">
        <v>15</v>
      </c>
      <c r="K2158" s="4" t="s">
        <v>202</v>
      </c>
      <c r="L2158" s="4" t="s">
        <v>226</v>
      </c>
      <c r="M2158" s="7">
        <v>216</v>
      </c>
      <c r="N2158" s="10">
        <v>714.35</v>
      </c>
      <c r="O2158" s="10">
        <v>154299.6</v>
      </c>
      <c r="P2158">
        <f t="shared" si="133"/>
        <v>1</v>
      </c>
      <c r="Q2158" s="36">
        <f t="shared" si="134"/>
        <v>154299.6</v>
      </c>
      <c r="R2158">
        <f t="shared" si="135"/>
        <v>2022</v>
      </c>
    </row>
    <row r="2159" spans="1:18" x14ac:dyDescent="0.2">
      <c r="A2159" s="23">
        <v>45220</v>
      </c>
      <c r="B2159" s="23">
        <v>45008</v>
      </c>
      <c r="C2159" s="25" t="s">
        <v>399</v>
      </c>
      <c r="D2159" s="20">
        <v>212</v>
      </c>
      <c r="E2159" s="27">
        <v>87150.7</v>
      </c>
      <c r="F2159" s="22" t="s">
        <v>290</v>
      </c>
      <c r="G2159" s="29">
        <v>122</v>
      </c>
      <c r="H2159" s="39">
        <v>44680</v>
      </c>
      <c r="I2159" s="46">
        <f t="shared" si="132"/>
        <v>540</v>
      </c>
      <c r="J2159" s="4" t="s">
        <v>15</v>
      </c>
      <c r="K2159" s="4" t="s">
        <v>202</v>
      </c>
      <c r="L2159" s="4" t="s">
        <v>226</v>
      </c>
      <c r="M2159" s="7">
        <v>252</v>
      </c>
      <c r="N2159" s="10">
        <v>714.35</v>
      </c>
      <c r="O2159" s="10">
        <v>180016.2</v>
      </c>
      <c r="P2159">
        <f t="shared" si="133"/>
        <v>0</v>
      </c>
      <c r="Q2159" s="36">
        <f t="shared" si="134"/>
        <v>87150.7</v>
      </c>
      <c r="R2159">
        <f t="shared" si="135"/>
        <v>2022</v>
      </c>
    </row>
    <row r="2160" spans="1:18" x14ac:dyDescent="0.2">
      <c r="A2160" s="23">
        <v>45232</v>
      </c>
      <c r="B2160" s="23">
        <v>45008</v>
      </c>
      <c r="C2160" s="25" t="s">
        <v>399</v>
      </c>
      <c r="D2160" s="20">
        <v>224</v>
      </c>
      <c r="E2160" s="27">
        <v>92865.5</v>
      </c>
      <c r="F2160" s="22" t="s">
        <v>290</v>
      </c>
      <c r="G2160" s="29">
        <v>130</v>
      </c>
      <c r="H2160" s="39">
        <v>44680</v>
      </c>
      <c r="I2160" s="46">
        <f t="shared" si="132"/>
        <v>552</v>
      </c>
      <c r="J2160" s="4" t="s">
        <v>15</v>
      </c>
      <c r="K2160" s="4" t="s">
        <v>202</v>
      </c>
      <c r="L2160" s="4" t="s">
        <v>226</v>
      </c>
      <c r="M2160" s="7">
        <v>252</v>
      </c>
      <c r="N2160" s="10">
        <v>714.35</v>
      </c>
      <c r="O2160" s="10">
        <v>180016.2</v>
      </c>
      <c r="P2160">
        <f t="shared" si="133"/>
        <v>0</v>
      </c>
      <c r="Q2160" s="36">
        <f t="shared" si="134"/>
        <v>92865.5</v>
      </c>
      <c r="R2160">
        <f t="shared" si="135"/>
        <v>2022</v>
      </c>
    </row>
    <row r="2161" spans="1:18" x14ac:dyDescent="0.2">
      <c r="A2161" s="13">
        <v>45232</v>
      </c>
      <c r="B2161" s="13">
        <v>45009</v>
      </c>
      <c r="C2161" s="25" t="s">
        <v>399</v>
      </c>
      <c r="D2161" s="20">
        <v>223</v>
      </c>
      <c r="E2161" s="28">
        <v>102152.05</v>
      </c>
      <c r="F2161" s="22" t="s">
        <v>290</v>
      </c>
      <c r="G2161" s="14">
        <v>143</v>
      </c>
      <c r="H2161" s="40">
        <v>44680</v>
      </c>
      <c r="I2161" s="46">
        <f t="shared" si="132"/>
        <v>552</v>
      </c>
      <c r="J2161" s="1" t="s">
        <v>15</v>
      </c>
      <c r="K2161" s="4" t="s">
        <v>202</v>
      </c>
      <c r="L2161" s="4" t="s">
        <v>226</v>
      </c>
      <c r="M2161" s="8">
        <v>216</v>
      </c>
      <c r="N2161" s="5">
        <v>714.35</v>
      </c>
      <c r="O2161" s="5">
        <v>154299.6</v>
      </c>
      <c r="P2161">
        <f t="shared" si="133"/>
        <v>0</v>
      </c>
      <c r="Q2161" s="36">
        <f t="shared" si="134"/>
        <v>102152.05</v>
      </c>
      <c r="R2161">
        <f t="shared" si="135"/>
        <v>2022</v>
      </c>
    </row>
    <row r="2162" spans="1:18" x14ac:dyDescent="0.2">
      <c r="A2162" s="13">
        <v>45239</v>
      </c>
      <c r="B2162" s="13">
        <v>45009</v>
      </c>
      <c r="C2162" s="25" t="s">
        <v>399</v>
      </c>
      <c r="D2162" s="20">
        <v>230</v>
      </c>
      <c r="E2162" s="28">
        <v>52147.55</v>
      </c>
      <c r="F2162" s="22" t="s">
        <v>290</v>
      </c>
      <c r="G2162" s="14">
        <v>73</v>
      </c>
      <c r="H2162" s="40">
        <v>44680</v>
      </c>
      <c r="I2162" s="46">
        <f t="shared" si="132"/>
        <v>559</v>
      </c>
      <c r="J2162" s="1" t="s">
        <v>15</v>
      </c>
      <c r="K2162" s="4" t="s">
        <v>202</v>
      </c>
      <c r="L2162" s="4" t="s">
        <v>226</v>
      </c>
      <c r="M2162" s="8">
        <v>216</v>
      </c>
      <c r="N2162" s="5">
        <v>714.35</v>
      </c>
      <c r="O2162" s="5">
        <v>154299.6</v>
      </c>
      <c r="P2162">
        <f t="shared" si="133"/>
        <v>0</v>
      </c>
      <c r="Q2162" s="36">
        <f t="shared" si="134"/>
        <v>52147.55</v>
      </c>
      <c r="R2162">
        <f t="shared" si="135"/>
        <v>2022</v>
      </c>
    </row>
    <row r="2163" spans="1:18" x14ac:dyDescent="0.2">
      <c r="A2163" s="13">
        <v>45218</v>
      </c>
      <c r="B2163" s="13">
        <v>45001</v>
      </c>
      <c r="C2163" s="25" t="s">
        <v>399</v>
      </c>
      <c r="D2163" s="20">
        <v>217</v>
      </c>
      <c r="E2163" s="28">
        <v>154299.6</v>
      </c>
      <c r="F2163" s="22" t="s">
        <v>290</v>
      </c>
      <c r="G2163" s="14">
        <v>216</v>
      </c>
      <c r="H2163" s="40">
        <v>44686</v>
      </c>
      <c r="I2163" s="46">
        <f t="shared" si="132"/>
        <v>532</v>
      </c>
      <c r="J2163" s="1" t="s">
        <v>15</v>
      </c>
      <c r="K2163" s="4" t="s">
        <v>202</v>
      </c>
      <c r="L2163" s="4" t="s">
        <v>226</v>
      </c>
      <c r="M2163" s="8">
        <v>216</v>
      </c>
      <c r="N2163" s="5">
        <v>714.35</v>
      </c>
      <c r="O2163" s="5">
        <v>154299.6</v>
      </c>
      <c r="P2163">
        <f t="shared" si="133"/>
        <v>1</v>
      </c>
      <c r="Q2163" s="36">
        <f t="shared" si="134"/>
        <v>154299.6</v>
      </c>
      <c r="R2163">
        <f t="shared" si="135"/>
        <v>2022</v>
      </c>
    </row>
    <row r="2164" spans="1:18" x14ac:dyDescent="0.2">
      <c r="A2164" s="13">
        <v>45218</v>
      </c>
      <c r="B2164" s="13">
        <v>45002</v>
      </c>
      <c r="C2164" s="25" t="s">
        <v>399</v>
      </c>
      <c r="D2164" s="20">
        <v>216</v>
      </c>
      <c r="E2164" s="28">
        <v>10000.9</v>
      </c>
      <c r="F2164" s="22" t="s">
        <v>290</v>
      </c>
      <c r="G2164" s="14">
        <v>14</v>
      </c>
      <c r="H2164" s="40">
        <v>44686</v>
      </c>
      <c r="I2164" s="46">
        <f t="shared" si="132"/>
        <v>532</v>
      </c>
      <c r="J2164" s="1" t="s">
        <v>15</v>
      </c>
      <c r="K2164" s="4" t="s">
        <v>202</v>
      </c>
      <c r="L2164" s="4" t="s">
        <v>226</v>
      </c>
      <c r="M2164" s="8">
        <v>216</v>
      </c>
      <c r="N2164" s="5">
        <v>714.35</v>
      </c>
      <c r="O2164" s="5">
        <v>154299.6</v>
      </c>
      <c r="P2164">
        <f t="shared" si="133"/>
        <v>0</v>
      </c>
      <c r="Q2164" s="36">
        <f t="shared" si="134"/>
        <v>10000.9</v>
      </c>
      <c r="R2164">
        <f t="shared" si="135"/>
        <v>2022</v>
      </c>
    </row>
    <row r="2165" spans="1:18" x14ac:dyDescent="0.2">
      <c r="A2165" s="13">
        <v>45220</v>
      </c>
      <c r="B2165" s="13">
        <v>45002</v>
      </c>
      <c r="C2165" s="25" t="s">
        <v>399</v>
      </c>
      <c r="D2165" s="20">
        <v>218</v>
      </c>
      <c r="E2165" s="28">
        <v>144298.70000000001</v>
      </c>
      <c r="F2165" s="22" t="s">
        <v>290</v>
      </c>
      <c r="G2165" s="14">
        <v>202</v>
      </c>
      <c r="H2165" s="40">
        <v>44686</v>
      </c>
      <c r="I2165" s="46">
        <f t="shared" si="132"/>
        <v>534</v>
      </c>
      <c r="J2165" s="1" t="s">
        <v>15</v>
      </c>
      <c r="K2165" s="4" t="s">
        <v>202</v>
      </c>
      <c r="L2165" s="4" t="s">
        <v>226</v>
      </c>
      <c r="M2165" s="8">
        <v>216</v>
      </c>
      <c r="N2165" s="5">
        <v>714.35</v>
      </c>
      <c r="O2165" s="5">
        <v>154299.6</v>
      </c>
      <c r="P2165">
        <f t="shared" si="133"/>
        <v>0</v>
      </c>
      <c r="Q2165" s="36">
        <f t="shared" si="134"/>
        <v>144298.70000000001</v>
      </c>
      <c r="R2165">
        <f t="shared" si="135"/>
        <v>2022</v>
      </c>
    </row>
    <row r="2166" spans="1:18" x14ac:dyDescent="0.2">
      <c r="A2166" s="13">
        <v>45218</v>
      </c>
      <c r="B2166" s="13">
        <v>44995</v>
      </c>
      <c r="C2166" s="25" t="s">
        <v>399</v>
      </c>
      <c r="D2166" s="20">
        <v>223</v>
      </c>
      <c r="E2166" s="28">
        <v>118582.1</v>
      </c>
      <c r="F2166" s="22" t="s">
        <v>290</v>
      </c>
      <c r="G2166" s="14">
        <v>166</v>
      </c>
      <c r="H2166" s="40">
        <v>44686</v>
      </c>
      <c r="I2166" s="46">
        <f t="shared" si="132"/>
        <v>532</v>
      </c>
      <c r="J2166" s="1" t="s">
        <v>15</v>
      </c>
      <c r="K2166" s="4" t="s">
        <v>202</v>
      </c>
      <c r="L2166" s="4" t="s">
        <v>226</v>
      </c>
      <c r="M2166" s="8">
        <v>180</v>
      </c>
      <c r="N2166" s="5">
        <v>714.35</v>
      </c>
      <c r="O2166" s="5">
        <v>128583</v>
      </c>
      <c r="P2166">
        <f t="shared" si="133"/>
        <v>0</v>
      </c>
      <c r="Q2166" s="36">
        <f t="shared" si="134"/>
        <v>118582.1</v>
      </c>
      <c r="R2166">
        <f t="shared" si="135"/>
        <v>2022</v>
      </c>
    </row>
    <row r="2167" spans="1:18" x14ac:dyDescent="0.2">
      <c r="A2167" s="13">
        <v>45246</v>
      </c>
      <c r="B2167" s="13">
        <v>45051</v>
      </c>
      <c r="C2167" s="25" t="s">
        <v>399</v>
      </c>
      <c r="D2167" s="20">
        <v>195</v>
      </c>
      <c r="E2167" s="28">
        <v>154299.6</v>
      </c>
      <c r="F2167" s="22" t="s">
        <v>290</v>
      </c>
      <c r="G2167" s="14">
        <v>216</v>
      </c>
      <c r="H2167" s="40">
        <v>44686</v>
      </c>
      <c r="I2167" s="46">
        <f t="shared" si="132"/>
        <v>560</v>
      </c>
      <c r="J2167" s="1" t="s">
        <v>15</v>
      </c>
      <c r="K2167" s="4" t="s">
        <v>202</v>
      </c>
      <c r="L2167" s="4" t="s">
        <v>226</v>
      </c>
      <c r="M2167" s="8">
        <v>216</v>
      </c>
      <c r="N2167" s="5">
        <v>714.35</v>
      </c>
      <c r="O2167" s="5">
        <v>154299.6</v>
      </c>
      <c r="P2167">
        <f t="shared" si="133"/>
        <v>1</v>
      </c>
      <c r="Q2167" s="36">
        <f t="shared" si="134"/>
        <v>154299.6</v>
      </c>
      <c r="R2167">
        <f t="shared" si="135"/>
        <v>2022</v>
      </c>
    </row>
    <row r="2168" spans="1:18" x14ac:dyDescent="0.2">
      <c r="A2168" s="13">
        <v>45246</v>
      </c>
      <c r="B2168" s="13">
        <v>45051</v>
      </c>
      <c r="C2168" s="25" t="s">
        <v>399</v>
      </c>
      <c r="D2168" s="20">
        <v>195</v>
      </c>
      <c r="E2168" s="28">
        <v>164300.5</v>
      </c>
      <c r="F2168" s="22" t="s">
        <v>290</v>
      </c>
      <c r="G2168" s="14">
        <v>230</v>
      </c>
      <c r="H2168" s="40">
        <v>44686</v>
      </c>
      <c r="I2168" s="46">
        <f t="shared" si="132"/>
        <v>560</v>
      </c>
      <c r="J2168" s="1" t="s">
        <v>15</v>
      </c>
      <c r="K2168" s="4" t="s">
        <v>202</v>
      </c>
      <c r="L2168" s="4" t="s">
        <v>226</v>
      </c>
      <c r="M2168" s="8">
        <v>252</v>
      </c>
      <c r="N2168" s="5">
        <v>714.35</v>
      </c>
      <c r="O2168" s="5">
        <v>180016.2</v>
      </c>
      <c r="P2168">
        <f t="shared" si="133"/>
        <v>0</v>
      </c>
      <c r="Q2168" s="36">
        <f t="shared" si="134"/>
        <v>164300.5</v>
      </c>
      <c r="R2168">
        <f t="shared" si="135"/>
        <v>2022</v>
      </c>
    </row>
    <row r="2169" spans="1:18" x14ac:dyDescent="0.2">
      <c r="A2169" s="13">
        <v>45300</v>
      </c>
      <c r="B2169" s="13">
        <v>45051</v>
      </c>
      <c r="C2169" s="25" t="s">
        <v>399</v>
      </c>
      <c r="D2169" s="20">
        <v>249</v>
      </c>
      <c r="E2169" s="28">
        <v>15715.7</v>
      </c>
      <c r="F2169" s="22" t="s">
        <v>290</v>
      </c>
      <c r="G2169" s="14">
        <v>22</v>
      </c>
      <c r="H2169" s="40">
        <v>44686</v>
      </c>
      <c r="I2169" s="46">
        <f t="shared" si="132"/>
        <v>614</v>
      </c>
      <c r="J2169" s="1" t="s">
        <v>15</v>
      </c>
      <c r="K2169" s="4" t="s">
        <v>202</v>
      </c>
      <c r="L2169" s="4" t="s">
        <v>226</v>
      </c>
      <c r="M2169" s="8">
        <v>252</v>
      </c>
      <c r="N2169" s="5">
        <v>714.35</v>
      </c>
      <c r="O2169" s="5">
        <v>180016.2</v>
      </c>
      <c r="P2169">
        <f t="shared" si="133"/>
        <v>0</v>
      </c>
      <c r="Q2169" s="36">
        <f t="shared" si="134"/>
        <v>15715.7</v>
      </c>
      <c r="R2169">
        <f t="shared" si="135"/>
        <v>2022</v>
      </c>
    </row>
    <row r="2170" spans="1:18" x14ac:dyDescent="0.2">
      <c r="A2170" s="13">
        <v>45300</v>
      </c>
      <c r="B2170" s="13">
        <v>45065</v>
      </c>
      <c r="C2170" s="25" t="s">
        <v>399</v>
      </c>
      <c r="D2170" s="20">
        <v>235</v>
      </c>
      <c r="E2170" s="28">
        <v>102866.4</v>
      </c>
      <c r="F2170" s="22" t="s">
        <v>290</v>
      </c>
      <c r="G2170" s="14">
        <v>144</v>
      </c>
      <c r="H2170" s="40">
        <v>44686</v>
      </c>
      <c r="I2170" s="46">
        <f t="shared" si="132"/>
        <v>614</v>
      </c>
      <c r="J2170" s="1" t="s">
        <v>15</v>
      </c>
      <c r="K2170" s="4" t="s">
        <v>202</v>
      </c>
      <c r="L2170" s="4" t="s">
        <v>226</v>
      </c>
      <c r="M2170" s="8">
        <v>144</v>
      </c>
      <c r="N2170" s="5">
        <v>714.35</v>
      </c>
      <c r="O2170" s="5">
        <v>102866.4</v>
      </c>
      <c r="P2170">
        <f t="shared" si="133"/>
        <v>1</v>
      </c>
      <c r="Q2170" s="36">
        <f t="shared" si="134"/>
        <v>102866.40000000001</v>
      </c>
      <c r="R2170">
        <f t="shared" si="135"/>
        <v>2022</v>
      </c>
    </row>
    <row r="2171" spans="1:18" x14ac:dyDescent="0.2">
      <c r="A2171" s="13">
        <v>45300</v>
      </c>
      <c r="B2171" s="13">
        <v>45226</v>
      </c>
      <c r="C2171" s="25" t="s">
        <v>399</v>
      </c>
      <c r="D2171" s="20">
        <v>74</v>
      </c>
      <c r="E2171" s="28">
        <v>180016.2</v>
      </c>
      <c r="F2171" s="22" t="s">
        <v>290</v>
      </c>
      <c r="G2171" s="14">
        <v>252</v>
      </c>
      <c r="H2171" s="40">
        <v>44686</v>
      </c>
      <c r="I2171" s="46">
        <f t="shared" si="132"/>
        <v>614</v>
      </c>
      <c r="J2171" s="1" t="s">
        <v>15</v>
      </c>
      <c r="K2171" s="4" t="s">
        <v>202</v>
      </c>
      <c r="L2171" s="4" t="s">
        <v>226</v>
      </c>
      <c r="M2171" s="8">
        <v>252</v>
      </c>
      <c r="N2171" s="5">
        <v>714.35</v>
      </c>
      <c r="O2171" s="5">
        <v>180016.2</v>
      </c>
      <c r="P2171">
        <f t="shared" si="133"/>
        <v>1</v>
      </c>
      <c r="Q2171" s="36">
        <f t="shared" si="134"/>
        <v>180016.2</v>
      </c>
      <c r="R2171">
        <f t="shared" si="135"/>
        <v>2022</v>
      </c>
    </row>
    <row r="2172" spans="1:18" x14ac:dyDescent="0.2">
      <c r="A2172" s="13">
        <v>45300</v>
      </c>
      <c r="B2172" s="13">
        <v>45233</v>
      </c>
      <c r="C2172" s="25" t="s">
        <v>399</v>
      </c>
      <c r="D2172" s="20">
        <v>67</v>
      </c>
      <c r="E2172" s="28">
        <v>102866.4</v>
      </c>
      <c r="F2172" s="22" t="s">
        <v>290</v>
      </c>
      <c r="G2172" s="14">
        <v>144</v>
      </c>
      <c r="H2172" s="40">
        <v>44707</v>
      </c>
      <c r="I2172" s="46">
        <f t="shared" si="132"/>
        <v>593</v>
      </c>
      <c r="J2172" s="1" t="s">
        <v>15</v>
      </c>
      <c r="K2172" s="4" t="s">
        <v>202</v>
      </c>
      <c r="L2172" s="4" t="s">
        <v>226</v>
      </c>
      <c r="M2172" s="8">
        <v>144</v>
      </c>
      <c r="N2172" s="5">
        <v>714.35</v>
      </c>
      <c r="O2172" s="5">
        <v>102866.4</v>
      </c>
      <c r="P2172">
        <f t="shared" si="133"/>
        <v>1</v>
      </c>
      <c r="Q2172" s="36">
        <f t="shared" si="134"/>
        <v>102866.40000000001</v>
      </c>
      <c r="R2172">
        <f t="shared" si="135"/>
        <v>2022</v>
      </c>
    </row>
    <row r="2173" spans="1:18" x14ac:dyDescent="0.2">
      <c r="A2173" s="13">
        <v>45300</v>
      </c>
      <c r="B2173" s="13">
        <v>45240</v>
      </c>
      <c r="C2173" s="25" t="s">
        <v>399</v>
      </c>
      <c r="D2173" s="20">
        <v>60</v>
      </c>
      <c r="E2173" s="28">
        <v>180016.2</v>
      </c>
      <c r="F2173" s="22" t="s">
        <v>290</v>
      </c>
      <c r="G2173" s="14">
        <v>252</v>
      </c>
      <c r="H2173" s="40">
        <v>44707</v>
      </c>
      <c r="I2173" s="46">
        <f t="shared" si="132"/>
        <v>593</v>
      </c>
      <c r="J2173" s="1" t="s">
        <v>15</v>
      </c>
      <c r="K2173" s="4" t="s">
        <v>202</v>
      </c>
      <c r="L2173" s="4" t="s">
        <v>226</v>
      </c>
      <c r="M2173" s="8">
        <v>252</v>
      </c>
      <c r="N2173" s="5">
        <v>714.35</v>
      </c>
      <c r="O2173" s="5">
        <v>180016.2</v>
      </c>
      <c r="P2173">
        <f t="shared" si="133"/>
        <v>1</v>
      </c>
      <c r="Q2173" s="36">
        <f t="shared" si="134"/>
        <v>180016.2</v>
      </c>
      <c r="R2173">
        <f t="shared" si="135"/>
        <v>2022</v>
      </c>
    </row>
    <row r="2174" spans="1:18" x14ac:dyDescent="0.2">
      <c r="A2174" s="13">
        <v>45300</v>
      </c>
      <c r="B2174" s="13">
        <v>45233</v>
      </c>
      <c r="C2174" s="25" t="s">
        <v>399</v>
      </c>
      <c r="D2174" s="20">
        <v>67</v>
      </c>
      <c r="E2174" s="28">
        <v>77149.8</v>
      </c>
      <c r="F2174" s="22" t="s">
        <v>290</v>
      </c>
      <c r="G2174" s="14">
        <v>108</v>
      </c>
      <c r="H2174" s="40">
        <v>44707</v>
      </c>
      <c r="I2174" s="46">
        <f t="shared" si="132"/>
        <v>593</v>
      </c>
      <c r="J2174" s="1" t="s">
        <v>15</v>
      </c>
      <c r="K2174" s="4" t="s">
        <v>202</v>
      </c>
      <c r="L2174" s="4" t="s">
        <v>226</v>
      </c>
      <c r="M2174" s="8">
        <v>108</v>
      </c>
      <c r="N2174" s="5">
        <v>714.35</v>
      </c>
      <c r="O2174" s="5">
        <v>77149.8</v>
      </c>
      <c r="P2174">
        <f t="shared" si="133"/>
        <v>1</v>
      </c>
      <c r="Q2174" s="36">
        <f t="shared" si="134"/>
        <v>77149.8</v>
      </c>
      <c r="R2174">
        <f t="shared" si="135"/>
        <v>2022</v>
      </c>
    </row>
    <row r="2175" spans="1:18" x14ac:dyDescent="0.2">
      <c r="A2175" s="13">
        <v>45218</v>
      </c>
      <c r="B2175" s="13">
        <v>44995</v>
      </c>
      <c r="C2175" s="25" t="s">
        <v>399</v>
      </c>
      <c r="D2175" s="20">
        <v>223</v>
      </c>
      <c r="E2175" s="28">
        <v>51433.2</v>
      </c>
      <c r="F2175" s="22" t="s">
        <v>290</v>
      </c>
      <c r="G2175" s="14">
        <v>72</v>
      </c>
      <c r="H2175" s="40">
        <v>44721</v>
      </c>
      <c r="I2175" s="46">
        <f t="shared" si="132"/>
        <v>497</v>
      </c>
      <c r="J2175" s="1" t="s">
        <v>15</v>
      </c>
      <c r="K2175" s="4" t="s">
        <v>202</v>
      </c>
      <c r="L2175" s="4" t="s">
        <v>226</v>
      </c>
      <c r="M2175" s="8">
        <v>72</v>
      </c>
      <c r="N2175" s="5">
        <v>714.35</v>
      </c>
      <c r="O2175" s="5">
        <v>51433.2</v>
      </c>
      <c r="P2175">
        <f t="shared" si="133"/>
        <v>1</v>
      </c>
      <c r="Q2175" s="36">
        <f t="shared" si="134"/>
        <v>51433.200000000004</v>
      </c>
      <c r="R2175">
        <f t="shared" si="135"/>
        <v>2022</v>
      </c>
    </row>
    <row r="2176" spans="1:18" x14ac:dyDescent="0.2">
      <c r="A2176" s="13">
        <v>45300</v>
      </c>
      <c r="B2176" s="13">
        <v>45247</v>
      </c>
      <c r="C2176" s="25" t="s">
        <v>399</v>
      </c>
      <c r="D2176" s="20">
        <v>53</v>
      </c>
      <c r="E2176" s="28">
        <v>25716.6</v>
      </c>
      <c r="F2176" s="22" t="s">
        <v>290</v>
      </c>
      <c r="G2176" s="14">
        <v>36</v>
      </c>
      <c r="H2176" s="40">
        <v>44721</v>
      </c>
      <c r="I2176" s="46">
        <f t="shared" si="132"/>
        <v>579</v>
      </c>
      <c r="J2176" s="1" t="s">
        <v>15</v>
      </c>
      <c r="K2176" s="4" t="s">
        <v>202</v>
      </c>
      <c r="L2176" s="4" t="s">
        <v>226</v>
      </c>
      <c r="M2176" s="8">
        <v>36</v>
      </c>
      <c r="N2176" s="5">
        <v>714.35</v>
      </c>
      <c r="O2176" s="5">
        <v>25716.6</v>
      </c>
      <c r="P2176">
        <f t="shared" si="133"/>
        <v>1</v>
      </c>
      <c r="Q2176" s="36">
        <f t="shared" si="134"/>
        <v>25716.600000000002</v>
      </c>
      <c r="R2176">
        <f t="shared" si="135"/>
        <v>2022</v>
      </c>
    </row>
    <row r="2177" spans="1:18" x14ac:dyDescent="0.2">
      <c r="A2177" s="13">
        <v>45239</v>
      </c>
      <c r="B2177" s="13">
        <v>45009</v>
      </c>
      <c r="C2177" s="25" t="s">
        <v>399</v>
      </c>
      <c r="D2177" s="20">
        <v>230</v>
      </c>
      <c r="E2177" s="28">
        <v>127868.65</v>
      </c>
      <c r="F2177" s="22" t="s">
        <v>290</v>
      </c>
      <c r="G2177" s="14">
        <v>179</v>
      </c>
      <c r="H2177" s="40">
        <v>44740</v>
      </c>
      <c r="I2177" s="46">
        <f t="shared" si="132"/>
        <v>499</v>
      </c>
      <c r="J2177" s="1" t="s">
        <v>15</v>
      </c>
      <c r="K2177" s="4" t="s">
        <v>202</v>
      </c>
      <c r="L2177" s="4" t="s">
        <v>226</v>
      </c>
      <c r="M2177" s="8">
        <v>216</v>
      </c>
      <c r="N2177" s="5">
        <v>714.35</v>
      </c>
      <c r="O2177" s="5">
        <v>154299.6</v>
      </c>
      <c r="P2177">
        <f t="shared" si="133"/>
        <v>0</v>
      </c>
      <c r="Q2177" s="36">
        <f t="shared" si="134"/>
        <v>127868.65000000001</v>
      </c>
      <c r="R2177">
        <f t="shared" si="135"/>
        <v>2022</v>
      </c>
    </row>
    <row r="2178" spans="1:18" x14ac:dyDescent="0.2">
      <c r="A2178" s="13">
        <v>45246</v>
      </c>
      <c r="B2178" s="13">
        <v>45009</v>
      </c>
      <c r="C2178" s="25" t="s">
        <v>399</v>
      </c>
      <c r="D2178" s="20">
        <v>237</v>
      </c>
      <c r="E2178" s="28">
        <v>26430.95</v>
      </c>
      <c r="F2178" s="22" t="s">
        <v>290</v>
      </c>
      <c r="G2178" s="14">
        <v>37</v>
      </c>
      <c r="H2178" s="40">
        <v>44740</v>
      </c>
      <c r="I2178" s="46">
        <f t="shared" si="132"/>
        <v>506</v>
      </c>
      <c r="J2178" s="1" t="s">
        <v>15</v>
      </c>
      <c r="K2178" s="4" t="s">
        <v>202</v>
      </c>
      <c r="L2178" s="4" t="s">
        <v>226</v>
      </c>
      <c r="M2178" s="8">
        <v>216</v>
      </c>
      <c r="N2178" s="5">
        <v>714.35</v>
      </c>
      <c r="O2178" s="5">
        <v>154299.6</v>
      </c>
      <c r="P2178">
        <f t="shared" si="133"/>
        <v>0</v>
      </c>
      <c r="Q2178" s="36">
        <f t="shared" si="134"/>
        <v>26430.95</v>
      </c>
      <c r="R2178">
        <f t="shared" si="135"/>
        <v>2022</v>
      </c>
    </row>
    <row r="2179" spans="1:18" x14ac:dyDescent="0.2">
      <c r="A2179" s="13">
        <v>45246</v>
      </c>
      <c r="B2179" s="13">
        <v>45023</v>
      </c>
      <c r="C2179" s="25" t="s">
        <v>399</v>
      </c>
      <c r="D2179" s="20">
        <v>223</v>
      </c>
      <c r="E2179" s="28">
        <v>246450.75</v>
      </c>
      <c r="F2179" s="22" t="s">
        <v>290</v>
      </c>
      <c r="G2179" s="14">
        <v>345</v>
      </c>
      <c r="H2179" s="40">
        <v>44740</v>
      </c>
      <c r="I2179" s="46">
        <f t="shared" ref="I2179:I2242" si="136">IFERROR(A2179-H2179,"")*1</f>
        <v>506</v>
      </c>
      <c r="J2179" s="1" t="s">
        <v>15</v>
      </c>
      <c r="K2179" s="4" t="s">
        <v>202</v>
      </c>
      <c r="L2179" s="4" t="s">
        <v>226</v>
      </c>
      <c r="M2179" s="8">
        <v>345</v>
      </c>
      <c r="N2179" s="5">
        <v>714.35</v>
      </c>
      <c r="O2179" s="5">
        <v>246450.75</v>
      </c>
      <c r="P2179">
        <f t="shared" ref="P2179:P2242" si="137">IF(M2179=G2179,1,0)</f>
        <v>1</v>
      </c>
      <c r="Q2179" s="36">
        <f t="shared" ref="Q2179:Q2242" si="138">N2179*G2179</f>
        <v>246450.75</v>
      </c>
      <c r="R2179">
        <f t="shared" ref="R2179:R2242" si="139">YEAR(H2179)</f>
        <v>2022</v>
      </c>
    </row>
    <row r="2180" spans="1:18" x14ac:dyDescent="0.2">
      <c r="A2180" s="13">
        <v>45300</v>
      </c>
      <c r="B2180" s="13">
        <v>45293</v>
      </c>
      <c r="C2180" s="25" t="s">
        <v>399</v>
      </c>
      <c r="D2180" s="20">
        <v>7</v>
      </c>
      <c r="E2180" s="28">
        <v>154299.6</v>
      </c>
      <c r="F2180" s="22" t="s">
        <v>290</v>
      </c>
      <c r="G2180" s="14">
        <v>216</v>
      </c>
      <c r="H2180" s="40">
        <v>44839</v>
      </c>
      <c r="I2180" s="46">
        <f t="shared" si="136"/>
        <v>461</v>
      </c>
      <c r="J2180" s="1" t="s">
        <v>15</v>
      </c>
      <c r="K2180" s="4" t="s">
        <v>202</v>
      </c>
      <c r="L2180" s="4" t="s">
        <v>226</v>
      </c>
      <c r="M2180" s="8">
        <v>216</v>
      </c>
      <c r="N2180" s="5">
        <v>714.35</v>
      </c>
      <c r="O2180" s="5">
        <v>154299.6</v>
      </c>
      <c r="P2180">
        <f t="shared" si="137"/>
        <v>1</v>
      </c>
      <c r="Q2180" s="36">
        <f t="shared" si="138"/>
        <v>154299.6</v>
      </c>
      <c r="R2180">
        <f t="shared" si="139"/>
        <v>2022</v>
      </c>
    </row>
    <row r="2181" spans="1:18" x14ac:dyDescent="0.2">
      <c r="A2181" s="13">
        <v>45300</v>
      </c>
      <c r="B2181" s="13">
        <v>45293</v>
      </c>
      <c r="C2181" s="25" t="s">
        <v>399</v>
      </c>
      <c r="D2181" s="20">
        <v>7</v>
      </c>
      <c r="E2181" s="28">
        <v>112867.3</v>
      </c>
      <c r="F2181" s="22" t="s">
        <v>290</v>
      </c>
      <c r="G2181" s="14">
        <v>158</v>
      </c>
      <c r="H2181" s="40">
        <v>44839</v>
      </c>
      <c r="I2181" s="46">
        <f t="shared" si="136"/>
        <v>461</v>
      </c>
      <c r="J2181" s="1" t="s">
        <v>15</v>
      </c>
      <c r="K2181" s="4" t="s">
        <v>202</v>
      </c>
      <c r="L2181" s="4" t="s">
        <v>226</v>
      </c>
      <c r="M2181" s="8">
        <v>216</v>
      </c>
      <c r="N2181" s="5">
        <v>714.35</v>
      </c>
      <c r="O2181" s="5">
        <v>154299.6</v>
      </c>
      <c r="P2181">
        <f t="shared" si="137"/>
        <v>0</v>
      </c>
      <c r="Q2181" s="36">
        <f t="shared" si="138"/>
        <v>112867.3</v>
      </c>
      <c r="R2181">
        <f t="shared" si="139"/>
        <v>2022</v>
      </c>
    </row>
    <row r="2182" spans="1:18" x14ac:dyDescent="0.2">
      <c r="A2182" s="13">
        <v>45314</v>
      </c>
      <c r="B2182" s="13">
        <v>45293</v>
      </c>
      <c r="C2182" s="25" t="s">
        <v>399</v>
      </c>
      <c r="D2182" s="20">
        <v>21</v>
      </c>
      <c r="E2182" s="28">
        <v>41432.300000000003</v>
      </c>
      <c r="F2182" s="22" t="s">
        <v>290</v>
      </c>
      <c r="G2182" s="14">
        <v>58</v>
      </c>
      <c r="H2182" s="40">
        <v>44839</v>
      </c>
      <c r="I2182" s="46">
        <f t="shared" si="136"/>
        <v>475</v>
      </c>
      <c r="J2182" s="1" t="s">
        <v>15</v>
      </c>
      <c r="K2182" s="4" t="s">
        <v>202</v>
      </c>
      <c r="L2182" s="4" t="s">
        <v>226</v>
      </c>
      <c r="M2182" s="8">
        <v>216</v>
      </c>
      <c r="N2182" s="5">
        <v>714.35</v>
      </c>
      <c r="O2182" s="5">
        <v>154299.6</v>
      </c>
      <c r="P2182">
        <f t="shared" si="137"/>
        <v>0</v>
      </c>
      <c r="Q2182" s="36">
        <f t="shared" si="138"/>
        <v>41432.300000000003</v>
      </c>
      <c r="R2182">
        <f t="shared" si="139"/>
        <v>2022</v>
      </c>
    </row>
    <row r="2183" spans="1:18" x14ac:dyDescent="0.2">
      <c r="A2183" s="13">
        <v>45314</v>
      </c>
      <c r="B2183" s="13">
        <v>45293</v>
      </c>
      <c r="C2183" s="25" t="s">
        <v>399</v>
      </c>
      <c r="D2183" s="20">
        <v>21</v>
      </c>
      <c r="E2183" s="28">
        <v>77149.8</v>
      </c>
      <c r="F2183" s="22" t="s">
        <v>290</v>
      </c>
      <c r="G2183" s="14">
        <v>108</v>
      </c>
      <c r="H2183" s="40">
        <v>44839</v>
      </c>
      <c r="I2183" s="46">
        <f t="shared" si="136"/>
        <v>475</v>
      </c>
      <c r="J2183" s="1" t="s">
        <v>15</v>
      </c>
      <c r="K2183" s="4" t="s">
        <v>202</v>
      </c>
      <c r="L2183" s="4" t="s">
        <v>226</v>
      </c>
      <c r="M2183" s="8">
        <v>108</v>
      </c>
      <c r="N2183" s="5">
        <v>714.35</v>
      </c>
      <c r="O2183" s="5">
        <v>77149.8</v>
      </c>
      <c r="P2183">
        <f t="shared" si="137"/>
        <v>1</v>
      </c>
      <c r="Q2183" s="36">
        <f t="shared" si="138"/>
        <v>77149.8</v>
      </c>
      <c r="R2183">
        <f t="shared" si="139"/>
        <v>2022</v>
      </c>
    </row>
    <row r="2184" spans="1:18" x14ac:dyDescent="0.2">
      <c r="A2184" s="13">
        <v>45314</v>
      </c>
      <c r="B2184" s="13">
        <v>45293</v>
      </c>
      <c r="C2184" s="25" t="s">
        <v>399</v>
      </c>
      <c r="D2184" s="20">
        <v>21</v>
      </c>
      <c r="E2184" s="28">
        <v>257166</v>
      </c>
      <c r="F2184" s="22" t="s">
        <v>290</v>
      </c>
      <c r="G2184" s="14">
        <v>360</v>
      </c>
      <c r="H2184" s="40">
        <v>44852</v>
      </c>
      <c r="I2184" s="46">
        <f t="shared" si="136"/>
        <v>462</v>
      </c>
      <c r="J2184" s="1" t="s">
        <v>15</v>
      </c>
      <c r="K2184" s="4" t="s">
        <v>202</v>
      </c>
      <c r="L2184" s="4" t="s">
        <v>226</v>
      </c>
      <c r="M2184" s="8">
        <v>360</v>
      </c>
      <c r="N2184" s="5">
        <v>714.35</v>
      </c>
      <c r="O2184" s="5">
        <v>257166</v>
      </c>
      <c r="P2184">
        <f t="shared" si="137"/>
        <v>1</v>
      </c>
      <c r="Q2184" s="36">
        <f t="shared" si="138"/>
        <v>257166</v>
      </c>
      <c r="R2184">
        <f t="shared" si="139"/>
        <v>2022</v>
      </c>
    </row>
    <row r="2185" spans="1:18" x14ac:dyDescent="0.2">
      <c r="A2185" s="13">
        <v>45317</v>
      </c>
      <c r="B2185" s="13">
        <v>45293</v>
      </c>
      <c r="C2185" s="25" t="s">
        <v>399</v>
      </c>
      <c r="D2185" s="20">
        <v>24</v>
      </c>
      <c r="E2185" s="28">
        <v>61434.1</v>
      </c>
      <c r="F2185" s="22" t="s">
        <v>290</v>
      </c>
      <c r="G2185" s="14">
        <v>86</v>
      </c>
      <c r="H2185" s="40">
        <v>44862</v>
      </c>
      <c r="I2185" s="46">
        <f t="shared" si="136"/>
        <v>455</v>
      </c>
      <c r="J2185" s="1" t="s">
        <v>15</v>
      </c>
      <c r="K2185" s="4" t="s">
        <v>202</v>
      </c>
      <c r="L2185" s="4" t="s">
        <v>226</v>
      </c>
      <c r="M2185" s="8">
        <v>288</v>
      </c>
      <c r="N2185" s="5">
        <v>714.35</v>
      </c>
      <c r="O2185" s="5">
        <v>205732.8</v>
      </c>
      <c r="P2185">
        <f t="shared" si="137"/>
        <v>0</v>
      </c>
      <c r="Q2185" s="36">
        <f t="shared" si="138"/>
        <v>61434.1</v>
      </c>
      <c r="R2185">
        <f t="shared" si="139"/>
        <v>2022</v>
      </c>
    </row>
    <row r="2186" spans="1:18" x14ac:dyDescent="0.2">
      <c r="A2186" s="13">
        <v>45324</v>
      </c>
      <c r="B2186" s="13">
        <v>45293</v>
      </c>
      <c r="C2186" s="25" t="s">
        <v>399</v>
      </c>
      <c r="D2186" s="20">
        <v>31</v>
      </c>
      <c r="E2186" s="28">
        <v>144298.70000000001</v>
      </c>
      <c r="F2186" s="22" t="s">
        <v>290</v>
      </c>
      <c r="G2186" s="14">
        <v>202</v>
      </c>
      <c r="H2186" s="40">
        <v>44862</v>
      </c>
      <c r="I2186" s="46">
        <f t="shared" si="136"/>
        <v>462</v>
      </c>
      <c r="J2186" s="1" t="s">
        <v>15</v>
      </c>
      <c r="K2186" s="4" t="s">
        <v>202</v>
      </c>
      <c r="L2186" s="4" t="s">
        <v>226</v>
      </c>
      <c r="M2186" s="8">
        <v>288</v>
      </c>
      <c r="N2186" s="5">
        <v>714.35</v>
      </c>
      <c r="O2186" s="5">
        <v>205732.8</v>
      </c>
      <c r="P2186">
        <f t="shared" si="137"/>
        <v>0</v>
      </c>
      <c r="Q2186" s="36">
        <f t="shared" si="138"/>
        <v>144298.70000000001</v>
      </c>
      <c r="R2186">
        <f t="shared" si="139"/>
        <v>2022</v>
      </c>
    </row>
    <row r="2187" spans="1:18" x14ac:dyDescent="0.2">
      <c r="A2187" s="13">
        <v>45324</v>
      </c>
      <c r="B2187" s="13">
        <v>45293</v>
      </c>
      <c r="C2187" s="25" t="s">
        <v>399</v>
      </c>
      <c r="D2187" s="20">
        <v>31</v>
      </c>
      <c r="E2187" s="28">
        <v>180016.2</v>
      </c>
      <c r="F2187" s="22" t="s">
        <v>290</v>
      </c>
      <c r="G2187" s="14">
        <v>252</v>
      </c>
      <c r="H2187" s="40">
        <v>44862</v>
      </c>
      <c r="I2187" s="46">
        <f t="shared" si="136"/>
        <v>462</v>
      </c>
      <c r="J2187" s="1" t="s">
        <v>15</v>
      </c>
      <c r="K2187" s="4" t="s">
        <v>202</v>
      </c>
      <c r="L2187" s="4" t="s">
        <v>226</v>
      </c>
      <c r="M2187" s="8">
        <v>252</v>
      </c>
      <c r="N2187" s="5">
        <v>714.35</v>
      </c>
      <c r="O2187" s="5">
        <v>180016.2</v>
      </c>
      <c r="P2187">
        <f t="shared" si="137"/>
        <v>1</v>
      </c>
      <c r="Q2187" s="36">
        <f t="shared" si="138"/>
        <v>180016.2</v>
      </c>
      <c r="R2187">
        <f t="shared" si="139"/>
        <v>2022</v>
      </c>
    </row>
    <row r="2188" spans="1:18" x14ac:dyDescent="0.2">
      <c r="A2188" s="13">
        <v>45324</v>
      </c>
      <c r="B2188" s="13">
        <v>45293</v>
      </c>
      <c r="C2188" s="25" t="s">
        <v>399</v>
      </c>
      <c r="D2188" s="20">
        <v>31</v>
      </c>
      <c r="E2188" s="28">
        <v>360032.4</v>
      </c>
      <c r="F2188" s="22" t="s">
        <v>290</v>
      </c>
      <c r="G2188" s="14">
        <v>504</v>
      </c>
      <c r="H2188" s="40">
        <v>44866</v>
      </c>
      <c r="I2188" s="46">
        <f t="shared" si="136"/>
        <v>458</v>
      </c>
      <c r="J2188" s="1" t="s">
        <v>15</v>
      </c>
      <c r="K2188" s="4" t="s">
        <v>202</v>
      </c>
      <c r="L2188" s="4" t="s">
        <v>226</v>
      </c>
      <c r="M2188" s="8">
        <v>504</v>
      </c>
      <c r="N2188" s="5">
        <v>714.35</v>
      </c>
      <c r="O2188" s="5">
        <v>360032.4</v>
      </c>
      <c r="P2188">
        <f t="shared" si="137"/>
        <v>1</v>
      </c>
      <c r="Q2188" s="36">
        <f t="shared" si="138"/>
        <v>360032.4</v>
      </c>
      <c r="R2188">
        <f t="shared" si="139"/>
        <v>2022</v>
      </c>
    </row>
    <row r="2189" spans="1:18" x14ac:dyDescent="0.2">
      <c r="A2189" s="13">
        <v>45324</v>
      </c>
      <c r="B2189" s="13">
        <v>45293</v>
      </c>
      <c r="C2189" s="25" t="s">
        <v>399</v>
      </c>
      <c r="D2189" s="20">
        <v>31</v>
      </c>
      <c r="E2189" s="28">
        <v>257166</v>
      </c>
      <c r="F2189" s="22" t="s">
        <v>290</v>
      </c>
      <c r="G2189" s="14">
        <v>360</v>
      </c>
      <c r="H2189" s="40">
        <v>44866</v>
      </c>
      <c r="I2189" s="46">
        <f t="shared" si="136"/>
        <v>458</v>
      </c>
      <c r="J2189" s="1" t="s">
        <v>15</v>
      </c>
      <c r="K2189" s="4" t="s">
        <v>202</v>
      </c>
      <c r="L2189" s="4" t="s">
        <v>226</v>
      </c>
      <c r="M2189" s="8">
        <v>360</v>
      </c>
      <c r="N2189" s="5">
        <v>714.35</v>
      </c>
      <c r="O2189" s="5">
        <v>257166</v>
      </c>
      <c r="P2189">
        <f t="shared" si="137"/>
        <v>1</v>
      </c>
      <c r="Q2189" s="36">
        <f t="shared" si="138"/>
        <v>257166</v>
      </c>
      <c r="R2189">
        <f t="shared" si="139"/>
        <v>2022</v>
      </c>
    </row>
    <row r="2190" spans="1:18" x14ac:dyDescent="0.2">
      <c r="A2190" s="13">
        <v>45324</v>
      </c>
      <c r="B2190" s="13">
        <v>45293</v>
      </c>
      <c r="C2190" s="25" t="s">
        <v>399</v>
      </c>
      <c r="D2190" s="20">
        <v>31</v>
      </c>
      <c r="E2190" s="28">
        <v>10000.9</v>
      </c>
      <c r="F2190" s="22" t="s">
        <v>290</v>
      </c>
      <c r="G2190" s="14">
        <v>14</v>
      </c>
      <c r="H2190" s="40">
        <v>44867</v>
      </c>
      <c r="I2190" s="46">
        <f t="shared" si="136"/>
        <v>457</v>
      </c>
      <c r="J2190" s="1" t="s">
        <v>15</v>
      </c>
      <c r="K2190" s="4" t="s">
        <v>202</v>
      </c>
      <c r="L2190" s="4" t="s">
        <v>226</v>
      </c>
      <c r="M2190" s="8">
        <v>216</v>
      </c>
      <c r="N2190" s="5">
        <v>714.35</v>
      </c>
      <c r="O2190" s="5">
        <v>154299.6</v>
      </c>
      <c r="P2190">
        <f t="shared" si="137"/>
        <v>0</v>
      </c>
      <c r="Q2190" s="36">
        <f t="shared" si="138"/>
        <v>10000.9</v>
      </c>
      <c r="R2190">
        <f t="shared" si="139"/>
        <v>2022</v>
      </c>
    </row>
    <row r="2191" spans="1:18" x14ac:dyDescent="0.2">
      <c r="A2191" s="13">
        <v>45331</v>
      </c>
      <c r="B2191" s="13">
        <v>45293</v>
      </c>
      <c r="C2191" s="25" t="s">
        <v>399</v>
      </c>
      <c r="D2191" s="20">
        <v>38</v>
      </c>
      <c r="E2191" s="28">
        <v>144298.70000000001</v>
      </c>
      <c r="F2191" s="22" t="s">
        <v>290</v>
      </c>
      <c r="G2191" s="14">
        <v>202</v>
      </c>
      <c r="H2191" s="40">
        <v>44867</v>
      </c>
      <c r="I2191" s="46">
        <f t="shared" si="136"/>
        <v>464</v>
      </c>
      <c r="J2191" s="1" t="s">
        <v>15</v>
      </c>
      <c r="K2191" s="4" t="s">
        <v>202</v>
      </c>
      <c r="L2191" s="4" t="s">
        <v>226</v>
      </c>
      <c r="M2191" s="8">
        <v>216</v>
      </c>
      <c r="N2191" s="5">
        <v>714.35</v>
      </c>
      <c r="O2191" s="5">
        <v>154299.6</v>
      </c>
      <c r="P2191">
        <f t="shared" si="137"/>
        <v>0</v>
      </c>
      <c r="Q2191" s="36">
        <f t="shared" si="138"/>
        <v>144298.70000000001</v>
      </c>
      <c r="R2191">
        <f t="shared" si="139"/>
        <v>2022</v>
      </c>
    </row>
    <row r="2192" spans="1:18" x14ac:dyDescent="0.2">
      <c r="A2192" s="13">
        <v>45331</v>
      </c>
      <c r="B2192" s="13">
        <v>45293</v>
      </c>
      <c r="C2192" s="25" t="s">
        <v>399</v>
      </c>
      <c r="D2192" s="20">
        <v>38</v>
      </c>
      <c r="E2192" s="28">
        <v>128583</v>
      </c>
      <c r="F2192" s="22" t="s">
        <v>290</v>
      </c>
      <c r="G2192" s="14">
        <v>180</v>
      </c>
      <c r="H2192" s="40">
        <v>44867</v>
      </c>
      <c r="I2192" s="46">
        <f t="shared" si="136"/>
        <v>464</v>
      </c>
      <c r="J2192" s="1" t="s">
        <v>15</v>
      </c>
      <c r="K2192" s="4" t="s">
        <v>202</v>
      </c>
      <c r="L2192" s="4" t="s">
        <v>226</v>
      </c>
      <c r="M2192" s="8">
        <v>180</v>
      </c>
      <c r="N2192" s="5">
        <v>714.35</v>
      </c>
      <c r="O2192" s="5">
        <v>128583</v>
      </c>
      <c r="P2192">
        <f t="shared" si="137"/>
        <v>1</v>
      </c>
      <c r="Q2192" s="36">
        <f t="shared" si="138"/>
        <v>128583</v>
      </c>
      <c r="R2192">
        <f t="shared" si="139"/>
        <v>2022</v>
      </c>
    </row>
    <row r="2193" spans="1:18" x14ac:dyDescent="0.2">
      <c r="A2193" s="13">
        <v>45331</v>
      </c>
      <c r="B2193" s="13">
        <v>45293</v>
      </c>
      <c r="C2193" s="25" t="s">
        <v>399</v>
      </c>
      <c r="D2193" s="20">
        <v>38</v>
      </c>
      <c r="E2193" s="28">
        <v>128583</v>
      </c>
      <c r="F2193" s="22" t="s">
        <v>290</v>
      </c>
      <c r="G2193" s="14">
        <v>180</v>
      </c>
      <c r="H2193" s="40">
        <v>44867</v>
      </c>
      <c r="I2193" s="46">
        <f t="shared" si="136"/>
        <v>464</v>
      </c>
      <c r="J2193" s="1" t="s">
        <v>15</v>
      </c>
      <c r="K2193" s="4" t="s">
        <v>202</v>
      </c>
      <c r="L2193" s="4" t="s">
        <v>226</v>
      </c>
      <c r="M2193" s="8">
        <v>180</v>
      </c>
      <c r="N2193" s="5">
        <v>714.35</v>
      </c>
      <c r="O2193" s="5">
        <v>128583</v>
      </c>
      <c r="P2193">
        <f t="shared" si="137"/>
        <v>1</v>
      </c>
      <c r="Q2193" s="36">
        <f t="shared" si="138"/>
        <v>128583</v>
      </c>
      <c r="R2193">
        <f t="shared" si="139"/>
        <v>2022</v>
      </c>
    </row>
    <row r="2194" spans="1:18" x14ac:dyDescent="0.2">
      <c r="A2194" s="13">
        <v>45331</v>
      </c>
      <c r="B2194" s="13">
        <v>45293</v>
      </c>
      <c r="C2194" s="25" t="s">
        <v>399</v>
      </c>
      <c r="D2194" s="20">
        <v>38</v>
      </c>
      <c r="E2194" s="28">
        <v>154299.6</v>
      </c>
      <c r="F2194" s="22" t="s">
        <v>290</v>
      </c>
      <c r="G2194" s="14">
        <v>216</v>
      </c>
      <c r="H2194" s="40">
        <v>44867</v>
      </c>
      <c r="I2194" s="46">
        <f t="shared" si="136"/>
        <v>464</v>
      </c>
      <c r="J2194" s="1" t="s">
        <v>15</v>
      </c>
      <c r="K2194" s="4" t="s">
        <v>202</v>
      </c>
      <c r="L2194" s="4" t="s">
        <v>226</v>
      </c>
      <c r="M2194" s="8">
        <v>216</v>
      </c>
      <c r="N2194" s="5">
        <v>714.35</v>
      </c>
      <c r="O2194" s="5">
        <v>154299.6</v>
      </c>
      <c r="P2194">
        <f t="shared" si="137"/>
        <v>1</v>
      </c>
      <c r="Q2194" s="36">
        <f t="shared" si="138"/>
        <v>154299.6</v>
      </c>
      <c r="R2194">
        <f t="shared" si="139"/>
        <v>2022</v>
      </c>
    </row>
    <row r="2195" spans="1:18" x14ac:dyDescent="0.2">
      <c r="A2195" s="13">
        <v>45331</v>
      </c>
      <c r="B2195" s="13">
        <v>45293</v>
      </c>
      <c r="C2195" s="25" t="s">
        <v>399</v>
      </c>
      <c r="D2195" s="20">
        <v>38</v>
      </c>
      <c r="E2195" s="28">
        <v>114296</v>
      </c>
      <c r="F2195" s="22" t="s">
        <v>290</v>
      </c>
      <c r="G2195" s="14">
        <v>160</v>
      </c>
      <c r="H2195" s="40">
        <v>44869</v>
      </c>
      <c r="I2195" s="46">
        <f t="shared" si="136"/>
        <v>462</v>
      </c>
      <c r="J2195" s="1" t="s">
        <v>15</v>
      </c>
      <c r="K2195" s="4" t="s">
        <v>202</v>
      </c>
      <c r="L2195" s="4" t="s">
        <v>226</v>
      </c>
      <c r="M2195" s="8">
        <v>540</v>
      </c>
      <c r="N2195" s="5">
        <v>714.35</v>
      </c>
      <c r="O2195" s="5">
        <v>385749</v>
      </c>
      <c r="P2195">
        <f t="shared" si="137"/>
        <v>0</v>
      </c>
      <c r="Q2195" s="36">
        <f t="shared" si="138"/>
        <v>114296</v>
      </c>
      <c r="R2195">
        <f t="shared" si="139"/>
        <v>2022</v>
      </c>
    </row>
    <row r="2196" spans="1:18" x14ac:dyDescent="0.2">
      <c r="A2196" s="13">
        <v>45332</v>
      </c>
      <c r="B2196" s="13">
        <v>45293</v>
      </c>
      <c r="C2196" s="25" t="s">
        <v>399</v>
      </c>
      <c r="D2196" s="20">
        <v>39</v>
      </c>
      <c r="E2196" s="28">
        <v>102866.4</v>
      </c>
      <c r="F2196" s="22" t="s">
        <v>290</v>
      </c>
      <c r="G2196" s="14">
        <v>144</v>
      </c>
      <c r="H2196" s="40">
        <v>44869</v>
      </c>
      <c r="I2196" s="46">
        <f t="shared" si="136"/>
        <v>463</v>
      </c>
      <c r="J2196" s="1" t="s">
        <v>15</v>
      </c>
      <c r="K2196" s="4" t="s">
        <v>202</v>
      </c>
      <c r="L2196" s="4" t="s">
        <v>226</v>
      </c>
      <c r="M2196" s="8">
        <v>540</v>
      </c>
      <c r="N2196" s="5">
        <v>714.35</v>
      </c>
      <c r="O2196" s="5">
        <v>385749</v>
      </c>
      <c r="P2196">
        <f t="shared" si="137"/>
        <v>0</v>
      </c>
      <c r="Q2196" s="36">
        <f t="shared" si="138"/>
        <v>102866.40000000001</v>
      </c>
      <c r="R2196">
        <f t="shared" si="139"/>
        <v>2022</v>
      </c>
    </row>
    <row r="2197" spans="1:18" x14ac:dyDescent="0.2">
      <c r="A2197" s="13">
        <v>45339</v>
      </c>
      <c r="B2197" s="13">
        <v>45293</v>
      </c>
      <c r="C2197" s="25" t="s">
        <v>399</v>
      </c>
      <c r="D2197" s="20">
        <v>46</v>
      </c>
      <c r="E2197" s="28">
        <v>168586.6</v>
      </c>
      <c r="F2197" s="22" t="s">
        <v>290</v>
      </c>
      <c r="G2197" s="14">
        <v>236</v>
      </c>
      <c r="H2197" s="40">
        <v>44869</v>
      </c>
      <c r="I2197" s="46">
        <f t="shared" si="136"/>
        <v>470</v>
      </c>
      <c r="J2197" s="1" t="s">
        <v>15</v>
      </c>
      <c r="K2197" s="4" t="s">
        <v>202</v>
      </c>
      <c r="L2197" s="4" t="s">
        <v>226</v>
      </c>
      <c r="M2197" s="8">
        <v>540</v>
      </c>
      <c r="N2197" s="5">
        <v>714.35</v>
      </c>
      <c r="O2197" s="5">
        <v>385749</v>
      </c>
      <c r="P2197">
        <f t="shared" si="137"/>
        <v>0</v>
      </c>
      <c r="Q2197" s="36">
        <f t="shared" si="138"/>
        <v>168586.6</v>
      </c>
      <c r="R2197">
        <f t="shared" si="139"/>
        <v>2022</v>
      </c>
    </row>
    <row r="2198" spans="1:18" x14ac:dyDescent="0.2">
      <c r="A2198" s="13">
        <v>45339</v>
      </c>
      <c r="B2198" s="13">
        <v>45293</v>
      </c>
      <c r="C2198" s="25" t="s">
        <v>399</v>
      </c>
      <c r="D2198" s="20">
        <v>46</v>
      </c>
      <c r="E2198" s="28">
        <v>51433.2</v>
      </c>
      <c r="F2198" s="22" t="s">
        <v>290</v>
      </c>
      <c r="G2198" s="14">
        <v>72</v>
      </c>
      <c r="H2198" s="40">
        <v>44875</v>
      </c>
      <c r="I2198" s="46">
        <f t="shared" si="136"/>
        <v>464</v>
      </c>
      <c r="J2198" s="1" t="s">
        <v>15</v>
      </c>
      <c r="K2198" s="4" t="s">
        <v>202</v>
      </c>
      <c r="L2198" s="4" t="s">
        <v>226</v>
      </c>
      <c r="M2198" s="8">
        <v>72</v>
      </c>
      <c r="N2198" s="5">
        <v>714.35</v>
      </c>
      <c r="O2198" s="5">
        <v>51433.2</v>
      </c>
      <c r="P2198">
        <f t="shared" si="137"/>
        <v>1</v>
      </c>
      <c r="Q2198" s="36">
        <f t="shared" si="138"/>
        <v>51433.200000000004</v>
      </c>
      <c r="R2198">
        <f t="shared" si="139"/>
        <v>2022</v>
      </c>
    </row>
    <row r="2199" spans="1:18" x14ac:dyDescent="0.2">
      <c r="A2199" s="13">
        <v>45339</v>
      </c>
      <c r="B2199" s="13">
        <v>45293</v>
      </c>
      <c r="C2199" s="25" t="s">
        <v>399</v>
      </c>
      <c r="D2199" s="20">
        <v>46</v>
      </c>
      <c r="E2199" s="28">
        <v>205732.8</v>
      </c>
      <c r="F2199" s="22" t="s">
        <v>290</v>
      </c>
      <c r="G2199" s="14">
        <v>288</v>
      </c>
      <c r="H2199" s="40">
        <v>44879</v>
      </c>
      <c r="I2199" s="46">
        <f t="shared" si="136"/>
        <v>460</v>
      </c>
      <c r="J2199" s="1" t="s">
        <v>15</v>
      </c>
      <c r="K2199" s="4" t="s">
        <v>202</v>
      </c>
      <c r="L2199" s="4" t="s">
        <v>226</v>
      </c>
      <c r="M2199" s="8">
        <v>288</v>
      </c>
      <c r="N2199" s="5">
        <v>714.35</v>
      </c>
      <c r="O2199" s="5">
        <v>205732.8</v>
      </c>
      <c r="P2199">
        <f t="shared" si="137"/>
        <v>1</v>
      </c>
      <c r="Q2199" s="36">
        <f t="shared" si="138"/>
        <v>205732.80000000002</v>
      </c>
      <c r="R2199">
        <f t="shared" si="139"/>
        <v>2022</v>
      </c>
    </row>
    <row r="2200" spans="1:18" x14ac:dyDescent="0.2">
      <c r="A2200" s="13">
        <v>45339</v>
      </c>
      <c r="B2200" s="13">
        <v>45293</v>
      </c>
      <c r="C2200" s="25" t="s">
        <v>399</v>
      </c>
      <c r="D2200" s="20">
        <v>46</v>
      </c>
      <c r="E2200" s="28">
        <v>51433.2</v>
      </c>
      <c r="F2200" s="22" t="s">
        <v>290</v>
      </c>
      <c r="G2200" s="14">
        <v>72</v>
      </c>
      <c r="H2200" s="40">
        <v>44895</v>
      </c>
      <c r="I2200" s="46">
        <f t="shared" si="136"/>
        <v>444</v>
      </c>
      <c r="J2200" s="1" t="s">
        <v>15</v>
      </c>
      <c r="K2200" s="4" t="s">
        <v>202</v>
      </c>
      <c r="L2200" s="4" t="s">
        <v>226</v>
      </c>
      <c r="M2200" s="8">
        <v>72</v>
      </c>
      <c r="N2200" s="5">
        <v>714.35</v>
      </c>
      <c r="O2200" s="5">
        <v>51433.2</v>
      </c>
      <c r="P2200">
        <f t="shared" si="137"/>
        <v>1</v>
      </c>
      <c r="Q2200" s="36">
        <f t="shared" si="138"/>
        <v>51433.200000000004</v>
      </c>
      <c r="R2200">
        <f t="shared" si="139"/>
        <v>2022</v>
      </c>
    </row>
    <row r="2201" spans="1:18" x14ac:dyDescent="0.2">
      <c r="A2201" s="13">
        <v>45339</v>
      </c>
      <c r="B2201" s="13">
        <v>45293</v>
      </c>
      <c r="C2201" s="25" t="s">
        <v>399</v>
      </c>
      <c r="D2201" s="20">
        <v>46</v>
      </c>
      <c r="E2201" s="28">
        <v>102866.4</v>
      </c>
      <c r="F2201" s="22" t="s">
        <v>290</v>
      </c>
      <c r="G2201" s="14">
        <v>144</v>
      </c>
      <c r="H2201" s="40">
        <v>44895</v>
      </c>
      <c r="I2201" s="46">
        <f t="shared" si="136"/>
        <v>444</v>
      </c>
      <c r="J2201" s="1" t="s">
        <v>15</v>
      </c>
      <c r="K2201" s="4" t="s">
        <v>202</v>
      </c>
      <c r="L2201" s="4" t="s">
        <v>226</v>
      </c>
      <c r="M2201" s="8">
        <v>144</v>
      </c>
      <c r="N2201" s="5">
        <v>714.35</v>
      </c>
      <c r="O2201" s="5">
        <v>102866.4</v>
      </c>
      <c r="P2201">
        <f t="shared" si="137"/>
        <v>1</v>
      </c>
      <c r="Q2201" s="36">
        <f t="shared" si="138"/>
        <v>102866.40000000001</v>
      </c>
      <c r="R2201">
        <f t="shared" si="139"/>
        <v>2022</v>
      </c>
    </row>
    <row r="2202" spans="1:18" x14ac:dyDescent="0.2">
      <c r="A2202" s="13">
        <v>45339</v>
      </c>
      <c r="B2202" s="13">
        <v>45293</v>
      </c>
      <c r="C2202" s="25" t="s">
        <v>399</v>
      </c>
      <c r="D2202" s="20">
        <v>46</v>
      </c>
      <c r="E2202" s="28">
        <v>114296</v>
      </c>
      <c r="F2202" s="22" t="s">
        <v>290</v>
      </c>
      <c r="G2202" s="14">
        <v>160</v>
      </c>
      <c r="H2202" s="40">
        <v>44895</v>
      </c>
      <c r="I2202" s="46">
        <f t="shared" si="136"/>
        <v>444</v>
      </c>
      <c r="J2202" s="1" t="s">
        <v>15</v>
      </c>
      <c r="K2202" s="4" t="s">
        <v>202</v>
      </c>
      <c r="L2202" s="4" t="s">
        <v>226</v>
      </c>
      <c r="M2202" s="8">
        <v>180</v>
      </c>
      <c r="N2202" s="5">
        <v>714.35</v>
      </c>
      <c r="O2202" s="5">
        <v>128583</v>
      </c>
      <c r="P2202">
        <f t="shared" si="137"/>
        <v>0</v>
      </c>
      <c r="Q2202" s="36">
        <f t="shared" si="138"/>
        <v>114296</v>
      </c>
      <c r="R2202">
        <f t="shared" si="139"/>
        <v>2022</v>
      </c>
    </row>
    <row r="2203" spans="1:18" x14ac:dyDescent="0.2">
      <c r="A2203" s="13">
        <v>45353</v>
      </c>
      <c r="B2203" s="13">
        <v>45293</v>
      </c>
      <c r="C2203" s="25" t="s">
        <v>399</v>
      </c>
      <c r="D2203" s="20">
        <v>60</v>
      </c>
      <c r="E2203" s="28">
        <v>14287</v>
      </c>
      <c r="F2203" s="22" t="s">
        <v>290</v>
      </c>
      <c r="G2203" s="14">
        <v>20</v>
      </c>
      <c r="H2203" s="40">
        <v>44895</v>
      </c>
      <c r="I2203" s="46">
        <f t="shared" si="136"/>
        <v>458</v>
      </c>
      <c r="J2203" s="1" t="s">
        <v>15</v>
      </c>
      <c r="K2203" s="4" t="s">
        <v>202</v>
      </c>
      <c r="L2203" s="4" t="s">
        <v>226</v>
      </c>
      <c r="M2203" s="8">
        <v>180</v>
      </c>
      <c r="N2203" s="5">
        <v>714.35</v>
      </c>
      <c r="O2203" s="5">
        <v>128583</v>
      </c>
      <c r="P2203">
        <f t="shared" si="137"/>
        <v>0</v>
      </c>
      <c r="Q2203" s="36">
        <f t="shared" si="138"/>
        <v>14287</v>
      </c>
      <c r="R2203">
        <f t="shared" si="139"/>
        <v>2022</v>
      </c>
    </row>
    <row r="2204" spans="1:18" x14ac:dyDescent="0.2">
      <c r="A2204" s="13">
        <v>45353</v>
      </c>
      <c r="B2204" s="13">
        <v>45293</v>
      </c>
      <c r="C2204" s="25" t="s">
        <v>399</v>
      </c>
      <c r="D2204" s="20">
        <v>60</v>
      </c>
      <c r="E2204" s="28">
        <v>51433.2</v>
      </c>
      <c r="F2204" s="22" t="s">
        <v>290</v>
      </c>
      <c r="G2204" s="14">
        <v>72</v>
      </c>
      <c r="H2204" s="40">
        <v>44901</v>
      </c>
      <c r="I2204" s="46">
        <f t="shared" si="136"/>
        <v>452</v>
      </c>
      <c r="J2204" s="1" t="s">
        <v>15</v>
      </c>
      <c r="K2204" s="4" t="s">
        <v>202</v>
      </c>
      <c r="L2204" s="4" t="s">
        <v>226</v>
      </c>
      <c r="M2204" s="8">
        <v>72</v>
      </c>
      <c r="N2204" s="5">
        <v>714.35</v>
      </c>
      <c r="O2204" s="5">
        <v>51433.2</v>
      </c>
      <c r="P2204">
        <f t="shared" si="137"/>
        <v>1</v>
      </c>
      <c r="Q2204" s="36">
        <f t="shared" si="138"/>
        <v>51433.200000000004</v>
      </c>
      <c r="R2204">
        <f t="shared" si="139"/>
        <v>2022</v>
      </c>
    </row>
    <row r="2205" spans="1:18" x14ac:dyDescent="0.2">
      <c r="A2205" s="13">
        <v>45353</v>
      </c>
      <c r="B2205" s="13">
        <v>45293</v>
      </c>
      <c r="C2205" s="25" t="s">
        <v>399</v>
      </c>
      <c r="D2205" s="20">
        <v>60</v>
      </c>
      <c r="E2205" s="28">
        <v>128583</v>
      </c>
      <c r="F2205" s="22" t="s">
        <v>290</v>
      </c>
      <c r="G2205" s="14">
        <v>180</v>
      </c>
      <c r="H2205" s="40">
        <v>44909</v>
      </c>
      <c r="I2205" s="46">
        <f t="shared" si="136"/>
        <v>444</v>
      </c>
      <c r="J2205" s="1" t="s">
        <v>15</v>
      </c>
      <c r="K2205" s="4" t="s">
        <v>202</v>
      </c>
      <c r="L2205" s="4" t="s">
        <v>226</v>
      </c>
      <c r="M2205" s="8">
        <v>180</v>
      </c>
      <c r="N2205" s="5">
        <v>714.35</v>
      </c>
      <c r="O2205" s="5">
        <v>128583</v>
      </c>
      <c r="P2205">
        <f t="shared" si="137"/>
        <v>1</v>
      </c>
      <c r="Q2205" s="36">
        <f t="shared" si="138"/>
        <v>128583</v>
      </c>
      <c r="R2205">
        <f t="shared" si="139"/>
        <v>2022</v>
      </c>
    </row>
    <row r="2206" spans="1:18" x14ac:dyDescent="0.2">
      <c r="A2206" s="13">
        <v>45353</v>
      </c>
      <c r="B2206" s="13">
        <v>45293</v>
      </c>
      <c r="C2206" s="25" t="s">
        <v>399</v>
      </c>
      <c r="D2206" s="20">
        <v>60</v>
      </c>
      <c r="E2206" s="28">
        <v>154299.6</v>
      </c>
      <c r="F2206" s="22" t="s">
        <v>290</v>
      </c>
      <c r="G2206" s="14">
        <v>216</v>
      </c>
      <c r="H2206" s="40">
        <v>44909</v>
      </c>
      <c r="I2206" s="46">
        <f t="shared" si="136"/>
        <v>444</v>
      </c>
      <c r="J2206" s="1" t="s">
        <v>15</v>
      </c>
      <c r="K2206" s="4" t="s">
        <v>202</v>
      </c>
      <c r="L2206" s="4" t="s">
        <v>226</v>
      </c>
      <c r="M2206" s="8">
        <v>216</v>
      </c>
      <c r="N2206" s="5">
        <v>714.35</v>
      </c>
      <c r="O2206" s="5">
        <v>154299.6</v>
      </c>
      <c r="P2206">
        <f t="shared" si="137"/>
        <v>1</v>
      </c>
      <c r="Q2206" s="36">
        <f t="shared" si="138"/>
        <v>154299.6</v>
      </c>
      <c r="R2206">
        <f t="shared" si="139"/>
        <v>2022</v>
      </c>
    </row>
    <row r="2207" spans="1:18" x14ac:dyDescent="0.2">
      <c r="A2207" s="13">
        <v>45353</v>
      </c>
      <c r="B2207" s="13">
        <v>45293</v>
      </c>
      <c r="C2207" s="25" t="s">
        <v>399</v>
      </c>
      <c r="D2207" s="20">
        <v>60</v>
      </c>
      <c r="E2207" s="28">
        <v>128583</v>
      </c>
      <c r="F2207" s="22" t="s">
        <v>290</v>
      </c>
      <c r="G2207" s="14">
        <v>180</v>
      </c>
      <c r="H2207" s="40">
        <v>44909</v>
      </c>
      <c r="I2207" s="46">
        <f t="shared" si="136"/>
        <v>444</v>
      </c>
      <c r="J2207" s="1" t="s">
        <v>15</v>
      </c>
      <c r="K2207" s="4" t="s">
        <v>202</v>
      </c>
      <c r="L2207" s="4" t="s">
        <v>226</v>
      </c>
      <c r="M2207" s="8">
        <v>180</v>
      </c>
      <c r="N2207" s="5">
        <v>714.35</v>
      </c>
      <c r="O2207" s="5">
        <v>128583</v>
      </c>
      <c r="P2207">
        <f t="shared" si="137"/>
        <v>1</v>
      </c>
      <c r="Q2207" s="36">
        <f t="shared" si="138"/>
        <v>128583</v>
      </c>
      <c r="R2207">
        <f t="shared" si="139"/>
        <v>2022</v>
      </c>
    </row>
    <row r="2208" spans="1:18" x14ac:dyDescent="0.2">
      <c r="A2208" s="13">
        <v>45353</v>
      </c>
      <c r="B2208" s="13">
        <v>45293</v>
      </c>
      <c r="C2208" s="25" t="s">
        <v>399</v>
      </c>
      <c r="D2208" s="20">
        <v>60</v>
      </c>
      <c r="E2208" s="28">
        <v>128583</v>
      </c>
      <c r="F2208" s="22" t="s">
        <v>290</v>
      </c>
      <c r="G2208" s="14">
        <v>180</v>
      </c>
      <c r="H2208" s="40">
        <v>44909</v>
      </c>
      <c r="I2208" s="46">
        <f t="shared" si="136"/>
        <v>444</v>
      </c>
      <c r="J2208" s="1" t="s">
        <v>15</v>
      </c>
      <c r="K2208" s="4" t="s">
        <v>202</v>
      </c>
      <c r="L2208" s="4" t="s">
        <v>226</v>
      </c>
      <c r="M2208" s="8">
        <v>180</v>
      </c>
      <c r="N2208" s="5">
        <v>714.35</v>
      </c>
      <c r="O2208" s="5">
        <v>128583</v>
      </c>
      <c r="P2208">
        <f t="shared" si="137"/>
        <v>1</v>
      </c>
      <c r="Q2208" s="36">
        <f t="shared" si="138"/>
        <v>128583</v>
      </c>
      <c r="R2208">
        <f t="shared" si="139"/>
        <v>2022</v>
      </c>
    </row>
    <row r="2209" spans="1:18" x14ac:dyDescent="0.2">
      <c r="A2209" s="13">
        <v>45353</v>
      </c>
      <c r="B2209" s="13">
        <v>45293</v>
      </c>
      <c r="C2209" s="25" t="s">
        <v>399</v>
      </c>
      <c r="D2209" s="20">
        <v>60</v>
      </c>
      <c r="E2209" s="28">
        <v>108581.2</v>
      </c>
      <c r="F2209" s="22" t="s">
        <v>290</v>
      </c>
      <c r="G2209" s="14">
        <v>152</v>
      </c>
      <c r="H2209" s="40">
        <v>44909</v>
      </c>
      <c r="I2209" s="46">
        <f t="shared" si="136"/>
        <v>444</v>
      </c>
      <c r="J2209" s="1" t="s">
        <v>15</v>
      </c>
      <c r="K2209" s="4" t="s">
        <v>202</v>
      </c>
      <c r="L2209" s="4" t="s">
        <v>226</v>
      </c>
      <c r="M2209" s="8">
        <v>180</v>
      </c>
      <c r="N2209" s="5">
        <v>714.35</v>
      </c>
      <c r="O2209" s="5">
        <v>128583</v>
      </c>
      <c r="P2209">
        <f t="shared" si="137"/>
        <v>0</v>
      </c>
      <c r="Q2209" s="36">
        <f t="shared" si="138"/>
        <v>108581.2</v>
      </c>
      <c r="R2209">
        <f t="shared" si="139"/>
        <v>2022</v>
      </c>
    </row>
    <row r="2210" spans="1:18" x14ac:dyDescent="0.2">
      <c r="A2210" s="13">
        <v>45358</v>
      </c>
      <c r="B2210" s="13">
        <v>45293</v>
      </c>
      <c r="C2210" s="25" t="s">
        <v>399</v>
      </c>
      <c r="D2210" s="20">
        <v>65</v>
      </c>
      <c r="E2210" s="28">
        <v>20001.8</v>
      </c>
      <c r="F2210" s="22" t="s">
        <v>290</v>
      </c>
      <c r="G2210" s="14">
        <v>28</v>
      </c>
      <c r="H2210" s="40">
        <v>44909</v>
      </c>
      <c r="I2210" s="46">
        <f t="shared" si="136"/>
        <v>449</v>
      </c>
      <c r="J2210" s="1" t="s">
        <v>15</v>
      </c>
      <c r="K2210" s="4" t="s">
        <v>202</v>
      </c>
      <c r="L2210" s="4" t="s">
        <v>226</v>
      </c>
      <c r="M2210" s="8">
        <v>180</v>
      </c>
      <c r="N2210" s="5">
        <v>714.35</v>
      </c>
      <c r="O2210" s="5">
        <v>128583</v>
      </c>
      <c r="P2210">
        <f t="shared" si="137"/>
        <v>0</v>
      </c>
      <c r="Q2210" s="36">
        <f t="shared" si="138"/>
        <v>20001.8</v>
      </c>
      <c r="R2210">
        <f t="shared" si="139"/>
        <v>2022</v>
      </c>
    </row>
    <row r="2211" spans="1:18" x14ac:dyDescent="0.2">
      <c r="A2211" s="13">
        <v>45358</v>
      </c>
      <c r="B2211" s="13">
        <v>45293</v>
      </c>
      <c r="C2211" s="25" t="s">
        <v>399</v>
      </c>
      <c r="D2211" s="20">
        <v>65</v>
      </c>
      <c r="E2211" s="28">
        <v>154299.6</v>
      </c>
      <c r="F2211" s="22" t="s">
        <v>290</v>
      </c>
      <c r="G2211" s="14">
        <v>216</v>
      </c>
      <c r="H2211" s="40">
        <v>44909</v>
      </c>
      <c r="I2211" s="46">
        <f t="shared" si="136"/>
        <v>449</v>
      </c>
      <c r="J2211" s="1" t="s">
        <v>15</v>
      </c>
      <c r="K2211" s="4" t="s">
        <v>202</v>
      </c>
      <c r="L2211" s="4" t="s">
        <v>226</v>
      </c>
      <c r="M2211" s="8">
        <v>216</v>
      </c>
      <c r="N2211" s="5">
        <v>714.35</v>
      </c>
      <c r="O2211" s="5">
        <v>154299.6</v>
      </c>
      <c r="P2211">
        <f t="shared" si="137"/>
        <v>1</v>
      </c>
      <c r="Q2211" s="36">
        <f t="shared" si="138"/>
        <v>154299.6</v>
      </c>
      <c r="R2211">
        <f t="shared" si="139"/>
        <v>2022</v>
      </c>
    </row>
    <row r="2212" spans="1:18" x14ac:dyDescent="0.2">
      <c r="A2212" s="13">
        <v>45358</v>
      </c>
      <c r="B2212" s="13">
        <v>45293</v>
      </c>
      <c r="C2212" s="25" t="s">
        <v>399</v>
      </c>
      <c r="D2212" s="20">
        <v>65</v>
      </c>
      <c r="E2212" s="28">
        <v>57148</v>
      </c>
      <c r="F2212" s="22" t="s">
        <v>290</v>
      </c>
      <c r="G2212" s="14">
        <v>80</v>
      </c>
      <c r="H2212" s="40">
        <v>44915</v>
      </c>
      <c r="I2212" s="46">
        <f t="shared" si="136"/>
        <v>443</v>
      </c>
      <c r="J2212" s="1" t="s">
        <v>15</v>
      </c>
      <c r="K2212" s="4" t="s">
        <v>202</v>
      </c>
      <c r="L2212" s="4" t="s">
        <v>226</v>
      </c>
      <c r="M2212" s="8">
        <v>180</v>
      </c>
      <c r="N2212" s="5">
        <v>714.35</v>
      </c>
      <c r="O2212" s="5">
        <v>128583</v>
      </c>
      <c r="P2212">
        <f t="shared" si="137"/>
        <v>0</v>
      </c>
      <c r="Q2212" s="36">
        <f t="shared" si="138"/>
        <v>57148</v>
      </c>
      <c r="R2212">
        <f t="shared" si="139"/>
        <v>2022</v>
      </c>
    </row>
    <row r="2213" spans="1:18" x14ac:dyDescent="0.2">
      <c r="A2213" s="13">
        <v>45367</v>
      </c>
      <c r="B2213" s="13">
        <v>45293</v>
      </c>
      <c r="C2213" s="25" t="s">
        <v>399</v>
      </c>
      <c r="D2213" s="20">
        <v>74</v>
      </c>
      <c r="E2213" s="28">
        <v>71435</v>
      </c>
      <c r="F2213" s="22" t="s">
        <v>290</v>
      </c>
      <c r="G2213" s="14">
        <v>100</v>
      </c>
      <c r="H2213" s="40">
        <v>44915</v>
      </c>
      <c r="I2213" s="46">
        <f t="shared" si="136"/>
        <v>452</v>
      </c>
      <c r="J2213" s="1" t="s">
        <v>15</v>
      </c>
      <c r="K2213" s="4" t="s">
        <v>202</v>
      </c>
      <c r="L2213" s="4" t="s">
        <v>226</v>
      </c>
      <c r="M2213" s="8">
        <v>180</v>
      </c>
      <c r="N2213" s="5">
        <v>714.35</v>
      </c>
      <c r="O2213" s="5">
        <v>128583</v>
      </c>
      <c r="P2213">
        <f t="shared" si="137"/>
        <v>0</v>
      </c>
      <c r="Q2213" s="36">
        <f t="shared" si="138"/>
        <v>71435</v>
      </c>
      <c r="R2213">
        <f t="shared" si="139"/>
        <v>2022</v>
      </c>
    </row>
    <row r="2214" spans="1:18" x14ac:dyDescent="0.2">
      <c r="A2214" s="13">
        <v>45367</v>
      </c>
      <c r="B2214" s="13">
        <v>45293</v>
      </c>
      <c r="C2214" s="25" t="s">
        <v>399</v>
      </c>
      <c r="D2214" s="20">
        <v>74</v>
      </c>
      <c r="E2214" s="28">
        <v>31431.4</v>
      </c>
      <c r="F2214" s="22" t="s">
        <v>290</v>
      </c>
      <c r="G2214" s="14">
        <v>44</v>
      </c>
      <c r="H2214" s="40">
        <v>44936</v>
      </c>
      <c r="I2214" s="46">
        <f t="shared" si="136"/>
        <v>431</v>
      </c>
      <c r="J2214" s="1" t="s">
        <v>15</v>
      </c>
      <c r="K2214" s="4" t="s">
        <v>202</v>
      </c>
      <c r="L2214" s="4" t="s">
        <v>226</v>
      </c>
      <c r="M2214" s="8">
        <v>252</v>
      </c>
      <c r="N2214" s="5">
        <v>714.35</v>
      </c>
      <c r="O2214" s="5">
        <v>180016.2</v>
      </c>
      <c r="P2214">
        <f t="shared" si="137"/>
        <v>0</v>
      </c>
      <c r="Q2214" s="36">
        <f t="shared" si="138"/>
        <v>31431.4</v>
      </c>
      <c r="R2214">
        <f t="shared" si="139"/>
        <v>2023</v>
      </c>
    </row>
    <row r="2215" spans="1:18" x14ac:dyDescent="0.2">
      <c r="A2215" s="13">
        <v>45370</v>
      </c>
      <c r="B2215" s="13">
        <v>45293</v>
      </c>
      <c r="C2215" s="25" t="s">
        <v>399</v>
      </c>
      <c r="D2215" s="20">
        <v>77</v>
      </c>
      <c r="E2215" s="28">
        <v>148584.79999999999</v>
      </c>
      <c r="F2215" s="22" t="s">
        <v>290</v>
      </c>
      <c r="G2215" s="14">
        <v>208</v>
      </c>
      <c r="H2215" s="40">
        <v>44936</v>
      </c>
      <c r="I2215" s="46">
        <f t="shared" si="136"/>
        <v>434</v>
      </c>
      <c r="J2215" s="1" t="s">
        <v>15</v>
      </c>
      <c r="K2215" s="4" t="s">
        <v>202</v>
      </c>
      <c r="L2215" s="4" t="s">
        <v>226</v>
      </c>
      <c r="M2215" s="8">
        <v>252</v>
      </c>
      <c r="N2215" s="5">
        <v>714.35</v>
      </c>
      <c r="O2215" s="5">
        <v>180016.2</v>
      </c>
      <c r="P2215">
        <f t="shared" si="137"/>
        <v>0</v>
      </c>
      <c r="Q2215" s="36">
        <f t="shared" si="138"/>
        <v>148584.80000000002</v>
      </c>
      <c r="R2215">
        <f t="shared" si="139"/>
        <v>2023</v>
      </c>
    </row>
    <row r="2216" spans="1:18" x14ac:dyDescent="0.2">
      <c r="A2216" s="13">
        <v>45370</v>
      </c>
      <c r="B2216" s="13">
        <v>45293</v>
      </c>
      <c r="C2216" s="25" t="s">
        <v>399</v>
      </c>
      <c r="D2216" s="20">
        <v>77</v>
      </c>
      <c r="E2216" s="28">
        <v>160014.39999999999</v>
      </c>
      <c r="F2216" s="22" t="s">
        <v>290</v>
      </c>
      <c r="G2216" s="14">
        <v>224</v>
      </c>
      <c r="H2216" s="40">
        <v>44936</v>
      </c>
      <c r="I2216" s="46">
        <f t="shared" si="136"/>
        <v>434</v>
      </c>
      <c r="J2216" s="1" t="s">
        <v>15</v>
      </c>
      <c r="K2216" s="4" t="s">
        <v>202</v>
      </c>
      <c r="L2216" s="4" t="s">
        <v>226</v>
      </c>
      <c r="M2216" s="8">
        <v>252</v>
      </c>
      <c r="N2216" s="5">
        <v>714.35</v>
      </c>
      <c r="O2216" s="5">
        <v>180016.2</v>
      </c>
      <c r="P2216">
        <f t="shared" si="137"/>
        <v>0</v>
      </c>
      <c r="Q2216" s="36">
        <f t="shared" si="138"/>
        <v>160014.39999999999</v>
      </c>
      <c r="R2216">
        <f t="shared" si="139"/>
        <v>2023</v>
      </c>
    </row>
    <row r="2217" spans="1:18" x14ac:dyDescent="0.2">
      <c r="A2217" s="13">
        <v>45387</v>
      </c>
      <c r="B2217" s="13">
        <v>45293</v>
      </c>
      <c r="C2217" s="25" t="s">
        <v>399</v>
      </c>
      <c r="D2217" s="20">
        <v>94</v>
      </c>
      <c r="E2217" s="28">
        <v>20001.8</v>
      </c>
      <c r="F2217" s="22" t="s">
        <v>290</v>
      </c>
      <c r="G2217" s="14">
        <v>28</v>
      </c>
      <c r="H2217" s="40">
        <v>44936</v>
      </c>
      <c r="I2217" s="46">
        <f t="shared" si="136"/>
        <v>451</v>
      </c>
      <c r="J2217" s="1" t="s">
        <v>15</v>
      </c>
      <c r="K2217" s="4" t="s">
        <v>202</v>
      </c>
      <c r="L2217" s="4" t="s">
        <v>226</v>
      </c>
      <c r="M2217" s="8">
        <v>252</v>
      </c>
      <c r="N2217" s="5">
        <v>714.35</v>
      </c>
      <c r="O2217" s="5">
        <v>180016.2</v>
      </c>
      <c r="P2217">
        <f t="shared" si="137"/>
        <v>0</v>
      </c>
      <c r="Q2217" s="36">
        <f t="shared" si="138"/>
        <v>20001.8</v>
      </c>
      <c r="R2217">
        <f t="shared" si="139"/>
        <v>2023</v>
      </c>
    </row>
    <row r="2218" spans="1:18" x14ac:dyDescent="0.2">
      <c r="A2218" s="13">
        <v>45387</v>
      </c>
      <c r="B2218" s="13">
        <v>45293</v>
      </c>
      <c r="C2218" s="25" t="s">
        <v>399</v>
      </c>
      <c r="D2218" s="20">
        <v>94</v>
      </c>
      <c r="E2218" s="28">
        <v>77149.8</v>
      </c>
      <c r="F2218" s="22" t="s">
        <v>290</v>
      </c>
      <c r="G2218" s="14">
        <v>108</v>
      </c>
      <c r="H2218" s="40">
        <v>44936</v>
      </c>
      <c r="I2218" s="46">
        <f t="shared" si="136"/>
        <v>451</v>
      </c>
      <c r="J2218" s="1" t="s">
        <v>15</v>
      </c>
      <c r="K2218" s="4" t="s">
        <v>202</v>
      </c>
      <c r="L2218" s="4" t="s">
        <v>226</v>
      </c>
      <c r="M2218" s="8">
        <v>108</v>
      </c>
      <c r="N2218" s="5">
        <v>714.35</v>
      </c>
      <c r="O2218" s="5">
        <v>77149.8</v>
      </c>
      <c r="P2218">
        <f t="shared" si="137"/>
        <v>1</v>
      </c>
      <c r="Q2218" s="36">
        <f t="shared" si="138"/>
        <v>77149.8</v>
      </c>
      <c r="R2218">
        <f t="shared" si="139"/>
        <v>2023</v>
      </c>
    </row>
    <row r="2219" spans="1:18" x14ac:dyDescent="0.2">
      <c r="A2219" s="13">
        <v>45387</v>
      </c>
      <c r="B2219" s="13">
        <v>45293</v>
      </c>
      <c r="C2219" s="25" t="s">
        <v>399</v>
      </c>
      <c r="D2219" s="20">
        <v>94</v>
      </c>
      <c r="E2219" s="28">
        <v>180016.2</v>
      </c>
      <c r="F2219" s="22" t="s">
        <v>290</v>
      </c>
      <c r="G2219" s="14">
        <v>252</v>
      </c>
      <c r="H2219" s="40">
        <v>44944</v>
      </c>
      <c r="I2219" s="46">
        <f t="shared" si="136"/>
        <v>443</v>
      </c>
      <c r="J2219" s="1" t="s">
        <v>15</v>
      </c>
      <c r="K2219" s="4" t="s">
        <v>202</v>
      </c>
      <c r="L2219" s="4" t="s">
        <v>226</v>
      </c>
      <c r="M2219" s="8">
        <v>252</v>
      </c>
      <c r="N2219" s="5">
        <v>714.35</v>
      </c>
      <c r="O2219" s="5">
        <v>180016.2</v>
      </c>
      <c r="P2219">
        <f t="shared" si="137"/>
        <v>1</v>
      </c>
      <c r="Q2219" s="36">
        <f t="shared" si="138"/>
        <v>180016.2</v>
      </c>
      <c r="R2219">
        <f t="shared" si="139"/>
        <v>2023</v>
      </c>
    </row>
    <row r="2220" spans="1:18" x14ac:dyDescent="0.2">
      <c r="A2220" s="13">
        <v>45387</v>
      </c>
      <c r="B2220" s="13">
        <v>45293</v>
      </c>
      <c r="C2220" s="25" t="s">
        <v>399</v>
      </c>
      <c r="D2220" s="20">
        <v>94</v>
      </c>
      <c r="E2220" s="28">
        <v>205732.8</v>
      </c>
      <c r="F2220" s="22" t="s">
        <v>290</v>
      </c>
      <c r="G2220" s="14">
        <v>288</v>
      </c>
      <c r="H2220" s="40">
        <v>44944</v>
      </c>
      <c r="I2220" s="46">
        <f t="shared" si="136"/>
        <v>443</v>
      </c>
      <c r="J2220" s="1" t="s">
        <v>15</v>
      </c>
      <c r="K2220" s="4" t="s">
        <v>202</v>
      </c>
      <c r="L2220" s="4" t="s">
        <v>226</v>
      </c>
      <c r="M2220" s="8">
        <v>288</v>
      </c>
      <c r="N2220" s="5">
        <v>714.35</v>
      </c>
      <c r="O2220" s="5">
        <v>205732.8</v>
      </c>
      <c r="P2220">
        <f t="shared" si="137"/>
        <v>1</v>
      </c>
      <c r="Q2220" s="36">
        <f t="shared" si="138"/>
        <v>205732.80000000002</v>
      </c>
      <c r="R2220">
        <f t="shared" si="139"/>
        <v>2023</v>
      </c>
    </row>
    <row r="2221" spans="1:18" x14ac:dyDescent="0.2">
      <c r="A2221" s="13">
        <v>45387</v>
      </c>
      <c r="B2221" s="13">
        <v>45293</v>
      </c>
      <c r="C2221" s="25" t="s">
        <v>399</v>
      </c>
      <c r="D2221" s="20">
        <v>94</v>
      </c>
      <c r="E2221" s="28">
        <v>5714.8</v>
      </c>
      <c r="F2221" s="22" t="s">
        <v>290</v>
      </c>
      <c r="G2221" s="14">
        <v>8</v>
      </c>
      <c r="H2221" s="40">
        <v>44944</v>
      </c>
      <c r="I2221" s="46">
        <f t="shared" si="136"/>
        <v>443</v>
      </c>
      <c r="J2221" s="1" t="s">
        <v>15</v>
      </c>
      <c r="K2221" s="4" t="s">
        <v>202</v>
      </c>
      <c r="L2221" s="4" t="s">
        <v>226</v>
      </c>
      <c r="M2221" s="8">
        <v>180</v>
      </c>
      <c r="N2221" s="5">
        <v>714.35</v>
      </c>
      <c r="O2221" s="5">
        <v>128583</v>
      </c>
      <c r="P2221">
        <f t="shared" si="137"/>
        <v>0</v>
      </c>
      <c r="Q2221" s="36">
        <f t="shared" si="138"/>
        <v>5714.8</v>
      </c>
      <c r="R2221">
        <f t="shared" si="139"/>
        <v>2023</v>
      </c>
    </row>
    <row r="2222" spans="1:18" x14ac:dyDescent="0.2">
      <c r="A2222" s="13">
        <v>45394</v>
      </c>
      <c r="B2222" s="13">
        <v>45293</v>
      </c>
      <c r="C2222" s="25" t="s">
        <v>399</v>
      </c>
      <c r="D2222" s="20">
        <v>101</v>
      </c>
      <c r="E2222" s="28">
        <v>122868.2</v>
      </c>
      <c r="F2222" s="22" t="s">
        <v>290</v>
      </c>
      <c r="G2222" s="14">
        <v>172</v>
      </c>
      <c r="H2222" s="40">
        <v>44944</v>
      </c>
      <c r="I2222" s="46">
        <f t="shared" si="136"/>
        <v>450</v>
      </c>
      <c r="J2222" s="1" t="s">
        <v>15</v>
      </c>
      <c r="K2222" s="4" t="s">
        <v>202</v>
      </c>
      <c r="L2222" s="4" t="s">
        <v>226</v>
      </c>
      <c r="M2222" s="8">
        <v>180</v>
      </c>
      <c r="N2222" s="5">
        <v>714.35</v>
      </c>
      <c r="O2222" s="5">
        <v>128583</v>
      </c>
      <c r="P2222">
        <f t="shared" si="137"/>
        <v>0</v>
      </c>
      <c r="Q2222" s="36">
        <f t="shared" si="138"/>
        <v>122868.2</v>
      </c>
      <c r="R2222">
        <f t="shared" si="139"/>
        <v>2023</v>
      </c>
    </row>
    <row r="2223" spans="1:18" x14ac:dyDescent="0.2">
      <c r="A2223" s="13">
        <v>45394</v>
      </c>
      <c r="B2223" s="13">
        <v>45293</v>
      </c>
      <c r="C2223" s="25" t="s">
        <v>399</v>
      </c>
      <c r="D2223" s="20">
        <v>101</v>
      </c>
      <c r="E2223" s="28">
        <v>180016.2</v>
      </c>
      <c r="F2223" s="22" t="s">
        <v>290</v>
      </c>
      <c r="G2223" s="14">
        <v>252</v>
      </c>
      <c r="H2223" s="40">
        <v>44957</v>
      </c>
      <c r="I2223" s="46">
        <f t="shared" si="136"/>
        <v>437</v>
      </c>
      <c r="J2223" s="1" t="s">
        <v>15</v>
      </c>
      <c r="K2223" s="4" t="s">
        <v>202</v>
      </c>
      <c r="L2223" s="4" t="s">
        <v>226</v>
      </c>
      <c r="M2223" s="8">
        <v>252</v>
      </c>
      <c r="N2223" s="5">
        <v>714.35</v>
      </c>
      <c r="O2223" s="5">
        <v>180016.2</v>
      </c>
      <c r="P2223">
        <f t="shared" si="137"/>
        <v>1</v>
      </c>
      <c r="Q2223" s="36">
        <f t="shared" si="138"/>
        <v>180016.2</v>
      </c>
      <c r="R2223">
        <f t="shared" si="139"/>
        <v>2023</v>
      </c>
    </row>
    <row r="2224" spans="1:18" x14ac:dyDescent="0.2">
      <c r="A2224" s="13">
        <v>45394</v>
      </c>
      <c r="B2224" s="13">
        <v>45293</v>
      </c>
      <c r="C2224" s="25" t="s">
        <v>399</v>
      </c>
      <c r="D2224" s="20">
        <v>101</v>
      </c>
      <c r="E2224" s="28">
        <v>102866.4</v>
      </c>
      <c r="F2224" s="22" t="s">
        <v>290</v>
      </c>
      <c r="G2224" s="14">
        <v>144</v>
      </c>
      <c r="H2224" s="40">
        <v>44957</v>
      </c>
      <c r="I2224" s="46">
        <f t="shared" si="136"/>
        <v>437</v>
      </c>
      <c r="J2224" s="1" t="s">
        <v>15</v>
      </c>
      <c r="K2224" s="4" t="s">
        <v>202</v>
      </c>
      <c r="L2224" s="4" t="s">
        <v>226</v>
      </c>
      <c r="M2224" s="8">
        <v>144</v>
      </c>
      <c r="N2224" s="5">
        <v>714.35</v>
      </c>
      <c r="O2224" s="5">
        <v>102866.4</v>
      </c>
      <c r="P2224">
        <f t="shared" si="137"/>
        <v>1</v>
      </c>
      <c r="Q2224" s="36">
        <f t="shared" si="138"/>
        <v>102866.40000000001</v>
      </c>
      <c r="R2224">
        <f t="shared" si="139"/>
        <v>2023</v>
      </c>
    </row>
    <row r="2225" spans="1:18" x14ac:dyDescent="0.2">
      <c r="A2225" s="13">
        <v>45394</v>
      </c>
      <c r="B2225" s="13">
        <v>45293</v>
      </c>
      <c r="C2225" s="25" t="s">
        <v>399</v>
      </c>
      <c r="D2225" s="20">
        <v>101</v>
      </c>
      <c r="E2225" s="28">
        <v>154299.6</v>
      </c>
      <c r="F2225" s="22" t="s">
        <v>290</v>
      </c>
      <c r="G2225" s="14">
        <v>216</v>
      </c>
      <c r="H2225" s="40">
        <v>44957</v>
      </c>
      <c r="I2225" s="46">
        <f t="shared" si="136"/>
        <v>437</v>
      </c>
      <c r="J2225" s="1" t="s">
        <v>15</v>
      </c>
      <c r="K2225" s="4" t="s">
        <v>202</v>
      </c>
      <c r="L2225" s="4" t="s">
        <v>226</v>
      </c>
      <c r="M2225" s="8">
        <v>216</v>
      </c>
      <c r="N2225" s="5">
        <v>714.35</v>
      </c>
      <c r="O2225" s="5">
        <v>154299.6</v>
      </c>
      <c r="P2225">
        <f t="shared" si="137"/>
        <v>1</v>
      </c>
      <c r="Q2225" s="36">
        <f t="shared" si="138"/>
        <v>154299.6</v>
      </c>
      <c r="R2225">
        <f t="shared" si="139"/>
        <v>2023</v>
      </c>
    </row>
    <row r="2226" spans="1:18" x14ac:dyDescent="0.2">
      <c r="A2226" s="13">
        <v>45603</v>
      </c>
      <c r="B2226" s="13">
        <v>45139</v>
      </c>
      <c r="C2226" s="25" t="s">
        <v>399</v>
      </c>
      <c r="D2226" s="20">
        <v>464</v>
      </c>
      <c r="E2226" s="28">
        <v>69350.399999999994</v>
      </c>
      <c r="F2226" s="22" t="s">
        <v>291</v>
      </c>
      <c r="G2226" s="14">
        <v>84</v>
      </c>
      <c r="H2226" s="40">
        <v>44799</v>
      </c>
      <c r="I2226" s="46">
        <f t="shared" si="136"/>
        <v>804</v>
      </c>
      <c r="J2226" s="1" t="s">
        <v>15</v>
      </c>
      <c r="K2226" s="4" t="s">
        <v>204</v>
      </c>
      <c r="L2226" s="4" t="s">
        <v>228</v>
      </c>
      <c r="M2226" s="8">
        <v>84</v>
      </c>
      <c r="N2226" s="5">
        <v>825.6</v>
      </c>
      <c r="O2226" s="5">
        <v>69350.399999999994</v>
      </c>
      <c r="P2226">
        <f t="shared" si="137"/>
        <v>1</v>
      </c>
      <c r="Q2226" s="36">
        <f t="shared" si="138"/>
        <v>69350.400000000009</v>
      </c>
      <c r="R2226">
        <f t="shared" si="139"/>
        <v>2022</v>
      </c>
    </row>
    <row r="2227" spans="1:18" x14ac:dyDescent="0.2">
      <c r="A2227" s="13">
        <v>45289</v>
      </c>
      <c r="B2227" s="13">
        <v>44917</v>
      </c>
      <c r="C2227" s="25" t="s">
        <v>399</v>
      </c>
      <c r="D2227" s="20">
        <v>372</v>
      </c>
      <c r="E2227" s="28">
        <v>72059.679999999993</v>
      </c>
      <c r="F2227" s="22" t="s">
        <v>292</v>
      </c>
      <c r="G2227" s="14">
        <v>1232</v>
      </c>
      <c r="H2227" s="40">
        <v>44914</v>
      </c>
      <c r="I2227" s="46">
        <f t="shared" si="136"/>
        <v>375</v>
      </c>
      <c r="J2227" s="1" t="s">
        <v>15</v>
      </c>
      <c r="K2227" s="4" t="s">
        <v>202</v>
      </c>
      <c r="L2227" s="4" t="s">
        <v>226</v>
      </c>
      <c r="M2227" s="8">
        <v>3696</v>
      </c>
      <c r="N2227" s="5">
        <v>58.49</v>
      </c>
      <c r="O2227" s="5">
        <v>216179.04</v>
      </c>
      <c r="P2227">
        <f t="shared" si="137"/>
        <v>0</v>
      </c>
      <c r="Q2227" s="36">
        <f t="shared" si="138"/>
        <v>72059.680000000008</v>
      </c>
      <c r="R2227">
        <f t="shared" si="139"/>
        <v>2022</v>
      </c>
    </row>
    <row r="2228" spans="1:18" x14ac:dyDescent="0.2">
      <c r="A2228" s="13">
        <v>45302</v>
      </c>
      <c r="B2228" s="13">
        <v>44917</v>
      </c>
      <c r="C2228" s="25" t="s">
        <v>399</v>
      </c>
      <c r="D2228" s="20">
        <v>385</v>
      </c>
      <c r="E2228" s="28">
        <v>144119.35999999999</v>
      </c>
      <c r="F2228" s="22" t="s">
        <v>292</v>
      </c>
      <c r="G2228" s="14">
        <v>2464</v>
      </c>
      <c r="H2228" s="40">
        <v>44914</v>
      </c>
      <c r="I2228" s="46">
        <f t="shared" si="136"/>
        <v>388</v>
      </c>
      <c r="J2228" s="1" t="s">
        <v>15</v>
      </c>
      <c r="K2228" s="4" t="s">
        <v>202</v>
      </c>
      <c r="L2228" s="4" t="s">
        <v>226</v>
      </c>
      <c r="M2228" s="8">
        <v>3696</v>
      </c>
      <c r="N2228" s="5">
        <v>58.49</v>
      </c>
      <c r="O2228" s="5">
        <v>216179.04</v>
      </c>
      <c r="P2228">
        <f t="shared" si="137"/>
        <v>0</v>
      </c>
      <c r="Q2228" s="36">
        <f t="shared" si="138"/>
        <v>144119.36000000002</v>
      </c>
      <c r="R2228">
        <f t="shared" si="139"/>
        <v>2022</v>
      </c>
    </row>
    <row r="2229" spans="1:18" x14ac:dyDescent="0.2">
      <c r="A2229" s="13">
        <v>45302</v>
      </c>
      <c r="B2229" s="13">
        <v>45191</v>
      </c>
      <c r="C2229" s="25" t="s">
        <v>399</v>
      </c>
      <c r="D2229" s="20">
        <v>111</v>
      </c>
      <c r="E2229" s="28">
        <v>72059.679999999993</v>
      </c>
      <c r="F2229" s="22" t="s">
        <v>292</v>
      </c>
      <c r="G2229" s="14">
        <v>1232</v>
      </c>
      <c r="H2229" s="40">
        <v>44914</v>
      </c>
      <c r="I2229" s="46">
        <f t="shared" si="136"/>
        <v>388</v>
      </c>
      <c r="J2229" s="1" t="s">
        <v>15</v>
      </c>
      <c r="K2229" s="4" t="s">
        <v>202</v>
      </c>
      <c r="L2229" s="4" t="s">
        <v>226</v>
      </c>
      <c r="M2229" s="8">
        <v>1232</v>
      </c>
      <c r="N2229" s="5">
        <v>58.49</v>
      </c>
      <c r="O2229" s="5">
        <v>72059.679999999993</v>
      </c>
      <c r="P2229">
        <f t="shared" si="137"/>
        <v>1</v>
      </c>
      <c r="Q2229" s="36">
        <f t="shared" si="138"/>
        <v>72059.680000000008</v>
      </c>
      <c r="R2229">
        <f t="shared" si="139"/>
        <v>2022</v>
      </c>
    </row>
    <row r="2230" spans="1:18" x14ac:dyDescent="0.2">
      <c r="A2230" s="13">
        <v>45373</v>
      </c>
      <c r="B2230" s="13">
        <v>45367</v>
      </c>
      <c r="C2230" s="25" t="s">
        <v>399</v>
      </c>
      <c r="D2230" s="20">
        <v>6</v>
      </c>
      <c r="E2230" s="28">
        <v>216179.04</v>
      </c>
      <c r="F2230" s="22" t="s">
        <v>292</v>
      </c>
      <c r="G2230" s="14">
        <v>3696</v>
      </c>
      <c r="H2230" s="40">
        <v>44949</v>
      </c>
      <c r="I2230" s="46">
        <f t="shared" si="136"/>
        <v>424</v>
      </c>
      <c r="J2230" s="1" t="s">
        <v>15</v>
      </c>
      <c r="K2230" s="4" t="s">
        <v>202</v>
      </c>
      <c r="L2230" s="4" t="s">
        <v>226</v>
      </c>
      <c r="M2230" s="8">
        <v>3696</v>
      </c>
      <c r="N2230" s="5">
        <v>58.49</v>
      </c>
      <c r="O2230" s="5">
        <v>216179.04</v>
      </c>
      <c r="P2230">
        <f t="shared" si="137"/>
        <v>1</v>
      </c>
      <c r="Q2230" s="36">
        <f t="shared" si="138"/>
        <v>216179.04</v>
      </c>
      <c r="R2230">
        <f t="shared" si="139"/>
        <v>2023</v>
      </c>
    </row>
    <row r="2231" spans="1:18" x14ac:dyDescent="0.2">
      <c r="A2231" s="13">
        <v>45237</v>
      </c>
      <c r="B2231" s="13">
        <v>45205</v>
      </c>
      <c r="C2231" s="25" t="s">
        <v>399</v>
      </c>
      <c r="D2231" s="20">
        <v>32</v>
      </c>
      <c r="E2231" s="28">
        <v>8019.2</v>
      </c>
      <c r="F2231" s="22" t="s">
        <v>293</v>
      </c>
      <c r="G2231" s="14">
        <v>1120</v>
      </c>
      <c r="H2231" s="40">
        <v>44865</v>
      </c>
      <c r="I2231" s="46">
        <f t="shared" si="136"/>
        <v>372</v>
      </c>
      <c r="J2231" s="1" t="s">
        <v>15</v>
      </c>
      <c r="K2231" s="4" t="s">
        <v>202</v>
      </c>
      <c r="L2231" s="4" t="s">
        <v>226</v>
      </c>
      <c r="M2231" s="8">
        <v>1120</v>
      </c>
      <c r="N2231" s="5">
        <v>7.16</v>
      </c>
      <c r="O2231" s="5">
        <v>8019.2</v>
      </c>
      <c r="P2231">
        <f t="shared" si="137"/>
        <v>1</v>
      </c>
      <c r="Q2231" s="36">
        <f t="shared" si="138"/>
        <v>8019.2</v>
      </c>
      <c r="R2231">
        <f t="shared" si="139"/>
        <v>2022</v>
      </c>
    </row>
    <row r="2232" spans="1:18" x14ac:dyDescent="0.2">
      <c r="A2232" s="13">
        <v>45296</v>
      </c>
      <c r="B2232" s="13">
        <v>45296</v>
      </c>
      <c r="C2232" s="25" t="s">
        <v>398</v>
      </c>
      <c r="D2232" s="20">
        <v>0</v>
      </c>
      <c r="E2232" s="28">
        <v>16038.4</v>
      </c>
      <c r="F2232" s="22" t="s">
        <v>293</v>
      </c>
      <c r="G2232" s="14">
        <v>2240</v>
      </c>
      <c r="H2232" s="40">
        <v>44915</v>
      </c>
      <c r="I2232" s="46">
        <f t="shared" si="136"/>
        <v>381</v>
      </c>
      <c r="J2232" s="1" t="s">
        <v>15</v>
      </c>
      <c r="K2232" s="4" t="s">
        <v>202</v>
      </c>
      <c r="L2232" s="4" t="s">
        <v>226</v>
      </c>
      <c r="M2232" s="8">
        <v>2240</v>
      </c>
      <c r="N2232" s="5">
        <v>7.16</v>
      </c>
      <c r="O2232" s="5">
        <v>16038.4</v>
      </c>
      <c r="P2232">
        <f t="shared" si="137"/>
        <v>1</v>
      </c>
      <c r="Q2232" s="36">
        <f t="shared" si="138"/>
        <v>16038.4</v>
      </c>
      <c r="R2232">
        <f t="shared" si="139"/>
        <v>2022</v>
      </c>
    </row>
    <row r="2233" spans="1:18" x14ac:dyDescent="0.2">
      <c r="A2233" s="13">
        <v>45387</v>
      </c>
      <c r="B2233" s="13">
        <v>45387</v>
      </c>
      <c r="C2233" s="25" t="s">
        <v>398</v>
      </c>
      <c r="D2233" s="20">
        <v>0</v>
      </c>
      <c r="E2233" s="28">
        <v>8019.2</v>
      </c>
      <c r="F2233" s="22" t="s">
        <v>293</v>
      </c>
      <c r="G2233" s="14">
        <v>1120</v>
      </c>
      <c r="H2233" s="40">
        <v>44943</v>
      </c>
      <c r="I2233" s="46">
        <f t="shared" si="136"/>
        <v>444</v>
      </c>
      <c r="J2233" s="1" t="s">
        <v>15</v>
      </c>
      <c r="K2233" s="4" t="s">
        <v>202</v>
      </c>
      <c r="L2233" s="4" t="s">
        <v>226</v>
      </c>
      <c r="M2233" s="8">
        <v>1120</v>
      </c>
      <c r="N2233" s="5">
        <v>7.16</v>
      </c>
      <c r="O2233" s="5">
        <v>8019.2</v>
      </c>
      <c r="P2233">
        <f t="shared" si="137"/>
        <v>1</v>
      </c>
      <c r="Q2233" s="36">
        <f t="shared" si="138"/>
        <v>8019.2</v>
      </c>
      <c r="R2233">
        <f t="shared" si="139"/>
        <v>2023</v>
      </c>
    </row>
    <row r="2234" spans="1:18" x14ac:dyDescent="0.2">
      <c r="A2234" s="13">
        <v>45297</v>
      </c>
      <c r="B2234" s="13">
        <v>45275</v>
      </c>
      <c r="C2234" s="25" t="s">
        <v>399</v>
      </c>
      <c r="D2234" s="20">
        <v>22</v>
      </c>
      <c r="E2234" s="28">
        <v>6226.92</v>
      </c>
      <c r="F2234" s="22" t="s">
        <v>294</v>
      </c>
      <c r="G2234" s="14">
        <v>252</v>
      </c>
      <c r="H2234" s="40">
        <v>44916</v>
      </c>
      <c r="I2234" s="46">
        <f t="shared" si="136"/>
        <v>381</v>
      </c>
      <c r="J2234" s="1" t="s">
        <v>15</v>
      </c>
      <c r="K2234" s="4" t="s">
        <v>202</v>
      </c>
      <c r="L2234" s="4" t="s">
        <v>226</v>
      </c>
      <c r="M2234" s="8">
        <v>252</v>
      </c>
      <c r="N2234" s="5">
        <v>24.71</v>
      </c>
      <c r="O2234" s="5">
        <v>6226.92</v>
      </c>
      <c r="P2234">
        <f t="shared" si="137"/>
        <v>1</v>
      </c>
      <c r="Q2234" s="36">
        <f t="shared" si="138"/>
        <v>6226.92</v>
      </c>
      <c r="R2234">
        <f t="shared" si="139"/>
        <v>2022</v>
      </c>
    </row>
    <row r="2235" spans="1:18" x14ac:dyDescent="0.2">
      <c r="A2235" s="13">
        <v>45297</v>
      </c>
      <c r="B2235" s="13">
        <v>45275</v>
      </c>
      <c r="C2235" s="25" t="s">
        <v>399</v>
      </c>
      <c r="D2235" s="20">
        <v>22</v>
      </c>
      <c r="E2235" s="28">
        <v>6226.92</v>
      </c>
      <c r="F2235" s="22" t="s">
        <v>294</v>
      </c>
      <c r="G2235" s="14">
        <v>252</v>
      </c>
      <c r="H2235" s="40">
        <v>44916</v>
      </c>
      <c r="I2235" s="46">
        <f t="shared" si="136"/>
        <v>381</v>
      </c>
      <c r="J2235" s="1" t="s">
        <v>15</v>
      </c>
      <c r="K2235" s="4" t="s">
        <v>202</v>
      </c>
      <c r="L2235" s="4" t="s">
        <v>226</v>
      </c>
      <c r="M2235" s="8">
        <v>252</v>
      </c>
      <c r="N2235" s="5">
        <v>24.71</v>
      </c>
      <c r="O2235" s="5">
        <v>6226.92</v>
      </c>
      <c r="P2235">
        <f t="shared" si="137"/>
        <v>1</v>
      </c>
      <c r="Q2235" s="36">
        <f t="shared" si="138"/>
        <v>6226.92</v>
      </c>
      <c r="R2235">
        <f t="shared" si="139"/>
        <v>2022</v>
      </c>
    </row>
    <row r="2236" spans="1:18" x14ac:dyDescent="0.2">
      <c r="A2236" s="13">
        <v>45540</v>
      </c>
      <c r="B2236" s="13">
        <v>45540</v>
      </c>
      <c r="C2236" s="25" t="s">
        <v>398</v>
      </c>
      <c r="D2236" s="20">
        <v>0</v>
      </c>
      <c r="E2236" s="28">
        <v>6226.92</v>
      </c>
      <c r="F2236" s="22" t="s">
        <v>294</v>
      </c>
      <c r="G2236" s="14">
        <v>252</v>
      </c>
      <c r="H2236" s="40">
        <v>45173</v>
      </c>
      <c r="I2236" s="46">
        <f t="shared" si="136"/>
        <v>367</v>
      </c>
      <c r="J2236" s="1" t="s">
        <v>15</v>
      </c>
      <c r="K2236" s="4" t="s">
        <v>202</v>
      </c>
      <c r="L2236" s="4" t="s">
        <v>226</v>
      </c>
      <c r="M2236" s="8">
        <v>252</v>
      </c>
      <c r="N2236" s="5">
        <v>24.71</v>
      </c>
      <c r="O2236" s="5">
        <v>6226.92</v>
      </c>
      <c r="P2236">
        <f t="shared" si="137"/>
        <v>1</v>
      </c>
      <c r="Q2236" s="36">
        <f t="shared" si="138"/>
        <v>6226.92</v>
      </c>
      <c r="R2236">
        <f t="shared" si="139"/>
        <v>2023</v>
      </c>
    </row>
    <row r="2237" spans="1:18" x14ac:dyDescent="0.2">
      <c r="A2237" s="13">
        <v>45226</v>
      </c>
      <c r="B2237" s="13">
        <v>44918</v>
      </c>
      <c r="C2237" s="25" t="s">
        <v>399</v>
      </c>
      <c r="D2237" s="20">
        <v>308</v>
      </c>
      <c r="E2237" s="28">
        <v>80231.199999999997</v>
      </c>
      <c r="F2237" s="22" t="s">
        <v>295</v>
      </c>
      <c r="G2237" s="14">
        <v>70</v>
      </c>
      <c r="H2237" s="40">
        <v>44648</v>
      </c>
      <c r="I2237" s="46">
        <f t="shared" si="136"/>
        <v>578</v>
      </c>
      <c r="J2237" s="1" t="s">
        <v>15</v>
      </c>
      <c r="K2237" s="4" t="s">
        <v>204</v>
      </c>
      <c r="L2237" s="4" t="s">
        <v>228</v>
      </c>
      <c r="M2237" s="8">
        <v>70</v>
      </c>
      <c r="N2237" s="5">
        <v>1146.1600000000001</v>
      </c>
      <c r="O2237" s="5">
        <v>80231.199999999997</v>
      </c>
      <c r="P2237">
        <f t="shared" si="137"/>
        <v>1</v>
      </c>
      <c r="Q2237" s="36">
        <f t="shared" si="138"/>
        <v>80231.200000000012</v>
      </c>
      <c r="R2237">
        <f t="shared" si="139"/>
        <v>2022</v>
      </c>
    </row>
    <row r="2238" spans="1:18" x14ac:dyDescent="0.2">
      <c r="A2238" s="13">
        <v>45226</v>
      </c>
      <c r="B2238" s="13">
        <v>44918</v>
      </c>
      <c r="C2238" s="25" t="s">
        <v>399</v>
      </c>
      <c r="D2238" s="20">
        <v>308</v>
      </c>
      <c r="E2238" s="28">
        <v>80231.199999999997</v>
      </c>
      <c r="F2238" s="22" t="s">
        <v>295</v>
      </c>
      <c r="G2238" s="14">
        <v>70</v>
      </c>
      <c r="H2238" s="40">
        <v>44708</v>
      </c>
      <c r="I2238" s="46">
        <f t="shared" si="136"/>
        <v>518</v>
      </c>
      <c r="J2238" s="1" t="s">
        <v>15</v>
      </c>
      <c r="K2238" s="4" t="s">
        <v>204</v>
      </c>
      <c r="L2238" s="4" t="s">
        <v>228</v>
      </c>
      <c r="M2238" s="8">
        <v>70</v>
      </c>
      <c r="N2238" s="5">
        <v>1146.1600000000001</v>
      </c>
      <c r="O2238" s="5">
        <v>80231.199999999997</v>
      </c>
      <c r="P2238">
        <f t="shared" si="137"/>
        <v>1</v>
      </c>
      <c r="Q2238" s="36">
        <f t="shared" si="138"/>
        <v>80231.200000000012</v>
      </c>
      <c r="R2238">
        <f t="shared" si="139"/>
        <v>2022</v>
      </c>
    </row>
    <row r="2239" spans="1:18" x14ac:dyDescent="0.2">
      <c r="A2239" s="13">
        <v>45226</v>
      </c>
      <c r="B2239" s="13">
        <v>45077</v>
      </c>
      <c r="C2239" s="25" t="s">
        <v>399</v>
      </c>
      <c r="D2239" s="20">
        <v>149</v>
      </c>
      <c r="E2239" s="28">
        <v>160462.39999999999</v>
      </c>
      <c r="F2239" s="22" t="s">
        <v>295</v>
      </c>
      <c r="G2239" s="14">
        <v>140</v>
      </c>
      <c r="H2239" s="40">
        <v>44708</v>
      </c>
      <c r="I2239" s="46">
        <f t="shared" si="136"/>
        <v>518</v>
      </c>
      <c r="J2239" s="1" t="s">
        <v>15</v>
      </c>
      <c r="K2239" s="4" t="s">
        <v>204</v>
      </c>
      <c r="L2239" s="4" t="s">
        <v>228</v>
      </c>
      <c r="M2239" s="8">
        <v>140</v>
      </c>
      <c r="N2239" s="5">
        <v>1146.1600000000001</v>
      </c>
      <c r="O2239" s="5">
        <v>160462.39999999999</v>
      </c>
      <c r="P2239">
        <f t="shared" si="137"/>
        <v>1</v>
      </c>
      <c r="Q2239" s="36">
        <f t="shared" si="138"/>
        <v>160462.40000000002</v>
      </c>
      <c r="R2239">
        <f t="shared" si="139"/>
        <v>2022</v>
      </c>
    </row>
    <row r="2240" spans="1:18" x14ac:dyDescent="0.2">
      <c r="A2240" s="13">
        <v>45226</v>
      </c>
      <c r="B2240" s="13">
        <v>44918</v>
      </c>
      <c r="C2240" s="25" t="s">
        <v>399</v>
      </c>
      <c r="D2240" s="20">
        <v>308</v>
      </c>
      <c r="E2240" s="28">
        <v>80231.199999999997</v>
      </c>
      <c r="F2240" s="22" t="s">
        <v>295</v>
      </c>
      <c r="G2240" s="14">
        <v>70</v>
      </c>
      <c r="H2240" s="40">
        <v>44714</v>
      </c>
      <c r="I2240" s="46">
        <f t="shared" si="136"/>
        <v>512</v>
      </c>
      <c r="J2240" s="1" t="s">
        <v>15</v>
      </c>
      <c r="K2240" s="4" t="s">
        <v>204</v>
      </c>
      <c r="L2240" s="4" t="s">
        <v>228</v>
      </c>
      <c r="M2240" s="8">
        <v>70</v>
      </c>
      <c r="N2240" s="5">
        <v>1146.1600000000001</v>
      </c>
      <c r="O2240" s="5">
        <v>80231.199999999997</v>
      </c>
      <c r="P2240">
        <f t="shared" si="137"/>
        <v>1</v>
      </c>
      <c r="Q2240" s="36">
        <f t="shared" si="138"/>
        <v>80231.200000000012</v>
      </c>
      <c r="R2240">
        <f t="shared" si="139"/>
        <v>2022</v>
      </c>
    </row>
    <row r="2241" spans="1:18" x14ac:dyDescent="0.2">
      <c r="A2241" s="13">
        <v>45226</v>
      </c>
      <c r="B2241" s="13">
        <v>45048</v>
      </c>
      <c r="C2241" s="25" t="s">
        <v>399</v>
      </c>
      <c r="D2241" s="20">
        <v>178</v>
      </c>
      <c r="E2241" s="28">
        <v>160462.39999999999</v>
      </c>
      <c r="F2241" s="22" t="s">
        <v>295</v>
      </c>
      <c r="G2241" s="14">
        <v>140</v>
      </c>
      <c r="H2241" s="40">
        <v>44714</v>
      </c>
      <c r="I2241" s="46">
        <f t="shared" si="136"/>
        <v>512</v>
      </c>
      <c r="J2241" s="1" t="s">
        <v>15</v>
      </c>
      <c r="K2241" s="4" t="s">
        <v>204</v>
      </c>
      <c r="L2241" s="4" t="s">
        <v>228</v>
      </c>
      <c r="M2241" s="8">
        <v>140</v>
      </c>
      <c r="N2241" s="5">
        <v>1146.1600000000001</v>
      </c>
      <c r="O2241" s="5">
        <v>160462.39999999999</v>
      </c>
      <c r="P2241">
        <f t="shared" si="137"/>
        <v>1</v>
      </c>
      <c r="Q2241" s="36">
        <f t="shared" si="138"/>
        <v>160462.40000000002</v>
      </c>
      <c r="R2241">
        <f t="shared" si="139"/>
        <v>2022</v>
      </c>
    </row>
    <row r="2242" spans="1:18" x14ac:dyDescent="0.2">
      <c r="A2242" s="13">
        <v>45226</v>
      </c>
      <c r="B2242" s="13">
        <v>45091</v>
      </c>
      <c r="C2242" s="25" t="s">
        <v>399</v>
      </c>
      <c r="D2242" s="20">
        <v>135</v>
      </c>
      <c r="E2242" s="28">
        <v>80231.199999999997</v>
      </c>
      <c r="F2242" s="22" t="s">
        <v>295</v>
      </c>
      <c r="G2242" s="14">
        <v>70</v>
      </c>
      <c r="H2242" s="40">
        <v>44714</v>
      </c>
      <c r="I2242" s="46">
        <f t="shared" si="136"/>
        <v>512</v>
      </c>
      <c r="J2242" s="1" t="s">
        <v>15</v>
      </c>
      <c r="K2242" s="4" t="s">
        <v>204</v>
      </c>
      <c r="L2242" s="4" t="s">
        <v>228</v>
      </c>
      <c r="M2242" s="8">
        <v>70</v>
      </c>
      <c r="N2242" s="5">
        <v>1146.1600000000001</v>
      </c>
      <c r="O2242" s="5">
        <v>80231.199999999997</v>
      </c>
      <c r="P2242">
        <f t="shared" si="137"/>
        <v>1</v>
      </c>
      <c r="Q2242" s="36">
        <f t="shared" si="138"/>
        <v>80231.200000000012</v>
      </c>
      <c r="R2242">
        <f t="shared" si="139"/>
        <v>2022</v>
      </c>
    </row>
    <row r="2243" spans="1:18" x14ac:dyDescent="0.2">
      <c r="A2243" s="13">
        <v>45226</v>
      </c>
      <c r="B2243" s="13">
        <v>44918</v>
      </c>
      <c r="C2243" s="25" t="s">
        <v>399</v>
      </c>
      <c r="D2243" s="20">
        <v>308</v>
      </c>
      <c r="E2243" s="28">
        <v>160462.39999999999</v>
      </c>
      <c r="F2243" s="22" t="s">
        <v>295</v>
      </c>
      <c r="G2243" s="14">
        <v>140</v>
      </c>
      <c r="H2243" s="40">
        <v>44790</v>
      </c>
      <c r="I2243" s="46">
        <f t="shared" ref="I2243:I2306" si="140">IFERROR(A2243-H2243,"")*1</f>
        <v>436</v>
      </c>
      <c r="J2243" s="1" t="s">
        <v>15</v>
      </c>
      <c r="K2243" s="4" t="s">
        <v>204</v>
      </c>
      <c r="L2243" s="4" t="s">
        <v>228</v>
      </c>
      <c r="M2243" s="8">
        <v>140</v>
      </c>
      <c r="N2243" s="5">
        <v>1146.1600000000001</v>
      </c>
      <c r="O2243" s="5">
        <v>160462.39999999999</v>
      </c>
      <c r="P2243">
        <f t="shared" ref="P2243:P2306" si="141">IF(M2243=G2243,1,0)</f>
        <v>1</v>
      </c>
      <c r="Q2243" s="36">
        <f t="shared" ref="Q2243:Q2306" si="142">N2243*G2243</f>
        <v>160462.40000000002</v>
      </c>
      <c r="R2243">
        <f t="shared" ref="R2243:R2306" si="143">YEAR(H2243)</f>
        <v>2022</v>
      </c>
    </row>
    <row r="2244" spans="1:18" x14ac:dyDescent="0.2">
      <c r="A2244" s="13">
        <v>45226</v>
      </c>
      <c r="B2244" s="13">
        <v>45091</v>
      </c>
      <c r="C2244" s="25" t="s">
        <v>399</v>
      </c>
      <c r="D2244" s="20">
        <v>135</v>
      </c>
      <c r="E2244" s="28">
        <v>80231.199999999997</v>
      </c>
      <c r="F2244" s="22" t="s">
        <v>295</v>
      </c>
      <c r="G2244" s="14">
        <v>70</v>
      </c>
      <c r="H2244" s="40">
        <v>44790</v>
      </c>
      <c r="I2244" s="46">
        <f t="shared" si="140"/>
        <v>436</v>
      </c>
      <c r="J2244" s="1" t="s">
        <v>15</v>
      </c>
      <c r="K2244" s="4" t="s">
        <v>204</v>
      </c>
      <c r="L2244" s="4" t="s">
        <v>228</v>
      </c>
      <c r="M2244" s="8">
        <v>70</v>
      </c>
      <c r="N2244" s="5">
        <v>1146.1600000000001</v>
      </c>
      <c r="O2244" s="5">
        <v>80231.199999999997</v>
      </c>
      <c r="P2244">
        <f t="shared" si="141"/>
        <v>1</v>
      </c>
      <c r="Q2244" s="36">
        <f t="shared" si="142"/>
        <v>80231.200000000012</v>
      </c>
      <c r="R2244">
        <f t="shared" si="143"/>
        <v>2022</v>
      </c>
    </row>
    <row r="2245" spans="1:18" x14ac:dyDescent="0.2">
      <c r="A2245" s="13">
        <v>45226</v>
      </c>
      <c r="B2245" s="13">
        <v>45104</v>
      </c>
      <c r="C2245" s="25" t="s">
        <v>399</v>
      </c>
      <c r="D2245" s="20">
        <v>122</v>
      </c>
      <c r="E2245" s="28">
        <v>320924.79999999999</v>
      </c>
      <c r="F2245" s="22" t="s">
        <v>295</v>
      </c>
      <c r="G2245" s="14">
        <v>280</v>
      </c>
      <c r="H2245" s="40">
        <v>44790</v>
      </c>
      <c r="I2245" s="46">
        <f t="shared" si="140"/>
        <v>436</v>
      </c>
      <c r="J2245" s="1" t="s">
        <v>15</v>
      </c>
      <c r="K2245" s="4" t="s">
        <v>204</v>
      </c>
      <c r="L2245" s="4" t="s">
        <v>228</v>
      </c>
      <c r="M2245" s="8">
        <v>280</v>
      </c>
      <c r="N2245" s="5">
        <v>1146.1600000000001</v>
      </c>
      <c r="O2245" s="5">
        <v>320924.79999999999</v>
      </c>
      <c r="P2245">
        <f t="shared" si="141"/>
        <v>1</v>
      </c>
      <c r="Q2245" s="36">
        <f t="shared" si="142"/>
        <v>320924.80000000005</v>
      </c>
      <c r="R2245">
        <f t="shared" si="143"/>
        <v>2022</v>
      </c>
    </row>
    <row r="2246" spans="1:18" x14ac:dyDescent="0.2">
      <c r="A2246" s="13">
        <v>45226</v>
      </c>
      <c r="B2246" s="13">
        <v>45139</v>
      </c>
      <c r="C2246" s="25" t="s">
        <v>399</v>
      </c>
      <c r="D2246" s="20">
        <v>87</v>
      </c>
      <c r="E2246" s="28">
        <v>240693.6</v>
      </c>
      <c r="F2246" s="22" t="s">
        <v>295</v>
      </c>
      <c r="G2246" s="14">
        <v>210</v>
      </c>
      <c r="H2246" s="40">
        <v>44790</v>
      </c>
      <c r="I2246" s="46">
        <f t="shared" si="140"/>
        <v>436</v>
      </c>
      <c r="J2246" s="1" t="s">
        <v>15</v>
      </c>
      <c r="K2246" s="4" t="s">
        <v>204</v>
      </c>
      <c r="L2246" s="4" t="s">
        <v>228</v>
      </c>
      <c r="M2246" s="8">
        <v>210</v>
      </c>
      <c r="N2246" s="5">
        <v>1146.1600000000001</v>
      </c>
      <c r="O2246" s="5">
        <v>240693.6</v>
      </c>
      <c r="P2246">
        <f t="shared" si="141"/>
        <v>1</v>
      </c>
      <c r="Q2246" s="36">
        <f t="shared" si="142"/>
        <v>240693.6</v>
      </c>
      <c r="R2246">
        <f t="shared" si="143"/>
        <v>2022</v>
      </c>
    </row>
    <row r="2247" spans="1:18" x14ac:dyDescent="0.2">
      <c r="A2247" s="13">
        <v>45188</v>
      </c>
      <c r="B2247" s="13">
        <v>44572</v>
      </c>
      <c r="C2247" s="25" t="s">
        <v>399</v>
      </c>
      <c r="D2247" s="20">
        <v>616</v>
      </c>
      <c r="E2247" s="28">
        <v>2322.6</v>
      </c>
      <c r="F2247" s="22" t="s">
        <v>296</v>
      </c>
      <c r="G2247" s="14">
        <v>7</v>
      </c>
      <c r="H2247" s="40">
        <v>44987</v>
      </c>
      <c r="I2247" s="46">
        <f t="shared" si="140"/>
        <v>201</v>
      </c>
      <c r="J2247" s="1" t="s">
        <v>15</v>
      </c>
      <c r="K2247" s="4" t="s">
        <v>208</v>
      </c>
      <c r="L2247" s="4" t="s">
        <v>228</v>
      </c>
      <c r="M2247" s="8">
        <v>7</v>
      </c>
      <c r="N2247" s="5">
        <v>331.8</v>
      </c>
      <c r="O2247" s="5">
        <v>2322.6</v>
      </c>
      <c r="P2247">
        <f t="shared" si="141"/>
        <v>1</v>
      </c>
      <c r="Q2247" s="36">
        <f t="shared" si="142"/>
        <v>2322.6</v>
      </c>
      <c r="R2247">
        <f t="shared" si="143"/>
        <v>2023</v>
      </c>
    </row>
    <row r="2248" spans="1:18" x14ac:dyDescent="0.2">
      <c r="A2248" s="13">
        <v>45624</v>
      </c>
      <c r="B2248" s="13">
        <v>45624</v>
      </c>
      <c r="C2248" s="25" t="s">
        <v>398</v>
      </c>
      <c r="D2248" s="20">
        <v>0</v>
      </c>
      <c r="E2248" s="28">
        <v>21120</v>
      </c>
      <c r="F2248" s="22" t="s">
        <v>297</v>
      </c>
      <c r="G2248" s="14">
        <v>12000</v>
      </c>
      <c r="H2248" s="40">
        <v>44914</v>
      </c>
      <c r="I2248" s="46">
        <f t="shared" si="140"/>
        <v>710</v>
      </c>
      <c r="J2248" s="1" t="s">
        <v>15</v>
      </c>
      <c r="K2248" s="4" t="s">
        <v>207</v>
      </c>
      <c r="L2248" s="4" t="s">
        <v>224</v>
      </c>
      <c r="M2248" s="8">
        <v>63000</v>
      </c>
      <c r="N2248" s="5">
        <v>1.76</v>
      </c>
      <c r="O2248" s="5">
        <v>110880</v>
      </c>
      <c r="P2248">
        <f t="shared" si="141"/>
        <v>0</v>
      </c>
      <c r="Q2248" s="36">
        <f t="shared" si="142"/>
        <v>21120</v>
      </c>
      <c r="R2248">
        <f t="shared" si="143"/>
        <v>2022</v>
      </c>
    </row>
    <row r="2249" spans="1:18" x14ac:dyDescent="0.2">
      <c r="A2249" s="13">
        <v>45642</v>
      </c>
      <c r="B2249" s="13">
        <v>45624</v>
      </c>
      <c r="C2249" s="25" t="s">
        <v>399</v>
      </c>
      <c r="D2249" s="20">
        <v>18</v>
      </c>
      <c r="E2249" s="28">
        <v>89760</v>
      </c>
      <c r="F2249" s="22" t="s">
        <v>297</v>
      </c>
      <c r="G2249" s="14">
        <v>51000</v>
      </c>
      <c r="H2249" s="40">
        <v>44914</v>
      </c>
      <c r="I2249" s="46">
        <f t="shared" si="140"/>
        <v>728</v>
      </c>
      <c r="J2249" s="1" t="s">
        <v>15</v>
      </c>
      <c r="K2249" s="4" t="s">
        <v>207</v>
      </c>
      <c r="L2249" s="4" t="s">
        <v>224</v>
      </c>
      <c r="M2249" s="8">
        <v>63000</v>
      </c>
      <c r="N2249" s="5">
        <v>1.76</v>
      </c>
      <c r="O2249" s="5">
        <v>110880</v>
      </c>
      <c r="P2249">
        <f t="shared" si="141"/>
        <v>0</v>
      </c>
      <c r="Q2249" s="36">
        <f t="shared" si="142"/>
        <v>89760</v>
      </c>
      <c r="R2249">
        <f t="shared" si="143"/>
        <v>2022</v>
      </c>
    </row>
    <row r="2250" spans="1:18" x14ac:dyDescent="0.2">
      <c r="A2250" s="13">
        <v>45225</v>
      </c>
      <c r="B2250" s="13">
        <v>45225</v>
      </c>
      <c r="C2250" s="25" t="s">
        <v>398</v>
      </c>
      <c r="D2250" s="20">
        <v>0</v>
      </c>
      <c r="E2250" s="28">
        <v>23308.560000000001</v>
      </c>
      <c r="F2250" s="22" t="s">
        <v>237</v>
      </c>
      <c r="G2250" s="14">
        <v>216</v>
      </c>
      <c r="H2250" s="40">
        <v>44831</v>
      </c>
      <c r="I2250" s="46">
        <f t="shared" si="140"/>
        <v>394</v>
      </c>
      <c r="J2250" s="1" t="s">
        <v>15</v>
      </c>
      <c r="K2250" s="4" t="s">
        <v>209</v>
      </c>
      <c r="L2250" s="4" t="s">
        <v>231</v>
      </c>
      <c r="M2250" s="8">
        <v>216</v>
      </c>
      <c r="N2250" s="5">
        <v>107.91</v>
      </c>
      <c r="O2250" s="5">
        <v>23308.560000000001</v>
      </c>
      <c r="P2250">
        <f t="shared" si="141"/>
        <v>1</v>
      </c>
      <c r="Q2250" s="36">
        <f t="shared" si="142"/>
        <v>23308.559999999998</v>
      </c>
      <c r="R2250">
        <f t="shared" si="143"/>
        <v>2022</v>
      </c>
    </row>
    <row r="2251" spans="1:18" x14ac:dyDescent="0.2">
      <c r="A2251" s="13">
        <v>45218</v>
      </c>
      <c r="B2251" s="13">
        <v>45218</v>
      </c>
      <c r="C2251" s="25" t="s">
        <v>398</v>
      </c>
      <c r="D2251" s="20">
        <v>0</v>
      </c>
      <c r="E2251" s="28">
        <v>58271.4</v>
      </c>
      <c r="F2251" s="22" t="s">
        <v>237</v>
      </c>
      <c r="G2251" s="14">
        <v>540</v>
      </c>
      <c r="H2251" s="40">
        <v>44931</v>
      </c>
      <c r="I2251" s="46">
        <f t="shared" si="140"/>
        <v>287</v>
      </c>
      <c r="J2251" s="1" t="s">
        <v>15</v>
      </c>
      <c r="K2251" s="4" t="s">
        <v>209</v>
      </c>
      <c r="L2251" s="4" t="s">
        <v>231</v>
      </c>
      <c r="M2251" s="8">
        <v>540</v>
      </c>
      <c r="N2251" s="5">
        <v>107.91</v>
      </c>
      <c r="O2251" s="5">
        <v>58271.4</v>
      </c>
      <c r="P2251">
        <f t="shared" si="141"/>
        <v>1</v>
      </c>
      <c r="Q2251" s="36">
        <f t="shared" si="142"/>
        <v>58271.4</v>
      </c>
      <c r="R2251">
        <f t="shared" si="143"/>
        <v>2023</v>
      </c>
    </row>
    <row r="2252" spans="1:18" x14ac:dyDescent="0.2">
      <c r="A2252" s="13">
        <v>45211</v>
      </c>
      <c r="B2252" s="13">
        <v>45211</v>
      </c>
      <c r="C2252" s="25" t="s">
        <v>398</v>
      </c>
      <c r="D2252" s="20">
        <v>0</v>
      </c>
      <c r="E2252" s="28">
        <v>46617.120000000003</v>
      </c>
      <c r="F2252" s="22" t="s">
        <v>237</v>
      </c>
      <c r="G2252" s="14">
        <v>432</v>
      </c>
      <c r="H2252" s="40">
        <v>44937</v>
      </c>
      <c r="I2252" s="46">
        <f t="shared" si="140"/>
        <v>274</v>
      </c>
      <c r="J2252" s="1" t="s">
        <v>15</v>
      </c>
      <c r="K2252" s="4" t="s">
        <v>209</v>
      </c>
      <c r="L2252" s="4" t="s">
        <v>231</v>
      </c>
      <c r="M2252" s="8">
        <v>432</v>
      </c>
      <c r="N2252" s="5">
        <v>107.91</v>
      </c>
      <c r="O2252" s="5">
        <v>46617.120000000003</v>
      </c>
      <c r="P2252">
        <f t="shared" si="141"/>
        <v>1</v>
      </c>
      <c r="Q2252" s="36">
        <f t="shared" si="142"/>
        <v>46617.119999999995</v>
      </c>
      <c r="R2252">
        <f t="shared" si="143"/>
        <v>2023</v>
      </c>
    </row>
    <row r="2253" spans="1:18" x14ac:dyDescent="0.2">
      <c r="A2253" s="13">
        <v>45217</v>
      </c>
      <c r="B2253" s="13">
        <v>45217</v>
      </c>
      <c r="C2253" s="25" t="s">
        <v>398</v>
      </c>
      <c r="D2253" s="20">
        <v>0</v>
      </c>
      <c r="E2253" s="28">
        <v>139851.35999999999</v>
      </c>
      <c r="F2253" s="22" t="s">
        <v>237</v>
      </c>
      <c r="G2253" s="14">
        <v>1296</v>
      </c>
      <c r="H2253" s="40">
        <v>44937</v>
      </c>
      <c r="I2253" s="46">
        <f t="shared" si="140"/>
        <v>280</v>
      </c>
      <c r="J2253" s="1" t="s">
        <v>15</v>
      </c>
      <c r="K2253" s="4" t="s">
        <v>209</v>
      </c>
      <c r="L2253" s="4" t="s">
        <v>231</v>
      </c>
      <c r="M2253" s="8">
        <v>1296</v>
      </c>
      <c r="N2253" s="5">
        <v>107.91</v>
      </c>
      <c r="O2253" s="5">
        <v>139851.35999999999</v>
      </c>
      <c r="P2253">
        <f t="shared" si="141"/>
        <v>1</v>
      </c>
      <c r="Q2253" s="36">
        <f t="shared" si="142"/>
        <v>139851.35999999999</v>
      </c>
      <c r="R2253">
        <f t="shared" si="143"/>
        <v>2023</v>
      </c>
    </row>
    <row r="2254" spans="1:18" x14ac:dyDescent="0.2">
      <c r="A2254" s="13">
        <v>45385</v>
      </c>
      <c r="B2254" s="13">
        <v>45385</v>
      </c>
      <c r="C2254" s="25" t="s">
        <v>398</v>
      </c>
      <c r="D2254" s="20">
        <v>0</v>
      </c>
      <c r="E2254" s="28">
        <v>54085.2</v>
      </c>
      <c r="F2254" s="22" t="s">
        <v>240</v>
      </c>
      <c r="G2254" s="14">
        <v>120</v>
      </c>
      <c r="H2254" s="40">
        <v>44904</v>
      </c>
      <c r="I2254" s="46">
        <f t="shared" si="140"/>
        <v>481</v>
      </c>
      <c r="J2254" s="1" t="s">
        <v>15</v>
      </c>
      <c r="K2254" s="4" t="s">
        <v>209</v>
      </c>
      <c r="L2254" s="4" t="s">
        <v>231</v>
      </c>
      <c r="M2254" s="8">
        <v>120</v>
      </c>
      <c r="N2254" s="5">
        <v>450.71</v>
      </c>
      <c r="O2254" s="5">
        <v>54085.2</v>
      </c>
      <c r="P2254">
        <f t="shared" si="141"/>
        <v>1</v>
      </c>
      <c r="Q2254" s="36">
        <f t="shared" si="142"/>
        <v>54085.2</v>
      </c>
      <c r="R2254">
        <f t="shared" si="143"/>
        <v>2022</v>
      </c>
    </row>
    <row r="2255" spans="1:18" x14ac:dyDescent="0.2">
      <c r="A2255" s="13">
        <v>45392</v>
      </c>
      <c r="B2255" s="13">
        <v>45392</v>
      </c>
      <c r="C2255" s="25" t="s">
        <v>398</v>
      </c>
      <c r="D2255" s="20">
        <v>0</v>
      </c>
      <c r="E2255" s="28">
        <v>324511.2</v>
      </c>
      <c r="F2255" s="22" t="s">
        <v>240</v>
      </c>
      <c r="G2255" s="14">
        <v>720</v>
      </c>
      <c r="H2255" s="40">
        <v>44917</v>
      </c>
      <c r="I2255" s="46">
        <f t="shared" si="140"/>
        <v>475</v>
      </c>
      <c r="J2255" s="1" t="s">
        <v>15</v>
      </c>
      <c r="K2255" s="4" t="s">
        <v>209</v>
      </c>
      <c r="L2255" s="4" t="s">
        <v>231</v>
      </c>
      <c r="M2255" s="8">
        <v>720</v>
      </c>
      <c r="N2255" s="5">
        <v>450.71</v>
      </c>
      <c r="O2255" s="5">
        <v>324511.2</v>
      </c>
      <c r="P2255">
        <f t="shared" si="141"/>
        <v>1</v>
      </c>
      <c r="Q2255" s="36">
        <f t="shared" si="142"/>
        <v>324511.2</v>
      </c>
      <c r="R2255">
        <f t="shared" si="143"/>
        <v>2022</v>
      </c>
    </row>
    <row r="2256" spans="1:18" x14ac:dyDescent="0.2">
      <c r="A2256" s="13">
        <v>45427</v>
      </c>
      <c r="B2256" s="13">
        <v>45427</v>
      </c>
      <c r="C2256" s="25" t="s">
        <v>398</v>
      </c>
      <c r="D2256" s="20">
        <v>0</v>
      </c>
      <c r="E2256" s="28">
        <v>162255.6</v>
      </c>
      <c r="F2256" s="22" t="s">
        <v>240</v>
      </c>
      <c r="G2256" s="14">
        <v>360</v>
      </c>
      <c r="H2256" s="40">
        <v>44923</v>
      </c>
      <c r="I2256" s="46">
        <f t="shared" si="140"/>
        <v>504</v>
      </c>
      <c r="J2256" s="1" t="s">
        <v>15</v>
      </c>
      <c r="K2256" s="4" t="s">
        <v>209</v>
      </c>
      <c r="L2256" s="4" t="s">
        <v>231</v>
      </c>
      <c r="M2256" s="8">
        <v>360</v>
      </c>
      <c r="N2256" s="5">
        <v>450.71</v>
      </c>
      <c r="O2256" s="5">
        <v>162255.6</v>
      </c>
      <c r="P2256">
        <f t="shared" si="141"/>
        <v>1</v>
      </c>
      <c r="Q2256" s="36">
        <f t="shared" si="142"/>
        <v>162255.6</v>
      </c>
      <c r="R2256">
        <f t="shared" si="143"/>
        <v>2022</v>
      </c>
    </row>
    <row r="2257" spans="1:18" x14ac:dyDescent="0.2">
      <c r="A2257" s="13">
        <v>45455</v>
      </c>
      <c r="B2257" s="13">
        <v>45455</v>
      </c>
      <c r="C2257" s="25" t="s">
        <v>398</v>
      </c>
      <c r="D2257" s="20">
        <v>0</v>
      </c>
      <c r="E2257" s="28">
        <v>162255.6</v>
      </c>
      <c r="F2257" s="22" t="s">
        <v>240</v>
      </c>
      <c r="G2257" s="14">
        <v>360</v>
      </c>
      <c r="H2257" s="40">
        <v>44945</v>
      </c>
      <c r="I2257" s="46">
        <f t="shared" si="140"/>
        <v>510</v>
      </c>
      <c r="J2257" s="1" t="s">
        <v>15</v>
      </c>
      <c r="K2257" s="4" t="s">
        <v>209</v>
      </c>
      <c r="L2257" s="4" t="s">
        <v>231</v>
      </c>
      <c r="M2257" s="8">
        <v>360</v>
      </c>
      <c r="N2257" s="5">
        <v>450.71</v>
      </c>
      <c r="O2257" s="5">
        <v>162255.6</v>
      </c>
      <c r="P2257">
        <f t="shared" si="141"/>
        <v>1</v>
      </c>
      <c r="Q2257" s="36">
        <f t="shared" si="142"/>
        <v>162255.6</v>
      </c>
      <c r="R2257">
        <f t="shared" si="143"/>
        <v>2023</v>
      </c>
    </row>
    <row r="2258" spans="1:18" x14ac:dyDescent="0.2">
      <c r="A2258" s="13">
        <v>45323</v>
      </c>
      <c r="B2258" s="13">
        <v>44986</v>
      </c>
      <c r="C2258" s="25" t="s">
        <v>399</v>
      </c>
      <c r="D2258" s="20">
        <v>337</v>
      </c>
      <c r="E2258" s="28">
        <v>5882.88</v>
      </c>
      <c r="F2258" s="22" t="s">
        <v>295</v>
      </c>
      <c r="G2258" s="14">
        <v>64</v>
      </c>
      <c r="H2258" s="40">
        <v>44952</v>
      </c>
      <c r="I2258" s="46">
        <f t="shared" si="140"/>
        <v>371</v>
      </c>
      <c r="J2258" s="1" t="s">
        <v>15</v>
      </c>
      <c r="K2258" s="4" t="s">
        <v>209</v>
      </c>
      <c r="L2258" s="4" t="s">
        <v>231</v>
      </c>
      <c r="M2258" s="8">
        <v>120</v>
      </c>
      <c r="N2258" s="5">
        <v>91.92</v>
      </c>
      <c r="O2258" s="5">
        <v>11030.4</v>
      </c>
      <c r="P2258">
        <f t="shared" si="141"/>
        <v>0</v>
      </c>
      <c r="Q2258" s="36">
        <f t="shared" si="142"/>
        <v>5882.88</v>
      </c>
      <c r="R2258">
        <f t="shared" si="143"/>
        <v>2023</v>
      </c>
    </row>
    <row r="2259" spans="1:18" x14ac:dyDescent="0.2">
      <c r="A2259" s="13">
        <v>45328</v>
      </c>
      <c r="B2259" s="13">
        <v>44986</v>
      </c>
      <c r="C2259" s="25" t="s">
        <v>399</v>
      </c>
      <c r="D2259" s="20">
        <v>342</v>
      </c>
      <c r="E2259" s="28">
        <v>5147.5200000000004</v>
      </c>
      <c r="F2259" s="22" t="s">
        <v>295</v>
      </c>
      <c r="G2259" s="14">
        <v>56</v>
      </c>
      <c r="H2259" s="40">
        <v>44952</v>
      </c>
      <c r="I2259" s="46">
        <f t="shared" si="140"/>
        <v>376</v>
      </c>
      <c r="J2259" s="1" t="s">
        <v>15</v>
      </c>
      <c r="K2259" s="4" t="s">
        <v>209</v>
      </c>
      <c r="L2259" s="4" t="s">
        <v>231</v>
      </c>
      <c r="M2259" s="8">
        <v>120</v>
      </c>
      <c r="N2259" s="5">
        <v>91.92</v>
      </c>
      <c r="O2259" s="5">
        <v>11030.4</v>
      </c>
      <c r="P2259">
        <f t="shared" si="141"/>
        <v>0</v>
      </c>
      <c r="Q2259" s="36">
        <f t="shared" si="142"/>
        <v>5147.5200000000004</v>
      </c>
      <c r="R2259">
        <f t="shared" si="143"/>
        <v>2023</v>
      </c>
    </row>
    <row r="2260" spans="1:18" x14ac:dyDescent="0.2">
      <c r="A2260" s="13">
        <v>45323</v>
      </c>
      <c r="B2260" s="13">
        <v>44958</v>
      </c>
      <c r="C2260" s="25" t="s">
        <v>399</v>
      </c>
      <c r="D2260" s="20">
        <v>365</v>
      </c>
      <c r="E2260" s="28">
        <v>11030.4</v>
      </c>
      <c r="F2260" s="22" t="s">
        <v>295</v>
      </c>
      <c r="G2260" s="14">
        <v>120</v>
      </c>
      <c r="H2260" s="40">
        <v>44952</v>
      </c>
      <c r="I2260" s="46">
        <f t="shared" si="140"/>
        <v>371</v>
      </c>
      <c r="J2260" s="1" t="s">
        <v>15</v>
      </c>
      <c r="K2260" s="4" t="s">
        <v>209</v>
      </c>
      <c r="L2260" s="4" t="s">
        <v>231</v>
      </c>
      <c r="M2260" s="8">
        <v>120</v>
      </c>
      <c r="N2260" s="5">
        <v>91.92</v>
      </c>
      <c r="O2260" s="5">
        <v>11030.4</v>
      </c>
      <c r="P2260">
        <f t="shared" si="141"/>
        <v>1</v>
      </c>
      <c r="Q2260" s="36">
        <f t="shared" si="142"/>
        <v>11030.4</v>
      </c>
      <c r="R2260">
        <f t="shared" si="143"/>
        <v>2023</v>
      </c>
    </row>
    <row r="2261" spans="1:18" x14ac:dyDescent="0.2">
      <c r="A2261" s="13">
        <v>45427</v>
      </c>
      <c r="B2261" s="13">
        <v>45040</v>
      </c>
      <c r="C2261" s="25" t="s">
        <v>399</v>
      </c>
      <c r="D2261" s="20">
        <v>387</v>
      </c>
      <c r="E2261" s="28">
        <v>11030.4</v>
      </c>
      <c r="F2261" s="22" t="s">
        <v>295</v>
      </c>
      <c r="G2261" s="14">
        <v>120</v>
      </c>
      <c r="H2261" s="40">
        <v>44952</v>
      </c>
      <c r="I2261" s="46">
        <f t="shared" si="140"/>
        <v>475</v>
      </c>
      <c r="J2261" s="1" t="s">
        <v>15</v>
      </c>
      <c r="K2261" s="4" t="s">
        <v>209</v>
      </c>
      <c r="L2261" s="4" t="s">
        <v>231</v>
      </c>
      <c r="M2261" s="8">
        <v>120</v>
      </c>
      <c r="N2261" s="5">
        <v>91.92</v>
      </c>
      <c r="O2261" s="5">
        <v>11030.4</v>
      </c>
      <c r="P2261">
        <f t="shared" si="141"/>
        <v>1</v>
      </c>
      <c r="Q2261" s="36">
        <f t="shared" si="142"/>
        <v>11030.4</v>
      </c>
      <c r="R2261">
        <f t="shared" si="143"/>
        <v>2023</v>
      </c>
    </row>
    <row r="2262" spans="1:18" x14ac:dyDescent="0.2">
      <c r="A2262" s="13">
        <v>45413</v>
      </c>
      <c r="B2262" s="13">
        <v>45033</v>
      </c>
      <c r="C2262" s="25" t="s">
        <v>399</v>
      </c>
      <c r="D2262" s="20">
        <v>380</v>
      </c>
      <c r="E2262" s="28">
        <v>5882.88</v>
      </c>
      <c r="F2262" s="22" t="s">
        <v>295</v>
      </c>
      <c r="G2262" s="14">
        <v>64</v>
      </c>
      <c r="H2262" s="40">
        <v>44964</v>
      </c>
      <c r="I2262" s="46">
        <f t="shared" si="140"/>
        <v>449</v>
      </c>
      <c r="J2262" s="1" t="s">
        <v>15</v>
      </c>
      <c r="K2262" s="4" t="s">
        <v>209</v>
      </c>
      <c r="L2262" s="4" t="s">
        <v>231</v>
      </c>
      <c r="M2262" s="8">
        <v>120</v>
      </c>
      <c r="N2262" s="5">
        <v>91.92</v>
      </c>
      <c r="O2262" s="5">
        <v>11030.4</v>
      </c>
      <c r="P2262">
        <f t="shared" si="141"/>
        <v>0</v>
      </c>
      <c r="Q2262" s="36">
        <f t="shared" si="142"/>
        <v>5882.88</v>
      </c>
      <c r="R2262">
        <f t="shared" si="143"/>
        <v>2023</v>
      </c>
    </row>
    <row r="2263" spans="1:18" x14ac:dyDescent="0.2">
      <c r="A2263" s="13">
        <v>45427</v>
      </c>
      <c r="B2263" s="13">
        <v>45033</v>
      </c>
      <c r="C2263" s="25" t="s">
        <v>399</v>
      </c>
      <c r="D2263" s="20">
        <v>394</v>
      </c>
      <c r="E2263" s="28">
        <v>5147.5200000000004</v>
      </c>
      <c r="F2263" s="22" t="s">
        <v>295</v>
      </c>
      <c r="G2263" s="14">
        <v>56</v>
      </c>
      <c r="H2263" s="40">
        <v>44964</v>
      </c>
      <c r="I2263" s="46">
        <f t="shared" si="140"/>
        <v>463</v>
      </c>
      <c r="J2263" s="1" t="s">
        <v>15</v>
      </c>
      <c r="K2263" s="4" t="s">
        <v>209</v>
      </c>
      <c r="L2263" s="4" t="s">
        <v>231</v>
      </c>
      <c r="M2263" s="8">
        <v>120</v>
      </c>
      <c r="N2263" s="5">
        <v>91.92</v>
      </c>
      <c r="O2263" s="5">
        <v>11030.4</v>
      </c>
      <c r="P2263">
        <f t="shared" si="141"/>
        <v>0</v>
      </c>
      <c r="Q2263" s="36">
        <f t="shared" si="142"/>
        <v>5147.5200000000004</v>
      </c>
      <c r="R2263">
        <f t="shared" si="143"/>
        <v>2023</v>
      </c>
    </row>
    <row r="2264" spans="1:18" x14ac:dyDescent="0.2">
      <c r="A2264" s="13">
        <v>45185</v>
      </c>
      <c r="B2264" s="13">
        <v>45185</v>
      </c>
      <c r="C2264" s="25" t="s">
        <v>398</v>
      </c>
      <c r="D2264" s="20">
        <v>0</v>
      </c>
      <c r="E2264" s="28">
        <v>21606.48</v>
      </c>
      <c r="F2264" s="22" t="s">
        <v>243</v>
      </c>
      <c r="G2264" s="14">
        <v>252</v>
      </c>
      <c r="H2264" s="40">
        <v>44775</v>
      </c>
      <c r="I2264" s="46">
        <f t="shared" si="140"/>
        <v>410</v>
      </c>
      <c r="J2264" s="1" t="s">
        <v>15</v>
      </c>
      <c r="K2264" s="4" t="s">
        <v>209</v>
      </c>
      <c r="L2264" s="4" t="s">
        <v>231</v>
      </c>
      <c r="M2264" s="8">
        <v>252</v>
      </c>
      <c r="N2264" s="5">
        <v>85.74</v>
      </c>
      <c r="O2264" s="5">
        <v>21606.48</v>
      </c>
      <c r="P2264">
        <f t="shared" si="141"/>
        <v>1</v>
      </c>
      <c r="Q2264" s="36">
        <f t="shared" si="142"/>
        <v>21606.48</v>
      </c>
      <c r="R2264">
        <f t="shared" si="143"/>
        <v>2022</v>
      </c>
    </row>
    <row r="2265" spans="1:18" x14ac:dyDescent="0.2">
      <c r="A2265" s="13">
        <v>45324</v>
      </c>
      <c r="B2265" s="13">
        <v>45259</v>
      </c>
      <c r="C2265" s="25" t="s">
        <v>399</v>
      </c>
      <c r="D2265" s="20">
        <v>65</v>
      </c>
      <c r="E2265" s="28">
        <v>21606.48</v>
      </c>
      <c r="F2265" s="22" t="s">
        <v>243</v>
      </c>
      <c r="G2265" s="14">
        <v>252</v>
      </c>
      <c r="H2265" s="40">
        <v>44969</v>
      </c>
      <c r="I2265" s="46">
        <f t="shared" si="140"/>
        <v>355</v>
      </c>
      <c r="J2265" s="1" t="s">
        <v>15</v>
      </c>
      <c r="K2265" s="4" t="s">
        <v>209</v>
      </c>
      <c r="L2265" s="4" t="s">
        <v>231</v>
      </c>
      <c r="M2265" s="8">
        <v>252</v>
      </c>
      <c r="N2265" s="5">
        <v>85.74</v>
      </c>
      <c r="O2265" s="5">
        <v>21606.48</v>
      </c>
      <c r="P2265">
        <f t="shared" si="141"/>
        <v>1</v>
      </c>
      <c r="Q2265" s="36">
        <f t="shared" si="142"/>
        <v>21606.48</v>
      </c>
      <c r="R2265">
        <f t="shared" si="143"/>
        <v>2023</v>
      </c>
    </row>
    <row r="2266" spans="1:18" x14ac:dyDescent="0.2">
      <c r="A2266" s="13">
        <v>45364</v>
      </c>
      <c r="B2266" s="13">
        <v>45364</v>
      </c>
      <c r="C2266" s="25" t="s">
        <v>398</v>
      </c>
      <c r="D2266" s="20">
        <v>0</v>
      </c>
      <c r="E2266" s="28">
        <v>21606.48</v>
      </c>
      <c r="F2266" s="22" t="s">
        <v>243</v>
      </c>
      <c r="G2266" s="14">
        <v>252</v>
      </c>
      <c r="H2266" s="40">
        <v>44972</v>
      </c>
      <c r="I2266" s="46">
        <f t="shared" si="140"/>
        <v>392</v>
      </c>
      <c r="J2266" s="1" t="s">
        <v>15</v>
      </c>
      <c r="K2266" s="4" t="s">
        <v>209</v>
      </c>
      <c r="L2266" s="4" t="s">
        <v>231</v>
      </c>
      <c r="M2266" s="8">
        <v>252</v>
      </c>
      <c r="N2266" s="5">
        <v>85.74</v>
      </c>
      <c r="O2266" s="5">
        <v>21606.48</v>
      </c>
      <c r="P2266">
        <f t="shared" si="141"/>
        <v>1</v>
      </c>
      <c r="Q2266" s="36">
        <f t="shared" si="142"/>
        <v>21606.48</v>
      </c>
      <c r="R2266">
        <f t="shared" si="143"/>
        <v>2023</v>
      </c>
    </row>
    <row r="2267" spans="1:18" x14ac:dyDescent="0.2">
      <c r="A2267" s="13">
        <v>45513</v>
      </c>
      <c r="B2267" s="13">
        <v>45513</v>
      </c>
      <c r="C2267" s="25" t="s">
        <v>398</v>
      </c>
      <c r="D2267" s="20">
        <v>0</v>
      </c>
      <c r="E2267" s="28">
        <v>21606.48</v>
      </c>
      <c r="F2267" s="22" t="s">
        <v>243</v>
      </c>
      <c r="G2267" s="14">
        <v>252</v>
      </c>
      <c r="H2267" s="40">
        <v>45124</v>
      </c>
      <c r="I2267" s="46">
        <f t="shared" si="140"/>
        <v>389</v>
      </c>
      <c r="J2267" s="1" t="s">
        <v>15</v>
      </c>
      <c r="K2267" s="4" t="s">
        <v>209</v>
      </c>
      <c r="L2267" s="4" t="s">
        <v>231</v>
      </c>
      <c r="M2267" s="8">
        <v>252</v>
      </c>
      <c r="N2267" s="5">
        <v>85.74</v>
      </c>
      <c r="O2267" s="5">
        <v>21606.48</v>
      </c>
      <c r="P2267">
        <f t="shared" si="141"/>
        <v>1</v>
      </c>
      <c r="Q2267" s="36">
        <f t="shared" si="142"/>
        <v>21606.48</v>
      </c>
      <c r="R2267">
        <f t="shared" si="143"/>
        <v>2023</v>
      </c>
    </row>
    <row r="2268" spans="1:18" x14ac:dyDescent="0.2">
      <c r="A2268" s="13">
        <v>45194</v>
      </c>
      <c r="B2268" s="13">
        <v>45194</v>
      </c>
      <c r="C2268" s="25" t="s">
        <v>398</v>
      </c>
      <c r="D2268" s="20">
        <v>0</v>
      </c>
      <c r="E2268" s="28">
        <v>922.5</v>
      </c>
      <c r="F2268" s="22" t="s">
        <v>294</v>
      </c>
      <c r="G2268" s="14">
        <v>9000</v>
      </c>
      <c r="H2268" s="40">
        <v>45033</v>
      </c>
      <c r="I2268" s="46">
        <f t="shared" si="140"/>
        <v>161</v>
      </c>
      <c r="J2268" s="1" t="s">
        <v>15</v>
      </c>
      <c r="K2268" s="4" t="s">
        <v>209</v>
      </c>
      <c r="L2268" s="4" t="s">
        <v>231</v>
      </c>
      <c r="M2268" s="8">
        <v>9000</v>
      </c>
      <c r="N2268" s="5">
        <v>0.1</v>
      </c>
      <c r="O2268" s="5">
        <v>900</v>
      </c>
      <c r="P2268">
        <f t="shared" si="141"/>
        <v>1</v>
      </c>
      <c r="Q2268" s="36">
        <f t="shared" si="142"/>
        <v>900</v>
      </c>
      <c r="R2268">
        <f t="shared" si="143"/>
        <v>2023</v>
      </c>
    </row>
    <row r="2269" spans="1:18" x14ac:dyDescent="0.2">
      <c r="A2269" s="13">
        <v>45217</v>
      </c>
      <c r="B2269" s="13">
        <v>45217</v>
      </c>
      <c r="C2269" s="25" t="s">
        <v>398</v>
      </c>
      <c r="D2269" s="20">
        <v>0</v>
      </c>
      <c r="E2269" s="28">
        <v>776941.5</v>
      </c>
      <c r="F2269" s="22" t="s">
        <v>248</v>
      </c>
      <c r="G2269" s="14">
        <v>1770</v>
      </c>
      <c r="H2269" s="40">
        <v>44848</v>
      </c>
      <c r="I2269" s="46">
        <f t="shared" si="140"/>
        <v>369</v>
      </c>
      <c r="J2269" s="1" t="s">
        <v>15</v>
      </c>
      <c r="K2269" s="4" t="s">
        <v>209</v>
      </c>
      <c r="L2269" s="4" t="s">
        <v>231</v>
      </c>
      <c r="M2269" s="8">
        <v>1770</v>
      </c>
      <c r="N2269" s="5">
        <v>438.95</v>
      </c>
      <c r="O2269" s="5">
        <v>776941.5</v>
      </c>
      <c r="P2269">
        <f t="shared" si="141"/>
        <v>1</v>
      </c>
      <c r="Q2269" s="36">
        <f t="shared" si="142"/>
        <v>776941.5</v>
      </c>
      <c r="R2269">
        <f t="shared" si="143"/>
        <v>2022</v>
      </c>
    </row>
    <row r="2270" spans="1:18" x14ac:dyDescent="0.2">
      <c r="A2270" s="13">
        <v>45224</v>
      </c>
      <c r="B2270" s="13">
        <v>45224</v>
      </c>
      <c r="C2270" s="25" t="s">
        <v>398</v>
      </c>
      <c r="D2270" s="20">
        <v>0</v>
      </c>
      <c r="E2270" s="28">
        <v>263370</v>
      </c>
      <c r="F2270" s="22" t="s">
        <v>248</v>
      </c>
      <c r="G2270" s="14">
        <v>600</v>
      </c>
      <c r="H2270" s="40">
        <v>44848</v>
      </c>
      <c r="I2270" s="46">
        <f t="shared" si="140"/>
        <v>376</v>
      </c>
      <c r="J2270" s="1" t="s">
        <v>15</v>
      </c>
      <c r="K2270" s="4" t="s">
        <v>209</v>
      </c>
      <c r="L2270" s="4" t="s">
        <v>231</v>
      </c>
      <c r="M2270" s="8">
        <v>600</v>
      </c>
      <c r="N2270" s="5">
        <v>438.95</v>
      </c>
      <c r="O2270" s="5">
        <v>263370</v>
      </c>
      <c r="P2270">
        <f t="shared" si="141"/>
        <v>1</v>
      </c>
      <c r="Q2270" s="36">
        <f t="shared" si="142"/>
        <v>263370</v>
      </c>
      <c r="R2270">
        <f t="shared" si="143"/>
        <v>2022</v>
      </c>
    </row>
    <row r="2271" spans="1:18" x14ac:dyDescent="0.2">
      <c r="A2271" s="13">
        <v>45203</v>
      </c>
      <c r="B2271" s="13">
        <v>45203</v>
      </c>
      <c r="C2271" s="25" t="s">
        <v>398</v>
      </c>
      <c r="D2271" s="20">
        <v>0</v>
      </c>
      <c r="E2271" s="28">
        <v>276538.5</v>
      </c>
      <c r="F2271" s="22" t="s">
        <v>248</v>
      </c>
      <c r="G2271" s="14">
        <v>630</v>
      </c>
      <c r="H2271" s="40">
        <v>44851</v>
      </c>
      <c r="I2271" s="46">
        <f t="shared" si="140"/>
        <v>352</v>
      </c>
      <c r="J2271" s="1" t="s">
        <v>15</v>
      </c>
      <c r="K2271" s="4" t="s">
        <v>209</v>
      </c>
      <c r="L2271" s="4" t="s">
        <v>231</v>
      </c>
      <c r="M2271" s="8">
        <v>630</v>
      </c>
      <c r="N2271" s="5">
        <v>438.95</v>
      </c>
      <c r="O2271" s="5">
        <v>276538.5</v>
      </c>
      <c r="P2271">
        <f t="shared" si="141"/>
        <v>1</v>
      </c>
      <c r="Q2271" s="36">
        <f t="shared" si="142"/>
        <v>276538.5</v>
      </c>
      <c r="R2271">
        <f t="shared" si="143"/>
        <v>2022</v>
      </c>
    </row>
    <row r="2272" spans="1:18" x14ac:dyDescent="0.2">
      <c r="A2272" s="13">
        <v>45308</v>
      </c>
      <c r="B2272" s="13">
        <v>45308</v>
      </c>
      <c r="C2272" s="25" t="s">
        <v>398</v>
      </c>
      <c r="D2272" s="20">
        <v>0</v>
      </c>
      <c r="E2272" s="28">
        <v>184359</v>
      </c>
      <c r="F2272" s="22" t="s">
        <v>248</v>
      </c>
      <c r="G2272" s="14">
        <v>420</v>
      </c>
      <c r="H2272" s="40">
        <v>44937</v>
      </c>
      <c r="I2272" s="46">
        <f t="shared" si="140"/>
        <v>371</v>
      </c>
      <c r="J2272" s="1" t="s">
        <v>15</v>
      </c>
      <c r="K2272" s="4" t="s">
        <v>209</v>
      </c>
      <c r="L2272" s="4" t="s">
        <v>231</v>
      </c>
      <c r="M2272" s="8">
        <v>1290</v>
      </c>
      <c r="N2272" s="5">
        <v>438.95</v>
      </c>
      <c r="O2272" s="5">
        <v>566245.5</v>
      </c>
      <c r="P2272">
        <f t="shared" si="141"/>
        <v>0</v>
      </c>
      <c r="Q2272" s="36">
        <f t="shared" si="142"/>
        <v>184359</v>
      </c>
      <c r="R2272">
        <f t="shared" si="143"/>
        <v>2023</v>
      </c>
    </row>
    <row r="2273" spans="1:18" x14ac:dyDescent="0.2">
      <c r="A2273" s="13">
        <v>45330</v>
      </c>
      <c r="B2273" s="13">
        <v>45308</v>
      </c>
      <c r="C2273" s="25" t="s">
        <v>399</v>
      </c>
      <c r="D2273" s="20">
        <v>22</v>
      </c>
      <c r="E2273" s="28">
        <v>381886.5</v>
      </c>
      <c r="F2273" s="22" t="s">
        <v>248</v>
      </c>
      <c r="G2273" s="14">
        <v>870</v>
      </c>
      <c r="H2273" s="40">
        <v>44937</v>
      </c>
      <c r="I2273" s="46">
        <f t="shared" si="140"/>
        <v>393</v>
      </c>
      <c r="J2273" s="1" t="s">
        <v>15</v>
      </c>
      <c r="K2273" s="4" t="s">
        <v>209</v>
      </c>
      <c r="L2273" s="4" t="s">
        <v>231</v>
      </c>
      <c r="M2273" s="8">
        <v>1290</v>
      </c>
      <c r="N2273" s="5">
        <v>438.95</v>
      </c>
      <c r="O2273" s="5">
        <v>566245.5</v>
      </c>
      <c r="P2273">
        <f t="shared" si="141"/>
        <v>0</v>
      </c>
      <c r="Q2273" s="36">
        <f t="shared" si="142"/>
        <v>381886.5</v>
      </c>
      <c r="R2273">
        <f t="shared" si="143"/>
        <v>2023</v>
      </c>
    </row>
    <row r="2274" spans="1:18" x14ac:dyDescent="0.2">
      <c r="A2274" s="13">
        <v>45485</v>
      </c>
      <c r="B2274" s="13">
        <v>45485</v>
      </c>
      <c r="C2274" s="25" t="s">
        <v>398</v>
      </c>
      <c r="D2274" s="20">
        <v>0</v>
      </c>
      <c r="E2274" s="28">
        <v>184359</v>
      </c>
      <c r="F2274" s="22" t="s">
        <v>248</v>
      </c>
      <c r="G2274" s="14">
        <v>420</v>
      </c>
      <c r="H2274" s="40">
        <v>45090</v>
      </c>
      <c r="I2274" s="46">
        <f t="shared" si="140"/>
        <v>395</v>
      </c>
      <c r="J2274" s="1" t="s">
        <v>15</v>
      </c>
      <c r="K2274" s="4" t="s">
        <v>209</v>
      </c>
      <c r="L2274" s="4" t="s">
        <v>231</v>
      </c>
      <c r="M2274" s="8">
        <v>420</v>
      </c>
      <c r="N2274" s="5">
        <v>438.95</v>
      </c>
      <c r="O2274" s="5">
        <v>184359</v>
      </c>
      <c r="P2274">
        <f t="shared" si="141"/>
        <v>1</v>
      </c>
      <c r="Q2274" s="36">
        <f t="shared" si="142"/>
        <v>184359</v>
      </c>
      <c r="R2274">
        <f t="shared" si="143"/>
        <v>2023</v>
      </c>
    </row>
    <row r="2275" spans="1:18" x14ac:dyDescent="0.2">
      <c r="A2275" s="13">
        <v>45863</v>
      </c>
      <c r="B2275" s="13">
        <v>45863</v>
      </c>
      <c r="C2275" s="25" t="s">
        <v>398</v>
      </c>
      <c r="D2275" s="20">
        <v>0</v>
      </c>
      <c r="E2275" s="28">
        <v>13168.5</v>
      </c>
      <c r="F2275" s="22" t="s">
        <v>248</v>
      </c>
      <c r="G2275" s="14">
        <v>30</v>
      </c>
      <c r="H2275" s="40">
        <v>45090</v>
      </c>
      <c r="I2275" s="46">
        <f t="shared" si="140"/>
        <v>773</v>
      </c>
      <c r="J2275" s="1" t="s">
        <v>15</v>
      </c>
      <c r="K2275" s="4" t="s">
        <v>209</v>
      </c>
      <c r="L2275" s="4" t="s">
        <v>231</v>
      </c>
      <c r="M2275" s="8">
        <v>30</v>
      </c>
      <c r="N2275" s="5">
        <v>438.95</v>
      </c>
      <c r="O2275" s="5">
        <v>13168.5</v>
      </c>
      <c r="P2275">
        <f t="shared" si="141"/>
        <v>1</v>
      </c>
      <c r="Q2275" s="36">
        <f t="shared" si="142"/>
        <v>13168.5</v>
      </c>
      <c r="R2275">
        <f t="shared" si="143"/>
        <v>2023</v>
      </c>
    </row>
    <row r="2276" spans="1:18" x14ac:dyDescent="0.2">
      <c r="A2276" s="13">
        <v>45190</v>
      </c>
      <c r="B2276" s="13">
        <v>45156</v>
      </c>
      <c r="C2276" s="25" t="s">
        <v>399</v>
      </c>
      <c r="D2276" s="20">
        <v>34</v>
      </c>
      <c r="E2276" s="28">
        <v>13168.5</v>
      </c>
      <c r="F2276" s="22" t="s">
        <v>248</v>
      </c>
      <c r="G2276" s="14">
        <v>30</v>
      </c>
      <c r="H2276" s="40">
        <v>45174</v>
      </c>
      <c r="I2276" s="46">
        <f t="shared" si="140"/>
        <v>16</v>
      </c>
      <c r="J2276" s="1" t="s">
        <v>15</v>
      </c>
      <c r="K2276" s="4" t="s">
        <v>209</v>
      </c>
      <c r="L2276" s="4" t="s">
        <v>231</v>
      </c>
      <c r="M2276" s="8">
        <v>450</v>
      </c>
      <c r="N2276" s="5">
        <v>438.95</v>
      </c>
      <c r="O2276" s="5">
        <v>197527.5</v>
      </c>
      <c r="P2276">
        <f t="shared" si="141"/>
        <v>0</v>
      </c>
      <c r="Q2276" s="36">
        <f t="shared" si="142"/>
        <v>13168.5</v>
      </c>
      <c r="R2276">
        <f t="shared" si="143"/>
        <v>2023</v>
      </c>
    </row>
    <row r="2277" spans="1:18" x14ac:dyDescent="0.2">
      <c r="A2277" s="13">
        <v>45205</v>
      </c>
      <c r="B2277" s="13">
        <v>45205</v>
      </c>
      <c r="C2277" s="25" t="s">
        <v>398</v>
      </c>
      <c r="D2277" s="20">
        <v>0</v>
      </c>
      <c r="E2277" s="28">
        <v>89925.119999999995</v>
      </c>
      <c r="F2277" s="22" t="s">
        <v>297</v>
      </c>
      <c r="G2277" s="14">
        <v>432</v>
      </c>
      <c r="H2277" s="40">
        <v>44881</v>
      </c>
      <c r="I2277" s="46">
        <f t="shared" si="140"/>
        <v>324</v>
      </c>
      <c r="J2277" s="1" t="s">
        <v>15</v>
      </c>
      <c r="K2277" s="4" t="s">
        <v>209</v>
      </c>
      <c r="L2277" s="4" t="s">
        <v>231</v>
      </c>
      <c r="M2277" s="8">
        <v>432</v>
      </c>
      <c r="N2277" s="5">
        <v>208.16</v>
      </c>
      <c r="O2277" s="5">
        <v>89925.119999999995</v>
      </c>
      <c r="P2277">
        <f t="shared" si="141"/>
        <v>1</v>
      </c>
      <c r="Q2277" s="36">
        <f t="shared" si="142"/>
        <v>89925.119999999995</v>
      </c>
      <c r="R2277">
        <f t="shared" si="143"/>
        <v>2022</v>
      </c>
    </row>
    <row r="2278" spans="1:18" x14ac:dyDescent="0.2">
      <c r="A2278" s="13">
        <v>45321</v>
      </c>
      <c r="B2278" s="13">
        <v>45321</v>
      </c>
      <c r="C2278" s="25" t="s">
        <v>398</v>
      </c>
      <c r="D2278" s="20">
        <v>0</v>
      </c>
      <c r="E2278" s="28">
        <v>9991.68</v>
      </c>
      <c r="F2278" s="22" t="s">
        <v>297</v>
      </c>
      <c r="G2278" s="14">
        <v>48</v>
      </c>
      <c r="H2278" s="40">
        <v>44945</v>
      </c>
      <c r="I2278" s="46">
        <f t="shared" si="140"/>
        <v>376</v>
      </c>
      <c r="J2278" s="1" t="s">
        <v>15</v>
      </c>
      <c r="K2278" s="4" t="s">
        <v>209</v>
      </c>
      <c r="L2278" s="4" t="s">
        <v>231</v>
      </c>
      <c r="M2278" s="8">
        <v>48</v>
      </c>
      <c r="N2278" s="5">
        <v>208.16</v>
      </c>
      <c r="O2278" s="5">
        <v>9991.68</v>
      </c>
      <c r="P2278">
        <f t="shared" si="141"/>
        <v>1</v>
      </c>
      <c r="Q2278" s="36">
        <f t="shared" si="142"/>
        <v>9991.68</v>
      </c>
      <c r="R2278">
        <f t="shared" si="143"/>
        <v>2023</v>
      </c>
    </row>
    <row r="2279" spans="1:18" x14ac:dyDescent="0.2">
      <c r="A2279" s="13">
        <v>45254</v>
      </c>
      <c r="B2279" s="13">
        <v>45254</v>
      </c>
      <c r="C2279" s="25" t="s">
        <v>398</v>
      </c>
      <c r="D2279" s="20">
        <v>0</v>
      </c>
      <c r="E2279" s="28">
        <v>73402.559999999998</v>
      </c>
      <c r="F2279" s="22" t="s">
        <v>298</v>
      </c>
      <c r="G2279" s="14">
        <v>1008</v>
      </c>
      <c r="H2279" s="40">
        <v>44715</v>
      </c>
      <c r="I2279" s="46">
        <f t="shared" si="140"/>
        <v>539</v>
      </c>
      <c r="J2279" s="1" t="s">
        <v>15</v>
      </c>
      <c r="K2279" s="4" t="s">
        <v>209</v>
      </c>
      <c r="L2279" s="4" t="s">
        <v>231</v>
      </c>
      <c r="M2279" s="8">
        <v>1008</v>
      </c>
      <c r="N2279" s="5">
        <v>72.819999999999993</v>
      </c>
      <c r="O2279" s="5">
        <v>73402.559999999998</v>
      </c>
      <c r="P2279">
        <f t="shared" si="141"/>
        <v>1</v>
      </c>
      <c r="Q2279" s="36">
        <f t="shared" si="142"/>
        <v>73402.559999999998</v>
      </c>
      <c r="R2279">
        <f t="shared" si="143"/>
        <v>2022</v>
      </c>
    </row>
    <row r="2280" spans="1:18" x14ac:dyDescent="0.2">
      <c r="A2280" s="13">
        <v>45208</v>
      </c>
      <c r="B2280" s="13">
        <v>45041</v>
      </c>
      <c r="C2280" s="25" t="s">
        <v>399</v>
      </c>
      <c r="D2280" s="20">
        <v>167</v>
      </c>
      <c r="E2280" s="28">
        <v>4568.2</v>
      </c>
      <c r="F2280" s="22" t="s">
        <v>250</v>
      </c>
      <c r="G2280" s="14">
        <v>1820</v>
      </c>
      <c r="H2280" s="40">
        <v>44687</v>
      </c>
      <c r="I2280" s="46">
        <f t="shared" si="140"/>
        <v>521</v>
      </c>
      <c r="J2280" s="1" t="s">
        <v>15</v>
      </c>
      <c r="K2280" s="4" t="s">
        <v>209</v>
      </c>
      <c r="L2280" s="4" t="s">
        <v>231</v>
      </c>
      <c r="M2280" s="8">
        <v>1820</v>
      </c>
      <c r="N2280" s="5">
        <v>2.5099999999999998</v>
      </c>
      <c r="O2280" s="5">
        <v>4568.2</v>
      </c>
      <c r="P2280">
        <f t="shared" si="141"/>
        <v>1</v>
      </c>
      <c r="Q2280" s="36">
        <f t="shared" si="142"/>
        <v>4568.2</v>
      </c>
      <c r="R2280">
        <f t="shared" si="143"/>
        <v>2022</v>
      </c>
    </row>
    <row r="2281" spans="1:18" x14ac:dyDescent="0.2">
      <c r="A2281" s="13">
        <v>45208</v>
      </c>
      <c r="B2281" s="13">
        <v>45107</v>
      </c>
      <c r="C2281" s="25" t="s">
        <v>399</v>
      </c>
      <c r="D2281" s="20">
        <v>101</v>
      </c>
      <c r="E2281" s="28">
        <v>4568.2</v>
      </c>
      <c r="F2281" s="22" t="s">
        <v>250</v>
      </c>
      <c r="G2281" s="14">
        <v>1820</v>
      </c>
      <c r="H2281" s="40">
        <v>44721</v>
      </c>
      <c r="I2281" s="46">
        <f t="shared" si="140"/>
        <v>487</v>
      </c>
      <c r="J2281" s="1" t="s">
        <v>15</v>
      </c>
      <c r="K2281" s="4" t="s">
        <v>209</v>
      </c>
      <c r="L2281" s="4" t="s">
        <v>231</v>
      </c>
      <c r="M2281" s="8">
        <v>1820</v>
      </c>
      <c r="N2281" s="5">
        <v>2.5099999999999998</v>
      </c>
      <c r="O2281" s="5">
        <v>4568.2</v>
      </c>
      <c r="P2281">
        <f t="shared" si="141"/>
        <v>1</v>
      </c>
      <c r="Q2281" s="36">
        <f t="shared" si="142"/>
        <v>4568.2</v>
      </c>
      <c r="R2281">
        <f t="shared" si="143"/>
        <v>2022</v>
      </c>
    </row>
    <row r="2282" spans="1:18" x14ac:dyDescent="0.2">
      <c r="A2282" s="13">
        <v>45415</v>
      </c>
      <c r="B2282" s="13">
        <v>45415</v>
      </c>
      <c r="C2282" s="25" t="s">
        <v>398</v>
      </c>
      <c r="D2282" s="20">
        <v>0</v>
      </c>
      <c r="E2282" s="28">
        <v>4568.2</v>
      </c>
      <c r="F2282" s="22" t="s">
        <v>250</v>
      </c>
      <c r="G2282" s="14">
        <v>1820</v>
      </c>
      <c r="H2282" s="40">
        <v>45055</v>
      </c>
      <c r="I2282" s="46">
        <f t="shared" si="140"/>
        <v>360</v>
      </c>
      <c r="J2282" s="1" t="s">
        <v>15</v>
      </c>
      <c r="K2282" s="4" t="s">
        <v>209</v>
      </c>
      <c r="L2282" s="4" t="s">
        <v>231</v>
      </c>
      <c r="M2282" s="8">
        <v>1820</v>
      </c>
      <c r="N2282" s="5">
        <v>2.5099999999999998</v>
      </c>
      <c r="O2282" s="5">
        <v>4568.2</v>
      </c>
      <c r="P2282">
        <f t="shared" si="141"/>
        <v>1</v>
      </c>
      <c r="Q2282" s="36">
        <f t="shared" si="142"/>
        <v>4568.2</v>
      </c>
      <c r="R2282">
        <f t="shared" si="143"/>
        <v>2023</v>
      </c>
    </row>
    <row r="2283" spans="1:18" x14ac:dyDescent="0.2">
      <c r="A2283" s="13">
        <v>45503</v>
      </c>
      <c r="B2283" s="13">
        <v>45503</v>
      </c>
      <c r="C2283" s="25" t="s">
        <v>398</v>
      </c>
      <c r="D2283" s="20">
        <v>0</v>
      </c>
      <c r="E2283" s="28">
        <v>4568.2</v>
      </c>
      <c r="F2283" s="22" t="s">
        <v>250</v>
      </c>
      <c r="G2283" s="14">
        <v>1820</v>
      </c>
      <c r="H2283" s="40">
        <v>45147</v>
      </c>
      <c r="I2283" s="46">
        <f t="shared" si="140"/>
        <v>356</v>
      </c>
      <c r="J2283" s="1" t="s">
        <v>15</v>
      </c>
      <c r="K2283" s="4" t="s">
        <v>209</v>
      </c>
      <c r="L2283" s="4" t="s">
        <v>231</v>
      </c>
      <c r="M2283" s="8">
        <v>1820</v>
      </c>
      <c r="N2283" s="5">
        <v>2.5099999999999998</v>
      </c>
      <c r="O2283" s="5">
        <v>4568.2</v>
      </c>
      <c r="P2283">
        <f t="shared" si="141"/>
        <v>1</v>
      </c>
      <c r="Q2283" s="36">
        <f t="shared" si="142"/>
        <v>4568.2</v>
      </c>
      <c r="R2283">
        <f t="shared" si="143"/>
        <v>2023</v>
      </c>
    </row>
    <row r="2284" spans="1:18" x14ac:dyDescent="0.2">
      <c r="A2284" s="13">
        <v>45531</v>
      </c>
      <c r="B2284" s="13">
        <v>45531</v>
      </c>
      <c r="C2284" s="25" t="s">
        <v>398</v>
      </c>
      <c r="D2284" s="20">
        <v>0</v>
      </c>
      <c r="E2284" s="28">
        <v>4568.2</v>
      </c>
      <c r="F2284" s="22" t="s">
        <v>250</v>
      </c>
      <c r="G2284" s="14">
        <v>1820</v>
      </c>
      <c r="H2284" s="40">
        <v>45147</v>
      </c>
      <c r="I2284" s="46">
        <f t="shared" si="140"/>
        <v>384</v>
      </c>
      <c r="J2284" s="1" t="s">
        <v>15</v>
      </c>
      <c r="K2284" s="4" t="s">
        <v>209</v>
      </c>
      <c r="L2284" s="4" t="s">
        <v>231</v>
      </c>
      <c r="M2284" s="8">
        <v>1820</v>
      </c>
      <c r="N2284" s="5">
        <v>2.5099999999999998</v>
      </c>
      <c r="O2284" s="5">
        <v>4568.2</v>
      </c>
      <c r="P2284">
        <f t="shared" si="141"/>
        <v>1</v>
      </c>
      <c r="Q2284" s="36">
        <f t="shared" si="142"/>
        <v>4568.2</v>
      </c>
      <c r="R2284">
        <f t="shared" si="143"/>
        <v>2023</v>
      </c>
    </row>
    <row r="2285" spans="1:18" x14ac:dyDescent="0.2">
      <c r="A2285" s="13">
        <v>45183</v>
      </c>
      <c r="B2285" s="13">
        <v>44839</v>
      </c>
      <c r="C2285" s="25" t="s">
        <v>399</v>
      </c>
      <c r="D2285" s="20">
        <v>344</v>
      </c>
      <c r="E2285" s="28">
        <v>73224.350000000006</v>
      </c>
      <c r="F2285" s="22" t="s">
        <v>299</v>
      </c>
      <c r="G2285" s="14">
        <v>541</v>
      </c>
      <c r="H2285" s="40">
        <v>45026</v>
      </c>
      <c r="I2285" s="46">
        <f t="shared" si="140"/>
        <v>157</v>
      </c>
      <c r="J2285" s="1" t="s">
        <v>15</v>
      </c>
      <c r="K2285" s="4" t="s">
        <v>209</v>
      </c>
      <c r="L2285" s="4" t="s">
        <v>231</v>
      </c>
      <c r="M2285" s="8">
        <v>541</v>
      </c>
      <c r="N2285" s="5">
        <v>135.35</v>
      </c>
      <c r="O2285" s="5">
        <v>73224.350000000006</v>
      </c>
      <c r="P2285">
        <f t="shared" si="141"/>
        <v>1</v>
      </c>
      <c r="Q2285" s="36">
        <f t="shared" si="142"/>
        <v>73224.349999999991</v>
      </c>
      <c r="R2285">
        <f t="shared" si="143"/>
        <v>2023</v>
      </c>
    </row>
    <row r="2286" spans="1:18" x14ac:dyDescent="0.2">
      <c r="A2286" s="13">
        <v>45183</v>
      </c>
      <c r="B2286" s="13">
        <v>44798</v>
      </c>
      <c r="C2286" s="25" t="s">
        <v>399</v>
      </c>
      <c r="D2286" s="20">
        <v>385</v>
      </c>
      <c r="E2286" s="28">
        <v>62802.400000000001</v>
      </c>
      <c r="F2286" s="22" t="s">
        <v>299</v>
      </c>
      <c r="G2286" s="14">
        <v>464</v>
      </c>
      <c r="H2286" s="40">
        <v>45174</v>
      </c>
      <c r="I2286" s="46">
        <f t="shared" si="140"/>
        <v>9</v>
      </c>
      <c r="J2286" s="1" t="s">
        <v>15</v>
      </c>
      <c r="K2286" s="4" t="s">
        <v>209</v>
      </c>
      <c r="L2286" s="4" t="s">
        <v>231</v>
      </c>
      <c r="M2286" s="8">
        <v>464</v>
      </c>
      <c r="N2286" s="5">
        <v>135.35</v>
      </c>
      <c r="O2286" s="5">
        <v>62802.400000000001</v>
      </c>
      <c r="P2286">
        <f t="shared" si="141"/>
        <v>1</v>
      </c>
      <c r="Q2286" s="36">
        <f t="shared" si="142"/>
        <v>62802.399999999994</v>
      </c>
      <c r="R2286">
        <f t="shared" si="143"/>
        <v>2023</v>
      </c>
    </row>
    <row r="2287" spans="1:18" x14ac:dyDescent="0.2">
      <c r="A2287" s="13">
        <v>45194</v>
      </c>
      <c r="B2287" s="13">
        <v>45063</v>
      </c>
      <c r="C2287" s="25" t="s">
        <v>399</v>
      </c>
      <c r="D2287" s="20">
        <v>131</v>
      </c>
      <c r="E2287" s="28">
        <v>87198.3</v>
      </c>
      <c r="F2287" s="22" t="s">
        <v>254</v>
      </c>
      <c r="G2287" s="14">
        <v>210</v>
      </c>
      <c r="H2287" s="40">
        <v>45114</v>
      </c>
      <c r="I2287" s="46">
        <f t="shared" si="140"/>
        <v>80</v>
      </c>
      <c r="J2287" s="1" t="s">
        <v>15</v>
      </c>
      <c r="K2287" s="4" t="s">
        <v>209</v>
      </c>
      <c r="L2287" s="4" t="s">
        <v>231</v>
      </c>
      <c r="M2287" s="8">
        <v>420</v>
      </c>
      <c r="N2287" s="5">
        <v>415.23</v>
      </c>
      <c r="O2287" s="5">
        <v>174396.6</v>
      </c>
      <c r="P2287">
        <f t="shared" si="141"/>
        <v>0</v>
      </c>
      <c r="Q2287" s="36">
        <f t="shared" si="142"/>
        <v>87198.3</v>
      </c>
      <c r="R2287">
        <f t="shared" si="143"/>
        <v>2023</v>
      </c>
    </row>
    <row r="2288" spans="1:18" x14ac:dyDescent="0.2">
      <c r="A2288" s="13">
        <v>45194</v>
      </c>
      <c r="B2288" s="13">
        <v>45049</v>
      </c>
      <c r="C2288" s="25" t="s">
        <v>399</v>
      </c>
      <c r="D2288" s="20">
        <v>145</v>
      </c>
      <c r="E2288" s="28">
        <v>29066.1</v>
      </c>
      <c r="F2288" s="22" t="s">
        <v>254</v>
      </c>
      <c r="G2288" s="14">
        <v>70</v>
      </c>
      <c r="H2288" s="40">
        <v>45180</v>
      </c>
      <c r="I2288" s="46">
        <f t="shared" si="140"/>
        <v>14</v>
      </c>
      <c r="J2288" s="1" t="s">
        <v>15</v>
      </c>
      <c r="K2288" s="4" t="s">
        <v>209</v>
      </c>
      <c r="L2288" s="4" t="s">
        <v>231</v>
      </c>
      <c r="M2288" s="8">
        <v>560</v>
      </c>
      <c r="N2288" s="5">
        <v>415.23</v>
      </c>
      <c r="O2288" s="5">
        <v>232528.8</v>
      </c>
      <c r="P2288">
        <f t="shared" si="141"/>
        <v>0</v>
      </c>
      <c r="Q2288" s="36">
        <f t="shared" si="142"/>
        <v>29066.100000000002</v>
      </c>
      <c r="R2288">
        <f t="shared" si="143"/>
        <v>2023</v>
      </c>
    </row>
    <row r="2289" spans="1:18" x14ac:dyDescent="0.2">
      <c r="A2289" s="13">
        <v>45197</v>
      </c>
      <c r="B2289" s="13">
        <v>45049</v>
      </c>
      <c r="C2289" s="25" t="s">
        <v>399</v>
      </c>
      <c r="D2289" s="20">
        <v>148</v>
      </c>
      <c r="E2289" s="28">
        <v>203462.7</v>
      </c>
      <c r="F2289" s="22" t="s">
        <v>254</v>
      </c>
      <c r="G2289" s="14">
        <v>490</v>
      </c>
      <c r="H2289" s="40">
        <v>45180</v>
      </c>
      <c r="I2289" s="46">
        <f t="shared" si="140"/>
        <v>17</v>
      </c>
      <c r="J2289" s="1" t="s">
        <v>15</v>
      </c>
      <c r="K2289" s="4" t="s">
        <v>209</v>
      </c>
      <c r="L2289" s="4" t="s">
        <v>231</v>
      </c>
      <c r="M2289" s="8">
        <v>560</v>
      </c>
      <c r="N2289" s="5">
        <v>415.23</v>
      </c>
      <c r="O2289" s="5">
        <v>232528.8</v>
      </c>
      <c r="P2289">
        <f t="shared" si="141"/>
        <v>0</v>
      </c>
      <c r="Q2289" s="36">
        <f t="shared" si="142"/>
        <v>203462.7</v>
      </c>
      <c r="R2289">
        <f t="shared" si="143"/>
        <v>2023</v>
      </c>
    </row>
    <row r="2290" spans="1:18" x14ac:dyDescent="0.2">
      <c r="A2290" s="13">
        <v>45217</v>
      </c>
      <c r="B2290" s="13">
        <v>45217</v>
      </c>
      <c r="C2290" s="25" t="s">
        <v>398</v>
      </c>
      <c r="D2290" s="20">
        <v>0</v>
      </c>
      <c r="E2290" s="28">
        <v>120080.8</v>
      </c>
      <c r="F2290" s="22" t="s">
        <v>255</v>
      </c>
      <c r="G2290" s="14">
        <v>280</v>
      </c>
      <c r="H2290" s="40">
        <v>44881</v>
      </c>
      <c r="I2290" s="46">
        <f t="shared" si="140"/>
        <v>336</v>
      </c>
      <c r="J2290" s="1" t="s">
        <v>15</v>
      </c>
      <c r="K2290" s="4" t="s">
        <v>209</v>
      </c>
      <c r="L2290" s="4" t="s">
        <v>231</v>
      </c>
      <c r="M2290" s="8">
        <v>280</v>
      </c>
      <c r="N2290" s="5">
        <v>428.86</v>
      </c>
      <c r="O2290" s="5">
        <v>120080.8</v>
      </c>
      <c r="P2290">
        <f t="shared" si="141"/>
        <v>1</v>
      </c>
      <c r="Q2290" s="36">
        <f t="shared" si="142"/>
        <v>120080.8</v>
      </c>
      <c r="R2290">
        <f t="shared" si="143"/>
        <v>2022</v>
      </c>
    </row>
    <row r="2291" spans="1:18" x14ac:dyDescent="0.2">
      <c r="A2291" s="13">
        <v>45245</v>
      </c>
      <c r="B2291" s="13">
        <v>45245</v>
      </c>
      <c r="C2291" s="25" t="s">
        <v>398</v>
      </c>
      <c r="D2291" s="20">
        <v>0</v>
      </c>
      <c r="E2291" s="28">
        <v>90060.6</v>
      </c>
      <c r="F2291" s="22" t="s">
        <v>255</v>
      </c>
      <c r="G2291" s="14">
        <v>210</v>
      </c>
      <c r="H2291" s="40">
        <v>44881</v>
      </c>
      <c r="I2291" s="46">
        <f t="shared" si="140"/>
        <v>364</v>
      </c>
      <c r="J2291" s="1" t="s">
        <v>15</v>
      </c>
      <c r="K2291" s="4" t="s">
        <v>209</v>
      </c>
      <c r="L2291" s="4" t="s">
        <v>231</v>
      </c>
      <c r="M2291" s="8">
        <v>210</v>
      </c>
      <c r="N2291" s="5">
        <v>428.86</v>
      </c>
      <c r="O2291" s="5">
        <v>90060.6</v>
      </c>
      <c r="P2291">
        <f t="shared" si="141"/>
        <v>1</v>
      </c>
      <c r="Q2291" s="36">
        <f t="shared" si="142"/>
        <v>90060.6</v>
      </c>
      <c r="R2291">
        <f t="shared" si="143"/>
        <v>2022</v>
      </c>
    </row>
    <row r="2292" spans="1:18" x14ac:dyDescent="0.2">
      <c r="A2292" s="13">
        <v>45194</v>
      </c>
      <c r="B2292" s="13">
        <v>44986</v>
      </c>
      <c r="C2292" s="25" t="s">
        <v>399</v>
      </c>
      <c r="D2292" s="20">
        <v>208</v>
      </c>
      <c r="E2292" s="28">
        <v>26859</v>
      </c>
      <c r="F2292" s="22" t="s">
        <v>256</v>
      </c>
      <c r="G2292" s="14">
        <v>70</v>
      </c>
      <c r="H2292" s="40">
        <v>44625</v>
      </c>
      <c r="I2292" s="46">
        <f t="shared" si="140"/>
        <v>569</v>
      </c>
      <c r="J2292" s="1" t="s">
        <v>15</v>
      </c>
      <c r="K2292" s="4" t="s">
        <v>209</v>
      </c>
      <c r="L2292" s="4" t="s">
        <v>231</v>
      </c>
      <c r="M2292" s="8">
        <v>70</v>
      </c>
      <c r="N2292" s="5">
        <v>383.7</v>
      </c>
      <c r="O2292" s="5">
        <v>26859</v>
      </c>
      <c r="P2292">
        <f t="shared" si="141"/>
        <v>1</v>
      </c>
      <c r="Q2292" s="36">
        <f t="shared" si="142"/>
        <v>26859</v>
      </c>
      <c r="R2292">
        <f t="shared" si="143"/>
        <v>2022</v>
      </c>
    </row>
    <row r="2293" spans="1:18" x14ac:dyDescent="0.2">
      <c r="A2293" s="13">
        <v>45197</v>
      </c>
      <c r="B2293" s="13">
        <v>44986</v>
      </c>
      <c r="C2293" s="25" t="s">
        <v>399</v>
      </c>
      <c r="D2293" s="20">
        <v>211</v>
      </c>
      <c r="E2293" s="28">
        <v>26859</v>
      </c>
      <c r="F2293" s="22" t="s">
        <v>256</v>
      </c>
      <c r="G2293" s="14">
        <v>70</v>
      </c>
      <c r="H2293" s="40">
        <v>44625</v>
      </c>
      <c r="I2293" s="46">
        <f t="shared" si="140"/>
        <v>572</v>
      </c>
      <c r="J2293" s="1" t="s">
        <v>15</v>
      </c>
      <c r="K2293" s="4" t="s">
        <v>209</v>
      </c>
      <c r="L2293" s="4" t="s">
        <v>231</v>
      </c>
      <c r="M2293" s="8">
        <v>70</v>
      </c>
      <c r="N2293" s="5">
        <v>383.7</v>
      </c>
      <c r="O2293" s="5">
        <v>26859</v>
      </c>
      <c r="P2293">
        <f t="shared" si="141"/>
        <v>1</v>
      </c>
      <c r="Q2293" s="36">
        <f t="shared" si="142"/>
        <v>26859</v>
      </c>
      <c r="R2293">
        <f t="shared" si="143"/>
        <v>2022</v>
      </c>
    </row>
    <row r="2294" spans="1:18" x14ac:dyDescent="0.2">
      <c r="A2294" s="13">
        <v>45197</v>
      </c>
      <c r="B2294" s="13">
        <v>44960</v>
      </c>
      <c r="C2294" s="25" t="s">
        <v>399</v>
      </c>
      <c r="D2294" s="20">
        <v>237</v>
      </c>
      <c r="E2294" s="28">
        <v>26859</v>
      </c>
      <c r="F2294" s="22" t="s">
        <v>256</v>
      </c>
      <c r="G2294" s="14">
        <v>70</v>
      </c>
      <c r="H2294" s="40">
        <v>44625</v>
      </c>
      <c r="I2294" s="46">
        <f t="shared" si="140"/>
        <v>572</v>
      </c>
      <c r="J2294" s="1" t="s">
        <v>15</v>
      </c>
      <c r="K2294" s="4" t="s">
        <v>209</v>
      </c>
      <c r="L2294" s="4" t="s">
        <v>231</v>
      </c>
      <c r="M2294" s="8">
        <v>70</v>
      </c>
      <c r="N2294" s="5">
        <v>383.7</v>
      </c>
      <c r="O2294" s="5">
        <v>26859</v>
      </c>
      <c r="P2294">
        <f t="shared" si="141"/>
        <v>1</v>
      </c>
      <c r="Q2294" s="36">
        <f t="shared" si="142"/>
        <v>26859</v>
      </c>
      <c r="R2294">
        <f t="shared" si="143"/>
        <v>2022</v>
      </c>
    </row>
    <row r="2295" spans="1:18" x14ac:dyDescent="0.2">
      <c r="A2295" s="13">
        <v>45197</v>
      </c>
      <c r="B2295" s="13">
        <v>44958</v>
      </c>
      <c r="C2295" s="25" t="s">
        <v>399</v>
      </c>
      <c r="D2295" s="20">
        <v>239</v>
      </c>
      <c r="E2295" s="28">
        <v>26859</v>
      </c>
      <c r="F2295" s="22" t="s">
        <v>256</v>
      </c>
      <c r="G2295" s="14">
        <v>70</v>
      </c>
      <c r="H2295" s="40">
        <v>44625</v>
      </c>
      <c r="I2295" s="46">
        <f t="shared" si="140"/>
        <v>572</v>
      </c>
      <c r="J2295" s="1" t="s">
        <v>15</v>
      </c>
      <c r="K2295" s="4" t="s">
        <v>209</v>
      </c>
      <c r="L2295" s="4" t="s">
        <v>231</v>
      </c>
      <c r="M2295" s="8">
        <v>70</v>
      </c>
      <c r="N2295" s="5">
        <v>383.7</v>
      </c>
      <c r="O2295" s="5">
        <v>26859</v>
      </c>
      <c r="P2295">
        <f t="shared" si="141"/>
        <v>1</v>
      </c>
      <c r="Q2295" s="36">
        <f t="shared" si="142"/>
        <v>26859</v>
      </c>
      <c r="R2295">
        <f t="shared" si="143"/>
        <v>2022</v>
      </c>
    </row>
    <row r="2296" spans="1:18" x14ac:dyDescent="0.2">
      <c r="A2296" s="13">
        <v>45225</v>
      </c>
      <c r="B2296" s="13">
        <v>45225</v>
      </c>
      <c r="C2296" s="25" t="s">
        <v>398</v>
      </c>
      <c r="D2296" s="20">
        <v>0</v>
      </c>
      <c r="E2296" s="28">
        <v>250582.2</v>
      </c>
      <c r="F2296" s="22" t="s">
        <v>265</v>
      </c>
      <c r="G2296" s="14">
        <v>330</v>
      </c>
      <c r="H2296" s="40">
        <v>44691</v>
      </c>
      <c r="I2296" s="46">
        <f t="shared" si="140"/>
        <v>534</v>
      </c>
      <c r="J2296" s="1" t="s">
        <v>15</v>
      </c>
      <c r="K2296" s="4" t="s">
        <v>209</v>
      </c>
      <c r="L2296" s="4" t="s">
        <v>231</v>
      </c>
      <c r="M2296" s="8">
        <v>330</v>
      </c>
      <c r="N2296" s="5">
        <v>759.34</v>
      </c>
      <c r="O2296" s="5">
        <v>250582.2</v>
      </c>
      <c r="P2296">
        <f t="shared" si="141"/>
        <v>1</v>
      </c>
      <c r="Q2296" s="36">
        <f t="shared" si="142"/>
        <v>250582.2</v>
      </c>
      <c r="R2296">
        <f t="shared" si="143"/>
        <v>2022</v>
      </c>
    </row>
    <row r="2297" spans="1:18" x14ac:dyDescent="0.2">
      <c r="A2297" s="13">
        <v>45210</v>
      </c>
      <c r="B2297" s="13">
        <v>45210</v>
      </c>
      <c r="C2297" s="25" t="s">
        <v>398</v>
      </c>
      <c r="D2297" s="20">
        <v>0</v>
      </c>
      <c r="E2297" s="28">
        <v>205021.8</v>
      </c>
      <c r="F2297" s="22" t="s">
        <v>265</v>
      </c>
      <c r="G2297" s="14">
        <v>270</v>
      </c>
      <c r="H2297" s="40">
        <v>44827</v>
      </c>
      <c r="I2297" s="46">
        <f t="shared" si="140"/>
        <v>383</v>
      </c>
      <c r="J2297" s="1" t="s">
        <v>15</v>
      </c>
      <c r="K2297" s="4" t="s">
        <v>209</v>
      </c>
      <c r="L2297" s="4" t="s">
        <v>231</v>
      </c>
      <c r="M2297" s="8">
        <v>270</v>
      </c>
      <c r="N2297" s="5">
        <v>759.34</v>
      </c>
      <c r="O2297" s="5">
        <v>205021.8</v>
      </c>
      <c r="P2297">
        <f t="shared" si="141"/>
        <v>1</v>
      </c>
      <c r="Q2297" s="36">
        <f t="shared" si="142"/>
        <v>205021.80000000002</v>
      </c>
      <c r="R2297">
        <f t="shared" si="143"/>
        <v>2022</v>
      </c>
    </row>
    <row r="2298" spans="1:18" x14ac:dyDescent="0.2">
      <c r="A2298" s="13">
        <v>45218</v>
      </c>
      <c r="B2298" s="13">
        <v>45218</v>
      </c>
      <c r="C2298" s="25" t="s">
        <v>398</v>
      </c>
      <c r="D2298" s="20">
        <v>0</v>
      </c>
      <c r="E2298" s="28">
        <v>91120.8</v>
      </c>
      <c r="F2298" s="22" t="s">
        <v>265</v>
      </c>
      <c r="G2298" s="14">
        <v>120</v>
      </c>
      <c r="H2298" s="40">
        <v>44827</v>
      </c>
      <c r="I2298" s="46">
        <f t="shared" si="140"/>
        <v>391</v>
      </c>
      <c r="J2298" s="1" t="s">
        <v>15</v>
      </c>
      <c r="K2298" s="4" t="s">
        <v>209</v>
      </c>
      <c r="L2298" s="4" t="s">
        <v>231</v>
      </c>
      <c r="M2298" s="8">
        <v>120</v>
      </c>
      <c r="N2298" s="5">
        <v>759.34</v>
      </c>
      <c r="O2298" s="5">
        <v>91120.8</v>
      </c>
      <c r="P2298">
        <f t="shared" si="141"/>
        <v>1</v>
      </c>
      <c r="Q2298" s="36">
        <f t="shared" si="142"/>
        <v>91120.8</v>
      </c>
      <c r="R2298">
        <f t="shared" si="143"/>
        <v>2022</v>
      </c>
    </row>
    <row r="2299" spans="1:18" x14ac:dyDescent="0.2">
      <c r="A2299" s="13">
        <v>45217</v>
      </c>
      <c r="B2299" s="13">
        <v>45217</v>
      </c>
      <c r="C2299" s="25" t="s">
        <v>398</v>
      </c>
      <c r="D2299" s="20">
        <v>0</v>
      </c>
      <c r="E2299" s="28">
        <v>91120.8</v>
      </c>
      <c r="F2299" s="22" t="s">
        <v>265</v>
      </c>
      <c r="G2299" s="14">
        <v>120</v>
      </c>
      <c r="H2299" s="40">
        <v>44831</v>
      </c>
      <c r="I2299" s="46">
        <f t="shared" si="140"/>
        <v>386</v>
      </c>
      <c r="J2299" s="1" t="s">
        <v>15</v>
      </c>
      <c r="K2299" s="4" t="s">
        <v>209</v>
      </c>
      <c r="L2299" s="4" t="s">
        <v>231</v>
      </c>
      <c r="M2299" s="8">
        <v>120</v>
      </c>
      <c r="N2299" s="5">
        <v>759.34</v>
      </c>
      <c r="O2299" s="5">
        <v>91120.8</v>
      </c>
      <c r="P2299">
        <f t="shared" si="141"/>
        <v>1</v>
      </c>
      <c r="Q2299" s="36">
        <f t="shared" si="142"/>
        <v>91120.8</v>
      </c>
      <c r="R2299">
        <f t="shared" si="143"/>
        <v>2022</v>
      </c>
    </row>
    <row r="2300" spans="1:18" x14ac:dyDescent="0.2">
      <c r="A2300" s="13">
        <v>45224</v>
      </c>
      <c r="B2300" s="13">
        <v>45224</v>
      </c>
      <c r="C2300" s="25" t="s">
        <v>398</v>
      </c>
      <c r="D2300" s="20">
        <v>0</v>
      </c>
      <c r="E2300" s="28">
        <v>68340.600000000006</v>
      </c>
      <c r="F2300" s="22" t="s">
        <v>265</v>
      </c>
      <c r="G2300" s="14">
        <v>90</v>
      </c>
      <c r="H2300" s="40">
        <v>44831</v>
      </c>
      <c r="I2300" s="46">
        <f t="shared" si="140"/>
        <v>393</v>
      </c>
      <c r="J2300" s="1" t="s">
        <v>15</v>
      </c>
      <c r="K2300" s="4" t="s">
        <v>209</v>
      </c>
      <c r="L2300" s="4" t="s">
        <v>231</v>
      </c>
      <c r="M2300" s="8">
        <v>90</v>
      </c>
      <c r="N2300" s="5">
        <v>759.34</v>
      </c>
      <c r="O2300" s="5">
        <v>68340.600000000006</v>
      </c>
      <c r="P2300">
        <f t="shared" si="141"/>
        <v>1</v>
      </c>
      <c r="Q2300" s="36">
        <f t="shared" si="142"/>
        <v>68340.600000000006</v>
      </c>
      <c r="R2300">
        <f t="shared" si="143"/>
        <v>2022</v>
      </c>
    </row>
    <row r="2301" spans="1:18" x14ac:dyDescent="0.2">
      <c r="A2301" s="13">
        <v>45224</v>
      </c>
      <c r="B2301" s="13">
        <v>45224</v>
      </c>
      <c r="C2301" s="25" t="s">
        <v>398</v>
      </c>
      <c r="D2301" s="20">
        <v>0</v>
      </c>
      <c r="E2301" s="28">
        <v>45560.4</v>
      </c>
      <c r="F2301" s="22" t="s">
        <v>265</v>
      </c>
      <c r="G2301" s="14">
        <v>60</v>
      </c>
      <c r="H2301" s="40">
        <v>44841</v>
      </c>
      <c r="I2301" s="46">
        <f t="shared" si="140"/>
        <v>383</v>
      </c>
      <c r="J2301" s="1" t="s">
        <v>15</v>
      </c>
      <c r="K2301" s="4" t="s">
        <v>209</v>
      </c>
      <c r="L2301" s="4" t="s">
        <v>231</v>
      </c>
      <c r="M2301" s="8">
        <v>60</v>
      </c>
      <c r="N2301" s="5">
        <v>759.34</v>
      </c>
      <c r="O2301" s="5">
        <v>45560.4</v>
      </c>
      <c r="P2301">
        <f t="shared" si="141"/>
        <v>1</v>
      </c>
      <c r="Q2301" s="36">
        <f t="shared" si="142"/>
        <v>45560.4</v>
      </c>
      <c r="R2301">
        <f t="shared" si="143"/>
        <v>2022</v>
      </c>
    </row>
    <row r="2302" spans="1:18" x14ac:dyDescent="0.2">
      <c r="A2302" s="13">
        <v>45225</v>
      </c>
      <c r="B2302" s="13">
        <v>45225</v>
      </c>
      <c r="C2302" s="25" t="s">
        <v>398</v>
      </c>
      <c r="D2302" s="20">
        <v>0</v>
      </c>
      <c r="E2302" s="28">
        <v>68340.600000000006</v>
      </c>
      <c r="F2302" s="22" t="s">
        <v>265</v>
      </c>
      <c r="G2302" s="14">
        <v>90</v>
      </c>
      <c r="H2302" s="40">
        <v>44845</v>
      </c>
      <c r="I2302" s="46">
        <f t="shared" si="140"/>
        <v>380</v>
      </c>
      <c r="J2302" s="1" t="s">
        <v>15</v>
      </c>
      <c r="K2302" s="4" t="s">
        <v>209</v>
      </c>
      <c r="L2302" s="4" t="s">
        <v>231</v>
      </c>
      <c r="M2302" s="8">
        <v>90</v>
      </c>
      <c r="N2302" s="5">
        <v>759.34</v>
      </c>
      <c r="O2302" s="5">
        <v>68340.600000000006</v>
      </c>
      <c r="P2302">
        <f t="shared" si="141"/>
        <v>1</v>
      </c>
      <c r="Q2302" s="36">
        <f t="shared" si="142"/>
        <v>68340.600000000006</v>
      </c>
      <c r="R2302">
        <f t="shared" si="143"/>
        <v>2022</v>
      </c>
    </row>
    <row r="2303" spans="1:18" x14ac:dyDescent="0.2">
      <c r="A2303" s="13">
        <v>45295</v>
      </c>
      <c r="B2303" s="13">
        <v>45295</v>
      </c>
      <c r="C2303" s="25" t="s">
        <v>398</v>
      </c>
      <c r="D2303" s="20">
        <v>0</v>
      </c>
      <c r="E2303" s="28">
        <v>91120.8</v>
      </c>
      <c r="F2303" s="22" t="s">
        <v>265</v>
      </c>
      <c r="G2303" s="14">
        <v>120</v>
      </c>
      <c r="H2303" s="40">
        <v>45007</v>
      </c>
      <c r="I2303" s="46">
        <f t="shared" si="140"/>
        <v>288</v>
      </c>
      <c r="J2303" s="1" t="s">
        <v>15</v>
      </c>
      <c r="K2303" s="4" t="s">
        <v>209</v>
      </c>
      <c r="L2303" s="4" t="s">
        <v>231</v>
      </c>
      <c r="M2303" s="8">
        <v>120</v>
      </c>
      <c r="N2303" s="5">
        <v>759.34</v>
      </c>
      <c r="O2303" s="5">
        <v>91120.8</v>
      </c>
      <c r="P2303">
        <f t="shared" si="141"/>
        <v>1</v>
      </c>
      <c r="Q2303" s="36">
        <f t="shared" si="142"/>
        <v>91120.8</v>
      </c>
      <c r="R2303">
        <f t="shared" si="143"/>
        <v>2023</v>
      </c>
    </row>
    <row r="2304" spans="1:18" x14ac:dyDescent="0.2">
      <c r="A2304" s="13">
        <v>45294</v>
      </c>
      <c r="B2304" s="13">
        <v>45294</v>
      </c>
      <c r="C2304" s="25" t="s">
        <v>398</v>
      </c>
      <c r="D2304" s="20">
        <v>0</v>
      </c>
      <c r="E2304" s="28">
        <v>227802</v>
      </c>
      <c r="F2304" s="22" t="s">
        <v>265</v>
      </c>
      <c r="G2304" s="14">
        <v>300</v>
      </c>
      <c r="H2304" s="40">
        <v>45028</v>
      </c>
      <c r="I2304" s="46">
        <f t="shared" si="140"/>
        <v>266</v>
      </c>
      <c r="J2304" s="1" t="s">
        <v>15</v>
      </c>
      <c r="K2304" s="4" t="s">
        <v>209</v>
      </c>
      <c r="L2304" s="4" t="s">
        <v>231</v>
      </c>
      <c r="M2304" s="8">
        <v>300</v>
      </c>
      <c r="N2304" s="5">
        <v>759.34</v>
      </c>
      <c r="O2304" s="5">
        <v>227802</v>
      </c>
      <c r="P2304">
        <f t="shared" si="141"/>
        <v>1</v>
      </c>
      <c r="Q2304" s="36">
        <f t="shared" si="142"/>
        <v>227802</v>
      </c>
      <c r="R2304">
        <f t="shared" si="143"/>
        <v>2023</v>
      </c>
    </row>
    <row r="2305" spans="1:18" x14ac:dyDescent="0.2">
      <c r="A2305" s="13">
        <v>45301</v>
      </c>
      <c r="B2305" s="13">
        <v>45301</v>
      </c>
      <c r="C2305" s="25" t="s">
        <v>398</v>
      </c>
      <c r="D2305" s="20">
        <v>0</v>
      </c>
      <c r="E2305" s="28">
        <v>227802</v>
      </c>
      <c r="F2305" s="22" t="s">
        <v>265</v>
      </c>
      <c r="G2305" s="14">
        <v>300</v>
      </c>
      <c r="H2305" s="40">
        <v>45028</v>
      </c>
      <c r="I2305" s="46">
        <f t="shared" si="140"/>
        <v>273</v>
      </c>
      <c r="J2305" s="1" t="s">
        <v>15</v>
      </c>
      <c r="K2305" s="4" t="s">
        <v>209</v>
      </c>
      <c r="L2305" s="4" t="s">
        <v>231</v>
      </c>
      <c r="M2305" s="8">
        <v>300</v>
      </c>
      <c r="N2305" s="5">
        <v>759.34</v>
      </c>
      <c r="O2305" s="5">
        <v>227802</v>
      </c>
      <c r="P2305">
        <f t="shared" si="141"/>
        <v>1</v>
      </c>
      <c r="Q2305" s="36">
        <f t="shared" si="142"/>
        <v>227802</v>
      </c>
      <c r="R2305">
        <f t="shared" si="143"/>
        <v>2023</v>
      </c>
    </row>
    <row r="2306" spans="1:18" x14ac:dyDescent="0.2">
      <c r="A2306" s="13">
        <v>45308</v>
      </c>
      <c r="B2306" s="13">
        <v>45308</v>
      </c>
      <c r="C2306" s="25" t="s">
        <v>398</v>
      </c>
      <c r="D2306" s="20">
        <v>0</v>
      </c>
      <c r="E2306" s="28">
        <v>205021.8</v>
      </c>
      <c r="F2306" s="22" t="s">
        <v>265</v>
      </c>
      <c r="G2306" s="14">
        <v>270</v>
      </c>
      <c r="H2306" s="40">
        <v>45043</v>
      </c>
      <c r="I2306" s="46">
        <f t="shared" si="140"/>
        <v>265</v>
      </c>
      <c r="J2306" s="1" t="s">
        <v>15</v>
      </c>
      <c r="K2306" s="4" t="s">
        <v>209</v>
      </c>
      <c r="L2306" s="4" t="s">
        <v>231</v>
      </c>
      <c r="M2306" s="8">
        <v>270</v>
      </c>
      <c r="N2306" s="5">
        <v>759.34</v>
      </c>
      <c r="O2306" s="5">
        <v>205021.8</v>
      </c>
      <c r="P2306">
        <f t="shared" si="141"/>
        <v>1</v>
      </c>
      <c r="Q2306" s="36">
        <f t="shared" si="142"/>
        <v>205021.80000000002</v>
      </c>
      <c r="R2306">
        <f t="shared" si="143"/>
        <v>2023</v>
      </c>
    </row>
    <row r="2307" spans="1:18" x14ac:dyDescent="0.2">
      <c r="A2307" s="13">
        <v>45315</v>
      </c>
      <c r="B2307" s="13">
        <v>45315</v>
      </c>
      <c r="C2307" s="25" t="s">
        <v>398</v>
      </c>
      <c r="D2307" s="20">
        <v>0</v>
      </c>
      <c r="E2307" s="28">
        <v>205021.8</v>
      </c>
      <c r="F2307" s="22" t="s">
        <v>265</v>
      </c>
      <c r="G2307" s="14">
        <v>270</v>
      </c>
      <c r="H2307" s="40">
        <v>45043</v>
      </c>
      <c r="I2307" s="46">
        <f t="shared" ref="I2307:I2370" si="144">IFERROR(A2307-H2307,"")*1</f>
        <v>272</v>
      </c>
      <c r="J2307" s="1" t="s">
        <v>15</v>
      </c>
      <c r="K2307" s="4" t="s">
        <v>209</v>
      </c>
      <c r="L2307" s="4" t="s">
        <v>231</v>
      </c>
      <c r="M2307" s="8">
        <v>270</v>
      </c>
      <c r="N2307" s="5">
        <v>759.34</v>
      </c>
      <c r="O2307" s="5">
        <v>205021.8</v>
      </c>
      <c r="P2307">
        <f t="shared" ref="P2307:P2370" si="145">IF(M2307=G2307,1,0)</f>
        <v>1</v>
      </c>
      <c r="Q2307" s="36">
        <f t="shared" ref="Q2307:Q2370" si="146">N2307*G2307</f>
        <v>205021.80000000002</v>
      </c>
      <c r="R2307">
        <f t="shared" ref="R2307:R2370" si="147">YEAR(H2307)</f>
        <v>2023</v>
      </c>
    </row>
    <row r="2308" spans="1:18" x14ac:dyDescent="0.2">
      <c r="A2308" s="13">
        <v>45323</v>
      </c>
      <c r="B2308" s="13">
        <v>45323</v>
      </c>
      <c r="C2308" s="25" t="s">
        <v>398</v>
      </c>
      <c r="D2308" s="20">
        <v>0</v>
      </c>
      <c r="E2308" s="28">
        <v>22780.2</v>
      </c>
      <c r="F2308" s="22" t="s">
        <v>265</v>
      </c>
      <c r="G2308" s="14">
        <v>30</v>
      </c>
      <c r="H2308" s="40">
        <v>45050</v>
      </c>
      <c r="I2308" s="46">
        <f t="shared" si="144"/>
        <v>273</v>
      </c>
      <c r="J2308" s="1" t="s">
        <v>15</v>
      </c>
      <c r="K2308" s="4" t="s">
        <v>209</v>
      </c>
      <c r="L2308" s="4" t="s">
        <v>231</v>
      </c>
      <c r="M2308" s="8">
        <v>300</v>
      </c>
      <c r="N2308" s="5">
        <v>759.34</v>
      </c>
      <c r="O2308" s="5">
        <v>227802</v>
      </c>
      <c r="P2308">
        <f t="shared" si="145"/>
        <v>0</v>
      </c>
      <c r="Q2308" s="36">
        <f t="shared" si="146"/>
        <v>22780.2</v>
      </c>
      <c r="R2308">
        <f t="shared" si="147"/>
        <v>2023</v>
      </c>
    </row>
    <row r="2309" spans="1:18" x14ac:dyDescent="0.2">
      <c r="A2309" s="13">
        <v>45418</v>
      </c>
      <c r="B2309" s="13">
        <v>45323</v>
      </c>
      <c r="C2309" s="25" t="s">
        <v>399</v>
      </c>
      <c r="D2309" s="20">
        <v>95</v>
      </c>
      <c r="E2309" s="28">
        <v>205021.8</v>
      </c>
      <c r="F2309" s="22" t="s">
        <v>265</v>
      </c>
      <c r="G2309" s="14">
        <v>270</v>
      </c>
      <c r="H2309" s="40">
        <v>45050</v>
      </c>
      <c r="I2309" s="46">
        <f t="shared" si="144"/>
        <v>368</v>
      </c>
      <c r="J2309" s="1" t="s">
        <v>15</v>
      </c>
      <c r="K2309" s="4" t="s">
        <v>209</v>
      </c>
      <c r="L2309" s="4" t="s">
        <v>231</v>
      </c>
      <c r="M2309" s="8">
        <v>300</v>
      </c>
      <c r="N2309" s="5">
        <v>759.34</v>
      </c>
      <c r="O2309" s="5">
        <v>227802</v>
      </c>
      <c r="P2309">
        <f t="shared" si="145"/>
        <v>0</v>
      </c>
      <c r="Q2309" s="36">
        <f t="shared" si="146"/>
        <v>205021.80000000002</v>
      </c>
      <c r="R2309">
        <f t="shared" si="147"/>
        <v>2023</v>
      </c>
    </row>
    <row r="2310" spans="1:18" x14ac:dyDescent="0.2">
      <c r="A2310" s="13">
        <v>45330</v>
      </c>
      <c r="B2310" s="13">
        <v>45330</v>
      </c>
      <c r="C2310" s="25" t="s">
        <v>398</v>
      </c>
      <c r="D2310" s="20">
        <v>0</v>
      </c>
      <c r="E2310" s="28">
        <v>205021.8</v>
      </c>
      <c r="F2310" s="22" t="s">
        <v>265</v>
      </c>
      <c r="G2310" s="14">
        <v>270</v>
      </c>
      <c r="H2310" s="40">
        <v>45050</v>
      </c>
      <c r="I2310" s="46">
        <f t="shared" si="144"/>
        <v>280</v>
      </c>
      <c r="J2310" s="1" t="s">
        <v>15</v>
      </c>
      <c r="K2310" s="4" t="s">
        <v>209</v>
      </c>
      <c r="L2310" s="4" t="s">
        <v>231</v>
      </c>
      <c r="M2310" s="8">
        <v>270</v>
      </c>
      <c r="N2310" s="5">
        <v>759.34</v>
      </c>
      <c r="O2310" s="5">
        <v>205021.8</v>
      </c>
      <c r="P2310">
        <f t="shared" si="145"/>
        <v>1</v>
      </c>
      <c r="Q2310" s="36">
        <f t="shared" si="146"/>
        <v>205021.80000000002</v>
      </c>
      <c r="R2310">
        <f t="shared" si="147"/>
        <v>2023</v>
      </c>
    </row>
    <row r="2311" spans="1:18" x14ac:dyDescent="0.2">
      <c r="A2311" s="13">
        <v>45418</v>
      </c>
      <c r="B2311" s="13">
        <v>45331</v>
      </c>
      <c r="C2311" s="25" t="s">
        <v>399</v>
      </c>
      <c r="D2311" s="20">
        <v>87</v>
      </c>
      <c r="E2311" s="28">
        <v>45560.4</v>
      </c>
      <c r="F2311" s="22" t="s">
        <v>265</v>
      </c>
      <c r="G2311" s="14">
        <v>60</v>
      </c>
      <c r="H2311" s="40">
        <v>45050</v>
      </c>
      <c r="I2311" s="46">
        <f t="shared" si="144"/>
        <v>368</v>
      </c>
      <c r="J2311" s="1" t="s">
        <v>15</v>
      </c>
      <c r="K2311" s="4" t="s">
        <v>209</v>
      </c>
      <c r="L2311" s="4" t="s">
        <v>231</v>
      </c>
      <c r="M2311" s="8">
        <v>300</v>
      </c>
      <c r="N2311" s="5">
        <v>759.34</v>
      </c>
      <c r="O2311" s="5">
        <v>227802</v>
      </c>
      <c r="P2311">
        <f t="shared" si="145"/>
        <v>0</v>
      </c>
      <c r="Q2311" s="36">
        <f t="shared" si="146"/>
        <v>45560.4</v>
      </c>
      <c r="R2311">
        <f t="shared" si="147"/>
        <v>2023</v>
      </c>
    </row>
    <row r="2312" spans="1:18" x14ac:dyDescent="0.2">
      <c r="A2312" s="13">
        <v>45427</v>
      </c>
      <c r="B2312" s="13">
        <v>45331</v>
      </c>
      <c r="C2312" s="25" t="s">
        <v>399</v>
      </c>
      <c r="D2312" s="20">
        <v>96</v>
      </c>
      <c r="E2312" s="28">
        <v>182241.6</v>
      </c>
      <c r="F2312" s="22" t="s">
        <v>265</v>
      </c>
      <c r="G2312" s="14">
        <v>240</v>
      </c>
      <c r="H2312" s="40">
        <v>45050</v>
      </c>
      <c r="I2312" s="46">
        <f t="shared" si="144"/>
        <v>377</v>
      </c>
      <c r="J2312" s="1" t="s">
        <v>15</v>
      </c>
      <c r="K2312" s="4" t="s">
        <v>209</v>
      </c>
      <c r="L2312" s="4" t="s">
        <v>231</v>
      </c>
      <c r="M2312" s="8">
        <v>300</v>
      </c>
      <c r="N2312" s="5">
        <v>759.34</v>
      </c>
      <c r="O2312" s="5">
        <v>227802</v>
      </c>
      <c r="P2312">
        <f t="shared" si="145"/>
        <v>0</v>
      </c>
      <c r="Q2312" s="36">
        <f t="shared" si="146"/>
        <v>182241.6</v>
      </c>
      <c r="R2312">
        <f t="shared" si="147"/>
        <v>2023</v>
      </c>
    </row>
    <row r="2313" spans="1:18" x14ac:dyDescent="0.2">
      <c r="A2313" s="13">
        <v>45418</v>
      </c>
      <c r="B2313" s="13">
        <v>45331</v>
      </c>
      <c r="C2313" s="25" t="s">
        <v>399</v>
      </c>
      <c r="D2313" s="20">
        <v>87</v>
      </c>
      <c r="E2313" s="28">
        <v>182241.6</v>
      </c>
      <c r="F2313" s="22" t="s">
        <v>265</v>
      </c>
      <c r="G2313" s="14">
        <v>240</v>
      </c>
      <c r="H2313" s="40">
        <v>45050</v>
      </c>
      <c r="I2313" s="46">
        <f t="shared" si="144"/>
        <v>368</v>
      </c>
      <c r="J2313" s="1" t="s">
        <v>15</v>
      </c>
      <c r="K2313" s="4" t="s">
        <v>209</v>
      </c>
      <c r="L2313" s="4" t="s">
        <v>231</v>
      </c>
      <c r="M2313" s="8">
        <v>240</v>
      </c>
      <c r="N2313" s="5">
        <v>759.34</v>
      </c>
      <c r="O2313" s="5">
        <v>182241.6</v>
      </c>
      <c r="P2313">
        <f t="shared" si="145"/>
        <v>1</v>
      </c>
      <c r="Q2313" s="36">
        <f t="shared" si="146"/>
        <v>182241.6</v>
      </c>
      <c r="R2313">
        <f t="shared" si="147"/>
        <v>2023</v>
      </c>
    </row>
    <row r="2314" spans="1:18" x14ac:dyDescent="0.2">
      <c r="A2314" s="13">
        <v>45427</v>
      </c>
      <c r="B2314" s="13">
        <v>45331</v>
      </c>
      <c r="C2314" s="25" t="s">
        <v>399</v>
      </c>
      <c r="D2314" s="20">
        <v>96</v>
      </c>
      <c r="E2314" s="28">
        <v>22780.2</v>
      </c>
      <c r="F2314" s="22" t="s">
        <v>265</v>
      </c>
      <c r="G2314" s="14">
        <v>30</v>
      </c>
      <c r="H2314" s="40">
        <v>45050</v>
      </c>
      <c r="I2314" s="46">
        <f t="shared" si="144"/>
        <v>377</v>
      </c>
      <c r="J2314" s="1" t="s">
        <v>15</v>
      </c>
      <c r="K2314" s="4" t="s">
        <v>209</v>
      </c>
      <c r="L2314" s="4" t="s">
        <v>231</v>
      </c>
      <c r="M2314" s="8">
        <v>30</v>
      </c>
      <c r="N2314" s="5">
        <v>759.34</v>
      </c>
      <c r="O2314" s="5">
        <v>22780.2</v>
      </c>
      <c r="P2314">
        <f t="shared" si="145"/>
        <v>1</v>
      </c>
      <c r="Q2314" s="36">
        <f t="shared" si="146"/>
        <v>22780.2</v>
      </c>
      <c r="R2314">
        <f t="shared" si="147"/>
        <v>2023</v>
      </c>
    </row>
    <row r="2315" spans="1:18" x14ac:dyDescent="0.2">
      <c r="A2315" s="13">
        <v>45334</v>
      </c>
      <c r="B2315" s="13">
        <v>45334</v>
      </c>
      <c r="C2315" s="25" t="s">
        <v>398</v>
      </c>
      <c r="D2315" s="20">
        <v>0</v>
      </c>
      <c r="E2315" s="28">
        <v>159461.4</v>
      </c>
      <c r="F2315" s="22" t="s">
        <v>265</v>
      </c>
      <c r="G2315" s="14">
        <v>210</v>
      </c>
      <c r="H2315" s="40">
        <v>45056</v>
      </c>
      <c r="I2315" s="46">
        <f t="shared" si="144"/>
        <v>278</v>
      </c>
      <c r="J2315" s="1" t="s">
        <v>15</v>
      </c>
      <c r="K2315" s="4" t="s">
        <v>209</v>
      </c>
      <c r="L2315" s="4" t="s">
        <v>231</v>
      </c>
      <c r="M2315" s="8">
        <v>210</v>
      </c>
      <c r="N2315" s="5">
        <v>759.34</v>
      </c>
      <c r="O2315" s="5">
        <v>159461.4</v>
      </c>
      <c r="P2315">
        <f t="shared" si="145"/>
        <v>1</v>
      </c>
      <c r="Q2315" s="36">
        <f t="shared" si="146"/>
        <v>159461.4</v>
      </c>
      <c r="R2315">
        <f t="shared" si="147"/>
        <v>2023</v>
      </c>
    </row>
    <row r="2316" spans="1:18" x14ac:dyDescent="0.2">
      <c r="A2316" s="13">
        <v>45341</v>
      </c>
      <c r="B2316" s="13">
        <v>45341</v>
      </c>
      <c r="C2316" s="25" t="s">
        <v>398</v>
      </c>
      <c r="D2316" s="20">
        <v>0</v>
      </c>
      <c r="E2316" s="28">
        <v>205021.8</v>
      </c>
      <c r="F2316" s="22" t="s">
        <v>265</v>
      </c>
      <c r="G2316" s="14">
        <v>270</v>
      </c>
      <c r="H2316" s="40">
        <v>45056</v>
      </c>
      <c r="I2316" s="46">
        <f t="shared" si="144"/>
        <v>285</v>
      </c>
      <c r="J2316" s="1" t="s">
        <v>15</v>
      </c>
      <c r="K2316" s="4" t="s">
        <v>209</v>
      </c>
      <c r="L2316" s="4" t="s">
        <v>231</v>
      </c>
      <c r="M2316" s="8">
        <v>270</v>
      </c>
      <c r="N2316" s="5">
        <v>759.34</v>
      </c>
      <c r="O2316" s="5">
        <v>205021.8</v>
      </c>
      <c r="P2316">
        <f t="shared" si="145"/>
        <v>1</v>
      </c>
      <c r="Q2316" s="36">
        <f t="shared" si="146"/>
        <v>205021.80000000002</v>
      </c>
      <c r="R2316">
        <f t="shared" si="147"/>
        <v>2023</v>
      </c>
    </row>
    <row r="2317" spans="1:18" x14ac:dyDescent="0.2">
      <c r="A2317" s="13">
        <v>45348</v>
      </c>
      <c r="B2317" s="13">
        <v>45348</v>
      </c>
      <c r="C2317" s="25" t="s">
        <v>398</v>
      </c>
      <c r="D2317" s="20">
        <v>0</v>
      </c>
      <c r="E2317" s="28">
        <v>182241.6</v>
      </c>
      <c r="F2317" s="22" t="s">
        <v>265</v>
      </c>
      <c r="G2317" s="14">
        <v>240</v>
      </c>
      <c r="H2317" s="40">
        <v>45056</v>
      </c>
      <c r="I2317" s="46">
        <f t="shared" si="144"/>
        <v>292</v>
      </c>
      <c r="J2317" s="1" t="s">
        <v>15</v>
      </c>
      <c r="K2317" s="4" t="s">
        <v>209</v>
      </c>
      <c r="L2317" s="4" t="s">
        <v>231</v>
      </c>
      <c r="M2317" s="8">
        <v>240</v>
      </c>
      <c r="N2317" s="5">
        <v>759.34</v>
      </c>
      <c r="O2317" s="5">
        <v>182241.6</v>
      </c>
      <c r="P2317">
        <f t="shared" si="145"/>
        <v>1</v>
      </c>
      <c r="Q2317" s="36">
        <f t="shared" si="146"/>
        <v>182241.6</v>
      </c>
      <c r="R2317">
        <f t="shared" si="147"/>
        <v>2023</v>
      </c>
    </row>
    <row r="2318" spans="1:18" x14ac:dyDescent="0.2">
      <c r="A2318" s="13">
        <v>45355</v>
      </c>
      <c r="B2318" s="13">
        <v>45355</v>
      </c>
      <c r="C2318" s="25" t="s">
        <v>398</v>
      </c>
      <c r="D2318" s="20">
        <v>0</v>
      </c>
      <c r="E2318" s="28">
        <v>91120.8</v>
      </c>
      <c r="F2318" s="22" t="s">
        <v>265</v>
      </c>
      <c r="G2318" s="14">
        <v>120</v>
      </c>
      <c r="H2318" s="40">
        <v>45056</v>
      </c>
      <c r="I2318" s="46">
        <f t="shared" si="144"/>
        <v>299</v>
      </c>
      <c r="J2318" s="1" t="s">
        <v>15</v>
      </c>
      <c r="K2318" s="4" t="s">
        <v>209</v>
      </c>
      <c r="L2318" s="4" t="s">
        <v>231</v>
      </c>
      <c r="M2318" s="8">
        <v>120</v>
      </c>
      <c r="N2318" s="5">
        <v>759.34</v>
      </c>
      <c r="O2318" s="5">
        <v>91120.8</v>
      </c>
      <c r="P2318">
        <f t="shared" si="145"/>
        <v>1</v>
      </c>
      <c r="Q2318" s="36">
        <f t="shared" si="146"/>
        <v>91120.8</v>
      </c>
      <c r="R2318">
        <f t="shared" si="147"/>
        <v>2023</v>
      </c>
    </row>
    <row r="2319" spans="1:18" x14ac:dyDescent="0.2">
      <c r="A2319" s="13">
        <v>45359</v>
      </c>
      <c r="B2319" s="13">
        <v>45359</v>
      </c>
      <c r="C2319" s="25" t="s">
        <v>398</v>
      </c>
      <c r="D2319" s="20">
        <v>0</v>
      </c>
      <c r="E2319" s="28">
        <v>227802</v>
      </c>
      <c r="F2319" s="22" t="s">
        <v>265</v>
      </c>
      <c r="G2319" s="14">
        <v>300</v>
      </c>
      <c r="H2319" s="40">
        <v>45056</v>
      </c>
      <c r="I2319" s="46">
        <f t="shared" si="144"/>
        <v>303</v>
      </c>
      <c r="J2319" s="1" t="s">
        <v>15</v>
      </c>
      <c r="K2319" s="4" t="s">
        <v>209</v>
      </c>
      <c r="L2319" s="4" t="s">
        <v>231</v>
      </c>
      <c r="M2319" s="8">
        <v>300</v>
      </c>
      <c r="N2319" s="5">
        <v>759.34</v>
      </c>
      <c r="O2319" s="5">
        <v>227802</v>
      </c>
      <c r="P2319">
        <f t="shared" si="145"/>
        <v>1</v>
      </c>
      <c r="Q2319" s="36">
        <f t="shared" si="146"/>
        <v>227802</v>
      </c>
      <c r="R2319">
        <f t="shared" si="147"/>
        <v>2023</v>
      </c>
    </row>
    <row r="2320" spans="1:18" x14ac:dyDescent="0.2">
      <c r="A2320" s="13">
        <v>45362</v>
      </c>
      <c r="B2320" s="13">
        <v>45362</v>
      </c>
      <c r="C2320" s="25" t="s">
        <v>398</v>
      </c>
      <c r="D2320" s="20">
        <v>0</v>
      </c>
      <c r="E2320" s="28">
        <v>22780.2</v>
      </c>
      <c r="F2320" s="22" t="s">
        <v>265</v>
      </c>
      <c r="G2320" s="14">
        <v>30</v>
      </c>
      <c r="H2320" s="40">
        <v>45056</v>
      </c>
      <c r="I2320" s="46">
        <f t="shared" si="144"/>
        <v>306</v>
      </c>
      <c r="J2320" s="1" t="s">
        <v>15</v>
      </c>
      <c r="K2320" s="4" t="s">
        <v>209</v>
      </c>
      <c r="L2320" s="4" t="s">
        <v>231</v>
      </c>
      <c r="M2320" s="8">
        <v>30</v>
      </c>
      <c r="N2320" s="5">
        <v>759.34</v>
      </c>
      <c r="O2320" s="5">
        <v>22780.2</v>
      </c>
      <c r="P2320">
        <f t="shared" si="145"/>
        <v>1</v>
      </c>
      <c r="Q2320" s="36">
        <f t="shared" si="146"/>
        <v>22780.2</v>
      </c>
      <c r="R2320">
        <f t="shared" si="147"/>
        <v>2023</v>
      </c>
    </row>
    <row r="2321" spans="1:18" x14ac:dyDescent="0.2">
      <c r="A2321" s="13">
        <v>45372</v>
      </c>
      <c r="B2321" s="13">
        <v>45372</v>
      </c>
      <c r="C2321" s="25" t="s">
        <v>398</v>
      </c>
      <c r="D2321" s="20">
        <v>0</v>
      </c>
      <c r="E2321" s="28">
        <v>227802</v>
      </c>
      <c r="F2321" s="22" t="s">
        <v>265</v>
      </c>
      <c r="G2321" s="14">
        <v>300</v>
      </c>
      <c r="H2321" s="40">
        <v>45056</v>
      </c>
      <c r="I2321" s="46">
        <f t="shared" si="144"/>
        <v>316</v>
      </c>
      <c r="J2321" s="1" t="s">
        <v>15</v>
      </c>
      <c r="K2321" s="4" t="s">
        <v>209</v>
      </c>
      <c r="L2321" s="4" t="s">
        <v>231</v>
      </c>
      <c r="M2321" s="8">
        <v>300</v>
      </c>
      <c r="N2321" s="5">
        <v>759.34</v>
      </c>
      <c r="O2321" s="5">
        <v>227802</v>
      </c>
      <c r="P2321">
        <f t="shared" si="145"/>
        <v>1</v>
      </c>
      <c r="Q2321" s="36">
        <f t="shared" si="146"/>
        <v>227802</v>
      </c>
      <c r="R2321">
        <f t="shared" si="147"/>
        <v>2023</v>
      </c>
    </row>
    <row r="2322" spans="1:18" x14ac:dyDescent="0.2">
      <c r="A2322" s="13">
        <v>45373</v>
      </c>
      <c r="B2322" s="13">
        <v>45373</v>
      </c>
      <c r="C2322" s="25" t="s">
        <v>398</v>
      </c>
      <c r="D2322" s="20">
        <v>0</v>
      </c>
      <c r="E2322" s="28">
        <v>182241.6</v>
      </c>
      <c r="F2322" s="22" t="s">
        <v>265</v>
      </c>
      <c r="G2322" s="14">
        <v>240</v>
      </c>
      <c r="H2322" s="40">
        <v>45056</v>
      </c>
      <c r="I2322" s="46">
        <f t="shared" si="144"/>
        <v>317</v>
      </c>
      <c r="J2322" s="1" t="s">
        <v>15</v>
      </c>
      <c r="K2322" s="4" t="s">
        <v>209</v>
      </c>
      <c r="L2322" s="4" t="s">
        <v>231</v>
      </c>
      <c r="M2322" s="8">
        <v>240</v>
      </c>
      <c r="N2322" s="5">
        <v>759.34</v>
      </c>
      <c r="O2322" s="5">
        <v>182241.6</v>
      </c>
      <c r="P2322">
        <f t="shared" si="145"/>
        <v>1</v>
      </c>
      <c r="Q2322" s="36">
        <f t="shared" si="146"/>
        <v>182241.6</v>
      </c>
      <c r="R2322">
        <f t="shared" si="147"/>
        <v>2023</v>
      </c>
    </row>
    <row r="2323" spans="1:18" x14ac:dyDescent="0.2">
      <c r="A2323" s="13">
        <v>45407</v>
      </c>
      <c r="B2323" s="13">
        <v>45407</v>
      </c>
      <c r="C2323" s="25" t="s">
        <v>398</v>
      </c>
      <c r="D2323" s="20">
        <v>0</v>
      </c>
      <c r="E2323" s="28">
        <v>205021.8</v>
      </c>
      <c r="F2323" s="22" t="s">
        <v>265</v>
      </c>
      <c r="G2323" s="14">
        <v>270</v>
      </c>
      <c r="H2323" s="40">
        <v>45056</v>
      </c>
      <c r="I2323" s="46">
        <f t="shared" si="144"/>
        <v>351</v>
      </c>
      <c r="J2323" s="1" t="s">
        <v>15</v>
      </c>
      <c r="K2323" s="4" t="s">
        <v>209</v>
      </c>
      <c r="L2323" s="4" t="s">
        <v>231</v>
      </c>
      <c r="M2323" s="8">
        <v>270</v>
      </c>
      <c r="N2323" s="5">
        <v>759.34</v>
      </c>
      <c r="O2323" s="5">
        <v>205021.8</v>
      </c>
      <c r="P2323">
        <f t="shared" si="145"/>
        <v>1</v>
      </c>
      <c r="Q2323" s="36">
        <f t="shared" si="146"/>
        <v>205021.80000000002</v>
      </c>
      <c r="R2323">
        <f t="shared" si="147"/>
        <v>2023</v>
      </c>
    </row>
    <row r="2324" spans="1:18" x14ac:dyDescent="0.2">
      <c r="A2324" s="13">
        <v>45427</v>
      </c>
      <c r="B2324" s="13">
        <v>45331</v>
      </c>
      <c r="C2324" s="25" t="s">
        <v>399</v>
      </c>
      <c r="D2324" s="20">
        <v>96</v>
      </c>
      <c r="E2324" s="28">
        <v>205021.8</v>
      </c>
      <c r="F2324" s="22" t="s">
        <v>265</v>
      </c>
      <c r="G2324" s="14">
        <v>270</v>
      </c>
      <c r="H2324" s="40">
        <v>45056</v>
      </c>
      <c r="I2324" s="46">
        <f t="shared" si="144"/>
        <v>371</v>
      </c>
      <c r="J2324" s="1" t="s">
        <v>15</v>
      </c>
      <c r="K2324" s="4" t="s">
        <v>209</v>
      </c>
      <c r="L2324" s="4" t="s">
        <v>231</v>
      </c>
      <c r="M2324" s="8">
        <v>270</v>
      </c>
      <c r="N2324" s="5">
        <v>759.34</v>
      </c>
      <c r="O2324" s="5">
        <v>205021.8</v>
      </c>
      <c r="P2324">
        <f t="shared" si="145"/>
        <v>1</v>
      </c>
      <c r="Q2324" s="36">
        <f t="shared" si="146"/>
        <v>205021.80000000002</v>
      </c>
      <c r="R2324">
        <f t="shared" si="147"/>
        <v>2023</v>
      </c>
    </row>
    <row r="2325" spans="1:18" x14ac:dyDescent="0.2">
      <c r="A2325" s="13">
        <v>45427</v>
      </c>
      <c r="B2325" s="13">
        <v>45379</v>
      </c>
      <c r="C2325" s="25" t="s">
        <v>399</v>
      </c>
      <c r="D2325" s="20">
        <v>48</v>
      </c>
      <c r="E2325" s="28">
        <v>182241.6</v>
      </c>
      <c r="F2325" s="22" t="s">
        <v>265</v>
      </c>
      <c r="G2325" s="14">
        <v>240</v>
      </c>
      <c r="H2325" s="40">
        <v>45056</v>
      </c>
      <c r="I2325" s="46">
        <f t="shared" si="144"/>
        <v>371</v>
      </c>
      <c r="J2325" s="1" t="s">
        <v>15</v>
      </c>
      <c r="K2325" s="4" t="s">
        <v>209</v>
      </c>
      <c r="L2325" s="4" t="s">
        <v>231</v>
      </c>
      <c r="M2325" s="8">
        <v>240</v>
      </c>
      <c r="N2325" s="5">
        <v>759.34</v>
      </c>
      <c r="O2325" s="5">
        <v>182241.6</v>
      </c>
      <c r="P2325">
        <f t="shared" si="145"/>
        <v>1</v>
      </c>
      <c r="Q2325" s="36">
        <f t="shared" si="146"/>
        <v>182241.6</v>
      </c>
      <c r="R2325">
        <f t="shared" si="147"/>
        <v>2023</v>
      </c>
    </row>
    <row r="2326" spans="1:18" x14ac:dyDescent="0.2">
      <c r="A2326" s="13">
        <v>45427</v>
      </c>
      <c r="B2326" s="13">
        <v>45386</v>
      </c>
      <c r="C2326" s="25" t="s">
        <v>399</v>
      </c>
      <c r="D2326" s="20">
        <v>41</v>
      </c>
      <c r="E2326" s="28">
        <v>227802</v>
      </c>
      <c r="F2326" s="22" t="s">
        <v>265</v>
      </c>
      <c r="G2326" s="14">
        <v>300</v>
      </c>
      <c r="H2326" s="40">
        <v>45056</v>
      </c>
      <c r="I2326" s="46">
        <f t="shared" si="144"/>
        <v>371</v>
      </c>
      <c r="J2326" s="1" t="s">
        <v>15</v>
      </c>
      <c r="K2326" s="4" t="s">
        <v>209</v>
      </c>
      <c r="L2326" s="4" t="s">
        <v>231</v>
      </c>
      <c r="M2326" s="8">
        <v>300</v>
      </c>
      <c r="N2326" s="5">
        <v>759.34</v>
      </c>
      <c r="O2326" s="5">
        <v>227802</v>
      </c>
      <c r="P2326">
        <f t="shared" si="145"/>
        <v>1</v>
      </c>
      <c r="Q2326" s="36">
        <f t="shared" si="146"/>
        <v>227802</v>
      </c>
      <c r="R2326">
        <f t="shared" si="147"/>
        <v>2023</v>
      </c>
    </row>
    <row r="2327" spans="1:18" x14ac:dyDescent="0.2">
      <c r="A2327" s="13">
        <v>45427</v>
      </c>
      <c r="B2327" s="13">
        <v>45393</v>
      </c>
      <c r="C2327" s="25" t="s">
        <v>399</v>
      </c>
      <c r="D2327" s="20">
        <v>34</v>
      </c>
      <c r="E2327" s="28">
        <v>205021.8</v>
      </c>
      <c r="F2327" s="22" t="s">
        <v>265</v>
      </c>
      <c r="G2327" s="14">
        <v>270</v>
      </c>
      <c r="H2327" s="40">
        <v>45056</v>
      </c>
      <c r="I2327" s="46">
        <f t="shared" si="144"/>
        <v>371</v>
      </c>
      <c r="J2327" s="1" t="s">
        <v>15</v>
      </c>
      <c r="K2327" s="4" t="s">
        <v>209</v>
      </c>
      <c r="L2327" s="4" t="s">
        <v>231</v>
      </c>
      <c r="M2327" s="8">
        <v>270</v>
      </c>
      <c r="N2327" s="5">
        <v>759.34</v>
      </c>
      <c r="O2327" s="5">
        <v>205021.8</v>
      </c>
      <c r="P2327">
        <f t="shared" si="145"/>
        <v>1</v>
      </c>
      <c r="Q2327" s="36">
        <f t="shared" si="146"/>
        <v>205021.80000000002</v>
      </c>
      <c r="R2327">
        <f t="shared" si="147"/>
        <v>2023</v>
      </c>
    </row>
    <row r="2328" spans="1:18" x14ac:dyDescent="0.2">
      <c r="A2328" s="13">
        <v>45427</v>
      </c>
      <c r="B2328" s="13">
        <v>45400</v>
      </c>
      <c r="C2328" s="25" t="s">
        <v>399</v>
      </c>
      <c r="D2328" s="20">
        <v>27</v>
      </c>
      <c r="E2328" s="28">
        <v>227802</v>
      </c>
      <c r="F2328" s="22" t="s">
        <v>265</v>
      </c>
      <c r="G2328" s="14">
        <v>300</v>
      </c>
      <c r="H2328" s="40">
        <v>45056</v>
      </c>
      <c r="I2328" s="46">
        <f t="shared" si="144"/>
        <v>371</v>
      </c>
      <c r="J2328" s="1" t="s">
        <v>15</v>
      </c>
      <c r="K2328" s="4" t="s">
        <v>209</v>
      </c>
      <c r="L2328" s="4" t="s">
        <v>231</v>
      </c>
      <c r="M2328" s="8">
        <v>300</v>
      </c>
      <c r="N2328" s="5">
        <v>759.34</v>
      </c>
      <c r="O2328" s="5">
        <v>227802</v>
      </c>
      <c r="P2328">
        <f t="shared" si="145"/>
        <v>1</v>
      </c>
      <c r="Q2328" s="36">
        <f t="shared" si="146"/>
        <v>227802</v>
      </c>
      <c r="R2328">
        <f t="shared" si="147"/>
        <v>2023</v>
      </c>
    </row>
    <row r="2329" spans="1:18" x14ac:dyDescent="0.2">
      <c r="A2329" s="13">
        <v>45427</v>
      </c>
      <c r="B2329" s="13">
        <v>45372</v>
      </c>
      <c r="C2329" s="25" t="s">
        <v>399</v>
      </c>
      <c r="D2329" s="20">
        <v>55</v>
      </c>
      <c r="E2329" s="28">
        <v>205021.8</v>
      </c>
      <c r="F2329" s="22" t="s">
        <v>265</v>
      </c>
      <c r="G2329" s="14">
        <v>270</v>
      </c>
      <c r="H2329" s="40">
        <v>45056</v>
      </c>
      <c r="I2329" s="46">
        <f t="shared" si="144"/>
        <v>371</v>
      </c>
      <c r="J2329" s="1" t="s">
        <v>15</v>
      </c>
      <c r="K2329" s="4" t="s">
        <v>209</v>
      </c>
      <c r="L2329" s="4" t="s">
        <v>231</v>
      </c>
      <c r="M2329" s="8">
        <v>270</v>
      </c>
      <c r="N2329" s="5">
        <v>759.34</v>
      </c>
      <c r="O2329" s="5">
        <v>205021.8</v>
      </c>
      <c r="P2329">
        <f t="shared" si="145"/>
        <v>1</v>
      </c>
      <c r="Q2329" s="36">
        <f t="shared" si="146"/>
        <v>205021.80000000002</v>
      </c>
      <c r="R2329">
        <f t="shared" si="147"/>
        <v>2023</v>
      </c>
    </row>
    <row r="2330" spans="1:18" x14ac:dyDescent="0.2">
      <c r="A2330" s="13">
        <v>45229</v>
      </c>
      <c r="B2330" s="13">
        <v>44977</v>
      </c>
      <c r="C2330" s="25" t="s">
        <v>399</v>
      </c>
      <c r="D2330" s="20">
        <v>252</v>
      </c>
      <c r="E2330" s="28">
        <v>8208.7000000000007</v>
      </c>
      <c r="F2330" s="22" t="s">
        <v>300</v>
      </c>
      <c r="G2330" s="14">
        <v>46</v>
      </c>
      <c r="H2330" s="40">
        <v>44747</v>
      </c>
      <c r="I2330" s="46">
        <f t="shared" si="144"/>
        <v>482</v>
      </c>
      <c r="J2330" s="1" t="s">
        <v>15</v>
      </c>
      <c r="K2330" s="4" t="s">
        <v>209</v>
      </c>
      <c r="L2330" s="4" t="s">
        <v>231</v>
      </c>
      <c r="M2330" s="8">
        <v>46</v>
      </c>
      <c r="N2330" s="5">
        <v>178.45</v>
      </c>
      <c r="O2330" s="5">
        <v>8208.7000000000007</v>
      </c>
      <c r="P2330">
        <f t="shared" si="145"/>
        <v>1</v>
      </c>
      <c r="Q2330" s="36">
        <f t="shared" si="146"/>
        <v>8208.6999999999989</v>
      </c>
      <c r="R2330">
        <f t="shared" si="147"/>
        <v>2022</v>
      </c>
    </row>
    <row r="2331" spans="1:18" x14ac:dyDescent="0.2">
      <c r="A2331" s="13">
        <v>45229</v>
      </c>
      <c r="B2331" s="13">
        <v>45098</v>
      </c>
      <c r="C2331" s="25" t="s">
        <v>399</v>
      </c>
      <c r="D2331" s="20">
        <v>131</v>
      </c>
      <c r="E2331" s="28">
        <v>2498.3000000000002</v>
      </c>
      <c r="F2331" s="22" t="s">
        <v>300</v>
      </c>
      <c r="G2331" s="14">
        <v>14</v>
      </c>
      <c r="H2331" s="40">
        <v>44992</v>
      </c>
      <c r="I2331" s="46">
        <f t="shared" si="144"/>
        <v>237</v>
      </c>
      <c r="J2331" s="1" t="s">
        <v>15</v>
      </c>
      <c r="K2331" s="4" t="s">
        <v>209</v>
      </c>
      <c r="L2331" s="4" t="s">
        <v>231</v>
      </c>
      <c r="M2331" s="8">
        <v>18</v>
      </c>
      <c r="N2331" s="5">
        <v>178.45</v>
      </c>
      <c r="O2331" s="5">
        <v>3212.1</v>
      </c>
      <c r="P2331">
        <f t="shared" si="145"/>
        <v>0</v>
      </c>
      <c r="Q2331" s="36">
        <f t="shared" si="146"/>
        <v>2498.2999999999997</v>
      </c>
      <c r="R2331">
        <f t="shared" si="147"/>
        <v>2023</v>
      </c>
    </row>
    <row r="2332" spans="1:18" x14ac:dyDescent="0.2">
      <c r="A2332" s="13">
        <v>45239</v>
      </c>
      <c r="B2332" s="13">
        <v>45098</v>
      </c>
      <c r="C2332" s="25" t="s">
        <v>399</v>
      </c>
      <c r="D2332" s="20">
        <v>141</v>
      </c>
      <c r="E2332" s="28">
        <v>713.8</v>
      </c>
      <c r="F2332" s="22" t="s">
        <v>300</v>
      </c>
      <c r="G2332" s="14">
        <v>4</v>
      </c>
      <c r="H2332" s="40">
        <v>44992</v>
      </c>
      <c r="I2332" s="46">
        <f t="shared" si="144"/>
        <v>247</v>
      </c>
      <c r="J2332" s="1" t="s">
        <v>15</v>
      </c>
      <c r="K2332" s="4" t="s">
        <v>209</v>
      </c>
      <c r="L2332" s="4" t="s">
        <v>231</v>
      </c>
      <c r="M2332" s="8">
        <v>18</v>
      </c>
      <c r="N2332" s="5">
        <v>178.45</v>
      </c>
      <c r="O2332" s="5">
        <v>3212.1</v>
      </c>
      <c r="P2332">
        <f t="shared" si="145"/>
        <v>0</v>
      </c>
      <c r="Q2332" s="36">
        <f t="shared" si="146"/>
        <v>713.8</v>
      </c>
      <c r="R2332">
        <f t="shared" si="147"/>
        <v>2023</v>
      </c>
    </row>
    <row r="2333" spans="1:18" x14ac:dyDescent="0.2">
      <c r="A2333" s="13">
        <v>45239</v>
      </c>
      <c r="B2333" s="13">
        <v>44993</v>
      </c>
      <c r="C2333" s="25" t="s">
        <v>399</v>
      </c>
      <c r="D2333" s="20">
        <v>246</v>
      </c>
      <c r="E2333" s="28">
        <v>2855.2</v>
      </c>
      <c r="F2333" s="22" t="s">
        <v>300</v>
      </c>
      <c r="G2333" s="14">
        <v>16</v>
      </c>
      <c r="H2333" s="40">
        <v>44993</v>
      </c>
      <c r="I2333" s="46">
        <f t="shared" si="144"/>
        <v>246</v>
      </c>
      <c r="J2333" s="1" t="s">
        <v>15</v>
      </c>
      <c r="K2333" s="4" t="s">
        <v>209</v>
      </c>
      <c r="L2333" s="4" t="s">
        <v>231</v>
      </c>
      <c r="M2333" s="8">
        <v>16</v>
      </c>
      <c r="N2333" s="5">
        <v>178.45</v>
      </c>
      <c r="O2333" s="5">
        <v>2855.2</v>
      </c>
      <c r="P2333">
        <f t="shared" si="145"/>
        <v>1</v>
      </c>
      <c r="Q2333" s="36">
        <f t="shared" si="146"/>
        <v>2855.2</v>
      </c>
      <c r="R2333">
        <f t="shared" si="147"/>
        <v>2023</v>
      </c>
    </row>
    <row r="2334" spans="1:18" x14ac:dyDescent="0.2">
      <c r="A2334" s="13">
        <v>45239</v>
      </c>
      <c r="B2334" s="13">
        <v>45238</v>
      </c>
      <c r="C2334" s="25" t="s">
        <v>399</v>
      </c>
      <c r="D2334" s="20">
        <v>1</v>
      </c>
      <c r="E2334" s="28">
        <v>178.45</v>
      </c>
      <c r="F2334" s="22" t="s">
        <v>300</v>
      </c>
      <c r="G2334" s="14">
        <v>1</v>
      </c>
      <c r="H2334" s="40">
        <v>44993</v>
      </c>
      <c r="I2334" s="46">
        <f t="shared" si="144"/>
        <v>246</v>
      </c>
      <c r="J2334" s="1" t="s">
        <v>15</v>
      </c>
      <c r="K2334" s="4" t="s">
        <v>209</v>
      </c>
      <c r="L2334" s="4" t="s">
        <v>231</v>
      </c>
      <c r="M2334" s="8">
        <v>30</v>
      </c>
      <c r="N2334" s="5">
        <v>178.45</v>
      </c>
      <c r="O2334" s="5">
        <v>5353.5</v>
      </c>
      <c r="P2334">
        <f t="shared" si="145"/>
        <v>0</v>
      </c>
      <c r="Q2334" s="36">
        <f t="shared" si="146"/>
        <v>178.45</v>
      </c>
      <c r="R2334">
        <f t="shared" si="147"/>
        <v>2023</v>
      </c>
    </row>
    <row r="2335" spans="1:18" x14ac:dyDescent="0.2">
      <c r="A2335" s="13">
        <v>45286</v>
      </c>
      <c r="B2335" s="13">
        <v>45238</v>
      </c>
      <c r="C2335" s="25" t="s">
        <v>399</v>
      </c>
      <c r="D2335" s="20">
        <v>48</v>
      </c>
      <c r="E2335" s="28">
        <v>5175.05</v>
      </c>
      <c r="F2335" s="22" t="s">
        <v>300</v>
      </c>
      <c r="G2335" s="14">
        <v>29</v>
      </c>
      <c r="H2335" s="40">
        <v>44993</v>
      </c>
      <c r="I2335" s="46">
        <f t="shared" si="144"/>
        <v>293</v>
      </c>
      <c r="J2335" s="1" t="s">
        <v>15</v>
      </c>
      <c r="K2335" s="4" t="s">
        <v>209</v>
      </c>
      <c r="L2335" s="4" t="s">
        <v>231</v>
      </c>
      <c r="M2335" s="8">
        <v>30</v>
      </c>
      <c r="N2335" s="5">
        <v>178.45</v>
      </c>
      <c r="O2335" s="5">
        <v>5353.5</v>
      </c>
      <c r="P2335">
        <f t="shared" si="145"/>
        <v>0</v>
      </c>
      <c r="Q2335" s="36">
        <f t="shared" si="146"/>
        <v>5175.0499999999993</v>
      </c>
      <c r="R2335">
        <f t="shared" si="147"/>
        <v>2023</v>
      </c>
    </row>
    <row r="2336" spans="1:18" x14ac:dyDescent="0.2">
      <c r="A2336" s="13">
        <v>45252</v>
      </c>
      <c r="B2336" s="13">
        <v>45252</v>
      </c>
      <c r="C2336" s="25" t="s">
        <v>398</v>
      </c>
      <c r="D2336" s="20">
        <v>0</v>
      </c>
      <c r="E2336" s="28">
        <v>3569</v>
      </c>
      <c r="F2336" s="22" t="s">
        <v>300</v>
      </c>
      <c r="G2336" s="14">
        <v>20</v>
      </c>
      <c r="H2336" s="40">
        <v>44993</v>
      </c>
      <c r="I2336" s="46">
        <f t="shared" si="144"/>
        <v>259</v>
      </c>
      <c r="J2336" s="1" t="s">
        <v>15</v>
      </c>
      <c r="K2336" s="4" t="s">
        <v>209</v>
      </c>
      <c r="L2336" s="4" t="s">
        <v>231</v>
      </c>
      <c r="M2336" s="8">
        <v>20</v>
      </c>
      <c r="N2336" s="5">
        <v>178.45</v>
      </c>
      <c r="O2336" s="5">
        <v>3569</v>
      </c>
      <c r="P2336">
        <f t="shared" si="145"/>
        <v>1</v>
      </c>
      <c r="Q2336" s="36">
        <f t="shared" si="146"/>
        <v>3569</v>
      </c>
      <c r="R2336">
        <f t="shared" si="147"/>
        <v>2023</v>
      </c>
    </row>
    <row r="2337" spans="1:18" x14ac:dyDescent="0.2">
      <c r="A2337" s="13">
        <v>45286</v>
      </c>
      <c r="B2337" s="13">
        <v>45266</v>
      </c>
      <c r="C2337" s="25" t="s">
        <v>399</v>
      </c>
      <c r="D2337" s="20">
        <v>20</v>
      </c>
      <c r="E2337" s="28">
        <v>5353.5</v>
      </c>
      <c r="F2337" s="22" t="s">
        <v>300</v>
      </c>
      <c r="G2337" s="14">
        <v>30</v>
      </c>
      <c r="H2337" s="40">
        <v>44993</v>
      </c>
      <c r="I2337" s="46">
        <f t="shared" si="144"/>
        <v>293</v>
      </c>
      <c r="J2337" s="1" t="s">
        <v>15</v>
      </c>
      <c r="K2337" s="4" t="s">
        <v>209</v>
      </c>
      <c r="L2337" s="4" t="s">
        <v>231</v>
      </c>
      <c r="M2337" s="8">
        <v>30</v>
      </c>
      <c r="N2337" s="5">
        <v>178.45</v>
      </c>
      <c r="O2337" s="5">
        <v>5353.5</v>
      </c>
      <c r="P2337">
        <f t="shared" si="145"/>
        <v>1</v>
      </c>
      <c r="Q2337" s="36">
        <f t="shared" si="146"/>
        <v>5353.5</v>
      </c>
      <c r="R2337">
        <f t="shared" si="147"/>
        <v>2023</v>
      </c>
    </row>
    <row r="2338" spans="1:18" x14ac:dyDescent="0.2">
      <c r="A2338" s="13">
        <v>45286</v>
      </c>
      <c r="B2338" s="13">
        <v>45147</v>
      </c>
      <c r="C2338" s="25" t="s">
        <v>399</v>
      </c>
      <c r="D2338" s="20">
        <v>139</v>
      </c>
      <c r="E2338" s="28">
        <v>178.45</v>
      </c>
      <c r="F2338" s="22" t="s">
        <v>300</v>
      </c>
      <c r="G2338" s="14">
        <v>1</v>
      </c>
      <c r="H2338" s="40">
        <v>44993</v>
      </c>
      <c r="I2338" s="46">
        <f t="shared" si="144"/>
        <v>293</v>
      </c>
      <c r="J2338" s="1" t="s">
        <v>15</v>
      </c>
      <c r="K2338" s="4" t="s">
        <v>209</v>
      </c>
      <c r="L2338" s="4" t="s">
        <v>231</v>
      </c>
      <c r="M2338" s="8">
        <v>46</v>
      </c>
      <c r="N2338" s="5">
        <v>178.45</v>
      </c>
      <c r="O2338" s="5">
        <v>8208.7000000000007</v>
      </c>
      <c r="P2338">
        <f t="shared" si="145"/>
        <v>0</v>
      </c>
      <c r="Q2338" s="36">
        <f t="shared" si="146"/>
        <v>178.45</v>
      </c>
      <c r="R2338">
        <f t="shared" si="147"/>
        <v>2023</v>
      </c>
    </row>
    <row r="2339" spans="1:18" x14ac:dyDescent="0.2">
      <c r="A2339" s="13">
        <v>45289</v>
      </c>
      <c r="B2339" s="13">
        <v>45147</v>
      </c>
      <c r="C2339" s="25" t="s">
        <v>399</v>
      </c>
      <c r="D2339" s="20">
        <v>142</v>
      </c>
      <c r="E2339" s="28">
        <v>8030.25</v>
      </c>
      <c r="F2339" s="22" t="s">
        <v>300</v>
      </c>
      <c r="G2339" s="14">
        <v>45</v>
      </c>
      <c r="H2339" s="40">
        <v>44993</v>
      </c>
      <c r="I2339" s="46">
        <f t="shared" si="144"/>
        <v>296</v>
      </c>
      <c r="J2339" s="1" t="s">
        <v>15</v>
      </c>
      <c r="K2339" s="4" t="s">
        <v>209</v>
      </c>
      <c r="L2339" s="4" t="s">
        <v>231</v>
      </c>
      <c r="M2339" s="8">
        <v>46</v>
      </c>
      <c r="N2339" s="5">
        <v>178.45</v>
      </c>
      <c r="O2339" s="5">
        <v>8208.7000000000007</v>
      </c>
      <c r="P2339">
        <f t="shared" si="145"/>
        <v>0</v>
      </c>
      <c r="Q2339" s="36">
        <f t="shared" si="146"/>
        <v>8030.2499999999991</v>
      </c>
      <c r="R2339">
        <f t="shared" si="147"/>
        <v>2023</v>
      </c>
    </row>
    <row r="2340" spans="1:18" x14ac:dyDescent="0.2">
      <c r="A2340" s="13">
        <v>45289</v>
      </c>
      <c r="B2340" s="13">
        <v>45266</v>
      </c>
      <c r="C2340" s="25" t="s">
        <v>399</v>
      </c>
      <c r="D2340" s="20">
        <v>23</v>
      </c>
      <c r="E2340" s="28">
        <v>3033.65</v>
      </c>
      <c r="F2340" s="22" t="s">
        <v>300</v>
      </c>
      <c r="G2340" s="14">
        <v>17</v>
      </c>
      <c r="H2340" s="40">
        <v>44993</v>
      </c>
      <c r="I2340" s="46">
        <f t="shared" si="144"/>
        <v>296</v>
      </c>
      <c r="J2340" s="1" t="s">
        <v>15</v>
      </c>
      <c r="K2340" s="4" t="s">
        <v>209</v>
      </c>
      <c r="L2340" s="4" t="s">
        <v>231</v>
      </c>
      <c r="M2340" s="8">
        <v>24</v>
      </c>
      <c r="N2340" s="5">
        <v>178.45</v>
      </c>
      <c r="O2340" s="5">
        <v>4282.8</v>
      </c>
      <c r="P2340">
        <f t="shared" si="145"/>
        <v>0</v>
      </c>
      <c r="Q2340" s="36">
        <f t="shared" si="146"/>
        <v>3033.6499999999996</v>
      </c>
      <c r="R2340">
        <f t="shared" si="147"/>
        <v>2023</v>
      </c>
    </row>
    <row r="2341" spans="1:18" x14ac:dyDescent="0.2">
      <c r="A2341" s="13">
        <v>45363</v>
      </c>
      <c r="B2341" s="13">
        <v>45266</v>
      </c>
      <c r="C2341" s="25" t="s">
        <v>399</v>
      </c>
      <c r="D2341" s="20">
        <v>97</v>
      </c>
      <c r="E2341" s="28">
        <v>1249.1500000000001</v>
      </c>
      <c r="F2341" s="22" t="s">
        <v>300</v>
      </c>
      <c r="G2341" s="14">
        <v>7</v>
      </c>
      <c r="H2341" s="40">
        <v>44993</v>
      </c>
      <c r="I2341" s="46">
        <f t="shared" si="144"/>
        <v>370</v>
      </c>
      <c r="J2341" s="1" t="s">
        <v>15</v>
      </c>
      <c r="K2341" s="4" t="s">
        <v>209</v>
      </c>
      <c r="L2341" s="4" t="s">
        <v>231</v>
      </c>
      <c r="M2341" s="8">
        <v>24</v>
      </c>
      <c r="N2341" s="5">
        <v>178.45</v>
      </c>
      <c r="O2341" s="5">
        <v>4282.8</v>
      </c>
      <c r="P2341">
        <f t="shared" si="145"/>
        <v>0</v>
      </c>
      <c r="Q2341" s="36">
        <f t="shared" si="146"/>
        <v>1249.1499999999999</v>
      </c>
      <c r="R2341">
        <f t="shared" si="147"/>
        <v>2023</v>
      </c>
    </row>
    <row r="2342" spans="1:18" x14ac:dyDescent="0.2">
      <c r="A2342" s="13">
        <v>45289</v>
      </c>
      <c r="B2342" s="13">
        <v>45121</v>
      </c>
      <c r="C2342" s="25" t="s">
        <v>399</v>
      </c>
      <c r="D2342" s="20">
        <v>168</v>
      </c>
      <c r="E2342" s="28">
        <v>8208.7000000000007</v>
      </c>
      <c r="F2342" s="22" t="s">
        <v>300</v>
      </c>
      <c r="G2342" s="14">
        <v>46</v>
      </c>
      <c r="H2342" s="40">
        <v>44993</v>
      </c>
      <c r="I2342" s="46">
        <f t="shared" si="144"/>
        <v>296</v>
      </c>
      <c r="J2342" s="1" t="s">
        <v>15</v>
      </c>
      <c r="K2342" s="4" t="s">
        <v>209</v>
      </c>
      <c r="L2342" s="4" t="s">
        <v>231</v>
      </c>
      <c r="M2342" s="8">
        <v>46</v>
      </c>
      <c r="N2342" s="5">
        <v>178.45</v>
      </c>
      <c r="O2342" s="5">
        <v>8208.7000000000007</v>
      </c>
      <c r="P2342">
        <f t="shared" si="145"/>
        <v>1</v>
      </c>
      <c r="Q2342" s="36">
        <f t="shared" si="146"/>
        <v>8208.6999999999989</v>
      </c>
      <c r="R2342">
        <f t="shared" si="147"/>
        <v>2023</v>
      </c>
    </row>
    <row r="2343" spans="1:18" x14ac:dyDescent="0.2">
      <c r="A2343" s="13">
        <v>45294</v>
      </c>
      <c r="B2343" s="13">
        <v>45294</v>
      </c>
      <c r="C2343" s="25" t="s">
        <v>398</v>
      </c>
      <c r="D2343" s="20">
        <v>0</v>
      </c>
      <c r="E2343" s="28">
        <v>5353.5</v>
      </c>
      <c r="F2343" s="22" t="s">
        <v>300</v>
      </c>
      <c r="G2343" s="14">
        <v>30</v>
      </c>
      <c r="H2343" s="40">
        <v>44993</v>
      </c>
      <c r="I2343" s="46">
        <f t="shared" si="144"/>
        <v>301</v>
      </c>
      <c r="J2343" s="1" t="s">
        <v>15</v>
      </c>
      <c r="K2343" s="4" t="s">
        <v>209</v>
      </c>
      <c r="L2343" s="4" t="s">
        <v>231</v>
      </c>
      <c r="M2343" s="8">
        <v>30</v>
      </c>
      <c r="N2343" s="5">
        <v>178.45</v>
      </c>
      <c r="O2343" s="5">
        <v>5353.5</v>
      </c>
      <c r="P2343">
        <f t="shared" si="145"/>
        <v>1</v>
      </c>
      <c r="Q2343" s="36">
        <f t="shared" si="146"/>
        <v>5353.5</v>
      </c>
      <c r="R2343">
        <f t="shared" si="147"/>
        <v>2023</v>
      </c>
    </row>
    <row r="2344" spans="1:18" x14ac:dyDescent="0.2">
      <c r="A2344" s="13">
        <v>45301</v>
      </c>
      <c r="B2344" s="13">
        <v>45301</v>
      </c>
      <c r="C2344" s="25" t="s">
        <v>398</v>
      </c>
      <c r="D2344" s="20">
        <v>0</v>
      </c>
      <c r="E2344" s="28">
        <v>5175.05</v>
      </c>
      <c r="F2344" s="22" t="s">
        <v>300</v>
      </c>
      <c r="G2344" s="14">
        <v>29</v>
      </c>
      <c r="H2344" s="40">
        <v>44993</v>
      </c>
      <c r="I2344" s="46">
        <f t="shared" si="144"/>
        <v>308</v>
      </c>
      <c r="J2344" s="1" t="s">
        <v>15</v>
      </c>
      <c r="K2344" s="4" t="s">
        <v>209</v>
      </c>
      <c r="L2344" s="4" t="s">
        <v>231</v>
      </c>
      <c r="M2344" s="8">
        <v>29</v>
      </c>
      <c r="N2344" s="5">
        <v>178.45</v>
      </c>
      <c r="O2344" s="5">
        <v>5175.05</v>
      </c>
      <c r="P2344">
        <f t="shared" si="145"/>
        <v>1</v>
      </c>
      <c r="Q2344" s="36">
        <f t="shared" si="146"/>
        <v>5175.0499999999993</v>
      </c>
      <c r="R2344">
        <f t="shared" si="147"/>
        <v>2023</v>
      </c>
    </row>
    <row r="2345" spans="1:18" x14ac:dyDescent="0.2">
      <c r="A2345" s="13">
        <v>45310</v>
      </c>
      <c r="B2345" s="13">
        <v>45310</v>
      </c>
      <c r="C2345" s="25" t="s">
        <v>398</v>
      </c>
      <c r="D2345" s="20">
        <v>0</v>
      </c>
      <c r="E2345" s="28">
        <v>2855.2</v>
      </c>
      <c r="F2345" s="22" t="s">
        <v>300</v>
      </c>
      <c r="G2345" s="14">
        <v>16</v>
      </c>
      <c r="H2345" s="40">
        <v>44993</v>
      </c>
      <c r="I2345" s="46">
        <f t="shared" si="144"/>
        <v>317</v>
      </c>
      <c r="J2345" s="1" t="s">
        <v>15</v>
      </c>
      <c r="K2345" s="4" t="s">
        <v>209</v>
      </c>
      <c r="L2345" s="4" t="s">
        <v>231</v>
      </c>
      <c r="M2345" s="8">
        <v>16</v>
      </c>
      <c r="N2345" s="5">
        <v>178.45</v>
      </c>
      <c r="O2345" s="5">
        <v>2855.2</v>
      </c>
      <c r="P2345">
        <f t="shared" si="145"/>
        <v>1</v>
      </c>
      <c r="Q2345" s="36">
        <f t="shared" si="146"/>
        <v>2855.2</v>
      </c>
      <c r="R2345">
        <f t="shared" si="147"/>
        <v>2023</v>
      </c>
    </row>
    <row r="2346" spans="1:18" x14ac:dyDescent="0.2">
      <c r="A2346" s="13">
        <v>45324</v>
      </c>
      <c r="B2346" s="13">
        <v>45324</v>
      </c>
      <c r="C2346" s="25" t="s">
        <v>398</v>
      </c>
      <c r="D2346" s="20">
        <v>0</v>
      </c>
      <c r="E2346" s="28">
        <v>2855.2</v>
      </c>
      <c r="F2346" s="22" t="s">
        <v>300</v>
      </c>
      <c r="G2346" s="14">
        <v>16</v>
      </c>
      <c r="H2346" s="40">
        <v>44993</v>
      </c>
      <c r="I2346" s="46">
        <f t="shared" si="144"/>
        <v>331</v>
      </c>
      <c r="J2346" s="1" t="s">
        <v>15</v>
      </c>
      <c r="K2346" s="4" t="s">
        <v>209</v>
      </c>
      <c r="L2346" s="4" t="s">
        <v>231</v>
      </c>
      <c r="M2346" s="8">
        <v>16</v>
      </c>
      <c r="N2346" s="5">
        <v>178.45</v>
      </c>
      <c r="O2346" s="5">
        <v>2855.2</v>
      </c>
      <c r="P2346">
        <f t="shared" si="145"/>
        <v>1</v>
      </c>
      <c r="Q2346" s="36">
        <f t="shared" si="146"/>
        <v>2855.2</v>
      </c>
      <c r="R2346">
        <f t="shared" si="147"/>
        <v>2023</v>
      </c>
    </row>
    <row r="2347" spans="1:18" x14ac:dyDescent="0.2">
      <c r="A2347" s="13">
        <v>45345</v>
      </c>
      <c r="B2347" s="13">
        <v>45345</v>
      </c>
      <c r="C2347" s="25" t="s">
        <v>398</v>
      </c>
      <c r="D2347" s="20">
        <v>0</v>
      </c>
      <c r="E2347" s="28">
        <v>3569</v>
      </c>
      <c r="F2347" s="22" t="s">
        <v>300</v>
      </c>
      <c r="G2347" s="14">
        <v>20</v>
      </c>
      <c r="H2347" s="40">
        <v>44993</v>
      </c>
      <c r="I2347" s="46">
        <f t="shared" si="144"/>
        <v>352</v>
      </c>
      <c r="J2347" s="1" t="s">
        <v>15</v>
      </c>
      <c r="K2347" s="4" t="s">
        <v>209</v>
      </c>
      <c r="L2347" s="4" t="s">
        <v>231</v>
      </c>
      <c r="M2347" s="8">
        <v>20</v>
      </c>
      <c r="N2347" s="5">
        <v>178.45</v>
      </c>
      <c r="O2347" s="5">
        <v>3569</v>
      </c>
      <c r="P2347">
        <f t="shared" si="145"/>
        <v>1</v>
      </c>
      <c r="Q2347" s="36">
        <f t="shared" si="146"/>
        <v>3569</v>
      </c>
      <c r="R2347">
        <f t="shared" si="147"/>
        <v>2023</v>
      </c>
    </row>
    <row r="2348" spans="1:18" x14ac:dyDescent="0.2">
      <c r="A2348" s="13">
        <v>45363</v>
      </c>
      <c r="B2348" s="13">
        <v>45252</v>
      </c>
      <c r="C2348" s="25" t="s">
        <v>399</v>
      </c>
      <c r="D2348" s="20">
        <v>111</v>
      </c>
      <c r="E2348" s="28">
        <v>5353.5</v>
      </c>
      <c r="F2348" s="22" t="s">
        <v>300</v>
      </c>
      <c r="G2348" s="14">
        <v>30</v>
      </c>
      <c r="H2348" s="40">
        <v>44993</v>
      </c>
      <c r="I2348" s="46">
        <f t="shared" si="144"/>
        <v>370</v>
      </c>
      <c r="J2348" s="1" t="s">
        <v>15</v>
      </c>
      <c r="K2348" s="4" t="s">
        <v>209</v>
      </c>
      <c r="L2348" s="4" t="s">
        <v>231</v>
      </c>
      <c r="M2348" s="8">
        <v>30</v>
      </c>
      <c r="N2348" s="5">
        <v>178.45</v>
      </c>
      <c r="O2348" s="5">
        <v>5353.5</v>
      </c>
      <c r="P2348">
        <f t="shared" si="145"/>
        <v>1</v>
      </c>
      <c r="Q2348" s="36">
        <f t="shared" si="146"/>
        <v>5353.5</v>
      </c>
      <c r="R2348">
        <f t="shared" si="147"/>
        <v>2023</v>
      </c>
    </row>
    <row r="2349" spans="1:18" x14ac:dyDescent="0.2">
      <c r="A2349" s="13">
        <v>45363</v>
      </c>
      <c r="B2349" s="13">
        <v>45161</v>
      </c>
      <c r="C2349" s="25" t="s">
        <v>399</v>
      </c>
      <c r="D2349" s="20">
        <v>202</v>
      </c>
      <c r="E2349" s="28">
        <v>8208.7000000000007</v>
      </c>
      <c r="F2349" s="22" t="s">
        <v>300</v>
      </c>
      <c r="G2349" s="14">
        <v>46</v>
      </c>
      <c r="H2349" s="40">
        <v>44993</v>
      </c>
      <c r="I2349" s="46">
        <f t="shared" si="144"/>
        <v>370</v>
      </c>
      <c r="J2349" s="1" t="s">
        <v>15</v>
      </c>
      <c r="K2349" s="4" t="s">
        <v>209</v>
      </c>
      <c r="L2349" s="4" t="s">
        <v>231</v>
      </c>
      <c r="M2349" s="8">
        <v>46</v>
      </c>
      <c r="N2349" s="5">
        <v>178.45</v>
      </c>
      <c r="O2349" s="5">
        <v>8208.7000000000007</v>
      </c>
      <c r="P2349">
        <f t="shared" si="145"/>
        <v>1</v>
      </c>
      <c r="Q2349" s="36">
        <f t="shared" si="146"/>
        <v>8208.6999999999989</v>
      </c>
      <c r="R2349">
        <f t="shared" si="147"/>
        <v>2023</v>
      </c>
    </row>
    <row r="2350" spans="1:18" x14ac:dyDescent="0.2">
      <c r="A2350" s="13">
        <v>45363</v>
      </c>
      <c r="B2350" s="13">
        <v>45317</v>
      </c>
      <c r="C2350" s="25" t="s">
        <v>399</v>
      </c>
      <c r="D2350" s="20">
        <v>46</v>
      </c>
      <c r="E2350" s="28">
        <v>2855.2</v>
      </c>
      <c r="F2350" s="22" t="s">
        <v>300</v>
      </c>
      <c r="G2350" s="14">
        <v>16</v>
      </c>
      <c r="H2350" s="40">
        <v>44993</v>
      </c>
      <c r="I2350" s="46">
        <f t="shared" si="144"/>
        <v>370</v>
      </c>
      <c r="J2350" s="1" t="s">
        <v>15</v>
      </c>
      <c r="K2350" s="4" t="s">
        <v>209</v>
      </c>
      <c r="L2350" s="4" t="s">
        <v>231</v>
      </c>
      <c r="M2350" s="8">
        <v>16</v>
      </c>
      <c r="N2350" s="5">
        <v>178.45</v>
      </c>
      <c r="O2350" s="5">
        <v>2855.2</v>
      </c>
      <c r="P2350">
        <f t="shared" si="145"/>
        <v>1</v>
      </c>
      <c r="Q2350" s="36">
        <f t="shared" si="146"/>
        <v>2855.2</v>
      </c>
      <c r="R2350">
        <f t="shared" si="147"/>
        <v>2023</v>
      </c>
    </row>
    <row r="2351" spans="1:18" x14ac:dyDescent="0.2">
      <c r="A2351" s="13">
        <v>45363</v>
      </c>
      <c r="B2351" s="13">
        <v>45296</v>
      </c>
      <c r="C2351" s="25" t="s">
        <v>399</v>
      </c>
      <c r="D2351" s="20">
        <v>67</v>
      </c>
      <c r="E2351" s="28">
        <v>3390.55</v>
      </c>
      <c r="F2351" s="22" t="s">
        <v>300</v>
      </c>
      <c r="G2351" s="14">
        <v>19</v>
      </c>
      <c r="H2351" s="40">
        <v>44993</v>
      </c>
      <c r="I2351" s="46">
        <f t="shared" si="144"/>
        <v>370</v>
      </c>
      <c r="J2351" s="1" t="s">
        <v>15</v>
      </c>
      <c r="K2351" s="4" t="s">
        <v>209</v>
      </c>
      <c r="L2351" s="4" t="s">
        <v>231</v>
      </c>
      <c r="M2351" s="8">
        <v>19</v>
      </c>
      <c r="N2351" s="5">
        <v>178.45</v>
      </c>
      <c r="O2351" s="5">
        <v>3390.55</v>
      </c>
      <c r="P2351">
        <f t="shared" si="145"/>
        <v>1</v>
      </c>
      <c r="Q2351" s="36">
        <f t="shared" si="146"/>
        <v>3390.5499999999997</v>
      </c>
      <c r="R2351">
        <f t="shared" si="147"/>
        <v>2023</v>
      </c>
    </row>
    <row r="2352" spans="1:18" x14ac:dyDescent="0.2">
      <c r="A2352" s="13">
        <v>45363</v>
      </c>
      <c r="B2352" s="13">
        <v>45114</v>
      </c>
      <c r="C2352" s="25" t="s">
        <v>399</v>
      </c>
      <c r="D2352" s="20">
        <v>249</v>
      </c>
      <c r="E2352" s="28">
        <v>8208.7000000000007</v>
      </c>
      <c r="F2352" s="22" t="s">
        <v>300</v>
      </c>
      <c r="G2352" s="14">
        <v>46</v>
      </c>
      <c r="H2352" s="40">
        <v>44993</v>
      </c>
      <c r="I2352" s="46">
        <f t="shared" si="144"/>
        <v>370</v>
      </c>
      <c r="J2352" s="1" t="s">
        <v>15</v>
      </c>
      <c r="K2352" s="4" t="s">
        <v>209</v>
      </c>
      <c r="L2352" s="4" t="s">
        <v>231</v>
      </c>
      <c r="M2352" s="8">
        <v>46</v>
      </c>
      <c r="N2352" s="5">
        <v>178.45</v>
      </c>
      <c r="O2352" s="5">
        <v>8208.7000000000007</v>
      </c>
      <c r="P2352">
        <f t="shared" si="145"/>
        <v>1</v>
      </c>
      <c r="Q2352" s="36">
        <f t="shared" si="146"/>
        <v>8208.6999999999989</v>
      </c>
      <c r="R2352">
        <f t="shared" si="147"/>
        <v>2023</v>
      </c>
    </row>
    <row r="2353" spans="1:18" x14ac:dyDescent="0.2">
      <c r="A2353" s="13">
        <v>45363</v>
      </c>
      <c r="B2353" s="13">
        <v>45303</v>
      </c>
      <c r="C2353" s="25" t="s">
        <v>399</v>
      </c>
      <c r="D2353" s="20">
        <v>60</v>
      </c>
      <c r="E2353" s="28">
        <v>3033.65</v>
      </c>
      <c r="F2353" s="22" t="s">
        <v>300</v>
      </c>
      <c r="G2353" s="14">
        <v>17</v>
      </c>
      <c r="H2353" s="40">
        <v>44993</v>
      </c>
      <c r="I2353" s="46">
        <f t="shared" si="144"/>
        <v>370</v>
      </c>
      <c r="J2353" s="1" t="s">
        <v>15</v>
      </c>
      <c r="K2353" s="4" t="s">
        <v>209</v>
      </c>
      <c r="L2353" s="4" t="s">
        <v>231</v>
      </c>
      <c r="M2353" s="8">
        <v>17</v>
      </c>
      <c r="N2353" s="5">
        <v>178.45</v>
      </c>
      <c r="O2353" s="5">
        <v>3033.65</v>
      </c>
      <c r="P2353">
        <f t="shared" si="145"/>
        <v>1</v>
      </c>
      <c r="Q2353" s="36">
        <f t="shared" si="146"/>
        <v>3033.6499999999996</v>
      </c>
      <c r="R2353">
        <f t="shared" si="147"/>
        <v>2023</v>
      </c>
    </row>
    <row r="2354" spans="1:18" x14ac:dyDescent="0.2">
      <c r="A2354" s="13">
        <v>45363</v>
      </c>
      <c r="B2354" s="13">
        <v>45154</v>
      </c>
      <c r="C2354" s="25" t="s">
        <v>399</v>
      </c>
      <c r="D2354" s="20">
        <v>209</v>
      </c>
      <c r="E2354" s="28">
        <v>8208.7000000000007</v>
      </c>
      <c r="F2354" s="22" t="s">
        <v>300</v>
      </c>
      <c r="G2354" s="14">
        <v>46</v>
      </c>
      <c r="H2354" s="40">
        <v>44993</v>
      </c>
      <c r="I2354" s="46">
        <f t="shared" si="144"/>
        <v>370</v>
      </c>
      <c r="J2354" s="1" t="s">
        <v>15</v>
      </c>
      <c r="K2354" s="4" t="s">
        <v>209</v>
      </c>
      <c r="L2354" s="4" t="s">
        <v>231</v>
      </c>
      <c r="M2354" s="8">
        <v>46</v>
      </c>
      <c r="N2354" s="5">
        <v>178.45</v>
      </c>
      <c r="O2354" s="5">
        <v>8208.7000000000007</v>
      </c>
      <c r="P2354">
        <f t="shared" si="145"/>
        <v>1</v>
      </c>
      <c r="Q2354" s="36">
        <f t="shared" si="146"/>
        <v>8208.6999999999989</v>
      </c>
      <c r="R2354">
        <f t="shared" si="147"/>
        <v>2023</v>
      </c>
    </row>
    <row r="2355" spans="1:18" x14ac:dyDescent="0.2">
      <c r="A2355" s="13">
        <v>45363</v>
      </c>
      <c r="B2355" s="13">
        <v>45217</v>
      </c>
      <c r="C2355" s="25" t="s">
        <v>399</v>
      </c>
      <c r="D2355" s="20">
        <v>146</v>
      </c>
      <c r="E2355" s="28">
        <v>5353.5</v>
      </c>
      <c r="F2355" s="22" t="s">
        <v>300</v>
      </c>
      <c r="G2355" s="14">
        <v>30</v>
      </c>
      <c r="H2355" s="40">
        <v>44993</v>
      </c>
      <c r="I2355" s="46">
        <f t="shared" si="144"/>
        <v>370</v>
      </c>
      <c r="J2355" s="1" t="s">
        <v>15</v>
      </c>
      <c r="K2355" s="4" t="s">
        <v>209</v>
      </c>
      <c r="L2355" s="4" t="s">
        <v>231</v>
      </c>
      <c r="M2355" s="8">
        <v>30</v>
      </c>
      <c r="N2355" s="5">
        <v>178.45</v>
      </c>
      <c r="O2355" s="5">
        <v>5353.5</v>
      </c>
      <c r="P2355">
        <f t="shared" si="145"/>
        <v>1</v>
      </c>
      <c r="Q2355" s="36">
        <f t="shared" si="146"/>
        <v>5353.5</v>
      </c>
      <c r="R2355">
        <f t="shared" si="147"/>
        <v>2023</v>
      </c>
    </row>
    <row r="2356" spans="1:18" x14ac:dyDescent="0.2">
      <c r="A2356" s="13">
        <v>45363</v>
      </c>
      <c r="B2356" s="13">
        <v>45205</v>
      </c>
      <c r="C2356" s="25" t="s">
        <v>399</v>
      </c>
      <c r="D2356" s="20">
        <v>158</v>
      </c>
      <c r="E2356" s="28">
        <v>5353.5</v>
      </c>
      <c r="F2356" s="22" t="s">
        <v>300</v>
      </c>
      <c r="G2356" s="14">
        <v>30</v>
      </c>
      <c r="H2356" s="40">
        <v>44993</v>
      </c>
      <c r="I2356" s="46">
        <f t="shared" si="144"/>
        <v>370</v>
      </c>
      <c r="J2356" s="1" t="s">
        <v>15</v>
      </c>
      <c r="K2356" s="4" t="s">
        <v>209</v>
      </c>
      <c r="L2356" s="4" t="s">
        <v>231</v>
      </c>
      <c r="M2356" s="8">
        <v>30</v>
      </c>
      <c r="N2356" s="5">
        <v>178.45</v>
      </c>
      <c r="O2356" s="5">
        <v>5353.5</v>
      </c>
      <c r="P2356">
        <f t="shared" si="145"/>
        <v>1</v>
      </c>
      <c r="Q2356" s="36">
        <f t="shared" si="146"/>
        <v>5353.5</v>
      </c>
      <c r="R2356">
        <f t="shared" si="147"/>
        <v>2023</v>
      </c>
    </row>
    <row r="2357" spans="1:18" x14ac:dyDescent="0.2">
      <c r="A2357" s="13">
        <v>45363</v>
      </c>
      <c r="B2357" s="13">
        <v>45170</v>
      </c>
      <c r="C2357" s="25" t="s">
        <v>399</v>
      </c>
      <c r="D2357" s="20">
        <v>193</v>
      </c>
      <c r="E2357" s="28">
        <v>4818.1499999999996</v>
      </c>
      <c r="F2357" s="22" t="s">
        <v>300</v>
      </c>
      <c r="G2357" s="14">
        <v>27</v>
      </c>
      <c r="H2357" s="40">
        <v>44993</v>
      </c>
      <c r="I2357" s="46">
        <f t="shared" si="144"/>
        <v>370</v>
      </c>
      <c r="J2357" s="1" t="s">
        <v>15</v>
      </c>
      <c r="K2357" s="4" t="s">
        <v>209</v>
      </c>
      <c r="L2357" s="4" t="s">
        <v>231</v>
      </c>
      <c r="M2357" s="8">
        <v>27</v>
      </c>
      <c r="N2357" s="5">
        <v>178.45</v>
      </c>
      <c r="O2357" s="5">
        <v>4818.1499999999996</v>
      </c>
      <c r="P2357">
        <f t="shared" si="145"/>
        <v>1</v>
      </c>
      <c r="Q2357" s="36">
        <f t="shared" si="146"/>
        <v>4818.1499999999996</v>
      </c>
      <c r="R2357">
        <f t="shared" si="147"/>
        <v>2023</v>
      </c>
    </row>
    <row r="2358" spans="1:18" x14ac:dyDescent="0.2">
      <c r="A2358" s="13">
        <v>45363</v>
      </c>
      <c r="B2358" s="13">
        <v>45119</v>
      </c>
      <c r="C2358" s="25" t="s">
        <v>399</v>
      </c>
      <c r="D2358" s="20">
        <v>244</v>
      </c>
      <c r="E2358" s="28">
        <v>6067.3</v>
      </c>
      <c r="F2358" s="22" t="s">
        <v>300</v>
      </c>
      <c r="G2358" s="14">
        <v>34</v>
      </c>
      <c r="H2358" s="40">
        <v>44993</v>
      </c>
      <c r="I2358" s="46">
        <f t="shared" si="144"/>
        <v>370</v>
      </c>
      <c r="J2358" s="1" t="s">
        <v>15</v>
      </c>
      <c r="K2358" s="4" t="s">
        <v>209</v>
      </c>
      <c r="L2358" s="4" t="s">
        <v>231</v>
      </c>
      <c r="M2358" s="8">
        <v>34</v>
      </c>
      <c r="N2358" s="5">
        <v>178.45</v>
      </c>
      <c r="O2358" s="5">
        <v>6067.3</v>
      </c>
      <c r="P2358">
        <f t="shared" si="145"/>
        <v>1</v>
      </c>
      <c r="Q2358" s="36">
        <f t="shared" si="146"/>
        <v>6067.2999999999993</v>
      </c>
      <c r="R2358">
        <f t="shared" si="147"/>
        <v>2023</v>
      </c>
    </row>
    <row r="2359" spans="1:18" x14ac:dyDescent="0.2">
      <c r="A2359" s="13">
        <v>45363</v>
      </c>
      <c r="B2359" s="13">
        <v>45289</v>
      </c>
      <c r="C2359" s="25" t="s">
        <v>399</v>
      </c>
      <c r="D2359" s="20">
        <v>74</v>
      </c>
      <c r="E2359" s="28">
        <v>3390.55</v>
      </c>
      <c r="F2359" s="22" t="s">
        <v>300</v>
      </c>
      <c r="G2359" s="14">
        <v>19</v>
      </c>
      <c r="H2359" s="40">
        <v>44993</v>
      </c>
      <c r="I2359" s="46">
        <f t="shared" si="144"/>
        <v>370</v>
      </c>
      <c r="J2359" s="1" t="s">
        <v>15</v>
      </c>
      <c r="K2359" s="4" t="s">
        <v>209</v>
      </c>
      <c r="L2359" s="4" t="s">
        <v>231</v>
      </c>
      <c r="M2359" s="8">
        <v>19</v>
      </c>
      <c r="N2359" s="5">
        <v>178.45</v>
      </c>
      <c r="O2359" s="5">
        <v>3390.55</v>
      </c>
      <c r="P2359">
        <f t="shared" si="145"/>
        <v>1</v>
      </c>
      <c r="Q2359" s="36">
        <f t="shared" si="146"/>
        <v>3390.5499999999997</v>
      </c>
      <c r="R2359">
        <f t="shared" si="147"/>
        <v>2023</v>
      </c>
    </row>
    <row r="2360" spans="1:18" x14ac:dyDescent="0.2">
      <c r="A2360" s="13">
        <v>45363</v>
      </c>
      <c r="B2360" s="13">
        <v>45189</v>
      </c>
      <c r="C2360" s="25" t="s">
        <v>399</v>
      </c>
      <c r="D2360" s="20">
        <v>174</v>
      </c>
      <c r="E2360" s="28">
        <v>6424.2</v>
      </c>
      <c r="F2360" s="22" t="s">
        <v>300</v>
      </c>
      <c r="G2360" s="14">
        <v>36</v>
      </c>
      <c r="H2360" s="40">
        <v>44993</v>
      </c>
      <c r="I2360" s="46">
        <f t="shared" si="144"/>
        <v>370</v>
      </c>
      <c r="J2360" s="1" t="s">
        <v>15</v>
      </c>
      <c r="K2360" s="4" t="s">
        <v>209</v>
      </c>
      <c r="L2360" s="4" t="s">
        <v>231</v>
      </c>
      <c r="M2360" s="8">
        <v>36</v>
      </c>
      <c r="N2360" s="5">
        <v>178.45</v>
      </c>
      <c r="O2360" s="5">
        <v>6424.2</v>
      </c>
      <c r="P2360">
        <f t="shared" si="145"/>
        <v>1</v>
      </c>
      <c r="Q2360" s="36">
        <f t="shared" si="146"/>
        <v>6424.2</v>
      </c>
      <c r="R2360">
        <f t="shared" si="147"/>
        <v>2023</v>
      </c>
    </row>
    <row r="2361" spans="1:18" x14ac:dyDescent="0.2">
      <c r="A2361" s="13">
        <v>45363</v>
      </c>
      <c r="B2361" s="13">
        <v>45338</v>
      </c>
      <c r="C2361" s="25" t="s">
        <v>399</v>
      </c>
      <c r="D2361" s="20">
        <v>25</v>
      </c>
      <c r="E2361" s="28">
        <v>2855.2</v>
      </c>
      <c r="F2361" s="22" t="s">
        <v>300</v>
      </c>
      <c r="G2361" s="14">
        <v>16</v>
      </c>
      <c r="H2361" s="40">
        <v>44993</v>
      </c>
      <c r="I2361" s="46">
        <f t="shared" si="144"/>
        <v>370</v>
      </c>
      <c r="J2361" s="1" t="s">
        <v>15</v>
      </c>
      <c r="K2361" s="4" t="s">
        <v>209</v>
      </c>
      <c r="L2361" s="4" t="s">
        <v>231</v>
      </c>
      <c r="M2361" s="8">
        <v>16</v>
      </c>
      <c r="N2361" s="5">
        <v>178.45</v>
      </c>
      <c r="O2361" s="5">
        <v>2855.2</v>
      </c>
      <c r="P2361">
        <f t="shared" si="145"/>
        <v>1</v>
      </c>
      <c r="Q2361" s="36">
        <f t="shared" si="146"/>
        <v>2855.2</v>
      </c>
      <c r="R2361">
        <f t="shared" si="147"/>
        <v>2023</v>
      </c>
    </row>
    <row r="2362" spans="1:18" x14ac:dyDescent="0.2">
      <c r="A2362" s="13">
        <v>45363</v>
      </c>
      <c r="B2362" s="13">
        <v>45149</v>
      </c>
      <c r="C2362" s="25" t="s">
        <v>399</v>
      </c>
      <c r="D2362" s="20">
        <v>214</v>
      </c>
      <c r="E2362" s="28">
        <v>8208.7000000000007</v>
      </c>
      <c r="F2362" s="22" t="s">
        <v>300</v>
      </c>
      <c r="G2362" s="14">
        <v>46</v>
      </c>
      <c r="H2362" s="40">
        <v>44993</v>
      </c>
      <c r="I2362" s="46">
        <f t="shared" si="144"/>
        <v>370</v>
      </c>
      <c r="J2362" s="1" t="s">
        <v>15</v>
      </c>
      <c r="K2362" s="4" t="s">
        <v>209</v>
      </c>
      <c r="L2362" s="4" t="s">
        <v>231</v>
      </c>
      <c r="M2362" s="8">
        <v>46</v>
      </c>
      <c r="N2362" s="5">
        <v>178.45</v>
      </c>
      <c r="O2362" s="5">
        <v>8208.7000000000007</v>
      </c>
      <c r="P2362">
        <f t="shared" si="145"/>
        <v>1</v>
      </c>
      <c r="Q2362" s="36">
        <f t="shared" si="146"/>
        <v>8208.6999999999989</v>
      </c>
      <c r="R2362">
        <f t="shared" si="147"/>
        <v>2023</v>
      </c>
    </row>
    <row r="2363" spans="1:18" x14ac:dyDescent="0.2">
      <c r="A2363" s="13">
        <v>45363</v>
      </c>
      <c r="B2363" s="13">
        <v>45203</v>
      </c>
      <c r="C2363" s="25" t="s">
        <v>399</v>
      </c>
      <c r="D2363" s="20">
        <v>160</v>
      </c>
      <c r="E2363" s="28">
        <v>5353.5</v>
      </c>
      <c r="F2363" s="22" t="s">
        <v>300</v>
      </c>
      <c r="G2363" s="14">
        <v>30</v>
      </c>
      <c r="H2363" s="40">
        <v>44993</v>
      </c>
      <c r="I2363" s="46">
        <f t="shared" si="144"/>
        <v>370</v>
      </c>
      <c r="J2363" s="1" t="s">
        <v>15</v>
      </c>
      <c r="K2363" s="4" t="s">
        <v>209</v>
      </c>
      <c r="L2363" s="4" t="s">
        <v>231</v>
      </c>
      <c r="M2363" s="8">
        <v>30</v>
      </c>
      <c r="N2363" s="5">
        <v>178.45</v>
      </c>
      <c r="O2363" s="5">
        <v>5353.5</v>
      </c>
      <c r="P2363">
        <f t="shared" si="145"/>
        <v>1</v>
      </c>
      <c r="Q2363" s="36">
        <f t="shared" si="146"/>
        <v>5353.5</v>
      </c>
      <c r="R2363">
        <f t="shared" si="147"/>
        <v>2023</v>
      </c>
    </row>
    <row r="2364" spans="1:18" x14ac:dyDescent="0.2">
      <c r="A2364" s="13">
        <v>45363</v>
      </c>
      <c r="B2364" s="13">
        <v>45259</v>
      </c>
      <c r="C2364" s="25" t="s">
        <v>399</v>
      </c>
      <c r="D2364" s="20">
        <v>104</v>
      </c>
      <c r="E2364" s="28">
        <v>5353.5</v>
      </c>
      <c r="F2364" s="22" t="s">
        <v>300</v>
      </c>
      <c r="G2364" s="14">
        <v>30</v>
      </c>
      <c r="H2364" s="40">
        <v>44993</v>
      </c>
      <c r="I2364" s="46">
        <f t="shared" si="144"/>
        <v>370</v>
      </c>
      <c r="J2364" s="1" t="s">
        <v>15</v>
      </c>
      <c r="K2364" s="4" t="s">
        <v>209</v>
      </c>
      <c r="L2364" s="4" t="s">
        <v>231</v>
      </c>
      <c r="M2364" s="8">
        <v>30</v>
      </c>
      <c r="N2364" s="5">
        <v>178.45</v>
      </c>
      <c r="O2364" s="5">
        <v>5353.5</v>
      </c>
      <c r="P2364">
        <f t="shared" si="145"/>
        <v>1</v>
      </c>
      <c r="Q2364" s="36">
        <f t="shared" si="146"/>
        <v>5353.5</v>
      </c>
      <c r="R2364">
        <f t="shared" si="147"/>
        <v>2023</v>
      </c>
    </row>
    <row r="2365" spans="1:18" x14ac:dyDescent="0.2">
      <c r="A2365" s="13">
        <v>45363</v>
      </c>
      <c r="B2365" s="13">
        <v>45224</v>
      </c>
      <c r="C2365" s="25" t="s">
        <v>399</v>
      </c>
      <c r="D2365" s="20">
        <v>139</v>
      </c>
      <c r="E2365" s="28">
        <v>5353.5</v>
      </c>
      <c r="F2365" s="22" t="s">
        <v>300</v>
      </c>
      <c r="G2365" s="14">
        <v>30</v>
      </c>
      <c r="H2365" s="40">
        <v>44993</v>
      </c>
      <c r="I2365" s="46">
        <f t="shared" si="144"/>
        <v>370</v>
      </c>
      <c r="J2365" s="1" t="s">
        <v>15</v>
      </c>
      <c r="K2365" s="4" t="s">
        <v>209</v>
      </c>
      <c r="L2365" s="4" t="s">
        <v>231</v>
      </c>
      <c r="M2365" s="8">
        <v>30</v>
      </c>
      <c r="N2365" s="5">
        <v>178.45</v>
      </c>
      <c r="O2365" s="5">
        <v>5353.5</v>
      </c>
      <c r="P2365">
        <f t="shared" si="145"/>
        <v>1</v>
      </c>
      <c r="Q2365" s="36">
        <f t="shared" si="146"/>
        <v>5353.5</v>
      </c>
      <c r="R2365">
        <f t="shared" si="147"/>
        <v>2023</v>
      </c>
    </row>
    <row r="2366" spans="1:18" x14ac:dyDescent="0.2">
      <c r="A2366" s="13">
        <v>45373</v>
      </c>
      <c r="B2366" s="13">
        <v>45373</v>
      </c>
      <c r="C2366" s="25" t="s">
        <v>398</v>
      </c>
      <c r="D2366" s="20">
        <v>0</v>
      </c>
      <c r="E2366" s="28">
        <v>9279.4</v>
      </c>
      <c r="F2366" s="22" t="s">
        <v>300</v>
      </c>
      <c r="G2366" s="14">
        <v>52</v>
      </c>
      <c r="H2366" s="40">
        <v>44993</v>
      </c>
      <c r="I2366" s="46">
        <f t="shared" si="144"/>
        <v>380</v>
      </c>
      <c r="J2366" s="1" t="s">
        <v>15</v>
      </c>
      <c r="K2366" s="4" t="s">
        <v>209</v>
      </c>
      <c r="L2366" s="4" t="s">
        <v>231</v>
      </c>
      <c r="M2366" s="8">
        <v>52</v>
      </c>
      <c r="N2366" s="5">
        <v>178.45</v>
      </c>
      <c r="O2366" s="5">
        <v>9279.4</v>
      </c>
      <c r="P2366">
        <f t="shared" si="145"/>
        <v>1</v>
      </c>
      <c r="Q2366" s="36">
        <f t="shared" si="146"/>
        <v>9279.4</v>
      </c>
      <c r="R2366">
        <f t="shared" si="147"/>
        <v>2023</v>
      </c>
    </row>
    <row r="2367" spans="1:18" x14ac:dyDescent="0.2">
      <c r="A2367" s="13">
        <v>45405</v>
      </c>
      <c r="B2367" s="13">
        <v>45266</v>
      </c>
      <c r="C2367" s="25" t="s">
        <v>399</v>
      </c>
      <c r="D2367" s="20">
        <v>139</v>
      </c>
      <c r="E2367" s="28">
        <v>5353.5</v>
      </c>
      <c r="F2367" s="22" t="s">
        <v>300</v>
      </c>
      <c r="G2367" s="14">
        <v>30</v>
      </c>
      <c r="H2367" s="40">
        <v>44993</v>
      </c>
      <c r="I2367" s="46">
        <f t="shared" si="144"/>
        <v>412</v>
      </c>
      <c r="J2367" s="1" t="s">
        <v>15</v>
      </c>
      <c r="K2367" s="4" t="s">
        <v>209</v>
      </c>
      <c r="L2367" s="4" t="s">
        <v>231</v>
      </c>
      <c r="M2367" s="8">
        <v>30</v>
      </c>
      <c r="N2367" s="5">
        <v>178.45</v>
      </c>
      <c r="O2367" s="5">
        <v>5353.5</v>
      </c>
      <c r="P2367">
        <f t="shared" si="145"/>
        <v>1</v>
      </c>
      <c r="Q2367" s="36">
        <f t="shared" si="146"/>
        <v>5353.5</v>
      </c>
      <c r="R2367">
        <f t="shared" si="147"/>
        <v>2023</v>
      </c>
    </row>
    <row r="2368" spans="1:18" x14ac:dyDescent="0.2">
      <c r="A2368" s="13">
        <v>45551</v>
      </c>
      <c r="B2368" s="13">
        <v>44965</v>
      </c>
      <c r="C2368" s="25" t="s">
        <v>399</v>
      </c>
      <c r="D2368" s="20">
        <v>586</v>
      </c>
      <c r="E2368" s="28">
        <v>1536.7</v>
      </c>
      <c r="F2368" s="22" t="s">
        <v>301</v>
      </c>
      <c r="G2368" s="14">
        <v>22</v>
      </c>
      <c r="H2368" s="40">
        <v>44460</v>
      </c>
      <c r="I2368" s="46">
        <f t="shared" si="144"/>
        <v>1091</v>
      </c>
      <c r="J2368" s="1" t="s">
        <v>15</v>
      </c>
      <c r="K2368" s="4" t="s">
        <v>209</v>
      </c>
      <c r="L2368" s="4" t="s">
        <v>231</v>
      </c>
      <c r="M2368" s="8">
        <v>22</v>
      </c>
      <c r="N2368" s="5">
        <v>69.849999999999994</v>
      </c>
      <c r="O2368" s="5">
        <v>1536.7</v>
      </c>
      <c r="P2368">
        <f t="shared" si="145"/>
        <v>1</v>
      </c>
      <c r="Q2368" s="36">
        <f t="shared" si="146"/>
        <v>1536.6999999999998</v>
      </c>
      <c r="R2368">
        <f t="shared" si="147"/>
        <v>2021</v>
      </c>
    </row>
    <row r="2369" spans="1:18" x14ac:dyDescent="0.2">
      <c r="A2369" s="13" t="s">
        <v>13</v>
      </c>
      <c r="B2369" s="13">
        <v>45133</v>
      </c>
      <c r="C2369" s="25" t="s">
        <v>399</v>
      </c>
      <c r="D2369" s="20" t="e">
        <v>#VALUE!</v>
      </c>
      <c r="E2369" s="28">
        <v>0</v>
      </c>
      <c r="F2369" s="22" t="s">
        <v>301</v>
      </c>
      <c r="G2369" s="14">
        <v>816</v>
      </c>
      <c r="H2369" s="40">
        <v>44603</v>
      </c>
      <c r="I2369" s="46" t="e">
        <f t="shared" si="144"/>
        <v>#VALUE!</v>
      </c>
      <c r="J2369" s="1" t="s">
        <v>15</v>
      </c>
      <c r="K2369" s="4" t="s">
        <v>209</v>
      </c>
      <c r="L2369" s="4" t="s">
        <v>231</v>
      </c>
      <c r="M2369" s="8">
        <v>816</v>
      </c>
      <c r="N2369" s="5">
        <v>69.849999999999994</v>
      </c>
      <c r="O2369" s="5">
        <v>56997.599999999999</v>
      </c>
      <c r="P2369">
        <f t="shared" si="145"/>
        <v>1</v>
      </c>
      <c r="Q2369" s="36">
        <f t="shared" si="146"/>
        <v>56997.599999999999</v>
      </c>
      <c r="R2369">
        <f t="shared" si="147"/>
        <v>2022</v>
      </c>
    </row>
    <row r="2370" spans="1:18" x14ac:dyDescent="0.2">
      <c r="A2370" s="13">
        <v>45191</v>
      </c>
      <c r="B2370" s="13">
        <v>45191</v>
      </c>
      <c r="C2370" s="25" t="s">
        <v>398</v>
      </c>
      <c r="D2370" s="20">
        <v>0</v>
      </c>
      <c r="E2370" s="28">
        <v>5937.25</v>
      </c>
      <c r="F2370" s="22" t="s">
        <v>301</v>
      </c>
      <c r="G2370" s="14">
        <v>85</v>
      </c>
      <c r="H2370" s="40">
        <v>44638</v>
      </c>
      <c r="I2370" s="46">
        <f t="shared" si="144"/>
        <v>553</v>
      </c>
      <c r="J2370" s="1" t="s">
        <v>15</v>
      </c>
      <c r="K2370" s="4" t="s">
        <v>209</v>
      </c>
      <c r="L2370" s="4" t="s">
        <v>231</v>
      </c>
      <c r="M2370" s="8">
        <v>85</v>
      </c>
      <c r="N2370" s="5">
        <v>69.849999999999994</v>
      </c>
      <c r="O2370" s="5">
        <v>5937.25</v>
      </c>
      <c r="P2370">
        <f t="shared" si="145"/>
        <v>1</v>
      </c>
      <c r="Q2370" s="36">
        <f t="shared" si="146"/>
        <v>5937.2499999999991</v>
      </c>
      <c r="R2370">
        <f t="shared" si="147"/>
        <v>2022</v>
      </c>
    </row>
    <row r="2371" spans="1:18" x14ac:dyDescent="0.2">
      <c r="A2371" s="13">
        <v>45198</v>
      </c>
      <c r="B2371" s="13">
        <v>45198</v>
      </c>
      <c r="C2371" s="25" t="s">
        <v>398</v>
      </c>
      <c r="D2371" s="20">
        <v>0</v>
      </c>
      <c r="E2371" s="28">
        <v>4610.1000000000004</v>
      </c>
      <c r="F2371" s="22" t="s">
        <v>301</v>
      </c>
      <c r="G2371" s="14">
        <v>66</v>
      </c>
      <c r="H2371" s="40">
        <v>44644</v>
      </c>
      <c r="I2371" s="46">
        <f t="shared" ref="I2371:I2434" si="148">IFERROR(A2371-H2371,"")*1</f>
        <v>554</v>
      </c>
      <c r="J2371" s="1" t="s">
        <v>15</v>
      </c>
      <c r="K2371" s="4" t="s">
        <v>209</v>
      </c>
      <c r="L2371" s="4" t="s">
        <v>231</v>
      </c>
      <c r="M2371" s="8">
        <v>66</v>
      </c>
      <c r="N2371" s="5">
        <v>69.849999999999994</v>
      </c>
      <c r="O2371" s="5">
        <v>4610.1000000000004</v>
      </c>
      <c r="P2371">
        <f t="shared" ref="P2371:P2434" si="149">IF(M2371=G2371,1,0)</f>
        <v>1</v>
      </c>
      <c r="Q2371" s="36">
        <f t="shared" ref="Q2371:Q2434" si="150">N2371*G2371</f>
        <v>4610.0999999999995</v>
      </c>
      <c r="R2371">
        <f t="shared" ref="R2371:R2434" si="151">YEAR(H2371)</f>
        <v>2022</v>
      </c>
    </row>
    <row r="2372" spans="1:18" x14ac:dyDescent="0.2">
      <c r="A2372" s="13">
        <v>45211</v>
      </c>
      <c r="B2372" s="13">
        <v>45211</v>
      </c>
      <c r="C2372" s="25" t="s">
        <v>398</v>
      </c>
      <c r="D2372" s="20">
        <v>0</v>
      </c>
      <c r="E2372" s="28">
        <v>10896.6</v>
      </c>
      <c r="F2372" s="22" t="s">
        <v>301</v>
      </c>
      <c r="G2372" s="14">
        <v>156</v>
      </c>
      <c r="H2372" s="40">
        <v>44649</v>
      </c>
      <c r="I2372" s="46">
        <f t="shared" si="148"/>
        <v>562</v>
      </c>
      <c r="J2372" s="1" t="s">
        <v>15</v>
      </c>
      <c r="K2372" s="4" t="s">
        <v>209</v>
      </c>
      <c r="L2372" s="4" t="s">
        <v>231</v>
      </c>
      <c r="M2372" s="8">
        <v>156</v>
      </c>
      <c r="N2372" s="5">
        <v>69.849999999999994</v>
      </c>
      <c r="O2372" s="5">
        <v>10896.6</v>
      </c>
      <c r="P2372">
        <f t="shared" si="149"/>
        <v>1</v>
      </c>
      <c r="Q2372" s="36">
        <f t="shared" si="150"/>
        <v>10896.599999999999</v>
      </c>
      <c r="R2372">
        <f t="shared" si="151"/>
        <v>2022</v>
      </c>
    </row>
    <row r="2373" spans="1:18" x14ac:dyDescent="0.2">
      <c r="A2373" s="13">
        <v>45189</v>
      </c>
      <c r="B2373" s="13">
        <v>45189</v>
      </c>
      <c r="C2373" s="25" t="s">
        <v>398</v>
      </c>
      <c r="D2373" s="20">
        <v>0</v>
      </c>
      <c r="E2373" s="28">
        <v>27241.5</v>
      </c>
      <c r="F2373" s="22" t="s">
        <v>301</v>
      </c>
      <c r="G2373" s="14">
        <v>390</v>
      </c>
      <c r="H2373" s="40">
        <v>44650</v>
      </c>
      <c r="I2373" s="46">
        <f t="shared" si="148"/>
        <v>539</v>
      </c>
      <c r="J2373" s="1" t="s">
        <v>15</v>
      </c>
      <c r="K2373" s="4" t="s">
        <v>209</v>
      </c>
      <c r="L2373" s="4" t="s">
        <v>231</v>
      </c>
      <c r="M2373" s="8">
        <v>390</v>
      </c>
      <c r="N2373" s="5">
        <v>69.849999999999994</v>
      </c>
      <c r="O2373" s="5">
        <v>27241.5</v>
      </c>
      <c r="P2373">
        <f t="shared" si="149"/>
        <v>1</v>
      </c>
      <c r="Q2373" s="36">
        <f t="shared" si="150"/>
        <v>27241.499999999996</v>
      </c>
      <c r="R2373">
        <f t="shared" si="151"/>
        <v>2022</v>
      </c>
    </row>
    <row r="2374" spans="1:18" x14ac:dyDescent="0.2">
      <c r="A2374" s="13">
        <v>45212</v>
      </c>
      <c r="B2374" s="13">
        <v>45212</v>
      </c>
      <c r="C2374" s="25" t="s">
        <v>398</v>
      </c>
      <c r="D2374" s="20">
        <v>0</v>
      </c>
      <c r="E2374" s="28">
        <v>16764</v>
      </c>
      <c r="F2374" s="22" t="s">
        <v>301</v>
      </c>
      <c r="G2374" s="14">
        <v>240</v>
      </c>
      <c r="H2374" s="40">
        <v>44663</v>
      </c>
      <c r="I2374" s="46">
        <f t="shared" si="148"/>
        <v>549</v>
      </c>
      <c r="J2374" s="1" t="s">
        <v>15</v>
      </c>
      <c r="K2374" s="4" t="s">
        <v>209</v>
      </c>
      <c r="L2374" s="4" t="s">
        <v>231</v>
      </c>
      <c r="M2374" s="8">
        <v>240</v>
      </c>
      <c r="N2374" s="5">
        <v>69.849999999999994</v>
      </c>
      <c r="O2374" s="5">
        <v>16764</v>
      </c>
      <c r="P2374">
        <f t="shared" si="149"/>
        <v>1</v>
      </c>
      <c r="Q2374" s="36">
        <f t="shared" si="150"/>
        <v>16764</v>
      </c>
      <c r="R2374">
        <f t="shared" si="151"/>
        <v>2022</v>
      </c>
    </row>
    <row r="2375" spans="1:18" x14ac:dyDescent="0.2">
      <c r="A2375" s="13">
        <v>45211</v>
      </c>
      <c r="B2375" s="13">
        <v>45211</v>
      </c>
      <c r="C2375" s="25" t="s">
        <v>398</v>
      </c>
      <c r="D2375" s="20">
        <v>0</v>
      </c>
      <c r="E2375" s="28">
        <v>48196.5</v>
      </c>
      <c r="F2375" s="22" t="s">
        <v>301</v>
      </c>
      <c r="G2375" s="14">
        <v>690</v>
      </c>
      <c r="H2375" s="40">
        <v>44664</v>
      </c>
      <c r="I2375" s="46">
        <f t="shared" si="148"/>
        <v>547</v>
      </c>
      <c r="J2375" s="1" t="s">
        <v>15</v>
      </c>
      <c r="K2375" s="4" t="s">
        <v>209</v>
      </c>
      <c r="L2375" s="4" t="s">
        <v>231</v>
      </c>
      <c r="M2375" s="8">
        <v>690</v>
      </c>
      <c r="N2375" s="5">
        <v>69.849999999999994</v>
      </c>
      <c r="O2375" s="5">
        <v>48196.5</v>
      </c>
      <c r="P2375">
        <f t="shared" si="149"/>
        <v>1</v>
      </c>
      <c r="Q2375" s="36">
        <f t="shared" si="150"/>
        <v>48196.499999999993</v>
      </c>
      <c r="R2375">
        <f t="shared" si="151"/>
        <v>2022</v>
      </c>
    </row>
    <row r="2376" spans="1:18" x14ac:dyDescent="0.2">
      <c r="A2376" s="13">
        <v>45220</v>
      </c>
      <c r="B2376" s="13">
        <v>45220</v>
      </c>
      <c r="C2376" s="25" t="s">
        <v>398</v>
      </c>
      <c r="D2376" s="20">
        <v>0</v>
      </c>
      <c r="E2376" s="28">
        <v>18021.3</v>
      </c>
      <c r="F2376" s="22" t="s">
        <v>301</v>
      </c>
      <c r="G2376" s="14">
        <v>258</v>
      </c>
      <c r="H2376" s="40">
        <v>44677</v>
      </c>
      <c r="I2376" s="46">
        <f t="shared" si="148"/>
        <v>543</v>
      </c>
      <c r="J2376" s="1" t="s">
        <v>15</v>
      </c>
      <c r="K2376" s="4" t="s">
        <v>209</v>
      </c>
      <c r="L2376" s="4" t="s">
        <v>231</v>
      </c>
      <c r="M2376" s="8">
        <v>258</v>
      </c>
      <c r="N2376" s="5">
        <v>69.849999999999994</v>
      </c>
      <c r="O2376" s="5">
        <v>18021.3</v>
      </c>
      <c r="P2376">
        <f t="shared" si="149"/>
        <v>1</v>
      </c>
      <c r="Q2376" s="36">
        <f t="shared" si="150"/>
        <v>18021.3</v>
      </c>
      <c r="R2376">
        <f t="shared" si="151"/>
        <v>2022</v>
      </c>
    </row>
    <row r="2377" spans="1:18" x14ac:dyDescent="0.2">
      <c r="A2377" s="13">
        <v>45226</v>
      </c>
      <c r="B2377" s="13">
        <v>45226</v>
      </c>
      <c r="C2377" s="25" t="s">
        <v>398</v>
      </c>
      <c r="D2377" s="20">
        <v>0</v>
      </c>
      <c r="E2377" s="28">
        <v>20116.8</v>
      </c>
      <c r="F2377" s="22" t="s">
        <v>301</v>
      </c>
      <c r="G2377" s="14">
        <v>288</v>
      </c>
      <c r="H2377" s="40">
        <v>44691</v>
      </c>
      <c r="I2377" s="46">
        <f t="shared" si="148"/>
        <v>535</v>
      </c>
      <c r="J2377" s="1" t="s">
        <v>15</v>
      </c>
      <c r="K2377" s="4" t="s">
        <v>209</v>
      </c>
      <c r="L2377" s="4" t="s">
        <v>231</v>
      </c>
      <c r="M2377" s="8">
        <v>288</v>
      </c>
      <c r="N2377" s="5">
        <v>69.849999999999994</v>
      </c>
      <c r="O2377" s="5">
        <v>20116.8</v>
      </c>
      <c r="P2377">
        <f t="shared" si="149"/>
        <v>1</v>
      </c>
      <c r="Q2377" s="36">
        <f t="shared" si="150"/>
        <v>20116.8</v>
      </c>
      <c r="R2377">
        <f t="shared" si="151"/>
        <v>2022</v>
      </c>
    </row>
    <row r="2378" spans="1:18" x14ac:dyDescent="0.2">
      <c r="A2378" s="13">
        <v>45267</v>
      </c>
      <c r="B2378" s="13">
        <v>45267</v>
      </c>
      <c r="C2378" s="25" t="s">
        <v>398</v>
      </c>
      <c r="D2378" s="20">
        <v>0</v>
      </c>
      <c r="E2378" s="28">
        <v>20116.8</v>
      </c>
      <c r="F2378" s="22" t="s">
        <v>301</v>
      </c>
      <c r="G2378" s="14">
        <v>288</v>
      </c>
      <c r="H2378" s="40">
        <v>44734</v>
      </c>
      <c r="I2378" s="46">
        <f t="shared" si="148"/>
        <v>533</v>
      </c>
      <c r="J2378" s="1" t="s">
        <v>15</v>
      </c>
      <c r="K2378" s="4" t="s">
        <v>209</v>
      </c>
      <c r="L2378" s="4" t="s">
        <v>231</v>
      </c>
      <c r="M2378" s="8">
        <v>288</v>
      </c>
      <c r="N2378" s="5">
        <v>69.849999999999994</v>
      </c>
      <c r="O2378" s="5">
        <v>20116.8</v>
      </c>
      <c r="P2378">
        <f t="shared" si="149"/>
        <v>1</v>
      </c>
      <c r="Q2378" s="36">
        <f t="shared" si="150"/>
        <v>20116.8</v>
      </c>
      <c r="R2378">
        <f t="shared" si="151"/>
        <v>2022</v>
      </c>
    </row>
    <row r="2379" spans="1:18" x14ac:dyDescent="0.2">
      <c r="A2379" s="13">
        <v>45267</v>
      </c>
      <c r="B2379" s="13">
        <v>45267</v>
      </c>
      <c r="C2379" s="25" t="s">
        <v>398</v>
      </c>
      <c r="D2379" s="20">
        <v>0</v>
      </c>
      <c r="E2379" s="28">
        <v>5029.2</v>
      </c>
      <c r="F2379" s="22" t="s">
        <v>301</v>
      </c>
      <c r="G2379" s="14">
        <v>72</v>
      </c>
      <c r="H2379" s="40">
        <v>44736</v>
      </c>
      <c r="I2379" s="46">
        <f t="shared" si="148"/>
        <v>531</v>
      </c>
      <c r="J2379" s="1" t="s">
        <v>15</v>
      </c>
      <c r="K2379" s="4" t="s">
        <v>209</v>
      </c>
      <c r="L2379" s="4" t="s">
        <v>231</v>
      </c>
      <c r="M2379" s="8">
        <v>72</v>
      </c>
      <c r="N2379" s="5">
        <v>69.849999999999994</v>
      </c>
      <c r="O2379" s="5">
        <v>5029.2</v>
      </c>
      <c r="P2379">
        <f t="shared" si="149"/>
        <v>1</v>
      </c>
      <c r="Q2379" s="36">
        <f t="shared" si="150"/>
        <v>5029.2</v>
      </c>
      <c r="R2379">
        <f t="shared" si="151"/>
        <v>2022</v>
      </c>
    </row>
    <row r="2380" spans="1:18" x14ac:dyDescent="0.2">
      <c r="A2380" s="13">
        <v>45191</v>
      </c>
      <c r="B2380" s="13">
        <v>45191</v>
      </c>
      <c r="C2380" s="25" t="s">
        <v>398</v>
      </c>
      <c r="D2380" s="20">
        <v>0</v>
      </c>
      <c r="E2380" s="28">
        <v>102884.4</v>
      </c>
      <c r="F2380" s="22" t="s">
        <v>267</v>
      </c>
      <c r="G2380" s="14">
        <v>120</v>
      </c>
      <c r="H2380" s="40">
        <v>44812</v>
      </c>
      <c r="I2380" s="46">
        <f t="shared" si="148"/>
        <v>379</v>
      </c>
      <c r="J2380" s="1" t="s">
        <v>15</v>
      </c>
      <c r="K2380" s="4" t="s">
        <v>209</v>
      </c>
      <c r="L2380" s="4" t="s">
        <v>231</v>
      </c>
      <c r="M2380" s="8">
        <v>120</v>
      </c>
      <c r="N2380" s="5">
        <v>857.37</v>
      </c>
      <c r="O2380" s="5">
        <v>102884.4</v>
      </c>
      <c r="P2380">
        <f t="shared" si="149"/>
        <v>1</v>
      </c>
      <c r="Q2380" s="36">
        <f t="shared" si="150"/>
        <v>102884.4</v>
      </c>
      <c r="R2380">
        <f t="shared" si="151"/>
        <v>2022</v>
      </c>
    </row>
    <row r="2381" spans="1:18" x14ac:dyDescent="0.2">
      <c r="A2381" s="13">
        <v>45201</v>
      </c>
      <c r="B2381" s="13">
        <v>45201</v>
      </c>
      <c r="C2381" s="25" t="s">
        <v>398</v>
      </c>
      <c r="D2381" s="20">
        <v>0</v>
      </c>
      <c r="E2381" s="28">
        <v>102884.4</v>
      </c>
      <c r="F2381" s="22" t="s">
        <v>267</v>
      </c>
      <c r="G2381" s="14">
        <v>120</v>
      </c>
      <c r="H2381" s="40">
        <v>44827</v>
      </c>
      <c r="I2381" s="46">
        <f t="shared" si="148"/>
        <v>374</v>
      </c>
      <c r="J2381" s="1" t="s">
        <v>15</v>
      </c>
      <c r="K2381" s="4" t="s">
        <v>209</v>
      </c>
      <c r="L2381" s="4" t="s">
        <v>231</v>
      </c>
      <c r="M2381" s="8">
        <v>120</v>
      </c>
      <c r="N2381" s="5">
        <v>857.37</v>
      </c>
      <c r="O2381" s="5">
        <v>102884.4</v>
      </c>
      <c r="P2381">
        <f t="shared" si="149"/>
        <v>1</v>
      </c>
      <c r="Q2381" s="36">
        <f t="shared" si="150"/>
        <v>102884.4</v>
      </c>
      <c r="R2381">
        <f t="shared" si="151"/>
        <v>2022</v>
      </c>
    </row>
    <row r="2382" spans="1:18" x14ac:dyDescent="0.2">
      <c r="A2382" s="13">
        <v>45208</v>
      </c>
      <c r="B2382" s="13">
        <v>45208</v>
      </c>
      <c r="C2382" s="25" t="s">
        <v>398</v>
      </c>
      <c r="D2382" s="20">
        <v>0</v>
      </c>
      <c r="E2382" s="28">
        <v>51442.2</v>
      </c>
      <c r="F2382" s="22" t="s">
        <v>267</v>
      </c>
      <c r="G2382" s="14">
        <v>60</v>
      </c>
      <c r="H2382" s="40">
        <v>44827</v>
      </c>
      <c r="I2382" s="46">
        <f t="shared" si="148"/>
        <v>381</v>
      </c>
      <c r="J2382" s="1" t="s">
        <v>15</v>
      </c>
      <c r="K2382" s="4" t="s">
        <v>209</v>
      </c>
      <c r="L2382" s="4" t="s">
        <v>231</v>
      </c>
      <c r="M2382" s="8">
        <v>60</v>
      </c>
      <c r="N2382" s="5">
        <v>857.37</v>
      </c>
      <c r="O2382" s="5">
        <v>51442.2</v>
      </c>
      <c r="P2382">
        <f t="shared" si="149"/>
        <v>1</v>
      </c>
      <c r="Q2382" s="36">
        <f t="shared" si="150"/>
        <v>51442.2</v>
      </c>
      <c r="R2382">
        <f t="shared" si="151"/>
        <v>2022</v>
      </c>
    </row>
    <row r="2383" spans="1:18" x14ac:dyDescent="0.2">
      <c r="A2383" s="13">
        <v>45218</v>
      </c>
      <c r="B2383" s="13">
        <v>45218</v>
      </c>
      <c r="C2383" s="25" t="s">
        <v>398</v>
      </c>
      <c r="D2383" s="20">
        <v>0</v>
      </c>
      <c r="E2383" s="28">
        <v>1093146.75</v>
      </c>
      <c r="F2383" s="22" t="s">
        <v>267</v>
      </c>
      <c r="G2383" s="14">
        <v>1275</v>
      </c>
      <c r="H2383" s="40">
        <v>44956</v>
      </c>
      <c r="I2383" s="46">
        <f t="shared" si="148"/>
        <v>262</v>
      </c>
      <c r="J2383" s="1" t="s">
        <v>15</v>
      </c>
      <c r="K2383" s="4" t="s">
        <v>209</v>
      </c>
      <c r="L2383" s="4" t="s">
        <v>231</v>
      </c>
      <c r="M2383" s="8">
        <v>1275</v>
      </c>
      <c r="N2383" s="5">
        <v>857.37</v>
      </c>
      <c r="O2383" s="5">
        <v>1093146.75</v>
      </c>
      <c r="P2383">
        <f t="shared" si="149"/>
        <v>1</v>
      </c>
      <c r="Q2383" s="36">
        <f t="shared" si="150"/>
        <v>1093146.75</v>
      </c>
      <c r="R2383">
        <f t="shared" si="151"/>
        <v>2023</v>
      </c>
    </row>
    <row r="2384" spans="1:18" x14ac:dyDescent="0.2">
      <c r="A2384" s="13">
        <v>45299</v>
      </c>
      <c r="B2384" s="13">
        <v>45299</v>
      </c>
      <c r="C2384" s="25" t="s">
        <v>398</v>
      </c>
      <c r="D2384" s="20">
        <v>0</v>
      </c>
      <c r="E2384" s="28">
        <v>192908.25</v>
      </c>
      <c r="F2384" s="22" t="s">
        <v>267</v>
      </c>
      <c r="G2384" s="14">
        <v>225</v>
      </c>
      <c r="H2384" s="40">
        <v>44993</v>
      </c>
      <c r="I2384" s="46">
        <f t="shared" si="148"/>
        <v>306</v>
      </c>
      <c r="J2384" s="1" t="s">
        <v>15</v>
      </c>
      <c r="K2384" s="4" t="s">
        <v>209</v>
      </c>
      <c r="L2384" s="4" t="s">
        <v>231</v>
      </c>
      <c r="M2384" s="8">
        <v>225</v>
      </c>
      <c r="N2384" s="5">
        <v>857.37</v>
      </c>
      <c r="O2384" s="5">
        <v>192908.25</v>
      </c>
      <c r="P2384">
        <f t="shared" si="149"/>
        <v>1</v>
      </c>
      <c r="Q2384" s="36">
        <f t="shared" si="150"/>
        <v>192908.25</v>
      </c>
      <c r="R2384">
        <f t="shared" si="151"/>
        <v>2023</v>
      </c>
    </row>
    <row r="2385" spans="1:18" x14ac:dyDescent="0.2">
      <c r="A2385" s="13">
        <v>45302</v>
      </c>
      <c r="B2385" s="13">
        <v>45302</v>
      </c>
      <c r="C2385" s="25" t="s">
        <v>398</v>
      </c>
      <c r="D2385" s="20">
        <v>0</v>
      </c>
      <c r="E2385" s="28">
        <v>231489.9</v>
      </c>
      <c r="F2385" s="22" t="s">
        <v>267</v>
      </c>
      <c r="G2385" s="14">
        <v>270</v>
      </c>
      <c r="H2385" s="40">
        <v>44993</v>
      </c>
      <c r="I2385" s="46">
        <f t="shared" si="148"/>
        <v>309</v>
      </c>
      <c r="J2385" s="1" t="s">
        <v>15</v>
      </c>
      <c r="K2385" s="4" t="s">
        <v>209</v>
      </c>
      <c r="L2385" s="4" t="s">
        <v>231</v>
      </c>
      <c r="M2385" s="8">
        <v>270</v>
      </c>
      <c r="N2385" s="5">
        <v>857.37</v>
      </c>
      <c r="O2385" s="5">
        <v>231489.9</v>
      </c>
      <c r="P2385">
        <f t="shared" si="149"/>
        <v>1</v>
      </c>
      <c r="Q2385" s="36">
        <f t="shared" si="150"/>
        <v>231489.9</v>
      </c>
      <c r="R2385">
        <f t="shared" si="151"/>
        <v>2023</v>
      </c>
    </row>
    <row r="2386" spans="1:18" x14ac:dyDescent="0.2">
      <c r="A2386" s="13">
        <v>45309</v>
      </c>
      <c r="B2386" s="13">
        <v>45309</v>
      </c>
      <c r="C2386" s="25" t="s">
        <v>398</v>
      </c>
      <c r="D2386" s="20">
        <v>0</v>
      </c>
      <c r="E2386" s="28">
        <v>64302.75</v>
      </c>
      <c r="F2386" s="22" t="s">
        <v>267</v>
      </c>
      <c r="G2386" s="14">
        <v>75</v>
      </c>
      <c r="H2386" s="40">
        <v>44993</v>
      </c>
      <c r="I2386" s="46">
        <f t="shared" si="148"/>
        <v>316</v>
      </c>
      <c r="J2386" s="1" t="s">
        <v>15</v>
      </c>
      <c r="K2386" s="4" t="s">
        <v>209</v>
      </c>
      <c r="L2386" s="4" t="s">
        <v>231</v>
      </c>
      <c r="M2386" s="8">
        <v>75</v>
      </c>
      <c r="N2386" s="5">
        <v>857.37</v>
      </c>
      <c r="O2386" s="5">
        <v>64302.75</v>
      </c>
      <c r="P2386">
        <f t="shared" si="149"/>
        <v>1</v>
      </c>
      <c r="Q2386" s="36">
        <f t="shared" si="150"/>
        <v>64302.75</v>
      </c>
      <c r="R2386">
        <f t="shared" si="151"/>
        <v>2023</v>
      </c>
    </row>
    <row r="2387" spans="1:18" x14ac:dyDescent="0.2">
      <c r="A2387" s="13">
        <v>45316</v>
      </c>
      <c r="B2387" s="13">
        <v>45316</v>
      </c>
      <c r="C2387" s="25" t="s">
        <v>398</v>
      </c>
      <c r="D2387" s="20">
        <v>0</v>
      </c>
      <c r="E2387" s="28">
        <v>244350.45</v>
      </c>
      <c r="F2387" s="22" t="s">
        <v>267</v>
      </c>
      <c r="G2387" s="14">
        <v>285</v>
      </c>
      <c r="H2387" s="40">
        <v>44993</v>
      </c>
      <c r="I2387" s="46">
        <f t="shared" si="148"/>
        <v>323</v>
      </c>
      <c r="J2387" s="1" t="s">
        <v>15</v>
      </c>
      <c r="K2387" s="4" t="s">
        <v>209</v>
      </c>
      <c r="L2387" s="4" t="s">
        <v>231</v>
      </c>
      <c r="M2387" s="8">
        <v>285</v>
      </c>
      <c r="N2387" s="5">
        <v>857.37</v>
      </c>
      <c r="O2387" s="5">
        <v>244350.45</v>
      </c>
      <c r="P2387">
        <f t="shared" si="149"/>
        <v>1</v>
      </c>
      <c r="Q2387" s="36">
        <f t="shared" si="150"/>
        <v>244350.45</v>
      </c>
      <c r="R2387">
        <f t="shared" si="151"/>
        <v>2023</v>
      </c>
    </row>
    <row r="2388" spans="1:18" x14ac:dyDescent="0.2">
      <c r="A2388" s="13">
        <v>45323</v>
      </c>
      <c r="B2388" s="13">
        <v>45323</v>
      </c>
      <c r="C2388" s="25" t="s">
        <v>398</v>
      </c>
      <c r="D2388" s="20">
        <v>0</v>
      </c>
      <c r="E2388" s="28">
        <v>231489.9</v>
      </c>
      <c r="F2388" s="22" t="s">
        <v>267</v>
      </c>
      <c r="G2388" s="14">
        <v>270</v>
      </c>
      <c r="H2388" s="40">
        <v>44993</v>
      </c>
      <c r="I2388" s="46">
        <f t="shared" si="148"/>
        <v>330</v>
      </c>
      <c r="J2388" s="1" t="s">
        <v>15</v>
      </c>
      <c r="K2388" s="4" t="s">
        <v>209</v>
      </c>
      <c r="L2388" s="4" t="s">
        <v>231</v>
      </c>
      <c r="M2388" s="8">
        <v>270</v>
      </c>
      <c r="N2388" s="5">
        <v>857.37</v>
      </c>
      <c r="O2388" s="5">
        <v>231489.9</v>
      </c>
      <c r="P2388">
        <f t="shared" si="149"/>
        <v>1</v>
      </c>
      <c r="Q2388" s="36">
        <f t="shared" si="150"/>
        <v>231489.9</v>
      </c>
      <c r="R2388">
        <f t="shared" si="151"/>
        <v>2023</v>
      </c>
    </row>
    <row r="2389" spans="1:18" x14ac:dyDescent="0.2">
      <c r="A2389" s="13">
        <v>45330</v>
      </c>
      <c r="B2389" s="13">
        <v>45330</v>
      </c>
      <c r="C2389" s="25" t="s">
        <v>398</v>
      </c>
      <c r="D2389" s="20">
        <v>0</v>
      </c>
      <c r="E2389" s="28">
        <v>231489.9</v>
      </c>
      <c r="F2389" s="22" t="s">
        <v>267</v>
      </c>
      <c r="G2389" s="14">
        <v>270</v>
      </c>
      <c r="H2389" s="40">
        <v>44993</v>
      </c>
      <c r="I2389" s="46">
        <f t="shared" si="148"/>
        <v>337</v>
      </c>
      <c r="J2389" s="1" t="s">
        <v>15</v>
      </c>
      <c r="K2389" s="4" t="s">
        <v>209</v>
      </c>
      <c r="L2389" s="4" t="s">
        <v>231</v>
      </c>
      <c r="M2389" s="8">
        <v>270</v>
      </c>
      <c r="N2389" s="5">
        <v>857.37</v>
      </c>
      <c r="O2389" s="5">
        <v>231489.9</v>
      </c>
      <c r="P2389">
        <f t="shared" si="149"/>
        <v>1</v>
      </c>
      <c r="Q2389" s="36">
        <f t="shared" si="150"/>
        <v>231489.9</v>
      </c>
      <c r="R2389">
        <f t="shared" si="151"/>
        <v>2023</v>
      </c>
    </row>
    <row r="2390" spans="1:18" x14ac:dyDescent="0.2">
      <c r="A2390" s="13">
        <v>45350</v>
      </c>
      <c r="B2390" s="13">
        <v>45350</v>
      </c>
      <c r="C2390" s="25" t="s">
        <v>398</v>
      </c>
      <c r="D2390" s="20">
        <v>0</v>
      </c>
      <c r="E2390" s="28">
        <v>51442.2</v>
      </c>
      <c r="F2390" s="22" t="s">
        <v>267</v>
      </c>
      <c r="G2390" s="14">
        <v>60</v>
      </c>
      <c r="H2390" s="40">
        <v>45007</v>
      </c>
      <c r="I2390" s="46">
        <f t="shared" si="148"/>
        <v>343</v>
      </c>
      <c r="J2390" s="1" t="s">
        <v>15</v>
      </c>
      <c r="K2390" s="4" t="s">
        <v>209</v>
      </c>
      <c r="L2390" s="4" t="s">
        <v>231</v>
      </c>
      <c r="M2390" s="8">
        <v>60</v>
      </c>
      <c r="N2390" s="5">
        <v>857.37</v>
      </c>
      <c r="O2390" s="5">
        <v>51442.2</v>
      </c>
      <c r="P2390">
        <f t="shared" si="149"/>
        <v>1</v>
      </c>
      <c r="Q2390" s="36">
        <f t="shared" si="150"/>
        <v>51442.2</v>
      </c>
      <c r="R2390">
        <f t="shared" si="151"/>
        <v>2023</v>
      </c>
    </row>
    <row r="2391" spans="1:18" x14ac:dyDescent="0.2">
      <c r="A2391" s="13">
        <v>45351</v>
      </c>
      <c r="B2391" s="13">
        <v>45351</v>
      </c>
      <c r="C2391" s="25" t="s">
        <v>398</v>
      </c>
      <c r="D2391" s="20">
        <v>0</v>
      </c>
      <c r="E2391" s="28">
        <v>102884.4</v>
      </c>
      <c r="F2391" s="22" t="s">
        <v>267</v>
      </c>
      <c r="G2391" s="14">
        <v>120</v>
      </c>
      <c r="H2391" s="40">
        <v>45007</v>
      </c>
      <c r="I2391" s="46">
        <f t="shared" si="148"/>
        <v>344</v>
      </c>
      <c r="J2391" s="1" t="s">
        <v>15</v>
      </c>
      <c r="K2391" s="4" t="s">
        <v>209</v>
      </c>
      <c r="L2391" s="4" t="s">
        <v>231</v>
      </c>
      <c r="M2391" s="8">
        <v>120</v>
      </c>
      <c r="N2391" s="5">
        <v>857.37</v>
      </c>
      <c r="O2391" s="5">
        <v>102884.4</v>
      </c>
      <c r="P2391">
        <f t="shared" si="149"/>
        <v>1</v>
      </c>
      <c r="Q2391" s="36">
        <f t="shared" si="150"/>
        <v>102884.4</v>
      </c>
      <c r="R2391">
        <f t="shared" si="151"/>
        <v>2023</v>
      </c>
    </row>
    <row r="2392" spans="1:18" x14ac:dyDescent="0.2">
      <c r="A2392" s="13">
        <v>45351</v>
      </c>
      <c r="B2392" s="13">
        <v>45351</v>
      </c>
      <c r="C2392" s="25" t="s">
        <v>398</v>
      </c>
      <c r="D2392" s="20">
        <v>0</v>
      </c>
      <c r="E2392" s="28">
        <v>38581.65</v>
      </c>
      <c r="F2392" s="22" t="s">
        <v>267</v>
      </c>
      <c r="G2392" s="14">
        <v>45</v>
      </c>
      <c r="H2392" s="40">
        <v>45013</v>
      </c>
      <c r="I2392" s="46">
        <f t="shared" si="148"/>
        <v>338</v>
      </c>
      <c r="J2392" s="1" t="s">
        <v>15</v>
      </c>
      <c r="K2392" s="4" t="s">
        <v>209</v>
      </c>
      <c r="L2392" s="4" t="s">
        <v>231</v>
      </c>
      <c r="M2392" s="8">
        <v>45</v>
      </c>
      <c r="N2392" s="5">
        <v>857.37</v>
      </c>
      <c r="O2392" s="5">
        <v>38581.65</v>
      </c>
      <c r="P2392">
        <f t="shared" si="149"/>
        <v>1</v>
      </c>
      <c r="Q2392" s="36">
        <f t="shared" si="150"/>
        <v>38581.65</v>
      </c>
      <c r="R2392">
        <f t="shared" si="151"/>
        <v>2023</v>
      </c>
    </row>
    <row r="2393" spans="1:18" x14ac:dyDescent="0.2">
      <c r="A2393" s="13">
        <v>45371</v>
      </c>
      <c r="B2393" s="13">
        <v>45371</v>
      </c>
      <c r="C2393" s="25" t="s">
        <v>398</v>
      </c>
      <c r="D2393" s="20">
        <v>0</v>
      </c>
      <c r="E2393" s="28">
        <v>64302.75</v>
      </c>
      <c r="F2393" s="22" t="s">
        <v>267</v>
      </c>
      <c r="G2393" s="14">
        <v>75</v>
      </c>
      <c r="H2393" s="40">
        <v>45013</v>
      </c>
      <c r="I2393" s="46">
        <f t="shared" si="148"/>
        <v>358</v>
      </c>
      <c r="J2393" s="1" t="s">
        <v>15</v>
      </c>
      <c r="K2393" s="4" t="s">
        <v>209</v>
      </c>
      <c r="L2393" s="4" t="s">
        <v>231</v>
      </c>
      <c r="M2393" s="8">
        <v>75</v>
      </c>
      <c r="N2393" s="5">
        <v>857.37</v>
      </c>
      <c r="O2393" s="5">
        <v>64302.75</v>
      </c>
      <c r="P2393">
        <f t="shared" si="149"/>
        <v>1</v>
      </c>
      <c r="Q2393" s="36">
        <f t="shared" si="150"/>
        <v>64302.75</v>
      </c>
      <c r="R2393">
        <f t="shared" si="151"/>
        <v>2023</v>
      </c>
    </row>
    <row r="2394" spans="1:18" x14ac:dyDescent="0.2">
      <c r="A2394" s="13">
        <v>45378</v>
      </c>
      <c r="B2394" s="13">
        <v>45378</v>
      </c>
      <c r="C2394" s="25" t="s">
        <v>398</v>
      </c>
      <c r="D2394" s="20">
        <v>0</v>
      </c>
      <c r="E2394" s="28">
        <v>257211</v>
      </c>
      <c r="F2394" s="22" t="s">
        <v>267</v>
      </c>
      <c r="G2394" s="14">
        <v>300</v>
      </c>
      <c r="H2394" s="40">
        <v>45043</v>
      </c>
      <c r="I2394" s="46">
        <f t="shared" si="148"/>
        <v>335</v>
      </c>
      <c r="J2394" s="1" t="s">
        <v>15</v>
      </c>
      <c r="K2394" s="4" t="s">
        <v>209</v>
      </c>
      <c r="L2394" s="4" t="s">
        <v>231</v>
      </c>
      <c r="M2394" s="8">
        <v>300</v>
      </c>
      <c r="N2394" s="5">
        <v>857.37</v>
      </c>
      <c r="O2394" s="5">
        <v>257211</v>
      </c>
      <c r="P2394">
        <f t="shared" si="149"/>
        <v>1</v>
      </c>
      <c r="Q2394" s="36">
        <f t="shared" si="150"/>
        <v>257211</v>
      </c>
      <c r="R2394">
        <f t="shared" si="151"/>
        <v>2023</v>
      </c>
    </row>
    <row r="2395" spans="1:18" x14ac:dyDescent="0.2">
      <c r="A2395" s="13">
        <v>45385</v>
      </c>
      <c r="B2395" s="13">
        <v>45385</v>
      </c>
      <c r="C2395" s="25" t="s">
        <v>398</v>
      </c>
      <c r="D2395" s="20">
        <v>0</v>
      </c>
      <c r="E2395" s="28">
        <v>257211</v>
      </c>
      <c r="F2395" s="22" t="s">
        <v>267</v>
      </c>
      <c r="G2395" s="14">
        <v>300</v>
      </c>
      <c r="H2395" s="40">
        <v>45043</v>
      </c>
      <c r="I2395" s="46">
        <f t="shared" si="148"/>
        <v>342</v>
      </c>
      <c r="J2395" s="1" t="s">
        <v>15</v>
      </c>
      <c r="K2395" s="4" t="s">
        <v>209</v>
      </c>
      <c r="L2395" s="4" t="s">
        <v>231</v>
      </c>
      <c r="M2395" s="8">
        <v>300</v>
      </c>
      <c r="N2395" s="5">
        <v>857.37</v>
      </c>
      <c r="O2395" s="5">
        <v>257211</v>
      </c>
      <c r="P2395">
        <f t="shared" si="149"/>
        <v>1</v>
      </c>
      <c r="Q2395" s="36">
        <f t="shared" si="150"/>
        <v>257211</v>
      </c>
      <c r="R2395">
        <f t="shared" si="151"/>
        <v>2023</v>
      </c>
    </row>
    <row r="2396" spans="1:18" x14ac:dyDescent="0.2">
      <c r="A2396" s="13">
        <v>45397</v>
      </c>
      <c r="B2396" s="13">
        <v>45397</v>
      </c>
      <c r="C2396" s="25" t="s">
        <v>398</v>
      </c>
      <c r="D2396" s="20">
        <v>0</v>
      </c>
      <c r="E2396" s="28">
        <v>25721.1</v>
      </c>
      <c r="F2396" s="22" t="s">
        <v>267</v>
      </c>
      <c r="G2396" s="14">
        <v>30</v>
      </c>
      <c r="H2396" s="40">
        <v>45043</v>
      </c>
      <c r="I2396" s="46">
        <f t="shared" si="148"/>
        <v>354</v>
      </c>
      <c r="J2396" s="1" t="s">
        <v>15</v>
      </c>
      <c r="K2396" s="4" t="s">
        <v>209</v>
      </c>
      <c r="L2396" s="4" t="s">
        <v>231</v>
      </c>
      <c r="M2396" s="8">
        <v>30</v>
      </c>
      <c r="N2396" s="5">
        <v>857.37</v>
      </c>
      <c r="O2396" s="5">
        <v>25721.1</v>
      </c>
      <c r="P2396">
        <f t="shared" si="149"/>
        <v>1</v>
      </c>
      <c r="Q2396" s="36">
        <f t="shared" si="150"/>
        <v>25721.1</v>
      </c>
      <c r="R2396">
        <f t="shared" si="151"/>
        <v>2023</v>
      </c>
    </row>
    <row r="2397" spans="1:18" x14ac:dyDescent="0.2">
      <c r="A2397" s="13">
        <v>45399</v>
      </c>
      <c r="B2397" s="13">
        <v>45399</v>
      </c>
      <c r="C2397" s="25" t="s">
        <v>398</v>
      </c>
      <c r="D2397" s="20">
        <v>0</v>
      </c>
      <c r="E2397" s="28">
        <v>218629.35</v>
      </c>
      <c r="F2397" s="22" t="s">
        <v>267</v>
      </c>
      <c r="G2397" s="14">
        <v>255</v>
      </c>
      <c r="H2397" s="40">
        <v>45043</v>
      </c>
      <c r="I2397" s="46">
        <f t="shared" si="148"/>
        <v>356</v>
      </c>
      <c r="J2397" s="1" t="s">
        <v>15</v>
      </c>
      <c r="K2397" s="4" t="s">
        <v>209</v>
      </c>
      <c r="L2397" s="4" t="s">
        <v>231</v>
      </c>
      <c r="M2397" s="8">
        <v>255</v>
      </c>
      <c r="N2397" s="5">
        <v>857.37</v>
      </c>
      <c r="O2397" s="5">
        <v>218629.35</v>
      </c>
      <c r="P2397">
        <f t="shared" si="149"/>
        <v>1</v>
      </c>
      <c r="Q2397" s="36">
        <f t="shared" si="150"/>
        <v>218629.35</v>
      </c>
      <c r="R2397">
        <f t="shared" si="151"/>
        <v>2023</v>
      </c>
    </row>
    <row r="2398" spans="1:18" x14ac:dyDescent="0.2">
      <c r="A2398" s="13">
        <v>45413</v>
      </c>
      <c r="B2398" s="13">
        <v>45413</v>
      </c>
      <c r="C2398" s="25" t="s">
        <v>398</v>
      </c>
      <c r="D2398" s="20">
        <v>0</v>
      </c>
      <c r="E2398" s="28">
        <v>321513.75</v>
      </c>
      <c r="F2398" s="22" t="s">
        <v>267</v>
      </c>
      <c r="G2398" s="14">
        <v>375</v>
      </c>
      <c r="H2398" s="40">
        <v>45050</v>
      </c>
      <c r="I2398" s="46">
        <f t="shared" si="148"/>
        <v>363</v>
      </c>
      <c r="J2398" s="1" t="s">
        <v>15</v>
      </c>
      <c r="K2398" s="4" t="s">
        <v>209</v>
      </c>
      <c r="L2398" s="4" t="s">
        <v>231</v>
      </c>
      <c r="M2398" s="8">
        <v>375</v>
      </c>
      <c r="N2398" s="5">
        <v>857.37</v>
      </c>
      <c r="O2398" s="5">
        <v>321513.75</v>
      </c>
      <c r="P2398">
        <f t="shared" si="149"/>
        <v>1</v>
      </c>
      <c r="Q2398" s="36">
        <f t="shared" si="150"/>
        <v>321513.75</v>
      </c>
      <c r="R2398">
        <f t="shared" si="151"/>
        <v>2023</v>
      </c>
    </row>
    <row r="2399" spans="1:18" x14ac:dyDescent="0.2">
      <c r="A2399" s="13">
        <v>45420</v>
      </c>
      <c r="B2399" s="13">
        <v>45420</v>
      </c>
      <c r="C2399" s="25" t="s">
        <v>398</v>
      </c>
      <c r="D2399" s="20">
        <v>0</v>
      </c>
      <c r="E2399" s="28">
        <v>308653.2</v>
      </c>
      <c r="F2399" s="22" t="s">
        <v>267</v>
      </c>
      <c r="G2399" s="14">
        <v>360</v>
      </c>
      <c r="H2399" s="40">
        <v>45050</v>
      </c>
      <c r="I2399" s="46">
        <f t="shared" si="148"/>
        <v>370</v>
      </c>
      <c r="J2399" s="1" t="s">
        <v>15</v>
      </c>
      <c r="K2399" s="4" t="s">
        <v>209</v>
      </c>
      <c r="L2399" s="4" t="s">
        <v>231</v>
      </c>
      <c r="M2399" s="8">
        <v>360</v>
      </c>
      <c r="N2399" s="5">
        <v>857.37</v>
      </c>
      <c r="O2399" s="5">
        <v>308653.2</v>
      </c>
      <c r="P2399">
        <f t="shared" si="149"/>
        <v>1</v>
      </c>
      <c r="Q2399" s="36">
        <f t="shared" si="150"/>
        <v>308653.2</v>
      </c>
      <c r="R2399">
        <f t="shared" si="151"/>
        <v>2023</v>
      </c>
    </row>
    <row r="2400" spans="1:18" x14ac:dyDescent="0.2">
      <c r="A2400" s="13">
        <v>45427</v>
      </c>
      <c r="B2400" s="13">
        <v>45427</v>
      </c>
      <c r="C2400" s="25" t="s">
        <v>398</v>
      </c>
      <c r="D2400" s="20">
        <v>0</v>
      </c>
      <c r="E2400" s="28">
        <v>270071.55</v>
      </c>
      <c r="F2400" s="22" t="s">
        <v>267</v>
      </c>
      <c r="G2400" s="14">
        <v>315</v>
      </c>
      <c r="H2400" s="40">
        <v>45050</v>
      </c>
      <c r="I2400" s="46">
        <f t="shared" si="148"/>
        <v>377</v>
      </c>
      <c r="J2400" s="1" t="s">
        <v>15</v>
      </c>
      <c r="K2400" s="4" t="s">
        <v>209</v>
      </c>
      <c r="L2400" s="4" t="s">
        <v>231</v>
      </c>
      <c r="M2400" s="8">
        <v>315</v>
      </c>
      <c r="N2400" s="5">
        <v>857.37</v>
      </c>
      <c r="O2400" s="5">
        <v>270071.55</v>
      </c>
      <c r="P2400">
        <f t="shared" si="149"/>
        <v>1</v>
      </c>
      <c r="Q2400" s="36">
        <f t="shared" si="150"/>
        <v>270071.55</v>
      </c>
      <c r="R2400">
        <f t="shared" si="151"/>
        <v>2023</v>
      </c>
    </row>
    <row r="2401" spans="1:18" x14ac:dyDescent="0.2">
      <c r="A2401" s="13">
        <v>45310</v>
      </c>
      <c r="B2401" s="13">
        <v>44972</v>
      </c>
      <c r="C2401" s="25" t="s">
        <v>399</v>
      </c>
      <c r="D2401" s="20">
        <v>338</v>
      </c>
      <c r="E2401" s="28">
        <v>174081.48</v>
      </c>
      <c r="F2401" s="22" t="s">
        <v>302</v>
      </c>
      <c r="G2401" s="14">
        <v>92</v>
      </c>
      <c r="H2401" s="40">
        <v>44476</v>
      </c>
      <c r="I2401" s="46">
        <f t="shared" si="148"/>
        <v>834</v>
      </c>
      <c r="J2401" s="1" t="s">
        <v>15</v>
      </c>
      <c r="K2401" s="4" t="s">
        <v>209</v>
      </c>
      <c r="L2401" s="4" t="s">
        <v>231</v>
      </c>
      <c r="M2401" s="8">
        <v>92</v>
      </c>
      <c r="N2401" s="5">
        <v>1892.19</v>
      </c>
      <c r="O2401" s="5">
        <v>174081.48</v>
      </c>
      <c r="P2401">
        <f t="shared" si="149"/>
        <v>1</v>
      </c>
      <c r="Q2401" s="36">
        <f t="shared" si="150"/>
        <v>174081.48</v>
      </c>
      <c r="R2401">
        <f t="shared" si="151"/>
        <v>2021</v>
      </c>
    </row>
    <row r="2402" spans="1:18" x14ac:dyDescent="0.2">
      <c r="A2402" s="13">
        <v>45310</v>
      </c>
      <c r="B2402" s="13">
        <v>44965</v>
      </c>
      <c r="C2402" s="25" t="s">
        <v>399</v>
      </c>
      <c r="D2402" s="20">
        <v>345</v>
      </c>
      <c r="E2402" s="28">
        <v>26490.66</v>
      </c>
      <c r="F2402" s="22" t="s">
        <v>302</v>
      </c>
      <c r="G2402" s="14">
        <v>14</v>
      </c>
      <c r="H2402" s="40">
        <v>44489</v>
      </c>
      <c r="I2402" s="46">
        <f t="shared" si="148"/>
        <v>821</v>
      </c>
      <c r="J2402" s="1" t="s">
        <v>15</v>
      </c>
      <c r="K2402" s="4" t="s">
        <v>209</v>
      </c>
      <c r="L2402" s="4" t="s">
        <v>231</v>
      </c>
      <c r="M2402" s="8">
        <v>14</v>
      </c>
      <c r="N2402" s="5">
        <v>1892.19</v>
      </c>
      <c r="O2402" s="5">
        <v>26490.66</v>
      </c>
      <c r="P2402">
        <f t="shared" si="149"/>
        <v>1</v>
      </c>
      <c r="Q2402" s="36">
        <f t="shared" si="150"/>
        <v>26490.66</v>
      </c>
      <c r="R2402">
        <f t="shared" si="151"/>
        <v>2021</v>
      </c>
    </row>
    <row r="2403" spans="1:18" x14ac:dyDescent="0.2">
      <c r="A2403" s="13">
        <v>45310</v>
      </c>
      <c r="B2403" s="13">
        <v>44979</v>
      </c>
      <c r="C2403" s="25" t="s">
        <v>399</v>
      </c>
      <c r="D2403" s="20">
        <v>331</v>
      </c>
      <c r="E2403" s="28">
        <v>522244.44</v>
      </c>
      <c r="F2403" s="22" t="s">
        <v>302</v>
      </c>
      <c r="G2403" s="14">
        <v>276</v>
      </c>
      <c r="H2403" s="40">
        <v>44489</v>
      </c>
      <c r="I2403" s="46">
        <f t="shared" si="148"/>
        <v>821</v>
      </c>
      <c r="J2403" s="1" t="s">
        <v>15</v>
      </c>
      <c r="K2403" s="4" t="s">
        <v>209</v>
      </c>
      <c r="L2403" s="4" t="s">
        <v>231</v>
      </c>
      <c r="M2403" s="8">
        <v>276</v>
      </c>
      <c r="N2403" s="5">
        <v>1892.19</v>
      </c>
      <c r="O2403" s="5">
        <v>522244.44</v>
      </c>
      <c r="P2403">
        <f t="shared" si="149"/>
        <v>1</v>
      </c>
      <c r="Q2403" s="36">
        <f t="shared" si="150"/>
        <v>522244.44</v>
      </c>
      <c r="R2403">
        <f t="shared" si="151"/>
        <v>2021</v>
      </c>
    </row>
    <row r="2404" spans="1:18" x14ac:dyDescent="0.2">
      <c r="A2404" s="13">
        <v>45310</v>
      </c>
      <c r="B2404" s="13">
        <v>45007</v>
      </c>
      <c r="C2404" s="25" t="s">
        <v>399</v>
      </c>
      <c r="D2404" s="20">
        <v>303</v>
      </c>
      <c r="E2404" s="28">
        <v>289505.07</v>
      </c>
      <c r="F2404" s="22" t="s">
        <v>302</v>
      </c>
      <c r="G2404" s="14">
        <v>153</v>
      </c>
      <c r="H2404" s="40">
        <v>44533</v>
      </c>
      <c r="I2404" s="46">
        <f t="shared" si="148"/>
        <v>777</v>
      </c>
      <c r="J2404" s="1" t="s">
        <v>15</v>
      </c>
      <c r="K2404" s="4" t="s">
        <v>209</v>
      </c>
      <c r="L2404" s="4" t="s">
        <v>231</v>
      </c>
      <c r="M2404" s="8">
        <v>153</v>
      </c>
      <c r="N2404" s="5">
        <v>1892.19</v>
      </c>
      <c r="O2404" s="5">
        <v>289505.07</v>
      </c>
      <c r="P2404">
        <f t="shared" si="149"/>
        <v>1</v>
      </c>
      <c r="Q2404" s="36">
        <f t="shared" si="150"/>
        <v>289505.07</v>
      </c>
      <c r="R2404">
        <f t="shared" si="151"/>
        <v>2021</v>
      </c>
    </row>
    <row r="2405" spans="1:18" x14ac:dyDescent="0.2">
      <c r="A2405" s="13">
        <v>45310</v>
      </c>
      <c r="B2405" s="13">
        <v>45035</v>
      </c>
      <c r="C2405" s="25" t="s">
        <v>399</v>
      </c>
      <c r="D2405" s="20">
        <v>275</v>
      </c>
      <c r="E2405" s="28">
        <v>225170.61</v>
      </c>
      <c r="F2405" s="22" t="s">
        <v>302</v>
      </c>
      <c r="G2405" s="14">
        <v>119</v>
      </c>
      <c r="H2405" s="40">
        <v>44540</v>
      </c>
      <c r="I2405" s="46">
        <f t="shared" si="148"/>
        <v>770</v>
      </c>
      <c r="J2405" s="1" t="s">
        <v>15</v>
      </c>
      <c r="K2405" s="4" t="s">
        <v>209</v>
      </c>
      <c r="L2405" s="4" t="s">
        <v>231</v>
      </c>
      <c r="M2405" s="8">
        <v>119</v>
      </c>
      <c r="N2405" s="5">
        <v>1892.19</v>
      </c>
      <c r="O2405" s="5">
        <v>225170.61</v>
      </c>
      <c r="P2405">
        <f t="shared" si="149"/>
        <v>1</v>
      </c>
      <c r="Q2405" s="36">
        <f t="shared" si="150"/>
        <v>225170.61000000002</v>
      </c>
      <c r="R2405">
        <f t="shared" si="151"/>
        <v>2021</v>
      </c>
    </row>
    <row r="2406" spans="1:18" x14ac:dyDescent="0.2">
      <c r="A2406" s="13">
        <v>45310</v>
      </c>
      <c r="B2406" s="13">
        <v>45035</v>
      </c>
      <c r="C2406" s="25" t="s">
        <v>399</v>
      </c>
      <c r="D2406" s="20">
        <v>275</v>
      </c>
      <c r="E2406" s="28">
        <v>664158.68999999994</v>
      </c>
      <c r="F2406" s="22" t="s">
        <v>302</v>
      </c>
      <c r="G2406" s="14">
        <v>351</v>
      </c>
      <c r="H2406" s="40">
        <v>44594</v>
      </c>
      <c r="I2406" s="46">
        <f t="shared" si="148"/>
        <v>716</v>
      </c>
      <c r="J2406" s="1" t="s">
        <v>15</v>
      </c>
      <c r="K2406" s="4" t="s">
        <v>209</v>
      </c>
      <c r="L2406" s="4" t="s">
        <v>231</v>
      </c>
      <c r="M2406" s="8">
        <v>351</v>
      </c>
      <c r="N2406" s="5">
        <v>1892.19</v>
      </c>
      <c r="O2406" s="5">
        <v>664158.68999999994</v>
      </c>
      <c r="P2406">
        <f t="shared" si="149"/>
        <v>1</v>
      </c>
      <c r="Q2406" s="36">
        <f t="shared" si="150"/>
        <v>664158.69000000006</v>
      </c>
      <c r="R2406">
        <f t="shared" si="151"/>
        <v>2022</v>
      </c>
    </row>
    <row r="2407" spans="1:18" x14ac:dyDescent="0.2">
      <c r="A2407" s="13">
        <v>45310</v>
      </c>
      <c r="B2407" s="13">
        <v>45035</v>
      </c>
      <c r="C2407" s="25" t="s">
        <v>399</v>
      </c>
      <c r="D2407" s="20">
        <v>275</v>
      </c>
      <c r="E2407" s="28">
        <v>34059.42</v>
      </c>
      <c r="F2407" s="22" t="s">
        <v>302</v>
      </c>
      <c r="G2407" s="14">
        <v>18</v>
      </c>
      <c r="H2407" s="40">
        <v>44594</v>
      </c>
      <c r="I2407" s="46">
        <f t="shared" si="148"/>
        <v>716</v>
      </c>
      <c r="J2407" s="1" t="s">
        <v>15</v>
      </c>
      <c r="K2407" s="4" t="s">
        <v>209</v>
      </c>
      <c r="L2407" s="4" t="s">
        <v>231</v>
      </c>
      <c r="M2407" s="8">
        <v>18</v>
      </c>
      <c r="N2407" s="5">
        <v>1892.19</v>
      </c>
      <c r="O2407" s="5">
        <v>34059.42</v>
      </c>
      <c r="P2407">
        <f t="shared" si="149"/>
        <v>1</v>
      </c>
      <c r="Q2407" s="36">
        <f t="shared" si="150"/>
        <v>34059.42</v>
      </c>
      <c r="R2407">
        <f t="shared" si="151"/>
        <v>2022</v>
      </c>
    </row>
    <row r="2408" spans="1:18" x14ac:dyDescent="0.2">
      <c r="A2408" s="13">
        <v>45310</v>
      </c>
      <c r="B2408" s="13">
        <v>45063</v>
      </c>
      <c r="C2408" s="25" t="s">
        <v>399</v>
      </c>
      <c r="D2408" s="20">
        <v>247</v>
      </c>
      <c r="E2408" s="28">
        <v>860946.45</v>
      </c>
      <c r="F2408" s="22" t="s">
        <v>302</v>
      </c>
      <c r="G2408" s="14">
        <v>455</v>
      </c>
      <c r="H2408" s="40">
        <v>44594</v>
      </c>
      <c r="I2408" s="46">
        <f t="shared" si="148"/>
        <v>716</v>
      </c>
      <c r="J2408" s="1" t="s">
        <v>15</v>
      </c>
      <c r="K2408" s="4" t="s">
        <v>209</v>
      </c>
      <c r="L2408" s="4" t="s">
        <v>231</v>
      </c>
      <c r="M2408" s="8">
        <v>455</v>
      </c>
      <c r="N2408" s="5">
        <v>1892.19</v>
      </c>
      <c r="O2408" s="5">
        <v>860946.45</v>
      </c>
      <c r="P2408">
        <f t="shared" si="149"/>
        <v>1</v>
      </c>
      <c r="Q2408" s="36">
        <f t="shared" si="150"/>
        <v>860946.45000000007</v>
      </c>
      <c r="R2408">
        <f t="shared" si="151"/>
        <v>2022</v>
      </c>
    </row>
    <row r="2409" spans="1:18" x14ac:dyDescent="0.2">
      <c r="A2409" s="13">
        <v>45310</v>
      </c>
      <c r="B2409" s="13">
        <v>45091</v>
      </c>
      <c r="C2409" s="25" t="s">
        <v>399</v>
      </c>
      <c r="D2409" s="20">
        <v>219</v>
      </c>
      <c r="E2409" s="28">
        <v>208140.9</v>
      </c>
      <c r="F2409" s="22" t="s">
        <v>302</v>
      </c>
      <c r="G2409" s="14">
        <v>110</v>
      </c>
      <c r="H2409" s="40">
        <v>44603</v>
      </c>
      <c r="I2409" s="46">
        <f t="shared" si="148"/>
        <v>707</v>
      </c>
      <c r="J2409" s="1" t="s">
        <v>15</v>
      </c>
      <c r="K2409" s="4" t="s">
        <v>209</v>
      </c>
      <c r="L2409" s="4" t="s">
        <v>231</v>
      </c>
      <c r="M2409" s="8">
        <v>110</v>
      </c>
      <c r="N2409" s="5">
        <v>1892.19</v>
      </c>
      <c r="O2409" s="5">
        <v>208140.9</v>
      </c>
      <c r="P2409">
        <f t="shared" si="149"/>
        <v>1</v>
      </c>
      <c r="Q2409" s="36">
        <f t="shared" si="150"/>
        <v>208140.9</v>
      </c>
      <c r="R2409">
        <f t="shared" si="151"/>
        <v>2022</v>
      </c>
    </row>
    <row r="2410" spans="1:18" x14ac:dyDescent="0.2">
      <c r="A2410" s="13">
        <v>45310</v>
      </c>
      <c r="B2410" s="13">
        <v>45091</v>
      </c>
      <c r="C2410" s="25" t="s">
        <v>399</v>
      </c>
      <c r="D2410" s="20">
        <v>219</v>
      </c>
      <c r="E2410" s="28">
        <v>232739.37</v>
      </c>
      <c r="F2410" s="22" t="s">
        <v>302</v>
      </c>
      <c r="G2410" s="14">
        <v>123</v>
      </c>
      <c r="H2410" s="40">
        <v>44608</v>
      </c>
      <c r="I2410" s="46">
        <f t="shared" si="148"/>
        <v>702</v>
      </c>
      <c r="J2410" s="1" t="s">
        <v>15</v>
      </c>
      <c r="K2410" s="4" t="s">
        <v>209</v>
      </c>
      <c r="L2410" s="4" t="s">
        <v>231</v>
      </c>
      <c r="M2410" s="8">
        <v>123</v>
      </c>
      <c r="N2410" s="5">
        <v>1892.19</v>
      </c>
      <c r="O2410" s="5">
        <v>232739.37</v>
      </c>
      <c r="P2410">
        <f t="shared" si="149"/>
        <v>1</v>
      </c>
      <c r="Q2410" s="36">
        <f t="shared" si="150"/>
        <v>232739.37</v>
      </c>
      <c r="R2410">
        <f t="shared" si="151"/>
        <v>2022</v>
      </c>
    </row>
    <row r="2411" spans="1:18" x14ac:dyDescent="0.2">
      <c r="A2411" s="13">
        <v>45310</v>
      </c>
      <c r="B2411" s="13">
        <v>45091</v>
      </c>
      <c r="C2411" s="25" t="s">
        <v>399</v>
      </c>
      <c r="D2411" s="20">
        <v>219</v>
      </c>
      <c r="E2411" s="28">
        <v>219494.04</v>
      </c>
      <c r="F2411" s="22" t="s">
        <v>302</v>
      </c>
      <c r="G2411" s="14">
        <v>116</v>
      </c>
      <c r="H2411" s="40">
        <v>44608</v>
      </c>
      <c r="I2411" s="46">
        <f t="shared" si="148"/>
        <v>702</v>
      </c>
      <c r="J2411" s="1" t="s">
        <v>15</v>
      </c>
      <c r="K2411" s="4" t="s">
        <v>209</v>
      </c>
      <c r="L2411" s="4" t="s">
        <v>231</v>
      </c>
      <c r="M2411" s="8">
        <v>116</v>
      </c>
      <c r="N2411" s="5">
        <v>1892.19</v>
      </c>
      <c r="O2411" s="5">
        <v>219494.04</v>
      </c>
      <c r="P2411">
        <f t="shared" si="149"/>
        <v>1</v>
      </c>
      <c r="Q2411" s="36">
        <f t="shared" si="150"/>
        <v>219494.04</v>
      </c>
      <c r="R2411">
        <f t="shared" si="151"/>
        <v>2022</v>
      </c>
    </row>
    <row r="2412" spans="1:18" x14ac:dyDescent="0.2">
      <c r="A2412" s="13">
        <v>45310</v>
      </c>
      <c r="B2412" s="13">
        <v>45163</v>
      </c>
      <c r="C2412" s="25" t="s">
        <v>399</v>
      </c>
      <c r="D2412" s="20">
        <v>147</v>
      </c>
      <c r="E2412" s="28">
        <v>204356.52</v>
      </c>
      <c r="F2412" s="22" t="s">
        <v>302</v>
      </c>
      <c r="G2412" s="14">
        <v>108</v>
      </c>
      <c r="H2412" s="40">
        <v>44615</v>
      </c>
      <c r="I2412" s="46">
        <f t="shared" si="148"/>
        <v>695</v>
      </c>
      <c r="J2412" s="1" t="s">
        <v>15</v>
      </c>
      <c r="K2412" s="4" t="s">
        <v>209</v>
      </c>
      <c r="L2412" s="4" t="s">
        <v>231</v>
      </c>
      <c r="M2412" s="8">
        <v>108</v>
      </c>
      <c r="N2412" s="5">
        <v>1892.19</v>
      </c>
      <c r="O2412" s="5">
        <v>204356.52</v>
      </c>
      <c r="P2412">
        <f t="shared" si="149"/>
        <v>1</v>
      </c>
      <c r="Q2412" s="36">
        <f t="shared" si="150"/>
        <v>204356.52000000002</v>
      </c>
      <c r="R2412">
        <f t="shared" si="151"/>
        <v>2022</v>
      </c>
    </row>
    <row r="2413" spans="1:18" x14ac:dyDescent="0.2">
      <c r="A2413" s="13">
        <v>45310</v>
      </c>
      <c r="B2413" s="13">
        <v>45170</v>
      </c>
      <c r="C2413" s="25" t="s">
        <v>399</v>
      </c>
      <c r="D2413" s="20">
        <v>140</v>
      </c>
      <c r="E2413" s="28">
        <v>261122.22</v>
      </c>
      <c r="F2413" s="22" t="s">
        <v>302</v>
      </c>
      <c r="G2413" s="14">
        <v>138</v>
      </c>
      <c r="H2413" s="40">
        <v>44637</v>
      </c>
      <c r="I2413" s="46">
        <f t="shared" si="148"/>
        <v>673</v>
      </c>
      <c r="J2413" s="1" t="s">
        <v>15</v>
      </c>
      <c r="K2413" s="4" t="s">
        <v>209</v>
      </c>
      <c r="L2413" s="4" t="s">
        <v>231</v>
      </c>
      <c r="M2413" s="8">
        <v>138</v>
      </c>
      <c r="N2413" s="5">
        <v>1892.19</v>
      </c>
      <c r="O2413" s="5">
        <v>261122.22</v>
      </c>
      <c r="P2413">
        <f t="shared" si="149"/>
        <v>1</v>
      </c>
      <c r="Q2413" s="36">
        <f t="shared" si="150"/>
        <v>261122.22</v>
      </c>
      <c r="R2413">
        <f t="shared" si="151"/>
        <v>2022</v>
      </c>
    </row>
    <row r="2414" spans="1:18" x14ac:dyDescent="0.2">
      <c r="A2414" s="13">
        <v>45310</v>
      </c>
      <c r="B2414" s="13">
        <v>45197</v>
      </c>
      <c r="C2414" s="25" t="s">
        <v>399</v>
      </c>
      <c r="D2414" s="20">
        <v>113</v>
      </c>
      <c r="E2414" s="28">
        <v>145698.63</v>
      </c>
      <c r="F2414" s="22" t="s">
        <v>302</v>
      </c>
      <c r="G2414" s="14">
        <v>77</v>
      </c>
      <c r="H2414" s="40">
        <v>44642</v>
      </c>
      <c r="I2414" s="46">
        <f t="shared" si="148"/>
        <v>668</v>
      </c>
      <c r="J2414" s="1" t="s">
        <v>15</v>
      </c>
      <c r="K2414" s="4" t="s">
        <v>209</v>
      </c>
      <c r="L2414" s="4" t="s">
        <v>231</v>
      </c>
      <c r="M2414" s="8">
        <v>77</v>
      </c>
      <c r="N2414" s="5">
        <v>1892.19</v>
      </c>
      <c r="O2414" s="5">
        <v>145698.63</v>
      </c>
      <c r="P2414">
        <f t="shared" si="149"/>
        <v>1</v>
      </c>
      <c r="Q2414" s="36">
        <f t="shared" si="150"/>
        <v>145698.63</v>
      </c>
      <c r="R2414">
        <f t="shared" si="151"/>
        <v>2022</v>
      </c>
    </row>
    <row r="2415" spans="1:18" x14ac:dyDescent="0.2">
      <c r="A2415" s="13">
        <v>45310</v>
      </c>
      <c r="B2415" s="13">
        <v>44958</v>
      </c>
      <c r="C2415" s="25" t="s">
        <v>399</v>
      </c>
      <c r="D2415" s="20">
        <v>352</v>
      </c>
      <c r="E2415" s="28">
        <v>211925.28</v>
      </c>
      <c r="F2415" s="22" t="s">
        <v>302</v>
      </c>
      <c r="G2415" s="14">
        <v>112</v>
      </c>
      <c r="H2415" s="40">
        <v>45119</v>
      </c>
      <c r="I2415" s="46">
        <f t="shared" si="148"/>
        <v>191</v>
      </c>
      <c r="J2415" s="1" t="s">
        <v>15</v>
      </c>
      <c r="K2415" s="4" t="s">
        <v>209</v>
      </c>
      <c r="L2415" s="4" t="s">
        <v>231</v>
      </c>
      <c r="M2415" s="8">
        <v>112</v>
      </c>
      <c r="N2415" s="5">
        <v>1892.19</v>
      </c>
      <c r="O2415" s="5">
        <v>211925.28</v>
      </c>
      <c r="P2415">
        <f t="shared" si="149"/>
        <v>1</v>
      </c>
      <c r="Q2415" s="36">
        <f t="shared" si="150"/>
        <v>211925.28</v>
      </c>
      <c r="R2415">
        <f t="shared" si="151"/>
        <v>2023</v>
      </c>
    </row>
    <row r="2416" spans="1:18" x14ac:dyDescent="0.2">
      <c r="A2416" s="13">
        <v>45315</v>
      </c>
      <c r="B2416" s="13">
        <v>45315</v>
      </c>
      <c r="C2416" s="25" t="s">
        <v>398</v>
      </c>
      <c r="D2416" s="20">
        <v>0</v>
      </c>
      <c r="E2416" s="28">
        <v>26074.44</v>
      </c>
      <c r="F2416" s="22" t="s">
        <v>303</v>
      </c>
      <c r="G2416" s="14">
        <v>63</v>
      </c>
      <c r="H2416" s="40">
        <v>45079</v>
      </c>
      <c r="I2416" s="46">
        <f t="shared" si="148"/>
        <v>236</v>
      </c>
      <c r="J2416" s="1" t="s">
        <v>15</v>
      </c>
      <c r="K2416" s="4" t="s">
        <v>209</v>
      </c>
      <c r="L2416" s="4" t="s">
        <v>231</v>
      </c>
      <c r="M2416" s="8">
        <v>63</v>
      </c>
      <c r="N2416" s="5">
        <v>413.88</v>
      </c>
      <c r="O2416" s="5">
        <v>26074.44</v>
      </c>
      <c r="P2416">
        <f t="shared" si="149"/>
        <v>1</v>
      </c>
      <c r="Q2416" s="36">
        <f t="shared" si="150"/>
        <v>26074.44</v>
      </c>
      <c r="R2416">
        <f t="shared" si="151"/>
        <v>2023</v>
      </c>
    </row>
    <row r="2417" spans="1:18" x14ac:dyDescent="0.2">
      <c r="A2417" s="13">
        <v>45385</v>
      </c>
      <c r="B2417" s="13">
        <v>45385</v>
      </c>
      <c r="C2417" s="25" t="s">
        <v>398</v>
      </c>
      <c r="D2417" s="20">
        <v>0</v>
      </c>
      <c r="E2417" s="28">
        <v>26074.44</v>
      </c>
      <c r="F2417" s="22" t="s">
        <v>303</v>
      </c>
      <c r="G2417" s="14">
        <v>63</v>
      </c>
      <c r="H2417" s="40">
        <v>45084</v>
      </c>
      <c r="I2417" s="46">
        <f t="shared" si="148"/>
        <v>301</v>
      </c>
      <c r="J2417" s="1" t="s">
        <v>15</v>
      </c>
      <c r="K2417" s="4" t="s">
        <v>209</v>
      </c>
      <c r="L2417" s="4" t="s">
        <v>231</v>
      </c>
      <c r="M2417" s="8">
        <v>63</v>
      </c>
      <c r="N2417" s="5">
        <v>413.88</v>
      </c>
      <c r="O2417" s="5">
        <v>26074.44</v>
      </c>
      <c r="P2417">
        <f t="shared" si="149"/>
        <v>1</v>
      </c>
      <c r="Q2417" s="36">
        <f t="shared" si="150"/>
        <v>26074.44</v>
      </c>
      <c r="R2417">
        <f t="shared" si="151"/>
        <v>2023</v>
      </c>
    </row>
    <row r="2418" spans="1:18" x14ac:dyDescent="0.2">
      <c r="A2418" s="13">
        <v>45412</v>
      </c>
      <c r="B2418" s="13">
        <v>45412</v>
      </c>
      <c r="C2418" s="25" t="s">
        <v>398</v>
      </c>
      <c r="D2418" s="20">
        <v>0</v>
      </c>
      <c r="E2418" s="28">
        <v>26074.44</v>
      </c>
      <c r="F2418" s="22" t="s">
        <v>303</v>
      </c>
      <c r="G2418" s="14">
        <v>63</v>
      </c>
      <c r="H2418" s="40">
        <v>45090</v>
      </c>
      <c r="I2418" s="46">
        <f t="shared" si="148"/>
        <v>322</v>
      </c>
      <c r="J2418" s="1" t="s">
        <v>15</v>
      </c>
      <c r="K2418" s="4" t="s">
        <v>209</v>
      </c>
      <c r="L2418" s="4" t="s">
        <v>231</v>
      </c>
      <c r="M2418" s="8">
        <v>63</v>
      </c>
      <c r="N2418" s="5">
        <v>413.88</v>
      </c>
      <c r="O2418" s="5">
        <v>26074.44</v>
      </c>
      <c r="P2418">
        <f t="shared" si="149"/>
        <v>1</v>
      </c>
      <c r="Q2418" s="36">
        <f t="shared" si="150"/>
        <v>26074.44</v>
      </c>
      <c r="R2418">
        <f t="shared" si="151"/>
        <v>2023</v>
      </c>
    </row>
    <row r="2419" spans="1:18" x14ac:dyDescent="0.2">
      <c r="A2419" s="13">
        <v>45422</v>
      </c>
      <c r="B2419" s="13">
        <v>45422</v>
      </c>
      <c r="C2419" s="25" t="s">
        <v>398</v>
      </c>
      <c r="D2419" s="20">
        <v>0</v>
      </c>
      <c r="E2419" s="28">
        <v>26074.44</v>
      </c>
      <c r="F2419" s="22" t="s">
        <v>303</v>
      </c>
      <c r="G2419" s="14">
        <v>63</v>
      </c>
      <c r="H2419" s="40">
        <v>45090</v>
      </c>
      <c r="I2419" s="46">
        <f t="shared" si="148"/>
        <v>332</v>
      </c>
      <c r="J2419" s="1" t="s">
        <v>15</v>
      </c>
      <c r="K2419" s="4" t="s">
        <v>209</v>
      </c>
      <c r="L2419" s="4" t="s">
        <v>231</v>
      </c>
      <c r="M2419" s="8">
        <v>63</v>
      </c>
      <c r="N2419" s="5">
        <v>413.88</v>
      </c>
      <c r="O2419" s="5">
        <v>26074.44</v>
      </c>
      <c r="P2419">
        <f t="shared" si="149"/>
        <v>1</v>
      </c>
      <c r="Q2419" s="36">
        <f t="shared" si="150"/>
        <v>26074.44</v>
      </c>
      <c r="R2419">
        <f t="shared" si="151"/>
        <v>2023</v>
      </c>
    </row>
    <row r="2420" spans="1:18" x14ac:dyDescent="0.2">
      <c r="A2420" s="13">
        <v>45450</v>
      </c>
      <c r="B2420" s="13">
        <v>45443</v>
      </c>
      <c r="C2420" s="25" t="s">
        <v>399</v>
      </c>
      <c r="D2420" s="20">
        <v>7</v>
      </c>
      <c r="E2420" s="28">
        <v>26074.44</v>
      </c>
      <c r="F2420" s="22" t="s">
        <v>303</v>
      </c>
      <c r="G2420" s="14">
        <v>63</v>
      </c>
      <c r="H2420" s="40">
        <v>45090</v>
      </c>
      <c r="I2420" s="46">
        <f t="shared" si="148"/>
        <v>360</v>
      </c>
      <c r="J2420" s="1" t="s">
        <v>15</v>
      </c>
      <c r="K2420" s="4" t="s">
        <v>209</v>
      </c>
      <c r="L2420" s="4" t="s">
        <v>231</v>
      </c>
      <c r="M2420" s="8">
        <v>63</v>
      </c>
      <c r="N2420" s="5">
        <v>413.88</v>
      </c>
      <c r="O2420" s="5">
        <v>26074.44</v>
      </c>
      <c r="P2420">
        <f t="shared" si="149"/>
        <v>1</v>
      </c>
      <c r="Q2420" s="36">
        <f t="shared" si="150"/>
        <v>26074.44</v>
      </c>
      <c r="R2420">
        <f t="shared" si="151"/>
        <v>2023</v>
      </c>
    </row>
    <row r="2421" spans="1:18" x14ac:dyDescent="0.2">
      <c r="A2421" s="13">
        <v>45551</v>
      </c>
      <c r="B2421" s="13">
        <v>45492</v>
      </c>
      <c r="C2421" s="25" t="s">
        <v>399</v>
      </c>
      <c r="D2421" s="20">
        <v>59</v>
      </c>
      <c r="E2421" s="28">
        <v>26074.44</v>
      </c>
      <c r="F2421" s="22" t="s">
        <v>303</v>
      </c>
      <c r="G2421" s="14">
        <v>63</v>
      </c>
      <c r="H2421" s="40">
        <v>45119</v>
      </c>
      <c r="I2421" s="46">
        <f t="shared" si="148"/>
        <v>432</v>
      </c>
      <c r="J2421" s="1" t="s">
        <v>15</v>
      </c>
      <c r="K2421" s="4" t="s">
        <v>209</v>
      </c>
      <c r="L2421" s="4" t="s">
        <v>231</v>
      </c>
      <c r="M2421" s="8">
        <v>63</v>
      </c>
      <c r="N2421" s="5">
        <v>413.88</v>
      </c>
      <c r="O2421" s="5">
        <v>26074.44</v>
      </c>
      <c r="P2421">
        <f t="shared" si="149"/>
        <v>1</v>
      </c>
      <c r="Q2421" s="36">
        <f t="shared" si="150"/>
        <v>26074.44</v>
      </c>
      <c r="R2421">
        <f t="shared" si="151"/>
        <v>2023</v>
      </c>
    </row>
    <row r="2422" spans="1:18" x14ac:dyDescent="0.2">
      <c r="A2422" s="13">
        <v>45203</v>
      </c>
      <c r="B2422" s="13">
        <v>45203</v>
      </c>
      <c r="C2422" s="25" t="s">
        <v>398</v>
      </c>
      <c r="D2422" s="20">
        <v>0</v>
      </c>
      <c r="E2422" s="28">
        <v>16585.560000000001</v>
      </c>
      <c r="F2422" s="22" t="s">
        <v>304</v>
      </c>
      <c r="G2422" s="14">
        <v>36</v>
      </c>
      <c r="H2422" s="40">
        <v>45077</v>
      </c>
      <c r="I2422" s="46">
        <f t="shared" si="148"/>
        <v>126</v>
      </c>
      <c r="J2422" s="1" t="s">
        <v>15</v>
      </c>
      <c r="K2422" s="4" t="s">
        <v>209</v>
      </c>
      <c r="L2422" s="4" t="s">
        <v>231</v>
      </c>
      <c r="M2422" s="8">
        <v>36</v>
      </c>
      <c r="N2422" s="5">
        <v>460.71</v>
      </c>
      <c r="O2422" s="5">
        <v>16585.560000000001</v>
      </c>
      <c r="P2422">
        <f t="shared" si="149"/>
        <v>1</v>
      </c>
      <c r="Q2422" s="36">
        <f t="shared" si="150"/>
        <v>16585.559999999998</v>
      </c>
      <c r="R2422">
        <f t="shared" si="151"/>
        <v>2023</v>
      </c>
    </row>
    <row r="2423" spans="1:18" x14ac:dyDescent="0.2">
      <c r="A2423" s="13">
        <v>45210</v>
      </c>
      <c r="B2423" s="13">
        <v>45210</v>
      </c>
      <c r="C2423" s="25" t="s">
        <v>398</v>
      </c>
      <c r="D2423" s="20">
        <v>0</v>
      </c>
      <c r="E2423" s="28">
        <v>33171.120000000003</v>
      </c>
      <c r="F2423" s="22" t="s">
        <v>304</v>
      </c>
      <c r="G2423" s="14">
        <v>72</v>
      </c>
      <c r="H2423" s="40">
        <v>45077</v>
      </c>
      <c r="I2423" s="46">
        <f t="shared" si="148"/>
        <v>133</v>
      </c>
      <c r="J2423" s="1" t="s">
        <v>15</v>
      </c>
      <c r="K2423" s="4" t="s">
        <v>209</v>
      </c>
      <c r="L2423" s="4" t="s">
        <v>231</v>
      </c>
      <c r="M2423" s="8">
        <v>72</v>
      </c>
      <c r="N2423" s="5">
        <v>460.71</v>
      </c>
      <c r="O2423" s="5">
        <v>33171.120000000003</v>
      </c>
      <c r="P2423">
        <f t="shared" si="149"/>
        <v>1</v>
      </c>
      <c r="Q2423" s="36">
        <f t="shared" si="150"/>
        <v>33171.119999999995</v>
      </c>
      <c r="R2423">
        <f t="shared" si="151"/>
        <v>2023</v>
      </c>
    </row>
    <row r="2424" spans="1:18" x14ac:dyDescent="0.2">
      <c r="A2424" s="13">
        <v>45217</v>
      </c>
      <c r="B2424" s="13">
        <v>45217</v>
      </c>
      <c r="C2424" s="25" t="s">
        <v>398</v>
      </c>
      <c r="D2424" s="20">
        <v>0</v>
      </c>
      <c r="E2424" s="28">
        <v>16585.560000000001</v>
      </c>
      <c r="F2424" s="22" t="s">
        <v>304</v>
      </c>
      <c r="G2424" s="14">
        <v>36</v>
      </c>
      <c r="H2424" s="40">
        <v>45077</v>
      </c>
      <c r="I2424" s="46">
        <f t="shared" si="148"/>
        <v>140</v>
      </c>
      <c r="J2424" s="1" t="s">
        <v>15</v>
      </c>
      <c r="K2424" s="4" t="s">
        <v>209</v>
      </c>
      <c r="L2424" s="4" t="s">
        <v>231</v>
      </c>
      <c r="M2424" s="8">
        <v>36</v>
      </c>
      <c r="N2424" s="5">
        <v>460.71</v>
      </c>
      <c r="O2424" s="5">
        <v>16585.560000000001</v>
      </c>
      <c r="P2424">
        <f t="shared" si="149"/>
        <v>1</v>
      </c>
      <c r="Q2424" s="36">
        <f t="shared" si="150"/>
        <v>16585.559999999998</v>
      </c>
      <c r="R2424">
        <f t="shared" si="151"/>
        <v>2023</v>
      </c>
    </row>
    <row r="2425" spans="1:18" x14ac:dyDescent="0.2">
      <c r="A2425" s="13">
        <v>45224</v>
      </c>
      <c r="B2425" s="13">
        <v>45224</v>
      </c>
      <c r="C2425" s="25" t="s">
        <v>398</v>
      </c>
      <c r="D2425" s="20">
        <v>0</v>
      </c>
      <c r="E2425" s="28">
        <v>16585.560000000001</v>
      </c>
      <c r="F2425" s="22" t="s">
        <v>304</v>
      </c>
      <c r="G2425" s="14">
        <v>36</v>
      </c>
      <c r="H2425" s="40">
        <v>45077</v>
      </c>
      <c r="I2425" s="46">
        <f t="shared" si="148"/>
        <v>147</v>
      </c>
      <c r="J2425" s="1" t="s">
        <v>15</v>
      </c>
      <c r="K2425" s="4" t="s">
        <v>209</v>
      </c>
      <c r="L2425" s="4" t="s">
        <v>231</v>
      </c>
      <c r="M2425" s="8">
        <v>36</v>
      </c>
      <c r="N2425" s="5">
        <v>460.71</v>
      </c>
      <c r="O2425" s="5">
        <v>16585.560000000001</v>
      </c>
      <c r="P2425">
        <f t="shared" si="149"/>
        <v>1</v>
      </c>
      <c r="Q2425" s="36">
        <f t="shared" si="150"/>
        <v>16585.559999999998</v>
      </c>
      <c r="R2425">
        <f t="shared" si="151"/>
        <v>2023</v>
      </c>
    </row>
    <row r="2426" spans="1:18" x14ac:dyDescent="0.2">
      <c r="A2426" s="13">
        <v>45231</v>
      </c>
      <c r="B2426" s="13">
        <v>45231</v>
      </c>
      <c r="C2426" s="25" t="s">
        <v>398</v>
      </c>
      <c r="D2426" s="20">
        <v>0</v>
      </c>
      <c r="E2426" s="28">
        <v>16585.560000000001</v>
      </c>
      <c r="F2426" s="22" t="s">
        <v>304</v>
      </c>
      <c r="G2426" s="14">
        <v>36</v>
      </c>
      <c r="H2426" s="40">
        <v>45077</v>
      </c>
      <c r="I2426" s="46">
        <f t="shared" si="148"/>
        <v>154</v>
      </c>
      <c r="J2426" s="1" t="s">
        <v>15</v>
      </c>
      <c r="K2426" s="4" t="s">
        <v>209</v>
      </c>
      <c r="L2426" s="4" t="s">
        <v>231</v>
      </c>
      <c r="M2426" s="8">
        <v>36</v>
      </c>
      <c r="N2426" s="5">
        <v>460.71</v>
      </c>
      <c r="O2426" s="5">
        <v>16585.560000000001</v>
      </c>
      <c r="P2426">
        <f t="shared" si="149"/>
        <v>1</v>
      </c>
      <c r="Q2426" s="36">
        <f t="shared" si="150"/>
        <v>16585.559999999998</v>
      </c>
      <c r="R2426">
        <f t="shared" si="151"/>
        <v>2023</v>
      </c>
    </row>
    <row r="2427" spans="1:18" x14ac:dyDescent="0.2">
      <c r="A2427" s="13">
        <v>45238</v>
      </c>
      <c r="B2427" s="13">
        <v>45238</v>
      </c>
      <c r="C2427" s="25" t="s">
        <v>398</v>
      </c>
      <c r="D2427" s="20">
        <v>0</v>
      </c>
      <c r="E2427" s="28">
        <v>16585.560000000001</v>
      </c>
      <c r="F2427" s="22" t="s">
        <v>304</v>
      </c>
      <c r="G2427" s="14">
        <v>36</v>
      </c>
      <c r="H2427" s="40">
        <v>45077</v>
      </c>
      <c r="I2427" s="46">
        <f t="shared" si="148"/>
        <v>161</v>
      </c>
      <c r="J2427" s="1" t="s">
        <v>15</v>
      </c>
      <c r="K2427" s="4" t="s">
        <v>209</v>
      </c>
      <c r="L2427" s="4" t="s">
        <v>231</v>
      </c>
      <c r="M2427" s="8">
        <v>36</v>
      </c>
      <c r="N2427" s="5">
        <v>460.71</v>
      </c>
      <c r="O2427" s="5">
        <v>16585.560000000001</v>
      </c>
      <c r="P2427">
        <f t="shared" si="149"/>
        <v>1</v>
      </c>
      <c r="Q2427" s="36">
        <f t="shared" si="150"/>
        <v>16585.559999999998</v>
      </c>
      <c r="R2427">
        <f t="shared" si="151"/>
        <v>2023</v>
      </c>
    </row>
    <row r="2428" spans="1:18" x14ac:dyDescent="0.2">
      <c r="A2428" s="13">
        <v>45245</v>
      </c>
      <c r="B2428" s="13">
        <v>45245</v>
      </c>
      <c r="C2428" s="25" t="s">
        <v>398</v>
      </c>
      <c r="D2428" s="20">
        <v>0</v>
      </c>
      <c r="E2428" s="28">
        <v>33171.120000000003</v>
      </c>
      <c r="F2428" s="22" t="s">
        <v>304</v>
      </c>
      <c r="G2428" s="14">
        <v>72</v>
      </c>
      <c r="H2428" s="40">
        <v>45077</v>
      </c>
      <c r="I2428" s="46">
        <f t="shared" si="148"/>
        <v>168</v>
      </c>
      <c r="J2428" s="1" t="s">
        <v>15</v>
      </c>
      <c r="K2428" s="4" t="s">
        <v>209</v>
      </c>
      <c r="L2428" s="4" t="s">
        <v>231</v>
      </c>
      <c r="M2428" s="8">
        <v>72</v>
      </c>
      <c r="N2428" s="5">
        <v>460.71</v>
      </c>
      <c r="O2428" s="5">
        <v>33171.120000000003</v>
      </c>
      <c r="P2428">
        <f t="shared" si="149"/>
        <v>1</v>
      </c>
      <c r="Q2428" s="36">
        <f t="shared" si="150"/>
        <v>33171.119999999995</v>
      </c>
      <c r="R2428">
        <f t="shared" si="151"/>
        <v>2023</v>
      </c>
    </row>
    <row r="2429" spans="1:18" x14ac:dyDescent="0.2">
      <c r="A2429" s="13">
        <v>45252</v>
      </c>
      <c r="B2429" s="13">
        <v>45252</v>
      </c>
      <c r="C2429" s="25" t="s">
        <v>398</v>
      </c>
      <c r="D2429" s="20">
        <v>0</v>
      </c>
      <c r="E2429" s="28">
        <v>49756.68</v>
      </c>
      <c r="F2429" s="22" t="s">
        <v>304</v>
      </c>
      <c r="G2429" s="14">
        <v>108</v>
      </c>
      <c r="H2429" s="40">
        <v>45077</v>
      </c>
      <c r="I2429" s="46">
        <f t="shared" si="148"/>
        <v>175</v>
      </c>
      <c r="J2429" s="1" t="s">
        <v>15</v>
      </c>
      <c r="K2429" s="4" t="s">
        <v>209</v>
      </c>
      <c r="L2429" s="4" t="s">
        <v>231</v>
      </c>
      <c r="M2429" s="8">
        <v>108</v>
      </c>
      <c r="N2429" s="5">
        <v>460.71</v>
      </c>
      <c r="O2429" s="5">
        <v>49756.68</v>
      </c>
      <c r="P2429">
        <f t="shared" si="149"/>
        <v>1</v>
      </c>
      <c r="Q2429" s="36">
        <f t="shared" si="150"/>
        <v>49756.68</v>
      </c>
      <c r="R2429">
        <f t="shared" si="151"/>
        <v>2023</v>
      </c>
    </row>
    <row r="2430" spans="1:18" x14ac:dyDescent="0.2">
      <c r="A2430" s="13">
        <v>45252</v>
      </c>
      <c r="B2430" s="13">
        <v>45252</v>
      </c>
      <c r="C2430" s="25" t="s">
        <v>398</v>
      </c>
      <c r="D2430" s="20">
        <v>0</v>
      </c>
      <c r="E2430" s="28">
        <v>33171.120000000003</v>
      </c>
      <c r="F2430" s="22" t="s">
        <v>304</v>
      </c>
      <c r="G2430" s="14">
        <v>72</v>
      </c>
      <c r="H2430" s="40">
        <v>45077</v>
      </c>
      <c r="I2430" s="46">
        <f t="shared" si="148"/>
        <v>175</v>
      </c>
      <c r="J2430" s="1" t="s">
        <v>15</v>
      </c>
      <c r="K2430" s="4" t="s">
        <v>209</v>
      </c>
      <c r="L2430" s="4" t="s">
        <v>231</v>
      </c>
      <c r="M2430" s="8">
        <v>72</v>
      </c>
      <c r="N2430" s="5">
        <v>460.71</v>
      </c>
      <c r="O2430" s="5">
        <v>33171.120000000003</v>
      </c>
      <c r="P2430">
        <f t="shared" si="149"/>
        <v>1</v>
      </c>
      <c r="Q2430" s="36">
        <f t="shared" si="150"/>
        <v>33171.119999999995</v>
      </c>
      <c r="R2430">
        <f t="shared" si="151"/>
        <v>2023</v>
      </c>
    </row>
    <row r="2431" spans="1:18" x14ac:dyDescent="0.2">
      <c r="A2431" s="13">
        <v>45266</v>
      </c>
      <c r="B2431" s="13">
        <v>45266</v>
      </c>
      <c r="C2431" s="25" t="s">
        <v>398</v>
      </c>
      <c r="D2431" s="20">
        <v>0</v>
      </c>
      <c r="E2431" s="28">
        <v>16585.560000000001</v>
      </c>
      <c r="F2431" s="22" t="s">
        <v>304</v>
      </c>
      <c r="G2431" s="14">
        <v>36</v>
      </c>
      <c r="H2431" s="40">
        <v>45077</v>
      </c>
      <c r="I2431" s="46">
        <f t="shared" si="148"/>
        <v>189</v>
      </c>
      <c r="J2431" s="1" t="s">
        <v>15</v>
      </c>
      <c r="K2431" s="4" t="s">
        <v>209</v>
      </c>
      <c r="L2431" s="4" t="s">
        <v>231</v>
      </c>
      <c r="M2431" s="8">
        <v>36</v>
      </c>
      <c r="N2431" s="5">
        <v>460.71</v>
      </c>
      <c r="O2431" s="5">
        <v>16585.560000000001</v>
      </c>
      <c r="P2431">
        <f t="shared" si="149"/>
        <v>1</v>
      </c>
      <c r="Q2431" s="36">
        <f t="shared" si="150"/>
        <v>16585.559999999998</v>
      </c>
      <c r="R2431">
        <f t="shared" si="151"/>
        <v>2023</v>
      </c>
    </row>
    <row r="2432" spans="1:18" x14ac:dyDescent="0.2">
      <c r="A2432" s="13">
        <v>45287</v>
      </c>
      <c r="B2432" s="13">
        <v>45287</v>
      </c>
      <c r="C2432" s="25" t="s">
        <v>398</v>
      </c>
      <c r="D2432" s="20">
        <v>0</v>
      </c>
      <c r="E2432" s="28">
        <v>33171.120000000003</v>
      </c>
      <c r="F2432" s="22" t="s">
        <v>304</v>
      </c>
      <c r="G2432" s="14">
        <v>72</v>
      </c>
      <c r="H2432" s="40">
        <v>45077</v>
      </c>
      <c r="I2432" s="46">
        <f t="shared" si="148"/>
        <v>210</v>
      </c>
      <c r="J2432" s="1" t="s">
        <v>15</v>
      </c>
      <c r="K2432" s="4" t="s">
        <v>209</v>
      </c>
      <c r="L2432" s="4" t="s">
        <v>231</v>
      </c>
      <c r="M2432" s="8">
        <v>72</v>
      </c>
      <c r="N2432" s="5">
        <v>460.71</v>
      </c>
      <c r="O2432" s="5">
        <v>33171.120000000003</v>
      </c>
      <c r="P2432">
        <f t="shared" si="149"/>
        <v>1</v>
      </c>
      <c r="Q2432" s="36">
        <f t="shared" si="150"/>
        <v>33171.119999999995</v>
      </c>
      <c r="R2432">
        <f t="shared" si="151"/>
        <v>2023</v>
      </c>
    </row>
    <row r="2433" spans="1:18" x14ac:dyDescent="0.2">
      <c r="A2433" s="13">
        <v>45308</v>
      </c>
      <c r="B2433" s="13">
        <v>45308</v>
      </c>
      <c r="C2433" s="25" t="s">
        <v>398</v>
      </c>
      <c r="D2433" s="20">
        <v>0</v>
      </c>
      <c r="E2433" s="28">
        <v>16585.560000000001</v>
      </c>
      <c r="F2433" s="22" t="s">
        <v>304</v>
      </c>
      <c r="G2433" s="14">
        <v>36</v>
      </c>
      <c r="H2433" s="40">
        <v>45077</v>
      </c>
      <c r="I2433" s="46">
        <f t="shared" si="148"/>
        <v>231</v>
      </c>
      <c r="J2433" s="1" t="s">
        <v>15</v>
      </c>
      <c r="K2433" s="4" t="s">
        <v>209</v>
      </c>
      <c r="L2433" s="4" t="s">
        <v>231</v>
      </c>
      <c r="M2433" s="8">
        <v>36</v>
      </c>
      <c r="N2433" s="5">
        <v>460.71</v>
      </c>
      <c r="O2433" s="5">
        <v>16585.560000000001</v>
      </c>
      <c r="P2433">
        <f t="shared" si="149"/>
        <v>1</v>
      </c>
      <c r="Q2433" s="36">
        <f t="shared" si="150"/>
        <v>16585.559999999998</v>
      </c>
      <c r="R2433">
        <f t="shared" si="151"/>
        <v>2023</v>
      </c>
    </row>
    <row r="2434" spans="1:18" x14ac:dyDescent="0.2">
      <c r="A2434" s="13">
        <v>45315</v>
      </c>
      <c r="B2434" s="13">
        <v>45315</v>
      </c>
      <c r="C2434" s="25" t="s">
        <v>398</v>
      </c>
      <c r="D2434" s="20">
        <v>0</v>
      </c>
      <c r="E2434" s="28">
        <v>33171.120000000003</v>
      </c>
      <c r="F2434" s="22" t="s">
        <v>304</v>
      </c>
      <c r="G2434" s="14">
        <v>72</v>
      </c>
      <c r="H2434" s="40">
        <v>45077</v>
      </c>
      <c r="I2434" s="46">
        <f t="shared" si="148"/>
        <v>238</v>
      </c>
      <c r="J2434" s="1" t="s">
        <v>15</v>
      </c>
      <c r="K2434" s="4" t="s">
        <v>209</v>
      </c>
      <c r="L2434" s="4" t="s">
        <v>231</v>
      </c>
      <c r="M2434" s="8">
        <v>72</v>
      </c>
      <c r="N2434" s="5">
        <v>460.71</v>
      </c>
      <c r="O2434" s="5">
        <v>33171.120000000003</v>
      </c>
      <c r="P2434">
        <f t="shared" si="149"/>
        <v>1</v>
      </c>
      <c r="Q2434" s="36">
        <f t="shared" si="150"/>
        <v>33171.119999999995</v>
      </c>
      <c r="R2434">
        <f t="shared" si="151"/>
        <v>2023</v>
      </c>
    </row>
    <row r="2435" spans="1:18" x14ac:dyDescent="0.2">
      <c r="A2435" s="13">
        <v>45322</v>
      </c>
      <c r="B2435" s="13">
        <v>45322</v>
      </c>
      <c r="C2435" s="25" t="s">
        <v>398</v>
      </c>
      <c r="D2435" s="20">
        <v>0</v>
      </c>
      <c r="E2435" s="28">
        <v>33171.120000000003</v>
      </c>
      <c r="F2435" s="22" t="s">
        <v>304</v>
      </c>
      <c r="G2435" s="14">
        <v>72</v>
      </c>
      <c r="H2435" s="40">
        <v>45077</v>
      </c>
      <c r="I2435" s="46">
        <f t="shared" ref="I2435:I2498" si="152">IFERROR(A2435-H2435,"")*1</f>
        <v>245</v>
      </c>
      <c r="J2435" s="1" t="s">
        <v>15</v>
      </c>
      <c r="K2435" s="4" t="s">
        <v>209</v>
      </c>
      <c r="L2435" s="4" t="s">
        <v>231</v>
      </c>
      <c r="M2435" s="8">
        <v>72</v>
      </c>
      <c r="N2435" s="5">
        <v>460.71</v>
      </c>
      <c r="O2435" s="5">
        <v>33171.120000000003</v>
      </c>
      <c r="P2435">
        <f t="shared" ref="P2435:P2498" si="153">IF(M2435=G2435,1,0)</f>
        <v>1</v>
      </c>
      <c r="Q2435" s="36">
        <f t="shared" ref="Q2435:Q2498" si="154">N2435*G2435</f>
        <v>33171.119999999995</v>
      </c>
      <c r="R2435">
        <f t="shared" ref="R2435:R2498" si="155">YEAR(H2435)</f>
        <v>2023</v>
      </c>
    </row>
    <row r="2436" spans="1:18" x14ac:dyDescent="0.2">
      <c r="A2436" s="13">
        <v>45331</v>
      </c>
      <c r="B2436" s="13">
        <v>45331</v>
      </c>
      <c r="C2436" s="25" t="s">
        <v>398</v>
      </c>
      <c r="D2436" s="20">
        <v>0</v>
      </c>
      <c r="E2436" s="28">
        <v>33171.120000000003</v>
      </c>
      <c r="F2436" s="22" t="s">
        <v>304</v>
      </c>
      <c r="G2436" s="14">
        <v>72</v>
      </c>
      <c r="H2436" s="40">
        <v>45077</v>
      </c>
      <c r="I2436" s="46">
        <f t="shared" si="152"/>
        <v>254</v>
      </c>
      <c r="J2436" s="1" t="s">
        <v>15</v>
      </c>
      <c r="K2436" s="4" t="s">
        <v>209</v>
      </c>
      <c r="L2436" s="4" t="s">
        <v>231</v>
      </c>
      <c r="M2436" s="8">
        <v>72</v>
      </c>
      <c r="N2436" s="5">
        <v>460.71</v>
      </c>
      <c r="O2436" s="5">
        <v>33171.120000000003</v>
      </c>
      <c r="P2436">
        <f t="shared" si="153"/>
        <v>1</v>
      </c>
      <c r="Q2436" s="36">
        <f t="shared" si="154"/>
        <v>33171.119999999995</v>
      </c>
      <c r="R2436">
        <f t="shared" si="155"/>
        <v>2023</v>
      </c>
    </row>
    <row r="2437" spans="1:18" x14ac:dyDescent="0.2">
      <c r="A2437" s="13">
        <v>45387</v>
      </c>
      <c r="B2437" s="13">
        <v>45387</v>
      </c>
      <c r="C2437" s="25" t="s">
        <v>398</v>
      </c>
      <c r="D2437" s="20">
        <v>0</v>
      </c>
      <c r="E2437" s="28">
        <v>33171.120000000003</v>
      </c>
      <c r="F2437" s="22" t="s">
        <v>304</v>
      </c>
      <c r="G2437" s="14">
        <v>72</v>
      </c>
      <c r="H2437" s="40">
        <v>45090</v>
      </c>
      <c r="I2437" s="46">
        <f t="shared" si="152"/>
        <v>297</v>
      </c>
      <c r="J2437" s="1" t="s">
        <v>15</v>
      </c>
      <c r="K2437" s="4" t="s">
        <v>209</v>
      </c>
      <c r="L2437" s="4" t="s">
        <v>231</v>
      </c>
      <c r="M2437" s="8">
        <v>72</v>
      </c>
      <c r="N2437" s="5">
        <v>460.71</v>
      </c>
      <c r="O2437" s="5">
        <v>33171.120000000003</v>
      </c>
      <c r="P2437">
        <f t="shared" si="153"/>
        <v>1</v>
      </c>
      <c r="Q2437" s="36">
        <f t="shared" si="154"/>
        <v>33171.119999999995</v>
      </c>
      <c r="R2437">
        <f t="shared" si="155"/>
        <v>2023</v>
      </c>
    </row>
    <row r="2438" spans="1:18" x14ac:dyDescent="0.2">
      <c r="A2438" s="13">
        <v>45394</v>
      </c>
      <c r="B2438" s="13">
        <v>45394</v>
      </c>
      <c r="C2438" s="25" t="s">
        <v>398</v>
      </c>
      <c r="D2438" s="20">
        <v>0</v>
      </c>
      <c r="E2438" s="28">
        <v>33171.120000000003</v>
      </c>
      <c r="F2438" s="22" t="s">
        <v>304</v>
      </c>
      <c r="G2438" s="14">
        <v>72</v>
      </c>
      <c r="H2438" s="40">
        <v>45090</v>
      </c>
      <c r="I2438" s="46">
        <f t="shared" si="152"/>
        <v>304</v>
      </c>
      <c r="J2438" s="1" t="s">
        <v>15</v>
      </c>
      <c r="K2438" s="4" t="s">
        <v>209</v>
      </c>
      <c r="L2438" s="4" t="s">
        <v>231</v>
      </c>
      <c r="M2438" s="8">
        <v>72</v>
      </c>
      <c r="N2438" s="5">
        <v>460.71</v>
      </c>
      <c r="O2438" s="5">
        <v>33171.120000000003</v>
      </c>
      <c r="P2438">
        <f t="shared" si="153"/>
        <v>1</v>
      </c>
      <c r="Q2438" s="36">
        <f t="shared" si="154"/>
        <v>33171.119999999995</v>
      </c>
      <c r="R2438">
        <f t="shared" si="155"/>
        <v>2023</v>
      </c>
    </row>
    <row r="2439" spans="1:18" x14ac:dyDescent="0.2">
      <c r="A2439" s="13">
        <v>45401</v>
      </c>
      <c r="B2439" s="13">
        <v>45401</v>
      </c>
      <c r="C2439" s="25" t="s">
        <v>398</v>
      </c>
      <c r="D2439" s="20">
        <v>0</v>
      </c>
      <c r="E2439" s="28">
        <v>33171.120000000003</v>
      </c>
      <c r="F2439" s="22" t="s">
        <v>304</v>
      </c>
      <c r="G2439" s="14">
        <v>72</v>
      </c>
      <c r="H2439" s="40">
        <v>45090</v>
      </c>
      <c r="I2439" s="46">
        <f t="shared" si="152"/>
        <v>311</v>
      </c>
      <c r="J2439" s="1" t="s">
        <v>15</v>
      </c>
      <c r="K2439" s="4" t="s">
        <v>209</v>
      </c>
      <c r="L2439" s="4" t="s">
        <v>231</v>
      </c>
      <c r="M2439" s="8">
        <v>72</v>
      </c>
      <c r="N2439" s="5">
        <v>460.71</v>
      </c>
      <c r="O2439" s="5">
        <v>33171.120000000003</v>
      </c>
      <c r="P2439">
        <f t="shared" si="153"/>
        <v>1</v>
      </c>
      <c r="Q2439" s="36">
        <f t="shared" si="154"/>
        <v>33171.119999999995</v>
      </c>
      <c r="R2439">
        <f t="shared" si="155"/>
        <v>2023</v>
      </c>
    </row>
    <row r="2440" spans="1:18" x14ac:dyDescent="0.2">
      <c r="A2440" s="13">
        <v>45408</v>
      </c>
      <c r="B2440" s="13">
        <v>45408</v>
      </c>
      <c r="C2440" s="25" t="s">
        <v>398</v>
      </c>
      <c r="D2440" s="20">
        <v>0</v>
      </c>
      <c r="E2440" s="28">
        <v>16585.560000000001</v>
      </c>
      <c r="F2440" s="22" t="s">
        <v>304</v>
      </c>
      <c r="G2440" s="14">
        <v>36</v>
      </c>
      <c r="H2440" s="40">
        <v>45090</v>
      </c>
      <c r="I2440" s="46">
        <f t="shared" si="152"/>
        <v>318</v>
      </c>
      <c r="J2440" s="1" t="s">
        <v>15</v>
      </c>
      <c r="K2440" s="4" t="s">
        <v>209</v>
      </c>
      <c r="L2440" s="4" t="s">
        <v>231</v>
      </c>
      <c r="M2440" s="8">
        <v>36</v>
      </c>
      <c r="N2440" s="5">
        <v>460.71</v>
      </c>
      <c r="O2440" s="5">
        <v>16585.560000000001</v>
      </c>
      <c r="P2440">
        <f t="shared" si="153"/>
        <v>1</v>
      </c>
      <c r="Q2440" s="36">
        <f t="shared" si="154"/>
        <v>16585.559999999998</v>
      </c>
      <c r="R2440">
        <f t="shared" si="155"/>
        <v>2023</v>
      </c>
    </row>
    <row r="2441" spans="1:18" x14ac:dyDescent="0.2">
      <c r="A2441" s="13">
        <v>45415</v>
      </c>
      <c r="B2441" s="13">
        <v>45415</v>
      </c>
      <c r="C2441" s="25" t="s">
        <v>398</v>
      </c>
      <c r="D2441" s="20">
        <v>0</v>
      </c>
      <c r="E2441" s="28">
        <v>33171.120000000003</v>
      </c>
      <c r="F2441" s="22" t="s">
        <v>304</v>
      </c>
      <c r="G2441" s="14">
        <v>72</v>
      </c>
      <c r="H2441" s="40">
        <v>45090</v>
      </c>
      <c r="I2441" s="46">
        <f t="shared" si="152"/>
        <v>325</v>
      </c>
      <c r="J2441" s="1" t="s">
        <v>15</v>
      </c>
      <c r="K2441" s="4" t="s">
        <v>209</v>
      </c>
      <c r="L2441" s="4" t="s">
        <v>231</v>
      </c>
      <c r="M2441" s="8">
        <v>72</v>
      </c>
      <c r="N2441" s="5">
        <v>460.71</v>
      </c>
      <c r="O2441" s="5">
        <v>33171.120000000003</v>
      </c>
      <c r="P2441">
        <f t="shared" si="153"/>
        <v>1</v>
      </c>
      <c r="Q2441" s="36">
        <f t="shared" si="154"/>
        <v>33171.119999999995</v>
      </c>
      <c r="R2441">
        <f t="shared" si="155"/>
        <v>2023</v>
      </c>
    </row>
    <row r="2442" spans="1:18" x14ac:dyDescent="0.2">
      <c r="A2442" s="13">
        <v>45422</v>
      </c>
      <c r="B2442" s="13">
        <v>45422</v>
      </c>
      <c r="C2442" s="25" t="s">
        <v>398</v>
      </c>
      <c r="D2442" s="20">
        <v>0</v>
      </c>
      <c r="E2442" s="28">
        <v>33171.120000000003</v>
      </c>
      <c r="F2442" s="22" t="s">
        <v>304</v>
      </c>
      <c r="G2442" s="14">
        <v>72</v>
      </c>
      <c r="H2442" s="40">
        <v>45090</v>
      </c>
      <c r="I2442" s="46">
        <f t="shared" si="152"/>
        <v>332</v>
      </c>
      <c r="J2442" s="1" t="s">
        <v>15</v>
      </c>
      <c r="K2442" s="4" t="s">
        <v>209</v>
      </c>
      <c r="L2442" s="4" t="s">
        <v>231</v>
      </c>
      <c r="M2442" s="8">
        <v>72</v>
      </c>
      <c r="N2442" s="5">
        <v>460.71</v>
      </c>
      <c r="O2442" s="5">
        <v>33171.120000000003</v>
      </c>
      <c r="P2442">
        <f t="shared" si="153"/>
        <v>1</v>
      </c>
      <c r="Q2442" s="36">
        <f t="shared" si="154"/>
        <v>33171.119999999995</v>
      </c>
      <c r="R2442">
        <f t="shared" si="155"/>
        <v>2023</v>
      </c>
    </row>
    <row r="2443" spans="1:18" x14ac:dyDescent="0.2">
      <c r="A2443" s="13">
        <v>45429</v>
      </c>
      <c r="B2443" s="13">
        <v>45429</v>
      </c>
      <c r="C2443" s="25" t="s">
        <v>398</v>
      </c>
      <c r="D2443" s="20">
        <v>0</v>
      </c>
      <c r="E2443" s="28">
        <v>33171.120000000003</v>
      </c>
      <c r="F2443" s="22" t="s">
        <v>304</v>
      </c>
      <c r="G2443" s="14">
        <v>72</v>
      </c>
      <c r="H2443" s="40">
        <v>45090</v>
      </c>
      <c r="I2443" s="46">
        <f t="shared" si="152"/>
        <v>339</v>
      </c>
      <c r="J2443" s="1" t="s">
        <v>15</v>
      </c>
      <c r="K2443" s="4" t="s">
        <v>209</v>
      </c>
      <c r="L2443" s="4" t="s">
        <v>231</v>
      </c>
      <c r="M2443" s="8">
        <v>72</v>
      </c>
      <c r="N2443" s="5">
        <v>460.71</v>
      </c>
      <c r="O2443" s="5">
        <v>33171.120000000003</v>
      </c>
      <c r="P2443">
        <f t="shared" si="153"/>
        <v>1</v>
      </c>
      <c r="Q2443" s="36">
        <f t="shared" si="154"/>
        <v>33171.119999999995</v>
      </c>
      <c r="R2443">
        <f t="shared" si="155"/>
        <v>2023</v>
      </c>
    </row>
    <row r="2444" spans="1:18" x14ac:dyDescent="0.2">
      <c r="A2444" s="13">
        <v>45436</v>
      </c>
      <c r="B2444" s="13">
        <v>45436</v>
      </c>
      <c r="C2444" s="25" t="s">
        <v>398</v>
      </c>
      <c r="D2444" s="20">
        <v>0</v>
      </c>
      <c r="E2444" s="28">
        <v>16585.560000000001</v>
      </c>
      <c r="F2444" s="22" t="s">
        <v>304</v>
      </c>
      <c r="G2444" s="14">
        <v>36</v>
      </c>
      <c r="H2444" s="40">
        <v>45090</v>
      </c>
      <c r="I2444" s="46">
        <f t="shared" si="152"/>
        <v>346</v>
      </c>
      <c r="J2444" s="1" t="s">
        <v>15</v>
      </c>
      <c r="K2444" s="4" t="s">
        <v>209</v>
      </c>
      <c r="L2444" s="4" t="s">
        <v>231</v>
      </c>
      <c r="M2444" s="8">
        <v>36</v>
      </c>
      <c r="N2444" s="5">
        <v>460.71</v>
      </c>
      <c r="O2444" s="5">
        <v>16585.560000000001</v>
      </c>
      <c r="P2444">
        <f t="shared" si="153"/>
        <v>1</v>
      </c>
      <c r="Q2444" s="36">
        <f t="shared" si="154"/>
        <v>16585.559999999998</v>
      </c>
      <c r="R2444">
        <f t="shared" si="155"/>
        <v>2023</v>
      </c>
    </row>
    <row r="2445" spans="1:18" x14ac:dyDescent="0.2">
      <c r="A2445" s="13">
        <v>45443</v>
      </c>
      <c r="B2445" s="13">
        <v>45443</v>
      </c>
      <c r="C2445" s="25" t="s">
        <v>398</v>
      </c>
      <c r="D2445" s="20">
        <v>0</v>
      </c>
      <c r="E2445" s="28">
        <v>33171.120000000003</v>
      </c>
      <c r="F2445" s="22" t="s">
        <v>304</v>
      </c>
      <c r="G2445" s="14">
        <v>72</v>
      </c>
      <c r="H2445" s="40">
        <v>45090</v>
      </c>
      <c r="I2445" s="46">
        <f t="shared" si="152"/>
        <v>353</v>
      </c>
      <c r="J2445" s="1" t="s">
        <v>15</v>
      </c>
      <c r="K2445" s="4" t="s">
        <v>209</v>
      </c>
      <c r="L2445" s="4" t="s">
        <v>231</v>
      </c>
      <c r="M2445" s="8">
        <v>72</v>
      </c>
      <c r="N2445" s="5">
        <v>460.71</v>
      </c>
      <c r="O2445" s="5">
        <v>33171.120000000003</v>
      </c>
      <c r="P2445">
        <f t="shared" si="153"/>
        <v>1</v>
      </c>
      <c r="Q2445" s="36">
        <f t="shared" si="154"/>
        <v>33171.119999999995</v>
      </c>
      <c r="R2445">
        <f t="shared" si="155"/>
        <v>2023</v>
      </c>
    </row>
    <row r="2446" spans="1:18" x14ac:dyDescent="0.2">
      <c r="A2446" s="13">
        <v>45450</v>
      </c>
      <c r="B2446" s="13">
        <v>45450</v>
      </c>
      <c r="C2446" s="25" t="s">
        <v>398</v>
      </c>
      <c r="D2446" s="20">
        <v>0</v>
      </c>
      <c r="E2446" s="28">
        <v>33171.120000000003</v>
      </c>
      <c r="F2446" s="22" t="s">
        <v>304</v>
      </c>
      <c r="G2446" s="14">
        <v>72</v>
      </c>
      <c r="H2446" s="40">
        <v>45090</v>
      </c>
      <c r="I2446" s="46">
        <f t="shared" si="152"/>
        <v>360</v>
      </c>
      <c r="J2446" s="1" t="s">
        <v>15</v>
      </c>
      <c r="K2446" s="4" t="s">
        <v>209</v>
      </c>
      <c r="L2446" s="4" t="s">
        <v>231</v>
      </c>
      <c r="M2446" s="8">
        <v>72</v>
      </c>
      <c r="N2446" s="5">
        <v>460.71</v>
      </c>
      <c r="O2446" s="5">
        <v>33171.120000000003</v>
      </c>
      <c r="P2446">
        <f t="shared" si="153"/>
        <v>1</v>
      </c>
      <c r="Q2446" s="36">
        <f t="shared" si="154"/>
        <v>33171.119999999995</v>
      </c>
      <c r="R2446">
        <f t="shared" si="155"/>
        <v>2023</v>
      </c>
    </row>
    <row r="2447" spans="1:18" x14ac:dyDescent="0.2">
      <c r="A2447" s="13">
        <v>45196</v>
      </c>
      <c r="B2447" s="13">
        <v>45196</v>
      </c>
      <c r="C2447" s="25" t="s">
        <v>398</v>
      </c>
      <c r="D2447" s="20">
        <v>0</v>
      </c>
      <c r="E2447" s="28">
        <v>16585.560000000001</v>
      </c>
      <c r="F2447" s="22" t="s">
        <v>304</v>
      </c>
      <c r="G2447" s="14">
        <v>36</v>
      </c>
      <c r="H2447" s="40">
        <v>45180</v>
      </c>
      <c r="I2447" s="46">
        <f t="shared" si="152"/>
        <v>16</v>
      </c>
      <c r="J2447" s="1" t="s">
        <v>15</v>
      </c>
      <c r="K2447" s="4" t="s">
        <v>209</v>
      </c>
      <c r="L2447" s="4" t="s">
        <v>231</v>
      </c>
      <c r="M2447" s="8">
        <v>36</v>
      </c>
      <c r="N2447" s="5">
        <v>460.71</v>
      </c>
      <c r="O2447" s="5">
        <v>16585.560000000001</v>
      </c>
      <c r="P2447">
        <f t="shared" si="153"/>
        <v>1</v>
      </c>
      <c r="Q2447" s="36">
        <f t="shared" si="154"/>
        <v>16585.559999999998</v>
      </c>
      <c r="R2447">
        <f t="shared" si="155"/>
        <v>2023</v>
      </c>
    </row>
    <row r="2448" spans="1:18" x14ac:dyDescent="0.2">
      <c r="A2448" s="13">
        <v>45496</v>
      </c>
      <c r="B2448" s="13">
        <v>45496</v>
      </c>
      <c r="C2448" s="25" t="s">
        <v>398</v>
      </c>
      <c r="D2448" s="20">
        <v>0</v>
      </c>
      <c r="E2448" s="28">
        <v>80049.600000000006</v>
      </c>
      <c r="F2448" s="22" t="s">
        <v>305</v>
      </c>
      <c r="G2448" s="14">
        <v>120</v>
      </c>
      <c r="H2448" s="40">
        <v>45013</v>
      </c>
      <c r="I2448" s="46">
        <f t="shared" si="152"/>
        <v>483</v>
      </c>
      <c r="J2448" s="1" t="s">
        <v>15</v>
      </c>
      <c r="K2448" s="4" t="s">
        <v>209</v>
      </c>
      <c r="L2448" s="4" t="s">
        <v>231</v>
      </c>
      <c r="M2448" s="8">
        <v>120</v>
      </c>
      <c r="N2448" s="5">
        <v>667.08</v>
      </c>
      <c r="O2448" s="5">
        <v>80049.600000000006</v>
      </c>
      <c r="P2448">
        <f t="shared" si="153"/>
        <v>1</v>
      </c>
      <c r="Q2448" s="36">
        <f t="shared" si="154"/>
        <v>80049.600000000006</v>
      </c>
      <c r="R2448">
        <f t="shared" si="155"/>
        <v>2023</v>
      </c>
    </row>
    <row r="2449" spans="1:18" x14ac:dyDescent="0.2">
      <c r="A2449" s="13">
        <v>45490</v>
      </c>
      <c r="B2449" s="13">
        <v>45490</v>
      </c>
      <c r="C2449" s="25" t="s">
        <v>398</v>
      </c>
      <c r="D2449" s="20">
        <v>0</v>
      </c>
      <c r="E2449" s="28">
        <v>40024.800000000003</v>
      </c>
      <c r="F2449" s="22" t="s">
        <v>305</v>
      </c>
      <c r="G2449" s="14">
        <v>60</v>
      </c>
      <c r="H2449" s="40">
        <v>45056</v>
      </c>
      <c r="I2449" s="46">
        <f t="shared" si="152"/>
        <v>434</v>
      </c>
      <c r="J2449" s="1" t="s">
        <v>15</v>
      </c>
      <c r="K2449" s="4" t="s">
        <v>209</v>
      </c>
      <c r="L2449" s="4" t="s">
        <v>231</v>
      </c>
      <c r="M2449" s="8">
        <v>60</v>
      </c>
      <c r="N2449" s="5">
        <v>667.08</v>
      </c>
      <c r="O2449" s="5">
        <v>40024.800000000003</v>
      </c>
      <c r="P2449">
        <f t="shared" si="153"/>
        <v>1</v>
      </c>
      <c r="Q2449" s="36">
        <f t="shared" si="154"/>
        <v>40024.800000000003</v>
      </c>
      <c r="R2449">
        <f t="shared" si="155"/>
        <v>2023</v>
      </c>
    </row>
    <row r="2450" spans="1:18" x14ac:dyDescent="0.2">
      <c r="A2450" s="13">
        <v>45233</v>
      </c>
      <c r="B2450" s="13">
        <v>45233</v>
      </c>
      <c r="C2450" s="25" t="s">
        <v>398</v>
      </c>
      <c r="D2450" s="20">
        <v>0</v>
      </c>
      <c r="E2450" s="28">
        <v>6355.2</v>
      </c>
      <c r="F2450" s="22" t="s">
        <v>306</v>
      </c>
      <c r="G2450" s="14">
        <v>240</v>
      </c>
      <c r="H2450" s="40">
        <v>44768</v>
      </c>
      <c r="I2450" s="46">
        <f t="shared" si="152"/>
        <v>465</v>
      </c>
      <c r="J2450" s="1" t="s">
        <v>15</v>
      </c>
      <c r="K2450" s="4" t="s">
        <v>209</v>
      </c>
      <c r="L2450" s="4" t="s">
        <v>231</v>
      </c>
      <c r="M2450" s="8">
        <v>240</v>
      </c>
      <c r="N2450" s="5">
        <v>26.48</v>
      </c>
      <c r="O2450" s="5">
        <v>6355.2</v>
      </c>
      <c r="P2450">
        <f t="shared" si="153"/>
        <v>1</v>
      </c>
      <c r="Q2450" s="36">
        <f t="shared" si="154"/>
        <v>6355.2</v>
      </c>
      <c r="R2450">
        <f t="shared" si="155"/>
        <v>2022</v>
      </c>
    </row>
    <row r="2451" spans="1:18" x14ac:dyDescent="0.2">
      <c r="A2451" s="13">
        <v>45331</v>
      </c>
      <c r="B2451" s="13">
        <v>45331</v>
      </c>
      <c r="C2451" s="25" t="s">
        <v>398</v>
      </c>
      <c r="D2451" s="20">
        <v>0</v>
      </c>
      <c r="E2451" s="28">
        <v>6355.2</v>
      </c>
      <c r="F2451" s="22" t="s">
        <v>306</v>
      </c>
      <c r="G2451" s="14">
        <v>240</v>
      </c>
      <c r="H2451" s="40">
        <v>44845</v>
      </c>
      <c r="I2451" s="46">
        <f t="shared" si="152"/>
        <v>486</v>
      </c>
      <c r="J2451" s="1" t="s">
        <v>15</v>
      </c>
      <c r="K2451" s="4" t="s">
        <v>209</v>
      </c>
      <c r="L2451" s="4" t="s">
        <v>231</v>
      </c>
      <c r="M2451" s="8">
        <v>240</v>
      </c>
      <c r="N2451" s="5">
        <v>26.48</v>
      </c>
      <c r="O2451" s="5">
        <v>6355.2</v>
      </c>
      <c r="P2451">
        <f t="shared" si="153"/>
        <v>1</v>
      </c>
      <c r="Q2451" s="36">
        <f t="shared" si="154"/>
        <v>6355.2</v>
      </c>
      <c r="R2451">
        <f t="shared" si="155"/>
        <v>2022</v>
      </c>
    </row>
    <row r="2452" spans="1:18" x14ac:dyDescent="0.2">
      <c r="A2452" s="13">
        <v>45309</v>
      </c>
      <c r="B2452" s="13">
        <v>45309</v>
      </c>
      <c r="C2452" s="25" t="s">
        <v>398</v>
      </c>
      <c r="D2452" s="20">
        <v>0</v>
      </c>
      <c r="E2452" s="28">
        <v>6355.2</v>
      </c>
      <c r="F2452" s="22" t="s">
        <v>306</v>
      </c>
      <c r="G2452" s="14">
        <v>240</v>
      </c>
      <c r="H2452" s="40">
        <v>44859</v>
      </c>
      <c r="I2452" s="46">
        <f t="shared" si="152"/>
        <v>450</v>
      </c>
      <c r="J2452" s="1" t="s">
        <v>15</v>
      </c>
      <c r="K2452" s="4" t="s">
        <v>209</v>
      </c>
      <c r="L2452" s="4" t="s">
        <v>231</v>
      </c>
      <c r="M2452" s="8">
        <v>240</v>
      </c>
      <c r="N2452" s="5">
        <v>26.48</v>
      </c>
      <c r="O2452" s="5">
        <v>6355.2</v>
      </c>
      <c r="P2452">
        <f t="shared" si="153"/>
        <v>1</v>
      </c>
      <c r="Q2452" s="36">
        <f t="shared" si="154"/>
        <v>6355.2</v>
      </c>
      <c r="R2452">
        <f t="shared" si="155"/>
        <v>2022</v>
      </c>
    </row>
    <row r="2453" spans="1:18" x14ac:dyDescent="0.2">
      <c r="A2453" s="13">
        <v>45362</v>
      </c>
      <c r="B2453" s="13">
        <v>45362</v>
      </c>
      <c r="C2453" s="25" t="s">
        <v>398</v>
      </c>
      <c r="D2453" s="20">
        <v>0</v>
      </c>
      <c r="E2453" s="28">
        <v>6355.2</v>
      </c>
      <c r="F2453" s="22" t="s">
        <v>306</v>
      </c>
      <c r="G2453" s="14">
        <v>240</v>
      </c>
      <c r="H2453" s="40">
        <v>44866</v>
      </c>
      <c r="I2453" s="46">
        <f t="shared" si="152"/>
        <v>496</v>
      </c>
      <c r="J2453" s="1" t="s">
        <v>15</v>
      </c>
      <c r="K2453" s="4" t="s">
        <v>209</v>
      </c>
      <c r="L2453" s="4" t="s">
        <v>231</v>
      </c>
      <c r="M2453" s="8">
        <v>240</v>
      </c>
      <c r="N2453" s="5">
        <v>26.48</v>
      </c>
      <c r="O2453" s="5">
        <v>6355.2</v>
      </c>
      <c r="P2453">
        <f t="shared" si="153"/>
        <v>1</v>
      </c>
      <c r="Q2453" s="36">
        <f t="shared" si="154"/>
        <v>6355.2</v>
      </c>
      <c r="R2453">
        <f t="shared" si="155"/>
        <v>2022</v>
      </c>
    </row>
    <row r="2454" spans="1:18" x14ac:dyDescent="0.2">
      <c r="A2454" s="13">
        <v>45400</v>
      </c>
      <c r="B2454" s="13">
        <v>45400</v>
      </c>
      <c r="C2454" s="25" t="s">
        <v>398</v>
      </c>
      <c r="D2454" s="20">
        <v>0</v>
      </c>
      <c r="E2454" s="28">
        <v>6355.2</v>
      </c>
      <c r="F2454" s="22" t="s">
        <v>306</v>
      </c>
      <c r="G2454" s="14">
        <v>240</v>
      </c>
      <c r="H2454" s="40">
        <v>44945</v>
      </c>
      <c r="I2454" s="46">
        <f t="shared" si="152"/>
        <v>455</v>
      </c>
      <c r="J2454" s="1" t="s">
        <v>15</v>
      </c>
      <c r="K2454" s="4" t="s">
        <v>209</v>
      </c>
      <c r="L2454" s="4" t="s">
        <v>231</v>
      </c>
      <c r="M2454" s="8">
        <v>240</v>
      </c>
      <c r="N2454" s="5">
        <v>26.48</v>
      </c>
      <c r="O2454" s="5">
        <v>6355.2</v>
      </c>
      <c r="P2454">
        <f t="shared" si="153"/>
        <v>1</v>
      </c>
      <c r="Q2454" s="36">
        <f t="shared" si="154"/>
        <v>6355.2</v>
      </c>
      <c r="R2454">
        <f t="shared" si="155"/>
        <v>2023</v>
      </c>
    </row>
    <row r="2455" spans="1:18" x14ac:dyDescent="0.2">
      <c r="A2455" s="13">
        <v>45428</v>
      </c>
      <c r="B2455" s="13">
        <v>45428</v>
      </c>
      <c r="C2455" s="25" t="s">
        <v>398</v>
      </c>
      <c r="D2455" s="20">
        <v>0</v>
      </c>
      <c r="E2455" s="28">
        <v>6355.2</v>
      </c>
      <c r="F2455" s="22" t="s">
        <v>306</v>
      </c>
      <c r="G2455" s="14">
        <v>240</v>
      </c>
      <c r="H2455" s="40">
        <v>45016</v>
      </c>
      <c r="I2455" s="46">
        <f t="shared" si="152"/>
        <v>412</v>
      </c>
      <c r="J2455" s="1" t="s">
        <v>15</v>
      </c>
      <c r="K2455" s="4" t="s">
        <v>209</v>
      </c>
      <c r="L2455" s="4" t="s">
        <v>231</v>
      </c>
      <c r="M2455" s="8">
        <v>240</v>
      </c>
      <c r="N2455" s="5">
        <v>26.48</v>
      </c>
      <c r="O2455" s="5">
        <v>6355.2</v>
      </c>
      <c r="P2455">
        <f t="shared" si="153"/>
        <v>1</v>
      </c>
      <c r="Q2455" s="36">
        <f t="shared" si="154"/>
        <v>6355.2</v>
      </c>
      <c r="R2455">
        <f t="shared" si="155"/>
        <v>2023</v>
      </c>
    </row>
    <row r="2456" spans="1:18" x14ac:dyDescent="0.2">
      <c r="A2456" s="13">
        <v>45476</v>
      </c>
      <c r="B2456" s="13">
        <v>45476</v>
      </c>
      <c r="C2456" s="25" t="s">
        <v>398</v>
      </c>
      <c r="D2456" s="20">
        <v>0</v>
      </c>
      <c r="E2456" s="28">
        <v>3177.6</v>
      </c>
      <c r="F2456" s="22" t="s">
        <v>306</v>
      </c>
      <c r="G2456" s="14">
        <v>120</v>
      </c>
      <c r="H2456" s="40">
        <v>45043</v>
      </c>
      <c r="I2456" s="46">
        <f t="shared" si="152"/>
        <v>433</v>
      </c>
      <c r="J2456" s="1" t="s">
        <v>15</v>
      </c>
      <c r="K2456" s="4" t="s">
        <v>209</v>
      </c>
      <c r="L2456" s="4" t="s">
        <v>231</v>
      </c>
      <c r="M2456" s="8">
        <v>120</v>
      </c>
      <c r="N2456" s="5">
        <v>26.48</v>
      </c>
      <c r="O2456" s="5">
        <v>3177.6</v>
      </c>
      <c r="P2456">
        <f t="shared" si="153"/>
        <v>1</v>
      </c>
      <c r="Q2456" s="36">
        <f t="shared" si="154"/>
        <v>3177.6</v>
      </c>
      <c r="R2456">
        <f t="shared" si="155"/>
        <v>2023</v>
      </c>
    </row>
    <row r="2457" spans="1:18" x14ac:dyDescent="0.2">
      <c r="A2457" s="13">
        <v>45491</v>
      </c>
      <c r="B2457" s="13">
        <v>45491</v>
      </c>
      <c r="C2457" s="25" t="s">
        <v>398</v>
      </c>
      <c r="D2457" s="20">
        <v>0</v>
      </c>
      <c r="E2457" s="28">
        <v>3177.6</v>
      </c>
      <c r="F2457" s="22" t="s">
        <v>306</v>
      </c>
      <c r="G2457" s="14">
        <v>120</v>
      </c>
      <c r="H2457" s="40">
        <v>45050</v>
      </c>
      <c r="I2457" s="46">
        <f t="shared" si="152"/>
        <v>441</v>
      </c>
      <c r="J2457" s="1" t="s">
        <v>15</v>
      </c>
      <c r="K2457" s="4" t="s">
        <v>209</v>
      </c>
      <c r="L2457" s="4" t="s">
        <v>231</v>
      </c>
      <c r="M2457" s="8">
        <v>120</v>
      </c>
      <c r="N2457" s="5">
        <v>26.48</v>
      </c>
      <c r="O2457" s="5">
        <v>3177.6</v>
      </c>
      <c r="P2457">
        <f t="shared" si="153"/>
        <v>1</v>
      </c>
      <c r="Q2457" s="36">
        <f t="shared" si="154"/>
        <v>3177.6</v>
      </c>
      <c r="R2457">
        <f t="shared" si="155"/>
        <v>2023</v>
      </c>
    </row>
    <row r="2458" spans="1:18" x14ac:dyDescent="0.2">
      <c r="A2458" s="13">
        <v>45505</v>
      </c>
      <c r="B2458" s="13">
        <v>45505</v>
      </c>
      <c r="C2458" s="25" t="s">
        <v>398</v>
      </c>
      <c r="D2458" s="20">
        <v>0</v>
      </c>
      <c r="E2458" s="28">
        <v>3177.6</v>
      </c>
      <c r="F2458" s="22" t="s">
        <v>306</v>
      </c>
      <c r="G2458" s="14">
        <v>120</v>
      </c>
      <c r="H2458" s="40">
        <v>45050</v>
      </c>
      <c r="I2458" s="46">
        <f t="shared" si="152"/>
        <v>455</v>
      </c>
      <c r="J2458" s="1" t="s">
        <v>15</v>
      </c>
      <c r="K2458" s="4" t="s">
        <v>209</v>
      </c>
      <c r="L2458" s="4" t="s">
        <v>231</v>
      </c>
      <c r="M2458" s="8">
        <v>120</v>
      </c>
      <c r="N2458" s="5">
        <v>26.48</v>
      </c>
      <c r="O2458" s="5">
        <v>3177.6</v>
      </c>
      <c r="P2458">
        <f t="shared" si="153"/>
        <v>1</v>
      </c>
      <c r="Q2458" s="36">
        <f t="shared" si="154"/>
        <v>3177.6</v>
      </c>
      <c r="R2458">
        <f t="shared" si="155"/>
        <v>2023</v>
      </c>
    </row>
    <row r="2459" spans="1:18" x14ac:dyDescent="0.2">
      <c r="A2459" s="13">
        <v>45519</v>
      </c>
      <c r="B2459" s="13">
        <v>45519</v>
      </c>
      <c r="C2459" s="25" t="s">
        <v>398</v>
      </c>
      <c r="D2459" s="20">
        <v>0</v>
      </c>
      <c r="E2459" s="28">
        <v>3177.6</v>
      </c>
      <c r="F2459" s="22" t="s">
        <v>306</v>
      </c>
      <c r="G2459" s="14">
        <v>120</v>
      </c>
      <c r="H2459" s="40">
        <v>45056</v>
      </c>
      <c r="I2459" s="46">
        <f t="shared" si="152"/>
        <v>463</v>
      </c>
      <c r="J2459" s="1" t="s">
        <v>15</v>
      </c>
      <c r="K2459" s="4" t="s">
        <v>209</v>
      </c>
      <c r="L2459" s="4" t="s">
        <v>231</v>
      </c>
      <c r="M2459" s="8">
        <v>120</v>
      </c>
      <c r="N2459" s="5">
        <v>26.48</v>
      </c>
      <c r="O2459" s="5">
        <v>3177.6</v>
      </c>
      <c r="P2459">
        <f t="shared" si="153"/>
        <v>1</v>
      </c>
      <c r="Q2459" s="36">
        <f t="shared" si="154"/>
        <v>3177.6</v>
      </c>
      <c r="R2459">
        <f t="shared" si="155"/>
        <v>2023</v>
      </c>
    </row>
    <row r="2460" spans="1:18" x14ac:dyDescent="0.2">
      <c r="A2460" s="13">
        <v>45533</v>
      </c>
      <c r="B2460" s="13">
        <v>45533</v>
      </c>
      <c r="C2460" s="25" t="s">
        <v>398</v>
      </c>
      <c r="D2460" s="20">
        <v>0</v>
      </c>
      <c r="E2460" s="28">
        <v>450.16</v>
      </c>
      <c r="F2460" s="22" t="s">
        <v>306</v>
      </c>
      <c r="G2460" s="14">
        <v>17</v>
      </c>
      <c r="H2460" s="40">
        <v>45076</v>
      </c>
      <c r="I2460" s="46">
        <f t="shared" si="152"/>
        <v>457</v>
      </c>
      <c r="J2460" s="1" t="s">
        <v>15</v>
      </c>
      <c r="K2460" s="4" t="s">
        <v>209</v>
      </c>
      <c r="L2460" s="4" t="s">
        <v>231</v>
      </c>
      <c r="M2460" s="8">
        <v>120</v>
      </c>
      <c r="N2460" s="5">
        <v>26.48</v>
      </c>
      <c r="O2460" s="5">
        <v>3177.6</v>
      </c>
      <c r="P2460">
        <f t="shared" si="153"/>
        <v>0</v>
      </c>
      <c r="Q2460" s="36">
        <f t="shared" si="154"/>
        <v>450.16</v>
      </c>
      <c r="R2460">
        <f t="shared" si="155"/>
        <v>2023</v>
      </c>
    </row>
    <row r="2461" spans="1:18" x14ac:dyDescent="0.2">
      <c r="A2461" s="13">
        <v>45561</v>
      </c>
      <c r="B2461" s="13">
        <v>45533</v>
      </c>
      <c r="C2461" s="25" t="s">
        <v>399</v>
      </c>
      <c r="D2461" s="20">
        <v>28</v>
      </c>
      <c r="E2461" s="28">
        <v>2727.44</v>
      </c>
      <c r="F2461" s="22" t="s">
        <v>306</v>
      </c>
      <c r="G2461" s="14">
        <v>103</v>
      </c>
      <c r="H2461" s="40">
        <v>45076</v>
      </c>
      <c r="I2461" s="46">
        <f t="shared" si="152"/>
        <v>485</v>
      </c>
      <c r="J2461" s="1" t="s">
        <v>15</v>
      </c>
      <c r="K2461" s="4" t="s">
        <v>209</v>
      </c>
      <c r="L2461" s="4" t="s">
        <v>231</v>
      </c>
      <c r="M2461" s="8">
        <v>120</v>
      </c>
      <c r="N2461" s="5">
        <v>26.48</v>
      </c>
      <c r="O2461" s="5">
        <v>3177.6</v>
      </c>
      <c r="P2461">
        <f t="shared" si="153"/>
        <v>0</v>
      </c>
      <c r="Q2461" s="36">
        <f t="shared" si="154"/>
        <v>2727.44</v>
      </c>
      <c r="R2461">
        <f t="shared" si="155"/>
        <v>2023</v>
      </c>
    </row>
    <row r="2462" spans="1:18" x14ac:dyDescent="0.2">
      <c r="A2462" s="13">
        <v>45980</v>
      </c>
      <c r="B2462" s="13">
        <v>45591</v>
      </c>
      <c r="C2462" s="25" t="s">
        <v>399</v>
      </c>
      <c r="D2462" s="20">
        <v>389</v>
      </c>
      <c r="E2462" s="28">
        <v>3177.6</v>
      </c>
      <c r="F2462" s="22" t="s">
        <v>306</v>
      </c>
      <c r="G2462" s="14">
        <v>120</v>
      </c>
      <c r="H2462" s="40">
        <v>45114</v>
      </c>
      <c r="I2462" s="46">
        <f t="shared" si="152"/>
        <v>866</v>
      </c>
      <c r="J2462" s="1" t="s">
        <v>15</v>
      </c>
      <c r="K2462" s="4" t="s">
        <v>209</v>
      </c>
      <c r="L2462" s="4" t="s">
        <v>231</v>
      </c>
      <c r="M2462" s="8">
        <v>120</v>
      </c>
      <c r="N2462" s="5">
        <v>26.48</v>
      </c>
      <c r="O2462" s="5">
        <v>3177.6</v>
      </c>
      <c r="P2462">
        <f t="shared" si="153"/>
        <v>1</v>
      </c>
      <c r="Q2462" s="36">
        <f t="shared" si="154"/>
        <v>3177.6</v>
      </c>
      <c r="R2462">
        <f t="shared" si="155"/>
        <v>2023</v>
      </c>
    </row>
    <row r="2463" spans="1:18" x14ac:dyDescent="0.2">
      <c r="A2463" s="13">
        <v>45567</v>
      </c>
      <c r="B2463" s="13">
        <v>45567</v>
      </c>
      <c r="C2463" s="25" t="s">
        <v>398</v>
      </c>
      <c r="D2463" s="20">
        <v>0</v>
      </c>
      <c r="E2463" s="28">
        <v>450.16</v>
      </c>
      <c r="F2463" s="22" t="s">
        <v>306</v>
      </c>
      <c r="G2463" s="14">
        <v>17</v>
      </c>
      <c r="H2463" s="40">
        <v>45119</v>
      </c>
      <c r="I2463" s="46">
        <f t="shared" si="152"/>
        <v>448</v>
      </c>
      <c r="J2463" s="1" t="s">
        <v>15</v>
      </c>
      <c r="K2463" s="4" t="s">
        <v>209</v>
      </c>
      <c r="L2463" s="4" t="s">
        <v>231</v>
      </c>
      <c r="M2463" s="8">
        <v>120</v>
      </c>
      <c r="N2463" s="5">
        <v>26.48</v>
      </c>
      <c r="O2463" s="5">
        <v>3177.6</v>
      </c>
      <c r="P2463">
        <f t="shared" si="153"/>
        <v>0</v>
      </c>
      <c r="Q2463" s="36">
        <f t="shared" si="154"/>
        <v>450.16</v>
      </c>
      <c r="R2463">
        <f t="shared" si="155"/>
        <v>2023</v>
      </c>
    </row>
    <row r="2464" spans="1:18" x14ac:dyDescent="0.2">
      <c r="A2464" s="13">
        <v>45980</v>
      </c>
      <c r="B2464" s="13">
        <v>45567</v>
      </c>
      <c r="C2464" s="25" t="s">
        <v>399</v>
      </c>
      <c r="D2464" s="20">
        <v>413</v>
      </c>
      <c r="E2464" s="28">
        <v>2727.44</v>
      </c>
      <c r="F2464" s="22" t="s">
        <v>306</v>
      </c>
      <c r="G2464" s="14">
        <v>103</v>
      </c>
      <c r="H2464" s="40">
        <v>45119</v>
      </c>
      <c r="I2464" s="46">
        <f t="shared" si="152"/>
        <v>861</v>
      </c>
      <c r="J2464" s="1" t="s">
        <v>15</v>
      </c>
      <c r="K2464" s="4" t="s">
        <v>209</v>
      </c>
      <c r="L2464" s="4" t="s">
        <v>231</v>
      </c>
      <c r="M2464" s="8">
        <v>120</v>
      </c>
      <c r="N2464" s="5">
        <v>26.48</v>
      </c>
      <c r="O2464" s="5">
        <v>3177.6</v>
      </c>
      <c r="P2464">
        <f t="shared" si="153"/>
        <v>0</v>
      </c>
      <c r="Q2464" s="36">
        <f t="shared" si="154"/>
        <v>2727.44</v>
      </c>
      <c r="R2464">
        <f t="shared" si="155"/>
        <v>2023</v>
      </c>
    </row>
    <row r="2465" spans="1:18" x14ac:dyDescent="0.2">
      <c r="A2465" s="13">
        <v>45980</v>
      </c>
      <c r="B2465" s="13">
        <v>45582</v>
      </c>
      <c r="C2465" s="25" t="s">
        <v>399</v>
      </c>
      <c r="D2465" s="20">
        <v>398</v>
      </c>
      <c r="E2465" s="28">
        <v>3177.6</v>
      </c>
      <c r="F2465" s="22" t="s">
        <v>306</v>
      </c>
      <c r="G2465" s="14">
        <v>120</v>
      </c>
      <c r="H2465" s="40">
        <v>45121</v>
      </c>
      <c r="I2465" s="46">
        <f t="shared" si="152"/>
        <v>859</v>
      </c>
      <c r="J2465" s="1" t="s">
        <v>15</v>
      </c>
      <c r="K2465" s="4" t="s">
        <v>209</v>
      </c>
      <c r="L2465" s="4" t="s">
        <v>231</v>
      </c>
      <c r="M2465" s="8">
        <v>120</v>
      </c>
      <c r="N2465" s="5">
        <v>26.48</v>
      </c>
      <c r="O2465" s="5">
        <v>3177.6</v>
      </c>
      <c r="P2465">
        <f t="shared" si="153"/>
        <v>1</v>
      </c>
      <c r="Q2465" s="36">
        <f t="shared" si="154"/>
        <v>3177.6</v>
      </c>
      <c r="R2465">
        <f t="shared" si="155"/>
        <v>2023</v>
      </c>
    </row>
    <row r="2466" spans="1:18" x14ac:dyDescent="0.2">
      <c r="A2466" s="13">
        <v>45980</v>
      </c>
      <c r="B2466" s="13">
        <v>45617</v>
      </c>
      <c r="C2466" s="25" t="s">
        <v>399</v>
      </c>
      <c r="D2466" s="20">
        <v>363</v>
      </c>
      <c r="E2466" s="28">
        <v>2250.8000000000002</v>
      </c>
      <c r="F2466" s="22" t="s">
        <v>306</v>
      </c>
      <c r="G2466" s="14">
        <v>85</v>
      </c>
      <c r="H2466" s="40">
        <v>45133</v>
      </c>
      <c r="I2466" s="46">
        <f t="shared" si="152"/>
        <v>847</v>
      </c>
      <c r="J2466" s="1" t="s">
        <v>15</v>
      </c>
      <c r="K2466" s="4" t="s">
        <v>209</v>
      </c>
      <c r="L2466" s="4" t="s">
        <v>231</v>
      </c>
      <c r="M2466" s="8">
        <v>85</v>
      </c>
      <c r="N2466" s="5">
        <v>26.48</v>
      </c>
      <c r="O2466" s="5">
        <v>2250.8000000000002</v>
      </c>
      <c r="P2466">
        <f t="shared" si="153"/>
        <v>1</v>
      </c>
      <c r="Q2466" s="36">
        <f t="shared" si="154"/>
        <v>2250.8000000000002</v>
      </c>
      <c r="R2466">
        <f t="shared" si="155"/>
        <v>2023</v>
      </c>
    </row>
    <row r="2467" spans="1:18" x14ac:dyDescent="0.2">
      <c r="A2467" s="13">
        <v>45429</v>
      </c>
      <c r="B2467" s="13">
        <v>45315</v>
      </c>
      <c r="C2467" s="25" t="s">
        <v>399</v>
      </c>
      <c r="D2467" s="20">
        <v>114</v>
      </c>
      <c r="E2467" s="28">
        <v>35877</v>
      </c>
      <c r="F2467" s="22" t="s">
        <v>307</v>
      </c>
      <c r="G2467" s="14">
        <v>60</v>
      </c>
      <c r="H2467" s="40">
        <v>45124</v>
      </c>
      <c r="I2467" s="46">
        <f t="shared" si="152"/>
        <v>305</v>
      </c>
      <c r="J2467" s="1" t="s">
        <v>15</v>
      </c>
      <c r="K2467" s="4" t="s">
        <v>209</v>
      </c>
      <c r="L2467" s="4" t="s">
        <v>231</v>
      </c>
      <c r="M2467" s="8">
        <v>60</v>
      </c>
      <c r="N2467" s="5">
        <v>597.95000000000005</v>
      </c>
      <c r="O2467" s="5">
        <v>35877</v>
      </c>
      <c r="P2467">
        <f t="shared" si="153"/>
        <v>1</v>
      </c>
      <c r="Q2467" s="36">
        <f t="shared" si="154"/>
        <v>35877</v>
      </c>
      <c r="R2467">
        <f t="shared" si="155"/>
        <v>2023</v>
      </c>
    </row>
    <row r="2468" spans="1:18" x14ac:dyDescent="0.2">
      <c r="A2468" s="13">
        <v>45219</v>
      </c>
      <c r="B2468" s="13">
        <v>45219</v>
      </c>
      <c r="C2468" s="25" t="s">
        <v>398</v>
      </c>
      <c r="D2468" s="20">
        <v>0</v>
      </c>
      <c r="E2468" s="28">
        <v>5360</v>
      </c>
      <c r="F2468" s="22" t="s">
        <v>308</v>
      </c>
      <c r="G2468" s="14">
        <v>4000</v>
      </c>
      <c r="H2468" s="40">
        <v>44630</v>
      </c>
      <c r="I2468" s="46">
        <f t="shared" si="152"/>
        <v>589</v>
      </c>
      <c r="J2468" s="1" t="s">
        <v>15</v>
      </c>
      <c r="K2468" s="4" t="s">
        <v>209</v>
      </c>
      <c r="L2468" s="4" t="s">
        <v>231</v>
      </c>
      <c r="M2468" s="8">
        <v>4000</v>
      </c>
      <c r="N2468" s="5">
        <v>1.34</v>
      </c>
      <c r="O2468" s="5">
        <v>5360</v>
      </c>
      <c r="P2468">
        <f t="shared" si="153"/>
        <v>1</v>
      </c>
      <c r="Q2468" s="36">
        <f t="shared" si="154"/>
        <v>5360</v>
      </c>
      <c r="R2468">
        <f t="shared" si="155"/>
        <v>2022</v>
      </c>
    </row>
    <row r="2469" spans="1:18" x14ac:dyDescent="0.2">
      <c r="A2469" s="13">
        <v>45392</v>
      </c>
      <c r="B2469" s="13">
        <v>45392</v>
      </c>
      <c r="C2469" s="25" t="s">
        <v>398</v>
      </c>
      <c r="D2469" s="20">
        <v>0</v>
      </c>
      <c r="E2469" s="28">
        <v>15750</v>
      </c>
      <c r="F2469" s="22" t="s">
        <v>304</v>
      </c>
      <c r="G2469" s="14">
        <v>9000</v>
      </c>
      <c r="H2469" s="40">
        <v>44932</v>
      </c>
      <c r="I2469" s="46">
        <f t="shared" si="152"/>
        <v>460</v>
      </c>
      <c r="J2469" s="1" t="s">
        <v>15</v>
      </c>
      <c r="K2469" s="4" t="s">
        <v>209</v>
      </c>
      <c r="L2469" s="4" t="s">
        <v>231</v>
      </c>
      <c r="M2469" s="8">
        <v>9000</v>
      </c>
      <c r="N2469" s="5">
        <v>1.75</v>
      </c>
      <c r="O2469" s="5">
        <v>15750</v>
      </c>
      <c r="P2469">
        <f t="shared" si="153"/>
        <v>1</v>
      </c>
      <c r="Q2469" s="36">
        <f t="shared" si="154"/>
        <v>15750</v>
      </c>
      <c r="R2469">
        <f t="shared" si="155"/>
        <v>2023</v>
      </c>
    </row>
    <row r="2470" spans="1:18" x14ac:dyDescent="0.2">
      <c r="A2470" s="13">
        <v>45394</v>
      </c>
      <c r="B2470" s="13">
        <v>45394</v>
      </c>
      <c r="C2470" s="25" t="s">
        <v>398</v>
      </c>
      <c r="D2470" s="20">
        <v>0</v>
      </c>
      <c r="E2470" s="28">
        <v>5250</v>
      </c>
      <c r="F2470" s="22" t="s">
        <v>304</v>
      </c>
      <c r="G2470" s="14">
        <v>3000</v>
      </c>
      <c r="H2470" s="40">
        <v>44935</v>
      </c>
      <c r="I2470" s="46">
        <f t="shared" si="152"/>
        <v>459</v>
      </c>
      <c r="J2470" s="1" t="s">
        <v>15</v>
      </c>
      <c r="K2470" s="4" t="s">
        <v>209</v>
      </c>
      <c r="L2470" s="4" t="s">
        <v>231</v>
      </c>
      <c r="M2470" s="8">
        <v>3000</v>
      </c>
      <c r="N2470" s="5">
        <v>1.75</v>
      </c>
      <c r="O2470" s="5">
        <v>5250</v>
      </c>
      <c r="P2470">
        <f t="shared" si="153"/>
        <v>1</v>
      </c>
      <c r="Q2470" s="36">
        <f t="shared" si="154"/>
        <v>5250</v>
      </c>
      <c r="R2470">
        <f t="shared" si="155"/>
        <v>2023</v>
      </c>
    </row>
    <row r="2471" spans="1:18" x14ac:dyDescent="0.2">
      <c r="A2471" s="13">
        <v>45415</v>
      </c>
      <c r="B2471" s="13">
        <v>45404</v>
      </c>
      <c r="C2471" s="25" t="s">
        <v>399</v>
      </c>
      <c r="D2471" s="20">
        <v>11</v>
      </c>
      <c r="E2471" s="28">
        <v>15750</v>
      </c>
      <c r="F2471" s="22" t="s">
        <v>304</v>
      </c>
      <c r="G2471" s="14">
        <v>9000</v>
      </c>
      <c r="H2471" s="40">
        <v>44939</v>
      </c>
      <c r="I2471" s="46">
        <f t="shared" si="152"/>
        <v>476</v>
      </c>
      <c r="J2471" s="1" t="s">
        <v>15</v>
      </c>
      <c r="K2471" s="4" t="s">
        <v>209</v>
      </c>
      <c r="L2471" s="4" t="s">
        <v>231</v>
      </c>
      <c r="M2471" s="8">
        <v>9000</v>
      </c>
      <c r="N2471" s="5">
        <v>1.75</v>
      </c>
      <c r="O2471" s="5">
        <v>15750</v>
      </c>
      <c r="P2471">
        <f t="shared" si="153"/>
        <v>1</v>
      </c>
      <c r="Q2471" s="36">
        <f t="shared" si="154"/>
        <v>15750</v>
      </c>
      <c r="R2471">
        <f t="shared" si="155"/>
        <v>2023</v>
      </c>
    </row>
    <row r="2472" spans="1:18" x14ac:dyDescent="0.2">
      <c r="A2472" s="13">
        <v>45443</v>
      </c>
      <c r="B2472" s="13">
        <v>45443</v>
      </c>
      <c r="C2472" s="25" t="s">
        <v>398</v>
      </c>
      <c r="D2472" s="20">
        <v>0</v>
      </c>
      <c r="E2472" s="28">
        <v>21000</v>
      </c>
      <c r="F2472" s="22" t="s">
        <v>304</v>
      </c>
      <c r="G2472" s="14">
        <v>12000</v>
      </c>
      <c r="H2472" s="40">
        <v>44939</v>
      </c>
      <c r="I2472" s="46">
        <f t="shared" si="152"/>
        <v>504</v>
      </c>
      <c r="J2472" s="1" t="s">
        <v>15</v>
      </c>
      <c r="K2472" s="4" t="s">
        <v>209</v>
      </c>
      <c r="L2472" s="4" t="s">
        <v>231</v>
      </c>
      <c r="M2472" s="8">
        <v>12000</v>
      </c>
      <c r="N2472" s="5">
        <v>1.75</v>
      </c>
      <c r="O2472" s="5">
        <v>21000</v>
      </c>
      <c r="P2472">
        <f t="shared" si="153"/>
        <v>1</v>
      </c>
      <c r="Q2472" s="36">
        <f t="shared" si="154"/>
        <v>21000</v>
      </c>
      <c r="R2472">
        <f t="shared" si="155"/>
        <v>2023</v>
      </c>
    </row>
    <row r="2473" spans="1:18" x14ac:dyDescent="0.2">
      <c r="A2473" s="13">
        <v>45455</v>
      </c>
      <c r="B2473" s="13">
        <v>45455</v>
      </c>
      <c r="C2473" s="25" t="s">
        <v>398</v>
      </c>
      <c r="D2473" s="20">
        <v>0</v>
      </c>
      <c r="E2473" s="28">
        <v>26250</v>
      </c>
      <c r="F2473" s="22" t="s">
        <v>304</v>
      </c>
      <c r="G2473" s="14">
        <v>15000</v>
      </c>
      <c r="H2473" s="40">
        <v>44939</v>
      </c>
      <c r="I2473" s="46">
        <f t="shared" si="152"/>
        <v>516</v>
      </c>
      <c r="J2473" s="1" t="s">
        <v>15</v>
      </c>
      <c r="K2473" s="4" t="s">
        <v>209</v>
      </c>
      <c r="L2473" s="4" t="s">
        <v>231</v>
      </c>
      <c r="M2473" s="8">
        <v>15000</v>
      </c>
      <c r="N2473" s="5">
        <v>1.75</v>
      </c>
      <c r="O2473" s="5">
        <v>26250</v>
      </c>
      <c r="P2473">
        <f t="shared" si="153"/>
        <v>1</v>
      </c>
      <c r="Q2473" s="36">
        <f t="shared" si="154"/>
        <v>26250</v>
      </c>
      <c r="R2473">
        <f t="shared" si="155"/>
        <v>2023</v>
      </c>
    </row>
    <row r="2474" spans="1:18" x14ac:dyDescent="0.2">
      <c r="A2474" s="13">
        <v>45502</v>
      </c>
      <c r="B2474" s="13">
        <v>45502</v>
      </c>
      <c r="C2474" s="25" t="s">
        <v>398</v>
      </c>
      <c r="D2474" s="20">
        <v>0</v>
      </c>
      <c r="E2474" s="28">
        <v>10500</v>
      </c>
      <c r="F2474" s="22" t="s">
        <v>304</v>
      </c>
      <c r="G2474" s="14">
        <v>6000</v>
      </c>
      <c r="H2474" s="40">
        <v>44939</v>
      </c>
      <c r="I2474" s="46">
        <f t="shared" si="152"/>
        <v>563</v>
      </c>
      <c r="J2474" s="1" t="s">
        <v>15</v>
      </c>
      <c r="K2474" s="4" t="s">
        <v>209</v>
      </c>
      <c r="L2474" s="4" t="s">
        <v>231</v>
      </c>
      <c r="M2474" s="8">
        <v>12000</v>
      </c>
      <c r="N2474" s="5">
        <v>1.75</v>
      </c>
      <c r="O2474" s="5">
        <v>21000</v>
      </c>
      <c r="P2474">
        <f t="shared" si="153"/>
        <v>0</v>
      </c>
      <c r="Q2474" s="36">
        <f t="shared" si="154"/>
        <v>10500</v>
      </c>
      <c r="R2474">
        <f t="shared" si="155"/>
        <v>2023</v>
      </c>
    </row>
    <row r="2475" spans="1:18" x14ac:dyDescent="0.2">
      <c r="A2475" s="13">
        <v>45513</v>
      </c>
      <c r="B2475" s="13">
        <v>45502</v>
      </c>
      <c r="C2475" s="25" t="s">
        <v>399</v>
      </c>
      <c r="D2475" s="20">
        <v>11</v>
      </c>
      <c r="E2475" s="28">
        <v>10500</v>
      </c>
      <c r="F2475" s="22" t="s">
        <v>304</v>
      </c>
      <c r="G2475" s="14">
        <v>6000</v>
      </c>
      <c r="H2475" s="40">
        <v>44939</v>
      </c>
      <c r="I2475" s="46">
        <f t="shared" si="152"/>
        <v>574</v>
      </c>
      <c r="J2475" s="1" t="s">
        <v>15</v>
      </c>
      <c r="K2475" s="4" t="s">
        <v>209</v>
      </c>
      <c r="L2475" s="4" t="s">
        <v>231</v>
      </c>
      <c r="M2475" s="8">
        <v>12000</v>
      </c>
      <c r="N2475" s="5">
        <v>1.75</v>
      </c>
      <c r="O2475" s="5">
        <v>21000</v>
      </c>
      <c r="P2475">
        <f t="shared" si="153"/>
        <v>0</v>
      </c>
      <c r="Q2475" s="36">
        <f t="shared" si="154"/>
        <v>10500</v>
      </c>
      <c r="R2475">
        <f t="shared" si="155"/>
        <v>2023</v>
      </c>
    </row>
    <row r="2476" spans="1:18" x14ac:dyDescent="0.2">
      <c r="A2476" s="13">
        <v>45415</v>
      </c>
      <c r="B2476" s="13">
        <v>45399</v>
      </c>
      <c r="C2476" s="25" t="s">
        <v>399</v>
      </c>
      <c r="D2476" s="20">
        <v>16</v>
      </c>
      <c r="E2476" s="28">
        <v>5250</v>
      </c>
      <c r="F2476" s="22" t="s">
        <v>304</v>
      </c>
      <c r="G2476" s="14">
        <v>3000</v>
      </c>
      <c r="H2476" s="40">
        <v>44943</v>
      </c>
      <c r="I2476" s="46">
        <f t="shared" si="152"/>
        <v>472</v>
      </c>
      <c r="J2476" s="1" t="s">
        <v>15</v>
      </c>
      <c r="K2476" s="4" t="s">
        <v>209</v>
      </c>
      <c r="L2476" s="4" t="s">
        <v>231</v>
      </c>
      <c r="M2476" s="8">
        <v>3000</v>
      </c>
      <c r="N2476" s="5">
        <v>1.75</v>
      </c>
      <c r="O2476" s="5">
        <v>5250</v>
      </c>
      <c r="P2476">
        <f t="shared" si="153"/>
        <v>1</v>
      </c>
      <c r="Q2476" s="36">
        <f t="shared" si="154"/>
        <v>5250</v>
      </c>
      <c r="R2476">
        <f t="shared" si="155"/>
        <v>2023</v>
      </c>
    </row>
    <row r="2477" spans="1:18" x14ac:dyDescent="0.2">
      <c r="A2477" s="13">
        <v>45392</v>
      </c>
      <c r="B2477" s="13">
        <v>45392</v>
      </c>
      <c r="C2477" s="25" t="s">
        <v>398</v>
      </c>
      <c r="D2477" s="20">
        <v>0</v>
      </c>
      <c r="E2477" s="28">
        <v>10500</v>
      </c>
      <c r="F2477" s="22" t="s">
        <v>304</v>
      </c>
      <c r="G2477" s="14">
        <v>6000</v>
      </c>
      <c r="H2477" s="40">
        <v>44951</v>
      </c>
      <c r="I2477" s="46">
        <f t="shared" si="152"/>
        <v>441</v>
      </c>
      <c r="J2477" s="1" t="s">
        <v>15</v>
      </c>
      <c r="K2477" s="4" t="s">
        <v>209</v>
      </c>
      <c r="L2477" s="4" t="s">
        <v>231</v>
      </c>
      <c r="M2477" s="8">
        <v>6000</v>
      </c>
      <c r="N2477" s="5">
        <v>1.75</v>
      </c>
      <c r="O2477" s="5">
        <v>10500</v>
      </c>
      <c r="P2477">
        <f t="shared" si="153"/>
        <v>1</v>
      </c>
      <c r="Q2477" s="36">
        <f t="shared" si="154"/>
        <v>10500</v>
      </c>
      <c r="R2477">
        <f t="shared" si="155"/>
        <v>2023</v>
      </c>
    </row>
    <row r="2478" spans="1:18" x14ac:dyDescent="0.2">
      <c r="A2478" s="13">
        <v>45548</v>
      </c>
      <c r="B2478" s="13">
        <v>45548</v>
      </c>
      <c r="C2478" s="25" t="s">
        <v>398</v>
      </c>
      <c r="D2478" s="20">
        <v>0</v>
      </c>
      <c r="E2478" s="28">
        <v>5250</v>
      </c>
      <c r="F2478" s="22" t="s">
        <v>304</v>
      </c>
      <c r="G2478" s="14">
        <v>3000</v>
      </c>
      <c r="H2478" s="40">
        <v>44953</v>
      </c>
      <c r="I2478" s="46">
        <f t="shared" si="152"/>
        <v>595</v>
      </c>
      <c r="J2478" s="1" t="s">
        <v>15</v>
      </c>
      <c r="K2478" s="4" t="s">
        <v>209</v>
      </c>
      <c r="L2478" s="4" t="s">
        <v>231</v>
      </c>
      <c r="M2478" s="8">
        <v>3000</v>
      </c>
      <c r="N2478" s="5">
        <v>1.75</v>
      </c>
      <c r="O2478" s="5">
        <v>5250</v>
      </c>
      <c r="P2478">
        <f t="shared" si="153"/>
        <v>1</v>
      </c>
      <c r="Q2478" s="36">
        <f t="shared" si="154"/>
        <v>5250</v>
      </c>
      <c r="R2478">
        <f t="shared" si="155"/>
        <v>2023</v>
      </c>
    </row>
    <row r="2479" spans="1:18" x14ac:dyDescent="0.2">
      <c r="A2479" s="13">
        <v>45604</v>
      </c>
      <c r="B2479" s="13">
        <v>45604</v>
      </c>
      <c r="C2479" s="25" t="s">
        <v>398</v>
      </c>
      <c r="D2479" s="20">
        <v>0</v>
      </c>
      <c r="E2479" s="28">
        <v>5250</v>
      </c>
      <c r="F2479" s="22" t="s">
        <v>304</v>
      </c>
      <c r="G2479" s="14">
        <v>3000</v>
      </c>
      <c r="H2479" s="40">
        <v>45083</v>
      </c>
      <c r="I2479" s="46">
        <f t="shared" si="152"/>
        <v>521</v>
      </c>
      <c r="J2479" s="1" t="s">
        <v>15</v>
      </c>
      <c r="K2479" s="4" t="s">
        <v>209</v>
      </c>
      <c r="L2479" s="4" t="s">
        <v>231</v>
      </c>
      <c r="M2479" s="8">
        <v>3000</v>
      </c>
      <c r="N2479" s="5">
        <v>1.75</v>
      </c>
      <c r="O2479" s="5">
        <v>5250</v>
      </c>
      <c r="P2479">
        <f t="shared" si="153"/>
        <v>1</v>
      </c>
      <c r="Q2479" s="36">
        <f t="shared" si="154"/>
        <v>5250</v>
      </c>
      <c r="R2479">
        <f t="shared" si="155"/>
        <v>2023</v>
      </c>
    </row>
    <row r="2480" spans="1:18" x14ac:dyDescent="0.2">
      <c r="A2480" s="13">
        <v>45331</v>
      </c>
      <c r="B2480" s="13">
        <v>45331</v>
      </c>
      <c r="C2480" s="25" t="s">
        <v>398</v>
      </c>
      <c r="D2480" s="20">
        <v>0</v>
      </c>
      <c r="E2480" s="28">
        <v>5280</v>
      </c>
      <c r="F2480" s="22" t="s">
        <v>297</v>
      </c>
      <c r="G2480" s="14">
        <v>3000</v>
      </c>
      <c r="H2480" s="40">
        <v>44855</v>
      </c>
      <c r="I2480" s="46">
        <f t="shared" si="152"/>
        <v>476</v>
      </c>
      <c r="J2480" s="1" t="s">
        <v>15</v>
      </c>
      <c r="K2480" s="4" t="s">
        <v>209</v>
      </c>
      <c r="L2480" s="4" t="s">
        <v>231</v>
      </c>
      <c r="M2480" s="8">
        <v>3000</v>
      </c>
      <c r="N2480" s="5">
        <v>1.76</v>
      </c>
      <c r="O2480" s="5">
        <v>5280</v>
      </c>
      <c r="P2480">
        <f t="shared" si="153"/>
        <v>1</v>
      </c>
      <c r="Q2480" s="36">
        <f t="shared" si="154"/>
        <v>5280</v>
      </c>
      <c r="R2480">
        <f t="shared" si="155"/>
        <v>2022</v>
      </c>
    </row>
    <row r="2481" spans="1:18" x14ac:dyDescent="0.2">
      <c r="A2481" s="13">
        <v>45391</v>
      </c>
      <c r="B2481" s="13">
        <v>45391</v>
      </c>
      <c r="C2481" s="25" t="s">
        <v>398</v>
      </c>
      <c r="D2481" s="20">
        <v>0</v>
      </c>
      <c r="E2481" s="28">
        <v>5280</v>
      </c>
      <c r="F2481" s="22" t="s">
        <v>297</v>
      </c>
      <c r="G2481" s="14">
        <v>3000</v>
      </c>
      <c r="H2481" s="40">
        <v>44908</v>
      </c>
      <c r="I2481" s="46">
        <f t="shared" si="152"/>
        <v>483</v>
      </c>
      <c r="J2481" s="1" t="s">
        <v>15</v>
      </c>
      <c r="K2481" s="4" t="s">
        <v>209</v>
      </c>
      <c r="L2481" s="4" t="s">
        <v>231</v>
      </c>
      <c r="M2481" s="8">
        <v>3000</v>
      </c>
      <c r="N2481" s="5">
        <v>1.76</v>
      </c>
      <c r="O2481" s="5">
        <v>5280</v>
      </c>
      <c r="P2481">
        <f t="shared" si="153"/>
        <v>1</v>
      </c>
      <c r="Q2481" s="36">
        <f t="shared" si="154"/>
        <v>5280</v>
      </c>
      <c r="R2481">
        <f t="shared" si="155"/>
        <v>2022</v>
      </c>
    </row>
    <row r="2482" spans="1:18" x14ac:dyDescent="0.2">
      <c r="A2482" s="13">
        <v>45470</v>
      </c>
      <c r="B2482" s="13">
        <v>45470</v>
      </c>
      <c r="C2482" s="25" t="s">
        <v>398</v>
      </c>
      <c r="D2482" s="20">
        <v>0</v>
      </c>
      <c r="E2482" s="28">
        <v>10560</v>
      </c>
      <c r="F2482" s="22" t="s">
        <v>297</v>
      </c>
      <c r="G2482" s="14">
        <v>6000</v>
      </c>
      <c r="H2482" s="40">
        <v>44939</v>
      </c>
      <c r="I2482" s="46">
        <f t="shared" si="152"/>
        <v>531</v>
      </c>
      <c r="J2482" s="1" t="s">
        <v>15</v>
      </c>
      <c r="K2482" s="4" t="s">
        <v>209</v>
      </c>
      <c r="L2482" s="4" t="s">
        <v>231</v>
      </c>
      <c r="M2482" s="8">
        <v>6000</v>
      </c>
      <c r="N2482" s="5">
        <v>1.76</v>
      </c>
      <c r="O2482" s="5">
        <v>10560</v>
      </c>
      <c r="P2482">
        <f t="shared" si="153"/>
        <v>1</v>
      </c>
      <c r="Q2482" s="36">
        <f t="shared" si="154"/>
        <v>10560</v>
      </c>
      <c r="R2482">
        <f t="shared" si="155"/>
        <v>2023</v>
      </c>
    </row>
    <row r="2483" spans="1:18" x14ac:dyDescent="0.2">
      <c r="A2483" s="13">
        <v>45503</v>
      </c>
      <c r="B2483" s="13">
        <v>45503</v>
      </c>
      <c r="C2483" s="25" t="s">
        <v>398</v>
      </c>
      <c r="D2483" s="20">
        <v>0</v>
      </c>
      <c r="E2483" s="28">
        <v>5280</v>
      </c>
      <c r="F2483" s="22" t="s">
        <v>297</v>
      </c>
      <c r="G2483" s="14">
        <v>3000</v>
      </c>
      <c r="H2483" s="40">
        <v>44950</v>
      </c>
      <c r="I2483" s="46">
        <f t="shared" si="152"/>
        <v>553</v>
      </c>
      <c r="J2483" s="1" t="s">
        <v>15</v>
      </c>
      <c r="K2483" s="4" t="s">
        <v>209</v>
      </c>
      <c r="L2483" s="4" t="s">
        <v>231</v>
      </c>
      <c r="M2483" s="8">
        <v>3000</v>
      </c>
      <c r="N2483" s="5">
        <v>1.76</v>
      </c>
      <c r="O2483" s="5">
        <v>5280</v>
      </c>
      <c r="P2483">
        <f t="shared" si="153"/>
        <v>1</v>
      </c>
      <c r="Q2483" s="36">
        <f t="shared" si="154"/>
        <v>5280</v>
      </c>
      <c r="R2483">
        <f t="shared" si="155"/>
        <v>2023</v>
      </c>
    </row>
    <row r="2484" spans="1:18" x14ac:dyDescent="0.2">
      <c r="A2484" s="13">
        <v>45408</v>
      </c>
      <c r="B2484" s="13">
        <v>45408</v>
      </c>
      <c r="C2484" s="25" t="s">
        <v>398</v>
      </c>
      <c r="D2484" s="20">
        <v>0</v>
      </c>
      <c r="E2484" s="28">
        <v>5940</v>
      </c>
      <c r="F2484" s="22" t="s">
        <v>309</v>
      </c>
      <c r="G2484" s="14">
        <v>3000</v>
      </c>
      <c r="H2484" s="40">
        <v>44931</v>
      </c>
      <c r="I2484" s="46">
        <f t="shared" si="152"/>
        <v>477</v>
      </c>
      <c r="J2484" s="1" t="s">
        <v>15</v>
      </c>
      <c r="K2484" s="4" t="s">
        <v>209</v>
      </c>
      <c r="L2484" s="4" t="s">
        <v>231</v>
      </c>
      <c r="M2484" s="8">
        <v>3000</v>
      </c>
      <c r="N2484" s="5">
        <v>1.98</v>
      </c>
      <c r="O2484" s="5">
        <v>5940</v>
      </c>
      <c r="P2484">
        <f t="shared" si="153"/>
        <v>1</v>
      </c>
      <c r="Q2484" s="36">
        <f t="shared" si="154"/>
        <v>5940</v>
      </c>
      <c r="R2484">
        <f t="shared" si="155"/>
        <v>2023</v>
      </c>
    </row>
    <row r="2485" spans="1:18" x14ac:dyDescent="0.2">
      <c r="A2485" s="13">
        <v>45450</v>
      </c>
      <c r="B2485" s="13">
        <v>45450</v>
      </c>
      <c r="C2485" s="25" t="s">
        <v>398</v>
      </c>
      <c r="D2485" s="20">
        <v>0</v>
      </c>
      <c r="E2485" s="28">
        <v>5940</v>
      </c>
      <c r="F2485" s="22" t="s">
        <v>309</v>
      </c>
      <c r="G2485" s="14">
        <v>3000</v>
      </c>
      <c r="H2485" s="40">
        <v>44939</v>
      </c>
      <c r="I2485" s="46">
        <f t="shared" si="152"/>
        <v>511</v>
      </c>
      <c r="J2485" s="1" t="s">
        <v>15</v>
      </c>
      <c r="K2485" s="4" t="s">
        <v>209</v>
      </c>
      <c r="L2485" s="4" t="s">
        <v>231</v>
      </c>
      <c r="M2485" s="8">
        <v>3000</v>
      </c>
      <c r="N2485" s="5">
        <v>1.98</v>
      </c>
      <c r="O2485" s="5">
        <v>5940</v>
      </c>
      <c r="P2485">
        <f t="shared" si="153"/>
        <v>1</v>
      </c>
      <c r="Q2485" s="36">
        <f t="shared" si="154"/>
        <v>5940</v>
      </c>
      <c r="R2485">
        <f t="shared" si="155"/>
        <v>2023</v>
      </c>
    </row>
    <row r="2486" spans="1:18" x14ac:dyDescent="0.2">
      <c r="A2486" s="13">
        <v>45478</v>
      </c>
      <c r="B2486" s="13">
        <v>45478</v>
      </c>
      <c r="C2486" s="25" t="s">
        <v>398</v>
      </c>
      <c r="D2486" s="20">
        <v>0</v>
      </c>
      <c r="E2486" s="28">
        <v>5940</v>
      </c>
      <c r="F2486" s="22" t="s">
        <v>309</v>
      </c>
      <c r="G2486" s="14">
        <v>3000</v>
      </c>
      <c r="H2486" s="40">
        <v>44939</v>
      </c>
      <c r="I2486" s="46">
        <f t="shared" si="152"/>
        <v>539</v>
      </c>
      <c r="J2486" s="1" t="s">
        <v>15</v>
      </c>
      <c r="K2486" s="4" t="s">
        <v>209</v>
      </c>
      <c r="L2486" s="4" t="s">
        <v>231</v>
      </c>
      <c r="M2486" s="8">
        <v>3000</v>
      </c>
      <c r="N2486" s="5">
        <v>1.98</v>
      </c>
      <c r="O2486" s="5">
        <v>5940</v>
      </c>
      <c r="P2486">
        <f t="shared" si="153"/>
        <v>1</v>
      </c>
      <c r="Q2486" s="36">
        <f t="shared" si="154"/>
        <v>5940</v>
      </c>
      <c r="R2486">
        <f t="shared" si="155"/>
        <v>2023</v>
      </c>
    </row>
    <row r="2487" spans="1:18" x14ac:dyDescent="0.2">
      <c r="A2487" s="13">
        <v>45506</v>
      </c>
      <c r="B2487" s="13">
        <v>45506</v>
      </c>
      <c r="C2487" s="25" t="s">
        <v>398</v>
      </c>
      <c r="D2487" s="20">
        <v>0</v>
      </c>
      <c r="E2487" s="28">
        <v>5940</v>
      </c>
      <c r="F2487" s="22" t="s">
        <v>309</v>
      </c>
      <c r="G2487" s="14">
        <v>3000</v>
      </c>
      <c r="H2487" s="40">
        <v>44939</v>
      </c>
      <c r="I2487" s="46">
        <f t="shared" si="152"/>
        <v>567</v>
      </c>
      <c r="J2487" s="1" t="s">
        <v>15</v>
      </c>
      <c r="K2487" s="4" t="s">
        <v>209</v>
      </c>
      <c r="L2487" s="4" t="s">
        <v>231</v>
      </c>
      <c r="M2487" s="8">
        <v>3000</v>
      </c>
      <c r="N2487" s="5">
        <v>1.98</v>
      </c>
      <c r="O2487" s="5">
        <v>5940</v>
      </c>
      <c r="P2487">
        <f t="shared" si="153"/>
        <v>1</v>
      </c>
      <c r="Q2487" s="36">
        <f t="shared" si="154"/>
        <v>5940</v>
      </c>
      <c r="R2487">
        <f t="shared" si="155"/>
        <v>2023</v>
      </c>
    </row>
    <row r="2488" spans="1:18" x14ac:dyDescent="0.2">
      <c r="A2488" s="13">
        <v>45324</v>
      </c>
      <c r="B2488" s="13">
        <v>44974</v>
      </c>
      <c r="C2488" s="25" t="s">
        <v>399</v>
      </c>
      <c r="D2488" s="20">
        <v>350</v>
      </c>
      <c r="E2488" s="28">
        <v>21606.48</v>
      </c>
      <c r="F2488" s="22" t="s">
        <v>243</v>
      </c>
      <c r="G2488" s="14">
        <v>252</v>
      </c>
      <c r="H2488" s="40">
        <v>45166</v>
      </c>
      <c r="I2488" s="46">
        <f t="shared" si="152"/>
        <v>158</v>
      </c>
      <c r="J2488" s="1" t="s">
        <v>15</v>
      </c>
      <c r="K2488" s="4" t="s">
        <v>210</v>
      </c>
      <c r="L2488" s="4" t="s">
        <v>225</v>
      </c>
      <c r="M2488" s="8">
        <v>504</v>
      </c>
      <c r="N2488" s="5">
        <v>85.74</v>
      </c>
      <c r="O2488" s="5">
        <v>43212.959999999999</v>
      </c>
      <c r="P2488">
        <f t="shared" si="153"/>
        <v>0</v>
      </c>
      <c r="Q2488" s="36">
        <f t="shared" si="154"/>
        <v>21606.48</v>
      </c>
      <c r="R2488">
        <f t="shared" si="155"/>
        <v>2023</v>
      </c>
    </row>
    <row r="2489" spans="1:18" x14ac:dyDescent="0.2">
      <c r="A2489" s="13">
        <v>45190</v>
      </c>
      <c r="B2489" s="13">
        <v>44540</v>
      </c>
      <c r="C2489" s="25" t="s">
        <v>399</v>
      </c>
      <c r="D2489" s="20">
        <v>650</v>
      </c>
      <c r="E2489" s="28">
        <v>79011</v>
      </c>
      <c r="F2489" s="22" t="s">
        <v>248</v>
      </c>
      <c r="G2489" s="14">
        <v>180</v>
      </c>
      <c r="H2489" s="40">
        <v>45180</v>
      </c>
      <c r="I2489" s="46">
        <f t="shared" si="152"/>
        <v>10</v>
      </c>
      <c r="J2489" s="1" t="s">
        <v>15</v>
      </c>
      <c r="K2489" s="4" t="s">
        <v>210</v>
      </c>
      <c r="L2489" s="4" t="s">
        <v>225</v>
      </c>
      <c r="M2489" s="8">
        <v>1620</v>
      </c>
      <c r="N2489" s="5">
        <v>438.95</v>
      </c>
      <c r="O2489" s="5">
        <v>711099</v>
      </c>
      <c r="P2489">
        <f t="shared" si="153"/>
        <v>0</v>
      </c>
      <c r="Q2489" s="36">
        <f t="shared" si="154"/>
        <v>79011</v>
      </c>
      <c r="R2489">
        <f t="shared" si="155"/>
        <v>2023</v>
      </c>
    </row>
    <row r="2490" spans="1:18" x14ac:dyDescent="0.2">
      <c r="A2490" s="13">
        <v>45230</v>
      </c>
      <c r="B2490" s="13">
        <v>44540</v>
      </c>
      <c r="C2490" s="25" t="s">
        <v>399</v>
      </c>
      <c r="D2490" s="20">
        <v>690</v>
      </c>
      <c r="E2490" s="28">
        <v>632088</v>
      </c>
      <c r="F2490" s="22" t="s">
        <v>248</v>
      </c>
      <c r="G2490" s="14">
        <v>1440</v>
      </c>
      <c r="H2490" s="40">
        <v>45180</v>
      </c>
      <c r="I2490" s="46">
        <f t="shared" si="152"/>
        <v>50</v>
      </c>
      <c r="J2490" s="1" t="s">
        <v>15</v>
      </c>
      <c r="K2490" s="4" t="s">
        <v>210</v>
      </c>
      <c r="L2490" s="4" t="s">
        <v>225</v>
      </c>
      <c r="M2490" s="8">
        <v>1620</v>
      </c>
      <c r="N2490" s="5">
        <v>438.95</v>
      </c>
      <c r="O2490" s="5">
        <v>711099</v>
      </c>
      <c r="P2490">
        <f t="shared" si="153"/>
        <v>0</v>
      </c>
      <c r="Q2490" s="36">
        <f t="shared" si="154"/>
        <v>632088</v>
      </c>
      <c r="R2490">
        <f t="shared" si="155"/>
        <v>2023</v>
      </c>
    </row>
    <row r="2491" spans="1:18" x14ac:dyDescent="0.2">
      <c r="A2491" s="13">
        <v>45218</v>
      </c>
      <c r="B2491" s="13">
        <v>45124</v>
      </c>
      <c r="C2491" s="25" t="s">
        <v>399</v>
      </c>
      <c r="D2491" s="20">
        <v>94</v>
      </c>
      <c r="E2491" s="28">
        <v>14034</v>
      </c>
      <c r="F2491" s="22" t="s">
        <v>310</v>
      </c>
      <c r="G2491" s="14">
        <v>120</v>
      </c>
      <c r="H2491" s="40">
        <v>44971</v>
      </c>
      <c r="I2491" s="46">
        <f t="shared" si="152"/>
        <v>247</v>
      </c>
      <c r="J2491" s="1" t="s">
        <v>15</v>
      </c>
      <c r="K2491" s="4" t="s">
        <v>210</v>
      </c>
      <c r="L2491" s="4" t="s">
        <v>225</v>
      </c>
      <c r="M2491" s="8">
        <v>120</v>
      </c>
      <c r="N2491" s="5">
        <v>116.95</v>
      </c>
      <c r="O2491" s="5">
        <v>14034</v>
      </c>
      <c r="P2491">
        <f t="shared" si="153"/>
        <v>1</v>
      </c>
      <c r="Q2491" s="36">
        <f t="shared" si="154"/>
        <v>14034</v>
      </c>
      <c r="R2491">
        <f t="shared" si="155"/>
        <v>2023</v>
      </c>
    </row>
    <row r="2492" spans="1:18" x14ac:dyDescent="0.2">
      <c r="A2492" s="13">
        <v>45239</v>
      </c>
      <c r="B2492" s="13">
        <v>45215</v>
      </c>
      <c r="C2492" s="25" t="s">
        <v>399</v>
      </c>
      <c r="D2492" s="20">
        <v>24</v>
      </c>
      <c r="E2492" s="28">
        <v>42102</v>
      </c>
      <c r="F2492" s="22" t="s">
        <v>310</v>
      </c>
      <c r="G2492" s="14">
        <v>360</v>
      </c>
      <c r="H2492" s="40">
        <v>44971</v>
      </c>
      <c r="I2492" s="46">
        <f t="shared" si="152"/>
        <v>268</v>
      </c>
      <c r="J2492" s="1" t="s">
        <v>15</v>
      </c>
      <c r="K2492" s="4" t="s">
        <v>210</v>
      </c>
      <c r="L2492" s="4" t="s">
        <v>225</v>
      </c>
      <c r="M2492" s="8">
        <v>360</v>
      </c>
      <c r="N2492" s="5">
        <v>116.95</v>
      </c>
      <c r="O2492" s="5">
        <v>42102</v>
      </c>
      <c r="P2492">
        <f t="shared" si="153"/>
        <v>1</v>
      </c>
      <c r="Q2492" s="36">
        <f t="shared" si="154"/>
        <v>42102</v>
      </c>
      <c r="R2492">
        <f t="shared" si="155"/>
        <v>2023</v>
      </c>
    </row>
    <row r="2493" spans="1:18" x14ac:dyDescent="0.2">
      <c r="A2493" s="13">
        <v>45345</v>
      </c>
      <c r="B2493" s="13">
        <v>45303</v>
      </c>
      <c r="C2493" s="25" t="s">
        <v>399</v>
      </c>
      <c r="D2493" s="20">
        <v>42</v>
      </c>
      <c r="E2493" s="28">
        <v>42102</v>
      </c>
      <c r="F2493" s="22" t="s">
        <v>310</v>
      </c>
      <c r="G2493" s="14">
        <v>360</v>
      </c>
      <c r="H2493" s="40">
        <v>44971</v>
      </c>
      <c r="I2493" s="46">
        <f t="shared" si="152"/>
        <v>374</v>
      </c>
      <c r="J2493" s="1" t="s">
        <v>15</v>
      </c>
      <c r="K2493" s="4" t="s">
        <v>210</v>
      </c>
      <c r="L2493" s="4" t="s">
        <v>225</v>
      </c>
      <c r="M2493" s="8">
        <v>360</v>
      </c>
      <c r="N2493" s="5">
        <v>116.95</v>
      </c>
      <c r="O2493" s="5">
        <v>42102</v>
      </c>
      <c r="P2493">
        <f t="shared" si="153"/>
        <v>1</v>
      </c>
      <c r="Q2493" s="36">
        <f t="shared" si="154"/>
        <v>42102</v>
      </c>
      <c r="R2493">
        <f t="shared" si="155"/>
        <v>2023</v>
      </c>
    </row>
    <row r="2494" spans="1:18" x14ac:dyDescent="0.2">
      <c r="A2494" s="13">
        <v>45218</v>
      </c>
      <c r="B2494" s="13">
        <v>45002</v>
      </c>
      <c r="C2494" s="25" t="s">
        <v>399</v>
      </c>
      <c r="D2494" s="20">
        <v>216</v>
      </c>
      <c r="E2494" s="28">
        <v>65144.11</v>
      </c>
      <c r="F2494" s="22" t="s">
        <v>311</v>
      </c>
      <c r="G2494" s="14">
        <v>331</v>
      </c>
      <c r="H2494" s="40">
        <v>45000</v>
      </c>
      <c r="I2494" s="46">
        <f t="shared" si="152"/>
        <v>218</v>
      </c>
      <c r="J2494" s="1" t="s">
        <v>15</v>
      </c>
      <c r="K2494" s="4" t="s">
        <v>210</v>
      </c>
      <c r="L2494" s="4" t="s">
        <v>225</v>
      </c>
      <c r="M2494" s="8">
        <v>400</v>
      </c>
      <c r="N2494" s="5">
        <v>196.81</v>
      </c>
      <c r="O2494" s="5">
        <v>78724</v>
      </c>
      <c r="P2494">
        <f t="shared" si="153"/>
        <v>0</v>
      </c>
      <c r="Q2494" s="36">
        <f t="shared" si="154"/>
        <v>65144.11</v>
      </c>
      <c r="R2494">
        <f t="shared" si="155"/>
        <v>2023</v>
      </c>
    </row>
    <row r="2495" spans="1:18" x14ac:dyDescent="0.2">
      <c r="A2495" s="13">
        <v>45219</v>
      </c>
      <c r="B2495" s="13">
        <v>45002</v>
      </c>
      <c r="C2495" s="25" t="s">
        <v>399</v>
      </c>
      <c r="D2495" s="20">
        <v>217</v>
      </c>
      <c r="E2495" s="28">
        <v>13579.89</v>
      </c>
      <c r="F2495" s="22" t="s">
        <v>311</v>
      </c>
      <c r="G2495" s="14">
        <v>69</v>
      </c>
      <c r="H2495" s="40">
        <v>45000</v>
      </c>
      <c r="I2495" s="46">
        <f t="shared" si="152"/>
        <v>219</v>
      </c>
      <c r="J2495" s="1" t="s">
        <v>15</v>
      </c>
      <c r="K2495" s="4" t="s">
        <v>210</v>
      </c>
      <c r="L2495" s="4" t="s">
        <v>225</v>
      </c>
      <c r="M2495" s="8">
        <v>400</v>
      </c>
      <c r="N2495" s="5">
        <v>196.81</v>
      </c>
      <c r="O2495" s="5">
        <v>78724</v>
      </c>
      <c r="P2495">
        <f t="shared" si="153"/>
        <v>0</v>
      </c>
      <c r="Q2495" s="36">
        <f t="shared" si="154"/>
        <v>13579.89</v>
      </c>
      <c r="R2495">
        <f t="shared" si="155"/>
        <v>2023</v>
      </c>
    </row>
    <row r="2496" spans="1:18" x14ac:dyDescent="0.2">
      <c r="A2496" s="13">
        <v>45399</v>
      </c>
      <c r="B2496" s="13">
        <v>45128</v>
      </c>
      <c r="C2496" s="25" t="s">
        <v>399</v>
      </c>
      <c r="D2496" s="20">
        <v>271</v>
      </c>
      <c r="E2496" s="28">
        <v>13776.7</v>
      </c>
      <c r="F2496" s="22" t="s">
        <v>311</v>
      </c>
      <c r="G2496" s="14">
        <v>70</v>
      </c>
      <c r="H2496" s="40">
        <v>45000</v>
      </c>
      <c r="I2496" s="46">
        <f t="shared" si="152"/>
        <v>399</v>
      </c>
      <c r="J2496" s="1" t="s">
        <v>15</v>
      </c>
      <c r="K2496" s="4" t="s">
        <v>210</v>
      </c>
      <c r="L2496" s="4" t="s">
        <v>225</v>
      </c>
      <c r="M2496" s="8">
        <v>70</v>
      </c>
      <c r="N2496" s="5">
        <v>196.81</v>
      </c>
      <c r="O2496" s="5">
        <v>13776.7</v>
      </c>
      <c r="P2496">
        <f t="shared" si="153"/>
        <v>1</v>
      </c>
      <c r="Q2496" s="36">
        <f t="shared" si="154"/>
        <v>13776.7</v>
      </c>
      <c r="R2496">
        <f t="shared" si="155"/>
        <v>2023</v>
      </c>
    </row>
    <row r="2497" spans="1:18" x14ac:dyDescent="0.2">
      <c r="A2497" s="13">
        <v>45399</v>
      </c>
      <c r="B2497" s="13">
        <v>45137</v>
      </c>
      <c r="C2497" s="25" t="s">
        <v>399</v>
      </c>
      <c r="D2497" s="20">
        <v>262</v>
      </c>
      <c r="E2497" s="28">
        <v>216491</v>
      </c>
      <c r="F2497" s="22" t="s">
        <v>311</v>
      </c>
      <c r="G2497" s="14">
        <v>1100</v>
      </c>
      <c r="H2497" s="40">
        <v>45000</v>
      </c>
      <c r="I2497" s="46">
        <f t="shared" si="152"/>
        <v>399</v>
      </c>
      <c r="J2497" s="1" t="s">
        <v>15</v>
      </c>
      <c r="K2497" s="4" t="s">
        <v>210</v>
      </c>
      <c r="L2497" s="4" t="s">
        <v>225</v>
      </c>
      <c r="M2497" s="8">
        <v>1100</v>
      </c>
      <c r="N2497" s="5">
        <v>196.81</v>
      </c>
      <c r="O2497" s="5">
        <v>216491</v>
      </c>
      <c r="P2497">
        <f t="shared" si="153"/>
        <v>1</v>
      </c>
      <c r="Q2497" s="36">
        <f t="shared" si="154"/>
        <v>216491</v>
      </c>
      <c r="R2497">
        <f t="shared" si="155"/>
        <v>2023</v>
      </c>
    </row>
    <row r="2498" spans="1:18" x14ac:dyDescent="0.2">
      <c r="A2498" s="13">
        <v>45219</v>
      </c>
      <c r="B2498" s="13">
        <v>45121</v>
      </c>
      <c r="C2498" s="25" t="s">
        <v>399</v>
      </c>
      <c r="D2498" s="20">
        <v>98</v>
      </c>
      <c r="E2498" s="28">
        <v>196.81</v>
      </c>
      <c r="F2498" s="22" t="s">
        <v>311</v>
      </c>
      <c r="G2498" s="14">
        <v>1</v>
      </c>
      <c r="H2498" s="40">
        <v>45036</v>
      </c>
      <c r="I2498" s="46">
        <f t="shared" si="152"/>
        <v>183</v>
      </c>
      <c r="J2498" s="1" t="s">
        <v>15</v>
      </c>
      <c r="K2498" s="4" t="s">
        <v>210</v>
      </c>
      <c r="L2498" s="4" t="s">
        <v>225</v>
      </c>
      <c r="M2498" s="8">
        <v>2132</v>
      </c>
      <c r="N2498" s="5">
        <v>196.81</v>
      </c>
      <c r="O2498" s="5">
        <v>419598.92</v>
      </c>
      <c r="P2498">
        <f t="shared" si="153"/>
        <v>0</v>
      </c>
      <c r="Q2498" s="36">
        <f t="shared" si="154"/>
        <v>196.81</v>
      </c>
      <c r="R2498">
        <f t="shared" si="155"/>
        <v>2023</v>
      </c>
    </row>
    <row r="2499" spans="1:18" x14ac:dyDescent="0.2">
      <c r="A2499" s="13">
        <v>45359</v>
      </c>
      <c r="B2499" s="13">
        <v>45121</v>
      </c>
      <c r="C2499" s="25" t="s">
        <v>399</v>
      </c>
      <c r="D2499" s="20">
        <v>238</v>
      </c>
      <c r="E2499" s="28">
        <v>216491</v>
      </c>
      <c r="F2499" s="22" t="s">
        <v>311</v>
      </c>
      <c r="G2499" s="14">
        <v>1100</v>
      </c>
      <c r="H2499" s="40">
        <v>45036</v>
      </c>
      <c r="I2499" s="46">
        <f t="shared" ref="I2499:I2562" si="156">IFERROR(A2499-H2499,"")*1</f>
        <v>323</v>
      </c>
      <c r="J2499" s="1" t="s">
        <v>15</v>
      </c>
      <c r="K2499" s="4" t="s">
        <v>210</v>
      </c>
      <c r="L2499" s="4" t="s">
        <v>225</v>
      </c>
      <c r="M2499" s="8">
        <v>2132</v>
      </c>
      <c r="N2499" s="5">
        <v>196.81</v>
      </c>
      <c r="O2499" s="5">
        <v>419598.92</v>
      </c>
      <c r="P2499">
        <f t="shared" ref="P2499:P2562" si="157">IF(M2499=G2499,1,0)</f>
        <v>0</v>
      </c>
      <c r="Q2499" s="36">
        <f t="shared" ref="Q2499:Q2562" si="158">N2499*G2499</f>
        <v>216491</v>
      </c>
      <c r="R2499">
        <f t="shared" ref="R2499:R2562" si="159">YEAR(H2499)</f>
        <v>2023</v>
      </c>
    </row>
    <row r="2500" spans="1:18" x14ac:dyDescent="0.2">
      <c r="A2500" s="13">
        <v>45365</v>
      </c>
      <c r="B2500" s="13">
        <v>45121</v>
      </c>
      <c r="C2500" s="25" t="s">
        <v>399</v>
      </c>
      <c r="D2500" s="20">
        <v>244</v>
      </c>
      <c r="E2500" s="28">
        <v>13579.89</v>
      </c>
      <c r="F2500" s="22" t="s">
        <v>311</v>
      </c>
      <c r="G2500" s="14">
        <v>69</v>
      </c>
      <c r="H2500" s="40">
        <v>45036</v>
      </c>
      <c r="I2500" s="46">
        <f t="shared" si="156"/>
        <v>329</v>
      </c>
      <c r="J2500" s="1" t="s">
        <v>15</v>
      </c>
      <c r="K2500" s="4" t="s">
        <v>210</v>
      </c>
      <c r="L2500" s="4" t="s">
        <v>225</v>
      </c>
      <c r="M2500" s="8">
        <v>2132</v>
      </c>
      <c r="N2500" s="5">
        <v>196.81</v>
      </c>
      <c r="O2500" s="5">
        <v>419598.92</v>
      </c>
      <c r="P2500">
        <f t="shared" si="157"/>
        <v>0</v>
      </c>
      <c r="Q2500" s="36">
        <f t="shared" si="158"/>
        <v>13579.89</v>
      </c>
      <c r="R2500">
        <f t="shared" si="159"/>
        <v>2023</v>
      </c>
    </row>
    <row r="2501" spans="1:18" x14ac:dyDescent="0.2">
      <c r="A2501" s="13">
        <v>45399</v>
      </c>
      <c r="B2501" s="13">
        <v>45121</v>
      </c>
      <c r="C2501" s="25" t="s">
        <v>399</v>
      </c>
      <c r="D2501" s="20">
        <v>278</v>
      </c>
      <c r="E2501" s="28">
        <v>189331.22</v>
      </c>
      <c r="F2501" s="22" t="s">
        <v>311</v>
      </c>
      <c r="G2501" s="14">
        <v>962</v>
      </c>
      <c r="H2501" s="40">
        <v>45036</v>
      </c>
      <c r="I2501" s="46">
        <f t="shared" si="156"/>
        <v>363</v>
      </c>
      <c r="J2501" s="1" t="s">
        <v>15</v>
      </c>
      <c r="K2501" s="4" t="s">
        <v>210</v>
      </c>
      <c r="L2501" s="4" t="s">
        <v>225</v>
      </c>
      <c r="M2501" s="8">
        <v>2132</v>
      </c>
      <c r="N2501" s="5">
        <v>196.81</v>
      </c>
      <c r="O2501" s="5">
        <v>419598.92</v>
      </c>
      <c r="P2501">
        <f t="shared" si="157"/>
        <v>0</v>
      </c>
      <c r="Q2501" s="36">
        <f t="shared" si="158"/>
        <v>189331.22</v>
      </c>
      <c r="R2501">
        <f t="shared" si="159"/>
        <v>2023</v>
      </c>
    </row>
    <row r="2502" spans="1:18" x14ac:dyDescent="0.2">
      <c r="A2502" s="13">
        <v>45196</v>
      </c>
      <c r="B2502" s="13">
        <v>45196</v>
      </c>
      <c r="C2502" s="25" t="s">
        <v>398</v>
      </c>
      <c r="D2502" s="20">
        <v>0</v>
      </c>
      <c r="E2502" s="28">
        <v>3381</v>
      </c>
      <c r="F2502" s="22" t="s">
        <v>312</v>
      </c>
      <c r="G2502" s="14">
        <v>300</v>
      </c>
      <c r="H2502" s="40">
        <v>45180</v>
      </c>
      <c r="I2502" s="46">
        <f t="shared" si="156"/>
        <v>16</v>
      </c>
      <c r="J2502" s="1" t="s">
        <v>15</v>
      </c>
      <c r="K2502" s="4" t="s">
        <v>211</v>
      </c>
      <c r="L2502" s="4" t="s">
        <v>225</v>
      </c>
      <c r="M2502" s="8">
        <v>300</v>
      </c>
      <c r="N2502" s="5">
        <v>11.27</v>
      </c>
      <c r="O2502" s="5">
        <v>3381</v>
      </c>
      <c r="P2502">
        <f t="shared" si="157"/>
        <v>1</v>
      </c>
      <c r="Q2502" s="36">
        <f t="shared" si="158"/>
        <v>3381</v>
      </c>
      <c r="R2502">
        <f t="shared" si="159"/>
        <v>2023</v>
      </c>
    </row>
    <row r="2503" spans="1:18" x14ac:dyDescent="0.2">
      <c r="A2503" s="13">
        <v>45203</v>
      </c>
      <c r="B2503" s="13">
        <v>45203</v>
      </c>
      <c r="C2503" s="25" t="s">
        <v>398</v>
      </c>
      <c r="D2503" s="20">
        <v>0</v>
      </c>
      <c r="E2503" s="28">
        <v>3348</v>
      </c>
      <c r="F2503" s="22" t="s">
        <v>313</v>
      </c>
      <c r="G2503" s="14">
        <v>360</v>
      </c>
      <c r="H2503" s="40">
        <v>44826</v>
      </c>
      <c r="I2503" s="46">
        <f t="shared" si="156"/>
        <v>377</v>
      </c>
      <c r="J2503" s="1" t="s">
        <v>15</v>
      </c>
      <c r="K2503" s="4" t="s">
        <v>211</v>
      </c>
      <c r="L2503" s="4" t="s">
        <v>225</v>
      </c>
      <c r="M2503" s="8">
        <v>360</v>
      </c>
      <c r="N2503" s="5">
        <v>9.3000000000000007</v>
      </c>
      <c r="O2503" s="5">
        <v>3348</v>
      </c>
      <c r="P2503">
        <f t="shared" si="157"/>
        <v>1</v>
      </c>
      <c r="Q2503" s="36">
        <f t="shared" si="158"/>
        <v>3348.0000000000005</v>
      </c>
      <c r="R2503">
        <f t="shared" si="159"/>
        <v>2022</v>
      </c>
    </row>
    <row r="2504" spans="1:18" x14ac:dyDescent="0.2">
      <c r="A2504" s="13">
        <v>45266</v>
      </c>
      <c r="B2504" s="13">
        <v>45266</v>
      </c>
      <c r="C2504" s="25" t="s">
        <v>398</v>
      </c>
      <c r="D2504" s="20">
        <v>0</v>
      </c>
      <c r="E2504" s="28">
        <v>2790</v>
      </c>
      <c r="F2504" s="22" t="s">
        <v>313</v>
      </c>
      <c r="G2504" s="14">
        <v>300</v>
      </c>
      <c r="H2504" s="40">
        <v>44894</v>
      </c>
      <c r="I2504" s="46">
        <f t="shared" si="156"/>
        <v>372</v>
      </c>
      <c r="J2504" s="1" t="s">
        <v>15</v>
      </c>
      <c r="K2504" s="4" t="s">
        <v>211</v>
      </c>
      <c r="L2504" s="4" t="s">
        <v>225</v>
      </c>
      <c r="M2504" s="8">
        <v>300</v>
      </c>
      <c r="N2504" s="5">
        <v>9.3000000000000007</v>
      </c>
      <c r="O2504" s="5">
        <v>2790</v>
      </c>
      <c r="P2504">
        <f t="shared" si="157"/>
        <v>1</v>
      </c>
      <c r="Q2504" s="36">
        <f t="shared" si="158"/>
        <v>2790</v>
      </c>
      <c r="R2504">
        <f t="shared" si="159"/>
        <v>2022</v>
      </c>
    </row>
    <row r="2505" spans="1:18" x14ac:dyDescent="0.2">
      <c r="A2505" s="13">
        <v>45294</v>
      </c>
      <c r="B2505" s="13">
        <v>45294</v>
      </c>
      <c r="C2505" s="25" t="s">
        <v>398</v>
      </c>
      <c r="D2505" s="20">
        <v>0</v>
      </c>
      <c r="E2505" s="28">
        <v>11030.4</v>
      </c>
      <c r="F2505" s="22" t="s">
        <v>295</v>
      </c>
      <c r="G2505" s="14">
        <v>120</v>
      </c>
      <c r="H2505" s="40">
        <v>44818</v>
      </c>
      <c r="I2505" s="46">
        <f t="shared" si="156"/>
        <v>476</v>
      </c>
      <c r="J2505" s="1" t="s">
        <v>15</v>
      </c>
      <c r="K2505" s="4" t="s">
        <v>211</v>
      </c>
      <c r="L2505" s="4" t="s">
        <v>225</v>
      </c>
      <c r="M2505" s="8">
        <v>120</v>
      </c>
      <c r="N2505" s="5">
        <v>91.92</v>
      </c>
      <c r="O2505" s="5">
        <v>11030.4</v>
      </c>
      <c r="P2505">
        <f t="shared" si="157"/>
        <v>1</v>
      </c>
      <c r="Q2505" s="36">
        <f t="shared" si="158"/>
        <v>11030.4</v>
      </c>
      <c r="R2505">
        <f t="shared" si="159"/>
        <v>2022</v>
      </c>
    </row>
    <row r="2506" spans="1:18" x14ac:dyDescent="0.2">
      <c r="A2506" s="13">
        <v>45294</v>
      </c>
      <c r="B2506" s="13">
        <v>45294</v>
      </c>
      <c r="C2506" s="25" t="s">
        <v>398</v>
      </c>
      <c r="D2506" s="20">
        <v>0</v>
      </c>
      <c r="E2506" s="28">
        <v>11030.4</v>
      </c>
      <c r="F2506" s="22" t="s">
        <v>295</v>
      </c>
      <c r="G2506" s="14">
        <v>120</v>
      </c>
      <c r="H2506" s="40">
        <v>44818</v>
      </c>
      <c r="I2506" s="46">
        <f t="shared" si="156"/>
        <v>476</v>
      </c>
      <c r="J2506" s="1" t="s">
        <v>15</v>
      </c>
      <c r="K2506" s="4" t="s">
        <v>211</v>
      </c>
      <c r="L2506" s="4" t="s">
        <v>225</v>
      </c>
      <c r="M2506" s="8">
        <v>120</v>
      </c>
      <c r="N2506" s="5">
        <v>91.92</v>
      </c>
      <c r="O2506" s="5">
        <v>11030.4</v>
      </c>
      <c r="P2506">
        <f t="shared" si="157"/>
        <v>1</v>
      </c>
      <c r="Q2506" s="36">
        <f t="shared" si="158"/>
        <v>11030.4</v>
      </c>
      <c r="R2506">
        <f t="shared" si="159"/>
        <v>2022</v>
      </c>
    </row>
    <row r="2507" spans="1:18" x14ac:dyDescent="0.2">
      <c r="A2507" s="13">
        <v>45294</v>
      </c>
      <c r="B2507" s="13">
        <v>45294</v>
      </c>
      <c r="C2507" s="25" t="s">
        <v>398</v>
      </c>
      <c r="D2507" s="20">
        <v>0</v>
      </c>
      <c r="E2507" s="28">
        <v>11030.4</v>
      </c>
      <c r="F2507" s="22" t="s">
        <v>295</v>
      </c>
      <c r="G2507" s="14">
        <v>120</v>
      </c>
      <c r="H2507" s="40">
        <v>44818</v>
      </c>
      <c r="I2507" s="46">
        <f t="shared" si="156"/>
        <v>476</v>
      </c>
      <c r="J2507" s="1" t="s">
        <v>15</v>
      </c>
      <c r="K2507" s="4" t="s">
        <v>211</v>
      </c>
      <c r="L2507" s="4" t="s">
        <v>225</v>
      </c>
      <c r="M2507" s="8">
        <v>120</v>
      </c>
      <c r="N2507" s="5">
        <v>91.92</v>
      </c>
      <c r="O2507" s="5">
        <v>11030.4</v>
      </c>
      <c r="P2507">
        <f t="shared" si="157"/>
        <v>1</v>
      </c>
      <c r="Q2507" s="36">
        <f t="shared" si="158"/>
        <v>11030.4</v>
      </c>
      <c r="R2507">
        <f t="shared" si="159"/>
        <v>2022</v>
      </c>
    </row>
    <row r="2508" spans="1:18" x14ac:dyDescent="0.2">
      <c r="A2508" s="13">
        <v>45294</v>
      </c>
      <c r="B2508" s="13">
        <v>45294</v>
      </c>
      <c r="C2508" s="25" t="s">
        <v>398</v>
      </c>
      <c r="D2508" s="20">
        <v>0</v>
      </c>
      <c r="E2508" s="28">
        <v>11030.4</v>
      </c>
      <c r="F2508" s="22" t="s">
        <v>295</v>
      </c>
      <c r="G2508" s="14">
        <v>120</v>
      </c>
      <c r="H2508" s="40">
        <v>44818</v>
      </c>
      <c r="I2508" s="46">
        <f t="shared" si="156"/>
        <v>476</v>
      </c>
      <c r="J2508" s="1" t="s">
        <v>15</v>
      </c>
      <c r="K2508" s="4" t="s">
        <v>211</v>
      </c>
      <c r="L2508" s="4" t="s">
        <v>225</v>
      </c>
      <c r="M2508" s="8">
        <v>120</v>
      </c>
      <c r="N2508" s="5">
        <v>91.92</v>
      </c>
      <c r="O2508" s="5">
        <v>11030.4</v>
      </c>
      <c r="P2508">
        <f t="shared" si="157"/>
        <v>1</v>
      </c>
      <c r="Q2508" s="36">
        <f t="shared" si="158"/>
        <v>11030.4</v>
      </c>
      <c r="R2508">
        <f t="shared" si="159"/>
        <v>2022</v>
      </c>
    </row>
    <row r="2509" spans="1:18" x14ac:dyDescent="0.2">
      <c r="A2509" s="13">
        <v>45294</v>
      </c>
      <c r="B2509" s="13">
        <v>45294</v>
      </c>
      <c r="C2509" s="25" t="s">
        <v>398</v>
      </c>
      <c r="D2509" s="20">
        <v>0</v>
      </c>
      <c r="E2509" s="28">
        <v>11030.4</v>
      </c>
      <c r="F2509" s="22" t="s">
        <v>295</v>
      </c>
      <c r="G2509" s="14">
        <v>120</v>
      </c>
      <c r="H2509" s="40">
        <v>44826</v>
      </c>
      <c r="I2509" s="46">
        <f t="shared" si="156"/>
        <v>468</v>
      </c>
      <c r="J2509" s="1" t="s">
        <v>15</v>
      </c>
      <c r="K2509" s="4" t="s">
        <v>211</v>
      </c>
      <c r="L2509" s="4" t="s">
        <v>225</v>
      </c>
      <c r="M2509" s="8">
        <v>120</v>
      </c>
      <c r="N2509" s="5">
        <v>91.92</v>
      </c>
      <c r="O2509" s="5">
        <v>11030.4</v>
      </c>
      <c r="P2509">
        <f t="shared" si="157"/>
        <v>1</v>
      </c>
      <c r="Q2509" s="36">
        <f t="shared" si="158"/>
        <v>11030.4</v>
      </c>
      <c r="R2509">
        <f t="shared" si="159"/>
        <v>2022</v>
      </c>
    </row>
    <row r="2510" spans="1:18" x14ac:dyDescent="0.2">
      <c r="A2510" s="13">
        <v>45294</v>
      </c>
      <c r="B2510" s="13">
        <v>45294</v>
      </c>
      <c r="C2510" s="25" t="s">
        <v>398</v>
      </c>
      <c r="D2510" s="20">
        <v>0</v>
      </c>
      <c r="E2510" s="28">
        <v>5882.88</v>
      </c>
      <c r="F2510" s="22" t="s">
        <v>295</v>
      </c>
      <c r="G2510" s="14">
        <v>64</v>
      </c>
      <c r="H2510" s="40">
        <v>44845</v>
      </c>
      <c r="I2510" s="46">
        <f t="shared" si="156"/>
        <v>449</v>
      </c>
      <c r="J2510" s="1" t="s">
        <v>15</v>
      </c>
      <c r="K2510" s="4" t="s">
        <v>211</v>
      </c>
      <c r="L2510" s="4" t="s">
        <v>225</v>
      </c>
      <c r="M2510" s="8">
        <v>120</v>
      </c>
      <c r="N2510" s="5">
        <v>91.92</v>
      </c>
      <c r="O2510" s="5">
        <v>11030.4</v>
      </c>
      <c r="P2510">
        <f t="shared" si="157"/>
        <v>0</v>
      </c>
      <c r="Q2510" s="36">
        <f t="shared" si="158"/>
        <v>5882.88</v>
      </c>
      <c r="R2510">
        <f t="shared" si="159"/>
        <v>2022</v>
      </c>
    </row>
    <row r="2511" spans="1:18" x14ac:dyDescent="0.2">
      <c r="A2511" s="13">
        <v>45314</v>
      </c>
      <c r="B2511" s="13">
        <v>45294</v>
      </c>
      <c r="C2511" s="25" t="s">
        <v>399</v>
      </c>
      <c r="D2511" s="20">
        <v>20</v>
      </c>
      <c r="E2511" s="28">
        <v>5147.5200000000004</v>
      </c>
      <c r="F2511" s="22" t="s">
        <v>295</v>
      </c>
      <c r="G2511" s="14">
        <v>56</v>
      </c>
      <c r="H2511" s="40">
        <v>44845</v>
      </c>
      <c r="I2511" s="46">
        <f t="shared" si="156"/>
        <v>469</v>
      </c>
      <c r="J2511" s="1" t="s">
        <v>15</v>
      </c>
      <c r="K2511" s="4" t="s">
        <v>211</v>
      </c>
      <c r="L2511" s="4" t="s">
        <v>225</v>
      </c>
      <c r="M2511" s="8">
        <v>120</v>
      </c>
      <c r="N2511" s="5">
        <v>91.92</v>
      </c>
      <c r="O2511" s="5">
        <v>11030.4</v>
      </c>
      <c r="P2511">
        <f t="shared" si="157"/>
        <v>0</v>
      </c>
      <c r="Q2511" s="36">
        <f t="shared" si="158"/>
        <v>5147.5200000000004</v>
      </c>
      <c r="R2511">
        <f t="shared" si="159"/>
        <v>2022</v>
      </c>
    </row>
    <row r="2512" spans="1:18" x14ac:dyDescent="0.2">
      <c r="A2512" s="13">
        <v>45314</v>
      </c>
      <c r="B2512" s="13">
        <v>45294</v>
      </c>
      <c r="C2512" s="25" t="s">
        <v>399</v>
      </c>
      <c r="D2512" s="20">
        <v>20</v>
      </c>
      <c r="E2512" s="28">
        <v>11030.4</v>
      </c>
      <c r="F2512" s="22" t="s">
        <v>295</v>
      </c>
      <c r="G2512" s="14">
        <v>120</v>
      </c>
      <c r="H2512" s="40">
        <v>44845</v>
      </c>
      <c r="I2512" s="46">
        <f t="shared" si="156"/>
        <v>469</v>
      </c>
      <c r="J2512" s="1" t="s">
        <v>15</v>
      </c>
      <c r="K2512" s="4" t="s">
        <v>211</v>
      </c>
      <c r="L2512" s="4" t="s">
        <v>225</v>
      </c>
      <c r="M2512" s="8">
        <v>120</v>
      </c>
      <c r="N2512" s="5">
        <v>91.92</v>
      </c>
      <c r="O2512" s="5">
        <v>11030.4</v>
      </c>
      <c r="P2512">
        <f t="shared" si="157"/>
        <v>1</v>
      </c>
      <c r="Q2512" s="36">
        <f t="shared" si="158"/>
        <v>11030.4</v>
      </c>
      <c r="R2512">
        <f t="shared" si="159"/>
        <v>2022</v>
      </c>
    </row>
    <row r="2513" spans="1:18" x14ac:dyDescent="0.2">
      <c r="A2513" s="13">
        <v>45314</v>
      </c>
      <c r="B2513" s="13">
        <v>45294</v>
      </c>
      <c r="C2513" s="25" t="s">
        <v>399</v>
      </c>
      <c r="D2513" s="20">
        <v>20</v>
      </c>
      <c r="E2513" s="28">
        <v>5882.88</v>
      </c>
      <c r="F2513" s="22" t="s">
        <v>295</v>
      </c>
      <c r="G2513" s="14">
        <v>64</v>
      </c>
      <c r="H2513" s="40">
        <v>44845</v>
      </c>
      <c r="I2513" s="46">
        <f t="shared" si="156"/>
        <v>469</v>
      </c>
      <c r="J2513" s="1" t="s">
        <v>15</v>
      </c>
      <c r="K2513" s="4" t="s">
        <v>211</v>
      </c>
      <c r="L2513" s="4" t="s">
        <v>225</v>
      </c>
      <c r="M2513" s="8">
        <v>120</v>
      </c>
      <c r="N2513" s="5">
        <v>91.92</v>
      </c>
      <c r="O2513" s="5">
        <v>11030.4</v>
      </c>
      <c r="P2513">
        <f t="shared" si="157"/>
        <v>0</v>
      </c>
      <c r="Q2513" s="36">
        <f t="shared" si="158"/>
        <v>5882.88</v>
      </c>
      <c r="R2513">
        <f t="shared" si="159"/>
        <v>2022</v>
      </c>
    </row>
    <row r="2514" spans="1:18" x14ac:dyDescent="0.2">
      <c r="A2514" s="13">
        <v>45323</v>
      </c>
      <c r="B2514" s="13">
        <v>45294</v>
      </c>
      <c r="C2514" s="25" t="s">
        <v>399</v>
      </c>
      <c r="D2514" s="20">
        <v>29</v>
      </c>
      <c r="E2514" s="28">
        <v>5147.5200000000004</v>
      </c>
      <c r="F2514" s="22" t="s">
        <v>295</v>
      </c>
      <c r="G2514" s="14">
        <v>56</v>
      </c>
      <c r="H2514" s="40">
        <v>44845</v>
      </c>
      <c r="I2514" s="46">
        <f t="shared" si="156"/>
        <v>478</v>
      </c>
      <c r="J2514" s="1" t="s">
        <v>15</v>
      </c>
      <c r="K2514" s="4" t="s">
        <v>211</v>
      </c>
      <c r="L2514" s="4" t="s">
        <v>225</v>
      </c>
      <c r="M2514" s="8">
        <v>120</v>
      </c>
      <c r="N2514" s="5">
        <v>91.92</v>
      </c>
      <c r="O2514" s="5">
        <v>11030.4</v>
      </c>
      <c r="P2514">
        <f t="shared" si="157"/>
        <v>0</v>
      </c>
      <c r="Q2514" s="36">
        <f t="shared" si="158"/>
        <v>5147.5200000000004</v>
      </c>
      <c r="R2514">
        <f t="shared" si="159"/>
        <v>2022</v>
      </c>
    </row>
    <row r="2515" spans="1:18" x14ac:dyDescent="0.2">
      <c r="A2515" s="13">
        <v>45323</v>
      </c>
      <c r="B2515" s="13">
        <v>45294</v>
      </c>
      <c r="C2515" s="25" t="s">
        <v>399</v>
      </c>
      <c r="D2515" s="20">
        <v>29</v>
      </c>
      <c r="E2515" s="28">
        <v>11030.4</v>
      </c>
      <c r="F2515" s="22" t="s">
        <v>295</v>
      </c>
      <c r="G2515" s="14">
        <v>120</v>
      </c>
      <c r="H2515" s="40">
        <v>44858</v>
      </c>
      <c r="I2515" s="46">
        <f t="shared" si="156"/>
        <v>465</v>
      </c>
      <c r="J2515" s="1" t="s">
        <v>15</v>
      </c>
      <c r="K2515" s="4" t="s">
        <v>211</v>
      </c>
      <c r="L2515" s="4" t="s">
        <v>225</v>
      </c>
      <c r="M2515" s="8">
        <v>120</v>
      </c>
      <c r="N2515" s="5">
        <v>91.92</v>
      </c>
      <c r="O2515" s="5">
        <v>11030.4</v>
      </c>
      <c r="P2515">
        <f t="shared" si="157"/>
        <v>1</v>
      </c>
      <c r="Q2515" s="36">
        <f t="shared" si="158"/>
        <v>11030.4</v>
      </c>
      <c r="R2515">
        <f t="shared" si="159"/>
        <v>2022</v>
      </c>
    </row>
    <row r="2516" spans="1:18" x14ac:dyDescent="0.2">
      <c r="A2516" s="13">
        <v>45328</v>
      </c>
      <c r="B2516" s="13">
        <v>45321</v>
      </c>
      <c r="C2516" s="25" t="s">
        <v>399</v>
      </c>
      <c r="D2516" s="20">
        <v>7</v>
      </c>
      <c r="E2516" s="28">
        <v>5882.88</v>
      </c>
      <c r="F2516" s="22" t="s">
        <v>295</v>
      </c>
      <c r="G2516" s="14">
        <v>64</v>
      </c>
      <c r="H2516" s="40">
        <v>44945</v>
      </c>
      <c r="I2516" s="46">
        <f t="shared" si="156"/>
        <v>383</v>
      </c>
      <c r="J2516" s="1" t="s">
        <v>15</v>
      </c>
      <c r="K2516" s="4" t="s">
        <v>211</v>
      </c>
      <c r="L2516" s="4" t="s">
        <v>225</v>
      </c>
      <c r="M2516" s="8">
        <v>120</v>
      </c>
      <c r="N2516" s="5">
        <v>91.92</v>
      </c>
      <c r="O2516" s="5">
        <v>11030.4</v>
      </c>
      <c r="P2516">
        <f t="shared" si="157"/>
        <v>0</v>
      </c>
      <c r="Q2516" s="36">
        <f t="shared" si="158"/>
        <v>5882.88</v>
      </c>
      <c r="R2516">
        <f t="shared" si="159"/>
        <v>2023</v>
      </c>
    </row>
    <row r="2517" spans="1:18" x14ac:dyDescent="0.2">
      <c r="A2517" s="13">
        <v>45413</v>
      </c>
      <c r="B2517" s="13">
        <v>45321</v>
      </c>
      <c r="C2517" s="25" t="s">
        <v>399</v>
      </c>
      <c r="D2517" s="20">
        <v>92</v>
      </c>
      <c r="E2517" s="28">
        <v>5147.5200000000004</v>
      </c>
      <c r="F2517" s="22" t="s">
        <v>295</v>
      </c>
      <c r="G2517" s="14">
        <v>56</v>
      </c>
      <c r="H2517" s="40">
        <v>44945</v>
      </c>
      <c r="I2517" s="46">
        <f t="shared" si="156"/>
        <v>468</v>
      </c>
      <c r="J2517" s="1" t="s">
        <v>15</v>
      </c>
      <c r="K2517" s="4" t="s">
        <v>211</v>
      </c>
      <c r="L2517" s="4" t="s">
        <v>225</v>
      </c>
      <c r="M2517" s="8">
        <v>120</v>
      </c>
      <c r="N2517" s="5">
        <v>91.92</v>
      </c>
      <c r="O2517" s="5">
        <v>11030.4</v>
      </c>
      <c r="P2517">
        <f t="shared" si="157"/>
        <v>0</v>
      </c>
      <c r="Q2517" s="36">
        <f t="shared" si="158"/>
        <v>5147.5200000000004</v>
      </c>
      <c r="R2517">
        <f t="shared" si="159"/>
        <v>2023</v>
      </c>
    </row>
    <row r="2518" spans="1:18" x14ac:dyDescent="0.2">
      <c r="A2518" s="13">
        <v>45532</v>
      </c>
      <c r="B2518" s="13">
        <v>45532</v>
      </c>
      <c r="C2518" s="25" t="s">
        <v>398</v>
      </c>
      <c r="D2518" s="20">
        <v>0</v>
      </c>
      <c r="E2518" s="28">
        <v>11030.4</v>
      </c>
      <c r="F2518" s="22" t="s">
        <v>295</v>
      </c>
      <c r="G2518" s="14">
        <v>120</v>
      </c>
      <c r="H2518" s="40">
        <v>44973</v>
      </c>
      <c r="I2518" s="46">
        <f t="shared" si="156"/>
        <v>559</v>
      </c>
      <c r="J2518" s="1" t="s">
        <v>15</v>
      </c>
      <c r="K2518" s="4" t="s">
        <v>211</v>
      </c>
      <c r="L2518" s="4" t="s">
        <v>225</v>
      </c>
      <c r="M2518" s="8">
        <v>120</v>
      </c>
      <c r="N2518" s="5">
        <v>91.92</v>
      </c>
      <c r="O2518" s="5">
        <v>11030.4</v>
      </c>
      <c r="P2518">
        <f t="shared" si="157"/>
        <v>1</v>
      </c>
      <c r="Q2518" s="36">
        <f t="shared" si="158"/>
        <v>11030.4</v>
      </c>
      <c r="R2518">
        <f t="shared" si="159"/>
        <v>2023</v>
      </c>
    </row>
    <row r="2519" spans="1:18" x14ac:dyDescent="0.2">
      <c r="A2519" s="13">
        <v>45314</v>
      </c>
      <c r="B2519" s="13">
        <v>45231</v>
      </c>
      <c r="C2519" s="25" t="s">
        <v>399</v>
      </c>
      <c r="D2519" s="20">
        <v>83</v>
      </c>
      <c r="E2519" s="28">
        <v>2767.5</v>
      </c>
      <c r="F2519" s="22" t="s">
        <v>294</v>
      </c>
      <c r="G2519" s="14">
        <v>27000</v>
      </c>
      <c r="H2519" s="40">
        <v>44944</v>
      </c>
      <c r="I2519" s="46">
        <f t="shared" si="156"/>
        <v>370</v>
      </c>
      <c r="J2519" s="1" t="s">
        <v>15</v>
      </c>
      <c r="K2519" s="4" t="s">
        <v>211</v>
      </c>
      <c r="L2519" s="4" t="s">
        <v>225</v>
      </c>
      <c r="M2519" s="8">
        <v>27000</v>
      </c>
      <c r="N2519" s="5">
        <v>0.1</v>
      </c>
      <c r="O2519" s="5">
        <v>2700</v>
      </c>
      <c r="P2519">
        <f t="shared" si="157"/>
        <v>1</v>
      </c>
      <c r="Q2519" s="36">
        <f t="shared" si="158"/>
        <v>2700</v>
      </c>
      <c r="R2519">
        <f t="shared" si="159"/>
        <v>2023</v>
      </c>
    </row>
    <row r="2520" spans="1:18" x14ac:dyDescent="0.2">
      <c r="A2520" s="13">
        <v>45191</v>
      </c>
      <c r="B2520" s="13">
        <v>45191</v>
      </c>
      <c r="C2520" s="25" t="s">
        <v>398</v>
      </c>
      <c r="D2520" s="20">
        <v>0</v>
      </c>
      <c r="E2520" s="28">
        <v>7882.7</v>
      </c>
      <c r="F2520" s="22" t="s">
        <v>247</v>
      </c>
      <c r="G2520" s="14">
        <v>70</v>
      </c>
      <c r="H2520" s="40">
        <v>44819</v>
      </c>
      <c r="I2520" s="46">
        <f t="shared" si="156"/>
        <v>372</v>
      </c>
      <c r="J2520" s="1" t="s">
        <v>15</v>
      </c>
      <c r="K2520" s="4" t="s">
        <v>211</v>
      </c>
      <c r="L2520" s="4" t="s">
        <v>225</v>
      </c>
      <c r="M2520" s="8">
        <v>400</v>
      </c>
      <c r="N2520" s="5">
        <v>112.61</v>
      </c>
      <c r="O2520" s="5">
        <v>45044</v>
      </c>
      <c r="P2520">
        <f t="shared" si="157"/>
        <v>0</v>
      </c>
      <c r="Q2520" s="36">
        <f t="shared" si="158"/>
        <v>7882.7</v>
      </c>
      <c r="R2520">
        <f t="shared" si="159"/>
        <v>2022</v>
      </c>
    </row>
    <row r="2521" spans="1:18" x14ac:dyDescent="0.2">
      <c r="A2521" s="13">
        <v>45195</v>
      </c>
      <c r="B2521" s="13">
        <v>45191</v>
      </c>
      <c r="C2521" s="25" t="s">
        <v>399</v>
      </c>
      <c r="D2521" s="20">
        <v>4</v>
      </c>
      <c r="E2521" s="28">
        <v>37161.300000000003</v>
      </c>
      <c r="F2521" s="22" t="s">
        <v>247</v>
      </c>
      <c r="G2521" s="14">
        <v>330</v>
      </c>
      <c r="H2521" s="40">
        <v>44819</v>
      </c>
      <c r="I2521" s="46">
        <f t="shared" si="156"/>
        <v>376</v>
      </c>
      <c r="J2521" s="1" t="s">
        <v>15</v>
      </c>
      <c r="K2521" s="4" t="s">
        <v>211</v>
      </c>
      <c r="L2521" s="4" t="s">
        <v>225</v>
      </c>
      <c r="M2521" s="8">
        <v>400</v>
      </c>
      <c r="N2521" s="5">
        <v>112.61</v>
      </c>
      <c r="O2521" s="5">
        <v>45044</v>
      </c>
      <c r="P2521">
        <f t="shared" si="157"/>
        <v>0</v>
      </c>
      <c r="Q2521" s="36">
        <f t="shared" si="158"/>
        <v>37161.300000000003</v>
      </c>
      <c r="R2521">
        <f t="shared" si="159"/>
        <v>2022</v>
      </c>
    </row>
    <row r="2522" spans="1:18" x14ac:dyDescent="0.2">
      <c r="A2522" s="13">
        <v>45233</v>
      </c>
      <c r="B2522" s="13">
        <v>45233</v>
      </c>
      <c r="C2522" s="25" t="s">
        <v>398</v>
      </c>
      <c r="D2522" s="20">
        <v>0</v>
      </c>
      <c r="E2522" s="28">
        <v>22522</v>
      </c>
      <c r="F2522" s="22" t="s">
        <v>247</v>
      </c>
      <c r="G2522" s="14">
        <v>200</v>
      </c>
      <c r="H2522" s="40">
        <v>44834</v>
      </c>
      <c r="I2522" s="46">
        <f t="shared" si="156"/>
        <v>399</v>
      </c>
      <c r="J2522" s="1" t="s">
        <v>15</v>
      </c>
      <c r="K2522" s="4" t="s">
        <v>211</v>
      </c>
      <c r="L2522" s="4" t="s">
        <v>225</v>
      </c>
      <c r="M2522" s="8">
        <v>200</v>
      </c>
      <c r="N2522" s="5">
        <v>112.61</v>
      </c>
      <c r="O2522" s="5">
        <v>22522</v>
      </c>
      <c r="P2522">
        <f t="shared" si="157"/>
        <v>1</v>
      </c>
      <c r="Q2522" s="36">
        <f t="shared" si="158"/>
        <v>22522</v>
      </c>
      <c r="R2522">
        <f t="shared" si="159"/>
        <v>2022</v>
      </c>
    </row>
    <row r="2523" spans="1:18" x14ac:dyDescent="0.2">
      <c r="A2523" s="13">
        <v>45240</v>
      </c>
      <c r="B2523" s="13">
        <v>45240</v>
      </c>
      <c r="C2523" s="25" t="s">
        <v>398</v>
      </c>
      <c r="D2523" s="20">
        <v>0</v>
      </c>
      <c r="E2523" s="28">
        <v>45044</v>
      </c>
      <c r="F2523" s="22" t="s">
        <v>247</v>
      </c>
      <c r="G2523" s="14">
        <v>400</v>
      </c>
      <c r="H2523" s="40">
        <v>44834</v>
      </c>
      <c r="I2523" s="46">
        <f t="shared" si="156"/>
        <v>406</v>
      </c>
      <c r="J2523" s="1" t="s">
        <v>15</v>
      </c>
      <c r="K2523" s="4" t="s">
        <v>211</v>
      </c>
      <c r="L2523" s="4" t="s">
        <v>225</v>
      </c>
      <c r="M2523" s="8">
        <v>400</v>
      </c>
      <c r="N2523" s="5">
        <v>112.61</v>
      </c>
      <c r="O2523" s="5">
        <v>45044</v>
      </c>
      <c r="P2523">
        <f t="shared" si="157"/>
        <v>1</v>
      </c>
      <c r="Q2523" s="36">
        <f t="shared" si="158"/>
        <v>45044</v>
      </c>
      <c r="R2523">
        <f t="shared" si="159"/>
        <v>2022</v>
      </c>
    </row>
    <row r="2524" spans="1:18" x14ac:dyDescent="0.2">
      <c r="A2524" s="13">
        <v>45247</v>
      </c>
      <c r="B2524" s="13">
        <v>45247</v>
      </c>
      <c r="C2524" s="25" t="s">
        <v>398</v>
      </c>
      <c r="D2524" s="20">
        <v>0</v>
      </c>
      <c r="E2524" s="28">
        <v>22522</v>
      </c>
      <c r="F2524" s="22" t="s">
        <v>247</v>
      </c>
      <c r="G2524" s="14">
        <v>200</v>
      </c>
      <c r="H2524" s="40">
        <v>44834</v>
      </c>
      <c r="I2524" s="46">
        <f t="shared" si="156"/>
        <v>413</v>
      </c>
      <c r="J2524" s="1" t="s">
        <v>15</v>
      </c>
      <c r="K2524" s="4" t="s">
        <v>211</v>
      </c>
      <c r="L2524" s="4" t="s">
        <v>225</v>
      </c>
      <c r="M2524" s="8">
        <v>200</v>
      </c>
      <c r="N2524" s="5">
        <v>112.61</v>
      </c>
      <c r="O2524" s="5">
        <v>22522</v>
      </c>
      <c r="P2524">
        <f t="shared" si="157"/>
        <v>1</v>
      </c>
      <c r="Q2524" s="36">
        <f t="shared" si="158"/>
        <v>22522</v>
      </c>
      <c r="R2524">
        <f t="shared" si="159"/>
        <v>2022</v>
      </c>
    </row>
    <row r="2525" spans="1:18" x14ac:dyDescent="0.2">
      <c r="A2525" s="13">
        <v>45240</v>
      </c>
      <c r="B2525" s="13">
        <v>45240</v>
      </c>
      <c r="C2525" s="25" t="s">
        <v>398</v>
      </c>
      <c r="D2525" s="20">
        <v>0</v>
      </c>
      <c r="E2525" s="28">
        <v>45044</v>
      </c>
      <c r="F2525" s="22" t="s">
        <v>247</v>
      </c>
      <c r="G2525" s="14">
        <v>400</v>
      </c>
      <c r="H2525" s="40">
        <v>44848</v>
      </c>
      <c r="I2525" s="46">
        <f t="shared" si="156"/>
        <v>392</v>
      </c>
      <c r="J2525" s="1" t="s">
        <v>15</v>
      </c>
      <c r="K2525" s="4" t="s">
        <v>211</v>
      </c>
      <c r="L2525" s="4" t="s">
        <v>225</v>
      </c>
      <c r="M2525" s="8">
        <v>400</v>
      </c>
      <c r="N2525" s="5">
        <v>112.61</v>
      </c>
      <c r="O2525" s="5">
        <v>45044</v>
      </c>
      <c r="P2525">
        <f t="shared" si="157"/>
        <v>1</v>
      </c>
      <c r="Q2525" s="36">
        <f t="shared" si="158"/>
        <v>45044</v>
      </c>
      <c r="R2525">
        <f t="shared" si="159"/>
        <v>2022</v>
      </c>
    </row>
    <row r="2526" spans="1:18" x14ac:dyDescent="0.2">
      <c r="A2526" s="13">
        <v>45254</v>
      </c>
      <c r="B2526" s="13">
        <v>45254</v>
      </c>
      <c r="C2526" s="25" t="s">
        <v>398</v>
      </c>
      <c r="D2526" s="20">
        <v>0</v>
      </c>
      <c r="E2526" s="28">
        <v>22522</v>
      </c>
      <c r="F2526" s="22" t="s">
        <v>247</v>
      </c>
      <c r="G2526" s="14">
        <v>200</v>
      </c>
      <c r="H2526" s="40">
        <v>44848</v>
      </c>
      <c r="I2526" s="46">
        <f t="shared" si="156"/>
        <v>406</v>
      </c>
      <c r="J2526" s="1" t="s">
        <v>15</v>
      </c>
      <c r="K2526" s="4" t="s">
        <v>211</v>
      </c>
      <c r="L2526" s="4" t="s">
        <v>225</v>
      </c>
      <c r="M2526" s="8">
        <v>200</v>
      </c>
      <c r="N2526" s="5">
        <v>112.61</v>
      </c>
      <c r="O2526" s="5">
        <v>22522</v>
      </c>
      <c r="P2526">
        <f t="shared" si="157"/>
        <v>1</v>
      </c>
      <c r="Q2526" s="36">
        <f t="shared" si="158"/>
        <v>22522</v>
      </c>
      <c r="R2526">
        <f t="shared" si="159"/>
        <v>2022</v>
      </c>
    </row>
    <row r="2527" spans="1:18" x14ac:dyDescent="0.2">
      <c r="A2527" s="13">
        <v>45317</v>
      </c>
      <c r="B2527" s="13">
        <v>45317</v>
      </c>
      <c r="C2527" s="25" t="s">
        <v>398</v>
      </c>
      <c r="D2527" s="20">
        <v>0</v>
      </c>
      <c r="E2527" s="28">
        <v>45044</v>
      </c>
      <c r="F2527" s="22" t="s">
        <v>247</v>
      </c>
      <c r="G2527" s="14">
        <v>400</v>
      </c>
      <c r="H2527" s="40">
        <v>44932</v>
      </c>
      <c r="I2527" s="46">
        <f t="shared" si="156"/>
        <v>385</v>
      </c>
      <c r="J2527" s="1" t="s">
        <v>15</v>
      </c>
      <c r="K2527" s="4" t="s">
        <v>211</v>
      </c>
      <c r="L2527" s="4" t="s">
        <v>225</v>
      </c>
      <c r="M2527" s="8">
        <v>400</v>
      </c>
      <c r="N2527" s="5">
        <v>112.61</v>
      </c>
      <c r="O2527" s="5">
        <v>45044</v>
      </c>
      <c r="P2527">
        <f t="shared" si="157"/>
        <v>1</v>
      </c>
      <c r="Q2527" s="36">
        <f t="shared" si="158"/>
        <v>45044</v>
      </c>
      <c r="R2527">
        <f t="shared" si="159"/>
        <v>2023</v>
      </c>
    </row>
    <row r="2528" spans="1:18" x14ac:dyDescent="0.2">
      <c r="A2528" s="13">
        <v>45328</v>
      </c>
      <c r="B2528" s="13">
        <v>45149</v>
      </c>
      <c r="C2528" s="25" t="s">
        <v>399</v>
      </c>
      <c r="D2528" s="20">
        <v>179</v>
      </c>
      <c r="E2528" s="28">
        <v>22522</v>
      </c>
      <c r="F2528" s="22" t="s">
        <v>247</v>
      </c>
      <c r="G2528" s="14">
        <v>200</v>
      </c>
      <c r="H2528" s="40">
        <v>44932</v>
      </c>
      <c r="I2528" s="46">
        <f t="shared" si="156"/>
        <v>396</v>
      </c>
      <c r="J2528" s="1" t="s">
        <v>15</v>
      </c>
      <c r="K2528" s="4" t="s">
        <v>211</v>
      </c>
      <c r="L2528" s="4" t="s">
        <v>225</v>
      </c>
      <c r="M2528" s="8">
        <v>200</v>
      </c>
      <c r="N2528" s="5">
        <v>112.61</v>
      </c>
      <c r="O2528" s="5">
        <v>22522</v>
      </c>
      <c r="P2528">
        <f t="shared" si="157"/>
        <v>1</v>
      </c>
      <c r="Q2528" s="36">
        <f t="shared" si="158"/>
        <v>22522</v>
      </c>
      <c r="R2528">
        <f t="shared" si="159"/>
        <v>2023</v>
      </c>
    </row>
    <row r="2529" spans="1:18" x14ac:dyDescent="0.2">
      <c r="A2529" s="13">
        <v>45328</v>
      </c>
      <c r="B2529" s="13">
        <v>45149</v>
      </c>
      <c r="C2529" s="25" t="s">
        <v>399</v>
      </c>
      <c r="D2529" s="20">
        <v>179</v>
      </c>
      <c r="E2529" s="28">
        <v>7882.7</v>
      </c>
      <c r="F2529" s="22" t="s">
        <v>247</v>
      </c>
      <c r="G2529" s="14">
        <v>70</v>
      </c>
      <c r="H2529" s="40">
        <v>44932</v>
      </c>
      <c r="I2529" s="46">
        <f t="shared" si="156"/>
        <v>396</v>
      </c>
      <c r="J2529" s="1" t="s">
        <v>15</v>
      </c>
      <c r="K2529" s="4" t="s">
        <v>211</v>
      </c>
      <c r="L2529" s="4" t="s">
        <v>225</v>
      </c>
      <c r="M2529" s="8">
        <v>200</v>
      </c>
      <c r="N2529" s="5">
        <v>112.61</v>
      </c>
      <c r="O2529" s="5">
        <v>22522</v>
      </c>
      <c r="P2529">
        <f t="shared" si="157"/>
        <v>0</v>
      </c>
      <c r="Q2529" s="36">
        <f t="shared" si="158"/>
        <v>7882.7</v>
      </c>
      <c r="R2529">
        <f t="shared" si="159"/>
        <v>2023</v>
      </c>
    </row>
    <row r="2530" spans="1:18" x14ac:dyDescent="0.2">
      <c r="A2530" s="13">
        <v>45330</v>
      </c>
      <c r="B2530" s="13">
        <v>45149</v>
      </c>
      <c r="C2530" s="25" t="s">
        <v>399</v>
      </c>
      <c r="D2530" s="20">
        <v>181</v>
      </c>
      <c r="E2530" s="28">
        <v>14639.3</v>
      </c>
      <c r="F2530" s="22" t="s">
        <v>247</v>
      </c>
      <c r="G2530" s="14">
        <v>130</v>
      </c>
      <c r="H2530" s="40">
        <v>44932</v>
      </c>
      <c r="I2530" s="46">
        <f t="shared" si="156"/>
        <v>398</v>
      </c>
      <c r="J2530" s="1" t="s">
        <v>15</v>
      </c>
      <c r="K2530" s="4" t="s">
        <v>211</v>
      </c>
      <c r="L2530" s="4" t="s">
        <v>225</v>
      </c>
      <c r="M2530" s="8">
        <v>200</v>
      </c>
      <c r="N2530" s="5">
        <v>112.61</v>
      </c>
      <c r="O2530" s="5">
        <v>22522</v>
      </c>
      <c r="P2530">
        <f t="shared" si="157"/>
        <v>0</v>
      </c>
      <c r="Q2530" s="36">
        <f t="shared" si="158"/>
        <v>14639.3</v>
      </c>
      <c r="R2530">
        <f t="shared" si="159"/>
        <v>2023</v>
      </c>
    </row>
    <row r="2531" spans="1:18" x14ac:dyDescent="0.2">
      <c r="A2531" s="13">
        <v>45330</v>
      </c>
      <c r="B2531" s="13">
        <v>45146</v>
      </c>
      <c r="C2531" s="25" t="s">
        <v>399</v>
      </c>
      <c r="D2531" s="20">
        <v>184</v>
      </c>
      <c r="E2531" s="28">
        <v>22522</v>
      </c>
      <c r="F2531" s="22" t="s">
        <v>247</v>
      </c>
      <c r="G2531" s="14">
        <v>200</v>
      </c>
      <c r="H2531" s="40">
        <v>44932</v>
      </c>
      <c r="I2531" s="46">
        <f t="shared" si="156"/>
        <v>398</v>
      </c>
      <c r="J2531" s="1" t="s">
        <v>15</v>
      </c>
      <c r="K2531" s="4" t="s">
        <v>211</v>
      </c>
      <c r="L2531" s="4" t="s">
        <v>225</v>
      </c>
      <c r="M2531" s="8">
        <v>200</v>
      </c>
      <c r="N2531" s="5">
        <v>112.61</v>
      </c>
      <c r="O2531" s="5">
        <v>22522</v>
      </c>
      <c r="P2531">
        <f t="shared" si="157"/>
        <v>1</v>
      </c>
      <c r="Q2531" s="36">
        <f t="shared" si="158"/>
        <v>22522</v>
      </c>
      <c r="R2531">
        <f t="shared" si="159"/>
        <v>2023</v>
      </c>
    </row>
    <row r="2532" spans="1:18" x14ac:dyDescent="0.2">
      <c r="A2532" s="13">
        <v>45330</v>
      </c>
      <c r="B2532" s="13">
        <v>45138</v>
      </c>
      <c r="C2532" s="25" t="s">
        <v>399</v>
      </c>
      <c r="D2532" s="20">
        <v>192</v>
      </c>
      <c r="E2532" s="28">
        <v>22522</v>
      </c>
      <c r="F2532" s="22" t="s">
        <v>247</v>
      </c>
      <c r="G2532" s="14">
        <v>200</v>
      </c>
      <c r="H2532" s="40">
        <v>44932</v>
      </c>
      <c r="I2532" s="46">
        <f t="shared" si="156"/>
        <v>398</v>
      </c>
      <c r="J2532" s="1" t="s">
        <v>15</v>
      </c>
      <c r="K2532" s="4" t="s">
        <v>211</v>
      </c>
      <c r="L2532" s="4" t="s">
        <v>225</v>
      </c>
      <c r="M2532" s="8">
        <v>200</v>
      </c>
      <c r="N2532" s="5">
        <v>112.61</v>
      </c>
      <c r="O2532" s="5">
        <v>22522</v>
      </c>
      <c r="P2532">
        <f t="shared" si="157"/>
        <v>1</v>
      </c>
      <c r="Q2532" s="36">
        <f t="shared" si="158"/>
        <v>22522</v>
      </c>
      <c r="R2532">
        <f t="shared" si="159"/>
        <v>2023</v>
      </c>
    </row>
    <row r="2533" spans="1:18" x14ac:dyDescent="0.2">
      <c r="A2533" s="13">
        <v>45330</v>
      </c>
      <c r="B2533" s="13">
        <v>45153</v>
      </c>
      <c r="C2533" s="25" t="s">
        <v>399</v>
      </c>
      <c r="D2533" s="20">
        <v>177</v>
      </c>
      <c r="E2533" s="28">
        <v>7882.7</v>
      </c>
      <c r="F2533" s="22" t="s">
        <v>247</v>
      </c>
      <c r="G2533" s="14">
        <v>70</v>
      </c>
      <c r="H2533" s="40">
        <v>44939</v>
      </c>
      <c r="I2533" s="46">
        <f t="shared" si="156"/>
        <v>391</v>
      </c>
      <c r="J2533" s="1" t="s">
        <v>15</v>
      </c>
      <c r="K2533" s="4" t="s">
        <v>211</v>
      </c>
      <c r="L2533" s="4" t="s">
        <v>225</v>
      </c>
      <c r="M2533" s="8">
        <v>200</v>
      </c>
      <c r="N2533" s="5">
        <v>112.61</v>
      </c>
      <c r="O2533" s="5">
        <v>22522</v>
      </c>
      <c r="P2533">
        <f t="shared" si="157"/>
        <v>0</v>
      </c>
      <c r="Q2533" s="36">
        <f t="shared" si="158"/>
        <v>7882.7</v>
      </c>
      <c r="R2533">
        <f t="shared" si="159"/>
        <v>2023</v>
      </c>
    </row>
    <row r="2534" spans="1:18" x14ac:dyDescent="0.2">
      <c r="A2534" s="13">
        <v>45338</v>
      </c>
      <c r="B2534" s="13">
        <v>45153</v>
      </c>
      <c r="C2534" s="25" t="s">
        <v>399</v>
      </c>
      <c r="D2534" s="20">
        <v>185</v>
      </c>
      <c r="E2534" s="28">
        <v>14639.3</v>
      </c>
      <c r="F2534" s="22" t="s">
        <v>247</v>
      </c>
      <c r="G2534" s="14">
        <v>130</v>
      </c>
      <c r="H2534" s="40">
        <v>44939</v>
      </c>
      <c r="I2534" s="46">
        <f t="shared" si="156"/>
        <v>399</v>
      </c>
      <c r="J2534" s="1" t="s">
        <v>15</v>
      </c>
      <c r="K2534" s="4" t="s">
        <v>211</v>
      </c>
      <c r="L2534" s="4" t="s">
        <v>225</v>
      </c>
      <c r="M2534" s="8">
        <v>200</v>
      </c>
      <c r="N2534" s="5">
        <v>112.61</v>
      </c>
      <c r="O2534" s="5">
        <v>22522</v>
      </c>
      <c r="P2534">
        <f t="shared" si="157"/>
        <v>0</v>
      </c>
      <c r="Q2534" s="36">
        <f t="shared" si="158"/>
        <v>14639.3</v>
      </c>
      <c r="R2534">
        <f t="shared" si="159"/>
        <v>2023</v>
      </c>
    </row>
    <row r="2535" spans="1:18" x14ac:dyDescent="0.2">
      <c r="A2535" s="13">
        <v>45338</v>
      </c>
      <c r="B2535" s="13">
        <v>45169</v>
      </c>
      <c r="C2535" s="25" t="s">
        <v>399</v>
      </c>
      <c r="D2535" s="20">
        <v>169</v>
      </c>
      <c r="E2535" s="28">
        <v>30404.7</v>
      </c>
      <c r="F2535" s="22" t="s">
        <v>247</v>
      </c>
      <c r="G2535" s="14">
        <v>270</v>
      </c>
      <c r="H2535" s="40">
        <v>44967</v>
      </c>
      <c r="I2535" s="46">
        <f t="shared" si="156"/>
        <v>371</v>
      </c>
      <c r="J2535" s="1" t="s">
        <v>15</v>
      </c>
      <c r="K2535" s="4" t="s">
        <v>211</v>
      </c>
      <c r="L2535" s="4" t="s">
        <v>225</v>
      </c>
      <c r="M2535" s="8">
        <v>400</v>
      </c>
      <c r="N2535" s="5">
        <v>112.61</v>
      </c>
      <c r="O2535" s="5">
        <v>45044</v>
      </c>
      <c r="P2535">
        <f t="shared" si="157"/>
        <v>0</v>
      </c>
      <c r="Q2535" s="36">
        <f t="shared" si="158"/>
        <v>30404.7</v>
      </c>
      <c r="R2535">
        <f t="shared" si="159"/>
        <v>2023</v>
      </c>
    </row>
    <row r="2536" spans="1:18" x14ac:dyDescent="0.2">
      <c r="A2536" s="13">
        <v>45379</v>
      </c>
      <c r="B2536" s="13">
        <v>45169</v>
      </c>
      <c r="C2536" s="25" t="s">
        <v>399</v>
      </c>
      <c r="D2536" s="20">
        <v>210</v>
      </c>
      <c r="E2536" s="28">
        <v>14639.3</v>
      </c>
      <c r="F2536" s="22" t="s">
        <v>247</v>
      </c>
      <c r="G2536" s="14">
        <v>130</v>
      </c>
      <c r="H2536" s="40">
        <v>44967</v>
      </c>
      <c r="I2536" s="46">
        <f t="shared" si="156"/>
        <v>412</v>
      </c>
      <c r="J2536" s="1" t="s">
        <v>15</v>
      </c>
      <c r="K2536" s="4" t="s">
        <v>211</v>
      </c>
      <c r="L2536" s="4" t="s">
        <v>225</v>
      </c>
      <c r="M2536" s="8">
        <v>400</v>
      </c>
      <c r="N2536" s="5">
        <v>112.61</v>
      </c>
      <c r="O2536" s="5">
        <v>45044</v>
      </c>
      <c r="P2536">
        <f t="shared" si="157"/>
        <v>0</v>
      </c>
      <c r="Q2536" s="36">
        <f t="shared" si="158"/>
        <v>14639.3</v>
      </c>
      <c r="R2536">
        <f t="shared" si="159"/>
        <v>2023</v>
      </c>
    </row>
    <row r="2537" spans="1:18" x14ac:dyDescent="0.2">
      <c r="A2537" s="13">
        <v>45338</v>
      </c>
      <c r="B2537" s="13">
        <v>45169</v>
      </c>
      <c r="C2537" s="25" t="s">
        <v>399</v>
      </c>
      <c r="D2537" s="20">
        <v>169</v>
      </c>
      <c r="E2537" s="28">
        <v>22522</v>
      </c>
      <c r="F2537" s="22" t="s">
        <v>247</v>
      </c>
      <c r="G2537" s="14">
        <v>200</v>
      </c>
      <c r="H2537" s="40">
        <v>44967</v>
      </c>
      <c r="I2537" s="46">
        <f t="shared" si="156"/>
        <v>371</v>
      </c>
      <c r="J2537" s="1" t="s">
        <v>15</v>
      </c>
      <c r="K2537" s="4" t="s">
        <v>211</v>
      </c>
      <c r="L2537" s="4" t="s">
        <v>225</v>
      </c>
      <c r="M2537" s="8">
        <v>200</v>
      </c>
      <c r="N2537" s="5">
        <v>112.61</v>
      </c>
      <c r="O2537" s="5">
        <v>22522</v>
      </c>
      <c r="P2537">
        <f t="shared" si="157"/>
        <v>1</v>
      </c>
      <c r="Q2537" s="36">
        <f t="shared" si="158"/>
        <v>22522</v>
      </c>
      <c r="R2537">
        <f t="shared" si="159"/>
        <v>2023</v>
      </c>
    </row>
    <row r="2538" spans="1:18" x14ac:dyDescent="0.2">
      <c r="A2538" s="13">
        <v>45379</v>
      </c>
      <c r="B2538" s="13">
        <v>45170</v>
      </c>
      <c r="C2538" s="25" t="s">
        <v>399</v>
      </c>
      <c r="D2538" s="20">
        <v>209</v>
      </c>
      <c r="E2538" s="28">
        <v>22522</v>
      </c>
      <c r="F2538" s="22" t="s">
        <v>247</v>
      </c>
      <c r="G2538" s="14">
        <v>200</v>
      </c>
      <c r="H2538" s="40">
        <v>44973</v>
      </c>
      <c r="I2538" s="46">
        <f t="shared" si="156"/>
        <v>406</v>
      </c>
      <c r="J2538" s="1" t="s">
        <v>15</v>
      </c>
      <c r="K2538" s="4" t="s">
        <v>211</v>
      </c>
      <c r="L2538" s="4" t="s">
        <v>225</v>
      </c>
      <c r="M2538" s="8">
        <v>200</v>
      </c>
      <c r="N2538" s="5">
        <v>112.61</v>
      </c>
      <c r="O2538" s="5">
        <v>22522</v>
      </c>
      <c r="P2538">
        <f t="shared" si="157"/>
        <v>1</v>
      </c>
      <c r="Q2538" s="36">
        <f t="shared" si="158"/>
        <v>22522</v>
      </c>
      <c r="R2538">
        <f t="shared" si="159"/>
        <v>2023</v>
      </c>
    </row>
    <row r="2539" spans="1:18" x14ac:dyDescent="0.2">
      <c r="A2539" s="13">
        <v>45195</v>
      </c>
      <c r="B2539" s="13">
        <v>45170</v>
      </c>
      <c r="C2539" s="25" t="s">
        <v>399</v>
      </c>
      <c r="D2539" s="20">
        <v>25</v>
      </c>
      <c r="E2539" s="28">
        <v>7882.7</v>
      </c>
      <c r="F2539" s="22" t="s">
        <v>247</v>
      </c>
      <c r="G2539" s="14">
        <v>70</v>
      </c>
      <c r="H2539" s="40">
        <v>44978</v>
      </c>
      <c r="I2539" s="46">
        <f t="shared" si="156"/>
        <v>217</v>
      </c>
      <c r="J2539" s="1" t="s">
        <v>15</v>
      </c>
      <c r="K2539" s="4" t="s">
        <v>211</v>
      </c>
      <c r="L2539" s="4" t="s">
        <v>225</v>
      </c>
      <c r="M2539" s="8">
        <v>400</v>
      </c>
      <c r="N2539" s="5">
        <v>112.61</v>
      </c>
      <c r="O2539" s="5">
        <v>45044</v>
      </c>
      <c r="P2539">
        <f t="shared" si="157"/>
        <v>0</v>
      </c>
      <c r="Q2539" s="36">
        <f t="shared" si="158"/>
        <v>7882.7</v>
      </c>
      <c r="R2539">
        <f t="shared" si="159"/>
        <v>2023</v>
      </c>
    </row>
    <row r="2540" spans="1:18" x14ac:dyDescent="0.2">
      <c r="A2540" s="13">
        <v>45316</v>
      </c>
      <c r="B2540" s="13">
        <v>45170</v>
      </c>
      <c r="C2540" s="25" t="s">
        <v>399</v>
      </c>
      <c r="D2540" s="20">
        <v>146</v>
      </c>
      <c r="E2540" s="28">
        <v>22522</v>
      </c>
      <c r="F2540" s="22" t="s">
        <v>247</v>
      </c>
      <c r="G2540" s="14">
        <v>200</v>
      </c>
      <c r="H2540" s="40">
        <v>44978</v>
      </c>
      <c r="I2540" s="46">
        <f t="shared" si="156"/>
        <v>338</v>
      </c>
      <c r="J2540" s="1" t="s">
        <v>15</v>
      </c>
      <c r="K2540" s="4" t="s">
        <v>211</v>
      </c>
      <c r="L2540" s="4" t="s">
        <v>225</v>
      </c>
      <c r="M2540" s="8">
        <v>400</v>
      </c>
      <c r="N2540" s="5">
        <v>112.61</v>
      </c>
      <c r="O2540" s="5">
        <v>45044</v>
      </c>
      <c r="P2540">
        <f t="shared" si="157"/>
        <v>0</v>
      </c>
      <c r="Q2540" s="36">
        <f t="shared" si="158"/>
        <v>22522</v>
      </c>
      <c r="R2540">
        <f t="shared" si="159"/>
        <v>2023</v>
      </c>
    </row>
    <row r="2541" spans="1:18" x14ac:dyDescent="0.2">
      <c r="A2541" s="13">
        <v>45328</v>
      </c>
      <c r="B2541" s="13">
        <v>45170</v>
      </c>
      <c r="C2541" s="25" t="s">
        <v>399</v>
      </c>
      <c r="D2541" s="20">
        <v>158</v>
      </c>
      <c r="E2541" s="28">
        <v>14639.3</v>
      </c>
      <c r="F2541" s="22" t="s">
        <v>247</v>
      </c>
      <c r="G2541" s="14">
        <v>130</v>
      </c>
      <c r="H2541" s="40">
        <v>44978</v>
      </c>
      <c r="I2541" s="46">
        <f t="shared" si="156"/>
        <v>350</v>
      </c>
      <c r="J2541" s="1" t="s">
        <v>15</v>
      </c>
      <c r="K2541" s="4" t="s">
        <v>211</v>
      </c>
      <c r="L2541" s="4" t="s">
        <v>225</v>
      </c>
      <c r="M2541" s="8">
        <v>400</v>
      </c>
      <c r="N2541" s="5">
        <v>112.61</v>
      </c>
      <c r="O2541" s="5">
        <v>45044</v>
      </c>
      <c r="P2541">
        <f t="shared" si="157"/>
        <v>0</v>
      </c>
      <c r="Q2541" s="36">
        <f t="shared" si="158"/>
        <v>14639.3</v>
      </c>
      <c r="R2541">
        <f t="shared" si="159"/>
        <v>2023</v>
      </c>
    </row>
    <row r="2542" spans="1:18" x14ac:dyDescent="0.2">
      <c r="A2542" s="13">
        <v>45401</v>
      </c>
      <c r="B2542" s="13">
        <v>45401</v>
      </c>
      <c r="C2542" s="25" t="s">
        <v>398</v>
      </c>
      <c r="D2542" s="20">
        <v>0</v>
      </c>
      <c r="E2542" s="28">
        <v>22522</v>
      </c>
      <c r="F2542" s="22" t="s">
        <v>247</v>
      </c>
      <c r="G2542" s="14">
        <v>200</v>
      </c>
      <c r="H2542" s="40">
        <v>44995</v>
      </c>
      <c r="I2542" s="46">
        <f t="shared" si="156"/>
        <v>406</v>
      </c>
      <c r="J2542" s="1" t="s">
        <v>15</v>
      </c>
      <c r="K2542" s="4" t="s">
        <v>211</v>
      </c>
      <c r="L2542" s="4" t="s">
        <v>225</v>
      </c>
      <c r="M2542" s="8">
        <v>200</v>
      </c>
      <c r="N2542" s="5">
        <v>112.61</v>
      </c>
      <c r="O2542" s="5">
        <v>22522</v>
      </c>
      <c r="P2542">
        <f t="shared" si="157"/>
        <v>1</v>
      </c>
      <c r="Q2542" s="36">
        <f t="shared" si="158"/>
        <v>22522</v>
      </c>
      <c r="R2542">
        <f t="shared" si="159"/>
        <v>2023</v>
      </c>
    </row>
    <row r="2543" spans="1:18" x14ac:dyDescent="0.2">
      <c r="A2543" s="13">
        <v>45408</v>
      </c>
      <c r="B2543" s="13">
        <v>45408</v>
      </c>
      <c r="C2543" s="25" t="s">
        <v>398</v>
      </c>
      <c r="D2543" s="20">
        <v>0</v>
      </c>
      <c r="E2543" s="28">
        <v>45044</v>
      </c>
      <c r="F2543" s="22" t="s">
        <v>247</v>
      </c>
      <c r="G2543" s="14">
        <v>400</v>
      </c>
      <c r="H2543" s="40">
        <v>44995</v>
      </c>
      <c r="I2543" s="46">
        <f t="shared" si="156"/>
        <v>413</v>
      </c>
      <c r="J2543" s="1" t="s">
        <v>15</v>
      </c>
      <c r="K2543" s="4" t="s">
        <v>211</v>
      </c>
      <c r="L2543" s="4" t="s">
        <v>225</v>
      </c>
      <c r="M2543" s="8">
        <v>400</v>
      </c>
      <c r="N2543" s="5">
        <v>112.61</v>
      </c>
      <c r="O2543" s="5">
        <v>45044</v>
      </c>
      <c r="P2543">
        <f t="shared" si="157"/>
        <v>1</v>
      </c>
      <c r="Q2543" s="36">
        <f t="shared" si="158"/>
        <v>45044</v>
      </c>
      <c r="R2543">
        <f t="shared" si="159"/>
        <v>2023</v>
      </c>
    </row>
    <row r="2544" spans="1:18" x14ac:dyDescent="0.2">
      <c r="A2544" s="13">
        <v>45463</v>
      </c>
      <c r="B2544" s="13">
        <v>45463</v>
      </c>
      <c r="C2544" s="25" t="s">
        <v>398</v>
      </c>
      <c r="D2544" s="20">
        <v>0</v>
      </c>
      <c r="E2544" s="28">
        <v>22522</v>
      </c>
      <c r="F2544" s="22" t="s">
        <v>247</v>
      </c>
      <c r="G2544" s="14">
        <v>200</v>
      </c>
      <c r="H2544" s="40">
        <v>45105</v>
      </c>
      <c r="I2544" s="46">
        <f t="shared" si="156"/>
        <v>358</v>
      </c>
      <c r="J2544" s="1" t="s">
        <v>15</v>
      </c>
      <c r="K2544" s="4" t="s">
        <v>211</v>
      </c>
      <c r="L2544" s="4" t="s">
        <v>225</v>
      </c>
      <c r="M2544" s="8">
        <v>200</v>
      </c>
      <c r="N2544" s="5">
        <v>112.61</v>
      </c>
      <c r="O2544" s="5">
        <v>22522</v>
      </c>
      <c r="P2544">
        <f t="shared" si="157"/>
        <v>1</v>
      </c>
      <c r="Q2544" s="36">
        <f t="shared" si="158"/>
        <v>22522</v>
      </c>
      <c r="R2544">
        <f t="shared" si="159"/>
        <v>2023</v>
      </c>
    </row>
    <row r="2545" spans="1:18" x14ac:dyDescent="0.2">
      <c r="A2545" s="13">
        <v>45485</v>
      </c>
      <c r="B2545" s="13">
        <v>45485</v>
      </c>
      <c r="C2545" s="25" t="s">
        <v>398</v>
      </c>
      <c r="D2545" s="20">
        <v>0</v>
      </c>
      <c r="E2545" s="28">
        <v>45044</v>
      </c>
      <c r="F2545" s="22" t="s">
        <v>247</v>
      </c>
      <c r="G2545" s="14">
        <v>400</v>
      </c>
      <c r="H2545" s="40">
        <v>45112</v>
      </c>
      <c r="I2545" s="46">
        <f t="shared" si="156"/>
        <v>373</v>
      </c>
      <c r="J2545" s="1" t="s">
        <v>15</v>
      </c>
      <c r="K2545" s="4" t="s">
        <v>211</v>
      </c>
      <c r="L2545" s="4" t="s">
        <v>225</v>
      </c>
      <c r="M2545" s="8">
        <v>400</v>
      </c>
      <c r="N2545" s="5">
        <v>112.61</v>
      </c>
      <c r="O2545" s="5">
        <v>45044</v>
      </c>
      <c r="P2545">
        <f t="shared" si="157"/>
        <v>1</v>
      </c>
      <c r="Q2545" s="36">
        <f t="shared" si="158"/>
        <v>45044</v>
      </c>
      <c r="R2545">
        <f t="shared" si="159"/>
        <v>2023</v>
      </c>
    </row>
    <row r="2546" spans="1:18" x14ac:dyDescent="0.2">
      <c r="A2546" s="13">
        <v>45483</v>
      </c>
      <c r="B2546" s="13">
        <v>45483</v>
      </c>
      <c r="C2546" s="25" t="s">
        <v>398</v>
      </c>
      <c r="D2546" s="20">
        <v>0</v>
      </c>
      <c r="E2546" s="28">
        <v>30404.7</v>
      </c>
      <c r="F2546" s="22" t="s">
        <v>247</v>
      </c>
      <c r="G2546" s="14">
        <v>270</v>
      </c>
      <c r="H2546" s="40">
        <v>45125</v>
      </c>
      <c r="I2546" s="46">
        <f t="shared" si="156"/>
        <v>358</v>
      </c>
      <c r="J2546" s="1" t="s">
        <v>15</v>
      </c>
      <c r="K2546" s="4" t="s">
        <v>211</v>
      </c>
      <c r="L2546" s="4" t="s">
        <v>225</v>
      </c>
      <c r="M2546" s="8">
        <v>400</v>
      </c>
      <c r="N2546" s="5">
        <v>112.61</v>
      </c>
      <c r="O2546" s="5">
        <v>45044</v>
      </c>
      <c r="P2546">
        <f t="shared" si="157"/>
        <v>0</v>
      </c>
      <c r="Q2546" s="36">
        <f t="shared" si="158"/>
        <v>30404.7</v>
      </c>
      <c r="R2546">
        <f t="shared" si="159"/>
        <v>2023</v>
      </c>
    </row>
    <row r="2547" spans="1:18" x14ac:dyDescent="0.2">
      <c r="A2547" s="13">
        <v>45497</v>
      </c>
      <c r="B2547" s="13">
        <v>45483</v>
      </c>
      <c r="C2547" s="25" t="s">
        <v>399</v>
      </c>
      <c r="D2547" s="20">
        <v>14</v>
      </c>
      <c r="E2547" s="28">
        <v>14639.3</v>
      </c>
      <c r="F2547" s="22" t="s">
        <v>247</v>
      </c>
      <c r="G2547" s="14">
        <v>130</v>
      </c>
      <c r="H2547" s="40">
        <v>45125</v>
      </c>
      <c r="I2547" s="46">
        <f t="shared" si="156"/>
        <v>372</v>
      </c>
      <c r="J2547" s="1" t="s">
        <v>15</v>
      </c>
      <c r="K2547" s="4" t="s">
        <v>211</v>
      </c>
      <c r="L2547" s="4" t="s">
        <v>225</v>
      </c>
      <c r="M2547" s="8">
        <v>400</v>
      </c>
      <c r="N2547" s="5">
        <v>112.61</v>
      </c>
      <c r="O2547" s="5">
        <v>45044</v>
      </c>
      <c r="P2547">
        <f t="shared" si="157"/>
        <v>0</v>
      </c>
      <c r="Q2547" s="36">
        <f t="shared" si="158"/>
        <v>14639.3</v>
      </c>
      <c r="R2547">
        <f t="shared" si="159"/>
        <v>2023</v>
      </c>
    </row>
    <row r="2548" spans="1:18" x14ac:dyDescent="0.2">
      <c r="A2548" s="13">
        <v>45497</v>
      </c>
      <c r="B2548" s="13">
        <v>45491</v>
      </c>
      <c r="C2548" s="25" t="s">
        <v>399</v>
      </c>
      <c r="D2548" s="20">
        <v>6</v>
      </c>
      <c r="E2548" s="28">
        <v>45044</v>
      </c>
      <c r="F2548" s="22" t="s">
        <v>247</v>
      </c>
      <c r="G2548" s="14">
        <v>400</v>
      </c>
      <c r="H2548" s="40">
        <v>45132</v>
      </c>
      <c r="I2548" s="46">
        <f t="shared" si="156"/>
        <v>365</v>
      </c>
      <c r="J2548" s="1" t="s">
        <v>15</v>
      </c>
      <c r="K2548" s="4" t="s">
        <v>211</v>
      </c>
      <c r="L2548" s="4" t="s">
        <v>225</v>
      </c>
      <c r="M2548" s="8">
        <v>400</v>
      </c>
      <c r="N2548" s="5">
        <v>112.61</v>
      </c>
      <c r="O2548" s="5">
        <v>45044</v>
      </c>
      <c r="P2548">
        <f t="shared" si="157"/>
        <v>1</v>
      </c>
      <c r="Q2548" s="36">
        <f t="shared" si="158"/>
        <v>45044</v>
      </c>
      <c r="R2548">
        <f t="shared" si="159"/>
        <v>2023</v>
      </c>
    </row>
    <row r="2549" spans="1:18" x14ac:dyDescent="0.2">
      <c r="A2549" s="13">
        <v>45497</v>
      </c>
      <c r="B2549" s="13">
        <v>45497</v>
      </c>
      <c r="C2549" s="25" t="s">
        <v>398</v>
      </c>
      <c r="D2549" s="20">
        <v>0</v>
      </c>
      <c r="E2549" s="28">
        <v>30404.7</v>
      </c>
      <c r="F2549" s="22" t="s">
        <v>247</v>
      </c>
      <c r="G2549" s="14">
        <v>270</v>
      </c>
      <c r="H2549" s="40">
        <v>45140</v>
      </c>
      <c r="I2549" s="46">
        <f t="shared" si="156"/>
        <v>357</v>
      </c>
      <c r="J2549" s="1" t="s">
        <v>15</v>
      </c>
      <c r="K2549" s="4" t="s">
        <v>211</v>
      </c>
      <c r="L2549" s="4" t="s">
        <v>225</v>
      </c>
      <c r="M2549" s="8">
        <v>400</v>
      </c>
      <c r="N2549" s="5">
        <v>112.61</v>
      </c>
      <c r="O2549" s="5">
        <v>45044</v>
      </c>
      <c r="P2549">
        <f t="shared" si="157"/>
        <v>0</v>
      </c>
      <c r="Q2549" s="36">
        <f t="shared" si="158"/>
        <v>30404.7</v>
      </c>
      <c r="R2549">
        <f t="shared" si="159"/>
        <v>2023</v>
      </c>
    </row>
    <row r="2550" spans="1:18" x14ac:dyDescent="0.2">
      <c r="A2550" s="13">
        <v>45511</v>
      </c>
      <c r="B2550" s="13">
        <v>45497</v>
      </c>
      <c r="C2550" s="25" t="s">
        <v>399</v>
      </c>
      <c r="D2550" s="20">
        <v>14</v>
      </c>
      <c r="E2550" s="28">
        <v>14639.3</v>
      </c>
      <c r="F2550" s="22" t="s">
        <v>247</v>
      </c>
      <c r="G2550" s="14">
        <v>130</v>
      </c>
      <c r="H2550" s="40">
        <v>45140</v>
      </c>
      <c r="I2550" s="46">
        <f t="shared" si="156"/>
        <v>371</v>
      </c>
      <c r="J2550" s="1" t="s">
        <v>15</v>
      </c>
      <c r="K2550" s="4" t="s">
        <v>211</v>
      </c>
      <c r="L2550" s="4" t="s">
        <v>225</v>
      </c>
      <c r="M2550" s="8">
        <v>400</v>
      </c>
      <c r="N2550" s="5">
        <v>112.61</v>
      </c>
      <c r="O2550" s="5">
        <v>45044</v>
      </c>
      <c r="P2550">
        <f t="shared" si="157"/>
        <v>0</v>
      </c>
      <c r="Q2550" s="36">
        <f t="shared" si="158"/>
        <v>14639.3</v>
      </c>
      <c r="R2550">
        <f t="shared" si="159"/>
        <v>2023</v>
      </c>
    </row>
    <row r="2551" spans="1:18" x14ac:dyDescent="0.2">
      <c r="A2551" s="13">
        <v>45511</v>
      </c>
      <c r="B2551" s="13">
        <v>45508</v>
      </c>
      <c r="C2551" s="25" t="s">
        <v>399</v>
      </c>
      <c r="D2551" s="20">
        <v>3</v>
      </c>
      <c r="E2551" s="28">
        <v>30404.7</v>
      </c>
      <c r="F2551" s="22" t="s">
        <v>247</v>
      </c>
      <c r="G2551" s="14">
        <v>270</v>
      </c>
      <c r="H2551" s="40">
        <v>45153</v>
      </c>
      <c r="I2551" s="46">
        <f t="shared" si="156"/>
        <v>358</v>
      </c>
      <c r="J2551" s="1" t="s">
        <v>15</v>
      </c>
      <c r="K2551" s="4" t="s">
        <v>211</v>
      </c>
      <c r="L2551" s="4" t="s">
        <v>225</v>
      </c>
      <c r="M2551" s="8">
        <v>400</v>
      </c>
      <c r="N2551" s="5">
        <v>112.61</v>
      </c>
      <c r="O2551" s="5">
        <v>45044</v>
      </c>
      <c r="P2551">
        <f t="shared" si="157"/>
        <v>0</v>
      </c>
      <c r="Q2551" s="36">
        <f t="shared" si="158"/>
        <v>30404.7</v>
      </c>
      <c r="R2551">
        <f t="shared" si="159"/>
        <v>2023</v>
      </c>
    </row>
    <row r="2552" spans="1:18" x14ac:dyDescent="0.2">
      <c r="A2552" s="13">
        <v>45525</v>
      </c>
      <c r="B2552" s="13">
        <v>45508</v>
      </c>
      <c r="C2552" s="25" t="s">
        <v>399</v>
      </c>
      <c r="D2552" s="20">
        <v>17</v>
      </c>
      <c r="E2552" s="28">
        <v>14639.3</v>
      </c>
      <c r="F2552" s="22" t="s">
        <v>247</v>
      </c>
      <c r="G2552" s="14">
        <v>130</v>
      </c>
      <c r="H2552" s="40">
        <v>45153</v>
      </c>
      <c r="I2552" s="46">
        <f t="shared" si="156"/>
        <v>372</v>
      </c>
      <c r="J2552" s="1" t="s">
        <v>15</v>
      </c>
      <c r="K2552" s="4" t="s">
        <v>211</v>
      </c>
      <c r="L2552" s="4" t="s">
        <v>225</v>
      </c>
      <c r="M2552" s="8">
        <v>400</v>
      </c>
      <c r="N2552" s="5">
        <v>112.61</v>
      </c>
      <c r="O2552" s="5">
        <v>45044</v>
      </c>
      <c r="P2552">
        <f t="shared" si="157"/>
        <v>0</v>
      </c>
      <c r="Q2552" s="36">
        <f t="shared" si="158"/>
        <v>14639.3</v>
      </c>
      <c r="R2552">
        <f t="shared" si="159"/>
        <v>2023</v>
      </c>
    </row>
    <row r="2553" spans="1:18" x14ac:dyDescent="0.2">
      <c r="A2553" s="13">
        <v>45433</v>
      </c>
      <c r="B2553" s="13">
        <v>45161</v>
      </c>
      <c r="C2553" s="25" t="s">
        <v>399</v>
      </c>
      <c r="D2553" s="20">
        <v>272</v>
      </c>
      <c r="E2553" s="28">
        <v>235843.20000000001</v>
      </c>
      <c r="F2553" s="22" t="s">
        <v>314</v>
      </c>
      <c r="G2553" s="14">
        <v>576</v>
      </c>
      <c r="H2553" s="40">
        <v>44848</v>
      </c>
      <c r="I2553" s="46">
        <f t="shared" si="156"/>
        <v>585</v>
      </c>
      <c r="J2553" s="1" t="s">
        <v>15</v>
      </c>
      <c r="K2553" s="4" t="s">
        <v>211</v>
      </c>
      <c r="L2553" s="4" t="s">
        <v>225</v>
      </c>
      <c r="M2553" s="8">
        <v>576</v>
      </c>
      <c r="N2553" s="5">
        <v>409.45</v>
      </c>
      <c r="O2553" s="5">
        <v>235843.20000000001</v>
      </c>
      <c r="P2553">
        <f t="shared" si="157"/>
        <v>1</v>
      </c>
      <c r="Q2553" s="36">
        <f t="shared" si="158"/>
        <v>235843.19999999998</v>
      </c>
      <c r="R2553">
        <f t="shared" si="159"/>
        <v>2022</v>
      </c>
    </row>
    <row r="2554" spans="1:18" x14ac:dyDescent="0.2">
      <c r="A2554" s="13">
        <v>45478</v>
      </c>
      <c r="B2554" s="13">
        <v>45427</v>
      </c>
      <c r="C2554" s="25" t="s">
        <v>399</v>
      </c>
      <c r="D2554" s="20">
        <v>51</v>
      </c>
      <c r="E2554" s="28">
        <v>235843.20000000001</v>
      </c>
      <c r="F2554" s="22" t="s">
        <v>314</v>
      </c>
      <c r="G2554" s="14">
        <v>576</v>
      </c>
      <c r="H2554" s="40">
        <v>45044</v>
      </c>
      <c r="I2554" s="46">
        <f t="shared" si="156"/>
        <v>434</v>
      </c>
      <c r="J2554" s="1" t="s">
        <v>15</v>
      </c>
      <c r="K2554" s="4" t="s">
        <v>211</v>
      </c>
      <c r="L2554" s="4" t="s">
        <v>225</v>
      </c>
      <c r="M2554" s="8">
        <v>576</v>
      </c>
      <c r="N2554" s="5">
        <v>409.45</v>
      </c>
      <c r="O2554" s="5">
        <v>235843.20000000001</v>
      </c>
      <c r="P2554">
        <f t="shared" si="157"/>
        <v>1</v>
      </c>
      <c r="Q2554" s="36">
        <f t="shared" si="158"/>
        <v>235843.19999999998</v>
      </c>
      <c r="R2554">
        <f t="shared" si="159"/>
        <v>2023</v>
      </c>
    </row>
    <row r="2555" spans="1:18" x14ac:dyDescent="0.2">
      <c r="A2555" s="13">
        <v>45190</v>
      </c>
      <c r="B2555" s="13">
        <v>45143</v>
      </c>
      <c r="C2555" s="25" t="s">
        <v>399</v>
      </c>
      <c r="D2555" s="20">
        <v>47</v>
      </c>
      <c r="E2555" s="28">
        <v>235843.20000000001</v>
      </c>
      <c r="F2555" s="22" t="s">
        <v>314</v>
      </c>
      <c r="G2555" s="14">
        <v>576</v>
      </c>
      <c r="H2555" s="40">
        <v>45098</v>
      </c>
      <c r="I2555" s="46">
        <f t="shared" si="156"/>
        <v>92</v>
      </c>
      <c r="J2555" s="1" t="s">
        <v>15</v>
      </c>
      <c r="K2555" s="4" t="s">
        <v>211</v>
      </c>
      <c r="L2555" s="4" t="s">
        <v>225</v>
      </c>
      <c r="M2555" s="8">
        <v>576</v>
      </c>
      <c r="N2555" s="5">
        <v>409.45</v>
      </c>
      <c r="O2555" s="5">
        <v>235843.20000000001</v>
      </c>
      <c r="P2555">
        <f t="shared" si="157"/>
        <v>1</v>
      </c>
      <c r="Q2555" s="36">
        <f t="shared" si="158"/>
        <v>235843.19999999998</v>
      </c>
      <c r="R2555">
        <f t="shared" si="159"/>
        <v>2023</v>
      </c>
    </row>
    <row r="2556" spans="1:18" x14ac:dyDescent="0.2">
      <c r="A2556" s="13">
        <v>45539</v>
      </c>
      <c r="B2556" s="13">
        <v>45539</v>
      </c>
      <c r="C2556" s="25" t="s">
        <v>398</v>
      </c>
      <c r="D2556" s="20">
        <v>0</v>
      </c>
      <c r="E2556" s="28">
        <v>471686.40000000002</v>
      </c>
      <c r="F2556" s="22" t="s">
        <v>314</v>
      </c>
      <c r="G2556" s="14">
        <v>1152</v>
      </c>
      <c r="H2556" s="40">
        <v>45170</v>
      </c>
      <c r="I2556" s="46">
        <f t="shared" si="156"/>
        <v>369</v>
      </c>
      <c r="J2556" s="1" t="s">
        <v>15</v>
      </c>
      <c r="K2556" s="4" t="s">
        <v>211</v>
      </c>
      <c r="L2556" s="4" t="s">
        <v>225</v>
      </c>
      <c r="M2556" s="8">
        <v>1152</v>
      </c>
      <c r="N2556" s="5">
        <v>409.45</v>
      </c>
      <c r="O2556" s="5">
        <v>471686.40000000002</v>
      </c>
      <c r="P2556">
        <f t="shared" si="157"/>
        <v>1</v>
      </c>
      <c r="Q2556" s="36">
        <f t="shared" si="158"/>
        <v>471686.39999999997</v>
      </c>
      <c r="R2556">
        <f t="shared" si="159"/>
        <v>2023</v>
      </c>
    </row>
    <row r="2557" spans="1:18" x14ac:dyDescent="0.2">
      <c r="A2557" s="13">
        <v>45218</v>
      </c>
      <c r="B2557" s="13">
        <v>45078</v>
      </c>
      <c r="C2557" s="25" t="s">
        <v>399</v>
      </c>
      <c r="D2557" s="20">
        <v>140</v>
      </c>
      <c r="E2557" s="28">
        <v>11639.04</v>
      </c>
      <c r="F2557" s="22" t="s">
        <v>280</v>
      </c>
      <c r="G2557" s="14">
        <v>84</v>
      </c>
      <c r="H2557" s="40">
        <v>44706</v>
      </c>
      <c r="I2557" s="46">
        <f t="shared" si="156"/>
        <v>512</v>
      </c>
      <c r="J2557" s="1" t="s">
        <v>15</v>
      </c>
      <c r="K2557" s="4" t="s">
        <v>211</v>
      </c>
      <c r="L2557" s="4" t="s">
        <v>225</v>
      </c>
      <c r="M2557" s="8">
        <v>84</v>
      </c>
      <c r="N2557" s="5">
        <v>138.56</v>
      </c>
      <c r="O2557" s="5">
        <v>11639.04</v>
      </c>
      <c r="P2557">
        <f t="shared" si="157"/>
        <v>1</v>
      </c>
      <c r="Q2557" s="36">
        <f t="shared" si="158"/>
        <v>11639.04</v>
      </c>
      <c r="R2557">
        <f t="shared" si="159"/>
        <v>2022</v>
      </c>
    </row>
    <row r="2558" spans="1:18" x14ac:dyDescent="0.2">
      <c r="A2558" s="13">
        <v>45218</v>
      </c>
      <c r="B2558" s="13">
        <v>45113</v>
      </c>
      <c r="C2558" s="25" t="s">
        <v>399</v>
      </c>
      <c r="D2558" s="20">
        <v>105</v>
      </c>
      <c r="E2558" s="28">
        <v>11639.04</v>
      </c>
      <c r="F2558" s="22" t="s">
        <v>280</v>
      </c>
      <c r="G2558" s="14">
        <v>84</v>
      </c>
      <c r="H2558" s="40">
        <v>44719</v>
      </c>
      <c r="I2558" s="46">
        <f t="shared" si="156"/>
        <v>499</v>
      </c>
      <c r="J2558" s="1" t="s">
        <v>15</v>
      </c>
      <c r="K2558" s="4" t="s">
        <v>211</v>
      </c>
      <c r="L2558" s="4" t="s">
        <v>225</v>
      </c>
      <c r="M2558" s="8">
        <v>84</v>
      </c>
      <c r="N2558" s="5">
        <v>138.56</v>
      </c>
      <c r="O2558" s="5">
        <v>11639.04</v>
      </c>
      <c r="P2558">
        <f t="shared" si="157"/>
        <v>1</v>
      </c>
      <c r="Q2558" s="36">
        <f t="shared" si="158"/>
        <v>11639.04</v>
      </c>
      <c r="R2558">
        <f t="shared" si="159"/>
        <v>2022</v>
      </c>
    </row>
    <row r="2559" spans="1:18" x14ac:dyDescent="0.2">
      <c r="A2559" s="13">
        <v>45239</v>
      </c>
      <c r="B2559" s="13">
        <v>45134</v>
      </c>
      <c r="C2559" s="25" t="s">
        <v>399</v>
      </c>
      <c r="D2559" s="20">
        <v>105</v>
      </c>
      <c r="E2559" s="28">
        <v>11639.04</v>
      </c>
      <c r="F2559" s="22" t="s">
        <v>280</v>
      </c>
      <c r="G2559" s="14">
        <v>84</v>
      </c>
      <c r="H2559" s="40">
        <v>44719</v>
      </c>
      <c r="I2559" s="46">
        <f t="shared" si="156"/>
        <v>520</v>
      </c>
      <c r="J2559" s="1" t="s">
        <v>15</v>
      </c>
      <c r="K2559" s="4" t="s">
        <v>211</v>
      </c>
      <c r="L2559" s="4" t="s">
        <v>225</v>
      </c>
      <c r="M2559" s="8">
        <v>84</v>
      </c>
      <c r="N2559" s="5">
        <v>138.56</v>
      </c>
      <c r="O2559" s="5">
        <v>11639.04</v>
      </c>
      <c r="P2559">
        <f t="shared" si="157"/>
        <v>1</v>
      </c>
      <c r="Q2559" s="36">
        <f t="shared" si="158"/>
        <v>11639.04</v>
      </c>
      <c r="R2559">
        <f t="shared" si="159"/>
        <v>2022</v>
      </c>
    </row>
    <row r="2560" spans="1:18" x14ac:dyDescent="0.2">
      <c r="A2560" s="13">
        <v>45217</v>
      </c>
      <c r="B2560" s="13">
        <v>45072</v>
      </c>
      <c r="C2560" s="25" t="s">
        <v>399</v>
      </c>
      <c r="D2560" s="20">
        <v>145</v>
      </c>
      <c r="E2560" s="28">
        <v>11639.04</v>
      </c>
      <c r="F2560" s="22" t="s">
        <v>280</v>
      </c>
      <c r="G2560" s="14">
        <v>84</v>
      </c>
      <c r="H2560" s="40">
        <v>44778</v>
      </c>
      <c r="I2560" s="46">
        <f t="shared" si="156"/>
        <v>439</v>
      </c>
      <c r="J2560" s="1" t="s">
        <v>15</v>
      </c>
      <c r="K2560" s="4" t="s">
        <v>211</v>
      </c>
      <c r="L2560" s="4" t="s">
        <v>225</v>
      </c>
      <c r="M2560" s="8">
        <v>84</v>
      </c>
      <c r="N2560" s="5">
        <v>138.56</v>
      </c>
      <c r="O2560" s="5">
        <v>11639.04</v>
      </c>
      <c r="P2560">
        <f t="shared" si="157"/>
        <v>1</v>
      </c>
      <c r="Q2560" s="36">
        <f t="shared" si="158"/>
        <v>11639.04</v>
      </c>
      <c r="R2560">
        <f t="shared" si="159"/>
        <v>2022</v>
      </c>
    </row>
    <row r="2561" spans="1:18" x14ac:dyDescent="0.2">
      <c r="A2561" s="13">
        <v>45239</v>
      </c>
      <c r="B2561" s="13">
        <v>45117</v>
      </c>
      <c r="C2561" s="25" t="s">
        <v>399</v>
      </c>
      <c r="D2561" s="20">
        <v>122</v>
      </c>
      <c r="E2561" s="28">
        <v>11639.04</v>
      </c>
      <c r="F2561" s="22" t="s">
        <v>280</v>
      </c>
      <c r="G2561" s="14">
        <v>84</v>
      </c>
      <c r="H2561" s="40">
        <v>44805</v>
      </c>
      <c r="I2561" s="46">
        <f t="shared" si="156"/>
        <v>434</v>
      </c>
      <c r="J2561" s="1" t="s">
        <v>15</v>
      </c>
      <c r="K2561" s="4" t="s">
        <v>211</v>
      </c>
      <c r="L2561" s="4" t="s">
        <v>225</v>
      </c>
      <c r="M2561" s="8">
        <v>84</v>
      </c>
      <c r="N2561" s="5">
        <v>138.56</v>
      </c>
      <c r="O2561" s="5">
        <v>11639.04</v>
      </c>
      <c r="P2561">
        <f t="shared" si="157"/>
        <v>1</v>
      </c>
      <c r="Q2561" s="36">
        <f t="shared" si="158"/>
        <v>11639.04</v>
      </c>
      <c r="R2561">
        <f t="shared" si="159"/>
        <v>2022</v>
      </c>
    </row>
    <row r="2562" spans="1:18" x14ac:dyDescent="0.2">
      <c r="A2562" s="13">
        <v>45245</v>
      </c>
      <c r="B2562" s="13">
        <v>45134</v>
      </c>
      <c r="C2562" s="25" t="s">
        <v>399</v>
      </c>
      <c r="D2562" s="20">
        <v>111</v>
      </c>
      <c r="E2562" s="28">
        <v>11639.04</v>
      </c>
      <c r="F2562" s="22" t="s">
        <v>280</v>
      </c>
      <c r="G2562" s="14">
        <v>84</v>
      </c>
      <c r="H2562" s="40">
        <v>44827</v>
      </c>
      <c r="I2562" s="46">
        <f t="shared" si="156"/>
        <v>418</v>
      </c>
      <c r="J2562" s="1" t="s">
        <v>15</v>
      </c>
      <c r="K2562" s="4" t="s">
        <v>211</v>
      </c>
      <c r="L2562" s="4" t="s">
        <v>225</v>
      </c>
      <c r="M2562" s="8">
        <v>84</v>
      </c>
      <c r="N2562" s="5">
        <v>138.56</v>
      </c>
      <c r="O2562" s="5">
        <v>11639.04</v>
      </c>
      <c r="P2562">
        <f t="shared" si="157"/>
        <v>1</v>
      </c>
      <c r="Q2562" s="36">
        <f t="shared" si="158"/>
        <v>11639.04</v>
      </c>
      <c r="R2562">
        <f t="shared" si="159"/>
        <v>2022</v>
      </c>
    </row>
    <row r="2563" spans="1:18" x14ac:dyDescent="0.2">
      <c r="A2563" s="13">
        <v>45383</v>
      </c>
      <c r="B2563" s="13">
        <v>45329</v>
      </c>
      <c r="C2563" s="25" t="s">
        <v>399</v>
      </c>
      <c r="D2563" s="20">
        <v>54</v>
      </c>
      <c r="E2563" s="28">
        <v>11639.04</v>
      </c>
      <c r="F2563" s="22" t="s">
        <v>280</v>
      </c>
      <c r="G2563" s="14">
        <v>84</v>
      </c>
      <c r="H2563" s="40">
        <v>44978</v>
      </c>
      <c r="I2563" s="46">
        <f t="shared" ref="I2563:I2626" si="160">IFERROR(A2563-H2563,"")*1</f>
        <v>405</v>
      </c>
      <c r="J2563" s="1" t="s">
        <v>15</v>
      </c>
      <c r="K2563" s="4" t="s">
        <v>211</v>
      </c>
      <c r="L2563" s="4" t="s">
        <v>225</v>
      </c>
      <c r="M2563" s="8">
        <v>84</v>
      </c>
      <c r="N2563" s="5">
        <v>138.56</v>
      </c>
      <c r="O2563" s="5">
        <v>11639.04</v>
      </c>
      <c r="P2563">
        <f t="shared" ref="P2563:P2626" si="161">IF(M2563=G2563,1,0)</f>
        <v>1</v>
      </c>
      <c r="Q2563" s="36">
        <f t="shared" ref="Q2563:Q2626" si="162">N2563*G2563</f>
        <v>11639.04</v>
      </c>
      <c r="R2563">
        <f t="shared" ref="R2563:R2626" si="163">YEAR(H2563)</f>
        <v>2023</v>
      </c>
    </row>
    <row r="2564" spans="1:18" x14ac:dyDescent="0.2">
      <c r="A2564" s="13">
        <v>45405</v>
      </c>
      <c r="B2564" s="13">
        <v>45371</v>
      </c>
      <c r="C2564" s="25" t="s">
        <v>399</v>
      </c>
      <c r="D2564" s="20">
        <v>34</v>
      </c>
      <c r="E2564" s="28">
        <v>11639.04</v>
      </c>
      <c r="F2564" s="22" t="s">
        <v>280</v>
      </c>
      <c r="G2564" s="14">
        <v>84</v>
      </c>
      <c r="H2564" s="40">
        <v>45007</v>
      </c>
      <c r="I2564" s="46">
        <f t="shared" si="160"/>
        <v>398</v>
      </c>
      <c r="J2564" s="1" t="s">
        <v>15</v>
      </c>
      <c r="K2564" s="4" t="s">
        <v>211</v>
      </c>
      <c r="L2564" s="4" t="s">
        <v>225</v>
      </c>
      <c r="M2564" s="8">
        <v>84</v>
      </c>
      <c r="N2564" s="5">
        <v>138.56</v>
      </c>
      <c r="O2564" s="5">
        <v>11639.04</v>
      </c>
      <c r="P2564">
        <f t="shared" si="161"/>
        <v>1</v>
      </c>
      <c r="Q2564" s="36">
        <f t="shared" si="162"/>
        <v>11639.04</v>
      </c>
      <c r="R2564">
        <f t="shared" si="163"/>
        <v>2023</v>
      </c>
    </row>
    <row r="2565" spans="1:18" x14ac:dyDescent="0.2">
      <c r="A2565" s="13">
        <v>45433</v>
      </c>
      <c r="B2565" s="13">
        <v>45392</v>
      </c>
      <c r="C2565" s="25" t="s">
        <v>399</v>
      </c>
      <c r="D2565" s="20">
        <v>41</v>
      </c>
      <c r="E2565" s="28">
        <v>11639.04</v>
      </c>
      <c r="F2565" s="22" t="s">
        <v>280</v>
      </c>
      <c r="G2565" s="14">
        <v>84</v>
      </c>
      <c r="H2565" s="40">
        <v>45023</v>
      </c>
      <c r="I2565" s="46">
        <f t="shared" si="160"/>
        <v>410</v>
      </c>
      <c r="J2565" s="1" t="s">
        <v>15</v>
      </c>
      <c r="K2565" s="4" t="s">
        <v>211</v>
      </c>
      <c r="L2565" s="4" t="s">
        <v>225</v>
      </c>
      <c r="M2565" s="8">
        <v>84</v>
      </c>
      <c r="N2565" s="5">
        <v>138.56</v>
      </c>
      <c r="O2565" s="5">
        <v>11639.04</v>
      </c>
      <c r="P2565">
        <f t="shared" si="161"/>
        <v>1</v>
      </c>
      <c r="Q2565" s="36">
        <f t="shared" si="162"/>
        <v>11639.04</v>
      </c>
      <c r="R2565">
        <f t="shared" si="163"/>
        <v>2023</v>
      </c>
    </row>
    <row r="2566" spans="1:18" x14ac:dyDescent="0.2">
      <c r="A2566" s="13">
        <v>45189</v>
      </c>
      <c r="B2566" s="13">
        <v>45071</v>
      </c>
      <c r="C2566" s="25" t="s">
        <v>399</v>
      </c>
      <c r="D2566" s="20">
        <v>118</v>
      </c>
      <c r="E2566" s="28">
        <v>11639.04</v>
      </c>
      <c r="F2566" s="22" t="s">
        <v>280</v>
      </c>
      <c r="G2566" s="14">
        <v>84</v>
      </c>
      <c r="H2566" s="40">
        <v>45180</v>
      </c>
      <c r="I2566" s="46">
        <f t="shared" si="160"/>
        <v>9</v>
      </c>
      <c r="J2566" s="1" t="s">
        <v>15</v>
      </c>
      <c r="K2566" s="4" t="s">
        <v>211</v>
      </c>
      <c r="L2566" s="4" t="s">
        <v>225</v>
      </c>
      <c r="M2566" s="8">
        <v>84</v>
      </c>
      <c r="N2566" s="5">
        <v>138.56</v>
      </c>
      <c r="O2566" s="5">
        <v>11639.04</v>
      </c>
      <c r="P2566">
        <f t="shared" si="161"/>
        <v>1</v>
      </c>
      <c r="Q2566" s="36">
        <f t="shared" si="162"/>
        <v>11639.04</v>
      </c>
      <c r="R2566">
        <f t="shared" si="163"/>
        <v>2023</v>
      </c>
    </row>
    <row r="2567" spans="1:18" x14ac:dyDescent="0.2">
      <c r="A2567" s="13">
        <v>45230</v>
      </c>
      <c r="B2567" s="13">
        <v>45131</v>
      </c>
      <c r="C2567" s="25" t="s">
        <v>399</v>
      </c>
      <c r="D2567" s="20">
        <v>99</v>
      </c>
      <c r="E2567" s="28">
        <v>62227.199999999997</v>
      </c>
      <c r="F2567" s="22" t="s">
        <v>252</v>
      </c>
      <c r="G2567" s="14">
        <v>1120</v>
      </c>
      <c r="H2567" s="40">
        <v>44742</v>
      </c>
      <c r="I2567" s="46">
        <f t="shared" si="160"/>
        <v>488</v>
      </c>
      <c r="J2567" s="1" t="s">
        <v>15</v>
      </c>
      <c r="K2567" s="4" t="s">
        <v>211</v>
      </c>
      <c r="L2567" s="4" t="s">
        <v>225</v>
      </c>
      <c r="M2567" s="8">
        <v>1120</v>
      </c>
      <c r="N2567" s="5">
        <v>55.56</v>
      </c>
      <c r="O2567" s="5">
        <v>62227.199999999997</v>
      </c>
      <c r="P2567">
        <f t="shared" si="161"/>
        <v>1</v>
      </c>
      <c r="Q2567" s="36">
        <f t="shared" si="162"/>
        <v>62227.200000000004</v>
      </c>
      <c r="R2567">
        <f t="shared" si="163"/>
        <v>2022</v>
      </c>
    </row>
    <row r="2568" spans="1:18" x14ac:dyDescent="0.2">
      <c r="A2568" s="13">
        <v>45427</v>
      </c>
      <c r="B2568" s="13">
        <v>45427</v>
      </c>
      <c r="C2568" s="25" t="s">
        <v>398</v>
      </c>
      <c r="D2568" s="20">
        <v>0</v>
      </c>
      <c r="E2568" s="28">
        <v>62227.199999999997</v>
      </c>
      <c r="F2568" s="22" t="s">
        <v>252</v>
      </c>
      <c r="G2568" s="14">
        <v>1120</v>
      </c>
      <c r="H2568" s="40">
        <v>44838</v>
      </c>
      <c r="I2568" s="46">
        <f t="shared" si="160"/>
        <v>589</v>
      </c>
      <c r="J2568" s="1" t="s">
        <v>15</v>
      </c>
      <c r="K2568" s="4" t="s">
        <v>211</v>
      </c>
      <c r="L2568" s="4" t="s">
        <v>225</v>
      </c>
      <c r="M2568" s="8">
        <v>1120</v>
      </c>
      <c r="N2568" s="5">
        <v>55.56</v>
      </c>
      <c r="O2568" s="5">
        <v>62227.199999999997</v>
      </c>
      <c r="P2568">
        <f t="shared" si="161"/>
        <v>1</v>
      </c>
      <c r="Q2568" s="36">
        <f t="shared" si="162"/>
        <v>62227.200000000004</v>
      </c>
      <c r="R2568">
        <f t="shared" si="163"/>
        <v>2022</v>
      </c>
    </row>
    <row r="2569" spans="1:18" x14ac:dyDescent="0.2">
      <c r="A2569" s="13">
        <v>45245</v>
      </c>
      <c r="B2569" s="13">
        <v>45245</v>
      </c>
      <c r="C2569" s="25" t="s">
        <v>398</v>
      </c>
      <c r="D2569" s="20">
        <v>0</v>
      </c>
      <c r="E2569" s="28">
        <v>3660</v>
      </c>
      <c r="F2569" s="22" t="s">
        <v>261</v>
      </c>
      <c r="G2569" s="14">
        <v>3000</v>
      </c>
      <c r="H2569" s="40">
        <v>44903</v>
      </c>
      <c r="I2569" s="46">
        <f t="shared" si="160"/>
        <v>342</v>
      </c>
      <c r="J2569" s="1" t="s">
        <v>15</v>
      </c>
      <c r="K2569" s="4" t="s">
        <v>211</v>
      </c>
      <c r="L2569" s="4" t="s">
        <v>225</v>
      </c>
      <c r="M2569" s="8">
        <v>3000</v>
      </c>
      <c r="N2569" s="5">
        <v>1.22</v>
      </c>
      <c r="O2569" s="5">
        <v>3660</v>
      </c>
      <c r="P2569">
        <f t="shared" si="161"/>
        <v>1</v>
      </c>
      <c r="Q2569" s="36">
        <f t="shared" si="162"/>
        <v>3660</v>
      </c>
      <c r="R2569">
        <f t="shared" si="163"/>
        <v>2022</v>
      </c>
    </row>
    <row r="2570" spans="1:18" x14ac:dyDescent="0.2">
      <c r="A2570" s="13">
        <v>45301</v>
      </c>
      <c r="B2570" s="13">
        <v>45301</v>
      </c>
      <c r="C2570" s="25" t="s">
        <v>398</v>
      </c>
      <c r="D2570" s="20">
        <v>0</v>
      </c>
      <c r="E2570" s="28">
        <v>3660</v>
      </c>
      <c r="F2570" s="22" t="s">
        <v>261</v>
      </c>
      <c r="G2570" s="14">
        <v>3000</v>
      </c>
      <c r="H2570" s="40">
        <v>44914</v>
      </c>
      <c r="I2570" s="46">
        <f t="shared" si="160"/>
        <v>387</v>
      </c>
      <c r="J2570" s="1" t="s">
        <v>15</v>
      </c>
      <c r="K2570" s="4" t="s">
        <v>211</v>
      </c>
      <c r="L2570" s="4" t="s">
        <v>225</v>
      </c>
      <c r="M2570" s="8">
        <v>3000</v>
      </c>
      <c r="N2570" s="5">
        <v>1.22</v>
      </c>
      <c r="O2570" s="5">
        <v>3660</v>
      </c>
      <c r="P2570">
        <f t="shared" si="161"/>
        <v>1</v>
      </c>
      <c r="Q2570" s="36">
        <f t="shared" si="162"/>
        <v>3660</v>
      </c>
      <c r="R2570">
        <f t="shared" si="163"/>
        <v>2022</v>
      </c>
    </row>
    <row r="2571" spans="1:18" x14ac:dyDescent="0.2">
      <c r="A2571" s="13">
        <v>45267</v>
      </c>
      <c r="B2571" s="13">
        <v>45261</v>
      </c>
      <c r="C2571" s="25" t="s">
        <v>399</v>
      </c>
      <c r="D2571" s="20">
        <v>6</v>
      </c>
      <c r="E2571" s="28">
        <v>17481.240000000002</v>
      </c>
      <c r="F2571" s="22" t="s">
        <v>285</v>
      </c>
      <c r="G2571" s="14">
        <v>252</v>
      </c>
      <c r="H2571" s="40">
        <v>44883</v>
      </c>
      <c r="I2571" s="46">
        <f t="shared" si="160"/>
        <v>384</v>
      </c>
      <c r="J2571" s="1" t="s">
        <v>15</v>
      </c>
      <c r="K2571" s="4" t="s">
        <v>211</v>
      </c>
      <c r="L2571" s="4" t="s">
        <v>225</v>
      </c>
      <c r="M2571" s="8">
        <v>252</v>
      </c>
      <c r="N2571" s="5">
        <v>69.37</v>
      </c>
      <c r="O2571" s="5">
        <v>17481.240000000002</v>
      </c>
      <c r="P2571">
        <f t="shared" si="161"/>
        <v>1</v>
      </c>
      <c r="Q2571" s="36">
        <f t="shared" si="162"/>
        <v>17481.240000000002</v>
      </c>
      <c r="R2571">
        <f t="shared" si="163"/>
        <v>2022</v>
      </c>
    </row>
    <row r="2572" spans="1:18" x14ac:dyDescent="0.2">
      <c r="A2572" s="13">
        <v>45239</v>
      </c>
      <c r="B2572" s="13">
        <v>45075</v>
      </c>
      <c r="C2572" s="25" t="s">
        <v>399</v>
      </c>
      <c r="D2572" s="20">
        <v>164</v>
      </c>
      <c r="E2572" s="28">
        <v>17481.240000000002</v>
      </c>
      <c r="F2572" s="22" t="s">
        <v>285</v>
      </c>
      <c r="G2572" s="14">
        <v>252</v>
      </c>
      <c r="H2572" s="40">
        <v>44889</v>
      </c>
      <c r="I2572" s="46">
        <f t="shared" si="160"/>
        <v>350</v>
      </c>
      <c r="J2572" s="1" t="s">
        <v>15</v>
      </c>
      <c r="K2572" s="4" t="s">
        <v>211</v>
      </c>
      <c r="L2572" s="4" t="s">
        <v>225</v>
      </c>
      <c r="M2572" s="8">
        <v>252</v>
      </c>
      <c r="N2572" s="5">
        <v>69.37</v>
      </c>
      <c r="O2572" s="5">
        <v>17481.240000000002</v>
      </c>
      <c r="P2572">
        <f t="shared" si="161"/>
        <v>1</v>
      </c>
      <c r="Q2572" s="36">
        <f t="shared" si="162"/>
        <v>17481.240000000002</v>
      </c>
      <c r="R2572">
        <f t="shared" si="163"/>
        <v>2022</v>
      </c>
    </row>
    <row r="2573" spans="1:18" x14ac:dyDescent="0.2">
      <c r="A2573" s="13">
        <v>45299</v>
      </c>
      <c r="B2573" s="13">
        <v>45292</v>
      </c>
      <c r="C2573" s="25" t="s">
        <v>399</v>
      </c>
      <c r="D2573" s="20">
        <v>7</v>
      </c>
      <c r="E2573" s="28">
        <v>17481.240000000002</v>
      </c>
      <c r="F2573" s="22" t="s">
        <v>285</v>
      </c>
      <c r="G2573" s="14">
        <v>252</v>
      </c>
      <c r="H2573" s="40">
        <v>44939</v>
      </c>
      <c r="I2573" s="46">
        <f t="shared" si="160"/>
        <v>360</v>
      </c>
      <c r="J2573" s="1" t="s">
        <v>15</v>
      </c>
      <c r="K2573" s="4" t="s">
        <v>211</v>
      </c>
      <c r="L2573" s="4" t="s">
        <v>225</v>
      </c>
      <c r="M2573" s="8">
        <v>252</v>
      </c>
      <c r="N2573" s="5">
        <v>69.37</v>
      </c>
      <c r="O2573" s="5">
        <v>17481.240000000002</v>
      </c>
      <c r="P2573">
        <f t="shared" si="161"/>
        <v>1</v>
      </c>
      <c r="Q2573" s="36">
        <f t="shared" si="162"/>
        <v>17481.240000000002</v>
      </c>
      <c r="R2573">
        <f t="shared" si="163"/>
        <v>2023</v>
      </c>
    </row>
    <row r="2574" spans="1:18" x14ac:dyDescent="0.2">
      <c r="A2574" s="13">
        <v>45183</v>
      </c>
      <c r="B2574" s="13">
        <v>44953</v>
      </c>
      <c r="C2574" s="25" t="s">
        <v>399</v>
      </c>
      <c r="D2574" s="20">
        <v>230</v>
      </c>
      <c r="E2574" s="28">
        <v>6728.89</v>
      </c>
      <c r="F2574" s="22" t="s">
        <v>285</v>
      </c>
      <c r="G2574" s="14">
        <v>97</v>
      </c>
      <c r="H2574" s="40">
        <v>45154</v>
      </c>
      <c r="I2574" s="46">
        <f t="shared" si="160"/>
        <v>29</v>
      </c>
      <c r="J2574" s="1" t="s">
        <v>15</v>
      </c>
      <c r="K2574" s="4" t="s">
        <v>211</v>
      </c>
      <c r="L2574" s="4" t="s">
        <v>225</v>
      </c>
      <c r="M2574" s="8">
        <v>97</v>
      </c>
      <c r="N2574" s="5">
        <v>69.37</v>
      </c>
      <c r="O2574" s="5">
        <v>6728.89</v>
      </c>
      <c r="P2574">
        <f t="shared" si="161"/>
        <v>1</v>
      </c>
      <c r="Q2574" s="36">
        <f t="shared" si="162"/>
        <v>6728.89</v>
      </c>
      <c r="R2574">
        <f t="shared" si="163"/>
        <v>2023</v>
      </c>
    </row>
    <row r="2575" spans="1:18" x14ac:dyDescent="0.2">
      <c r="A2575" s="13">
        <v>45303</v>
      </c>
      <c r="B2575" s="13">
        <v>45303</v>
      </c>
      <c r="C2575" s="25" t="s">
        <v>398</v>
      </c>
      <c r="D2575" s="20">
        <v>0</v>
      </c>
      <c r="E2575" s="28">
        <v>17983.349999999999</v>
      </c>
      <c r="F2575" s="22" t="s">
        <v>315</v>
      </c>
      <c r="G2575" s="14">
        <v>297</v>
      </c>
      <c r="H2575" s="40">
        <v>44827</v>
      </c>
      <c r="I2575" s="46">
        <f t="shared" si="160"/>
        <v>476</v>
      </c>
      <c r="J2575" s="1" t="s">
        <v>15</v>
      </c>
      <c r="K2575" s="4" t="s">
        <v>212</v>
      </c>
      <c r="L2575" s="4" t="s">
        <v>225</v>
      </c>
      <c r="M2575" s="8">
        <v>297</v>
      </c>
      <c r="N2575" s="5">
        <v>60.55</v>
      </c>
      <c r="O2575" s="5">
        <v>17983.349999999999</v>
      </c>
      <c r="P2575">
        <f t="shared" si="161"/>
        <v>1</v>
      </c>
      <c r="Q2575" s="36">
        <f t="shared" si="162"/>
        <v>17983.349999999999</v>
      </c>
      <c r="R2575">
        <f t="shared" si="163"/>
        <v>2022</v>
      </c>
    </row>
    <row r="2576" spans="1:18" x14ac:dyDescent="0.2">
      <c r="A2576" s="13">
        <v>45310</v>
      </c>
      <c r="B2576" s="13">
        <v>45310</v>
      </c>
      <c r="C2576" s="25" t="s">
        <v>398</v>
      </c>
      <c r="D2576" s="20">
        <v>0</v>
      </c>
      <c r="E2576" s="28">
        <v>17983.349999999999</v>
      </c>
      <c r="F2576" s="22" t="s">
        <v>315</v>
      </c>
      <c r="G2576" s="14">
        <v>297</v>
      </c>
      <c r="H2576" s="40">
        <v>44833</v>
      </c>
      <c r="I2576" s="46">
        <f t="shared" si="160"/>
        <v>477</v>
      </c>
      <c r="J2576" s="1" t="s">
        <v>15</v>
      </c>
      <c r="K2576" s="4" t="s">
        <v>212</v>
      </c>
      <c r="L2576" s="4" t="s">
        <v>225</v>
      </c>
      <c r="M2576" s="8">
        <v>297</v>
      </c>
      <c r="N2576" s="5">
        <v>60.55</v>
      </c>
      <c r="O2576" s="5">
        <v>17983.349999999999</v>
      </c>
      <c r="P2576">
        <f t="shared" si="161"/>
        <v>1</v>
      </c>
      <c r="Q2576" s="36">
        <f t="shared" si="162"/>
        <v>17983.349999999999</v>
      </c>
      <c r="R2576">
        <f t="shared" si="163"/>
        <v>2022</v>
      </c>
    </row>
    <row r="2577" spans="1:18" x14ac:dyDescent="0.2">
      <c r="A2577" s="13">
        <v>45303</v>
      </c>
      <c r="B2577" s="13">
        <v>45303</v>
      </c>
      <c r="C2577" s="25" t="s">
        <v>398</v>
      </c>
      <c r="D2577" s="20">
        <v>0</v>
      </c>
      <c r="E2577" s="28">
        <v>73568.25</v>
      </c>
      <c r="F2577" s="22" t="s">
        <v>315</v>
      </c>
      <c r="G2577" s="14">
        <v>1215</v>
      </c>
      <c r="H2577" s="40">
        <v>44848</v>
      </c>
      <c r="I2577" s="46">
        <f t="shared" si="160"/>
        <v>455</v>
      </c>
      <c r="J2577" s="1" t="s">
        <v>15</v>
      </c>
      <c r="K2577" s="4" t="s">
        <v>212</v>
      </c>
      <c r="L2577" s="4" t="s">
        <v>225</v>
      </c>
      <c r="M2577" s="8">
        <v>1215</v>
      </c>
      <c r="N2577" s="5">
        <v>60.55</v>
      </c>
      <c r="O2577" s="5">
        <v>73568.25</v>
      </c>
      <c r="P2577">
        <f t="shared" si="161"/>
        <v>1</v>
      </c>
      <c r="Q2577" s="36">
        <f t="shared" si="162"/>
        <v>73568.25</v>
      </c>
      <c r="R2577">
        <f t="shared" si="163"/>
        <v>2022</v>
      </c>
    </row>
    <row r="2578" spans="1:18" x14ac:dyDescent="0.2">
      <c r="A2578" s="13">
        <v>45294</v>
      </c>
      <c r="B2578" s="13">
        <v>45294</v>
      </c>
      <c r="C2578" s="25" t="s">
        <v>398</v>
      </c>
      <c r="D2578" s="20">
        <v>0</v>
      </c>
      <c r="E2578" s="28">
        <v>17983.349999999999</v>
      </c>
      <c r="F2578" s="22" t="s">
        <v>315</v>
      </c>
      <c r="G2578" s="14">
        <v>297</v>
      </c>
      <c r="H2578" s="40">
        <v>44855</v>
      </c>
      <c r="I2578" s="46">
        <f t="shared" si="160"/>
        <v>439</v>
      </c>
      <c r="J2578" s="1" t="s">
        <v>15</v>
      </c>
      <c r="K2578" s="4" t="s">
        <v>212</v>
      </c>
      <c r="L2578" s="4" t="s">
        <v>225</v>
      </c>
      <c r="M2578" s="8">
        <v>297</v>
      </c>
      <c r="N2578" s="5">
        <v>60.55</v>
      </c>
      <c r="O2578" s="5">
        <v>17983.349999999999</v>
      </c>
      <c r="P2578">
        <f t="shared" si="161"/>
        <v>1</v>
      </c>
      <c r="Q2578" s="36">
        <f t="shared" si="162"/>
        <v>17983.349999999999</v>
      </c>
      <c r="R2578">
        <f t="shared" si="163"/>
        <v>2022</v>
      </c>
    </row>
    <row r="2579" spans="1:18" x14ac:dyDescent="0.2">
      <c r="A2579" s="13">
        <v>45294</v>
      </c>
      <c r="B2579" s="13">
        <v>45294</v>
      </c>
      <c r="C2579" s="25" t="s">
        <v>398</v>
      </c>
      <c r="D2579" s="20">
        <v>0</v>
      </c>
      <c r="E2579" s="28">
        <v>17983.349999999999</v>
      </c>
      <c r="F2579" s="22" t="s">
        <v>315</v>
      </c>
      <c r="G2579" s="14">
        <v>297</v>
      </c>
      <c r="H2579" s="40">
        <v>44862</v>
      </c>
      <c r="I2579" s="46">
        <f t="shared" si="160"/>
        <v>432</v>
      </c>
      <c r="J2579" s="1" t="s">
        <v>15</v>
      </c>
      <c r="K2579" s="4" t="s">
        <v>212</v>
      </c>
      <c r="L2579" s="4" t="s">
        <v>225</v>
      </c>
      <c r="M2579" s="8">
        <v>297</v>
      </c>
      <c r="N2579" s="5">
        <v>60.55</v>
      </c>
      <c r="O2579" s="5">
        <v>17983.349999999999</v>
      </c>
      <c r="P2579">
        <f t="shared" si="161"/>
        <v>1</v>
      </c>
      <c r="Q2579" s="36">
        <f t="shared" si="162"/>
        <v>17983.349999999999</v>
      </c>
      <c r="R2579">
        <f t="shared" si="163"/>
        <v>2022</v>
      </c>
    </row>
    <row r="2580" spans="1:18" x14ac:dyDescent="0.2">
      <c r="A2580" s="13">
        <v>45294</v>
      </c>
      <c r="B2580" s="13">
        <v>45294</v>
      </c>
      <c r="C2580" s="25" t="s">
        <v>398</v>
      </c>
      <c r="D2580" s="20">
        <v>0</v>
      </c>
      <c r="E2580" s="28">
        <v>17983.349999999999</v>
      </c>
      <c r="F2580" s="22" t="s">
        <v>315</v>
      </c>
      <c r="G2580" s="14">
        <v>297</v>
      </c>
      <c r="H2580" s="40">
        <v>44869</v>
      </c>
      <c r="I2580" s="46">
        <f t="shared" si="160"/>
        <v>425</v>
      </c>
      <c r="J2580" s="1" t="s">
        <v>15</v>
      </c>
      <c r="K2580" s="4" t="s">
        <v>212</v>
      </c>
      <c r="L2580" s="4" t="s">
        <v>225</v>
      </c>
      <c r="M2580" s="8">
        <v>297</v>
      </c>
      <c r="N2580" s="5">
        <v>60.55</v>
      </c>
      <c r="O2580" s="5">
        <v>17983.349999999999</v>
      </c>
      <c r="P2580">
        <f t="shared" si="161"/>
        <v>1</v>
      </c>
      <c r="Q2580" s="36">
        <f t="shared" si="162"/>
        <v>17983.349999999999</v>
      </c>
      <c r="R2580">
        <f t="shared" si="163"/>
        <v>2022</v>
      </c>
    </row>
    <row r="2581" spans="1:18" x14ac:dyDescent="0.2">
      <c r="A2581" s="13">
        <v>45292</v>
      </c>
      <c r="B2581" s="13">
        <v>45292</v>
      </c>
      <c r="C2581" s="25" t="s">
        <v>398</v>
      </c>
      <c r="D2581" s="20">
        <v>0</v>
      </c>
      <c r="E2581" s="28">
        <v>16348.5</v>
      </c>
      <c r="F2581" s="22" t="s">
        <v>315</v>
      </c>
      <c r="G2581" s="14">
        <v>270</v>
      </c>
      <c r="H2581" s="40">
        <v>44876</v>
      </c>
      <c r="I2581" s="46">
        <f t="shared" si="160"/>
        <v>416</v>
      </c>
      <c r="J2581" s="1" t="s">
        <v>15</v>
      </c>
      <c r="K2581" s="4" t="s">
        <v>212</v>
      </c>
      <c r="L2581" s="4" t="s">
        <v>225</v>
      </c>
      <c r="M2581" s="8">
        <v>270</v>
      </c>
      <c r="N2581" s="5">
        <v>60.55</v>
      </c>
      <c r="O2581" s="5">
        <v>16348.5</v>
      </c>
      <c r="P2581">
        <f t="shared" si="161"/>
        <v>1</v>
      </c>
      <c r="Q2581" s="36">
        <f t="shared" si="162"/>
        <v>16348.5</v>
      </c>
      <c r="R2581">
        <f t="shared" si="163"/>
        <v>2022</v>
      </c>
    </row>
    <row r="2582" spans="1:18" x14ac:dyDescent="0.2">
      <c r="A2582" s="13">
        <v>45321</v>
      </c>
      <c r="B2582" s="13">
        <v>45321</v>
      </c>
      <c r="C2582" s="25" t="s">
        <v>398</v>
      </c>
      <c r="D2582" s="20">
        <v>0</v>
      </c>
      <c r="E2582" s="28">
        <v>16348.5</v>
      </c>
      <c r="F2582" s="22" t="s">
        <v>315</v>
      </c>
      <c r="G2582" s="14">
        <v>270</v>
      </c>
      <c r="H2582" s="40">
        <v>44923</v>
      </c>
      <c r="I2582" s="46">
        <f t="shared" si="160"/>
        <v>398</v>
      </c>
      <c r="J2582" s="1" t="s">
        <v>15</v>
      </c>
      <c r="K2582" s="4" t="s">
        <v>212</v>
      </c>
      <c r="L2582" s="4" t="s">
        <v>225</v>
      </c>
      <c r="M2582" s="8">
        <v>270</v>
      </c>
      <c r="N2582" s="5">
        <v>60.55</v>
      </c>
      <c r="O2582" s="5">
        <v>16348.5</v>
      </c>
      <c r="P2582">
        <f t="shared" si="161"/>
        <v>1</v>
      </c>
      <c r="Q2582" s="36">
        <f t="shared" si="162"/>
        <v>16348.5</v>
      </c>
      <c r="R2582">
        <f t="shared" si="163"/>
        <v>2022</v>
      </c>
    </row>
    <row r="2583" spans="1:18" x14ac:dyDescent="0.2">
      <c r="A2583" s="13">
        <v>45321</v>
      </c>
      <c r="B2583" s="13">
        <v>45321</v>
      </c>
      <c r="C2583" s="25" t="s">
        <v>398</v>
      </c>
      <c r="D2583" s="20">
        <v>0</v>
      </c>
      <c r="E2583" s="28">
        <v>16348.5</v>
      </c>
      <c r="F2583" s="22" t="s">
        <v>315</v>
      </c>
      <c r="G2583" s="14">
        <v>270</v>
      </c>
      <c r="H2583" s="40">
        <v>44945</v>
      </c>
      <c r="I2583" s="46">
        <f t="shared" si="160"/>
        <v>376</v>
      </c>
      <c r="J2583" s="1" t="s">
        <v>15</v>
      </c>
      <c r="K2583" s="4" t="s">
        <v>212</v>
      </c>
      <c r="L2583" s="4" t="s">
        <v>225</v>
      </c>
      <c r="M2583" s="8">
        <v>270</v>
      </c>
      <c r="N2583" s="5">
        <v>60.55</v>
      </c>
      <c r="O2583" s="5">
        <v>16348.5</v>
      </c>
      <c r="P2583">
        <f t="shared" si="161"/>
        <v>1</v>
      </c>
      <c r="Q2583" s="36">
        <f t="shared" si="162"/>
        <v>16348.5</v>
      </c>
      <c r="R2583">
        <f t="shared" si="163"/>
        <v>2023</v>
      </c>
    </row>
    <row r="2584" spans="1:18" x14ac:dyDescent="0.2">
      <c r="A2584" s="13">
        <v>45321</v>
      </c>
      <c r="B2584" s="13">
        <v>45321</v>
      </c>
      <c r="C2584" s="25" t="s">
        <v>398</v>
      </c>
      <c r="D2584" s="20">
        <v>0</v>
      </c>
      <c r="E2584" s="28">
        <v>16348.5</v>
      </c>
      <c r="F2584" s="22" t="s">
        <v>315</v>
      </c>
      <c r="G2584" s="14">
        <v>270</v>
      </c>
      <c r="H2584" s="40">
        <v>44952</v>
      </c>
      <c r="I2584" s="46">
        <f t="shared" si="160"/>
        <v>369</v>
      </c>
      <c r="J2584" s="1" t="s">
        <v>15</v>
      </c>
      <c r="K2584" s="4" t="s">
        <v>212</v>
      </c>
      <c r="L2584" s="4" t="s">
        <v>225</v>
      </c>
      <c r="M2584" s="8">
        <v>270</v>
      </c>
      <c r="N2584" s="5">
        <v>60.55</v>
      </c>
      <c r="O2584" s="5">
        <v>16348.5</v>
      </c>
      <c r="P2584">
        <f t="shared" si="161"/>
        <v>1</v>
      </c>
      <c r="Q2584" s="36">
        <f t="shared" si="162"/>
        <v>16348.5</v>
      </c>
      <c r="R2584">
        <f t="shared" si="163"/>
        <v>2023</v>
      </c>
    </row>
    <row r="2585" spans="1:18" x14ac:dyDescent="0.2">
      <c r="A2585" s="13">
        <v>45436</v>
      </c>
      <c r="B2585" s="13">
        <v>45436</v>
      </c>
      <c r="C2585" s="25" t="s">
        <v>398</v>
      </c>
      <c r="D2585" s="20">
        <v>0</v>
      </c>
      <c r="E2585" s="28">
        <v>16348.5</v>
      </c>
      <c r="F2585" s="22" t="s">
        <v>315</v>
      </c>
      <c r="G2585" s="14">
        <v>270</v>
      </c>
      <c r="H2585" s="40">
        <v>44958</v>
      </c>
      <c r="I2585" s="46">
        <f t="shared" si="160"/>
        <v>478</v>
      </c>
      <c r="J2585" s="1" t="s">
        <v>15</v>
      </c>
      <c r="K2585" s="4" t="s">
        <v>212</v>
      </c>
      <c r="L2585" s="4" t="s">
        <v>225</v>
      </c>
      <c r="M2585" s="8">
        <v>270</v>
      </c>
      <c r="N2585" s="5">
        <v>60.55</v>
      </c>
      <c r="O2585" s="5">
        <v>16348.5</v>
      </c>
      <c r="P2585">
        <f t="shared" si="161"/>
        <v>1</v>
      </c>
      <c r="Q2585" s="36">
        <f t="shared" si="162"/>
        <v>16348.5</v>
      </c>
      <c r="R2585">
        <f t="shared" si="163"/>
        <v>2023</v>
      </c>
    </row>
    <row r="2586" spans="1:18" x14ac:dyDescent="0.2">
      <c r="A2586" s="13">
        <v>45478</v>
      </c>
      <c r="B2586" s="13">
        <v>45478</v>
      </c>
      <c r="C2586" s="25" t="s">
        <v>398</v>
      </c>
      <c r="D2586" s="20">
        <v>0</v>
      </c>
      <c r="E2586" s="28">
        <v>17088.3</v>
      </c>
      <c r="F2586" s="22" t="s">
        <v>315</v>
      </c>
      <c r="G2586" s="14">
        <v>270</v>
      </c>
      <c r="H2586" s="40">
        <v>45002</v>
      </c>
      <c r="I2586" s="46">
        <f t="shared" si="160"/>
        <v>476</v>
      </c>
      <c r="J2586" s="1" t="s">
        <v>15</v>
      </c>
      <c r="K2586" s="4" t="s">
        <v>212</v>
      </c>
      <c r="L2586" s="4" t="s">
        <v>225</v>
      </c>
      <c r="M2586" s="8">
        <v>270</v>
      </c>
      <c r="N2586" s="5">
        <v>63.29</v>
      </c>
      <c r="O2586" s="5">
        <v>17088.3</v>
      </c>
      <c r="P2586">
        <f t="shared" si="161"/>
        <v>1</v>
      </c>
      <c r="Q2586" s="36">
        <f t="shared" si="162"/>
        <v>17088.3</v>
      </c>
      <c r="R2586">
        <f t="shared" si="163"/>
        <v>2023</v>
      </c>
    </row>
    <row r="2587" spans="1:18" x14ac:dyDescent="0.2">
      <c r="A2587" s="13">
        <v>45979</v>
      </c>
      <c r="B2587" s="13">
        <v>45161</v>
      </c>
      <c r="C2587" s="25" t="s">
        <v>399</v>
      </c>
      <c r="D2587" s="20">
        <v>818</v>
      </c>
      <c r="E2587" s="28">
        <v>81001.600000000006</v>
      </c>
      <c r="F2587" s="22" t="s">
        <v>316</v>
      </c>
      <c r="G2587" s="14">
        <v>544</v>
      </c>
      <c r="H2587" s="40">
        <v>45167</v>
      </c>
      <c r="I2587" s="46">
        <f t="shared" si="160"/>
        <v>812</v>
      </c>
      <c r="J2587" s="1" t="s">
        <v>15</v>
      </c>
      <c r="K2587" s="4" t="s">
        <v>212</v>
      </c>
      <c r="L2587" s="4" t="s">
        <v>225</v>
      </c>
      <c r="M2587" s="8">
        <v>1400</v>
      </c>
      <c r="N2587" s="5">
        <v>148.9</v>
      </c>
      <c r="O2587" s="5">
        <v>208460</v>
      </c>
      <c r="P2587">
        <f t="shared" si="161"/>
        <v>0</v>
      </c>
      <c r="Q2587" s="36">
        <f t="shared" si="162"/>
        <v>81001.600000000006</v>
      </c>
      <c r="R2587">
        <f t="shared" si="163"/>
        <v>2023</v>
      </c>
    </row>
    <row r="2588" spans="1:18" x14ac:dyDescent="0.2">
      <c r="A2588" s="13">
        <v>45979</v>
      </c>
      <c r="B2588" s="13">
        <v>45202</v>
      </c>
      <c r="C2588" s="25" t="s">
        <v>399</v>
      </c>
      <c r="D2588" s="20">
        <v>777</v>
      </c>
      <c r="E2588" s="28">
        <v>35178.300000000003</v>
      </c>
      <c r="F2588" s="22" t="s">
        <v>317</v>
      </c>
      <c r="G2588" s="14">
        <v>270</v>
      </c>
      <c r="H2588" s="40">
        <v>44736</v>
      </c>
      <c r="I2588" s="46">
        <f t="shared" si="160"/>
        <v>1243</v>
      </c>
      <c r="J2588" s="1" t="s">
        <v>15</v>
      </c>
      <c r="K2588" s="4" t="s">
        <v>212</v>
      </c>
      <c r="L2588" s="4" t="s">
        <v>225</v>
      </c>
      <c r="M2588" s="8">
        <v>270</v>
      </c>
      <c r="N2588" s="5">
        <v>130.29</v>
      </c>
      <c r="O2588" s="5">
        <v>35178.300000000003</v>
      </c>
      <c r="P2588">
        <f t="shared" si="161"/>
        <v>1</v>
      </c>
      <c r="Q2588" s="36">
        <f t="shared" si="162"/>
        <v>35178.299999999996</v>
      </c>
      <c r="R2588">
        <f t="shared" si="163"/>
        <v>2022</v>
      </c>
    </row>
    <row r="2589" spans="1:18" x14ac:dyDescent="0.2">
      <c r="A2589" s="13">
        <v>45979</v>
      </c>
      <c r="B2589" s="13">
        <v>45237</v>
      </c>
      <c r="C2589" s="25" t="s">
        <v>399</v>
      </c>
      <c r="D2589" s="20">
        <v>742</v>
      </c>
      <c r="E2589" s="28">
        <v>35178.300000000003</v>
      </c>
      <c r="F2589" s="22" t="s">
        <v>317</v>
      </c>
      <c r="G2589" s="14">
        <v>270</v>
      </c>
      <c r="H2589" s="40">
        <v>44771</v>
      </c>
      <c r="I2589" s="46">
        <f t="shared" si="160"/>
        <v>1208</v>
      </c>
      <c r="J2589" s="1" t="s">
        <v>15</v>
      </c>
      <c r="K2589" s="4" t="s">
        <v>212</v>
      </c>
      <c r="L2589" s="4" t="s">
        <v>225</v>
      </c>
      <c r="M2589" s="8">
        <v>270</v>
      </c>
      <c r="N2589" s="5">
        <v>130.29</v>
      </c>
      <c r="O2589" s="5">
        <v>35178.300000000003</v>
      </c>
      <c r="P2589">
        <f t="shared" si="161"/>
        <v>1</v>
      </c>
      <c r="Q2589" s="36">
        <f t="shared" si="162"/>
        <v>35178.299999999996</v>
      </c>
      <c r="R2589">
        <f t="shared" si="163"/>
        <v>2022</v>
      </c>
    </row>
    <row r="2590" spans="1:18" x14ac:dyDescent="0.2">
      <c r="A2590" s="13">
        <v>45979</v>
      </c>
      <c r="B2590" s="13">
        <v>45258</v>
      </c>
      <c r="C2590" s="25" t="s">
        <v>399</v>
      </c>
      <c r="D2590" s="20">
        <v>721</v>
      </c>
      <c r="E2590" s="28">
        <v>35178.300000000003</v>
      </c>
      <c r="F2590" s="22" t="s">
        <v>317</v>
      </c>
      <c r="G2590" s="14">
        <v>270</v>
      </c>
      <c r="H2590" s="40">
        <v>44802</v>
      </c>
      <c r="I2590" s="46">
        <f t="shared" si="160"/>
        <v>1177</v>
      </c>
      <c r="J2590" s="1" t="s">
        <v>15</v>
      </c>
      <c r="K2590" s="4" t="s">
        <v>212</v>
      </c>
      <c r="L2590" s="4" t="s">
        <v>225</v>
      </c>
      <c r="M2590" s="8">
        <v>270</v>
      </c>
      <c r="N2590" s="5">
        <v>130.29</v>
      </c>
      <c r="O2590" s="5">
        <v>35178.300000000003</v>
      </c>
      <c r="P2590">
        <f t="shared" si="161"/>
        <v>1</v>
      </c>
      <c r="Q2590" s="36">
        <f t="shared" si="162"/>
        <v>35178.299999999996</v>
      </c>
      <c r="R2590">
        <f t="shared" si="163"/>
        <v>2022</v>
      </c>
    </row>
    <row r="2591" spans="1:18" x14ac:dyDescent="0.2">
      <c r="A2591" s="13">
        <v>45979</v>
      </c>
      <c r="B2591" s="13">
        <v>45524</v>
      </c>
      <c r="C2591" s="25" t="s">
        <v>399</v>
      </c>
      <c r="D2591" s="20">
        <v>455</v>
      </c>
      <c r="E2591" s="28">
        <v>17589.150000000001</v>
      </c>
      <c r="F2591" s="22" t="s">
        <v>317</v>
      </c>
      <c r="G2591" s="14">
        <v>135</v>
      </c>
      <c r="H2591" s="40">
        <v>45065</v>
      </c>
      <c r="I2591" s="46">
        <f t="shared" si="160"/>
        <v>914</v>
      </c>
      <c r="J2591" s="1" t="s">
        <v>15</v>
      </c>
      <c r="K2591" s="4" t="s">
        <v>212</v>
      </c>
      <c r="L2591" s="4" t="s">
        <v>225</v>
      </c>
      <c r="M2591" s="8">
        <v>135</v>
      </c>
      <c r="N2591" s="5">
        <v>130.29</v>
      </c>
      <c r="O2591" s="5">
        <v>17589.150000000001</v>
      </c>
      <c r="P2591">
        <f t="shared" si="161"/>
        <v>1</v>
      </c>
      <c r="Q2591" s="36">
        <f t="shared" si="162"/>
        <v>17589.149999999998</v>
      </c>
      <c r="R2591">
        <f t="shared" si="163"/>
        <v>2023</v>
      </c>
    </row>
    <row r="2592" spans="1:18" x14ac:dyDescent="0.2">
      <c r="A2592" s="13">
        <v>45979</v>
      </c>
      <c r="B2592" s="13">
        <v>45139</v>
      </c>
      <c r="C2592" s="25" t="s">
        <v>399</v>
      </c>
      <c r="D2592" s="20">
        <v>840</v>
      </c>
      <c r="E2592" s="28">
        <v>17589.150000000001</v>
      </c>
      <c r="F2592" s="22" t="s">
        <v>317</v>
      </c>
      <c r="G2592" s="14">
        <v>135</v>
      </c>
      <c r="H2592" s="40">
        <v>45167</v>
      </c>
      <c r="I2592" s="46">
        <f t="shared" si="160"/>
        <v>812</v>
      </c>
      <c r="J2592" s="1" t="s">
        <v>15</v>
      </c>
      <c r="K2592" s="4" t="s">
        <v>212</v>
      </c>
      <c r="L2592" s="4" t="s">
        <v>225</v>
      </c>
      <c r="M2592" s="8">
        <v>270</v>
      </c>
      <c r="N2592" s="5">
        <v>130.29</v>
      </c>
      <c r="O2592" s="5">
        <v>35178.300000000003</v>
      </c>
      <c r="P2592">
        <f t="shared" si="161"/>
        <v>0</v>
      </c>
      <c r="Q2592" s="36">
        <f t="shared" si="162"/>
        <v>17589.149999999998</v>
      </c>
      <c r="R2592">
        <f t="shared" si="163"/>
        <v>2023</v>
      </c>
    </row>
    <row r="2593" spans="1:18" x14ac:dyDescent="0.2">
      <c r="A2593" s="13">
        <v>45286</v>
      </c>
      <c r="B2593" s="13">
        <v>45286</v>
      </c>
      <c r="C2593" s="25" t="s">
        <v>398</v>
      </c>
      <c r="D2593" s="20">
        <v>0</v>
      </c>
      <c r="E2593" s="28">
        <v>20679.48</v>
      </c>
      <c r="F2593" s="22" t="s">
        <v>305</v>
      </c>
      <c r="G2593" s="14">
        <v>31</v>
      </c>
      <c r="H2593" s="40">
        <v>44819</v>
      </c>
      <c r="I2593" s="46">
        <f t="shared" si="160"/>
        <v>467</v>
      </c>
      <c r="J2593" s="1" t="s">
        <v>15</v>
      </c>
      <c r="K2593" s="4" t="s">
        <v>212</v>
      </c>
      <c r="L2593" s="4" t="s">
        <v>225</v>
      </c>
      <c r="M2593" s="8">
        <v>120</v>
      </c>
      <c r="N2593" s="5">
        <v>667.08</v>
      </c>
      <c r="O2593" s="5">
        <v>80049.600000000006</v>
      </c>
      <c r="P2593">
        <f t="shared" si="161"/>
        <v>0</v>
      </c>
      <c r="Q2593" s="36">
        <f t="shared" si="162"/>
        <v>20679.48</v>
      </c>
      <c r="R2593">
        <f t="shared" si="163"/>
        <v>2022</v>
      </c>
    </row>
    <row r="2594" spans="1:18" x14ac:dyDescent="0.2">
      <c r="A2594" s="13">
        <v>45299</v>
      </c>
      <c r="B2594" s="13">
        <v>45286</v>
      </c>
      <c r="C2594" s="25" t="s">
        <v>399</v>
      </c>
      <c r="D2594" s="20">
        <v>13</v>
      </c>
      <c r="E2594" s="28">
        <v>59370.12</v>
      </c>
      <c r="F2594" s="22" t="s">
        <v>305</v>
      </c>
      <c r="G2594" s="14">
        <v>89</v>
      </c>
      <c r="H2594" s="40">
        <v>44819</v>
      </c>
      <c r="I2594" s="46">
        <f t="shared" si="160"/>
        <v>480</v>
      </c>
      <c r="J2594" s="1" t="s">
        <v>15</v>
      </c>
      <c r="K2594" s="4" t="s">
        <v>212</v>
      </c>
      <c r="L2594" s="4" t="s">
        <v>225</v>
      </c>
      <c r="M2594" s="8">
        <v>120</v>
      </c>
      <c r="N2594" s="5">
        <v>667.08</v>
      </c>
      <c r="O2594" s="5">
        <v>80049.600000000006</v>
      </c>
      <c r="P2594">
        <f t="shared" si="161"/>
        <v>0</v>
      </c>
      <c r="Q2594" s="36">
        <f t="shared" si="162"/>
        <v>59370.12</v>
      </c>
      <c r="R2594">
        <f t="shared" si="163"/>
        <v>2022</v>
      </c>
    </row>
    <row r="2595" spans="1:18" x14ac:dyDescent="0.2">
      <c r="A2595" s="13">
        <v>45426</v>
      </c>
      <c r="B2595" s="13">
        <v>45426</v>
      </c>
      <c r="C2595" s="25" t="s">
        <v>398</v>
      </c>
      <c r="D2595" s="20">
        <v>0</v>
      </c>
      <c r="E2595" s="28">
        <v>80049.600000000006</v>
      </c>
      <c r="F2595" s="22" t="s">
        <v>305</v>
      </c>
      <c r="G2595" s="14">
        <v>120</v>
      </c>
      <c r="H2595" s="40">
        <v>44958</v>
      </c>
      <c r="I2595" s="46">
        <f t="shared" si="160"/>
        <v>468</v>
      </c>
      <c r="J2595" s="1" t="s">
        <v>15</v>
      </c>
      <c r="K2595" s="4" t="s">
        <v>212</v>
      </c>
      <c r="L2595" s="4" t="s">
        <v>225</v>
      </c>
      <c r="M2595" s="8">
        <v>120</v>
      </c>
      <c r="N2595" s="5">
        <v>667.08</v>
      </c>
      <c r="O2595" s="5">
        <v>80049.600000000006</v>
      </c>
      <c r="P2595">
        <f t="shared" si="161"/>
        <v>1</v>
      </c>
      <c r="Q2595" s="36">
        <f t="shared" si="162"/>
        <v>80049.600000000006</v>
      </c>
      <c r="R2595">
        <f t="shared" si="163"/>
        <v>2023</v>
      </c>
    </row>
    <row r="2596" spans="1:18" x14ac:dyDescent="0.2">
      <c r="A2596" s="13">
        <v>45184</v>
      </c>
      <c r="B2596" s="13">
        <v>45160</v>
      </c>
      <c r="C2596" s="25" t="s">
        <v>399</v>
      </c>
      <c r="D2596" s="20">
        <v>24</v>
      </c>
      <c r="E2596" s="28">
        <v>48029.760000000002</v>
      </c>
      <c r="F2596" s="22" t="s">
        <v>305</v>
      </c>
      <c r="G2596" s="14">
        <v>72</v>
      </c>
      <c r="H2596" s="40">
        <v>45148</v>
      </c>
      <c r="I2596" s="46">
        <f t="shared" si="160"/>
        <v>36</v>
      </c>
      <c r="J2596" s="1" t="s">
        <v>15</v>
      </c>
      <c r="K2596" s="4" t="s">
        <v>212</v>
      </c>
      <c r="L2596" s="4" t="s">
        <v>225</v>
      </c>
      <c r="M2596" s="8">
        <v>192</v>
      </c>
      <c r="N2596" s="5">
        <v>667.08</v>
      </c>
      <c r="O2596" s="5">
        <v>128079.36</v>
      </c>
      <c r="P2596">
        <f t="shared" si="161"/>
        <v>0</v>
      </c>
      <c r="Q2596" s="36">
        <f t="shared" si="162"/>
        <v>48029.760000000002</v>
      </c>
      <c r="R2596">
        <f t="shared" si="163"/>
        <v>2023</v>
      </c>
    </row>
    <row r="2597" spans="1:18" x14ac:dyDescent="0.2">
      <c r="A2597" s="13">
        <v>45195</v>
      </c>
      <c r="B2597" s="13">
        <v>45195</v>
      </c>
      <c r="C2597" s="25" t="s">
        <v>398</v>
      </c>
      <c r="D2597" s="20">
        <v>0</v>
      </c>
      <c r="E2597" s="28">
        <v>10500</v>
      </c>
      <c r="F2597" s="22" t="s">
        <v>304</v>
      </c>
      <c r="G2597" s="14">
        <v>6000</v>
      </c>
      <c r="H2597" s="40">
        <v>44819</v>
      </c>
      <c r="I2597" s="46">
        <f t="shared" si="160"/>
        <v>376</v>
      </c>
      <c r="J2597" s="1" t="s">
        <v>15</v>
      </c>
      <c r="K2597" s="4" t="s">
        <v>212</v>
      </c>
      <c r="L2597" s="4" t="s">
        <v>225</v>
      </c>
      <c r="M2597" s="8">
        <v>6000</v>
      </c>
      <c r="N2597" s="5">
        <v>1.75</v>
      </c>
      <c r="O2597" s="5">
        <v>10500</v>
      </c>
      <c r="P2597">
        <f t="shared" si="161"/>
        <v>1</v>
      </c>
      <c r="Q2597" s="36">
        <f t="shared" si="162"/>
        <v>10500</v>
      </c>
      <c r="R2597">
        <f t="shared" si="163"/>
        <v>2022</v>
      </c>
    </row>
    <row r="2598" spans="1:18" x14ac:dyDescent="0.2">
      <c r="A2598" s="13">
        <v>45258</v>
      </c>
      <c r="B2598" s="13">
        <v>45258</v>
      </c>
      <c r="C2598" s="25" t="s">
        <v>398</v>
      </c>
      <c r="D2598" s="20">
        <v>0</v>
      </c>
      <c r="E2598" s="28">
        <v>10500</v>
      </c>
      <c r="F2598" s="22" t="s">
        <v>304</v>
      </c>
      <c r="G2598" s="14">
        <v>6000</v>
      </c>
      <c r="H2598" s="40">
        <v>44827</v>
      </c>
      <c r="I2598" s="46">
        <f t="shared" si="160"/>
        <v>431</v>
      </c>
      <c r="J2598" s="1" t="s">
        <v>15</v>
      </c>
      <c r="K2598" s="4" t="s">
        <v>212</v>
      </c>
      <c r="L2598" s="4" t="s">
        <v>225</v>
      </c>
      <c r="M2598" s="8">
        <v>6000</v>
      </c>
      <c r="N2598" s="5">
        <v>1.75</v>
      </c>
      <c r="O2598" s="5">
        <v>10500</v>
      </c>
      <c r="P2598">
        <f t="shared" si="161"/>
        <v>1</v>
      </c>
      <c r="Q2598" s="36">
        <f t="shared" si="162"/>
        <v>10500</v>
      </c>
      <c r="R2598">
        <f t="shared" si="163"/>
        <v>2022</v>
      </c>
    </row>
    <row r="2599" spans="1:18" x14ac:dyDescent="0.2">
      <c r="A2599" s="13">
        <v>45279</v>
      </c>
      <c r="B2599" s="13">
        <v>45279</v>
      </c>
      <c r="C2599" s="25" t="s">
        <v>398</v>
      </c>
      <c r="D2599" s="20">
        <v>0</v>
      </c>
      <c r="E2599" s="28">
        <v>10500</v>
      </c>
      <c r="F2599" s="22" t="s">
        <v>304</v>
      </c>
      <c r="G2599" s="14">
        <v>6000</v>
      </c>
      <c r="H2599" s="40">
        <v>44827</v>
      </c>
      <c r="I2599" s="46">
        <f t="shared" si="160"/>
        <v>452</v>
      </c>
      <c r="J2599" s="1" t="s">
        <v>15</v>
      </c>
      <c r="K2599" s="4" t="s">
        <v>212</v>
      </c>
      <c r="L2599" s="4" t="s">
        <v>225</v>
      </c>
      <c r="M2599" s="8">
        <v>6000</v>
      </c>
      <c r="N2599" s="5">
        <v>1.75</v>
      </c>
      <c r="O2599" s="5">
        <v>10500</v>
      </c>
      <c r="P2599">
        <f t="shared" si="161"/>
        <v>1</v>
      </c>
      <c r="Q2599" s="36">
        <f t="shared" si="162"/>
        <v>10500</v>
      </c>
      <c r="R2599">
        <f t="shared" si="163"/>
        <v>2022</v>
      </c>
    </row>
    <row r="2600" spans="1:18" x14ac:dyDescent="0.2">
      <c r="A2600" s="13">
        <v>45286</v>
      </c>
      <c r="B2600" s="13">
        <v>45286</v>
      </c>
      <c r="C2600" s="25" t="s">
        <v>398</v>
      </c>
      <c r="D2600" s="20">
        <v>0</v>
      </c>
      <c r="E2600" s="28">
        <v>10500</v>
      </c>
      <c r="F2600" s="22" t="s">
        <v>304</v>
      </c>
      <c r="G2600" s="14">
        <v>6000</v>
      </c>
      <c r="H2600" s="40">
        <v>44827</v>
      </c>
      <c r="I2600" s="46">
        <f t="shared" si="160"/>
        <v>459</v>
      </c>
      <c r="J2600" s="1" t="s">
        <v>15</v>
      </c>
      <c r="K2600" s="4" t="s">
        <v>212</v>
      </c>
      <c r="L2600" s="4" t="s">
        <v>225</v>
      </c>
      <c r="M2600" s="8">
        <v>6000</v>
      </c>
      <c r="N2600" s="5">
        <v>1.75</v>
      </c>
      <c r="O2600" s="5">
        <v>10500</v>
      </c>
      <c r="P2600">
        <f t="shared" si="161"/>
        <v>1</v>
      </c>
      <c r="Q2600" s="36">
        <f t="shared" si="162"/>
        <v>10500</v>
      </c>
      <c r="R2600">
        <f t="shared" si="163"/>
        <v>2022</v>
      </c>
    </row>
    <row r="2601" spans="1:18" x14ac:dyDescent="0.2">
      <c r="A2601" s="13">
        <v>45293</v>
      </c>
      <c r="B2601" s="13">
        <v>45293</v>
      </c>
      <c r="C2601" s="25" t="s">
        <v>398</v>
      </c>
      <c r="D2601" s="20">
        <v>0</v>
      </c>
      <c r="E2601" s="28">
        <v>5250</v>
      </c>
      <c r="F2601" s="22" t="s">
        <v>304</v>
      </c>
      <c r="G2601" s="14">
        <v>3000</v>
      </c>
      <c r="H2601" s="40">
        <v>44834</v>
      </c>
      <c r="I2601" s="46">
        <f t="shared" si="160"/>
        <v>459</v>
      </c>
      <c r="J2601" s="1" t="s">
        <v>15</v>
      </c>
      <c r="K2601" s="4" t="s">
        <v>212</v>
      </c>
      <c r="L2601" s="4" t="s">
        <v>225</v>
      </c>
      <c r="M2601" s="8">
        <v>3000</v>
      </c>
      <c r="N2601" s="5">
        <v>1.75</v>
      </c>
      <c r="O2601" s="5">
        <v>5250</v>
      </c>
      <c r="P2601">
        <f t="shared" si="161"/>
        <v>1</v>
      </c>
      <c r="Q2601" s="36">
        <f t="shared" si="162"/>
        <v>5250</v>
      </c>
      <c r="R2601">
        <f t="shared" si="163"/>
        <v>2022</v>
      </c>
    </row>
    <row r="2602" spans="1:18" x14ac:dyDescent="0.2">
      <c r="A2602" s="13">
        <v>45300</v>
      </c>
      <c r="B2602" s="13">
        <v>45300</v>
      </c>
      <c r="C2602" s="25" t="s">
        <v>398</v>
      </c>
      <c r="D2602" s="20">
        <v>0</v>
      </c>
      <c r="E2602" s="28">
        <v>5250</v>
      </c>
      <c r="F2602" s="22" t="s">
        <v>304</v>
      </c>
      <c r="G2602" s="14">
        <v>3000</v>
      </c>
      <c r="H2602" s="40">
        <v>44855</v>
      </c>
      <c r="I2602" s="46">
        <f t="shared" si="160"/>
        <v>445</v>
      </c>
      <c r="J2602" s="1" t="s">
        <v>15</v>
      </c>
      <c r="K2602" s="4" t="s">
        <v>212</v>
      </c>
      <c r="L2602" s="4" t="s">
        <v>225</v>
      </c>
      <c r="M2602" s="8">
        <v>3000</v>
      </c>
      <c r="N2602" s="5">
        <v>1.75</v>
      </c>
      <c r="O2602" s="5">
        <v>5250</v>
      </c>
      <c r="P2602">
        <f t="shared" si="161"/>
        <v>1</v>
      </c>
      <c r="Q2602" s="36">
        <f t="shared" si="162"/>
        <v>5250</v>
      </c>
      <c r="R2602">
        <f t="shared" si="163"/>
        <v>2022</v>
      </c>
    </row>
    <row r="2603" spans="1:18" x14ac:dyDescent="0.2">
      <c r="A2603" s="13">
        <v>45307</v>
      </c>
      <c r="B2603" s="13">
        <v>45307</v>
      </c>
      <c r="C2603" s="25" t="s">
        <v>398</v>
      </c>
      <c r="D2603" s="20">
        <v>0</v>
      </c>
      <c r="E2603" s="28">
        <v>10500</v>
      </c>
      <c r="F2603" s="22" t="s">
        <v>304</v>
      </c>
      <c r="G2603" s="14">
        <v>6000</v>
      </c>
      <c r="H2603" s="40">
        <v>44855</v>
      </c>
      <c r="I2603" s="46">
        <f t="shared" si="160"/>
        <v>452</v>
      </c>
      <c r="J2603" s="1" t="s">
        <v>15</v>
      </c>
      <c r="K2603" s="4" t="s">
        <v>212</v>
      </c>
      <c r="L2603" s="4" t="s">
        <v>225</v>
      </c>
      <c r="M2603" s="8">
        <v>6000</v>
      </c>
      <c r="N2603" s="5">
        <v>1.75</v>
      </c>
      <c r="O2603" s="5">
        <v>10500</v>
      </c>
      <c r="P2603">
        <f t="shared" si="161"/>
        <v>1</v>
      </c>
      <c r="Q2603" s="36">
        <f t="shared" si="162"/>
        <v>10500</v>
      </c>
      <c r="R2603">
        <f t="shared" si="163"/>
        <v>2022</v>
      </c>
    </row>
    <row r="2604" spans="1:18" x14ac:dyDescent="0.2">
      <c r="A2604" s="13">
        <v>45510</v>
      </c>
      <c r="B2604" s="13">
        <v>45510</v>
      </c>
      <c r="C2604" s="25" t="s">
        <v>398</v>
      </c>
      <c r="D2604" s="20">
        <v>0</v>
      </c>
      <c r="E2604" s="28">
        <v>42000</v>
      </c>
      <c r="F2604" s="22" t="s">
        <v>304</v>
      </c>
      <c r="G2604" s="14">
        <v>24000</v>
      </c>
      <c r="H2604" s="40">
        <v>44943</v>
      </c>
      <c r="I2604" s="46">
        <f t="shared" si="160"/>
        <v>567</v>
      </c>
      <c r="J2604" s="1" t="s">
        <v>15</v>
      </c>
      <c r="K2604" s="4" t="s">
        <v>212</v>
      </c>
      <c r="L2604" s="4" t="s">
        <v>225</v>
      </c>
      <c r="M2604" s="8">
        <v>24000</v>
      </c>
      <c r="N2604" s="5">
        <v>1.75</v>
      </c>
      <c r="O2604" s="5">
        <v>42000</v>
      </c>
      <c r="P2604">
        <f t="shared" si="161"/>
        <v>1</v>
      </c>
      <c r="Q2604" s="36">
        <f t="shared" si="162"/>
        <v>42000</v>
      </c>
      <c r="R2604">
        <f t="shared" si="163"/>
        <v>2023</v>
      </c>
    </row>
    <row r="2605" spans="1:18" x14ac:dyDescent="0.2">
      <c r="A2605" s="13">
        <v>45517</v>
      </c>
      <c r="B2605" s="13">
        <v>45517</v>
      </c>
      <c r="C2605" s="25" t="s">
        <v>398</v>
      </c>
      <c r="D2605" s="20">
        <v>0</v>
      </c>
      <c r="E2605" s="28">
        <v>42000</v>
      </c>
      <c r="F2605" s="22" t="s">
        <v>304</v>
      </c>
      <c r="G2605" s="14">
        <v>24000</v>
      </c>
      <c r="H2605" s="40">
        <v>44943</v>
      </c>
      <c r="I2605" s="46">
        <f t="shared" si="160"/>
        <v>574</v>
      </c>
      <c r="J2605" s="1" t="s">
        <v>15</v>
      </c>
      <c r="K2605" s="4" t="s">
        <v>212</v>
      </c>
      <c r="L2605" s="4" t="s">
        <v>225</v>
      </c>
      <c r="M2605" s="8">
        <v>24000</v>
      </c>
      <c r="N2605" s="5">
        <v>1.75</v>
      </c>
      <c r="O2605" s="5">
        <v>42000</v>
      </c>
      <c r="P2605">
        <f t="shared" si="161"/>
        <v>1</v>
      </c>
      <c r="Q2605" s="36">
        <f t="shared" si="162"/>
        <v>42000</v>
      </c>
      <c r="R2605">
        <f t="shared" si="163"/>
        <v>2023</v>
      </c>
    </row>
    <row r="2606" spans="1:18" x14ac:dyDescent="0.2">
      <c r="A2606" s="13">
        <v>45524</v>
      </c>
      <c r="B2606" s="13">
        <v>45524</v>
      </c>
      <c r="C2606" s="25" t="s">
        <v>398</v>
      </c>
      <c r="D2606" s="20">
        <v>0</v>
      </c>
      <c r="E2606" s="28">
        <v>42000</v>
      </c>
      <c r="F2606" s="22" t="s">
        <v>304</v>
      </c>
      <c r="G2606" s="14">
        <v>24000</v>
      </c>
      <c r="H2606" s="40">
        <v>44943</v>
      </c>
      <c r="I2606" s="46">
        <f t="shared" si="160"/>
        <v>581</v>
      </c>
      <c r="J2606" s="1" t="s">
        <v>15</v>
      </c>
      <c r="K2606" s="4" t="s">
        <v>212</v>
      </c>
      <c r="L2606" s="4" t="s">
        <v>225</v>
      </c>
      <c r="M2606" s="8">
        <v>24000</v>
      </c>
      <c r="N2606" s="5">
        <v>1.75</v>
      </c>
      <c r="O2606" s="5">
        <v>42000</v>
      </c>
      <c r="P2606">
        <f t="shared" si="161"/>
        <v>1</v>
      </c>
      <c r="Q2606" s="36">
        <f t="shared" si="162"/>
        <v>42000</v>
      </c>
      <c r="R2606">
        <f t="shared" si="163"/>
        <v>2023</v>
      </c>
    </row>
    <row r="2607" spans="1:18" x14ac:dyDescent="0.2">
      <c r="A2607" s="13">
        <v>45531</v>
      </c>
      <c r="B2607" s="13">
        <v>45531</v>
      </c>
      <c r="C2607" s="25" t="s">
        <v>398</v>
      </c>
      <c r="D2607" s="20">
        <v>0</v>
      </c>
      <c r="E2607" s="28">
        <v>36750</v>
      </c>
      <c r="F2607" s="22" t="s">
        <v>304</v>
      </c>
      <c r="G2607" s="14">
        <v>21000</v>
      </c>
      <c r="H2607" s="40">
        <v>44943</v>
      </c>
      <c r="I2607" s="46">
        <f t="shared" si="160"/>
        <v>588</v>
      </c>
      <c r="J2607" s="1" t="s">
        <v>15</v>
      </c>
      <c r="K2607" s="4" t="s">
        <v>212</v>
      </c>
      <c r="L2607" s="4" t="s">
        <v>225</v>
      </c>
      <c r="M2607" s="8">
        <v>21000</v>
      </c>
      <c r="N2607" s="5">
        <v>1.75</v>
      </c>
      <c r="O2607" s="5">
        <v>36750</v>
      </c>
      <c r="P2607">
        <f t="shared" si="161"/>
        <v>1</v>
      </c>
      <c r="Q2607" s="36">
        <f t="shared" si="162"/>
        <v>36750</v>
      </c>
      <c r="R2607">
        <f t="shared" si="163"/>
        <v>2023</v>
      </c>
    </row>
    <row r="2608" spans="1:18" x14ac:dyDescent="0.2">
      <c r="A2608" s="13">
        <v>45286</v>
      </c>
      <c r="B2608" s="13">
        <v>45286</v>
      </c>
      <c r="C2608" s="25" t="s">
        <v>398</v>
      </c>
      <c r="D2608" s="20">
        <v>0</v>
      </c>
      <c r="E2608" s="28">
        <v>10560</v>
      </c>
      <c r="F2608" s="22" t="s">
        <v>297</v>
      </c>
      <c r="G2608" s="14">
        <v>6000</v>
      </c>
      <c r="H2608" s="40">
        <v>44827</v>
      </c>
      <c r="I2608" s="46">
        <f t="shared" si="160"/>
        <v>459</v>
      </c>
      <c r="J2608" s="1" t="s">
        <v>15</v>
      </c>
      <c r="K2608" s="4" t="s">
        <v>212</v>
      </c>
      <c r="L2608" s="4" t="s">
        <v>225</v>
      </c>
      <c r="M2608" s="8">
        <v>6000</v>
      </c>
      <c r="N2608" s="5">
        <v>1.76</v>
      </c>
      <c r="O2608" s="5">
        <v>10560</v>
      </c>
      <c r="P2608">
        <f t="shared" si="161"/>
        <v>1</v>
      </c>
      <c r="Q2608" s="36">
        <f t="shared" si="162"/>
        <v>10560</v>
      </c>
      <c r="R2608">
        <f t="shared" si="163"/>
        <v>2022</v>
      </c>
    </row>
    <row r="2609" spans="1:18" x14ac:dyDescent="0.2">
      <c r="A2609" s="13">
        <v>45307</v>
      </c>
      <c r="B2609" s="13">
        <v>45307</v>
      </c>
      <c r="C2609" s="25" t="s">
        <v>398</v>
      </c>
      <c r="D2609" s="20">
        <v>0</v>
      </c>
      <c r="E2609" s="28">
        <v>10560</v>
      </c>
      <c r="F2609" s="22" t="s">
        <v>297</v>
      </c>
      <c r="G2609" s="14">
        <v>6000</v>
      </c>
      <c r="H2609" s="40">
        <v>44855</v>
      </c>
      <c r="I2609" s="46">
        <f t="shared" si="160"/>
        <v>452</v>
      </c>
      <c r="J2609" s="1" t="s">
        <v>15</v>
      </c>
      <c r="K2609" s="4" t="s">
        <v>212</v>
      </c>
      <c r="L2609" s="4" t="s">
        <v>225</v>
      </c>
      <c r="M2609" s="8">
        <v>6000</v>
      </c>
      <c r="N2609" s="5">
        <v>1.76</v>
      </c>
      <c r="O2609" s="5">
        <v>10560</v>
      </c>
      <c r="P2609">
        <f t="shared" si="161"/>
        <v>1</v>
      </c>
      <c r="Q2609" s="36">
        <f t="shared" si="162"/>
        <v>10560</v>
      </c>
      <c r="R2609">
        <f t="shared" si="163"/>
        <v>2022</v>
      </c>
    </row>
    <row r="2610" spans="1:18" x14ac:dyDescent="0.2">
      <c r="A2610" s="13">
        <v>45342</v>
      </c>
      <c r="B2610" s="13">
        <v>45342</v>
      </c>
      <c r="C2610" s="25" t="s">
        <v>398</v>
      </c>
      <c r="D2610" s="20">
        <v>0</v>
      </c>
      <c r="E2610" s="28">
        <v>5280</v>
      </c>
      <c r="F2610" s="22" t="s">
        <v>297</v>
      </c>
      <c r="G2610" s="14">
        <v>3000</v>
      </c>
      <c r="H2610" s="40">
        <v>44893</v>
      </c>
      <c r="I2610" s="46">
        <f t="shared" si="160"/>
        <v>449</v>
      </c>
      <c r="J2610" s="1" t="s">
        <v>15</v>
      </c>
      <c r="K2610" s="4" t="s">
        <v>212</v>
      </c>
      <c r="L2610" s="4" t="s">
        <v>225</v>
      </c>
      <c r="M2610" s="8">
        <v>3000</v>
      </c>
      <c r="N2610" s="5">
        <v>1.76</v>
      </c>
      <c r="O2610" s="5">
        <v>5280</v>
      </c>
      <c r="P2610">
        <f t="shared" si="161"/>
        <v>1</v>
      </c>
      <c r="Q2610" s="36">
        <f t="shared" si="162"/>
        <v>5280</v>
      </c>
      <c r="R2610">
        <f t="shared" si="163"/>
        <v>2022</v>
      </c>
    </row>
    <row r="2611" spans="1:18" x14ac:dyDescent="0.2">
      <c r="A2611" s="13">
        <v>45349</v>
      </c>
      <c r="B2611" s="13">
        <v>45349</v>
      </c>
      <c r="C2611" s="25" t="s">
        <v>398</v>
      </c>
      <c r="D2611" s="20">
        <v>0</v>
      </c>
      <c r="E2611" s="28">
        <v>5280</v>
      </c>
      <c r="F2611" s="22" t="s">
        <v>297</v>
      </c>
      <c r="G2611" s="14">
        <v>3000</v>
      </c>
      <c r="H2611" s="40">
        <v>44915</v>
      </c>
      <c r="I2611" s="46">
        <f t="shared" si="160"/>
        <v>434</v>
      </c>
      <c r="J2611" s="1" t="s">
        <v>15</v>
      </c>
      <c r="K2611" s="4" t="s">
        <v>212</v>
      </c>
      <c r="L2611" s="4" t="s">
        <v>225</v>
      </c>
      <c r="M2611" s="8">
        <v>3000</v>
      </c>
      <c r="N2611" s="5">
        <v>1.76</v>
      </c>
      <c r="O2611" s="5">
        <v>5280</v>
      </c>
      <c r="P2611">
        <f t="shared" si="161"/>
        <v>1</v>
      </c>
      <c r="Q2611" s="36">
        <f t="shared" si="162"/>
        <v>5280</v>
      </c>
      <c r="R2611">
        <f t="shared" si="163"/>
        <v>2022</v>
      </c>
    </row>
    <row r="2612" spans="1:18" x14ac:dyDescent="0.2">
      <c r="A2612" s="13">
        <v>45524</v>
      </c>
      <c r="B2612" s="13">
        <v>45524</v>
      </c>
      <c r="C2612" s="25" t="s">
        <v>398</v>
      </c>
      <c r="D2612" s="20">
        <v>0</v>
      </c>
      <c r="E2612" s="28">
        <v>36960</v>
      </c>
      <c r="F2612" s="22" t="s">
        <v>297</v>
      </c>
      <c r="G2612" s="14">
        <v>21000</v>
      </c>
      <c r="H2612" s="40">
        <v>44943</v>
      </c>
      <c r="I2612" s="46">
        <f t="shared" si="160"/>
        <v>581</v>
      </c>
      <c r="J2612" s="1" t="s">
        <v>15</v>
      </c>
      <c r="K2612" s="4" t="s">
        <v>212</v>
      </c>
      <c r="L2612" s="4" t="s">
        <v>225</v>
      </c>
      <c r="M2612" s="8">
        <v>21000</v>
      </c>
      <c r="N2612" s="5">
        <v>1.76</v>
      </c>
      <c r="O2612" s="5">
        <v>36960</v>
      </c>
      <c r="P2612">
        <f t="shared" si="161"/>
        <v>1</v>
      </c>
      <c r="Q2612" s="36">
        <f t="shared" si="162"/>
        <v>36960</v>
      </c>
      <c r="R2612">
        <f t="shared" si="163"/>
        <v>2023</v>
      </c>
    </row>
    <row r="2613" spans="1:18" x14ac:dyDescent="0.2">
      <c r="A2613" s="13">
        <v>45638</v>
      </c>
      <c r="B2613" s="13">
        <v>45622</v>
      </c>
      <c r="C2613" s="25" t="s">
        <v>399</v>
      </c>
      <c r="D2613" s="20">
        <v>16</v>
      </c>
      <c r="E2613" s="28">
        <v>5280</v>
      </c>
      <c r="F2613" s="22" t="s">
        <v>297</v>
      </c>
      <c r="G2613" s="14">
        <v>3000</v>
      </c>
      <c r="H2613" s="40">
        <v>45125</v>
      </c>
      <c r="I2613" s="46">
        <f t="shared" si="160"/>
        <v>513</v>
      </c>
      <c r="J2613" s="1" t="s">
        <v>15</v>
      </c>
      <c r="K2613" s="4" t="s">
        <v>212</v>
      </c>
      <c r="L2613" s="4" t="s">
        <v>225</v>
      </c>
      <c r="M2613" s="8">
        <v>3000</v>
      </c>
      <c r="N2613" s="5">
        <v>1.76</v>
      </c>
      <c r="O2613" s="5">
        <v>5280</v>
      </c>
      <c r="P2613">
        <f t="shared" si="161"/>
        <v>1</v>
      </c>
      <c r="Q2613" s="36">
        <f t="shared" si="162"/>
        <v>5280</v>
      </c>
      <c r="R2613">
        <f t="shared" si="163"/>
        <v>2023</v>
      </c>
    </row>
    <row r="2614" spans="1:18" x14ac:dyDescent="0.2">
      <c r="A2614" s="13">
        <v>45251</v>
      </c>
      <c r="B2614" s="13">
        <v>45251</v>
      </c>
      <c r="C2614" s="25" t="s">
        <v>398</v>
      </c>
      <c r="D2614" s="20">
        <v>0</v>
      </c>
      <c r="E2614" s="28">
        <v>5940</v>
      </c>
      <c r="F2614" s="22" t="s">
        <v>309</v>
      </c>
      <c r="G2614" s="14">
        <v>3000</v>
      </c>
      <c r="H2614" s="40">
        <v>44827</v>
      </c>
      <c r="I2614" s="46">
        <f t="shared" si="160"/>
        <v>424</v>
      </c>
      <c r="J2614" s="1" t="s">
        <v>15</v>
      </c>
      <c r="K2614" s="4" t="s">
        <v>212</v>
      </c>
      <c r="L2614" s="4" t="s">
        <v>225</v>
      </c>
      <c r="M2614" s="8">
        <v>3000</v>
      </c>
      <c r="N2614" s="5">
        <v>1.98</v>
      </c>
      <c r="O2614" s="5">
        <v>5940</v>
      </c>
      <c r="P2614">
        <f t="shared" si="161"/>
        <v>1</v>
      </c>
      <c r="Q2614" s="36">
        <f t="shared" si="162"/>
        <v>5940</v>
      </c>
      <c r="R2614">
        <f t="shared" si="163"/>
        <v>2022</v>
      </c>
    </row>
    <row r="2615" spans="1:18" x14ac:dyDescent="0.2">
      <c r="A2615" s="13">
        <v>45286</v>
      </c>
      <c r="B2615" s="13">
        <v>45286</v>
      </c>
      <c r="C2615" s="25" t="s">
        <v>398</v>
      </c>
      <c r="D2615" s="20">
        <v>0</v>
      </c>
      <c r="E2615" s="28">
        <v>11880</v>
      </c>
      <c r="F2615" s="22" t="s">
        <v>309</v>
      </c>
      <c r="G2615" s="14">
        <v>6000</v>
      </c>
      <c r="H2615" s="40">
        <v>44827</v>
      </c>
      <c r="I2615" s="46">
        <f t="shared" si="160"/>
        <v>459</v>
      </c>
      <c r="J2615" s="1" t="s">
        <v>15</v>
      </c>
      <c r="K2615" s="4" t="s">
        <v>212</v>
      </c>
      <c r="L2615" s="4" t="s">
        <v>225</v>
      </c>
      <c r="M2615" s="8">
        <v>6000</v>
      </c>
      <c r="N2615" s="5">
        <v>1.98</v>
      </c>
      <c r="O2615" s="5">
        <v>11880</v>
      </c>
      <c r="P2615">
        <f t="shared" si="161"/>
        <v>1</v>
      </c>
      <c r="Q2615" s="36">
        <f t="shared" si="162"/>
        <v>11880</v>
      </c>
      <c r="R2615">
        <f t="shared" si="163"/>
        <v>2022</v>
      </c>
    </row>
    <row r="2616" spans="1:18" x14ac:dyDescent="0.2">
      <c r="A2616" s="13">
        <v>45412</v>
      </c>
      <c r="B2616" s="13">
        <v>45412</v>
      </c>
      <c r="C2616" s="25" t="s">
        <v>398</v>
      </c>
      <c r="D2616" s="20">
        <v>0</v>
      </c>
      <c r="E2616" s="28">
        <v>5940</v>
      </c>
      <c r="F2616" s="22" t="s">
        <v>309</v>
      </c>
      <c r="G2616" s="14">
        <v>3000</v>
      </c>
      <c r="H2616" s="40">
        <v>44956</v>
      </c>
      <c r="I2616" s="46">
        <f t="shared" si="160"/>
        <v>456</v>
      </c>
      <c r="J2616" s="1" t="s">
        <v>15</v>
      </c>
      <c r="K2616" s="4" t="s">
        <v>212</v>
      </c>
      <c r="L2616" s="4" t="s">
        <v>225</v>
      </c>
      <c r="M2616" s="8">
        <v>6000</v>
      </c>
      <c r="N2616" s="5">
        <v>1.98</v>
      </c>
      <c r="O2616" s="5">
        <v>11880</v>
      </c>
      <c r="P2616">
        <f t="shared" si="161"/>
        <v>0</v>
      </c>
      <c r="Q2616" s="36">
        <f t="shared" si="162"/>
        <v>5940</v>
      </c>
      <c r="R2616">
        <f t="shared" si="163"/>
        <v>2023</v>
      </c>
    </row>
    <row r="2617" spans="1:18" x14ac:dyDescent="0.2">
      <c r="A2617" s="13">
        <v>45672</v>
      </c>
      <c r="B2617" s="13">
        <v>45412</v>
      </c>
      <c r="C2617" s="25" t="s">
        <v>399</v>
      </c>
      <c r="D2617" s="20">
        <v>260</v>
      </c>
      <c r="E2617" s="28">
        <v>5940</v>
      </c>
      <c r="F2617" s="22" t="s">
        <v>309</v>
      </c>
      <c r="G2617" s="14">
        <v>3000</v>
      </c>
      <c r="H2617" s="40">
        <v>44956</v>
      </c>
      <c r="I2617" s="46">
        <f t="shared" si="160"/>
        <v>716</v>
      </c>
      <c r="J2617" s="1" t="s">
        <v>15</v>
      </c>
      <c r="K2617" s="4" t="s">
        <v>212</v>
      </c>
      <c r="L2617" s="4" t="s">
        <v>225</v>
      </c>
      <c r="M2617" s="8">
        <v>6000</v>
      </c>
      <c r="N2617" s="5">
        <v>1.98</v>
      </c>
      <c r="O2617" s="5">
        <v>11880</v>
      </c>
      <c r="P2617">
        <f t="shared" si="161"/>
        <v>0</v>
      </c>
      <c r="Q2617" s="36">
        <f t="shared" si="162"/>
        <v>5940</v>
      </c>
      <c r="R2617">
        <f t="shared" si="163"/>
        <v>2023</v>
      </c>
    </row>
    <row r="2618" spans="1:18" x14ac:dyDescent="0.2">
      <c r="A2618" s="13">
        <v>45503</v>
      </c>
      <c r="B2618" s="13">
        <v>45503</v>
      </c>
      <c r="C2618" s="25" t="s">
        <v>398</v>
      </c>
      <c r="D2618" s="20">
        <v>0</v>
      </c>
      <c r="E2618" s="28">
        <v>11880</v>
      </c>
      <c r="F2618" s="22" t="s">
        <v>309</v>
      </c>
      <c r="G2618" s="14">
        <v>6000</v>
      </c>
      <c r="H2618" s="40">
        <v>44956</v>
      </c>
      <c r="I2618" s="46">
        <f t="shared" si="160"/>
        <v>547</v>
      </c>
      <c r="J2618" s="1" t="s">
        <v>15</v>
      </c>
      <c r="K2618" s="4" t="s">
        <v>212</v>
      </c>
      <c r="L2618" s="4" t="s">
        <v>225</v>
      </c>
      <c r="M2618" s="8">
        <v>6000</v>
      </c>
      <c r="N2618" s="5">
        <v>1.98</v>
      </c>
      <c r="O2618" s="5">
        <v>11880</v>
      </c>
      <c r="P2618">
        <f t="shared" si="161"/>
        <v>1</v>
      </c>
      <c r="Q2618" s="36">
        <f t="shared" si="162"/>
        <v>11880</v>
      </c>
      <c r="R2618">
        <f t="shared" si="163"/>
        <v>2023</v>
      </c>
    </row>
    <row r="2619" spans="1:18" x14ac:dyDescent="0.2">
      <c r="A2619" s="13">
        <v>45672</v>
      </c>
      <c r="B2619" s="13">
        <v>45468</v>
      </c>
      <c r="C2619" s="25" t="s">
        <v>399</v>
      </c>
      <c r="D2619" s="20">
        <v>204</v>
      </c>
      <c r="E2619" s="28">
        <v>11880</v>
      </c>
      <c r="F2619" s="22" t="s">
        <v>309</v>
      </c>
      <c r="G2619" s="14">
        <v>6000</v>
      </c>
      <c r="H2619" s="40">
        <v>44956</v>
      </c>
      <c r="I2619" s="46">
        <f t="shared" si="160"/>
        <v>716</v>
      </c>
      <c r="J2619" s="1" t="s">
        <v>15</v>
      </c>
      <c r="K2619" s="4" t="s">
        <v>212</v>
      </c>
      <c r="L2619" s="4" t="s">
        <v>225</v>
      </c>
      <c r="M2619" s="8">
        <v>6000</v>
      </c>
      <c r="N2619" s="5">
        <v>1.98</v>
      </c>
      <c r="O2619" s="5">
        <v>11880</v>
      </c>
      <c r="P2619">
        <f t="shared" si="161"/>
        <v>1</v>
      </c>
      <c r="Q2619" s="36">
        <f t="shared" si="162"/>
        <v>11880</v>
      </c>
      <c r="R2619">
        <f t="shared" si="163"/>
        <v>2023</v>
      </c>
    </row>
    <row r="2620" spans="1:18" x14ac:dyDescent="0.2">
      <c r="A2620" s="13">
        <v>45190</v>
      </c>
      <c r="B2620" s="13">
        <v>45190</v>
      </c>
      <c r="C2620" s="25" t="s">
        <v>398</v>
      </c>
      <c r="D2620" s="20">
        <v>0</v>
      </c>
      <c r="E2620" s="28">
        <v>46617.120000000003</v>
      </c>
      <c r="F2620" s="22" t="s">
        <v>237</v>
      </c>
      <c r="G2620" s="14">
        <v>432</v>
      </c>
      <c r="H2620" s="40">
        <v>44811</v>
      </c>
      <c r="I2620" s="46">
        <f t="shared" si="160"/>
        <v>379</v>
      </c>
      <c r="J2620" s="1" t="s">
        <v>15</v>
      </c>
      <c r="K2620" s="4" t="s">
        <v>199</v>
      </c>
      <c r="L2620" s="4" t="s">
        <v>225</v>
      </c>
      <c r="M2620" s="8">
        <v>432</v>
      </c>
      <c r="N2620" s="5">
        <v>107.91</v>
      </c>
      <c r="O2620" s="5">
        <v>46617.120000000003</v>
      </c>
      <c r="P2620">
        <f t="shared" si="161"/>
        <v>1</v>
      </c>
      <c r="Q2620" s="36">
        <f t="shared" si="162"/>
        <v>46617.119999999995</v>
      </c>
      <c r="R2620">
        <f t="shared" si="163"/>
        <v>2022</v>
      </c>
    </row>
    <row r="2621" spans="1:18" x14ac:dyDescent="0.2">
      <c r="A2621" s="13">
        <v>45202</v>
      </c>
      <c r="B2621" s="13">
        <v>45202</v>
      </c>
      <c r="C2621" s="25" t="s">
        <v>398</v>
      </c>
      <c r="D2621" s="20">
        <v>0</v>
      </c>
      <c r="E2621" s="28">
        <v>34962.839999999997</v>
      </c>
      <c r="F2621" s="22" t="s">
        <v>237</v>
      </c>
      <c r="G2621" s="14">
        <v>324</v>
      </c>
      <c r="H2621" s="40">
        <v>44827</v>
      </c>
      <c r="I2621" s="46">
        <f t="shared" si="160"/>
        <v>375</v>
      </c>
      <c r="J2621" s="1" t="s">
        <v>15</v>
      </c>
      <c r="K2621" s="4" t="s">
        <v>199</v>
      </c>
      <c r="L2621" s="4" t="s">
        <v>225</v>
      </c>
      <c r="M2621" s="8">
        <v>324</v>
      </c>
      <c r="N2621" s="5">
        <v>107.91</v>
      </c>
      <c r="O2621" s="5">
        <v>34962.839999999997</v>
      </c>
      <c r="P2621">
        <f t="shared" si="161"/>
        <v>1</v>
      </c>
      <c r="Q2621" s="36">
        <f t="shared" si="162"/>
        <v>34962.839999999997</v>
      </c>
      <c r="R2621">
        <f t="shared" si="163"/>
        <v>2022</v>
      </c>
    </row>
    <row r="2622" spans="1:18" x14ac:dyDescent="0.2">
      <c r="A2622" s="13">
        <v>45202</v>
      </c>
      <c r="B2622" s="13">
        <v>45202</v>
      </c>
      <c r="C2622" s="25" t="s">
        <v>398</v>
      </c>
      <c r="D2622" s="20">
        <v>0</v>
      </c>
      <c r="E2622" s="28">
        <v>46617.120000000003</v>
      </c>
      <c r="F2622" s="22" t="s">
        <v>237</v>
      </c>
      <c r="G2622" s="14">
        <v>432</v>
      </c>
      <c r="H2622" s="40">
        <v>44827</v>
      </c>
      <c r="I2622" s="46">
        <f t="shared" si="160"/>
        <v>375</v>
      </c>
      <c r="J2622" s="1" t="s">
        <v>15</v>
      </c>
      <c r="K2622" s="4" t="s">
        <v>199</v>
      </c>
      <c r="L2622" s="4" t="s">
        <v>225</v>
      </c>
      <c r="M2622" s="8">
        <v>432</v>
      </c>
      <c r="N2622" s="5">
        <v>107.91</v>
      </c>
      <c r="O2622" s="5">
        <v>46617.120000000003</v>
      </c>
      <c r="P2622">
        <f t="shared" si="161"/>
        <v>1</v>
      </c>
      <c r="Q2622" s="36">
        <f t="shared" si="162"/>
        <v>46617.119999999995</v>
      </c>
      <c r="R2622">
        <f t="shared" si="163"/>
        <v>2022</v>
      </c>
    </row>
    <row r="2623" spans="1:18" x14ac:dyDescent="0.2">
      <c r="A2623" s="13">
        <v>45225</v>
      </c>
      <c r="B2623" s="13">
        <v>45225</v>
      </c>
      <c r="C2623" s="25" t="s">
        <v>398</v>
      </c>
      <c r="D2623" s="20">
        <v>0</v>
      </c>
      <c r="E2623" s="28">
        <v>11654.28</v>
      </c>
      <c r="F2623" s="22" t="s">
        <v>237</v>
      </c>
      <c r="G2623" s="14">
        <v>108</v>
      </c>
      <c r="H2623" s="40">
        <v>44847</v>
      </c>
      <c r="I2623" s="46">
        <f t="shared" si="160"/>
        <v>378</v>
      </c>
      <c r="J2623" s="1" t="s">
        <v>15</v>
      </c>
      <c r="K2623" s="4" t="s">
        <v>199</v>
      </c>
      <c r="L2623" s="4" t="s">
        <v>225</v>
      </c>
      <c r="M2623" s="8">
        <v>108</v>
      </c>
      <c r="N2623" s="5">
        <v>107.91</v>
      </c>
      <c r="O2623" s="5">
        <v>11654.28</v>
      </c>
      <c r="P2623">
        <f t="shared" si="161"/>
        <v>1</v>
      </c>
      <c r="Q2623" s="36">
        <f t="shared" si="162"/>
        <v>11654.279999999999</v>
      </c>
      <c r="R2623">
        <f t="shared" si="163"/>
        <v>2022</v>
      </c>
    </row>
    <row r="2624" spans="1:18" x14ac:dyDescent="0.2">
      <c r="A2624" s="13">
        <v>45225</v>
      </c>
      <c r="B2624" s="13">
        <v>45225</v>
      </c>
      <c r="C2624" s="25" t="s">
        <v>398</v>
      </c>
      <c r="D2624" s="20">
        <v>0</v>
      </c>
      <c r="E2624" s="28">
        <v>46617.120000000003</v>
      </c>
      <c r="F2624" s="22" t="s">
        <v>237</v>
      </c>
      <c r="G2624" s="14">
        <v>432</v>
      </c>
      <c r="H2624" s="40">
        <v>44848</v>
      </c>
      <c r="I2624" s="46">
        <f t="shared" si="160"/>
        <v>377</v>
      </c>
      <c r="J2624" s="1" t="s">
        <v>15</v>
      </c>
      <c r="K2624" s="4" t="s">
        <v>199</v>
      </c>
      <c r="L2624" s="4" t="s">
        <v>225</v>
      </c>
      <c r="M2624" s="8">
        <v>432</v>
      </c>
      <c r="N2624" s="5">
        <v>107.91</v>
      </c>
      <c r="O2624" s="5">
        <v>46617.120000000003</v>
      </c>
      <c r="P2624">
        <f t="shared" si="161"/>
        <v>1</v>
      </c>
      <c r="Q2624" s="36">
        <f t="shared" si="162"/>
        <v>46617.119999999995</v>
      </c>
      <c r="R2624">
        <f t="shared" si="163"/>
        <v>2022</v>
      </c>
    </row>
    <row r="2625" spans="1:18" x14ac:dyDescent="0.2">
      <c r="A2625" s="13">
        <v>45293</v>
      </c>
      <c r="B2625" s="13">
        <v>45293</v>
      </c>
      <c r="C2625" s="25" t="s">
        <v>398</v>
      </c>
      <c r="D2625" s="20">
        <v>0</v>
      </c>
      <c r="E2625" s="28">
        <v>46617.120000000003</v>
      </c>
      <c r="F2625" s="22" t="s">
        <v>237</v>
      </c>
      <c r="G2625" s="14">
        <v>432</v>
      </c>
      <c r="H2625" s="40">
        <v>44917</v>
      </c>
      <c r="I2625" s="46">
        <f t="shared" si="160"/>
        <v>376</v>
      </c>
      <c r="J2625" s="1" t="s">
        <v>15</v>
      </c>
      <c r="K2625" s="4" t="s">
        <v>199</v>
      </c>
      <c r="L2625" s="4" t="s">
        <v>225</v>
      </c>
      <c r="M2625" s="8">
        <v>432</v>
      </c>
      <c r="N2625" s="5">
        <v>107.91</v>
      </c>
      <c r="O2625" s="5">
        <v>46617.120000000003</v>
      </c>
      <c r="P2625">
        <f t="shared" si="161"/>
        <v>1</v>
      </c>
      <c r="Q2625" s="36">
        <f t="shared" si="162"/>
        <v>46617.119999999995</v>
      </c>
      <c r="R2625">
        <f t="shared" si="163"/>
        <v>2022</v>
      </c>
    </row>
    <row r="2626" spans="1:18" x14ac:dyDescent="0.2">
      <c r="A2626" s="13">
        <v>45293</v>
      </c>
      <c r="B2626" s="13">
        <v>45293</v>
      </c>
      <c r="C2626" s="25" t="s">
        <v>398</v>
      </c>
      <c r="D2626" s="20">
        <v>0</v>
      </c>
      <c r="E2626" s="28">
        <v>34962.839999999997</v>
      </c>
      <c r="F2626" s="22" t="s">
        <v>237</v>
      </c>
      <c r="G2626" s="14">
        <v>324</v>
      </c>
      <c r="H2626" s="40">
        <v>44917</v>
      </c>
      <c r="I2626" s="46">
        <f t="shared" si="160"/>
        <v>376</v>
      </c>
      <c r="J2626" s="1" t="s">
        <v>15</v>
      </c>
      <c r="K2626" s="4" t="s">
        <v>199</v>
      </c>
      <c r="L2626" s="4" t="s">
        <v>225</v>
      </c>
      <c r="M2626" s="8">
        <v>324</v>
      </c>
      <c r="N2626" s="5">
        <v>107.91</v>
      </c>
      <c r="O2626" s="5">
        <v>34962.839999999997</v>
      </c>
      <c r="P2626">
        <f t="shared" si="161"/>
        <v>1</v>
      </c>
      <c r="Q2626" s="36">
        <f t="shared" si="162"/>
        <v>34962.839999999997</v>
      </c>
      <c r="R2626">
        <f t="shared" si="163"/>
        <v>2022</v>
      </c>
    </row>
    <row r="2627" spans="1:18" x14ac:dyDescent="0.2">
      <c r="A2627" s="13">
        <v>45295</v>
      </c>
      <c r="B2627" s="13">
        <v>45295</v>
      </c>
      <c r="C2627" s="25" t="s">
        <v>398</v>
      </c>
      <c r="D2627" s="20">
        <v>0</v>
      </c>
      <c r="E2627" s="28">
        <v>34962.839999999997</v>
      </c>
      <c r="F2627" s="22" t="s">
        <v>237</v>
      </c>
      <c r="G2627" s="14">
        <v>324</v>
      </c>
      <c r="H2627" s="40">
        <v>44932</v>
      </c>
      <c r="I2627" s="46">
        <f t="shared" ref="I2627:I2690" si="164">IFERROR(A2627-H2627,"")*1</f>
        <v>363</v>
      </c>
      <c r="J2627" s="1" t="s">
        <v>15</v>
      </c>
      <c r="K2627" s="4" t="s">
        <v>199</v>
      </c>
      <c r="L2627" s="4" t="s">
        <v>225</v>
      </c>
      <c r="M2627" s="8">
        <v>324</v>
      </c>
      <c r="N2627" s="5">
        <v>107.91</v>
      </c>
      <c r="O2627" s="5">
        <v>34962.839999999997</v>
      </c>
      <c r="P2627">
        <f t="shared" ref="P2627:P2690" si="165">IF(M2627=G2627,1,0)</f>
        <v>1</v>
      </c>
      <c r="Q2627" s="36">
        <f t="shared" ref="Q2627:Q2690" si="166">N2627*G2627</f>
        <v>34962.839999999997</v>
      </c>
      <c r="R2627">
        <f t="shared" ref="R2627:R2690" si="167">YEAR(H2627)</f>
        <v>2023</v>
      </c>
    </row>
    <row r="2628" spans="1:18" x14ac:dyDescent="0.2">
      <c r="A2628" s="13">
        <v>45295</v>
      </c>
      <c r="B2628" s="13">
        <v>45295</v>
      </c>
      <c r="C2628" s="25" t="s">
        <v>398</v>
      </c>
      <c r="D2628" s="20">
        <v>0</v>
      </c>
      <c r="E2628" s="28">
        <v>46617.120000000003</v>
      </c>
      <c r="F2628" s="22" t="s">
        <v>237</v>
      </c>
      <c r="G2628" s="14">
        <v>432</v>
      </c>
      <c r="H2628" s="40">
        <v>44932</v>
      </c>
      <c r="I2628" s="46">
        <f t="shared" si="164"/>
        <v>363</v>
      </c>
      <c r="J2628" s="1" t="s">
        <v>15</v>
      </c>
      <c r="K2628" s="4" t="s">
        <v>199</v>
      </c>
      <c r="L2628" s="4" t="s">
        <v>225</v>
      </c>
      <c r="M2628" s="8">
        <v>432</v>
      </c>
      <c r="N2628" s="5">
        <v>107.91</v>
      </c>
      <c r="O2628" s="5">
        <v>46617.120000000003</v>
      </c>
      <c r="P2628">
        <f t="shared" si="165"/>
        <v>1</v>
      </c>
      <c r="Q2628" s="36">
        <f t="shared" si="166"/>
        <v>46617.119999999995</v>
      </c>
      <c r="R2628">
        <f t="shared" si="167"/>
        <v>2023</v>
      </c>
    </row>
    <row r="2629" spans="1:18" x14ac:dyDescent="0.2">
      <c r="A2629" s="13">
        <v>45302</v>
      </c>
      <c r="B2629" s="13">
        <v>45302</v>
      </c>
      <c r="C2629" s="25" t="s">
        <v>398</v>
      </c>
      <c r="D2629" s="20">
        <v>0</v>
      </c>
      <c r="E2629" s="28">
        <v>34962.839999999997</v>
      </c>
      <c r="F2629" s="22" t="s">
        <v>237</v>
      </c>
      <c r="G2629" s="14">
        <v>324</v>
      </c>
      <c r="H2629" s="40">
        <v>44932</v>
      </c>
      <c r="I2629" s="46">
        <f t="shared" si="164"/>
        <v>370</v>
      </c>
      <c r="J2629" s="1" t="s">
        <v>15</v>
      </c>
      <c r="K2629" s="4" t="s">
        <v>199</v>
      </c>
      <c r="L2629" s="4" t="s">
        <v>225</v>
      </c>
      <c r="M2629" s="8">
        <v>324</v>
      </c>
      <c r="N2629" s="5">
        <v>107.91</v>
      </c>
      <c r="O2629" s="5">
        <v>34962.839999999997</v>
      </c>
      <c r="P2629">
        <f t="shared" si="165"/>
        <v>1</v>
      </c>
      <c r="Q2629" s="36">
        <f t="shared" si="166"/>
        <v>34962.839999999997</v>
      </c>
      <c r="R2629">
        <f t="shared" si="167"/>
        <v>2023</v>
      </c>
    </row>
    <row r="2630" spans="1:18" x14ac:dyDescent="0.2">
      <c r="A2630" s="13">
        <v>45302</v>
      </c>
      <c r="B2630" s="13">
        <v>45302</v>
      </c>
      <c r="C2630" s="25" t="s">
        <v>398</v>
      </c>
      <c r="D2630" s="20">
        <v>0</v>
      </c>
      <c r="E2630" s="28">
        <v>46617.120000000003</v>
      </c>
      <c r="F2630" s="22" t="s">
        <v>237</v>
      </c>
      <c r="G2630" s="14">
        <v>432</v>
      </c>
      <c r="H2630" s="40">
        <v>44932</v>
      </c>
      <c r="I2630" s="46">
        <f t="shared" si="164"/>
        <v>370</v>
      </c>
      <c r="J2630" s="1" t="s">
        <v>15</v>
      </c>
      <c r="K2630" s="4" t="s">
        <v>199</v>
      </c>
      <c r="L2630" s="4" t="s">
        <v>225</v>
      </c>
      <c r="M2630" s="8">
        <v>432</v>
      </c>
      <c r="N2630" s="5">
        <v>107.91</v>
      </c>
      <c r="O2630" s="5">
        <v>46617.120000000003</v>
      </c>
      <c r="P2630">
        <f t="shared" si="165"/>
        <v>1</v>
      </c>
      <c r="Q2630" s="36">
        <f t="shared" si="166"/>
        <v>46617.119999999995</v>
      </c>
      <c r="R2630">
        <f t="shared" si="167"/>
        <v>2023</v>
      </c>
    </row>
    <row r="2631" spans="1:18" x14ac:dyDescent="0.2">
      <c r="A2631" s="13">
        <v>45309</v>
      </c>
      <c r="B2631" s="13">
        <v>45309</v>
      </c>
      <c r="C2631" s="25" t="s">
        <v>398</v>
      </c>
      <c r="D2631" s="20">
        <v>0</v>
      </c>
      <c r="E2631" s="28">
        <v>34962.839999999997</v>
      </c>
      <c r="F2631" s="22" t="s">
        <v>237</v>
      </c>
      <c r="G2631" s="14">
        <v>324</v>
      </c>
      <c r="H2631" s="40">
        <v>44932</v>
      </c>
      <c r="I2631" s="46">
        <f t="shared" si="164"/>
        <v>377</v>
      </c>
      <c r="J2631" s="1" t="s">
        <v>15</v>
      </c>
      <c r="K2631" s="4" t="s">
        <v>199</v>
      </c>
      <c r="L2631" s="4" t="s">
        <v>225</v>
      </c>
      <c r="M2631" s="8">
        <v>324</v>
      </c>
      <c r="N2631" s="5">
        <v>107.91</v>
      </c>
      <c r="O2631" s="5">
        <v>34962.839999999997</v>
      </c>
      <c r="P2631">
        <f t="shared" si="165"/>
        <v>1</v>
      </c>
      <c r="Q2631" s="36">
        <f t="shared" si="166"/>
        <v>34962.839999999997</v>
      </c>
      <c r="R2631">
        <f t="shared" si="167"/>
        <v>2023</v>
      </c>
    </row>
    <row r="2632" spans="1:18" x14ac:dyDescent="0.2">
      <c r="A2632" s="13">
        <v>45309</v>
      </c>
      <c r="B2632" s="13">
        <v>45309</v>
      </c>
      <c r="C2632" s="25" t="s">
        <v>398</v>
      </c>
      <c r="D2632" s="20">
        <v>0</v>
      </c>
      <c r="E2632" s="28">
        <v>46617.120000000003</v>
      </c>
      <c r="F2632" s="22" t="s">
        <v>237</v>
      </c>
      <c r="G2632" s="14">
        <v>432</v>
      </c>
      <c r="H2632" s="40">
        <v>44932</v>
      </c>
      <c r="I2632" s="46">
        <f t="shared" si="164"/>
        <v>377</v>
      </c>
      <c r="J2632" s="1" t="s">
        <v>15</v>
      </c>
      <c r="K2632" s="4" t="s">
        <v>199</v>
      </c>
      <c r="L2632" s="4" t="s">
        <v>225</v>
      </c>
      <c r="M2632" s="8">
        <v>432</v>
      </c>
      <c r="N2632" s="5">
        <v>107.91</v>
      </c>
      <c r="O2632" s="5">
        <v>46617.120000000003</v>
      </c>
      <c r="P2632">
        <f t="shared" si="165"/>
        <v>1</v>
      </c>
      <c r="Q2632" s="36">
        <f t="shared" si="166"/>
        <v>46617.119999999995</v>
      </c>
      <c r="R2632">
        <f t="shared" si="167"/>
        <v>2023</v>
      </c>
    </row>
    <row r="2633" spans="1:18" x14ac:dyDescent="0.2">
      <c r="A2633" s="13">
        <v>45316</v>
      </c>
      <c r="B2633" s="13">
        <v>45316</v>
      </c>
      <c r="C2633" s="25" t="s">
        <v>398</v>
      </c>
      <c r="D2633" s="20">
        <v>0</v>
      </c>
      <c r="E2633" s="28">
        <v>46617.120000000003</v>
      </c>
      <c r="F2633" s="22" t="s">
        <v>237</v>
      </c>
      <c r="G2633" s="14">
        <v>432</v>
      </c>
      <c r="H2633" s="40">
        <v>44939</v>
      </c>
      <c r="I2633" s="46">
        <f t="shared" si="164"/>
        <v>377</v>
      </c>
      <c r="J2633" s="1" t="s">
        <v>15</v>
      </c>
      <c r="K2633" s="4" t="s">
        <v>199</v>
      </c>
      <c r="L2633" s="4" t="s">
        <v>225</v>
      </c>
      <c r="M2633" s="8">
        <v>432</v>
      </c>
      <c r="N2633" s="5">
        <v>107.91</v>
      </c>
      <c r="O2633" s="5">
        <v>46617.120000000003</v>
      </c>
      <c r="P2633">
        <f t="shared" si="165"/>
        <v>1</v>
      </c>
      <c r="Q2633" s="36">
        <f t="shared" si="166"/>
        <v>46617.119999999995</v>
      </c>
      <c r="R2633">
        <f t="shared" si="167"/>
        <v>2023</v>
      </c>
    </row>
    <row r="2634" spans="1:18" x14ac:dyDescent="0.2">
      <c r="A2634" s="13">
        <v>45330</v>
      </c>
      <c r="B2634" s="13">
        <v>45330</v>
      </c>
      <c r="C2634" s="25" t="s">
        <v>398</v>
      </c>
      <c r="D2634" s="20">
        <v>0</v>
      </c>
      <c r="E2634" s="28">
        <v>46617.120000000003</v>
      </c>
      <c r="F2634" s="22" t="s">
        <v>237</v>
      </c>
      <c r="G2634" s="14">
        <v>432</v>
      </c>
      <c r="H2634" s="40">
        <v>44953</v>
      </c>
      <c r="I2634" s="46">
        <f t="shared" si="164"/>
        <v>377</v>
      </c>
      <c r="J2634" s="1" t="s">
        <v>15</v>
      </c>
      <c r="K2634" s="4" t="s">
        <v>200</v>
      </c>
      <c r="L2634" s="4" t="s">
        <v>225</v>
      </c>
      <c r="M2634" s="8">
        <v>432</v>
      </c>
      <c r="N2634" s="5">
        <v>107.91</v>
      </c>
      <c r="O2634" s="5">
        <v>46617.120000000003</v>
      </c>
      <c r="P2634">
        <f t="shared" si="165"/>
        <v>1</v>
      </c>
      <c r="Q2634" s="36">
        <f t="shared" si="166"/>
        <v>46617.119999999995</v>
      </c>
      <c r="R2634">
        <f t="shared" si="167"/>
        <v>2023</v>
      </c>
    </row>
    <row r="2635" spans="1:18" x14ac:dyDescent="0.2">
      <c r="A2635" s="13">
        <v>45330</v>
      </c>
      <c r="B2635" s="13">
        <v>45330</v>
      </c>
      <c r="C2635" s="25" t="s">
        <v>398</v>
      </c>
      <c r="D2635" s="20">
        <v>0</v>
      </c>
      <c r="E2635" s="28">
        <v>34962.839999999997</v>
      </c>
      <c r="F2635" s="22" t="s">
        <v>237</v>
      </c>
      <c r="G2635" s="14">
        <v>324</v>
      </c>
      <c r="H2635" s="40">
        <v>44953</v>
      </c>
      <c r="I2635" s="46">
        <f t="shared" si="164"/>
        <v>377</v>
      </c>
      <c r="J2635" s="1" t="s">
        <v>15</v>
      </c>
      <c r="K2635" s="4" t="s">
        <v>200</v>
      </c>
      <c r="L2635" s="4" t="s">
        <v>225</v>
      </c>
      <c r="M2635" s="8">
        <v>324</v>
      </c>
      <c r="N2635" s="5">
        <v>107.91</v>
      </c>
      <c r="O2635" s="5">
        <v>34962.839999999997</v>
      </c>
      <c r="P2635">
        <f t="shared" si="165"/>
        <v>1</v>
      </c>
      <c r="Q2635" s="36">
        <f t="shared" si="166"/>
        <v>34962.839999999997</v>
      </c>
      <c r="R2635">
        <f t="shared" si="167"/>
        <v>2023</v>
      </c>
    </row>
    <row r="2636" spans="1:18" x14ac:dyDescent="0.2">
      <c r="A2636" s="13">
        <v>45335</v>
      </c>
      <c r="B2636" s="13">
        <v>45335</v>
      </c>
      <c r="C2636" s="25" t="s">
        <v>398</v>
      </c>
      <c r="D2636" s="20">
        <v>0</v>
      </c>
      <c r="E2636" s="28">
        <v>46617.120000000003</v>
      </c>
      <c r="F2636" s="22" t="s">
        <v>237</v>
      </c>
      <c r="G2636" s="14">
        <v>432</v>
      </c>
      <c r="H2636" s="40">
        <v>44960</v>
      </c>
      <c r="I2636" s="46">
        <f t="shared" si="164"/>
        <v>375</v>
      </c>
      <c r="J2636" s="1" t="s">
        <v>15</v>
      </c>
      <c r="K2636" s="4" t="s">
        <v>200</v>
      </c>
      <c r="L2636" s="4" t="s">
        <v>225</v>
      </c>
      <c r="M2636" s="8">
        <v>432</v>
      </c>
      <c r="N2636" s="5">
        <v>107.91</v>
      </c>
      <c r="O2636" s="5">
        <v>46617.120000000003</v>
      </c>
      <c r="P2636">
        <f t="shared" si="165"/>
        <v>1</v>
      </c>
      <c r="Q2636" s="36">
        <f t="shared" si="166"/>
        <v>46617.119999999995</v>
      </c>
      <c r="R2636">
        <f t="shared" si="167"/>
        <v>2023</v>
      </c>
    </row>
    <row r="2637" spans="1:18" x14ac:dyDescent="0.2">
      <c r="A2637" s="13">
        <v>45349</v>
      </c>
      <c r="B2637" s="13">
        <v>45349</v>
      </c>
      <c r="C2637" s="25" t="s">
        <v>398</v>
      </c>
      <c r="D2637" s="20">
        <v>0</v>
      </c>
      <c r="E2637" s="28">
        <v>34962.839999999997</v>
      </c>
      <c r="F2637" s="22" t="s">
        <v>237</v>
      </c>
      <c r="G2637" s="14">
        <v>324</v>
      </c>
      <c r="H2637" s="40">
        <v>44973</v>
      </c>
      <c r="I2637" s="46">
        <f t="shared" si="164"/>
        <v>376</v>
      </c>
      <c r="J2637" s="1" t="s">
        <v>15</v>
      </c>
      <c r="K2637" s="4" t="s">
        <v>200</v>
      </c>
      <c r="L2637" s="4" t="s">
        <v>225</v>
      </c>
      <c r="M2637" s="8">
        <v>324</v>
      </c>
      <c r="N2637" s="5">
        <v>107.91</v>
      </c>
      <c r="O2637" s="5">
        <v>34962.839999999997</v>
      </c>
      <c r="P2637">
        <f t="shared" si="165"/>
        <v>1</v>
      </c>
      <c r="Q2637" s="36">
        <f t="shared" si="166"/>
        <v>34962.839999999997</v>
      </c>
      <c r="R2637">
        <f t="shared" si="167"/>
        <v>2023</v>
      </c>
    </row>
    <row r="2638" spans="1:18" x14ac:dyDescent="0.2">
      <c r="A2638" s="13">
        <v>45393</v>
      </c>
      <c r="B2638" s="13">
        <v>45393</v>
      </c>
      <c r="C2638" s="25" t="s">
        <v>398</v>
      </c>
      <c r="D2638" s="20">
        <v>0</v>
      </c>
      <c r="E2638" s="28">
        <v>23308.560000000001</v>
      </c>
      <c r="F2638" s="22" t="s">
        <v>237</v>
      </c>
      <c r="G2638" s="14">
        <v>216</v>
      </c>
      <c r="H2638" s="40">
        <v>45015</v>
      </c>
      <c r="I2638" s="46">
        <f t="shared" si="164"/>
        <v>378</v>
      </c>
      <c r="J2638" s="1" t="s">
        <v>15</v>
      </c>
      <c r="K2638" s="4" t="s">
        <v>200</v>
      </c>
      <c r="L2638" s="4" t="s">
        <v>225</v>
      </c>
      <c r="M2638" s="8">
        <v>216</v>
      </c>
      <c r="N2638" s="5">
        <v>107.91</v>
      </c>
      <c r="O2638" s="5">
        <v>23308.560000000001</v>
      </c>
      <c r="P2638">
        <f t="shared" si="165"/>
        <v>1</v>
      </c>
      <c r="Q2638" s="36">
        <f t="shared" si="166"/>
        <v>23308.559999999998</v>
      </c>
      <c r="R2638">
        <f t="shared" si="167"/>
        <v>2023</v>
      </c>
    </row>
    <row r="2639" spans="1:18" x14ac:dyDescent="0.2">
      <c r="A2639" s="13">
        <v>45393</v>
      </c>
      <c r="B2639" s="13">
        <v>45393</v>
      </c>
      <c r="C2639" s="25" t="s">
        <v>398</v>
      </c>
      <c r="D2639" s="20">
        <v>0</v>
      </c>
      <c r="E2639" s="28">
        <v>46617.120000000003</v>
      </c>
      <c r="F2639" s="22" t="s">
        <v>237</v>
      </c>
      <c r="G2639" s="14">
        <v>432</v>
      </c>
      <c r="H2639" s="40">
        <v>45016</v>
      </c>
      <c r="I2639" s="46">
        <f t="shared" si="164"/>
        <v>377</v>
      </c>
      <c r="J2639" s="1" t="s">
        <v>15</v>
      </c>
      <c r="K2639" s="4" t="s">
        <v>200</v>
      </c>
      <c r="L2639" s="4" t="s">
        <v>225</v>
      </c>
      <c r="M2639" s="8">
        <v>432</v>
      </c>
      <c r="N2639" s="5">
        <v>107.91</v>
      </c>
      <c r="O2639" s="5">
        <v>46617.120000000003</v>
      </c>
      <c r="P2639">
        <f t="shared" si="165"/>
        <v>1</v>
      </c>
      <c r="Q2639" s="36">
        <f t="shared" si="166"/>
        <v>46617.119999999995</v>
      </c>
      <c r="R2639">
        <f t="shared" si="167"/>
        <v>2023</v>
      </c>
    </row>
    <row r="2640" spans="1:18" x14ac:dyDescent="0.2">
      <c r="A2640" s="13">
        <v>45400</v>
      </c>
      <c r="B2640" s="13">
        <v>45400</v>
      </c>
      <c r="C2640" s="25" t="s">
        <v>398</v>
      </c>
      <c r="D2640" s="20">
        <v>0</v>
      </c>
      <c r="E2640" s="28">
        <v>11654.28</v>
      </c>
      <c r="F2640" s="22" t="s">
        <v>237</v>
      </c>
      <c r="G2640" s="14">
        <v>108</v>
      </c>
      <c r="H2640" s="40">
        <v>45020</v>
      </c>
      <c r="I2640" s="46">
        <f t="shared" si="164"/>
        <v>380</v>
      </c>
      <c r="J2640" s="1" t="s">
        <v>15</v>
      </c>
      <c r="K2640" s="4" t="s">
        <v>200</v>
      </c>
      <c r="L2640" s="4" t="s">
        <v>225</v>
      </c>
      <c r="M2640" s="8">
        <v>108</v>
      </c>
      <c r="N2640" s="5">
        <v>107.91</v>
      </c>
      <c r="O2640" s="5">
        <v>11654.28</v>
      </c>
      <c r="P2640">
        <f t="shared" si="165"/>
        <v>1</v>
      </c>
      <c r="Q2640" s="36">
        <f t="shared" si="166"/>
        <v>11654.279999999999</v>
      </c>
      <c r="R2640">
        <f t="shared" si="167"/>
        <v>2023</v>
      </c>
    </row>
    <row r="2641" spans="1:18" x14ac:dyDescent="0.2">
      <c r="A2641" s="13">
        <v>45400</v>
      </c>
      <c r="B2641" s="13">
        <v>45400</v>
      </c>
      <c r="C2641" s="25" t="s">
        <v>398</v>
      </c>
      <c r="D2641" s="20">
        <v>0</v>
      </c>
      <c r="E2641" s="28">
        <v>46617.120000000003</v>
      </c>
      <c r="F2641" s="22" t="s">
        <v>237</v>
      </c>
      <c r="G2641" s="14">
        <v>432</v>
      </c>
      <c r="H2641" s="40">
        <v>45022</v>
      </c>
      <c r="I2641" s="46">
        <f t="shared" si="164"/>
        <v>378</v>
      </c>
      <c r="J2641" s="1" t="s">
        <v>15</v>
      </c>
      <c r="K2641" s="4" t="s">
        <v>200</v>
      </c>
      <c r="L2641" s="4" t="s">
        <v>225</v>
      </c>
      <c r="M2641" s="8">
        <v>432</v>
      </c>
      <c r="N2641" s="5">
        <v>107.91</v>
      </c>
      <c r="O2641" s="5">
        <v>46617.120000000003</v>
      </c>
      <c r="P2641">
        <f t="shared" si="165"/>
        <v>1</v>
      </c>
      <c r="Q2641" s="36">
        <f t="shared" si="166"/>
        <v>46617.119999999995</v>
      </c>
      <c r="R2641">
        <f t="shared" si="167"/>
        <v>2023</v>
      </c>
    </row>
    <row r="2642" spans="1:18" x14ac:dyDescent="0.2">
      <c r="A2642" s="13">
        <v>45407</v>
      </c>
      <c r="B2642" s="13">
        <v>45407</v>
      </c>
      <c r="C2642" s="25" t="s">
        <v>398</v>
      </c>
      <c r="D2642" s="20">
        <v>0</v>
      </c>
      <c r="E2642" s="28">
        <v>46617.120000000003</v>
      </c>
      <c r="F2642" s="22" t="s">
        <v>237</v>
      </c>
      <c r="G2642" s="14">
        <v>432</v>
      </c>
      <c r="H2642" s="40">
        <v>45028</v>
      </c>
      <c r="I2642" s="46">
        <f t="shared" si="164"/>
        <v>379</v>
      </c>
      <c r="J2642" s="1" t="s">
        <v>15</v>
      </c>
      <c r="K2642" s="4" t="s">
        <v>200</v>
      </c>
      <c r="L2642" s="4" t="s">
        <v>225</v>
      </c>
      <c r="M2642" s="8">
        <v>432</v>
      </c>
      <c r="N2642" s="5">
        <v>107.91</v>
      </c>
      <c r="O2642" s="5">
        <v>46617.120000000003</v>
      </c>
      <c r="P2642">
        <f t="shared" si="165"/>
        <v>1</v>
      </c>
      <c r="Q2642" s="36">
        <f t="shared" si="166"/>
        <v>46617.119999999995</v>
      </c>
      <c r="R2642">
        <f t="shared" si="167"/>
        <v>2023</v>
      </c>
    </row>
    <row r="2643" spans="1:18" x14ac:dyDescent="0.2">
      <c r="A2643" s="13">
        <v>45407</v>
      </c>
      <c r="B2643" s="13">
        <v>45407</v>
      </c>
      <c r="C2643" s="25" t="s">
        <v>398</v>
      </c>
      <c r="D2643" s="20">
        <v>0</v>
      </c>
      <c r="E2643" s="28">
        <v>11654.28</v>
      </c>
      <c r="F2643" s="22" t="s">
        <v>237</v>
      </c>
      <c r="G2643" s="14">
        <v>108</v>
      </c>
      <c r="H2643" s="40">
        <v>45033</v>
      </c>
      <c r="I2643" s="46">
        <f t="shared" si="164"/>
        <v>374</v>
      </c>
      <c r="J2643" s="1" t="s">
        <v>15</v>
      </c>
      <c r="K2643" s="4" t="s">
        <v>200</v>
      </c>
      <c r="L2643" s="4" t="s">
        <v>225</v>
      </c>
      <c r="M2643" s="8">
        <v>108</v>
      </c>
      <c r="N2643" s="5">
        <v>107.91</v>
      </c>
      <c r="O2643" s="5">
        <v>11654.28</v>
      </c>
      <c r="P2643">
        <f t="shared" si="165"/>
        <v>1</v>
      </c>
      <c r="Q2643" s="36">
        <f t="shared" si="166"/>
        <v>11654.279999999999</v>
      </c>
      <c r="R2643">
        <f t="shared" si="167"/>
        <v>2023</v>
      </c>
    </row>
    <row r="2644" spans="1:18" x14ac:dyDescent="0.2">
      <c r="A2644" s="13">
        <v>45407</v>
      </c>
      <c r="B2644" s="13">
        <v>45407</v>
      </c>
      <c r="C2644" s="25" t="s">
        <v>398</v>
      </c>
      <c r="D2644" s="20">
        <v>0</v>
      </c>
      <c r="E2644" s="28">
        <v>46617.120000000003</v>
      </c>
      <c r="F2644" s="22" t="s">
        <v>237</v>
      </c>
      <c r="G2644" s="14">
        <v>432</v>
      </c>
      <c r="H2644" s="40">
        <v>45034</v>
      </c>
      <c r="I2644" s="46">
        <f t="shared" si="164"/>
        <v>373</v>
      </c>
      <c r="J2644" s="1" t="s">
        <v>15</v>
      </c>
      <c r="K2644" s="4" t="s">
        <v>200</v>
      </c>
      <c r="L2644" s="4" t="s">
        <v>225</v>
      </c>
      <c r="M2644" s="8">
        <v>432</v>
      </c>
      <c r="N2644" s="5">
        <v>107.91</v>
      </c>
      <c r="O2644" s="5">
        <v>46617.120000000003</v>
      </c>
      <c r="P2644">
        <f t="shared" si="165"/>
        <v>1</v>
      </c>
      <c r="Q2644" s="36">
        <f t="shared" si="166"/>
        <v>46617.119999999995</v>
      </c>
      <c r="R2644">
        <f t="shared" si="167"/>
        <v>2023</v>
      </c>
    </row>
    <row r="2645" spans="1:18" x14ac:dyDescent="0.2">
      <c r="A2645" s="13">
        <v>45414</v>
      </c>
      <c r="B2645" s="13">
        <v>45414</v>
      </c>
      <c r="C2645" s="25" t="s">
        <v>398</v>
      </c>
      <c r="D2645" s="20">
        <v>0</v>
      </c>
      <c r="E2645" s="28">
        <v>34962.839999999997</v>
      </c>
      <c r="F2645" s="22" t="s">
        <v>237</v>
      </c>
      <c r="G2645" s="14">
        <v>324</v>
      </c>
      <c r="H2645" s="40">
        <v>45034</v>
      </c>
      <c r="I2645" s="46">
        <f t="shared" si="164"/>
        <v>380</v>
      </c>
      <c r="J2645" s="1" t="s">
        <v>15</v>
      </c>
      <c r="K2645" s="4" t="s">
        <v>200</v>
      </c>
      <c r="L2645" s="4" t="s">
        <v>225</v>
      </c>
      <c r="M2645" s="8">
        <v>324</v>
      </c>
      <c r="N2645" s="5">
        <v>107.91</v>
      </c>
      <c r="O2645" s="5">
        <v>34962.839999999997</v>
      </c>
      <c r="P2645">
        <f t="shared" si="165"/>
        <v>1</v>
      </c>
      <c r="Q2645" s="36">
        <f t="shared" si="166"/>
        <v>34962.839999999997</v>
      </c>
      <c r="R2645">
        <f t="shared" si="167"/>
        <v>2023</v>
      </c>
    </row>
    <row r="2646" spans="1:18" x14ac:dyDescent="0.2">
      <c r="A2646" s="13">
        <v>45414</v>
      </c>
      <c r="B2646" s="13">
        <v>45414</v>
      </c>
      <c r="C2646" s="25" t="s">
        <v>398</v>
      </c>
      <c r="D2646" s="20">
        <v>0</v>
      </c>
      <c r="E2646" s="28">
        <v>46617.120000000003</v>
      </c>
      <c r="F2646" s="22" t="s">
        <v>237</v>
      </c>
      <c r="G2646" s="14">
        <v>432</v>
      </c>
      <c r="H2646" s="40">
        <v>45034</v>
      </c>
      <c r="I2646" s="46">
        <f t="shared" si="164"/>
        <v>380</v>
      </c>
      <c r="J2646" s="1" t="s">
        <v>15</v>
      </c>
      <c r="K2646" s="4" t="s">
        <v>200</v>
      </c>
      <c r="L2646" s="4" t="s">
        <v>225</v>
      </c>
      <c r="M2646" s="8">
        <v>432</v>
      </c>
      <c r="N2646" s="5">
        <v>107.91</v>
      </c>
      <c r="O2646" s="5">
        <v>46617.120000000003</v>
      </c>
      <c r="P2646">
        <f t="shared" si="165"/>
        <v>1</v>
      </c>
      <c r="Q2646" s="36">
        <f t="shared" si="166"/>
        <v>46617.119999999995</v>
      </c>
      <c r="R2646">
        <f t="shared" si="167"/>
        <v>2023</v>
      </c>
    </row>
    <row r="2647" spans="1:18" x14ac:dyDescent="0.2">
      <c r="A2647" s="13">
        <v>45419</v>
      </c>
      <c r="B2647" s="13">
        <v>45419</v>
      </c>
      <c r="C2647" s="25" t="s">
        <v>398</v>
      </c>
      <c r="D2647" s="20">
        <v>0</v>
      </c>
      <c r="E2647" s="28">
        <v>46617.120000000003</v>
      </c>
      <c r="F2647" s="22" t="s">
        <v>237</v>
      </c>
      <c r="G2647" s="14">
        <v>432</v>
      </c>
      <c r="H2647" s="40">
        <v>45042</v>
      </c>
      <c r="I2647" s="46">
        <f t="shared" si="164"/>
        <v>377</v>
      </c>
      <c r="J2647" s="1" t="s">
        <v>15</v>
      </c>
      <c r="K2647" s="4" t="s">
        <v>200</v>
      </c>
      <c r="L2647" s="4" t="s">
        <v>225</v>
      </c>
      <c r="M2647" s="8">
        <v>432</v>
      </c>
      <c r="N2647" s="5">
        <v>107.91</v>
      </c>
      <c r="O2647" s="5">
        <v>46617.120000000003</v>
      </c>
      <c r="P2647">
        <f t="shared" si="165"/>
        <v>1</v>
      </c>
      <c r="Q2647" s="36">
        <f t="shared" si="166"/>
        <v>46617.119999999995</v>
      </c>
      <c r="R2647">
        <f t="shared" si="167"/>
        <v>2023</v>
      </c>
    </row>
    <row r="2648" spans="1:18" x14ac:dyDescent="0.2">
      <c r="A2648" s="13">
        <v>45195</v>
      </c>
      <c r="B2648" s="13">
        <v>45195</v>
      </c>
      <c r="C2648" s="25" t="s">
        <v>398</v>
      </c>
      <c r="D2648" s="20">
        <v>0</v>
      </c>
      <c r="E2648" s="28">
        <v>3880</v>
      </c>
      <c r="F2648" s="22" t="s">
        <v>238</v>
      </c>
      <c r="G2648" s="14">
        <v>2000</v>
      </c>
      <c r="H2648" s="40">
        <v>44818</v>
      </c>
      <c r="I2648" s="46">
        <f t="shared" si="164"/>
        <v>377</v>
      </c>
      <c r="J2648" s="1" t="s">
        <v>15</v>
      </c>
      <c r="K2648" s="4" t="s">
        <v>199</v>
      </c>
      <c r="L2648" s="4" t="s">
        <v>225</v>
      </c>
      <c r="M2648" s="8">
        <v>2000</v>
      </c>
      <c r="N2648" s="5">
        <v>1.94</v>
      </c>
      <c r="O2648" s="5">
        <v>3880</v>
      </c>
      <c r="P2648">
        <f t="shared" si="165"/>
        <v>1</v>
      </c>
      <c r="Q2648" s="36">
        <f t="shared" si="166"/>
        <v>3880</v>
      </c>
      <c r="R2648">
        <f t="shared" si="167"/>
        <v>2022</v>
      </c>
    </row>
    <row r="2649" spans="1:18" x14ac:dyDescent="0.2">
      <c r="A2649" s="13">
        <v>45202</v>
      </c>
      <c r="B2649" s="13">
        <v>45202</v>
      </c>
      <c r="C2649" s="25" t="s">
        <v>398</v>
      </c>
      <c r="D2649" s="20">
        <v>0</v>
      </c>
      <c r="E2649" s="28">
        <v>54085.2</v>
      </c>
      <c r="F2649" s="22" t="s">
        <v>240</v>
      </c>
      <c r="G2649" s="14">
        <v>120</v>
      </c>
      <c r="H2649" s="40">
        <v>44805</v>
      </c>
      <c r="I2649" s="46">
        <f t="shared" si="164"/>
        <v>397</v>
      </c>
      <c r="J2649" s="1" t="s">
        <v>15</v>
      </c>
      <c r="K2649" s="4" t="s">
        <v>199</v>
      </c>
      <c r="L2649" s="4" t="s">
        <v>225</v>
      </c>
      <c r="M2649" s="8">
        <v>120</v>
      </c>
      <c r="N2649" s="5">
        <v>450.71</v>
      </c>
      <c r="O2649" s="5">
        <v>54085.2</v>
      </c>
      <c r="P2649">
        <f t="shared" si="165"/>
        <v>1</v>
      </c>
      <c r="Q2649" s="36">
        <f t="shared" si="166"/>
        <v>54085.2</v>
      </c>
      <c r="R2649">
        <f t="shared" si="167"/>
        <v>2022</v>
      </c>
    </row>
    <row r="2650" spans="1:18" x14ac:dyDescent="0.2">
      <c r="A2650" s="13">
        <v>45216</v>
      </c>
      <c r="B2650" s="13">
        <v>45216</v>
      </c>
      <c r="C2650" s="25" t="s">
        <v>398</v>
      </c>
      <c r="D2650" s="20">
        <v>0</v>
      </c>
      <c r="E2650" s="28">
        <v>54085.2</v>
      </c>
      <c r="F2650" s="22" t="s">
        <v>240</v>
      </c>
      <c r="G2650" s="14">
        <v>120</v>
      </c>
      <c r="H2650" s="40">
        <v>44812</v>
      </c>
      <c r="I2650" s="46">
        <f t="shared" si="164"/>
        <v>404</v>
      </c>
      <c r="J2650" s="1" t="s">
        <v>15</v>
      </c>
      <c r="K2650" s="4" t="s">
        <v>199</v>
      </c>
      <c r="L2650" s="4" t="s">
        <v>225</v>
      </c>
      <c r="M2650" s="8">
        <v>120</v>
      </c>
      <c r="N2650" s="5">
        <v>450.71</v>
      </c>
      <c r="O2650" s="5">
        <v>54085.2</v>
      </c>
      <c r="P2650">
        <f t="shared" si="165"/>
        <v>1</v>
      </c>
      <c r="Q2650" s="36">
        <f t="shared" si="166"/>
        <v>54085.2</v>
      </c>
      <c r="R2650">
        <f t="shared" si="167"/>
        <v>2022</v>
      </c>
    </row>
    <row r="2651" spans="1:18" x14ac:dyDescent="0.2">
      <c r="A2651" s="13">
        <v>45223</v>
      </c>
      <c r="B2651" s="13">
        <v>45223</v>
      </c>
      <c r="C2651" s="25" t="s">
        <v>398</v>
      </c>
      <c r="D2651" s="20">
        <v>0</v>
      </c>
      <c r="E2651" s="28">
        <v>54085.2</v>
      </c>
      <c r="F2651" s="22" t="s">
        <v>240</v>
      </c>
      <c r="G2651" s="14">
        <v>120</v>
      </c>
      <c r="H2651" s="40">
        <v>44819</v>
      </c>
      <c r="I2651" s="46">
        <f t="shared" si="164"/>
        <v>404</v>
      </c>
      <c r="J2651" s="1" t="s">
        <v>15</v>
      </c>
      <c r="K2651" s="4" t="s">
        <v>199</v>
      </c>
      <c r="L2651" s="4" t="s">
        <v>225</v>
      </c>
      <c r="M2651" s="8">
        <v>120</v>
      </c>
      <c r="N2651" s="5">
        <v>450.71</v>
      </c>
      <c r="O2651" s="5">
        <v>54085.2</v>
      </c>
      <c r="P2651">
        <f t="shared" si="165"/>
        <v>1</v>
      </c>
      <c r="Q2651" s="36">
        <f t="shared" si="166"/>
        <v>54085.2</v>
      </c>
      <c r="R2651">
        <f t="shared" si="167"/>
        <v>2022</v>
      </c>
    </row>
    <row r="2652" spans="1:18" x14ac:dyDescent="0.2">
      <c r="A2652" s="13">
        <v>45391</v>
      </c>
      <c r="B2652" s="13">
        <v>45391</v>
      </c>
      <c r="C2652" s="25" t="s">
        <v>398</v>
      </c>
      <c r="D2652" s="20">
        <v>0</v>
      </c>
      <c r="E2652" s="28">
        <v>108170.4</v>
      </c>
      <c r="F2652" s="22" t="s">
        <v>240</v>
      </c>
      <c r="G2652" s="14">
        <v>240</v>
      </c>
      <c r="H2652" s="40">
        <v>44897</v>
      </c>
      <c r="I2652" s="46">
        <f t="shared" si="164"/>
        <v>494</v>
      </c>
      <c r="J2652" s="1" t="s">
        <v>15</v>
      </c>
      <c r="K2652" s="4" t="s">
        <v>199</v>
      </c>
      <c r="L2652" s="4" t="s">
        <v>225</v>
      </c>
      <c r="M2652" s="8">
        <v>240</v>
      </c>
      <c r="N2652" s="5">
        <v>450.71</v>
      </c>
      <c r="O2652" s="5">
        <v>108170.4</v>
      </c>
      <c r="P2652">
        <f t="shared" si="165"/>
        <v>1</v>
      </c>
      <c r="Q2652" s="36">
        <f t="shared" si="166"/>
        <v>108170.4</v>
      </c>
      <c r="R2652">
        <f t="shared" si="167"/>
        <v>2022</v>
      </c>
    </row>
    <row r="2653" spans="1:18" x14ac:dyDescent="0.2">
      <c r="A2653" s="13">
        <v>45419</v>
      </c>
      <c r="B2653" s="13">
        <v>45419</v>
      </c>
      <c r="C2653" s="25" t="s">
        <v>398</v>
      </c>
      <c r="D2653" s="20">
        <v>0</v>
      </c>
      <c r="E2653" s="28">
        <v>54085.2</v>
      </c>
      <c r="F2653" s="22" t="s">
        <v>240</v>
      </c>
      <c r="G2653" s="14">
        <v>120</v>
      </c>
      <c r="H2653" s="40">
        <v>44917</v>
      </c>
      <c r="I2653" s="46">
        <f t="shared" si="164"/>
        <v>502</v>
      </c>
      <c r="J2653" s="1" t="s">
        <v>15</v>
      </c>
      <c r="K2653" s="4" t="s">
        <v>199</v>
      </c>
      <c r="L2653" s="4" t="s">
        <v>225</v>
      </c>
      <c r="M2653" s="8">
        <v>120</v>
      </c>
      <c r="N2653" s="5">
        <v>450.71</v>
      </c>
      <c r="O2653" s="5">
        <v>54085.2</v>
      </c>
      <c r="P2653">
        <f t="shared" si="165"/>
        <v>1</v>
      </c>
      <c r="Q2653" s="36">
        <f t="shared" si="166"/>
        <v>54085.2</v>
      </c>
      <c r="R2653">
        <f t="shared" si="167"/>
        <v>2022</v>
      </c>
    </row>
    <row r="2654" spans="1:18" x14ac:dyDescent="0.2">
      <c r="A2654" s="13">
        <v>45426</v>
      </c>
      <c r="B2654" s="13">
        <v>45426</v>
      </c>
      <c r="C2654" s="25" t="s">
        <v>398</v>
      </c>
      <c r="D2654" s="20">
        <v>0</v>
      </c>
      <c r="E2654" s="28">
        <v>54085.2</v>
      </c>
      <c r="F2654" s="22" t="s">
        <v>240</v>
      </c>
      <c r="G2654" s="14">
        <v>120</v>
      </c>
      <c r="H2654" s="40">
        <v>44923</v>
      </c>
      <c r="I2654" s="46">
        <f t="shared" si="164"/>
        <v>503</v>
      </c>
      <c r="J2654" s="1" t="s">
        <v>15</v>
      </c>
      <c r="K2654" s="4" t="s">
        <v>199</v>
      </c>
      <c r="L2654" s="4" t="s">
        <v>225</v>
      </c>
      <c r="M2654" s="8">
        <v>120</v>
      </c>
      <c r="N2654" s="5">
        <v>450.71</v>
      </c>
      <c r="O2654" s="5">
        <v>54085.2</v>
      </c>
      <c r="P2654">
        <f t="shared" si="165"/>
        <v>1</v>
      </c>
      <c r="Q2654" s="36">
        <f t="shared" si="166"/>
        <v>54085.2</v>
      </c>
      <c r="R2654">
        <f t="shared" si="167"/>
        <v>2022</v>
      </c>
    </row>
    <row r="2655" spans="1:18" x14ac:dyDescent="0.2">
      <c r="A2655" s="13">
        <v>45433</v>
      </c>
      <c r="B2655" s="13">
        <v>45433</v>
      </c>
      <c r="C2655" s="25" t="s">
        <v>398</v>
      </c>
      <c r="D2655" s="20">
        <v>0</v>
      </c>
      <c r="E2655" s="28">
        <v>54085.2</v>
      </c>
      <c r="F2655" s="22" t="s">
        <v>240</v>
      </c>
      <c r="G2655" s="14">
        <v>120</v>
      </c>
      <c r="H2655" s="40">
        <v>44932</v>
      </c>
      <c r="I2655" s="46">
        <f t="shared" si="164"/>
        <v>501</v>
      </c>
      <c r="J2655" s="1" t="s">
        <v>15</v>
      </c>
      <c r="K2655" s="4" t="s">
        <v>199</v>
      </c>
      <c r="L2655" s="4" t="s">
        <v>225</v>
      </c>
      <c r="M2655" s="8">
        <v>120</v>
      </c>
      <c r="N2655" s="5">
        <v>450.71</v>
      </c>
      <c r="O2655" s="5">
        <v>54085.2</v>
      </c>
      <c r="P2655">
        <f t="shared" si="165"/>
        <v>1</v>
      </c>
      <c r="Q2655" s="36">
        <f t="shared" si="166"/>
        <v>54085.2</v>
      </c>
      <c r="R2655">
        <f t="shared" si="167"/>
        <v>2023</v>
      </c>
    </row>
    <row r="2656" spans="1:18" x14ac:dyDescent="0.2">
      <c r="A2656" s="13">
        <v>45440</v>
      </c>
      <c r="B2656" s="13">
        <v>45440</v>
      </c>
      <c r="C2656" s="25" t="s">
        <v>398</v>
      </c>
      <c r="D2656" s="20">
        <v>0</v>
      </c>
      <c r="E2656" s="28">
        <v>54085.2</v>
      </c>
      <c r="F2656" s="22" t="s">
        <v>240</v>
      </c>
      <c r="G2656" s="14">
        <v>120</v>
      </c>
      <c r="H2656" s="40">
        <v>44939</v>
      </c>
      <c r="I2656" s="46">
        <f t="shared" si="164"/>
        <v>501</v>
      </c>
      <c r="J2656" s="1" t="s">
        <v>15</v>
      </c>
      <c r="K2656" s="4" t="s">
        <v>199</v>
      </c>
      <c r="L2656" s="4" t="s">
        <v>225</v>
      </c>
      <c r="M2656" s="8">
        <v>120</v>
      </c>
      <c r="N2656" s="5">
        <v>450.71</v>
      </c>
      <c r="O2656" s="5">
        <v>54085.2</v>
      </c>
      <c r="P2656">
        <f t="shared" si="165"/>
        <v>1</v>
      </c>
      <c r="Q2656" s="36">
        <f t="shared" si="166"/>
        <v>54085.2</v>
      </c>
      <c r="R2656">
        <f t="shared" si="167"/>
        <v>2023</v>
      </c>
    </row>
    <row r="2657" spans="1:18" x14ac:dyDescent="0.2">
      <c r="A2657" s="13">
        <v>45195</v>
      </c>
      <c r="B2657" s="13">
        <v>45195</v>
      </c>
      <c r="C2657" s="25" t="s">
        <v>398</v>
      </c>
      <c r="D2657" s="20">
        <v>0</v>
      </c>
      <c r="E2657" s="28">
        <v>44620.29</v>
      </c>
      <c r="F2657" s="22" t="s">
        <v>240</v>
      </c>
      <c r="G2657" s="14">
        <v>99</v>
      </c>
      <c r="H2657" s="40">
        <v>45180</v>
      </c>
      <c r="I2657" s="46">
        <f t="shared" si="164"/>
        <v>15</v>
      </c>
      <c r="J2657" s="1" t="s">
        <v>15</v>
      </c>
      <c r="K2657" s="4" t="s">
        <v>199</v>
      </c>
      <c r="L2657" s="4" t="s">
        <v>225</v>
      </c>
      <c r="M2657" s="8">
        <v>240</v>
      </c>
      <c r="N2657" s="5">
        <v>450.71</v>
      </c>
      <c r="O2657" s="5">
        <v>108170.4</v>
      </c>
      <c r="P2657">
        <f t="shared" si="165"/>
        <v>0</v>
      </c>
      <c r="Q2657" s="36">
        <f t="shared" si="166"/>
        <v>44620.29</v>
      </c>
      <c r="R2657">
        <f t="shared" si="167"/>
        <v>2023</v>
      </c>
    </row>
    <row r="2658" spans="1:18" x14ac:dyDescent="0.2">
      <c r="A2658" s="13">
        <v>45197</v>
      </c>
      <c r="B2658" s="13">
        <v>45195</v>
      </c>
      <c r="C2658" s="25" t="s">
        <v>399</v>
      </c>
      <c r="D2658" s="20">
        <v>2</v>
      </c>
      <c r="E2658" s="28">
        <v>63550.11</v>
      </c>
      <c r="F2658" s="22" t="s">
        <v>240</v>
      </c>
      <c r="G2658" s="14">
        <v>141</v>
      </c>
      <c r="H2658" s="40">
        <v>45180</v>
      </c>
      <c r="I2658" s="46">
        <f t="shared" si="164"/>
        <v>17</v>
      </c>
      <c r="J2658" s="1" t="s">
        <v>15</v>
      </c>
      <c r="K2658" s="4" t="s">
        <v>199</v>
      </c>
      <c r="L2658" s="4" t="s">
        <v>225</v>
      </c>
      <c r="M2658" s="8">
        <v>240</v>
      </c>
      <c r="N2658" s="5">
        <v>450.71</v>
      </c>
      <c r="O2658" s="5">
        <v>108170.4</v>
      </c>
      <c r="P2658">
        <f t="shared" si="165"/>
        <v>0</v>
      </c>
      <c r="Q2658" s="36">
        <f t="shared" si="166"/>
        <v>63550.11</v>
      </c>
      <c r="R2658">
        <f t="shared" si="167"/>
        <v>2023</v>
      </c>
    </row>
    <row r="2659" spans="1:18" x14ac:dyDescent="0.2">
      <c r="A2659" s="13">
        <v>45225</v>
      </c>
      <c r="B2659" s="13">
        <v>44974</v>
      </c>
      <c r="C2659" s="25" t="s">
        <v>399</v>
      </c>
      <c r="D2659" s="20">
        <v>251</v>
      </c>
      <c r="E2659" s="28">
        <v>32089.200000000001</v>
      </c>
      <c r="F2659" s="22" t="s">
        <v>318</v>
      </c>
      <c r="G2659" s="14">
        <v>220</v>
      </c>
      <c r="H2659" s="40">
        <v>44603</v>
      </c>
      <c r="I2659" s="46">
        <f t="shared" si="164"/>
        <v>622</v>
      </c>
      <c r="J2659" s="1" t="s">
        <v>15</v>
      </c>
      <c r="K2659" s="4" t="s">
        <v>199</v>
      </c>
      <c r="L2659" s="4" t="s">
        <v>225</v>
      </c>
      <c r="M2659" s="8">
        <v>220</v>
      </c>
      <c r="N2659" s="5">
        <v>145.86000000000001</v>
      </c>
      <c r="O2659" s="5">
        <v>32089.200000000001</v>
      </c>
      <c r="P2659">
        <f t="shared" si="165"/>
        <v>1</v>
      </c>
      <c r="Q2659" s="36">
        <f t="shared" si="166"/>
        <v>32089.200000000004</v>
      </c>
      <c r="R2659">
        <f t="shared" si="167"/>
        <v>2022</v>
      </c>
    </row>
    <row r="2660" spans="1:18" x14ac:dyDescent="0.2">
      <c r="A2660" s="13">
        <v>45225</v>
      </c>
      <c r="B2660" s="13">
        <v>44987</v>
      </c>
      <c r="C2660" s="25" t="s">
        <v>399</v>
      </c>
      <c r="D2660" s="20">
        <v>238</v>
      </c>
      <c r="E2660" s="28">
        <v>32089.200000000001</v>
      </c>
      <c r="F2660" s="22" t="s">
        <v>318</v>
      </c>
      <c r="G2660" s="14">
        <v>220</v>
      </c>
      <c r="H2660" s="40">
        <v>44624</v>
      </c>
      <c r="I2660" s="46">
        <f t="shared" si="164"/>
        <v>601</v>
      </c>
      <c r="J2660" s="1" t="s">
        <v>15</v>
      </c>
      <c r="K2660" s="4" t="s">
        <v>200</v>
      </c>
      <c r="L2660" s="4" t="s">
        <v>225</v>
      </c>
      <c r="M2660" s="8">
        <v>220</v>
      </c>
      <c r="N2660" s="5">
        <v>145.86000000000001</v>
      </c>
      <c r="O2660" s="5">
        <v>32089.200000000001</v>
      </c>
      <c r="P2660">
        <f t="shared" si="165"/>
        <v>1</v>
      </c>
      <c r="Q2660" s="36">
        <f t="shared" si="166"/>
        <v>32089.200000000004</v>
      </c>
      <c r="R2660">
        <f t="shared" si="167"/>
        <v>2022</v>
      </c>
    </row>
    <row r="2661" spans="1:18" x14ac:dyDescent="0.2">
      <c r="A2661" s="13">
        <v>45225</v>
      </c>
      <c r="B2661" s="13">
        <v>45008</v>
      </c>
      <c r="C2661" s="25" t="s">
        <v>399</v>
      </c>
      <c r="D2661" s="20">
        <v>217</v>
      </c>
      <c r="E2661" s="28">
        <v>32089.200000000001</v>
      </c>
      <c r="F2661" s="22" t="s">
        <v>318</v>
      </c>
      <c r="G2661" s="14">
        <v>220</v>
      </c>
      <c r="H2661" s="40">
        <v>44645</v>
      </c>
      <c r="I2661" s="46">
        <f t="shared" si="164"/>
        <v>580</v>
      </c>
      <c r="J2661" s="1" t="s">
        <v>15</v>
      </c>
      <c r="K2661" s="4" t="s">
        <v>200</v>
      </c>
      <c r="L2661" s="4" t="s">
        <v>225</v>
      </c>
      <c r="M2661" s="8">
        <v>220</v>
      </c>
      <c r="N2661" s="5">
        <v>145.86000000000001</v>
      </c>
      <c r="O2661" s="5">
        <v>32089.200000000001</v>
      </c>
      <c r="P2661">
        <f t="shared" si="165"/>
        <v>1</v>
      </c>
      <c r="Q2661" s="36">
        <f t="shared" si="166"/>
        <v>32089.200000000004</v>
      </c>
      <c r="R2661">
        <f t="shared" si="167"/>
        <v>2022</v>
      </c>
    </row>
    <row r="2662" spans="1:18" x14ac:dyDescent="0.2">
      <c r="A2662" s="13">
        <v>45225</v>
      </c>
      <c r="B2662" s="13">
        <v>45036</v>
      </c>
      <c r="C2662" s="25" t="s">
        <v>399</v>
      </c>
      <c r="D2662" s="20">
        <v>189</v>
      </c>
      <c r="E2662" s="28">
        <v>32089.200000000001</v>
      </c>
      <c r="F2662" s="22" t="s">
        <v>318</v>
      </c>
      <c r="G2662" s="14">
        <v>220</v>
      </c>
      <c r="H2662" s="40">
        <v>44673</v>
      </c>
      <c r="I2662" s="46">
        <f t="shared" si="164"/>
        <v>552</v>
      </c>
      <c r="J2662" s="1" t="s">
        <v>15</v>
      </c>
      <c r="K2662" s="4" t="s">
        <v>200</v>
      </c>
      <c r="L2662" s="4" t="s">
        <v>225</v>
      </c>
      <c r="M2662" s="8">
        <v>220</v>
      </c>
      <c r="N2662" s="5">
        <v>145.86000000000001</v>
      </c>
      <c r="O2662" s="5">
        <v>32089.200000000001</v>
      </c>
      <c r="P2662">
        <f t="shared" si="165"/>
        <v>1</v>
      </c>
      <c r="Q2662" s="36">
        <f t="shared" si="166"/>
        <v>32089.200000000004</v>
      </c>
      <c r="R2662">
        <f t="shared" si="167"/>
        <v>2022</v>
      </c>
    </row>
    <row r="2663" spans="1:18" x14ac:dyDescent="0.2">
      <c r="A2663" s="13">
        <v>45225</v>
      </c>
      <c r="B2663" s="13">
        <v>45043</v>
      </c>
      <c r="C2663" s="25" t="s">
        <v>399</v>
      </c>
      <c r="D2663" s="20">
        <v>182</v>
      </c>
      <c r="E2663" s="28">
        <v>32089.200000000001</v>
      </c>
      <c r="F2663" s="22" t="s">
        <v>318</v>
      </c>
      <c r="G2663" s="14">
        <v>220</v>
      </c>
      <c r="H2663" s="40">
        <v>44680</v>
      </c>
      <c r="I2663" s="46">
        <f t="shared" si="164"/>
        <v>545</v>
      </c>
      <c r="J2663" s="1" t="s">
        <v>15</v>
      </c>
      <c r="K2663" s="4" t="s">
        <v>200</v>
      </c>
      <c r="L2663" s="4" t="s">
        <v>225</v>
      </c>
      <c r="M2663" s="8">
        <v>220</v>
      </c>
      <c r="N2663" s="5">
        <v>145.86000000000001</v>
      </c>
      <c r="O2663" s="5">
        <v>32089.200000000001</v>
      </c>
      <c r="P2663">
        <f t="shared" si="165"/>
        <v>1</v>
      </c>
      <c r="Q2663" s="36">
        <f t="shared" si="166"/>
        <v>32089.200000000004</v>
      </c>
      <c r="R2663">
        <f t="shared" si="167"/>
        <v>2022</v>
      </c>
    </row>
    <row r="2664" spans="1:18" x14ac:dyDescent="0.2">
      <c r="A2664" s="13">
        <v>45197</v>
      </c>
      <c r="B2664" s="13">
        <v>44890</v>
      </c>
      <c r="C2664" s="25" t="s">
        <v>399</v>
      </c>
      <c r="D2664" s="20">
        <v>307</v>
      </c>
      <c r="E2664" s="28">
        <v>32089.200000000001</v>
      </c>
      <c r="F2664" s="22" t="s">
        <v>318</v>
      </c>
      <c r="G2664" s="14">
        <v>220</v>
      </c>
      <c r="H2664" s="40">
        <v>45180</v>
      </c>
      <c r="I2664" s="46">
        <f t="shared" si="164"/>
        <v>17</v>
      </c>
      <c r="J2664" s="1" t="s">
        <v>15</v>
      </c>
      <c r="K2664" s="4" t="s">
        <v>199</v>
      </c>
      <c r="L2664" s="4" t="s">
        <v>225</v>
      </c>
      <c r="M2664" s="8">
        <v>220</v>
      </c>
      <c r="N2664" s="5">
        <v>145.86000000000001</v>
      </c>
      <c r="O2664" s="5">
        <v>32089.200000000001</v>
      </c>
      <c r="P2664">
        <f t="shared" si="165"/>
        <v>1</v>
      </c>
      <c r="Q2664" s="36">
        <f t="shared" si="166"/>
        <v>32089.200000000004</v>
      </c>
      <c r="R2664">
        <f t="shared" si="167"/>
        <v>2023</v>
      </c>
    </row>
    <row r="2665" spans="1:18" x14ac:dyDescent="0.2">
      <c r="A2665" s="13">
        <v>45197</v>
      </c>
      <c r="B2665" s="13">
        <v>44904</v>
      </c>
      <c r="C2665" s="25" t="s">
        <v>399</v>
      </c>
      <c r="D2665" s="20">
        <v>293</v>
      </c>
      <c r="E2665" s="28">
        <v>32089.200000000001</v>
      </c>
      <c r="F2665" s="22" t="s">
        <v>318</v>
      </c>
      <c r="G2665" s="14">
        <v>220</v>
      </c>
      <c r="H2665" s="40">
        <v>45180</v>
      </c>
      <c r="I2665" s="46">
        <f t="shared" si="164"/>
        <v>17</v>
      </c>
      <c r="J2665" s="1" t="s">
        <v>15</v>
      </c>
      <c r="K2665" s="4" t="s">
        <v>199</v>
      </c>
      <c r="L2665" s="4" t="s">
        <v>225</v>
      </c>
      <c r="M2665" s="8">
        <v>220</v>
      </c>
      <c r="N2665" s="5">
        <v>145.86000000000001</v>
      </c>
      <c r="O2665" s="5">
        <v>32089.200000000001</v>
      </c>
      <c r="P2665">
        <f t="shared" si="165"/>
        <v>1</v>
      </c>
      <c r="Q2665" s="36">
        <f t="shared" si="166"/>
        <v>32089.200000000004</v>
      </c>
      <c r="R2665">
        <f t="shared" si="167"/>
        <v>2023</v>
      </c>
    </row>
    <row r="2666" spans="1:18" x14ac:dyDescent="0.2">
      <c r="A2666" s="13">
        <v>45197</v>
      </c>
      <c r="B2666" s="13">
        <v>44938</v>
      </c>
      <c r="C2666" s="25" t="s">
        <v>399</v>
      </c>
      <c r="D2666" s="20">
        <v>259</v>
      </c>
      <c r="E2666" s="28">
        <v>32089.200000000001</v>
      </c>
      <c r="F2666" s="22" t="s">
        <v>318</v>
      </c>
      <c r="G2666" s="14">
        <v>220</v>
      </c>
      <c r="H2666" s="40">
        <v>45180</v>
      </c>
      <c r="I2666" s="46">
        <f t="shared" si="164"/>
        <v>17</v>
      </c>
      <c r="J2666" s="1" t="s">
        <v>15</v>
      </c>
      <c r="K2666" s="4" t="s">
        <v>199</v>
      </c>
      <c r="L2666" s="4" t="s">
        <v>225</v>
      </c>
      <c r="M2666" s="8">
        <v>220</v>
      </c>
      <c r="N2666" s="5">
        <v>145.86000000000001</v>
      </c>
      <c r="O2666" s="5">
        <v>32089.200000000001</v>
      </c>
      <c r="P2666">
        <f t="shared" si="165"/>
        <v>1</v>
      </c>
      <c r="Q2666" s="36">
        <f t="shared" si="166"/>
        <v>32089.200000000004</v>
      </c>
      <c r="R2666">
        <f t="shared" si="167"/>
        <v>2023</v>
      </c>
    </row>
    <row r="2667" spans="1:18" x14ac:dyDescent="0.2">
      <c r="A2667" s="13">
        <v>45197</v>
      </c>
      <c r="B2667" s="13">
        <v>44974</v>
      </c>
      <c r="C2667" s="25" t="s">
        <v>399</v>
      </c>
      <c r="D2667" s="20">
        <v>223</v>
      </c>
      <c r="E2667" s="28">
        <v>32089.200000000001</v>
      </c>
      <c r="F2667" s="22" t="s">
        <v>318</v>
      </c>
      <c r="G2667" s="14">
        <v>220</v>
      </c>
      <c r="H2667" s="40">
        <v>45180</v>
      </c>
      <c r="I2667" s="46">
        <f t="shared" si="164"/>
        <v>17</v>
      </c>
      <c r="J2667" s="1" t="s">
        <v>15</v>
      </c>
      <c r="K2667" s="4" t="s">
        <v>199</v>
      </c>
      <c r="L2667" s="4" t="s">
        <v>225</v>
      </c>
      <c r="M2667" s="8">
        <v>220</v>
      </c>
      <c r="N2667" s="5">
        <v>145.86000000000001</v>
      </c>
      <c r="O2667" s="5">
        <v>32089.200000000001</v>
      </c>
      <c r="P2667">
        <f t="shared" si="165"/>
        <v>1</v>
      </c>
      <c r="Q2667" s="36">
        <f t="shared" si="166"/>
        <v>32089.200000000004</v>
      </c>
      <c r="R2667">
        <f t="shared" si="167"/>
        <v>2023</v>
      </c>
    </row>
    <row r="2668" spans="1:18" x14ac:dyDescent="0.2">
      <c r="A2668" s="13">
        <v>45197</v>
      </c>
      <c r="B2668" s="13">
        <v>44974</v>
      </c>
      <c r="C2668" s="25" t="s">
        <v>399</v>
      </c>
      <c r="D2668" s="20">
        <v>223</v>
      </c>
      <c r="E2668" s="28">
        <v>32089.200000000001</v>
      </c>
      <c r="F2668" s="22" t="s">
        <v>318</v>
      </c>
      <c r="G2668" s="14">
        <v>220</v>
      </c>
      <c r="H2668" s="40">
        <v>45180</v>
      </c>
      <c r="I2668" s="46">
        <f t="shared" si="164"/>
        <v>17</v>
      </c>
      <c r="J2668" s="1" t="s">
        <v>15</v>
      </c>
      <c r="K2668" s="4" t="s">
        <v>199</v>
      </c>
      <c r="L2668" s="4" t="s">
        <v>225</v>
      </c>
      <c r="M2668" s="8">
        <v>220</v>
      </c>
      <c r="N2668" s="5">
        <v>145.86000000000001</v>
      </c>
      <c r="O2668" s="5">
        <v>32089.200000000001</v>
      </c>
      <c r="P2668">
        <f t="shared" si="165"/>
        <v>1</v>
      </c>
      <c r="Q2668" s="36">
        <f t="shared" si="166"/>
        <v>32089.200000000004</v>
      </c>
      <c r="R2668">
        <f t="shared" si="167"/>
        <v>2023</v>
      </c>
    </row>
    <row r="2669" spans="1:18" x14ac:dyDescent="0.2">
      <c r="A2669" s="13">
        <v>45348</v>
      </c>
      <c r="B2669" s="13">
        <v>45341</v>
      </c>
      <c r="C2669" s="25" t="s">
        <v>399</v>
      </c>
      <c r="D2669" s="20">
        <v>7</v>
      </c>
      <c r="E2669" s="28">
        <v>52466.400000000001</v>
      </c>
      <c r="F2669" s="22" t="s">
        <v>241</v>
      </c>
      <c r="G2669" s="14">
        <v>3780</v>
      </c>
      <c r="H2669" s="40">
        <v>44971</v>
      </c>
      <c r="I2669" s="46">
        <f t="shared" si="164"/>
        <v>377</v>
      </c>
      <c r="J2669" s="1" t="s">
        <v>15</v>
      </c>
      <c r="K2669" s="4" t="s">
        <v>200</v>
      </c>
      <c r="L2669" s="4" t="s">
        <v>225</v>
      </c>
      <c r="M2669" s="8">
        <v>3780</v>
      </c>
      <c r="N2669" s="5">
        <v>13.88</v>
      </c>
      <c r="O2669" s="5">
        <v>52466.400000000001</v>
      </c>
      <c r="P2669">
        <f t="shared" si="165"/>
        <v>1</v>
      </c>
      <c r="Q2669" s="36">
        <f t="shared" si="166"/>
        <v>52466.400000000001</v>
      </c>
      <c r="R2669">
        <f t="shared" si="167"/>
        <v>2023</v>
      </c>
    </row>
    <row r="2670" spans="1:18" x14ac:dyDescent="0.2">
      <c r="A2670" s="13">
        <v>45195</v>
      </c>
      <c r="B2670" s="13">
        <v>45195</v>
      </c>
      <c r="C2670" s="25" t="s">
        <v>398</v>
      </c>
      <c r="D2670" s="20">
        <v>0</v>
      </c>
      <c r="E2670" s="28">
        <v>133449.12</v>
      </c>
      <c r="F2670" s="22" t="s">
        <v>242</v>
      </c>
      <c r="G2670" s="14">
        <v>3024</v>
      </c>
      <c r="H2670" s="40">
        <v>44819</v>
      </c>
      <c r="I2670" s="46">
        <f t="shared" si="164"/>
        <v>376</v>
      </c>
      <c r="J2670" s="1" t="s">
        <v>15</v>
      </c>
      <c r="K2670" s="4" t="s">
        <v>199</v>
      </c>
      <c r="L2670" s="4" t="s">
        <v>225</v>
      </c>
      <c r="M2670" s="8">
        <v>3024</v>
      </c>
      <c r="N2670" s="5">
        <v>44.13</v>
      </c>
      <c r="O2670" s="5">
        <v>133449.12</v>
      </c>
      <c r="P2670">
        <f t="shared" si="165"/>
        <v>1</v>
      </c>
      <c r="Q2670" s="36">
        <f t="shared" si="166"/>
        <v>133449.12</v>
      </c>
      <c r="R2670">
        <f t="shared" si="167"/>
        <v>2022</v>
      </c>
    </row>
    <row r="2671" spans="1:18" x14ac:dyDescent="0.2">
      <c r="A2671" s="13">
        <v>45230</v>
      </c>
      <c r="B2671" s="13">
        <v>45230</v>
      </c>
      <c r="C2671" s="25" t="s">
        <v>398</v>
      </c>
      <c r="D2671" s="20">
        <v>0</v>
      </c>
      <c r="E2671" s="28">
        <v>21606.48</v>
      </c>
      <c r="F2671" s="22" t="s">
        <v>243</v>
      </c>
      <c r="G2671" s="14">
        <v>252</v>
      </c>
      <c r="H2671" s="40">
        <v>44831</v>
      </c>
      <c r="I2671" s="46">
        <f t="shared" si="164"/>
        <v>399</v>
      </c>
      <c r="J2671" s="1" t="s">
        <v>15</v>
      </c>
      <c r="K2671" s="4" t="s">
        <v>199</v>
      </c>
      <c r="L2671" s="4" t="s">
        <v>225</v>
      </c>
      <c r="M2671" s="8">
        <v>252</v>
      </c>
      <c r="N2671" s="5">
        <v>85.74</v>
      </c>
      <c r="O2671" s="5">
        <v>21606.48</v>
      </c>
      <c r="P2671">
        <f t="shared" si="165"/>
        <v>1</v>
      </c>
      <c r="Q2671" s="36">
        <f t="shared" si="166"/>
        <v>21606.48</v>
      </c>
      <c r="R2671">
        <f t="shared" si="167"/>
        <v>2022</v>
      </c>
    </row>
    <row r="2672" spans="1:18" x14ac:dyDescent="0.2">
      <c r="A2672" s="13">
        <v>45237</v>
      </c>
      <c r="B2672" s="13">
        <v>45237</v>
      </c>
      <c r="C2672" s="25" t="s">
        <v>398</v>
      </c>
      <c r="D2672" s="20">
        <v>0</v>
      </c>
      <c r="E2672" s="28">
        <v>21606.48</v>
      </c>
      <c r="F2672" s="22" t="s">
        <v>243</v>
      </c>
      <c r="G2672" s="14">
        <v>252</v>
      </c>
      <c r="H2672" s="40">
        <v>44831</v>
      </c>
      <c r="I2672" s="46">
        <f t="shared" si="164"/>
        <v>406</v>
      </c>
      <c r="J2672" s="1" t="s">
        <v>15</v>
      </c>
      <c r="K2672" s="4" t="s">
        <v>199</v>
      </c>
      <c r="L2672" s="4" t="s">
        <v>225</v>
      </c>
      <c r="M2672" s="8">
        <v>252</v>
      </c>
      <c r="N2672" s="5">
        <v>85.74</v>
      </c>
      <c r="O2672" s="5">
        <v>21606.48</v>
      </c>
      <c r="P2672">
        <f t="shared" si="165"/>
        <v>1</v>
      </c>
      <c r="Q2672" s="36">
        <f t="shared" si="166"/>
        <v>21606.48</v>
      </c>
      <c r="R2672">
        <f t="shared" si="167"/>
        <v>2022</v>
      </c>
    </row>
    <row r="2673" spans="1:18" x14ac:dyDescent="0.2">
      <c r="A2673" s="13">
        <v>45251</v>
      </c>
      <c r="B2673" s="13">
        <v>45244</v>
      </c>
      <c r="C2673" s="25" t="s">
        <v>399</v>
      </c>
      <c r="D2673" s="20">
        <v>7</v>
      </c>
      <c r="E2673" s="28">
        <v>21606.48</v>
      </c>
      <c r="F2673" s="22" t="s">
        <v>243</v>
      </c>
      <c r="G2673" s="14">
        <v>252</v>
      </c>
      <c r="H2673" s="40">
        <v>44847</v>
      </c>
      <c r="I2673" s="46">
        <f t="shared" si="164"/>
        <v>404</v>
      </c>
      <c r="J2673" s="1" t="s">
        <v>15</v>
      </c>
      <c r="K2673" s="4" t="s">
        <v>199</v>
      </c>
      <c r="L2673" s="4" t="s">
        <v>225</v>
      </c>
      <c r="M2673" s="8">
        <v>252</v>
      </c>
      <c r="N2673" s="5">
        <v>85.74</v>
      </c>
      <c r="O2673" s="5">
        <v>21606.48</v>
      </c>
      <c r="P2673">
        <f t="shared" si="165"/>
        <v>1</v>
      </c>
      <c r="Q2673" s="36">
        <f t="shared" si="166"/>
        <v>21606.48</v>
      </c>
      <c r="R2673">
        <f t="shared" si="167"/>
        <v>2022</v>
      </c>
    </row>
    <row r="2674" spans="1:18" x14ac:dyDescent="0.2">
      <c r="A2674" s="13">
        <v>45335</v>
      </c>
      <c r="B2674" s="13">
        <v>45202</v>
      </c>
      <c r="C2674" s="25" t="s">
        <v>399</v>
      </c>
      <c r="D2674" s="20">
        <v>133</v>
      </c>
      <c r="E2674" s="28">
        <v>28687.68</v>
      </c>
      <c r="F2674" s="22" t="s">
        <v>319</v>
      </c>
      <c r="G2674" s="14">
        <v>252</v>
      </c>
      <c r="H2674" s="40">
        <v>44805</v>
      </c>
      <c r="I2674" s="46">
        <f t="shared" si="164"/>
        <v>530</v>
      </c>
      <c r="J2674" s="1" t="s">
        <v>15</v>
      </c>
      <c r="K2674" s="4" t="s">
        <v>199</v>
      </c>
      <c r="L2674" s="4" t="s">
        <v>225</v>
      </c>
      <c r="M2674" s="8">
        <v>252</v>
      </c>
      <c r="N2674" s="5">
        <v>113.84</v>
      </c>
      <c r="O2674" s="5">
        <v>28687.68</v>
      </c>
      <c r="P2674">
        <f t="shared" si="165"/>
        <v>1</v>
      </c>
      <c r="Q2674" s="36">
        <f t="shared" si="166"/>
        <v>28687.68</v>
      </c>
      <c r="R2674">
        <f t="shared" si="167"/>
        <v>2022</v>
      </c>
    </row>
    <row r="2675" spans="1:18" x14ac:dyDescent="0.2">
      <c r="A2675" s="13">
        <v>45218</v>
      </c>
      <c r="B2675" s="13">
        <v>44995</v>
      </c>
      <c r="C2675" s="25" t="s">
        <v>399</v>
      </c>
      <c r="D2675" s="20">
        <v>223</v>
      </c>
      <c r="E2675" s="28">
        <v>29347.200000000001</v>
      </c>
      <c r="F2675" s="22" t="s">
        <v>320</v>
      </c>
      <c r="G2675" s="14">
        <v>120</v>
      </c>
      <c r="H2675" s="40">
        <v>44628</v>
      </c>
      <c r="I2675" s="46">
        <f t="shared" si="164"/>
        <v>590</v>
      </c>
      <c r="J2675" s="1" t="s">
        <v>15</v>
      </c>
      <c r="K2675" s="4" t="s">
        <v>199</v>
      </c>
      <c r="L2675" s="4" t="s">
        <v>225</v>
      </c>
      <c r="M2675" s="8">
        <v>120</v>
      </c>
      <c r="N2675" s="5">
        <v>244.56</v>
      </c>
      <c r="O2675" s="5">
        <v>29347.200000000001</v>
      </c>
      <c r="P2675">
        <f t="shared" si="165"/>
        <v>1</v>
      </c>
      <c r="Q2675" s="36">
        <f t="shared" si="166"/>
        <v>29347.200000000001</v>
      </c>
      <c r="R2675">
        <f t="shared" si="167"/>
        <v>2022</v>
      </c>
    </row>
    <row r="2676" spans="1:18" x14ac:dyDescent="0.2">
      <c r="A2676" s="13">
        <v>45195</v>
      </c>
      <c r="B2676" s="13">
        <v>45195</v>
      </c>
      <c r="C2676" s="25" t="s">
        <v>398</v>
      </c>
      <c r="D2676" s="20">
        <v>0</v>
      </c>
      <c r="E2676" s="28">
        <v>26337</v>
      </c>
      <c r="F2676" s="22" t="s">
        <v>248</v>
      </c>
      <c r="G2676" s="14">
        <v>60</v>
      </c>
      <c r="H2676" s="40">
        <v>44847</v>
      </c>
      <c r="I2676" s="46">
        <f t="shared" si="164"/>
        <v>348</v>
      </c>
      <c r="J2676" s="1" t="s">
        <v>15</v>
      </c>
      <c r="K2676" s="4" t="s">
        <v>199</v>
      </c>
      <c r="L2676" s="4" t="s">
        <v>225</v>
      </c>
      <c r="M2676" s="8">
        <v>60</v>
      </c>
      <c r="N2676" s="5">
        <v>438.95</v>
      </c>
      <c r="O2676" s="5">
        <v>26337</v>
      </c>
      <c r="P2676">
        <f t="shared" si="165"/>
        <v>1</v>
      </c>
      <c r="Q2676" s="36">
        <f t="shared" si="166"/>
        <v>26337</v>
      </c>
      <c r="R2676">
        <f t="shared" si="167"/>
        <v>2022</v>
      </c>
    </row>
    <row r="2677" spans="1:18" x14ac:dyDescent="0.2">
      <c r="A2677" s="13">
        <v>45202</v>
      </c>
      <c r="B2677" s="13">
        <v>45202</v>
      </c>
      <c r="C2677" s="25" t="s">
        <v>398</v>
      </c>
      <c r="D2677" s="20">
        <v>0</v>
      </c>
      <c r="E2677" s="28">
        <v>237033</v>
      </c>
      <c r="F2677" s="22" t="s">
        <v>248</v>
      </c>
      <c r="G2677" s="14">
        <v>540</v>
      </c>
      <c r="H2677" s="40">
        <v>44847</v>
      </c>
      <c r="I2677" s="46">
        <f t="shared" si="164"/>
        <v>355</v>
      </c>
      <c r="J2677" s="1" t="s">
        <v>15</v>
      </c>
      <c r="K2677" s="4" t="s">
        <v>199</v>
      </c>
      <c r="L2677" s="4" t="s">
        <v>225</v>
      </c>
      <c r="M2677" s="8">
        <v>540</v>
      </c>
      <c r="N2677" s="5">
        <v>438.95</v>
      </c>
      <c r="O2677" s="5">
        <v>237033</v>
      </c>
      <c r="P2677">
        <f t="shared" si="165"/>
        <v>1</v>
      </c>
      <c r="Q2677" s="36">
        <f t="shared" si="166"/>
        <v>237033</v>
      </c>
      <c r="R2677">
        <f t="shared" si="167"/>
        <v>2022</v>
      </c>
    </row>
    <row r="2678" spans="1:18" x14ac:dyDescent="0.2">
      <c r="A2678" s="13">
        <v>45209</v>
      </c>
      <c r="B2678" s="13">
        <v>45209</v>
      </c>
      <c r="C2678" s="25" t="s">
        <v>398</v>
      </c>
      <c r="D2678" s="20">
        <v>0</v>
      </c>
      <c r="E2678" s="28">
        <v>223864.5</v>
      </c>
      <c r="F2678" s="22" t="s">
        <v>248</v>
      </c>
      <c r="G2678" s="14">
        <v>510</v>
      </c>
      <c r="H2678" s="40">
        <v>44847</v>
      </c>
      <c r="I2678" s="46">
        <f t="shared" si="164"/>
        <v>362</v>
      </c>
      <c r="J2678" s="1" t="s">
        <v>15</v>
      </c>
      <c r="K2678" s="4" t="s">
        <v>199</v>
      </c>
      <c r="L2678" s="4" t="s">
        <v>225</v>
      </c>
      <c r="M2678" s="8">
        <v>510</v>
      </c>
      <c r="N2678" s="5">
        <v>438.95</v>
      </c>
      <c r="O2678" s="5">
        <v>223864.5</v>
      </c>
      <c r="P2678">
        <f t="shared" si="165"/>
        <v>1</v>
      </c>
      <c r="Q2678" s="36">
        <f t="shared" si="166"/>
        <v>223864.5</v>
      </c>
      <c r="R2678">
        <f t="shared" si="167"/>
        <v>2022</v>
      </c>
    </row>
    <row r="2679" spans="1:18" x14ac:dyDescent="0.2">
      <c r="A2679" s="13">
        <v>45216</v>
      </c>
      <c r="B2679" s="13">
        <v>45216</v>
      </c>
      <c r="C2679" s="25" t="s">
        <v>398</v>
      </c>
      <c r="D2679" s="20">
        <v>0</v>
      </c>
      <c r="E2679" s="28">
        <v>237033</v>
      </c>
      <c r="F2679" s="22" t="s">
        <v>248</v>
      </c>
      <c r="G2679" s="14">
        <v>540</v>
      </c>
      <c r="H2679" s="40">
        <v>44847</v>
      </c>
      <c r="I2679" s="46">
        <f t="shared" si="164"/>
        <v>369</v>
      </c>
      <c r="J2679" s="1" t="s">
        <v>15</v>
      </c>
      <c r="K2679" s="4" t="s">
        <v>199</v>
      </c>
      <c r="L2679" s="4" t="s">
        <v>225</v>
      </c>
      <c r="M2679" s="8">
        <v>540</v>
      </c>
      <c r="N2679" s="5">
        <v>438.95</v>
      </c>
      <c r="O2679" s="5">
        <v>237033</v>
      </c>
      <c r="P2679">
        <f t="shared" si="165"/>
        <v>1</v>
      </c>
      <c r="Q2679" s="36">
        <f t="shared" si="166"/>
        <v>237033</v>
      </c>
      <c r="R2679">
        <f t="shared" si="167"/>
        <v>2022</v>
      </c>
    </row>
    <row r="2680" spans="1:18" x14ac:dyDescent="0.2">
      <c r="A2680" s="13">
        <v>45223</v>
      </c>
      <c r="B2680" s="13">
        <v>45223</v>
      </c>
      <c r="C2680" s="25" t="s">
        <v>398</v>
      </c>
      <c r="D2680" s="20">
        <v>0</v>
      </c>
      <c r="E2680" s="28">
        <v>237033</v>
      </c>
      <c r="F2680" s="22" t="s">
        <v>248</v>
      </c>
      <c r="G2680" s="14">
        <v>540</v>
      </c>
      <c r="H2680" s="40">
        <v>44847</v>
      </c>
      <c r="I2680" s="46">
        <f t="shared" si="164"/>
        <v>376</v>
      </c>
      <c r="J2680" s="1" t="s">
        <v>15</v>
      </c>
      <c r="K2680" s="4" t="s">
        <v>199</v>
      </c>
      <c r="L2680" s="4" t="s">
        <v>225</v>
      </c>
      <c r="M2680" s="8">
        <v>540</v>
      </c>
      <c r="N2680" s="5">
        <v>438.95</v>
      </c>
      <c r="O2680" s="5">
        <v>237033</v>
      </c>
      <c r="P2680">
        <f t="shared" si="165"/>
        <v>1</v>
      </c>
      <c r="Q2680" s="36">
        <f t="shared" si="166"/>
        <v>237033</v>
      </c>
      <c r="R2680">
        <f t="shared" si="167"/>
        <v>2022</v>
      </c>
    </row>
    <row r="2681" spans="1:18" x14ac:dyDescent="0.2">
      <c r="A2681" s="13">
        <v>45286</v>
      </c>
      <c r="B2681" s="13">
        <v>45286</v>
      </c>
      <c r="C2681" s="25" t="s">
        <v>398</v>
      </c>
      <c r="D2681" s="20">
        <v>0</v>
      </c>
      <c r="E2681" s="28">
        <v>13168.5</v>
      </c>
      <c r="F2681" s="22" t="s">
        <v>248</v>
      </c>
      <c r="G2681" s="14">
        <v>30</v>
      </c>
      <c r="H2681" s="40">
        <v>44908</v>
      </c>
      <c r="I2681" s="46">
        <f t="shared" si="164"/>
        <v>378</v>
      </c>
      <c r="J2681" s="1" t="s">
        <v>15</v>
      </c>
      <c r="K2681" s="4" t="s">
        <v>200</v>
      </c>
      <c r="L2681" s="4" t="s">
        <v>225</v>
      </c>
      <c r="M2681" s="8">
        <v>30</v>
      </c>
      <c r="N2681" s="5">
        <v>438.95</v>
      </c>
      <c r="O2681" s="5">
        <v>13168.5</v>
      </c>
      <c r="P2681">
        <f t="shared" si="165"/>
        <v>1</v>
      </c>
      <c r="Q2681" s="36">
        <f t="shared" si="166"/>
        <v>13168.5</v>
      </c>
      <c r="R2681">
        <f t="shared" si="167"/>
        <v>2022</v>
      </c>
    </row>
    <row r="2682" spans="1:18" x14ac:dyDescent="0.2">
      <c r="A2682" s="13">
        <v>45286</v>
      </c>
      <c r="B2682" s="13">
        <v>45286</v>
      </c>
      <c r="C2682" s="25" t="s">
        <v>398</v>
      </c>
      <c r="D2682" s="20">
        <v>0</v>
      </c>
      <c r="E2682" s="28">
        <v>39505.5</v>
      </c>
      <c r="F2682" s="22" t="s">
        <v>248</v>
      </c>
      <c r="G2682" s="14">
        <v>90</v>
      </c>
      <c r="H2682" s="40">
        <v>44910</v>
      </c>
      <c r="I2682" s="46">
        <f t="shared" si="164"/>
        <v>376</v>
      </c>
      <c r="J2682" s="1" t="s">
        <v>15</v>
      </c>
      <c r="K2682" s="4" t="s">
        <v>200</v>
      </c>
      <c r="L2682" s="4" t="s">
        <v>225</v>
      </c>
      <c r="M2682" s="8">
        <v>90</v>
      </c>
      <c r="N2682" s="5">
        <v>438.95</v>
      </c>
      <c r="O2682" s="5">
        <v>39505.5</v>
      </c>
      <c r="P2682">
        <f t="shared" si="165"/>
        <v>1</v>
      </c>
      <c r="Q2682" s="36">
        <f t="shared" si="166"/>
        <v>39505.5</v>
      </c>
      <c r="R2682">
        <f t="shared" si="167"/>
        <v>2022</v>
      </c>
    </row>
    <row r="2683" spans="1:18" x14ac:dyDescent="0.2">
      <c r="A2683" s="13">
        <v>45300</v>
      </c>
      <c r="B2683" s="13">
        <v>45300</v>
      </c>
      <c r="C2683" s="25" t="s">
        <v>398</v>
      </c>
      <c r="D2683" s="20">
        <v>0</v>
      </c>
      <c r="E2683" s="28">
        <v>13168.5</v>
      </c>
      <c r="F2683" s="22" t="s">
        <v>248</v>
      </c>
      <c r="G2683" s="14">
        <v>30</v>
      </c>
      <c r="H2683" s="40">
        <v>44921</v>
      </c>
      <c r="I2683" s="46">
        <f t="shared" si="164"/>
        <v>379</v>
      </c>
      <c r="J2683" s="1" t="s">
        <v>15</v>
      </c>
      <c r="K2683" s="4" t="s">
        <v>199</v>
      </c>
      <c r="L2683" s="4" t="s">
        <v>225</v>
      </c>
      <c r="M2683" s="8">
        <v>30</v>
      </c>
      <c r="N2683" s="5">
        <v>438.95</v>
      </c>
      <c r="O2683" s="5">
        <v>13168.5</v>
      </c>
      <c r="P2683">
        <f t="shared" si="165"/>
        <v>1</v>
      </c>
      <c r="Q2683" s="36">
        <f t="shared" si="166"/>
        <v>13168.5</v>
      </c>
      <c r="R2683">
        <f t="shared" si="167"/>
        <v>2022</v>
      </c>
    </row>
    <row r="2684" spans="1:18" x14ac:dyDescent="0.2">
      <c r="A2684" s="13">
        <v>45300</v>
      </c>
      <c r="B2684" s="13">
        <v>45300</v>
      </c>
      <c r="C2684" s="25" t="s">
        <v>398</v>
      </c>
      <c r="D2684" s="20">
        <v>0</v>
      </c>
      <c r="E2684" s="28">
        <v>39505.5</v>
      </c>
      <c r="F2684" s="22" t="s">
        <v>248</v>
      </c>
      <c r="G2684" s="14">
        <v>90</v>
      </c>
      <c r="H2684" s="40">
        <v>44923</v>
      </c>
      <c r="I2684" s="46">
        <f t="shared" si="164"/>
        <v>377</v>
      </c>
      <c r="J2684" s="1" t="s">
        <v>15</v>
      </c>
      <c r="K2684" s="4" t="s">
        <v>199</v>
      </c>
      <c r="L2684" s="4" t="s">
        <v>225</v>
      </c>
      <c r="M2684" s="8">
        <v>90</v>
      </c>
      <c r="N2684" s="5">
        <v>438.95</v>
      </c>
      <c r="O2684" s="5">
        <v>39505.5</v>
      </c>
      <c r="P2684">
        <f t="shared" si="165"/>
        <v>1</v>
      </c>
      <c r="Q2684" s="36">
        <f t="shared" si="166"/>
        <v>39505.5</v>
      </c>
      <c r="R2684">
        <f t="shared" si="167"/>
        <v>2022</v>
      </c>
    </row>
    <row r="2685" spans="1:18" x14ac:dyDescent="0.2">
      <c r="A2685" s="13">
        <v>45300</v>
      </c>
      <c r="B2685" s="13">
        <v>45300</v>
      </c>
      <c r="C2685" s="25" t="s">
        <v>398</v>
      </c>
      <c r="D2685" s="20">
        <v>0</v>
      </c>
      <c r="E2685" s="28">
        <v>26337</v>
      </c>
      <c r="F2685" s="22" t="s">
        <v>248</v>
      </c>
      <c r="G2685" s="14">
        <v>60</v>
      </c>
      <c r="H2685" s="40">
        <v>44932</v>
      </c>
      <c r="I2685" s="46">
        <f t="shared" si="164"/>
        <v>368</v>
      </c>
      <c r="J2685" s="1" t="s">
        <v>15</v>
      </c>
      <c r="K2685" s="4" t="s">
        <v>199</v>
      </c>
      <c r="L2685" s="4" t="s">
        <v>225</v>
      </c>
      <c r="M2685" s="8">
        <v>60</v>
      </c>
      <c r="N2685" s="5">
        <v>438.95</v>
      </c>
      <c r="O2685" s="5">
        <v>26337</v>
      </c>
      <c r="P2685">
        <f t="shared" si="165"/>
        <v>1</v>
      </c>
      <c r="Q2685" s="36">
        <f t="shared" si="166"/>
        <v>26337</v>
      </c>
      <c r="R2685">
        <f t="shared" si="167"/>
        <v>2023</v>
      </c>
    </row>
    <row r="2686" spans="1:18" x14ac:dyDescent="0.2">
      <c r="A2686" s="13">
        <v>45307</v>
      </c>
      <c r="B2686" s="13">
        <v>45307</v>
      </c>
      <c r="C2686" s="25" t="s">
        <v>398</v>
      </c>
      <c r="D2686" s="20">
        <v>0</v>
      </c>
      <c r="E2686" s="28">
        <v>26337</v>
      </c>
      <c r="F2686" s="22" t="s">
        <v>248</v>
      </c>
      <c r="G2686" s="14">
        <v>60</v>
      </c>
      <c r="H2686" s="40">
        <v>44932</v>
      </c>
      <c r="I2686" s="46">
        <f t="shared" si="164"/>
        <v>375</v>
      </c>
      <c r="J2686" s="1" t="s">
        <v>15</v>
      </c>
      <c r="K2686" s="4" t="s">
        <v>199</v>
      </c>
      <c r="L2686" s="4" t="s">
        <v>225</v>
      </c>
      <c r="M2686" s="8">
        <v>60</v>
      </c>
      <c r="N2686" s="5">
        <v>438.95</v>
      </c>
      <c r="O2686" s="5">
        <v>26337</v>
      </c>
      <c r="P2686">
        <f t="shared" si="165"/>
        <v>1</v>
      </c>
      <c r="Q2686" s="36">
        <f t="shared" si="166"/>
        <v>26337</v>
      </c>
      <c r="R2686">
        <f t="shared" si="167"/>
        <v>2023</v>
      </c>
    </row>
    <row r="2687" spans="1:18" x14ac:dyDescent="0.2">
      <c r="A2687" s="13">
        <v>45307</v>
      </c>
      <c r="B2687" s="13">
        <v>45307</v>
      </c>
      <c r="C2687" s="25" t="s">
        <v>398</v>
      </c>
      <c r="D2687" s="20">
        <v>0</v>
      </c>
      <c r="E2687" s="28">
        <v>39505.5</v>
      </c>
      <c r="F2687" s="22" t="s">
        <v>248</v>
      </c>
      <c r="G2687" s="14">
        <v>90</v>
      </c>
      <c r="H2687" s="40">
        <v>44932</v>
      </c>
      <c r="I2687" s="46">
        <f t="shared" si="164"/>
        <v>375</v>
      </c>
      <c r="J2687" s="1" t="s">
        <v>15</v>
      </c>
      <c r="K2687" s="4" t="s">
        <v>199</v>
      </c>
      <c r="L2687" s="4" t="s">
        <v>225</v>
      </c>
      <c r="M2687" s="8">
        <v>90</v>
      </c>
      <c r="N2687" s="5">
        <v>438.95</v>
      </c>
      <c r="O2687" s="5">
        <v>39505.5</v>
      </c>
      <c r="P2687">
        <f t="shared" si="165"/>
        <v>1</v>
      </c>
      <c r="Q2687" s="36">
        <f t="shared" si="166"/>
        <v>39505.5</v>
      </c>
      <c r="R2687">
        <f t="shared" si="167"/>
        <v>2023</v>
      </c>
    </row>
    <row r="2688" spans="1:18" x14ac:dyDescent="0.2">
      <c r="A2688" s="13">
        <v>45307</v>
      </c>
      <c r="B2688" s="13">
        <v>45307</v>
      </c>
      <c r="C2688" s="25" t="s">
        <v>398</v>
      </c>
      <c r="D2688" s="20">
        <v>0</v>
      </c>
      <c r="E2688" s="28">
        <v>39505.5</v>
      </c>
      <c r="F2688" s="22" t="s">
        <v>248</v>
      </c>
      <c r="G2688" s="14">
        <v>90</v>
      </c>
      <c r="H2688" s="40">
        <v>44932</v>
      </c>
      <c r="I2688" s="46">
        <f t="shared" si="164"/>
        <v>375</v>
      </c>
      <c r="J2688" s="1" t="s">
        <v>15</v>
      </c>
      <c r="K2688" s="4" t="s">
        <v>199</v>
      </c>
      <c r="L2688" s="4" t="s">
        <v>225</v>
      </c>
      <c r="M2688" s="8">
        <v>90</v>
      </c>
      <c r="N2688" s="5">
        <v>438.95</v>
      </c>
      <c r="O2688" s="5">
        <v>39505.5</v>
      </c>
      <c r="P2688">
        <f t="shared" si="165"/>
        <v>1</v>
      </c>
      <c r="Q2688" s="36">
        <f t="shared" si="166"/>
        <v>39505.5</v>
      </c>
      <c r="R2688">
        <f t="shared" si="167"/>
        <v>2023</v>
      </c>
    </row>
    <row r="2689" spans="1:18" x14ac:dyDescent="0.2">
      <c r="A2689" s="13">
        <v>45307</v>
      </c>
      <c r="B2689" s="13">
        <v>45307</v>
      </c>
      <c r="C2689" s="25" t="s">
        <v>398</v>
      </c>
      <c r="D2689" s="20">
        <v>0</v>
      </c>
      <c r="E2689" s="28">
        <v>39505.5</v>
      </c>
      <c r="F2689" s="22" t="s">
        <v>248</v>
      </c>
      <c r="G2689" s="14">
        <v>90</v>
      </c>
      <c r="H2689" s="40">
        <v>44932</v>
      </c>
      <c r="I2689" s="46">
        <f t="shared" si="164"/>
        <v>375</v>
      </c>
      <c r="J2689" s="1" t="s">
        <v>15</v>
      </c>
      <c r="K2689" s="4" t="s">
        <v>199</v>
      </c>
      <c r="L2689" s="4" t="s">
        <v>225</v>
      </c>
      <c r="M2689" s="8">
        <v>90</v>
      </c>
      <c r="N2689" s="5">
        <v>438.95</v>
      </c>
      <c r="O2689" s="5">
        <v>39505.5</v>
      </c>
      <c r="P2689">
        <f t="shared" si="165"/>
        <v>1</v>
      </c>
      <c r="Q2689" s="36">
        <f t="shared" si="166"/>
        <v>39505.5</v>
      </c>
      <c r="R2689">
        <f t="shared" si="167"/>
        <v>2023</v>
      </c>
    </row>
    <row r="2690" spans="1:18" x14ac:dyDescent="0.2">
      <c r="A2690" s="13">
        <v>45307</v>
      </c>
      <c r="B2690" s="13">
        <v>45307</v>
      </c>
      <c r="C2690" s="25" t="s">
        <v>398</v>
      </c>
      <c r="D2690" s="20">
        <v>0</v>
      </c>
      <c r="E2690" s="28">
        <v>39505.5</v>
      </c>
      <c r="F2690" s="22" t="s">
        <v>248</v>
      </c>
      <c r="G2690" s="14">
        <v>90</v>
      </c>
      <c r="H2690" s="40">
        <v>44932</v>
      </c>
      <c r="I2690" s="46">
        <f t="shared" si="164"/>
        <v>375</v>
      </c>
      <c r="J2690" s="1" t="s">
        <v>15</v>
      </c>
      <c r="K2690" s="4" t="s">
        <v>199</v>
      </c>
      <c r="L2690" s="4" t="s">
        <v>225</v>
      </c>
      <c r="M2690" s="8">
        <v>90</v>
      </c>
      <c r="N2690" s="5">
        <v>438.95</v>
      </c>
      <c r="O2690" s="5">
        <v>39505.5</v>
      </c>
      <c r="P2690">
        <f t="shared" si="165"/>
        <v>1</v>
      </c>
      <c r="Q2690" s="36">
        <f t="shared" si="166"/>
        <v>39505.5</v>
      </c>
      <c r="R2690">
        <f t="shared" si="167"/>
        <v>2023</v>
      </c>
    </row>
    <row r="2691" spans="1:18" x14ac:dyDescent="0.2">
      <c r="A2691" s="13">
        <v>45307</v>
      </c>
      <c r="B2691" s="13">
        <v>45307</v>
      </c>
      <c r="C2691" s="25" t="s">
        <v>398</v>
      </c>
      <c r="D2691" s="20">
        <v>0</v>
      </c>
      <c r="E2691" s="28">
        <v>39505.5</v>
      </c>
      <c r="F2691" s="22" t="s">
        <v>248</v>
      </c>
      <c r="G2691" s="14">
        <v>90</v>
      </c>
      <c r="H2691" s="40">
        <v>44932</v>
      </c>
      <c r="I2691" s="46">
        <f t="shared" ref="I2691:I2754" si="168">IFERROR(A2691-H2691,"")*1</f>
        <v>375</v>
      </c>
      <c r="J2691" s="1" t="s">
        <v>15</v>
      </c>
      <c r="K2691" s="4" t="s">
        <v>199</v>
      </c>
      <c r="L2691" s="4" t="s">
        <v>225</v>
      </c>
      <c r="M2691" s="8">
        <v>90</v>
      </c>
      <c r="N2691" s="5">
        <v>438.95</v>
      </c>
      <c r="O2691" s="5">
        <v>39505.5</v>
      </c>
      <c r="P2691">
        <f t="shared" ref="P2691:P2754" si="169">IF(M2691=G2691,1,0)</f>
        <v>1</v>
      </c>
      <c r="Q2691" s="36">
        <f t="shared" ref="Q2691:Q2754" si="170">N2691*G2691</f>
        <v>39505.5</v>
      </c>
      <c r="R2691">
        <f t="shared" ref="R2691:R2754" si="171">YEAR(H2691)</f>
        <v>2023</v>
      </c>
    </row>
    <row r="2692" spans="1:18" x14ac:dyDescent="0.2">
      <c r="A2692" s="13">
        <v>45314</v>
      </c>
      <c r="B2692" s="13">
        <v>45314</v>
      </c>
      <c r="C2692" s="25" t="s">
        <v>398</v>
      </c>
      <c r="D2692" s="20">
        <v>0</v>
      </c>
      <c r="E2692" s="28">
        <v>39505.5</v>
      </c>
      <c r="F2692" s="22" t="s">
        <v>248</v>
      </c>
      <c r="G2692" s="14">
        <v>90</v>
      </c>
      <c r="H2692" s="40">
        <v>44939</v>
      </c>
      <c r="I2692" s="46">
        <f t="shared" si="168"/>
        <v>375</v>
      </c>
      <c r="J2692" s="1" t="s">
        <v>15</v>
      </c>
      <c r="K2692" s="4" t="s">
        <v>199</v>
      </c>
      <c r="L2692" s="4" t="s">
        <v>225</v>
      </c>
      <c r="M2692" s="8">
        <v>90</v>
      </c>
      <c r="N2692" s="5">
        <v>438.95</v>
      </c>
      <c r="O2692" s="5">
        <v>39505.5</v>
      </c>
      <c r="P2692">
        <f t="shared" si="169"/>
        <v>1</v>
      </c>
      <c r="Q2692" s="36">
        <f t="shared" si="170"/>
        <v>39505.5</v>
      </c>
      <c r="R2692">
        <f t="shared" si="171"/>
        <v>2023</v>
      </c>
    </row>
    <row r="2693" spans="1:18" x14ac:dyDescent="0.2">
      <c r="A2693" s="13">
        <v>45314</v>
      </c>
      <c r="B2693" s="13">
        <v>45314</v>
      </c>
      <c r="C2693" s="25" t="s">
        <v>398</v>
      </c>
      <c r="D2693" s="20">
        <v>0</v>
      </c>
      <c r="E2693" s="28">
        <v>39505.5</v>
      </c>
      <c r="F2693" s="22" t="s">
        <v>248</v>
      </c>
      <c r="G2693" s="14">
        <v>90</v>
      </c>
      <c r="H2693" s="40">
        <v>44939</v>
      </c>
      <c r="I2693" s="46">
        <f t="shared" si="168"/>
        <v>375</v>
      </c>
      <c r="J2693" s="1" t="s">
        <v>15</v>
      </c>
      <c r="K2693" s="4" t="s">
        <v>199</v>
      </c>
      <c r="L2693" s="4" t="s">
        <v>225</v>
      </c>
      <c r="M2693" s="8">
        <v>90</v>
      </c>
      <c r="N2693" s="5">
        <v>438.95</v>
      </c>
      <c r="O2693" s="5">
        <v>39505.5</v>
      </c>
      <c r="P2693">
        <f t="shared" si="169"/>
        <v>1</v>
      </c>
      <c r="Q2693" s="36">
        <f t="shared" si="170"/>
        <v>39505.5</v>
      </c>
      <c r="R2693">
        <f t="shared" si="171"/>
        <v>2023</v>
      </c>
    </row>
    <row r="2694" spans="1:18" x14ac:dyDescent="0.2">
      <c r="A2694" s="13">
        <v>45314</v>
      </c>
      <c r="B2694" s="13">
        <v>45314</v>
      </c>
      <c r="C2694" s="25" t="s">
        <v>398</v>
      </c>
      <c r="D2694" s="20">
        <v>0</v>
      </c>
      <c r="E2694" s="28">
        <v>39505.5</v>
      </c>
      <c r="F2694" s="22" t="s">
        <v>248</v>
      </c>
      <c r="G2694" s="14">
        <v>90</v>
      </c>
      <c r="H2694" s="40">
        <v>44939</v>
      </c>
      <c r="I2694" s="46">
        <f t="shared" si="168"/>
        <v>375</v>
      </c>
      <c r="J2694" s="1" t="s">
        <v>15</v>
      </c>
      <c r="K2694" s="4" t="s">
        <v>199</v>
      </c>
      <c r="L2694" s="4" t="s">
        <v>225</v>
      </c>
      <c r="M2694" s="8">
        <v>90</v>
      </c>
      <c r="N2694" s="5">
        <v>438.95</v>
      </c>
      <c r="O2694" s="5">
        <v>39505.5</v>
      </c>
      <c r="P2694">
        <f t="shared" si="169"/>
        <v>1</v>
      </c>
      <c r="Q2694" s="36">
        <f t="shared" si="170"/>
        <v>39505.5</v>
      </c>
      <c r="R2694">
        <f t="shared" si="171"/>
        <v>2023</v>
      </c>
    </row>
    <row r="2695" spans="1:18" x14ac:dyDescent="0.2">
      <c r="A2695" s="13">
        <v>45314</v>
      </c>
      <c r="B2695" s="13">
        <v>45314</v>
      </c>
      <c r="C2695" s="25" t="s">
        <v>398</v>
      </c>
      <c r="D2695" s="20">
        <v>0</v>
      </c>
      <c r="E2695" s="28">
        <v>13168.5</v>
      </c>
      <c r="F2695" s="22" t="s">
        <v>248</v>
      </c>
      <c r="G2695" s="14">
        <v>30</v>
      </c>
      <c r="H2695" s="40">
        <v>44939</v>
      </c>
      <c r="I2695" s="46">
        <f t="shared" si="168"/>
        <v>375</v>
      </c>
      <c r="J2695" s="1" t="s">
        <v>15</v>
      </c>
      <c r="K2695" s="4" t="s">
        <v>199</v>
      </c>
      <c r="L2695" s="4" t="s">
        <v>225</v>
      </c>
      <c r="M2695" s="8">
        <v>30</v>
      </c>
      <c r="N2695" s="5">
        <v>438.95</v>
      </c>
      <c r="O2695" s="5">
        <v>13168.5</v>
      </c>
      <c r="P2695">
        <f t="shared" si="169"/>
        <v>1</v>
      </c>
      <c r="Q2695" s="36">
        <f t="shared" si="170"/>
        <v>13168.5</v>
      </c>
      <c r="R2695">
        <f t="shared" si="171"/>
        <v>2023</v>
      </c>
    </row>
    <row r="2696" spans="1:18" x14ac:dyDescent="0.2">
      <c r="A2696" s="13">
        <v>45314</v>
      </c>
      <c r="B2696" s="13">
        <v>45314</v>
      </c>
      <c r="C2696" s="25" t="s">
        <v>398</v>
      </c>
      <c r="D2696" s="20">
        <v>0</v>
      </c>
      <c r="E2696" s="28">
        <v>39505.5</v>
      </c>
      <c r="F2696" s="22" t="s">
        <v>248</v>
      </c>
      <c r="G2696" s="14">
        <v>90</v>
      </c>
      <c r="H2696" s="40">
        <v>44939</v>
      </c>
      <c r="I2696" s="46">
        <f t="shared" si="168"/>
        <v>375</v>
      </c>
      <c r="J2696" s="1" t="s">
        <v>15</v>
      </c>
      <c r="K2696" s="4" t="s">
        <v>199</v>
      </c>
      <c r="L2696" s="4" t="s">
        <v>225</v>
      </c>
      <c r="M2696" s="8">
        <v>90</v>
      </c>
      <c r="N2696" s="5">
        <v>438.95</v>
      </c>
      <c r="O2696" s="5">
        <v>39505.5</v>
      </c>
      <c r="P2696">
        <f t="shared" si="169"/>
        <v>1</v>
      </c>
      <c r="Q2696" s="36">
        <f t="shared" si="170"/>
        <v>39505.5</v>
      </c>
      <c r="R2696">
        <f t="shared" si="171"/>
        <v>2023</v>
      </c>
    </row>
    <row r="2697" spans="1:18" x14ac:dyDescent="0.2">
      <c r="A2697" s="13">
        <v>45314</v>
      </c>
      <c r="B2697" s="13">
        <v>45314</v>
      </c>
      <c r="C2697" s="25" t="s">
        <v>398</v>
      </c>
      <c r="D2697" s="20">
        <v>0</v>
      </c>
      <c r="E2697" s="28">
        <v>39505.5</v>
      </c>
      <c r="F2697" s="22" t="s">
        <v>248</v>
      </c>
      <c r="G2697" s="14">
        <v>90</v>
      </c>
      <c r="H2697" s="40">
        <v>44939</v>
      </c>
      <c r="I2697" s="46">
        <f t="shared" si="168"/>
        <v>375</v>
      </c>
      <c r="J2697" s="1" t="s">
        <v>15</v>
      </c>
      <c r="K2697" s="4" t="s">
        <v>199</v>
      </c>
      <c r="L2697" s="4" t="s">
        <v>225</v>
      </c>
      <c r="M2697" s="8">
        <v>90</v>
      </c>
      <c r="N2697" s="5">
        <v>438.95</v>
      </c>
      <c r="O2697" s="5">
        <v>39505.5</v>
      </c>
      <c r="P2697">
        <f t="shared" si="169"/>
        <v>1</v>
      </c>
      <c r="Q2697" s="36">
        <f t="shared" si="170"/>
        <v>39505.5</v>
      </c>
      <c r="R2697">
        <f t="shared" si="171"/>
        <v>2023</v>
      </c>
    </row>
    <row r="2698" spans="1:18" x14ac:dyDescent="0.2">
      <c r="A2698" s="13">
        <v>45321</v>
      </c>
      <c r="B2698" s="13">
        <v>45321</v>
      </c>
      <c r="C2698" s="25" t="s">
        <v>398</v>
      </c>
      <c r="D2698" s="20">
        <v>0</v>
      </c>
      <c r="E2698" s="28">
        <v>13168.5</v>
      </c>
      <c r="F2698" s="22" t="s">
        <v>248</v>
      </c>
      <c r="G2698" s="14">
        <v>30</v>
      </c>
      <c r="H2698" s="40">
        <v>44943</v>
      </c>
      <c r="I2698" s="46">
        <f t="shared" si="168"/>
        <v>378</v>
      </c>
      <c r="J2698" s="1" t="s">
        <v>15</v>
      </c>
      <c r="K2698" s="4" t="s">
        <v>200</v>
      </c>
      <c r="L2698" s="4" t="s">
        <v>225</v>
      </c>
      <c r="M2698" s="8">
        <v>30</v>
      </c>
      <c r="N2698" s="5">
        <v>438.95</v>
      </c>
      <c r="O2698" s="5">
        <v>13168.5</v>
      </c>
      <c r="P2698">
        <f t="shared" si="169"/>
        <v>1</v>
      </c>
      <c r="Q2698" s="36">
        <f t="shared" si="170"/>
        <v>13168.5</v>
      </c>
      <c r="R2698">
        <f t="shared" si="171"/>
        <v>2023</v>
      </c>
    </row>
    <row r="2699" spans="1:18" x14ac:dyDescent="0.2">
      <c r="A2699" s="13">
        <v>45321</v>
      </c>
      <c r="B2699" s="13">
        <v>45321</v>
      </c>
      <c r="C2699" s="25" t="s">
        <v>398</v>
      </c>
      <c r="D2699" s="20">
        <v>0</v>
      </c>
      <c r="E2699" s="28">
        <v>39505.5</v>
      </c>
      <c r="F2699" s="22" t="s">
        <v>248</v>
      </c>
      <c r="G2699" s="14">
        <v>90</v>
      </c>
      <c r="H2699" s="40">
        <v>44943</v>
      </c>
      <c r="I2699" s="46">
        <f t="shared" si="168"/>
        <v>378</v>
      </c>
      <c r="J2699" s="1" t="s">
        <v>15</v>
      </c>
      <c r="K2699" s="4" t="s">
        <v>200</v>
      </c>
      <c r="L2699" s="4" t="s">
        <v>225</v>
      </c>
      <c r="M2699" s="8">
        <v>90</v>
      </c>
      <c r="N2699" s="5">
        <v>438.95</v>
      </c>
      <c r="O2699" s="5">
        <v>39505.5</v>
      </c>
      <c r="P2699">
        <f t="shared" si="169"/>
        <v>1</v>
      </c>
      <c r="Q2699" s="36">
        <f t="shared" si="170"/>
        <v>39505.5</v>
      </c>
      <c r="R2699">
        <f t="shared" si="171"/>
        <v>2023</v>
      </c>
    </row>
    <row r="2700" spans="1:18" x14ac:dyDescent="0.2">
      <c r="A2700" s="13">
        <v>45321</v>
      </c>
      <c r="B2700" s="13">
        <v>45321</v>
      </c>
      <c r="C2700" s="25" t="s">
        <v>398</v>
      </c>
      <c r="D2700" s="20">
        <v>0</v>
      </c>
      <c r="E2700" s="28">
        <v>39505.5</v>
      </c>
      <c r="F2700" s="22" t="s">
        <v>248</v>
      </c>
      <c r="G2700" s="14">
        <v>90</v>
      </c>
      <c r="H2700" s="40">
        <v>44953</v>
      </c>
      <c r="I2700" s="46">
        <f t="shared" si="168"/>
        <v>368</v>
      </c>
      <c r="J2700" s="1" t="s">
        <v>15</v>
      </c>
      <c r="K2700" s="4" t="s">
        <v>199</v>
      </c>
      <c r="L2700" s="4" t="s">
        <v>225</v>
      </c>
      <c r="M2700" s="8">
        <v>90</v>
      </c>
      <c r="N2700" s="5">
        <v>438.95</v>
      </c>
      <c r="O2700" s="5">
        <v>39505.5</v>
      </c>
      <c r="P2700">
        <f t="shared" si="169"/>
        <v>1</v>
      </c>
      <c r="Q2700" s="36">
        <f t="shared" si="170"/>
        <v>39505.5</v>
      </c>
      <c r="R2700">
        <f t="shared" si="171"/>
        <v>2023</v>
      </c>
    </row>
    <row r="2701" spans="1:18" x14ac:dyDescent="0.2">
      <c r="A2701" s="13">
        <v>45321</v>
      </c>
      <c r="B2701" s="13">
        <v>45321</v>
      </c>
      <c r="C2701" s="25" t="s">
        <v>398</v>
      </c>
      <c r="D2701" s="20">
        <v>0</v>
      </c>
      <c r="E2701" s="28">
        <v>39505.5</v>
      </c>
      <c r="F2701" s="22" t="s">
        <v>248</v>
      </c>
      <c r="G2701" s="14">
        <v>90</v>
      </c>
      <c r="H2701" s="40">
        <v>44953</v>
      </c>
      <c r="I2701" s="46">
        <f t="shared" si="168"/>
        <v>368</v>
      </c>
      <c r="J2701" s="1" t="s">
        <v>15</v>
      </c>
      <c r="K2701" s="4" t="s">
        <v>199</v>
      </c>
      <c r="L2701" s="4" t="s">
        <v>225</v>
      </c>
      <c r="M2701" s="8">
        <v>90</v>
      </c>
      <c r="N2701" s="5">
        <v>438.95</v>
      </c>
      <c r="O2701" s="5">
        <v>39505.5</v>
      </c>
      <c r="P2701">
        <f t="shared" si="169"/>
        <v>1</v>
      </c>
      <c r="Q2701" s="36">
        <f t="shared" si="170"/>
        <v>39505.5</v>
      </c>
      <c r="R2701">
        <f t="shared" si="171"/>
        <v>2023</v>
      </c>
    </row>
    <row r="2702" spans="1:18" x14ac:dyDescent="0.2">
      <c r="A2702" s="13">
        <v>45321</v>
      </c>
      <c r="B2702" s="13">
        <v>45321</v>
      </c>
      <c r="C2702" s="25" t="s">
        <v>398</v>
      </c>
      <c r="D2702" s="20">
        <v>0</v>
      </c>
      <c r="E2702" s="28">
        <v>39505.5</v>
      </c>
      <c r="F2702" s="22" t="s">
        <v>248</v>
      </c>
      <c r="G2702" s="14">
        <v>90</v>
      </c>
      <c r="H2702" s="40">
        <v>44953</v>
      </c>
      <c r="I2702" s="46">
        <f t="shared" si="168"/>
        <v>368</v>
      </c>
      <c r="J2702" s="1" t="s">
        <v>15</v>
      </c>
      <c r="K2702" s="4" t="s">
        <v>199</v>
      </c>
      <c r="L2702" s="4" t="s">
        <v>225</v>
      </c>
      <c r="M2702" s="8">
        <v>90</v>
      </c>
      <c r="N2702" s="5">
        <v>438.95</v>
      </c>
      <c r="O2702" s="5">
        <v>39505.5</v>
      </c>
      <c r="P2702">
        <f t="shared" si="169"/>
        <v>1</v>
      </c>
      <c r="Q2702" s="36">
        <f t="shared" si="170"/>
        <v>39505.5</v>
      </c>
      <c r="R2702">
        <f t="shared" si="171"/>
        <v>2023</v>
      </c>
    </row>
    <row r="2703" spans="1:18" x14ac:dyDescent="0.2">
      <c r="A2703" s="13">
        <v>45321</v>
      </c>
      <c r="B2703" s="13">
        <v>45321</v>
      </c>
      <c r="C2703" s="25" t="s">
        <v>398</v>
      </c>
      <c r="D2703" s="20">
        <v>0</v>
      </c>
      <c r="E2703" s="28">
        <v>39505.5</v>
      </c>
      <c r="F2703" s="22" t="s">
        <v>248</v>
      </c>
      <c r="G2703" s="14">
        <v>90</v>
      </c>
      <c r="H2703" s="40">
        <v>44953</v>
      </c>
      <c r="I2703" s="46">
        <f t="shared" si="168"/>
        <v>368</v>
      </c>
      <c r="J2703" s="1" t="s">
        <v>15</v>
      </c>
      <c r="K2703" s="4" t="s">
        <v>199</v>
      </c>
      <c r="L2703" s="4" t="s">
        <v>225</v>
      </c>
      <c r="M2703" s="8">
        <v>90</v>
      </c>
      <c r="N2703" s="5">
        <v>438.95</v>
      </c>
      <c r="O2703" s="5">
        <v>39505.5</v>
      </c>
      <c r="P2703">
        <f t="shared" si="169"/>
        <v>1</v>
      </c>
      <c r="Q2703" s="36">
        <f t="shared" si="170"/>
        <v>39505.5</v>
      </c>
      <c r="R2703">
        <f t="shared" si="171"/>
        <v>2023</v>
      </c>
    </row>
    <row r="2704" spans="1:18" x14ac:dyDescent="0.2">
      <c r="A2704" s="13">
        <v>45321</v>
      </c>
      <c r="B2704" s="13">
        <v>45321</v>
      </c>
      <c r="C2704" s="25" t="s">
        <v>398</v>
      </c>
      <c r="D2704" s="20">
        <v>0</v>
      </c>
      <c r="E2704" s="28">
        <v>26337</v>
      </c>
      <c r="F2704" s="22" t="s">
        <v>248</v>
      </c>
      <c r="G2704" s="14">
        <v>60</v>
      </c>
      <c r="H2704" s="40">
        <v>44953</v>
      </c>
      <c r="I2704" s="46">
        <f t="shared" si="168"/>
        <v>368</v>
      </c>
      <c r="J2704" s="1" t="s">
        <v>15</v>
      </c>
      <c r="K2704" s="4" t="s">
        <v>199</v>
      </c>
      <c r="L2704" s="4" t="s">
        <v>225</v>
      </c>
      <c r="M2704" s="8">
        <v>60</v>
      </c>
      <c r="N2704" s="5">
        <v>438.95</v>
      </c>
      <c r="O2704" s="5">
        <v>26337</v>
      </c>
      <c r="P2704">
        <f t="shared" si="169"/>
        <v>1</v>
      </c>
      <c r="Q2704" s="36">
        <f t="shared" si="170"/>
        <v>26337</v>
      </c>
      <c r="R2704">
        <f t="shared" si="171"/>
        <v>2023</v>
      </c>
    </row>
    <row r="2705" spans="1:18" x14ac:dyDescent="0.2">
      <c r="A2705" s="13">
        <v>45321</v>
      </c>
      <c r="B2705" s="13">
        <v>45321</v>
      </c>
      <c r="C2705" s="25" t="s">
        <v>398</v>
      </c>
      <c r="D2705" s="20">
        <v>0</v>
      </c>
      <c r="E2705" s="28">
        <v>39505.5</v>
      </c>
      <c r="F2705" s="22" t="s">
        <v>248</v>
      </c>
      <c r="G2705" s="14">
        <v>90</v>
      </c>
      <c r="H2705" s="40">
        <v>44953</v>
      </c>
      <c r="I2705" s="46">
        <f t="shared" si="168"/>
        <v>368</v>
      </c>
      <c r="J2705" s="1" t="s">
        <v>15</v>
      </c>
      <c r="K2705" s="4" t="s">
        <v>199</v>
      </c>
      <c r="L2705" s="4" t="s">
        <v>225</v>
      </c>
      <c r="M2705" s="8">
        <v>90</v>
      </c>
      <c r="N2705" s="5">
        <v>438.95</v>
      </c>
      <c r="O2705" s="5">
        <v>39505.5</v>
      </c>
      <c r="P2705">
        <f t="shared" si="169"/>
        <v>1</v>
      </c>
      <c r="Q2705" s="36">
        <f t="shared" si="170"/>
        <v>39505.5</v>
      </c>
      <c r="R2705">
        <f t="shared" si="171"/>
        <v>2023</v>
      </c>
    </row>
    <row r="2706" spans="1:18" x14ac:dyDescent="0.2">
      <c r="A2706" s="13">
        <v>45328</v>
      </c>
      <c r="B2706" s="13">
        <v>45328</v>
      </c>
      <c r="C2706" s="25" t="s">
        <v>398</v>
      </c>
      <c r="D2706" s="20">
        <v>0</v>
      </c>
      <c r="E2706" s="28">
        <v>39505.5</v>
      </c>
      <c r="F2706" s="22" t="s">
        <v>248</v>
      </c>
      <c r="G2706" s="14">
        <v>90</v>
      </c>
      <c r="H2706" s="40">
        <v>44953</v>
      </c>
      <c r="I2706" s="46">
        <f t="shared" si="168"/>
        <v>375</v>
      </c>
      <c r="J2706" s="1" t="s">
        <v>15</v>
      </c>
      <c r="K2706" s="4" t="s">
        <v>199</v>
      </c>
      <c r="L2706" s="4" t="s">
        <v>225</v>
      </c>
      <c r="M2706" s="8">
        <v>90</v>
      </c>
      <c r="N2706" s="5">
        <v>438.95</v>
      </c>
      <c r="O2706" s="5">
        <v>39505.5</v>
      </c>
      <c r="P2706">
        <f t="shared" si="169"/>
        <v>1</v>
      </c>
      <c r="Q2706" s="36">
        <f t="shared" si="170"/>
        <v>39505.5</v>
      </c>
      <c r="R2706">
        <f t="shared" si="171"/>
        <v>2023</v>
      </c>
    </row>
    <row r="2707" spans="1:18" x14ac:dyDescent="0.2">
      <c r="A2707" s="13">
        <v>45328</v>
      </c>
      <c r="B2707" s="13">
        <v>45328</v>
      </c>
      <c r="C2707" s="25" t="s">
        <v>398</v>
      </c>
      <c r="D2707" s="20">
        <v>0</v>
      </c>
      <c r="E2707" s="28">
        <v>39505.5</v>
      </c>
      <c r="F2707" s="22" t="s">
        <v>248</v>
      </c>
      <c r="G2707" s="14">
        <v>90</v>
      </c>
      <c r="H2707" s="40">
        <v>44953</v>
      </c>
      <c r="I2707" s="46">
        <f t="shared" si="168"/>
        <v>375</v>
      </c>
      <c r="J2707" s="1" t="s">
        <v>15</v>
      </c>
      <c r="K2707" s="4" t="s">
        <v>199</v>
      </c>
      <c r="L2707" s="4" t="s">
        <v>225</v>
      </c>
      <c r="M2707" s="8">
        <v>90</v>
      </c>
      <c r="N2707" s="5">
        <v>438.95</v>
      </c>
      <c r="O2707" s="5">
        <v>39505.5</v>
      </c>
      <c r="P2707">
        <f t="shared" si="169"/>
        <v>1</v>
      </c>
      <c r="Q2707" s="36">
        <f t="shared" si="170"/>
        <v>39505.5</v>
      </c>
      <c r="R2707">
        <f t="shared" si="171"/>
        <v>2023</v>
      </c>
    </row>
    <row r="2708" spans="1:18" x14ac:dyDescent="0.2">
      <c r="A2708" s="13">
        <v>45328</v>
      </c>
      <c r="B2708" s="13">
        <v>45328</v>
      </c>
      <c r="C2708" s="25" t="s">
        <v>398</v>
      </c>
      <c r="D2708" s="20">
        <v>0</v>
      </c>
      <c r="E2708" s="28">
        <v>26337</v>
      </c>
      <c r="F2708" s="22" t="s">
        <v>248</v>
      </c>
      <c r="G2708" s="14">
        <v>60</v>
      </c>
      <c r="H2708" s="40">
        <v>44953</v>
      </c>
      <c r="I2708" s="46">
        <f t="shared" si="168"/>
        <v>375</v>
      </c>
      <c r="J2708" s="1" t="s">
        <v>15</v>
      </c>
      <c r="K2708" s="4" t="s">
        <v>199</v>
      </c>
      <c r="L2708" s="4" t="s">
        <v>225</v>
      </c>
      <c r="M2708" s="8">
        <v>60</v>
      </c>
      <c r="N2708" s="5">
        <v>438.95</v>
      </c>
      <c r="O2708" s="5">
        <v>26337</v>
      </c>
      <c r="P2708">
        <f t="shared" si="169"/>
        <v>1</v>
      </c>
      <c r="Q2708" s="36">
        <f t="shared" si="170"/>
        <v>26337</v>
      </c>
      <c r="R2708">
        <f t="shared" si="171"/>
        <v>2023</v>
      </c>
    </row>
    <row r="2709" spans="1:18" x14ac:dyDescent="0.2">
      <c r="A2709" s="13">
        <v>45328</v>
      </c>
      <c r="B2709" s="13">
        <v>45328</v>
      </c>
      <c r="C2709" s="25" t="s">
        <v>398</v>
      </c>
      <c r="D2709" s="20">
        <v>0</v>
      </c>
      <c r="E2709" s="28">
        <v>39505.5</v>
      </c>
      <c r="F2709" s="22" t="s">
        <v>248</v>
      </c>
      <c r="G2709" s="14">
        <v>90</v>
      </c>
      <c r="H2709" s="40">
        <v>44953</v>
      </c>
      <c r="I2709" s="46">
        <f t="shared" si="168"/>
        <v>375</v>
      </c>
      <c r="J2709" s="1" t="s">
        <v>15</v>
      </c>
      <c r="K2709" s="4" t="s">
        <v>199</v>
      </c>
      <c r="L2709" s="4" t="s">
        <v>225</v>
      </c>
      <c r="M2709" s="8">
        <v>90</v>
      </c>
      <c r="N2709" s="5">
        <v>438.95</v>
      </c>
      <c r="O2709" s="5">
        <v>39505.5</v>
      </c>
      <c r="P2709">
        <f t="shared" si="169"/>
        <v>1</v>
      </c>
      <c r="Q2709" s="36">
        <f t="shared" si="170"/>
        <v>39505.5</v>
      </c>
      <c r="R2709">
        <f t="shared" si="171"/>
        <v>2023</v>
      </c>
    </row>
    <row r="2710" spans="1:18" x14ac:dyDescent="0.2">
      <c r="A2710" s="13">
        <v>45328</v>
      </c>
      <c r="B2710" s="13">
        <v>45328</v>
      </c>
      <c r="C2710" s="25" t="s">
        <v>398</v>
      </c>
      <c r="D2710" s="20">
        <v>0</v>
      </c>
      <c r="E2710" s="28">
        <v>39505.5</v>
      </c>
      <c r="F2710" s="22" t="s">
        <v>248</v>
      </c>
      <c r="G2710" s="14">
        <v>90</v>
      </c>
      <c r="H2710" s="40">
        <v>44953</v>
      </c>
      <c r="I2710" s="46">
        <f t="shared" si="168"/>
        <v>375</v>
      </c>
      <c r="J2710" s="1" t="s">
        <v>15</v>
      </c>
      <c r="K2710" s="4" t="s">
        <v>199</v>
      </c>
      <c r="L2710" s="4" t="s">
        <v>225</v>
      </c>
      <c r="M2710" s="8">
        <v>90</v>
      </c>
      <c r="N2710" s="5">
        <v>438.95</v>
      </c>
      <c r="O2710" s="5">
        <v>39505.5</v>
      </c>
      <c r="P2710">
        <f t="shared" si="169"/>
        <v>1</v>
      </c>
      <c r="Q2710" s="36">
        <f t="shared" si="170"/>
        <v>39505.5</v>
      </c>
      <c r="R2710">
        <f t="shared" si="171"/>
        <v>2023</v>
      </c>
    </row>
    <row r="2711" spans="1:18" x14ac:dyDescent="0.2">
      <c r="A2711" s="13">
        <v>45328</v>
      </c>
      <c r="B2711" s="13">
        <v>45328</v>
      </c>
      <c r="C2711" s="25" t="s">
        <v>398</v>
      </c>
      <c r="D2711" s="20">
        <v>0</v>
      </c>
      <c r="E2711" s="28">
        <v>39505.5</v>
      </c>
      <c r="F2711" s="22" t="s">
        <v>248</v>
      </c>
      <c r="G2711" s="14">
        <v>90</v>
      </c>
      <c r="H2711" s="40">
        <v>44953</v>
      </c>
      <c r="I2711" s="46">
        <f t="shared" si="168"/>
        <v>375</v>
      </c>
      <c r="J2711" s="1" t="s">
        <v>15</v>
      </c>
      <c r="K2711" s="4" t="s">
        <v>199</v>
      </c>
      <c r="L2711" s="4" t="s">
        <v>225</v>
      </c>
      <c r="M2711" s="8">
        <v>90</v>
      </c>
      <c r="N2711" s="5">
        <v>438.95</v>
      </c>
      <c r="O2711" s="5">
        <v>39505.5</v>
      </c>
      <c r="P2711">
        <f t="shared" si="169"/>
        <v>1</v>
      </c>
      <c r="Q2711" s="36">
        <f t="shared" si="170"/>
        <v>39505.5</v>
      </c>
      <c r="R2711">
        <f t="shared" si="171"/>
        <v>2023</v>
      </c>
    </row>
    <row r="2712" spans="1:18" x14ac:dyDescent="0.2">
      <c r="A2712" s="13">
        <v>45366</v>
      </c>
      <c r="B2712" s="13">
        <v>45366</v>
      </c>
      <c r="C2712" s="25" t="s">
        <v>398</v>
      </c>
      <c r="D2712" s="20">
        <v>0</v>
      </c>
      <c r="E2712" s="28">
        <v>92179.5</v>
      </c>
      <c r="F2712" s="22" t="s">
        <v>248</v>
      </c>
      <c r="G2712" s="14">
        <v>210</v>
      </c>
      <c r="H2712" s="40">
        <v>44985</v>
      </c>
      <c r="I2712" s="46">
        <f t="shared" si="168"/>
        <v>381</v>
      </c>
      <c r="J2712" s="1" t="s">
        <v>15</v>
      </c>
      <c r="K2712" s="4" t="s">
        <v>200</v>
      </c>
      <c r="L2712" s="4" t="s">
        <v>225</v>
      </c>
      <c r="M2712" s="8">
        <v>210</v>
      </c>
      <c r="N2712" s="5">
        <v>438.95</v>
      </c>
      <c r="O2712" s="5">
        <v>92179.5</v>
      </c>
      <c r="P2712">
        <f t="shared" si="169"/>
        <v>1</v>
      </c>
      <c r="Q2712" s="36">
        <f t="shared" si="170"/>
        <v>92179.5</v>
      </c>
      <c r="R2712">
        <f t="shared" si="171"/>
        <v>2023</v>
      </c>
    </row>
    <row r="2713" spans="1:18" x14ac:dyDescent="0.2">
      <c r="A2713" s="13">
        <v>45366</v>
      </c>
      <c r="B2713" s="13">
        <v>45366</v>
      </c>
      <c r="C2713" s="25" t="s">
        <v>398</v>
      </c>
      <c r="D2713" s="20">
        <v>0</v>
      </c>
      <c r="E2713" s="28">
        <v>79011</v>
      </c>
      <c r="F2713" s="22" t="s">
        <v>248</v>
      </c>
      <c r="G2713" s="14">
        <v>180</v>
      </c>
      <c r="H2713" s="40">
        <v>44985</v>
      </c>
      <c r="I2713" s="46">
        <f t="shared" si="168"/>
        <v>381</v>
      </c>
      <c r="J2713" s="1" t="s">
        <v>15</v>
      </c>
      <c r="K2713" s="4" t="s">
        <v>200</v>
      </c>
      <c r="L2713" s="4" t="s">
        <v>225</v>
      </c>
      <c r="M2713" s="8">
        <v>180</v>
      </c>
      <c r="N2713" s="5">
        <v>438.95</v>
      </c>
      <c r="O2713" s="5">
        <v>79011</v>
      </c>
      <c r="P2713">
        <f t="shared" si="169"/>
        <v>1</v>
      </c>
      <c r="Q2713" s="36">
        <f t="shared" si="170"/>
        <v>79011</v>
      </c>
      <c r="R2713">
        <f t="shared" si="171"/>
        <v>2023</v>
      </c>
    </row>
    <row r="2714" spans="1:18" x14ac:dyDescent="0.2">
      <c r="A2714" s="13">
        <v>45366</v>
      </c>
      <c r="B2714" s="13">
        <v>45366</v>
      </c>
      <c r="C2714" s="25" t="s">
        <v>398</v>
      </c>
      <c r="D2714" s="20">
        <v>0</v>
      </c>
      <c r="E2714" s="28">
        <v>92179.5</v>
      </c>
      <c r="F2714" s="22" t="s">
        <v>248</v>
      </c>
      <c r="G2714" s="14">
        <v>210</v>
      </c>
      <c r="H2714" s="40">
        <v>44985</v>
      </c>
      <c r="I2714" s="46">
        <f t="shared" si="168"/>
        <v>381</v>
      </c>
      <c r="J2714" s="1" t="s">
        <v>15</v>
      </c>
      <c r="K2714" s="4" t="s">
        <v>200</v>
      </c>
      <c r="L2714" s="4" t="s">
        <v>225</v>
      </c>
      <c r="M2714" s="8">
        <v>210</v>
      </c>
      <c r="N2714" s="5">
        <v>438.95</v>
      </c>
      <c r="O2714" s="5">
        <v>92179.5</v>
      </c>
      <c r="P2714">
        <f t="shared" si="169"/>
        <v>1</v>
      </c>
      <c r="Q2714" s="36">
        <f t="shared" si="170"/>
        <v>92179.5</v>
      </c>
      <c r="R2714">
        <f t="shared" si="171"/>
        <v>2023</v>
      </c>
    </row>
    <row r="2715" spans="1:18" x14ac:dyDescent="0.2">
      <c r="A2715" s="13">
        <v>45366</v>
      </c>
      <c r="B2715" s="13">
        <v>45366</v>
      </c>
      <c r="C2715" s="25" t="s">
        <v>398</v>
      </c>
      <c r="D2715" s="20">
        <v>0</v>
      </c>
      <c r="E2715" s="28">
        <v>79011</v>
      </c>
      <c r="F2715" s="22" t="s">
        <v>248</v>
      </c>
      <c r="G2715" s="14">
        <v>180</v>
      </c>
      <c r="H2715" s="40">
        <v>44985</v>
      </c>
      <c r="I2715" s="46">
        <f t="shared" si="168"/>
        <v>381</v>
      </c>
      <c r="J2715" s="1" t="s">
        <v>15</v>
      </c>
      <c r="K2715" s="4" t="s">
        <v>200</v>
      </c>
      <c r="L2715" s="4" t="s">
        <v>225</v>
      </c>
      <c r="M2715" s="8">
        <v>180</v>
      </c>
      <c r="N2715" s="5">
        <v>438.95</v>
      </c>
      <c r="O2715" s="5">
        <v>79011</v>
      </c>
      <c r="P2715">
        <f t="shared" si="169"/>
        <v>1</v>
      </c>
      <c r="Q2715" s="36">
        <f t="shared" si="170"/>
        <v>79011</v>
      </c>
      <c r="R2715">
        <f t="shared" si="171"/>
        <v>2023</v>
      </c>
    </row>
    <row r="2716" spans="1:18" x14ac:dyDescent="0.2">
      <c r="A2716" s="13">
        <v>45366</v>
      </c>
      <c r="B2716" s="13">
        <v>45366</v>
      </c>
      <c r="C2716" s="25" t="s">
        <v>398</v>
      </c>
      <c r="D2716" s="20">
        <v>0</v>
      </c>
      <c r="E2716" s="28">
        <v>92179.5</v>
      </c>
      <c r="F2716" s="22" t="s">
        <v>248</v>
      </c>
      <c r="G2716" s="14">
        <v>210</v>
      </c>
      <c r="H2716" s="40">
        <v>44985</v>
      </c>
      <c r="I2716" s="46">
        <f t="shared" si="168"/>
        <v>381</v>
      </c>
      <c r="J2716" s="1" t="s">
        <v>15</v>
      </c>
      <c r="K2716" s="4" t="s">
        <v>200</v>
      </c>
      <c r="L2716" s="4" t="s">
        <v>225</v>
      </c>
      <c r="M2716" s="8">
        <v>210</v>
      </c>
      <c r="N2716" s="5">
        <v>438.95</v>
      </c>
      <c r="O2716" s="5">
        <v>92179.5</v>
      </c>
      <c r="P2716">
        <f t="shared" si="169"/>
        <v>1</v>
      </c>
      <c r="Q2716" s="36">
        <f t="shared" si="170"/>
        <v>92179.5</v>
      </c>
      <c r="R2716">
        <f t="shared" si="171"/>
        <v>2023</v>
      </c>
    </row>
    <row r="2717" spans="1:18" x14ac:dyDescent="0.2">
      <c r="A2717" s="13">
        <v>45366</v>
      </c>
      <c r="B2717" s="13">
        <v>45366</v>
      </c>
      <c r="C2717" s="25" t="s">
        <v>398</v>
      </c>
      <c r="D2717" s="20">
        <v>0</v>
      </c>
      <c r="E2717" s="28">
        <v>92179.5</v>
      </c>
      <c r="F2717" s="22" t="s">
        <v>248</v>
      </c>
      <c r="G2717" s="14">
        <v>210</v>
      </c>
      <c r="H2717" s="40">
        <v>44985</v>
      </c>
      <c r="I2717" s="46">
        <f t="shared" si="168"/>
        <v>381</v>
      </c>
      <c r="J2717" s="1" t="s">
        <v>15</v>
      </c>
      <c r="K2717" s="4" t="s">
        <v>200</v>
      </c>
      <c r="L2717" s="4" t="s">
        <v>225</v>
      </c>
      <c r="M2717" s="8">
        <v>210</v>
      </c>
      <c r="N2717" s="5">
        <v>438.95</v>
      </c>
      <c r="O2717" s="5">
        <v>92179.5</v>
      </c>
      <c r="P2717">
        <f t="shared" si="169"/>
        <v>1</v>
      </c>
      <c r="Q2717" s="36">
        <f t="shared" si="170"/>
        <v>92179.5</v>
      </c>
      <c r="R2717">
        <f t="shared" si="171"/>
        <v>2023</v>
      </c>
    </row>
    <row r="2718" spans="1:18" x14ac:dyDescent="0.2">
      <c r="A2718" s="13">
        <v>45366</v>
      </c>
      <c r="B2718" s="13">
        <v>45366</v>
      </c>
      <c r="C2718" s="25" t="s">
        <v>398</v>
      </c>
      <c r="D2718" s="20">
        <v>0</v>
      </c>
      <c r="E2718" s="28">
        <v>65842.5</v>
      </c>
      <c r="F2718" s="22" t="s">
        <v>248</v>
      </c>
      <c r="G2718" s="14">
        <v>150</v>
      </c>
      <c r="H2718" s="40">
        <v>44985</v>
      </c>
      <c r="I2718" s="46">
        <f t="shared" si="168"/>
        <v>381</v>
      </c>
      <c r="J2718" s="1" t="s">
        <v>15</v>
      </c>
      <c r="K2718" s="4" t="s">
        <v>200</v>
      </c>
      <c r="L2718" s="4" t="s">
        <v>225</v>
      </c>
      <c r="M2718" s="8">
        <v>150</v>
      </c>
      <c r="N2718" s="5">
        <v>438.95</v>
      </c>
      <c r="O2718" s="5">
        <v>65842.5</v>
      </c>
      <c r="P2718">
        <f t="shared" si="169"/>
        <v>1</v>
      </c>
      <c r="Q2718" s="36">
        <f t="shared" si="170"/>
        <v>65842.5</v>
      </c>
      <c r="R2718">
        <f t="shared" si="171"/>
        <v>2023</v>
      </c>
    </row>
    <row r="2719" spans="1:18" x14ac:dyDescent="0.2">
      <c r="A2719" s="13">
        <v>45366</v>
      </c>
      <c r="B2719" s="13">
        <v>45366</v>
      </c>
      <c r="C2719" s="25" t="s">
        <v>398</v>
      </c>
      <c r="D2719" s="20">
        <v>0</v>
      </c>
      <c r="E2719" s="28">
        <v>79011</v>
      </c>
      <c r="F2719" s="22" t="s">
        <v>248</v>
      </c>
      <c r="G2719" s="14">
        <v>180</v>
      </c>
      <c r="H2719" s="40">
        <v>44985</v>
      </c>
      <c r="I2719" s="46">
        <f t="shared" si="168"/>
        <v>381</v>
      </c>
      <c r="J2719" s="1" t="s">
        <v>15</v>
      </c>
      <c r="K2719" s="4" t="s">
        <v>200</v>
      </c>
      <c r="L2719" s="4" t="s">
        <v>225</v>
      </c>
      <c r="M2719" s="8">
        <v>180</v>
      </c>
      <c r="N2719" s="5">
        <v>438.95</v>
      </c>
      <c r="O2719" s="5">
        <v>79011</v>
      </c>
      <c r="P2719">
        <f t="shared" si="169"/>
        <v>1</v>
      </c>
      <c r="Q2719" s="36">
        <f t="shared" si="170"/>
        <v>79011</v>
      </c>
      <c r="R2719">
        <f t="shared" si="171"/>
        <v>2023</v>
      </c>
    </row>
    <row r="2720" spans="1:18" x14ac:dyDescent="0.2">
      <c r="A2720" s="13">
        <v>45366</v>
      </c>
      <c r="B2720" s="13">
        <v>45366</v>
      </c>
      <c r="C2720" s="25" t="s">
        <v>398</v>
      </c>
      <c r="D2720" s="20">
        <v>0</v>
      </c>
      <c r="E2720" s="28">
        <v>79011</v>
      </c>
      <c r="F2720" s="22" t="s">
        <v>248</v>
      </c>
      <c r="G2720" s="14">
        <v>180</v>
      </c>
      <c r="H2720" s="40">
        <v>44985</v>
      </c>
      <c r="I2720" s="46">
        <f t="shared" si="168"/>
        <v>381</v>
      </c>
      <c r="J2720" s="1" t="s">
        <v>15</v>
      </c>
      <c r="K2720" s="4" t="s">
        <v>200</v>
      </c>
      <c r="L2720" s="4" t="s">
        <v>225</v>
      </c>
      <c r="M2720" s="8">
        <v>180</v>
      </c>
      <c r="N2720" s="5">
        <v>438.95</v>
      </c>
      <c r="O2720" s="5">
        <v>79011</v>
      </c>
      <c r="P2720">
        <f t="shared" si="169"/>
        <v>1</v>
      </c>
      <c r="Q2720" s="36">
        <f t="shared" si="170"/>
        <v>79011</v>
      </c>
      <c r="R2720">
        <f t="shared" si="171"/>
        <v>2023</v>
      </c>
    </row>
    <row r="2721" spans="1:18" x14ac:dyDescent="0.2">
      <c r="A2721" s="13">
        <v>45366</v>
      </c>
      <c r="B2721" s="13">
        <v>45366</v>
      </c>
      <c r="C2721" s="25" t="s">
        <v>398</v>
      </c>
      <c r="D2721" s="20">
        <v>0</v>
      </c>
      <c r="E2721" s="28">
        <v>92179.5</v>
      </c>
      <c r="F2721" s="22" t="s">
        <v>248</v>
      </c>
      <c r="G2721" s="14">
        <v>210</v>
      </c>
      <c r="H2721" s="40">
        <v>44985</v>
      </c>
      <c r="I2721" s="46">
        <f t="shared" si="168"/>
        <v>381</v>
      </c>
      <c r="J2721" s="1" t="s">
        <v>15</v>
      </c>
      <c r="K2721" s="4" t="s">
        <v>200</v>
      </c>
      <c r="L2721" s="4" t="s">
        <v>225</v>
      </c>
      <c r="M2721" s="8">
        <v>210</v>
      </c>
      <c r="N2721" s="5">
        <v>438.95</v>
      </c>
      <c r="O2721" s="5">
        <v>92179.5</v>
      </c>
      <c r="P2721">
        <f t="shared" si="169"/>
        <v>1</v>
      </c>
      <c r="Q2721" s="36">
        <f t="shared" si="170"/>
        <v>92179.5</v>
      </c>
      <c r="R2721">
        <f t="shared" si="171"/>
        <v>2023</v>
      </c>
    </row>
    <row r="2722" spans="1:18" x14ac:dyDescent="0.2">
      <c r="A2722" s="13">
        <v>45366</v>
      </c>
      <c r="B2722" s="13">
        <v>45366</v>
      </c>
      <c r="C2722" s="25" t="s">
        <v>398</v>
      </c>
      <c r="D2722" s="20">
        <v>0</v>
      </c>
      <c r="E2722" s="28">
        <v>92179.5</v>
      </c>
      <c r="F2722" s="22" t="s">
        <v>248</v>
      </c>
      <c r="G2722" s="14">
        <v>210</v>
      </c>
      <c r="H2722" s="40">
        <v>44985</v>
      </c>
      <c r="I2722" s="46">
        <f t="shared" si="168"/>
        <v>381</v>
      </c>
      <c r="J2722" s="1" t="s">
        <v>15</v>
      </c>
      <c r="K2722" s="4" t="s">
        <v>200</v>
      </c>
      <c r="L2722" s="4" t="s">
        <v>225</v>
      </c>
      <c r="M2722" s="8">
        <v>210</v>
      </c>
      <c r="N2722" s="5">
        <v>438.95</v>
      </c>
      <c r="O2722" s="5">
        <v>92179.5</v>
      </c>
      <c r="P2722">
        <f t="shared" si="169"/>
        <v>1</v>
      </c>
      <c r="Q2722" s="36">
        <f t="shared" si="170"/>
        <v>92179.5</v>
      </c>
      <c r="R2722">
        <f t="shared" si="171"/>
        <v>2023</v>
      </c>
    </row>
    <row r="2723" spans="1:18" x14ac:dyDescent="0.2">
      <c r="A2723" s="13">
        <v>45366</v>
      </c>
      <c r="B2723" s="13">
        <v>45366</v>
      </c>
      <c r="C2723" s="25" t="s">
        <v>398</v>
      </c>
      <c r="D2723" s="20">
        <v>0</v>
      </c>
      <c r="E2723" s="28">
        <v>39505.5</v>
      </c>
      <c r="F2723" s="22" t="s">
        <v>248</v>
      </c>
      <c r="G2723" s="14">
        <v>90</v>
      </c>
      <c r="H2723" s="40">
        <v>44985</v>
      </c>
      <c r="I2723" s="46">
        <f t="shared" si="168"/>
        <v>381</v>
      </c>
      <c r="J2723" s="1" t="s">
        <v>15</v>
      </c>
      <c r="K2723" s="4" t="s">
        <v>200</v>
      </c>
      <c r="L2723" s="4" t="s">
        <v>225</v>
      </c>
      <c r="M2723" s="8">
        <v>90</v>
      </c>
      <c r="N2723" s="5">
        <v>438.95</v>
      </c>
      <c r="O2723" s="5">
        <v>39505.5</v>
      </c>
      <c r="P2723">
        <f t="shared" si="169"/>
        <v>1</v>
      </c>
      <c r="Q2723" s="36">
        <f t="shared" si="170"/>
        <v>39505.5</v>
      </c>
      <c r="R2723">
        <f t="shared" si="171"/>
        <v>2023</v>
      </c>
    </row>
    <row r="2724" spans="1:18" x14ac:dyDescent="0.2">
      <c r="A2724" s="13">
        <v>45195</v>
      </c>
      <c r="B2724" s="13">
        <v>45195</v>
      </c>
      <c r="C2724" s="25" t="s">
        <v>398</v>
      </c>
      <c r="D2724" s="20">
        <v>0</v>
      </c>
      <c r="E2724" s="28">
        <v>9991.68</v>
      </c>
      <c r="F2724" s="22" t="s">
        <v>297</v>
      </c>
      <c r="G2724" s="14">
        <v>48</v>
      </c>
      <c r="H2724" s="40">
        <v>45180</v>
      </c>
      <c r="I2724" s="46">
        <f t="shared" si="168"/>
        <v>15</v>
      </c>
      <c r="J2724" s="1" t="s">
        <v>15</v>
      </c>
      <c r="K2724" s="4" t="s">
        <v>200</v>
      </c>
      <c r="L2724" s="4" t="s">
        <v>225</v>
      </c>
      <c r="M2724" s="8">
        <v>48</v>
      </c>
      <c r="N2724" s="5">
        <v>208.16</v>
      </c>
      <c r="O2724" s="5">
        <v>9991.68</v>
      </c>
      <c r="P2724">
        <f t="shared" si="169"/>
        <v>1</v>
      </c>
      <c r="Q2724" s="36">
        <f t="shared" si="170"/>
        <v>9991.68</v>
      </c>
      <c r="R2724">
        <f t="shared" si="171"/>
        <v>2023</v>
      </c>
    </row>
    <row r="2725" spans="1:18" x14ac:dyDescent="0.2">
      <c r="A2725" s="13">
        <v>45264</v>
      </c>
      <c r="B2725" s="13">
        <v>45167</v>
      </c>
      <c r="C2725" s="25" t="s">
        <v>399</v>
      </c>
      <c r="D2725" s="20">
        <v>97</v>
      </c>
      <c r="E2725" s="28">
        <v>2535.1799999999998</v>
      </c>
      <c r="F2725" s="22" t="s">
        <v>321</v>
      </c>
      <c r="G2725" s="14">
        <v>29</v>
      </c>
      <c r="H2725" s="40">
        <v>44618</v>
      </c>
      <c r="I2725" s="46">
        <f t="shared" si="168"/>
        <v>646</v>
      </c>
      <c r="J2725" s="1" t="s">
        <v>15</v>
      </c>
      <c r="K2725" s="4" t="s">
        <v>199</v>
      </c>
      <c r="L2725" s="4" t="s">
        <v>225</v>
      </c>
      <c r="M2725" s="8">
        <v>308</v>
      </c>
      <c r="N2725" s="5">
        <v>87.42</v>
      </c>
      <c r="O2725" s="5">
        <v>26925.360000000001</v>
      </c>
      <c r="P2725">
        <f t="shared" si="169"/>
        <v>0</v>
      </c>
      <c r="Q2725" s="36">
        <f t="shared" si="170"/>
        <v>2535.1799999999998</v>
      </c>
      <c r="R2725">
        <f t="shared" si="171"/>
        <v>2022</v>
      </c>
    </row>
    <row r="2726" spans="1:18" x14ac:dyDescent="0.2">
      <c r="A2726" s="13">
        <v>45264</v>
      </c>
      <c r="B2726" s="13">
        <v>45258</v>
      </c>
      <c r="C2726" s="25" t="s">
        <v>399</v>
      </c>
      <c r="D2726" s="20">
        <v>6</v>
      </c>
      <c r="E2726" s="28">
        <v>24390.18</v>
      </c>
      <c r="F2726" s="22" t="s">
        <v>321</v>
      </c>
      <c r="G2726" s="14">
        <v>279</v>
      </c>
      <c r="H2726" s="40">
        <v>44678</v>
      </c>
      <c r="I2726" s="46">
        <f t="shared" si="168"/>
        <v>586</v>
      </c>
      <c r="J2726" s="1" t="s">
        <v>15</v>
      </c>
      <c r="K2726" s="4" t="s">
        <v>200</v>
      </c>
      <c r="L2726" s="4" t="s">
        <v>225</v>
      </c>
      <c r="M2726" s="8">
        <v>308</v>
      </c>
      <c r="N2726" s="5">
        <v>87.42</v>
      </c>
      <c r="O2726" s="5">
        <v>26925.360000000001</v>
      </c>
      <c r="P2726">
        <f t="shared" si="169"/>
        <v>0</v>
      </c>
      <c r="Q2726" s="36">
        <f t="shared" si="170"/>
        <v>24390.18</v>
      </c>
      <c r="R2726">
        <f t="shared" si="171"/>
        <v>2022</v>
      </c>
    </row>
    <row r="2727" spans="1:18" x14ac:dyDescent="0.2">
      <c r="A2727" s="13">
        <v>45267</v>
      </c>
      <c r="B2727" s="13">
        <v>45258</v>
      </c>
      <c r="C2727" s="25" t="s">
        <v>399</v>
      </c>
      <c r="D2727" s="20">
        <v>9</v>
      </c>
      <c r="E2727" s="28">
        <v>2535.1799999999998</v>
      </c>
      <c r="F2727" s="22" t="s">
        <v>321</v>
      </c>
      <c r="G2727" s="14">
        <v>29</v>
      </c>
      <c r="H2727" s="40">
        <v>44678</v>
      </c>
      <c r="I2727" s="46">
        <f t="shared" si="168"/>
        <v>589</v>
      </c>
      <c r="J2727" s="1" t="s">
        <v>15</v>
      </c>
      <c r="K2727" s="4" t="s">
        <v>200</v>
      </c>
      <c r="L2727" s="4" t="s">
        <v>225</v>
      </c>
      <c r="M2727" s="8">
        <v>308</v>
      </c>
      <c r="N2727" s="5">
        <v>87.42</v>
      </c>
      <c r="O2727" s="5">
        <v>26925.360000000001</v>
      </c>
      <c r="P2727">
        <f t="shared" si="169"/>
        <v>0</v>
      </c>
      <c r="Q2727" s="36">
        <f t="shared" si="170"/>
        <v>2535.1799999999998</v>
      </c>
      <c r="R2727">
        <f t="shared" si="171"/>
        <v>2022</v>
      </c>
    </row>
    <row r="2728" spans="1:18" x14ac:dyDescent="0.2">
      <c r="A2728" s="13">
        <v>45197</v>
      </c>
      <c r="B2728" s="13">
        <v>45043</v>
      </c>
      <c r="C2728" s="25" t="s">
        <v>399</v>
      </c>
      <c r="D2728" s="20">
        <v>154</v>
      </c>
      <c r="E2728" s="28">
        <v>13221.6</v>
      </c>
      <c r="F2728" s="22" t="s">
        <v>322</v>
      </c>
      <c r="G2728" s="14">
        <v>840</v>
      </c>
      <c r="H2728" s="40">
        <v>44680</v>
      </c>
      <c r="I2728" s="46">
        <f t="shared" si="168"/>
        <v>517</v>
      </c>
      <c r="J2728" s="1" t="s">
        <v>15</v>
      </c>
      <c r="K2728" s="4" t="s">
        <v>200</v>
      </c>
      <c r="L2728" s="4" t="s">
        <v>225</v>
      </c>
      <c r="M2728" s="8">
        <v>840</v>
      </c>
      <c r="N2728" s="5">
        <v>15.74</v>
      </c>
      <c r="O2728" s="5">
        <v>13221.6</v>
      </c>
      <c r="P2728">
        <f t="shared" si="169"/>
        <v>1</v>
      </c>
      <c r="Q2728" s="36">
        <f t="shared" si="170"/>
        <v>13221.6</v>
      </c>
      <c r="R2728">
        <f t="shared" si="171"/>
        <v>2022</v>
      </c>
    </row>
    <row r="2729" spans="1:18" x14ac:dyDescent="0.2">
      <c r="A2729" s="13">
        <v>45321</v>
      </c>
      <c r="B2729" s="13">
        <v>45321</v>
      </c>
      <c r="C2729" s="25" t="s">
        <v>398</v>
      </c>
      <c r="D2729" s="20">
        <v>0</v>
      </c>
      <c r="E2729" s="28">
        <v>13221.6</v>
      </c>
      <c r="F2729" s="22" t="s">
        <v>322</v>
      </c>
      <c r="G2729" s="14">
        <v>840</v>
      </c>
      <c r="H2729" s="40">
        <v>44896</v>
      </c>
      <c r="I2729" s="46">
        <f t="shared" si="168"/>
        <v>425</v>
      </c>
      <c r="J2729" s="1" t="s">
        <v>15</v>
      </c>
      <c r="K2729" s="4" t="s">
        <v>199</v>
      </c>
      <c r="L2729" s="4" t="s">
        <v>225</v>
      </c>
      <c r="M2729" s="8">
        <v>840</v>
      </c>
      <c r="N2729" s="5">
        <v>15.74</v>
      </c>
      <c r="O2729" s="5">
        <v>13221.6</v>
      </c>
      <c r="P2729">
        <f t="shared" si="169"/>
        <v>1</v>
      </c>
      <c r="Q2729" s="36">
        <f t="shared" si="170"/>
        <v>13221.6</v>
      </c>
      <c r="R2729">
        <f t="shared" si="171"/>
        <v>2022</v>
      </c>
    </row>
    <row r="2730" spans="1:18" x14ac:dyDescent="0.2">
      <c r="A2730" s="13">
        <v>45370</v>
      </c>
      <c r="B2730" s="13">
        <v>45370</v>
      </c>
      <c r="C2730" s="25" t="s">
        <v>398</v>
      </c>
      <c r="D2730" s="20">
        <v>0</v>
      </c>
      <c r="E2730" s="28">
        <v>13221.6</v>
      </c>
      <c r="F2730" s="22" t="s">
        <v>322</v>
      </c>
      <c r="G2730" s="14">
        <v>840</v>
      </c>
      <c r="H2730" s="40">
        <v>44896</v>
      </c>
      <c r="I2730" s="46">
        <f t="shared" si="168"/>
        <v>474</v>
      </c>
      <c r="J2730" s="1" t="s">
        <v>15</v>
      </c>
      <c r="K2730" s="4" t="s">
        <v>199</v>
      </c>
      <c r="L2730" s="4" t="s">
        <v>225</v>
      </c>
      <c r="M2730" s="8">
        <v>840</v>
      </c>
      <c r="N2730" s="5">
        <v>15.74</v>
      </c>
      <c r="O2730" s="5">
        <v>13221.6</v>
      </c>
      <c r="P2730">
        <f t="shared" si="169"/>
        <v>1</v>
      </c>
      <c r="Q2730" s="36">
        <f t="shared" si="170"/>
        <v>13221.6</v>
      </c>
      <c r="R2730">
        <f t="shared" si="171"/>
        <v>2022</v>
      </c>
    </row>
    <row r="2731" spans="1:18" x14ac:dyDescent="0.2">
      <c r="A2731" s="13">
        <v>45412</v>
      </c>
      <c r="B2731" s="13">
        <v>45406</v>
      </c>
      <c r="C2731" s="25" t="s">
        <v>399</v>
      </c>
      <c r="D2731" s="20">
        <v>6</v>
      </c>
      <c r="E2731" s="28">
        <v>13221.6</v>
      </c>
      <c r="F2731" s="22" t="s">
        <v>322</v>
      </c>
      <c r="G2731" s="14">
        <v>840</v>
      </c>
      <c r="H2731" s="40">
        <v>44901</v>
      </c>
      <c r="I2731" s="46">
        <f t="shared" si="168"/>
        <v>511</v>
      </c>
      <c r="J2731" s="1" t="s">
        <v>15</v>
      </c>
      <c r="K2731" s="4" t="s">
        <v>200</v>
      </c>
      <c r="L2731" s="4" t="s">
        <v>225</v>
      </c>
      <c r="M2731" s="8">
        <v>840</v>
      </c>
      <c r="N2731" s="5">
        <v>15.74</v>
      </c>
      <c r="O2731" s="5">
        <v>13221.6</v>
      </c>
      <c r="P2731">
        <f t="shared" si="169"/>
        <v>1</v>
      </c>
      <c r="Q2731" s="36">
        <f t="shared" si="170"/>
        <v>13221.6</v>
      </c>
      <c r="R2731">
        <f t="shared" si="171"/>
        <v>2022</v>
      </c>
    </row>
    <row r="2732" spans="1:18" x14ac:dyDescent="0.2">
      <c r="A2732" s="13">
        <v>45440</v>
      </c>
      <c r="B2732" s="13">
        <v>45440</v>
      </c>
      <c r="C2732" s="25" t="s">
        <v>398</v>
      </c>
      <c r="D2732" s="20">
        <v>0</v>
      </c>
      <c r="E2732" s="28">
        <v>6610.8</v>
      </c>
      <c r="F2732" s="22" t="s">
        <v>322</v>
      </c>
      <c r="G2732" s="14">
        <v>420</v>
      </c>
      <c r="H2732" s="40">
        <v>44939</v>
      </c>
      <c r="I2732" s="46">
        <f t="shared" si="168"/>
        <v>501</v>
      </c>
      <c r="J2732" s="1" t="s">
        <v>15</v>
      </c>
      <c r="K2732" s="4" t="s">
        <v>199</v>
      </c>
      <c r="L2732" s="4" t="s">
        <v>225</v>
      </c>
      <c r="M2732" s="8">
        <v>420</v>
      </c>
      <c r="N2732" s="5">
        <v>15.74</v>
      </c>
      <c r="O2732" s="5">
        <v>6610.8</v>
      </c>
      <c r="P2732">
        <f t="shared" si="169"/>
        <v>1</v>
      </c>
      <c r="Q2732" s="36">
        <f t="shared" si="170"/>
        <v>6610.8</v>
      </c>
      <c r="R2732">
        <f t="shared" si="171"/>
        <v>2023</v>
      </c>
    </row>
    <row r="2733" spans="1:18" x14ac:dyDescent="0.2">
      <c r="A2733" s="13">
        <v>45482</v>
      </c>
      <c r="B2733" s="13">
        <v>45482</v>
      </c>
      <c r="C2733" s="25" t="s">
        <v>398</v>
      </c>
      <c r="D2733" s="20">
        <v>0</v>
      </c>
      <c r="E2733" s="28">
        <v>13221.6</v>
      </c>
      <c r="F2733" s="22" t="s">
        <v>322</v>
      </c>
      <c r="G2733" s="14">
        <v>840</v>
      </c>
      <c r="H2733" s="40">
        <v>44988</v>
      </c>
      <c r="I2733" s="46">
        <f t="shared" si="168"/>
        <v>494</v>
      </c>
      <c r="J2733" s="1" t="s">
        <v>15</v>
      </c>
      <c r="K2733" s="4" t="s">
        <v>199</v>
      </c>
      <c r="L2733" s="4" t="s">
        <v>225</v>
      </c>
      <c r="M2733" s="8">
        <v>840</v>
      </c>
      <c r="N2733" s="5">
        <v>15.74</v>
      </c>
      <c r="O2733" s="5">
        <v>13221.6</v>
      </c>
      <c r="P2733">
        <f t="shared" si="169"/>
        <v>1</v>
      </c>
      <c r="Q2733" s="36">
        <f t="shared" si="170"/>
        <v>13221.6</v>
      </c>
      <c r="R2733">
        <f t="shared" si="171"/>
        <v>2023</v>
      </c>
    </row>
    <row r="2734" spans="1:18" x14ac:dyDescent="0.2">
      <c r="A2734" s="13">
        <v>45208</v>
      </c>
      <c r="B2734" s="13">
        <v>45146</v>
      </c>
      <c r="C2734" s="25" t="s">
        <v>399</v>
      </c>
      <c r="D2734" s="20">
        <v>62</v>
      </c>
      <c r="E2734" s="28">
        <v>4568.2</v>
      </c>
      <c r="F2734" s="22" t="s">
        <v>250</v>
      </c>
      <c r="G2734" s="14">
        <v>1820</v>
      </c>
      <c r="H2734" s="40">
        <v>44740</v>
      </c>
      <c r="I2734" s="46">
        <f t="shared" si="168"/>
        <v>468</v>
      </c>
      <c r="J2734" s="1" t="s">
        <v>15</v>
      </c>
      <c r="K2734" s="4" t="s">
        <v>199</v>
      </c>
      <c r="L2734" s="4" t="s">
        <v>225</v>
      </c>
      <c r="M2734" s="8">
        <v>1820</v>
      </c>
      <c r="N2734" s="5">
        <v>2.5099999999999998</v>
      </c>
      <c r="O2734" s="5">
        <v>4568.2</v>
      </c>
      <c r="P2734">
        <f t="shared" si="169"/>
        <v>1</v>
      </c>
      <c r="Q2734" s="36">
        <f t="shared" si="170"/>
        <v>4568.2</v>
      </c>
      <c r="R2734">
        <f t="shared" si="171"/>
        <v>2022</v>
      </c>
    </row>
    <row r="2735" spans="1:18" x14ac:dyDescent="0.2">
      <c r="A2735" s="13">
        <v>45209</v>
      </c>
      <c r="B2735" s="13">
        <v>45209</v>
      </c>
      <c r="C2735" s="25" t="s">
        <v>398</v>
      </c>
      <c r="D2735" s="20">
        <v>0</v>
      </c>
      <c r="E2735" s="28">
        <v>4568.2</v>
      </c>
      <c r="F2735" s="22" t="s">
        <v>250</v>
      </c>
      <c r="G2735" s="14">
        <v>1820</v>
      </c>
      <c r="H2735" s="40">
        <v>44805</v>
      </c>
      <c r="I2735" s="46">
        <f t="shared" si="168"/>
        <v>404</v>
      </c>
      <c r="J2735" s="1" t="s">
        <v>15</v>
      </c>
      <c r="K2735" s="4" t="s">
        <v>199</v>
      </c>
      <c r="L2735" s="4" t="s">
        <v>225</v>
      </c>
      <c r="M2735" s="8">
        <v>7280</v>
      </c>
      <c r="N2735" s="5">
        <v>2.5099999999999998</v>
      </c>
      <c r="O2735" s="5">
        <v>18272.8</v>
      </c>
      <c r="P2735">
        <f t="shared" si="169"/>
        <v>0</v>
      </c>
      <c r="Q2735" s="36">
        <f t="shared" si="170"/>
        <v>4568.2</v>
      </c>
      <c r="R2735">
        <f t="shared" si="171"/>
        <v>2022</v>
      </c>
    </row>
    <row r="2736" spans="1:18" x14ac:dyDescent="0.2">
      <c r="A2736" s="13">
        <v>45211</v>
      </c>
      <c r="B2736" s="13">
        <v>45209</v>
      </c>
      <c r="C2736" s="25" t="s">
        <v>399</v>
      </c>
      <c r="D2736" s="20">
        <v>2</v>
      </c>
      <c r="E2736" s="28">
        <v>13704.6</v>
      </c>
      <c r="F2736" s="22" t="s">
        <v>250</v>
      </c>
      <c r="G2736" s="14">
        <v>5460</v>
      </c>
      <c r="H2736" s="40">
        <v>44805</v>
      </c>
      <c r="I2736" s="46">
        <f t="shared" si="168"/>
        <v>406</v>
      </c>
      <c r="J2736" s="1" t="s">
        <v>15</v>
      </c>
      <c r="K2736" s="4" t="s">
        <v>199</v>
      </c>
      <c r="L2736" s="4" t="s">
        <v>225</v>
      </c>
      <c r="M2736" s="8">
        <v>7280</v>
      </c>
      <c r="N2736" s="5">
        <v>2.5099999999999998</v>
      </c>
      <c r="O2736" s="5">
        <v>18272.8</v>
      </c>
      <c r="P2736">
        <f t="shared" si="169"/>
        <v>0</v>
      </c>
      <c r="Q2736" s="36">
        <f t="shared" si="170"/>
        <v>13704.599999999999</v>
      </c>
      <c r="R2736">
        <f t="shared" si="171"/>
        <v>2022</v>
      </c>
    </row>
    <row r="2737" spans="1:18" x14ac:dyDescent="0.2">
      <c r="A2737" s="13">
        <v>45345</v>
      </c>
      <c r="B2737" s="13">
        <v>45230</v>
      </c>
      <c r="C2737" s="25" t="s">
        <v>399</v>
      </c>
      <c r="D2737" s="20">
        <v>115</v>
      </c>
      <c r="E2737" s="28">
        <v>333925.2</v>
      </c>
      <c r="F2737" s="22" t="s">
        <v>253</v>
      </c>
      <c r="G2737" s="14">
        <v>3528</v>
      </c>
      <c r="H2737" s="40">
        <v>44701</v>
      </c>
      <c r="I2737" s="46">
        <f t="shared" si="168"/>
        <v>644</v>
      </c>
      <c r="J2737" s="1" t="s">
        <v>15</v>
      </c>
      <c r="K2737" s="4" t="s">
        <v>200</v>
      </c>
      <c r="L2737" s="4" t="s">
        <v>225</v>
      </c>
      <c r="M2737" s="8">
        <v>3528</v>
      </c>
      <c r="N2737" s="5">
        <v>94.65</v>
      </c>
      <c r="O2737" s="5">
        <v>333925.2</v>
      </c>
      <c r="P2737">
        <f t="shared" si="169"/>
        <v>1</v>
      </c>
      <c r="Q2737" s="36">
        <f t="shared" si="170"/>
        <v>333925.2</v>
      </c>
      <c r="R2737">
        <f t="shared" si="171"/>
        <v>2022</v>
      </c>
    </row>
    <row r="2738" spans="1:18" x14ac:dyDescent="0.2">
      <c r="A2738" s="13">
        <v>45770</v>
      </c>
      <c r="B2738" s="13">
        <v>45139</v>
      </c>
      <c r="C2738" s="25" t="s">
        <v>399</v>
      </c>
      <c r="D2738" s="20">
        <v>631</v>
      </c>
      <c r="E2738" s="28">
        <v>87198.3</v>
      </c>
      <c r="F2738" s="22" t="s">
        <v>254</v>
      </c>
      <c r="G2738" s="14">
        <v>210</v>
      </c>
      <c r="H2738" s="40">
        <v>44735</v>
      </c>
      <c r="I2738" s="46">
        <f t="shared" si="168"/>
        <v>1035</v>
      </c>
      <c r="J2738" s="1" t="s">
        <v>15</v>
      </c>
      <c r="K2738" s="4" t="s">
        <v>200</v>
      </c>
      <c r="L2738" s="4" t="s">
        <v>225</v>
      </c>
      <c r="M2738" s="8">
        <v>210</v>
      </c>
      <c r="N2738" s="5">
        <v>415.23</v>
      </c>
      <c r="O2738" s="5">
        <v>87198.3</v>
      </c>
      <c r="P2738">
        <f t="shared" si="169"/>
        <v>1</v>
      </c>
      <c r="Q2738" s="36">
        <f t="shared" si="170"/>
        <v>87198.3</v>
      </c>
      <c r="R2738">
        <f t="shared" si="171"/>
        <v>2022</v>
      </c>
    </row>
    <row r="2739" spans="1:18" x14ac:dyDescent="0.2">
      <c r="A2739" s="13">
        <v>45209</v>
      </c>
      <c r="B2739" s="13">
        <v>45209</v>
      </c>
      <c r="C2739" s="25" t="s">
        <v>398</v>
      </c>
      <c r="D2739" s="20">
        <v>0</v>
      </c>
      <c r="E2739" s="28">
        <v>29066.1</v>
      </c>
      <c r="F2739" s="22" t="s">
        <v>254</v>
      </c>
      <c r="G2739" s="14">
        <v>70</v>
      </c>
      <c r="H2739" s="40">
        <v>44805</v>
      </c>
      <c r="I2739" s="46">
        <f t="shared" si="168"/>
        <v>404</v>
      </c>
      <c r="J2739" s="1" t="s">
        <v>15</v>
      </c>
      <c r="K2739" s="4" t="s">
        <v>199</v>
      </c>
      <c r="L2739" s="4" t="s">
        <v>225</v>
      </c>
      <c r="M2739" s="8">
        <v>70</v>
      </c>
      <c r="N2739" s="5">
        <v>415.23</v>
      </c>
      <c r="O2739" s="5">
        <v>29066.1</v>
      </c>
      <c r="P2739">
        <f t="shared" si="169"/>
        <v>1</v>
      </c>
      <c r="Q2739" s="36">
        <f t="shared" si="170"/>
        <v>29066.100000000002</v>
      </c>
      <c r="R2739">
        <f t="shared" si="171"/>
        <v>2022</v>
      </c>
    </row>
    <row r="2740" spans="1:18" x14ac:dyDescent="0.2">
      <c r="A2740" s="13">
        <v>45209</v>
      </c>
      <c r="B2740" s="13">
        <v>45209</v>
      </c>
      <c r="C2740" s="25" t="s">
        <v>398</v>
      </c>
      <c r="D2740" s="20">
        <v>0</v>
      </c>
      <c r="E2740" s="28">
        <v>29066.1</v>
      </c>
      <c r="F2740" s="22" t="s">
        <v>254</v>
      </c>
      <c r="G2740" s="14">
        <v>70</v>
      </c>
      <c r="H2740" s="40">
        <v>44805</v>
      </c>
      <c r="I2740" s="46">
        <f t="shared" si="168"/>
        <v>404</v>
      </c>
      <c r="J2740" s="1" t="s">
        <v>15</v>
      </c>
      <c r="K2740" s="4" t="s">
        <v>199</v>
      </c>
      <c r="L2740" s="4" t="s">
        <v>225</v>
      </c>
      <c r="M2740" s="8">
        <v>70</v>
      </c>
      <c r="N2740" s="5">
        <v>415.23</v>
      </c>
      <c r="O2740" s="5">
        <v>29066.1</v>
      </c>
      <c r="P2740">
        <f t="shared" si="169"/>
        <v>1</v>
      </c>
      <c r="Q2740" s="36">
        <f t="shared" si="170"/>
        <v>29066.100000000002</v>
      </c>
      <c r="R2740">
        <f t="shared" si="171"/>
        <v>2022</v>
      </c>
    </row>
    <row r="2741" spans="1:18" x14ac:dyDescent="0.2">
      <c r="A2741" s="13">
        <v>45216</v>
      </c>
      <c r="B2741" s="13">
        <v>45216</v>
      </c>
      <c r="C2741" s="25" t="s">
        <v>398</v>
      </c>
      <c r="D2741" s="20">
        <v>0</v>
      </c>
      <c r="E2741" s="28">
        <v>29066.1</v>
      </c>
      <c r="F2741" s="22" t="s">
        <v>254</v>
      </c>
      <c r="G2741" s="14">
        <v>70</v>
      </c>
      <c r="H2741" s="40">
        <v>44811</v>
      </c>
      <c r="I2741" s="46">
        <f t="shared" si="168"/>
        <v>405</v>
      </c>
      <c r="J2741" s="1" t="s">
        <v>15</v>
      </c>
      <c r="K2741" s="4" t="s">
        <v>199</v>
      </c>
      <c r="L2741" s="4" t="s">
        <v>225</v>
      </c>
      <c r="M2741" s="8">
        <v>70</v>
      </c>
      <c r="N2741" s="5">
        <v>415.23</v>
      </c>
      <c r="O2741" s="5">
        <v>29066.1</v>
      </c>
      <c r="P2741">
        <f t="shared" si="169"/>
        <v>1</v>
      </c>
      <c r="Q2741" s="36">
        <f t="shared" si="170"/>
        <v>29066.100000000002</v>
      </c>
      <c r="R2741">
        <f t="shared" si="171"/>
        <v>2022</v>
      </c>
    </row>
    <row r="2742" spans="1:18" x14ac:dyDescent="0.2">
      <c r="A2742" s="13">
        <v>45216</v>
      </c>
      <c r="B2742" s="13">
        <v>45216</v>
      </c>
      <c r="C2742" s="25" t="s">
        <v>398</v>
      </c>
      <c r="D2742" s="20">
        <v>0</v>
      </c>
      <c r="E2742" s="28">
        <v>29066.1</v>
      </c>
      <c r="F2742" s="22" t="s">
        <v>254</v>
      </c>
      <c r="G2742" s="14">
        <v>70</v>
      </c>
      <c r="H2742" s="40">
        <v>44811</v>
      </c>
      <c r="I2742" s="46">
        <f t="shared" si="168"/>
        <v>405</v>
      </c>
      <c r="J2742" s="1" t="s">
        <v>15</v>
      </c>
      <c r="K2742" s="4" t="s">
        <v>199</v>
      </c>
      <c r="L2742" s="4" t="s">
        <v>225</v>
      </c>
      <c r="M2742" s="8">
        <v>70</v>
      </c>
      <c r="N2742" s="5">
        <v>415.23</v>
      </c>
      <c r="O2742" s="5">
        <v>29066.1</v>
      </c>
      <c r="P2742">
        <f t="shared" si="169"/>
        <v>1</v>
      </c>
      <c r="Q2742" s="36">
        <f t="shared" si="170"/>
        <v>29066.100000000002</v>
      </c>
      <c r="R2742">
        <f t="shared" si="171"/>
        <v>2022</v>
      </c>
    </row>
    <row r="2743" spans="1:18" x14ac:dyDescent="0.2">
      <c r="A2743" s="13">
        <v>45216</v>
      </c>
      <c r="B2743" s="13">
        <v>45216</v>
      </c>
      <c r="C2743" s="25" t="s">
        <v>398</v>
      </c>
      <c r="D2743" s="20">
        <v>0</v>
      </c>
      <c r="E2743" s="28">
        <v>29066.1</v>
      </c>
      <c r="F2743" s="22" t="s">
        <v>254</v>
      </c>
      <c r="G2743" s="14">
        <v>70</v>
      </c>
      <c r="H2743" s="40">
        <v>44811</v>
      </c>
      <c r="I2743" s="46">
        <f t="shared" si="168"/>
        <v>405</v>
      </c>
      <c r="J2743" s="1" t="s">
        <v>15</v>
      </c>
      <c r="K2743" s="4" t="s">
        <v>199</v>
      </c>
      <c r="L2743" s="4" t="s">
        <v>225</v>
      </c>
      <c r="M2743" s="8">
        <v>70</v>
      </c>
      <c r="N2743" s="5">
        <v>415.23</v>
      </c>
      <c r="O2743" s="5">
        <v>29066.1</v>
      </c>
      <c r="P2743">
        <f t="shared" si="169"/>
        <v>1</v>
      </c>
      <c r="Q2743" s="36">
        <f t="shared" si="170"/>
        <v>29066.100000000002</v>
      </c>
      <c r="R2743">
        <f t="shared" si="171"/>
        <v>2022</v>
      </c>
    </row>
    <row r="2744" spans="1:18" x14ac:dyDescent="0.2">
      <c r="A2744" s="13">
        <v>45216</v>
      </c>
      <c r="B2744" s="13">
        <v>45216</v>
      </c>
      <c r="C2744" s="25" t="s">
        <v>398</v>
      </c>
      <c r="D2744" s="20">
        <v>0</v>
      </c>
      <c r="E2744" s="28">
        <v>29066.1</v>
      </c>
      <c r="F2744" s="22" t="s">
        <v>254</v>
      </c>
      <c r="G2744" s="14">
        <v>70</v>
      </c>
      <c r="H2744" s="40">
        <v>44811</v>
      </c>
      <c r="I2744" s="46">
        <f t="shared" si="168"/>
        <v>405</v>
      </c>
      <c r="J2744" s="1" t="s">
        <v>15</v>
      </c>
      <c r="K2744" s="4" t="s">
        <v>199</v>
      </c>
      <c r="L2744" s="4" t="s">
        <v>225</v>
      </c>
      <c r="M2744" s="8">
        <v>70</v>
      </c>
      <c r="N2744" s="5">
        <v>415.23</v>
      </c>
      <c r="O2744" s="5">
        <v>29066.1</v>
      </c>
      <c r="P2744">
        <f t="shared" si="169"/>
        <v>1</v>
      </c>
      <c r="Q2744" s="36">
        <f t="shared" si="170"/>
        <v>29066.100000000002</v>
      </c>
      <c r="R2744">
        <f t="shared" si="171"/>
        <v>2022</v>
      </c>
    </row>
    <row r="2745" spans="1:18" x14ac:dyDescent="0.2">
      <c r="A2745" s="13">
        <v>45223</v>
      </c>
      <c r="B2745" s="13">
        <v>45223</v>
      </c>
      <c r="C2745" s="25" t="s">
        <v>398</v>
      </c>
      <c r="D2745" s="20">
        <v>0</v>
      </c>
      <c r="E2745" s="28">
        <v>29066.1</v>
      </c>
      <c r="F2745" s="22" t="s">
        <v>254</v>
      </c>
      <c r="G2745" s="14">
        <v>70</v>
      </c>
      <c r="H2745" s="40">
        <v>44818</v>
      </c>
      <c r="I2745" s="46">
        <f t="shared" si="168"/>
        <v>405</v>
      </c>
      <c r="J2745" s="1" t="s">
        <v>15</v>
      </c>
      <c r="K2745" s="4" t="s">
        <v>199</v>
      </c>
      <c r="L2745" s="4" t="s">
        <v>225</v>
      </c>
      <c r="M2745" s="8">
        <v>70</v>
      </c>
      <c r="N2745" s="5">
        <v>415.23</v>
      </c>
      <c r="O2745" s="5">
        <v>29066.1</v>
      </c>
      <c r="P2745">
        <f t="shared" si="169"/>
        <v>1</v>
      </c>
      <c r="Q2745" s="36">
        <f t="shared" si="170"/>
        <v>29066.100000000002</v>
      </c>
      <c r="R2745">
        <f t="shared" si="171"/>
        <v>2022</v>
      </c>
    </row>
    <row r="2746" spans="1:18" x14ac:dyDescent="0.2">
      <c r="A2746" s="13">
        <v>45223</v>
      </c>
      <c r="B2746" s="13">
        <v>45223</v>
      </c>
      <c r="C2746" s="25" t="s">
        <v>398</v>
      </c>
      <c r="D2746" s="20">
        <v>0</v>
      </c>
      <c r="E2746" s="28">
        <v>29066.1</v>
      </c>
      <c r="F2746" s="22" t="s">
        <v>254</v>
      </c>
      <c r="G2746" s="14">
        <v>70</v>
      </c>
      <c r="H2746" s="40">
        <v>44818</v>
      </c>
      <c r="I2746" s="46">
        <f t="shared" si="168"/>
        <v>405</v>
      </c>
      <c r="J2746" s="1" t="s">
        <v>15</v>
      </c>
      <c r="K2746" s="4" t="s">
        <v>199</v>
      </c>
      <c r="L2746" s="4" t="s">
        <v>225</v>
      </c>
      <c r="M2746" s="8">
        <v>70</v>
      </c>
      <c r="N2746" s="5">
        <v>415.23</v>
      </c>
      <c r="O2746" s="5">
        <v>29066.1</v>
      </c>
      <c r="P2746">
        <f t="shared" si="169"/>
        <v>1</v>
      </c>
      <c r="Q2746" s="36">
        <f t="shared" si="170"/>
        <v>29066.100000000002</v>
      </c>
      <c r="R2746">
        <f t="shared" si="171"/>
        <v>2022</v>
      </c>
    </row>
    <row r="2747" spans="1:18" x14ac:dyDescent="0.2">
      <c r="A2747" s="13">
        <v>45223</v>
      </c>
      <c r="B2747" s="13">
        <v>45223</v>
      </c>
      <c r="C2747" s="25" t="s">
        <v>398</v>
      </c>
      <c r="D2747" s="20">
        <v>0</v>
      </c>
      <c r="E2747" s="28">
        <v>29066.1</v>
      </c>
      <c r="F2747" s="22" t="s">
        <v>254</v>
      </c>
      <c r="G2747" s="14">
        <v>70</v>
      </c>
      <c r="H2747" s="40">
        <v>44818</v>
      </c>
      <c r="I2747" s="46">
        <f t="shared" si="168"/>
        <v>405</v>
      </c>
      <c r="J2747" s="1" t="s">
        <v>15</v>
      </c>
      <c r="K2747" s="4" t="s">
        <v>199</v>
      </c>
      <c r="L2747" s="4" t="s">
        <v>225</v>
      </c>
      <c r="M2747" s="8">
        <v>70</v>
      </c>
      <c r="N2747" s="5">
        <v>415.23</v>
      </c>
      <c r="O2747" s="5">
        <v>29066.1</v>
      </c>
      <c r="P2747">
        <f t="shared" si="169"/>
        <v>1</v>
      </c>
      <c r="Q2747" s="36">
        <f t="shared" si="170"/>
        <v>29066.100000000002</v>
      </c>
      <c r="R2747">
        <f t="shared" si="171"/>
        <v>2022</v>
      </c>
    </row>
    <row r="2748" spans="1:18" x14ac:dyDescent="0.2">
      <c r="A2748" s="13">
        <v>45223</v>
      </c>
      <c r="B2748" s="13">
        <v>45223</v>
      </c>
      <c r="C2748" s="25" t="s">
        <v>398</v>
      </c>
      <c r="D2748" s="20">
        <v>0</v>
      </c>
      <c r="E2748" s="28">
        <v>29066.1</v>
      </c>
      <c r="F2748" s="22" t="s">
        <v>254</v>
      </c>
      <c r="G2748" s="14">
        <v>70</v>
      </c>
      <c r="H2748" s="40">
        <v>44818</v>
      </c>
      <c r="I2748" s="46">
        <f t="shared" si="168"/>
        <v>405</v>
      </c>
      <c r="J2748" s="1" t="s">
        <v>15</v>
      </c>
      <c r="K2748" s="4" t="s">
        <v>199</v>
      </c>
      <c r="L2748" s="4" t="s">
        <v>225</v>
      </c>
      <c r="M2748" s="8">
        <v>70</v>
      </c>
      <c r="N2748" s="5">
        <v>415.23</v>
      </c>
      <c r="O2748" s="5">
        <v>29066.1</v>
      </c>
      <c r="P2748">
        <f t="shared" si="169"/>
        <v>1</v>
      </c>
      <c r="Q2748" s="36">
        <f t="shared" si="170"/>
        <v>29066.100000000002</v>
      </c>
      <c r="R2748">
        <f t="shared" si="171"/>
        <v>2022</v>
      </c>
    </row>
    <row r="2749" spans="1:18" x14ac:dyDescent="0.2">
      <c r="A2749" s="13">
        <v>45197</v>
      </c>
      <c r="B2749" s="13">
        <v>45188</v>
      </c>
      <c r="C2749" s="25" t="s">
        <v>399</v>
      </c>
      <c r="D2749" s="20">
        <v>9</v>
      </c>
      <c r="E2749" s="28">
        <v>29066.1</v>
      </c>
      <c r="F2749" s="22" t="s">
        <v>254</v>
      </c>
      <c r="G2749" s="14">
        <v>70</v>
      </c>
      <c r="H2749" s="40">
        <v>45180</v>
      </c>
      <c r="I2749" s="46">
        <f t="shared" si="168"/>
        <v>17</v>
      </c>
      <c r="J2749" s="1" t="s">
        <v>15</v>
      </c>
      <c r="K2749" s="4" t="s">
        <v>200</v>
      </c>
      <c r="L2749" s="4" t="s">
        <v>225</v>
      </c>
      <c r="M2749" s="8">
        <v>70</v>
      </c>
      <c r="N2749" s="5">
        <v>415.23</v>
      </c>
      <c r="O2749" s="5">
        <v>29066.1</v>
      </c>
      <c r="P2749">
        <f t="shared" si="169"/>
        <v>1</v>
      </c>
      <c r="Q2749" s="36">
        <f t="shared" si="170"/>
        <v>29066.100000000002</v>
      </c>
      <c r="R2749">
        <f t="shared" si="171"/>
        <v>2023</v>
      </c>
    </row>
    <row r="2750" spans="1:18" x14ac:dyDescent="0.2">
      <c r="A2750" s="13">
        <v>45197</v>
      </c>
      <c r="B2750" s="13">
        <v>45188</v>
      </c>
      <c r="C2750" s="25" t="s">
        <v>399</v>
      </c>
      <c r="D2750" s="20">
        <v>9</v>
      </c>
      <c r="E2750" s="28">
        <v>29066.1</v>
      </c>
      <c r="F2750" s="22" t="s">
        <v>254</v>
      </c>
      <c r="G2750" s="14">
        <v>70</v>
      </c>
      <c r="H2750" s="40">
        <v>45180</v>
      </c>
      <c r="I2750" s="46">
        <f t="shared" si="168"/>
        <v>17</v>
      </c>
      <c r="J2750" s="1" t="s">
        <v>15</v>
      </c>
      <c r="K2750" s="4" t="s">
        <v>200</v>
      </c>
      <c r="L2750" s="4" t="s">
        <v>225</v>
      </c>
      <c r="M2750" s="8">
        <v>70</v>
      </c>
      <c r="N2750" s="5">
        <v>415.23</v>
      </c>
      <c r="O2750" s="5">
        <v>29066.1</v>
      </c>
      <c r="P2750">
        <f t="shared" si="169"/>
        <v>1</v>
      </c>
      <c r="Q2750" s="36">
        <f t="shared" si="170"/>
        <v>29066.100000000002</v>
      </c>
      <c r="R2750">
        <f t="shared" si="171"/>
        <v>2023</v>
      </c>
    </row>
    <row r="2751" spans="1:18" x14ac:dyDescent="0.2">
      <c r="A2751" s="13">
        <v>45197</v>
      </c>
      <c r="B2751" s="13">
        <v>45188</v>
      </c>
      <c r="C2751" s="25" t="s">
        <v>399</v>
      </c>
      <c r="D2751" s="20">
        <v>9</v>
      </c>
      <c r="E2751" s="28">
        <v>29066.1</v>
      </c>
      <c r="F2751" s="22" t="s">
        <v>254</v>
      </c>
      <c r="G2751" s="14">
        <v>70</v>
      </c>
      <c r="H2751" s="40">
        <v>45180</v>
      </c>
      <c r="I2751" s="46">
        <f t="shared" si="168"/>
        <v>17</v>
      </c>
      <c r="J2751" s="1" t="s">
        <v>15</v>
      </c>
      <c r="K2751" s="4" t="s">
        <v>200</v>
      </c>
      <c r="L2751" s="4" t="s">
        <v>225</v>
      </c>
      <c r="M2751" s="8">
        <v>70</v>
      </c>
      <c r="N2751" s="5">
        <v>415.23</v>
      </c>
      <c r="O2751" s="5">
        <v>29066.1</v>
      </c>
      <c r="P2751">
        <f t="shared" si="169"/>
        <v>1</v>
      </c>
      <c r="Q2751" s="36">
        <f t="shared" si="170"/>
        <v>29066.100000000002</v>
      </c>
      <c r="R2751">
        <f t="shared" si="171"/>
        <v>2023</v>
      </c>
    </row>
    <row r="2752" spans="1:18" x14ac:dyDescent="0.2">
      <c r="A2752" s="13">
        <v>45197</v>
      </c>
      <c r="B2752" s="13">
        <v>45188</v>
      </c>
      <c r="C2752" s="25" t="s">
        <v>399</v>
      </c>
      <c r="D2752" s="20">
        <v>9</v>
      </c>
      <c r="E2752" s="28">
        <v>29066.1</v>
      </c>
      <c r="F2752" s="22" t="s">
        <v>254</v>
      </c>
      <c r="G2752" s="14">
        <v>70</v>
      </c>
      <c r="H2752" s="40">
        <v>45180</v>
      </c>
      <c r="I2752" s="46">
        <f t="shared" si="168"/>
        <v>17</v>
      </c>
      <c r="J2752" s="1" t="s">
        <v>15</v>
      </c>
      <c r="K2752" s="4" t="s">
        <v>200</v>
      </c>
      <c r="L2752" s="4" t="s">
        <v>225</v>
      </c>
      <c r="M2752" s="8">
        <v>70</v>
      </c>
      <c r="N2752" s="5">
        <v>415.23</v>
      </c>
      <c r="O2752" s="5">
        <v>29066.1</v>
      </c>
      <c r="P2752">
        <f t="shared" si="169"/>
        <v>1</v>
      </c>
      <c r="Q2752" s="36">
        <f t="shared" si="170"/>
        <v>29066.100000000002</v>
      </c>
      <c r="R2752">
        <f t="shared" si="171"/>
        <v>2023</v>
      </c>
    </row>
    <row r="2753" spans="1:18" x14ac:dyDescent="0.2">
      <c r="A2753" s="13">
        <v>45188</v>
      </c>
      <c r="B2753" s="13">
        <v>45188</v>
      </c>
      <c r="C2753" s="25" t="s">
        <v>398</v>
      </c>
      <c r="D2753" s="20">
        <v>0</v>
      </c>
      <c r="E2753" s="28">
        <v>30020.2</v>
      </c>
      <c r="F2753" s="22" t="s">
        <v>255</v>
      </c>
      <c r="G2753" s="14">
        <v>70</v>
      </c>
      <c r="H2753" s="40">
        <v>44782</v>
      </c>
      <c r="I2753" s="46">
        <f t="shared" si="168"/>
        <v>406</v>
      </c>
      <c r="J2753" s="1" t="s">
        <v>15</v>
      </c>
      <c r="K2753" s="4" t="s">
        <v>200</v>
      </c>
      <c r="L2753" s="4" t="s">
        <v>225</v>
      </c>
      <c r="M2753" s="8">
        <v>70</v>
      </c>
      <c r="N2753" s="5">
        <v>428.86</v>
      </c>
      <c r="O2753" s="5">
        <v>30020.2</v>
      </c>
      <c r="P2753">
        <f t="shared" si="169"/>
        <v>1</v>
      </c>
      <c r="Q2753" s="36">
        <f t="shared" si="170"/>
        <v>30020.2</v>
      </c>
      <c r="R2753">
        <f t="shared" si="171"/>
        <v>2022</v>
      </c>
    </row>
    <row r="2754" spans="1:18" x14ac:dyDescent="0.2">
      <c r="A2754" s="13">
        <v>45188</v>
      </c>
      <c r="B2754" s="13">
        <v>45188</v>
      </c>
      <c r="C2754" s="25" t="s">
        <v>398</v>
      </c>
      <c r="D2754" s="20">
        <v>0</v>
      </c>
      <c r="E2754" s="28">
        <v>30020.2</v>
      </c>
      <c r="F2754" s="22" t="s">
        <v>255</v>
      </c>
      <c r="G2754" s="14">
        <v>70</v>
      </c>
      <c r="H2754" s="40">
        <v>44782</v>
      </c>
      <c r="I2754" s="46">
        <f t="shared" si="168"/>
        <v>406</v>
      </c>
      <c r="J2754" s="1" t="s">
        <v>15</v>
      </c>
      <c r="K2754" s="4" t="s">
        <v>200</v>
      </c>
      <c r="L2754" s="4" t="s">
        <v>225</v>
      </c>
      <c r="M2754" s="8">
        <v>70</v>
      </c>
      <c r="N2754" s="5">
        <v>428.86</v>
      </c>
      <c r="O2754" s="5">
        <v>30020.2</v>
      </c>
      <c r="P2754">
        <f t="shared" si="169"/>
        <v>1</v>
      </c>
      <c r="Q2754" s="36">
        <f t="shared" si="170"/>
        <v>30020.2</v>
      </c>
      <c r="R2754">
        <f t="shared" si="171"/>
        <v>2022</v>
      </c>
    </row>
    <row r="2755" spans="1:18" x14ac:dyDescent="0.2">
      <c r="A2755" s="13">
        <v>45219</v>
      </c>
      <c r="B2755" s="13">
        <v>45219</v>
      </c>
      <c r="C2755" s="25" t="s">
        <v>398</v>
      </c>
      <c r="D2755" s="20">
        <v>0</v>
      </c>
      <c r="E2755" s="28">
        <v>30020.2</v>
      </c>
      <c r="F2755" s="22" t="s">
        <v>255</v>
      </c>
      <c r="G2755" s="14">
        <v>70</v>
      </c>
      <c r="H2755" s="40">
        <v>44811</v>
      </c>
      <c r="I2755" s="46">
        <f t="shared" ref="I2755:I2818" si="172">IFERROR(A2755-H2755,"")*1</f>
        <v>408</v>
      </c>
      <c r="J2755" s="1" t="s">
        <v>15</v>
      </c>
      <c r="K2755" s="4" t="s">
        <v>199</v>
      </c>
      <c r="L2755" s="4" t="s">
        <v>225</v>
      </c>
      <c r="M2755" s="8">
        <v>70</v>
      </c>
      <c r="N2755" s="5">
        <v>428.86</v>
      </c>
      <c r="O2755" s="5">
        <v>30020.2</v>
      </c>
      <c r="P2755">
        <f t="shared" ref="P2755:P2818" si="173">IF(M2755=G2755,1,0)</f>
        <v>1</v>
      </c>
      <c r="Q2755" s="36">
        <f t="shared" ref="Q2755:Q2818" si="174">N2755*G2755</f>
        <v>30020.2</v>
      </c>
      <c r="R2755">
        <f t="shared" ref="R2755:R2818" si="175">YEAR(H2755)</f>
        <v>2022</v>
      </c>
    </row>
    <row r="2756" spans="1:18" x14ac:dyDescent="0.2">
      <c r="A2756" s="13">
        <v>45219</v>
      </c>
      <c r="B2756" s="13">
        <v>45219</v>
      </c>
      <c r="C2756" s="25" t="s">
        <v>398</v>
      </c>
      <c r="D2756" s="20">
        <v>0</v>
      </c>
      <c r="E2756" s="28">
        <v>30020.2</v>
      </c>
      <c r="F2756" s="22" t="s">
        <v>255</v>
      </c>
      <c r="G2756" s="14">
        <v>70</v>
      </c>
      <c r="H2756" s="40">
        <v>44811</v>
      </c>
      <c r="I2756" s="46">
        <f t="shared" si="172"/>
        <v>408</v>
      </c>
      <c r="J2756" s="1" t="s">
        <v>15</v>
      </c>
      <c r="K2756" s="4" t="s">
        <v>199</v>
      </c>
      <c r="L2756" s="4" t="s">
        <v>225</v>
      </c>
      <c r="M2756" s="8">
        <v>70</v>
      </c>
      <c r="N2756" s="5">
        <v>428.86</v>
      </c>
      <c r="O2756" s="5">
        <v>30020.2</v>
      </c>
      <c r="P2756">
        <f t="shared" si="173"/>
        <v>1</v>
      </c>
      <c r="Q2756" s="36">
        <f t="shared" si="174"/>
        <v>30020.2</v>
      </c>
      <c r="R2756">
        <f t="shared" si="175"/>
        <v>2022</v>
      </c>
    </row>
    <row r="2757" spans="1:18" x14ac:dyDescent="0.2">
      <c r="A2757" s="13">
        <v>45219</v>
      </c>
      <c r="B2757" s="13">
        <v>45219</v>
      </c>
      <c r="C2757" s="25" t="s">
        <v>398</v>
      </c>
      <c r="D2757" s="20">
        <v>0</v>
      </c>
      <c r="E2757" s="28">
        <v>30020.2</v>
      </c>
      <c r="F2757" s="22" t="s">
        <v>255</v>
      </c>
      <c r="G2757" s="14">
        <v>70</v>
      </c>
      <c r="H2757" s="40">
        <v>44811</v>
      </c>
      <c r="I2757" s="46">
        <f t="shared" si="172"/>
        <v>408</v>
      </c>
      <c r="J2757" s="1" t="s">
        <v>15</v>
      </c>
      <c r="K2757" s="4" t="s">
        <v>199</v>
      </c>
      <c r="L2757" s="4" t="s">
        <v>225</v>
      </c>
      <c r="M2757" s="8">
        <v>70</v>
      </c>
      <c r="N2757" s="5">
        <v>428.86</v>
      </c>
      <c r="O2757" s="5">
        <v>30020.2</v>
      </c>
      <c r="P2757">
        <f t="shared" si="173"/>
        <v>1</v>
      </c>
      <c r="Q2757" s="36">
        <f t="shared" si="174"/>
        <v>30020.2</v>
      </c>
      <c r="R2757">
        <f t="shared" si="175"/>
        <v>2022</v>
      </c>
    </row>
    <row r="2758" spans="1:18" x14ac:dyDescent="0.2">
      <c r="A2758" s="13">
        <v>45202</v>
      </c>
      <c r="B2758" s="13">
        <v>45202</v>
      </c>
      <c r="C2758" s="25" t="s">
        <v>398</v>
      </c>
      <c r="D2758" s="20">
        <v>0</v>
      </c>
      <c r="E2758" s="28">
        <v>53718</v>
      </c>
      <c r="F2758" s="22" t="s">
        <v>256</v>
      </c>
      <c r="G2758" s="14">
        <v>140</v>
      </c>
      <c r="H2758" s="40">
        <v>44798</v>
      </c>
      <c r="I2758" s="46">
        <f t="shared" si="172"/>
        <v>404</v>
      </c>
      <c r="J2758" s="1" t="s">
        <v>15</v>
      </c>
      <c r="K2758" s="4" t="s">
        <v>199</v>
      </c>
      <c r="L2758" s="4" t="s">
        <v>225</v>
      </c>
      <c r="M2758" s="8">
        <v>140</v>
      </c>
      <c r="N2758" s="5">
        <v>383.7</v>
      </c>
      <c r="O2758" s="5">
        <v>53718</v>
      </c>
      <c r="P2758">
        <f t="shared" si="173"/>
        <v>1</v>
      </c>
      <c r="Q2758" s="36">
        <f t="shared" si="174"/>
        <v>53718</v>
      </c>
      <c r="R2758">
        <f t="shared" si="175"/>
        <v>2022</v>
      </c>
    </row>
    <row r="2759" spans="1:18" x14ac:dyDescent="0.2">
      <c r="A2759" s="13">
        <v>45202</v>
      </c>
      <c r="B2759" s="13">
        <v>45202</v>
      </c>
      <c r="C2759" s="25" t="s">
        <v>398</v>
      </c>
      <c r="D2759" s="20">
        <v>0</v>
      </c>
      <c r="E2759" s="28">
        <v>53718</v>
      </c>
      <c r="F2759" s="22" t="s">
        <v>256</v>
      </c>
      <c r="G2759" s="14">
        <v>140</v>
      </c>
      <c r="H2759" s="40">
        <v>44798</v>
      </c>
      <c r="I2759" s="46">
        <f t="shared" si="172"/>
        <v>404</v>
      </c>
      <c r="J2759" s="1" t="s">
        <v>15</v>
      </c>
      <c r="K2759" s="4" t="s">
        <v>199</v>
      </c>
      <c r="L2759" s="4" t="s">
        <v>225</v>
      </c>
      <c r="M2759" s="8">
        <v>140</v>
      </c>
      <c r="N2759" s="5">
        <v>383.7</v>
      </c>
      <c r="O2759" s="5">
        <v>53718</v>
      </c>
      <c r="P2759">
        <f t="shared" si="173"/>
        <v>1</v>
      </c>
      <c r="Q2759" s="36">
        <f t="shared" si="174"/>
        <v>53718</v>
      </c>
      <c r="R2759">
        <f t="shared" si="175"/>
        <v>2022</v>
      </c>
    </row>
    <row r="2760" spans="1:18" x14ac:dyDescent="0.2">
      <c r="A2760" s="13">
        <v>45209</v>
      </c>
      <c r="B2760" s="13">
        <v>45209</v>
      </c>
      <c r="C2760" s="25" t="s">
        <v>398</v>
      </c>
      <c r="D2760" s="20">
        <v>0</v>
      </c>
      <c r="E2760" s="28">
        <v>53718</v>
      </c>
      <c r="F2760" s="22" t="s">
        <v>256</v>
      </c>
      <c r="G2760" s="14">
        <v>140</v>
      </c>
      <c r="H2760" s="40">
        <v>44805</v>
      </c>
      <c r="I2760" s="46">
        <f t="shared" si="172"/>
        <v>404</v>
      </c>
      <c r="J2760" s="1" t="s">
        <v>15</v>
      </c>
      <c r="K2760" s="4" t="s">
        <v>199</v>
      </c>
      <c r="L2760" s="4" t="s">
        <v>225</v>
      </c>
      <c r="M2760" s="8">
        <v>140</v>
      </c>
      <c r="N2760" s="5">
        <v>383.7</v>
      </c>
      <c r="O2760" s="5">
        <v>53718</v>
      </c>
      <c r="P2760">
        <f t="shared" si="173"/>
        <v>1</v>
      </c>
      <c r="Q2760" s="36">
        <f t="shared" si="174"/>
        <v>53718</v>
      </c>
      <c r="R2760">
        <f t="shared" si="175"/>
        <v>2022</v>
      </c>
    </row>
    <row r="2761" spans="1:18" x14ac:dyDescent="0.2">
      <c r="A2761" s="13">
        <v>45209</v>
      </c>
      <c r="B2761" s="13">
        <v>45209</v>
      </c>
      <c r="C2761" s="25" t="s">
        <v>398</v>
      </c>
      <c r="D2761" s="20">
        <v>0</v>
      </c>
      <c r="E2761" s="28">
        <v>53718</v>
      </c>
      <c r="F2761" s="22" t="s">
        <v>256</v>
      </c>
      <c r="G2761" s="14">
        <v>140</v>
      </c>
      <c r="H2761" s="40">
        <v>44805</v>
      </c>
      <c r="I2761" s="46">
        <f t="shared" si="172"/>
        <v>404</v>
      </c>
      <c r="J2761" s="1" t="s">
        <v>15</v>
      </c>
      <c r="K2761" s="4" t="s">
        <v>199</v>
      </c>
      <c r="L2761" s="4" t="s">
        <v>225</v>
      </c>
      <c r="M2761" s="8">
        <v>140</v>
      </c>
      <c r="N2761" s="5">
        <v>383.7</v>
      </c>
      <c r="O2761" s="5">
        <v>53718</v>
      </c>
      <c r="P2761">
        <f t="shared" si="173"/>
        <v>1</v>
      </c>
      <c r="Q2761" s="36">
        <f t="shared" si="174"/>
        <v>53718</v>
      </c>
      <c r="R2761">
        <f t="shared" si="175"/>
        <v>2022</v>
      </c>
    </row>
    <row r="2762" spans="1:18" x14ac:dyDescent="0.2">
      <c r="A2762" s="13">
        <v>45216</v>
      </c>
      <c r="B2762" s="13">
        <v>45216</v>
      </c>
      <c r="C2762" s="25" t="s">
        <v>398</v>
      </c>
      <c r="D2762" s="20">
        <v>0</v>
      </c>
      <c r="E2762" s="28">
        <v>26859</v>
      </c>
      <c r="F2762" s="22" t="s">
        <v>256</v>
      </c>
      <c r="G2762" s="14">
        <v>70</v>
      </c>
      <c r="H2762" s="40">
        <v>44811</v>
      </c>
      <c r="I2762" s="46">
        <f t="shared" si="172"/>
        <v>405</v>
      </c>
      <c r="J2762" s="1" t="s">
        <v>15</v>
      </c>
      <c r="K2762" s="4" t="s">
        <v>199</v>
      </c>
      <c r="L2762" s="4" t="s">
        <v>225</v>
      </c>
      <c r="M2762" s="8">
        <v>70</v>
      </c>
      <c r="N2762" s="5">
        <v>383.7</v>
      </c>
      <c r="O2762" s="5">
        <v>26859</v>
      </c>
      <c r="P2762">
        <f t="shared" si="173"/>
        <v>1</v>
      </c>
      <c r="Q2762" s="36">
        <f t="shared" si="174"/>
        <v>26859</v>
      </c>
      <c r="R2762">
        <f t="shared" si="175"/>
        <v>2022</v>
      </c>
    </row>
    <row r="2763" spans="1:18" x14ac:dyDescent="0.2">
      <c r="A2763" s="13">
        <v>45216</v>
      </c>
      <c r="B2763" s="13">
        <v>45216</v>
      </c>
      <c r="C2763" s="25" t="s">
        <v>398</v>
      </c>
      <c r="D2763" s="20">
        <v>0</v>
      </c>
      <c r="E2763" s="28">
        <v>53718</v>
      </c>
      <c r="F2763" s="22" t="s">
        <v>256</v>
      </c>
      <c r="G2763" s="14">
        <v>140</v>
      </c>
      <c r="H2763" s="40">
        <v>44811</v>
      </c>
      <c r="I2763" s="46">
        <f t="shared" si="172"/>
        <v>405</v>
      </c>
      <c r="J2763" s="1" t="s">
        <v>15</v>
      </c>
      <c r="K2763" s="4" t="s">
        <v>199</v>
      </c>
      <c r="L2763" s="4" t="s">
        <v>225</v>
      </c>
      <c r="M2763" s="8">
        <v>140</v>
      </c>
      <c r="N2763" s="5">
        <v>383.7</v>
      </c>
      <c r="O2763" s="5">
        <v>53718</v>
      </c>
      <c r="P2763">
        <f t="shared" si="173"/>
        <v>1</v>
      </c>
      <c r="Q2763" s="36">
        <f t="shared" si="174"/>
        <v>53718</v>
      </c>
      <c r="R2763">
        <f t="shared" si="175"/>
        <v>2022</v>
      </c>
    </row>
    <row r="2764" spans="1:18" x14ac:dyDescent="0.2">
      <c r="A2764" s="13">
        <v>45223</v>
      </c>
      <c r="B2764" s="13">
        <v>45223</v>
      </c>
      <c r="C2764" s="25" t="s">
        <v>398</v>
      </c>
      <c r="D2764" s="20">
        <v>0</v>
      </c>
      <c r="E2764" s="28">
        <v>53718</v>
      </c>
      <c r="F2764" s="22" t="s">
        <v>256</v>
      </c>
      <c r="G2764" s="14">
        <v>140</v>
      </c>
      <c r="H2764" s="40">
        <v>44819</v>
      </c>
      <c r="I2764" s="46">
        <f t="shared" si="172"/>
        <v>404</v>
      </c>
      <c r="J2764" s="1" t="s">
        <v>15</v>
      </c>
      <c r="K2764" s="4" t="s">
        <v>199</v>
      </c>
      <c r="L2764" s="4" t="s">
        <v>225</v>
      </c>
      <c r="M2764" s="8">
        <v>140</v>
      </c>
      <c r="N2764" s="5">
        <v>383.7</v>
      </c>
      <c r="O2764" s="5">
        <v>53718</v>
      </c>
      <c r="P2764">
        <f t="shared" si="173"/>
        <v>1</v>
      </c>
      <c r="Q2764" s="36">
        <f t="shared" si="174"/>
        <v>53718</v>
      </c>
      <c r="R2764">
        <f t="shared" si="175"/>
        <v>2022</v>
      </c>
    </row>
    <row r="2765" spans="1:18" x14ac:dyDescent="0.2">
      <c r="A2765" s="13">
        <v>45223</v>
      </c>
      <c r="B2765" s="13">
        <v>45223</v>
      </c>
      <c r="C2765" s="25" t="s">
        <v>398</v>
      </c>
      <c r="D2765" s="20">
        <v>0</v>
      </c>
      <c r="E2765" s="28">
        <v>53718</v>
      </c>
      <c r="F2765" s="22" t="s">
        <v>256</v>
      </c>
      <c r="G2765" s="14">
        <v>140</v>
      </c>
      <c r="H2765" s="40">
        <v>44819</v>
      </c>
      <c r="I2765" s="46">
        <f t="shared" si="172"/>
        <v>404</v>
      </c>
      <c r="J2765" s="1" t="s">
        <v>15</v>
      </c>
      <c r="K2765" s="4" t="s">
        <v>199</v>
      </c>
      <c r="L2765" s="4" t="s">
        <v>225</v>
      </c>
      <c r="M2765" s="8">
        <v>140</v>
      </c>
      <c r="N2765" s="5">
        <v>383.7</v>
      </c>
      <c r="O2765" s="5">
        <v>53718</v>
      </c>
      <c r="P2765">
        <f t="shared" si="173"/>
        <v>1</v>
      </c>
      <c r="Q2765" s="36">
        <f t="shared" si="174"/>
        <v>53718</v>
      </c>
      <c r="R2765">
        <f t="shared" si="175"/>
        <v>2022</v>
      </c>
    </row>
    <row r="2766" spans="1:18" x14ac:dyDescent="0.2">
      <c r="A2766" s="13">
        <v>45194</v>
      </c>
      <c r="B2766" s="13">
        <v>45055</v>
      </c>
      <c r="C2766" s="25" t="s">
        <v>399</v>
      </c>
      <c r="D2766" s="20">
        <v>139</v>
      </c>
      <c r="E2766" s="28">
        <v>26859</v>
      </c>
      <c r="F2766" s="22" t="s">
        <v>256</v>
      </c>
      <c r="G2766" s="14">
        <v>70</v>
      </c>
      <c r="H2766" s="40">
        <v>45154</v>
      </c>
      <c r="I2766" s="46">
        <f t="shared" si="172"/>
        <v>40</v>
      </c>
      <c r="J2766" s="1" t="s">
        <v>15</v>
      </c>
      <c r="K2766" s="4" t="s">
        <v>200</v>
      </c>
      <c r="L2766" s="4" t="s">
        <v>225</v>
      </c>
      <c r="M2766" s="8">
        <v>140</v>
      </c>
      <c r="N2766" s="5">
        <v>383.7</v>
      </c>
      <c r="O2766" s="5">
        <v>53718</v>
      </c>
      <c r="P2766">
        <f t="shared" si="173"/>
        <v>0</v>
      </c>
      <c r="Q2766" s="36">
        <f t="shared" si="174"/>
        <v>26859</v>
      </c>
      <c r="R2766">
        <f t="shared" si="175"/>
        <v>2023</v>
      </c>
    </row>
    <row r="2767" spans="1:18" x14ac:dyDescent="0.2">
      <c r="A2767" s="13">
        <v>45194</v>
      </c>
      <c r="B2767" s="13">
        <v>45055</v>
      </c>
      <c r="C2767" s="25" t="s">
        <v>399</v>
      </c>
      <c r="D2767" s="20">
        <v>139</v>
      </c>
      <c r="E2767" s="28">
        <v>26859</v>
      </c>
      <c r="F2767" s="22" t="s">
        <v>256</v>
      </c>
      <c r="G2767" s="14">
        <v>70</v>
      </c>
      <c r="H2767" s="40">
        <v>45180</v>
      </c>
      <c r="I2767" s="46">
        <f t="shared" si="172"/>
        <v>14</v>
      </c>
      <c r="J2767" s="1" t="s">
        <v>15</v>
      </c>
      <c r="K2767" s="4" t="s">
        <v>200</v>
      </c>
      <c r="L2767" s="4" t="s">
        <v>225</v>
      </c>
      <c r="M2767" s="8">
        <v>70</v>
      </c>
      <c r="N2767" s="5">
        <v>383.7</v>
      </c>
      <c r="O2767" s="5">
        <v>26859</v>
      </c>
      <c r="P2767">
        <f t="shared" si="173"/>
        <v>1</v>
      </c>
      <c r="Q2767" s="36">
        <f t="shared" si="174"/>
        <v>26859</v>
      </c>
      <c r="R2767">
        <f t="shared" si="175"/>
        <v>2023</v>
      </c>
    </row>
    <row r="2768" spans="1:18" x14ac:dyDescent="0.2">
      <c r="A2768" s="13">
        <v>45197</v>
      </c>
      <c r="B2768" s="13">
        <v>45111</v>
      </c>
      <c r="C2768" s="25" t="s">
        <v>399</v>
      </c>
      <c r="D2768" s="20">
        <v>86</v>
      </c>
      <c r="E2768" s="28">
        <v>53718</v>
      </c>
      <c r="F2768" s="22" t="s">
        <v>256</v>
      </c>
      <c r="G2768" s="14">
        <v>140</v>
      </c>
      <c r="H2768" s="40">
        <v>45180</v>
      </c>
      <c r="I2768" s="46">
        <f t="shared" si="172"/>
        <v>17</v>
      </c>
      <c r="J2768" s="1" t="s">
        <v>15</v>
      </c>
      <c r="K2768" s="4" t="s">
        <v>200</v>
      </c>
      <c r="L2768" s="4" t="s">
        <v>225</v>
      </c>
      <c r="M2768" s="8">
        <v>140</v>
      </c>
      <c r="N2768" s="5">
        <v>383.7</v>
      </c>
      <c r="O2768" s="5">
        <v>53718</v>
      </c>
      <c r="P2768">
        <f t="shared" si="173"/>
        <v>1</v>
      </c>
      <c r="Q2768" s="36">
        <f t="shared" si="174"/>
        <v>53718</v>
      </c>
      <c r="R2768">
        <f t="shared" si="175"/>
        <v>2023</v>
      </c>
    </row>
    <row r="2769" spans="1:18" x14ac:dyDescent="0.2">
      <c r="A2769" s="13">
        <v>45197</v>
      </c>
      <c r="B2769" s="13">
        <v>45118</v>
      </c>
      <c r="C2769" s="25" t="s">
        <v>399</v>
      </c>
      <c r="D2769" s="20">
        <v>79</v>
      </c>
      <c r="E2769" s="28">
        <v>53718</v>
      </c>
      <c r="F2769" s="22" t="s">
        <v>256</v>
      </c>
      <c r="G2769" s="14">
        <v>140</v>
      </c>
      <c r="H2769" s="40">
        <v>45180</v>
      </c>
      <c r="I2769" s="46">
        <f t="shared" si="172"/>
        <v>17</v>
      </c>
      <c r="J2769" s="1" t="s">
        <v>15</v>
      </c>
      <c r="K2769" s="4" t="s">
        <v>200</v>
      </c>
      <c r="L2769" s="4" t="s">
        <v>225</v>
      </c>
      <c r="M2769" s="8">
        <v>140</v>
      </c>
      <c r="N2769" s="5">
        <v>383.7</v>
      </c>
      <c r="O2769" s="5">
        <v>53718</v>
      </c>
      <c r="P2769">
        <f t="shared" si="173"/>
        <v>1</v>
      </c>
      <c r="Q2769" s="36">
        <f t="shared" si="174"/>
        <v>53718</v>
      </c>
      <c r="R2769">
        <f t="shared" si="175"/>
        <v>2023</v>
      </c>
    </row>
    <row r="2770" spans="1:18" x14ac:dyDescent="0.2">
      <c r="A2770" s="13">
        <v>45197</v>
      </c>
      <c r="B2770" s="13">
        <v>45111</v>
      </c>
      <c r="C2770" s="25" t="s">
        <v>399</v>
      </c>
      <c r="D2770" s="20">
        <v>86</v>
      </c>
      <c r="E2770" s="28">
        <v>53718</v>
      </c>
      <c r="F2770" s="22" t="s">
        <v>256</v>
      </c>
      <c r="G2770" s="14">
        <v>140</v>
      </c>
      <c r="H2770" s="40">
        <v>45180</v>
      </c>
      <c r="I2770" s="46">
        <f t="shared" si="172"/>
        <v>17</v>
      </c>
      <c r="J2770" s="1" t="s">
        <v>15</v>
      </c>
      <c r="K2770" s="4" t="s">
        <v>200</v>
      </c>
      <c r="L2770" s="4" t="s">
        <v>225</v>
      </c>
      <c r="M2770" s="8">
        <v>140</v>
      </c>
      <c r="N2770" s="5">
        <v>383.7</v>
      </c>
      <c r="O2770" s="5">
        <v>53718</v>
      </c>
      <c r="P2770">
        <f t="shared" si="173"/>
        <v>1</v>
      </c>
      <c r="Q2770" s="36">
        <f t="shared" si="174"/>
        <v>53718</v>
      </c>
      <c r="R2770">
        <f t="shared" si="175"/>
        <v>2023</v>
      </c>
    </row>
    <row r="2771" spans="1:18" x14ac:dyDescent="0.2">
      <c r="A2771" s="13">
        <v>45197</v>
      </c>
      <c r="B2771" s="13">
        <v>45118</v>
      </c>
      <c r="C2771" s="25" t="s">
        <v>399</v>
      </c>
      <c r="D2771" s="20">
        <v>79</v>
      </c>
      <c r="E2771" s="28">
        <v>53718</v>
      </c>
      <c r="F2771" s="22" t="s">
        <v>256</v>
      </c>
      <c r="G2771" s="14">
        <v>140</v>
      </c>
      <c r="H2771" s="40">
        <v>45180</v>
      </c>
      <c r="I2771" s="46">
        <f t="shared" si="172"/>
        <v>17</v>
      </c>
      <c r="J2771" s="1" t="s">
        <v>15</v>
      </c>
      <c r="K2771" s="4" t="s">
        <v>200</v>
      </c>
      <c r="L2771" s="4" t="s">
        <v>225</v>
      </c>
      <c r="M2771" s="8">
        <v>140</v>
      </c>
      <c r="N2771" s="5">
        <v>383.7</v>
      </c>
      <c r="O2771" s="5">
        <v>53718</v>
      </c>
      <c r="P2771">
        <f t="shared" si="173"/>
        <v>1</v>
      </c>
      <c r="Q2771" s="36">
        <f t="shared" si="174"/>
        <v>53718</v>
      </c>
      <c r="R2771">
        <f t="shared" si="175"/>
        <v>2023</v>
      </c>
    </row>
    <row r="2772" spans="1:18" x14ac:dyDescent="0.2">
      <c r="A2772" s="13">
        <v>45197</v>
      </c>
      <c r="B2772" s="13">
        <v>45125</v>
      </c>
      <c r="C2772" s="25" t="s">
        <v>399</v>
      </c>
      <c r="D2772" s="20">
        <v>72</v>
      </c>
      <c r="E2772" s="28">
        <v>53718</v>
      </c>
      <c r="F2772" s="22" t="s">
        <v>256</v>
      </c>
      <c r="G2772" s="14">
        <v>140</v>
      </c>
      <c r="H2772" s="40">
        <v>45180</v>
      </c>
      <c r="I2772" s="46">
        <f t="shared" si="172"/>
        <v>17</v>
      </c>
      <c r="J2772" s="1" t="s">
        <v>15</v>
      </c>
      <c r="K2772" s="4" t="s">
        <v>200</v>
      </c>
      <c r="L2772" s="4" t="s">
        <v>225</v>
      </c>
      <c r="M2772" s="8">
        <v>140</v>
      </c>
      <c r="N2772" s="5">
        <v>383.7</v>
      </c>
      <c r="O2772" s="5">
        <v>53718</v>
      </c>
      <c r="P2772">
        <f t="shared" si="173"/>
        <v>1</v>
      </c>
      <c r="Q2772" s="36">
        <f t="shared" si="174"/>
        <v>53718</v>
      </c>
      <c r="R2772">
        <f t="shared" si="175"/>
        <v>2023</v>
      </c>
    </row>
    <row r="2773" spans="1:18" x14ac:dyDescent="0.2">
      <c r="A2773" s="13">
        <v>45197</v>
      </c>
      <c r="B2773" s="13">
        <v>45125</v>
      </c>
      <c r="C2773" s="25" t="s">
        <v>399</v>
      </c>
      <c r="D2773" s="20">
        <v>72</v>
      </c>
      <c r="E2773" s="28">
        <v>53718</v>
      </c>
      <c r="F2773" s="22" t="s">
        <v>256</v>
      </c>
      <c r="G2773" s="14">
        <v>140</v>
      </c>
      <c r="H2773" s="40">
        <v>45180</v>
      </c>
      <c r="I2773" s="46">
        <f t="shared" si="172"/>
        <v>17</v>
      </c>
      <c r="J2773" s="1" t="s">
        <v>15</v>
      </c>
      <c r="K2773" s="4" t="s">
        <v>200</v>
      </c>
      <c r="L2773" s="4" t="s">
        <v>225</v>
      </c>
      <c r="M2773" s="8">
        <v>140</v>
      </c>
      <c r="N2773" s="5">
        <v>383.7</v>
      </c>
      <c r="O2773" s="5">
        <v>53718</v>
      </c>
      <c r="P2773">
        <f t="shared" si="173"/>
        <v>1</v>
      </c>
      <c r="Q2773" s="36">
        <f t="shared" si="174"/>
        <v>53718</v>
      </c>
      <c r="R2773">
        <f t="shared" si="175"/>
        <v>2023</v>
      </c>
    </row>
    <row r="2774" spans="1:18" x14ac:dyDescent="0.2">
      <c r="A2774" s="13">
        <v>45197</v>
      </c>
      <c r="B2774" s="13">
        <v>45146</v>
      </c>
      <c r="C2774" s="25" t="s">
        <v>399</v>
      </c>
      <c r="D2774" s="20">
        <v>51</v>
      </c>
      <c r="E2774" s="28">
        <v>26859</v>
      </c>
      <c r="F2774" s="22" t="s">
        <v>256</v>
      </c>
      <c r="G2774" s="14">
        <v>70</v>
      </c>
      <c r="H2774" s="40">
        <v>45180</v>
      </c>
      <c r="I2774" s="46">
        <f t="shared" si="172"/>
        <v>17</v>
      </c>
      <c r="J2774" s="1" t="s">
        <v>15</v>
      </c>
      <c r="K2774" s="4" t="s">
        <v>200</v>
      </c>
      <c r="L2774" s="4" t="s">
        <v>225</v>
      </c>
      <c r="M2774" s="8">
        <v>70</v>
      </c>
      <c r="N2774" s="5">
        <v>383.7</v>
      </c>
      <c r="O2774" s="5">
        <v>26859</v>
      </c>
      <c r="P2774">
        <f t="shared" si="173"/>
        <v>1</v>
      </c>
      <c r="Q2774" s="36">
        <f t="shared" si="174"/>
        <v>26859</v>
      </c>
      <c r="R2774">
        <f t="shared" si="175"/>
        <v>2023</v>
      </c>
    </row>
    <row r="2775" spans="1:18" x14ac:dyDescent="0.2">
      <c r="A2775" s="13">
        <v>45197</v>
      </c>
      <c r="B2775" s="13">
        <v>45167</v>
      </c>
      <c r="C2775" s="25" t="s">
        <v>399</v>
      </c>
      <c r="D2775" s="20">
        <v>30</v>
      </c>
      <c r="E2775" s="28">
        <v>26859</v>
      </c>
      <c r="F2775" s="22" t="s">
        <v>256</v>
      </c>
      <c r="G2775" s="14">
        <v>70</v>
      </c>
      <c r="H2775" s="40">
        <v>45180</v>
      </c>
      <c r="I2775" s="46">
        <f t="shared" si="172"/>
        <v>17</v>
      </c>
      <c r="J2775" s="1" t="s">
        <v>15</v>
      </c>
      <c r="K2775" s="4" t="s">
        <v>200</v>
      </c>
      <c r="L2775" s="4" t="s">
        <v>225</v>
      </c>
      <c r="M2775" s="8">
        <v>70</v>
      </c>
      <c r="N2775" s="5">
        <v>383.7</v>
      </c>
      <c r="O2775" s="5">
        <v>26859</v>
      </c>
      <c r="P2775">
        <f t="shared" si="173"/>
        <v>1</v>
      </c>
      <c r="Q2775" s="36">
        <f t="shared" si="174"/>
        <v>26859</v>
      </c>
      <c r="R2775">
        <f t="shared" si="175"/>
        <v>2023</v>
      </c>
    </row>
    <row r="2776" spans="1:18" x14ac:dyDescent="0.2">
      <c r="A2776" s="13">
        <v>45197</v>
      </c>
      <c r="B2776" s="13">
        <v>45167</v>
      </c>
      <c r="C2776" s="25" t="s">
        <v>399</v>
      </c>
      <c r="D2776" s="20">
        <v>30</v>
      </c>
      <c r="E2776" s="28">
        <v>53718</v>
      </c>
      <c r="F2776" s="22" t="s">
        <v>256</v>
      </c>
      <c r="G2776" s="14">
        <v>140</v>
      </c>
      <c r="H2776" s="40">
        <v>45180</v>
      </c>
      <c r="I2776" s="46">
        <f t="shared" si="172"/>
        <v>17</v>
      </c>
      <c r="J2776" s="1" t="s">
        <v>15</v>
      </c>
      <c r="K2776" s="4" t="s">
        <v>200</v>
      </c>
      <c r="L2776" s="4" t="s">
        <v>225</v>
      </c>
      <c r="M2776" s="8">
        <v>140</v>
      </c>
      <c r="N2776" s="5">
        <v>383.7</v>
      </c>
      <c r="O2776" s="5">
        <v>53718</v>
      </c>
      <c r="P2776">
        <f t="shared" si="173"/>
        <v>1</v>
      </c>
      <c r="Q2776" s="36">
        <f t="shared" si="174"/>
        <v>53718</v>
      </c>
      <c r="R2776">
        <f t="shared" si="175"/>
        <v>2023</v>
      </c>
    </row>
    <row r="2777" spans="1:18" x14ac:dyDescent="0.2">
      <c r="A2777" s="13">
        <v>45197</v>
      </c>
      <c r="B2777" s="13">
        <v>45195</v>
      </c>
      <c r="C2777" s="25" t="s">
        <v>399</v>
      </c>
      <c r="D2777" s="20">
        <v>2</v>
      </c>
      <c r="E2777" s="28">
        <v>26859</v>
      </c>
      <c r="F2777" s="22" t="s">
        <v>256</v>
      </c>
      <c r="G2777" s="14">
        <v>70</v>
      </c>
      <c r="H2777" s="40">
        <v>45180</v>
      </c>
      <c r="I2777" s="46">
        <f t="shared" si="172"/>
        <v>17</v>
      </c>
      <c r="J2777" s="1" t="s">
        <v>15</v>
      </c>
      <c r="K2777" s="4" t="s">
        <v>200</v>
      </c>
      <c r="L2777" s="4" t="s">
        <v>225</v>
      </c>
      <c r="M2777" s="8">
        <v>70</v>
      </c>
      <c r="N2777" s="5">
        <v>383.7</v>
      </c>
      <c r="O2777" s="5">
        <v>26859</v>
      </c>
      <c r="P2777">
        <f t="shared" si="173"/>
        <v>1</v>
      </c>
      <c r="Q2777" s="36">
        <f t="shared" si="174"/>
        <v>26859</v>
      </c>
      <c r="R2777">
        <f t="shared" si="175"/>
        <v>2023</v>
      </c>
    </row>
    <row r="2778" spans="1:18" x14ac:dyDescent="0.2">
      <c r="A2778" s="13">
        <v>45197</v>
      </c>
      <c r="B2778" s="13">
        <v>45195</v>
      </c>
      <c r="C2778" s="25" t="s">
        <v>399</v>
      </c>
      <c r="D2778" s="20">
        <v>2</v>
      </c>
      <c r="E2778" s="28">
        <v>53718</v>
      </c>
      <c r="F2778" s="22" t="s">
        <v>256</v>
      </c>
      <c r="G2778" s="14">
        <v>140</v>
      </c>
      <c r="H2778" s="40">
        <v>45180</v>
      </c>
      <c r="I2778" s="46">
        <f t="shared" si="172"/>
        <v>17</v>
      </c>
      <c r="J2778" s="1" t="s">
        <v>15</v>
      </c>
      <c r="K2778" s="4" t="s">
        <v>200</v>
      </c>
      <c r="L2778" s="4" t="s">
        <v>225</v>
      </c>
      <c r="M2778" s="8">
        <v>140</v>
      </c>
      <c r="N2778" s="5">
        <v>383.7</v>
      </c>
      <c r="O2778" s="5">
        <v>53718</v>
      </c>
      <c r="P2778">
        <f t="shared" si="173"/>
        <v>1</v>
      </c>
      <c r="Q2778" s="36">
        <f t="shared" si="174"/>
        <v>53718</v>
      </c>
      <c r="R2778">
        <f t="shared" si="175"/>
        <v>2023</v>
      </c>
    </row>
    <row r="2779" spans="1:18" x14ac:dyDescent="0.2">
      <c r="A2779" s="13">
        <v>45261</v>
      </c>
      <c r="B2779" s="13">
        <v>45146</v>
      </c>
      <c r="C2779" s="25" t="s">
        <v>399</v>
      </c>
      <c r="D2779" s="20">
        <v>115</v>
      </c>
      <c r="E2779" s="28">
        <v>48690.6</v>
      </c>
      <c r="F2779" s="22" t="s">
        <v>258</v>
      </c>
      <c r="G2779" s="14">
        <v>70</v>
      </c>
      <c r="H2779" s="40">
        <v>44568</v>
      </c>
      <c r="I2779" s="46">
        <f t="shared" si="172"/>
        <v>693</v>
      </c>
      <c r="J2779" s="1" t="s">
        <v>15</v>
      </c>
      <c r="K2779" s="4" t="s">
        <v>199</v>
      </c>
      <c r="L2779" s="4" t="s">
        <v>225</v>
      </c>
      <c r="M2779" s="8">
        <v>70</v>
      </c>
      <c r="N2779" s="5">
        <v>695.58</v>
      </c>
      <c r="O2779" s="5">
        <v>48690.6</v>
      </c>
      <c r="P2779">
        <f t="shared" si="173"/>
        <v>1</v>
      </c>
      <c r="Q2779" s="36">
        <f t="shared" si="174"/>
        <v>48690.600000000006</v>
      </c>
      <c r="R2779">
        <f t="shared" si="175"/>
        <v>2022</v>
      </c>
    </row>
    <row r="2780" spans="1:18" x14ac:dyDescent="0.2">
      <c r="A2780" s="13">
        <v>45293</v>
      </c>
      <c r="B2780" s="13">
        <v>45139</v>
      </c>
      <c r="C2780" s="25" t="s">
        <v>399</v>
      </c>
      <c r="D2780" s="20">
        <v>154</v>
      </c>
      <c r="E2780" s="28">
        <v>48690.6</v>
      </c>
      <c r="F2780" s="22" t="s">
        <v>258</v>
      </c>
      <c r="G2780" s="14">
        <v>70</v>
      </c>
      <c r="H2780" s="40">
        <v>44568</v>
      </c>
      <c r="I2780" s="46">
        <f t="shared" si="172"/>
        <v>725</v>
      </c>
      <c r="J2780" s="1" t="s">
        <v>15</v>
      </c>
      <c r="K2780" s="4" t="s">
        <v>199</v>
      </c>
      <c r="L2780" s="4" t="s">
        <v>225</v>
      </c>
      <c r="M2780" s="8">
        <v>70</v>
      </c>
      <c r="N2780" s="5">
        <v>695.58</v>
      </c>
      <c r="O2780" s="5">
        <v>48690.6</v>
      </c>
      <c r="P2780">
        <f t="shared" si="173"/>
        <v>1</v>
      </c>
      <c r="Q2780" s="36">
        <f t="shared" si="174"/>
        <v>48690.600000000006</v>
      </c>
      <c r="R2780">
        <f t="shared" si="175"/>
        <v>2022</v>
      </c>
    </row>
    <row r="2781" spans="1:18" x14ac:dyDescent="0.2">
      <c r="A2781" s="13">
        <v>45293</v>
      </c>
      <c r="B2781" s="13">
        <v>45146</v>
      </c>
      <c r="C2781" s="25" t="s">
        <v>399</v>
      </c>
      <c r="D2781" s="20">
        <v>147</v>
      </c>
      <c r="E2781" s="28">
        <v>48690.6</v>
      </c>
      <c r="F2781" s="22" t="s">
        <v>258</v>
      </c>
      <c r="G2781" s="14">
        <v>70</v>
      </c>
      <c r="H2781" s="40">
        <v>44568</v>
      </c>
      <c r="I2781" s="46">
        <f t="shared" si="172"/>
        <v>725</v>
      </c>
      <c r="J2781" s="1" t="s">
        <v>15</v>
      </c>
      <c r="K2781" s="4" t="s">
        <v>199</v>
      </c>
      <c r="L2781" s="4" t="s">
        <v>225</v>
      </c>
      <c r="M2781" s="8">
        <v>70</v>
      </c>
      <c r="N2781" s="5">
        <v>695.58</v>
      </c>
      <c r="O2781" s="5">
        <v>48690.6</v>
      </c>
      <c r="P2781">
        <f t="shared" si="173"/>
        <v>1</v>
      </c>
      <c r="Q2781" s="36">
        <f t="shared" si="174"/>
        <v>48690.600000000006</v>
      </c>
      <c r="R2781">
        <f t="shared" si="175"/>
        <v>2022</v>
      </c>
    </row>
    <row r="2782" spans="1:18" x14ac:dyDescent="0.2">
      <c r="A2782" s="13">
        <v>45293</v>
      </c>
      <c r="B2782" s="13">
        <v>45146</v>
      </c>
      <c r="C2782" s="25" t="s">
        <v>399</v>
      </c>
      <c r="D2782" s="20">
        <v>147</v>
      </c>
      <c r="E2782" s="28">
        <v>48690.6</v>
      </c>
      <c r="F2782" s="22" t="s">
        <v>258</v>
      </c>
      <c r="G2782" s="14">
        <v>70</v>
      </c>
      <c r="H2782" s="40">
        <v>44568</v>
      </c>
      <c r="I2782" s="46">
        <f t="shared" si="172"/>
        <v>725</v>
      </c>
      <c r="J2782" s="1" t="s">
        <v>15</v>
      </c>
      <c r="K2782" s="4" t="s">
        <v>199</v>
      </c>
      <c r="L2782" s="4" t="s">
        <v>225</v>
      </c>
      <c r="M2782" s="8">
        <v>70</v>
      </c>
      <c r="N2782" s="5">
        <v>695.58</v>
      </c>
      <c r="O2782" s="5">
        <v>48690.6</v>
      </c>
      <c r="P2782">
        <f t="shared" si="173"/>
        <v>1</v>
      </c>
      <c r="Q2782" s="36">
        <f t="shared" si="174"/>
        <v>48690.600000000006</v>
      </c>
      <c r="R2782">
        <f t="shared" si="175"/>
        <v>2022</v>
      </c>
    </row>
    <row r="2783" spans="1:18" x14ac:dyDescent="0.2">
      <c r="A2783" s="13">
        <v>45293</v>
      </c>
      <c r="B2783" s="13">
        <v>45139</v>
      </c>
      <c r="C2783" s="25" t="s">
        <v>399</v>
      </c>
      <c r="D2783" s="20">
        <v>154</v>
      </c>
      <c r="E2783" s="28">
        <v>48690.6</v>
      </c>
      <c r="F2783" s="22" t="s">
        <v>258</v>
      </c>
      <c r="G2783" s="14">
        <v>70</v>
      </c>
      <c r="H2783" s="40">
        <v>44568</v>
      </c>
      <c r="I2783" s="46">
        <f t="shared" si="172"/>
        <v>725</v>
      </c>
      <c r="J2783" s="1" t="s">
        <v>15</v>
      </c>
      <c r="K2783" s="4" t="s">
        <v>199</v>
      </c>
      <c r="L2783" s="4" t="s">
        <v>225</v>
      </c>
      <c r="M2783" s="8">
        <v>70</v>
      </c>
      <c r="N2783" s="5">
        <v>695.58</v>
      </c>
      <c r="O2783" s="5">
        <v>48690.6</v>
      </c>
      <c r="P2783">
        <f t="shared" si="173"/>
        <v>1</v>
      </c>
      <c r="Q2783" s="36">
        <f t="shared" si="174"/>
        <v>48690.600000000006</v>
      </c>
      <c r="R2783">
        <f t="shared" si="175"/>
        <v>2022</v>
      </c>
    </row>
    <row r="2784" spans="1:18" x14ac:dyDescent="0.2">
      <c r="A2784" s="13">
        <v>45293</v>
      </c>
      <c r="B2784" s="13">
        <v>45153</v>
      </c>
      <c r="C2784" s="25" t="s">
        <v>399</v>
      </c>
      <c r="D2784" s="20">
        <v>140</v>
      </c>
      <c r="E2784" s="28">
        <v>48690.6</v>
      </c>
      <c r="F2784" s="22" t="s">
        <v>258</v>
      </c>
      <c r="G2784" s="14">
        <v>70</v>
      </c>
      <c r="H2784" s="40">
        <v>44575</v>
      </c>
      <c r="I2784" s="46">
        <f t="shared" si="172"/>
        <v>718</v>
      </c>
      <c r="J2784" s="1" t="s">
        <v>15</v>
      </c>
      <c r="K2784" s="4" t="s">
        <v>199</v>
      </c>
      <c r="L2784" s="4" t="s">
        <v>225</v>
      </c>
      <c r="M2784" s="8">
        <v>70</v>
      </c>
      <c r="N2784" s="5">
        <v>695.58</v>
      </c>
      <c r="O2784" s="5">
        <v>48690.6</v>
      </c>
      <c r="P2784">
        <f t="shared" si="173"/>
        <v>1</v>
      </c>
      <c r="Q2784" s="36">
        <f t="shared" si="174"/>
        <v>48690.600000000006</v>
      </c>
      <c r="R2784">
        <f t="shared" si="175"/>
        <v>2022</v>
      </c>
    </row>
    <row r="2785" spans="1:18" x14ac:dyDescent="0.2">
      <c r="A2785" s="13">
        <v>45293</v>
      </c>
      <c r="B2785" s="13">
        <v>45153</v>
      </c>
      <c r="C2785" s="25" t="s">
        <v>399</v>
      </c>
      <c r="D2785" s="20">
        <v>140</v>
      </c>
      <c r="E2785" s="28">
        <v>48690.6</v>
      </c>
      <c r="F2785" s="22" t="s">
        <v>258</v>
      </c>
      <c r="G2785" s="14">
        <v>70</v>
      </c>
      <c r="H2785" s="40">
        <v>44575</v>
      </c>
      <c r="I2785" s="46">
        <f t="shared" si="172"/>
        <v>718</v>
      </c>
      <c r="J2785" s="1" t="s">
        <v>15</v>
      </c>
      <c r="K2785" s="4" t="s">
        <v>199</v>
      </c>
      <c r="L2785" s="4" t="s">
        <v>225</v>
      </c>
      <c r="M2785" s="8">
        <v>70</v>
      </c>
      <c r="N2785" s="5">
        <v>695.58</v>
      </c>
      <c r="O2785" s="5">
        <v>48690.6</v>
      </c>
      <c r="P2785">
        <f t="shared" si="173"/>
        <v>1</v>
      </c>
      <c r="Q2785" s="36">
        <f t="shared" si="174"/>
        <v>48690.600000000006</v>
      </c>
      <c r="R2785">
        <f t="shared" si="175"/>
        <v>2022</v>
      </c>
    </row>
    <row r="2786" spans="1:18" x14ac:dyDescent="0.2">
      <c r="A2786" s="13">
        <v>45293</v>
      </c>
      <c r="B2786" s="13">
        <v>45153</v>
      </c>
      <c r="C2786" s="25" t="s">
        <v>399</v>
      </c>
      <c r="D2786" s="20">
        <v>140</v>
      </c>
      <c r="E2786" s="28">
        <v>48690.6</v>
      </c>
      <c r="F2786" s="22" t="s">
        <v>258</v>
      </c>
      <c r="G2786" s="14">
        <v>70</v>
      </c>
      <c r="H2786" s="40">
        <v>44575</v>
      </c>
      <c r="I2786" s="46">
        <f t="shared" si="172"/>
        <v>718</v>
      </c>
      <c r="J2786" s="1" t="s">
        <v>15</v>
      </c>
      <c r="K2786" s="4" t="s">
        <v>199</v>
      </c>
      <c r="L2786" s="4" t="s">
        <v>225</v>
      </c>
      <c r="M2786" s="8">
        <v>70</v>
      </c>
      <c r="N2786" s="5">
        <v>695.58</v>
      </c>
      <c r="O2786" s="5">
        <v>48690.6</v>
      </c>
      <c r="P2786">
        <f t="shared" si="173"/>
        <v>1</v>
      </c>
      <c r="Q2786" s="36">
        <f t="shared" si="174"/>
        <v>48690.600000000006</v>
      </c>
      <c r="R2786">
        <f t="shared" si="175"/>
        <v>2022</v>
      </c>
    </row>
    <row r="2787" spans="1:18" x14ac:dyDescent="0.2">
      <c r="A2787" s="13">
        <v>45293</v>
      </c>
      <c r="B2787" s="13">
        <v>45160</v>
      </c>
      <c r="C2787" s="25" t="s">
        <v>399</v>
      </c>
      <c r="D2787" s="20">
        <v>133</v>
      </c>
      <c r="E2787" s="28">
        <v>48690.6</v>
      </c>
      <c r="F2787" s="22" t="s">
        <v>258</v>
      </c>
      <c r="G2787" s="14">
        <v>70</v>
      </c>
      <c r="H2787" s="40">
        <v>44581</v>
      </c>
      <c r="I2787" s="46">
        <f t="shared" si="172"/>
        <v>712</v>
      </c>
      <c r="J2787" s="1" t="s">
        <v>15</v>
      </c>
      <c r="K2787" s="4" t="s">
        <v>199</v>
      </c>
      <c r="L2787" s="4" t="s">
        <v>225</v>
      </c>
      <c r="M2787" s="8">
        <v>70</v>
      </c>
      <c r="N2787" s="5">
        <v>695.58</v>
      </c>
      <c r="O2787" s="5">
        <v>48690.6</v>
      </c>
      <c r="P2787">
        <f t="shared" si="173"/>
        <v>1</v>
      </c>
      <c r="Q2787" s="36">
        <f t="shared" si="174"/>
        <v>48690.600000000006</v>
      </c>
      <c r="R2787">
        <f t="shared" si="175"/>
        <v>2022</v>
      </c>
    </row>
    <row r="2788" spans="1:18" x14ac:dyDescent="0.2">
      <c r="A2788" s="13">
        <v>45293</v>
      </c>
      <c r="B2788" s="13">
        <v>45160</v>
      </c>
      <c r="C2788" s="25" t="s">
        <v>399</v>
      </c>
      <c r="D2788" s="20">
        <v>133</v>
      </c>
      <c r="E2788" s="28">
        <v>48690.6</v>
      </c>
      <c r="F2788" s="22" t="s">
        <v>258</v>
      </c>
      <c r="G2788" s="14">
        <v>70</v>
      </c>
      <c r="H2788" s="40">
        <v>44581</v>
      </c>
      <c r="I2788" s="46">
        <f t="shared" si="172"/>
        <v>712</v>
      </c>
      <c r="J2788" s="1" t="s">
        <v>15</v>
      </c>
      <c r="K2788" s="4" t="s">
        <v>199</v>
      </c>
      <c r="L2788" s="4" t="s">
        <v>225</v>
      </c>
      <c r="M2788" s="8">
        <v>70</v>
      </c>
      <c r="N2788" s="5">
        <v>695.58</v>
      </c>
      <c r="O2788" s="5">
        <v>48690.6</v>
      </c>
      <c r="P2788">
        <f t="shared" si="173"/>
        <v>1</v>
      </c>
      <c r="Q2788" s="36">
        <f t="shared" si="174"/>
        <v>48690.600000000006</v>
      </c>
      <c r="R2788">
        <f t="shared" si="175"/>
        <v>2022</v>
      </c>
    </row>
    <row r="2789" spans="1:18" x14ac:dyDescent="0.2">
      <c r="A2789" s="13">
        <v>45293</v>
      </c>
      <c r="B2789" s="13">
        <v>45160</v>
      </c>
      <c r="C2789" s="25" t="s">
        <v>399</v>
      </c>
      <c r="D2789" s="20">
        <v>133</v>
      </c>
      <c r="E2789" s="28">
        <v>48690.6</v>
      </c>
      <c r="F2789" s="22" t="s">
        <v>258</v>
      </c>
      <c r="G2789" s="14">
        <v>70</v>
      </c>
      <c r="H2789" s="40">
        <v>44581</v>
      </c>
      <c r="I2789" s="46">
        <f t="shared" si="172"/>
        <v>712</v>
      </c>
      <c r="J2789" s="1" t="s">
        <v>15</v>
      </c>
      <c r="K2789" s="4" t="s">
        <v>199</v>
      </c>
      <c r="L2789" s="4" t="s">
        <v>225</v>
      </c>
      <c r="M2789" s="8">
        <v>70</v>
      </c>
      <c r="N2789" s="5">
        <v>695.58</v>
      </c>
      <c r="O2789" s="5">
        <v>48690.6</v>
      </c>
      <c r="P2789">
        <f t="shared" si="173"/>
        <v>1</v>
      </c>
      <c r="Q2789" s="36">
        <f t="shared" si="174"/>
        <v>48690.600000000006</v>
      </c>
      <c r="R2789">
        <f t="shared" si="175"/>
        <v>2022</v>
      </c>
    </row>
    <row r="2790" spans="1:18" x14ac:dyDescent="0.2">
      <c r="A2790" s="13">
        <v>45293</v>
      </c>
      <c r="B2790" s="13">
        <v>45160</v>
      </c>
      <c r="C2790" s="25" t="s">
        <v>399</v>
      </c>
      <c r="D2790" s="20">
        <v>133</v>
      </c>
      <c r="E2790" s="28">
        <v>48690.6</v>
      </c>
      <c r="F2790" s="22" t="s">
        <v>258</v>
      </c>
      <c r="G2790" s="14">
        <v>70</v>
      </c>
      <c r="H2790" s="40">
        <v>44581</v>
      </c>
      <c r="I2790" s="46">
        <f t="shared" si="172"/>
        <v>712</v>
      </c>
      <c r="J2790" s="1" t="s">
        <v>15</v>
      </c>
      <c r="K2790" s="4" t="s">
        <v>199</v>
      </c>
      <c r="L2790" s="4" t="s">
        <v>225</v>
      </c>
      <c r="M2790" s="8">
        <v>70</v>
      </c>
      <c r="N2790" s="5">
        <v>695.58</v>
      </c>
      <c r="O2790" s="5">
        <v>48690.6</v>
      </c>
      <c r="P2790">
        <f t="shared" si="173"/>
        <v>1</v>
      </c>
      <c r="Q2790" s="36">
        <f t="shared" si="174"/>
        <v>48690.600000000006</v>
      </c>
      <c r="R2790">
        <f t="shared" si="175"/>
        <v>2022</v>
      </c>
    </row>
    <row r="2791" spans="1:18" x14ac:dyDescent="0.2">
      <c r="A2791" s="13">
        <v>45293</v>
      </c>
      <c r="B2791" s="13">
        <v>45167</v>
      </c>
      <c r="C2791" s="25" t="s">
        <v>399</v>
      </c>
      <c r="D2791" s="20">
        <v>126</v>
      </c>
      <c r="E2791" s="28">
        <v>48690.6</v>
      </c>
      <c r="F2791" s="22" t="s">
        <v>258</v>
      </c>
      <c r="G2791" s="14">
        <v>70</v>
      </c>
      <c r="H2791" s="40">
        <v>44595</v>
      </c>
      <c r="I2791" s="46">
        <f t="shared" si="172"/>
        <v>698</v>
      </c>
      <c r="J2791" s="1" t="s">
        <v>15</v>
      </c>
      <c r="K2791" s="4" t="s">
        <v>200</v>
      </c>
      <c r="L2791" s="4" t="s">
        <v>225</v>
      </c>
      <c r="M2791" s="8">
        <v>70</v>
      </c>
      <c r="N2791" s="5">
        <v>695.58</v>
      </c>
      <c r="O2791" s="5">
        <v>48690.6</v>
      </c>
      <c r="P2791">
        <f t="shared" si="173"/>
        <v>1</v>
      </c>
      <c r="Q2791" s="36">
        <f t="shared" si="174"/>
        <v>48690.600000000006</v>
      </c>
      <c r="R2791">
        <f t="shared" si="175"/>
        <v>2022</v>
      </c>
    </row>
    <row r="2792" spans="1:18" x14ac:dyDescent="0.2">
      <c r="A2792" s="13">
        <v>45299</v>
      </c>
      <c r="B2792" s="13">
        <v>45167</v>
      </c>
      <c r="C2792" s="25" t="s">
        <v>399</v>
      </c>
      <c r="D2792" s="20">
        <v>132</v>
      </c>
      <c r="E2792" s="28">
        <v>48690.6</v>
      </c>
      <c r="F2792" s="22" t="s">
        <v>258</v>
      </c>
      <c r="G2792" s="14">
        <v>70</v>
      </c>
      <c r="H2792" s="40">
        <v>44595</v>
      </c>
      <c r="I2792" s="46">
        <f t="shared" si="172"/>
        <v>704</v>
      </c>
      <c r="J2792" s="1" t="s">
        <v>15</v>
      </c>
      <c r="K2792" s="4" t="s">
        <v>200</v>
      </c>
      <c r="L2792" s="4" t="s">
        <v>225</v>
      </c>
      <c r="M2792" s="8">
        <v>70</v>
      </c>
      <c r="N2792" s="5">
        <v>695.58</v>
      </c>
      <c r="O2792" s="5">
        <v>48690.6</v>
      </c>
      <c r="P2792">
        <f t="shared" si="173"/>
        <v>1</v>
      </c>
      <c r="Q2792" s="36">
        <f t="shared" si="174"/>
        <v>48690.600000000006</v>
      </c>
      <c r="R2792">
        <f t="shared" si="175"/>
        <v>2022</v>
      </c>
    </row>
    <row r="2793" spans="1:18" x14ac:dyDescent="0.2">
      <c r="A2793" s="13">
        <v>45299</v>
      </c>
      <c r="B2793" s="13">
        <v>45167</v>
      </c>
      <c r="C2793" s="25" t="s">
        <v>399</v>
      </c>
      <c r="D2793" s="20">
        <v>132</v>
      </c>
      <c r="E2793" s="28">
        <v>48690.6</v>
      </c>
      <c r="F2793" s="22" t="s">
        <v>258</v>
      </c>
      <c r="G2793" s="14">
        <v>70</v>
      </c>
      <c r="H2793" s="40">
        <v>44595</v>
      </c>
      <c r="I2793" s="46">
        <f t="shared" si="172"/>
        <v>704</v>
      </c>
      <c r="J2793" s="1" t="s">
        <v>15</v>
      </c>
      <c r="K2793" s="4" t="s">
        <v>200</v>
      </c>
      <c r="L2793" s="4" t="s">
        <v>225</v>
      </c>
      <c r="M2793" s="8">
        <v>70</v>
      </c>
      <c r="N2793" s="5">
        <v>695.58</v>
      </c>
      <c r="O2793" s="5">
        <v>48690.6</v>
      </c>
      <c r="P2793">
        <f t="shared" si="173"/>
        <v>1</v>
      </c>
      <c r="Q2793" s="36">
        <f t="shared" si="174"/>
        <v>48690.600000000006</v>
      </c>
      <c r="R2793">
        <f t="shared" si="175"/>
        <v>2022</v>
      </c>
    </row>
    <row r="2794" spans="1:18" x14ac:dyDescent="0.2">
      <c r="A2794" s="13">
        <v>45299</v>
      </c>
      <c r="B2794" s="13">
        <v>45160</v>
      </c>
      <c r="C2794" s="25" t="s">
        <v>399</v>
      </c>
      <c r="D2794" s="20">
        <v>139</v>
      </c>
      <c r="E2794" s="28">
        <v>48690.6</v>
      </c>
      <c r="F2794" s="22" t="s">
        <v>258</v>
      </c>
      <c r="G2794" s="14">
        <v>70</v>
      </c>
      <c r="H2794" s="40">
        <v>44595</v>
      </c>
      <c r="I2794" s="46">
        <f t="shared" si="172"/>
        <v>704</v>
      </c>
      <c r="J2794" s="1" t="s">
        <v>15</v>
      </c>
      <c r="K2794" s="4" t="s">
        <v>200</v>
      </c>
      <c r="L2794" s="4" t="s">
        <v>225</v>
      </c>
      <c r="M2794" s="8">
        <v>70</v>
      </c>
      <c r="N2794" s="5">
        <v>695.58</v>
      </c>
      <c r="O2794" s="5">
        <v>48690.6</v>
      </c>
      <c r="P2794">
        <f t="shared" si="173"/>
        <v>1</v>
      </c>
      <c r="Q2794" s="36">
        <f t="shared" si="174"/>
        <v>48690.600000000006</v>
      </c>
      <c r="R2794">
        <f t="shared" si="175"/>
        <v>2022</v>
      </c>
    </row>
    <row r="2795" spans="1:18" x14ac:dyDescent="0.2">
      <c r="A2795" s="13">
        <v>45299</v>
      </c>
      <c r="B2795" s="13">
        <v>45167</v>
      </c>
      <c r="C2795" s="25" t="s">
        <v>399</v>
      </c>
      <c r="D2795" s="20">
        <v>132</v>
      </c>
      <c r="E2795" s="28">
        <v>48690.6</v>
      </c>
      <c r="F2795" s="22" t="s">
        <v>258</v>
      </c>
      <c r="G2795" s="14">
        <v>70</v>
      </c>
      <c r="H2795" s="40">
        <v>44603</v>
      </c>
      <c r="I2795" s="46">
        <f t="shared" si="172"/>
        <v>696</v>
      </c>
      <c r="J2795" s="1" t="s">
        <v>15</v>
      </c>
      <c r="K2795" s="4" t="s">
        <v>199</v>
      </c>
      <c r="L2795" s="4" t="s">
        <v>225</v>
      </c>
      <c r="M2795" s="8">
        <v>70</v>
      </c>
      <c r="N2795" s="5">
        <v>695.58</v>
      </c>
      <c r="O2795" s="5">
        <v>48690.6</v>
      </c>
      <c r="P2795">
        <f t="shared" si="173"/>
        <v>1</v>
      </c>
      <c r="Q2795" s="36">
        <f t="shared" si="174"/>
        <v>48690.600000000006</v>
      </c>
      <c r="R2795">
        <f t="shared" si="175"/>
        <v>2022</v>
      </c>
    </row>
    <row r="2796" spans="1:18" x14ac:dyDescent="0.2">
      <c r="A2796" s="13">
        <v>45307</v>
      </c>
      <c r="B2796" s="13">
        <v>45188</v>
      </c>
      <c r="C2796" s="25" t="s">
        <v>399</v>
      </c>
      <c r="D2796" s="20">
        <v>119</v>
      </c>
      <c r="E2796" s="28">
        <v>48690.6</v>
      </c>
      <c r="F2796" s="22" t="s">
        <v>258</v>
      </c>
      <c r="G2796" s="14">
        <v>70</v>
      </c>
      <c r="H2796" s="40">
        <v>44608</v>
      </c>
      <c r="I2796" s="46">
        <f t="shared" si="172"/>
        <v>699</v>
      </c>
      <c r="J2796" s="1" t="s">
        <v>15</v>
      </c>
      <c r="K2796" s="4" t="s">
        <v>199</v>
      </c>
      <c r="L2796" s="4" t="s">
        <v>225</v>
      </c>
      <c r="M2796" s="8">
        <v>70</v>
      </c>
      <c r="N2796" s="5">
        <v>695.58</v>
      </c>
      <c r="O2796" s="5">
        <v>48690.6</v>
      </c>
      <c r="P2796">
        <f t="shared" si="173"/>
        <v>1</v>
      </c>
      <c r="Q2796" s="36">
        <f t="shared" si="174"/>
        <v>48690.600000000006</v>
      </c>
      <c r="R2796">
        <f t="shared" si="175"/>
        <v>2022</v>
      </c>
    </row>
    <row r="2797" spans="1:18" x14ac:dyDescent="0.2">
      <c r="A2797" s="13">
        <v>45307</v>
      </c>
      <c r="B2797" s="13">
        <v>45188</v>
      </c>
      <c r="C2797" s="25" t="s">
        <v>399</v>
      </c>
      <c r="D2797" s="20">
        <v>119</v>
      </c>
      <c r="E2797" s="28">
        <v>48690.6</v>
      </c>
      <c r="F2797" s="22" t="s">
        <v>258</v>
      </c>
      <c r="G2797" s="14">
        <v>70</v>
      </c>
      <c r="H2797" s="40">
        <v>44608</v>
      </c>
      <c r="I2797" s="46">
        <f t="shared" si="172"/>
        <v>699</v>
      </c>
      <c r="J2797" s="1" t="s">
        <v>15</v>
      </c>
      <c r="K2797" s="4" t="s">
        <v>199</v>
      </c>
      <c r="L2797" s="4" t="s">
        <v>225</v>
      </c>
      <c r="M2797" s="8">
        <v>70</v>
      </c>
      <c r="N2797" s="5">
        <v>695.58</v>
      </c>
      <c r="O2797" s="5">
        <v>48690.6</v>
      </c>
      <c r="P2797">
        <f t="shared" si="173"/>
        <v>1</v>
      </c>
      <c r="Q2797" s="36">
        <f t="shared" si="174"/>
        <v>48690.600000000006</v>
      </c>
      <c r="R2797">
        <f t="shared" si="175"/>
        <v>2022</v>
      </c>
    </row>
    <row r="2798" spans="1:18" x14ac:dyDescent="0.2">
      <c r="A2798" s="13">
        <v>45307</v>
      </c>
      <c r="B2798" s="13">
        <v>45188</v>
      </c>
      <c r="C2798" s="25" t="s">
        <v>399</v>
      </c>
      <c r="D2798" s="20">
        <v>119</v>
      </c>
      <c r="E2798" s="28">
        <v>48690.6</v>
      </c>
      <c r="F2798" s="22" t="s">
        <v>258</v>
      </c>
      <c r="G2798" s="14">
        <v>70</v>
      </c>
      <c r="H2798" s="40">
        <v>44608</v>
      </c>
      <c r="I2798" s="46">
        <f t="shared" si="172"/>
        <v>699</v>
      </c>
      <c r="J2798" s="1" t="s">
        <v>15</v>
      </c>
      <c r="K2798" s="4" t="s">
        <v>199</v>
      </c>
      <c r="L2798" s="4" t="s">
        <v>225</v>
      </c>
      <c r="M2798" s="8">
        <v>70</v>
      </c>
      <c r="N2798" s="5">
        <v>695.58</v>
      </c>
      <c r="O2798" s="5">
        <v>48690.6</v>
      </c>
      <c r="P2798">
        <f t="shared" si="173"/>
        <v>1</v>
      </c>
      <c r="Q2798" s="36">
        <f t="shared" si="174"/>
        <v>48690.600000000006</v>
      </c>
      <c r="R2798">
        <f t="shared" si="175"/>
        <v>2022</v>
      </c>
    </row>
    <row r="2799" spans="1:18" x14ac:dyDescent="0.2">
      <c r="A2799" s="13">
        <v>45307</v>
      </c>
      <c r="B2799" s="13">
        <v>45188</v>
      </c>
      <c r="C2799" s="25" t="s">
        <v>399</v>
      </c>
      <c r="D2799" s="20">
        <v>119</v>
      </c>
      <c r="E2799" s="28">
        <v>48690.6</v>
      </c>
      <c r="F2799" s="22" t="s">
        <v>258</v>
      </c>
      <c r="G2799" s="14">
        <v>70</v>
      </c>
      <c r="H2799" s="40">
        <v>44608</v>
      </c>
      <c r="I2799" s="46">
        <f t="shared" si="172"/>
        <v>699</v>
      </c>
      <c r="J2799" s="1" t="s">
        <v>15</v>
      </c>
      <c r="K2799" s="4" t="s">
        <v>199</v>
      </c>
      <c r="L2799" s="4" t="s">
        <v>225</v>
      </c>
      <c r="M2799" s="8">
        <v>70</v>
      </c>
      <c r="N2799" s="5">
        <v>695.58</v>
      </c>
      <c r="O2799" s="5">
        <v>48690.6</v>
      </c>
      <c r="P2799">
        <f t="shared" si="173"/>
        <v>1</v>
      </c>
      <c r="Q2799" s="36">
        <f t="shared" si="174"/>
        <v>48690.600000000006</v>
      </c>
      <c r="R2799">
        <f t="shared" si="175"/>
        <v>2022</v>
      </c>
    </row>
    <row r="2800" spans="1:18" x14ac:dyDescent="0.2">
      <c r="A2800" s="13">
        <v>45307</v>
      </c>
      <c r="B2800" s="13">
        <v>45188</v>
      </c>
      <c r="C2800" s="25" t="s">
        <v>399</v>
      </c>
      <c r="D2800" s="20">
        <v>119</v>
      </c>
      <c r="E2800" s="28">
        <v>48690.6</v>
      </c>
      <c r="F2800" s="22" t="s">
        <v>258</v>
      </c>
      <c r="G2800" s="14">
        <v>70</v>
      </c>
      <c r="H2800" s="40">
        <v>44608</v>
      </c>
      <c r="I2800" s="46">
        <f t="shared" si="172"/>
        <v>699</v>
      </c>
      <c r="J2800" s="1" t="s">
        <v>15</v>
      </c>
      <c r="K2800" s="4" t="s">
        <v>199</v>
      </c>
      <c r="L2800" s="4" t="s">
        <v>225</v>
      </c>
      <c r="M2800" s="8">
        <v>70</v>
      </c>
      <c r="N2800" s="5">
        <v>695.58</v>
      </c>
      <c r="O2800" s="5">
        <v>48690.6</v>
      </c>
      <c r="P2800">
        <f t="shared" si="173"/>
        <v>1</v>
      </c>
      <c r="Q2800" s="36">
        <f t="shared" si="174"/>
        <v>48690.600000000006</v>
      </c>
      <c r="R2800">
        <f t="shared" si="175"/>
        <v>2022</v>
      </c>
    </row>
    <row r="2801" spans="1:18" x14ac:dyDescent="0.2">
      <c r="A2801" s="13">
        <v>45307</v>
      </c>
      <c r="B2801" s="13">
        <v>45195</v>
      </c>
      <c r="C2801" s="25" t="s">
        <v>399</v>
      </c>
      <c r="D2801" s="20">
        <v>112</v>
      </c>
      <c r="E2801" s="28">
        <v>48690.6</v>
      </c>
      <c r="F2801" s="22" t="s">
        <v>258</v>
      </c>
      <c r="G2801" s="14">
        <v>70</v>
      </c>
      <c r="H2801" s="40">
        <v>44617</v>
      </c>
      <c r="I2801" s="46">
        <f t="shared" si="172"/>
        <v>690</v>
      </c>
      <c r="J2801" s="1" t="s">
        <v>15</v>
      </c>
      <c r="K2801" s="4" t="s">
        <v>199</v>
      </c>
      <c r="L2801" s="4" t="s">
        <v>225</v>
      </c>
      <c r="M2801" s="8">
        <v>70</v>
      </c>
      <c r="N2801" s="5">
        <v>695.58</v>
      </c>
      <c r="O2801" s="5">
        <v>48690.6</v>
      </c>
      <c r="P2801">
        <f t="shared" si="173"/>
        <v>1</v>
      </c>
      <c r="Q2801" s="36">
        <f t="shared" si="174"/>
        <v>48690.600000000006</v>
      </c>
      <c r="R2801">
        <f t="shared" si="175"/>
        <v>2022</v>
      </c>
    </row>
    <row r="2802" spans="1:18" x14ac:dyDescent="0.2">
      <c r="A2802" s="13">
        <v>45307</v>
      </c>
      <c r="B2802" s="13">
        <v>45195</v>
      </c>
      <c r="C2802" s="25" t="s">
        <v>399</v>
      </c>
      <c r="D2802" s="20">
        <v>112</v>
      </c>
      <c r="E2802" s="28">
        <v>48690.6</v>
      </c>
      <c r="F2802" s="22" t="s">
        <v>258</v>
      </c>
      <c r="G2802" s="14">
        <v>70</v>
      </c>
      <c r="H2802" s="40">
        <v>44617</v>
      </c>
      <c r="I2802" s="46">
        <f t="shared" si="172"/>
        <v>690</v>
      </c>
      <c r="J2802" s="1" t="s">
        <v>15</v>
      </c>
      <c r="K2802" s="4" t="s">
        <v>199</v>
      </c>
      <c r="L2802" s="4" t="s">
        <v>225</v>
      </c>
      <c r="M2802" s="8">
        <v>70</v>
      </c>
      <c r="N2802" s="5">
        <v>695.58</v>
      </c>
      <c r="O2802" s="5">
        <v>48690.6</v>
      </c>
      <c r="P2802">
        <f t="shared" si="173"/>
        <v>1</v>
      </c>
      <c r="Q2802" s="36">
        <f t="shared" si="174"/>
        <v>48690.600000000006</v>
      </c>
      <c r="R2802">
        <f t="shared" si="175"/>
        <v>2022</v>
      </c>
    </row>
    <row r="2803" spans="1:18" x14ac:dyDescent="0.2">
      <c r="A2803" s="13">
        <v>45307</v>
      </c>
      <c r="B2803" s="13">
        <v>45202</v>
      </c>
      <c r="C2803" s="25" t="s">
        <v>399</v>
      </c>
      <c r="D2803" s="20">
        <v>105</v>
      </c>
      <c r="E2803" s="28">
        <v>48690.6</v>
      </c>
      <c r="F2803" s="22" t="s">
        <v>258</v>
      </c>
      <c r="G2803" s="14">
        <v>70</v>
      </c>
      <c r="H2803" s="40">
        <v>44622</v>
      </c>
      <c r="I2803" s="46">
        <f t="shared" si="172"/>
        <v>685</v>
      </c>
      <c r="J2803" s="1" t="s">
        <v>15</v>
      </c>
      <c r="K2803" s="4" t="s">
        <v>199</v>
      </c>
      <c r="L2803" s="4" t="s">
        <v>225</v>
      </c>
      <c r="M2803" s="8">
        <v>70</v>
      </c>
      <c r="N2803" s="5">
        <v>695.58</v>
      </c>
      <c r="O2803" s="5">
        <v>48690.6</v>
      </c>
      <c r="P2803">
        <f t="shared" si="173"/>
        <v>1</v>
      </c>
      <c r="Q2803" s="36">
        <f t="shared" si="174"/>
        <v>48690.600000000006</v>
      </c>
      <c r="R2803">
        <f t="shared" si="175"/>
        <v>2022</v>
      </c>
    </row>
    <row r="2804" spans="1:18" x14ac:dyDescent="0.2">
      <c r="A2804" s="13">
        <v>45307</v>
      </c>
      <c r="B2804" s="13">
        <v>45202</v>
      </c>
      <c r="C2804" s="25" t="s">
        <v>399</v>
      </c>
      <c r="D2804" s="20">
        <v>105</v>
      </c>
      <c r="E2804" s="28">
        <v>48690.6</v>
      </c>
      <c r="F2804" s="22" t="s">
        <v>258</v>
      </c>
      <c r="G2804" s="14">
        <v>70</v>
      </c>
      <c r="H2804" s="40">
        <v>44622</v>
      </c>
      <c r="I2804" s="46">
        <f t="shared" si="172"/>
        <v>685</v>
      </c>
      <c r="J2804" s="1" t="s">
        <v>15</v>
      </c>
      <c r="K2804" s="4" t="s">
        <v>199</v>
      </c>
      <c r="L2804" s="4" t="s">
        <v>225</v>
      </c>
      <c r="M2804" s="8">
        <v>70</v>
      </c>
      <c r="N2804" s="5">
        <v>695.58</v>
      </c>
      <c r="O2804" s="5">
        <v>48690.6</v>
      </c>
      <c r="P2804">
        <f t="shared" si="173"/>
        <v>1</v>
      </c>
      <c r="Q2804" s="36">
        <f t="shared" si="174"/>
        <v>48690.600000000006</v>
      </c>
      <c r="R2804">
        <f t="shared" si="175"/>
        <v>2022</v>
      </c>
    </row>
    <row r="2805" spans="1:18" x14ac:dyDescent="0.2">
      <c r="A2805" s="13">
        <v>45307</v>
      </c>
      <c r="B2805" s="13">
        <v>45202</v>
      </c>
      <c r="C2805" s="25" t="s">
        <v>399</v>
      </c>
      <c r="D2805" s="20">
        <v>105</v>
      </c>
      <c r="E2805" s="28">
        <v>48690.6</v>
      </c>
      <c r="F2805" s="22" t="s">
        <v>258</v>
      </c>
      <c r="G2805" s="14">
        <v>70</v>
      </c>
      <c r="H2805" s="40">
        <v>44622</v>
      </c>
      <c r="I2805" s="46">
        <f t="shared" si="172"/>
        <v>685</v>
      </c>
      <c r="J2805" s="1" t="s">
        <v>15</v>
      </c>
      <c r="K2805" s="4" t="s">
        <v>199</v>
      </c>
      <c r="L2805" s="4" t="s">
        <v>225</v>
      </c>
      <c r="M2805" s="8">
        <v>70</v>
      </c>
      <c r="N2805" s="5">
        <v>695.58</v>
      </c>
      <c r="O2805" s="5">
        <v>48690.6</v>
      </c>
      <c r="P2805">
        <f t="shared" si="173"/>
        <v>1</v>
      </c>
      <c r="Q2805" s="36">
        <f t="shared" si="174"/>
        <v>48690.600000000006</v>
      </c>
      <c r="R2805">
        <f t="shared" si="175"/>
        <v>2022</v>
      </c>
    </row>
    <row r="2806" spans="1:18" x14ac:dyDescent="0.2">
      <c r="A2806" s="13">
        <v>45307</v>
      </c>
      <c r="B2806" s="13">
        <v>45209</v>
      </c>
      <c r="C2806" s="25" t="s">
        <v>399</v>
      </c>
      <c r="D2806" s="20">
        <v>98</v>
      </c>
      <c r="E2806" s="28">
        <v>48690.6</v>
      </c>
      <c r="F2806" s="22" t="s">
        <v>258</v>
      </c>
      <c r="G2806" s="14">
        <v>70</v>
      </c>
      <c r="H2806" s="40">
        <v>44630</v>
      </c>
      <c r="I2806" s="46">
        <f t="shared" si="172"/>
        <v>677</v>
      </c>
      <c r="J2806" s="1" t="s">
        <v>15</v>
      </c>
      <c r="K2806" s="4" t="s">
        <v>199</v>
      </c>
      <c r="L2806" s="4" t="s">
        <v>225</v>
      </c>
      <c r="M2806" s="8">
        <v>70</v>
      </c>
      <c r="N2806" s="5">
        <v>695.58</v>
      </c>
      <c r="O2806" s="5">
        <v>48690.6</v>
      </c>
      <c r="P2806">
        <f t="shared" si="173"/>
        <v>1</v>
      </c>
      <c r="Q2806" s="36">
        <f t="shared" si="174"/>
        <v>48690.600000000006</v>
      </c>
      <c r="R2806">
        <f t="shared" si="175"/>
        <v>2022</v>
      </c>
    </row>
    <row r="2807" spans="1:18" x14ac:dyDescent="0.2">
      <c r="A2807" s="13">
        <v>45310</v>
      </c>
      <c r="B2807" s="13">
        <v>45209</v>
      </c>
      <c r="C2807" s="25" t="s">
        <v>399</v>
      </c>
      <c r="D2807" s="20">
        <v>101</v>
      </c>
      <c r="E2807" s="28">
        <v>48690.6</v>
      </c>
      <c r="F2807" s="22" t="s">
        <v>258</v>
      </c>
      <c r="G2807" s="14">
        <v>70</v>
      </c>
      <c r="H2807" s="40">
        <v>44630</v>
      </c>
      <c r="I2807" s="46">
        <f t="shared" si="172"/>
        <v>680</v>
      </c>
      <c r="J2807" s="1" t="s">
        <v>15</v>
      </c>
      <c r="K2807" s="4" t="s">
        <v>199</v>
      </c>
      <c r="L2807" s="4" t="s">
        <v>225</v>
      </c>
      <c r="M2807" s="8">
        <v>70</v>
      </c>
      <c r="N2807" s="5">
        <v>695.58</v>
      </c>
      <c r="O2807" s="5">
        <v>48690.6</v>
      </c>
      <c r="P2807">
        <f t="shared" si="173"/>
        <v>1</v>
      </c>
      <c r="Q2807" s="36">
        <f t="shared" si="174"/>
        <v>48690.600000000006</v>
      </c>
      <c r="R2807">
        <f t="shared" si="175"/>
        <v>2022</v>
      </c>
    </row>
    <row r="2808" spans="1:18" x14ac:dyDescent="0.2">
      <c r="A2808" s="13">
        <v>45310</v>
      </c>
      <c r="B2808" s="13">
        <v>45209</v>
      </c>
      <c r="C2808" s="25" t="s">
        <v>399</v>
      </c>
      <c r="D2808" s="20">
        <v>101</v>
      </c>
      <c r="E2808" s="28">
        <v>48690.6</v>
      </c>
      <c r="F2808" s="22" t="s">
        <v>258</v>
      </c>
      <c r="G2808" s="14">
        <v>70</v>
      </c>
      <c r="H2808" s="40">
        <v>44630</v>
      </c>
      <c r="I2808" s="46">
        <f t="shared" si="172"/>
        <v>680</v>
      </c>
      <c r="J2808" s="1" t="s">
        <v>15</v>
      </c>
      <c r="K2808" s="4" t="s">
        <v>199</v>
      </c>
      <c r="L2808" s="4" t="s">
        <v>225</v>
      </c>
      <c r="M2808" s="8">
        <v>70</v>
      </c>
      <c r="N2808" s="5">
        <v>695.58</v>
      </c>
      <c r="O2808" s="5">
        <v>48690.6</v>
      </c>
      <c r="P2808">
        <f t="shared" si="173"/>
        <v>1</v>
      </c>
      <c r="Q2808" s="36">
        <f t="shared" si="174"/>
        <v>48690.600000000006</v>
      </c>
      <c r="R2808">
        <f t="shared" si="175"/>
        <v>2022</v>
      </c>
    </row>
    <row r="2809" spans="1:18" x14ac:dyDescent="0.2">
      <c r="A2809" s="13">
        <v>45310</v>
      </c>
      <c r="B2809" s="13">
        <v>45209</v>
      </c>
      <c r="C2809" s="25" t="s">
        <v>399</v>
      </c>
      <c r="D2809" s="20">
        <v>101</v>
      </c>
      <c r="E2809" s="28">
        <v>48690.6</v>
      </c>
      <c r="F2809" s="22" t="s">
        <v>258</v>
      </c>
      <c r="G2809" s="14">
        <v>70</v>
      </c>
      <c r="H2809" s="40">
        <v>44630</v>
      </c>
      <c r="I2809" s="46">
        <f t="shared" si="172"/>
        <v>680</v>
      </c>
      <c r="J2809" s="1" t="s">
        <v>15</v>
      </c>
      <c r="K2809" s="4" t="s">
        <v>199</v>
      </c>
      <c r="L2809" s="4" t="s">
        <v>225</v>
      </c>
      <c r="M2809" s="8">
        <v>70</v>
      </c>
      <c r="N2809" s="5">
        <v>695.58</v>
      </c>
      <c r="O2809" s="5">
        <v>48690.6</v>
      </c>
      <c r="P2809">
        <f t="shared" si="173"/>
        <v>1</v>
      </c>
      <c r="Q2809" s="36">
        <f t="shared" si="174"/>
        <v>48690.600000000006</v>
      </c>
      <c r="R2809">
        <f t="shared" si="175"/>
        <v>2022</v>
      </c>
    </row>
    <row r="2810" spans="1:18" x14ac:dyDescent="0.2">
      <c r="A2810" s="13">
        <v>45310</v>
      </c>
      <c r="B2810" s="13">
        <v>45216</v>
      </c>
      <c r="C2810" s="25" t="s">
        <v>399</v>
      </c>
      <c r="D2810" s="20">
        <v>94</v>
      </c>
      <c r="E2810" s="28">
        <v>48690.6</v>
      </c>
      <c r="F2810" s="22" t="s">
        <v>258</v>
      </c>
      <c r="G2810" s="14">
        <v>70</v>
      </c>
      <c r="H2810" s="40">
        <v>44637</v>
      </c>
      <c r="I2810" s="46">
        <f t="shared" si="172"/>
        <v>673</v>
      </c>
      <c r="J2810" s="1" t="s">
        <v>15</v>
      </c>
      <c r="K2810" s="4" t="s">
        <v>199</v>
      </c>
      <c r="L2810" s="4" t="s">
        <v>225</v>
      </c>
      <c r="M2810" s="8">
        <v>70</v>
      </c>
      <c r="N2810" s="5">
        <v>695.58</v>
      </c>
      <c r="O2810" s="5">
        <v>48690.6</v>
      </c>
      <c r="P2810">
        <f t="shared" si="173"/>
        <v>1</v>
      </c>
      <c r="Q2810" s="36">
        <f t="shared" si="174"/>
        <v>48690.600000000006</v>
      </c>
      <c r="R2810">
        <f t="shared" si="175"/>
        <v>2022</v>
      </c>
    </row>
    <row r="2811" spans="1:18" x14ac:dyDescent="0.2">
      <c r="A2811" s="13">
        <v>45310</v>
      </c>
      <c r="B2811" s="13">
        <v>45216</v>
      </c>
      <c r="C2811" s="25" t="s">
        <v>399</v>
      </c>
      <c r="D2811" s="20">
        <v>94</v>
      </c>
      <c r="E2811" s="28">
        <v>48690.6</v>
      </c>
      <c r="F2811" s="22" t="s">
        <v>258</v>
      </c>
      <c r="G2811" s="14">
        <v>70</v>
      </c>
      <c r="H2811" s="40">
        <v>44637</v>
      </c>
      <c r="I2811" s="46">
        <f t="shared" si="172"/>
        <v>673</v>
      </c>
      <c r="J2811" s="1" t="s">
        <v>15</v>
      </c>
      <c r="K2811" s="4" t="s">
        <v>199</v>
      </c>
      <c r="L2811" s="4" t="s">
        <v>225</v>
      </c>
      <c r="M2811" s="8">
        <v>70</v>
      </c>
      <c r="N2811" s="5">
        <v>695.58</v>
      </c>
      <c r="O2811" s="5">
        <v>48690.6</v>
      </c>
      <c r="P2811">
        <f t="shared" si="173"/>
        <v>1</v>
      </c>
      <c r="Q2811" s="36">
        <f t="shared" si="174"/>
        <v>48690.600000000006</v>
      </c>
      <c r="R2811">
        <f t="shared" si="175"/>
        <v>2022</v>
      </c>
    </row>
    <row r="2812" spans="1:18" x14ac:dyDescent="0.2">
      <c r="A2812" s="13">
        <v>45310</v>
      </c>
      <c r="B2812" s="13">
        <v>45216</v>
      </c>
      <c r="C2812" s="25" t="s">
        <v>399</v>
      </c>
      <c r="D2812" s="20">
        <v>94</v>
      </c>
      <c r="E2812" s="28">
        <v>48690.6</v>
      </c>
      <c r="F2812" s="22" t="s">
        <v>258</v>
      </c>
      <c r="G2812" s="14">
        <v>70</v>
      </c>
      <c r="H2812" s="40">
        <v>44637</v>
      </c>
      <c r="I2812" s="46">
        <f t="shared" si="172"/>
        <v>673</v>
      </c>
      <c r="J2812" s="1" t="s">
        <v>15</v>
      </c>
      <c r="K2812" s="4" t="s">
        <v>199</v>
      </c>
      <c r="L2812" s="4" t="s">
        <v>225</v>
      </c>
      <c r="M2812" s="8">
        <v>70</v>
      </c>
      <c r="N2812" s="5">
        <v>695.58</v>
      </c>
      <c r="O2812" s="5">
        <v>48690.6</v>
      </c>
      <c r="P2812">
        <f t="shared" si="173"/>
        <v>1</v>
      </c>
      <c r="Q2812" s="36">
        <f t="shared" si="174"/>
        <v>48690.600000000006</v>
      </c>
      <c r="R2812">
        <f t="shared" si="175"/>
        <v>2022</v>
      </c>
    </row>
    <row r="2813" spans="1:18" x14ac:dyDescent="0.2">
      <c r="A2813" s="13">
        <v>45310</v>
      </c>
      <c r="B2813" s="13">
        <v>45216</v>
      </c>
      <c r="C2813" s="25" t="s">
        <v>399</v>
      </c>
      <c r="D2813" s="20">
        <v>94</v>
      </c>
      <c r="E2813" s="28">
        <v>48690.6</v>
      </c>
      <c r="F2813" s="22" t="s">
        <v>258</v>
      </c>
      <c r="G2813" s="14">
        <v>70</v>
      </c>
      <c r="H2813" s="40">
        <v>44637</v>
      </c>
      <c r="I2813" s="46">
        <f t="shared" si="172"/>
        <v>673</v>
      </c>
      <c r="J2813" s="1" t="s">
        <v>15</v>
      </c>
      <c r="K2813" s="4" t="s">
        <v>199</v>
      </c>
      <c r="L2813" s="4" t="s">
        <v>225</v>
      </c>
      <c r="M2813" s="8">
        <v>70</v>
      </c>
      <c r="N2813" s="5">
        <v>695.58</v>
      </c>
      <c r="O2813" s="5">
        <v>48690.6</v>
      </c>
      <c r="P2813">
        <f t="shared" si="173"/>
        <v>1</v>
      </c>
      <c r="Q2813" s="36">
        <f t="shared" si="174"/>
        <v>48690.600000000006</v>
      </c>
      <c r="R2813">
        <f t="shared" si="175"/>
        <v>2022</v>
      </c>
    </row>
    <row r="2814" spans="1:18" x14ac:dyDescent="0.2">
      <c r="A2814" s="13">
        <v>45310</v>
      </c>
      <c r="B2814" s="13">
        <v>45216</v>
      </c>
      <c r="C2814" s="25" t="s">
        <v>399</v>
      </c>
      <c r="D2814" s="20">
        <v>94</v>
      </c>
      <c r="E2814" s="28">
        <v>48690.6</v>
      </c>
      <c r="F2814" s="22" t="s">
        <v>258</v>
      </c>
      <c r="G2814" s="14">
        <v>70</v>
      </c>
      <c r="H2814" s="40">
        <v>44637</v>
      </c>
      <c r="I2814" s="46">
        <f t="shared" si="172"/>
        <v>673</v>
      </c>
      <c r="J2814" s="1" t="s">
        <v>15</v>
      </c>
      <c r="K2814" s="4" t="s">
        <v>199</v>
      </c>
      <c r="L2814" s="4" t="s">
        <v>225</v>
      </c>
      <c r="M2814" s="8">
        <v>70</v>
      </c>
      <c r="N2814" s="5">
        <v>695.58</v>
      </c>
      <c r="O2814" s="5">
        <v>48690.6</v>
      </c>
      <c r="P2814">
        <f t="shared" si="173"/>
        <v>1</v>
      </c>
      <c r="Q2814" s="36">
        <f t="shared" si="174"/>
        <v>48690.600000000006</v>
      </c>
      <c r="R2814">
        <f t="shared" si="175"/>
        <v>2022</v>
      </c>
    </row>
    <row r="2815" spans="1:18" x14ac:dyDescent="0.2">
      <c r="A2815" s="13">
        <v>45310</v>
      </c>
      <c r="B2815" s="13">
        <v>45223</v>
      </c>
      <c r="C2815" s="25" t="s">
        <v>399</v>
      </c>
      <c r="D2815" s="20">
        <v>87</v>
      </c>
      <c r="E2815" s="28">
        <v>48690.6</v>
      </c>
      <c r="F2815" s="22" t="s">
        <v>258</v>
      </c>
      <c r="G2815" s="14">
        <v>70</v>
      </c>
      <c r="H2815" s="40">
        <v>44645</v>
      </c>
      <c r="I2815" s="46">
        <f t="shared" si="172"/>
        <v>665</v>
      </c>
      <c r="J2815" s="1" t="s">
        <v>15</v>
      </c>
      <c r="K2815" s="4" t="s">
        <v>200</v>
      </c>
      <c r="L2815" s="4" t="s">
        <v>225</v>
      </c>
      <c r="M2815" s="8">
        <v>70</v>
      </c>
      <c r="N2815" s="5">
        <v>695.58</v>
      </c>
      <c r="O2815" s="5">
        <v>48690.6</v>
      </c>
      <c r="P2815">
        <f t="shared" si="173"/>
        <v>1</v>
      </c>
      <c r="Q2815" s="36">
        <f t="shared" si="174"/>
        <v>48690.600000000006</v>
      </c>
      <c r="R2815">
        <f t="shared" si="175"/>
        <v>2022</v>
      </c>
    </row>
    <row r="2816" spans="1:18" x14ac:dyDescent="0.2">
      <c r="A2816" s="13">
        <v>45310</v>
      </c>
      <c r="B2816" s="13">
        <v>45216</v>
      </c>
      <c r="C2816" s="25" t="s">
        <v>399</v>
      </c>
      <c r="D2816" s="20">
        <v>94</v>
      </c>
      <c r="E2816" s="28">
        <v>48690.6</v>
      </c>
      <c r="F2816" s="22" t="s">
        <v>258</v>
      </c>
      <c r="G2816" s="14">
        <v>70</v>
      </c>
      <c r="H2816" s="40">
        <v>44645</v>
      </c>
      <c r="I2816" s="46">
        <f t="shared" si="172"/>
        <v>665</v>
      </c>
      <c r="J2816" s="1" t="s">
        <v>15</v>
      </c>
      <c r="K2816" s="4" t="s">
        <v>200</v>
      </c>
      <c r="L2816" s="4" t="s">
        <v>225</v>
      </c>
      <c r="M2816" s="8">
        <v>70</v>
      </c>
      <c r="N2816" s="5">
        <v>695.58</v>
      </c>
      <c r="O2816" s="5">
        <v>48690.6</v>
      </c>
      <c r="P2816">
        <f t="shared" si="173"/>
        <v>1</v>
      </c>
      <c r="Q2816" s="36">
        <f t="shared" si="174"/>
        <v>48690.600000000006</v>
      </c>
      <c r="R2816">
        <f t="shared" si="175"/>
        <v>2022</v>
      </c>
    </row>
    <row r="2817" spans="1:18" x14ac:dyDescent="0.2">
      <c r="A2817" s="13">
        <v>45310</v>
      </c>
      <c r="B2817" s="13">
        <v>45223</v>
      </c>
      <c r="C2817" s="25" t="s">
        <v>399</v>
      </c>
      <c r="D2817" s="20">
        <v>87</v>
      </c>
      <c r="E2817" s="28">
        <v>48690.6</v>
      </c>
      <c r="F2817" s="22" t="s">
        <v>258</v>
      </c>
      <c r="G2817" s="14">
        <v>70</v>
      </c>
      <c r="H2817" s="40">
        <v>44645</v>
      </c>
      <c r="I2817" s="46">
        <f t="shared" si="172"/>
        <v>665</v>
      </c>
      <c r="J2817" s="1" t="s">
        <v>15</v>
      </c>
      <c r="K2817" s="4" t="s">
        <v>200</v>
      </c>
      <c r="L2817" s="4" t="s">
        <v>225</v>
      </c>
      <c r="M2817" s="8">
        <v>70</v>
      </c>
      <c r="N2817" s="5">
        <v>695.58</v>
      </c>
      <c r="O2817" s="5">
        <v>48690.6</v>
      </c>
      <c r="P2817">
        <f t="shared" si="173"/>
        <v>1</v>
      </c>
      <c r="Q2817" s="36">
        <f t="shared" si="174"/>
        <v>48690.600000000006</v>
      </c>
      <c r="R2817">
        <f t="shared" si="175"/>
        <v>2022</v>
      </c>
    </row>
    <row r="2818" spans="1:18" x14ac:dyDescent="0.2">
      <c r="A2818" s="13">
        <v>45310</v>
      </c>
      <c r="B2818" s="13">
        <v>45223</v>
      </c>
      <c r="C2818" s="25" t="s">
        <v>399</v>
      </c>
      <c r="D2818" s="20">
        <v>87</v>
      </c>
      <c r="E2818" s="28">
        <v>48690.6</v>
      </c>
      <c r="F2818" s="22" t="s">
        <v>258</v>
      </c>
      <c r="G2818" s="14">
        <v>70</v>
      </c>
      <c r="H2818" s="40">
        <v>44645</v>
      </c>
      <c r="I2818" s="46">
        <f t="shared" si="172"/>
        <v>665</v>
      </c>
      <c r="J2818" s="1" t="s">
        <v>15</v>
      </c>
      <c r="K2818" s="4" t="s">
        <v>200</v>
      </c>
      <c r="L2818" s="4" t="s">
        <v>225</v>
      </c>
      <c r="M2818" s="8">
        <v>70</v>
      </c>
      <c r="N2818" s="5">
        <v>695.58</v>
      </c>
      <c r="O2818" s="5">
        <v>48690.6</v>
      </c>
      <c r="P2818">
        <f t="shared" si="173"/>
        <v>1</v>
      </c>
      <c r="Q2818" s="36">
        <f t="shared" si="174"/>
        <v>48690.600000000006</v>
      </c>
      <c r="R2818">
        <f t="shared" si="175"/>
        <v>2022</v>
      </c>
    </row>
    <row r="2819" spans="1:18" x14ac:dyDescent="0.2">
      <c r="A2819" s="13">
        <v>45310</v>
      </c>
      <c r="B2819" s="13">
        <v>45223</v>
      </c>
      <c r="C2819" s="25" t="s">
        <v>399</v>
      </c>
      <c r="D2819" s="20">
        <v>87</v>
      </c>
      <c r="E2819" s="28">
        <v>48690.6</v>
      </c>
      <c r="F2819" s="22" t="s">
        <v>258</v>
      </c>
      <c r="G2819" s="14">
        <v>70</v>
      </c>
      <c r="H2819" s="40">
        <v>44645</v>
      </c>
      <c r="I2819" s="46">
        <f t="shared" ref="I2819:I2882" si="176">IFERROR(A2819-H2819,"")*1</f>
        <v>665</v>
      </c>
      <c r="J2819" s="1" t="s">
        <v>15</v>
      </c>
      <c r="K2819" s="4" t="s">
        <v>200</v>
      </c>
      <c r="L2819" s="4" t="s">
        <v>225</v>
      </c>
      <c r="M2819" s="8">
        <v>70</v>
      </c>
      <c r="N2819" s="5">
        <v>695.58</v>
      </c>
      <c r="O2819" s="5">
        <v>48690.6</v>
      </c>
      <c r="P2819">
        <f t="shared" ref="P2819:P2882" si="177">IF(M2819=G2819,1,0)</f>
        <v>1</v>
      </c>
      <c r="Q2819" s="36">
        <f t="shared" ref="Q2819:Q2882" si="178">N2819*G2819</f>
        <v>48690.600000000006</v>
      </c>
      <c r="R2819">
        <f t="shared" ref="R2819:R2882" si="179">YEAR(H2819)</f>
        <v>2022</v>
      </c>
    </row>
    <row r="2820" spans="1:18" x14ac:dyDescent="0.2">
      <c r="A2820" s="13">
        <v>45310</v>
      </c>
      <c r="B2820" s="13">
        <v>45230</v>
      </c>
      <c r="C2820" s="25" t="s">
        <v>399</v>
      </c>
      <c r="D2820" s="20">
        <v>80</v>
      </c>
      <c r="E2820" s="28">
        <v>48690.6</v>
      </c>
      <c r="F2820" s="22" t="s">
        <v>258</v>
      </c>
      <c r="G2820" s="14">
        <v>70</v>
      </c>
      <c r="H2820" s="40">
        <v>44651</v>
      </c>
      <c r="I2820" s="46">
        <f t="shared" si="176"/>
        <v>659</v>
      </c>
      <c r="J2820" s="1" t="s">
        <v>15</v>
      </c>
      <c r="K2820" s="4" t="s">
        <v>200</v>
      </c>
      <c r="L2820" s="4" t="s">
        <v>225</v>
      </c>
      <c r="M2820" s="8">
        <v>70</v>
      </c>
      <c r="N2820" s="5">
        <v>695.58</v>
      </c>
      <c r="O2820" s="5">
        <v>48690.6</v>
      </c>
      <c r="P2820">
        <f t="shared" si="177"/>
        <v>1</v>
      </c>
      <c r="Q2820" s="36">
        <f t="shared" si="178"/>
        <v>48690.600000000006</v>
      </c>
      <c r="R2820">
        <f t="shared" si="179"/>
        <v>2022</v>
      </c>
    </row>
    <row r="2821" spans="1:18" x14ac:dyDescent="0.2">
      <c r="A2821" s="13">
        <v>45310</v>
      </c>
      <c r="B2821" s="13">
        <v>45230</v>
      </c>
      <c r="C2821" s="25" t="s">
        <v>399</v>
      </c>
      <c r="D2821" s="20">
        <v>80</v>
      </c>
      <c r="E2821" s="28">
        <v>48690.6</v>
      </c>
      <c r="F2821" s="22" t="s">
        <v>258</v>
      </c>
      <c r="G2821" s="14">
        <v>70</v>
      </c>
      <c r="H2821" s="40">
        <v>44651</v>
      </c>
      <c r="I2821" s="46">
        <f t="shared" si="176"/>
        <v>659</v>
      </c>
      <c r="J2821" s="1" t="s">
        <v>15</v>
      </c>
      <c r="K2821" s="4" t="s">
        <v>200</v>
      </c>
      <c r="L2821" s="4" t="s">
        <v>225</v>
      </c>
      <c r="M2821" s="8">
        <v>70</v>
      </c>
      <c r="N2821" s="5">
        <v>695.58</v>
      </c>
      <c r="O2821" s="5">
        <v>48690.6</v>
      </c>
      <c r="P2821">
        <f t="shared" si="177"/>
        <v>1</v>
      </c>
      <c r="Q2821" s="36">
        <f t="shared" si="178"/>
        <v>48690.600000000006</v>
      </c>
      <c r="R2821">
        <f t="shared" si="179"/>
        <v>2022</v>
      </c>
    </row>
    <row r="2822" spans="1:18" x14ac:dyDescent="0.2">
      <c r="A2822" s="13">
        <v>45310</v>
      </c>
      <c r="B2822" s="13">
        <v>45230</v>
      </c>
      <c r="C2822" s="25" t="s">
        <v>399</v>
      </c>
      <c r="D2822" s="20">
        <v>80</v>
      </c>
      <c r="E2822" s="28">
        <v>48690.6</v>
      </c>
      <c r="F2822" s="22" t="s">
        <v>258</v>
      </c>
      <c r="G2822" s="14">
        <v>70</v>
      </c>
      <c r="H2822" s="40">
        <v>44651</v>
      </c>
      <c r="I2822" s="46">
        <f t="shared" si="176"/>
        <v>659</v>
      </c>
      <c r="J2822" s="1" t="s">
        <v>15</v>
      </c>
      <c r="K2822" s="4" t="s">
        <v>200</v>
      </c>
      <c r="L2822" s="4" t="s">
        <v>225</v>
      </c>
      <c r="M2822" s="8">
        <v>70</v>
      </c>
      <c r="N2822" s="5">
        <v>695.58</v>
      </c>
      <c r="O2822" s="5">
        <v>48690.6</v>
      </c>
      <c r="P2822">
        <f t="shared" si="177"/>
        <v>1</v>
      </c>
      <c r="Q2822" s="36">
        <f t="shared" si="178"/>
        <v>48690.600000000006</v>
      </c>
      <c r="R2822">
        <f t="shared" si="179"/>
        <v>2022</v>
      </c>
    </row>
    <row r="2823" spans="1:18" x14ac:dyDescent="0.2">
      <c r="A2823" s="13">
        <v>45310</v>
      </c>
      <c r="B2823" s="13">
        <v>45237</v>
      </c>
      <c r="C2823" s="25" t="s">
        <v>399</v>
      </c>
      <c r="D2823" s="20">
        <v>73</v>
      </c>
      <c r="E2823" s="28">
        <v>48690.6</v>
      </c>
      <c r="F2823" s="22" t="s">
        <v>258</v>
      </c>
      <c r="G2823" s="14">
        <v>70</v>
      </c>
      <c r="H2823" s="40">
        <v>44659</v>
      </c>
      <c r="I2823" s="46">
        <f t="shared" si="176"/>
        <v>651</v>
      </c>
      <c r="J2823" s="1" t="s">
        <v>15</v>
      </c>
      <c r="K2823" s="4" t="s">
        <v>200</v>
      </c>
      <c r="L2823" s="4" t="s">
        <v>225</v>
      </c>
      <c r="M2823" s="8">
        <v>70</v>
      </c>
      <c r="N2823" s="5">
        <v>695.58</v>
      </c>
      <c r="O2823" s="5">
        <v>48690.6</v>
      </c>
      <c r="P2823">
        <f t="shared" si="177"/>
        <v>1</v>
      </c>
      <c r="Q2823" s="36">
        <f t="shared" si="178"/>
        <v>48690.600000000006</v>
      </c>
      <c r="R2823">
        <f t="shared" si="179"/>
        <v>2022</v>
      </c>
    </row>
    <row r="2824" spans="1:18" x14ac:dyDescent="0.2">
      <c r="A2824" s="13">
        <v>45310</v>
      </c>
      <c r="B2824" s="13">
        <v>45237</v>
      </c>
      <c r="C2824" s="25" t="s">
        <v>399</v>
      </c>
      <c r="D2824" s="20">
        <v>73</v>
      </c>
      <c r="E2824" s="28">
        <v>48690.6</v>
      </c>
      <c r="F2824" s="22" t="s">
        <v>258</v>
      </c>
      <c r="G2824" s="14">
        <v>70</v>
      </c>
      <c r="H2824" s="40">
        <v>44659</v>
      </c>
      <c r="I2824" s="46">
        <f t="shared" si="176"/>
        <v>651</v>
      </c>
      <c r="J2824" s="1" t="s">
        <v>15</v>
      </c>
      <c r="K2824" s="4" t="s">
        <v>200</v>
      </c>
      <c r="L2824" s="4" t="s">
        <v>225</v>
      </c>
      <c r="M2824" s="8">
        <v>70</v>
      </c>
      <c r="N2824" s="5">
        <v>695.58</v>
      </c>
      <c r="O2824" s="5">
        <v>48690.6</v>
      </c>
      <c r="P2824">
        <f t="shared" si="177"/>
        <v>1</v>
      </c>
      <c r="Q2824" s="36">
        <f t="shared" si="178"/>
        <v>48690.600000000006</v>
      </c>
      <c r="R2824">
        <f t="shared" si="179"/>
        <v>2022</v>
      </c>
    </row>
    <row r="2825" spans="1:18" x14ac:dyDescent="0.2">
      <c r="A2825" s="13">
        <v>45345</v>
      </c>
      <c r="B2825" s="13">
        <v>45237</v>
      </c>
      <c r="C2825" s="25" t="s">
        <v>399</v>
      </c>
      <c r="D2825" s="20">
        <v>108</v>
      </c>
      <c r="E2825" s="28">
        <v>48690.6</v>
      </c>
      <c r="F2825" s="22" t="s">
        <v>258</v>
      </c>
      <c r="G2825" s="14">
        <v>70</v>
      </c>
      <c r="H2825" s="40">
        <v>44659</v>
      </c>
      <c r="I2825" s="46">
        <f t="shared" si="176"/>
        <v>686</v>
      </c>
      <c r="J2825" s="1" t="s">
        <v>15</v>
      </c>
      <c r="K2825" s="4" t="s">
        <v>200</v>
      </c>
      <c r="L2825" s="4" t="s">
        <v>225</v>
      </c>
      <c r="M2825" s="8">
        <v>70</v>
      </c>
      <c r="N2825" s="5">
        <v>695.58</v>
      </c>
      <c r="O2825" s="5">
        <v>48690.6</v>
      </c>
      <c r="P2825">
        <f t="shared" si="177"/>
        <v>1</v>
      </c>
      <c r="Q2825" s="36">
        <f t="shared" si="178"/>
        <v>48690.600000000006</v>
      </c>
      <c r="R2825">
        <f t="shared" si="179"/>
        <v>2022</v>
      </c>
    </row>
    <row r="2826" spans="1:18" x14ac:dyDescent="0.2">
      <c r="A2826" s="13">
        <v>45345</v>
      </c>
      <c r="B2826" s="13">
        <v>45237</v>
      </c>
      <c r="C2826" s="25" t="s">
        <v>399</v>
      </c>
      <c r="D2826" s="20">
        <v>108</v>
      </c>
      <c r="E2826" s="28">
        <v>48690.6</v>
      </c>
      <c r="F2826" s="22" t="s">
        <v>258</v>
      </c>
      <c r="G2826" s="14">
        <v>70</v>
      </c>
      <c r="H2826" s="40">
        <v>44659</v>
      </c>
      <c r="I2826" s="46">
        <f t="shared" si="176"/>
        <v>686</v>
      </c>
      <c r="J2826" s="1" t="s">
        <v>15</v>
      </c>
      <c r="K2826" s="4" t="s">
        <v>200</v>
      </c>
      <c r="L2826" s="4" t="s">
        <v>225</v>
      </c>
      <c r="M2826" s="8">
        <v>70</v>
      </c>
      <c r="N2826" s="5">
        <v>695.58</v>
      </c>
      <c r="O2826" s="5">
        <v>48690.6</v>
      </c>
      <c r="P2826">
        <f t="shared" si="177"/>
        <v>1</v>
      </c>
      <c r="Q2826" s="36">
        <f t="shared" si="178"/>
        <v>48690.600000000006</v>
      </c>
      <c r="R2826">
        <f t="shared" si="179"/>
        <v>2022</v>
      </c>
    </row>
    <row r="2827" spans="1:18" x14ac:dyDescent="0.2">
      <c r="A2827" s="13">
        <v>45345</v>
      </c>
      <c r="B2827" s="13">
        <v>45237</v>
      </c>
      <c r="C2827" s="25" t="s">
        <v>399</v>
      </c>
      <c r="D2827" s="20">
        <v>108</v>
      </c>
      <c r="E2827" s="28">
        <v>48690.6</v>
      </c>
      <c r="F2827" s="22" t="s">
        <v>258</v>
      </c>
      <c r="G2827" s="14">
        <v>70</v>
      </c>
      <c r="H2827" s="40">
        <v>44665</v>
      </c>
      <c r="I2827" s="46">
        <f t="shared" si="176"/>
        <v>680</v>
      </c>
      <c r="J2827" s="1" t="s">
        <v>15</v>
      </c>
      <c r="K2827" s="4" t="s">
        <v>200</v>
      </c>
      <c r="L2827" s="4" t="s">
        <v>225</v>
      </c>
      <c r="M2827" s="8">
        <v>70</v>
      </c>
      <c r="N2827" s="5">
        <v>695.58</v>
      </c>
      <c r="O2827" s="5">
        <v>48690.6</v>
      </c>
      <c r="P2827">
        <f t="shared" si="177"/>
        <v>1</v>
      </c>
      <c r="Q2827" s="36">
        <f t="shared" si="178"/>
        <v>48690.600000000006</v>
      </c>
      <c r="R2827">
        <f t="shared" si="179"/>
        <v>2022</v>
      </c>
    </row>
    <row r="2828" spans="1:18" x14ac:dyDescent="0.2">
      <c r="A2828" s="13">
        <v>45345</v>
      </c>
      <c r="B2828" s="13">
        <v>45230</v>
      </c>
      <c r="C2828" s="25" t="s">
        <v>399</v>
      </c>
      <c r="D2828" s="20">
        <v>115</v>
      </c>
      <c r="E2828" s="28">
        <v>48690.6</v>
      </c>
      <c r="F2828" s="22" t="s">
        <v>258</v>
      </c>
      <c r="G2828" s="14">
        <v>70</v>
      </c>
      <c r="H2828" s="40">
        <v>44665</v>
      </c>
      <c r="I2828" s="46">
        <f t="shared" si="176"/>
        <v>680</v>
      </c>
      <c r="J2828" s="1" t="s">
        <v>15</v>
      </c>
      <c r="K2828" s="4" t="s">
        <v>200</v>
      </c>
      <c r="L2828" s="4" t="s">
        <v>225</v>
      </c>
      <c r="M2828" s="8">
        <v>70</v>
      </c>
      <c r="N2828" s="5">
        <v>695.58</v>
      </c>
      <c r="O2828" s="5">
        <v>48690.6</v>
      </c>
      <c r="P2828">
        <f t="shared" si="177"/>
        <v>1</v>
      </c>
      <c r="Q2828" s="36">
        <f t="shared" si="178"/>
        <v>48690.600000000006</v>
      </c>
      <c r="R2828">
        <f t="shared" si="179"/>
        <v>2022</v>
      </c>
    </row>
    <row r="2829" spans="1:18" x14ac:dyDescent="0.2">
      <c r="A2829" s="13">
        <v>45345</v>
      </c>
      <c r="B2829" s="13">
        <v>45237</v>
      </c>
      <c r="C2829" s="25" t="s">
        <v>399</v>
      </c>
      <c r="D2829" s="20">
        <v>108</v>
      </c>
      <c r="E2829" s="28">
        <v>48690.6</v>
      </c>
      <c r="F2829" s="22" t="s">
        <v>258</v>
      </c>
      <c r="G2829" s="14">
        <v>70</v>
      </c>
      <c r="H2829" s="40">
        <v>44665</v>
      </c>
      <c r="I2829" s="46">
        <f t="shared" si="176"/>
        <v>680</v>
      </c>
      <c r="J2829" s="1" t="s">
        <v>15</v>
      </c>
      <c r="K2829" s="4" t="s">
        <v>200</v>
      </c>
      <c r="L2829" s="4" t="s">
        <v>225</v>
      </c>
      <c r="M2829" s="8">
        <v>70</v>
      </c>
      <c r="N2829" s="5">
        <v>695.58</v>
      </c>
      <c r="O2829" s="5">
        <v>48690.6</v>
      </c>
      <c r="P2829">
        <f t="shared" si="177"/>
        <v>1</v>
      </c>
      <c r="Q2829" s="36">
        <f t="shared" si="178"/>
        <v>48690.600000000006</v>
      </c>
      <c r="R2829">
        <f t="shared" si="179"/>
        <v>2022</v>
      </c>
    </row>
    <row r="2830" spans="1:18" x14ac:dyDescent="0.2">
      <c r="A2830" s="13">
        <v>45345</v>
      </c>
      <c r="B2830" s="13">
        <v>45230</v>
      </c>
      <c r="C2830" s="25" t="s">
        <v>399</v>
      </c>
      <c r="D2830" s="20">
        <v>115</v>
      </c>
      <c r="E2830" s="28">
        <v>48690.6</v>
      </c>
      <c r="F2830" s="22" t="s">
        <v>258</v>
      </c>
      <c r="G2830" s="14">
        <v>70</v>
      </c>
      <c r="H2830" s="40">
        <v>44665</v>
      </c>
      <c r="I2830" s="46">
        <f t="shared" si="176"/>
        <v>680</v>
      </c>
      <c r="J2830" s="1" t="s">
        <v>15</v>
      </c>
      <c r="K2830" s="4" t="s">
        <v>200</v>
      </c>
      <c r="L2830" s="4" t="s">
        <v>225</v>
      </c>
      <c r="M2830" s="8">
        <v>70</v>
      </c>
      <c r="N2830" s="5">
        <v>695.58</v>
      </c>
      <c r="O2830" s="5">
        <v>48690.6</v>
      </c>
      <c r="P2830">
        <f t="shared" si="177"/>
        <v>1</v>
      </c>
      <c r="Q2830" s="36">
        <f t="shared" si="178"/>
        <v>48690.600000000006</v>
      </c>
      <c r="R2830">
        <f t="shared" si="179"/>
        <v>2022</v>
      </c>
    </row>
    <row r="2831" spans="1:18" x14ac:dyDescent="0.2">
      <c r="A2831" s="13">
        <v>45345</v>
      </c>
      <c r="B2831" s="13">
        <v>45244</v>
      </c>
      <c r="C2831" s="25" t="s">
        <v>399</v>
      </c>
      <c r="D2831" s="20">
        <v>101</v>
      </c>
      <c r="E2831" s="28">
        <v>48690.6</v>
      </c>
      <c r="F2831" s="22" t="s">
        <v>258</v>
      </c>
      <c r="G2831" s="14">
        <v>70</v>
      </c>
      <c r="H2831" s="40">
        <v>44665</v>
      </c>
      <c r="I2831" s="46">
        <f t="shared" si="176"/>
        <v>680</v>
      </c>
      <c r="J2831" s="1" t="s">
        <v>15</v>
      </c>
      <c r="K2831" s="4" t="s">
        <v>200</v>
      </c>
      <c r="L2831" s="4" t="s">
        <v>225</v>
      </c>
      <c r="M2831" s="8">
        <v>70</v>
      </c>
      <c r="N2831" s="5">
        <v>695.58</v>
      </c>
      <c r="O2831" s="5">
        <v>48690.6</v>
      </c>
      <c r="P2831">
        <f t="shared" si="177"/>
        <v>1</v>
      </c>
      <c r="Q2831" s="36">
        <f t="shared" si="178"/>
        <v>48690.600000000006</v>
      </c>
      <c r="R2831">
        <f t="shared" si="179"/>
        <v>2022</v>
      </c>
    </row>
    <row r="2832" spans="1:18" x14ac:dyDescent="0.2">
      <c r="A2832" s="13">
        <v>45345</v>
      </c>
      <c r="B2832" s="13">
        <v>45237</v>
      </c>
      <c r="C2832" s="25" t="s">
        <v>399</v>
      </c>
      <c r="D2832" s="20">
        <v>108</v>
      </c>
      <c r="E2832" s="28">
        <v>48690.6</v>
      </c>
      <c r="F2832" s="22" t="s">
        <v>258</v>
      </c>
      <c r="G2832" s="14">
        <v>70</v>
      </c>
      <c r="H2832" s="40">
        <v>44665</v>
      </c>
      <c r="I2832" s="46">
        <f t="shared" si="176"/>
        <v>680</v>
      </c>
      <c r="J2832" s="1" t="s">
        <v>15</v>
      </c>
      <c r="K2832" s="4" t="s">
        <v>200</v>
      </c>
      <c r="L2832" s="4" t="s">
        <v>225</v>
      </c>
      <c r="M2832" s="8">
        <v>70</v>
      </c>
      <c r="N2832" s="5">
        <v>695.58</v>
      </c>
      <c r="O2832" s="5">
        <v>48690.6</v>
      </c>
      <c r="P2832">
        <f t="shared" si="177"/>
        <v>1</v>
      </c>
      <c r="Q2832" s="36">
        <f t="shared" si="178"/>
        <v>48690.600000000006</v>
      </c>
      <c r="R2832">
        <f t="shared" si="179"/>
        <v>2022</v>
      </c>
    </row>
    <row r="2833" spans="1:18" x14ac:dyDescent="0.2">
      <c r="A2833" s="13">
        <v>45345</v>
      </c>
      <c r="B2833" s="13">
        <v>45230</v>
      </c>
      <c r="C2833" s="25" t="s">
        <v>399</v>
      </c>
      <c r="D2833" s="20">
        <v>115</v>
      </c>
      <c r="E2833" s="28">
        <v>48690.6</v>
      </c>
      <c r="F2833" s="22" t="s">
        <v>258</v>
      </c>
      <c r="G2833" s="14">
        <v>70</v>
      </c>
      <c r="H2833" s="40">
        <v>44665</v>
      </c>
      <c r="I2833" s="46">
        <f t="shared" si="176"/>
        <v>680</v>
      </c>
      <c r="J2833" s="1" t="s">
        <v>15</v>
      </c>
      <c r="K2833" s="4" t="s">
        <v>200</v>
      </c>
      <c r="L2833" s="4" t="s">
        <v>225</v>
      </c>
      <c r="M2833" s="8">
        <v>70</v>
      </c>
      <c r="N2833" s="5">
        <v>695.58</v>
      </c>
      <c r="O2833" s="5">
        <v>48690.6</v>
      </c>
      <c r="P2833">
        <f t="shared" si="177"/>
        <v>1</v>
      </c>
      <c r="Q2833" s="36">
        <f t="shared" si="178"/>
        <v>48690.600000000006</v>
      </c>
      <c r="R2833">
        <f t="shared" si="179"/>
        <v>2022</v>
      </c>
    </row>
    <row r="2834" spans="1:18" x14ac:dyDescent="0.2">
      <c r="A2834" s="13">
        <v>45345</v>
      </c>
      <c r="B2834" s="13">
        <v>45237</v>
      </c>
      <c r="C2834" s="25" t="s">
        <v>399</v>
      </c>
      <c r="D2834" s="20">
        <v>108</v>
      </c>
      <c r="E2834" s="28">
        <v>48690.6</v>
      </c>
      <c r="F2834" s="22" t="s">
        <v>258</v>
      </c>
      <c r="G2834" s="14">
        <v>70</v>
      </c>
      <c r="H2834" s="40">
        <v>44665</v>
      </c>
      <c r="I2834" s="46">
        <f t="shared" si="176"/>
        <v>680</v>
      </c>
      <c r="J2834" s="1" t="s">
        <v>15</v>
      </c>
      <c r="K2834" s="4" t="s">
        <v>200</v>
      </c>
      <c r="L2834" s="4" t="s">
        <v>225</v>
      </c>
      <c r="M2834" s="8">
        <v>70</v>
      </c>
      <c r="N2834" s="5">
        <v>695.58</v>
      </c>
      <c r="O2834" s="5">
        <v>48690.6</v>
      </c>
      <c r="P2834">
        <f t="shared" si="177"/>
        <v>1</v>
      </c>
      <c r="Q2834" s="36">
        <f t="shared" si="178"/>
        <v>48690.600000000006</v>
      </c>
      <c r="R2834">
        <f t="shared" si="179"/>
        <v>2022</v>
      </c>
    </row>
    <row r="2835" spans="1:18" x14ac:dyDescent="0.2">
      <c r="A2835" s="13">
        <v>45387</v>
      </c>
      <c r="B2835" s="13">
        <v>45244</v>
      </c>
      <c r="C2835" s="25" t="s">
        <v>399</v>
      </c>
      <c r="D2835" s="20">
        <v>143</v>
      </c>
      <c r="E2835" s="28">
        <v>48690.6</v>
      </c>
      <c r="F2835" s="22" t="s">
        <v>258</v>
      </c>
      <c r="G2835" s="14">
        <v>70</v>
      </c>
      <c r="H2835" s="40">
        <v>44665</v>
      </c>
      <c r="I2835" s="46">
        <f t="shared" si="176"/>
        <v>722</v>
      </c>
      <c r="J2835" s="1" t="s">
        <v>15</v>
      </c>
      <c r="K2835" s="4" t="s">
        <v>200</v>
      </c>
      <c r="L2835" s="4" t="s">
        <v>225</v>
      </c>
      <c r="M2835" s="8">
        <v>70</v>
      </c>
      <c r="N2835" s="5">
        <v>695.58</v>
      </c>
      <c r="O2835" s="5">
        <v>48690.6</v>
      </c>
      <c r="P2835">
        <f t="shared" si="177"/>
        <v>1</v>
      </c>
      <c r="Q2835" s="36">
        <f t="shared" si="178"/>
        <v>48690.600000000006</v>
      </c>
      <c r="R2835">
        <f t="shared" si="179"/>
        <v>2022</v>
      </c>
    </row>
    <row r="2836" spans="1:18" x14ac:dyDescent="0.2">
      <c r="A2836" s="13">
        <v>45387</v>
      </c>
      <c r="B2836" s="13">
        <v>45244</v>
      </c>
      <c r="C2836" s="25" t="s">
        <v>399</v>
      </c>
      <c r="D2836" s="20">
        <v>143</v>
      </c>
      <c r="E2836" s="28">
        <v>48690.6</v>
      </c>
      <c r="F2836" s="22" t="s">
        <v>258</v>
      </c>
      <c r="G2836" s="14">
        <v>70</v>
      </c>
      <c r="H2836" s="40">
        <v>44665</v>
      </c>
      <c r="I2836" s="46">
        <f t="shared" si="176"/>
        <v>722</v>
      </c>
      <c r="J2836" s="1" t="s">
        <v>15</v>
      </c>
      <c r="K2836" s="4" t="s">
        <v>200</v>
      </c>
      <c r="L2836" s="4" t="s">
        <v>225</v>
      </c>
      <c r="M2836" s="8">
        <v>70</v>
      </c>
      <c r="N2836" s="5">
        <v>695.58</v>
      </c>
      <c r="O2836" s="5">
        <v>48690.6</v>
      </c>
      <c r="P2836">
        <f t="shared" si="177"/>
        <v>1</v>
      </c>
      <c r="Q2836" s="36">
        <f t="shared" si="178"/>
        <v>48690.600000000006</v>
      </c>
      <c r="R2836">
        <f t="shared" si="179"/>
        <v>2022</v>
      </c>
    </row>
    <row r="2837" spans="1:18" x14ac:dyDescent="0.2">
      <c r="A2837" s="13">
        <v>45387</v>
      </c>
      <c r="B2837" s="13">
        <v>45244</v>
      </c>
      <c r="C2837" s="25" t="s">
        <v>399</v>
      </c>
      <c r="D2837" s="20">
        <v>143</v>
      </c>
      <c r="E2837" s="28">
        <v>48690.6</v>
      </c>
      <c r="F2837" s="22" t="s">
        <v>258</v>
      </c>
      <c r="G2837" s="14">
        <v>70</v>
      </c>
      <c r="H2837" s="40">
        <v>44665</v>
      </c>
      <c r="I2837" s="46">
        <f t="shared" si="176"/>
        <v>722</v>
      </c>
      <c r="J2837" s="1" t="s">
        <v>15</v>
      </c>
      <c r="K2837" s="4" t="s">
        <v>200</v>
      </c>
      <c r="L2837" s="4" t="s">
        <v>225</v>
      </c>
      <c r="M2837" s="8">
        <v>70</v>
      </c>
      <c r="N2837" s="5">
        <v>695.58</v>
      </c>
      <c r="O2837" s="5">
        <v>48690.6</v>
      </c>
      <c r="P2837">
        <f t="shared" si="177"/>
        <v>1</v>
      </c>
      <c r="Q2837" s="36">
        <f t="shared" si="178"/>
        <v>48690.600000000006</v>
      </c>
      <c r="R2837">
        <f t="shared" si="179"/>
        <v>2022</v>
      </c>
    </row>
    <row r="2838" spans="1:18" x14ac:dyDescent="0.2">
      <c r="A2838" s="13">
        <v>45387</v>
      </c>
      <c r="B2838" s="13">
        <v>45258</v>
      </c>
      <c r="C2838" s="25" t="s">
        <v>399</v>
      </c>
      <c r="D2838" s="20">
        <v>129</v>
      </c>
      <c r="E2838" s="28">
        <v>48690.6</v>
      </c>
      <c r="F2838" s="22" t="s">
        <v>258</v>
      </c>
      <c r="G2838" s="14">
        <v>70</v>
      </c>
      <c r="H2838" s="40">
        <v>44680</v>
      </c>
      <c r="I2838" s="46">
        <f t="shared" si="176"/>
        <v>707</v>
      </c>
      <c r="J2838" s="1" t="s">
        <v>15</v>
      </c>
      <c r="K2838" s="4" t="s">
        <v>200</v>
      </c>
      <c r="L2838" s="4" t="s">
        <v>225</v>
      </c>
      <c r="M2838" s="8">
        <v>70</v>
      </c>
      <c r="N2838" s="5">
        <v>695.58</v>
      </c>
      <c r="O2838" s="5">
        <v>48690.6</v>
      </c>
      <c r="P2838">
        <f t="shared" si="177"/>
        <v>1</v>
      </c>
      <c r="Q2838" s="36">
        <f t="shared" si="178"/>
        <v>48690.600000000006</v>
      </c>
      <c r="R2838">
        <f t="shared" si="179"/>
        <v>2022</v>
      </c>
    </row>
    <row r="2839" spans="1:18" x14ac:dyDescent="0.2">
      <c r="A2839" s="13">
        <v>45387</v>
      </c>
      <c r="B2839" s="13">
        <v>45286</v>
      </c>
      <c r="C2839" s="25" t="s">
        <v>399</v>
      </c>
      <c r="D2839" s="20">
        <v>101</v>
      </c>
      <c r="E2839" s="28">
        <v>48690.6</v>
      </c>
      <c r="F2839" s="22" t="s">
        <v>258</v>
      </c>
      <c r="G2839" s="14">
        <v>70</v>
      </c>
      <c r="H2839" s="40">
        <v>44707</v>
      </c>
      <c r="I2839" s="46">
        <f t="shared" si="176"/>
        <v>680</v>
      </c>
      <c r="J2839" s="1" t="s">
        <v>15</v>
      </c>
      <c r="K2839" s="4" t="s">
        <v>200</v>
      </c>
      <c r="L2839" s="4" t="s">
        <v>225</v>
      </c>
      <c r="M2839" s="8">
        <v>70</v>
      </c>
      <c r="N2839" s="5">
        <v>695.58</v>
      </c>
      <c r="O2839" s="5">
        <v>48690.6</v>
      </c>
      <c r="P2839">
        <f t="shared" si="177"/>
        <v>1</v>
      </c>
      <c r="Q2839" s="36">
        <f t="shared" si="178"/>
        <v>48690.600000000006</v>
      </c>
      <c r="R2839">
        <f t="shared" si="179"/>
        <v>2022</v>
      </c>
    </row>
    <row r="2840" spans="1:18" x14ac:dyDescent="0.2">
      <c r="A2840" s="13">
        <v>45387</v>
      </c>
      <c r="B2840" s="13">
        <v>45286</v>
      </c>
      <c r="C2840" s="25" t="s">
        <v>399</v>
      </c>
      <c r="D2840" s="20">
        <v>101</v>
      </c>
      <c r="E2840" s="28">
        <v>48690.6</v>
      </c>
      <c r="F2840" s="22" t="s">
        <v>258</v>
      </c>
      <c r="G2840" s="14">
        <v>70</v>
      </c>
      <c r="H2840" s="40">
        <v>44707</v>
      </c>
      <c r="I2840" s="46">
        <f t="shared" si="176"/>
        <v>680</v>
      </c>
      <c r="J2840" s="1" t="s">
        <v>15</v>
      </c>
      <c r="K2840" s="4" t="s">
        <v>200</v>
      </c>
      <c r="L2840" s="4" t="s">
        <v>225</v>
      </c>
      <c r="M2840" s="8">
        <v>70</v>
      </c>
      <c r="N2840" s="5">
        <v>695.58</v>
      </c>
      <c r="O2840" s="5">
        <v>48690.6</v>
      </c>
      <c r="P2840">
        <f t="shared" si="177"/>
        <v>1</v>
      </c>
      <c r="Q2840" s="36">
        <f t="shared" si="178"/>
        <v>48690.600000000006</v>
      </c>
      <c r="R2840">
        <f t="shared" si="179"/>
        <v>2022</v>
      </c>
    </row>
    <row r="2841" spans="1:18" x14ac:dyDescent="0.2">
      <c r="A2841" s="13">
        <v>45387</v>
      </c>
      <c r="B2841" s="13">
        <v>45286</v>
      </c>
      <c r="C2841" s="25" t="s">
        <v>399</v>
      </c>
      <c r="D2841" s="20">
        <v>101</v>
      </c>
      <c r="E2841" s="28">
        <v>48690.6</v>
      </c>
      <c r="F2841" s="22" t="s">
        <v>258</v>
      </c>
      <c r="G2841" s="14">
        <v>70</v>
      </c>
      <c r="H2841" s="40">
        <v>44707</v>
      </c>
      <c r="I2841" s="46">
        <f t="shared" si="176"/>
        <v>680</v>
      </c>
      <c r="J2841" s="1" t="s">
        <v>15</v>
      </c>
      <c r="K2841" s="4" t="s">
        <v>200</v>
      </c>
      <c r="L2841" s="4" t="s">
        <v>225</v>
      </c>
      <c r="M2841" s="8">
        <v>70</v>
      </c>
      <c r="N2841" s="5">
        <v>695.58</v>
      </c>
      <c r="O2841" s="5">
        <v>48690.6</v>
      </c>
      <c r="P2841">
        <f t="shared" si="177"/>
        <v>1</v>
      </c>
      <c r="Q2841" s="36">
        <f t="shared" si="178"/>
        <v>48690.600000000006</v>
      </c>
      <c r="R2841">
        <f t="shared" si="179"/>
        <v>2022</v>
      </c>
    </row>
    <row r="2842" spans="1:18" x14ac:dyDescent="0.2">
      <c r="A2842" s="13">
        <v>45387</v>
      </c>
      <c r="B2842" s="13">
        <v>45286</v>
      </c>
      <c r="C2842" s="25" t="s">
        <v>399</v>
      </c>
      <c r="D2842" s="20">
        <v>101</v>
      </c>
      <c r="E2842" s="28">
        <v>48690.6</v>
      </c>
      <c r="F2842" s="22" t="s">
        <v>258</v>
      </c>
      <c r="G2842" s="14">
        <v>70</v>
      </c>
      <c r="H2842" s="40">
        <v>44707</v>
      </c>
      <c r="I2842" s="46">
        <f t="shared" si="176"/>
        <v>680</v>
      </c>
      <c r="J2842" s="1" t="s">
        <v>15</v>
      </c>
      <c r="K2842" s="4" t="s">
        <v>200</v>
      </c>
      <c r="L2842" s="4" t="s">
        <v>225</v>
      </c>
      <c r="M2842" s="8">
        <v>70</v>
      </c>
      <c r="N2842" s="5">
        <v>695.58</v>
      </c>
      <c r="O2842" s="5">
        <v>48690.6</v>
      </c>
      <c r="P2842">
        <f t="shared" si="177"/>
        <v>1</v>
      </c>
      <c r="Q2842" s="36">
        <f t="shared" si="178"/>
        <v>48690.600000000006</v>
      </c>
      <c r="R2842">
        <f t="shared" si="179"/>
        <v>2022</v>
      </c>
    </row>
    <row r="2843" spans="1:18" x14ac:dyDescent="0.2">
      <c r="A2843" s="13">
        <v>45387</v>
      </c>
      <c r="B2843" s="13">
        <v>45293</v>
      </c>
      <c r="C2843" s="25" t="s">
        <v>399</v>
      </c>
      <c r="D2843" s="20">
        <v>94</v>
      </c>
      <c r="E2843" s="28">
        <v>48690.6</v>
      </c>
      <c r="F2843" s="22" t="s">
        <v>258</v>
      </c>
      <c r="G2843" s="14">
        <v>70</v>
      </c>
      <c r="H2843" s="40">
        <v>44713</v>
      </c>
      <c r="I2843" s="46">
        <f t="shared" si="176"/>
        <v>674</v>
      </c>
      <c r="J2843" s="1" t="s">
        <v>15</v>
      </c>
      <c r="K2843" s="4" t="s">
        <v>200</v>
      </c>
      <c r="L2843" s="4" t="s">
        <v>225</v>
      </c>
      <c r="M2843" s="8">
        <v>70</v>
      </c>
      <c r="N2843" s="5">
        <v>695.58</v>
      </c>
      <c r="O2843" s="5">
        <v>48690.6</v>
      </c>
      <c r="P2843">
        <f t="shared" si="177"/>
        <v>1</v>
      </c>
      <c r="Q2843" s="36">
        <f t="shared" si="178"/>
        <v>48690.600000000006</v>
      </c>
      <c r="R2843">
        <f t="shared" si="179"/>
        <v>2022</v>
      </c>
    </row>
    <row r="2844" spans="1:18" x14ac:dyDescent="0.2">
      <c r="A2844" s="13">
        <v>45387</v>
      </c>
      <c r="B2844" s="13">
        <v>45293</v>
      </c>
      <c r="C2844" s="25" t="s">
        <v>399</v>
      </c>
      <c r="D2844" s="20">
        <v>94</v>
      </c>
      <c r="E2844" s="28">
        <v>48690.6</v>
      </c>
      <c r="F2844" s="22" t="s">
        <v>258</v>
      </c>
      <c r="G2844" s="14">
        <v>70</v>
      </c>
      <c r="H2844" s="40">
        <v>44713</v>
      </c>
      <c r="I2844" s="46">
        <f t="shared" si="176"/>
        <v>674</v>
      </c>
      <c r="J2844" s="1" t="s">
        <v>15</v>
      </c>
      <c r="K2844" s="4" t="s">
        <v>200</v>
      </c>
      <c r="L2844" s="4" t="s">
        <v>225</v>
      </c>
      <c r="M2844" s="8">
        <v>70</v>
      </c>
      <c r="N2844" s="5">
        <v>695.58</v>
      </c>
      <c r="O2844" s="5">
        <v>48690.6</v>
      </c>
      <c r="P2844">
        <f t="shared" si="177"/>
        <v>1</v>
      </c>
      <c r="Q2844" s="36">
        <f t="shared" si="178"/>
        <v>48690.600000000006</v>
      </c>
      <c r="R2844">
        <f t="shared" si="179"/>
        <v>2022</v>
      </c>
    </row>
    <row r="2845" spans="1:18" x14ac:dyDescent="0.2">
      <c r="A2845" s="13">
        <v>45387</v>
      </c>
      <c r="B2845" s="13">
        <v>45293</v>
      </c>
      <c r="C2845" s="25" t="s">
        <v>399</v>
      </c>
      <c r="D2845" s="20">
        <v>94</v>
      </c>
      <c r="E2845" s="28">
        <v>48690.6</v>
      </c>
      <c r="F2845" s="22" t="s">
        <v>258</v>
      </c>
      <c r="G2845" s="14">
        <v>70</v>
      </c>
      <c r="H2845" s="40">
        <v>44713</v>
      </c>
      <c r="I2845" s="46">
        <f t="shared" si="176"/>
        <v>674</v>
      </c>
      <c r="J2845" s="1" t="s">
        <v>15</v>
      </c>
      <c r="K2845" s="4" t="s">
        <v>200</v>
      </c>
      <c r="L2845" s="4" t="s">
        <v>225</v>
      </c>
      <c r="M2845" s="8">
        <v>70</v>
      </c>
      <c r="N2845" s="5">
        <v>695.58</v>
      </c>
      <c r="O2845" s="5">
        <v>48690.6</v>
      </c>
      <c r="P2845">
        <f t="shared" si="177"/>
        <v>1</v>
      </c>
      <c r="Q2845" s="36">
        <f t="shared" si="178"/>
        <v>48690.600000000006</v>
      </c>
      <c r="R2845">
        <f t="shared" si="179"/>
        <v>2022</v>
      </c>
    </row>
    <row r="2846" spans="1:18" x14ac:dyDescent="0.2">
      <c r="A2846" s="13">
        <v>45387</v>
      </c>
      <c r="B2846" s="13">
        <v>45293</v>
      </c>
      <c r="C2846" s="25" t="s">
        <v>399</v>
      </c>
      <c r="D2846" s="20">
        <v>94</v>
      </c>
      <c r="E2846" s="28">
        <v>48690.6</v>
      </c>
      <c r="F2846" s="22" t="s">
        <v>258</v>
      </c>
      <c r="G2846" s="14">
        <v>70</v>
      </c>
      <c r="H2846" s="40">
        <v>44713</v>
      </c>
      <c r="I2846" s="46">
        <f t="shared" si="176"/>
        <v>674</v>
      </c>
      <c r="J2846" s="1" t="s">
        <v>15</v>
      </c>
      <c r="K2846" s="4" t="s">
        <v>200</v>
      </c>
      <c r="L2846" s="4" t="s">
        <v>225</v>
      </c>
      <c r="M2846" s="8">
        <v>70</v>
      </c>
      <c r="N2846" s="5">
        <v>695.58</v>
      </c>
      <c r="O2846" s="5">
        <v>48690.6</v>
      </c>
      <c r="P2846">
        <f t="shared" si="177"/>
        <v>1</v>
      </c>
      <c r="Q2846" s="36">
        <f t="shared" si="178"/>
        <v>48690.600000000006</v>
      </c>
      <c r="R2846">
        <f t="shared" si="179"/>
        <v>2022</v>
      </c>
    </row>
    <row r="2847" spans="1:18" x14ac:dyDescent="0.2">
      <c r="A2847" s="13">
        <v>45387</v>
      </c>
      <c r="B2847" s="13">
        <v>45300</v>
      </c>
      <c r="C2847" s="25" t="s">
        <v>399</v>
      </c>
      <c r="D2847" s="20">
        <v>87</v>
      </c>
      <c r="E2847" s="28">
        <v>48690.6</v>
      </c>
      <c r="F2847" s="22" t="s">
        <v>258</v>
      </c>
      <c r="G2847" s="14">
        <v>70</v>
      </c>
      <c r="H2847" s="40">
        <v>44720</v>
      </c>
      <c r="I2847" s="46">
        <f t="shared" si="176"/>
        <v>667</v>
      </c>
      <c r="J2847" s="1" t="s">
        <v>15</v>
      </c>
      <c r="K2847" s="4" t="s">
        <v>199</v>
      </c>
      <c r="L2847" s="4" t="s">
        <v>225</v>
      </c>
      <c r="M2847" s="8">
        <v>70</v>
      </c>
      <c r="N2847" s="5">
        <v>695.58</v>
      </c>
      <c r="O2847" s="5">
        <v>48690.6</v>
      </c>
      <c r="P2847">
        <f t="shared" si="177"/>
        <v>1</v>
      </c>
      <c r="Q2847" s="36">
        <f t="shared" si="178"/>
        <v>48690.600000000006</v>
      </c>
      <c r="R2847">
        <f t="shared" si="179"/>
        <v>2022</v>
      </c>
    </row>
    <row r="2848" spans="1:18" x14ac:dyDescent="0.2">
      <c r="A2848" s="13">
        <v>45387</v>
      </c>
      <c r="B2848" s="13">
        <v>45300</v>
      </c>
      <c r="C2848" s="25" t="s">
        <v>399</v>
      </c>
      <c r="D2848" s="20">
        <v>87</v>
      </c>
      <c r="E2848" s="28">
        <v>48690.6</v>
      </c>
      <c r="F2848" s="22" t="s">
        <v>258</v>
      </c>
      <c r="G2848" s="14">
        <v>70</v>
      </c>
      <c r="H2848" s="40">
        <v>44720</v>
      </c>
      <c r="I2848" s="46">
        <f t="shared" si="176"/>
        <v>667</v>
      </c>
      <c r="J2848" s="1" t="s">
        <v>15</v>
      </c>
      <c r="K2848" s="4" t="s">
        <v>199</v>
      </c>
      <c r="L2848" s="4" t="s">
        <v>225</v>
      </c>
      <c r="M2848" s="8">
        <v>70</v>
      </c>
      <c r="N2848" s="5">
        <v>695.58</v>
      </c>
      <c r="O2848" s="5">
        <v>48690.6</v>
      </c>
      <c r="P2848">
        <f t="shared" si="177"/>
        <v>1</v>
      </c>
      <c r="Q2848" s="36">
        <f t="shared" si="178"/>
        <v>48690.600000000006</v>
      </c>
      <c r="R2848">
        <f t="shared" si="179"/>
        <v>2022</v>
      </c>
    </row>
    <row r="2849" spans="1:18" x14ac:dyDescent="0.2">
      <c r="A2849" s="13">
        <v>45387</v>
      </c>
      <c r="B2849" s="13">
        <v>45300</v>
      </c>
      <c r="C2849" s="25" t="s">
        <v>399</v>
      </c>
      <c r="D2849" s="20">
        <v>87</v>
      </c>
      <c r="E2849" s="28">
        <v>48690.6</v>
      </c>
      <c r="F2849" s="22" t="s">
        <v>258</v>
      </c>
      <c r="G2849" s="14">
        <v>70</v>
      </c>
      <c r="H2849" s="40">
        <v>44720</v>
      </c>
      <c r="I2849" s="46">
        <f t="shared" si="176"/>
        <v>667</v>
      </c>
      <c r="J2849" s="1" t="s">
        <v>15</v>
      </c>
      <c r="K2849" s="4" t="s">
        <v>199</v>
      </c>
      <c r="L2849" s="4" t="s">
        <v>225</v>
      </c>
      <c r="M2849" s="8">
        <v>70</v>
      </c>
      <c r="N2849" s="5">
        <v>695.58</v>
      </c>
      <c r="O2849" s="5">
        <v>48690.6</v>
      </c>
      <c r="P2849">
        <f t="shared" si="177"/>
        <v>1</v>
      </c>
      <c r="Q2849" s="36">
        <f t="shared" si="178"/>
        <v>48690.600000000006</v>
      </c>
      <c r="R2849">
        <f t="shared" si="179"/>
        <v>2022</v>
      </c>
    </row>
    <row r="2850" spans="1:18" x14ac:dyDescent="0.2">
      <c r="A2850" s="13">
        <v>45387</v>
      </c>
      <c r="B2850" s="13">
        <v>45300</v>
      </c>
      <c r="C2850" s="25" t="s">
        <v>399</v>
      </c>
      <c r="D2850" s="20">
        <v>87</v>
      </c>
      <c r="E2850" s="28">
        <v>48690.6</v>
      </c>
      <c r="F2850" s="22" t="s">
        <v>258</v>
      </c>
      <c r="G2850" s="14">
        <v>70</v>
      </c>
      <c r="H2850" s="40">
        <v>44720</v>
      </c>
      <c r="I2850" s="46">
        <f t="shared" si="176"/>
        <v>667</v>
      </c>
      <c r="J2850" s="1" t="s">
        <v>15</v>
      </c>
      <c r="K2850" s="4" t="s">
        <v>199</v>
      </c>
      <c r="L2850" s="4" t="s">
        <v>225</v>
      </c>
      <c r="M2850" s="8">
        <v>70</v>
      </c>
      <c r="N2850" s="5">
        <v>695.58</v>
      </c>
      <c r="O2850" s="5">
        <v>48690.6</v>
      </c>
      <c r="P2850">
        <f t="shared" si="177"/>
        <v>1</v>
      </c>
      <c r="Q2850" s="36">
        <f t="shared" si="178"/>
        <v>48690.600000000006</v>
      </c>
      <c r="R2850">
        <f t="shared" si="179"/>
        <v>2022</v>
      </c>
    </row>
    <row r="2851" spans="1:18" x14ac:dyDescent="0.2">
      <c r="A2851" s="13">
        <v>45387</v>
      </c>
      <c r="B2851" s="13">
        <v>45300</v>
      </c>
      <c r="C2851" s="25" t="s">
        <v>399</v>
      </c>
      <c r="D2851" s="20">
        <v>87</v>
      </c>
      <c r="E2851" s="28">
        <v>48690.6</v>
      </c>
      <c r="F2851" s="22" t="s">
        <v>258</v>
      </c>
      <c r="G2851" s="14">
        <v>70</v>
      </c>
      <c r="H2851" s="40">
        <v>44720</v>
      </c>
      <c r="I2851" s="46">
        <f t="shared" si="176"/>
        <v>667</v>
      </c>
      <c r="J2851" s="1" t="s">
        <v>15</v>
      </c>
      <c r="K2851" s="4" t="s">
        <v>199</v>
      </c>
      <c r="L2851" s="4" t="s">
        <v>225</v>
      </c>
      <c r="M2851" s="8">
        <v>70</v>
      </c>
      <c r="N2851" s="5">
        <v>695.58</v>
      </c>
      <c r="O2851" s="5">
        <v>48690.6</v>
      </c>
      <c r="P2851">
        <f t="shared" si="177"/>
        <v>1</v>
      </c>
      <c r="Q2851" s="36">
        <f t="shared" si="178"/>
        <v>48690.600000000006</v>
      </c>
      <c r="R2851">
        <f t="shared" si="179"/>
        <v>2022</v>
      </c>
    </row>
    <row r="2852" spans="1:18" x14ac:dyDescent="0.2">
      <c r="A2852" s="13">
        <v>45387</v>
      </c>
      <c r="B2852" s="13">
        <v>45314</v>
      </c>
      <c r="C2852" s="25" t="s">
        <v>399</v>
      </c>
      <c r="D2852" s="20">
        <v>73</v>
      </c>
      <c r="E2852" s="28">
        <v>48690.6</v>
      </c>
      <c r="F2852" s="22" t="s">
        <v>258</v>
      </c>
      <c r="G2852" s="14">
        <v>70</v>
      </c>
      <c r="H2852" s="40">
        <v>44735</v>
      </c>
      <c r="I2852" s="46">
        <f t="shared" si="176"/>
        <v>652</v>
      </c>
      <c r="J2852" s="1" t="s">
        <v>15</v>
      </c>
      <c r="K2852" s="4" t="s">
        <v>199</v>
      </c>
      <c r="L2852" s="4" t="s">
        <v>225</v>
      </c>
      <c r="M2852" s="8">
        <v>70</v>
      </c>
      <c r="N2852" s="5">
        <v>695.58</v>
      </c>
      <c r="O2852" s="5">
        <v>48690.6</v>
      </c>
      <c r="P2852">
        <f t="shared" si="177"/>
        <v>1</v>
      </c>
      <c r="Q2852" s="36">
        <f t="shared" si="178"/>
        <v>48690.600000000006</v>
      </c>
      <c r="R2852">
        <f t="shared" si="179"/>
        <v>2022</v>
      </c>
    </row>
    <row r="2853" spans="1:18" x14ac:dyDescent="0.2">
      <c r="A2853" s="13">
        <v>45387</v>
      </c>
      <c r="B2853" s="13">
        <v>45321</v>
      </c>
      <c r="C2853" s="25" t="s">
        <v>399</v>
      </c>
      <c r="D2853" s="20">
        <v>66</v>
      </c>
      <c r="E2853" s="28">
        <v>48690.6</v>
      </c>
      <c r="F2853" s="22" t="s">
        <v>258</v>
      </c>
      <c r="G2853" s="14">
        <v>70</v>
      </c>
      <c r="H2853" s="40">
        <v>44741</v>
      </c>
      <c r="I2853" s="46">
        <f t="shared" si="176"/>
        <v>646</v>
      </c>
      <c r="J2853" s="1" t="s">
        <v>15</v>
      </c>
      <c r="K2853" s="4" t="s">
        <v>199</v>
      </c>
      <c r="L2853" s="4" t="s">
        <v>225</v>
      </c>
      <c r="M2853" s="8">
        <v>70</v>
      </c>
      <c r="N2853" s="5">
        <v>695.58</v>
      </c>
      <c r="O2853" s="5">
        <v>48690.6</v>
      </c>
      <c r="P2853">
        <f t="shared" si="177"/>
        <v>1</v>
      </c>
      <c r="Q2853" s="36">
        <f t="shared" si="178"/>
        <v>48690.600000000006</v>
      </c>
      <c r="R2853">
        <f t="shared" si="179"/>
        <v>2022</v>
      </c>
    </row>
    <row r="2854" spans="1:18" x14ac:dyDescent="0.2">
      <c r="A2854" s="13">
        <v>45387</v>
      </c>
      <c r="B2854" s="13">
        <v>45321</v>
      </c>
      <c r="C2854" s="25" t="s">
        <v>399</v>
      </c>
      <c r="D2854" s="20">
        <v>66</v>
      </c>
      <c r="E2854" s="28">
        <v>48690.6</v>
      </c>
      <c r="F2854" s="22" t="s">
        <v>258</v>
      </c>
      <c r="G2854" s="14">
        <v>70</v>
      </c>
      <c r="H2854" s="40">
        <v>44741</v>
      </c>
      <c r="I2854" s="46">
        <f t="shared" si="176"/>
        <v>646</v>
      </c>
      <c r="J2854" s="1" t="s">
        <v>15</v>
      </c>
      <c r="K2854" s="4" t="s">
        <v>199</v>
      </c>
      <c r="L2854" s="4" t="s">
        <v>225</v>
      </c>
      <c r="M2854" s="8">
        <v>70</v>
      </c>
      <c r="N2854" s="5">
        <v>695.58</v>
      </c>
      <c r="O2854" s="5">
        <v>48690.6</v>
      </c>
      <c r="P2854">
        <f t="shared" si="177"/>
        <v>1</v>
      </c>
      <c r="Q2854" s="36">
        <f t="shared" si="178"/>
        <v>48690.600000000006</v>
      </c>
      <c r="R2854">
        <f t="shared" si="179"/>
        <v>2022</v>
      </c>
    </row>
    <row r="2855" spans="1:18" x14ac:dyDescent="0.2">
      <c r="A2855" s="13">
        <v>45387</v>
      </c>
      <c r="B2855" s="13">
        <v>45321</v>
      </c>
      <c r="C2855" s="25" t="s">
        <v>399</v>
      </c>
      <c r="D2855" s="20">
        <v>66</v>
      </c>
      <c r="E2855" s="28">
        <v>48690.6</v>
      </c>
      <c r="F2855" s="22" t="s">
        <v>258</v>
      </c>
      <c r="G2855" s="14">
        <v>70</v>
      </c>
      <c r="H2855" s="40">
        <v>44741</v>
      </c>
      <c r="I2855" s="46">
        <f t="shared" si="176"/>
        <v>646</v>
      </c>
      <c r="J2855" s="1" t="s">
        <v>15</v>
      </c>
      <c r="K2855" s="4" t="s">
        <v>199</v>
      </c>
      <c r="L2855" s="4" t="s">
        <v>225</v>
      </c>
      <c r="M2855" s="8">
        <v>70</v>
      </c>
      <c r="N2855" s="5">
        <v>695.58</v>
      </c>
      <c r="O2855" s="5">
        <v>48690.6</v>
      </c>
      <c r="P2855">
        <f t="shared" si="177"/>
        <v>1</v>
      </c>
      <c r="Q2855" s="36">
        <f t="shared" si="178"/>
        <v>48690.600000000006</v>
      </c>
      <c r="R2855">
        <f t="shared" si="179"/>
        <v>2022</v>
      </c>
    </row>
    <row r="2856" spans="1:18" x14ac:dyDescent="0.2">
      <c r="A2856" s="13">
        <v>45387</v>
      </c>
      <c r="B2856" s="13">
        <v>45321</v>
      </c>
      <c r="C2856" s="25" t="s">
        <v>399</v>
      </c>
      <c r="D2856" s="20">
        <v>66</v>
      </c>
      <c r="E2856" s="28">
        <v>48690.6</v>
      </c>
      <c r="F2856" s="22" t="s">
        <v>258</v>
      </c>
      <c r="G2856" s="14">
        <v>70</v>
      </c>
      <c r="H2856" s="40">
        <v>44741</v>
      </c>
      <c r="I2856" s="46">
        <f t="shared" si="176"/>
        <v>646</v>
      </c>
      <c r="J2856" s="1" t="s">
        <v>15</v>
      </c>
      <c r="K2856" s="4" t="s">
        <v>199</v>
      </c>
      <c r="L2856" s="4" t="s">
        <v>225</v>
      </c>
      <c r="M2856" s="8">
        <v>70</v>
      </c>
      <c r="N2856" s="5">
        <v>695.58</v>
      </c>
      <c r="O2856" s="5">
        <v>48690.6</v>
      </c>
      <c r="P2856">
        <f t="shared" si="177"/>
        <v>1</v>
      </c>
      <c r="Q2856" s="36">
        <f t="shared" si="178"/>
        <v>48690.600000000006</v>
      </c>
      <c r="R2856">
        <f t="shared" si="179"/>
        <v>2022</v>
      </c>
    </row>
    <row r="2857" spans="1:18" x14ac:dyDescent="0.2">
      <c r="A2857" s="13">
        <v>45387</v>
      </c>
      <c r="B2857" s="13">
        <v>45314</v>
      </c>
      <c r="C2857" s="25" t="s">
        <v>399</v>
      </c>
      <c r="D2857" s="20">
        <v>73</v>
      </c>
      <c r="E2857" s="28">
        <v>48690.6</v>
      </c>
      <c r="F2857" s="22" t="s">
        <v>258</v>
      </c>
      <c r="G2857" s="14">
        <v>70</v>
      </c>
      <c r="H2857" s="40">
        <v>44741</v>
      </c>
      <c r="I2857" s="46">
        <f t="shared" si="176"/>
        <v>646</v>
      </c>
      <c r="J2857" s="1" t="s">
        <v>15</v>
      </c>
      <c r="K2857" s="4" t="s">
        <v>199</v>
      </c>
      <c r="L2857" s="4" t="s">
        <v>225</v>
      </c>
      <c r="M2857" s="8">
        <v>70</v>
      </c>
      <c r="N2857" s="5">
        <v>695.58</v>
      </c>
      <c r="O2857" s="5">
        <v>48690.6</v>
      </c>
      <c r="P2857">
        <f t="shared" si="177"/>
        <v>1</v>
      </c>
      <c r="Q2857" s="36">
        <f t="shared" si="178"/>
        <v>48690.600000000006</v>
      </c>
      <c r="R2857">
        <f t="shared" si="179"/>
        <v>2022</v>
      </c>
    </row>
    <row r="2858" spans="1:18" x14ac:dyDescent="0.2">
      <c r="A2858" s="13">
        <v>45202</v>
      </c>
      <c r="B2858" s="13">
        <v>45202</v>
      </c>
      <c r="C2858" s="25" t="s">
        <v>398</v>
      </c>
      <c r="D2858" s="20">
        <v>0</v>
      </c>
      <c r="E2858" s="28">
        <v>3660</v>
      </c>
      <c r="F2858" s="22" t="s">
        <v>261</v>
      </c>
      <c r="G2858" s="14">
        <v>3000</v>
      </c>
      <c r="H2858" s="40">
        <v>44826</v>
      </c>
      <c r="I2858" s="46">
        <f t="shared" si="176"/>
        <v>376</v>
      </c>
      <c r="J2858" s="1" t="s">
        <v>15</v>
      </c>
      <c r="K2858" s="4" t="s">
        <v>200</v>
      </c>
      <c r="L2858" s="4" t="s">
        <v>225</v>
      </c>
      <c r="M2858" s="8">
        <v>3000</v>
      </c>
      <c r="N2858" s="5">
        <v>1.22</v>
      </c>
      <c r="O2858" s="5">
        <v>3660</v>
      </c>
      <c r="P2858">
        <f t="shared" si="177"/>
        <v>1</v>
      </c>
      <c r="Q2858" s="36">
        <f t="shared" si="178"/>
        <v>3660</v>
      </c>
      <c r="R2858">
        <f t="shared" si="179"/>
        <v>2022</v>
      </c>
    </row>
    <row r="2859" spans="1:18" x14ac:dyDescent="0.2">
      <c r="A2859" s="13">
        <v>45223</v>
      </c>
      <c r="B2859" s="13">
        <v>45223</v>
      </c>
      <c r="C2859" s="25" t="s">
        <v>398</v>
      </c>
      <c r="D2859" s="20">
        <v>0</v>
      </c>
      <c r="E2859" s="28">
        <v>1965</v>
      </c>
      <c r="F2859" s="22" t="s">
        <v>262</v>
      </c>
      <c r="G2859" s="14">
        <v>1500</v>
      </c>
      <c r="H2859" s="40">
        <v>44847</v>
      </c>
      <c r="I2859" s="46">
        <f t="shared" si="176"/>
        <v>376</v>
      </c>
      <c r="J2859" s="1" t="s">
        <v>15</v>
      </c>
      <c r="K2859" s="4" t="s">
        <v>200</v>
      </c>
      <c r="L2859" s="4" t="s">
        <v>225</v>
      </c>
      <c r="M2859" s="8">
        <v>4500</v>
      </c>
      <c r="N2859" s="5">
        <v>1.31</v>
      </c>
      <c r="O2859" s="5">
        <v>5895</v>
      </c>
      <c r="P2859">
        <f t="shared" si="177"/>
        <v>0</v>
      </c>
      <c r="Q2859" s="36">
        <f t="shared" si="178"/>
        <v>1965</v>
      </c>
      <c r="R2859">
        <f t="shared" si="179"/>
        <v>2022</v>
      </c>
    </row>
    <row r="2860" spans="1:18" x14ac:dyDescent="0.2">
      <c r="A2860" s="13">
        <v>45257</v>
      </c>
      <c r="B2860" s="13">
        <v>45223</v>
      </c>
      <c r="C2860" s="25" t="s">
        <v>399</v>
      </c>
      <c r="D2860" s="20">
        <v>34</v>
      </c>
      <c r="E2860" s="28">
        <v>3930</v>
      </c>
      <c r="F2860" s="22" t="s">
        <v>262</v>
      </c>
      <c r="G2860" s="14">
        <v>3000</v>
      </c>
      <c r="H2860" s="40">
        <v>44847</v>
      </c>
      <c r="I2860" s="46">
        <f t="shared" si="176"/>
        <v>410</v>
      </c>
      <c r="J2860" s="1" t="s">
        <v>15</v>
      </c>
      <c r="K2860" s="4" t="s">
        <v>200</v>
      </c>
      <c r="L2860" s="4" t="s">
        <v>225</v>
      </c>
      <c r="M2860" s="8">
        <v>4500</v>
      </c>
      <c r="N2860" s="5">
        <v>1.31</v>
      </c>
      <c r="O2860" s="5">
        <v>5895</v>
      </c>
      <c r="P2860">
        <f t="shared" si="177"/>
        <v>0</v>
      </c>
      <c r="Q2860" s="36">
        <f t="shared" si="178"/>
        <v>3930</v>
      </c>
      <c r="R2860">
        <f t="shared" si="179"/>
        <v>2022</v>
      </c>
    </row>
    <row r="2861" spans="1:18" x14ac:dyDescent="0.2">
      <c r="A2861" s="13">
        <v>45194</v>
      </c>
      <c r="B2861" s="13">
        <v>45194</v>
      </c>
      <c r="C2861" s="25" t="s">
        <v>398</v>
      </c>
      <c r="D2861" s="20">
        <v>0</v>
      </c>
      <c r="E2861" s="28">
        <v>22780.2</v>
      </c>
      <c r="F2861" s="22" t="s">
        <v>265</v>
      </c>
      <c r="G2861" s="14">
        <v>30</v>
      </c>
      <c r="H2861" s="40">
        <v>44782</v>
      </c>
      <c r="I2861" s="46">
        <f t="shared" si="176"/>
        <v>412</v>
      </c>
      <c r="J2861" s="1" t="s">
        <v>15</v>
      </c>
      <c r="K2861" s="4" t="s">
        <v>200</v>
      </c>
      <c r="L2861" s="4" t="s">
        <v>225</v>
      </c>
      <c r="M2861" s="8">
        <v>30</v>
      </c>
      <c r="N2861" s="5">
        <v>759.34</v>
      </c>
      <c r="O2861" s="5">
        <v>22780.2</v>
      </c>
      <c r="P2861">
        <f t="shared" si="177"/>
        <v>1</v>
      </c>
      <c r="Q2861" s="36">
        <f t="shared" si="178"/>
        <v>22780.2</v>
      </c>
      <c r="R2861">
        <f t="shared" si="179"/>
        <v>2022</v>
      </c>
    </row>
    <row r="2862" spans="1:18" x14ac:dyDescent="0.2">
      <c r="A2862" s="13">
        <v>45187</v>
      </c>
      <c r="B2862" s="13">
        <v>45187</v>
      </c>
      <c r="C2862" s="25" t="s">
        <v>398</v>
      </c>
      <c r="D2862" s="20">
        <v>0</v>
      </c>
      <c r="E2862" s="28">
        <v>45560.4</v>
      </c>
      <c r="F2862" s="22" t="s">
        <v>265</v>
      </c>
      <c r="G2862" s="14">
        <v>60</v>
      </c>
      <c r="H2862" s="40">
        <v>44783</v>
      </c>
      <c r="I2862" s="46">
        <f t="shared" si="176"/>
        <v>404</v>
      </c>
      <c r="J2862" s="1" t="s">
        <v>15</v>
      </c>
      <c r="K2862" s="4" t="s">
        <v>200</v>
      </c>
      <c r="L2862" s="4" t="s">
        <v>225</v>
      </c>
      <c r="M2862" s="8">
        <v>60</v>
      </c>
      <c r="N2862" s="5">
        <v>759.34</v>
      </c>
      <c r="O2862" s="5">
        <v>45560.4</v>
      </c>
      <c r="P2862">
        <f t="shared" si="177"/>
        <v>1</v>
      </c>
      <c r="Q2862" s="36">
        <f t="shared" si="178"/>
        <v>45560.4</v>
      </c>
      <c r="R2862">
        <f t="shared" si="179"/>
        <v>2022</v>
      </c>
    </row>
    <row r="2863" spans="1:18" x14ac:dyDescent="0.2">
      <c r="A2863" s="13">
        <v>45187</v>
      </c>
      <c r="B2863" s="13">
        <v>45187</v>
      </c>
      <c r="C2863" s="25" t="s">
        <v>398</v>
      </c>
      <c r="D2863" s="20">
        <v>0</v>
      </c>
      <c r="E2863" s="28">
        <v>45560.4</v>
      </c>
      <c r="F2863" s="22" t="s">
        <v>265</v>
      </c>
      <c r="G2863" s="14">
        <v>60</v>
      </c>
      <c r="H2863" s="40">
        <v>44783</v>
      </c>
      <c r="I2863" s="46">
        <f t="shared" si="176"/>
        <v>404</v>
      </c>
      <c r="J2863" s="1" t="s">
        <v>15</v>
      </c>
      <c r="K2863" s="4" t="s">
        <v>200</v>
      </c>
      <c r="L2863" s="4" t="s">
        <v>225</v>
      </c>
      <c r="M2863" s="8">
        <v>60</v>
      </c>
      <c r="N2863" s="5">
        <v>759.34</v>
      </c>
      <c r="O2863" s="5">
        <v>45560.4</v>
      </c>
      <c r="P2863">
        <f t="shared" si="177"/>
        <v>1</v>
      </c>
      <c r="Q2863" s="36">
        <f t="shared" si="178"/>
        <v>45560.4</v>
      </c>
      <c r="R2863">
        <f t="shared" si="179"/>
        <v>2022</v>
      </c>
    </row>
    <row r="2864" spans="1:18" x14ac:dyDescent="0.2">
      <c r="A2864" s="13">
        <v>45187</v>
      </c>
      <c r="B2864" s="13">
        <v>45187</v>
      </c>
      <c r="C2864" s="25" t="s">
        <v>398</v>
      </c>
      <c r="D2864" s="20">
        <v>0</v>
      </c>
      <c r="E2864" s="28">
        <v>45560.4</v>
      </c>
      <c r="F2864" s="22" t="s">
        <v>265</v>
      </c>
      <c r="G2864" s="14">
        <v>60</v>
      </c>
      <c r="H2864" s="40">
        <v>44783</v>
      </c>
      <c r="I2864" s="46">
        <f t="shared" si="176"/>
        <v>404</v>
      </c>
      <c r="J2864" s="1" t="s">
        <v>15</v>
      </c>
      <c r="K2864" s="4" t="s">
        <v>200</v>
      </c>
      <c r="L2864" s="4" t="s">
        <v>225</v>
      </c>
      <c r="M2864" s="8">
        <v>60</v>
      </c>
      <c r="N2864" s="5">
        <v>759.34</v>
      </c>
      <c r="O2864" s="5">
        <v>45560.4</v>
      </c>
      <c r="P2864">
        <f t="shared" si="177"/>
        <v>1</v>
      </c>
      <c r="Q2864" s="36">
        <f t="shared" si="178"/>
        <v>45560.4</v>
      </c>
      <c r="R2864">
        <f t="shared" si="179"/>
        <v>2022</v>
      </c>
    </row>
    <row r="2865" spans="1:18" x14ac:dyDescent="0.2">
      <c r="A2865" s="13">
        <v>45194</v>
      </c>
      <c r="B2865" s="13">
        <v>45194</v>
      </c>
      <c r="C2865" s="25" t="s">
        <v>398</v>
      </c>
      <c r="D2865" s="20">
        <v>0</v>
      </c>
      <c r="E2865" s="28">
        <v>45560.4</v>
      </c>
      <c r="F2865" s="22" t="s">
        <v>265</v>
      </c>
      <c r="G2865" s="14">
        <v>60</v>
      </c>
      <c r="H2865" s="40">
        <v>44783</v>
      </c>
      <c r="I2865" s="46">
        <f t="shared" si="176"/>
        <v>411</v>
      </c>
      <c r="J2865" s="1" t="s">
        <v>15</v>
      </c>
      <c r="K2865" s="4" t="s">
        <v>200</v>
      </c>
      <c r="L2865" s="4" t="s">
        <v>225</v>
      </c>
      <c r="M2865" s="8">
        <v>60</v>
      </c>
      <c r="N2865" s="5">
        <v>759.34</v>
      </c>
      <c r="O2865" s="5">
        <v>45560.4</v>
      </c>
      <c r="P2865">
        <f t="shared" si="177"/>
        <v>1</v>
      </c>
      <c r="Q2865" s="36">
        <f t="shared" si="178"/>
        <v>45560.4</v>
      </c>
      <c r="R2865">
        <f t="shared" si="179"/>
        <v>2022</v>
      </c>
    </row>
    <row r="2866" spans="1:18" x14ac:dyDescent="0.2">
      <c r="A2866" s="13">
        <v>45194</v>
      </c>
      <c r="B2866" s="13">
        <v>45194</v>
      </c>
      <c r="C2866" s="25" t="s">
        <v>398</v>
      </c>
      <c r="D2866" s="20">
        <v>0</v>
      </c>
      <c r="E2866" s="28">
        <v>45560.4</v>
      </c>
      <c r="F2866" s="22" t="s">
        <v>265</v>
      </c>
      <c r="G2866" s="14">
        <v>60</v>
      </c>
      <c r="H2866" s="40">
        <v>44783</v>
      </c>
      <c r="I2866" s="46">
        <f t="shared" si="176"/>
        <v>411</v>
      </c>
      <c r="J2866" s="1" t="s">
        <v>15</v>
      </c>
      <c r="K2866" s="4" t="s">
        <v>200</v>
      </c>
      <c r="L2866" s="4" t="s">
        <v>225</v>
      </c>
      <c r="M2866" s="8">
        <v>60</v>
      </c>
      <c r="N2866" s="5">
        <v>759.34</v>
      </c>
      <c r="O2866" s="5">
        <v>45560.4</v>
      </c>
      <c r="P2866">
        <f t="shared" si="177"/>
        <v>1</v>
      </c>
      <c r="Q2866" s="36">
        <f t="shared" si="178"/>
        <v>45560.4</v>
      </c>
      <c r="R2866">
        <f t="shared" si="179"/>
        <v>2022</v>
      </c>
    </row>
    <row r="2867" spans="1:18" x14ac:dyDescent="0.2">
      <c r="A2867" s="13">
        <v>45194</v>
      </c>
      <c r="B2867" s="13">
        <v>45194</v>
      </c>
      <c r="C2867" s="25" t="s">
        <v>398</v>
      </c>
      <c r="D2867" s="20">
        <v>0</v>
      </c>
      <c r="E2867" s="28">
        <v>45560.4</v>
      </c>
      <c r="F2867" s="22" t="s">
        <v>265</v>
      </c>
      <c r="G2867" s="14">
        <v>60</v>
      </c>
      <c r="H2867" s="40">
        <v>44783</v>
      </c>
      <c r="I2867" s="46">
        <f t="shared" si="176"/>
        <v>411</v>
      </c>
      <c r="J2867" s="1" t="s">
        <v>15</v>
      </c>
      <c r="K2867" s="4" t="s">
        <v>200</v>
      </c>
      <c r="L2867" s="4" t="s">
        <v>225</v>
      </c>
      <c r="M2867" s="8">
        <v>60</v>
      </c>
      <c r="N2867" s="5">
        <v>759.34</v>
      </c>
      <c r="O2867" s="5">
        <v>45560.4</v>
      </c>
      <c r="P2867">
        <f t="shared" si="177"/>
        <v>1</v>
      </c>
      <c r="Q2867" s="36">
        <f t="shared" si="178"/>
        <v>45560.4</v>
      </c>
      <c r="R2867">
        <f t="shared" si="179"/>
        <v>2022</v>
      </c>
    </row>
    <row r="2868" spans="1:18" x14ac:dyDescent="0.2">
      <c r="A2868" s="13">
        <v>45194</v>
      </c>
      <c r="B2868" s="13">
        <v>45194</v>
      </c>
      <c r="C2868" s="25" t="s">
        <v>398</v>
      </c>
      <c r="D2868" s="20">
        <v>0</v>
      </c>
      <c r="E2868" s="28">
        <v>45560.4</v>
      </c>
      <c r="F2868" s="22" t="s">
        <v>265</v>
      </c>
      <c r="G2868" s="14">
        <v>60</v>
      </c>
      <c r="H2868" s="40">
        <v>44783</v>
      </c>
      <c r="I2868" s="46">
        <f t="shared" si="176"/>
        <v>411</v>
      </c>
      <c r="J2868" s="1" t="s">
        <v>15</v>
      </c>
      <c r="K2868" s="4" t="s">
        <v>200</v>
      </c>
      <c r="L2868" s="4" t="s">
        <v>225</v>
      </c>
      <c r="M2868" s="8">
        <v>60</v>
      </c>
      <c r="N2868" s="5">
        <v>759.34</v>
      </c>
      <c r="O2868" s="5">
        <v>45560.4</v>
      </c>
      <c r="P2868">
        <f t="shared" si="177"/>
        <v>1</v>
      </c>
      <c r="Q2868" s="36">
        <f t="shared" si="178"/>
        <v>45560.4</v>
      </c>
      <c r="R2868">
        <f t="shared" si="179"/>
        <v>2022</v>
      </c>
    </row>
    <row r="2869" spans="1:18" x14ac:dyDescent="0.2">
      <c r="A2869" s="13">
        <v>45194</v>
      </c>
      <c r="B2869" s="13">
        <v>45194</v>
      </c>
      <c r="C2869" s="25" t="s">
        <v>398</v>
      </c>
      <c r="D2869" s="20">
        <v>0</v>
      </c>
      <c r="E2869" s="28">
        <v>45560.4</v>
      </c>
      <c r="F2869" s="22" t="s">
        <v>265</v>
      </c>
      <c r="G2869" s="14">
        <v>60</v>
      </c>
      <c r="H2869" s="40">
        <v>44783</v>
      </c>
      <c r="I2869" s="46">
        <f t="shared" si="176"/>
        <v>411</v>
      </c>
      <c r="J2869" s="1" t="s">
        <v>15</v>
      </c>
      <c r="K2869" s="4" t="s">
        <v>200</v>
      </c>
      <c r="L2869" s="4" t="s">
        <v>225</v>
      </c>
      <c r="M2869" s="8">
        <v>60</v>
      </c>
      <c r="N2869" s="5">
        <v>759.34</v>
      </c>
      <c r="O2869" s="5">
        <v>45560.4</v>
      </c>
      <c r="P2869">
        <f t="shared" si="177"/>
        <v>1</v>
      </c>
      <c r="Q2869" s="36">
        <f t="shared" si="178"/>
        <v>45560.4</v>
      </c>
      <c r="R2869">
        <f t="shared" si="179"/>
        <v>2022</v>
      </c>
    </row>
    <row r="2870" spans="1:18" x14ac:dyDescent="0.2">
      <c r="A2870" s="13">
        <v>45197</v>
      </c>
      <c r="B2870" s="13">
        <v>45197</v>
      </c>
      <c r="C2870" s="25" t="s">
        <v>398</v>
      </c>
      <c r="D2870" s="20">
        <v>0</v>
      </c>
      <c r="E2870" s="28">
        <v>45560.4</v>
      </c>
      <c r="F2870" s="22" t="s">
        <v>265</v>
      </c>
      <c r="G2870" s="14">
        <v>60</v>
      </c>
      <c r="H2870" s="40">
        <v>44790</v>
      </c>
      <c r="I2870" s="46">
        <f t="shared" si="176"/>
        <v>407</v>
      </c>
      <c r="J2870" s="1" t="s">
        <v>15</v>
      </c>
      <c r="K2870" s="4" t="s">
        <v>199</v>
      </c>
      <c r="L2870" s="4" t="s">
        <v>225</v>
      </c>
      <c r="M2870" s="8">
        <v>60</v>
      </c>
      <c r="N2870" s="5">
        <v>759.34</v>
      </c>
      <c r="O2870" s="5">
        <v>45560.4</v>
      </c>
      <c r="P2870">
        <f t="shared" si="177"/>
        <v>1</v>
      </c>
      <c r="Q2870" s="36">
        <f t="shared" si="178"/>
        <v>45560.4</v>
      </c>
      <c r="R2870">
        <f t="shared" si="179"/>
        <v>2022</v>
      </c>
    </row>
    <row r="2871" spans="1:18" x14ac:dyDescent="0.2">
      <c r="A2871" s="13">
        <v>45197</v>
      </c>
      <c r="B2871" s="13">
        <v>45197</v>
      </c>
      <c r="C2871" s="25" t="s">
        <v>398</v>
      </c>
      <c r="D2871" s="20">
        <v>0</v>
      </c>
      <c r="E2871" s="28">
        <v>45560.4</v>
      </c>
      <c r="F2871" s="22" t="s">
        <v>265</v>
      </c>
      <c r="G2871" s="14">
        <v>60</v>
      </c>
      <c r="H2871" s="40">
        <v>44790</v>
      </c>
      <c r="I2871" s="46">
        <f t="shared" si="176"/>
        <v>407</v>
      </c>
      <c r="J2871" s="1" t="s">
        <v>15</v>
      </c>
      <c r="K2871" s="4" t="s">
        <v>199</v>
      </c>
      <c r="L2871" s="4" t="s">
        <v>225</v>
      </c>
      <c r="M2871" s="8">
        <v>60</v>
      </c>
      <c r="N2871" s="5">
        <v>759.34</v>
      </c>
      <c r="O2871" s="5">
        <v>45560.4</v>
      </c>
      <c r="P2871">
        <f t="shared" si="177"/>
        <v>1</v>
      </c>
      <c r="Q2871" s="36">
        <f t="shared" si="178"/>
        <v>45560.4</v>
      </c>
      <c r="R2871">
        <f t="shared" si="179"/>
        <v>2022</v>
      </c>
    </row>
    <row r="2872" spans="1:18" x14ac:dyDescent="0.2">
      <c r="A2872" s="13">
        <v>45197</v>
      </c>
      <c r="B2872" s="13">
        <v>45197</v>
      </c>
      <c r="C2872" s="25" t="s">
        <v>398</v>
      </c>
      <c r="D2872" s="20">
        <v>0</v>
      </c>
      <c r="E2872" s="28">
        <v>45560.4</v>
      </c>
      <c r="F2872" s="22" t="s">
        <v>265</v>
      </c>
      <c r="G2872" s="14">
        <v>60</v>
      </c>
      <c r="H2872" s="40">
        <v>44790</v>
      </c>
      <c r="I2872" s="46">
        <f t="shared" si="176"/>
        <v>407</v>
      </c>
      <c r="J2872" s="1" t="s">
        <v>15</v>
      </c>
      <c r="K2872" s="4" t="s">
        <v>199</v>
      </c>
      <c r="L2872" s="4" t="s">
        <v>225</v>
      </c>
      <c r="M2872" s="8">
        <v>60</v>
      </c>
      <c r="N2872" s="5">
        <v>759.34</v>
      </c>
      <c r="O2872" s="5">
        <v>45560.4</v>
      </c>
      <c r="P2872">
        <f t="shared" si="177"/>
        <v>1</v>
      </c>
      <c r="Q2872" s="36">
        <f t="shared" si="178"/>
        <v>45560.4</v>
      </c>
      <c r="R2872">
        <f t="shared" si="179"/>
        <v>2022</v>
      </c>
    </row>
    <row r="2873" spans="1:18" x14ac:dyDescent="0.2">
      <c r="A2873" s="13">
        <v>45197</v>
      </c>
      <c r="B2873" s="13">
        <v>45197</v>
      </c>
      <c r="C2873" s="25" t="s">
        <v>398</v>
      </c>
      <c r="D2873" s="20">
        <v>0</v>
      </c>
      <c r="E2873" s="28">
        <v>45560.4</v>
      </c>
      <c r="F2873" s="22" t="s">
        <v>265</v>
      </c>
      <c r="G2873" s="14">
        <v>60</v>
      </c>
      <c r="H2873" s="40">
        <v>44790</v>
      </c>
      <c r="I2873" s="46">
        <f t="shared" si="176"/>
        <v>407</v>
      </c>
      <c r="J2873" s="1" t="s">
        <v>15</v>
      </c>
      <c r="K2873" s="4" t="s">
        <v>199</v>
      </c>
      <c r="L2873" s="4" t="s">
        <v>225</v>
      </c>
      <c r="M2873" s="8">
        <v>60</v>
      </c>
      <c r="N2873" s="5">
        <v>759.34</v>
      </c>
      <c r="O2873" s="5">
        <v>45560.4</v>
      </c>
      <c r="P2873">
        <f t="shared" si="177"/>
        <v>1</v>
      </c>
      <c r="Q2873" s="36">
        <f t="shared" si="178"/>
        <v>45560.4</v>
      </c>
      <c r="R2873">
        <f t="shared" si="179"/>
        <v>2022</v>
      </c>
    </row>
    <row r="2874" spans="1:18" x14ac:dyDescent="0.2">
      <c r="A2874" s="13">
        <v>45197</v>
      </c>
      <c r="B2874" s="13">
        <v>45197</v>
      </c>
      <c r="C2874" s="25" t="s">
        <v>398</v>
      </c>
      <c r="D2874" s="20">
        <v>0</v>
      </c>
      <c r="E2874" s="28">
        <v>45560.4</v>
      </c>
      <c r="F2874" s="22" t="s">
        <v>265</v>
      </c>
      <c r="G2874" s="14">
        <v>60</v>
      </c>
      <c r="H2874" s="40">
        <v>44790</v>
      </c>
      <c r="I2874" s="46">
        <f t="shared" si="176"/>
        <v>407</v>
      </c>
      <c r="J2874" s="1" t="s">
        <v>15</v>
      </c>
      <c r="K2874" s="4" t="s">
        <v>199</v>
      </c>
      <c r="L2874" s="4" t="s">
        <v>225</v>
      </c>
      <c r="M2874" s="8">
        <v>60</v>
      </c>
      <c r="N2874" s="5">
        <v>759.34</v>
      </c>
      <c r="O2874" s="5">
        <v>45560.4</v>
      </c>
      <c r="P2874">
        <f t="shared" si="177"/>
        <v>1</v>
      </c>
      <c r="Q2874" s="36">
        <f t="shared" si="178"/>
        <v>45560.4</v>
      </c>
      <c r="R2874">
        <f t="shared" si="179"/>
        <v>2022</v>
      </c>
    </row>
    <row r="2875" spans="1:18" x14ac:dyDescent="0.2">
      <c r="A2875" s="13">
        <v>45204</v>
      </c>
      <c r="B2875" s="13">
        <v>45204</v>
      </c>
      <c r="C2875" s="25" t="s">
        <v>398</v>
      </c>
      <c r="D2875" s="20">
        <v>0</v>
      </c>
      <c r="E2875" s="28">
        <v>45560.4</v>
      </c>
      <c r="F2875" s="22" t="s">
        <v>265</v>
      </c>
      <c r="G2875" s="14">
        <v>60</v>
      </c>
      <c r="H2875" s="40">
        <v>44790</v>
      </c>
      <c r="I2875" s="46">
        <f t="shared" si="176"/>
        <v>414</v>
      </c>
      <c r="J2875" s="1" t="s">
        <v>15</v>
      </c>
      <c r="K2875" s="4" t="s">
        <v>199</v>
      </c>
      <c r="L2875" s="4" t="s">
        <v>225</v>
      </c>
      <c r="M2875" s="8">
        <v>60</v>
      </c>
      <c r="N2875" s="5">
        <v>759.34</v>
      </c>
      <c r="O2875" s="5">
        <v>45560.4</v>
      </c>
      <c r="P2875">
        <f t="shared" si="177"/>
        <v>1</v>
      </c>
      <c r="Q2875" s="36">
        <f t="shared" si="178"/>
        <v>45560.4</v>
      </c>
      <c r="R2875">
        <f t="shared" si="179"/>
        <v>2022</v>
      </c>
    </row>
    <row r="2876" spans="1:18" x14ac:dyDescent="0.2">
      <c r="A2876" s="13">
        <v>45204</v>
      </c>
      <c r="B2876" s="13">
        <v>45204</v>
      </c>
      <c r="C2876" s="25" t="s">
        <v>398</v>
      </c>
      <c r="D2876" s="20">
        <v>0</v>
      </c>
      <c r="E2876" s="28">
        <v>45560.4</v>
      </c>
      <c r="F2876" s="22" t="s">
        <v>265</v>
      </c>
      <c r="G2876" s="14">
        <v>60</v>
      </c>
      <c r="H2876" s="40">
        <v>44790</v>
      </c>
      <c r="I2876" s="46">
        <f t="shared" si="176"/>
        <v>414</v>
      </c>
      <c r="J2876" s="1" t="s">
        <v>15</v>
      </c>
      <c r="K2876" s="4" t="s">
        <v>199</v>
      </c>
      <c r="L2876" s="4" t="s">
        <v>225</v>
      </c>
      <c r="M2876" s="8">
        <v>60</v>
      </c>
      <c r="N2876" s="5">
        <v>759.34</v>
      </c>
      <c r="O2876" s="5">
        <v>45560.4</v>
      </c>
      <c r="P2876">
        <f t="shared" si="177"/>
        <v>1</v>
      </c>
      <c r="Q2876" s="36">
        <f t="shared" si="178"/>
        <v>45560.4</v>
      </c>
      <c r="R2876">
        <f t="shared" si="179"/>
        <v>2022</v>
      </c>
    </row>
    <row r="2877" spans="1:18" x14ac:dyDescent="0.2">
      <c r="A2877" s="13">
        <v>45204</v>
      </c>
      <c r="B2877" s="13">
        <v>45204</v>
      </c>
      <c r="C2877" s="25" t="s">
        <v>398</v>
      </c>
      <c r="D2877" s="20">
        <v>0</v>
      </c>
      <c r="E2877" s="28">
        <v>45560.4</v>
      </c>
      <c r="F2877" s="22" t="s">
        <v>265</v>
      </c>
      <c r="G2877" s="14">
        <v>60</v>
      </c>
      <c r="H2877" s="40">
        <v>44790</v>
      </c>
      <c r="I2877" s="46">
        <f t="shared" si="176"/>
        <v>414</v>
      </c>
      <c r="J2877" s="1" t="s">
        <v>15</v>
      </c>
      <c r="K2877" s="4" t="s">
        <v>199</v>
      </c>
      <c r="L2877" s="4" t="s">
        <v>225</v>
      </c>
      <c r="M2877" s="8">
        <v>60</v>
      </c>
      <c r="N2877" s="5">
        <v>759.34</v>
      </c>
      <c r="O2877" s="5">
        <v>45560.4</v>
      </c>
      <c r="P2877">
        <f t="shared" si="177"/>
        <v>1</v>
      </c>
      <c r="Q2877" s="36">
        <f t="shared" si="178"/>
        <v>45560.4</v>
      </c>
      <c r="R2877">
        <f t="shared" si="179"/>
        <v>2022</v>
      </c>
    </row>
    <row r="2878" spans="1:18" x14ac:dyDescent="0.2">
      <c r="A2878" s="13">
        <v>45204</v>
      </c>
      <c r="B2878" s="13">
        <v>45204</v>
      </c>
      <c r="C2878" s="25" t="s">
        <v>398</v>
      </c>
      <c r="D2878" s="20">
        <v>0</v>
      </c>
      <c r="E2878" s="28">
        <v>45560.4</v>
      </c>
      <c r="F2878" s="22" t="s">
        <v>265</v>
      </c>
      <c r="G2878" s="14">
        <v>60</v>
      </c>
      <c r="H2878" s="40">
        <v>44790</v>
      </c>
      <c r="I2878" s="46">
        <f t="shared" si="176"/>
        <v>414</v>
      </c>
      <c r="J2878" s="1" t="s">
        <v>15</v>
      </c>
      <c r="K2878" s="4" t="s">
        <v>199</v>
      </c>
      <c r="L2878" s="4" t="s">
        <v>225</v>
      </c>
      <c r="M2878" s="8">
        <v>60</v>
      </c>
      <c r="N2878" s="5">
        <v>759.34</v>
      </c>
      <c r="O2878" s="5">
        <v>45560.4</v>
      </c>
      <c r="P2878">
        <f t="shared" si="177"/>
        <v>1</v>
      </c>
      <c r="Q2878" s="36">
        <f t="shared" si="178"/>
        <v>45560.4</v>
      </c>
      <c r="R2878">
        <f t="shared" si="179"/>
        <v>2022</v>
      </c>
    </row>
    <row r="2879" spans="1:18" x14ac:dyDescent="0.2">
      <c r="A2879" s="13">
        <v>45204</v>
      </c>
      <c r="B2879" s="13">
        <v>45204</v>
      </c>
      <c r="C2879" s="25" t="s">
        <v>398</v>
      </c>
      <c r="D2879" s="20">
        <v>0</v>
      </c>
      <c r="E2879" s="28">
        <v>45560.4</v>
      </c>
      <c r="F2879" s="22" t="s">
        <v>265</v>
      </c>
      <c r="G2879" s="14">
        <v>60</v>
      </c>
      <c r="H2879" s="40">
        <v>44790</v>
      </c>
      <c r="I2879" s="46">
        <f t="shared" si="176"/>
        <v>414</v>
      </c>
      <c r="J2879" s="1" t="s">
        <v>15</v>
      </c>
      <c r="K2879" s="4" t="s">
        <v>199</v>
      </c>
      <c r="L2879" s="4" t="s">
        <v>225</v>
      </c>
      <c r="M2879" s="8">
        <v>60</v>
      </c>
      <c r="N2879" s="5">
        <v>759.34</v>
      </c>
      <c r="O2879" s="5">
        <v>45560.4</v>
      </c>
      <c r="P2879">
        <f t="shared" si="177"/>
        <v>1</v>
      </c>
      <c r="Q2879" s="36">
        <f t="shared" si="178"/>
        <v>45560.4</v>
      </c>
      <c r="R2879">
        <f t="shared" si="179"/>
        <v>2022</v>
      </c>
    </row>
    <row r="2880" spans="1:18" x14ac:dyDescent="0.2">
      <c r="A2880" s="13">
        <v>45204</v>
      </c>
      <c r="B2880" s="13">
        <v>45204</v>
      </c>
      <c r="C2880" s="25" t="s">
        <v>398</v>
      </c>
      <c r="D2880" s="20">
        <v>0</v>
      </c>
      <c r="E2880" s="28">
        <v>45560.4</v>
      </c>
      <c r="F2880" s="22" t="s">
        <v>265</v>
      </c>
      <c r="G2880" s="14">
        <v>60</v>
      </c>
      <c r="H2880" s="40">
        <v>44790</v>
      </c>
      <c r="I2880" s="46">
        <f t="shared" si="176"/>
        <v>414</v>
      </c>
      <c r="J2880" s="1" t="s">
        <v>15</v>
      </c>
      <c r="K2880" s="4" t="s">
        <v>199</v>
      </c>
      <c r="L2880" s="4" t="s">
        <v>225</v>
      </c>
      <c r="M2880" s="8">
        <v>60</v>
      </c>
      <c r="N2880" s="5">
        <v>759.34</v>
      </c>
      <c r="O2880" s="5">
        <v>45560.4</v>
      </c>
      <c r="P2880">
        <f t="shared" si="177"/>
        <v>1</v>
      </c>
      <c r="Q2880" s="36">
        <f t="shared" si="178"/>
        <v>45560.4</v>
      </c>
      <c r="R2880">
        <f t="shared" si="179"/>
        <v>2022</v>
      </c>
    </row>
    <row r="2881" spans="1:18" x14ac:dyDescent="0.2">
      <c r="A2881" s="13">
        <v>45236</v>
      </c>
      <c r="B2881" s="13">
        <v>45236</v>
      </c>
      <c r="C2881" s="25" t="s">
        <v>398</v>
      </c>
      <c r="D2881" s="20">
        <v>0</v>
      </c>
      <c r="E2881" s="28">
        <v>22780.2</v>
      </c>
      <c r="F2881" s="22" t="s">
        <v>265</v>
      </c>
      <c r="G2881" s="14">
        <v>30</v>
      </c>
      <c r="H2881" s="40">
        <v>44826</v>
      </c>
      <c r="I2881" s="46">
        <f t="shared" si="176"/>
        <v>410</v>
      </c>
      <c r="J2881" s="1" t="s">
        <v>15</v>
      </c>
      <c r="K2881" s="4" t="s">
        <v>199</v>
      </c>
      <c r="L2881" s="4" t="s">
        <v>225</v>
      </c>
      <c r="M2881" s="8">
        <v>30</v>
      </c>
      <c r="N2881" s="5">
        <v>759.34</v>
      </c>
      <c r="O2881" s="5">
        <v>22780.2</v>
      </c>
      <c r="P2881">
        <f t="shared" si="177"/>
        <v>1</v>
      </c>
      <c r="Q2881" s="36">
        <f t="shared" si="178"/>
        <v>22780.2</v>
      </c>
      <c r="R2881">
        <f t="shared" si="179"/>
        <v>2022</v>
      </c>
    </row>
    <row r="2882" spans="1:18" x14ac:dyDescent="0.2">
      <c r="A2882" s="13">
        <v>45236</v>
      </c>
      <c r="B2882" s="13">
        <v>45236</v>
      </c>
      <c r="C2882" s="25" t="s">
        <v>398</v>
      </c>
      <c r="D2882" s="20">
        <v>0</v>
      </c>
      <c r="E2882" s="28">
        <v>45560.4</v>
      </c>
      <c r="F2882" s="22" t="s">
        <v>265</v>
      </c>
      <c r="G2882" s="14">
        <v>60</v>
      </c>
      <c r="H2882" s="40">
        <v>44827</v>
      </c>
      <c r="I2882" s="46">
        <f t="shared" si="176"/>
        <v>409</v>
      </c>
      <c r="J2882" s="1" t="s">
        <v>15</v>
      </c>
      <c r="K2882" s="4" t="s">
        <v>199</v>
      </c>
      <c r="L2882" s="4" t="s">
        <v>225</v>
      </c>
      <c r="M2882" s="8">
        <v>60</v>
      </c>
      <c r="N2882" s="5">
        <v>759.34</v>
      </c>
      <c r="O2882" s="5">
        <v>45560.4</v>
      </c>
      <c r="P2882">
        <f t="shared" si="177"/>
        <v>1</v>
      </c>
      <c r="Q2882" s="36">
        <f t="shared" si="178"/>
        <v>45560.4</v>
      </c>
      <c r="R2882">
        <f t="shared" si="179"/>
        <v>2022</v>
      </c>
    </row>
    <row r="2883" spans="1:18" x14ac:dyDescent="0.2">
      <c r="A2883" s="13">
        <v>45236</v>
      </c>
      <c r="B2883" s="13">
        <v>45236</v>
      </c>
      <c r="C2883" s="25" t="s">
        <v>398</v>
      </c>
      <c r="D2883" s="20">
        <v>0</v>
      </c>
      <c r="E2883" s="28">
        <v>45560.4</v>
      </c>
      <c r="F2883" s="22" t="s">
        <v>265</v>
      </c>
      <c r="G2883" s="14">
        <v>60</v>
      </c>
      <c r="H2883" s="40">
        <v>44827</v>
      </c>
      <c r="I2883" s="46">
        <f t="shared" ref="I2883:I2946" si="180">IFERROR(A2883-H2883,"")*1</f>
        <v>409</v>
      </c>
      <c r="J2883" s="1" t="s">
        <v>15</v>
      </c>
      <c r="K2883" s="4" t="s">
        <v>199</v>
      </c>
      <c r="L2883" s="4" t="s">
        <v>225</v>
      </c>
      <c r="M2883" s="8">
        <v>60</v>
      </c>
      <c r="N2883" s="5">
        <v>759.34</v>
      </c>
      <c r="O2883" s="5">
        <v>45560.4</v>
      </c>
      <c r="P2883">
        <f t="shared" ref="P2883:P2946" si="181">IF(M2883=G2883,1,0)</f>
        <v>1</v>
      </c>
      <c r="Q2883" s="36">
        <f t="shared" ref="Q2883:Q2946" si="182">N2883*G2883</f>
        <v>45560.4</v>
      </c>
      <c r="R2883">
        <f t="shared" ref="R2883:R2946" si="183">YEAR(H2883)</f>
        <v>2022</v>
      </c>
    </row>
    <row r="2884" spans="1:18" x14ac:dyDescent="0.2">
      <c r="A2884" s="13">
        <v>45236</v>
      </c>
      <c r="B2884" s="13">
        <v>45236</v>
      </c>
      <c r="C2884" s="25" t="s">
        <v>398</v>
      </c>
      <c r="D2884" s="20">
        <v>0</v>
      </c>
      <c r="E2884" s="28">
        <v>45560.4</v>
      </c>
      <c r="F2884" s="22" t="s">
        <v>265</v>
      </c>
      <c r="G2884" s="14">
        <v>60</v>
      </c>
      <c r="H2884" s="40">
        <v>44827</v>
      </c>
      <c r="I2884" s="46">
        <f t="shared" si="180"/>
        <v>409</v>
      </c>
      <c r="J2884" s="1" t="s">
        <v>15</v>
      </c>
      <c r="K2884" s="4" t="s">
        <v>199</v>
      </c>
      <c r="L2884" s="4" t="s">
        <v>225</v>
      </c>
      <c r="M2884" s="8">
        <v>60</v>
      </c>
      <c r="N2884" s="5">
        <v>759.34</v>
      </c>
      <c r="O2884" s="5">
        <v>45560.4</v>
      </c>
      <c r="P2884">
        <f t="shared" si="181"/>
        <v>1</v>
      </c>
      <c r="Q2884" s="36">
        <f t="shared" si="182"/>
        <v>45560.4</v>
      </c>
      <c r="R2884">
        <f t="shared" si="183"/>
        <v>2022</v>
      </c>
    </row>
    <row r="2885" spans="1:18" x14ac:dyDescent="0.2">
      <c r="A2885" s="13">
        <v>45243</v>
      </c>
      <c r="B2885" s="13">
        <v>45243</v>
      </c>
      <c r="C2885" s="25" t="s">
        <v>398</v>
      </c>
      <c r="D2885" s="20">
        <v>0</v>
      </c>
      <c r="E2885" s="28">
        <v>45560.4</v>
      </c>
      <c r="F2885" s="22" t="s">
        <v>265</v>
      </c>
      <c r="G2885" s="14">
        <v>60</v>
      </c>
      <c r="H2885" s="40">
        <v>44832</v>
      </c>
      <c r="I2885" s="46">
        <f t="shared" si="180"/>
        <v>411</v>
      </c>
      <c r="J2885" s="1" t="s">
        <v>15</v>
      </c>
      <c r="K2885" s="4" t="s">
        <v>199</v>
      </c>
      <c r="L2885" s="4" t="s">
        <v>225</v>
      </c>
      <c r="M2885" s="8">
        <v>60</v>
      </c>
      <c r="N2885" s="5">
        <v>759.34</v>
      </c>
      <c r="O2885" s="5">
        <v>45560.4</v>
      </c>
      <c r="P2885">
        <f t="shared" si="181"/>
        <v>1</v>
      </c>
      <c r="Q2885" s="36">
        <f t="shared" si="182"/>
        <v>45560.4</v>
      </c>
      <c r="R2885">
        <f t="shared" si="183"/>
        <v>2022</v>
      </c>
    </row>
    <row r="2886" spans="1:18" x14ac:dyDescent="0.2">
      <c r="A2886" s="13">
        <v>45243</v>
      </c>
      <c r="B2886" s="13">
        <v>45243</v>
      </c>
      <c r="C2886" s="25" t="s">
        <v>398</v>
      </c>
      <c r="D2886" s="20">
        <v>0</v>
      </c>
      <c r="E2886" s="28">
        <v>45560.4</v>
      </c>
      <c r="F2886" s="22" t="s">
        <v>265</v>
      </c>
      <c r="G2886" s="14">
        <v>60</v>
      </c>
      <c r="H2886" s="40">
        <v>44832</v>
      </c>
      <c r="I2886" s="46">
        <f t="shared" si="180"/>
        <v>411</v>
      </c>
      <c r="J2886" s="1" t="s">
        <v>15</v>
      </c>
      <c r="K2886" s="4" t="s">
        <v>199</v>
      </c>
      <c r="L2886" s="4" t="s">
        <v>225</v>
      </c>
      <c r="M2886" s="8">
        <v>60</v>
      </c>
      <c r="N2886" s="5">
        <v>759.34</v>
      </c>
      <c r="O2886" s="5">
        <v>45560.4</v>
      </c>
      <c r="P2886">
        <f t="shared" si="181"/>
        <v>1</v>
      </c>
      <c r="Q2886" s="36">
        <f t="shared" si="182"/>
        <v>45560.4</v>
      </c>
      <c r="R2886">
        <f t="shared" si="183"/>
        <v>2022</v>
      </c>
    </row>
    <row r="2887" spans="1:18" x14ac:dyDescent="0.2">
      <c r="A2887" s="13">
        <v>45243</v>
      </c>
      <c r="B2887" s="13">
        <v>45243</v>
      </c>
      <c r="C2887" s="25" t="s">
        <v>398</v>
      </c>
      <c r="D2887" s="20">
        <v>0</v>
      </c>
      <c r="E2887" s="28">
        <v>45560.4</v>
      </c>
      <c r="F2887" s="22" t="s">
        <v>265</v>
      </c>
      <c r="G2887" s="14">
        <v>60</v>
      </c>
      <c r="H2887" s="40">
        <v>44832</v>
      </c>
      <c r="I2887" s="46">
        <f t="shared" si="180"/>
        <v>411</v>
      </c>
      <c r="J2887" s="1" t="s">
        <v>15</v>
      </c>
      <c r="K2887" s="4" t="s">
        <v>199</v>
      </c>
      <c r="L2887" s="4" t="s">
        <v>225</v>
      </c>
      <c r="M2887" s="8">
        <v>60</v>
      </c>
      <c r="N2887" s="5">
        <v>759.34</v>
      </c>
      <c r="O2887" s="5">
        <v>45560.4</v>
      </c>
      <c r="P2887">
        <f t="shared" si="181"/>
        <v>1</v>
      </c>
      <c r="Q2887" s="36">
        <f t="shared" si="182"/>
        <v>45560.4</v>
      </c>
      <c r="R2887">
        <f t="shared" si="183"/>
        <v>2022</v>
      </c>
    </row>
    <row r="2888" spans="1:18" x14ac:dyDescent="0.2">
      <c r="A2888" s="13">
        <v>45243</v>
      </c>
      <c r="B2888" s="13">
        <v>45243</v>
      </c>
      <c r="C2888" s="25" t="s">
        <v>398</v>
      </c>
      <c r="D2888" s="20">
        <v>0</v>
      </c>
      <c r="E2888" s="28">
        <v>45560.4</v>
      </c>
      <c r="F2888" s="22" t="s">
        <v>265</v>
      </c>
      <c r="G2888" s="14">
        <v>60</v>
      </c>
      <c r="H2888" s="40">
        <v>44832</v>
      </c>
      <c r="I2888" s="46">
        <f t="shared" si="180"/>
        <v>411</v>
      </c>
      <c r="J2888" s="1" t="s">
        <v>15</v>
      </c>
      <c r="K2888" s="4" t="s">
        <v>199</v>
      </c>
      <c r="L2888" s="4" t="s">
        <v>225</v>
      </c>
      <c r="M2888" s="8">
        <v>60</v>
      </c>
      <c r="N2888" s="5">
        <v>759.34</v>
      </c>
      <c r="O2888" s="5">
        <v>45560.4</v>
      </c>
      <c r="P2888">
        <f t="shared" si="181"/>
        <v>1</v>
      </c>
      <c r="Q2888" s="36">
        <f t="shared" si="182"/>
        <v>45560.4</v>
      </c>
      <c r="R2888">
        <f t="shared" si="183"/>
        <v>2022</v>
      </c>
    </row>
    <row r="2889" spans="1:18" x14ac:dyDescent="0.2">
      <c r="A2889" s="13">
        <v>45250</v>
      </c>
      <c r="B2889" s="13">
        <v>45250</v>
      </c>
      <c r="C2889" s="25" t="s">
        <v>398</v>
      </c>
      <c r="D2889" s="20">
        <v>0</v>
      </c>
      <c r="E2889" s="28">
        <v>45560.4</v>
      </c>
      <c r="F2889" s="22" t="s">
        <v>265</v>
      </c>
      <c r="G2889" s="14">
        <v>60</v>
      </c>
      <c r="H2889" s="40">
        <v>44847</v>
      </c>
      <c r="I2889" s="46">
        <f t="shared" si="180"/>
        <v>403</v>
      </c>
      <c r="J2889" s="1" t="s">
        <v>15</v>
      </c>
      <c r="K2889" s="4" t="s">
        <v>199</v>
      </c>
      <c r="L2889" s="4" t="s">
        <v>225</v>
      </c>
      <c r="M2889" s="8">
        <v>60</v>
      </c>
      <c r="N2889" s="5">
        <v>759.34</v>
      </c>
      <c r="O2889" s="5">
        <v>45560.4</v>
      </c>
      <c r="P2889">
        <f t="shared" si="181"/>
        <v>1</v>
      </c>
      <c r="Q2889" s="36">
        <f t="shared" si="182"/>
        <v>45560.4</v>
      </c>
      <c r="R2889">
        <f t="shared" si="183"/>
        <v>2022</v>
      </c>
    </row>
    <row r="2890" spans="1:18" x14ac:dyDescent="0.2">
      <c r="A2890" s="13">
        <v>45250</v>
      </c>
      <c r="B2890" s="13">
        <v>45250</v>
      </c>
      <c r="C2890" s="25" t="s">
        <v>398</v>
      </c>
      <c r="D2890" s="20">
        <v>0</v>
      </c>
      <c r="E2890" s="28">
        <v>45560.4</v>
      </c>
      <c r="F2890" s="22" t="s">
        <v>265</v>
      </c>
      <c r="G2890" s="14">
        <v>60</v>
      </c>
      <c r="H2890" s="40">
        <v>44847</v>
      </c>
      <c r="I2890" s="46">
        <f t="shared" si="180"/>
        <v>403</v>
      </c>
      <c r="J2890" s="1" t="s">
        <v>15</v>
      </c>
      <c r="K2890" s="4" t="s">
        <v>199</v>
      </c>
      <c r="L2890" s="4" t="s">
        <v>225</v>
      </c>
      <c r="M2890" s="8">
        <v>60</v>
      </c>
      <c r="N2890" s="5">
        <v>759.34</v>
      </c>
      <c r="O2890" s="5">
        <v>45560.4</v>
      </c>
      <c r="P2890">
        <f t="shared" si="181"/>
        <v>1</v>
      </c>
      <c r="Q2890" s="36">
        <f t="shared" si="182"/>
        <v>45560.4</v>
      </c>
      <c r="R2890">
        <f t="shared" si="183"/>
        <v>2022</v>
      </c>
    </row>
    <row r="2891" spans="1:18" x14ac:dyDescent="0.2">
      <c r="A2891" s="13">
        <v>45250</v>
      </c>
      <c r="B2891" s="13">
        <v>45250</v>
      </c>
      <c r="C2891" s="25" t="s">
        <v>398</v>
      </c>
      <c r="D2891" s="20">
        <v>0</v>
      </c>
      <c r="E2891" s="28">
        <v>45560.4</v>
      </c>
      <c r="F2891" s="22" t="s">
        <v>265</v>
      </c>
      <c r="G2891" s="14">
        <v>60</v>
      </c>
      <c r="H2891" s="40">
        <v>44847</v>
      </c>
      <c r="I2891" s="46">
        <f t="shared" si="180"/>
        <v>403</v>
      </c>
      <c r="J2891" s="1" t="s">
        <v>15</v>
      </c>
      <c r="K2891" s="4" t="s">
        <v>199</v>
      </c>
      <c r="L2891" s="4" t="s">
        <v>225</v>
      </c>
      <c r="M2891" s="8">
        <v>60</v>
      </c>
      <c r="N2891" s="5">
        <v>759.34</v>
      </c>
      <c r="O2891" s="5">
        <v>45560.4</v>
      </c>
      <c r="P2891">
        <f t="shared" si="181"/>
        <v>1</v>
      </c>
      <c r="Q2891" s="36">
        <f t="shared" si="182"/>
        <v>45560.4</v>
      </c>
      <c r="R2891">
        <f t="shared" si="183"/>
        <v>2022</v>
      </c>
    </row>
    <row r="2892" spans="1:18" x14ac:dyDescent="0.2">
      <c r="A2892" s="13">
        <v>45257</v>
      </c>
      <c r="B2892" s="13">
        <v>45257</v>
      </c>
      <c r="C2892" s="25" t="s">
        <v>398</v>
      </c>
      <c r="D2892" s="20">
        <v>0</v>
      </c>
      <c r="E2892" s="28">
        <v>45560.4</v>
      </c>
      <c r="F2892" s="22" t="s">
        <v>265</v>
      </c>
      <c r="G2892" s="14">
        <v>60</v>
      </c>
      <c r="H2892" s="40">
        <v>44847</v>
      </c>
      <c r="I2892" s="46">
        <f t="shared" si="180"/>
        <v>410</v>
      </c>
      <c r="J2892" s="1" t="s">
        <v>15</v>
      </c>
      <c r="K2892" s="4" t="s">
        <v>199</v>
      </c>
      <c r="L2892" s="4" t="s">
        <v>225</v>
      </c>
      <c r="M2892" s="8">
        <v>60</v>
      </c>
      <c r="N2892" s="5">
        <v>759.34</v>
      </c>
      <c r="O2892" s="5">
        <v>45560.4</v>
      </c>
      <c r="P2892">
        <f t="shared" si="181"/>
        <v>1</v>
      </c>
      <c r="Q2892" s="36">
        <f t="shared" si="182"/>
        <v>45560.4</v>
      </c>
      <c r="R2892">
        <f t="shared" si="183"/>
        <v>2022</v>
      </c>
    </row>
    <row r="2893" spans="1:18" x14ac:dyDescent="0.2">
      <c r="A2893" s="13">
        <v>45257</v>
      </c>
      <c r="B2893" s="13">
        <v>45257</v>
      </c>
      <c r="C2893" s="25" t="s">
        <v>398</v>
      </c>
      <c r="D2893" s="20">
        <v>0</v>
      </c>
      <c r="E2893" s="28">
        <v>45560.4</v>
      </c>
      <c r="F2893" s="22" t="s">
        <v>265</v>
      </c>
      <c r="G2893" s="14">
        <v>60</v>
      </c>
      <c r="H2893" s="40">
        <v>44847</v>
      </c>
      <c r="I2893" s="46">
        <f t="shared" si="180"/>
        <v>410</v>
      </c>
      <c r="J2893" s="1" t="s">
        <v>15</v>
      </c>
      <c r="K2893" s="4" t="s">
        <v>199</v>
      </c>
      <c r="L2893" s="4" t="s">
        <v>225</v>
      </c>
      <c r="M2893" s="8">
        <v>60</v>
      </c>
      <c r="N2893" s="5">
        <v>759.34</v>
      </c>
      <c r="O2893" s="5">
        <v>45560.4</v>
      </c>
      <c r="P2893">
        <f t="shared" si="181"/>
        <v>1</v>
      </c>
      <c r="Q2893" s="36">
        <f t="shared" si="182"/>
        <v>45560.4</v>
      </c>
      <c r="R2893">
        <f t="shared" si="183"/>
        <v>2022</v>
      </c>
    </row>
    <row r="2894" spans="1:18" x14ac:dyDescent="0.2">
      <c r="A2894" s="13">
        <v>45257</v>
      </c>
      <c r="B2894" s="13">
        <v>45257</v>
      </c>
      <c r="C2894" s="25" t="s">
        <v>398</v>
      </c>
      <c r="D2894" s="20">
        <v>0</v>
      </c>
      <c r="E2894" s="28">
        <v>45560.4</v>
      </c>
      <c r="F2894" s="22" t="s">
        <v>265</v>
      </c>
      <c r="G2894" s="14">
        <v>60</v>
      </c>
      <c r="H2894" s="40">
        <v>44847</v>
      </c>
      <c r="I2894" s="46">
        <f t="shared" si="180"/>
        <v>410</v>
      </c>
      <c r="J2894" s="1" t="s">
        <v>15</v>
      </c>
      <c r="K2894" s="4" t="s">
        <v>199</v>
      </c>
      <c r="L2894" s="4" t="s">
        <v>225</v>
      </c>
      <c r="M2894" s="8">
        <v>60</v>
      </c>
      <c r="N2894" s="5">
        <v>759.34</v>
      </c>
      <c r="O2894" s="5">
        <v>45560.4</v>
      </c>
      <c r="P2894">
        <f t="shared" si="181"/>
        <v>1</v>
      </c>
      <c r="Q2894" s="36">
        <f t="shared" si="182"/>
        <v>45560.4</v>
      </c>
      <c r="R2894">
        <f t="shared" si="183"/>
        <v>2022</v>
      </c>
    </row>
    <row r="2895" spans="1:18" x14ac:dyDescent="0.2">
      <c r="A2895" s="13">
        <v>45257</v>
      </c>
      <c r="B2895" s="13">
        <v>45257</v>
      </c>
      <c r="C2895" s="25" t="s">
        <v>398</v>
      </c>
      <c r="D2895" s="20">
        <v>0</v>
      </c>
      <c r="E2895" s="28">
        <v>45560.4</v>
      </c>
      <c r="F2895" s="22" t="s">
        <v>265</v>
      </c>
      <c r="G2895" s="14">
        <v>60</v>
      </c>
      <c r="H2895" s="40">
        <v>44847</v>
      </c>
      <c r="I2895" s="46">
        <f t="shared" si="180"/>
        <v>410</v>
      </c>
      <c r="J2895" s="1" t="s">
        <v>15</v>
      </c>
      <c r="K2895" s="4" t="s">
        <v>199</v>
      </c>
      <c r="L2895" s="4" t="s">
        <v>225</v>
      </c>
      <c r="M2895" s="8">
        <v>60</v>
      </c>
      <c r="N2895" s="5">
        <v>759.34</v>
      </c>
      <c r="O2895" s="5">
        <v>45560.4</v>
      </c>
      <c r="P2895">
        <f t="shared" si="181"/>
        <v>1</v>
      </c>
      <c r="Q2895" s="36">
        <f t="shared" si="182"/>
        <v>45560.4</v>
      </c>
      <c r="R2895">
        <f t="shared" si="183"/>
        <v>2022</v>
      </c>
    </row>
    <row r="2896" spans="1:18" x14ac:dyDescent="0.2">
      <c r="A2896" s="13">
        <v>45257</v>
      </c>
      <c r="B2896" s="13">
        <v>45257</v>
      </c>
      <c r="C2896" s="25" t="s">
        <v>398</v>
      </c>
      <c r="D2896" s="20">
        <v>0</v>
      </c>
      <c r="E2896" s="28">
        <v>45560.4</v>
      </c>
      <c r="F2896" s="22" t="s">
        <v>265</v>
      </c>
      <c r="G2896" s="14">
        <v>60</v>
      </c>
      <c r="H2896" s="40">
        <v>44847</v>
      </c>
      <c r="I2896" s="46">
        <f t="shared" si="180"/>
        <v>410</v>
      </c>
      <c r="J2896" s="1" t="s">
        <v>15</v>
      </c>
      <c r="K2896" s="4" t="s">
        <v>199</v>
      </c>
      <c r="L2896" s="4" t="s">
        <v>225</v>
      </c>
      <c r="M2896" s="8">
        <v>60</v>
      </c>
      <c r="N2896" s="5">
        <v>759.34</v>
      </c>
      <c r="O2896" s="5">
        <v>45560.4</v>
      </c>
      <c r="P2896">
        <f t="shared" si="181"/>
        <v>1</v>
      </c>
      <c r="Q2896" s="36">
        <f t="shared" si="182"/>
        <v>45560.4</v>
      </c>
      <c r="R2896">
        <f t="shared" si="183"/>
        <v>2022</v>
      </c>
    </row>
    <row r="2897" spans="1:18" x14ac:dyDescent="0.2">
      <c r="A2897" s="13">
        <v>45341</v>
      </c>
      <c r="B2897" s="13">
        <v>45341</v>
      </c>
      <c r="C2897" s="25" t="s">
        <v>398</v>
      </c>
      <c r="D2897" s="20">
        <v>0</v>
      </c>
      <c r="E2897" s="28">
        <v>45560.4</v>
      </c>
      <c r="F2897" s="22" t="s">
        <v>265</v>
      </c>
      <c r="G2897" s="14">
        <v>60</v>
      </c>
      <c r="H2897" s="40">
        <v>44960</v>
      </c>
      <c r="I2897" s="46">
        <f t="shared" si="180"/>
        <v>381</v>
      </c>
      <c r="J2897" s="1" t="s">
        <v>15</v>
      </c>
      <c r="K2897" s="4" t="s">
        <v>200</v>
      </c>
      <c r="L2897" s="4" t="s">
        <v>225</v>
      </c>
      <c r="M2897" s="8">
        <v>60</v>
      </c>
      <c r="N2897" s="5">
        <v>759.34</v>
      </c>
      <c r="O2897" s="5">
        <v>45560.4</v>
      </c>
      <c r="P2897">
        <f t="shared" si="181"/>
        <v>1</v>
      </c>
      <c r="Q2897" s="36">
        <f t="shared" si="182"/>
        <v>45560.4</v>
      </c>
      <c r="R2897">
        <f t="shared" si="183"/>
        <v>2023</v>
      </c>
    </row>
    <row r="2898" spans="1:18" x14ac:dyDescent="0.2">
      <c r="A2898" s="13">
        <v>45341</v>
      </c>
      <c r="B2898" s="13">
        <v>45341</v>
      </c>
      <c r="C2898" s="25" t="s">
        <v>398</v>
      </c>
      <c r="D2898" s="20">
        <v>0</v>
      </c>
      <c r="E2898" s="28">
        <v>45560.4</v>
      </c>
      <c r="F2898" s="22" t="s">
        <v>265</v>
      </c>
      <c r="G2898" s="14">
        <v>60</v>
      </c>
      <c r="H2898" s="40">
        <v>44960</v>
      </c>
      <c r="I2898" s="46">
        <f t="shared" si="180"/>
        <v>381</v>
      </c>
      <c r="J2898" s="1" t="s">
        <v>15</v>
      </c>
      <c r="K2898" s="4" t="s">
        <v>200</v>
      </c>
      <c r="L2898" s="4" t="s">
        <v>225</v>
      </c>
      <c r="M2898" s="8">
        <v>60</v>
      </c>
      <c r="N2898" s="5">
        <v>759.34</v>
      </c>
      <c r="O2898" s="5">
        <v>45560.4</v>
      </c>
      <c r="P2898">
        <f t="shared" si="181"/>
        <v>1</v>
      </c>
      <c r="Q2898" s="36">
        <f t="shared" si="182"/>
        <v>45560.4</v>
      </c>
      <c r="R2898">
        <f t="shared" si="183"/>
        <v>2023</v>
      </c>
    </row>
    <row r="2899" spans="1:18" x14ac:dyDescent="0.2">
      <c r="A2899" s="13">
        <v>45400</v>
      </c>
      <c r="B2899" s="13">
        <v>45400</v>
      </c>
      <c r="C2899" s="25" t="s">
        <v>398</v>
      </c>
      <c r="D2899" s="20">
        <v>0</v>
      </c>
      <c r="E2899" s="28">
        <v>45560.4</v>
      </c>
      <c r="F2899" s="22" t="s">
        <v>265</v>
      </c>
      <c r="G2899" s="14">
        <v>60</v>
      </c>
      <c r="H2899" s="40">
        <v>45016</v>
      </c>
      <c r="I2899" s="46">
        <f t="shared" si="180"/>
        <v>384</v>
      </c>
      <c r="J2899" s="1" t="s">
        <v>15</v>
      </c>
      <c r="K2899" s="4" t="s">
        <v>200</v>
      </c>
      <c r="L2899" s="4" t="s">
        <v>225</v>
      </c>
      <c r="M2899" s="8">
        <v>60</v>
      </c>
      <c r="N2899" s="5">
        <v>759.34</v>
      </c>
      <c r="O2899" s="5">
        <v>45560.4</v>
      </c>
      <c r="P2899">
        <f t="shared" si="181"/>
        <v>1</v>
      </c>
      <c r="Q2899" s="36">
        <f t="shared" si="182"/>
        <v>45560.4</v>
      </c>
      <c r="R2899">
        <f t="shared" si="183"/>
        <v>2023</v>
      </c>
    </row>
    <row r="2900" spans="1:18" x14ac:dyDescent="0.2">
      <c r="A2900" s="13">
        <v>45400</v>
      </c>
      <c r="B2900" s="13">
        <v>45400</v>
      </c>
      <c r="C2900" s="25" t="s">
        <v>398</v>
      </c>
      <c r="D2900" s="20">
        <v>0</v>
      </c>
      <c r="E2900" s="28">
        <v>45560.4</v>
      </c>
      <c r="F2900" s="22" t="s">
        <v>265</v>
      </c>
      <c r="G2900" s="14">
        <v>60</v>
      </c>
      <c r="H2900" s="40">
        <v>45016</v>
      </c>
      <c r="I2900" s="46">
        <f t="shared" si="180"/>
        <v>384</v>
      </c>
      <c r="J2900" s="1" t="s">
        <v>15</v>
      </c>
      <c r="K2900" s="4" t="s">
        <v>200</v>
      </c>
      <c r="L2900" s="4" t="s">
        <v>225</v>
      </c>
      <c r="M2900" s="8">
        <v>60</v>
      </c>
      <c r="N2900" s="5">
        <v>759.34</v>
      </c>
      <c r="O2900" s="5">
        <v>45560.4</v>
      </c>
      <c r="P2900">
        <f t="shared" si="181"/>
        <v>1</v>
      </c>
      <c r="Q2900" s="36">
        <f t="shared" si="182"/>
        <v>45560.4</v>
      </c>
      <c r="R2900">
        <f t="shared" si="183"/>
        <v>2023</v>
      </c>
    </row>
    <row r="2901" spans="1:18" x14ac:dyDescent="0.2">
      <c r="A2901" s="13">
        <v>45400</v>
      </c>
      <c r="B2901" s="13">
        <v>45400</v>
      </c>
      <c r="C2901" s="25" t="s">
        <v>398</v>
      </c>
      <c r="D2901" s="20">
        <v>0</v>
      </c>
      <c r="E2901" s="28">
        <v>45560.4</v>
      </c>
      <c r="F2901" s="22" t="s">
        <v>265</v>
      </c>
      <c r="G2901" s="14">
        <v>60</v>
      </c>
      <c r="H2901" s="40">
        <v>45016</v>
      </c>
      <c r="I2901" s="46">
        <f t="shared" si="180"/>
        <v>384</v>
      </c>
      <c r="J2901" s="1" t="s">
        <v>15</v>
      </c>
      <c r="K2901" s="4" t="s">
        <v>200</v>
      </c>
      <c r="L2901" s="4" t="s">
        <v>225</v>
      </c>
      <c r="M2901" s="8">
        <v>60</v>
      </c>
      <c r="N2901" s="5">
        <v>759.34</v>
      </c>
      <c r="O2901" s="5">
        <v>45560.4</v>
      </c>
      <c r="P2901">
        <f t="shared" si="181"/>
        <v>1</v>
      </c>
      <c r="Q2901" s="36">
        <f t="shared" si="182"/>
        <v>45560.4</v>
      </c>
      <c r="R2901">
        <f t="shared" si="183"/>
        <v>2023</v>
      </c>
    </row>
    <row r="2902" spans="1:18" x14ac:dyDescent="0.2">
      <c r="A2902" s="13">
        <v>45400</v>
      </c>
      <c r="B2902" s="13">
        <v>45400</v>
      </c>
      <c r="C2902" s="25" t="s">
        <v>398</v>
      </c>
      <c r="D2902" s="20">
        <v>0</v>
      </c>
      <c r="E2902" s="28">
        <v>45560.4</v>
      </c>
      <c r="F2902" s="22" t="s">
        <v>265</v>
      </c>
      <c r="G2902" s="14">
        <v>60</v>
      </c>
      <c r="H2902" s="40">
        <v>45016</v>
      </c>
      <c r="I2902" s="46">
        <f t="shared" si="180"/>
        <v>384</v>
      </c>
      <c r="J2902" s="1" t="s">
        <v>15</v>
      </c>
      <c r="K2902" s="4" t="s">
        <v>200</v>
      </c>
      <c r="L2902" s="4" t="s">
        <v>225</v>
      </c>
      <c r="M2902" s="8">
        <v>60</v>
      </c>
      <c r="N2902" s="5">
        <v>759.34</v>
      </c>
      <c r="O2902" s="5">
        <v>45560.4</v>
      </c>
      <c r="P2902">
        <f t="shared" si="181"/>
        <v>1</v>
      </c>
      <c r="Q2902" s="36">
        <f t="shared" si="182"/>
        <v>45560.4</v>
      </c>
      <c r="R2902">
        <f t="shared" si="183"/>
        <v>2023</v>
      </c>
    </row>
    <row r="2903" spans="1:18" x14ac:dyDescent="0.2">
      <c r="A2903" s="13">
        <v>45400</v>
      </c>
      <c r="B2903" s="13">
        <v>45400</v>
      </c>
      <c r="C2903" s="25" t="s">
        <v>398</v>
      </c>
      <c r="D2903" s="20">
        <v>0</v>
      </c>
      <c r="E2903" s="28">
        <v>45560.4</v>
      </c>
      <c r="F2903" s="22" t="s">
        <v>265</v>
      </c>
      <c r="G2903" s="14">
        <v>60</v>
      </c>
      <c r="H2903" s="40">
        <v>45016</v>
      </c>
      <c r="I2903" s="46">
        <f t="shared" si="180"/>
        <v>384</v>
      </c>
      <c r="J2903" s="1" t="s">
        <v>15</v>
      </c>
      <c r="K2903" s="4" t="s">
        <v>200</v>
      </c>
      <c r="L2903" s="4" t="s">
        <v>225</v>
      </c>
      <c r="M2903" s="8">
        <v>60</v>
      </c>
      <c r="N2903" s="5">
        <v>759.34</v>
      </c>
      <c r="O2903" s="5">
        <v>45560.4</v>
      </c>
      <c r="P2903">
        <f t="shared" si="181"/>
        <v>1</v>
      </c>
      <c r="Q2903" s="36">
        <f t="shared" si="182"/>
        <v>45560.4</v>
      </c>
      <c r="R2903">
        <f t="shared" si="183"/>
        <v>2023</v>
      </c>
    </row>
    <row r="2904" spans="1:18" x14ac:dyDescent="0.2">
      <c r="A2904" s="13">
        <v>45411</v>
      </c>
      <c r="B2904" s="13">
        <v>45411</v>
      </c>
      <c r="C2904" s="25" t="s">
        <v>398</v>
      </c>
      <c r="D2904" s="20">
        <v>0</v>
      </c>
      <c r="E2904" s="28">
        <v>45560.4</v>
      </c>
      <c r="F2904" s="22" t="s">
        <v>265</v>
      </c>
      <c r="G2904" s="14">
        <v>60</v>
      </c>
      <c r="H2904" s="40">
        <v>45028</v>
      </c>
      <c r="I2904" s="46">
        <f t="shared" si="180"/>
        <v>383</v>
      </c>
      <c r="J2904" s="1" t="s">
        <v>15</v>
      </c>
      <c r="K2904" s="4" t="s">
        <v>200</v>
      </c>
      <c r="L2904" s="4" t="s">
        <v>225</v>
      </c>
      <c r="M2904" s="8">
        <v>60</v>
      </c>
      <c r="N2904" s="5">
        <v>759.34</v>
      </c>
      <c r="O2904" s="5">
        <v>45560.4</v>
      </c>
      <c r="P2904">
        <f t="shared" si="181"/>
        <v>1</v>
      </c>
      <c r="Q2904" s="36">
        <f t="shared" si="182"/>
        <v>45560.4</v>
      </c>
      <c r="R2904">
        <f t="shared" si="183"/>
        <v>2023</v>
      </c>
    </row>
    <row r="2905" spans="1:18" x14ac:dyDescent="0.2">
      <c r="A2905" s="13">
        <v>45411</v>
      </c>
      <c r="B2905" s="13">
        <v>45411</v>
      </c>
      <c r="C2905" s="25" t="s">
        <v>398</v>
      </c>
      <c r="D2905" s="20">
        <v>0</v>
      </c>
      <c r="E2905" s="28">
        <v>45560.4</v>
      </c>
      <c r="F2905" s="22" t="s">
        <v>265</v>
      </c>
      <c r="G2905" s="14">
        <v>60</v>
      </c>
      <c r="H2905" s="40">
        <v>45028</v>
      </c>
      <c r="I2905" s="46">
        <f t="shared" si="180"/>
        <v>383</v>
      </c>
      <c r="J2905" s="1" t="s">
        <v>15</v>
      </c>
      <c r="K2905" s="4" t="s">
        <v>200</v>
      </c>
      <c r="L2905" s="4" t="s">
        <v>225</v>
      </c>
      <c r="M2905" s="8">
        <v>60</v>
      </c>
      <c r="N2905" s="5">
        <v>759.34</v>
      </c>
      <c r="O2905" s="5">
        <v>45560.4</v>
      </c>
      <c r="P2905">
        <f t="shared" si="181"/>
        <v>1</v>
      </c>
      <c r="Q2905" s="36">
        <f t="shared" si="182"/>
        <v>45560.4</v>
      </c>
      <c r="R2905">
        <f t="shared" si="183"/>
        <v>2023</v>
      </c>
    </row>
    <row r="2906" spans="1:18" x14ac:dyDescent="0.2">
      <c r="A2906" s="13">
        <v>45411</v>
      </c>
      <c r="B2906" s="13">
        <v>45411</v>
      </c>
      <c r="C2906" s="25" t="s">
        <v>398</v>
      </c>
      <c r="D2906" s="20">
        <v>0</v>
      </c>
      <c r="E2906" s="28">
        <v>45560.4</v>
      </c>
      <c r="F2906" s="22" t="s">
        <v>265</v>
      </c>
      <c r="G2906" s="14">
        <v>60</v>
      </c>
      <c r="H2906" s="40">
        <v>45028</v>
      </c>
      <c r="I2906" s="46">
        <f t="shared" si="180"/>
        <v>383</v>
      </c>
      <c r="J2906" s="1" t="s">
        <v>15</v>
      </c>
      <c r="K2906" s="4" t="s">
        <v>200</v>
      </c>
      <c r="L2906" s="4" t="s">
        <v>225</v>
      </c>
      <c r="M2906" s="8">
        <v>60</v>
      </c>
      <c r="N2906" s="5">
        <v>759.34</v>
      </c>
      <c r="O2906" s="5">
        <v>45560.4</v>
      </c>
      <c r="P2906">
        <f t="shared" si="181"/>
        <v>1</v>
      </c>
      <c r="Q2906" s="36">
        <f t="shared" si="182"/>
        <v>45560.4</v>
      </c>
      <c r="R2906">
        <f t="shared" si="183"/>
        <v>2023</v>
      </c>
    </row>
    <row r="2907" spans="1:18" x14ac:dyDescent="0.2">
      <c r="A2907" s="13">
        <v>45411</v>
      </c>
      <c r="B2907" s="13">
        <v>45411</v>
      </c>
      <c r="C2907" s="25" t="s">
        <v>398</v>
      </c>
      <c r="D2907" s="20">
        <v>0</v>
      </c>
      <c r="E2907" s="28">
        <v>45560.4</v>
      </c>
      <c r="F2907" s="22" t="s">
        <v>265</v>
      </c>
      <c r="G2907" s="14">
        <v>60</v>
      </c>
      <c r="H2907" s="40">
        <v>45028</v>
      </c>
      <c r="I2907" s="46">
        <f t="shared" si="180"/>
        <v>383</v>
      </c>
      <c r="J2907" s="1" t="s">
        <v>15</v>
      </c>
      <c r="K2907" s="4" t="s">
        <v>200</v>
      </c>
      <c r="L2907" s="4" t="s">
        <v>225</v>
      </c>
      <c r="M2907" s="8">
        <v>60</v>
      </c>
      <c r="N2907" s="5">
        <v>759.34</v>
      </c>
      <c r="O2907" s="5">
        <v>45560.4</v>
      </c>
      <c r="P2907">
        <f t="shared" si="181"/>
        <v>1</v>
      </c>
      <c r="Q2907" s="36">
        <f t="shared" si="182"/>
        <v>45560.4</v>
      </c>
      <c r="R2907">
        <f t="shared" si="183"/>
        <v>2023</v>
      </c>
    </row>
    <row r="2908" spans="1:18" x14ac:dyDescent="0.2">
      <c r="A2908" s="13">
        <v>45411</v>
      </c>
      <c r="B2908" s="13">
        <v>45411</v>
      </c>
      <c r="C2908" s="25" t="s">
        <v>398</v>
      </c>
      <c r="D2908" s="20">
        <v>0</v>
      </c>
      <c r="E2908" s="28">
        <v>45560.4</v>
      </c>
      <c r="F2908" s="22" t="s">
        <v>265</v>
      </c>
      <c r="G2908" s="14">
        <v>60</v>
      </c>
      <c r="H2908" s="40">
        <v>45028</v>
      </c>
      <c r="I2908" s="46">
        <f t="shared" si="180"/>
        <v>383</v>
      </c>
      <c r="J2908" s="1" t="s">
        <v>15</v>
      </c>
      <c r="K2908" s="4" t="s">
        <v>200</v>
      </c>
      <c r="L2908" s="4" t="s">
        <v>225</v>
      </c>
      <c r="M2908" s="8">
        <v>60</v>
      </c>
      <c r="N2908" s="5">
        <v>759.34</v>
      </c>
      <c r="O2908" s="5">
        <v>45560.4</v>
      </c>
      <c r="P2908">
        <f t="shared" si="181"/>
        <v>1</v>
      </c>
      <c r="Q2908" s="36">
        <f t="shared" si="182"/>
        <v>45560.4</v>
      </c>
      <c r="R2908">
        <f t="shared" si="183"/>
        <v>2023</v>
      </c>
    </row>
    <row r="2909" spans="1:18" x14ac:dyDescent="0.2">
      <c r="A2909" s="13">
        <v>45414</v>
      </c>
      <c r="B2909" s="13">
        <v>45414</v>
      </c>
      <c r="C2909" s="25" t="s">
        <v>398</v>
      </c>
      <c r="D2909" s="20">
        <v>0</v>
      </c>
      <c r="E2909" s="28">
        <v>45560.4</v>
      </c>
      <c r="F2909" s="22" t="s">
        <v>265</v>
      </c>
      <c r="G2909" s="14">
        <v>60</v>
      </c>
      <c r="H2909" s="40">
        <v>45034</v>
      </c>
      <c r="I2909" s="46">
        <f t="shared" si="180"/>
        <v>380</v>
      </c>
      <c r="J2909" s="1" t="s">
        <v>15</v>
      </c>
      <c r="K2909" s="4" t="s">
        <v>200</v>
      </c>
      <c r="L2909" s="4" t="s">
        <v>225</v>
      </c>
      <c r="M2909" s="8">
        <v>60</v>
      </c>
      <c r="N2909" s="5">
        <v>759.34</v>
      </c>
      <c r="O2909" s="5">
        <v>45560.4</v>
      </c>
      <c r="P2909">
        <f t="shared" si="181"/>
        <v>1</v>
      </c>
      <c r="Q2909" s="36">
        <f t="shared" si="182"/>
        <v>45560.4</v>
      </c>
      <c r="R2909">
        <f t="shared" si="183"/>
        <v>2023</v>
      </c>
    </row>
    <row r="2910" spans="1:18" x14ac:dyDescent="0.2">
      <c r="A2910" s="13">
        <v>45414</v>
      </c>
      <c r="B2910" s="13">
        <v>45414</v>
      </c>
      <c r="C2910" s="25" t="s">
        <v>398</v>
      </c>
      <c r="D2910" s="20">
        <v>0</v>
      </c>
      <c r="E2910" s="28">
        <v>45560.4</v>
      </c>
      <c r="F2910" s="22" t="s">
        <v>265</v>
      </c>
      <c r="G2910" s="14">
        <v>60</v>
      </c>
      <c r="H2910" s="40">
        <v>45034</v>
      </c>
      <c r="I2910" s="46">
        <f t="shared" si="180"/>
        <v>380</v>
      </c>
      <c r="J2910" s="1" t="s">
        <v>15</v>
      </c>
      <c r="K2910" s="4" t="s">
        <v>200</v>
      </c>
      <c r="L2910" s="4" t="s">
        <v>225</v>
      </c>
      <c r="M2910" s="8">
        <v>60</v>
      </c>
      <c r="N2910" s="5">
        <v>759.34</v>
      </c>
      <c r="O2910" s="5">
        <v>45560.4</v>
      </c>
      <c r="P2910">
        <f t="shared" si="181"/>
        <v>1</v>
      </c>
      <c r="Q2910" s="36">
        <f t="shared" si="182"/>
        <v>45560.4</v>
      </c>
      <c r="R2910">
        <f t="shared" si="183"/>
        <v>2023</v>
      </c>
    </row>
    <row r="2911" spans="1:18" x14ac:dyDescent="0.2">
      <c r="A2911" s="13">
        <v>45414</v>
      </c>
      <c r="B2911" s="13">
        <v>45414</v>
      </c>
      <c r="C2911" s="25" t="s">
        <v>398</v>
      </c>
      <c r="D2911" s="20">
        <v>0</v>
      </c>
      <c r="E2911" s="28">
        <v>45560.4</v>
      </c>
      <c r="F2911" s="22" t="s">
        <v>265</v>
      </c>
      <c r="G2911" s="14">
        <v>60</v>
      </c>
      <c r="H2911" s="40">
        <v>45034</v>
      </c>
      <c r="I2911" s="46">
        <f t="shared" si="180"/>
        <v>380</v>
      </c>
      <c r="J2911" s="1" t="s">
        <v>15</v>
      </c>
      <c r="K2911" s="4" t="s">
        <v>200</v>
      </c>
      <c r="L2911" s="4" t="s">
        <v>225</v>
      </c>
      <c r="M2911" s="8">
        <v>60</v>
      </c>
      <c r="N2911" s="5">
        <v>759.34</v>
      </c>
      <c r="O2911" s="5">
        <v>45560.4</v>
      </c>
      <c r="P2911">
        <f t="shared" si="181"/>
        <v>1</v>
      </c>
      <c r="Q2911" s="36">
        <f t="shared" si="182"/>
        <v>45560.4</v>
      </c>
      <c r="R2911">
        <f t="shared" si="183"/>
        <v>2023</v>
      </c>
    </row>
    <row r="2912" spans="1:18" x14ac:dyDescent="0.2">
      <c r="A2912" s="13">
        <v>45414</v>
      </c>
      <c r="B2912" s="13">
        <v>45414</v>
      </c>
      <c r="C2912" s="25" t="s">
        <v>398</v>
      </c>
      <c r="D2912" s="20">
        <v>0</v>
      </c>
      <c r="E2912" s="28">
        <v>45560.4</v>
      </c>
      <c r="F2912" s="22" t="s">
        <v>265</v>
      </c>
      <c r="G2912" s="14">
        <v>60</v>
      </c>
      <c r="H2912" s="40">
        <v>45034</v>
      </c>
      <c r="I2912" s="46">
        <f t="shared" si="180"/>
        <v>380</v>
      </c>
      <c r="J2912" s="1" t="s">
        <v>15</v>
      </c>
      <c r="K2912" s="4" t="s">
        <v>200</v>
      </c>
      <c r="L2912" s="4" t="s">
        <v>225</v>
      </c>
      <c r="M2912" s="8">
        <v>60</v>
      </c>
      <c r="N2912" s="5">
        <v>759.34</v>
      </c>
      <c r="O2912" s="5">
        <v>45560.4</v>
      </c>
      <c r="P2912">
        <f t="shared" si="181"/>
        <v>1</v>
      </c>
      <c r="Q2912" s="36">
        <f t="shared" si="182"/>
        <v>45560.4</v>
      </c>
      <c r="R2912">
        <f t="shared" si="183"/>
        <v>2023</v>
      </c>
    </row>
    <row r="2913" spans="1:18" x14ac:dyDescent="0.2">
      <c r="A2913" s="13">
        <v>45421</v>
      </c>
      <c r="B2913" s="13">
        <v>45421</v>
      </c>
      <c r="C2913" s="25" t="s">
        <v>398</v>
      </c>
      <c r="D2913" s="20">
        <v>0</v>
      </c>
      <c r="E2913" s="28">
        <v>45560.4</v>
      </c>
      <c r="F2913" s="22" t="s">
        <v>265</v>
      </c>
      <c r="G2913" s="14">
        <v>60</v>
      </c>
      <c r="H2913" s="40">
        <v>45034</v>
      </c>
      <c r="I2913" s="46">
        <f t="shared" si="180"/>
        <v>387</v>
      </c>
      <c r="J2913" s="1" t="s">
        <v>15</v>
      </c>
      <c r="K2913" s="4" t="s">
        <v>200</v>
      </c>
      <c r="L2913" s="4" t="s">
        <v>225</v>
      </c>
      <c r="M2913" s="8">
        <v>60</v>
      </c>
      <c r="N2913" s="5">
        <v>759.34</v>
      </c>
      <c r="O2913" s="5">
        <v>45560.4</v>
      </c>
      <c r="P2913">
        <f t="shared" si="181"/>
        <v>1</v>
      </c>
      <c r="Q2913" s="36">
        <f t="shared" si="182"/>
        <v>45560.4</v>
      </c>
      <c r="R2913">
        <f t="shared" si="183"/>
        <v>2023</v>
      </c>
    </row>
    <row r="2914" spans="1:18" x14ac:dyDescent="0.2">
      <c r="A2914" s="13">
        <v>45421</v>
      </c>
      <c r="B2914" s="13">
        <v>45421</v>
      </c>
      <c r="C2914" s="25" t="s">
        <v>398</v>
      </c>
      <c r="D2914" s="20">
        <v>0</v>
      </c>
      <c r="E2914" s="28">
        <v>45560.4</v>
      </c>
      <c r="F2914" s="22" t="s">
        <v>265</v>
      </c>
      <c r="G2914" s="14">
        <v>60</v>
      </c>
      <c r="H2914" s="40">
        <v>45034</v>
      </c>
      <c r="I2914" s="46">
        <f t="shared" si="180"/>
        <v>387</v>
      </c>
      <c r="J2914" s="1" t="s">
        <v>15</v>
      </c>
      <c r="K2914" s="4" t="s">
        <v>200</v>
      </c>
      <c r="L2914" s="4" t="s">
        <v>225</v>
      </c>
      <c r="M2914" s="8">
        <v>60</v>
      </c>
      <c r="N2914" s="5">
        <v>759.34</v>
      </c>
      <c r="O2914" s="5">
        <v>45560.4</v>
      </c>
      <c r="P2914">
        <f t="shared" si="181"/>
        <v>1</v>
      </c>
      <c r="Q2914" s="36">
        <f t="shared" si="182"/>
        <v>45560.4</v>
      </c>
      <c r="R2914">
        <f t="shared" si="183"/>
        <v>2023</v>
      </c>
    </row>
    <row r="2915" spans="1:18" x14ac:dyDescent="0.2">
      <c r="A2915" s="13">
        <v>45421</v>
      </c>
      <c r="B2915" s="13">
        <v>45421</v>
      </c>
      <c r="C2915" s="25" t="s">
        <v>398</v>
      </c>
      <c r="D2915" s="20">
        <v>0</v>
      </c>
      <c r="E2915" s="28">
        <v>45560.4</v>
      </c>
      <c r="F2915" s="22" t="s">
        <v>265</v>
      </c>
      <c r="G2915" s="14">
        <v>60</v>
      </c>
      <c r="H2915" s="40">
        <v>45034</v>
      </c>
      <c r="I2915" s="46">
        <f t="shared" si="180"/>
        <v>387</v>
      </c>
      <c r="J2915" s="1" t="s">
        <v>15</v>
      </c>
      <c r="K2915" s="4" t="s">
        <v>200</v>
      </c>
      <c r="L2915" s="4" t="s">
        <v>225</v>
      </c>
      <c r="M2915" s="8">
        <v>60</v>
      </c>
      <c r="N2915" s="5">
        <v>759.34</v>
      </c>
      <c r="O2915" s="5">
        <v>45560.4</v>
      </c>
      <c r="P2915">
        <f t="shared" si="181"/>
        <v>1</v>
      </c>
      <c r="Q2915" s="36">
        <f t="shared" si="182"/>
        <v>45560.4</v>
      </c>
      <c r="R2915">
        <f t="shared" si="183"/>
        <v>2023</v>
      </c>
    </row>
    <row r="2916" spans="1:18" x14ac:dyDescent="0.2">
      <c r="A2916" s="13">
        <v>45421</v>
      </c>
      <c r="B2916" s="13">
        <v>45421</v>
      </c>
      <c r="C2916" s="25" t="s">
        <v>398</v>
      </c>
      <c r="D2916" s="20">
        <v>0</v>
      </c>
      <c r="E2916" s="28">
        <v>22780.2</v>
      </c>
      <c r="F2916" s="22" t="s">
        <v>265</v>
      </c>
      <c r="G2916" s="14">
        <v>30</v>
      </c>
      <c r="H2916" s="40">
        <v>45034</v>
      </c>
      <c r="I2916" s="46">
        <f t="shared" si="180"/>
        <v>387</v>
      </c>
      <c r="J2916" s="1" t="s">
        <v>15</v>
      </c>
      <c r="K2916" s="4" t="s">
        <v>200</v>
      </c>
      <c r="L2916" s="4" t="s">
        <v>225</v>
      </c>
      <c r="M2916" s="8">
        <v>30</v>
      </c>
      <c r="N2916" s="5">
        <v>759.34</v>
      </c>
      <c r="O2916" s="5">
        <v>22780.2</v>
      </c>
      <c r="P2916">
        <f t="shared" si="181"/>
        <v>1</v>
      </c>
      <c r="Q2916" s="36">
        <f t="shared" si="182"/>
        <v>22780.2</v>
      </c>
      <c r="R2916">
        <f t="shared" si="183"/>
        <v>2023</v>
      </c>
    </row>
    <row r="2917" spans="1:18" x14ac:dyDescent="0.2">
      <c r="A2917" s="13">
        <v>45421</v>
      </c>
      <c r="B2917" s="13">
        <v>45421</v>
      </c>
      <c r="C2917" s="25" t="s">
        <v>398</v>
      </c>
      <c r="D2917" s="20">
        <v>0</v>
      </c>
      <c r="E2917" s="28">
        <v>45560.4</v>
      </c>
      <c r="F2917" s="22" t="s">
        <v>265</v>
      </c>
      <c r="G2917" s="14">
        <v>60</v>
      </c>
      <c r="H2917" s="40">
        <v>45034</v>
      </c>
      <c r="I2917" s="46">
        <f t="shared" si="180"/>
        <v>387</v>
      </c>
      <c r="J2917" s="1" t="s">
        <v>15</v>
      </c>
      <c r="K2917" s="4" t="s">
        <v>200</v>
      </c>
      <c r="L2917" s="4" t="s">
        <v>225</v>
      </c>
      <c r="M2917" s="8">
        <v>60</v>
      </c>
      <c r="N2917" s="5">
        <v>759.34</v>
      </c>
      <c r="O2917" s="5">
        <v>45560.4</v>
      </c>
      <c r="P2917">
        <f t="shared" si="181"/>
        <v>1</v>
      </c>
      <c r="Q2917" s="36">
        <f t="shared" si="182"/>
        <v>45560.4</v>
      </c>
      <c r="R2917">
        <f t="shared" si="183"/>
        <v>2023</v>
      </c>
    </row>
    <row r="2918" spans="1:18" x14ac:dyDescent="0.2">
      <c r="A2918" s="13">
        <v>45425</v>
      </c>
      <c r="B2918" s="13">
        <v>45425</v>
      </c>
      <c r="C2918" s="25" t="s">
        <v>398</v>
      </c>
      <c r="D2918" s="20">
        <v>0</v>
      </c>
      <c r="E2918" s="28">
        <v>45560.4</v>
      </c>
      <c r="F2918" s="22" t="s">
        <v>265</v>
      </c>
      <c r="G2918" s="14">
        <v>60</v>
      </c>
      <c r="H2918" s="40">
        <v>45042</v>
      </c>
      <c r="I2918" s="46">
        <f t="shared" si="180"/>
        <v>383</v>
      </c>
      <c r="J2918" s="1" t="s">
        <v>15</v>
      </c>
      <c r="K2918" s="4" t="s">
        <v>200</v>
      </c>
      <c r="L2918" s="4" t="s">
        <v>225</v>
      </c>
      <c r="M2918" s="8">
        <v>60</v>
      </c>
      <c r="N2918" s="5">
        <v>759.34</v>
      </c>
      <c r="O2918" s="5">
        <v>45560.4</v>
      </c>
      <c r="P2918">
        <f t="shared" si="181"/>
        <v>1</v>
      </c>
      <c r="Q2918" s="36">
        <f t="shared" si="182"/>
        <v>45560.4</v>
      </c>
      <c r="R2918">
        <f t="shared" si="183"/>
        <v>2023</v>
      </c>
    </row>
    <row r="2919" spans="1:18" x14ac:dyDescent="0.2">
      <c r="A2919" s="13">
        <v>45425</v>
      </c>
      <c r="B2919" s="13">
        <v>45425</v>
      </c>
      <c r="C2919" s="25" t="s">
        <v>398</v>
      </c>
      <c r="D2919" s="20">
        <v>0</v>
      </c>
      <c r="E2919" s="28">
        <v>45560.4</v>
      </c>
      <c r="F2919" s="22" t="s">
        <v>265</v>
      </c>
      <c r="G2919" s="14">
        <v>60</v>
      </c>
      <c r="H2919" s="40">
        <v>45042</v>
      </c>
      <c r="I2919" s="46">
        <f t="shared" si="180"/>
        <v>383</v>
      </c>
      <c r="J2919" s="1" t="s">
        <v>15</v>
      </c>
      <c r="K2919" s="4" t="s">
        <v>200</v>
      </c>
      <c r="L2919" s="4" t="s">
        <v>225</v>
      </c>
      <c r="M2919" s="8">
        <v>60</v>
      </c>
      <c r="N2919" s="5">
        <v>759.34</v>
      </c>
      <c r="O2919" s="5">
        <v>45560.4</v>
      </c>
      <c r="P2919">
        <f t="shared" si="181"/>
        <v>1</v>
      </c>
      <c r="Q2919" s="36">
        <f t="shared" si="182"/>
        <v>45560.4</v>
      </c>
      <c r="R2919">
        <f t="shared" si="183"/>
        <v>2023</v>
      </c>
    </row>
    <row r="2920" spans="1:18" x14ac:dyDescent="0.2">
      <c r="A2920" s="13">
        <v>45425</v>
      </c>
      <c r="B2920" s="13">
        <v>45425</v>
      </c>
      <c r="C2920" s="25" t="s">
        <v>398</v>
      </c>
      <c r="D2920" s="20">
        <v>0</v>
      </c>
      <c r="E2920" s="28">
        <v>45560.4</v>
      </c>
      <c r="F2920" s="22" t="s">
        <v>265</v>
      </c>
      <c r="G2920" s="14">
        <v>60</v>
      </c>
      <c r="H2920" s="40">
        <v>45042</v>
      </c>
      <c r="I2920" s="46">
        <f t="shared" si="180"/>
        <v>383</v>
      </c>
      <c r="J2920" s="1" t="s">
        <v>15</v>
      </c>
      <c r="K2920" s="4" t="s">
        <v>200</v>
      </c>
      <c r="L2920" s="4" t="s">
        <v>225</v>
      </c>
      <c r="M2920" s="8">
        <v>60</v>
      </c>
      <c r="N2920" s="5">
        <v>759.34</v>
      </c>
      <c r="O2920" s="5">
        <v>45560.4</v>
      </c>
      <c r="P2920">
        <f t="shared" si="181"/>
        <v>1</v>
      </c>
      <c r="Q2920" s="36">
        <f t="shared" si="182"/>
        <v>45560.4</v>
      </c>
      <c r="R2920">
        <f t="shared" si="183"/>
        <v>2023</v>
      </c>
    </row>
    <row r="2921" spans="1:18" x14ac:dyDescent="0.2">
      <c r="A2921" s="13">
        <v>45425</v>
      </c>
      <c r="B2921" s="13">
        <v>45425</v>
      </c>
      <c r="C2921" s="25" t="s">
        <v>398</v>
      </c>
      <c r="D2921" s="20">
        <v>0</v>
      </c>
      <c r="E2921" s="28">
        <v>45560.4</v>
      </c>
      <c r="F2921" s="22" t="s">
        <v>265</v>
      </c>
      <c r="G2921" s="14">
        <v>60</v>
      </c>
      <c r="H2921" s="40">
        <v>45042</v>
      </c>
      <c r="I2921" s="46">
        <f t="shared" si="180"/>
        <v>383</v>
      </c>
      <c r="J2921" s="1" t="s">
        <v>15</v>
      </c>
      <c r="K2921" s="4" t="s">
        <v>200</v>
      </c>
      <c r="L2921" s="4" t="s">
        <v>225</v>
      </c>
      <c r="M2921" s="8">
        <v>60</v>
      </c>
      <c r="N2921" s="5">
        <v>759.34</v>
      </c>
      <c r="O2921" s="5">
        <v>45560.4</v>
      </c>
      <c r="P2921">
        <f t="shared" si="181"/>
        <v>1</v>
      </c>
      <c r="Q2921" s="36">
        <f t="shared" si="182"/>
        <v>45560.4</v>
      </c>
      <c r="R2921">
        <f t="shared" si="183"/>
        <v>2023</v>
      </c>
    </row>
    <row r="2922" spans="1:18" x14ac:dyDescent="0.2">
      <c r="A2922" s="13">
        <v>45432</v>
      </c>
      <c r="B2922" s="13">
        <v>45432</v>
      </c>
      <c r="C2922" s="25" t="s">
        <v>398</v>
      </c>
      <c r="D2922" s="20">
        <v>0</v>
      </c>
      <c r="E2922" s="28">
        <v>22780.2</v>
      </c>
      <c r="F2922" s="22" t="s">
        <v>265</v>
      </c>
      <c r="G2922" s="14">
        <v>30</v>
      </c>
      <c r="H2922" s="40">
        <v>45048</v>
      </c>
      <c r="I2922" s="46">
        <f t="shared" si="180"/>
        <v>384</v>
      </c>
      <c r="J2922" s="1" t="s">
        <v>15</v>
      </c>
      <c r="K2922" s="4" t="s">
        <v>200</v>
      </c>
      <c r="L2922" s="4" t="s">
        <v>225</v>
      </c>
      <c r="M2922" s="8">
        <v>30</v>
      </c>
      <c r="N2922" s="5">
        <v>759.34</v>
      </c>
      <c r="O2922" s="5">
        <v>22780.2</v>
      </c>
      <c r="P2922">
        <f t="shared" si="181"/>
        <v>1</v>
      </c>
      <c r="Q2922" s="36">
        <f t="shared" si="182"/>
        <v>22780.2</v>
      </c>
      <c r="R2922">
        <f t="shared" si="183"/>
        <v>2023</v>
      </c>
    </row>
    <row r="2923" spans="1:18" x14ac:dyDescent="0.2">
      <c r="A2923" s="13">
        <v>45432</v>
      </c>
      <c r="B2923" s="13">
        <v>45432</v>
      </c>
      <c r="C2923" s="25" t="s">
        <v>398</v>
      </c>
      <c r="D2923" s="20">
        <v>0</v>
      </c>
      <c r="E2923" s="28">
        <v>45560.4</v>
      </c>
      <c r="F2923" s="22" t="s">
        <v>265</v>
      </c>
      <c r="G2923" s="14">
        <v>60</v>
      </c>
      <c r="H2923" s="40">
        <v>45049</v>
      </c>
      <c r="I2923" s="46">
        <f t="shared" si="180"/>
        <v>383</v>
      </c>
      <c r="J2923" s="1" t="s">
        <v>15</v>
      </c>
      <c r="K2923" s="4" t="s">
        <v>200</v>
      </c>
      <c r="L2923" s="4" t="s">
        <v>225</v>
      </c>
      <c r="M2923" s="8">
        <v>60</v>
      </c>
      <c r="N2923" s="5">
        <v>759.34</v>
      </c>
      <c r="O2923" s="5">
        <v>45560.4</v>
      </c>
      <c r="P2923">
        <f t="shared" si="181"/>
        <v>1</v>
      </c>
      <c r="Q2923" s="36">
        <f t="shared" si="182"/>
        <v>45560.4</v>
      </c>
      <c r="R2923">
        <f t="shared" si="183"/>
        <v>2023</v>
      </c>
    </row>
    <row r="2924" spans="1:18" x14ac:dyDescent="0.2">
      <c r="A2924" s="13">
        <v>45432</v>
      </c>
      <c r="B2924" s="13">
        <v>45432</v>
      </c>
      <c r="C2924" s="25" t="s">
        <v>398</v>
      </c>
      <c r="D2924" s="20">
        <v>0</v>
      </c>
      <c r="E2924" s="28">
        <v>45560.4</v>
      </c>
      <c r="F2924" s="22" t="s">
        <v>265</v>
      </c>
      <c r="G2924" s="14">
        <v>60</v>
      </c>
      <c r="H2924" s="40">
        <v>45049</v>
      </c>
      <c r="I2924" s="46">
        <f t="shared" si="180"/>
        <v>383</v>
      </c>
      <c r="J2924" s="1" t="s">
        <v>15</v>
      </c>
      <c r="K2924" s="4" t="s">
        <v>200</v>
      </c>
      <c r="L2924" s="4" t="s">
        <v>225</v>
      </c>
      <c r="M2924" s="8">
        <v>60</v>
      </c>
      <c r="N2924" s="5">
        <v>759.34</v>
      </c>
      <c r="O2924" s="5">
        <v>45560.4</v>
      </c>
      <c r="P2924">
        <f t="shared" si="181"/>
        <v>1</v>
      </c>
      <c r="Q2924" s="36">
        <f t="shared" si="182"/>
        <v>45560.4</v>
      </c>
      <c r="R2924">
        <f t="shared" si="183"/>
        <v>2023</v>
      </c>
    </row>
    <row r="2925" spans="1:18" x14ac:dyDescent="0.2">
      <c r="A2925" s="13">
        <v>45432</v>
      </c>
      <c r="B2925" s="13">
        <v>45432</v>
      </c>
      <c r="C2925" s="25" t="s">
        <v>398</v>
      </c>
      <c r="D2925" s="20">
        <v>0</v>
      </c>
      <c r="E2925" s="28">
        <v>45560.4</v>
      </c>
      <c r="F2925" s="22" t="s">
        <v>265</v>
      </c>
      <c r="G2925" s="14">
        <v>60</v>
      </c>
      <c r="H2925" s="40">
        <v>45049</v>
      </c>
      <c r="I2925" s="46">
        <f t="shared" si="180"/>
        <v>383</v>
      </c>
      <c r="J2925" s="1" t="s">
        <v>15</v>
      </c>
      <c r="K2925" s="4" t="s">
        <v>200</v>
      </c>
      <c r="L2925" s="4" t="s">
        <v>225</v>
      </c>
      <c r="M2925" s="8">
        <v>60</v>
      </c>
      <c r="N2925" s="5">
        <v>759.34</v>
      </c>
      <c r="O2925" s="5">
        <v>45560.4</v>
      </c>
      <c r="P2925">
        <f t="shared" si="181"/>
        <v>1</v>
      </c>
      <c r="Q2925" s="36">
        <f t="shared" si="182"/>
        <v>45560.4</v>
      </c>
      <c r="R2925">
        <f t="shared" si="183"/>
        <v>2023</v>
      </c>
    </row>
    <row r="2926" spans="1:18" x14ac:dyDescent="0.2">
      <c r="A2926" s="13">
        <v>45265</v>
      </c>
      <c r="B2926" s="13">
        <v>45034</v>
      </c>
      <c r="C2926" s="25" t="s">
        <v>399</v>
      </c>
      <c r="D2926" s="20">
        <v>231</v>
      </c>
      <c r="E2926" s="28">
        <v>27878.080000000002</v>
      </c>
      <c r="F2926" s="22" t="s">
        <v>323</v>
      </c>
      <c r="G2926" s="14">
        <v>32</v>
      </c>
      <c r="H2926" s="40">
        <v>44673</v>
      </c>
      <c r="I2926" s="46">
        <f t="shared" si="180"/>
        <v>592</v>
      </c>
      <c r="J2926" s="1" t="s">
        <v>15</v>
      </c>
      <c r="K2926" s="4" t="s">
        <v>200</v>
      </c>
      <c r="L2926" s="4" t="s">
        <v>225</v>
      </c>
      <c r="M2926" s="8">
        <v>32</v>
      </c>
      <c r="N2926" s="5">
        <v>871.19</v>
      </c>
      <c r="O2926" s="5">
        <v>27878.080000000002</v>
      </c>
      <c r="P2926">
        <f t="shared" si="181"/>
        <v>1</v>
      </c>
      <c r="Q2926" s="36">
        <f t="shared" si="182"/>
        <v>27878.080000000002</v>
      </c>
      <c r="R2926">
        <f t="shared" si="183"/>
        <v>2022</v>
      </c>
    </row>
    <row r="2927" spans="1:18" x14ac:dyDescent="0.2">
      <c r="A2927" s="13">
        <v>45265</v>
      </c>
      <c r="B2927" s="13">
        <v>45034</v>
      </c>
      <c r="C2927" s="25" t="s">
        <v>399</v>
      </c>
      <c r="D2927" s="20">
        <v>231</v>
      </c>
      <c r="E2927" s="28">
        <v>55756.160000000003</v>
      </c>
      <c r="F2927" s="22" t="s">
        <v>323</v>
      </c>
      <c r="G2927" s="14">
        <v>64</v>
      </c>
      <c r="H2927" s="40">
        <v>44673</v>
      </c>
      <c r="I2927" s="46">
        <f t="shared" si="180"/>
        <v>592</v>
      </c>
      <c r="J2927" s="1" t="s">
        <v>15</v>
      </c>
      <c r="K2927" s="4" t="s">
        <v>200</v>
      </c>
      <c r="L2927" s="4" t="s">
        <v>225</v>
      </c>
      <c r="M2927" s="8">
        <v>64</v>
      </c>
      <c r="N2927" s="5">
        <v>871.19</v>
      </c>
      <c r="O2927" s="5">
        <v>55756.160000000003</v>
      </c>
      <c r="P2927">
        <f t="shared" si="181"/>
        <v>1</v>
      </c>
      <c r="Q2927" s="36">
        <f t="shared" si="182"/>
        <v>55756.160000000003</v>
      </c>
      <c r="R2927">
        <f t="shared" si="183"/>
        <v>2022</v>
      </c>
    </row>
    <row r="2928" spans="1:18" x14ac:dyDescent="0.2">
      <c r="A2928" s="13">
        <v>45265</v>
      </c>
      <c r="B2928" s="13">
        <v>45041</v>
      </c>
      <c r="C2928" s="25" t="s">
        <v>399</v>
      </c>
      <c r="D2928" s="20">
        <v>224</v>
      </c>
      <c r="E2928" s="28">
        <v>27878.080000000002</v>
      </c>
      <c r="F2928" s="22" t="s">
        <v>323</v>
      </c>
      <c r="G2928" s="14">
        <v>32</v>
      </c>
      <c r="H2928" s="40">
        <v>44680</v>
      </c>
      <c r="I2928" s="46">
        <f t="shared" si="180"/>
        <v>585</v>
      </c>
      <c r="J2928" s="1" t="s">
        <v>15</v>
      </c>
      <c r="K2928" s="4" t="s">
        <v>200</v>
      </c>
      <c r="L2928" s="4" t="s">
        <v>225</v>
      </c>
      <c r="M2928" s="8">
        <v>32</v>
      </c>
      <c r="N2928" s="5">
        <v>871.19</v>
      </c>
      <c r="O2928" s="5">
        <v>27878.080000000002</v>
      </c>
      <c r="P2928">
        <f t="shared" si="181"/>
        <v>1</v>
      </c>
      <c r="Q2928" s="36">
        <f t="shared" si="182"/>
        <v>27878.080000000002</v>
      </c>
      <c r="R2928">
        <f t="shared" si="183"/>
        <v>2022</v>
      </c>
    </row>
    <row r="2929" spans="1:18" x14ac:dyDescent="0.2">
      <c r="A2929" s="13">
        <v>45265</v>
      </c>
      <c r="B2929" s="13">
        <v>45041</v>
      </c>
      <c r="C2929" s="25" t="s">
        <v>399</v>
      </c>
      <c r="D2929" s="20">
        <v>224</v>
      </c>
      <c r="E2929" s="28">
        <v>27878.080000000002</v>
      </c>
      <c r="F2929" s="22" t="s">
        <v>323</v>
      </c>
      <c r="G2929" s="14">
        <v>32</v>
      </c>
      <c r="H2929" s="40">
        <v>44680</v>
      </c>
      <c r="I2929" s="46">
        <f t="shared" si="180"/>
        <v>585</v>
      </c>
      <c r="J2929" s="1" t="s">
        <v>15</v>
      </c>
      <c r="K2929" s="4" t="s">
        <v>200</v>
      </c>
      <c r="L2929" s="4" t="s">
        <v>225</v>
      </c>
      <c r="M2929" s="8">
        <v>32</v>
      </c>
      <c r="N2929" s="5">
        <v>871.19</v>
      </c>
      <c r="O2929" s="5">
        <v>27878.080000000002</v>
      </c>
      <c r="P2929">
        <f t="shared" si="181"/>
        <v>1</v>
      </c>
      <c r="Q2929" s="36">
        <f t="shared" si="182"/>
        <v>27878.080000000002</v>
      </c>
      <c r="R2929">
        <f t="shared" si="183"/>
        <v>2022</v>
      </c>
    </row>
    <row r="2930" spans="1:18" x14ac:dyDescent="0.2">
      <c r="A2930" s="13">
        <v>45265</v>
      </c>
      <c r="B2930" s="13">
        <v>45041</v>
      </c>
      <c r="C2930" s="25" t="s">
        <v>399</v>
      </c>
      <c r="D2930" s="20">
        <v>224</v>
      </c>
      <c r="E2930" s="28">
        <v>55756.160000000003</v>
      </c>
      <c r="F2930" s="22" t="s">
        <v>323</v>
      </c>
      <c r="G2930" s="14">
        <v>64</v>
      </c>
      <c r="H2930" s="40">
        <v>44680</v>
      </c>
      <c r="I2930" s="46">
        <f t="shared" si="180"/>
        <v>585</v>
      </c>
      <c r="J2930" s="1" t="s">
        <v>15</v>
      </c>
      <c r="K2930" s="4" t="s">
        <v>200</v>
      </c>
      <c r="L2930" s="4" t="s">
        <v>225</v>
      </c>
      <c r="M2930" s="8">
        <v>64</v>
      </c>
      <c r="N2930" s="5">
        <v>871.19</v>
      </c>
      <c r="O2930" s="5">
        <v>55756.160000000003</v>
      </c>
      <c r="P2930">
        <f t="shared" si="181"/>
        <v>1</v>
      </c>
      <c r="Q2930" s="36">
        <f t="shared" si="182"/>
        <v>55756.160000000003</v>
      </c>
      <c r="R2930">
        <f t="shared" si="183"/>
        <v>2022</v>
      </c>
    </row>
    <row r="2931" spans="1:18" x14ac:dyDescent="0.2">
      <c r="A2931" s="13">
        <v>45265</v>
      </c>
      <c r="B2931" s="13">
        <v>45258</v>
      </c>
      <c r="C2931" s="25" t="s">
        <v>399</v>
      </c>
      <c r="D2931" s="20">
        <v>7</v>
      </c>
      <c r="E2931" s="28">
        <v>334536.96000000002</v>
      </c>
      <c r="F2931" s="22" t="s">
        <v>323</v>
      </c>
      <c r="G2931" s="14">
        <v>384</v>
      </c>
      <c r="H2931" s="40">
        <v>44903</v>
      </c>
      <c r="I2931" s="46">
        <f t="shared" si="180"/>
        <v>362</v>
      </c>
      <c r="J2931" s="1" t="s">
        <v>15</v>
      </c>
      <c r="K2931" s="4" t="s">
        <v>199</v>
      </c>
      <c r="L2931" s="4" t="s">
        <v>225</v>
      </c>
      <c r="M2931" s="8">
        <v>576</v>
      </c>
      <c r="N2931" s="5">
        <v>871.19</v>
      </c>
      <c r="O2931" s="5">
        <v>501805.44</v>
      </c>
      <c r="P2931">
        <f t="shared" si="181"/>
        <v>0</v>
      </c>
      <c r="Q2931" s="36">
        <f t="shared" si="182"/>
        <v>334536.96000000002</v>
      </c>
      <c r="R2931">
        <f t="shared" si="183"/>
        <v>2022</v>
      </c>
    </row>
    <row r="2932" spans="1:18" x14ac:dyDescent="0.2">
      <c r="A2932" s="13">
        <v>45289</v>
      </c>
      <c r="B2932" s="13">
        <v>45258</v>
      </c>
      <c r="C2932" s="25" t="s">
        <v>399</v>
      </c>
      <c r="D2932" s="20">
        <v>31</v>
      </c>
      <c r="E2932" s="28">
        <v>167268.48000000001</v>
      </c>
      <c r="F2932" s="22" t="s">
        <v>323</v>
      </c>
      <c r="G2932" s="14">
        <v>192</v>
      </c>
      <c r="H2932" s="40">
        <v>44903</v>
      </c>
      <c r="I2932" s="46">
        <f t="shared" si="180"/>
        <v>386</v>
      </c>
      <c r="J2932" s="1" t="s">
        <v>15</v>
      </c>
      <c r="K2932" s="4" t="s">
        <v>199</v>
      </c>
      <c r="L2932" s="4" t="s">
        <v>225</v>
      </c>
      <c r="M2932" s="8">
        <v>576</v>
      </c>
      <c r="N2932" s="5">
        <v>871.19</v>
      </c>
      <c r="O2932" s="5">
        <v>501805.44</v>
      </c>
      <c r="P2932">
        <f t="shared" si="181"/>
        <v>0</v>
      </c>
      <c r="Q2932" s="36">
        <f t="shared" si="182"/>
        <v>167268.48000000001</v>
      </c>
      <c r="R2932">
        <f t="shared" si="183"/>
        <v>2022</v>
      </c>
    </row>
    <row r="2933" spans="1:18" x14ac:dyDescent="0.2">
      <c r="A2933" s="13">
        <v>45295</v>
      </c>
      <c r="B2933" s="13">
        <v>45295</v>
      </c>
      <c r="C2933" s="25" t="s">
        <v>398</v>
      </c>
      <c r="D2933" s="20">
        <v>0</v>
      </c>
      <c r="E2933" s="28">
        <v>334536.96000000002</v>
      </c>
      <c r="F2933" s="22" t="s">
        <v>323</v>
      </c>
      <c r="G2933" s="14">
        <v>384</v>
      </c>
      <c r="H2933" s="40">
        <v>44925</v>
      </c>
      <c r="I2933" s="46">
        <f t="shared" si="180"/>
        <v>370</v>
      </c>
      <c r="J2933" s="1" t="s">
        <v>15</v>
      </c>
      <c r="K2933" s="4" t="s">
        <v>199</v>
      </c>
      <c r="L2933" s="4" t="s">
        <v>225</v>
      </c>
      <c r="M2933" s="8">
        <v>608</v>
      </c>
      <c r="N2933" s="5">
        <v>871.19</v>
      </c>
      <c r="O2933" s="5">
        <v>529683.52</v>
      </c>
      <c r="P2933">
        <f t="shared" si="181"/>
        <v>0</v>
      </c>
      <c r="Q2933" s="36">
        <f t="shared" si="182"/>
        <v>334536.96000000002</v>
      </c>
      <c r="R2933">
        <f t="shared" si="183"/>
        <v>2022</v>
      </c>
    </row>
    <row r="2934" spans="1:18" x14ac:dyDescent="0.2">
      <c r="A2934" s="13">
        <v>45310</v>
      </c>
      <c r="B2934" s="13">
        <v>45295</v>
      </c>
      <c r="C2934" s="25" t="s">
        <v>399</v>
      </c>
      <c r="D2934" s="20">
        <v>15</v>
      </c>
      <c r="E2934" s="28">
        <v>195146.56</v>
      </c>
      <c r="F2934" s="22" t="s">
        <v>323</v>
      </c>
      <c r="G2934" s="14">
        <v>224</v>
      </c>
      <c r="H2934" s="40">
        <v>44925</v>
      </c>
      <c r="I2934" s="46">
        <f t="shared" si="180"/>
        <v>385</v>
      </c>
      <c r="J2934" s="1" t="s">
        <v>15</v>
      </c>
      <c r="K2934" s="4" t="s">
        <v>199</v>
      </c>
      <c r="L2934" s="4" t="s">
        <v>225</v>
      </c>
      <c r="M2934" s="8">
        <v>608</v>
      </c>
      <c r="N2934" s="5">
        <v>871.19</v>
      </c>
      <c r="O2934" s="5">
        <v>529683.52</v>
      </c>
      <c r="P2934">
        <f t="shared" si="181"/>
        <v>0</v>
      </c>
      <c r="Q2934" s="36">
        <f t="shared" si="182"/>
        <v>195146.56</v>
      </c>
      <c r="R2934">
        <f t="shared" si="183"/>
        <v>2022</v>
      </c>
    </row>
    <row r="2935" spans="1:18" x14ac:dyDescent="0.2">
      <c r="A2935" s="13">
        <v>45202</v>
      </c>
      <c r="B2935" s="13">
        <v>45202</v>
      </c>
      <c r="C2935" s="25" t="s">
        <v>398</v>
      </c>
      <c r="D2935" s="20">
        <v>0</v>
      </c>
      <c r="E2935" s="28">
        <v>9814.75</v>
      </c>
      <c r="F2935" s="22" t="s">
        <v>300</v>
      </c>
      <c r="G2935" s="14">
        <v>55</v>
      </c>
      <c r="H2935" s="40">
        <v>44841</v>
      </c>
      <c r="I2935" s="46">
        <f t="shared" si="180"/>
        <v>361</v>
      </c>
      <c r="J2935" s="1" t="s">
        <v>15</v>
      </c>
      <c r="K2935" s="4" t="s">
        <v>200</v>
      </c>
      <c r="L2935" s="4" t="s">
        <v>225</v>
      </c>
      <c r="M2935" s="8">
        <v>55</v>
      </c>
      <c r="N2935" s="5">
        <v>178.45</v>
      </c>
      <c r="O2935" s="5">
        <v>9814.75</v>
      </c>
      <c r="P2935">
        <f t="shared" si="181"/>
        <v>1</v>
      </c>
      <c r="Q2935" s="36">
        <f t="shared" si="182"/>
        <v>9814.75</v>
      </c>
      <c r="R2935">
        <f t="shared" si="183"/>
        <v>2022</v>
      </c>
    </row>
    <row r="2936" spans="1:18" x14ac:dyDescent="0.2">
      <c r="A2936" s="13">
        <v>45251</v>
      </c>
      <c r="B2936" s="13">
        <v>45251</v>
      </c>
      <c r="C2936" s="25" t="s">
        <v>398</v>
      </c>
      <c r="D2936" s="20">
        <v>0</v>
      </c>
      <c r="E2936" s="28">
        <v>4639.7</v>
      </c>
      <c r="F2936" s="22" t="s">
        <v>300</v>
      </c>
      <c r="G2936" s="14">
        <v>26</v>
      </c>
      <c r="H2936" s="40">
        <v>44875</v>
      </c>
      <c r="I2936" s="46">
        <f t="shared" si="180"/>
        <v>376</v>
      </c>
      <c r="J2936" s="1" t="s">
        <v>15</v>
      </c>
      <c r="K2936" s="4" t="s">
        <v>199</v>
      </c>
      <c r="L2936" s="4" t="s">
        <v>225</v>
      </c>
      <c r="M2936" s="8">
        <v>26</v>
      </c>
      <c r="N2936" s="5">
        <v>178.45</v>
      </c>
      <c r="O2936" s="5">
        <v>4639.7</v>
      </c>
      <c r="P2936">
        <f t="shared" si="181"/>
        <v>1</v>
      </c>
      <c r="Q2936" s="36">
        <f t="shared" si="182"/>
        <v>4639.7</v>
      </c>
      <c r="R2936">
        <f t="shared" si="183"/>
        <v>2022</v>
      </c>
    </row>
    <row r="2937" spans="1:18" x14ac:dyDescent="0.2">
      <c r="A2937" s="13">
        <v>45195</v>
      </c>
      <c r="B2937" s="13">
        <v>45195</v>
      </c>
      <c r="C2937" s="25" t="s">
        <v>398</v>
      </c>
      <c r="D2937" s="20">
        <v>0</v>
      </c>
      <c r="E2937" s="28">
        <v>10707</v>
      </c>
      <c r="F2937" s="22" t="s">
        <v>300</v>
      </c>
      <c r="G2937" s="14">
        <v>60</v>
      </c>
      <c r="H2937" s="40">
        <v>44876</v>
      </c>
      <c r="I2937" s="46">
        <f t="shared" si="180"/>
        <v>319</v>
      </c>
      <c r="J2937" s="1" t="s">
        <v>15</v>
      </c>
      <c r="K2937" s="4" t="s">
        <v>199</v>
      </c>
      <c r="L2937" s="4" t="s">
        <v>225</v>
      </c>
      <c r="M2937" s="8">
        <v>60</v>
      </c>
      <c r="N2937" s="5">
        <v>178.45</v>
      </c>
      <c r="O2937" s="5">
        <v>10707</v>
      </c>
      <c r="P2937">
        <f t="shared" si="181"/>
        <v>1</v>
      </c>
      <c r="Q2937" s="36">
        <f t="shared" si="182"/>
        <v>10707</v>
      </c>
      <c r="R2937">
        <f t="shared" si="183"/>
        <v>2022</v>
      </c>
    </row>
    <row r="2938" spans="1:18" x14ac:dyDescent="0.2">
      <c r="A2938" s="13">
        <v>45223</v>
      </c>
      <c r="B2938" s="13">
        <v>45223</v>
      </c>
      <c r="C2938" s="25" t="s">
        <v>398</v>
      </c>
      <c r="D2938" s="20">
        <v>0</v>
      </c>
      <c r="E2938" s="28">
        <v>10707</v>
      </c>
      <c r="F2938" s="22" t="s">
        <v>300</v>
      </c>
      <c r="G2938" s="14">
        <v>60</v>
      </c>
      <c r="H2938" s="40">
        <v>44876</v>
      </c>
      <c r="I2938" s="46">
        <f t="shared" si="180"/>
        <v>347</v>
      </c>
      <c r="J2938" s="1" t="s">
        <v>15</v>
      </c>
      <c r="K2938" s="4" t="s">
        <v>199</v>
      </c>
      <c r="L2938" s="4" t="s">
        <v>225</v>
      </c>
      <c r="M2938" s="8">
        <v>60</v>
      </c>
      <c r="N2938" s="5">
        <v>178.45</v>
      </c>
      <c r="O2938" s="5">
        <v>10707</v>
      </c>
      <c r="P2938">
        <f t="shared" si="181"/>
        <v>1</v>
      </c>
      <c r="Q2938" s="36">
        <f t="shared" si="182"/>
        <v>10707</v>
      </c>
      <c r="R2938">
        <f t="shared" si="183"/>
        <v>2022</v>
      </c>
    </row>
    <row r="2939" spans="1:18" x14ac:dyDescent="0.2">
      <c r="A2939" s="13">
        <v>45279</v>
      </c>
      <c r="B2939" s="13">
        <v>45279</v>
      </c>
      <c r="C2939" s="25" t="s">
        <v>398</v>
      </c>
      <c r="D2939" s="20">
        <v>0</v>
      </c>
      <c r="E2939" s="28">
        <v>10707</v>
      </c>
      <c r="F2939" s="22" t="s">
        <v>300</v>
      </c>
      <c r="G2939" s="14">
        <v>60</v>
      </c>
      <c r="H2939" s="40">
        <v>44903</v>
      </c>
      <c r="I2939" s="46">
        <f t="shared" si="180"/>
        <v>376</v>
      </c>
      <c r="J2939" s="1" t="s">
        <v>15</v>
      </c>
      <c r="K2939" s="4" t="s">
        <v>199</v>
      </c>
      <c r="L2939" s="4" t="s">
        <v>225</v>
      </c>
      <c r="M2939" s="8">
        <v>60</v>
      </c>
      <c r="N2939" s="5">
        <v>178.45</v>
      </c>
      <c r="O2939" s="5">
        <v>10707</v>
      </c>
      <c r="P2939">
        <f t="shared" si="181"/>
        <v>1</v>
      </c>
      <c r="Q2939" s="36">
        <f t="shared" si="182"/>
        <v>10707</v>
      </c>
      <c r="R2939">
        <f t="shared" si="183"/>
        <v>2022</v>
      </c>
    </row>
    <row r="2940" spans="1:18" x14ac:dyDescent="0.2">
      <c r="A2940" s="13">
        <v>45216</v>
      </c>
      <c r="B2940" s="13">
        <v>45216</v>
      </c>
      <c r="C2940" s="25" t="s">
        <v>398</v>
      </c>
      <c r="D2940" s="20">
        <v>0</v>
      </c>
      <c r="E2940" s="28">
        <v>23555.4</v>
      </c>
      <c r="F2940" s="22" t="s">
        <v>300</v>
      </c>
      <c r="G2940" s="14">
        <v>132</v>
      </c>
      <c r="H2940" s="40">
        <v>44915</v>
      </c>
      <c r="I2940" s="46">
        <f t="shared" si="180"/>
        <v>301</v>
      </c>
      <c r="J2940" s="1" t="s">
        <v>15</v>
      </c>
      <c r="K2940" s="4" t="s">
        <v>200</v>
      </c>
      <c r="L2940" s="4" t="s">
        <v>225</v>
      </c>
      <c r="M2940" s="8">
        <v>132</v>
      </c>
      <c r="N2940" s="5">
        <v>178.45</v>
      </c>
      <c r="O2940" s="5">
        <v>23555.4</v>
      </c>
      <c r="P2940">
        <f t="shared" si="181"/>
        <v>1</v>
      </c>
      <c r="Q2940" s="36">
        <f t="shared" si="182"/>
        <v>23555.399999999998</v>
      </c>
      <c r="R2940">
        <f t="shared" si="183"/>
        <v>2022</v>
      </c>
    </row>
    <row r="2941" spans="1:18" x14ac:dyDescent="0.2">
      <c r="A2941" s="13">
        <v>45244</v>
      </c>
      <c r="B2941" s="13">
        <v>45244</v>
      </c>
      <c r="C2941" s="25" t="s">
        <v>398</v>
      </c>
      <c r="D2941" s="20">
        <v>0</v>
      </c>
      <c r="E2941" s="28">
        <v>17845</v>
      </c>
      <c r="F2941" s="22" t="s">
        <v>300</v>
      </c>
      <c r="G2941" s="14">
        <v>100</v>
      </c>
      <c r="H2941" s="40">
        <v>44915</v>
      </c>
      <c r="I2941" s="46">
        <f t="shared" si="180"/>
        <v>329</v>
      </c>
      <c r="J2941" s="1" t="s">
        <v>15</v>
      </c>
      <c r="K2941" s="4" t="s">
        <v>200</v>
      </c>
      <c r="L2941" s="4" t="s">
        <v>225</v>
      </c>
      <c r="M2941" s="8">
        <v>100</v>
      </c>
      <c r="N2941" s="5">
        <v>178.45</v>
      </c>
      <c r="O2941" s="5">
        <v>17845</v>
      </c>
      <c r="P2941">
        <f t="shared" si="181"/>
        <v>1</v>
      </c>
      <c r="Q2941" s="36">
        <f t="shared" si="182"/>
        <v>17845</v>
      </c>
      <c r="R2941">
        <f t="shared" si="183"/>
        <v>2022</v>
      </c>
    </row>
    <row r="2942" spans="1:18" x14ac:dyDescent="0.2">
      <c r="A2942" s="13">
        <v>45279</v>
      </c>
      <c r="B2942" s="13">
        <v>45279</v>
      </c>
      <c r="C2942" s="25" t="s">
        <v>398</v>
      </c>
      <c r="D2942" s="20">
        <v>0</v>
      </c>
      <c r="E2942" s="28">
        <v>23555.4</v>
      </c>
      <c r="F2942" s="22" t="s">
        <v>300</v>
      </c>
      <c r="G2942" s="14">
        <v>132</v>
      </c>
      <c r="H2942" s="40">
        <v>44915</v>
      </c>
      <c r="I2942" s="46">
        <f t="shared" si="180"/>
        <v>364</v>
      </c>
      <c r="J2942" s="1" t="s">
        <v>15</v>
      </c>
      <c r="K2942" s="4" t="s">
        <v>200</v>
      </c>
      <c r="L2942" s="4" t="s">
        <v>225</v>
      </c>
      <c r="M2942" s="8">
        <v>132</v>
      </c>
      <c r="N2942" s="5">
        <v>178.45</v>
      </c>
      <c r="O2942" s="5">
        <v>23555.4</v>
      </c>
      <c r="P2942">
        <f t="shared" si="181"/>
        <v>1</v>
      </c>
      <c r="Q2942" s="36">
        <f t="shared" si="182"/>
        <v>23555.399999999998</v>
      </c>
      <c r="R2942">
        <f t="shared" si="183"/>
        <v>2022</v>
      </c>
    </row>
    <row r="2943" spans="1:18" x14ac:dyDescent="0.2">
      <c r="A2943" s="13">
        <v>45307</v>
      </c>
      <c r="B2943" s="13">
        <v>45307</v>
      </c>
      <c r="C2943" s="25" t="s">
        <v>398</v>
      </c>
      <c r="D2943" s="20">
        <v>0</v>
      </c>
      <c r="E2943" s="28">
        <v>5175.05</v>
      </c>
      <c r="F2943" s="22" t="s">
        <v>300</v>
      </c>
      <c r="G2943" s="14">
        <v>29</v>
      </c>
      <c r="H2943" s="40">
        <v>44932</v>
      </c>
      <c r="I2943" s="46">
        <f t="shared" si="180"/>
        <v>375</v>
      </c>
      <c r="J2943" s="1" t="s">
        <v>15</v>
      </c>
      <c r="K2943" s="4" t="s">
        <v>199</v>
      </c>
      <c r="L2943" s="4" t="s">
        <v>225</v>
      </c>
      <c r="M2943" s="8">
        <v>29</v>
      </c>
      <c r="N2943" s="5">
        <v>178.45</v>
      </c>
      <c r="O2943" s="5">
        <v>5175.05</v>
      </c>
      <c r="P2943">
        <f t="shared" si="181"/>
        <v>1</v>
      </c>
      <c r="Q2943" s="36">
        <f t="shared" si="182"/>
        <v>5175.0499999999993</v>
      </c>
      <c r="R2943">
        <f t="shared" si="183"/>
        <v>2023</v>
      </c>
    </row>
    <row r="2944" spans="1:18" x14ac:dyDescent="0.2">
      <c r="A2944" s="13">
        <v>45314</v>
      </c>
      <c r="B2944" s="13">
        <v>45314</v>
      </c>
      <c r="C2944" s="25" t="s">
        <v>398</v>
      </c>
      <c r="D2944" s="20">
        <v>0</v>
      </c>
      <c r="E2944" s="28">
        <v>5888.85</v>
      </c>
      <c r="F2944" s="22" t="s">
        <v>300</v>
      </c>
      <c r="G2944" s="14">
        <v>33</v>
      </c>
      <c r="H2944" s="40">
        <v>44939</v>
      </c>
      <c r="I2944" s="46">
        <f t="shared" si="180"/>
        <v>375</v>
      </c>
      <c r="J2944" s="1" t="s">
        <v>15</v>
      </c>
      <c r="K2944" s="4" t="s">
        <v>199</v>
      </c>
      <c r="L2944" s="4" t="s">
        <v>225</v>
      </c>
      <c r="M2944" s="8">
        <v>33</v>
      </c>
      <c r="N2944" s="5">
        <v>178.45</v>
      </c>
      <c r="O2944" s="5">
        <v>5888.85</v>
      </c>
      <c r="P2944">
        <f t="shared" si="181"/>
        <v>1</v>
      </c>
      <c r="Q2944" s="36">
        <f t="shared" si="182"/>
        <v>5888.8499999999995</v>
      </c>
      <c r="R2944">
        <f t="shared" si="183"/>
        <v>2023</v>
      </c>
    </row>
    <row r="2945" spans="1:18" x14ac:dyDescent="0.2">
      <c r="A2945" s="13">
        <v>45321</v>
      </c>
      <c r="B2945" s="13">
        <v>45321</v>
      </c>
      <c r="C2945" s="25" t="s">
        <v>398</v>
      </c>
      <c r="D2945" s="20">
        <v>0</v>
      </c>
      <c r="E2945" s="28">
        <v>5888.85</v>
      </c>
      <c r="F2945" s="22" t="s">
        <v>300</v>
      </c>
      <c r="G2945" s="14">
        <v>33</v>
      </c>
      <c r="H2945" s="40">
        <v>44943</v>
      </c>
      <c r="I2945" s="46">
        <f t="shared" si="180"/>
        <v>378</v>
      </c>
      <c r="J2945" s="1" t="s">
        <v>15</v>
      </c>
      <c r="K2945" s="4" t="s">
        <v>200</v>
      </c>
      <c r="L2945" s="4" t="s">
        <v>225</v>
      </c>
      <c r="M2945" s="8">
        <v>33</v>
      </c>
      <c r="N2945" s="5">
        <v>178.45</v>
      </c>
      <c r="O2945" s="5">
        <v>5888.85</v>
      </c>
      <c r="P2945">
        <f t="shared" si="181"/>
        <v>1</v>
      </c>
      <c r="Q2945" s="36">
        <f t="shared" si="182"/>
        <v>5888.8499999999995</v>
      </c>
      <c r="R2945">
        <f t="shared" si="183"/>
        <v>2023</v>
      </c>
    </row>
    <row r="2946" spans="1:18" x14ac:dyDescent="0.2">
      <c r="A2946" s="13">
        <v>45328</v>
      </c>
      <c r="B2946" s="13">
        <v>45328</v>
      </c>
      <c r="C2946" s="25" t="s">
        <v>398</v>
      </c>
      <c r="D2946" s="20">
        <v>0</v>
      </c>
      <c r="E2946" s="28">
        <v>5888.85</v>
      </c>
      <c r="F2946" s="22" t="s">
        <v>300</v>
      </c>
      <c r="G2946" s="14">
        <v>33</v>
      </c>
      <c r="H2946" s="40">
        <v>44953</v>
      </c>
      <c r="I2946" s="46">
        <f t="shared" si="180"/>
        <v>375</v>
      </c>
      <c r="J2946" s="1" t="s">
        <v>15</v>
      </c>
      <c r="K2946" s="4" t="s">
        <v>199</v>
      </c>
      <c r="L2946" s="4" t="s">
        <v>225</v>
      </c>
      <c r="M2946" s="8">
        <v>33</v>
      </c>
      <c r="N2946" s="5">
        <v>178.45</v>
      </c>
      <c r="O2946" s="5">
        <v>5888.85</v>
      </c>
      <c r="P2946">
        <f t="shared" si="181"/>
        <v>1</v>
      </c>
      <c r="Q2946" s="36">
        <f t="shared" si="182"/>
        <v>5888.8499999999995</v>
      </c>
      <c r="R2946">
        <f t="shared" si="183"/>
        <v>2023</v>
      </c>
    </row>
    <row r="2947" spans="1:18" x14ac:dyDescent="0.2">
      <c r="A2947" s="13">
        <v>45406</v>
      </c>
      <c r="B2947" s="13">
        <v>45406</v>
      </c>
      <c r="C2947" s="25" t="s">
        <v>398</v>
      </c>
      <c r="D2947" s="20">
        <v>0</v>
      </c>
      <c r="E2947" s="28">
        <v>2676.75</v>
      </c>
      <c r="F2947" s="22" t="s">
        <v>300</v>
      </c>
      <c r="G2947" s="14">
        <v>15</v>
      </c>
      <c r="H2947" s="40">
        <v>45027</v>
      </c>
      <c r="I2947" s="46">
        <f t="shared" ref="I2947:I3010" si="184">IFERROR(A2947-H2947,"")*1</f>
        <v>379</v>
      </c>
      <c r="J2947" s="1" t="s">
        <v>15</v>
      </c>
      <c r="K2947" s="4" t="s">
        <v>200</v>
      </c>
      <c r="L2947" s="4" t="s">
        <v>225</v>
      </c>
      <c r="M2947" s="8">
        <v>15</v>
      </c>
      <c r="N2947" s="5">
        <v>178.45</v>
      </c>
      <c r="O2947" s="5">
        <v>2676.75</v>
      </c>
      <c r="P2947">
        <f t="shared" ref="P2947:P3010" si="185">IF(M2947=G2947,1,0)</f>
        <v>1</v>
      </c>
      <c r="Q2947" s="36">
        <f t="shared" ref="Q2947:Q3010" si="186">N2947*G2947</f>
        <v>2676.75</v>
      </c>
      <c r="R2947">
        <f t="shared" ref="R2947:R3010" si="187">YEAR(H2947)</f>
        <v>2023</v>
      </c>
    </row>
    <row r="2948" spans="1:18" x14ac:dyDescent="0.2">
      <c r="A2948" s="13">
        <v>45408</v>
      </c>
      <c r="B2948" s="13">
        <v>45408</v>
      </c>
      <c r="C2948" s="25" t="s">
        <v>398</v>
      </c>
      <c r="D2948" s="20">
        <v>0</v>
      </c>
      <c r="E2948" s="28">
        <v>5353.5</v>
      </c>
      <c r="F2948" s="22" t="s">
        <v>300</v>
      </c>
      <c r="G2948" s="14">
        <v>30</v>
      </c>
      <c r="H2948" s="40">
        <v>45034</v>
      </c>
      <c r="I2948" s="46">
        <f t="shared" si="184"/>
        <v>374</v>
      </c>
      <c r="J2948" s="1" t="s">
        <v>15</v>
      </c>
      <c r="K2948" s="4" t="s">
        <v>200</v>
      </c>
      <c r="L2948" s="4" t="s">
        <v>225</v>
      </c>
      <c r="M2948" s="8">
        <v>30</v>
      </c>
      <c r="N2948" s="5">
        <v>178.45</v>
      </c>
      <c r="O2948" s="5">
        <v>5353.5</v>
      </c>
      <c r="P2948">
        <f t="shared" si="185"/>
        <v>1</v>
      </c>
      <c r="Q2948" s="36">
        <f t="shared" si="186"/>
        <v>5353.5</v>
      </c>
      <c r="R2948">
        <f t="shared" si="187"/>
        <v>2023</v>
      </c>
    </row>
    <row r="2949" spans="1:18" x14ac:dyDescent="0.2">
      <c r="A2949" s="13">
        <v>45405</v>
      </c>
      <c r="B2949" s="13">
        <v>45405</v>
      </c>
      <c r="C2949" s="25" t="s">
        <v>398</v>
      </c>
      <c r="D2949" s="20">
        <v>0</v>
      </c>
      <c r="E2949" s="28">
        <v>8030.25</v>
      </c>
      <c r="F2949" s="22" t="s">
        <v>300</v>
      </c>
      <c r="G2949" s="14">
        <v>45</v>
      </c>
      <c r="H2949" s="40">
        <v>45041</v>
      </c>
      <c r="I2949" s="46">
        <f t="shared" si="184"/>
        <v>364</v>
      </c>
      <c r="J2949" s="1" t="s">
        <v>15</v>
      </c>
      <c r="K2949" s="4" t="s">
        <v>200</v>
      </c>
      <c r="L2949" s="4" t="s">
        <v>225</v>
      </c>
      <c r="M2949" s="8">
        <v>45</v>
      </c>
      <c r="N2949" s="5">
        <v>178.45</v>
      </c>
      <c r="O2949" s="5">
        <v>8030.25</v>
      </c>
      <c r="P2949">
        <f t="shared" si="185"/>
        <v>1</v>
      </c>
      <c r="Q2949" s="36">
        <f t="shared" si="186"/>
        <v>8030.2499999999991</v>
      </c>
      <c r="R2949">
        <f t="shared" si="187"/>
        <v>2023</v>
      </c>
    </row>
    <row r="2950" spans="1:18" x14ac:dyDescent="0.2">
      <c r="A2950" s="13">
        <v>45429</v>
      </c>
      <c r="B2950" s="13">
        <v>45429</v>
      </c>
      <c r="C2950" s="25" t="s">
        <v>398</v>
      </c>
      <c r="D2950" s="20">
        <v>0</v>
      </c>
      <c r="E2950" s="28">
        <v>5353.5</v>
      </c>
      <c r="F2950" s="22" t="s">
        <v>300</v>
      </c>
      <c r="G2950" s="14">
        <v>30</v>
      </c>
      <c r="H2950" s="40">
        <v>45062</v>
      </c>
      <c r="I2950" s="46">
        <f t="shared" si="184"/>
        <v>367</v>
      </c>
      <c r="J2950" s="1" t="s">
        <v>15</v>
      </c>
      <c r="K2950" s="4" t="s">
        <v>200</v>
      </c>
      <c r="L2950" s="4" t="s">
        <v>225</v>
      </c>
      <c r="M2950" s="8">
        <v>30</v>
      </c>
      <c r="N2950" s="5">
        <v>178.45</v>
      </c>
      <c r="O2950" s="5">
        <v>5353.5</v>
      </c>
      <c r="P2950">
        <f t="shared" si="185"/>
        <v>1</v>
      </c>
      <c r="Q2950" s="36">
        <f t="shared" si="186"/>
        <v>5353.5</v>
      </c>
      <c r="R2950">
        <f t="shared" si="187"/>
        <v>2023</v>
      </c>
    </row>
    <row r="2951" spans="1:18" x14ac:dyDescent="0.2">
      <c r="A2951" s="13">
        <v>45190</v>
      </c>
      <c r="B2951" s="13">
        <v>45190</v>
      </c>
      <c r="C2951" s="25" t="s">
        <v>398</v>
      </c>
      <c r="D2951" s="20">
        <v>0</v>
      </c>
      <c r="E2951" s="28">
        <v>38581.65</v>
      </c>
      <c r="F2951" s="22" t="s">
        <v>267</v>
      </c>
      <c r="G2951" s="14">
        <v>45</v>
      </c>
      <c r="H2951" s="40">
        <v>44811</v>
      </c>
      <c r="I2951" s="46">
        <f t="shared" si="184"/>
        <v>379</v>
      </c>
      <c r="J2951" s="1" t="s">
        <v>15</v>
      </c>
      <c r="K2951" s="4" t="s">
        <v>199</v>
      </c>
      <c r="L2951" s="4" t="s">
        <v>225</v>
      </c>
      <c r="M2951" s="8">
        <v>45</v>
      </c>
      <c r="N2951" s="5">
        <v>857.37</v>
      </c>
      <c r="O2951" s="5">
        <v>38581.65</v>
      </c>
      <c r="P2951">
        <f t="shared" si="185"/>
        <v>1</v>
      </c>
      <c r="Q2951" s="36">
        <f t="shared" si="186"/>
        <v>38581.65</v>
      </c>
      <c r="R2951">
        <f t="shared" si="187"/>
        <v>2022</v>
      </c>
    </row>
    <row r="2952" spans="1:18" x14ac:dyDescent="0.2">
      <c r="A2952" s="13">
        <v>45190</v>
      </c>
      <c r="B2952" s="13">
        <v>45190</v>
      </c>
      <c r="C2952" s="25" t="s">
        <v>398</v>
      </c>
      <c r="D2952" s="20">
        <v>0</v>
      </c>
      <c r="E2952" s="28">
        <v>38581.65</v>
      </c>
      <c r="F2952" s="22" t="s">
        <v>267</v>
      </c>
      <c r="G2952" s="14">
        <v>45</v>
      </c>
      <c r="H2952" s="40">
        <v>44811</v>
      </c>
      <c r="I2952" s="46">
        <f t="shared" si="184"/>
        <v>379</v>
      </c>
      <c r="J2952" s="1" t="s">
        <v>15</v>
      </c>
      <c r="K2952" s="4" t="s">
        <v>199</v>
      </c>
      <c r="L2952" s="4" t="s">
        <v>225</v>
      </c>
      <c r="M2952" s="8">
        <v>45</v>
      </c>
      <c r="N2952" s="5">
        <v>857.37</v>
      </c>
      <c r="O2952" s="5">
        <v>38581.65</v>
      </c>
      <c r="P2952">
        <f t="shared" si="185"/>
        <v>1</v>
      </c>
      <c r="Q2952" s="36">
        <f t="shared" si="186"/>
        <v>38581.65</v>
      </c>
      <c r="R2952">
        <f t="shared" si="187"/>
        <v>2022</v>
      </c>
    </row>
    <row r="2953" spans="1:18" x14ac:dyDescent="0.2">
      <c r="A2953" s="13">
        <v>45190</v>
      </c>
      <c r="B2953" s="13">
        <v>45190</v>
      </c>
      <c r="C2953" s="25" t="s">
        <v>398</v>
      </c>
      <c r="D2953" s="20">
        <v>0</v>
      </c>
      <c r="E2953" s="28">
        <v>25721.1</v>
      </c>
      <c r="F2953" s="22" t="s">
        <v>267</v>
      </c>
      <c r="G2953" s="14">
        <v>30</v>
      </c>
      <c r="H2953" s="40">
        <v>44811</v>
      </c>
      <c r="I2953" s="46">
        <f t="shared" si="184"/>
        <v>379</v>
      </c>
      <c r="J2953" s="1" t="s">
        <v>15</v>
      </c>
      <c r="K2953" s="4" t="s">
        <v>199</v>
      </c>
      <c r="L2953" s="4" t="s">
        <v>225</v>
      </c>
      <c r="M2953" s="8">
        <v>30</v>
      </c>
      <c r="N2953" s="5">
        <v>857.37</v>
      </c>
      <c r="O2953" s="5">
        <v>25721.1</v>
      </c>
      <c r="P2953">
        <f t="shared" si="185"/>
        <v>1</v>
      </c>
      <c r="Q2953" s="36">
        <f t="shared" si="186"/>
        <v>25721.1</v>
      </c>
      <c r="R2953">
        <f t="shared" si="187"/>
        <v>2022</v>
      </c>
    </row>
    <row r="2954" spans="1:18" x14ac:dyDescent="0.2">
      <c r="A2954" s="13">
        <v>45190</v>
      </c>
      <c r="B2954" s="13">
        <v>45190</v>
      </c>
      <c r="C2954" s="25" t="s">
        <v>398</v>
      </c>
      <c r="D2954" s="20">
        <v>0</v>
      </c>
      <c r="E2954" s="28">
        <v>38581.65</v>
      </c>
      <c r="F2954" s="22" t="s">
        <v>267</v>
      </c>
      <c r="G2954" s="14">
        <v>45</v>
      </c>
      <c r="H2954" s="40">
        <v>44811</v>
      </c>
      <c r="I2954" s="46">
        <f t="shared" si="184"/>
        <v>379</v>
      </c>
      <c r="J2954" s="1" t="s">
        <v>15</v>
      </c>
      <c r="K2954" s="4" t="s">
        <v>199</v>
      </c>
      <c r="L2954" s="4" t="s">
        <v>225</v>
      </c>
      <c r="M2954" s="8">
        <v>45</v>
      </c>
      <c r="N2954" s="5">
        <v>857.37</v>
      </c>
      <c r="O2954" s="5">
        <v>38581.65</v>
      </c>
      <c r="P2954">
        <f t="shared" si="185"/>
        <v>1</v>
      </c>
      <c r="Q2954" s="36">
        <f t="shared" si="186"/>
        <v>38581.65</v>
      </c>
      <c r="R2954">
        <f t="shared" si="187"/>
        <v>2022</v>
      </c>
    </row>
    <row r="2955" spans="1:18" x14ac:dyDescent="0.2">
      <c r="A2955" s="13">
        <v>45190</v>
      </c>
      <c r="B2955" s="13">
        <v>45190</v>
      </c>
      <c r="C2955" s="25" t="s">
        <v>398</v>
      </c>
      <c r="D2955" s="20">
        <v>0</v>
      </c>
      <c r="E2955" s="28">
        <v>38581.65</v>
      </c>
      <c r="F2955" s="22" t="s">
        <v>267</v>
      </c>
      <c r="G2955" s="14">
        <v>45</v>
      </c>
      <c r="H2955" s="40">
        <v>44811</v>
      </c>
      <c r="I2955" s="46">
        <f t="shared" si="184"/>
        <v>379</v>
      </c>
      <c r="J2955" s="1" t="s">
        <v>15</v>
      </c>
      <c r="K2955" s="4" t="s">
        <v>199</v>
      </c>
      <c r="L2955" s="4" t="s">
        <v>225</v>
      </c>
      <c r="M2955" s="8">
        <v>45</v>
      </c>
      <c r="N2955" s="5">
        <v>857.37</v>
      </c>
      <c r="O2955" s="5">
        <v>38581.65</v>
      </c>
      <c r="P2955">
        <f t="shared" si="185"/>
        <v>1</v>
      </c>
      <c r="Q2955" s="36">
        <f t="shared" si="186"/>
        <v>38581.65</v>
      </c>
      <c r="R2955">
        <f t="shared" si="187"/>
        <v>2022</v>
      </c>
    </row>
    <row r="2956" spans="1:18" x14ac:dyDescent="0.2">
      <c r="A2956" s="13">
        <v>45190</v>
      </c>
      <c r="B2956" s="13">
        <v>45190</v>
      </c>
      <c r="C2956" s="25" t="s">
        <v>398</v>
      </c>
      <c r="D2956" s="20">
        <v>0</v>
      </c>
      <c r="E2956" s="28">
        <v>38581.65</v>
      </c>
      <c r="F2956" s="22" t="s">
        <v>267</v>
      </c>
      <c r="G2956" s="14">
        <v>45</v>
      </c>
      <c r="H2956" s="40">
        <v>44811</v>
      </c>
      <c r="I2956" s="46">
        <f t="shared" si="184"/>
        <v>379</v>
      </c>
      <c r="J2956" s="1" t="s">
        <v>15</v>
      </c>
      <c r="K2956" s="4" t="s">
        <v>199</v>
      </c>
      <c r="L2956" s="4" t="s">
        <v>225</v>
      </c>
      <c r="M2956" s="8">
        <v>45</v>
      </c>
      <c r="N2956" s="5">
        <v>857.37</v>
      </c>
      <c r="O2956" s="5">
        <v>38581.65</v>
      </c>
      <c r="P2956">
        <f t="shared" si="185"/>
        <v>1</v>
      </c>
      <c r="Q2956" s="36">
        <f t="shared" si="186"/>
        <v>38581.65</v>
      </c>
      <c r="R2956">
        <f t="shared" si="187"/>
        <v>2022</v>
      </c>
    </row>
    <row r="2957" spans="1:18" x14ac:dyDescent="0.2">
      <c r="A2957" s="13">
        <v>45190</v>
      </c>
      <c r="B2957" s="13">
        <v>45190</v>
      </c>
      <c r="C2957" s="25" t="s">
        <v>398</v>
      </c>
      <c r="D2957" s="20">
        <v>0</v>
      </c>
      <c r="E2957" s="28">
        <v>38581.65</v>
      </c>
      <c r="F2957" s="22" t="s">
        <v>267</v>
      </c>
      <c r="G2957" s="14">
        <v>45</v>
      </c>
      <c r="H2957" s="40">
        <v>44811</v>
      </c>
      <c r="I2957" s="46">
        <f t="shared" si="184"/>
        <v>379</v>
      </c>
      <c r="J2957" s="1" t="s">
        <v>15</v>
      </c>
      <c r="K2957" s="4" t="s">
        <v>199</v>
      </c>
      <c r="L2957" s="4" t="s">
        <v>225</v>
      </c>
      <c r="M2957" s="8">
        <v>45</v>
      </c>
      <c r="N2957" s="5">
        <v>857.37</v>
      </c>
      <c r="O2957" s="5">
        <v>38581.65</v>
      </c>
      <c r="P2957">
        <f t="shared" si="185"/>
        <v>1</v>
      </c>
      <c r="Q2957" s="36">
        <f t="shared" si="186"/>
        <v>38581.65</v>
      </c>
      <c r="R2957">
        <f t="shared" si="187"/>
        <v>2022</v>
      </c>
    </row>
    <row r="2958" spans="1:18" x14ac:dyDescent="0.2">
      <c r="A2958" s="13">
        <v>45190</v>
      </c>
      <c r="B2958" s="13">
        <v>45190</v>
      </c>
      <c r="C2958" s="25" t="s">
        <v>398</v>
      </c>
      <c r="D2958" s="20">
        <v>0</v>
      </c>
      <c r="E2958" s="28">
        <v>38581.65</v>
      </c>
      <c r="F2958" s="22" t="s">
        <v>267</v>
      </c>
      <c r="G2958" s="14">
        <v>45</v>
      </c>
      <c r="H2958" s="40">
        <v>44811</v>
      </c>
      <c r="I2958" s="46">
        <f t="shared" si="184"/>
        <v>379</v>
      </c>
      <c r="J2958" s="1" t="s">
        <v>15</v>
      </c>
      <c r="K2958" s="4" t="s">
        <v>199</v>
      </c>
      <c r="L2958" s="4" t="s">
        <v>225</v>
      </c>
      <c r="M2958" s="8">
        <v>45</v>
      </c>
      <c r="N2958" s="5">
        <v>857.37</v>
      </c>
      <c r="O2958" s="5">
        <v>38581.65</v>
      </c>
      <c r="P2958">
        <f t="shared" si="185"/>
        <v>1</v>
      </c>
      <c r="Q2958" s="36">
        <f t="shared" si="186"/>
        <v>38581.65</v>
      </c>
      <c r="R2958">
        <f t="shared" si="187"/>
        <v>2022</v>
      </c>
    </row>
    <row r="2959" spans="1:18" x14ac:dyDescent="0.2">
      <c r="A2959" s="13">
        <v>45197</v>
      </c>
      <c r="B2959" s="13">
        <v>45197</v>
      </c>
      <c r="C2959" s="25" t="s">
        <v>398</v>
      </c>
      <c r="D2959" s="20">
        <v>0</v>
      </c>
      <c r="E2959" s="28">
        <v>25721.1</v>
      </c>
      <c r="F2959" s="22" t="s">
        <v>267</v>
      </c>
      <c r="G2959" s="14">
        <v>30</v>
      </c>
      <c r="H2959" s="40">
        <v>44818</v>
      </c>
      <c r="I2959" s="46">
        <f t="shared" si="184"/>
        <v>379</v>
      </c>
      <c r="J2959" s="1" t="s">
        <v>15</v>
      </c>
      <c r="K2959" s="4" t="s">
        <v>199</v>
      </c>
      <c r="L2959" s="4" t="s">
        <v>225</v>
      </c>
      <c r="M2959" s="8">
        <v>30</v>
      </c>
      <c r="N2959" s="5">
        <v>857.37</v>
      </c>
      <c r="O2959" s="5">
        <v>25721.1</v>
      </c>
      <c r="P2959">
        <f t="shared" si="185"/>
        <v>1</v>
      </c>
      <c r="Q2959" s="36">
        <f t="shared" si="186"/>
        <v>25721.1</v>
      </c>
      <c r="R2959">
        <f t="shared" si="187"/>
        <v>2022</v>
      </c>
    </row>
    <row r="2960" spans="1:18" x14ac:dyDescent="0.2">
      <c r="A2960" s="13">
        <v>45197</v>
      </c>
      <c r="B2960" s="13">
        <v>45197</v>
      </c>
      <c r="C2960" s="25" t="s">
        <v>398</v>
      </c>
      <c r="D2960" s="20">
        <v>0</v>
      </c>
      <c r="E2960" s="28">
        <v>38581.65</v>
      </c>
      <c r="F2960" s="22" t="s">
        <v>267</v>
      </c>
      <c r="G2960" s="14">
        <v>45</v>
      </c>
      <c r="H2960" s="40">
        <v>44819</v>
      </c>
      <c r="I2960" s="46">
        <f t="shared" si="184"/>
        <v>378</v>
      </c>
      <c r="J2960" s="1" t="s">
        <v>15</v>
      </c>
      <c r="K2960" s="4" t="s">
        <v>199</v>
      </c>
      <c r="L2960" s="4" t="s">
        <v>225</v>
      </c>
      <c r="M2960" s="8">
        <v>45</v>
      </c>
      <c r="N2960" s="5">
        <v>857.37</v>
      </c>
      <c r="O2960" s="5">
        <v>38581.65</v>
      </c>
      <c r="P2960">
        <f t="shared" si="185"/>
        <v>1</v>
      </c>
      <c r="Q2960" s="36">
        <f t="shared" si="186"/>
        <v>38581.65</v>
      </c>
      <c r="R2960">
        <f t="shared" si="187"/>
        <v>2022</v>
      </c>
    </row>
    <row r="2961" spans="1:18" x14ac:dyDescent="0.2">
      <c r="A2961" s="13">
        <v>45197</v>
      </c>
      <c r="B2961" s="13">
        <v>45197</v>
      </c>
      <c r="C2961" s="25" t="s">
        <v>398</v>
      </c>
      <c r="D2961" s="20">
        <v>0</v>
      </c>
      <c r="E2961" s="28">
        <v>38581.65</v>
      </c>
      <c r="F2961" s="22" t="s">
        <v>267</v>
      </c>
      <c r="G2961" s="14">
        <v>45</v>
      </c>
      <c r="H2961" s="40">
        <v>44819</v>
      </c>
      <c r="I2961" s="46">
        <f t="shared" si="184"/>
        <v>378</v>
      </c>
      <c r="J2961" s="1" t="s">
        <v>15</v>
      </c>
      <c r="K2961" s="4" t="s">
        <v>199</v>
      </c>
      <c r="L2961" s="4" t="s">
        <v>225</v>
      </c>
      <c r="M2961" s="8">
        <v>45</v>
      </c>
      <c r="N2961" s="5">
        <v>857.37</v>
      </c>
      <c r="O2961" s="5">
        <v>38581.65</v>
      </c>
      <c r="P2961">
        <f t="shared" si="185"/>
        <v>1</v>
      </c>
      <c r="Q2961" s="36">
        <f t="shared" si="186"/>
        <v>38581.65</v>
      </c>
      <c r="R2961">
        <f t="shared" si="187"/>
        <v>2022</v>
      </c>
    </row>
    <row r="2962" spans="1:18" x14ac:dyDescent="0.2">
      <c r="A2962" s="13">
        <v>45204</v>
      </c>
      <c r="B2962" s="13">
        <v>45204</v>
      </c>
      <c r="C2962" s="25" t="s">
        <v>398</v>
      </c>
      <c r="D2962" s="20">
        <v>0</v>
      </c>
      <c r="E2962" s="28">
        <v>25721.1</v>
      </c>
      <c r="F2962" s="22" t="s">
        <v>267</v>
      </c>
      <c r="G2962" s="14">
        <v>30</v>
      </c>
      <c r="H2962" s="40">
        <v>44826</v>
      </c>
      <c r="I2962" s="46">
        <f t="shared" si="184"/>
        <v>378</v>
      </c>
      <c r="J2962" s="1" t="s">
        <v>15</v>
      </c>
      <c r="K2962" s="4" t="s">
        <v>200</v>
      </c>
      <c r="L2962" s="4" t="s">
        <v>225</v>
      </c>
      <c r="M2962" s="8">
        <v>30</v>
      </c>
      <c r="N2962" s="5">
        <v>857.37</v>
      </c>
      <c r="O2962" s="5">
        <v>25721.1</v>
      </c>
      <c r="P2962">
        <f t="shared" si="185"/>
        <v>1</v>
      </c>
      <c r="Q2962" s="36">
        <f t="shared" si="186"/>
        <v>25721.1</v>
      </c>
      <c r="R2962">
        <f t="shared" si="187"/>
        <v>2022</v>
      </c>
    </row>
    <row r="2963" spans="1:18" x14ac:dyDescent="0.2">
      <c r="A2963" s="13">
        <v>45204</v>
      </c>
      <c r="B2963" s="13">
        <v>45204</v>
      </c>
      <c r="C2963" s="25" t="s">
        <v>398</v>
      </c>
      <c r="D2963" s="20">
        <v>0</v>
      </c>
      <c r="E2963" s="28">
        <v>38581.65</v>
      </c>
      <c r="F2963" s="22" t="s">
        <v>267</v>
      </c>
      <c r="G2963" s="14">
        <v>45</v>
      </c>
      <c r="H2963" s="40">
        <v>44827</v>
      </c>
      <c r="I2963" s="46">
        <f t="shared" si="184"/>
        <v>377</v>
      </c>
      <c r="J2963" s="1" t="s">
        <v>15</v>
      </c>
      <c r="K2963" s="4" t="s">
        <v>200</v>
      </c>
      <c r="L2963" s="4" t="s">
        <v>225</v>
      </c>
      <c r="M2963" s="8">
        <v>45</v>
      </c>
      <c r="N2963" s="5">
        <v>857.37</v>
      </c>
      <c r="O2963" s="5">
        <v>38581.65</v>
      </c>
      <c r="P2963">
        <f t="shared" si="185"/>
        <v>1</v>
      </c>
      <c r="Q2963" s="36">
        <f t="shared" si="186"/>
        <v>38581.65</v>
      </c>
      <c r="R2963">
        <f t="shared" si="187"/>
        <v>2022</v>
      </c>
    </row>
    <row r="2964" spans="1:18" x14ac:dyDescent="0.2">
      <c r="A2964" s="13">
        <v>45204</v>
      </c>
      <c r="B2964" s="13">
        <v>45204</v>
      </c>
      <c r="C2964" s="25" t="s">
        <v>398</v>
      </c>
      <c r="D2964" s="20">
        <v>0</v>
      </c>
      <c r="E2964" s="28">
        <v>38581.65</v>
      </c>
      <c r="F2964" s="22" t="s">
        <v>267</v>
      </c>
      <c r="G2964" s="14">
        <v>45</v>
      </c>
      <c r="H2964" s="40">
        <v>44827</v>
      </c>
      <c r="I2964" s="46">
        <f t="shared" si="184"/>
        <v>377</v>
      </c>
      <c r="J2964" s="1" t="s">
        <v>15</v>
      </c>
      <c r="K2964" s="4" t="s">
        <v>200</v>
      </c>
      <c r="L2964" s="4" t="s">
        <v>225</v>
      </c>
      <c r="M2964" s="8">
        <v>45</v>
      </c>
      <c r="N2964" s="5">
        <v>857.37</v>
      </c>
      <c r="O2964" s="5">
        <v>38581.65</v>
      </c>
      <c r="P2964">
        <f t="shared" si="185"/>
        <v>1</v>
      </c>
      <c r="Q2964" s="36">
        <f t="shared" si="186"/>
        <v>38581.65</v>
      </c>
      <c r="R2964">
        <f t="shared" si="187"/>
        <v>2022</v>
      </c>
    </row>
    <row r="2965" spans="1:18" x14ac:dyDescent="0.2">
      <c r="A2965" s="13">
        <v>45204</v>
      </c>
      <c r="B2965" s="13">
        <v>45204</v>
      </c>
      <c r="C2965" s="25" t="s">
        <v>398</v>
      </c>
      <c r="D2965" s="20">
        <v>0</v>
      </c>
      <c r="E2965" s="28">
        <v>38581.65</v>
      </c>
      <c r="F2965" s="22" t="s">
        <v>267</v>
      </c>
      <c r="G2965" s="14">
        <v>45</v>
      </c>
      <c r="H2965" s="40">
        <v>44827</v>
      </c>
      <c r="I2965" s="46">
        <f t="shared" si="184"/>
        <v>377</v>
      </c>
      <c r="J2965" s="1" t="s">
        <v>15</v>
      </c>
      <c r="K2965" s="4" t="s">
        <v>200</v>
      </c>
      <c r="L2965" s="4" t="s">
        <v>225</v>
      </c>
      <c r="M2965" s="8">
        <v>45</v>
      </c>
      <c r="N2965" s="5">
        <v>857.37</v>
      </c>
      <c r="O2965" s="5">
        <v>38581.65</v>
      </c>
      <c r="P2965">
        <f t="shared" si="185"/>
        <v>1</v>
      </c>
      <c r="Q2965" s="36">
        <f t="shared" si="186"/>
        <v>38581.65</v>
      </c>
      <c r="R2965">
        <f t="shared" si="187"/>
        <v>2022</v>
      </c>
    </row>
    <row r="2966" spans="1:18" x14ac:dyDescent="0.2">
      <c r="A2966" s="13">
        <v>45204</v>
      </c>
      <c r="B2966" s="13">
        <v>45204</v>
      </c>
      <c r="C2966" s="25" t="s">
        <v>398</v>
      </c>
      <c r="D2966" s="20">
        <v>0</v>
      </c>
      <c r="E2966" s="28">
        <v>38581.65</v>
      </c>
      <c r="F2966" s="22" t="s">
        <v>267</v>
      </c>
      <c r="G2966" s="14">
        <v>45</v>
      </c>
      <c r="H2966" s="40">
        <v>44827</v>
      </c>
      <c r="I2966" s="46">
        <f t="shared" si="184"/>
        <v>377</v>
      </c>
      <c r="J2966" s="1" t="s">
        <v>15</v>
      </c>
      <c r="K2966" s="4" t="s">
        <v>200</v>
      </c>
      <c r="L2966" s="4" t="s">
        <v>225</v>
      </c>
      <c r="M2966" s="8">
        <v>45</v>
      </c>
      <c r="N2966" s="5">
        <v>857.37</v>
      </c>
      <c r="O2966" s="5">
        <v>38581.65</v>
      </c>
      <c r="P2966">
        <f t="shared" si="185"/>
        <v>1</v>
      </c>
      <c r="Q2966" s="36">
        <f t="shared" si="186"/>
        <v>38581.65</v>
      </c>
      <c r="R2966">
        <f t="shared" si="187"/>
        <v>2022</v>
      </c>
    </row>
    <row r="2967" spans="1:18" x14ac:dyDescent="0.2">
      <c r="A2967" s="13">
        <v>45204</v>
      </c>
      <c r="B2967" s="13">
        <v>45204</v>
      </c>
      <c r="C2967" s="25" t="s">
        <v>398</v>
      </c>
      <c r="D2967" s="20">
        <v>0</v>
      </c>
      <c r="E2967" s="28">
        <v>38581.65</v>
      </c>
      <c r="F2967" s="22" t="s">
        <v>267</v>
      </c>
      <c r="G2967" s="14">
        <v>45</v>
      </c>
      <c r="H2967" s="40">
        <v>44827</v>
      </c>
      <c r="I2967" s="46">
        <f t="shared" si="184"/>
        <v>377</v>
      </c>
      <c r="J2967" s="1" t="s">
        <v>15</v>
      </c>
      <c r="K2967" s="4" t="s">
        <v>200</v>
      </c>
      <c r="L2967" s="4" t="s">
        <v>225</v>
      </c>
      <c r="M2967" s="8">
        <v>45</v>
      </c>
      <c r="N2967" s="5">
        <v>857.37</v>
      </c>
      <c r="O2967" s="5">
        <v>38581.65</v>
      </c>
      <c r="P2967">
        <f t="shared" si="185"/>
        <v>1</v>
      </c>
      <c r="Q2967" s="36">
        <f t="shared" si="186"/>
        <v>38581.65</v>
      </c>
      <c r="R2967">
        <f t="shared" si="187"/>
        <v>2022</v>
      </c>
    </row>
    <row r="2968" spans="1:18" x14ac:dyDescent="0.2">
      <c r="A2968" s="13">
        <v>45204</v>
      </c>
      <c r="B2968" s="13">
        <v>45204</v>
      </c>
      <c r="C2968" s="25" t="s">
        <v>398</v>
      </c>
      <c r="D2968" s="20">
        <v>0</v>
      </c>
      <c r="E2968" s="28">
        <v>38581.65</v>
      </c>
      <c r="F2968" s="22" t="s">
        <v>267</v>
      </c>
      <c r="G2968" s="14">
        <v>45</v>
      </c>
      <c r="H2968" s="40">
        <v>44827</v>
      </c>
      <c r="I2968" s="46">
        <f t="shared" si="184"/>
        <v>377</v>
      </c>
      <c r="J2968" s="1" t="s">
        <v>15</v>
      </c>
      <c r="K2968" s="4" t="s">
        <v>200</v>
      </c>
      <c r="L2968" s="4" t="s">
        <v>225</v>
      </c>
      <c r="M2968" s="8">
        <v>45</v>
      </c>
      <c r="N2968" s="5">
        <v>857.37</v>
      </c>
      <c r="O2968" s="5">
        <v>38581.65</v>
      </c>
      <c r="P2968">
        <f t="shared" si="185"/>
        <v>1</v>
      </c>
      <c r="Q2968" s="36">
        <f t="shared" si="186"/>
        <v>38581.65</v>
      </c>
      <c r="R2968">
        <f t="shared" si="187"/>
        <v>2022</v>
      </c>
    </row>
    <row r="2969" spans="1:18" x14ac:dyDescent="0.2">
      <c r="A2969" s="13">
        <v>45211</v>
      </c>
      <c r="B2969" s="13">
        <v>45211</v>
      </c>
      <c r="C2969" s="25" t="s">
        <v>398</v>
      </c>
      <c r="D2969" s="20">
        <v>0</v>
      </c>
      <c r="E2969" s="28">
        <v>12860.55</v>
      </c>
      <c r="F2969" s="22" t="s">
        <v>267</v>
      </c>
      <c r="G2969" s="14">
        <v>15</v>
      </c>
      <c r="H2969" s="40">
        <v>44831</v>
      </c>
      <c r="I2969" s="46">
        <f t="shared" si="184"/>
        <v>380</v>
      </c>
      <c r="J2969" s="1" t="s">
        <v>15</v>
      </c>
      <c r="K2969" s="4" t="s">
        <v>199</v>
      </c>
      <c r="L2969" s="4" t="s">
        <v>225</v>
      </c>
      <c r="M2969" s="8">
        <v>15</v>
      </c>
      <c r="N2969" s="5">
        <v>857.37</v>
      </c>
      <c r="O2969" s="5">
        <v>12860.55</v>
      </c>
      <c r="P2969">
        <f t="shared" si="185"/>
        <v>1</v>
      </c>
      <c r="Q2969" s="36">
        <f t="shared" si="186"/>
        <v>12860.55</v>
      </c>
      <c r="R2969">
        <f t="shared" si="187"/>
        <v>2022</v>
      </c>
    </row>
    <row r="2970" spans="1:18" x14ac:dyDescent="0.2">
      <c r="A2970" s="13">
        <v>45211</v>
      </c>
      <c r="B2970" s="13">
        <v>45211</v>
      </c>
      <c r="C2970" s="25" t="s">
        <v>398</v>
      </c>
      <c r="D2970" s="20">
        <v>0</v>
      </c>
      <c r="E2970" s="28">
        <v>38581.65</v>
      </c>
      <c r="F2970" s="22" t="s">
        <v>267</v>
      </c>
      <c r="G2970" s="14">
        <v>45</v>
      </c>
      <c r="H2970" s="40">
        <v>44832</v>
      </c>
      <c r="I2970" s="46">
        <f t="shared" si="184"/>
        <v>379</v>
      </c>
      <c r="J2970" s="1" t="s">
        <v>15</v>
      </c>
      <c r="K2970" s="4" t="s">
        <v>199</v>
      </c>
      <c r="L2970" s="4" t="s">
        <v>225</v>
      </c>
      <c r="M2970" s="8">
        <v>45</v>
      </c>
      <c r="N2970" s="5">
        <v>857.37</v>
      </c>
      <c r="O2970" s="5">
        <v>38581.65</v>
      </c>
      <c r="P2970">
        <f t="shared" si="185"/>
        <v>1</v>
      </c>
      <c r="Q2970" s="36">
        <f t="shared" si="186"/>
        <v>38581.65</v>
      </c>
      <c r="R2970">
        <f t="shared" si="187"/>
        <v>2022</v>
      </c>
    </row>
    <row r="2971" spans="1:18" x14ac:dyDescent="0.2">
      <c r="A2971" s="13">
        <v>45211</v>
      </c>
      <c r="B2971" s="13">
        <v>45211</v>
      </c>
      <c r="C2971" s="25" t="s">
        <v>398</v>
      </c>
      <c r="D2971" s="20">
        <v>0</v>
      </c>
      <c r="E2971" s="28">
        <v>38581.65</v>
      </c>
      <c r="F2971" s="22" t="s">
        <v>267</v>
      </c>
      <c r="G2971" s="14">
        <v>45</v>
      </c>
      <c r="H2971" s="40">
        <v>44832</v>
      </c>
      <c r="I2971" s="46">
        <f t="shared" si="184"/>
        <v>379</v>
      </c>
      <c r="J2971" s="1" t="s">
        <v>15</v>
      </c>
      <c r="K2971" s="4" t="s">
        <v>199</v>
      </c>
      <c r="L2971" s="4" t="s">
        <v>225</v>
      </c>
      <c r="M2971" s="8">
        <v>45</v>
      </c>
      <c r="N2971" s="5">
        <v>857.37</v>
      </c>
      <c r="O2971" s="5">
        <v>38581.65</v>
      </c>
      <c r="P2971">
        <f t="shared" si="185"/>
        <v>1</v>
      </c>
      <c r="Q2971" s="36">
        <f t="shared" si="186"/>
        <v>38581.65</v>
      </c>
      <c r="R2971">
        <f t="shared" si="187"/>
        <v>2022</v>
      </c>
    </row>
    <row r="2972" spans="1:18" x14ac:dyDescent="0.2">
      <c r="A2972" s="13">
        <v>45211</v>
      </c>
      <c r="B2972" s="13">
        <v>45211</v>
      </c>
      <c r="C2972" s="25" t="s">
        <v>398</v>
      </c>
      <c r="D2972" s="20">
        <v>0</v>
      </c>
      <c r="E2972" s="28">
        <v>38581.65</v>
      </c>
      <c r="F2972" s="22" t="s">
        <v>267</v>
      </c>
      <c r="G2972" s="14">
        <v>45</v>
      </c>
      <c r="H2972" s="40">
        <v>44832</v>
      </c>
      <c r="I2972" s="46">
        <f t="shared" si="184"/>
        <v>379</v>
      </c>
      <c r="J2972" s="1" t="s">
        <v>15</v>
      </c>
      <c r="K2972" s="4" t="s">
        <v>199</v>
      </c>
      <c r="L2972" s="4" t="s">
        <v>225</v>
      </c>
      <c r="M2972" s="8">
        <v>45</v>
      </c>
      <c r="N2972" s="5">
        <v>857.37</v>
      </c>
      <c r="O2972" s="5">
        <v>38581.65</v>
      </c>
      <c r="P2972">
        <f t="shared" si="185"/>
        <v>1</v>
      </c>
      <c r="Q2972" s="36">
        <f t="shared" si="186"/>
        <v>38581.65</v>
      </c>
      <c r="R2972">
        <f t="shared" si="187"/>
        <v>2022</v>
      </c>
    </row>
    <row r="2973" spans="1:18" x14ac:dyDescent="0.2">
      <c r="A2973" s="13">
        <v>45211</v>
      </c>
      <c r="B2973" s="13">
        <v>45211</v>
      </c>
      <c r="C2973" s="25" t="s">
        <v>398</v>
      </c>
      <c r="D2973" s="20">
        <v>0</v>
      </c>
      <c r="E2973" s="28">
        <v>38581.65</v>
      </c>
      <c r="F2973" s="22" t="s">
        <v>267</v>
      </c>
      <c r="G2973" s="14">
        <v>45</v>
      </c>
      <c r="H2973" s="40">
        <v>44832</v>
      </c>
      <c r="I2973" s="46">
        <f t="shared" si="184"/>
        <v>379</v>
      </c>
      <c r="J2973" s="1" t="s">
        <v>15</v>
      </c>
      <c r="K2973" s="4" t="s">
        <v>199</v>
      </c>
      <c r="L2973" s="4" t="s">
        <v>225</v>
      </c>
      <c r="M2973" s="8">
        <v>45</v>
      </c>
      <c r="N2973" s="5">
        <v>857.37</v>
      </c>
      <c r="O2973" s="5">
        <v>38581.65</v>
      </c>
      <c r="P2973">
        <f t="shared" si="185"/>
        <v>1</v>
      </c>
      <c r="Q2973" s="36">
        <f t="shared" si="186"/>
        <v>38581.65</v>
      </c>
      <c r="R2973">
        <f t="shared" si="187"/>
        <v>2022</v>
      </c>
    </row>
    <row r="2974" spans="1:18" x14ac:dyDescent="0.2">
      <c r="A2974" s="13">
        <v>45211</v>
      </c>
      <c r="B2974" s="13">
        <v>45211</v>
      </c>
      <c r="C2974" s="25" t="s">
        <v>398</v>
      </c>
      <c r="D2974" s="20">
        <v>0</v>
      </c>
      <c r="E2974" s="28">
        <v>38581.65</v>
      </c>
      <c r="F2974" s="22" t="s">
        <v>267</v>
      </c>
      <c r="G2974" s="14">
        <v>45</v>
      </c>
      <c r="H2974" s="40">
        <v>44832</v>
      </c>
      <c r="I2974" s="46">
        <f t="shared" si="184"/>
        <v>379</v>
      </c>
      <c r="J2974" s="1" t="s">
        <v>15</v>
      </c>
      <c r="K2974" s="4" t="s">
        <v>199</v>
      </c>
      <c r="L2974" s="4" t="s">
        <v>225</v>
      </c>
      <c r="M2974" s="8">
        <v>45</v>
      </c>
      <c r="N2974" s="5">
        <v>857.37</v>
      </c>
      <c r="O2974" s="5">
        <v>38581.65</v>
      </c>
      <c r="P2974">
        <f t="shared" si="185"/>
        <v>1</v>
      </c>
      <c r="Q2974" s="36">
        <f t="shared" si="186"/>
        <v>38581.65</v>
      </c>
      <c r="R2974">
        <f t="shared" si="187"/>
        <v>2022</v>
      </c>
    </row>
    <row r="2975" spans="1:18" x14ac:dyDescent="0.2">
      <c r="A2975" s="13">
        <v>45225</v>
      </c>
      <c r="B2975" s="13">
        <v>45225</v>
      </c>
      <c r="C2975" s="25" t="s">
        <v>398</v>
      </c>
      <c r="D2975" s="20">
        <v>0</v>
      </c>
      <c r="E2975" s="28">
        <v>25721.1</v>
      </c>
      <c r="F2975" s="22" t="s">
        <v>267</v>
      </c>
      <c r="G2975" s="14">
        <v>30</v>
      </c>
      <c r="H2975" s="40">
        <v>44846</v>
      </c>
      <c r="I2975" s="46">
        <f t="shared" si="184"/>
        <v>379</v>
      </c>
      <c r="J2975" s="1" t="s">
        <v>15</v>
      </c>
      <c r="K2975" s="4" t="s">
        <v>199</v>
      </c>
      <c r="L2975" s="4" t="s">
        <v>225</v>
      </c>
      <c r="M2975" s="8">
        <v>30</v>
      </c>
      <c r="N2975" s="5">
        <v>857.37</v>
      </c>
      <c r="O2975" s="5">
        <v>25721.1</v>
      </c>
      <c r="P2975">
        <f t="shared" si="185"/>
        <v>1</v>
      </c>
      <c r="Q2975" s="36">
        <f t="shared" si="186"/>
        <v>25721.1</v>
      </c>
      <c r="R2975">
        <f t="shared" si="187"/>
        <v>2022</v>
      </c>
    </row>
    <row r="2976" spans="1:18" x14ac:dyDescent="0.2">
      <c r="A2976" s="13">
        <v>45218</v>
      </c>
      <c r="B2976" s="13">
        <v>45218</v>
      </c>
      <c r="C2976" s="25" t="s">
        <v>398</v>
      </c>
      <c r="D2976" s="20">
        <v>0</v>
      </c>
      <c r="E2976" s="28">
        <v>38581.65</v>
      </c>
      <c r="F2976" s="22" t="s">
        <v>267</v>
      </c>
      <c r="G2976" s="14">
        <v>45</v>
      </c>
      <c r="H2976" s="40">
        <v>44847</v>
      </c>
      <c r="I2976" s="46">
        <f t="shared" si="184"/>
        <v>371</v>
      </c>
      <c r="J2976" s="1" t="s">
        <v>15</v>
      </c>
      <c r="K2976" s="4" t="s">
        <v>199</v>
      </c>
      <c r="L2976" s="4" t="s">
        <v>225</v>
      </c>
      <c r="M2976" s="8">
        <v>45</v>
      </c>
      <c r="N2976" s="5">
        <v>857.37</v>
      </c>
      <c r="O2976" s="5">
        <v>38581.65</v>
      </c>
      <c r="P2976">
        <f t="shared" si="185"/>
        <v>1</v>
      </c>
      <c r="Q2976" s="36">
        <f t="shared" si="186"/>
        <v>38581.65</v>
      </c>
      <c r="R2976">
        <f t="shared" si="187"/>
        <v>2022</v>
      </c>
    </row>
    <row r="2977" spans="1:18" x14ac:dyDescent="0.2">
      <c r="A2977" s="13">
        <v>45218</v>
      </c>
      <c r="B2977" s="13">
        <v>45218</v>
      </c>
      <c r="C2977" s="25" t="s">
        <v>398</v>
      </c>
      <c r="D2977" s="20">
        <v>0</v>
      </c>
      <c r="E2977" s="28">
        <v>38581.65</v>
      </c>
      <c r="F2977" s="22" t="s">
        <v>267</v>
      </c>
      <c r="G2977" s="14">
        <v>45</v>
      </c>
      <c r="H2977" s="40">
        <v>44847</v>
      </c>
      <c r="I2977" s="46">
        <f t="shared" si="184"/>
        <v>371</v>
      </c>
      <c r="J2977" s="1" t="s">
        <v>15</v>
      </c>
      <c r="K2977" s="4" t="s">
        <v>199</v>
      </c>
      <c r="L2977" s="4" t="s">
        <v>225</v>
      </c>
      <c r="M2977" s="8">
        <v>45</v>
      </c>
      <c r="N2977" s="5">
        <v>857.37</v>
      </c>
      <c r="O2977" s="5">
        <v>38581.65</v>
      </c>
      <c r="P2977">
        <f t="shared" si="185"/>
        <v>1</v>
      </c>
      <c r="Q2977" s="36">
        <f t="shared" si="186"/>
        <v>38581.65</v>
      </c>
      <c r="R2977">
        <f t="shared" si="187"/>
        <v>2022</v>
      </c>
    </row>
    <row r="2978" spans="1:18" x14ac:dyDescent="0.2">
      <c r="A2978" s="13">
        <v>45218</v>
      </c>
      <c r="B2978" s="13">
        <v>45218</v>
      </c>
      <c r="C2978" s="25" t="s">
        <v>398</v>
      </c>
      <c r="D2978" s="20">
        <v>0</v>
      </c>
      <c r="E2978" s="28">
        <v>38581.65</v>
      </c>
      <c r="F2978" s="22" t="s">
        <v>267</v>
      </c>
      <c r="G2978" s="14">
        <v>45</v>
      </c>
      <c r="H2978" s="40">
        <v>44847</v>
      </c>
      <c r="I2978" s="46">
        <f t="shared" si="184"/>
        <v>371</v>
      </c>
      <c r="J2978" s="1" t="s">
        <v>15</v>
      </c>
      <c r="K2978" s="4" t="s">
        <v>199</v>
      </c>
      <c r="L2978" s="4" t="s">
        <v>225</v>
      </c>
      <c r="M2978" s="8">
        <v>45</v>
      </c>
      <c r="N2978" s="5">
        <v>857.37</v>
      </c>
      <c r="O2978" s="5">
        <v>38581.65</v>
      </c>
      <c r="P2978">
        <f t="shared" si="185"/>
        <v>1</v>
      </c>
      <c r="Q2978" s="36">
        <f t="shared" si="186"/>
        <v>38581.65</v>
      </c>
      <c r="R2978">
        <f t="shared" si="187"/>
        <v>2022</v>
      </c>
    </row>
    <row r="2979" spans="1:18" x14ac:dyDescent="0.2">
      <c r="A2979" s="13">
        <v>45218</v>
      </c>
      <c r="B2979" s="13">
        <v>45218</v>
      </c>
      <c r="C2979" s="25" t="s">
        <v>398</v>
      </c>
      <c r="D2979" s="20">
        <v>0</v>
      </c>
      <c r="E2979" s="28">
        <v>38581.65</v>
      </c>
      <c r="F2979" s="22" t="s">
        <v>267</v>
      </c>
      <c r="G2979" s="14">
        <v>45</v>
      </c>
      <c r="H2979" s="40">
        <v>44847</v>
      </c>
      <c r="I2979" s="46">
        <f t="shared" si="184"/>
        <v>371</v>
      </c>
      <c r="J2979" s="1" t="s">
        <v>15</v>
      </c>
      <c r="K2979" s="4" t="s">
        <v>199</v>
      </c>
      <c r="L2979" s="4" t="s">
        <v>225</v>
      </c>
      <c r="M2979" s="8">
        <v>45</v>
      </c>
      <c r="N2979" s="5">
        <v>857.37</v>
      </c>
      <c r="O2979" s="5">
        <v>38581.65</v>
      </c>
      <c r="P2979">
        <f t="shared" si="185"/>
        <v>1</v>
      </c>
      <c r="Q2979" s="36">
        <f t="shared" si="186"/>
        <v>38581.65</v>
      </c>
      <c r="R2979">
        <f t="shared" si="187"/>
        <v>2022</v>
      </c>
    </row>
    <row r="2980" spans="1:18" x14ac:dyDescent="0.2">
      <c r="A2980" s="13">
        <v>45225</v>
      </c>
      <c r="B2980" s="13">
        <v>45225</v>
      </c>
      <c r="C2980" s="25" t="s">
        <v>398</v>
      </c>
      <c r="D2980" s="20">
        <v>0</v>
      </c>
      <c r="E2980" s="28">
        <v>38581.65</v>
      </c>
      <c r="F2980" s="22" t="s">
        <v>267</v>
      </c>
      <c r="G2980" s="14">
        <v>45</v>
      </c>
      <c r="H2980" s="40">
        <v>44847</v>
      </c>
      <c r="I2980" s="46">
        <f t="shared" si="184"/>
        <v>378</v>
      </c>
      <c r="J2980" s="1" t="s">
        <v>15</v>
      </c>
      <c r="K2980" s="4" t="s">
        <v>199</v>
      </c>
      <c r="L2980" s="4" t="s">
        <v>225</v>
      </c>
      <c r="M2980" s="8">
        <v>45</v>
      </c>
      <c r="N2980" s="5">
        <v>857.37</v>
      </c>
      <c r="O2980" s="5">
        <v>38581.65</v>
      </c>
      <c r="P2980">
        <f t="shared" si="185"/>
        <v>1</v>
      </c>
      <c r="Q2980" s="36">
        <f t="shared" si="186"/>
        <v>38581.65</v>
      </c>
      <c r="R2980">
        <f t="shared" si="187"/>
        <v>2022</v>
      </c>
    </row>
    <row r="2981" spans="1:18" x14ac:dyDescent="0.2">
      <c r="A2981" s="13">
        <v>45225</v>
      </c>
      <c r="B2981" s="13">
        <v>45225</v>
      </c>
      <c r="C2981" s="25" t="s">
        <v>398</v>
      </c>
      <c r="D2981" s="20">
        <v>0</v>
      </c>
      <c r="E2981" s="28">
        <v>38581.65</v>
      </c>
      <c r="F2981" s="22" t="s">
        <v>267</v>
      </c>
      <c r="G2981" s="14">
        <v>45</v>
      </c>
      <c r="H2981" s="40">
        <v>44847</v>
      </c>
      <c r="I2981" s="46">
        <f t="shared" si="184"/>
        <v>378</v>
      </c>
      <c r="J2981" s="1" t="s">
        <v>15</v>
      </c>
      <c r="K2981" s="4" t="s">
        <v>199</v>
      </c>
      <c r="L2981" s="4" t="s">
        <v>225</v>
      </c>
      <c r="M2981" s="8">
        <v>45</v>
      </c>
      <c r="N2981" s="5">
        <v>857.37</v>
      </c>
      <c r="O2981" s="5">
        <v>38581.65</v>
      </c>
      <c r="P2981">
        <f t="shared" si="185"/>
        <v>1</v>
      </c>
      <c r="Q2981" s="36">
        <f t="shared" si="186"/>
        <v>38581.65</v>
      </c>
      <c r="R2981">
        <f t="shared" si="187"/>
        <v>2022</v>
      </c>
    </row>
    <row r="2982" spans="1:18" x14ac:dyDescent="0.2">
      <c r="A2982" s="13">
        <v>45225</v>
      </c>
      <c r="B2982" s="13">
        <v>45225</v>
      </c>
      <c r="C2982" s="25" t="s">
        <v>398</v>
      </c>
      <c r="D2982" s="20">
        <v>0</v>
      </c>
      <c r="E2982" s="28">
        <v>38581.65</v>
      </c>
      <c r="F2982" s="22" t="s">
        <v>267</v>
      </c>
      <c r="G2982" s="14">
        <v>45</v>
      </c>
      <c r="H2982" s="40">
        <v>44847</v>
      </c>
      <c r="I2982" s="46">
        <f t="shared" si="184"/>
        <v>378</v>
      </c>
      <c r="J2982" s="1" t="s">
        <v>15</v>
      </c>
      <c r="K2982" s="4" t="s">
        <v>199</v>
      </c>
      <c r="L2982" s="4" t="s">
        <v>225</v>
      </c>
      <c r="M2982" s="8">
        <v>45</v>
      </c>
      <c r="N2982" s="5">
        <v>857.37</v>
      </c>
      <c r="O2982" s="5">
        <v>38581.65</v>
      </c>
      <c r="P2982">
        <f t="shared" si="185"/>
        <v>1</v>
      </c>
      <c r="Q2982" s="36">
        <f t="shared" si="186"/>
        <v>38581.65</v>
      </c>
      <c r="R2982">
        <f t="shared" si="187"/>
        <v>2022</v>
      </c>
    </row>
    <row r="2983" spans="1:18" x14ac:dyDescent="0.2">
      <c r="A2983" s="13">
        <v>45225</v>
      </c>
      <c r="B2983" s="13">
        <v>45225</v>
      </c>
      <c r="C2983" s="25" t="s">
        <v>398</v>
      </c>
      <c r="D2983" s="20">
        <v>0</v>
      </c>
      <c r="E2983" s="28">
        <v>38581.65</v>
      </c>
      <c r="F2983" s="22" t="s">
        <v>267</v>
      </c>
      <c r="G2983" s="14">
        <v>45</v>
      </c>
      <c r="H2983" s="40">
        <v>44847</v>
      </c>
      <c r="I2983" s="46">
        <f t="shared" si="184"/>
        <v>378</v>
      </c>
      <c r="J2983" s="1" t="s">
        <v>15</v>
      </c>
      <c r="K2983" s="4" t="s">
        <v>199</v>
      </c>
      <c r="L2983" s="4" t="s">
        <v>225</v>
      </c>
      <c r="M2983" s="8">
        <v>45</v>
      </c>
      <c r="N2983" s="5">
        <v>857.37</v>
      </c>
      <c r="O2983" s="5">
        <v>38581.65</v>
      </c>
      <c r="P2983">
        <f t="shared" si="185"/>
        <v>1</v>
      </c>
      <c r="Q2983" s="36">
        <f t="shared" si="186"/>
        <v>38581.65</v>
      </c>
      <c r="R2983">
        <f t="shared" si="187"/>
        <v>2022</v>
      </c>
    </row>
    <row r="2984" spans="1:18" x14ac:dyDescent="0.2">
      <c r="A2984" s="13">
        <v>45225</v>
      </c>
      <c r="B2984" s="13">
        <v>45225</v>
      </c>
      <c r="C2984" s="25" t="s">
        <v>398</v>
      </c>
      <c r="D2984" s="20">
        <v>0</v>
      </c>
      <c r="E2984" s="28">
        <v>38581.65</v>
      </c>
      <c r="F2984" s="22" t="s">
        <v>267</v>
      </c>
      <c r="G2984" s="14">
        <v>45</v>
      </c>
      <c r="H2984" s="40">
        <v>44847</v>
      </c>
      <c r="I2984" s="46">
        <f t="shared" si="184"/>
        <v>378</v>
      </c>
      <c r="J2984" s="1" t="s">
        <v>15</v>
      </c>
      <c r="K2984" s="4" t="s">
        <v>199</v>
      </c>
      <c r="L2984" s="4" t="s">
        <v>225</v>
      </c>
      <c r="M2984" s="8">
        <v>45</v>
      </c>
      <c r="N2984" s="5">
        <v>857.37</v>
      </c>
      <c r="O2984" s="5">
        <v>38581.65</v>
      </c>
      <c r="P2984">
        <f t="shared" si="185"/>
        <v>1</v>
      </c>
      <c r="Q2984" s="36">
        <f t="shared" si="186"/>
        <v>38581.65</v>
      </c>
      <c r="R2984">
        <f t="shared" si="187"/>
        <v>2022</v>
      </c>
    </row>
    <row r="2985" spans="1:18" x14ac:dyDescent="0.2">
      <c r="A2985" s="13">
        <v>45225</v>
      </c>
      <c r="B2985" s="13">
        <v>45225</v>
      </c>
      <c r="C2985" s="25" t="s">
        <v>398</v>
      </c>
      <c r="D2985" s="20">
        <v>0</v>
      </c>
      <c r="E2985" s="28">
        <v>38581.65</v>
      </c>
      <c r="F2985" s="22" t="s">
        <v>267</v>
      </c>
      <c r="G2985" s="14">
        <v>45</v>
      </c>
      <c r="H2985" s="40">
        <v>44847</v>
      </c>
      <c r="I2985" s="46">
        <f t="shared" si="184"/>
        <v>378</v>
      </c>
      <c r="J2985" s="1" t="s">
        <v>15</v>
      </c>
      <c r="K2985" s="4" t="s">
        <v>199</v>
      </c>
      <c r="L2985" s="4" t="s">
        <v>225</v>
      </c>
      <c r="M2985" s="8">
        <v>45</v>
      </c>
      <c r="N2985" s="5">
        <v>857.37</v>
      </c>
      <c r="O2985" s="5">
        <v>38581.65</v>
      </c>
      <c r="P2985">
        <f t="shared" si="185"/>
        <v>1</v>
      </c>
      <c r="Q2985" s="36">
        <f t="shared" si="186"/>
        <v>38581.65</v>
      </c>
      <c r="R2985">
        <f t="shared" si="187"/>
        <v>2022</v>
      </c>
    </row>
    <row r="2986" spans="1:18" x14ac:dyDescent="0.2">
      <c r="A2986" s="13">
        <v>45225</v>
      </c>
      <c r="B2986" s="13">
        <v>45225</v>
      </c>
      <c r="C2986" s="25" t="s">
        <v>398</v>
      </c>
      <c r="D2986" s="20">
        <v>0</v>
      </c>
      <c r="E2986" s="28">
        <v>38581.65</v>
      </c>
      <c r="F2986" s="22" t="s">
        <v>267</v>
      </c>
      <c r="G2986" s="14">
        <v>45</v>
      </c>
      <c r="H2986" s="40">
        <v>44847</v>
      </c>
      <c r="I2986" s="46">
        <f t="shared" si="184"/>
        <v>378</v>
      </c>
      <c r="J2986" s="1" t="s">
        <v>15</v>
      </c>
      <c r="K2986" s="4" t="s">
        <v>199</v>
      </c>
      <c r="L2986" s="4" t="s">
        <v>225</v>
      </c>
      <c r="M2986" s="8">
        <v>45</v>
      </c>
      <c r="N2986" s="5">
        <v>857.37</v>
      </c>
      <c r="O2986" s="5">
        <v>38581.65</v>
      </c>
      <c r="P2986">
        <f t="shared" si="185"/>
        <v>1</v>
      </c>
      <c r="Q2986" s="36">
        <f t="shared" si="186"/>
        <v>38581.65</v>
      </c>
      <c r="R2986">
        <f t="shared" si="187"/>
        <v>2022</v>
      </c>
    </row>
    <row r="2987" spans="1:18" x14ac:dyDescent="0.2">
      <c r="A2987" s="13">
        <v>45288</v>
      </c>
      <c r="B2987" s="13">
        <v>45288</v>
      </c>
      <c r="C2987" s="25" t="s">
        <v>398</v>
      </c>
      <c r="D2987" s="20">
        <v>0</v>
      </c>
      <c r="E2987" s="28">
        <v>38581.65</v>
      </c>
      <c r="F2987" s="22" t="s">
        <v>267</v>
      </c>
      <c r="G2987" s="14">
        <v>45</v>
      </c>
      <c r="H2987" s="40">
        <v>44910</v>
      </c>
      <c r="I2987" s="46">
        <f t="shared" si="184"/>
        <v>378</v>
      </c>
      <c r="J2987" s="1" t="s">
        <v>15</v>
      </c>
      <c r="K2987" s="4" t="s">
        <v>200</v>
      </c>
      <c r="L2987" s="4" t="s">
        <v>225</v>
      </c>
      <c r="M2987" s="8">
        <v>45</v>
      </c>
      <c r="N2987" s="5">
        <v>857.37</v>
      </c>
      <c r="O2987" s="5">
        <v>38581.65</v>
      </c>
      <c r="P2987">
        <f t="shared" si="185"/>
        <v>1</v>
      </c>
      <c r="Q2987" s="36">
        <f t="shared" si="186"/>
        <v>38581.65</v>
      </c>
      <c r="R2987">
        <f t="shared" si="187"/>
        <v>2022</v>
      </c>
    </row>
    <row r="2988" spans="1:18" x14ac:dyDescent="0.2">
      <c r="A2988" s="13">
        <v>45288</v>
      </c>
      <c r="B2988" s="13">
        <v>45288</v>
      </c>
      <c r="C2988" s="25" t="s">
        <v>398</v>
      </c>
      <c r="D2988" s="20">
        <v>0</v>
      </c>
      <c r="E2988" s="28">
        <v>38581.65</v>
      </c>
      <c r="F2988" s="22" t="s">
        <v>267</v>
      </c>
      <c r="G2988" s="14">
        <v>45</v>
      </c>
      <c r="H2988" s="40">
        <v>44910</v>
      </c>
      <c r="I2988" s="46">
        <f t="shared" si="184"/>
        <v>378</v>
      </c>
      <c r="J2988" s="1" t="s">
        <v>15</v>
      </c>
      <c r="K2988" s="4" t="s">
        <v>200</v>
      </c>
      <c r="L2988" s="4" t="s">
        <v>225</v>
      </c>
      <c r="M2988" s="8">
        <v>45</v>
      </c>
      <c r="N2988" s="5">
        <v>857.37</v>
      </c>
      <c r="O2988" s="5">
        <v>38581.65</v>
      </c>
      <c r="P2988">
        <f t="shared" si="185"/>
        <v>1</v>
      </c>
      <c r="Q2988" s="36">
        <f t="shared" si="186"/>
        <v>38581.65</v>
      </c>
      <c r="R2988">
        <f t="shared" si="187"/>
        <v>2022</v>
      </c>
    </row>
    <row r="2989" spans="1:18" x14ac:dyDescent="0.2">
      <c r="A2989" s="13">
        <v>45288</v>
      </c>
      <c r="B2989" s="13">
        <v>45288</v>
      </c>
      <c r="C2989" s="25" t="s">
        <v>398</v>
      </c>
      <c r="D2989" s="20">
        <v>0</v>
      </c>
      <c r="E2989" s="28">
        <v>25721.1</v>
      </c>
      <c r="F2989" s="22" t="s">
        <v>267</v>
      </c>
      <c r="G2989" s="14">
        <v>30</v>
      </c>
      <c r="H2989" s="40">
        <v>44914</v>
      </c>
      <c r="I2989" s="46">
        <f t="shared" si="184"/>
        <v>374</v>
      </c>
      <c r="J2989" s="1" t="s">
        <v>15</v>
      </c>
      <c r="K2989" s="4" t="s">
        <v>199</v>
      </c>
      <c r="L2989" s="4" t="s">
        <v>225</v>
      </c>
      <c r="M2989" s="8">
        <v>30</v>
      </c>
      <c r="N2989" s="5">
        <v>857.37</v>
      </c>
      <c r="O2989" s="5">
        <v>25721.1</v>
      </c>
      <c r="P2989">
        <f t="shared" si="185"/>
        <v>1</v>
      </c>
      <c r="Q2989" s="36">
        <f t="shared" si="186"/>
        <v>25721.1</v>
      </c>
      <c r="R2989">
        <f t="shared" si="187"/>
        <v>2022</v>
      </c>
    </row>
    <row r="2990" spans="1:18" x14ac:dyDescent="0.2">
      <c r="A2990" s="13">
        <v>45274</v>
      </c>
      <c r="B2990" s="13">
        <v>45274</v>
      </c>
      <c r="C2990" s="25" t="s">
        <v>398</v>
      </c>
      <c r="D2990" s="20">
        <v>0</v>
      </c>
      <c r="E2990" s="28">
        <v>38581.65</v>
      </c>
      <c r="F2990" s="22" t="s">
        <v>267</v>
      </c>
      <c r="G2990" s="14">
        <v>45</v>
      </c>
      <c r="H2990" s="40">
        <v>44915</v>
      </c>
      <c r="I2990" s="46">
        <f t="shared" si="184"/>
        <v>359</v>
      </c>
      <c r="J2990" s="1" t="s">
        <v>15</v>
      </c>
      <c r="K2990" s="4" t="s">
        <v>200</v>
      </c>
      <c r="L2990" s="4" t="s">
        <v>225</v>
      </c>
      <c r="M2990" s="8">
        <v>45</v>
      </c>
      <c r="N2990" s="5">
        <v>857.37</v>
      </c>
      <c r="O2990" s="5">
        <v>38581.65</v>
      </c>
      <c r="P2990">
        <f t="shared" si="185"/>
        <v>1</v>
      </c>
      <c r="Q2990" s="36">
        <f t="shared" si="186"/>
        <v>38581.65</v>
      </c>
      <c r="R2990">
        <f t="shared" si="187"/>
        <v>2022</v>
      </c>
    </row>
    <row r="2991" spans="1:18" x14ac:dyDescent="0.2">
      <c r="A2991" s="13">
        <v>45274</v>
      </c>
      <c r="B2991" s="13">
        <v>45274</v>
      </c>
      <c r="C2991" s="25" t="s">
        <v>398</v>
      </c>
      <c r="D2991" s="20">
        <v>0</v>
      </c>
      <c r="E2991" s="28">
        <v>38581.65</v>
      </c>
      <c r="F2991" s="22" t="s">
        <v>267</v>
      </c>
      <c r="G2991" s="14">
        <v>45</v>
      </c>
      <c r="H2991" s="40">
        <v>44915</v>
      </c>
      <c r="I2991" s="46">
        <f t="shared" si="184"/>
        <v>359</v>
      </c>
      <c r="J2991" s="1" t="s">
        <v>15</v>
      </c>
      <c r="K2991" s="4" t="s">
        <v>200</v>
      </c>
      <c r="L2991" s="4" t="s">
        <v>225</v>
      </c>
      <c r="M2991" s="8">
        <v>45</v>
      </c>
      <c r="N2991" s="5">
        <v>857.37</v>
      </c>
      <c r="O2991" s="5">
        <v>38581.65</v>
      </c>
      <c r="P2991">
        <f t="shared" si="185"/>
        <v>1</v>
      </c>
      <c r="Q2991" s="36">
        <f t="shared" si="186"/>
        <v>38581.65</v>
      </c>
      <c r="R2991">
        <f t="shared" si="187"/>
        <v>2022</v>
      </c>
    </row>
    <row r="2992" spans="1:18" x14ac:dyDescent="0.2">
      <c r="A2992" s="13">
        <v>45274</v>
      </c>
      <c r="B2992" s="13">
        <v>45274</v>
      </c>
      <c r="C2992" s="25" t="s">
        <v>398</v>
      </c>
      <c r="D2992" s="20">
        <v>0</v>
      </c>
      <c r="E2992" s="28">
        <v>38581.65</v>
      </c>
      <c r="F2992" s="22" t="s">
        <v>267</v>
      </c>
      <c r="G2992" s="14">
        <v>45</v>
      </c>
      <c r="H2992" s="40">
        <v>44915</v>
      </c>
      <c r="I2992" s="46">
        <f t="shared" si="184"/>
        <v>359</v>
      </c>
      <c r="J2992" s="1" t="s">
        <v>15</v>
      </c>
      <c r="K2992" s="4" t="s">
        <v>200</v>
      </c>
      <c r="L2992" s="4" t="s">
        <v>225</v>
      </c>
      <c r="M2992" s="8">
        <v>45</v>
      </c>
      <c r="N2992" s="5">
        <v>857.37</v>
      </c>
      <c r="O2992" s="5">
        <v>38581.65</v>
      </c>
      <c r="P2992">
        <f t="shared" si="185"/>
        <v>1</v>
      </c>
      <c r="Q2992" s="36">
        <f t="shared" si="186"/>
        <v>38581.65</v>
      </c>
      <c r="R2992">
        <f t="shared" si="187"/>
        <v>2022</v>
      </c>
    </row>
    <row r="2993" spans="1:18" x14ac:dyDescent="0.2">
      <c r="A2993" s="13">
        <v>45281</v>
      </c>
      <c r="B2993" s="13">
        <v>45281</v>
      </c>
      <c r="C2993" s="25" t="s">
        <v>398</v>
      </c>
      <c r="D2993" s="20">
        <v>0</v>
      </c>
      <c r="E2993" s="28">
        <v>38581.65</v>
      </c>
      <c r="F2993" s="22" t="s">
        <v>267</v>
      </c>
      <c r="G2993" s="14">
        <v>45</v>
      </c>
      <c r="H2993" s="40">
        <v>44915</v>
      </c>
      <c r="I2993" s="46">
        <f t="shared" si="184"/>
        <v>366</v>
      </c>
      <c r="J2993" s="1" t="s">
        <v>15</v>
      </c>
      <c r="K2993" s="4" t="s">
        <v>200</v>
      </c>
      <c r="L2993" s="4" t="s">
        <v>225</v>
      </c>
      <c r="M2993" s="8">
        <v>45</v>
      </c>
      <c r="N2993" s="5">
        <v>857.37</v>
      </c>
      <c r="O2993" s="5">
        <v>38581.65</v>
      </c>
      <c r="P2993">
        <f t="shared" si="185"/>
        <v>1</v>
      </c>
      <c r="Q2993" s="36">
        <f t="shared" si="186"/>
        <v>38581.65</v>
      </c>
      <c r="R2993">
        <f t="shared" si="187"/>
        <v>2022</v>
      </c>
    </row>
    <row r="2994" spans="1:18" x14ac:dyDescent="0.2">
      <c r="A2994" s="13">
        <v>45281</v>
      </c>
      <c r="B2994" s="13">
        <v>45281</v>
      </c>
      <c r="C2994" s="25" t="s">
        <v>398</v>
      </c>
      <c r="D2994" s="20">
        <v>0</v>
      </c>
      <c r="E2994" s="28">
        <v>38581.65</v>
      </c>
      <c r="F2994" s="22" t="s">
        <v>267</v>
      </c>
      <c r="G2994" s="14">
        <v>45</v>
      </c>
      <c r="H2994" s="40">
        <v>44915</v>
      </c>
      <c r="I2994" s="46">
        <f t="shared" si="184"/>
        <v>366</v>
      </c>
      <c r="J2994" s="1" t="s">
        <v>15</v>
      </c>
      <c r="K2994" s="4" t="s">
        <v>200</v>
      </c>
      <c r="L2994" s="4" t="s">
        <v>225</v>
      </c>
      <c r="M2994" s="8">
        <v>45</v>
      </c>
      <c r="N2994" s="5">
        <v>857.37</v>
      </c>
      <c r="O2994" s="5">
        <v>38581.65</v>
      </c>
      <c r="P2994">
        <f t="shared" si="185"/>
        <v>1</v>
      </c>
      <c r="Q2994" s="36">
        <f t="shared" si="186"/>
        <v>38581.65</v>
      </c>
      <c r="R2994">
        <f t="shared" si="187"/>
        <v>2022</v>
      </c>
    </row>
    <row r="2995" spans="1:18" x14ac:dyDescent="0.2">
      <c r="A2995" s="13">
        <v>45281</v>
      </c>
      <c r="B2995" s="13">
        <v>45281</v>
      </c>
      <c r="C2995" s="25" t="s">
        <v>398</v>
      </c>
      <c r="D2995" s="20">
        <v>0</v>
      </c>
      <c r="E2995" s="28">
        <v>38581.65</v>
      </c>
      <c r="F2995" s="22" t="s">
        <v>267</v>
      </c>
      <c r="G2995" s="14">
        <v>45</v>
      </c>
      <c r="H2995" s="40">
        <v>44915</v>
      </c>
      <c r="I2995" s="46">
        <f t="shared" si="184"/>
        <v>366</v>
      </c>
      <c r="J2995" s="1" t="s">
        <v>15</v>
      </c>
      <c r="K2995" s="4" t="s">
        <v>200</v>
      </c>
      <c r="L2995" s="4" t="s">
        <v>225</v>
      </c>
      <c r="M2995" s="8">
        <v>45</v>
      </c>
      <c r="N2995" s="5">
        <v>857.37</v>
      </c>
      <c r="O2995" s="5">
        <v>38581.65</v>
      </c>
      <c r="P2995">
        <f t="shared" si="185"/>
        <v>1</v>
      </c>
      <c r="Q2995" s="36">
        <f t="shared" si="186"/>
        <v>38581.65</v>
      </c>
      <c r="R2995">
        <f t="shared" si="187"/>
        <v>2022</v>
      </c>
    </row>
    <row r="2996" spans="1:18" x14ac:dyDescent="0.2">
      <c r="A2996" s="13">
        <v>45281</v>
      </c>
      <c r="B2996" s="13">
        <v>45281</v>
      </c>
      <c r="C2996" s="25" t="s">
        <v>398</v>
      </c>
      <c r="D2996" s="20">
        <v>0</v>
      </c>
      <c r="E2996" s="28">
        <v>38581.65</v>
      </c>
      <c r="F2996" s="22" t="s">
        <v>267</v>
      </c>
      <c r="G2996" s="14">
        <v>45</v>
      </c>
      <c r="H2996" s="40">
        <v>44915</v>
      </c>
      <c r="I2996" s="46">
        <f t="shared" si="184"/>
        <v>366</v>
      </c>
      <c r="J2996" s="1" t="s">
        <v>15</v>
      </c>
      <c r="K2996" s="4" t="s">
        <v>200</v>
      </c>
      <c r="L2996" s="4" t="s">
        <v>225</v>
      </c>
      <c r="M2996" s="8">
        <v>45</v>
      </c>
      <c r="N2996" s="5">
        <v>857.37</v>
      </c>
      <c r="O2996" s="5">
        <v>38581.65</v>
      </c>
      <c r="P2996">
        <f t="shared" si="185"/>
        <v>1</v>
      </c>
      <c r="Q2996" s="36">
        <f t="shared" si="186"/>
        <v>38581.65</v>
      </c>
      <c r="R2996">
        <f t="shared" si="187"/>
        <v>2022</v>
      </c>
    </row>
    <row r="2997" spans="1:18" x14ac:dyDescent="0.2">
      <c r="A2997" s="13">
        <v>45281</v>
      </c>
      <c r="B2997" s="13">
        <v>45281</v>
      </c>
      <c r="C2997" s="25" t="s">
        <v>398</v>
      </c>
      <c r="D2997" s="20">
        <v>0</v>
      </c>
      <c r="E2997" s="28">
        <v>38581.65</v>
      </c>
      <c r="F2997" s="22" t="s">
        <v>267</v>
      </c>
      <c r="G2997" s="14">
        <v>45</v>
      </c>
      <c r="H2997" s="40">
        <v>44915</v>
      </c>
      <c r="I2997" s="46">
        <f t="shared" si="184"/>
        <v>366</v>
      </c>
      <c r="J2997" s="1" t="s">
        <v>15</v>
      </c>
      <c r="K2997" s="4" t="s">
        <v>200</v>
      </c>
      <c r="L2997" s="4" t="s">
        <v>225</v>
      </c>
      <c r="M2997" s="8">
        <v>45</v>
      </c>
      <c r="N2997" s="5">
        <v>857.37</v>
      </c>
      <c r="O2997" s="5">
        <v>38581.65</v>
      </c>
      <c r="P2997">
        <f t="shared" si="185"/>
        <v>1</v>
      </c>
      <c r="Q2997" s="36">
        <f t="shared" si="186"/>
        <v>38581.65</v>
      </c>
      <c r="R2997">
        <f t="shared" si="187"/>
        <v>2022</v>
      </c>
    </row>
    <row r="2998" spans="1:18" x14ac:dyDescent="0.2">
      <c r="A2998" s="13">
        <v>45281</v>
      </c>
      <c r="B2998" s="13">
        <v>45281</v>
      </c>
      <c r="C2998" s="25" t="s">
        <v>398</v>
      </c>
      <c r="D2998" s="20">
        <v>0</v>
      </c>
      <c r="E2998" s="28">
        <v>38581.65</v>
      </c>
      <c r="F2998" s="22" t="s">
        <v>267</v>
      </c>
      <c r="G2998" s="14">
        <v>45</v>
      </c>
      <c r="H2998" s="40">
        <v>44915</v>
      </c>
      <c r="I2998" s="46">
        <f t="shared" si="184"/>
        <v>366</v>
      </c>
      <c r="J2998" s="1" t="s">
        <v>15</v>
      </c>
      <c r="K2998" s="4" t="s">
        <v>200</v>
      </c>
      <c r="L2998" s="4" t="s">
        <v>225</v>
      </c>
      <c r="M2998" s="8">
        <v>45</v>
      </c>
      <c r="N2998" s="5">
        <v>857.37</v>
      </c>
      <c r="O2998" s="5">
        <v>38581.65</v>
      </c>
      <c r="P2998">
        <f t="shared" si="185"/>
        <v>1</v>
      </c>
      <c r="Q2998" s="36">
        <f t="shared" si="186"/>
        <v>38581.65</v>
      </c>
      <c r="R2998">
        <f t="shared" si="187"/>
        <v>2022</v>
      </c>
    </row>
    <row r="2999" spans="1:18" x14ac:dyDescent="0.2">
      <c r="A2999" s="13">
        <v>45281</v>
      </c>
      <c r="B2999" s="13">
        <v>45281</v>
      </c>
      <c r="C2999" s="25" t="s">
        <v>398</v>
      </c>
      <c r="D2999" s="20">
        <v>0</v>
      </c>
      <c r="E2999" s="28">
        <v>38581.65</v>
      </c>
      <c r="F2999" s="22" t="s">
        <v>267</v>
      </c>
      <c r="G2999" s="14">
        <v>45</v>
      </c>
      <c r="H2999" s="40">
        <v>44915</v>
      </c>
      <c r="I2999" s="46">
        <f t="shared" si="184"/>
        <v>366</v>
      </c>
      <c r="J2999" s="1" t="s">
        <v>15</v>
      </c>
      <c r="K2999" s="4" t="s">
        <v>200</v>
      </c>
      <c r="L2999" s="4" t="s">
        <v>225</v>
      </c>
      <c r="M2999" s="8">
        <v>45</v>
      </c>
      <c r="N2999" s="5">
        <v>857.37</v>
      </c>
      <c r="O2999" s="5">
        <v>38581.65</v>
      </c>
      <c r="P2999">
        <f t="shared" si="185"/>
        <v>1</v>
      </c>
      <c r="Q2999" s="36">
        <f t="shared" si="186"/>
        <v>38581.65</v>
      </c>
      <c r="R2999">
        <f t="shared" si="187"/>
        <v>2022</v>
      </c>
    </row>
    <row r="3000" spans="1:18" x14ac:dyDescent="0.2">
      <c r="A3000" s="13">
        <v>45288</v>
      </c>
      <c r="B3000" s="13">
        <v>45288</v>
      </c>
      <c r="C3000" s="25" t="s">
        <v>398</v>
      </c>
      <c r="D3000" s="20">
        <v>0</v>
      </c>
      <c r="E3000" s="28">
        <v>38581.65</v>
      </c>
      <c r="F3000" s="22" t="s">
        <v>267</v>
      </c>
      <c r="G3000" s="14">
        <v>45</v>
      </c>
      <c r="H3000" s="40">
        <v>44915</v>
      </c>
      <c r="I3000" s="46">
        <f t="shared" si="184"/>
        <v>373</v>
      </c>
      <c r="J3000" s="1" t="s">
        <v>15</v>
      </c>
      <c r="K3000" s="4" t="s">
        <v>199</v>
      </c>
      <c r="L3000" s="4" t="s">
        <v>225</v>
      </c>
      <c r="M3000" s="8">
        <v>45</v>
      </c>
      <c r="N3000" s="5">
        <v>857.37</v>
      </c>
      <c r="O3000" s="5">
        <v>38581.65</v>
      </c>
      <c r="P3000">
        <f t="shared" si="185"/>
        <v>1</v>
      </c>
      <c r="Q3000" s="36">
        <f t="shared" si="186"/>
        <v>38581.65</v>
      </c>
      <c r="R3000">
        <f t="shared" si="187"/>
        <v>2022</v>
      </c>
    </row>
    <row r="3001" spans="1:18" x14ac:dyDescent="0.2">
      <c r="A3001" s="13">
        <v>45288</v>
      </c>
      <c r="B3001" s="13">
        <v>45288</v>
      </c>
      <c r="C3001" s="25" t="s">
        <v>398</v>
      </c>
      <c r="D3001" s="20">
        <v>0</v>
      </c>
      <c r="E3001" s="28">
        <v>38581.65</v>
      </c>
      <c r="F3001" s="22" t="s">
        <v>267</v>
      </c>
      <c r="G3001" s="14">
        <v>45</v>
      </c>
      <c r="H3001" s="40">
        <v>44915</v>
      </c>
      <c r="I3001" s="46">
        <f t="shared" si="184"/>
        <v>373</v>
      </c>
      <c r="J3001" s="1" t="s">
        <v>15</v>
      </c>
      <c r="K3001" s="4" t="s">
        <v>199</v>
      </c>
      <c r="L3001" s="4" t="s">
        <v>225</v>
      </c>
      <c r="M3001" s="8">
        <v>45</v>
      </c>
      <c r="N3001" s="5">
        <v>857.37</v>
      </c>
      <c r="O3001" s="5">
        <v>38581.65</v>
      </c>
      <c r="P3001">
        <f t="shared" si="185"/>
        <v>1</v>
      </c>
      <c r="Q3001" s="36">
        <f t="shared" si="186"/>
        <v>38581.65</v>
      </c>
      <c r="R3001">
        <f t="shared" si="187"/>
        <v>2022</v>
      </c>
    </row>
    <row r="3002" spans="1:18" x14ac:dyDescent="0.2">
      <c r="A3002" s="13">
        <v>45288</v>
      </c>
      <c r="B3002" s="13">
        <v>45288</v>
      </c>
      <c r="C3002" s="25" t="s">
        <v>398</v>
      </c>
      <c r="D3002" s="20">
        <v>0</v>
      </c>
      <c r="E3002" s="28">
        <v>38581.65</v>
      </c>
      <c r="F3002" s="22" t="s">
        <v>267</v>
      </c>
      <c r="G3002" s="14">
        <v>45</v>
      </c>
      <c r="H3002" s="40">
        <v>44915</v>
      </c>
      <c r="I3002" s="46">
        <f t="shared" si="184"/>
        <v>373</v>
      </c>
      <c r="J3002" s="1" t="s">
        <v>15</v>
      </c>
      <c r="K3002" s="4" t="s">
        <v>199</v>
      </c>
      <c r="L3002" s="4" t="s">
        <v>225</v>
      </c>
      <c r="M3002" s="8">
        <v>45</v>
      </c>
      <c r="N3002" s="5">
        <v>857.37</v>
      </c>
      <c r="O3002" s="5">
        <v>38581.65</v>
      </c>
      <c r="P3002">
        <f t="shared" si="185"/>
        <v>1</v>
      </c>
      <c r="Q3002" s="36">
        <f t="shared" si="186"/>
        <v>38581.65</v>
      </c>
      <c r="R3002">
        <f t="shared" si="187"/>
        <v>2022</v>
      </c>
    </row>
    <row r="3003" spans="1:18" x14ac:dyDescent="0.2">
      <c r="A3003" s="13">
        <v>45288</v>
      </c>
      <c r="B3003" s="13">
        <v>45288</v>
      </c>
      <c r="C3003" s="25" t="s">
        <v>398</v>
      </c>
      <c r="D3003" s="20">
        <v>0</v>
      </c>
      <c r="E3003" s="28">
        <v>38581.65</v>
      </c>
      <c r="F3003" s="22" t="s">
        <v>267</v>
      </c>
      <c r="G3003" s="14">
        <v>45</v>
      </c>
      <c r="H3003" s="40">
        <v>44915</v>
      </c>
      <c r="I3003" s="46">
        <f t="shared" si="184"/>
        <v>373</v>
      </c>
      <c r="J3003" s="1" t="s">
        <v>15</v>
      </c>
      <c r="K3003" s="4" t="s">
        <v>199</v>
      </c>
      <c r="L3003" s="4" t="s">
        <v>225</v>
      </c>
      <c r="M3003" s="8">
        <v>45</v>
      </c>
      <c r="N3003" s="5">
        <v>857.37</v>
      </c>
      <c r="O3003" s="5">
        <v>38581.65</v>
      </c>
      <c r="P3003">
        <f t="shared" si="185"/>
        <v>1</v>
      </c>
      <c r="Q3003" s="36">
        <f t="shared" si="186"/>
        <v>38581.65</v>
      </c>
      <c r="R3003">
        <f t="shared" si="187"/>
        <v>2022</v>
      </c>
    </row>
    <row r="3004" spans="1:18" x14ac:dyDescent="0.2">
      <c r="A3004" s="13">
        <v>45288</v>
      </c>
      <c r="B3004" s="13">
        <v>45288</v>
      </c>
      <c r="C3004" s="25" t="s">
        <v>398</v>
      </c>
      <c r="D3004" s="20">
        <v>0</v>
      </c>
      <c r="E3004" s="28">
        <v>38581.65</v>
      </c>
      <c r="F3004" s="22" t="s">
        <v>267</v>
      </c>
      <c r="G3004" s="14">
        <v>45</v>
      </c>
      <c r="H3004" s="40">
        <v>44915</v>
      </c>
      <c r="I3004" s="46">
        <f t="shared" si="184"/>
        <v>373</v>
      </c>
      <c r="J3004" s="1" t="s">
        <v>15</v>
      </c>
      <c r="K3004" s="4" t="s">
        <v>199</v>
      </c>
      <c r="L3004" s="4" t="s">
        <v>225</v>
      </c>
      <c r="M3004" s="8">
        <v>45</v>
      </c>
      <c r="N3004" s="5">
        <v>857.37</v>
      </c>
      <c r="O3004" s="5">
        <v>38581.65</v>
      </c>
      <c r="P3004">
        <f t="shared" si="185"/>
        <v>1</v>
      </c>
      <c r="Q3004" s="36">
        <f t="shared" si="186"/>
        <v>38581.65</v>
      </c>
      <c r="R3004">
        <f t="shared" si="187"/>
        <v>2022</v>
      </c>
    </row>
    <row r="3005" spans="1:18" x14ac:dyDescent="0.2">
      <c r="A3005" s="13">
        <v>45288</v>
      </c>
      <c r="B3005" s="13">
        <v>45288</v>
      </c>
      <c r="C3005" s="25" t="s">
        <v>398</v>
      </c>
      <c r="D3005" s="20">
        <v>0</v>
      </c>
      <c r="E3005" s="28">
        <v>38581.65</v>
      </c>
      <c r="F3005" s="22" t="s">
        <v>267</v>
      </c>
      <c r="G3005" s="14">
        <v>45</v>
      </c>
      <c r="H3005" s="40">
        <v>44915</v>
      </c>
      <c r="I3005" s="46">
        <f t="shared" si="184"/>
        <v>373</v>
      </c>
      <c r="J3005" s="1" t="s">
        <v>15</v>
      </c>
      <c r="K3005" s="4" t="s">
        <v>200</v>
      </c>
      <c r="L3005" s="4" t="s">
        <v>225</v>
      </c>
      <c r="M3005" s="8">
        <v>45</v>
      </c>
      <c r="N3005" s="5">
        <v>857.37</v>
      </c>
      <c r="O3005" s="5">
        <v>38581.65</v>
      </c>
      <c r="P3005">
        <f t="shared" si="185"/>
        <v>1</v>
      </c>
      <c r="Q3005" s="36">
        <f t="shared" si="186"/>
        <v>38581.65</v>
      </c>
      <c r="R3005">
        <f t="shared" si="187"/>
        <v>2022</v>
      </c>
    </row>
    <row r="3006" spans="1:18" x14ac:dyDescent="0.2">
      <c r="A3006" s="13">
        <v>45295</v>
      </c>
      <c r="B3006" s="13">
        <v>45295</v>
      </c>
      <c r="C3006" s="25" t="s">
        <v>398</v>
      </c>
      <c r="D3006" s="20">
        <v>0</v>
      </c>
      <c r="E3006" s="28">
        <v>38581.65</v>
      </c>
      <c r="F3006" s="22" t="s">
        <v>267</v>
      </c>
      <c r="G3006" s="14">
        <v>45</v>
      </c>
      <c r="H3006" s="40">
        <v>44915</v>
      </c>
      <c r="I3006" s="46">
        <f t="shared" si="184"/>
        <v>380</v>
      </c>
      <c r="J3006" s="1" t="s">
        <v>15</v>
      </c>
      <c r="K3006" s="4" t="s">
        <v>200</v>
      </c>
      <c r="L3006" s="4" t="s">
        <v>225</v>
      </c>
      <c r="M3006" s="8">
        <v>45</v>
      </c>
      <c r="N3006" s="5">
        <v>857.37</v>
      </c>
      <c r="O3006" s="5">
        <v>38581.65</v>
      </c>
      <c r="P3006">
        <f t="shared" si="185"/>
        <v>1</v>
      </c>
      <c r="Q3006" s="36">
        <f t="shared" si="186"/>
        <v>38581.65</v>
      </c>
      <c r="R3006">
        <f t="shared" si="187"/>
        <v>2022</v>
      </c>
    </row>
    <row r="3007" spans="1:18" x14ac:dyDescent="0.2">
      <c r="A3007" s="13">
        <v>45295</v>
      </c>
      <c r="B3007" s="13">
        <v>45295</v>
      </c>
      <c r="C3007" s="25" t="s">
        <v>398</v>
      </c>
      <c r="D3007" s="20">
        <v>0</v>
      </c>
      <c r="E3007" s="28">
        <v>38581.65</v>
      </c>
      <c r="F3007" s="22" t="s">
        <v>267</v>
      </c>
      <c r="G3007" s="14">
        <v>45</v>
      </c>
      <c r="H3007" s="40">
        <v>44915</v>
      </c>
      <c r="I3007" s="46">
        <f t="shared" si="184"/>
        <v>380</v>
      </c>
      <c r="J3007" s="1" t="s">
        <v>15</v>
      </c>
      <c r="K3007" s="4" t="s">
        <v>200</v>
      </c>
      <c r="L3007" s="4" t="s">
        <v>225</v>
      </c>
      <c r="M3007" s="8">
        <v>45</v>
      </c>
      <c r="N3007" s="5">
        <v>857.37</v>
      </c>
      <c r="O3007" s="5">
        <v>38581.65</v>
      </c>
      <c r="P3007">
        <f t="shared" si="185"/>
        <v>1</v>
      </c>
      <c r="Q3007" s="36">
        <f t="shared" si="186"/>
        <v>38581.65</v>
      </c>
      <c r="R3007">
        <f t="shared" si="187"/>
        <v>2022</v>
      </c>
    </row>
    <row r="3008" spans="1:18" x14ac:dyDescent="0.2">
      <c r="A3008" s="13">
        <v>45295</v>
      </c>
      <c r="B3008" s="13">
        <v>45295</v>
      </c>
      <c r="C3008" s="25" t="s">
        <v>398</v>
      </c>
      <c r="D3008" s="20">
        <v>0</v>
      </c>
      <c r="E3008" s="28">
        <v>38581.65</v>
      </c>
      <c r="F3008" s="22" t="s">
        <v>267</v>
      </c>
      <c r="G3008" s="14">
        <v>45</v>
      </c>
      <c r="H3008" s="40">
        <v>44915</v>
      </c>
      <c r="I3008" s="46">
        <f t="shared" si="184"/>
        <v>380</v>
      </c>
      <c r="J3008" s="1" t="s">
        <v>15</v>
      </c>
      <c r="K3008" s="4" t="s">
        <v>200</v>
      </c>
      <c r="L3008" s="4" t="s">
        <v>225</v>
      </c>
      <c r="M3008" s="8">
        <v>45</v>
      </c>
      <c r="N3008" s="5">
        <v>857.37</v>
      </c>
      <c r="O3008" s="5">
        <v>38581.65</v>
      </c>
      <c r="P3008">
        <f t="shared" si="185"/>
        <v>1</v>
      </c>
      <c r="Q3008" s="36">
        <f t="shared" si="186"/>
        <v>38581.65</v>
      </c>
      <c r="R3008">
        <f t="shared" si="187"/>
        <v>2022</v>
      </c>
    </row>
    <row r="3009" spans="1:18" x14ac:dyDescent="0.2">
      <c r="A3009" s="13">
        <v>45295</v>
      </c>
      <c r="B3009" s="13">
        <v>45295</v>
      </c>
      <c r="C3009" s="25" t="s">
        <v>398</v>
      </c>
      <c r="D3009" s="20">
        <v>0</v>
      </c>
      <c r="E3009" s="28">
        <v>38581.65</v>
      </c>
      <c r="F3009" s="22" t="s">
        <v>267</v>
      </c>
      <c r="G3009" s="14">
        <v>45</v>
      </c>
      <c r="H3009" s="40">
        <v>44915</v>
      </c>
      <c r="I3009" s="46">
        <f t="shared" si="184"/>
        <v>380</v>
      </c>
      <c r="J3009" s="1" t="s">
        <v>15</v>
      </c>
      <c r="K3009" s="4" t="s">
        <v>199</v>
      </c>
      <c r="L3009" s="4" t="s">
        <v>225</v>
      </c>
      <c r="M3009" s="8">
        <v>45</v>
      </c>
      <c r="N3009" s="5">
        <v>857.37</v>
      </c>
      <c r="O3009" s="5">
        <v>38581.65</v>
      </c>
      <c r="P3009">
        <f t="shared" si="185"/>
        <v>1</v>
      </c>
      <c r="Q3009" s="36">
        <f t="shared" si="186"/>
        <v>38581.65</v>
      </c>
      <c r="R3009">
        <f t="shared" si="187"/>
        <v>2022</v>
      </c>
    </row>
    <row r="3010" spans="1:18" x14ac:dyDescent="0.2">
      <c r="A3010" s="13">
        <v>45295</v>
      </c>
      <c r="B3010" s="13">
        <v>45295</v>
      </c>
      <c r="C3010" s="25" t="s">
        <v>398</v>
      </c>
      <c r="D3010" s="20">
        <v>0</v>
      </c>
      <c r="E3010" s="28">
        <v>38581.65</v>
      </c>
      <c r="F3010" s="22" t="s">
        <v>267</v>
      </c>
      <c r="G3010" s="14">
        <v>45</v>
      </c>
      <c r="H3010" s="40">
        <v>44915</v>
      </c>
      <c r="I3010" s="46">
        <f t="shared" si="184"/>
        <v>380</v>
      </c>
      <c r="J3010" s="1" t="s">
        <v>15</v>
      </c>
      <c r="K3010" s="4" t="s">
        <v>199</v>
      </c>
      <c r="L3010" s="4" t="s">
        <v>225</v>
      </c>
      <c r="M3010" s="8">
        <v>45</v>
      </c>
      <c r="N3010" s="5">
        <v>857.37</v>
      </c>
      <c r="O3010" s="5">
        <v>38581.65</v>
      </c>
      <c r="P3010">
        <f t="shared" si="185"/>
        <v>1</v>
      </c>
      <c r="Q3010" s="36">
        <f t="shared" si="186"/>
        <v>38581.65</v>
      </c>
      <c r="R3010">
        <f t="shared" si="187"/>
        <v>2022</v>
      </c>
    </row>
    <row r="3011" spans="1:18" x14ac:dyDescent="0.2">
      <c r="A3011" s="13">
        <v>45295</v>
      </c>
      <c r="B3011" s="13">
        <v>45295</v>
      </c>
      <c r="C3011" s="25" t="s">
        <v>398</v>
      </c>
      <c r="D3011" s="20">
        <v>0</v>
      </c>
      <c r="E3011" s="28">
        <v>38581.65</v>
      </c>
      <c r="F3011" s="22" t="s">
        <v>267</v>
      </c>
      <c r="G3011" s="14">
        <v>45</v>
      </c>
      <c r="H3011" s="40">
        <v>44915</v>
      </c>
      <c r="I3011" s="46">
        <f t="shared" ref="I3011:I3074" si="188">IFERROR(A3011-H3011,"")*1</f>
        <v>380</v>
      </c>
      <c r="J3011" s="1" t="s">
        <v>15</v>
      </c>
      <c r="K3011" s="4" t="s">
        <v>199</v>
      </c>
      <c r="L3011" s="4" t="s">
        <v>225</v>
      </c>
      <c r="M3011" s="8">
        <v>45</v>
      </c>
      <c r="N3011" s="5">
        <v>857.37</v>
      </c>
      <c r="O3011" s="5">
        <v>38581.65</v>
      </c>
      <c r="P3011">
        <f t="shared" ref="P3011:P3074" si="189">IF(M3011=G3011,1,0)</f>
        <v>1</v>
      </c>
      <c r="Q3011" s="36">
        <f t="shared" ref="Q3011:Q3074" si="190">N3011*G3011</f>
        <v>38581.65</v>
      </c>
      <c r="R3011">
        <f t="shared" ref="R3011:R3074" si="191">YEAR(H3011)</f>
        <v>2022</v>
      </c>
    </row>
    <row r="3012" spans="1:18" x14ac:dyDescent="0.2">
      <c r="A3012" s="13">
        <v>45295</v>
      </c>
      <c r="B3012" s="13">
        <v>45295</v>
      </c>
      <c r="C3012" s="25" t="s">
        <v>398</v>
      </c>
      <c r="D3012" s="20">
        <v>0</v>
      </c>
      <c r="E3012" s="28">
        <v>38581.65</v>
      </c>
      <c r="F3012" s="22" t="s">
        <v>267</v>
      </c>
      <c r="G3012" s="14">
        <v>45</v>
      </c>
      <c r="H3012" s="40">
        <v>44915</v>
      </c>
      <c r="I3012" s="46">
        <f t="shared" si="188"/>
        <v>380</v>
      </c>
      <c r="J3012" s="1" t="s">
        <v>15</v>
      </c>
      <c r="K3012" s="4" t="s">
        <v>200</v>
      </c>
      <c r="L3012" s="4" t="s">
        <v>225</v>
      </c>
      <c r="M3012" s="8">
        <v>45</v>
      </c>
      <c r="N3012" s="5">
        <v>857.37</v>
      </c>
      <c r="O3012" s="5">
        <v>38581.65</v>
      </c>
      <c r="P3012">
        <f t="shared" si="189"/>
        <v>1</v>
      </c>
      <c r="Q3012" s="36">
        <f t="shared" si="190"/>
        <v>38581.65</v>
      </c>
      <c r="R3012">
        <f t="shared" si="191"/>
        <v>2022</v>
      </c>
    </row>
    <row r="3013" spans="1:18" x14ac:dyDescent="0.2">
      <c r="A3013" s="13">
        <v>45300</v>
      </c>
      <c r="B3013" s="13">
        <v>45300</v>
      </c>
      <c r="C3013" s="25" t="s">
        <v>398</v>
      </c>
      <c r="D3013" s="20">
        <v>0</v>
      </c>
      <c r="E3013" s="28">
        <v>12860.55</v>
      </c>
      <c r="F3013" s="22" t="s">
        <v>267</v>
      </c>
      <c r="G3013" s="14">
        <v>15</v>
      </c>
      <c r="H3013" s="40">
        <v>44921</v>
      </c>
      <c r="I3013" s="46">
        <f t="shared" si="188"/>
        <v>379</v>
      </c>
      <c r="J3013" s="1" t="s">
        <v>15</v>
      </c>
      <c r="K3013" s="4" t="s">
        <v>199</v>
      </c>
      <c r="L3013" s="4" t="s">
        <v>225</v>
      </c>
      <c r="M3013" s="8">
        <v>15</v>
      </c>
      <c r="N3013" s="5">
        <v>857.37</v>
      </c>
      <c r="O3013" s="5">
        <v>12860.55</v>
      </c>
      <c r="P3013">
        <f t="shared" si="189"/>
        <v>1</v>
      </c>
      <c r="Q3013" s="36">
        <f t="shared" si="190"/>
        <v>12860.55</v>
      </c>
      <c r="R3013">
        <f t="shared" si="191"/>
        <v>2022</v>
      </c>
    </row>
    <row r="3014" spans="1:18" x14ac:dyDescent="0.2">
      <c r="A3014" s="13">
        <v>45300</v>
      </c>
      <c r="B3014" s="13">
        <v>45300</v>
      </c>
      <c r="C3014" s="25" t="s">
        <v>398</v>
      </c>
      <c r="D3014" s="20">
        <v>0</v>
      </c>
      <c r="E3014" s="28">
        <v>38581.65</v>
      </c>
      <c r="F3014" s="22" t="s">
        <v>267</v>
      </c>
      <c r="G3014" s="14">
        <v>45</v>
      </c>
      <c r="H3014" s="40">
        <v>44923</v>
      </c>
      <c r="I3014" s="46">
        <f t="shared" si="188"/>
        <v>377</v>
      </c>
      <c r="J3014" s="1" t="s">
        <v>15</v>
      </c>
      <c r="K3014" s="4" t="s">
        <v>199</v>
      </c>
      <c r="L3014" s="4" t="s">
        <v>225</v>
      </c>
      <c r="M3014" s="8">
        <v>45</v>
      </c>
      <c r="N3014" s="5">
        <v>857.37</v>
      </c>
      <c r="O3014" s="5">
        <v>38581.65</v>
      </c>
      <c r="P3014">
        <f t="shared" si="189"/>
        <v>1</v>
      </c>
      <c r="Q3014" s="36">
        <f t="shared" si="190"/>
        <v>38581.65</v>
      </c>
      <c r="R3014">
        <f t="shared" si="191"/>
        <v>2022</v>
      </c>
    </row>
    <row r="3015" spans="1:18" x14ac:dyDescent="0.2">
      <c r="A3015" s="13">
        <v>45300</v>
      </c>
      <c r="B3015" s="13">
        <v>45300</v>
      </c>
      <c r="C3015" s="25" t="s">
        <v>398</v>
      </c>
      <c r="D3015" s="20">
        <v>0</v>
      </c>
      <c r="E3015" s="28">
        <v>38581.65</v>
      </c>
      <c r="F3015" s="22" t="s">
        <v>267</v>
      </c>
      <c r="G3015" s="14">
        <v>45</v>
      </c>
      <c r="H3015" s="40">
        <v>44923</v>
      </c>
      <c r="I3015" s="46">
        <f t="shared" si="188"/>
        <v>377</v>
      </c>
      <c r="J3015" s="1" t="s">
        <v>15</v>
      </c>
      <c r="K3015" s="4" t="s">
        <v>199</v>
      </c>
      <c r="L3015" s="4" t="s">
        <v>225</v>
      </c>
      <c r="M3015" s="8">
        <v>45</v>
      </c>
      <c r="N3015" s="5">
        <v>857.37</v>
      </c>
      <c r="O3015" s="5">
        <v>38581.65</v>
      </c>
      <c r="P3015">
        <f t="shared" si="189"/>
        <v>1</v>
      </c>
      <c r="Q3015" s="36">
        <f t="shared" si="190"/>
        <v>38581.65</v>
      </c>
      <c r="R3015">
        <f t="shared" si="191"/>
        <v>2022</v>
      </c>
    </row>
    <row r="3016" spans="1:18" x14ac:dyDescent="0.2">
      <c r="A3016" s="13">
        <v>45300</v>
      </c>
      <c r="B3016" s="13">
        <v>45300</v>
      </c>
      <c r="C3016" s="25" t="s">
        <v>398</v>
      </c>
      <c r="D3016" s="20">
        <v>0</v>
      </c>
      <c r="E3016" s="28">
        <v>38581.65</v>
      </c>
      <c r="F3016" s="22" t="s">
        <v>267</v>
      </c>
      <c r="G3016" s="14">
        <v>45</v>
      </c>
      <c r="H3016" s="40">
        <v>44923</v>
      </c>
      <c r="I3016" s="46">
        <f t="shared" si="188"/>
        <v>377</v>
      </c>
      <c r="J3016" s="1" t="s">
        <v>15</v>
      </c>
      <c r="K3016" s="4" t="s">
        <v>199</v>
      </c>
      <c r="L3016" s="4" t="s">
        <v>225</v>
      </c>
      <c r="M3016" s="8">
        <v>45</v>
      </c>
      <c r="N3016" s="5">
        <v>857.37</v>
      </c>
      <c r="O3016" s="5">
        <v>38581.65</v>
      </c>
      <c r="P3016">
        <f t="shared" si="189"/>
        <v>1</v>
      </c>
      <c r="Q3016" s="36">
        <f t="shared" si="190"/>
        <v>38581.65</v>
      </c>
      <c r="R3016">
        <f t="shared" si="191"/>
        <v>2022</v>
      </c>
    </row>
    <row r="3017" spans="1:18" x14ac:dyDescent="0.2">
      <c r="A3017" s="13">
        <v>45300</v>
      </c>
      <c r="B3017" s="13">
        <v>45300</v>
      </c>
      <c r="C3017" s="25" t="s">
        <v>398</v>
      </c>
      <c r="D3017" s="20">
        <v>0</v>
      </c>
      <c r="E3017" s="28">
        <v>38581.65</v>
      </c>
      <c r="F3017" s="22" t="s">
        <v>267</v>
      </c>
      <c r="G3017" s="14">
        <v>45</v>
      </c>
      <c r="H3017" s="40">
        <v>44923</v>
      </c>
      <c r="I3017" s="46">
        <f t="shared" si="188"/>
        <v>377</v>
      </c>
      <c r="J3017" s="1" t="s">
        <v>15</v>
      </c>
      <c r="K3017" s="4" t="s">
        <v>199</v>
      </c>
      <c r="L3017" s="4" t="s">
        <v>225</v>
      </c>
      <c r="M3017" s="8">
        <v>45</v>
      </c>
      <c r="N3017" s="5">
        <v>857.37</v>
      </c>
      <c r="O3017" s="5">
        <v>38581.65</v>
      </c>
      <c r="P3017">
        <f t="shared" si="189"/>
        <v>1</v>
      </c>
      <c r="Q3017" s="36">
        <f t="shared" si="190"/>
        <v>38581.65</v>
      </c>
      <c r="R3017">
        <f t="shared" si="191"/>
        <v>2022</v>
      </c>
    </row>
    <row r="3018" spans="1:18" x14ac:dyDescent="0.2">
      <c r="A3018" s="13">
        <v>45300</v>
      </c>
      <c r="B3018" s="13">
        <v>45300</v>
      </c>
      <c r="C3018" s="25" t="s">
        <v>398</v>
      </c>
      <c r="D3018" s="20">
        <v>0</v>
      </c>
      <c r="E3018" s="28">
        <v>38581.65</v>
      </c>
      <c r="F3018" s="22" t="s">
        <v>267</v>
      </c>
      <c r="G3018" s="14">
        <v>45</v>
      </c>
      <c r="H3018" s="40">
        <v>44923</v>
      </c>
      <c r="I3018" s="46">
        <f t="shared" si="188"/>
        <v>377</v>
      </c>
      <c r="J3018" s="1" t="s">
        <v>15</v>
      </c>
      <c r="K3018" s="4" t="s">
        <v>199</v>
      </c>
      <c r="L3018" s="4" t="s">
        <v>225</v>
      </c>
      <c r="M3018" s="8">
        <v>45</v>
      </c>
      <c r="N3018" s="5">
        <v>857.37</v>
      </c>
      <c r="O3018" s="5">
        <v>38581.65</v>
      </c>
      <c r="P3018">
        <f t="shared" si="189"/>
        <v>1</v>
      </c>
      <c r="Q3018" s="36">
        <f t="shared" si="190"/>
        <v>38581.65</v>
      </c>
      <c r="R3018">
        <f t="shared" si="191"/>
        <v>2022</v>
      </c>
    </row>
    <row r="3019" spans="1:18" x14ac:dyDescent="0.2">
      <c r="A3019" s="13">
        <v>45302</v>
      </c>
      <c r="B3019" s="13">
        <v>45302</v>
      </c>
      <c r="C3019" s="25" t="s">
        <v>398</v>
      </c>
      <c r="D3019" s="20">
        <v>0</v>
      </c>
      <c r="E3019" s="28">
        <v>38581.65</v>
      </c>
      <c r="F3019" s="22" t="s">
        <v>267</v>
      </c>
      <c r="G3019" s="14">
        <v>45</v>
      </c>
      <c r="H3019" s="40">
        <v>44932</v>
      </c>
      <c r="I3019" s="46">
        <f t="shared" si="188"/>
        <v>370</v>
      </c>
      <c r="J3019" s="1" t="s">
        <v>15</v>
      </c>
      <c r="K3019" s="4" t="s">
        <v>199</v>
      </c>
      <c r="L3019" s="4" t="s">
        <v>225</v>
      </c>
      <c r="M3019" s="8">
        <v>45</v>
      </c>
      <c r="N3019" s="5">
        <v>857.37</v>
      </c>
      <c r="O3019" s="5">
        <v>38581.65</v>
      </c>
      <c r="P3019">
        <f t="shared" si="189"/>
        <v>1</v>
      </c>
      <c r="Q3019" s="36">
        <f t="shared" si="190"/>
        <v>38581.65</v>
      </c>
      <c r="R3019">
        <f t="shared" si="191"/>
        <v>2023</v>
      </c>
    </row>
    <row r="3020" spans="1:18" x14ac:dyDescent="0.2">
      <c r="A3020" s="13">
        <v>45302</v>
      </c>
      <c r="B3020" s="13">
        <v>45302</v>
      </c>
      <c r="C3020" s="25" t="s">
        <v>398</v>
      </c>
      <c r="D3020" s="20">
        <v>0</v>
      </c>
      <c r="E3020" s="28">
        <v>38581.65</v>
      </c>
      <c r="F3020" s="22" t="s">
        <v>267</v>
      </c>
      <c r="G3020" s="14">
        <v>45</v>
      </c>
      <c r="H3020" s="40">
        <v>44932</v>
      </c>
      <c r="I3020" s="46">
        <f t="shared" si="188"/>
        <v>370</v>
      </c>
      <c r="J3020" s="1" t="s">
        <v>15</v>
      </c>
      <c r="K3020" s="4" t="s">
        <v>199</v>
      </c>
      <c r="L3020" s="4" t="s">
        <v>225</v>
      </c>
      <c r="M3020" s="8">
        <v>45</v>
      </c>
      <c r="N3020" s="5">
        <v>857.37</v>
      </c>
      <c r="O3020" s="5">
        <v>38581.65</v>
      </c>
      <c r="P3020">
        <f t="shared" si="189"/>
        <v>1</v>
      </c>
      <c r="Q3020" s="36">
        <f t="shared" si="190"/>
        <v>38581.65</v>
      </c>
      <c r="R3020">
        <f t="shared" si="191"/>
        <v>2023</v>
      </c>
    </row>
    <row r="3021" spans="1:18" x14ac:dyDescent="0.2">
      <c r="A3021" s="13">
        <v>45302</v>
      </c>
      <c r="B3021" s="13">
        <v>45302</v>
      </c>
      <c r="C3021" s="25" t="s">
        <v>398</v>
      </c>
      <c r="D3021" s="20">
        <v>0</v>
      </c>
      <c r="E3021" s="28">
        <v>38581.65</v>
      </c>
      <c r="F3021" s="22" t="s">
        <v>267</v>
      </c>
      <c r="G3021" s="14">
        <v>45</v>
      </c>
      <c r="H3021" s="40">
        <v>44932</v>
      </c>
      <c r="I3021" s="46">
        <f t="shared" si="188"/>
        <v>370</v>
      </c>
      <c r="J3021" s="1" t="s">
        <v>15</v>
      </c>
      <c r="K3021" s="4" t="s">
        <v>199</v>
      </c>
      <c r="L3021" s="4" t="s">
        <v>225</v>
      </c>
      <c r="M3021" s="8">
        <v>45</v>
      </c>
      <c r="N3021" s="5">
        <v>857.37</v>
      </c>
      <c r="O3021" s="5">
        <v>38581.65</v>
      </c>
      <c r="P3021">
        <f t="shared" si="189"/>
        <v>1</v>
      </c>
      <c r="Q3021" s="36">
        <f t="shared" si="190"/>
        <v>38581.65</v>
      </c>
      <c r="R3021">
        <f t="shared" si="191"/>
        <v>2023</v>
      </c>
    </row>
    <row r="3022" spans="1:18" x14ac:dyDescent="0.2">
      <c r="A3022" s="13">
        <v>45302</v>
      </c>
      <c r="B3022" s="13">
        <v>45302</v>
      </c>
      <c r="C3022" s="25" t="s">
        <v>398</v>
      </c>
      <c r="D3022" s="20">
        <v>0</v>
      </c>
      <c r="E3022" s="28">
        <v>38581.65</v>
      </c>
      <c r="F3022" s="22" t="s">
        <v>267</v>
      </c>
      <c r="G3022" s="14">
        <v>45</v>
      </c>
      <c r="H3022" s="40">
        <v>44932</v>
      </c>
      <c r="I3022" s="46">
        <f t="shared" si="188"/>
        <v>370</v>
      </c>
      <c r="J3022" s="1" t="s">
        <v>15</v>
      </c>
      <c r="K3022" s="4" t="s">
        <v>199</v>
      </c>
      <c r="L3022" s="4" t="s">
        <v>225</v>
      </c>
      <c r="M3022" s="8">
        <v>45</v>
      </c>
      <c r="N3022" s="5">
        <v>857.37</v>
      </c>
      <c r="O3022" s="5">
        <v>38581.65</v>
      </c>
      <c r="P3022">
        <f t="shared" si="189"/>
        <v>1</v>
      </c>
      <c r="Q3022" s="36">
        <f t="shared" si="190"/>
        <v>38581.65</v>
      </c>
      <c r="R3022">
        <f t="shared" si="191"/>
        <v>2023</v>
      </c>
    </row>
    <row r="3023" spans="1:18" x14ac:dyDescent="0.2">
      <c r="A3023" s="13">
        <v>45302</v>
      </c>
      <c r="B3023" s="13">
        <v>45302</v>
      </c>
      <c r="C3023" s="25" t="s">
        <v>398</v>
      </c>
      <c r="D3023" s="20">
        <v>0</v>
      </c>
      <c r="E3023" s="28">
        <v>38581.65</v>
      </c>
      <c r="F3023" s="22" t="s">
        <v>267</v>
      </c>
      <c r="G3023" s="14">
        <v>45</v>
      </c>
      <c r="H3023" s="40">
        <v>44932</v>
      </c>
      <c r="I3023" s="46">
        <f t="shared" si="188"/>
        <v>370</v>
      </c>
      <c r="J3023" s="1" t="s">
        <v>15</v>
      </c>
      <c r="K3023" s="4" t="s">
        <v>199</v>
      </c>
      <c r="L3023" s="4" t="s">
        <v>225</v>
      </c>
      <c r="M3023" s="8">
        <v>45</v>
      </c>
      <c r="N3023" s="5">
        <v>857.37</v>
      </c>
      <c r="O3023" s="5">
        <v>38581.65</v>
      </c>
      <c r="P3023">
        <f t="shared" si="189"/>
        <v>1</v>
      </c>
      <c r="Q3023" s="36">
        <f t="shared" si="190"/>
        <v>38581.65</v>
      </c>
      <c r="R3023">
        <f t="shared" si="191"/>
        <v>2023</v>
      </c>
    </row>
    <row r="3024" spans="1:18" x14ac:dyDescent="0.2">
      <c r="A3024" s="13">
        <v>45309</v>
      </c>
      <c r="B3024" s="13">
        <v>45309</v>
      </c>
      <c r="C3024" s="25" t="s">
        <v>398</v>
      </c>
      <c r="D3024" s="20">
        <v>0</v>
      </c>
      <c r="E3024" s="28">
        <v>38581.65</v>
      </c>
      <c r="F3024" s="22" t="s">
        <v>267</v>
      </c>
      <c r="G3024" s="14">
        <v>45</v>
      </c>
      <c r="H3024" s="40">
        <v>44932</v>
      </c>
      <c r="I3024" s="46">
        <f t="shared" si="188"/>
        <v>377</v>
      </c>
      <c r="J3024" s="1" t="s">
        <v>15</v>
      </c>
      <c r="K3024" s="4" t="s">
        <v>199</v>
      </c>
      <c r="L3024" s="4" t="s">
        <v>225</v>
      </c>
      <c r="M3024" s="8">
        <v>45</v>
      </c>
      <c r="N3024" s="5">
        <v>857.37</v>
      </c>
      <c r="O3024" s="5">
        <v>38581.65</v>
      </c>
      <c r="P3024">
        <f t="shared" si="189"/>
        <v>1</v>
      </c>
      <c r="Q3024" s="36">
        <f t="shared" si="190"/>
        <v>38581.65</v>
      </c>
      <c r="R3024">
        <f t="shared" si="191"/>
        <v>2023</v>
      </c>
    </row>
    <row r="3025" spans="1:18" x14ac:dyDescent="0.2">
      <c r="A3025" s="13">
        <v>45309</v>
      </c>
      <c r="B3025" s="13">
        <v>45309</v>
      </c>
      <c r="C3025" s="25" t="s">
        <v>398</v>
      </c>
      <c r="D3025" s="20">
        <v>0</v>
      </c>
      <c r="E3025" s="28">
        <v>38581.65</v>
      </c>
      <c r="F3025" s="22" t="s">
        <v>267</v>
      </c>
      <c r="G3025" s="14">
        <v>45</v>
      </c>
      <c r="H3025" s="40">
        <v>44932</v>
      </c>
      <c r="I3025" s="46">
        <f t="shared" si="188"/>
        <v>377</v>
      </c>
      <c r="J3025" s="1" t="s">
        <v>15</v>
      </c>
      <c r="K3025" s="4" t="s">
        <v>199</v>
      </c>
      <c r="L3025" s="4" t="s">
        <v>225</v>
      </c>
      <c r="M3025" s="8">
        <v>45</v>
      </c>
      <c r="N3025" s="5">
        <v>857.37</v>
      </c>
      <c r="O3025" s="5">
        <v>38581.65</v>
      </c>
      <c r="P3025">
        <f t="shared" si="189"/>
        <v>1</v>
      </c>
      <c r="Q3025" s="36">
        <f t="shared" si="190"/>
        <v>38581.65</v>
      </c>
      <c r="R3025">
        <f t="shared" si="191"/>
        <v>2023</v>
      </c>
    </row>
    <row r="3026" spans="1:18" x14ac:dyDescent="0.2">
      <c r="A3026" s="13">
        <v>45309</v>
      </c>
      <c r="B3026" s="13">
        <v>45309</v>
      </c>
      <c r="C3026" s="25" t="s">
        <v>398</v>
      </c>
      <c r="D3026" s="20">
        <v>0</v>
      </c>
      <c r="E3026" s="28">
        <v>38581.65</v>
      </c>
      <c r="F3026" s="22" t="s">
        <v>267</v>
      </c>
      <c r="G3026" s="14">
        <v>45</v>
      </c>
      <c r="H3026" s="40">
        <v>44932</v>
      </c>
      <c r="I3026" s="46">
        <f t="shared" si="188"/>
        <v>377</v>
      </c>
      <c r="J3026" s="1" t="s">
        <v>15</v>
      </c>
      <c r="K3026" s="4" t="s">
        <v>199</v>
      </c>
      <c r="L3026" s="4" t="s">
        <v>225</v>
      </c>
      <c r="M3026" s="8">
        <v>45</v>
      </c>
      <c r="N3026" s="5">
        <v>857.37</v>
      </c>
      <c r="O3026" s="5">
        <v>38581.65</v>
      </c>
      <c r="P3026">
        <f t="shared" si="189"/>
        <v>1</v>
      </c>
      <c r="Q3026" s="36">
        <f t="shared" si="190"/>
        <v>38581.65</v>
      </c>
      <c r="R3026">
        <f t="shared" si="191"/>
        <v>2023</v>
      </c>
    </row>
    <row r="3027" spans="1:18" x14ac:dyDescent="0.2">
      <c r="A3027" s="13">
        <v>45309</v>
      </c>
      <c r="B3027" s="13">
        <v>45309</v>
      </c>
      <c r="C3027" s="25" t="s">
        <v>398</v>
      </c>
      <c r="D3027" s="20">
        <v>0</v>
      </c>
      <c r="E3027" s="28">
        <v>38581.65</v>
      </c>
      <c r="F3027" s="22" t="s">
        <v>267</v>
      </c>
      <c r="G3027" s="14">
        <v>45</v>
      </c>
      <c r="H3027" s="40">
        <v>44932</v>
      </c>
      <c r="I3027" s="46">
        <f t="shared" si="188"/>
        <v>377</v>
      </c>
      <c r="J3027" s="1" t="s">
        <v>15</v>
      </c>
      <c r="K3027" s="4" t="s">
        <v>199</v>
      </c>
      <c r="L3027" s="4" t="s">
        <v>225</v>
      </c>
      <c r="M3027" s="8">
        <v>45</v>
      </c>
      <c r="N3027" s="5">
        <v>857.37</v>
      </c>
      <c r="O3027" s="5">
        <v>38581.65</v>
      </c>
      <c r="P3027">
        <f t="shared" si="189"/>
        <v>1</v>
      </c>
      <c r="Q3027" s="36">
        <f t="shared" si="190"/>
        <v>38581.65</v>
      </c>
      <c r="R3027">
        <f t="shared" si="191"/>
        <v>2023</v>
      </c>
    </row>
    <row r="3028" spans="1:18" x14ac:dyDescent="0.2">
      <c r="A3028" s="13">
        <v>45309</v>
      </c>
      <c r="B3028" s="13">
        <v>45309</v>
      </c>
      <c r="C3028" s="25" t="s">
        <v>398</v>
      </c>
      <c r="D3028" s="20">
        <v>0</v>
      </c>
      <c r="E3028" s="28">
        <v>38581.65</v>
      </c>
      <c r="F3028" s="22" t="s">
        <v>267</v>
      </c>
      <c r="G3028" s="14">
        <v>45</v>
      </c>
      <c r="H3028" s="40">
        <v>44932</v>
      </c>
      <c r="I3028" s="46">
        <f t="shared" si="188"/>
        <v>377</v>
      </c>
      <c r="J3028" s="1" t="s">
        <v>15</v>
      </c>
      <c r="K3028" s="4" t="s">
        <v>199</v>
      </c>
      <c r="L3028" s="4" t="s">
        <v>225</v>
      </c>
      <c r="M3028" s="8">
        <v>45</v>
      </c>
      <c r="N3028" s="5">
        <v>857.37</v>
      </c>
      <c r="O3028" s="5">
        <v>38581.65</v>
      </c>
      <c r="P3028">
        <f t="shared" si="189"/>
        <v>1</v>
      </c>
      <c r="Q3028" s="36">
        <f t="shared" si="190"/>
        <v>38581.65</v>
      </c>
      <c r="R3028">
        <f t="shared" si="191"/>
        <v>2023</v>
      </c>
    </row>
    <row r="3029" spans="1:18" x14ac:dyDescent="0.2">
      <c r="A3029" s="13">
        <v>45309</v>
      </c>
      <c r="B3029" s="13">
        <v>45309</v>
      </c>
      <c r="C3029" s="25" t="s">
        <v>398</v>
      </c>
      <c r="D3029" s="20">
        <v>0</v>
      </c>
      <c r="E3029" s="28">
        <v>38581.65</v>
      </c>
      <c r="F3029" s="22" t="s">
        <v>267</v>
      </c>
      <c r="G3029" s="14">
        <v>45</v>
      </c>
      <c r="H3029" s="40">
        <v>44932</v>
      </c>
      <c r="I3029" s="46">
        <f t="shared" si="188"/>
        <v>377</v>
      </c>
      <c r="J3029" s="1" t="s">
        <v>15</v>
      </c>
      <c r="K3029" s="4" t="s">
        <v>199</v>
      </c>
      <c r="L3029" s="4" t="s">
        <v>225</v>
      </c>
      <c r="M3029" s="8">
        <v>45</v>
      </c>
      <c r="N3029" s="5">
        <v>857.37</v>
      </c>
      <c r="O3029" s="5">
        <v>38581.65</v>
      </c>
      <c r="P3029">
        <f t="shared" si="189"/>
        <v>1</v>
      </c>
      <c r="Q3029" s="36">
        <f t="shared" si="190"/>
        <v>38581.65</v>
      </c>
      <c r="R3029">
        <f t="shared" si="191"/>
        <v>2023</v>
      </c>
    </row>
    <row r="3030" spans="1:18" x14ac:dyDescent="0.2">
      <c r="A3030" s="13">
        <v>45309</v>
      </c>
      <c r="B3030" s="13">
        <v>45309</v>
      </c>
      <c r="C3030" s="25" t="s">
        <v>398</v>
      </c>
      <c r="D3030" s="20">
        <v>0</v>
      </c>
      <c r="E3030" s="28">
        <v>38581.65</v>
      </c>
      <c r="F3030" s="22" t="s">
        <v>267</v>
      </c>
      <c r="G3030" s="14">
        <v>45</v>
      </c>
      <c r="H3030" s="40">
        <v>44932</v>
      </c>
      <c r="I3030" s="46">
        <f t="shared" si="188"/>
        <v>377</v>
      </c>
      <c r="J3030" s="1" t="s">
        <v>15</v>
      </c>
      <c r="K3030" s="4" t="s">
        <v>199</v>
      </c>
      <c r="L3030" s="4" t="s">
        <v>225</v>
      </c>
      <c r="M3030" s="8">
        <v>45</v>
      </c>
      <c r="N3030" s="5">
        <v>857.37</v>
      </c>
      <c r="O3030" s="5">
        <v>38581.65</v>
      </c>
      <c r="P3030">
        <f t="shared" si="189"/>
        <v>1</v>
      </c>
      <c r="Q3030" s="36">
        <f t="shared" si="190"/>
        <v>38581.65</v>
      </c>
      <c r="R3030">
        <f t="shared" si="191"/>
        <v>2023</v>
      </c>
    </row>
    <row r="3031" spans="1:18" x14ac:dyDescent="0.2">
      <c r="A3031" s="13">
        <v>45316</v>
      </c>
      <c r="B3031" s="13">
        <v>45316</v>
      </c>
      <c r="C3031" s="25" t="s">
        <v>398</v>
      </c>
      <c r="D3031" s="20">
        <v>0</v>
      </c>
      <c r="E3031" s="28">
        <v>38581.65</v>
      </c>
      <c r="F3031" s="22" t="s">
        <v>267</v>
      </c>
      <c r="G3031" s="14">
        <v>45</v>
      </c>
      <c r="H3031" s="40">
        <v>44939</v>
      </c>
      <c r="I3031" s="46">
        <f t="shared" si="188"/>
        <v>377</v>
      </c>
      <c r="J3031" s="1" t="s">
        <v>15</v>
      </c>
      <c r="K3031" s="4" t="s">
        <v>199</v>
      </c>
      <c r="L3031" s="4" t="s">
        <v>225</v>
      </c>
      <c r="M3031" s="8">
        <v>45</v>
      </c>
      <c r="N3031" s="5">
        <v>857.37</v>
      </c>
      <c r="O3031" s="5">
        <v>38581.65</v>
      </c>
      <c r="P3031">
        <f t="shared" si="189"/>
        <v>1</v>
      </c>
      <c r="Q3031" s="36">
        <f t="shared" si="190"/>
        <v>38581.65</v>
      </c>
      <c r="R3031">
        <f t="shared" si="191"/>
        <v>2023</v>
      </c>
    </row>
    <row r="3032" spans="1:18" x14ac:dyDescent="0.2">
      <c r="A3032" s="13">
        <v>45316</v>
      </c>
      <c r="B3032" s="13">
        <v>45316</v>
      </c>
      <c r="C3032" s="25" t="s">
        <v>398</v>
      </c>
      <c r="D3032" s="20">
        <v>0</v>
      </c>
      <c r="E3032" s="28">
        <v>38581.65</v>
      </c>
      <c r="F3032" s="22" t="s">
        <v>267</v>
      </c>
      <c r="G3032" s="14">
        <v>45</v>
      </c>
      <c r="H3032" s="40">
        <v>44939</v>
      </c>
      <c r="I3032" s="46">
        <f t="shared" si="188"/>
        <v>377</v>
      </c>
      <c r="J3032" s="1" t="s">
        <v>15</v>
      </c>
      <c r="K3032" s="4" t="s">
        <v>199</v>
      </c>
      <c r="L3032" s="4" t="s">
        <v>225</v>
      </c>
      <c r="M3032" s="8">
        <v>45</v>
      </c>
      <c r="N3032" s="5">
        <v>857.37</v>
      </c>
      <c r="O3032" s="5">
        <v>38581.65</v>
      </c>
      <c r="P3032">
        <f t="shared" si="189"/>
        <v>1</v>
      </c>
      <c r="Q3032" s="36">
        <f t="shared" si="190"/>
        <v>38581.65</v>
      </c>
      <c r="R3032">
        <f t="shared" si="191"/>
        <v>2023</v>
      </c>
    </row>
    <row r="3033" spans="1:18" x14ac:dyDescent="0.2">
      <c r="A3033" s="13">
        <v>45316</v>
      </c>
      <c r="B3033" s="13">
        <v>45316</v>
      </c>
      <c r="C3033" s="25" t="s">
        <v>398</v>
      </c>
      <c r="D3033" s="20">
        <v>0</v>
      </c>
      <c r="E3033" s="28">
        <v>38581.65</v>
      </c>
      <c r="F3033" s="22" t="s">
        <v>267</v>
      </c>
      <c r="G3033" s="14">
        <v>45</v>
      </c>
      <c r="H3033" s="40">
        <v>44939</v>
      </c>
      <c r="I3033" s="46">
        <f t="shared" si="188"/>
        <v>377</v>
      </c>
      <c r="J3033" s="1" t="s">
        <v>15</v>
      </c>
      <c r="K3033" s="4" t="s">
        <v>199</v>
      </c>
      <c r="L3033" s="4" t="s">
        <v>225</v>
      </c>
      <c r="M3033" s="8">
        <v>45</v>
      </c>
      <c r="N3033" s="5">
        <v>857.37</v>
      </c>
      <c r="O3033" s="5">
        <v>38581.65</v>
      </c>
      <c r="P3033">
        <f t="shared" si="189"/>
        <v>1</v>
      </c>
      <c r="Q3033" s="36">
        <f t="shared" si="190"/>
        <v>38581.65</v>
      </c>
      <c r="R3033">
        <f t="shared" si="191"/>
        <v>2023</v>
      </c>
    </row>
    <row r="3034" spans="1:18" x14ac:dyDescent="0.2">
      <c r="A3034" s="13">
        <v>45316</v>
      </c>
      <c r="B3034" s="13">
        <v>45316</v>
      </c>
      <c r="C3034" s="25" t="s">
        <v>398</v>
      </c>
      <c r="D3034" s="20">
        <v>0</v>
      </c>
      <c r="E3034" s="28">
        <v>12860.55</v>
      </c>
      <c r="F3034" s="22" t="s">
        <v>267</v>
      </c>
      <c r="G3034" s="14">
        <v>15</v>
      </c>
      <c r="H3034" s="40">
        <v>44939</v>
      </c>
      <c r="I3034" s="46">
        <f t="shared" si="188"/>
        <v>377</v>
      </c>
      <c r="J3034" s="1" t="s">
        <v>15</v>
      </c>
      <c r="K3034" s="4" t="s">
        <v>199</v>
      </c>
      <c r="L3034" s="4" t="s">
        <v>225</v>
      </c>
      <c r="M3034" s="8">
        <v>15</v>
      </c>
      <c r="N3034" s="5">
        <v>857.37</v>
      </c>
      <c r="O3034" s="5">
        <v>12860.55</v>
      </c>
      <c r="P3034">
        <f t="shared" si="189"/>
        <v>1</v>
      </c>
      <c r="Q3034" s="36">
        <f t="shared" si="190"/>
        <v>12860.55</v>
      </c>
      <c r="R3034">
        <f t="shared" si="191"/>
        <v>2023</v>
      </c>
    </row>
    <row r="3035" spans="1:18" x14ac:dyDescent="0.2">
      <c r="A3035" s="13">
        <v>45419</v>
      </c>
      <c r="B3035" s="13">
        <v>45419</v>
      </c>
      <c r="C3035" s="25" t="s">
        <v>398</v>
      </c>
      <c r="D3035" s="20">
        <v>0</v>
      </c>
      <c r="E3035" s="28">
        <v>25721.1</v>
      </c>
      <c r="F3035" s="22" t="s">
        <v>267</v>
      </c>
      <c r="G3035" s="14">
        <v>30</v>
      </c>
      <c r="H3035" s="40">
        <v>45041</v>
      </c>
      <c r="I3035" s="46">
        <f t="shared" si="188"/>
        <v>378</v>
      </c>
      <c r="J3035" s="1" t="s">
        <v>15</v>
      </c>
      <c r="K3035" s="4" t="s">
        <v>200</v>
      </c>
      <c r="L3035" s="4" t="s">
        <v>225</v>
      </c>
      <c r="M3035" s="8">
        <v>30</v>
      </c>
      <c r="N3035" s="5">
        <v>857.37</v>
      </c>
      <c r="O3035" s="5">
        <v>25721.1</v>
      </c>
      <c r="P3035">
        <f t="shared" si="189"/>
        <v>1</v>
      </c>
      <c r="Q3035" s="36">
        <f t="shared" si="190"/>
        <v>25721.1</v>
      </c>
      <c r="R3035">
        <f t="shared" si="191"/>
        <v>2023</v>
      </c>
    </row>
    <row r="3036" spans="1:18" x14ac:dyDescent="0.2">
      <c r="A3036" s="13">
        <v>45419</v>
      </c>
      <c r="B3036" s="13">
        <v>45419</v>
      </c>
      <c r="C3036" s="25" t="s">
        <v>398</v>
      </c>
      <c r="D3036" s="20">
        <v>0</v>
      </c>
      <c r="E3036" s="28">
        <v>38581.65</v>
      </c>
      <c r="F3036" s="22" t="s">
        <v>267</v>
      </c>
      <c r="G3036" s="14">
        <v>45</v>
      </c>
      <c r="H3036" s="40">
        <v>45042</v>
      </c>
      <c r="I3036" s="46">
        <f t="shared" si="188"/>
        <v>377</v>
      </c>
      <c r="J3036" s="1" t="s">
        <v>15</v>
      </c>
      <c r="K3036" s="4" t="s">
        <v>200</v>
      </c>
      <c r="L3036" s="4" t="s">
        <v>225</v>
      </c>
      <c r="M3036" s="8">
        <v>45</v>
      </c>
      <c r="N3036" s="5">
        <v>857.37</v>
      </c>
      <c r="O3036" s="5">
        <v>38581.65</v>
      </c>
      <c r="P3036">
        <f t="shared" si="189"/>
        <v>1</v>
      </c>
      <c r="Q3036" s="36">
        <f t="shared" si="190"/>
        <v>38581.65</v>
      </c>
      <c r="R3036">
        <f t="shared" si="191"/>
        <v>2023</v>
      </c>
    </row>
    <row r="3037" spans="1:18" x14ac:dyDescent="0.2">
      <c r="A3037" s="13">
        <v>45419</v>
      </c>
      <c r="B3037" s="13">
        <v>45419</v>
      </c>
      <c r="C3037" s="25" t="s">
        <v>398</v>
      </c>
      <c r="D3037" s="20">
        <v>0</v>
      </c>
      <c r="E3037" s="28">
        <v>38581.65</v>
      </c>
      <c r="F3037" s="22" t="s">
        <v>267</v>
      </c>
      <c r="G3037" s="14">
        <v>45</v>
      </c>
      <c r="H3037" s="40">
        <v>45042</v>
      </c>
      <c r="I3037" s="46">
        <f t="shared" si="188"/>
        <v>377</v>
      </c>
      <c r="J3037" s="1" t="s">
        <v>15</v>
      </c>
      <c r="K3037" s="4" t="s">
        <v>200</v>
      </c>
      <c r="L3037" s="4" t="s">
        <v>225</v>
      </c>
      <c r="M3037" s="8">
        <v>45</v>
      </c>
      <c r="N3037" s="5">
        <v>857.37</v>
      </c>
      <c r="O3037" s="5">
        <v>38581.65</v>
      </c>
      <c r="P3037">
        <f t="shared" si="189"/>
        <v>1</v>
      </c>
      <c r="Q3037" s="36">
        <f t="shared" si="190"/>
        <v>38581.65</v>
      </c>
      <c r="R3037">
        <f t="shared" si="191"/>
        <v>2023</v>
      </c>
    </row>
    <row r="3038" spans="1:18" x14ac:dyDescent="0.2">
      <c r="A3038" s="13">
        <v>45419</v>
      </c>
      <c r="B3038" s="13">
        <v>45419</v>
      </c>
      <c r="C3038" s="25" t="s">
        <v>398</v>
      </c>
      <c r="D3038" s="20">
        <v>0</v>
      </c>
      <c r="E3038" s="28">
        <v>38581.65</v>
      </c>
      <c r="F3038" s="22" t="s">
        <v>267</v>
      </c>
      <c r="G3038" s="14">
        <v>45</v>
      </c>
      <c r="H3038" s="40">
        <v>45042</v>
      </c>
      <c r="I3038" s="46">
        <f t="shared" si="188"/>
        <v>377</v>
      </c>
      <c r="J3038" s="1" t="s">
        <v>15</v>
      </c>
      <c r="K3038" s="4" t="s">
        <v>200</v>
      </c>
      <c r="L3038" s="4" t="s">
        <v>225</v>
      </c>
      <c r="M3038" s="8">
        <v>45</v>
      </c>
      <c r="N3038" s="5">
        <v>857.37</v>
      </c>
      <c r="O3038" s="5">
        <v>38581.65</v>
      </c>
      <c r="P3038">
        <f t="shared" si="189"/>
        <v>1</v>
      </c>
      <c r="Q3038" s="36">
        <f t="shared" si="190"/>
        <v>38581.65</v>
      </c>
      <c r="R3038">
        <f t="shared" si="191"/>
        <v>2023</v>
      </c>
    </row>
    <row r="3039" spans="1:18" x14ac:dyDescent="0.2">
      <c r="A3039" s="13">
        <v>45419</v>
      </c>
      <c r="B3039" s="13">
        <v>45419</v>
      </c>
      <c r="C3039" s="25" t="s">
        <v>398</v>
      </c>
      <c r="D3039" s="20">
        <v>0</v>
      </c>
      <c r="E3039" s="28">
        <v>38581.65</v>
      </c>
      <c r="F3039" s="22" t="s">
        <v>267</v>
      </c>
      <c r="G3039" s="14">
        <v>45</v>
      </c>
      <c r="H3039" s="40">
        <v>45042</v>
      </c>
      <c r="I3039" s="46">
        <f t="shared" si="188"/>
        <v>377</v>
      </c>
      <c r="J3039" s="1" t="s">
        <v>15</v>
      </c>
      <c r="K3039" s="4" t="s">
        <v>200</v>
      </c>
      <c r="L3039" s="4" t="s">
        <v>225</v>
      </c>
      <c r="M3039" s="8">
        <v>45</v>
      </c>
      <c r="N3039" s="5">
        <v>857.37</v>
      </c>
      <c r="O3039" s="5">
        <v>38581.65</v>
      </c>
      <c r="P3039">
        <f t="shared" si="189"/>
        <v>1</v>
      </c>
      <c r="Q3039" s="36">
        <f t="shared" si="190"/>
        <v>38581.65</v>
      </c>
      <c r="R3039">
        <f t="shared" si="191"/>
        <v>2023</v>
      </c>
    </row>
    <row r="3040" spans="1:18" x14ac:dyDescent="0.2">
      <c r="A3040" s="13">
        <v>45419</v>
      </c>
      <c r="B3040" s="13">
        <v>45419</v>
      </c>
      <c r="C3040" s="25" t="s">
        <v>398</v>
      </c>
      <c r="D3040" s="20">
        <v>0</v>
      </c>
      <c r="E3040" s="28">
        <v>38581.65</v>
      </c>
      <c r="F3040" s="22" t="s">
        <v>267</v>
      </c>
      <c r="G3040" s="14">
        <v>45</v>
      </c>
      <c r="H3040" s="40">
        <v>45042</v>
      </c>
      <c r="I3040" s="46">
        <f t="shared" si="188"/>
        <v>377</v>
      </c>
      <c r="J3040" s="1" t="s">
        <v>15</v>
      </c>
      <c r="K3040" s="4" t="s">
        <v>200</v>
      </c>
      <c r="L3040" s="4" t="s">
        <v>225</v>
      </c>
      <c r="M3040" s="8">
        <v>45</v>
      </c>
      <c r="N3040" s="5">
        <v>857.37</v>
      </c>
      <c r="O3040" s="5">
        <v>38581.65</v>
      </c>
      <c r="P3040">
        <f t="shared" si="189"/>
        <v>1</v>
      </c>
      <c r="Q3040" s="36">
        <f t="shared" si="190"/>
        <v>38581.65</v>
      </c>
      <c r="R3040">
        <f t="shared" si="191"/>
        <v>2023</v>
      </c>
    </row>
    <row r="3041" spans="1:18" x14ac:dyDescent="0.2">
      <c r="A3041" s="13">
        <v>45310</v>
      </c>
      <c r="B3041" s="13">
        <v>44863</v>
      </c>
      <c r="C3041" s="25" t="s">
        <v>399</v>
      </c>
      <c r="D3041" s="20">
        <v>447</v>
      </c>
      <c r="E3041" s="28">
        <v>79495.039999999994</v>
      </c>
      <c r="F3041" s="22" t="s">
        <v>268</v>
      </c>
      <c r="G3041" s="14">
        <v>32</v>
      </c>
      <c r="H3041" s="40">
        <v>44470</v>
      </c>
      <c r="I3041" s="46">
        <f t="shared" si="188"/>
        <v>840</v>
      </c>
      <c r="J3041" s="1" t="s">
        <v>15</v>
      </c>
      <c r="K3041" s="4" t="s">
        <v>199</v>
      </c>
      <c r="L3041" s="4" t="s">
        <v>225</v>
      </c>
      <c r="M3041" s="8">
        <v>32</v>
      </c>
      <c r="N3041" s="5">
        <v>2484.2199999999998</v>
      </c>
      <c r="O3041" s="5">
        <v>79495.039999999994</v>
      </c>
      <c r="P3041">
        <f t="shared" si="189"/>
        <v>1</v>
      </c>
      <c r="Q3041" s="36">
        <f t="shared" si="190"/>
        <v>79495.039999999994</v>
      </c>
      <c r="R3041">
        <f t="shared" si="191"/>
        <v>2021</v>
      </c>
    </row>
    <row r="3042" spans="1:18" x14ac:dyDescent="0.2">
      <c r="A3042" s="13">
        <v>45310</v>
      </c>
      <c r="B3042" s="13">
        <v>44833</v>
      </c>
      <c r="C3042" s="25" t="s">
        <v>399</v>
      </c>
      <c r="D3042" s="20">
        <v>477</v>
      </c>
      <c r="E3042" s="28">
        <v>79495.039999999994</v>
      </c>
      <c r="F3042" s="22" t="s">
        <v>268</v>
      </c>
      <c r="G3042" s="14">
        <v>32</v>
      </c>
      <c r="H3042" s="40">
        <v>44470</v>
      </c>
      <c r="I3042" s="46">
        <f t="shared" si="188"/>
        <v>840</v>
      </c>
      <c r="J3042" s="1" t="s">
        <v>15</v>
      </c>
      <c r="K3042" s="4" t="s">
        <v>199</v>
      </c>
      <c r="L3042" s="4" t="s">
        <v>225</v>
      </c>
      <c r="M3042" s="8">
        <v>32</v>
      </c>
      <c r="N3042" s="5">
        <v>2484.2199999999998</v>
      </c>
      <c r="O3042" s="5">
        <v>79495.039999999994</v>
      </c>
      <c r="P3042">
        <f t="shared" si="189"/>
        <v>1</v>
      </c>
      <c r="Q3042" s="36">
        <f t="shared" si="190"/>
        <v>79495.039999999994</v>
      </c>
      <c r="R3042">
        <f t="shared" si="191"/>
        <v>2021</v>
      </c>
    </row>
    <row r="3043" spans="1:18" x14ac:dyDescent="0.2">
      <c r="A3043" s="13">
        <v>45310</v>
      </c>
      <c r="B3043" s="13">
        <v>44833</v>
      </c>
      <c r="C3043" s="25" t="s">
        <v>399</v>
      </c>
      <c r="D3043" s="20">
        <v>477</v>
      </c>
      <c r="E3043" s="28">
        <v>39747.519999999997</v>
      </c>
      <c r="F3043" s="22" t="s">
        <v>268</v>
      </c>
      <c r="G3043" s="14">
        <v>16</v>
      </c>
      <c r="H3043" s="40">
        <v>44470</v>
      </c>
      <c r="I3043" s="46">
        <f t="shared" si="188"/>
        <v>840</v>
      </c>
      <c r="J3043" s="1" t="s">
        <v>15</v>
      </c>
      <c r="K3043" s="4" t="s">
        <v>199</v>
      </c>
      <c r="L3043" s="4" t="s">
        <v>225</v>
      </c>
      <c r="M3043" s="8">
        <v>16</v>
      </c>
      <c r="N3043" s="5">
        <v>2484.2199999999998</v>
      </c>
      <c r="O3043" s="5">
        <v>39747.519999999997</v>
      </c>
      <c r="P3043">
        <f t="shared" si="189"/>
        <v>1</v>
      </c>
      <c r="Q3043" s="36">
        <f t="shared" si="190"/>
        <v>39747.519999999997</v>
      </c>
      <c r="R3043">
        <f t="shared" si="191"/>
        <v>2021</v>
      </c>
    </row>
    <row r="3044" spans="1:18" x14ac:dyDescent="0.2">
      <c r="A3044" s="13">
        <v>45310</v>
      </c>
      <c r="B3044" s="13">
        <v>44833</v>
      </c>
      <c r="C3044" s="25" t="s">
        <v>399</v>
      </c>
      <c r="D3044" s="20">
        <v>477</v>
      </c>
      <c r="E3044" s="28">
        <v>79495.039999999994</v>
      </c>
      <c r="F3044" s="22" t="s">
        <v>268</v>
      </c>
      <c r="G3044" s="14">
        <v>32</v>
      </c>
      <c r="H3044" s="40">
        <v>44470</v>
      </c>
      <c r="I3044" s="46">
        <f t="shared" si="188"/>
        <v>840</v>
      </c>
      <c r="J3044" s="1" t="s">
        <v>15</v>
      </c>
      <c r="K3044" s="4" t="s">
        <v>199</v>
      </c>
      <c r="L3044" s="4" t="s">
        <v>225</v>
      </c>
      <c r="M3044" s="8">
        <v>32</v>
      </c>
      <c r="N3044" s="5">
        <v>2484.2199999999998</v>
      </c>
      <c r="O3044" s="5">
        <v>79495.039999999994</v>
      </c>
      <c r="P3044">
        <f t="shared" si="189"/>
        <v>1</v>
      </c>
      <c r="Q3044" s="36">
        <f t="shared" si="190"/>
        <v>79495.039999999994</v>
      </c>
      <c r="R3044">
        <f t="shared" si="191"/>
        <v>2021</v>
      </c>
    </row>
    <row r="3045" spans="1:18" x14ac:dyDescent="0.2">
      <c r="A3045" s="13">
        <v>45310</v>
      </c>
      <c r="B3045" s="13">
        <v>44833</v>
      </c>
      <c r="C3045" s="25" t="s">
        <v>399</v>
      </c>
      <c r="D3045" s="20">
        <v>477</v>
      </c>
      <c r="E3045" s="28">
        <v>79495.039999999994</v>
      </c>
      <c r="F3045" s="22" t="s">
        <v>268</v>
      </c>
      <c r="G3045" s="14">
        <v>32</v>
      </c>
      <c r="H3045" s="40">
        <v>44470</v>
      </c>
      <c r="I3045" s="46">
        <f t="shared" si="188"/>
        <v>840</v>
      </c>
      <c r="J3045" s="1" t="s">
        <v>15</v>
      </c>
      <c r="K3045" s="4" t="s">
        <v>199</v>
      </c>
      <c r="L3045" s="4" t="s">
        <v>225</v>
      </c>
      <c r="M3045" s="8">
        <v>32</v>
      </c>
      <c r="N3045" s="5">
        <v>2484.2199999999998</v>
      </c>
      <c r="O3045" s="5">
        <v>79495.039999999994</v>
      </c>
      <c r="P3045">
        <f t="shared" si="189"/>
        <v>1</v>
      </c>
      <c r="Q3045" s="36">
        <f t="shared" si="190"/>
        <v>79495.039999999994</v>
      </c>
      <c r="R3045">
        <f t="shared" si="191"/>
        <v>2021</v>
      </c>
    </row>
    <row r="3046" spans="1:18" x14ac:dyDescent="0.2">
      <c r="A3046" s="13">
        <v>45310</v>
      </c>
      <c r="B3046" s="13">
        <v>44833</v>
      </c>
      <c r="C3046" s="25" t="s">
        <v>399</v>
      </c>
      <c r="D3046" s="20">
        <v>477</v>
      </c>
      <c r="E3046" s="28">
        <v>79495.039999999994</v>
      </c>
      <c r="F3046" s="22" t="s">
        <v>268</v>
      </c>
      <c r="G3046" s="14">
        <v>32</v>
      </c>
      <c r="H3046" s="40">
        <v>44470</v>
      </c>
      <c r="I3046" s="46">
        <f t="shared" si="188"/>
        <v>840</v>
      </c>
      <c r="J3046" s="1" t="s">
        <v>15</v>
      </c>
      <c r="K3046" s="4" t="s">
        <v>199</v>
      </c>
      <c r="L3046" s="4" t="s">
        <v>225</v>
      </c>
      <c r="M3046" s="8">
        <v>32</v>
      </c>
      <c r="N3046" s="5">
        <v>2484.2199999999998</v>
      </c>
      <c r="O3046" s="5">
        <v>79495.039999999994</v>
      </c>
      <c r="P3046">
        <f t="shared" si="189"/>
        <v>1</v>
      </c>
      <c r="Q3046" s="36">
        <f t="shared" si="190"/>
        <v>79495.039999999994</v>
      </c>
      <c r="R3046">
        <f t="shared" si="191"/>
        <v>2021</v>
      </c>
    </row>
    <row r="3047" spans="1:18" x14ac:dyDescent="0.2">
      <c r="A3047" s="13">
        <v>45310</v>
      </c>
      <c r="B3047" s="13">
        <v>44833</v>
      </c>
      <c r="C3047" s="25" t="s">
        <v>399</v>
      </c>
      <c r="D3047" s="20">
        <v>477</v>
      </c>
      <c r="E3047" s="28">
        <v>79495.039999999994</v>
      </c>
      <c r="F3047" s="22" t="s">
        <v>268</v>
      </c>
      <c r="G3047" s="14">
        <v>32</v>
      </c>
      <c r="H3047" s="40">
        <v>44470</v>
      </c>
      <c r="I3047" s="46">
        <f t="shared" si="188"/>
        <v>840</v>
      </c>
      <c r="J3047" s="1" t="s">
        <v>15</v>
      </c>
      <c r="K3047" s="4" t="s">
        <v>199</v>
      </c>
      <c r="L3047" s="4" t="s">
        <v>225</v>
      </c>
      <c r="M3047" s="8">
        <v>32</v>
      </c>
      <c r="N3047" s="5">
        <v>2484.2199999999998</v>
      </c>
      <c r="O3047" s="5">
        <v>79495.039999999994</v>
      </c>
      <c r="P3047">
        <f t="shared" si="189"/>
        <v>1</v>
      </c>
      <c r="Q3047" s="36">
        <f t="shared" si="190"/>
        <v>79495.039999999994</v>
      </c>
      <c r="R3047">
        <f t="shared" si="191"/>
        <v>2021</v>
      </c>
    </row>
    <row r="3048" spans="1:18" x14ac:dyDescent="0.2">
      <c r="A3048" s="13">
        <v>45310</v>
      </c>
      <c r="B3048" s="13">
        <v>44833</v>
      </c>
      <c r="C3048" s="25" t="s">
        <v>399</v>
      </c>
      <c r="D3048" s="20">
        <v>477</v>
      </c>
      <c r="E3048" s="28">
        <v>79495.039999999994</v>
      </c>
      <c r="F3048" s="22" t="s">
        <v>268</v>
      </c>
      <c r="G3048" s="14">
        <v>32</v>
      </c>
      <c r="H3048" s="40">
        <v>44470</v>
      </c>
      <c r="I3048" s="46">
        <f t="shared" si="188"/>
        <v>840</v>
      </c>
      <c r="J3048" s="1" t="s">
        <v>15</v>
      </c>
      <c r="K3048" s="4" t="s">
        <v>199</v>
      </c>
      <c r="L3048" s="4" t="s">
        <v>225</v>
      </c>
      <c r="M3048" s="8">
        <v>32</v>
      </c>
      <c r="N3048" s="5">
        <v>2484.2199999999998</v>
      </c>
      <c r="O3048" s="5">
        <v>79495.039999999994</v>
      </c>
      <c r="P3048">
        <f t="shared" si="189"/>
        <v>1</v>
      </c>
      <c r="Q3048" s="36">
        <f t="shared" si="190"/>
        <v>79495.039999999994</v>
      </c>
      <c r="R3048">
        <f t="shared" si="191"/>
        <v>2021</v>
      </c>
    </row>
    <row r="3049" spans="1:18" x14ac:dyDescent="0.2">
      <c r="A3049" s="13">
        <v>45310</v>
      </c>
      <c r="B3049" s="13">
        <v>44833</v>
      </c>
      <c r="C3049" s="25" t="s">
        <v>399</v>
      </c>
      <c r="D3049" s="20">
        <v>477</v>
      </c>
      <c r="E3049" s="28">
        <v>79495.039999999994</v>
      </c>
      <c r="F3049" s="22" t="s">
        <v>268</v>
      </c>
      <c r="G3049" s="14">
        <v>32</v>
      </c>
      <c r="H3049" s="40">
        <v>44470</v>
      </c>
      <c r="I3049" s="46">
        <f t="shared" si="188"/>
        <v>840</v>
      </c>
      <c r="J3049" s="1" t="s">
        <v>15</v>
      </c>
      <c r="K3049" s="4" t="s">
        <v>199</v>
      </c>
      <c r="L3049" s="4" t="s">
        <v>225</v>
      </c>
      <c r="M3049" s="8">
        <v>32</v>
      </c>
      <c r="N3049" s="5">
        <v>2484.2199999999998</v>
      </c>
      <c r="O3049" s="5">
        <v>79495.039999999994</v>
      </c>
      <c r="P3049">
        <f t="shared" si="189"/>
        <v>1</v>
      </c>
      <c r="Q3049" s="36">
        <f t="shared" si="190"/>
        <v>79495.039999999994</v>
      </c>
      <c r="R3049">
        <f t="shared" si="191"/>
        <v>2021</v>
      </c>
    </row>
    <row r="3050" spans="1:18" x14ac:dyDescent="0.2">
      <c r="A3050" s="13">
        <v>45310</v>
      </c>
      <c r="B3050" s="13">
        <v>44833</v>
      </c>
      <c r="C3050" s="25" t="s">
        <v>399</v>
      </c>
      <c r="D3050" s="20">
        <v>477</v>
      </c>
      <c r="E3050" s="28">
        <v>79495.039999999994</v>
      </c>
      <c r="F3050" s="22" t="s">
        <v>268</v>
      </c>
      <c r="G3050" s="14">
        <v>32</v>
      </c>
      <c r="H3050" s="40">
        <v>44470</v>
      </c>
      <c r="I3050" s="46">
        <f t="shared" si="188"/>
        <v>840</v>
      </c>
      <c r="J3050" s="1" t="s">
        <v>15</v>
      </c>
      <c r="K3050" s="4" t="s">
        <v>199</v>
      </c>
      <c r="L3050" s="4" t="s">
        <v>225</v>
      </c>
      <c r="M3050" s="8">
        <v>32</v>
      </c>
      <c r="N3050" s="5">
        <v>2484.2199999999998</v>
      </c>
      <c r="O3050" s="5">
        <v>79495.039999999994</v>
      </c>
      <c r="P3050">
        <f t="shared" si="189"/>
        <v>1</v>
      </c>
      <c r="Q3050" s="36">
        <f t="shared" si="190"/>
        <v>79495.039999999994</v>
      </c>
      <c r="R3050">
        <f t="shared" si="191"/>
        <v>2021</v>
      </c>
    </row>
    <row r="3051" spans="1:18" x14ac:dyDescent="0.2">
      <c r="A3051" s="13">
        <v>45310</v>
      </c>
      <c r="B3051" s="13">
        <v>44833</v>
      </c>
      <c r="C3051" s="25" t="s">
        <v>399</v>
      </c>
      <c r="D3051" s="20">
        <v>477</v>
      </c>
      <c r="E3051" s="28">
        <v>79495.039999999994</v>
      </c>
      <c r="F3051" s="22" t="s">
        <v>268</v>
      </c>
      <c r="G3051" s="14">
        <v>32</v>
      </c>
      <c r="H3051" s="40">
        <v>44470</v>
      </c>
      <c r="I3051" s="46">
        <f t="shared" si="188"/>
        <v>840</v>
      </c>
      <c r="J3051" s="1" t="s">
        <v>15</v>
      </c>
      <c r="K3051" s="4" t="s">
        <v>199</v>
      </c>
      <c r="L3051" s="4" t="s">
        <v>225</v>
      </c>
      <c r="M3051" s="8">
        <v>32</v>
      </c>
      <c r="N3051" s="5">
        <v>2484.2199999999998</v>
      </c>
      <c r="O3051" s="5">
        <v>79495.039999999994</v>
      </c>
      <c r="P3051">
        <f t="shared" si="189"/>
        <v>1</v>
      </c>
      <c r="Q3051" s="36">
        <f t="shared" si="190"/>
        <v>79495.039999999994</v>
      </c>
      <c r="R3051">
        <f t="shared" si="191"/>
        <v>2021</v>
      </c>
    </row>
    <row r="3052" spans="1:18" x14ac:dyDescent="0.2">
      <c r="A3052" s="13">
        <v>45310</v>
      </c>
      <c r="B3052" s="13">
        <v>44833</v>
      </c>
      <c r="C3052" s="25" t="s">
        <v>399</v>
      </c>
      <c r="D3052" s="20">
        <v>477</v>
      </c>
      <c r="E3052" s="28">
        <v>79495.039999999994</v>
      </c>
      <c r="F3052" s="22" t="s">
        <v>268</v>
      </c>
      <c r="G3052" s="14">
        <v>32</v>
      </c>
      <c r="H3052" s="40">
        <v>44470</v>
      </c>
      <c r="I3052" s="46">
        <f t="shared" si="188"/>
        <v>840</v>
      </c>
      <c r="J3052" s="1" t="s">
        <v>15</v>
      </c>
      <c r="K3052" s="4" t="s">
        <v>199</v>
      </c>
      <c r="L3052" s="4" t="s">
        <v>225</v>
      </c>
      <c r="M3052" s="8">
        <v>32</v>
      </c>
      <c r="N3052" s="5">
        <v>2484.2199999999998</v>
      </c>
      <c r="O3052" s="5">
        <v>79495.039999999994</v>
      </c>
      <c r="P3052">
        <f t="shared" si="189"/>
        <v>1</v>
      </c>
      <c r="Q3052" s="36">
        <f t="shared" si="190"/>
        <v>79495.039999999994</v>
      </c>
      <c r="R3052">
        <f t="shared" si="191"/>
        <v>2021</v>
      </c>
    </row>
    <row r="3053" spans="1:18" x14ac:dyDescent="0.2">
      <c r="A3053" s="13">
        <v>45310</v>
      </c>
      <c r="B3053" s="13">
        <v>44833</v>
      </c>
      <c r="C3053" s="25" t="s">
        <v>399</v>
      </c>
      <c r="D3053" s="20">
        <v>477</v>
      </c>
      <c r="E3053" s="28">
        <v>79495.039999999994</v>
      </c>
      <c r="F3053" s="22" t="s">
        <v>268</v>
      </c>
      <c r="G3053" s="14">
        <v>32</v>
      </c>
      <c r="H3053" s="40">
        <v>44475</v>
      </c>
      <c r="I3053" s="46">
        <f t="shared" si="188"/>
        <v>835</v>
      </c>
      <c r="J3053" s="1" t="s">
        <v>15</v>
      </c>
      <c r="K3053" s="4" t="s">
        <v>199</v>
      </c>
      <c r="L3053" s="4" t="s">
        <v>225</v>
      </c>
      <c r="M3053" s="8">
        <v>32</v>
      </c>
      <c r="N3053" s="5">
        <v>2484.2199999999998</v>
      </c>
      <c r="O3053" s="5">
        <v>79495.039999999994</v>
      </c>
      <c r="P3053">
        <f t="shared" si="189"/>
        <v>1</v>
      </c>
      <c r="Q3053" s="36">
        <f t="shared" si="190"/>
        <v>79495.039999999994</v>
      </c>
      <c r="R3053">
        <f t="shared" si="191"/>
        <v>2021</v>
      </c>
    </row>
    <row r="3054" spans="1:18" x14ac:dyDescent="0.2">
      <c r="A3054" s="13">
        <v>45310</v>
      </c>
      <c r="B3054" s="13">
        <v>44840</v>
      </c>
      <c r="C3054" s="25" t="s">
        <v>399</v>
      </c>
      <c r="D3054" s="20">
        <v>470</v>
      </c>
      <c r="E3054" s="28">
        <v>39747.519999999997</v>
      </c>
      <c r="F3054" s="22" t="s">
        <v>268</v>
      </c>
      <c r="G3054" s="14">
        <v>16</v>
      </c>
      <c r="H3054" s="40">
        <v>44475</v>
      </c>
      <c r="I3054" s="46">
        <f t="shared" si="188"/>
        <v>835</v>
      </c>
      <c r="J3054" s="1" t="s">
        <v>15</v>
      </c>
      <c r="K3054" s="4" t="s">
        <v>199</v>
      </c>
      <c r="L3054" s="4" t="s">
        <v>225</v>
      </c>
      <c r="M3054" s="8">
        <v>16</v>
      </c>
      <c r="N3054" s="5">
        <v>2484.2199999999998</v>
      </c>
      <c r="O3054" s="5">
        <v>39747.519999999997</v>
      </c>
      <c r="P3054">
        <f t="shared" si="189"/>
        <v>1</v>
      </c>
      <c r="Q3054" s="36">
        <f t="shared" si="190"/>
        <v>39747.519999999997</v>
      </c>
      <c r="R3054">
        <f t="shared" si="191"/>
        <v>2021</v>
      </c>
    </row>
    <row r="3055" spans="1:18" x14ac:dyDescent="0.2">
      <c r="A3055" s="13">
        <v>45310</v>
      </c>
      <c r="B3055" s="13">
        <v>44833</v>
      </c>
      <c r="C3055" s="25" t="s">
        <v>399</v>
      </c>
      <c r="D3055" s="20">
        <v>477</v>
      </c>
      <c r="E3055" s="28">
        <v>39747.519999999997</v>
      </c>
      <c r="F3055" s="22" t="s">
        <v>268</v>
      </c>
      <c r="G3055" s="14">
        <v>16</v>
      </c>
      <c r="H3055" s="40">
        <v>44475</v>
      </c>
      <c r="I3055" s="46">
        <f t="shared" si="188"/>
        <v>835</v>
      </c>
      <c r="J3055" s="1" t="s">
        <v>15</v>
      </c>
      <c r="K3055" s="4" t="s">
        <v>199</v>
      </c>
      <c r="L3055" s="4" t="s">
        <v>225</v>
      </c>
      <c r="M3055" s="8">
        <v>16</v>
      </c>
      <c r="N3055" s="5">
        <v>2484.2199999999998</v>
      </c>
      <c r="O3055" s="5">
        <v>39747.519999999997</v>
      </c>
      <c r="P3055">
        <f t="shared" si="189"/>
        <v>1</v>
      </c>
      <c r="Q3055" s="36">
        <f t="shared" si="190"/>
        <v>39747.519999999997</v>
      </c>
      <c r="R3055">
        <f t="shared" si="191"/>
        <v>2021</v>
      </c>
    </row>
    <row r="3056" spans="1:18" x14ac:dyDescent="0.2">
      <c r="A3056" s="13">
        <v>45310</v>
      </c>
      <c r="B3056" s="13">
        <v>44833</v>
      </c>
      <c r="C3056" s="25" t="s">
        <v>399</v>
      </c>
      <c r="D3056" s="20">
        <v>477</v>
      </c>
      <c r="E3056" s="28">
        <v>39747.519999999997</v>
      </c>
      <c r="F3056" s="22" t="s">
        <v>268</v>
      </c>
      <c r="G3056" s="14">
        <v>16</v>
      </c>
      <c r="H3056" s="40">
        <v>44475</v>
      </c>
      <c r="I3056" s="46">
        <f t="shared" si="188"/>
        <v>835</v>
      </c>
      <c r="J3056" s="1" t="s">
        <v>15</v>
      </c>
      <c r="K3056" s="4" t="s">
        <v>199</v>
      </c>
      <c r="L3056" s="4" t="s">
        <v>225</v>
      </c>
      <c r="M3056" s="8">
        <v>16</v>
      </c>
      <c r="N3056" s="5">
        <v>2484.2199999999998</v>
      </c>
      <c r="O3056" s="5">
        <v>39747.519999999997</v>
      </c>
      <c r="P3056">
        <f t="shared" si="189"/>
        <v>1</v>
      </c>
      <c r="Q3056" s="36">
        <f t="shared" si="190"/>
        <v>39747.519999999997</v>
      </c>
      <c r="R3056">
        <f t="shared" si="191"/>
        <v>2021</v>
      </c>
    </row>
    <row r="3057" spans="1:18" x14ac:dyDescent="0.2">
      <c r="A3057" s="13">
        <v>45310</v>
      </c>
      <c r="B3057" s="13">
        <v>44840</v>
      </c>
      <c r="C3057" s="25" t="s">
        <v>399</v>
      </c>
      <c r="D3057" s="20">
        <v>470</v>
      </c>
      <c r="E3057" s="28">
        <v>39747.519999999997</v>
      </c>
      <c r="F3057" s="22" t="s">
        <v>268</v>
      </c>
      <c r="G3057" s="14">
        <v>16</v>
      </c>
      <c r="H3057" s="40">
        <v>44475</v>
      </c>
      <c r="I3057" s="46">
        <f t="shared" si="188"/>
        <v>835</v>
      </c>
      <c r="J3057" s="1" t="s">
        <v>15</v>
      </c>
      <c r="K3057" s="4" t="s">
        <v>199</v>
      </c>
      <c r="L3057" s="4" t="s">
        <v>225</v>
      </c>
      <c r="M3057" s="8">
        <v>16</v>
      </c>
      <c r="N3057" s="5">
        <v>2484.2199999999998</v>
      </c>
      <c r="O3057" s="5">
        <v>39747.519999999997</v>
      </c>
      <c r="P3057">
        <f t="shared" si="189"/>
        <v>1</v>
      </c>
      <c r="Q3057" s="36">
        <f t="shared" si="190"/>
        <v>39747.519999999997</v>
      </c>
      <c r="R3057">
        <f t="shared" si="191"/>
        <v>2021</v>
      </c>
    </row>
    <row r="3058" spans="1:18" x14ac:dyDescent="0.2">
      <c r="A3058" s="13">
        <v>45310</v>
      </c>
      <c r="B3058" s="13">
        <v>44833</v>
      </c>
      <c r="C3058" s="25" t="s">
        <v>399</v>
      </c>
      <c r="D3058" s="20">
        <v>477</v>
      </c>
      <c r="E3058" s="28">
        <v>79495.039999999994</v>
      </c>
      <c r="F3058" s="22" t="s">
        <v>268</v>
      </c>
      <c r="G3058" s="14">
        <v>32</v>
      </c>
      <c r="H3058" s="40">
        <v>44475</v>
      </c>
      <c r="I3058" s="46">
        <f t="shared" si="188"/>
        <v>835</v>
      </c>
      <c r="J3058" s="1" t="s">
        <v>15</v>
      </c>
      <c r="K3058" s="4" t="s">
        <v>199</v>
      </c>
      <c r="L3058" s="4" t="s">
        <v>225</v>
      </c>
      <c r="M3058" s="8">
        <v>32</v>
      </c>
      <c r="N3058" s="5">
        <v>2484.2199999999998</v>
      </c>
      <c r="O3058" s="5">
        <v>79495.039999999994</v>
      </c>
      <c r="P3058">
        <f t="shared" si="189"/>
        <v>1</v>
      </c>
      <c r="Q3058" s="36">
        <f t="shared" si="190"/>
        <v>79495.039999999994</v>
      </c>
      <c r="R3058">
        <f t="shared" si="191"/>
        <v>2021</v>
      </c>
    </row>
    <row r="3059" spans="1:18" x14ac:dyDescent="0.2">
      <c r="A3059" s="13">
        <v>45310</v>
      </c>
      <c r="B3059" s="13">
        <v>44840</v>
      </c>
      <c r="C3059" s="25" t="s">
        <v>399</v>
      </c>
      <c r="D3059" s="20">
        <v>470</v>
      </c>
      <c r="E3059" s="28">
        <v>79495.039999999994</v>
      </c>
      <c r="F3059" s="22" t="s">
        <v>268</v>
      </c>
      <c r="G3059" s="14">
        <v>32</v>
      </c>
      <c r="H3059" s="40">
        <v>44475</v>
      </c>
      <c r="I3059" s="46">
        <f t="shared" si="188"/>
        <v>835</v>
      </c>
      <c r="J3059" s="1" t="s">
        <v>15</v>
      </c>
      <c r="K3059" s="4" t="s">
        <v>199</v>
      </c>
      <c r="L3059" s="4" t="s">
        <v>225</v>
      </c>
      <c r="M3059" s="8">
        <v>32</v>
      </c>
      <c r="N3059" s="5">
        <v>2484.2199999999998</v>
      </c>
      <c r="O3059" s="5">
        <v>79495.039999999994</v>
      </c>
      <c r="P3059">
        <f t="shared" si="189"/>
        <v>1</v>
      </c>
      <c r="Q3059" s="36">
        <f t="shared" si="190"/>
        <v>79495.039999999994</v>
      </c>
      <c r="R3059">
        <f t="shared" si="191"/>
        <v>2021</v>
      </c>
    </row>
    <row r="3060" spans="1:18" x14ac:dyDescent="0.2">
      <c r="A3060" s="13">
        <v>45310</v>
      </c>
      <c r="B3060" s="13">
        <v>44840</v>
      </c>
      <c r="C3060" s="25" t="s">
        <v>399</v>
      </c>
      <c r="D3060" s="20">
        <v>470</v>
      </c>
      <c r="E3060" s="28">
        <v>79495.039999999994</v>
      </c>
      <c r="F3060" s="22" t="s">
        <v>268</v>
      </c>
      <c r="G3060" s="14">
        <v>32</v>
      </c>
      <c r="H3060" s="40">
        <v>44475</v>
      </c>
      <c r="I3060" s="46">
        <f t="shared" si="188"/>
        <v>835</v>
      </c>
      <c r="J3060" s="1" t="s">
        <v>15</v>
      </c>
      <c r="K3060" s="4" t="s">
        <v>199</v>
      </c>
      <c r="L3060" s="4" t="s">
        <v>225</v>
      </c>
      <c r="M3060" s="8">
        <v>32</v>
      </c>
      <c r="N3060" s="5">
        <v>2484.2199999999998</v>
      </c>
      <c r="O3060" s="5">
        <v>79495.039999999994</v>
      </c>
      <c r="P3060">
        <f t="shared" si="189"/>
        <v>1</v>
      </c>
      <c r="Q3060" s="36">
        <f t="shared" si="190"/>
        <v>79495.039999999994</v>
      </c>
      <c r="R3060">
        <f t="shared" si="191"/>
        <v>2021</v>
      </c>
    </row>
    <row r="3061" spans="1:18" x14ac:dyDescent="0.2">
      <c r="A3061" s="13">
        <v>45310</v>
      </c>
      <c r="B3061" s="13">
        <v>44840</v>
      </c>
      <c r="C3061" s="25" t="s">
        <v>399</v>
      </c>
      <c r="D3061" s="20">
        <v>470</v>
      </c>
      <c r="E3061" s="28">
        <v>39747.519999999997</v>
      </c>
      <c r="F3061" s="22" t="s">
        <v>268</v>
      </c>
      <c r="G3061" s="14">
        <v>16</v>
      </c>
      <c r="H3061" s="40">
        <v>44475</v>
      </c>
      <c r="I3061" s="46">
        <f t="shared" si="188"/>
        <v>835</v>
      </c>
      <c r="J3061" s="1" t="s">
        <v>15</v>
      </c>
      <c r="K3061" s="4" t="s">
        <v>199</v>
      </c>
      <c r="L3061" s="4" t="s">
        <v>225</v>
      </c>
      <c r="M3061" s="8">
        <v>16</v>
      </c>
      <c r="N3061" s="5">
        <v>2484.2199999999998</v>
      </c>
      <c r="O3061" s="5">
        <v>39747.519999999997</v>
      </c>
      <c r="P3061">
        <f t="shared" si="189"/>
        <v>1</v>
      </c>
      <c r="Q3061" s="36">
        <f t="shared" si="190"/>
        <v>39747.519999999997</v>
      </c>
      <c r="R3061">
        <f t="shared" si="191"/>
        <v>2021</v>
      </c>
    </row>
    <row r="3062" spans="1:18" x14ac:dyDescent="0.2">
      <c r="A3062" s="13">
        <v>45310</v>
      </c>
      <c r="B3062" s="13">
        <v>44833</v>
      </c>
      <c r="C3062" s="25" t="s">
        <v>399</v>
      </c>
      <c r="D3062" s="20">
        <v>477</v>
      </c>
      <c r="E3062" s="28">
        <v>39747.519999999997</v>
      </c>
      <c r="F3062" s="22" t="s">
        <v>268</v>
      </c>
      <c r="G3062" s="14">
        <v>16</v>
      </c>
      <c r="H3062" s="40">
        <v>44475</v>
      </c>
      <c r="I3062" s="46">
        <f t="shared" si="188"/>
        <v>835</v>
      </c>
      <c r="J3062" s="1" t="s">
        <v>15</v>
      </c>
      <c r="K3062" s="4" t="s">
        <v>199</v>
      </c>
      <c r="L3062" s="4" t="s">
        <v>225</v>
      </c>
      <c r="M3062" s="8">
        <v>16</v>
      </c>
      <c r="N3062" s="5">
        <v>2484.2199999999998</v>
      </c>
      <c r="O3062" s="5">
        <v>39747.519999999997</v>
      </c>
      <c r="P3062">
        <f t="shared" si="189"/>
        <v>1</v>
      </c>
      <c r="Q3062" s="36">
        <f t="shared" si="190"/>
        <v>39747.519999999997</v>
      </c>
      <c r="R3062">
        <f t="shared" si="191"/>
        <v>2021</v>
      </c>
    </row>
    <row r="3063" spans="1:18" x14ac:dyDescent="0.2">
      <c r="A3063" s="13">
        <v>45310</v>
      </c>
      <c r="B3063" s="13">
        <v>44833</v>
      </c>
      <c r="C3063" s="25" t="s">
        <v>399</v>
      </c>
      <c r="D3063" s="20">
        <v>477</v>
      </c>
      <c r="E3063" s="28">
        <v>27326.42</v>
      </c>
      <c r="F3063" s="22" t="s">
        <v>268</v>
      </c>
      <c r="G3063" s="14">
        <v>11</v>
      </c>
      <c r="H3063" s="40">
        <v>45047</v>
      </c>
      <c r="I3063" s="46">
        <f t="shared" si="188"/>
        <v>263</v>
      </c>
      <c r="J3063" s="1" t="s">
        <v>15</v>
      </c>
      <c r="K3063" s="4" t="s">
        <v>199</v>
      </c>
      <c r="L3063" s="4" t="s">
        <v>225</v>
      </c>
      <c r="M3063" s="8">
        <v>32</v>
      </c>
      <c r="N3063" s="5">
        <v>2484.2199999999998</v>
      </c>
      <c r="O3063" s="5">
        <v>79495.039999999994</v>
      </c>
      <c r="P3063">
        <f t="shared" si="189"/>
        <v>0</v>
      </c>
      <c r="Q3063" s="36">
        <f t="shared" si="190"/>
        <v>27326.42</v>
      </c>
      <c r="R3063">
        <f t="shared" si="191"/>
        <v>2023</v>
      </c>
    </row>
    <row r="3064" spans="1:18" x14ac:dyDescent="0.2">
      <c r="A3064" s="13">
        <v>45345</v>
      </c>
      <c r="B3064" s="13">
        <v>45233</v>
      </c>
      <c r="C3064" s="25" t="s">
        <v>399</v>
      </c>
      <c r="D3064" s="20">
        <v>112</v>
      </c>
      <c r="E3064" s="28">
        <v>40615.300000000003</v>
      </c>
      <c r="F3064" s="22" t="s">
        <v>270</v>
      </c>
      <c r="G3064" s="14">
        <v>10</v>
      </c>
      <c r="H3064" s="40">
        <v>44854</v>
      </c>
      <c r="I3064" s="46">
        <f t="shared" si="188"/>
        <v>491</v>
      </c>
      <c r="J3064" s="1" t="s">
        <v>15</v>
      </c>
      <c r="K3064" s="4" t="s">
        <v>199</v>
      </c>
      <c r="L3064" s="4" t="s">
        <v>225</v>
      </c>
      <c r="M3064" s="8">
        <v>10</v>
      </c>
      <c r="N3064" s="5">
        <v>4061.53</v>
      </c>
      <c r="O3064" s="5">
        <v>40615.300000000003</v>
      </c>
      <c r="P3064">
        <f t="shared" si="189"/>
        <v>1</v>
      </c>
      <c r="Q3064" s="36">
        <f t="shared" si="190"/>
        <v>40615.300000000003</v>
      </c>
      <c r="R3064">
        <f t="shared" si="191"/>
        <v>2022</v>
      </c>
    </row>
    <row r="3065" spans="1:18" x14ac:dyDescent="0.2">
      <c r="A3065" s="13">
        <v>45390</v>
      </c>
      <c r="B3065" s="13">
        <v>45387</v>
      </c>
      <c r="C3065" s="25" t="s">
        <v>399</v>
      </c>
      <c r="D3065" s="20">
        <v>3</v>
      </c>
      <c r="E3065" s="28">
        <v>4061.53</v>
      </c>
      <c r="F3065" s="22" t="s">
        <v>270</v>
      </c>
      <c r="G3065" s="14">
        <v>1</v>
      </c>
      <c r="H3065" s="40">
        <v>44860</v>
      </c>
      <c r="I3065" s="46">
        <f t="shared" si="188"/>
        <v>530</v>
      </c>
      <c r="J3065" s="1" t="s">
        <v>15</v>
      </c>
      <c r="K3065" s="4" t="s">
        <v>200</v>
      </c>
      <c r="L3065" s="4" t="s">
        <v>225</v>
      </c>
      <c r="M3065" s="8">
        <v>1</v>
      </c>
      <c r="N3065" s="5">
        <v>4061.53</v>
      </c>
      <c r="O3065" s="5">
        <v>4061.53</v>
      </c>
      <c r="P3065">
        <f t="shared" si="189"/>
        <v>1</v>
      </c>
      <c r="Q3065" s="36">
        <f t="shared" si="190"/>
        <v>4061.53</v>
      </c>
      <c r="R3065">
        <f t="shared" si="191"/>
        <v>2022</v>
      </c>
    </row>
    <row r="3066" spans="1:18" x14ac:dyDescent="0.2">
      <c r="A3066" s="13">
        <v>45394</v>
      </c>
      <c r="B3066" s="13">
        <v>45394</v>
      </c>
      <c r="C3066" s="25" t="s">
        <v>398</v>
      </c>
      <c r="D3066" s="20">
        <v>0</v>
      </c>
      <c r="E3066" s="28">
        <v>40615.300000000003</v>
      </c>
      <c r="F3066" s="22" t="s">
        <v>270</v>
      </c>
      <c r="G3066" s="14">
        <v>10</v>
      </c>
      <c r="H3066" s="40">
        <v>44869</v>
      </c>
      <c r="I3066" s="46">
        <f t="shared" si="188"/>
        <v>525</v>
      </c>
      <c r="J3066" s="1" t="s">
        <v>15</v>
      </c>
      <c r="K3066" s="4" t="s">
        <v>200</v>
      </c>
      <c r="L3066" s="4" t="s">
        <v>225</v>
      </c>
      <c r="M3066" s="8">
        <v>10</v>
      </c>
      <c r="N3066" s="5">
        <v>4061.53</v>
      </c>
      <c r="O3066" s="5">
        <v>40615.300000000003</v>
      </c>
      <c r="P3066">
        <f t="shared" si="189"/>
        <v>1</v>
      </c>
      <c r="Q3066" s="36">
        <f t="shared" si="190"/>
        <v>40615.300000000003</v>
      </c>
      <c r="R3066">
        <f t="shared" si="191"/>
        <v>2022</v>
      </c>
    </row>
    <row r="3067" spans="1:18" x14ac:dyDescent="0.2">
      <c r="A3067" s="13">
        <v>45394</v>
      </c>
      <c r="B3067" s="13">
        <v>45394</v>
      </c>
      <c r="C3067" s="25" t="s">
        <v>398</v>
      </c>
      <c r="D3067" s="20">
        <v>0</v>
      </c>
      <c r="E3067" s="28">
        <v>40615.300000000003</v>
      </c>
      <c r="F3067" s="22" t="s">
        <v>270</v>
      </c>
      <c r="G3067" s="14">
        <v>10</v>
      </c>
      <c r="H3067" s="40">
        <v>44869</v>
      </c>
      <c r="I3067" s="46">
        <f t="shared" si="188"/>
        <v>525</v>
      </c>
      <c r="J3067" s="1" t="s">
        <v>15</v>
      </c>
      <c r="K3067" s="4" t="s">
        <v>200</v>
      </c>
      <c r="L3067" s="4" t="s">
        <v>225</v>
      </c>
      <c r="M3067" s="8">
        <v>10</v>
      </c>
      <c r="N3067" s="5">
        <v>4061.53</v>
      </c>
      <c r="O3067" s="5">
        <v>40615.300000000003</v>
      </c>
      <c r="P3067">
        <f t="shared" si="189"/>
        <v>1</v>
      </c>
      <c r="Q3067" s="36">
        <f t="shared" si="190"/>
        <v>40615.300000000003</v>
      </c>
      <c r="R3067">
        <f t="shared" si="191"/>
        <v>2022</v>
      </c>
    </row>
    <row r="3068" spans="1:18" x14ac:dyDescent="0.2">
      <c r="A3068" s="13">
        <v>45394</v>
      </c>
      <c r="B3068" s="13">
        <v>45394</v>
      </c>
      <c r="C3068" s="25" t="s">
        <v>398</v>
      </c>
      <c r="D3068" s="20">
        <v>0</v>
      </c>
      <c r="E3068" s="28">
        <v>48738.36</v>
      </c>
      <c r="F3068" s="22" t="s">
        <v>270</v>
      </c>
      <c r="G3068" s="14">
        <v>12</v>
      </c>
      <c r="H3068" s="40">
        <v>44869</v>
      </c>
      <c r="I3068" s="46">
        <f t="shared" si="188"/>
        <v>525</v>
      </c>
      <c r="J3068" s="1" t="s">
        <v>15</v>
      </c>
      <c r="K3068" s="4" t="s">
        <v>200</v>
      </c>
      <c r="L3068" s="4" t="s">
        <v>225</v>
      </c>
      <c r="M3068" s="8">
        <v>12</v>
      </c>
      <c r="N3068" s="5">
        <v>4061.53</v>
      </c>
      <c r="O3068" s="5">
        <v>48738.36</v>
      </c>
      <c r="P3068">
        <f t="shared" si="189"/>
        <v>1</v>
      </c>
      <c r="Q3068" s="36">
        <f t="shared" si="190"/>
        <v>48738.36</v>
      </c>
      <c r="R3068">
        <f t="shared" si="191"/>
        <v>2022</v>
      </c>
    </row>
    <row r="3069" spans="1:18" x14ac:dyDescent="0.2">
      <c r="A3069" s="13">
        <v>45401</v>
      </c>
      <c r="B3069" s="13">
        <v>45401</v>
      </c>
      <c r="C3069" s="25" t="s">
        <v>398</v>
      </c>
      <c r="D3069" s="20">
        <v>0</v>
      </c>
      <c r="E3069" s="28">
        <v>16246.12</v>
      </c>
      <c r="F3069" s="22" t="s">
        <v>270</v>
      </c>
      <c r="G3069" s="14">
        <v>4</v>
      </c>
      <c r="H3069" s="40">
        <v>44873</v>
      </c>
      <c r="I3069" s="46">
        <f t="shared" si="188"/>
        <v>528</v>
      </c>
      <c r="J3069" s="1" t="s">
        <v>15</v>
      </c>
      <c r="K3069" s="4" t="s">
        <v>200</v>
      </c>
      <c r="L3069" s="4" t="s">
        <v>225</v>
      </c>
      <c r="M3069" s="8">
        <v>4</v>
      </c>
      <c r="N3069" s="5">
        <v>4061.53</v>
      </c>
      <c r="O3069" s="5">
        <v>16246.12</v>
      </c>
      <c r="P3069">
        <f t="shared" si="189"/>
        <v>1</v>
      </c>
      <c r="Q3069" s="36">
        <f t="shared" si="190"/>
        <v>16246.12</v>
      </c>
      <c r="R3069">
        <f t="shared" si="191"/>
        <v>2022</v>
      </c>
    </row>
    <row r="3070" spans="1:18" x14ac:dyDescent="0.2">
      <c r="A3070" s="13">
        <v>45345</v>
      </c>
      <c r="B3070" s="13">
        <v>45226</v>
      </c>
      <c r="C3070" s="25" t="s">
        <v>399</v>
      </c>
      <c r="D3070" s="20">
        <v>119</v>
      </c>
      <c r="E3070" s="28">
        <v>32492.240000000002</v>
      </c>
      <c r="F3070" s="22" t="s">
        <v>270</v>
      </c>
      <c r="G3070" s="14">
        <v>8</v>
      </c>
      <c r="H3070" s="40">
        <v>44875</v>
      </c>
      <c r="I3070" s="46">
        <f t="shared" si="188"/>
        <v>470</v>
      </c>
      <c r="J3070" s="1" t="s">
        <v>15</v>
      </c>
      <c r="K3070" s="4" t="s">
        <v>199</v>
      </c>
      <c r="L3070" s="4" t="s">
        <v>225</v>
      </c>
      <c r="M3070" s="8">
        <v>8</v>
      </c>
      <c r="N3070" s="5">
        <v>4061.53</v>
      </c>
      <c r="O3070" s="5">
        <v>32492.240000000002</v>
      </c>
      <c r="P3070">
        <f t="shared" si="189"/>
        <v>1</v>
      </c>
      <c r="Q3070" s="36">
        <f t="shared" si="190"/>
        <v>32492.240000000002</v>
      </c>
      <c r="R3070">
        <f t="shared" si="191"/>
        <v>2022</v>
      </c>
    </row>
    <row r="3071" spans="1:18" x14ac:dyDescent="0.2">
      <c r="A3071" s="13">
        <v>45345</v>
      </c>
      <c r="B3071" s="13">
        <v>45226</v>
      </c>
      <c r="C3071" s="25" t="s">
        <v>399</v>
      </c>
      <c r="D3071" s="20">
        <v>119</v>
      </c>
      <c r="E3071" s="28">
        <v>32492.240000000002</v>
      </c>
      <c r="F3071" s="22" t="s">
        <v>270</v>
      </c>
      <c r="G3071" s="14">
        <v>8</v>
      </c>
      <c r="H3071" s="40">
        <v>44875</v>
      </c>
      <c r="I3071" s="46">
        <f t="shared" si="188"/>
        <v>470</v>
      </c>
      <c r="J3071" s="1" t="s">
        <v>15</v>
      </c>
      <c r="K3071" s="4" t="s">
        <v>199</v>
      </c>
      <c r="L3071" s="4" t="s">
        <v>225</v>
      </c>
      <c r="M3071" s="8">
        <v>8</v>
      </c>
      <c r="N3071" s="5">
        <v>4061.53</v>
      </c>
      <c r="O3071" s="5">
        <v>32492.240000000002</v>
      </c>
      <c r="P3071">
        <f t="shared" si="189"/>
        <v>1</v>
      </c>
      <c r="Q3071" s="36">
        <f t="shared" si="190"/>
        <v>32492.240000000002</v>
      </c>
      <c r="R3071">
        <f t="shared" si="191"/>
        <v>2022</v>
      </c>
    </row>
    <row r="3072" spans="1:18" x14ac:dyDescent="0.2">
      <c r="A3072" s="13">
        <v>45345</v>
      </c>
      <c r="B3072" s="13">
        <v>45226</v>
      </c>
      <c r="C3072" s="25" t="s">
        <v>399</v>
      </c>
      <c r="D3072" s="20">
        <v>119</v>
      </c>
      <c r="E3072" s="28">
        <v>32492.240000000002</v>
      </c>
      <c r="F3072" s="22" t="s">
        <v>270</v>
      </c>
      <c r="G3072" s="14">
        <v>8</v>
      </c>
      <c r="H3072" s="40">
        <v>44875</v>
      </c>
      <c r="I3072" s="46">
        <f t="shared" si="188"/>
        <v>470</v>
      </c>
      <c r="J3072" s="1" t="s">
        <v>15</v>
      </c>
      <c r="K3072" s="4" t="s">
        <v>199</v>
      </c>
      <c r="L3072" s="4" t="s">
        <v>225</v>
      </c>
      <c r="M3072" s="8">
        <v>8</v>
      </c>
      <c r="N3072" s="5">
        <v>4061.53</v>
      </c>
      <c r="O3072" s="5">
        <v>32492.240000000002</v>
      </c>
      <c r="P3072">
        <f t="shared" si="189"/>
        <v>1</v>
      </c>
      <c r="Q3072" s="36">
        <f t="shared" si="190"/>
        <v>32492.240000000002</v>
      </c>
      <c r="R3072">
        <f t="shared" si="191"/>
        <v>2022</v>
      </c>
    </row>
    <row r="3073" spans="1:18" x14ac:dyDescent="0.2">
      <c r="A3073" s="13">
        <v>45345</v>
      </c>
      <c r="B3073" s="13">
        <v>45226</v>
      </c>
      <c r="C3073" s="25" t="s">
        <v>399</v>
      </c>
      <c r="D3073" s="20">
        <v>119</v>
      </c>
      <c r="E3073" s="28">
        <v>32492.240000000002</v>
      </c>
      <c r="F3073" s="22" t="s">
        <v>270</v>
      </c>
      <c r="G3073" s="14">
        <v>8</v>
      </c>
      <c r="H3073" s="40">
        <v>44875</v>
      </c>
      <c r="I3073" s="46">
        <f t="shared" si="188"/>
        <v>470</v>
      </c>
      <c r="J3073" s="1" t="s">
        <v>15</v>
      </c>
      <c r="K3073" s="4" t="s">
        <v>199</v>
      </c>
      <c r="L3073" s="4" t="s">
        <v>225</v>
      </c>
      <c r="M3073" s="8">
        <v>8</v>
      </c>
      <c r="N3073" s="5">
        <v>4061.53</v>
      </c>
      <c r="O3073" s="5">
        <v>32492.240000000002</v>
      </c>
      <c r="P3073">
        <f t="shared" si="189"/>
        <v>1</v>
      </c>
      <c r="Q3073" s="36">
        <f t="shared" si="190"/>
        <v>32492.240000000002</v>
      </c>
      <c r="R3073">
        <f t="shared" si="191"/>
        <v>2022</v>
      </c>
    </row>
    <row r="3074" spans="1:18" x14ac:dyDescent="0.2">
      <c r="A3074" s="13">
        <v>45345</v>
      </c>
      <c r="B3074" s="13">
        <v>45226</v>
      </c>
      <c r="C3074" s="25" t="s">
        <v>399</v>
      </c>
      <c r="D3074" s="20">
        <v>119</v>
      </c>
      <c r="E3074" s="28">
        <v>20307.650000000001</v>
      </c>
      <c r="F3074" s="22" t="s">
        <v>270</v>
      </c>
      <c r="G3074" s="14">
        <v>5</v>
      </c>
      <c r="H3074" s="40">
        <v>44875</v>
      </c>
      <c r="I3074" s="46">
        <f t="shared" si="188"/>
        <v>470</v>
      </c>
      <c r="J3074" s="1" t="s">
        <v>15</v>
      </c>
      <c r="K3074" s="4" t="s">
        <v>199</v>
      </c>
      <c r="L3074" s="4" t="s">
        <v>225</v>
      </c>
      <c r="M3074" s="8">
        <v>5</v>
      </c>
      <c r="N3074" s="5">
        <v>4061.53</v>
      </c>
      <c r="O3074" s="5">
        <v>20307.650000000001</v>
      </c>
      <c r="P3074">
        <f t="shared" si="189"/>
        <v>1</v>
      </c>
      <c r="Q3074" s="36">
        <f t="shared" si="190"/>
        <v>20307.650000000001</v>
      </c>
      <c r="R3074">
        <f t="shared" si="191"/>
        <v>2022</v>
      </c>
    </row>
    <row r="3075" spans="1:18" x14ac:dyDescent="0.2">
      <c r="A3075" s="13">
        <v>45345</v>
      </c>
      <c r="B3075" s="13">
        <v>45226</v>
      </c>
      <c r="C3075" s="25" t="s">
        <v>399</v>
      </c>
      <c r="D3075" s="20">
        <v>119</v>
      </c>
      <c r="E3075" s="28">
        <v>32492.240000000002</v>
      </c>
      <c r="F3075" s="22" t="s">
        <v>270</v>
      </c>
      <c r="G3075" s="14">
        <v>8</v>
      </c>
      <c r="H3075" s="40">
        <v>44875</v>
      </c>
      <c r="I3075" s="46">
        <f t="shared" ref="I3075:I3138" si="192">IFERROR(A3075-H3075,"")*1</f>
        <v>470</v>
      </c>
      <c r="J3075" s="1" t="s">
        <v>15</v>
      </c>
      <c r="K3075" s="4" t="s">
        <v>199</v>
      </c>
      <c r="L3075" s="4" t="s">
        <v>225</v>
      </c>
      <c r="M3075" s="8">
        <v>8</v>
      </c>
      <c r="N3075" s="5">
        <v>4061.53</v>
      </c>
      <c r="O3075" s="5">
        <v>32492.240000000002</v>
      </c>
      <c r="P3075">
        <f t="shared" ref="P3075:P3138" si="193">IF(M3075=G3075,1,0)</f>
        <v>1</v>
      </c>
      <c r="Q3075" s="36">
        <f t="shared" ref="Q3075:Q3138" si="194">N3075*G3075</f>
        <v>32492.240000000002</v>
      </c>
      <c r="R3075">
        <f t="shared" ref="R3075:R3138" si="195">YEAR(H3075)</f>
        <v>2022</v>
      </c>
    </row>
    <row r="3076" spans="1:18" x14ac:dyDescent="0.2">
      <c r="A3076" s="13">
        <v>45345</v>
      </c>
      <c r="B3076" s="13">
        <v>45226</v>
      </c>
      <c r="C3076" s="25" t="s">
        <v>399</v>
      </c>
      <c r="D3076" s="20">
        <v>119</v>
      </c>
      <c r="E3076" s="28">
        <v>32492.240000000002</v>
      </c>
      <c r="F3076" s="22" t="s">
        <v>270</v>
      </c>
      <c r="G3076" s="14">
        <v>8</v>
      </c>
      <c r="H3076" s="40">
        <v>44875</v>
      </c>
      <c r="I3076" s="46">
        <f t="shared" si="192"/>
        <v>470</v>
      </c>
      <c r="J3076" s="1" t="s">
        <v>15</v>
      </c>
      <c r="K3076" s="4" t="s">
        <v>199</v>
      </c>
      <c r="L3076" s="4" t="s">
        <v>225</v>
      </c>
      <c r="M3076" s="8">
        <v>8</v>
      </c>
      <c r="N3076" s="5">
        <v>4061.53</v>
      </c>
      <c r="O3076" s="5">
        <v>32492.240000000002</v>
      </c>
      <c r="P3076">
        <f t="shared" si="193"/>
        <v>1</v>
      </c>
      <c r="Q3076" s="36">
        <f t="shared" si="194"/>
        <v>32492.240000000002</v>
      </c>
      <c r="R3076">
        <f t="shared" si="195"/>
        <v>2022</v>
      </c>
    </row>
    <row r="3077" spans="1:18" x14ac:dyDescent="0.2">
      <c r="A3077" s="13">
        <v>45345</v>
      </c>
      <c r="B3077" s="13">
        <v>45226</v>
      </c>
      <c r="C3077" s="25" t="s">
        <v>399</v>
      </c>
      <c r="D3077" s="20">
        <v>119</v>
      </c>
      <c r="E3077" s="28">
        <v>32492.240000000002</v>
      </c>
      <c r="F3077" s="22" t="s">
        <v>270</v>
      </c>
      <c r="G3077" s="14">
        <v>8</v>
      </c>
      <c r="H3077" s="40">
        <v>44875</v>
      </c>
      <c r="I3077" s="46">
        <f t="shared" si="192"/>
        <v>470</v>
      </c>
      <c r="J3077" s="1" t="s">
        <v>15</v>
      </c>
      <c r="K3077" s="4" t="s">
        <v>199</v>
      </c>
      <c r="L3077" s="4" t="s">
        <v>225</v>
      </c>
      <c r="M3077" s="8">
        <v>8</v>
      </c>
      <c r="N3077" s="5">
        <v>4061.53</v>
      </c>
      <c r="O3077" s="5">
        <v>32492.240000000002</v>
      </c>
      <c r="P3077">
        <f t="shared" si="193"/>
        <v>1</v>
      </c>
      <c r="Q3077" s="36">
        <f t="shared" si="194"/>
        <v>32492.240000000002</v>
      </c>
      <c r="R3077">
        <f t="shared" si="195"/>
        <v>2022</v>
      </c>
    </row>
    <row r="3078" spans="1:18" x14ac:dyDescent="0.2">
      <c r="A3078" s="13">
        <v>45345</v>
      </c>
      <c r="B3078" s="13">
        <v>45226</v>
      </c>
      <c r="C3078" s="25" t="s">
        <v>399</v>
      </c>
      <c r="D3078" s="20">
        <v>119</v>
      </c>
      <c r="E3078" s="28">
        <v>32492.240000000002</v>
      </c>
      <c r="F3078" s="22" t="s">
        <v>270</v>
      </c>
      <c r="G3078" s="14">
        <v>8</v>
      </c>
      <c r="H3078" s="40">
        <v>44875</v>
      </c>
      <c r="I3078" s="46">
        <f t="shared" si="192"/>
        <v>470</v>
      </c>
      <c r="J3078" s="1" t="s">
        <v>15</v>
      </c>
      <c r="K3078" s="4" t="s">
        <v>199</v>
      </c>
      <c r="L3078" s="4" t="s">
        <v>225</v>
      </c>
      <c r="M3078" s="8">
        <v>8</v>
      </c>
      <c r="N3078" s="5">
        <v>4061.53</v>
      </c>
      <c r="O3078" s="5">
        <v>32492.240000000002</v>
      </c>
      <c r="P3078">
        <f t="shared" si="193"/>
        <v>1</v>
      </c>
      <c r="Q3078" s="36">
        <f t="shared" si="194"/>
        <v>32492.240000000002</v>
      </c>
      <c r="R3078">
        <f t="shared" si="195"/>
        <v>2022</v>
      </c>
    </row>
    <row r="3079" spans="1:18" x14ac:dyDescent="0.2">
      <c r="A3079" s="13">
        <v>45345</v>
      </c>
      <c r="B3079" s="13">
        <v>45226</v>
      </c>
      <c r="C3079" s="25" t="s">
        <v>399</v>
      </c>
      <c r="D3079" s="20">
        <v>119</v>
      </c>
      <c r="E3079" s="28">
        <v>32492.240000000002</v>
      </c>
      <c r="F3079" s="22" t="s">
        <v>270</v>
      </c>
      <c r="G3079" s="14">
        <v>8</v>
      </c>
      <c r="H3079" s="40">
        <v>44875</v>
      </c>
      <c r="I3079" s="46">
        <f t="shared" si="192"/>
        <v>470</v>
      </c>
      <c r="J3079" s="1" t="s">
        <v>15</v>
      </c>
      <c r="K3079" s="4" t="s">
        <v>199</v>
      </c>
      <c r="L3079" s="4" t="s">
        <v>225</v>
      </c>
      <c r="M3079" s="8">
        <v>8</v>
      </c>
      <c r="N3079" s="5">
        <v>4061.53</v>
      </c>
      <c r="O3079" s="5">
        <v>32492.240000000002</v>
      </c>
      <c r="P3079">
        <f t="shared" si="193"/>
        <v>1</v>
      </c>
      <c r="Q3079" s="36">
        <f t="shared" si="194"/>
        <v>32492.240000000002</v>
      </c>
      <c r="R3079">
        <f t="shared" si="195"/>
        <v>2022</v>
      </c>
    </row>
    <row r="3080" spans="1:18" x14ac:dyDescent="0.2">
      <c r="A3080" s="13">
        <v>45415</v>
      </c>
      <c r="B3080" s="13">
        <v>45415</v>
      </c>
      <c r="C3080" s="25" t="s">
        <v>398</v>
      </c>
      <c r="D3080" s="20">
        <v>0</v>
      </c>
      <c r="E3080" s="28">
        <v>48738.36</v>
      </c>
      <c r="F3080" s="22" t="s">
        <v>270</v>
      </c>
      <c r="G3080" s="14">
        <v>12</v>
      </c>
      <c r="H3080" s="40">
        <v>44897</v>
      </c>
      <c r="I3080" s="46">
        <f t="shared" si="192"/>
        <v>518</v>
      </c>
      <c r="J3080" s="1" t="s">
        <v>15</v>
      </c>
      <c r="K3080" s="4" t="s">
        <v>199</v>
      </c>
      <c r="L3080" s="4" t="s">
        <v>225</v>
      </c>
      <c r="M3080" s="8">
        <v>12</v>
      </c>
      <c r="N3080" s="5">
        <v>4061.53</v>
      </c>
      <c r="O3080" s="5">
        <v>48738.36</v>
      </c>
      <c r="P3080">
        <f t="shared" si="193"/>
        <v>1</v>
      </c>
      <c r="Q3080" s="36">
        <f t="shared" si="194"/>
        <v>48738.36</v>
      </c>
      <c r="R3080">
        <f t="shared" si="195"/>
        <v>2022</v>
      </c>
    </row>
    <row r="3081" spans="1:18" x14ac:dyDescent="0.2">
      <c r="A3081" s="13">
        <v>45421</v>
      </c>
      <c r="B3081" s="13">
        <v>45421</v>
      </c>
      <c r="C3081" s="25" t="s">
        <v>398</v>
      </c>
      <c r="D3081" s="20">
        <v>0</v>
      </c>
      <c r="E3081" s="28">
        <v>12184.59</v>
      </c>
      <c r="F3081" s="22" t="s">
        <v>270</v>
      </c>
      <c r="G3081" s="14">
        <v>3</v>
      </c>
      <c r="H3081" s="40">
        <v>44904</v>
      </c>
      <c r="I3081" s="46">
        <f t="shared" si="192"/>
        <v>517</v>
      </c>
      <c r="J3081" s="1" t="s">
        <v>15</v>
      </c>
      <c r="K3081" s="4" t="s">
        <v>200</v>
      </c>
      <c r="L3081" s="4" t="s">
        <v>225</v>
      </c>
      <c r="M3081" s="8">
        <v>3</v>
      </c>
      <c r="N3081" s="5">
        <v>4061.53</v>
      </c>
      <c r="O3081" s="5">
        <v>12184.59</v>
      </c>
      <c r="P3081">
        <f t="shared" si="193"/>
        <v>1</v>
      </c>
      <c r="Q3081" s="36">
        <f t="shared" si="194"/>
        <v>12184.59</v>
      </c>
      <c r="R3081">
        <f t="shared" si="195"/>
        <v>2022</v>
      </c>
    </row>
    <row r="3082" spans="1:18" x14ac:dyDescent="0.2">
      <c r="A3082" s="13">
        <v>45545</v>
      </c>
      <c r="B3082" s="13">
        <v>45545</v>
      </c>
      <c r="C3082" s="25" t="s">
        <v>398</v>
      </c>
      <c r="D3082" s="20">
        <v>0</v>
      </c>
      <c r="E3082" s="28">
        <v>32492.240000000002</v>
      </c>
      <c r="F3082" s="22" t="s">
        <v>270</v>
      </c>
      <c r="G3082" s="14">
        <v>8</v>
      </c>
      <c r="H3082" s="40">
        <v>45030</v>
      </c>
      <c r="I3082" s="46">
        <f t="shared" si="192"/>
        <v>515</v>
      </c>
      <c r="J3082" s="1" t="s">
        <v>15</v>
      </c>
      <c r="K3082" s="4" t="s">
        <v>200</v>
      </c>
      <c r="L3082" s="4" t="s">
        <v>225</v>
      </c>
      <c r="M3082" s="8">
        <v>8</v>
      </c>
      <c r="N3082" s="5">
        <v>4061.53</v>
      </c>
      <c r="O3082" s="5">
        <v>32492.240000000002</v>
      </c>
      <c r="P3082">
        <f t="shared" si="193"/>
        <v>1</v>
      </c>
      <c r="Q3082" s="36">
        <f t="shared" si="194"/>
        <v>32492.240000000002</v>
      </c>
      <c r="R3082">
        <f t="shared" si="195"/>
        <v>2023</v>
      </c>
    </row>
    <row r="3083" spans="1:18" x14ac:dyDescent="0.2">
      <c r="A3083" s="13">
        <v>45202</v>
      </c>
      <c r="B3083" s="13">
        <v>44988</v>
      </c>
      <c r="C3083" s="25" t="s">
        <v>399</v>
      </c>
      <c r="D3083" s="20">
        <v>214</v>
      </c>
      <c r="E3083" s="28">
        <v>152904.64000000001</v>
      </c>
      <c r="F3083" s="22" t="s">
        <v>324</v>
      </c>
      <c r="G3083" s="14">
        <v>32</v>
      </c>
      <c r="H3083" s="40">
        <v>44874</v>
      </c>
      <c r="I3083" s="46">
        <f t="shared" si="192"/>
        <v>328</v>
      </c>
      <c r="J3083" s="1" t="s">
        <v>15</v>
      </c>
      <c r="K3083" s="4" t="s">
        <v>200</v>
      </c>
      <c r="L3083" s="4" t="s">
        <v>225</v>
      </c>
      <c r="M3083" s="8">
        <v>32</v>
      </c>
      <c r="N3083" s="5">
        <v>4778.2700000000004</v>
      </c>
      <c r="O3083" s="5">
        <v>152904.64000000001</v>
      </c>
      <c r="P3083">
        <f t="shared" si="193"/>
        <v>1</v>
      </c>
      <c r="Q3083" s="36">
        <f t="shared" si="194"/>
        <v>152904.64000000001</v>
      </c>
      <c r="R3083">
        <f t="shared" si="195"/>
        <v>2022</v>
      </c>
    </row>
    <row r="3084" spans="1:18" x14ac:dyDescent="0.2">
      <c r="A3084" s="13">
        <v>45202</v>
      </c>
      <c r="B3084" s="13">
        <v>44960</v>
      </c>
      <c r="C3084" s="25" t="s">
        <v>399</v>
      </c>
      <c r="D3084" s="20">
        <v>242</v>
      </c>
      <c r="E3084" s="28">
        <v>535166.24</v>
      </c>
      <c r="F3084" s="22" t="s">
        <v>324</v>
      </c>
      <c r="G3084" s="14">
        <v>112</v>
      </c>
      <c r="H3084" s="40">
        <v>44875</v>
      </c>
      <c r="I3084" s="46">
        <f t="shared" si="192"/>
        <v>327</v>
      </c>
      <c r="J3084" s="1" t="s">
        <v>15</v>
      </c>
      <c r="K3084" s="4" t="s">
        <v>200</v>
      </c>
      <c r="L3084" s="4" t="s">
        <v>225</v>
      </c>
      <c r="M3084" s="8">
        <v>112</v>
      </c>
      <c r="N3084" s="5">
        <v>4778.2700000000004</v>
      </c>
      <c r="O3084" s="5">
        <v>535166.24</v>
      </c>
      <c r="P3084">
        <f t="shared" si="193"/>
        <v>1</v>
      </c>
      <c r="Q3084" s="36">
        <f t="shared" si="194"/>
        <v>535166.24</v>
      </c>
      <c r="R3084">
        <f t="shared" si="195"/>
        <v>2022</v>
      </c>
    </row>
    <row r="3085" spans="1:18" x14ac:dyDescent="0.2">
      <c r="A3085" s="13">
        <v>45202</v>
      </c>
      <c r="B3085" s="13">
        <v>45142</v>
      </c>
      <c r="C3085" s="25" t="s">
        <v>399</v>
      </c>
      <c r="D3085" s="20">
        <v>60</v>
      </c>
      <c r="E3085" s="28">
        <v>76452.320000000007</v>
      </c>
      <c r="F3085" s="22" t="s">
        <v>324</v>
      </c>
      <c r="G3085" s="14">
        <v>16</v>
      </c>
      <c r="H3085" s="40">
        <v>44875</v>
      </c>
      <c r="I3085" s="46">
        <f t="shared" si="192"/>
        <v>327</v>
      </c>
      <c r="J3085" s="1" t="s">
        <v>15</v>
      </c>
      <c r="K3085" s="4" t="s">
        <v>200</v>
      </c>
      <c r="L3085" s="4" t="s">
        <v>225</v>
      </c>
      <c r="M3085" s="8">
        <v>160</v>
      </c>
      <c r="N3085" s="5">
        <v>4778.2700000000004</v>
      </c>
      <c r="O3085" s="5">
        <v>764523.2</v>
      </c>
      <c r="P3085">
        <f t="shared" si="193"/>
        <v>0</v>
      </c>
      <c r="Q3085" s="36">
        <f t="shared" si="194"/>
        <v>76452.320000000007</v>
      </c>
      <c r="R3085">
        <f t="shared" si="195"/>
        <v>2022</v>
      </c>
    </row>
    <row r="3086" spans="1:18" x14ac:dyDescent="0.2">
      <c r="A3086" s="13">
        <v>45204</v>
      </c>
      <c r="B3086" s="13">
        <v>45142</v>
      </c>
      <c r="C3086" s="25" t="s">
        <v>399</v>
      </c>
      <c r="D3086" s="20">
        <v>62</v>
      </c>
      <c r="E3086" s="28">
        <v>688070.88</v>
      </c>
      <c r="F3086" s="22" t="s">
        <v>324</v>
      </c>
      <c r="G3086" s="14">
        <v>144</v>
      </c>
      <c r="H3086" s="40">
        <v>44875</v>
      </c>
      <c r="I3086" s="46">
        <f t="shared" si="192"/>
        <v>329</v>
      </c>
      <c r="J3086" s="1" t="s">
        <v>15</v>
      </c>
      <c r="K3086" s="4" t="s">
        <v>200</v>
      </c>
      <c r="L3086" s="4" t="s">
        <v>225</v>
      </c>
      <c r="M3086" s="8">
        <v>160</v>
      </c>
      <c r="N3086" s="5">
        <v>4778.2700000000004</v>
      </c>
      <c r="O3086" s="5">
        <v>764523.2</v>
      </c>
      <c r="P3086">
        <f t="shared" si="193"/>
        <v>0</v>
      </c>
      <c r="Q3086" s="36">
        <f t="shared" si="194"/>
        <v>688070.88000000012</v>
      </c>
      <c r="R3086">
        <f t="shared" si="195"/>
        <v>2022</v>
      </c>
    </row>
    <row r="3087" spans="1:18" x14ac:dyDescent="0.2">
      <c r="A3087" s="13">
        <v>45202</v>
      </c>
      <c r="B3087" s="13">
        <v>45023</v>
      </c>
      <c r="C3087" s="25" t="s">
        <v>399</v>
      </c>
      <c r="D3087" s="20">
        <v>179</v>
      </c>
      <c r="E3087" s="28">
        <v>1070332.48</v>
      </c>
      <c r="F3087" s="22" t="s">
        <v>324</v>
      </c>
      <c r="G3087" s="14">
        <v>224</v>
      </c>
      <c r="H3087" s="40">
        <v>44875</v>
      </c>
      <c r="I3087" s="46">
        <f t="shared" si="192"/>
        <v>327</v>
      </c>
      <c r="J3087" s="1" t="s">
        <v>15</v>
      </c>
      <c r="K3087" s="4" t="s">
        <v>200</v>
      </c>
      <c r="L3087" s="4" t="s">
        <v>225</v>
      </c>
      <c r="M3087" s="8">
        <v>224</v>
      </c>
      <c r="N3087" s="5">
        <v>4778.2700000000004</v>
      </c>
      <c r="O3087" s="5">
        <v>1070332.48</v>
      </c>
      <c r="P3087">
        <f t="shared" si="193"/>
        <v>1</v>
      </c>
      <c r="Q3087" s="36">
        <f t="shared" si="194"/>
        <v>1070332.48</v>
      </c>
      <c r="R3087">
        <f t="shared" si="195"/>
        <v>2022</v>
      </c>
    </row>
    <row r="3088" spans="1:18" x14ac:dyDescent="0.2">
      <c r="A3088" s="13">
        <v>45202</v>
      </c>
      <c r="B3088" s="13">
        <v>45114</v>
      </c>
      <c r="C3088" s="25" t="s">
        <v>399</v>
      </c>
      <c r="D3088" s="20">
        <v>88</v>
      </c>
      <c r="E3088" s="28">
        <v>840975.52</v>
      </c>
      <c r="F3088" s="22" t="s">
        <v>324</v>
      </c>
      <c r="G3088" s="14">
        <v>176</v>
      </c>
      <c r="H3088" s="40">
        <v>44875</v>
      </c>
      <c r="I3088" s="46">
        <f t="shared" si="192"/>
        <v>327</v>
      </c>
      <c r="J3088" s="1" t="s">
        <v>15</v>
      </c>
      <c r="K3088" s="4" t="s">
        <v>200</v>
      </c>
      <c r="L3088" s="4" t="s">
        <v>225</v>
      </c>
      <c r="M3088" s="8">
        <v>176</v>
      </c>
      <c r="N3088" s="5">
        <v>4778.2700000000004</v>
      </c>
      <c r="O3088" s="5">
        <v>840975.52</v>
      </c>
      <c r="P3088">
        <f t="shared" si="193"/>
        <v>1</v>
      </c>
      <c r="Q3088" s="36">
        <f t="shared" si="194"/>
        <v>840975.52</v>
      </c>
      <c r="R3088">
        <f t="shared" si="195"/>
        <v>2022</v>
      </c>
    </row>
    <row r="3089" spans="1:18" x14ac:dyDescent="0.2">
      <c r="A3089" s="13">
        <v>45202</v>
      </c>
      <c r="B3089" s="13">
        <v>45079</v>
      </c>
      <c r="C3089" s="25" t="s">
        <v>399</v>
      </c>
      <c r="D3089" s="20">
        <v>123</v>
      </c>
      <c r="E3089" s="28">
        <v>535166.24</v>
      </c>
      <c r="F3089" s="22" t="s">
        <v>324</v>
      </c>
      <c r="G3089" s="14">
        <v>112</v>
      </c>
      <c r="H3089" s="40">
        <v>44875</v>
      </c>
      <c r="I3089" s="46">
        <f t="shared" si="192"/>
        <v>327</v>
      </c>
      <c r="J3089" s="1" t="s">
        <v>15</v>
      </c>
      <c r="K3089" s="4" t="s">
        <v>200</v>
      </c>
      <c r="L3089" s="4" t="s">
        <v>225</v>
      </c>
      <c r="M3089" s="8">
        <v>112</v>
      </c>
      <c r="N3089" s="5">
        <v>4778.2700000000004</v>
      </c>
      <c r="O3089" s="5">
        <v>535166.24</v>
      </c>
      <c r="P3089">
        <f t="shared" si="193"/>
        <v>1</v>
      </c>
      <c r="Q3089" s="36">
        <f t="shared" si="194"/>
        <v>535166.24</v>
      </c>
      <c r="R3089">
        <f t="shared" si="195"/>
        <v>2022</v>
      </c>
    </row>
    <row r="3090" spans="1:18" x14ac:dyDescent="0.2">
      <c r="A3090" s="13">
        <v>45202</v>
      </c>
      <c r="B3090" s="13">
        <v>45051</v>
      </c>
      <c r="C3090" s="25" t="s">
        <v>399</v>
      </c>
      <c r="D3090" s="20">
        <v>151</v>
      </c>
      <c r="E3090" s="28">
        <v>764523.2</v>
      </c>
      <c r="F3090" s="22" t="s">
        <v>324</v>
      </c>
      <c r="G3090" s="14">
        <v>160</v>
      </c>
      <c r="H3090" s="40">
        <v>44875</v>
      </c>
      <c r="I3090" s="46">
        <f t="shared" si="192"/>
        <v>327</v>
      </c>
      <c r="J3090" s="1" t="s">
        <v>15</v>
      </c>
      <c r="K3090" s="4" t="s">
        <v>200</v>
      </c>
      <c r="L3090" s="4" t="s">
        <v>225</v>
      </c>
      <c r="M3090" s="8">
        <v>160</v>
      </c>
      <c r="N3090" s="5">
        <v>4778.2700000000004</v>
      </c>
      <c r="O3090" s="5">
        <v>764523.2</v>
      </c>
      <c r="P3090">
        <f t="shared" si="193"/>
        <v>1</v>
      </c>
      <c r="Q3090" s="36">
        <f t="shared" si="194"/>
        <v>764523.20000000007</v>
      </c>
      <c r="R3090">
        <f t="shared" si="195"/>
        <v>2022</v>
      </c>
    </row>
    <row r="3091" spans="1:18" x14ac:dyDescent="0.2">
      <c r="A3091" s="13">
        <v>45204</v>
      </c>
      <c r="B3091" s="13">
        <v>45170</v>
      </c>
      <c r="C3091" s="25" t="s">
        <v>399</v>
      </c>
      <c r="D3091" s="20">
        <v>34</v>
      </c>
      <c r="E3091" s="28">
        <v>229356.96</v>
      </c>
      <c r="F3091" s="22" t="s">
        <v>324</v>
      </c>
      <c r="G3091" s="14">
        <v>48</v>
      </c>
      <c r="H3091" s="40">
        <v>44875</v>
      </c>
      <c r="I3091" s="46">
        <f t="shared" si="192"/>
        <v>329</v>
      </c>
      <c r="J3091" s="1" t="s">
        <v>15</v>
      </c>
      <c r="K3091" s="4" t="s">
        <v>200</v>
      </c>
      <c r="L3091" s="4" t="s">
        <v>225</v>
      </c>
      <c r="M3091" s="8">
        <v>128</v>
      </c>
      <c r="N3091" s="5">
        <v>4778.2700000000004</v>
      </c>
      <c r="O3091" s="5">
        <v>611618.56000000006</v>
      </c>
      <c r="P3091">
        <f t="shared" si="193"/>
        <v>0</v>
      </c>
      <c r="Q3091" s="36">
        <f t="shared" si="194"/>
        <v>229356.96000000002</v>
      </c>
      <c r="R3091">
        <f t="shared" si="195"/>
        <v>2022</v>
      </c>
    </row>
    <row r="3092" spans="1:18" x14ac:dyDescent="0.2">
      <c r="A3092" s="13">
        <v>45244</v>
      </c>
      <c r="B3092" s="13">
        <v>45170</v>
      </c>
      <c r="C3092" s="25" t="s">
        <v>399</v>
      </c>
      <c r="D3092" s="20">
        <v>74</v>
      </c>
      <c r="E3092" s="28">
        <v>382261.6</v>
      </c>
      <c r="F3092" s="22" t="s">
        <v>324</v>
      </c>
      <c r="G3092" s="14">
        <v>80</v>
      </c>
      <c r="H3092" s="40">
        <v>44875</v>
      </c>
      <c r="I3092" s="46">
        <f t="shared" si="192"/>
        <v>369</v>
      </c>
      <c r="J3092" s="1" t="s">
        <v>15</v>
      </c>
      <c r="K3092" s="4" t="s">
        <v>200</v>
      </c>
      <c r="L3092" s="4" t="s">
        <v>225</v>
      </c>
      <c r="M3092" s="8">
        <v>128</v>
      </c>
      <c r="N3092" s="5">
        <v>4778.2700000000004</v>
      </c>
      <c r="O3092" s="5">
        <v>611618.56000000006</v>
      </c>
      <c r="P3092">
        <f t="shared" si="193"/>
        <v>0</v>
      </c>
      <c r="Q3092" s="36">
        <f t="shared" si="194"/>
        <v>382261.60000000003</v>
      </c>
      <c r="R3092">
        <f t="shared" si="195"/>
        <v>2022</v>
      </c>
    </row>
    <row r="3093" spans="1:18" x14ac:dyDescent="0.2">
      <c r="A3093" s="13">
        <v>45244</v>
      </c>
      <c r="B3093" s="13">
        <v>45205</v>
      </c>
      <c r="C3093" s="25" t="s">
        <v>399</v>
      </c>
      <c r="D3093" s="20">
        <v>39</v>
      </c>
      <c r="E3093" s="28">
        <v>764523.2</v>
      </c>
      <c r="F3093" s="22" t="s">
        <v>324</v>
      </c>
      <c r="G3093" s="14">
        <v>160</v>
      </c>
      <c r="H3093" s="40">
        <v>44875</v>
      </c>
      <c r="I3093" s="46">
        <f t="shared" si="192"/>
        <v>369</v>
      </c>
      <c r="J3093" s="1" t="s">
        <v>15</v>
      </c>
      <c r="K3093" s="4" t="s">
        <v>200</v>
      </c>
      <c r="L3093" s="4" t="s">
        <v>225</v>
      </c>
      <c r="M3093" s="8">
        <v>192</v>
      </c>
      <c r="N3093" s="5">
        <v>4778.2700000000004</v>
      </c>
      <c r="O3093" s="5">
        <v>917427.84</v>
      </c>
      <c r="P3093">
        <f t="shared" si="193"/>
        <v>0</v>
      </c>
      <c r="Q3093" s="36">
        <f t="shared" si="194"/>
        <v>764523.20000000007</v>
      </c>
      <c r="R3093">
        <f t="shared" si="195"/>
        <v>2022</v>
      </c>
    </row>
    <row r="3094" spans="1:18" x14ac:dyDescent="0.2">
      <c r="A3094" s="13">
        <v>45345</v>
      </c>
      <c r="B3094" s="13">
        <v>45205</v>
      </c>
      <c r="C3094" s="25" t="s">
        <v>399</v>
      </c>
      <c r="D3094" s="20">
        <v>140</v>
      </c>
      <c r="E3094" s="28">
        <v>152904.64000000001</v>
      </c>
      <c r="F3094" s="22" t="s">
        <v>324</v>
      </c>
      <c r="G3094" s="14">
        <v>32</v>
      </c>
      <c r="H3094" s="40">
        <v>44875</v>
      </c>
      <c r="I3094" s="46">
        <f t="shared" si="192"/>
        <v>470</v>
      </c>
      <c r="J3094" s="1" t="s">
        <v>15</v>
      </c>
      <c r="K3094" s="4" t="s">
        <v>200</v>
      </c>
      <c r="L3094" s="4" t="s">
        <v>225</v>
      </c>
      <c r="M3094" s="8">
        <v>192</v>
      </c>
      <c r="N3094" s="5">
        <v>4778.2700000000004</v>
      </c>
      <c r="O3094" s="5">
        <v>917427.84</v>
      </c>
      <c r="P3094">
        <f t="shared" si="193"/>
        <v>0</v>
      </c>
      <c r="Q3094" s="36">
        <f t="shared" si="194"/>
        <v>152904.64000000001</v>
      </c>
      <c r="R3094">
        <f t="shared" si="195"/>
        <v>2022</v>
      </c>
    </row>
    <row r="3095" spans="1:18" x14ac:dyDescent="0.2">
      <c r="A3095" s="13">
        <v>45345</v>
      </c>
      <c r="B3095" s="13">
        <v>45233</v>
      </c>
      <c r="C3095" s="25" t="s">
        <v>399</v>
      </c>
      <c r="D3095" s="20">
        <v>112</v>
      </c>
      <c r="E3095" s="28">
        <v>917427.84</v>
      </c>
      <c r="F3095" s="22" t="s">
        <v>324</v>
      </c>
      <c r="G3095" s="14">
        <v>192</v>
      </c>
      <c r="H3095" s="40">
        <v>44875</v>
      </c>
      <c r="I3095" s="46">
        <f t="shared" si="192"/>
        <v>470</v>
      </c>
      <c r="J3095" s="1" t="s">
        <v>15</v>
      </c>
      <c r="K3095" s="4" t="s">
        <v>200</v>
      </c>
      <c r="L3095" s="4" t="s">
        <v>225</v>
      </c>
      <c r="M3095" s="8">
        <v>192</v>
      </c>
      <c r="N3095" s="5">
        <v>4778.2700000000004</v>
      </c>
      <c r="O3095" s="5">
        <v>917427.84</v>
      </c>
      <c r="P3095">
        <f t="shared" si="193"/>
        <v>1</v>
      </c>
      <c r="Q3095" s="36">
        <f t="shared" si="194"/>
        <v>917427.84000000008</v>
      </c>
      <c r="R3095">
        <f t="shared" si="195"/>
        <v>2022</v>
      </c>
    </row>
    <row r="3096" spans="1:18" x14ac:dyDescent="0.2">
      <c r="A3096" s="13">
        <v>45345</v>
      </c>
      <c r="B3096" s="13">
        <v>45261</v>
      </c>
      <c r="C3096" s="25" t="s">
        <v>399</v>
      </c>
      <c r="D3096" s="20">
        <v>84</v>
      </c>
      <c r="E3096" s="28">
        <v>229356.96</v>
      </c>
      <c r="F3096" s="22" t="s">
        <v>324</v>
      </c>
      <c r="G3096" s="14">
        <v>48</v>
      </c>
      <c r="H3096" s="40">
        <v>44875</v>
      </c>
      <c r="I3096" s="46">
        <f t="shared" si="192"/>
        <v>470</v>
      </c>
      <c r="J3096" s="1" t="s">
        <v>15</v>
      </c>
      <c r="K3096" s="4" t="s">
        <v>200</v>
      </c>
      <c r="L3096" s="4" t="s">
        <v>225</v>
      </c>
      <c r="M3096" s="8">
        <v>48</v>
      </c>
      <c r="N3096" s="5">
        <v>4778.2700000000004</v>
      </c>
      <c r="O3096" s="5">
        <v>229356.96</v>
      </c>
      <c r="P3096">
        <f t="shared" si="193"/>
        <v>1</v>
      </c>
      <c r="Q3096" s="36">
        <f t="shared" si="194"/>
        <v>229356.96000000002</v>
      </c>
      <c r="R3096">
        <f t="shared" si="195"/>
        <v>2022</v>
      </c>
    </row>
    <row r="3097" spans="1:18" x14ac:dyDescent="0.2">
      <c r="A3097" s="13">
        <v>45330</v>
      </c>
      <c r="B3097" s="13">
        <v>45230</v>
      </c>
      <c r="C3097" s="25" t="s">
        <v>399</v>
      </c>
      <c r="D3097" s="20">
        <v>100</v>
      </c>
      <c r="E3097" s="28">
        <v>10786.8</v>
      </c>
      <c r="F3097" s="22" t="s">
        <v>325</v>
      </c>
      <c r="G3097" s="14">
        <v>120</v>
      </c>
      <c r="H3097" s="40">
        <v>44967</v>
      </c>
      <c r="I3097" s="46">
        <f t="shared" si="192"/>
        <v>363</v>
      </c>
      <c r="J3097" s="1" t="s">
        <v>15</v>
      </c>
      <c r="K3097" s="4" t="s">
        <v>200</v>
      </c>
      <c r="L3097" s="4" t="s">
        <v>225</v>
      </c>
      <c r="M3097" s="8">
        <v>120</v>
      </c>
      <c r="N3097" s="5">
        <v>89.89</v>
      </c>
      <c r="O3097" s="5">
        <v>10786.8</v>
      </c>
      <c r="P3097">
        <f t="shared" si="193"/>
        <v>1</v>
      </c>
      <c r="Q3097" s="36">
        <f t="shared" si="194"/>
        <v>10786.8</v>
      </c>
      <c r="R3097">
        <f t="shared" si="195"/>
        <v>2023</v>
      </c>
    </row>
    <row r="3098" spans="1:18" x14ac:dyDescent="0.2">
      <c r="A3098" s="13">
        <v>45503</v>
      </c>
      <c r="B3098" s="13">
        <v>45503</v>
      </c>
      <c r="C3098" s="25" t="s">
        <v>398</v>
      </c>
      <c r="D3098" s="20">
        <v>0</v>
      </c>
      <c r="E3098" s="28">
        <v>165855.6</v>
      </c>
      <c r="F3098" s="22" t="s">
        <v>304</v>
      </c>
      <c r="G3098" s="14">
        <v>360</v>
      </c>
      <c r="H3098" s="40">
        <v>45140</v>
      </c>
      <c r="I3098" s="46">
        <f t="shared" si="192"/>
        <v>363</v>
      </c>
      <c r="J3098" s="1" t="s">
        <v>15</v>
      </c>
      <c r="K3098" s="4" t="s">
        <v>200</v>
      </c>
      <c r="L3098" s="4" t="s">
        <v>225</v>
      </c>
      <c r="M3098" s="8">
        <v>360</v>
      </c>
      <c r="N3098" s="5">
        <v>460.71</v>
      </c>
      <c r="O3098" s="5">
        <v>165855.6</v>
      </c>
      <c r="P3098">
        <f t="shared" si="193"/>
        <v>1</v>
      </c>
      <c r="Q3098" s="36">
        <f t="shared" si="194"/>
        <v>165855.6</v>
      </c>
      <c r="R3098">
        <f t="shared" si="195"/>
        <v>2023</v>
      </c>
    </row>
    <row r="3099" spans="1:18" x14ac:dyDescent="0.2">
      <c r="A3099" s="13">
        <v>45517</v>
      </c>
      <c r="B3099" s="13">
        <v>45517</v>
      </c>
      <c r="C3099" s="25" t="s">
        <v>398</v>
      </c>
      <c r="D3099" s="20">
        <v>0</v>
      </c>
      <c r="E3099" s="28">
        <v>66342.240000000005</v>
      </c>
      <c r="F3099" s="22" t="s">
        <v>304</v>
      </c>
      <c r="G3099" s="14">
        <v>144</v>
      </c>
      <c r="H3099" s="40">
        <v>45140</v>
      </c>
      <c r="I3099" s="46">
        <f t="shared" si="192"/>
        <v>377</v>
      </c>
      <c r="J3099" s="1" t="s">
        <v>15</v>
      </c>
      <c r="K3099" s="4" t="s">
        <v>200</v>
      </c>
      <c r="L3099" s="4" t="s">
        <v>225</v>
      </c>
      <c r="M3099" s="8">
        <v>144</v>
      </c>
      <c r="N3099" s="5">
        <v>460.71</v>
      </c>
      <c r="O3099" s="5">
        <v>66342.240000000005</v>
      </c>
      <c r="P3099">
        <f t="shared" si="193"/>
        <v>1</v>
      </c>
      <c r="Q3099" s="36">
        <f t="shared" si="194"/>
        <v>66342.239999999991</v>
      </c>
      <c r="R3099">
        <f t="shared" si="195"/>
        <v>2023</v>
      </c>
    </row>
    <row r="3100" spans="1:18" x14ac:dyDescent="0.2">
      <c r="A3100" s="13">
        <v>45517</v>
      </c>
      <c r="B3100" s="13">
        <v>45517</v>
      </c>
      <c r="C3100" s="25" t="s">
        <v>398</v>
      </c>
      <c r="D3100" s="20">
        <v>0</v>
      </c>
      <c r="E3100" s="28">
        <v>33171.120000000003</v>
      </c>
      <c r="F3100" s="22" t="s">
        <v>304</v>
      </c>
      <c r="G3100" s="14">
        <v>72</v>
      </c>
      <c r="H3100" s="40">
        <v>45140</v>
      </c>
      <c r="I3100" s="46">
        <f t="shared" si="192"/>
        <v>377</v>
      </c>
      <c r="J3100" s="1" t="s">
        <v>15</v>
      </c>
      <c r="K3100" s="4" t="s">
        <v>200</v>
      </c>
      <c r="L3100" s="4" t="s">
        <v>225</v>
      </c>
      <c r="M3100" s="8">
        <v>72</v>
      </c>
      <c r="N3100" s="5">
        <v>460.71</v>
      </c>
      <c r="O3100" s="5">
        <v>33171.120000000003</v>
      </c>
      <c r="P3100">
        <f t="shared" si="193"/>
        <v>1</v>
      </c>
      <c r="Q3100" s="36">
        <f t="shared" si="194"/>
        <v>33171.119999999995</v>
      </c>
      <c r="R3100">
        <f t="shared" si="195"/>
        <v>2023</v>
      </c>
    </row>
    <row r="3101" spans="1:18" x14ac:dyDescent="0.2">
      <c r="A3101" s="13">
        <v>45524</v>
      </c>
      <c r="B3101" s="13">
        <v>45524</v>
      </c>
      <c r="C3101" s="25" t="s">
        <v>398</v>
      </c>
      <c r="D3101" s="20">
        <v>0</v>
      </c>
      <c r="E3101" s="28">
        <v>33171.120000000003</v>
      </c>
      <c r="F3101" s="22" t="s">
        <v>304</v>
      </c>
      <c r="G3101" s="14">
        <v>72</v>
      </c>
      <c r="H3101" s="40">
        <v>45146</v>
      </c>
      <c r="I3101" s="46">
        <f t="shared" si="192"/>
        <v>378</v>
      </c>
      <c r="J3101" s="1" t="s">
        <v>15</v>
      </c>
      <c r="K3101" s="4" t="s">
        <v>200</v>
      </c>
      <c r="L3101" s="4" t="s">
        <v>225</v>
      </c>
      <c r="M3101" s="8">
        <v>72</v>
      </c>
      <c r="N3101" s="5">
        <v>460.71</v>
      </c>
      <c r="O3101" s="5">
        <v>33171.120000000003</v>
      </c>
      <c r="P3101">
        <f t="shared" si="193"/>
        <v>1</v>
      </c>
      <c r="Q3101" s="36">
        <f t="shared" si="194"/>
        <v>33171.119999999995</v>
      </c>
      <c r="R3101">
        <f t="shared" si="195"/>
        <v>2023</v>
      </c>
    </row>
    <row r="3102" spans="1:18" x14ac:dyDescent="0.2">
      <c r="A3102" s="13">
        <v>45232</v>
      </c>
      <c r="B3102" s="13">
        <v>45232</v>
      </c>
      <c r="C3102" s="25" t="s">
        <v>398</v>
      </c>
      <c r="D3102" s="20">
        <v>0</v>
      </c>
      <c r="E3102" s="28">
        <v>26074.44</v>
      </c>
      <c r="F3102" s="22" t="s">
        <v>303</v>
      </c>
      <c r="G3102" s="14">
        <v>63</v>
      </c>
      <c r="H3102" s="40">
        <v>44992</v>
      </c>
      <c r="I3102" s="46">
        <f t="shared" si="192"/>
        <v>240</v>
      </c>
      <c r="J3102" s="1" t="s">
        <v>15</v>
      </c>
      <c r="K3102" s="4" t="s">
        <v>199</v>
      </c>
      <c r="L3102" s="4" t="s">
        <v>225</v>
      </c>
      <c r="M3102" s="8">
        <v>63</v>
      </c>
      <c r="N3102" s="5">
        <v>413.88</v>
      </c>
      <c r="O3102" s="5">
        <v>26074.44</v>
      </c>
      <c r="P3102">
        <f t="shared" si="193"/>
        <v>1</v>
      </c>
      <c r="Q3102" s="36">
        <f t="shared" si="194"/>
        <v>26074.44</v>
      </c>
      <c r="R3102">
        <f t="shared" si="195"/>
        <v>2023</v>
      </c>
    </row>
    <row r="3103" spans="1:18" x14ac:dyDescent="0.2">
      <c r="A3103" s="13">
        <v>45239</v>
      </c>
      <c r="B3103" s="13">
        <v>45239</v>
      </c>
      <c r="C3103" s="25" t="s">
        <v>398</v>
      </c>
      <c r="D3103" s="20">
        <v>0</v>
      </c>
      <c r="E3103" s="28">
        <v>26074.44</v>
      </c>
      <c r="F3103" s="22" t="s">
        <v>303</v>
      </c>
      <c r="G3103" s="14">
        <v>63</v>
      </c>
      <c r="H3103" s="40">
        <v>44992</v>
      </c>
      <c r="I3103" s="46">
        <f t="shared" si="192"/>
        <v>247</v>
      </c>
      <c r="J3103" s="1" t="s">
        <v>15</v>
      </c>
      <c r="K3103" s="4" t="s">
        <v>199</v>
      </c>
      <c r="L3103" s="4" t="s">
        <v>225</v>
      </c>
      <c r="M3103" s="8">
        <v>63</v>
      </c>
      <c r="N3103" s="5">
        <v>413.88</v>
      </c>
      <c r="O3103" s="5">
        <v>26074.44</v>
      </c>
      <c r="P3103">
        <f t="shared" si="193"/>
        <v>1</v>
      </c>
      <c r="Q3103" s="36">
        <f t="shared" si="194"/>
        <v>26074.44</v>
      </c>
      <c r="R3103">
        <f t="shared" si="195"/>
        <v>2023</v>
      </c>
    </row>
    <row r="3104" spans="1:18" x14ac:dyDescent="0.2">
      <c r="A3104" s="13">
        <v>45266</v>
      </c>
      <c r="B3104" s="13">
        <v>45266</v>
      </c>
      <c r="C3104" s="25" t="s">
        <v>398</v>
      </c>
      <c r="D3104" s="20">
        <v>0</v>
      </c>
      <c r="E3104" s="28">
        <v>26074.44</v>
      </c>
      <c r="F3104" s="22" t="s">
        <v>303</v>
      </c>
      <c r="G3104" s="14">
        <v>63</v>
      </c>
      <c r="H3104" s="40">
        <v>44992</v>
      </c>
      <c r="I3104" s="46">
        <f t="shared" si="192"/>
        <v>274</v>
      </c>
      <c r="J3104" s="1" t="s">
        <v>15</v>
      </c>
      <c r="K3104" s="4" t="s">
        <v>199</v>
      </c>
      <c r="L3104" s="4" t="s">
        <v>225</v>
      </c>
      <c r="M3104" s="8">
        <v>63</v>
      </c>
      <c r="N3104" s="5">
        <v>413.88</v>
      </c>
      <c r="O3104" s="5">
        <v>26074.44</v>
      </c>
      <c r="P3104">
        <f t="shared" si="193"/>
        <v>1</v>
      </c>
      <c r="Q3104" s="36">
        <f t="shared" si="194"/>
        <v>26074.44</v>
      </c>
      <c r="R3104">
        <f t="shared" si="195"/>
        <v>2023</v>
      </c>
    </row>
    <row r="3105" spans="1:18" x14ac:dyDescent="0.2">
      <c r="A3105" s="13">
        <v>45280</v>
      </c>
      <c r="B3105" s="13">
        <v>45280</v>
      </c>
      <c r="C3105" s="25" t="s">
        <v>398</v>
      </c>
      <c r="D3105" s="20">
        <v>0</v>
      </c>
      <c r="E3105" s="28">
        <v>26074.44</v>
      </c>
      <c r="F3105" s="22" t="s">
        <v>303</v>
      </c>
      <c r="G3105" s="14">
        <v>63</v>
      </c>
      <c r="H3105" s="40">
        <v>44992</v>
      </c>
      <c r="I3105" s="46">
        <f t="shared" si="192"/>
        <v>288</v>
      </c>
      <c r="J3105" s="1" t="s">
        <v>15</v>
      </c>
      <c r="K3105" s="4" t="s">
        <v>199</v>
      </c>
      <c r="L3105" s="4" t="s">
        <v>225</v>
      </c>
      <c r="M3105" s="8">
        <v>63</v>
      </c>
      <c r="N3105" s="5">
        <v>413.88</v>
      </c>
      <c r="O3105" s="5">
        <v>26074.44</v>
      </c>
      <c r="P3105">
        <f t="shared" si="193"/>
        <v>1</v>
      </c>
      <c r="Q3105" s="36">
        <f t="shared" si="194"/>
        <v>26074.44</v>
      </c>
      <c r="R3105">
        <f t="shared" si="195"/>
        <v>2023</v>
      </c>
    </row>
    <row r="3106" spans="1:18" x14ac:dyDescent="0.2">
      <c r="A3106" s="13">
        <v>45294</v>
      </c>
      <c r="B3106" s="13">
        <v>45294</v>
      </c>
      <c r="C3106" s="25" t="s">
        <v>398</v>
      </c>
      <c r="D3106" s="20">
        <v>0</v>
      </c>
      <c r="E3106" s="28">
        <v>26074.44</v>
      </c>
      <c r="F3106" s="22" t="s">
        <v>303</v>
      </c>
      <c r="G3106" s="14">
        <v>63</v>
      </c>
      <c r="H3106" s="40">
        <v>44992</v>
      </c>
      <c r="I3106" s="46">
        <f t="shared" si="192"/>
        <v>302</v>
      </c>
      <c r="J3106" s="1" t="s">
        <v>15</v>
      </c>
      <c r="K3106" s="4" t="s">
        <v>199</v>
      </c>
      <c r="L3106" s="4" t="s">
        <v>225</v>
      </c>
      <c r="M3106" s="8">
        <v>63</v>
      </c>
      <c r="N3106" s="5">
        <v>413.88</v>
      </c>
      <c r="O3106" s="5">
        <v>26074.44</v>
      </c>
      <c r="P3106">
        <f t="shared" si="193"/>
        <v>1</v>
      </c>
      <c r="Q3106" s="36">
        <f t="shared" si="194"/>
        <v>26074.44</v>
      </c>
      <c r="R3106">
        <f t="shared" si="195"/>
        <v>2023</v>
      </c>
    </row>
    <row r="3107" spans="1:18" x14ac:dyDescent="0.2">
      <c r="A3107" s="13">
        <v>45303</v>
      </c>
      <c r="B3107" s="13">
        <v>45301</v>
      </c>
      <c r="C3107" s="25" t="s">
        <v>399</v>
      </c>
      <c r="D3107" s="20">
        <v>2</v>
      </c>
      <c r="E3107" s="28">
        <v>26074.44</v>
      </c>
      <c r="F3107" s="22" t="s">
        <v>303</v>
      </c>
      <c r="G3107" s="14">
        <v>63</v>
      </c>
      <c r="H3107" s="40">
        <v>44992</v>
      </c>
      <c r="I3107" s="46">
        <f t="shared" si="192"/>
        <v>311</v>
      </c>
      <c r="J3107" s="1" t="s">
        <v>15</v>
      </c>
      <c r="K3107" s="4" t="s">
        <v>199</v>
      </c>
      <c r="L3107" s="4" t="s">
        <v>225</v>
      </c>
      <c r="M3107" s="8">
        <v>63</v>
      </c>
      <c r="N3107" s="5">
        <v>413.88</v>
      </c>
      <c r="O3107" s="5">
        <v>26074.44</v>
      </c>
      <c r="P3107">
        <f t="shared" si="193"/>
        <v>1</v>
      </c>
      <c r="Q3107" s="36">
        <f t="shared" si="194"/>
        <v>26074.44</v>
      </c>
      <c r="R3107">
        <f t="shared" si="195"/>
        <v>2023</v>
      </c>
    </row>
    <row r="3108" spans="1:18" x14ac:dyDescent="0.2">
      <c r="A3108" s="13">
        <v>45315</v>
      </c>
      <c r="B3108" s="13">
        <v>45315</v>
      </c>
      <c r="C3108" s="25" t="s">
        <v>398</v>
      </c>
      <c r="D3108" s="20">
        <v>0</v>
      </c>
      <c r="E3108" s="28">
        <v>26074.44</v>
      </c>
      <c r="F3108" s="22" t="s">
        <v>303</v>
      </c>
      <c r="G3108" s="14">
        <v>63</v>
      </c>
      <c r="H3108" s="40">
        <v>44992</v>
      </c>
      <c r="I3108" s="46">
        <f t="shared" si="192"/>
        <v>323</v>
      </c>
      <c r="J3108" s="1" t="s">
        <v>15</v>
      </c>
      <c r="K3108" s="4" t="s">
        <v>199</v>
      </c>
      <c r="L3108" s="4" t="s">
        <v>225</v>
      </c>
      <c r="M3108" s="8">
        <v>63</v>
      </c>
      <c r="N3108" s="5">
        <v>413.88</v>
      </c>
      <c r="O3108" s="5">
        <v>26074.44</v>
      </c>
      <c r="P3108">
        <f t="shared" si="193"/>
        <v>1</v>
      </c>
      <c r="Q3108" s="36">
        <f t="shared" si="194"/>
        <v>26074.44</v>
      </c>
      <c r="R3108">
        <f t="shared" si="195"/>
        <v>2023</v>
      </c>
    </row>
    <row r="3109" spans="1:18" x14ac:dyDescent="0.2">
      <c r="A3109" s="13">
        <v>45329</v>
      </c>
      <c r="B3109" s="13">
        <v>45329</v>
      </c>
      <c r="C3109" s="25" t="s">
        <v>398</v>
      </c>
      <c r="D3109" s="20">
        <v>0</v>
      </c>
      <c r="E3109" s="28">
        <v>26074.44</v>
      </c>
      <c r="F3109" s="22" t="s">
        <v>303</v>
      </c>
      <c r="G3109" s="14">
        <v>63</v>
      </c>
      <c r="H3109" s="40">
        <v>44992</v>
      </c>
      <c r="I3109" s="46">
        <f t="shared" si="192"/>
        <v>337</v>
      </c>
      <c r="J3109" s="1" t="s">
        <v>15</v>
      </c>
      <c r="K3109" s="4" t="s">
        <v>199</v>
      </c>
      <c r="L3109" s="4" t="s">
        <v>225</v>
      </c>
      <c r="M3109" s="8">
        <v>63</v>
      </c>
      <c r="N3109" s="5">
        <v>413.88</v>
      </c>
      <c r="O3109" s="5">
        <v>26074.44</v>
      </c>
      <c r="P3109">
        <f t="shared" si="193"/>
        <v>1</v>
      </c>
      <c r="Q3109" s="36">
        <f t="shared" si="194"/>
        <v>26074.44</v>
      </c>
      <c r="R3109">
        <f t="shared" si="195"/>
        <v>2023</v>
      </c>
    </row>
    <row r="3110" spans="1:18" x14ac:dyDescent="0.2">
      <c r="A3110" s="13">
        <v>45357</v>
      </c>
      <c r="B3110" s="13">
        <v>45357</v>
      </c>
      <c r="C3110" s="25" t="s">
        <v>398</v>
      </c>
      <c r="D3110" s="20">
        <v>0</v>
      </c>
      <c r="E3110" s="28">
        <v>26074.44</v>
      </c>
      <c r="F3110" s="22" t="s">
        <v>303</v>
      </c>
      <c r="G3110" s="14">
        <v>63</v>
      </c>
      <c r="H3110" s="40">
        <v>44992</v>
      </c>
      <c r="I3110" s="46">
        <f t="shared" si="192"/>
        <v>365</v>
      </c>
      <c r="J3110" s="1" t="s">
        <v>15</v>
      </c>
      <c r="K3110" s="4" t="s">
        <v>199</v>
      </c>
      <c r="L3110" s="4" t="s">
        <v>225</v>
      </c>
      <c r="M3110" s="8">
        <v>63</v>
      </c>
      <c r="N3110" s="5">
        <v>413.88</v>
      </c>
      <c r="O3110" s="5">
        <v>26074.44</v>
      </c>
      <c r="P3110">
        <f t="shared" si="193"/>
        <v>1</v>
      </c>
      <c r="Q3110" s="36">
        <f t="shared" si="194"/>
        <v>26074.44</v>
      </c>
      <c r="R3110">
        <f t="shared" si="195"/>
        <v>2023</v>
      </c>
    </row>
    <row r="3111" spans="1:18" x14ac:dyDescent="0.2">
      <c r="A3111" s="13">
        <v>45364</v>
      </c>
      <c r="B3111" s="13">
        <v>45364</v>
      </c>
      <c r="C3111" s="25" t="s">
        <v>398</v>
      </c>
      <c r="D3111" s="20">
        <v>0</v>
      </c>
      <c r="E3111" s="28">
        <v>26074.44</v>
      </c>
      <c r="F3111" s="22" t="s">
        <v>303</v>
      </c>
      <c r="G3111" s="14">
        <v>63</v>
      </c>
      <c r="H3111" s="40">
        <v>44992</v>
      </c>
      <c r="I3111" s="46">
        <f t="shared" si="192"/>
        <v>372</v>
      </c>
      <c r="J3111" s="1" t="s">
        <v>15</v>
      </c>
      <c r="K3111" s="4" t="s">
        <v>199</v>
      </c>
      <c r="L3111" s="4" t="s">
        <v>225</v>
      </c>
      <c r="M3111" s="8">
        <v>63</v>
      </c>
      <c r="N3111" s="5">
        <v>413.88</v>
      </c>
      <c r="O3111" s="5">
        <v>26074.44</v>
      </c>
      <c r="P3111">
        <f t="shared" si="193"/>
        <v>1</v>
      </c>
      <c r="Q3111" s="36">
        <f t="shared" si="194"/>
        <v>26074.44</v>
      </c>
      <c r="R3111">
        <f t="shared" si="195"/>
        <v>2023</v>
      </c>
    </row>
    <row r="3112" spans="1:18" x14ac:dyDescent="0.2">
      <c r="A3112" s="13">
        <v>45201</v>
      </c>
      <c r="B3112" s="13">
        <v>45201</v>
      </c>
      <c r="C3112" s="25" t="s">
        <v>398</v>
      </c>
      <c r="D3112" s="20">
        <v>0</v>
      </c>
      <c r="E3112" s="28">
        <v>1303722</v>
      </c>
      <c r="F3112" s="22" t="s">
        <v>303</v>
      </c>
      <c r="G3112" s="14">
        <v>3150</v>
      </c>
      <c r="H3112" s="40">
        <v>44993</v>
      </c>
      <c r="I3112" s="46">
        <f t="shared" si="192"/>
        <v>208</v>
      </c>
      <c r="J3112" s="1" t="s">
        <v>15</v>
      </c>
      <c r="K3112" s="4" t="s">
        <v>200</v>
      </c>
      <c r="L3112" s="4" t="s">
        <v>225</v>
      </c>
      <c r="M3112" s="8">
        <v>3150</v>
      </c>
      <c r="N3112" s="5">
        <v>413.88</v>
      </c>
      <c r="O3112" s="5">
        <v>1303722</v>
      </c>
      <c r="P3112">
        <f t="shared" si="193"/>
        <v>1</v>
      </c>
      <c r="Q3112" s="36">
        <f t="shared" si="194"/>
        <v>1303722</v>
      </c>
      <c r="R3112">
        <f t="shared" si="195"/>
        <v>2023</v>
      </c>
    </row>
    <row r="3113" spans="1:18" x14ac:dyDescent="0.2">
      <c r="A3113" s="13">
        <v>45292</v>
      </c>
      <c r="B3113" s="13">
        <v>45292</v>
      </c>
      <c r="C3113" s="25" t="s">
        <v>398</v>
      </c>
      <c r="D3113" s="20">
        <v>0</v>
      </c>
      <c r="E3113" s="28">
        <v>1042977.6</v>
      </c>
      <c r="F3113" s="22" t="s">
        <v>303</v>
      </c>
      <c r="G3113" s="14">
        <v>2520</v>
      </c>
      <c r="H3113" s="40">
        <v>44993</v>
      </c>
      <c r="I3113" s="46">
        <f t="shared" si="192"/>
        <v>299</v>
      </c>
      <c r="J3113" s="1" t="s">
        <v>15</v>
      </c>
      <c r="K3113" s="4" t="s">
        <v>200</v>
      </c>
      <c r="L3113" s="4" t="s">
        <v>225</v>
      </c>
      <c r="M3113" s="8">
        <v>2520</v>
      </c>
      <c r="N3113" s="5">
        <v>413.88</v>
      </c>
      <c r="O3113" s="5">
        <v>1042977.6</v>
      </c>
      <c r="P3113">
        <f t="shared" si="193"/>
        <v>1</v>
      </c>
      <c r="Q3113" s="36">
        <f t="shared" si="194"/>
        <v>1042977.6</v>
      </c>
      <c r="R3113">
        <f t="shared" si="195"/>
        <v>2023</v>
      </c>
    </row>
    <row r="3114" spans="1:18" x14ac:dyDescent="0.2">
      <c r="A3114" s="13">
        <v>45337</v>
      </c>
      <c r="B3114" s="13">
        <v>45337</v>
      </c>
      <c r="C3114" s="25" t="s">
        <v>398</v>
      </c>
      <c r="D3114" s="20">
        <v>0</v>
      </c>
      <c r="E3114" s="28">
        <v>26074.44</v>
      </c>
      <c r="F3114" s="22" t="s">
        <v>303</v>
      </c>
      <c r="G3114" s="14">
        <v>63</v>
      </c>
      <c r="H3114" s="40">
        <v>45000</v>
      </c>
      <c r="I3114" s="46">
        <f t="shared" si="192"/>
        <v>337</v>
      </c>
      <c r="J3114" s="1" t="s">
        <v>15</v>
      </c>
      <c r="K3114" s="4" t="s">
        <v>199</v>
      </c>
      <c r="L3114" s="4" t="s">
        <v>225</v>
      </c>
      <c r="M3114" s="8">
        <v>63</v>
      </c>
      <c r="N3114" s="5">
        <v>413.88</v>
      </c>
      <c r="O3114" s="5">
        <v>26074.44</v>
      </c>
      <c r="P3114">
        <f t="shared" si="193"/>
        <v>1</v>
      </c>
      <c r="Q3114" s="36">
        <f t="shared" si="194"/>
        <v>26074.44</v>
      </c>
      <c r="R3114">
        <f t="shared" si="195"/>
        <v>2023</v>
      </c>
    </row>
    <row r="3115" spans="1:18" x14ac:dyDescent="0.2">
      <c r="A3115" s="13">
        <v>45357</v>
      </c>
      <c r="B3115" s="13">
        <v>45357</v>
      </c>
      <c r="C3115" s="25" t="s">
        <v>398</v>
      </c>
      <c r="D3115" s="20">
        <v>0</v>
      </c>
      <c r="E3115" s="28">
        <v>26074.44</v>
      </c>
      <c r="F3115" s="22" t="s">
        <v>303</v>
      </c>
      <c r="G3115" s="14">
        <v>63</v>
      </c>
      <c r="H3115" s="40">
        <v>45000</v>
      </c>
      <c r="I3115" s="46">
        <f t="shared" si="192"/>
        <v>357</v>
      </c>
      <c r="J3115" s="1" t="s">
        <v>15</v>
      </c>
      <c r="K3115" s="4" t="s">
        <v>199</v>
      </c>
      <c r="L3115" s="4" t="s">
        <v>225</v>
      </c>
      <c r="M3115" s="8">
        <v>63</v>
      </c>
      <c r="N3115" s="5">
        <v>413.88</v>
      </c>
      <c r="O3115" s="5">
        <v>26074.44</v>
      </c>
      <c r="P3115">
        <f t="shared" si="193"/>
        <v>1</v>
      </c>
      <c r="Q3115" s="36">
        <f t="shared" si="194"/>
        <v>26074.44</v>
      </c>
      <c r="R3115">
        <f t="shared" si="195"/>
        <v>2023</v>
      </c>
    </row>
    <row r="3116" spans="1:18" x14ac:dyDescent="0.2">
      <c r="A3116" s="13">
        <v>45359</v>
      </c>
      <c r="B3116" s="13">
        <v>45359</v>
      </c>
      <c r="C3116" s="25" t="s">
        <v>398</v>
      </c>
      <c r="D3116" s="20">
        <v>0</v>
      </c>
      <c r="E3116" s="28">
        <v>260744.4</v>
      </c>
      <c r="F3116" s="22" t="s">
        <v>303</v>
      </c>
      <c r="G3116" s="14">
        <v>630</v>
      </c>
      <c r="H3116" s="40">
        <v>45000</v>
      </c>
      <c r="I3116" s="46">
        <f t="shared" si="192"/>
        <v>359</v>
      </c>
      <c r="J3116" s="1" t="s">
        <v>15</v>
      </c>
      <c r="K3116" s="4" t="s">
        <v>200</v>
      </c>
      <c r="L3116" s="4" t="s">
        <v>225</v>
      </c>
      <c r="M3116" s="8">
        <v>630</v>
      </c>
      <c r="N3116" s="5">
        <v>413.88</v>
      </c>
      <c r="O3116" s="5">
        <v>260744.4</v>
      </c>
      <c r="P3116">
        <f t="shared" si="193"/>
        <v>1</v>
      </c>
      <c r="Q3116" s="36">
        <f t="shared" si="194"/>
        <v>260744.4</v>
      </c>
      <c r="R3116">
        <f t="shared" si="195"/>
        <v>2023</v>
      </c>
    </row>
    <row r="3117" spans="1:18" x14ac:dyDescent="0.2">
      <c r="A3117" s="13">
        <v>45378</v>
      </c>
      <c r="B3117" s="13">
        <v>45378</v>
      </c>
      <c r="C3117" s="25" t="s">
        <v>398</v>
      </c>
      <c r="D3117" s="20">
        <v>0</v>
      </c>
      <c r="E3117" s="28">
        <v>26074.44</v>
      </c>
      <c r="F3117" s="22" t="s">
        <v>303</v>
      </c>
      <c r="G3117" s="14">
        <v>63</v>
      </c>
      <c r="H3117" s="40">
        <v>45000</v>
      </c>
      <c r="I3117" s="46">
        <f t="shared" si="192"/>
        <v>378</v>
      </c>
      <c r="J3117" s="1" t="s">
        <v>15</v>
      </c>
      <c r="K3117" s="4" t="s">
        <v>199</v>
      </c>
      <c r="L3117" s="4" t="s">
        <v>225</v>
      </c>
      <c r="M3117" s="8">
        <v>63</v>
      </c>
      <c r="N3117" s="5">
        <v>413.88</v>
      </c>
      <c r="O3117" s="5">
        <v>26074.44</v>
      </c>
      <c r="P3117">
        <f t="shared" si="193"/>
        <v>1</v>
      </c>
      <c r="Q3117" s="36">
        <f t="shared" si="194"/>
        <v>26074.44</v>
      </c>
      <c r="R3117">
        <f t="shared" si="195"/>
        <v>2023</v>
      </c>
    </row>
    <row r="3118" spans="1:18" x14ac:dyDescent="0.2">
      <c r="A3118" s="13">
        <v>45392</v>
      </c>
      <c r="B3118" s="13">
        <v>45392</v>
      </c>
      <c r="C3118" s="25" t="s">
        <v>398</v>
      </c>
      <c r="D3118" s="20">
        <v>0</v>
      </c>
      <c r="E3118" s="28">
        <v>26074.44</v>
      </c>
      <c r="F3118" s="22" t="s">
        <v>303</v>
      </c>
      <c r="G3118" s="14">
        <v>63</v>
      </c>
      <c r="H3118" s="40">
        <v>45015</v>
      </c>
      <c r="I3118" s="46">
        <f t="shared" si="192"/>
        <v>377</v>
      </c>
      <c r="J3118" s="1" t="s">
        <v>15</v>
      </c>
      <c r="K3118" s="4" t="s">
        <v>200</v>
      </c>
      <c r="L3118" s="4" t="s">
        <v>225</v>
      </c>
      <c r="M3118" s="8">
        <v>63</v>
      </c>
      <c r="N3118" s="5">
        <v>413.88</v>
      </c>
      <c r="O3118" s="5">
        <v>26074.44</v>
      </c>
      <c r="P3118">
        <f t="shared" si="193"/>
        <v>1</v>
      </c>
      <c r="Q3118" s="36">
        <f t="shared" si="194"/>
        <v>26074.44</v>
      </c>
      <c r="R3118">
        <f t="shared" si="195"/>
        <v>2023</v>
      </c>
    </row>
    <row r="3119" spans="1:18" x14ac:dyDescent="0.2">
      <c r="A3119" s="13">
        <v>45392</v>
      </c>
      <c r="B3119" s="13">
        <v>45392</v>
      </c>
      <c r="C3119" s="25" t="s">
        <v>398</v>
      </c>
      <c r="D3119" s="20">
        <v>0</v>
      </c>
      <c r="E3119" s="28">
        <v>26074.44</v>
      </c>
      <c r="F3119" s="22" t="s">
        <v>303</v>
      </c>
      <c r="G3119" s="14">
        <v>63</v>
      </c>
      <c r="H3119" s="40">
        <v>45015</v>
      </c>
      <c r="I3119" s="46">
        <f t="shared" si="192"/>
        <v>377</v>
      </c>
      <c r="J3119" s="1" t="s">
        <v>15</v>
      </c>
      <c r="K3119" s="4" t="s">
        <v>200</v>
      </c>
      <c r="L3119" s="4" t="s">
        <v>225</v>
      </c>
      <c r="M3119" s="8">
        <v>63</v>
      </c>
      <c r="N3119" s="5">
        <v>413.88</v>
      </c>
      <c r="O3119" s="5">
        <v>26074.44</v>
      </c>
      <c r="P3119">
        <f t="shared" si="193"/>
        <v>1</v>
      </c>
      <c r="Q3119" s="36">
        <f t="shared" si="194"/>
        <v>26074.44</v>
      </c>
      <c r="R3119">
        <f t="shared" si="195"/>
        <v>2023</v>
      </c>
    </row>
    <row r="3120" spans="1:18" x14ac:dyDescent="0.2">
      <c r="A3120" s="13">
        <v>45392</v>
      </c>
      <c r="B3120" s="13">
        <v>45392</v>
      </c>
      <c r="C3120" s="25" t="s">
        <v>398</v>
      </c>
      <c r="D3120" s="20">
        <v>0</v>
      </c>
      <c r="E3120" s="28">
        <v>52148.88</v>
      </c>
      <c r="F3120" s="22" t="s">
        <v>303</v>
      </c>
      <c r="G3120" s="14">
        <v>126</v>
      </c>
      <c r="H3120" s="40">
        <v>45016</v>
      </c>
      <c r="I3120" s="46">
        <f t="shared" si="192"/>
        <v>376</v>
      </c>
      <c r="J3120" s="1" t="s">
        <v>15</v>
      </c>
      <c r="K3120" s="4" t="s">
        <v>200</v>
      </c>
      <c r="L3120" s="4" t="s">
        <v>225</v>
      </c>
      <c r="M3120" s="8">
        <v>126</v>
      </c>
      <c r="N3120" s="5">
        <v>413.88</v>
      </c>
      <c r="O3120" s="5">
        <v>52148.88</v>
      </c>
      <c r="P3120">
        <f t="shared" si="193"/>
        <v>1</v>
      </c>
      <c r="Q3120" s="36">
        <f t="shared" si="194"/>
        <v>52148.88</v>
      </c>
      <c r="R3120">
        <f t="shared" si="195"/>
        <v>2023</v>
      </c>
    </row>
    <row r="3121" spans="1:18" x14ac:dyDescent="0.2">
      <c r="A3121" s="13">
        <v>45450</v>
      </c>
      <c r="B3121" s="13">
        <v>45450</v>
      </c>
      <c r="C3121" s="25" t="s">
        <v>398</v>
      </c>
      <c r="D3121" s="20">
        <v>0</v>
      </c>
      <c r="E3121" s="28">
        <v>78223.320000000007</v>
      </c>
      <c r="F3121" s="22" t="s">
        <v>303</v>
      </c>
      <c r="G3121" s="14">
        <v>189</v>
      </c>
      <c r="H3121" s="40">
        <v>45084</v>
      </c>
      <c r="I3121" s="46">
        <f t="shared" si="192"/>
        <v>366</v>
      </c>
      <c r="J3121" s="1" t="s">
        <v>15</v>
      </c>
      <c r="K3121" s="4" t="s">
        <v>200</v>
      </c>
      <c r="L3121" s="4" t="s">
        <v>225</v>
      </c>
      <c r="M3121" s="8">
        <v>189</v>
      </c>
      <c r="N3121" s="5">
        <v>413.88</v>
      </c>
      <c r="O3121" s="5">
        <v>78223.320000000007</v>
      </c>
      <c r="P3121">
        <f t="shared" si="193"/>
        <v>1</v>
      </c>
      <c r="Q3121" s="36">
        <f t="shared" si="194"/>
        <v>78223.319999999992</v>
      </c>
      <c r="R3121">
        <f t="shared" si="195"/>
        <v>2023</v>
      </c>
    </row>
    <row r="3122" spans="1:18" x14ac:dyDescent="0.2">
      <c r="A3122" s="13">
        <v>45450</v>
      </c>
      <c r="B3122" s="13">
        <v>45450</v>
      </c>
      <c r="C3122" s="25" t="s">
        <v>398</v>
      </c>
      <c r="D3122" s="20">
        <v>0</v>
      </c>
      <c r="E3122" s="28">
        <v>78223.320000000007</v>
      </c>
      <c r="F3122" s="22" t="s">
        <v>303</v>
      </c>
      <c r="G3122" s="14">
        <v>189</v>
      </c>
      <c r="H3122" s="40">
        <v>45084</v>
      </c>
      <c r="I3122" s="46">
        <f t="shared" si="192"/>
        <v>366</v>
      </c>
      <c r="J3122" s="1" t="s">
        <v>15</v>
      </c>
      <c r="K3122" s="4" t="s">
        <v>200</v>
      </c>
      <c r="L3122" s="4" t="s">
        <v>225</v>
      </c>
      <c r="M3122" s="8">
        <v>189</v>
      </c>
      <c r="N3122" s="5">
        <v>413.88</v>
      </c>
      <c r="O3122" s="5">
        <v>78223.320000000007</v>
      </c>
      <c r="P3122">
        <f t="shared" si="193"/>
        <v>1</v>
      </c>
      <c r="Q3122" s="36">
        <f t="shared" si="194"/>
        <v>78223.319999999992</v>
      </c>
      <c r="R3122">
        <f t="shared" si="195"/>
        <v>2023</v>
      </c>
    </row>
    <row r="3123" spans="1:18" x14ac:dyDescent="0.2">
      <c r="A3123" s="13">
        <v>45450</v>
      </c>
      <c r="B3123" s="13">
        <v>45450</v>
      </c>
      <c r="C3123" s="25" t="s">
        <v>398</v>
      </c>
      <c r="D3123" s="20">
        <v>0</v>
      </c>
      <c r="E3123" s="28">
        <v>52148.88</v>
      </c>
      <c r="F3123" s="22" t="s">
        <v>303</v>
      </c>
      <c r="G3123" s="14">
        <v>126</v>
      </c>
      <c r="H3123" s="40">
        <v>45084</v>
      </c>
      <c r="I3123" s="46">
        <f t="shared" si="192"/>
        <v>366</v>
      </c>
      <c r="J3123" s="1" t="s">
        <v>15</v>
      </c>
      <c r="K3123" s="4" t="s">
        <v>200</v>
      </c>
      <c r="L3123" s="4" t="s">
        <v>225</v>
      </c>
      <c r="M3123" s="8">
        <v>126</v>
      </c>
      <c r="N3123" s="5">
        <v>413.88</v>
      </c>
      <c r="O3123" s="5">
        <v>52148.88</v>
      </c>
      <c r="P3123">
        <f t="shared" si="193"/>
        <v>1</v>
      </c>
      <c r="Q3123" s="36">
        <f t="shared" si="194"/>
        <v>52148.88</v>
      </c>
      <c r="R3123">
        <f t="shared" si="195"/>
        <v>2023</v>
      </c>
    </row>
    <row r="3124" spans="1:18" x14ac:dyDescent="0.2">
      <c r="A3124" s="13">
        <v>45450</v>
      </c>
      <c r="B3124" s="13">
        <v>45450</v>
      </c>
      <c r="C3124" s="25" t="s">
        <v>398</v>
      </c>
      <c r="D3124" s="20">
        <v>0</v>
      </c>
      <c r="E3124" s="28">
        <v>78223.320000000007</v>
      </c>
      <c r="F3124" s="22" t="s">
        <v>303</v>
      </c>
      <c r="G3124" s="14">
        <v>189</v>
      </c>
      <c r="H3124" s="40">
        <v>45084</v>
      </c>
      <c r="I3124" s="46">
        <f t="shared" si="192"/>
        <v>366</v>
      </c>
      <c r="J3124" s="1" t="s">
        <v>15</v>
      </c>
      <c r="K3124" s="4" t="s">
        <v>200</v>
      </c>
      <c r="L3124" s="4" t="s">
        <v>225</v>
      </c>
      <c r="M3124" s="8">
        <v>189</v>
      </c>
      <c r="N3124" s="5">
        <v>413.88</v>
      </c>
      <c r="O3124" s="5">
        <v>78223.320000000007</v>
      </c>
      <c r="P3124">
        <f t="shared" si="193"/>
        <v>1</v>
      </c>
      <c r="Q3124" s="36">
        <f t="shared" si="194"/>
        <v>78223.319999999992</v>
      </c>
      <c r="R3124">
        <f t="shared" si="195"/>
        <v>2023</v>
      </c>
    </row>
    <row r="3125" spans="1:18" x14ac:dyDescent="0.2">
      <c r="A3125" s="13">
        <v>45469</v>
      </c>
      <c r="B3125" s="13">
        <v>45469</v>
      </c>
      <c r="C3125" s="25" t="s">
        <v>398</v>
      </c>
      <c r="D3125" s="20">
        <v>0</v>
      </c>
      <c r="E3125" s="28">
        <v>26074.44</v>
      </c>
      <c r="F3125" s="22" t="s">
        <v>303</v>
      </c>
      <c r="G3125" s="14">
        <v>63</v>
      </c>
      <c r="H3125" s="40">
        <v>45096</v>
      </c>
      <c r="I3125" s="46">
        <f t="shared" si="192"/>
        <v>373</v>
      </c>
      <c r="J3125" s="1" t="s">
        <v>15</v>
      </c>
      <c r="K3125" s="4" t="s">
        <v>200</v>
      </c>
      <c r="L3125" s="4" t="s">
        <v>225</v>
      </c>
      <c r="M3125" s="8">
        <v>63</v>
      </c>
      <c r="N3125" s="5">
        <v>413.88</v>
      </c>
      <c r="O3125" s="5">
        <v>26074.44</v>
      </c>
      <c r="P3125">
        <f t="shared" si="193"/>
        <v>1</v>
      </c>
      <c r="Q3125" s="36">
        <f t="shared" si="194"/>
        <v>26074.44</v>
      </c>
      <c r="R3125">
        <f t="shared" si="195"/>
        <v>2023</v>
      </c>
    </row>
    <row r="3126" spans="1:18" x14ac:dyDescent="0.2">
      <c r="A3126" s="13">
        <v>45470</v>
      </c>
      <c r="B3126" s="13">
        <v>45470</v>
      </c>
      <c r="C3126" s="25" t="s">
        <v>398</v>
      </c>
      <c r="D3126" s="20">
        <v>0</v>
      </c>
      <c r="E3126" s="28">
        <v>26074.44</v>
      </c>
      <c r="F3126" s="22" t="s">
        <v>303</v>
      </c>
      <c r="G3126" s="14">
        <v>63</v>
      </c>
      <c r="H3126" s="40">
        <v>45096</v>
      </c>
      <c r="I3126" s="46">
        <f t="shared" si="192"/>
        <v>374</v>
      </c>
      <c r="J3126" s="1" t="s">
        <v>15</v>
      </c>
      <c r="K3126" s="4" t="s">
        <v>200</v>
      </c>
      <c r="L3126" s="4" t="s">
        <v>225</v>
      </c>
      <c r="M3126" s="8">
        <v>63</v>
      </c>
      <c r="N3126" s="5">
        <v>413.88</v>
      </c>
      <c r="O3126" s="5">
        <v>26074.44</v>
      </c>
      <c r="P3126">
        <f t="shared" si="193"/>
        <v>1</v>
      </c>
      <c r="Q3126" s="36">
        <f t="shared" si="194"/>
        <v>26074.44</v>
      </c>
      <c r="R3126">
        <f t="shared" si="195"/>
        <v>2023</v>
      </c>
    </row>
    <row r="3127" spans="1:18" x14ac:dyDescent="0.2">
      <c r="A3127" s="13">
        <v>45470</v>
      </c>
      <c r="B3127" s="13">
        <v>45470</v>
      </c>
      <c r="C3127" s="25" t="s">
        <v>398</v>
      </c>
      <c r="D3127" s="20">
        <v>0</v>
      </c>
      <c r="E3127" s="28">
        <v>26074.44</v>
      </c>
      <c r="F3127" s="22" t="s">
        <v>303</v>
      </c>
      <c r="G3127" s="14">
        <v>63</v>
      </c>
      <c r="H3127" s="40">
        <v>45096</v>
      </c>
      <c r="I3127" s="46">
        <f t="shared" si="192"/>
        <v>374</v>
      </c>
      <c r="J3127" s="1" t="s">
        <v>15</v>
      </c>
      <c r="K3127" s="4" t="s">
        <v>200</v>
      </c>
      <c r="L3127" s="4" t="s">
        <v>225</v>
      </c>
      <c r="M3127" s="8">
        <v>63</v>
      </c>
      <c r="N3127" s="5">
        <v>413.88</v>
      </c>
      <c r="O3127" s="5">
        <v>26074.44</v>
      </c>
      <c r="P3127">
        <f t="shared" si="193"/>
        <v>1</v>
      </c>
      <c r="Q3127" s="36">
        <f t="shared" si="194"/>
        <v>26074.44</v>
      </c>
      <c r="R3127">
        <f t="shared" si="195"/>
        <v>2023</v>
      </c>
    </row>
    <row r="3128" spans="1:18" x14ac:dyDescent="0.2">
      <c r="A3128" s="13">
        <v>45476</v>
      </c>
      <c r="B3128" s="13">
        <v>45476</v>
      </c>
      <c r="C3128" s="25" t="s">
        <v>398</v>
      </c>
      <c r="D3128" s="20">
        <v>0</v>
      </c>
      <c r="E3128" s="28">
        <v>26074.44</v>
      </c>
      <c r="F3128" s="22" t="s">
        <v>303</v>
      </c>
      <c r="G3128" s="14">
        <v>63</v>
      </c>
      <c r="H3128" s="40">
        <v>45096</v>
      </c>
      <c r="I3128" s="46">
        <f t="shared" si="192"/>
        <v>380</v>
      </c>
      <c r="J3128" s="1" t="s">
        <v>15</v>
      </c>
      <c r="K3128" s="4" t="s">
        <v>200</v>
      </c>
      <c r="L3128" s="4" t="s">
        <v>225</v>
      </c>
      <c r="M3128" s="8">
        <v>63</v>
      </c>
      <c r="N3128" s="5">
        <v>413.88</v>
      </c>
      <c r="O3128" s="5">
        <v>26074.44</v>
      </c>
      <c r="P3128">
        <f t="shared" si="193"/>
        <v>1</v>
      </c>
      <c r="Q3128" s="36">
        <f t="shared" si="194"/>
        <v>26074.44</v>
      </c>
      <c r="R3128">
        <f t="shared" si="195"/>
        <v>2023</v>
      </c>
    </row>
    <row r="3129" spans="1:18" x14ac:dyDescent="0.2">
      <c r="A3129" s="13">
        <v>45476</v>
      </c>
      <c r="B3129" s="13">
        <v>45476</v>
      </c>
      <c r="C3129" s="25" t="s">
        <v>398</v>
      </c>
      <c r="D3129" s="20">
        <v>0</v>
      </c>
      <c r="E3129" s="28">
        <v>26074.44</v>
      </c>
      <c r="F3129" s="22" t="s">
        <v>303</v>
      </c>
      <c r="G3129" s="14">
        <v>63</v>
      </c>
      <c r="H3129" s="40">
        <v>45096</v>
      </c>
      <c r="I3129" s="46">
        <f t="shared" si="192"/>
        <v>380</v>
      </c>
      <c r="J3129" s="1" t="s">
        <v>15</v>
      </c>
      <c r="K3129" s="4" t="s">
        <v>200</v>
      </c>
      <c r="L3129" s="4" t="s">
        <v>225</v>
      </c>
      <c r="M3129" s="8">
        <v>63</v>
      </c>
      <c r="N3129" s="5">
        <v>413.88</v>
      </c>
      <c r="O3129" s="5">
        <v>26074.44</v>
      </c>
      <c r="P3129">
        <f t="shared" si="193"/>
        <v>1</v>
      </c>
      <c r="Q3129" s="36">
        <f t="shared" si="194"/>
        <v>26074.44</v>
      </c>
      <c r="R3129">
        <f t="shared" si="195"/>
        <v>2023</v>
      </c>
    </row>
    <row r="3130" spans="1:18" x14ac:dyDescent="0.2">
      <c r="A3130" s="13">
        <v>45477</v>
      </c>
      <c r="B3130" s="13">
        <v>45477</v>
      </c>
      <c r="C3130" s="25" t="s">
        <v>398</v>
      </c>
      <c r="D3130" s="20">
        <v>0</v>
      </c>
      <c r="E3130" s="28">
        <v>26074.44</v>
      </c>
      <c r="F3130" s="22" t="s">
        <v>303</v>
      </c>
      <c r="G3130" s="14">
        <v>63</v>
      </c>
      <c r="H3130" s="40">
        <v>45096</v>
      </c>
      <c r="I3130" s="46">
        <f t="shared" si="192"/>
        <v>381</v>
      </c>
      <c r="J3130" s="1" t="s">
        <v>15</v>
      </c>
      <c r="K3130" s="4" t="s">
        <v>200</v>
      </c>
      <c r="L3130" s="4" t="s">
        <v>225</v>
      </c>
      <c r="M3130" s="8">
        <v>63</v>
      </c>
      <c r="N3130" s="5">
        <v>413.88</v>
      </c>
      <c r="O3130" s="5">
        <v>26074.44</v>
      </c>
      <c r="P3130">
        <f t="shared" si="193"/>
        <v>1</v>
      </c>
      <c r="Q3130" s="36">
        <f t="shared" si="194"/>
        <v>26074.44</v>
      </c>
      <c r="R3130">
        <f t="shared" si="195"/>
        <v>2023</v>
      </c>
    </row>
    <row r="3131" spans="1:18" x14ac:dyDescent="0.2">
      <c r="A3131" s="13">
        <v>45477</v>
      </c>
      <c r="B3131" s="13">
        <v>45477</v>
      </c>
      <c r="C3131" s="25" t="s">
        <v>398</v>
      </c>
      <c r="D3131" s="20">
        <v>0</v>
      </c>
      <c r="E3131" s="28">
        <v>26074.44</v>
      </c>
      <c r="F3131" s="22" t="s">
        <v>303</v>
      </c>
      <c r="G3131" s="14">
        <v>63</v>
      </c>
      <c r="H3131" s="40">
        <v>45096</v>
      </c>
      <c r="I3131" s="46">
        <f t="shared" si="192"/>
        <v>381</v>
      </c>
      <c r="J3131" s="1" t="s">
        <v>15</v>
      </c>
      <c r="K3131" s="4" t="s">
        <v>200</v>
      </c>
      <c r="L3131" s="4" t="s">
        <v>225</v>
      </c>
      <c r="M3131" s="8">
        <v>63</v>
      </c>
      <c r="N3131" s="5">
        <v>413.88</v>
      </c>
      <c r="O3131" s="5">
        <v>26074.44</v>
      </c>
      <c r="P3131">
        <f t="shared" si="193"/>
        <v>1</v>
      </c>
      <c r="Q3131" s="36">
        <f t="shared" si="194"/>
        <v>26074.44</v>
      </c>
      <c r="R3131">
        <f t="shared" si="195"/>
        <v>2023</v>
      </c>
    </row>
    <row r="3132" spans="1:18" x14ac:dyDescent="0.2">
      <c r="A3132" s="13">
        <v>45469</v>
      </c>
      <c r="B3132" s="13">
        <v>45469</v>
      </c>
      <c r="C3132" s="25" t="s">
        <v>398</v>
      </c>
      <c r="D3132" s="20">
        <v>0</v>
      </c>
      <c r="E3132" s="28">
        <v>52148.88</v>
      </c>
      <c r="F3132" s="22" t="s">
        <v>303</v>
      </c>
      <c r="G3132" s="14">
        <v>126</v>
      </c>
      <c r="H3132" s="40">
        <v>45097</v>
      </c>
      <c r="I3132" s="46">
        <f t="shared" si="192"/>
        <v>372</v>
      </c>
      <c r="J3132" s="1" t="s">
        <v>15</v>
      </c>
      <c r="K3132" s="4" t="s">
        <v>200</v>
      </c>
      <c r="L3132" s="4" t="s">
        <v>225</v>
      </c>
      <c r="M3132" s="8">
        <v>126</v>
      </c>
      <c r="N3132" s="5">
        <v>413.88</v>
      </c>
      <c r="O3132" s="5">
        <v>52148.88</v>
      </c>
      <c r="P3132">
        <f t="shared" si="193"/>
        <v>1</v>
      </c>
      <c r="Q3132" s="36">
        <f t="shared" si="194"/>
        <v>52148.88</v>
      </c>
      <c r="R3132">
        <f t="shared" si="195"/>
        <v>2023</v>
      </c>
    </row>
    <row r="3133" spans="1:18" x14ac:dyDescent="0.2">
      <c r="A3133" s="13">
        <v>45469</v>
      </c>
      <c r="B3133" s="13">
        <v>45469</v>
      </c>
      <c r="C3133" s="25" t="s">
        <v>398</v>
      </c>
      <c r="D3133" s="20">
        <v>0</v>
      </c>
      <c r="E3133" s="28">
        <v>52148.88</v>
      </c>
      <c r="F3133" s="22" t="s">
        <v>303</v>
      </c>
      <c r="G3133" s="14">
        <v>126</v>
      </c>
      <c r="H3133" s="40">
        <v>45097</v>
      </c>
      <c r="I3133" s="46">
        <f t="shared" si="192"/>
        <v>372</v>
      </c>
      <c r="J3133" s="1" t="s">
        <v>15</v>
      </c>
      <c r="K3133" s="4" t="s">
        <v>200</v>
      </c>
      <c r="L3133" s="4" t="s">
        <v>225</v>
      </c>
      <c r="M3133" s="8">
        <v>126</v>
      </c>
      <c r="N3133" s="5">
        <v>413.88</v>
      </c>
      <c r="O3133" s="5">
        <v>52148.88</v>
      </c>
      <c r="P3133">
        <f t="shared" si="193"/>
        <v>1</v>
      </c>
      <c r="Q3133" s="36">
        <f t="shared" si="194"/>
        <v>52148.88</v>
      </c>
      <c r="R3133">
        <f t="shared" si="195"/>
        <v>2023</v>
      </c>
    </row>
    <row r="3134" spans="1:18" x14ac:dyDescent="0.2">
      <c r="A3134" s="13">
        <v>45469</v>
      </c>
      <c r="B3134" s="13">
        <v>45469</v>
      </c>
      <c r="C3134" s="25" t="s">
        <v>398</v>
      </c>
      <c r="D3134" s="20">
        <v>0</v>
      </c>
      <c r="E3134" s="28">
        <v>52148.88</v>
      </c>
      <c r="F3134" s="22" t="s">
        <v>303</v>
      </c>
      <c r="G3134" s="14">
        <v>126</v>
      </c>
      <c r="H3134" s="40">
        <v>45097</v>
      </c>
      <c r="I3134" s="46">
        <f t="shared" si="192"/>
        <v>372</v>
      </c>
      <c r="J3134" s="1" t="s">
        <v>15</v>
      </c>
      <c r="K3134" s="4" t="s">
        <v>200</v>
      </c>
      <c r="L3134" s="4" t="s">
        <v>225</v>
      </c>
      <c r="M3134" s="8">
        <v>126</v>
      </c>
      <c r="N3134" s="5">
        <v>413.88</v>
      </c>
      <c r="O3134" s="5">
        <v>52148.88</v>
      </c>
      <c r="P3134">
        <f t="shared" si="193"/>
        <v>1</v>
      </c>
      <c r="Q3134" s="36">
        <f t="shared" si="194"/>
        <v>52148.88</v>
      </c>
      <c r="R3134">
        <f t="shared" si="195"/>
        <v>2023</v>
      </c>
    </row>
    <row r="3135" spans="1:18" x14ac:dyDescent="0.2">
      <c r="A3135" s="13">
        <v>45475</v>
      </c>
      <c r="B3135" s="13">
        <v>45475</v>
      </c>
      <c r="C3135" s="25" t="s">
        <v>398</v>
      </c>
      <c r="D3135" s="20">
        <v>0</v>
      </c>
      <c r="E3135" s="28">
        <v>52148.88</v>
      </c>
      <c r="F3135" s="22" t="s">
        <v>303</v>
      </c>
      <c r="G3135" s="14">
        <v>126</v>
      </c>
      <c r="H3135" s="40">
        <v>45097</v>
      </c>
      <c r="I3135" s="46">
        <f t="shared" si="192"/>
        <v>378</v>
      </c>
      <c r="J3135" s="1" t="s">
        <v>15</v>
      </c>
      <c r="K3135" s="4" t="s">
        <v>200</v>
      </c>
      <c r="L3135" s="4" t="s">
        <v>225</v>
      </c>
      <c r="M3135" s="8">
        <v>126</v>
      </c>
      <c r="N3135" s="5">
        <v>413.88</v>
      </c>
      <c r="O3135" s="5">
        <v>52148.88</v>
      </c>
      <c r="P3135">
        <f t="shared" si="193"/>
        <v>1</v>
      </c>
      <c r="Q3135" s="36">
        <f t="shared" si="194"/>
        <v>52148.88</v>
      </c>
      <c r="R3135">
        <f t="shared" si="195"/>
        <v>2023</v>
      </c>
    </row>
    <row r="3136" spans="1:18" x14ac:dyDescent="0.2">
      <c r="A3136" s="13">
        <v>45476</v>
      </c>
      <c r="B3136" s="13">
        <v>45476</v>
      </c>
      <c r="C3136" s="25" t="s">
        <v>398</v>
      </c>
      <c r="D3136" s="20">
        <v>0</v>
      </c>
      <c r="E3136" s="28">
        <v>52148.88</v>
      </c>
      <c r="F3136" s="22" t="s">
        <v>303</v>
      </c>
      <c r="G3136" s="14">
        <v>126</v>
      </c>
      <c r="H3136" s="40">
        <v>45097</v>
      </c>
      <c r="I3136" s="46">
        <f t="shared" si="192"/>
        <v>379</v>
      </c>
      <c r="J3136" s="1" t="s">
        <v>15</v>
      </c>
      <c r="K3136" s="4" t="s">
        <v>200</v>
      </c>
      <c r="L3136" s="4" t="s">
        <v>225</v>
      </c>
      <c r="M3136" s="8">
        <v>126</v>
      </c>
      <c r="N3136" s="5">
        <v>413.88</v>
      </c>
      <c r="O3136" s="5">
        <v>52148.88</v>
      </c>
      <c r="P3136">
        <f t="shared" si="193"/>
        <v>1</v>
      </c>
      <c r="Q3136" s="36">
        <f t="shared" si="194"/>
        <v>52148.88</v>
      </c>
      <c r="R3136">
        <f t="shared" si="195"/>
        <v>2023</v>
      </c>
    </row>
    <row r="3137" spans="1:18" x14ac:dyDescent="0.2">
      <c r="A3137" s="13">
        <v>45476</v>
      </c>
      <c r="B3137" s="13">
        <v>45476</v>
      </c>
      <c r="C3137" s="25" t="s">
        <v>398</v>
      </c>
      <c r="D3137" s="20">
        <v>0</v>
      </c>
      <c r="E3137" s="28">
        <v>52148.88</v>
      </c>
      <c r="F3137" s="22" t="s">
        <v>303</v>
      </c>
      <c r="G3137" s="14">
        <v>126</v>
      </c>
      <c r="H3137" s="40">
        <v>45097</v>
      </c>
      <c r="I3137" s="46">
        <f t="shared" si="192"/>
        <v>379</v>
      </c>
      <c r="J3137" s="1" t="s">
        <v>15</v>
      </c>
      <c r="K3137" s="4" t="s">
        <v>200</v>
      </c>
      <c r="L3137" s="4" t="s">
        <v>225</v>
      </c>
      <c r="M3137" s="8">
        <v>126</v>
      </c>
      <c r="N3137" s="5">
        <v>413.88</v>
      </c>
      <c r="O3137" s="5">
        <v>52148.88</v>
      </c>
      <c r="P3137">
        <f t="shared" si="193"/>
        <v>1</v>
      </c>
      <c r="Q3137" s="36">
        <f t="shared" si="194"/>
        <v>52148.88</v>
      </c>
      <c r="R3137">
        <f t="shared" si="195"/>
        <v>2023</v>
      </c>
    </row>
    <row r="3138" spans="1:18" x14ac:dyDescent="0.2">
      <c r="A3138" s="13">
        <v>45551</v>
      </c>
      <c r="B3138" s="13">
        <v>45476</v>
      </c>
      <c r="C3138" s="25" t="s">
        <v>399</v>
      </c>
      <c r="D3138" s="20">
        <v>75</v>
      </c>
      <c r="E3138" s="28">
        <v>52148.88</v>
      </c>
      <c r="F3138" s="22" t="s">
        <v>303</v>
      </c>
      <c r="G3138" s="14">
        <v>126</v>
      </c>
      <c r="H3138" s="40">
        <v>45140</v>
      </c>
      <c r="I3138" s="46">
        <f t="shared" si="192"/>
        <v>411</v>
      </c>
      <c r="J3138" s="1" t="s">
        <v>15</v>
      </c>
      <c r="K3138" s="4" t="s">
        <v>200</v>
      </c>
      <c r="L3138" s="4" t="s">
        <v>225</v>
      </c>
      <c r="M3138" s="8">
        <v>126</v>
      </c>
      <c r="N3138" s="5">
        <v>413.88</v>
      </c>
      <c r="O3138" s="5">
        <v>52148.88</v>
      </c>
      <c r="P3138">
        <f t="shared" si="193"/>
        <v>1</v>
      </c>
      <c r="Q3138" s="36">
        <f t="shared" si="194"/>
        <v>52148.88</v>
      </c>
      <c r="R3138">
        <f t="shared" si="195"/>
        <v>2023</v>
      </c>
    </row>
    <row r="3139" spans="1:18" x14ac:dyDescent="0.2">
      <c r="A3139" s="13">
        <v>45551</v>
      </c>
      <c r="B3139" s="13">
        <v>45476</v>
      </c>
      <c r="C3139" s="25" t="s">
        <v>399</v>
      </c>
      <c r="D3139" s="20">
        <v>75</v>
      </c>
      <c r="E3139" s="28">
        <v>52148.88</v>
      </c>
      <c r="F3139" s="22" t="s">
        <v>303</v>
      </c>
      <c r="G3139" s="14">
        <v>126</v>
      </c>
      <c r="H3139" s="40">
        <v>45140</v>
      </c>
      <c r="I3139" s="46">
        <f t="shared" ref="I3139:I3202" si="196">IFERROR(A3139-H3139,"")*1</f>
        <v>411</v>
      </c>
      <c r="J3139" s="1" t="s">
        <v>15</v>
      </c>
      <c r="K3139" s="4" t="s">
        <v>200</v>
      </c>
      <c r="L3139" s="4" t="s">
        <v>225</v>
      </c>
      <c r="M3139" s="8">
        <v>126</v>
      </c>
      <c r="N3139" s="5">
        <v>413.88</v>
      </c>
      <c r="O3139" s="5">
        <v>52148.88</v>
      </c>
      <c r="P3139">
        <f t="shared" ref="P3139:P3202" si="197">IF(M3139=G3139,1,0)</f>
        <v>1</v>
      </c>
      <c r="Q3139" s="36">
        <f t="shared" ref="Q3139:Q3202" si="198">N3139*G3139</f>
        <v>52148.88</v>
      </c>
      <c r="R3139">
        <f t="shared" ref="R3139:R3202" si="199">YEAR(H3139)</f>
        <v>2023</v>
      </c>
    </row>
    <row r="3140" spans="1:18" x14ac:dyDescent="0.2">
      <c r="A3140" s="13">
        <v>45551</v>
      </c>
      <c r="B3140" s="13">
        <v>45476</v>
      </c>
      <c r="C3140" s="25" t="s">
        <v>399</v>
      </c>
      <c r="D3140" s="20">
        <v>75</v>
      </c>
      <c r="E3140" s="28">
        <v>52148.88</v>
      </c>
      <c r="F3140" s="22" t="s">
        <v>303</v>
      </c>
      <c r="G3140" s="14">
        <v>126</v>
      </c>
      <c r="H3140" s="40">
        <v>45140</v>
      </c>
      <c r="I3140" s="46">
        <f t="shared" si="196"/>
        <v>411</v>
      </c>
      <c r="J3140" s="1" t="s">
        <v>15</v>
      </c>
      <c r="K3140" s="4" t="s">
        <v>200</v>
      </c>
      <c r="L3140" s="4" t="s">
        <v>225</v>
      </c>
      <c r="M3140" s="8">
        <v>126</v>
      </c>
      <c r="N3140" s="5">
        <v>413.88</v>
      </c>
      <c r="O3140" s="5">
        <v>52148.88</v>
      </c>
      <c r="P3140">
        <f t="shared" si="197"/>
        <v>1</v>
      </c>
      <c r="Q3140" s="36">
        <f t="shared" si="198"/>
        <v>52148.88</v>
      </c>
      <c r="R3140">
        <f t="shared" si="199"/>
        <v>2023</v>
      </c>
    </row>
    <row r="3141" spans="1:18" x14ac:dyDescent="0.2">
      <c r="A3141" s="13">
        <v>45551</v>
      </c>
      <c r="B3141" s="13">
        <v>45477</v>
      </c>
      <c r="C3141" s="25" t="s">
        <v>399</v>
      </c>
      <c r="D3141" s="20">
        <v>74</v>
      </c>
      <c r="E3141" s="28">
        <v>52148.88</v>
      </c>
      <c r="F3141" s="22" t="s">
        <v>303</v>
      </c>
      <c r="G3141" s="14">
        <v>126</v>
      </c>
      <c r="H3141" s="40">
        <v>45140</v>
      </c>
      <c r="I3141" s="46">
        <f t="shared" si="196"/>
        <v>411</v>
      </c>
      <c r="J3141" s="1" t="s">
        <v>15</v>
      </c>
      <c r="K3141" s="4" t="s">
        <v>200</v>
      </c>
      <c r="L3141" s="4" t="s">
        <v>225</v>
      </c>
      <c r="M3141" s="8">
        <v>126</v>
      </c>
      <c r="N3141" s="5">
        <v>413.88</v>
      </c>
      <c r="O3141" s="5">
        <v>52148.88</v>
      </c>
      <c r="P3141">
        <f t="shared" si="197"/>
        <v>1</v>
      </c>
      <c r="Q3141" s="36">
        <f t="shared" si="198"/>
        <v>52148.88</v>
      </c>
      <c r="R3141">
        <f t="shared" si="199"/>
        <v>2023</v>
      </c>
    </row>
    <row r="3142" spans="1:18" x14ac:dyDescent="0.2">
      <c r="A3142" s="13">
        <v>45551</v>
      </c>
      <c r="B3142" s="13">
        <v>45477</v>
      </c>
      <c r="C3142" s="25" t="s">
        <v>399</v>
      </c>
      <c r="D3142" s="20">
        <v>74</v>
      </c>
      <c r="E3142" s="28">
        <v>52148.88</v>
      </c>
      <c r="F3142" s="22" t="s">
        <v>303</v>
      </c>
      <c r="G3142" s="14">
        <v>126</v>
      </c>
      <c r="H3142" s="40">
        <v>45140</v>
      </c>
      <c r="I3142" s="46">
        <f t="shared" si="196"/>
        <v>411</v>
      </c>
      <c r="J3142" s="1" t="s">
        <v>15</v>
      </c>
      <c r="K3142" s="4" t="s">
        <v>200</v>
      </c>
      <c r="L3142" s="4" t="s">
        <v>225</v>
      </c>
      <c r="M3142" s="8">
        <v>126</v>
      </c>
      <c r="N3142" s="5">
        <v>413.88</v>
      </c>
      <c r="O3142" s="5">
        <v>52148.88</v>
      </c>
      <c r="P3142">
        <f t="shared" si="197"/>
        <v>1</v>
      </c>
      <c r="Q3142" s="36">
        <f t="shared" si="198"/>
        <v>52148.88</v>
      </c>
      <c r="R3142">
        <f t="shared" si="199"/>
        <v>2023</v>
      </c>
    </row>
    <row r="3143" spans="1:18" x14ac:dyDescent="0.2">
      <c r="A3143" s="13">
        <v>45551</v>
      </c>
      <c r="B3143" s="13">
        <v>45476</v>
      </c>
      <c r="C3143" s="25" t="s">
        <v>399</v>
      </c>
      <c r="D3143" s="20">
        <v>75</v>
      </c>
      <c r="E3143" s="28">
        <v>52148.88</v>
      </c>
      <c r="F3143" s="22" t="s">
        <v>303</v>
      </c>
      <c r="G3143" s="14">
        <v>126</v>
      </c>
      <c r="H3143" s="40">
        <v>45140</v>
      </c>
      <c r="I3143" s="46">
        <f t="shared" si="196"/>
        <v>411</v>
      </c>
      <c r="J3143" s="1" t="s">
        <v>15</v>
      </c>
      <c r="K3143" s="4" t="s">
        <v>200</v>
      </c>
      <c r="L3143" s="4" t="s">
        <v>225</v>
      </c>
      <c r="M3143" s="8">
        <v>126</v>
      </c>
      <c r="N3143" s="5">
        <v>413.88</v>
      </c>
      <c r="O3143" s="5">
        <v>52148.88</v>
      </c>
      <c r="P3143">
        <f t="shared" si="197"/>
        <v>1</v>
      </c>
      <c r="Q3143" s="36">
        <f t="shared" si="198"/>
        <v>52148.88</v>
      </c>
      <c r="R3143">
        <f t="shared" si="199"/>
        <v>2023</v>
      </c>
    </row>
    <row r="3144" spans="1:18" x14ac:dyDescent="0.2">
      <c r="A3144" s="13">
        <v>45551</v>
      </c>
      <c r="B3144" s="13">
        <v>45512</v>
      </c>
      <c r="C3144" s="25" t="s">
        <v>399</v>
      </c>
      <c r="D3144" s="20">
        <v>39</v>
      </c>
      <c r="E3144" s="28">
        <v>52148.88</v>
      </c>
      <c r="F3144" s="22" t="s">
        <v>303</v>
      </c>
      <c r="G3144" s="14">
        <v>126</v>
      </c>
      <c r="H3144" s="40">
        <v>45141</v>
      </c>
      <c r="I3144" s="46">
        <f t="shared" si="196"/>
        <v>410</v>
      </c>
      <c r="J3144" s="1" t="s">
        <v>15</v>
      </c>
      <c r="K3144" s="4" t="s">
        <v>200</v>
      </c>
      <c r="L3144" s="4" t="s">
        <v>225</v>
      </c>
      <c r="M3144" s="8">
        <v>126</v>
      </c>
      <c r="N3144" s="5">
        <v>413.88</v>
      </c>
      <c r="O3144" s="5">
        <v>52148.88</v>
      </c>
      <c r="P3144">
        <f t="shared" si="197"/>
        <v>1</v>
      </c>
      <c r="Q3144" s="36">
        <f t="shared" si="198"/>
        <v>52148.88</v>
      </c>
      <c r="R3144">
        <f t="shared" si="199"/>
        <v>2023</v>
      </c>
    </row>
    <row r="3145" spans="1:18" x14ac:dyDescent="0.2">
      <c r="A3145" s="13">
        <v>45551</v>
      </c>
      <c r="B3145" s="13">
        <v>45511</v>
      </c>
      <c r="C3145" s="25" t="s">
        <v>399</v>
      </c>
      <c r="D3145" s="20">
        <v>40</v>
      </c>
      <c r="E3145" s="28">
        <v>52148.88</v>
      </c>
      <c r="F3145" s="22" t="s">
        <v>303</v>
      </c>
      <c r="G3145" s="14">
        <v>126</v>
      </c>
      <c r="H3145" s="40">
        <v>45141</v>
      </c>
      <c r="I3145" s="46">
        <f t="shared" si="196"/>
        <v>410</v>
      </c>
      <c r="J3145" s="1" t="s">
        <v>15</v>
      </c>
      <c r="K3145" s="4" t="s">
        <v>200</v>
      </c>
      <c r="L3145" s="4" t="s">
        <v>225</v>
      </c>
      <c r="M3145" s="8">
        <v>126</v>
      </c>
      <c r="N3145" s="5">
        <v>413.88</v>
      </c>
      <c r="O3145" s="5">
        <v>52148.88</v>
      </c>
      <c r="P3145">
        <f t="shared" si="197"/>
        <v>1</v>
      </c>
      <c r="Q3145" s="36">
        <f t="shared" si="198"/>
        <v>52148.88</v>
      </c>
      <c r="R3145">
        <f t="shared" si="199"/>
        <v>2023</v>
      </c>
    </row>
    <row r="3146" spans="1:18" x14ac:dyDescent="0.2">
      <c r="A3146" s="13">
        <v>45551</v>
      </c>
      <c r="B3146" s="13">
        <v>45512</v>
      </c>
      <c r="C3146" s="25" t="s">
        <v>399</v>
      </c>
      <c r="D3146" s="20">
        <v>39</v>
      </c>
      <c r="E3146" s="28">
        <v>52148.88</v>
      </c>
      <c r="F3146" s="22" t="s">
        <v>303</v>
      </c>
      <c r="G3146" s="14">
        <v>126</v>
      </c>
      <c r="H3146" s="40">
        <v>45141</v>
      </c>
      <c r="I3146" s="46">
        <f t="shared" si="196"/>
        <v>410</v>
      </c>
      <c r="J3146" s="1" t="s">
        <v>15</v>
      </c>
      <c r="K3146" s="4" t="s">
        <v>200</v>
      </c>
      <c r="L3146" s="4" t="s">
        <v>225</v>
      </c>
      <c r="M3146" s="8">
        <v>126</v>
      </c>
      <c r="N3146" s="5">
        <v>413.88</v>
      </c>
      <c r="O3146" s="5">
        <v>52148.88</v>
      </c>
      <c r="P3146">
        <f t="shared" si="197"/>
        <v>1</v>
      </c>
      <c r="Q3146" s="36">
        <f t="shared" si="198"/>
        <v>52148.88</v>
      </c>
      <c r="R3146">
        <f t="shared" si="199"/>
        <v>2023</v>
      </c>
    </row>
    <row r="3147" spans="1:18" x14ac:dyDescent="0.2">
      <c r="A3147" s="13">
        <v>45551</v>
      </c>
      <c r="B3147" s="13">
        <v>45512</v>
      </c>
      <c r="C3147" s="25" t="s">
        <v>399</v>
      </c>
      <c r="D3147" s="20">
        <v>39</v>
      </c>
      <c r="E3147" s="28">
        <v>52148.88</v>
      </c>
      <c r="F3147" s="22" t="s">
        <v>303</v>
      </c>
      <c r="G3147" s="14">
        <v>126</v>
      </c>
      <c r="H3147" s="40">
        <v>45141</v>
      </c>
      <c r="I3147" s="46">
        <f t="shared" si="196"/>
        <v>410</v>
      </c>
      <c r="J3147" s="1" t="s">
        <v>15</v>
      </c>
      <c r="K3147" s="4" t="s">
        <v>200</v>
      </c>
      <c r="L3147" s="4" t="s">
        <v>225</v>
      </c>
      <c r="M3147" s="8">
        <v>126</v>
      </c>
      <c r="N3147" s="5">
        <v>413.88</v>
      </c>
      <c r="O3147" s="5">
        <v>52148.88</v>
      </c>
      <c r="P3147">
        <f t="shared" si="197"/>
        <v>1</v>
      </c>
      <c r="Q3147" s="36">
        <f t="shared" si="198"/>
        <v>52148.88</v>
      </c>
      <c r="R3147">
        <f t="shared" si="199"/>
        <v>2023</v>
      </c>
    </row>
    <row r="3148" spans="1:18" x14ac:dyDescent="0.2">
      <c r="A3148" s="13">
        <v>45551</v>
      </c>
      <c r="B3148" s="13">
        <v>45511</v>
      </c>
      <c r="C3148" s="25" t="s">
        <v>399</v>
      </c>
      <c r="D3148" s="20">
        <v>40</v>
      </c>
      <c r="E3148" s="28">
        <v>52148.88</v>
      </c>
      <c r="F3148" s="22" t="s">
        <v>303</v>
      </c>
      <c r="G3148" s="14">
        <v>126</v>
      </c>
      <c r="H3148" s="40">
        <v>45141</v>
      </c>
      <c r="I3148" s="46">
        <f t="shared" si="196"/>
        <v>410</v>
      </c>
      <c r="J3148" s="1" t="s">
        <v>15</v>
      </c>
      <c r="K3148" s="4" t="s">
        <v>200</v>
      </c>
      <c r="L3148" s="4" t="s">
        <v>225</v>
      </c>
      <c r="M3148" s="8">
        <v>126</v>
      </c>
      <c r="N3148" s="5">
        <v>413.88</v>
      </c>
      <c r="O3148" s="5">
        <v>52148.88</v>
      </c>
      <c r="P3148">
        <f t="shared" si="197"/>
        <v>1</v>
      </c>
      <c r="Q3148" s="36">
        <f t="shared" si="198"/>
        <v>52148.88</v>
      </c>
      <c r="R3148">
        <f t="shared" si="199"/>
        <v>2023</v>
      </c>
    </row>
    <row r="3149" spans="1:18" x14ac:dyDescent="0.2">
      <c r="A3149" s="13">
        <v>45551</v>
      </c>
      <c r="B3149" s="13">
        <v>45511</v>
      </c>
      <c r="C3149" s="25" t="s">
        <v>399</v>
      </c>
      <c r="D3149" s="20">
        <v>40</v>
      </c>
      <c r="E3149" s="28">
        <v>52148.88</v>
      </c>
      <c r="F3149" s="22" t="s">
        <v>303</v>
      </c>
      <c r="G3149" s="14">
        <v>126</v>
      </c>
      <c r="H3149" s="40">
        <v>45141</v>
      </c>
      <c r="I3149" s="46">
        <f t="shared" si="196"/>
        <v>410</v>
      </c>
      <c r="J3149" s="1" t="s">
        <v>15</v>
      </c>
      <c r="K3149" s="4" t="s">
        <v>200</v>
      </c>
      <c r="L3149" s="4" t="s">
        <v>225</v>
      </c>
      <c r="M3149" s="8">
        <v>126</v>
      </c>
      <c r="N3149" s="5">
        <v>413.88</v>
      </c>
      <c r="O3149" s="5">
        <v>52148.88</v>
      </c>
      <c r="P3149">
        <f t="shared" si="197"/>
        <v>1</v>
      </c>
      <c r="Q3149" s="36">
        <f t="shared" si="198"/>
        <v>52148.88</v>
      </c>
      <c r="R3149">
        <f t="shared" si="199"/>
        <v>2023</v>
      </c>
    </row>
    <row r="3150" spans="1:18" x14ac:dyDescent="0.2">
      <c r="A3150" s="13">
        <v>45551</v>
      </c>
      <c r="B3150" s="13">
        <v>45511</v>
      </c>
      <c r="C3150" s="25" t="s">
        <v>399</v>
      </c>
      <c r="D3150" s="20">
        <v>40</v>
      </c>
      <c r="E3150" s="28">
        <v>52148.88</v>
      </c>
      <c r="F3150" s="22" t="s">
        <v>303</v>
      </c>
      <c r="G3150" s="14">
        <v>126</v>
      </c>
      <c r="H3150" s="40">
        <v>45141</v>
      </c>
      <c r="I3150" s="46">
        <f t="shared" si="196"/>
        <v>410</v>
      </c>
      <c r="J3150" s="1" t="s">
        <v>15</v>
      </c>
      <c r="K3150" s="4" t="s">
        <v>200</v>
      </c>
      <c r="L3150" s="4" t="s">
        <v>225</v>
      </c>
      <c r="M3150" s="8">
        <v>126</v>
      </c>
      <c r="N3150" s="5">
        <v>413.88</v>
      </c>
      <c r="O3150" s="5">
        <v>52148.88</v>
      </c>
      <c r="P3150">
        <f t="shared" si="197"/>
        <v>1</v>
      </c>
      <c r="Q3150" s="36">
        <f t="shared" si="198"/>
        <v>52148.88</v>
      </c>
      <c r="R3150">
        <f t="shared" si="199"/>
        <v>2023</v>
      </c>
    </row>
    <row r="3151" spans="1:18" x14ac:dyDescent="0.2">
      <c r="A3151" s="13">
        <v>45551</v>
      </c>
      <c r="B3151" s="13">
        <v>45511</v>
      </c>
      <c r="C3151" s="25" t="s">
        <v>399</v>
      </c>
      <c r="D3151" s="20">
        <v>40</v>
      </c>
      <c r="E3151" s="28">
        <v>52148.88</v>
      </c>
      <c r="F3151" s="22" t="s">
        <v>303</v>
      </c>
      <c r="G3151" s="14">
        <v>126</v>
      </c>
      <c r="H3151" s="40">
        <v>45141</v>
      </c>
      <c r="I3151" s="46">
        <f t="shared" si="196"/>
        <v>410</v>
      </c>
      <c r="J3151" s="1" t="s">
        <v>15</v>
      </c>
      <c r="K3151" s="4" t="s">
        <v>200</v>
      </c>
      <c r="L3151" s="4" t="s">
        <v>225</v>
      </c>
      <c r="M3151" s="8">
        <v>126</v>
      </c>
      <c r="N3151" s="5">
        <v>413.88</v>
      </c>
      <c r="O3151" s="5">
        <v>52148.88</v>
      </c>
      <c r="P3151">
        <f t="shared" si="197"/>
        <v>1</v>
      </c>
      <c r="Q3151" s="36">
        <f t="shared" si="198"/>
        <v>52148.88</v>
      </c>
      <c r="R3151">
        <f t="shared" si="199"/>
        <v>2023</v>
      </c>
    </row>
    <row r="3152" spans="1:18" x14ac:dyDescent="0.2">
      <c r="A3152" s="13">
        <v>45551</v>
      </c>
      <c r="B3152" s="13">
        <v>45482</v>
      </c>
      <c r="C3152" s="25" t="s">
        <v>399</v>
      </c>
      <c r="D3152" s="20">
        <v>69</v>
      </c>
      <c r="E3152" s="28">
        <v>52148.88</v>
      </c>
      <c r="F3152" s="22" t="s">
        <v>303</v>
      </c>
      <c r="G3152" s="14">
        <v>126</v>
      </c>
      <c r="H3152" s="40">
        <v>45141</v>
      </c>
      <c r="I3152" s="46">
        <f t="shared" si="196"/>
        <v>410</v>
      </c>
      <c r="J3152" s="1" t="s">
        <v>15</v>
      </c>
      <c r="K3152" s="4" t="s">
        <v>200</v>
      </c>
      <c r="L3152" s="4" t="s">
        <v>225</v>
      </c>
      <c r="M3152" s="8">
        <v>126</v>
      </c>
      <c r="N3152" s="5">
        <v>413.88</v>
      </c>
      <c r="O3152" s="5">
        <v>52148.88</v>
      </c>
      <c r="P3152">
        <f t="shared" si="197"/>
        <v>1</v>
      </c>
      <c r="Q3152" s="36">
        <f t="shared" si="198"/>
        <v>52148.88</v>
      </c>
      <c r="R3152">
        <f t="shared" si="199"/>
        <v>2023</v>
      </c>
    </row>
    <row r="3153" spans="1:18" x14ac:dyDescent="0.2">
      <c r="A3153" s="13">
        <v>45551</v>
      </c>
      <c r="B3153" s="13">
        <v>45490</v>
      </c>
      <c r="C3153" s="25" t="s">
        <v>399</v>
      </c>
      <c r="D3153" s="20">
        <v>61</v>
      </c>
      <c r="E3153" s="28">
        <v>52148.88</v>
      </c>
      <c r="F3153" s="22" t="s">
        <v>303</v>
      </c>
      <c r="G3153" s="14">
        <v>126</v>
      </c>
      <c r="H3153" s="40">
        <v>45141</v>
      </c>
      <c r="I3153" s="46">
        <f t="shared" si="196"/>
        <v>410</v>
      </c>
      <c r="J3153" s="1" t="s">
        <v>15</v>
      </c>
      <c r="K3153" s="4" t="s">
        <v>200</v>
      </c>
      <c r="L3153" s="4" t="s">
        <v>225</v>
      </c>
      <c r="M3153" s="8">
        <v>126</v>
      </c>
      <c r="N3153" s="5">
        <v>413.88</v>
      </c>
      <c r="O3153" s="5">
        <v>52148.88</v>
      </c>
      <c r="P3153">
        <f t="shared" si="197"/>
        <v>1</v>
      </c>
      <c r="Q3153" s="36">
        <f t="shared" si="198"/>
        <v>52148.88</v>
      </c>
      <c r="R3153">
        <f t="shared" si="199"/>
        <v>2023</v>
      </c>
    </row>
    <row r="3154" spans="1:18" x14ac:dyDescent="0.2">
      <c r="A3154" s="13">
        <v>45551</v>
      </c>
      <c r="B3154" s="13">
        <v>45504</v>
      </c>
      <c r="C3154" s="25" t="s">
        <v>399</v>
      </c>
      <c r="D3154" s="20">
        <v>47</v>
      </c>
      <c r="E3154" s="28">
        <v>52148.88</v>
      </c>
      <c r="F3154" s="22" t="s">
        <v>303</v>
      </c>
      <c r="G3154" s="14">
        <v>126</v>
      </c>
      <c r="H3154" s="40">
        <v>45141</v>
      </c>
      <c r="I3154" s="46">
        <f t="shared" si="196"/>
        <v>410</v>
      </c>
      <c r="J3154" s="1" t="s">
        <v>15</v>
      </c>
      <c r="K3154" s="4" t="s">
        <v>200</v>
      </c>
      <c r="L3154" s="4" t="s">
        <v>225</v>
      </c>
      <c r="M3154" s="8">
        <v>126</v>
      </c>
      <c r="N3154" s="5">
        <v>413.88</v>
      </c>
      <c r="O3154" s="5">
        <v>52148.88</v>
      </c>
      <c r="P3154">
        <f t="shared" si="197"/>
        <v>1</v>
      </c>
      <c r="Q3154" s="36">
        <f t="shared" si="198"/>
        <v>52148.88</v>
      </c>
      <c r="R3154">
        <f t="shared" si="199"/>
        <v>2023</v>
      </c>
    </row>
    <row r="3155" spans="1:18" x14ac:dyDescent="0.2">
      <c r="A3155" s="13">
        <v>45551</v>
      </c>
      <c r="B3155" s="13">
        <v>45484</v>
      </c>
      <c r="C3155" s="25" t="s">
        <v>399</v>
      </c>
      <c r="D3155" s="20">
        <v>67</v>
      </c>
      <c r="E3155" s="28">
        <v>52148.88</v>
      </c>
      <c r="F3155" s="22" t="s">
        <v>303</v>
      </c>
      <c r="G3155" s="14">
        <v>126</v>
      </c>
      <c r="H3155" s="40">
        <v>45141</v>
      </c>
      <c r="I3155" s="46">
        <f t="shared" si="196"/>
        <v>410</v>
      </c>
      <c r="J3155" s="1" t="s">
        <v>15</v>
      </c>
      <c r="K3155" s="4" t="s">
        <v>200</v>
      </c>
      <c r="L3155" s="4" t="s">
        <v>225</v>
      </c>
      <c r="M3155" s="8">
        <v>126</v>
      </c>
      <c r="N3155" s="5">
        <v>413.88</v>
      </c>
      <c r="O3155" s="5">
        <v>52148.88</v>
      </c>
      <c r="P3155">
        <f t="shared" si="197"/>
        <v>1</v>
      </c>
      <c r="Q3155" s="36">
        <f t="shared" si="198"/>
        <v>52148.88</v>
      </c>
      <c r="R3155">
        <f t="shared" si="199"/>
        <v>2023</v>
      </c>
    </row>
    <row r="3156" spans="1:18" x14ac:dyDescent="0.2">
      <c r="A3156" s="13">
        <v>45551</v>
      </c>
      <c r="B3156" s="13">
        <v>45483</v>
      </c>
      <c r="C3156" s="25" t="s">
        <v>399</v>
      </c>
      <c r="D3156" s="20">
        <v>68</v>
      </c>
      <c r="E3156" s="28">
        <v>52148.88</v>
      </c>
      <c r="F3156" s="22" t="s">
        <v>303</v>
      </c>
      <c r="G3156" s="14">
        <v>126</v>
      </c>
      <c r="H3156" s="40">
        <v>45141</v>
      </c>
      <c r="I3156" s="46">
        <f t="shared" si="196"/>
        <v>410</v>
      </c>
      <c r="J3156" s="1" t="s">
        <v>15</v>
      </c>
      <c r="K3156" s="4" t="s">
        <v>200</v>
      </c>
      <c r="L3156" s="4" t="s">
        <v>225</v>
      </c>
      <c r="M3156" s="8">
        <v>126</v>
      </c>
      <c r="N3156" s="5">
        <v>413.88</v>
      </c>
      <c r="O3156" s="5">
        <v>52148.88</v>
      </c>
      <c r="P3156">
        <f t="shared" si="197"/>
        <v>1</v>
      </c>
      <c r="Q3156" s="36">
        <f t="shared" si="198"/>
        <v>52148.88</v>
      </c>
      <c r="R3156">
        <f t="shared" si="199"/>
        <v>2023</v>
      </c>
    </row>
    <row r="3157" spans="1:18" x14ac:dyDescent="0.2">
      <c r="A3157" s="13">
        <v>45551</v>
      </c>
      <c r="B3157" s="13">
        <v>45483</v>
      </c>
      <c r="C3157" s="25" t="s">
        <v>399</v>
      </c>
      <c r="D3157" s="20">
        <v>68</v>
      </c>
      <c r="E3157" s="28">
        <v>52148.88</v>
      </c>
      <c r="F3157" s="22" t="s">
        <v>303</v>
      </c>
      <c r="G3157" s="14">
        <v>126</v>
      </c>
      <c r="H3157" s="40">
        <v>45141</v>
      </c>
      <c r="I3157" s="46">
        <f t="shared" si="196"/>
        <v>410</v>
      </c>
      <c r="J3157" s="1" t="s">
        <v>15</v>
      </c>
      <c r="K3157" s="4" t="s">
        <v>200</v>
      </c>
      <c r="L3157" s="4" t="s">
        <v>225</v>
      </c>
      <c r="M3157" s="8">
        <v>126</v>
      </c>
      <c r="N3157" s="5">
        <v>413.88</v>
      </c>
      <c r="O3157" s="5">
        <v>52148.88</v>
      </c>
      <c r="P3157">
        <f t="shared" si="197"/>
        <v>1</v>
      </c>
      <c r="Q3157" s="36">
        <f t="shared" si="198"/>
        <v>52148.88</v>
      </c>
      <c r="R3157">
        <f t="shared" si="199"/>
        <v>2023</v>
      </c>
    </row>
    <row r="3158" spans="1:18" x14ac:dyDescent="0.2">
      <c r="A3158" s="13">
        <v>45551</v>
      </c>
      <c r="B3158" s="13">
        <v>45511</v>
      </c>
      <c r="C3158" s="25" t="s">
        <v>399</v>
      </c>
      <c r="D3158" s="20">
        <v>40</v>
      </c>
      <c r="E3158" s="28">
        <v>52148.88</v>
      </c>
      <c r="F3158" s="22" t="s">
        <v>303</v>
      </c>
      <c r="G3158" s="14">
        <v>126</v>
      </c>
      <c r="H3158" s="40">
        <v>45141</v>
      </c>
      <c r="I3158" s="46">
        <f t="shared" si="196"/>
        <v>410</v>
      </c>
      <c r="J3158" s="1" t="s">
        <v>15</v>
      </c>
      <c r="K3158" s="4" t="s">
        <v>200</v>
      </c>
      <c r="L3158" s="4" t="s">
        <v>225</v>
      </c>
      <c r="M3158" s="8">
        <v>126</v>
      </c>
      <c r="N3158" s="5">
        <v>413.88</v>
      </c>
      <c r="O3158" s="5">
        <v>52148.88</v>
      </c>
      <c r="P3158">
        <f t="shared" si="197"/>
        <v>1</v>
      </c>
      <c r="Q3158" s="36">
        <f t="shared" si="198"/>
        <v>52148.88</v>
      </c>
      <c r="R3158">
        <f t="shared" si="199"/>
        <v>2023</v>
      </c>
    </row>
    <row r="3159" spans="1:18" x14ac:dyDescent="0.2">
      <c r="A3159" s="13">
        <v>45551</v>
      </c>
      <c r="B3159" s="13">
        <v>45489</v>
      </c>
      <c r="C3159" s="25" t="s">
        <v>399</v>
      </c>
      <c r="D3159" s="20">
        <v>62</v>
      </c>
      <c r="E3159" s="28">
        <v>52148.88</v>
      </c>
      <c r="F3159" s="22" t="s">
        <v>303</v>
      </c>
      <c r="G3159" s="14">
        <v>126</v>
      </c>
      <c r="H3159" s="40">
        <v>45141</v>
      </c>
      <c r="I3159" s="46">
        <f t="shared" si="196"/>
        <v>410</v>
      </c>
      <c r="J3159" s="1" t="s">
        <v>15</v>
      </c>
      <c r="K3159" s="4" t="s">
        <v>200</v>
      </c>
      <c r="L3159" s="4" t="s">
        <v>225</v>
      </c>
      <c r="M3159" s="8">
        <v>126</v>
      </c>
      <c r="N3159" s="5">
        <v>413.88</v>
      </c>
      <c r="O3159" s="5">
        <v>52148.88</v>
      </c>
      <c r="P3159">
        <f t="shared" si="197"/>
        <v>1</v>
      </c>
      <c r="Q3159" s="36">
        <f t="shared" si="198"/>
        <v>52148.88</v>
      </c>
      <c r="R3159">
        <f t="shared" si="199"/>
        <v>2023</v>
      </c>
    </row>
    <row r="3160" spans="1:18" x14ac:dyDescent="0.2">
      <c r="A3160" s="13">
        <v>45551</v>
      </c>
      <c r="B3160" s="13">
        <v>45484</v>
      </c>
      <c r="C3160" s="25" t="s">
        <v>399</v>
      </c>
      <c r="D3160" s="20">
        <v>67</v>
      </c>
      <c r="E3160" s="28">
        <v>52148.88</v>
      </c>
      <c r="F3160" s="22" t="s">
        <v>303</v>
      </c>
      <c r="G3160" s="14">
        <v>126</v>
      </c>
      <c r="H3160" s="40">
        <v>45141</v>
      </c>
      <c r="I3160" s="46">
        <f t="shared" si="196"/>
        <v>410</v>
      </c>
      <c r="J3160" s="1" t="s">
        <v>15</v>
      </c>
      <c r="K3160" s="4" t="s">
        <v>200</v>
      </c>
      <c r="L3160" s="4" t="s">
        <v>225</v>
      </c>
      <c r="M3160" s="8">
        <v>126</v>
      </c>
      <c r="N3160" s="5">
        <v>413.88</v>
      </c>
      <c r="O3160" s="5">
        <v>52148.88</v>
      </c>
      <c r="P3160">
        <f t="shared" si="197"/>
        <v>1</v>
      </c>
      <c r="Q3160" s="36">
        <f t="shared" si="198"/>
        <v>52148.88</v>
      </c>
      <c r="R3160">
        <f t="shared" si="199"/>
        <v>2023</v>
      </c>
    </row>
    <row r="3161" spans="1:18" x14ac:dyDescent="0.2">
      <c r="A3161" s="13">
        <v>45551</v>
      </c>
      <c r="B3161" s="13">
        <v>45512</v>
      </c>
      <c r="C3161" s="25" t="s">
        <v>399</v>
      </c>
      <c r="D3161" s="20">
        <v>39</v>
      </c>
      <c r="E3161" s="28">
        <v>52148.88</v>
      </c>
      <c r="F3161" s="22" t="s">
        <v>303</v>
      </c>
      <c r="G3161" s="14">
        <v>126</v>
      </c>
      <c r="H3161" s="40">
        <v>45141</v>
      </c>
      <c r="I3161" s="46">
        <f t="shared" si="196"/>
        <v>410</v>
      </c>
      <c r="J3161" s="1" t="s">
        <v>15</v>
      </c>
      <c r="K3161" s="4" t="s">
        <v>200</v>
      </c>
      <c r="L3161" s="4" t="s">
        <v>225</v>
      </c>
      <c r="M3161" s="8">
        <v>126</v>
      </c>
      <c r="N3161" s="5">
        <v>413.88</v>
      </c>
      <c r="O3161" s="5">
        <v>52148.88</v>
      </c>
      <c r="P3161">
        <f t="shared" si="197"/>
        <v>1</v>
      </c>
      <c r="Q3161" s="36">
        <f t="shared" si="198"/>
        <v>52148.88</v>
      </c>
      <c r="R3161">
        <f t="shared" si="199"/>
        <v>2023</v>
      </c>
    </row>
    <row r="3162" spans="1:18" x14ac:dyDescent="0.2">
      <c r="A3162" s="13">
        <v>45551</v>
      </c>
      <c r="B3162" s="13">
        <v>45511</v>
      </c>
      <c r="C3162" s="25" t="s">
        <v>399</v>
      </c>
      <c r="D3162" s="20">
        <v>40</v>
      </c>
      <c r="E3162" s="28">
        <v>52148.88</v>
      </c>
      <c r="F3162" s="22" t="s">
        <v>303</v>
      </c>
      <c r="G3162" s="14">
        <v>126</v>
      </c>
      <c r="H3162" s="40">
        <v>45141</v>
      </c>
      <c r="I3162" s="46">
        <f t="shared" si="196"/>
        <v>410</v>
      </c>
      <c r="J3162" s="1" t="s">
        <v>15</v>
      </c>
      <c r="K3162" s="4" t="s">
        <v>200</v>
      </c>
      <c r="L3162" s="4" t="s">
        <v>225</v>
      </c>
      <c r="M3162" s="8">
        <v>126</v>
      </c>
      <c r="N3162" s="5">
        <v>413.88</v>
      </c>
      <c r="O3162" s="5">
        <v>52148.88</v>
      </c>
      <c r="P3162">
        <f t="shared" si="197"/>
        <v>1</v>
      </c>
      <c r="Q3162" s="36">
        <f t="shared" si="198"/>
        <v>52148.88</v>
      </c>
      <c r="R3162">
        <f t="shared" si="199"/>
        <v>2023</v>
      </c>
    </row>
    <row r="3163" spans="1:18" x14ac:dyDescent="0.2">
      <c r="A3163" s="13">
        <v>45551</v>
      </c>
      <c r="B3163" s="13">
        <v>45512</v>
      </c>
      <c r="C3163" s="25" t="s">
        <v>399</v>
      </c>
      <c r="D3163" s="20">
        <v>39</v>
      </c>
      <c r="E3163" s="28">
        <v>52148.88</v>
      </c>
      <c r="F3163" s="22" t="s">
        <v>303</v>
      </c>
      <c r="G3163" s="14">
        <v>126</v>
      </c>
      <c r="H3163" s="40">
        <v>45141</v>
      </c>
      <c r="I3163" s="46">
        <f t="shared" si="196"/>
        <v>410</v>
      </c>
      <c r="J3163" s="1" t="s">
        <v>15</v>
      </c>
      <c r="K3163" s="4" t="s">
        <v>200</v>
      </c>
      <c r="L3163" s="4" t="s">
        <v>225</v>
      </c>
      <c r="M3163" s="8">
        <v>126</v>
      </c>
      <c r="N3163" s="5">
        <v>413.88</v>
      </c>
      <c r="O3163" s="5">
        <v>52148.88</v>
      </c>
      <c r="P3163">
        <f t="shared" si="197"/>
        <v>1</v>
      </c>
      <c r="Q3163" s="36">
        <f t="shared" si="198"/>
        <v>52148.88</v>
      </c>
      <c r="R3163">
        <f t="shared" si="199"/>
        <v>2023</v>
      </c>
    </row>
    <row r="3164" spans="1:18" x14ac:dyDescent="0.2">
      <c r="A3164" s="13">
        <v>45551</v>
      </c>
      <c r="B3164" s="13">
        <v>45511</v>
      </c>
      <c r="C3164" s="25" t="s">
        <v>399</v>
      </c>
      <c r="D3164" s="20">
        <v>40</v>
      </c>
      <c r="E3164" s="28">
        <v>52148.88</v>
      </c>
      <c r="F3164" s="22" t="s">
        <v>303</v>
      </c>
      <c r="G3164" s="14">
        <v>126</v>
      </c>
      <c r="H3164" s="40">
        <v>45141</v>
      </c>
      <c r="I3164" s="46">
        <f t="shared" si="196"/>
        <v>410</v>
      </c>
      <c r="J3164" s="1" t="s">
        <v>15</v>
      </c>
      <c r="K3164" s="4" t="s">
        <v>200</v>
      </c>
      <c r="L3164" s="4" t="s">
        <v>225</v>
      </c>
      <c r="M3164" s="8">
        <v>126</v>
      </c>
      <c r="N3164" s="5">
        <v>413.88</v>
      </c>
      <c r="O3164" s="5">
        <v>52148.88</v>
      </c>
      <c r="P3164">
        <f t="shared" si="197"/>
        <v>1</v>
      </c>
      <c r="Q3164" s="36">
        <f t="shared" si="198"/>
        <v>52148.88</v>
      </c>
      <c r="R3164">
        <f t="shared" si="199"/>
        <v>2023</v>
      </c>
    </row>
    <row r="3165" spans="1:18" x14ac:dyDescent="0.2">
      <c r="A3165" s="13">
        <v>45551</v>
      </c>
      <c r="B3165" s="13">
        <v>45504</v>
      </c>
      <c r="C3165" s="25" t="s">
        <v>399</v>
      </c>
      <c r="D3165" s="20">
        <v>47</v>
      </c>
      <c r="E3165" s="28">
        <v>52148.88</v>
      </c>
      <c r="F3165" s="22" t="s">
        <v>303</v>
      </c>
      <c r="G3165" s="14">
        <v>126</v>
      </c>
      <c r="H3165" s="40">
        <v>45141</v>
      </c>
      <c r="I3165" s="46">
        <f t="shared" si="196"/>
        <v>410</v>
      </c>
      <c r="J3165" s="1" t="s">
        <v>15</v>
      </c>
      <c r="K3165" s="4" t="s">
        <v>200</v>
      </c>
      <c r="L3165" s="4" t="s">
        <v>225</v>
      </c>
      <c r="M3165" s="8">
        <v>126</v>
      </c>
      <c r="N3165" s="5">
        <v>413.88</v>
      </c>
      <c r="O3165" s="5">
        <v>52148.88</v>
      </c>
      <c r="P3165">
        <f t="shared" si="197"/>
        <v>1</v>
      </c>
      <c r="Q3165" s="36">
        <f t="shared" si="198"/>
        <v>52148.88</v>
      </c>
      <c r="R3165">
        <f t="shared" si="199"/>
        <v>2023</v>
      </c>
    </row>
    <row r="3166" spans="1:18" x14ac:dyDescent="0.2">
      <c r="A3166" s="13">
        <v>45551</v>
      </c>
      <c r="B3166" s="13">
        <v>45511</v>
      </c>
      <c r="C3166" s="25" t="s">
        <v>399</v>
      </c>
      <c r="D3166" s="20">
        <v>40</v>
      </c>
      <c r="E3166" s="28">
        <v>52148.88</v>
      </c>
      <c r="F3166" s="22" t="s">
        <v>303</v>
      </c>
      <c r="G3166" s="14">
        <v>126</v>
      </c>
      <c r="H3166" s="40">
        <v>45141</v>
      </c>
      <c r="I3166" s="46">
        <f t="shared" si="196"/>
        <v>410</v>
      </c>
      <c r="J3166" s="1" t="s">
        <v>15</v>
      </c>
      <c r="K3166" s="4" t="s">
        <v>200</v>
      </c>
      <c r="L3166" s="4" t="s">
        <v>225</v>
      </c>
      <c r="M3166" s="8">
        <v>126</v>
      </c>
      <c r="N3166" s="5">
        <v>413.88</v>
      </c>
      <c r="O3166" s="5">
        <v>52148.88</v>
      </c>
      <c r="P3166">
        <f t="shared" si="197"/>
        <v>1</v>
      </c>
      <c r="Q3166" s="36">
        <f t="shared" si="198"/>
        <v>52148.88</v>
      </c>
      <c r="R3166">
        <f t="shared" si="199"/>
        <v>2023</v>
      </c>
    </row>
    <row r="3167" spans="1:18" x14ac:dyDescent="0.2">
      <c r="A3167" s="13">
        <v>45551</v>
      </c>
      <c r="B3167" s="13">
        <v>45504</v>
      </c>
      <c r="C3167" s="25" t="s">
        <v>399</v>
      </c>
      <c r="D3167" s="20">
        <v>47</v>
      </c>
      <c r="E3167" s="28">
        <v>52148.88</v>
      </c>
      <c r="F3167" s="22" t="s">
        <v>303</v>
      </c>
      <c r="G3167" s="14">
        <v>126</v>
      </c>
      <c r="H3167" s="40">
        <v>45141</v>
      </c>
      <c r="I3167" s="46">
        <f t="shared" si="196"/>
        <v>410</v>
      </c>
      <c r="J3167" s="1" t="s">
        <v>15</v>
      </c>
      <c r="K3167" s="4" t="s">
        <v>200</v>
      </c>
      <c r="L3167" s="4" t="s">
        <v>225</v>
      </c>
      <c r="M3167" s="8">
        <v>126</v>
      </c>
      <c r="N3167" s="5">
        <v>413.88</v>
      </c>
      <c r="O3167" s="5">
        <v>52148.88</v>
      </c>
      <c r="P3167">
        <f t="shared" si="197"/>
        <v>1</v>
      </c>
      <c r="Q3167" s="36">
        <f t="shared" si="198"/>
        <v>52148.88</v>
      </c>
      <c r="R3167">
        <f t="shared" si="199"/>
        <v>2023</v>
      </c>
    </row>
    <row r="3168" spans="1:18" x14ac:dyDescent="0.2">
      <c r="A3168" s="13">
        <v>45551</v>
      </c>
      <c r="B3168" s="13">
        <v>45504</v>
      </c>
      <c r="C3168" s="25" t="s">
        <v>399</v>
      </c>
      <c r="D3168" s="20">
        <v>47</v>
      </c>
      <c r="E3168" s="28">
        <v>52148.88</v>
      </c>
      <c r="F3168" s="22" t="s">
        <v>303</v>
      </c>
      <c r="G3168" s="14">
        <v>126</v>
      </c>
      <c r="H3168" s="40">
        <v>45141</v>
      </c>
      <c r="I3168" s="46">
        <f t="shared" si="196"/>
        <v>410</v>
      </c>
      <c r="J3168" s="1" t="s">
        <v>15</v>
      </c>
      <c r="K3168" s="4" t="s">
        <v>200</v>
      </c>
      <c r="L3168" s="4" t="s">
        <v>225</v>
      </c>
      <c r="M3168" s="8">
        <v>126</v>
      </c>
      <c r="N3168" s="5">
        <v>413.88</v>
      </c>
      <c r="O3168" s="5">
        <v>52148.88</v>
      </c>
      <c r="P3168">
        <f t="shared" si="197"/>
        <v>1</v>
      </c>
      <c r="Q3168" s="36">
        <f t="shared" si="198"/>
        <v>52148.88</v>
      </c>
      <c r="R3168">
        <f t="shared" si="199"/>
        <v>2023</v>
      </c>
    </row>
    <row r="3169" spans="1:18" x14ac:dyDescent="0.2">
      <c r="A3169" s="13">
        <v>45551</v>
      </c>
      <c r="B3169" s="13">
        <v>45483</v>
      </c>
      <c r="C3169" s="25" t="s">
        <v>399</v>
      </c>
      <c r="D3169" s="20">
        <v>68</v>
      </c>
      <c r="E3169" s="28">
        <v>52148.88</v>
      </c>
      <c r="F3169" s="22" t="s">
        <v>303</v>
      </c>
      <c r="G3169" s="14">
        <v>126</v>
      </c>
      <c r="H3169" s="40">
        <v>45141</v>
      </c>
      <c r="I3169" s="46">
        <f t="shared" si="196"/>
        <v>410</v>
      </c>
      <c r="J3169" s="1" t="s">
        <v>15</v>
      </c>
      <c r="K3169" s="4" t="s">
        <v>200</v>
      </c>
      <c r="L3169" s="4" t="s">
        <v>225</v>
      </c>
      <c r="M3169" s="8">
        <v>126</v>
      </c>
      <c r="N3169" s="5">
        <v>413.88</v>
      </c>
      <c r="O3169" s="5">
        <v>52148.88</v>
      </c>
      <c r="P3169">
        <f t="shared" si="197"/>
        <v>1</v>
      </c>
      <c r="Q3169" s="36">
        <f t="shared" si="198"/>
        <v>52148.88</v>
      </c>
      <c r="R3169">
        <f t="shared" si="199"/>
        <v>2023</v>
      </c>
    </row>
    <row r="3170" spans="1:18" x14ac:dyDescent="0.2">
      <c r="A3170" s="13">
        <v>45551</v>
      </c>
      <c r="B3170" s="13">
        <v>45511</v>
      </c>
      <c r="C3170" s="25" t="s">
        <v>399</v>
      </c>
      <c r="D3170" s="20">
        <v>40</v>
      </c>
      <c r="E3170" s="28">
        <v>52148.88</v>
      </c>
      <c r="F3170" s="22" t="s">
        <v>303</v>
      </c>
      <c r="G3170" s="14">
        <v>126</v>
      </c>
      <c r="H3170" s="40">
        <v>45141</v>
      </c>
      <c r="I3170" s="46">
        <f t="shared" si="196"/>
        <v>410</v>
      </c>
      <c r="J3170" s="1" t="s">
        <v>15</v>
      </c>
      <c r="K3170" s="4" t="s">
        <v>200</v>
      </c>
      <c r="L3170" s="4" t="s">
        <v>225</v>
      </c>
      <c r="M3170" s="8">
        <v>126</v>
      </c>
      <c r="N3170" s="5">
        <v>413.88</v>
      </c>
      <c r="O3170" s="5">
        <v>52148.88</v>
      </c>
      <c r="P3170">
        <f t="shared" si="197"/>
        <v>1</v>
      </c>
      <c r="Q3170" s="36">
        <f t="shared" si="198"/>
        <v>52148.88</v>
      </c>
      <c r="R3170">
        <f t="shared" si="199"/>
        <v>2023</v>
      </c>
    </row>
    <row r="3171" spans="1:18" x14ac:dyDescent="0.2">
      <c r="A3171" s="13">
        <v>45551</v>
      </c>
      <c r="B3171" s="13">
        <v>45483</v>
      </c>
      <c r="C3171" s="25" t="s">
        <v>399</v>
      </c>
      <c r="D3171" s="20">
        <v>68</v>
      </c>
      <c r="E3171" s="28">
        <v>52148.88</v>
      </c>
      <c r="F3171" s="22" t="s">
        <v>303</v>
      </c>
      <c r="G3171" s="14">
        <v>126</v>
      </c>
      <c r="H3171" s="40">
        <v>45141</v>
      </c>
      <c r="I3171" s="46">
        <f t="shared" si="196"/>
        <v>410</v>
      </c>
      <c r="J3171" s="1" t="s">
        <v>15</v>
      </c>
      <c r="K3171" s="4" t="s">
        <v>200</v>
      </c>
      <c r="L3171" s="4" t="s">
        <v>225</v>
      </c>
      <c r="M3171" s="8">
        <v>126</v>
      </c>
      <c r="N3171" s="5">
        <v>413.88</v>
      </c>
      <c r="O3171" s="5">
        <v>52148.88</v>
      </c>
      <c r="P3171">
        <f t="shared" si="197"/>
        <v>1</v>
      </c>
      <c r="Q3171" s="36">
        <f t="shared" si="198"/>
        <v>52148.88</v>
      </c>
      <c r="R3171">
        <f t="shared" si="199"/>
        <v>2023</v>
      </c>
    </row>
    <row r="3172" spans="1:18" x14ac:dyDescent="0.2">
      <c r="A3172" s="13">
        <v>45551</v>
      </c>
      <c r="B3172" s="13">
        <v>45483</v>
      </c>
      <c r="C3172" s="25" t="s">
        <v>399</v>
      </c>
      <c r="D3172" s="20">
        <v>68</v>
      </c>
      <c r="E3172" s="28">
        <v>52148.88</v>
      </c>
      <c r="F3172" s="22" t="s">
        <v>303</v>
      </c>
      <c r="G3172" s="14">
        <v>126</v>
      </c>
      <c r="H3172" s="40">
        <v>45141</v>
      </c>
      <c r="I3172" s="46">
        <f t="shared" si="196"/>
        <v>410</v>
      </c>
      <c r="J3172" s="1" t="s">
        <v>15</v>
      </c>
      <c r="K3172" s="4" t="s">
        <v>200</v>
      </c>
      <c r="L3172" s="4" t="s">
        <v>225</v>
      </c>
      <c r="M3172" s="8">
        <v>126</v>
      </c>
      <c r="N3172" s="5">
        <v>413.88</v>
      </c>
      <c r="O3172" s="5">
        <v>52148.88</v>
      </c>
      <c r="P3172">
        <f t="shared" si="197"/>
        <v>1</v>
      </c>
      <c r="Q3172" s="36">
        <f t="shared" si="198"/>
        <v>52148.88</v>
      </c>
      <c r="R3172">
        <f t="shared" si="199"/>
        <v>2023</v>
      </c>
    </row>
    <row r="3173" spans="1:18" x14ac:dyDescent="0.2">
      <c r="A3173" s="13">
        <v>45551</v>
      </c>
      <c r="B3173" s="13">
        <v>45504</v>
      </c>
      <c r="C3173" s="25" t="s">
        <v>399</v>
      </c>
      <c r="D3173" s="20">
        <v>47</v>
      </c>
      <c r="E3173" s="28">
        <v>52148.88</v>
      </c>
      <c r="F3173" s="22" t="s">
        <v>303</v>
      </c>
      <c r="G3173" s="14">
        <v>126</v>
      </c>
      <c r="H3173" s="40">
        <v>45141</v>
      </c>
      <c r="I3173" s="46">
        <f t="shared" si="196"/>
        <v>410</v>
      </c>
      <c r="J3173" s="1" t="s">
        <v>15</v>
      </c>
      <c r="K3173" s="4" t="s">
        <v>200</v>
      </c>
      <c r="L3173" s="4" t="s">
        <v>225</v>
      </c>
      <c r="M3173" s="8">
        <v>126</v>
      </c>
      <c r="N3173" s="5">
        <v>413.88</v>
      </c>
      <c r="O3173" s="5">
        <v>52148.88</v>
      </c>
      <c r="P3173">
        <f t="shared" si="197"/>
        <v>1</v>
      </c>
      <c r="Q3173" s="36">
        <f t="shared" si="198"/>
        <v>52148.88</v>
      </c>
      <c r="R3173">
        <f t="shared" si="199"/>
        <v>2023</v>
      </c>
    </row>
    <row r="3174" spans="1:18" x14ac:dyDescent="0.2">
      <c r="A3174" s="13">
        <v>45364</v>
      </c>
      <c r="B3174" s="13">
        <v>45364</v>
      </c>
      <c r="C3174" s="25" t="s">
        <v>398</v>
      </c>
      <c r="D3174" s="20">
        <v>0</v>
      </c>
      <c r="E3174" s="28">
        <v>16585.560000000001</v>
      </c>
      <c r="F3174" s="22" t="s">
        <v>304</v>
      </c>
      <c r="G3174" s="14">
        <v>36</v>
      </c>
      <c r="H3174" s="40">
        <v>45083</v>
      </c>
      <c r="I3174" s="46">
        <f t="shared" si="196"/>
        <v>281</v>
      </c>
      <c r="J3174" s="1" t="s">
        <v>15</v>
      </c>
      <c r="K3174" s="4" t="s">
        <v>200</v>
      </c>
      <c r="L3174" s="4" t="s">
        <v>225</v>
      </c>
      <c r="M3174" s="8">
        <v>36</v>
      </c>
      <c r="N3174" s="5">
        <v>460.71</v>
      </c>
      <c r="O3174" s="5">
        <v>16585.560000000001</v>
      </c>
      <c r="P3174">
        <f t="shared" si="197"/>
        <v>1</v>
      </c>
      <c r="Q3174" s="36">
        <f t="shared" si="198"/>
        <v>16585.559999999998</v>
      </c>
      <c r="R3174">
        <f t="shared" si="199"/>
        <v>2023</v>
      </c>
    </row>
    <row r="3175" spans="1:18" x14ac:dyDescent="0.2">
      <c r="A3175" s="13">
        <v>45378</v>
      </c>
      <c r="B3175" s="13">
        <v>45378</v>
      </c>
      <c r="C3175" s="25" t="s">
        <v>398</v>
      </c>
      <c r="D3175" s="20">
        <v>0</v>
      </c>
      <c r="E3175" s="28">
        <v>16585.560000000001</v>
      </c>
      <c r="F3175" s="22" t="s">
        <v>304</v>
      </c>
      <c r="G3175" s="14">
        <v>36</v>
      </c>
      <c r="H3175" s="40">
        <v>45083</v>
      </c>
      <c r="I3175" s="46">
        <f t="shared" si="196"/>
        <v>295</v>
      </c>
      <c r="J3175" s="1" t="s">
        <v>15</v>
      </c>
      <c r="K3175" s="4" t="s">
        <v>200</v>
      </c>
      <c r="L3175" s="4" t="s">
        <v>225</v>
      </c>
      <c r="M3175" s="8">
        <v>36</v>
      </c>
      <c r="N3175" s="5">
        <v>460.71</v>
      </c>
      <c r="O3175" s="5">
        <v>16585.560000000001</v>
      </c>
      <c r="P3175">
        <f t="shared" si="197"/>
        <v>1</v>
      </c>
      <c r="Q3175" s="36">
        <f t="shared" si="198"/>
        <v>16585.559999999998</v>
      </c>
      <c r="R3175">
        <f t="shared" si="199"/>
        <v>2023</v>
      </c>
    </row>
    <row r="3176" spans="1:18" x14ac:dyDescent="0.2">
      <c r="A3176" s="13">
        <v>45427</v>
      </c>
      <c r="B3176" s="13">
        <v>45427</v>
      </c>
      <c r="C3176" s="25" t="s">
        <v>398</v>
      </c>
      <c r="D3176" s="20">
        <v>0</v>
      </c>
      <c r="E3176" s="28">
        <v>16585.560000000001</v>
      </c>
      <c r="F3176" s="22" t="s">
        <v>304</v>
      </c>
      <c r="G3176" s="14">
        <v>36</v>
      </c>
      <c r="H3176" s="40">
        <v>45083</v>
      </c>
      <c r="I3176" s="46">
        <f t="shared" si="196"/>
        <v>344</v>
      </c>
      <c r="J3176" s="1" t="s">
        <v>15</v>
      </c>
      <c r="K3176" s="4" t="s">
        <v>200</v>
      </c>
      <c r="L3176" s="4" t="s">
        <v>225</v>
      </c>
      <c r="M3176" s="8">
        <v>36</v>
      </c>
      <c r="N3176" s="5">
        <v>460.71</v>
      </c>
      <c r="O3176" s="5">
        <v>16585.560000000001</v>
      </c>
      <c r="P3176">
        <f t="shared" si="197"/>
        <v>1</v>
      </c>
      <c r="Q3176" s="36">
        <f t="shared" si="198"/>
        <v>16585.559999999998</v>
      </c>
      <c r="R3176">
        <f t="shared" si="199"/>
        <v>2023</v>
      </c>
    </row>
    <row r="3177" spans="1:18" x14ac:dyDescent="0.2">
      <c r="A3177" s="13">
        <v>45462</v>
      </c>
      <c r="B3177" s="13">
        <v>45462</v>
      </c>
      <c r="C3177" s="25" t="s">
        <v>398</v>
      </c>
      <c r="D3177" s="20">
        <v>0</v>
      </c>
      <c r="E3177" s="28">
        <v>16585.560000000001</v>
      </c>
      <c r="F3177" s="22" t="s">
        <v>304</v>
      </c>
      <c r="G3177" s="14">
        <v>36</v>
      </c>
      <c r="H3177" s="40">
        <v>45083</v>
      </c>
      <c r="I3177" s="46">
        <f t="shared" si="196"/>
        <v>379</v>
      </c>
      <c r="J3177" s="1" t="s">
        <v>15</v>
      </c>
      <c r="K3177" s="4" t="s">
        <v>200</v>
      </c>
      <c r="L3177" s="4" t="s">
        <v>225</v>
      </c>
      <c r="M3177" s="8">
        <v>36</v>
      </c>
      <c r="N3177" s="5">
        <v>460.71</v>
      </c>
      <c r="O3177" s="5">
        <v>16585.560000000001</v>
      </c>
      <c r="P3177">
        <f t="shared" si="197"/>
        <v>1</v>
      </c>
      <c r="Q3177" s="36">
        <f t="shared" si="198"/>
        <v>16585.559999999998</v>
      </c>
      <c r="R3177">
        <f t="shared" si="199"/>
        <v>2023</v>
      </c>
    </row>
    <row r="3178" spans="1:18" x14ac:dyDescent="0.2">
      <c r="A3178" s="13">
        <v>45447</v>
      </c>
      <c r="B3178" s="13">
        <v>45447</v>
      </c>
      <c r="C3178" s="25" t="s">
        <v>398</v>
      </c>
      <c r="D3178" s="20">
        <v>0</v>
      </c>
      <c r="E3178" s="28">
        <v>66342.240000000005</v>
      </c>
      <c r="F3178" s="22" t="s">
        <v>304</v>
      </c>
      <c r="G3178" s="14">
        <v>144</v>
      </c>
      <c r="H3178" s="40">
        <v>45084</v>
      </c>
      <c r="I3178" s="46">
        <f t="shared" si="196"/>
        <v>363</v>
      </c>
      <c r="J3178" s="1" t="s">
        <v>15</v>
      </c>
      <c r="K3178" s="4" t="s">
        <v>200</v>
      </c>
      <c r="L3178" s="4" t="s">
        <v>225</v>
      </c>
      <c r="M3178" s="8">
        <v>144</v>
      </c>
      <c r="N3178" s="5">
        <v>460.71</v>
      </c>
      <c r="O3178" s="5">
        <v>66342.240000000005</v>
      </c>
      <c r="P3178">
        <f t="shared" si="197"/>
        <v>1</v>
      </c>
      <c r="Q3178" s="36">
        <f t="shared" si="198"/>
        <v>66342.239999999991</v>
      </c>
      <c r="R3178">
        <f t="shared" si="199"/>
        <v>2023</v>
      </c>
    </row>
    <row r="3179" spans="1:18" x14ac:dyDescent="0.2">
      <c r="A3179" s="13">
        <v>45448</v>
      </c>
      <c r="B3179" s="13">
        <v>45448</v>
      </c>
      <c r="C3179" s="25" t="s">
        <v>398</v>
      </c>
      <c r="D3179" s="20">
        <v>0</v>
      </c>
      <c r="E3179" s="28">
        <v>132684.48000000001</v>
      </c>
      <c r="F3179" s="22" t="s">
        <v>304</v>
      </c>
      <c r="G3179" s="14">
        <v>288</v>
      </c>
      <c r="H3179" s="40">
        <v>45085</v>
      </c>
      <c r="I3179" s="46">
        <f t="shared" si="196"/>
        <v>363</v>
      </c>
      <c r="J3179" s="1" t="s">
        <v>15</v>
      </c>
      <c r="K3179" s="4" t="s">
        <v>200</v>
      </c>
      <c r="L3179" s="4" t="s">
        <v>225</v>
      </c>
      <c r="M3179" s="8">
        <v>288</v>
      </c>
      <c r="N3179" s="5">
        <v>460.71</v>
      </c>
      <c r="O3179" s="5">
        <v>132684.48000000001</v>
      </c>
      <c r="P3179">
        <f t="shared" si="197"/>
        <v>1</v>
      </c>
      <c r="Q3179" s="36">
        <f t="shared" si="198"/>
        <v>132684.47999999998</v>
      </c>
      <c r="R3179">
        <f t="shared" si="199"/>
        <v>2023</v>
      </c>
    </row>
    <row r="3180" spans="1:18" x14ac:dyDescent="0.2">
      <c r="A3180" s="13">
        <v>45448</v>
      </c>
      <c r="B3180" s="13">
        <v>45448</v>
      </c>
      <c r="C3180" s="25" t="s">
        <v>398</v>
      </c>
      <c r="D3180" s="20">
        <v>0</v>
      </c>
      <c r="E3180" s="28">
        <v>132684.48000000001</v>
      </c>
      <c r="F3180" s="22" t="s">
        <v>304</v>
      </c>
      <c r="G3180" s="14">
        <v>288</v>
      </c>
      <c r="H3180" s="40">
        <v>45085</v>
      </c>
      <c r="I3180" s="46">
        <f t="shared" si="196"/>
        <v>363</v>
      </c>
      <c r="J3180" s="1" t="s">
        <v>15</v>
      </c>
      <c r="K3180" s="4" t="s">
        <v>200</v>
      </c>
      <c r="L3180" s="4" t="s">
        <v>225</v>
      </c>
      <c r="M3180" s="8">
        <v>288</v>
      </c>
      <c r="N3180" s="5">
        <v>460.71</v>
      </c>
      <c r="O3180" s="5">
        <v>132684.48000000001</v>
      </c>
      <c r="P3180">
        <f t="shared" si="197"/>
        <v>1</v>
      </c>
      <c r="Q3180" s="36">
        <f t="shared" si="198"/>
        <v>132684.47999999998</v>
      </c>
      <c r="R3180">
        <f t="shared" si="199"/>
        <v>2023</v>
      </c>
    </row>
    <row r="3181" spans="1:18" x14ac:dyDescent="0.2">
      <c r="A3181" s="13">
        <v>45448</v>
      </c>
      <c r="B3181" s="13">
        <v>45448</v>
      </c>
      <c r="C3181" s="25" t="s">
        <v>398</v>
      </c>
      <c r="D3181" s="20">
        <v>0</v>
      </c>
      <c r="E3181" s="28">
        <v>132684.48000000001</v>
      </c>
      <c r="F3181" s="22" t="s">
        <v>304</v>
      </c>
      <c r="G3181" s="14">
        <v>288</v>
      </c>
      <c r="H3181" s="40">
        <v>45085</v>
      </c>
      <c r="I3181" s="46">
        <f t="shared" si="196"/>
        <v>363</v>
      </c>
      <c r="J3181" s="1" t="s">
        <v>15</v>
      </c>
      <c r="K3181" s="4" t="s">
        <v>200</v>
      </c>
      <c r="L3181" s="4" t="s">
        <v>225</v>
      </c>
      <c r="M3181" s="8">
        <v>288</v>
      </c>
      <c r="N3181" s="5">
        <v>460.71</v>
      </c>
      <c r="O3181" s="5">
        <v>132684.48000000001</v>
      </c>
      <c r="P3181">
        <f t="shared" si="197"/>
        <v>1</v>
      </c>
      <c r="Q3181" s="36">
        <f t="shared" si="198"/>
        <v>132684.47999999998</v>
      </c>
      <c r="R3181">
        <f t="shared" si="199"/>
        <v>2023</v>
      </c>
    </row>
    <row r="3182" spans="1:18" x14ac:dyDescent="0.2">
      <c r="A3182" s="13">
        <v>45448</v>
      </c>
      <c r="B3182" s="13">
        <v>45448</v>
      </c>
      <c r="C3182" s="25" t="s">
        <v>398</v>
      </c>
      <c r="D3182" s="20">
        <v>0</v>
      </c>
      <c r="E3182" s="28">
        <v>132684.48000000001</v>
      </c>
      <c r="F3182" s="22" t="s">
        <v>304</v>
      </c>
      <c r="G3182" s="14">
        <v>288</v>
      </c>
      <c r="H3182" s="40">
        <v>45085</v>
      </c>
      <c r="I3182" s="46">
        <f t="shared" si="196"/>
        <v>363</v>
      </c>
      <c r="J3182" s="1" t="s">
        <v>15</v>
      </c>
      <c r="K3182" s="4" t="s">
        <v>200</v>
      </c>
      <c r="L3182" s="4" t="s">
        <v>225</v>
      </c>
      <c r="M3182" s="8">
        <v>288</v>
      </c>
      <c r="N3182" s="5">
        <v>460.71</v>
      </c>
      <c r="O3182" s="5">
        <v>132684.48000000001</v>
      </c>
      <c r="P3182">
        <f t="shared" si="197"/>
        <v>1</v>
      </c>
      <c r="Q3182" s="36">
        <f t="shared" si="198"/>
        <v>132684.47999999998</v>
      </c>
      <c r="R3182">
        <f t="shared" si="199"/>
        <v>2023</v>
      </c>
    </row>
    <row r="3183" spans="1:18" x14ac:dyDescent="0.2">
      <c r="A3183" s="13">
        <v>45448</v>
      </c>
      <c r="B3183" s="13">
        <v>45448</v>
      </c>
      <c r="C3183" s="25" t="s">
        <v>398</v>
      </c>
      <c r="D3183" s="20">
        <v>0</v>
      </c>
      <c r="E3183" s="28">
        <v>132684.48000000001</v>
      </c>
      <c r="F3183" s="22" t="s">
        <v>304</v>
      </c>
      <c r="G3183" s="14">
        <v>288</v>
      </c>
      <c r="H3183" s="40">
        <v>45085</v>
      </c>
      <c r="I3183" s="46">
        <f t="shared" si="196"/>
        <v>363</v>
      </c>
      <c r="J3183" s="1" t="s">
        <v>15</v>
      </c>
      <c r="K3183" s="4" t="s">
        <v>200</v>
      </c>
      <c r="L3183" s="4" t="s">
        <v>225</v>
      </c>
      <c r="M3183" s="8">
        <v>288</v>
      </c>
      <c r="N3183" s="5">
        <v>460.71</v>
      </c>
      <c r="O3183" s="5">
        <v>132684.48000000001</v>
      </c>
      <c r="P3183">
        <f t="shared" si="197"/>
        <v>1</v>
      </c>
      <c r="Q3183" s="36">
        <f t="shared" si="198"/>
        <v>132684.47999999998</v>
      </c>
      <c r="R3183">
        <f t="shared" si="199"/>
        <v>2023</v>
      </c>
    </row>
    <row r="3184" spans="1:18" x14ac:dyDescent="0.2">
      <c r="A3184" s="13">
        <v>45448</v>
      </c>
      <c r="B3184" s="13">
        <v>45448</v>
      </c>
      <c r="C3184" s="25" t="s">
        <v>398</v>
      </c>
      <c r="D3184" s="20">
        <v>0</v>
      </c>
      <c r="E3184" s="28">
        <v>132684.48000000001</v>
      </c>
      <c r="F3184" s="22" t="s">
        <v>304</v>
      </c>
      <c r="G3184" s="14">
        <v>288</v>
      </c>
      <c r="H3184" s="40">
        <v>45085</v>
      </c>
      <c r="I3184" s="46">
        <f t="shared" si="196"/>
        <v>363</v>
      </c>
      <c r="J3184" s="1" t="s">
        <v>15</v>
      </c>
      <c r="K3184" s="4" t="s">
        <v>200</v>
      </c>
      <c r="L3184" s="4" t="s">
        <v>225</v>
      </c>
      <c r="M3184" s="8">
        <v>288</v>
      </c>
      <c r="N3184" s="5">
        <v>460.71</v>
      </c>
      <c r="O3184" s="5">
        <v>132684.48000000001</v>
      </c>
      <c r="P3184">
        <f t="shared" si="197"/>
        <v>1</v>
      </c>
      <c r="Q3184" s="36">
        <f t="shared" si="198"/>
        <v>132684.47999999998</v>
      </c>
      <c r="R3184">
        <f t="shared" si="199"/>
        <v>2023</v>
      </c>
    </row>
    <row r="3185" spans="1:18" x14ac:dyDescent="0.2">
      <c r="A3185" s="13">
        <v>45448</v>
      </c>
      <c r="B3185" s="13">
        <v>45448</v>
      </c>
      <c r="C3185" s="25" t="s">
        <v>398</v>
      </c>
      <c r="D3185" s="20">
        <v>0</v>
      </c>
      <c r="E3185" s="28">
        <v>132684.48000000001</v>
      </c>
      <c r="F3185" s="22" t="s">
        <v>304</v>
      </c>
      <c r="G3185" s="14">
        <v>288</v>
      </c>
      <c r="H3185" s="40">
        <v>45085</v>
      </c>
      <c r="I3185" s="46">
        <f t="shared" si="196"/>
        <v>363</v>
      </c>
      <c r="J3185" s="1" t="s">
        <v>15</v>
      </c>
      <c r="K3185" s="4" t="s">
        <v>200</v>
      </c>
      <c r="L3185" s="4" t="s">
        <v>225</v>
      </c>
      <c r="M3185" s="8">
        <v>288</v>
      </c>
      <c r="N3185" s="5">
        <v>460.71</v>
      </c>
      <c r="O3185" s="5">
        <v>132684.48000000001</v>
      </c>
      <c r="P3185">
        <f t="shared" si="197"/>
        <v>1</v>
      </c>
      <c r="Q3185" s="36">
        <f t="shared" si="198"/>
        <v>132684.47999999998</v>
      </c>
      <c r="R3185">
        <f t="shared" si="199"/>
        <v>2023</v>
      </c>
    </row>
    <row r="3186" spans="1:18" x14ac:dyDescent="0.2">
      <c r="A3186" s="13">
        <v>45448</v>
      </c>
      <c r="B3186" s="13">
        <v>45448</v>
      </c>
      <c r="C3186" s="25" t="s">
        <v>398</v>
      </c>
      <c r="D3186" s="20">
        <v>0</v>
      </c>
      <c r="E3186" s="28">
        <v>132684.48000000001</v>
      </c>
      <c r="F3186" s="22" t="s">
        <v>304</v>
      </c>
      <c r="G3186" s="14">
        <v>288</v>
      </c>
      <c r="H3186" s="40">
        <v>45085</v>
      </c>
      <c r="I3186" s="46">
        <f t="shared" si="196"/>
        <v>363</v>
      </c>
      <c r="J3186" s="1" t="s">
        <v>15</v>
      </c>
      <c r="K3186" s="4" t="s">
        <v>200</v>
      </c>
      <c r="L3186" s="4" t="s">
        <v>225</v>
      </c>
      <c r="M3186" s="8">
        <v>288</v>
      </c>
      <c r="N3186" s="5">
        <v>460.71</v>
      </c>
      <c r="O3186" s="5">
        <v>132684.48000000001</v>
      </c>
      <c r="P3186">
        <f t="shared" si="197"/>
        <v>1</v>
      </c>
      <c r="Q3186" s="36">
        <f t="shared" si="198"/>
        <v>132684.47999999998</v>
      </c>
      <c r="R3186">
        <f t="shared" si="199"/>
        <v>2023</v>
      </c>
    </row>
    <row r="3187" spans="1:18" x14ac:dyDescent="0.2">
      <c r="A3187" s="13">
        <v>45448</v>
      </c>
      <c r="B3187" s="13">
        <v>45448</v>
      </c>
      <c r="C3187" s="25" t="s">
        <v>398</v>
      </c>
      <c r="D3187" s="20">
        <v>0</v>
      </c>
      <c r="E3187" s="28">
        <v>132684.48000000001</v>
      </c>
      <c r="F3187" s="22" t="s">
        <v>304</v>
      </c>
      <c r="G3187" s="14">
        <v>288</v>
      </c>
      <c r="H3187" s="40">
        <v>45085</v>
      </c>
      <c r="I3187" s="46">
        <f t="shared" si="196"/>
        <v>363</v>
      </c>
      <c r="J3187" s="1" t="s">
        <v>15</v>
      </c>
      <c r="K3187" s="4" t="s">
        <v>200</v>
      </c>
      <c r="L3187" s="4" t="s">
        <v>225</v>
      </c>
      <c r="M3187" s="8">
        <v>288</v>
      </c>
      <c r="N3187" s="5">
        <v>460.71</v>
      </c>
      <c r="O3187" s="5">
        <v>132684.48000000001</v>
      </c>
      <c r="P3187">
        <f t="shared" si="197"/>
        <v>1</v>
      </c>
      <c r="Q3187" s="36">
        <f t="shared" si="198"/>
        <v>132684.47999999998</v>
      </c>
      <c r="R3187">
        <f t="shared" si="199"/>
        <v>2023</v>
      </c>
    </row>
    <row r="3188" spans="1:18" x14ac:dyDescent="0.2">
      <c r="A3188" s="13">
        <v>45448</v>
      </c>
      <c r="B3188" s="13">
        <v>45448</v>
      </c>
      <c r="C3188" s="25" t="s">
        <v>398</v>
      </c>
      <c r="D3188" s="20">
        <v>0</v>
      </c>
      <c r="E3188" s="28">
        <v>132684.48000000001</v>
      </c>
      <c r="F3188" s="22" t="s">
        <v>304</v>
      </c>
      <c r="G3188" s="14">
        <v>288</v>
      </c>
      <c r="H3188" s="40">
        <v>45085</v>
      </c>
      <c r="I3188" s="46">
        <f t="shared" si="196"/>
        <v>363</v>
      </c>
      <c r="J3188" s="1" t="s">
        <v>15</v>
      </c>
      <c r="K3188" s="4" t="s">
        <v>200</v>
      </c>
      <c r="L3188" s="4" t="s">
        <v>225</v>
      </c>
      <c r="M3188" s="8">
        <v>288</v>
      </c>
      <c r="N3188" s="5">
        <v>460.71</v>
      </c>
      <c r="O3188" s="5">
        <v>132684.48000000001</v>
      </c>
      <c r="P3188">
        <f t="shared" si="197"/>
        <v>1</v>
      </c>
      <c r="Q3188" s="36">
        <f t="shared" si="198"/>
        <v>132684.47999999998</v>
      </c>
      <c r="R3188">
        <f t="shared" si="199"/>
        <v>2023</v>
      </c>
    </row>
    <row r="3189" spans="1:18" x14ac:dyDescent="0.2">
      <c r="A3189" s="13">
        <v>45448</v>
      </c>
      <c r="B3189" s="13">
        <v>45448</v>
      </c>
      <c r="C3189" s="25" t="s">
        <v>398</v>
      </c>
      <c r="D3189" s="20">
        <v>0</v>
      </c>
      <c r="E3189" s="28">
        <v>132684.48000000001</v>
      </c>
      <c r="F3189" s="22" t="s">
        <v>304</v>
      </c>
      <c r="G3189" s="14">
        <v>288</v>
      </c>
      <c r="H3189" s="40">
        <v>45085</v>
      </c>
      <c r="I3189" s="46">
        <f t="shared" si="196"/>
        <v>363</v>
      </c>
      <c r="J3189" s="1" t="s">
        <v>15</v>
      </c>
      <c r="K3189" s="4" t="s">
        <v>200</v>
      </c>
      <c r="L3189" s="4" t="s">
        <v>225</v>
      </c>
      <c r="M3189" s="8">
        <v>288</v>
      </c>
      <c r="N3189" s="5">
        <v>460.71</v>
      </c>
      <c r="O3189" s="5">
        <v>132684.48000000001</v>
      </c>
      <c r="P3189">
        <f t="shared" si="197"/>
        <v>1</v>
      </c>
      <c r="Q3189" s="36">
        <f t="shared" si="198"/>
        <v>132684.47999999998</v>
      </c>
      <c r="R3189">
        <f t="shared" si="199"/>
        <v>2023</v>
      </c>
    </row>
    <row r="3190" spans="1:18" x14ac:dyDescent="0.2">
      <c r="A3190" s="13">
        <v>45448</v>
      </c>
      <c r="B3190" s="13">
        <v>45448</v>
      </c>
      <c r="C3190" s="25" t="s">
        <v>398</v>
      </c>
      <c r="D3190" s="20">
        <v>0</v>
      </c>
      <c r="E3190" s="28">
        <v>132684.48000000001</v>
      </c>
      <c r="F3190" s="22" t="s">
        <v>304</v>
      </c>
      <c r="G3190" s="14">
        <v>288</v>
      </c>
      <c r="H3190" s="40">
        <v>45085</v>
      </c>
      <c r="I3190" s="46">
        <f t="shared" si="196"/>
        <v>363</v>
      </c>
      <c r="J3190" s="1" t="s">
        <v>15</v>
      </c>
      <c r="K3190" s="4" t="s">
        <v>200</v>
      </c>
      <c r="L3190" s="4" t="s">
        <v>225</v>
      </c>
      <c r="M3190" s="8">
        <v>288</v>
      </c>
      <c r="N3190" s="5">
        <v>460.71</v>
      </c>
      <c r="O3190" s="5">
        <v>132684.48000000001</v>
      </c>
      <c r="P3190">
        <f t="shared" si="197"/>
        <v>1</v>
      </c>
      <c r="Q3190" s="36">
        <f t="shared" si="198"/>
        <v>132684.47999999998</v>
      </c>
      <c r="R3190">
        <f t="shared" si="199"/>
        <v>2023</v>
      </c>
    </row>
    <row r="3191" spans="1:18" x14ac:dyDescent="0.2">
      <c r="A3191" s="13">
        <v>45448</v>
      </c>
      <c r="B3191" s="13">
        <v>45448</v>
      </c>
      <c r="C3191" s="25" t="s">
        <v>398</v>
      </c>
      <c r="D3191" s="20">
        <v>0</v>
      </c>
      <c r="E3191" s="28">
        <v>132684.48000000001</v>
      </c>
      <c r="F3191" s="22" t="s">
        <v>304</v>
      </c>
      <c r="G3191" s="14">
        <v>288</v>
      </c>
      <c r="H3191" s="40">
        <v>45085</v>
      </c>
      <c r="I3191" s="46">
        <f t="shared" si="196"/>
        <v>363</v>
      </c>
      <c r="J3191" s="1" t="s">
        <v>15</v>
      </c>
      <c r="K3191" s="4" t="s">
        <v>200</v>
      </c>
      <c r="L3191" s="4" t="s">
        <v>225</v>
      </c>
      <c r="M3191" s="8">
        <v>288</v>
      </c>
      <c r="N3191" s="5">
        <v>460.71</v>
      </c>
      <c r="O3191" s="5">
        <v>132684.48000000001</v>
      </c>
      <c r="P3191">
        <f t="shared" si="197"/>
        <v>1</v>
      </c>
      <c r="Q3191" s="36">
        <f t="shared" si="198"/>
        <v>132684.47999999998</v>
      </c>
      <c r="R3191">
        <f t="shared" si="199"/>
        <v>2023</v>
      </c>
    </row>
    <row r="3192" spans="1:18" x14ac:dyDescent="0.2">
      <c r="A3192" s="13">
        <v>45448</v>
      </c>
      <c r="B3192" s="13">
        <v>45448</v>
      </c>
      <c r="C3192" s="25" t="s">
        <v>398</v>
      </c>
      <c r="D3192" s="20">
        <v>0</v>
      </c>
      <c r="E3192" s="28">
        <v>132684.48000000001</v>
      </c>
      <c r="F3192" s="22" t="s">
        <v>304</v>
      </c>
      <c r="G3192" s="14">
        <v>288</v>
      </c>
      <c r="H3192" s="40">
        <v>45085</v>
      </c>
      <c r="I3192" s="46">
        <f t="shared" si="196"/>
        <v>363</v>
      </c>
      <c r="J3192" s="1" t="s">
        <v>15</v>
      </c>
      <c r="K3192" s="4" t="s">
        <v>200</v>
      </c>
      <c r="L3192" s="4" t="s">
        <v>225</v>
      </c>
      <c r="M3192" s="8">
        <v>288</v>
      </c>
      <c r="N3192" s="5">
        <v>460.71</v>
      </c>
      <c r="O3192" s="5">
        <v>132684.48000000001</v>
      </c>
      <c r="P3192">
        <f t="shared" si="197"/>
        <v>1</v>
      </c>
      <c r="Q3192" s="36">
        <f t="shared" si="198"/>
        <v>132684.47999999998</v>
      </c>
      <c r="R3192">
        <f t="shared" si="199"/>
        <v>2023</v>
      </c>
    </row>
    <row r="3193" spans="1:18" x14ac:dyDescent="0.2">
      <c r="A3193" s="13">
        <v>45448</v>
      </c>
      <c r="B3193" s="13">
        <v>45448</v>
      </c>
      <c r="C3193" s="25" t="s">
        <v>398</v>
      </c>
      <c r="D3193" s="20">
        <v>0</v>
      </c>
      <c r="E3193" s="28">
        <v>132684.48000000001</v>
      </c>
      <c r="F3193" s="22" t="s">
        <v>304</v>
      </c>
      <c r="G3193" s="14">
        <v>288</v>
      </c>
      <c r="H3193" s="40">
        <v>45085</v>
      </c>
      <c r="I3193" s="46">
        <f t="shared" si="196"/>
        <v>363</v>
      </c>
      <c r="J3193" s="1" t="s">
        <v>15</v>
      </c>
      <c r="K3193" s="4" t="s">
        <v>200</v>
      </c>
      <c r="L3193" s="4" t="s">
        <v>225</v>
      </c>
      <c r="M3193" s="8">
        <v>288</v>
      </c>
      <c r="N3193" s="5">
        <v>460.71</v>
      </c>
      <c r="O3193" s="5">
        <v>132684.48000000001</v>
      </c>
      <c r="P3193">
        <f t="shared" si="197"/>
        <v>1</v>
      </c>
      <c r="Q3193" s="36">
        <f t="shared" si="198"/>
        <v>132684.47999999998</v>
      </c>
      <c r="R3193">
        <f t="shared" si="199"/>
        <v>2023</v>
      </c>
    </row>
    <row r="3194" spans="1:18" x14ac:dyDescent="0.2">
      <c r="A3194" s="13">
        <v>45448</v>
      </c>
      <c r="B3194" s="13">
        <v>45448</v>
      </c>
      <c r="C3194" s="25" t="s">
        <v>398</v>
      </c>
      <c r="D3194" s="20">
        <v>0</v>
      </c>
      <c r="E3194" s="28">
        <v>132684.48000000001</v>
      </c>
      <c r="F3194" s="22" t="s">
        <v>304</v>
      </c>
      <c r="G3194" s="14">
        <v>288</v>
      </c>
      <c r="H3194" s="40">
        <v>45085</v>
      </c>
      <c r="I3194" s="46">
        <f t="shared" si="196"/>
        <v>363</v>
      </c>
      <c r="J3194" s="1" t="s">
        <v>15</v>
      </c>
      <c r="K3194" s="4" t="s">
        <v>200</v>
      </c>
      <c r="L3194" s="4" t="s">
        <v>225</v>
      </c>
      <c r="M3194" s="8">
        <v>288</v>
      </c>
      <c r="N3194" s="5">
        <v>460.71</v>
      </c>
      <c r="O3194" s="5">
        <v>132684.48000000001</v>
      </c>
      <c r="P3194">
        <f t="shared" si="197"/>
        <v>1</v>
      </c>
      <c r="Q3194" s="36">
        <f t="shared" si="198"/>
        <v>132684.47999999998</v>
      </c>
      <c r="R3194">
        <f t="shared" si="199"/>
        <v>2023</v>
      </c>
    </row>
    <row r="3195" spans="1:18" x14ac:dyDescent="0.2">
      <c r="A3195" s="13">
        <v>45484</v>
      </c>
      <c r="B3195" s="13">
        <v>45484</v>
      </c>
      <c r="C3195" s="25" t="s">
        <v>398</v>
      </c>
      <c r="D3195" s="20">
        <v>0</v>
      </c>
      <c r="E3195" s="28">
        <v>82927.8</v>
      </c>
      <c r="F3195" s="22" t="s">
        <v>304</v>
      </c>
      <c r="G3195" s="14">
        <v>180</v>
      </c>
      <c r="H3195" s="40">
        <v>45092</v>
      </c>
      <c r="I3195" s="46">
        <f t="shared" si="196"/>
        <v>392</v>
      </c>
      <c r="J3195" s="1" t="s">
        <v>15</v>
      </c>
      <c r="K3195" s="4" t="s">
        <v>200</v>
      </c>
      <c r="L3195" s="4" t="s">
        <v>225</v>
      </c>
      <c r="M3195" s="8">
        <v>180</v>
      </c>
      <c r="N3195" s="5">
        <v>460.71</v>
      </c>
      <c r="O3195" s="5">
        <v>82927.8</v>
      </c>
      <c r="P3195">
        <f t="shared" si="197"/>
        <v>1</v>
      </c>
      <c r="Q3195" s="36">
        <f t="shared" si="198"/>
        <v>82927.8</v>
      </c>
      <c r="R3195">
        <f t="shared" si="199"/>
        <v>2023</v>
      </c>
    </row>
    <row r="3196" spans="1:18" x14ac:dyDescent="0.2">
      <c r="A3196" s="13">
        <v>45469</v>
      </c>
      <c r="B3196" s="13">
        <v>45469</v>
      </c>
      <c r="C3196" s="25" t="s">
        <v>398</v>
      </c>
      <c r="D3196" s="20">
        <v>0</v>
      </c>
      <c r="E3196" s="28">
        <v>16585.560000000001</v>
      </c>
      <c r="F3196" s="22" t="s">
        <v>304</v>
      </c>
      <c r="G3196" s="14">
        <v>36</v>
      </c>
      <c r="H3196" s="40">
        <v>45098</v>
      </c>
      <c r="I3196" s="46">
        <f t="shared" si="196"/>
        <v>371</v>
      </c>
      <c r="J3196" s="1" t="s">
        <v>15</v>
      </c>
      <c r="K3196" s="4" t="s">
        <v>200</v>
      </c>
      <c r="L3196" s="4" t="s">
        <v>225</v>
      </c>
      <c r="M3196" s="8">
        <v>36</v>
      </c>
      <c r="N3196" s="5">
        <v>460.71</v>
      </c>
      <c r="O3196" s="5">
        <v>16585.560000000001</v>
      </c>
      <c r="P3196">
        <f t="shared" si="197"/>
        <v>1</v>
      </c>
      <c r="Q3196" s="36">
        <f t="shared" si="198"/>
        <v>16585.559999999998</v>
      </c>
      <c r="R3196">
        <f t="shared" si="199"/>
        <v>2023</v>
      </c>
    </row>
    <row r="3197" spans="1:18" x14ac:dyDescent="0.2">
      <c r="A3197" s="13">
        <v>45286</v>
      </c>
      <c r="B3197" s="13">
        <v>45286</v>
      </c>
      <c r="C3197" s="25" t="s">
        <v>398</v>
      </c>
      <c r="D3197" s="20">
        <v>0</v>
      </c>
      <c r="E3197" s="28">
        <v>165855.6</v>
      </c>
      <c r="F3197" s="22" t="s">
        <v>304</v>
      </c>
      <c r="G3197" s="14">
        <v>360</v>
      </c>
      <c r="H3197" s="40">
        <v>45099</v>
      </c>
      <c r="I3197" s="46">
        <f t="shared" si="196"/>
        <v>187</v>
      </c>
      <c r="J3197" s="1" t="s">
        <v>15</v>
      </c>
      <c r="K3197" s="4" t="s">
        <v>200</v>
      </c>
      <c r="L3197" s="4" t="s">
        <v>225</v>
      </c>
      <c r="M3197" s="8">
        <v>360</v>
      </c>
      <c r="N3197" s="5">
        <v>460.71</v>
      </c>
      <c r="O3197" s="5">
        <v>165855.6</v>
      </c>
      <c r="P3197">
        <f t="shared" si="197"/>
        <v>1</v>
      </c>
      <c r="Q3197" s="36">
        <f t="shared" si="198"/>
        <v>165855.6</v>
      </c>
      <c r="R3197">
        <f t="shared" si="199"/>
        <v>2023</v>
      </c>
    </row>
    <row r="3198" spans="1:18" x14ac:dyDescent="0.2">
      <c r="A3198" s="13">
        <v>45307</v>
      </c>
      <c r="B3198" s="13">
        <v>45307</v>
      </c>
      <c r="C3198" s="25" t="s">
        <v>398</v>
      </c>
      <c r="D3198" s="20">
        <v>0</v>
      </c>
      <c r="E3198" s="28">
        <v>165855.6</v>
      </c>
      <c r="F3198" s="22" t="s">
        <v>304</v>
      </c>
      <c r="G3198" s="14">
        <v>360</v>
      </c>
      <c r="H3198" s="40">
        <v>45099</v>
      </c>
      <c r="I3198" s="46">
        <f t="shared" si="196"/>
        <v>208</v>
      </c>
      <c r="J3198" s="1" t="s">
        <v>15</v>
      </c>
      <c r="K3198" s="4" t="s">
        <v>200</v>
      </c>
      <c r="L3198" s="4" t="s">
        <v>225</v>
      </c>
      <c r="M3198" s="8">
        <v>360</v>
      </c>
      <c r="N3198" s="5">
        <v>460.71</v>
      </c>
      <c r="O3198" s="5">
        <v>165855.6</v>
      </c>
      <c r="P3198">
        <f t="shared" si="197"/>
        <v>1</v>
      </c>
      <c r="Q3198" s="36">
        <f t="shared" si="198"/>
        <v>165855.6</v>
      </c>
      <c r="R3198">
        <f t="shared" si="199"/>
        <v>2023</v>
      </c>
    </row>
    <row r="3199" spans="1:18" x14ac:dyDescent="0.2">
      <c r="A3199" s="13">
        <v>45307</v>
      </c>
      <c r="B3199" s="13">
        <v>45307</v>
      </c>
      <c r="C3199" s="25" t="s">
        <v>398</v>
      </c>
      <c r="D3199" s="20">
        <v>0</v>
      </c>
      <c r="E3199" s="28">
        <v>165855.6</v>
      </c>
      <c r="F3199" s="22" t="s">
        <v>304</v>
      </c>
      <c r="G3199" s="14">
        <v>360</v>
      </c>
      <c r="H3199" s="40">
        <v>45099</v>
      </c>
      <c r="I3199" s="46">
        <f t="shared" si="196"/>
        <v>208</v>
      </c>
      <c r="J3199" s="1" t="s">
        <v>15</v>
      </c>
      <c r="K3199" s="4" t="s">
        <v>200</v>
      </c>
      <c r="L3199" s="4" t="s">
        <v>225</v>
      </c>
      <c r="M3199" s="8">
        <v>360</v>
      </c>
      <c r="N3199" s="5">
        <v>460.71</v>
      </c>
      <c r="O3199" s="5">
        <v>165855.6</v>
      </c>
      <c r="P3199">
        <f t="shared" si="197"/>
        <v>1</v>
      </c>
      <c r="Q3199" s="36">
        <f t="shared" si="198"/>
        <v>165855.6</v>
      </c>
      <c r="R3199">
        <f t="shared" si="199"/>
        <v>2023</v>
      </c>
    </row>
    <row r="3200" spans="1:18" x14ac:dyDescent="0.2">
      <c r="A3200" s="13">
        <v>45364</v>
      </c>
      <c r="B3200" s="13">
        <v>45364</v>
      </c>
      <c r="C3200" s="25" t="s">
        <v>398</v>
      </c>
      <c r="D3200" s="20">
        <v>0</v>
      </c>
      <c r="E3200" s="28">
        <v>165855.6</v>
      </c>
      <c r="F3200" s="22" t="s">
        <v>304</v>
      </c>
      <c r="G3200" s="14">
        <v>360</v>
      </c>
      <c r="H3200" s="40">
        <v>45099</v>
      </c>
      <c r="I3200" s="46">
        <f t="shared" si="196"/>
        <v>265</v>
      </c>
      <c r="J3200" s="1" t="s">
        <v>15</v>
      </c>
      <c r="K3200" s="4" t="s">
        <v>200</v>
      </c>
      <c r="L3200" s="4" t="s">
        <v>225</v>
      </c>
      <c r="M3200" s="8">
        <v>360</v>
      </c>
      <c r="N3200" s="5">
        <v>460.71</v>
      </c>
      <c r="O3200" s="5">
        <v>165855.6</v>
      </c>
      <c r="P3200">
        <f t="shared" si="197"/>
        <v>1</v>
      </c>
      <c r="Q3200" s="36">
        <f t="shared" si="198"/>
        <v>165855.6</v>
      </c>
      <c r="R3200">
        <f t="shared" si="199"/>
        <v>2023</v>
      </c>
    </row>
    <row r="3201" spans="1:18" x14ac:dyDescent="0.2">
      <c r="A3201" s="13">
        <v>45378</v>
      </c>
      <c r="B3201" s="13">
        <v>45378</v>
      </c>
      <c r="C3201" s="25" t="s">
        <v>398</v>
      </c>
      <c r="D3201" s="20">
        <v>0</v>
      </c>
      <c r="E3201" s="28">
        <v>165855.6</v>
      </c>
      <c r="F3201" s="22" t="s">
        <v>304</v>
      </c>
      <c r="G3201" s="14">
        <v>360</v>
      </c>
      <c r="H3201" s="40">
        <v>45099</v>
      </c>
      <c r="I3201" s="46">
        <f t="shared" si="196"/>
        <v>279</v>
      </c>
      <c r="J3201" s="1" t="s">
        <v>15</v>
      </c>
      <c r="K3201" s="4" t="s">
        <v>200</v>
      </c>
      <c r="L3201" s="4" t="s">
        <v>225</v>
      </c>
      <c r="M3201" s="8">
        <v>360</v>
      </c>
      <c r="N3201" s="5">
        <v>460.71</v>
      </c>
      <c r="O3201" s="5">
        <v>165855.6</v>
      </c>
      <c r="P3201">
        <f t="shared" si="197"/>
        <v>1</v>
      </c>
      <c r="Q3201" s="36">
        <f t="shared" si="198"/>
        <v>165855.6</v>
      </c>
      <c r="R3201">
        <f t="shared" si="199"/>
        <v>2023</v>
      </c>
    </row>
    <row r="3202" spans="1:18" x14ac:dyDescent="0.2">
      <c r="A3202" s="13">
        <v>45399</v>
      </c>
      <c r="B3202" s="13">
        <v>45399</v>
      </c>
      <c r="C3202" s="25" t="s">
        <v>398</v>
      </c>
      <c r="D3202" s="20">
        <v>0</v>
      </c>
      <c r="E3202" s="28">
        <v>165855.6</v>
      </c>
      <c r="F3202" s="22" t="s">
        <v>304</v>
      </c>
      <c r="G3202" s="14">
        <v>360</v>
      </c>
      <c r="H3202" s="40">
        <v>45099</v>
      </c>
      <c r="I3202" s="46">
        <f t="shared" si="196"/>
        <v>300</v>
      </c>
      <c r="J3202" s="1" t="s">
        <v>15</v>
      </c>
      <c r="K3202" s="4" t="s">
        <v>200</v>
      </c>
      <c r="L3202" s="4" t="s">
        <v>225</v>
      </c>
      <c r="M3202" s="8">
        <v>360</v>
      </c>
      <c r="N3202" s="5">
        <v>460.71</v>
      </c>
      <c r="O3202" s="5">
        <v>165855.6</v>
      </c>
      <c r="P3202">
        <f t="shared" si="197"/>
        <v>1</v>
      </c>
      <c r="Q3202" s="36">
        <f t="shared" si="198"/>
        <v>165855.6</v>
      </c>
      <c r="R3202">
        <f t="shared" si="199"/>
        <v>2023</v>
      </c>
    </row>
    <row r="3203" spans="1:18" x14ac:dyDescent="0.2">
      <c r="A3203" s="13">
        <v>45406</v>
      </c>
      <c r="B3203" s="13">
        <v>45406</v>
      </c>
      <c r="C3203" s="25" t="s">
        <v>398</v>
      </c>
      <c r="D3203" s="20">
        <v>0</v>
      </c>
      <c r="E3203" s="28">
        <v>165855.6</v>
      </c>
      <c r="F3203" s="22" t="s">
        <v>304</v>
      </c>
      <c r="G3203" s="14">
        <v>360</v>
      </c>
      <c r="H3203" s="40">
        <v>45099</v>
      </c>
      <c r="I3203" s="46">
        <f t="shared" ref="I3203:I3213" si="200">IFERROR(A3203-H3203,"")*1</f>
        <v>307</v>
      </c>
      <c r="J3203" s="1" t="s">
        <v>15</v>
      </c>
      <c r="K3203" s="4" t="s">
        <v>200</v>
      </c>
      <c r="L3203" s="4" t="s">
        <v>225</v>
      </c>
      <c r="M3203" s="8">
        <v>360</v>
      </c>
      <c r="N3203" s="5">
        <v>460.71</v>
      </c>
      <c r="O3203" s="5">
        <v>165855.6</v>
      </c>
      <c r="P3203">
        <f t="shared" ref="P3203:P3213" si="201">IF(M3203=G3203,1,0)</f>
        <v>1</v>
      </c>
      <c r="Q3203" s="36">
        <f t="shared" ref="Q3203:Q3213" si="202">N3203*G3203</f>
        <v>165855.6</v>
      </c>
      <c r="R3203">
        <f t="shared" ref="R3203:R3213" si="203">YEAR(H3203)</f>
        <v>2023</v>
      </c>
    </row>
    <row r="3204" spans="1:18" x14ac:dyDescent="0.2">
      <c r="A3204" s="13">
        <v>45455</v>
      </c>
      <c r="B3204" s="13">
        <v>45455</v>
      </c>
      <c r="C3204" s="25" t="s">
        <v>398</v>
      </c>
      <c r="D3204" s="20">
        <v>0</v>
      </c>
      <c r="E3204" s="28">
        <v>165855.6</v>
      </c>
      <c r="F3204" s="22" t="s">
        <v>304</v>
      </c>
      <c r="G3204" s="14">
        <v>360</v>
      </c>
      <c r="H3204" s="40">
        <v>45099</v>
      </c>
      <c r="I3204" s="46">
        <f t="shared" si="200"/>
        <v>356</v>
      </c>
      <c r="J3204" s="1" t="s">
        <v>15</v>
      </c>
      <c r="K3204" s="4" t="s">
        <v>200</v>
      </c>
      <c r="L3204" s="4" t="s">
        <v>225</v>
      </c>
      <c r="M3204" s="8">
        <v>360</v>
      </c>
      <c r="N3204" s="5">
        <v>460.71</v>
      </c>
      <c r="O3204" s="5">
        <v>165855.6</v>
      </c>
      <c r="P3204">
        <f t="shared" si="201"/>
        <v>1</v>
      </c>
      <c r="Q3204" s="36">
        <f t="shared" si="202"/>
        <v>165855.6</v>
      </c>
      <c r="R3204">
        <f t="shared" si="203"/>
        <v>2023</v>
      </c>
    </row>
    <row r="3205" spans="1:18" x14ac:dyDescent="0.2">
      <c r="A3205" s="13">
        <v>45469</v>
      </c>
      <c r="B3205" s="13">
        <v>45469</v>
      </c>
      <c r="C3205" s="25" t="s">
        <v>398</v>
      </c>
      <c r="D3205" s="20">
        <v>0</v>
      </c>
      <c r="E3205" s="28">
        <v>165855.6</v>
      </c>
      <c r="F3205" s="22" t="s">
        <v>304</v>
      </c>
      <c r="G3205" s="14">
        <v>360</v>
      </c>
      <c r="H3205" s="40">
        <v>45099</v>
      </c>
      <c r="I3205" s="46">
        <f t="shared" si="200"/>
        <v>370</v>
      </c>
      <c r="J3205" s="1" t="s">
        <v>15</v>
      </c>
      <c r="K3205" s="4" t="s">
        <v>200</v>
      </c>
      <c r="L3205" s="4" t="s">
        <v>225</v>
      </c>
      <c r="M3205" s="8">
        <v>360</v>
      </c>
      <c r="N3205" s="5">
        <v>460.71</v>
      </c>
      <c r="O3205" s="5">
        <v>165855.6</v>
      </c>
      <c r="P3205">
        <f t="shared" si="201"/>
        <v>1</v>
      </c>
      <c r="Q3205" s="36">
        <f t="shared" si="202"/>
        <v>165855.6</v>
      </c>
      <c r="R3205">
        <f t="shared" si="203"/>
        <v>2023</v>
      </c>
    </row>
    <row r="3206" spans="1:18" x14ac:dyDescent="0.2">
      <c r="A3206" s="13">
        <v>45475</v>
      </c>
      <c r="B3206" s="13">
        <v>45475</v>
      </c>
      <c r="C3206" s="25" t="s">
        <v>398</v>
      </c>
      <c r="D3206" s="20">
        <v>0</v>
      </c>
      <c r="E3206" s="28">
        <v>49756.68</v>
      </c>
      <c r="F3206" s="22" t="s">
        <v>304</v>
      </c>
      <c r="G3206" s="14">
        <v>108</v>
      </c>
      <c r="H3206" s="40">
        <v>45099</v>
      </c>
      <c r="I3206" s="46">
        <f t="shared" si="200"/>
        <v>376</v>
      </c>
      <c r="J3206" s="1" t="s">
        <v>15</v>
      </c>
      <c r="K3206" s="4" t="s">
        <v>200</v>
      </c>
      <c r="L3206" s="4" t="s">
        <v>225</v>
      </c>
      <c r="M3206" s="8">
        <v>108</v>
      </c>
      <c r="N3206" s="5">
        <v>460.71</v>
      </c>
      <c r="O3206" s="5">
        <v>49756.68</v>
      </c>
      <c r="P3206">
        <f t="shared" si="201"/>
        <v>1</v>
      </c>
      <c r="Q3206" s="36">
        <f t="shared" si="202"/>
        <v>49756.68</v>
      </c>
      <c r="R3206">
        <f t="shared" si="203"/>
        <v>2023</v>
      </c>
    </row>
    <row r="3207" spans="1:18" x14ac:dyDescent="0.2">
      <c r="A3207" s="13">
        <v>45475</v>
      </c>
      <c r="B3207" s="13">
        <v>45475</v>
      </c>
      <c r="C3207" s="25" t="s">
        <v>398</v>
      </c>
      <c r="D3207" s="20">
        <v>0</v>
      </c>
      <c r="E3207" s="28">
        <v>49756.68</v>
      </c>
      <c r="F3207" s="22" t="s">
        <v>304</v>
      </c>
      <c r="G3207" s="14">
        <v>108</v>
      </c>
      <c r="H3207" s="40">
        <v>45099</v>
      </c>
      <c r="I3207" s="46">
        <f t="shared" si="200"/>
        <v>376</v>
      </c>
      <c r="J3207" s="1" t="s">
        <v>15</v>
      </c>
      <c r="K3207" s="4" t="s">
        <v>200</v>
      </c>
      <c r="L3207" s="4" t="s">
        <v>225</v>
      </c>
      <c r="M3207" s="8">
        <v>108</v>
      </c>
      <c r="N3207" s="5">
        <v>460.71</v>
      </c>
      <c r="O3207" s="5">
        <v>49756.68</v>
      </c>
      <c r="P3207">
        <f t="shared" si="201"/>
        <v>1</v>
      </c>
      <c r="Q3207" s="36">
        <f t="shared" si="202"/>
        <v>49756.68</v>
      </c>
      <c r="R3207">
        <f t="shared" si="203"/>
        <v>2023</v>
      </c>
    </row>
    <row r="3208" spans="1:18" x14ac:dyDescent="0.2">
      <c r="A3208" s="13">
        <v>45476</v>
      </c>
      <c r="B3208" s="13">
        <v>45476</v>
      </c>
      <c r="C3208" s="25" t="s">
        <v>398</v>
      </c>
      <c r="D3208" s="20">
        <v>0</v>
      </c>
      <c r="E3208" s="28">
        <v>49756.68</v>
      </c>
      <c r="F3208" s="22" t="s">
        <v>304</v>
      </c>
      <c r="G3208" s="14">
        <v>108</v>
      </c>
      <c r="H3208" s="40">
        <v>45099</v>
      </c>
      <c r="I3208" s="46">
        <f t="shared" si="200"/>
        <v>377</v>
      </c>
      <c r="J3208" s="1" t="s">
        <v>15</v>
      </c>
      <c r="K3208" s="4" t="s">
        <v>200</v>
      </c>
      <c r="L3208" s="4" t="s">
        <v>225</v>
      </c>
      <c r="M3208" s="8">
        <v>108</v>
      </c>
      <c r="N3208" s="5">
        <v>460.71</v>
      </c>
      <c r="O3208" s="5">
        <v>49756.68</v>
      </c>
      <c r="P3208">
        <f t="shared" si="201"/>
        <v>1</v>
      </c>
      <c r="Q3208" s="36">
        <f t="shared" si="202"/>
        <v>49756.68</v>
      </c>
      <c r="R3208">
        <f t="shared" si="203"/>
        <v>2023</v>
      </c>
    </row>
    <row r="3209" spans="1:18" x14ac:dyDescent="0.2">
      <c r="A3209" s="13">
        <v>45482</v>
      </c>
      <c r="B3209" s="13">
        <v>45482</v>
      </c>
      <c r="C3209" s="25" t="s">
        <v>398</v>
      </c>
      <c r="D3209" s="20">
        <v>0</v>
      </c>
      <c r="E3209" s="28">
        <v>165855.6</v>
      </c>
      <c r="F3209" s="22" t="s">
        <v>304</v>
      </c>
      <c r="G3209" s="14">
        <v>360</v>
      </c>
      <c r="H3209" s="40">
        <v>45140</v>
      </c>
      <c r="I3209" s="46">
        <f t="shared" si="200"/>
        <v>342</v>
      </c>
      <c r="J3209" s="1" t="s">
        <v>15</v>
      </c>
      <c r="K3209" s="4" t="s">
        <v>200</v>
      </c>
      <c r="L3209" s="4" t="s">
        <v>225</v>
      </c>
      <c r="M3209" s="8">
        <v>360</v>
      </c>
      <c r="N3209" s="5">
        <v>460.71</v>
      </c>
      <c r="O3209" s="5">
        <v>165855.6</v>
      </c>
      <c r="P3209">
        <f t="shared" si="201"/>
        <v>1</v>
      </c>
      <c r="Q3209" s="36">
        <f t="shared" si="202"/>
        <v>165855.6</v>
      </c>
      <c r="R3209">
        <f t="shared" si="203"/>
        <v>2023</v>
      </c>
    </row>
    <row r="3210" spans="1:18" x14ac:dyDescent="0.2">
      <c r="A3210" s="13">
        <v>45489</v>
      </c>
      <c r="B3210" s="13">
        <v>45489</v>
      </c>
      <c r="C3210" s="25" t="s">
        <v>398</v>
      </c>
      <c r="D3210" s="20">
        <v>0</v>
      </c>
      <c r="E3210" s="28">
        <v>165855.6</v>
      </c>
      <c r="F3210" s="22" t="s">
        <v>304</v>
      </c>
      <c r="G3210" s="14">
        <v>360</v>
      </c>
      <c r="H3210" s="40">
        <v>45140</v>
      </c>
      <c r="I3210" s="46">
        <f t="shared" si="200"/>
        <v>349</v>
      </c>
      <c r="J3210" s="1" t="s">
        <v>15</v>
      </c>
      <c r="K3210" s="4" t="s">
        <v>200</v>
      </c>
      <c r="L3210" s="4" t="s">
        <v>225</v>
      </c>
      <c r="M3210" s="8">
        <v>360</v>
      </c>
      <c r="N3210" s="5">
        <v>460.71</v>
      </c>
      <c r="O3210" s="5">
        <v>165855.6</v>
      </c>
      <c r="P3210">
        <f t="shared" si="201"/>
        <v>1</v>
      </c>
      <c r="Q3210" s="36">
        <f t="shared" si="202"/>
        <v>165855.6</v>
      </c>
      <c r="R3210">
        <f t="shared" si="203"/>
        <v>2023</v>
      </c>
    </row>
    <row r="3211" spans="1:18" x14ac:dyDescent="0.2">
      <c r="A3211" s="13">
        <v>45503</v>
      </c>
      <c r="B3211" s="13">
        <v>45503</v>
      </c>
      <c r="C3211" s="25" t="s">
        <v>398</v>
      </c>
      <c r="D3211" s="20">
        <v>0</v>
      </c>
      <c r="E3211" s="28">
        <v>165855.6</v>
      </c>
      <c r="F3211" s="22" t="s">
        <v>304</v>
      </c>
      <c r="G3211" s="14">
        <v>360</v>
      </c>
      <c r="H3211" s="40">
        <v>45140</v>
      </c>
      <c r="I3211" s="46">
        <f t="shared" si="200"/>
        <v>363</v>
      </c>
      <c r="J3211" s="1" t="s">
        <v>15</v>
      </c>
      <c r="K3211" s="4" t="s">
        <v>200</v>
      </c>
      <c r="L3211" s="4" t="s">
        <v>225</v>
      </c>
      <c r="M3211" s="8">
        <v>360</v>
      </c>
      <c r="N3211" s="5">
        <v>460.71</v>
      </c>
      <c r="O3211" s="5">
        <v>165855.6</v>
      </c>
      <c r="P3211">
        <f t="shared" si="201"/>
        <v>1</v>
      </c>
      <c r="Q3211" s="36">
        <f t="shared" si="202"/>
        <v>165855.6</v>
      </c>
      <c r="R3211">
        <f t="shared" si="203"/>
        <v>2023</v>
      </c>
    </row>
    <row r="3212" spans="1:18" x14ac:dyDescent="0.2">
      <c r="A3212" s="13">
        <v>45503</v>
      </c>
      <c r="B3212" s="13">
        <v>45503</v>
      </c>
      <c r="C3212" s="25" t="s">
        <v>398</v>
      </c>
      <c r="D3212" s="20">
        <v>0</v>
      </c>
      <c r="E3212" s="28">
        <v>165855.6</v>
      </c>
      <c r="F3212" s="22" t="s">
        <v>304</v>
      </c>
      <c r="G3212" s="14">
        <v>360</v>
      </c>
      <c r="H3212" s="40">
        <v>45140</v>
      </c>
      <c r="I3212" s="46">
        <f t="shared" si="200"/>
        <v>363</v>
      </c>
      <c r="J3212" s="1" t="s">
        <v>15</v>
      </c>
      <c r="K3212" s="4" t="s">
        <v>200</v>
      </c>
      <c r="L3212" s="4" t="s">
        <v>225</v>
      </c>
      <c r="M3212" s="8">
        <v>360</v>
      </c>
      <c r="N3212" s="5">
        <v>460.71</v>
      </c>
      <c r="O3212" s="5">
        <v>165855.6</v>
      </c>
      <c r="P3212">
        <f t="shared" si="201"/>
        <v>1</v>
      </c>
      <c r="Q3212" s="36">
        <f t="shared" si="202"/>
        <v>165855.6</v>
      </c>
      <c r="R3212">
        <f t="shared" si="203"/>
        <v>2023</v>
      </c>
    </row>
    <row r="3213" spans="1:18" x14ac:dyDescent="0.2">
      <c r="A3213" s="13">
        <v>45551</v>
      </c>
      <c r="B3213" s="13">
        <v>45531</v>
      </c>
      <c r="C3213" s="25" t="s">
        <v>399</v>
      </c>
      <c r="D3213" s="20">
        <v>20</v>
      </c>
      <c r="E3213" s="28">
        <v>149270.04</v>
      </c>
      <c r="F3213" s="22" t="s">
        <v>304</v>
      </c>
      <c r="G3213" s="14">
        <v>324</v>
      </c>
      <c r="H3213" s="40">
        <v>45155</v>
      </c>
      <c r="I3213" s="46">
        <f t="shared" si="200"/>
        <v>396</v>
      </c>
      <c r="J3213" s="1" t="s">
        <v>15</v>
      </c>
      <c r="K3213" s="4" t="s">
        <v>200</v>
      </c>
      <c r="L3213" s="4" t="s">
        <v>225</v>
      </c>
      <c r="M3213" s="8">
        <v>324</v>
      </c>
      <c r="N3213" s="5">
        <v>460.71</v>
      </c>
      <c r="O3213" s="5">
        <v>149270.04</v>
      </c>
      <c r="P3213">
        <f t="shared" si="201"/>
        <v>1</v>
      </c>
      <c r="Q3213" s="36">
        <f t="shared" si="202"/>
        <v>149270.03999999998</v>
      </c>
      <c r="R3213">
        <f t="shared" si="203"/>
        <v>2023</v>
      </c>
    </row>
  </sheetData>
  <autoFilter ref="A1:P3213" xr:uid="{76DAAB80-4E3E-43FD-8870-D860E922ABE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E9EB-83F6-B142-9A33-78A226857572}">
  <dimension ref="A1:E1048575"/>
  <sheetViews>
    <sheetView workbookViewId="0">
      <selection sqref="A1:XFD1048576"/>
    </sheetView>
  </sheetViews>
  <sheetFormatPr baseColWidth="10" defaultRowHeight="15" x14ac:dyDescent="0.2"/>
  <cols>
    <col min="1" max="1" width="23.1640625" customWidth="1"/>
    <col min="2" max="2" width="13.6640625" customWidth="1"/>
    <col min="3" max="3" width="19.1640625" style="48" customWidth="1"/>
    <col min="4" max="4" width="23.1640625" style="9" customWidth="1"/>
    <col min="5" max="5" width="22.1640625" style="9" customWidth="1"/>
  </cols>
  <sheetData>
    <row r="1" spans="1:5" x14ac:dyDescent="0.2">
      <c r="A1" t="s">
        <v>428</v>
      </c>
      <c r="B1" t="s">
        <v>433</v>
      </c>
      <c r="C1" s="48" t="s">
        <v>388</v>
      </c>
      <c r="D1" s="9" t="s">
        <v>431</v>
      </c>
      <c r="E1" s="9" t="s">
        <v>432</v>
      </c>
    </row>
    <row r="2" spans="1:5" x14ac:dyDescent="0.2">
      <c r="A2" t="s">
        <v>308</v>
      </c>
      <c r="B2">
        <v>1</v>
      </c>
      <c r="C2" s="48">
        <v>5360</v>
      </c>
      <c r="D2" s="9">
        <v>0</v>
      </c>
      <c r="E2" s="9">
        <v>0</v>
      </c>
    </row>
    <row r="3" spans="1:5" x14ac:dyDescent="0.2">
      <c r="A3" t="s">
        <v>307</v>
      </c>
      <c r="B3">
        <v>1</v>
      </c>
      <c r="C3" s="48">
        <v>35877</v>
      </c>
      <c r="D3" s="9">
        <v>0</v>
      </c>
      <c r="E3" s="9">
        <v>0</v>
      </c>
    </row>
    <row r="4" spans="1:5" x14ac:dyDescent="0.2">
      <c r="A4" t="s">
        <v>248</v>
      </c>
      <c r="B4">
        <v>59</v>
      </c>
      <c r="C4" s="48">
        <v>5807308.5</v>
      </c>
      <c r="D4" s="9">
        <v>72.052350440441018</v>
      </c>
      <c r="E4" s="9">
        <v>354.79210827400397</v>
      </c>
    </row>
    <row r="5" spans="1:5" x14ac:dyDescent="0.2">
      <c r="A5" t="s">
        <v>264</v>
      </c>
      <c r="B5">
        <v>1</v>
      </c>
      <c r="C5" s="48">
        <v>0</v>
      </c>
      <c r="D5" s="9">
        <v>0</v>
      </c>
      <c r="E5" s="9">
        <v>0</v>
      </c>
    </row>
    <row r="6" spans="1:5" x14ac:dyDescent="0.2">
      <c r="A6" t="s">
        <v>74</v>
      </c>
      <c r="B6">
        <v>26</v>
      </c>
      <c r="C6" s="48">
        <v>1074360</v>
      </c>
      <c r="D6" s="9">
        <v>223.50884683940032</v>
      </c>
      <c r="E6" s="9">
        <v>81.679486173325444</v>
      </c>
    </row>
    <row r="7" spans="1:5" x14ac:dyDescent="0.2">
      <c r="A7" t="s">
        <v>302</v>
      </c>
      <c r="B7">
        <v>15</v>
      </c>
      <c r="C7" s="48">
        <v>4280133.78</v>
      </c>
      <c r="D7" s="9">
        <v>151.12568090322188</v>
      </c>
      <c r="E7" s="9">
        <v>120.0334477194943</v>
      </c>
    </row>
    <row r="8" spans="1:5" x14ac:dyDescent="0.2">
      <c r="A8" t="s">
        <v>259</v>
      </c>
      <c r="B8">
        <v>6</v>
      </c>
      <c r="C8" s="48">
        <v>985224.87</v>
      </c>
      <c r="D8" s="9">
        <v>136.93063937629154</v>
      </c>
      <c r="E8" s="9">
        <v>1200.2499739637572</v>
      </c>
    </row>
    <row r="9" spans="1:5" x14ac:dyDescent="0.2">
      <c r="A9" t="s">
        <v>247</v>
      </c>
      <c r="B9">
        <v>34</v>
      </c>
      <c r="C9" s="48">
        <v>810792</v>
      </c>
      <c r="D9" s="9">
        <v>107.08680487844863</v>
      </c>
      <c r="E9" s="9">
        <v>145.23200444758905</v>
      </c>
    </row>
    <row r="10" spans="1:5" x14ac:dyDescent="0.2">
      <c r="A10" t="s">
        <v>268</v>
      </c>
      <c r="B10">
        <v>24</v>
      </c>
      <c r="C10" s="48">
        <v>1497984.6600000001</v>
      </c>
      <c r="D10" s="9">
        <v>128.32767727085908</v>
      </c>
      <c r="E10" s="9">
        <v>16.326325766793893</v>
      </c>
    </row>
    <row r="11" spans="1:5" x14ac:dyDescent="0.2">
      <c r="A11" t="s">
        <v>75</v>
      </c>
      <c r="B11">
        <v>3</v>
      </c>
      <c r="C11" s="48">
        <v>271738.32</v>
      </c>
      <c r="D11" s="9">
        <v>32.078029864690883</v>
      </c>
      <c r="E11" s="9">
        <v>0</v>
      </c>
    </row>
    <row r="12" spans="1:5" x14ac:dyDescent="0.2">
      <c r="A12" t="s">
        <v>324</v>
      </c>
      <c r="B12">
        <v>14</v>
      </c>
      <c r="C12" s="48">
        <v>7339422.7199999997</v>
      </c>
      <c r="D12" s="9">
        <v>0.26726100663830649</v>
      </c>
      <c r="E12" s="9">
        <v>67.840796180275078</v>
      </c>
    </row>
    <row r="13" spans="1:5" x14ac:dyDescent="0.2">
      <c r="A13" t="s">
        <v>51</v>
      </c>
      <c r="B13">
        <v>72</v>
      </c>
      <c r="C13" s="48">
        <v>0</v>
      </c>
      <c r="D13" s="9">
        <v>36.705844944812547</v>
      </c>
      <c r="E13" s="9">
        <v>24936.522192705474</v>
      </c>
    </row>
    <row r="14" spans="1:5" x14ac:dyDescent="0.2">
      <c r="A14" t="s">
        <v>317</v>
      </c>
      <c r="B14">
        <v>5</v>
      </c>
      <c r="C14" s="48">
        <v>140713.20000000001</v>
      </c>
      <c r="D14" s="9">
        <v>194.4985861126226</v>
      </c>
      <c r="E14" s="9">
        <v>73.942545263197431</v>
      </c>
    </row>
    <row r="15" spans="1:5" x14ac:dyDescent="0.2">
      <c r="A15" t="s">
        <v>312</v>
      </c>
      <c r="B15">
        <v>1</v>
      </c>
      <c r="C15" s="48">
        <v>3381</v>
      </c>
      <c r="D15" s="9">
        <v>0</v>
      </c>
      <c r="E15" s="9">
        <v>0</v>
      </c>
    </row>
    <row r="16" spans="1:5" x14ac:dyDescent="0.2">
      <c r="A16" t="s">
        <v>309</v>
      </c>
      <c r="B16">
        <v>10</v>
      </c>
      <c r="C16" s="48">
        <v>77220</v>
      </c>
      <c r="D16" s="9">
        <v>51.227596731021933</v>
      </c>
      <c r="E16" s="9">
        <v>1449.1376746189439</v>
      </c>
    </row>
    <row r="17" spans="1:5" x14ac:dyDescent="0.2">
      <c r="A17" t="s">
        <v>54</v>
      </c>
      <c r="B17">
        <v>73</v>
      </c>
      <c r="C17" s="48">
        <v>0</v>
      </c>
      <c r="D17" s="9">
        <v>43.24229108627059</v>
      </c>
      <c r="E17" s="9">
        <v>12438.99862445928</v>
      </c>
    </row>
    <row r="18" spans="1:5" x14ac:dyDescent="0.2">
      <c r="A18" t="s">
        <v>323</v>
      </c>
      <c r="B18">
        <v>9</v>
      </c>
      <c r="C18" s="48">
        <v>1226635.52</v>
      </c>
      <c r="D18" s="9">
        <v>125.07608795318077</v>
      </c>
      <c r="E18" s="9">
        <v>147.02985335562903</v>
      </c>
    </row>
    <row r="19" spans="1:5" x14ac:dyDescent="0.2">
      <c r="A19" t="s">
        <v>249</v>
      </c>
      <c r="B19">
        <v>5</v>
      </c>
      <c r="C19" s="48">
        <v>17455.2</v>
      </c>
      <c r="D19" s="9">
        <v>68.638181792711151</v>
      </c>
      <c r="E19" s="9">
        <v>0</v>
      </c>
    </row>
    <row r="20" spans="1:5" x14ac:dyDescent="0.2">
      <c r="A20" t="s">
        <v>257</v>
      </c>
      <c r="B20">
        <v>3</v>
      </c>
      <c r="C20" s="48">
        <v>271738.32</v>
      </c>
      <c r="D20" s="9">
        <v>32.078029864690883</v>
      </c>
      <c r="E20" s="9">
        <v>0</v>
      </c>
    </row>
    <row r="21" spans="1:5" x14ac:dyDescent="0.2">
      <c r="A21" t="s">
        <v>292</v>
      </c>
      <c r="B21">
        <v>4</v>
      </c>
      <c r="C21" s="48">
        <v>504417.76</v>
      </c>
      <c r="D21" s="9">
        <v>17.5</v>
      </c>
      <c r="E21" s="9">
        <v>1179.5501967558087</v>
      </c>
    </row>
    <row r="22" spans="1:5" x14ac:dyDescent="0.2">
      <c r="A22" t="s">
        <v>286</v>
      </c>
      <c r="B22">
        <v>1</v>
      </c>
      <c r="C22" s="48">
        <v>431751.6</v>
      </c>
      <c r="D22" s="9">
        <v>0</v>
      </c>
      <c r="E22" s="9">
        <v>0</v>
      </c>
    </row>
    <row r="23" spans="1:5" x14ac:dyDescent="0.2">
      <c r="A23" t="s">
        <v>319</v>
      </c>
      <c r="B23">
        <v>1</v>
      </c>
      <c r="C23" s="48">
        <v>28687.68</v>
      </c>
      <c r="D23" s="9">
        <v>0</v>
      </c>
      <c r="E23" s="9">
        <v>0</v>
      </c>
    </row>
    <row r="24" spans="1:5" x14ac:dyDescent="0.2">
      <c r="A24" t="s">
        <v>287</v>
      </c>
      <c r="B24">
        <v>1</v>
      </c>
      <c r="C24" s="48">
        <v>3011.4</v>
      </c>
      <c r="D24" s="9">
        <v>0</v>
      </c>
      <c r="E24" s="9">
        <v>0</v>
      </c>
    </row>
    <row r="25" spans="1:5" x14ac:dyDescent="0.2">
      <c r="A25" t="s">
        <v>269</v>
      </c>
      <c r="B25">
        <v>1</v>
      </c>
      <c r="C25" s="48">
        <v>0</v>
      </c>
      <c r="D25" s="9">
        <v>0</v>
      </c>
      <c r="E25" s="9">
        <v>0</v>
      </c>
    </row>
    <row r="26" spans="1:5" x14ac:dyDescent="0.2">
      <c r="A26" t="s">
        <v>283</v>
      </c>
      <c r="B26">
        <v>2</v>
      </c>
      <c r="C26" s="48">
        <v>70642.600000000006</v>
      </c>
      <c r="D26" s="9">
        <v>0</v>
      </c>
      <c r="E26" s="9">
        <v>0</v>
      </c>
    </row>
    <row r="27" spans="1:5" x14ac:dyDescent="0.2">
      <c r="A27" t="s">
        <v>272</v>
      </c>
      <c r="B27">
        <v>1</v>
      </c>
      <c r="C27" s="48">
        <v>2132</v>
      </c>
      <c r="D27" s="9">
        <v>0</v>
      </c>
      <c r="E27" s="9">
        <v>0</v>
      </c>
    </row>
    <row r="28" spans="1:5" x14ac:dyDescent="0.2">
      <c r="A28" t="s">
        <v>284</v>
      </c>
      <c r="B28">
        <v>8</v>
      </c>
      <c r="C28" s="48">
        <v>197980.80000000002</v>
      </c>
      <c r="D28" s="9">
        <v>158.24551449296393</v>
      </c>
      <c r="E28" s="9">
        <v>0</v>
      </c>
    </row>
    <row r="29" spans="1:5" x14ac:dyDescent="0.2">
      <c r="A29" t="s">
        <v>279</v>
      </c>
      <c r="B29">
        <v>2</v>
      </c>
      <c r="C29" s="48">
        <v>114880.08</v>
      </c>
      <c r="D29" s="9">
        <v>57.982756057296896</v>
      </c>
      <c r="E29" s="9">
        <v>0</v>
      </c>
    </row>
    <row r="30" spans="1:5" x14ac:dyDescent="0.2">
      <c r="A30" t="s">
        <v>258</v>
      </c>
      <c r="B30">
        <v>80</v>
      </c>
      <c r="C30" s="48">
        <v>3846557.400000005</v>
      </c>
      <c r="D30" s="9">
        <v>50.982194706197873</v>
      </c>
      <c r="E30" s="9">
        <v>39.131189606246316</v>
      </c>
    </row>
    <row r="31" spans="1:5" x14ac:dyDescent="0.2">
      <c r="A31" t="s">
        <v>305</v>
      </c>
      <c r="B31">
        <v>6</v>
      </c>
      <c r="C31" s="48">
        <v>328203.36</v>
      </c>
      <c r="D31" s="9">
        <v>131.65624431371958</v>
      </c>
      <c r="E31" s="9">
        <v>34.991427521608777</v>
      </c>
    </row>
    <row r="32" spans="1:5" x14ac:dyDescent="0.2">
      <c r="A32" t="s">
        <v>315</v>
      </c>
      <c r="B32">
        <v>12</v>
      </c>
      <c r="C32" s="48">
        <v>262315.8</v>
      </c>
      <c r="D32" s="9">
        <v>57.481749410287719</v>
      </c>
      <c r="E32" s="9">
        <v>269.59059870309073</v>
      </c>
    </row>
    <row r="33" spans="1:5" x14ac:dyDescent="0.2">
      <c r="A33" t="s">
        <v>325</v>
      </c>
      <c r="B33">
        <v>1</v>
      </c>
      <c r="C33" s="48">
        <v>10786.8</v>
      </c>
      <c r="D33" s="9">
        <v>0</v>
      </c>
      <c r="E33" s="9">
        <v>0</v>
      </c>
    </row>
    <row r="34" spans="1:5" x14ac:dyDescent="0.2">
      <c r="A34" t="s">
        <v>112</v>
      </c>
      <c r="B34">
        <v>5</v>
      </c>
      <c r="C34" s="48">
        <v>22370.760000000002</v>
      </c>
      <c r="D34" s="9">
        <v>109.77385845542068</v>
      </c>
      <c r="E34" s="9">
        <v>11618.840355216178</v>
      </c>
    </row>
    <row r="35" spans="1:5" x14ac:dyDescent="0.2">
      <c r="A35" t="s">
        <v>117</v>
      </c>
      <c r="B35">
        <v>2</v>
      </c>
      <c r="C35" s="48">
        <v>136026.75</v>
      </c>
      <c r="D35" s="9">
        <v>104.65180361560904</v>
      </c>
      <c r="E35" s="9">
        <v>54.447222151364159</v>
      </c>
    </row>
    <row r="36" spans="1:5" x14ac:dyDescent="0.2">
      <c r="A36" t="s">
        <v>122</v>
      </c>
      <c r="B36">
        <v>92</v>
      </c>
      <c r="C36" s="48">
        <v>6178531.5599999959</v>
      </c>
      <c r="D36" s="9">
        <v>85.804250048662112</v>
      </c>
      <c r="E36" s="9">
        <v>5278.3544198688178</v>
      </c>
    </row>
    <row r="37" spans="1:5" x14ac:dyDescent="0.2">
      <c r="A37" t="s">
        <v>128</v>
      </c>
      <c r="B37">
        <v>3</v>
      </c>
      <c r="C37" s="48">
        <v>98238</v>
      </c>
      <c r="D37" s="9">
        <v>0</v>
      </c>
      <c r="E37" s="9">
        <v>138.5640646055102</v>
      </c>
    </row>
    <row r="38" spans="1:5" x14ac:dyDescent="0.2">
      <c r="A38" t="s">
        <v>131</v>
      </c>
      <c r="B38">
        <v>2</v>
      </c>
      <c r="C38" s="48">
        <v>6138</v>
      </c>
      <c r="D38" s="9">
        <v>48.083261120685229</v>
      </c>
      <c r="E38" s="9">
        <v>42.426406871192853</v>
      </c>
    </row>
    <row r="39" spans="1:5" x14ac:dyDescent="0.2">
      <c r="A39" t="s">
        <v>133</v>
      </c>
      <c r="B39">
        <v>12</v>
      </c>
      <c r="C39" s="48">
        <v>262315.8</v>
      </c>
      <c r="D39" s="9">
        <v>57.481749410287719</v>
      </c>
      <c r="E39" s="9">
        <v>269.59059870309073</v>
      </c>
    </row>
    <row r="40" spans="1:5" x14ac:dyDescent="0.2">
      <c r="A40" t="s">
        <v>139</v>
      </c>
      <c r="B40">
        <v>3</v>
      </c>
      <c r="C40" s="48">
        <v>29460.54</v>
      </c>
      <c r="D40" s="9">
        <v>34.641016151377549</v>
      </c>
      <c r="E40" s="9">
        <v>144.33756729740642</v>
      </c>
    </row>
    <row r="41" spans="1:5" x14ac:dyDescent="0.2">
      <c r="A41" t="s">
        <v>80</v>
      </c>
      <c r="B41">
        <v>3</v>
      </c>
      <c r="C41" s="48">
        <v>5895</v>
      </c>
      <c r="D41" s="9">
        <v>64.085879880048466</v>
      </c>
      <c r="E41" s="9">
        <v>866.02540378443859</v>
      </c>
    </row>
    <row r="42" spans="1:5" x14ac:dyDescent="0.2">
      <c r="A42" t="s">
        <v>86</v>
      </c>
      <c r="B42">
        <v>24</v>
      </c>
      <c r="C42" s="48">
        <v>1497984.6600000001</v>
      </c>
      <c r="D42" s="9">
        <v>128.32767727085908</v>
      </c>
      <c r="E42" s="9">
        <v>16.326325766793893</v>
      </c>
    </row>
    <row r="43" spans="1:5" x14ac:dyDescent="0.2">
      <c r="A43" t="s">
        <v>92</v>
      </c>
      <c r="B43">
        <v>1</v>
      </c>
      <c r="C43" s="48">
        <v>3285.6</v>
      </c>
      <c r="D43" s="9">
        <v>0</v>
      </c>
      <c r="E43" s="9">
        <v>0</v>
      </c>
    </row>
    <row r="44" spans="1:5" x14ac:dyDescent="0.2">
      <c r="A44" t="s">
        <v>95</v>
      </c>
      <c r="B44">
        <v>1</v>
      </c>
      <c r="C44" s="48">
        <v>507888.56</v>
      </c>
      <c r="D44" s="9">
        <v>0</v>
      </c>
      <c r="E44" s="9">
        <v>0</v>
      </c>
    </row>
    <row r="45" spans="1:5" x14ac:dyDescent="0.2">
      <c r="A45" t="s">
        <v>96</v>
      </c>
      <c r="B45">
        <v>7</v>
      </c>
      <c r="C45" s="48">
        <v>46265.310000000005</v>
      </c>
      <c r="D45" s="9">
        <v>50.969645495629798</v>
      </c>
      <c r="E45" s="9">
        <v>0</v>
      </c>
    </row>
    <row r="46" spans="1:5" x14ac:dyDescent="0.2">
      <c r="A46" t="s">
        <v>97</v>
      </c>
      <c r="B46">
        <v>2</v>
      </c>
      <c r="C46" s="48">
        <v>114880.08</v>
      </c>
      <c r="D46" s="9">
        <v>57.982756057296896</v>
      </c>
      <c r="E46" s="9">
        <v>0</v>
      </c>
    </row>
    <row r="47" spans="1:5" x14ac:dyDescent="0.2">
      <c r="A47" t="s">
        <v>101</v>
      </c>
      <c r="B47">
        <v>2</v>
      </c>
      <c r="C47" s="48">
        <v>70642.600000000006</v>
      </c>
      <c r="D47" s="9">
        <v>0</v>
      </c>
      <c r="E47" s="9">
        <v>0</v>
      </c>
    </row>
    <row r="48" spans="1:5" x14ac:dyDescent="0.2">
      <c r="A48" t="s">
        <v>103</v>
      </c>
      <c r="B48">
        <v>9</v>
      </c>
      <c r="C48" s="48">
        <v>146578.81000000003</v>
      </c>
      <c r="D48" s="9">
        <v>118.16196511568349</v>
      </c>
      <c r="E48" s="9">
        <v>51.666666666666671</v>
      </c>
    </row>
    <row r="49" spans="1:5" x14ac:dyDescent="0.2">
      <c r="A49" t="s">
        <v>106</v>
      </c>
      <c r="B49">
        <v>6</v>
      </c>
      <c r="C49" s="48">
        <v>1075110</v>
      </c>
      <c r="D49" s="9">
        <v>85.939513612773027</v>
      </c>
      <c r="E49" s="9">
        <v>29.65805118344764</v>
      </c>
    </row>
    <row r="50" spans="1:5" x14ac:dyDescent="0.2">
      <c r="A50" t="s">
        <v>109</v>
      </c>
      <c r="B50">
        <v>1</v>
      </c>
      <c r="C50" s="48">
        <v>69350.399999999994</v>
      </c>
      <c r="D50" s="9">
        <v>0</v>
      </c>
      <c r="E50" s="9">
        <v>0</v>
      </c>
    </row>
    <row r="51" spans="1:5" x14ac:dyDescent="0.2">
      <c r="A51" t="s">
        <v>56</v>
      </c>
      <c r="B51">
        <v>2</v>
      </c>
      <c r="C51" s="48">
        <v>3880</v>
      </c>
      <c r="D51" s="9">
        <v>98.994949366116657</v>
      </c>
      <c r="E51" s="9">
        <v>707.10678118654755</v>
      </c>
    </row>
    <row r="52" spans="1:5" x14ac:dyDescent="0.2">
      <c r="A52" t="s">
        <v>267</v>
      </c>
      <c r="B52">
        <v>112</v>
      </c>
      <c r="C52" s="48">
        <v>7780632.7500000279</v>
      </c>
      <c r="D52" s="9">
        <v>72.900257575537594</v>
      </c>
      <c r="E52" s="9">
        <v>155.26638275524942</v>
      </c>
    </row>
    <row r="53" spans="1:5" x14ac:dyDescent="0.2">
      <c r="A53" t="s">
        <v>252</v>
      </c>
      <c r="B53">
        <v>13</v>
      </c>
      <c r="C53" s="48">
        <v>680971.2</v>
      </c>
      <c r="D53" s="9">
        <v>121.54707856542716</v>
      </c>
      <c r="E53" s="9">
        <v>0</v>
      </c>
    </row>
    <row r="54" spans="1:5" x14ac:dyDescent="0.2">
      <c r="A54" t="s">
        <v>316</v>
      </c>
      <c r="B54">
        <v>1</v>
      </c>
      <c r="C54" s="48">
        <v>81001.600000000006</v>
      </c>
      <c r="D54" s="9">
        <v>0</v>
      </c>
      <c r="E54" s="9">
        <v>0</v>
      </c>
    </row>
    <row r="55" spans="1:5" x14ac:dyDescent="0.2">
      <c r="A55" t="s">
        <v>306</v>
      </c>
      <c r="B55">
        <v>17</v>
      </c>
      <c r="C55" s="48">
        <v>65802.8</v>
      </c>
      <c r="D55" s="9">
        <v>114.64536110800782</v>
      </c>
      <c r="E55" s="9">
        <v>78.171474412119835</v>
      </c>
    </row>
    <row r="56" spans="1:5" x14ac:dyDescent="0.2">
      <c r="A56" t="s">
        <v>294</v>
      </c>
      <c r="B56">
        <v>5</v>
      </c>
      <c r="C56" s="48">
        <v>22370.760000000002</v>
      </c>
      <c r="D56" s="9">
        <v>109.77385845542068</v>
      </c>
      <c r="E56" s="9">
        <v>11618.840355216178</v>
      </c>
    </row>
    <row r="57" spans="1:5" x14ac:dyDescent="0.2">
      <c r="A57" t="s">
        <v>265</v>
      </c>
      <c r="B57">
        <v>101</v>
      </c>
      <c r="C57" s="48">
        <v>8269212.6000000229</v>
      </c>
      <c r="D57" s="9">
        <v>116.14881713895463</v>
      </c>
      <c r="E57" s="9">
        <v>103.07845709376758</v>
      </c>
    </row>
    <row r="58" spans="1:5" x14ac:dyDescent="0.2">
      <c r="A58" t="s">
        <v>318</v>
      </c>
      <c r="B58">
        <v>10</v>
      </c>
      <c r="C58" s="48">
        <v>320892.00000000006</v>
      </c>
      <c r="D58" s="9">
        <v>282.79880952130378</v>
      </c>
      <c r="E58" s="9">
        <v>0</v>
      </c>
    </row>
    <row r="59" spans="1:5" x14ac:dyDescent="0.2">
      <c r="A59" t="s">
        <v>299</v>
      </c>
      <c r="B59">
        <v>2</v>
      </c>
      <c r="C59" s="48">
        <v>136026.75</v>
      </c>
      <c r="D59" s="9">
        <v>104.65180361560904</v>
      </c>
      <c r="E59" s="9">
        <v>54.447222151364159</v>
      </c>
    </row>
    <row r="60" spans="1:5" x14ac:dyDescent="0.2">
      <c r="A60" t="s">
        <v>298</v>
      </c>
      <c r="B60">
        <v>1</v>
      </c>
      <c r="C60" s="48">
        <v>73402.559999999998</v>
      </c>
      <c r="D60" s="9">
        <v>0</v>
      </c>
      <c r="E60" s="9">
        <v>0</v>
      </c>
    </row>
    <row r="61" spans="1:5" x14ac:dyDescent="0.2">
      <c r="A61" t="s">
        <v>241</v>
      </c>
      <c r="B61">
        <v>5</v>
      </c>
      <c r="C61" s="48">
        <v>163674</v>
      </c>
      <c r="D61" s="9">
        <v>41.087711055853006</v>
      </c>
      <c r="E61" s="9">
        <v>0</v>
      </c>
    </row>
    <row r="62" spans="1:5" x14ac:dyDescent="0.2">
      <c r="A62" t="s">
        <v>270</v>
      </c>
      <c r="B62">
        <v>140</v>
      </c>
      <c r="C62" s="48">
        <v>6933031.7099999925</v>
      </c>
      <c r="D62" s="9">
        <v>16.135173796068955</v>
      </c>
      <c r="E62" s="9">
        <v>2.2787615864618704</v>
      </c>
    </row>
    <row r="63" spans="1:5" x14ac:dyDescent="0.2">
      <c r="A63" t="s">
        <v>250</v>
      </c>
      <c r="B63">
        <v>19</v>
      </c>
      <c r="C63" s="48">
        <v>86795.799999999988</v>
      </c>
      <c r="D63" s="9">
        <v>174.95125469760731</v>
      </c>
      <c r="E63" s="9">
        <v>1147.6984342179931</v>
      </c>
    </row>
    <row r="64" spans="1:5" x14ac:dyDescent="0.2">
      <c r="A64" t="s">
        <v>253</v>
      </c>
      <c r="B64">
        <v>2</v>
      </c>
      <c r="C64" s="48">
        <v>333925.2</v>
      </c>
      <c r="D64" s="9">
        <v>181.7264427649427</v>
      </c>
      <c r="E64" s="9">
        <v>0</v>
      </c>
    </row>
    <row r="65" spans="1:5" x14ac:dyDescent="0.2">
      <c r="A65" t="s">
        <v>310</v>
      </c>
      <c r="B65">
        <v>3</v>
      </c>
      <c r="C65" s="48">
        <v>98238</v>
      </c>
      <c r="D65" s="9">
        <v>0</v>
      </c>
      <c r="E65" s="9">
        <v>138.5640646055102</v>
      </c>
    </row>
    <row r="66" spans="1:5" x14ac:dyDescent="0.2">
      <c r="A66" t="s">
        <v>303</v>
      </c>
      <c r="B66">
        <v>78</v>
      </c>
      <c r="C66" s="48">
        <v>5866748.9999999944</v>
      </c>
      <c r="D66" s="9">
        <v>57.933700781343369</v>
      </c>
      <c r="E66" s="9">
        <v>441.52341565700294</v>
      </c>
    </row>
    <row r="67" spans="1:5" x14ac:dyDescent="0.2">
      <c r="A67" t="s">
        <v>277</v>
      </c>
      <c r="B67">
        <v>1</v>
      </c>
      <c r="C67" s="48">
        <v>507888.56</v>
      </c>
      <c r="D67" s="9">
        <v>0</v>
      </c>
      <c r="E67" s="9">
        <v>0</v>
      </c>
    </row>
    <row r="68" spans="1:5" x14ac:dyDescent="0.2">
      <c r="A68" t="s">
        <v>242</v>
      </c>
      <c r="B68">
        <v>2</v>
      </c>
      <c r="C68" s="48">
        <v>133449.12</v>
      </c>
      <c r="D68" s="9">
        <v>98.287842584930104</v>
      </c>
      <c r="E68" s="9">
        <v>0</v>
      </c>
    </row>
    <row r="69" spans="1:5" x14ac:dyDescent="0.2">
      <c r="A69" t="s">
        <v>243</v>
      </c>
      <c r="B69">
        <v>9</v>
      </c>
      <c r="C69" s="48">
        <v>172851.84</v>
      </c>
      <c r="D69" s="9">
        <v>166.54428840401582</v>
      </c>
      <c r="E69" s="9">
        <v>168</v>
      </c>
    </row>
    <row r="70" spans="1:5" x14ac:dyDescent="0.2">
      <c r="A70" t="s">
        <v>261</v>
      </c>
      <c r="B70">
        <v>4</v>
      </c>
      <c r="C70" s="48">
        <v>10980</v>
      </c>
      <c r="D70" s="9">
        <v>122.90206127916109</v>
      </c>
      <c r="E70" s="9">
        <v>750</v>
      </c>
    </row>
    <row r="71" spans="1:5" x14ac:dyDescent="0.2">
      <c r="A71" t="s">
        <v>239</v>
      </c>
      <c r="B71">
        <v>1</v>
      </c>
      <c r="C71" s="48">
        <v>0</v>
      </c>
      <c r="D71" s="9">
        <v>0</v>
      </c>
      <c r="E71" s="9">
        <v>0</v>
      </c>
    </row>
    <row r="72" spans="1:5" x14ac:dyDescent="0.2">
      <c r="A72" t="s">
        <v>300</v>
      </c>
      <c r="B72">
        <v>54</v>
      </c>
      <c r="C72" s="48">
        <v>337270.49999999994</v>
      </c>
      <c r="D72" s="9">
        <v>53.191271095497591</v>
      </c>
      <c r="E72" s="9">
        <v>25.839855131318892</v>
      </c>
    </row>
    <row r="73" spans="1:5" x14ac:dyDescent="0.2">
      <c r="A73" t="s">
        <v>321</v>
      </c>
      <c r="B73">
        <v>3</v>
      </c>
      <c r="C73" s="48">
        <v>29460.54</v>
      </c>
      <c r="D73" s="9">
        <v>34.641016151377549</v>
      </c>
      <c r="E73" s="9">
        <v>144.33756729740642</v>
      </c>
    </row>
    <row r="74" spans="1:5" x14ac:dyDescent="0.2">
      <c r="A74" t="s">
        <v>70</v>
      </c>
      <c r="B74">
        <v>13</v>
      </c>
      <c r="C74" s="48">
        <v>680971.2</v>
      </c>
      <c r="D74" s="9">
        <v>121.54707856542716</v>
      </c>
      <c r="E74" s="9">
        <v>0</v>
      </c>
    </row>
    <row r="75" spans="1:5" x14ac:dyDescent="0.2">
      <c r="A75" t="s">
        <v>68</v>
      </c>
      <c r="B75">
        <v>19</v>
      </c>
      <c r="C75" s="48">
        <v>86795.799999999988</v>
      </c>
      <c r="D75" s="9">
        <v>174.95125469760731</v>
      </c>
      <c r="E75" s="9">
        <v>1147.6984342179931</v>
      </c>
    </row>
    <row r="76" spans="1:5" x14ac:dyDescent="0.2">
      <c r="A76" t="s">
        <v>69</v>
      </c>
      <c r="B76">
        <v>2</v>
      </c>
      <c r="C76" s="48">
        <v>0</v>
      </c>
      <c r="D76" s="9">
        <v>0</v>
      </c>
      <c r="E76" s="9">
        <v>0</v>
      </c>
    </row>
    <row r="77" spans="1:5" x14ac:dyDescent="0.2">
      <c r="A77" t="s">
        <v>72</v>
      </c>
      <c r="B77">
        <v>19</v>
      </c>
      <c r="C77" s="48">
        <v>813850.7999999997</v>
      </c>
      <c r="D77" s="9">
        <v>179.46349544878635</v>
      </c>
      <c r="E77" s="9">
        <v>157.34641634572458</v>
      </c>
    </row>
    <row r="78" spans="1:5" x14ac:dyDescent="0.2">
      <c r="A78" t="s">
        <v>322</v>
      </c>
      <c r="B78">
        <v>6</v>
      </c>
      <c r="C78" s="48">
        <v>72718.8</v>
      </c>
      <c r="D78" s="9">
        <v>105.85965551990911</v>
      </c>
      <c r="E78" s="9">
        <v>171.46428199482247</v>
      </c>
    </row>
    <row r="79" spans="1:5" x14ac:dyDescent="0.2">
      <c r="A79" t="s">
        <v>71</v>
      </c>
      <c r="B79">
        <v>2</v>
      </c>
      <c r="C79" s="48">
        <v>333925.2</v>
      </c>
      <c r="D79" s="9">
        <v>181.7264427649427</v>
      </c>
      <c r="E79" s="9">
        <v>0</v>
      </c>
    </row>
    <row r="80" spans="1:5" x14ac:dyDescent="0.2">
      <c r="A80" t="s">
        <v>233</v>
      </c>
      <c r="B80">
        <v>72</v>
      </c>
      <c r="C80" s="48">
        <v>0</v>
      </c>
      <c r="D80" s="9">
        <v>36.705844944812547</v>
      </c>
      <c r="E80" s="9">
        <v>24936.522192705474</v>
      </c>
    </row>
    <row r="81" spans="1:5" x14ac:dyDescent="0.2">
      <c r="A81" t="s">
        <v>271</v>
      </c>
      <c r="B81">
        <v>2</v>
      </c>
      <c r="C81" s="48">
        <v>536991</v>
      </c>
      <c r="D81" s="9">
        <v>204.35385976291224</v>
      </c>
      <c r="E81" s="9">
        <v>197.98989873223331</v>
      </c>
    </row>
    <row r="82" spans="1:5" x14ac:dyDescent="0.2">
      <c r="A82" t="s">
        <v>290</v>
      </c>
      <c r="B82">
        <v>68</v>
      </c>
      <c r="C82" s="48">
        <v>7899996.6500000004</v>
      </c>
      <c r="D82" s="9">
        <v>98.588528646787282</v>
      </c>
      <c r="E82" s="9">
        <v>95.954109742473179</v>
      </c>
    </row>
    <row r="83" spans="1:5" x14ac:dyDescent="0.2">
      <c r="A83" t="s">
        <v>275</v>
      </c>
      <c r="B83">
        <v>2</v>
      </c>
      <c r="C83" s="48">
        <v>2986222.98</v>
      </c>
      <c r="D83" s="9">
        <v>0</v>
      </c>
      <c r="E83" s="9">
        <v>105320.01952383033</v>
      </c>
    </row>
    <row r="84" spans="1:5" x14ac:dyDescent="0.2">
      <c r="A84" t="s">
        <v>274</v>
      </c>
      <c r="B84">
        <v>1</v>
      </c>
      <c r="C84" s="48">
        <v>3285.6</v>
      </c>
      <c r="D84" s="9">
        <v>0</v>
      </c>
      <c r="E84" s="9">
        <v>0</v>
      </c>
    </row>
    <row r="85" spans="1:5" x14ac:dyDescent="0.2">
      <c r="A85" t="s">
        <v>236</v>
      </c>
      <c r="B85">
        <v>73</v>
      </c>
      <c r="C85" s="48">
        <v>0</v>
      </c>
      <c r="D85" s="9">
        <v>43.24229108627059</v>
      </c>
      <c r="E85" s="9">
        <v>12438.99862445928</v>
      </c>
    </row>
    <row r="86" spans="1:5" x14ac:dyDescent="0.2">
      <c r="A86" t="s">
        <v>255</v>
      </c>
      <c r="B86">
        <v>8</v>
      </c>
      <c r="C86" s="48">
        <v>360242.40000000008</v>
      </c>
      <c r="D86" s="9">
        <v>63.511528762219903</v>
      </c>
      <c r="E86" s="9">
        <v>114.94563932572649</v>
      </c>
    </row>
    <row r="87" spans="1:5" x14ac:dyDescent="0.2">
      <c r="A87" t="s">
        <v>301</v>
      </c>
      <c r="B87">
        <v>12</v>
      </c>
      <c r="C87" s="48">
        <v>178466.74999999997</v>
      </c>
      <c r="D87" s="9">
        <v>71.165779570086784</v>
      </c>
      <c r="E87" s="9">
        <v>248.39904052418024</v>
      </c>
    </row>
    <row r="88" spans="1:5" x14ac:dyDescent="0.2">
      <c r="A88" t="s">
        <v>293</v>
      </c>
      <c r="B88">
        <v>3</v>
      </c>
      <c r="C88" s="48">
        <v>32076.799999999999</v>
      </c>
      <c r="D88" s="9">
        <v>39.51371070264446</v>
      </c>
      <c r="E88" s="9">
        <v>646.63230149238098</v>
      </c>
    </row>
    <row r="89" spans="1:5" x14ac:dyDescent="0.2">
      <c r="A89" t="s">
        <v>295</v>
      </c>
      <c r="B89">
        <v>30</v>
      </c>
      <c r="C89" s="48">
        <v>1609617.5999999987</v>
      </c>
      <c r="D89" s="9">
        <v>93.309052671485532</v>
      </c>
      <c r="E89" s="9">
        <v>50.459953394268254</v>
      </c>
    </row>
    <row r="90" spans="1:5" x14ac:dyDescent="0.2">
      <c r="A90" t="s">
        <v>281</v>
      </c>
      <c r="B90">
        <v>5</v>
      </c>
      <c r="C90" s="48">
        <v>12923.8</v>
      </c>
      <c r="D90" s="9">
        <v>83.667197872339827</v>
      </c>
      <c r="E90" s="9">
        <v>124.86592809890135</v>
      </c>
    </row>
    <row r="91" spans="1:5" x14ac:dyDescent="0.2">
      <c r="A91" t="s">
        <v>262</v>
      </c>
      <c r="B91">
        <v>3</v>
      </c>
      <c r="C91" s="48">
        <v>5895</v>
      </c>
      <c r="D91" s="9">
        <v>64.085879880048466</v>
      </c>
      <c r="E91" s="9">
        <v>866.02540378443859</v>
      </c>
    </row>
    <row r="92" spans="1:5" x14ac:dyDescent="0.2">
      <c r="A92" t="s">
        <v>256</v>
      </c>
      <c r="B92">
        <v>26</v>
      </c>
      <c r="C92" s="48">
        <v>1074360</v>
      </c>
      <c r="D92" s="9">
        <v>223.50884683940032</v>
      </c>
      <c r="E92" s="9">
        <v>81.679486173325444</v>
      </c>
    </row>
    <row r="93" spans="1:5" x14ac:dyDescent="0.2">
      <c r="A93" t="s">
        <v>65</v>
      </c>
      <c r="B93">
        <v>34</v>
      </c>
      <c r="C93" s="48">
        <v>810792</v>
      </c>
      <c r="D93" s="9">
        <v>107.08680487844863</v>
      </c>
      <c r="E93" s="9">
        <v>145.23200444758905</v>
      </c>
    </row>
    <row r="94" spans="1:5" x14ac:dyDescent="0.2">
      <c r="A94" t="s">
        <v>58</v>
      </c>
      <c r="B94">
        <v>15</v>
      </c>
      <c r="C94" s="48">
        <v>1298044.7999999998</v>
      </c>
      <c r="D94" s="9">
        <v>132.5553613008409</v>
      </c>
      <c r="E94" s="9">
        <v>212.8852809781429</v>
      </c>
    </row>
    <row r="95" spans="1:5" x14ac:dyDescent="0.2">
      <c r="A95" t="s">
        <v>53</v>
      </c>
      <c r="B95">
        <v>73</v>
      </c>
      <c r="C95" s="48">
        <v>0</v>
      </c>
      <c r="D95" s="9">
        <v>40.913401139959262</v>
      </c>
      <c r="E95" s="9">
        <v>12438.492482524698</v>
      </c>
    </row>
    <row r="96" spans="1:5" x14ac:dyDescent="0.2">
      <c r="A96" t="s">
        <v>297</v>
      </c>
      <c r="B96">
        <v>15</v>
      </c>
      <c r="C96" s="48">
        <v>321108.47999999998</v>
      </c>
      <c r="D96" s="9">
        <v>95.491560335512148</v>
      </c>
      <c r="E96" s="9">
        <v>13037.650550836002</v>
      </c>
    </row>
    <row r="97" spans="1:5" x14ac:dyDescent="0.2">
      <c r="A97" t="s">
        <v>57</v>
      </c>
      <c r="B97">
        <v>1</v>
      </c>
      <c r="C97" s="48">
        <v>0</v>
      </c>
      <c r="D97" s="9">
        <v>0</v>
      </c>
      <c r="E97" s="9">
        <v>0</v>
      </c>
    </row>
    <row r="98" spans="1:5" x14ac:dyDescent="0.2">
      <c r="A98" t="s">
        <v>55</v>
      </c>
      <c r="B98">
        <v>34</v>
      </c>
      <c r="C98" s="48">
        <v>1351896.4800000007</v>
      </c>
      <c r="D98" s="9">
        <v>67.757589309913541</v>
      </c>
      <c r="E98" s="9">
        <v>252.23365790833344</v>
      </c>
    </row>
    <row r="99" spans="1:5" x14ac:dyDescent="0.2">
      <c r="A99" t="s">
        <v>85</v>
      </c>
      <c r="B99">
        <v>112</v>
      </c>
      <c r="C99" s="48">
        <v>7780632.7500000279</v>
      </c>
      <c r="D99" s="9">
        <v>72.900257575537594</v>
      </c>
      <c r="E99" s="9">
        <v>155.26638275524942</v>
      </c>
    </row>
    <row r="100" spans="1:5" x14ac:dyDescent="0.2">
      <c r="A100" t="s">
        <v>115</v>
      </c>
      <c r="B100">
        <v>15</v>
      </c>
      <c r="C100" s="48">
        <v>321108.47999999998</v>
      </c>
      <c r="D100" s="9">
        <v>95.491560335512148</v>
      </c>
      <c r="E100" s="9">
        <v>13037.650550836002</v>
      </c>
    </row>
    <row r="101" spans="1:5" x14ac:dyDescent="0.2">
      <c r="A101" t="s">
        <v>124</v>
      </c>
      <c r="B101">
        <v>17</v>
      </c>
      <c r="C101" s="48">
        <v>65802.8</v>
      </c>
      <c r="D101" s="9">
        <v>114.64536110800782</v>
      </c>
      <c r="E101" s="9">
        <v>78.171474412119835</v>
      </c>
    </row>
    <row r="102" spans="1:5" x14ac:dyDescent="0.2">
      <c r="A102" t="s">
        <v>130</v>
      </c>
      <c r="B102">
        <v>1</v>
      </c>
      <c r="C102" s="48">
        <v>3381</v>
      </c>
      <c r="D102" s="9">
        <v>0</v>
      </c>
      <c r="E102" s="9">
        <v>0</v>
      </c>
    </row>
    <row r="103" spans="1:5" x14ac:dyDescent="0.2">
      <c r="A103" t="s">
        <v>136</v>
      </c>
      <c r="B103">
        <v>10</v>
      </c>
      <c r="C103" s="48">
        <v>320892.00000000006</v>
      </c>
      <c r="D103" s="9">
        <v>282.79880952130378</v>
      </c>
      <c r="E103" s="9">
        <v>0</v>
      </c>
    </row>
    <row r="104" spans="1:5" x14ac:dyDescent="0.2">
      <c r="A104" t="s">
        <v>141</v>
      </c>
      <c r="B104">
        <v>9</v>
      </c>
      <c r="C104" s="48">
        <v>1226635.52</v>
      </c>
      <c r="D104" s="9">
        <v>125.07608795318077</v>
      </c>
      <c r="E104" s="9">
        <v>147.02985335562903</v>
      </c>
    </row>
    <row r="105" spans="1:5" x14ac:dyDescent="0.2">
      <c r="A105" t="s">
        <v>77</v>
      </c>
      <c r="B105">
        <v>6</v>
      </c>
      <c r="C105" s="48">
        <v>985224.87</v>
      </c>
      <c r="D105" s="9">
        <v>136.93063937629154</v>
      </c>
      <c r="E105" s="9">
        <v>1200.2499739637572</v>
      </c>
    </row>
    <row r="106" spans="1:5" x14ac:dyDescent="0.2">
      <c r="A106" t="s">
        <v>90</v>
      </c>
      <c r="B106">
        <v>1</v>
      </c>
      <c r="C106" s="48">
        <v>2132</v>
      </c>
      <c r="D106" s="9">
        <v>0</v>
      </c>
      <c r="E106" s="9">
        <v>0</v>
      </c>
    </row>
    <row r="107" spans="1:5" x14ac:dyDescent="0.2">
      <c r="A107" t="s">
        <v>94</v>
      </c>
      <c r="B107">
        <v>2</v>
      </c>
      <c r="C107" s="48">
        <v>8736</v>
      </c>
      <c r="D107" s="9">
        <v>97.580735803743565</v>
      </c>
      <c r="E107" s="9">
        <v>0</v>
      </c>
    </row>
    <row r="108" spans="1:5" x14ac:dyDescent="0.2">
      <c r="A108" t="s">
        <v>105</v>
      </c>
      <c r="B108">
        <v>1</v>
      </c>
      <c r="C108" s="48">
        <v>3011.4</v>
      </c>
      <c r="D108" s="9">
        <v>0</v>
      </c>
      <c r="E108" s="9">
        <v>0</v>
      </c>
    </row>
    <row r="109" spans="1:5" x14ac:dyDescent="0.2">
      <c r="A109" t="s">
        <v>111</v>
      </c>
      <c r="B109">
        <v>3</v>
      </c>
      <c r="C109" s="48">
        <v>32076.799999999999</v>
      </c>
      <c r="D109" s="9">
        <v>39.51371070264446</v>
      </c>
      <c r="E109" s="9">
        <v>646.63230149238098</v>
      </c>
    </row>
    <row r="110" spans="1:5" x14ac:dyDescent="0.2">
      <c r="A110" t="s">
        <v>119</v>
      </c>
      <c r="B110">
        <v>12</v>
      </c>
      <c r="C110" s="48">
        <v>178466.74999999997</v>
      </c>
      <c r="D110" s="9">
        <v>71.165779570086784</v>
      </c>
      <c r="E110" s="9">
        <v>248.39904052418024</v>
      </c>
    </row>
    <row r="111" spans="1:5" x14ac:dyDescent="0.2">
      <c r="A111" t="s">
        <v>121</v>
      </c>
      <c r="B111">
        <v>78</v>
      </c>
      <c r="C111" s="48">
        <v>5866748.9999999944</v>
      </c>
      <c r="D111" s="9">
        <v>57.933700781343369</v>
      </c>
      <c r="E111" s="9">
        <v>441.52341565700294</v>
      </c>
    </row>
    <row r="112" spans="1:5" x14ac:dyDescent="0.2">
      <c r="A112" t="s">
        <v>82</v>
      </c>
      <c r="B112">
        <v>1</v>
      </c>
      <c r="C112" s="48">
        <v>0</v>
      </c>
      <c r="D112" s="9">
        <v>0</v>
      </c>
      <c r="E112" s="9">
        <v>0</v>
      </c>
    </row>
    <row r="113" spans="1:5" x14ac:dyDescent="0.2">
      <c r="A113" t="s">
        <v>99</v>
      </c>
      <c r="B113">
        <v>5</v>
      </c>
      <c r="C113" s="48">
        <v>12923.8</v>
      </c>
      <c r="D113" s="9">
        <v>83.667197872339827</v>
      </c>
      <c r="E113" s="9">
        <v>124.86592809890135</v>
      </c>
    </row>
    <row r="114" spans="1:5" x14ac:dyDescent="0.2">
      <c r="A114" t="s">
        <v>84</v>
      </c>
      <c r="B114">
        <v>8</v>
      </c>
      <c r="C114" s="48">
        <v>360039.68000000005</v>
      </c>
      <c r="D114" s="9">
        <v>76.591681756478721</v>
      </c>
      <c r="E114" s="9">
        <v>163.69521984468574</v>
      </c>
    </row>
    <row r="115" spans="1:5" x14ac:dyDescent="0.2">
      <c r="A115" t="s">
        <v>63</v>
      </c>
      <c r="B115">
        <v>1</v>
      </c>
      <c r="C115" s="48">
        <v>0</v>
      </c>
      <c r="D115" s="9">
        <v>0</v>
      </c>
      <c r="E115" s="9">
        <v>0</v>
      </c>
    </row>
    <row r="116" spans="1:5" x14ac:dyDescent="0.2">
      <c r="A116" t="s">
        <v>245</v>
      </c>
      <c r="B116">
        <v>1</v>
      </c>
      <c r="C116" s="48">
        <v>0</v>
      </c>
      <c r="D116" s="9">
        <v>0</v>
      </c>
      <c r="E116" s="9">
        <v>0</v>
      </c>
    </row>
    <row r="117" spans="1:5" x14ac:dyDescent="0.2">
      <c r="A117" t="s">
        <v>64</v>
      </c>
      <c r="B117">
        <v>12</v>
      </c>
      <c r="C117" s="48">
        <v>4563261.1500000004</v>
      </c>
      <c r="D117" s="9">
        <v>109.38007131100254</v>
      </c>
      <c r="E117" s="9">
        <v>767.13368022355348</v>
      </c>
    </row>
    <row r="118" spans="1:5" x14ac:dyDescent="0.2">
      <c r="A118" t="s">
        <v>285</v>
      </c>
      <c r="B118">
        <v>9</v>
      </c>
      <c r="C118" s="48">
        <v>146578.81000000003</v>
      </c>
      <c r="D118" s="9">
        <v>118.16196511568349</v>
      </c>
      <c r="E118" s="9">
        <v>51.666666666666671</v>
      </c>
    </row>
    <row r="119" spans="1:5" x14ac:dyDescent="0.2">
      <c r="A119" t="s">
        <v>116</v>
      </c>
      <c r="B119">
        <v>1</v>
      </c>
      <c r="C119" s="48">
        <v>73402.559999999998</v>
      </c>
      <c r="D119" s="9">
        <v>0</v>
      </c>
      <c r="E119" s="9">
        <v>0</v>
      </c>
    </row>
    <row r="120" spans="1:5" x14ac:dyDescent="0.2">
      <c r="A120" t="s">
        <v>79</v>
      </c>
      <c r="B120">
        <v>4</v>
      </c>
      <c r="C120" s="48">
        <v>10980</v>
      </c>
      <c r="D120" s="9">
        <v>122.90206127916109</v>
      </c>
      <c r="E120" s="9">
        <v>750</v>
      </c>
    </row>
    <row r="121" spans="1:5" x14ac:dyDescent="0.2">
      <c r="A121" t="s">
        <v>100</v>
      </c>
      <c r="B121">
        <v>1</v>
      </c>
      <c r="C121" s="48">
        <v>29679.3</v>
      </c>
      <c r="D121" s="9">
        <v>0</v>
      </c>
      <c r="E121" s="9">
        <v>0</v>
      </c>
    </row>
    <row r="122" spans="1:5" x14ac:dyDescent="0.2">
      <c r="A122" t="s">
        <v>114</v>
      </c>
      <c r="B122">
        <v>1</v>
      </c>
      <c r="C122" s="48">
        <v>2322.6</v>
      </c>
      <c r="D122" s="9">
        <v>0</v>
      </c>
      <c r="E122" s="9">
        <v>0</v>
      </c>
    </row>
    <row r="123" spans="1:5" x14ac:dyDescent="0.2">
      <c r="A123" t="s">
        <v>126</v>
      </c>
      <c r="B123">
        <v>1</v>
      </c>
      <c r="C123" s="48">
        <v>5360</v>
      </c>
      <c r="D123" s="9">
        <v>0</v>
      </c>
      <c r="E123" s="9">
        <v>0</v>
      </c>
    </row>
    <row r="124" spans="1:5" x14ac:dyDescent="0.2">
      <c r="A124" t="s">
        <v>127</v>
      </c>
      <c r="B124">
        <v>10</v>
      </c>
      <c r="C124" s="48">
        <v>77220</v>
      </c>
      <c r="D124" s="9">
        <v>51.227596731021933</v>
      </c>
      <c r="E124" s="9">
        <v>1449.1376746189439</v>
      </c>
    </row>
    <row r="125" spans="1:5" x14ac:dyDescent="0.2">
      <c r="A125" t="s">
        <v>132</v>
      </c>
      <c r="B125">
        <v>4</v>
      </c>
      <c r="C125" s="48">
        <v>1179216</v>
      </c>
      <c r="D125" s="9">
        <v>138.01449199268893</v>
      </c>
      <c r="E125" s="9">
        <v>288</v>
      </c>
    </row>
    <row r="126" spans="1:5" x14ac:dyDescent="0.2">
      <c r="A126" t="s">
        <v>138</v>
      </c>
      <c r="B126">
        <v>1</v>
      </c>
      <c r="C126" s="48">
        <v>29347.200000000001</v>
      </c>
      <c r="D126" s="9">
        <v>0</v>
      </c>
      <c r="E126" s="9">
        <v>0</v>
      </c>
    </row>
    <row r="127" spans="1:5" x14ac:dyDescent="0.2">
      <c r="A127" t="s">
        <v>143</v>
      </c>
      <c r="B127">
        <v>1</v>
      </c>
      <c r="C127" s="48">
        <v>10786.8</v>
      </c>
      <c r="D127" s="9">
        <v>0</v>
      </c>
      <c r="E127" s="9">
        <v>0</v>
      </c>
    </row>
    <row r="128" spans="1:5" x14ac:dyDescent="0.2">
      <c r="A128" t="s">
        <v>89</v>
      </c>
      <c r="B128">
        <v>2</v>
      </c>
      <c r="C128" s="48">
        <v>536991</v>
      </c>
      <c r="D128" s="9">
        <v>204.35385976291224</v>
      </c>
      <c r="E128" s="9">
        <v>197.98989873223331</v>
      </c>
    </row>
    <row r="129" spans="1:5" x14ac:dyDescent="0.2">
      <c r="A129" t="s">
        <v>91</v>
      </c>
      <c r="B129">
        <v>2</v>
      </c>
      <c r="C129" s="48">
        <v>88284.65</v>
      </c>
      <c r="D129" s="9">
        <v>0</v>
      </c>
      <c r="E129" s="9">
        <v>141117.30032139929</v>
      </c>
    </row>
    <row r="130" spans="1:5" x14ac:dyDescent="0.2">
      <c r="A130" t="s">
        <v>102</v>
      </c>
      <c r="B130">
        <v>8</v>
      </c>
      <c r="C130" s="48">
        <v>197980.80000000002</v>
      </c>
      <c r="D130" s="9">
        <v>158.24551449296393</v>
      </c>
      <c r="E130" s="9">
        <v>0</v>
      </c>
    </row>
    <row r="131" spans="1:5" x14ac:dyDescent="0.2">
      <c r="A131" t="s">
        <v>107</v>
      </c>
      <c r="B131">
        <v>1</v>
      </c>
      <c r="C131" s="48">
        <v>33447.839999999997</v>
      </c>
      <c r="D131" s="9">
        <v>0</v>
      </c>
      <c r="E131" s="9">
        <v>0</v>
      </c>
    </row>
    <row r="132" spans="1:5" x14ac:dyDescent="0.2">
      <c r="A132" t="s">
        <v>311</v>
      </c>
      <c r="B132">
        <v>8</v>
      </c>
      <c r="C132" s="48">
        <v>728590.62</v>
      </c>
      <c r="D132" s="9">
        <v>19.242809417694556</v>
      </c>
      <c r="E132" s="9">
        <v>500.90311295841292</v>
      </c>
    </row>
    <row r="133" spans="1:5" x14ac:dyDescent="0.2">
      <c r="A133" t="s">
        <v>66</v>
      </c>
      <c r="B133">
        <v>59</v>
      </c>
      <c r="C133" s="48">
        <v>5807308.5</v>
      </c>
      <c r="D133" s="9">
        <v>72.052350440441018</v>
      </c>
      <c r="E133" s="9">
        <v>354.79210827400397</v>
      </c>
    </row>
    <row r="134" spans="1:5" x14ac:dyDescent="0.2">
      <c r="A134" t="s">
        <v>280</v>
      </c>
      <c r="B134">
        <v>11</v>
      </c>
      <c r="C134" s="48">
        <v>267697.92000000004</v>
      </c>
      <c r="D134" s="9">
        <v>159.0837972440728</v>
      </c>
      <c r="E134" s="9">
        <v>303.92343533438572</v>
      </c>
    </row>
    <row r="135" spans="1:5" x14ac:dyDescent="0.2">
      <c r="A135" t="s">
        <v>313</v>
      </c>
      <c r="B135">
        <v>2</v>
      </c>
      <c r="C135" s="48">
        <v>6138</v>
      </c>
      <c r="D135" s="9">
        <v>48.083261120685229</v>
      </c>
      <c r="E135" s="9">
        <v>42.426406871192853</v>
      </c>
    </row>
    <row r="136" spans="1:5" x14ac:dyDescent="0.2">
      <c r="A136" t="s">
        <v>234</v>
      </c>
      <c r="B136">
        <v>71</v>
      </c>
      <c r="C136" s="48">
        <v>0</v>
      </c>
      <c r="D136" s="9">
        <v>36.11603811885935</v>
      </c>
      <c r="E136" s="9">
        <v>12586.252984616054</v>
      </c>
    </row>
    <row r="137" spans="1:5" x14ac:dyDescent="0.2">
      <c r="A137" t="s">
        <v>266</v>
      </c>
      <c r="B137">
        <v>8</v>
      </c>
      <c r="C137" s="48">
        <v>360039.68000000005</v>
      </c>
      <c r="D137" s="9">
        <v>76.591681756478721</v>
      </c>
      <c r="E137" s="9">
        <v>163.69521984468574</v>
      </c>
    </row>
    <row r="138" spans="1:5" x14ac:dyDescent="0.2">
      <c r="A138" t="s">
        <v>254</v>
      </c>
      <c r="B138">
        <v>19</v>
      </c>
      <c r="C138" s="48">
        <v>813850.7999999997</v>
      </c>
      <c r="D138" s="9">
        <v>179.46349544878635</v>
      </c>
      <c r="E138" s="9">
        <v>157.34641634572458</v>
      </c>
    </row>
    <row r="139" spans="1:5" x14ac:dyDescent="0.2">
      <c r="A139" t="s">
        <v>296</v>
      </c>
      <c r="B139">
        <v>1</v>
      </c>
      <c r="C139" s="48">
        <v>2322.6</v>
      </c>
      <c r="D139" s="9">
        <v>0</v>
      </c>
      <c r="E139" s="9">
        <v>0</v>
      </c>
    </row>
    <row r="140" spans="1:5" x14ac:dyDescent="0.2">
      <c r="A140" t="s">
        <v>291</v>
      </c>
      <c r="B140">
        <v>1</v>
      </c>
      <c r="C140" s="48">
        <v>69350.399999999994</v>
      </c>
      <c r="D140" s="9">
        <v>0</v>
      </c>
      <c r="E140" s="9">
        <v>0</v>
      </c>
    </row>
    <row r="141" spans="1:5" x14ac:dyDescent="0.2">
      <c r="A141" t="s">
        <v>78</v>
      </c>
      <c r="B141">
        <v>1</v>
      </c>
      <c r="C141" s="48">
        <v>0</v>
      </c>
      <c r="D141" s="9">
        <v>0</v>
      </c>
      <c r="E141" s="9">
        <v>0</v>
      </c>
    </row>
    <row r="142" spans="1:5" x14ac:dyDescent="0.2">
      <c r="A142" t="s">
        <v>83</v>
      </c>
      <c r="B142">
        <v>101</v>
      </c>
      <c r="C142" s="48">
        <v>8269212.6000000229</v>
      </c>
      <c r="D142" s="9">
        <v>116.14881713895463</v>
      </c>
      <c r="E142" s="9">
        <v>103.07845709376758</v>
      </c>
    </row>
    <row r="143" spans="1:5" x14ac:dyDescent="0.2">
      <c r="A143" t="s">
        <v>276</v>
      </c>
      <c r="B143">
        <v>2</v>
      </c>
      <c r="C143" s="48">
        <v>8736</v>
      </c>
      <c r="D143" s="9">
        <v>97.580735803743565</v>
      </c>
      <c r="E143" s="9">
        <v>0</v>
      </c>
    </row>
    <row r="144" spans="1:5" x14ac:dyDescent="0.2">
      <c r="A144" t="s">
        <v>235</v>
      </c>
      <c r="B144">
        <v>73</v>
      </c>
      <c r="C144" s="48">
        <v>0</v>
      </c>
      <c r="D144" s="9">
        <v>40.913401139959262</v>
      </c>
      <c r="E144" s="9">
        <v>12438.492482524698</v>
      </c>
    </row>
    <row r="145" spans="1:5" x14ac:dyDescent="0.2">
      <c r="A145" t="s">
        <v>260</v>
      </c>
      <c r="B145">
        <v>1</v>
      </c>
      <c r="C145" s="48">
        <v>0</v>
      </c>
      <c r="D145" s="9">
        <v>0</v>
      </c>
      <c r="E145" s="9">
        <v>0</v>
      </c>
    </row>
    <row r="146" spans="1:5" x14ac:dyDescent="0.2">
      <c r="A146" t="s">
        <v>238</v>
      </c>
      <c r="B146">
        <v>2</v>
      </c>
      <c r="C146" s="48">
        <v>3880</v>
      </c>
      <c r="D146" s="9">
        <v>98.994949366116657</v>
      </c>
      <c r="E146" s="9">
        <v>707.10678118654755</v>
      </c>
    </row>
    <row r="147" spans="1:5" x14ac:dyDescent="0.2">
      <c r="A147" t="s">
        <v>52</v>
      </c>
      <c r="B147">
        <v>71</v>
      </c>
      <c r="C147" s="48">
        <v>0</v>
      </c>
      <c r="D147" s="9">
        <v>36.11603811885935</v>
      </c>
      <c r="E147" s="9">
        <v>12586.252984616054</v>
      </c>
    </row>
    <row r="148" spans="1:5" x14ac:dyDescent="0.2">
      <c r="A148" t="s">
        <v>137</v>
      </c>
      <c r="B148">
        <v>1</v>
      </c>
      <c r="C148" s="48">
        <v>28687.68</v>
      </c>
      <c r="D148" s="9">
        <v>0</v>
      </c>
      <c r="E148" s="9">
        <v>0</v>
      </c>
    </row>
    <row r="149" spans="1:5" x14ac:dyDescent="0.2">
      <c r="A149" t="s">
        <v>59</v>
      </c>
      <c r="B149">
        <v>5</v>
      </c>
      <c r="C149" s="48">
        <v>163674</v>
      </c>
      <c r="D149" s="9">
        <v>41.087711055853006</v>
      </c>
      <c r="E149" s="9">
        <v>0</v>
      </c>
    </row>
    <row r="150" spans="1:5" x14ac:dyDescent="0.2">
      <c r="A150" t="s">
        <v>125</v>
      </c>
      <c r="B150">
        <v>1</v>
      </c>
      <c r="C150" s="48">
        <v>35877</v>
      </c>
      <c r="D150" s="9">
        <v>0</v>
      </c>
      <c r="E150" s="9">
        <v>0</v>
      </c>
    </row>
    <row r="151" spans="1:5" x14ac:dyDescent="0.2">
      <c r="A151" t="s">
        <v>135</v>
      </c>
      <c r="B151">
        <v>5</v>
      </c>
      <c r="C151" s="48">
        <v>140713.20000000001</v>
      </c>
      <c r="D151" s="9">
        <v>194.4985861126226</v>
      </c>
      <c r="E151" s="9">
        <v>73.942545263197431</v>
      </c>
    </row>
    <row r="152" spans="1:5" x14ac:dyDescent="0.2">
      <c r="A152" t="s">
        <v>108</v>
      </c>
      <c r="B152">
        <v>68</v>
      </c>
      <c r="C152" s="48">
        <v>7899996.6500000004</v>
      </c>
      <c r="D152" s="9">
        <v>98.588528646787282</v>
      </c>
      <c r="E152" s="9">
        <v>95.954109742473179</v>
      </c>
    </row>
    <row r="153" spans="1:5" x14ac:dyDescent="0.2">
      <c r="A153" t="s">
        <v>60</v>
      </c>
      <c r="B153">
        <v>2</v>
      </c>
      <c r="C153" s="48">
        <v>133449.12</v>
      </c>
      <c r="D153" s="9">
        <v>98.287842584930104</v>
      </c>
      <c r="E153" s="9">
        <v>0</v>
      </c>
    </row>
    <row r="154" spans="1:5" x14ac:dyDescent="0.2">
      <c r="A154" t="s">
        <v>67</v>
      </c>
      <c r="B154">
        <v>5</v>
      </c>
      <c r="C154" s="48">
        <v>17455.2</v>
      </c>
      <c r="D154" s="9">
        <v>68.638181792711151</v>
      </c>
      <c r="E154" s="9">
        <v>0</v>
      </c>
    </row>
    <row r="155" spans="1:5" x14ac:dyDescent="0.2">
      <c r="A155" t="s">
        <v>87</v>
      </c>
      <c r="B155">
        <v>1</v>
      </c>
      <c r="C155" s="48">
        <v>0</v>
      </c>
      <c r="D155" s="9">
        <v>0</v>
      </c>
      <c r="E155" s="9">
        <v>0</v>
      </c>
    </row>
    <row r="156" spans="1:5" x14ac:dyDescent="0.2">
      <c r="A156" t="s">
        <v>289</v>
      </c>
      <c r="B156">
        <v>1</v>
      </c>
      <c r="C156" s="48">
        <v>33447.839999999997</v>
      </c>
      <c r="D156" s="9">
        <v>0</v>
      </c>
      <c r="E156" s="9">
        <v>0</v>
      </c>
    </row>
    <row r="157" spans="1:5" x14ac:dyDescent="0.2">
      <c r="A157" t="s">
        <v>288</v>
      </c>
      <c r="B157">
        <v>6</v>
      </c>
      <c r="C157" s="48">
        <v>1075110</v>
      </c>
      <c r="D157" s="9">
        <v>85.939513612773027</v>
      </c>
      <c r="E157" s="9">
        <v>29.65805118344764</v>
      </c>
    </row>
    <row r="158" spans="1:5" x14ac:dyDescent="0.2">
      <c r="A158" t="s">
        <v>278</v>
      </c>
      <c r="B158">
        <v>7</v>
      </c>
      <c r="C158" s="48">
        <v>46265.310000000005</v>
      </c>
      <c r="D158" s="9">
        <v>50.969645495629798</v>
      </c>
      <c r="E158" s="9">
        <v>0</v>
      </c>
    </row>
    <row r="159" spans="1:5" x14ac:dyDescent="0.2">
      <c r="A159" t="s">
        <v>320</v>
      </c>
      <c r="B159">
        <v>1</v>
      </c>
      <c r="C159" s="48">
        <v>29347.200000000001</v>
      </c>
      <c r="D159" s="9">
        <v>0</v>
      </c>
      <c r="E159" s="9">
        <v>0</v>
      </c>
    </row>
    <row r="160" spans="1:5" x14ac:dyDescent="0.2">
      <c r="A160" t="s">
        <v>244</v>
      </c>
      <c r="B160">
        <v>2</v>
      </c>
      <c r="C160" s="48">
        <v>0</v>
      </c>
      <c r="D160" s="9">
        <v>0</v>
      </c>
      <c r="E160" s="9">
        <v>415.77878733768995</v>
      </c>
    </row>
    <row r="161" spans="1:5" x14ac:dyDescent="0.2">
      <c r="A161" t="s">
        <v>76</v>
      </c>
      <c r="B161">
        <v>80</v>
      </c>
      <c r="C161" s="48">
        <v>3846557.400000005</v>
      </c>
      <c r="D161" s="9">
        <v>50.982194706197873</v>
      </c>
      <c r="E161" s="9">
        <v>39.131189606246316</v>
      </c>
    </row>
    <row r="162" spans="1:5" x14ac:dyDescent="0.2">
      <c r="A162" t="s">
        <v>251</v>
      </c>
      <c r="B162">
        <v>2</v>
      </c>
      <c r="C162" s="48">
        <v>0</v>
      </c>
      <c r="D162" s="9">
        <v>0</v>
      </c>
      <c r="E162" s="9">
        <v>0</v>
      </c>
    </row>
    <row r="163" spans="1:5" x14ac:dyDescent="0.2">
      <c r="A163" t="s">
        <v>263</v>
      </c>
      <c r="B163">
        <v>1</v>
      </c>
      <c r="C163" s="48">
        <v>0</v>
      </c>
      <c r="D163" s="9">
        <v>0</v>
      </c>
      <c r="E163" s="9">
        <v>0</v>
      </c>
    </row>
    <row r="164" spans="1:5" x14ac:dyDescent="0.2">
      <c r="A164" t="s">
        <v>314</v>
      </c>
      <c r="B164">
        <v>4</v>
      </c>
      <c r="C164" s="48">
        <v>1179216</v>
      </c>
      <c r="D164" s="9">
        <v>138.01449199268893</v>
      </c>
      <c r="E164" s="9">
        <v>288</v>
      </c>
    </row>
    <row r="165" spans="1:5" x14ac:dyDescent="0.2">
      <c r="A165" t="s">
        <v>304</v>
      </c>
      <c r="B165">
        <v>92</v>
      </c>
      <c r="C165" s="48">
        <v>6178531.5599999959</v>
      </c>
      <c r="D165" s="9">
        <v>85.804250048662112</v>
      </c>
      <c r="E165" s="9">
        <v>5278.3544198688178</v>
      </c>
    </row>
    <row r="166" spans="1:5" x14ac:dyDescent="0.2">
      <c r="A166" t="s">
        <v>237</v>
      </c>
      <c r="B166">
        <v>34</v>
      </c>
      <c r="C166" s="48">
        <v>1351896.4800000007</v>
      </c>
      <c r="D166" s="9">
        <v>67.757589309913541</v>
      </c>
      <c r="E166" s="9">
        <v>252.23365790833344</v>
      </c>
    </row>
    <row r="167" spans="1:5" x14ac:dyDescent="0.2">
      <c r="A167" t="s">
        <v>273</v>
      </c>
      <c r="B167">
        <v>2</v>
      </c>
      <c r="C167" s="48">
        <v>88284.65</v>
      </c>
      <c r="D167" s="9">
        <v>0</v>
      </c>
      <c r="E167" s="9">
        <v>141117.30032139929</v>
      </c>
    </row>
    <row r="168" spans="1:5" x14ac:dyDescent="0.2">
      <c r="A168" t="s">
        <v>282</v>
      </c>
      <c r="B168">
        <v>1</v>
      </c>
      <c r="C168" s="48">
        <v>29679.3</v>
      </c>
      <c r="D168" s="9">
        <v>0</v>
      </c>
      <c r="E168" s="9">
        <v>0</v>
      </c>
    </row>
    <row r="169" spans="1:5" x14ac:dyDescent="0.2">
      <c r="A169" t="s">
        <v>73</v>
      </c>
      <c r="B169">
        <v>8</v>
      </c>
      <c r="C169" s="48">
        <v>360242.40000000008</v>
      </c>
      <c r="D169" s="9">
        <v>63.511528762219903</v>
      </c>
      <c r="E169" s="9">
        <v>114.94563932572649</v>
      </c>
    </row>
    <row r="170" spans="1:5" x14ac:dyDescent="0.2">
      <c r="A170" t="s">
        <v>246</v>
      </c>
      <c r="B170">
        <v>12</v>
      </c>
      <c r="C170" s="48">
        <v>4563261.1500000004</v>
      </c>
      <c r="D170" s="9">
        <v>109.38007131100254</v>
      </c>
      <c r="E170" s="9">
        <v>767.13368022355348</v>
      </c>
    </row>
    <row r="171" spans="1:5" x14ac:dyDescent="0.2">
      <c r="A171" t="s">
        <v>62</v>
      </c>
      <c r="B171">
        <v>2</v>
      </c>
      <c r="C171" s="48">
        <v>0</v>
      </c>
      <c r="D171" s="9">
        <v>0</v>
      </c>
      <c r="E171" s="9">
        <v>415.77878733768995</v>
      </c>
    </row>
    <row r="172" spans="1:5" x14ac:dyDescent="0.2">
      <c r="A172" t="s">
        <v>61</v>
      </c>
      <c r="B172">
        <v>9</v>
      </c>
      <c r="C172" s="48">
        <v>172851.84</v>
      </c>
      <c r="D172" s="9">
        <v>166.54428840401582</v>
      </c>
      <c r="E172" s="9">
        <v>168</v>
      </c>
    </row>
    <row r="173" spans="1:5" x14ac:dyDescent="0.2">
      <c r="A173" t="s">
        <v>113</v>
      </c>
      <c r="B173">
        <v>30</v>
      </c>
      <c r="C173" s="48">
        <v>1609617.5999999987</v>
      </c>
      <c r="D173" s="9">
        <v>93.309052671485532</v>
      </c>
      <c r="E173" s="9">
        <v>50.459953394268254</v>
      </c>
    </row>
    <row r="174" spans="1:5" x14ac:dyDescent="0.2">
      <c r="A174" t="s">
        <v>118</v>
      </c>
      <c r="B174">
        <v>54</v>
      </c>
      <c r="C174" s="48">
        <v>337270.49999999994</v>
      </c>
      <c r="D174" s="9">
        <v>53.191271095497591</v>
      </c>
      <c r="E174" s="9">
        <v>25.839855131318892</v>
      </c>
    </row>
    <row r="175" spans="1:5" x14ac:dyDescent="0.2">
      <c r="A175" t="s">
        <v>120</v>
      </c>
      <c r="B175">
        <v>15</v>
      </c>
      <c r="C175" s="48">
        <v>4280133.78</v>
      </c>
      <c r="D175" s="9">
        <v>151.12568090322188</v>
      </c>
      <c r="E175" s="9">
        <v>120.0334477194943</v>
      </c>
    </row>
    <row r="176" spans="1:5" x14ac:dyDescent="0.2">
      <c r="A176" t="s">
        <v>123</v>
      </c>
      <c r="B176">
        <v>6</v>
      </c>
      <c r="C176" s="48">
        <v>328203.36</v>
      </c>
      <c r="D176" s="9">
        <v>131.65624431371958</v>
      </c>
      <c r="E176" s="9">
        <v>34.991427521608777</v>
      </c>
    </row>
    <row r="177" spans="1:5" x14ac:dyDescent="0.2">
      <c r="A177" t="s">
        <v>129</v>
      </c>
      <c r="B177">
        <v>8</v>
      </c>
      <c r="C177" s="48">
        <v>728590.62</v>
      </c>
      <c r="D177" s="9">
        <v>19.242809417694556</v>
      </c>
      <c r="E177" s="9">
        <v>500.90311295841292</v>
      </c>
    </row>
    <row r="178" spans="1:5" x14ac:dyDescent="0.2">
      <c r="A178" t="s">
        <v>134</v>
      </c>
      <c r="B178">
        <v>1</v>
      </c>
      <c r="C178" s="48">
        <v>81001.600000000006</v>
      </c>
      <c r="D178" s="9">
        <v>0</v>
      </c>
      <c r="E178" s="9">
        <v>0</v>
      </c>
    </row>
    <row r="179" spans="1:5" x14ac:dyDescent="0.2">
      <c r="A179" t="s">
        <v>140</v>
      </c>
      <c r="B179">
        <v>6</v>
      </c>
      <c r="C179" s="48">
        <v>72718.8</v>
      </c>
      <c r="D179" s="9">
        <v>105.85965551990911</v>
      </c>
      <c r="E179" s="9">
        <v>171.46428199482247</v>
      </c>
    </row>
    <row r="180" spans="1:5" x14ac:dyDescent="0.2">
      <c r="A180" t="s">
        <v>142</v>
      </c>
      <c r="B180">
        <v>14</v>
      </c>
      <c r="C180" s="48">
        <v>7339422.7199999997</v>
      </c>
      <c r="D180" s="9">
        <v>0.26726100663830649</v>
      </c>
      <c r="E180" s="9">
        <v>67.840796180275078</v>
      </c>
    </row>
    <row r="181" spans="1:5" x14ac:dyDescent="0.2">
      <c r="A181" t="s">
        <v>81</v>
      </c>
      <c r="B181">
        <v>1</v>
      </c>
      <c r="C181" s="48">
        <v>0</v>
      </c>
      <c r="D181" s="9">
        <v>0</v>
      </c>
      <c r="E181" s="9">
        <v>0</v>
      </c>
    </row>
    <row r="182" spans="1:5" x14ac:dyDescent="0.2">
      <c r="A182" t="s">
        <v>88</v>
      </c>
      <c r="B182">
        <v>140</v>
      </c>
      <c r="C182" s="48">
        <v>6933031.7099999925</v>
      </c>
      <c r="D182" s="9">
        <v>16.135173796068955</v>
      </c>
      <c r="E182" s="9">
        <v>2.2787615864618704</v>
      </c>
    </row>
    <row r="183" spans="1:5" x14ac:dyDescent="0.2">
      <c r="A183" t="s">
        <v>93</v>
      </c>
      <c r="B183">
        <v>2</v>
      </c>
      <c r="C183" s="48">
        <v>2986222.98</v>
      </c>
      <c r="D183" s="9">
        <v>0</v>
      </c>
      <c r="E183" s="9">
        <v>105320.01952383033</v>
      </c>
    </row>
    <row r="184" spans="1:5" x14ac:dyDescent="0.2">
      <c r="A184" t="s">
        <v>98</v>
      </c>
      <c r="B184">
        <v>11</v>
      </c>
      <c r="C184" s="48">
        <v>267697.92000000004</v>
      </c>
      <c r="D184" s="9">
        <v>159.0837972440728</v>
      </c>
      <c r="E184" s="9">
        <v>303.92343533438572</v>
      </c>
    </row>
    <row r="185" spans="1:5" x14ac:dyDescent="0.2">
      <c r="A185" t="s">
        <v>104</v>
      </c>
      <c r="B185">
        <v>1</v>
      </c>
      <c r="C185" s="48">
        <v>431751.6</v>
      </c>
      <c r="D185" s="9">
        <v>0</v>
      </c>
      <c r="E185" s="9">
        <v>0</v>
      </c>
    </row>
    <row r="186" spans="1:5" x14ac:dyDescent="0.2">
      <c r="A186" t="s">
        <v>110</v>
      </c>
      <c r="B186">
        <v>4</v>
      </c>
      <c r="C186" s="48">
        <v>504417.76</v>
      </c>
      <c r="D186" s="9">
        <v>17.5</v>
      </c>
      <c r="E186" s="9">
        <v>1179.5501967558087</v>
      </c>
    </row>
    <row r="187" spans="1:5" x14ac:dyDescent="0.2">
      <c r="A187" t="s">
        <v>240</v>
      </c>
      <c r="B187">
        <v>15</v>
      </c>
      <c r="C187" s="48">
        <v>1298044.7999999998</v>
      </c>
      <c r="D187" s="9">
        <v>132.5553613008409</v>
      </c>
      <c r="E187" s="9">
        <v>212.8852809781429</v>
      </c>
    </row>
    <row r="1048575" spans="1:1" x14ac:dyDescent="0.2">
      <c r="A1048575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25DC-5AD3-4011-85A0-EE8E4DF73E2C}">
  <sheetPr filterMode="1"/>
  <dimension ref="A1:I639"/>
  <sheetViews>
    <sheetView zoomScale="112" workbookViewId="0">
      <selection activeCell="C652" sqref="C652"/>
    </sheetView>
  </sheetViews>
  <sheetFormatPr baseColWidth="10" defaultColWidth="8.83203125" defaultRowHeight="15" x14ac:dyDescent="0.2"/>
  <cols>
    <col min="1" max="1" width="12.6640625" style="12" customWidth="1"/>
    <col min="2" max="2" width="16.83203125" style="17" customWidth="1"/>
    <col min="3" max="3" width="27.6640625" style="12" bestFit="1" customWidth="1"/>
    <col min="4" max="4" width="26.33203125" style="12" bestFit="1" customWidth="1"/>
    <col min="5" max="5" width="21" style="12" customWidth="1"/>
    <col min="6" max="6" width="13.5" style="12" customWidth="1"/>
    <col min="7" max="7" width="11" style="6" bestFit="1" customWidth="1"/>
    <col min="8" max="8" width="17.1640625" customWidth="1"/>
    <col min="9" max="9" width="11.33203125" style="45" customWidth="1"/>
  </cols>
  <sheetData>
    <row r="1" spans="1:9" x14ac:dyDescent="0.2">
      <c r="A1" s="11" t="s">
        <v>16</v>
      </c>
      <c r="B1" s="16" t="s">
        <v>17</v>
      </c>
      <c r="C1" s="11" t="s">
        <v>18</v>
      </c>
      <c r="D1" s="11" t="s">
        <v>3</v>
      </c>
      <c r="E1" s="11" t="s">
        <v>396</v>
      </c>
      <c r="F1" s="11" t="s">
        <v>19</v>
      </c>
      <c r="G1" s="5" t="s">
        <v>20</v>
      </c>
      <c r="H1" s="11" t="s">
        <v>400</v>
      </c>
      <c r="I1" s="22" t="s">
        <v>403</v>
      </c>
    </row>
    <row r="2" spans="1:9" hidden="1" x14ac:dyDescent="0.2">
      <c r="A2" s="11">
        <v>233</v>
      </c>
      <c r="B2" s="16">
        <v>105308.28</v>
      </c>
      <c r="C2" s="13">
        <v>44913</v>
      </c>
      <c r="D2" s="11" t="s">
        <v>54</v>
      </c>
      <c r="E2" s="14">
        <v>26796</v>
      </c>
      <c r="F2" s="11" t="s">
        <v>21</v>
      </c>
      <c r="G2" s="5">
        <v>3.93</v>
      </c>
      <c r="H2" s="36">
        <f>B2*A2</f>
        <v>24536829.239999998</v>
      </c>
      <c r="I2" s="44" t="s">
        <v>404</v>
      </c>
    </row>
    <row r="3" spans="1:9" hidden="1" x14ac:dyDescent="0.2">
      <c r="A3" s="11">
        <v>230</v>
      </c>
      <c r="B3" s="16">
        <v>4154638.84</v>
      </c>
      <c r="C3" s="13">
        <v>44916</v>
      </c>
      <c r="D3" s="11" t="s">
        <v>52</v>
      </c>
      <c r="E3" s="14">
        <v>344212</v>
      </c>
      <c r="F3" s="11" t="s">
        <v>21</v>
      </c>
      <c r="G3" s="5">
        <v>12.07</v>
      </c>
      <c r="H3" s="36">
        <f t="shared" ref="H3:H66" si="0">B3*A3</f>
        <v>955566933.19999993</v>
      </c>
      <c r="I3" s="44" t="s">
        <v>404</v>
      </c>
    </row>
    <row r="4" spans="1:9" hidden="1" x14ac:dyDescent="0.2">
      <c r="A4" s="11">
        <v>231</v>
      </c>
      <c r="B4" s="16">
        <v>9719729.5999999996</v>
      </c>
      <c r="C4" s="13">
        <v>44915</v>
      </c>
      <c r="D4" s="11" t="s">
        <v>51</v>
      </c>
      <c r="E4" s="14">
        <v>805280</v>
      </c>
      <c r="F4" s="11" t="s">
        <v>21</v>
      </c>
      <c r="G4" s="5">
        <v>12.07</v>
      </c>
      <c r="H4" s="36">
        <f t="shared" si="0"/>
        <v>2245257537.5999999</v>
      </c>
      <c r="I4" s="44" t="s">
        <v>404</v>
      </c>
    </row>
    <row r="5" spans="1:9" hidden="1" x14ac:dyDescent="0.2">
      <c r="A5" s="11">
        <v>231</v>
      </c>
      <c r="B5" s="16">
        <v>2294156.48</v>
      </c>
      <c r="C5" s="13">
        <v>44915</v>
      </c>
      <c r="D5" s="11" t="s">
        <v>53</v>
      </c>
      <c r="E5" s="14">
        <v>87164</v>
      </c>
      <c r="F5" s="11" t="s">
        <v>21</v>
      </c>
      <c r="G5" s="5">
        <v>26.32</v>
      </c>
      <c r="H5" s="36">
        <f t="shared" si="0"/>
        <v>529950146.88</v>
      </c>
      <c r="I5" s="44" t="s">
        <v>404</v>
      </c>
    </row>
    <row r="6" spans="1:9" hidden="1" x14ac:dyDescent="0.2">
      <c r="A6" s="11">
        <v>224</v>
      </c>
      <c r="B6" s="16">
        <v>1434861.12</v>
      </c>
      <c r="C6" s="13">
        <v>44922</v>
      </c>
      <c r="D6" s="11" t="s">
        <v>53</v>
      </c>
      <c r="E6" s="14">
        <v>54516</v>
      </c>
      <c r="F6" s="11" t="s">
        <v>21</v>
      </c>
      <c r="G6" s="5">
        <v>26.32</v>
      </c>
      <c r="H6" s="36">
        <f t="shared" si="0"/>
        <v>321408890.88</v>
      </c>
      <c r="I6" s="44" t="s">
        <v>404</v>
      </c>
    </row>
    <row r="7" spans="1:9" hidden="1" x14ac:dyDescent="0.2">
      <c r="A7" s="11">
        <v>184</v>
      </c>
      <c r="B7" s="16">
        <v>203162.4</v>
      </c>
      <c r="C7" s="13">
        <v>44962</v>
      </c>
      <c r="D7" s="11" t="s">
        <v>54</v>
      </c>
      <c r="E7" s="14">
        <v>48720</v>
      </c>
      <c r="F7" s="11" t="s">
        <v>21</v>
      </c>
      <c r="G7" s="5">
        <v>4.17</v>
      </c>
      <c r="H7" s="36">
        <f t="shared" si="0"/>
        <v>37381881.600000001</v>
      </c>
      <c r="I7" s="44" t="s">
        <v>405</v>
      </c>
    </row>
    <row r="8" spans="1:9" hidden="1" x14ac:dyDescent="0.2">
      <c r="A8" s="11">
        <v>189</v>
      </c>
      <c r="B8" s="16">
        <v>91423.08</v>
      </c>
      <c r="C8" s="13">
        <v>44957</v>
      </c>
      <c r="D8" s="11" t="s">
        <v>54</v>
      </c>
      <c r="E8" s="14">
        <v>21924</v>
      </c>
      <c r="F8" s="11" t="s">
        <v>21</v>
      </c>
      <c r="G8" s="5">
        <v>4.17</v>
      </c>
      <c r="H8" s="36">
        <f t="shared" si="0"/>
        <v>17278962.120000001</v>
      </c>
      <c r="I8" s="44" t="s">
        <v>406</v>
      </c>
    </row>
    <row r="9" spans="1:9" hidden="1" x14ac:dyDescent="0.2">
      <c r="A9" s="11">
        <v>184</v>
      </c>
      <c r="B9" s="16">
        <v>193004.28</v>
      </c>
      <c r="C9" s="13">
        <v>44962</v>
      </c>
      <c r="D9" s="11" t="s">
        <v>54</v>
      </c>
      <c r="E9" s="14">
        <v>46284</v>
      </c>
      <c r="F9" s="11" t="s">
        <v>21</v>
      </c>
      <c r="G9" s="5">
        <v>4.17</v>
      </c>
      <c r="H9" s="36">
        <f t="shared" si="0"/>
        <v>35512787.520000003</v>
      </c>
      <c r="I9" s="44" t="s">
        <v>405</v>
      </c>
    </row>
    <row r="10" spans="1:9" hidden="1" x14ac:dyDescent="0.2">
      <c r="A10" s="11">
        <v>189</v>
      </c>
      <c r="B10" s="16">
        <v>193004.28</v>
      </c>
      <c r="C10" s="13">
        <v>44957</v>
      </c>
      <c r="D10" s="11" t="s">
        <v>54</v>
      </c>
      <c r="E10" s="14">
        <v>46284</v>
      </c>
      <c r="F10" s="11" t="s">
        <v>21</v>
      </c>
      <c r="G10" s="5">
        <v>4.17</v>
      </c>
      <c r="H10" s="36">
        <f t="shared" si="0"/>
        <v>36477808.920000002</v>
      </c>
      <c r="I10" s="44" t="s">
        <v>406</v>
      </c>
    </row>
    <row r="11" spans="1:9" hidden="1" x14ac:dyDescent="0.2">
      <c r="A11" s="11">
        <v>189</v>
      </c>
      <c r="B11" s="16">
        <v>193004.28</v>
      </c>
      <c r="C11" s="13">
        <v>44957</v>
      </c>
      <c r="D11" s="11" t="s">
        <v>54</v>
      </c>
      <c r="E11" s="14">
        <v>46284</v>
      </c>
      <c r="F11" s="11" t="s">
        <v>21</v>
      </c>
      <c r="G11" s="5">
        <v>4.17</v>
      </c>
      <c r="H11" s="36">
        <f t="shared" si="0"/>
        <v>36477808.920000002</v>
      </c>
      <c r="I11" s="44" t="s">
        <v>406</v>
      </c>
    </row>
    <row r="12" spans="1:9" hidden="1" x14ac:dyDescent="0.2">
      <c r="A12" s="11">
        <v>184</v>
      </c>
      <c r="B12" s="16">
        <v>20316.240000000002</v>
      </c>
      <c r="C12" s="13">
        <v>44962</v>
      </c>
      <c r="D12" s="11" t="s">
        <v>54</v>
      </c>
      <c r="E12" s="14">
        <v>4872</v>
      </c>
      <c r="F12" s="11" t="s">
        <v>21</v>
      </c>
      <c r="G12" s="5">
        <v>4.17</v>
      </c>
      <c r="H12" s="36">
        <f t="shared" si="0"/>
        <v>3738188.16</v>
      </c>
      <c r="I12" s="44" t="s">
        <v>405</v>
      </c>
    </row>
    <row r="13" spans="1:9" hidden="1" x14ac:dyDescent="0.2">
      <c r="A13" s="11">
        <v>184</v>
      </c>
      <c r="B13" s="16">
        <v>111739.32</v>
      </c>
      <c r="C13" s="13">
        <v>44962</v>
      </c>
      <c r="D13" s="11" t="s">
        <v>54</v>
      </c>
      <c r="E13" s="14">
        <v>26796</v>
      </c>
      <c r="F13" s="11" t="s">
        <v>21</v>
      </c>
      <c r="G13" s="5">
        <v>4.17</v>
      </c>
      <c r="H13" s="36">
        <f t="shared" si="0"/>
        <v>20560034.880000003</v>
      </c>
      <c r="I13" s="44" t="s">
        <v>405</v>
      </c>
    </row>
    <row r="14" spans="1:9" hidden="1" x14ac:dyDescent="0.2">
      <c r="A14" s="11">
        <v>189</v>
      </c>
      <c r="B14" s="16">
        <v>203162.4</v>
      </c>
      <c r="C14" s="13">
        <v>44957</v>
      </c>
      <c r="D14" s="11" t="s">
        <v>54</v>
      </c>
      <c r="E14" s="14">
        <v>48720</v>
      </c>
      <c r="F14" s="11" t="s">
        <v>21</v>
      </c>
      <c r="G14" s="5">
        <v>4.17</v>
      </c>
      <c r="H14" s="36">
        <f t="shared" si="0"/>
        <v>38397693.600000001</v>
      </c>
      <c r="I14" s="44" t="s">
        <v>406</v>
      </c>
    </row>
    <row r="15" spans="1:9" hidden="1" x14ac:dyDescent="0.2">
      <c r="A15" s="11">
        <v>57</v>
      </c>
      <c r="B15" s="16">
        <v>10158.120000000001</v>
      </c>
      <c r="C15" s="13">
        <v>45089</v>
      </c>
      <c r="D15" s="11" t="s">
        <v>54</v>
      </c>
      <c r="E15" s="14">
        <v>2436</v>
      </c>
      <c r="F15" s="11" t="s">
        <v>22</v>
      </c>
      <c r="G15" s="5">
        <v>4.17</v>
      </c>
      <c r="H15" s="36">
        <f t="shared" si="0"/>
        <v>579012.84000000008</v>
      </c>
      <c r="I15" s="44" t="s">
        <v>407</v>
      </c>
    </row>
    <row r="16" spans="1:9" hidden="1" x14ac:dyDescent="0.2">
      <c r="A16" s="11">
        <v>57</v>
      </c>
      <c r="B16" s="16">
        <v>132055.56</v>
      </c>
      <c r="C16" s="13">
        <v>45089</v>
      </c>
      <c r="D16" s="11" t="s">
        <v>54</v>
      </c>
      <c r="E16" s="14">
        <v>31668</v>
      </c>
      <c r="F16" s="11" t="s">
        <v>22</v>
      </c>
      <c r="G16" s="5">
        <v>4.17</v>
      </c>
      <c r="H16" s="36">
        <f t="shared" si="0"/>
        <v>7527166.9199999999</v>
      </c>
      <c r="I16" s="44" t="s">
        <v>407</v>
      </c>
    </row>
    <row r="17" spans="1:9" hidden="1" x14ac:dyDescent="0.2">
      <c r="A17" s="11">
        <v>57</v>
      </c>
      <c r="B17" s="16">
        <v>213320.52</v>
      </c>
      <c r="C17" s="13">
        <v>45089</v>
      </c>
      <c r="D17" s="11" t="s">
        <v>54</v>
      </c>
      <c r="E17" s="14">
        <v>51156</v>
      </c>
      <c r="F17" s="11" t="s">
        <v>22</v>
      </c>
      <c r="G17" s="5">
        <v>4.17</v>
      </c>
      <c r="H17" s="36">
        <f t="shared" si="0"/>
        <v>12159269.639999999</v>
      </c>
      <c r="I17" s="44" t="s">
        <v>407</v>
      </c>
    </row>
    <row r="18" spans="1:9" hidden="1" x14ac:dyDescent="0.2">
      <c r="A18" s="11">
        <v>57</v>
      </c>
      <c r="B18" s="16">
        <v>681655.84</v>
      </c>
      <c r="C18" s="13">
        <v>45089</v>
      </c>
      <c r="D18" s="11" t="s">
        <v>51</v>
      </c>
      <c r="E18" s="14">
        <v>53296</v>
      </c>
      <c r="F18" s="11" t="s">
        <v>22</v>
      </c>
      <c r="G18" s="5">
        <v>12.79</v>
      </c>
      <c r="H18" s="36">
        <f t="shared" si="0"/>
        <v>38854382.879999995</v>
      </c>
      <c r="I18" s="44" t="s">
        <v>407</v>
      </c>
    </row>
    <row r="19" spans="1:9" hidden="1" x14ac:dyDescent="0.2">
      <c r="A19" s="11">
        <v>57</v>
      </c>
      <c r="B19" s="16">
        <v>132055.56</v>
      </c>
      <c r="C19" s="13">
        <v>45089</v>
      </c>
      <c r="D19" s="11" t="s">
        <v>54</v>
      </c>
      <c r="E19" s="14">
        <v>31668</v>
      </c>
      <c r="F19" s="11" t="s">
        <v>22</v>
      </c>
      <c r="G19" s="5">
        <v>4.17</v>
      </c>
      <c r="H19" s="36">
        <f t="shared" si="0"/>
        <v>7527166.9199999999</v>
      </c>
      <c r="I19" s="44" t="s">
        <v>407</v>
      </c>
    </row>
    <row r="20" spans="1:9" hidden="1" x14ac:dyDescent="0.2">
      <c r="A20" s="11">
        <v>57</v>
      </c>
      <c r="B20" s="16">
        <v>91423.08</v>
      </c>
      <c r="C20" s="13">
        <v>45089</v>
      </c>
      <c r="D20" s="11" t="s">
        <v>54</v>
      </c>
      <c r="E20" s="14">
        <v>21924</v>
      </c>
      <c r="F20" s="11" t="s">
        <v>22</v>
      </c>
      <c r="G20" s="5">
        <v>4.17</v>
      </c>
      <c r="H20" s="36">
        <f t="shared" si="0"/>
        <v>5211115.5600000005</v>
      </c>
      <c r="I20" s="44" t="s">
        <v>407</v>
      </c>
    </row>
    <row r="21" spans="1:9" hidden="1" x14ac:dyDescent="0.2">
      <c r="A21" s="11">
        <v>57</v>
      </c>
      <c r="B21" s="16">
        <v>1991147.2</v>
      </c>
      <c r="C21" s="13">
        <v>45089</v>
      </c>
      <c r="D21" s="11" t="s">
        <v>51</v>
      </c>
      <c r="E21" s="14">
        <v>155680</v>
      </c>
      <c r="F21" s="11" t="s">
        <v>22</v>
      </c>
      <c r="G21" s="5">
        <v>12.79</v>
      </c>
      <c r="H21" s="36">
        <f t="shared" si="0"/>
        <v>113495390.39999999</v>
      </c>
      <c r="I21" s="44" t="s">
        <v>407</v>
      </c>
    </row>
    <row r="22" spans="1:9" hidden="1" x14ac:dyDescent="0.2">
      <c r="A22" s="11">
        <v>55</v>
      </c>
      <c r="B22" s="16">
        <v>700597.83</v>
      </c>
      <c r="C22" s="13">
        <v>45091</v>
      </c>
      <c r="D22" s="11" t="s">
        <v>51</v>
      </c>
      <c r="E22" s="14">
        <v>54777</v>
      </c>
      <c r="F22" s="11" t="s">
        <v>22</v>
      </c>
      <c r="G22" s="5">
        <v>12.79</v>
      </c>
      <c r="H22" s="36">
        <f t="shared" si="0"/>
        <v>38532880.649999999</v>
      </c>
      <c r="I22" s="44" t="s">
        <v>407</v>
      </c>
    </row>
    <row r="23" spans="1:9" hidden="1" x14ac:dyDescent="0.2">
      <c r="A23" s="11">
        <v>42</v>
      </c>
      <c r="B23" s="16">
        <v>1048370.4</v>
      </c>
      <c r="C23" s="13">
        <v>45104</v>
      </c>
      <c r="D23" s="11" t="s">
        <v>53</v>
      </c>
      <c r="E23" s="14">
        <v>37576</v>
      </c>
      <c r="F23" s="11" t="s">
        <v>22</v>
      </c>
      <c r="G23" s="5">
        <v>27.9</v>
      </c>
      <c r="H23" s="36">
        <f t="shared" si="0"/>
        <v>44031556.800000004</v>
      </c>
      <c r="I23" s="44" t="s">
        <v>407</v>
      </c>
    </row>
    <row r="24" spans="1:9" hidden="1" x14ac:dyDescent="0.2">
      <c r="A24" s="11">
        <v>42</v>
      </c>
      <c r="B24" s="16">
        <v>403880.4</v>
      </c>
      <c r="C24" s="13">
        <v>45104</v>
      </c>
      <c r="D24" s="11" t="s">
        <v>53</v>
      </c>
      <c r="E24" s="14">
        <v>14476</v>
      </c>
      <c r="F24" s="11" t="s">
        <v>22</v>
      </c>
      <c r="G24" s="5">
        <v>27.9</v>
      </c>
      <c r="H24" s="36">
        <f t="shared" si="0"/>
        <v>16962976.800000001</v>
      </c>
      <c r="I24" s="44" t="s">
        <v>407</v>
      </c>
    </row>
    <row r="25" spans="1:9" hidden="1" x14ac:dyDescent="0.2">
      <c r="A25" s="11">
        <v>42</v>
      </c>
      <c r="B25" s="16">
        <v>627303.6</v>
      </c>
      <c r="C25" s="13">
        <v>45104</v>
      </c>
      <c r="D25" s="11" t="s">
        <v>53</v>
      </c>
      <c r="E25" s="14">
        <v>22484</v>
      </c>
      <c r="F25" s="11" t="s">
        <v>22</v>
      </c>
      <c r="G25" s="5">
        <v>27.9</v>
      </c>
      <c r="H25" s="36">
        <f t="shared" si="0"/>
        <v>26346751.199999999</v>
      </c>
      <c r="I25" s="44" t="s">
        <v>407</v>
      </c>
    </row>
    <row r="26" spans="1:9" hidden="1" x14ac:dyDescent="0.2">
      <c r="A26" s="11">
        <v>42</v>
      </c>
      <c r="B26" s="16">
        <v>824947.19999999995</v>
      </c>
      <c r="C26" s="13">
        <v>45104</v>
      </c>
      <c r="D26" s="11" t="s">
        <v>53</v>
      </c>
      <c r="E26" s="14">
        <v>29568</v>
      </c>
      <c r="F26" s="11" t="s">
        <v>22</v>
      </c>
      <c r="G26" s="5">
        <v>27.9</v>
      </c>
      <c r="H26" s="36">
        <f t="shared" si="0"/>
        <v>34647782.399999999</v>
      </c>
      <c r="I26" s="44" t="s">
        <v>407</v>
      </c>
    </row>
    <row r="27" spans="1:9" hidden="1" x14ac:dyDescent="0.2">
      <c r="A27" s="11">
        <v>42</v>
      </c>
      <c r="B27" s="16">
        <v>610061.4</v>
      </c>
      <c r="C27" s="13">
        <v>45104</v>
      </c>
      <c r="D27" s="11" t="s">
        <v>53</v>
      </c>
      <c r="E27" s="14">
        <v>21866</v>
      </c>
      <c r="F27" s="11" t="s">
        <v>22</v>
      </c>
      <c r="G27" s="5">
        <v>27.9</v>
      </c>
      <c r="H27" s="36">
        <f t="shared" si="0"/>
        <v>25622578.800000001</v>
      </c>
      <c r="I27" s="44" t="s">
        <v>407</v>
      </c>
    </row>
    <row r="28" spans="1:9" hidden="1" x14ac:dyDescent="0.2">
      <c r="A28" s="11">
        <v>42</v>
      </c>
      <c r="B28" s="16">
        <v>842189.4</v>
      </c>
      <c r="C28" s="13">
        <v>45104</v>
      </c>
      <c r="D28" s="11" t="s">
        <v>53</v>
      </c>
      <c r="E28" s="14">
        <v>30186</v>
      </c>
      <c r="F28" s="11" t="s">
        <v>22</v>
      </c>
      <c r="G28" s="5">
        <v>27.9</v>
      </c>
      <c r="H28" s="36">
        <f t="shared" si="0"/>
        <v>35371954.800000004</v>
      </c>
      <c r="I28" s="44" t="s">
        <v>407</v>
      </c>
    </row>
    <row r="29" spans="1:9" hidden="1" x14ac:dyDescent="0.2">
      <c r="A29" s="11">
        <v>42</v>
      </c>
      <c r="B29" s="16">
        <v>902286</v>
      </c>
      <c r="C29" s="13">
        <v>45104</v>
      </c>
      <c r="D29" s="11" t="s">
        <v>53</v>
      </c>
      <c r="E29" s="14">
        <v>32340</v>
      </c>
      <c r="F29" s="11" t="s">
        <v>22</v>
      </c>
      <c r="G29" s="5">
        <v>27.9</v>
      </c>
      <c r="H29" s="36">
        <f t="shared" si="0"/>
        <v>37896012</v>
      </c>
      <c r="I29" s="44" t="s">
        <v>407</v>
      </c>
    </row>
    <row r="30" spans="1:9" hidden="1" x14ac:dyDescent="0.2">
      <c r="A30" s="11">
        <v>42</v>
      </c>
      <c r="B30" s="16">
        <v>549964.80000000005</v>
      </c>
      <c r="C30" s="13">
        <v>45104</v>
      </c>
      <c r="D30" s="11" t="s">
        <v>53</v>
      </c>
      <c r="E30" s="14">
        <v>19712</v>
      </c>
      <c r="F30" s="11" t="s">
        <v>22</v>
      </c>
      <c r="G30" s="5">
        <v>27.9</v>
      </c>
      <c r="H30" s="36">
        <f t="shared" si="0"/>
        <v>23098521.600000001</v>
      </c>
      <c r="I30" s="44" t="s">
        <v>407</v>
      </c>
    </row>
    <row r="31" spans="1:9" hidden="1" x14ac:dyDescent="0.2">
      <c r="A31" s="11">
        <v>42</v>
      </c>
      <c r="B31" s="16">
        <v>1160082</v>
      </c>
      <c r="C31" s="13">
        <v>45104</v>
      </c>
      <c r="D31" s="11" t="s">
        <v>53</v>
      </c>
      <c r="E31" s="14">
        <v>41580</v>
      </c>
      <c r="F31" s="11" t="s">
        <v>22</v>
      </c>
      <c r="G31" s="5">
        <v>27.9</v>
      </c>
      <c r="H31" s="36">
        <f t="shared" si="0"/>
        <v>48723444</v>
      </c>
      <c r="I31" s="44" t="s">
        <v>407</v>
      </c>
    </row>
    <row r="32" spans="1:9" hidden="1" x14ac:dyDescent="0.2">
      <c r="A32" s="11">
        <v>42</v>
      </c>
      <c r="B32" s="16">
        <v>292168.8</v>
      </c>
      <c r="C32" s="13">
        <v>45104</v>
      </c>
      <c r="D32" s="11" t="s">
        <v>53</v>
      </c>
      <c r="E32" s="14">
        <v>10472</v>
      </c>
      <c r="F32" s="11" t="s">
        <v>22</v>
      </c>
      <c r="G32" s="5">
        <v>27.9</v>
      </c>
      <c r="H32" s="36">
        <f t="shared" si="0"/>
        <v>12271089.6</v>
      </c>
      <c r="I32" s="44" t="s">
        <v>407</v>
      </c>
    </row>
    <row r="33" spans="1:9" hidden="1" x14ac:dyDescent="0.2">
      <c r="A33" s="11">
        <v>42</v>
      </c>
      <c r="B33" s="16">
        <v>25779.599999999999</v>
      </c>
      <c r="C33" s="13">
        <v>45104</v>
      </c>
      <c r="D33" s="11" t="s">
        <v>53</v>
      </c>
      <c r="E33" s="14">
        <v>924</v>
      </c>
      <c r="F33" s="11" t="s">
        <v>22</v>
      </c>
      <c r="G33" s="5">
        <v>27.9</v>
      </c>
      <c r="H33" s="36">
        <f t="shared" si="0"/>
        <v>1082743.2</v>
      </c>
      <c r="I33" s="44" t="s">
        <v>407</v>
      </c>
    </row>
    <row r="34" spans="1:9" hidden="1" x14ac:dyDescent="0.2">
      <c r="A34" s="11">
        <v>42</v>
      </c>
      <c r="B34" s="16">
        <v>1426471.2</v>
      </c>
      <c r="C34" s="13">
        <v>45104</v>
      </c>
      <c r="D34" s="11" t="s">
        <v>53</v>
      </c>
      <c r="E34" s="14">
        <v>51128</v>
      </c>
      <c r="F34" s="11" t="s">
        <v>22</v>
      </c>
      <c r="G34" s="5">
        <v>27.9</v>
      </c>
      <c r="H34" s="36">
        <f t="shared" si="0"/>
        <v>59911790.399999999</v>
      </c>
      <c r="I34" s="44" t="s">
        <v>407</v>
      </c>
    </row>
    <row r="35" spans="1:9" hidden="1" x14ac:dyDescent="0.2">
      <c r="A35" s="11">
        <v>42</v>
      </c>
      <c r="B35" s="16">
        <v>1901617.2</v>
      </c>
      <c r="C35" s="13">
        <v>45104</v>
      </c>
      <c r="D35" s="11" t="s">
        <v>51</v>
      </c>
      <c r="E35" s="14">
        <v>148680</v>
      </c>
      <c r="F35" s="11" t="s">
        <v>22</v>
      </c>
      <c r="G35" s="5">
        <v>12.79</v>
      </c>
      <c r="H35" s="36">
        <f t="shared" si="0"/>
        <v>79867922.399999991</v>
      </c>
      <c r="I35" s="44" t="s">
        <v>407</v>
      </c>
    </row>
    <row r="36" spans="1:9" hidden="1" x14ac:dyDescent="0.2">
      <c r="A36" s="11">
        <v>42</v>
      </c>
      <c r="B36" s="16">
        <v>773539.2</v>
      </c>
      <c r="C36" s="13">
        <v>45104</v>
      </c>
      <c r="D36" s="11" t="s">
        <v>51</v>
      </c>
      <c r="E36" s="14">
        <v>60480</v>
      </c>
      <c r="F36" s="11" t="s">
        <v>22</v>
      </c>
      <c r="G36" s="5">
        <v>12.79</v>
      </c>
      <c r="H36" s="36">
        <f t="shared" si="0"/>
        <v>32488646.399999999</v>
      </c>
      <c r="I36" s="44" t="s">
        <v>407</v>
      </c>
    </row>
    <row r="37" spans="1:9" hidden="1" x14ac:dyDescent="0.2">
      <c r="A37" s="11">
        <v>42</v>
      </c>
      <c r="B37" s="16">
        <v>658940.80000000005</v>
      </c>
      <c r="C37" s="13">
        <v>45104</v>
      </c>
      <c r="D37" s="11" t="s">
        <v>52</v>
      </c>
      <c r="E37" s="14">
        <v>51520</v>
      </c>
      <c r="F37" s="11" t="s">
        <v>22</v>
      </c>
      <c r="G37" s="5">
        <v>12.79</v>
      </c>
      <c r="H37" s="36">
        <f t="shared" si="0"/>
        <v>27675513.600000001</v>
      </c>
      <c r="I37" s="44" t="s">
        <v>407</v>
      </c>
    </row>
    <row r="38" spans="1:9" hidden="1" x14ac:dyDescent="0.2">
      <c r="A38" s="11">
        <v>42</v>
      </c>
      <c r="B38" s="16">
        <v>658940.80000000005</v>
      </c>
      <c r="C38" s="13">
        <v>45104</v>
      </c>
      <c r="D38" s="11" t="s">
        <v>52</v>
      </c>
      <c r="E38" s="14">
        <v>51520</v>
      </c>
      <c r="F38" s="11" t="s">
        <v>22</v>
      </c>
      <c r="G38" s="5">
        <v>12.79</v>
      </c>
      <c r="H38" s="36">
        <f t="shared" si="0"/>
        <v>27675513.600000001</v>
      </c>
      <c r="I38" s="44" t="s">
        <v>407</v>
      </c>
    </row>
    <row r="39" spans="1:9" hidden="1" x14ac:dyDescent="0.2">
      <c r="A39" s="11">
        <v>42</v>
      </c>
      <c r="B39" s="16">
        <v>415419.2</v>
      </c>
      <c r="C39" s="13">
        <v>45104</v>
      </c>
      <c r="D39" s="11" t="s">
        <v>52</v>
      </c>
      <c r="E39" s="14">
        <v>32480</v>
      </c>
      <c r="F39" s="11" t="s">
        <v>22</v>
      </c>
      <c r="G39" s="5">
        <v>12.79</v>
      </c>
      <c r="H39" s="36">
        <f t="shared" si="0"/>
        <v>17447606.400000002</v>
      </c>
      <c r="I39" s="44" t="s">
        <v>407</v>
      </c>
    </row>
    <row r="40" spans="1:9" hidden="1" x14ac:dyDescent="0.2">
      <c r="A40" s="11">
        <v>42</v>
      </c>
      <c r="B40" s="16">
        <v>673265.6</v>
      </c>
      <c r="C40" s="13">
        <v>45104</v>
      </c>
      <c r="D40" s="11" t="s">
        <v>52</v>
      </c>
      <c r="E40" s="14">
        <v>52640</v>
      </c>
      <c r="F40" s="11" t="s">
        <v>22</v>
      </c>
      <c r="G40" s="5">
        <v>12.79</v>
      </c>
      <c r="H40" s="36">
        <f t="shared" si="0"/>
        <v>28277155.199999999</v>
      </c>
      <c r="I40" s="44" t="s">
        <v>407</v>
      </c>
    </row>
    <row r="41" spans="1:9" hidden="1" x14ac:dyDescent="0.2">
      <c r="A41" s="11">
        <v>42</v>
      </c>
      <c r="B41" s="16">
        <v>28649.599999999999</v>
      </c>
      <c r="C41" s="13">
        <v>45104</v>
      </c>
      <c r="D41" s="11" t="s">
        <v>51</v>
      </c>
      <c r="E41" s="14">
        <v>2240</v>
      </c>
      <c r="F41" s="11" t="s">
        <v>22</v>
      </c>
      <c r="G41" s="5">
        <v>12.79</v>
      </c>
      <c r="H41" s="36">
        <f t="shared" si="0"/>
        <v>1203283.2</v>
      </c>
      <c r="I41" s="44" t="s">
        <v>407</v>
      </c>
    </row>
    <row r="42" spans="1:9" hidden="1" x14ac:dyDescent="0.2">
      <c r="A42" s="11">
        <v>42</v>
      </c>
      <c r="B42" s="16">
        <v>292168.8</v>
      </c>
      <c r="C42" s="13">
        <v>45104</v>
      </c>
      <c r="D42" s="11" t="s">
        <v>53</v>
      </c>
      <c r="E42" s="14">
        <v>10472</v>
      </c>
      <c r="F42" s="11" t="s">
        <v>22</v>
      </c>
      <c r="G42" s="5">
        <v>27.9</v>
      </c>
      <c r="H42" s="36">
        <f t="shared" si="0"/>
        <v>12271089.6</v>
      </c>
      <c r="I42" s="44" t="s">
        <v>407</v>
      </c>
    </row>
    <row r="43" spans="1:9" hidden="1" x14ac:dyDescent="0.2">
      <c r="A43" s="11">
        <v>42</v>
      </c>
      <c r="B43" s="16">
        <v>1297573.2</v>
      </c>
      <c r="C43" s="13">
        <v>45104</v>
      </c>
      <c r="D43" s="11" t="s">
        <v>53</v>
      </c>
      <c r="E43" s="14">
        <v>46508</v>
      </c>
      <c r="F43" s="11" t="s">
        <v>22</v>
      </c>
      <c r="G43" s="5">
        <v>27.9</v>
      </c>
      <c r="H43" s="36">
        <f t="shared" si="0"/>
        <v>54498074.399999999</v>
      </c>
      <c r="I43" s="44" t="s">
        <v>407</v>
      </c>
    </row>
    <row r="44" spans="1:9" hidden="1" x14ac:dyDescent="0.2">
      <c r="A44" s="11">
        <v>42</v>
      </c>
      <c r="B44" s="16">
        <v>146084.4</v>
      </c>
      <c r="C44" s="13">
        <v>45104</v>
      </c>
      <c r="D44" s="11" t="s">
        <v>53</v>
      </c>
      <c r="E44" s="14">
        <v>5236</v>
      </c>
      <c r="F44" s="11" t="s">
        <v>22</v>
      </c>
      <c r="G44" s="5">
        <v>27.9</v>
      </c>
      <c r="H44" s="36">
        <f t="shared" si="0"/>
        <v>6135544.7999999998</v>
      </c>
      <c r="I44" s="44" t="s">
        <v>407</v>
      </c>
    </row>
    <row r="45" spans="1:9" hidden="1" x14ac:dyDescent="0.2">
      <c r="A45" s="11">
        <v>41</v>
      </c>
      <c r="B45" s="16">
        <v>1332206.3999999999</v>
      </c>
      <c r="C45" s="13">
        <v>45105</v>
      </c>
      <c r="D45" s="11" t="s">
        <v>51</v>
      </c>
      <c r="E45" s="14">
        <v>104160</v>
      </c>
      <c r="F45" s="11" t="s">
        <v>22</v>
      </c>
      <c r="G45" s="5">
        <v>12.79</v>
      </c>
      <c r="H45" s="36">
        <f t="shared" si="0"/>
        <v>54620462.399999999</v>
      </c>
      <c r="I45" s="44" t="s">
        <v>407</v>
      </c>
    </row>
    <row r="46" spans="1:9" hidden="1" x14ac:dyDescent="0.2">
      <c r="A46" s="11">
        <v>41</v>
      </c>
      <c r="B46" s="16">
        <v>1332206.3999999999</v>
      </c>
      <c r="C46" s="13">
        <v>45105</v>
      </c>
      <c r="D46" s="11" t="s">
        <v>51</v>
      </c>
      <c r="E46" s="14">
        <v>104160</v>
      </c>
      <c r="F46" s="11" t="s">
        <v>22</v>
      </c>
      <c r="G46" s="5">
        <v>12.79</v>
      </c>
      <c r="H46" s="36">
        <f t="shared" si="0"/>
        <v>54620462.399999999</v>
      </c>
      <c r="I46" s="44" t="s">
        <v>407</v>
      </c>
    </row>
    <row r="47" spans="1:9" hidden="1" x14ac:dyDescent="0.2">
      <c r="A47" s="11">
        <v>41</v>
      </c>
      <c r="B47" s="16">
        <v>1103009.6000000001</v>
      </c>
      <c r="C47" s="13">
        <v>45105</v>
      </c>
      <c r="D47" s="11" t="s">
        <v>51</v>
      </c>
      <c r="E47" s="14">
        <v>86240</v>
      </c>
      <c r="F47" s="11" t="s">
        <v>22</v>
      </c>
      <c r="G47" s="5">
        <v>12.79</v>
      </c>
      <c r="H47" s="36">
        <f t="shared" si="0"/>
        <v>45223393.600000001</v>
      </c>
      <c r="I47" s="44" t="s">
        <v>407</v>
      </c>
    </row>
    <row r="48" spans="1:9" hidden="1" x14ac:dyDescent="0.2">
      <c r="A48" s="11">
        <v>41</v>
      </c>
      <c r="B48" s="16">
        <v>673265.6</v>
      </c>
      <c r="C48" s="13">
        <v>45105</v>
      </c>
      <c r="D48" s="11" t="s">
        <v>52</v>
      </c>
      <c r="E48" s="14">
        <v>52640</v>
      </c>
      <c r="F48" s="11" t="s">
        <v>22</v>
      </c>
      <c r="G48" s="5">
        <v>12.79</v>
      </c>
      <c r="H48" s="36">
        <f t="shared" si="0"/>
        <v>27603889.599999998</v>
      </c>
      <c r="I48" s="44" t="s">
        <v>407</v>
      </c>
    </row>
    <row r="49" spans="1:9" hidden="1" x14ac:dyDescent="0.2">
      <c r="A49" s="11">
        <v>41</v>
      </c>
      <c r="B49" s="16">
        <v>306960</v>
      </c>
      <c r="C49" s="13">
        <v>45105</v>
      </c>
      <c r="D49" s="11" t="s">
        <v>52</v>
      </c>
      <c r="E49" s="14">
        <v>24000</v>
      </c>
      <c r="F49" s="11" t="s">
        <v>22</v>
      </c>
      <c r="G49" s="5">
        <v>12.79</v>
      </c>
      <c r="H49" s="36">
        <f t="shared" si="0"/>
        <v>12585360</v>
      </c>
      <c r="I49" s="44" t="s">
        <v>407</v>
      </c>
    </row>
    <row r="50" spans="1:9" hidden="1" x14ac:dyDescent="0.2">
      <c r="A50" s="11">
        <v>40</v>
      </c>
      <c r="B50" s="16">
        <v>544342.4</v>
      </c>
      <c r="C50" s="13">
        <v>45106</v>
      </c>
      <c r="D50" s="11" t="s">
        <v>52</v>
      </c>
      <c r="E50" s="14">
        <v>42560</v>
      </c>
      <c r="F50" s="11" t="s">
        <v>22</v>
      </c>
      <c r="G50" s="5">
        <v>12.79</v>
      </c>
      <c r="H50" s="36">
        <f t="shared" si="0"/>
        <v>21773696</v>
      </c>
      <c r="I50" s="44" t="s">
        <v>407</v>
      </c>
    </row>
    <row r="51" spans="1:9" hidden="1" x14ac:dyDescent="0.2">
      <c r="A51" s="11">
        <v>40</v>
      </c>
      <c r="B51" s="16">
        <v>114598.39999999999</v>
      </c>
      <c r="C51" s="13">
        <v>45106</v>
      </c>
      <c r="D51" s="11" t="s">
        <v>51</v>
      </c>
      <c r="E51" s="14">
        <v>8960</v>
      </c>
      <c r="F51" s="11" t="s">
        <v>22</v>
      </c>
      <c r="G51" s="5">
        <v>12.79</v>
      </c>
      <c r="H51" s="36">
        <f t="shared" si="0"/>
        <v>4583936</v>
      </c>
      <c r="I51" s="44" t="s">
        <v>407</v>
      </c>
    </row>
    <row r="52" spans="1:9" hidden="1" x14ac:dyDescent="0.2">
      <c r="A52" s="11">
        <v>40</v>
      </c>
      <c r="B52" s="16">
        <v>658940.80000000005</v>
      </c>
      <c r="C52" s="13">
        <v>45106</v>
      </c>
      <c r="D52" s="11" t="s">
        <v>52</v>
      </c>
      <c r="E52" s="14">
        <v>51520</v>
      </c>
      <c r="F52" s="11" t="s">
        <v>22</v>
      </c>
      <c r="G52" s="5">
        <v>12.79</v>
      </c>
      <c r="H52" s="36">
        <f t="shared" si="0"/>
        <v>26357632</v>
      </c>
      <c r="I52" s="44" t="s">
        <v>407</v>
      </c>
    </row>
    <row r="53" spans="1:9" hidden="1" x14ac:dyDescent="0.2">
      <c r="A53" s="11">
        <v>36</v>
      </c>
      <c r="B53" s="16">
        <v>1332206.3999999999</v>
      </c>
      <c r="C53" s="13">
        <v>45110</v>
      </c>
      <c r="D53" s="11" t="s">
        <v>51</v>
      </c>
      <c r="E53" s="14">
        <v>104160</v>
      </c>
      <c r="F53" s="11" t="s">
        <v>22</v>
      </c>
      <c r="G53" s="5">
        <v>12.79</v>
      </c>
      <c r="H53" s="36">
        <f t="shared" si="0"/>
        <v>47959430.399999999</v>
      </c>
      <c r="I53" s="44" t="s">
        <v>408</v>
      </c>
    </row>
    <row r="54" spans="1:9" hidden="1" x14ac:dyDescent="0.2">
      <c r="A54" s="11">
        <v>36</v>
      </c>
      <c r="B54" s="16">
        <v>1332206.3999999999</v>
      </c>
      <c r="C54" s="13">
        <v>45110</v>
      </c>
      <c r="D54" s="11" t="s">
        <v>51</v>
      </c>
      <c r="E54" s="14">
        <v>104160</v>
      </c>
      <c r="F54" s="11" t="s">
        <v>22</v>
      </c>
      <c r="G54" s="5">
        <v>12.79</v>
      </c>
      <c r="H54" s="36">
        <f t="shared" si="0"/>
        <v>47959430.399999999</v>
      </c>
      <c r="I54" s="44" t="s">
        <v>408</v>
      </c>
    </row>
    <row r="55" spans="1:9" hidden="1" x14ac:dyDescent="0.2">
      <c r="A55" s="11">
        <v>36</v>
      </c>
      <c r="B55" s="16">
        <v>1686694.04</v>
      </c>
      <c r="C55" s="13">
        <v>45110</v>
      </c>
      <c r="D55" s="11" t="s">
        <v>52</v>
      </c>
      <c r="E55" s="14">
        <v>131876</v>
      </c>
      <c r="F55" s="11" t="s">
        <v>22</v>
      </c>
      <c r="G55" s="5">
        <v>12.79</v>
      </c>
      <c r="H55" s="36">
        <f t="shared" si="0"/>
        <v>60720985.439999998</v>
      </c>
      <c r="I55" s="44" t="s">
        <v>408</v>
      </c>
    </row>
    <row r="56" spans="1:9" hidden="1" x14ac:dyDescent="0.2">
      <c r="A56" s="11">
        <v>36</v>
      </c>
      <c r="B56" s="16">
        <v>315145.59999999998</v>
      </c>
      <c r="C56" s="13">
        <v>45110</v>
      </c>
      <c r="D56" s="11" t="s">
        <v>52</v>
      </c>
      <c r="E56" s="14">
        <v>24640</v>
      </c>
      <c r="F56" s="11" t="s">
        <v>22</v>
      </c>
      <c r="G56" s="5">
        <v>12.79</v>
      </c>
      <c r="H56" s="36">
        <f t="shared" si="0"/>
        <v>11345241.6</v>
      </c>
      <c r="I56" s="44" t="s">
        <v>408</v>
      </c>
    </row>
    <row r="57" spans="1:9" hidden="1" x14ac:dyDescent="0.2">
      <c r="A57" s="11">
        <v>36</v>
      </c>
      <c r="B57" s="16">
        <v>673265.6</v>
      </c>
      <c r="C57" s="13">
        <v>45110</v>
      </c>
      <c r="D57" s="11" t="s">
        <v>52</v>
      </c>
      <c r="E57" s="14">
        <v>52640</v>
      </c>
      <c r="F57" s="11" t="s">
        <v>22</v>
      </c>
      <c r="G57" s="5">
        <v>12.79</v>
      </c>
      <c r="H57" s="36">
        <f t="shared" si="0"/>
        <v>24237561.599999998</v>
      </c>
      <c r="I57" s="44" t="s">
        <v>408</v>
      </c>
    </row>
    <row r="58" spans="1:9" hidden="1" x14ac:dyDescent="0.2">
      <c r="A58" s="11">
        <v>35</v>
      </c>
      <c r="B58" s="16">
        <v>128923.2</v>
      </c>
      <c r="C58" s="13">
        <v>45111</v>
      </c>
      <c r="D58" s="11" t="s">
        <v>52</v>
      </c>
      <c r="E58" s="14">
        <v>10080</v>
      </c>
      <c r="F58" s="11" t="s">
        <v>22</v>
      </c>
      <c r="G58" s="5">
        <v>12.79</v>
      </c>
      <c r="H58" s="36">
        <f t="shared" si="0"/>
        <v>4512312</v>
      </c>
      <c r="I58" s="44" t="s">
        <v>408</v>
      </c>
    </row>
    <row r="59" spans="1:9" hidden="1" x14ac:dyDescent="0.2">
      <c r="A59" s="11">
        <v>35</v>
      </c>
      <c r="B59" s="16">
        <v>873812.8</v>
      </c>
      <c r="C59" s="13">
        <v>45111</v>
      </c>
      <c r="D59" s="11" t="s">
        <v>51</v>
      </c>
      <c r="E59" s="14">
        <v>68320</v>
      </c>
      <c r="F59" s="11" t="s">
        <v>22</v>
      </c>
      <c r="G59" s="5">
        <v>12.79</v>
      </c>
      <c r="H59" s="36">
        <f t="shared" si="0"/>
        <v>30583448</v>
      </c>
      <c r="I59" s="44" t="s">
        <v>408</v>
      </c>
    </row>
    <row r="60" spans="1:9" hidden="1" x14ac:dyDescent="0.2">
      <c r="A60" s="11">
        <v>35</v>
      </c>
      <c r="B60" s="16">
        <v>773388</v>
      </c>
      <c r="C60" s="13">
        <v>45111</v>
      </c>
      <c r="D60" s="11" t="s">
        <v>53</v>
      </c>
      <c r="E60" s="14">
        <v>27720</v>
      </c>
      <c r="F60" s="11" t="s">
        <v>22</v>
      </c>
      <c r="G60" s="5">
        <v>27.9</v>
      </c>
      <c r="H60" s="36">
        <f t="shared" si="0"/>
        <v>27068580</v>
      </c>
      <c r="I60" s="44" t="s">
        <v>408</v>
      </c>
    </row>
    <row r="61" spans="1:9" hidden="1" x14ac:dyDescent="0.2">
      <c r="A61" s="11">
        <v>35</v>
      </c>
      <c r="B61" s="16">
        <v>1332206.3999999999</v>
      </c>
      <c r="C61" s="13">
        <v>45111</v>
      </c>
      <c r="D61" s="11" t="s">
        <v>51</v>
      </c>
      <c r="E61" s="14">
        <v>104160</v>
      </c>
      <c r="F61" s="11" t="s">
        <v>22</v>
      </c>
      <c r="G61" s="5">
        <v>12.79</v>
      </c>
      <c r="H61" s="36">
        <f t="shared" si="0"/>
        <v>46627224</v>
      </c>
      <c r="I61" s="44" t="s">
        <v>408</v>
      </c>
    </row>
    <row r="62" spans="1:9" hidden="1" x14ac:dyDescent="0.2">
      <c r="A62" s="11">
        <v>34</v>
      </c>
      <c r="B62" s="16">
        <v>132555.56</v>
      </c>
      <c r="C62" s="13">
        <v>45112</v>
      </c>
      <c r="D62" s="11" t="s">
        <v>52</v>
      </c>
      <c r="E62" s="14">
        <v>10364</v>
      </c>
      <c r="F62" s="11" t="s">
        <v>22</v>
      </c>
      <c r="G62" s="5">
        <v>12.79</v>
      </c>
      <c r="H62" s="36">
        <f t="shared" si="0"/>
        <v>4506889.04</v>
      </c>
      <c r="I62" s="44" t="s">
        <v>408</v>
      </c>
    </row>
    <row r="63" spans="1:9" hidden="1" x14ac:dyDescent="0.2">
      <c r="A63" s="11">
        <v>34</v>
      </c>
      <c r="B63" s="16">
        <v>1039366.56</v>
      </c>
      <c r="C63" s="13">
        <v>45112</v>
      </c>
      <c r="D63" s="11" t="s">
        <v>51</v>
      </c>
      <c r="E63" s="14">
        <v>81264</v>
      </c>
      <c r="F63" s="11" t="s">
        <v>22</v>
      </c>
      <c r="G63" s="5">
        <v>12.79</v>
      </c>
      <c r="H63" s="36">
        <f t="shared" si="0"/>
        <v>35338463.039999999</v>
      </c>
      <c r="I63" s="44" t="s">
        <v>408</v>
      </c>
    </row>
    <row r="64" spans="1:9" hidden="1" x14ac:dyDescent="0.2">
      <c r="A64" s="11">
        <v>33</v>
      </c>
      <c r="B64" s="16">
        <v>360914.4</v>
      </c>
      <c r="C64" s="13">
        <v>45113</v>
      </c>
      <c r="D64" s="11" t="s">
        <v>53</v>
      </c>
      <c r="E64" s="14">
        <v>12936</v>
      </c>
      <c r="F64" s="11" t="s">
        <v>22</v>
      </c>
      <c r="G64" s="5">
        <v>27.9</v>
      </c>
      <c r="H64" s="36">
        <f t="shared" si="0"/>
        <v>11910175.200000001</v>
      </c>
      <c r="I64" s="44" t="s">
        <v>408</v>
      </c>
    </row>
    <row r="65" spans="1:9" hidden="1" x14ac:dyDescent="0.2">
      <c r="A65" s="11">
        <v>33</v>
      </c>
      <c r="B65" s="16">
        <v>1091336.3999999999</v>
      </c>
      <c r="C65" s="13">
        <v>45113</v>
      </c>
      <c r="D65" s="11" t="s">
        <v>53</v>
      </c>
      <c r="E65" s="14">
        <v>39116</v>
      </c>
      <c r="F65" s="11" t="s">
        <v>22</v>
      </c>
      <c r="G65" s="5">
        <v>27.9</v>
      </c>
      <c r="H65" s="36">
        <f t="shared" si="0"/>
        <v>36014101.199999996</v>
      </c>
      <c r="I65" s="44" t="s">
        <v>408</v>
      </c>
    </row>
    <row r="66" spans="1:9" hidden="1" x14ac:dyDescent="0.2">
      <c r="A66" s="11">
        <v>27</v>
      </c>
      <c r="B66" s="16">
        <v>1332206.3999999999</v>
      </c>
      <c r="C66" s="13">
        <v>45119</v>
      </c>
      <c r="D66" s="11" t="s">
        <v>51</v>
      </c>
      <c r="E66" s="14">
        <v>104160</v>
      </c>
      <c r="F66" s="11" t="s">
        <v>23</v>
      </c>
      <c r="G66" s="5">
        <v>12.79</v>
      </c>
      <c r="H66" s="36">
        <f t="shared" si="0"/>
        <v>35969572.799999997</v>
      </c>
      <c r="I66" s="44" t="s">
        <v>408</v>
      </c>
    </row>
    <row r="67" spans="1:9" hidden="1" x14ac:dyDescent="0.2">
      <c r="A67" s="11">
        <v>21</v>
      </c>
      <c r="B67" s="16">
        <v>319839.53000000003</v>
      </c>
      <c r="C67" s="13">
        <v>45125</v>
      </c>
      <c r="D67" s="11" t="s">
        <v>51</v>
      </c>
      <c r="E67" s="14">
        <v>25007</v>
      </c>
      <c r="F67" s="11" t="s">
        <v>23</v>
      </c>
      <c r="G67" s="5">
        <v>12.79</v>
      </c>
      <c r="H67" s="36">
        <f t="shared" ref="H67:H130" si="1">B67*A67</f>
        <v>6716630.1300000008</v>
      </c>
      <c r="I67" s="44" t="s">
        <v>408</v>
      </c>
    </row>
    <row r="68" spans="1:9" hidden="1" x14ac:dyDescent="0.2">
      <c r="A68" s="11">
        <v>21</v>
      </c>
      <c r="B68" s="16">
        <v>246591.2</v>
      </c>
      <c r="C68" s="13">
        <v>45125</v>
      </c>
      <c r="D68" s="11" t="s">
        <v>52</v>
      </c>
      <c r="E68" s="14">
        <v>19280</v>
      </c>
      <c r="F68" s="11" t="s">
        <v>23</v>
      </c>
      <c r="G68" s="5">
        <v>12.79</v>
      </c>
      <c r="H68" s="36">
        <f t="shared" si="1"/>
        <v>5178415.2</v>
      </c>
      <c r="I68" s="44" t="s">
        <v>408</v>
      </c>
    </row>
    <row r="69" spans="1:9" hidden="1" x14ac:dyDescent="0.2">
      <c r="A69" s="11">
        <v>21</v>
      </c>
      <c r="B69" s="16">
        <v>278515.03999999998</v>
      </c>
      <c r="C69" s="13">
        <v>45125</v>
      </c>
      <c r="D69" s="11" t="s">
        <v>51</v>
      </c>
      <c r="E69" s="14">
        <v>21776</v>
      </c>
      <c r="F69" s="11" t="s">
        <v>23</v>
      </c>
      <c r="G69" s="5">
        <v>12.79</v>
      </c>
      <c r="H69" s="36">
        <f t="shared" si="1"/>
        <v>5848815.8399999999</v>
      </c>
      <c r="I69" s="44" t="s">
        <v>408</v>
      </c>
    </row>
    <row r="70" spans="1:9" hidden="1" x14ac:dyDescent="0.2">
      <c r="A70" s="11">
        <v>21</v>
      </c>
      <c r="B70" s="16">
        <v>175888.08</v>
      </c>
      <c r="C70" s="13">
        <v>45125</v>
      </c>
      <c r="D70" s="11" t="s">
        <v>52</v>
      </c>
      <c r="E70" s="14">
        <v>13752</v>
      </c>
      <c r="F70" s="11" t="s">
        <v>23</v>
      </c>
      <c r="G70" s="5">
        <v>12.79</v>
      </c>
      <c r="H70" s="36">
        <f t="shared" si="1"/>
        <v>3693649.6799999997</v>
      </c>
      <c r="I70" s="44" t="s">
        <v>408</v>
      </c>
    </row>
    <row r="71" spans="1:9" hidden="1" x14ac:dyDescent="0.2">
      <c r="A71" s="11">
        <v>20</v>
      </c>
      <c r="B71" s="16">
        <v>673265.6</v>
      </c>
      <c r="C71" s="13">
        <v>45126</v>
      </c>
      <c r="D71" s="11" t="s">
        <v>52</v>
      </c>
      <c r="E71" s="14">
        <v>52640</v>
      </c>
      <c r="F71" s="11" t="s">
        <v>23</v>
      </c>
      <c r="G71" s="5">
        <v>12.79</v>
      </c>
      <c r="H71" s="36">
        <f t="shared" si="1"/>
        <v>13465312</v>
      </c>
      <c r="I71" s="44" t="s">
        <v>408</v>
      </c>
    </row>
    <row r="72" spans="1:9" hidden="1" x14ac:dyDescent="0.2">
      <c r="A72" s="11">
        <v>20</v>
      </c>
      <c r="B72" s="16">
        <v>1332206.3999999999</v>
      </c>
      <c r="C72" s="13">
        <v>45126</v>
      </c>
      <c r="D72" s="11" t="s">
        <v>51</v>
      </c>
      <c r="E72" s="14">
        <v>104160</v>
      </c>
      <c r="F72" s="11" t="s">
        <v>23</v>
      </c>
      <c r="G72" s="5">
        <v>12.79</v>
      </c>
      <c r="H72" s="36">
        <f t="shared" si="1"/>
        <v>26644128</v>
      </c>
      <c r="I72" s="44" t="s">
        <v>408</v>
      </c>
    </row>
    <row r="73" spans="1:9" hidden="1" x14ac:dyDescent="0.2">
      <c r="A73" s="11">
        <v>19</v>
      </c>
      <c r="B73" s="16">
        <v>1185861.6000000001</v>
      </c>
      <c r="C73" s="13">
        <v>45127</v>
      </c>
      <c r="D73" s="11" t="s">
        <v>53</v>
      </c>
      <c r="E73" s="14">
        <v>42504</v>
      </c>
      <c r="F73" s="11" t="s">
        <v>23</v>
      </c>
      <c r="G73" s="5">
        <v>27.9</v>
      </c>
      <c r="H73" s="36">
        <f t="shared" si="1"/>
        <v>22531370.400000002</v>
      </c>
      <c r="I73" s="44" t="s">
        <v>408</v>
      </c>
    </row>
    <row r="74" spans="1:9" hidden="1" x14ac:dyDescent="0.2">
      <c r="A74" s="11">
        <v>19</v>
      </c>
      <c r="B74" s="16">
        <v>266389.2</v>
      </c>
      <c r="C74" s="13">
        <v>45127</v>
      </c>
      <c r="D74" s="11" t="s">
        <v>53</v>
      </c>
      <c r="E74" s="14">
        <v>9548</v>
      </c>
      <c r="F74" s="11" t="s">
        <v>23</v>
      </c>
      <c r="G74" s="5">
        <v>27.9</v>
      </c>
      <c r="H74" s="36">
        <f t="shared" si="1"/>
        <v>5061394.8</v>
      </c>
      <c r="I74" s="44" t="s">
        <v>408</v>
      </c>
    </row>
    <row r="75" spans="1:9" hidden="1" x14ac:dyDescent="0.2">
      <c r="A75" s="11">
        <v>19</v>
      </c>
      <c r="B75" s="16">
        <v>658940.80000000005</v>
      </c>
      <c r="C75" s="13">
        <v>45127</v>
      </c>
      <c r="D75" s="11" t="s">
        <v>52</v>
      </c>
      <c r="E75" s="14">
        <v>51520</v>
      </c>
      <c r="F75" s="11" t="s">
        <v>23</v>
      </c>
      <c r="G75" s="5">
        <v>12.79</v>
      </c>
      <c r="H75" s="36">
        <f t="shared" si="1"/>
        <v>12519875.200000001</v>
      </c>
      <c r="I75" s="44" t="s">
        <v>408</v>
      </c>
    </row>
    <row r="76" spans="1:9" hidden="1" x14ac:dyDescent="0.2">
      <c r="A76" s="11">
        <v>13</v>
      </c>
      <c r="B76" s="16">
        <v>438253.2</v>
      </c>
      <c r="C76" s="13">
        <v>45133</v>
      </c>
      <c r="D76" s="11" t="s">
        <v>53</v>
      </c>
      <c r="E76" s="14">
        <v>15708</v>
      </c>
      <c r="F76" s="11" t="s">
        <v>23</v>
      </c>
      <c r="G76" s="5">
        <v>27.9</v>
      </c>
      <c r="H76" s="36">
        <f t="shared" si="1"/>
        <v>5697291.6000000006</v>
      </c>
      <c r="I76" s="44" t="s">
        <v>408</v>
      </c>
    </row>
    <row r="77" spans="1:9" hidden="1" x14ac:dyDescent="0.2">
      <c r="A77" s="11">
        <v>13</v>
      </c>
      <c r="B77" s="16">
        <v>1013997.6</v>
      </c>
      <c r="C77" s="13">
        <v>45133</v>
      </c>
      <c r="D77" s="11" t="s">
        <v>53</v>
      </c>
      <c r="E77" s="14">
        <v>36344</v>
      </c>
      <c r="F77" s="11" t="s">
        <v>23</v>
      </c>
      <c r="G77" s="5">
        <v>27.9</v>
      </c>
      <c r="H77" s="36">
        <f t="shared" si="1"/>
        <v>13181968.799999999</v>
      </c>
      <c r="I77" s="44" t="s">
        <v>408</v>
      </c>
    </row>
    <row r="78" spans="1:9" hidden="1" x14ac:dyDescent="0.2">
      <c r="A78" s="11">
        <v>13</v>
      </c>
      <c r="B78" s="16">
        <v>658940.80000000005</v>
      </c>
      <c r="C78" s="13">
        <v>45133</v>
      </c>
      <c r="D78" s="11" t="s">
        <v>52</v>
      </c>
      <c r="E78" s="14">
        <v>51520</v>
      </c>
      <c r="F78" s="11" t="s">
        <v>23</v>
      </c>
      <c r="G78" s="5">
        <v>12.79</v>
      </c>
      <c r="H78" s="36">
        <f t="shared" si="1"/>
        <v>8566230.4000000004</v>
      </c>
      <c r="I78" s="44" t="s">
        <v>408</v>
      </c>
    </row>
    <row r="79" spans="1:9" hidden="1" x14ac:dyDescent="0.2">
      <c r="A79" s="11">
        <v>12</v>
      </c>
      <c r="B79" s="16">
        <v>658940.80000000005</v>
      </c>
      <c r="C79" s="13">
        <v>45134</v>
      </c>
      <c r="D79" s="11" t="s">
        <v>52</v>
      </c>
      <c r="E79" s="14">
        <v>51520</v>
      </c>
      <c r="F79" s="11" t="s">
        <v>23</v>
      </c>
      <c r="G79" s="5">
        <v>12.79</v>
      </c>
      <c r="H79" s="36">
        <f t="shared" si="1"/>
        <v>7907289.6000000006</v>
      </c>
      <c r="I79" s="44" t="s">
        <v>408</v>
      </c>
    </row>
    <row r="80" spans="1:9" hidden="1" x14ac:dyDescent="0.2">
      <c r="A80" s="11">
        <v>12</v>
      </c>
      <c r="B80" s="16">
        <v>165758.39999999999</v>
      </c>
      <c r="C80" s="13">
        <v>45134</v>
      </c>
      <c r="D80" s="11" t="s">
        <v>52</v>
      </c>
      <c r="E80" s="14">
        <v>12960</v>
      </c>
      <c r="F80" s="11" t="s">
        <v>23</v>
      </c>
      <c r="G80" s="5">
        <v>12.79</v>
      </c>
      <c r="H80" s="36">
        <f t="shared" si="1"/>
        <v>1989100.7999999998</v>
      </c>
      <c r="I80" s="44" t="s">
        <v>408</v>
      </c>
    </row>
    <row r="81" spans="1:9" hidden="1" x14ac:dyDescent="0.2">
      <c r="A81" s="11">
        <v>497</v>
      </c>
      <c r="B81" s="16">
        <v>160</v>
      </c>
      <c r="C81" s="13">
        <v>44649</v>
      </c>
      <c r="D81" s="11" t="s">
        <v>144</v>
      </c>
      <c r="E81" s="14">
        <v>4000</v>
      </c>
      <c r="F81" s="11" t="s">
        <v>21</v>
      </c>
      <c r="G81" s="5">
        <v>0.04</v>
      </c>
      <c r="H81" s="36">
        <f t="shared" si="1"/>
        <v>79520</v>
      </c>
      <c r="I81" s="44" t="s">
        <v>409</v>
      </c>
    </row>
    <row r="82" spans="1:9" hidden="1" x14ac:dyDescent="0.2">
      <c r="A82" s="11">
        <v>203</v>
      </c>
      <c r="B82" s="16">
        <v>132617.51999999999</v>
      </c>
      <c r="C82" s="13">
        <v>44943</v>
      </c>
      <c r="D82" s="11" t="s">
        <v>75</v>
      </c>
      <c r="E82" s="14">
        <v>588</v>
      </c>
      <c r="F82" s="11" t="s">
        <v>21</v>
      </c>
      <c r="G82" s="5">
        <v>225.54</v>
      </c>
      <c r="H82" s="36">
        <f t="shared" si="1"/>
        <v>26921356.559999999</v>
      </c>
      <c r="I82" s="44" t="s">
        <v>406</v>
      </c>
    </row>
    <row r="83" spans="1:9" hidden="1" x14ac:dyDescent="0.2">
      <c r="A83" s="11">
        <v>187</v>
      </c>
      <c r="B83" s="16">
        <v>69778.8</v>
      </c>
      <c r="C83" s="13">
        <v>44959</v>
      </c>
      <c r="D83" s="11" t="s">
        <v>82</v>
      </c>
      <c r="E83" s="14">
        <v>1512</v>
      </c>
      <c r="F83" s="11" t="s">
        <v>21</v>
      </c>
      <c r="G83" s="5">
        <v>46.15</v>
      </c>
      <c r="H83" s="36">
        <f t="shared" si="1"/>
        <v>13048635.6</v>
      </c>
      <c r="I83" s="44" t="s">
        <v>405</v>
      </c>
    </row>
    <row r="84" spans="1:9" hidden="1" x14ac:dyDescent="0.2">
      <c r="A84" s="11">
        <v>84</v>
      </c>
      <c r="B84" s="16">
        <v>281930.88</v>
      </c>
      <c r="C84" s="13">
        <v>45062</v>
      </c>
      <c r="D84" s="11" t="s">
        <v>64</v>
      </c>
      <c r="E84" s="14">
        <v>1848</v>
      </c>
      <c r="F84" s="11" t="s">
        <v>24</v>
      </c>
      <c r="G84" s="5">
        <v>152.56</v>
      </c>
      <c r="H84" s="36">
        <f t="shared" si="1"/>
        <v>23682193.920000002</v>
      </c>
      <c r="I84" s="44" t="s">
        <v>410</v>
      </c>
    </row>
    <row r="85" spans="1:9" hidden="1" x14ac:dyDescent="0.2">
      <c r="A85" s="11">
        <v>315</v>
      </c>
      <c r="B85" s="16">
        <v>34345.919999999998</v>
      </c>
      <c r="C85" s="13">
        <v>44831</v>
      </c>
      <c r="D85" s="11" t="s">
        <v>145</v>
      </c>
      <c r="E85" s="14">
        <v>84</v>
      </c>
      <c r="F85" s="11" t="s">
        <v>21</v>
      </c>
      <c r="G85" s="5">
        <v>408.88</v>
      </c>
      <c r="H85" s="36">
        <f t="shared" si="1"/>
        <v>10818964.799999999</v>
      </c>
      <c r="I85" s="44" t="s">
        <v>411</v>
      </c>
    </row>
    <row r="86" spans="1:9" hidden="1" x14ac:dyDescent="0.2">
      <c r="A86" s="11">
        <v>315</v>
      </c>
      <c r="B86" s="16">
        <v>22670.9</v>
      </c>
      <c r="C86" s="13">
        <v>44831</v>
      </c>
      <c r="D86" s="11" t="s">
        <v>114</v>
      </c>
      <c r="E86" s="14">
        <v>70</v>
      </c>
      <c r="F86" s="11" t="s">
        <v>21</v>
      </c>
      <c r="G86" s="5">
        <v>323.87</v>
      </c>
      <c r="H86" s="36">
        <f t="shared" si="1"/>
        <v>7141333.5</v>
      </c>
      <c r="I86" s="44" t="s">
        <v>411</v>
      </c>
    </row>
    <row r="87" spans="1:9" hidden="1" x14ac:dyDescent="0.2">
      <c r="A87" s="11">
        <v>762</v>
      </c>
      <c r="B87" s="16">
        <v>41576.400000000001</v>
      </c>
      <c r="C87" s="13">
        <v>44384</v>
      </c>
      <c r="D87" s="11" t="s">
        <v>146</v>
      </c>
      <c r="E87" s="14">
        <v>120</v>
      </c>
      <c r="F87" s="11" t="s">
        <v>21</v>
      </c>
      <c r="G87" s="5">
        <v>346.47</v>
      </c>
      <c r="H87" s="36">
        <f t="shared" si="1"/>
        <v>31681216.800000001</v>
      </c>
      <c r="I87" s="44" t="s">
        <v>412</v>
      </c>
    </row>
    <row r="88" spans="1:9" hidden="1" x14ac:dyDescent="0.2">
      <c r="A88" s="11">
        <v>497</v>
      </c>
      <c r="B88" s="16">
        <v>4960</v>
      </c>
      <c r="C88" s="13">
        <v>44649</v>
      </c>
      <c r="D88" s="11" t="s">
        <v>144</v>
      </c>
      <c r="E88" s="14">
        <v>124000</v>
      </c>
      <c r="F88" s="11" t="s">
        <v>21</v>
      </c>
      <c r="G88" s="5">
        <v>0.04</v>
      </c>
      <c r="H88" s="36">
        <f t="shared" si="1"/>
        <v>2465120</v>
      </c>
      <c r="I88" s="44" t="s">
        <v>409</v>
      </c>
    </row>
    <row r="89" spans="1:9" hidden="1" x14ac:dyDescent="0.2">
      <c r="A89" s="11">
        <v>60</v>
      </c>
      <c r="B89" s="16">
        <v>139063.67999999999</v>
      </c>
      <c r="C89" s="13">
        <v>45086</v>
      </c>
      <c r="D89" s="11" t="s">
        <v>78</v>
      </c>
      <c r="E89" s="14">
        <v>1008</v>
      </c>
      <c r="F89" s="11" t="s">
        <v>22</v>
      </c>
      <c r="G89" s="5">
        <v>137.96</v>
      </c>
      <c r="H89" s="36">
        <f t="shared" si="1"/>
        <v>8343820.7999999998</v>
      </c>
      <c r="I89" s="44" t="s">
        <v>407</v>
      </c>
    </row>
    <row r="90" spans="1:9" hidden="1" x14ac:dyDescent="0.2">
      <c r="A90" s="11">
        <v>55</v>
      </c>
      <c r="B90" s="16">
        <v>187953.92000000001</v>
      </c>
      <c r="C90" s="13">
        <v>45091</v>
      </c>
      <c r="D90" s="11" t="s">
        <v>64</v>
      </c>
      <c r="E90" s="14">
        <v>1232</v>
      </c>
      <c r="F90" s="11" t="s">
        <v>22</v>
      </c>
      <c r="G90" s="5">
        <v>152.56</v>
      </c>
      <c r="H90" s="36">
        <f t="shared" si="1"/>
        <v>10337465.600000001</v>
      </c>
      <c r="I90" s="44" t="s">
        <v>407</v>
      </c>
    </row>
    <row r="91" spans="1:9" hidden="1" x14ac:dyDescent="0.2">
      <c r="A91" s="11">
        <v>55</v>
      </c>
      <c r="B91" s="16">
        <v>421419.6</v>
      </c>
      <c r="C91" s="13">
        <v>45091</v>
      </c>
      <c r="D91" s="11" t="s">
        <v>104</v>
      </c>
      <c r="E91" s="14">
        <v>2520</v>
      </c>
      <c r="F91" s="11" t="s">
        <v>22</v>
      </c>
      <c r="G91" s="5">
        <v>167.23</v>
      </c>
      <c r="H91" s="36">
        <f t="shared" si="1"/>
        <v>23178078</v>
      </c>
      <c r="I91" s="44" t="s">
        <v>407</v>
      </c>
    </row>
    <row r="92" spans="1:9" hidden="1" x14ac:dyDescent="0.2">
      <c r="A92" s="11">
        <v>49</v>
      </c>
      <c r="B92" s="16">
        <v>4459</v>
      </c>
      <c r="C92" s="13">
        <v>45097</v>
      </c>
      <c r="D92" s="11" t="s">
        <v>68</v>
      </c>
      <c r="E92" s="14">
        <v>1820</v>
      </c>
      <c r="F92" s="11" t="s">
        <v>22</v>
      </c>
      <c r="G92" s="5">
        <v>2.4500000000000002</v>
      </c>
      <c r="H92" s="36">
        <f t="shared" si="1"/>
        <v>218491</v>
      </c>
      <c r="I92" s="44" t="s">
        <v>407</v>
      </c>
    </row>
    <row r="93" spans="1:9" hidden="1" x14ac:dyDescent="0.2">
      <c r="A93" s="11">
        <v>40</v>
      </c>
      <c r="B93" s="16">
        <v>182602.56</v>
      </c>
      <c r="C93" s="13">
        <v>45106</v>
      </c>
      <c r="D93" s="11" t="s">
        <v>63</v>
      </c>
      <c r="E93" s="14">
        <v>672</v>
      </c>
      <c r="F93" s="11" t="s">
        <v>22</v>
      </c>
      <c r="G93" s="5">
        <v>271.73</v>
      </c>
      <c r="H93" s="36">
        <f t="shared" si="1"/>
        <v>7304102.4000000004</v>
      </c>
      <c r="I93" s="44" t="s">
        <v>407</v>
      </c>
    </row>
    <row r="94" spans="1:9" hidden="1" x14ac:dyDescent="0.2">
      <c r="A94" s="11">
        <v>40</v>
      </c>
      <c r="B94" s="16">
        <v>2140908</v>
      </c>
      <c r="C94" s="13">
        <v>45106</v>
      </c>
      <c r="D94" s="11" t="s">
        <v>77</v>
      </c>
      <c r="E94" s="14">
        <v>6468</v>
      </c>
      <c r="F94" s="11" t="s">
        <v>22</v>
      </c>
      <c r="G94" s="5">
        <v>331</v>
      </c>
      <c r="H94" s="36">
        <f t="shared" si="1"/>
        <v>85636320</v>
      </c>
      <c r="I94" s="44" t="s">
        <v>407</v>
      </c>
    </row>
    <row r="95" spans="1:9" hidden="1" x14ac:dyDescent="0.2">
      <c r="A95" s="11">
        <v>34</v>
      </c>
      <c r="B95" s="16">
        <v>54280.800000000003</v>
      </c>
      <c r="C95" s="13">
        <v>45112</v>
      </c>
      <c r="D95" s="11" t="s">
        <v>59</v>
      </c>
      <c r="E95" s="14">
        <v>3780</v>
      </c>
      <c r="F95" s="11" t="s">
        <v>22</v>
      </c>
      <c r="G95" s="5">
        <v>14.36</v>
      </c>
      <c r="H95" s="36">
        <f t="shared" si="1"/>
        <v>1845547.2000000002</v>
      </c>
      <c r="I95" s="44" t="s">
        <v>408</v>
      </c>
    </row>
    <row r="96" spans="1:9" hidden="1" x14ac:dyDescent="0.2">
      <c r="A96" s="11">
        <v>13</v>
      </c>
      <c r="B96" s="16">
        <v>145971</v>
      </c>
      <c r="C96" s="13">
        <v>45133</v>
      </c>
      <c r="D96" s="11" t="s">
        <v>77</v>
      </c>
      <c r="E96" s="14">
        <v>441</v>
      </c>
      <c r="F96" s="11" t="s">
        <v>23</v>
      </c>
      <c r="G96" s="5">
        <v>331</v>
      </c>
      <c r="H96" s="36">
        <f t="shared" si="1"/>
        <v>1897623</v>
      </c>
      <c r="I96" s="44" t="s">
        <v>408</v>
      </c>
    </row>
    <row r="97" spans="1:9" hidden="1" x14ac:dyDescent="0.2">
      <c r="A97" s="11">
        <v>12</v>
      </c>
      <c r="B97" s="16">
        <v>174717.9</v>
      </c>
      <c r="C97" s="13">
        <v>45134</v>
      </c>
      <c r="D97" s="11" t="s">
        <v>147</v>
      </c>
      <c r="E97" s="14">
        <v>630</v>
      </c>
      <c r="F97" s="11" t="s">
        <v>23</v>
      </c>
      <c r="G97" s="5">
        <v>277.33</v>
      </c>
      <c r="H97" s="36">
        <f t="shared" si="1"/>
        <v>2096614.7999999998</v>
      </c>
      <c r="I97" s="44" t="s">
        <v>408</v>
      </c>
    </row>
    <row r="98" spans="1:9" hidden="1" x14ac:dyDescent="0.2">
      <c r="A98" s="11">
        <v>12</v>
      </c>
      <c r="B98" s="16">
        <v>174717.9</v>
      </c>
      <c r="C98" s="13">
        <v>45134</v>
      </c>
      <c r="D98" s="11" t="s">
        <v>147</v>
      </c>
      <c r="E98" s="14">
        <v>630</v>
      </c>
      <c r="F98" s="11" t="s">
        <v>23</v>
      </c>
      <c r="G98" s="5">
        <v>277.33</v>
      </c>
      <c r="H98" s="36">
        <f t="shared" si="1"/>
        <v>2096614.7999999998</v>
      </c>
      <c r="I98" s="44" t="s">
        <v>408</v>
      </c>
    </row>
    <row r="99" spans="1:9" hidden="1" x14ac:dyDescent="0.2">
      <c r="A99" s="11">
        <v>12</v>
      </c>
      <c r="B99" s="16">
        <v>174717.9</v>
      </c>
      <c r="C99" s="13">
        <v>45134</v>
      </c>
      <c r="D99" s="11" t="s">
        <v>147</v>
      </c>
      <c r="E99" s="14">
        <v>630</v>
      </c>
      <c r="F99" s="11" t="s">
        <v>23</v>
      </c>
      <c r="G99" s="5">
        <v>277.33</v>
      </c>
      <c r="H99" s="36">
        <f t="shared" si="1"/>
        <v>2096614.7999999998</v>
      </c>
      <c r="I99" s="44" t="s">
        <v>408</v>
      </c>
    </row>
    <row r="100" spans="1:9" hidden="1" x14ac:dyDescent="0.2">
      <c r="A100" s="11">
        <v>12</v>
      </c>
      <c r="B100" s="16">
        <v>349435.8</v>
      </c>
      <c r="C100" s="13">
        <v>45134</v>
      </c>
      <c r="D100" s="11" t="s">
        <v>147</v>
      </c>
      <c r="E100" s="14">
        <v>1260</v>
      </c>
      <c r="F100" s="11" t="s">
        <v>23</v>
      </c>
      <c r="G100" s="5">
        <v>277.33</v>
      </c>
      <c r="H100" s="36">
        <f t="shared" si="1"/>
        <v>4193229.5999999996</v>
      </c>
      <c r="I100" s="44" t="s">
        <v>408</v>
      </c>
    </row>
    <row r="101" spans="1:9" hidden="1" x14ac:dyDescent="0.2">
      <c r="A101" s="11">
        <v>12</v>
      </c>
      <c r="B101" s="16">
        <v>153086.6</v>
      </c>
      <c r="C101" s="13">
        <v>45134</v>
      </c>
      <c r="D101" s="11" t="s">
        <v>148</v>
      </c>
      <c r="E101" s="14">
        <v>655</v>
      </c>
      <c r="F101" s="11" t="s">
        <v>23</v>
      </c>
      <c r="G101" s="5">
        <v>233.72</v>
      </c>
      <c r="H101" s="36">
        <f t="shared" si="1"/>
        <v>1837039.2000000002</v>
      </c>
      <c r="I101" s="44" t="s">
        <v>408</v>
      </c>
    </row>
    <row r="102" spans="1:9" hidden="1" x14ac:dyDescent="0.2">
      <c r="A102" s="11">
        <v>12</v>
      </c>
      <c r="B102" s="16">
        <v>33889.4</v>
      </c>
      <c r="C102" s="13">
        <v>45134</v>
      </c>
      <c r="D102" s="11" t="s">
        <v>148</v>
      </c>
      <c r="E102" s="14">
        <v>145</v>
      </c>
      <c r="F102" s="11" t="s">
        <v>23</v>
      </c>
      <c r="G102" s="5">
        <v>233.72</v>
      </c>
      <c r="H102" s="36">
        <f t="shared" si="1"/>
        <v>406672.80000000005</v>
      </c>
      <c r="I102" s="44" t="s">
        <v>408</v>
      </c>
    </row>
    <row r="103" spans="1:9" hidden="1" x14ac:dyDescent="0.2">
      <c r="A103" s="11">
        <v>11</v>
      </c>
      <c r="B103" s="16">
        <v>97314</v>
      </c>
      <c r="C103" s="13">
        <v>45135</v>
      </c>
      <c r="D103" s="11" t="s">
        <v>77</v>
      </c>
      <c r="E103" s="14">
        <v>294</v>
      </c>
      <c r="F103" s="11" t="s">
        <v>23</v>
      </c>
      <c r="G103" s="5">
        <v>331</v>
      </c>
      <c r="H103" s="36">
        <f t="shared" si="1"/>
        <v>1070454</v>
      </c>
      <c r="I103" s="44" t="s">
        <v>408</v>
      </c>
    </row>
    <row r="104" spans="1:9" hidden="1" x14ac:dyDescent="0.2">
      <c r="A104" s="11">
        <v>11</v>
      </c>
      <c r="B104" s="16">
        <v>583884</v>
      </c>
      <c r="C104" s="13">
        <v>45135</v>
      </c>
      <c r="D104" s="11" t="s">
        <v>77</v>
      </c>
      <c r="E104" s="14">
        <v>1764</v>
      </c>
      <c r="F104" s="11" t="s">
        <v>23</v>
      </c>
      <c r="G104" s="5">
        <v>331</v>
      </c>
      <c r="H104" s="36">
        <f t="shared" si="1"/>
        <v>6422724</v>
      </c>
      <c r="I104" s="44" t="s">
        <v>408</v>
      </c>
    </row>
    <row r="105" spans="1:9" hidden="1" x14ac:dyDescent="0.2">
      <c r="A105" s="11">
        <v>6</v>
      </c>
      <c r="B105" s="16">
        <v>132617.51999999999</v>
      </c>
      <c r="C105" s="13">
        <v>45140</v>
      </c>
      <c r="D105" s="11" t="s">
        <v>75</v>
      </c>
      <c r="E105" s="14">
        <v>588</v>
      </c>
      <c r="F105" s="11" t="s">
        <v>23</v>
      </c>
      <c r="G105" s="5">
        <v>225.54</v>
      </c>
      <c r="H105" s="36">
        <f t="shared" si="1"/>
        <v>795705.11999999988</v>
      </c>
      <c r="I105" s="44" t="s">
        <v>413</v>
      </c>
    </row>
    <row r="106" spans="1:9" hidden="1" x14ac:dyDescent="0.2">
      <c r="A106" s="11">
        <v>6</v>
      </c>
      <c r="B106" s="16">
        <v>113131.2</v>
      </c>
      <c r="C106" s="13">
        <v>45140</v>
      </c>
      <c r="D106" s="11" t="s">
        <v>84</v>
      </c>
      <c r="E106" s="14">
        <v>1176</v>
      </c>
      <c r="F106" s="11" t="s">
        <v>23</v>
      </c>
      <c r="G106" s="5">
        <v>96.2</v>
      </c>
      <c r="H106" s="36">
        <f t="shared" si="1"/>
        <v>678787.2</v>
      </c>
      <c r="I106" s="44" t="s">
        <v>413</v>
      </c>
    </row>
    <row r="107" spans="1:9" x14ac:dyDescent="0.2">
      <c r="A107" s="11">
        <v>0</v>
      </c>
      <c r="B107" s="16">
        <v>120435.84</v>
      </c>
      <c r="C107" s="13">
        <v>45146</v>
      </c>
      <c r="D107" s="11" t="s">
        <v>149</v>
      </c>
      <c r="E107" s="14">
        <v>1008</v>
      </c>
      <c r="F107" s="11" t="s">
        <v>23</v>
      </c>
      <c r="G107" s="5">
        <v>119.48</v>
      </c>
      <c r="H107" s="36">
        <f t="shared" si="1"/>
        <v>0</v>
      </c>
      <c r="I107" s="44" t="s">
        <v>413</v>
      </c>
    </row>
    <row r="108" spans="1:9" hidden="1" x14ac:dyDescent="0.2">
      <c r="A108" s="11">
        <v>0</v>
      </c>
      <c r="B108" s="16">
        <v>113131.2</v>
      </c>
      <c r="C108" s="13">
        <v>45140</v>
      </c>
      <c r="D108" s="11" t="s">
        <v>84</v>
      </c>
      <c r="E108" s="14">
        <v>1176</v>
      </c>
      <c r="F108" s="11" t="s">
        <v>23</v>
      </c>
      <c r="G108" s="5">
        <v>96.2</v>
      </c>
      <c r="H108" s="36">
        <f t="shared" si="1"/>
        <v>0</v>
      </c>
      <c r="I108" s="44" t="s">
        <v>413</v>
      </c>
    </row>
    <row r="109" spans="1:9" hidden="1" x14ac:dyDescent="0.2">
      <c r="A109" s="11">
        <v>377</v>
      </c>
      <c r="B109" s="16">
        <v>47271.6</v>
      </c>
      <c r="C109" s="13">
        <v>44769</v>
      </c>
      <c r="D109" s="11" t="s">
        <v>133</v>
      </c>
      <c r="E109" s="14">
        <v>810</v>
      </c>
      <c r="F109" s="11" t="s">
        <v>21</v>
      </c>
      <c r="G109" s="5">
        <v>58.36</v>
      </c>
      <c r="H109" s="36">
        <f t="shared" si="1"/>
        <v>17821393.199999999</v>
      </c>
      <c r="I109" s="44" t="s">
        <v>414</v>
      </c>
    </row>
    <row r="110" spans="1:9" hidden="1" x14ac:dyDescent="0.2">
      <c r="A110" s="11">
        <v>274</v>
      </c>
      <c r="B110" s="16">
        <v>304113.96000000002</v>
      </c>
      <c r="C110" s="13">
        <v>44872</v>
      </c>
      <c r="D110" s="11" t="s">
        <v>133</v>
      </c>
      <c r="E110" s="14">
        <v>5211</v>
      </c>
      <c r="F110" s="11" t="s">
        <v>21</v>
      </c>
      <c r="G110" s="5">
        <v>58.36</v>
      </c>
      <c r="H110" s="36">
        <f t="shared" si="1"/>
        <v>83327225.040000007</v>
      </c>
      <c r="I110" s="44" t="s">
        <v>415</v>
      </c>
    </row>
    <row r="111" spans="1:9" hidden="1" x14ac:dyDescent="0.2">
      <c r="A111" s="11">
        <v>274</v>
      </c>
      <c r="B111" s="16">
        <v>354537</v>
      </c>
      <c r="C111" s="13">
        <v>44872</v>
      </c>
      <c r="D111" s="11" t="s">
        <v>133</v>
      </c>
      <c r="E111" s="14">
        <v>6075</v>
      </c>
      <c r="F111" s="11" t="s">
        <v>21</v>
      </c>
      <c r="G111" s="5">
        <v>58.36</v>
      </c>
      <c r="H111" s="36">
        <f t="shared" si="1"/>
        <v>97143138</v>
      </c>
      <c r="I111" s="44" t="s">
        <v>415</v>
      </c>
    </row>
    <row r="112" spans="1:9" hidden="1" x14ac:dyDescent="0.2">
      <c r="A112" s="11">
        <v>202</v>
      </c>
      <c r="B112" s="16">
        <v>24432</v>
      </c>
      <c r="C112" s="13">
        <v>44944</v>
      </c>
      <c r="D112" s="11" t="s">
        <v>133</v>
      </c>
      <c r="E112" s="14">
        <v>160</v>
      </c>
      <c r="F112" s="11" t="s">
        <v>21</v>
      </c>
      <c r="G112" s="5">
        <v>152.69999999999999</v>
      </c>
      <c r="H112" s="36">
        <f t="shared" si="1"/>
        <v>4935264</v>
      </c>
      <c r="I112" s="44" t="s">
        <v>406</v>
      </c>
    </row>
    <row r="113" spans="1:9" hidden="1" x14ac:dyDescent="0.2">
      <c r="A113" s="11">
        <v>175</v>
      </c>
      <c r="B113" s="16">
        <v>24432</v>
      </c>
      <c r="C113" s="13">
        <v>44971</v>
      </c>
      <c r="D113" s="11" t="s">
        <v>133</v>
      </c>
      <c r="E113" s="14">
        <v>160</v>
      </c>
      <c r="F113" s="11" t="s">
        <v>21</v>
      </c>
      <c r="G113" s="5">
        <v>152.69999999999999</v>
      </c>
      <c r="H113" s="36">
        <f t="shared" si="1"/>
        <v>4275600</v>
      </c>
      <c r="I113" s="44" t="s">
        <v>405</v>
      </c>
    </row>
    <row r="114" spans="1:9" hidden="1" x14ac:dyDescent="0.2">
      <c r="A114" s="11">
        <v>155</v>
      </c>
      <c r="B114" s="16">
        <v>8932</v>
      </c>
      <c r="C114" s="13">
        <v>44991</v>
      </c>
      <c r="D114" s="11" t="s">
        <v>124</v>
      </c>
      <c r="E114" s="14">
        <v>350</v>
      </c>
      <c r="F114" s="11" t="s">
        <v>21</v>
      </c>
      <c r="G114" s="5">
        <v>25.52</v>
      </c>
      <c r="H114" s="36">
        <f t="shared" si="1"/>
        <v>1384460</v>
      </c>
      <c r="I114" s="44" t="s">
        <v>416</v>
      </c>
    </row>
    <row r="115" spans="1:9" hidden="1" x14ac:dyDescent="0.2">
      <c r="A115" s="11">
        <v>137</v>
      </c>
      <c r="B115" s="16">
        <v>1344</v>
      </c>
      <c r="C115" s="13">
        <v>45009</v>
      </c>
      <c r="D115" s="11" t="s">
        <v>150</v>
      </c>
      <c r="E115" s="14">
        <v>20</v>
      </c>
      <c r="F115" s="11" t="s">
        <v>21</v>
      </c>
      <c r="G115" s="5">
        <v>67.2</v>
      </c>
      <c r="H115" s="36">
        <f t="shared" si="1"/>
        <v>184128</v>
      </c>
      <c r="I115" s="44" t="s">
        <v>416</v>
      </c>
    </row>
    <row r="116" spans="1:9" hidden="1" x14ac:dyDescent="0.2">
      <c r="A116" s="11">
        <v>137</v>
      </c>
      <c r="B116" s="16">
        <v>21947.200000000001</v>
      </c>
      <c r="C116" s="13">
        <v>45009</v>
      </c>
      <c r="D116" s="11" t="s">
        <v>124</v>
      </c>
      <c r="E116" s="14">
        <v>860</v>
      </c>
      <c r="F116" s="11" t="s">
        <v>21</v>
      </c>
      <c r="G116" s="5">
        <v>25.52</v>
      </c>
      <c r="H116" s="36">
        <f t="shared" si="1"/>
        <v>3006766.4</v>
      </c>
      <c r="I116" s="44" t="s">
        <v>416</v>
      </c>
    </row>
    <row r="117" spans="1:9" hidden="1" x14ac:dyDescent="0.2">
      <c r="A117" s="11">
        <v>119</v>
      </c>
      <c r="B117" s="16">
        <v>15000</v>
      </c>
      <c r="C117" s="13">
        <v>45027</v>
      </c>
      <c r="D117" s="11" t="s">
        <v>115</v>
      </c>
      <c r="E117" s="14">
        <v>6000</v>
      </c>
      <c r="F117" s="11" t="s">
        <v>21</v>
      </c>
      <c r="G117" s="5">
        <v>2.5</v>
      </c>
      <c r="H117" s="36">
        <f t="shared" si="1"/>
        <v>1785000</v>
      </c>
      <c r="I117" s="44" t="s">
        <v>417</v>
      </c>
    </row>
    <row r="118" spans="1:9" hidden="1" x14ac:dyDescent="0.2">
      <c r="A118" s="11">
        <v>119</v>
      </c>
      <c r="B118" s="16">
        <v>30000</v>
      </c>
      <c r="C118" s="13">
        <v>45027</v>
      </c>
      <c r="D118" s="11" t="s">
        <v>115</v>
      </c>
      <c r="E118" s="14">
        <v>12000</v>
      </c>
      <c r="F118" s="11" t="s">
        <v>21</v>
      </c>
      <c r="G118" s="5">
        <v>2.5</v>
      </c>
      <c r="H118" s="36">
        <f t="shared" si="1"/>
        <v>3570000</v>
      </c>
      <c r="I118" s="44" t="s">
        <v>417</v>
      </c>
    </row>
    <row r="119" spans="1:9" hidden="1" x14ac:dyDescent="0.2">
      <c r="A119" s="11">
        <v>113</v>
      </c>
      <c r="B119" s="16">
        <v>8932</v>
      </c>
      <c r="C119" s="13">
        <v>45033</v>
      </c>
      <c r="D119" s="11" t="s">
        <v>124</v>
      </c>
      <c r="E119" s="14">
        <v>350</v>
      </c>
      <c r="F119" s="11" t="s">
        <v>21</v>
      </c>
      <c r="G119" s="5">
        <v>25.52</v>
      </c>
      <c r="H119" s="36">
        <f t="shared" si="1"/>
        <v>1009316</v>
      </c>
      <c r="I119" s="44" t="s">
        <v>417</v>
      </c>
    </row>
    <row r="120" spans="1:9" hidden="1" x14ac:dyDescent="0.2">
      <c r="A120" s="11">
        <v>106</v>
      </c>
      <c r="B120" s="16">
        <v>109304.9</v>
      </c>
      <c r="C120" s="13">
        <v>45040</v>
      </c>
      <c r="D120" s="11" t="s">
        <v>123</v>
      </c>
      <c r="E120" s="14">
        <v>170</v>
      </c>
      <c r="F120" s="11" t="s">
        <v>21</v>
      </c>
      <c r="G120" s="5">
        <v>642.97</v>
      </c>
      <c r="H120" s="36">
        <f t="shared" si="1"/>
        <v>11586319.399999999</v>
      </c>
      <c r="I120" s="44" t="s">
        <v>417</v>
      </c>
    </row>
    <row r="121" spans="1:9" hidden="1" x14ac:dyDescent="0.2">
      <c r="A121" s="11">
        <v>106</v>
      </c>
      <c r="B121" s="16">
        <v>34077.410000000003</v>
      </c>
      <c r="C121" s="13">
        <v>45040</v>
      </c>
      <c r="D121" s="11" t="s">
        <v>123</v>
      </c>
      <c r="E121" s="14">
        <v>53</v>
      </c>
      <c r="F121" s="11" t="s">
        <v>21</v>
      </c>
      <c r="G121" s="5">
        <v>642.97</v>
      </c>
      <c r="H121" s="36">
        <f t="shared" si="1"/>
        <v>3612205.4600000004</v>
      </c>
      <c r="I121" s="44" t="s">
        <v>417</v>
      </c>
    </row>
    <row r="122" spans="1:9" hidden="1" x14ac:dyDescent="0.2">
      <c r="A122" s="11">
        <v>85</v>
      </c>
      <c r="B122" s="16">
        <v>5104</v>
      </c>
      <c r="C122" s="13">
        <v>45061</v>
      </c>
      <c r="D122" s="11" t="s">
        <v>124</v>
      </c>
      <c r="E122" s="14">
        <v>200</v>
      </c>
      <c r="F122" s="11" t="s">
        <v>24</v>
      </c>
      <c r="G122" s="5">
        <v>25.52</v>
      </c>
      <c r="H122" s="36">
        <f t="shared" si="1"/>
        <v>433840</v>
      </c>
      <c r="I122" s="44" t="s">
        <v>410</v>
      </c>
    </row>
    <row r="123" spans="1:9" hidden="1" x14ac:dyDescent="0.2">
      <c r="A123" s="11">
        <v>85</v>
      </c>
      <c r="B123" s="16">
        <v>10279.620000000001</v>
      </c>
      <c r="C123" s="13">
        <v>45061</v>
      </c>
      <c r="D123" s="11" t="s">
        <v>151</v>
      </c>
      <c r="E123" s="14">
        <v>191</v>
      </c>
      <c r="F123" s="11" t="s">
        <v>24</v>
      </c>
      <c r="G123" s="5">
        <v>53.82</v>
      </c>
      <c r="H123" s="36">
        <f t="shared" si="1"/>
        <v>873767.70000000007</v>
      </c>
      <c r="I123" s="44" t="s">
        <v>410</v>
      </c>
    </row>
    <row r="124" spans="1:9" hidden="1" x14ac:dyDescent="0.2">
      <c r="A124" s="11">
        <v>53</v>
      </c>
      <c r="B124" s="16">
        <v>10641.84</v>
      </c>
      <c r="C124" s="13">
        <v>45093</v>
      </c>
      <c r="D124" s="11" t="s">
        <v>124</v>
      </c>
      <c r="E124" s="14">
        <v>417</v>
      </c>
      <c r="F124" s="11" t="s">
        <v>22</v>
      </c>
      <c r="G124" s="5">
        <v>25.52</v>
      </c>
      <c r="H124" s="36">
        <f t="shared" si="1"/>
        <v>564017.52</v>
      </c>
      <c r="I124" s="44" t="s">
        <v>407</v>
      </c>
    </row>
    <row r="125" spans="1:9" hidden="1" x14ac:dyDescent="0.2">
      <c r="A125" s="11">
        <v>49</v>
      </c>
      <c r="B125" s="16">
        <v>34983</v>
      </c>
      <c r="C125" s="13">
        <v>45097</v>
      </c>
      <c r="D125" s="11" t="s">
        <v>151</v>
      </c>
      <c r="E125" s="14">
        <v>650</v>
      </c>
      <c r="F125" s="11" t="s">
        <v>22</v>
      </c>
      <c r="G125" s="5">
        <v>53.82</v>
      </c>
      <c r="H125" s="36">
        <f t="shared" si="1"/>
        <v>1714167</v>
      </c>
      <c r="I125" s="44" t="s">
        <v>407</v>
      </c>
    </row>
    <row r="126" spans="1:9" hidden="1" x14ac:dyDescent="0.2">
      <c r="A126" s="11">
        <v>244</v>
      </c>
      <c r="B126" s="16">
        <v>106905.60000000001</v>
      </c>
      <c r="C126" s="13">
        <v>44902</v>
      </c>
      <c r="D126" s="11" t="s">
        <v>152</v>
      </c>
      <c r="E126" s="14">
        <v>768</v>
      </c>
      <c r="F126" s="11" t="s">
        <v>21</v>
      </c>
      <c r="G126" s="5">
        <v>139.19999999999999</v>
      </c>
      <c r="H126" s="36">
        <f t="shared" si="1"/>
        <v>26084966.400000002</v>
      </c>
      <c r="I126" s="44" t="s">
        <v>404</v>
      </c>
    </row>
    <row r="127" spans="1:9" hidden="1" x14ac:dyDescent="0.2">
      <c r="A127" s="11">
        <v>84</v>
      </c>
      <c r="B127" s="16">
        <v>11415.6</v>
      </c>
      <c r="C127" s="13">
        <v>45062</v>
      </c>
      <c r="D127" s="11" t="s">
        <v>55</v>
      </c>
      <c r="E127" s="14">
        <v>108</v>
      </c>
      <c r="F127" s="11" t="s">
        <v>24</v>
      </c>
      <c r="G127" s="5">
        <v>105.7</v>
      </c>
      <c r="H127" s="36">
        <f t="shared" si="1"/>
        <v>958910.4</v>
      </c>
      <c r="I127" s="44" t="s">
        <v>410</v>
      </c>
    </row>
    <row r="128" spans="1:9" hidden="1" x14ac:dyDescent="0.2">
      <c r="A128" s="11">
        <v>26</v>
      </c>
      <c r="B128" s="16">
        <v>80944.2</v>
      </c>
      <c r="C128" s="13">
        <v>45120</v>
      </c>
      <c r="D128" s="11" t="s">
        <v>122</v>
      </c>
      <c r="E128" s="14">
        <v>180</v>
      </c>
      <c r="F128" s="11" t="s">
        <v>23</v>
      </c>
      <c r="G128" s="5">
        <v>449.69</v>
      </c>
      <c r="H128" s="36">
        <f t="shared" si="1"/>
        <v>2104549.1999999997</v>
      </c>
      <c r="I128" s="44" t="s">
        <v>408</v>
      </c>
    </row>
    <row r="129" spans="1:9" hidden="1" x14ac:dyDescent="0.2">
      <c r="A129" s="11">
        <v>26</v>
      </c>
      <c r="B129" s="16">
        <v>307587.96000000002</v>
      </c>
      <c r="C129" s="13">
        <v>45120</v>
      </c>
      <c r="D129" s="11" t="s">
        <v>122</v>
      </c>
      <c r="E129" s="14">
        <v>684</v>
      </c>
      <c r="F129" s="11" t="s">
        <v>23</v>
      </c>
      <c r="G129" s="5">
        <v>449.69</v>
      </c>
      <c r="H129" s="36">
        <f t="shared" si="1"/>
        <v>7997286.9600000009</v>
      </c>
      <c r="I129" s="44" t="s">
        <v>408</v>
      </c>
    </row>
    <row r="130" spans="1:9" hidden="1" x14ac:dyDescent="0.2">
      <c r="A130" s="11">
        <v>26</v>
      </c>
      <c r="B130" s="16">
        <v>16188.84</v>
      </c>
      <c r="C130" s="13">
        <v>45120</v>
      </c>
      <c r="D130" s="11" t="s">
        <v>122</v>
      </c>
      <c r="E130" s="14">
        <v>36</v>
      </c>
      <c r="F130" s="11" t="s">
        <v>23</v>
      </c>
      <c r="G130" s="5">
        <v>449.69</v>
      </c>
      <c r="H130" s="36">
        <f t="shared" si="1"/>
        <v>420909.84</v>
      </c>
      <c r="I130" s="44" t="s">
        <v>408</v>
      </c>
    </row>
    <row r="131" spans="1:9" hidden="1" x14ac:dyDescent="0.2">
      <c r="A131" s="11">
        <v>12</v>
      </c>
      <c r="B131" s="16">
        <v>712308.96</v>
      </c>
      <c r="C131" s="13">
        <v>45134</v>
      </c>
      <c r="D131" s="11" t="s">
        <v>122</v>
      </c>
      <c r="E131" s="14">
        <v>1584</v>
      </c>
      <c r="F131" s="11" t="s">
        <v>23</v>
      </c>
      <c r="G131" s="5">
        <v>449.69</v>
      </c>
      <c r="H131" s="36">
        <f t="shared" ref="H131:H194" si="2">B131*A131</f>
        <v>8547707.5199999996</v>
      </c>
      <c r="I131" s="44" t="s">
        <v>408</v>
      </c>
    </row>
    <row r="132" spans="1:9" hidden="1" x14ac:dyDescent="0.2">
      <c r="A132" s="11">
        <v>231</v>
      </c>
      <c r="B132" s="16">
        <v>3915468.48</v>
      </c>
      <c r="C132" s="13">
        <v>44915</v>
      </c>
      <c r="D132" s="11" t="s">
        <v>53</v>
      </c>
      <c r="E132" s="14">
        <v>148764</v>
      </c>
      <c r="F132" s="11" t="s">
        <v>21</v>
      </c>
      <c r="G132" s="5">
        <v>26.32</v>
      </c>
      <c r="H132" s="36">
        <f t="shared" si="2"/>
        <v>904473218.88</v>
      </c>
      <c r="I132" s="44" t="s">
        <v>404</v>
      </c>
    </row>
    <row r="133" spans="1:9" hidden="1" x14ac:dyDescent="0.2">
      <c r="A133" s="11">
        <v>231</v>
      </c>
      <c r="B133" s="16">
        <v>648883.19999999995</v>
      </c>
      <c r="C133" s="13">
        <v>44915</v>
      </c>
      <c r="D133" s="11" t="s">
        <v>51</v>
      </c>
      <c r="E133" s="14">
        <v>53760</v>
      </c>
      <c r="F133" s="11" t="s">
        <v>21</v>
      </c>
      <c r="G133" s="5">
        <v>12.07</v>
      </c>
      <c r="H133" s="36">
        <f t="shared" si="2"/>
        <v>149892019.19999999</v>
      </c>
      <c r="I133" s="44" t="s">
        <v>404</v>
      </c>
    </row>
    <row r="134" spans="1:9" hidden="1" x14ac:dyDescent="0.2">
      <c r="A134" s="11">
        <v>216</v>
      </c>
      <c r="B134" s="16">
        <v>583911.54</v>
      </c>
      <c r="C134" s="13">
        <v>44930</v>
      </c>
      <c r="D134" s="11" t="s">
        <v>54</v>
      </c>
      <c r="E134" s="14">
        <v>148578</v>
      </c>
      <c r="F134" s="11" t="s">
        <v>21</v>
      </c>
      <c r="G134" s="5">
        <v>3.93</v>
      </c>
      <c r="H134" s="36">
        <f t="shared" si="2"/>
        <v>126124892.64000002</v>
      </c>
      <c r="I134" s="44" t="s">
        <v>406</v>
      </c>
    </row>
    <row r="135" spans="1:9" hidden="1" x14ac:dyDescent="0.2">
      <c r="A135" s="11">
        <v>56</v>
      </c>
      <c r="B135" s="16">
        <v>48972</v>
      </c>
      <c r="C135" s="13">
        <v>45090</v>
      </c>
      <c r="D135" s="11" t="s">
        <v>107</v>
      </c>
      <c r="E135" s="14">
        <v>12</v>
      </c>
      <c r="F135" s="11" t="s">
        <v>22</v>
      </c>
      <c r="G135" s="5">
        <v>4081</v>
      </c>
      <c r="H135" s="36">
        <f t="shared" si="2"/>
        <v>2742432</v>
      </c>
      <c r="I135" s="44" t="s">
        <v>407</v>
      </c>
    </row>
    <row r="136" spans="1:9" hidden="1" x14ac:dyDescent="0.2">
      <c r="A136" s="11">
        <v>1251</v>
      </c>
      <c r="B136" s="16">
        <v>8040</v>
      </c>
      <c r="C136" s="13">
        <v>43895</v>
      </c>
      <c r="D136" s="11" t="s">
        <v>153</v>
      </c>
      <c r="E136" s="14">
        <v>3000</v>
      </c>
      <c r="F136" s="11" t="s">
        <v>21</v>
      </c>
      <c r="G136" s="5">
        <v>2.68</v>
      </c>
      <c r="H136" s="36">
        <f t="shared" si="2"/>
        <v>10058040</v>
      </c>
      <c r="I136" s="44" t="s">
        <v>418</v>
      </c>
    </row>
    <row r="137" spans="1:9" hidden="1" x14ac:dyDescent="0.2">
      <c r="A137" s="11">
        <v>1194</v>
      </c>
      <c r="B137" s="16">
        <v>8040</v>
      </c>
      <c r="C137" s="13">
        <v>43952</v>
      </c>
      <c r="D137" s="11" t="s">
        <v>153</v>
      </c>
      <c r="E137" s="14">
        <v>3000</v>
      </c>
      <c r="F137" s="11" t="s">
        <v>21</v>
      </c>
      <c r="G137" s="5">
        <v>2.68</v>
      </c>
      <c r="H137" s="36">
        <f t="shared" si="2"/>
        <v>9599760</v>
      </c>
      <c r="I137" s="44" t="s">
        <v>419</v>
      </c>
    </row>
    <row r="138" spans="1:9" x14ac:dyDescent="0.2">
      <c r="A138" s="11">
        <v>974</v>
      </c>
      <c r="B138" s="16">
        <v>5670</v>
      </c>
      <c r="C138" s="13">
        <v>44172</v>
      </c>
      <c r="D138" s="11" t="s">
        <v>154</v>
      </c>
      <c r="E138" s="14">
        <v>3000</v>
      </c>
      <c r="F138" s="11" t="s">
        <v>21</v>
      </c>
      <c r="G138" s="5">
        <v>1.89</v>
      </c>
      <c r="H138" s="36">
        <f t="shared" si="2"/>
        <v>5522580</v>
      </c>
      <c r="I138" s="44" t="s">
        <v>420</v>
      </c>
    </row>
    <row r="139" spans="1:9" hidden="1" x14ac:dyDescent="0.2">
      <c r="A139" s="11">
        <v>571</v>
      </c>
      <c r="B139" s="16">
        <v>1700</v>
      </c>
      <c r="C139" s="13">
        <v>44575</v>
      </c>
      <c r="D139" s="11" t="s">
        <v>155</v>
      </c>
      <c r="E139" s="14">
        <v>2500</v>
      </c>
      <c r="F139" s="11" t="s">
        <v>21</v>
      </c>
      <c r="G139" s="5">
        <v>0.68</v>
      </c>
      <c r="H139" s="36">
        <f t="shared" si="2"/>
        <v>970700</v>
      </c>
      <c r="I139" s="44" t="s">
        <v>421</v>
      </c>
    </row>
    <row r="140" spans="1:9" hidden="1" x14ac:dyDescent="0.2">
      <c r="A140" s="11">
        <v>517</v>
      </c>
      <c r="B140" s="16">
        <v>15350</v>
      </c>
      <c r="C140" s="13">
        <v>44629</v>
      </c>
      <c r="D140" s="11" t="s">
        <v>156</v>
      </c>
      <c r="E140" s="14">
        <v>5000</v>
      </c>
      <c r="F140" s="11" t="s">
        <v>21</v>
      </c>
      <c r="G140" s="5">
        <v>3.07</v>
      </c>
      <c r="H140" s="36">
        <f t="shared" si="2"/>
        <v>7935950</v>
      </c>
      <c r="I140" s="44" t="s">
        <v>409</v>
      </c>
    </row>
    <row r="141" spans="1:9" hidden="1" x14ac:dyDescent="0.2">
      <c r="A141" s="11">
        <v>510</v>
      </c>
      <c r="B141" s="16">
        <v>10500</v>
      </c>
      <c r="C141" s="13">
        <v>44636</v>
      </c>
      <c r="D141" s="11" t="s">
        <v>122</v>
      </c>
      <c r="E141" s="14">
        <v>3000</v>
      </c>
      <c r="F141" s="11" t="s">
        <v>21</v>
      </c>
      <c r="G141" s="5">
        <v>3.5</v>
      </c>
      <c r="H141" s="36">
        <f t="shared" si="2"/>
        <v>5355000</v>
      </c>
      <c r="I141" s="44" t="s">
        <v>409</v>
      </c>
    </row>
    <row r="142" spans="1:9" hidden="1" x14ac:dyDescent="0.2">
      <c r="A142" s="11">
        <v>503</v>
      </c>
      <c r="B142" s="16">
        <v>10500</v>
      </c>
      <c r="C142" s="13">
        <v>44643</v>
      </c>
      <c r="D142" s="11" t="s">
        <v>122</v>
      </c>
      <c r="E142" s="14">
        <v>3000</v>
      </c>
      <c r="F142" s="11" t="s">
        <v>21</v>
      </c>
      <c r="G142" s="5">
        <v>3.5</v>
      </c>
      <c r="H142" s="36">
        <f t="shared" si="2"/>
        <v>5281500</v>
      </c>
      <c r="I142" s="44" t="s">
        <v>409</v>
      </c>
    </row>
    <row r="143" spans="1:9" hidden="1" x14ac:dyDescent="0.2">
      <c r="A143" s="11">
        <v>502</v>
      </c>
      <c r="B143" s="16">
        <v>21000</v>
      </c>
      <c r="C143" s="13">
        <v>44644</v>
      </c>
      <c r="D143" s="11" t="s">
        <v>122</v>
      </c>
      <c r="E143" s="14">
        <v>6000</v>
      </c>
      <c r="F143" s="11" t="s">
        <v>21</v>
      </c>
      <c r="G143" s="5">
        <v>3.5</v>
      </c>
      <c r="H143" s="36">
        <f t="shared" si="2"/>
        <v>10542000</v>
      </c>
      <c r="I143" s="44" t="s">
        <v>409</v>
      </c>
    </row>
    <row r="144" spans="1:9" hidden="1" x14ac:dyDescent="0.2">
      <c r="A144" s="11">
        <v>497</v>
      </c>
      <c r="B144" s="16">
        <v>21000</v>
      </c>
      <c r="C144" s="13">
        <v>44649</v>
      </c>
      <c r="D144" s="11" t="s">
        <v>122</v>
      </c>
      <c r="E144" s="14">
        <v>6000</v>
      </c>
      <c r="F144" s="11" t="s">
        <v>21</v>
      </c>
      <c r="G144" s="5">
        <v>3.5</v>
      </c>
      <c r="H144" s="36">
        <f t="shared" si="2"/>
        <v>10437000</v>
      </c>
      <c r="I144" s="44" t="s">
        <v>409</v>
      </c>
    </row>
    <row r="145" spans="1:9" hidden="1" x14ac:dyDescent="0.2">
      <c r="A145" s="11">
        <v>494</v>
      </c>
      <c r="B145" s="16">
        <v>21000</v>
      </c>
      <c r="C145" s="13">
        <v>44652</v>
      </c>
      <c r="D145" s="11" t="s">
        <v>122</v>
      </c>
      <c r="E145" s="14">
        <v>6000</v>
      </c>
      <c r="F145" s="11" t="s">
        <v>21</v>
      </c>
      <c r="G145" s="5">
        <v>3.5</v>
      </c>
      <c r="H145" s="36">
        <f t="shared" si="2"/>
        <v>10374000</v>
      </c>
      <c r="I145" s="44" t="s">
        <v>422</v>
      </c>
    </row>
    <row r="146" spans="1:9" hidden="1" x14ac:dyDescent="0.2">
      <c r="A146" s="11">
        <v>490</v>
      </c>
      <c r="B146" s="16">
        <v>5136</v>
      </c>
      <c r="C146" s="13">
        <v>44656</v>
      </c>
      <c r="D146" s="11" t="s">
        <v>157</v>
      </c>
      <c r="E146" s="14">
        <v>12000</v>
      </c>
      <c r="F146" s="11" t="s">
        <v>21</v>
      </c>
      <c r="G146" s="5">
        <v>0.42799999999999999</v>
      </c>
      <c r="H146" s="36">
        <f t="shared" si="2"/>
        <v>2516640</v>
      </c>
      <c r="I146" s="44" t="s">
        <v>422</v>
      </c>
    </row>
    <row r="147" spans="1:9" hidden="1" x14ac:dyDescent="0.2">
      <c r="A147" s="11">
        <v>488</v>
      </c>
      <c r="B147" s="16">
        <v>10500</v>
      </c>
      <c r="C147" s="13">
        <v>44658</v>
      </c>
      <c r="D147" s="11" t="s">
        <v>122</v>
      </c>
      <c r="E147" s="14">
        <v>3000</v>
      </c>
      <c r="F147" s="11" t="s">
        <v>21</v>
      </c>
      <c r="G147" s="5">
        <v>3.5</v>
      </c>
      <c r="H147" s="36">
        <f t="shared" si="2"/>
        <v>5124000</v>
      </c>
      <c r="I147" s="44" t="s">
        <v>422</v>
      </c>
    </row>
    <row r="148" spans="1:9" hidden="1" x14ac:dyDescent="0.2">
      <c r="A148" s="11">
        <v>389</v>
      </c>
      <c r="B148" s="16">
        <v>10500</v>
      </c>
      <c r="C148" s="13">
        <v>44757</v>
      </c>
      <c r="D148" s="11" t="s">
        <v>122</v>
      </c>
      <c r="E148" s="14">
        <v>3000</v>
      </c>
      <c r="F148" s="11" t="s">
        <v>21</v>
      </c>
      <c r="G148" s="5">
        <v>3.5</v>
      </c>
      <c r="H148" s="36">
        <f t="shared" si="2"/>
        <v>4084500</v>
      </c>
      <c r="I148" s="44" t="s">
        <v>414</v>
      </c>
    </row>
    <row r="149" spans="1:9" hidden="1" x14ac:dyDescent="0.2">
      <c r="A149" s="11">
        <v>371</v>
      </c>
      <c r="B149" s="16">
        <v>10500</v>
      </c>
      <c r="C149" s="13">
        <v>44775</v>
      </c>
      <c r="D149" s="11" t="s">
        <v>122</v>
      </c>
      <c r="E149" s="14">
        <v>3000</v>
      </c>
      <c r="F149" s="11" t="s">
        <v>21</v>
      </c>
      <c r="G149" s="5">
        <v>3.5</v>
      </c>
      <c r="H149" s="36">
        <f t="shared" si="2"/>
        <v>3895500</v>
      </c>
      <c r="I149" s="44" t="s">
        <v>423</v>
      </c>
    </row>
    <row r="150" spans="1:9" hidden="1" x14ac:dyDescent="0.2">
      <c r="A150" s="11">
        <v>371</v>
      </c>
      <c r="B150" s="16">
        <v>5940</v>
      </c>
      <c r="C150" s="13">
        <v>44775</v>
      </c>
      <c r="D150" s="11" t="s">
        <v>157</v>
      </c>
      <c r="E150" s="14">
        <v>12000</v>
      </c>
      <c r="F150" s="11" t="s">
        <v>21</v>
      </c>
      <c r="G150" s="5">
        <v>0.495</v>
      </c>
      <c r="H150" s="36">
        <f t="shared" si="2"/>
        <v>2203740</v>
      </c>
      <c r="I150" s="44" t="s">
        <v>423</v>
      </c>
    </row>
    <row r="151" spans="1:9" hidden="1" x14ac:dyDescent="0.2">
      <c r="A151" s="11">
        <v>363</v>
      </c>
      <c r="B151" s="16">
        <v>8700</v>
      </c>
      <c r="C151" s="13">
        <v>44783</v>
      </c>
      <c r="D151" s="11" t="s">
        <v>127</v>
      </c>
      <c r="E151" s="14">
        <v>3000</v>
      </c>
      <c r="F151" s="11" t="s">
        <v>21</v>
      </c>
      <c r="G151" s="5">
        <v>2.9</v>
      </c>
      <c r="H151" s="36">
        <f t="shared" si="2"/>
        <v>3158100</v>
      </c>
      <c r="I151" s="44" t="s">
        <v>423</v>
      </c>
    </row>
    <row r="152" spans="1:9" hidden="1" x14ac:dyDescent="0.2">
      <c r="A152" s="11">
        <v>336</v>
      </c>
      <c r="B152" s="16">
        <v>10500</v>
      </c>
      <c r="C152" s="13">
        <v>44810</v>
      </c>
      <c r="D152" s="11" t="s">
        <v>122</v>
      </c>
      <c r="E152" s="14">
        <v>3000</v>
      </c>
      <c r="F152" s="11" t="s">
        <v>21</v>
      </c>
      <c r="G152" s="5">
        <v>3.5</v>
      </c>
      <c r="H152" s="36">
        <f t="shared" si="2"/>
        <v>3528000</v>
      </c>
      <c r="I152" s="44" t="s">
        <v>411</v>
      </c>
    </row>
    <row r="153" spans="1:9" hidden="1" x14ac:dyDescent="0.2">
      <c r="A153" s="11">
        <v>334</v>
      </c>
      <c r="B153" s="16">
        <v>10500</v>
      </c>
      <c r="C153" s="13">
        <v>44812</v>
      </c>
      <c r="D153" s="11" t="s">
        <v>122</v>
      </c>
      <c r="E153" s="14">
        <v>3000</v>
      </c>
      <c r="F153" s="11" t="s">
        <v>21</v>
      </c>
      <c r="G153" s="5">
        <v>3.5</v>
      </c>
      <c r="H153" s="36">
        <f t="shared" si="2"/>
        <v>3507000</v>
      </c>
      <c r="I153" s="44" t="s">
        <v>411</v>
      </c>
    </row>
    <row r="154" spans="1:9" hidden="1" x14ac:dyDescent="0.2">
      <c r="A154" s="11">
        <v>334</v>
      </c>
      <c r="B154" s="16">
        <v>26100</v>
      </c>
      <c r="C154" s="13">
        <v>44812</v>
      </c>
      <c r="D154" s="11" t="s">
        <v>127</v>
      </c>
      <c r="E154" s="14">
        <v>9000</v>
      </c>
      <c r="F154" s="11" t="s">
        <v>21</v>
      </c>
      <c r="G154" s="5">
        <v>2.9</v>
      </c>
      <c r="H154" s="36">
        <f t="shared" si="2"/>
        <v>8717400</v>
      </c>
      <c r="I154" s="44" t="s">
        <v>411</v>
      </c>
    </row>
    <row r="155" spans="1:9" hidden="1" x14ac:dyDescent="0.2">
      <c r="A155" s="11">
        <v>258</v>
      </c>
      <c r="B155" s="16">
        <v>21000</v>
      </c>
      <c r="C155" s="13">
        <v>44888</v>
      </c>
      <c r="D155" s="11" t="s">
        <v>122</v>
      </c>
      <c r="E155" s="14">
        <v>6000</v>
      </c>
      <c r="F155" s="11" t="s">
        <v>21</v>
      </c>
      <c r="G155" s="5">
        <v>3.5</v>
      </c>
      <c r="H155" s="36">
        <f t="shared" si="2"/>
        <v>5418000</v>
      </c>
      <c r="I155" s="44" t="s">
        <v>415</v>
      </c>
    </row>
    <row r="156" spans="1:9" hidden="1" x14ac:dyDescent="0.2">
      <c r="A156" s="11">
        <v>222</v>
      </c>
      <c r="B156" s="16">
        <v>67737.600000000006</v>
      </c>
      <c r="C156" s="13">
        <v>44924</v>
      </c>
      <c r="D156" s="11" t="s">
        <v>158</v>
      </c>
      <c r="E156" s="14">
        <v>84</v>
      </c>
      <c r="F156" s="11" t="s">
        <v>21</v>
      </c>
      <c r="G156" s="5">
        <v>806.4</v>
      </c>
      <c r="H156" s="36">
        <f t="shared" si="2"/>
        <v>15037747.200000001</v>
      </c>
      <c r="I156" s="44" t="s">
        <v>404</v>
      </c>
    </row>
    <row r="157" spans="1:9" hidden="1" x14ac:dyDescent="0.2">
      <c r="A157" s="11">
        <v>222</v>
      </c>
      <c r="B157" s="16">
        <v>338688</v>
      </c>
      <c r="C157" s="13">
        <v>44924</v>
      </c>
      <c r="D157" s="11" t="s">
        <v>158</v>
      </c>
      <c r="E157" s="14">
        <v>420</v>
      </c>
      <c r="F157" s="11" t="s">
        <v>21</v>
      </c>
      <c r="G157" s="5">
        <v>806.4</v>
      </c>
      <c r="H157" s="36">
        <f t="shared" si="2"/>
        <v>75188736</v>
      </c>
      <c r="I157" s="44" t="s">
        <v>404</v>
      </c>
    </row>
    <row r="158" spans="1:9" hidden="1" x14ac:dyDescent="0.2">
      <c r="A158" s="11">
        <v>216</v>
      </c>
      <c r="B158" s="16">
        <v>10500</v>
      </c>
      <c r="C158" s="13">
        <v>44930</v>
      </c>
      <c r="D158" s="11" t="s">
        <v>122</v>
      </c>
      <c r="E158" s="14">
        <v>3000</v>
      </c>
      <c r="F158" s="11" t="s">
        <v>21</v>
      </c>
      <c r="G158" s="5">
        <v>3.5</v>
      </c>
      <c r="H158" s="36">
        <f t="shared" si="2"/>
        <v>2268000</v>
      </c>
      <c r="I158" s="44" t="s">
        <v>406</v>
      </c>
    </row>
    <row r="159" spans="1:9" hidden="1" x14ac:dyDescent="0.2">
      <c r="A159" s="11">
        <v>210</v>
      </c>
      <c r="B159" s="16">
        <v>10500</v>
      </c>
      <c r="C159" s="13">
        <v>44936</v>
      </c>
      <c r="D159" s="11" t="s">
        <v>122</v>
      </c>
      <c r="E159" s="14">
        <v>3000</v>
      </c>
      <c r="F159" s="11" t="s">
        <v>21</v>
      </c>
      <c r="G159" s="5">
        <v>3.5</v>
      </c>
      <c r="H159" s="36">
        <f t="shared" si="2"/>
        <v>2205000</v>
      </c>
      <c r="I159" s="44" t="s">
        <v>406</v>
      </c>
    </row>
    <row r="160" spans="1:9" hidden="1" x14ac:dyDescent="0.2">
      <c r="A160" s="11">
        <v>209</v>
      </c>
      <c r="B160" s="16">
        <v>10500</v>
      </c>
      <c r="C160" s="13">
        <v>44937</v>
      </c>
      <c r="D160" s="11" t="s">
        <v>122</v>
      </c>
      <c r="E160" s="14">
        <v>3000</v>
      </c>
      <c r="F160" s="11" t="s">
        <v>21</v>
      </c>
      <c r="G160" s="5">
        <v>3.5</v>
      </c>
      <c r="H160" s="36">
        <f t="shared" si="2"/>
        <v>2194500</v>
      </c>
      <c r="I160" s="44" t="s">
        <v>406</v>
      </c>
    </row>
    <row r="161" spans="1:9" hidden="1" x14ac:dyDescent="0.2">
      <c r="A161" s="11">
        <v>209</v>
      </c>
      <c r="B161" s="16">
        <v>1700</v>
      </c>
      <c r="C161" s="13">
        <v>44937</v>
      </c>
      <c r="D161" s="11" t="s">
        <v>155</v>
      </c>
      <c r="E161" s="14">
        <v>2500</v>
      </c>
      <c r="F161" s="11" t="s">
        <v>21</v>
      </c>
      <c r="G161" s="5">
        <v>0.68</v>
      </c>
      <c r="H161" s="36">
        <f t="shared" si="2"/>
        <v>355300</v>
      </c>
      <c r="I161" s="44" t="s">
        <v>406</v>
      </c>
    </row>
    <row r="162" spans="1:9" hidden="1" x14ac:dyDescent="0.2">
      <c r="A162" s="11">
        <v>207</v>
      </c>
      <c r="B162" s="16">
        <v>1728</v>
      </c>
      <c r="C162" s="13">
        <v>44939</v>
      </c>
      <c r="D162" s="11" t="s">
        <v>159</v>
      </c>
      <c r="E162" s="14">
        <v>2000</v>
      </c>
      <c r="F162" s="11" t="s">
        <v>21</v>
      </c>
      <c r="G162" s="5">
        <v>0.86399999999999999</v>
      </c>
      <c r="H162" s="36">
        <f t="shared" si="2"/>
        <v>357696</v>
      </c>
      <c r="I162" s="44" t="s">
        <v>406</v>
      </c>
    </row>
    <row r="163" spans="1:9" hidden="1" x14ac:dyDescent="0.2">
      <c r="A163" s="11">
        <v>207</v>
      </c>
      <c r="B163" s="16">
        <v>44125</v>
      </c>
      <c r="C163" s="13">
        <v>44939</v>
      </c>
      <c r="D163" s="11" t="s">
        <v>156</v>
      </c>
      <c r="E163" s="14">
        <v>12500</v>
      </c>
      <c r="F163" s="11" t="s">
        <v>21</v>
      </c>
      <c r="G163" s="5">
        <v>3.53</v>
      </c>
      <c r="H163" s="36">
        <f t="shared" si="2"/>
        <v>9133875</v>
      </c>
      <c r="I163" s="44" t="s">
        <v>406</v>
      </c>
    </row>
    <row r="164" spans="1:9" hidden="1" x14ac:dyDescent="0.2">
      <c r="A164" s="11">
        <v>181</v>
      </c>
      <c r="B164" s="16">
        <v>21000</v>
      </c>
      <c r="C164" s="13">
        <v>44965</v>
      </c>
      <c r="D164" s="11" t="s">
        <v>122</v>
      </c>
      <c r="E164" s="14">
        <v>6000</v>
      </c>
      <c r="F164" s="11" t="s">
        <v>21</v>
      </c>
      <c r="G164" s="5">
        <v>3.5</v>
      </c>
      <c r="H164" s="36">
        <f t="shared" si="2"/>
        <v>3801000</v>
      </c>
      <c r="I164" s="44" t="s">
        <v>405</v>
      </c>
    </row>
    <row r="165" spans="1:9" hidden="1" x14ac:dyDescent="0.2">
      <c r="A165" s="11">
        <v>181</v>
      </c>
      <c r="B165" s="16">
        <v>10500</v>
      </c>
      <c r="C165" s="13">
        <v>44965</v>
      </c>
      <c r="D165" s="11" t="s">
        <v>122</v>
      </c>
      <c r="E165" s="14">
        <v>3000</v>
      </c>
      <c r="F165" s="11" t="s">
        <v>21</v>
      </c>
      <c r="G165" s="5">
        <v>3.5</v>
      </c>
      <c r="H165" s="36">
        <f t="shared" si="2"/>
        <v>1900500</v>
      </c>
      <c r="I165" s="44" t="s">
        <v>405</v>
      </c>
    </row>
    <row r="166" spans="1:9" hidden="1" x14ac:dyDescent="0.2">
      <c r="A166" s="11">
        <v>180</v>
      </c>
      <c r="B166" s="16">
        <v>126000</v>
      </c>
      <c r="C166" s="13">
        <v>44966</v>
      </c>
      <c r="D166" s="11" t="s">
        <v>122</v>
      </c>
      <c r="E166" s="14">
        <v>36000</v>
      </c>
      <c r="F166" s="11" t="s">
        <v>21</v>
      </c>
      <c r="G166" s="5">
        <v>3.5</v>
      </c>
      <c r="H166" s="36">
        <f t="shared" si="2"/>
        <v>22680000</v>
      </c>
      <c r="I166" s="44" t="s">
        <v>405</v>
      </c>
    </row>
    <row r="167" spans="1:9" hidden="1" x14ac:dyDescent="0.2">
      <c r="A167" s="11">
        <v>165</v>
      </c>
      <c r="B167" s="16">
        <v>136500</v>
      </c>
      <c r="C167" s="13">
        <v>44981</v>
      </c>
      <c r="D167" s="11" t="s">
        <v>122</v>
      </c>
      <c r="E167" s="14">
        <v>39000</v>
      </c>
      <c r="F167" s="11" t="s">
        <v>21</v>
      </c>
      <c r="G167" s="5">
        <v>3.5</v>
      </c>
      <c r="H167" s="36">
        <f t="shared" si="2"/>
        <v>22522500</v>
      </c>
      <c r="I167" s="44" t="s">
        <v>405</v>
      </c>
    </row>
    <row r="168" spans="1:9" hidden="1" x14ac:dyDescent="0.2">
      <c r="A168" s="11">
        <v>159</v>
      </c>
      <c r="B168" s="16">
        <v>94500</v>
      </c>
      <c r="C168" s="13">
        <v>44987</v>
      </c>
      <c r="D168" s="11" t="s">
        <v>122</v>
      </c>
      <c r="E168" s="14">
        <v>27000</v>
      </c>
      <c r="F168" s="11" t="s">
        <v>21</v>
      </c>
      <c r="G168" s="5">
        <v>3.5</v>
      </c>
      <c r="H168" s="36">
        <f t="shared" si="2"/>
        <v>15025500</v>
      </c>
      <c r="I168" s="44" t="s">
        <v>416</v>
      </c>
    </row>
    <row r="169" spans="1:9" hidden="1" x14ac:dyDescent="0.2">
      <c r="A169" s="11">
        <v>159</v>
      </c>
      <c r="B169" s="16">
        <v>21000</v>
      </c>
      <c r="C169" s="13">
        <v>44987</v>
      </c>
      <c r="D169" s="11" t="s">
        <v>122</v>
      </c>
      <c r="E169" s="14">
        <v>6000</v>
      </c>
      <c r="F169" s="11" t="s">
        <v>21</v>
      </c>
      <c r="G169" s="5">
        <v>3.5</v>
      </c>
      <c r="H169" s="36">
        <f t="shared" si="2"/>
        <v>3339000</v>
      </c>
      <c r="I169" s="44" t="s">
        <v>416</v>
      </c>
    </row>
    <row r="170" spans="1:9" hidden="1" x14ac:dyDescent="0.2">
      <c r="A170" s="11">
        <v>159</v>
      </c>
      <c r="B170" s="16">
        <v>94500</v>
      </c>
      <c r="C170" s="13">
        <v>44987</v>
      </c>
      <c r="D170" s="11" t="s">
        <v>122</v>
      </c>
      <c r="E170" s="14">
        <v>27000</v>
      </c>
      <c r="F170" s="11" t="s">
        <v>21</v>
      </c>
      <c r="G170" s="5">
        <v>3.5</v>
      </c>
      <c r="H170" s="36">
        <f t="shared" si="2"/>
        <v>15025500</v>
      </c>
      <c r="I170" s="44" t="s">
        <v>416</v>
      </c>
    </row>
    <row r="171" spans="1:9" hidden="1" x14ac:dyDescent="0.2">
      <c r="A171" s="11">
        <v>154</v>
      </c>
      <c r="B171" s="16">
        <v>21000</v>
      </c>
      <c r="C171" s="13">
        <v>44992</v>
      </c>
      <c r="D171" s="11" t="s">
        <v>122</v>
      </c>
      <c r="E171" s="14">
        <v>6000</v>
      </c>
      <c r="F171" s="11" t="s">
        <v>21</v>
      </c>
      <c r="G171" s="5">
        <v>3.5</v>
      </c>
      <c r="H171" s="36">
        <f t="shared" si="2"/>
        <v>3234000</v>
      </c>
      <c r="I171" s="44" t="s">
        <v>416</v>
      </c>
    </row>
    <row r="172" spans="1:9" hidden="1" x14ac:dyDescent="0.2">
      <c r="A172" s="11">
        <v>154</v>
      </c>
      <c r="B172" s="16">
        <v>84000</v>
      </c>
      <c r="C172" s="13">
        <v>44992</v>
      </c>
      <c r="D172" s="11" t="s">
        <v>122</v>
      </c>
      <c r="E172" s="14">
        <v>24000</v>
      </c>
      <c r="F172" s="11" t="s">
        <v>21</v>
      </c>
      <c r="G172" s="5">
        <v>3.5</v>
      </c>
      <c r="H172" s="36">
        <f t="shared" si="2"/>
        <v>12936000</v>
      </c>
      <c r="I172" s="44" t="s">
        <v>416</v>
      </c>
    </row>
    <row r="173" spans="1:9" hidden="1" x14ac:dyDescent="0.2">
      <c r="A173" s="11">
        <v>154</v>
      </c>
      <c r="B173" s="16">
        <v>346500</v>
      </c>
      <c r="C173" s="13">
        <v>44992</v>
      </c>
      <c r="D173" s="11" t="s">
        <v>122</v>
      </c>
      <c r="E173" s="14">
        <v>99000</v>
      </c>
      <c r="F173" s="11" t="s">
        <v>21</v>
      </c>
      <c r="G173" s="5">
        <v>3.5</v>
      </c>
      <c r="H173" s="36">
        <f t="shared" si="2"/>
        <v>53361000</v>
      </c>
      <c r="I173" s="44" t="s">
        <v>416</v>
      </c>
    </row>
    <row r="174" spans="1:9" hidden="1" x14ac:dyDescent="0.2">
      <c r="A174" s="11">
        <v>154</v>
      </c>
      <c r="B174" s="16">
        <v>10500</v>
      </c>
      <c r="C174" s="13">
        <v>44992</v>
      </c>
      <c r="D174" s="11" t="s">
        <v>122</v>
      </c>
      <c r="E174" s="14">
        <v>3000</v>
      </c>
      <c r="F174" s="11" t="s">
        <v>21</v>
      </c>
      <c r="G174" s="5">
        <v>3.5</v>
      </c>
      <c r="H174" s="36">
        <f t="shared" si="2"/>
        <v>1617000</v>
      </c>
      <c r="I174" s="44" t="s">
        <v>416</v>
      </c>
    </row>
    <row r="175" spans="1:9" hidden="1" x14ac:dyDescent="0.2">
      <c r="A175" s="11">
        <v>144</v>
      </c>
      <c r="B175" s="16">
        <v>441000</v>
      </c>
      <c r="C175" s="13">
        <v>45002</v>
      </c>
      <c r="D175" s="11" t="s">
        <v>122</v>
      </c>
      <c r="E175" s="14">
        <v>126000</v>
      </c>
      <c r="F175" s="11" t="s">
        <v>21</v>
      </c>
      <c r="G175" s="5">
        <v>3.5</v>
      </c>
      <c r="H175" s="36">
        <f t="shared" si="2"/>
        <v>63504000</v>
      </c>
      <c r="I175" s="44" t="s">
        <v>416</v>
      </c>
    </row>
    <row r="176" spans="1:9" hidden="1" x14ac:dyDescent="0.2">
      <c r="A176" s="11">
        <v>144</v>
      </c>
      <c r="B176" s="16">
        <v>94500</v>
      </c>
      <c r="C176" s="13">
        <v>45002</v>
      </c>
      <c r="D176" s="11" t="s">
        <v>122</v>
      </c>
      <c r="E176" s="14">
        <v>27000</v>
      </c>
      <c r="F176" s="11" t="s">
        <v>21</v>
      </c>
      <c r="G176" s="5">
        <v>3.5</v>
      </c>
      <c r="H176" s="36">
        <f t="shared" si="2"/>
        <v>13608000</v>
      </c>
      <c r="I176" s="44" t="s">
        <v>416</v>
      </c>
    </row>
    <row r="177" spans="1:9" hidden="1" x14ac:dyDescent="0.2">
      <c r="A177" s="11">
        <v>144</v>
      </c>
      <c r="B177" s="16">
        <v>21000</v>
      </c>
      <c r="C177" s="13">
        <v>45002</v>
      </c>
      <c r="D177" s="11" t="s">
        <v>122</v>
      </c>
      <c r="E177" s="14">
        <v>6000</v>
      </c>
      <c r="F177" s="11" t="s">
        <v>21</v>
      </c>
      <c r="G177" s="5">
        <v>3.5</v>
      </c>
      <c r="H177" s="36">
        <f t="shared" si="2"/>
        <v>3024000</v>
      </c>
      <c r="I177" s="44" t="s">
        <v>416</v>
      </c>
    </row>
    <row r="178" spans="1:9" hidden="1" x14ac:dyDescent="0.2">
      <c r="A178" s="11">
        <v>133</v>
      </c>
      <c r="B178" s="16">
        <v>44125</v>
      </c>
      <c r="C178" s="13">
        <v>45013</v>
      </c>
      <c r="D178" s="11" t="s">
        <v>156</v>
      </c>
      <c r="E178" s="14">
        <v>12500</v>
      </c>
      <c r="F178" s="11" t="s">
        <v>21</v>
      </c>
      <c r="G178" s="5">
        <v>3.53</v>
      </c>
      <c r="H178" s="36">
        <f t="shared" si="2"/>
        <v>5868625</v>
      </c>
      <c r="I178" s="44" t="s">
        <v>416</v>
      </c>
    </row>
    <row r="179" spans="1:9" hidden="1" x14ac:dyDescent="0.2">
      <c r="A179" s="11">
        <v>133</v>
      </c>
      <c r="B179" s="16">
        <v>5940</v>
      </c>
      <c r="C179" s="13">
        <v>45013</v>
      </c>
      <c r="D179" s="11" t="s">
        <v>157</v>
      </c>
      <c r="E179" s="14">
        <v>12000</v>
      </c>
      <c r="F179" s="11" t="s">
        <v>21</v>
      </c>
      <c r="G179" s="5">
        <v>0.495</v>
      </c>
      <c r="H179" s="36">
        <f t="shared" si="2"/>
        <v>790020</v>
      </c>
      <c r="I179" s="44" t="s">
        <v>416</v>
      </c>
    </row>
    <row r="180" spans="1:9" hidden="1" x14ac:dyDescent="0.2">
      <c r="A180" s="11">
        <v>119</v>
      </c>
      <c r="B180" s="16">
        <v>21000</v>
      </c>
      <c r="C180" s="13">
        <v>45027</v>
      </c>
      <c r="D180" s="11" t="s">
        <v>122</v>
      </c>
      <c r="E180" s="14">
        <v>6000</v>
      </c>
      <c r="F180" s="11" t="s">
        <v>21</v>
      </c>
      <c r="G180" s="5">
        <v>3.5</v>
      </c>
      <c r="H180" s="36">
        <f t="shared" si="2"/>
        <v>2499000</v>
      </c>
      <c r="I180" s="44" t="s">
        <v>417</v>
      </c>
    </row>
    <row r="181" spans="1:9" hidden="1" x14ac:dyDescent="0.2">
      <c r="A181" s="11">
        <v>118</v>
      </c>
      <c r="B181" s="16">
        <v>210000</v>
      </c>
      <c r="C181" s="13">
        <v>45028</v>
      </c>
      <c r="D181" s="11" t="s">
        <v>122</v>
      </c>
      <c r="E181" s="14">
        <v>60000</v>
      </c>
      <c r="F181" s="11" t="s">
        <v>21</v>
      </c>
      <c r="G181" s="5">
        <v>3.5</v>
      </c>
      <c r="H181" s="36">
        <f t="shared" si="2"/>
        <v>24780000</v>
      </c>
      <c r="I181" s="44" t="s">
        <v>417</v>
      </c>
    </row>
    <row r="182" spans="1:9" hidden="1" x14ac:dyDescent="0.2">
      <c r="A182" s="11">
        <v>118</v>
      </c>
      <c r="B182" s="16">
        <v>42000</v>
      </c>
      <c r="C182" s="13">
        <v>45028</v>
      </c>
      <c r="D182" s="11" t="s">
        <v>122</v>
      </c>
      <c r="E182" s="14">
        <v>12000</v>
      </c>
      <c r="F182" s="11" t="s">
        <v>21</v>
      </c>
      <c r="G182" s="5">
        <v>3.5</v>
      </c>
      <c r="H182" s="36">
        <f t="shared" si="2"/>
        <v>4956000</v>
      </c>
      <c r="I182" s="44" t="s">
        <v>417</v>
      </c>
    </row>
    <row r="183" spans="1:9" hidden="1" x14ac:dyDescent="0.2">
      <c r="A183" s="11">
        <v>117</v>
      </c>
      <c r="B183" s="16">
        <v>71801.52</v>
      </c>
      <c r="C183" s="13">
        <v>45029</v>
      </c>
      <c r="D183" s="11" t="s">
        <v>158</v>
      </c>
      <c r="E183" s="14">
        <v>84</v>
      </c>
      <c r="F183" s="11" t="s">
        <v>21</v>
      </c>
      <c r="G183" s="5">
        <v>854.78</v>
      </c>
      <c r="H183" s="36">
        <f t="shared" si="2"/>
        <v>8400777.8399999999</v>
      </c>
      <c r="I183" s="44" t="s">
        <v>417</v>
      </c>
    </row>
    <row r="184" spans="1:9" hidden="1" x14ac:dyDescent="0.2">
      <c r="A184" s="11">
        <v>106</v>
      </c>
      <c r="B184" s="16">
        <v>359007.6</v>
      </c>
      <c r="C184" s="13">
        <v>45040</v>
      </c>
      <c r="D184" s="11" t="s">
        <v>158</v>
      </c>
      <c r="E184" s="14">
        <v>420</v>
      </c>
      <c r="F184" s="11" t="s">
        <v>21</v>
      </c>
      <c r="G184" s="5">
        <v>854.78</v>
      </c>
      <c r="H184" s="36">
        <f t="shared" si="2"/>
        <v>38054805.599999994</v>
      </c>
      <c r="I184" s="44" t="s">
        <v>417</v>
      </c>
    </row>
    <row r="185" spans="1:9" hidden="1" x14ac:dyDescent="0.2">
      <c r="A185" s="11">
        <v>96</v>
      </c>
      <c r="B185" s="16">
        <v>430809.12</v>
      </c>
      <c r="C185" s="13">
        <v>45050</v>
      </c>
      <c r="D185" s="11" t="s">
        <v>158</v>
      </c>
      <c r="E185" s="14">
        <v>504</v>
      </c>
      <c r="F185" s="11" t="s">
        <v>21</v>
      </c>
      <c r="G185" s="5">
        <v>854.78</v>
      </c>
      <c r="H185" s="36">
        <f t="shared" si="2"/>
        <v>41357675.519999996</v>
      </c>
      <c r="I185" s="44" t="s">
        <v>410</v>
      </c>
    </row>
    <row r="186" spans="1:9" hidden="1" x14ac:dyDescent="0.2">
      <c r="A186" s="11">
        <v>95</v>
      </c>
      <c r="B186" s="16">
        <v>2943862.32</v>
      </c>
      <c r="C186" s="13">
        <v>45051</v>
      </c>
      <c r="D186" s="11" t="s">
        <v>158</v>
      </c>
      <c r="E186" s="14">
        <v>3444</v>
      </c>
      <c r="F186" s="11" t="s">
        <v>21</v>
      </c>
      <c r="G186" s="5">
        <v>854.78</v>
      </c>
      <c r="H186" s="36">
        <f t="shared" si="2"/>
        <v>279666920.39999998</v>
      </c>
      <c r="I186" s="44" t="s">
        <v>410</v>
      </c>
    </row>
    <row r="187" spans="1:9" hidden="1" x14ac:dyDescent="0.2">
      <c r="A187" s="11">
        <v>96</v>
      </c>
      <c r="B187" s="16">
        <v>430809.12</v>
      </c>
      <c r="C187" s="13">
        <v>45050</v>
      </c>
      <c r="D187" s="11" t="s">
        <v>158</v>
      </c>
      <c r="E187" s="14">
        <v>504</v>
      </c>
      <c r="F187" s="11" t="s">
        <v>21</v>
      </c>
      <c r="G187" s="5">
        <v>854.78</v>
      </c>
      <c r="H187" s="36">
        <f t="shared" si="2"/>
        <v>41357675.519999996</v>
      </c>
      <c r="I187" s="44" t="s">
        <v>410</v>
      </c>
    </row>
    <row r="188" spans="1:9" hidden="1" x14ac:dyDescent="0.2">
      <c r="A188" s="11">
        <v>96</v>
      </c>
      <c r="B188" s="16">
        <v>430809.12</v>
      </c>
      <c r="C188" s="13">
        <v>45050</v>
      </c>
      <c r="D188" s="11" t="s">
        <v>158</v>
      </c>
      <c r="E188" s="14">
        <v>504</v>
      </c>
      <c r="F188" s="11" t="s">
        <v>21</v>
      </c>
      <c r="G188" s="5">
        <v>854.78</v>
      </c>
      <c r="H188" s="36">
        <f t="shared" si="2"/>
        <v>41357675.519999996</v>
      </c>
      <c r="I188" s="44" t="s">
        <v>410</v>
      </c>
    </row>
    <row r="189" spans="1:9" hidden="1" x14ac:dyDescent="0.2">
      <c r="A189" s="11">
        <v>84</v>
      </c>
      <c r="B189" s="16">
        <v>37610.32</v>
      </c>
      <c r="C189" s="13">
        <v>45062</v>
      </c>
      <c r="D189" s="11" t="s">
        <v>158</v>
      </c>
      <c r="E189" s="14">
        <v>44</v>
      </c>
      <c r="F189" s="11" t="s">
        <v>24</v>
      </c>
      <c r="G189" s="5">
        <v>854.78</v>
      </c>
      <c r="H189" s="36">
        <f t="shared" si="2"/>
        <v>3159266.88</v>
      </c>
      <c r="I189" s="44" t="s">
        <v>410</v>
      </c>
    </row>
    <row r="190" spans="1:9" hidden="1" x14ac:dyDescent="0.2">
      <c r="A190" s="11">
        <v>84</v>
      </c>
      <c r="B190" s="16">
        <v>321397.28000000003</v>
      </c>
      <c r="C190" s="13">
        <v>45062</v>
      </c>
      <c r="D190" s="11" t="s">
        <v>158</v>
      </c>
      <c r="E190" s="14">
        <v>376</v>
      </c>
      <c r="F190" s="11" t="s">
        <v>24</v>
      </c>
      <c r="G190" s="5">
        <v>854.78</v>
      </c>
      <c r="H190" s="36">
        <f t="shared" si="2"/>
        <v>26997371.520000003</v>
      </c>
      <c r="I190" s="44" t="s">
        <v>410</v>
      </c>
    </row>
    <row r="191" spans="1:9" hidden="1" x14ac:dyDescent="0.2">
      <c r="A191" s="11">
        <v>78</v>
      </c>
      <c r="B191" s="16">
        <v>359007.6</v>
      </c>
      <c r="C191" s="13">
        <v>45068</v>
      </c>
      <c r="D191" s="11" t="s">
        <v>158</v>
      </c>
      <c r="E191" s="14">
        <v>420</v>
      </c>
      <c r="F191" s="11" t="s">
        <v>24</v>
      </c>
      <c r="G191" s="5">
        <v>854.78</v>
      </c>
      <c r="H191" s="36">
        <f t="shared" si="2"/>
        <v>28002592.799999997</v>
      </c>
      <c r="I191" s="44" t="s">
        <v>410</v>
      </c>
    </row>
    <row r="192" spans="1:9" hidden="1" x14ac:dyDescent="0.2">
      <c r="A192" s="11">
        <v>77</v>
      </c>
      <c r="B192" s="16">
        <v>3400</v>
      </c>
      <c r="C192" s="13">
        <v>45069</v>
      </c>
      <c r="D192" s="11" t="s">
        <v>155</v>
      </c>
      <c r="E192" s="14">
        <v>5000</v>
      </c>
      <c r="F192" s="11" t="s">
        <v>24</v>
      </c>
      <c r="G192" s="5">
        <v>0.68</v>
      </c>
      <c r="H192" s="36">
        <f t="shared" si="2"/>
        <v>261800</v>
      </c>
      <c r="I192" s="44" t="s">
        <v>410</v>
      </c>
    </row>
    <row r="193" spans="1:9" hidden="1" x14ac:dyDescent="0.2">
      <c r="A193" s="11">
        <v>77</v>
      </c>
      <c r="B193" s="16">
        <v>72720</v>
      </c>
      <c r="C193" s="13">
        <v>45069</v>
      </c>
      <c r="D193" s="11" t="s">
        <v>153</v>
      </c>
      <c r="E193" s="14">
        <v>72000</v>
      </c>
      <c r="F193" s="11" t="s">
        <v>24</v>
      </c>
      <c r="G193" s="5">
        <v>1.01</v>
      </c>
      <c r="H193" s="36">
        <f t="shared" si="2"/>
        <v>5599440</v>
      </c>
      <c r="I193" s="44" t="s">
        <v>410</v>
      </c>
    </row>
    <row r="194" spans="1:9" hidden="1" x14ac:dyDescent="0.2">
      <c r="A194" s="11">
        <v>63</v>
      </c>
      <c r="B194" s="16">
        <v>26730</v>
      </c>
      <c r="C194" s="13">
        <v>45083</v>
      </c>
      <c r="D194" s="11" t="s">
        <v>157</v>
      </c>
      <c r="E194" s="14">
        <v>54000</v>
      </c>
      <c r="F194" s="11" t="s">
        <v>24</v>
      </c>
      <c r="G194" s="5">
        <v>0.495</v>
      </c>
      <c r="H194" s="36">
        <f t="shared" si="2"/>
        <v>1683990</v>
      </c>
      <c r="I194" s="44" t="s">
        <v>407</v>
      </c>
    </row>
    <row r="195" spans="1:9" hidden="1" x14ac:dyDescent="0.2">
      <c r="A195" s="11">
        <v>63</v>
      </c>
      <c r="B195" s="16">
        <v>5600</v>
      </c>
      <c r="C195" s="13">
        <v>45083</v>
      </c>
      <c r="D195" s="11" t="s">
        <v>160</v>
      </c>
      <c r="E195" s="14">
        <v>5000</v>
      </c>
      <c r="F195" s="11" t="s">
        <v>24</v>
      </c>
      <c r="G195" s="5">
        <v>1.1200000000000001</v>
      </c>
      <c r="H195" s="36">
        <f t="shared" ref="H195:H258" si="3">B195*A195</f>
        <v>352800</v>
      </c>
      <c r="I195" s="44" t="s">
        <v>407</v>
      </c>
    </row>
    <row r="196" spans="1:9" hidden="1" x14ac:dyDescent="0.2">
      <c r="A196" s="11">
        <v>63</v>
      </c>
      <c r="B196" s="16">
        <v>211800</v>
      </c>
      <c r="C196" s="13">
        <v>45083</v>
      </c>
      <c r="D196" s="11" t="s">
        <v>156</v>
      </c>
      <c r="E196" s="14">
        <v>60000</v>
      </c>
      <c r="F196" s="11" t="s">
        <v>24</v>
      </c>
      <c r="G196" s="5">
        <v>3.53</v>
      </c>
      <c r="H196" s="36">
        <f t="shared" si="3"/>
        <v>13343400</v>
      </c>
      <c r="I196" s="44" t="s">
        <v>407</v>
      </c>
    </row>
    <row r="197" spans="1:9" hidden="1" x14ac:dyDescent="0.2">
      <c r="A197" s="11">
        <v>56</v>
      </c>
      <c r="B197" s="16">
        <v>71801.52</v>
      </c>
      <c r="C197" s="13">
        <v>45090</v>
      </c>
      <c r="D197" s="11" t="s">
        <v>158</v>
      </c>
      <c r="E197" s="14">
        <v>84</v>
      </c>
      <c r="F197" s="11" t="s">
        <v>22</v>
      </c>
      <c r="G197" s="5">
        <v>854.78</v>
      </c>
      <c r="H197" s="36">
        <f t="shared" si="3"/>
        <v>4020885.12</v>
      </c>
      <c r="I197" s="44" t="s">
        <v>407</v>
      </c>
    </row>
    <row r="198" spans="1:9" hidden="1" x14ac:dyDescent="0.2">
      <c r="A198" s="11">
        <v>56</v>
      </c>
      <c r="B198" s="16">
        <v>143603.04</v>
      </c>
      <c r="C198" s="13">
        <v>45090</v>
      </c>
      <c r="D198" s="11" t="s">
        <v>158</v>
      </c>
      <c r="E198" s="14">
        <v>168</v>
      </c>
      <c r="F198" s="11" t="s">
        <v>22</v>
      </c>
      <c r="G198" s="5">
        <v>854.78</v>
      </c>
      <c r="H198" s="36">
        <f t="shared" si="3"/>
        <v>8041770.2400000002</v>
      </c>
      <c r="I198" s="44" t="s">
        <v>407</v>
      </c>
    </row>
    <row r="199" spans="1:9" hidden="1" x14ac:dyDescent="0.2">
      <c r="A199" s="11">
        <v>56</v>
      </c>
      <c r="B199" s="16">
        <v>430809.12</v>
      </c>
      <c r="C199" s="13">
        <v>45090</v>
      </c>
      <c r="D199" s="11" t="s">
        <v>158</v>
      </c>
      <c r="E199" s="14">
        <v>504</v>
      </c>
      <c r="F199" s="11" t="s">
        <v>22</v>
      </c>
      <c r="G199" s="5">
        <v>854.78</v>
      </c>
      <c r="H199" s="36">
        <f t="shared" si="3"/>
        <v>24125310.719999999</v>
      </c>
      <c r="I199" s="44" t="s">
        <v>407</v>
      </c>
    </row>
    <row r="200" spans="1:9" hidden="1" x14ac:dyDescent="0.2">
      <c r="A200" s="11">
        <v>56</v>
      </c>
      <c r="B200" s="16">
        <v>359007.6</v>
      </c>
      <c r="C200" s="13">
        <v>45090</v>
      </c>
      <c r="D200" s="11" t="s">
        <v>158</v>
      </c>
      <c r="E200" s="14">
        <v>420</v>
      </c>
      <c r="F200" s="11" t="s">
        <v>22</v>
      </c>
      <c r="G200" s="5">
        <v>854.78</v>
      </c>
      <c r="H200" s="36">
        <f t="shared" si="3"/>
        <v>20104425.599999998</v>
      </c>
      <c r="I200" s="44" t="s">
        <v>407</v>
      </c>
    </row>
    <row r="201" spans="1:9" hidden="1" x14ac:dyDescent="0.2">
      <c r="A201" s="11">
        <v>54</v>
      </c>
      <c r="B201" s="16">
        <v>8400</v>
      </c>
      <c r="C201" s="13">
        <v>45092</v>
      </c>
      <c r="D201" s="11" t="s">
        <v>126</v>
      </c>
      <c r="E201" s="14">
        <v>4000</v>
      </c>
      <c r="F201" s="11" t="s">
        <v>22</v>
      </c>
      <c r="G201" s="5">
        <v>2.1</v>
      </c>
      <c r="H201" s="36">
        <f t="shared" si="3"/>
        <v>453600</v>
      </c>
      <c r="I201" s="44" t="s">
        <v>407</v>
      </c>
    </row>
    <row r="202" spans="1:9" hidden="1" x14ac:dyDescent="0.2">
      <c r="A202" s="11">
        <v>53</v>
      </c>
      <c r="B202" s="16">
        <v>430809.12</v>
      </c>
      <c r="C202" s="13">
        <v>45093</v>
      </c>
      <c r="D202" s="11" t="s">
        <v>158</v>
      </c>
      <c r="E202" s="14">
        <v>504</v>
      </c>
      <c r="F202" s="11" t="s">
        <v>22</v>
      </c>
      <c r="G202" s="5">
        <v>854.78</v>
      </c>
      <c r="H202" s="36">
        <f t="shared" si="3"/>
        <v>22832883.359999999</v>
      </c>
      <c r="I202" s="44" t="s">
        <v>407</v>
      </c>
    </row>
    <row r="203" spans="1:9" hidden="1" x14ac:dyDescent="0.2">
      <c r="A203" s="11">
        <v>53</v>
      </c>
      <c r="B203" s="16">
        <v>71801.52</v>
      </c>
      <c r="C203" s="13">
        <v>45093</v>
      </c>
      <c r="D203" s="11" t="s">
        <v>158</v>
      </c>
      <c r="E203" s="14">
        <v>84</v>
      </c>
      <c r="F203" s="11" t="s">
        <v>22</v>
      </c>
      <c r="G203" s="5">
        <v>854.78</v>
      </c>
      <c r="H203" s="36">
        <f t="shared" si="3"/>
        <v>3805480.56</v>
      </c>
      <c r="I203" s="44" t="s">
        <v>407</v>
      </c>
    </row>
    <row r="204" spans="1:9" hidden="1" x14ac:dyDescent="0.2">
      <c r="A204" s="11">
        <v>47</v>
      </c>
      <c r="B204" s="16">
        <v>71801.52</v>
      </c>
      <c r="C204" s="13">
        <v>45099</v>
      </c>
      <c r="D204" s="11" t="s">
        <v>158</v>
      </c>
      <c r="E204" s="14">
        <v>84</v>
      </c>
      <c r="F204" s="11" t="s">
        <v>22</v>
      </c>
      <c r="G204" s="5">
        <v>854.78</v>
      </c>
      <c r="H204" s="36">
        <f t="shared" si="3"/>
        <v>3374671.4400000004</v>
      </c>
      <c r="I204" s="44" t="s">
        <v>407</v>
      </c>
    </row>
    <row r="205" spans="1:9" hidden="1" x14ac:dyDescent="0.2">
      <c r="A205" s="11">
        <v>47</v>
      </c>
      <c r="B205" s="16">
        <v>71801.52</v>
      </c>
      <c r="C205" s="13">
        <v>45099</v>
      </c>
      <c r="D205" s="11" t="s">
        <v>158</v>
      </c>
      <c r="E205" s="14">
        <v>84</v>
      </c>
      <c r="F205" s="11" t="s">
        <v>22</v>
      </c>
      <c r="G205" s="5">
        <v>854.78</v>
      </c>
      <c r="H205" s="36">
        <f t="shared" si="3"/>
        <v>3374671.4400000004</v>
      </c>
      <c r="I205" s="44" t="s">
        <v>407</v>
      </c>
    </row>
    <row r="206" spans="1:9" hidden="1" x14ac:dyDescent="0.2">
      <c r="A206" s="11">
        <v>46</v>
      </c>
      <c r="B206" s="16">
        <v>71801.52</v>
      </c>
      <c r="C206" s="13">
        <v>45100</v>
      </c>
      <c r="D206" s="11" t="s">
        <v>158</v>
      </c>
      <c r="E206" s="14">
        <v>84</v>
      </c>
      <c r="F206" s="11" t="s">
        <v>22</v>
      </c>
      <c r="G206" s="5">
        <v>854.78</v>
      </c>
      <c r="H206" s="36">
        <f t="shared" si="3"/>
        <v>3302869.9200000004</v>
      </c>
      <c r="I206" s="44" t="s">
        <v>407</v>
      </c>
    </row>
    <row r="207" spans="1:9" hidden="1" x14ac:dyDescent="0.2">
      <c r="A207" s="11">
        <v>29</v>
      </c>
      <c r="B207" s="16">
        <v>16800</v>
      </c>
      <c r="C207" s="13">
        <v>45117</v>
      </c>
      <c r="D207" s="11" t="s">
        <v>126</v>
      </c>
      <c r="E207" s="14">
        <v>8000</v>
      </c>
      <c r="F207" s="11" t="s">
        <v>23</v>
      </c>
      <c r="G207" s="5">
        <v>2.1</v>
      </c>
      <c r="H207" s="36">
        <f t="shared" si="3"/>
        <v>487200</v>
      </c>
      <c r="I207" s="44" t="s">
        <v>408</v>
      </c>
    </row>
    <row r="208" spans="1:9" hidden="1" x14ac:dyDescent="0.2">
      <c r="A208" s="11">
        <v>21</v>
      </c>
      <c r="B208" s="16">
        <v>71801.52</v>
      </c>
      <c r="C208" s="13">
        <v>45125</v>
      </c>
      <c r="D208" s="11" t="s">
        <v>158</v>
      </c>
      <c r="E208" s="14">
        <v>84</v>
      </c>
      <c r="F208" s="11" t="s">
        <v>23</v>
      </c>
      <c r="G208" s="5">
        <v>854.78</v>
      </c>
      <c r="H208" s="36">
        <f t="shared" si="3"/>
        <v>1507831.9200000002</v>
      </c>
      <c r="I208" s="44" t="s">
        <v>408</v>
      </c>
    </row>
    <row r="209" spans="1:9" hidden="1" x14ac:dyDescent="0.2">
      <c r="A209" s="11">
        <v>657</v>
      </c>
      <c r="B209" s="16">
        <v>1310.4000000000001</v>
      </c>
      <c r="C209" s="13">
        <v>44489</v>
      </c>
      <c r="D209" s="11" t="s">
        <v>161</v>
      </c>
      <c r="E209" s="14">
        <v>1820</v>
      </c>
      <c r="F209" s="11" t="s">
        <v>21</v>
      </c>
      <c r="G209" s="5">
        <v>0.72</v>
      </c>
      <c r="H209" s="36">
        <f t="shared" si="3"/>
        <v>860932.8</v>
      </c>
      <c r="I209" s="44" t="s">
        <v>424</v>
      </c>
    </row>
    <row r="210" spans="1:9" hidden="1" x14ac:dyDescent="0.2">
      <c r="A210" s="11">
        <v>558</v>
      </c>
      <c r="B210" s="16">
        <v>26949.78</v>
      </c>
      <c r="C210" s="13">
        <v>44588</v>
      </c>
      <c r="D210" s="11" t="s">
        <v>162</v>
      </c>
      <c r="E210" s="14">
        <v>11</v>
      </c>
      <c r="F210" s="11" t="s">
        <v>21</v>
      </c>
      <c r="G210" s="5">
        <v>2449.98</v>
      </c>
      <c r="H210" s="36">
        <f t="shared" si="3"/>
        <v>15037977.24</v>
      </c>
      <c r="I210" s="44" t="s">
        <v>421</v>
      </c>
    </row>
    <row r="211" spans="1:9" hidden="1" x14ac:dyDescent="0.2">
      <c r="A211" s="11">
        <v>474</v>
      </c>
      <c r="B211" s="16">
        <v>18802.5</v>
      </c>
      <c r="C211" s="13">
        <v>44672</v>
      </c>
      <c r="D211" s="11" t="s">
        <v>163</v>
      </c>
      <c r="E211" s="14">
        <v>115</v>
      </c>
      <c r="F211" s="11" t="s">
        <v>21</v>
      </c>
      <c r="G211" s="5">
        <v>163.5</v>
      </c>
      <c r="H211" s="36">
        <f t="shared" si="3"/>
        <v>8912385</v>
      </c>
      <c r="I211" s="44" t="s">
        <v>422</v>
      </c>
    </row>
    <row r="212" spans="1:9" hidden="1" x14ac:dyDescent="0.2">
      <c r="A212" s="11">
        <v>323</v>
      </c>
      <c r="B212" s="16">
        <v>21223.439999999999</v>
      </c>
      <c r="C212" s="13">
        <v>44823</v>
      </c>
      <c r="D212" s="11" t="s">
        <v>113</v>
      </c>
      <c r="E212" s="14">
        <v>252</v>
      </c>
      <c r="F212" s="11" t="s">
        <v>21</v>
      </c>
      <c r="G212" s="5">
        <v>84.22</v>
      </c>
      <c r="H212" s="36">
        <f t="shared" si="3"/>
        <v>6855171.1199999992</v>
      </c>
      <c r="I212" s="44" t="s">
        <v>411</v>
      </c>
    </row>
    <row r="213" spans="1:9" hidden="1" x14ac:dyDescent="0.2">
      <c r="A213" s="11">
        <v>309</v>
      </c>
      <c r="B213" s="16">
        <v>50954.400000000001</v>
      </c>
      <c r="C213" s="13">
        <v>44837</v>
      </c>
      <c r="D213" s="11" t="s">
        <v>59</v>
      </c>
      <c r="E213" s="14">
        <v>3780</v>
      </c>
      <c r="F213" s="11" t="s">
        <v>21</v>
      </c>
      <c r="G213" s="5">
        <v>13.48</v>
      </c>
      <c r="H213" s="36">
        <f t="shared" si="3"/>
        <v>15744909.6</v>
      </c>
      <c r="I213" s="44" t="s">
        <v>425</v>
      </c>
    </row>
    <row r="214" spans="1:9" hidden="1" x14ac:dyDescent="0.2">
      <c r="A214" s="11">
        <v>307</v>
      </c>
      <c r="B214" s="16">
        <v>24361.5</v>
      </c>
      <c r="C214" s="13">
        <v>44839</v>
      </c>
      <c r="D214" s="11" t="s">
        <v>163</v>
      </c>
      <c r="E214" s="14">
        <v>149</v>
      </c>
      <c r="F214" s="11" t="s">
        <v>21</v>
      </c>
      <c r="G214" s="5">
        <v>163.5</v>
      </c>
      <c r="H214" s="36">
        <f t="shared" si="3"/>
        <v>7478980.5</v>
      </c>
      <c r="I214" s="44" t="s">
        <v>425</v>
      </c>
    </row>
    <row r="215" spans="1:9" hidden="1" x14ac:dyDescent="0.2">
      <c r="A215" s="11">
        <v>298</v>
      </c>
      <c r="B215" s="16">
        <v>683544.42</v>
      </c>
      <c r="C215" s="13">
        <v>44848</v>
      </c>
      <c r="D215" s="11" t="s">
        <v>162</v>
      </c>
      <c r="E215" s="14">
        <v>279</v>
      </c>
      <c r="F215" s="11" t="s">
        <v>21</v>
      </c>
      <c r="G215" s="5">
        <v>2449.98</v>
      </c>
      <c r="H215" s="36">
        <f t="shared" si="3"/>
        <v>203696237.16000003</v>
      </c>
      <c r="I215" s="44" t="s">
        <v>425</v>
      </c>
    </row>
    <row r="216" spans="1:9" hidden="1" x14ac:dyDescent="0.2">
      <c r="A216" s="11">
        <v>292</v>
      </c>
      <c r="B216" s="16">
        <v>40292.639999999999</v>
      </c>
      <c r="C216" s="13">
        <v>44854</v>
      </c>
      <c r="D216" s="11" t="s">
        <v>57</v>
      </c>
      <c r="E216" s="14">
        <v>144</v>
      </c>
      <c r="F216" s="11" t="s">
        <v>21</v>
      </c>
      <c r="G216" s="5">
        <v>279.81</v>
      </c>
      <c r="H216" s="36">
        <f t="shared" si="3"/>
        <v>11765450.879999999</v>
      </c>
      <c r="I216" s="44" t="s">
        <v>425</v>
      </c>
    </row>
    <row r="217" spans="1:9" hidden="1" x14ac:dyDescent="0.2">
      <c r="A217" s="11">
        <v>148</v>
      </c>
      <c r="B217" s="16">
        <v>10766.4</v>
      </c>
      <c r="C217" s="13">
        <v>44998</v>
      </c>
      <c r="D217" s="11" t="s">
        <v>113</v>
      </c>
      <c r="E217" s="14">
        <v>120</v>
      </c>
      <c r="F217" s="11" t="s">
        <v>21</v>
      </c>
      <c r="G217" s="5">
        <v>89.72</v>
      </c>
      <c r="H217" s="36">
        <f t="shared" si="3"/>
        <v>1593427.2</v>
      </c>
      <c r="I217" s="44" t="s">
        <v>416</v>
      </c>
    </row>
    <row r="218" spans="1:9" hidden="1" x14ac:dyDescent="0.2">
      <c r="A218" s="11">
        <v>148</v>
      </c>
      <c r="B218" s="16">
        <v>34126.92</v>
      </c>
      <c r="C218" s="13">
        <v>44998</v>
      </c>
      <c r="D218" s="11" t="s">
        <v>55</v>
      </c>
      <c r="E218" s="14">
        <v>324</v>
      </c>
      <c r="F218" s="11" t="s">
        <v>21</v>
      </c>
      <c r="G218" s="5">
        <v>105.33</v>
      </c>
      <c r="H218" s="36">
        <f t="shared" si="3"/>
        <v>5050784.16</v>
      </c>
      <c r="I218" s="44" t="s">
        <v>416</v>
      </c>
    </row>
    <row r="219" spans="1:9" hidden="1" x14ac:dyDescent="0.2">
      <c r="A219" s="11">
        <v>139</v>
      </c>
      <c r="B219" s="16">
        <v>9689.76</v>
      </c>
      <c r="C219" s="13">
        <v>45007</v>
      </c>
      <c r="D219" s="11" t="s">
        <v>113</v>
      </c>
      <c r="E219" s="14">
        <v>108</v>
      </c>
      <c r="F219" s="11" t="s">
        <v>21</v>
      </c>
      <c r="G219" s="5">
        <v>89.72</v>
      </c>
      <c r="H219" s="36">
        <f t="shared" si="3"/>
        <v>1346876.6400000001</v>
      </c>
      <c r="I219" s="44" t="s">
        <v>416</v>
      </c>
    </row>
    <row r="220" spans="1:9" hidden="1" x14ac:dyDescent="0.2">
      <c r="A220" s="11">
        <v>133</v>
      </c>
      <c r="B220" s="16">
        <v>155361.35999999999</v>
      </c>
      <c r="C220" s="13">
        <v>45013</v>
      </c>
      <c r="D220" s="11" t="s">
        <v>117</v>
      </c>
      <c r="E220" s="14">
        <v>1176</v>
      </c>
      <c r="F220" s="11" t="s">
        <v>21</v>
      </c>
      <c r="G220" s="5">
        <v>132.11000000000001</v>
      </c>
      <c r="H220" s="36">
        <f t="shared" si="3"/>
        <v>20663060.879999999</v>
      </c>
      <c r="I220" s="44" t="s">
        <v>416</v>
      </c>
    </row>
    <row r="221" spans="1:9" hidden="1" x14ac:dyDescent="0.2">
      <c r="A221" s="11">
        <v>132</v>
      </c>
      <c r="B221" s="16">
        <v>77680.679999999993</v>
      </c>
      <c r="C221" s="13">
        <v>45014</v>
      </c>
      <c r="D221" s="11" t="s">
        <v>117</v>
      </c>
      <c r="E221" s="14">
        <v>588</v>
      </c>
      <c r="F221" s="11" t="s">
        <v>21</v>
      </c>
      <c r="G221" s="5">
        <v>132.11000000000001</v>
      </c>
      <c r="H221" s="36">
        <f t="shared" si="3"/>
        <v>10253849.76</v>
      </c>
      <c r="I221" s="44" t="s">
        <v>416</v>
      </c>
    </row>
    <row r="222" spans="1:9" hidden="1" x14ac:dyDescent="0.2">
      <c r="A222" s="11">
        <v>132</v>
      </c>
      <c r="B222" s="16">
        <v>1890</v>
      </c>
      <c r="C222" s="13">
        <v>45014</v>
      </c>
      <c r="D222" s="11" t="s">
        <v>56</v>
      </c>
      <c r="E222" s="14">
        <v>1000</v>
      </c>
      <c r="F222" s="11" t="s">
        <v>21</v>
      </c>
      <c r="G222" s="5">
        <v>1.89</v>
      </c>
      <c r="H222" s="36">
        <f t="shared" si="3"/>
        <v>249480</v>
      </c>
      <c r="I222" s="44" t="s">
        <v>416</v>
      </c>
    </row>
    <row r="223" spans="1:9" hidden="1" x14ac:dyDescent="0.2">
      <c r="A223" s="11">
        <v>132</v>
      </c>
      <c r="B223" s="16">
        <v>3780</v>
      </c>
      <c r="C223" s="13">
        <v>45014</v>
      </c>
      <c r="D223" s="11" t="s">
        <v>56</v>
      </c>
      <c r="E223" s="14">
        <v>2000</v>
      </c>
      <c r="F223" s="11" t="s">
        <v>21</v>
      </c>
      <c r="G223" s="5">
        <v>1.89</v>
      </c>
      <c r="H223" s="36">
        <f t="shared" si="3"/>
        <v>498960</v>
      </c>
      <c r="I223" s="44" t="s">
        <v>416</v>
      </c>
    </row>
    <row r="224" spans="1:9" hidden="1" x14ac:dyDescent="0.2">
      <c r="A224" s="11">
        <v>132</v>
      </c>
      <c r="B224" s="16">
        <v>301273.2</v>
      </c>
      <c r="C224" s="13">
        <v>45014</v>
      </c>
      <c r="D224" s="11" t="s">
        <v>85</v>
      </c>
      <c r="E224" s="14">
        <v>360</v>
      </c>
      <c r="F224" s="11" t="s">
        <v>21</v>
      </c>
      <c r="G224" s="5">
        <v>836.87</v>
      </c>
      <c r="H224" s="36">
        <f t="shared" si="3"/>
        <v>39768062.399999999</v>
      </c>
      <c r="I224" s="44" t="s">
        <v>416</v>
      </c>
    </row>
    <row r="225" spans="1:9" hidden="1" x14ac:dyDescent="0.2">
      <c r="A225" s="11">
        <v>131</v>
      </c>
      <c r="B225" s="16">
        <v>9752.64</v>
      </c>
      <c r="C225" s="13">
        <v>45015</v>
      </c>
      <c r="D225" s="11" t="s">
        <v>115</v>
      </c>
      <c r="E225" s="14">
        <v>48</v>
      </c>
      <c r="F225" s="11" t="s">
        <v>21</v>
      </c>
      <c r="G225" s="5">
        <v>203.18</v>
      </c>
      <c r="H225" s="36">
        <f t="shared" si="3"/>
        <v>1277595.8399999999</v>
      </c>
      <c r="I225" s="44" t="s">
        <v>416</v>
      </c>
    </row>
    <row r="226" spans="1:9" hidden="1" x14ac:dyDescent="0.2">
      <c r="A226" s="11">
        <v>130</v>
      </c>
      <c r="B226" s="16">
        <v>60722.76</v>
      </c>
      <c r="C226" s="13">
        <v>45016</v>
      </c>
      <c r="D226" s="11" t="s">
        <v>69</v>
      </c>
      <c r="E226" s="14">
        <v>588</v>
      </c>
      <c r="F226" s="11" t="s">
        <v>21</v>
      </c>
      <c r="G226" s="5">
        <v>103.27</v>
      </c>
      <c r="H226" s="36">
        <f t="shared" si="3"/>
        <v>7893958.7999999998</v>
      </c>
      <c r="I226" s="44" t="s">
        <v>416</v>
      </c>
    </row>
    <row r="227" spans="1:9" hidden="1" x14ac:dyDescent="0.2">
      <c r="A227" s="11">
        <v>125</v>
      </c>
      <c r="B227" s="16">
        <v>2179.1999999999998</v>
      </c>
      <c r="C227" s="13">
        <v>45021</v>
      </c>
      <c r="D227" s="11" t="s">
        <v>131</v>
      </c>
      <c r="E227" s="14">
        <v>240</v>
      </c>
      <c r="F227" s="11" t="s">
        <v>21</v>
      </c>
      <c r="G227" s="5">
        <v>9.08</v>
      </c>
      <c r="H227" s="36">
        <f t="shared" si="3"/>
        <v>272400</v>
      </c>
      <c r="I227" s="44" t="s">
        <v>417</v>
      </c>
    </row>
    <row r="228" spans="1:9" hidden="1" x14ac:dyDescent="0.2">
      <c r="A228" s="11">
        <v>125</v>
      </c>
      <c r="B228" s="16">
        <v>3840</v>
      </c>
      <c r="C228" s="13">
        <v>45021</v>
      </c>
      <c r="D228" s="11" t="s">
        <v>80</v>
      </c>
      <c r="E228" s="14">
        <v>3000</v>
      </c>
      <c r="F228" s="11" t="s">
        <v>21</v>
      </c>
      <c r="G228" s="5">
        <v>1.28</v>
      </c>
      <c r="H228" s="36">
        <f t="shared" si="3"/>
        <v>480000</v>
      </c>
      <c r="I228" s="44" t="s">
        <v>417</v>
      </c>
    </row>
    <row r="229" spans="1:9" hidden="1" x14ac:dyDescent="0.2">
      <c r="A229" s="11">
        <v>109</v>
      </c>
      <c r="B229" s="16">
        <v>900</v>
      </c>
      <c r="C229" s="13">
        <v>45037</v>
      </c>
      <c r="D229" s="11" t="s">
        <v>112</v>
      </c>
      <c r="E229" s="14">
        <v>9000</v>
      </c>
      <c r="F229" s="11" t="s">
        <v>21</v>
      </c>
      <c r="G229" s="5">
        <v>0.1</v>
      </c>
      <c r="H229" s="36">
        <f t="shared" si="3"/>
        <v>98100</v>
      </c>
      <c r="I229" s="44" t="s">
        <v>417</v>
      </c>
    </row>
    <row r="230" spans="1:9" hidden="1" x14ac:dyDescent="0.2">
      <c r="A230" s="11">
        <v>102</v>
      </c>
      <c r="B230" s="16">
        <v>40961.9</v>
      </c>
      <c r="C230" s="13">
        <v>45044</v>
      </c>
      <c r="D230" s="11" t="s">
        <v>164</v>
      </c>
      <c r="E230" s="14">
        <v>70</v>
      </c>
      <c r="F230" s="11" t="s">
        <v>21</v>
      </c>
      <c r="G230" s="5">
        <v>585.16999999999996</v>
      </c>
      <c r="H230" s="36">
        <f t="shared" si="3"/>
        <v>4178113.8000000003</v>
      </c>
      <c r="I230" s="44" t="s">
        <v>417</v>
      </c>
    </row>
    <row r="231" spans="1:9" hidden="1" x14ac:dyDescent="0.2">
      <c r="A231" s="11">
        <v>87</v>
      </c>
      <c r="B231" s="16">
        <v>130243.68</v>
      </c>
      <c r="C231" s="13">
        <v>45059</v>
      </c>
      <c r="D231" s="11" t="s">
        <v>60</v>
      </c>
      <c r="E231" s="14">
        <v>3024</v>
      </c>
      <c r="F231" s="11" t="s">
        <v>24</v>
      </c>
      <c r="G231" s="5">
        <v>43.07</v>
      </c>
      <c r="H231" s="36">
        <f t="shared" si="3"/>
        <v>11331200.16</v>
      </c>
      <c r="I231" s="44" t="s">
        <v>410</v>
      </c>
    </row>
    <row r="232" spans="1:9" x14ac:dyDescent="0.2">
      <c r="A232" s="11">
        <v>85</v>
      </c>
      <c r="B232" s="16">
        <v>71648.639999999999</v>
      </c>
      <c r="C232" s="13">
        <v>45061</v>
      </c>
      <c r="D232" s="11" t="s">
        <v>116</v>
      </c>
      <c r="E232" s="14">
        <v>1008</v>
      </c>
      <c r="F232" s="11" t="s">
        <v>24</v>
      </c>
      <c r="G232" s="5">
        <v>71.08</v>
      </c>
      <c r="H232" s="36">
        <f t="shared" si="3"/>
        <v>6090134.4000000004</v>
      </c>
      <c r="I232" s="44" t="s">
        <v>410</v>
      </c>
    </row>
    <row r="233" spans="1:9" hidden="1" x14ac:dyDescent="0.2">
      <c r="A233" s="11">
        <v>84</v>
      </c>
      <c r="B233" s="16">
        <v>765736.05</v>
      </c>
      <c r="C233" s="13">
        <v>45062</v>
      </c>
      <c r="D233" s="11" t="s">
        <v>85</v>
      </c>
      <c r="E233" s="14">
        <v>915</v>
      </c>
      <c r="F233" s="11" t="s">
        <v>24</v>
      </c>
      <c r="G233" s="5">
        <v>836.87</v>
      </c>
      <c r="H233" s="36">
        <f t="shared" si="3"/>
        <v>64321828.200000003</v>
      </c>
      <c r="I233" s="44" t="s">
        <v>410</v>
      </c>
    </row>
    <row r="234" spans="1:9" hidden="1" x14ac:dyDescent="0.2">
      <c r="A234" s="11">
        <v>74</v>
      </c>
      <c r="B234" s="16">
        <v>347044.5</v>
      </c>
      <c r="C234" s="13">
        <v>45072</v>
      </c>
      <c r="D234" s="11" t="s">
        <v>66</v>
      </c>
      <c r="E234" s="14">
        <v>810</v>
      </c>
      <c r="F234" s="11" t="s">
        <v>24</v>
      </c>
      <c r="G234" s="5">
        <v>428.45</v>
      </c>
      <c r="H234" s="36">
        <f t="shared" si="3"/>
        <v>25681293</v>
      </c>
      <c r="I234" s="44" t="s">
        <v>410</v>
      </c>
    </row>
    <row r="235" spans="1:9" hidden="1" x14ac:dyDescent="0.2">
      <c r="A235" s="11">
        <v>69</v>
      </c>
      <c r="B235" s="16">
        <v>1005</v>
      </c>
      <c r="C235" s="13">
        <v>45077</v>
      </c>
      <c r="D235" s="11" t="s">
        <v>81</v>
      </c>
      <c r="E235" s="14">
        <v>1500</v>
      </c>
      <c r="F235" s="11" t="s">
        <v>24</v>
      </c>
      <c r="G235" s="5">
        <v>0.67</v>
      </c>
      <c r="H235" s="36">
        <f t="shared" si="3"/>
        <v>69345</v>
      </c>
      <c r="I235" s="44" t="s">
        <v>410</v>
      </c>
    </row>
    <row r="236" spans="1:9" hidden="1" x14ac:dyDescent="0.2">
      <c r="A236" s="11">
        <v>59</v>
      </c>
      <c r="B236" s="16">
        <v>200848.8</v>
      </c>
      <c r="C236" s="13">
        <v>45087</v>
      </c>
      <c r="D236" s="11" t="s">
        <v>85</v>
      </c>
      <c r="E236" s="14">
        <v>240</v>
      </c>
      <c r="F236" s="11" t="s">
        <v>22</v>
      </c>
      <c r="G236" s="5">
        <v>836.87</v>
      </c>
      <c r="H236" s="36">
        <f t="shared" si="3"/>
        <v>11850079.199999999</v>
      </c>
      <c r="I236" s="44" t="s">
        <v>407</v>
      </c>
    </row>
    <row r="237" spans="1:9" hidden="1" x14ac:dyDescent="0.2">
      <c r="A237" s="11">
        <v>59</v>
      </c>
      <c r="B237" s="16">
        <v>12553.05</v>
      </c>
      <c r="C237" s="13">
        <v>45087</v>
      </c>
      <c r="D237" s="11" t="s">
        <v>85</v>
      </c>
      <c r="E237" s="14">
        <v>15</v>
      </c>
      <c r="F237" s="11" t="s">
        <v>22</v>
      </c>
      <c r="G237" s="5">
        <v>836.87</v>
      </c>
      <c r="H237" s="36">
        <f t="shared" si="3"/>
        <v>740629.95</v>
      </c>
      <c r="I237" s="44" t="s">
        <v>407</v>
      </c>
    </row>
    <row r="238" spans="1:9" hidden="1" x14ac:dyDescent="0.2">
      <c r="A238" s="11">
        <v>59</v>
      </c>
      <c r="B238" s="16">
        <v>60710.34</v>
      </c>
      <c r="C238" s="13">
        <v>45087</v>
      </c>
      <c r="D238" s="11" t="s">
        <v>58</v>
      </c>
      <c r="E238" s="14">
        <v>138</v>
      </c>
      <c r="F238" s="11" t="s">
        <v>22</v>
      </c>
      <c r="G238" s="5">
        <v>439.93</v>
      </c>
      <c r="H238" s="36">
        <f t="shared" si="3"/>
        <v>3581910.0599999996</v>
      </c>
      <c r="I238" s="44" t="s">
        <v>407</v>
      </c>
    </row>
    <row r="239" spans="1:9" hidden="1" x14ac:dyDescent="0.2">
      <c r="A239" s="11">
        <v>52</v>
      </c>
      <c r="B239" s="16">
        <v>10766.4</v>
      </c>
      <c r="C239" s="13">
        <v>45094</v>
      </c>
      <c r="D239" s="11" t="s">
        <v>113</v>
      </c>
      <c r="E239" s="14">
        <v>120</v>
      </c>
      <c r="F239" s="11" t="s">
        <v>22</v>
      </c>
      <c r="G239" s="5">
        <v>89.72</v>
      </c>
      <c r="H239" s="36">
        <f t="shared" si="3"/>
        <v>559852.79999999993</v>
      </c>
      <c r="I239" s="44" t="s">
        <v>407</v>
      </c>
    </row>
    <row r="240" spans="1:9" hidden="1" x14ac:dyDescent="0.2">
      <c r="A240" s="11">
        <v>50</v>
      </c>
      <c r="B240" s="16">
        <v>35592</v>
      </c>
      <c r="C240" s="13">
        <v>45096</v>
      </c>
      <c r="D240" s="11" t="s">
        <v>57</v>
      </c>
      <c r="E240" s="14">
        <v>120</v>
      </c>
      <c r="F240" s="11" t="s">
        <v>22</v>
      </c>
      <c r="G240" s="5">
        <v>296.60000000000002</v>
      </c>
      <c r="H240" s="36">
        <f t="shared" si="3"/>
        <v>1779600</v>
      </c>
      <c r="I240" s="44" t="s">
        <v>407</v>
      </c>
    </row>
    <row r="241" spans="1:9" hidden="1" x14ac:dyDescent="0.2">
      <c r="A241" s="11">
        <v>49</v>
      </c>
      <c r="B241" s="16">
        <v>238888.44</v>
      </c>
      <c r="C241" s="13">
        <v>45097</v>
      </c>
      <c r="D241" s="11" t="s">
        <v>55</v>
      </c>
      <c r="E241" s="14">
        <v>2268</v>
      </c>
      <c r="F241" s="11" t="s">
        <v>22</v>
      </c>
      <c r="G241" s="5">
        <v>105.33</v>
      </c>
      <c r="H241" s="36">
        <f t="shared" si="3"/>
        <v>11705533.560000001</v>
      </c>
      <c r="I241" s="44" t="s">
        <v>407</v>
      </c>
    </row>
    <row r="242" spans="1:9" hidden="1" x14ac:dyDescent="0.2">
      <c r="A242" s="11">
        <v>49</v>
      </c>
      <c r="B242" s="16">
        <v>242891.04</v>
      </c>
      <c r="C242" s="13">
        <v>45097</v>
      </c>
      <c r="D242" s="11" t="s">
        <v>69</v>
      </c>
      <c r="E242" s="14">
        <v>2352</v>
      </c>
      <c r="F242" s="11" t="s">
        <v>22</v>
      </c>
      <c r="G242" s="5">
        <v>103.27</v>
      </c>
      <c r="H242" s="36">
        <f t="shared" si="3"/>
        <v>11901660.960000001</v>
      </c>
      <c r="I242" s="44" t="s">
        <v>407</v>
      </c>
    </row>
    <row r="243" spans="1:9" hidden="1" x14ac:dyDescent="0.2">
      <c r="A243" s="11">
        <v>49</v>
      </c>
      <c r="B243" s="16">
        <v>380212</v>
      </c>
      <c r="C243" s="13">
        <v>45097</v>
      </c>
      <c r="D243" s="11" t="s">
        <v>76</v>
      </c>
      <c r="E243" s="14">
        <v>560</v>
      </c>
      <c r="F243" s="11" t="s">
        <v>22</v>
      </c>
      <c r="G243" s="5">
        <v>678.95</v>
      </c>
      <c r="H243" s="36">
        <f t="shared" si="3"/>
        <v>18630388</v>
      </c>
      <c r="I243" s="44" t="s">
        <v>407</v>
      </c>
    </row>
    <row r="244" spans="1:9" hidden="1" x14ac:dyDescent="0.2">
      <c r="A244" s="11">
        <v>49</v>
      </c>
      <c r="B244" s="16">
        <v>190106</v>
      </c>
      <c r="C244" s="13">
        <v>45097</v>
      </c>
      <c r="D244" s="11" t="s">
        <v>76</v>
      </c>
      <c r="E244" s="14">
        <v>280</v>
      </c>
      <c r="F244" s="11" t="s">
        <v>22</v>
      </c>
      <c r="G244" s="5">
        <v>678.95</v>
      </c>
      <c r="H244" s="36">
        <f t="shared" si="3"/>
        <v>9315194</v>
      </c>
      <c r="I244" s="44" t="s">
        <v>407</v>
      </c>
    </row>
    <row r="245" spans="1:9" hidden="1" x14ac:dyDescent="0.2">
      <c r="A245" s="11">
        <v>49</v>
      </c>
      <c r="B245" s="16">
        <v>19505.28</v>
      </c>
      <c r="C245" s="13">
        <v>45097</v>
      </c>
      <c r="D245" s="11" t="s">
        <v>115</v>
      </c>
      <c r="E245" s="14">
        <v>96</v>
      </c>
      <c r="F245" s="11" t="s">
        <v>22</v>
      </c>
      <c r="G245" s="5">
        <v>203.18</v>
      </c>
      <c r="H245" s="36">
        <f t="shared" si="3"/>
        <v>955758.72</v>
      </c>
      <c r="I245" s="44" t="s">
        <v>407</v>
      </c>
    </row>
    <row r="246" spans="1:9" hidden="1" x14ac:dyDescent="0.2">
      <c r="A246" s="11">
        <v>49</v>
      </c>
      <c r="B246" s="16">
        <v>48763.199999999997</v>
      </c>
      <c r="C246" s="13">
        <v>45097</v>
      </c>
      <c r="D246" s="11" t="s">
        <v>115</v>
      </c>
      <c r="E246" s="14">
        <v>240</v>
      </c>
      <c r="F246" s="11" t="s">
        <v>22</v>
      </c>
      <c r="G246" s="5">
        <v>203.18</v>
      </c>
      <c r="H246" s="36">
        <f t="shared" si="3"/>
        <v>2389396.7999999998</v>
      </c>
      <c r="I246" s="44" t="s">
        <v>407</v>
      </c>
    </row>
    <row r="247" spans="1:9" hidden="1" x14ac:dyDescent="0.2">
      <c r="A247" s="11">
        <v>49</v>
      </c>
      <c r="B247" s="16">
        <v>113318.39999999999</v>
      </c>
      <c r="C247" s="13">
        <v>45097</v>
      </c>
      <c r="D247" s="11" t="s">
        <v>165</v>
      </c>
      <c r="E247" s="14">
        <v>768</v>
      </c>
      <c r="F247" s="11" t="s">
        <v>22</v>
      </c>
      <c r="G247" s="5">
        <v>147.55000000000001</v>
      </c>
      <c r="H247" s="36">
        <f t="shared" si="3"/>
        <v>5552601.5999999996</v>
      </c>
      <c r="I247" s="44" t="s">
        <v>407</v>
      </c>
    </row>
    <row r="248" spans="1:9" hidden="1" x14ac:dyDescent="0.2">
      <c r="A248" s="11">
        <v>48</v>
      </c>
      <c r="B248" s="16">
        <v>1759.72</v>
      </c>
      <c r="C248" s="13">
        <v>45098</v>
      </c>
      <c r="D248" s="11" t="s">
        <v>58</v>
      </c>
      <c r="E248" s="14">
        <v>4</v>
      </c>
      <c r="F248" s="11" t="s">
        <v>22</v>
      </c>
      <c r="G248" s="5">
        <v>439.93</v>
      </c>
      <c r="H248" s="36">
        <f t="shared" si="3"/>
        <v>84466.559999999998</v>
      </c>
      <c r="I248" s="44" t="s">
        <v>407</v>
      </c>
    </row>
    <row r="249" spans="1:9" hidden="1" x14ac:dyDescent="0.2">
      <c r="A249" s="11">
        <v>48</v>
      </c>
      <c r="B249" s="16">
        <v>8798.6</v>
      </c>
      <c r="C249" s="13">
        <v>45098</v>
      </c>
      <c r="D249" s="11" t="s">
        <v>58</v>
      </c>
      <c r="E249" s="14">
        <v>20</v>
      </c>
      <c r="F249" s="11" t="s">
        <v>22</v>
      </c>
      <c r="G249" s="5">
        <v>439.93</v>
      </c>
      <c r="H249" s="36">
        <f t="shared" si="3"/>
        <v>422332.80000000005</v>
      </c>
      <c r="I249" s="44" t="s">
        <v>407</v>
      </c>
    </row>
    <row r="250" spans="1:9" hidden="1" x14ac:dyDescent="0.2">
      <c r="A250" s="11">
        <v>48</v>
      </c>
      <c r="B250" s="16">
        <v>125132.04</v>
      </c>
      <c r="C250" s="13">
        <v>45098</v>
      </c>
      <c r="D250" s="11" t="s">
        <v>55</v>
      </c>
      <c r="E250" s="14">
        <v>1188</v>
      </c>
      <c r="F250" s="11" t="s">
        <v>22</v>
      </c>
      <c r="G250" s="5">
        <v>105.33</v>
      </c>
      <c r="H250" s="36">
        <f t="shared" si="3"/>
        <v>6006337.9199999999</v>
      </c>
      <c r="I250" s="44" t="s">
        <v>407</v>
      </c>
    </row>
    <row r="251" spans="1:9" x14ac:dyDescent="0.2">
      <c r="A251" s="11">
        <v>48</v>
      </c>
      <c r="B251" s="16">
        <v>1785</v>
      </c>
      <c r="C251" s="13">
        <v>45098</v>
      </c>
      <c r="D251" s="11" t="s">
        <v>79</v>
      </c>
      <c r="E251" s="14">
        <v>1500</v>
      </c>
      <c r="F251" s="11" t="s">
        <v>22</v>
      </c>
      <c r="G251" s="5">
        <v>1.19</v>
      </c>
      <c r="H251" s="36">
        <f t="shared" si="3"/>
        <v>85680</v>
      </c>
      <c r="I251" s="44" t="s">
        <v>407</v>
      </c>
    </row>
    <row r="252" spans="1:9" hidden="1" x14ac:dyDescent="0.2">
      <c r="A252" s="11">
        <v>47</v>
      </c>
      <c r="B252" s="16">
        <v>2701.44</v>
      </c>
      <c r="C252" s="13">
        <v>45099</v>
      </c>
      <c r="D252" s="11" t="s">
        <v>166</v>
      </c>
      <c r="E252" s="14">
        <v>1008</v>
      </c>
      <c r="F252" s="11" t="s">
        <v>22</v>
      </c>
      <c r="G252" s="5">
        <v>2.68</v>
      </c>
      <c r="H252" s="36">
        <f t="shared" si="3"/>
        <v>126967.68000000001</v>
      </c>
      <c r="I252" s="44" t="s">
        <v>407</v>
      </c>
    </row>
    <row r="253" spans="1:9" hidden="1" x14ac:dyDescent="0.2">
      <c r="A253" s="11">
        <v>43</v>
      </c>
      <c r="B253" s="16">
        <v>29257.919999999998</v>
      </c>
      <c r="C253" s="13">
        <v>45103</v>
      </c>
      <c r="D253" s="11" t="s">
        <v>115</v>
      </c>
      <c r="E253" s="14">
        <v>144</v>
      </c>
      <c r="F253" s="11" t="s">
        <v>22</v>
      </c>
      <c r="G253" s="5">
        <v>203.18</v>
      </c>
      <c r="H253" s="36">
        <f t="shared" si="3"/>
        <v>1258090.5599999998</v>
      </c>
      <c r="I253" s="44" t="s">
        <v>407</v>
      </c>
    </row>
    <row r="254" spans="1:9" hidden="1" x14ac:dyDescent="0.2">
      <c r="A254" s="11">
        <v>43</v>
      </c>
      <c r="B254" s="16">
        <v>9752.64</v>
      </c>
      <c r="C254" s="13">
        <v>45103</v>
      </c>
      <c r="D254" s="11" t="s">
        <v>115</v>
      </c>
      <c r="E254" s="14">
        <v>48</v>
      </c>
      <c r="F254" s="11" t="s">
        <v>22</v>
      </c>
      <c r="G254" s="5">
        <v>203.18</v>
      </c>
      <c r="H254" s="36">
        <f t="shared" si="3"/>
        <v>419363.51999999996</v>
      </c>
      <c r="I254" s="44" t="s">
        <v>407</v>
      </c>
    </row>
    <row r="255" spans="1:9" hidden="1" x14ac:dyDescent="0.2">
      <c r="A255" s="11">
        <v>43</v>
      </c>
      <c r="B255" s="16">
        <v>19505.28</v>
      </c>
      <c r="C255" s="13">
        <v>45103</v>
      </c>
      <c r="D255" s="11" t="s">
        <v>115</v>
      </c>
      <c r="E255" s="14">
        <v>96</v>
      </c>
      <c r="F255" s="11" t="s">
        <v>22</v>
      </c>
      <c r="G255" s="5">
        <v>203.18</v>
      </c>
      <c r="H255" s="36">
        <f t="shared" si="3"/>
        <v>838727.03999999992</v>
      </c>
      <c r="I255" s="44" t="s">
        <v>407</v>
      </c>
    </row>
    <row r="256" spans="1:9" hidden="1" x14ac:dyDescent="0.2">
      <c r="A256" s="11">
        <v>43</v>
      </c>
      <c r="B256" s="16">
        <v>34126.92</v>
      </c>
      <c r="C256" s="13">
        <v>45103</v>
      </c>
      <c r="D256" s="11" t="s">
        <v>55</v>
      </c>
      <c r="E256" s="14">
        <v>324</v>
      </c>
      <c r="F256" s="11" t="s">
        <v>22</v>
      </c>
      <c r="G256" s="5">
        <v>105.33</v>
      </c>
      <c r="H256" s="36">
        <f t="shared" si="3"/>
        <v>1467457.5599999998</v>
      </c>
      <c r="I256" s="44" t="s">
        <v>407</v>
      </c>
    </row>
    <row r="257" spans="1:9" hidden="1" x14ac:dyDescent="0.2">
      <c r="A257" s="11">
        <v>43</v>
      </c>
      <c r="B257" s="16">
        <v>22751.279999999999</v>
      </c>
      <c r="C257" s="13">
        <v>45103</v>
      </c>
      <c r="D257" s="11" t="s">
        <v>55</v>
      </c>
      <c r="E257" s="14">
        <v>216</v>
      </c>
      <c r="F257" s="11" t="s">
        <v>22</v>
      </c>
      <c r="G257" s="5">
        <v>105.33</v>
      </c>
      <c r="H257" s="36">
        <f t="shared" si="3"/>
        <v>978305.03999999992</v>
      </c>
      <c r="I257" s="44" t="s">
        <v>407</v>
      </c>
    </row>
    <row r="258" spans="1:9" hidden="1" x14ac:dyDescent="0.2">
      <c r="A258" s="11">
        <v>43</v>
      </c>
      <c r="B258" s="16">
        <v>115261.66</v>
      </c>
      <c r="C258" s="13">
        <v>45103</v>
      </c>
      <c r="D258" s="11" t="s">
        <v>58</v>
      </c>
      <c r="E258" s="14">
        <v>262</v>
      </c>
      <c r="F258" s="11" t="s">
        <v>22</v>
      </c>
      <c r="G258" s="5">
        <v>439.93</v>
      </c>
      <c r="H258" s="36">
        <f t="shared" si="3"/>
        <v>4956251.38</v>
      </c>
      <c r="I258" s="44" t="s">
        <v>407</v>
      </c>
    </row>
    <row r="259" spans="1:9" hidden="1" x14ac:dyDescent="0.2">
      <c r="A259" s="11">
        <v>43</v>
      </c>
      <c r="B259" s="16">
        <v>941478.75</v>
      </c>
      <c r="C259" s="13">
        <v>45103</v>
      </c>
      <c r="D259" s="11" t="s">
        <v>85</v>
      </c>
      <c r="E259" s="14">
        <v>1125</v>
      </c>
      <c r="F259" s="11" t="s">
        <v>22</v>
      </c>
      <c r="G259" s="5">
        <v>836.87</v>
      </c>
      <c r="H259" s="36">
        <f t="shared" ref="H259:H322" si="4">B259*A259</f>
        <v>40483586.25</v>
      </c>
      <c r="I259" s="44" t="s">
        <v>407</v>
      </c>
    </row>
    <row r="260" spans="1:9" hidden="1" x14ac:dyDescent="0.2">
      <c r="A260" s="11">
        <v>43</v>
      </c>
      <c r="B260" s="16">
        <v>604114.5</v>
      </c>
      <c r="C260" s="13">
        <v>45103</v>
      </c>
      <c r="D260" s="11" t="s">
        <v>66</v>
      </c>
      <c r="E260" s="14">
        <v>1410</v>
      </c>
      <c r="F260" s="11" t="s">
        <v>22</v>
      </c>
      <c r="G260" s="5">
        <v>428.45</v>
      </c>
      <c r="H260" s="36">
        <f t="shared" si="4"/>
        <v>25976923.5</v>
      </c>
      <c r="I260" s="44" t="s">
        <v>407</v>
      </c>
    </row>
    <row r="261" spans="1:9" hidden="1" x14ac:dyDescent="0.2">
      <c r="A261" s="11">
        <v>43</v>
      </c>
      <c r="B261" s="16">
        <v>333531</v>
      </c>
      <c r="C261" s="13">
        <v>45103</v>
      </c>
      <c r="D261" s="11" t="s">
        <v>83</v>
      </c>
      <c r="E261" s="14">
        <v>450</v>
      </c>
      <c r="F261" s="11" t="s">
        <v>22</v>
      </c>
      <c r="G261" s="5">
        <v>741.18</v>
      </c>
      <c r="H261" s="36">
        <f t="shared" si="4"/>
        <v>14341833</v>
      </c>
      <c r="I261" s="44" t="s">
        <v>407</v>
      </c>
    </row>
    <row r="262" spans="1:9" hidden="1" x14ac:dyDescent="0.2">
      <c r="A262" s="11">
        <v>43</v>
      </c>
      <c r="B262" s="16">
        <v>19582.080000000002</v>
      </c>
      <c r="C262" s="13">
        <v>45103</v>
      </c>
      <c r="D262" s="11" t="s">
        <v>167</v>
      </c>
      <c r="E262" s="14">
        <v>84</v>
      </c>
      <c r="F262" s="11" t="s">
        <v>22</v>
      </c>
      <c r="G262" s="5">
        <v>233.12</v>
      </c>
      <c r="H262" s="36">
        <f t="shared" si="4"/>
        <v>842029.44000000006</v>
      </c>
      <c r="I262" s="44" t="s">
        <v>407</v>
      </c>
    </row>
    <row r="263" spans="1:9" hidden="1" x14ac:dyDescent="0.2">
      <c r="A263" s="11">
        <v>43</v>
      </c>
      <c r="B263" s="16">
        <v>39010.559999999998</v>
      </c>
      <c r="C263" s="13">
        <v>45103</v>
      </c>
      <c r="D263" s="11" t="s">
        <v>115</v>
      </c>
      <c r="E263" s="14">
        <v>192</v>
      </c>
      <c r="F263" s="11" t="s">
        <v>22</v>
      </c>
      <c r="G263" s="5">
        <v>203.18</v>
      </c>
      <c r="H263" s="36">
        <f t="shared" si="4"/>
        <v>1677454.0799999998</v>
      </c>
      <c r="I263" s="44" t="s">
        <v>407</v>
      </c>
    </row>
    <row r="264" spans="1:9" hidden="1" x14ac:dyDescent="0.2">
      <c r="A264" s="11">
        <v>43</v>
      </c>
      <c r="B264" s="16">
        <v>29257.919999999998</v>
      </c>
      <c r="C264" s="13">
        <v>45103</v>
      </c>
      <c r="D264" s="11" t="s">
        <v>115</v>
      </c>
      <c r="E264" s="14">
        <v>144</v>
      </c>
      <c r="F264" s="11" t="s">
        <v>22</v>
      </c>
      <c r="G264" s="5">
        <v>203.18</v>
      </c>
      <c r="H264" s="36">
        <f t="shared" si="4"/>
        <v>1258090.5599999998</v>
      </c>
      <c r="I264" s="44" t="s">
        <v>407</v>
      </c>
    </row>
    <row r="265" spans="1:9" hidden="1" x14ac:dyDescent="0.2">
      <c r="A265" s="11">
        <v>43</v>
      </c>
      <c r="B265" s="16">
        <v>39010.559999999998</v>
      </c>
      <c r="C265" s="13">
        <v>45103</v>
      </c>
      <c r="D265" s="11" t="s">
        <v>115</v>
      </c>
      <c r="E265" s="14">
        <v>192</v>
      </c>
      <c r="F265" s="11" t="s">
        <v>22</v>
      </c>
      <c r="G265" s="5">
        <v>203.18</v>
      </c>
      <c r="H265" s="36">
        <f t="shared" si="4"/>
        <v>1677454.0799999998</v>
      </c>
      <c r="I265" s="44" t="s">
        <v>407</v>
      </c>
    </row>
    <row r="266" spans="1:9" hidden="1" x14ac:dyDescent="0.2">
      <c r="A266" s="11">
        <v>43</v>
      </c>
      <c r="B266" s="16">
        <v>29257.919999999998</v>
      </c>
      <c r="C266" s="13">
        <v>45103</v>
      </c>
      <c r="D266" s="11" t="s">
        <v>115</v>
      </c>
      <c r="E266" s="14">
        <v>144</v>
      </c>
      <c r="F266" s="11" t="s">
        <v>22</v>
      </c>
      <c r="G266" s="5">
        <v>203.18</v>
      </c>
      <c r="H266" s="36">
        <f t="shared" si="4"/>
        <v>1258090.5599999998</v>
      </c>
      <c r="I266" s="44" t="s">
        <v>407</v>
      </c>
    </row>
    <row r="267" spans="1:9" hidden="1" x14ac:dyDescent="0.2">
      <c r="A267" s="11">
        <v>43</v>
      </c>
      <c r="B267" s="16">
        <v>29257.919999999998</v>
      </c>
      <c r="C267" s="13">
        <v>45103</v>
      </c>
      <c r="D267" s="11" t="s">
        <v>115</v>
      </c>
      <c r="E267" s="14">
        <v>144</v>
      </c>
      <c r="F267" s="11" t="s">
        <v>22</v>
      </c>
      <c r="G267" s="5">
        <v>203.18</v>
      </c>
      <c r="H267" s="36">
        <f t="shared" si="4"/>
        <v>1258090.5599999998</v>
      </c>
      <c r="I267" s="44" t="s">
        <v>407</v>
      </c>
    </row>
    <row r="268" spans="1:9" hidden="1" x14ac:dyDescent="0.2">
      <c r="A268" s="11">
        <v>42</v>
      </c>
      <c r="B268" s="16">
        <v>105583.2</v>
      </c>
      <c r="C268" s="13">
        <v>45104</v>
      </c>
      <c r="D268" s="11" t="s">
        <v>58</v>
      </c>
      <c r="E268" s="14">
        <v>240</v>
      </c>
      <c r="F268" s="11" t="s">
        <v>22</v>
      </c>
      <c r="G268" s="5">
        <v>439.93</v>
      </c>
      <c r="H268" s="36">
        <f t="shared" si="4"/>
        <v>4434494.3999999994</v>
      </c>
      <c r="I268" s="44" t="s">
        <v>407</v>
      </c>
    </row>
    <row r="269" spans="1:9" hidden="1" x14ac:dyDescent="0.2">
      <c r="A269" s="11">
        <v>42</v>
      </c>
      <c r="B269" s="16">
        <v>83518.720000000001</v>
      </c>
      <c r="C269" s="13">
        <v>45104</v>
      </c>
      <c r="D269" s="11" t="s">
        <v>162</v>
      </c>
      <c r="E269" s="14">
        <v>32</v>
      </c>
      <c r="F269" s="11" t="s">
        <v>22</v>
      </c>
      <c r="G269" s="5">
        <v>2609.96</v>
      </c>
      <c r="H269" s="36">
        <f t="shared" si="4"/>
        <v>3507786.24</v>
      </c>
      <c r="I269" s="44" t="s">
        <v>407</v>
      </c>
    </row>
    <row r="270" spans="1:9" hidden="1" x14ac:dyDescent="0.2">
      <c r="A270" s="11">
        <v>42</v>
      </c>
      <c r="B270" s="16">
        <v>29302</v>
      </c>
      <c r="C270" s="13">
        <v>45104</v>
      </c>
      <c r="D270" s="11" t="s">
        <v>73</v>
      </c>
      <c r="E270" s="14">
        <v>70</v>
      </c>
      <c r="F270" s="11" t="s">
        <v>22</v>
      </c>
      <c r="G270" s="5">
        <v>418.6</v>
      </c>
      <c r="H270" s="36">
        <f t="shared" si="4"/>
        <v>1230684</v>
      </c>
      <c r="I270" s="44" t="s">
        <v>407</v>
      </c>
    </row>
    <row r="271" spans="1:9" hidden="1" x14ac:dyDescent="0.2">
      <c r="A271" s="11">
        <v>42</v>
      </c>
      <c r="B271" s="16">
        <v>21089.88</v>
      </c>
      <c r="C271" s="13">
        <v>45104</v>
      </c>
      <c r="D271" s="11" t="s">
        <v>61</v>
      </c>
      <c r="E271" s="14">
        <v>252</v>
      </c>
      <c r="F271" s="11" t="s">
        <v>22</v>
      </c>
      <c r="G271" s="5">
        <v>83.69</v>
      </c>
      <c r="H271" s="36">
        <f t="shared" si="4"/>
        <v>885774.96000000008</v>
      </c>
      <c r="I271" s="44" t="s">
        <v>407</v>
      </c>
    </row>
    <row r="272" spans="1:9" hidden="1" x14ac:dyDescent="0.2">
      <c r="A272" s="11">
        <v>42</v>
      </c>
      <c r="B272" s="16">
        <v>31178.22</v>
      </c>
      <c r="C272" s="13">
        <v>45104</v>
      </c>
      <c r="D272" s="11" t="s">
        <v>118</v>
      </c>
      <c r="E272" s="14">
        <v>179</v>
      </c>
      <c r="F272" s="11" t="s">
        <v>22</v>
      </c>
      <c r="G272" s="5">
        <v>174.18</v>
      </c>
      <c r="H272" s="36">
        <f t="shared" si="4"/>
        <v>1309485.24</v>
      </c>
      <c r="I272" s="44" t="s">
        <v>407</v>
      </c>
    </row>
    <row r="273" spans="1:9" hidden="1" x14ac:dyDescent="0.2">
      <c r="A273" s="11">
        <v>42</v>
      </c>
      <c r="B273" s="16">
        <v>42179.76</v>
      </c>
      <c r="C273" s="13">
        <v>45104</v>
      </c>
      <c r="D273" s="11" t="s">
        <v>61</v>
      </c>
      <c r="E273" s="14">
        <v>504</v>
      </c>
      <c r="F273" s="11" t="s">
        <v>22</v>
      </c>
      <c r="G273" s="5">
        <v>83.69</v>
      </c>
      <c r="H273" s="36">
        <f t="shared" si="4"/>
        <v>1771549.9200000002</v>
      </c>
      <c r="I273" s="44" t="s">
        <v>407</v>
      </c>
    </row>
    <row r="274" spans="1:9" hidden="1" x14ac:dyDescent="0.2">
      <c r="A274" s="11">
        <v>42</v>
      </c>
      <c r="B274" s="16">
        <v>29302</v>
      </c>
      <c r="C274" s="13">
        <v>45104</v>
      </c>
      <c r="D274" s="11" t="s">
        <v>73</v>
      </c>
      <c r="E274" s="14">
        <v>70</v>
      </c>
      <c r="F274" s="11" t="s">
        <v>22</v>
      </c>
      <c r="G274" s="5">
        <v>418.6</v>
      </c>
      <c r="H274" s="36">
        <f t="shared" si="4"/>
        <v>1230684</v>
      </c>
      <c r="I274" s="44" t="s">
        <v>407</v>
      </c>
    </row>
    <row r="275" spans="1:9" hidden="1" x14ac:dyDescent="0.2">
      <c r="A275" s="11">
        <v>42</v>
      </c>
      <c r="B275" s="16">
        <v>25256.1</v>
      </c>
      <c r="C275" s="13">
        <v>45104</v>
      </c>
      <c r="D275" s="11" t="s">
        <v>118</v>
      </c>
      <c r="E275" s="14">
        <v>145</v>
      </c>
      <c r="F275" s="11" t="s">
        <v>22</v>
      </c>
      <c r="G275" s="5">
        <v>174.18</v>
      </c>
      <c r="H275" s="36">
        <f t="shared" si="4"/>
        <v>1060756.2</v>
      </c>
      <c r="I275" s="44" t="s">
        <v>407</v>
      </c>
    </row>
    <row r="276" spans="1:9" hidden="1" x14ac:dyDescent="0.2">
      <c r="A276" s="11">
        <v>39</v>
      </c>
      <c r="B276" s="16">
        <v>709909.12</v>
      </c>
      <c r="C276" s="13">
        <v>45107</v>
      </c>
      <c r="D276" s="11" t="s">
        <v>162</v>
      </c>
      <c r="E276" s="14">
        <v>272</v>
      </c>
      <c r="F276" s="11" t="s">
        <v>22</v>
      </c>
      <c r="G276" s="5">
        <v>2609.96</v>
      </c>
      <c r="H276" s="36">
        <f t="shared" si="4"/>
        <v>27686455.68</v>
      </c>
      <c r="I276" s="44" t="s">
        <v>407</v>
      </c>
    </row>
    <row r="277" spans="1:9" hidden="1" x14ac:dyDescent="0.2">
      <c r="A277" s="11">
        <v>39</v>
      </c>
      <c r="B277" s="16">
        <v>29035.38</v>
      </c>
      <c r="C277" s="13">
        <v>45107</v>
      </c>
      <c r="D277" s="11" t="s">
        <v>58</v>
      </c>
      <c r="E277" s="14">
        <v>66</v>
      </c>
      <c r="F277" s="11" t="s">
        <v>22</v>
      </c>
      <c r="G277" s="5">
        <v>439.93</v>
      </c>
      <c r="H277" s="36">
        <f t="shared" si="4"/>
        <v>1132379.82</v>
      </c>
      <c r="I277" s="44" t="s">
        <v>407</v>
      </c>
    </row>
    <row r="278" spans="1:9" hidden="1" x14ac:dyDescent="0.2">
      <c r="A278" s="11">
        <v>39</v>
      </c>
      <c r="B278" s="16">
        <v>48657</v>
      </c>
      <c r="C278" s="13">
        <v>45107</v>
      </c>
      <c r="D278" s="11" t="s">
        <v>77</v>
      </c>
      <c r="E278" s="14">
        <v>147</v>
      </c>
      <c r="F278" s="11" t="s">
        <v>22</v>
      </c>
      <c r="G278" s="5">
        <v>331</v>
      </c>
      <c r="H278" s="36">
        <f t="shared" si="4"/>
        <v>1897623</v>
      </c>
      <c r="I278" s="44" t="s">
        <v>407</v>
      </c>
    </row>
    <row r="279" spans="1:9" hidden="1" x14ac:dyDescent="0.2">
      <c r="A279" s="11">
        <v>39</v>
      </c>
      <c r="B279" s="16">
        <v>4459</v>
      </c>
      <c r="C279" s="13">
        <v>45107</v>
      </c>
      <c r="D279" s="11" t="s">
        <v>68</v>
      </c>
      <c r="E279" s="14">
        <v>1820</v>
      </c>
      <c r="F279" s="11" t="s">
        <v>22</v>
      </c>
      <c r="G279" s="5">
        <v>2.4500000000000002</v>
      </c>
      <c r="H279" s="36">
        <f t="shared" si="4"/>
        <v>173901</v>
      </c>
      <c r="I279" s="44" t="s">
        <v>407</v>
      </c>
    </row>
    <row r="280" spans="1:9" hidden="1" x14ac:dyDescent="0.2">
      <c r="A280" s="11">
        <v>39</v>
      </c>
      <c r="B280" s="16">
        <v>10766.4</v>
      </c>
      <c r="C280" s="13">
        <v>45107</v>
      </c>
      <c r="D280" s="11" t="s">
        <v>113</v>
      </c>
      <c r="E280" s="14">
        <v>120</v>
      </c>
      <c r="F280" s="11" t="s">
        <v>22</v>
      </c>
      <c r="G280" s="5">
        <v>89.72</v>
      </c>
      <c r="H280" s="36">
        <f t="shared" si="4"/>
        <v>419889.6</v>
      </c>
      <c r="I280" s="44" t="s">
        <v>407</v>
      </c>
    </row>
    <row r="281" spans="1:9" hidden="1" x14ac:dyDescent="0.2">
      <c r="A281" s="11">
        <v>39</v>
      </c>
      <c r="B281" s="16">
        <v>4459</v>
      </c>
      <c r="C281" s="13">
        <v>45107</v>
      </c>
      <c r="D281" s="11" t="s">
        <v>68</v>
      </c>
      <c r="E281" s="14">
        <v>1820</v>
      </c>
      <c r="F281" s="11" t="s">
        <v>22</v>
      </c>
      <c r="G281" s="5">
        <v>2.4500000000000002</v>
      </c>
      <c r="H281" s="36">
        <f t="shared" si="4"/>
        <v>173901</v>
      </c>
      <c r="I281" s="44" t="s">
        <v>407</v>
      </c>
    </row>
    <row r="282" spans="1:9" hidden="1" x14ac:dyDescent="0.2">
      <c r="A282" s="11">
        <v>38</v>
      </c>
      <c r="B282" s="16">
        <v>622591.19999999995</v>
      </c>
      <c r="C282" s="13">
        <v>45108</v>
      </c>
      <c r="D282" s="11" t="s">
        <v>83</v>
      </c>
      <c r="E282" s="14">
        <v>840</v>
      </c>
      <c r="F282" s="11" t="s">
        <v>22</v>
      </c>
      <c r="G282" s="5">
        <v>741.18</v>
      </c>
      <c r="H282" s="36">
        <f t="shared" si="4"/>
        <v>23658465.599999998</v>
      </c>
      <c r="I282" s="44" t="s">
        <v>408</v>
      </c>
    </row>
    <row r="283" spans="1:9" hidden="1" x14ac:dyDescent="0.2">
      <c r="A283" s="11">
        <v>38</v>
      </c>
      <c r="B283" s="16">
        <v>255339</v>
      </c>
      <c r="C283" s="13">
        <v>45108</v>
      </c>
      <c r="D283" s="11" t="s">
        <v>72</v>
      </c>
      <c r="E283" s="14">
        <v>630</v>
      </c>
      <c r="F283" s="11" t="s">
        <v>22</v>
      </c>
      <c r="G283" s="5">
        <v>405.3</v>
      </c>
      <c r="H283" s="36">
        <f t="shared" si="4"/>
        <v>9702882</v>
      </c>
      <c r="I283" s="44" t="s">
        <v>408</v>
      </c>
    </row>
    <row r="284" spans="1:9" hidden="1" x14ac:dyDescent="0.2">
      <c r="A284" s="11">
        <v>38</v>
      </c>
      <c r="B284" s="16">
        <v>25635.68</v>
      </c>
      <c r="C284" s="13">
        <v>45108</v>
      </c>
      <c r="D284" s="11" t="s">
        <v>119</v>
      </c>
      <c r="E284" s="14">
        <v>376</v>
      </c>
      <c r="F284" s="11" t="s">
        <v>22</v>
      </c>
      <c r="G284" s="5">
        <v>68.180000000000007</v>
      </c>
      <c r="H284" s="36">
        <f t="shared" si="4"/>
        <v>974155.84</v>
      </c>
      <c r="I284" s="44" t="s">
        <v>408</v>
      </c>
    </row>
    <row r="285" spans="1:9" hidden="1" x14ac:dyDescent="0.2">
      <c r="A285" s="11">
        <v>38</v>
      </c>
      <c r="B285" s="16">
        <v>21089.88</v>
      </c>
      <c r="C285" s="13">
        <v>45108</v>
      </c>
      <c r="D285" s="11" t="s">
        <v>61</v>
      </c>
      <c r="E285" s="14">
        <v>252</v>
      </c>
      <c r="F285" s="11" t="s">
        <v>22</v>
      </c>
      <c r="G285" s="5">
        <v>83.69</v>
      </c>
      <c r="H285" s="36">
        <f t="shared" si="4"/>
        <v>801415.44000000006</v>
      </c>
      <c r="I285" s="44" t="s">
        <v>408</v>
      </c>
    </row>
    <row r="286" spans="1:9" hidden="1" x14ac:dyDescent="0.2">
      <c r="A286" s="11">
        <v>32</v>
      </c>
      <c r="B286" s="16">
        <v>21089.88</v>
      </c>
      <c r="C286" s="13">
        <v>45114</v>
      </c>
      <c r="D286" s="11" t="s">
        <v>61</v>
      </c>
      <c r="E286" s="14">
        <v>252</v>
      </c>
      <c r="F286" s="11" t="s">
        <v>22</v>
      </c>
      <c r="G286" s="5">
        <v>83.69</v>
      </c>
      <c r="H286" s="36">
        <f t="shared" si="4"/>
        <v>674876.16</v>
      </c>
      <c r="I286" s="44" t="s">
        <v>408</v>
      </c>
    </row>
    <row r="287" spans="1:9" hidden="1" x14ac:dyDescent="0.2">
      <c r="A287" s="11">
        <v>31</v>
      </c>
      <c r="B287" s="16">
        <v>42179.76</v>
      </c>
      <c r="C287" s="13">
        <v>45115</v>
      </c>
      <c r="D287" s="11" t="s">
        <v>61</v>
      </c>
      <c r="E287" s="14">
        <v>504</v>
      </c>
      <c r="F287" s="11" t="s">
        <v>22</v>
      </c>
      <c r="G287" s="5">
        <v>83.69</v>
      </c>
      <c r="H287" s="36">
        <f t="shared" si="4"/>
        <v>1307572.56</v>
      </c>
      <c r="I287" s="44" t="s">
        <v>408</v>
      </c>
    </row>
    <row r="288" spans="1:9" hidden="1" x14ac:dyDescent="0.2">
      <c r="A288" s="11">
        <v>27</v>
      </c>
      <c r="B288" s="16">
        <v>771210</v>
      </c>
      <c r="C288" s="13">
        <v>45119</v>
      </c>
      <c r="D288" s="11" t="s">
        <v>66</v>
      </c>
      <c r="E288" s="14">
        <v>1800</v>
      </c>
      <c r="F288" s="11" t="s">
        <v>23</v>
      </c>
      <c r="G288" s="5">
        <v>428.45</v>
      </c>
      <c r="H288" s="36">
        <f t="shared" si="4"/>
        <v>20822670</v>
      </c>
      <c r="I288" s="44" t="s">
        <v>408</v>
      </c>
    </row>
    <row r="289" spans="1:9" hidden="1" x14ac:dyDescent="0.2">
      <c r="A289" s="11">
        <v>27</v>
      </c>
      <c r="B289" s="16">
        <v>3015</v>
      </c>
      <c r="C289" s="13">
        <v>45119</v>
      </c>
      <c r="D289" s="11" t="s">
        <v>81</v>
      </c>
      <c r="E289" s="14">
        <v>4500</v>
      </c>
      <c r="F289" s="11" t="s">
        <v>23</v>
      </c>
      <c r="G289" s="5">
        <v>0.67</v>
      </c>
      <c r="H289" s="36">
        <f t="shared" si="4"/>
        <v>81405</v>
      </c>
      <c r="I289" s="44" t="s">
        <v>408</v>
      </c>
    </row>
    <row r="290" spans="1:9" hidden="1" x14ac:dyDescent="0.2">
      <c r="A290" s="11">
        <v>25</v>
      </c>
      <c r="B290" s="16">
        <v>1882957.5</v>
      </c>
      <c r="C290" s="13">
        <v>45121</v>
      </c>
      <c r="D290" s="11" t="s">
        <v>85</v>
      </c>
      <c r="E290" s="14">
        <v>2250</v>
      </c>
      <c r="F290" s="11" t="s">
        <v>23</v>
      </c>
      <c r="G290" s="5">
        <v>836.87</v>
      </c>
      <c r="H290" s="36">
        <f t="shared" si="4"/>
        <v>47073937.5</v>
      </c>
      <c r="I290" s="44" t="s">
        <v>408</v>
      </c>
    </row>
    <row r="291" spans="1:9" hidden="1" x14ac:dyDescent="0.2">
      <c r="A291" s="11">
        <v>24</v>
      </c>
      <c r="B291" s="16">
        <v>131904</v>
      </c>
      <c r="C291" s="13">
        <v>45122</v>
      </c>
      <c r="D291" s="11" t="s">
        <v>65</v>
      </c>
      <c r="E291" s="14">
        <v>1200</v>
      </c>
      <c r="F291" s="11" t="s">
        <v>23</v>
      </c>
      <c r="G291" s="5">
        <v>109.92</v>
      </c>
      <c r="H291" s="36">
        <f t="shared" si="4"/>
        <v>3165696</v>
      </c>
      <c r="I291" s="44" t="s">
        <v>408</v>
      </c>
    </row>
    <row r="292" spans="1:9" hidden="1" x14ac:dyDescent="0.2">
      <c r="A292" s="11">
        <v>17</v>
      </c>
      <c r="B292" s="16">
        <v>586040</v>
      </c>
      <c r="C292" s="13">
        <v>45129</v>
      </c>
      <c r="D292" s="11" t="s">
        <v>73</v>
      </c>
      <c r="E292" s="14">
        <v>1400</v>
      </c>
      <c r="F292" s="11" t="s">
        <v>23</v>
      </c>
      <c r="G292" s="5">
        <v>418.6</v>
      </c>
      <c r="H292" s="36">
        <f t="shared" si="4"/>
        <v>9962680</v>
      </c>
      <c r="I292" s="44" t="s">
        <v>408</v>
      </c>
    </row>
    <row r="293" spans="1:9" hidden="1" x14ac:dyDescent="0.2">
      <c r="A293" s="11">
        <v>17</v>
      </c>
      <c r="B293" s="16">
        <v>1334124</v>
      </c>
      <c r="C293" s="13">
        <v>45129</v>
      </c>
      <c r="D293" s="11" t="s">
        <v>83</v>
      </c>
      <c r="E293" s="14">
        <v>1800</v>
      </c>
      <c r="F293" s="11" t="s">
        <v>23</v>
      </c>
      <c r="G293" s="5">
        <v>741.18</v>
      </c>
      <c r="H293" s="36">
        <f t="shared" si="4"/>
        <v>22680108</v>
      </c>
      <c r="I293" s="44" t="s">
        <v>408</v>
      </c>
    </row>
    <row r="294" spans="1:9" hidden="1" x14ac:dyDescent="0.2">
      <c r="A294" s="11">
        <v>17</v>
      </c>
      <c r="B294" s="16">
        <v>55709.22</v>
      </c>
      <c r="C294" s="13">
        <v>45129</v>
      </c>
      <c r="D294" s="11" t="s">
        <v>168</v>
      </c>
      <c r="E294" s="14">
        <v>511</v>
      </c>
      <c r="F294" s="11" t="s">
        <v>23</v>
      </c>
      <c r="G294" s="5">
        <v>109.02</v>
      </c>
      <c r="H294" s="36">
        <f t="shared" si="4"/>
        <v>947056.74</v>
      </c>
      <c r="I294" s="44" t="s">
        <v>408</v>
      </c>
    </row>
    <row r="295" spans="1:9" hidden="1" x14ac:dyDescent="0.2">
      <c r="A295" s="11">
        <v>17</v>
      </c>
      <c r="B295" s="16">
        <v>155194.6</v>
      </c>
      <c r="C295" s="13">
        <v>45129</v>
      </c>
      <c r="D295" s="11" t="s">
        <v>169</v>
      </c>
      <c r="E295" s="14">
        <v>1210</v>
      </c>
      <c r="F295" s="11" t="s">
        <v>23</v>
      </c>
      <c r="G295" s="5">
        <v>128.26</v>
      </c>
      <c r="H295" s="36">
        <f t="shared" si="4"/>
        <v>2638308.2000000002</v>
      </c>
      <c r="I295" s="44" t="s">
        <v>408</v>
      </c>
    </row>
    <row r="296" spans="1:9" hidden="1" x14ac:dyDescent="0.2">
      <c r="A296" s="11">
        <v>17</v>
      </c>
      <c r="B296" s="16">
        <v>52432.800000000003</v>
      </c>
      <c r="C296" s="13">
        <v>45129</v>
      </c>
      <c r="D296" s="11" t="s">
        <v>74</v>
      </c>
      <c r="E296" s="14">
        <v>140</v>
      </c>
      <c r="F296" s="11" t="s">
        <v>23</v>
      </c>
      <c r="G296" s="5">
        <v>374.52</v>
      </c>
      <c r="H296" s="36">
        <f t="shared" si="4"/>
        <v>891357.60000000009</v>
      </c>
      <c r="I296" s="44" t="s">
        <v>408</v>
      </c>
    </row>
    <row r="297" spans="1:9" hidden="1" x14ac:dyDescent="0.2">
      <c r="A297" s="11">
        <v>17</v>
      </c>
      <c r="B297" s="16">
        <v>40273.64</v>
      </c>
      <c r="C297" s="13">
        <v>45129</v>
      </c>
      <c r="D297" s="11" t="s">
        <v>169</v>
      </c>
      <c r="E297" s="14">
        <v>314</v>
      </c>
      <c r="F297" s="11" t="s">
        <v>23</v>
      </c>
      <c r="G297" s="5">
        <v>128.26</v>
      </c>
      <c r="H297" s="36">
        <f t="shared" si="4"/>
        <v>684651.88</v>
      </c>
      <c r="I297" s="44" t="s">
        <v>408</v>
      </c>
    </row>
    <row r="298" spans="1:9" hidden="1" x14ac:dyDescent="0.2">
      <c r="A298" s="11">
        <v>17</v>
      </c>
      <c r="B298" s="16">
        <v>56581.38</v>
      </c>
      <c r="C298" s="13">
        <v>45129</v>
      </c>
      <c r="D298" s="11" t="s">
        <v>168</v>
      </c>
      <c r="E298" s="14">
        <v>519</v>
      </c>
      <c r="F298" s="11" t="s">
        <v>23</v>
      </c>
      <c r="G298" s="5">
        <v>109.02</v>
      </c>
      <c r="H298" s="36">
        <f t="shared" si="4"/>
        <v>961883.46</v>
      </c>
      <c r="I298" s="44" t="s">
        <v>408</v>
      </c>
    </row>
    <row r="299" spans="1:9" hidden="1" x14ac:dyDescent="0.2">
      <c r="A299" s="11">
        <v>17</v>
      </c>
      <c r="B299" s="16">
        <v>20393.34</v>
      </c>
      <c r="C299" s="13">
        <v>45129</v>
      </c>
      <c r="D299" s="11" t="s">
        <v>169</v>
      </c>
      <c r="E299" s="14">
        <v>159</v>
      </c>
      <c r="F299" s="11" t="s">
        <v>23</v>
      </c>
      <c r="G299" s="5">
        <v>128.26</v>
      </c>
      <c r="H299" s="36">
        <f t="shared" si="4"/>
        <v>346686.78</v>
      </c>
      <c r="I299" s="44" t="s">
        <v>408</v>
      </c>
    </row>
    <row r="300" spans="1:9" hidden="1" x14ac:dyDescent="0.2">
      <c r="A300" s="11">
        <v>17</v>
      </c>
      <c r="B300" s="16">
        <v>235947.6</v>
      </c>
      <c r="C300" s="13">
        <v>45129</v>
      </c>
      <c r="D300" s="11" t="s">
        <v>74</v>
      </c>
      <c r="E300" s="14">
        <v>630</v>
      </c>
      <c r="F300" s="11" t="s">
        <v>23</v>
      </c>
      <c r="G300" s="5">
        <v>374.52</v>
      </c>
      <c r="H300" s="36">
        <f t="shared" si="4"/>
        <v>4011109.2</v>
      </c>
      <c r="I300" s="44" t="s">
        <v>408</v>
      </c>
    </row>
    <row r="301" spans="1:9" hidden="1" x14ac:dyDescent="0.2">
      <c r="A301" s="11">
        <v>17</v>
      </c>
      <c r="B301" s="16">
        <v>55634.879999999997</v>
      </c>
      <c r="C301" s="13">
        <v>45129</v>
      </c>
      <c r="D301" s="11" t="s">
        <v>119</v>
      </c>
      <c r="E301" s="14">
        <v>816</v>
      </c>
      <c r="F301" s="11" t="s">
        <v>23</v>
      </c>
      <c r="G301" s="5">
        <v>68.180000000000007</v>
      </c>
      <c r="H301" s="36">
        <f t="shared" si="4"/>
        <v>945792.96</v>
      </c>
      <c r="I301" s="44" t="s">
        <v>408</v>
      </c>
    </row>
    <row r="302" spans="1:9" hidden="1" x14ac:dyDescent="0.2">
      <c r="A302" s="11">
        <v>14</v>
      </c>
      <c r="B302" s="16">
        <v>56311.040000000001</v>
      </c>
      <c r="C302" s="13">
        <v>45132</v>
      </c>
      <c r="D302" s="11" t="s">
        <v>58</v>
      </c>
      <c r="E302" s="14">
        <v>128</v>
      </c>
      <c r="F302" s="11" t="s">
        <v>23</v>
      </c>
      <c r="G302" s="5">
        <v>439.93</v>
      </c>
      <c r="H302" s="36">
        <f t="shared" si="4"/>
        <v>788354.56000000006</v>
      </c>
      <c r="I302" s="44" t="s">
        <v>408</v>
      </c>
    </row>
    <row r="303" spans="1:9" hidden="1" x14ac:dyDescent="0.2">
      <c r="A303" s="11">
        <v>13</v>
      </c>
      <c r="B303" s="16">
        <v>3015</v>
      </c>
      <c r="C303" s="13">
        <v>45133</v>
      </c>
      <c r="D303" s="11" t="s">
        <v>81</v>
      </c>
      <c r="E303" s="14">
        <v>4500</v>
      </c>
      <c r="F303" s="11" t="s">
        <v>23</v>
      </c>
      <c r="G303" s="5">
        <v>0.67</v>
      </c>
      <c r="H303" s="36">
        <f t="shared" si="4"/>
        <v>39195</v>
      </c>
      <c r="I303" s="44" t="s">
        <v>408</v>
      </c>
    </row>
    <row r="304" spans="1:9" hidden="1" x14ac:dyDescent="0.2">
      <c r="A304" s="11">
        <v>13</v>
      </c>
      <c r="B304" s="16">
        <v>64229.78</v>
      </c>
      <c r="C304" s="13">
        <v>45133</v>
      </c>
      <c r="D304" s="11" t="s">
        <v>58</v>
      </c>
      <c r="E304" s="14">
        <v>146</v>
      </c>
      <c r="F304" s="11" t="s">
        <v>23</v>
      </c>
      <c r="G304" s="5">
        <v>439.93</v>
      </c>
      <c r="H304" s="36">
        <f t="shared" si="4"/>
        <v>834987.14</v>
      </c>
      <c r="I304" s="44" t="s">
        <v>408</v>
      </c>
    </row>
    <row r="305" spans="1:9" hidden="1" x14ac:dyDescent="0.2">
      <c r="A305" s="11">
        <v>11</v>
      </c>
      <c r="B305" s="16">
        <v>90625.58</v>
      </c>
      <c r="C305" s="13">
        <v>45135</v>
      </c>
      <c r="D305" s="11" t="s">
        <v>58</v>
      </c>
      <c r="E305" s="14">
        <v>206</v>
      </c>
      <c r="F305" s="11" t="s">
        <v>23</v>
      </c>
      <c r="G305" s="5">
        <v>439.93</v>
      </c>
      <c r="H305" s="36">
        <f t="shared" si="4"/>
        <v>996881.38</v>
      </c>
      <c r="I305" s="44" t="s">
        <v>408</v>
      </c>
    </row>
    <row r="306" spans="1:9" hidden="1" x14ac:dyDescent="0.2">
      <c r="A306" s="11">
        <v>8</v>
      </c>
      <c r="B306" s="16">
        <v>124940.12</v>
      </c>
      <c r="C306" s="13">
        <v>45138</v>
      </c>
      <c r="D306" s="11" t="s">
        <v>58</v>
      </c>
      <c r="E306" s="14">
        <v>284</v>
      </c>
      <c r="F306" s="11" t="s">
        <v>23</v>
      </c>
      <c r="G306" s="5">
        <v>439.93</v>
      </c>
      <c r="H306" s="36">
        <f t="shared" si="4"/>
        <v>999520.96</v>
      </c>
      <c r="I306" s="44" t="s">
        <v>408</v>
      </c>
    </row>
    <row r="307" spans="1:9" hidden="1" x14ac:dyDescent="0.2">
      <c r="A307" s="11">
        <v>8</v>
      </c>
      <c r="B307" s="16">
        <v>40010.339999999997</v>
      </c>
      <c r="C307" s="13">
        <v>45138</v>
      </c>
      <c r="D307" s="11" t="s">
        <v>168</v>
      </c>
      <c r="E307" s="14">
        <v>367</v>
      </c>
      <c r="F307" s="11" t="s">
        <v>23</v>
      </c>
      <c r="G307" s="5">
        <v>109.02</v>
      </c>
      <c r="H307" s="36">
        <f t="shared" si="4"/>
        <v>320082.71999999997</v>
      </c>
      <c r="I307" s="44" t="s">
        <v>408</v>
      </c>
    </row>
    <row r="308" spans="1:9" hidden="1" x14ac:dyDescent="0.2">
      <c r="A308" s="11">
        <v>8</v>
      </c>
      <c r="B308" s="16">
        <v>263958</v>
      </c>
      <c r="C308" s="13">
        <v>45138</v>
      </c>
      <c r="D308" s="11" t="s">
        <v>58</v>
      </c>
      <c r="E308" s="14">
        <v>600</v>
      </c>
      <c r="F308" s="11" t="s">
        <v>23</v>
      </c>
      <c r="G308" s="5">
        <v>439.93</v>
      </c>
      <c r="H308" s="36">
        <f t="shared" si="4"/>
        <v>2111664</v>
      </c>
      <c r="I308" s="44" t="s">
        <v>408</v>
      </c>
    </row>
    <row r="309" spans="1:9" hidden="1" x14ac:dyDescent="0.2">
      <c r="A309" s="11">
        <v>6</v>
      </c>
      <c r="B309" s="16">
        <v>4459</v>
      </c>
      <c r="C309" s="13">
        <v>45140</v>
      </c>
      <c r="D309" s="11" t="s">
        <v>68</v>
      </c>
      <c r="E309" s="14">
        <v>1820</v>
      </c>
      <c r="F309" s="11" t="s">
        <v>23</v>
      </c>
      <c r="G309" s="5">
        <v>2.4500000000000002</v>
      </c>
      <c r="H309" s="36">
        <f t="shared" si="4"/>
        <v>26754</v>
      </c>
      <c r="I309" s="44" t="s">
        <v>413</v>
      </c>
    </row>
    <row r="310" spans="1:9" hidden="1" x14ac:dyDescent="0.2">
      <c r="A310" s="11">
        <v>6</v>
      </c>
      <c r="B310" s="16">
        <v>4459</v>
      </c>
      <c r="C310" s="13">
        <v>45140</v>
      </c>
      <c r="D310" s="11" t="s">
        <v>68</v>
      </c>
      <c r="E310" s="14">
        <v>1820</v>
      </c>
      <c r="F310" s="11" t="s">
        <v>23</v>
      </c>
      <c r="G310" s="5">
        <v>2.4500000000000002</v>
      </c>
      <c r="H310" s="36">
        <f t="shared" si="4"/>
        <v>26754</v>
      </c>
      <c r="I310" s="44" t="s">
        <v>413</v>
      </c>
    </row>
    <row r="311" spans="1:9" hidden="1" x14ac:dyDescent="0.2">
      <c r="A311" s="11">
        <v>6</v>
      </c>
      <c r="B311" s="16">
        <v>263718</v>
      </c>
      <c r="C311" s="13">
        <v>45140</v>
      </c>
      <c r="D311" s="11" t="s">
        <v>73</v>
      </c>
      <c r="E311" s="14">
        <v>630</v>
      </c>
      <c r="F311" s="11" t="s">
        <v>23</v>
      </c>
      <c r="G311" s="5">
        <v>418.6</v>
      </c>
      <c r="H311" s="36">
        <f t="shared" si="4"/>
        <v>1582308</v>
      </c>
      <c r="I311" s="44" t="s">
        <v>413</v>
      </c>
    </row>
    <row r="312" spans="1:9" hidden="1" x14ac:dyDescent="0.2">
      <c r="A312" s="11">
        <v>6</v>
      </c>
      <c r="B312" s="16">
        <v>368823</v>
      </c>
      <c r="C312" s="13">
        <v>45140</v>
      </c>
      <c r="D312" s="11" t="s">
        <v>72</v>
      </c>
      <c r="E312" s="14">
        <v>910</v>
      </c>
      <c r="F312" s="11" t="s">
        <v>23</v>
      </c>
      <c r="G312" s="5">
        <v>405.3</v>
      </c>
      <c r="H312" s="36">
        <f t="shared" si="4"/>
        <v>2212938</v>
      </c>
      <c r="I312" s="44" t="s">
        <v>413</v>
      </c>
    </row>
    <row r="313" spans="1:9" hidden="1" x14ac:dyDescent="0.2">
      <c r="A313" s="11">
        <v>6</v>
      </c>
      <c r="B313" s="16">
        <v>104865.60000000001</v>
      </c>
      <c r="C313" s="13">
        <v>45140</v>
      </c>
      <c r="D313" s="11" t="s">
        <v>74</v>
      </c>
      <c r="E313" s="14">
        <v>280</v>
      </c>
      <c r="F313" s="11" t="s">
        <v>23</v>
      </c>
      <c r="G313" s="5">
        <v>374.52</v>
      </c>
      <c r="H313" s="36">
        <f t="shared" si="4"/>
        <v>629193.60000000009</v>
      </c>
      <c r="I313" s="44" t="s">
        <v>413</v>
      </c>
    </row>
    <row r="314" spans="1:9" hidden="1" x14ac:dyDescent="0.2">
      <c r="A314" s="11">
        <v>5</v>
      </c>
      <c r="B314" s="16">
        <v>3300</v>
      </c>
      <c r="C314" s="13">
        <v>45141</v>
      </c>
      <c r="D314" s="11" t="s">
        <v>130</v>
      </c>
      <c r="E314" s="14">
        <v>300</v>
      </c>
      <c r="F314" s="11" t="s">
        <v>23</v>
      </c>
      <c r="G314" s="5">
        <v>11</v>
      </c>
      <c r="H314" s="36">
        <f t="shared" si="4"/>
        <v>16500</v>
      </c>
      <c r="I314" s="44" t="s">
        <v>413</v>
      </c>
    </row>
    <row r="315" spans="1:9" hidden="1" x14ac:dyDescent="0.2">
      <c r="A315" s="11">
        <v>5</v>
      </c>
      <c r="B315" s="16">
        <v>91020.3</v>
      </c>
      <c r="C315" s="13">
        <v>45141</v>
      </c>
      <c r="D315" s="11" t="s">
        <v>119</v>
      </c>
      <c r="E315" s="14">
        <v>1335</v>
      </c>
      <c r="F315" s="11" t="s">
        <v>23</v>
      </c>
      <c r="G315" s="5">
        <v>68.180000000000007</v>
      </c>
      <c r="H315" s="36">
        <f t="shared" si="4"/>
        <v>455101.5</v>
      </c>
      <c r="I315" s="44" t="s">
        <v>413</v>
      </c>
    </row>
    <row r="316" spans="1:9" hidden="1" x14ac:dyDescent="0.2">
      <c r="A316" s="11">
        <v>4</v>
      </c>
      <c r="B316" s="16">
        <v>10766.4</v>
      </c>
      <c r="C316" s="13">
        <v>45142</v>
      </c>
      <c r="D316" s="11" t="s">
        <v>113</v>
      </c>
      <c r="E316" s="14">
        <v>120</v>
      </c>
      <c r="F316" s="11" t="s">
        <v>23</v>
      </c>
      <c r="G316" s="5">
        <v>89.72</v>
      </c>
      <c r="H316" s="36">
        <f t="shared" si="4"/>
        <v>43065.599999999999</v>
      </c>
      <c r="I316" s="44" t="s">
        <v>413</v>
      </c>
    </row>
    <row r="317" spans="1:9" hidden="1" x14ac:dyDescent="0.2">
      <c r="A317" s="11">
        <v>4</v>
      </c>
      <c r="B317" s="16">
        <v>263614.05</v>
      </c>
      <c r="C317" s="13">
        <v>45142</v>
      </c>
      <c r="D317" s="11" t="s">
        <v>85</v>
      </c>
      <c r="E317" s="14">
        <v>315</v>
      </c>
      <c r="F317" s="11" t="s">
        <v>23</v>
      </c>
      <c r="G317" s="5">
        <v>836.87</v>
      </c>
      <c r="H317" s="36">
        <f t="shared" si="4"/>
        <v>1054456.2</v>
      </c>
      <c r="I317" s="44" t="s">
        <v>413</v>
      </c>
    </row>
    <row r="318" spans="1:9" hidden="1" x14ac:dyDescent="0.2">
      <c r="A318" s="11">
        <v>4</v>
      </c>
      <c r="B318" s="16">
        <v>79629.48</v>
      </c>
      <c r="C318" s="13">
        <v>45142</v>
      </c>
      <c r="D318" s="11" t="s">
        <v>55</v>
      </c>
      <c r="E318" s="14">
        <v>756</v>
      </c>
      <c r="F318" s="11" t="s">
        <v>23</v>
      </c>
      <c r="G318" s="5">
        <v>105.33</v>
      </c>
      <c r="H318" s="36">
        <f t="shared" si="4"/>
        <v>318517.92</v>
      </c>
      <c r="I318" s="44" t="s">
        <v>413</v>
      </c>
    </row>
    <row r="319" spans="1:9" hidden="1" x14ac:dyDescent="0.2">
      <c r="A319" s="11">
        <v>3</v>
      </c>
      <c r="B319" s="16">
        <v>112740.54</v>
      </c>
      <c r="C319" s="13">
        <v>45143</v>
      </c>
      <c r="D319" s="11" t="s">
        <v>169</v>
      </c>
      <c r="E319" s="14">
        <v>879</v>
      </c>
      <c r="F319" s="11" t="s">
        <v>23</v>
      </c>
      <c r="G319" s="5">
        <v>128.26</v>
      </c>
      <c r="H319" s="36">
        <f t="shared" si="4"/>
        <v>338221.62</v>
      </c>
      <c r="I319" s="44" t="s">
        <v>413</v>
      </c>
    </row>
    <row r="320" spans="1:9" hidden="1" x14ac:dyDescent="0.2">
      <c r="A320" s="11">
        <v>3</v>
      </c>
      <c r="B320" s="16">
        <v>956122.2</v>
      </c>
      <c r="C320" s="13">
        <v>45143</v>
      </c>
      <c r="D320" s="11" t="s">
        <v>83</v>
      </c>
      <c r="E320" s="14">
        <v>1290</v>
      </c>
      <c r="F320" s="11" t="s">
        <v>23</v>
      </c>
      <c r="G320" s="5">
        <v>741.18</v>
      </c>
      <c r="H320" s="36">
        <f t="shared" si="4"/>
        <v>2868366.5999999996</v>
      </c>
      <c r="I320" s="44" t="s">
        <v>413</v>
      </c>
    </row>
    <row r="321" spans="1:9" hidden="1" x14ac:dyDescent="0.2">
      <c r="A321" s="11">
        <v>233</v>
      </c>
      <c r="B321" s="16">
        <v>105308.28</v>
      </c>
      <c r="C321" s="13">
        <v>44913</v>
      </c>
      <c r="D321" s="11" t="s">
        <v>236</v>
      </c>
      <c r="E321" s="14">
        <v>26796</v>
      </c>
      <c r="F321" s="11" t="s">
        <v>21</v>
      </c>
      <c r="G321" s="5">
        <v>3.93</v>
      </c>
      <c r="H321" s="36">
        <f t="shared" si="4"/>
        <v>24536829.239999998</v>
      </c>
      <c r="I321" s="44" t="s">
        <v>404</v>
      </c>
    </row>
    <row r="322" spans="1:9" hidden="1" x14ac:dyDescent="0.2">
      <c r="A322" s="11">
        <v>230</v>
      </c>
      <c r="B322" s="16">
        <v>4154638.84</v>
      </c>
      <c r="C322" s="13">
        <v>44916</v>
      </c>
      <c r="D322" s="11" t="s">
        <v>234</v>
      </c>
      <c r="E322" s="14">
        <v>344212</v>
      </c>
      <c r="F322" s="11" t="s">
        <v>21</v>
      </c>
      <c r="G322" s="5">
        <v>12.07</v>
      </c>
      <c r="H322" s="36">
        <f t="shared" si="4"/>
        <v>955566933.19999993</v>
      </c>
      <c r="I322" s="44" t="s">
        <v>404</v>
      </c>
    </row>
    <row r="323" spans="1:9" hidden="1" x14ac:dyDescent="0.2">
      <c r="A323" s="11">
        <v>231</v>
      </c>
      <c r="B323" s="16">
        <v>9719729.5999999996</v>
      </c>
      <c r="C323" s="13">
        <v>44915</v>
      </c>
      <c r="D323" s="11" t="s">
        <v>233</v>
      </c>
      <c r="E323" s="14">
        <v>805280</v>
      </c>
      <c r="F323" s="11" t="s">
        <v>21</v>
      </c>
      <c r="G323" s="5">
        <v>12.07</v>
      </c>
      <c r="H323" s="36">
        <f t="shared" ref="H323:H386" si="5">B323*A323</f>
        <v>2245257537.5999999</v>
      </c>
      <c r="I323" s="44" t="s">
        <v>404</v>
      </c>
    </row>
    <row r="324" spans="1:9" hidden="1" x14ac:dyDescent="0.2">
      <c r="A324" s="11">
        <v>231</v>
      </c>
      <c r="B324" s="16">
        <v>2294156.48</v>
      </c>
      <c r="C324" s="13">
        <v>44915</v>
      </c>
      <c r="D324" s="11" t="s">
        <v>235</v>
      </c>
      <c r="E324" s="14">
        <v>87164</v>
      </c>
      <c r="F324" s="11" t="s">
        <v>21</v>
      </c>
      <c r="G324" s="5">
        <v>26.32</v>
      </c>
      <c r="H324" s="36">
        <f t="shared" si="5"/>
        <v>529950146.88</v>
      </c>
      <c r="I324" s="44" t="s">
        <v>404</v>
      </c>
    </row>
    <row r="325" spans="1:9" hidden="1" x14ac:dyDescent="0.2">
      <c r="A325" s="11">
        <v>224</v>
      </c>
      <c r="B325" s="16">
        <v>1434861.12</v>
      </c>
      <c r="C325" s="13">
        <v>44922</v>
      </c>
      <c r="D325" s="11" t="s">
        <v>235</v>
      </c>
      <c r="E325" s="14">
        <v>54516</v>
      </c>
      <c r="F325" s="11" t="s">
        <v>21</v>
      </c>
      <c r="G325" s="5">
        <v>26.32</v>
      </c>
      <c r="H325" s="36">
        <f t="shared" si="5"/>
        <v>321408890.88</v>
      </c>
      <c r="I325" s="44" t="s">
        <v>404</v>
      </c>
    </row>
    <row r="326" spans="1:9" hidden="1" x14ac:dyDescent="0.2">
      <c r="A326" s="11">
        <v>184</v>
      </c>
      <c r="B326" s="16">
        <v>203162.4</v>
      </c>
      <c r="C326" s="13">
        <v>44962</v>
      </c>
      <c r="D326" s="11" t="s">
        <v>236</v>
      </c>
      <c r="E326" s="14">
        <v>48720</v>
      </c>
      <c r="F326" s="11" t="s">
        <v>21</v>
      </c>
      <c r="G326" s="5">
        <v>4.17</v>
      </c>
      <c r="H326" s="36">
        <f t="shared" si="5"/>
        <v>37381881.600000001</v>
      </c>
      <c r="I326" s="44" t="s">
        <v>405</v>
      </c>
    </row>
    <row r="327" spans="1:9" hidden="1" x14ac:dyDescent="0.2">
      <c r="A327" s="11">
        <v>189</v>
      </c>
      <c r="B327" s="16">
        <v>91423.08</v>
      </c>
      <c r="C327" s="13">
        <v>44957</v>
      </c>
      <c r="D327" s="11" t="s">
        <v>236</v>
      </c>
      <c r="E327" s="14">
        <v>21924</v>
      </c>
      <c r="F327" s="11" t="s">
        <v>21</v>
      </c>
      <c r="G327" s="5">
        <v>4.17</v>
      </c>
      <c r="H327" s="36">
        <f t="shared" si="5"/>
        <v>17278962.120000001</v>
      </c>
      <c r="I327" s="44" t="s">
        <v>406</v>
      </c>
    </row>
    <row r="328" spans="1:9" hidden="1" x14ac:dyDescent="0.2">
      <c r="A328" s="11">
        <v>184</v>
      </c>
      <c r="B328" s="16">
        <v>193004.28</v>
      </c>
      <c r="C328" s="13">
        <v>44962</v>
      </c>
      <c r="D328" s="11" t="s">
        <v>236</v>
      </c>
      <c r="E328" s="14">
        <v>46284</v>
      </c>
      <c r="F328" s="11" t="s">
        <v>21</v>
      </c>
      <c r="G328" s="5">
        <v>4.17</v>
      </c>
      <c r="H328" s="36">
        <f t="shared" si="5"/>
        <v>35512787.520000003</v>
      </c>
      <c r="I328" s="44" t="s">
        <v>405</v>
      </c>
    </row>
    <row r="329" spans="1:9" hidden="1" x14ac:dyDescent="0.2">
      <c r="A329" s="11">
        <v>189</v>
      </c>
      <c r="B329" s="16">
        <v>193004.28</v>
      </c>
      <c r="C329" s="13">
        <v>44957</v>
      </c>
      <c r="D329" s="11" t="s">
        <v>236</v>
      </c>
      <c r="E329" s="14">
        <v>46284</v>
      </c>
      <c r="F329" s="11" t="s">
        <v>21</v>
      </c>
      <c r="G329" s="5">
        <v>4.17</v>
      </c>
      <c r="H329" s="36">
        <f t="shared" si="5"/>
        <v>36477808.920000002</v>
      </c>
      <c r="I329" s="44" t="s">
        <v>406</v>
      </c>
    </row>
    <row r="330" spans="1:9" hidden="1" x14ac:dyDescent="0.2">
      <c r="A330" s="11">
        <v>189</v>
      </c>
      <c r="B330" s="16">
        <v>193004.28</v>
      </c>
      <c r="C330" s="13">
        <v>44957</v>
      </c>
      <c r="D330" s="11" t="s">
        <v>236</v>
      </c>
      <c r="E330" s="14">
        <v>46284</v>
      </c>
      <c r="F330" s="11" t="s">
        <v>21</v>
      </c>
      <c r="G330" s="5">
        <v>4.17</v>
      </c>
      <c r="H330" s="36">
        <f t="shared" si="5"/>
        <v>36477808.920000002</v>
      </c>
      <c r="I330" s="44" t="s">
        <v>406</v>
      </c>
    </row>
    <row r="331" spans="1:9" hidden="1" x14ac:dyDescent="0.2">
      <c r="A331" s="11">
        <v>184</v>
      </c>
      <c r="B331" s="16">
        <v>20316.240000000002</v>
      </c>
      <c r="C331" s="13">
        <v>44962</v>
      </c>
      <c r="D331" s="11" t="s">
        <v>236</v>
      </c>
      <c r="E331" s="14">
        <v>4872</v>
      </c>
      <c r="F331" s="11" t="s">
        <v>21</v>
      </c>
      <c r="G331" s="5">
        <v>4.17</v>
      </c>
      <c r="H331" s="36">
        <f t="shared" si="5"/>
        <v>3738188.16</v>
      </c>
      <c r="I331" s="44" t="s">
        <v>405</v>
      </c>
    </row>
    <row r="332" spans="1:9" hidden="1" x14ac:dyDescent="0.2">
      <c r="A332" s="11">
        <v>184</v>
      </c>
      <c r="B332" s="16">
        <v>111739.32</v>
      </c>
      <c r="C332" s="13">
        <v>44962</v>
      </c>
      <c r="D332" s="11" t="s">
        <v>236</v>
      </c>
      <c r="E332" s="14">
        <v>26796</v>
      </c>
      <c r="F332" s="11" t="s">
        <v>21</v>
      </c>
      <c r="G332" s="5">
        <v>4.17</v>
      </c>
      <c r="H332" s="36">
        <f t="shared" si="5"/>
        <v>20560034.880000003</v>
      </c>
      <c r="I332" s="44" t="s">
        <v>405</v>
      </c>
    </row>
    <row r="333" spans="1:9" hidden="1" x14ac:dyDescent="0.2">
      <c r="A333" s="11">
        <v>189</v>
      </c>
      <c r="B333" s="16">
        <v>203162.4</v>
      </c>
      <c r="C333" s="13">
        <v>44957</v>
      </c>
      <c r="D333" s="11" t="s">
        <v>236</v>
      </c>
      <c r="E333" s="14">
        <v>48720</v>
      </c>
      <c r="F333" s="11" t="s">
        <v>21</v>
      </c>
      <c r="G333" s="5">
        <v>4.17</v>
      </c>
      <c r="H333" s="36">
        <f t="shared" si="5"/>
        <v>38397693.600000001</v>
      </c>
      <c r="I333" s="44" t="s">
        <v>406</v>
      </c>
    </row>
    <row r="334" spans="1:9" hidden="1" x14ac:dyDescent="0.2">
      <c r="A334" s="11">
        <v>57</v>
      </c>
      <c r="B334" s="16">
        <v>10158.120000000001</v>
      </c>
      <c r="C334" s="13">
        <v>45089</v>
      </c>
      <c r="D334" s="11" t="s">
        <v>236</v>
      </c>
      <c r="E334" s="14">
        <v>2436</v>
      </c>
      <c r="F334" s="11" t="s">
        <v>22</v>
      </c>
      <c r="G334" s="5">
        <v>4.17</v>
      </c>
      <c r="H334" s="36">
        <f t="shared" si="5"/>
        <v>579012.84000000008</v>
      </c>
      <c r="I334" s="44" t="s">
        <v>407</v>
      </c>
    </row>
    <row r="335" spans="1:9" hidden="1" x14ac:dyDescent="0.2">
      <c r="A335" s="11">
        <v>57</v>
      </c>
      <c r="B335" s="16">
        <v>132055.56</v>
      </c>
      <c r="C335" s="13">
        <v>45089</v>
      </c>
      <c r="D335" s="11" t="s">
        <v>236</v>
      </c>
      <c r="E335" s="14">
        <v>31668</v>
      </c>
      <c r="F335" s="11" t="s">
        <v>22</v>
      </c>
      <c r="G335" s="5">
        <v>4.17</v>
      </c>
      <c r="H335" s="36">
        <f t="shared" si="5"/>
        <v>7527166.9199999999</v>
      </c>
      <c r="I335" s="44" t="s">
        <v>407</v>
      </c>
    </row>
    <row r="336" spans="1:9" hidden="1" x14ac:dyDescent="0.2">
      <c r="A336" s="11">
        <v>57</v>
      </c>
      <c r="B336" s="16">
        <v>213320.52</v>
      </c>
      <c r="C336" s="13">
        <v>45089</v>
      </c>
      <c r="D336" s="11" t="s">
        <v>236</v>
      </c>
      <c r="E336" s="14">
        <v>51156</v>
      </c>
      <c r="F336" s="11" t="s">
        <v>22</v>
      </c>
      <c r="G336" s="5">
        <v>4.17</v>
      </c>
      <c r="H336" s="36">
        <f t="shared" si="5"/>
        <v>12159269.639999999</v>
      </c>
      <c r="I336" s="44" t="s">
        <v>407</v>
      </c>
    </row>
    <row r="337" spans="1:9" hidden="1" x14ac:dyDescent="0.2">
      <c r="A337" s="11">
        <v>57</v>
      </c>
      <c r="B337" s="16">
        <v>681655.84</v>
      </c>
      <c r="C337" s="13">
        <v>45089</v>
      </c>
      <c r="D337" s="11" t="s">
        <v>233</v>
      </c>
      <c r="E337" s="14">
        <v>53296</v>
      </c>
      <c r="F337" s="11" t="s">
        <v>22</v>
      </c>
      <c r="G337" s="5">
        <v>12.79</v>
      </c>
      <c r="H337" s="36">
        <f t="shared" si="5"/>
        <v>38854382.879999995</v>
      </c>
      <c r="I337" s="44" t="s">
        <v>407</v>
      </c>
    </row>
    <row r="338" spans="1:9" hidden="1" x14ac:dyDescent="0.2">
      <c r="A338" s="11">
        <v>57</v>
      </c>
      <c r="B338" s="16">
        <v>132055.56</v>
      </c>
      <c r="C338" s="13">
        <v>45089</v>
      </c>
      <c r="D338" s="11" t="s">
        <v>236</v>
      </c>
      <c r="E338" s="14">
        <v>31668</v>
      </c>
      <c r="F338" s="11" t="s">
        <v>22</v>
      </c>
      <c r="G338" s="5">
        <v>4.17</v>
      </c>
      <c r="H338" s="36">
        <f t="shared" si="5"/>
        <v>7527166.9199999999</v>
      </c>
      <c r="I338" s="44" t="s">
        <v>407</v>
      </c>
    </row>
    <row r="339" spans="1:9" hidden="1" x14ac:dyDescent="0.2">
      <c r="A339" s="11">
        <v>57</v>
      </c>
      <c r="B339" s="16">
        <v>91423.08</v>
      </c>
      <c r="C339" s="13">
        <v>45089</v>
      </c>
      <c r="D339" s="11" t="s">
        <v>236</v>
      </c>
      <c r="E339" s="14">
        <v>21924</v>
      </c>
      <c r="F339" s="11" t="s">
        <v>22</v>
      </c>
      <c r="G339" s="5">
        <v>4.17</v>
      </c>
      <c r="H339" s="36">
        <f t="shared" si="5"/>
        <v>5211115.5600000005</v>
      </c>
      <c r="I339" s="44" t="s">
        <v>407</v>
      </c>
    </row>
    <row r="340" spans="1:9" hidden="1" x14ac:dyDescent="0.2">
      <c r="A340" s="11">
        <v>57</v>
      </c>
      <c r="B340" s="16">
        <v>1991147.2</v>
      </c>
      <c r="C340" s="13">
        <v>45089</v>
      </c>
      <c r="D340" s="11" t="s">
        <v>233</v>
      </c>
      <c r="E340" s="14">
        <v>155680</v>
      </c>
      <c r="F340" s="11" t="s">
        <v>22</v>
      </c>
      <c r="G340" s="5">
        <v>12.79</v>
      </c>
      <c r="H340" s="36">
        <f t="shared" si="5"/>
        <v>113495390.39999999</v>
      </c>
      <c r="I340" s="44" t="s">
        <v>407</v>
      </c>
    </row>
    <row r="341" spans="1:9" hidden="1" x14ac:dyDescent="0.2">
      <c r="A341" s="11">
        <v>55</v>
      </c>
      <c r="B341" s="16">
        <v>700597.83</v>
      </c>
      <c r="C341" s="13">
        <v>45091</v>
      </c>
      <c r="D341" s="11" t="s">
        <v>233</v>
      </c>
      <c r="E341" s="14">
        <v>54777</v>
      </c>
      <c r="F341" s="11" t="s">
        <v>22</v>
      </c>
      <c r="G341" s="5">
        <v>12.79</v>
      </c>
      <c r="H341" s="36">
        <f t="shared" si="5"/>
        <v>38532880.649999999</v>
      </c>
      <c r="I341" s="44" t="s">
        <v>407</v>
      </c>
    </row>
    <row r="342" spans="1:9" hidden="1" x14ac:dyDescent="0.2">
      <c r="A342" s="11">
        <v>42</v>
      </c>
      <c r="B342" s="16">
        <v>1048370.4</v>
      </c>
      <c r="C342" s="13">
        <v>45104</v>
      </c>
      <c r="D342" s="11" t="s">
        <v>235</v>
      </c>
      <c r="E342" s="14">
        <v>37576</v>
      </c>
      <c r="F342" s="11" t="s">
        <v>22</v>
      </c>
      <c r="G342" s="5">
        <v>27.9</v>
      </c>
      <c r="H342" s="36">
        <f t="shared" si="5"/>
        <v>44031556.800000004</v>
      </c>
      <c r="I342" s="44" t="s">
        <v>407</v>
      </c>
    </row>
    <row r="343" spans="1:9" hidden="1" x14ac:dyDescent="0.2">
      <c r="A343" s="11">
        <v>42</v>
      </c>
      <c r="B343" s="16">
        <v>403880.4</v>
      </c>
      <c r="C343" s="13">
        <v>45104</v>
      </c>
      <c r="D343" s="11" t="s">
        <v>235</v>
      </c>
      <c r="E343" s="14">
        <v>14476</v>
      </c>
      <c r="F343" s="11" t="s">
        <v>22</v>
      </c>
      <c r="G343" s="5">
        <v>27.9</v>
      </c>
      <c r="H343" s="36">
        <f t="shared" si="5"/>
        <v>16962976.800000001</v>
      </c>
      <c r="I343" s="44" t="s">
        <v>407</v>
      </c>
    </row>
    <row r="344" spans="1:9" hidden="1" x14ac:dyDescent="0.2">
      <c r="A344" s="11">
        <v>42</v>
      </c>
      <c r="B344" s="16">
        <v>627303.6</v>
      </c>
      <c r="C344" s="13">
        <v>45104</v>
      </c>
      <c r="D344" s="11" t="s">
        <v>235</v>
      </c>
      <c r="E344" s="14">
        <v>22484</v>
      </c>
      <c r="F344" s="11" t="s">
        <v>22</v>
      </c>
      <c r="G344" s="5">
        <v>27.9</v>
      </c>
      <c r="H344" s="36">
        <f t="shared" si="5"/>
        <v>26346751.199999999</v>
      </c>
      <c r="I344" s="44" t="s">
        <v>407</v>
      </c>
    </row>
    <row r="345" spans="1:9" hidden="1" x14ac:dyDescent="0.2">
      <c r="A345" s="11">
        <v>42</v>
      </c>
      <c r="B345" s="16">
        <v>824947.19999999995</v>
      </c>
      <c r="C345" s="13">
        <v>45104</v>
      </c>
      <c r="D345" s="11" t="s">
        <v>235</v>
      </c>
      <c r="E345" s="14">
        <v>29568</v>
      </c>
      <c r="F345" s="11" t="s">
        <v>22</v>
      </c>
      <c r="G345" s="5">
        <v>27.9</v>
      </c>
      <c r="H345" s="36">
        <f t="shared" si="5"/>
        <v>34647782.399999999</v>
      </c>
      <c r="I345" s="44" t="s">
        <v>407</v>
      </c>
    </row>
    <row r="346" spans="1:9" hidden="1" x14ac:dyDescent="0.2">
      <c r="A346" s="11">
        <v>42</v>
      </c>
      <c r="B346" s="16">
        <v>610061.4</v>
      </c>
      <c r="C346" s="13">
        <v>45104</v>
      </c>
      <c r="D346" s="11" t="s">
        <v>235</v>
      </c>
      <c r="E346" s="14">
        <v>21866</v>
      </c>
      <c r="F346" s="11" t="s">
        <v>22</v>
      </c>
      <c r="G346" s="5">
        <v>27.9</v>
      </c>
      <c r="H346" s="36">
        <f t="shared" si="5"/>
        <v>25622578.800000001</v>
      </c>
      <c r="I346" s="44" t="s">
        <v>407</v>
      </c>
    </row>
    <row r="347" spans="1:9" hidden="1" x14ac:dyDescent="0.2">
      <c r="A347" s="11">
        <v>42</v>
      </c>
      <c r="B347" s="16">
        <v>842189.4</v>
      </c>
      <c r="C347" s="13">
        <v>45104</v>
      </c>
      <c r="D347" s="11" t="s">
        <v>235</v>
      </c>
      <c r="E347" s="14">
        <v>30186</v>
      </c>
      <c r="F347" s="11" t="s">
        <v>22</v>
      </c>
      <c r="G347" s="5">
        <v>27.9</v>
      </c>
      <c r="H347" s="36">
        <f t="shared" si="5"/>
        <v>35371954.800000004</v>
      </c>
      <c r="I347" s="44" t="s">
        <v>407</v>
      </c>
    </row>
    <row r="348" spans="1:9" hidden="1" x14ac:dyDescent="0.2">
      <c r="A348" s="11">
        <v>42</v>
      </c>
      <c r="B348" s="16">
        <v>902286</v>
      </c>
      <c r="C348" s="13">
        <v>45104</v>
      </c>
      <c r="D348" s="11" t="s">
        <v>235</v>
      </c>
      <c r="E348" s="14">
        <v>32340</v>
      </c>
      <c r="F348" s="11" t="s">
        <v>22</v>
      </c>
      <c r="G348" s="5">
        <v>27.9</v>
      </c>
      <c r="H348" s="36">
        <f t="shared" si="5"/>
        <v>37896012</v>
      </c>
      <c r="I348" s="44" t="s">
        <v>407</v>
      </c>
    </row>
    <row r="349" spans="1:9" hidden="1" x14ac:dyDescent="0.2">
      <c r="A349" s="11">
        <v>42</v>
      </c>
      <c r="B349" s="16">
        <v>549964.80000000005</v>
      </c>
      <c r="C349" s="13">
        <v>45104</v>
      </c>
      <c r="D349" s="11" t="s">
        <v>235</v>
      </c>
      <c r="E349" s="14">
        <v>19712</v>
      </c>
      <c r="F349" s="11" t="s">
        <v>22</v>
      </c>
      <c r="G349" s="5">
        <v>27.9</v>
      </c>
      <c r="H349" s="36">
        <f t="shared" si="5"/>
        <v>23098521.600000001</v>
      </c>
      <c r="I349" s="44" t="s">
        <v>407</v>
      </c>
    </row>
    <row r="350" spans="1:9" hidden="1" x14ac:dyDescent="0.2">
      <c r="A350" s="11">
        <v>42</v>
      </c>
      <c r="B350" s="16">
        <v>1160082</v>
      </c>
      <c r="C350" s="13">
        <v>45104</v>
      </c>
      <c r="D350" s="11" t="s">
        <v>235</v>
      </c>
      <c r="E350" s="14">
        <v>41580</v>
      </c>
      <c r="F350" s="11" t="s">
        <v>22</v>
      </c>
      <c r="G350" s="5">
        <v>27.9</v>
      </c>
      <c r="H350" s="36">
        <f t="shared" si="5"/>
        <v>48723444</v>
      </c>
      <c r="I350" s="44" t="s">
        <v>407</v>
      </c>
    </row>
    <row r="351" spans="1:9" hidden="1" x14ac:dyDescent="0.2">
      <c r="A351" s="11">
        <v>42</v>
      </c>
      <c r="B351" s="16">
        <v>292168.8</v>
      </c>
      <c r="C351" s="13">
        <v>45104</v>
      </c>
      <c r="D351" s="11" t="s">
        <v>235</v>
      </c>
      <c r="E351" s="14">
        <v>10472</v>
      </c>
      <c r="F351" s="11" t="s">
        <v>22</v>
      </c>
      <c r="G351" s="5">
        <v>27.9</v>
      </c>
      <c r="H351" s="36">
        <f t="shared" si="5"/>
        <v>12271089.6</v>
      </c>
      <c r="I351" s="44" t="s">
        <v>407</v>
      </c>
    </row>
    <row r="352" spans="1:9" hidden="1" x14ac:dyDescent="0.2">
      <c r="A352" s="11">
        <v>42</v>
      </c>
      <c r="B352" s="16">
        <v>25779.599999999999</v>
      </c>
      <c r="C352" s="13">
        <v>45104</v>
      </c>
      <c r="D352" s="11" t="s">
        <v>235</v>
      </c>
      <c r="E352" s="14">
        <v>924</v>
      </c>
      <c r="F352" s="11" t="s">
        <v>22</v>
      </c>
      <c r="G352" s="5">
        <v>27.9</v>
      </c>
      <c r="H352" s="36">
        <f t="shared" si="5"/>
        <v>1082743.2</v>
      </c>
      <c r="I352" s="44" t="s">
        <v>407</v>
      </c>
    </row>
    <row r="353" spans="1:9" hidden="1" x14ac:dyDescent="0.2">
      <c r="A353" s="11">
        <v>42</v>
      </c>
      <c r="B353" s="16">
        <v>1426471.2</v>
      </c>
      <c r="C353" s="13">
        <v>45104</v>
      </c>
      <c r="D353" s="11" t="s">
        <v>235</v>
      </c>
      <c r="E353" s="14">
        <v>51128</v>
      </c>
      <c r="F353" s="11" t="s">
        <v>22</v>
      </c>
      <c r="G353" s="5">
        <v>27.9</v>
      </c>
      <c r="H353" s="36">
        <f t="shared" si="5"/>
        <v>59911790.399999999</v>
      </c>
      <c r="I353" s="44" t="s">
        <v>407</v>
      </c>
    </row>
    <row r="354" spans="1:9" hidden="1" x14ac:dyDescent="0.2">
      <c r="A354" s="11">
        <v>42</v>
      </c>
      <c r="B354" s="16">
        <v>1901617.2</v>
      </c>
      <c r="C354" s="13">
        <v>45104</v>
      </c>
      <c r="D354" s="11" t="s">
        <v>233</v>
      </c>
      <c r="E354" s="14">
        <v>148680</v>
      </c>
      <c r="F354" s="11" t="s">
        <v>22</v>
      </c>
      <c r="G354" s="5">
        <v>12.79</v>
      </c>
      <c r="H354" s="36">
        <f t="shared" si="5"/>
        <v>79867922.399999991</v>
      </c>
      <c r="I354" s="44" t="s">
        <v>407</v>
      </c>
    </row>
    <row r="355" spans="1:9" hidden="1" x14ac:dyDescent="0.2">
      <c r="A355" s="11">
        <v>42</v>
      </c>
      <c r="B355" s="16">
        <v>773539.2</v>
      </c>
      <c r="C355" s="13">
        <v>45104</v>
      </c>
      <c r="D355" s="11" t="s">
        <v>233</v>
      </c>
      <c r="E355" s="14">
        <v>60480</v>
      </c>
      <c r="F355" s="11" t="s">
        <v>22</v>
      </c>
      <c r="G355" s="5">
        <v>12.79</v>
      </c>
      <c r="H355" s="36">
        <f t="shared" si="5"/>
        <v>32488646.399999999</v>
      </c>
      <c r="I355" s="44" t="s">
        <v>407</v>
      </c>
    </row>
    <row r="356" spans="1:9" hidden="1" x14ac:dyDescent="0.2">
      <c r="A356" s="11">
        <v>42</v>
      </c>
      <c r="B356" s="16">
        <v>658940.80000000005</v>
      </c>
      <c r="C356" s="13">
        <v>45104</v>
      </c>
      <c r="D356" s="11" t="s">
        <v>234</v>
      </c>
      <c r="E356" s="14">
        <v>51520</v>
      </c>
      <c r="F356" s="11" t="s">
        <v>22</v>
      </c>
      <c r="G356" s="5">
        <v>12.79</v>
      </c>
      <c r="H356" s="36">
        <f t="shared" si="5"/>
        <v>27675513.600000001</v>
      </c>
      <c r="I356" s="44" t="s">
        <v>407</v>
      </c>
    </row>
    <row r="357" spans="1:9" hidden="1" x14ac:dyDescent="0.2">
      <c r="A357" s="11">
        <v>42</v>
      </c>
      <c r="B357" s="16">
        <v>658940.80000000005</v>
      </c>
      <c r="C357" s="13">
        <v>45104</v>
      </c>
      <c r="D357" s="11" t="s">
        <v>234</v>
      </c>
      <c r="E357" s="14">
        <v>51520</v>
      </c>
      <c r="F357" s="11" t="s">
        <v>22</v>
      </c>
      <c r="G357" s="5">
        <v>12.79</v>
      </c>
      <c r="H357" s="36">
        <f t="shared" si="5"/>
        <v>27675513.600000001</v>
      </c>
      <c r="I357" s="44" t="s">
        <v>407</v>
      </c>
    </row>
    <row r="358" spans="1:9" hidden="1" x14ac:dyDescent="0.2">
      <c r="A358" s="11">
        <v>42</v>
      </c>
      <c r="B358" s="16">
        <v>415419.2</v>
      </c>
      <c r="C358" s="13">
        <v>45104</v>
      </c>
      <c r="D358" s="11" t="s">
        <v>234</v>
      </c>
      <c r="E358" s="14">
        <v>32480</v>
      </c>
      <c r="F358" s="11" t="s">
        <v>22</v>
      </c>
      <c r="G358" s="5">
        <v>12.79</v>
      </c>
      <c r="H358" s="36">
        <f t="shared" si="5"/>
        <v>17447606.400000002</v>
      </c>
      <c r="I358" s="44" t="s">
        <v>407</v>
      </c>
    </row>
    <row r="359" spans="1:9" hidden="1" x14ac:dyDescent="0.2">
      <c r="A359" s="11">
        <v>42</v>
      </c>
      <c r="B359" s="16">
        <v>673265.6</v>
      </c>
      <c r="C359" s="13">
        <v>45104</v>
      </c>
      <c r="D359" s="11" t="s">
        <v>234</v>
      </c>
      <c r="E359" s="14">
        <v>52640</v>
      </c>
      <c r="F359" s="11" t="s">
        <v>22</v>
      </c>
      <c r="G359" s="5">
        <v>12.79</v>
      </c>
      <c r="H359" s="36">
        <f t="shared" si="5"/>
        <v>28277155.199999999</v>
      </c>
      <c r="I359" s="44" t="s">
        <v>407</v>
      </c>
    </row>
    <row r="360" spans="1:9" hidden="1" x14ac:dyDescent="0.2">
      <c r="A360" s="11">
        <v>42</v>
      </c>
      <c r="B360" s="16">
        <v>28649.599999999999</v>
      </c>
      <c r="C360" s="13">
        <v>45104</v>
      </c>
      <c r="D360" s="11" t="s">
        <v>233</v>
      </c>
      <c r="E360" s="14">
        <v>2240</v>
      </c>
      <c r="F360" s="11" t="s">
        <v>22</v>
      </c>
      <c r="G360" s="5">
        <v>12.79</v>
      </c>
      <c r="H360" s="36">
        <f t="shared" si="5"/>
        <v>1203283.2</v>
      </c>
      <c r="I360" s="44" t="s">
        <v>407</v>
      </c>
    </row>
    <row r="361" spans="1:9" hidden="1" x14ac:dyDescent="0.2">
      <c r="A361" s="11">
        <v>42</v>
      </c>
      <c r="B361" s="16">
        <v>292168.8</v>
      </c>
      <c r="C361" s="13">
        <v>45104</v>
      </c>
      <c r="D361" s="11" t="s">
        <v>235</v>
      </c>
      <c r="E361" s="14">
        <v>10472</v>
      </c>
      <c r="F361" s="11" t="s">
        <v>22</v>
      </c>
      <c r="G361" s="5">
        <v>27.9</v>
      </c>
      <c r="H361" s="36">
        <f t="shared" si="5"/>
        <v>12271089.6</v>
      </c>
      <c r="I361" s="44" t="s">
        <v>407</v>
      </c>
    </row>
    <row r="362" spans="1:9" hidden="1" x14ac:dyDescent="0.2">
      <c r="A362" s="11">
        <v>42</v>
      </c>
      <c r="B362" s="16">
        <v>1297573.2</v>
      </c>
      <c r="C362" s="13">
        <v>45104</v>
      </c>
      <c r="D362" s="11" t="s">
        <v>235</v>
      </c>
      <c r="E362" s="14">
        <v>46508</v>
      </c>
      <c r="F362" s="11" t="s">
        <v>22</v>
      </c>
      <c r="G362" s="5">
        <v>27.9</v>
      </c>
      <c r="H362" s="36">
        <f t="shared" si="5"/>
        <v>54498074.399999999</v>
      </c>
      <c r="I362" s="44" t="s">
        <v>407</v>
      </c>
    </row>
    <row r="363" spans="1:9" hidden="1" x14ac:dyDescent="0.2">
      <c r="A363" s="11">
        <v>42</v>
      </c>
      <c r="B363" s="16">
        <v>146084.4</v>
      </c>
      <c r="C363" s="13">
        <v>45104</v>
      </c>
      <c r="D363" s="11" t="s">
        <v>235</v>
      </c>
      <c r="E363" s="14">
        <v>5236</v>
      </c>
      <c r="F363" s="11" t="s">
        <v>22</v>
      </c>
      <c r="G363" s="5">
        <v>27.9</v>
      </c>
      <c r="H363" s="36">
        <f t="shared" si="5"/>
        <v>6135544.7999999998</v>
      </c>
      <c r="I363" s="44" t="s">
        <v>407</v>
      </c>
    </row>
    <row r="364" spans="1:9" hidden="1" x14ac:dyDescent="0.2">
      <c r="A364" s="11">
        <v>41</v>
      </c>
      <c r="B364" s="16">
        <v>1332206.3999999999</v>
      </c>
      <c r="C364" s="13">
        <v>45105</v>
      </c>
      <c r="D364" s="11" t="s">
        <v>233</v>
      </c>
      <c r="E364" s="14">
        <v>104160</v>
      </c>
      <c r="F364" s="11" t="s">
        <v>22</v>
      </c>
      <c r="G364" s="5">
        <v>12.79</v>
      </c>
      <c r="H364" s="36">
        <f t="shared" si="5"/>
        <v>54620462.399999999</v>
      </c>
      <c r="I364" s="44" t="s">
        <v>407</v>
      </c>
    </row>
    <row r="365" spans="1:9" hidden="1" x14ac:dyDescent="0.2">
      <c r="A365" s="11">
        <v>41</v>
      </c>
      <c r="B365" s="16">
        <v>1332206.3999999999</v>
      </c>
      <c r="C365" s="13">
        <v>45105</v>
      </c>
      <c r="D365" s="11" t="s">
        <v>233</v>
      </c>
      <c r="E365" s="14">
        <v>104160</v>
      </c>
      <c r="F365" s="11" t="s">
        <v>22</v>
      </c>
      <c r="G365" s="5">
        <v>12.79</v>
      </c>
      <c r="H365" s="36">
        <f t="shared" si="5"/>
        <v>54620462.399999999</v>
      </c>
      <c r="I365" s="44" t="s">
        <v>407</v>
      </c>
    </row>
    <row r="366" spans="1:9" hidden="1" x14ac:dyDescent="0.2">
      <c r="A366" s="11">
        <v>41</v>
      </c>
      <c r="B366" s="16">
        <v>1103009.6000000001</v>
      </c>
      <c r="C366" s="13">
        <v>45105</v>
      </c>
      <c r="D366" s="11" t="s">
        <v>233</v>
      </c>
      <c r="E366" s="14">
        <v>86240</v>
      </c>
      <c r="F366" s="11" t="s">
        <v>22</v>
      </c>
      <c r="G366" s="5">
        <v>12.79</v>
      </c>
      <c r="H366" s="36">
        <f t="shared" si="5"/>
        <v>45223393.600000001</v>
      </c>
      <c r="I366" s="44" t="s">
        <v>407</v>
      </c>
    </row>
    <row r="367" spans="1:9" hidden="1" x14ac:dyDescent="0.2">
      <c r="A367" s="11">
        <v>41</v>
      </c>
      <c r="B367" s="16">
        <v>673265.6</v>
      </c>
      <c r="C367" s="13">
        <v>45105</v>
      </c>
      <c r="D367" s="11" t="s">
        <v>234</v>
      </c>
      <c r="E367" s="14">
        <v>52640</v>
      </c>
      <c r="F367" s="11" t="s">
        <v>22</v>
      </c>
      <c r="G367" s="5">
        <v>12.79</v>
      </c>
      <c r="H367" s="36">
        <f t="shared" si="5"/>
        <v>27603889.599999998</v>
      </c>
      <c r="I367" s="44" t="s">
        <v>407</v>
      </c>
    </row>
    <row r="368" spans="1:9" hidden="1" x14ac:dyDescent="0.2">
      <c r="A368" s="11">
        <v>41</v>
      </c>
      <c r="B368" s="16">
        <v>306960</v>
      </c>
      <c r="C368" s="13">
        <v>45105</v>
      </c>
      <c r="D368" s="11" t="s">
        <v>234</v>
      </c>
      <c r="E368" s="14">
        <v>24000</v>
      </c>
      <c r="F368" s="11" t="s">
        <v>22</v>
      </c>
      <c r="G368" s="5">
        <v>12.79</v>
      </c>
      <c r="H368" s="36">
        <f t="shared" si="5"/>
        <v>12585360</v>
      </c>
      <c r="I368" s="44" t="s">
        <v>407</v>
      </c>
    </row>
    <row r="369" spans="1:9" hidden="1" x14ac:dyDescent="0.2">
      <c r="A369" s="11">
        <v>40</v>
      </c>
      <c r="B369" s="16">
        <v>544342.4</v>
      </c>
      <c r="C369" s="13">
        <v>45106</v>
      </c>
      <c r="D369" s="11" t="s">
        <v>234</v>
      </c>
      <c r="E369" s="14">
        <v>42560</v>
      </c>
      <c r="F369" s="11" t="s">
        <v>22</v>
      </c>
      <c r="G369" s="5">
        <v>12.79</v>
      </c>
      <c r="H369" s="36">
        <f t="shared" si="5"/>
        <v>21773696</v>
      </c>
      <c r="I369" s="44" t="s">
        <v>407</v>
      </c>
    </row>
    <row r="370" spans="1:9" hidden="1" x14ac:dyDescent="0.2">
      <c r="A370" s="11">
        <v>40</v>
      </c>
      <c r="B370" s="16">
        <v>114598.39999999999</v>
      </c>
      <c r="C370" s="13">
        <v>45106</v>
      </c>
      <c r="D370" s="11" t="s">
        <v>233</v>
      </c>
      <c r="E370" s="14">
        <v>8960</v>
      </c>
      <c r="F370" s="11" t="s">
        <v>22</v>
      </c>
      <c r="G370" s="5">
        <v>12.79</v>
      </c>
      <c r="H370" s="36">
        <f t="shared" si="5"/>
        <v>4583936</v>
      </c>
      <c r="I370" s="44" t="s">
        <v>407</v>
      </c>
    </row>
    <row r="371" spans="1:9" hidden="1" x14ac:dyDescent="0.2">
      <c r="A371" s="11">
        <v>40</v>
      </c>
      <c r="B371" s="16">
        <v>658940.80000000005</v>
      </c>
      <c r="C371" s="13">
        <v>45106</v>
      </c>
      <c r="D371" s="11" t="s">
        <v>234</v>
      </c>
      <c r="E371" s="14">
        <v>51520</v>
      </c>
      <c r="F371" s="11" t="s">
        <v>22</v>
      </c>
      <c r="G371" s="5">
        <v>12.79</v>
      </c>
      <c r="H371" s="36">
        <f t="shared" si="5"/>
        <v>26357632</v>
      </c>
      <c r="I371" s="44" t="s">
        <v>407</v>
      </c>
    </row>
    <row r="372" spans="1:9" hidden="1" x14ac:dyDescent="0.2">
      <c r="A372" s="11">
        <v>36</v>
      </c>
      <c r="B372" s="16">
        <v>1332206.3999999999</v>
      </c>
      <c r="C372" s="13">
        <v>45110</v>
      </c>
      <c r="D372" s="11" t="s">
        <v>233</v>
      </c>
      <c r="E372" s="14">
        <v>104160</v>
      </c>
      <c r="F372" s="11" t="s">
        <v>22</v>
      </c>
      <c r="G372" s="5">
        <v>12.79</v>
      </c>
      <c r="H372" s="36">
        <f t="shared" si="5"/>
        <v>47959430.399999999</v>
      </c>
      <c r="I372" s="44" t="s">
        <v>408</v>
      </c>
    </row>
    <row r="373" spans="1:9" hidden="1" x14ac:dyDescent="0.2">
      <c r="A373" s="11">
        <v>36</v>
      </c>
      <c r="B373" s="16">
        <v>1332206.3999999999</v>
      </c>
      <c r="C373" s="13">
        <v>45110</v>
      </c>
      <c r="D373" s="11" t="s">
        <v>233</v>
      </c>
      <c r="E373" s="14">
        <v>104160</v>
      </c>
      <c r="F373" s="11" t="s">
        <v>22</v>
      </c>
      <c r="G373" s="5">
        <v>12.79</v>
      </c>
      <c r="H373" s="36">
        <f t="shared" si="5"/>
        <v>47959430.399999999</v>
      </c>
      <c r="I373" s="44" t="s">
        <v>408</v>
      </c>
    </row>
    <row r="374" spans="1:9" hidden="1" x14ac:dyDescent="0.2">
      <c r="A374" s="11">
        <v>36</v>
      </c>
      <c r="B374" s="16">
        <v>1686694.04</v>
      </c>
      <c r="C374" s="13">
        <v>45110</v>
      </c>
      <c r="D374" s="11" t="s">
        <v>234</v>
      </c>
      <c r="E374" s="14">
        <v>131876</v>
      </c>
      <c r="F374" s="11" t="s">
        <v>22</v>
      </c>
      <c r="G374" s="5">
        <v>12.79</v>
      </c>
      <c r="H374" s="36">
        <f t="shared" si="5"/>
        <v>60720985.439999998</v>
      </c>
      <c r="I374" s="44" t="s">
        <v>408</v>
      </c>
    </row>
    <row r="375" spans="1:9" hidden="1" x14ac:dyDescent="0.2">
      <c r="A375" s="11">
        <v>36</v>
      </c>
      <c r="B375" s="16">
        <v>315145.59999999998</v>
      </c>
      <c r="C375" s="13">
        <v>45110</v>
      </c>
      <c r="D375" s="11" t="s">
        <v>234</v>
      </c>
      <c r="E375" s="14">
        <v>24640</v>
      </c>
      <c r="F375" s="11" t="s">
        <v>22</v>
      </c>
      <c r="G375" s="5">
        <v>12.79</v>
      </c>
      <c r="H375" s="36">
        <f t="shared" si="5"/>
        <v>11345241.6</v>
      </c>
      <c r="I375" s="44" t="s">
        <v>408</v>
      </c>
    </row>
    <row r="376" spans="1:9" hidden="1" x14ac:dyDescent="0.2">
      <c r="A376" s="11">
        <v>36</v>
      </c>
      <c r="B376" s="16">
        <v>673265.6</v>
      </c>
      <c r="C376" s="13">
        <v>45110</v>
      </c>
      <c r="D376" s="11" t="s">
        <v>234</v>
      </c>
      <c r="E376" s="14">
        <v>52640</v>
      </c>
      <c r="F376" s="11" t="s">
        <v>22</v>
      </c>
      <c r="G376" s="5">
        <v>12.79</v>
      </c>
      <c r="H376" s="36">
        <f t="shared" si="5"/>
        <v>24237561.599999998</v>
      </c>
      <c r="I376" s="44" t="s">
        <v>408</v>
      </c>
    </row>
    <row r="377" spans="1:9" hidden="1" x14ac:dyDescent="0.2">
      <c r="A377" s="11">
        <v>35</v>
      </c>
      <c r="B377" s="16">
        <v>128923.2</v>
      </c>
      <c r="C377" s="13">
        <v>45111</v>
      </c>
      <c r="D377" s="11" t="s">
        <v>234</v>
      </c>
      <c r="E377" s="14">
        <v>10080</v>
      </c>
      <c r="F377" s="11" t="s">
        <v>22</v>
      </c>
      <c r="G377" s="5">
        <v>12.79</v>
      </c>
      <c r="H377" s="36">
        <f t="shared" si="5"/>
        <v>4512312</v>
      </c>
      <c r="I377" s="44" t="s">
        <v>408</v>
      </c>
    </row>
    <row r="378" spans="1:9" hidden="1" x14ac:dyDescent="0.2">
      <c r="A378" s="11">
        <v>35</v>
      </c>
      <c r="B378" s="16">
        <v>873812.8</v>
      </c>
      <c r="C378" s="13">
        <v>45111</v>
      </c>
      <c r="D378" s="11" t="s">
        <v>233</v>
      </c>
      <c r="E378" s="14">
        <v>68320</v>
      </c>
      <c r="F378" s="11" t="s">
        <v>22</v>
      </c>
      <c r="G378" s="5">
        <v>12.79</v>
      </c>
      <c r="H378" s="36">
        <f t="shared" si="5"/>
        <v>30583448</v>
      </c>
      <c r="I378" s="44" t="s">
        <v>408</v>
      </c>
    </row>
    <row r="379" spans="1:9" hidden="1" x14ac:dyDescent="0.2">
      <c r="A379" s="11">
        <v>35</v>
      </c>
      <c r="B379" s="16">
        <v>773388</v>
      </c>
      <c r="C379" s="13">
        <v>45111</v>
      </c>
      <c r="D379" s="11" t="s">
        <v>235</v>
      </c>
      <c r="E379" s="14">
        <v>27720</v>
      </c>
      <c r="F379" s="11" t="s">
        <v>22</v>
      </c>
      <c r="G379" s="5">
        <v>27.9</v>
      </c>
      <c r="H379" s="36">
        <f t="shared" si="5"/>
        <v>27068580</v>
      </c>
      <c r="I379" s="44" t="s">
        <v>408</v>
      </c>
    </row>
    <row r="380" spans="1:9" hidden="1" x14ac:dyDescent="0.2">
      <c r="A380" s="11">
        <v>35</v>
      </c>
      <c r="B380" s="16">
        <v>1332206.3999999999</v>
      </c>
      <c r="C380" s="13">
        <v>45111</v>
      </c>
      <c r="D380" s="11" t="s">
        <v>233</v>
      </c>
      <c r="E380" s="14">
        <v>104160</v>
      </c>
      <c r="F380" s="11" t="s">
        <v>22</v>
      </c>
      <c r="G380" s="5">
        <v>12.79</v>
      </c>
      <c r="H380" s="36">
        <f t="shared" si="5"/>
        <v>46627224</v>
      </c>
      <c r="I380" s="44" t="s">
        <v>408</v>
      </c>
    </row>
    <row r="381" spans="1:9" hidden="1" x14ac:dyDescent="0.2">
      <c r="A381" s="11">
        <v>34</v>
      </c>
      <c r="B381" s="16">
        <v>132555.56</v>
      </c>
      <c r="C381" s="13">
        <v>45112</v>
      </c>
      <c r="D381" s="11" t="s">
        <v>234</v>
      </c>
      <c r="E381" s="14">
        <v>10364</v>
      </c>
      <c r="F381" s="11" t="s">
        <v>22</v>
      </c>
      <c r="G381" s="5">
        <v>12.79</v>
      </c>
      <c r="H381" s="36">
        <f t="shared" si="5"/>
        <v>4506889.04</v>
      </c>
      <c r="I381" s="44" t="s">
        <v>408</v>
      </c>
    </row>
    <row r="382" spans="1:9" hidden="1" x14ac:dyDescent="0.2">
      <c r="A382" s="11">
        <v>34</v>
      </c>
      <c r="B382" s="16">
        <v>1039366.56</v>
      </c>
      <c r="C382" s="13">
        <v>45112</v>
      </c>
      <c r="D382" s="11" t="s">
        <v>233</v>
      </c>
      <c r="E382" s="14">
        <v>81264</v>
      </c>
      <c r="F382" s="11" t="s">
        <v>22</v>
      </c>
      <c r="G382" s="5">
        <v>12.79</v>
      </c>
      <c r="H382" s="36">
        <f t="shared" si="5"/>
        <v>35338463.039999999</v>
      </c>
      <c r="I382" s="44" t="s">
        <v>408</v>
      </c>
    </row>
    <row r="383" spans="1:9" hidden="1" x14ac:dyDescent="0.2">
      <c r="A383" s="11">
        <v>33</v>
      </c>
      <c r="B383" s="16">
        <v>360914.4</v>
      </c>
      <c r="C383" s="13">
        <v>45113</v>
      </c>
      <c r="D383" s="11" t="s">
        <v>235</v>
      </c>
      <c r="E383" s="14">
        <v>12936</v>
      </c>
      <c r="F383" s="11" t="s">
        <v>22</v>
      </c>
      <c r="G383" s="5">
        <v>27.9</v>
      </c>
      <c r="H383" s="36">
        <f t="shared" si="5"/>
        <v>11910175.200000001</v>
      </c>
      <c r="I383" s="44" t="s">
        <v>408</v>
      </c>
    </row>
    <row r="384" spans="1:9" hidden="1" x14ac:dyDescent="0.2">
      <c r="A384" s="11">
        <v>33</v>
      </c>
      <c r="B384" s="16">
        <v>1091336.3999999999</v>
      </c>
      <c r="C384" s="13">
        <v>45113</v>
      </c>
      <c r="D384" s="11" t="s">
        <v>235</v>
      </c>
      <c r="E384" s="14">
        <v>39116</v>
      </c>
      <c r="F384" s="11" t="s">
        <v>22</v>
      </c>
      <c r="G384" s="5">
        <v>27.9</v>
      </c>
      <c r="H384" s="36">
        <f t="shared" si="5"/>
        <v>36014101.199999996</v>
      </c>
      <c r="I384" s="44" t="s">
        <v>408</v>
      </c>
    </row>
    <row r="385" spans="1:9" hidden="1" x14ac:dyDescent="0.2">
      <c r="A385" s="11">
        <v>27</v>
      </c>
      <c r="B385" s="16">
        <v>1332206.3999999999</v>
      </c>
      <c r="C385" s="13">
        <v>45119</v>
      </c>
      <c r="D385" s="11" t="s">
        <v>233</v>
      </c>
      <c r="E385" s="14">
        <v>104160</v>
      </c>
      <c r="F385" s="11" t="s">
        <v>23</v>
      </c>
      <c r="G385" s="5">
        <v>12.79</v>
      </c>
      <c r="H385" s="36">
        <f t="shared" si="5"/>
        <v>35969572.799999997</v>
      </c>
      <c r="I385" s="44" t="s">
        <v>408</v>
      </c>
    </row>
    <row r="386" spans="1:9" hidden="1" x14ac:dyDescent="0.2">
      <c r="A386" s="11">
        <v>21</v>
      </c>
      <c r="B386" s="16">
        <v>319839.53000000003</v>
      </c>
      <c r="C386" s="13">
        <v>45125</v>
      </c>
      <c r="D386" s="11" t="s">
        <v>233</v>
      </c>
      <c r="E386" s="14">
        <v>25007</v>
      </c>
      <c r="F386" s="11" t="s">
        <v>23</v>
      </c>
      <c r="G386" s="5">
        <v>12.79</v>
      </c>
      <c r="H386" s="36">
        <f t="shared" si="5"/>
        <v>6716630.1300000008</v>
      </c>
      <c r="I386" s="44" t="s">
        <v>408</v>
      </c>
    </row>
    <row r="387" spans="1:9" hidden="1" x14ac:dyDescent="0.2">
      <c r="A387" s="11">
        <v>21</v>
      </c>
      <c r="B387" s="16">
        <v>246591.2</v>
      </c>
      <c r="C387" s="13">
        <v>45125</v>
      </c>
      <c r="D387" s="11" t="s">
        <v>234</v>
      </c>
      <c r="E387" s="14">
        <v>19280</v>
      </c>
      <c r="F387" s="11" t="s">
        <v>23</v>
      </c>
      <c r="G387" s="5">
        <v>12.79</v>
      </c>
      <c r="H387" s="36">
        <f t="shared" ref="H387:H450" si="6">B387*A387</f>
        <v>5178415.2</v>
      </c>
      <c r="I387" s="44" t="s">
        <v>408</v>
      </c>
    </row>
    <row r="388" spans="1:9" hidden="1" x14ac:dyDescent="0.2">
      <c r="A388" s="11">
        <v>21</v>
      </c>
      <c r="B388" s="16">
        <v>278515.03999999998</v>
      </c>
      <c r="C388" s="13">
        <v>45125</v>
      </c>
      <c r="D388" s="11" t="s">
        <v>233</v>
      </c>
      <c r="E388" s="14">
        <v>21776</v>
      </c>
      <c r="F388" s="11" t="s">
        <v>23</v>
      </c>
      <c r="G388" s="5">
        <v>12.79</v>
      </c>
      <c r="H388" s="36">
        <f t="shared" si="6"/>
        <v>5848815.8399999999</v>
      </c>
      <c r="I388" s="44" t="s">
        <v>408</v>
      </c>
    </row>
    <row r="389" spans="1:9" hidden="1" x14ac:dyDescent="0.2">
      <c r="A389" s="11">
        <v>21</v>
      </c>
      <c r="B389" s="16">
        <v>175888.08</v>
      </c>
      <c r="C389" s="13">
        <v>45125</v>
      </c>
      <c r="D389" s="11" t="s">
        <v>234</v>
      </c>
      <c r="E389" s="14">
        <v>13752</v>
      </c>
      <c r="F389" s="11" t="s">
        <v>23</v>
      </c>
      <c r="G389" s="5">
        <v>12.79</v>
      </c>
      <c r="H389" s="36">
        <f t="shared" si="6"/>
        <v>3693649.6799999997</v>
      </c>
      <c r="I389" s="44" t="s">
        <v>408</v>
      </c>
    </row>
    <row r="390" spans="1:9" hidden="1" x14ac:dyDescent="0.2">
      <c r="A390" s="11">
        <v>20</v>
      </c>
      <c r="B390" s="16">
        <v>673265.6</v>
      </c>
      <c r="C390" s="13">
        <v>45126</v>
      </c>
      <c r="D390" s="11" t="s">
        <v>234</v>
      </c>
      <c r="E390" s="14">
        <v>52640</v>
      </c>
      <c r="F390" s="11" t="s">
        <v>23</v>
      </c>
      <c r="G390" s="5">
        <v>12.79</v>
      </c>
      <c r="H390" s="36">
        <f t="shared" si="6"/>
        <v>13465312</v>
      </c>
      <c r="I390" s="44" t="s">
        <v>408</v>
      </c>
    </row>
    <row r="391" spans="1:9" hidden="1" x14ac:dyDescent="0.2">
      <c r="A391" s="11">
        <v>20</v>
      </c>
      <c r="B391" s="16">
        <v>1332206.3999999999</v>
      </c>
      <c r="C391" s="13">
        <v>45126</v>
      </c>
      <c r="D391" s="11" t="s">
        <v>233</v>
      </c>
      <c r="E391" s="14">
        <v>104160</v>
      </c>
      <c r="F391" s="11" t="s">
        <v>23</v>
      </c>
      <c r="G391" s="5">
        <v>12.79</v>
      </c>
      <c r="H391" s="36">
        <f t="shared" si="6"/>
        <v>26644128</v>
      </c>
      <c r="I391" s="44" t="s">
        <v>408</v>
      </c>
    </row>
    <row r="392" spans="1:9" hidden="1" x14ac:dyDescent="0.2">
      <c r="A392" s="11">
        <v>19</v>
      </c>
      <c r="B392" s="16">
        <v>1185861.6000000001</v>
      </c>
      <c r="C392" s="13">
        <v>45127</v>
      </c>
      <c r="D392" s="11" t="s">
        <v>235</v>
      </c>
      <c r="E392" s="14">
        <v>42504</v>
      </c>
      <c r="F392" s="11" t="s">
        <v>23</v>
      </c>
      <c r="G392" s="5">
        <v>27.9</v>
      </c>
      <c r="H392" s="36">
        <f t="shared" si="6"/>
        <v>22531370.400000002</v>
      </c>
      <c r="I392" s="44" t="s">
        <v>408</v>
      </c>
    </row>
    <row r="393" spans="1:9" hidden="1" x14ac:dyDescent="0.2">
      <c r="A393" s="11">
        <v>19</v>
      </c>
      <c r="B393" s="16">
        <v>266389.2</v>
      </c>
      <c r="C393" s="13">
        <v>45127</v>
      </c>
      <c r="D393" s="11" t="s">
        <v>235</v>
      </c>
      <c r="E393" s="14">
        <v>9548</v>
      </c>
      <c r="F393" s="11" t="s">
        <v>23</v>
      </c>
      <c r="G393" s="5">
        <v>27.9</v>
      </c>
      <c r="H393" s="36">
        <f t="shared" si="6"/>
        <v>5061394.8</v>
      </c>
      <c r="I393" s="44" t="s">
        <v>408</v>
      </c>
    </row>
    <row r="394" spans="1:9" hidden="1" x14ac:dyDescent="0.2">
      <c r="A394" s="11">
        <v>19</v>
      </c>
      <c r="B394" s="16">
        <v>658940.80000000005</v>
      </c>
      <c r="C394" s="13">
        <v>45127</v>
      </c>
      <c r="D394" s="11" t="s">
        <v>234</v>
      </c>
      <c r="E394" s="14">
        <v>51520</v>
      </c>
      <c r="F394" s="11" t="s">
        <v>23</v>
      </c>
      <c r="G394" s="5">
        <v>12.79</v>
      </c>
      <c r="H394" s="36">
        <f t="shared" si="6"/>
        <v>12519875.200000001</v>
      </c>
      <c r="I394" s="44" t="s">
        <v>408</v>
      </c>
    </row>
    <row r="395" spans="1:9" hidden="1" x14ac:dyDescent="0.2">
      <c r="A395" s="11">
        <v>13</v>
      </c>
      <c r="B395" s="16">
        <v>438253.2</v>
      </c>
      <c r="C395" s="13">
        <v>45133</v>
      </c>
      <c r="D395" s="11" t="s">
        <v>235</v>
      </c>
      <c r="E395" s="14">
        <v>15708</v>
      </c>
      <c r="F395" s="11" t="s">
        <v>23</v>
      </c>
      <c r="G395" s="5">
        <v>27.9</v>
      </c>
      <c r="H395" s="36">
        <f t="shared" si="6"/>
        <v>5697291.6000000006</v>
      </c>
      <c r="I395" s="44" t="s">
        <v>408</v>
      </c>
    </row>
    <row r="396" spans="1:9" hidden="1" x14ac:dyDescent="0.2">
      <c r="A396" s="11">
        <v>13</v>
      </c>
      <c r="B396" s="16">
        <v>1013997.6</v>
      </c>
      <c r="C396" s="13">
        <v>45133</v>
      </c>
      <c r="D396" s="11" t="s">
        <v>235</v>
      </c>
      <c r="E396" s="14">
        <v>36344</v>
      </c>
      <c r="F396" s="11" t="s">
        <v>23</v>
      </c>
      <c r="G396" s="5">
        <v>27.9</v>
      </c>
      <c r="H396" s="36">
        <f t="shared" si="6"/>
        <v>13181968.799999999</v>
      </c>
      <c r="I396" s="44" t="s">
        <v>408</v>
      </c>
    </row>
    <row r="397" spans="1:9" hidden="1" x14ac:dyDescent="0.2">
      <c r="A397" s="11">
        <v>13</v>
      </c>
      <c r="B397" s="16">
        <v>658940.80000000005</v>
      </c>
      <c r="C397" s="13">
        <v>45133</v>
      </c>
      <c r="D397" s="11" t="s">
        <v>234</v>
      </c>
      <c r="E397" s="14">
        <v>51520</v>
      </c>
      <c r="F397" s="11" t="s">
        <v>23</v>
      </c>
      <c r="G397" s="5">
        <v>12.79</v>
      </c>
      <c r="H397" s="36">
        <f t="shared" si="6"/>
        <v>8566230.4000000004</v>
      </c>
      <c r="I397" s="44" t="s">
        <v>408</v>
      </c>
    </row>
    <row r="398" spans="1:9" hidden="1" x14ac:dyDescent="0.2">
      <c r="A398" s="11">
        <v>12</v>
      </c>
      <c r="B398" s="16">
        <v>658940.80000000005</v>
      </c>
      <c r="C398" s="13">
        <v>45134</v>
      </c>
      <c r="D398" s="11" t="s">
        <v>234</v>
      </c>
      <c r="E398" s="14">
        <v>51520</v>
      </c>
      <c r="F398" s="11" t="s">
        <v>23</v>
      </c>
      <c r="G398" s="5">
        <v>12.79</v>
      </c>
      <c r="H398" s="36">
        <f t="shared" si="6"/>
        <v>7907289.6000000006</v>
      </c>
      <c r="I398" s="44" t="s">
        <v>408</v>
      </c>
    </row>
    <row r="399" spans="1:9" hidden="1" x14ac:dyDescent="0.2">
      <c r="A399" s="11">
        <v>12</v>
      </c>
      <c r="B399" s="16">
        <v>165758.39999999999</v>
      </c>
      <c r="C399" s="13">
        <v>45134</v>
      </c>
      <c r="D399" s="11" t="s">
        <v>234</v>
      </c>
      <c r="E399" s="14">
        <v>12960</v>
      </c>
      <c r="F399" s="11" t="s">
        <v>23</v>
      </c>
      <c r="G399" s="5">
        <v>12.79</v>
      </c>
      <c r="H399" s="36">
        <f t="shared" si="6"/>
        <v>1989100.7999999998</v>
      </c>
      <c r="I399" s="44" t="s">
        <v>408</v>
      </c>
    </row>
    <row r="400" spans="1:9" hidden="1" x14ac:dyDescent="0.2">
      <c r="A400" s="11">
        <v>497</v>
      </c>
      <c r="B400" s="16">
        <v>160</v>
      </c>
      <c r="C400" s="13">
        <v>44649</v>
      </c>
      <c r="D400" s="11" t="s">
        <v>326</v>
      </c>
      <c r="E400" s="14">
        <v>4000</v>
      </c>
      <c r="F400" s="11" t="s">
        <v>21</v>
      </c>
      <c r="G400" s="5">
        <v>0.04</v>
      </c>
      <c r="H400" s="36">
        <f t="shared" si="6"/>
        <v>79520</v>
      </c>
      <c r="I400" s="44" t="s">
        <v>409</v>
      </c>
    </row>
    <row r="401" spans="1:9" hidden="1" x14ac:dyDescent="0.2">
      <c r="A401" s="11">
        <v>203</v>
      </c>
      <c r="B401" s="16">
        <v>132617.51999999999</v>
      </c>
      <c r="C401" s="13">
        <v>44943</v>
      </c>
      <c r="D401" s="11" t="s">
        <v>257</v>
      </c>
      <c r="E401" s="14">
        <v>588</v>
      </c>
      <c r="F401" s="11" t="s">
        <v>21</v>
      </c>
      <c r="G401" s="5">
        <v>225.54</v>
      </c>
      <c r="H401" s="36">
        <f t="shared" si="6"/>
        <v>26921356.559999999</v>
      </c>
      <c r="I401" s="44" t="s">
        <v>406</v>
      </c>
    </row>
    <row r="402" spans="1:9" hidden="1" x14ac:dyDescent="0.2">
      <c r="A402" s="11">
        <v>187</v>
      </c>
      <c r="B402" s="16">
        <v>69778.8</v>
      </c>
      <c r="C402" s="13">
        <v>44959</v>
      </c>
      <c r="D402" s="11" t="s">
        <v>264</v>
      </c>
      <c r="E402" s="14">
        <v>1512</v>
      </c>
      <c r="F402" s="11" t="s">
        <v>21</v>
      </c>
      <c r="G402" s="5">
        <v>46.15</v>
      </c>
      <c r="H402" s="36">
        <f t="shared" si="6"/>
        <v>13048635.6</v>
      </c>
      <c r="I402" s="44" t="s">
        <v>405</v>
      </c>
    </row>
    <row r="403" spans="1:9" hidden="1" x14ac:dyDescent="0.2">
      <c r="A403" s="11">
        <v>84</v>
      </c>
      <c r="B403" s="16">
        <v>281930.88</v>
      </c>
      <c r="C403" s="13">
        <v>45062</v>
      </c>
      <c r="D403" s="11" t="s">
        <v>246</v>
      </c>
      <c r="E403" s="14">
        <v>1848</v>
      </c>
      <c r="F403" s="11" t="s">
        <v>24</v>
      </c>
      <c r="G403" s="5">
        <v>152.56</v>
      </c>
      <c r="H403" s="36">
        <f t="shared" si="6"/>
        <v>23682193.920000002</v>
      </c>
      <c r="I403" s="44" t="s">
        <v>410</v>
      </c>
    </row>
    <row r="404" spans="1:9" hidden="1" x14ac:dyDescent="0.2">
      <c r="A404" s="11">
        <v>315</v>
      </c>
      <c r="B404" s="16">
        <v>34345.919999999998</v>
      </c>
      <c r="C404" s="13">
        <v>44831</v>
      </c>
      <c r="D404" s="11" t="s">
        <v>327</v>
      </c>
      <c r="E404" s="14">
        <v>84</v>
      </c>
      <c r="F404" s="11" t="s">
        <v>21</v>
      </c>
      <c r="G404" s="5">
        <v>408.88</v>
      </c>
      <c r="H404" s="36">
        <f t="shared" si="6"/>
        <v>10818964.799999999</v>
      </c>
      <c r="I404" s="44" t="s">
        <v>411</v>
      </c>
    </row>
    <row r="405" spans="1:9" hidden="1" x14ac:dyDescent="0.2">
      <c r="A405" s="11">
        <v>315</v>
      </c>
      <c r="B405" s="16">
        <v>22670.9</v>
      </c>
      <c r="C405" s="13">
        <v>44831</v>
      </c>
      <c r="D405" s="11" t="s">
        <v>296</v>
      </c>
      <c r="E405" s="14">
        <v>70</v>
      </c>
      <c r="F405" s="11" t="s">
        <v>21</v>
      </c>
      <c r="G405" s="5">
        <v>323.87</v>
      </c>
      <c r="H405" s="36">
        <f t="shared" si="6"/>
        <v>7141333.5</v>
      </c>
      <c r="I405" s="44" t="s">
        <v>411</v>
      </c>
    </row>
    <row r="406" spans="1:9" hidden="1" x14ac:dyDescent="0.2">
      <c r="A406" s="11">
        <v>762</v>
      </c>
      <c r="B406" s="16">
        <v>41576.400000000001</v>
      </c>
      <c r="C406" s="13">
        <v>44384</v>
      </c>
      <c r="D406" s="11" t="s">
        <v>328</v>
      </c>
      <c r="E406" s="14">
        <v>120</v>
      </c>
      <c r="F406" s="11" t="s">
        <v>21</v>
      </c>
      <c r="G406" s="5">
        <v>346.47</v>
      </c>
      <c r="H406" s="36">
        <f t="shared" si="6"/>
        <v>31681216.800000001</v>
      </c>
      <c r="I406" s="44" t="s">
        <v>412</v>
      </c>
    </row>
    <row r="407" spans="1:9" hidden="1" x14ac:dyDescent="0.2">
      <c r="A407" s="11">
        <v>497</v>
      </c>
      <c r="B407" s="16">
        <v>4960</v>
      </c>
      <c r="C407" s="13">
        <v>44649</v>
      </c>
      <c r="D407" s="11" t="s">
        <v>326</v>
      </c>
      <c r="E407" s="14">
        <v>124000</v>
      </c>
      <c r="F407" s="11" t="s">
        <v>21</v>
      </c>
      <c r="G407" s="5">
        <v>0.04</v>
      </c>
      <c r="H407" s="36">
        <f t="shared" si="6"/>
        <v>2465120</v>
      </c>
      <c r="I407" s="44" t="s">
        <v>409</v>
      </c>
    </row>
    <row r="408" spans="1:9" hidden="1" x14ac:dyDescent="0.2">
      <c r="A408" s="11">
        <v>60</v>
      </c>
      <c r="B408" s="16">
        <v>139063.67999999999</v>
      </c>
      <c r="C408" s="13">
        <v>45086</v>
      </c>
      <c r="D408" s="11" t="s">
        <v>260</v>
      </c>
      <c r="E408" s="14">
        <v>1008</v>
      </c>
      <c r="F408" s="11" t="s">
        <v>22</v>
      </c>
      <c r="G408" s="5">
        <v>137.96</v>
      </c>
      <c r="H408" s="36">
        <f t="shared" si="6"/>
        <v>8343820.7999999998</v>
      </c>
      <c r="I408" s="44" t="s">
        <v>407</v>
      </c>
    </row>
    <row r="409" spans="1:9" hidden="1" x14ac:dyDescent="0.2">
      <c r="A409" s="11">
        <v>55</v>
      </c>
      <c r="B409" s="16">
        <v>187953.92000000001</v>
      </c>
      <c r="C409" s="13">
        <v>45091</v>
      </c>
      <c r="D409" s="11" t="s">
        <v>246</v>
      </c>
      <c r="E409" s="14">
        <v>1232</v>
      </c>
      <c r="F409" s="11" t="s">
        <v>22</v>
      </c>
      <c r="G409" s="5">
        <v>152.56</v>
      </c>
      <c r="H409" s="36">
        <f t="shared" si="6"/>
        <v>10337465.600000001</v>
      </c>
      <c r="I409" s="44" t="s">
        <v>407</v>
      </c>
    </row>
    <row r="410" spans="1:9" hidden="1" x14ac:dyDescent="0.2">
      <c r="A410" s="11">
        <v>55</v>
      </c>
      <c r="B410" s="16">
        <v>421419.6</v>
      </c>
      <c r="C410" s="13">
        <v>45091</v>
      </c>
      <c r="D410" s="11" t="s">
        <v>286</v>
      </c>
      <c r="E410" s="14">
        <v>2520</v>
      </c>
      <c r="F410" s="11" t="s">
        <v>22</v>
      </c>
      <c r="G410" s="5">
        <v>167.23</v>
      </c>
      <c r="H410" s="36">
        <f t="shared" si="6"/>
        <v>23178078</v>
      </c>
      <c r="I410" s="44" t="s">
        <v>407</v>
      </c>
    </row>
    <row r="411" spans="1:9" hidden="1" x14ac:dyDescent="0.2">
      <c r="A411" s="11">
        <v>49</v>
      </c>
      <c r="B411" s="16">
        <v>4459</v>
      </c>
      <c r="C411" s="13">
        <v>45097</v>
      </c>
      <c r="D411" s="11" t="s">
        <v>250</v>
      </c>
      <c r="E411" s="14">
        <v>1820</v>
      </c>
      <c r="F411" s="11" t="s">
        <v>22</v>
      </c>
      <c r="G411" s="5">
        <v>2.4500000000000002</v>
      </c>
      <c r="H411" s="36">
        <f t="shared" si="6"/>
        <v>218491</v>
      </c>
      <c r="I411" s="44" t="s">
        <v>407</v>
      </c>
    </row>
    <row r="412" spans="1:9" hidden="1" x14ac:dyDescent="0.2">
      <c r="A412" s="11">
        <v>40</v>
      </c>
      <c r="B412" s="16">
        <v>182602.56</v>
      </c>
      <c r="C412" s="13">
        <v>45106</v>
      </c>
      <c r="D412" s="11" t="s">
        <v>245</v>
      </c>
      <c r="E412" s="14">
        <v>672</v>
      </c>
      <c r="F412" s="11" t="s">
        <v>22</v>
      </c>
      <c r="G412" s="5">
        <v>271.73</v>
      </c>
      <c r="H412" s="36">
        <f t="shared" si="6"/>
        <v>7304102.4000000004</v>
      </c>
      <c r="I412" s="44" t="s">
        <v>407</v>
      </c>
    </row>
    <row r="413" spans="1:9" hidden="1" x14ac:dyDescent="0.2">
      <c r="A413" s="11">
        <v>40</v>
      </c>
      <c r="B413" s="16">
        <v>2140908</v>
      </c>
      <c r="C413" s="13">
        <v>45106</v>
      </c>
      <c r="D413" s="11" t="s">
        <v>259</v>
      </c>
      <c r="E413" s="14">
        <v>6468</v>
      </c>
      <c r="F413" s="11" t="s">
        <v>22</v>
      </c>
      <c r="G413" s="5">
        <v>331</v>
      </c>
      <c r="H413" s="36">
        <f t="shared" si="6"/>
        <v>85636320</v>
      </c>
      <c r="I413" s="44" t="s">
        <v>407</v>
      </c>
    </row>
    <row r="414" spans="1:9" hidden="1" x14ac:dyDescent="0.2">
      <c r="A414" s="11">
        <v>34</v>
      </c>
      <c r="B414" s="16">
        <v>54280.800000000003</v>
      </c>
      <c r="C414" s="13">
        <v>45112</v>
      </c>
      <c r="D414" s="11" t="s">
        <v>241</v>
      </c>
      <c r="E414" s="14">
        <v>3780</v>
      </c>
      <c r="F414" s="11" t="s">
        <v>22</v>
      </c>
      <c r="G414" s="5">
        <v>14.36</v>
      </c>
      <c r="H414" s="36">
        <f t="shared" si="6"/>
        <v>1845547.2000000002</v>
      </c>
      <c r="I414" s="44" t="s">
        <v>408</v>
      </c>
    </row>
    <row r="415" spans="1:9" hidden="1" x14ac:dyDescent="0.2">
      <c r="A415" s="11">
        <v>13</v>
      </c>
      <c r="B415" s="16">
        <v>145971</v>
      </c>
      <c r="C415" s="13">
        <v>45133</v>
      </c>
      <c r="D415" s="11" t="s">
        <v>259</v>
      </c>
      <c r="E415" s="14">
        <v>441</v>
      </c>
      <c r="F415" s="11" t="s">
        <v>23</v>
      </c>
      <c r="G415" s="5">
        <v>331</v>
      </c>
      <c r="H415" s="36">
        <f t="shared" si="6"/>
        <v>1897623</v>
      </c>
      <c r="I415" s="44" t="s">
        <v>408</v>
      </c>
    </row>
    <row r="416" spans="1:9" hidden="1" x14ac:dyDescent="0.2">
      <c r="A416" s="11">
        <v>12</v>
      </c>
      <c r="B416" s="16">
        <v>174717.9</v>
      </c>
      <c r="C416" s="13">
        <v>45134</v>
      </c>
      <c r="D416" s="11" t="s">
        <v>329</v>
      </c>
      <c r="E416" s="14">
        <v>630</v>
      </c>
      <c r="F416" s="11" t="s">
        <v>23</v>
      </c>
      <c r="G416" s="5">
        <v>277.33</v>
      </c>
      <c r="H416" s="36">
        <f t="shared" si="6"/>
        <v>2096614.7999999998</v>
      </c>
      <c r="I416" s="44" t="s">
        <v>408</v>
      </c>
    </row>
    <row r="417" spans="1:9" hidden="1" x14ac:dyDescent="0.2">
      <c r="A417" s="11">
        <v>12</v>
      </c>
      <c r="B417" s="16">
        <v>174717.9</v>
      </c>
      <c r="C417" s="13">
        <v>45134</v>
      </c>
      <c r="D417" s="11" t="s">
        <v>329</v>
      </c>
      <c r="E417" s="14">
        <v>630</v>
      </c>
      <c r="F417" s="11" t="s">
        <v>23</v>
      </c>
      <c r="G417" s="5">
        <v>277.33</v>
      </c>
      <c r="H417" s="36">
        <f t="shared" si="6"/>
        <v>2096614.7999999998</v>
      </c>
      <c r="I417" s="44" t="s">
        <v>408</v>
      </c>
    </row>
    <row r="418" spans="1:9" hidden="1" x14ac:dyDescent="0.2">
      <c r="A418" s="11">
        <v>12</v>
      </c>
      <c r="B418" s="16">
        <v>174717.9</v>
      </c>
      <c r="C418" s="13">
        <v>45134</v>
      </c>
      <c r="D418" s="11" t="s">
        <v>329</v>
      </c>
      <c r="E418" s="14">
        <v>630</v>
      </c>
      <c r="F418" s="11" t="s">
        <v>23</v>
      </c>
      <c r="G418" s="5">
        <v>277.33</v>
      </c>
      <c r="H418" s="36">
        <f t="shared" si="6"/>
        <v>2096614.7999999998</v>
      </c>
      <c r="I418" s="44" t="s">
        <v>408</v>
      </c>
    </row>
    <row r="419" spans="1:9" hidden="1" x14ac:dyDescent="0.2">
      <c r="A419" s="11">
        <v>12</v>
      </c>
      <c r="B419" s="16">
        <v>349435.8</v>
      </c>
      <c r="C419" s="13">
        <v>45134</v>
      </c>
      <c r="D419" s="11" t="s">
        <v>329</v>
      </c>
      <c r="E419" s="14">
        <v>1260</v>
      </c>
      <c r="F419" s="11" t="s">
        <v>23</v>
      </c>
      <c r="G419" s="5">
        <v>277.33</v>
      </c>
      <c r="H419" s="36">
        <f t="shared" si="6"/>
        <v>4193229.5999999996</v>
      </c>
      <c r="I419" s="44" t="s">
        <v>408</v>
      </c>
    </row>
    <row r="420" spans="1:9" hidden="1" x14ac:dyDescent="0.2">
      <c r="A420" s="11">
        <v>12</v>
      </c>
      <c r="B420" s="16">
        <v>153086.6</v>
      </c>
      <c r="C420" s="13">
        <v>45134</v>
      </c>
      <c r="D420" s="11" t="s">
        <v>330</v>
      </c>
      <c r="E420" s="14">
        <v>655</v>
      </c>
      <c r="F420" s="11" t="s">
        <v>23</v>
      </c>
      <c r="G420" s="5">
        <v>233.72</v>
      </c>
      <c r="H420" s="36">
        <f t="shared" si="6"/>
        <v>1837039.2000000002</v>
      </c>
      <c r="I420" s="44" t="s">
        <v>408</v>
      </c>
    </row>
    <row r="421" spans="1:9" hidden="1" x14ac:dyDescent="0.2">
      <c r="A421" s="11">
        <v>12</v>
      </c>
      <c r="B421" s="16">
        <v>33889.4</v>
      </c>
      <c r="C421" s="13">
        <v>45134</v>
      </c>
      <c r="D421" s="11" t="s">
        <v>330</v>
      </c>
      <c r="E421" s="14">
        <v>145</v>
      </c>
      <c r="F421" s="11" t="s">
        <v>23</v>
      </c>
      <c r="G421" s="5">
        <v>233.72</v>
      </c>
      <c r="H421" s="36">
        <f t="shared" si="6"/>
        <v>406672.80000000005</v>
      </c>
      <c r="I421" s="44" t="s">
        <v>408</v>
      </c>
    </row>
    <row r="422" spans="1:9" hidden="1" x14ac:dyDescent="0.2">
      <c r="A422" s="11">
        <v>11</v>
      </c>
      <c r="B422" s="16">
        <v>97314</v>
      </c>
      <c r="C422" s="13">
        <v>45135</v>
      </c>
      <c r="D422" s="11" t="s">
        <v>259</v>
      </c>
      <c r="E422" s="14">
        <v>294</v>
      </c>
      <c r="F422" s="11" t="s">
        <v>23</v>
      </c>
      <c r="G422" s="5">
        <v>331</v>
      </c>
      <c r="H422" s="36">
        <f t="shared" si="6"/>
        <v>1070454</v>
      </c>
      <c r="I422" s="44" t="s">
        <v>408</v>
      </c>
    </row>
    <row r="423" spans="1:9" hidden="1" x14ac:dyDescent="0.2">
      <c r="A423" s="11">
        <v>11</v>
      </c>
      <c r="B423" s="16">
        <v>583884</v>
      </c>
      <c r="C423" s="13">
        <v>45135</v>
      </c>
      <c r="D423" s="11" t="s">
        <v>259</v>
      </c>
      <c r="E423" s="14">
        <v>1764</v>
      </c>
      <c r="F423" s="11" t="s">
        <v>23</v>
      </c>
      <c r="G423" s="5">
        <v>331</v>
      </c>
      <c r="H423" s="36">
        <f t="shared" si="6"/>
        <v>6422724</v>
      </c>
      <c r="I423" s="44" t="s">
        <v>408</v>
      </c>
    </row>
    <row r="424" spans="1:9" hidden="1" x14ac:dyDescent="0.2">
      <c r="A424" s="11">
        <v>6</v>
      </c>
      <c r="B424" s="16">
        <v>132617.51999999999</v>
      </c>
      <c r="C424" s="13">
        <v>45140</v>
      </c>
      <c r="D424" s="11" t="s">
        <v>257</v>
      </c>
      <c r="E424" s="14">
        <v>588</v>
      </c>
      <c r="F424" s="11" t="s">
        <v>23</v>
      </c>
      <c r="G424" s="5">
        <v>225.54</v>
      </c>
      <c r="H424" s="36">
        <f t="shared" si="6"/>
        <v>795705.11999999988</v>
      </c>
      <c r="I424" s="44" t="s">
        <v>413</v>
      </c>
    </row>
    <row r="425" spans="1:9" hidden="1" x14ac:dyDescent="0.2">
      <c r="A425" s="11">
        <v>6</v>
      </c>
      <c r="B425" s="16">
        <v>113131.2</v>
      </c>
      <c r="C425" s="13">
        <v>45140</v>
      </c>
      <c r="D425" s="11" t="s">
        <v>266</v>
      </c>
      <c r="E425" s="14">
        <v>1176</v>
      </c>
      <c r="F425" s="11" t="s">
        <v>23</v>
      </c>
      <c r="G425" s="5">
        <v>96.2</v>
      </c>
      <c r="H425" s="36">
        <f t="shared" si="6"/>
        <v>678787.2</v>
      </c>
      <c r="I425" s="44" t="s">
        <v>413</v>
      </c>
    </row>
    <row r="426" spans="1:9" hidden="1" x14ac:dyDescent="0.2">
      <c r="A426" s="11">
        <v>0</v>
      </c>
      <c r="B426" s="16">
        <v>120435.84</v>
      </c>
      <c r="C426" s="13">
        <v>45146</v>
      </c>
      <c r="D426" s="11" t="s">
        <v>331</v>
      </c>
      <c r="E426" s="14">
        <v>1008</v>
      </c>
      <c r="F426" s="11" t="s">
        <v>23</v>
      </c>
      <c r="G426" s="5">
        <v>119.48</v>
      </c>
      <c r="H426" s="36">
        <f t="shared" si="6"/>
        <v>0</v>
      </c>
      <c r="I426" s="44" t="s">
        <v>413</v>
      </c>
    </row>
    <row r="427" spans="1:9" hidden="1" x14ac:dyDescent="0.2">
      <c r="A427" s="11">
        <v>0</v>
      </c>
      <c r="B427" s="16">
        <v>113131.2</v>
      </c>
      <c r="C427" s="13">
        <v>45140</v>
      </c>
      <c r="D427" s="11" t="s">
        <v>266</v>
      </c>
      <c r="E427" s="14">
        <v>1176</v>
      </c>
      <c r="F427" s="11" t="s">
        <v>23</v>
      </c>
      <c r="G427" s="5">
        <v>96.2</v>
      </c>
      <c r="H427" s="36">
        <f t="shared" si="6"/>
        <v>0</v>
      </c>
      <c r="I427" s="44" t="s">
        <v>413</v>
      </c>
    </row>
    <row r="428" spans="1:9" hidden="1" x14ac:dyDescent="0.2">
      <c r="A428" s="11">
        <v>377</v>
      </c>
      <c r="B428" s="16">
        <v>47271.6</v>
      </c>
      <c r="C428" s="13">
        <v>44769</v>
      </c>
      <c r="D428" s="11" t="s">
        <v>315</v>
      </c>
      <c r="E428" s="14">
        <v>810</v>
      </c>
      <c r="F428" s="11" t="s">
        <v>21</v>
      </c>
      <c r="G428" s="5">
        <v>58.36</v>
      </c>
      <c r="H428" s="36">
        <f t="shared" si="6"/>
        <v>17821393.199999999</v>
      </c>
      <c r="I428" s="44" t="s">
        <v>414</v>
      </c>
    </row>
    <row r="429" spans="1:9" hidden="1" x14ac:dyDescent="0.2">
      <c r="A429" s="11">
        <v>274</v>
      </c>
      <c r="B429" s="16">
        <v>304113.96000000002</v>
      </c>
      <c r="C429" s="13">
        <v>44872</v>
      </c>
      <c r="D429" s="11" t="s">
        <v>315</v>
      </c>
      <c r="E429" s="14">
        <v>5211</v>
      </c>
      <c r="F429" s="11" t="s">
        <v>21</v>
      </c>
      <c r="G429" s="5">
        <v>58.36</v>
      </c>
      <c r="H429" s="36">
        <f t="shared" si="6"/>
        <v>83327225.040000007</v>
      </c>
      <c r="I429" s="44" t="s">
        <v>415</v>
      </c>
    </row>
    <row r="430" spans="1:9" hidden="1" x14ac:dyDescent="0.2">
      <c r="A430" s="11">
        <v>274</v>
      </c>
      <c r="B430" s="16">
        <v>354537</v>
      </c>
      <c r="C430" s="13">
        <v>44872</v>
      </c>
      <c r="D430" s="11" t="s">
        <v>315</v>
      </c>
      <c r="E430" s="14">
        <v>6075</v>
      </c>
      <c r="F430" s="11" t="s">
        <v>21</v>
      </c>
      <c r="G430" s="5">
        <v>58.36</v>
      </c>
      <c r="H430" s="36">
        <f t="shared" si="6"/>
        <v>97143138</v>
      </c>
      <c r="I430" s="44" t="s">
        <v>415</v>
      </c>
    </row>
    <row r="431" spans="1:9" hidden="1" x14ac:dyDescent="0.2">
      <c r="A431" s="11">
        <v>202</v>
      </c>
      <c r="B431" s="16">
        <v>24432</v>
      </c>
      <c r="C431" s="13">
        <v>44944</v>
      </c>
      <c r="D431" s="11" t="s">
        <v>315</v>
      </c>
      <c r="E431" s="14">
        <v>160</v>
      </c>
      <c r="F431" s="11" t="s">
        <v>21</v>
      </c>
      <c r="G431" s="5">
        <v>152.69999999999999</v>
      </c>
      <c r="H431" s="36">
        <f t="shared" si="6"/>
        <v>4935264</v>
      </c>
      <c r="I431" s="44" t="s">
        <v>406</v>
      </c>
    </row>
    <row r="432" spans="1:9" hidden="1" x14ac:dyDescent="0.2">
      <c r="A432" s="11">
        <v>175</v>
      </c>
      <c r="B432" s="16">
        <v>24432</v>
      </c>
      <c r="C432" s="13">
        <v>44971</v>
      </c>
      <c r="D432" s="11" t="s">
        <v>315</v>
      </c>
      <c r="E432" s="14">
        <v>160</v>
      </c>
      <c r="F432" s="11" t="s">
        <v>21</v>
      </c>
      <c r="G432" s="5">
        <v>152.69999999999999</v>
      </c>
      <c r="H432" s="36">
        <f t="shared" si="6"/>
        <v>4275600</v>
      </c>
      <c r="I432" s="44" t="s">
        <v>405</v>
      </c>
    </row>
    <row r="433" spans="1:9" hidden="1" x14ac:dyDescent="0.2">
      <c r="A433" s="11">
        <v>155</v>
      </c>
      <c r="B433" s="16">
        <v>8932</v>
      </c>
      <c r="C433" s="13">
        <v>44991</v>
      </c>
      <c r="D433" s="11" t="s">
        <v>306</v>
      </c>
      <c r="E433" s="14">
        <v>350</v>
      </c>
      <c r="F433" s="11" t="s">
        <v>21</v>
      </c>
      <c r="G433" s="5">
        <v>25.52</v>
      </c>
      <c r="H433" s="36">
        <f t="shared" si="6"/>
        <v>1384460</v>
      </c>
      <c r="I433" s="44" t="s">
        <v>416</v>
      </c>
    </row>
    <row r="434" spans="1:9" hidden="1" x14ac:dyDescent="0.2">
      <c r="A434" s="11">
        <v>137</v>
      </c>
      <c r="B434" s="16">
        <v>1344</v>
      </c>
      <c r="C434" s="13">
        <v>45009</v>
      </c>
      <c r="D434" s="11" t="s">
        <v>332</v>
      </c>
      <c r="E434" s="14">
        <v>20</v>
      </c>
      <c r="F434" s="11" t="s">
        <v>21</v>
      </c>
      <c r="G434" s="5">
        <v>67.2</v>
      </c>
      <c r="H434" s="36">
        <f t="shared" si="6"/>
        <v>184128</v>
      </c>
      <c r="I434" s="44" t="s">
        <v>416</v>
      </c>
    </row>
    <row r="435" spans="1:9" hidden="1" x14ac:dyDescent="0.2">
      <c r="A435" s="11">
        <v>137</v>
      </c>
      <c r="B435" s="16">
        <v>21947.200000000001</v>
      </c>
      <c r="C435" s="13">
        <v>45009</v>
      </c>
      <c r="D435" s="11" t="s">
        <v>306</v>
      </c>
      <c r="E435" s="14">
        <v>860</v>
      </c>
      <c r="F435" s="11" t="s">
        <v>21</v>
      </c>
      <c r="G435" s="5">
        <v>25.52</v>
      </c>
      <c r="H435" s="36">
        <f t="shared" si="6"/>
        <v>3006766.4</v>
      </c>
      <c r="I435" s="44" t="s">
        <v>416</v>
      </c>
    </row>
    <row r="436" spans="1:9" hidden="1" x14ac:dyDescent="0.2">
      <c r="A436" s="11">
        <v>119</v>
      </c>
      <c r="B436" s="16">
        <v>15000</v>
      </c>
      <c r="C436" s="13">
        <v>45027</v>
      </c>
      <c r="D436" s="11" t="s">
        <v>297</v>
      </c>
      <c r="E436" s="14">
        <v>6000</v>
      </c>
      <c r="F436" s="11" t="s">
        <v>21</v>
      </c>
      <c r="G436" s="5">
        <v>2.5</v>
      </c>
      <c r="H436" s="36">
        <f t="shared" si="6"/>
        <v>1785000</v>
      </c>
      <c r="I436" s="44" t="s">
        <v>417</v>
      </c>
    </row>
    <row r="437" spans="1:9" hidden="1" x14ac:dyDescent="0.2">
      <c r="A437" s="11">
        <v>119</v>
      </c>
      <c r="B437" s="16">
        <v>30000</v>
      </c>
      <c r="C437" s="13">
        <v>45027</v>
      </c>
      <c r="D437" s="11" t="s">
        <v>297</v>
      </c>
      <c r="E437" s="14">
        <v>12000</v>
      </c>
      <c r="F437" s="11" t="s">
        <v>21</v>
      </c>
      <c r="G437" s="5">
        <v>2.5</v>
      </c>
      <c r="H437" s="36">
        <f t="shared" si="6"/>
        <v>3570000</v>
      </c>
      <c r="I437" s="44" t="s">
        <v>417</v>
      </c>
    </row>
    <row r="438" spans="1:9" hidden="1" x14ac:dyDescent="0.2">
      <c r="A438" s="11">
        <v>113</v>
      </c>
      <c r="B438" s="16">
        <v>8932</v>
      </c>
      <c r="C438" s="13">
        <v>45033</v>
      </c>
      <c r="D438" s="11" t="s">
        <v>306</v>
      </c>
      <c r="E438" s="14">
        <v>350</v>
      </c>
      <c r="F438" s="11" t="s">
        <v>21</v>
      </c>
      <c r="G438" s="5">
        <v>25.52</v>
      </c>
      <c r="H438" s="36">
        <f t="shared" si="6"/>
        <v>1009316</v>
      </c>
      <c r="I438" s="44" t="s">
        <v>417</v>
      </c>
    </row>
    <row r="439" spans="1:9" hidden="1" x14ac:dyDescent="0.2">
      <c r="A439" s="11">
        <v>106</v>
      </c>
      <c r="B439" s="16">
        <v>109304.9</v>
      </c>
      <c r="C439" s="13">
        <v>45040</v>
      </c>
      <c r="D439" s="11" t="s">
        <v>305</v>
      </c>
      <c r="E439" s="14">
        <v>170</v>
      </c>
      <c r="F439" s="11" t="s">
        <v>21</v>
      </c>
      <c r="G439" s="5">
        <v>642.97</v>
      </c>
      <c r="H439" s="36">
        <f t="shared" si="6"/>
        <v>11586319.399999999</v>
      </c>
      <c r="I439" s="44" t="s">
        <v>417</v>
      </c>
    </row>
    <row r="440" spans="1:9" hidden="1" x14ac:dyDescent="0.2">
      <c r="A440" s="11">
        <v>106</v>
      </c>
      <c r="B440" s="16">
        <v>34077.410000000003</v>
      </c>
      <c r="C440" s="13">
        <v>45040</v>
      </c>
      <c r="D440" s="11" t="s">
        <v>305</v>
      </c>
      <c r="E440" s="14">
        <v>53</v>
      </c>
      <c r="F440" s="11" t="s">
        <v>21</v>
      </c>
      <c r="G440" s="5">
        <v>642.97</v>
      </c>
      <c r="H440" s="36">
        <f t="shared" si="6"/>
        <v>3612205.4600000004</v>
      </c>
      <c r="I440" s="44" t="s">
        <v>417</v>
      </c>
    </row>
    <row r="441" spans="1:9" hidden="1" x14ac:dyDescent="0.2">
      <c r="A441" s="11">
        <v>85</v>
      </c>
      <c r="B441" s="16">
        <v>5104</v>
      </c>
      <c r="C441" s="13">
        <v>45061</v>
      </c>
      <c r="D441" s="11" t="s">
        <v>306</v>
      </c>
      <c r="E441" s="14">
        <v>200</v>
      </c>
      <c r="F441" s="11" t="s">
        <v>24</v>
      </c>
      <c r="G441" s="5">
        <v>25.52</v>
      </c>
      <c r="H441" s="36">
        <f t="shared" si="6"/>
        <v>433840</v>
      </c>
      <c r="I441" s="44" t="s">
        <v>410</v>
      </c>
    </row>
    <row r="442" spans="1:9" hidden="1" x14ac:dyDescent="0.2">
      <c r="A442" s="11">
        <v>85</v>
      </c>
      <c r="B442" s="16">
        <v>10279.620000000001</v>
      </c>
      <c r="C442" s="13">
        <v>45061</v>
      </c>
      <c r="D442" s="11" t="s">
        <v>333</v>
      </c>
      <c r="E442" s="14">
        <v>191</v>
      </c>
      <c r="F442" s="11" t="s">
        <v>24</v>
      </c>
      <c r="G442" s="5">
        <v>53.82</v>
      </c>
      <c r="H442" s="36">
        <f t="shared" si="6"/>
        <v>873767.70000000007</v>
      </c>
      <c r="I442" s="44" t="s">
        <v>410</v>
      </c>
    </row>
    <row r="443" spans="1:9" hidden="1" x14ac:dyDescent="0.2">
      <c r="A443" s="11">
        <v>53</v>
      </c>
      <c r="B443" s="16">
        <v>10641.84</v>
      </c>
      <c r="C443" s="13">
        <v>45093</v>
      </c>
      <c r="D443" s="11" t="s">
        <v>306</v>
      </c>
      <c r="E443" s="14">
        <v>417</v>
      </c>
      <c r="F443" s="11" t="s">
        <v>22</v>
      </c>
      <c r="G443" s="5">
        <v>25.52</v>
      </c>
      <c r="H443" s="36">
        <f t="shared" si="6"/>
        <v>564017.52</v>
      </c>
      <c r="I443" s="44" t="s">
        <v>407</v>
      </c>
    </row>
    <row r="444" spans="1:9" hidden="1" x14ac:dyDescent="0.2">
      <c r="A444" s="11">
        <v>49</v>
      </c>
      <c r="B444" s="16">
        <v>34983</v>
      </c>
      <c r="C444" s="13">
        <v>45097</v>
      </c>
      <c r="D444" s="11" t="s">
        <v>333</v>
      </c>
      <c r="E444" s="14">
        <v>650</v>
      </c>
      <c r="F444" s="11" t="s">
        <v>22</v>
      </c>
      <c r="G444" s="5">
        <v>53.82</v>
      </c>
      <c r="H444" s="36">
        <f t="shared" si="6"/>
        <v>1714167</v>
      </c>
      <c r="I444" s="44" t="s">
        <v>407</v>
      </c>
    </row>
    <row r="445" spans="1:9" hidden="1" x14ac:dyDescent="0.2">
      <c r="A445" s="11">
        <v>244</v>
      </c>
      <c r="B445" s="16">
        <v>106905.60000000001</v>
      </c>
      <c r="C445" s="13">
        <v>44902</v>
      </c>
      <c r="D445" s="11" t="s">
        <v>334</v>
      </c>
      <c r="E445" s="14">
        <v>768</v>
      </c>
      <c r="F445" s="11" t="s">
        <v>21</v>
      </c>
      <c r="G445" s="5">
        <v>139.19999999999999</v>
      </c>
      <c r="H445" s="36">
        <f t="shared" si="6"/>
        <v>26084966.400000002</v>
      </c>
      <c r="I445" s="44" t="s">
        <v>404</v>
      </c>
    </row>
    <row r="446" spans="1:9" hidden="1" x14ac:dyDescent="0.2">
      <c r="A446" s="11">
        <v>84</v>
      </c>
      <c r="B446" s="16">
        <v>11415.6</v>
      </c>
      <c r="C446" s="13">
        <v>45062</v>
      </c>
      <c r="D446" s="11" t="s">
        <v>237</v>
      </c>
      <c r="E446" s="14">
        <v>108</v>
      </c>
      <c r="F446" s="11" t="s">
        <v>24</v>
      </c>
      <c r="G446" s="5">
        <v>105.7</v>
      </c>
      <c r="H446" s="36">
        <f t="shared" si="6"/>
        <v>958910.4</v>
      </c>
      <c r="I446" s="44" t="s">
        <v>410</v>
      </c>
    </row>
    <row r="447" spans="1:9" hidden="1" x14ac:dyDescent="0.2">
      <c r="A447" s="11">
        <v>26</v>
      </c>
      <c r="B447" s="16">
        <v>80944.2</v>
      </c>
      <c r="C447" s="13">
        <v>45120</v>
      </c>
      <c r="D447" s="11" t="s">
        <v>304</v>
      </c>
      <c r="E447" s="14">
        <v>180</v>
      </c>
      <c r="F447" s="11" t="s">
        <v>23</v>
      </c>
      <c r="G447" s="5">
        <v>449.69</v>
      </c>
      <c r="H447" s="36">
        <f t="shared" si="6"/>
        <v>2104549.1999999997</v>
      </c>
      <c r="I447" s="44" t="s">
        <v>408</v>
      </c>
    </row>
    <row r="448" spans="1:9" hidden="1" x14ac:dyDescent="0.2">
      <c r="A448" s="11">
        <v>26</v>
      </c>
      <c r="B448" s="16">
        <v>307587.96000000002</v>
      </c>
      <c r="C448" s="13">
        <v>45120</v>
      </c>
      <c r="D448" s="11" t="s">
        <v>304</v>
      </c>
      <c r="E448" s="14">
        <v>684</v>
      </c>
      <c r="F448" s="11" t="s">
        <v>23</v>
      </c>
      <c r="G448" s="5">
        <v>449.69</v>
      </c>
      <c r="H448" s="36">
        <f t="shared" si="6"/>
        <v>7997286.9600000009</v>
      </c>
      <c r="I448" s="44" t="s">
        <v>408</v>
      </c>
    </row>
    <row r="449" spans="1:9" hidden="1" x14ac:dyDescent="0.2">
      <c r="A449" s="11">
        <v>26</v>
      </c>
      <c r="B449" s="16">
        <v>16188.84</v>
      </c>
      <c r="C449" s="13">
        <v>45120</v>
      </c>
      <c r="D449" s="11" t="s">
        <v>304</v>
      </c>
      <c r="E449" s="14">
        <v>36</v>
      </c>
      <c r="F449" s="11" t="s">
        <v>23</v>
      </c>
      <c r="G449" s="5">
        <v>449.69</v>
      </c>
      <c r="H449" s="36">
        <f t="shared" si="6"/>
        <v>420909.84</v>
      </c>
      <c r="I449" s="44" t="s">
        <v>408</v>
      </c>
    </row>
    <row r="450" spans="1:9" hidden="1" x14ac:dyDescent="0.2">
      <c r="A450" s="11">
        <v>12</v>
      </c>
      <c r="B450" s="16">
        <v>712308.96</v>
      </c>
      <c r="C450" s="13">
        <v>45134</v>
      </c>
      <c r="D450" s="11" t="s">
        <v>304</v>
      </c>
      <c r="E450" s="14">
        <v>1584</v>
      </c>
      <c r="F450" s="11" t="s">
        <v>23</v>
      </c>
      <c r="G450" s="5">
        <v>449.69</v>
      </c>
      <c r="H450" s="36">
        <f t="shared" si="6"/>
        <v>8547707.5199999996</v>
      </c>
      <c r="I450" s="44" t="s">
        <v>408</v>
      </c>
    </row>
    <row r="451" spans="1:9" hidden="1" x14ac:dyDescent="0.2">
      <c r="A451" s="11">
        <v>231</v>
      </c>
      <c r="B451" s="16">
        <v>3915468.48</v>
      </c>
      <c r="C451" s="13">
        <v>44915</v>
      </c>
      <c r="D451" s="11" t="s">
        <v>235</v>
      </c>
      <c r="E451" s="14">
        <v>148764</v>
      </c>
      <c r="F451" s="11" t="s">
        <v>21</v>
      </c>
      <c r="G451" s="5">
        <v>26.32</v>
      </c>
      <c r="H451" s="36">
        <f t="shared" ref="H451:H514" si="7">B451*A451</f>
        <v>904473218.88</v>
      </c>
      <c r="I451" s="44" t="s">
        <v>404</v>
      </c>
    </row>
    <row r="452" spans="1:9" hidden="1" x14ac:dyDescent="0.2">
      <c r="A452" s="11">
        <v>231</v>
      </c>
      <c r="B452" s="16">
        <v>648883.19999999995</v>
      </c>
      <c r="C452" s="13">
        <v>44915</v>
      </c>
      <c r="D452" s="11" t="s">
        <v>233</v>
      </c>
      <c r="E452" s="14">
        <v>53760</v>
      </c>
      <c r="F452" s="11" t="s">
        <v>21</v>
      </c>
      <c r="G452" s="5">
        <v>12.07</v>
      </c>
      <c r="H452" s="36">
        <f t="shared" si="7"/>
        <v>149892019.19999999</v>
      </c>
      <c r="I452" s="44" t="s">
        <v>404</v>
      </c>
    </row>
    <row r="453" spans="1:9" hidden="1" x14ac:dyDescent="0.2">
      <c r="A453" s="11">
        <v>216</v>
      </c>
      <c r="B453" s="16">
        <v>583911.54</v>
      </c>
      <c r="C453" s="13">
        <v>44930</v>
      </c>
      <c r="D453" s="11" t="s">
        <v>236</v>
      </c>
      <c r="E453" s="14">
        <v>148578</v>
      </c>
      <c r="F453" s="11" t="s">
        <v>21</v>
      </c>
      <c r="G453" s="5">
        <v>3.93</v>
      </c>
      <c r="H453" s="36">
        <f t="shared" si="7"/>
        <v>126124892.64000002</v>
      </c>
      <c r="I453" s="44" t="s">
        <v>406</v>
      </c>
    </row>
    <row r="454" spans="1:9" hidden="1" x14ac:dyDescent="0.2">
      <c r="A454" s="11">
        <v>56</v>
      </c>
      <c r="B454" s="16">
        <v>48972</v>
      </c>
      <c r="C454" s="13">
        <v>45090</v>
      </c>
      <c r="D454" s="11" t="s">
        <v>289</v>
      </c>
      <c r="E454" s="14">
        <v>12</v>
      </c>
      <c r="F454" s="11" t="s">
        <v>22</v>
      </c>
      <c r="G454" s="5">
        <v>4081</v>
      </c>
      <c r="H454" s="36">
        <f t="shared" si="7"/>
        <v>2742432</v>
      </c>
      <c r="I454" s="44" t="s">
        <v>407</v>
      </c>
    </row>
    <row r="455" spans="1:9" hidden="1" x14ac:dyDescent="0.2">
      <c r="A455" s="11">
        <v>1251</v>
      </c>
      <c r="B455" s="16">
        <v>8040</v>
      </c>
      <c r="C455" s="13">
        <v>43895</v>
      </c>
      <c r="D455" s="11" t="s">
        <v>335</v>
      </c>
      <c r="E455" s="14">
        <v>3000</v>
      </c>
      <c r="F455" s="11" t="s">
        <v>21</v>
      </c>
      <c r="G455" s="5">
        <v>2.68</v>
      </c>
      <c r="H455" s="36">
        <f t="shared" si="7"/>
        <v>10058040</v>
      </c>
      <c r="I455" s="44" t="s">
        <v>418</v>
      </c>
    </row>
    <row r="456" spans="1:9" hidden="1" x14ac:dyDescent="0.2">
      <c r="A456" s="11">
        <v>1194</v>
      </c>
      <c r="B456" s="16">
        <v>8040</v>
      </c>
      <c r="C456" s="13">
        <v>43952</v>
      </c>
      <c r="D456" s="11" t="s">
        <v>335</v>
      </c>
      <c r="E456" s="14">
        <v>3000</v>
      </c>
      <c r="F456" s="11" t="s">
        <v>21</v>
      </c>
      <c r="G456" s="5">
        <v>2.68</v>
      </c>
      <c r="H456" s="36">
        <f t="shared" si="7"/>
        <v>9599760</v>
      </c>
      <c r="I456" s="44" t="s">
        <v>419</v>
      </c>
    </row>
    <row r="457" spans="1:9" hidden="1" x14ac:dyDescent="0.2">
      <c r="A457" s="11">
        <v>974</v>
      </c>
      <c r="B457" s="16">
        <v>5670</v>
      </c>
      <c r="C457" s="13">
        <v>44172</v>
      </c>
      <c r="D457" s="11" t="s">
        <v>336</v>
      </c>
      <c r="E457" s="14">
        <v>3000</v>
      </c>
      <c r="F457" s="11" t="s">
        <v>21</v>
      </c>
      <c r="G457" s="5">
        <v>1.89</v>
      </c>
      <c r="H457" s="36">
        <f t="shared" si="7"/>
        <v>5522580</v>
      </c>
      <c r="I457" s="44" t="s">
        <v>420</v>
      </c>
    </row>
    <row r="458" spans="1:9" hidden="1" x14ac:dyDescent="0.2">
      <c r="A458" s="11">
        <v>571</v>
      </c>
      <c r="B458" s="16">
        <v>1700</v>
      </c>
      <c r="C458" s="13">
        <v>44575</v>
      </c>
      <c r="D458" s="11" t="s">
        <v>337</v>
      </c>
      <c r="E458" s="14">
        <v>2500</v>
      </c>
      <c r="F458" s="11" t="s">
        <v>21</v>
      </c>
      <c r="G458" s="5">
        <v>0.68</v>
      </c>
      <c r="H458" s="36">
        <f t="shared" si="7"/>
        <v>970700</v>
      </c>
      <c r="I458" s="44" t="s">
        <v>421</v>
      </c>
    </row>
    <row r="459" spans="1:9" hidden="1" x14ac:dyDescent="0.2">
      <c r="A459" s="11">
        <v>517</v>
      </c>
      <c r="B459" s="16">
        <v>15350</v>
      </c>
      <c r="C459" s="13">
        <v>44629</v>
      </c>
      <c r="D459" s="11" t="s">
        <v>338</v>
      </c>
      <c r="E459" s="14">
        <v>5000</v>
      </c>
      <c r="F459" s="11" t="s">
        <v>21</v>
      </c>
      <c r="G459" s="5">
        <v>3.07</v>
      </c>
      <c r="H459" s="36">
        <f t="shared" si="7"/>
        <v>7935950</v>
      </c>
      <c r="I459" s="44" t="s">
        <v>409</v>
      </c>
    </row>
    <row r="460" spans="1:9" hidden="1" x14ac:dyDescent="0.2">
      <c r="A460" s="11">
        <v>510</v>
      </c>
      <c r="B460" s="16">
        <v>10500</v>
      </c>
      <c r="C460" s="13">
        <v>44636</v>
      </c>
      <c r="D460" s="11" t="s">
        <v>304</v>
      </c>
      <c r="E460" s="14">
        <v>3000</v>
      </c>
      <c r="F460" s="11" t="s">
        <v>21</v>
      </c>
      <c r="G460" s="5">
        <v>3.5</v>
      </c>
      <c r="H460" s="36">
        <f t="shared" si="7"/>
        <v>5355000</v>
      </c>
      <c r="I460" s="44" t="s">
        <v>409</v>
      </c>
    </row>
    <row r="461" spans="1:9" hidden="1" x14ac:dyDescent="0.2">
      <c r="A461" s="11">
        <v>503</v>
      </c>
      <c r="B461" s="16">
        <v>10500</v>
      </c>
      <c r="C461" s="13">
        <v>44643</v>
      </c>
      <c r="D461" s="11" t="s">
        <v>304</v>
      </c>
      <c r="E461" s="14">
        <v>3000</v>
      </c>
      <c r="F461" s="11" t="s">
        <v>21</v>
      </c>
      <c r="G461" s="5">
        <v>3.5</v>
      </c>
      <c r="H461" s="36">
        <f t="shared" si="7"/>
        <v>5281500</v>
      </c>
      <c r="I461" s="44" t="s">
        <v>409</v>
      </c>
    </row>
    <row r="462" spans="1:9" hidden="1" x14ac:dyDescent="0.2">
      <c r="A462" s="11">
        <v>502</v>
      </c>
      <c r="B462" s="16">
        <v>21000</v>
      </c>
      <c r="C462" s="13">
        <v>44644</v>
      </c>
      <c r="D462" s="11" t="s">
        <v>304</v>
      </c>
      <c r="E462" s="14">
        <v>6000</v>
      </c>
      <c r="F462" s="11" t="s">
        <v>21</v>
      </c>
      <c r="G462" s="5">
        <v>3.5</v>
      </c>
      <c r="H462" s="36">
        <f t="shared" si="7"/>
        <v>10542000</v>
      </c>
      <c r="I462" s="44" t="s">
        <v>409</v>
      </c>
    </row>
    <row r="463" spans="1:9" hidden="1" x14ac:dyDescent="0.2">
      <c r="A463" s="11">
        <v>497</v>
      </c>
      <c r="B463" s="16">
        <v>21000</v>
      </c>
      <c r="C463" s="13">
        <v>44649</v>
      </c>
      <c r="D463" s="11" t="s">
        <v>304</v>
      </c>
      <c r="E463" s="14">
        <v>6000</v>
      </c>
      <c r="F463" s="11" t="s">
        <v>21</v>
      </c>
      <c r="G463" s="5">
        <v>3.5</v>
      </c>
      <c r="H463" s="36">
        <f t="shared" si="7"/>
        <v>10437000</v>
      </c>
      <c r="I463" s="44" t="s">
        <v>409</v>
      </c>
    </row>
    <row r="464" spans="1:9" hidden="1" x14ac:dyDescent="0.2">
      <c r="A464" s="11">
        <v>494</v>
      </c>
      <c r="B464" s="16">
        <v>21000</v>
      </c>
      <c r="C464" s="13">
        <v>44652</v>
      </c>
      <c r="D464" s="11" t="s">
        <v>304</v>
      </c>
      <c r="E464" s="14">
        <v>6000</v>
      </c>
      <c r="F464" s="11" t="s">
        <v>21</v>
      </c>
      <c r="G464" s="5">
        <v>3.5</v>
      </c>
      <c r="H464" s="36">
        <f t="shared" si="7"/>
        <v>10374000</v>
      </c>
      <c r="I464" s="44" t="s">
        <v>422</v>
      </c>
    </row>
    <row r="465" spans="1:9" hidden="1" x14ac:dyDescent="0.2">
      <c r="A465" s="11">
        <v>490</v>
      </c>
      <c r="B465" s="16">
        <v>5136</v>
      </c>
      <c r="C465" s="13">
        <v>44656</v>
      </c>
      <c r="D465" s="11" t="s">
        <v>339</v>
      </c>
      <c r="E465" s="14">
        <v>12000</v>
      </c>
      <c r="F465" s="11" t="s">
        <v>21</v>
      </c>
      <c r="G465" s="5">
        <v>0.42799999999999999</v>
      </c>
      <c r="H465" s="36">
        <f t="shared" si="7"/>
        <v>2516640</v>
      </c>
      <c r="I465" s="44" t="s">
        <v>422</v>
      </c>
    </row>
    <row r="466" spans="1:9" hidden="1" x14ac:dyDescent="0.2">
      <c r="A466" s="11">
        <v>488</v>
      </c>
      <c r="B466" s="16">
        <v>10500</v>
      </c>
      <c r="C466" s="13">
        <v>44658</v>
      </c>
      <c r="D466" s="11" t="s">
        <v>304</v>
      </c>
      <c r="E466" s="14">
        <v>3000</v>
      </c>
      <c r="F466" s="11" t="s">
        <v>21</v>
      </c>
      <c r="G466" s="5">
        <v>3.5</v>
      </c>
      <c r="H466" s="36">
        <f t="shared" si="7"/>
        <v>5124000</v>
      </c>
      <c r="I466" s="44" t="s">
        <v>422</v>
      </c>
    </row>
    <row r="467" spans="1:9" hidden="1" x14ac:dyDescent="0.2">
      <c r="A467" s="11">
        <v>389</v>
      </c>
      <c r="B467" s="16">
        <v>10500</v>
      </c>
      <c r="C467" s="13">
        <v>44757</v>
      </c>
      <c r="D467" s="11" t="s">
        <v>304</v>
      </c>
      <c r="E467" s="14">
        <v>3000</v>
      </c>
      <c r="F467" s="11" t="s">
        <v>21</v>
      </c>
      <c r="G467" s="5">
        <v>3.5</v>
      </c>
      <c r="H467" s="36">
        <f t="shared" si="7"/>
        <v>4084500</v>
      </c>
      <c r="I467" s="44" t="s">
        <v>414</v>
      </c>
    </row>
    <row r="468" spans="1:9" hidden="1" x14ac:dyDescent="0.2">
      <c r="A468" s="11">
        <v>371</v>
      </c>
      <c r="B468" s="16">
        <v>10500</v>
      </c>
      <c r="C468" s="13">
        <v>44775</v>
      </c>
      <c r="D468" s="11" t="s">
        <v>304</v>
      </c>
      <c r="E468" s="14">
        <v>3000</v>
      </c>
      <c r="F468" s="11" t="s">
        <v>21</v>
      </c>
      <c r="G468" s="5">
        <v>3.5</v>
      </c>
      <c r="H468" s="36">
        <f t="shared" si="7"/>
        <v>3895500</v>
      </c>
      <c r="I468" s="44" t="s">
        <v>423</v>
      </c>
    </row>
    <row r="469" spans="1:9" hidden="1" x14ac:dyDescent="0.2">
      <c r="A469" s="11">
        <v>371</v>
      </c>
      <c r="B469" s="16">
        <v>5940</v>
      </c>
      <c r="C469" s="13">
        <v>44775</v>
      </c>
      <c r="D469" s="11" t="s">
        <v>339</v>
      </c>
      <c r="E469" s="14">
        <v>12000</v>
      </c>
      <c r="F469" s="11" t="s">
        <v>21</v>
      </c>
      <c r="G469" s="5">
        <v>0.495</v>
      </c>
      <c r="H469" s="36">
        <f t="shared" si="7"/>
        <v>2203740</v>
      </c>
      <c r="I469" s="44" t="s">
        <v>423</v>
      </c>
    </row>
    <row r="470" spans="1:9" hidden="1" x14ac:dyDescent="0.2">
      <c r="A470" s="11">
        <v>363</v>
      </c>
      <c r="B470" s="16">
        <v>8700</v>
      </c>
      <c r="C470" s="13">
        <v>44783</v>
      </c>
      <c r="D470" s="11" t="s">
        <v>309</v>
      </c>
      <c r="E470" s="14">
        <v>3000</v>
      </c>
      <c r="F470" s="11" t="s">
        <v>21</v>
      </c>
      <c r="G470" s="5">
        <v>2.9</v>
      </c>
      <c r="H470" s="36">
        <f t="shared" si="7"/>
        <v>3158100</v>
      </c>
      <c r="I470" s="44" t="s">
        <v>423</v>
      </c>
    </row>
    <row r="471" spans="1:9" hidden="1" x14ac:dyDescent="0.2">
      <c r="A471" s="11">
        <v>336</v>
      </c>
      <c r="B471" s="16">
        <v>10500</v>
      </c>
      <c r="C471" s="13">
        <v>44810</v>
      </c>
      <c r="D471" s="11" t="s">
        <v>304</v>
      </c>
      <c r="E471" s="14">
        <v>3000</v>
      </c>
      <c r="F471" s="11" t="s">
        <v>21</v>
      </c>
      <c r="G471" s="5">
        <v>3.5</v>
      </c>
      <c r="H471" s="36">
        <f t="shared" si="7"/>
        <v>3528000</v>
      </c>
      <c r="I471" s="44" t="s">
        <v>411</v>
      </c>
    </row>
    <row r="472" spans="1:9" hidden="1" x14ac:dyDescent="0.2">
      <c r="A472" s="11">
        <v>334</v>
      </c>
      <c r="B472" s="16">
        <v>10500</v>
      </c>
      <c r="C472" s="13">
        <v>44812</v>
      </c>
      <c r="D472" s="11" t="s">
        <v>304</v>
      </c>
      <c r="E472" s="14">
        <v>3000</v>
      </c>
      <c r="F472" s="11" t="s">
        <v>21</v>
      </c>
      <c r="G472" s="5">
        <v>3.5</v>
      </c>
      <c r="H472" s="36">
        <f t="shared" si="7"/>
        <v>3507000</v>
      </c>
      <c r="I472" s="44" t="s">
        <v>411</v>
      </c>
    </row>
    <row r="473" spans="1:9" hidden="1" x14ac:dyDescent="0.2">
      <c r="A473" s="11">
        <v>334</v>
      </c>
      <c r="B473" s="16">
        <v>26100</v>
      </c>
      <c r="C473" s="13">
        <v>44812</v>
      </c>
      <c r="D473" s="11" t="s">
        <v>309</v>
      </c>
      <c r="E473" s="14">
        <v>9000</v>
      </c>
      <c r="F473" s="11" t="s">
        <v>21</v>
      </c>
      <c r="G473" s="5">
        <v>2.9</v>
      </c>
      <c r="H473" s="36">
        <f t="shared" si="7"/>
        <v>8717400</v>
      </c>
      <c r="I473" s="44" t="s">
        <v>411</v>
      </c>
    </row>
    <row r="474" spans="1:9" hidden="1" x14ac:dyDescent="0.2">
      <c r="A474" s="11">
        <v>258</v>
      </c>
      <c r="B474" s="16">
        <v>21000</v>
      </c>
      <c r="C474" s="13">
        <v>44888</v>
      </c>
      <c r="D474" s="11" t="s">
        <v>304</v>
      </c>
      <c r="E474" s="14">
        <v>6000</v>
      </c>
      <c r="F474" s="11" t="s">
        <v>21</v>
      </c>
      <c r="G474" s="5">
        <v>3.5</v>
      </c>
      <c r="H474" s="36">
        <f t="shared" si="7"/>
        <v>5418000</v>
      </c>
      <c r="I474" s="44" t="s">
        <v>415</v>
      </c>
    </row>
    <row r="475" spans="1:9" hidden="1" x14ac:dyDescent="0.2">
      <c r="A475" s="11">
        <v>222</v>
      </c>
      <c r="B475" s="16">
        <v>67737.600000000006</v>
      </c>
      <c r="C475" s="13">
        <v>44924</v>
      </c>
      <c r="D475" s="11" t="s">
        <v>340</v>
      </c>
      <c r="E475" s="14">
        <v>84</v>
      </c>
      <c r="F475" s="11" t="s">
        <v>21</v>
      </c>
      <c r="G475" s="5">
        <v>806.4</v>
      </c>
      <c r="H475" s="36">
        <f t="shared" si="7"/>
        <v>15037747.200000001</v>
      </c>
      <c r="I475" s="44" t="s">
        <v>404</v>
      </c>
    </row>
    <row r="476" spans="1:9" hidden="1" x14ac:dyDescent="0.2">
      <c r="A476" s="11">
        <v>222</v>
      </c>
      <c r="B476" s="16">
        <v>338688</v>
      </c>
      <c r="C476" s="13">
        <v>44924</v>
      </c>
      <c r="D476" s="11" t="s">
        <v>340</v>
      </c>
      <c r="E476" s="14">
        <v>420</v>
      </c>
      <c r="F476" s="11" t="s">
        <v>21</v>
      </c>
      <c r="G476" s="5">
        <v>806.4</v>
      </c>
      <c r="H476" s="36">
        <f t="shared" si="7"/>
        <v>75188736</v>
      </c>
      <c r="I476" s="44" t="s">
        <v>404</v>
      </c>
    </row>
    <row r="477" spans="1:9" hidden="1" x14ac:dyDescent="0.2">
      <c r="A477" s="11">
        <v>216</v>
      </c>
      <c r="B477" s="16">
        <v>10500</v>
      </c>
      <c r="C477" s="13">
        <v>44930</v>
      </c>
      <c r="D477" s="11" t="s">
        <v>304</v>
      </c>
      <c r="E477" s="14">
        <v>3000</v>
      </c>
      <c r="F477" s="11" t="s">
        <v>21</v>
      </c>
      <c r="G477" s="5">
        <v>3.5</v>
      </c>
      <c r="H477" s="36">
        <f t="shared" si="7"/>
        <v>2268000</v>
      </c>
      <c r="I477" s="44" t="s">
        <v>406</v>
      </c>
    </row>
    <row r="478" spans="1:9" hidden="1" x14ac:dyDescent="0.2">
      <c r="A478" s="11">
        <v>210</v>
      </c>
      <c r="B478" s="16">
        <v>10500</v>
      </c>
      <c r="C478" s="13">
        <v>44936</v>
      </c>
      <c r="D478" s="11" t="s">
        <v>304</v>
      </c>
      <c r="E478" s="14">
        <v>3000</v>
      </c>
      <c r="F478" s="11" t="s">
        <v>21</v>
      </c>
      <c r="G478" s="5">
        <v>3.5</v>
      </c>
      <c r="H478" s="36">
        <f t="shared" si="7"/>
        <v>2205000</v>
      </c>
      <c r="I478" s="44" t="s">
        <v>406</v>
      </c>
    </row>
    <row r="479" spans="1:9" hidden="1" x14ac:dyDescent="0.2">
      <c r="A479" s="11">
        <v>209</v>
      </c>
      <c r="B479" s="16">
        <v>10500</v>
      </c>
      <c r="C479" s="13">
        <v>44937</v>
      </c>
      <c r="D479" s="11" t="s">
        <v>304</v>
      </c>
      <c r="E479" s="14">
        <v>3000</v>
      </c>
      <c r="F479" s="11" t="s">
        <v>21</v>
      </c>
      <c r="G479" s="5">
        <v>3.5</v>
      </c>
      <c r="H479" s="36">
        <f t="shared" si="7"/>
        <v>2194500</v>
      </c>
      <c r="I479" s="44" t="s">
        <v>406</v>
      </c>
    </row>
    <row r="480" spans="1:9" hidden="1" x14ac:dyDescent="0.2">
      <c r="A480" s="11">
        <v>209</v>
      </c>
      <c r="B480" s="16">
        <v>1700</v>
      </c>
      <c r="C480" s="13">
        <v>44937</v>
      </c>
      <c r="D480" s="11" t="s">
        <v>337</v>
      </c>
      <c r="E480" s="14">
        <v>2500</v>
      </c>
      <c r="F480" s="11" t="s">
        <v>21</v>
      </c>
      <c r="G480" s="5">
        <v>0.68</v>
      </c>
      <c r="H480" s="36">
        <f t="shared" si="7"/>
        <v>355300</v>
      </c>
      <c r="I480" s="44" t="s">
        <v>406</v>
      </c>
    </row>
    <row r="481" spans="1:9" hidden="1" x14ac:dyDescent="0.2">
      <c r="A481" s="11">
        <v>207</v>
      </c>
      <c r="B481" s="16">
        <v>1728</v>
      </c>
      <c r="C481" s="13">
        <v>44939</v>
      </c>
      <c r="D481" s="11" t="s">
        <v>341</v>
      </c>
      <c r="E481" s="14">
        <v>2000</v>
      </c>
      <c r="F481" s="11" t="s">
        <v>21</v>
      </c>
      <c r="G481" s="5">
        <v>0.86399999999999999</v>
      </c>
      <c r="H481" s="36">
        <f t="shared" si="7"/>
        <v>357696</v>
      </c>
      <c r="I481" s="44" t="s">
        <v>406</v>
      </c>
    </row>
    <row r="482" spans="1:9" hidden="1" x14ac:dyDescent="0.2">
      <c r="A482" s="11">
        <v>207</v>
      </c>
      <c r="B482" s="16">
        <v>44125</v>
      </c>
      <c r="C482" s="13">
        <v>44939</v>
      </c>
      <c r="D482" s="11" t="s">
        <v>338</v>
      </c>
      <c r="E482" s="14">
        <v>12500</v>
      </c>
      <c r="F482" s="11" t="s">
        <v>21</v>
      </c>
      <c r="G482" s="5">
        <v>3.53</v>
      </c>
      <c r="H482" s="36">
        <f t="shared" si="7"/>
        <v>9133875</v>
      </c>
      <c r="I482" s="44" t="s">
        <v>406</v>
      </c>
    </row>
    <row r="483" spans="1:9" hidden="1" x14ac:dyDescent="0.2">
      <c r="A483" s="11">
        <v>181</v>
      </c>
      <c r="B483" s="16">
        <v>21000</v>
      </c>
      <c r="C483" s="13">
        <v>44965</v>
      </c>
      <c r="D483" s="11" t="s">
        <v>304</v>
      </c>
      <c r="E483" s="14">
        <v>6000</v>
      </c>
      <c r="F483" s="11" t="s">
        <v>21</v>
      </c>
      <c r="G483" s="5">
        <v>3.5</v>
      </c>
      <c r="H483" s="36">
        <f t="shared" si="7"/>
        <v>3801000</v>
      </c>
      <c r="I483" s="44" t="s">
        <v>405</v>
      </c>
    </row>
    <row r="484" spans="1:9" hidden="1" x14ac:dyDescent="0.2">
      <c r="A484" s="11">
        <v>181</v>
      </c>
      <c r="B484" s="16">
        <v>10500</v>
      </c>
      <c r="C484" s="13">
        <v>44965</v>
      </c>
      <c r="D484" s="11" t="s">
        <v>304</v>
      </c>
      <c r="E484" s="14">
        <v>3000</v>
      </c>
      <c r="F484" s="11" t="s">
        <v>21</v>
      </c>
      <c r="G484" s="5">
        <v>3.5</v>
      </c>
      <c r="H484" s="36">
        <f t="shared" si="7"/>
        <v>1900500</v>
      </c>
      <c r="I484" s="44" t="s">
        <v>405</v>
      </c>
    </row>
    <row r="485" spans="1:9" hidden="1" x14ac:dyDescent="0.2">
      <c r="A485" s="11">
        <v>180</v>
      </c>
      <c r="B485" s="16">
        <v>126000</v>
      </c>
      <c r="C485" s="13">
        <v>44966</v>
      </c>
      <c r="D485" s="11" t="s">
        <v>304</v>
      </c>
      <c r="E485" s="14">
        <v>36000</v>
      </c>
      <c r="F485" s="11" t="s">
        <v>21</v>
      </c>
      <c r="G485" s="5">
        <v>3.5</v>
      </c>
      <c r="H485" s="36">
        <f t="shared" si="7"/>
        <v>22680000</v>
      </c>
      <c r="I485" s="44" t="s">
        <v>405</v>
      </c>
    </row>
    <row r="486" spans="1:9" hidden="1" x14ac:dyDescent="0.2">
      <c r="A486" s="11">
        <v>165</v>
      </c>
      <c r="B486" s="16">
        <v>136500</v>
      </c>
      <c r="C486" s="13">
        <v>44981</v>
      </c>
      <c r="D486" s="11" t="s">
        <v>304</v>
      </c>
      <c r="E486" s="14">
        <v>39000</v>
      </c>
      <c r="F486" s="11" t="s">
        <v>21</v>
      </c>
      <c r="G486" s="5">
        <v>3.5</v>
      </c>
      <c r="H486" s="36">
        <f t="shared" si="7"/>
        <v>22522500</v>
      </c>
      <c r="I486" s="44" t="s">
        <v>405</v>
      </c>
    </row>
    <row r="487" spans="1:9" hidden="1" x14ac:dyDescent="0.2">
      <c r="A487" s="11">
        <v>159</v>
      </c>
      <c r="B487" s="16">
        <v>94500</v>
      </c>
      <c r="C487" s="13">
        <v>44987</v>
      </c>
      <c r="D487" s="11" t="s">
        <v>304</v>
      </c>
      <c r="E487" s="14">
        <v>27000</v>
      </c>
      <c r="F487" s="11" t="s">
        <v>21</v>
      </c>
      <c r="G487" s="5">
        <v>3.5</v>
      </c>
      <c r="H487" s="36">
        <f t="shared" si="7"/>
        <v>15025500</v>
      </c>
      <c r="I487" s="44" t="s">
        <v>416</v>
      </c>
    </row>
    <row r="488" spans="1:9" hidden="1" x14ac:dyDescent="0.2">
      <c r="A488" s="11">
        <v>159</v>
      </c>
      <c r="B488" s="16">
        <v>21000</v>
      </c>
      <c r="C488" s="13">
        <v>44987</v>
      </c>
      <c r="D488" s="11" t="s">
        <v>304</v>
      </c>
      <c r="E488" s="14">
        <v>6000</v>
      </c>
      <c r="F488" s="11" t="s">
        <v>21</v>
      </c>
      <c r="G488" s="5">
        <v>3.5</v>
      </c>
      <c r="H488" s="36">
        <f t="shared" si="7"/>
        <v>3339000</v>
      </c>
      <c r="I488" s="44" t="s">
        <v>416</v>
      </c>
    </row>
    <row r="489" spans="1:9" hidden="1" x14ac:dyDescent="0.2">
      <c r="A489" s="11">
        <v>159</v>
      </c>
      <c r="B489" s="16">
        <v>94500</v>
      </c>
      <c r="C489" s="13">
        <v>44987</v>
      </c>
      <c r="D489" s="11" t="s">
        <v>304</v>
      </c>
      <c r="E489" s="14">
        <v>27000</v>
      </c>
      <c r="F489" s="11" t="s">
        <v>21</v>
      </c>
      <c r="G489" s="5">
        <v>3.5</v>
      </c>
      <c r="H489" s="36">
        <f t="shared" si="7"/>
        <v>15025500</v>
      </c>
      <c r="I489" s="44" t="s">
        <v>416</v>
      </c>
    </row>
    <row r="490" spans="1:9" hidden="1" x14ac:dyDescent="0.2">
      <c r="A490" s="11">
        <v>154</v>
      </c>
      <c r="B490" s="16">
        <v>21000</v>
      </c>
      <c r="C490" s="13">
        <v>44992</v>
      </c>
      <c r="D490" s="11" t="s">
        <v>304</v>
      </c>
      <c r="E490" s="14">
        <v>6000</v>
      </c>
      <c r="F490" s="11" t="s">
        <v>21</v>
      </c>
      <c r="G490" s="5">
        <v>3.5</v>
      </c>
      <c r="H490" s="36">
        <f t="shared" si="7"/>
        <v>3234000</v>
      </c>
      <c r="I490" s="44" t="s">
        <v>416</v>
      </c>
    </row>
    <row r="491" spans="1:9" hidden="1" x14ac:dyDescent="0.2">
      <c r="A491" s="11">
        <v>154</v>
      </c>
      <c r="B491" s="16">
        <v>84000</v>
      </c>
      <c r="C491" s="13">
        <v>44992</v>
      </c>
      <c r="D491" s="11" t="s">
        <v>304</v>
      </c>
      <c r="E491" s="14">
        <v>24000</v>
      </c>
      <c r="F491" s="11" t="s">
        <v>21</v>
      </c>
      <c r="G491" s="5">
        <v>3.5</v>
      </c>
      <c r="H491" s="36">
        <f t="shared" si="7"/>
        <v>12936000</v>
      </c>
      <c r="I491" s="44" t="s">
        <v>416</v>
      </c>
    </row>
    <row r="492" spans="1:9" hidden="1" x14ac:dyDescent="0.2">
      <c r="A492" s="11">
        <v>154</v>
      </c>
      <c r="B492" s="16">
        <v>346500</v>
      </c>
      <c r="C492" s="13">
        <v>44992</v>
      </c>
      <c r="D492" s="11" t="s">
        <v>304</v>
      </c>
      <c r="E492" s="14">
        <v>99000</v>
      </c>
      <c r="F492" s="11" t="s">
        <v>21</v>
      </c>
      <c r="G492" s="5">
        <v>3.5</v>
      </c>
      <c r="H492" s="36">
        <f t="shared" si="7"/>
        <v>53361000</v>
      </c>
      <c r="I492" s="44" t="s">
        <v>416</v>
      </c>
    </row>
    <row r="493" spans="1:9" hidden="1" x14ac:dyDescent="0.2">
      <c r="A493" s="11">
        <v>154</v>
      </c>
      <c r="B493" s="16">
        <v>10500</v>
      </c>
      <c r="C493" s="13">
        <v>44992</v>
      </c>
      <c r="D493" s="11" t="s">
        <v>304</v>
      </c>
      <c r="E493" s="14">
        <v>3000</v>
      </c>
      <c r="F493" s="11" t="s">
        <v>21</v>
      </c>
      <c r="G493" s="5">
        <v>3.5</v>
      </c>
      <c r="H493" s="36">
        <f t="shared" si="7"/>
        <v>1617000</v>
      </c>
      <c r="I493" s="44" t="s">
        <v>416</v>
      </c>
    </row>
    <row r="494" spans="1:9" hidden="1" x14ac:dyDescent="0.2">
      <c r="A494" s="11">
        <v>144</v>
      </c>
      <c r="B494" s="16">
        <v>441000</v>
      </c>
      <c r="C494" s="13">
        <v>45002</v>
      </c>
      <c r="D494" s="11" t="s">
        <v>304</v>
      </c>
      <c r="E494" s="14">
        <v>126000</v>
      </c>
      <c r="F494" s="11" t="s">
        <v>21</v>
      </c>
      <c r="G494" s="5">
        <v>3.5</v>
      </c>
      <c r="H494" s="36">
        <f t="shared" si="7"/>
        <v>63504000</v>
      </c>
      <c r="I494" s="44" t="s">
        <v>416</v>
      </c>
    </row>
    <row r="495" spans="1:9" hidden="1" x14ac:dyDescent="0.2">
      <c r="A495" s="11">
        <v>144</v>
      </c>
      <c r="B495" s="16">
        <v>94500</v>
      </c>
      <c r="C495" s="13">
        <v>45002</v>
      </c>
      <c r="D495" s="11" t="s">
        <v>304</v>
      </c>
      <c r="E495" s="14">
        <v>27000</v>
      </c>
      <c r="F495" s="11" t="s">
        <v>21</v>
      </c>
      <c r="G495" s="5">
        <v>3.5</v>
      </c>
      <c r="H495" s="36">
        <f t="shared" si="7"/>
        <v>13608000</v>
      </c>
      <c r="I495" s="44" t="s">
        <v>416</v>
      </c>
    </row>
    <row r="496" spans="1:9" hidden="1" x14ac:dyDescent="0.2">
      <c r="A496" s="11">
        <v>144</v>
      </c>
      <c r="B496" s="16">
        <v>21000</v>
      </c>
      <c r="C496" s="13">
        <v>45002</v>
      </c>
      <c r="D496" s="11" t="s">
        <v>304</v>
      </c>
      <c r="E496" s="14">
        <v>6000</v>
      </c>
      <c r="F496" s="11" t="s">
        <v>21</v>
      </c>
      <c r="G496" s="5">
        <v>3.5</v>
      </c>
      <c r="H496" s="36">
        <f t="shared" si="7"/>
        <v>3024000</v>
      </c>
      <c r="I496" s="44" t="s">
        <v>416</v>
      </c>
    </row>
    <row r="497" spans="1:9" hidden="1" x14ac:dyDescent="0.2">
      <c r="A497" s="11">
        <v>133</v>
      </c>
      <c r="B497" s="16">
        <v>44125</v>
      </c>
      <c r="C497" s="13">
        <v>45013</v>
      </c>
      <c r="D497" s="11" t="s">
        <v>338</v>
      </c>
      <c r="E497" s="14">
        <v>12500</v>
      </c>
      <c r="F497" s="11" t="s">
        <v>21</v>
      </c>
      <c r="G497" s="5">
        <v>3.53</v>
      </c>
      <c r="H497" s="36">
        <f t="shared" si="7"/>
        <v>5868625</v>
      </c>
      <c r="I497" s="44" t="s">
        <v>416</v>
      </c>
    </row>
    <row r="498" spans="1:9" hidden="1" x14ac:dyDescent="0.2">
      <c r="A498" s="11">
        <v>133</v>
      </c>
      <c r="B498" s="16">
        <v>5940</v>
      </c>
      <c r="C498" s="13">
        <v>45013</v>
      </c>
      <c r="D498" s="11" t="s">
        <v>339</v>
      </c>
      <c r="E498" s="14">
        <v>12000</v>
      </c>
      <c r="F498" s="11" t="s">
        <v>21</v>
      </c>
      <c r="G498" s="5">
        <v>0.495</v>
      </c>
      <c r="H498" s="36">
        <f t="shared" si="7"/>
        <v>790020</v>
      </c>
      <c r="I498" s="44" t="s">
        <v>416</v>
      </c>
    </row>
    <row r="499" spans="1:9" hidden="1" x14ac:dyDescent="0.2">
      <c r="A499" s="11">
        <v>119</v>
      </c>
      <c r="B499" s="16">
        <v>21000</v>
      </c>
      <c r="C499" s="13">
        <v>45027</v>
      </c>
      <c r="D499" s="11" t="s">
        <v>304</v>
      </c>
      <c r="E499" s="14">
        <v>6000</v>
      </c>
      <c r="F499" s="11" t="s">
        <v>21</v>
      </c>
      <c r="G499" s="5">
        <v>3.5</v>
      </c>
      <c r="H499" s="36">
        <f t="shared" si="7"/>
        <v>2499000</v>
      </c>
      <c r="I499" s="44" t="s">
        <v>417</v>
      </c>
    </row>
    <row r="500" spans="1:9" hidden="1" x14ac:dyDescent="0.2">
      <c r="A500" s="11">
        <v>118</v>
      </c>
      <c r="B500" s="16">
        <v>210000</v>
      </c>
      <c r="C500" s="13">
        <v>45028</v>
      </c>
      <c r="D500" s="11" t="s">
        <v>304</v>
      </c>
      <c r="E500" s="14">
        <v>60000</v>
      </c>
      <c r="F500" s="11" t="s">
        <v>21</v>
      </c>
      <c r="G500" s="5">
        <v>3.5</v>
      </c>
      <c r="H500" s="36">
        <f t="shared" si="7"/>
        <v>24780000</v>
      </c>
      <c r="I500" s="44" t="s">
        <v>417</v>
      </c>
    </row>
    <row r="501" spans="1:9" hidden="1" x14ac:dyDescent="0.2">
      <c r="A501" s="11">
        <v>118</v>
      </c>
      <c r="B501" s="16">
        <v>42000</v>
      </c>
      <c r="C501" s="13">
        <v>45028</v>
      </c>
      <c r="D501" s="11" t="s">
        <v>304</v>
      </c>
      <c r="E501" s="14">
        <v>12000</v>
      </c>
      <c r="F501" s="11" t="s">
        <v>21</v>
      </c>
      <c r="G501" s="5">
        <v>3.5</v>
      </c>
      <c r="H501" s="36">
        <f t="shared" si="7"/>
        <v>4956000</v>
      </c>
      <c r="I501" s="44" t="s">
        <v>417</v>
      </c>
    </row>
    <row r="502" spans="1:9" hidden="1" x14ac:dyDescent="0.2">
      <c r="A502" s="11">
        <v>117</v>
      </c>
      <c r="B502" s="16">
        <v>71801.52</v>
      </c>
      <c r="C502" s="13">
        <v>45029</v>
      </c>
      <c r="D502" s="11" t="s">
        <v>340</v>
      </c>
      <c r="E502" s="14">
        <v>84</v>
      </c>
      <c r="F502" s="11" t="s">
        <v>21</v>
      </c>
      <c r="G502" s="5">
        <v>854.78</v>
      </c>
      <c r="H502" s="36">
        <f t="shared" si="7"/>
        <v>8400777.8399999999</v>
      </c>
      <c r="I502" s="44" t="s">
        <v>417</v>
      </c>
    </row>
    <row r="503" spans="1:9" hidden="1" x14ac:dyDescent="0.2">
      <c r="A503" s="11">
        <v>106</v>
      </c>
      <c r="B503" s="16">
        <v>359007.6</v>
      </c>
      <c r="C503" s="13">
        <v>45040</v>
      </c>
      <c r="D503" s="11" t="s">
        <v>340</v>
      </c>
      <c r="E503" s="14">
        <v>420</v>
      </c>
      <c r="F503" s="11" t="s">
        <v>21</v>
      </c>
      <c r="G503" s="5">
        <v>854.78</v>
      </c>
      <c r="H503" s="36">
        <f t="shared" si="7"/>
        <v>38054805.599999994</v>
      </c>
      <c r="I503" s="44" t="s">
        <v>417</v>
      </c>
    </row>
    <row r="504" spans="1:9" hidden="1" x14ac:dyDescent="0.2">
      <c r="A504" s="11">
        <v>96</v>
      </c>
      <c r="B504" s="16">
        <v>430809.12</v>
      </c>
      <c r="C504" s="13">
        <v>45050</v>
      </c>
      <c r="D504" s="11" t="s">
        <v>340</v>
      </c>
      <c r="E504" s="14">
        <v>504</v>
      </c>
      <c r="F504" s="11" t="s">
        <v>21</v>
      </c>
      <c r="G504" s="5">
        <v>854.78</v>
      </c>
      <c r="H504" s="36">
        <f t="shared" si="7"/>
        <v>41357675.519999996</v>
      </c>
      <c r="I504" s="44" t="s">
        <v>410</v>
      </c>
    </row>
    <row r="505" spans="1:9" hidden="1" x14ac:dyDescent="0.2">
      <c r="A505" s="11">
        <v>95</v>
      </c>
      <c r="B505" s="16">
        <v>2943862.32</v>
      </c>
      <c r="C505" s="13">
        <v>45051</v>
      </c>
      <c r="D505" s="11" t="s">
        <v>340</v>
      </c>
      <c r="E505" s="14">
        <v>3444</v>
      </c>
      <c r="F505" s="11" t="s">
        <v>21</v>
      </c>
      <c r="G505" s="5">
        <v>854.78</v>
      </c>
      <c r="H505" s="36">
        <f t="shared" si="7"/>
        <v>279666920.39999998</v>
      </c>
      <c r="I505" s="44" t="s">
        <v>410</v>
      </c>
    </row>
    <row r="506" spans="1:9" hidden="1" x14ac:dyDescent="0.2">
      <c r="A506" s="11">
        <v>96</v>
      </c>
      <c r="B506" s="16">
        <v>430809.12</v>
      </c>
      <c r="C506" s="13">
        <v>45050</v>
      </c>
      <c r="D506" s="11" t="s">
        <v>340</v>
      </c>
      <c r="E506" s="14">
        <v>504</v>
      </c>
      <c r="F506" s="11" t="s">
        <v>21</v>
      </c>
      <c r="G506" s="5">
        <v>854.78</v>
      </c>
      <c r="H506" s="36">
        <f t="shared" si="7"/>
        <v>41357675.519999996</v>
      </c>
      <c r="I506" s="44" t="s">
        <v>410</v>
      </c>
    </row>
    <row r="507" spans="1:9" hidden="1" x14ac:dyDescent="0.2">
      <c r="A507" s="11">
        <v>96</v>
      </c>
      <c r="B507" s="16">
        <v>430809.12</v>
      </c>
      <c r="C507" s="13">
        <v>45050</v>
      </c>
      <c r="D507" s="11" t="s">
        <v>340</v>
      </c>
      <c r="E507" s="14">
        <v>504</v>
      </c>
      <c r="F507" s="11" t="s">
        <v>21</v>
      </c>
      <c r="G507" s="5">
        <v>854.78</v>
      </c>
      <c r="H507" s="36">
        <f t="shared" si="7"/>
        <v>41357675.519999996</v>
      </c>
      <c r="I507" s="44" t="s">
        <v>410</v>
      </c>
    </row>
    <row r="508" spans="1:9" hidden="1" x14ac:dyDescent="0.2">
      <c r="A508" s="11">
        <v>84</v>
      </c>
      <c r="B508" s="16">
        <v>37610.32</v>
      </c>
      <c r="C508" s="13">
        <v>45062</v>
      </c>
      <c r="D508" s="11" t="s">
        <v>340</v>
      </c>
      <c r="E508" s="14">
        <v>44</v>
      </c>
      <c r="F508" s="11" t="s">
        <v>24</v>
      </c>
      <c r="G508" s="5">
        <v>854.78</v>
      </c>
      <c r="H508" s="36">
        <f t="shared" si="7"/>
        <v>3159266.88</v>
      </c>
      <c r="I508" s="44" t="s">
        <v>410</v>
      </c>
    </row>
    <row r="509" spans="1:9" hidden="1" x14ac:dyDescent="0.2">
      <c r="A509" s="11">
        <v>84</v>
      </c>
      <c r="B509" s="16">
        <v>321397.28000000003</v>
      </c>
      <c r="C509" s="13">
        <v>45062</v>
      </c>
      <c r="D509" s="11" t="s">
        <v>340</v>
      </c>
      <c r="E509" s="14">
        <v>376</v>
      </c>
      <c r="F509" s="11" t="s">
        <v>24</v>
      </c>
      <c r="G509" s="5">
        <v>854.78</v>
      </c>
      <c r="H509" s="36">
        <f t="shared" si="7"/>
        <v>26997371.520000003</v>
      </c>
      <c r="I509" s="44" t="s">
        <v>410</v>
      </c>
    </row>
    <row r="510" spans="1:9" hidden="1" x14ac:dyDescent="0.2">
      <c r="A510" s="11">
        <v>78</v>
      </c>
      <c r="B510" s="16">
        <v>359007.6</v>
      </c>
      <c r="C510" s="13">
        <v>45068</v>
      </c>
      <c r="D510" s="11" t="s">
        <v>340</v>
      </c>
      <c r="E510" s="14">
        <v>420</v>
      </c>
      <c r="F510" s="11" t="s">
        <v>24</v>
      </c>
      <c r="G510" s="5">
        <v>854.78</v>
      </c>
      <c r="H510" s="36">
        <f t="shared" si="7"/>
        <v>28002592.799999997</v>
      </c>
      <c r="I510" s="44" t="s">
        <v>410</v>
      </c>
    </row>
    <row r="511" spans="1:9" hidden="1" x14ac:dyDescent="0.2">
      <c r="A511" s="11">
        <v>77</v>
      </c>
      <c r="B511" s="16">
        <v>3400</v>
      </c>
      <c r="C511" s="13">
        <v>45069</v>
      </c>
      <c r="D511" s="11" t="s">
        <v>337</v>
      </c>
      <c r="E511" s="14">
        <v>5000</v>
      </c>
      <c r="F511" s="11" t="s">
        <v>24</v>
      </c>
      <c r="G511" s="5">
        <v>0.68</v>
      </c>
      <c r="H511" s="36">
        <f t="shared" si="7"/>
        <v>261800</v>
      </c>
      <c r="I511" s="44" t="s">
        <v>410</v>
      </c>
    </row>
    <row r="512" spans="1:9" hidden="1" x14ac:dyDescent="0.2">
      <c r="A512" s="11">
        <v>77</v>
      </c>
      <c r="B512" s="16">
        <v>72720</v>
      </c>
      <c r="C512" s="13">
        <v>45069</v>
      </c>
      <c r="D512" s="11" t="s">
        <v>335</v>
      </c>
      <c r="E512" s="14">
        <v>72000</v>
      </c>
      <c r="F512" s="11" t="s">
        <v>24</v>
      </c>
      <c r="G512" s="5">
        <v>1.01</v>
      </c>
      <c r="H512" s="36">
        <f t="shared" si="7"/>
        <v>5599440</v>
      </c>
      <c r="I512" s="44" t="s">
        <v>410</v>
      </c>
    </row>
    <row r="513" spans="1:9" hidden="1" x14ac:dyDescent="0.2">
      <c r="A513" s="11">
        <v>63</v>
      </c>
      <c r="B513" s="16">
        <v>26730</v>
      </c>
      <c r="C513" s="13">
        <v>45083</v>
      </c>
      <c r="D513" s="11" t="s">
        <v>339</v>
      </c>
      <c r="E513" s="14">
        <v>54000</v>
      </c>
      <c r="F513" s="11" t="s">
        <v>24</v>
      </c>
      <c r="G513" s="5">
        <v>0.495</v>
      </c>
      <c r="H513" s="36">
        <f t="shared" si="7"/>
        <v>1683990</v>
      </c>
      <c r="I513" s="44" t="s">
        <v>407</v>
      </c>
    </row>
    <row r="514" spans="1:9" hidden="1" x14ac:dyDescent="0.2">
      <c r="A514" s="11">
        <v>63</v>
      </c>
      <c r="B514" s="16">
        <v>5600</v>
      </c>
      <c r="C514" s="13">
        <v>45083</v>
      </c>
      <c r="D514" s="11" t="s">
        <v>342</v>
      </c>
      <c r="E514" s="14">
        <v>5000</v>
      </c>
      <c r="F514" s="11" t="s">
        <v>24</v>
      </c>
      <c r="G514" s="5">
        <v>1.1200000000000001</v>
      </c>
      <c r="H514" s="36">
        <f t="shared" si="7"/>
        <v>352800</v>
      </c>
      <c r="I514" s="44" t="s">
        <v>407</v>
      </c>
    </row>
    <row r="515" spans="1:9" hidden="1" x14ac:dyDescent="0.2">
      <c r="A515" s="11">
        <v>63</v>
      </c>
      <c r="B515" s="16">
        <v>211800</v>
      </c>
      <c r="C515" s="13">
        <v>45083</v>
      </c>
      <c r="D515" s="11" t="s">
        <v>338</v>
      </c>
      <c r="E515" s="14">
        <v>60000</v>
      </c>
      <c r="F515" s="11" t="s">
        <v>24</v>
      </c>
      <c r="G515" s="5">
        <v>3.53</v>
      </c>
      <c r="H515" s="36">
        <f t="shared" ref="H515:H578" si="8">B515*A515</f>
        <v>13343400</v>
      </c>
      <c r="I515" s="44" t="s">
        <v>407</v>
      </c>
    </row>
    <row r="516" spans="1:9" hidden="1" x14ac:dyDescent="0.2">
      <c r="A516" s="11">
        <v>56</v>
      </c>
      <c r="B516" s="16">
        <v>71801.52</v>
      </c>
      <c r="C516" s="13">
        <v>45090</v>
      </c>
      <c r="D516" s="11" t="s">
        <v>340</v>
      </c>
      <c r="E516" s="14">
        <v>84</v>
      </c>
      <c r="F516" s="11" t="s">
        <v>22</v>
      </c>
      <c r="G516" s="5">
        <v>854.78</v>
      </c>
      <c r="H516" s="36">
        <f t="shared" si="8"/>
        <v>4020885.12</v>
      </c>
      <c r="I516" s="44" t="s">
        <v>407</v>
      </c>
    </row>
    <row r="517" spans="1:9" hidden="1" x14ac:dyDescent="0.2">
      <c r="A517" s="11">
        <v>56</v>
      </c>
      <c r="B517" s="16">
        <v>143603.04</v>
      </c>
      <c r="C517" s="13">
        <v>45090</v>
      </c>
      <c r="D517" s="11" t="s">
        <v>340</v>
      </c>
      <c r="E517" s="14">
        <v>168</v>
      </c>
      <c r="F517" s="11" t="s">
        <v>22</v>
      </c>
      <c r="G517" s="5">
        <v>854.78</v>
      </c>
      <c r="H517" s="36">
        <f t="shared" si="8"/>
        <v>8041770.2400000002</v>
      </c>
      <c r="I517" s="44" t="s">
        <v>407</v>
      </c>
    </row>
    <row r="518" spans="1:9" hidden="1" x14ac:dyDescent="0.2">
      <c r="A518" s="11">
        <v>56</v>
      </c>
      <c r="B518" s="16">
        <v>430809.12</v>
      </c>
      <c r="C518" s="13">
        <v>45090</v>
      </c>
      <c r="D518" s="11" t="s">
        <v>340</v>
      </c>
      <c r="E518" s="14">
        <v>504</v>
      </c>
      <c r="F518" s="11" t="s">
        <v>22</v>
      </c>
      <c r="G518" s="5">
        <v>854.78</v>
      </c>
      <c r="H518" s="36">
        <f t="shared" si="8"/>
        <v>24125310.719999999</v>
      </c>
      <c r="I518" s="44" t="s">
        <v>407</v>
      </c>
    </row>
    <row r="519" spans="1:9" hidden="1" x14ac:dyDescent="0.2">
      <c r="A519" s="11">
        <v>56</v>
      </c>
      <c r="B519" s="16">
        <v>359007.6</v>
      </c>
      <c r="C519" s="13">
        <v>45090</v>
      </c>
      <c r="D519" s="11" t="s">
        <v>340</v>
      </c>
      <c r="E519" s="14">
        <v>420</v>
      </c>
      <c r="F519" s="11" t="s">
        <v>22</v>
      </c>
      <c r="G519" s="5">
        <v>854.78</v>
      </c>
      <c r="H519" s="36">
        <f t="shared" si="8"/>
        <v>20104425.599999998</v>
      </c>
      <c r="I519" s="44" t="s">
        <v>407</v>
      </c>
    </row>
    <row r="520" spans="1:9" hidden="1" x14ac:dyDescent="0.2">
      <c r="A520" s="11">
        <v>54</v>
      </c>
      <c r="B520" s="16">
        <v>8400</v>
      </c>
      <c r="C520" s="13">
        <v>45092</v>
      </c>
      <c r="D520" s="11" t="s">
        <v>308</v>
      </c>
      <c r="E520" s="14">
        <v>4000</v>
      </c>
      <c r="F520" s="11" t="s">
        <v>22</v>
      </c>
      <c r="G520" s="5">
        <v>2.1</v>
      </c>
      <c r="H520" s="36">
        <f t="shared" si="8"/>
        <v>453600</v>
      </c>
      <c r="I520" s="44" t="s">
        <v>407</v>
      </c>
    </row>
    <row r="521" spans="1:9" hidden="1" x14ac:dyDescent="0.2">
      <c r="A521" s="11">
        <v>53</v>
      </c>
      <c r="B521" s="16">
        <v>430809.12</v>
      </c>
      <c r="C521" s="13">
        <v>45093</v>
      </c>
      <c r="D521" s="11" t="s">
        <v>340</v>
      </c>
      <c r="E521" s="14">
        <v>504</v>
      </c>
      <c r="F521" s="11" t="s">
        <v>22</v>
      </c>
      <c r="G521" s="5">
        <v>854.78</v>
      </c>
      <c r="H521" s="36">
        <f t="shared" si="8"/>
        <v>22832883.359999999</v>
      </c>
      <c r="I521" s="44" t="s">
        <v>407</v>
      </c>
    </row>
    <row r="522" spans="1:9" hidden="1" x14ac:dyDescent="0.2">
      <c r="A522" s="11">
        <v>53</v>
      </c>
      <c r="B522" s="16">
        <v>71801.52</v>
      </c>
      <c r="C522" s="13">
        <v>45093</v>
      </c>
      <c r="D522" s="11" t="s">
        <v>340</v>
      </c>
      <c r="E522" s="14">
        <v>84</v>
      </c>
      <c r="F522" s="11" t="s">
        <v>22</v>
      </c>
      <c r="G522" s="5">
        <v>854.78</v>
      </c>
      <c r="H522" s="36">
        <f t="shared" si="8"/>
        <v>3805480.56</v>
      </c>
      <c r="I522" s="44" t="s">
        <v>407</v>
      </c>
    </row>
    <row r="523" spans="1:9" hidden="1" x14ac:dyDescent="0.2">
      <c r="A523" s="11">
        <v>47</v>
      </c>
      <c r="B523" s="16">
        <v>71801.52</v>
      </c>
      <c r="C523" s="13">
        <v>45099</v>
      </c>
      <c r="D523" s="11" t="s">
        <v>340</v>
      </c>
      <c r="E523" s="14">
        <v>84</v>
      </c>
      <c r="F523" s="11" t="s">
        <v>22</v>
      </c>
      <c r="G523" s="5">
        <v>854.78</v>
      </c>
      <c r="H523" s="36">
        <f t="shared" si="8"/>
        <v>3374671.4400000004</v>
      </c>
      <c r="I523" s="44" t="s">
        <v>407</v>
      </c>
    </row>
    <row r="524" spans="1:9" hidden="1" x14ac:dyDescent="0.2">
      <c r="A524" s="11">
        <v>47</v>
      </c>
      <c r="B524" s="16">
        <v>71801.52</v>
      </c>
      <c r="C524" s="13">
        <v>45099</v>
      </c>
      <c r="D524" s="11" t="s">
        <v>340</v>
      </c>
      <c r="E524" s="14">
        <v>84</v>
      </c>
      <c r="F524" s="11" t="s">
        <v>22</v>
      </c>
      <c r="G524" s="5">
        <v>854.78</v>
      </c>
      <c r="H524" s="36">
        <f t="shared" si="8"/>
        <v>3374671.4400000004</v>
      </c>
      <c r="I524" s="44" t="s">
        <v>407</v>
      </c>
    </row>
    <row r="525" spans="1:9" hidden="1" x14ac:dyDescent="0.2">
      <c r="A525" s="11">
        <v>46</v>
      </c>
      <c r="B525" s="16">
        <v>71801.52</v>
      </c>
      <c r="C525" s="13">
        <v>45100</v>
      </c>
      <c r="D525" s="11" t="s">
        <v>340</v>
      </c>
      <c r="E525" s="14">
        <v>84</v>
      </c>
      <c r="F525" s="11" t="s">
        <v>22</v>
      </c>
      <c r="G525" s="5">
        <v>854.78</v>
      </c>
      <c r="H525" s="36">
        <f t="shared" si="8"/>
        <v>3302869.9200000004</v>
      </c>
      <c r="I525" s="44" t="s">
        <v>407</v>
      </c>
    </row>
    <row r="526" spans="1:9" hidden="1" x14ac:dyDescent="0.2">
      <c r="A526" s="11">
        <v>29</v>
      </c>
      <c r="B526" s="16">
        <v>16800</v>
      </c>
      <c r="C526" s="13">
        <v>45117</v>
      </c>
      <c r="D526" s="11" t="s">
        <v>308</v>
      </c>
      <c r="E526" s="14">
        <v>8000</v>
      </c>
      <c r="F526" s="11" t="s">
        <v>23</v>
      </c>
      <c r="G526" s="5">
        <v>2.1</v>
      </c>
      <c r="H526" s="36">
        <f t="shared" si="8"/>
        <v>487200</v>
      </c>
      <c r="I526" s="44" t="s">
        <v>408</v>
      </c>
    </row>
    <row r="527" spans="1:9" hidden="1" x14ac:dyDescent="0.2">
      <c r="A527" s="11">
        <v>21</v>
      </c>
      <c r="B527" s="16">
        <v>71801.52</v>
      </c>
      <c r="C527" s="13">
        <v>45125</v>
      </c>
      <c r="D527" s="11" t="s">
        <v>340</v>
      </c>
      <c r="E527" s="14">
        <v>84</v>
      </c>
      <c r="F527" s="11" t="s">
        <v>23</v>
      </c>
      <c r="G527" s="5">
        <v>854.78</v>
      </c>
      <c r="H527" s="36">
        <f t="shared" si="8"/>
        <v>1507831.9200000002</v>
      </c>
      <c r="I527" s="44" t="s">
        <v>408</v>
      </c>
    </row>
    <row r="528" spans="1:9" hidden="1" x14ac:dyDescent="0.2">
      <c r="A528" s="11">
        <v>657</v>
      </c>
      <c r="B528" s="16">
        <v>1310.4000000000001</v>
      </c>
      <c r="C528" s="13">
        <v>44489</v>
      </c>
      <c r="D528" s="11" t="s">
        <v>343</v>
      </c>
      <c r="E528" s="14">
        <v>1820</v>
      </c>
      <c r="F528" s="11" t="s">
        <v>21</v>
      </c>
      <c r="G528" s="5">
        <v>0.72</v>
      </c>
      <c r="H528" s="36">
        <f t="shared" si="8"/>
        <v>860932.8</v>
      </c>
      <c r="I528" s="44" t="s">
        <v>424</v>
      </c>
    </row>
    <row r="529" spans="1:9" hidden="1" x14ac:dyDescent="0.2">
      <c r="A529" s="11">
        <v>558</v>
      </c>
      <c r="B529" s="16">
        <v>26949.78</v>
      </c>
      <c r="C529" s="13">
        <v>44588</v>
      </c>
      <c r="D529" s="11" t="s">
        <v>344</v>
      </c>
      <c r="E529" s="14">
        <v>11</v>
      </c>
      <c r="F529" s="11" t="s">
        <v>21</v>
      </c>
      <c r="G529" s="5">
        <v>2449.98</v>
      </c>
      <c r="H529" s="36">
        <f t="shared" si="8"/>
        <v>15037977.24</v>
      </c>
      <c r="I529" s="44" t="s">
        <v>421</v>
      </c>
    </row>
    <row r="530" spans="1:9" hidden="1" x14ac:dyDescent="0.2">
      <c r="A530" s="11">
        <v>474</v>
      </c>
      <c r="B530" s="16">
        <v>18802.5</v>
      </c>
      <c r="C530" s="13">
        <v>44672</v>
      </c>
      <c r="D530" s="11" t="s">
        <v>345</v>
      </c>
      <c r="E530" s="14">
        <v>115</v>
      </c>
      <c r="F530" s="11" t="s">
        <v>21</v>
      </c>
      <c r="G530" s="5">
        <v>163.5</v>
      </c>
      <c r="H530" s="36">
        <f t="shared" si="8"/>
        <v>8912385</v>
      </c>
      <c r="I530" s="44" t="s">
        <v>422</v>
      </c>
    </row>
    <row r="531" spans="1:9" hidden="1" x14ac:dyDescent="0.2">
      <c r="A531" s="11">
        <v>323</v>
      </c>
      <c r="B531" s="16">
        <v>21223.439999999999</v>
      </c>
      <c r="C531" s="13">
        <v>44823</v>
      </c>
      <c r="D531" s="11" t="s">
        <v>295</v>
      </c>
      <c r="E531" s="14">
        <v>252</v>
      </c>
      <c r="F531" s="11" t="s">
        <v>21</v>
      </c>
      <c r="G531" s="5">
        <v>84.22</v>
      </c>
      <c r="H531" s="36">
        <f t="shared" si="8"/>
        <v>6855171.1199999992</v>
      </c>
      <c r="I531" s="44" t="s">
        <v>411</v>
      </c>
    </row>
    <row r="532" spans="1:9" hidden="1" x14ac:dyDescent="0.2">
      <c r="A532" s="11">
        <v>309</v>
      </c>
      <c r="B532" s="16">
        <v>50954.400000000001</v>
      </c>
      <c r="C532" s="13">
        <v>44837</v>
      </c>
      <c r="D532" s="11" t="s">
        <v>241</v>
      </c>
      <c r="E532" s="14">
        <v>3780</v>
      </c>
      <c r="F532" s="11" t="s">
        <v>21</v>
      </c>
      <c r="G532" s="5">
        <v>13.48</v>
      </c>
      <c r="H532" s="36">
        <f t="shared" si="8"/>
        <v>15744909.6</v>
      </c>
      <c r="I532" s="44" t="s">
        <v>425</v>
      </c>
    </row>
    <row r="533" spans="1:9" hidden="1" x14ac:dyDescent="0.2">
      <c r="A533" s="11">
        <v>307</v>
      </c>
      <c r="B533" s="16">
        <v>24361.5</v>
      </c>
      <c r="C533" s="13">
        <v>44839</v>
      </c>
      <c r="D533" s="11" t="s">
        <v>345</v>
      </c>
      <c r="E533" s="14">
        <v>149</v>
      </c>
      <c r="F533" s="11" t="s">
        <v>21</v>
      </c>
      <c r="G533" s="5">
        <v>163.5</v>
      </c>
      <c r="H533" s="36">
        <f t="shared" si="8"/>
        <v>7478980.5</v>
      </c>
      <c r="I533" s="44" t="s">
        <v>425</v>
      </c>
    </row>
    <row r="534" spans="1:9" hidden="1" x14ac:dyDescent="0.2">
      <c r="A534" s="11">
        <v>298</v>
      </c>
      <c r="B534" s="16">
        <v>683544.42</v>
      </c>
      <c r="C534" s="13">
        <v>44848</v>
      </c>
      <c r="D534" s="11" t="s">
        <v>344</v>
      </c>
      <c r="E534" s="14">
        <v>279</v>
      </c>
      <c r="F534" s="11" t="s">
        <v>21</v>
      </c>
      <c r="G534" s="5">
        <v>2449.98</v>
      </c>
      <c r="H534" s="36">
        <f t="shared" si="8"/>
        <v>203696237.16000003</v>
      </c>
      <c r="I534" s="44" t="s">
        <v>425</v>
      </c>
    </row>
    <row r="535" spans="1:9" hidden="1" x14ac:dyDescent="0.2">
      <c r="A535" s="11">
        <v>292</v>
      </c>
      <c r="B535" s="16">
        <v>40292.639999999999</v>
      </c>
      <c r="C535" s="13">
        <v>44854</v>
      </c>
      <c r="D535" s="11" t="s">
        <v>239</v>
      </c>
      <c r="E535" s="14">
        <v>144</v>
      </c>
      <c r="F535" s="11" t="s">
        <v>21</v>
      </c>
      <c r="G535" s="5">
        <v>279.81</v>
      </c>
      <c r="H535" s="36">
        <f t="shared" si="8"/>
        <v>11765450.879999999</v>
      </c>
      <c r="I535" s="44" t="s">
        <v>425</v>
      </c>
    </row>
    <row r="536" spans="1:9" hidden="1" x14ac:dyDescent="0.2">
      <c r="A536" s="11">
        <v>148</v>
      </c>
      <c r="B536" s="16">
        <v>10766.4</v>
      </c>
      <c r="C536" s="13">
        <v>44998</v>
      </c>
      <c r="D536" s="11" t="s">
        <v>295</v>
      </c>
      <c r="E536" s="14">
        <v>120</v>
      </c>
      <c r="F536" s="11" t="s">
        <v>21</v>
      </c>
      <c r="G536" s="5">
        <v>89.72</v>
      </c>
      <c r="H536" s="36">
        <f t="shared" si="8"/>
        <v>1593427.2</v>
      </c>
      <c r="I536" s="44" t="s">
        <v>416</v>
      </c>
    </row>
    <row r="537" spans="1:9" hidden="1" x14ac:dyDescent="0.2">
      <c r="A537" s="11">
        <v>148</v>
      </c>
      <c r="B537" s="16">
        <v>34126.92</v>
      </c>
      <c r="C537" s="13">
        <v>44998</v>
      </c>
      <c r="D537" s="11" t="s">
        <v>237</v>
      </c>
      <c r="E537" s="14">
        <v>324</v>
      </c>
      <c r="F537" s="11" t="s">
        <v>21</v>
      </c>
      <c r="G537" s="5">
        <v>105.33</v>
      </c>
      <c r="H537" s="36">
        <f t="shared" si="8"/>
        <v>5050784.16</v>
      </c>
      <c r="I537" s="44" t="s">
        <v>416</v>
      </c>
    </row>
    <row r="538" spans="1:9" hidden="1" x14ac:dyDescent="0.2">
      <c r="A538" s="11">
        <v>139</v>
      </c>
      <c r="B538" s="16">
        <v>9689.76</v>
      </c>
      <c r="C538" s="13">
        <v>45007</v>
      </c>
      <c r="D538" s="11" t="s">
        <v>295</v>
      </c>
      <c r="E538" s="14">
        <v>108</v>
      </c>
      <c r="F538" s="11" t="s">
        <v>21</v>
      </c>
      <c r="G538" s="5">
        <v>89.72</v>
      </c>
      <c r="H538" s="36">
        <f t="shared" si="8"/>
        <v>1346876.6400000001</v>
      </c>
      <c r="I538" s="44" t="s">
        <v>416</v>
      </c>
    </row>
    <row r="539" spans="1:9" hidden="1" x14ac:dyDescent="0.2">
      <c r="A539" s="11">
        <v>133</v>
      </c>
      <c r="B539" s="16">
        <v>155361.35999999999</v>
      </c>
      <c r="C539" s="13">
        <v>45013</v>
      </c>
      <c r="D539" s="11" t="s">
        <v>299</v>
      </c>
      <c r="E539" s="14">
        <v>1176</v>
      </c>
      <c r="F539" s="11" t="s">
        <v>21</v>
      </c>
      <c r="G539" s="5">
        <v>132.11000000000001</v>
      </c>
      <c r="H539" s="36">
        <f t="shared" si="8"/>
        <v>20663060.879999999</v>
      </c>
      <c r="I539" s="44" t="s">
        <v>416</v>
      </c>
    </row>
    <row r="540" spans="1:9" hidden="1" x14ac:dyDescent="0.2">
      <c r="A540" s="11">
        <v>132</v>
      </c>
      <c r="B540" s="16">
        <v>77680.679999999993</v>
      </c>
      <c r="C540" s="13">
        <v>45014</v>
      </c>
      <c r="D540" s="11" t="s">
        <v>299</v>
      </c>
      <c r="E540" s="14">
        <v>588</v>
      </c>
      <c r="F540" s="11" t="s">
        <v>21</v>
      </c>
      <c r="G540" s="5">
        <v>132.11000000000001</v>
      </c>
      <c r="H540" s="36">
        <f t="shared" si="8"/>
        <v>10253849.76</v>
      </c>
      <c r="I540" s="44" t="s">
        <v>416</v>
      </c>
    </row>
    <row r="541" spans="1:9" hidden="1" x14ac:dyDescent="0.2">
      <c r="A541" s="11">
        <v>132</v>
      </c>
      <c r="B541" s="16">
        <v>1890</v>
      </c>
      <c r="C541" s="13">
        <v>45014</v>
      </c>
      <c r="D541" s="11" t="s">
        <v>238</v>
      </c>
      <c r="E541" s="14">
        <v>1000</v>
      </c>
      <c r="F541" s="11" t="s">
        <v>21</v>
      </c>
      <c r="G541" s="5">
        <v>1.89</v>
      </c>
      <c r="H541" s="36">
        <f t="shared" si="8"/>
        <v>249480</v>
      </c>
      <c r="I541" s="44" t="s">
        <v>416</v>
      </c>
    </row>
    <row r="542" spans="1:9" hidden="1" x14ac:dyDescent="0.2">
      <c r="A542" s="11">
        <v>132</v>
      </c>
      <c r="B542" s="16">
        <v>3780</v>
      </c>
      <c r="C542" s="13">
        <v>45014</v>
      </c>
      <c r="D542" s="11" t="s">
        <v>238</v>
      </c>
      <c r="E542" s="14">
        <v>2000</v>
      </c>
      <c r="F542" s="11" t="s">
        <v>21</v>
      </c>
      <c r="G542" s="5">
        <v>1.89</v>
      </c>
      <c r="H542" s="36">
        <f t="shared" si="8"/>
        <v>498960</v>
      </c>
      <c r="I542" s="44" t="s">
        <v>416</v>
      </c>
    </row>
    <row r="543" spans="1:9" hidden="1" x14ac:dyDescent="0.2">
      <c r="A543" s="11">
        <v>132</v>
      </c>
      <c r="B543" s="16">
        <v>301273.2</v>
      </c>
      <c r="C543" s="13">
        <v>45014</v>
      </c>
      <c r="D543" s="11" t="s">
        <v>267</v>
      </c>
      <c r="E543" s="14">
        <v>360</v>
      </c>
      <c r="F543" s="11" t="s">
        <v>21</v>
      </c>
      <c r="G543" s="5">
        <v>836.87</v>
      </c>
      <c r="H543" s="36">
        <f t="shared" si="8"/>
        <v>39768062.399999999</v>
      </c>
      <c r="I543" s="44" t="s">
        <v>416</v>
      </c>
    </row>
    <row r="544" spans="1:9" hidden="1" x14ac:dyDescent="0.2">
      <c r="A544" s="11">
        <v>131</v>
      </c>
      <c r="B544" s="16">
        <v>9752.64</v>
      </c>
      <c r="C544" s="13">
        <v>45015</v>
      </c>
      <c r="D544" s="11" t="s">
        <v>297</v>
      </c>
      <c r="E544" s="14">
        <v>48</v>
      </c>
      <c r="F544" s="11" t="s">
        <v>21</v>
      </c>
      <c r="G544" s="5">
        <v>203.18</v>
      </c>
      <c r="H544" s="36">
        <f t="shared" si="8"/>
        <v>1277595.8399999999</v>
      </c>
      <c r="I544" s="44" t="s">
        <v>416</v>
      </c>
    </row>
    <row r="545" spans="1:9" hidden="1" x14ac:dyDescent="0.2">
      <c r="A545" s="11">
        <v>130</v>
      </c>
      <c r="B545" s="16">
        <v>60722.76</v>
      </c>
      <c r="C545" s="13">
        <v>45016</v>
      </c>
      <c r="D545" s="11" t="s">
        <v>251</v>
      </c>
      <c r="E545" s="14">
        <v>588</v>
      </c>
      <c r="F545" s="11" t="s">
        <v>21</v>
      </c>
      <c r="G545" s="5">
        <v>103.27</v>
      </c>
      <c r="H545" s="36">
        <f t="shared" si="8"/>
        <v>7893958.7999999998</v>
      </c>
      <c r="I545" s="44" t="s">
        <v>416</v>
      </c>
    </row>
    <row r="546" spans="1:9" hidden="1" x14ac:dyDescent="0.2">
      <c r="A546" s="11">
        <v>125</v>
      </c>
      <c r="B546" s="16">
        <v>2179.1999999999998</v>
      </c>
      <c r="C546" s="13">
        <v>45021</v>
      </c>
      <c r="D546" s="11" t="s">
        <v>313</v>
      </c>
      <c r="E546" s="14">
        <v>240</v>
      </c>
      <c r="F546" s="11" t="s">
        <v>21</v>
      </c>
      <c r="G546" s="5">
        <v>9.08</v>
      </c>
      <c r="H546" s="36">
        <f t="shared" si="8"/>
        <v>272400</v>
      </c>
      <c r="I546" s="44" t="s">
        <v>417</v>
      </c>
    </row>
    <row r="547" spans="1:9" hidden="1" x14ac:dyDescent="0.2">
      <c r="A547" s="11">
        <v>125</v>
      </c>
      <c r="B547" s="16">
        <v>3840</v>
      </c>
      <c r="C547" s="13">
        <v>45021</v>
      </c>
      <c r="D547" s="11" t="s">
        <v>262</v>
      </c>
      <c r="E547" s="14">
        <v>3000</v>
      </c>
      <c r="F547" s="11" t="s">
        <v>21</v>
      </c>
      <c r="G547" s="5">
        <v>1.28</v>
      </c>
      <c r="H547" s="36">
        <f t="shared" si="8"/>
        <v>480000</v>
      </c>
      <c r="I547" s="44" t="s">
        <v>417</v>
      </c>
    </row>
    <row r="548" spans="1:9" hidden="1" x14ac:dyDescent="0.2">
      <c r="A548" s="11">
        <v>109</v>
      </c>
      <c r="B548" s="16">
        <v>900</v>
      </c>
      <c r="C548" s="13">
        <v>45037</v>
      </c>
      <c r="D548" s="11" t="s">
        <v>294</v>
      </c>
      <c r="E548" s="14">
        <v>9000</v>
      </c>
      <c r="F548" s="11" t="s">
        <v>21</v>
      </c>
      <c r="G548" s="5">
        <v>0.1</v>
      </c>
      <c r="H548" s="36">
        <f t="shared" si="8"/>
        <v>98100</v>
      </c>
      <c r="I548" s="44" t="s">
        <v>417</v>
      </c>
    </row>
    <row r="549" spans="1:9" hidden="1" x14ac:dyDescent="0.2">
      <c r="A549" s="11">
        <v>102</v>
      </c>
      <c r="B549" s="16">
        <v>40961.9</v>
      </c>
      <c r="C549" s="13">
        <v>45044</v>
      </c>
      <c r="D549" s="11" t="s">
        <v>346</v>
      </c>
      <c r="E549" s="14">
        <v>70</v>
      </c>
      <c r="F549" s="11" t="s">
        <v>21</v>
      </c>
      <c r="G549" s="5">
        <v>585.16999999999996</v>
      </c>
      <c r="H549" s="36">
        <f t="shared" si="8"/>
        <v>4178113.8000000003</v>
      </c>
      <c r="I549" s="44" t="s">
        <v>417</v>
      </c>
    </row>
    <row r="550" spans="1:9" hidden="1" x14ac:dyDescent="0.2">
      <c r="A550" s="11">
        <v>87</v>
      </c>
      <c r="B550" s="16">
        <v>130243.68</v>
      </c>
      <c r="C550" s="13">
        <v>45059</v>
      </c>
      <c r="D550" s="11" t="s">
        <v>242</v>
      </c>
      <c r="E550" s="14">
        <v>3024</v>
      </c>
      <c r="F550" s="11" t="s">
        <v>24</v>
      </c>
      <c r="G550" s="5">
        <v>43.07</v>
      </c>
      <c r="H550" s="36">
        <f t="shared" si="8"/>
        <v>11331200.16</v>
      </c>
      <c r="I550" s="44" t="s">
        <v>410</v>
      </c>
    </row>
    <row r="551" spans="1:9" hidden="1" x14ac:dyDescent="0.2">
      <c r="A551" s="11">
        <v>85</v>
      </c>
      <c r="B551" s="16">
        <v>71648.639999999999</v>
      </c>
      <c r="C551" s="13">
        <v>45061</v>
      </c>
      <c r="D551" s="11" t="s">
        <v>298</v>
      </c>
      <c r="E551" s="14">
        <v>1008</v>
      </c>
      <c r="F551" s="11" t="s">
        <v>24</v>
      </c>
      <c r="G551" s="5">
        <v>71.08</v>
      </c>
      <c r="H551" s="36">
        <f t="shared" si="8"/>
        <v>6090134.4000000004</v>
      </c>
      <c r="I551" s="44" t="s">
        <v>410</v>
      </c>
    </row>
    <row r="552" spans="1:9" hidden="1" x14ac:dyDescent="0.2">
      <c r="A552" s="11">
        <v>84</v>
      </c>
      <c r="B552" s="16">
        <v>765736.05</v>
      </c>
      <c r="C552" s="13">
        <v>45062</v>
      </c>
      <c r="D552" s="11" t="s">
        <v>267</v>
      </c>
      <c r="E552" s="14">
        <v>915</v>
      </c>
      <c r="F552" s="11" t="s">
        <v>24</v>
      </c>
      <c r="G552" s="5">
        <v>836.87</v>
      </c>
      <c r="H552" s="36">
        <f t="shared" si="8"/>
        <v>64321828.200000003</v>
      </c>
      <c r="I552" s="44" t="s">
        <v>410</v>
      </c>
    </row>
    <row r="553" spans="1:9" hidden="1" x14ac:dyDescent="0.2">
      <c r="A553" s="11">
        <v>74</v>
      </c>
      <c r="B553" s="16">
        <v>347044.5</v>
      </c>
      <c r="C553" s="13">
        <v>45072</v>
      </c>
      <c r="D553" s="11" t="s">
        <v>248</v>
      </c>
      <c r="E553" s="14">
        <v>810</v>
      </c>
      <c r="F553" s="11" t="s">
        <v>24</v>
      </c>
      <c r="G553" s="5">
        <v>428.45</v>
      </c>
      <c r="H553" s="36">
        <f t="shared" si="8"/>
        <v>25681293</v>
      </c>
      <c r="I553" s="44" t="s">
        <v>410</v>
      </c>
    </row>
    <row r="554" spans="1:9" hidden="1" x14ac:dyDescent="0.2">
      <c r="A554" s="11">
        <v>69</v>
      </c>
      <c r="B554" s="16">
        <v>1005</v>
      </c>
      <c r="C554" s="13">
        <v>45077</v>
      </c>
      <c r="D554" s="11" t="s">
        <v>263</v>
      </c>
      <c r="E554" s="14">
        <v>1500</v>
      </c>
      <c r="F554" s="11" t="s">
        <v>24</v>
      </c>
      <c r="G554" s="5">
        <v>0.67</v>
      </c>
      <c r="H554" s="36">
        <f t="shared" si="8"/>
        <v>69345</v>
      </c>
      <c r="I554" s="44" t="s">
        <v>410</v>
      </c>
    </row>
    <row r="555" spans="1:9" hidden="1" x14ac:dyDescent="0.2">
      <c r="A555" s="11">
        <v>59</v>
      </c>
      <c r="B555" s="16">
        <v>200848.8</v>
      </c>
      <c r="C555" s="13">
        <v>45087</v>
      </c>
      <c r="D555" s="11" t="s">
        <v>267</v>
      </c>
      <c r="E555" s="14">
        <v>240</v>
      </c>
      <c r="F555" s="11" t="s">
        <v>22</v>
      </c>
      <c r="G555" s="5">
        <v>836.87</v>
      </c>
      <c r="H555" s="36">
        <f t="shared" si="8"/>
        <v>11850079.199999999</v>
      </c>
      <c r="I555" s="44" t="s">
        <v>407</v>
      </c>
    </row>
    <row r="556" spans="1:9" hidden="1" x14ac:dyDescent="0.2">
      <c r="A556" s="11">
        <v>59</v>
      </c>
      <c r="B556" s="16">
        <v>12553.05</v>
      </c>
      <c r="C556" s="13">
        <v>45087</v>
      </c>
      <c r="D556" s="11" t="s">
        <v>267</v>
      </c>
      <c r="E556" s="14">
        <v>15</v>
      </c>
      <c r="F556" s="11" t="s">
        <v>22</v>
      </c>
      <c r="G556" s="5">
        <v>836.87</v>
      </c>
      <c r="H556" s="36">
        <f t="shared" si="8"/>
        <v>740629.95</v>
      </c>
      <c r="I556" s="44" t="s">
        <v>407</v>
      </c>
    </row>
    <row r="557" spans="1:9" hidden="1" x14ac:dyDescent="0.2">
      <c r="A557" s="11">
        <v>59</v>
      </c>
      <c r="B557" s="16">
        <v>60710.34</v>
      </c>
      <c r="C557" s="13">
        <v>45087</v>
      </c>
      <c r="D557" s="11" t="s">
        <v>240</v>
      </c>
      <c r="E557" s="14">
        <v>138</v>
      </c>
      <c r="F557" s="11" t="s">
        <v>22</v>
      </c>
      <c r="G557" s="5">
        <v>439.93</v>
      </c>
      <c r="H557" s="36">
        <f t="shared" si="8"/>
        <v>3581910.0599999996</v>
      </c>
      <c r="I557" s="44" t="s">
        <v>407</v>
      </c>
    </row>
    <row r="558" spans="1:9" hidden="1" x14ac:dyDescent="0.2">
      <c r="A558" s="11">
        <v>52</v>
      </c>
      <c r="B558" s="16">
        <v>10766.4</v>
      </c>
      <c r="C558" s="13">
        <v>45094</v>
      </c>
      <c r="D558" s="11" t="s">
        <v>295</v>
      </c>
      <c r="E558" s="14">
        <v>120</v>
      </c>
      <c r="F558" s="11" t="s">
        <v>22</v>
      </c>
      <c r="G558" s="5">
        <v>89.72</v>
      </c>
      <c r="H558" s="36">
        <f t="shared" si="8"/>
        <v>559852.79999999993</v>
      </c>
      <c r="I558" s="44" t="s">
        <v>407</v>
      </c>
    </row>
    <row r="559" spans="1:9" hidden="1" x14ac:dyDescent="0.2">
      <c r="A559" s="11">
        <v>50</v>
      </c>
      <c r="B559" s="16">
        <v>35592</v>
      </c>
      <c r="C559" s="13">
        <v>45096</v>
      </c>
      <c r="D559" s="11" t="s">
        <v>239</v>
      </c>
      <c r="E559" s="14">
        <v>120</v>
      </c>
      <c r="F559" s="11" t="s">
        <v>22</v>
      </c>
      <c r="G559" s="5">
        <v>296.60000000000002</v>
      </c>
      <c r="H559" s="36">
        <f t="shared" si="8"/>
        <v>1779600</v>
      </c>
      <c r="I559" s="44" t="s">
        <v>407</v>
      </c>
    </row>
    <row r="560" spans="1:9" hidden="1" x14ac:dyDescent="0.2">
      <c r="A560" s="11">
        <v>49</v>
      </c>
      <c r="B560" s="16">
        <v>238888.44</v>
      </c>
      <c r="C560" s="13">
        <v>45097</v>
      </c>
      <c r="D560" s="11" t="s">
        <v>237</v>
      </c>
      <c r="E560" s="14">
        <v>2268</v>
      </c>
      <c r="F560" s="11" t="s">
        <v>22</v>
      </c>
      <c r="G560" s="5">
        <v>105.33</v>
      </c>
      <c r="H560" s="36">
        <f t="shared" si="8"/>
        <v>11705533.560000001</v>
      </c>
      <c r="I560" s="44" t="s">
        <v>407</v>
      </c>
    </row>
    <row r="561" spans="1:9" hidden="1" x14ac:dyDescent="0.2">
      <c r="A561" s="11">
        <v>49</v>
      </c>
      <c r="B561" s="16">
        <v>242891.04</v>
      </c>
      <c r="C561" s="13">
        <v>45097</v>
      </c>
      <c r="D561" s="11" t="s">
        <v>251</v>
      </c>
      <c r="E561" s="14">
        <v>2352</v>
      </c>
      <c r="F561" s="11" t="s">
        <v>22</v>
      </c>
      <c r="G561" s="5">
        <v>103.27</v>
      </c>
      <c r="H561" s="36">
        <f t="shared" si="8"/>
        <v>11901660.960000001</v>
      </c>
      <c r="I561" s="44" t="s">
        <v>407</v>
      </c>
    </row>
    <row r="562" spans="1:9" hidden="1" x14ac:dyDescent="0.2">
      <c r="A562" s="11">
        <v>49</v>
      </c>
      <c r="B562" s="16">
        <v>380212</v>
      </c>
      <c r="C562" s="13">
        <v>45097</v>
      </c>
      <c r="D562" s="11" t="s">
        <v>258</v>
      </c>
      <c r="E562" s="14">
        <v>560</v>
      </c>
      <c r="F562" s="11" t="s">
        <v>22</v>
      </c>
      <c r="G562" s="5">
        <v>678.95</v>
      </c>
      <c r="H562" s="36">
        <f t="shared" si="8"/>
        <v>18630388</v>
      </c>
      <c r="I562" s="44" t="s">
        <v>407</v>
      </c>
    </row>
    <row r="563" spans="1:9" hidden="1" x14ac:dyDescent="0.2">
      <c r="A563" s="11">
        <v>49</v>
      </c>
      <c r="B563" s="16">
        <v>190106</v>
      </c>
      <c r="C563" s="13">
        <v>45097</v>
      </c>
      <c r="D563" s="11" t="s">
        <v>258</v>
      </c>
      <c r="E563" s="14">
        <v>280</v>
      </c>
      <c r="F563" s="11" t="s">
        <v>22</v>
      </c>
      <c r="G563" s="5">
        <v>678.95</v>
      </c>
      <c r="H563" s="36">
        <f t="shared" si="8"/>
        <v>9315194</v>
      </c>
      <c r="I563" s="44" t="s">
        <v>407</v>
      </c>
    </row>
    <row r="564" spans="1:9" hidden="1" x14ac:dyDescent="0.2">
      <c r="A564" s="11">
        <v>49</v>
      </c>
      <c r="B564" s="16">
        <v>19505.28</v>
      </c>
      <c r="C564" s="13">
        <v>45097</v>
      </c>
      <c r="D564" s="11" t="s">
        <v>297</v>
      </c>
      <c r="E564" s="14">
        <v>96</v>
      </c>
      <c r="F564" s="11" t="s">
        <v>22</v>
      </c>
      <c r="G564" s="5">
        <v>203.18</v>
      </c>
      <c r="H564" s="36">
        <f t="shared" si="8"/>
        <v>955758.72</v>
      </c>
      <c r="I564" s="44" t="s">
        <v>407</v>
      </c>
    </row>
    <row r="565" spans="1:9" hidden="1" x14ac:dyDescent="0.2">
      <c r="A565" s="11">
        <v>49</v>
      </c>
      <c r="B565" s="16">
        <v>48763.199999999997</v>
      </c>
      <c r="C565" s="13">
        <v>45097</v>
      </c>
      <c r="D565" s="11" t="s">
        <v>297</v>
      </c>
      <c r="E565" s="14">
        <v>240</v>
      </c>
      <c r="F565" s="11" t="s">
        <v>22</v>
      </c>
      <c r="G565" s="5">
        <v>203.18</v>
      </c>
      <c r="H565" s="36">
        <f t="shared" si="8"/>
        <v>2389396.7999999998</v>
      </c>
      <c r="I565" s="44" t="s">
        <v>407</v>
      </c>
    </row>
    <row r="566" spans="1:9" hidden="1" x14ac:dyDescent="0.2">
      <c r="A566" s="11">
        <v>49</v>
      </c>
      <c r="B566" s="16">
        <v>113318.39999999999</v>
      </c>
      <c r="C566" s="13">
        <v>45097</v>
      </c>
      <c r="D566" s="11" t="s">
        <v>347</v>
      </c>
      <c r="E566" s="14">
        <v>768</v>
      </c>
      <c r="F566" s="11" t="s">
        <v>22</v>
      </c>
      <c r="G566" s="5">
        <v>147.55000000000001</v>
      </c>
      <c r="H566" s="36">
        <f t="shared" si="8"/>
        <v>5552601.5999999996</v>
      </c>
      <c r="I566" s="44" t="s">
        <v>407</v>
      </c>
    </row>
    <row r="567" spans="1:9" hidden="1" x14ac:dyDescent="0.2">
      <c r="A567" s="11">
        <v>48</v>
      </c>
      <c r="B567" s="16">
        <v>1759.72</v>
      </c>
      <c r="C567" s="13">
        <v>45098</v>
      </c>
      <c r="D567" s="11" t="s">
        <v>240</v>
      </c>
      <c r="E567" s="14">
        <v>4</v>
      </c>
      <c r="F567" s="11" t="s">
        <v>22</v>
      </c>
      <c r="G567" s="5">
        <v>439.93</v>
      </c>
      <c r="H567" s="36">
        <f t="shared" si="8"/>
        <v>84466.559999999998</v>
      </c>
      <c r="I567" s="44" t="s">
        <v>407</v>
      </c>
    </row>
    <row r="568" spans="1:9" hidden="1" x14ac:dyDescent="0.2">
      <c r="A568" s="11">
        <v>48</v>
      </c>
      <c r="B568" s="16">
        <v>8798.6</v>
      </c>
      <c r="C568" s="13">
        <v>45098</v>
      </c>
      <c r="D568" s="11" t="s">
        <v>240</v>
      </c>
      <c r="E568" s="14">
        <v>20</v>
      </c>
      <c r="F568" s="11" t="s">
        <v>22</v>
      </c>
      <c r="G568" s="5">
        <v>439.93</v>
      </c>
      <c r="H568" s="36">
        <f t="shared" si="8"/>
        <v>422332.80000000005</v>
      </c>
      <c r="I568" s="44" t="s">
        <v>407</v>
      </c>
    </row>
    <row r="569" spans="1:9" hidden="1" x14ac:dyDescent="0.2">
      <c r="A569" s="11">
        <v>48</v>
      </c>
      <c r="B569" s="16">
        <v>125132.04</v>
      </c>
      <c r="C569" s="13">
        <v>45098</v>
      </c>
      <c r="D569" s="11" t="s">
        <v>237</v>
      </c>
      <c r="E569" s="14">
        <v>1188</v>
      </c>
      <c r="F569" s="11" t="s">
        <v>22</v>
      </c>
      <c r="G569" s="5">
        <v>105.33</v>
      </c>
      <c r="H569" s="36">
        <f t="shared" si="8"/>
        <v>6006337.9199999999</v>
      </c>
      <c r="I569" s="44" t="s">
        <v>407</v>
      </c>
    </row>
    <row r="570" spans="1:9" hidden="1" x14ac:dyDescent="0.2">
      <c r="A570" s="11">
        <v>48</v>
      </c>
      <c r="B570" s="16">
        <v>1785</v>
      </c>
      <c r="C570" s="13">
        <v>45098</v>
      </c>
      <c r="D570" s="11" t="s">
        <v>261</v>
      </c>
      <c r="E570" s="14">
        <v>1500</v>
      </c>
      <c r="F570" s="11" t="s">
        <v>22</v>
      </c>
      <c r="G570" s="5">
        <v>1.19</v>
      </c>
      <c r="H570" s="36">
        <f t="shared" si="8"/>
        <v>85680</v>
      </c>
      <c r="I570" s="44" t="s">
        <v>407</v>
      </c>
    </row>
    <row r="571" spans="1:9" hidden="1" x14ac:dyDescent="0.2">
      <c r="A571" s="11">
        <v>47</v>
      </c>
      <c r="B571" s="16">
        <v>2701.44</v>
      </c>
      <c r="C571" s="13">
        <v>45099</v>
      </c>
      <c r="D571" s="11" t="s">
        <v>348</v>
      </c>
      <c r="E571" s="14">
        <v>1008</v>
      </c>
      <c r="F571" s="11" t="s">
        <v>22</v>
      </c>
      <c r="G571" s="5">
        <v>2.68</v>
      </c>
      <c r="H571" s="36">
        <f t="shared" si="8"/>
        <v>126967.68000000001</v>
      </c>
      <c r="I571" s="44" t="s">
        <v>407</v>
      </c>
    </row>
    <row r="572" spans="1:9" hidden="1" x14ac:dyDescent="0.2">
      <c r="A572" s="11">
        <v>43</v>
      </c>
      <c r="B572" s="16">
        <v>29257.919999999998</v>
      </c>
      <c r="C572" s="13">
        <v>45103</v>
      </c>
      <c r="D572" s="11" t="s">
        <v>297</v>
      </c>
      <c r="E572" s="14">
        <v>144</v>
      </c>
      <c r="F572" s="11" t="s">
        <v>22</v>
      </c>
      <c r="G572" s="5">
        <v>203.18</v>
      </c>
      <c r="H572" s="36">
        <f t="shared" si="8"/>
        <v>1258090.5599999998</v>
      </c>
      <c r="I572" s="44" t="s">
        <v>407</v>
      </c>
    </row>
    <row r="573" spans="1:9" hidden="1" x14ac:dyDescent="0.2">
      <c r="A573" s="11">
        <v>43</v>
      </c>
      <c r="B573" s="16">
        <v>9752.64</v>
      </c>
      <c r="C573" s="13">
        <v>45103</v>
      </c>
      <c r="D573" s="11" t="s">
        <v>297</v>
      </c>
      <c r="E573" s="14">
        <v>48</v>
      </c>
      <c r="F573" s="11" t="s">
        <v>22</v>
      </c>
      <c r="G573" s="5">
        <v>203.18</v>
      </c>
      <c r="H573" s="36">
        <f t="shared" si="8"/>
        <v>419363.51999999996</v>
      </c>
      <c r="I573" s="44" t="s">
        <v>407</v>
      </c>
    </row>
    <row r="574" spans="1:9" hidden="1" x14ac:dyDescent="0.2">
      <c r="A574" s="11">
        <v>43</v>
      </c>
      <c r="B574" s="16">
        <v>19505.28</v>
      </c>
      <c r="C574" s="13">
        <v>45103</v>
      </c>
      <c r="D574" s="11" t="s">
        <v>297</v>
      </c>
      <c r="E574" s="14">
        <v>96</v>
      </c>
      <c r="F574" s="11" t="s">
        <v>22</v>
      </c>
      <c r="G574" s="5">
        <v>203.18</v>
      </c>
      <c r="H574" s="36">
        <f t="shared" si="8"/>
        <v>838727.03999999992</v>
      </c>
      <c r="I574" s="44" t="s">
        <v>407</v>
      </c>
    </row>
    <row r="575" spans="1:9" hidden="1" x14ac:dyDescent="0.2">
      <c r="A575" s="11">
        <v>43</v>
      </c>
      <c r="B575" s="16">
        <v>34126.92</v>
      </c>
      <c r="C575" s="13">
        <v>45103</v>
      </c>
      <c r="D575" s="11" t="s">
        <v>237</v>
      </c>
      <c r="E575" s="14">
        <v>324</v>
      </c>
      <c r="F575" s="11" t="s">
        <v>22</v>
      </c>
      <c r="G575" s="5">
        <v>105.33</v>
      </c>
      <c r="H575" s="36">
        <f t="shared" si="8"/>
        <v>1467457.5599999998</v>
      </c>
      <c r="I575" s="44" t="s">
        <v>407</v>
      </c>
    </row>
    <row r="576" spans="1:9" hidden="1" x14ac:dyDescent="0.2">
      <c r="A576" s="11">
        <v>43</v>
      </c>
      <c r="B576" s="16">
        <v>22751.279999999999</v>
      </c>
      <c r="C576" s="13">
        <v>45103</v>
      </c>
      <c r="D576" s="11" t="s">
        <v>237</v>
      </c>
      <c r="E576" s="14">
        <v>216</v>
      </c>
      <c r="F576" s="11" t="s">
        <v>22</v>
      </c>
      <c r="G576" s="5">
        <v>105.33</v>
      </c>
      <c r="H576" s="36">
        <f t="shared" si="8"/>
        <v>978305.03999999992</v>
      </c>
      <c r="I576" s="44" t="s">
        <v>407</v>
      </c>
    </row>
    <row r="577" spans="1:9" hidden="1" x14ac:dyDescent="0.2">
      <c r="A577" s="11">
        <v>43</v>
      </c>
      <c r="B577" s="16">
        <v>115261.66</v>
      </c>
      <c r="C577" s="13">
        <v>45103</v>
      </c>
      <c r="D577" s="11" t="s">
        <v>240</v>
      </c>
      <c r="E577" s="14">
        <v>262</v>
      </c>
      <c r="F577" s="11" t="s">
        <v>22</v>
      </c>
      <c r="G577" s="5">
        <v>439.93</v>
      </c>
      <c r="H577" s="36">
        <f t="shared" si="8"/>
        <v>4956251.38</v>
      </c>
      <c r="I577" s="44" t="s">
        <v>407</v>
      </c>
    </row>
    <row r="578" spans="1:9" hidden="1" x14ac:dyDescent="0.2">
      <c r="A578" s="11">
        <v>43</v>
      </c>
      <c r="B578" s="16">
        <v>941478.75</v>
      </c>
      <c r="C578" s="13">
        <v>45103</v>
      </c>
      <c r="D578" s="11" t="s">
        <v>267</v>
      </c>
      <c r="E578" s="14">
        <v>1125</v>
      </c>
      <c r="F578" s="11" t="s">
        <v>22</v>
      </c>
      <c r="G578" s="5">
        <v>836.87</v>
      </c>
      <c r="H578" s="36">
        <f t="shared" si="8"/>
        <v>40483586.25</v>
      </c>
      <c r="I578" s="44" t="s">
        <v>407</v>
      </c>
    </row>
    <row r="579" spans="1:9" hidden="1" x14ac:dyDescent="0.2">
      <c r="A579" s="11">
        <v>43</v>
      </c>
      <c r="B579" s="16">
        <v>604114.5</v>
      </c>
      <c r="C579" s="13">
        <v>45103</v>
      </c>
      <c r="D579" s="11" t="s">
        <v>248</v>
      </c>
      <c r="E579" s="14">
        <v>1410</v>
      </c>
      <c r="F579" s="11" t="s">
        <v>22</v>
      </c>
      <c r="G579" s="5">
        <v>428.45</v>
      </c>
      <c r="H579" s="36">
        <f t="shared" ref="H579:H639" si="9">B579*A579</f>
        <v>25976923.5</v>
      </c>
      <c r="I579" s="44" t="s">
        <v>407</v>
      </c>
    </row>
    <row r="580" spans="1:9" hidden="1" x14ac:dyDescent="0.2">
      <c r="A580" s="11">
        <v>43</v>
      </c>
      <c r="B580" s="16">
        <v>333531</v>
      </c>
      <c r="C580" s="13">
        <v>45103</v>
      </c>
      <c r="D580" s="11" t="s">
        <v>265</v>
      </c>
      <c r="E580" s="14">
        <v>450</v>
      </c>
      <c r="F580" s="11" t="s">
        <v>22</v>
      </c>
      <c r="G580" s="5">
        <v>741.18</v>
      </c>
      <c r="H580" s="36">
        <f t="shared" si="9"/>
        <v>14341833</v>
      </c>
      <c r="I580" s="44" t="s">
        <v>407</v>
      </c>
    </row>
    <row r="581" spans="1:9" hidden="1" x14ac:dyDescent="0.2">
      <c r="A581" s="11">
        <v>43</v>
      </c>
      <c r="B581" s="16">
        <v>19582.080000000002</v>
      </c>
      <c r="C581" s="13">
        <v>45103</v>
      </c>
      <c r="D581" s="11" t="s">
        <v>349</v>
      </c>
      <c r="E581" s="14">
        <v>84</v>
      </c>
      <c r="F581" s="11" t="s">
        <v>22</v>
      </c>
      <c r="G581" s="5">
        <v>233.12</v>
      </c>
      <c r="H581" s="36">
        <f t="shared" si="9"/>
        <v>842029.44000000006</v>
      </c>
      <c r="I581" s="44" t="s">
        <v>407</v>
      </c>
    </row>
    <row r="582" spans="1:9" hidden="1" x14ac:dyDescent="0.2">
      <c r="A582" s="11">
        <v>43</v>
      </c>
      <c r="B582" s="16">
        <v>39010.559999999998</v>
      </c>
      <c r="C582" s="13">
        <v>45103</v>
      </c>
      <c r="D582" s="11" t="s">
        <v>297</v>
      </c>
      <c r="E582" s="14">
        <v>192</v>
      </c>
      <c r="F582" s="11" t="s">
        <v>22</v>
      </c>
      <c r="G582" s="5">
        <v>203.18</v>
      </c>
      <c r="H582" s="36">
        <f t="shared" si="9"/>
        <v>1677454.0799999998</v>
      </c>
      <c r="I582" s="44" t="s">
        <v>407</v>
      </c>
    </row>
    <row r="583" spans="1:9" hidden="1" x14ac:dyDescent="0.2">
      <c r="A583" s="11">
        <v>43</v>
      </c>
      <c r="B583" s="16">
        <v>29257.919999999998</v>
      </c>
      <c r="C583" s="13">
        <v>45103</v>
      </c>
      <c r="D583" s="11" t="s">
        <v>297</v>
      </c>
      <c r="E583" s="14">
        <v>144</v>
      </c>
      <c r="F583" s="11" t="s">
        <v>22</v>
      </c>
      <c r="G583" s="5">
        <v>203.18</v>
      </c>
      <c r="H583" s="36">
        <f t="shared" si="9"/>
        <v>1258090.5599999998</v>
      </c>
      <c r="I583" s="44" t="s">
        <v>407</v>
      </c>
    </row>
    <row r="584" spans="1:9" hidden="1" x14ac:dyDescent="0.2">
      <c r="A584" s="11">
        <v>43</v>
      </c>
      <c r="B584" s="16">
        <v>39010.559999999998</v>
      </c>
      <c r="C584" s="13">
        <v>45103</v>
      </c>
      <c r="D584" s="11" t="s">
        <v>297</v>
      </c>
      <c r="E584" s="14">
        <v>192</v>
      </c>
      <c r="F584" s="11" t="s">
        <v>22</v>
      </c>
      <c r="G584" s="5">
        <v>203.18</v>
      </c>
      <c r="H584" s="36">
        <f t="shared" si="9"/>
        <v>1677454.0799999998</v>
      </c>
      <c r="I584" s="44" t="s">
        <v>407</v>
      </c>
    </row>
    <row r="585" spans="1:9" hidden="1" x14ac:dyDescent="0.2">
      <c r="A585" s="11">
        <v>43</v>
      </c>
      <c r="B585" s="16">
        <v>29257.919999999998</v>
      </c>
      <c r="C585" s="13">
        <v>45103</v>
      </c>
      <c r="D585" s="11" t="s">
        <v>297</v>
      </c>
      <c r="E585" s="14">
        <v>144</v>
      </c>
      <c r="F585" s="11" t="s">
        <v>22</v>
      </c>
      <c r="G585" s="5">
        <v>203.18</v>
      </c>
      <c r="H585" s="36">
        <f t="shared" si="9"/>
        <v>1258090.5599999998</v>
      </c>
      <c r="I585" s="44" t="s">
        <v>407</v>
      </c>
    </row>
    <row r="586" spans="1:9" hidden="1" x14ac:dyDescent="0.2">
      <c r="A586" s="11">
        <v>43</v>
      </c>
      <c r="B586" s="16">
        <v>29257.919999999998</v>
      </c>
      <c r="C586" s="13">
        <v>45103</v>
      </c>
      <c r="D586" s="11" t="s">
        <v>297</v>
      </c>
      <c r="E586" s="14">
        <v>144</v>
      </c>
      <c r="F586" s="11" t="s">
        <v>22</v>
      </c>
      <c r="G586" s="5">
        <v>203.18</v>
      </c>
      <c r="H586" s="36">
        <f t="shared" si="9"/>
        <v>1258090.5599999998</v>
      </c>
      <c r="I586" s="44" t="s">
        <v>407</v>
      </c>
    </row>
    <row r="587" spans="1:9" hidden="1" x14ac:dyDescent="0.2">
      <c r="A587" s="11">
        <v>42</v>
      </c>
      <c r="B587" s="16">
        <v>105583.2</v>
      </c>
      <c r="C587" s="13">
        <v>45104</v>
      </c>
      <c r="D587" s="11" t="s">
        <v>240</v>
      </c>
      <c r="E587" s="14">
        <v>240</v>
      </c>
      <c r="F587" s="11" t="s">
        <v>22</v>
      </c>
      <c r="G587" s="5">
        <v>439.93</v>
      </c>
      <c r="H587" s="36">
        <f t="shared" si="9"/>
        <v>4434494.3999999994</v>
      </c>
      <c r="I587" s="44" t="s">
        <v>407</v>
      </c>
    </row>
    <row r="588" spans="1:9" hidden="1" x14ac:dyDescent="0.2">
      <c r="A588" s="11">
        <v>42</v>
      </c>
      <c r="B588" s="16">
        <v>83518.720000000001</v>
      </c>
      <c r="C588" s="13">
        <v>45104</v>
      </c>
      <c r="D588" s="11" t="s">
        <v>344</v>
      </c>
      <c r="E588" s="14">
        <v>32</v>
      </c>
      <c r="F588" s="11" t="s">
        <v>22</v>
      </c>
      <c r="G588" s="5">
        <v>2609.96</v>
      </c>
      <c r="H588" s="36">
        <f t="shared" si="9"/>
        <v>3507786.24</v>
      </c>
      <c r="I588" s="44" t="s">
        <v>407</v>
      </c>
    </row>
    <row r="589" spans="1:9" hidden="1" x14ac:dyDescent="0.2">
      <c r="A589" s="11">
        <v>42</v>
      </c>
      <c r="B589" s="16">
        <v>29302</v>
      </c>
      <c r="C589" s="13">
        <v>45104</v>
      </c>
      <c r="D589" s="11" t="s">
        <v>255</v>
      </c>
      <c r="E589" s="14">
        <v>70</v>
      </c>
      <c r="F589" s="11" t="s">
        <v>22</v>
      </c>
      <c r="G589" s="5">
        <v>418.6</v>
      </c>
      <c r="H589" s="36">
        <f t="shared" si="9"/>
        <v>1230684</v>
      </c>
      <c r="I589" s="44" t="s">
        <v>407</v>
      </c>
    </row>
    <row r="590" spans="1:9" hidden="1" x14ac:dyDescent="0.2">
      <c r="A590" s="11">
        <v>42</v>
      </c>
      <c r="B590" s="16">
        <v>21089.88</v>
      </c>
      <c r="C590" s="13">
        <v>45104</v>
      </c>
      <c r="D590" s="11" t="s">
        <v>243</v>
      </c>
      <c r="E590" s="14">
        <v>252</v>
      </c>
      <c r="F590" s="11" t="s">
        <v>22</v>
      </c>
      <c r="G590" s="5">
        <v>83.69</v>
      </c>
      <c r="H590" s="36">
        <f t="shared" si="9"/>
        <v>885774.96000000008</v>
      </c>
      <c r="I590" s="44" t="s">
        <v>407</v>
      </c>
    </row>
    <row r="591" spans="1:9" hidden="1" x14ac:dyDescent="0.2">
      <c r="A591" s="11">
        <v>42</v>
      </c>
      <c r="B591" s="16">
        <v>31178.22</v>
      </c>
      <c r="C591" s="13">
        <v>45104</v>
      </c>
      <c r="D591" s="11" t="s">
        <v>300</v>
      </c>
      <c r="E591" s="14">
        <v>179</v>
      </c>
      <c r="F591" s="11" t="s">
        <v>22</v>
      </c>
      <c r="G591" s="5">
        <v>174.18</v>
      </c>
      <c r="H591" s="36">
        <f t="shared" si="9"/>
        <v>1309485.24</v>
      </c>
      <c r="I591" s="44" t="s">
        <v>407</v>
      </c>
    </row>
    <row r="592" spans="1:9" hidden="1" x14ac:dyDescent="0.2">
      <c r="A592" s="11">
        <v>42</v>
      </c>
      <c r="B592" s="16">
        <v>42179.76</v>
      </c>
      <c r="C592" s="13">
        <v>45104</v>
      </c>
      <c r="D592" s="11" t="s">
        <v>243</v>
      </c>
      <c r="E592" s="14">
        <v>504</v>
      </c>
      <c r="F592" s="11" t="s">
        <v>22</v>
      </c>
      <c r="G592" s="5">
        <v>83.69</v>
      </c>
      <c r="H592" s="36">
        <f t="shared" si="9"/>
        <v>1771549.9200000002</v>
      </c>
      <c r="I592" s="44" t="s">
        <v>407</v>
      </c>
    </row>
    <row r="593" spans="1:9" hidden="1" x14ac:dyDescent="0.2">
      <c r="A593" s="11">
        <v>42</v>
      </c>
      <c r="B593" s="16">
        <v>29302</v>
      </c>
      <c r="C593" s="13">
        <v>45104</v>
      </c>
      <c r="D593" s="11" t="s">
        <v>255</v>
      </c>
      <c r="E593" s="14">
        <v>70</v>
      </c>
      <c r="F593" s="11" t="s">
        <v>22</v>
      </c>
      <c r="G593" s="5">
        <v>418.6</v>
      </c>
      <c r="H593" s="36">
        <f t="shared" si="9"/>
        <v>1230684</v>
      </c>
      <c r="I593" s="44" t="s">
        <v>407</v>
      </c>
    </row>
    <row r="594" spans="1:9" hidden="1" x14ac:dyDescent="0.2">
      <c r="A594" s="11">
        <v>42</v>
      </c>
      <c r="B594" s="16">
        <v>25256.1</v>
      </c>
      <c r="C594" s="13">
        <v>45104</v>
      </c>
      <c r="D594" s="11" t="s">
        <v>300</v>
      </c>
      <c r="E594" s="14">
        <v>145</v>
      </c>
      <c r="F594" s="11" t="s">
        <v>22</v>
      </c>
      <c r="G594" s="5">
        <v>174.18</v>
      </c>
      <c r="H594" s="36">
        <f t="shared" si="9"/>
        <v>1060756.2</v>
      </c>
      <c r="I594" s="44" t="s">
        <v>407</v>
      </c>
    </row>
    <row r="595" spans="1:9" hidden="1" x14ac:dyDescent="0.2">
      <c r="A595" s="11">
        <v>39</v>
      </c>
      <c r="B595" s="16">
        <v>709909.12</v>
      </c>
      <c r="C595" s="13">
        <v>45107</v>
      </c>
      <c r="D595" s="11" t="s">
        <v>344</v>
      </c>
      <c r="E595" s="14">
        <v>272</v>
      </c>
      <c r="F595" s="11" t="s">
        <v>22</v>
      </c>
      <c r="G595" s="5">
        <v>2609.96</v>
      </c>
      <c r="H595" s="36">
        <f t="shared" si="9"/>
        <v>27686455.68</v>
      </c>
      <c r="I595" s="44" t="s">
        <v>407</v>
      </c>
    </row>
    <row r="596" spans="1:9" hidden="1" x14ac:dyDescent="0.2">
      <c r="A596" s="11">
        <v>39</v>
      </c>
      <c r="B596" s="16">
        <v>29035.38</v>
      </c>
      <c r="C596" s="13">
        <v>45107</v>
      </c>
      <c r="D596" s="11" t="s">
        <v>240</v>
      </c>
      <c r="E596" s="14">
        <v>66</v>
      </c>
      <c r="F596" s="11" t="s">
        <v>22</v>
      </c>
      <c r="G596" s="5">
        <v>439.93</v>
      </c>
      <c r="H596" s="36">
        <f t="shared" si="9"/>
        <v>1132379.82</v>
      </c>
      <c r="I596" s="44" t="s">
        <v>407</v>
      </c>
    </row>
    <row r="597" spans="1:9" hidden="1" x14ac:dyDescent="0.2">
      <c r="A597" s="11">
        <v>39</v>
      </c>
      <c r="B597" s="16">
        <v>48657</v>
      </c>
      <c r="C597" s="13">
        <v>45107</v>
      </c>
      <c r="D597" s="11" t="s">
        <v>259</v>
      </c>
      <c r="E597" s="14">
        <v>147</v>
      </c>
      <c r="F597" s="11" t="s">
        <v>22</v>
      </c>
      <c r="G597" s="5">
        <v>331</v>
      </c>
      <c r="H597" s="36">
        <f t="shared" si="9"/>
        <v>1897623</v>
      </c>
      <c r="I597" s="44" t="s">
        <v>407</v>
      </c>
    </row>
    <row r="598" spans="1:9" hidden="1" x14ac:dyDescent="0.2">
      <c r="A598" s="11">
        <v>39</v>
      </c>
      <c r="B598" s="16">
        <v>4459</v>
      </c>
      <c r="C598" s="13">
        <v>45107</v>
      </c>
      <c r="D598" s="11" t="s">
        <v>250</v>
      </c>
      <c r="E598" s="14">
        <v>1820</v>
      </c>
      <c r="F598" s="11" t="s">
        <v>22</v>
      </c>
      <c r="G598" s="5">
        <v>2.4500000000000002</v>
      </c>
      <c r="H598" s="36">
        <f t="shared" si="9"/>
        <v>173901</v>
      </c>
      <c r="I598" s="44" t="s">
        <v>407</v>
      </c>
    </row>
    <row r="599" spans="1:9" hidden="1" x14ac:dyDescent="0.2">
      <c r="A599" s="11">
        <v>39</v>
      </c>
      <c r="B599" s="16">
        <v>10766.4</v>
      </c>
      <c r="C599" s="13">
        <v>45107</v>
      </c>
      <c r="D599" s="11" t="s">
        <v>295</v>
      </c>
      <c r="E599" s="14">
        <v>120</v>
      </c>
      <c r="F599" s="11" t="s">
        <v>22</v>
      </c>
      <c r="G599" s="5">
        <v>89.72</v>
      </c>
      <c r="H599" s="36">
        <f t="shared" si="9"/>
        <v>419889.6</v>
      </c>
      <c r="I599" s="44" t="s">
        <v>407</v>
      </c>
    </row>
    <row r="600" spans="1:9" hidden="1" x14ac:dyDescent="0.2">
      <c r="A600" s="11">
        <v>39</v>
      </c>
      <c r="B600" s="16">
        <v>4459</v>
      </c>
      <c r="C600" s="13">
        <v>45107</v>
      </c>
      <c r="D600" s="11" t="s">
        <v>250</v>
      </c>
      <c r="E600" s="14">
        <v>1820</v>
      </c>
      <c r="F600" s="11" t="s">
        <v>22</v>
      </c>
      <c r="G600" s="5">
        <v>2.4500000000000002</v>
      </c>
      <c r="H600" s="36">
        <f t="shared" si="9"/>
        <v>173901</v>
      </c>
      <c r="I600" s="44" t="s">
        <v>407</v>
      </c>
    </row>
    <row r="601" spans="1:9" hidden="1" x14ac:dyDescent="0.2">
      <c r="A601" s="11">
        <v>38</v>
      </c>
      <c r="B601" s="16">
        <v>622591.19999999995</v>
      </c>
      <c r="C601" s="13">
        <v>45108</v>
      </c>
      <c r="D601" s="11" t="s">
        <v>265</v>
      </c>
      <c r="E601" s="14">
        <v>840</v>
      </c>
      <c r="F601" s="11" t="s">
        <v>22</v>
      </c>
      <c r="G601" s="5">
        <v>741.18</v>
      </c>
      <c r="H601" s="36">
        <f t="shared" si="9"/>
        <v>23658465.599999998</v>
      </c>
      <c r="I601" s="44" t="s">
        <v>408</v>
      </c>
    </row>
    <row r="602" spans="1:9" hidden="1" x14ac:dyDescent="0.2">
      <c r="A602" s="11">
        <v>38</v>
      </c>
      <c r="B602" s="16">
        <v>255339</v>
      </c>
      <c r="C602" s="13">
        <v>45108</v>
      </c>
      <c r="D602" s="11" t="s">
        <v>254</v>
      </c>
      <c r="E602" s="14">
        <v>630</v>
      </c>
      <c r="F602" s="11" t="s">
        <v>22</v>
      </c>
      <c r="G602" s="5">
        <v>405.3</v>
      </c>
      <c r="H602" s="36">
        <f t="shared" si="9"/>
        <v>9702882</v>
      </c>
      <c r="I602" s="44" t="s">
        <v>408</v>
      </c>
    </row>
    <row r="603" spans="1:9" hidden="1" x14ac:dyDescent="0.2">
      <c r="A603" s="11">
        <v>38</v>
      </c>
      <c r="B603" s="16">
        <v>25635.68</v>
      </c>
      <c r="C603" s="13">
        <v>45108</v>
      </c>
      <c r="D603" s="11" t="s">
        <v>301</v>
      </c>
      <c r="E603" s="14">
        <v>376</v>
      </c>
      <c r="F603" s="11" t="s">
        <v>22</v>
      </c>
      <c r="G603" s="5">
        <v>68.180000000000007</v>
      </c>
      <c r="H603" s="36">
        <f t="shared" si="9"/>
        <v>974155.84</v>
      </c>
      <c r="I603" s="44" t="s">
        <v>408</v>
      </c>
    </row>
    <row r="604" spans="1:9" hidden="1" x14ac:dyDescent="0.2">
      <c r="A604" s="11">
        <v>38</v>
      </c>
      <c r="B604" s="16">
        <v>21089.88</v>
      </c>
      <c r="C604" s="13">
        <v>45108</v>
      </c>
      <c r="D604" s="11" t="s">
        <v>243</v>
      </c>
      <c r="E604" s="14">
        <v>252</v>
      </c>
      <c r="F604" s="11" t="s">
        <v>22</v>
      </c>
      <c r="G604" s="5">
        <v>83.69</v>
      </c>
      <c r="H604" s="36">
        <f t="shared" si="9"/>
        <v>801415.44000000006</v>
      </c>
      <c r="I604" s="44" t="s">
        <v>408</v>
      </c>
    </row>
    <row r="605" spans="1:9" hidden="1" x14ac:dyDescent="0.2">
      <c r="A605" s="11">
        <v>32</v>
      </c>
      <c r="B605" s="16">
        <v>21089.88</v>
      </c>
      <c r="C605" s="13">
        <v>45114</v>
      </c>
      <c r="D605" s="11" t="s">
        <v>243</v>
      </c>
      <c r="E605" s="14">
        <v>252</v>
      </c>
      <c r="F605" s="11" t="s">
        <v>22</v>
      </c>
      <c r="G605" s="5">
        <v>83.69</v>
      </c>
      <c r="H605" s="36">
        <f t="shared" si="9"/>
        <v>674876.16</v>
      </c>
      <c r="I605" s="44" t="s">
        <v>408</v>
      </c>
    </row>
    <row r="606" spans="1:9" hidden="1" x14ac:dyDescent="0.2">
      <c r="A606" s="11">
        <v>31</v>
      </c>
      <c r="B606" s="16">
        <v>42179.76</v>
      </c>
      <c r="C606" s="13">
        <v>45115</v>
      </c>
      <c r="D606" s="11" t="s">
        <v>243</v>
      </c>
      <c r="E606" s="14">
        <v>504</v>
      </c>
      <c r="F606" s="11" t="s">
        <v>22</v>
      </c>
      <c r="G606" s="5">
        <v>83.69</v>
      </c>
      <c r="H606" s="36">
        <f t="shared" si="9"/>
        <v>1307572.56</v>
      </c>
      <c r="I606" s="44" t="s">
        <v>408</v>
      </c>
    </row>
    <row r="607" spans="1:9" hidden="1" x14ac:dyDescent="0.2">
      <c r="A607" s="11">
        <v>27</v>
      </c>
      <c r="B607" s="16">
        <v>771210</v>
      </c>
      <c r="C607" s="13">
        <v>45119</v>
      </c>
      <c r="D607" s="11" t="s">
        <v>248</v>
      </c>
      <c r="E607" s="14">
        <v>1800</v>
      </c>
      <c r="F607" s="11" t="s">
        <v>23</v>
      </c>
      <c r="G607" s="5">
        <v>428.45</v>
      </c>
      <c r="H607" s="36">
        <f t="shared" si="9"/>
        <v>20822670</v>
      </c>
      <c r="I607" s="44" t="s">
        <v>408</v>
      </c>
    </row>
    <row r="608" spans="1:9" hidden="1" x14ac:dyDescent="0.2">
      <c r="A608" s="11">
        <v>27</v>
      </c>
      <c r="B608" s="16">
        <v>3015</v>
      </c>
      <c r="C608" s="13">
        <v>45119</v>
      </c>
      <c r="D608" s="11" t="s">
        <v>263</v>
      </c>
      <c r="E608" s="14">
        <v>4500</v>
      </c>
      <c r="F608" s="11" t="s">
        <v>23</v>
      </c>
      <c r="G608" s="5">
        <v>0.67</v>
      </c>
      <c r="H608" s="36">
        <f t="shared" si="9"/>
        <v>81405</v>
      </c>
      <c r="I608" s="44" t="s">
        <v>408</v>
      </c>
    </row>
    <row r="609" spans="1:9" hidden="1" x14ac:dyDescent="0.2">
      <c r="A609" s="11">
        <v>25</v>
      </c>
      <c r="B609" s="16">
        <v>1882957.5</v>
      </c>
      <c r="C609" s="13">
        <v>45121</v>
      </c>
      <c r="D609" s="11" t="s">
        <v>267</v>
      </c>
      <c r="E609" s="14">
        <v>2250</v>
      </c>
      <c r="F609" s="11" t="s">
        <v>23</v>
      </c>
      <c r="G609" s="5">
        <v>836.87</v>
      </c>
      <c r="H609" s="36">
        <f t="shared" si="9"/>
        <v>47073937.5</v>
      </c>
      <c r="I609" s="44" t="s">
        <v>408</v>
      </c>
    </row>
    <row r="610" spans="1:9" hidden="1" x14ac:dyDescent="0.2">
      <c r="A610" s="11">
        <v>24</v>
      </c>
      <c r="B610" s="16">
        <v>131904</v>
      </c>
      <c r="C610" s="13">
        <v>45122</v>
      </c>
      <c r="D610" s="11" t="s">
        <v>247</v>
      </c>
      <c r="E610" s="14">
        <v>1200</v>
      </c>
      <c r="F610" s="11" t="s">
        <v>23</v>
      </c>
      <c r="G610" s="5">
        <v>109.92</v>
      </c>
      <c r="H610" s="36">
        <f t="shared" si="9"/>
        <v>3165696</v>
      </c>
      <c r="I610" s="44" t="s">
        <v>408</v>
      </c>
    </row>
    <row r="611" spans="1:9" hidden="1" x14ac:dyDescent="0.2">
      <c r="A611" s="11">
        <v>17</v>
      </c>
      <c r="B611" s="16">
        <v>586040</v>
      </c>
      <c r="C611" s="13">
        <v>45129</v>
      </c>
      <c r="D611" s="11" t="s">
        <v>255</v>
      </c>
      <c r="E611" s="14">
        <v>1400</v>
      </c>
      <c r="F611" s="11" t="s">
        <v>23</v>
      </c>
      <c r="G611" s="5">
        <v>418.6</v>
      </c>
      <c r="H611" s="36">
        <f t="shared" si="9"/>
        <v>9962680</v>
      </c>
      <c r="I611" s="44" t="s">
        <v>408</v>
      </c>
    </row>
    <row r="612" spans="1:9" hidden="1" x14ac:dyDescent="0.2">
      <c r="A612" s="11">
        <v>17</v>
      </c>
      <c r="B612" s="16">
        <v>1334124</v>
      </c>
      <c r="C612" s="13">
        <v>45129</v>
      </c>
      <c r="D612" s="11" t="s">
        <v>265</v>
      </c>
      <c r="E612" s="14">
        <v>1800</v>
      </c>
      <c r="F612" s="11" t="s">
        <v>23</v>
      </c>
      <c r="G612" s="5">
        <v>741.18</v>
      </c>
      <c r="H612" s="36">
        <f t="shared" si="9"/>
        <v>22680108</v>
      </c>
      <c r="I612" s="44" t="s">
        <v>408</v>
      </c>
    </row>
    <row r="613" spans="1:9" hidden="1" x14ac:dyDescent="0.2">
      <c r="A613" s="11">
        <v>17</v>
      </c>
      <c r="B613" s="16">
        <v>55709.22</v>
      </c>
      <c r="C613" s="13">
        <v>45129</v>
      </c>
      <c r="D613" s="11" t="s">
        <v>350</v>
      </c>
      <c r="E613" s="14">
        <v>511</v>
      </c>
      <c r="F613" s="11" t="s">
        <v>23</v>
      </c>
      <c r="G613" s="5">
        <v>109.02</v>
      </c>
      <c r="H613" s="36">
        <f t="shared" si="9"/>
        <v>947056.74</v>
      </c>
      <c r="I613" s="44" t="s">
        <v>408</v>
      </c>
    </row>
    <row r="614" spans="1:9" hidden="1" x14ac:dyDescent="0.2">
      <c r="A614" s="11">
        <v>17</v>
      </c>
      <c r="B614" s="16">
        <v>155194.6</v>
      </c>
      <c r="C614" s="13">
        <v>45129</v>
      </c>
      <c r="D614" s="11" t="s">
        <v>351</v>
      </c>
      <c r="E614" s="14">
        <v>1210</v>
      </c>
      <c r="F614" s="11" t="s">
        <v>23</v>
      </c>
      <c r="G614" s="5">
        <v>128.26</v>
      </c>
      <c r="H614" s="36">
        <f t="shared" si="9"/>
        <v>2638308.2000000002</v>
      </c>
      <c r="I614" s="44" t="s">
        <v>408</v>
      </c>
    </row>
    <row r="615" spans="1:9" hidden="1" x14ac:dyDescent="0.2">
      <c r="A615" s="11">
        <v>17</v>
      </c>
      <c r="B615" s="16">
        <v>52432.800000000003</v>
      </c>
      <c r="C615" s="13">
        <v>45129</v>
      </c>
      <c r="D615" s="11" t="s">
        <v>256</v>
      </c>
      <c r="E615" s="14">
        <v>140</v>
      </c>
      <c r="F615" s="11" t="s">
        <v>23</v>
      </c>
      <c r="G615" s="5">
        <v>374.52</v>
      </c>
      <c r="H615" s="36">
        <f t="shared" si="9"/>
        <v>891357.60000000009</v>
      </c>
      <c r="I615" s="44" t="s">
        <v>408</v>
      </c>
    </row>
    <row r="616" spans="1:9" hidden="1" x14ac:dyDescent="0.2">
      <c r="A616" s="11">
        <v>17</v>
      </c>
      <c r="B616" s="16">
        <v>40273.64</v>
      </c>
      <c r="C616" s="13">
        <v>45129</v>
      </c>
      <c r="D616" s="11" t="s">
        <v>351</v>
      </c>
      <c r="E616" s="14">
        <v>314</v>
      </c>
      <c r="F616" s="11" t="s">
        <v>23</v>
      </c>
      <c r="G616" s="5">
        <v>128.26</v>
      </c>
      <c r="H616" s="36">
        <f t="shared" si="9"/>
        <v>684651.88</v>
      </c>
      <c r="I616" s="44" t="s">
        <v>408</v>
      </c>
    </row>
    <row r="617" spans="1:9" hidden="1" x14ac:dyDescent="0.2">
      <c r="A617" s="11">
        <v>17</v>
      </c>
      <c r="B617" s="16">
        <v>56581.38</v>
      </c>
      <c r="C617" s="13">
        <v>45129</v>
      </c>
      <c r="D617" s="11" t="s">
        <v>350</v>
      </c>
      <c r="E617" s="14">
        <v>519</v>
      </c>
      <c r="F617" s="11" t="s">
        <v>23</v>
      </c>
      <c r="G617" s="5">
        <v>109.02</v>
      </c>
      <c r="H617" s="36">
        <f t="shared" si="9"/>
        <v>961883.46</v>
      </c>
      <c r="I617" s="44" t="s">
        <v>408</v>
      </c>
    </row>
    <row r="618" spans="1:9" hidden="1" x14ac:dyDescent="0.2">
      <c r="A618" s="11">
        <v>17</v>
      </c>
      <c r="B618" s="16">
        <v>20393.34</v>
      </c>
      <c r="C618" s="13">
        <v>45129</v>
      </c>
      <c r="D618" s="11" t="s">
        <v>351</v>
      </c>
      <c r="E618" s="14">
        <v>159</v>
      </c>
      <c r="F618" s="11" t="s">
        <v>23</v>
      </c>
      <c r="G618" s="5">
        <v>128.26</v>
      </c>
      <c r="H618" s="36">
        <f t="shared" si="9"/>
        <v>346686.78</v>
      </c>
      <c r="I618" s="44" t="s">
        <v>408</v>
      </c>
    </row>
    <row r="619" spans="1:9" hidden="1" x14ac:dyDescent="0.2">
      <c r="A619" s="11">
        <v>17</v>
      </c>
      <c r="B619" s="16">
        <v>235947.6</v>
      </c>
      <c r="C619" s="13">
        <v>45129</v>
      </c>
      <c r="D619" s="11" t="s">
        <v>256</v>
      </c>
      <c r="E619" s="14">
        <v>630</v>
      </c>
      <c r="F619" s="11" t="s">
        <v>23</v>
      </c>
      <c r="G619" s="5">
        <v>374.52</v>
      </c>
      <c r="H619" s="36">
        <f t="shared" si="9"/>
        <v>4011109.2</v>
      </c>
      <c r="I619" s="44" t="s">
        <v>408</v>
      </c>
    </row>
    <row r="620" spans="1:9" hidden="1" x14ac:dyDescent="0.2">
      <c r="A620" s="11">
        <v>17</v>
      </c>
      <c r="B620" s="16">
        <v>55634.879999999997</v>
      </c>
      <c r="C620" s="13">
        <v>45129</v>
      </c>
      <c r="D620" s="11" t="s">
        <v>301</v>
      </c>
      <c r="E620" s="14">
        <v>816</v>
      </c>
      <c r="F620" s="11" t="s">
        <v>23</v>
      </c>
      <c r="G620" s="5">
        <v>68.180000000000007</v>
      </c>
      <c r="H620" s="36">
        <f t="shared" si="9"/>
        <v>945792.96</v>
      </c>
      <c r="I620" s="44" t="s">
        <v>408</v>
      </c>
    </row>
    <row r="621" spans="1:9" hidden="1" x14ac:dyDescent="0.2">
      <c r="A621" s="11">
        <v>14</v>
      </c>
      <c r="B621" s="16">
        <v>56311.040000000001</v>
      </c>
      <c r="C621" s="13">
        <v>45132</v>
      </c>
      <c r="D621" s="11" t="s">
        <v>240</v>
      </c>
      <c r="E621" s="14">
        <v>128</v>
      </c>
      <c r="F621" s="11" t="s">
        <v>23</v>
      </c>
      <c r="G621" s="5">
        <v>439.93</v>
      </c>
      <c r="H621" s="36">
        <f t="shared" si="9"/>
        <v>788354.56000000006</v>
      </c>
      <c r="I621" s="44" t="s">
        <v>408</v>
      </c>
    </row>
    <row r="622" spans="1:9" hidden="1" x14ac:dyDescent="0.2">
      <c r="A622" s="11">
        <v>13</v>
      </c>
      <c r="B622" s="16">
        <v>3015</v>
      </c>
      <c r="C622" s="13">
        <v>45133</v>
      </c>
      <c r="D622" s="11" t="s">
        <v>263</v>
      </c>
      <c r="E622" s="14">
        <v>4500</v>
      </c>
      <c r="F622" s="11" t="s">
        <v>23</v>
      </c>
      <c r="G622" s="5">
        <v>0.67</v>
      </c>
      <c r="H622" s="36">
        <f t="shared" si="9"/>
        <v>39195</v>
      </c>
      <c r="I622" s="44" t="s">
        <v>408</v>
      </c>
    </row>
    <row r="623" spans="1:9" hidden="1" x14ac:dyDescent="0.2">
      <c r="A623" s="11">
        <v>13</v>
      </c>
      <c r="B623" s="16">
        <v>64229.78</v>
      </c>
      <c r="C623" s="13">
        <v>45133</v>
      </c>
      <c r="D623" s="11" t="s">
        <v>240</v>
      </c>
      <c r="E623" s="14">
        <v>146</v>
      </c>
      <c r="F623" s="11" t="s">
        <v>23</v>
      </c>
      <c r="G623" s="5">
        <v>439.93</v>
      </c>
      <c r="H623" s="36">
        <f t="shared" si="9"/>
        <v>834987.14</v>
      </c>
      <c r="I623" s="44" t="s">
        <v>408</v>
      </c>
    </row>
    <row r="624" spans="1:9" hidden="1" x14ac:dyDescent="0.2">
      <c r="A624" s="11">
        <v>11</v>
      </c>
      <c r="B624" s="16">
        <v>90625.58</v>
      </c>
      <c r="C624" s="13">
        <v>45135</v>
      </c>
      <c r="D624" s="11" t="s">
        <v>240</v>
      </c>
      <c r="E624" s="14">
        <v>206</v>
      </c>
      <c r="F624" s="11" t="s">
        <v>23</v>
      </c>
      <c r="G624" s="5">
        <v>439.93</v>
      </c>
      <c r="H624" s="36">
        <f t="shared" si="9"/>
        <v>996881.38</v>
      </c>
      <c r="I624" s="44" t="s">
        <v>408</v>
      </c>
    </row>
    <row r="625" spans="1:9" hidden="1" x14ac:dyDescent="0.2">
      <c r="A625" s="11">
        <v>8</v>
      </c>
      <c r="B625" s="16">
        <v>124940.12</v>
      </c>
      <c r="C625" s="13">
        <v>45138</v>
      </c>
      <c r="D625" s="11" t="s">
        <v>240</v>
      </c>
      <c r="E625" s="14">
        <v>284</v>
      </c>
      <c r="F625" s="11" t="s">
        <v>23</v>
      </c>
      <c r="G625" s="5">
        <v>439.93</v>
      </c>
      <c r="H625" s="36">
        <f t="shared" si="9"/>
        <v>999520.96</v>
      </c>
      <c r="I625" s="44" t="s">
        <v>408</v>
      </c>
    </row>
    <row r="626" spans="1:9" hidden="1" x14ac:dyDescent="0.2">
      <c r="A626" s="11">
        <v>8</v>
      </c>
      <c r="B626" s="16">
        <v>40010.339999999997</v>
      </c>
      <c r="C626" s="13">
        <v>45138</v>
      </c>
      <c r="D626" s="11" t="s">
        <v>350</v>
      </c>
      <c r="E626" s="14">
        <v>367</v>
      </c>
      <c r="F626" s="11" t="s">
        <v>23</v>
      </c>
      <c r="G626" s="5">
        <v>109.02</v>
      </c>
      <c r="H626" s="36">
        <f t="shared" si="9"/>
        <v>320082.71999999997</v>
      </c>
      <c r="I626" s="44" t="s">
        <v>408</v>
      </c>
    </row>
    <row r="627" spans="1:9" hidden="1" x14ac:dyDescent="0.2">
      <c r="A627" s="11">
        <v>8</v>
      </c>
      <c r="B627" s="16">
        <v>263958</v>
      </c>
      <c r="C627" s="13">
        <v>45138</v>
      </c>
      <c r="D627" s="11" t="s">
        <v>240</v>
      </c>
      <c r="E627" s="14">
        <v>600</v>
      </c>
      <c r="F627" s="11" t="s">
        <v>23</v>
      </c>
      <c r="G627" s="5">
        <v>439.93</v>
      </c>
      <c r="H627" s="36">
        <f t="shared" si="9"/>
        <v>2111664</v>
      </c>
      <c r="I627" s="44" t="s">
        <v>408</v>
      </c>
    </row>
    <row r="628" spans="1:9" hidden="1" x14ac:dyDescent="0.2">
      <c r="A628" s="11">
        <v>6</v>
      </c>
      <c r="B628" s="16">
        <v>4459</v>
      </c>
      <c r="C628" s="13">
        <v>45140</v>
      </c>
      <c r="D628" s="11" t="s">
        <v>250</v>
      </c>
      <c r="E628" s="14">
        <v>1820</v>
      </c>
      <c r="F628" s="11" t="s">
        <v>23</v>
      </c>
      <c r="G628" s="5">
        <v>2.4500000000000002</v>
      </c>
      <c r="H628" s="36">
        <f t="shared" si="9"/>
        <v>26754</v>
      </c>
      <c r="I628" s="44" t="s">
        <v>413</v>
      </c>
    </row>
    <row r="629" spans="1:9" hidden="1" x14ac:dyDescent="0.2">
      <c r="A629" s="11">
        <v>6</v>
      </c>
      <c r="B629" s="16">
        <v>4459</v>
      </c>
      <c r="C629" s="13">
        <v>45140</v>
      </c>
      <c r="D629" s="11" t="s">
        <v>250</v>
      </c>
      <c r="E629" s="14">
        <v>1820</v>
      </c>
      <c r="F629" s="11" t="s">
        <v>23</v>
      </c>
      <c r="G629" s="5">
        <v>2.4500000000000002</v>
      </c>
      <c r="H629" s="36">
        <f t="shared" si="9"/>
        <v>26754</v>
      </c>
      <c r="I629" s="44" t="s">
        <v>413</v>
      </c>
    </row>
    <row r="630" spans="1:9" hidden="1" x14ac:dyDescent="0.2">
      <c r="A630" s="11">
        <v>6</v>
      </c>
      <c r="B630" s="16">
        <v>263718</v>
      </c>
      <c r="C630" s="13">
        <v>45140</v>
      </c>
      <c r="D630" s="11" t="s">
        <v>255</v>
      </c>
      <c r="E630" s="14">
        <v>630</v>
      </c>
      <c r="F630" s="11" t="s">
        <v>23</v>
      </c>
      <c r="G630" s="5">
        <v>418.6</v>
      </c>
      <c r="H630" s="36">
        <f t="shared" si="9"/>
        <v>1582308</v>
      </c>
      <c r="I630" s="44" t="s">
        <v>413</v>
      </c>
    </row>
    <row r="631" spans="1:9" hidden="1" x14ac:dyDescent="0.2">
      <c r="A631" s="11">
        <v>6</v>
      </c>
      <c r="B631" s="16">
        <v>368823</v>
      </c>
      <c r="C631" s="13">
        <v>45140</v>
      </c>
      <c r="D631" s="11" t="s">
        <v>254</v>
      </c>
      <c r="E631" s="14">
        <v>910</v>
      </c>
      <c r="F631" s="11" t="s">
        <v>23</v>
      </c>
      <c r="G631" s="5">
        <v>405.3</v>
      </c>
      <c r="H631" s="36">
        <f t="shared" si="9"/>
        <v>2212938</v>
      </c>
      <c r="I631" s="44" t="s">
        <v>413</v>
      </c>
    </row>
    <row r="632" spans="1:9" hidden="1" x14ac:dyDescent="0.2">
      <c r="A632" s="11">
        <v>6</v>
      </c>
      <c r="B632" s="16">
        <v>104865.60000000001</v>
      </c>
      <c r="C632" s="13">
        <v>45140</v>
      </c>
      <c r="D632" s="11" t="s">
        <v>256</v>
      </c>
      <c r="E632" s="14">
        <v>280</v>
      </c>
      <c r="F632" s="11" t="s">
        <v>23</v>
      </c>
      <c r="G632" s="5">
        <v>374.52</v>
      </c>
      <c r="H632" s="36">
        <f t="shared" si="9"/>
        <v>629193.60000000009</v>
      </c>
      <c r="I632" s="44" t="s">
        <v>413</v>
      </c>
    </row>
    <row r="633" spans="1:9" hidden="1" x14ac:dyDescent="0.2">
      <c r="A633" s="11">
        <v>5</v>
      </c>
      <c r="B633" s="16">
        <v>3300</v>
      </c>
      <c r="C633" s="13">
        <v>45141</v>
      </c>
      <c r="D633" s="11" t="s">
        <v>312</v>
      </c>
      <c r="E633" s="14">
        <v>300</v>
      </c>
      <c r="F633" s="11" t="s">
        <v>23</v>
      </c>
      <c r="G633" s="5">
        <v>11</v>
      </c>
      <c r="H633" s="36">
        <f t="shared" si="9"/>
        <v>16500</v>
      </c>
      <c r="I633" s="44" t="s">
        <v>413</v>
      </c>
    </row>
    <row r="634" spans="1:9" hidden="1" x14ac:dyDescent="0.2">
      <c r="A634" s="11">
        <v>5</v>
      </c>
      <c r="B634" s="16">
        <v>91020.3</v>
      </c>
      <c r="C634" s="13">
        <v>45141</v>
      </c>
      <c r="D634" s="11" t="s">
        <v>301</v>
      </c>
      <c r="E634" s="14">
        <v>1335</v>
      </c>
      <c r="F634" s="11" t="s">
        <v>23</v>
      </c>
      <c r="G634" s="5">
        <v>68.180000000000007</v>
      </c>
      <c r="H634" s="36">
        <f t="shared" si="9"/>
        <v>455101.5</v>
      </c>
      <c r="I634" s="44" t="s">
        <v>413</v>
      </c>
    </row>
    <row r="635" spans="1:9" hidden="1" x14ac:dyDescent="0.2">
      <c r="A635" s="11">
        <v>4</v>
      </c>
      <c r="B635" s="16">
        <v>10766.4</v>
      </c>
      <c r="C635" s="13">
        <v>45142</v>
      </c>
      <c r="D635" s="11" t="s">
        <v>295</v>
      </c>
      <c r="E635" s="14">
        <v>120</v>
      </c>
      <c r="F635" s="11" t="s">
        <v>23</v>
      </c>
      <c r="G635" s="5">
        <v>89.72</v>
      </c>
      <c r="H635" s="36">
        <f t="shared" si="9"/>
        <v>43065.599999999999</v>
      </c>
      <c r="I635" s="44" t="s">
        <v>413</v>
      </c>
    </row>
    <row r="636" spans="1:9" hidden="1" x14ac:dyDescent="0.2">
      <c r="A636" s="11">
        <v>4</v>
      </c>
      <c r="B636" s="16">
        <v>263614.05</v>
      </c>
      <c r="C636" s="13">
        <v>45142</v>
      </c>
      <c r="D636" s="11" t="s">
        <v>267</v>
      </c>
      <c r="E636" s="14">
        <v>315</v>
      </c>
      <c r="F636" s="11" t="s">
        <v>23</v>
      </c>
      <c r="G636" s="5">
        <v>836.87</v>
      </c>
      <c r="H636" s="36">
        <f t="shared" si="9"/>
        <v>1054456.2</v>
      </c>
      <c r="I636" s="44" t="s">
        <v>413</v>
      </c>
    </row>
    <row r="637" spans="1:9" hidden="1" x14ac:dyDescent="0.2">
      <c r="A637" s="11">
        <v>4</v>
      </c>
      <c r="B637" s="16">
        <v>79629.48</v>
      </c>
      <c r="C637" s="13">
        <v>45142</v>
      </c>
      <c r="D637" s="11" t="s">
        <v>237</v>
      </c>
      <c r="E637" s="14">
        <v>756</v>
      </c>
      <c r="F637" s="11" t="s">
        <v>23</v>
      </c>
      <c r="G637" s="5">
        <v>105.33</v>
      </c>
      <c r="H637" s="36">
        <f t="shared" si="9"/>
        <v>318517.92</v>
      </c>
      <c r="I637" s="44" t="s">
        <v>413</v>
      </c>
    </row>
    <row r="638" spans="1:9" hidden="1" x14ac:dyDescent="0.2">
      <c r="A638" s="11">
        <v>3</v>
      </c>
      <c r="B638" s="16">
        <v>112740.54</v>
      </c>
      <c r="C638" s="13">
        <v>45143</v>
      </c>
      <c r="D638" s="11" t="s">
        <v>351</v>
      </c>
      <c r="E638" s="14">
        <v>879</v>
      </c>
      <c r="F638" s="11" t="s">
        <v>23</v>
      </c>
      <c r="G638" s="5">
        <v>128.26</v>
      </c>
      <c r="H638" s="36">
        <f t="shared" si="9"/>
        <v>338221.62</v>
      </c>
      <c r="I638" s="44" t="s">
        <v>413</v>
      </c>
    </row>
    <row r="639" spans="1:9" hidden="1" x14ac:dyDescent="0.2">
      <c r="A639" s="11">
        <v>3</v>
      </c>
      <c r="B639" s="16">
        <v>956122.2</v>
      </c>
      <c r="C639" s="13">
        <v>45143</v>
      </c>
      <c r="D639" s="11" t="s">
        <v>265</v>
      </c>
      <c r="E639" s="14">
        <v>1290</v>
      </c>
      <c r="F639" s="11" t="s">
        <v>23</v>
      </c>
      <c r="G639" s="5">
        <v>741.18</v>
      </c>
      <c r="H639" s="36">
        <f t="shared" si="9"/>
        <v>2868366.5999999996</v>
      </c>
      <c r="I639" s="44" t="s">
        <v>413</v>
      </c>
    </row>
  </sheetData>
  <autoFilter ref="A1:I639" xr:uid="{0F4525DC-5AD3-4011-85A0-EE8E4DF73E2C}">
    <filterColumn colId="3">
      <filters>
        <filter val="RK73B1ETTP103J"/>
        <filter val="RK73B1ETTP203J"/>
        <filter val="RK73B1ETTP223J"/>
        <filter val="RK73B1ETTP472J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8F77D-CD75-3041-9AF3-922F7E99B38C}">
  <dimension ref="A1:E1048575"/>
  <sheetViews>
    <sheetView workbookViewId="0">
      <selection sqref="A1:E187"/>
    </sheetView>
  </sheetViews>
  <sheetFormatPr baseColWidth="10" defaultRowHeight="15" x14ac:dyDescent="0.2"/>
  <cols>
    <col min="1" max="1" width="23.1640625" customWidth="1"/>
    <col min="2" max="2" width="13.6640625" customWidth="1"/>
    <col min="3" max="3" width="19.1640625" style="48" customWidth="1"/>
    <col min="4" max="4" width="23.1640625" style="9" customWidth="1"/>
    <col min="5" max="5" width="31" style="9" customWidth="1"/>
  </cols>
  <sheetData>
    <row r="1" spans="1:5" x14ac:dyDescent="0.2">
      <c r="A1" t="s">
        <v>428</v>
      </c>
      <c r="B1" t="s">
        <v>433</v>
      </c>
      <c r="C1" s="48" t="s">
        <v>388</v>
      </c>
      <c r="D1" s="9" t="s">
        <v>431</v>
      </c>
      <c r="E1" s="9" t="s">
        <v>432</v>
      </c>
    </row>
    <row r="2" spans="1:5" x14ac:dyDescent="0.2">
      <c r="A2" t="s">
        <v>308</v>
      </c>
      <c r="B2">
        <v>1</v>
      </c>
      <c r="C2" s="48">
        <v>5360</v>
      </c>
      <c r="D2" s="9">
        <v>0</v>
      </c>
      <c r="E2" s="9">
        <v>0</v>
      </c>
    </row>
    <row r="3" spans="1:5" x14ac:dyDescent="0.2">
      <c r="A3" t="s">
        <v>307</v>
      </c>
      <c r="B3">
        <v>1</v>
      </c>
      <c r="C3" s="48">
        <v>35877</v>
      </c>
      <c r="D3" s="9">
        <v>0</v>
      </c>
      <c r="E3" s="9">
        <v>0</v>
      </c>
    </row>
    <row r="4" spans="1:5" x14ac:dyDescent="0.2">
      <c r="A4" t="s">
        <v>248</v>
      </c>
      <c r="B4">
        <v>59</v>
      </c>
      <c r="C4" s="48">
        <v>5807308.5</v>
      </c>
      <c r="D4" s="9">
        <v>72.052350440441018</v>
      </c>
      <c r="E4" s="9">
        <v>354.79210827400397</v>
      </c>
    </row>
    <row r="5" spans="1:5" x14ac:dyDescent="0.2">
      <c r="A5" t="s">
        <v>264</v>
      </c>
      <c r="B5">
        <v>1</v>
      </c>
      <c r="C5" s="48">
        <v>0</v>
      </c>
      <c r="D5" s="9">
        <v>0</v>
      </c>
      <c r="E5" s="9">
        <v>0</v>
      </c>
    </row>
    <row r="6" spans="1:5" x14ac:dyDescent="0.2">
      <c r="A6" t="s">
        <v>74</v>
      </c>
      <c r="B6">
        <v>26</v>
      </c>
      <c r="C6" s="48">
        <v>1074360</v>
      </c>
      <c r="D6" s="9">
        <v>223.50884683940032</v>
      </c>
      <c r="E6" s="9">
        <v>81.679486173325444</v>
      </c>
    </row>
    <row r="7" spans="1:5" x14ac:dyDescent="0.2">
      <c r="A7" t="s">
        <v>302</v>
      </c>
      <c r="B7">
        <v>15</v>
      </c>
      <c r="C7" s="48">
        <v>4280133.78</v>
      </c>
      <c r="D7" s="9">
        <v>151.12568090322188</v>
      </c>
      <c r="E7" s="9">
        <v>120.0334477194943</v>
      </c>
    </row>
    <row r="8" spans="1:5" x14ac:dyDescent="0.2">
      <c r="A8" t="s">
        <v>259</v>
      </c>
      <c r="B8">
        <v>6</v>
      </c>
      <c r="C8" s="48">
        <v>985224.87</v>
      </c>
      <c r="D8" s="9">
        <v>136.93063937629154</v>
      </c>
      <c r="E8" s="9">
        <v>1200.2499739637572</v>
      </c>
    </row>
    <row r="9" spans="1:5" x14ac:dyDescent="0.2">
      <c r="A9" t="s">
        <v>247</v>
      </c>
      <c r="B9">
        <v>34</v>
      </c>
      <c r="C9" s="48">
        <v>810792</v>
      </c>
      <c r="D9" s="9">
        <v>107.08680487844863</v>
      </c>
      <c r="E9" s="9">
        <v>145.23200444758905</v>
      </c>
    </row>
    <row r="10" spans="1:5" x14ac:dyDescent="0.2">
      <c r="A10" t="s">
        <v>268</v>
      </c>
      <c r="B10">
        <v>24</v>
      </c>
      <c r="C10" s="48">
        <v>1497984.6600000001</v>
      </c>
      <c r="D10" s="9">
        <v>128.32767727085908</v>
      </c>
      <c r="E10" s="9">
        <v>16.326325766793893</v>
      </c>
    </row>
    <row r="11" spans="1:5" x14ac:dyDescent="0.2">
      <c r="A11" t="s">
        <v>75</v>
      </c>
      <c r="B11">
        <v>3</v>
      </c>
      <c r="C11" s="48">
        <v>271738.32</v>
      </c>
      <c r="D11" s="9">
        <v>32.078029864690883</v>
      </c>
      <c r="E11" s="9">
        <v>0</v>
      </c>
    </row>
    <row r="12" spans="1:5" x14ac:dyDescent="0.2">
      <c r="A12" t="s">
        <v>324</v>
      </c>
      <c r="B12">
        <v>14</v>
      </c>
      <c r="C12" s="48">
        <v>7339422.7199999997</v>
      </c>
      <c r="D12" s="9">
        <v>0.26726100663830649</v>
      </c>
      <c r="E12" s="9">
        <v>67.840796180275078</v>
      </c>
    </row>
    <row r="13" spans="1:5" x14ac:dyDescent="0.2">
      <c r="A13" t="s">
        <v>51</v>
      </c>
      <c r="B13">
        <v>72</v>
      </c>
      <c r="C13" s="48">
        <v>0</v>
      </c>
      <c r="D13" s="9">
        <v>36.705844944812547</v>
      </c>
      <c r="E13" s="9">
        <v>24936.522192705474</v>
      </c>
    </row>
    <row r="14" spans="1:5" x14ac:dyDescent="0.2">
      <c r="A14" t="s">
        <v>317</v>
      </c>
      <c r="B14">
        <v>5</v>
      </c>
      <c r="C14" s="48">
        <v>140713.20000000001</v>
      </c>
      <c r="D14" s="9">
        <v>194.4985861126226</v>
      </c>
      <c r="E14" s="9">
        <v>73.942545263197431</v>
      </c>
    </row>
    <row r="15" spans="1:5" x14ac:dyDescent="0.2">
      <c r="A15" t="s">
        <v>312</v>
      </c>
      <c r="B15">
        <v>1</v>
      </c>
      <c r="C15" s="48">
        <v>3381</v>
      </c>
      <c r="D15" s="9">
        <v>0</v>
      </c>
      <c r="E15" s="9">
        <v>0</v>
      </c>
    </row>
    <row r="16" spans="1:5" x14ac:dyDescent="0.2">
      <c r="A16" t="s">
        <v>309</v>
      </c>
      <c r="B16">
        <v>10</v>
      </c>
      <c r="C16" s="48">
        <v>77220</v>
      </c>
      <c r="D16" s="9">
        <v>51.227596731021933</v>
      </c>
      <c r="E16" s="9">
        <v>1449.1376746189439</v>
      </c>
    </row>
    <row r="17" spans="1:5" x14ac:dyDescent="0.2">
      <c r="A17" t="s">
        <v>54</v>
      </c>
      <c r="B17">
        <v>73</v>
      </c>
      <c r="C17" s="48">
        <v>0</v>
      </c>
      <c r="D17" s="9">
        <v>43.24229108627059</v>
      </c>
      <c r="E17" s="9">
        <v>12438.99862445928</v>
      </c>
    </row>
    <row r="18" spans="1:5" x14ac:dyDescent="0.2">
      <c r="A18" t="s">
        <v>323</v>
      </c>
      <c r="B18">
        <v>9</v>
      </c>
      <c r="C18" s="48">
        <v>1226635.52</v>
      </c>
      <c r="D18" s="9">
        <v>125.07608795318077</v>
      </c>
      <c r="E18" s="9">
        <v>147.02985335562903</v>
      </c>
    </row>
    <row r="19" spans="1:5" x14ac:dyDescent="0.2">
      <c r="A19" t="s">
        <v>249</v>
      </c>
      <c r="B19">
        <v>5</v>
      </c>
      <c r="C19" s="48">
        <v>17455.2</v>
      </c>
      <c r="D19" s="9">
        <v>68.638181792711151</v>
      </c>
      <c r="E19" s="9">
        <v>0</v>
      </c>
    </row>
    <row r="20" spans="1:5" x14ac:dyDescent="0.2">
      <c r="A20" t="s">
        <v>257</v>
      </c>
      <c r="B20">
        <v>3</v>
      </c>
      <c r="C20" s="48">
        <v>271738.32</v>
      </c>
      <c r="D20" s="9">
        <v>32.078029864690883</v>
      </c>
      <c r="E20" s="9">
        <v>0</v>
      </c>
    </row>
    <row r="21" spans="1:5" x14ac:dyDescent="0.2">
      <c r="A21" t="s">
        <v>292</v>
      </c>
      <c r="B21">
        <v>4</v>
      </c>
      <c r="C21" s="48">
        <v>504417.76</v>
      </c>
      <c r="D21" s="9">
        <v>17.5</v>
      </c>
      <c r="E21" s="9">
        <v>1179.5501967558087</v>
      </c>
    </row>
    <row r="22" spans="1:5" x14ac:dyDescent="0.2">
      <c r="A22" t="s">
        <v>286</v>
      </c>
      <c r="B22">
        <v>1</v>
      </c>
      <c r="C22" s="48">
        <v>431751.6</v>
      </c>
      <c r="D22" s="9">
        <v>0</v>
      </c>
      <c r="E22" s="9">
        <v>0</v>
      </c>
    </row>
    <row r="23" spans="1:5" x14ac:dyDescent="0.2">
      <c r="A23" t="s">
        <v>319</v>
      </c>
      <c r="B23">
        <v>1</v>
      </c>
      <c r="C23" s="48">
        <v>28687.68</v>
      </c>
      <c r="D23" s="9">
        <v>0</v>
      </c>
      <c r="E23" s="9">
        <v>0</v>
      </c>
    </row>
    <row r="24" spans="1:5" x14ac:dyDescent="0.2">
      <c r="A24" t="s">
        <v>287</v>
      </c>
      <c r="B24">
        <v>1</v>
      </c>
      <c r="C24" s="48">
        <v>3011.4</v>
      </c>
      <c r="D24" s="9">
        <v>0</v>
      </c>
      <c r="E24" s="9">
        <v>0</v>
      </c>
    </row>
    <row r="25" spans="1:5" x14ac:dyDescent="0.2">
      <c r="A25" t="s">
        <v>269</v>
      </c>
      <c r="B25">
        <v>1</v>
      </c>
      <c r="C25" s="48">
        <v>0</v>
      </c>
      <c r="D25" s="9">
        <v>0</v>
      </c>
      <c r="E25" s="9">
        <v>0</v>
      </c>
    </row>
    <row r="26" spans="1:5" x14ac:dyDescent="0.2">
      <c r="A26" t="s">
        <v>283</v>
      </c>
      <c r="B26">
        <v>2</v>
      </c>
      <c r="C26" s="48">
        <v>70642.600000000006</v>
      </c>
      <c r="D26" s="9">
        <v>0</v>
      </c>
      <c r="E26" s="9">
        <v>0</v>
      </c>
    </row>
    <row r="27" spans="1:5" x14ac:dyDescent="0.2">
      <c r="A27" t="s">
        <v>272</v>
      </c>
      <c r="B27">
        <v>1</v>
      </c>
      <c r="C27" s="48">
        <v>2132</v>
      </c>
      <c r="D27" s="9">
        <v>0</v>
      </c>
      <c r="E27" s="9">
        <v>0</v>
      </c>
    </row>
    <row r="28" spans="1:5" x14ac:dyDescent="0.2">
      <c r="A28" t="s">
        <v>284</v>
      </c>
      <c r="B28">
        <v>8</v>
      </c>
      <c r="C28" s="48">
        <v>197980.80000000002</v>
      </c>
      <c r="D28" s="9">
        <v>158.24551449296393</v>
      </c>
      <c r="E28" s="9">
        <v>0</v>
      </c>
    </row>
    <row r="29" spans="1:5" x14ac:dyDescent="0.2">
      <c r="A29" t="s">
        <v>279</v>
      </c>
      <c r="B29">
        <v>2</v>
      </c>
      <c r="C29" s="48">
        <v>114880.08</v>
      </c>
      <c r="D29" s="9">
        <v>57.982756057296896</v>
      </c>
      <c r="E29" s="9">
        <v>0</v>
      </c>
    </row>
    <row r="30" spans="1:5" x14ac:dyDescent="0.2">
      <c r="A30" t="s">
        <v>258</v>
      </c>
      <c r="B30">
        <v>80</v>
      </c>
      <c r="C30" s="48">
        <v>3846557.400000005</v>
      </c>
      <c r="D30" s="9">
        <v>50.982194706197873</v>
      </c>
      <c r="E30" s="9">
        <v>39.131189606246316</v>
      </c>
    </row>
    <row r="31" spans="1:5" x14ac:dyDescent="0.2">
      <c r="A31" t="s">
        <v>305</v>
      </c>
      <c r="B31">
        <v>6</v>
      </c>
      <c r="C31" s="48">
        <v>328203.36</v>
      </c>
      <c r="D31" s="9">
        <v>131.65624431371958</v>
      </c>
      <c r="E31" s="9">
        <v>34.991427521608777</v>
      </c>
    </row>
    <row r="32" spans="1:5" x14ac:dyDescent="0.2">
      <c r="A32" t="s">
        <v>315</v>
      </c>
      <c r="B32">
        <v>12</v>
      </c>
      <c r="C32" s="48">
        <v>262315.8</v>
      </c>
      <c r="D32" s="9">
        <v>57.481749410287719</v>
      </c>
      <c r="E32" s="9">
        <v>269.59059870309073</v>
      </c>
    </row>
    <row r="33" spans="1:5" x14ac:dyDescent="0.2">
      <c r="A33" t="s">
        <v>325</v>
      </c>
      <c r="B33">
        <v>1</v>
      </c>
      <c r="C33" s="48">
        <v>10786.8</v>
      </c>
      <c r="D33" s="9">
        <v>0</v>
      </c>
      <c r="E33" s="9">
        <v>0</v>
      </c>
    </row>
    <row r="34" spans="1:5" x14ac:dyDescent="0.2">
      <c r="A34" t="s">
        <v>112</v>
      </c>
      <c r="B34">
        <v>5</v>
      </c>
      <c r="C34" s="48">
        <v>22370.760000000002</v>
      </c>
      <c r="D34" s="9">
        <v>109.77385845542068</v>
      </c>
      <c r="E34" s="9">
        <v>11618.840355216178</v>
      </c>
    </row>
    <row r="35" spans="1:5" x14ac:dyDescent="0.2">
      <c r="A35" t="s">
        <v>117</v>
      </c>
      <c r="B35">
        <v>2</v>
      </c>
      <c r="C35" s="48">
        <v>136026.75</v>
      </c>
      <c r="D35" s="9">
        <v>104.65180361560904</v>
      </c>
      <c r="E35" s="9">
        <v>54.447222151364159</v>
      </c>
    </row>
    <row r="36" spans="1:5" x14ac:dyDescent="0.2">
      <c r="A36" t="s">
        <v>122</v>
      </c>
      <c r="B36">
        <v>92</v>
      </c>
      <c r="C36" s="48">
        <v>6178531.5599999959</v>
      </c>
      <c r="D36" s="9">
        <v>85.804250048662112</v>
      </c>
      <c r="E36" s="9">
        <v>5278.3544198688178</v>
      </c>
    </row>
    <row r="37" spans="1:5" x14ac:dyDescent="0.2">
      <c r="A37" t="s">
        <v>128</v>
      </c>
      <c r="B37">
        <v>3</v>
      </c>
      <c r="C37" s="48">
        <v>98238</v>
      </c>
      <c r="D37" s="9">
        <v>0</v>
      </c>
      <c r="E37" s="9">
        <v>138.5640646055102</v>
      </c>
    </row>
    <row r="38" spans="1:5" x14ac:dyDescent="0.2">
      <c r="A38" t="s">
        <v>131</v>
      </c>
      <c r="B38">
        <v>2</v>
      </c>
      <c r="C38" s="48">
        <v>6138</v>
      </c>
      <c r="D38" s="9">
        <v>48.083261120685229</v>
      </c>
      <c r="E38" s="9">
        <v>42.426406871192853</v>
      </c>
    </row>
    <row r="39" spans="1:5" x14ac:dyDescent="0.2">
      <c r="A39" t="s">
        <v>133</v>
      </c>
      <c r="B39">
        <v>12</v>
      </c>
      <c r="C39" s="48">
        <v>262315.8</v>
      </c>
      <c r="D39" s="9">
        <v>57.481749410287719</v>
      </c>
      <c r="E39" s="9">
        <v>269.59059870309073</v>
      </c>
    </row>
    <row r="40" spans="1:5" x14ac:dyDescent="0.2">
      <c r="A40" t="s">
        <v>139</v>
      </c>
      <c r="B40">
        <v>3</v>
      </c>
      <c r="C40" s="48">
        <v>29460.54</v>
      </c>
      <c r="D40" s="9">
        <v>34.641016151377549</v>
      </c>
      <c r="E40" s="9">
        <v>144.33756729740642</v>
      </c>
    </row>
    <row r="41" spans="1:5" x14ac:dyDescent="0.2">
      <c r="A41" t="s">
        <v>80</v>
      </c>
      <c r="B41">
        <v>3</v>
      </c>
      <c r="C41" s="48">
        <v>5895</v>
      </c>
      <c r="D41" s="9">
        <v>64.085879880048466</v>
      </c>
      <c r="E41" s="9">
        <v>866.02540378443859</v>
      </c>
    </row>
    <row r="42" spans="1:5" x14ac:dyDescent="0.2">
      <c r="A42" t="s">
        <v>86</v>
      </c>
      <c r="B42">
        <v>24</v>
      </c>
      <c r="C42" s="48">
        <v>1497984.6600000001</v>
      </c>
      <c r="D42" s="9">
        <v>128.32767727085908</v>
      </c>
      <c r="E42" s="9">
        <v>16.326325766793893</v>
      </c>
    </row>
    <row r="43" spans="1:5" x14ac:dyDescent="0.2">
      <c r="A43" t="s">
        <v>92</v>
      </c>
      <c r="B43">
        <v>1</v>
      </c>
      <c r="C43" s="48">
        <v>3285.6</v>
      </c>
      <c r="D43" s="9">
        <v>0</v>
      </c>
      <c r="E43" s="9">
        <v>0</v>
      </c>
    </row>
    <row r="44" spans="1:5" x14ac:dyDescent="0.2">
      <c r="A44" t="s">
        <v>95</v>
      </c>
      <c r="B44">
        <v>1</v>
      </c>
      <c r="C44" s="48">
        <v>507888.56</v>
      </c>
      <c r="D44" s="9">
        <v>0</v>
      </c>
      <c r="E44" s="9">
        <v>0</v>
      </c>
    </row>
    <row r="45" spans="1:5" x14ac:dyDescent="0.2">
      <c r="A45" t="s">
        <v>96</v>
      </c>
      <c r="B45">
        <v>7</v>
      </c>
      <c r="C45" s="48">
        <v>46265.310000000005</v>
      </c>
      <c r="D45" s="9">
        <v>50.969645495629798</v>
      </c>
      <c r="E45" s="9">
        <v>0</v>
      </c>
    </row>
    <row r="46" spans="1:5" x14ac:dyDescent="0.2">
      <c r="A46" t="s">
        <v>97</v>
      </c>
      <c r="B46">
        <v>2</v>
      </c>
      <c r="C46" s="48">
        <v>114880.08</v>
      </c>
      <c r="D46" s="9">
        <v>57.982756057296896</v>
      </c>
      <c r="E46" s="9">
        <v>0</v>
      </c>
    </row>
    <row r="47" spans="1:5" x14ac:dyDescent="0.2">
      <c r="A47" t="s">
        <v>101</v>
      </c>
      <c r="B47">
        <v>2</v>
      </c>
      <c r="C47" s="48">
        <v>70642.600000000006</v>
      </c>
      <c r="D47" s="9">
        <v>0</v>
      </c>
      <c r="E47" s="9">
        <v>0</v>
      </c>
    </row>
    <row r="48" spans="1:5" x14ac:dyDescent="0.2">
      <c r="A48" t="s">
        <v>103</v>
      </c>
      <c r="B48">
        <v>9</v>
      </c>
      <c r="C48" s="48">
        <v>146578.81000000003</v>
      </c>
      <c r="D48" s="9">
        <v>118.16196511568349</v>
      </c>
      <c r="E48" s="9">
        <v>51.666666666666671</v>
      </c>
    </row>
    <row r="49" spans="1:5" x14ac:dyDescent="0.2">
      <c r="A49" t="s">
        <v>106</v>
      </c>
      <c r="B49">
        <v>6</v>
      </c>
      <c r="C49" s="48">
        <v>1075110</v>
      </c>
      <c r="D49" s="9">
        <v>85.939513612773027</v>
      </c>
      <c r="E49" s="9">
        <v>29.65805118344764</v>
      </c>
    </row>
    <row r="50" spans="1:5" x14ac:dyDescent="0.2">
      <c r="A50" t="s">
        <v>109</v>
      </c>
      <c r="B50">
        <v>1</v>
      </c>
      <c r="C50" s="48">
        <v>69350.399999999994</v>
      </c>
      <c r="D50" s="9">
        <v>0</v>
      </c>
      <c r="E50" s="9">
        <v>0</v>
      </c>
    </row>
    <row r="51" spans="1:5" x14ac:dyDescent="0.2">
      <c r="A51" t="s">
        <v>56</v>
      </c>
      <c r="B51">
        <v>2</v>
      </c>
      <c r="C51" s="48">
        <v>3880</v>
      </c>
      <c r="D51" s="9">
        <v>98.994949366116657</v>
      </c>
      <c r="E51" s="9">
        <v>707.10678118654755</v>
      </c>
    </row>
    <row r="52" spans="1:5" x14ac:dyDescent="0.2">
      <c r="A52" t="s">
        <v>267</v>
      </c>
      <c r="B52">
        <v>112</v>
      </c>
      <c r="C52" s="48">
        <v>7780632.7500000279</v>
      </c>
      <c r="D52" s="9">
        <v>72.900257575537594</v>
      </c>
      <c r="E52" s="9">
        <v>155.26638275524942</v>
      </c>
    </row>
    <row r="53" spans="1:5" x14ac:dyDescent="0.2">
      <c r="A53" t="s">
        <v>252</v>
      </c>
      <c r="B53">
        <v>13</v>
      </c>
      <c r="C53" s="48">
        <v>680971.2</v>
      </c>
      <c r="D53" s="9">
        <v>121.54707856542716</v>
      </c>
      <c r="E53" s="9">
        <v>0</v>
      </c>
    </row>
    <row r="54" spans="1:5" x14ac:dyDescent="0.2">
      <c r="A54" t="s">
        <v>316</v>
      </c>
      <c r="B54">
        <v>1</v>
      </c>
      <c r="C54" s="48">
        <v>81001.600000000006</v>
      </c>
      <c r="D54" s="9">
        <v>0</v>
      </c>
      <c r="E54" s="9">
        <v>0</v>
      </c>
    </row>
    <row r="55" spans="1:5" x14ac:dyDescent="0.2">
      <c r="A55" t="s">
        <v>306</v>
      </c>
      <c r="B55">
        <v>17</v>
      </c>
      <c r="C55" s="48">
        <v>65802.8</v>
      </c>
      <c r="D55" s="9">
        <v>114.64536110800782</v>
      </c>
      <c r="E55" s="9">
        <v>78.171474412119835</v>
      </c>
    </row>
    <row r="56" spans="1:5" x14ac:dyDescent="0.2">
      <c r="A56" t="s">
        <v>294</v>
      </c>
      <c r="B56">
        <v>5</v>
      </c>
      <c r="C56" s="48">
        <v>22370.760000000002</v>
      </c>
      <c r="D56" s="9">
        <v>109.77385845542068</v>
      </c>
      <c r="E56" s="9">
        <v>11618.840355216178</v>
      </c>
    </row>
    <row r="57" spans="1:5" x14ac:dyDescent="0.2">
      <c r="A57" t="s">
        <v>265</v>
      </c>
      <c r="B57">
        <v>101</v>
      </c>
      <c r="C57" s="48">
        <v>8269212.6000000229</v>
      </c>
      <c r="D57" s="9">
        <v>116.14881713895463</v>
      </c>
      <c r="E57" s="9">
        <v>103.07845709376758</v>
      </c>
    </row>
    <row r="58" spans="1:5" x14ac:dyDescent="0.2">
      <c r="A58" t="s">
        <v>318</v>
      </c>
      <c r="B58">
        <v>10</v>
      </c>
      <c r="C58" s="48">
        <v>320892.00000000006</v>
      </c>
      <c r="D58" s="9">
        <v>282.79880952130378</v>
      </c>
      <c r="E58" s="9">
        <v>0</v>
      </c>
    </row>
    <row r="59" spans="1:5" x14ac:dyDescent="0.2">
      <c r="A59" t="s">
        <v>299</v>
      </c>
      <c r="B59">
        <v>2</v>
      </c>
      <c r="C59" s="48">
        <v>136026.75</v>
      </c>
      <c r="D59" s="9">
        <v>104.65180361560904</v>
      </c>
      <c r="E59" s="9">
        <v>54.447222151364159</v>
      </c>
    </row>
    <row r="60" spans="1:5" x14ac:dyDescent="0.2">
      <c r="A60" t="s">
        <v>298</v>
      </c>
      <c r="B60">
        <v>1</v>
      </c>
      <c r="C60" s="48">
        <v>73402.559999999998</v>
      </c>
      <c r="D60" s="9">
        <v>0</v>
      </c>
      <c r="E60" s="9">
        <v>0</v>
      </c>
    </row>
    <row r="61" spans="1:5" x14ac:dyDescent="0.2">
      <c r="A61" t="s">
        <v>241</v>
      </c>
      <c r="B61">
        <v>5</v>
      </c>
      <c r="C61" s="48">
        <v>163674</v>
      </c>
      <c r="D61" s="9">
        <v>41.087711055853006</v>
      </c>
      <c r="E61" s="9">
        <v>0</v>
      </c>
    </row>
    <row r="62" spans="1:5" x14ac:dyDescent="0.2">
      <c r="A62" t="s">
        <v>270</v>
      </c>
      <c r="B62">
        <v>140</v>
      </c>
      <c r="C62" s="48">
        <v>6933031.7099999925</v>
      </c>
      <c r="D62" s="9">
        <v>16.135173796068955</v>
      </c>
      <c r="E62" s="9">
        <v>2.2787615864618704</v>
      </c>
    </row>
    <row r="63" spans="1:5" x14ac:dyDescent="0.2">
      <c r="A63" t="s">
        <v>250</v>
      </c>
      <c r="B63">
        <v>19</v>
      </c>
      <c r="C63" s="48">
        <v>86795.799999999988</v>
      </c>
      <c r="D63" s="9">
        <v>174.95125469760731</v>
      </c>
      <c r="E63" s="9">
        <v>1147.6984342179931</v>
      </c>
    </row>
    <row r="64" spans="1:5" x14ac:dyDescent="0.2">
      <c r="A64" t="s">
        <v>253</v>
      </c>
      <c r="B64">
        <v>2</v>
      </c>
      <c r="C64" s="48">
        <v>333925.2</v>
      </c>
      <c r="D64" s="9">
        <v>181.7264427649427</v>
      </c>
      <c r="E64" s="9">
        <v>0</v>
      </c>
    </row>
    <row r="65" spans="1:5" x14ac:dyDescent="0.2">
      <c r="A65" t="s">
        <v>310</v>
      </c>
      <c r="B65">
        <v>3</v>
      </c>
      <c r="C65" s="48">
        <v>98238</v>
      </c>
      <c r="D65" s="9">
        <v>0</v>
      </c>
      <c r="E65" s="9">
        <v>138.5640646055102</v>
      </c>
    </row>
    <row r="66" spans="1:5" x14ac:dyDescent="0.2">
      <c r="A66" t="s">
        <v>303</v>
      </c>
      <c r="B66">
        <v>78</v>
      </c>
      <c r="C66" s="48">
        <v>5866748.9999999944</v>
      </c>
      <c r="D66" s="9">
        <v>57.933700781343369</v>
      </c>
      <c r="E66" s="9">
        <v>441.52341565700294</v>
      </c>
    </row>
    <row r="67" spans="1:5" x14ac:dyDescent="0.2">
      <c r="A67" t="s">
        <v>277</v>
      </c>
      <c r="B67">
        <v>1</v>
      </c>
      <c r="C67" s="48">
        <v>507888.56</v>
      </c>
      <c r="D67" s="9">
        <v>0</v>
      </c>
      <c r="E67" s="9">
        <v>0</v>
      </c>
    </row>
    <row r="68" spans="1:5" x14ac:dyDescent="0.2">
      <c r="A68" t="s">
        <v>242</v>
      </c>
      <c r="B68">
        <v>2</v>
      </c>
      <c r="C68" s="48">
        <v>133449.12</v>
      </c>
      <c r="D68" s="9">
        <v>98.287842584930104</v>
      </c>
      <c r="E68" s="9">
        <v>0</v>
      </c>
    </row>
    <row r="69" spans="1:5" x14ac:dyDescent="0.2">
      <c r="A69" t="s">
        <v>243</v>
      </c>
      <c r="B69">
        <v>9</v>
      </c>
      <c r="C69" s="48">
        <v>172851.84</v>
      </c>
      <c r="D69" s="9">
        <v>166.54428840401582</v>
      </c>
      <c r="E69" s="9">
        <v>168</v>
      </c>
    </row>
    <row r="70" spans="1:5" x14ac:dyDescent="0.2">
      <c r="A70" t="s">
        <v>261</v>
      </c>
      <c r="B70">
        <v>4</v>
      </c>
      <c r="C70" s="48">
        <v>10980</v>
      </c>
      <c r="D70" s="9">
        <v>122.90206127916109</v>
      </c>
      <c r="E70" s="9">
        <v>750</v>
      </c>
    </row>
    <row r="71" spans="1:5" x14ac:dyDescent="0.2">
      <c r="A71" t="s">
        <v>239</v>
      </c>
      <c r="B71">
        <v>1</v>
      </c>
      <c r="C71" s="48">
        <v>0</v>
      </c>
      <c r="D71" s="9">
        <v>0</v>
      </c>
      <c r="E71" s="9">
        <v>0</v>
      </c>
    </row>
    <row r="72" spans="1:5" x14ac:dyDescent="0.2">
      <c r="A72" t="s">
        <v>300</v>
      </c>
      <c r="B72">
        <v>54</v>
      </c>
      <c r="C72" s="48">
        <v>337270.49999999994</v>
      </c>
      <c r="D72" s="9">
        <v>53.191271095497591</v>
      </c>
      <c r="E72" s="9">
        <v>25.839855131318892</v>
      </c>
    </row>
    <row r="73" spans="1:5" x14ac:dyDescent="0.2">
      <c r="A73" t="s">
        <v>321</v>
      </c>
      <c r="B73">
        <v>3</v>
      </c>
      <c r="C73" s="48">
        <v>29460.54</v>
      </c>
      <c r="D73" s="9">
        <v>34.641016151377549</v>
      </c>
      <c r="E73" s="9">
        <v>144.33756729740642</v>
      </c>
    </row>
    <row r="74" spans="1:5" x14ac:dyDescent="0.2">
      <c r="A74" t="s">
        <v>70</v>
      </c>
      <c r="B74">
        <v>13</v>
      </c>
      <c r="C74" s="48">
        <v>680971.2</v>
      </c>
      <c r="D74" s="9">
        <v>121.54707856542716</v>
      </c>
      <c r="E74" s="9">
        <v>0</v>
      </c>
    </row>
    <row r="75" spans="1:5" x14ac:dyDescent="0.2">
      <c r="A75" t="s">
        <v>68</v>
      </c>
      <c r="B75">
        <v>19</v>
      </c>
      <c r="C75" s="48">
        <v>86795.799999999988</v>
      </c>
      <c r="D75" s="9">
        <v>174.95125469760731</v>
      </c>
      <c r="E75" s="9">
        <v>1147.6984342179931</v>
      </c>
    </row>
    <row r="76" spans="1:5" x14ac:dyDescent="0.2">
      <c r="A76" t="s">
        <v>69</v>
      </c>
      <c r="B76">
        <v>2</v>
      </c>
      <c r="C76" s="48">
        <v>0</v>
      </c>
      <c r="D76" s="9">
        <v>0</v>
      </c>
      <c r="E76" s="9">
        <v>0</v>
      </c>
    </row>
    <row r="77" spans="1:5" x14ac:dyDescent="0.2">
      <c r="A77" t="s">
        <v>72</v>
      </c>
      <c r="B77">
        <v>19</v>
      </c>
      <c r="C77" s="48">
        <v>813850.7999999997</v>
      </c>
      <c r="D77" s="9">
        <v>179.46349544878635</v>
      </c>
      <c r="E77" s="9">
        <v>157.34641634572458</v>
      </c>
    </row>
    <row r="78" spans="1:5" x14ac:dyDescent="0.2">
      <c r="A78" t="s">
        <v>322</v>
      </c>
      <c r="B78">
        <v>6</v>
      </c>
      <c r="C78" s="48">
        <v>72718.8</v>
      </c>
      <c r="D78" s="9">
        <v>105.85965551990911</v>
      </c>
      <c r="E78" s="9">
        <v>171.46428199482247</v>
      </c>
    </row>
    <row r="79" spans="1:5" x14ac:dyDescent="0.2">
      <c r="A79" t="s">
        <v>71</v>
      </c>
      <c r="B79">
        <v>2</v>
      </c>
      <c r="C79" s="48">
        <v>333925.2</v>
      </c>
      <c r="D79" s="9">
        <v>181.7264427649427</v>
      </c>
      <c r="E79" s="9">
        <v>0</v>
      </c>
    </row>
    <row r="80" spans="1:5" x14ac:dyDescent="0.2">
      <c r="A80" t="s">
        <v>233</v>
      </c>
      <c r="B80">
        <v>72</v>
      </c>
      <c r="C80" s="48">
        <v>0</v>
      </c>
      <c r="D80" s="9">
        <v>36.705844944812547</v>
      </c>
      <c r="E80" s="9">
        <v>24936.522192705474</v>
      </c>
    </row>
    <row r="81" spans="1:5" x14ac:dyDescent="0.2">
      <c r="A81" t="s">
        <v>271</v>
      </c>
      <c r="B81">
        <v>2</v>
      </c>
      <c r="C81" s="48">
        <v>536991</v>
      </c>
      <c r="D81" s="9">
        <v>204.35385976291224</v>
      </c>
      <c r="E81" s="9">
        <v>197.98989873223331</v>
      </c>
    </row>
    <row r="82" spans="1:5" x14ac:dyDescent="0.2">
      <c r="A82" t="s">
        <v>290</v>
      </c>
      <c r="B82">
        <v>68</v>
      </c>
      <c r="C82" s="48">
        <v>7899996.6500000004</v>
      </c>
      <c r="D82" s="9">
        <v>98.588528646787282</v>
      </c>
      <c r="E82" s="9">
        <v>95.954109742473179</v>
      </c>
    </row>
    <row r="83" spans="1:5" x14ac:dyDescent="0.2">
      <c r="A83" t="s">
        <v>275</v>
      </c>
      <c r="B83">
        <v>2</v>
      </c>
      <c r="C83" s="48">
        <v>2986222.98</v>
      </c>
      <c r="D83" s="9">
        <v>0</v>
      </c>
      <c r="E83" s="9">
        <v>105320.01952383033</v>
      </c>
    </row>
    <row r="84" spans="1:5" x14ac:dyDescent="0.2">
      <c r="A84" t="s">
        <v>274</v>
      </c>
      <c r="B84">
        <v>1</v>
      </c>
      <c r="C84" s="48">
        <v>3285.6</v>
      </c>
      <c r="D84" s="9">
        <v>0</v>
      </c>
      <c r="E84" s="9">
        <v>0</v>
      </c>
    </row>
    <row r="85" spans="1:5" x14ac:dyDescent="0.2">
      <c r="A85" t="s">
        <v>236</v>
      </c>
      <c r="B85">
        <v>73</v>
      </c>
      <c r="C85" s="48">
        <v>0</v>
      </c>
      <c r="D85" s="9">
        <v>43.24229108627059</v>
      </c>
      <c r="E85" s="9">
        <v>12438.99862445928</v>
      </c>
    </row>
    <row r="86" spans="1:5" x14ac:dyDescent="0.2">
      <c r="A86" t="s">
        <v>255</v>
      </c>
      <c r="B86">
        <v>8</v>
      </c>
      <c r="C86" s="48">
        <v>360242.40000000008</v>
      </c>
      <c r="D86" s="9">
        <v>63.511528762219903</v>
      </c>
      <c r="E86" s="9">
        <v>114.94563932572649</v>
      </c>
    </row>
    <row r="87" spans="1:5" x14ac:dyDescent="0.2">
      <c r="A87" t="s">
        <v>301</v>
      </c>
      <c r="B87">
        <v>12</v>
      </c>
      <c r="C87" s="48">
        <v>178466.74999999997</v>
      </c>
      <c r="D87" s="9">
        <v>71.165779570086784</v>
      </c>
      <c r="E87" s="9">
        <v>248.39904052418024</v>
      </c>
    </row>
    <row r="88" spans="1:5" x14ac:dyDescent="0.2">
      <c r="A88" t="s">
        <v>293</v>
      </c>
      <c r="B88">
        <v>3</v>
      </c>
      <c r="C88" s="48">
        <v>32076.799999999999</v>
      </c>
      <c r="D88" s="9">
        <v>39.51371070264446</v>
      </c>
      <c r="E88" s="9">
        <v>646.63230149238098</v>
      </c>
    </row>
    <row r="89" spans="1:5" x14ac:dyDescent="0.2">
      <c r="A89" t="s">
        <v>295</v>
      </c>
      <c r="B89">
        <v>30</v>
      </c>
      <c r="C89" s="48">
        <v>1609617.5999999987</v>
      </c>
      <c r="D89" s="9">
        <v>93.309052671485532</v>
      </c>
      <c r="E89" s="9">
        <v>50.459953394268254</v>
      </c>
    </row>
    <row r="90" spans="1:5" x14ac:dyDescent="0.2">
      <c r="A90" t="s">
        <v>281</v>
      </c>
      <c r="B90">
        <v>5</v>
      </c>
      <c r="C90" s="48">
        <v>12923.8</v>
      </c>
      <c r="D90" s="9">
        <v>83.667197872339827</v>
      </c>
      <c r="E90" s="9">
        <v>124.86592809890135</v>
      </c>
    </row>
    <row r="91" spans="1:5" x14ac:dyDescent="0.2">
      <c r="A91" t="s">
        <v>262</v>
      </c>
      <c r="B91">
        <v>3</v>
      </c>
      <c r="C91" s="48">
        <v>5895</v>
      </c>
      <c r="D91" s="9">
        <v>64.085879880048466</v>
      </c>
      <c r="E91" s="9">
        <v>866.02540378443859</v>
      </c>
    </row>
    <row r="92" spans="1:5" x14ac:dyDescent="0.2">
      <c r="A92" t="s">
        <v>256</v>
      </c>
      <c r="B92">
        <v>26</v>
      </c>
      <c r="C92" s="48">
        <v>1074360</v>
      </c>
      <c r="D92" s="9">
        <v>223.50884683940032</v>
      </c>
      <c r="E92" s="9">
        <v>81.679486173325444</v>
      </c>
    </row>
    <row r="93" spans="1:5" x14ac:dyDescent="0.2">
      <c r="A93" t="s">
        <v>65</v>
      </c>
      <c r="B93">
        <v>34</v>
      </c>
      <c r="C93" s="48">
        <v>810792</v>
      </c>
      <c r="D93" s="9">
        <v>107.08680487844863</v>
      </c>
      <c r="E93" s="9">
        <v>145.23200444758905</v>
      </c>
    </row>
    <row r="94" spans="1:5" x14ac:dyDescent="0.2">
      <c r="A94" t="s">
        <v>58</v>
      </c>
      <c r="B94">
        <v>15</v>
      </c>
      <c r="C94" s="48">
        <v>1298044.7999999998</v>
      </c>
      <c r="D94" s="9">
        <v>132.5553613008409</v>
      </c>
      <c r="E94" s="9">
        <v>212.8852809781429</v>
      </c>
    </row>
    <row r="95" spans="1:5" x14ac:dyDescent="0.2">
      <c r="A95" t="s">
        <v>53</v>
      </c>
      <c r="B95">
        <v>73</v>
      </c>
      <c r="C95" s="48">
        <v>0</v>
      </c>
      <c r="D95" s="9">
        <v>40.913401139959262</v>
      </c>
      <c r="E95" s="9">
        <v>12438.492482524698</v>
      </c>
    </row>
    <row r="96" spans="1:5" x14ac:dyDescent="0.2">
      <c r="A96" t="s">
        <v>297</v>
      </c>
      <c r="B96">
        <v>15</v>
      </c>
      <c r="C96" s="48">
        <v>321108.47999999998</v>
      </c>
      <c r="D96" s="9">
        <v>95.491560335512148</v>
      </c>
      <c r="E96" s="9">
        <v>13037.650550836002</v>
      </c>
    </row>
    <row r="97" spans="1:5" x14ac:dyDescent="0.2">
      <c r="A97" t="s">
        <v>57</v>
      </c>
      <c r="B97">
        <v>1</v>
      </c>
      <c r="C97" s="48">
        <v>0</v>
      </c>
      <c r="D97" s="9">
        <v>0</v>
      </c>
      <c r="E97" s="9">
        <v>0</v>
      </c>
    </row>
    <row r="98" spans="1:5" x14ac:dyDescent="0.2">
      <c r="A98" t="s">
        <v>55</v>
      </c>
      <c r="B98">
        <v>34</v>
      </c>
      <c r="C98" s="48">
        <v>1351896.4800000007</v>
      </c>
      <c r="D98" s="9">
        <v>67.757589309913541</v>
      </c>
      <c r="E98" s="9">
        <v>252.23365790833344</v>
      </c>
    </row>
    <row r="99" spans="1:5" x14ac:dyDescent="0.2">
      <c r="A99" t="s">
        <v>85</v>
      </c>
      <c r="B99">
        <v>112</v>
      </c>
      <c r="C99" s="48">
        <v>7780632.7500000279</v>
      </c>
      <c r="D99" s="9">
        <v>72.900257575537594</v>
      </c>
      <c r="E99" s="9">
        <v>155.26638275524942</v>
      </c>
    </row>
    <row r="100" spans="1:5" x14ac:dyDescent="0.2">
      <c r="A100" t="s">
        <v>115</v>
      </c>
      <c r="B100">
        <v>15</v>
      </c>
      <c r="C100" s="48">
        <v>321108.47999999998</v>
      </c>
      <c r="D100" s="9">
        <v>95.491560335512148</v>
      </c>
      <c r="E100" s="9">
        <v>13037.650550836002</v>
      </c>
    </row>
    <row r="101" spans="1:5" x14ac:dyDescent="0.2">
      <c r="A101" t="s">
        <v>124</v>
      </c>
      <c r="B101">
        <v>17</v>
      </c>
      <c r="C101" s="48">
        <v>65802.8</v>
      </c>
      <c r="D101" s="9">
        <v>114.64536110800782</v>
      </c>
      <c r="E101" s="9">
        <v>78.171474412119835</v>
      </c>
    </row>
    <row r="102" spans="1:5" x14ac:dyDescent="0.2">
      <c r="A102" t="s">
        <v>130</v>
      </c>
      <c r="B102">
        <v>1</v>
      </c>
      <c r="C102" s="48">
        <v>3381</v>
      </c>
      <c r="D102" s="9">
        <v>0</v>
      </c>
      <c r="E102" s="9">
        <v>0</v>
      </c>
    </row>
    <row r="103" spans="1:5" x14ac:dyDescent="0.2">
      <c r="A103" t="s">
        <v>136</v>
      </c>
      <c r="B103">
        <v>10</v>
      </c>
      <c r="C103" s="48">
        <v>320892.00000000006</v>
      </c>
      <c r="D103" s="9">
        <v>282.79880952130378</v>
      </c>
      <c r="E103" s="9">
        <v>0</v>
      </c>
    </row>
    <row r="104" spans="1:5" x14ac:dyDescent="0.2">
      <c r="A104" t="s">
        <v>141</v>
      </c>
      <c r="B104">
        <v>9</v>
      </c>
      <c r="C104" s="48">
        <v>1226635.52</v>
      </c>
      <c r="D104" s="9">
        <v>125.07608795318077</v>
      </c>
      <c r="E104" s="9">
        <v>147.02985335562903</v>
      </c>
    </row>
    <row r="105" spans="1:5" x14ac:dyDescent="0.2">
      <c r="A105" t="s">
        <v>77</v>
      </c>
      <c r="B105">
        <v>6</v>
      </c>
      <c r="C105" s="48">
        <v>985224.87</v>
      </c>
      <c r="D105" s="9">
        <v>136.93063937629154</v>
      </c>
      <c r="E105" s="9">
        <v>1200.2499739637572</v>
      </c>
    </row>
    <row r="106" spans="1:5" x14ac:dyDescent="0.2">
      <c r="A106" t="s">
        <v>90</v>
      </c>
      <c r="B106">
        <v>1</v>
      </c>
      <c r="C106" s="48">
        <v>2132</v>
      </c>
      <c r="D106" s="9">
        <v>0</v>
      </c>
      <c r="E106" s="9">
        <v>0</v>
      </c>
    </row>
    <row r="107" spans="1:5" x14ac:dyDescent="0.2">
      <c r="A107" t="s">
        <v>94</v>
      </c>
      <c r="B107">
        <v>2</v>
      </c>
      <c r="C107" s="48">
        <v>8736</v>
      </c>
      <c r="D107" s="9">
        <v>97.580735803743565</v>
      </c>
      <c r="E107" s="9">
        <v>0</v>
      </c>
    </row>
    <row r="108" spans="1:5" x14ac:dyDescent="0.2">
      <c r="A108" t="s">
        <v>105</v>
      </c>
      <c r="B108">
        <v>1</v>
      </c>
      <c r="C108" s="48">
        <v>3011.4</v>
      </c>
      <c r="D108" s="9">
        <v>0</v>
      </c>
      <c r="E108" s="9">
        <v>0</v>
      </c>
    </row>
    <row r="109" spans="1:5" x14ac:dyDescent="0.2">
      <c r="A109" t="s">
        <v>111</v>
      </c>
      <c r="B109">
        <v>3</v>
      </c>
      <c r="C109" s="48">
        <v>32076.799999999999</v>
      </c>
      <c r="D109" s="9">
        <v>39.51371070264446</v>
      </c>
      <c r="E109" s="9">
        <v>646.63230149238098</v>
      </c>
    </row>
    <row r="110" spans="1:5" x14ac:dyDescent="0.2">
      <c r="A110" t="s">
        <v>119</v>
      </c>
      <c r="B110">
        <v>12</v>
      </c>
      <c r="C110" s="48">
        <v>178466.74999999997</v>
      </c>
      <c r="D110" s="9">
        <v>71.165779570086784</v>
      </c>
      <c r="E110" s="9">
        <v>248.39904052418024</v>
      </c>
    </row>
    <row r="111" spans="1:5" x14ac:dyDescent="0.2">
      <c r="A111" t="s">
        <v>121</v>
      </c>
      <c r="B111">
        <v>78</v>
      </c>
      <c r="C111" s="48">
        <v>5866748.9999999944</v>
      </c>
      <c r="D111" s="9">
        <v>57.933700781343369</v>
      </c>
      <c r="E111" s="9">
        <v>441.52341565700294</v>
      </c>
    </row>
    <row r="112" spans="1:5" x14ac:dyDescent="0.2">
      <c r="A112" t="s">
        <v>82</v>
      </c>
      <c r="B112">
        <v>1</v>
      </c>
      <c r="C112" s="48">
        <v>0</v>
      </c>
      <c r="D112" s="9">
        <v>0</v>
      </c>
      <c r="E112" s="9">
        <v>0</v>
      </c>
    </row>
    <row r="113" spans="1:5" x14ac:dyDescent="0.2">
      <c r="A113" t="s">
        <v>99</v>
      </c>
      <c r="B113">
        <v>5</v>
      </c>
      <c r="C113" s="48">
        <v>12923.8</v>
      </c>
      <c r="D113" s="9">
        <v>83.667197872339827</v>
      </c>
      <c r="E113" s="9">
        <v>124.86592809890135</v>
      </c>
    </row>
    <row r="114" spans="1:5" x14ac:dyDescent="0.2">
      <c r="A114" t="s">
        <v>84</v>
      </c>
      <c r="B114">
        <v>8</v>
      </c>
      <c r="C114" s="48">
        <v>360039.68000000005</v>
      </c>
      <c r="D114" s="9">
        <v>76.591681756478721</v>
      </c>
      <c r="E114" s="9">
        <v>163.69521984468574</v>
      </c>
    </row>
    <row r="115" spans="1:5" x14ac:dyDescent="0.2">
      <c r="A115" t="s">
        <v>63</v>
      </c>
      <c r="B115">
        <v>1</v>
      </c>
      <c r="C115" s="48">
        <v>0</v>
      </c>
      <c r="D115" s="9">
        <v>0</v>
      </c>
      <c r="E115" s="9">
        <v>0</v>
      </c>
    </row>
    <row r="116" spans="1:5" x14ac:dyDescent="0.2">
      <c r="A116" t="s">
        <v>245</v>
      </c>
      <c r="B116">
        <v>1</v>
      </c>
      <c r="C116" s="48">
        <v>0</v>
      </c>
      <c r="D116" s="9">
        <v>0</v>
      </c>
      <c r="E116" s="9">
        <v>0</v>
      </c>
    </row>
    <row r="117" spans="1:5" x14ac:dyDescent="0.2">
      <c r="A117" t="s">
        <v>64</v>
      </c>
      <c r="B117">
        <v>12</v>
      </c>
      <c r="C117" s="48">
        <v>4563261.1500000004</v>
      </c>
      <c r="D117" s="9">
        <v>109.38007131100254</v>
      </c>
      <c r="E117" s="9">
        <v>767.13368022355348</v>
      </c>
    </row>
    <row r="118" spans="1:5" x14ac:dyDescent="0.2">
      <c r="A118" t="s">
        <v>285</v>
      </c>
      <c r="B118">
        <v>9</v>
      </c>
      <c r="C118" s="48">
        <v>146578.81000000003</v>
      </c>
      <c r="D118" s="9">
        <v>118.16196511568349</v>
      </c>
      <c r="E118" s="9">
        <v>51.666666666666671</v>
      </c>
    </row>
    <row r="119" spans="1:5" x14ac:dyDescent="0.2">
      <c r="A119" t="s">
        <v>116</v>
      </c>
      <c r="B119">
        <v>1</v>
      </c>
      <c r="C119" s="48">
        <v>73402.559999999998</v>
      </c>
      <c r="D119" s="9">
        <v>0</v>
      </c>
      <c r="E119" s="9">
        <v>0</v>
      </c>
    </row>
    <row r="120" spans="1:5" x14ac:dyDescent="0.2">
      <c r="A120" t="s">
        <v>79</v>
      </c>
      <c r="B120">
        <v>4</v>
      </c>
      <c r="C120" s="48">
        <v>10980</v>
      </c>
      <c r="D120" s="9">
        <v>122.90206127916109</v>
      </c>
      <c r="E120" s="9">
        <v>750</v>
      </c>
    </row>
    <row r="121" spans="1:5" x14ac:dyDescent="0.2">
      <c r="A121" t="s">
        <v>100</v>
      </c>
      <c r="B121">
        <v>1</v>
      </c>
      <c r="C121" s="48">
        <v>29679.3</v>
      </c>
      <c r="D121" s="9">
        <v>0</v>
      </c>
      <c r="E121" s="9">
        <v>0</v>
      </c>
    </row>
    <row r="122" spans="1:5" x14ac:dyDescent="0.2">
      <c r="A122" t="s">
        <v>114</v>
      </c>
      <c r="B122">
        <v>1</v>
      </c>
      <c r="C122" s="48">
        <v>2322.6</v>
      </c>
      <c r="D122" s="9">
        <v>0</v>
      </c>
      <c r="E122" s="9">
        <v>0</v>
      </c>
    </row>
    <row r="123" spans="1:5" x14ac:dyDescent="0.2">
      <c r="A123" t="s">
        <v>126</v>
      </c>
      <c r="B123">
        <v>1</v>
      </c>
      <c r="C123" s="48">
        <v>5360</v>
      </c>
      <c r="D123" s="9">
        <v>0</v>
      </c>
      <c r="E123" s="9">
        <v>0</v>
      </c>
    </row>
    <row r="124" spans="1:5" x14ac:dyDescent="0.2">
      <c r="A124" t="s">
        <v>127</v>
      </c>
      <c r="B124">
        <v>10</v>
      </c>
      <c r="C124" s="48">
        <v>77220</v>
      </c>
      <c r="D124" s="9">
        <v>51.227596731021933</v>
      </c>
      <c r="E124" s="9">
        <v>1449.1376746189439</v>
      </c>
    </row>
    <row r="125" spans="1:5" x14ac:dyDescent="0.2">
      <c r="A125" t="s">
        <v>132</v>
      </c>
      <c r="B125">
        <v>4</v>
      </c>
      <c r="C125" s="48">
        <v>1179216</v>
      </c>
      <c r="D125" s="9">
        <v>138.01449199268893</v>
      </c>
      <c r="E125" s="9">
        <v>288</v>
      </c>
    </row>
    <row r="126" spans="1:5" x14ac:dyDescent="0.2">
      <c r="A126" t="s">
        <v>138</v>
      </c>
      <c r="B126">
        <v>1</v>
      </c>
      <c r="C126" s="48">
        <v>29347.200000000001</v>
      </c>
      <c r="D126" s="9">
        <v>0</v>
      </c>
      <c r="E126" s="9">
        <v>0</v>
      </c>
    </row>
    <row r="127" spans="1:5" x14ac:dyDescent="0.2">
      <c r="A127" t="s">
        <v>143</v>
      </c>
      <c r="B127">
        <v>1</v>
      </c>
      <c r="C127" s="48">
        <v>10786.8</v>
      </c>
      <c r="D127" s="9">
        <v>0</v>
      </c>
      <c r="E127" s="9">
        <v>0</v>
      </c>
    </row>
    <row r="128" spans="1:5" x14ac:dyDescent="0.2">
      <c r="A128" t="s">
        <v>89</v>
      </c>
      <c r="B128">
        <v>2</v>
      </c>
      <c r="C128" s="48">
        <v>536991</v>
      </c>
      <c r="D128" s="9">
        <v>204.35385976291224</v>
      </c>
      <c r="E128" s="9">
        <v>197.98989873223331</v>
      </c>
    </row>
    <row r="129" spans="1:5" x14ac:dyDescent="0.2">
      <c r="A129" t="s">
        <v>91</v>
      </c>
      <c r="B129">
        <v>2</v>
      </c>
      <c r="C129" s="48">
        <v>88284.65</v>
      </c>
      <c r="D129" s="9">
        <v>0</v>
      </c>
      <c r="E129" s="9">
        <v>141117.30032139929</v>
      </c>
    </row>
    <row r="130" spans="1:5" x14ac:dyDescent="0.2">
      <c r="A130" t="s">
        <v>102</v>
      </c>
      <c r="B130">
        <v>8</v>
      </c>
      <c r="C130" s="48">
        <v>197980.80000000002</v>
      </c>
      <c r="D130" s="9">
        <v>158.24551449296393</v>
      </c>
      <c r="E130" s="9">
        <v>0</v>
      </c>
    </row>
    <row r="131" spans="1:5" x14ac:dyDescent="0.2">
      <c r="A131" t="s">
        <v>107</v>
      </c>
      <c r="B131">
        <v>1</v>
      </c>
      <c r="C131" s="48">
        <v>33447.839999999997</v>
      </c>
      <c r="D131" s="9">
        <v>0</v>
      </c>
      <c r="E131" s="9">
        <v>0</v>
      </c>
    </row>
    <row r="132" spans="1:5" x14ac:dyDescent="0.2">
      <c r="A132" t="s">
        <v>311</v>
      </c>
      <c r="B132">
        <v>8</v>
      </c>
      <c r="C132" s="48">
        <v>728590.62</v>
      </c>
      <c r="D132" s="9">
        <v>19.242809417694556</v>
      </c>
      <c r="E132" s="9">
        <v>500.90311295841292</v>
      </c>
    </row>
    <row r="133" spans="1:5" x14ac:dyDescent="0.2">
      <c r="A133" t="s">
        <v>66</v>
      </c>
      <c r="B133">
        <v>59</v>
      </c>
      <c r="C133" s="48">
        <v>5807308.5</v>
      </c>
      <c r="D133" s="9">
        <v>72.052350440441018</v>
      </c>
      <c r="E133" s="9">
        <v>354.79210827400397</v>
      </c>
    </row>
    <row r="134" spans="1:5" x14ac:dyDescent="0.2">
      <c r="A134" t="s">
        <v>280</v>
      </c>
      <c r="B134">
        <v>11</v>
      </c>
      <c r="C134" s="48">
        <v>267697.92000000004</v>
      </c>
      <c r="D134" s="9">
        <v>159.0837972440728</v>
      </c>
      <c r="E134" s="9">
        <v>303.92343533438572</v>
      </c>
    </row>
    <row r="135" spans="1:5" x14ac:dyDescent="0.2">
      <c r="A135" t="s">
        <v>313</v>
      </c>
      <c r="B135">
        <v>2</v>
      </c>
      <c r="C135" s="48">
        <v>6138</v>
      </c>
      <c r="D135" s="9">
        <v>48.083261120685229</v>
      </c>
      <c r="E135" s="9">
        <v>42.426406871192853</v>
      </c>
    </row>
    <row r="136" spans="1:5" x14ac:dyDescent="0.2">
      <c r="A136" t="s">
        <v>234</v>
      </c>
      <c r="B136">
        <v>71</v>
      </c>
      <c r="C136" s="48">
        <v>0</v>
      </c>
      <c r="D136" s="9">
        <v>36.11603811885935</v>
      </c>
      <c r="E136" s="9">
        <v>12586.252984616054</v>
      </c>
    </row>
    <row r="137" spans="1:5" x14ac:dyDescent="0.2">
      <c r="A137" t="s">
        <v>266</v>
      </c>
      <c r="B137">
        <v>8</v>
      </c>
      <c r="C137" s="48">
        <v>360039.68000000005</v>
      </c>
      <c r="D137" s="9">
        <v>76.591681756478721</v>
      </c>
      <c r="E137" s="9">
        <v>163.69521984468574</v>
      </c>
    </row>
    <row r="138" spans="1:5" x14ac:dyDescent="0.2">
      <c r="A138" t="s">
        <v>254</v>
      </c>
      <c r="B138">
        <v>19</v>
      </c>
      <c r="C138" s="48">
        <v>813850.7999999997</v>
      </c>
      <c r="D138" s="9">
        <v>179.46349544878635</v>
      </c>
      <c r="E138" s="9">
        <v>157.34641634572458</v>
      </c>
    </row>
    <row r="139" spans="1:5" x14ac:dyDescent="0.2">
      <c r="A139" t="s">
        <v>296</v>
      </c>
      <c r="B139">
        <v>1</v>
      </c>
      <c r="C139" s="48">
        <v>2322.6</v>
      </c>
      <c r="D139" s="9">
        <v>0</v>
      </c>
      <c r="E139" s="9">
        <v>0</v>
      </c>
    </row>
    <row r="140" spans="1:5" x14ac:dyDescent="0.2">
      <c r="A140" t="s">
        <v>291</v>
      </c>
      <c r="B140">
        <v>1</v>
      </c>
      <c r="C140" s="48">
        <v>69350.399999999994</v>
      </c>
      <c r="D140" s="9">
        <v>0</v>
      </c>
      <c r="E140" s="9">
        <v>0</v>
      </c>
    </row>
    <row r="141" spans="1:5" x14ac:dyDescent="0.2">
      <c r="A141" t="s">
        <v>78</v>
      </c>
      <c r="B141">
        <v>1</v>
      </c>
      <c r="C141" s="48">
        <v>0</v>
      </c>
      <c r="D141" s="9">
        <v>0</v>
      </c>
      <c r="E141" s="9">
        <v>0</v>
      </c>
    </row>
    <row r="142" spans="1:5" x14ac:dyDescent="0.2">
      <c r="A142" t="s">
        <v>83</v>
      </c>
      <c r="B142">
        <v>101</v>
      </c>
      <c r="C142" s="48">
        <v>8269212.6000000229</v>
      </c>
      <c r="D142" s="9">
        <v>116.14881713895463</v>
      </c>
      <c r="E142" s="9">
        <v>103.07845709376758</v>
      </c>
    </row>
    <row r="143" spans="1:5" x14ac:dyDescent="0.2">
      <c r="A143" t="s">
        <v>276</v>
      </c>
      <c r="B143">
        <v>2</v>
      </c>
      <c r="C143" s="48">
        <v>8736</v>
      </c>
      <c r="D143" s="9">
        <v>97.580735803743565</v>
      </c>
      <c r="E143" s="9">
        <v>0</v>
      </c>
    </row>
    <row r="144" spans="1:5" x14ac:dyDescent="0.2">
      <c r="A144" t="s">
        <v>235</v>
      </c>
      <c r="B144">
        <v>73</v>
      </c>
      <c r="C144" s="48">
        <v>0</v>
      </c>
      <c r="D144" s="9">
        <v>40.913401139959262</v>
      </c>
      <c r="E144" s="9">
        <v>12438.492482524698</v>
      </c>
    </row>
    <row r="145" spans="1:5" x14ac:dyDescent="0.2">
      <c r="A145" t="s">
        <v>260</v>
      </c>
      <c r="B145">
        <v>1</v>
      </c>
      <c r="C145" s="48">
        <v>0</v>
      </c>
      <c r="D145" s="9">
        <v>0</v>
      </c>
      <c r="E145" s="9">
        <v>0</v>
      </c>
    </row>
    <row r="146" spans="1:5" x14ac:dyDescent="0.2">
      <c r="A146" t="s">
        <v>238</v>
      </c>
      <c r="B146">
        <v>2</v>
      </c>
      <c r="C146" s="48">
        <v>3880</v>
      </c>
      <c r="D146" s="9">
        <v>98.994949366116657</v>
      </c>
      <c r="E146" s="9">
        <v>707.10678118654755</v>
      </c>
    </row>
    <row r="147" spans="1:5" x14ac:dyDescent="0.2">
      <c r="A147" t="s">
        <v>52</v>
      </c>
      <c r="B147">
        <v>71</v>
      </c>
      <c r="C147" s="48">
        <v>0</v>
      </c>
      <c r="D147" s="9">
        <v>36.11603811885935</v>
      </c>
      <c r="E147" s="9">
        <v>12586.252984616054</v>
      </c>
    </row>
    <row r="148" spans="1:5" x14ac:dyDescent="0.2">
      <c r="A148" t="s">
        <v>137</v>
      </c>
      <c r="B148">
        <v>1</v>
      </c>
      <c r="C148" s="48">
        <v>28687.68</v>
      </c>
      <c r="D148" s="9">
        <v>0</v>
      </c>
      <c r="E148" s="9">
        <v>0</v>
      </c>
    </row>
    <row r="149" spans="1:5" x14ac:dyDescent="0.2">
      <c r="A149" t="s">
        <v>59</v>
      </c>
      <c r="B149">
        <v>5</v>
      </c>
      <c r="C149" s="48">
        <v>163674</v>
      </c>
      <c r="D149" s="9">
        <v>41.087711055853006</v>
      </c>
      <c r="E149" s="9">
        <v>0</v>
      </c>
    </row>
    <row r="150" spans="1:5" x14ac:dyDescent="0.2">
      <c r="A150" t="s">
        <v>125</v>
      </c>
      <c r="B150">
        <v>1</v>
      </c>
      <c r="C150" s="48">
        <v>35877</v>
      </c>
      <c r="D150" s="9">
        <v>0</v>
      </c>
      <c r="E150" s="9">
        <v>0</v>
      </c>
    </row>
    <row r="151" spans="1:5" x14ac:dyDescent="0.2">
      <c r="A151" t="s">
        <v>135</v>
      </c>
      <c r="B151">
        <v>5</v>
      </c>
      <c r="C151" s="48">
        <v>140713.20000000001</v>
      </c>
      <c r="D151" s="9">
        <v>194.4985861126226</v>
      </c>
      <c r="E151" s="9">
        <v>73.942545263197431</v>
      </c>
    </row>
    <row r="152" spans="1:5" x14ac:dyDescent="0.2">
      <c r="A152" t="s">
        <v>108</v>
      </c>
      <c r="B152">
        <v>68</v>
      </c>
      <c r="C152" s="48">
        <v>7899996.6500000004</v>
      </c>
      <c r="D152" s="9">
        <v>98.588528646787282</v>
      </c>
      <c r="E152" s="9">
        <v>95.954109742473179</v>
      </c>
    </row>
    <row r="153" spans="1:5" x14ac:dyDescent="0.2">
      <c r="A153" t="s">
        <v>60</v>
      </c>
      <c r="B153">
        <v>2</v>
      </c>
      <c r="C153" s="48">
        <v>133449.12</v>
      </c>
      <c r="D153" s="9">
        <v>98.287842584930104</v>
      </c>
      <c r="E153" s="9">
        <v>0</v>
      </c>
    </row>
    <row r="154" spans="1:5" x14ac:dyDescent="0.2">
      <c r="A154" t="s">
        <v>67</v>
      </c>
      <c r="B154">
        <v>5</v>
      </c>
      <c r="C154" s="48">
        <v>17455.2</v>
      </c>
      <c r="D154" s="9">
        <v>68.638181792711151</v>
      </c>
      <c r="E154" s="9">
        <v>0</v>
      </c>
    </row>
    <row r="155" spans="1:5" x14ac:dyDescent="0.2">
      <c r="A155" t="s">
        <v>87</v>
      </c>
      <c r="B155">
        <v>1</v>
      </c>
      <c r="C155" s="48">
        <v>0</v>
      </c>
      <c r="D155" s="9">
        <v>0</v>
      </c>
      <c r="E155" s="9">
        <v>0</v>
      </c>
    </row>
    <row r="156" spans="1:5" x14ac:dyDescent="0.2">
      <c r="A156" t="s">
        <v>289</v>
      </c>
      <c r="B156">
        <v>1</v>
      </c>
      <c r="C156" s="48">
        <v>33447.839999999997</v>
      </c>
      <c r="D156" s="9">
        <v>0</v>
      </c>
      <c r="E156" s="9">
        <v>0</v>
      </c>
    </row>
    <row r="157" spans="1:5" x14ac:dyDescent="0.2">
      <c r="A157" t="s">
        <v>288</v>
      </c>
      <c r="B157">
        <v>6</v>
      </c>
      <c r="C157" s="48">
        <v>1075110</v>
      </c>
      <c r="D157" s="9">
        <v>85.939513612773027</v>
      </c>
      <c r="E157" s="9">
        <v>29.65805118344764</v>
      </c>
    </row>
    <row r="158" spans="1:5" x14ac:dyDescent="0.2">
      <c r="A158" t="s">
        <v>278</v>
      </c>
      <c r="B158">
        <v>7</v>
      </c>
      <c r="C158" s="48">
        <v>46265.310000000005</v>
      </c>
      <c r="D158" s="9">
        <v>50.969645495629798</v>
      </c>
      <c r="E158" s="9">
        <v>0</v>
      </c>
    </row>
    <row r="159" spans="1:5" x14ac:dyDescent="0.2">
      <c r="A159" t="s">
        <v>320</v>
      </c>
      <c r="B159">
        <v>1</v>
      </c>
      <c r="C159" s="48">
        <v>29347.200000000001</v>
      </c>
      <c r="D159" s="9">
        <v>0</v>
      </c>
      <c r="E159" s="9">
        <v>0</v>
      </c>
    </row>
    <row r="160" spans="1:5" x14ac:dyDescent="0.2">
      <c r="A160" t="s">
        <v>244</v>
      </c>
      <c r="B160">
        <v>2</v>
      </c>
      <c r="C160" s="48">
        <v>0</v>
      </c>
      <c r="D160" s="9">
        <v>0</v>
      </c>
      <c r="E160" s="9">
        <v>415.77878733768995</v>
      </c>
    </row>
    <row r="161" spans="1:5" x14ac:dyDescent="0.2">
      <c r="A161" t="s">
        <v>76</v>
      </c>
      <c r="B161">
        <v>80</v>
      </c>
      <c r="C161" s="48">
        <v>3846557.400000005</v>
      </c>
      <c r="D161" s="9">
        <v>50.982194706197873</v>
      </c>
      <c r="E161" s="9">
        <v>39.131189606246316</v>
      </c>
    </row>
    <row r="162" spans="1:5" x14ac:dyDescent="0.2">
      <c r="A162" t="s">
        <v>251</v>
      </c>
      <c r="B162">
        <v>2</v>
      </c>
      <c r="C162" s="48">
        <v>0</v>
      </c>
      <c r="D162" s="9">
        <v>0</v>
      </c>
      <c r="E162" s="9">
        <v>0</v>
      </c>
    </row>
    <row r="163" spans="1:5" x14ac:dyDescent="0.2">
      <c r="A163" t="s">
        <v>263</v>
      </c>
      <c r="B163">
        <v>1</v>
      </c>
      <c r="C163" s="48">
        <v>0</v>
      </c>
      <c r="D163" s="9">
        <v>0</v>
      </c>
      <c r="E163" s="9">
        <v>0</v>
      </c>
    </row>
    <row r="164" spans="1:5" x14ac:dyDescent="0.2">
      <c r="A164" t="s">
        <v>314</v>
      </c>
      <c r="B164">
        <v>4</v>
      </c>
      <c r="C164" s="48">
        <v>1179216</v>
      </c>
      <c r="D164" s="9">
        <v>138.01449199268893</v>
      </c>
      <c r="E164" s="9">
        <v>288</v>
      </c>
    </row>
    <row r="165" spans="1:5" x14ac:dyDescent="0.2">
      <c r="A165" t="s">
        <v>304</v>
      </c>
      <c r="B165">
        <v>92</v>
      </c>
      <c r="C165" s="48">
        <v>6178531.5599999959</v>
      </c>
      <c r="D165" s="9">
        <v>85.804250048662112</v>
      </c>
      <c r="E165" s="9">
        <v>5278.3544198688178</v>
      </c>
    </row>
    <row r="166" spans="1:5" x14ac:dyDescent="0.2">
      <c r="A166" t="s">
        <v>237</v>
      </c>
      <c r="B166">
        <v>34</v>
      </c>
      <c r="C166" s="48">
        <v>1351896.4800000007</v>
      </c>
      <c r="D166" s="9">
        <v>67.757589309913541</v>
      </c>
      <c r="E166" s="9">
        <v>252.23365790833344</v>
      </c>
    </row>
    <row r="167" spans="1:5" x14ac:dyDescent="0.2">
      <c r="A167" t="s">
        <v>273</v>
      </c>
      <c r="B167">
        <v>2</v>
      </c>
      <c r="C167" s="48">
        <v>88284.65</v>
      </c>
      <c r="D167" s="9">
        <v>0</v>
      </c>
      <c r="E167" s="9">
        <v>141117.30032139929</v>
      </c>
    </row>
    <row r="168" spans="1:5" x14ac:dyDescent="0.2">
      <c r="A168" t="s">
        <v>282</v>
      </c>
      <c r="B168">
        <v>1</v>
      </c>
      <c r="C168" s="48">
        <v>29679.3</v>
      </c>
      <c r="D168" s="9">
        <v>0</v>
      </c>
      <c r="E168" s="9">
        <v>0</v>
      </c>
    </row>
    <row r="169" spans="1:5" x14ac:dyDescent="0.2">
      <c r="A169" t="s">
        <v>73</v>
      </c>
      <c r="B169">
        <v>8</v>
      </c>
      <c r="C169" s="48">
        <v>360242.40000000008</v>
      </c>
      <c r="D169" s="9">
        <v>63.511528762219903</v>
      </c>
      <c r="E169" s="9">
        <v>114.94563932572649</v>
      </c>
    </row>
    <row r="170" spans="1:5" x14ac:dyDescent="0.2">
      <c r="A170" t="s">
        <v>246</v>
      </c>
      <c r="B170">
        <v>12</v>
      </c>
      <c r="C170" s="48">
        <v>4563261.1500000004</v>
      </c>
      <c r="D170" s="9">
        <v>109.38007131100254</v>
      </c>
      <c r="E170" s="9">
        <v>767.13368022355348</v>
      </c>
    </row>
    <row r="171" spans="1:5" x14ac:dyDescent="0.2">
      <c r="A171" t="s">
        <v>62</v>
      </c>
      <c r="B171">
        <v>2</v>
      </c>
      <c r="C171" s="48">
        <v>0</v>
      </c>
      <c r="D171" s="9">
        <v>0</v>
      </c>
      <c r="E171" s="9">
        <v>415.77878733768995</v>
      </c>
    </row>
    <row r="172" spans="1:5" x14ac:dyDescent="0.2">
      <c r="A172" t="s">
        <v>61</v>
      </c>
      <c r="B172">
        <v>9</v>
      </c>
      <c r="C172" s="48">
        <v>172851.84</v>
      </c>
      <c r="D172" s="9">
        <v>166.54428840401582</v>
      </c>
      <c r="E172" s="9">
        <v>168</v>
      </c>
    </row>
    <row r="173" spans="1:5" x14ac:dyDescent="0.2">
      <c r="A173" t="s">
        <v>113</v>
      </c>
      <c r="B173">
        <v>30</v>
      </c>
      <c r="C173" s="48">
        <v>1609617.5999999987</v>
      </c>
      <c r="D173" s="9">
        <v>93.309052671485532</v>
      </c>
      <c r="E173" s="9">
        <v>50.459953394268254</v>
      </c>
    </row>
    <row r="174" spans="1:5" x14ac:dyDescent="0.2">
      <c r="A174" t="s">
        <v>118</v>
      </c>
      <c r="B174">
        <v>54</v>
      </c>
      <c r="C174" s="48">
        <v>337270.49999999994</v>
      </c>
      <c r="D174" s="9">
        <v>53.191271095497591</v>
      </c>
      <c r="E174" s="9">
        <v>25.839855131318892</v>
      </c>
    </row>
    <row r="175" spans="1:5" x14ac:dyDescent="0.2">
      <c r="A175" t="s">
        <v>120</v>
      </c>
      <c r="B175">
        <v>15</v>
      </c>
      <c r="C175" s="48">
        <v>4280133.78</v>
      </c>
      <c r="D175" s="9">
        <v>151.12568090322188</v>
      </c>
      <c r="E175" s="9">
        <v>120.0334477194943</v>
      </c>
    </row>
    <row r="176" spans="1:5" x14ac:dyDescent="0.2">
      <c r="A176" t="s">
        <v>123</v>
      </c>
      <c r="B176">
        <v>6</v>
      </c>
      <c r="C176" s="48">
        <v>328203.36</v>
      </c>
      <c r="D176" s="9">
        <v>131.65624431371958</v>
      </c>
      <c r="E176" s="9">
        <v>34.991427521608777</v>
      </c>
    </row>
    <row r="177" spans="1:5" x14ac:dyDescent="0.2">
      <c r="A177" t="s">
        <v>129</v>
      </c>
      <c r="B177">
        <v>8</v>
      </c>
      <c r="C177" s="48">
        <v>728590.62</v>
      </c>
      <c r="D177" s="9">
        <v>19.242809417694556</v>
      </c>
      <c r="E177" s="9">
        <v>500.90311295841292</v>
      </c>
    </row>
    <row r="178" spans="1:5" x14ac:dyDescent="0.2">
      <c r="A178" t="s">
        <v>134</v>
      </c>
      <c r="B178">
        <v>1</v>
      </c>
      <c r="C178" s="48">
        <v>81001.600000000006</v>
      </c>
      <c r="D178" s="9">
        <v>0</v>
      </c>
      <c r="E178" s="9">
        <v>0</v>
      </c>
    </row>
    <row r="179" spans="1:5" x14ac:dyDescent="0.2">
      <c r="A179" t="s">
        <v>140</v>
      </c>
      <c r="B179">
        <v>6</v>
      </c>
      <c r="C179" s="48">
        <v>72718.8</v>
      </c>
      <c r="D179" s="9">
        <v>105.85965551990911</v>
      </c>
      <c r="E179" s="9">
        <v>171.46428199482247</v>
      </c>
    </row>
    <row r="180" spans="1:5" x14ac:dyDescent="0.2">
      <c r="A180" t="s">
        <v>142</v>
      </c>
      <c r="B180">
        <v>14</v>
      </c>
      <c r="C180" s="48">
        <v>7339422.7199999997</v>
      </c>
      <c r="D180" s="9">
        <v>0.26726100663830649</v>
      </c>
      <c r="E180" s="9">
        <v>67.840796180275078</v>
      </c>
    </row>
    <row r="181" spans="1:5" x14ac:dyDescent="0.2">
      <c r="A181" t="s">
        <v>81</v>
      </c>
      <c r="B181">
        <v>1</v>
      </c>
      <c r="C181" s="48">
        <v>0</v>
      </c>
      <c r="D181" s="9">
        <v>0</v>
      </c>
      <c r="E181" s="9">
        <v>0</v>
      </c>
    </row>
    <row r="182" spans="1:5" x14ac:dyDescent="0.2">
      <c r="A182" t="s">
        <v>88</v>
      </c>
      <c r="B182">
        <v>140</v>
      </c>
      <c r="C182" s="48">
        <v>6933031.7099999925</v>
      </c>
      <c r="D182" s="9">
        <v>16.135173796068955</v>
      </c>
      <c r="E182" s="9">
        <v>2.2787615864618704</v>
      </c>
    </row>
    <row r="183" spans="1:5" x14ac:dyDescent="0.2">
      <c r="A183" t="s">
        <v>93</v>
      </c>
      <c r="B183">
        <v>2</v>
      </c>
      <c r="C183" s="48">
        <v>2986222.98</v>
      </c>
      <c r="D183" s="9">
        <v>0</v>
      </c>
      <c r="E183" s="9">
        <v>105320.01952383033</v>
      </c>
    </row>
    <row r="184" spans="1:5" x14ac:dyDescent="0.2">
      <c r="A184" t="s">
        <v>98</v>
      </c>
      <c r="B184">
        <v>11</v>
      </c>
      <c r="C184" s="48">
        <v>267697.92000000004</v>
      </c>
      <c r="D184" s="9">
        <v>159.0837972440728</v>
      </c>
      <c r="E184" s="9">
        <v>303.92343533438572</v>
      </c>
    </row>
    <row r="185" spans="1:5" x14ac:dyDescent="0.2">
      <c r="A185" t="s">
        <v>104</v>
      </c>
      <c r="B185">
        <v>1</v>
      </c>
      <c r="C185" s="48">
        <v>431751.6</v>
      </c>
      <c r="D185" s="9">
        <v>0</v>
      </c>
      <c r="E185" s="9">
        <v>0</v>
      </c>
    </row>
    <row r="186" spans="1:5" x14ac:dyDescent="0.2">
      <c r="A186" t="s">
        <v>110</v>
      </c>
      <c r="B186">
        <v>4</v>
      </c>
      <c r="C186" s="48">
        <v>504417.76</v>
      </c>
      <c r="D186" s="9">
        <v>17.5</v>
      </c>
      <c r="E186" s="9">
        <v>1179.5501967558087</v>
      </c>
    </row>
    <row r="187" spans="1:5" x14ac:dyDescent="0.2">
      <c r="A187" t="s">
        <v>240</v>
      </c>
      <c r="B187">
        <v>15</v>
      </c>
      <c r="C187" s="48">
        <v>1298044.7999999998</v>
      </c>
      <c r="D187" s="9">
        <v>132.5553613008409</v>
      </c>
      <c r="E187" s="9">
        <v>212.8852809781429</v>
      </c>
    </row>
    <row r="1048575" spans="1:1" x14ac:dyDescent="0.2">
      <c r="A1048575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C567-C852-834C-90FD-3DB3D6056740}">
  <dimension ref="A1:E187"/>
  <sheetViews>
    <sheetView tabSelected="1" workbookViewId="0">
      <selection sqref="A1:E187"/>
    </sheetView>
  </sheetViews>
  <sheetFormatPr baseColWidth="10" defaultRowHeight="15" x14ac:dyDescent="0.2"/>
  <sheetData>
    <row r="1" spans="1:5" x14ac:dyDescent="0.2">
      <c r="A1" t="s">
        <v>428</v>
      </c>
      <c r="B1" t="s">
        <v>433</v>
      </c>
      <c r="C1" s="48" t="s">
        <v>388</v>
      </c>
      <c r="D1" s="9" t="s">
        <v>431</v>
      </c>
      <c r="E1" s="9" t="s">
        <v>432</v>
      </c>
    </row>
    <row r="2" spans="1:5" x14ac:dyDescent="0.2">
      <c r="A2" t="s">
        <v>308</v>
      </c>
      <c r="B2">
        <v>1</v>
      </c>
      <c r="C2" s="48">
        <v>5360</v>
      </c>
      <c r="D2" s="9">
        <v>0</v>
      </c>
      <c r="E2" s="9">
        <v>0</v>
      </c>
    </row>
    <row r="3" spans="1:5" x14ac:dyDescent="0.2">
      <c r="A3" t="s">
        <v>307</v>
      </c>
      <c r="B3">
        <v>1</v>
      </c>
      <c r="C3" s="48">
        <v>35877</v>
      </c>
      <c r="D3" s="9">
        <v>0</v>
      </c>
      <c r="E3" s="9">
        <v>0</v>
      </c>
    </row>
    <row r="4" spans="1:5" x14ac:dyDescent="0.2">
      <c r="A4" t="s">
        <v>248</v>
      </c>
      <c r="B4">
        <v>59</v>
      </c>
      <c r="C4" s="48">
        <v>5807308.5</v>
      </c>
      <c r="D4" s="9">
        <v>72.052350440441018</v>
      </c>
      <c r="E4" s="9">
        <v>354.79210827400397</v>
      </c>
    </row>
    <row r="5" spans="1:5" x14ac:dyDescent="0.2">
      <c r="A5" t="s">
        <v>264</v>
      </c>
      <c r="B5">
        <v>1</v>
      </c>
      <c r="C5" s="48">
        <v>0</v>
      </c>
      <c r="D5" s="9">
        <v>0</v>
      </c>
      <c r="E5" s="9">
        <v>0</v>
      </c>
    </row>
    <row r="6" spans="1:5" x14ac:dyDescent="0.2">
      <c r="A6" t="s">
        <v>74</v>
      </c>
      <c r="B6">
        <v>26</v>
      </c>
      <c r="C6" s="48">
        <v>1074360</v>
      </c>
      <c r="D6" s="9">
        <v>223.50884683940032</v>
      </c>
      <c r="E6" s="9">
        <v>81.679486173325444</v>
      </c>
    </row>
    <row r="7" spans="1:5" x14ac:dyDescent="0.2">
      <c r="A7" t="s">
        <v>302</v>
      </c>
      <c r="B7">
        <v>15</v>
      </c>
      <c r="C7" s="48">
        <v>4280133.78</v>
      </c>
      <c r="D7" s="9">
        <v>151.12568090322188</v>
      </c>
      <c r="E7" s="9">
        <v>120.0334477194943</v>
      </c>
    </row>
    <row r="8" spans="1:5" x14ac:dyDescent="0.2">
      <c r="A8" t="s">
        <v>259</v>
      </c>
      <c r="B8">
        <v>6</v>
      </c>
      <c r="C8" s="48">
        <v>985224.87</v>
      </c>
      <c r="D8" s="9">
        <v>136.93063937629154</v>
      </c>
      <c r="E8" s="9">
        <v>1200.2499739637572</v>
      </c>
    </row>
    <row r="9" spans="1:5" x14ac:dyDescent="0.2">
      <c r="A9" t="s">
        <v>247</v>
      </c>
      <c r="B9">
        <v>34</v>
      </c>
      <c r="C9" s="48">
        <v>810792</v>
      </c>
      <c r="D9" s="9">
        <v>107.08680487844863</v>
      </c>
      <c r="E9" s="9">
        <v>145.23200444758905</v>
      </c>
    </row>
    <row r="10" spans="1:5" x14ac:dyDescent="0.2">
      <c r="A10" t="s">
        <v>268</v>
      </c>
      <c r="B10">
        <v>24</v>
      </c>
      <c r="C10" s="48">
        <v>1497984.6600000001</v>
      </c>
      <c r="D10" s="9">
        <v>128.32767727085908</v>
      </c>
      <c r="E10" s="9">
        <v>16.326325766793893</v>
      </c>
    </row>
    <row r="11" spans="1:5" x14ac:dyDescent="0.2">
      <c r="A11" t="s">
        <v>75</v>
      </c>
      <c r="B11">
        <v>3</v>
      </c>
      <c r="C11" s="48">
        <v>271738.32</v>
      </c>
      <c r="D11" s="9">
        <v>32.078029864690883</v>
      </c>
      <c r="E11" s="9">
        <v>0</v>
      </c>
    </row>
    <row r="12" spans="1:5" x14ac:dyDescent="0.2">
      <c r="A12" t="s">
        <v>324</v>
      </c>
      <c r="B12">
        <v>14</v>
      </c>
      <c r="C12" s="48">
        <v>7339422.7199999997</v>
      </c>
      <c r="D12" s="9">
        <v>0.26726100663830649</v>
      </c>
      <c r="E12" s="9">
        <v>67.840796180275078</v>
      </c>
    </row>
    <row r="13" spans="1:5" x14ac:dyDescent="0.2">
      <c r="A13" t="s">
        <v>51</v>
      </c>
      <c r="B13">
        <v>72</v>
      </c>
      <c r="C13" s="48">
        <v>0</v>
      </c>
      <c r="D13" s="9">
        <v>36.705844944812547</v>
      </c>
      <c r="E13" s="9">
        <v>24936.522192705474</v>
      </c>
    </row>
    <row r="14" spans="1:5" x14ac:dyDescent="0.2">
      <c r="A14" t="s">
        <v>317</v>
      </c>
      <c r="B14">
        <v>5</v>
      </c>
      <c r="C14" s="48">
        <v>140713.20000000001</v>
      </c>
      <c r="D14" s="9">
        <v>194.4985861126226</v>
      </c>
      <c r="E14" s="9">
        <v>73.942545263197431</v>
      </c>
    </row>
    <row r="15" spans="1:5" x14ac:dyDescent="0.2">
      <c r="A15" t="s">
        <v>312</v>
      </c>
      <c r="B15">
        <v>1</v>
      </c>
      <c r="C15" s="48">
        <v>3381</v>
      </c>
      <c r="D15" s="9">
        <v>0</v>
      </c>
      <c r="E15" s="9">
        <v>0</v>
      </c>
    </row>
    <row r="16" spans="1:5" x14ac:dyDescent="0.2">
      <c r="A16" t="s">
        <v>309</v>
      </c>
      <c r="B16">
        <v>10</v>
      </c>
      <c r="C16" s="48">
        <v>77220</v>
      </c>
      <c r="D16" s="9">
        <v>51.227596731021933</v>
      </c>
      <c r="E16" s="9">
        <v>1449.1376746189439</v>
      </c>
    </row>
    <row r="17" spans="1:5" x14ac:dyDescent="0.2">
      <c r="A17" t="s">
        <v>54</v>
      </c>
      <c r="B17">
        <v>73</v>
      </c>
      <c r="C17" s="48">
        <v>0</v>
      </c>
      <c r="D17" s="9">
        <v>43.24229108627059</v>
      </c>
      <c r="E17" s="9">
        <v>12438.99862445928</v>
      </c>
    </row>
    <row r="18" spans="1:5" x14ac:dyDescent="0.2">
      <c r="A18" t="s">
        <v>323</v>
      </c>
      <c r="B18">
        <v>9</v>
      </c>
      <c r="C18" s="48">
        <v>1226635.52</v>
      </c>
      <c r="D18" s="9">
        <v>125.07608795318077</v>
      </c>
      <c r="E18" s="9">
        <v>147.02985335562903</v>
      </c>
    </row>
    <row r="19" spans="1:5" x14ac:dyDescent="0.2">
      <c r="A19" t="s">
        <v>249</v>
      </c>
      <c r="B19">
        <v>5</v>
      </c>
      <c r="C19" s="48">
        <v>17455.2</v>
      </c>
      <c r="D19" s="9">
        <v>68.638181792711151</v>
      </c>
      <c r="E19" s="9">
        <v>0</v>
      </c>
    </row>
    <row r="20" spans="1:5" x14ac:dyDescent="0.2">
      <c r="A20" t="s">
        <v>257</v>
      </c>
      <c r="B20">
        <v>3</v>
      </c>
      <c r="C20" s="48">
        <v>271738.32</v>
      </c>
      <c r="D20" s="9">
        <v>32.078029864690883</v>
      </c>
      <c r="E20" s="9">
        <v>0</v>
      </c>
    </row>
    <row r="21" spans="1:5" x14ac:dyDescent="0.2">
      <c r="A21" t="s">
        <v>292</v>
      </c>
      <c r="B21">
        <v>4</v>
      </c>
      <c r="C21" s="48">
        <v>504417.76</v>
      </c>
      <c r="D21" s="9">
        <v>17.5</v>
      </c>
      <c r="E21" s="9">
        <v>1179.5501967558087</v>
      </c>
    </row>
    <row r="22" spans="1:5" x14ac:dyDescent="0.2">
      <c r="A22" t="s">
        <v>286</v>
      </c>
      <c r="B22">
        <v>1</v>
      </c>
      <c r="C22" s="48">
        <v>431751.6</v>
      </c>
      <c r="D22" s="9">
        <v>0</v>
      </c>
      <c r="E22" s="9">
        <v>0</v>
      </c>
    </row>
    <row r="23" spans="1:5" x14ac:dyDescent="0.2">
      <c r="A23" t="s">
        <v>319</v>
      </c>
      <c r="B23">
        <v>1</v>
      </c>
      <c r="C23" s="48">
        <v>28687.68</v>
      </c>
      <c r="D23" s="9">
        <v>0</v>
      </c>
      <c r="E23" s="9">
        <v>0</v>
      </c>
    </row>
    <row r="24" spans="1:5" x14ac:dyDescent="0.2">
      <c r="A24" t="s">
        <v>287</v>
      </c>
      <c r="B24">
        <v>1</v>
      </c>
      <c r="C24" s="48">
        <v>3011.4</v>
      </c>
      <c r="D24" s="9">
        <v>0</v>
      </c>
      <c r="E24" s="9">
        <v>0</v>
      </c>
    </row>
    <row r="25" spans="1:5" x14ac:dyDescent="0.2">
      <c r="A25" t="s">
        <v>269</v>
      </c>
      <c r="B25">
        <v>1</v>
      </c>
      <c r="C25" s="48">
        <v>0</v>
      </c>
      <c r="D25" s="9">
        <v>0</v>
      </c>
      <c r="E25" s="9">
        <v>0</v>
      </c>
    </row>
    <row r="26" spans="1:5" x14ac:dyDescent="0.2">
      <c r="A26" t="s">
        <v>283</v>
      </c>
      <c r="B26">
        <v>2</v>
      </c>
      <c r="C26" s="48">
        <v>70642.600000000006</v>
      </c>
      <c r="D26" s="9">
        <v>0</v>
      </c>
      <c r="E26" s="9">
        <v>0</v>
      </c>
    </row>
    <row r="27" spans="1:5" x14ac:dyDescent="0.2">
      <c r="A27" t="s">
        <v>272</v>
      </c>
      <c r="B27">
        <v>1</v>
      </c>
      <c r="C27" s="48">
        <v>2132</v>
      </c>
      <c r="D27" s="9">
        <v>0</v>
      </c>
      <c r="E27" s="9">
        <v>0</v>
      </c>
    </row>
    <row r="28" spans="1:5" x14ac:dyDescent="0.2">
      <c r="A28" t="s">
        <v>284</v>
      </c>
      <c r="B28">
        <v>8</v>
      </c>
      <c r="C28" s="48">
        <v>197980.80000000002</v>
      </c>
      <c r="D28" s="9">
        <v>158.24551449296393</v>
      </c>
      <c r="E28" s="9">
        <v>0</v>
      </c>
    </row>
    <row r="29" spans="1:5" x14ac:dyDescent="0.2">
      <c r="A29" t="s">
        <v>279</v>
      </c>
      <c r="B29">
        <v>2</v>
      </c>
      <c r="C29" s="48">
        <v>114880.08</v>
      </c>
      <c r="D29" s="9">
        <v>57.982756057296896</v>
      </c>
      <c r="E29" s="9">
        <v>0</v>
      </c>
    </row>
    <row r="30" spans="1:5" x14ac:dyDescent="0.2">
      <c r="A30" t="s">
        <v>258</v>
      </c>
      <c r="B30">
        <v>80</v>
      </c>
      <c r="C30" s="48">
        <v>3846557.400000005</v>
      </c>
      <c r="D30" s="9">
        <v>50.982194706197873</v>
      </c>
      <c r="E30" s="9">
        <v>39.131189606246316</v>
      </c>
    </row>
    <row r="31" spans="1:5" x14ac:dyDescent="0.2">
      <c r="A31" t="s">
        <v>305</v>
      </c>
      <c r="B31">
        <v>6</v>
      </c>
      <c r="C31" s="48">
        <v>328203.36</v>
      </c>
      <c r="D31" s="9">
        <v>131.65624431371958</v>
      </c>
      <c r="E31" s="9">
        <v>34.991427521608777</v>
      </c>
    </row>
    <row r="32" spans="1:5" x14ac:dyDescent="0.2">
      <c r="A32" t="s">
        <v>315</v>
      </c>
      <c r="B32">
        <v>12</v>
      </c>
      <c r="C32" s="48">
        <v>262315.8</v>
      </c>
      <c r="D32" s="9">
        <v>57.481749410287719</v>
      </c>
      <c r="E32" s="9">
        <v>269.59059870309073</v>
      </c>
    </row>
    <row r="33" spans="1:5" x14ac:dyDescent="0.2">
      <c r="A33" t="s">
        <v>325</v>
      </c>
      <c r="B33">
        <v>1</v>
      </c>
      <c r="C33" s="48">
        <v>10786.8</v>
      </c>
      <c r="D33" s="9">
        <v>0</v>
      </c>
      <c r="E33" s="9">
        <v>0</v>
      </c>
    </row>
    <row r="34" spans="1:5" x14ac:dyDescent="0.2">
      <c r="A34" t="s">
        <v>112</v>
      </c>
      <c r="B34">
        <v>5</v>
      </c>
      <c r="C34" s="48">
        <v>22370.760000000002</v>
      </c>
      <c r="D34" s="9">
        <v>109.77385845542068</v>
      </c>
      <c r="E34" s="9">
        <v>11618.840355216178</v>
      </c>
    </row>
    <row r="35" spans="1:5" x14ac:dyDescent="0.2">
      <c r="A35" t="s">
        <v>117</v>
      </c>
      <c r="B35">
        <v>2</v>
      </c>
      <c r="C35" s="48">
        <v>136026.75</v>
      </c>
      <c r="D35" s="9">
        <v>104.65180361560904</v>
      </c>
      <c r="E35" s="9">
        <v>54.447222151364159</v>
      </c>
    </row>
    <row r="36" spans="1:5" x14ac:dyDescent="0.2">
      <c r="A36" t="s">
        <v>122</v>
      </c>
      <c r="B36">
        <v>92</v>
      </c>
      <c r="C36" s="48">
        <v>6178531.5599999959</v>
      </c>
      <c r="D36" s="9">
        <v>85.804250048662112</v>
      </c>
      <c r="E36" s="9">
        <v>5278.3544198688178</v>
      </c>
    </row>
    <row r="37" spans="1:5" x14ac:dyDescent="0.2">
      <c r="A37" t="s">
        <v>128</v>
      </c>
      <c r="B37">
        <v>3</v>
      </c>
      <c r="C37" s="48">
        <v>98238</v>
      </c>
      <c r="D37" s="9">
        <v>0</v>
      </c>
      <c r="E37" s="9">
        <v>138.5640646055102</v>
      </c>
    </row>
    <row r="38" spans="1:5" x14ac:dyDescent="0.2">
      <c r="A38" t="s">
        <v>131</v>
      </c>
      <c r="B38">
        <v>2</v>
      </c>
      <c r="C38" s="48">
        <v>6138</v>
      </c>
      <c r="D38" s="9">
        <v>48.083261120685229</v>
      </c>
      <c r="E38" s="9">
        <v>42.426406871192853</v>
      </c>
    </row>
    <row r="39" spans="1:5" x14ac:dyDescent="0.2">
      <c r="A39" t="s">
        <v>133</v>
      </c>
      <c r="B39">
        <v>12</v>
      </c>
      <c r="C39" s="48">
        <v>262315.8</v>
      </c>
      <c r="D39" s="9">
        <v>57.481749410287719</v>
      </c>
      <c r="E39" s="9">
        <v>269.59059870309073</v>
      </c>
    </row>
    <row r="40" spans="1:5" x14ac:dyDescent="0.2">
      <c r="A40" t="s">
        <v>139</v>
      </c>
      <c r="B40">
        <v>3</v>
      </c>
      <c r="C40" s="48">
        <v>29460.54</v>
      </c>
      <c r="D40" s="9">
        <v>34.641016151377549</v>
      </c>
      <c r="E40" s="9">
        <v>144.33756729740642</v>
      </c>
    </row>
    <row r="41" spans="1:5" x14ac:dyDescent="0.2">
      <c r="A41" t="s">
        <v>80</v>
      </c>
      <c r="B41">
        <v>3</v>
      </c>
      <c r="C41" s="48">
        <v>5895</v>
      </c>
      <c r="D41" s="9">
        <v>64.085879880048466</v>
      </c>
      <c r="E41" s="9">
        <v>866.02540378443859</v>
      </c>
    </row>
    <row r="42" spans="1:5" x14ac:dyDescent="0.2">
      <c r="A42" t="s">
        <v>86</v>
      </c>
      <c r="B42">
        <v>24</v>
      </c>
      <c r="C42" s="48">
        <v>1497984.6600000001</v>
      </c>
      <c r="D42" s="9">
        <v>128.32767727085908</v>
      </c>
      <c r="E42" s="9">
        <v>16.326325766793893</v>
      </c>
    </row>
    <row r="43" spans="1:5" x14ac:dyDescent="0.2">
      <c r="A43" t="s">
        <v>92</v>
      </c>
      <c r="B43">
        <v>1</v>
      </c>
      <c r="C43" s="48">
        <v>3285.6</v>
      </c>
      <c r="D43" s="9">
        <v>0</v>
      </c>
      <c r="E43" s="9">
        <v>0</v>
      </c>
    </row>
    <row r="44" spans="1:5" x14ac:dyDescent="0.2">
      <c r="A44" t="s">
        <v>95</v>
      </c>
      <c r="B44">
        <v>1</v>
      </c>
      <c r="C44" s="48">
        <v>507888.56</v>
      </c>
      <c r="D44" s="9">
        <v>0</v>
      </c>
      <c r="E44" s="9">
        <v>0</v>
      </c>
    </row>
    <row r="45" spans="1:5" x14ac:dyDescent="0.2">
      <c r="A45" t="s">
        <v>96</v>
      </c>
      <c r="B45">
        <v>7</v>
      </c>
      <c r="C45" s="48">
        <v>46265.310000000005</v>
      </c>
      <c r="D45" s="9">
        <v>50.969645495629798</v>
      </c>
      <c r="E45" s="9">
        <v>0</v>
      </c>
    </row>
    <row r="46" spans="1:5" x14ac:dyDescent="0.2">
      <c r="A46" t="s">
        <v>97</v>
      </c>
      <c r="B46">
        <v>2</v>
      </c>
      <c r="C46" s="48">
        <v>114880.08</v>
      </c>
      <c r="D46" s="9">
        <v>57.982756057296896</v>
      </c>
      <c r="E46" s="9">
        <v>0</v>
      </c>
    </row>
    <row r="47" spans="1:5" x14ac:dyDescent="0.2">
      <c r="A47" t="s">
        <v>101</v>
      </c>
      <c r="B47">
        <v>2</v>
      </c>
      <c r="C47" s="48">
        <v>70642.600000000006</v>
      </c>
      <c r="D47" s="9">
        <v>0</v>
      </c>
      <c r="E47" s="9">
        <v>0</v>
      </c>
    </row>
    <row r="48" spans="1:5" x14ac:dyDescent="0.2">
      <c r="A48" t="s">
        <v>103</v>
      </c>
      <c r="B48">
        <v>9</v>
      </c>
      <c r="C48" s="48">
        <v>146578.81000000003</v>
      </c>
      <c r="D48" s="9">
        <v>118.16196511568349</v>
      </c>
      <c r="E48" s="9">
        <v>51.666666666666671</v>
      </c>
    </row>
    <row r="49" spans="1:5" x14ac:dyDescent="0.2">
      <c r="A49" t="s">
        <v>106</v>
      </c>
      <c r="B49">
        <v>6</v>
      </c>
      <c r="C49" s="48">
        <v>1075110</v>
      </c>
      <c r="D49" s="9">
        <v>85.939513612773027</v>
      </c>
      <c r="E49" s="9">
        <v>29.65805118344764</v>
      </c>
    </row>
    <row r="50" spans="1:5" x14ac:dyDescent="0.2">
      <c r="A50" t="s">
        <v>109</v>
      </c>
      <c r="B50">
        <v>1</v>
      </c>
      <c r="C50" s="48">
        <v>69350.399999999994</v>
      </c>
      <c r="D50" s="9">
        <v>0</v>
      </c>
      <c r="E50" s="9">
        <v>0</v>
      </c>
    </row>
    <row r="51" spans="1:5" x14ac:dyDescent="0.2">
      <c r="A51" t="s">
        <v>56</v>
      </c>
      <c r="B51">
        <v>2</v>
      </c>
      <c r="C51" s="48">
        <v>3880</v>
      </c>
      <c r="D51" s="9">
        <v>98.994949366116657</v>
      </c>
      <c r="E51" s="9">
        <v>707.10678118654755</v>
      </c>
    </row>
    <row r="52" spans="1:5" x14ac:dyDescent="0.2">
      <c r="A52" t="s">
        <v>267</v>
      </c>
      <c r="B52">
        <v>112</v>
      </c>
      <c r="C52" s="48">
        <v>7780632.7500000279</v>
      </c>
      <c r="D52" s="9">
        <v>72.900257575537594</v>
      </c>
      <c r="E52" s="9">
        <v>155.26638275524942</v>
      </c>
    </row>
    <row r="53" spans="1:5" x14ac:dyDescent="0.2">
      <c r="A53" t="s">
        <v>252</v>
      </c>
      <c r="B53">
        <v>13</v>
      </c>
      <c r="C53" s="48">
        <v>680971.2</v>
      </c>
      <c r="D53" s="9">
        <v>121.54707856542716</v>
      </c>
      <c r="E53" s="9">
        <v>0</v>
      </c>
    </row>
    <row r="54" spans="1:5" x14ac:dyDescent="0.2">
      <c r="A54" t="s">
        <v>316</v>
      </c>
      <c r="B54">
        <v>1</v>
      </c>
      <c r="C54" s="48">
        <v>81001.600000000006</v>
      </c>
      <c r="D54" s="9">
        <v>0</v>
      </c>
      <c r="E54" s="9">
        <v>0</v>
      </c>
    </row>
    <row r="55" spans="1:5" x14ac:dyDescent="0.2">
      <c r="A55" t="s">
        <v>306</v>
      </c>
      <c r="B55">
        <v>17</v>
      </c>
      <c r="C55" s="48">
        <v>65802.8</v>
      </c>
      <c r="D55" s="9">
        <v>114.64536110800782</v>
      </c>
      <c r="E55" s="9">
        <v>78.171474412119835</v>
      </c>
    </row>
    <row r="56" spans="1:5" x14ac:dyDescent="0.2">
      <c r="A56" t="s">
        <v>294</v>
      </c>
      <c r="B56">
        <v>5</v>
      </c>
      <c r="C56" s="48">
        <v>22370.760000000002</v>
      </c>
      <c r="D56" s="9">
        <v>109.77385845542068</v>
      </c>
      <c r="E56" s="9">
        <v>11618.840355216178</v>
      </c>
    </row>
    <row r="57" spans="1:5" x14ac:dyDescent="0.2">
      <c r="A57" t="s">
        <v>265</v>
      </c>
      <c r="B57">
        <v>101</v>
      </c>
      <c r="C57" s="48">
        <v>8269212.6000000229</v>
      </c>
      <c r="D57" s="9">
        <v>116.14881713895463</v>
      </c>
      <c r="E57" s="9">
        <v>103.07845709376758</v>
      </c>
    </row>
    <row r="58" spans="1:5" x14ac:dyDescent="0.2">
      <c r="A58" t="s">
        <v>318</v>
      </c>
      <c r="B58">
        <v>10</v>
      </c>
      <c r="C58" s="48">
        <v>320892.00000000006</v>
      </c>
      <c r="D58" s="9">
        <v>282.79880952130378</v>
      </c>
      <c r="E58" s="9">
        <v>0</v>
      </c>
    </row>
    <row r="59" spans="1:5" x14ac:dyDescent="0.2">
      <c r="A59" t="s">
        <v>299</v>
      </c>
      <c r="B59">
        <v>2</v>
      </c>
      <c r="C59" s="48">
        <v>136026.75</v>
      </c>
      <c r="D59" s="9">
        <v>104.65180361560904</v>
      </c>
      <c r="E59" s="9">
        <v>54.447222151364159</v>
      </c>
    </row>
    <row r="60" spans="1:5" x14ac:dyDescent="0.2">
      <c r="A60" t="s">
        <v>298</v>
      </c>
      <c r="B60">
        <v>1</v>
      </c>
      <c r="C60" s="48">
        <v>73402.559999999998</v>
      </c>
      <c r="D60" s="9">
        <v>0</v>
      </c>
      <c r="E60" s="9">
        <v>0</v>
      </c>
    </row>
    <row r="61" spans="1:5" x14ac:dyDescent="0.2">
      <c r="A61" t="s">
        <v>241</v>
      </c>
      <c r="B61">
        <v>5</v>
      </c>
      <c r="C61" s="48">
        <v>163674</v>
      </c>
      <c r="D61" s="9">
        <v>41.087711055853006</v>
      </c>
      <c r="E61" s="9">
        <v>0</v>
      </c>
    </row>
    <row r="62" spans="1:5" x14ac:dyDescent="0.2">
      <c r="A62" t="s">
        <v>270</v>
      </c>
      <c r="B62">
        <v>140</v>
      </c>
      <c r="C62" s="48">
        <v>6933031.7099999925</v>
      </c>
      <c r="D62" s="9">
        <v>16.135173796068955</v>
      </c>
      <c r="E62" s="9">
        <v>2.2787615864618704</v>
      </c>
    </row>
    <row r="63" spans="1:5" x14ac:dyDescent="0.2">
      <c r="A63" t="s">
        <v>250</v>
      </c>
      <c r="B63">
        <v>19</v>
      </c>
      <c r="C63" s="48">
        <v>86795.799999999988</v>
      </c>
      <c r="D63" s="9">
        <v>174.95125469760731</v>
      </c>
      <c r="E63" s="9">
        <v>1147.6984342179931</v>
      </c>
    </row>
    <row r="64" spans="1:5" x14ac:dyDescent="0.2">
      <c r="A64" t="s">
        <v>253</v>
      </c>
      <c r="B64">
        <v>2</v>
      </c>
      <c r="C64" s="48">
        <v>333925.2</v>
      </c>
      <c r="D64" s="9">
        <v>181.7264427649427</v>
      </c>
      <c r="E64" s="9">
        <v>0</v>
      </c>
    </row>
    <row r="65" spans="1:5" x14ac:dyDescent="0.2">
      <c r="A65" t="s">
        <v>310</v>
      </c>
      <c r="B65">
        <v>3</v>
      </c>
      <c r="C65" s="48">
        <v>98238</v>
      </c>
      <c r="D65" s="9">
        <v>0</v>
      </c>
      <c r="E65" s="9">
        <v>138.5640646055102</v>
      </c>
    </row>
    <row r="66" spans="1:5" x14ac:dyDescent="0.2">
      <c r="A66" t="s">
        <v>303</v>
      </c>
      <c r="B66">
        <v>78</v>
      </c>
      <c r="C66" s="48">
        <v>5866748.9999999944</v>
      </c>
      <c r="D66" s="9">
        <v>57.933700781343369</v>
      </c>
      <c r="E66" s="9">
        <v>441.52341565700294</v>
      </c>
    </row>
    <row r="67" spans="1:5" x14ac:dyDescent="0.2">
      <c r="A67" t="s">
        <v>277</v>
      </c>
      <c r="B67">
        <v>1</v>
      </c>
      <c r="C67" s="48">
        <v>507888.56</v>
      </c>
      <c r="D67" s="9">
        <v>0</v>
      </c>
      <c r="E67" s="9">
        <v>0</v>
      </c>
    </row>
    <row r="68" spans="1:5" x14ac:dyDescent="0.2">
      <c r="A68" t="s">
        <v>242</v>
      </c>
      <c r="B68">
        <v>2</v>
      </c>
      <c r="C68" s="48">
        <v>133449.12</v>
      </c>
      <c r="D68" s="9">
        <v>98.287842584930104</v>
      </c>
      <c r="E68" s="9">
        <v>0</v>
      </c>
    </row>
    <row r="69" spans="1:5" x14ac:dyDescent="0.2">
      <c r="A69" t="s">
        <v>243</v>
      </c>
      <c r="B69">
        <v>9</v>
      </c>
      <c r="C69" s="48">
        <v>172851.84</v>
      </c>
      <c r="D69" s="9">
        <v>166.54428840401582</v>
      </c>
      <c r="E69" s="9">
        <v>168</v>
      </c>
    </row>
    <row r="70" spans="1:5" x14ac:dyDescent="0.2">
      <c r="A70" t="s">
        <v>261</v>
      </c>
      <c r="B70">
        <v>4</v>
      </c>
      <c r="C70" s="48">
        <v>10980</v>
      </c>
      <c r="D70" s="9">
        <v>122.90206127916109</v>
      </c>
      <c r="E70" s="9">
        <v>750</v>
      </c>
    </row>
    <row r="71" spans="1:5" x14ac:dyDescent="0.2">
      <c r="A71" t="s">
        <v>239</v>
      </c>
      <c r="B71">
        <v>1</v>
      </c>
      <c r="C71" s="48">
        <v>0</v>
      </c>
      <c r="D71" s="9">
        <v>0</v>
      </c>
      <c r="E71" s="9">
        <v>0</v>
      </c>
    </row>
    <row r="72" spans="1:5" x14ac:dyDescent="0.2">
      <c r="A72" t="s">
        <v>300</v>
      </c>
      <c r="B72">
        <v>54</v>
      </c>
      <c r="C72" s="48">
        <v>337270.49999999994</v>
      </c>
      <c r="D72" s="9">
        <v>53.191271095497591</v>
      </c>
      <c r="E72" s="9">
        <v>25.839855131318892</v>
      </c>
    </row>
    <row r="73" spans="1:5" x14ac:dyDescent="0.2">
      <c r="A73" t="s">
        <v>321</v>
      </c>
      <c r="B73">
        <v>3</v>
      </c>
      <c r="C73" s="48">
        <v>29460.54</v>
      </c>
      <c r="D73" s="9">
        <v>34.641016151377549</v>
      </c>
      <c r="E73" s="9">
        <v>144.33756729740642</v>
      </c>
    </row>
    <row r="74" spans="1:5" x14ac:dyDescent="0.2">
      <c r="A74" t="s">
        <v>70</v>
      </c>
      <c r="B74">
        <v>13</v>
      </c>
      <c r="C74" s="48">
        <v>680971.2</v>
      </c>
      <c r="D74" s="9">
        <v>121.54707856542716</v>
      </c>
      <c r="E74" s="9">
        <v>0</v>
      </c>
    </row>
    <row r="75" spans="1:5" x14ac:dyDescent="0.2">
      <c r="A75" t="s">
        <v>68</v>
      </c>
      <c r="B75">
        <v>19</v>
      </c>
      <c r="C75" s="48">
        <v>86795.799999999988</v>
      </c>
      <c r="D75" s="9">
        <v>174.95125469760731</v>
      </c>
      <c r="E75" s="9">
        <v>1147.6984342179931</v>
      </c>
    </row>
    <row r="76" spans="1:5" x14ac:dyDescent="0.2">
      <c r="A76" t="s">
        <v>69</v>
      </c>
      <c r="B76">
        <v>2</v>
      </c>
      <c r="C76" s="48">
        <v>0</v>
      </c>
      <c r="D76" s="9">
        <v>0</v>
      </c>
      <c r="E76" s="9">
        <v>0</v>
      </c>
    </row>
    <row r="77" spans="1:5" x14ac:dyDescent="0.2">
      <c r="A77" t="s">
        <v>72</v>
      </c>
      <c r="B77">
        <v>19</v>
      </c>
      <c r="C77" s="48">
        <v>813850.7999999997</v>
      </c>
      <c r="D77" s="9">
        <v>179.46349544878635</v>
      </c>
      <c r="E77" s="9">
        <v>157.34641634572458</v>
      </c>
    </row>
    <row r="78" spans="1:5" x14ac:dyDescent="0.2">
      <c r="A78" t="s">
        <v>322</v>
      </c>
      <c r="B78">
        <v>6</v>
      </c>
      <c r="C78" s="48">
        <v>72718.8</v>
      </c>
      <c r="D78" s="9">
        <v>105.85965551990911</v>
      </c>
      <c r="E78" s="9">
        <v>171.46428199482247</v>
      </c>
    </row>
    <row r="79" spans="1:5" x14ac:dyDescent="0.2">
      <c r="A79" t="s">
        <v>71</v>
      </c>
      <c r="B79">
        <v>2</v>
      </c>
      <c r="C79" s="48">
        <v>333925.2</v>
      </c>
      <c r="D79" s="9">
        <v>181.7264427649427</v>
      </c>
      <c r="E79" s="9">
        <v>0</v>
      </c>
    </row>
    <row r="80" spans="1:5" x14ac:dyDescent="0.2">
      <c r="A80" t="s">
        <v>233</v>
      </c>
      <c r="B80">
        <v>72</v>
      </c>
      <c r="C80" s="48">
        <v>0</v>
      </c>
      <c r="D80" s="9">
        <v>36.705844944812547</v>
      </c>
      <c r="E80" s="9">
        <v>24936.522192705474</v>
      </c>
    </row>
    <row r="81" spans="1:5" x14ac:dyDescent="0.2">
      <c r="A81" t="s">
        <v>271</v>
      </c>
      <c r="B81">
        <v>2</v>
      </c>
      <c r="C81" s="48">
        <v>536991</v>
      </c>
      <c r="D81" s="9">
        <v>204.35385976291224</v>
      </c>
      <c r="E81" s="9">
        <v>197.98989873223331</v>
      </c>
    </row>
    <row r="82" spans="1:5" x14ac:dyDescent="0.2">
      <c r="A82" t="s">
        <v>290</v>
      </c>
      <c r="B82">
        <v>68</v>
      </c>
      <c r="C82" s="48">
        <v>7899996.6500000004</v>
      </c>
      <c r="D82" s="9">
        <v>98.588528646787282</v>
      </c>
      <c r="E82" s="9">
        <v>95.954109742473179</v>
      </c>
    </row>
    <row r="83" spans="1:5" x14ac:dyDescent="0.2">
      <c r="A83" t="s">
        <v>275</v>
      </c>
      <c r="B83">
        <v>2</v>
      </c>
      <c r="C83" s="48">
        <v>2986222.98</v>
      </c>
      <c r="D83" s="9">
        <v>0</v>
      </c>
      <c r="E83" s="9">
        <v>105320.01952383033</v>
      </c>
    </row>
    <row r="84" spans="1:5" x14ac:dyDescent="0.2">
      <c r="A84" t="s">
        <v>274</v>
      </c>
      <c r="B84">
        <v>1</v>
      </c>
      <c r="C84" s="48">
        <v>3285.6</v>
      </c>
      <c r="D84" s="9">
        <v>0</v>
      </c>
      <c r="E84" s="9">
        <v>0</v>
      </c>
    </row>
    <row r="85" spans="1:5" x14ac:dyDescent="0.2">
      <c r="A85" t="s">
        <v>236</v>
      </c>
      <c r="B85">
        <v>73</v>
      </c>
      <c r="C85" s="48">
        <v>0</v>
      </c>
      <c r="D85" s="9">
        <v>43.24229108627059</v>
      </c>
      <c r="E85" s="9">
        <v>12438.99862445928</v>
      </c>
    </row>
    <row r="86" spans="1:5" x14ac:dyDescent="0.2">
      <c r="A86" t="s">
        <v>255</v>
      </c>
      <c r="B86">
        <v>8</v>
      </c>
      <c r="C86" s="48">
        <v>360242.40000000008</v>
      </c>
      <c r="D86" s="9">
        <v>63.511528762219903</v>
      </c>
      <c r="E86" s="9">
        <v>114.94563932572649</v>
      </c>
    </row>
    <row r="87" spans="1:5" x14ac:dyDescent="0.2">
      <c r="A87" t="s">
        <v>301</v>
      </c>
      <c r="B87">
        <v>12</v>
      </c>
      <c r="C87" s="48">
        <v>178466.74999999997</v>
      </c>
      <c r="D87" s="9">
        <v>71.165779570086784</v>
      </c>
      <c r="E87" s="9">
        <v>248.39904052418024</v>
      </c>
    </row>
    <row r="88" spans="1:5" x14ac:dyDescent="0.2">
      <c r="A88" t="s">
        <v>293</v>
      </c>
      <c r="B88">
        <v>3</v>
      </c>
      <c r="C88" s="48">
        <v>32076.799999999999</v>
      </c>
      <c r="D88" s="9">
        <v>39.51371070264446</v>
      </c>
      <c r="E88" s="9">
        <v>646.63230149238098</v>
      </c>
    </row>
    <row r="89" spans="1:5" x14ac:dyDescent="0.2">
      <c r="A89" t="s">
        <v>295</v>
      </c>
      <c r="B89">
        <v>30</v>
      </c>
      <c r="C89" s="48">
        <v>1609617.5999999987</v>
      </c>
      <c r="D89" s="9">
        <v>93.309052671485532</v>
      </c>
      <c r="E89" s="9">
        <v>50.459953394268254</v>
      </c>
    </row>
    <row r="90" spans="1:5" x14ac:dyDescent="0.2">
      <c r="A90" t="s">
        <v>281</v>
      </c>
      <c r="B90">
        <v>5</v>
      </c>
      <c r="C90" s="48">
        <v>12923.8</v>
      </c>
      <c r="D90" s="9">
        <v>83.667197872339827</v>
      </c>
      <c r="E90" s="9">
        <v>124.86592809890135</v>
      </c>
    </row>
    <row r="91" spans="1:5" x14ac:dyDescent="0.2">
      <c r="A91" t="s">
        <v>262</v>
      </c>
      <c r="B91">
        <v>3</v>
      </c>
      <c r="C91" s="48">
        <v>5895</v>
      </c>
      <c r="D91" s="9">
        <v>64.085879880048466</v>
      </c>
      <c r="E91" s="9">
        <v>866.02540378443859</v>
      </c>
    </row>
    <row r="92" spans="1:5" x14ac:dyDescent="0.2">
      <c r="A92" t="s">
        <v>256</v>
      </c>
      <c r="B92">
        <v>26</v>
      </c>
      <c r="C92" s="48">
        <v>1074360</v>
      </c>
      <c r="D92" s="9">
        <v>223.50884683940032</v>
      </c>
      <c r="E92" s="9">
        <v>81.679486173325444</v>
      </c>
    </row>
    <row r="93" spans="1:5" x14ac:dyDescent="0.2">
      <c r="A93" t="s">
        <v>65</v>
      </c>
      <c r="B93">
        <v>34</v>
      </c>
      <c r="C93" s="48">
        <v>810792</v>
      </c>
      <c r="D93" s="9">
        <v>107.08680487844863</v>
      </c>
      <c r="E93" s="9">
        <v>145.23200444758905</v>
      </c>
    </row>
    <row r="94" spans="1:5" x14ac:dyDescent="0.2">
      <c r="A94" t="s">
        <v>58</v>
      </c>
      <c r="B94">
        <v>15</v>
      </c>
      <c r="C94" s="48">
        <v>1298044.7999999998</v>
      </c>
      <c r="D94" s="9">
        <v>132.5553613008409</v>
      </c>
      <c r="E94" s="9">
        <v>212.8852809781429</v>
      </c>
    </row>
    <row r="95" spans="1:5" x14ac:dyDescent="0.2">
      <c r="A95" t="s">
        <v>53</v>
      </c>
      <c r="B95">
        <v>73</v>
      </c>
      <c r="C95" s="48">
        <v>0</v>
      </c>
      <c r="D95" s="9">
        <v>40.913401139959262</v>
      </c>
      <c r="E95" s="9">
        <v>12438.492482524698</v>
      </c>
    </row>
    <row r="96" spans="1:5" x14ac:dyDescent="0.2">
      <c r="A96" t="s">
        <v>297</v>
      </c>
      <c r="B96">
        <v>15</v>
      </c>
      <c r="C96" s="48">
        <v>321108.47999999998</v>
      </c>
      <c r="D96" s="9">
        <v>95.491560335512148</v>
      </c>
      <c r="E96" s="9">
        <v>13037.650550836002</v>
      </c>
    </row>
    <row r="97" spans="1:5" x14ac:dyDescent="0.2">
      <c r="A97" t="s">
        <v>57</v>
      </c>
      <c r="B97">
        <v>1</v>
      </c>
      <c r="C97" s="48">
        <v>0</v>
      </c>
      <c r="D97" s="9">
        <v>0</v>
      </c>
      <c r="E97" s="9">
        <v>0</v>
      </c>
    </row>
    <row r="98" spans="1:5" x14ac:dyDescent="0.2">
      <c r="A98" t="s">
        <v>55</v>
      </c>
      <c r="B98">
        <v>34</v>
      </c>
      <c r="C98" s="48">
        <v>1351896.4800000007</v>
      </c>
      <c r="D98" s="9">
        <v>67.757589309913541</v>
      </c>
      <c r="E98" s="9">
        <v>252.23365790833344</v>
      </c>
    </row>
    <row r="99" spans="1:5" x14ac:dyDescent="0.2">
      <c r="A99" t="s">
        <v>85</v>
      </c>
      <c r="B99">
        <v>112</v>
      </c>
      <c r="C99" s="48">
        <v>7780632.7500000279</v>
      </c>
      <c r="D99" s="9">
        <v>72.900257575537594</v>
      </c>
      <c r="E99" s="9">
        <v>155.26638275524942</v>
      </c>
    </row>
    <row r="100" spans="1:5" x14ac:dyDescent="0.2">
      <c r="A100" t="s">
        <v>115</v>
      </c>
      <c r="B100">
        <v>15</v>
      </c>
      <c r="C100" s="48">
        <v>321108.47999999998</v>
      </c>
      <c r="D100" s="9">
        <v>95.491560335512148</v>
      </c>
      <c r="E100" s="9">
        <v>13037.650550836002</v>
      </c>
    </row>
    <row r="101" spans="1:5" x14ac:dyDescent="0.2">
      <c r="A101" t="s">
        <v>124</v>
      </c>
      <c r="B101">
        <v>17</v>
      </c>
      <c r="C101" s="48">
        <v>65802.8</v>
      </c>
      <c r="D101" s="9">
        <v>114.64536110800782</v>
      </c>
      <c r="E101" s="9">
        <v>78.171474412119835</v>
      </c>
    </row>
    <row r="102" spans="1:5" x14ac:dyDescent="0.2">
      <c r="A102" t="s">
        <v>130</v>
      </c>
      <c r="B102">
        <v>1</v>
      </c>
      <c r="C102" s="48">
        <v>3381</v>
      </c>
      <c r="D102" s="9">
        <v>0</v>
      </c>
      <c r="E102" s="9">
        <v>0</v>
      </c>
    </row>
    <row r="103" spans="1:5" x14ac:dyDescent="0.2">
      <c r="A103" t="s">
        <v>136</v>
      </c>
      <c r="B103">
        <v>10</v>
      </c>
      <c r="C103" s="48">
        <v>320892.00000000006</v>
      </c>
      <c r="D103" s="9">
        <v>282.79880952130378</v>
      </c>
      <c r="E103" s="9">
        <v>0</v>
      </c>
    </row>
    <row r="104" spans="1:5" x14ac:dyDescent="0.2">
      <c r="A104" t="s">
        <v>141</v>
      </c>
      <c r="B104">
        <v>9</v>
      </c>
      <c r="C104" s="48">
        <v>1226635.52</v>
      </c>
      <c r="D104" s="9">
        <v>125.07608795318077</v>
      </c>
      <c r="E104" s="9">
        <v>147.02985335562903</v>
      </c>
    </row>
    <row r="105" spans="1:5" x14ac:dyDescent="0.2">
      <c r="A105" t="s">
        <v>77</v>
      </c>
      <c r="B105">
        <v>6</v>
      </c>
      <c r="C105" s="48">
        <v>985224.87</v>
      </c>
      <c r="D105" s="9">
        <v>136.93063937629154</v>
      </c>
      <c r="E105" s="9">
        <v>1200.2499739637572</v>
      </c>
    </row>
    <row r="106" spans="1:5" x14ac:dyDescent="0.2">
      <c r="A106" t="s">
        <v>90</v>
      </c>
      <c r="B106">
        <v>1</v>
      </c>
      <c r="C106" s="48">
        <v>2132</v>
      </c>
      <c r="D106" s="9">
        <v>0</v>
      </c>
      <c r="E106" s="9">
        <v>0</v>
      </c>
    </row>
    <row r="107" spans="1:5" x14ac:dyDescent="0.2">
      <c r="A107" t="s">
        <v>94</v>
      </c>
      <c r="B107">
        <v>2</v>
      </c>
      <c r="C107" s="48">
        <v>8736</v>
      </c>
      <c r="D107" s="9">
        <v>97.580735803743565</v>
      </c>
      <c r="E107" s="9">
        <v>0</v>
      </c>
    </row>
    <row r="108" spans="1:5" x14ac:dyDescent="0.2">
      <c r="A108" t="s">
        <v>105</v>
      </c>
      <c r="B108">
        <v>1</v>
      </c>
      <c r="C108" s="48">
        <v>3011.4</v>
      </c>
      <c r="D108" s="9">
        <v>0</v>
      </c>
      <c r="E108" s="9">
        <v>0</v>
      </c>
    </row>
    <row r="109" spans="1:5" x14ac:dyDescent="0.2">
      <c r="A109" t="s">
        <v>111</v>
      </c>
      <c r="B109">
        <v>3</v>
      </c>
      <c r="C109" s="48">
        <v>32076.799999999999</v>
      </c>
      <c r="D109" s="9">
        <v>39.51371070264446</v>
      </c>
      <c r="E109" s="9">
        <v>646.63230149238098</v>
      </c>
    </row>
    <row r="110" spans="1:5" x14ac:dyDescent="0.2">
      <c r="A110" t="s">
        <v>119</v>
      </c>
      <c r="B110">
        <v>12</v>
      </c>
      <c r="C110" s="48">
        <v>178466.74999999997</v>
      </c>
      <c r="D110" s="9">
        <v>71.165779570086784</v>
      </c>
      <c r="E110" s="9">
        <v>248.39904052418024</v>
      </c>
    </row>
    <row r="111" spans="1:5" x14ac:dyDescent="0.2">
      <c r="A111" t="s">
        <v>121</v>
      </c>
      <c r="B111">
        <v>78</v>
      </c>
      <c r="C111" s="48">
        <v>5866748.9999999944</v>
      </c>
      <c r="D111" s="9">
        <v>57.933700781343369</v>
      </c>
      <c r="E111" s="9">
        <v>441.52341565700294</v>
      </c>
    </row>
    <row r="112" spans="1:5" x14ac:dyDescent="0.2">
      <c r="A112" t="s">
        <v>82</v>
      </c>
      <c r="B112">
        <v>1</v>
      </c>
      <c r="C112" s="48">
        <v>0</v>
      </c>
      <c r="D112" s="9">
        <v>0</v>
      </c>
      <c r="E112" s="9">
        <v>0</v>
      </c>
    </row>
    <row r="113" spans="1:5" x14ac:dyDescent="0.2">
      <c r="A113" t="s">
        <v>99</v>
      </c>
      <c r="B113">
        <v>5</v>
      </c>
      <c r="C113" s="48">
        <v>12923.8</v>
      </c>
      <c r="D113" s="9">
        <v>83.667197872339827</v>
      </c>
      <c r="E113" s="9">
        <v>124.86592809890135</v>
      </c>
    </row>
    <row r="114" spans="1:5" x14ac:dyDescent="0.2">
      <c r="A114" t="s">
        <v>84</v>
      </c>
      <c r="B114">
        <v>8</v>
      </c>
      <c r="C114" s="48">
        <v>360039.68000000005</v>
      </c>
      <c r="D114" s="9">
        <v>76.591681756478721</v>
      </c>
      <c r="E114" s="9">
        <v>163.69521984468574</v>
      </c>
    </row>
    <row r="115" spans="1:5" x14ac:dyDescent="0.2">
      <c r="A115" t="s">
        <v>63</v>
      </c>
      <c r="B115">
        <v>1</v>
      </c>
      <c r="C115" s="48">
        <v>0</v>
      </c>
      <c r="D115" s="9">
        <v>0</v>
      </c>
      <c r="E115" s="9">
        <v>0</v>
      </c>
    </row>
    <row r="116" spans="1:5" x14ac:dyDescent="0.2">
      <c r="A116" t="s">
        <v>245</v>
      </c>
      <c r="B116">
        <v>1</v>
      </c>
      <c r="C116" s="48">
        <v>0</v>
      </c>
      <c r="D116" s="9">
        <v>0</v>
      </c>
      <c r="E116" s="9">
        <v>0</v>
      </c>
    </row>
    <row r="117" spans="1:5" x14ac:dyDescent="0.2">
      <c r="A117" t="s">
        <v>64</v>
      </c>
      <c r="B117">
        <v>12</v>
      </c>
      <c r="C117" s="48">
        <v>4563261.1500000004</v>
      </c>
      <c r="D117" s="9">
        <v>109.38007131100254</v>
      </c>
      <c r="E117" s="9">
        <v>767.13368022355348</v>
      </c>
    </row>
    <row r="118" spans="1:5" x14ac:dyDescent="0.2">
      <c r="A118" t="s">
        <v>285</v>
      </c>
      <c r="B118">
        <v>9</v>
      </c>
      <c r="C118" s="48">
        <v>146578.81000000003</v>
      </c>
      <c r="D118" s="9">
        <v>118.16196511568349</v>
      </c>
      <c r="E118" s="9">
        <v>51.666666666666671</v>
      </c>
    </row>
    <row r="119" spans="1:5" x14ac:dyDescent="0.2">
      <c r="A119" t="s">
        <v>116</v>
      </c>
      <c r="B119">
        <v>1</v>
      </c>
      <c r="C119" s="48">
        <v>73402.559999999998</v>
      </c>
      <c r="D119" s="9">
        <v>0</v>
      </c>
      <c r="E119" s="9">
        <v>0</v>
      </c>
    </row>
    <row r="120" spans="1:5" x14ac:dyDescent="0.2">
      <c r="A120" t="s">
        <v>79</v>
      </c>
      <c r="B120">
        <v>4</v>
      </c>
      <c r="C120" s="48">
        <v>10980</v>
      </c>
      <c r="D120" s="9">
        <v>122.90206127916109</v>
      </c>
      <c r="E120" s="9">
        <v>750</v>
      </c>
    </row>
    <row r="121" spans="1:5" x14ac:dyDescent="0.2">
      <c r="A121" t="s">
        <v>100</v>
      </c>
      <c r="B121">
        <v>1</v>
      </c>
      <c r="C121" s="48">
        <v>29679.3</v>
      </c>
      <c r="D121" s="9">
        <v>0</v>
      </c>
      <c r="E121" s="9">
        <v>0</v>
      </c>
    </row>
    <row r="122" spans="1:5" x14ac:dyDescent="0.2">
      <c r="A122" t="s">
        <v>114</v>
      </c>
      <c r="B122">
        <v>1</v>
      </c>
      <c r="C122" s="48">
        <v>2322.6</v>
      </c>
      <c r="D122" s="9">
        <v>0</v>
      </c>
      <c r="E122" s="9">
        <v>0</v>
      </c>
    </row>
    <row r="123" spans="1:5" x14ac:dyDescent="0.2">
      <c r="A123" t="s">
        <v>126</v>
      </c>
      <c r="B123">
        <v>1</v>
      </c>
      <c r="C123" s="48">
        <v>5360</v>
      </c>
      <c r="D123" s="9">
        <v>0</v>
      </c>
      <c r="E123" s="9">
        <v>0</v>
      </c>
    </row>
    <row r="124" spans="1:5" x14ac:dyDescent="0.2">
      <c r="A124" t="s">
        <v>127</v>
      </c>
      <c r="B124">
        <v>10</v>
      </c>
      <c r="C124" s="48">
        <v>77220</v>
      </c>
      <c r="D124" s="9">
        <v>51.227596731021933</v>
      </c>
      <c r="E124" s="9">
        <v>1449.1376746189439</v>
      </c>
    </row>
    <row r="125" spans="1:5" x14ac:dyDescent="0.2">
      <c r="A125" t="s">
        <v>132</v>
      </c>
      <c r="B125">
        <v>4</v>
      </c>
      <c r="C125" s="48">
        <v>1179216</v>
      </c>
      <c r="D125" s="9">
        <v>138.01449199268893</v>
      </c>
      <c r="E125" s="9">
        <v>288</v>
      </c>
    </row>
    <row r="126" spans="1:5" x14ac:dyDescent="0.2">
      <c r="A126" t="s">
        <v>138</v>
      </c>
      <c r="B126">
        <v>1</v>
      </c>
      <c r="C126" s="48">
        <v>29347.200000000001</v>
      </c>
      <c r="D126" s="9">
        <v>0</v>
      </c>
      <c r="E126" s="9">
        <v>0</v>
      </c>
    </row>
    <row r="127" spans="1:5" x14ac:dyDescent="0.2">
      <c r="A127" t="s">
        <v>143</v>
      </c>
      <c r="B127">
        <v>1</v>
      </c>
      <c r="C127" s="48">
        <v>10786.8</v>
      </c>
      <c r="D127" s="9">
        <v>0</v>
      </c>
      <c r="E127" s="9">
        <v>0</v>
      </c>
    </row>
    <row r="128" spans="1:5" x14ac:dyDescent="0.2">
      <c r="A128" t="s">
        <v>89</v>
      </c>
      <c r="B128">
        <v>2</v>
      </c>
      <c r="C128" s="48">
        <v>536991</v>
      </c>
      <c r="D128" s="9">
        <v>204.35385976291224</v>
      </c>
      <c r="E128" s="9">
        <v>197.98989873223331</v>
      </c>
    </row>
    <row r="129" spans="1:5" x14ac:dyDescent="0.2">
      <c r="A129" t="s">
        <v>91</v>
      </c>
      <c r="B129">
        <v>2</v>
      </c>
      <c r="C129" s="48">
        <v>88284.65</v>
      </c>
      <c r="D129" s="9">
        <v>0</v>
      </c>
      <c r="E129" s="9">
        <v>141117.30032139929</v>
      </c>
    </row>
    <row r="130" spans="1:5" x14ac:dyDescent="0.2">
      <c r="A130" t="s">
        <v>102</v>
      </c>
      <c r="B130">
        <v>8</v>
      </c>
      <c r="C130" s="48">
        <v>197980.80000000002</v>
      </c>
      <c r="D130" s="9">
        <v>158.24551449296393</v>
      </c>
      <c r="E130" s="9">
        <v>0</v>
      </c>
    </row>
    <row r="131" spans="1:5" x14ac:dyDescent="0.2">
      <c r="A131" t="s">
        <v>107</v>
      </c>
      <c r="B131">
        <v>1</v>
      </c>
      <c r="C131" s="48">
        <v>33447.839999999997</v>
      </c>
      <c r="D131" s="9">
        <v>0</v>
      </c>
      <c r="E131" s="9">
        <v>0</v>
      </c>
    </row>
    <row r="132" spans="1:5" x14ac:dyDescent="0.2">
      <c r="A132" t="s">
        <v>311</v>
      </c>
      <c r="B132">
        <v>8</v>
      </c>
      <c r="C132" s="48">
        <v>728590.62</v>
      </c>
      <c r="D132" s="9">
        <v>19.242809417694556</v>
      </c>
      <c r="E132" s="9">
        <v>500.90311295841292</v>
      </c>
    </row>
    <row r="133" spans="1:5" x14ac:dyDescent="0.2">
      <c r="A133" t="s">
        <v>66</v>
      </c>
      <c r="B133">
        <v>59</v>
      </c>
      <c r="C133" s="48">
        <v>5807308.5</v>
      </c>
      <c r="D133" s="9">
        <v>72.052350440441018</v>
      </c>
      <c r="E133" s="9">
        <v>354.79210827400397</v>
      </c>
    </row>
    <row r="134" spans="1:5" x14ac:dyDescent="0.2">
      <c r="A134" t="s">
        <v>280</v>
      </c>
      <c r="B134">
        <v>11</v>
      </c>
      <c r="C134" s="48">
        <v>267697.92000000004</v>
      </c>
      <c r="D134" s="9">
        <v>159.0837972440728</v>
      </c>
      <c r="E134" s="9">
        <v>303.92343533438572</v>
      </c>
    </row>
    <row r="135" spans="1:5" x14ac:dyDescent="0.2">
      <c r="A135" t="s">
        <v>313</v>
      </c>
      <c r="B135">
        <v>2</v>
      </c>
      <c r="C135" s="48">
        <v>6138</v>
      </c>
      <c r="D135" s="9">
        <v>48.083261120685229</v>
      </c>
      <c r="E135" s="9">
        <v>42.426406871192853</v>
      </c>
    </row>
    <row r="136" spans="1:5" x14ac:dyDescent="0.2">
      <c r="A136" t="s">
        <v>234</v>
      </c>
      <c r="B136">
        <v>71</v>
      </c>
      <c r="C136" s="48">
        <v>0</v>
      </c>
      <c r="D136" s="9">
        <v>36.11603811885935</v>
      </c>
      <c r="E136" s="9">
        <v>12586.252984616054</v>
      </c>
    </row>
    <row r="137" spans="1:5" x14ac:dyDescent="0.2">
      <c r="A137" t="s">
        <v>266</v>
      </c>
      <c r="B137">
        <v>8</v>
      </c>
      <c r="C137" s="48">
        <v>360039.68000000005</v>
      </c>
      <c r="D137" s="9">
        <v>76.591681756478721</v>
      </c>
      <c r="E137" s="9">
        <v>163.69521984468574</v>
      </c>
    </row>
    <row r="138" spans="1:5" x14ac:dyDescent="0.2">
      <c r="A138" t="s">
        <v>254</v>
      </c>
      <c r="B138">
        <v>19</v>
      </c>
      <c r="C138" s="48">
        <v>813850.7999999997</v>
      </c>
      <c r="D138" s="9">
        <v>179.46349544878635</v>
      </c>
      <c r="E138" s="9">
        <v>157.34641634572458</v>
      </c>
    </row>
    <row r="139" spans="1:5" x14ac:dyDescent="0.2">
      <c r="A139" t="s">
        <v>296</v>
      </c>
      <c r="B139">
        <v>1</v>
      </c>
      <c r="C139" s="48">
        <v>2322.6</v>
      </c>
      <c r="D139" s="9">
        <v>0</v>
      </c>
      <c r="E139" s="9">
        <v>0</v>
      </c>
    </row>
    <row r="140" spans="1:5" x14ac:dyDescent="0.2">
      <c r="A140" t="s">
        <v>291</v>
      </c>
      <c r="B140">
        <v>1</v>
      </c>
      <c r="C140" s="48">
        <v>69350.399999999994</v>
      </c>
      <c r="D140" s="9">
        <v>0</v>
      </c>
      <c r="E140" s="9">
        <v>0</v>
      </c>
    </row>
    <row r="141" spans="1:5" x14ac:dyDescent="0.2">
      <c r="A141" t="s">
        <v>78</v>
      </c>
      <c r="B141">
        <v>1</v>
      </c>
      <c r="C141" s="48">
        <v>0</v>
      </c>
      <c r="D141" s="9">
        <v>0</v>
      </c>
      <c r="E141" s="9">
        <v>0</v>
      </c>
    </row>
    <row r="142" spans="1:5" x14ac:dyDescent="0.2">
      <c r="A142" t="s">
        <v>83</v>
      </c>
      <c r="B142">
        <v>101</v>
      </c>
      <c r="C142" s="48">
        <v>8269212.6000000229</v>
      </c>
      <c r="D142" s="9">
        <v>116.14881713895463</v>
      </c>
      <c r="E142" s="9">
        <v>103.07845709376758</v>
      </c>
    </row>
    <row r="143" spans="1:5" x14ac:dyDescent="0.2">
      <c r="A143" t="s">
        <v>276</v>
      </c>
      <c r="B143">
        <v>2</v>
      </c>
      <c r="C143" s="48">
        <v>8736</v>
      </c>
      <c r="D143" s="9">
        <v>97.580735803743565</v>
      </c>
      <c r="E143" s="9">
        <v>0</v>
      </c>
    </row>
    <row r="144" spans="1:5" x14ac:dyDescent="0.2">
      <c r="A144" t="s">
        <v>235</v>
      </c>
      <c r="B144">
        <v>73</v>
      </c>
      <c r="C144" s="48">
        <v>0</v>
      </c>
      <c r="D144" s="9">
        <v>40.913401139959262</v>
      </c>
      <c r="E144" s="9">
        <v>12438.492482524698</v>
      </c>
    </row>
    <row r="145" spans="1:5" x14ac:dyDescent="0.2">
      <c r="A145" t="s">
        <v>260</v>
      </c>
      <c r="B145">
        <v>1</v>
      </c>
      <c r="C145" s="48">
        <v>0</v>
      </c>
      <c r="D145" s="9">
        <v>0</v>
      </c>
      <c r="E145" s="9">
        <v>0</v>
      </c>
    </row>
    <row r="146" spans="1:5" x14ac:dyDescent="0.2">
      <c r="A146" t="s">
        <v>238</v>
      </c>
      <c r="B146">
        <v>2</v>
      </c>
      <c r="C146" s="48">
        <v>3880</v>
      </c>
      <c r="D146" s="9">
        <v>98.994949366116657</v>
      </c>
      <c r="E146" s="9">
        <v>707.10678118654755</v>
      </c>
    </row>
    <row r="147" spans="1:5" x14ac:dyDescent="0.2">
      <c r="A147" t="s">
        <v>52</v>
      </c>
      <c r="B147">
        <v>71</v>
      </c>
      <c r="C147" s="48">
        <v>0</v>
      </c>
      <c r="D147" s="9">
        <v>36.11603811885935</v>
      </c>
      <c r="E147" s="9">
        <v>12586.252984616054</v>
      </c>
    </row>
    <row r="148" spans="1:5" x14ac:dyDescent="0.2">
      <c r="A148" t="s">
        <v>137</v>
      </c>
      <c r="B148">
        <v>1</v>
      </c>
      <c r="C148" s="48">
        <v>28687.68</v>
      </c>
      <c r="D148" s="9">
        <v>0</v>
      </c>
      <c r="E148" s="9">
        <v>0</v>
      </c>
    </row>
    <row r="149" spans="1:5" x14ac:dyDescent="0.2">
      <c r="A149" t="s">
        <v>59</v>
      </c>
      <c r="B149">
        <v>5</v>
      </c>
      <c r="C149" s="48">
        <v>163674</v>
      </c>
      <c r="D149" s="9">
        <v>41.087711055853006</v>
      </c>
      <c r="E149" s="9">
        <v>0</v>
      </c>
    </row>
    <row r="150" spans="1:5" x14ac:dyDescent="0.2">
      <c r="A150" t="s">
        <v>125</v>
      </c>
      <c r="B150">
        <v>1</v>
      </c>
      <c r="C150" s="48">
        <v>35877</v>
      </c>
      <c r="D150" s="9">
        <v>0</v>
      </c>
      <c r="E150" s="9">
        <v>0</v>
      </c>
    </row>
    <row r="151" spans="1:5" x14ac:dyDescent="0.2">
      <c r="A151" t="s">
        <v>135</v>
      </c>
      <c r="B151">
        <v>5</v>
      </c>
      <c r="C151" s="48">
        <v>140713.20000000001</v>
      </c>
      <c r="D151" s="9">
        <v>194.4985861126226</v>
      </c>
      <c r="E151" s="9">
        <v>73.942545263197431</v>
      </c>
    </row>
    <row r="152" spans="1:5" x14ac:dyDescent="0.2">
      <c r="A152" t="s">
        <v>108</v>
      </c>
      <c r="B152">
        <v>68</v>
      </c>
      <c r="C152" s="48">
        <v>7899996.6500000004</v>
      </c>
      <c r="D152" s="9">
        <v>98.588528646787282</v>
      </c>
      <c r="E152" s="9">
        <v>95.954109742473179</v>
      </c>
    </row>
    <row r="153" spans="1:5" x14ac:dyDescent="0.2">
      <c r="A153" t="s">
        <v>60</v>
      </c>
      <c r="B153">
        <v>2</v>
      </c>
      <c r="C153" s="48">
        <v>133449.12</v>
      </c>
      <c r="D153" s="9">
        <v>98.287842584930104</v>
      </c>
      <c r="E153" s="9">
        <v>0</v>
      </c>
    </row>
    <row r="154" spans="1:5" x14ac:dyDescent="0.2">
      <c r="A154" t="s">
        <v>67</v>
      </c>
      <c r="B154">
        <v>5</v>
      </c>
      <c r="C154" s="48">
        <v>17455.2</v>
      </c>
      <c r="D154" s="9">
        <v>68.638181792711151</v>
      </c>
      <c r="E154" s="9">
        <v>0</v>
      </c>
    </row>
    <row r="155" spans="1:5" x14ac:dyDescent="0.2">
      <c r="A155" t="s">
        <v>87</v>
      </c>
      <c r="B155">
        <v>1</v>
      </c>
      <c r="C155" s="48">
        <v>0</v>
      </c>
      <c r="D155" s="9">
        <v>0</v>
      </c>
      <c r="E155" s="9">
        <v>0</v>
      </c>
    </row>
    <row r="156" spans="1:5" x14ac:dyDescent="0.2">
      <c r="A156" t="s">
        <v>289</v>
      </c>
      <c r="B156">
        <v>1</v>
      </c>
      <c r="C156" s="48">
        <v>33447.839999999997</v>
      </c>
      <c r="D156" s="9">
        <v>0</v>
      </c>
      <c r="E156" s="9">
        <v>0</v>
      </c>
    </row>
    <row r="157" spans="1:5" x14ac:dyDescent="0.2">
      <c r="A157" t="s">
        <v>288</v>
      </c>
      <c r="B157">
        <v>6</v>
      </c>
      <c r="C157" s="48">
        <v>1075110</v>
      </c>
      <c r="D157" s="9">
        <v>85.939513612773027</v>
      </c>
      <c r="E157" s="9">
        <v>29.65805118344764</v>
      </c>
    </row>
    <row r="158" spans="1:5" x14ac:dyDescent="0.2">
      <c r="A158" t="s">
        <v>278</v>
      </c>
      <c r="B158">
        <v>7</v>
      </c>
      <c r="C158" s="48">
        <v>46265.310000000005</v>
      </c>
      <c r="D158" s="9">
        <v>50.969645495629798</v>
      </c>
      <c r="E158" s="9">
        <v>0</v>
      </c>
    </row>
    <row r="159" spans="1:5" x14ac:dyDescent="0.2">
      <c r="A159" t="s">
        <v>320</v>
      </c>
      <c r="B159">
        <v>1</v>
      </c>
      <c r="C159" s="48">
        <v>29347.200000000001</v>
      </c>
      <c r="D159" s="9">
        <v>0</v>
      </c>
      <c r="E159" s="9">
        <v>0</v>
      </c>
    </row>
    <row r="160" spans="1:5" x14ac:dyDescent="0.2">
      <c r="A160" t="s">
        <v>244</v>
      </c>
      <c r="B160">
        <v>2</v>
      </c>
      <c r="C160" s="48">
        <v>0</v>
      </c>
      <c r="D160" s="9">
        <v>0</v>
      </c>
      <c r="E160" s="9">
        <v>415.77878733768995</v>
      </c>
    </row>
    <row r="161" spans="1:5" x14ac:dyDescent="0.2">
      <c r="A161" t="s">
        <v>76</v>
      </c>
      <c r="B161">
        <v>80</v>
      </c>
      <c r="C161" s="48">
        <v>3846557.400000005</v>
      </c>
      <c r="D161" s="9">
        <v>50.982194706197873</v>
      </c>
      <c r="E161" s="9">
        <v>39.131189606246316</v>
      </c>
    </row>
    <row r="162" spans="1:5" x14ac:dyDescent="0.2">
      <c r="A162" t="s">
        <v>251</v>
      </c>
      <c r="B162">
        <v>2</v>
      </c>
      <c r="C162" s="48">
        <v>0</v>
      </c>
      <c r="D162" s="9">
        <v>0</v>
      </c>
      <c r="E162" s="9">
        <v>0</v>
      </c>
    </row>
    <row r="163" spans="1:5" x14ac:dyDescent="0.2">
      <c r="A163" t="s">
        <v>263</v>
      </c>
      <c r="B163">
        <v>1</v>
      </c>
      <c r="C163" s="48">
        <v>0</v>
      </c>
      <c r="D163" s="9">
        <v>0</v>
      </c>
      <c r="E163" s="9">
        <v>0</v>
      </c>
    </row>
    <row r="164" spans="1:5" x14ac:dyDescent="0.2">
      <c r="A164" t="s">
        <v>314</v>
      </c>
      <c r="B164">
        <v>4</v>
      </c>
      <c r="C164" s="48">
        <v>1179216</v>
      </c>
      <c r="D164" s="9">
        <v>138.01449199268893</v>
      </c>
      <c r="E164" s="9">
        <v>288</v>
      </c>
    </row>
    <row r="165" spans="1:5" x14ac:dyDescent="0.2">
      <c r="A165" t="s">
        <v>304</v>
      </c>
      <c r="B165">
        <v>92</v>
      </c>
      <c r="C165" s="48">
        <v>6178531.5599999959</v>
      </c>
      <c r="D165" s="9">
        <v>85.804250048662112</v>
      </c>
      <c r="E165" s="9">
        <v>5278.3544198688178</v>
      </c>
    </row>
    <row r="166" spans="1:5" x14ac:dyDescent="0.2">
      <c r="A166" t="s">
        <v>237</v>
      </c>
      <c r="B166">
        <v>34</v>
      </c>
      <c r="C166" s="48">
        <v>1351896.4800000007</v>
      </c>
      <c r="D166" s="9">
        <v>67.757589309913541</v>
      </c>
      <c r="E166" s="9">
        <v>252.23365790833344</v>
      </c>
    </row>
    <row r="167" spans="1:5" x14ac:dyDescent="0.2">
      <c r="A167" t="s">
        <v>273</v>
      </c>
      <c r="B167">
        <v>2</v>
      </c>
      <c r="C167" s="48">
        <v>88284.65</v>
      </c>
      <c r="D167" s="9">
        <v>0</v>
      </c>
      <c r="E167" s="9">
        <v>141117.30032139929</v>
      </c>
    </row>
    <row r="168" spans="1:5" x14ac:dyDescent="0.2">
      <c r="A168" t="s">
        <v>282</v>
      </c>
      <c r="B168">
        <v>1</v>
      </c>
      <c r="C168" s="48">
        <v>29679.3</v>
      </c>
      <c r="D168" s="9">
        <v>0</v>
      </c>
      <c r="E168" s="9">
        <v>0</v>
      </c>
    </row>
    <row r="169" spans="1:5" x14ac:dyDescent="0.2">
      <c r="A169" t="s">
        <v>73</v>
      </c>
      <c r="B169">
        <v>8</v>
      </c>
      <c r="C169" s="48">
        <v>360242.40000000008</v>
      </c>
      <c r="D169" s="9">
        <v>63.511528762219903</v>
      </c>
      <c r="E169" s="9">
        <v>114.94563932572649</v>
      </c>
    </row>
    <row r="170" spans="1:5" x14ac:dyDescent="0.2">
      <c r="A170" t="s">
        <v>246</v>
      </c>
      <c r="B170">
        <v>12</v>
      </c>
      <c r="C170" s="48">
        <v>4563261.1500000004</v>
      </c>
      <c r="D170" s="9">
        <v>109.38007131100254</v>
      </c>
      <c r="E170" s="9">
        <v>767.13368022355348</v>
      </c>
    </row>
    <row r="171" spans="1:5" x14ac:dyDescent="0.2">
      <c r="A171" t="s">
        <v>62</v>
      </c>
      <c r="B171">
        <v>2</v>
      </c>
      <c r="C171" s="48">
        <v>0</v>
      </c>
      <c r="D171" s="9">
        <v>0</v>
      </c>
      <c r="E171" s="9">
        <v>415.77878733768995</v>
      </c>
    </row>
    <row r="172" spans="1:5" x14ac:dyDescent="0.2">
      <c r="A172" t="s">
        <v>61</v>
      </c>
      <c r="B172">
        <v>9</v>
      </c>
      <c r="C172" s="48">
        <v>172851.84</v>
      </c>
      <c r="D172" s="9">
        <v>166.54428840401582</v>
      </c>
      <c r="E172" s="9">
        <v>168</v>
      </c>
    </row>
    <row r="173" spans="1:5" x14ac:dyDescent="0.2">
      <c r="A173" t="s">
        <v>113</v>
      </c>
      <c r="B173">
        <v>30</v>
      </c>
      <c r="C173" s="48">
        <v>1609617.5999999987</v>
      </c>
      <c r="D173" s="9">
        <v>93.309052671485532</v>
      </c>
      <c r="E173" s="9">
        <v>50.459953394268254</v>
      </c>
    </row>
    <row r="174" spans="1:5" x14ac:dyDescent="0.2">
      <c r="A174" t="s">
        <v>118</v>
      </c>
      <c r="B174">
        <v>54</v>
      </c>
      <c r="C174" s="48">
        <v>337270.49999999994</v>
      </c>
      <c r="D174" s="9">
        <v>53.191271095497591</v>
      </c>
      <c r="E174" s="9">
        <v>25.839855131318892</v>
      </c>
    </row>
    <row r="175" spans="1:5" x14ac:dyDescent="0.2">
      <c r="A175" t="s">
        <v>120</v>
      </c>
      <c r="B175">
        <v>15</v>
      </c>
      <c r="C175" s="48">
        <v>4280133.78</v>
      </c>
      <c r="D175" s="9">
        <v>151.12568090322188</v>
      </c>
      <c r="E175" s="9">
        <v>120.0334477194943</v>
      </c>
    </row>
    <row r="176" spans="1:5" x14ac:dyDescent="0.2">
      <c r="A176" t="s">
        <v>123</v>
      </c>
      <c r="B176">
        <v>6</v>
      </c>
      <c r="C176" s="48">
        <v>328203.36</v>
      </c>
      <c r="D176" s="9">
        <v>131.65624431371958</v>
      </c>
      <c r="E176" s="9">
        <v>34.991427521608777</v>
      </c>
    </row>
    <row r="177" spans="1:5" x14ac:dyDescent="0.2">
      <c r="A177" t="s">
        <v>129</v>
      </c>
      <c r="B177">
        <v>8</v>
      </c>
      <c r="C177" s="48">
        <v>728590.62</v>
      </c>
      <c r="D177" s="9">
        <v>19.242809417694556</v>
      </c>
      <c r="E177" s="9">
        <v>500.90311295841292</v>
      </c>
    </row>
    <row r="178" spans="1:5" x14ac:dyDescent="0.2">
      <c r="A178" t="s">
        <v>134</v>
      </c>
      <c r="B178">
        <v>1</v>
      </c>
      <c r="C178" s="48">
        <v>81001.600000000006</v>
      </c>
      <c r="D178" s="9">
        <v>0</v>
      </c>
      <c r="E178" s="9">
        <v>0</v>
      </c>
    </row>
    <row r="179" spans="1:5" x14ac:dyDescent="0.2">
      <c r="A179" t="s">
        <v>140</v>
      </c>
      <c r="B179">
        <v>6</v>
      </c>
      <c r="C179" s="48">
        <v>72718.8</v>
      </c>
      <c r="D179" s="9">
        <v>105.85965551990911</v>
      </c>
      <c r="E179" s="9">
        <v>171.46428199482247</v>
      </c>
    </row>
    <row r="180" spans="1:5" x14ac:dyDescent="0.2">
      <c r="A180" t="s">
        <v>142</v>
      </c>
      <c r="B180">
        <v>14</v>
      </c>
      <c r="C180" s="48">
        <v>7339422.7199999997</v>
      </c>
      <c r="D180" s="9">
        <v>0.26726100663830649</v>
      </c>
      <c r="E180" s="9">
        <v>67.840796180275078</v>
      </c>
    </row>
    <row r="181" spans="1:5" x14ac:dyDescent="0.2">
      <c r="A181" t="s">
        <v>81</v>
      </c>
      <c r="B181">
        <v>1</v>
      </c>
      <c r="C181" s="48">
        <v>0</v>
      </c>
      <c r="D181" s="9">
        <v>0</v>
      </c>
      <c r="E181" s="9">
        <v>0</v>
      </c>
    </row>
    <row r="182" spans="1:5" x14ac:dyDescent="0.2">
      <c r="A182" t="s">
        <v>88</v>
      </c>
      <c r="B182">
        <v>140</v>
      </c>
      <c r="C182" s="48">
        <v>6933031.7099999925</v>
      </c>
      <c r="D182" s="9">
        <v>16.135173796068955</v>
      </c>
      <c r="E182" s="9">
        <v>2.2787615864618704</v>
      </c>
    </row>
    <row r="183" spans="1:5" x14ac:dyDescent="0.2">
      <c r="A183" t="s">
        <v>93</v>
      </c>
      <c r="B183">
        <v>2</v>
      </c>
      <c r="C183" s="48">
        <v>2986222.98</v>
      </c>
      <c r="D183" s="9">
        <v>0</v>
      </c>
      <c r="E183" s="9">
        <v>105320.01952383033</v>
      </c>
    </row>
    <row r="184" spans="1:5" x14ac:dyDescent="0.2">
      <c r="A184" t="s">
        <v>98</v>
      </c>
      <c r="B184">
        <v>11</v>
      </c>
      <c r="C184" s="48">
        <v>267697.92000000004</v>
      </c>
      <c r="D184" s="9">
        <v>159.0837972440728</v>
      </c>
      <c r="E184" s="9">
        <v>303.92343533438572</v>
      </c>
    </row>
    <row r="185" spans="1:5" x14ac:dyDescent="0.2">
      <c r="A185" t="s">
        <v>104</v>
      </c>
      <c r="B185">
        <v>1</v>
      </c>
      <c r="C185" s="48">
        <v>431751.6</v>
      </c>
      <c r="D185" s="9">
        <v>0</v>
      </c>
      <c r="E185" s="9">
        <v>0</v>
      </c>
    </row>
    <row r="186" spans="1:5" x14ac:dyDescent="0.2">
      <c r="A186" t="s">
        <v>110</v>
      </c>
      <c r="B186">
        <v>4</v>
      </c>
      <c r="C186" s="48">
        <v>504417.76</v>
      </c>
      <c r="D186" s="9">
        <v>17.5</v>
      </c>
      <c r="E186" s="9">
        <v>1179.5501967558087</v>
      </c>
    </row>
    <row r="187" spans="1:5" x14ac:dyDescent="0.2">
      <c r="A187" t="s">
        <v>240</v>
      </c>
      <c r="B187">
        <v>15</v>
      </c>
      <c r="C187" s="48">
        <v>1298044.7999999998</v>
      </c>
      <c r="D187" s="9">
        <v>132.5553613008409</v>
      </c>
      <c r="E187" s="9">
        <v>212.8852809781429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8541-AA08-46EC-BBFD-ED749C4621F4}">
  <dimension ref="A1:I1093"/>
  <sheetViews>
    <sheetView topLeftCell="B1" zoomScale="109" workbookViewId="0">
      <selection activeCell="H1" sqref="H1"/>
    </sheetView>
  </sheetViews>
  <sheetFormatPr baseColWidth="10" defaultColWidth="8.83203125" defaultRowHeight="15" x14ac:dyDescent="0.2"/>
  <cols>
    <col min="1" max="1" width="31.1640625" style="31" bestFit="1" customWidth="1"/>
    <col min="2" max="2" width="26.33203125" bestFit="1" customWidth="1"/>
    <col min="3" max="3" width="20.6640625" style="42" bestFit="1" customWidth="1"/>
    <col min="4" max="4" width="15.5" bestFit="1" customWidth="1"/>
    <col min="5" max="5" width="19.5" style="33" bestFit="1" customWidth="1"/>
    <col min="6" max="6" width="19" bestFit="1" customWidth="1"/>
    <col min="7" max="7" width="12.5" style="6" bestFit="1" customWidth="1"/>
    <col min="8" max="8" width="14.33203125" style="34" customWidth="1"/>
    <col min="9" max="9" width="13.6640625" bestFit="1" customWidth="1"/>
  </cols>
  <sheetData>
    <row r="1" spans="1:9" x14ac:dyDescent="0.2">
      <c r="A1" s="30" t="s">
        <v>25</v>
      </c>
      <c r="B1" s="1" t="s">
        <v>3</v>
      </c>
      <c r="C1" s="38" t="s">
        <v>26</v>
      </c>
      <c r="D1" s="1" t="s">
        <v>27</v>
      </c>
      <c r="E1" s="32" t="s">
        <v>28</v>
      </c>
      <c r="F1" s="1" t="s">
        <v>2</v>
      </c>
      <c r="G1" s="5" t="s">
        <v>29</v>
      </c>
      <c r="H1" s="34" t="s">
        <v>401</v>
      </c>
      <c r="I1" t="s">
        <v>402</v>
      </c>
    </row>
    <row r="2" spans="1:9" x14ac:dyDescent="0.2">
      <c r="A2" s="30">
        <v>45275</v>
      </c>
      <c r="B2" s="1" t="s">
        <v>110</v>
      </c>
      <c r="C2" s="38">
        <v>44923</v>
      </c>
      <c r="D2" s="3">
        <v>1232</v>
      </c>
      <c r="E2" s="32">
        <v>45177</v>
      </c>
      <c r="F2" s="2">
        <v>70334.880000000005</v>
      </c>
      <c r="G2" s="5">
        <v>57.09</v>
      </c>
      <c r="H2" s="35">
        <f>IFERROR(A2-C2,"")</f>
        <v>352</v>
      </c>
      <c r="I2" s="43">
        <f>H2*F2</f>
        <v>24757877.760000002</v>
      </c>
    </row>
    <row r="3" spans="1:9" x14ac:dyDescent="0.2">
      <c r="A3" s="30">
        <v>45288</v>
      </c>
      <c r="B3" s="1" t="s">
        <v>110</v>
      </c>
      <c r="C3" s="38">
        <v>44928</v>
      </c>
      <c r="D3" s="3">
        <v>3696</v>
      </c>
      <c r="E3" s="32">
        <v>44923</v>
      </c>
      <c r="F3" s="2">
        <v>211004.64</v>
      </c>
      <c r="G3" s="5">
        <v>57.09</v>
      </c>
      <c r="H3" s="35">
        <f t="shared" ref="H3:H66" si="0">IFERROR(A3-C3,"")</f>
        <v>360</v>
      </c>
      <c r="I3" s="43">
        <f t="shared" ref="I3:I66" si="1">H3*F3</f>
        <v>75961670.400000006</v>
      </c>
    </row>
    <row r="4" spans="1:9" x14ac:dyDescent="0.2">
      <c r="A4" s="30">
        <v>45362</v>
      </c>
      <c r="B4" s="1" t="s">
        <v>110</v>
      </c>
      <c r="C4" s="38">
        <v>44956</v>
      </c>
      <c r="D4" s="3">
        <v>3696</v>
      </c>
      <c r="E4" s="32">
        <v>45355</v>
      </c>
      <c r="F4" s="2">
        <v>211004.64</v>
      </c>
      <c r="G4" s="5">
        <v>57.09</v>
      </c>
      <c r="H4" s="35">
        <f t="shared" si="0"/>
        <v>406</v>
      </c>
      <c r="I4" s="43">
        <f t="shared" si="1"/>
        <v>85667883.840000004</v>
      </c>
    </row>
    <row r="5" spans="1:9" x14ac:dyDescent="0.2">
      <c r="A5" s="30">
        <v>45224</v>
      </c>
      <c r="B5" s="1" t="s">
        <v>111</v>
      </c>
      <c r="C5" s="38">
        <v>45180</v>
      </c>
      <c r="D5" s="3">
        <v>1120</v>
      </c>
      <c r="E5" s="32">
        <v>45191</v>
      </c>
      <c r="F5" s="2">
        <v>7828.8</v>
      </c>
      <c r="G5" s="5">
        <v>6.99</v>
      </c>
      <c r="H5" s="35">
        <f t="shared" si="0"/>
        <v>44</v>
      </c>
      <c r="I5" s="43">
        <f t="shared" si="1"/>
        <v>344467.20000000001</v>
      </c>
    </row>
    <row r="6" spans="1:9" x14ac:dyDescent="0.2">
      <c r="A6" s="30">
        <v>45280</v>
      </c>
      <c r="B6" s="1" t="s">
        <v>111</v>
      </c>
      <c r="C6" s="38">
        <v>44923</v>
      </c>
      <c r="D6" s="3">
        <v>2240</v>
      </c>
      <c r="E6" s="32">
        <v>45280</v>
      </c>
      <c r="F6" s="2">
        <v>15657.6</v>
      </c>
      <c r="G6" s="5">
        <v>6.99</v>
      </c>
      <c r="H6" s="35">
        <f t="shared" si="0"/>
        <v>357</v>
      </c>
      <c r="I6" s="43">
        <f t="shared" si="1"/>
        <v>5589763.2000000002</v>
      </c>
    </row>
    <row r="7" spans="1:9" x14ac:dyDescent="0.2">
      <c r="A7" s="30">
        <v>45372</v>
      </c>
      <c r="B7" s="1" t="s">
        <v>111</v>
      </c>
      <c r="C7" s="38">
        <v>44951</v>
      </c>
      <c r="D7" s="3">
        <v>1120</v>
      </c>
      <c r="E7" s="32">
        <v>45372</v>
      </c>
      <c r="F7" s="2">
        <v>7828.8</v>
      </c>
      <c r="G7" s="5">
        <v>6.99</v>
      </c>
      <c r="H7" s="35">
        <f t="shared" si="0"/>
        <v>421</v>
      </c>
      <c r="I7" s="43">
        <f t="shared" si="1"/>
        <v>3295924.8000000003</v>
      </c>
    </row>
    <row r="8" spans="1:9" x14ac:dyDescent="0.2">
      <c r="A8" s="30">
        <v>45224</v>
      </c>
      <c r="B8" s="1" t="s">
        <v>87</v>
      </c>
      <c r="C8" s="38">
        <v>44958</v>
      </c>
      <c r="D8" s="3">
        <v>585</v>
      </c>
      <c r="E8" s="32">
        <v>44866</v>
      </c>
      <c r="F8" s="2">
        <v>138100.95000000001</v>
      </c>
      <c r="G8" s="5">
        <v>236.07</v>
      </c>
      <c r="H8" s="35">
        <f t="shared" si="0"/>
        <v>266</v>
      </c>
      <c r="I8" s="43">
        <f t="shared" si="1"/>
        <v>36734852.700000003</v>
      </c>
    </row>
    <row r="9" spans="1:9" x14ac:dyDescent="0.2">
      <c r="A9" s="30">
        <v>45281</v>
      </c>
      <c r="B9" s="1" t="s">
        <v>112</v>
      </c>
      <c r="C9" s="38">
        <v>44978</v>
      </c>
      <c r="D9" s="3">
        <v>504</v>
      </c>
      <c r="E9" s="32">
        <v>45261</v>
      </c>
      <c r="F9" s="2">
        <v>12156.48</v>
      </c>
      <c r="G9" s="5">
        <v>24.12</v>
      </c>
      <c r="H9" s="35">
        <f t="shared" si="0"/>
        <v>303</v>
      </c>
      <c r="I9" s="43">
        <f t="shared" si="1"/>
        <v>3683413.44</v>
      </c>
    </row>
    <row r="10" spans="1:9" x14ac:dyDescent="0.2">
      <c r="A10" s="30">
        <v>45525</v>
      </c>
      <c r="B10" s="1" t="s">
        <v>112</v>
      </c>
      <c r="C10" s="38">
        <v>45175</v>
      </c>
      <c r="D10" s="3">
        <v>252</v>
      </c>
      <c r="E10" s="32">
        <v>45525</v>
      </c>
      <c r="F10" s="2">
        <v>6078.24</v>
      </c>
      <c r="G10" s="5">
        <v>24.12</v>
      </c>
      <c r="H10" s="35">
        <f t="shared" si="0"/>
        <v>350</v>
      </c>
      <c r="I10" s="43">
        <f t="shared" si="1"/>
        <v>2127384</v>
      </c>
    </row>
    <row r="11" spans="1:9" x14ac:dyDescent="0.2">
      <c r="A11" s="30">
        <v>45219</v>
      </c>
      <c r="B11" s="1" t="s">
        <v>113</v>
      </c>
      <c r="C11" s="38">
        <v>45042</v>
      </c>
      <c r="D11" s="3">
        <v>420</v>
      </c>
      <c r="E11" s="32">
        <v>45152</v>
      </c>
      <c r="F11" s="2">
        <v>469875</v>
      </c>
      <c r="G11" s="5">
        <v>1118.75</v>
      </c>
      <c r="H11" s="35">
        <f t="shared" si="0"/>
        <v>177</v>
      </c>
      <c r="I11" s="43">
        <f t="shared" si="1"/>
        <v>83167875</v>
      </c>
    </row>
    <row r="12" spans="1:9" x14ac:dyDescent="0.2">
      <c r="A12" s="30">
        <v>45219</v>
      </c>
      <c r="B12" s="1" t="s">
        <v>113</v>
      </c>
      <c r="C12" s="38">
        <v>44958</v>
      </c>
      <c r="D12" s="3">
        <v>840</v>
      </c>
      <c r="E12" s="32">
        <v>45181</v>
      </c>
      <c r="F12" s="2">
        <v>939750</v>
      </c>
      <c r="G12" s="5">
        <v>1118.75</v>
      </c>
      <c r="H12" s="35">
        <f t="shared" si="0"/>
        <v>261</v>
      </c>
      <c r="I12" s="43">
        <f t="shared" si="1"/>
        <v>245274750</v>
      </c>
    </row>
    <row r="13" spans="1:9" x14ac:dyDescent="0.2">
      <c r="A13" s="30"/>
      <c r="B13" s="1" t="s">
        <v>144</v>
      </c>
      <c r="C13" s="38">
        <v>45181</v>
      </c>
      <c r="D13" s="3">
        <v>4000</v>
      </c>
      <c r="E13" s="32">
        <v>45181</v>
      </c>
      <c r="F13" s="2">
        <v>160</v>
      </c>
      <c r="G13" s="5">
        <v>0.04</v>
      </c>
      <c r="H13" s="35"/>
      <c r="I13" s="43">
        <f t="shared" si="1"/>
        <v>0</v>
      </c>
    </row>
    <row r="14" spans="1:9" x14ac:dyDescent="0.2">
      <c r="A14" s="30">
        <v>45495</v>
      </c>
      <c r="B14" s="1" t="s">
        <v>59</v>
      </c>
      <c r="C14" s="38">
        <v>45049</v>
      </c>
      <c r="D14" s="3">
        <v>3780</v>
      </c>
      <c r="E14" s="32">
        <v>45488</v>
      </c>
      <c r="F14" s="2">
        <v>54280.800000000003</v>
      </c>
      <c r="G14" s="5">
        <v>14.36</v>
      </c>
      <c r="H14" s="35">
        <f t="shared" si="0"/>
        <v>446</v>
      </c>
      <c r="I14" s="43">
        <f t="shared" si="1"/>
        <v>24209236.800000001</v>
      </c>
    </row>
    <row r="15" spans="1:9" x14ac:dyDescent="0.2">
      <c r="A15" s="30">
        <v>45329</v>
      </c>
      <c r="B15" s="1" t="s">
        <v>59</v>
      </c>
      <c r="C15" s="38">
        <v>45050</v>
      </c>
      <c r="D15" s="3">
        <v>3780</v>
      </c>
      <c r="E15" s="32">
        <v>45279</v>
      </c>
      <c r="F15" s="2">
        <v>54280.800000000003</v>
      </c>
      <c r="G15" s="5">
        <v>14.36</v>
      </c>
      <c r="H15" s="35">
        <f t="shared" si="0"/>
        <v>279</v>
      </c>
      <c r="I15" s="43">
        <f t="shared" si="1"/>
        <v>15144343.200000001</v>
      </c>
    </row>
    <row r="16" spans="1:9" x14ac:dyDescent="0.2">
      <c r="A16" s="30">
        <v>45233</v>
      </c>
      <c r="B16" s="1" t="s">
        <v>62</v>
      </c>
      <c r="C16" s="38">
        <v>44999</v>
      </c>
      <c r="D16" s="3">
        <v>1260</v>
      </c>
      <c r="E16" s="32">
        <v>44335</v>
      </c>
      <c r="F16" s="2">
        <v>273810.59999999998</v>
      </c>
      <c r="G16" s="5">
        <v>217.31</v>
      </c>
      <c r="H16" s="35">
        <f t="shared" si="0"/>
        <v>234</v>
      </c>
      <c r="I16" s="43">
        <f t="shared" si="1"/>
        <v>64071680.399999991</v>
      </c>
    </row>
    <row r="17" spans="1:9" x14ac:dyDescent="0.2">
      <c r="A17" s="30">
        <v>45226</v>
      </c>
      <c r="B17" s="1" t="s">
        <v>89</v>
      </c>
      <c r="C17" s="38">
        <v>45159</v>
      </c>
      <c r="D17" s="3">
        <v>70</v>
      </c>
      <c r="E17" s="32">
        <v>45131</v>
      </c>
      <c r="F17" s="2">
        <v>40355.699999999997</v>
      </c>
      <c r="G17" s="5">
        <v>576.51</v>
      </c>
      <c r="H17" s="35">
        <f t="shared" si="0"/>
        <v>67</v>
      </c>
      <c r="I17" s="43">
        <f t="shared" si="1"/>
        <v>2703831.9</v>
      </c>
    </row>
    <row r="18" spans="1:9" x14ac:dyDescent="0.2">
      <c r="A18" s="30">
        <v>45308</v>
      </c>
      <c r="B18" s="1" t="s">
        <v>89</v>
      </c>
      <c r="C18" s="38">
        <v>44956</v>
      </c>
      <c r="D18" s="3">
        <v>350</v>
      </c>
      <c r="E18" s="32">
        <v>45189</v>
      </c>
      <c r="F18" s="2">
        <v>201778.5</v>
      </c>
      <c r="G18" s="5">
        <v>576.51</v>
      </c>
      <c r="H18" s="35">
        <f t="shared" si="0"/>
        <v>352</v>
      </c>
      <c r="I18" s="43">
        <f t="shared" si="1"/>
        <v>71026032</v>
      </c>
    </row>
    <row r="19" spans="1:9" x14ac:dyDescent="0.2">
      <c r="A19" s="30">
        <v>45383</v>
      </c>
      <c r="B19" s="1" t="s">
        <v>64</v>
      </c>
      <c r="C19" s="38">
        <v>45055</v>
      </c>
      <c r="D19" s="3">
        <v>924</v>
      </c>
      <c r="E19" s="32">
        <v>44673</v>
      </c>
      <c r="F19" s="2">
        <v>140965.44</v>
      </c>
      <c r="G19" s="5">
        <v>152.56</v>
      </c>
      <c r="H19" s="35">
        <f t="shared" si="0"/>
        <v>328</v>
      </c>
      <c r="I19" s="43">
        <f t="shared" si="1"/>
        <v>46236664.32</v>
      </c>
    </row>
    <row r="20" spans="1:9" x14ac:dyDescent="0.2">
      <c r="A20" s="30">
        <v>45383</v>
      </c>
      <c r="B20" s="1" t="s">
        <v>64</v>
      </c>
      <c r="C20" s="38">
        <v>45055</v>
      </c>
      <c r="D20" s="3">
        <v>308</v>
      </c>
      <c r="E20" s="32">
        <v>45127</v>
      </c>
      <c r="F20" s="2">
        <v>46988.480000000003</v>
      </c>
      <c r="G20" s="5">
        <v>152.56</v>
      </c>
      <c r="H20" s="35">
        <f t="shared" si="0"/>
        <v>328</v>
      </c>
      <c r="I20" s="43">
        <f t="shared" si="1"/>
        <v>15412221.440000001</v>
      </c>
    </row>
    <row r="21" spans="1:9" x14ac:dyDescent="0.2">
      <c r="A21" s="30">
        <v>45383</v>
      </c>
      <c r="B21" s="1" t="s">
        <v>64</v>
      </c>
      <c r="C21" s="38">
        <v>45055</v>
      </c>
      <c r="D21" s="3">
        <v>1540</v>
      </c>
      <c r="E21" s="32">
        <v>45125</v>
      </c>
      <c r="F21" s="2">
        <v>234942.4</v>
      </c>
      <c r="G21" s="5">
        <v>152.56</v>
      </c>
      <c r="H21" s="35">
        <f t="shared" si="0"/>
        <v>328</v>
      </c>
      <c r="I21" s="43">
        <f t="shared" si="1"/>
        <v>77061107.200000003</v>
      </c>
    </row>
    <row r="22" spans="1:9" x14ac:dyDescent="0.2">
      <c r="A22" s="30">
        <v>45383</v>
      </c>
      <c r="B22" s="1" t="s">
        <v>64</v>
      </c>
      <c r="C22" s="38">
        <v>45055</v>
      </c>
      <c r="D22" s="3">
        <v>616</v>
      </c>
      <c r="E22" s="32">
        <v>44915</v>
      </c>
      <c r="F22" s="2">
        <v>93976.960000000006</v>
      </c>
      <c r="G22" s="5">
        <v>152.56</v>
      </c>
      <c r="H22" s="35">
        <f t="shared" si="0"/>
        <v>328</v>
      </c>
      <c r="I22" s="43">
        <f t="shared" si="1"/>
        <v>30824442.880000003</v>
      </c>
    </row>
    <row r="23" spans="1:9" x14ac:dyDescent="0.2">
      <c r="A23" s="30">
        <v>45383</v>
      </c>
      <c r="B23" s="1" t="s">
        <v>64</v>
      </c>
      <c r="C23" s="38">
        <v>45055</v>
      </c>
      <c r="D23" s="3">
        <v>924</v>
      </c>
      <c r="E23" s="32">
        <v>44882</v>
      </c>
      <c r="F23" s="2">
        <v>140965.44</v>
      </c>
      <c r="G23" s="5">
        <v>152.56</v>
      </c>
      <c r="H23" s="35">
        <f t="shared" si="0"/>
        <v>328</v>
      </c>
      <c r="I23" s="43">
        <f t="shared" si="1"/>
        <v>46236664.32</v>
      </c>
    </row>
    <row r="24" spans="1:9" x14ac:dyDescent="0.2">
      <c r="A24" s="30">
        <v>45383</v>
      </c>
      <c r="B24" s="1" t="s">
        <v>64</v>
      </c>
      <c r="C24" s="38">
        <v>45055</v>
      </c>
      <c r="D24" s="3">
        <v>3388</v>
      </c>
      <c r="E24" s="32">
        <v>44946</v>
      </c>
      <c r="F24" s="2">
        <v>516873.28</v>
      </c>
      <c r="G24" s="5">
        <v>152.56</v>
      </c>
      <c r="H24" s="35">
        <f t="shared" si="0"/>
        <v>328</v>
      </c>
      <c r="I24" s="43">
        <f t="shared" si="1"/>
        <v>169534435.84</v>
      </c>
    </row>
    <row r="25" spans="1:9" x14ac:dyDescent="0.2">
      <c r="A25" s="30">
        <v>45383</v>
      </c>
      <c r="B25" s="1" t="s">
        <v>64</v>
      </c>
      <c r="C25" s="38">
        <v>45055</v>
      </c>
      <c r="D25" s="3">
        <v>1232</v>
      </c>
      <c r="E25" s="32">
        <v>45273</v>
      </c>
      <c r="F25" s="2">
        <v>187953.92000000001</v>
      </c>
      <c r="G25" s="5">
        <v>152.56</v>
      </c>
      <c r="H25" s="35">
        <f t="shared" si="0"/>
        <v>328</v>
      </c>
      <c r="I25" s="43">
        <f t="shared" si="1"/>
        <v>61648885.760000005</v>
      </c>
    </row>
    <row r="26" spans="1:9" x14ac:dyDescent="0.2">
      <c r="A26" s="30">
        <v>45383</v>
      </c>
      <c r="B26" s="1" t="s">
        <v>64</v>
      </c>
      <c r="C26" s="38">
        <v>45055</v>
      </c>
      <c r="D26" s="3">
        <v>1848</v>
      </c>
      <c r="E26" s="32">
        <v>45127</v>
      </c>
      <c r="F26" s="2">
        <v>281930.88</v>
      </c>
      <c r="G26" s="5">
        <v>152.56</v>
      </c>
      <c r="H26" s="35">
        <f t="shared" si="0"/>
        <v>328</v>
      </c>
      <c r="I26" s="43">
        <f t="shared" si="1"/>
        <v>92473328.640000001</v>
      </c>
    </row>
    <row r="27" spans="1:9" x14ac:dyDescent="0.2">
      <c r="A27" s="30">
        <v>45383</v>
      </c>
      <c r="B27" s="1" t="s">
        <v>64</v>
      </c>
      <c r="C27" s="38">
        <v>45055</v>
      </c>
      <c r="D27" s="3">
        <v>1232</v>
      </c>
      <c r="E27" s="32">
        <v>45091</v>
      </c>
      <c r="F27" s="2">
        <v>187953.92000000001</v>
      </c>
      <c r="G27" s="5">
        <v>152.56</v>
      </c>
      <c r="H27" s="35">
        <f t="shared" si="0"/>
        <v>328</v>
      </c>
      <c r="I27" s="43">
        <f t="shared" si="1"/>
        <v>61648885.760000005</v>
      </c>
    </row>
    <row r="28" spans="1:9" x14ac:dyDescent="0.2">
      <c r="A28" s="30">
        <v>45383</v>
      </c>
      <c r="B28" s="1" t="s">
        <v>64</v>
      </c>
      <c r="C28" s="38">
        <v>45055</v>
      </c>
      <c r="D28" s="3">
        <v>1540</v>
      </c>
      <c r="E28" s="32">
        <v>45064</v>
      </c>
      <c r="F28" s="2">
        <v>234942.4</v>
      </c>
      <c r="G28" s="5">
        <v>152.56</v>
      </c>
      <c r="H28" s="35">
        <f t="shared" si="0"/>
        <v>328</v>
      </c>
      <c r="I28" s="43">
        <f t="shared" si="1"/>
        <v>77061107.200000003</v>
      </c>
    </row>
    <row r="29" spans="1:9" x14ac:dyDescent="0.2">
      <c r="A29" s="30">
        <v>45383</v>
      </c>
      <c r="B29" s="1" t="s">
        <v>64</v>
      </c>
      <c r="C29" s="38">
        <v>45055</v>
      </c>
      <c r="D29" s="3">
        <v>1232</v>
      </c>
      <c r="E29" s="32">
        <v>45275</v>
      </c>
      <c r="F29" s="2">
        <v>187953.92000000001</v>
      </c>
      <c r="G29" s="5">
        <v>152.56</v>
      </c>
      <c r="H29" s="35">
        <f t="shared" si="0"/>
        <v>328</v>
      </c>
      <c r="I29" s="43">
        <f t="shared" si="1"/>
        <v>61648885.760000005</v>
      </c>
    </row>
    <row r="30" spans="1:9" x14ac:dyDescent="0.2">
      <c r="A30" s="30">
        <v>45224</v>
      </c>
      <c r="B30" s="1" t="s">
        <v>90</v>
      </c>
      <c r="C30" s="38">
        <v>45180</v>
      </c>
      <c r="D30" s="3">
        <v>1300</v>
      </c>
      <c r="E30" s="32">
        <v>44725</v>
      </c>
      <c r="F30" s="2">
        <v>2080</v>
      </c>
      <c r="G30" s="5">
        <v>1.6</v>
      </c>
      <c r="H30" s="35">
        <f t="shared" si="0"/>
        <v>44</v>
      </c>
      <c r="I30" s="43">
        <f t="shared" si="1"/>
        <v>91520</v>
      </c>
    </row>
    <row r="31" spans="1:9" x14ac:dyDescent="0.2">
      <c r="A31" s="30">
        <v>45442</v>
      </c>
      <c r="B31" s="1" t="s">
        <v>91</v>
      </c>
      <c r="C31" s="38">
        <v>45159</v>
      </c>
      <c r="D31" s="3">
        <v>202370</v>
      </c>
      <c r="E31" s="32">
        <v>44607</v>
      </c>
      <c r="F31" s="2">
        <v>91066.5</v>
      </c>
      <c r="G31" s="5">
        <v>0.45</v>
      </c>
      <c r="H31" s="35">
        <f t="shared" si="0"/>
        <v>283</v>
      </c>
      <c r="I31" s="43">
        <f t="shared" si="1"/>
        <v>25771819.5</v>
      </c>
    </row>
    <row r="32" spans="1:9" x14ac:dyDescent="0.2">
      <c r="A32" s="30">
        <v>45660</v>
      </c>
      <c r="B32" s="1" t="s">
        <v>91</v>
      </c>
      <c r="C32" s="38">
        <v>44881</v>
      </c>
      <c r="D32" s="3">
        <v>2800</v>
      </c>
      <c r="E32" s="32">
        <v>44495</v>
      </c>
      <c r="F32" s="2">
        <v>1260</v>
      </c>
      <c r="G32" s="5">
        <v>0.45</v>
      </c>
      <c r="H32" s="35">
        <f t="shared" si="0"/>
        <v>779</v>
      </c>
      <c r="I32" s="43">
        <f t="shared" si="1"/>
        <v>981540</v>
      </c>
    </row>
    <row r="33" spans="1:9" x14ac:dyDescent="0.2">
      <c r="A33" s="30">
        <v>45212</v>
      </c>
      <c r="B33" s="1" t="s">
        <v>92</v>
      </c>
      <c r="C33" s="38">
        <v>45159</v>
      </c>
      <c r="D33" s="3">
        <v>1480</v>
      </c>
      <c r="E33" s="32">
        <v>45097</v>
      </c>
      <c r="F33" s="2">
        <v>3211.6</v>
      </c>
      <c r="G33" s="5">
        <v>2.17</v>
      </c>
      <c r="H33" s="35">
        <f t="shared" si="0"/>
        <v>53</v>
      </c>
      <c r="I33" s="43">
        <f t="shared" si="1"/>
        <v>170214.8</v>
      </c>
    </row>
    <row r="34" spans="1:9" x14ac:dyDescent="0.2">
      <c r="A34" s="30">
        <v>45230</v>
      </c>
      <c r="B34" s="1" t="s">
        <v>93</v>
      </c>
      <c r="C34" s="38">
        <v>45181</v>
      </c>
      <c r="D34" s="3">
        <v>20148</v>
      </c>
      <c r="E34" s="32">
        <v>44607</v>
      </c>
      <c r="F34" s="2">
        <v>310279.2</v>
      </c>
      <c r="G34" s="5">
        <v>15.4</v>
      </c>
      <c r="H34" s="35">
        <f t="shared" si="0"/>
        <v>49</v>
      </c>
      <c r="I34" s="43">
        <f t="shared" si="1"/>
        <v>15203680.800000001</v>
      </c>
    </row>
    <row r="35" spans="1:9" x14ac:dyDescent="0.2">
      <c r="A35" s="30">
        <v>45218</v>
      </c>
      <c r="B35" s="1" t="s">
        <v>67</v>
      </c>
      <c r="C35" s="38">
        <v>44837</v>
      </c>
      <c r="D35" s="3">
        <v>420</v>
      </c>
      <c r="E35" s="32">
        <v>45218</v>
      </c>
      <c r="F35" s="2">
        <v>4258.8</v>
      </c>
      <c r="G35" s="5">
        <v>10.14</v>
      </c>
      <c r="H35" s="35">
        <f t="shared" si="0"/>
        <v>381</v>
      </c>
      <c r="I35" s="43">
        <f t="shared" si="1"/>
        <v>1622602.8</v>
      </c>
    </row>
    <row r="36" spans="1:9" x14ac:dyDescent="0.2">
      <c r="A36" s="30">
        <v>45288</v>
      </c>
      <c r="B36" s="1" t="s">
        <v>67</v>
      </c>
      <c r="C36" s="38">
        <v>44908</v>
      </c>
      <c r="D36" s="3">
        <v>420</v>
      </c>
      <c r="E36" s="32">
        <v>45278</v>
      </c>
      <c r="F36" s="2">
        <v>4258.8</v>
      </c>
      <c r="G36" s="5">
        <v>10.14</v>
      </c>
      <c r="H36" s="35">
        <f t="shared" si="0"/>
        <v>380</v>
      </c>
      <c r="I36" s="43">
        <f t="shared" si="1"/>
        <v>1618344</v>
      </c>
    </row>
    <row r="37" spans="1:9" x14ac:dyDescent="0.2">
      <c r="A37" s="30">
        <v>45329</v>
      </c>
      <c r="B37" s="1" t="s">
        <v>67</v>
      </c>
      <c r="C37" s="38">
        <v>44971</v>
      </c>
      <c r="D37" s="3">
        <v>420</v>
      </c>
      <c r="E37" s="32">
        <v>45278</v>
      </c>
      <c r="F37" s="2">
        <v>4258.8</v>
      </c>
      <c r="G37" s="5">
        <v>10.14</v>
      </c>
      <c r="H37" s="35">
        <f t="shared" si="0"/>
        <v>358</v>
      </c>
      <c r="I37" s="43">
        <f t="shared" si="1"/>
        <v>1524650.4000000001</v>
      </c>
    </row>
    <row r="38" spans="1:9" x14ac:dyDescent="0.2">
      <c r="A38" s="30">
        <v>45233</v>
      </c>
      <c r="B38" s="1" t="s">
        <v>68</v>
      </c>
      <c r="C38" s="38">
        <v>45153</v>
      </c>
      <c r="D38" s="3">
        <v>1820</v>
      </c>
      <c r="E38" s="32">
        <v>44840</v>
      </c>
      <c r="F38" s="2">
        <v>4459</v>
      </c>
      <c r="G38" s="5">
        <v>2.4500000000000002</v>
      </c>
      <c r="H38" s="35">
        <f t="shared" si="0"/>
        <v>80</v>
      </c>
      <c r="I38" s="43">
        <f t="shared" si="1"/>
        <v>356720</v>
      </c>
    </row>
    <row r="39" spans="1:9" x14ac:dyDescent="0.2">
      <c r="A39" s="30">
        <v>45203</v>
      </c>
      <c r="B39" s="1" t="s">
        <v>68</v>
      </c>
      <c r="C39" s="38">
        <v>45181</v>
      </c>
      <c r="D39" s="3">
        <v>1820</v>
      </c>
      <c r="E39" s="32">
        <v>44652</v>
      </c>
      <c r="F39" s="2">
        <v>4459</v>
      </c>
      <c r="G39" s="5">
        <v>2.4500000000000002</v>
      </c>
      <c r="H39" s="35">
        <f t="shared" si="0"/>
        <v>22</v>
      </c>
      <c r="I39" s="43">
        <f t="shared" si="1"/>
        <v>98098</v>
      </c>
    </row>
    <row r="40" spans="1:9" x14ac:dyDescent="0.2">
      <c r="A40" s="30">
        <v>45278</v>
      </c>
      <c r="B40" s="1" t="s">
        <v>68</v>
      </c>
      <c r="C40" s="38">
        <v>44896</v>
      </c>
      <c r="D40" s="3">
        <v>1820</v>
      </c>
      <c r="E40" s="32">
        <v>45278</v>
      </c>
      <c r="F40" s="2">
        <v>4459</v>
      </c>
      <c r="G40" s="5">
        <v>2.4500000000000002</v>
      </c>
      <c r="H40" s="35">
        <f t="shared" si="0"/>
        <v>382</v>
      </c>
      <c r="I40" s="43">
        <f t="shared" si="1"/>
        <v>1703338</v>
      </c>
    </row>
    <row r="41" spans="1:9" x14ac:dyDescent="0.2">
      <c r="A41" s="30">
        <v>45286</v>
      </c>
      <c r="B41" s="1" t="s">
        <v>68</v>
      </c>
      <c r="C41" s="38">
        <v>44907</v>
      </c>
      <c r="D41" s="3">
        <v>1820</v>
      </c>
      <c r="E41" s="32">
        <v>45278</v>
      </c>
      <c r="F41" s="2">
        <v>4459</v>
      </c>
      <c r="G41" s="5">
        <v>2.4500000000000002</v>
      </c>
      <c r="H41" s="35">
        <f t="shared" si="0"/>
        <v>379</v>
      </c>
      <c r="I41" s="43">
        <f t="shared" si="1"/>
        <v>1689961</v>
      </c>
    </row>
    <row r="42" spans="1:9" x14ac:dyDescent="0.2">
      <c r="A42" s="30">
        <v>45317</v>
      </c>
      <c r="B42" s="1" t="s">
        <v>68</v>
      </c>
      <c r="C42" s="38">
        <v>44965</v>
      </c>
      <c r="D42" s="3">
        <v>1820</v>
      </c>
      <c r="E42" s="32">
        <v>45278</v>
      </c>
      <c r="F42" s="2">
        <v>4459</v>
      </c>
      <c r="G42" s="5">
        <v>2.4500000000000002</v>
      </c>
      <c r="H42" s="35">
        <f t="shared" si="0"/>
        <v>352</v>
      </c>
      <c r="I42" s="43">
        <f t="shared" si="1"/>
        <v>1569568</v>
      </c>
    </row>
    <row r="43" spans="1:9" x14ac:dyDescent="0.2">
      <c r="A43" s="30">
        <v>45365</v>
      </c>
      <c r="B43" s="1" t="s">
        <v>68</v>
      </c>
      <c r="C43" s="38">
        <v>45005</v>
      </c>
      <c r="D43" s="3">
        <v>1820</v>
      </c>
      <c r="E43" s="32">
        <v>45279</v>
      </c>
      <c r="F43" s="2">
        <v>4459</v>
      </c>
      <c r="G43" s="5">
        <v>2.4500000000000002</v>
      </c>
      <c r="H43" s="35">
        <f t="shared" si="0"/>
        <v>360</v>
      </c>
      <c r="I43" s="43">
        <f t="shared" si="1"/>
        <v>1605240</v>
      </c>
    </row>
    <row r="44" spans="1:9" x14ac:dyDescent="0.2">
      <c r="A44" s="30">
        <v>45372</v>
      </c>
      <c r="B44" s="1" t="s">
        <v>68</v>
      </c>
      <c r="C44" s="38">
        <v>45020</v>
      </c>
      <c r="D44" s="3">
        <v>1820</v>
      </c>
      <c r="E44" s="32">
        <v>45279</v>
      </c>
      <c r="F44" s="2">
        <v>4459</v>
      </c>
      <c r="G44" s="5">
        <v>2.4500000000000002</v>
      </c>
      <c r="H44" s="35">
        <f t="shared" si="0"/>
        <v>352</v>
      </c>
      <c r="I44" s="43">
        <f t="shared" si="1"/>
        <v>1569568</v>
      </c>
    </row>
    <row r="45" spans="1:9" x14ac:dyDescent="0.2">
      <c r="A45" s="30">
        <v>45383</v>
      </c>
      <c r="B45" s="1" t="s">
        <v>68</v>
      </c>
      <c r="C45" s="38">
        <v>45032</v>
      </c>
      <c r="D45" s="3">
        <v>3640</v>
      </c>
      <c r="E45" s="32">
        <v>45279</v>
      </c>
      <c r="F45" s="2">
        <v>8918</v>
      </c>
      <c r="G45" s="5">
        <v>2.4500000000000002</v>
      </c>
      <c r="H45" s="35">
        <f t="shared" si="0"/>
        <v>351</v>
      </c>
      <c r="I45" s="43">
        <f t="shared" si="1"/>
        <v>3130218</v>
      </c>
    </row>
    <row r="46" spans="1:9" x14ac:dyDescent="0.2">
      <c r="A46" s="30">
        <v>45203</v>
      </c>
      <c r="B46" s="1" t="s">
        <v>94</v>
      </c>
      <c r="C46" s="38">
        <v>45181</v>
      </c>
      <c r="D46" s="3">
        <v>1820</v>
      </c>
      <c r="E46" s="32">
        <v>44687</v>
      </c>
      <c r="F46" s="2">
        <v>4258.8</v>
      </c>
      <c r="G46" s="5">
        <v>2.34</v>
      </c>
      <c r="H46" s="35">
        <f t="shared" si="0"/>
        <v>22</v>
      </c>
      <c r="I46" s="43">
        <f t="shared" si="1"/>
        <v>93693.6</v>
      </c>
    </row>
    <row r="47" spans="1:9" x14ac:dyDescent="0.2">
      <c r="A47" s="30">
        <v>45203</v>
      </c>
      <c r="B47" s="1" t="s">
        <v>94</v>
      </c>
      <c r="C47" s="38">
        <v>45181</v>
      </c>
      <c r="D47" s="3">
        <v>1820</v>
      </c>
      <c r="E47" s="32">
        <v>44797</v>
      </c>
      <c r="F47" s="2">
        <v>4258.8</v>
      </c>
      <c r="G47" s="5">
        <v>2.34</v>
      </c>
      <c r="H47" s="35">
        <f t="shared" si="0"/>
        <v>22</v>
      </c>
      <c r="I47" s="43">
        <f t="shared" si="1"/>
        <v>93693.6</v>
      </c>
    </row>
    <row r="48" spans="1:9" x14ac:dyDescent="0.2">
      <c r="A48" s="30">
        <v>45231</v>
      </c>
      <c r="B48" s="1" t="s">
        <v>95</v>
      </c>
      <c r="C48" s="38">
        <v>45090</v>
      </c>
      <c r="D48" s="3">
        <v>89417</v>
      </c>
      <c r="E48" s="32">
        <v>44607</v>
      </c>
      <c r="F48" s="2">
        <v>495370.18</v>
      </c>
      <c r="G48" s="5">
        <v>5.54</v>
      </c>
      <c r="H48" s="35">
        <f t="shared" si="0"/>
        <v>141</v>
      </c>
      <c r="I48" s="43">
        <f t="shared" si="1"/>
        <v>69847195.379999995</v>
      </c>
    </row>
    <row r="49" spans="1:9" x14ac:dyDescent="0.2">
      <c r="A49" s="30">
        <v>45233</v>
      </c>
      <c r="B49" s="1" t="s">
        <v>96</v>
      </c>
      <c r="C49" s="38">
        <v>44787</v>
      </c>
      <c r="D49" s="3">
        <v>189</v>
      </c>
      <c r="E49" s="32">
        <v>44727</v>
      </c>
      <c r="F49" s="2">
        <v>6450.57</v>
      </c>
      <c r="G49" s="5">
        <v>34.130000000000003</v>
      </c>
      <c r="H49" s="35">
        <f t="shared" si="0"/>
        <v>446</v>
      </c>
      <c r="I49" s="43">
        <f t="shared" si="1"/>
        <v>2876954.2199999997</v>
      </c>
    </row>
    <row r="50" spans="1:9" x14ac:dyDescent="0.2">
      <c r="A50" s="30">
        <v>45209</v>
      </c>
      <c r="B50" s="1" t="s">
        <v>96</v>
      </c>
      <c r="C50" s="38">
        <v>45111</v>
      </c>
      <c r="D50" s="3">
        <v>189</v>
      </c>
      <c r="E50" s="32">
        <v>45174</v>
      </c>
      <c r="F50" s="2">
        <v>6450.57</v>
      </c>
      <c r="G50" s="5">
        <v>34.130000000000003</v>
      </c>
      <c r="H50" s="35">
        <f t="shared" si="0"/>
        <v>98</v>
      </c>
      <c r="I50" s="43">
        <f t="shared" si="1"/>
        <v>632155.86</v>
      </c>
    </row>
    <row r="51" spans="1:9" x14ac:dyDescent="0.2">
      <c r="A51" s="30">
        <v>45209</v>
      </c>
      <c r="B51" s="1" t="s">
        <v>96</v>
      </c>
      <c r="C51" s="38">
        <v>44824</v>
      </c>
      <c r="D51" s="3">
        <v>189</v>
      </c>
      <c r="E51" s="32">
        <v>45209</v>
      </c>
      <c r="F51" s="2">
        <v>6450.57</v>
      </c>
      <c r="G51" s="5">
        <v>34.130000000000003</v>
      </c>
      <c r="H51" s="35">
        <f t="shared" si="0"/>
        <v>385</v>
      </c>
      <c r="I51" s="43">
        <f t="shared" si="1"/>
        <v>2483469.4499999997</v>
      </c>
    </row>
    <row r="52" spans="1:9" x14ac:dyDescent="0.2">
      <c r="A52" s="30">
        <v>45216</v>
      </c>
      <c r="B52" s="1" t="s">
        <v>96</v>
      </c>
      <c r="C52" s="38">
        <v>45111</v>
      </c>
      <c r="D52" s="3">
        <v>189</v>
      </c>
      <c r="E52" s="32">
        <v>45181</v>
      </c>
      <c r="F52" s="2">
        <v>6450.57</v>
      </c>
      <c r="G52" s="5">
        <v>34.130000000000003</v>
      </c>
      <c r="H52" s="35">
        <f t="shared" si="0"/>
        <v>105</v>
      </c>
      <c r="I52" s="43">
        <f t="shared" si="1"/>
        <v>677309.85</v>
      </c>
    </row>
    <row r="53" spans="1:9" x14ac:dyDescent="0.2">
      <c r="A53" s="30">
        <v>45250</v>
      </c>
      <c r="B53" s="1" t="s">
        <v>96</v>
      </c>
      <c r="C53" s="38">
        <v>44896</v>
      </c>
      <c r="D53" s="3">
        <v>189</v>
      </c>
      <c r="E53" s="32">
        <v>45240</v>
      </c>
      <c r="F53" s="2">
        <v>6450.57</v>
      </c>
      <c r="G53" s="5">
        <v>34.130000000000003</v>
      </c>
      <c r="H53" s="35">
        <f t="shared" si="0"/>
        <v>354</v>
      </c>
      <c r="I53" s="43">
        <f t="shared" si="1"/>
        <v>2283501.7799999998</v>
      </c>
    </row>
    <row r="54" spans="1:9" x14ac:dyDescent="0.2">
      <c r="A54" s="30">
        <v>45233</v>
      </c>
      <c r="B54" s="1" t="s">
        <v>96</v>
      </c>
      <c r="C54" s="38">
        <v>45152</v>
      </c>
      <c r="D54" s="3">
        <v>378</v>
      </c>
      <c r="E54" s="32">
        <v>45191</v>
      </c>
      <c r="F54" s="2">
        <v>12901.14</v>
      </c>
      <c r="G54" s="5">
        <v>34.130000000000003</v>
      </c>
      <c r="H54" s="35">
        <f t="shared" si="0"/>
        <v>81</v>
      </c>
      <c r="I54" s="43">
        <f t="shared" si="1"/>
        <v>1044992.34</v>
      </c>
    </row>
    <row r="55" spans="1:9" x14ac:dyDescent="0.2">
      <c r="A55" s="30">
        <v>45303</v>
      </c>
      <c r="B55" s="1" t="s">
        <v>97</v>
      </c>
      <c r="C55" s="38">
        <v>44951</v>
      </c>
      <c r="D55" s="3">
        <v>84</v>
      </c>
      <c r="E55" s="32">
        <v>45278</v>
      </c>
      <c r="F55" s="2">
        <v>56066.64</v>
      </c>
      <c r="G55" s="5">
        <v>667.46</v>
      </c>
      <c r="H55" s="35">
        <f t="shared" si="0"/>
        <v>352</v>
      </c>
      <c r="I55" s="43">
        <f t="shared" si="1"/>
        <v>19735457.280000001</v>
      </c>
    </row>
    <row r="56" spans="1:9" x14ac:dyDescent="0.2">
      <c r="A56" s="30">
        <v>45385</v>
      </c>
      <c r="B56" s="1" t="s">
        <v>97</v>
      </c>
      <c r="C56" s="38">
        <v>45033</v>
      </c>
      <c r="D56" s="3">
        <v>84</v>
      </c>
      <c r="E56" s="32">
        <v>45279</v>
      </c>
      <c r="F56" s="2">
        <v>56066.64</v>
      </c>
      <c r="G56" s="5">
        <v>667.46</v>
      </c>
      <c r="H56" s="35">
        <f t="shared" si="0"/>
        <v>352</v>
      </c>
      <c r="I56" s="43">
        <f t="shared" si="1"/>
        <v>19735457.280000001</v>
      </c>
    </row>
    <row r="57" spans="1:9" x14ac:dyDescent="0.2">
      <c r="A57" s="30">
        <v>45191</v>
      </c>
      <c r="B57" s="1" t="s">
        <v>99</v>
      </c>
      <c r="C57" s="38">
        <v>44771</v>
      </c>
      <c r="D57" s="3">
        <v>437</v>
      </c>
      <c r="E57" s="32">
        <v>44797</v>
      </c>
      <c r="F57" s="2">
        <v>6157.33</v>
      </c>
      <c r="G57" s="5">
        <v>14.09</v>
      </c>
      <c r="H57" s="35">
        <f t="shared" si="0"/>
        <v>420</v>
      </c>
      <c r="I57" s="43">
        <f t="shared" si="1"/>
        <v>2586078.6</v>
      </c>
    </row>
    <row r="58" spans="1:9" x14ac:dyDescent="0.2">
      <c r="A58" s="30">
        <v>45191</v>
      </c>
      <c r="B58" s="1" t="s">
        <v>99</v>
      </c>
      <c r="C58" s="38">
        <v>44771</v>
      </c>
      <c r="D58" s="3">
        <v>229</v>
      </c>
      <c r="E58" s="32">
        <v>44834</v>
      </c>
      <c r="F58" s="2">
        <v>3226.61</v>
      </c>
      <c r="G58" s="5">
        <v>14.09</v>
      </c>
      <c r="H58" s="35">
        <f t="shared" si="0"/>
        <v>420</v>
      </c>
      <c r="I58" s="43">
        <f t="shared" si="1"/>
        <v>1355176.2</v>
      </c>
    </row>
    <row r="59" spans="1:9" x14ac:dyDescent="0.2">
      <c r="A59" s="30">
        <v>45191</v>
      </c>
      <c r="B59" s="1" t="s">
        <v>99</v>
      </c>
      <c r="C59" s="38">
        <v>44771</v>
      </c>
      <c r="D59" s="3">
        <v>229</v>
      </c>
      <c r="E59" s="32">
        <v>44834</v>
      </c>
      <c r="F59" s="2">
        <v>3226.61</v>
      </c>
      <c r="G59" s="5">
        <v>14.09</v>
      </c>
      <c r="H59" s="35">
        <f t="shared" si="0"/>
        <v>420</v>
      </c>
      <c r="I59" s="43">
        <f t="shared" si="1"/>
        <v>1355176.2</v>
      </c>
    </row>
    <row r="60" spans="1:9" x14ac:dyDescent="0.2">
      <c r="A60" s="30">
        <v>45219</v>
      </c>
      <c r="B60" s="1" t="s">
        <v>70</v>
      </c>
      <c r="C60" s="38">
        <v>44771</v>
      </c>
      <c r="D60" s="3">
        <v>1120</v>
      </c>
      <c r="E60" s="32">
        <v>45212</v>
      </c>
      <c r="F60" s="2">
        <v>60737.599999999999</v>
      </c>
      <c r="G60" s="5">
        <v>54.23</v>
      </c>
      <c r="H60" s="35">
        <f t="shared" si="0"/>
        <v>448</v>
      </c>
      <c r="I60" s="43">
        <f t="shared" si="1"/>
        <v>27210444.800000001</v>
      </c>
    </row>
    <row r="61" spans="1:9" x14ac:dyDescent="0.2">
      <c r="A61" s="30">
        <v>45212</v>
      </c>
      <c r="B61" s="1" t="s">
        <v>70</v>
      </c>
      <c r="C61" s="38">
        <v>45133</v>
      </c>
      <c r="D61" s="3">
        <v>2240</v>
      </c>
      <c r="E61" s="32">
        <v>45205</v>
      </c>
      <c r="F61" s="2">
        <v>121475.2</v>
      </c>
      <c r="G61" s="5">
        <v>54.23</v>
      </c>
      <c r="H61" s="35">
        <f t="shared" si="0"/>
        <v>79</v>
      </c>
      <c r="I61" s="43">
        <f t="shared" si="1"/>
        <v>9596540.7999999989</v>
      </c>
    </row>
    <row r="62" spans="1:9" x14ac:dyDescent="0.2">
      <c r="A62" s="30">
        <v>45208</v>
      </c>
      <c r="B62" s="1" t="s">
        <v>70</v>
      </c>
      <c r="C62" s="38">
        <v>44824</v>
      </c>
      <c r="D62" s="3">
        <v>2240</v>
      </c>
      <c r="E62" s="32">
        <v>45208</v>
      </c>
      <c r="F62" s="2">
        <v>121475.2</v>
      </c>
      <c r="G62" s="5">
        <v>54.23</v>
      </c>
      <c r="H62" s="35">
        <f t="shared" si="0"/>
        <v>384</v>
      </c>
      <c r="I62" s="43">
        <f t="shared" si="1"/>
        <v>46646476.799999997</v>
      </c>
    </row>
    <row r="63" spans="1:9" x14ac:dyDescent="0.2">
      <c r="A63" s="30">
        <v>45365</v>
      </c>
      <c r="B63" s="1" t="s">
        <v>70</v>
      </c>
      <c r="C63" s="38">
        <v>44838</v>
      </c>
      <c r="D63" s="3">
        <v>1120</v>
      </c>
      <c r="E63" s="32">
        <v>45365</v>
      </c>
      <c r="F63" s="2">
        <v>60737.599999999999</v>
      </c>
      <c r="G63" s="5">
        <v>54.23</v>
      </c>
      <c r="H63" s="35">
        <f t="shared" si="0"/>
        <v>527</v>
      </c>
      <c r="I63" s="43">
        <f t="shared" si="1"/>
        <v>32008715.199999999</v>
      </c>
    </row>
    <row r="64" spans="1:9" x14ac:dyDescent="0.2">
      <c r="A64" s="30">
        <v>45393</v>
      </c>
      <c r="B64" s="1" t="s">
        <v>70</v>
      </c>
      <c r="C64" s="38">
        <v>44846</v>
      </c>
      <c r="D64" s="3">
        <v>1120</v>
      </c>
      <c r="E64" s="32">
        <v>45393</v>
      </c>
      <c r="F64" s="2">
        <v>60737.599999999999</v>
      </c>
      <c r="G64" s="5">
        <v>54.23</v>
      </c>
      <c r="H64" s="35">
        <f t="shared" si="0"/>
        <v>547</v>
      </c>
      <c r="I64" s="43">
        <f t="shared" si="1"/>
        <v>33223467.199999999</v>
      </c>
    </row>
    <row r="65" spans="1:9" x14ac:dyDescent="0.2">
      <c r="A65" s="30">
        <v>45414</v>
      </c>
      <c r="B65" s="1" t="s">
        <v>70</v>
      </c>
      <c r="C65" s="38">
        <v>44846</v>
      </c>
      <c r="D65" s="3">
        <v>1120</v>
      </c>
      <c r="E65" s="32">
        <v>45414</v>
      </c>
      <c r="F65" s="2">
        <v>60737.599999999999</v>
      </c>
      <c r="G65" s="5">
        <v>54.23</v>
      </c>
      <c r="H65" s="35">
        <f t="shared" si="0"/>
        <v>568</v>
      </c>
      <c r="I65" s="43">
        <f t="shared" si="1"/>
        <v>34498956.799999997</v>
      </c>
    </row>
    <row r="66" spans="1:9" x14ac:dyDescent="0.2">
      <c r="A66" s="30">
        <v>45426</v>
      </c>
      <c r="B66" s="1" t="s">
        <v>70</v>
      </c>
      <c r="C66" s="38">
        <v>44965</v>
      </c>
      <c r="D66" s="3">
        <v>1120</v>
      </c>
      <c r="E66" s="32">
        <v>45426</v>
      </c>
      <c r="F66" s="2">
        <v>60737.599999999999</v>
      </c>
      <c r="G66" s="5">
        <v>54.23</v>
      </c>
      <c r="H66" s="35">
        <f t="shared" si="0"/>
        <v>461</v>
      </c>
      <c r="I66" s="43">
        <f t="shared" si="1"/>
        <v>28000033.599999998</v>
      </c>
    </row>
    <row r="67" spans="1:9" x14ac:dyDescent="0.2">
      <c r="A67" s="30">
        <v>45516</v>
      </c>
      <c r="B67" s="1" t="s">
        <v>70</v>
      </c>
      <c r="C67" s="38">
        <v>45051</v>
      </c>
      <c r="D67" s="3">
        <v>1120</v>
      </c>
      <c r="E67" s="32">
        <v>45516</v>
      </c>
      <c r="F67" s="2">
        <v>60737.599999999999</v>
      </c>
      <c r="G67" s="5">
        <v>54.23</v>
      </c>
      <c r="H67" s="35">
        <f t="shared" ref="H67:H130" si="2">IFERROR(A67-C67,"")</f>
        <v>465</v>
      </c>
      <c r="I67" s="43">
        <f t="shared" ref="I67:I130" si="3">H67*F67</f>
        <v>28242984</v>
      </c>
    </row>
    <row r="68" spans="1:9" x14ac:dyDescent="0.2">
      <c r="A68" s="30">
        <v>45586</v>
      </c>
      <c r="B68" s="1" t="s">
        <v>70</v>
      </c>
      <c r="C68" s="38">
        <v>45051</v>
      </c>
      <c r="D68" s="3">
        <v>1120</v>
      </c>
      <c r="E68" s="32">
        <v>45586</v>
      </c>
      <c r="F68" s="2">
        <v>60737.599999999999</v>
      </c>
      <c r="G68" s="5">
        <v>54.23</v>
      </c>
      <c r="H68" s="35">
        <f t="shared" si="2"/>
        <v>535</v>
      </c>
      <c r="I68" s="43">
        <f t="shared" si="3"/>
        <v>32494616</v>
      </c>
    </row>
    <row r="69" spans="1:9" x14ac:dyDescent="0.2">
      <c r="A69" s="30">
        <v>45446</v>
      </c>
      <c r="B69" s="1" t="s">
        <v>100</v>
      </c>
      <c r="C69" s="38">
        <v>45036</v>
      </c>
      <c r="D69" s="3">
        <v>630</v>
      </c>
      <c r="E69" s="32">
        <v>45446</v>
      </c>
      <c r="F69" s="2">
        <v>28967.4</v>
      </c>
      <c r="G69" s="5">
        <v>45.98</v>
      </c>
      <c r="H69" s="35">
        <f t="shared" si="2"/>
        <v>410</v>
      </c>
      <c r="I69" s="43">
        <f t="shared" si="3"/>
        <v>11876634</v>
      </c>
    </row>
    <row r="70" spans="1:9" x14ac:dyDescent="0.2">
      <c r="A70" s="30">
        <v>45303</v>
      </c>
      <c r="B70" s="1" t="s">
        <v>170</v>
      </c>
      <c r="C70" s="38">
        <v>45161</v>
      </c>
      <c r="D70" s="3">
        <v>1512</v>
      </c>
      <c r="E70" s="32">
        <v>44522</v>
      </c>
      <c r="F70" s="2">
        <v>444785.04</v>
      </c>
      <c r="G70" s="5">
        <v>294.17</v>
      </c>
      <c r="H70" s="35">
        <f t="shared" si="2"/>
        <v>142</v>
      </c>
      <c r="I70" s="43">
        <f t="shared" si="3"/>
        <v>63159475.68</v>
      </c>
    </row>
    <row r="71" spans="1:9" x14ac:dyDescent="0.2">
      <c r="A71" s="30">
        <v>45286</v>
      </c>
      <c r="B71" s="1" t="s">
        <v>75</v>
      </c>
      <c r="C71" s="38">
        <v>44907</v>
      </c>
      <c r="D71" s="3">
        <v>1176</v>
      </c>
      <c r="E71" s="32">
        <v>45278</v>
      </c>
      <c r="F71" s="2">
        <v>265235.03999999998</v>
      </c>
      <c r="G71" s="5">
        <v>225.54</v>
      </c>
      <c r="H71" s="35">
        <f t="shared" si="2"/>
        <v>379</v>
      </c>
      <c r="I71" s="43">
        <f t="shared" si="3"/>
        <v>100524080.16</v>
      </c>
    </row>
    <row r="72" spans="1:9" x14ac:dyDescent="0.2">
      <c r="A72" s="30">
        <v>45303</v>
      </c>
      <c r="B72" s="1" t="s">
        <v>101</v>
      </c>
      <c r="C72" s="38">
        <v>44951</v>
      </c>
      <c r="D72" s="3">
        <v>140</v>
      </c>
      <c r="E72" s="32">
        <v>45278</v>
      </c>
      <c r="F72" s="2">
        <v>68952.800000000003</v>
      </c>
      <c r="G72" s="5">
        <v>492.52</v>
      </c>
      <c r="H72" s="35">
        <f t="shared" si="2"/>
        <v>352</v>
      </c>
      <c r="I72" s="43">
        <f t="shared" si="3"/>
        <v>24271385.600000001</v>
      </c>
    </row>
    <row r="73" spans="1:9" x14ac:dyDescent="0.2">
      <c r="A73" s="30">
        <v>45327</v>
      </c>
      <c r="B73" s="1" t="s">
        <v>77</v>
      </c>
      <c r="C73" s="38">
        <v>45163</v>
      </c>
      <c r="D73" s="3">
        <v>1323</v>
      </c>
      <c r="E73" s="32">
        <v>45138</v>
      </c>
      <c r="F73" s="2">
        <v>437913</v>
      </c>
      <c r="G73" s="5">
        <v>331</v>
      </c>
      <c r="H73" s="35">
        <f t="shared" si="2"/>
        <v>164</v>
      </c>
      <c r="I73" s="43">
        <f t="shared" si="3"/>
        <v>71817732</v>
      </c>
    </row>
    <row r="74" spans="1:9" x14ac:dyDescent="0.2">
      <c r="A74" s="30">
        <v>45317</v>
      </c>
      <c r="B74" s="1" t="s">
        <v>102</v>
      </c>
      <c r="C74" s="38">
        <v>44978</v>
      </c>
      <c r="D74" s="3">
        <v>120</v>
      </c>
      <c r="E74" s="32">
        <v>44917</v>
      </c>
      <c r="F74" s="2">
        <v>24156</v>
      </c>
      <c r="G74" s="5">
        <v>201.3</v>
      </c>
      <c r="H74" s="35">
        <f t="shared" si="2"/>
        <v>339</v>
      </c>
      <c r="I74" s="43">
        <f t="shared" si="3"/>
        <v>8188884</v>
      </c>
    </row>
    <row r="75" spans="1:9" x14ac:dyDescent="0.2">
      <c r="A75" s="30">
        <v>45324</v>
      </c>
      <c r="B75" s="1" t="s">
        <v>102</v>
      </c>
      <c r="C75" s="38">
        <v>44978</v>
      </c>
      <c r="D75" s="3">
        <v>240</v>
      </c>
      <c r="E75" s="32">
        <v>45051</v>
      </c>
      <c r="F75" s="2">
        <v>48312</v>
      </c>
      <c r="G75" s="5">
        <v>201.3</v>
      </c>
      <c r="H75" s="35">
        <f t="shared" si="2"/>
        <v>346</v>
      </c>
      <c r="I75" s="43">
        <f t="shared" si="3"/>
        <v>16715952</v>
      </c>
    </row>
    <row r="76" spans="1:9" x14ac:dyDescent="0.2">
      <c r="A76" s="30">
        <v>45324</v>
      </c>
      <c r="B76" s="1" t="s">
        <v>102</v>
      </c>
      <c r="C76" s="38">
        <v>44978</v>
      </c>
      <c r="D76" s="3">
        <v>120</v>
      </c>
      <c r="E76" s="32">
        <v>45138</v>
      </c>
      <c r="F76" s="2">
        <v>24156</v>
      </c>
      <c r="G76" s="5">
        <v>201.3</v>
      </c>
      <c r="H76" s="35">
        <f t="shared" si="2"/>
        <v>346</v>
      </c>
      <c r="I76" s="43">
        <f t="shared" si="3"/>
        <v>8357976</v>
      </c>
    </row>
    <row r="77" spans="1:9" x14ac:dyDescent="0.2">
      <c r="A77" s="30">
        <v>45324</v>
      </c>
      <c r="B77" s="1" t="s">
        <v>102</v>
      </c>
      <c r="C77" s="38">
        <v>44978</v>
      </c>
      <c r="D77" s="3">
        <v>120</v>
      </c>
      <c r="E77" s="32">
        <v>45124</v>
      </c>
      <c r="F77" s="2">
        <v>24156</v>
      </c>
      <c r="G77" s="5">
        <v>201.3</v>
      </c>
      <c r="H77" s="35">
        <f t="shared" si="2"/>
        <v>346</v>
      </c>
      <c r="I77" s="43">
        <f t="shared" si="3"/>
        <v>8357976</v>
      </c>
    </row>
    <row r="78" spans="1:9" x14ac:dyDescent="0.2">
      <c r="A78" s="30">
        <v>45329</v>
      </c>
      <c r="B78" s="1" t="s">
        <v>102</v>
      </c>
      <c r="C78" s="38">
        <v>44978</v>
      </c>
      <c r="D78" s="3">
        <v>120</v>
      </c>
      <c r="E78" s="32">
        <v>45226</v>
      </c>
      <c r="F78" s="2">
        <v>24156</v>
      </c>
      <c r="G78" s="5">
        <v>201.3</v>
      </c>
      <c r="H78" s="35">
        <f t="shared" si="2"/>
        <v>351</v>
      </c>
      <c r="I78" s="43">
        <f t="shared" si="3"/>
        <v>8478756</v>
      </c>
    </row>
    <row r="79" spans="1:9" x14ac:dyDescent="0.2">
      <c r="A79" s="30">
        <v>45420</v>
      </c>
      <c r="B79" s="1" t="s">
        <v>102</v>
      </c>
      <c r="C79" s="38">
        <v>45067</v>
      </c>
      <c r="D79" s="3">
        <v>240</v>
      </c>
      <c r="E79" s="32">
        <v>45279</v>
      </c>
      <c r="F79" s="2">
        <v>48312</v>
      </c>
      <c r="G79" s="5">
        <v>201.3</v>
      </c>
      <c r="H79" s="35">
        <f t="shared" si="2"/>
        <v>353</v>
      </c>
      <c r="I79" s="43">
        <f t="shared" si="3"/>
        <v>17054136</v>
      </c>
    </row>
    <row r="80" spans="1:9" x14ac:dyDescent="0.2">
      <c r="A80" s="30">
        <v>45240</v>
      </c>
      <c r="B80" s="1" t="s">
        <v>103</v>
      </c>
      <c r="C80" s="38">
        <v>44978</v>
      </c>
      <c r="D80" s="3">
        <v>252</v>
      </c>
      <c r="E80" s="32">
        <v>44903</v>
      </c>
      <c r="F80" s="2">
        <v>17062.919999999998</v>
      </c>
      <c r="G80" s="5">
        <v>67.709999999999994</v>
      </c>
      <c r="H80" s="35">
        <f t="shared" si="2"/>
        <v>262</v>
      </c>
      <c r="I80" s="43">
        <f t="shared" si="3"/>
        <v>4470485.0399999991</v>
      </c>
    </row>
    <row r="81" spans="1:9" x14ac:dyDescent="0.2">
      <c r="A81" s="30">
        <v>45240</v>
      </c>
      <c r="B81" s="1" t="s">
        <v>103</v>
      </c>
      <c r="C81" s="38">
        <v>44978</v>
      </c>
      <c r="D81" s="3">
        <v>252</v>
      </c>
      <c r="E81" s="32">
        <v>45069</v>
      </c>
      <c r="F81" s="2">
        <v>17062.919999999998</v>
      </c>
      <c r="G81" s="5">
        <v>67.709999999999994</v>
      </c>
      <c r="H81" s="35">
        <f t="shared" si="2"/>
        <v>262</v>
      </c>
      <c r="I81" s="43">
        <f t="shared" si="3"/>
        <v>4470485.0399999991</v>
      </c>
    </row>
    <row r="82" spans="1:9" x14ac:dyDescent="0.2">
      <c r="A82" s="30">
        <v>45212</v>
      </c>
      <c r="B82" s="1" t="s">
        <v>103</v>
      </c>
      <c r="C82" s="38">
        <v>45159</v>
      </c>
      <c r="D82" s="3">
        <v>252</v>
      </c>
      <c r="E82" s="32">
        <v>45146</v>
      </c>
      <c r="F82" s="2">
        <v>17062.919999999998</v>
      </c>
      <c r="G82" s="5">
        <v>67.709999999999994</v>
      </c>
      <c r="H82" s="35">
        <f t="shared" si="2"/>
        <v>53</v>
      </c>
      <c r="I82" s="43">
        <f t="shared" si="3"/>
        <v>904334.75999999989</v>
      </c>
    </row>
    <row r="83" spans="1:9" x14ac:dyDescent="0.2">
      <c r="A83" s="30">
        <v>45419</v>
      </c>
      <c r="B83" s="1" t="s">
        <v>103</v>
      </c>
      <c r="C83" s="38">
        <v>45105</v>
      </c>
      <c r="D83" s="3">
        <v>252</v>
      </c>
      <c r="E83" s="32">
        <v>45412</v>
      </c>
      <c r="F83" s="2">
        <v>17062.919999999998</v>
      </c>
      <c r="G83" s="5">
        <v>67.709999999999994</v>
      </c>
      <c r="H83" s="35">
        <f t="shared" si="2"/>
        <v>314</v>
      </c>
      <c r="I83" s="43">
        <f t="shared" si="3"/>
        <v>5357756.88</v>
      </c>
    </row>
    <row r="84" spans="1:9" x14ac:dyDescent="0.2">
      <c r="A84" s="30">
        <v>45413</v>
      </c>
      <c r="B84" s="1" t="s">
        <v>103</v>
      </c>
      <c r="C84" s="38">
        <v>45123</v>
      </c>
      <c r="D84" s="3">
        <v>252</v>
      </c>
      <c r="E84" s="32">
        <v>45376</v>
      </c>
      <c r="F84" s="2">
        <v>17062.919999999998</v>
      </c>
      <c r="G84" s="5">
        <v>67.709999999999994</v>
      </c>
      <c r="H84" s="35">
        <f t="shared" si="2"/>
        <v>290</v>
      </c>
      <c r="I84" s="43">
        <f t="shared" si="3"/>
        <v>4948246.8</v>
      </c>
    </row>
    <row r="85" spans="1:9" x14ac:dyDescent="0.2">
      <c r="A85" s="30">
        <v>45419</v>
      </c>
      <c r="B85" s="1" t="s">
        <v>103</v>
      </c>
      <c r="C85" s="38">
        <v>45123</v>
      </c>
      <c r="D85" s="3">
        <v>252</v>
      </c>
      <c r="E85" s="32">
        <v>45419</v>
      </c>
      <c r="F85" s="2">
        <v>17062.919999999998</v>
      </c>
      <c r="G85" s="5">
        <v>67.709999999999994</v>
      </c>
      <c r="H85" s="35">
        <f t="shared" si="2"/>
        <v>296</v>
      </c>
      <c r="I85" s="43">
        <f t="shared" si="3"/>
        <v>5050624.3199999994</v>
      </c>
    </row>
    <row r="86" spans="1:9" x14ac:dyDescent="0.2">
      <c r="A86" s="30">
        <v>45245</v>
      </c>
      <c r="B86" s="1" t="s">
        <v>84</v>
      </c>
      <c r="C86" s="38">
        <v>44874</v>
      </c>
      <c r="D86" s="3">
        <v>588</v>
      </c>
      <c r="E86" s="32">
        <v>45245</v>
      </c>
      <c r="F86" s="2">
        <v>56565.599999999999</v>
      </c>
      <c r="G86" s="5">
        <v>96.2</v>
      </c>
      <c r="H86" s="35">
        <f t="shared" si="2"/>
        <v>371</v>
      </c>
      <c r="I86" s="43">
        <f t="shared" si="3"/>
        <v>20985837.599999998</v>
      </c>
    </row>
    <row r="87" spans="1:9" x14ac:dyDescent="0.2">
      <c r="A87" s="30">
        <v>45278</v>
      </c>
      <c r="B87" s="1" t="s">
        <v>84</v>
      </c>
      <c r="C87" s="38">
        <v>44910</v>
      </c>
      <c r="D87" s="3">
        <v>588</v>
      </c>
      <c r="E87" s="32">
        <v>45278</v>
      </c>
      <c r="F87" s="2">
        <v>56565.599999999999</v>
      </c>
      <c r="G87" s="5">
        <v>96.2</v>
      </c>
      <c r="H87" s="35">
        <f t="shared" si="2"/>
        <v>368</v>
      </c>
      <c r="I87" s="43">
        <f t="shared" si="3"/>
        <v>20816140.800000001</v>
      </c>
    </row>
    <row r="88" spans="1:9" x14ac:dyDescent="0.2">
      <c r="A88" s="30">
        <v>45293</v>
      </c>
      <c r="B88" s="1" t="s">
        <v>84</v>
      </c>
      <c r="C88" s="38">
        <v>44930</v>
      </c>
      <c r="D88" s="3">
        <v>1176</v>
      </c>
      <c r="E88" s="32">
        <v>45278</v>
      </c>
      <c r="F88" s="2">
        <v>113131.2</v>
      </c>
      <c r="G88" s="5">
        <v>96.2</v>
      </c>
      <c r="H88" s="35">
        <f t="shared" si="2"/>
        <v>363</v>
      </c>
      <c r="I88" s="43">
        <f t="shared" si="3"/>
        <v>41066625.600000001</v>
      </c>
    </row>
    <row r="89" spans="1:9" x14ac:dyDescent="0.2">
      <c r="A89" s="30">
        <v>45320</v>
      </c>
      <c r="B89" s="1" t="s">
        <v>84</v>
      </c>
      <c r="C89" s="38">
        <v>44965</v>
      </c>
      <c r="D89" s="3">
        <v>588</v>
      </c>
      <c r="E89" s="32">
        <v>45278</v>
      </c>
      <c r="F89" s="2">
        <v>56565.599999999999</v>
      </c>
      <c r="G89" s="5">
        <v>96.2</v>
      </c>
      <c r="H89" s="35">
        <f t="shared" si="2"/>
        <v>355</v>
      </c>
      <c r="I89" s="43">
        <f t="shared" si="3"/>
        <v>20080788</v>
      </c>
    </row>
    <row r="90" spans="1:9" x14ac:dyDescent="0.2">
      <c r="A90" s="30">
        <v>45383</v>
      </c>
      <c r="B90" s="1" t="s">
        <v>84</v>
      </c>
      <c r="C90" s="38">
        <v>45021</v>
      </c>
      <c r="D90" s="3">
        <v>588</v>
      </c>
      <c r="E90" s="32">
        <v>45279</v>
      </c>
      <c r="F90" s="2">
        <v>56565.599999999999</v>
      </c>
      <c r="G90" s="5">
        <v>96.2</v>
      </c>
      <c r="H90" s="35">
        <f t="shared" si="2"/>
        <v>362</v>
      </c>
      <c r="I90" s="43">
        <f t="shared" si="3"/>
        <v>20476747.199999999</v>
      </c>
    </row>
    <row r="91" spans="1:9" x14ac:dyDescent="0.2">
      <c r="A91" s="30">
        <v>45281</v>
      </c>
      <c r="B91" s="1" t="s">
        <v>104</v>
      </c>
      <c r="C91" s="38">
        <v>44929</v>
      </c>
      <c r="D91" s="3">
        <v>2520</v>
      </c>
      <c r="E91" s="32">
        <v>45040</v>
      </c>
      <c r="F91" s="2">
        <v>421419.6</v>
      </c>
      <c r="G91" s="5">
        <v>167.23</v>
      </c>
      <c r="H91" s="35">
        <f t="shared" si="2"/>
        <v>352</v>
      </c>
      <c r="I91" s="43">
        <f t="shared" si="3"/>
        <v>148339699.19999999</v>
      </c>
    </row>
    <row r="92" spans="1:9" x14ac:dyDescent="0.2">
      <c r="A92" s="30">
        <v>45212</v>
      </c>
      <c r="B92" s="1" t="s">
        <v>105</v>
      </c>
      <c r="C92" s="38">
        <v>45027</v>
      </c>
      <c r="D92" s="3">
        <v>21000</v>
      </c>
      <c r="E92" s="32">
        <v>45205</v>
      </c>
      <c r="F92" s="2">
        <v>2940</v>
      </c>
      <c r="G92" s="5">
        <v>0.14000000000000001</v>
      </c>
      <c r="H92" s="35">
        <f t="shared" si="2"/>
        <v>185</v>
      </c>
      <c r="I92" s="43">
        <f t="shared" si="3"/>
        <v>543900</v>
      </c>
    </row>
    <row r="93" spans="1:9" x14ac:dyDescent="0.2">
      <c r="A93" s="30">
        <v>45281</v>
      </c>
      <c r="B93" s="1" t="s">
        <v>106</v>
      </c>
      <c r="C93" s="38">
        <v>44945</v>
      </c>
      <c r="D93" s="3">
        <v>50</v>
      </c>
      <c r="E93" s="32">
        <v>45274</v>
      </c>
      <c r="F93" s="2">
        <v>174900</v>
      </c>
      <c r="G93" s="5">
        <v>3498</v>
      </c>
      <c r="H93" s="35">
        <f t="shared" si="2"/>
        <v>336</v>
      </c>
      <c r="I93" s="43">
        <f t="shared" si="3"/>
        <v>58766400</v>
      </c>
    </row>
    <row r="94" spans="1:9" x14ac:dyDescent="0.2">
      <c r="A94" s="30">
        <v>45281</v>
      </c>
      <c r="B94" s="1" t="s">
        <v>106</v>
      </c>
      <c r="C94" s="38">
        <v>44945</v>
      </c>
      <c r="D94" s="3">
        <v>150</v>
      </c>
      <c r="E94" s="32">
        <v>45274</v>
      </c>
      <c r="F94" s="2">
        <v>524700</v>
      </c>
      <c r="G94" s="5">
        <v>3498</v>
      </c>
      <c r="H94" s="35">
        <f t="shared" si="2"/>
        <v>336</v>
      </c>
      <c r="I94" s="43">
        <f t="shared" si="3"/>
        <v>176299200</v>
      </c>
    </row>
    <row r="95" spans="1:9" x14ac:dyDescent="0.2">
      <c r="A95" s="30">
        <v>45212</v>
      </c>
      <c r="B95" s="1" t="s">
        <v>106</v>
      </c>
      <c r="C95" s="38">
        <v>45159</v>
      </c>
      <c r="D95" s="3">
        <v>50</v>
      </c>
      <c r="E95" s="32">
        <v>45131</v>
      </c>
      <c r="F95" s="2">
        <v>174900</v>
      </c>
      <c r="G95" s="5">
        <v>3498</v>
      </c>
      <c r="H95" s="35">
        <f t="shared" si="2"/>
        <v>53</v>
      </c>
      <c r="I95" s="43">
        <f t="shared" si="3"/>
        <v>9269700</v>
      </c>
    </row>
    <row r="96" spans="1:9" x14ac:dyDescent="0.2">
      <c r="A96" s="30">
        <v>45289</v>
      </c>
      <c r="B96" s="1" t="s">
        <v>106</v>
      </c>
      <c r="C96" s="38">
        <v>44945</v>
      </c>
      <c r="D96" s="3">
        <v>50</v>
      </c>
      <c r="E96" s="32">
        <v>45278</v>
      </c>
      <c r="F96" s="2">
        <v>174900</v>
      </c>
      <c r="G96" s="5">
        <v>3498</v>
      </c>
      <c r="H96" s="35">
        <f t="shared" si="2"/>
        <v>344</v>
      </c>
      <c r="I96" s="43">
        <f t="shared" si="3"/>
        <v>60165600</v>
      </c>
    </row>
    <row r="97" spans="1:9" x14ac:dyDescent="0.2">
      <c r="A97" s="30">
        <v>45210</v>
      </c>
      <c r="B97" s="1" t="s">
        <v>108</v>
      </c>
      <c r="C97" s="38">
        <v>44886</v>
      </c>
      <c r="D97" s="3">
        <v>684</v>
      </c>
      <c r="E97" s="32">
        <v>45203</v>
      </c>
      <c r="F97" s="2">
        <v>476932.68</v>
      </c>
      <c r="G97" s="5">
        <v>697.27</v>
      </c>
      <c r="H97" s="35">
        <f t="shared" si="2"/>
        <v>324</v>
      </c>
      <c r="I97" s="43">
        <f t="shared" si="3"/>
        <v>154526188.31999999</v>
      </c>
    </row>
    <row r="98" spans="1:9" x14ac:dyDescent="0.2">
      <c r="A98" s="30">
        <v>45231</v>
      </c>
      <c r="B98" s="1" t="s">
        <v>108</v>
      </c>
      <c r="C98" s="38">
        <v>44886</v>
      </c>
      <c r="D98" s="3">
        <v>252</v>
      </c>
      <c r="E98" s="32">
        <v>45224</v>
      </c>
      <c r="F98" s="2">
        <v>175712.04</v>
      </c>
      <c r="G98" s="5">
        <v>697.27</v>
      </c>
      <c r="H98" s="35">
        <f t="shared" si="2"/>
        <v>345</v>
      </c>
      <c r="I98" s="43">
        <f t="shared" si="3"/>
        <v>60620653.800000004</v>
      </c>
    </row>
    <row r="99" spans="1:9" x14ac:dyDescent="0.2">
      <c r="A99" s="30">
        <v>45238</v>
      </c>
      <c r="B99" s="1" t="s">
        <v>108</v>
      </c>
      <c r="C99" s="38">
        <v>44886</v>
      </c>
      <c r="D99" s="3">
        <v>252</v>
      </c>
      <c r="E99" s="32">
        <v>45231</v>
      </c>
      <c r="F99" s="2">
        <v>175712.04</v>
      </c>
      <c r="G99" s="5">
        <v>697.27</v>
      </c>
      <c r="H99" s="35">
        <f t="shared" si="2"/>
        <v>352</v>
      </c>
      <c r="I99" s="43">
        <f t="shared" si="3"/>
        <v>61850638.080000006</v>
      </c>
    </row>
    <row r="100" spans="1:9" x14ac:dyDescent="0.2">
      <c r="A100" s="30">
        <v>45238</v>
      </c>
      <c r="B100" s="1" t="s">
        <v>108</v>
      </c>
      <c r="C100" s="38">
        <v>44886</v>
      </c>
      <c r="D100" s="3">
        <v>288</v>
      </c>
      <c r="E100" s="32">
        <v>45231</v>
      </c>
      <c r="F100" s="2">
        <v>200813.76</v>
      </c>
      <c r="G100" s="5">
        <v>697.27</v>
      </c>
      <c r="H100" s="35">
        <f t="shared" si="2"/>
        <v>352</v>
      </c>
      <c r="I100" s="43">
        <f t="shared" si="3"/>
        <v>70686443.520000011</v>
      </c>
    </row>
    <row r="101" spans="1:9" x14ac:dyDescent="0.2">
      <c r="A101" s="30">
        <v>45212</v>
      </c>
      <c r="B101" s="1" t="s">
        <v>108</v>
      </c>
      <c r="C101" s="38">
        <v>44886</v>
      </c>
      <c r="D101" s="3">
        <v>324</v>
      </c>
      <c r="E101" s="32">
        <v>45205</v>
      </c>
      <c r="F101" s="2">
        <v>225915.48</v>
      </c>
      <c r="G101" s="5">
        <v>697.27</v>
      </c>
      <c r="H101" s="35">
        <f t="shared" si="2"/>
        <v>326</v>
      </c>
      <c r="I101" s="43">
        <f t="shared" si="3"/>
        <v>73648446.480000004</v>
      </c>
    </row>
    <row r="102" spans="1:9" x14ac:dyDescent="0.2">
      <c r="A102" s="30">
        <v>45238</v>
      </c>
      <c r="B102" s="1" t="s">
        <v>108</v>
      </c>
      <c r="C102" s="38">
        <v>44886</v>
      </c>
      <c r="D102" s="3">
        <v>288</v>
      </c>
      <c r="E102" s="32">
        <v>45231</v>
      </c>
      <c r="F102" s="2">
        <v>200813.76</v>
      </c>
      <c r="G102" s="5">
        <v>697.27</v>
      </c>
      <c r="H102" s="35">
        <f t="shared" si="2"/>
        <v>352</v>
      </c>
      <c r="I102" s="43">
        <f t="shared" si="3"/>
        <v>70686443.520000011</v>
      </c>
    </row>
    <row r="103" spans="1:9" x14ac:dyDescent="0.2">
      <c r="A103" s="30">
        <v>45224</v>
      </c>
      <c r="B103" s="1" t="s">
        <v>108</v>
      </c>
      <c r="C103" s="38">
        <v>44886</v>
      </c>
      <c r="D103" s="3">
        <v>273</v>
      </c>
      <c r="E103" s="32">
        <v>45217</v>
      </c>
      <c r="F103" s="2">
        <v>190354.71</v>
      </c>
      <c r="G103" s="5">
        <v>697.27</v>
      </c>
      <c r="H103" s="35">
        <f t="shared" si="2"/>
        <v>338</v>
      </c>
      <c r="I103" s="43">
        <f t="shared" si="3"/>
        <v>64339891.979999997</v>
      </c>
    </row>
    <row r="104" spans="1:9" x14ac:dyDescent="0.2">
      <c r="A104" s="30">
        <v>45357</v>
      </c>
      <c r="B104" s="1" t="s">
        <v>108</v>
      </c>
      <c r="C104" s="38">
        <v>44886</v>
      </c>
      <c r="D104" s="3">
        <v>216</v>
      </c>
      <c r="E104" s="32">
        <v>45350</v>
      </c>
      <c r="F104" s="2">
        <v>150610.32</v>
      </c>
      <c r="G104" s="5">
        <v>697.27</v>
      </c>
      <c r="H104" s="35">
        <f t="shared" si="2"/>
        <v>471</v>
      </c>
      <c r="I104" s="43">
        <f t="shared" si="3"/>
        <v>70937460.719999999</v>
      </c>
    </row>
    <row r="105" spans="1:9" x14ac:dyDescent="0.2">
      <c r="A105" s="30">
        <v>45345</v>
      </c>
      <c r="B105" s="1" t="s">
        <v>108</v>
      </c>
      <c r="C105" s="38">
        <v>44886</v>
      </c>
      <c r="D105" s="3">
        <v>324</v>
      </c>
      <c r="E105" s="32">
        <v>45335</v>
      </c>
      <c r="F105" s="2">
        <v>225915.48</v>
      </c>
      <c r="G105" s="5">
        <v>697.27</v>
      </c>
      <c r="H105" s="35">
        <f t="shared" si="2"/>
        <v>459</v>
      </c>
      <c r="I105" s="43">
        <f t="shared" si="3"/>
        <v>103695205.32000001</v>
      </c>
    </row>
    <row r="106" spans="1:9" x14ac:dyDescent="0.2">
      <c r="A106" s="30">
        <v>45357</v>
      </c>
      <c r="B106" s="1" t="s">
        <v>108</v>
      </c>
      <c r="C106" s="38">
        <v>44886</v>
      </c>
      <c r="D106" s="3">
        <v>216</v>
      </c>
      <c r="E106" s="32">
        <v>45350</v>
      </c>
      <c r="F106" s="2">
        <v>150610.32</v>
      </c>
      <c r="G106" s="5">
        <v>697.27</v>
      </c>
      <c r="H106" s="35">
        <f t="shared" si="2"/>
        <v>471</v>
      </c>
      <c r="I106" s="43">
        <f t="shared" si="3"/>
        <v>70937460.719999999</v>
      </c>
    </row>
    <row r="107" spans="1:9" x14ac:dyDescent="0.2">
      <c r="A107" s="30">
        <v>45356</v>
      </c>
      <c r="B107" s="1" t="s">
        <v>108</v>
      </c>
      <c r="C107" s="38">
        <v>44886</v>
      </c>
      <c r="D107" s="3">
        <v>144</v>
      </c>
      <c r="E107" s="32">
        <v>45349</v>
      </c>
      <c r="F107" s="2">
        <v>100406.88</v>
      </c>
      <c r="G107" s="5">
        <v>697.27</v>
      </c>
      <c r="H107" s="35">
        <f t="shared" si="2"/>
        <v>470</v>
      </c>
      <c r="I107" s="43">
        <f t="shared" si="3"/>
        <v>47191233.600000001</v>
      </c>
    </row>
    <row r="108" spans="1:9" x14ac:dyDescent="0.2">
      <c r="A108" s="30">
        <v>45383</v>
      </c>
      <c r="B108" s="1" t="s">
        <v>108</v>
      </c>
      <c r="C108" s="38">
        <v>44886</v>
      </c>
      <c r="D108" s="3">
        <v>936</v>
      </c>
      <c r="E108" s="32">
        <v>45373</v>
      </c>
      <c r="F108" s="2">
        <v>652644.72</v>
      </c>
      <c r="G108" s="5">
        <v>697.27</v>
      </c>
      <c r="H108" s="35">
        <f t="shared" si="2"/>
        <v>497</v>
      </c>
      <c r="I108" s="43">
        <f t="shared" si="3"/>
        <v>324364425.83999997</v>
      </c>
    </row>
    <row r="109" spans="1:9" x14ac:dyDescent="0.2">
      <c r="A109" s="30">
        <v>45373</v>
      </c>
      <c r="B109" s="1" t="s">
        <v>108</v>
      </c>
      <c r="C109" s="38">
        <v>44886</v>
      </c>
      <c r="D109" s="3">
        <v>684</v>
      </c>
      <c r="E109" s="32">
        <v>45366</v>
      </c>
      <c r="F109" s="2">
        <v>476932.68</v>
      </c>
      <c r="G109" s="5">
        <v>697.27</v>
      </c>
      <c r="H109" s="35">
        <f t="shared" si="2"/>
        <v>487</v>
      </c>
      <c r="I109" s="43">
        <f t="shared" si="3"/>
        <v>232266215.16</v>
      </c>
    </row>
    <row r="110" spans="1:9" x14ac:dyDescent="0.2">
      <c r="A110" s="30">
        <v>45321</v>
      </c>
      <c r="B110" s="1" t="s">
        <v>108</v>
      </c>
      <c r="C110" s="38">
        <v>44886</v>
      </c>
      <c r="D110" s="3">
        <v>144</v>
      </c>
      <c r="E110" s="32">
        <v>45314</v>
      </c>
      <c r="F110" s="2">
        <v>100406.88</v>
      </c>
      <c r="G110" s="5">
        <v>697.27</v>
      </c>
      <c r="H110" s="35">
        <f t="shared" si="2"/>
        <v>435</v>
      </c>
      <c r="I110" s="43">
        <f t="shared" si="3"/>
        <v>43676992.800000004</v>
      </c>
    </row>
    <row r="111" spans="1:9" x14ac:dyDescent="0.2">
      <c r="A111" s="30">
        <v>45328</v>
      </c>
      <c r="B111" s="1" t="s">
        <v>108</v>
      </c>
      <c r="C111" s="38">
        <v>44886</v>
      </c>
      <c r="D111" s="3">
        <v>972</v>
      </c>
      <c r="E111" s="32">
        <v>45321</v>
      </c>
      <c r="F111" s="2">
        <v>677746.44</v>
      </c>
      <c r="G111" s="5">
        <v>697.27</v>
      </c>
      <c r="H111" s="35">
        <f t="shared" si="2"/>
        <v>442</v>
      </c>
      <c r="I111" s="43">
        <f t="shared" si="3"/>
        <v>299563926.47999996</v>
      </c>
    </row>
    <row r="112" spans="1:9" x14ac:dyDescent="0.2">
      <c r="A112" s="30">
        <v>45384</v>
      </c>
      <c r="B112" s="1" t="s">
        <v>108</v>
      </c>
      <c r="C112" s="38">
        <v>44886</v>
      </c>
      <c r="D112" s="3">
        <v>380</v>
      </c>
      <c r="E112" s="32">
        <v>45376</v>
      </c>
      <c r="F112" s="2">
        <v>264962.59999999998</v>
      </c>
      <c r="G112" s="5">
        <v>697.27</v>
      </c>
      <c r="H112" s="35">
        <f t="shared" si="2"/>
        <v>498</v>
      </c>
      <c r="I112" s="43">
        <f t="shared" si="3"/>
        <v>131951374.79999998</v>
      </c>
    </row>
    <row r="113" spans="1:9" x14ac:dyDescent="0.2">
      <c r="A113" s="30">
        <v>45401</v>
      </c>
      <c r="B113" s="1" t="s">
        <v>108</v>
      </c>
      <c r="C113" s="38">
        <v>44901</v>
      </c>
      <c r="D113" s="3">
        <v>396</v>
      </c>
      <c r="E113" s="32">
        <v>45394</v>
      </c>
      <c r="F113" s="2">
        <v>276118.92</v>
      </c>
      <c r="G113" s="5">
        <v>697.27</v>
      </c>
      <c r="H113" s="35">
        <f t="shared" si="2"/>
        <v>500</v>
      </c>
      <c r="I113" s="43">
        <f t="shared" si="3"/>
        <v>138059460</v>
      </c>
    </row>
    <row r="114" spans="1:9" x14ac:dyDescent="0.2">
      <c r="A114" s="30">
        <v>45408</v>
      </c>
      <c r="B114" s="1" t="s">
        <v>108</v>
      </c>
      <c r="C114" s="38">
        <v>44907</v>
      </c>
      <c r="D114" s="3">
        <v>72</v>
      </c>
      <c r="E114" s="32">
        <v>45408</v>
      </c>
      <c r="F114" s="2">
        <v>50203.44</v>
      </c>
      <c r="G114" s="5">
        <v>697.27</v>
      </c>
      <c r="H114" s="35">
        <f t="shared" si="2"/>
        <v>501</v>
      </c>
      <c r="I114" s="43">
        <f t="shared" si="3"/>
        <v>25151923.440000001</v>
      </c>
    </row>
    <row r="115" spans="1:9" x14ac:dyDescent="0.2">
      <c r="A115" s="30">
        <v>45289</v>
      </c>
      <c r="B115" s="1" t="s">
        <v>108</v>
      </c>
      <c r="C115" s="38">
        <v>44928</v>
      </c>
      <c r="D115" s="3">
        <v>1332</v>
      </c>
      <c r="E115" s="32">
        <v>45278</v>
      </c>
      <c r="F115" s="2">
        <v>928763.64</v>
      </c>
      <c r="G115" s="5">
        <v>697.27</v>
      </c>
      <c r="H115" s="35">
        <f t="shared" si="2"/>
        <v>361</v>
      </c>
      <c r="I115" s="43">
        <f t="shared" si="3"/>
        <v>335283674.04000002</v>
      </c>
    </row>
    <row r="116" spans="1:9" x14ac:dyDescent="0.2">
      <c r="A116" s="30">
        <v>45303</v>
      </c>
      <c r="B116" s="1" t="s">
        <v>108</v>
      </c>
      <c r="C116" s="38">
        <v>44945</v>
      </c>
      <c r="D116" s="3">
        <v>612</v>
      </c>
      <c r="E116" s="32">
        <v>45280</v>
      </c>
      <c r="F116" s="2">
        <v>426729.24</v>
      </c>
      <c r="G116" s="5">
        <v>697.27</v>
      </c>
      <c r="H116" s="35">
        <f t="shared" si="2"/>
        <v>358</v>
      </c>
      <c r="I116" s="43">
        <f t="shared" si="3"/>
        <v>152769067.91999999</v>
      </c>
    </row>
    <row r="117" spans="1:9" x14ac:dyDescent="0.2">
      <c r="A117" s="30">
        <v>45313</v>
      </c>
      <c r="B117" s="1" t="s">
        <v>108</v>
      </c>
      <c r="C117" s="38">
        <v>44952</v>
      </c>
      <c r="D117" s="3">
        <v>720</v>
      </c>
      <c r="E117" s="32">
        <v>45280</v>
      </c>
      <c r="F117" s="2">
        <v>502034.4</v>
      </c>
      <c r="G117" s="5">
        <v>697.27</v>
      </c>
      <c r="H117" s="35">
        <f t="shared" si="2"/>
        <v>361</v>
      </c>
      <c r="I117" s="43">
        <f t="shared" si="3"/>
        <v>181234418.40000001</v>
      </c>
    </row>
    <row r="118" spans="1:9" x14ac:dyDescent="0.2">
      <c r="A118" s="30">
        <v>45320</v>
      </c>
      <c r="B118" s="1" t="s">
        <v>108</v>
      </c>
      <c r="C118" s="38">
        <v>44965</v>
      </c>
      <c r="D118" s="3">
        <v>938</v>
      </c>
      <c r="E118" s="32">
        <v>45278</v>
      </c>
      <c r="F118" s="2">
        <v>654039.26</v>
      </c>
      <c r="G118" s="5">
        <v>697.27</v>
      </c>
      <c r="H118" s="35">
        <f t="shared" si="2"/>
        <v>355</v>
      </c>
      <c r="I118" s="43">
        <f t="shared" si="3"/>
        <v>232183937.30000001</v>
      </c>
    </row>
    <row r="119" spans="1:9" x14ac:dyDescent="0.2">
      <c r="A119" s="30">
        <v>45313</v>
      </c>
      <c r="B119" s="1" t="s">
        <v>108</v>
      </c>
      <c r="C119" s="38">
        <v>44958</v>
      </c>
      <c r="D119" s="3">
        <v>612</v>
      </c>
      <c r="E119" s="32">
        <v>45280</v>
      </c>
      <c r="F119" s="2">
        <v>426729.24</v>
      </c>
      <c r="G119" s="5">
        <v>697.27</v>
      </c>
      <c r="H119" s="35">
        <f t="shared" si="2"/>
        <v>355</v>
      </c>
      <c r="I119" s="43">
        <f t="shared" si="3"/>
        <v>151488880.19999999</v>
      </c>
    </row>
    <row r="120" spans="1:9" x14ac:dyDescent="0.2">
      <c r="A120" s="30">
        <v>45342</v>
      </c>
      <c r="B120" s="1" t="s">
        <v>108</v>
      </c>
      <c r="C120" s="38">
        <v>44986</v>
      </c>
      <c r="D120" s="3">
        <v>1000</v>
      </c>
      <c r="E120" s="32">
        <v>45278</v>
      </c>
      <c r="F120" s="2">
        <v>697270</v>
      </c>
      <c r="G120" s="5">
        <v>697.27</v>
      </c>
      <c r="H120" s="35">
        <f t="shared" si="2"/>
        <v>356</v>
      </c>
      <c r="I120" s="43">
        <f t="shared" si="3"/>
        <v>248228120</v>
      </c>
    </row>
    <row r="121" spans="1:9" x14ac:dyDescent="0.2">
      <c r="A121" s="30">
        <v>45596</v>
      </c>
      <c r="B121" s="1" t="s">
        <v>109</v>
      </c>
      <c r="C121" s="38">
        <v>44945</v>
      </c>
      <c r="D121" s="3">
        <v>84</v>
      </c>
      <c r="E121" s="32">
        <v>45589</v>
      </c>
      <c r="F121" s="2">
        <v>67692.240000000005</v>
      </c>
      <c r="G121" s="5">
        <v>805.86</v>
      </c>
      <c r="H121" s="35">
        <f t="shared" si="2"/>
        <v>651</v>
      </c>
      <c r="I121" s="43">
        <f t="shared" si="3"/>
        <v>44067648.240000002</v>
      </c>
    </row>
    <row r="122" spans="1:9" x14ac:dyDescent="0.2">
      <c r="A122" s="30">
        <v>45303</v>
      </c>
      <c r="B122" s="1" t="s">
        <v>51</v>
      </c>
      <c r="C122" s="38">
        <v>45131</v>
      </c>
      <c r="D122" s="3">
        <v>142240</v>
      </c>
      <c r="E122" s="32">
        <v>44903</v>
      </c>
      <c r="F122" s="2">
        <v>1819249.6</v>
      </c>
      <c r="G122" s="5">
        <v>12.79</v>
      </c>
      <c r="H122" s="35">
        <f t="shared" si="2"/>
        <v>172</v>
      </c>
      <c r="I122" s="43">
        <f t="shared" si="3"/>
        <v>312910931.19999999</v>
      </c>
    </row>
    <row r="123" spans="1:9" x14ac:dyDescent="0.2">
      <c r="A123" s="30">
        <v>45212</v>
      </c>
      <c r="B123" s="1" t="s">
        <v>51</v>
      </c>
      <c r="C123" s="38">
        <v>45131</v>
      </c>
      <c r="D123" s="3">
        <v>5600</v>
      </c>
      <c r="E123" s="32">
        <v>44903</v>
      </c>
      <c r="F123" s="2">
        <v>71624</v>
      </c>
      <c r="G123" s="5">
        <v>12.79</v>
      </c>
      <c r="H123" s="35">
        <f t="shared" si="2"/>
        <v>81</v>
      </c>
      <c r="I123" s="43">
        <f t="shared" si="3"/>
        <v>5801544</v>
      </c>
    </row>
    <row r="124" spans="1:9" x14ac:dyDescent="0.2">
      <c r="A124" s="30">
        <v>45212</v>
      </c>
      <c r="B124" s="1" t="s">
        <v>51</v>
      </c>
      <c r="C124" s="38">
        <v>45131</v>
      </c>
      <c r="D124" s="3">
        <v>95200</v>
      </c>
      <c r="E124" s="32">
        <v>44869</v>
      </c>
      <c r="F124" s="2">
        <v>1217608</v>
      </c>
      <c r="G124" s="5">
        <v>12.79</v>
      </c>
      <c r="H124" s="35">
        <f t="shared" si="2"/>
        <v>81</v>
      </c>
      <c r="I124" s="43">
        <f t="shared" si="3"/>
        <v>98626248</v>
      </c>
    </row>
    <row r="125" spans="1:9" x14ac:dyDescent="0.2">
      <c r="A125" s="30">
        <v>45212</v>
      </c>
      <c r="B125" s="1" t="s">
        <v>51</v>
      </c>
      <c r="C125" s="38">
        <v>45175</v>
      </c>
      <c r="D125" s="3">
        <v>6823</v>
      </c>
      <c r="E125" s="32">
        <v>44861</v>
      </c>
      <c r="F125" s="2">
        <v>87266.17</v>
      </c>
      <c r="G125" s="5">
        <v>12.79</v>
      </c>
      <c r="H125" s="35">
        <f t="shared" si="2"/>
        <v>37</v>
      </c>
      <c r="I125" s="43">
        <f t="shared" si="3"/>
        <v>3228848.29</v>
      </c>
    </row>
    <row r="126" spans="1:9" x14ac:dyDescent="0.2">
      <c r="A126" s="30">
        <v>45303</v>
      </c>
      <c r="B126" s="1" t="s">
        <v>51</v>
      </c>
      <c r="C126" s="38">
        <v>45131</v>
      </c>
      <c r="D126" s="3">
        <v>104160</v>
      </c>
      <c r="E126" s="32">
        <v>44966</v>
      </c>
      <c r="F126" s="2">
        <v>1332206.3999999999</v>
      </c>
      <c r="G126" s="5">
        <v>12.79</v>
      </c>
      <c r="H126" s="35">
        <f t="shared" si="2"/>
        <v>172</v>
      </c>
      <c r="I126" s="43">
        <f t="shared" si="3"/>
        <v>229139500.79999998</v>
      </c>
    </row>
    <row r="127" spans="1:9" x14ac:dyDescent="0.2">
      <c r="A127" s="30">
        <v>45212</v>
      </c>
      <c r="B127" s="1" t="s">
        <v>51</v>
      </c>
      <c r="C127" s="38">
        <v>45131</v>
      </c>
      <c r="D127" s="3">
        <v>50000</v>
      </c>
      <c r="E127" s="32">
        <v>44694</v>
      </c>
      <c r="F127" s="2">
        <v>639500</v>
      </c>
      <c r="G127" s="5">
        <v>12.79</v>
      </c>
      <c r="H127" s="35">
        <f t="shared" si="2"/>
        <v>81</v>
      </c>
      <c r="I127" s="43">
        <f t="shared" si="3"/>
        <v>51799500</v>
      </c>
    </row>
    <row r="128" spans="1:9" x14ac:dyDescent="0.2">
      <c r="A128" s="30">
        <v>45303</v>
      </c>
      <c r="B128" s="1" t="s">
        <v>51</v>
      </c>
      <c r="C128" s="38">
        <v>45131</v>
      </c>
      <c r="D128" s="3">
        <v>17920</v>
      </c>
      <c r="E128" s="32">
        <v>45001</v>
      </c>
      <c r="F128" s="2">
        <v>229196.79999999999</v>
      </c>
      <c r="G128" s="5">
        <v>12.79</v>
      </c>
      <c r="H128" s="35">
        <f t="shared" si="2"/>
        <v>172</v>
      </c>
      <c r="I128" s="43">
        <f t="shared" si="3"/>
        <v>39421849.600000001</v>
      </c>
    </row>
    <row r="129" spans="1:9" x14ac:dyDescent="0.2">
      <c r="A129" s="30">
        <v>45303</v>
      </c>
      <c r="B129" s="1" t="s">
        <v>51</v>
      </c>
      <c r="C129" s="38">
        <v>45131</v>
      </c>
      <c r="D129" s="3">
        <v>28753</v>
      </c>
      <c r="E129" s="32">
        <v>45037</v>
      </c>
      <c r="F129" s="2">
        <v>367750.87</v>
      </c>
      <c r="G129" s="5">
        <v>12.79</v>
      </c>
      <c r="H129" s="35">
        <f t="shared" si="2"/>
        <v>172</v>
      </c>
      <c r="I129" s="43">
        <f t="shared" si="3"/>
        <v>63253149.640000001</v>
      </c>
    </row>
    <row r="130" spans="1:9" x14ac:dyDescent="0.2">
      <c r="A130" s="30">
        <v>45303</v>
      </c>
      <c r="B130" s="1" t="s">
        <v>51</v>
      </c>
      <c r="C130" s="38">
        <v>45131</v>
      </c>
      <c r="D130" s="3">
        <v>94080</v>
      </c>
      <c r="E130" s="32">
        <v>44973</v>
      </c>
      <c r="F130" s="2">
        <v>1203283.2</v>
      </c>
      <c r="G130" s="5">
        <v>12.79</v>
      </c>
      <c r="H130" s="35">
        <f t="shared" si="2"/>
        <v>172</v>
      </c>
      <c r="I130" s="43">
        <f t="shared" si="3"/>
        <v>206964710.40000001</v>
      </c>
    </row>
    <row r="131" spans="1:9" x14ac:dyDescent="0.2">
      <c r="A131" s="30">
        <v>45303</v>
      </c>
      <c r="B131" s="1" t="s">
        <v>51</v>
      </c>
      <c r="C131" s="38">
        <v>45131</v>
      </c>
      <c r="D131" s="3">
        <v>50000</v>
      </c>
      <c r="E131" s="32">
        <v>44694</v>
      </c>
      <c r="F131" s="2">
        <v>639500</v>
      </c>
      <c r="G131" s="5">
        <v>12.79</v>
      </c>
      <c r="H131" s="35">
        <f t="shared" ref="H131:H194" si="4">IFERROR(A131-C131,"")</f>
        <v>172</v>
      </c>
      <c r="I131" s="43">
        <f t="shared" ref="I131:I194" si="5">H131*F131</f>
        <v>109994000</v>
      </c>
    </row>
    <row r="132" spans="1:9" x14ac:dyDescent="0.2">
      <c r="A132" s="30">
        <v>45212</v>
      </c>
      <c r="B132" s="1" t="s">
        <v>51</v>
      </c>
      <c r="C132" s="38">
        <v>45131</v>
      </c>
      <c r="D132" s="3">
        <v>104160</v>
      </c>
      <c r="E132" s="32">
        <v>45114</v>
      </c>
      <c r="F132" s="2">
        <v>1332206.3999999999</v>
      </c>
      <c r="G132" s="5">
        <v>12.79</v>
      </c>
      <c r="H132" s="35">
        <f t="shared" si="4"/>
        <v>81</v>
      </c>
      <c r="I132" s="43">
        <f t="shared" si="5"/>
        <v>107908718.39999999</v>
      </c>
    </row>
    <row r="133" spans="1:9" x14ac:dyDescent="0.2">
      <c r="A133" s="30">
        <v>45303</v>
      </c>
      <c r="B133" s="1" t="s">
        <v>51</v>
      </c>
      <c r="C133" s="38">
        <v>45131</v>
      </c>
      <c r="D133" s="3">
        <v>7000</v>
      </c>
      <c r="E133" s="32">
        <v>44904</v>
      </c>
      <c r="F133" s="2">
        <v>89530</v>
      </c>
      <c r="G133" s="5">
        <v>12.79</v>
      </c>
      <c r="H133" s="35">
        <f t="shared" si="4"/>
        <v>172</v>
      </c>
      <c r="I133" s="43">
        <f t="shared" si="5"/>
        <v>15399160</v>
      </c>
    </row>
    <row r="134" spans="1:9" x14ac:dyDescent="0.2">
      <c r="A134" s="30">
        <v>45212</v>
      </c>
      <c r="B134" s="1" t="s">
        <v>51</v>
      </c>
      <c r="C134" s="38">
        <v>45131</v>
      </c>
      <c r="D134" s="3">
        <v>50400</v>
      </c>
      <c r="E134" s="32">
        <v>45093</v>
      </c>
      <c r="F134" s="2">
        <v>644616</v>
      </c>
      <c r="G134" s="5">
        <v>12.79</v>
      </c>
      <c r="H134" s="35">
        <f t="shared" si="4"/>
        <v>81</v>
      </c>
      <c r="I134" s="43">
        <f t="shared" si="5"/>
        <v>52213896</v>
      </c>
    </row>
    <row r="135" spans="1:9" x14ac:dyDescent="0.2">
      <c r="A135" s="30">
        <v>45212</v>
      </c>
      <c r="B135" s="1" t="s">
        <v>51</v>
      </c>
      <c r="C135" s="38">
        <v>45131</v>
      </c>
      <c r="D135" s="3">
        <v>104160</v>
      </c>
      <c r="E135" s="32">
        <v>45134</v>
      </c>
      <c r="F135" s="2">
        <v>1332206.3999999999</v>
      </c>
      <c r="G135" s="5">
        <v>12.79</v>
      </c>
      <c r="H135" s="35">
        <f t="shared" si="4"/>
        <v>81</v>
      </c>
      <c r="I135" s="43">
        <f t="shared" si="5"/>
        <v>107908718.39999999</v>
      </c>
    </row>
    <row r="136" spans="1:9" x14ac:dyDescent="0.2">
      <c r="A136" s="30">
        <v>45394</v>
      </c>
      <c r="B136" s="1" t="s">
        <v>51</v>
      </c>
      <c r="C136" s="38">
        <v>45089</v>
      </c>
      <c r="D136" s="3">
        <v>104160</v>
      </c>
      <c r="E136" s="32">
        <v>45141</v>
      </c>
      <c r="F136" s="2">
        <v>1332206.3999999999</v>
      </c>
      <c r="G136" s="5">
        <v>12.79</v>
      </c>
      <c r="H136" s="35">
        <f t="shared" si="4"/>
        <v>305</v>
      </c>
      <c r="I136" s="43">
        <f t="shared" si="5"/>
        <v>406322952</v>
      </c>
    </row>
    <row r="137" spans="1:9" x14ac:dyDescent="0.2">
      <c r="A137" s="30">
        <v>45212</v>
      </c>
      <c r="B137" s="1" t="s">
        <v>52</v>
      </c>
      <c r="C137" s="38">
        <v>45131</v>
      </c>
      <c r="D137" s="3">
        <v>18488</v>
      </c>
      <c r="E137" s="32">
        <v>45121</v>
      </c>
      <c r="F137" s="2">
        <v>236461.52</v>
      </c>
      <c r="G137" s="5">
        <v>12.79</v>
      </c>
      <c r="H137" s="35">
        <f t="shared" si="4"/>
        <v>81</v>
      </c>
      <c r="I137" s="43">
        <f t="shared" si="5"/>
        <v>19153383.119999997</v>
      </c>
    </row>
    <row r="138" spans="1:9" x14ac:dyDescent="0.2">
      <c r="A138" s="30">
        <v>45212</v>
      </c>
      <c r="B138" s="1" t="s">
        <v>52</v>
      </c>
      <c r="C138" s="38">
        <v>45131</v>
      </c>
      <c r="D138" s="3">
        <v>36000</v>
      </c>
      <c r="E138" s="32">
        <v>44945</v>
      </c>
      <c r="F138" s="2">
        <v>460440</v>
      </c>
      <c r="G138" s="5">
        <v>12.79</v>
      </c>
      <c r="H138" s="35">
        <f t="shared" si="4"/>
        <v>81</v>
      </c>
      <c r="I138" s="43">
        <f t="shared" si="5"/>
        <v>37295640</v>
      </c>
    </row>
    <row r="139" spans="1:9" x14ac:dyDescent="0.2">
      <c r="A139" s="30">
        <v>45212</v>
      </c>
      <c r="B139" s="1" t="s">
        <v>52</v>
      </c>
      <c r="C139" s="38">
        <v>45131</v>
      </c>
      <c r="D139" s="3">
        <v>52640</v>
      </c>
      <c r="E139" s="32">
        <v>44945</v>
      </c>
      <c r="F139" s="2">
        <v>673265.6</v>
      </c>
      <c r="G139" s="5">
        <v>12.79</v>
      </c>
      <c r="H139" s="35">
        <f t="shared" si="4"/>
        <v>81</v>
      </c>
      <c r="I139" s="43">
        <f t="shared" si="5"/>
        <v>54534513.600000001</v>
      </c>
    </row>
    <row r="140" spans="1:9" x14ac:dyDescent="0.2">
      <c r="A140" s="30">
        <v>45303</v>
      </c>
      <c r="B140" s="1" t="s">
        <v>52</v>
      </c>
      <c r="C140" s="38">
        <v>45131</v>
      </c>
      <c r="D140" s="3">
        <v>26880</v>
      </c>
      <c r="E140" s="32">
        <v>44897</v>
      </c>
      <c r="F140" s="2">
        <v>343795.20000000001</v>
      </c>
      <c r="G140" s="5">
        <v>12.79</v>
      </c>
      <c r="H140" s="35">
        <f t="shared" si="4"/>
        <v>172</v>
      </c>
      <c r="I140" s="43">
        <f t="shared" si="5"/>
        <v>59132774.399999999</v>
      </c>
    </row>
    <row r="141" spans="1:9" x14ac:dyDescent="0.2">
      <c r="A141" s="30">
        <v>45303</v>
      </c>
      <c r="B141" s="1" t="s">
        <v>52</v>
      </c>
      <c r="C141" s="38">
        <v>45131</v>
      </c>
      <c r="D141" s="3">
        <v>51520</v>
      </c>
      <c r="E141" s="32">
        <v>44966</v>
      </c>
      <c r="F141" s="2">
        <v>658940.80000000005</v>
      </c>
      <c r="G141" s="5">
        <v>12.79</v>
      </c>
      <c r="H141" s="35">
        <f t="shared" si="4"/>
        <v>172</v>
      </c>
      <c r="I141" s="43">
        <f t="shared" si="5"/>
        <v>113337817.60000001</v>
      </c>
    </row>
    <row r="142" spans="1:9" x14ac:dyDescent="0.2">
      <c r="A142" s="30">
        <v>45303</v>
      </c>
      <c r="B142" s="1" t="s">
        <v>52</v>
      </c>
      <c r="C142" s="38">
        <v>45131</v>
      </c>
      <c r="D142" s="3">
        <v>100800</v>
      </c>
      <c r="E142" s="32">
        <v>44939</v>
      </c>
      <c r="F142" s="2">
        <v>1289232</v>
      </c>
      <c r="G142" s="5">
        <v>12.79</v>
      </c>
      <c r="H142" s="35">
        <f t="shared" si="4"/>
        <v>172</v>
      </c>
      <c r="I142" s="43">
        <f t="shared" si="5"/>
        <v>221747904</v>
      </c>
    </row>
    <row r="143" spans="1:9" x14ac:dyDescent="0.2">
      <c r="A143" s="30">
        <v>45212</v>
      </c>
      <c r="B143" s="1" t="s">
        <v>52</v>
      </c>
      <c r="C143" s="38">
        <v>45131</v>
      </c>
      <c r="D143" s="3">
        <v>28000</v>
      </c>
      <c r="E143" s="32">
        <v>44980</v>
      </c>
      <c r="F143" s="2">
        <v>358120</v>
      </c>
      <c r="G143" s="5">
        <v>12.79</v>
      </c>
      <c r="H143" s="35">
        <f t="shared" si="4"/>
        <v>81</v>
      </c>
      <c r="I143" s="43">
        <f t="shared" si="5"/>
        <v>29007720</v>
      </c>
    </row>
    <row r="144" spans="1:9" x14ac:dyDescent="0.2">
      <c r="A144" s="30">
        <v>45212</v>
      </c>
      <c r="B144" s="1" t="s">
        <v>52</v>
      </c>
      <c r="C144" s="38">
        <v>45131</v>
      </c>
      <c r="D144" s="3">
        <v>24640</v>
      </c>
      <c r="E144" s="32">
        <v>44946</v>
      </c>
      <c r="F144" s="2">
        <v>315145.59999999998</v>
      </c>
      <c r="G144" s="5">
        <v>12.79</v>
      </c>
      <c r="H144" s="35">
        <f t="shared" si="4"/>
        <v>81</v>
      </c>
      <c r="I144" s="43">
        <f t="shared" si="5"/>
        <v>25526793.599999998</v>
      </c>
    </row>
    <row r="145" spans="1:9" x14ac:dyDescent="0.2">
      <c r="A145" s="30">
        <v>45212</v>
      </c>
      <c r="B145" s="1" t="s">
        <v>52</v>
      </c>
      <c r="C145" s="38">
        <v>45131</v>
      </c>
      <c r="D145" s="3">
        <v>51520</v>
      </c>
      <c r="E145" s="32">
        <v>45100</v>
      </c>
      <c r="F145" s="2">
        <v>658940.80000000005</v>
      </c>
      <c r="G145" s="5">
        <v>12.79</v>
      </c>
      <c r="H145" s="35">
        <f t="shared" si="4"/>
        <v>81</v>
      </c>
      <c r="I145" s="43">
        <f t="shared" si="5"/>
        <v>53374204.800000004</v>
      </c>
    </row>
    <row r="146" spans="1:9" x14ac:dyDescent="0.2">
      <c r="A146" s="30">
        <v>45330</v>
      </c>
      <c r="B146" s="1" t="s">
        <v>52</v>
      </c>
      <c r="C146" s="38">
        <v>45117</v>
      </c>
      <c r="D146" s="3">
        <v>52640</v>
      </c>
      <c r="E146" s="32">
        <v>45141</v>
      </c>
      <c r="F146" s="2">
        <v>673265.6</v>
      </c>
      <c r="G146" s="5">
        <v>12.79</v>
      </c>
      <c r="H146" s="35">
        <f t="shared" si="4"/>
        <v>213</v>
      </c>
      <c r="I146" s="43">
        <f t="shared" si="5"/>
        <v>143405572.79999998</v>
      </c>
    </row>
    <row r="147" spans="1:9" x14ac:dyDescent="0.2">
      <c r="A147" s="30">
        <v>45212</v>
      </c>
      <c r="B147" s="1" t="s">
        <v>52</v>
      </c>
      <c r="C147" s="38">
        <v>45131</v>
      </c>
      <c r="D147" s="3">
        <v>39200</v>
      </c>
      <c r="E147" s="32">
        <v>45148</v>
      </c>
      <c r="F147" s="2">
        <v>501368</v>
      </c>
      <c r="G147" s="5">
        <v>12.79</v>
      </c>
      <c r="H147" s="35">
        <f t="shared" si="4"/>
        <v>81</v>
      </c>
      <c r="I147" s="43">
        <f t="shared" si="5"/>
        <v>40610808</v>
      </c>
    </row>
    <row r="148" spans="1:9" x14ac:dyDescent="0.2">
      <c r="A148" s="30">
        <v>45303</v>
      </c>
      <c r="B148" s="1" t="s">
        <v>53</v>
      </c>
      <c r="C148" s="38">
        <v>45131</v>
      </c>
      <c r="D148" s="3">
        <v>24640</v>
      </c>
      <c r="E148" s="32">
        <v>44938</v>
      </c>
      <c r="F148" s="2">
        <v>687456</v>
      </c>
      <c r="G148" s="5">
        <v>27.9</v>
      </c>
      <c r="H148" s="35">
        <f t="shared" si="4"/>
        <v>172</v>
      </c>
      <c r="I148" s="43">
        <f t="shared" si="5"/>
        <v>118242432</v>
      </c>
    </row>
    <row r="149" spans="1:9" x14ac:dyDescent="0.2">
      <c r="A149" s="30">
        <v>45303</v>
      </c>
      <c r="B149" s="1" t="s">
        <v>53</v>
      </c>
      <c r="C149" s="38">
        <v>45131</v>
      </c>
      <c r="D149" s="3">
        <v>52052</v>
      </c>
      <c r="E149" s="32">
        <v>44952</v>
      </c>
      <c r="F149" s="2">
        <v>1452250.8</v>
      </c>
      <c r="G149" s="5">
        <v>27.9</v>
      </c>
      <c r="H149" s="35">
        <f t="shared" si="4"/>
        <v>172</v>
      </c>
      <c r="I149" s="43">
        <f t="shared" si="5"/>
        <v>249787137.59999999</v>
      </c>
    </row>
    <row r="150" spans="1:9" x14ac:dyDescent="0.2">
      <c r="A150" s="30">
        <v>45224</v>
      </c>
      <c r="B150" s="1" t="s">
        <v>53</v>
      </c>
      <c r="C150" s="38">
        <v>45180</v>
      </c>
      <c r="D150" s="3">
        <v>18480</v>
      </c>
      <c r="E150" s="32">
        <v>45008</v>
      </c>
      <c r="F150" s="2">
        <v>515592</v>
      </c>
      <c r="G150" s="5">
        <v>27.9</v>
      </c>
      <c r="H150" s="35">
        <f t="shared" si="4"/>
        <v>44</v>
      </c>
      <c r="I150" s="43">
        <f t="shared" si="5"/>
        <v>22686048</v>
      </c>
    </row>
    <row r="151" spans="1:9" x14ac:dyDescent="0.2">
      <c r="A151" s="30">
        <v>45303</v>
      </c>
      <c r="B151" s="1" t="s">
        <v>53</v>
      </c>
      <c r="C151" s="38">
        <v>45131</v>
      </c>
      <c r="D151" s="3">
        <v>25872</v>
      </c>
      <c r="E151" s="32">
        <v>44967</v>
      </c>
      <c r="F151" s="2">
        <v>721828.8</v>
      </c>
      <c r="G151" s="5">
        <v>27.9</v>
      </c>
      <c r="H151" s="35">
        <f t="shared" si="4"/>
        <v>172</v>
      </c>
      <c r="I151" s="43">
        <f t="shared" si="5"/>
        <v>124154553.60000001</v>
      </c>
    </row>
    <row r="152" spans="1:9" x14ac:dyDescent="0.2">
      <c r="A152" s="30">
        <v>45303</v>
      </c>
      <c r="B152" s="1" t="s">
        <v>53</v>
      </c>
      <c r="C152" s="38">
        <v>45131</v>
      </c>
      <c r="D152" s="3">
        <v>52052</v>
      </c>
      <c r="E152" s="32">
        <v>44945</v>
      </c>
      <c r="F152" s="2">
        <v>1452250.8</v>
      </c>
      <c r="G152" s="5">
        <v>27.9</v>
      </c>
      <c r="H152" s="35">
        <f t="shared" si="4"/>
        <v>172</v>
      </c>
      <c r="I152" s="43">
        <f t="shared" si="5"/>
        <v>249787137.59999999</v>
      </c>
    </row>
    <row r="153" spans="1:9" x14ac:dyDescent="0.2">
      <c r="A153" s="30">
        <v>45303</v>
      </c>
      <c r="B153" s="1" t="s">
        <v>53</v>
      </c>
      <c r="C153" s="38">
        <v>45131</v>
      </c>
      <c r="D153" s="3">
        <v>52052</v>
      </c>
      <c r="E153" s="32">
        <v>45001</v>
      </c>
      <c r="F153" s="2">
        <v>1452250.8</v>
      </c>
      <c r="G153" s="5">
        <v>27.9</v>
      </c>
      <c r="H153" s="35">
        <f t="shared" si="4"/>
        <v>172</v>
      </c>
      <c r="I153" s="43">
        <f t="shared" si="5"/>
        <v>249787137.59999999</v>
      </c>
    </row>
    <row r="154" spans="1:9" x14ac:dyDescent="0.2">
      <c r="A154" s="30">
        <v>45230</v>
      </c>
      <c r="B154" s="1" t="s">
        <v>53</v>
      </c>
      <c r="C154" s="38">
        <v>45159</v>
      </c>
      <c r="D154" s="3">
        <v>52052</v>
      </c>
      <c r="E154" s="32">
        <v>45008</v>
      </c>
      <c r="F154" s="2">
        <v>1452250.8</v>
      </c>
      <c r="G154" s="5">
        <v>27.9</v>
      </c>
      <c r="H154" s="35">
        <f t="shared" si="4"/>
        <v>71</v>
      </c>
      <c r="I154" s="43">
        <f t="shared" si="5"/>
        <v>103109806.8</v>
      </c>
    </row>
    <row r="155" spans="1:9" x14ac:dyDescent="0.2">
      <c r="A155" s="30">
        <v>45230</v>
      </c>
      <c r="B155" s="1" t="s">
        <v>53</v>
      </c>
      <c r="C155" s="38">
        <v>45159</v>
      </c>
      <c r="D155" s="3">
        <v>24332</v>
      </c>
      <c r="E155" s="32">
        <v>45015</v>
      </c>
      <c r="F155" s="2">
        <v>678862.8</v>
      </c>
      <c r="G155" s="5">
        <v>27.9</v>
      </c>
      <c r="H155" s="35">
        <f t="shared" si="4"/>
        <v>71</v>
      </c>
      <c r="I155" s="43">
        <f t="shared" si="5"/>
        <v>48199258.800000004</v>
      </c>
    </row>
    <row r="156" spans="1:9" x14ac:dyDescent="0.2">
      <c r="A156" s="30">
        <v>45330</v>
      </c>
      <c r="B156" s="1" t="s">
        <v>53</v>
      </c>
      <c r="C156" s="38">
        <v>45117</v>
      </c>
      <c r="D156" s="3">
        <v>7700</v>
      </c>
      <c r="E156" s="32">
        <v>44946</v>
      </c>
      <c r="F156" s="2">
        <v>214830</v>
      </c>
      <c r="G156" s="5">
        <v>27.9</v>
      </c>
      <c r="H156" s="35">
        <f t="shared" si="4"/>
        <v>213</v>
      </c>
      <c r="I156" s="43">
        <f t="shared" si="5"/>
        <v>45758790</v>
      </c>
    </row>
    <row r="157" spans="1:9" x14ac:dyDescent="0.2">
      <c r="A157" s="30">
        <v>45330</v>
      </c>
      <c r="B157" s="1" t="s">
        <v>53</v>
      </c>
      <c r="C157" s="38">
        <v>45117</v>
      </c>
      <c r="D157" s="3">
        <v>39116</v>
      </c>
      <c r="E157" s="32">
        <v>45029</v>
      </c>
      <c r="F157" s="2">
        <v>1091336.3999999999</v>
      </c>
      <c r="G157" s="5">
        <v>27.9</v>
      </c>
      <c r="H157" s="35">
        <f t="shared" si="4"/>
        <v>213</v>
      </c>
      <c r="I157" s="43">
        <f t="shared" si="5"/>
        <v>232454653.19999999</v>
      </c>
    </row>
    <row r="158" spans="1:9" x14ac:dyDescent="0.2">
      <c r="A158" s="30">
        <v>45303</v>
      </c>
      <c r="B158" s="1" t="s">
        <v>53</v>
      </c>
      <c r="C158" s="38">
        <v>45131</v>
      </c>
      <c r="D158" s="3">
        <v>51744</v>
      </c>
      <c r="E158" s="32">
        <v>44932</v>
      </c>
      <c r="F158" s="2">
        <v>1443657.6</v>
      </c>
      <c r="G158" s="5">
        <v>27.9</v>
      </c>
      <c r="H158" s="35">
        <f t="shared" si="4"/>
        <v>172</v>
      </c>
      <c r="I158" s="43">
        <f t="shared" si="5"/>
        <v>248309107.20000002</v>
      </c>
    </row>
    <row r="159" spans="1:9" x14ac:dyDescent="0.2">
      <c r="A159" s="30">
        <v>45303</v>
      </c>
      <c r="B159" s="1" t="s">
        <v>53</v>
      </c>
      <c r="C159" s="38">
        <v>45131</v>
      </c>
      <c r="D159" s="3">
        <v>52052</v>
      </c>
      <c r="E159" s="32">
        <v>44980</v>
      </c>
      <c r="F159" s="2">
        <v>1452250.8</v>
      </c>
      <c r="G159" s="5">
        <v>27.9</v>
      </c>
      <c r="H159" s="35">
        <f t="shared" si="4"/>
        <v>172</v>
      </c>
      <c r="I159" s="43">
        <f t="shared" si="5"/>
        <v>249787137.59999999</v>
      </c>
    </row>
    <row r="160" spans="1:9" x14ac:dyDescent="0.2">
      <c r="A160" s="30">
        <v>45330</v>
      </c>
      <c r="B160" s="1" t="s">
        <v>53</v>
      </c>
      <c r="C160" s="38">
        <v>45117</v>
      </c>
      <c r="D160" s="3">
        <v>27104</v>
      </c>
      <c r="E160" s="32">
        <v>45038</v>
      </c>
      <c r="F160" s="2">
        <v>756201.6</v>
      </c>
      <c r="G160" s="5">
        <v>27.9</v>
      </c>
      <c r="H160" s="35">
        <f t="shared" si="4"/>
        <v>213</v>
      </c>
      <c r="I160" s="43">
        <f t="shared" si="5"/>
        <v>161070940.79999998</v>
      </c>
    </row>
    <row r="161" spans="1:9" x14ac:dyDescent="0.2">
      <c r="A161" s="30">
        <v>45330</v>
      </c>
      <c r="B161" s="1" t="s">
        <v>53</v>
      </c>
      <c r="C161" s="38">
        <v>45117</v>
      </c>
      <c r="D161" s="3">
        <v>4620</v>
      </c>
      <c r="E161" s="32">
        <v>45008</v>
      </c>
      <c r="F161" s="2">
        <v>128898</v>
      </c>
      <c r="G161" s="5">
        <v>27.9</v>
      </c>
      <c r="H161" s="35">
        <f t="shared" si="4"/>
        <v>213</v>
      </c>
      <c r="I161" s="43">
        <f t="shared" si="5"/>
        <v>27455274</v>
      </c>
    </row>
    <row r="162" spans="1:9" x14ac:dyDescent="0.2">
      <c r="A162" s="30">
        <v>45230</v>
      </c>
      <c r="B162" s="1" t="s">
        <v>53</v>
      </c>
      <c r="C162" s="38">
        <v>45159</v>
      </c>
      <c r="D162" s="3">
        <v>44352</v>
      </c>
      <c r="E162" s="32">
        <v>45038</v>
      </c>
      <c r="F162" s="2">
        <v>1237420.8</v>
      </c>
      <c r="G162" s="5">
        <v>27.9</v>
      </c>
      <c r="H162" s="35">
        <f t="shared" si="4"/>
        <v>71</v>
      </c>
      <c r="I162" s="43">
        <f t="shared" si="5"/>
        <v>87856876.799999997</v>
      </c>
    </row>
    <row r="163" spans="1:9" x14ac:dyDescent="0.2">
      <c r="A163" s="30">
        <v>45230</v>
      </c>
      <c r="B163" s="1" t="s">
        <v>53</v>
      </c>
      <c r="C163" s="38">
        <v>45159</v>
      </c>
      <c r="D163" s="3">
        <v>51744</v>
      </c>
      <c r="E163" s="32">
        <v>45022</v>
      </c>
      <c r="F163" s="2">
        <v>1443657.6</v>
      </c>
      <c r="G163" s="5">
        <v>27.9</v>
      </c>
      <c r="H163" s="35">
        <f t="shared" si="4"/>
        <v>71</v>
      </c>
      <c r="I163" s="43">
        <f t="shared" si="5"/>
        <v>102499689.60000001</v>
      </c>
    </row>
    <row r="164" spans="1:9" x14ac:dyDescent="0.2">
      <c r="A164" s="30">
        <v>45394</v>
      </c>
      <c r="B164" s="1" t="s">
        <v>53</v>
      </c>
      <c r="C164" s="38">
        <v>44986</v>
      </c>
      <c r="D164" s="3">
        <v>52052</v>
      </c>
      <c r="E164" s="32">
        <v>45107</v>
      </c>
      <c r="F164" s="2">
        <v>1452250.8</v>
      </c>
      <c r="G164" s="5">
        <v>27.9</v>
      </c>
      <c r="H164" s="35">
        <f t="shared" si="4"/>
        <v>408</v>
      </c>
      <c r="I164" s="43">
        <f t="shared" si="5"/>
        <v>592518326.39999998</v>
      </c>
    </row>
    <row r="165" spans="1:9" x14ac:dyDescent="0.2">
      <c r="A165" s="30">
        <v>45394</v>
      </c>
      <c r="B165" s="1" t="s">
        <v>53</v>
      </c>
      <c r="C165" s="38">
        <v>44986</v>
      </c>
      <c r="D165" s="3">
        <v>51744</v>
      </c>
      <c r="E165" s="32">
        <v>44987</v>
      </c>
      <c r="F165" s="2">
        <v>1443657.6</v>
      </c>
      <c r="G165" s="5">
        <v>27.9</v>
      </c>
      <c r="H165" s="35">
        <f t="shared" si="4"/>
        <v>408</v>
      </c>
      <c r="I165" s="43">
        <f t="shared" si="5"/>
        <v>589012300.80000007</v>
      </c>
    </row>
    <row r="166" spans="1:9" x14ac:dyDescent="0.2">
      <c r="A166" s="30">
        <v>45394</v>
      </c>
      <c r="B166" s="1" t="s">
        <v>53</v>
      </c>
      <c r="C166" s="38">
        <v>44986</v>
      </c>
      <c r="D166" s="3">
        <v>52052</v>
      </c>
      <c r="E166" s="32">
        <v>44994</v>
      </c>
      <c r="F166" s="2">
        <v>1452250.8</v>
      </c>
      <c r="G166" s="5">
        <v>27.9</v>
      </c>
      <c r="H166" s="35">
        <f t="shared" si="4"/>
        <v>408</v>
      </c>
      <c r="I166" s="43">
        <f t="shared" si="5"/>
        <v>592518326.39999998</v>
      </c>
    </row>
    <row r="167" spans="1:9" x14ac:dyDescent="0.2">
      <c r="A167" s="30">
        <v>45394</v>
      </c>
      <c r="B167" s="1" t="s">
        <v>53</v>
      </c>
      <c r="C167" s="38">
        <v>44986</v>
      </c>
      <c r="D167" s="3">
        <v>26796</v>
      </c>
      <c r="E167" s="32">
        <v>45093</v>
      </c>
      <c r="F167" s="2">
        <v>747608.4</v>
      </c>
      <c r="G167" s="5">
        <v>27.9</v>
      </c>
      <c r="H167" s="35">
        <f t="shared" si="4"/>
        <v>408</v>
      </c>
      <c r="I167" s="43">
        <f t="shared" si="5"/>
        <v>305024227.19999999</v>
      </c>
    </row>
    <row r="168" spans="1:9" x14ac:dyDescent="0.2">
      <c r="A168" s="30">
        <v>45230</v>
      </c>
      <c r="B168" s="1" t="s">
        <v>53</v>
      </c>
      <c r="C168" s="38">
        <v>45159</v>
      </c>
      <c r="D168" s="3">
        <v>52052</v>
      </c>
      <c r="E168" s="32">
        <v>45038</v>
      </c>
      <c r="F168" s="2">
        <v>1452250.8</v>
      </c>
      <c r="G168" s="5">
        <v>27.9</v>
      </c>
      <c r="H168" s="35">
        <f t="shared" si="4"/>
        <v>71</v>
      </c>
      <c r="I168" s="43">
        <f t="shared" si="5"/>
        <v>103109806.8</v>
      </c>
    </row>
    <row r="169" spans="1:9" x14ac:dyDescent="0.2">
      <c r="A169" s="30">
        <v>45394</v>
      </c>
      <c r="B169" s="1" t="s">
        <v>53</v>
      </c>
      <c r="C169" s="38">
        <v>44986</v>
      </c>
      <c r="D169" s="3">
        <v>52052</v>
      </c>
      <c r="E169" s="32">
        <v>45121</v>
      </c>
      <c r="F169" s="2">
        <v>1452250.8</v>
      </c>
      <c r="G169" s="5">
        <v>27.9</v>
      </c>
      <c r="H169" s="35">
        <f t="shared" si="4"/>
        <v>408</v>
      </c>
      <c r="I169" s="43">
        <f t="shared" si="5"/>
        <v>592518326.39999998</v>
      </c>
    </row>
    <row r="170" spans="1:9" x14ac:dyDescent="0.2">
      <c r="A170" s="30">
        <v>45224</v>
      </c>
      <c r="B170" s="1" t="s">
        <v>53</v>
      </c>
      <c r="C170" s="38">
        <v>45180</v>
      </c>
      <c r="D170" s="3">
        <v>39424</v>
      </c>
      <c r="E170" s="32">
        <v>45149</v>
      </c>
      <c r="F170" s="2">
        <v>1099929.6000000001</v>
      </c>
      <c r="G170" s="5">
        <v>27.9</v>
      </c>
      <c r="H170" s="35">
        <f t="shared" si="4"/>
        <v>44</v>
      </c>
      <c r="I170" s="43">
        <f t="shared" si="5"/>
        <v>48396902.400000006</v>
      </c>
    </row>
    <row r="171" spans="1:9" x14ac:dyDescent="0.2">
      <c r="A171" s="30">
        <v>45230</v>
      </c>
      <c r="B171" s="1" t="s">
        <v>53</v>
      </c>
      <c r="C171" s="38">
        <v>45159</v>
      </c>
      <c r="D171" s="3">
        <v>51744</v>
      </c>
      <c r="E171" s="32">
        <v>45142</v>
      </c>
      <c r="F171" s="2">
        <v>1443657.6</v>
      </c>
      <c r="G171" s="5">
        <v>27.9</v>
      </c>
      <c r="H171" s="35">
        <f t="shared" si="4"/>
        <v>71</v>
      </c>
      <c r="I171" s="43">
        <f t="shared" si="5"/>
        <v>102499689.60000001</v>
      </c>
    </row>
    <row r="172" spans="1:9" x14ac:dyDescent="0.2">
      <c r="A172" s="30">
        <v>45394</v>
      </c>
      <c r="B172" s="1" t="s">
        <v>54</v>
      </c>
      <c r="C172" s="38">
        <v>44986</v>
      </c>
      <c r="D172" s="3">
        <v>51156</v>
      </c>
      <c r="E172" s="32">
        <v>45128</v>
      </c>
      <c r="F172" s="2">
        <v>213320.52</v>
      </c>
      <c r="G172" s="5">
        <v>4.17</v>
      </c>
      <c r="H172" s="35">
        <f t="shared" si="4"/>
        <v>408</v>
      </c>
      <c r="I172" s="43">
        <f t="shared" si="5"/>
        <v>87034772.159999996</v>
      </c>
    </row>
    <row r="173" spans="1:9" x14ac:dyDescent="0.2">
      <c r="A173" s="30">
        <v>45217</v>
      </c>
      <c r="B173" s="1" t="s">
        <v>54</v>
      </c>
      <c r="C173" s="38">
        <v>45063</v>
      </c>
      <c r="D173" s="3">
        <v>53592</v>
      </c>
      <c r="E173" s="32">
        <v>45001</v>
      </c>
      <c r="F173" s="2">
        <v>223478.64</v>
      </c>
      <c r="G173" s="5">
        <v>4.17</v>
      </c>
      <c r="H173" s="35">
        <f t="shared" si="4"/>
        <v>154</v>
      </c>
      <c r="I173" s="43">
        <f t="shared" si="5"/>
        <v>34415710.560000002</v>
      </c>
    </row>
    <row r="174" spans="1:9" x14ac:dyDescent="0.2">
      <c r="A174" s="30">
        <v>45348</v>
      </c>
      <c r="B174" s="1" t="s">
        <v>54</v>
      </c>
      <c r="C174" s="38">
        <v>44986</v>
      </c>
      <c r="D174" s="3">
        <v>43848</v>
      </c>
      <c r="E174" s="32">
        <v>45057</v>
      </c>
      <c r="F174" s="2">
        <v>182846.16</v>
      </c>
      <c r="G174" s="5">
        <v>4.17</v>
      </c>
      <c r="H174" s="35">
        <f t="shared" si="4"/>
        <v>362</v>
      </c>
      <c r="I174" s="43">
        <f t="shared" si="5"/>
        <v>66190309.920000002</v>
      </c>
    </row>
    <row r="175" spans="1:9" x14ac:dyDescent="0.2">
      <c r="A175" s="30">
        <v>45212</v>
      </c>
      <c r="B175" s="1" t="s">
        <v>54</v>
      </c>
      <c r="C175" s="38">
        <v>45131</v>
      </c>
      <c r="D175" s="3">
        <v>51156</v>
      </c>
      <c r="E175" s="32">
        <v>45015</v>
      </c>
      <c r="F175" s="2">
        <v>213320.52</v>
      </c>
      <c r="G175" s="5">
        <v>4.17</v>
      </c>
      <c r="H175" s="35">
        <f t="shared" si="4"/>
        <v>81</v>
      </c>
      <c r="I175" s="43">
        <f t="shared" si="5"/>
        <v>17278962.119999997</v>
      </c>
    </row>
    <row r="176" spans="1:9" x14ac:dyDescent="0.2">
      <c r="A176" s="30">
        <v>45212</v>
      </c>
      <c r="B176" s="1" t="s">
        <v>54</v>
      </c>
      <c r="C176" s="38">
        <v>45131</v>
      </c>
      <c r="D176" s="3">
        <v>53592</v>
      </c>
      <c r="E176" s="32">
        <v>45001</v>
      </c>
      <c r="F176" s="2">
        <v>223478.64</v>
      </c>
      <c r="G176" s="5">
        <v>4.17</v>
      </c>
      <c r="H176" s="35">
        <f t="shared" si="4"/>
        <v>81</v>
      </c>
      <c r="I176" s="43">
        <f t="shared" si="5"/>
        <v>18101769.84</v>
      </c>
    </row>
    <row r="177" spans="1:9" x14ac:dyDescent="0.2">
      <c r="A177" s="30">
        <v>45212</v>
      </c>
      <c r="B177" s="1" t="s">
        <v>54</v>
      </c>
      <c r="C177" s="38">
        <v>45131</v>
      </c>
      <c r="D177" s="3">
        <v>38976</v>
      </c>
      <c r="E177" s="32">
        <v>45022</v>
      </c>
      <c r="F177" s="2">
        <v>162529.92000000001</v>
      </c>
      <c r="G177" s="5">
        <v>4.17</v>
      </c>
      <c r="H177" s="35">
        <f t="shared" si="4"/>
        <v>81</v>
      </c>
      <c r="I177" s="43">
        <f t="shared" si="5"/>
        <v>13164923.520000001</v>
      </c>
    </row>
    <row r="178" spans="1:9" x14ac:dyDescent="0.2">
      <c r="A178" s="30">
        <v>45330</v>
      </c>
      <c r="B178" s="1" t="s">
        <v>54</v>
      </c>
      <c r="C178" s="38">
        <v>45117</v>
      </c>
      <c r="D178" s="3">
        <v>51156</v>
      </c>
      <c r="E178" s="32">
        <v>45008</v>
      </c>
      <c r="F178" s="2">
        <v>213320.52</v>
      </c>
      <c r="G178" s="5">
        <v>4.17</v>
      </c>
      <c r="H178" s="35">
        <f t="shared" si="4"/>
        <v>213</v>
      </c>
      <c r="I178" s="43">
        <f t="shared" si="5"/>
        <v>45437270.759999998</v>
      </c>
    </row>
    <row r="179" spans="1:9" x14ac:dyDescent="0.2">
      <c r="A179" s="30">
        <v>45217</v>
      </c>
      <c r="B179" s="1" t="s">
        <v>54</v>
      </c>
      <c r="C179" s="38">
        <v>45063</v>
      </c>
      <c r="D179" s="3">
        <v>51156</v>
      </c>
      <c r="E179" s="32">
        <v>44959</v>
      </c>
      <c r="F179" s="2">
        <v>213320.52</v>
      </c>
      <c r="G179" s="5">
        <v>4.17</v>
      </c>
      <c r="H179" s="35">
        <f t="shared" si="4"/>
        <v>154</v>
      </c>
      <c r="I179" s="43">
        <f t="shared" si="5"/>
        <v>32851360.079999998</v>
      </c>
    </row>
    <row r="180" spans="1:9" x14ac:dyDescent="0.2">
      <c r="A180" s="30">
        <v>45212</v>
      </c>
      <c r="B180" s="1" t="s">
        <v>54</v>
      </c>
      <c r="C180" s="38">
        <v>45131</v>
      </c>
      <c r="D180" s="3">
        <v>51156</v>
      </c>
      <c r="E180" s="32">
        <v>44994</v>
      </c>
      <c r="F180" s="2">
        <v>213320.52</v>
      </c>
      <c r="G180" s="5">
        <v>4.17</v>
      </c>
      <c r="H180" s="35">
        <f t="shared" si="4"/>
        <v>81</v>
      </c>
      <c r="I180" s="43">
        <f t="shared" si="5"/>
        <v>17278962.119999997</v>
      </c>
    </row>
    <row r="181" spans="1:9" x14ac:dyDescent="0.2">
      <c r="A181" s="30">
        <v>45212</v>
      </c>
      <c r="B181" s="1" t="s">
        <v>54</v>
      </c>
      <c r="C181" s="38">
        <v>45131</v>
      </c>
      <c r="D181" s="3">
        <v>17052</v>
      </c>
      <c r="E181" s="32">
        <v>45001</v>
      </c>
      <c r="F181" s="2">
        <v>71106.84</v>
      </c>
      <c r="G181" s="5">
        <v>4.17</v>
      </c>
      <c r="H181" s="35">
        <f t="shared" si="4"/>
        <v>81</v>
      </c>
      <c r="I181" s="43">
        <f t="shared" si="5"/>
        <v>5759654.04</v>
      </c>
    </row>
    <row r="182" spans="1:9" x14ac:dyDescent="0.2">
      <c r="A182" s="30">
        <v>45373</v>
      </c>
      <c r="B182" s="1" t="s">
        <v>54</v>
      </c>
      <c r="C182" s="38">
        <v>44986</v>
      </c>
      <c r="D182" s="3">
        <v>26796</v>
      </c>
      <c r="E182" s="32">
        <v>45093</v>
      </c>
      <c r="F182" s="2">
        <v>111739.32</v>
      </c>
      <c r="G182" s="5">
        <v>4.17</v>
      </c>
      <c r="H182" s="35">
        <f t="shared" si="4"/>
        <v>387</v>
      </c>
      <c r="I182" s="43">
        <f t="shared" si="5"/>
        <v>43243116.840000004</v>
      </c>
    </row>
    <row r="183" spans="1:9" x14ac:dyDescent="0.2">
      <c r="A183" s="30">
        <v>45394</v>
      </c>
      <c r="B183" s="1" t="s">
        <v>54</v>
      </c>
      <c r="C183" s="38">
        <v>44986</v>
      </c>
      <c r="D183" s="3">
        <v>51156</v>
      </c>
      <c r="E183" s="32">
        <v>45114</v>
      </c>
      <c r="F183" s="2">
        <v>213320.52</v>
      </c>
      <c r="G183" s="5">
        <v>4.17</v>
      </c>
      <c r="H183" s="35">
        <f t="shared" si="4"/>
        <v>408</v>
      </c>
      <c r="I183" s="43">
        <f t="shared" si="5"/>
        <v>87034772.159999996</v>
      </c>
    </row>
    <row r="184" spans="1:9" x14ac:dyDescent="0.2">
      <c r="A184" s="30">
        <v>45373</v>
      </c>
      <c r="B184" s="1" t="s">
        <v>54</v>
      </c>
      <c r="C184" s="38">
        <v>44986</v>
      </c>
      <c r="D184" s="3">
        <v>51156</v>
      </c>
      <c r="E184" s="32">
        <v>45134</v>
      </c>
      <c r="F184" s="2">
        <v>213320.52</v>
      </c>
      <c r="G184" s="5">
        <v>4.17</v>
      </c>
      <c r="H184" s="35">
        <f t="shared" si="4"/>
        <v>387</v>
      </c>
      <c r="I184" s="43">
        <f t="shared" si="5"/>
        <v>82555041.239999995</v>
      </c>
    </row>
    <row r="185" spans="1:9" x14ac:dyDescent="0.2">
      <c r="A185" s="30">
        <v>45394</v>
      </c>
      <c r="B185" s="1" t="s">
        <v>54</v>
      </c>
      <c r="C185" s="38">
        <v>44986</v>
      </c>
      <c r="D185" s="3">
        <v>53592</v>
      </c>
      <c r="E185" s="32">
        <v>45142</v>
      </c>
      <c r="F185" s="2">
        <v>223478.64</v>
      </c>
      <c r="G185" s="5">
        <v>4.17</v>
      </c>
      <c r="H185" s="35">
        <f t="shared" si="4"/>
        <v>408</v>
      </c>
      <c r="I185" s="43">
        <f t="shared" si="5"/>
        <v>91179285.120000005</v>
      </c>
    </row>
    <row r="186" spans="1:9" x14ac:dyDescent="0.2">
      <c r="A186" s="30">
        <v>45394</v>
      </c>
      <c r="B186" s="1" t="s">
        <v>54</v>
      </c>
      <c r="C186" s="38">
        <v>44986</v>
      </c>
      <c r="D186" s="3">
        <v>38976</v>
      </c>
      <c r="E186" s="32">
        <v>45149</v>
      </c>
      <c r="F186" s="2">
        <v>162529.92000000001</v>
      </c>
      <c r="G186" s="5">
        <v>4.17</v>
      </c>
      <c r="H186" s="35">
        <f t="shared" si="4"/>
        <v>408</v>
      </c>
      <c r="I186" s="43">
        <f t="shared" si="5"/>
        <v>66312207.360000007</v>
      </c>
    </row>
    <row r="187" spans="1:9" x14ac:dyDescent="0.2">
      <c r="A187" s="30">
        <v>45394</v>
      </c>
      <c r="B187" s="1" t="s">
        <v>54</v>
      </c>
      <c r="C187" s="38">
        <v>44986</v>
      </c>
      <c r="D187" s="3">
        <v>53592</v>
      </c>
      <c r="E187" s="32">
        <v>45121</v>
      </c>
      <c r="F187" s="2">
        <v>223478.64</v>
      </c>
      <c r="G187" s="5">
        <v>4.17</v>
      </c>
      <c r="H187" s="35">
        <f t="shared" si="4"/>
        <v>408</v>
      </c>
      <c r="I187" s="43">
        <f t="shared" si="5"/>
        <v>91179285.120000005</v>
      </c>
    </row>
    <row r="188" spans="1:9" x14ac:dyDescent="0.2">
      <c r="A188" s="30">
        <v>45212</v>
      </c>
      <c r="B188" s="1" t="s">
        <v>54</v>
      </c>
      <c r="C188" s="38">
        <v>45131</v>
      </c>
      <c r="D188" s="3">
        <v>24360</v>
      </c>
      <c r="E188" s="32">
        <v>44938</v>
      </c>
      <c r="F188" s="2">
        <v>101581.2</v>
      </c>
      <c r="G188" s="5">
        <v>4.17</v>
      </c>
      <c r="H188" s="35">
        <f t="shared" si="4"/>
        <v>81</v>
      </c>
      <c r="I188" s="43">
        <f t="shared" si="5"/>
        <v>8228077.2000000002</v>
      </c>
    </row>
    <row r="189" spans="1:9" x14ac:dyDescent="0.2">
      <c r="A189" s="30">
        <v>45212</v>
      </c>
      <c r="B189" s="1" t="s">
        <v>54</v>
      </c>
      <c r="C189" s="38">
        <v>45131</v>
      </c>
      <c r="D189" s="3">
        <v>19488</v>
      </c>
      <c r="E189" s="32">
        <v>44904</v>
      </c>
      <c r="F189" s="2">
        <v>81264.960000000006</v>
      </c>
      <c r="G189" s="5">
        <v>4.17</v>
      </c>
      <c r="H189" s="35">
        <f t="shared" si="4"/>
        <v>81</v>
      </c>
      <c r="I189" s="43">
        <f t="shared" si="5"/>
        <v>6582461.7600000007</v>
      </c>
    </row>
    <row r="190" spans="1:9" x14ac:dyDescent="0.2">
      <c r="A190" s="30">
        <v>45330</v>
      </c>
      <c r="B190" s="1" t="s">
        <v>54</v>
      </c>
      <c r="C190" s="38">
        <v>45117</v>
      </c>
      <c r="D190" s="3">
        <v>53592</v>
      </c>
      <c r="E190" s="32">
        <v>44924</v>
      </c>
      <c r="F190" s="2">
        <v>223478.64</v>
      </c>
      <c r="G190" s="5">
        <v>4.17</v>
      </c>
      <c r="H190" s="35">
        <f t="shared" si="4"/>
        <v>213</v>
      </c>
      <c r="I190" s="43">
        <f t="shared" si="5"/>
        <v>47600950.32</v>
      </c>
    </row>
    <row r="191" spans="1:9" x14ac:dyDescent="0.2">
      <c r="A191" s="30">
        <v>45212</v>
      </c>
      <c r="B191" s="1" t="s">
        <v>54</v>
      </c>
      <c r="C191" s="38">
        <v>45131</v>
      </c>
      <c r="D191" s="3">
        <v>51156</v>
      </c>
      <c r="E191" s="32">
        <v>44918</v>
      </c>
      <c r="F191" s="2">
        <v>213320.52</v>
      </c>
      <c r="G191" s="5">
        <v>4.17</v>
      </c>
      <c r="H191" s="35">
        <f t="shared" si="4"/>
        <v>81</v>
      </c>
      <c r="I191" s="43">
        <f t="shared" si="5"/>
        <v>17278962.119999997</v>
      </c>
    </row>
    <row r="192" spans="1:9" x14ac:dyDescent="0.2">
      <c r="A192" s="30">
        <v>45330</v>
      </c>
      <c r="B192" s="1" t="s">
        <v>54</v>
      </c>
      <c r="C192" s="38">
        <v>45117</v>
      </c>
      <c r="D192" s="3">
        <v>51156</v>
      </c>
      <c r="E192" s="32">
        <v>44931</v>
      </c>
      <c r="F192" s="2">
        <v>213320.52</v>
      </c>
      <c r="G192" s="5">
        <v>4.17</v>
      </c>
      <c r="H192" s="35">
        <f t="shared" si="4"/>
        <v>213</v>
      </c>
      <c r="I192" s="43">
        <f t="shared" si="5"/>
        <v>45437270.759999998</v>
      </c>
    </row>
    <row r="193" spans="1:9" x14ac:dyDescent="0.2">
      <c r="A193" s="30">
        <v>45330</v>
      </c>
      <c r="B193" s="1" t="s">
        <v>54</v>
      </c>
      <c r="C193" s="38">
        <v>45117</v>
      </c>
      <c r="D193" s="3">
        <v>4872</v>
      </c>
      <c r="E193" s="32">
        <v>44945</v>
      </c>
      <c r="F193" s="2">
        <v>20316.240000000002</v>
      </c>
      <c r="G193" s="5">
        <v>4.17</v>
      </c>
      <c r="H193" s="35">
        <f t="shared" si="4"/>
        <v>213</v>
      </c>
      <c r="I193" s="43">
        <f t="shared" si="5"/>
        <v>4327359.12</v>
      </c>
    </row>
    <row r="194" spans="1:9" x14ac:dyDescent="0.2">
      <c r="A194" s="30">
        <v>45212</v>
      </c>
      <c r="B194" s="1" t="s">
        <v>54</v>
      </c>
      <c r="C194" s="38">
        <v>45131</v>
      </c>
      <c r="D194" s="3">
        <v>51156</v>
      </c>
      <c r="E194" s="32">
        <v>44952</v>
      </c>
      <c r="F194" s="2">
        <v>213320.52</v>
      </c>
      <c r="G194" s="5">
        <v>4.17</v>
      </c>
      <c r="H194" s="35">
        <f t="shared" si="4"/>
        <v>81</v>
      </c>
      <c r="I194" s="43">
        <f t="shared" si="5"/>
        <v>17278962.119999997</v>
      </c>
    </row>
    <row r="195" spans="1:9" x14ac:dyDescent="0.2">
      <c r="A195" s="30">
        <v>45212</v>
      </c>
      <c r="B195" s="1" t="s">
        <v>54</v>
      </c>
      <c r="C195" s="38">
        <v>45131</v>
      </c>
      <c r="D195" s="3">
        <v>53592</v>
      </c>
      <c r="E195" s="32">
        <v>44973</v>
      </c>
      <c r="F195" s="2">
        <v>223478.64</v>
      </c>
      <c r="G195" s="5">
        <v>4.17</v>
      </c>
      <c r="H195" s="35">
        <f t="shared" ref="H195:H257" si="6">IFERROR(A195-C195,"")</f>
        <v>81</v>
      </c>
      <c r="I195" s="43">
        <f t="shared" ref="I195:I258" si="7">H195*F195</f>
        <v>18101769.84</v>
      </c>
    </row>
    <row r="196" spans="1:9" x14ac:dyDescent="0.2">
      <c r="A196" s="30">
        <v>45212</v>
      </c>
      <c r="B196" s="1" t="s">
        <v>54</v>
      </c>
      <c r="C196" s="38">
        <v>45131</v>
      </c>
      <c r="D196" s="3">
        <v>53592</v>
      </c>
      <c r="E196" s="32">
        <v>44987</v>
      </c>
      <c r="F196" s="2">
        <v>223478.64</v>
      </c>
      <c r="G196" s="5">
        <v>4.17</v>
      </c>
      <c r="H196" s="35">
        <f t="shared" si="6"/>
        <v>81</v>
      </c>
      <c r="I196" s="43">
        <f t="shared" si="7"/>
        <v>18101769.84</v>
      </c>
    </row>
    <row r="197" spans="1:9" x14ac:dyDescent="0.2">
      <c r="A197" s="30">
        <v>45212</v>
      </c>
      <c r="B197" s="1" t="s">
        <v>54</v>
      </c>
      <c r="C197" s="38">
        <v>45131</v>
      </c>
      <c r="D197" s="3">
        <v>51156</v>
      </c>
      <c r="E197" s="32">
        <v>44980</v>
      </c>
      <c r="F197" s="2">
        <v>213320.52</v>
      </c>
      <c r="G197" s="5">
        <v>4.17</v>
      </c>
      <c r="H197" s="35">
        <f t="shared" si="6"/>
        <v>81</v>
      </c>
      <c r="I197" s="43">
        <f t="shared" si="7"/>
        <v>17278962.119999997</v>
      </c>
    </row>
    <row r="198" spans="1:9" x14ac:dyDescent="0.2">
      <c r="A198" s="30">
        <v>45330</v>
      </c>
      <c r="B198" s="1" t="s">
        <v>54</v>
      </c>
      <c r="C198" s="38">
        <v>45117</v>
      </c>
      <c r="D198" s="3">
        <v>51156</v>
      </c>
      <c r="E198" s="32">
        <v>44966</v>
      </c>
      <c r="F198" s="2">
        <v>213320.52</v>
      </c>
      <c r="G198" s="5">
        <v>4.17</v>
      </c>
      <c r="H198" s="35">
        <f t="shared" si="6"/>
        <v>213</v>
      </c>
      <c r="I198" s="43">
        <f t="shared" si="7"/>
        <v>45437270.759999998</v>
      </c>
    </row>
    <row r="199" spans="1:9" x14ac:dyDescent="0.2">
      <c r="A199" s="30">
        <v>45373</v>
      </c>
      <c r="B199" s="1" t="s">
        <v>54</v>
      </c>
      <c r="C199" s="38">
        <v>44986</v>
      </c>
      <c r="D199" s="3">
        <v>51156</v>
      </c>
      <c r="E199" s="32">
        <v>45064</v>
      </c>
      <c r="F199" s="2">
        <v>213320.52</v>
      </c>
      <c r="G199" s="5">
        <v>4.17</v>
      </c>
      <c r="H199" s="35">
        <f t="shared" si="6"/>
        <v>387</v>
      </c>
      <c r="I199" s="43">
        <f t="shared" si="7"/>
        <v>82555041.239999995</v>
      </c>
    </row>
    <row r="200" spans="1:9" x14ac:dyDescent="0.2">
      <c r="A200" s="30">
        <v>45373</v>
      </c>
      <c r="B200" s="1" t="s">
        <v>54</v>
      </c>
      <c r="C200" s="38">
        <v>44986</v>
      </c>
      <c r="D200" s="3">
        <v>26796</v>
      </c>
      <c r="E200" s="32">
        <v>45064</v>
      </c>
      <c r="F200" s="2">
        <v>111739.32</v>
      </c>
      <c r="G200" s="5">
        <v>4.17</v>
      </c>
      <c r="H200" s="35">
        <f t="shared" si="6"/>
        <v>387</v>
      </c>
      <c r="I200" s="43">
        <f t="shared" si="7"/>
        <v>43243116.840000004</v>
      </c>
    </row>
    <row r="201" spans="1:9" x14ac:dyDescent="0.2">
      <c r="A201" s="30">
        <v>45330</v>
      </c>
      <c r="B201" s="1" t="s">
        <v>54</v>
      </c>
      <c r="C201" s="38">
        <v>45117</v>
      </c>
      <c r="D201" s="3">
        <v>51156</v>
      </c>
      <c r="E201" s="32">
        <v>45107</v>
      </c>
      <c r="F201" s="2">
        <v>213320.52</v>
      </c>
      <c r="G201" s="5">
        <v>4.17</v>
      </c>
      <c r="H201" s="35">
        <f t="shared" si="6"/>
        <v>213</v>
      </c>
      <c r="I201" s="43">
        <f t="shared" si="7"/>
        <v>45437270.759999998</v>
      </c>
    </row>
    <row r="202" spans="1:9" x14ac:dyDescent="0.2">
      <c r="A202" s="30">
        <v>45373</v>
      </c>
      <c r="B202" s="1" t="s">
        <v>54</v>
      </c>
      <c r="C202" s="38">
        <v>44986</v>
      </c>
      <c r="D202" s="3">
        <v>53592</v>
      </c>
      <c r="E202" s="32">
        <v>45100</v>
      </c>
      <c r="F202" s="2">
        <v>223478.64</v>
      </c>
      <c r="G202" s="5">
        <v>4.17</v>
      </c>
      <c r="H202" s="35">
        <f t="shared" si="6"/>
        <v>387</v>
      </c>
      <c r="I202" s="43">
        <f t="shared" si="7"/>
        <v>86486233.680000007</v>
      </c>
    </row>
    <row r="203" spans="1:9" x14ac:dyDescent="0.2">
      <c r="A203" s="30"/>
      <c r="B203" s="1" t="s">
        <v>51</v>
      </c>
      <c r="C203" s="38">
        <v>45181</v>
      </c>
      <c r="D203" s="3">
        <v>579313</v>
      </c>
      <c r="E203" s="32">
        <v>45181</v>
      </c>
      <c r="F203" s="2">
        <v>7409413.2699999996</v>
      </c>
      <c r="G203" s="5">
        <v>12.79</v>
      </c>
      <c r="H203" s="35"/>
      <c r="I203" s="43">
        <f t="shared" si="7"/>
        <v>0</v>
      </c>
    </row>
    <row r="204" spans="1:9" x14ac:dyDescent="0.2">
      <c r="A204" s="30"/>
      <c r="B204" s="1" t="s">
        <v>54</v>
      </c>
      <c r="C204" s="38">
        <v>45181</v>
      </c>
      <c r="D204" s="3">
        <v>138852</v>
      </c>
      <c r="E204" s="32">
        <v>45181</v>
      </c>
      <c r="F204" s="2">
        <v>579012.84</v>
      </c>
      <c r="G204" s="5">
        <v>4.17</v>
      </c>
      <c r="H204" s="35"/>
      <c r="I204" s="43">
        <f t="shared" si="7"/>
        <v>0</v>
      </c>
    </row>
    <row r="205" spans="1:9" x14ac:dyDescent="0.2">
      <c r="A205" s="30">
        <v>45212</v>
      </c>
      <c r="B205" s="1" t="s">
        <v>128</v>
      </c>
      <c r="C205" s="38">
        <v>45159</v>
      </c>
      <c r="D205" s="3">
        <v>120</v>
      </c>
      <c r="E205" s="32">
        <v>45117</v>
      </c>
      <c r="F205" s="2">
        <v>13698</v>
      </c>
      <c r="G205" s="5">
        <v>114.15</v>
      </c>
      <c r="H205" s="35">
        <f t="shared" si="6"/>
        <v>53</v>
      </c>
      <c r="I205" s="43">
        <f t="shared" si="7"/>
        <v>725994</v>
      </c>
    </row>
    <row r="206" spans="1:9" x14ac:dyDescent="0.2">
      <c r="A206" s="30">
        <v>45338</v>
      </c>
      <c r="B206" s="1" t="s">
        <v>128</v>
      </c>
      <c r="C206" s="38">
        <v>44986</v>
      </c>
      <c r="D206" s="3">
        <v>360</v>
      </c>
      <c r="E206" s="32">
        <v>45299</v>
      </c>
      <c r="F206" s="2">
        <v>41094</v>
      </c>
      <c r="G206" s="5">
        <v>114.15</v>
      </c>
      <c r="H206" s="35">
        <f t="shared" si="6"/>
        <v>352</v>
      </c>
      <c r="I206" s="43">
        <f t="shared" si="7"/>
        <v>14465088</v>
      </c>
    </row>
    <row r="207" spans="1:9" x14ac:dyDescent="0.2">
      <c r="A207" s="30">
        <v>45233</v>
      </c>
      <c r="B207" s="1" t="s">
        <v>128</v>
      </c>
      <c r="C207" s="38">
        <v>45153</v>
      </c>
      <c r="D207" s="3">
        <v>360</v>
      </c>
      <c r="E207" s="32">
        <v>45208</v>
      </c>
      <c r="F207" s="2">
        <v>41094</v>
      </c>
      <c r="G207" s="5">
        <v>114.15</v>
      </c>
      <c r="H207" s="35">
        <f t="shared" si="6"/>
        <v>80</v>
      </c>
      <c r="I207" s="43">
        <f t="shared" si="7"/>
        <v>3287520</v>
      </c>
    </row>
    <row r="208" spans="1:9" x14ac:dyDescent="0.2">
      <c r="A208" s="30">
        <v>45196</v>
      </c>
      <c r="B208" s="1" t="s">
        <v>142</v>
      </c>
      <c r="C208" s="38">
        <v>45180</v>
      </c>
      <c r="D208" s="3">
        <v>32</v>
      </c>
      <c r="E208" s="32">
        <v>44981</v>
      </c>
      <c r="F208" s="2">
        <v>149248</v>
      </c>
      <c r="G208" s="5">
        <v>4664</v>
      </c>
      <c r="H208" s="35">
        <f t="shared" si="6"/>
        <v>16</v>
      </c>
      <c r="I208" s="43">
        <f t="shared" si="7"/>
        <v>2387968</v>
      </c>
    </row>
    <row r="209" spans="1:9" x14ac:dyDescent="0.2">
      <c r="A209" s="30">
        <v>45196</v>
      </c>
      <c r="B209" s="1" t="s">
        <v>142</v>
      </c>
      <c r="C209" s="38">
        <v>45180</v>
      </c>
      <c r="D209" s="3">
        <v>112</v>
      </c>
      <c r="E209" s="32">
        <v>44953</v>
      </c>
      <c r="F209" s="2">
        <v>522368</v>
      </c>
      <c r="G209" s="5">
        <v>4664</v>
      </c>
      <c r="H209" s="35">
        <f t="shared" si="6"/>
        <v>16</v>
      </c>
      <c r="I209" s="43">
        <f t="shared" si="7"/>
        <v>8357888</v>
      </c>
    </row>
    <row r="210" spans="1:9" x14ac:dyDescent="0.2">
      <c r="A210" s="30">
        <v>45238</v>
      </c>
      <c r="B210" s="1" t="s">
        <v>142</v>
      </c>
      <c r="C210" s="38">
        <v>44880</v>
      </c>
      <c r="D210" s="3">
        <v>240</v>
      </c>
      <c r="E210" s="32">
        <v>45229</v>
      </c>
      <c r="F210" s="2">
        <v>1119360</v>
      </c>
      <c r="G210" s="5">
        <v>4664</v>
      </c>
      <c r="H210" s="35">
        <f t="shared" si="6"/>
        <v>358</v>
      </c>
      <c r="I210" s="43">
        <f t="shared" si="7"/>
        <v>400730880</v>
      </c>
    </row>
    <row r="211" spans="1:9" x14ac:dyDescent="0.2">
      <c r="A211" s="30">
        <v>45196</v>
      </c>
      <c r="B211" s="1" t="s">
        <v>142</v>
      </c>
      <c r="C211" s="38">
        <v>45180</v>
      </c>
      <c r="D211" s="3">
        <v>176</v>
      </c>
      <c r="E211" s="32">
        <v>45099</v>
      </c>
      <c r="F211" s="2">
        <v>820864</v>
      </c>
      <c r="G211" s="5">
        <v>4664</v>
      </c>
      <c r="H211" s="35">
        <f t="shared" si="6"/>
        <v>16</v>
      </c>
      <c r="I211" s="43">
        <f t="shared" si="7"/>
        <v>13133824</v>
      </c>
    </row>
    <row r="212" spans="1:9" x14ac:dyDescent="0.2">
      <c r="A212" s="30">
        <v>45196</v>
      </c>
      <c r="B212" s="1" t="s">
        <v>142</v>
      </c>
      <c r="C212" s="38">
        <v>45180</v>
      </c>
      <c r="D212" s="3">
        <v>288</v>
      </c>
      <c r="E212" s="32">
        <v>45135</v>
      </c>
      <c r="F212" s="2">
        <v>1343232</v>
      </c>
      <c r="G212" s="5">
        <v>4664</v>
      </c>
      <c r="H212" s="35">
        <f t="shared" si="6"/>
        <v>16</v>
      </c>
      <c r="I212" s="43">
        <f t="shared" si="7"/>
        <v>21491712</v>
      </c>
    </row>
    <row r="213" spans="1:9" x14ac:dyDescent="0.2">
      <c r="A213" s="30">
        <v>45338</v>
      </c>
      <c r="B213" s="1" t="s">
        <v>142</v>
      </c>
      <c r="C213" s="38">
        <v>45161</v>
      </c>
      <c r="D213" s="3">
        <v>272</v>
      </c>
      <c r="E213" s="32">
        <v>45043</v>
      </c>
      <c r="F213" s="2">
        <v>1268608</v>
      </c>
      <c r="G213" s="5">
        <v>4664</v>
      </c>
      <c r="H213" s="35">
        <f t="shared" si="6"/>
        <v>177</v>
      </c>
      <c r="I213" s="43">
        <f t="shared" si="7"/>
        <v>224543616</v>
      </c>
    </row>
    <row r="214" spans="1:9" x14ac:dyDescent="0.2">
      <c r="A214" s="30">
        <v>45196</v>
      </c>
      <c r="B214" s="1" t="s">
        <v>142</v>
      </c>
      <c r="C214" s="38">
        <v>45180</v>
      </c>
      <c r="D214" s="3">
        <v>224</v>
      </c>
      <c r="E214" s="32">
        <v>45009</v>
      </c>
      <c r="F214" s="2">
        <v>1044736</v>
      </c>
      <c r="G214" s="5">
        <v>4664</v>
      </c>
      <c r="H214" s="35">
        <f t="shared" si="6"/>
        <v>16</v>
      </c>
      <c r="I214" s="43">
        <f t="shared" si="7"/>
        <v>16715776</v>
      </c>
    </row>
    <row r="215" spans="1:9" x14ac:dyDescent="0.2">
      <c r="A215" s="30">
        <v>45198</v>
      </c>
      <c r="B215" s="1" t="s">
        <v>142</v>
      </c>
      <c r="C215" s="38">
        <v>45180</v>
      </c>
      <c r="D215" s="3">
        <v>192</v>
      </c>
      <c r="E215" s="32">
        <v>45191</v>
      </c>
      <c r="F215" s="2">
        <v>895488</v>
      </c>
      <c r="G215" s="5">
        <v>4664</v>
      </c>
      <c r="H215" s="35">
        <f t="shared" si="6"/>
        <v>18</v>
      </c>
      <c r="I215" s="43">
        <f t="shared" si="7"/>
        <v>16118784</v>
      </c>
    </row>
    <row r="216" spans="1:9" x14ac:dyDescent="0.2">
      <c r="A216" s="30">
        <v>45324</v>
      </c>
      <c r="B216" s="1" t="s">
        <v>143</v>
      </c>
      <c r="C216" s="38">
        <v>44983</v>
      </c>
      <c r="D216" s="3">
        <v>120</v>
      </c>
      <c r="E216" s="32">
        <v>45223</v>
      </c>
      <c r="F216" s="2">
        <v>10528.8</v>
      </c>
      <c r="G216" s="5">
        <v>87.74</v>
      </c>
      <c r="H216" s="35">
        <f t="shared" si="6"/>
        <v>341</v>
      </c>
      <c r="I216" s="43">
        <f t="shared" si="7"/>
        <v>3590320.8</v>
      </c>
    </row>
    <row r="217" spans="1:9" x14ac:dyDescent="0.2">
      <c r="A217" s="30">
        <v>45204</v>
      </c>
      <c r="B217" s="1" t="s">
        <v>121</v>
      </c>
      <c r="C217" s="38">
        <v>45165</v>
      </c>
      <c r="D217" s="3">
        <v>1386</v>
      </c>
      <c r="E217" s="32">
        <v>45201</v>
      </c>
      <c r="F217" s="2">
        <v>559916.28</v>
      </c>
      <c r="G217" s="5">
        <v>403.98</v>
      </c>
      <c r="H217" s="35">
        <f t="shared" si="6"/>
        <v>39</v>
      </c>
      <c r="I217" s="43">
        <f t="shared" si="7"/>
        <v>21836734.920000002</v>
      </c>
    </row>
    <row r="218" spans="1:9" x14ac:dyDescent="0.2">
      <c r="A218" s="30">
        <v>45666</v>
      </c>
      <c r="B218" s="1" t="s">
        <v>121</v>
      </c>
      <c r="C218" s="38">
        <v>45167</v>
      </c>
      <c r="D218" s="3">
        <v>1386</v>
      </c>
      <c r="E218" s="32">
        <v>45201</v>
      </c>
      <c r="F218" s="2">
        <v>559916.28</v>
      </c>
      <c r="G218" s="5">
        <v>403.98</v>
      </c>
      <c r="H218" s="35">
        <f t="shared" si="6"/>
        <v>499</v>
      </c>
      <c r="I218" s="43">
        <f t="shared" si="7"/>
        <v>279398223.72000003</v>
      </c>
    </row>
    <row r="219" spans="1:9" x14ac:dyDescent="0.2">
      <c r="A219" s="30">
        <v>45204</v>
      </c>
      <c r="B219" s="1" t="s">
        <v>122</v>
      </c>
      <c r="C219" s="38">
        <v>45165</v>
      </c>
      <c r="D219" s="3">
        <v>1404</v>
      </c>
      <c r="E219" s="32">
        <v>45201</v>
      </c>
      <c r="F219" s="2">
        <v>631364.76</v>
      </c>
      <c r="G219" s="5">
        <v>449.69</v>
      </c>
      <c r="H219" s="35">
        <f t="shared" si="6"/>
        <v>39</v>
      </c>
      <c r="I219" s="43">
        <f t="shared" si="7"/>
        <v>24623225.640000001</v>
      </c>
    </row>
    <row r="220" spans="1:9" x14ac:dyDescent="0.2">
      <c r="A220" s="30">
        <v>45215</v>
      </c>
      <c r="B220" s="1" t="s">
        <v>129</v>
      </c>
      <c r="C220" s="38">
        <v>45050</v>
      </c>
      <c r="D220" s="3">
        <v>70</v>
      </c>
      <c r="E220" s="32">
        <v>45208</v>
      </c>
      <c r="F220" s="2">
        <v>13467.3</v>
      </c>
      <c r="G220" s="5">
        <v>192.39</v>
      </c>
      <c r="H220" s="35">
        <f t="shared" si="6"/>
        <v>165</v>
      </c>
      <c r="I220" s="43">
        <f t="shared" si="7"/>
        <v>2222104.5</v>
      </c>
    </row>
    <row r="221" spans="1:9" x14ac:dyDescent="0.2">
      <c r="A221" s="30">
        <v>45355</v>
      </c>
      <c r="B221" s="1" t="s">
        <v>129</v>
      </c>
      <c r="C221" s="38">
        <v>45004</v>
      </c>
      <c r="D221" s="3">
        <v>1100</v>
      </c>
      <c r="E221" s="32">
        <v>45300</v>
      </c>
      <c r="F221" s="2">
        <v>211629</v>
      </c>
      <c r="G221" s="5">
        <v>192.39</v>
      </c>
      <c r="H221" s="35">
        <f t="shared" si="6"/>
        <v>351</v>
      </c>
      <c r="I221" s="43">
        <f t="shared" si="7"/>
        <v>74281779</v>
      </c>
    </row>
    <row r="222" spans="1:9" x14ac:dyDescent="0.2">
      <c r="A222" s="30">
        <v>45212</v>
      </c>
      <c r="B222" s="1" t="s">
        <v>129</v>
      </c>
      <c r="C222" s="38">
        <v>45061</v>
      </c>
      <c r="D222" s="3">
        <v>400</v>
      </c>
      <c r="E222" s="32">
        <v>45002</v>
      </c>
      <c r="F222" s="2">
        <v>76956</v>
      </c>
      <c r="G222" s="5">
        <v>192.39</v>
      </c>
      <c r="H222" s="35">
        <f t="shared" si="6"/>
        <v>151</v>
      </c>
      <c r="I222" s="43">
        <f t="shared" si="7"/>
        <v>11620356</v>
      </c>
    </row>
    <row r="223" spans="1:9" x14ac:dyDescent="0.2">
      <c r="A223" s="30">
        <v>45393</v>
      </c>
      <c r="B223" s="1" t="s">
        <v>129</v>
      </c>
      <c r="C223" s="38">
        <v>45042</v>
      </c>
      <c r="D223" s="3">
        <v>2132</v>
      </c>
      <c r="E223" s="32">
        <v>45390</v>
      </c>
      <c r="F223" s="2">
        <v>410175.48</v>
      </c>
      <c r="G223" s="5">
        <v>192.39</v>
      </c>
      <c r="H223" s="35">
        <f t="shared" si="6"/>
        <v>351</v>
      </c>
      <c r="I223" s="43">
        <f t="shared" si="7"/>
        <v>143971593.47999999</v>
      </c>
    </row>
    <row r="224" spans="1:9" x14ac:dyDescent="0.2">
      <c r="A224" s="30">
        <v>45215</v>
      </c>
      <c r="B224" s="1" t="s">
        <v>121</v>
      </c>
      <c r="C224" s="38">
        <v>45181</v>
      </c>
      <c r="D224" s="3">
        <v>63</v>
      </c>
      <c r="E224" s="32">
        <v>45214</v>
      </c>
      <c r="F224" s="2">
        <v>25450.74</v>
      </c>
      <c r="G224" s="5">
        <v>403.98</v>
      </c>
      <c r="H224" s="35">
        <f t="shared" si="6"/>
        <v>34</v>
      </c>
      <c r="I224" s="43">
        <f t="shared" si="7"/>
        <v>865325.16</v>
      </c>
    </row>
    <row r="225" spans="1:9" x14ac:dyDescent="0.2">
      <c r="A225" s="30">
        <v>45215</v>
      </c>
      <c r="B225" s="1" t="s">
        <v>121</v>
      </c>
      <c r="C225" s="38">
        <v>45181</v>
      </c>
      <c r="D225" s="3">
        <v>2772</v>
      </c>
      <c r="E225" s="32">
        <v>45214</v>
      </c>
      <c r="F225" s="2">
        <v>1119832.56</v>
      </c>
      <c r="G225" s="5">
        <v>403.98</v>
      </c>
      <c r="H225" s="35">
        <f t="shared" si="6"/>
        <v>34</v>
      </c>
      <c r="I225" s="43">
        <f t="shared" si="7"/>
        <v>38074307.039999999</v>
      </c>
    </row>
    <row r="226" spans="1:9" x14ac:dyDescent="0.2">
      <c r="A226" s="30">
        <v>45189</v>
      </c>
      <c r="B226" s="1" t="s">
        <v>121</v>
      </c>
      <c r="C226" s="38">
        <v>45103</v>
      </c>
      <c r="D226" s="3">
        <v>3150</v>
      </c>
      <c r="E226" s="32">
        <v>45189</v>
      </c>
      <c r="F226" s="2">
        <v>1272537</v>
      </c>
      <c r="G226" s="5">
        <v>403.98</v>
      </c>
      <c r="H226" s="35">
        <f t="shared" si="6"/>
        <v>86</v>
      </c>
      <c r="I226" s="43">
        <f t="shared" si="7"/>
        <v>109438182</v>
      </c>
    </row>
    <row r="227" spans="1:9" x14ac:dyDescent="0.2">
      <c r="A227" s="30">
        <v>45215</v>
      </c>
      <c r="B227" s="1" t="s">
        <v>121</v>
      </c>
      <c r="C227" s="38">
        <v>45181</v>
      </c>
      <c r="D227" s="3">
        <v>945</v>
      </c>
      <c r="E227" s="32">
        <v>45214</v>
      </c>
      <c r="F227" s="2">
        <v>381761.1</v>
      </c>
      <c r="G227" s="5">
        <v>403.98</v>
      </c>
      <c r="H227" s="35">
        <f t="shared" si="6"/>
        <v>34</v>
      </c>
      <c r="I227" s="43">
        <f t="shared" si="7"/>
        <v>12979877.399999999</v>
      </c>
    </row>
    <row r="228" spans="1:9" x14ac:dyDescent="0.2">
      <c r="A228" s="30">
        <v>45215</v>
      </c>
      <c r="B228" s="1" t="s">
        <v>121</v>
      </c>
      <c r="C228" s="38">
        <v>45181</v>
      </c>
      <c r="D228" s="3">
        <v>1827</v>
      </c>
      <c r="E228" s="32">
        <v>45214</v>
      </c>
      <c r="F228" s="2">
        <v>738071.46</v>
      </c>
      <c r="G228" s="5">
        <v>403.98</v>
      </c>
      <c r="H228" s="35">
        <f t="shared" si="6"/>
        <v>34</v>
      </c>
      <c r="I228" s="43">
        <f t="shared" si="7"/>
        <v>25094429.640000001</v>
      </c>
    </row>
    <row r="229" spans="1:9" x14ac:dyDescent="0.2">
      <c r="A229" s="30">
        <v>45215</v>
      </c>
      <c r="B229" s="1" t="s">
        <v>121</v>
      </c>
      <c r="C229" s="38">
        <v>45181</v>
      </c>
      <c r="D229" s="3">
        <v>315</v>
      </c>
      <c r="E229" s="32">
        <v>45214</v>
      </c>
      <c r="F229" s="2">
        <v>127253.7</v>
      </c>
      <c r="G229" s="5">
        <v>403.98</v>
      </c>
      <c r="H229" s="35">
        <f t="shared" si="6"/>
        <v>34</v>
      </c>
      <c r="I229" s="43">
        <f t="shared" si="7"/>
        <v>4326625.8</v>
      </c>
    </row>
    <row r="230" spans="1:9" x14ac:dyDescent="0.2">
      <c r="A230" s="30">
        <v>45215</v>
      </c>
      <c r="B230" s="1" t="s">
        <v>121</v>
      </c>
      <c r="C230" s="38">
        <v>45181</v>
      </c>
      <c r="D230" s="3">
        <v>252</v>
      </c>
      <c r="E230" s="32">
        <v>45214</v>
      </c>
      <c r="F230" s="2">
        <v>101802.96</v>
      </c>
      <c r="G230" s="5">
        <v>403.98</v>
      </c>
      <c r="H230" s="35">
        <f t="shared" si="6"/>
        <v>34</v>
      </c>
      <c r="I230" s="43">
        <f t="shared" si="7"/>
        <v>3461300.64</v>
      </c>
    </row>
    <row r="231" spans="1:9" x14ac:dyDescent="0.2">
      <c r="A231" s="30">
        <v>45215</v>
      </c>
      <c r="B231" s="1" t="s">
        <v>121</v>
      </c>
      <c r="C231" s="38">
        <v>45181</v>
      </c>
      <c r="D231" s="3">
        <v>126</v>
      </c>
      <c r="E231" s="32">
        <v>45214</v>
      </c>
      <c r="F231" s="2">
        <v>50901.48</v>
      </c>
      <c r="G231" s="5">
        <v>403.98</v>
      </c>
      <c r="H231" s="35">
        <f t="shared" si="6"/>
        <v>34</v>
      </c>
      <c r="I231" s="43">
        <f t="shared" si="7"/>
        <v>1730650.32</v>
      </c>
    </row>
    <row r="232" spans="1:9" x14ac:dyDescent="0.2">
      <c r="A232" s="30">
        <v>45215</v>
      </c>
      <c r="B232" s="1" t="s">
        <v>121</v>
      </c>
      <c r="C232" s="38">
        <v>45181</v>
      </c>
      <c r="D232" s="3">
        <v>126</v>
      </c>
      <c r="E232" s="32">
        <v>45214</v>
      </c>
      <c r="F232" s="2">
        <v>50901.48</v>
      </c>
      <c r="G232" s="5">
        <v>403.98</v>
      </c>
      <c r="H232" s="35">
        <f t="shared" si="6"/>
        <v>34</v>
      </c>
      <c r="I232" s="43">
        <f t="shared" si="7"/>
        <v>1730650.32</v>
      </c>
    </row>
    <row r="233" spans="1:9" x14ac:dyDescent="0.2">
      <c r="A233" s="30">
        <v>45215</v>
      </c>
      <c r="B233" s="1" t="s">
        <v>121</v>
      </c>
      <c r="C233" s="38">
        <v>45181</v>
      </c>
      <c r="D233" s="3">
        <v>8442</v>
      </c>
      <c r="E233" s="32">
        <v>45214</v>
      </c>
      <c r="F233" s="2">
        <v>3410399.16</v>
      </c>
      <c r="G233" s="5">
        <v>403.98</v>
      </c>
      <c r="H233" s="35">
        <f t="shared" si="6"/>
        <v>34</v>
      </c>
      <c r="I233" s="43">
        <f t="shared" si="7"/>
        <v>115953571.44</v>
      </c>
    </row>
    <row r="234" spans="1:9" x14ac:dyDescent="0.2">
      <c r="A234" s="30">
        <v>45215</v>
      </c>
      <c r="B234" s="1" t="s">
        <v>122</v>
      </c>
      <c r="C234" s="38">
        <v>45181</v>
      </c>
      <c r="D234" s="3">
        <v>36</v>
      </c>
      <c r="E234" s="32">
        <v>45214</v>
      </c>
      <c r="F234" s="2">
        <v>16188.84</v>
      </c>
      <c r="G234" s="5">
        <v>449.69</v>
      </c>
      <c r="H234" s="35">
        <f t="shared" si="6"/>
        <v>34</v>
      </c>
      <c r="I234" s="43">
        <f t="shared" si="7"/>
        <v>550420.56000000006</v>
      </c>
    </row>
    <row r="235" spans="1:9" x14ac:dyDescent="0.2">
      <c r="A235" s="30">
        <v>45215</v>
      </c>
      <c r="B235" s="1" t="s">
        <v>122</v>
      </c>
      <c r="C235" s="38">
        <v>45181</v>
      </c>
      <c r="D235" s="3">
        <v>108</v>
      </c>
      <c r="E235" s="32">
        <v>45214</v>
      </c>
      <c r="F235" s="2">
        <v>48566.52</v>
      </c>
      <c r="G235" s="5">
        <v>449.69</v>
      </c>
      <c r="H235" s="35">
        <f t="shared" si="6"/>
        <v>34</v>
      </c>
      <c r="I235" s="43">
        <f t="shared" si="7"/>
        <v>1651261.68</v>
      </c>
    </row>
    <row r="236" spans="1:9" x14ac:dyDescent="0.2">
      <c r="A236" s="30">
        <v>45215</v>
      </c>
      <c r="B236" s="1" t="s">
        <v>122</v>
      </c>
      <c r="C236" s="38">
        <v>45181</v>
      </c>
      <c r="D236" s="3">
        <v>360</v>
      </c>
      <c r="E236" s="32">
        <v>45214</v>
      </c>
      <c r="F236" s="2">
        <v>161888.4</v>
      </c>
      <c r="G236" s="5">
        <v>449.69</v>
      </c>
      <c r="H236" s="35">
        <f t="shared" si="6"/>
        <v>34</v>
      </c>
      <c r="I236" s="43">
        <f t="shared" si="7"/>
        <v>5504205.5999999996</v>
      </c>
    </row>
    <row r="237" spans="1:9" x14ac:dyDescent="0.2">
      <c r="A237" s="30">
        <v>45215</v>
      </c>
      <c r="B237" s="1" t="s">
        <v>122</v>
      </c>
      <c r="C237" s="38">
        <v>45181</v>
      </c>
      <c r="D237" s="3">
        <v>252</v>
      </c>
      <c r="E237" s="32">
        <v>45214</v>
      </c>
      <c r="F237" s="2">
        <v>113321.88</v>
      </c>
      <c r="G237" s="5">
        <v>449.69</v>
      </c>
      <c r="H237" s="35">
        <f t="shared" si="6"/>
        <v>34</v>
      </c>
      <c r="I237" s="43">
        <f t="shared" si="7"/>
        <v>3852943.92</v>
      </c>
    </row>
    <row r="238" spans="1:9" x14ac:dyDescent="0.2">
      <c r="A238" s="30">
        <v>45215</v>
      </c>
      <c r="B238" s="1" t="s">
        <v>122</v>
      </c>
      <c r="C238" s="38">
        <v>45181</v>
      </c>
      <c r="D238" s="3">
        <v>252</v>
      </c>
      <c r="E238" s="32">
        <v>45214</v>
      </c>
      <c r="F238" s="2">
        <v>113321.88</v>
      </c>
      <c r="G238" s="5">
        <v>449.69</v>
      </c>
      <c r="H238" s="35">
        <f t="shared" si="6"/>
        <v>34</v>
      </c>
      <c r="I238" s="43">
        <f t="shared" si="7"/>
        <v>3852943.92</v>
      </c>
    </row>
    <row r="239" spans="1:9" x14ac:dyDescent="0.2">
      <c r="A239" s="30">
        <v>45011</v>
      </c>
      <c r="B239" s="1" t="s">
        <v>171</v>
      </c>
      <c r="C239" s="38">
        <v>45001</v>
      </c>
      <c r="D239" s="3">
        <v>6000</v>
      </c>
      <c r="E239" s="32">
        <v>44866</v>
      </c>
      <c r="F239" s="2">
        <v>6300</v>
      </c>
      <c r="G239" s="5">
        <v>1.05</v>
      </c>
      <c r="H239" s="35">
        <f>IFERROR(A239-C239,"")</f>
        <v>10</v>
      </c>
      <c r="I239" s="43">
        <f t="shared" si="7"/>
        <v>63000</v>
      </c>
    </row>
    <row r="240" spans="1:9" x14ac:dyDescent="0.2">
      <c r="A240" s="30"/>
      <c r="B240" s="1" t="s">
        <v>133</v>
      </c>
      <c r="C240" s="38">
        <v>45131</v>
      </c>
      <c r="D240" s="3">
        <v>218457</v>
      </c>
      <c r="E240" s="32">
        <v>45657</v>
      </c>
      <c r="F240" s="2">
        <v>13325877</v>
      </c>
      <c r="G240" s="5">
        <v>61</v>
      </c>
      <c r="H240" s="35"/>
      <c r="I240" s="43">
        <f t="shared" si="7"/>
        <v>0</v>
      </c>
    </row>
    <row r="241" spans="1:9" x14ac:dyDescent="0.2">
      <c r="A241" s="30"/>
      <c r="B241" s="1" t="s">
        <v>134</v>
      </c>
      <c r="C241" s="38">
        <v>45131</v>
      </c>
      <c r="D241" s="3">
        <v>45823</v>
      </c>
      <c r="E241" s="32">
        <v>45657</v>
      </c>
      <c r="F241" s="2">
        <v>6576516.96</v>
      </c>
      <c r="G241" s="5">
        <v>143.52000000000001</v>
      </c>
      <c r="H241" s="35"/>
      <c r="I241" s="43">
        <f t="shared" si="7"/>
        <v>0</v>
      </c>
    </row>
    <row r="242" spans="1:9" x14ac:dyDescent="0.2">
      <c r="A242" s="30"/>
      <c r="B242" s="1" t="s">
        <v>134</v>
      </c>
      <c r="C242" s="38">
        <v>45135</v>
      </c>
      <c r="D242" s="3">
        <v>810</v>
      </c>
      <c r="E242" s="32">
        <v>45155</v>
      </c>
      <c r="F242" s="2">
        <v>116251.2</v>
      </c>
      <c r="G242" s="5">
        <v>143.52000000000001</v>
      </c>
      <c r="H242" s="35"/>
      <c r="I242" s="43">
        <f t="shared" si="7"/>
        <v>0</v>
      </c>
    </row>
    <row r="243" spans="1:9" x14ac:dyDescent="0.2">
      <c r="A243" s="30"/>
      <c r="B243" s="1" t="s">
        <v>135</v>
      </c>
      <c r="C243" s="38">
        <v>45131</v>
      </c>
      <c r="D243" s="3">
        <v>29126</v>
      </c>
      <c r="E243" s="32">
        <v>45657</v>
      </c>
      <c r="F243" s="2">
        <v>3657643.08</v>
      </c>
      <c r="G243" s="5">
        <v>125.58</v>
      </c>
      <c r="H243" s="35"/>
      <c r="I243" s="43">
        <f t="shared" si="7"/>
        <v>0</v>
      </c>
    </row>
    <row r="244" spans="1:9" x14ac:dyDescent="0.2">
      <c r="A244" s="30"/>
      <c r="B244" s="1" t="s">
        <v>135</v>
      </c>
      <c r="C244" s="38">
        <v>45135</v>
      </c>
      <c r="D244" s="3">
        <v>945</v>
      </c>
      <c r="E244" s="32">
        <v>45139</v>
      </c>
      <c r="F244" s="2">
        <v>118673.1</v>
      </c>
      <c r="G244" s="5">
        <v>125.58</v>
      </c>
      <c r="H244" s="35"/>
      <c r="I244" s="43">
        <f t="shared" si="7"/>
        <v>0</v>
      </c>
    </row>
    <row r="245" spans="1:9" x14ac:dyDescent="0.2">
      <c r="A245" s="30"/>
      <c r="B245" s="1" t="s">
        <v>135</v>
      </c>
      <c r="C245" s="38">
        <v>45135</v>
      </c>
      <c r="D245" s="3">
        <v>540</v>
      </c>
      <c r="E245" s="32">
        <v>45231</v>
      </c>
      <c r="F245" s="2">
        <v>67813.2</v>
      </c>
      <c r="G245" s="5">
        <v>125.58</v>
      </c>
      <c r="H245" s="35"/>
      <c r="I245" s="43">
        <f t="shared" si="7"/>
        <v>0</v>
      </c>
    </row>
    <row r="246" spans="1:9" x14ac:dyDescent="0.2">
      <c r="A246" s="30"/>
      <c r="B246" s="1" t="s">
        <v>168</v>
      </c>
      <c r="C246" s="38">
        <v>45131</v>
      </c>
      <c r="D246" s="3">
        <v>44010</v>
      </c>
      <c r="E246" s="32">
        <v>45657</v>
      </c>
      <c r="F246" s="2">
        <v>2065829.4</v>
      </c>
      <c r="G246" s="5">
        <v>46.94</v>
      </c>
      <c r="H246" s="35"/>
      <c r="I246" s="43">
        <f t="shared" si="7"/>
        <v>0</v>
      </c>
    </row>
    <row r="247" spans="1:9" x14ac:dyDescent="0.2">
      <c r="A247" s="30"/>
      <c r="B247" s="1" t="s">
        <v>123</v>
      </c>
      <c r="C247" s="38">
        <v>45131</v>
      </c>
      <c r="D247" s="3">
        <v>1668</v>
      </c>
      <c r="E247" s="32">
        <v>45657</v>
      </c>
      <c r="F247" s="2">
        <v>1072473.96</v>
      </c>
      <c r="G247" s="5">
        <v>642.97</v>
      </c>
      <c r="H247" s="35"/>
      <c r="I247" s="43">
        <f t="shared" si="7"/>
        <v>0</v>
      </c>
    </row>
    <row r="248" spans="1:9" x14ac:dyDescent="0.2">
      <c r="A248" s="30">
        <v>45289</v>
      </c>
      <c r="B248" s="1" t="s">
        <v>123</v>
      </c>
      <c r="C248" s="38">
        <v>44972</v>
      </c>
      <c r="D248" s="3">
        <v>89</v>
      </c>
      <c r="E248" s="32">
        <v>45286</v>
      </c>
      <c r="F248" s="2">
        <v>57224.33</v>
      </c>
      <c r="G248" s="5">
        <v>642.97</v>
      </c>
      <c r="H248" s="35">
        <f t="shared" si="6"/>
        <v>317</v>
      </c>
      <c r="I248" s="43">
        <f t="shared" si="7"/>
        <v>18140112.609999999</v>
      </c>
    </row>
    <row r="249" spans="1:9" x14ac:dyDescent="0.2">
      <c r="A249" s="30">
        <v>45483</v>
      </c>
      <c r="B249" s="1" t="s">
        <v>123</v>
      </c>
      <c r="C249" s="38">
        <v>45100</v>
      </c>
      <c r="D249" s="3">
        <v>120</v>
      </c>
      <c r="E249" s="32">
        <v>45481</v>
      </c>
      <c r="F249" s="2">
        <v>77156.399999999994</v>
      </c>
      <c r="G249" s="5">
        <v>642.97</v>
      </c>
      <c r="H249" s="35">
        <f t="shared" si="6"/>
        <v>383</v>
      </c>
      <c r="I249" s="43">
        <f t="shared" si="7"/>
        <v>29550901.199999999</v>
      </c>
    </row>
    <row r="250" spans="1:9" x14ac:dyDescent="0.2">
      <c r="A250" s="30">
        <v>45415</v>
      </c>
      <c r="B250" s="1" t="s">
        <v>123</v>
      </c>
      <c r="C250" s="38">
        <v>45100</v>
      </c>
      <c r="D250" s="3">
        <v>120</v>
      </c>
      <c r="E250" s="32">
        <v>45413</v>
      </c>
      <c r="F250" s="2">
        <v>77156.399999999994</v>
      </c>
      <c r="G250" s="5">
        <v>642.97</v>
      </c>
      <c r="H250" s="35">
        <f t="shared" si="6"/>
        <v>315</v>
      </c>
      <c r="I250" s="43">
        <f t="shared" si="7"/>
        <v>24304266</v>
      </c>
    </row>
    <row r="251" spans="1:9" x14ac:dyDescent="0.2">
      <c r="A251" s="30">
        <v>45421</v>
      </c>
      <c r="B251" s="1" t="s">
        <v>123</v>
      </c>
      <c r="C251" s="38">
        <v>45100</v>
      </c>
      <c r="D251" s="3">
        <v>300</v>
      </c>
      <c r="E251" s="32">
        <v>45418</v>
      </c>
      <c r="F251" s="2">
        <v>192891</v>
      </c>
      <c r="G251" s="5">
        <v>642.97</v>
      </c>
      <c r="H251" s="35">
        <f t="shared" si="6"/>
        <v>321</v>
      </c>
      <c r="I251" s="43">
        <f t="shared" si="7"/>
        <v>61918011</v>
      </c>
    </row>
    <row r="252" spans="1:9" x14ac:dyDescent="0.2">
      <c r="A252" s="30"/>
      <c r="B252" s="1" t="s">
        <v>124</v>
      </c>
      <c r="C252" s="38">
        <v>45131</v>
      </c>
      <c r="D252" s="3">
        <v>36943</v>
      </c>
      <c r="E252" s="32">
        <v>45657</v>
      </c>
      <c r="F252" s="2">
        <v>942785.36</v>
      </c>
      <c r="G252" s="5">
        <v>25.52</v>
      </c>
      <c r="H252" s="35"/>
      <c r="I252" s="43">
        <f t="shared" si="7"/>
        <v>0</v>
      </c>
    </row>
    <row r="253" spans="1:9" x14ac:dyDescent="0.2">
      <c r="A253" s="30">
        <v>45553</v>
      </c>
      <c r="B253" s="1" t="s">
        <v>124</v>
      </c>
      <c r="C253" s="38">
        <v>45100</v>
      </c>
      <c r="D253" s="3">
        <v>120</v>
      </c>
      <c r="E253" s="32">
        <v>45551</v>
      </c>
      <c r="F253" s="2">
        <v>3062.4</v>
      </c>
      <c r="G253" s="5">
        <v>25.52</v>
      </c>
      <c r="H253" s="35">
        <f t="shared" si="6"/>
        <v>453</v>
      </c>
      <c r="I253" s="43">
        <f t="shared" si="7"/>
        <v>1387267.2</v>
      </c>
    </row>
    <row r="254" spans="1:9" x14ac:dyDescent="0.2">
      <c r="A254" s="30"/>
      <c r="B254" s="1" t="s">
        <v>124</v>
      </c>
      <c r="C254" s="38">
        <v>45135</v>
      </c>
      <c r="D254" s="3">
        <v>360</v>
      </c>
      <c r="E254" s="32">
        <v>45586</v>
      </c>
      <c r="F254" s="2">
        <v>9187.2000000000007</v>
      </c>
      <c r="G254" s="5">
        <v>25.52</v>
      </c>
      <c r="H254" s="35"/>
      <c r="I254" s="43">
        <f t="shared" si="7"/>
        <v>0</v>
      </c>
    </row>
    <row r="255" spans="1:9" x14ac:dyDescent="0.2">
      <c r="A255" s="30"/>
      <c r="B255" s="1" t="s">
        <v>151</v>
      </c>
      <c r="C255" s="38">
        <v>45131</v>
      </c>
      <c r="D255" s="3">
        <v>15855</v>
      </c>
      <c r="E255" s="32">
        <v>45657</v>
      </c>
      <c r="F255" s="2">
        <v>853316.1</v>
      </c>
      <c r="G255" s="5">
        <v>53.82</v>
      </c>
      <c r="H255" s="35"/>
      <c r="I255" s="43">
        <f t="shared" si="7"/>
        <v>0</v>
      </c>
    </row>
    <row r="256" spans="1:9" x14ac:dyDescent="0.2">
      <c r="A256" s="30"/>
      <c r="B256" s="1" t="s">
        <v>125</v>
      </c>
      <c r="C256" s="38">
        <v>45131</v>
      </c>
      <c r="D256" s="3">
        <v>720</v>
      </c>
      <c r="E256" s="32">
        <v>45657</v>
      </c>
      <c r="F256" s="2">
        <v>414964.8</v>
      </c>
      <c r="G256" s="5">
        <v>576.34</v>
      </c>
      <c r="H256" s="35"/>
      <c r="I256" s="43">
        <f t="shared" si="7"/>
        <v>0</v>
      </c>
    </row>
    <row r="257" spans="1:9" x14ac:dyDescent="0.2">
      <c r="A257" s="30">
        <v>45421</v>
      </c>
      <c r="B257" s="1" t="s">
        <v>125</v>
      </c>
      <c r="C257" s="38">
        <v>45100</v>
      </c>
      <c r="D257" s="3">
        <v>60</v>
      </c>
      <c r="E257" s="32">
        <v>45418</v>
      </c>
      <c r="F257" s="2">
        <v>34580.400000000001</v>
      </c>
      <c r="G257" s="5">
        <v>576.34</v>
      </c>
      <c r="H257" s="35">
        <f t="shared" si="6"/>
        <v>321</v>
      </c>
      <c r="I257" s="43">
        <f t="shared" si="7"/>
        <v>11100308.4</v>
      </c>
    </row>
    <row r="258" spans="1:9" x14ac:dyDescent="0.2">
      <c r="A258" s="30"/>
      <c r="B258" s="1" t="s">
        <v>150</v>
      </c>
      <c r="C258" s="38">
        <v>45131</v>
      </c>
      <c r="D258" s="3">
        <v>790</v>
      </c>
      <c r="E258" s="32">
        <v>45657</v>
      </c>
      <c r="F258" s="2">
        <v>55489.599999999999</v>
      </c>
      <c r="G258" s="5">
        <v>70.239999999999995</v>
      </c>
      <c r="H258" s="35"/>
      <c r="I258" s="43">
        <f t="shared" si="7"/>
        <v>0</v>
      </c>
    </row>
    <row r="259" spans="1:9" x14ac:dyDescent="0.2">
      <c r="A259" s="30">
        <v>45215</v>
      </c>
      <c r="B259" s="1" t="s">
        <v>122</v>
      </c>
      <c r="C259" s="38">
        <v>45181</v>
      </c>
      <c r="D259" s="3">
        <v>360</v>
      </c>
      <c r="E259" s="32">
        <v>45214</v>
      </c>
      <c r="F259" s="2">
        <v>161888.4</v>
      </c>
      <c r="G259" s="5">
        <v>449.69</v>
      </c>
      <c r="H259" s="35">
        <f t="shared" ref="H259:H322" si="8">IFERROR(A259-C259,"")</f>
        <v>34</v>
      </c>
      <c r="I259" s="43">
        <f t="shared" ref="I259:I322" si="9">H259*F259</f>
        <v>5504205.5999999996</v>
      </c>
    </row>
    <row r="260" spans="1:9" x14ac:dyDescent="0.2">
      <c r="A260" s="30">
        <v>45215</v>
      </c>
      <c r="B260" s="1" t="s">
        <v>122</v>
      </c>
      <c r="C260" s="38">
        <v>45181</v>
      </c>
      <c r="D260" s="3">
        <v>5616</v>
      </c>
      <c r="E260" s="32">
        <v>45214</v>
      </c>
      <c r="F260" s="2">
        <v>2525459.04</v>
      </c>
      <c r="G260" s="5">
        <v>449.69</v>
      </c>
      <c r="H260" s="35">
        <f t="shared" si="8"/>
        <v>34</v>
      </c>
      <c r="I260" s="43">
        <f t="shared" si="9"/>
        <v>85865607.359999999</v>
      </c>
    </row>
    <row r="261" spans="1:9" x14ac:dyDescent="0.2">
      <c r="A261" s="30">
        <v>45215</v>
      </c>
      <c r="B261" s="1" t="s">
        <v>122</v>
      </c>
      <c r="C261" s="38">
        <v>45181</v>
      </c>
      <c r="D261" s="3">
        <v>540</v>
      </c>
      <c r="E261" s="32">
        <v>45214</v>
      </c>
      <c r="F261" s="2">
        <v>242832.6</v>
      </c>
      <c r="G261" s="5">
        <v>449.69</v>
      </c>
      <c r="H261" s="35">
        <f t="shared" si="8"/>
        <v>34</v>
      </c>
      <c r="I261" s="43">
        <f t="shared" si="9"/>
        <v>8256308.4000000004</v>
      </c>
    </row>
    <row r="262" spans="1:9" x14ac:dyDescent="0.2">
      <c r="A262" s="30">
        <v>45215</v>
      </c>
      <c r="B262" s="1" t="s">
        <v>122</v>
      </c>
      <c r="C262" s="38">
        <v>45181</v>
      </c>
      <c r="D262" s="3">
        <v>144</v>
      </c>
      <c r="E262" s="32">
        <v>45214</v>
      </c>
      <c r="F262" s="2">
        <v>64755.360000000001</v>
      </c>
      <c r="G262" s="5">
        <v>449.69</v>
      </c>
      <c r="H262" s="35">
        <f t="shared" si="8"/>
        <v>34</v>
      </c>
      <c r="I262" s="43">
        <f t="shared" si="9"/>
        <v>2201682.2400000002</v>
      </c>
    </row>
    <row r="263" spans="1:9" x14ac:dyDescent="0.2">
      <c r="A263" s="30">
        <v>45215</v>
      </c>
      <c r="B263" s="1" t="s">
        <v>122</v>
      </c>
      <c r="C263" s="38">
        <v>45181</v>
      </c>
      <c r="D263" s="3">
        <v>504</v>
      </c>
      <c r="E263" s="32">
        <v>45214</v>
      </c>
      <c r="F263" s="2">
        <v>226643.76</v>
      </c>
      <c r="G263" s="5">
        <v>449.69</v>
      </c>
      <c r="H263" s="35">
        <f t="shared" si="8"/>
        <v>34</v>
      </c>
      <c r="I263" s="43">
        <f t="shared" si="9"/>
        <v>7705887.8399999999</v>
      </c>
    </row>
    <row r="264" spans="1:9" x14ac:dyDescent="0.2">
      <c r="A264" s="30">
        <v>45215</v>
      </c>
      <c r="B264" s="1" t="s">
        <v>122</v>
      </c>
      <c r="C264" s="38">
        <v>45181</v>
      </c>
      <c r="D264" s="3">
        <v>576</v>
      </c>
      <c r="E264" s="32">
        <v>45214</v>
      </c>
      <c r="F264" s="2">
        <v>259021.44</v>
      </c>
      <c r="G264" s="5">
        <v>449.69</v>
      </c>
      <c r="H264" s="35">
        <f t="shared" si="8"/>
        <v>34</v>
      </c>
      <c r="I264" s="43">
        <f t="shared" si="9"/>
        <v>8806728.9600000009</v>
      </c>
    </row>
    <row r="265" spans="1:9" x14ac:dyDescent="0.2">
      <c r="A265" s="30">
        <v>45215</v>
      </c>
      <c r="B265" s="1" t="s">
        <v>122</v>
      </c>
      <c r="C265" s="38">
        <v>45181</v>
      </c>
      <c r="D265" s="3">
        <v>1332</v>
      </c>
      <c r="E265" s="32">
        <v>45214</v>
      </c>
      <c r="F265" s="2">
        <v>598987.07999999996</v>
      </c>
      <c r="G265" s="5">
        <v>449.69</v>
      </c>
      <c r="H265" s="35">
        <f t="shared" si="8"/>
        <v>34</v>
      </c>
      <c r="I265" s="43">
        <f t="shared" si="9"/>
        <v>20365560.719999999</v>
      </c>
    </row>
    <row r="266" spans="1:9" x14ac:dyDescent="0.2">
      <c r="A266" s="30">
        <v>45215</v>
      </c>
      <c r="B266" s="1" t="s">
        <v>122</v>
      </c>
      <c r="C266" s="38">
        <v>45180</v>
      </c>
      <c r="D266" s="3">
        <v>180</v>
      </c>
      <c r="E266" s="32">
        <v>45208</v>
      </c>
      <c r="F266" s="2">
        <v>80944.2</v>
      </c>
      <c r="G266" s="5">
        <v>449.69</v>
      </c>
      <c r="H266" s="35">
        <f t="shared" si="8"/>
        <v>35</v>
      </c>
      <c r="I266" s="43">
        <f t="shared" si="9"/>
        <v>2833047</v>
      </c>
    </row>
    <row r="267" spans="1:9" x14ac:dyDescent="0.2">
      <c r="A267" s="30">
        <v>45215</v>
      </c>
      <c r="B267" s="1" t="s">
        <v>122</v>
      </c>
      <c r="C267" s="38">
        <v>45181</v>
      </c>
      <c r="D267" s="3">
        <v>324</v>
      </c>
      <c r="E267" s="32">
        <v>45214</v>
      </c>
      <c r="F267" s="2">
        <v>145699.56</v>
      </c>
      <c r="G267" s="5">
        <v>449.69</v>
      </c>
      <c r="H267" s="35">
        <f t="shared" si="8"/>
        <v>34</v>
      </c>
      <c r="I267" s="43">
        <f t="shared" si="9"/>
        <v>4953785.04</v>
      </c>
    </row>
    <row r="268" spans="1:9" x14ac:dyDescent="0.2">
      <c r="A268" s="30">
        <v>45665</v>
      </c>
      <c r="B268" s="1" t="s">
        <v>115</v>
      </c>
      <c r="C268" s="38">
        <v>45142</v>
      </c>
      <c r="D268" s="3">
        <v>606000</v>
      </c>
      <c r="E268" s="32">
        <v>44951</v>
      </c>
      <c r="F268" s="2">
        <v>1515000</v>
      </c>
      <c r="G268" s="5">
        <v>2.5</v>
      </c>
      <c r="H268" s="35">
        <f t="shared" si="8"/>
        <v>523</v>
      </c>
      <c r="I268" s="43">
        <f t="shared" si="9"/>
        <v>792345000</v>
      </c>
    </row>
    <row r="269" spans="1:9" x14ac:dyDescent="0.2">
      <c r="A269" s="30">
        <v>45343</v>
      </c>
      <c r="B269" s="1" t="s">
        <v>115</v>
      </c>
      <c r="C269" s="38">
        <v>45155</v>
      </c>
      <c r="D269" s="3">
        <v>3000</v>
      </c>
      <c r="E269" s="32">
        <v>45335</v>
      </c>
      <c r="F269" s="2">
        <v>7500</v>
      </c>
      <c r="G269" s="5">
        <v>2.5</v>
      </c>
      <c r="H269" s="35">
        <f t="shared" si="8"/>
        <v>188</v>
      </c>
      <c r="I269" s="43">
        <f t="shared" si="9"/>
        <v>1410000</v>
      </c>
    </row>
    <row r="270" spans="1:9" x14ac:dyDescent="0.2">
      <c r="A270" s="30">
        <v>45631</v>
      </c>
      <c r="B270" s="1" t="s">
        <v>115</v>
      </c>
      <c r="C270" s="38">
        <v>45117</v>
      </c>
      <c r="D270" s="3">
        <v>63000</v>
      </c>
      <c r="E270" s="32">
        <v>45616</v>
      </c>
      <c r="F270" s="2">
        <v>157500</v>
      </c>
      <c r="G270" s="5">
        <v>2.5</v>
      </c>
      <c r="H270" s="35">
        <f t="shared" si="8"/>
        <v>514</v>
      </c>
      <c r="I270" s="43">
        <f t="shared" si="9"/>
        <v>80955000</v>
      </c>
    </row>
    <row r="271" spans="1:9" x14ac:dyDescent="0.2">
      <c r="A271" s="30">
        <v>45334</v>
      </c>
      <c r="B271" s="1" t="s">
        <v>115</v>
      </c>
      <c r="C271" s="38">
        <v>45117</v>
      </c>
      <c r="D271" s="3">
        <v>18000</v>
      </c>
      <c r="E271" s="32">
        <v>45317</v>
      </c>
      <c r="F271" s="2">
        <v>45000</v>
      </c>
      <c r="G271" s="5">
        <v>2.5</v>
      </c>
      <c r="H271" s="35">
        <f t="shared" si="8"/>
        <v>217</v>
      </c>
      <c r="I271" s="43">
        <f t="shared" si="9"/>
        <v>9765000</v>
      </c>
    </row>
    <row r="272" spans="1:9" x14ac:dyDescent="0.2">
      <c r="A272" s="30">
        <v>45489</v>
      </c>
      <c r="B272" s="1" t="s">
        <v>115</v>
      </c>
      <c r="C272" s="38">
        <v>45117</v>
      </c>
      <c r="D272" s="3">
        <v>30000</v>
      </c>
      <c r="E272" s="32">
        <v>45474</v>
      </c>
      <c r="F272" s="2">
        <v>75000</v>
      </c>
      <c r="G272" s="5">
        <v>2.5</v>
      </c>
      <c r="H272" s="35">
        <f t="shared" si="8"/>
        <v>372</v>
      </c>
      <c r="I272" s="43">
        <f t="shared" si="9"/>
        <v>27900000</v>
      </c>
    </row>
    <row r="273" spans="1:9" x14ac:dyDescent="0.2">
      <c r="A273" s="30">
        <v>45665</v>
      </c>
      <c r="B273" s="1" t="s">
        <v>126</v>
      </c>
      <c r="C273" s="38">
        <v>45142</v>
      </c>
      <c r="D273" s="3">
        <v>460000</v>
      </c>
      <c r="E273" s="32">
        <v>44911</v>
      </c>
      <c r="F273" s="2">
        <v>966000</v>
      </c>
      <c r="G273" s="5">
        <v>2.1</v>
      </c>
      <c r="H273" s="35">
        <f t="shared" si="8"/>
        <v>523</v>
      </c>
      <c r="I273" s="43">
        <f t="shared" si="9"/>
        <v>505218000</v>
      </c>
    </row>
    <row r="274" spans="1:9" x14ac:dyDescent="0.2">
      <c r="A274" s="30">
        <v>45665</v>
      </c>
      <c r="B274" s="1" t="s">
        <v>122</v>
      </c>
      <c r="C274" s="38">
        <v>45142</v>
      </c>
      <c r="D274" s="3">
        <v>3564000</v>
      </c>
      <c r="E274" s="32">
        <v>45657</v>
      </c>
      <c r="F274" s="2">
        <v>12474000</v>
      </c>
      <c r="G274" s="5">
        <v>3.5</v>
      </c>
      <c r="H274" s="35">
        <f t="shared" si="8"/>
        <v>523</v>
      </c>
      <c r="I274" s="43">
        <f t="shared" si="9"/>
        <v>6523902000</v>
      </c>
    </row>
    <row r="275" spans="1:9" x14ac:dyDescent="0.2">
      <c r="A275" s="30">
        <v>45387</v>
      </c>
      <c r="B275" s="1" t="s">
        <v>122</v>
      </c>
      <c r="C275" s="38">
        <v>45181</v>
      </c>
      <c r="D275" s="3">
        <v>54000</v>
      </c>
      <c r="E275" s="32">
        <v>45382</v>
      </c>
      <c r="F275" s="2">
        <v>189000</v>
      </c>
      <c r="G275" s="5">
        <v>3.5</v>
      </c>
      <c r="H275" s="35">
        <f t="shared" si="8"/>
        <v>206</v>
      </c>
      <c r="I275" s="43">
        <f t="shared" si="9"/>
        <v>38934000</v>
      </c>
    </row>
    <row r="276" spans="1:9" x14ac:dyDescent="0.2">
      <c r="A276" s="30">
        <v>45482</v>
      </c>
      <c r="B276" s="1" t="s">
        <v>122</v>
      </c>
      <c r="C276" s="38">
        <v>45181</v>
      </c>
      <c r="D276" s="3">
        <v>54000</v>
      </c>
      <c r="E276" s="32">
        <v>45473</v>
      </c>
      <c r="F276" s="2">
        <v>189000</v>
      </c>
      <c r="G276" s="5">
        <v>3.5</v>
      </c>
      <c r="H276" s="35">
        <f t="shared" si="8"/>
        <v>301</v>
      </c>
      <c r="I276" s="43">
        <f t="shared" si="9"/>
        <v>56889000</v>
      </c>
    </row>
    <row r="277" spans="1:9" x14ac:dyDescent="0.2">
      <c r="A277" s="30">
        <v>45245</v>
      </c>
      <c r="B277" s="1" t="s">
        <v>122</v>
      </c>
      <c r="C277" s="38">
        <v>45181</v>
      </c>
      <c r="D277" s="3">
        <v>51000</v>
      </c>
      <c r="E277" s="32">
        <v>45199</v>
      </c>
      <c r="F277" s="2">
        <v>178500</v>
      </c>
      <c r="G277" s="5">
        <v>3.5</v>
      </c>
      <c r="H277" s="35">
        <f t="shared" si="8"/>
        <v>64</v>
      </c>
      <c r="I277" s="43">
        <f t="shared" si="9"/>
        <v>11424000</v>
      </c>
    </row>
    <row r="278" spans="1:9" x14ac:dyDescent="0.2">
      <c r="A278" s="30">
        <v>45572</v>
      </c>
      <c r="B278" s="1" t="s">
        <v>122</v>
      </c>
      <c r="C278" s="38">
        <v>45181</v>
      </c>
      <c r="D278" s="3">
        <v>54000</v>
      </c>
      <c r="E278" s="32">
        <v>45565</v>
      </c>
      <c r="F278" s="2">
        <v>189000</v>
      </c>
      <c r="G278" s="5">
        <v>3.5</v>
      </c>
      <c r="H278" s="35">
        <f t="shared" si="8"/>
        <v>391</v>
      </c>
      <c r="I278" s="43">
        <f t="shared" si="9"/>
        <v>73899000</v>
      </c>
    </row>
    <row r="279" spans="1:9" x14ac:dyDescent="0.2">
      <c r="A279" s="30">
        <v>45299</v>
      </c>
      <c r="B279" s="1" t="s">
        <v>122</v>
      </c>
      <c r="C279" s="38">
        <v>45181</v>
      </c>
      <c r="D279" s="3">
        <v>54000</v>
      </c>
      <c r="E279" s="32">
        <v>45291</v>
      </c>
      <c r="F279" s="2">
        <v>189000</v>
      </c>
      <c r="G279" s="5">
        <v>3.5</v>
      </c>
      <c r="H279" s="35">
        <f t="shared" si="8"/>
        <v>118</v>
      </c>
      <c r="I279" s="43">
        <f t="shared" si="9"/>
        <v>22302000</v>
      </c>
    </row>
    <row r="280" spans="1:9" x14ac:dyDescent="0.2">
      <c r="A280" s="30">
        <v>45665</v>
      </c>
      <c r="B280" s="1" t="s">
        <v>122</v>
      </c>
      <c r="C280" s="38">
        <v>45181</v>
      </c>
      <c r="D280" s="3">
        <v>54000</v>
      </c>
      <c r="E280" s="32">
        <v>45657</v>
      </c>
      <c r="F280" s="2">
        <v>189000</v>
      </c>
      <c r="G280" s="5">
        <v>3.5</v>
      </c>
      <c r="H280" s="35">
        <f t="shared" si="8"/>
        <v>484</v>
      </c>
      <c r="I280" s="43">
        <f t="shared" si="9"/>
        <v>91476000</v>
      </c>
    </row>
    <row r="281" spans="1:9" x14ac:dyDescent="0.2">
      <c r="A281" s="30">
        <v>45188</v>
      </c>
      <c r="B281" s="1" t="s">
        <v>122</v>
      </c>
      <c r="C281" s="38">
        <v>45178</v>
      </c>
      <c r="D281" s="3">
        <v>9000</v>
      </c>
      <c r="E281" s="32">
        <v>45181</v>
      </c>
      <c r="F281" s="2">
        <v>31500</v>
      </c>
      <c r="G281" s="5">
        <v>3.5</v>
      </c>
      <c r="H281" s="35">
        <f t="shared" si="8"/>
        <v>10</v>
      </c>
      <c r="I281" s="43">
        <f t="shared" si="9"/>
        <v>315000</v>
      </c>
    </row>
    <row r="282" spans="1:9" x14ac:dyDescent="0.2">
      <c r="A282" s="30">
        <v>45434</v>
      </c>
      <c r="B282" s="1" t="s">
        <v>122</v>
      </c>
      <c r="C282" s="38">
        <v>45178</v>
      </c>
      <c r="D282" s="3">
        <v>6000</v>
      </c>
      <c r="E282" s="32">
        <v>45245</v>
      </c>
      <c r="F282" s="2">
        <v>21000</v>
      </c>
      <c r="G282" s="5">
        <v>3.5</v>
      </c>
      <c r="H282" s="35">
        <f t="shared" si="8"/>
        <v>256</v>
      </c>
      <c r="I282" s="43">
        <f t="shared" si="9"/>
        <v>5376000</v>
      </c>
    </row>
    <row r="283" spans="1:9" x14ac:dyDescent="0.2">
      <c r="A283" s="30">
        <v>45282</v>
      </c>
      <c r="B283" s="1" t="s">
        <v>122</v>
      </c>
      <c r="C283" s="38">
        <v>45178</v>
      </c>
      <c r="D283" s="3">
        <v>15000</v>
      </c>
      <c r="E283" s="32">
        <v>45275</v>
      </c>
      <c r="F283" s="2">
        <v>52500</v>
      </c>
      <c r="G283" s="5">
        <v>3.5</v>
      </c>
      <c r="H283" s="35">
        <f t="shared" si="8"/>
        <v>104</v>
      </c>
      <c r="I283" s="43">
        <f t="shared" si="9"/>
        <v>5460000</v>
      </c>
    </row>
    <row r="284" spans="1:9" x14ac:dyDescent="0.2">
      <c r="A284" s="30">
        <v>45386</v>
      </c>
      <c r="B284" s="1" t="s">
        <v>122</v>
      </c>
      <c r="C284" s="38">
        <v>45124</v>
      </c>
      <c r="D284" s="3">
        <v>30000</v>
      </c>
      <c r="E284" s="32">
        <v>45378</v>
      </c>
      <c r="F284" s="2">
        <v>105000</v>
      </c>
      <c r="G284" s="5">
        <v>3.5</v>
      </c>
      <c r="H284" s="35">
        <f t="shared" si="8"/>
        <v>262</v>
      </c>
      <c r="I284" s="43">
        <f t="shared" si="9"/>
        <v>27510000</v>
      </c>
    </row>
    <row r="285" spans="1:9" x14ac:dyDescent="0.2">
      <c r="A285" s="30">
        <v>45497</v>
      </c>
      <c r="B285" s="1" t="s">
        <v>122</v>
      </c>
      <c r="C285" s="38">
        <v>45124</v>
      </c>
      <c r="D285" s="3">
        <v>135000</v>
      </c>
      <c r="E285" s="32">
        <v>45490</v>
      </c>
      <c r="F285" s="2">
        <v>472500</v>
      </c>
      <c r="G285" s="5">
        <v>3.5</v>
      </c>
      <c r="H285" s="35">
        <f t="shared" si="8"/>
        <v>373</v>
      </c>
      <c r="I285" s="43">
        <f t="shared" si="9"/>
        <v>176242500</v>
      </c>
    </row>
    <row r="286" spans="1:9" x14ac:dyDescent="0.2">
      <c r="A286" s="30">
        <v>45538</v>
      </c>
      <c r="B286" s="1" t="s">
        <v>122</v>
      </c>
      <c r="C286" s="38">
        <v>45147</v>
      </c>
      <c r="D286" s="3">
        <v>12000</v>
      </c>
      <c r="E286" s="32">
        <v>45530</v>
      </c>
      <c r="F286" s="2">
        <v>420000</v>
      </c>
      <c r="G286" s="5">
        <v>35</v>
      </c>
      <c r="H286" s="35">
        <f t="shared" si="8"/>
        <v>391</v>
      </c>
      <c r="I286" s="43">
        <f t="shared" si="9"/>
        <v>164220000</v>
      </c>
    </row>
    <row r="287" spans="1:9" x14ac:dyDescent="0.2">
      <c r="A287" s="30">
        <v>45495</v>
      </c>
      <c r="B287" s="1" t="s">
        <v>122</v>
      </c>
      <c r="C287" s="38">
        <v>45127</v>
      </c>
      <c r="D287" s="3">
        <v>18000</v>
      </c>
      <c r="E287" s="32">
        <v>45488</v>
      </c>
      <c r="F287" s="2">
        <v>630000</v>
      </c>
      <c r="G287" s="5">
        <v>35</v>
      </c>
      <c r="H287" s="35">
        <f t="shared" si="8"/>
        <v>368</v>
      </c>
      <c r="I287" s="43">
        <f t="shared" si="9"/>
        <v>231840000</v>
      </c>
    </row>
    <row r="288" spans="1:9" x14ac:dyDescent="0.2">
      <c r="A288" s="30">
        <v>45665</v>
      </c>
      <c r="B288" s="1" t="s">
        <v>127</v>
      </c>
      <c r="C288" s="38">
        <v>45142</v>
      </c>
      <c r="D288" s="3">
        <v>441000</v>
      </c>
      <c r="E288" s="32">
        <v>45497</v>
      </c>
      <c r="F288" s="2">
        <v>1278900</v>
      </c>
      <c r="G288" s="5">
        <v>2.9</v>
      </c>
      <c r="H288" s="35">
        <f t="shared" si="8"/>
        <v>523</v>
      </c>
      <c r="I288" s="43">
        <f t="shared" si="9"/>
        <v>668864700</v>
      </c>
    </row>
    <row r="289" spans="1:9" x14ac:dyDescent="0.2">
      <c r="A289" s="30">
        <v>45279</v>
      </c>
      <c r="B289" s="1" t="s">
        <v>127</v>
      </c>
      <c r="C289" s="38">
        <v>45117</v>
      </c>
      <c r="D289" s="3">
        <v>9000</v>
      </c>
      <c r="E289" s="32">
        <v>45401</v>
      </c>
      <c r="F289" s="2">
        <v>26100</v>
      </c>
      <c r="G289" s="5">
        <v>2.9</v>
      </c>
      <c r="H289" s="35">
        <f t="shared" si="8"/>
        <v>162</v>
      </c>
      <c r="I289" s="43">
        <f t="shared" si="9"/>
        <v>4228200</v>
      </c>
    </row>
    <row r="290" spans="1:9" x14ac:dyDescent="0.2">
      <c r="A290" s="30">
        <v>45454</v>
      </c>
      <c r="B290" s="1" t="s">
        <v>127</v>
      </c>
      <c r="C290" s="38">
        <v>45175</v>
      </c>
      <c r="D290" s="3">
        <v>12000</v>
      </c>
      <c r="E290" s="32">
        <v>45439</v>
      </c>
      <c r="F290" s="2">
        <v>34800</v>
      </c>
      <c r="G290" s="5">
        <v>2.9</v>
      </c>
      <c r="H290" s="35">
        <f t="shared" si="8"/>
        <v>279</v>
      </c>
      <c r="I290" s="43">
        <f t="shared" si="9"/>
        <v>9709200</v>
      </c>
    </row>
    <row r="291" spans="1:9" x14ac:dyDescent="0.2">
      <c r="A291" s="30">
        <v>45205</v>
      </c>
      <c r="B291" s="1" t="s">
        <v>158</v>
      </c>
      <c r="C291" s="38">
        <v>44970</v>
      </c>
      <c r="D291" s="3">
        <v>84</v>
      </c>
      <c r="E291" s="32">
        <v>45199</v>
      </c>
      <c r="F291" s="2">
        <v>71801.52</v>
      </c>
      <c r="G291" s="5">
        <v>854.78</v>
      </c>
      <c r="H291" s="35">
        <f t="shared" si="8"/>
        <v>235</v>
      </c>
      <c r="I291" s="43">
        <f t="shared" si="9"/>
        <v>16873357.199999999</v>
      </c>
    </row>
    <row r="292" spans="1:9" x14ac:dyDescent="0.2">
      <c r="A292" s="30">
        <v>45212</v>
      </c>
      <c r="B292" s="1" t="s">
        <v>158</v>
      </c>
      <c r="C292" s="38">
        <v>44970</v>
      </c>
      <c r="D292" s="3">
        <v>420</v>
      </c>
      <c r="E292" s="32">
        <v>45206</v>
      </c>
      <c r="F292" s="2">
        <v>359007.6</v>
      </c>
      <c r="G292" s="5">
        <v>854.78</v>
      </c>
      <c r="H292" s="35">
        <f t="shared" si="8"/>
        <v>242</v>
      </c>
      <c r="I292" s="43">
        <f t="shared" si="9"/>
        <v>86879839.199999988</v>
      </c>
    </row>
    <row r="293" spans="1:9" x14ac:dyDescent="0.2">
      <c r="A293" s="30">
        <v>45212</v>
      </c>
      <c r="B293" s="1" t="s">
        <v>158</v>
      </c>
      <c r="C293" s="38">
        <v>44970</v>
      </c>
      <c r="D293" s="3">
        <v>252</v>
      </c>
      <c r="E293" s="32">
        <v>45206</v>
      </c>
      <c r="F293" s="2">
        <v>215404.56</v>
      </c>
      <c r="G293" s="5">
        <v>854.78</v>
      </c>
      <c r="H293" s="35">
        <f t="shared" si="8"/>
        <v>242</v>
      </c>
      <c r="I293" s="43">
        <f t="shared" si="9"/>
        <v>52127903.519999996</v>
      </c>
    </row>
    <row r="294" spans="1:9" x14ac:dyDescent="0.2">
      <c r="A294" s="30">
        <v>45205</v>
      </c>
      <c r="B294" s="1" t="s">
        <v>158</v>
      </c>
      <c r="C294" s="38">
        <v>44970</v>
      </c>
      <c r="D294" s="3">
        <v>420</v>
      </c>
      <c r="E294" s="32">
        <v>45199</v>
      </c>
      <c r="F294" s="2">
        <v>359007.6</v>
      </c>
      <c r="G294" s="5">
        <v>854.78</v>
      </c>
      <c r="H294" s="35">
        <f t="shared" si="8"/>
        <v>235</v>
      </c>
      <c r="I294" s="43">
        <f t="shared" si="9"/>
        <v>84366786</v>
      </c>
    </row>
    <row r="295" spans="1:9" x14ac:dyDescent="0.2">
      <c r="A295" s="30">
        <v>45191</v>
      </c>
      <c r="B295" s="1" t="s">
        <v>158</v>
      </c>
      <c r="C295" s="38">
        <v>44970</v>
      </c>
      <c r="D295" s="3">
        <v>420</v>
      </c>
      <c r="E295" s="32">
        <v>45185</v>
      </c>
      <c r="F295" s="2">
        <v>359007.6</v>
      </c>
      <c r="G295" s="5">
        <v>854.78</v>
      </c>
      <c r="H295" s="35">
        <f t="shared" si="8"/>
        <v>221</v>
      </c>
      <c r="I295" s="43">
        <f t="shared" si="9"/>
        <v>79340679.599999994</v>
      </c>
    </row>
    <row r="296" spans="1:9" x14ac:dyDescent="0.2">
      <c r="A296" s="30">
        <v>45233</v>
      </c>
      <c r="B296" s="1" t="s">
        <v>158</v>
      </c>
      <c r="C296" s="38">
        <v>44970</v>
      </c>
      <c r="D296" s="3">
        <v>504</v>
      </c>
      <c r="E296" s="32">
        <v>45227</v>
      </c>
      <c r="F296" s="2">
        <v>430809.12</v>
      </c>
      <c r="G296" s="5">
        <v>854.78</v>
      </c>
      <c r="H296" s="35">
        <f t="shared" si="8"/>
        <v>263</v>
      </c>
      <c r="I296" s="43">
        <f t="shared" si="9"/>
        <v>113302798.56</v>
      </c>
    </row>
    <row r="297" spans="1:9" x14ac:dyDescent="0.2">
      <c r="A297" s="30">
        <v>45198</v>
      </c>
      <c r="B297" s="1" t="s">
        <v>158</v>
      </c>
      <c r="C297" s="38">
        <v>44970</v>
      </c>
      <c r="D297" s="3">
        <v>420</v>
      </c>
      <c r="E297" s="32">
        <v>45192</v>
      </c>
      <c r="F297" s="2">
        <v>359007.6</v>
      </c>
      <c r="G297" s="5">
        <v>854.78</v>
      </c>
      <c r="H297" s="35">
        <f t="shared" si="8"/>
        <v>228</v>
      </c>
      <c r="I297" s="43">
        <f t="shared" si="9"/>
        <v>81853732.799999997</v>
      </c>
    </row>
    <row r="298" spans="1:9" x14ac:dyDescent="0.2">
      <c r="A298" s="30">
        <v>45212</v>
      </c>
      <c r="B298" s="1" t="s">
        <v>158</v>
      </c>
      <c r="C298" s="38">
        <v>44970</v>
      </c>
      <c r="D298" s="3">
        <v>84</v>
      </c>
      <c r="E298" s="32">
        <v>45206</v>
      </c>
      <c r="F298" s="2">
        <v>71801.52</v>
      </c>
      <c r="G298" s="5">
        <v>854.78</v>
      </c>
      <c r="H298" s="35">
        <f t="shared" si="8"/>
        <v>242</v>
      </c>
      <c r="I298" s="43">
        <f t="shared" si="9"/>
        <v>17375967.84</v>
      </c>
    </row>
    <row r="299" spans="1:9" x14ac:dyDescent="0.2">
      <c r="A299" s="30">
        <v>45222</v>
      </c>
      <c r="B299" s="1" t="s">
        <v>158</v>
      </c>
      <c r="C299" s="38">
        <v>44970</v>
      </c>
      <c r="D299" s="3">
        <v>420</v>
      </c>
      <c r="E299" s="32">
        <v>45222</v>
      </c>
      <c r="F299" s="2">
        <v>359007.6</v>
      </c>
      <c r="G299" s="5">
        <v>854.78</v>
      </c>
      <c r="H299" s="35">
        <f t="shared" si="8"/>
        <v>252</v>
      </c>
      <c r="I299" s="43">
        <f t="shared" si="9"/>
        <v>90469915.199999988</v>
      </c>
    </row>
    <row r="300" spans="1:9" x14ac:dyDescent="0.2">
      <c r="A300" s="30">
        <v>45229</v>
      </c>
      <c r="B300" s="1" t="s">
        <v>158</v>
      </c>
      <c r="C300" s="38">
        <v>44970</v>
      </c>
      <c r="D300" s="3">
        <v>420</v>
      </c>
      <c r="E300" s="32">
        <v>45229</v>
      </c>
      <c r="F300" s="2">
        <v>359007.6</v>
      </c>
      <c r="G300" s="5">
        <v>854.78</v>
      </c>
      <c r="H300" s="35">
        <f t="shared" si="8"/>
        <v>259</v>
      </c>
      <c r="I300" s="43">
        <f t="shared" si="9"/>
        <v>92982968.399999991</v>
      </c>
    </row>
    <row r="301" spans="1:9" x14ac:dyDescent="0.2">
      <c r="A301" s="30">
        <v>45222</v>
      </c>
      <c r="B301" s="1" t="s">
        <v>158</v>
      </c>
      <c r="C301" s="38">
        <v>44970</v>
      </c>
      <c r="D301" s="3">
        <v>84</v>
      </c>
      <c r="E301" s="32">
        <v>45222</v>
      </c>
      <c r="F301" s="2">
        <v>71801.52</v>
      </c>
      <c r="G301" s="5">
        <v>854.78</v>
      </c>
      <c r="H301" s="35">
        <f t="shared" si="8"/>
        <v>252</v>
      </c>
      <c r="I301" s="43">
        <f t="shared" si="9"/>
        <v>18093983.040000003</v>
      </c>
    </row>
    <row r="302" spans="1:9" x14ac:dyDescent="0.2">
      <c r="A302" s="30">
        <v>45236</v>
      </c>
      <c r="B302" s="1" t="s">
        <v>158</v>
      </c>
      <c r="C302" s="38">
        <v>44970</v>
      </c>
      <c r="D302" s="3">
        <v>420</v>
      </c>
      <c r="E302" s="32">
        <v>45236</v>
      </c>
      <c r="F302" s="2">
        <v>359007.6</v>
      </c>
      <c r="G302" s="5">
        <v>854.78</v>
      </c>
      <c r="H302" s="35">
        <f t="shared" si="8"/>
        <v>266</v>
      </c>
      <c r="I302" s="43">
        <f t="shared" si="9"/>
        <v>95496021.599999994</v>
      </c>
    </row>
    <row r="303" spans="1:9" x14ac:dyDescent="0.2">
      <c r="A303" s="30">
        <v>45229</v>
      </c>
      <c r="B303" s="1" t="s">
        <v>158</v>
      </c>
      <c r="C303" s="38">
        <v>44970</v>
      </c>
      <c r="D303" s="3">
        <v>420</v>
      </c>
      <c r="E303" s="32">
        <v>45229</v>
      </c>
      <c r="F303" s="2">
        <v>359007.6</v>
      </c>
      <c r="G303" s="5">
        <v>854.78</v>
      </c>
      <c r="H303" s="35">
        <f t="shared" si="8"/>
        <v>259</v>
      </c>
      <c r="I303" s="43">
        <f t="shared" si="9"/>
        <v>92982968.399999991</v>
      </c>
    </row>
    <row r="304" spans="1:9" x14ac:dyDescent="0.2">
      <c r="A304" s="30">
        <v>45243</v>
      </c>
      <c r="B304" s="1" t="s">
        <v>158</v>
      </c>
      <c r="C304" s="38">
        <v>44970</v>
      </c>
      <c r="D304" s="3">
        <v>420</v>
      </c>
      <c r="E304" s="32">
        <v>45243</v>
      </c>
      <c r="F304" s="2">
        <v>359007.6</v>
      </c>
      <c r="G304" s="5">
        <v>854.78</v>
      </c>
      <c r="H304" s="35">
        <f t="shared" si="8"/>
        <v>273</v>
      </c>
      <c r="I304" s="43">
        <f t="shared" si="9"/>
        <v>98009074.799999997</v>
      </c>
    </row>
    <row r="305" spans="1:9" x14ac:dyDescent="0.2">
      <c r="A305" s="30">
        <v>45236</v>
      </c>
      <c r="B305" s="1" t="s">
        <v>158</v>
      </c>
      <c r="C305" s="38">
        <v>44970</v>
      </c>
      <c r="D305" s="3">
        <v>420</v>
      </c>
      <c r="E305" s="32">
        <v>45236</v>
      </c>
      <c r="F305" s="2">
        <v>359007.6</v>
      </c>
      <c r="G305" s="5">
        <v>854.78</v>
      </c>
      <c r="H305" s="35">
        <f t="shared" si="8"/>
        <v>266</v>
      </c>
      <c r="I305" s="43">
        <f t="shared" si="9"/>
        <v>95496021.599999994</v>
      </c>
    </row>
    <row r="306" spans="1:9" x14ac:dyDescent="0.2">
      <c r="A306" s="30">
        <v>45215</v>
      </c>
      <c r="B306" s="1" t="s">
        <v>158</v>
      </c>
      <c r="C306" s="38">
        <v>44970</v>
      </c>
      <c r="D306" s="3">
        <v>84</v>
      </c>
      <c r="E306" s="32">
        <v>45215</v>
      </c>
      <c r="F306" s="2">
        <v>71801.52</v>
      </c>
      <c r="G306" s="5">
        <v>854.78</v>
      </c>
      <c r="H306" s="35">
        <f t="shared" si="8"/>
        <v>245</v>
      </c>
      <c r="I306" s="43">
        <f t="shared" si="9"/>
        <v>17591372.400000002</v>
      </c>
    </row>
    <row r="307" spans="1:9" x14ac:dyDescent="0.2">
      <c r="A307" s="30">
        <v>45303</v>
      </c>
      <c r="B307" s="1" t="s">
        <v>88</v>
      </c>
      <c r="C307" s="38">
        <v>45161</v>
      </c>
      <c r="D307" s="3">
        <v>13</v>
      </c>
      <c r="E307" s="32">
        <v>44866</v>
      </c>
      <c r="F307" s="2">
        <v>51537.2</v>
      </c>
      <c r="G307" s="5">
        <v>3964.4</v>
      </c>
      <c r="H307" s="35">
        <f t="shared" si="8"/>
        <v>142</v>
      </c>
      <c r="I307" s="43">
        <f t="shared" si="9"/>
        <v>7318282.3999999994</v>
      </c>
    </row>
    <row r="308" spans="1:9" x14ac:dyDescent="0.2">
      <c r="A308" s="30">
        <v>45376</v>
      </c>
      <c r="B308" s="1" t="s">
        <v>88</v>
      </c>
      <c r="C308" s="38">
        <v>44879</v>
      </c>
      <c r="D308" s="3">
        <v>77</v>
      </c>
      <c r="E308" s="32">
        <v>45376</v>
      </c>
      <c r="F308" s="2">
        <v>305258.8</v>
      </c>
      <c r="G308" s="5">
        <v>3964.4</v>
      </c>
      <c r="H308" s="35">
        <f t="shared" si="8"/>
        <v>497</v>
      </c>
      <c r="I308" s="43">
        <f t="shared" si="9"/>
        <v>151713623.59999999</v>
      </c>
    </row>
    <row r="309" spans="1:9" x14ac:dyDescent="0.2">
      <c r="A309" s="30">
        <v>45384</v>
      </c>
      <c r="B309" s="1" t="s">
        <v>88</v>
      </c>
      <c r="C309" s="38">
        <v>44876</v>
      </c>
      <c r="D309" s="3">
        <v>972</v>
      </c>
      <c r="E309" s="32">
        <v>45376</v>
      </c>
      <c r="F309" s="2">
        <v>3853396.8</v>
      </c>
      <c r="G309" s="5">
        <v>3964.4</v>
      </c>
      <c r="H309" s="35">
        <f t="shared" si="8"/>
        <v>508</v>
      </c>
      <c r="I309" s="43">
        <f t="shared" si="9"/>
        <v>1957525574.3999999</v>
      </c>
    </row>
    <row r="310" spans="1:9" x14ac:dyDescent="0.2">
      <c r="A310" s="30">
        <v>45408</v>
      </c>
      <c r="B310" s="1" t="s">
        <v>88</v>
      </c>
      <c r="C310" s="38">
        <v>44900</v>
      </c>
      <c r="D310" s="3">
        <v>12</v>
      </c>
      <c r="E310" s="32">
        <v>45408</v>
      </c>
      <c r="F310" s="2">
        <v>47572.800000000003</v>
      </c>
      <c r="G310" s="5">
        <v>3964.4</v>
      </c>
      <c r="H310" s="35">
        <f t="shared" si="8"/>
        <v>508</v>
      </c>
      <c r="I310" s="43">
        <f t="shared" si="9"/>
        <v>24166982.400000002</v>
      </c>
    </row>
    <row r="311" spans="1:9" x14ac:dyDescent="0.2">
      <c r="A311" s="30">
        <v>45414</v>
      </c>
      <c r="B311" s="1" t="s">
        <v>88</v>
      </c>
      <c r="C311" s="38">
        <v>44910</v>
      </c>
      <c r="D311" s="3">
        <v>16</v>
      </c>
      <c r="E311" s="32">
        <v>45414</v>
      </c>
      <c r="F311" s="2">
        <v>63430.400000000001</v>
      </c>
      <c r="G311" s="5">
        <v>3964.4</v>
      </c>
      <c r="H311" s="35">
        <f t="shared" si="8"/>
        <v>504</v>
      </c>
      <c r="I311" s="43">
        <f t="shared" si="9"/>
        <v>31968921.600000001</v>
      </c>
    </row>
    <row r="312" spans="1:9" x14ac:dyDescent="0.2">
      <c r="A312" s="30">
        <v>45538</v>
      </c>
      <c r="B312" s="1" t="s">
        <v>88</v>
      </c>
      <c r="C312" s="38">
        <v>45036</v>
      </c>
      <c r="D312" s="3">
        <v>8</v>
      </c>
      <c r="E312" s="32">
        <v>45538</v>
      </c>
      <c r="F312" s="2">
        <v>31715.200000000001</v>
      </c>
      <c r="G312" s="5">
        <v>3964.4</v>
      </c>
      <c r="H312" s="35">
        <f t="shared" si="8"/>
        <v>502</v>
      </c>
      <c r="I312" s="43">
        <f t="shared" si="9"/>
        <v>15921030.4</v>
      </c>
    </row>
    <row r="313" spans="1:9" x14ac:dyDescent="0.2">
      <c r="A313" s="30">
        <v>45191</v>
      </c>
      <c r="B313" s="1" t="s">
        <v>55</v>
      </c>
      <c r="C313" s="38">
        <v>44956</v>
      </c>
      <c r="D313" s="3">
        <v>324</v>
      </c>
      <c r="E313" s="32">
        <v>44866</v>
      </c>
      <c r="F313" s="2">
        <v>34126.92</v>
      </c>
      <c r="G313" s="5">
        <v>105.33</v>
      </c>
      <c r="H313" s="35">
        <f t="shared" si="8"/>
        <v>235</v>
      </c>
      <c r="I313" s="43">
        <f t="shared" si="9"/>
        <v>8019826.1999999993</v>
      </c>
    </row>
    <row r="314" spans="1:9" x14ac:dyDescent="0.2">
      <c r="A314" s="30">
        <v>45191</v>
      </c>
      <c r="B314" s="1" t="s">
        <v>55</v>
      </c>
      <c r="C314" s="38">
        <v>44956</v>
      </c>
      <c r="D314" s="3">
        <v>864</v>
      </c>
      <c r="E314" s="32">
        <v>44866</v>
      </c>
      <c r="F314" s="2">
        <v>91005.119999999995</v>
      </c>
      <c r="G314" s="5">
        <v>105.33</v>
      </c>
      <c r="H314" s="35">
        <f t="shared" si="8"/>
        <v>235</v>
      </c>
      <c r="I314" s="43">
        <f t="shared" si="9"/>
        <v>21386203.199999999</v>
      </c>
    </row>
    <row r="315" spans="1:9" x14ac:dyDescent="0.2">
      <c r="A315" s="30">
        <v>45190</v>
      </c>
      <c r="B315" s="1" t="s">
        <v>55</v>
      </c>
      <c r="C315" s="38">
        <v>44956</v>
      </c>
      <c r="D315" s="3">
        <v>1296</v>
      </c>
      <c r="E315" s="32">
        <v>45180</v>
      </c>
      <c r="F315" s="2">
        <v>136507.68</v>
      </c>
      <c r="G315" s="5">
        <v>105.33</v>
      </c>
      <c r="H315" s="35">
        <f t="shared" si="8"/>
        <v>234</v>
      </c>
      <c r="I315" s="43">
        <f t="shared" si="9"/>
        <v>31942797.119999997</v>
      </c>
    </row>
    <row r="316" spans="1:9" x14ac:dyDescent="0.2">
      <c r="A316" s="30">
        <v>45198</v>
      </c>
      <c r="B316" s="1" t="s">
        <v>55</v>
      </c>
      <c r="C316" s="38">
        <v>44956</v>
      </c>
      <c r="D316" s="3">
        <v>3132</v>
      </c>
      <c r="E316" s="32">
        <v>45148</v>
      </c>
      <c r="F316" s="2">
        <v>329893.56</v>
      </c>
      <c r="G316" s="5">
        <v>105.33</v>
      </c>
      <c r="H316" s="35">
        <f t="shared" si="8"/>
        <v>242</v>
      </c>
      <c r="I316" s="43">
        <f t="shared" si="9"/>
        <v>79834241.519999996</v>
      </c>
    </row>
    <row r="317" spans="1:9" x14ac:dyDescent="0.2">
      <c r="A317" s="30">
        <v>45184</v>
      </c>
      <c r="B317" s="1" t="s">
        <v>55</v>
      </c>
      <c r="C317" s="38">
        <v>45175</v>
      </c>
      <c r="D317" s="3">
        <v>1404</v>
      </c>
      <c r="E317" s="32">
        <v>45091</v>
      </c>
      <c r="F317" s="2">
        <v>147883.32</v>
      </c>
      <c r="G317" s="5">
        <v>105.33</v>
      </c>
      <c r="H317" s="35">
        <f t="shared" si="8"/>
        <v>9</v>
      </c>
      <c r="I317" s="43">
        <f t="shared" si="9"/>
        <v>1330949.8800000001</v>
      </c>
    </row>
    <row r="318" spans="1:9" x14ac:dyDescent="0.2">
      <c r="A318" s="30">
        <v>45190</v>
      </c>
      <c r="B318" s="1" t="s">
        <v>55</v>
      </c>
      <c r="C318" s="38">
        <v>44956</v>
      </c>
      <c r="D318" s="3">
        <v>3888</v>
      </c>
      <c r="E318" s="32">
        <v>45141</v>
      </c>
      <c r="F318" s="2">
        <v>409523.04</v>
      </c>
      <c r="G318" s="5">
        <v>105.33</v>
      </c>
      <c r="H318" s="35">
        <f t="shared" si="8"/>
        <v>234</v>
      </c>
      <c r="I318" s="43">
        <f t="shared" si="9"/>
        <v>95828391.359999999</v>
      </c>
    </row>
    <row r="319" spans="1:9" x14ac:dyDescent="0.2">
      <c r="A319" s="30">
        <v>45184</v>
      </c>
      <c r="B319" s="1" t="s">
        <v>55</v>
      </c>
      <c r="C319" s="38">
        <v>45175</v>
      </c>
      <c r="D319" s="3">
        <v>1188</v>
      </c>
      <c r="E319" s="32">
        <v>45106</v>
      </c>
      <c r="F319" s="2">
        <v>125132.04</v>
      </c>
      <c r="G319" s="5">
        <v>105.33</v>
      </c>
      <c r="H319" s="35">
        <f t="shared" si="8"/>
        <v>9</v>
      </c>
      <c r="I319" s="43">
        <f t="shared" si="9"/>
        <v>1126188.3599999999</v>
      </c>
    </row>
    <row r="320" spans="1:9" x14ac:dyDescent="0.2">
      <c r="A320" s="30">
        <v>45210</v>
      </c>
      <c r="B320" s="1" t="s">
        <v>55</v>
      </c>
      <c r="C320" s="38">
        <v>44956</v>
      </c>
      <c r="D320" s="3">
        <v>216</v>
      </c>
      <c r="E320" s="32">
        <v>45203</v>
      </c>
      <c r="F320" s="2">
        <v>22751.279999999999</v>
      </c>
      <c r="G320" s="5">
        <v>105.33</v>
      </c>
      <c r="H320" s="35">
        <f t="shared" si="8"/>
        <v>254</v>
      </c>
      <c r="I320" s="43">
        <f t="shared" si="9"/>
        <v>5778825.1200000001</v>
      </c>
    </row>
    <row r="321" spans="1:9" x14ac:dyDescent="0.2">
      <c r="A321" s="30">
        <v>45198</v>
      </c>
      <c r="B321" s="1" t="s">
        <v>55</v>
      </c>
      <c r="C321" s="38">
        <v>45167</v>
      </c>
      <c r="D321" s="3">
        <v>1188</v>
      </c>
      <c r="E321" s="32">
        <v>45183</v>
      </c>
      <c r="F321" s="2">
        <v>125132.04</v>
      </c>
      <c r="G321" s="5">
        <v>105.33</v>
      </c>
      <c r="H321" s="35">
        <f t="shared" si="8"/>
        <v>31</v>
      </c>
      <c r="I321" s="43">
        <f t="shared" si="9"/>
        <v>3879093.2399999998</v>
      </c>
    </row>
    <row r="322" spans="1:9" x14ac:dyDescent="0.2">
      <c r="A322" s="30">
        <v>45338</v>
      </c>
      <c r="B322" s="1" t="s">
        <v>55</v>
      </c>
      <c r="C322" s="38">
        <v>44965</v>
      </c>
      <c r="D322" s="3">
        <v>864</v>
      </c>
      <c r="E322" s="32">
        <v>45331</v>
      </c>
      <c r="F322" s="2">
        <v>91005.119999999995</v>
      </c>
      <c r="G322" s="5">
        <v>105.33</v>
      </c>
      <c r="H322" s="35">
        <f t="shared" si="8"/>
        <v>373</v>
      </c>
      <c r="I322" s="43">
        <f t="shared" si="9"/>
        <v>33944909.759999998</v>
      </c>
    </row>
    <row r="323" spans="1:9" x14ac:dyDescent="0.2">
      <c r="A323" s="30">
        <v>45350</v>
      </c>
      <c r="B323" s="1" t="s">
        <v>55</v>
      </c>
      <c r="C323" s="38">
        <v>44995</v>
      </c>
      <c r="D323" s="3">
        <v>324</v>
      </c>
      <c r="E323" s="32">
        <v>45342</v>
      </c>
      <c r="F323" s="2">
        <v>34126.92</v>
      </c>
      <c r="G323" s="5">
        <v>105.33</v>
      </c>
      <c r="H323" s="35">
        <f t="shared" ref="H323:H386" si="10">IFERROR(A323-C323,"")</f>
        <v>355</v>
      </c>
      <c r="I323" s="43">
        <f t="shared" ref="I323:I386" si="11">H323*F323</f>
        <v>12115056.6</v>
      </c>
    </row>
    <row r="324" spans="1:9" x14ac:dyDescent="0.2">
      <c r="A324" s="30">
        <v>45195</v>
      </c>
      <c r="B324" s="1" t="s">
        <v>56</v>
      </c>
      <c r="C324" s="38">
        <v>44824</v>
      </c>
      <c r="D324" s="3">
        <v>2000</v>
      </c>
      <c r="E324" s="32">
        <v>45188</v>
      </c>
      <c r="F324" s="2">
        <v>3780</v>
      </c>
      <c r="G324" s="5">
        <v>1.89</v>
      </c>
      <c r="H324" s="35">
        <f t="shared" si="10"/>
        <v>371</v>
      </c>
      <c r="I324" s="43">
        <f t="shared" si="11"/>
        <v>1402380</v>
      </c>
    </row>
    <row r="325" spans="1:9" x14ac:dyDescent="0.2">
      <c r="A325" s="30">
        <v>45189</v>
      </c>
      <c r="B325" s="1" t="s">
        <v>130</v>
      </c>
      <c r="C325" s="38">
        <v>44824</v>
      </c>
      <c r="D325" s="3">
        <v>300</v>
      </c>
      <c r="E325" s="32">
        <v>45189</v>
      </c>
      <c r="F325" s="2">
        <v>3300</v>
      </c>
      <c r="G325" s="5">
        <v>11</v>
      </c>
      <c r="H325" s="35">
        <f t="shared" si="10"/>
        <v>365</v>
      </c>
      <c r="I325" s="43">
        <f t="shared" si="11"/>
        <v>1204500</v>
      </c>
    </row>
    <row r="326" spans="1:9" x14ac:dyDescent="0.2">
      <c r="A326" s="30">
        <v>45196</v>
      </c>
      <c r="B326" s="1" t="s">
        <v>131</v>
      </c>
      <c r="C326" s="38">
        <v>44896</v>
      </c>
      <c r="D326" s="3">
        <v>420</v>
      </c>
      <c r="E326" s="32">
        <v>45196</v>
      </c>
      <c r="F326" s="2">
        <v>3813.6</v>
      </c>
      <c r="G326" s="5">
        <v>9.08</v>
      </c>
      <c r="H326" s="35">
        <f t="shared" si="10"/>
        <v>300</v>
      </c>
      <c r="I326" s="43">
        <f t="shared" si="11"/>
        <v>1144080</v>
      </c>
    </row>
    <row r="327" spans="1:9" x14ac:dyDescent="0.2">
      <c r="A327" s="30">
        <v>45175</v>
      </c>
      <c r="B327" s="1" t="s">
        <v>58</v>
      </c>
      <c r="C327" s="38">
        <v>45175</v>
      </c>
      <c r="D327" s="3">
        <v>488</v>
      </c>
      <c r="E327" s="32">
        <v>44557</v>
      </c>
      <c r="F327" s="2">
        <v>214685.84</v>
      </c>
      <c r="G327" s="5">
        <v>439.93</v>
      </c>
      <c r="H327" s="35">
        <f t="shared" si="10"/>
        <v>0</v>
      </c>
      <c r="I327" s="43">
        <f t="shared" si="11"/>
        <v>0</v>
      </c>
    </row>
    <row r="328" spans="1:9" x14ac:dyDescent="0.2">
      <c r="A328" s="30">
        <v>45233</v>
      </c>
      <c r="B328" s="1" t="s">
        <v>58</v>
      </c>
      <c r="C328" s="38">
        <v>45152</v>
      </c>
      <c r="D328" s="3">
        <v>240</v>
      </c>
      <c r="E328" s="32">
        <v>44960</v>
      </c>
      <c r="F328" s="2">
        <v>105583.2</v>
      </c>
      <c r="G328" s="5">
        <v>439.93</v>
      </c>
      <c r="H328" s="35">
        <f t="shared" si="10"/>
        <v>81</v>
      </c>
      <c r="I328" s="43">
        <f t="shared" si="11"/>
        <v>8552239.1999999993</v>
      </c>
    </row>
    <row r="329" spans="1:9" x14ac:dyDescent="0.2">
      <c r="A329" s="30">
        <v>45209</v>
      </c>
      <c r="B329" s="1" t="s">
        <v>58</v>
      </c>
      <c r="C329" s="38">
        <v>44838</v>
      </c>
      <c r="D329" s="3">
        <v>240</v>
      </c>
      <c r="E329" s="32">
        <v>45209</v>
      </c>
      <c r="F329" s="2">
        <v>105583.2</v>
      </c>
      <c r="G329" s="5">
        <v>439.93</v>
      </c>
      <c r="H329" s="35">
        <f t="shared" si="10"/>
        <v>371</v>
      </c>
      <c r="I329" s="43">
        <f t="shared" si="11"/>
        <v>39171367.199999996</v>
      </c>
    </row>
    <row r="330" spans="1:9" x14ac:dyDescent="0.2">
      <c r="A330" s="30">
        <v>45195</v>
      </c>
      <c r="B330" s="1" t="s">
        <v>58</v>
      </c>
      <c r="C330" s="38">
        <v>44883</v>
      </c>
      <c r="D330" s="3">
        <v>360</v>
      </c>
      <c r="E330" s="32">
        <v>45188</v>
      </c>
      <c r="F330" s="2">
        <v>158374.79999999999</v>
      </c>
      <c r="G330" s="5">
        <v>439.93</v>
      </c>
      <c r="H330" s="35">
        <f t="shared" si="10"/>
        <v>312</v>
      </c>
      <c r="I330" s="43">
        <f t="shared" si="11"/>
        <v>49412937.599999994</v>
      </c>
    </row>
    <row r="331" spans="1:9" x14ac:dyDescent="0.2">
      <c r="A331" s="30">
        <v>45373</v>
      </c>
      <c r="B331" s="1" t="s">
        <v>58</v>
      </c>
      <c r="C331" s="38">
        <v>44923</v>
      </c>
      <c r="D331" s="3">
        <v>960</v>
      </c>
      <c r="E331" s="32">
        <v>45373</v>
      </c>
      <c r="F331" s="2">
        <v>422332.8</v>
      </c>
      <c r="G331" s="5">
        <v>439.93</v>
      </c>
      <c r="H331" s="35">
        <f t="shared" si="10"/>
        <v>450</v>
      </c>
      <c r="I331" s="43">
        <f t="shared" si="11"/>
        <v>190049760</v>
      </c>
    </row>
    <row r="332" spans="1:9" x14ac:dyDescent="0.2">
      <c r="A332" s="30">
        <v>45432</v>
      </c>
      <c r="B332" s="1" t="s">
        <v>58</v>
      </c>
      <c r="C332" s="38">
        <v>44951</v>
      </c>
      <c r="D332" s="3">
        <v>120</v>
      </c>
      <c r="E332" s="32">
        <v>45432</v>
      </c>
      <c r="F332" s="2">
        <v>52791.6</v>
      </c>
      <c r="G332" s="5">
        <v>439.93</v>
      </c>
      <c r="H332" s="35">
        <f t="shared" si="10"/>
        <v>481</v>
      </c>
      <c r="I332" s="43">
        <f t="shared" si="11"/>
        <v>25392759.599999998</v>
      </c>
    </row>
    <row r="333" spans="1:9" x14ac:dyDescent="0.2">
      <c r="A333" s="30">
        <v>45411</v>
      </c>
      <c r="B333" s="1" t="s">
        <v>58</v>
      </c>
      <c r="C333" s="38">
        <v>44944</v>
      </c>
      <c r="D333" s="3">
        <v>720</v>
      </c>
      <c r="E333" s="32">
        <v>45411</v>
      </c>
      <c r="F333" s="2">
        <v>316749.59999999998</v>
      </c>
      <c r="G333" s="5">
        <v>439.93</v>
      </c>
      <c r="H333" s="35">
        <f t="shared" si="10"/>
        <v>467</v>
      </c>
      <c r="I333" s="43">
        <f t="shared" si="11"/>
        <v>147922063.19999999</v>
      </c>
    </row>
    <row r="334" spans="1:9" x14ac:dyDescent="0.2">
      <c r="A334" s="30">
        <v>45450</v>
      </c>
      <c r="B334" s="1" t="s">
        <v>58</v>
      </c>
      <c r="C334" s="38">
        <v>44956</v>
      </c>
      <c r="D334" s="3">
        <v>240</v>
      </c>
      <c r="E334" s="32">
        <v>45450</v>
      </c>
      <c r="F334" s="2">
        <v>105583.2</v>
      </c>
      <c r="G334" s="5">
        <v>439.93</v>
      </c>
      <c r="H334" s="35">
        <f t="shared" si="10"/>
        <v>494</v>
      </c>
      <c r="I334" s="43">
        <f t="shared" si="11"/>
        <v>52158100.799999997</v>
      </c>
    </row>
    <row r="335" spans="1:9" x14ac:dyDescent="0.2">
      <c r="A335" s="30">
        <v>45219</v>
      </c>
      <c r="B335" s="1" t="s">
        <v>136</v>
      </c>
      <c r="C335" s="38">
        <v>45159</v>
      </c>
      <c r="D335" s="3">
        <v>2674</v>
      </c>
      <c r="E335" s="32">
        <v>44335</v>
      </c>
      <c r="F335" s="2">
        <v>380697.38</v>
      </c>
      <c r="G335" s="5">
        <v>142.37</v>
      </c>
      <c r="H335" s="35">
        <f t="shared" si="10"/>
        <v>60</v>
      </c>
      <c r="I335" s="43">
        <f t="shared" si="11"/>
        <v>22841842.800000001</v>
      </c>
    </row>
    <row r="336" spans="1:9" x14ac:dyDescent="0.2">
      <c r="A336" s="30">
        <v>45191</v>
      </c>
      <c r="B336" s="1" t="s">
        <v>136</v>
      </c>
      <c r="C336" s="38">
        <v>44771</v>
      </c>
      <c r="D336" s="3">
        <v>440</v>
      </c>
      <c r="E336" s="32">
        <v>44557</v>
      </c>
      <c r="F336" s="2">
        <v>62642.8</v>
      </c>
      <c r="G336" s="5">
        <v>142.37</v>
      </c>
      <c r="H336" s="35">
        <f t="shared" si="10"/>
        <v>420</v>
      </c>
      <c r="I336" s="43">
        <f t="shared" si="11"/>
        <v>26309976</v>
      </c>
    </row>
    <row r="337" spans="1:9" x14ac:dyDescent="0.2">
      <c r="A337" s="30">
        <v>45191</v>
      </c>
      <c r="B337" s="1" t="s">
        <v>136</v>
      </c>
      <c r="C337" s="38">
        <v>44771</v>
      </c>
      <c r="D337" s="3">
        <v>440</v>
      </c>
      <c r="E337" s="32">
        <v>44550</v>
      </c>
      <c r="F337" s="2">
        <v>62642.8</v>
      </c>
      <c r="G337" s="5">
        <v>142.37</v>
      </c>
      <c r="H337" s="35">
        <f t="shared" si="10"/>
        <v>420</v>
      </c>
      <c r="I337" s="43">
        <f t="shared" si="11"/>
        <v>26309976</v>
      </c>
    </row>
    <row r="338" spans="1:9" x14ac:dyDescent="0.2">
      <c r="A338" s="30">
        <v>45191</v>
      </c>
      <c r="B338" s="1" t="s">
        <v>136</v>
      </c>
      <c r="C338" s="38">
        <v>44771</v>
      </c>
      <c r="D338" s="3">
        <v>220</v>
      </c>
      <c r="E338" s="32">
        <v>44581</v>
      </c>
      <c r="F338" s="2">
        <v>31321.4</v>
      </c>
      <c r="G338" s="5">
        <v>142.37</v>
      </c>
      <c r="H338" s="35">
        <f t="shared" si="10"/>
        <v>420</v>
      </c>
      <c r="I338" s="43">
        <f t="shared" si="11"/>
        <v>13154988</v>
      </c>
    </row>
    <row r="339" spans="1:9" x14ac:dyDescent="0.2">
      <c r="A339" s="30">
        <v>45219</v>
      </c>
      <c r="B339" s="1" t="s">
        <v>136</v>
      </c>
      <c r="C339" s="38">
        <v>45159</v>
      </c>
      <c r="D339" s="3">
        <v>220</v>
      </c>
      <c r="E339" s="32">
        <v>44886</v>
      </c>
      <c r="F339" s="2">
        <v>31321.4</v>
      </c>
      <c r="G339" s="5">
        <v>142.37</v>
      </c>
      <c r="H339" s="35">
        <f t="shared" si="10"/>
        <v>60</v>
      </c>
      <c r="I339" s="43">
        <f t="shared" si="11"/>
        <v>1879284</v>
      </c>
    </row>
    <row r="340" spans="1:9" x14ac:dyDescent="0.2">
      <c r="A340" s="30">
        <v>45219</v>
      </c>
      <c r="B340" s="1" t="s">
        <v>136</v>
      </c>
      <c r="C340" s="38">
        <v>45159</v>
      </c>
      <c r="D340" s="3">
        <v>220</v>
      </c>
      <c r="E340" s="32">
        <v>44792</v>
      </c>
      <c r="F340" s="2">
        <v>31321.4</v>
      </c>
      <c r="G340" s="5">
        <v>142.37</v>
      </c>
      <c r="H340" s="35">
        <f t="shared" si="10"/>
        <v>60</v>
      </c>
      <c r="I340" s="43">
        <f t="shared" si="11"/>
        <v>1879284</v>
      </c>
    </row>
    <row r="341" spans="1:9" x14ac:dyDescent="0.2">
      <c r="A341" s="30">
        <v>45219</v>
      </c>
      <c r="B341" s="1" t="s">
        <v>136</v>
      </c>
      <c r="C341" s="38">
        <v>45159</v>
      </c>
      <c r="D341" s="3">
        <v>220</v>
      </c>
      <c r="E341" s="32">
        <v>44802</v>
      </c>
      <c r="F341" s="2">
        <v>31321.4</v>
      </c>
      <c r="G341" s="5">
        <v>142.37</v>
      </c>
      <c r="H341" s="35">
        <f t="shared" si="10"/>
        <v>60</v>
      </c>
      <c r="I341" s="43">
        <f t="shared" si="11"/>
        <v>1879284</v>
      </c>
    </row>
    <row r="342" spans="1:9" x14ac:dyDescent="0.2">
      <c r="A342" s="30">
        <v>45219</v>
      </c>
      <c r="B342" s="1" t="s">
        <v>136</v>
      </c>
      <c r="C342" s="38">
        <v>45159</v>
      </c>
      <c r="D342" s="3">
        <v>440</v>
      </c>
      <c r="E342" s="32">
        <v>44901</v>
      </c>
      <c r="F342" s="2">
        <v>62642.8</v>
      </c>
      <c r="G342" s="5">
        <v>142.37</v>
      </c>
      <c r="H342" s="35">
        <f t="shared" si="10"/>
        <v>60</v>
      </c>
      <c r="I342" s="43">
        <f t="shared" si="11"/>
        <v>3758568</v>
      </c>
    </row>
    <row r="343" spans="1:9" x14ac:dyDescent="0.2">
      <c r="A343" s="30">
        <v>45407</v>
      </c>
      <c r="B343" s="1" t="s">
        <v>113</v>
      </c>
      <c r="C343" s="38">
        <v>44837</v>
      </c>
      <c r="D343" s="3">
        <v>120</v>
      </c>
      <c r="E343" s="32">
        <v>45407</v>
      </c>
      <c r="F343" s="2">
        <v>10766.4</v>
      </c>
      <c r="G343" s="5">
        <v>89.72</v>
      </c>
      <c r="H343" s="35">
        <f t="shared" si="10"/>
        <v>570</v>
      </c>
      <c r="I343" s="43">
        <f t="shared" si="11"/>
        <v>6136848</v>
      </c>
    </row>
    <row r="344" spans="1:9" x14ac:dyDescent="0.2">
      <c r="A344" s="30">
        <v>45189</v>
      </c>
      <c r="B344" s="1" t="s">
        <v>113</v>
      </c>
      <c r="C344" s="38">
        <v>45180</v>
      </c>
      <c r="D344" s="3">
        <v>360</v>
      </c>
      <c r="E344" s="32">
        <v>45414</v>
      </c>
      <c r="F344" s="2">
        <v>32299.200000000001</v>
      </c>
      <c r="G344" s="5">
        <v>89.72</v>
      </c>
      <c r="H344" s="35">
        <f t="shared" si="10"/>
        <v>9</v>
      </c>
      <c r="I344" s="43">
        <f t="shared" si="11"/>
        <v>290692.8</v>
      </c>
    </row>
    <row r="345" spans="1:9" x14ac:dyDescent="0.2">
      <c r="A345" s="30">
        <v>45434</v>
      </c>
      <c r="B345" s="1" t="s">
        <v>113</v>
      </c>
      <c r="C345" s="38">
        <v>44981</v>
      </c>
      <c r="D345" s="3">
        <v>120</v>
      </c>
      <c r="E345" s="32">
        <v>45033</v>
      </c>
      <c r="F345" s="2">
        <v>10766.4</v>
      </c>
      <c r="G345" s="5">
        <v>89.72</v>
      </c>
      <c r="H345" s="35">
        <f t="shared" si="10"/>
        <v>453</v>
      </c>
      <c r="I345" s="43">
        <f t="shared" si="11"/>
        <v>4877179.2</v>
      </c>
    </row>
    <row r="346" spans="1:9" x14ac:dyDescent="0.2">
      <c r="A346" s="30">
        <v>45512</v>
      </c>
      <c r="B346" s="1" t="s">
        <v>113</v>
      </c>
      <c r="C346" s="38">
        <v>44981</v>
      </c>
      <c r="D346" s="3">
        <v>120</v>
      </c>
      <c r="E346" s="32">
        <v>45107</v>
      </c>
      <c r="F346" s="2">
        <v>10766.4</v>
      </c>
      <c r="G346" s="5">
        <v>89.72</v>
      </c>
      <c r="H346" s="35">
        <f t="shared" si="10"/>
        <v>531</v>
      </c>
      <c r="I346" s="43">
        <f t="shared" si="11"/>
        <v>5716958.3999999994</v>
      </c>
    </row>
    <row r="347" spans="1:9" x14ac:dyDescent="0.2">
      <c r="A347" s="30">
        <v>45308</v>
      </c>
      <c r="B347" s="1" t="s">
        <v>113</v>
      </c>
      <c r="C347" s="38">
        <v>44956</v>
      </c>
      <c r="D347" s="3">
        <v>240</v>
      </c>
      <c r="E347" s="32">
        <v>45282</v>
      </c>
      <c r="F347" s="2">
        <v>21532.799999999999</v>
      </c>
      <c r="G347" s="5">
        <v>89.72</v>
      </c>
      <c r="H347" s="35">
        <f t="shared" si="10"/>
        <v>352</v>
      </c>
      <c r="I347" s="43">
        <f t="shared" si="11"/>
        <v>7579545.5999999996</v>
      </c>
    </row>
    <row r="348" spans="1:9" x14ac:dyDescent="0.2">
      <c r="A348" s="30">
        <v>45317</v>
      </c>
      <c r="B348" s="1" t="s">
        <v>113</v>
      </c>
      <c r="C348" s="38">
        <v>44965</v>
      </c>
      <c r="D348" s="3">
        <v>360</v>
      </c>
      <c r="E348" s="32">
        <v>45279</v>
      </c>
      <c r="F348" s="2">
        <v>32299.200000000001</v>
      </c>
      <c r="G348" s="5">
        <v>89.72</v>
      </c>
      <c r="H348" s="35">
        <f t="shared" si="10"/>
        <v>352</v>
      </c>
      <c r="I348" s="43">
        <f t="shared" si="11"/>
        <v>11369318.4</v>
      </c>
    </row>
    <row r="349" spans="1:9" x14ac:dyDescent="0.2">
      <c r="A349" s="30">
        <v>45322</v>
      </c>
      <c r="B349" s="1" t="s">
        <v>113</v>
      </c>
      <c r="C349" s="38">
        <v>44970</v>
      </c>
      <c r="D349" s="3">
        <v>120</v>
      </c>
      <c r="E349" s="32">
        <v>45314</v>
      </c>
      <c r="F349" s="2">
        <v>10766.4</v>
      </c>
      <c r="G349" s="5">
        <v>89.72</v>
      </c>
      <c r="H349" s="35">
        <f t="shared" si="10"/>
        <v>352</v>
      </c>
      <c r="I349" s="43">
        <f t="shared" si="11"/>
        <v>3789772.7999999998</v>
      </c>
    </row>
    <row r="350" spans="1:9" x14ac:dyDescent="0.2">
      <c r="A350" s="30">
        <v>45342</v>
      </c>
      <c r="B350" s="1" t="s">
        <v>59</v>
      </c>
      <c r="C350" s="38">
        <v>44982</v>
      </c>
      <c r="D350" s="3">
        <v>3780</v>
      </c>
      <c r="E350" s="32">
        <v>45334</v>
      </c>
      <c r="F350" s="2">
        <v>54280.800000000003</v>
      </c>
      <c r="G350" s="5">
        <v>14.36</v>
      </c>
      <c r="H350" s="35">
        <f t="shared" si="10"/>
        <v>360</v>
      </c>
      <c r="I350" s="43">
        <f t="shared" si="11"/>
        <v>19541088</v>
      </c>
    </row>
    <row r="351" spans="1:9" x14ac:dyDescent="0.2">
      <c r="A351" s="30">
        <v>45188</v>
      </c>
      <c r="B351" s="1" t="s">
        <v>60</v>
      </c>
      <c r="C351" s="38">
        <v>44824</v>
      </c>
      <c r="D351" s="3">
        <v>3024</v>
      </c>
      <c r="E351" s="32">
        <v>45188</v>
      </c>
      <c r="F351" s="2">
        <v>130243.68</v>
      </c>
      <c r="G351" s="5">
        <v>43.07</v>
      </c>
      <c r="H351" s="35">
        <f t="shared" si="10"/>
        <v>364</v>
      </c>
      <c r="I351" s="43">
        <f t="shared" si="11"/>
        <v>47408699.519999996</v>
      </c>
    </row>
    <row r="352" spans="1:9" x14ac:dyDescent="0.2">
      <c r="A352" s="30">
        <v>45175</v>
      </c>
      <c r="B352" s="1" t="s">
        <v>61</v>
      </c>
      <c r="C352" s="38">
        <v>45169</v>
      </c>
      <c r="D352" s="3">
        <v>252</v>
      </c>
      <c r="E352" s="32">
        <v>45114</v>
      </c>
      <c r="F352" s="2">
        <v>21089.88</v>
      </c>
      <c r="G352" s="5">
        <v>83.69</v>
      </c>
      <c r="H352" s="35">
        <f t="shared" si="10"/>
        <v>6</v>
      </c>
      <c r="I352" s="43">
        <f t="shared" si="11"/>
        <v>126539.28</v>
      </c>
    </row>
    <row r="353" spans="1:9" x14ac:dyDescent="0.2">
      <c r="A353" s="30">
        <v>45329</v>
      </c>
      <c r="B353" s="1" t="s">
        <v>61</v>
      </c>
      <c r="C353" s="38">
        <v>44978</v>
      </c>
      <c r="D353" s="3">
        <v>252</v>
      </c>
      <c r="E353" s="32">
        <v>45230</v>
      </c>
      <c r="F353" s="2">
        <v>21089.88</v>
      </c>
      <c r="G353" s="5">
        <v>83.69</v>
      </c>
      <c r="H353" s="35">
        <f t="shared" si="10"/>
        <v>351</v>
      </c>
      <c r="I353" s="43">
        <f t="shared" si="11"/>
        <v>7402547.8800000008</v>
      </c>
    </row>
    <row r="354" spans="1:9" x14ac:dyDescent="0.2">
      <c r="A354" s="30">
        <v>45245</v>
      </c>
      <c r="B354" s="1" t="s">
        <v>61</v>
      </c>
      <c r="C354" s="38">
        <v>44978</v>
      </c>
      <c r="D354" s="3">
        <v>252</v>
      </c>
      <c r="E354" s="32">
        <v>45237</v>
      </c>
      <c r="F354" s="2">
        <v>21089.88</v>
      </c>
      <c r="G354" s="5">
        <v>83.69</v>
      </c>
      <c r="H354" s="35">
        <f t="shared" si="10"/>
        <v>267</v>
      </c>
      <c r="I354" s="43">
        <f t="shared" si="11"/>
        <v>5630997.96</v>
      </c>
    </row>
    <row r="355" spans="1:9" x14ac:dyDescent="0.2">
      <c r="A355" s="30">
        <v>45320</v>
      </c>
      <c r="B355" s="1" t="s">
        <v>61</v>
      </c>
      <c r="C355" s="38">
        <v>44984</v>
      </c>
      <c r="D355" s="3">
        <v>504</v>
      </c>
      <c r="E355" s="32">
        <v>45237</v>
      </c>
      <c r="F355" s="2">
        <v>42179.76</v>
      </c>
      <c r="G355" s="5">
        <v>83.69</v>
      </c>
      <c r="H355" s="35">
        <f t="shared" si="10"/>
        <v>336</v>
      </c>
      <c r="I355" s="43">
        <f t="shared" si="11"/>
        <v>14172399.360000001</v>
      </c>
    </row>
    <row r="356" spans="1:9" x14ac:dyDescent="0.2">
      <c r="A356" s="30">
        <v>45357</v>
      </c>
      <c r="B356" s="1" t="s">
        <v>61</v>
      </c>
      <c r="C356" s="38">
        <v>44984</v>
      </c>
      <c r="D356" s="3">
        <v>252</v>
      </c>
      <c r="E356" s="32">
        <v>45357</v>
      </c>
      <c r="F356" s="2">
        <v>21089.88</v>
      </c>
      <c r="G356" s="5">
        <v>83.69</v>
      </c>
      <c r="H356" s="35">
        <f t="shared" si="10"/>
        <v>373</v>
      </c>
      <c r="I356" s="43">
        <f t="shared" si="11"/>
        <v>7866525.2400000002</v>
      </c>
    </row>
    <row r="357" spans="1:9" x14ac:dyDescent="0.2">
      <c r="A357" s="30">
        <v>45329</v>
      </c>
      <c r="B357" s="1" t="s">
        <v>137</v>
      </c>
      <c r="C357" s="38">
        <v>44978</v>
      </c>
      <c r="D357" s="3">
        <v>252</v>
      </c>
      <c r="E357" s="32">
        <v>44848</v>
      </c>
      <c r="F357" s="2">
        <v>28002.240000000002</v>
      </c>
      <c r="G357" s="5">
        <v>111.12</v>
      </c>
      <c r="H357" s="35">
        <f t="shared" si="10"/>
        <v>351</v>
      </c>
      <c r="I357" s="43">
        <f t="shared" si="11"/>
        <v>9828786.2400000002</v>
      </c>
    </row>
    <row r="358" spans="1:9" x14ac:dyDescent="0.2">
      <c r="A358" s="30">
        <v>45329</v>
      </c>
      <c r="B358" s="1" t="s">
        <v>137</v>
      </c>
      <c r="C358" s="38">
        <v>44978</v>
      </c>
      <c r="D358" s="3">
        <v>252</v>
      </c>
      <c r="E358" s="32">
        <v>45195</v>
      </c>
      <c r="F358" s="2">
        <v>28002.240000000002</v>
      </c>
      <c r="G358" s="5">
        <v>111.12</v>
      </c>
      <c r="H358" s="35">
        <f t="shared" si="10"/>
        <v>351</v>
      </c>
      <c r="I358" s="43">
        <f t="shared" si="11"/>
        <v>9828786.2400000002</v>
      </c>
    </row>
    <row r="359" spans="1:9" x14ac:dyDescent="0.2">
      <c r="A359" s="30">
        <v>45212</v>
      </c>
      <c r="B359" s="1" t="s">
        <v>138</v>
      </c>
      <c r="C359" s="38">
        <v>45159</v>
      </c>
      <c r="D359" s="3">
        <v>120</v>
      </c>
      <c r="E359" s="32">
        <v>44988</v>
      </c>
      <c r="F359" s="2">
        <v>28645.200000000001</v>
      </c>
      <c r="G359" s="5">
        <v>238.71</v>
      </c>
      <c r="H359" s="35">
        <f t="shared" si="10"/>
        <v>53</v>
      </c>
      <c r="I359" s="43">
        <f t="shared" si="11"/>
        <v>1518195.6</v>
      </c>
    </row>
    <row r="360" spans="1:9" x14ac:dyDescent="0.2">
      <c r="A360" s="30">
        <v>45308</v>
      </c>
      <c r="B360" s="1" t="s">
        <v>112</v>
      </c>
      <c r="C360" s="38">
        <v>44951</v>
      </c>
      <c r="D360" s="3">
        <v>27000</v>
      </c>
      <c r="E360" s="32">
        <v>45308</v>
      </c>
      <c r="F360" s="2">
        <v>2700</v>
      </c>
      <c r="G360" s="5">
        <v>0.1</v>
      </c>
      <c r="H360" s="35">
        <f t="shared" si="10"/>
        <v>357</v>
      </c>
      <c r="I360" s="43">
        <f t="shared" si="11"/>
        <v>963900</v>
      </c>
    </row>
    <row r="361" spans="1:9" x14ac:dyDescent="0.2">
      <c r="A361" s="30">
        <v>45189</v>
      </c>
      <c r="B361" s="1" t="s">
        <v>65</v>
      </c>
      <c r="C361" s="38">
        <v>44837</v>
      </c>
      <c r="D361" s="3">
        <v>400</v>
      </c>
      <c r="E361" s="32">
        <v>45184</v>
      </c>
      <c r="F361" s="2">
        <v>43968</v>
      </c>
      <c r="G361" s="5">
        <v>109.92</v>
      </c>
      <c r="H361" s="35">
        <f t="shared" si="10"/>
        <v>352</v>
      </c>
      <c r="I361" s="43">
        <f t="shared" si="11"/>
        <v>15476736</v>
      </c>
    </row>
    <row r="362" spans="1:9" x14ac:dyDescent="0.2">
      <c r="A362" s="30">
        <v>45233</v>
      </c>
      <c r="B362" s="1" t="s">
        <v>65</v>
      </c>
      <c r="C362" s="38">
        <v>44838</v>
      </c>
      <c r="D362" s="3">
        <v>600</v>
      </c>
      <c r="E362" s="32">
        <v>45233</v>
      </c>
      <c r="F362" s="2">
        <v>65952</v>
      </c>
      <c r="G362" s="5">
        <v>109.92</v>
      </c>
      <c r="H362" s="35">
        <f t="shared" si="10"/>
        <v>395</v>
      </c>
      <c r="I362" s="43">
        <f t="shared" si="11"/>
        <v>26051040</v>
      </c>
    </row>
    <row r="363" spans="1:9" x14ac:dyDescent="0.2">
      <c r="A363" s="30">
        <v>45226</v>
      </c>
      <c r="B363" s="1" t="s">
        <v>65</v>
      </c>
      <c r="C363" s="38">
        <v>44837</v>
      </c>
      <c r="D363" s="3">
        <v>200</v>
      </c>
      <c r="E363" s="32">
        <v>45226</v>
      </c>
      <c r="F363" s="2">
        <v>21984</v>
      </c>
      <c r="G363" s="5">
        <v>109.92</v>
      </c>
      <c r="H363" s="35">
        <f t="shared" si="10"/>
        <v>389</v>
      </c>
      <c r="I363" s="43">
        <f t="shared" si="11"/>
        <v>8551776</v>
      </c>
    </row>
    <row r="364" spans="1:9" x14ac:dyDescent="0.2">
      <c r="A364" s="30">
        <v>45233</v>
      </c>
      <c r="B364" s="1" t="s">
        <v>65</v>
      </c>
      <c r="C364" s="38">
        <v>44882</v>
      </c>
      <c r="D364" s="3">
        <v>600</v>
      </c>
      <c r="E364" s="32">
        <v>45233</v>
      </c>
      <c r="F364" s="2">
        <v>65952</v>
      </c>
      <c r="G364" s="5">
        <v>109.92</v>
      </c>
      <c r="H364" s="35">
        <f t="shared" si="10"/>
        <v>351</v>
      </c>
      <c r="I364" s="43">
        <f t="shared" si="11"/>
        <v>23149152</v>
      </c>
    </row>
    <row r="365" spans="1:9" x14ac:dyDescent="0.2">
      <c r="A365" s="30">
        <v>45310</v>
      </c>
      <c r="B365" s="1" t="s">
        <v>65</v>
      </c>
      <c r="C365" s="38">
        <v>44936</v>
      </c>
      <c r="D365" s="3">
        <v>600</v>
      </c>
      <c r="E365" s="32">
        <v>45310</v>
      </c>
      <c r="F365" s="2">
        <v>65952</v>
      </c>
      <c r="G365" s="5">
        <v>109.92</v>
      </c>
      <c r="H365" s="35">
        <f t="shared" si="10"/>
        <v>374</v>
      </c>
      <c r="I365" s="43">
        <f t="shared" si="11"/>
        <v>24666048</v>
      </c>
    </row>
    <row r="366" spans="1:9" x14ac:dyDescent="0.2">
      <c r="A366" s="30">
        <v>45323</v>
      </c>
      <c r="B366" s="1" t="s">
        <v>65</v>
      </c>
      <c r="C366" s="38">
        <v>44944</v>
      </c>
      <c r="D366" s="3">
        <v>600</v>
      </c>
      <c r="E366" s="32">
        <v>45323</v>
      </c>
      <c r="F366" s="2">
        <v>65952</v>
      </c>
      <c r="G366" s="5">
        <v>109.92</v>
      </c>
      <c r="H366" s="35">
        <f t="shared" si="10"/>
        <v>379</v>
      </c>
      <c r="I366" s="43">
        <f t="shared" si="11"/>
        <v>24995808</v>
      </c>
    </row>
    <row r="367" spans="1:9" x14ac:dyDescent="0.2">
      <c r="A367" s="30">
        <v>45322</v>
      </c>
      <c r="B367" s="1" t="s">
        <v>65</v>
      </c>
      <c r="C367" s="38">
        <v>44970</v>
      </c>
      <c r="D367" s="3">
        <v>400</v>
      </c>
      <c r="E367" s="32">
        <v>45314</v>
      </c>
      <c r="F367" s="2">
        <v>43968</v>
      </c>
      <c r="G367" s="5">
        <v>109.92</v>
      </c>
      <c r="H367" s="35">
        <f t="shared" si="10"/>
        <v>352</v>
      </c>
      <c r="I367" s="43">
        <f t="shared" si="11"/>
        <v>15476736</v>
      </c>
    </row>
    <row r="368" spans="1:9" x14ac:dyDescent="0.2">
      <c r="A368" s="30">
        <v>45373</v>
      </c>
      <c r="B368" s="1" t="s">
        <v>65</v>
      </c>
      <c r="C368" s="38">
        <v>44982</v>
      </c>
      <c r="D368" s="3">
        <v>600</v>
      </c>
      <c r="E368" s="32">
        <v>45373</v>
      </c>
      <c r="F368" s="2">
        <v>65952</v>
      </c>
      <c r="G368" s="5">
        <v>109.92</v>
      </c>
      <c r="H368" s="35">
        <f t="shared" si="10"/>
        <v>391</v>
      </c>
      <c r="I368" s="43">
        <f t="shared" si="11"/>
        <v>25787232</v>
      </c>
    </row>
    <row r="369" spans="1:9" x14ac:dyDescent="0.2">
      <c r="A369" s="30">
        <v>45334</v>
      </c>
      <c r="B369" s="1" t="s">
        <v>65</v>
      </c>
      <c r="C369" s="38">
        <v>44982</v>
      </c>
      <c r="D369" s="3">
        <v>600</v>
      </c>
      <c r="E369" s="32">
        <v>45329</v>
      </c>
      <c r="F369" s="2">
        <v>65952</v>
      </c>
      <c r="G369" s="5">
        <v>109.92</v>
      </c>
      <c r="H369" s="35">
        <f t="shared" si="10"/>
        <v>352</v>
      </c>
      <c r="I369" s="43">
        <f t="shared" si="11"/>
        <v>23215104</v>
      </c>
    </row>
    <row r="370" spans="1:9" x14ac:dyDescent="0.2">
      <c r="A370" s="30">
        <v>45394</v>
      </c>
      <c r="B370" s="1" t="s">
        <v>65</v>
      </c>
      <c r="C370" s="38">
        <v>44999</v>
      </c>
      <c r="D370" s="3">
        <v>600</v>
      </c>
      <c r="E370" s="32">
        <v>45394</v>
      </c>
      <c r="F370" s="2">
        <v>65952</v>
      </c>
      <c r="G370" s="5">
        <v>109.92</v>
      </c>
      <c r="H370" s="35">
        <f t="shared" si="10"/>
        <v>395</v>
      </c>
      <c r="I370" s="43">
        <f t="shared" si="11"/>
        <v>26051040</v>
      </c>
    </row>
    <row r="371" spans="1:9" x14ac:dyDescent="0.2">
      <c r="A371" s="30">
        <v>45476</v>
      </c>
      <c r="B371" s="1" t="s">
        <v>65</v>
      </c>
      <c r="C371" s="38">
        <v>45124</v>
      </c>
      <c r="D371" s="3">
        <v>600</v>
      </c>
      <c r="E371" s="32">
        <v>45463</v>
      </c>
      <c r="F371" s="2">
        <v>65952</v>
      </c>
      <c r="G371" s="5">
        <v>109.92</v>
      </c>
      <c r="H371" s="35">
        <f t="shared" si="10"/>
        <v>352</v>
      </c>
      <c r="I371" s="43">
        <f t="shared" si="11"/>
        <v>23215104</v>
      </c>
    </row>
    <row r="372" spans="1:9" x14ac:dyDescent="0.2">
      <c r="A372" s="30">
        <v>45491</v>
      </c>
      <c r="B372" s="1" t="s">
        <v>65</v>
      </c>
      <c r="C372" s="38">
        <v>45139</v>
      </c>
      <c r="D372" s="3">
        <v>800</v>
      </c>
      <c r="E372" s="32">
        <v>45491</v>
      </c>
      <c r="F372" s="2">
        <v>87936</v>
      </c>
      <c r="G372" s="5">
        <v>109.92</v>
      </c>
      <c r="H372" s="35">
        <f t="shared" si="10"/>
        <v>352</v>
      </c>
      <c r="I372" s="43">
        <f t="shared" si="11"/>
        <v>30953472</v>
      </c>
    </row>
    <row r="373" spans="1:9" x14ac:dyDescent="0.2">
      <c r="A373" s="30">
        <v>45505</v>
      </c>
      <c r="B373" s="1" t="s">
        <v>65</v>
      </c>
      <c r="C373" s="38">
        <v>45145</v>
      </c>
      <c r="D373" s="3">
        <v>400</v>
      </c>
      <c r="E373" s="32">
        <v>45505</v>
      </c>
      <c r="F373" s="2">
        <v>43968</v>
      </c>
      <c r="G373" s="5">
        <v>109.92</v>
      </c>
      <c r="H373" s="35">
        <f t="shared" si="10"/>
        <v>360</v>
      </c>
      <c r="I373" s="43">
        <f t="shared" si="11"/>
        <v>15828480</v>
      </c>
    </row>
    <row r="374" spans="1:9" x14ac:dyDescent="0.2">
      <c r="A374" s="30">
        <v>45519</v>
      </c>
      <c r="B374" s="1" t="s">
        <v>65</v>
      </c>
      <c r="C374" s="38">
        <v>45158</v>
      </c>
      <c r="D374" s="3">
        <v>200</v>
      </c>
      <c r="E374" s="32">
        <v>45519</v>
      </c>
      <c r="F374" s="2">
        <v>21984</v>
      </c>
      <c r="G374" s="5">
        <v>109.92</v>
      </c>
      <c r="H374" s="35">
        <f t="shared" si="10"/>
        <v>361</v>
      </c>
      <c r="I374" s="43">
        <f t="shared" si="11"/>
        <v>7936224</v>
      </c>
    </row>
    <row r="375" spans="1:9" x14ac:dyDescent="0.2">
      <c r="A375" s="30">
        <v>45191</v>
      </c>
      <c r="B375" s="1" t="s">
        <v>66</v>
      </c>
      <c r="C375" s="38">
        <v>44956</v>
      </c>
      <c r="D375" s="3">
        <v>120</v>
      </c>
      <c r="E375" s="32">
        <v>44834</v>
      </c>
      <c r="F375" s="2">
        <v>51414</v>
      </c>
      <c r="G375" s="5">
        <v>428.45</v>
      </c>
      <c r="H375" s="35">
        <f t="shared" si="10"/>
        <v>235</v>
      </c>
      <c r="I375" s="43">
        <f t="shared" si="11"/>
        <v>12082290</v>
      </c>
    </row>
    <row r="376" spans="1:9" x14ac:dyDescent="0.2">
      <c r="A376" s="30">
        <v>45191</v>
      </c>
      <c r="B376" s="1" t="s">
        <v>66</v>
      </c>
      <c r="C376" s="38">
        <v>44956</v>
      </c>
      <c r="D376" s="3">
        <v>120</v>
      </c>
      <c r="E376" s="32">
        <v>44834</v>
      </c>
      <c r="F376" s="2">
        <v>51414</v>
      </c>
      <c r="G376" s="5">
        <v>428.45</v>
      </c>
      <c r="H376" s="35">
        <f t="shared" si="10"/>
        <v>235</v>
      </c>
      <c r="I376" s="43">
        <f t="shared" si="11"/>
        <v>12082290</v>
      </c>
    </row>
    <row r="377" spans="1:9" x14ac:dyDescent="0.2">
      <c r="A377" s="30">
        <v>45191</v>
      </c>
      <c r="B377" s="1" t="s">
        <v>66</v>
      </c>
      <c r="C377" s="38">
        <v>44956</v>
      </c>
      <c r="D377" s="3">
        <v>810</v>
      </c>
      <c r="E377" s="32">
        <v>44837</v>
      </c>
      <c r="F377" s="2">
        <v>347044.5</v>
      </c>
      <c r="G377" s="5">
        <v>428.45</v>
      </c>
      <c r="H377" s="35">
        <f t="shared" si="10"/>
        <v>235</v>
      </c>
      <c r="I377" s="43">
        <f t="shared" si="11"/>
        <v>81555457.5</v>
      </c>
    </row>
    <row r="378" spans="1:9" x14ac:dyDescent="0.2">
      <c r="A378" s="30">
        <v>45191</v>
      </c>
      <c r="B378" s="1" t="s">
        <v>66</v>
      </c>
      <c r="C378" s="38">
        <v>44956</v>
      </c>
      <c r="D378" s="3">
        <v>450</v>
      </c>
      <c r="E378" s="32">
        <v>44851</v>
      </c>
      <c r="F378" s="2">
        <v>192802.5</v>
      </c>
      <c r="G378" s="5">
        <v>428.45</v>
      </c>
      <c r="H378" s="35">
        <f t="shared" si="10"/>
        <v>235</v>
      </c>
      <c r="I378" s="43">
        <f t="shared" si="11"/>
        <v>45308587.5</v>
      </c>
    </row>
    <row r="379" spans="1:9" x14ac:dyDescent="0.2">
      <c r="A379" s="30">
        <v>45191</v>
      </c>
      <c r="B379" s="1" t="s">
        <v>66</v>
      </c>
      <c r="C379" s="38">
        <v>44956</v>
      </c>
      <c r="D379" s="3">
        <v>120</v>
      </c>
      <c r="E379" s="32">
        <v>44851</v>
      </c>
      <c r="F379" s="2">
        <v>51414</v>
      </c>
      <c r="G379" s="5">
        <v>428.45</v>
      </c>
      <c r="H379" s="35">
        <f t="shared" si="10"/>
        <v>235</v>
      </c>
      <c r="I379" s="43">
        <f t="shared" si="11"/>
        <v>12082290</v>
      </c>
    </row>
    <row r="380" spans="1:9" x14ac:dyDescent="0.2">
      <c r="A380" s="30">
        <v>45191</v>
      </c>
      <c r="B380" s="1" t="s">
        <v>66</v>
      </c>
      <c r="C380" s="38">
        <v>44956</v>
      </c>
      <c r="D380" s="3">
        <v>2880</v>
      </c>
      <c r="E380" s="32">
        <v>44847</v>
      </c>
      <c r="F380" s="2">
        <v>1233936</v>
      </c>
      <c r="G380" s="5">
        <v>428.45</v>
      </c>
      <c r="H380" s="35">
        <f t="shared" si="10"/>
        <v>235</v>
      </c>
      <c r="I380" s="43">
        <f t="shared" si="11"/>
        <v>289974960</v>
      </c>
    </row>
    <row r="381" spans="1:9" x14ac:dyDescent="0.2">
      <c r="A381" s="30">
        <v>45184</v>
      </c>
      <c r="B381" s="1" t="s">
        <v>66</v>
      </c>
      <c r="C381" s="38">
        <v>45175</v>
      </c>
      <c r="D381" s="3">
        <v>900</v>
      </c>
      <c r="E381" s="32">
        <v>45142</v>
      </c>
      <c r="F381" s="2">
        <v>385605</v>
      </c>
      <c r="G381" s="5">
        <v>428.45</v>
      </c>
      <c r="H381" s="35">
        <f t="shared" si="10"/>
        <v>9</v>
      </c>
      <c r="I381" s="43">
        <f t="shared" si="11"/>
        <v>3470445</v>
      </c>
    </row>
    <row r="382" spans="1:9" x14ac:dyDescent="0.2">
      <c r="A382" s="30">
        <v>45224</v>
      </c>
      <c r="B382" s="1" t="s">
        <v>66</v>
      </c>
      <c r="C382" s="38">
        <v>45180</v>
      </c>
      <c r="D382" s="3">
        <v>330</v>
      </c>
      <c r="E382" s="32">
        <v>45194</v>
      </c>
      <c r="F382" s="2">
        <v>141388.5</v>
      </c>
      <c r="G382" s="5">
        <v>428.45</v>
      </c>
      <c r="H382" s="35">
        <f t="shared" si="10"/>
        <v>44</v>
      </c>
      <c r="I382" s="43">
        <f t="shared" si="11"/>
        <v>6221094</v>
      </c>
    </row>
    <row r="383" spans="1:9" x14ac:dyDescent="0.2">
      <c r="A383" s="30">
        <v>45224</v>
      </c>
      <c r="B383" s="1" t="s">
        <v>66</v>
      </c>
      <c r="C383" s="38">
        <v>45180</v>
      </c>
      <c r="D383" s="3">
        <v>3960</v>
      </c>
      <c r="E383" s="32">
        <v>45194</v>
      </c>
      <c r="F383" s="2">
        <v>1696662</v>
      </c>
      <c r="G383" s="5">
        <v>428.45</v>
      </c>
      <c r="H383" s="35">
        <f t="shared" si="10"/>
        <v>44</v>
      </c>
      <c r="I383" s="43">
        <f t="shared" si="11"/>
        <v>74653128</v>
      </c>
    </row>
    <row r="384" spans="1:9" x14ac:dyDescent="0.2">
      <c r="A384" s="30">
        <v>45329</v>
      </c>
      <c r="B384" s="1" t="s">
        <v>66</v>
      </c>
      <c r="C384" s="38">
        <v>44967</v>
      </c>
      <c r="D384" s="3">
        <v>1800</v>
      </c>
      <c r="E384" s="32">
        <v>45321</v>
      </c>
      <c r="F384" s="2">
        <v>771210</v>
      </c>
      <c r="G384" s="5">
        <v>428.45</v>
      </c>
      <c r="H384" s="35">
        <f t="shared" si="10"/>
        <v>362</v>
      </c>
      <c r="I384" s="43">
        <f t="shared" si="11"/>
        <v>279178020</v>
      </c>
    </row>
    <row r="385" spans="1:9" x14ac:dyDescent="0.2">
      <c r="A385" s="30">
        <v>45324</v>
      </c>
      <c r="B385" s="1" t="s">
        <v>66</v>
      </c>
      <c r="C385" s="38">
        <v>44967</v>
      </c>
      <c r="D385" s="3">
        <v>1560</v>
      </c>
      <c r="E385" s="32">
        <v>45299</v>
      </c>
      <c r="F385" s="2">
        <v>668382</v>
      </c>
      <c r="G385" s="5">
        <v>428.45</v>
      </c>
      <c r="H385" s="35">
        <f t="shared" si="10"/>
        <v>357</v>
      </c>
      <c r="I385" s="43">
        <f t="shared" si="11"/>
        <v>238612374</v>
      </c>
    </row>
    <row r="386" spans="1:9" x14ac:dyDescent="0.2">
      <c r="A386" s="30">
        <v>45366</v>
      </c>
      <c r="B386" s="1" t="s">
        <v>66</v>
      </c>
      <c r="C386" s="38">
        <v>44994</v>
      </c>
      <c r="D386" s="3">
        <v>2220</v>
      </c>
      <c r="E386" s="32">
        <v>45359</v>
      </c>
      <c r="F386" s="2">
        <v>951159</v>
      </c>
      <c r="G386" s="5">
        <v>428.45</v>
      </c>
      <c r="H386" s="35">
        <f t="shared" si="10"/>
        <v>372</v>
      </c>
      <c r="I386" s="43">
        <f t="shared" si="11"/>
        <v>353831148</v>
      </c>
    </row>
    <row r="387" spans="1:9" x14ac:dyDescent="0.2">
      <c r="A387" s="30">
        <v>45863</v>
      </c>
      <c r="B387" s="1" t="s">
        <v>66</v>
      </c>
      <c r="C387" s="38">
        <v>45092</v>
      </c>
      <c r="D387" s="3">
        <v>30</v>
      </c>
      <c r="E387" s="32">
        <v>45856</v>
      </c>
      <c r="F387" s="2">
        <v>12853.5</v>
      </c>
      <c r="G387" s="5">
        <v>428.45</v>
      </c>
      <c r="H387" s="35">
        <f t="shared" ref="H387:H450" si="12">IFERROR(A387-C387,"")</f>
        <v>771</v>
      </c>
      <c r="I387" s="43">
        <f t="shared" ref="I387:I450" si="13">H387*F387</f>
        <v>9910048.5</v>
      </c>
    </row>
    <row r="388" spans="1:9" x14ac:dyDescent="0.2">
      <c r="A388" s="30">
        <v>45184</v>
      </c>
      <c r="B388" s="1" t="s">
        <v>132</v>
      </c>
      <c r="C388" s="38">
        <v>45175</v>
      </c>
      <c r="D388" s="3">
        <v>576</v>
      </c>
      <c r="E388" s="32">
        <v>45124</v>
      </c>
      <c r="F388" s="2">
        <v>230204.16</v>
      </c>
      <c r="G388" s="5">
        <v>399.66</v>
      </c>
      <c r="H388" s="35">
        <f t="shared" si="12"/>
        <v>9</v>
      </c>
      <c r="I388" s="43">
        <f t="shared" si="13"/>
        <v>2071837.44</v>
      </c>
    </row>
    <row r="389" spans="1:9" x14ac:dyDescent="0.2">
      <c r="A389" s="30">
        <v>45427</v>
      </c>
      <c r="B389" s="1" t="s">
        <v>132</v>
      </c>
      <c r="C389" s="38">
        <v>45048</v>
      </c>
      <c r="D389" s="3">
        <v>576</v>
      </c>
      <c r="E389" s="32">
        <v>45420</v>
      </c>
      <c r="F389" s="2">
        <v>230204.16</v>
      </c>
      <c r="G389" s="5">
        <v>399.66</v>
      </c>
      <c r="H389" s="35">
        <f t="shared" si="12"/>
        <v>379</v>
      </c>
      <c r="I389" s="43">
        <f t="shared" si="13"/>
        <v>87247376.640000001</v>
      </c>
    </row>
    <row r="390" spans="1:9" x14ac:dyDescent="0.2">
      <c r="A390" s="30">
        <v>45471</v>
      </c>
      <c r="B390" s="1" t="s">
        <v>132</v>
      </c>
      <c r="C390" s="38">
        <v>45105</v>
      </c>
      <c r="D390" s="3">
        <v>576</v>
      </c>
      <c r="E390" s="32">
        <v>45464</v>
      </c>
      <c r="F390" s="2">
        <v>230204.16</v>
      </c>
      <c r="G390" s="5">
        <v>399.66</v>
      </c>
      <c r="H390" s="35">
        <f t="shared" si="12"/>
        <v>366</v>
      </c>
      <c r="I390" s="43">
        <f t="shared" si="13"/>
        <v>84254722.560000002</v>
      </c>
    </row>
    <row r="391" spans="1:9" x14ac:dyDescent="0.2">
      <c r="A391" s="30">
        <v>45532</v>
      </c>
      <c r="B391" s="1" t="s">
        <v>132</v>
      </c>
      <c r="C391" s="38">
        <v>45175</v>
      </c>
      <c r="D391" s="3">
        <v>1152</v>
      </c>
      <c r="E391" s="32">
        <v>45531</v>
      </c>
      <c r="F391" s="2">
        <v>460408.32000000001</v>
      </c>
      <c r="G391" s="5">
        <v>399.66</v>
      </c>
      <c r="H391" s="35">
        <f t="shared" si="12"/>
        <v>357</v>
      </c>
      <c r="I391" s="43">
        <f t="shared" si="13"/>
        <v>164365770.24000001</v>
      </c>
    </row>
    <row r="392" spans="1:9" x14ac:dyDescent="0.2">
      <c r="A392" s="30">
        <v>45252</v>
      </c>
      <c r="B392" s="1" t="s">
        <v>116</v>
      </c>
      <c r="C392" s="38">
        <v>44771</v>
      </c>
      <c r="D392" s="3">
        <v>1008</v>
      </c>
      <c r="E392" s="32">
        <v>45244</v>
      </c>
      <c r="F392" s="2">
        <v>71648.639999999999</v>
      </c>
      <c r="G392" s="5">
        <v>71.08</v>
      </c>
      <c r="H392" s="35">
        <f t="shared" si="12"/>
        <v>481</v>
      </c>
      <c r="I392" s="43">
        <f t="shared" si="13"/>
        <v>34462995.839999996</v>
      </c>
    </row>
    <row r="393" spans="1:9" x14ac:dyDescent="0.2">
      <c r="A393" s="30">
        <v>45258</v>
      </c>
      <c r="B393" s="1" t="s">
        <v>139</v>
      </c>
      <c r="C393" s="38">
        <v>44771</v>
      </c>
      <c r="D393" s="3">
        <v>308</v>
      </c>
      <c r="E393" s="32">
        <v>45246</v>
      </c>
      <c r="F393" s="2">
        <v>26281.64</v>
      </c>
      <c r="G393" s="5">
        <v>85.33</v>
      </c>
      <c r="H393" s="35">
        <f t="shared" si="12"/>
        <v>487</v>
      </c>
      <c r="I393" s="43">
        <f t="shared" si="13"/>
        <v>12799158.68</v>
      </c>
    </row>
    <row r="394" spans="1:9" x14ac:dyDescent="0.2">
      <c r="A394" s="30">
        <v>45261</v>
      </c>
      <c r="B394" s="1" t="s">
        <v>139</v>
      </c>
      <c r="C394" s="38">
        <v>44904</v>
      </c>
      <c r="D394" s="3">
        <v>308</v>
      </c>
      <c r="E394" s="32">
        <v>45246</v>
      </c>
      <c r="F394" s="2">
        <v>26281.64</v>
      </c>
      <c r="G394" s="5">
        <v>85.33</v>
      </c>
      <c r="H394" s="35">
        <f t="shared" si="12"/>
        <v>357</v>
      </c>
      <c r="I394" s="43">
        <f t="shared" si="13"/>
        <v>9382545.4800000004</v>
      </c>
    </row>
    <row r="395" spans="1:9" x14ac:dyDescent="0.2">
      <c r="A395" s="30">
        <v>45191</v>
      </c>
      <c r="B395" s="1" t="s">
        <v>140</v>
      </c>
      <c r="C395" s="38">
        <v>44771</v>
      </c>
      <c r="D395" s="3">
        <v>840</v>
      </c>
      <c r="E395" s="32">
        <v>44729</v>
      </c>
      <c r="F395" s="2">
        <v>12902.4</v>
      </c>
      <c r="G395" s="5">
        <v>15.36</v>
      </c>
      <c r="H395" s="35">
        <f t="shared" si="12"/>
        <v>420</v>
      </c>
      <c r="I395" s="43">
        <f t="shared" si="13"/>
        <v>5419008</v>
      </c>
    </row>
    <row r="396" spans="1:9" x14ac:dyDescent="0.2">
      <c r="A396" s="30">
        <v>45314</v>
      </c>
      <c r="B396" s="1" t="s">
        <v>140</v>
      </c>
      <c r="C396" s="38">
        <v>44900</v>
      </c>
      <c r="D396" s="3">
        <v>840</v>
      </c>
      <c r="E396" s="32">
        <v>45314</v>
      </c>
      <c r="F396" s="2">
        <v>12902.4</v>
      </c>
      <c r="G396" s="5">
        <v>15.36</v>
      </c>
      <c r="H396" s="35">
        <f t="shared" si="12"/>
        <v>414</v>
      </c>
      <c r="I396" s="43">
        <f t="shared" si="13"/>
        <v>5341593.5999999996</v>
      </c>
    </row>
    <row r="397" spans="1:9" x14ac:dyDescent="0.2">
      <c r="A397" s="30">
        <v>45363</v>
      </c>
      <c r="B397" s="1" t="s">
        <v>140</v>
      </c>
      <c r="C397" s="38">
        <v>44900</v>
      </c>
      <c r="D397" s="3">
        <v>840</v>
      </c>
      <c r="E397" s="32">
        <v>45363</v>
      </c>
      <c r="F397" s="2">
        <v>12902.4</v>
      </c>
      <c r="G397" s="5">
        <v>15.36</v>
      </c>
      <c r="H397" s="35">
        <f t="shared" si="12"/>
        <v>463</v>
      </c>
      <c r="I397" s="43">
        <f t="shared" si="13"/>
        <v>5973811.2000000002</v>
      </c>
    </row>
    <row r="398" spans="1:9" x14ac:dyDescent="0.2">
      <c r="A398" s="30">
        <v>45406</v>
      </c>
      <c r="B398" s="1" t="s">
        <v>140</v>
      </c>
      <c r="C398" s="38">
        <v>44907</v>
      </c>
      <c r="D398" s="3">
        <v>840</v>
      </c>
      <c r="E398" s="32">
        <v>45399</v>
      </c>
      <c r="F398" s="2">
        <v>12902.4</v>
      </c>
      <c r="G398" s="5">
        <v>15.36</v>
      </c>
      <c r="H398" s="35">
        <f t="shared" si="12"/>
        <v>499</v>
      </c>
      <c r="I398" s="43">
        <f t="shared" si="13"/>
        <v>6438297.5999999996</v>
      </c>
    </row>
    <row r="399" spans="1:9" x14ac:dyDescent="0.2">
      <c r="A399" s="30">
        <v>45428</v>
      </c>
      <c r="B399" s="1" t="s">
        <v>140</v>
      </c>
      <c r="C399" s="38">
        <v>44943</v>
      </c>
      <c r="D399" s="3">
        <v>420</v>
      </c>
      <c r="E399" s="32">
        <v>45428</v>
      </c>
      <c r="F399" s="2">
        <v>6451.2</v>
      </c>
      <c r="G399" s="5">
        <v>15.36</v>
      </c>
      <c r="H399" s="35">
        <f t="shared" si="12"/>
        <v>485</v>
      </c>
      <c r="I399" s="43">
        <f t="shared" si="13"/>
        <v>3128832</v>
      </c>
    </row>
    <row r="400" spans="1:9" x14ac:dyDescent="0.2">
      <c r="A400" s="30">
        <v>45467</v>
      </c>
      <c r="B400" s="1" t="s">
        <v>140</v>
      </c>
      <c r="C400" s="38">
        <v>44998</v>
      </c>
      <c r="D400" s="3">
        <v>840</v>
      </c>
      <c r="E400" s="32">
        <v>45467</v>
      </c>
      <c r="F400" s="2">
        <v>12902.4</v>
      </c>
      <c r="G400" s="5">
        <v>15.36</v>
      </c>
      <c r="H400" s="35">
        <f t="shared" si="12"/>
        <v>469</v>
      </c>
      <c r="I400" s="43">
        <f t="shared" si="13"/>
        <v>6051225.5999999996</v>
      </c>
    </row>
    <row r="401" spans="1:9" x14ac:dyDescent="0.2">
      <c r="A401" s="30">
        <v>45205</v>
      </c>
      <c r="B401" s="1" t="s">
        <v>68</v>
      </c>
      <c r="C401" s="38">
        <v>45141</v>
      </c>
      <c r="D401" s="3">
        <v>1820</v>
      </c>
      <c r="E401" s="32">
        <v>44774</v>
      </c>
      <c r="F401" s="2">
        <v>4459</v>
      </c>
      <c r="G401" s="5">
        <v>2.4500000000000002</v>
      </c>
      <c r="H401" s="35">
        <f t="shared" si="12"/>
        <v>64</v>
      </c>
      <c r="I401" s="43">
        <f t="shared" si="13"/>
        <v>285376</v>
      </c>
    </row>
    <row r="402" spans="1:9" x14ac:dyDescent="0.2">
      <c r="A402" s="30">
        <v>45205</v>
      </c>
      <c r="B402" s="1" t="s">
        <v>68</v>
      </c>
      <c r="C402" s="38">
        <v>45141</v>
      </c>
      <c r="D402" s="3">
        <v>1820</v>
      </c>
      <c r="E402" s="32">
        <v>44781</v>
      </c>
      <c r="F402" s="2">
        <v>4459</v>
      </c>
      <c r="G402" s="5">
        <v>2.4500000000000002</v>
      </c>
      <c r="H402" s="35">
        <f t="shared" si="12"/>
        <v>64</v>
      </c>
      <c r="I402" s="43">
        <f t="shared" si="13"/>
        <v>285376</v>
      </c>
    </row>
    <row r="403" spans="1:9" x14ac:dyDescent="0.2">
      <c r="A403" s="30">
        <v>45205</v>
      </c>
      <c r="B403" s="1" t="s">
        <v>68</v>
      </c>
      <c r="C403" s="38">
        <v>45141</v>
      </c>
      <c r="D403" s="3">
        <v>1820</v>
      </c>
      <c r="E403" s="32">
        <v>44788</v>
      </c>
      <c r="F403" s="2">
        <v>4459</v>
      </c>
      <c r="G403" s="5">
        <v>2.4500000000000002</v>
      </c>
      <c r="H403" s="35">
        <f t="shared" si="12"/>
        <v>64</v>
      </c>
      <c r="I403" s="43">
        <f t="shared" si="13"/>
        <v>285376</v>
      </c>
    </row>
    <row r="404" spans="1:9" x14ac:dyDescent="0.2">
      <c r="A404" s="30">
        <v>45205</v>
      </c>
      <c r="B404" s="1" t="s">
        <v>68</v>
      </c>
      <c r="C404" s="38">
        <v>45141</v>
      </c>
      <c r="D404" s="3">
        <v>1820</v>
      </c>
      <c r="E404" s="32">
        <v>44802</v>
      </c>
      <c r="F404" s="2">
        <v>4459</v>
      </c>
      <c r="G404" s="5">
        <v>2.4500000000000002</v>
      </c>
      <c r="H404" s="35">
        <f t="shared" si="12"/>
        <v>64</v>
      </c>
      <c r="I404" s="43">
        <f t="shared" si="13"/>
        <v>285376</v>
      </c>
    </row>
    <row r="405" spans="1:9" x14ac:dyDescent="0.2">
      <c r="A405" s="30">
        <v>45205</v>
      </c>
      <c r="B405" s="1" t="s">
        <v>68</v>
      </c>
      <c r="C405" s="38">
        <v>45141</v>
      </c>
      <c r="D405" s="3">
        <v>1820</v>
      </c>
      <c r="E405" s="32">
        <v>44799</v>
      </c>
      <c r="F405" s="2">
        <v>4459</v>
      </c>
      <c r="G405" s="5">
        <v>2.4500000000000002</v>
      </c>
      <c r="H405" s="35">
        <f t="shared" si="12"/>
        <v>64</v>
      </c>
      <c r="I405" s="43">
        <f t="shared" si="13"/>
        <v>285376</v>
      </c>
    </row>
    <row r="406" spans="1:9" x14ac:dyDescent="0.2">
      <c r="A406" s="30">
        <v>45202</v>
      </c>
      <c r="B406" s="1" t="s">
        <v>68</v>
      </c>
      <c r="C406" s="38">
        <v>44811</v>
      </c>
      <c r="D406" s="3">
        <v>7280</v>
      </c>
      <c r="E406" s="32">
        <v>45202</v>
      </c>
      <c r="F406" s="2">
        <v>17836</v>
      </c>
      <c r="G406" s="5">
        <v>2.4500000000000002</v>
      </c>
      <c r="H406" s="35">
        <f t="shared" si="12"/>
        <v>391</v>
      </c>
      <c r="I406" s="43">
        <f t="shared" si="13"/>
        <v>6973876</v>
      </c>
    </row>
    <row r="407" spans="1:9" x14ac:dyDescent="0.2">
      <c r="A407" s="30">
        <v>45524</v>
      </c>
      <c r="B407" s="1" t="s">
        <v>68</v>
      </c>
      <c r="C407" s="38">
        <v>45158</v>
      </c>
      <c r="D407" s="3">
        <v>1820</v>
      </c>
      <c r="E407" s="32">
        <v>45524</v>
      </c>
      <c r="F407" s="2">
        <v>4459</v>
      </c>
      <c r="G407" s="5">
        <v>2.4500000000000002</v>
      </c>
      <c r="H407" s="35">
        <f t="shared" si="12"/>
        <v>366</v>
      </c>
      <c r="I407" s="43">
        <f t="shared" si="13"/>
        <v>1631994</v>
      </c>
    </row>
    <row r="408" spans="1:9" x14ac:dyDescent="0.2">
      <c r="A408" s="30">
        <v>45183</v>
      </c>
      <c r="B408" s="1" t="s">
        <v>98</v>
      </c>
      <c r="C408" s="38">
        <v>44788</v>
      </c>
      <c r="D408" s="3">
        <v>84</v>
      </c>
      <c r="E408" s="32">
        <v>45183</v>
      </c>
      <c r="F408" s="2">
        <v>11361</v>
      </c>
      <c r="G408" s="5">
        <v>135.25</v>
      </c>
      <c r="H408" s="35">
        <f t="shared" si="12"/>
        <v>395</v>
      </c>
      <c r="I408" s="43">
        <f t="shared" si="13"/>
        <v>4487595</v>
      </c>
    </row>
    <row r="409" spans="1:9" x14ac:dyDescent="0.2">
      <c r="A409" s="30">
        <v>45211</v>
      </c>
      <c r="B409" s="1" t="s">
        <v>98</v>
      </c>
      <c r="C409" s="38">
        <v>44811</v>
      </c>
      <c r="D409" s="3">
        <v>84</v>
      </c>
      <c r="E409" s="32">
        <v>45211</v>
      </c>
      <c r="F409" s="2">
        <v>11361</v>
      </c>
      <c r="G409" s="5">
        <v>135.25</v>
      </c>
      <c r="H409" s="35">
        <f t="shared" si="12"/>
        <v>400</v>
      </c>
      <c r="I409" s="43">
        <f t="shared" si="13"/>
        <v>4544400</v>
      </c>
    </row>
    <row r="410" spans="1:9" x14ac:dyDescent="0.2">
      <c r="A410" s="30">
        <v>45212</v>
      </c>
      <c r="B410" s="1" t="s">
        <v>98</v>
      </c>
      <c r="C410" s="38">
        <v>45159</v>
      </c>
      <c r="D410" s="3">
        <v>84</v>
      </c>
      <c r="E410" s="32">
        <v>45127</v>
      </c>
      <c r="F410" s="2">
        <v>11361</v>
      </c>
      <c r="G410" s="5">
        <v>135.25</v>
      </c>
      <c r="H410" s="35">
        <f t="shared" si="12"/>
        <v>53</v>
      </c>
      <c r="I410" s="43">
        <f t="shared" si="13"/>
        <v>602133</v>
      </c>
    </row>
    <row r="411" spans="1:9" x14ac:dyDescent="0.2">
      <c r="A411" s="30">
        <v>45239</v>
      </c>
      <c r="B411" s="1" t="s">
        <v>98</v>
      </c>
      <c r="C411" s="38">
        <v>44978</v>
      </c>
      <c r="D411" s="3">
        <v>84</v>
      </c>
      <c r="E411" s="32">
        <v>45232</v>
      </c>
      <c r="F411" s="2">
        <v>11361</v>
      </c>
      <c r="G411" s="5">
        <v>135.25</v>
      </c>
      <c r="H411" s="35">
        <f t="shared" si="12"/>
        <v>261</v>
      </c>
      <c r="I411" s="43">
        <f t="shared" si="13"/>
        <v>2965221</v>
      </c>
    </row>
    <row r="412" spans="1:9" x14ac:dyDescent="0.2">
      <c r="A412" s="30">
        <v>45212</v>
      </c>
      <c r="B412" s="1" t="s">
        <v>98</v>
      </c>
      <c r="C412" s="38">
        <v>45159</v>
      </c>
      <c r="D412" s="3">
        <v>84</v>
      </c>
      <c r="E412" s="32">
        <v>45099</v>
      </c>
      <c r="F412" s="2">
        <v>11361</v>
      </c>
      <c r="G412" s="5">
        <v>135.25</v>
      </c>
      <c r="H412" s="35">
        <f t="shared" si="12"/>
        <v>53</v>
      </c>
      <c r="I412" s="43">
        <f t="shared" si="13"/>
        <v>602133</v>
      </c>
    </row>
    <row r="413" spans="1:9" x14ac:dyDescent="0.2">
      <c r="A413" s="30">
        <v>45233</v>
      </c>
      <c r="B413" s="1" t="s">
        <v>98</v>
      </c>
      <c r="C413" s="38">
        <v>44972</v>
      </c>
      <c r="D413" s="3">
        <v>168</v>
      </c>
      <c r="E413" s="32">
        <v>45113</v>
      </c>
      <c r="F413" s="2">
        <v>22722</v>
      </c>
      <c r="G413" s="5">
        <v>135.25</v>
      </c>
      <c r="H413" s="35">
        <f t="shared" si="12"/>
        <v>261</v>
      </c>
      <c r="I413" s="43">
        <f t="shared" si="13"/>
        <v>5930442</v>
      </c>
    </row>
    <row r="414" spans="1:9" x14ac:dyDescent="0.2">
      <c r="A414" s="30">
        <v>45376</v>
      </c>
      <c r="B414" s="1" t="s">
        <v>98</v>
      </c>
      <c r="C414" s="38">
        <v>44982</v>
      </c>
      <c r="D414" s="3">
        <v>84</v>
      </c>
      <c r="E414" s="32">
        <v>45376</v>
      </c>
      <c r="F414" s="2">
        <v>11361</v>
      </c>
      <c r="G414" s="5">
        <v>135.25</v>
      </c>
      <c r="H414" s="35">
        <f t="shared" si="12"/>
        <v>394</v>
      </c>
      <c r="I414" s="43">
        <f t="shared" si="13"/>
        <v>4476234</v>
      </c>
    </row>
    <row r="415" spans="1:9" x14ac:dyDescent="0.2">
      <c r="A415" s="30">
        <v>45362</v>
      </c>
      <c r="B415" s="1" t="s">
        <v>98</v>
      </c>
      <c r="C415" s="38">
        <v>45008</v>
      </c>
      <c r="D415" s="3">
        <v>1092</v>
      </c>
      <c r="E415" s="32">
        <v>45026</v>
      </c>
      <c r="F415" s="2">
        <v>147693</v>
      </c>
      <c r="G415" s="5">
        <v>135.25</v>
      </c>
      <c r="H415" s="35">
        <f t="shared" si="12"/>
        <v>354</v>
      </c>
      <c r="I415" s="43">
        <f t="shared" si="13"/>
        <v>52283322</v>
      </c>
    </row>
    <row r="416" spans="1:9" x14ac:dyDescent="0.2">
      <c r="A416" s="30">
        <v>45399</v>
      </c>
      <c r="B416" s="1" t="s">
        <v>98</v>
      </c>
      <c r="C416" s="38">
        <v>45013</v>
      </c>
      <c r="D416" s="3">
        <v>84</v>
      </c>
      <c r="E416" s="32">
        <v>45399</v>
      </c>
      <c r="F416" s="2">
        <v>11361</v>
      </c>
      <c r="G416" s="5">
        <v>135.25</v>
      </c>
      <c r="H416" s="35">
        <f t="shared" si="12"/>
        <v>386</v>
      </c>
      <c r="I416" s="43">
        <f t="shared" si="13"/>
        <v>4385346</v>
      </c>
    </row>
    <row r="417" spans="1:9" x14ac:dyDescent="0.2">
      <c r="A417" s="30">
        <v>45427</v>
      </c>
      <c r="B417" s="1" t="s">
        <v>98</v>
      </c>
      <c r="C417" s="38">
        <v>45027</v>
      </c>
      <c r="D417" s="3">
        <v>84</v>
      </c>
      <c r="E417" s="32">
        <v>45427</v>
      </c>
      <c r="F417" s="2">
        <v>11361</v>
      </c>
      <c r="G417" s="5">
        <v>135.25</v>
      </c>
      <c r="H417" s="35">
        <f t="shared" si="12"/>
        <v>400</v>
      </c>
      <c r="I417" s="43">
        <f t="shared" si="13"/>
        <v>4544400</v>
      </c>
    </row>
    <row r="418" spans="1:9" x14ac:dyDescent="0.2">
      <c r="A418" s="30">
        <v>45233</v>
      </c>
      <c r="B418" s="1" t="s">
        <v>69</v>
      </c>
      <c r="C418" s="38">
        <v>45153</v>
      </c>
      <c r="D418" s="3">
        <v>588</v>
      </c>
      <c r="E418" s="32">
        <v>44965</v>
      </c>
      <c r="F418" s="2">
        <v>60722.76</v>
      </c>
      <c r="G418" s="5">
        <v>103.27</v>
      </c>
      <c r="H418" s="35">
        <f t="shared" si="12"/>
        <v>80</v>
      </c>
      <c r="I418" s="43">
        <f t="shared" si="13"/>
        <v>4857820.8</v>
      </c>
    </row>
    <row r="419" spans="1:9" x14ac:dyDescent="0.2">
      <c r="A419" s="30">
        <v>45224</v>
      </c>
      <c r="B419" s="1" t="s">
        <v>70</v>
      </c>
      <c r="C419" s="38">
        <v>44771</v>
      </c>
      <c r="D419" s="3">
        <v>1120</v>
      </c>
      <c r="E419" s="32">
        <v>45217</v>
      </c>
      <c r="F419" s="2">
        <v>60737.599999999999</v>
      </c>
      <c r="G419" s="5">
        <v>54.23</v>
      </c>
      <c r="H419" s="35">
        <f t="shared" si="12"/>
        <v>453</v>
      </c>
      <c r="I419" s="43">
        <f t="shared" si="13"/>
        <v>27514132.800000001</v>
      </c>
    </row>
    <row r="420" spans="1:9" x14ac:dyDescent="0.2">
      <c r="A420" s="30">
        <v>45420</v>
      </c>
      <c r="B420" s="1" t="s">
        <v>70</v>
      </c>
      <c r="C420" s="38">
        <v>44846</v>
      </c>
      <c r="D420" s="3">
        <v>1120</v>
      </c>
      <c r="E420" s="32">
        <v>45420</v>
      </c>
      <c r="F420" s="2">
        <v>60737.599999999999</v>
      </c>
      <c r="G420" s="5">
        <v>54.23</v>
      </c>
      <c r="H420" s="35">
        <f t="shared" si="12"/>
        <v>574</v>
      </c>
      <c r="I420" s="43">
        <f t="shared" si="13"/>
        <v>34863382.399999999</v>
      </c>
    </row>
    <row r="421" spans="1:9" x14ac:dyDescent="0.2">
      <c r="A421" s="30">
        <v>45338</v>
      </c>
      <c r="B421" s="1" t="s">
        <v>71</v>
      </c>
      <c r="C421" s="38">
        <v>45161</v>
      </c>
      <c r="D421" s="3">
        <v>3528</v>
      </c>
      <c r="E421" s="32">
        <v>45223</v>
      </c>
      <c r="F421" s="2">
        <v>325951.92</v>
      </c>
      <c r="G421" s="5">
        <v>92.39</v>
      </c>
      <c r="H421" s="35">
        <f t="shared" si="12"/>
        <v>177</v>
      </c>
      <c r="I421" s="43">
        <f t="shared" si="13"/>
        <v>57693489.839999996</v>
      </c>
    </row>
    <row r="422" spans="1:9" x14ac:dyDescent="0.2">
      <c r="A422" s="30">
        <v>45338</v>
      </c>
      <c r="B422" s="1" t="s">
        <v>71</v>
      </c>
      <c r="C422" s="38">
        <v>45161</v>
      </c>
      <c r="D422" s="3">
        <v>3528</v>
      </c>
      <c r="E422" s="32">
        <v>45223</v>
      </c>
      <c r="F422" s="2">
        <v>325951.92</v>
      </c>
      <c r="G422" s="5">
        <v>92.39</v>
      </c>
      <c r="H422" s="35">
        <f t="shared" si="12"/>
        <v>177</v>
      </c>
      <c r="I422" s="43">
        <f t="shared" si="13"/>
        <v>57693489.839999996</v>
      </c>
    </row>
    <row r="423" spans="1:9" x14ac:dyDescent="0.2">
      <c r="A423" s="30">
        <v>45191</v>
      </c>
      <c r="B423" s="1" t="s">
        <v>72</v>
      </c>
      <c r="C423" s="38">
        <v>44771</v>
      </c>
      <c r="D423" s="3">
        <v>210</v>
      </c>
      <c r="E423" s="32">
        <v>44665</v>
      </c>
      <c r="F423" s="2">
        <v>85113</v>
      </c>
      <c r="G423" s="5">
        <v>405.3</v>
      </c>
      <c r="H423" s="35">
        <f t="shared" si="12"/>
        <v>420</v>
      </c>
      <c r="I423" s="43">
        <f t="shared" si="13"/>
        <v>35747460</v>
      </c>
    </row>
    <row r="424" spans="1:9" x14ac:dyDescent="0.2">
      <c r="A424" s="30">
        <v>45191</v>
      </c>
      <c r="B424" s="1" t="s">
        <v>72</v>
      </c>
      <c r="C424" s="38">
        <v>44771</v>
      </c>
      <c r="D424" s="3">
        <v>700</v>
      </c>
      <c r="E424" s="32">
        <v>44665</v>
      </c>
      <c r="F424" s="2">
        <v>283710</v>
      </c>
      <c r="G424" s="5">
        <v>405.3</v>
      </c>
      <c r="H424" s="35">
        <f t="shared" si="12"/>
        <v>420</v>
      </c>
      <c r="I424" s="43">
        <f t="shared" si="13"/>
        <v>119158200</v>
      </c>
    </row>
    <row r="425" spans="1:9" x14ac:dyDescent="0.2">
      <c r="A425" s="30">
        <v>45191</v>
      </c>
      <c r="B425" s="1" t="s">
        <v>72</v>
      </c>
      <c r="C425" s="38">
        <v>44771</v>
      </c>
      <c r="D425" s="3">
        <v>980</v>
      </c>
      <c r="E425" s="32">
        <v>44694</v>
      </c>
      <c r="F425" s="2">
        <v>397194</v>
      </c>
      <c r="G425" s="5">
        <v>405.3</v>
      </c>
      <c r="H425" s="35">
        <f t="shared" si="12"/>
        <v>420</v>
      </c>
      <c r="I425" s="43">
        <f t="shared" si="13"/>
        <v>166821480</v>
      </c>
    </row>
    <row r="426" spans="1:9" x14ac:dyDescent="0.2">
      <c r="A426" s="30">
        <v>45191</v>
      </c>
      <c r="B426" s="1" t="s">
        <v>72</v>
      </c>
      <c r="C426" s="38">
        <v>44771</v>
      </c>
      <c r="D426" s="3">
        <v>420</v>
      </c>
      <c r="E426" s="32">
        <v>44708</v>
      </c>
      <c r="F426" s="2">
        <v>170226</v>
      </c>
      <c r="G426" s="5">
        <v>405.3</v>
      </c>
      <c r="H426" s="35">
        <f t="shared" si="12"/>
        <v>420</v>
      </c>
      <c r="I426" s="43">
        <f t="shared" si="13"/>
        <v>71494920</v>
      </c>
    </row>
    <row r="427" spans="1:9" x14ac:dyDescent="0.2">
      <c r="A427" s="30">
        <v>45191</v>
      </c>
      <c r="B427" s="1" t="s">
        <v>72</v>
      </c>
      <c r="C427" s="38">
        <v>44771</v>
      </c>
      <c r="D427" s="3">
        <v>350</v>
      </c>
      <c r="E427" s="32">
        <v>44708</v>
      </c>
      <c r="F427" s="2">
        <v>141855</v>
      </c>
      <c r="G427" s="5">
        <v>405.3</v>
      </c>
      <c r="H427" s="35">
        <f t="shared" si="12"/>
        <v>420</v>
      </c>
      <c r="I427" s="43">
        <f t="shared" si="13"/>
        <v>59579100</v>
      </c>
    </row>
    <row r="428" spans="1:9" x14ac:dyDescent="0.2">
      <c r="A428" s="30">
        <v>45191</v>
      </c>
      <c r="B428" s="1" t="s">
        <v>72</v>
      </c>
      <c r="C428" s="38">
        <v>44771</v>
      </c>
      <c r="D428" s="3">
        <v>490</v>
      </c>
      <c r="E428" s="32">
        <v>44708</v>
      </c>
      <c r="F428" s="2">
        <v>198597</v>
      </c>
      <c r="G428" s="5">
        <v>405.3</v>
      </c>
      <c r="H428" s="35">
        <f t="shared" si="12"/>
        <v>420</v>
      </c>
      <c r="I428" s="43">
        <f t="shared" si="13"/>
        <v>83410740</v>
      </c>
    </row>
    <row r="429" spans="1:9" x14ac:dyDescent="0.2">
      <c r="A429" s="30">
        <v>45188</v>
      </c>
      <c r="B429" s="1" t="s">
        <v>72</v>
      </c>
      <c r="C429" s="38">
        <v>45177</v>
      </c>
      <c r="D429" s="3">
        <v>280</v>
      </c>
      <c r="E429" s="32">
        <v>45181</v>
      </c>
      <c r="F429" s="2">
        <v>113484</v>
      </c>
      <c r="G429" s="5">
        <v>405.3</v>
      </c>
      <c r="H429" s="35">
        <f t="shared" si="12"/>
        <v>11</v>
      </c>
      <c r="I429" s="43">
        <f t="shared" si="13"/>
        <v>1248324</v>
      </c>
    </row>
    <row r="430" spans="1:9" x14ac:dyDescent="0.2">
      <c r="A430" s="30">
        <v>45202</v>
      </c>
      <c r="B430" s="1" t="s">
        <v>72</v>
      </c>
      <c r="C430" s="38">
        <v>44811</v>
      </c>
      <c r="D430" s="3">
        <v>140</v>
      </c>
      <c r="E430" s="32">
        <v>45202</v>
      </c>
      <c r="F430" s="2">
        <v>56742</v>
      </c>
      <c r="G430" s="5">
        <v>405.3</v>
      </c>
      <c r="H430" s="35">
        <f t="shared" si="12"/>
        <v>391</v>
      </c>
      <c r="I430" s="43">
        <f t="shared" si="13"/>
        <v>22186122</v>
      </c>
    </row>
    <row r="431" spans="1:9" x14ac:dyDescent="0.2">
      <c r="A431" s="30">
        <v>45209</v>
      </c>
      <c r="B431" s="1" t="s">
        <v>72</v>
      </c>
      <c r="C431" s="38">
        <v>44824</v>
      </c>
      <c r="D431" s="3">
        <v>560</v>
      </c>
      <c r="E431" s="32">
        <v>45209</v>
      </c>
      <c r="F431" s="2">
        <v>226968</v>
      </c>
      <c r="G431" s="5">
        <v>405.3</v>
      </c>
      <c r="H431" s="35">
        <f t="shared" si="12"/>
        <v>385</v>
      </c>
      <c r="I431" s="43">
        <f t="shared" si="13"/>
        <v>87382680</v>
      </c>
    </row>
    <row r="432" spans="1:9" x14ac:dyDescent="0.2">
      <c r="A432" s="30">
        <v>45188</v>
      </c>
      <c r="B432" s="1" t="s">
        <v>73</v>
      </c>
      <c r="C432" s="38">
        <v>45177</v>
      </c>
      <c r="D432" s="3">
        <v>140</v>
      </c>
      <c r="E432" s="32">
        <v>45181</v>
      </c>
      <c r="F432" s="2">
        <v>58604</v>
      </c>
      <c r="G432" s="5">
        <v>418.6</v>
      </c>
      <c r="H432" s="35">
        <f t="shared" si="12"/>
        <v>11</v>
      </c>
      <c r="I432" s="43">
        <f t="shared" si="13"/>
        <v>644644</v>
      </c>
    </row>
    <row r="433" spans="1:9" x14ac:dyDescent="0.2">
      <c r="A433" s="30">
        <v>45212</v>
      </c>
      <c r="B433" s="1" t="s">
        <v>73</v>
      </c>
      <c r="C433" s="38">
        <v>44824</v>
      </c>
      <c r="D433" s="3">
        <v>210</v>
      </c>
      <c r="E433" s="32">
        <v>45212</v>
      </c>
      <c r="F433" s="2">
        <v>87906</v>
      </c>
      <c r="G433" s="5">
        <v>418.6</v>
      </c>
      <c r="H433" s="35">
        <f t="shared" si="12"/>
        <v>388</v>
      </c>
      <c r="I433" s="43">
        <f t="shared" si="13"/>
        <v>34107528</v>
      </c>
    </row>
    <row r="434" spans="1:9" x14ac:dyDescent="0.2">
      <c r="A434" s="30">
        <v>45191</v>
      </c>
      <c r="B434" s="1" t="s">
        <v>74</v>
      </c>
      <c r="C434" s="38">
        <v>44771</v>
      </c>
      <c r="D434" s="3">
        <v>210</v>
      </c>
      <c r="E434" s="32">
        <v>44676</v>
      </c>
      <c r="F434" s="2">
        <v>78649.2</v>
      </c>
      <c r="G434" s="5">
        <v>374.52</v>
      </c>
      <c r="H434" s="35">
        <f t="shared" si="12"/>
        <v>420</v>
      </c>
      <c r="I434" s="43">
        <f t="shared" si="13"/>
        <v>33032664</v>
      </c>
    </row>
    <row r="435" spans="1:9" x14ac:dyDescent="0.2">
      <c r="A435" s="30">
        <v>45191</v>
      </c>
      <c r="B435" s="1" t="s">
        <v>74</v>
      </c>
      <c r="C435" s="38">
        <v>44771</v>
      </c>
      <c r="D435" s="3">
        <v>560</v>
      </c>
      <c r="E435" s="32">
        <v>44697</v>
      </c>
      <c r="F435" s="2">
        <v>209731.20000000001</v>
      </c>
      <c r="G435" s="5">
        <v>374.52</v>
      </c>
      <c r="H435" s="35">
        <f t="shared" si="12"/>
        <v>420</v>
      </c>
      <c r="I435" s="43">
        <f t="shared" si="13"/>
        <v>88087104</v>
      </c>
    </row>
    <row r="436" spans="1:9" x14ac:dyDescent="0.2">
      <c r="A436" s="30">
        <v>45191</v>
      </c>
      <c r="B436" s="1" t="s">
        <v>74</v>
      </c>
      <c r="C436" s="38">
        <v>44771</v>
      </c>
      <c r="D436" s="3">
        <v>70</v>
      </c>
      <c r="E436" s="32">
        <v>44715</v>
      </c>
      <c r="F436" s="2">
        <v>26216.400000000001</v>
      </c>
      <c r="G436" s="5">
        <v>374.52</v>
      </c>
      <c r="H436" s="35">
        <f t="shared" si="12"/>
        <v>420</v>
      </c>
      <c r="I436" s="43">
        <f t="shared" si="13"/>
        <v>11010888</v>
      </c>
    </row>
    <row r="437" spans="1:9" x14ac:dyDescent="0.2">
      <c r="A437" s="30">
        <v>45191</v>
      </c>
      <c r="B437" s="1" t="s">
        <v>74</v>
      </c>
      <c r="C437" s="38">
        <v>44771</v>
      </c>
      <c r="D437" s="3">
        <v>280</v>
      </c>
      <c r="E437" s="32">
        <v>44729</v>
      </c>
      <c r="F437" s="2">
        <v>104865.60000000001</v>
      </c>
      <c r="G437" s="5">
        <v>374.52</v>
      </c>
      <c r="H437" s="35">
        <f t="shared" si="12"/>
        <v>420</v>
      </c>
      <c r="I437" s="43">
        <f t="shared" si="13"/>
        <v>44043552</v>
      </c>
    </row>
    <row r="438" spans="1:9" x14ac:dyDescent="0.2">
      <c r="A438" s="30">
        <v>45191</v>
      </c>
      <c r="B438" s="1" t="s">
        <v>74</v>
      </c>
      <c r="C438" s="38">
        <v>44771</v>
      </c>
      <c r="D438" s="3">
        <v>210</v>
      </c>
      <c r="E438" s="32">
        <v>44729</v>
      </c>
      <c r="F438" s="2">
        <v>78649.2</v>
      </c>
      <c r="G438" s="5">
        <v>374.52</v>
      </c>
      <c r="H438" s="35">
        <f t="shared" si="12"/>
        <v>420</v>
      </c>
      <c r="I438" s="43">
        <f t="shared" si="13"/>
        <v>33032664</v>
      </c>
    </row>
    <row r="439" spans="1:9" x14ac:dyDescent="0.2">
      <c r="A439" s="30">
        <v>45191</v>
      </c>
      <c r="B439" s="1" t="s">
        <v>74</v>
      </c>
      <c r="C439" s="38">
        <v>44771</v>
      </c>
      <c r="D439" s="3">
        <v>280</v>
      </c>
      <c r="E439" s="32">
        <v>44729</v>
      </c>
      <c r="F439" s="2">
        <v>104865.60000000001</v>
      </c>
      <c r="G439" s="5">
        <v>374.52</v>
      </c>
      <c r="H439" s="35">
        <f t="shared" si="12"/>
        <v>420</v>
      </c>
      <c r="I439" s="43">
        <f t="shared" si="13"/>
        <v>44043552</v>
      </c>
    </row>
    <row r="440" spans="1:9" x14ac:dyDescent="0.2">
      <c r="A440" s="30">
        <v>45191</v>
      </c>
      <c r="B440" s="1" t="s">
        <v>74</v>
      </c>
      <c r="C440" s="38">
        <v>44771</v>
      </c>
      <c r="D440" s="3">
        <v>210</v>
      </c>
      <c r="E440" s="32">
        <v>44742</v>
      </c>
      <c r="F440" s="2">
        <v>78649.2</v>
      </c>
      <c r="G440" s="5">
        <v>374.52</v>
      </c>
      <c r="H440" s="35">
        <f t="shared" si="12"/>
        <v>420</v>
      </c>
      <c r="I440" s="43">
        <f t="shared" si="13"/>
        <v>33032664</v>
      </c>
    </row>
    <row r="441" spans="1:9" x14ac:dyDescent="0.2">
      <c r="A441" s="30">
        <v>45191</v>
      </c>
      <c r="B441" s="1" t="s">
        <v>74</v>
      </c>
      <c r="C441" s="38">
        <v>44771</v>
      </c>
      <c r="D441" s="3">
        <v>350</v>
      </c>
      <c r="E441" s="32">
        <v>44742</v>
      </c>
      <c r="F441" s="2">
        <v>131082</v>
      </c>
      <c r="G441" s="5">
        <v>374.52</v>
      </c>
      <c r="H441" s="35">
        <f t="shared" si="12"/>
        <v>420</v>
      </c>
      <c r="I441" s="43">
        <f t="shared" si="13"/>
        <v>55054440</v>
      </c>
    </row>
    <row r="442" spans="1:9" x14ac:dyDescent="0.2">
      <c r="A442" s="30">
        <v>45191</v>
      </c>
      <c r="B442" s="1" t="s">
        <v>74</v>
      </c>
      <c r="C442" s="38">
        <v>44771</v>
      </c>
      <c r="D442" s="3">
        <v>560</v>
      </c>
      <c r="E442" s="32">
        <v>44743</v>
      </c>
      <c r="F442" s="2">
        <v>209731.20000000001</v>
      </c>
      <c r="G442" s="5">
        <v>374.52</v>
      </c>
      <c r="H442" s="35">
        <f t="shared" si="12"/>
        <v>420</v>
      </c>
      <c r="I442" s="43">
        <f t="shared" si="13"/>
        <v>88087104</v>
      </c>
    </row>
    <row r="443" spans="1:9" x14ac:dyDescent="0.2">
      <c r="A443" s="30">
        <v>45188</v>
      </c>
      <c r="B443" s="1" t="s">
        <v>74</v>
      </c>
      <c r="C443" s="38">
        <v>44795</v>
      </c>
      <c r="D443" s="3">
        <v>210</v>
      </c>
      <c r="E443" s="32">
        <v>45188</v>
      </c>
      <c r="F443" s="2">
        <v>78649.2</v>
      </c>
      <c r="G443" s="5">
        <v>374.52</v>
      </c>
      <c r="H443" s="35">
        <f t="shared" si="12"/>
        <v>393</v>
      </c>
      <c r="I443" s="43">
        <f t="shared" si="13"/>
        <v>30909135.599999998</v>
      </c>
    </row>
    <row r="444" spans="1:9" x14ac:dyDescent="0.2">
      <c r="A444" s="30">
        <v>45195</v>
      </c>
      <c r="B444" s="1" t="s">
        <v>74</v>
      </c>
      <c r="C444" s="38">
        <v>44802</v>
      </c>
      <c r="D444" s="3">
        <v>280</v>
      </c>
      <c r="E444" s="32">
        <v>45195</v>
      </c>
      <c r="F444" s="2">
        <v>104865.60000000001</v>
      </c>
      <c r="G444" s="5">
        <v>374.52</v>
      </c>
      <c r="H444" s="35">
        <f t="shared" si="12"/>
        <v>393</v>
      </c>
      <c r="I444" s="43">
        <f t="shared" si="13"/>
        <v>41212180.800000004</v>
      </c>
    </row>
    <row r="445" spans="1:9" x14ac:dyDescent="0.2">
      <c r="A445" s="30">
        <v>45202</v>
      </c>
      <c r="B445" s="1" t="s">
        <v>74</v>
      </c>
      <c r="C445" s="38">
        <v>44811</v>
      </c>
      <c r="D445" s="3">
        <v>280</v>
      </c>
      <c r="E445" s="32">
        <v>45202</v>
      </c>
      <c r="F445" s="2">
        <v>104865.60000000001</v>
      </c>
      <c r="G445" s="5">
        <v>374.52</v>
      </c>
      <c r="H445" s="35">
        <f t="shared" si="12"/>
        <v>391</v>
      </c>
      <c r="I445" s="43">
        <f t="shared" si="13"/>
        <v>41002449.600000001</v>
      </c>
    </row>
    <row r="446" spans="1:9" x14ac:dyDescent="0.2">
      <c r="A446" s="30">
        <v>45209</v>
      </c>
      <c r="B446" s="1" t="s">
        <v>74</v>
      </c>
      <c r="C446" s="38">
        <v>44824</v>
      </c>
      <c r="D446" s="3">
        <v>490</v>
      </c>
      <c r="E446" s="32">
        <v>45209</v>
      </c>
      <c r="F446" s="2">
        <v>183514.8</v>
      </c>
      <c r="G446" s="5">
        <v>374.52</v>
      </c>
      <c r="H446" s="35">
        <f t="shared" si="12"/>
        <v>385</v>
      </c>
      <c r="I446" s="43">
        <f t="shared" si="13"/>
        <v>70653198</v>
      </c>
    </row>
    <row r="447" spans="1:9" x14ac:dyDescent="0.2">
      <c r="A447" s="30">
        <v>45383</v>
      </c>
      <c r="B447" s="1" t="s">
        <v>76</v>
      </c>
      <c r="C447" s="38">
        <v>45048</v>
      </c>
      <c r="D447" s="3">
        <v>280</v>
      </c>
      <c r="E447" s="32">
        <v>45118</v>
      </c>
      <c r="F447" s="2">
        <v>190106</v>
      </c>
      <c r="G447" s="5">
        <v>678.95</v>
      </c>
      <c r="H447" s="35">
        <f t="shared" si="12"/>
        <v>335</v>
      </c>
      <c r="I447" s="43">
        <f t="shared" si="13"/>
        <v>63685510</v>
      </c>
    </row>
    <row r="448" spans="1:9" x14ac:dyDescent="0.2">
      <c r="A448" s="30">
        <v>45303</v>
      </c>
      <c r="B448" s="1" t="s">
        <v>76</v>
      </c>
      <c r="C448" s="38">
        <v>45161</v>
      </c>
      <c r="D448" s="3">
        <v>70</v>
      </c>
      <c r="E448" s="32">
        <v>45128</v>
      </c>
      <c r="F448" s="2">
        <v>47526.5</v>
      </c>
      <c r="G448" s="5">
        <v>678.95</v>
      </c>
      <c r="H448" s="35">
        <f t="shared" si="12"/>
        <v>142</v>
      </c>
      <c r="I448" s="43">
        <f t="shared" si="13"/>
        <v>6748763</v>
      </c>
    </row>
    <row r="449" spans="1:9" x14ac:dyDescent="0.2">
      <c r="A449" s="30">
        <v>45383</v>
      </c>
      <c r="B449" s="1" t="s">
        <v>76</v>
      </c>
      <c r="C449" s="38">
        <v>45048</v>
      </c>
      <c r="D449" s="3">
        <v>140</v>
      </c>
      <c r="E449" s="32">
        <v>45135</v>
      </c>
      <c r="F449" s="2">
        <v>95053</v>
      </c>
      <c r="G449" s="5">
        <v>678.95</v>
      </c>
      <c r="H449" s="35">
        <f t="shared" si="12"/>
        <v>335</v>
      </c>
      <c r="I449" s="43">
        <f t="shared" si="13"/>
        <v>31842755</v>
      </c>
    </row>
    <row r="450" spans="1:9" x14ac:dyDescent="0.2">
      <c r="A450" s="30">
        <v>45383</v>
      </c>
      <c r="B450" s="1" t="s">
        <v>76</v>
      </c>
      <c r="C450" s="38">
        <v>45048</v>
      </c>
      <c r="D450" s="3">
        <v>280</v>
      </c>
      <c r="E450" s="32">
        <v>45139</v>
      </c>
      <c r="F450" s="2">
        <v>190106</v>
      </c>
      <c r="G450" s="5">
        <v>678.95</v>
      </c>
      <c r="H450" s="35">
        <f t="shared" si="12"/>
        <v>335</v>
      </c>
      <c r="I450" s="43">
        <f t="shared" si="13"/>
        <v>63685510</v>
      </c>
    </row>
    <row r="451" spans="1:9" x14ac:dyDescent="0.2">
      <c r="A451" s="30">
        <v>45383</v>
      </c>
      <c r="B451" s="1" t="s">
        <v>76</v>
      </c>
      <c r="C451" s="38">
        <v>45048</v>
      </c>
      <c r="D451" s="3">
        <v>210</v>
      </c>
      <c r="E451" s="32">
        <v>45142</v>
      </c>
      <c r="F451" s="2">
        <v>142579.5</v>
      </c>
      <c r="G451" s="5">
        <v>678.95</v>
      </c>
      <c r="H451" s="35">
        <f t="shared" ref="H451:H514" si="14">IFERROR(A451-C451,"")</f>
        <v>335</v>
      </c>
      <c r="I451" s="43">
        <f t="shared" ref="I451:I514" si="15">H451*F451</f>
        <v>47764132.5</v>
      </c>
    </row>
    <row r="452" spans="1:9" x14ac:dyDescent="0.2">
      <c r="A452" s="30">
        <v>45383</v>
      </c>
      <c r="B452" s="1" t="s">
        <v>76</v>
      </c>
      <c r="C452" s="38">
        <v>45048</v>
      </c>
      <c r="D452" s="3">
        <v>280</v>
      </c>
      <c r="E452" s="32">
        <v>45153</v>
      </c>
      <c r="F452" s="2">
        <v>190106</v>
      </c>
      <c r="G452" s="5">
        <v>678.95</v>
      </c>
      <c r="H452" s="35">
        <f t="shared" si="14"/>
        <v>335</v>
      </c>
      <c r="I452" s="43">
        <f t="shared" si="15"/>
        <v>63685510</v>
      </c>
    </row>
    <row r="453" spans="1:9" x14ac:dyDescent="0.2">
      <c r="A453" s="30">
        <v>45383</v>
      </c>
      <c r="B453" s="1" t="s">
        <v>76</v>
      </c>
      <c r="C453" s="38">
        <v>45048</v>
      </c>
      <c r="D453" s="3">
        <v>420</v>
      </c>
      <c r="E453" s="32">
        <v>45156</v>
      </c>
      <c r="F453" s="2">
        <v>285159</v>
      </c>
      <c r="G453" s="5">
        <v>678.95</v>
      </c>
      <c r="H453" s="35">
        <f t="shared" si="14"/>
        <v>335</v>
      </c>
      <c r="I453" s="43">
        <f t="shared" si="15"/>
        <v>95528265</v>
      </c>
    </row>
    <row r="454" spans="1:9" x14ac:dyDescent="0.2">
      <c r="A454" s="30">
        <v>45383</v>
      </c>
      <c r="B454" s="1" t="s">
        <v>76</v>
      </c>
      <c r="C454" s="38">
        <v>45048</v>
      </c>
      <c r="D454" s="3">
        <v>140</v>
      </c>
      <c r="E454" s="32">
        <v>45153</v>
      </c>
      <c r="F454" s="2">
        <v>95053</v>
      </c>
      <c r="G454" s="5">
        <v>678.95</v>
      </c>
      <c r="H454" s="35">
        <f t="shared" si="14"/>
        <v>335</v>
      </c>
      <c r="I454" s="43">
        <f t="shared" si="15"/>
        <v>31842755</v>
      </c>
    </row>
    <row r="455" spans="1:9" x14ac:dyDescent="0.2">
      <c r="A455" s="30">
        <v>45383</v>
      </c>
      <c r="B455" s="1" t="s">
        <v>76</v>
      </c>
      <c r="C455" s="38">
        <v>45048</v>
      </c>
      <c r="D455" s="3">
        <v>140</v>
      </c>
      <c r="E455" s="32">
        <v>45188</v>
      </c>
      <c r="F455" s="2">
        <v>95053</v>
      </c>
      <c r="G455" s="5">
        <v>678.95</v>
      </c>
      <c r="H455" s="35">
        <f t="shared" si="14"/>
        <v>335</v>
      </c>
      <c r="I455" s="43">
        <f t="shared" si="15"/>
        <v>31842755</v>
      </c>
    </row>
    <row r="456" spans="1:9" x14ac:dyDescent="0.2">
      <c r="A456" s="30">
        <v>45303</v>
      </c>
      <c r="B456" s="1" t="s">
        <v>76</v>
      </c>
      <c r="C456" s="38">
        <v>45161</v>
      </c>
      <c r="D456" s="3">
        <v>210</v>
      </c>
      <c r="E456" s="32">
        <v>45195</v>
      </c>
      <c r="F456" s="2">
        <v>142579.5</v>
      </c>
      <c r="G456" s="5">
        <v>678.95</v>
      </c>
      <c r="H456" s="35">
        <f t="shared" si="14"/>
        <v>142</v>
      </c>
      <c r="I456" s="43">
        <f t="shared" si="15"/>
        <v>20246289</v>
      </c>
    </row>
    <row r="457" spans="1:9" x14ac:dyDescent="0.2">
      <c r="A457" s="30">
        <v>45303</v>
      </c>
      <c r="B457" s="1" t="s">
        <v>76</v>
      </c>
      <c r="C457" s="38">
        <v>45161</v>
      </c>
      <c r="D457" s="3">
        <v>420</v>
      </c>
      <c r="E457" s="32">
        <v>45209</v>
      </c>
      <c r="F457" s="2">
        <v>285159</v>
      </c>
      <c r="G457" s="5">
        <v>678.95</v>
      </c>
      <c r="H457" s="35">
        <f t="shared" si="14"/>
        <v>142</v>
      </c>
      <c r="I457" s="43">
        <f t="shared" si="15"/>
        <v>40492578</v>
      </c>
    </row>
    <row r="458" spans="1:9" x14ac:dyDescent="0.2">
      <c r="A458" s="30">
        <v>45383</v>
      </c>
      <c r="B458" s="1" t="s">
        <v>76</v>
      </c>
      <c r="C458" s="38">
        <v>45048</v>
      </c>
      <c r="D458" s="3">
        <v>140</v>
      </c>
      <c r="E458" s="32">
        <v>45181</v>
      </c>
      <c r="F458" s="2">
        <v>95053</v>
      </c>
      <c r="G458" s="5">
        <v>678.95</v>
      </c>
      <c r="H458" s="35">
        <f t="shared" si="14"/>
        <v>335</v>
      </c>
      <c r="I458" s="43">
        <f t="shared" si="15"/>
        <v>31842755</v>
      </c>
    </row>
    <row r="459" spans="1:9" x14ac:dyDescent="0.2">
      <c r="A459" s="30">
        <v>45303</v>
      </c>
      <c r="B459" s="1" t="s">
        <v>76</v>
      </c>
      <c r="C459" s="38">
        <v>45161</v>
      </c>
      <c r="D459" s="3">
        <v>280</v>
      </c>
      <c r="E459" s="32">
        <v>45216</v>
      </c>
      <c r="F459" s="2">
        <v>190106</v>
      </c>
      <c r="G459" s="5">
        <v>678.95</v>
      </c>
      <c r="H459" s="35">
        <f t="shared" si="14"/>
        <v>142</v>
      </c>
      <c r="I459" s="43">
        <f t="shared" si="15"/>
        <v>26995052</v>
      </c>
    </row>
    <row r="460" spans="1:9" x14ac:dyDescent="0.2">
      <c r="A460" s="30">
        <v>45303</v>
      </c>
      <c r="B460" s="1" t="s">
        <v>76</v>
      </c>
      <c r="C460" s="38">
        <v>45161</v>
      </c>
      <c r="D460" s="3">
        <v>280</v>
      </c>
      <c r="E460" s="32">
        <v>45202</v>
      </c>
      <c r="F460" s="2">
        <v>190106</v>
      </c>
      <c r="G460" s="5">
        <v>678.95</v>
      </c>
      <c r="H460" s="35">
        <f t="shared" si="14"/>
        <v>142</v>
      </c>
      <c r="I460" s="43">
        <f t="shared" si="15"/>
        <v>26995052</v>
      </c>
    </row>
    <row r="461" spans="1:9" x14ac:dyDescent="0.2">
      <c r="A461" s="30">
        <v>45338</v>
      </c>
      <c r="B461" s="1" t="s">
        <v>76</v>
      </c>
      <c r="C461" s="38">
        <v>45161</v>
      </c>
      <c r="D461" s="3">
        <v>210</v>
      </c>
      <c r="E461" s="32">
        <v>45223</v>
      </c>
      <c r="F461" s="2">
        <v>142579.5</v>
      </c>
      <c r="G461" s="5">
        <v>678.95</v>
      </c>
      <c r="H461" s="35">
        <f t="shared" si="14"/>
        <v>177</v>
      </c>
      <c r="I461" s="43">
        <f t="shared" si="15"/>
        <v>25236571.5</v>
      </c>
    </row>
    <row r="462" spans="1:9" x14ac:dyDescent="0.2">
      <c r="A462" s="30">
        <v>45338</v>
      </c>
      <c r="B462" s="1" t="s">
        <v>76</v>
      </c>
      <c r="C462" s="38">
        <v>45161</v>
      </c>
      <c r="D462" s="3">
        <v>910</v>
      </c>
      <c r="E462" s="32">
        <v>45230</v>
      </c>
      <c r="F462" s="2">
        <v>617844.5</v>
      </c>
      <c r="G462" s="5">
        <v>678.95</v>
      </c>
      <c r="H462" s="35">
        <f t="shared" si="14"/>
        <v>177</v>
      </c>
      <c r="I462" s="43">
        <f t="shared" si="15"/>
        <v>109358476.5</v>
      </c>
    </row>
    <row r="463" spans="1:9" x14ac:dyDescent="0.2">
      <c r="A463" s="30">
        <v>45338</v>
      </c>
      <c r="B463" s="1" t="s">
        <v>76</v>
      </c>
      <c r="C463" s="38">
        <v>45161</v>
      </c>
      <c r="D463" s="3">
        <v>210</v>
      </c>
      <c r="E463" s="32">
        <v>45223</v>
      </c>
      <c r="F463" s="2">
        <v>142579.5</v>
      </c>
      <c r="G463" s="5">
        <v>678.95</v>
      </c>
      <c r="H463" s="35">
        <f t="shared" si="14"/>
        <v>177</v>
      </c>
      <c r="I463" s="43">
        <f t="shared" si="15"/>
        <v>25236571.5</v>
      </c>
    </row>
    <row r="464" spans="1:9" x14ac:dyDescent="0.2">
      <c r="A464" s="30">
        <v>45286</v>
      </c>
      <c r="B464" s="1" t="s">
        <v>76</v>
      </c>
      <c r="C464" s="38">
        <v>44771</v>
      </c>
      <c r="D464" s="3">
        <v>280</v>
      </c>
      <c r="E464" s="32">
        <v>45278</v>
      </c>
      <c r="F464" s="2">
        <v>190106</v>
      </c>
      <c r="G464" s="5">
        <v>678.95</v>
      </c>
      <c r="H464" s="35">
        <f t="shared" si="14"/>
        <v>515</v>
      </c>
      <c r="I464" s="43">
        <f t="shared" si="15"/>
        <v>97904590</v>
      </c>
    </row>
    <row r="465" spans="1:9" x14ac:dyDescent="0.2">
      <c r="A465" s="30">
        <v>45293</v>
      </c>
      <c r="B465" s="1" t="s">
        <v>76</v>
      </c>
      <c r="C465" s="38">
        <v>44771</v>
      </c>
      <c r="D465" s="3">
        <v>280</v>
      </c>
      <c r="E465" s="32">
        <v>45282</v>
      </c>
      <c r="F465" s="2">
        <v>190106</v>
      </c>
      <c r="G465" s="5">
        <v>678.95</v>
      </c>
      <c r="H465" s="35">
        <f t="shared" si="14"/>
        <v>522</v>
      </c>
      <c r="I465" s="43">
        <f t="shared" si="15"/>
        <v>99235332</v>
      </c>
    </row>
    <row r="466" spans="1:9" x14ac:dyDescent="0.2">
      <c r="A466" s="30">
        <v>45257</v>
      </c>
      <c r="B466" s="1" t="s">
        <v>76</v>
      </c>
      <c r="C466" s="38">
        <v>45163</v>
      </c>
      <c r="D466" s="3">
        <v>70</v>
      </c>
      <c r="E466" s="32">
        <v>45246</v>
      </c>
      <c r="F466" s="2">
        <v>47526.5</v>
      </c>
      <c r="G466" s="5">
        <v>678.95</v>
      </c>
      <c r="H466" s="35">
        <f t="shared" si="14"/>
        <v>94</v>
      </c>
      <c r="I466" s="43">
        <f t="shared" si="15"/>
        <v>4467491</v>
      </c>
    </row>
    <row r="467" spans="1:9" x14ac:dyDescent="0.2">
      <c r="A467" s="30">
        <v>45286</v>
      </c>
      <c r="B467" s="1" t="s">
        <v>76</v>
      </c>
      <c r="C467" s="38">
        <v>44795</v>
      </c>
      <c r="D467" s="3">
        <v>560</v>
      </c>
      <c r="E467" s="32">
        <v>45278</v>
      </c>
      <c r="F467" s="2">
        <v>380212</v>
      </c>
      <c r="G467" s="5">
        <v>678.95</v>
      </c>
      <c r="H467" s="35">
        <f t="shared" si="14"/>
        <v>491</v>
      </c>
      <c r="I467" s="43">
        <f t="shared" si="15"/>
        <v>186684092</v>
      </c>
    </row>
    <row r="468" spans="1:9" x14ac:dyDescent="0.2">
      <c r="A468" s="30">
        <v>45300</v>
      </c>
      <c r="B468" s="1" t="s">
        <v>76</v>
      </c>
      <c r="C468" s="38">
        <v>44802</v>
      </c>
      <c r="D468" s="3">
        <v>770</v>
      </c>
      <c r="E468" s="32">
        <v>45293</v>
      </c>
      <c r="F468" s="2">
        <v>522791.5</v>
      </c>
      <c r="G468" s="5">
        <v>678.95</v>
      </c>
      <c r="H468" s="35">
        <f t="shared" si="14"/>
        <v>498</v>
      </c>
      <c r="I468" s="43">
        <f t="shared" si="15"/>
        <v>260350167</v>
      </c>
    </row>
    <row r="469" spans="1:9" x14ac:dyDescent="0.2">
      <c r="A469" s="30">
        <v>45191</v>
      </c>
      <c r="B469" s="1" t="s">
        <v>79</v>
      </c>
      <c r="C469" s="38">
        <v>44951</v>
      </c>
      <c r="D469" s="3">
        <v>3000</v>
      </c>
      <c r="E469" s="32">
        <v>45191</v>
      </c>
      <c r="F469" s="2">
        <v>3570</v>
      </c>
      <c r="G469" s="5">
        <v>1.19</v>
      </c>
      <c r="H469" s="35">
        <f t="shared" si="14"/>
        <v>240</v>
      </c>
      <c r="I469" s="43">
        <f t="shared" si="15"/>
        <v>856800</v>
      </c>
    </row>
    <row r="470" spans="1:9" x14ac:dyDescent="0.2">
      <c r="A470" s="30">
        <v>45191</v>
      </c>
      <c r="B470" s="1" t="s">
        <v>79</v>
      </c>
      <c r="C470" s="38">
        <v>44951</v>
      </c>
      <c r="D470" s="3">
        <v>3000</v>
      </c>
      <c r="E470" s="32">
        <v>45191</v>
      </c>
      <c r="F470" s="2">
        <v>3570</v>
      </c>
      <c r="G470" s="5">
        <v>1.19</v>
      </c>
      <c r="H470" s="35">
        <f t="shared" si="14"/>
        <v>240</v>
      </c>
      <c r="I470" s="43">
        <f t="shared" si="15"/>
        <v>856800</v>
      </c>
    </row>
    <row r="471" spans="1:9" x14ac:dyDescent="0.2">
      <c r="A471" s="30">
        <v>45231</v>
      </c>
      <c r="B471" s="1" t="s">
        <v>79</v>
      </c>
      <c r="C471" s="38">
        <v>44951</v>
      </c>
      <c r="D471" s="3">
        <v>3000</v>
      </c>
      <c r="E471" s="32">
        <v>45231</v>
      </c>
      <c r="F471" s="2">
        <v>3570</v>
      </c>
      <c r="G471" s="5">
        <v>1.19</v>
      </c>
      <c r="H471" s="35">
        <f t="shared" si="14"/>
        <v>280</v>
      </c>
      <c r="I471" s="43">
        <f t="shared" si="15"/>
        <v>999600</v>
      </c>
    </row>
    <row r="472" spans="1:9" x14ac:dyDescent="0.2">
      <c r="A472" s="30">
        <v>45282</v>
      </c>
      <c r="B472" s="1" t="s">
        <v>79</v>
      </c>
      <c r="C472" s="38">
        <v>44951</v>
      </c>
      <c r="D472" s="3">
        <v>3000</v>
      </c>
      <c r="E472" s="32">
        <v>45282</v>
      </c>
      <c r="F472" s="2">
        <v>3570</v>
      </c>
      <c r="G472" s="5">
        <v>1.19</v>
      </c>
      <c r="H472" s="35">
        <f t="shared" si="14"/>
        <v>331</v>
      </c>
      <c r="I472" s="43">
        <f t="shared" si="15"/>
        <v>1181670</v>
      </c>
    </row>
    <row r="473" spans="1:9" x14ac:dyDescent="0.2">
      <c r="A473" s="30">
        <v>45247</v>
      </c>
      <c r="B473" s="1" t="s">
        <v>80</v>
      </c>
      <c r="C473" s="38">
        <v>45162</v>
      </c>
      <c r="D473" s="3">
        <v>3000</v>
      </c>
      <c r="E473" s="32">
        <v>45216</v>
      </c>
      <c r="F473" s="2">
        <v>3840</v>
      </c>
      <c r="G473" s="5">
        <v>1.28</v>
      </c>
      <c r="H473" s="35">
        <f t="shared" si="14"/>
        <v>85</v>
      </c>
      <c r="I473" s="43">
        <f t="shared" si="15"/>
        <v>326400</v>
      </c>
    </row>
    <row r="474" spans="1:9" x14ac:dyDescent="0.2">
      <c r="A474" s="30">
        <v>45233</v>
      </c>
      <c r="B474" s="1" t="s">
        <v>103</v>
      </c>
      <c r="C474" s="38">
        <v>44978</v>
      </c>
      <c r="D474" s="3">
        <v>252</v>
      </c>
      <c r="E474" s="32">
        <v>45226</v>
      </c>
      <c r="F474" s="2">
        <v>17062.919999999998</v>
      </c>
      <c r="G474" s="5">
        <v>67.709999999999994</v>
      </c>
      <c r="H474" s="35">
        <f t="shared" si="14"/>
        <v>255</v>
      </c>
      <c r="I474" s="43">
        <f t="shared" si="15"/>
        <v>4351044.5999999996</v>
      </c>
    </row>
    <row r="475" spans="1:9" x14ac:dyDescent="0.2">
      <c r="A475" s="30">
        <v>45261</v>
      </c>
      <c r="B475" s="1" t="s">
        <v>103</v>
      </c>
      <c r="C475" s="38">
        <v>44978</v>
      </c>
      <c r="D475" s="3">
        <v>252</v>
      </c>
      <c r="E475" s="32">
        <v>45254</v>
      </c>
      <c r="F475" s="2">
        <v>17062.919999999998</v>
      </c>
      <c r="G475" s="5">
        <v>67.709999999999994</v>
      </c>
      <c r="H475" s="35">
        <f t="shared" si="14"/>
        <v>283</v>
      </c>
      <c r="I475" s="43">
        <f t="shared" si="15"/>
        <v>4828806.3599999994</v>
      </c>
    </row>
    <row r="476" spans="1:9" x14ac:dyDescent="0.2">
      <c r="A476" s="30">
        <v>45293</v>
      </c>
      <c r="B476" s="1" t="s">
        <v>103</v>
      </c>
      <c r="C476" s="38">
        <v>44978</v>
      </c>
      <c r="D476" s="3">
        <v>252</v>
      </c>
      <c r="E476" s="32">
        <v>45282</v>
      </c>
      <c r="F476" s="2">
        <v>17062.919999999998</v>
      </c>
      <c r="G476" s="5">
        <v>67.709999999999994</v>
      </c>
      <c r="H476" s="35">
        <f t="shared" si="14"/>
        <v>315</v>
      </c>
      <c r="I476" s="43">
        <f t="shared" si="15"/>
        <v>5374819.7999999998</v>
      </c>
    </row>
    <row r="477" spans="1:9" x14ac:dyDescent="0.2">
      <c r="A477" s="30">
        <v>45331</v>
      </c>
      <c r="B477" s="1" t="s">
        <v>83</v>
      </c>
      <c r="C477" s="38">
        <v>45022</v>
      </c>
      <c r="D477" s="3">
        <v>60</v>
      </c>
      <c r="E477" s="32">
        <v>45041</v>
      </c>
      <c r="F477" s="2">
        <v>44470.8</v>
      </c>
      <c r="G477" s="5">
        <v>741.18</v>
      </c>
      <c r="H477" s="35">
        <f t="shared" si="14"/>
        <v>309</v>
      </c>
      <c r="I477" s="43">
        <f t="shared" si="15"/>
        <v>13741477.200000001</v>
      </c>
    </row>
    <row r="478" spans="1:9" x14ac:dyDescent="0.2">
      <c r="A478" s="30">
        <v>45447</v>
      </c>
      <c r="B478" s="1" t="s">
        <v>83</v>
      </c>
      <c r="C478" s="38">
        <v>44957</v>
      </c>
      <c r="D478" s="3">
        <v>360</v>
      </c>
      <c r="E478" s="32">
        <v>45440</v>
      </c>
      <c r="F478" s="2">
        <v>266824.8</v>
      </c>
      <c r="G478" s="5">
        <v>741.18</v>
      </c>
      <c r="H478" s="35">
        <f t="shared" si="14"/>
        <v>490</v>
      </c>
      <c r="I478" s="43">
        <f t="shared" si="15"/>
        <v>130744152</v>
      </c>
    </row>
    <row r="479" spans="1:9" x14ac:dyDescent="0.2">
      <c r="A479" s="30">
        <v>45447</v>
      </c>
      <c r="B479" s="1" t="s">
        <v>83</v>
      </c>
      <c r="C479" s="38">
        <v>44957</v>
      </c>
      <c r="D479" s="3">
        <v>360</v>
      </c>
      <c r="E479" s="32">
        <v>45440</v>
      </c>
      <c r="F479" s="2">
        <v>266824.8</v>
      </c>
      <c r="G479" s="5">
        <v>741.18</v>
      </c>
      <c r="H479" s="35">
        <f t="shared" si="14"/>
        <v>490</v>
      </c>
      <c r="I479" s="43">
        <f t="shared" si="15"/>
        <v>130744152</v>
      </c>
    </row>
    <row r="480" spans="1:9" x14ac:dyDescent="0.2">
      <c r="A480" s="30">
        <v>45447</v>
      </c>
      <c r="B480" s="1" t="s">
        <v>83</v>
      </c>
      <c r="C480" s="38">
        <v>44957</v>
      </c>
      <c r="D480" s="3">
        <v>90</v>
      </c>
      <c r="E480" s="32">
        <v>45440</v>
      </c>
      <c r="F480" s="2">
        <v>66706.2</v>
      </c>
      <c r="G480" s="5">
        <v>741.18</v>
      </c>
      <c r="H480" s="35">
        <f t="shared" si="14"/>
        <v>490</v>
      </c>
      <c r="I480" s="43">
        <f t="shared" si="15"/>
        <v>32686038</v>
      </c>
    </row>
    <row r="481" spans="1:9" x14ac:dyDescent="0.2">
      <c r="A481" s="30">
        <v>45264</v>
      </c>
      <c r="B481" s="1" t="s">
        <v>83</v>
      </c>
      <c r="C481" s="38">
        <v>44957</v>
      </c>
      <c r="D481" s="3">
        <v>330</v>
      </c>
      <c r="E481" s="32">
        <v>45257</v>
      </c>
      <c r="F481" s="2">
        <v>244589.4</v>
      </c>
      <c r="G481" s="5">
        <v>741.18</v>
      </c>
      <c r="H481" s="35">
        <f t="shared" si="14"/>
        <v>307</v>
      </c>
      <c r="I481" s="43">
        <f t="shared" si="15"/>
        <v>75088945.799999997</v>
      </c>
    </row>
    <row r="482" spans="1:9" x14ac:dyDescent="0.2">
      <c r="A482" s="30">
        <v>45194</v>
      </c>
      <c r="B482" s="1" t="s">
        <v>83</v>
      </c>
      <c r="C482" s="38">
        <v>44957</v>
      </c>
      <c r="D482" s="3">
        <v>180</v>
      </c>
      <c r="E482" s="32">
        <v>45187</v>
      </c>
      <c r="F482" s="2">
        <v>133412.4</v>
      </c>
      <c r="G482" s="5">
        <v>741.18</v>
      </c>
      <c r="H482" s="35">
        <f t="shared" si="14"/>
        <v>237</v>
      </c>
      <c r="I482" s="43">
        <f t="shared" si="15"/>
        <v>31618738.799999997</v>
      </c>
    </row>
    <row r="483" spans="1:9" x14ac:dyDescent="0.2">
      <c r="A483" s="30">
        <v>45264</v>
      </c>
      <c r="B483" s="1" t="s">
        <v>83</v>
      </c>
      <c r="C483" s="38">
        <v>44957</v>
      </c>
      <c r="D483" s="3">
        <v>330</v>
      </c>
      <c r="E483" s="32">
        <v>45257</v>
      </c>
      <c r="F483" s="2">
        <v>244589.4</v>
      </c>
      <c r="G483" s="5">
        <v>741.18</v>
      </c>
      <c r="H483" s="35">
        <f t="shared" si="14"/>
        <v>307</v>
      </c>
      <c r="I483" s="43">
        <f t="shared" si="15"/>
        <v>75088945.799999997</v>
      </c>
    </row>
    <row r="484" spans="1:9" x14ac:dyDescent="0.2">
      <c r="A484" s="30">
        <v>45204</v>
      </c>
      <c r="B484" s="1" t="s">
        <v>83</v>
      </c>
      <c r="C484" s="38">
        <v>44957</v>
      </c>
      <c r="D484" s="3">
        <v>330</v>
      </c>
      <c r="E484" s="32">
        <v>45197</v>
      </c>
      <c r="F484" s="2">
        <v>244589.4</v>
      </c>
      <c r="G484" s="5">
        <v>741.18</v>
      </c>
      <c r="H484" s="35">
        <f t="shared" si="14"/>
        <v>247</v>
      </c>
      <c r="I484" s="43">
        <f t="shared" si="15"/>
        <v>60413581.799999997</v>
      </c>
    </row>
    <row r="485" spans="1:9" x14ac:dyDescent="0.2">
      <c r="A485" s="30">
        <v>45264</v>
      </c>
      <c r="B485" s="1" t="s">
        <v>83</v>
      </c>
      <c r="C485" s="38">
        <v>44957</v>
      </c>
      <c r="D485" s="3">
        <v>330</v>
      </c>
      <c r="E485" s="32">
        <v>45257</v>
      </c>
      <c r="F485" s="2">
        <v>244589.4</v>
      </c>
      <c r="G485" s="5">
        <v>741.18</v>
      </c>
      <c r="H485" s="35">
        <f t="shared" si="14"/>
        <v>307</v>
      </c>
      <c r="I485" s="43">
        <f t="shared" si="15"/>
        <v>75088945.799999997</v>
      </c>
    </row>
    <row r="486" spans="1:9" x14ac:dyDescent="0.2">
      <c r="A486" s="30">
        <v>45187</v>
      </c>
      <c r="B486" s="1" t="s">
        <v>83</v>
      </c>
      <c r="C486" s="38">
        <v>45176</v>
      </c>
      <c r="D486" s="3">
        <v>1290</v>
      </c>
      <c r="E486" s="32">
        <v>45135</v>
      </c>
      <c r="F486" s="2">
        <v>956122.2</v>
      </c>
      <c r="G486" s="5">
        <v>741.18</v>
      </c>
      <c r="H486" s="35">
        <f t="shared" si="14"/>
        <v>11</v>
      </c>
      <c r="I486" s="43">
        <f t="shared" si="15"/>
        <v>10517344.199999999</v>
      </c>
    </row>
    <row r="487" spans="1:9" x14ac:dyDescent="0.2">
      <c r="A487" s="30">
        <v>45188</v>
      </c>
      <c r="B487" s="1" t="s">
        <v>83</v>
      </c>
      <c r="C487" s="38">
        <v>45177</v>
      </c>
      <c r="D487" s="3">
        <v>810</v>
      </c>
      <c r="E487" s="32">
        <v>45180</v>
      </c>
      <c r="F487" s="2">
        <v>600355.80000000005</v>
      </c>
      <c r="G487" s="5">
        <v>741.18</v>
      </c>
      <c r="H487" s="35">
        <f t="shared" si="14"/>
        <v>11</v>
      </c>
      <c r="I487" s="43">
        <f t="shared" si="15"/>
        <v>6603913.8000000007</v>
      </c>
    </row>
    <row r="488" spans="1:9" x14ac:dyDescent="0.2">
      <c r="A488" s="30">
        <v>45204</v>
      </c>
      <c r="B488" s="1" t="s">
        <v>83</v>
      </c>
      <c r="C488" s="38">
        <v>44957</v>
      </c>
      <c r="D488" s="3">
        <v>360</v>
      </c>
      <c r="E488" s="32">
        <v>45197</v>
      </c>
      <c r="F488" s="2">
        <v>266824.8</v>
      </c>
      <c r="G488" s="5">
        <v>741.18</v>
      </c>
      <c r="H488" s="35">
        <f t="shared" si="14"/>
        <v>247</v>
      </c>
      <c r="I488" s="43">
        <f t="shared" si="15"/>
        <v>65905725.599999994</v>
      </c>
    </row>
    <row r="489" spans="1:9" x14ac:dyDescent="0.2">
      <c r="A489" s="30">
        <v>45225</v>
      </c>
      <c r="B489" s="1" t="s">
        <v>83</v>
      </c>
      <c r="C489" s="38">
        <v>44957</v>
      </c>
      <c r="D489" s="3">
        <v>510</v>
      </c>
      <c r="E489" s="32">
        <v>45218</v>
      </c>
      <c r="F489" s="2">
        <v>378001.8</v>
      </c>
      <c r="G489" s="5">
        <v>741.18</v>
      </c>
      <c r="H489" s="35">
        <f t="shared" si="14"/>
        <v>268</v>
      </c>
      <c r="I489" s="43">
        <f t="shared" si="15"/>
        <v>101304482.39999999</v>
      </c>
    </row>
    <row r="490" spans="1:9" x14ac:dyDescent="0.2">
      <c r="A490" s="30">
        <v>45236</v>
      </c>
      <c r="B490" s="1" t="s">
        <v>83</v>
      </c>
      <c r="C490" s="38">
        <v>44957</v>
      </c>
      <c r="D490" s="3">
        <v>870</v>
      </c>
      <c r="E490" s="32">
        <v>45229</v>
      </c>
      <c r="F490" s="2">
        <v>644826.6</v>
      </c>
      <c r="G490" s="5">
        <v>741.18</v>
      </c>
      <c r="H490" s="35">
        <f t="shared" si="14"/>
        <v>279</v>
      </c>
      <c r="I490" s="43">
        <f t="shared" si="15"/>
        <v>179906621.40000001</v>
      </c>
    </row>
    <row r="491" spans="1:9" x14ac:dyDescent="0.2">
      <c r="A491" s="30">
        <v>45264</v>
      </c>
      <c r="B491" s="1" t="s">
        <v>83</v>
      </c>
      <c r="C491" s="38">
        <v>44957</v>
      </c>
      <c r="D491" s="3">
        <v>150</v>
      </c>
      <c r="E491" s="32">
        <v>45257</v>
      </c>
      <c r="F491" s="2">
        <v>111177</v>
      </c>
      <c r="G491" s="5">
        <v>741.18</v>
      </c>
      <c r="H491" s="35">
        <f t="shared" si="14"/>
        <v>307</v>
      </c>
      <c r="I491" s="43">
        <f t="shared" si="15"/>
        <v>34131339</v>
      </c>
    </row>
    <row r="492" spans="1:9" x14ac:dyDescent="0.2">
      <c r="A492" s="30">
        <v>45421</v>
      </c>
      <c r="B492" s="1" t="s">
        <v>83</v>
      </c>
      <c r="C492" s="38">
        <v>45061</v>
      </c>
      <c r="D492" s="3">
        <v>2370</v>
      </c>
      <c r="E492" s="32">
        <v>45414</v>
      </c>
      <c r="F492" s="2">
        <v>1756596.6</v>
      </c>
      <c r="G492" s="5">
        <v>741.18</v>
      </c>
      <c r="H492" s="35">
        <f t="shared" si="14"/>
        <v>360</v>
      </c>
      <c r="I492" s="43">
        <f t="shared" si="15"/>
        <v>632374776</v>
      </c>
    </row>
    <row r="493" spans="1:9" x14ac:dyDescent="0.2">
      <c r="A493" s="30">
        <v>45411</v>
      </c>
      <c r="B493" s="1" t="s">
        <v>83</v>
      </c>
      <c r="C493" s="38">
        <v>45061</v>
      </c>
      <c r="D493" s="3">
        <v>1080</v>
      </c>
      <c r="E493" s="32">
        <v>45404</v>
      </c>
      <c r="F493" s="2">
        <v>800474.4</v>
      </c>
      <c r="G493" s="5">
        <v>741.18</v>
      </c>
      <c r="H493" s="35">
        <f t="shared" si="14"/>
        <v>350</v>
      </c>
      <c r="I493" s="43">
        <f t="shared" si="15"/>
        <v>280166040</v>
      </c>
    </row>
    <row r="494" spans="1:9" x14ac:dyDescent="0.2">
      <c r="A494" s="30">
        <v>45303</v>
      </c>
      <c r="B494" s="1" t="s">
        <v>141</v>
      </c>
      <c r="C494" s="38">
        <v>45161</v>
      </c>
      <c r="D494" s="3">
        <v>160</v>
      </c>
      <c r="E494" s="32">
        <v>45027</v>
      </c>
      <c r="F494" s="2">
        <v>136057.60000000001</v>
      </c>
      <c r="G494" s="5">
        <v>850.36</v>
      </c>
      <c r="H494" s="35">
        <f t="shared" si="14"/>
        <v>142</v>
      </c>
      <c r="I494" s="43">
        <f t="shared" si="15"/>
        <v>19320179.199999999</v>
      </c>
    </row>
    <row r="495" spans="1:9" x14ac:dyDescent="0.2">
      <c r="A495" s="30">
        <v>45303</v>
      </c>
      <c r="B495" s="1" t="s">
        <v>141</v>
      </c>
      <c r="C495" s="38">
        <v>45161</v>
      </c>
      <c r="D495" s="3">
        <v>64</v>
      </c>
      <c r="E495" s="32">
        <v>45034</v>
      </c>
      <c r="F495" s="2">
        <v>54423.040000000001</v>
      </c>
      <c r="G495" s="5">
        <v>850.36</v>
      </c>
      <c r="H495" s="35">
        <f t="shared" si="14"/>
        <v>142</v>
      </c>
      <c r="I495" s="43">
        <f t="shared" si="15"/>
        <v>7728071.6799999997</v>
      </c>
    </row>
    <row r="496" spans="1:9" x14ac:dyDescent="0.2">
      <c r="A496" s="30">
        <v>45259</v>
      </c>
      <c r="B496" s="1" t="s">
        <v>141</v>
      </c>
      <c r="C496" s="38">
        <v>44907</v>
      </c>
      <c r="D496" s="3">
        <v>608</v>
      </c>
      <c r="E496" s="32">
        <v>45245</v>
      </c>
      <c r="F496" s="2">
        <v>517018.88</v>
      </c>
      <c r="G496" s="5">
        <v>850.36</v>
      </c>
      <c r="H496" s="35">
        <f t="shared" si="14"/>
        <v>352</v>
      </c>
      <c r="I496" s="43">
        <f t="shared" si="15"/>
        <v>181990645.75999999</v>
      </c>
    </row>
    <row r="497" spans="1:9" x14ac:dyDescent="0.2">
      <c r="A497" s="30">
        <v>45282</v>
      </c>
      <c r="B497" s="1" t="s">
        <v>141</v>
      </c>
      <c r="C497" s="38">
        <v>44929</v>
      </c>
      <c r="D497" s="3">
        <v>576</v>
      </c>
      <c r="E497" s="32">
        <v>45282</v>
      </c>
      <c r="F497" s="2">
        <v>489807.35999999999</v>
      </c>
      <c r="G497" s="5">
        <v>850.36</v>
      </c>
      <c r="H497" s="35">
        <f t="shared" si="14"/>
        <v>353</v>
      </c>
      <c r="I497" s="43">
        <f t="shared" si="15"/>
        <v>172901998.07999998</v>
      </c>
    </row>
    <row r="498" spans="1:9" x14ac:dyDescent="0.2">
      <c r="A498" s="30">
        <v>45202</v>
      </c>
      <c r="B498" s="1" t="s">
        <v>118</v>
      </c>
      <c r="C498" s="38">
        <v>44850</v>
      </c>
      <c r="D498" s="3">
        <v>55</v>
      </c>
      <c r="E498" s="32">
        <v>45194</v>
      </c>
      <c r="F498" s="2">
        <v>9579.9</v>
      </c>
      <c r="G498" s="5">
        <v>174.18</v>
      </c>
      <c r="H498" s="35">
        <f t="shared" si="14"/>
        <v>352</v>
      </c>
      <c r="I498" s="43">
        <f t="shared" si="15"/>
        <v>3372124.8</v>
      </c>
    </row>
    <row r="499" spans="1:9" x14ac:dyDescent="0.2">
      <c r="A499" s="30">
        <v>45223</v>
      </c>
      <c r="B499" s="1" t="s">
        <v>118</v>
      </c>
      <c r="C499" s="38">
        <v>44972</v>
      </c>
      <c r="D499" s="3">
        <v>60</v>
      </c>
      <c r="E499" s="32">
        <v>45216</v>
      </c>
      <c r="F499" s="2">
        <v>10450.799999999999</v>
      </c>
      <c r="G499" s="5">
        <v>174.18</v>
      </c>
      <c r="H499" s="35">
        <f t="shared" si="14"/>
        <v>251</v>
      </c>
      <c r="I499" s="43">
        <f t="shared" si="15"/>
        <v>2623150.7999999998</v>
      </c>
    </row>
    <row r="500" spans="1:9" x14ac:dyDescent="0.2">
      <c r="A500" s="30">
        <v>45205</v>
      </c>
      <c r="B500" s="1" t="s">
        <v>118</v>
      </c>
      <c r="C500" s="38">
        <v>44972</v>
      </c>
      <c r="D500" s="3">
        <v>81</v>
      </c>
      <c r="E500" s="32">
        <v>45188</v>
      </c>
      <c r="F500" s="2">
        <v>14108.58</v>
      </c>
      <c r="G500" s="5">
        <v>174.18</v>
      </c>
      <c r="H500" s="35">
        <f t="shared" si="14"/>
        <v>233</v>
      </c>
      <c r="I500" s="43">
        <f t="shared" si="15"/>
        <v>3287299.14</v>
      </c>
    </row>
    <row r="501" spans="1:9" x14ac:dyDescent="0.2">
      <c r="A501" s="30">
        <v>45251</v>
      </c>
      <c r="B501" s="1" t="s">
        <v>118</v>
      </c>
      <c r="C501" s="38">
        <v>44879</v>
      </c>
      <c r="D501" s="3">
        <v>26</v>
      </c>
      <c r="E501" s="32">
        <v>45244</v>
      </c>
      <c r="F501" s="2">
        <v>4528.68</v>
      </c>
      <c r="G501" s="5">
        <v>174.18</v>
      </c>
      <c r="H501" s="35">
        <f t="shared" si="14"/>
        <v>372</v>
      </c>
      <c r="I501" s="43">
        <f t="shared" si="15"/>
        <v>1684668.9600000002</v>
      </c>
    </row>
    <row r="502" spans="1:9" x14ac:dyDescent="0.2">
      <c r="A502" s="30">
        <v>45279</v>
      </c>
      <c r="B502" s="1" t="s">
        <v>118</v>
      </c>
      <c r="C502" s="38">
        <v>44910</v>
      </c>
      <c r="D502" s="3">
        <v>60</v>
      </c>
      <c r="E502" s="32">
        <v>45272</v>
      </c>
      <c r="F502" s="2">
        <v>10450.799999999999</v>
      </c>
      <c r="G502" s="5">
        <v>174.18</v>
      </c>
      <c r="H502" s="35">
        <f t="shared" si="14"/>
        <v>369</v>
      </c>
      <c r="I502" s="43">
        <f t="shared" si="15"/>
        <v>3856345.1999999997</v>
      </c>
    </row>
    <row r="503" spans="1:9" x14ac:dyDescent="0.2">
      <c r="A503" s="30">
        <v>45282</v>
      </c>
      <c r="B503" s="1" t="s">
        <v>118</v>
      </c>
      <c r="C503" s="38">
        <v>44928</v>
      </c>
      <c r="D503" s="3">
        <v>192</v>
      </c>
      <c r="E503" s="32">
        <v>45272</v>
      </c>
      <c r="F503" s="2">
        <v>33442.559999999998</v>
      </c>
      <c r="G503" s="5">
        <v>174.18</v>
      </c>
      <c r="H503" s="35">
        <f t="shared" si="14"/>
        <v>354</v>
      </c>
      <c r="I503" s="43">
        <f t="shared" si="15"/>
        <v>11838666.239999998</v>
      </c>
    </row>
    <row r="504" spans="1:9" x14ac:dyDescent="0.2">
      <c r="A504" s="30">
        <v>45233</v>
      </c>
      <c r="B504" s="1" t="s">
        <v>118</v>
      </c>
      <c r="C504" s="38">
        <v>44972</v>
      </c>
      <c r="D504" s="3">
        <v>192</v>
      </c>
      <c r="E504" s="32">
        <v>45209</v>
      </c>
      <c r="F504" s="2">
        <v>33442.559999999998</v>
      </c>
      <c r="G504" s="5">
        <v>174.18</v>
      </c>
      <c r="H504" s="35">
        <f t="shared" si="14"/>
        <v>261</v>
      </c>
      <c r="I504" s="43">
        <f t="shared" si="15"/>
        <v>8728508.1600000001</v>
      </c>
    </row>
    <row r="505" spans="1:9" x14ac:dyDescent="0.2">
      <c r="A505" s="30">
        <v>45282</v>
      </c>
      <c r="B505" s="1" t="s">
        <v>118</v>
      </c>
      <c r="C505" s="38">
        <v>44928</v>
      </c>
      <c r="D505" s="3">
        <v>126</v>
      </c>
      <c r="E505" s="32">
        <v>45237</v>
      </c>
      <c r="F505" s="2">
        <v>21946.68</v>
      </c>
      <c r="G505" s="5">
        <v>174.18</v>
      </c>
      <c r="H505" s="35">
        <f t="shared" si="14"/>
        <v>354</v>
      </c>
      <c r="I505" s="43">
        <f t="shared" si="15"/>
        <v>7769124.7199999997</v>
      </c>
    </row>
    <row r="506" spans="1:9" x14ac:dyDescent="0.2">
      <c r="A506" s="30">
        <v>45233</v>
      </c>
      <c r="B506" s="1" t="s">
        <v>118</v>
      </c>
      <c r="C506" s="38">
        <v>44972</v>
      </c>
      <c r="D506" s="3">
        <v>126</v>
      </c>
      <c r="E506" s="32">
        <v>45181</v>
      </c>
      <c r="F506" s="2">
        <v>21946.68</v>
      </c>
      <c r="G506" s="5">
        <v>174.18</v>
      </c>
      <c r="H506" s="35">
        <f t="shared" si="14"/>
        <v>261</v>
      </c>
      <c r="I506" s="43">
        <f t="shared" si="15"/>
        <v>5728083.4800000004</v>
      </c>
    </row>
    <row r="507" spans="1:9" x14ac:dyDescent="0.2">
      <c r="A507" s="30">
        <v>45300</v>
      </c>
      <c r="B507" s="1" t="s">
        <v>118</v>
      </c>
      <c r="C507" s="38">
        <v>44936</v>
      </c>
      <c r="D507" s="3">
        <v>29</v>
      </c>
      <c r="E507" s="32">
        <v>45300</v>
      </c>
      <c r="F507" s="2">
        <v>5051.22</v>
      </c>
      <c r="G507" s="5">
        <v>174.18</v>
      </c>
      <c r="H507" s="35">
        <f t="shared" si="14"/>
        <v>364</v>
      </c>
      <c r="I507" s="43">
        <f t="shared" si="15"/>
        <v>1838644.08</v>
      </c>
    </row>
    <row r="508" spans="1:9" x14ac:dyDescent="0.2">
      <c r="A508" s="30">
        <v>45261</v>
      </c>
      <c r="B508" s="1" t="s">
        <v>118</v>
      </c>
      <c r="C508" s="38">
        <v>45004</v>
      </c>
      <c r="D508" s="3">
        <v>15</v>
      </c>
      <c r="E508" s="32">
        <v>45254</v>
      </c>
      <c r="F508" s="2">
        <v>2612.6999999999998</v>
      </c>
      <c r="G508" s="5">
        <v>174.18</v>
      </c>
      <c r="H508" s="35">
        <f t="shared" si="14"/>
        <v>257</v>
      </c>
      <c r="I508" s="43">
        <f t="shared" si="15"/>
        <v>671463.89999999991</v>
      </c>
    </row>
    <row r="509" spans="1:9" x14ac:dyDescent="0.2">
      <c r="A509" s="30">
        <v>45357</v>
      </c>
      <c r="B509" s="1" t="s">
        <v>118</v>
      </c>
      <c r="C509" s="38">
        <v>45004</v>
      </c>
      <c r="D509" s="3">
        <v>208</v>
      </c>
      <c r="E509" s="32">
        <v>45286</v>
      </c>
      <c r="F509" s="2">
        <v>36229.440000000002</v>
      </c>
      <c r="G509" s="5">
        <v>174.18</v>
      </c>
      <c r="H509" s="35">
        <f t="shared" si="14"/>
        <v>353</v>
      </c>
      <c r="I509" s="43">
        <f t="shared" si="15"/>
        <v>12788992.32</v>
      </c>
    </row>
    <row r="510" spans="1:9" x14ac:dyDescent="0.2">
      <c r="A510" s="30">
        <v>45357</v>
      </c>
      <c r="B510" s="1" t="s">
        <v>118</v>
      </c>
      <c r="C510" s="38">
        <v>45004</v>
      </c>
      <c r="D510" s="3">
        <v>308</v>
      </c>
      <c r="E510" s="32">
        <v>45259</v>
      </c>
      <c r="F510" s="2">
        <v>53647.44</v>
      </c>
      <c r="G510" s="5">
        <v>174.18</v>
      </c>
      <c r="H510" s="35">
        <f t="shared" si="14"/>
        <v>353</v>
      </c>
      <c r="I510" s="43">
        <f t="shared" si="15"/>
        <v>18937546.32</v>
      </c>
    </row>
    <row r="511" spans="1:9" x14ac:dyDescent="0.2">
      <c r="A511" s="30">
        <v>45366</v>
      </c>
      <c r="B511" s="1" t="s">
        <v>118</v>
      </c>
      <c r="C511" s="38">
        <v>45004</v>
      </c>
      <c r="D511" s="3">
        <v>52</v>
      </c>
      <c r="E511" s="32">
        <v>45366</v>
      </c>
      <c r="F511" s="2">
        <v>9057.36</v>
      </c>
      <c r="G511" s="5">
        <v>174.18</v>
      </c>
      <c r="H511" s="35">
        <f t="shared" si="14"/>
        <v>362</v>
      </c>
      <c r="I511" s="43">
        <f t="shared" si="15"/>
        <v>3278764.3200000003</v>
      </c>
    </row>
    <row r="512" spans="1:9" x14ac:dyDescent="0.2">
      <c r="A512" s="30">
        <v>45357</v>
      </c>
      <c r="B512" s="1" t="s">
        <v>118</v>
      </c>
      <c r="C512" s="38">
        <v>45004</v>
      </c>
      <c r="D512" s="3">
        <v>69</v>
      </c>
      <c r="E512" s="32">
        <v>45321</v>
      </c>
      <c r="F512" s="2">
        <v>12018.42</v>
      </c>
      <c r="G512" s="5">
        <v>174.18</v>
      </c>
      <c r="H512" s="35">
        <f t="shared" si="14"/>
        <v>353</v>
      </c>
      <c r="I512" s="43">
        <f t="shared" si="15"/>
        <v>4242502.26</v>
      </c>
    </row>
    <row r="513" spans="1:9" x14ac:dyDescent="0.2">
      <c r="A513" s="30">
        <v>45401</v>
      </c>
      <c r="B513" s="1" t="s">
        <v>118</v>
      </c>
      <c r="C513" s="38">
        <v>45036</v>
      </c>
      <c r="D513" s="3">
        <v>30</v>
      </c>
      <c r="E513" s="32">
        <v>45401</v>
      </c>
      <c r="F513" s="2">
        <v>5225.3999999999996</v>
      </c>
      <c r="G513" s="5">
        <v>174.18</v>
      </c>
      <c r="H513" s="35">
        <f t="shared" si="14"/>
        <v>365</v>
      </c>
      <c r="I513" s="43">
        <f t="shared" si="15"/>
        <v>1907270.9999999998</v>
      </c>
    </row>
    <row r="514" spans="1:9" x14ac:dyDescent="0.2">
      <c r="A514" s="30">
        <v>45399</v>
      </c>
      <c r="B514" s="1" t="s">
        <v>118</v>
      </c>
      <c r="C514" s="38">
        <v>45032</v>
      </c>
      <c r="D514" s="3">
        <v>15</v>
      </c>
      <c r="E514" s="32">
        <v>45399</v>
      </c>
      <c r="F514" s="2">
        <v>2612.6999999999998</v>
      </c>
      <c r="G514" s="5">
        <v>174.18</v>
      </c>
      <c r="H514" s="35">
        <f t="shared" si="14"/>
        <v>367</v>
      </c>
      <c r="I514" s="43">
        <f t="shared" si="15"/>
        <v>958860.89999999991</v>
      </c>
    </row>
    <row r="515" spans="1:9" x14ac:dyDescent="0.2">
      <c r="A515" s="30">
        <v>45399</v>
      </c>
      <c r="B515" s="1" t="s">
        <v>118</v>
      </c>
      <c r="C515" s="38">
        <v>45045</v>
      </c>
      <c r="D515" s="3">
        <v>45</v>
      </c>
      <c r="E515" s="32">
        <v>45399</v>
      </c>
      <c r="F515" s="2">
        <v>7838.1</v>
      </c>
      <c r="G515" s="5">
        <v>174.18</v>
      </c>
      <c r="H515" s="35">
        <f t="shared" ref="H515:H578" si="16">IFERROR(A515-C515,"")</f>
        <v>354</v>
      </c>
      <c r="I515" s="43">
        <f t="shared" ref="I515:I578" si="17">H515*F515</f>
        <v>2774687.4</v>
      </c>
    </row>
    <row r="516" spans="1:9" x14ac:dyDescent="0.2">
      <c r="A516" s="30">
        <v>45422</v>
      </c>
      <c r="B516" s="1" t="s">
        <v>118</v>
      </c>
      <c r="C516" s="38">
        <v>45066</v>
      </c>
      <c r="D516" s="3">
        <v>30</v>
      </c>
      <c r="E516" s="32">
        <v>45422</v>
      </c>
      <c r="F516" s="2">
        <v>5225.3999999999996</v>
      </c>
      <c r="G516" s="5">
        <v>174.18</v>
      </c>
      <c r="H516" s="35">
        <f t="shared" si="16"/>
        <v>356</v>
      </c>
      <c r="I516" s="43">
        <f t="shared" si="17"/>
        <v>1860242.4</v>
      </c>
    </row>
    <row r="517" spans="1:9" x14ac:dyDescent="0.2">
      <c r="A517" s="30">
        <v>45211</v>
      </c>
      <c r="B517" s="1" t="s">
        <v>119</v>
      </c>
      <c r="C517" s="38">
        <v>44840</v>
      </c>
      <c r="D517" s="3">
        <v>846</v>
      </c>
      <c r="E517" s="32">
        <v>45204</v>
      </c>
      <c r="F517" s="2">
        <v>57680.28</v>
      </c>
      <c r="G517" s="5">
        <v>68.180000000000007</v>
      </c>
      <c r="H517" s="35">
        <f t="shared" si="16"/>
        <v>371</v>
      </c>
      <c r="I517" s="43">
        <f t="shared" si="17"/>
        <v>21399383.879999999</v>
      </c>
    </row>
    <row r="518" spans="1:9" x14ac:dyDescent="0.2">
      <c r="A518" s="30">
        <v>45267</v>
      </c>
      <c r="B518" s="1" t="s">
        <v>119</v>
      </c>
      <c r="C518" s="38">
        <v>44881</v>
      </c>
      <c r="D518" s="3">
        <v>360</v>
      </c>
      <c r="E518" s="32">
        <v>45260</v>
      </c>
      <c r="F518" s="2">
        <v>24544.799999999999</v>
      </c>
      <c r="G518" s="5">
        <v>68.180000000000007</v>
      </c>
      <c r="H518" s="35">
        <f t="shared" si="16"/>
        <v>386</v>
      </c>
      <c r="I518" s="43">
        <f t="shared" si="17"/>
        <v>9474292.7999999989</v>
      </c>
    </row>
    <row r="519" spans="1:9" x14ac:dyDescent="0.2">
      <c r="A519" s="30">
        <v>45197</v>
      </c>
      <c r="B519" s="1" t="s">
        <v>85</v>
      </c>
      <c r="C519" s="38">
        <v>44957</v>
      </c>
      <c r="D519" s="3">
        <v>930</v>
      </c>
      <c r="E519" s="32">
        <v>45139</v>
      </c>
      <c r="F519" s="2">
        <v>778289.1</v>
      </c>
      <c r="G519" s="5">
        <v>836.87</v>
      </c>
      <c r="H519" s="35">
        <f t="shared" si="16"/>
        <v>240</v>
      </c>
      <c r="I519" s="43">
        <f t="shared" si="17"/>
        <v>186789384</v>
      </c>
    </row>
    <row r="520" spans="1:9" x14ac:dyDescent="0.2">
      <c r="A520" s="30">
        <v>45197</v>
      </c>
      <c r="B520" s="1" t="s">
        <v>85</v>
      </c>
      <c r="C520" s="38">
        <v>44957</v>
      </c>
      <c r="D520" s="3">
        <v>1065</v>
      </c>
      <c r="E520" s="32">
        <v>45176</v>
      </c>
      <c r="F520" s="2">
        <v>891266.55</v>
      </c>
      <c r="G520" s="5">
        <v>836.87</v>
      </c>
      <c r="H520" s="35">
        <f t="shared" si="16"/>
        <v>240</v>
      </c>
      <c r="I520" s="43">
        <f t="shared" si="17"/>
        <v>213903972</v>
      </c>
    </row>
    <row r="521" spans="1:9" x14ac:dyDescent="0.2">
      <c r="A521" s="30">
        <v>45190</v>
      </c>
      <c r="B521" s="1" t="s">
        <v>85</v>
      </c>
      <c r="C521" s="38">
        <v>44957</v>
      </c>
      <c r="D521" s="3">
        <v>2250</v>
      </c>
      <c r="E521" s="32">
        <v>45110</v>
      </c>
      <c r="F521" s="2">
        <v>1882957.5</v>
      </c>
      <c r="G521" s="5">
        <v>836.87</v>
      </c>
      <c r="H521" s="35">
        <f t="shared" si="16"/>
        <v>233</v>
      </c>
      <c r="I521" s="43">
        <f t="shared" si="17"/>
        <v>438729097.5</v>
      </c>
    </row>
    <row r="522" spans="1:9" x14ac:dyDescent="0.2">
      <c r="A522" s="30">
        <v>45184</v>
      </c>
      <c r="B522" s="1" t="s">
        <v>85</v>
      </c>
      <c r="C522" s="38">
        <v>45175</v>
      </c>
      <c r="D522" s="3">
        <v>675</v>
      </c>
      <c r="E522" s="32">
        <v>45092</v>
      </c>
      <c r="F522" s="2">
        <v>564887.25</v>
      </c>
      <c r="G522" s="5">
        <v>836.87</v>
      </c>
      <c r="H522" s="35">
        <f t="shared" si="16"/>
        <v>9</v>
      </c>
      <c r="I522" s="43">
        <f t="shared" si="17"/>
        <v>5083985.25</v>
      </c>
    </row>
    <row r="523" spans="1:9" x14ac:dyDescent="0.2">
      <c r="A523" s="30">
        <v>45198</v>
      </c>
      <c r="B523" s="1" t="s">
        <v>85</v>
      </c>
      <c r="C523" s="38">
        <v>44957</v>
      </c>
      <c r="D523" s="3">
        <v>600</v>
      </c>
      <c r="E523" s="32">
        <v>45184</v>
      </c>
      <c r="F523" s="2">
        <v>502122</v>
      </c>
      <c r="G523" s="5">
        <v>836.87</v>
      </c>
      <c r="H523" s="35">
        <f t="shared" si="16"/>
        <v>241</v>
      </c>
      <c r="I523" s="43">
        <f t="shared" si="17"/>
        <v>121011402</v>
      </c>
    </row>
    <row r="524" spans="1:9" x14ac:dyDescent="0.2">
      <c r="A524" s="30">
        <v>45198</v>
      </c>
      <c r="B524" s="1" t="s">
        <v>85</v>
      </c>
      <c r="C524" s="38">
        <v>44957</v>
      </c>
      <c r="D524" s="3">
        <v>120</v>
      </c>
      <c r="E524" s="32">
        <v>45184</v>
      </c>
      <c r="F524" s="2">
        <v>100424.4</v>
      </c>
      <c r="G524" s="5">
        <v>836.87</v>
      </c>
      <c r="H524" s="35">
        <f t="shared" si="16"/>
        <v>241</v>
      </c>
      <c r="I524" s="43">
        <f t="shared" si="17"/>
        <v>24202280.399999999</v>
      </c>
    </row>
    <row r="525" spans="1:9" x14ac:dyDescent="0.2">
      <c r="A525" s="30">
        <v>45225</v>
      </c>
      <c r="B525" s="1" t="s">
        <v>85</v>
      </c>
      <c r="C525" s="38">
        <v>44957</v>
      </c>
      <c r="D525" s="3">
        <v>30</v>
      </c>
      <c r="E525" s="32">
        <v>45218</v>
      </c>
      <c r="F525" s="2">
        <v>25106.1</v>
      </c>
      <c r="G525" s="5">
        <v>836.87</v>
      </c>
      <c r="H525" s="35">
        <f t="shared" si="16"/>
        <v>268</v>
      </c>
      <c r="I525" s="43">
        <f t="shared" si="17"/>
        <v>6728434.7999999998</v>
      </c>
    </row>
    <row r="526" spans="1:9" x14ac:dyDescent="0.2">
      <c r="A526" s="30">
        <v>45421</v>
      </c>
      <c r="B526" s="1" t="s">
        <v>85</v>
      </c>
      <c r="C526" s="38">
        <v>45055</v>
      </c>
      <c r="D526" s="3">
        <v>585</v>
      </c>
      <c r="E526" s="32">
        <v>45421</v>
      </c>
      <c r="F526" s="2">
        <v>489568.95</v>
      </c>
      <c r="G526" s="5">
        <v>836.87</v>
      </c>
      <c r="H526" s="35">
        <f t="shared" si="16"/>
        <v>366</v>
      </c>
      <c r="I526" s="43">
        <f t="shared" si="17"/>
        <v>179182235.70000002</v>
      </c>
    </row>
    <row r="527" spans="1:9" x14ac:dyDescent="0.2">
      <c r="A527" s="30">
        <v>45303</v>
      </c>
      <c r="B527" s="1" t="s">
        <v>120</v>
      </c>
      <c r="C527" s="38">
        <v>45161</v>
      </c>
      <c r="D527" s="3">
        <v>538</v>
      </c>
      <c r="E527" s="32">
        <v>44778</v>
      </c>
      <c r="F527" s="2">
        <v>993653.72</v>
      </c>
      <c r="G527" s="5">
        <v>1846.94</v>
      </c>
      <c r="H527" s="35">
        <f t="shared" si="16"/>
        <v>142</v>
      </c>
      <c r="I527" s="43">
        <f t="shared" si="17"/>
        <v>141098828.24000001</v>
      </c>
    </row>
    <row r="528" spans="1:9" x14ac:dyDescent="0.2">
      <c r="A528" s="30">
        <v>45303</v>
      </c>
      <c r="B528" s="1" t="s">
        <v>120</v>
      </c>
      <c r="C528" s="38">
        <v>45161</v>
      </c>
      <c r="D528" s="3">
        <v>351</v>
      </c>
      <c r="E528" s="32">
        <v>45002</v>
      </c>
      <c r="F528" s="2">
        <v>648275.93999999994</v>
      </c>
      <c r="G528" s="5">
        <v>1846.94</v>
      </c>
      <c r="H528" s="35">
        <f t="shared" si="16"/>
        <v>142</v>
      </c>
      <c r="I528" s="43">
        <f t="shared" si="17"/>
        <v>92055183.479999989</v>
      </c>
    </row>
    <row r="529" spans="1:9" x14ac:dyDescent="0.2">
      <c r="A529" s="30">
        <v>45303</v>
      </c>
      <c r="B529" s="1" t="s">
        <v>120</v>
      </c>
      <c r="C529" s="38">
        <v>45161</v>
      </c>
      <c r="D529" s="3">
        <v>455</v>
      </c>
      <c r="E529" s="32">
        <v>45030</v>
      </c>
      <c r="F529" s="2">
        <v>840357.7</v>
      </c>
      <c r="G529" s="5">
        <v>1846.94</v>
      </c>
      <c r="H529" s="35">
        <f t="shared" si="16"/>
        <v>142</v>
      </c>
      <c r="I529" s="43">
        <f t="shared" si="17"/>
        <v>119330793.39999999</v>
      </c>
    </row>
    <row r="530" spans="1:9" x14ac:dyDescent="0.2">
      <c r="A530" s="30">
        <v>45303</v>
      </c>
      <c r="B530" s="1" t="s">
        <v>120</v>
      </c>
      <c r="C530" s="38">
        <v>45161</v>
      </c>
      <c r="D530" s="3">
        <v>110</v>
      </c>
      <c r="E530" s="32">
        <v>45058</v>
      </c>
      <c r="F530" s="2">
        <v>203163.4</v>
      </c>
      <c r="G530" s="5">
        <v>1846.94</v>
      </c>
      <c r="H530" s="35">
        <f t="shared" si="16"/>
        <v>142</v>
      </c>
      <c r="I530" s="43">
        <f t="shared" si="17"/>
        <v>28849202.800000001</v>
      </c>
    </row>
    <row r="531" spans="1:9" x14ac:dyDescent="0.2">
      <c r="A531" s="30">
        <v>45303</v>
      </c>
      <c r="B531" s="1" t="s">
        <v>120</v>
      </c>
      <c r="C531" s="38">
        <v>45161</v>
      </c>
      <c r="D531" s="3">
        <v>110</v>
      </c>
      <c r="E531" s="32">
        <v>45058</v>
      </c>
      <c r="F531" s="2">
        <v>203163.4</v>
      </c>
      <c r="G531" s="5">
        <v>1846.94</v>
      </c>
      <c r="H531" s="35">
        <f t="shared" si="16"/>
        <v>142</v>
      </c>
      <c r="I531" s="43">
        <f t="shared" si="17"/>
        <v>28849202.800000001</v>
      </c>
    </row>
    <row r="532" spans="1:9" x14ac:dyDescent="0.2">
      <c r="A532" s="30">
        <v>45303</v>
      </c>
      <c r="B532" s="1" t="s">
        <v>120</v>
      </c>
      <c r="C532" s="38">
        <v>45161</v>
      </c>
      <c r="D532" s="3">
        <v>108</v>
      </c>
      <c r="E532" s="32">
        <v>45086</v>
      </c>
      <c r="F532" s="2">
        <v>199469.52</v>
      </c>
      <c r="G532" s="5">
        <v>1846.94</v>
      </c>
      <c r="H532" s="35">
        <f t="shared" si="16"/>
        <v>142</v>
      </c>
      <c r="I532" s="43">
        <f t="shared" si="17"/>
        <v>28324671.84</v>
      </c>
    </row>
    <row r="533" spans="1:9" x14ac:dyDescent="0.2">
      <c r="A533" s="30">
        <v>45303</v>
      </c>
      <c r="B533" s="1" t="s">
        <v>120</v>
      </c>
      <c r="C533" s="38">
        <v>45161</v>
      </c>
      <c r="D533" s="3">
        <v>116</v>
      </c>
      <c r="E533" s="32">
        <v>45058</v>
      </c>
      <c r="F533" s="2">
        <v>214245.04</v>
      </c>
      <c r="G533" s="5">
        <v>1846.94</v>
      </c>
      <c r="H533" s="35">
        <f t="shared" si="16"/>
        <v>142</v>
      </c>
      <c r="I533" s="43">
        <f t="shared" si="17"/>
        <v>30422795.68</v>
      </c>
    </row>
    <row r="534" spans="1:9" x14ac:dyDescent="0.2">
      <c r="A534" s="30">
        <v>45303</v>
      </c>
      <c r="B534" s="1" t="s">
        <v>120</v>
      </c>
      <c r="C534" s="38">
        <v>45161</v>
      </c>
      <c r="D534" s="3">
        <v>13</v>
      </c>
      <c r="E534" s="32">
        <v>45058</v>
      </c>
      <c r="F534" s="2">
        <v>24010.22</v>
      </c>
      <c r="G534" s="5">
        <v>1846.94</v>
      </c>
      <c r="H534" s="35">
        <f t="shared" si="16"/>
        <v>142</v>
      </c>
      <c r="I534" s="43">
        <f t="shared" si="17"/>
        <v>3409451.24</v>
      </c>
    </row>
    <row r="535" spans="1:9" x14ac:dyDescent="0.2">
      <c r="A535" s="30">
        <v>45303</v>
      </c>
      <c r="B535" s="1" t="s">
        <v>120</v>
      </c>
      <c r="C535" s="38">
        <v>45161</v>
      </c>
      <c r="D535" s="3">
        <v>138</v>
      </c>
      <c r="E535" s="32">
        <v>45086</v>
      </c>
      <c r="F535" s="2">
        <v>254877.72</v>
      </c>
      <c r="G535" s="5">
        <v>1846.94</v>
      </c>
      <c r="H535" s="35">
        <f t="shared" si="16"/>
        <v>142</v>
      </c>
      <c r="I535" s="43">
        <f t="shared" si="17"/>
        <v>36192636.240000002</v>
      </c>
    </row>
    <row r="536" spans="1:9" x14ac:dyDescent="0.2">
      <c r="A536" s="30">
        <v>45303</v>
      </c>
      <c r="B536" s="1" t="s">
        <v>120</v>
      </c>
      <c r="C536" s="38">
        <v>45161</v>
      </c>
      <c r="D536" s="3">
        <v>108</v>
      </c>
      <c r="E536" s="32">
        <v>45086</v>
      </c>
      <c r="F536" s="2">
        <v>199469.52</v>
      </c>
      <c r="G536" s="5">
        <v>1846.94</v>
      </c>
      <c r="H536" s="35">
        <f t="shared" si="16"/>
        <v>142</v>
      </c>
      <c r="I536" s="43">
        <f t="shared" si="17"/>
        <v>28324671.84</v>
      </c>
    </row>
    <row r="537" spans="1:9" x14ac:dyDescent="0.2">
      <c r="A537" s="30">
        <v>45303</v>
      </c>
      <c r="B537" s="1" t="s">
        <v>120</v>
      </c>
      <c r="C537" s="38">
        <v>45161</v>
      </c>
      <c r="D537" s="3">
        <v>138</v>
      </c>
      <c r="E537" s="32">
        <v>45163</v>
      </c>
      <c r="F537" s="2">
        <v>254877.72</v>
      </c>
      <c r="G537" s="5">
        <v>1846.94</v>
      </c>
      <c r="H537" s="35">
        <f t="shared" si="16"/>
        <v>142</v>
      </c>
      <c r="I537" s="43">
        <f t="shared" si="17"/>
        <v>36192636.240000002</v>
      </c>
    </row>
    <row r="538" spans="1:9" x14ac:dyDescent="0.2">
      <c r="A538" s="30">
        <v>45303</v>
      </c>
      <c r="B538" s="1" t="s">
        <v>120</v>
      </c>
      <c r="C538" s="38">
        <v>45161</v>
      </c>
      <c r="D538" s="3">
        <v>77</v>
      </c>
      <c r="E538" s="32">
        <v>45175</v>
      </c>
      <c r="F538" s="2">
        <v>142214.38</v>
      </c>
      <c r="G538" s="5">
        <v>1846.94</v>
      </c>
      <c r="H538" s="35">
        <f t="shared" si="16"/>
        <v>142</v>
      </c>
      <c r="I538" s="43">
        <f t="shared" si="17"/>
        <v>20194441.960000001</v>
      </c>
    </row>
    <row r="539" spans="1:9" x14ac:dyDescent="0.2">
      <c r="A539" s="30">
        <v>45303</v>
      </c>
      <c r="B539" s="1" t="s">
        <v>86</v>
      </c>
      <c r="C539" s="38">
        <v>45161</v>
      </c>
      <c r="D539" s="3">
        <v>519</v>
      </c>
      <c r="E539" s="32">
        <v>44697</v>
      </c>
      <c r="F539" s="2">
        <v>1258476.3899999999</v>
      </c>
      <c r="G539" s="5">
        <v>2424.81</v>
      </c>
      <c r="H539" s="35">
        <f t="shared" si="16"/>
        <v>142</v>
      </c>
      <c r="I539" s="43">
        <f t="shared" si="17"/>
        <v>178703647.38</v>
      </c>
    </row>
    <row r="540" spans="1:9" x14ac:dyDescent="0.2">
      <c r="A540" s="30">
        <v>45303</v>
      </c>
      <c r="B540" s="1" t="s">
        <v>86</v>
      </c>
      <c r="C540" s="38">
        <v>45161</v>
      </c>
      <c r="D540" s="3">
        <v>16</v>
      </c>
      <c r="E540" s="32">
        <v>44602</v>
      </c>
      <c r="F540" s="2">
        <v>38796.959999999999</v>
      </c>
      <c r="G540" s="5">
        <v>2424.81</v>
      </c>
      <c r="H540" s="35">
        <f t="shared" si="16"/>
        <v>142</v>
      </c>
      <c r="I540" s="43">
        <f t="shared" si="17"/>
        <v>5509168.3200000003</v>
      </c>
    </row>
    <row r="541" spans="1:9" x14ac:dyDescent="0.2">
      <c r="A541" s="30">
        <v>45303</v>
      </c>
      <c r="B541" s="1" t="s">
        <v>86</v>
      </c>
      <c r="C541" s="38">
        <v>45161</v>
      </c>
      <c r="D541" s="3">
        <v>64</v>
      </c>
      <c r="E541" s="32">
        <v>44627</v>
      </c>
      <c r="F541" s="2">
        <v>155187.84</v>
      </c>
      <c r="G541" s="5">
        <v>2424.81</v>
      </c>
      <c r="H541" s="35">
        <f t="shared" si="16"/>
        <v>142</v>
      </c>
      <c r="I541" s="43">
        <f t="shared" si="17"/>
        <v>22036673.280000001</v>
      </c>
    </row>
    <row r="542" spans="1:9" x14ac:dyDescent="0.2">
      <c r="A542" s="30">
        <v>45303</v>
      </c>
      <c r="B542" s="1" t="s">
        <v>86</v>
      </c>
      <c r="C542" s="38">
        <v>45161</v>
      </c>
      <c r="D542" s="3">
        <v>144</v>
      </c>
      <c r="E542" s="32">
        <v>44833</v>
      </c>
      <c r="F542" s="2">
        <v>349172.64</v>
      </c>
      <c r="G542" s="5">
        <v>2424.81</v>
      </c>
      <c r="H542" s="35">
        <f t="shared" si="16"/>
        <v>142</v>
      </c>
      <c r="I542" s="43">
        <f t="shared" si="17"/>
        <v>49582514.880000003</v>
      </c>
    </row>
    <row r="543" spans="1:9" x14ac:dyDescent="0.2">
      <c r="A543" s="30">
        <v>45303</v>
      </c>
      <c r="B543" s="1" t="s">
        <v>86</v>
      </c>
      <c r="C543" s="38">
        <v>45161</v>
      </c>
      <c r="D543" s="3">
        <v>272</v>
      </c>
      <c r="E543" s="32">
        <v>44826</v>
      </c>
      <c r="F543" s="2">
        <v>659548.31999999995</v>
      </c>
      <c r="G543" s="5">
        <v>2424.81</v>
      </c>
      <c r="H543" s="35">
        <f t="shared" si="16"/>
        <v>142</v>
      </c>
      <c r="I543" s="43">
        <f t="shared" si="17"/>
        <v>93655861.439999998</v>
      </c>
    </row>
    <row r="544" spans="1:9" x14ac:dyDescent="0.2">
      <c r="A544" s="30">
        <v>45303</v>
      </c>
      <c r="B544" s="1" t="s">
        <v>86</v>
      </c>
      <c r="C544" s="38">
        <v>45161</v>
      </c>
      <c r="D544" s="3">
        <v>16</v>
      </c>
      <c r="E544" s="32">
        <v>44848</v>
      </c>
      <c r="F544" s="2">
        <v>38796.959999999999</v>
      </c>
      <c r="G544" s="5">
        <v>2424.81</v>
      </c>
      <c r="H544" s="35">
        <f t="shared" si="16"/>
        <v>142</v>
      </c>
      <c r="I544" s="43">
        <f t="shared" si="17"/>
        <v>5509168.3200000003</v>
      </c>
    </row>
    <row r="545" spans="1:9" x14ac:dyDescent="0.2">
      <c r="A545" s="30">
        <v>45338</v>
      </c>
      <c r="B545" s="1" t="s">
        <v>86</v>
      </c>
      <c r="C545" s="38">
        <v>45161</v>
      </c>
      <c r="D545" s="3">
        <v>16</v>
      </c>
      <c r="E545" s="32">
        <v>44875</v>
      </c>
      <c r="F545" s="2">
        <v>38796.959999999999</v>
      </c>
      <c r="G545" s="5">
        <v>2424.81</v>
      </c>
      <c r="H545" s="35">
        <f t="shared" si="16"/>
        <v>177</v>
      </c>
      <c r="I545" s="43">
        <f t="shared" si="17"/>
        <v>6867061.9199999999</v>
      </c>
    </row>
    <row r="546" spans="1:9" x14ac:dyDescent="0.2">
      <c r="A546" s="30">
        <v>45338</v>
      </c>
      <c r="B546" s="1" t="s">
        <v>88</v>
      </c>
      <c r="C546" s="38">
        <v>45161</v>
      </c>
      <c r="D546" s="3">
        <v>309</v>
      </c>
      <c r="E546" s="32">
        <v>45226</v>
      </c>
      <c r="F546" s="2">
        <v>1224999.6000000001</v>
      </c>
      <c r="G546" s="5">
        <v>3964.4</v>
      </c>
      <c r="H546" s="35">
        <f t="shared" si="16"/>
        <v>177</v>
      </c>
      <c r="I546" s="43">
        <f t="shared" si="17"/>
        <v>216824929.20000002</v>
      </c>
    </row>
    <row r="547" spans="1:9" x14ac:dyDescent="0.2">
      <c r="A547" s="30">
        <v>45384</v>
      </c>
      <c r="B547" s="1" t="s">
        <v>88</v>
      </c>
      <c r="C547" s="38">
        <v>44866</v>
      </c>
      <c r="D547" s="3">
        <v>300</v>
      </c>
      <c r="E547" s="32">
        <v>45376</v>
      </c>
      <c r="F547" s="2">
        <v>1189320</v>
      </c>
      <c r="G547" s="5">
        <v>3964.4</v>
      </c>
      <c r="H547" s="35">
        <f t="shared" si="16"/>
        <v>518</v>
      </c>
      <c r="I547" s="43">
        <f t="shared" si="17"/>
        <v>616067760</v>
      </c>
    </row>
    <row r="548" spans="1:9" x14ac:dyDescent="0.2">
      <c r="A548" s="30">
        <v>45275</v>
      </c>
      <c r="B548" s="1" t="s">
        <v>292</v>
      </c>
      <c r="C548" s="38">
        <v>44923</v>
      </c>
      <c r="D548" s="3">
        <v>1232</v>
      </c>
      <c r="E548" s="32">
        <v>45177</v>
      </c>
      <c r="F548" s="2">
        <v>70334.880000000005</v>
      </c>
      <c r="G548" s="5">
        <v>57.09</v>
      </c>
      <c r="H548" s="35">
        <f t="shared" si="16"/>
        <v>352</v>
      </c>
      <c r="I548" s="43">
        <f t="shared" si="17"/>
        <v>24757877.760000002</v>
      </c>
    </row>
    <row r="549" spans="1:9" x14ac:dyDescent="0.2">
      <c r="A549" s="30">
        <v>45288</v>
      </c>
      <c r="B549" s="1" t="s">
        <v>292</v>
      </c>
      <c r="C549" s="38">
        <v>44928</v>
      </c>
      <c r="D549" s="3">
        <v>3696</v>
      </c>
      <c r="E549" s="32">
        <v>44923</v>
      </c>
      <c r="F549" s="2">
        <v>211004.64</v>
      </c>
      <c r="G549" s="5">
        <v>57.09</v>
      </c>
      <c r="H549" s="35">
        <f t="shared" si="16"/>
        <v>360</v>
      </c>
      <c r="I549" s="43">
        <f t="shared" si="17"/>
        <v>75961670.400000006</v>
      </c>
    </row>
    <row r="550" spans="1:9" x14ac:dyDescent="0.2">
      <c r="A550" s="30">
        <v>45362</v>
      </c>
      <c r="B550" s="1" t="s">
        <v>292</v>
      </c>
      <c r="C550" s="38">
        <v>44956</v>
      </c>
      <c r="D550" s="3">
        <v>3696</v>
      </c>
      <c r="E550" s="32">
        <v>45355</v>
      </c>
      <c r="F550" s="2">
        <v>211004.64</v>
      </c>
      <c r="G550" s="5">
        <v>57.09</v>
      </c>
      <c r="H550" s="35">
        <f t="shared" si="16"/>
        <v>406</v>
      </c>
      <c r="I550" s="43">
        <f t="shared" si="17"/>
        <v>85667883.840000004</v>
      </c>
    </row>
    <row r="551" spans="1:9" x14ac:dyDescent="0.2">
      <c r="A551" s="30">
        <v>45224</v>
      </c>
      <c r="B551" s="1" t="s">
        <v>293</v>
      </c>
      <c r="C551" s="38">
        <v>45180</v>
      </c>
      <c r="D551" s="3">
        <v>1120</v>
      </c>
      <c r="E551" s="32">
        <v>45191</v>
      </c>
      <c r="F551" s="2">
        <v>7828.8</v>
      </c>
      <c r="G551" s="5">
        <v>6.99</v>
      </c>
      <c r="H551" s="35">
        <f t="shared" si="16"/>
        <v>44</v>
      </c>
      <c r="I551" s="43">
        <f t="shared" si="17"/>
        <v>344467.20000000001</v>
      </c>
    </row>
    <row r="552" spans="1:9" x14ac:dyDescent="0.2">
      <c r="A552" s="30">
        <v>45280</v>
      </c>
      <c r="B552" s="1" t="s">
        <v>293</v>
      </c>
      <c r="C552" s="38">
        <v>44923</v>
      </c>
      <c r="D552" s="3">
        <v>2240</v>
      </c>
      <c r="E552" s="32">
        <v>45280</v>
      </c>
      <c r="F552" s="2">
        <v>15657.6</v>
      </c>
      <c r="G552" s="5">
        <v>6.99</v>
      </c>
      <c r="H552" s="35">
        <f t="shared" si="16"/>
        <v>357</v>
      </c>
      <c r="I552" s="43">
        <f t="shared" si="17"/>
        <v>5589763.2000000002</v>
      </c>
    </row>
    <row r="553" spans="1:9" x14ac:dyDescent="0.2">
      <c r="A553" s="30">
        <v>45372</v>
      </c>
      <c r="B553" s="1" t="s">
        <v>293</v>
      </c>
      <c r="C553" s="38">
        <v>44951</v>
      </c>
      <c r="D553" s="3">
        <v>1120</v>
      </c>
      <c r="E553" s="32">
        <v>45372</v>
      </c>
      <c r="F553" s="2">
        <v>7828.8</v>
      </c>
      <c r="G553" s="5">
        <v>6.99</v>
      </c>
      <c r="H553" s="35">
        <f t="shared" si="16"/>
        <v>421</v>
      </c>
      <c r="I553" s="43">
        <f t="shared" si="17"/>
        <v>3295924.8000000003</v>
      </c>
    </row>
    <row r="554" spans="1:9" x14ac:dyDescent="0.2">
      <c r="A554" s="30">
        <v>45224</v>
      </c>
      <c r="B554" s="1" t="s">
        <v>269</v>
      </c>
      <c r="C554" s="38">
        <v>44958</v>
      </c>
      <c r="D554" s="3">
        <v>585</v>
      </c>
      <c r="E554" s="32">
        <v>44866</v>
      </c>
      <c r="F554" s="2">
        <v>138100.95000000001</v>
      </c>
      <c r="G554" s="5">
        <v>236.07</v>
      </c>
      <c r="H554" s="35">
        <f t="shared" si="16"/>
        <v>266</v>
      </c>
      <c r="I554" s="43">
        <f t="shared" si="17"/>
        <v>36734852.700000003</v>
      </c>
    </row>
    <row r="555" spans="1:9" x14ac:dyDescent="0.2">
      <c r="A555" s="30">
        <v>45281</v>
      </c>
      <c r="B555" s="1" t="s">
        <v>294</v>
      </c>
      <c r="C555" s="38">
        <v>44978</v>
      </c>
      <c r="D555" s="3">
        <v>504</v>
      </c>
      <c r="E555" s="32">
        <v>45261</v>
      </c>
      <c r="F555" s="2">
        <v>12156.48</v>
      </c>
      <c r="G555" s="5">
        <v>24.12</v>
      </c>
      <c r="H555" s="35">
        <f t="shared" si="16"/>
        <v>303</v>
      </c>
      <c r="I555" s="43">
        <f t="shared" si="17"/>
        <v>3683413.44</v>
      </c>
    </row>
    <row r="556" spans="1:9" x14ac:dyDescent="0.2">
      <c r="A556" s="30">
        <v>45525</v>
      </c>
      <c r="B556" s="1" t="s">
        <v>294</v>
      </c>
      <c r="C556" s="38">
        <v>45175</v>
      </c>
      <c r="D556" s="3">
        <v>252</v>
      </c>
      <c r="E556" s="32">
        <v>45525</v>
      </c>
      <c r="F556" s="2">
        <v>6078.24</v>
      </c>
      <c r="G556" s="5">
        <v>24.12</v>
      </c>
      <c r="H556" s="35">
        <f t="shared" si="16"/>
        <v>350</v>
      </c>
      <c r="I556" s="43">
        <f t="shared" si="17"/>
        <v>2127384</v>
      </c>
    </row>
    <row r="557" spans="1:9" x14ac:dyDescent="0.2">
      <c r="A557" s="30">
        <v>45219</v>
      </c>
      <c r="B557" s="1" t="s">
        <v>295</v>
      </c>
      <c r="C557" s="38">
        <v>45042</v>
      </c>
      <c r="D557" s="3">
        <v>420</v>
      </c>
      <c r="E557" s="32">
        <v>45152</v>
      </c>
      <c r="F557" s="2">
        <v>469875</v>
      </c>
      <c r="G557" s="5">
        <v>1118.75</v>
      </c>
      <c r="H557" s="35">
        <f t="shared" si="16"/>
        <v>177</v>
      </c>
      <c r="I557" s="43">
        <f t="shared" si="17"/>
        <v>83167875</v>
      </c>
    </row>
    <row r="558" spans="1:9" x14ac:dyDescent="0.2">
      <c r="A558" s="30">
        <v>45219</v>
      </c>
      <c r="B558" s="1" t="s">
        <v>295</v>
      </c>
      <c r="C558" s="38">
        <v>44958</v>
      </c>
      <c r="D558" s="3">
        <v>840</v>
      </c>
      <c r="E558" s="32">
        <v>45181</v>
      </c>
      <c r="F558" s="2">
        <v>939750</v>
      </c>
      <c r="G558" s="5">
        <v>1118.75</v>
      </c>
      <c r="H558" s="35">
        <f t="shared" si="16"/>
        <v>261</v>
      </c>
      <c r="I558" s="43">
        <f t="shared" si="17"/>
        <v>245274750</v>
      </c>
    </row>
    <row r="559" spans="1:9" x14ac:dyDescent="0.2">
      <c r="A559" s="30"/>
      <c r="B559" s="1" t="s">
        <v>326</v>
      </c>
      <c r="C559" s="38">
        <v>45181</v>
      </c>
      <c r="D559" s="3">
        <v>4000</v>
      </c>
      <c r="E559" s="32">
        <v>45181</v>
      </c>
      <c r="F559" s="2">
        <v>160</v>
      </c>
      <c r="G559" s="5">
        <v>0.04</v>
      </c>
      <c r="H559" s="35"/>
      <c r="I559" s="43">
        <f t="shared" si="17"/>
        <v>0</v>
      </c>
    </row>
    <row r="560" spans="1:9" x14ac:dyDescent="0.2">
      <c r="A560" s="30">
        <v>45495</v>
      </c>
      <c r="B560" s="1" t="s">
        <v>241</v>
      </c>
      <c r="C560" s="38">
        <v>45049</v>
      </c>
      <c r="D560" s="3">
        <v>3780</v>
      </c>
      <c r="E560" s="32">
        <v>45488</v>
      </c>
      <c r="F560" s="2">
        <v>54280.800000000003</v>
      </c>
      <c r="G560" s="5">
        <v>14.36</v>
      </c>
      <c r="H560" s="35">
        <f t="shared" si="16"/>
        <v>446</v>
      </c>
      <c r="I560" s="43">
        <f t="shared" si="17"/>
        <v>24209236.800000001</v>
      </c>
    </row>
    <row r="561" spans="1:9" x14ac:dyDescent="0.2">
      <c r="A561" s="30">
        <v>45329</v>
      </c>
      <c r="B561" s="1" t="s">
        <v>241</v>
      </c>
      <c r="C561" s="38">
        <v>45050</v>
      </c>
      <c r="D561" s="3">
        <v>3780</v>
      </c>
      <c r="E561" s="32">
        <v>45279</v>
      </c>
      <c r="F561" s="2">
        <v>54280.800000000003</v>
      </c>
      <c r="G561" s="5">
        <v>14.36</v>
      </c>
      <c r="H561" s="35">
        <f t="shared" si="16"/>
        <v>279</v>
      </c>
      <c r="I561" s="43">
        <f t="shared" si="17"/>
        <v>15144343.200000001</v>
      </c>
    </row>
    <row r="562" spans="1:9" x14ac:dyDescent="0.2">
      <c r="A562" s="30">
        <v>45233</v>
      </c>
      <c r="B562" s="1" t="s">
        <v>244</v>
      </c>
      <c r="C562" s="38">
        <v>44999</v>
      </c>
      <c r="D562" s="3">
        <v>1260</v>
      </c>
      <c r="E562" s="32">
        <v>44335</v>
      </c>
      <c r="F562" s="2">
        <v>273810.59999999998</v>
      </c>
      <c r="G562" s="5">
        <v>217.31</v>
      </c>
      <c r="H562" s="35">
        <f t="shared" si="16"/>
        <v>234</v>
      </c>
      <c r="I562" s="43">
        <f t="shared" si="17"/>
        <v>64071680.399999991</v>
      </c>
    </row>
    <row r="563" spans="1:9" x14ac:dyDescent="0.2">
      <c r="A563" s="30">
        <v>45226</v>
      </c>
      <c r="B563" s="1" t="s">
        <v>271</v>
      </c>
      <c r="C563" s="38">
        <v>45159</v>
      </c>
      <c r="D563" s="3">
        <v>70</v>
      </c>
      <c r="E563" s="32">
        <v>45131</v>
      </c>
      <c r="F563" s="2">
        <v>40355.699999999997</v>
      </c>
      <c r="G563" s="5">
        <v>576.51</v>
      </c>
      <c r="H563" s="35">
        <f t="shared" si="16"/>
        <v>67</v>
      </c>
      <c r="I563" s="43">
        <f t="shared" si="17"/>
        <v>2703831.9</v>
      </c>
    </row>
    <row r="564" spans="1:9" x14ac:dyDescent="0.2">
      <c r="A564" s="30">
        <v>45308</v>
      </c>
      <c r="B564" s="1" t="s">
        <v>271</v>
      </c>
      <c r="C564" s="38">
        <v>44956</v>
      </c>
      <c r="D564" s="3">
        <v>350</v>
      </c>
      <c r="E564" s="32">
        <v>45189</v>
      </c>
      <c r="F564" s="2">
        <v>201778.5</v>
      </c>
      <c r="G564" s="5">
        <v>576.51</v>
      </c>
      <c r="H564" s="35">
        <f t="shared" si="16"/>
        <v>352</v>
      </c>
      <c r="I564" s="43">
        <f t="shared" si="17"/>
        <v>71026032</v>
      </c>
    </row>
    <row r="565" spans="1:9" x14ac:dyDescent="0.2">
      <c r="A565" s="30">
        <v>45383</v>
      </c>
      <c r="B565" s="1" t="s">
        <v>246</v>
      </c>
      <c r="C565" s="38">
        <v>45055</v>
      </c>
      <c r="D565" s="3">
        <v>924</v>
      </c>
      <c r="E565" s="32">
        <v>44673</v>
      </c>
      <c r="F565" s="2">
        <v>140965.44</v>
      </c>
      <c r="G565" s="5">
        <v>152.56</v>
      </c>
      <c r="H565" s="35">
        <f t="shared" si="16"/>
        <v>328</v>
      </c>
      <c r="I565" s="43">
        <f t="shared" si="17"/>
        <v>46236664.32</v>
      </c>
    </row>
    <row r="566" spans="1:9" x14ac:dyDescent="0.2">
      <c r="A566" s="30">
        <v>45383</v>
      </c>
      <c r="B566" s="1" t="s">
        <v>246</v>
      </c>
      <c r="C566" s="38">
        <v>45055</v>
      </c>
      <c r="D566" s="3">
        <v>308</v>
      </c>
      <c r="E566" s="32">
        <v>45127</v>
      </c>
      <c r="F566" s="2">
        <v>46988.480000000003</v>
      </c>
      <c r="G566" s="5">
        <v>152.56</v>
      </c>
      <c r="H566" s="35">
        <f t="shared" si="16"/>
        <v>328</v>
      </c>
      <c r="I566" s="43">
        <f t="shared" si="17"/>
        <v>15412221.440000001</v>
      </c>
    </row>
    <row r="567" spans="1:9" x14ac:dyDescent="0.2">
      <c r="A567" s="30">
        <v>45383</v>
      </c>
      <c r="B567" s="1" t="s">
        <v>246</v>
      </c>
      <c r="C567" s="38">
        <v>45055</v>
      </c>
      <c r="D567" s="3">
        <v>1540</v>
      </c>
      <c r="E567" s="32">
        <v>45125</v>
      </c>
      <c r="F567" s="2">
        <v>234942.4</v>
      </c>
      <c r="G567" s="5">
        <v>152.56</v>
      </c>
      <c r="H567" s="35">
        <f t="shared" si="16"/>
        <v>328</v>
      </c>
      <c r="I567" s="43">
        <f t="shared" si="17"/>
        <v>77061107.200000003</v>
      </c>
    </row>
    <row r="568" spans="1:9" x14ac:dyDescent="0.2">
      <c r="A568" s="30">
        <v>45383</v>
      </c>
      <c r="B568" s="1" t="s">
        <v>246</v>
      </c>
      <c r="C568" s="38">
        <v>45055</v>
      </c>
      <c r="D568" s="3">
        <v>616</v>
      </c>
      <c r="E568" s="32">
        <v>44915</v>
      </c>
      <c r="F568" s="2">
        <v>93976.960000000006</v>
      </c>
      <c r="G568" s="5">
        <v>152.56</v>
      </c>
      <c r="H568" s="35">
        <f t="shared" si="16"/>
        <v>328</v>
      </c>
      <c r="I568" s="43">
        <f t="shared" si="17"/>
        <v>30824442.880000003</v>
      </c>
    </row>
    <row r="569" spans="1:9" x14ac:dyDescent="0.2">
      <c r="A569" s="30">
        <v>45383</v>
      </c>
      <c r="B569" s="1" t="s">
        <v>246</v>
      </c>
      <c r="C569" s="38">
        <v>45055</v>
      </c>
      <c r="D569" s="3">
        <v>924</v>
      </c>
      <c r="E569" s="32">
        <v>44882</v>
      </c>
      <c r="F569" s="2">
        <v>140965.44</v>
      </c>
      <c r="G569" s="5">
        <v>152.56</v>
      </c>
      <c r="H569" s="35">
        <f t="shared" si="16"/>
        <v>328</v>
      </c>
      <c r="I569" s="43">
        <f t="shared" si="17"/>
        <v>46236664.32</v>
      </c>
    </row>
    <row r="570" spans="1:9" x14ac:dyDescent="0.2">
      <c r="A570" s="30">
        <v>45383</v>
      </c>
      <c r="B570" s="1" t="s">
        <v>246</v>
      </c>
      <c r="C570" s="38">
        <v>45055</v>
      </c>
      <c r="D570" s="3">
        <v>3388</v>
      </c>
      <c r="E570" s="32">
        <v>44946</v>
      </c>
      <c r="F570" s="2">
        <v>516873.28</v>
      </c>
      <c r="G570" s="5">
        <v>152.56</v>
      </c>
      <c r="H570" s="35">
        <f t="shared" si="16"/>
        <v>328</v>
      </c>
      <c r="I570" s="43">
        <f t="shared" si="17"/>
        <v>169534435.84</v>
      </c>
    </row>
    <row r="571" spans="1:9" x14ac:dyDescent="0.2">
      <c r="A571" s="30">
        <v>45383</v>
      </c>
      <c r="B571" s="1" t="s">
        <v>246</v>
      </c>
      <c r="C571" s="38">
        <v>45055</v>
      </c>
      <c r="D571" s="3">
        <v>1232</v>
      </c>
      <c r="E571" s="32">
        <v>45273</v>
      </c>
      <c r="F571" s="2">
        <v>187953.92000000001</v>
      </c>
      <c r="G571" s="5">
        <v>152.56</v>
      </c>
      <c r="H571" s="35">
        <f t="shared" si="16"/>
        <v>328</v>
      </c>
      <c r="I571" s="43">
        <f t="shared" si="17"/>
        <v>61648885.760000005</v>
      </c>
    </row>
    <row r="572" spans="1:9" x14ac:dyDescent="0.2">
      <c r="A572" s="30">
        <v>45383</v>
      </c>
      <c r="B572" s="1" t="s">
        <v>246</v>
      </c>
      <c r="C572" s="38">
        <v>45055</v>
      </c>
      <c r="D572" s="3">
        <v>1848</v>
      </c>
      <c r="E572" s="32">
        <v>45127</v>
      </c>
      <c r="F572" s="2">
        <v>281930.88</v>
      </c>
      <c r="G572" s="5">
        <v>152.56</v>
      </c>
      <c r="H572" s="35">
        <f t="shared" si="16"/>
        <v>328</v>
      </c>
      <c r="I572" s="43">
        <f t="shared" si="17"/>
        <v>92473328.640000001</v>
      </c>
    </row>
    <row r="573" spans="1:9" x14ac:dyDescent="0.2">
      <c r="A573" s="30">
        <v>45383</v>
      </c>
      <c r="B573" s="1" t="s">
        <v>246</v>
      </c>
      <c r="C573" s="38">
        <v>45055</v>
      </c>
      <c r="D573" s="3">
        <v>1232</v>
      </c>
      <c r="E573" s="32">
        <v>45091</v>
      </c>
      <c r="F573" s="2">
        <v>187953.92000000001</v>
      </c>
      <c r="G573" s="5">
        <v>152.56</v>
      </c>
      <c r="H573" s="35">
        <f t="shared" si="16"/>
        <v>328</v>
      </c>
      <c r="I573" s="43">
        <f t="shared" si="17"/>
        <v>61648885.760000005</v>
      </c>
    </row>
    <row r="574" spans="1:9" x14ac:dyDescent="0.2">
      <c r="A574" s="30">
        <v>45383</v>
      </c>
      <c r="B574" s="1" t="s">
        <v>246</v>
      </c>
      <c r="C574" s="38">
        <v>45055</v>
      </c>
      <c r="D574" s="3">
        <v>1540</v>
      </c>
      <c r="E574" s="32">
        <v>45064</v>
      </c>
      <c r="F574" s="2">
        <v>234942.4</v>
      </c>
      <c r="G574" s="5">
        <v>152.56</v>
      </c>
      <c r="H574" s="35">
        <f t="shared" si="16"/>
        <v>328</v>
      </c>
      <c r="I574" s="43">
        <f t="shared" si="17"/>
        <v>77061107.200000003</v>
      </c>
    </row>
    <row r="575" spans="1:9" x14ac:dyDescent="0.2">
      <c r="A575" s="30">
        <v>45383</v>
      </c>
      <c r="B575" s="1" t="s">
        <v>246</v>
      </c>
      <c r="C575" s="38">
        <v>45055</v>
      </c>
      <c r="D575" s="3">
        <v>1232</v>
      </c>
      <c r="E575" s="32">
        <v>45275</v>
      </c>
      <c r="F575" s="2">
        <v>187953.92000000001</v>
      </c>
      <c r="G575" s="5">
        <v>152.56</v>
      </c>
      <c r="H575" s="35">
        <f t="shared" si="16"/>
        <v>328</v>
      </c>
      <c r="I575" s="43">
        <f t="shared" si="17"/>
        <v>61648885.760000005</v>
      </c>
    </row>
    <row r="576" spans="1:9" x14ac:dyDescent="0.2">
      <c r="A576" s="30">
        <v>45224</v>
      </c>
      <c r="B576" s="1" t="s">
        <v>272</v>
      </c>
      <c r="C576" s="38">
        <v>45180</v>
      </c>
      <c r="D576" s="3">
        <v>1300</v>
      </c>
      <c r="E576" s="32">
        <v>44725</v>
      </c>
      <c r="F576" s="2">
        <v>2080</v>
      </c>
      <c r="G576" s="5">
        <v>1.6</v>
      </c>
      <c r="H576" s="35">
        <f t="shared" si="16"/>
        <v>44</v>
      </c>
      <c r="I576" s="43">
        <f t="shared" si="17"/>
        <v>91520</v>
      </c>
    </row>
    <row r="577" spans="1:9" x14ac:dyDescent="0.2">
      <c r="A577" s="30">
        <v>45442</v>
      </c>
      <c r="B577" s="1" t="s">
        <v>273</v>
      </c>
      <c r="C577" s="38">
        <v>45159</v>
      </c>
      <c r="D577" s="3">
        <v>202370</v>
      </c>
      <c r="E577" s="32">
        <v>44607</v>
      </c>
      <c r="F577" s="2">
        <v>91066.5</v>
      </c>
      <c r="G577" s="5">
        <v>0.45</v>
      </c>
      <c r="H577" s="35">
        <f t="shared" si="16"/>
        <v>283</v>
      </c>
      <c r="I577" s="43">
        <f t="shared" si="17"/>
        <v>25771819.5</v>
      </c>
    </row>
    <row r="578" spans="1:9" x14ac:dyDescent="0.2">
      <c r="A578" s="30">
        <v>45660</v>
      </c>
      <c r="B578" s="1" t="s">
        <v>273</v>
      </c>
      <c r="C578" s="38">
        <v>44881</v>
      </c>
      <c r="D578" s="3">
        <v>2800</v>
      </c>
      <c r="E578" s="32">
        <v>44495</v>
      </c>
      <c r="F578" s="2">
        <v>1260</v>
      </c>
      <c r="G578" s="5">
        <v>0.45</v>
      </c>
      <c r="H578" s="35">
        <f t="shared" si="16"/>
        <v>779</v>
      </c>
      <c r="I578" s="43">
        <f t="shared" si="17"/>
        <v>981540</v>
      </c>
    </row>
    <row r="579" spans="1:9" x14ac:dyDescent="0.2">
      <c r="A579" s="30">
        <v>45212</v>
      </c>
      <c r="B579" s="1" t="s">
        <v>274</v>
      </c>
      <c r="C579" s="38">
        <v>45159</v>
      </c>
      <c r="D579" s="3">
        <v>1480</v>
      </c>
      <c r="E579" s="32">
        <v>45097</v>
      </c>
      <c r="F579" s="2">
        <v>3211.6</v>
      </c>
      <c r="G579" s="5">
        <v>2.17</v>
      </c>
      <c r="H579" s="35">
        <f t="shared" ref="H579:H642" si="18">IFERROR(A579-C579,"")</f>
        <v>53</v>
      </c>
      <c r="I579" s="43">
        <f t="shared" ref="I579:I642" si="19">H579*F579</f>
        <v>170214.8</v>
      </c>
    </row>
    <row r="580" spans="1:9" x14ac:dyDescent="0.2">
      <c r="A580" s="30">
        <v>45230</v>
      </c>
      <c r="B580" s="1" t="s">
        <v>275</v>
      </c>
      <c r="C580" s="38">
        <v>45181</v>
      </c>
      <c r="D580" s="3">
        <v>20148</v>
      </c>
      <c r="E580" s="32">
        <v>44607</v>
      </c>
      <c r="F580" s="2">
        <v>310279.2</v>
      </c>
      <c r="G580" s="5">
        <v>15.4</v>
      </c>
      <c r="H580" s="35">
        <f t="shared" si="18"/>
        <v>49</v>
      </c>
      <c r="I580" s="43">
        <f t="shared" si="19"/>
        <v>15203680.800000001</v>
      </c>
    </row>
    <row r="581" spans="1:9" x14ac:dyDescent="0.2">
      <c r="A581" s="30">
        <v>45218</v>
      </c>
      <c r="B581" s="1" t="s">
        <v>249</v>
      </c>
      <c r="C581" s="38">
        <v>44837</v>
      </c>
      <c r="D581" s="3">
        <v>420</v>
      </c>
      <c r="E581" s="32">
        <v>45218</v>
      </c>
      <c r="F581" s="2">
        <v>4258.8</v>
      </c>
      <c r="G581" s="5">
        <v>10.14</v>
      </c>
      <c r="H581" s="35">
        <f t="shared" si="18"/>
        <v>381</v>
      </c>
      <c r="I581" s="43">
        <f t="shared" si="19"/>
        <v>1622602.8</v>
      </c>
    </row>
    <row r="582" spans="1:9" x14ac:dyDescent="0.2">
      <c r="A582" s="30">
        <v>45288</v>
      </c>
      <c r="B582" s="1" t="s">
        <v>249</v>
      </c>
      <c r="C582" s="38">
        <v>44908</v>
      </c>
      <c r="D582" s="3">
        <v>420</v>
      </c>
      <c r="E582" s="32">
        <v>45278</v>
      </c>
      <c r="F582" s="2">
        <v>4258.8</v>
      </c>
      <c r="G582" s="5">
        <v>10.14</v>
      </c>
      <c r="H582" s="35">
        <f t="shared" si="18"/>
        <v>380</v>
      </c>
      <c r="I582" s="43">
        <f t="shared" si="19"/>
        <v>1618344</v>
      </c>
    </row>
    <row r="583" spans="1:9" x14ac:dyDescent="0.2">
      <c r="A583" s="30">
        <v>45329</v>
      </c>
      <c r="B583" s="1" t="s">
        <v>249</v>
      </c>
      <c r="C583" s="38">
        <v>44971</v>
      </c>
      <c r="D583" s="3">
        <v>420</v>
      </c>
      <c r="E583" s="32">
        <v>45278</v>
      </c>
      <c r="F583" s="2">
        <v>4258.8</v>
      </c>
      <c r="G583" s="5">
        <v>10.14</v>
      </c>
      <c r="H583" s="35">
        <f t="shared" si="18"/>
        <v>358</v>
      </c>
      <c r="I583" s="43">
        <f t="shared" si="19"/>
        <v>1524650.4000000001</v>
      </c>
    </row>
    <row r="584" spans="1:9" x14ac:dyDescent="0.2">
      <c r="A584" s="30">
        <v>45233</v>
      </c>
      <c r="B584" s="1" t="s">
        <v>250</v>
      </c>
      <c r="C584" s="38">
        <v>45153</v>
      </c>
      <c r="D584" s="3">
        <v>1820</v>
      </c>
      <c r="E584" s="32">
        <v>44840</v>
      </c>
      <c r="F584" s="2">
        <v>4459</v>
      </c>
      <c r="G584" s="5">
        <v>2.4500000000000002</v>
      </c>
      <c r="H584" s="35">
        <f t="shared" si="18"/>
        <v>80</v>
      </c>
      <c r="I584" s="43">
        <f t="shared" si="19"/>
        <v>356720</v>
      </c>
    </row>
    <row r="585" spans="1:9" x14ac:dyDescent="0.2">
      <c r="A585" s="30">
        <v>45203</v>
      </c>
      <c r="B585" s="1" t="s">
        <v>250</v>
      </c>
      <c r="C585" s="38">
        <v>45181</v>
      </c>
      <c r="D585" s="3">
        <v>1820</v>
      </c>
      <c r="E585" s="32">
        <v>44652</v>
      </c>
      <c r="F585" s="2">
        <v>4459</v>
      </c>
      <c r="G585" s="5">
        <v>2.4500000000000002</v>
      </c>
      <c r="H585" s="35">
        <f t="shared" si="18"/>
        <v>22</v>
      </c>
      <c r="I585" s="43">
        <f t="shared" si="19"/>
        <v>98098</v>
      </c>
    </row>
    <row r="586" spans="1:9" x14ac:dyDescent="0.2">
      <c r="A586" s="30">
        <v>45278</v>
      </c>
      <c r="B586" s="1" t="s">
        <v>250</v>
      </c>
      <c r="C586" s="38">
        <v>44896</v>
      </c>
      <c r="D586" s="3">
        <v>1820</v>
      </c>
      <c r="E586" s="32">
        <v>45278</v>
      </c>
      <c r="F586" s="2">
        <v>4459</v>
      </c>
      <c r="G586" s="5">
        <v>2.4500000000000002</v>
      </c>
      <c r="H586" s="35">
        <f t="shared" si="18"/>
        <v>382</v>
      </c>
      <c r="I586" s="43">
        <f t="shared" si="19"/>
        <v>1703338</v>
      </c>
    </row>
    <row r="587" spans="1:9" x14ac:dyDescent="0.2">
      <c r="A587" s="30">
        <v>45286</v>
      </c>
      <c r="B587" s="1" t="s">
        <v>250</v>
      </c>
      <c r="C587" s="38">
        <v>44907</v>
      </c>
      <c r="D587" s="3">
        <v>1820</v>
      </c>
      <c r="E587" s="32">
        <v>45278</v>
      </c>
      <c r="F587" s="2">
        <v>4459</v>
      </c>
      <c r="G587" s="5">
        <v>2.4500000000000002</v>
      </c>
      <c r="H587" s="35">
        <f t="shared" si="18"/>
        <v>379</v>
      </c>
      <c r="I587" s="43">
        <f t="shared" si="19"/>
        <v>1689961</v>
      </c>
    </row>
    <row r="588" spans="1:9" x14ac:dyDescent="0.2">
      <c r="A588" s="30">
        <v>45317</v>
      </c>
      <c r="B588" s="1" t="s">
        <v>250</v>
      </c>
      <c r="C588" s="38">
        <v>44965</v>
      </c>
      <c r="D588" s="3">
        <v>1820</v>
      </c>
      <c r="E588" s="32">
        <v>45278</v>
      </c>
      <c r="F588" s="2">
        <v>4459</v>
      </c>
      <c r="G588" s="5">
        <v>2.4500000000000002</v>
      </c>
      <c r="H588" s="35">
        <f t="shared" si="18"/>
        <v>352</v>
      </c>
      <c r="I588" s="43">
        <f t="shared" si="19"/>
        <v>1569568</v>
      </c>
    </row>
    <row r="589" spans="1:9" x14ac:dyDescent="0.2">
      <c r="A589" s="30">
        <v>45365</v>
      </c>
      <c r="B589" s="1" t="s">
        <v>250</v>
      </c>
      <c r="C589" s="38">
        <v>45005</v>
      </c>
      <c r="D589" s="3">
        <v>1820</v>
      </c>
      <c r="E589" s="32">
        <v>45279</v>
      </c>
      <c r="F589" s="2">
        <v>4459</v>
      </c>
      <c r="G589" s="5">
        <v>2.4500000000000002</v>
      </c>
      <c r="H589" s="35">
        <f t="shared" si="18"/>
        <v>360</v>
      </c>
      <c r="I589" s="43">
        <f t="shared" si="19"/>
        <v>1605240</v>
      </c>
    </row>
    <row r="590" spans="1:9" x14ac:dyDescent="0.2">
      <c r="A590" s="30">
        <v>45372</v>
      </c>
      <c r="B590" s="1" t="s">
        <v>250</v>
      </c>
      <c r="C590" s="38">
        <v>45020</v>
      </c>
      <c r="D590" s="3">
        <v>1820</v>
      </c>
      <c r="E590" s="32">
        <v>45279</v>
      </c>
      <c r="F590" s="2">
        <v>4459</v>
      </c>
      <c r="G590" s="5">
        <v>2.4500000000000002</v>
      </c>
      <c r="H590" s="35">
        <f t="shared" si="18"/>
        <v>352</v>
      </c>
      <c r="I590" s="43">
        <f t="shared" si="19"/>
        <v>1569568</v>
      </c>
    </row>
    <row r="591" spans="1:9" x14ac:dyDescent="0.2">
      <c r="A591" s="30">
        <v>45383</v>
      </c>
      <c r="B591" s="1" t="s">
        <v>250</v>
      </c>
      <c r="C591" s="38">
        <v>45032</v>
      </c>
      <c r="D591" s="3">
        <v>3640</v>
      </c>
      <c r="E591" s="32">
        <v>45279</v>
      </c>
      <c r="F591" s="2">
        <v>8918</v>
      </c>
      <c r="G591" s="5">
        <v>2.4500000000000002</v>
      </c>
      <c r="H591" s="35">
        <f t="shared" si="18"/>
        <v>351</v>
      </c>
      <c r="I591" s="43">
        <f t="shared" si="19"/>
        <v>3130218</v>
      </c>
    </row>
    <row r="592" spans="1:9" x14ac:dyDescent="0.2">
      <c r="A592" s="30">
        <v>45203</v>
      </c>
      <c r="B592" s="1" t="s">
        <v>276</v>
      </c>
      <c r="C592" s="38">
        <v>45181</v>
      </c>
      <c r="D592" s="3">
        <v>1820</v>
      </c>
      <c r="E592" s="32">
        <v>44687</v>
      </c>
      <c r="F592" s="2">
        <v>4258.8</v>
      </c>
      <c r="G592" s="5">
        <v>2.34</v>
      </c>
      <c r="H592" s="35">
        <f t="shared" si="18"/>
        <v>22</v>
      </c>
      <c r="I592" s="43">
        <f t="shared" si="19"/>
        <v>93693.6</v>
      </c>
    </row>
    <row r="593" spans="1:9" x14ac:dyDescent="0.2">
      <c r="A593" s="30">
        <v>45203</v>
      </c>
      <c r="B593" s="1" t="s">
        <v>276</v>
      </c>
      <c r="C593" s="38">
        <v>45181</v>
      </c>
      <c r="D593" s="3">
        <v>1820</v>
      </c>
      <c r="E593" s="32">
        <v>44797</v>
      </c>
      <c r="F593" s="2">
        <v>4258.8</v>
      </c>
      <c r="G593" s="5">
        <v>2.34</v>
      </c>
      <c r="H593" s="35">
        <f t="shared" si="18"/>
        <v>22</v>
      </c>
      <c r="I593" s="43">
        <f t="shared" si="19"/>
        <v>93693.6</v>
      </c>
    </row>
    <row r="594" spans="1:9" x14ac:dyDescent="0.2">
      <c r="A594" s="30">
        <v>45231</v>
      </c>
      <c r="B594" s="1" t="s">
        <v>277</v>
      </c>
      <c r="C594" s="38">
        <v>45090</v>
      </c>
      <c r="D594" s="3">
        <v>89417</v>
      </c>
      <c r="E594" s="32">
        <v>44607</v>
      </c>
      <c r="F594" s="2">
        <v>495370.18</v>
      </c>
      <c r="G594" s="5">
        <v>5.54</v>
      </c>
      <c r="H594" s="35">
        <f t="shared" si="18"/>
        <v>141</v>
      </c>
      <c r="I594" s="43">
        <f t="shared" si="19"/>
        <v>69847195.379999995</v>
      </c>
    </row>
    <row r="595" spans="1:9" x14ac:dyDescent="0.2">
      <c r="A595" s="30">
        <v>45233</v>
      </c>
      <c r="B595" s="1" t="s">
        <v>278</v>
      </c>
      <c r="C595" s="38">
        <v>44787</v>
      </c>
      <c r="D595" s="3">
        <v>189</v>
      </c>
      <c r="E595" s="32">
        <v>44727</v>
      </c>
      <c r="F595" s="2">
        <v>6450.57</v>
      </c>
      <c r="G595" s="5">
        <v>34.130000000000003</v>
      </c>
      <c r="H595" s="35">
        <f t="shared" si="18"/>
        <v>446</v>
      </c>
      <c r="I595" s="43">
        <f t="shared" si="19"/>
        <v>2876954.2199999997</v>
      </c>
    </row>
    <row r="596" spans="1:9" x14ac:dyDescent="0.2">
      <c r="A596" s="30">
        <v>45209</v>
      </c>
      <c r="B596" s="1" t="s">
        <v>278</v>
      </c>
      <c r="C596" s="38">
        <v>45111</v>
      </c>
      <c r="D596" s="3">
        <v>189</v>
      </c>
      <c r="E596" s="32">
        <v>45174</v>
      </c>
      <c r="F596" s="2">
        <v>6450.57</v>
      </c>
      <c r="G596" s="5">
        <v>34.130000000000003</v>
      </c>
      <c r="H596" s="35">
        <f t="shared" si="18"/>
        <v>98</v>
      </c>
      <c r="I596" s="43">
        <f t="shared" si="19"/>
        <v>632155.86</v>
      </c>
    </row>
    <row r="597" spans="1:9" x14ac:dyDescent="0.2">
      <c r="A597" s="30">
        <v>45209</v>
      </c>
      <c r="B597" s="1" t="s">
        <v>278</v>
      </c>
      <c r="C597" s="38">
        <v>44824</v>
      </c>
      <c r="D597" s="3">
        <v>189</v>
      </c>
      <c r="E597" s="32">
        <v>45209</v>
      </c>
      <c r="F597" s="2">
        <v>6450.57</v>
      </c>
      <c r="G597" s="5">
        <v>34.130000000000003</v>
      </c>
      <c r="H597" s="35">
        <f t="shared" si="18"/>
        <v>385</v>
      </c>
      <c r="I597" s="43">
        <f t="shared" si="19"/>
        <v>2483469.4499999997</v>
      </c>
    </row>
    <row r="598" spans="1:9" x14ac:dyDescent="0.2">
      <c r="A598" s="30">
        <v>45216</v>
      </c>
      <c r="B598" s="1" t="s">
        <v>278</v>
      </c>
      <c r="C598" s="38">
        <v>45111</v>
      </c>
      <c r="D598" s="3">
        <v>189</v>
      </c>
      <c r="E598" s="32">
        <v>45181</v>
      </c>
      <c r="F598" s="2">
        <v>6450.57</v>
      </c>
      <c r="G598" s="5">
        <v>34.130000000000003</v>
      </c>
      <c r="H598" s="35">
        <f t="shared" si="18"/>
        <v>105</v>
      </c>
      <c r="I598" s="43">
        <f t="shared" si="19"/>
        <v>677309.85</v>
      </c>
    </row>
    <row r="599" spans="1:9" x14ac:dyDescent="0.2">
      <c r="A599" s="30">
        <v>45250</v>
      </c>
      <c r="B599" s="1" t="s">
        <v>278</v>
      </c>
      <c r="C599" s="38">
        <v>44896</v>
      </c>
      <c r="D599" s="3">
        <v>189</v>
      </c>
      <c r="E599" s="32">
        <v>45240</v>
      </c>
      <c r="F599" s="2">
        <v>6450.57</v>
      </c>
      <c r="G599" s="5">
        <v>34.130000000000003</v>
      </c>
      <c r="H599" s="35">
        <f t="shared" si="18"/>
        <v>354</v>
      </c>
      <c r="I599" s="43">
        <f t="shared" si="19"/>
        <v>2283501.7799999998</v>
      </c>
    </row>
    <row r="600" spans="1:9" x14ac:dyDescent="0.2">
      <c r="A600" s="30">
        <v>45233</v>
      </c>
      <c r="B600" s="1" t="s">
        <v>278</v>
      </c>
      <c r="C600" s="38">
        <v>45152</v>
      </c>
      <c r="D600" s="3">
        <v>378</v>
      </c>
      <c r="E600" s="32">
        <v>45191</v>
      </c>
      <c r="F600" s="2">
        <v>12901.14</v>
      </c>
      <c r="G600" s="5">
        <v>34.130000000000003</v>
      </c>
      <c r="H600" s="35">
        <f t="shared" si="18"/>
        <v>81</v>
      </c>
      <c r="I600" s="43">
        <f t="shared" si="19"/>
        <v>1044992.34</v>
      </c>
    </row>
    <row r="601" spans="1:9" x14ac:dyDescent="0.2">
      <c r="A601" s="30">
        <v>45303</v>
      </c>
      <c r="B601" s="1" t="s">
        <v>279</v>
      </c>
      <c r="C601" s="38">
        <v>44951</v>
      </c>
      <c r="D601" s="3">
        <v>84</v>
      </c>
      <c r="E601" s="32">
        <v>45278</v>
      </c>
      <c r="F601" s="2">
        <v>56066.64</v>
      </c>
      <c r="G601" s="5">
        <v>667.46</v>
      </c>
      <c r="H601" s="35">
        <f t="shared" si="18"/>
        <v>352</v>
      </c>
      <c r="I601" s="43">
        <f t="shared" si="19"/>
        <v>19735457.280000001</v>
      </c>
    </row>
    <row r="602" spans="1:9" x14ac:dyDescent="0.2">
      <c r="A602" s="30">
        <v>45385</v>
      </c>
      <c r="B602" s="1" t="s">
        <v>279</v>
      </c>
      <c r="C602" s="38">
        <v>45033</v>
      </c>
      <c r="D602" s="3">
        <v>84</v>
      </c>
      <c r="E602" s="32">
        <v>45279</v>
      </c>
      <c r="F602" s="2">
        <v>56066.64</v>
      </c>
      <c r="G602" s="5">
        <v>667.46</v>
      </c>
      <c r="H602" s="35">
        <f t="shared" si="18"/>
        <v>352</v>
      </c>
      <c r="I602" s="43">
        <f t="shared" si="19"/>
        <v>19735457.280000001</v>
      </c>
    </row>
    <row r="603" spans="1:9" x14ac:dyDescent="0.2">
      <c r="A603" s="30">
        <v>45191</v>
      </c>
      <c r="B603" s="1" t="s">
        <v>281</v>
      </c>
      <c r="C603" s="38">
        <v>44771</v>
      </c>
      <c r="D603" s="3">
        <v>437</v>
      </c>
      <c r="E603" s="32">
        <v>44797</v>
      </c>
      <c r="F603" s="2">
        <v>6157.33</v>
      </c>
      <c r="G603" s="5">
        <v>14.09</v>
      </c>
      <c r="H603" s="35">
        <f t="shared" si="18"/>
        <v>420</v>
      </c>
      <c r="I603" s="43">
        <f t="shared" si="19"/>
        <v>2586078.6</v>
      </c>
    </row>
    <row r="604" spans="1:9" x14ac:dyDescent="0.2">
      <c r="A604" s="30">
        <v>45191</v>
      </c>
      <c r="B604" s="1" t="s">
        <v>281</v>
      </c>
      <c r="C604" s="38">
        <v>44771</v>
      </c>
      <c r="D604" s="3">
        <v>229</v>
      </c>
      <c r="E604" s="32">
        <v>44834</v>
      </c>
      <c r="F604" s="2">
        <v>3226.61</v>
      </c>
      <c r="G604" s="5">
        <v>14.09</v>
      </c>
      <c r="H604" s="35">
        <f t="shared" si="18"/>
        <v>420</v>
      </c>
      <c r="I604" s="43">
        <f t="shared" si="19"/>
        <v>1355176.2</v>
      </c>
    </row>
    <row r="605" spans="1:9" x14ac:dyDescent="0.2">
      <c r="A605" s="30">
        <v>45191</v>
      </c>
      <c r="B605" s="1" t="s">
        <v>281</v>
      </c>
      <c r="C605" s="38">
        <v>44771</v>
      </c>
      <c r="D605" s="3">
        <v>229</v>
      </c>
      <c r="E605" s="32">
        <v>44834</v>
      </c>
      <c r="F605" s="2">
        <v>3226.61</v>
      </c>
      <c r="G605" s="5">
        <v>14.09</v>
      </c>
      <c r="H605" s="35">
        <f t="shared" si="18"/>
        <v>420</v>
      </c>
      <c r="I605" s="43">
        <f t="shared" si="19"/>
        <v>1355176.2</v>
      </c>
    </row>
    <row r="606" spans="1:9" x14ac:dyDescent="0.2">
      <c r="A606" s="30">
        <v>45219</v>
      </c>
      <c r="B606" s="1" t="s">
        <v>252</v>
      </c>
      <c r="C606" s="38">
        <v>44771</v>
      </c>
      <c r="D606" s="3">
        <v>1120</v>
      </c>
      <c r="E606" s="32">
        <v>45212</v>
      </c>
      <c r="F606" s="2">
        <v>60737.599999999999</v>
      </c>
      <c r="G606" s="5">
        <v>54.23</v>
      </c>
      <c r="H606" s="35">
        <f t="shared" si="18"/>
        <v>448</v>
      </c>
      <c r="I606" s="43">
        <f t="shared" si="19"/>
        <v>27210444.800000001</v>
      </c>
    </row>
    <row r="607" spans="1:9" x14ac:dyDescent="0.2">
      <c r="A607" s="30">
        <v>45212</v>
      </c>
      <c r="B607" s="1" t="s">
        <v>252</v>
      </c>
      <c r="C607" s="38">
        <v>45133</v>
      </c>
      <c r="D607" s="3">
        <v>2240</v>
      </c>
      <c r="E607" s="32">
        <v>45205</v>
      </c>
      <c r="F607" s="2">
        <v>121475.2</v>
      </c>
      <c r="G607" s="5">
        <v>54.23</v>
      </c>
      <c r="H607" s="35">
        <f t="shared" si="18"/>
        <v>79</v>
      </c>
      <c r="I607" s="43">
        <f t="shared" si="19"/>
        <v>9596540.7999999989</v>
      </c>
    </row>
    <row r="608" spans="1:9" x14ac:dyDescent="0.2">
      <c r="A608" s="30">
        <v>45208</v>
      </c>
      <c r="B608" s="1" t="s">
        <v>252</v>
      </c>
      <c r="C608" s="38">
        <v>44824</v>
      </c>
      <c r="D608" s="3">
        <v>2240</v>
      </c>
      <c r="E608" s="32">
        <v>45208</v>
      </c>
      <c r="F608" s="2">
        <v>121475.2</v>
      </c>
      <c r="G608" s="5">
        <v>54.23</v>
      </c>
      <c r="H608" s="35">
        <f t="shared" si="18"/>
        <v>384</v>
      </c>
      <c r="I608" s="43">
        <f t="shared" si="19"/>
        <v>46646476.799999997</v>
      </c>
    </row>
    <row r="609" spans="1:9" x14ac:dyDescent="0.2">
      <c r="A609" s="30">
        <v>45365</v>
      </c>
      <c r="B609" s="1" t="s">
        <v>252</v>
      </c>
      <c r="C609" s="38">
        <v>44838</v>
      </c>
      <c r="D609" s="3">
        <v>1120</v>
      </c>
      <c r="E609" s="32">
        <v>45365</v>
      </c>
      <c r="F609" s="2">
        <v>60737.599999999999</v>
      </c>
      <c r="G609" s="5">
        <v>54.23</v>
      </c>
      <c r="H609" s="35">
        <f t="shared" si="18"/>
        <v>527</v>
      </c>
      <c r="I609" s="43">
        <f t="shared" si="19"/>
        <v>32008715.199999999</v>
      </c>
    </row>
    <row r="610" spans="1:9" x14ac:dyDescent="0.2">
      <c r="A610" s="30">
        <v>45393</v>
      </c>
      <c r="B610" s="1" t="s">
        <v>252</v>
      </c>
      <c r="C610" s="38">
        <v>44846</v>
      </c>
      <c r="D610" s="3">
        <v>1120</v>
      </c>
      <c r="E610" s="32">
        <v>45393</v>
      </c>
      <c r="F610" s="2">
        <v>60737.599999999999</v>
      </c>
      <c r="G610" s="5">
        <v>54.23</v>
      </c>
      <c r="H610" s="35">
        <f t="shared" si="18"/>
        <v>547</v>
      </c>
      <c r="I610" s="43">
        <f t="shared" si="19"/>
        <v>33223467.199999999</v>
      </c>
    </row>
    <row r="611" spans="1:9" x14ac:dyDescent="0.2">
      <c r="A611" s="30">
        <v>45414</v>
      </c>
      <c r="B611" s="1" t="s">
        <v>252</v>
      </c>
      <c r="C611" s="38">
        <v>44846</v>
      </c>
      <c r="D611" s="3">
        <v>1120</v>
      </c>
      <c r="E611" s="32">
        <v>45414</v>
      </c>
      <c r="F611" s="2">
        <v>60737.599999999999</v>
      </c>
      <c r="G611" s="5">
        <v>54.23</v>
      </c>
      <c r="H611" s="35">
        <f t="shared" si="18"/>
        <v>568</v>
      </c>
      <c r="I611" s="43">
        <f t="shared" si="19"/>
        <v>34498956.799999997</v>
      </c>
    </row>
    <row r="612" spans="1:9" x14ac:dyDescent="0.2">
      <c r="A612" s="30">
        <v>45426</v>
      </c>
      <c r="B612" s="1" t="s">
        <v>252</v>
      </c>
      <c r="C612" s="38">
        <v>44965</v>
      </c>
      <c r="D612" s="3">
        <v>1120</v>
      </c>
      <c r="E612" s="32">
        <v>45426</v>
      </c>
      <c r="F612" s="2">
        <v>60737.599999999999</v>
      </c>
      <c r="G612" s="5">
        <v>54.23</v>
      </c>
      <c r="H612" s="35">
        <f t="shared" si="18"/>
        <v>461</v>
      </c>
      <c r="I612" s="43">
        <f t="shared" si="19"/>
        <v>28000033.599999998</v>
      </c>
    </row>
    <row r="613" spans="1:9" x14ac:dyDescent="0.2">
      <c r="A613" s="30">
        <v>45516</v>
      </c>
      <c r="B613" s="1" t="s">
        <v>252</v>
      </c>
      <c r="C613" s="38">
        <v>45051</v>
      </c>
      <c r="D613" s="3">
        <v>1120</v>
      </c>
      <c r="E613" s="32">
        <v>45516</v>
      </c>
      <c r="F613" s="2">
        <v>60737.599999999999</v>
      </c>
      <c r="G613" s="5">
        <v>54.23</v>
      </c>
      <c r="H613" s="35">
        <f t="shared" si="18"/>
        <v>465</v>
      </c>
      <c r="I613" s="43">
        <f t="shared" si="19"/>
        <v>28242984</v>
      </c>
    </row>
    <row r="614" spans="1:9" x14ac:dyDescent="0.2">
      <c r="A614" s="30">
        <v>45586</v>
      </c>
      <c r="B614" s="1" t="s">
        <v>252</v>
      </c>
      <c r="C614" s="38">
        <v>45051</v>
      </c>
      <c r="D614" s="3">
        <v>1120</v>
      </c>
      <c r="E614" s="32">
        <v>45586</v>
      </c>
      <c r="F614" s="2">
        <v>60737.599999999999</v>
      </c>
      <c r="G614" s="5">
        <v>54.23</v>
      </c>
      <c r="H614" s="35">
        <f t="shared" si="18"/>
        <v>535</v>
      </c>
      <c r="I614" s="43">
        <f t="shared" si="19"/>
        <v>32494616</v>
      </c>
    </row>
    <row r="615" spans="1:9" x14ac:dyDescent="0.2">
      <c r="A615" s="30">
        <v>45446</v>
      </c>
      <c r="B615" s="1" t="s">
        <v>282</v>
      </c>
      <c r="C615" s="38">
        <v>45036</v>
      </c>
      <c r="D615" s="3">
        <v>630</v>
      </c>
      <c r="E615" s="32">
        <v>45446</v>
      </c>
      <c r="F615" s="2">
        <v>28967.4</v>
      </c>
      <c r="G615" s="5">
        <v>45.98</v>
      </c>
      <c r="H615" s="35">
        <f t="shared" si="18"/>
        <v>410</v>
      </c>
      <c r="I615" s="43">
        <f t="shared" si="19"/>
        <v>11876634</v>
      </c>
    </row>
    <row r="616" spans="1:9" x14ac:dyDescent="0.2">
      <c r="A616" s="30">
        <v>45303</v>
      </c>
      <c r="B616" s="1" t="s">
        <v>352</v>
      </c>
      <c r="C616" s="38">
        <v>45161</v>
      </c>
      <c r="D616" s="3">
        <v>1512</v>
      </c>
      <c r="E616" s="32">
        <v>44522</v>
      </c>
      <c r="F616" s="2">
        <v>444785.04</v>
      </c>
      <c r="G616" s="5">
        <v>294.17</v>
      </c>
      <c r="H616" s="35">
        <f t="shared" si="18"/>
        <v>142</v>
      </c>
      <c r="I616" s="43">
        <f t="shared" si="19"/>
        <v>63159475.68</v>
      </c>
    </row>
    <row r="617" spans="1:9" x14ac:dyDescent="0.2">
      <c r="A617" s="30">
        <v>45286</v>
      </c>
      <c r="B617" s="1" t="s">
        <v>257</v>
      </c>
      <c r="C617" s="38">
        <v>44907</v>
      </c>
      <c r="D617" s="3">
        <v>1176</v>
      </c>
      <c r="E617" s="32">
        <v>45278</v>
      </c>
      <c r="F617" s="2">
        <v>265235.03999999998</v>
      </c>
      <c r="G617" s="5">
        <v>225.54</v>
      </c>
      <c r="H617" s="35">
        <f t="shared" si="18"/>
        <v>379</v>
      </c>
      <c r="I617" s="43">
        <f t="shared" si="19"/>
        <v>100524080.16</v>
      </c>
    </row>
    <row r="618" spans="1:9" x14ac:dyDescent="0.2">
      <c r="A618" s="30">
        <v>45303</v>
      </c>
      <c r="B618" s="1" t="s">
        <v>283</v>
      </c>
      <c r="C618" s="38">
        <v>44951</v>
      </c>
      <c r="D618" s="3">
        <v>140</v>
      </c>
      <c r="E618" s="32">
        <v>45278</v>
      </c>
      <c r="F618" s="2">
        <v>68952.800000000003</v>
      </c>
      <c r="G618" s="5">
        <v>492.52</v>
      </c>
      <c r="H618" s="35">
        <f t="shared" si="18"/>
        <v>352</v>
      </c>
      <c r="I618" s="43">
        <f t="shared" si="19"/>
        <v>24271385.600000001</v>
      </c>
    </row>
    <row r="619" spans="1:9" x14ac:dyDescent="0.2">
      <c r="A619" s="30">
        <v>45327</v>
      </c>
      <c r="B619" s="1" t="s">
        <v>259</v>
      </c>
      <c r="C619" s="38">
        <v>45163</v>
      </c>
      <c r="D619" s="3">
        <v>1323</v>
      </c>
      <c r="E619" s="32">
        <v>45138</v>
      </c>
      <c r="F619" s="2">
        <v>437913</v>
      </c>
      <c r="G619" s="5">
        <v>331</v>
      </c>
      <c r="H619" s="35">
        <f t="shared" si="18"/>
        <v>164</v>
      </c>
      <c r="I619" s="43">
        <f t="shared" si="19"/>
        <v>71817732</v>
      </c>
    </row>
    <row r="620" spans="1:9" x14ac:dyDescent="0.2">
      <c r="A620" s="30">
        <v>45317</v>
      </c>
      <c r="B620" s="1" t="s">
        <v>284</v>
      </c>
      <c r="C620" s="38">
        <v>44978</v>
      </c>
      <c r="D620" s="3">
        <v>120</v>
      </c>
      <c r="E620" s="32">
        <v>44917</v>
      </c>
      <c r="F620" s="2">
        <v>24156</v>
      </c>
      <c r="G620" s="5">
        <v>201.3</v>
      </c>
      <c r="H620" s="35">
        <f t="shared" si="18"/>
        <v>339</v>
      </c>
      <c r="I620" s="43">
        <f t="shared" si="19"/>
        <v>8188884</v>
      </c>
    </row>
    <row r="621" spans="1:9" x14ac:dyDescent="0.2">
      <c r="A621" s="30">
        <v>45324</v>
      </c>
      <c r="B621" s="1" t="s">
        <v>284</v>
      </c>
      <c r="C621" s="38">
        <v>44978</v>
      </c>
      <c r="D621" s="3">
        <v>240</v>
      </c>
      <c r="E621" s="32">
        <v>45051</v>
      </c>
      <c r="F621" s="2">
        <v>48312</v>
      </c>
      <c r="G621" s="5">
        <v>201.3</v>
      </c>
      <c r="H621" s="35">
        <f t="shared" si="18"/>
        <v>346</v>
      </c>
      <c r="I621" s="43">
        <f t="shared" si="19"/>
        <v>16715952</v>
      </c>
    </row>
    <row r="622" spans="1:9" x14ac:dyDescent="0.2">
      <c r="A622" s="30">
        <v>45324</v>
      </c>
      <c r="B622" s="1" t="s">
        <v>284</v>
      </c>
      <c r="C622" s="38">
        <v>44978</v>
      </c>
      <c r="D622" s="3">
        <v>120</v>
      </c>
      <c r="E622" s="32">
        <v>45138</v>
      </c>
      <c r="F622" s="2">
        <v>24156</v>
      </c>
      <c r="G622" s="5">
        <v>201.3</v>
      </c>
      <c r="H622" s="35">
        <f t="shared" si="18"/>
        <v>346</v>
      </c>
      <c r="I622" s="43">
        <f t="shared" si="19"/>
        <v>8357976</v>
      </c>
    </row>
    <row r="623" spans="1:9" x14ac:dyDescent="0.2">
      <c r="A623" s="30">
        <v>45324</v>
      </c>
      <c r="B623" s="1" t="s">
        <v>284</v>
      </c>
      <c r="C623" s="38">
        <v>44978</v>
      </c>
      <c r="D623" s="3">
        <v>120</v>
      </c>
      <c r="E623" s="32">
        <v>45124</v>
      </c>
      <c r="F623" s="2">
        <v>24156</v>
      </c>
      <c r="G623" s="5">
        <v>201.3</v>
      </c>
      <c r="H623" s="35">
        <f t="shared" si="18"/>
        <v>346</v>
      </c>
      <c r="I623" s="43">
        <f t="shared" si="19"/>
        <v>8357976</v>
      </c>
    </row>
    <row r="624" spans="1:9" x14ac:dyDescent="0.2">
      <c r="A624" s="30">
        <v>45329</v>
      </c>
      <c r="B624" s="1" t="s">
        <v>284</v>
      </c>
      <c r="C624" s="38">
        <v>44978</v>
      </c>
      <c r="D624" s="3">
        <v>120</v>
      </c>
      <c r="E624" s="32">
        <v>45226</v>
      </c>
      <c r="F624" s="2">
        <v>24156</v>
      </c>
      <c r="G624" s="5">
        <v>201.3</v>
      </c>
      <c r="H624" s="35">
        <f t="shared" si="18"/>
        <v>351</v>
      </c>
      <c r="I624" s="43">
        <f t="shared" si="19"/>
        <v>8478756</v>
      </c>
    </row>
    <row r="625" spans="1:9" x14ac:dyDescent="0.2">
      <c r="A625" s="30">
        <v>45420</v>
      </c>
      <c r="B625" s="1" t="s">
        <v>284</v>
      </c>
      <c r="C625" s="38">
        <v>45067</v>
      </c>
      <c r="D625" s="3">
        <v>240</v>
      </c>
      <c r="E625" s="32">
        <v>45279</v>
      </c>
      <c r="F625" s="2">
        <v>48312</v>
      </c>
      <c r="G625" s="5">
        <v>201.3</v>
      </c>
      <c r="H625" s="35">
        <f t="shared" si="18"/>
        <v>353</v>
      </c>
      <c r="I625" s="43">
        <f t="shared" si="19"/>
        <v>17054136</v>
      </c>
    </row>
    <row r="626" spans="1:9" x14ac:dyDescent="0.2">
      <c r="A626" s="30">
        <v>45240</v>
      </c>
      <c r="B626" s="1" t="s">
        <v>285</v>
      </c>
      <c r="C626" s="38">
        <v>44978</v>
      </c>
      <c r="D626" s="3">
        <v>252</v>
      </c>
      <c r="E626" s="32">
        <v>44903</v>
      </c>
      <c r="F626" s="2">
        <v>17062.919999999998</v>
      </c>
      <c r="G626" s="5">
        <v>67.709999999999994</v>
      </c>
      <c r="H626" s="35">
        <f t="shared" si="18"/>
        <v>262</v>
      </c>
      <c r="I626" s="43">
        <f t="shared" si="19"/>
        <v>4470485.0399999991</v>
      </c>
    </row>
    <row r="627" spans="1:9" x14ac:dyDescent="0.2">
      <c r="A627" s="30">
        <v>45240</v>
      </c>
      <c r="B627" s="1" t="s">
        <v>285</v>
      </c>
      <c r="C627" s="38">
        <v>44978</v>
      </c>
      <c r="D627" s="3">
        <v>252</v>
      </c>
      <c r="E627" s="32">
        <v>45069</v>
      </c>
      <c r="F627" s="2">
        <v>17062.919999999998</v>
      </c>
      <c r="G627" s="5">
        <v>67.709999999999994</v>
      </c>
      <c r="H627" s="35">
        <f t="shared" si="18"/>
        <v>262</v>
      </c>
      <c r="I627" s="43">
        <f t="shared" si="19"/>
        <v>4470485.0399999991</v>
      </c>
    </row>
    <row r="628" spans="1:9" x14ac:dyDescent="0.2">
      <c r="A628" s="30">
        <v>45212</v>
      </c>
      <c r="B628" s="1" t="s">
        <v>285</v>
      </c>
      <c r="C628" s="38">
        <v>45159</v>
      </c>
      <c r="D628" s="3">
        <v>252</v>
      </c>
      <c r="E628" s="32">
        <v>45146</v>
      </c>
      <c r="F628" s="2">
        <v>17062.919999999998</v>
      </c>
      <c r="G628" s="5">
        <v>67.709999999999994</v>
      </c>
      <c r="H628" s="35">
        <f t="shared" si="18"/>
        <v>53</v>
      </c>
      <c r="I628" s="43">
        <f t="shared" si="19"/>
        <v>904334.75999999989</v>
      </c>
    </row>
    <row r="629" spans="1:9" x14ac:dyDescent="0.2">
      <c r="A629" s="30">
        <v>45419</v>
      </c>
      <c r="B629" s="1" t="s">
        <v>285</v>
      </c>
      <c r="C629" s="38">
        <v>45105</v>
      </c>
      <c r="D629" s="3">
        <v>252</v>
      </c>
      <c r="E629" s="32">
        <v>45412</v>
      </c>
      <c r="F629" s="2">
        <v>17062.919999999998</v>
      </c>
      <c r="G629" s="5">
        <v>67.709999999999994</v>
      </c>
      <c r="H629" s="35">
        <f t="shared" si="18"/>
        <v>314</v>
      </c>
      <c r="I629" s="43">
        <f t="shared" si="19"/>
        <v>5357756.88</v>
      </c>
    </row>
    <row r="630" spans="1:9" x14ac:dyDescent="0.2">
      <c r="A630" s="30">
        <v>45413</v>
      </c>
      <c r="B630" s="1" t="s">
        <v>285</v>
      </c>
      <c r="C630" s="38">
        <v>45123</v>
      </c>
      <c r="D630" s="3">
        <v>252</v>
      </c>
      <c r="E630" s="32">
        <v>45376</v>
      </c>
      <c r="F630" s="2">
        <v>17062.919999999998</v>
      </c>
      <c r="G630" s="5">
        <v>67.709999999999994</v>
      </c>
      <c r="H630" s="35">
        <f t="shared" si="18"/>
        <v>290</v>
      </c>
      <c r="I630" s="43">
        <f t="shared" si="19"/>
        <v>4948246.8</v>
      </c>
    </row>
    <row r="631" spans="1:9" x14ac:dyDescent="0.2">
      <c r="A631" s="30">
        <v>45419</v>
      </c>
      <c r="B631" s="1" t="s">
        <v>285</v>
      </c>
      <c r="C631" s="38">
        <v>45123</v>
      </c>
      <c r="D631" s="3">
        <v>252</v>
      </c>
      <c r="E631" s="32">
        <v>45419</v>
      </c>
      <c r="F631" s="2">
        <v>17062.919999999998</v>
      </c>
      <c r="G631" s="5">
        <v>67.709999999999994</v>
      </c>
      <c r="H631" s="35">
        <f t="shared" si="18"/>
        <v>296</v>
      </c>
      <c r="I631" s="43">
        <f t="shared" si="19"/>
        <v>5050624.3199999994</v>
      </c>
    </row>
    <row r="632" spans="1:9" x14ac:dyDescent="0.2">
      <c r="A632" s="30">
        <v>45245</v>
      </c>
      <c r="B632" s="1" t="s">
        <v>266</v>
      </c>
      <c r="C632" s="38">
        <v>44874</v>
      </c>
      <c r="D632" s="3">
        <v>588</v>
      </c>
      <c r="E632" s="32">
        <v>45245</v>
      </c>
      <c r="F632" s="2">
        <v>56565.599999999999</v>
      </c>
      <c r="G632" s="5">
        <v>96.2</v>
      </c>
      <c r="H632" s="35">
        <f t="shared" si="18"/>
        <v>371</v>
      </c>
      <c r="I632" s="43">
        <f t="shared" si="19"/>
        <v>20985837.599999998</v>
      </c>
    </row>
    <row r="633" spans="1:9" x14ac:dyDescent="0.2">
      <c r="A633" s="30">
        <v>45278</v>
      </c>
      <c r="B633" s="1" t="s">
        <v>266</v>
      </c>
      <c r="C633" s="38">
        <v>44910</v>
      </c>
      <c r="D633" s="3">
        <v>588</v>
      </c>
      <c r="E633" s="32">
        <v>45278</v>
      </c>
      <c r="F633" s="2">
        <v>56565.599999999999</v>
      </c>
      <c r="G633" s="5">
        <v>96.2</v>
      </c>
      <c r="H633" s="35">
        <f t="shared" si="18"/>
        <v>368</v>
      </c>
      <c r="I633" s="43">
        <f t="shared" si="19"/>
        <v>20816140.800000001</v>
      </c>
    </row>
    <row r="634" spans="1:9" x14ac:dyDescent="0.2">
      <c r="A634" s="30">
        <v>45293</v>
      </c>
      <c r="B634" s="1" t="s">
        <v>266</v>
      </c>
      <c r="C634" s="38">
        <v>44930</v>
      </c>
      <c r="D634" s="3">
        <v>1176</v>
      </c>
      <c r="E634" s="32">
        <v>45278</v>
      </c>
      <c r="F634" s="2">
        <v>113131.2</v>
      </c>
      <c r="G634" s="5">
        <v>96.2</v>
      </c>
      <c r="H634" s="35">
        <f t="shared" si="18"/>
        <v>363</v>
      </c>
      <c r="I634" s="43">
        <f t="shared" si="19"/>
        <v>41066625.600000001</v>
      </c>
    </row>
    <row r="635" spans="1:9" x14ac:dyDescent="0.2">
      <c r="A635" s="30">
        <v>45320</v>
      </c>
      <c r="B635" s="1" t="s">
        <v>266</v>
      </c>
      <c r="C635" s="38">
        <v>44965</v>
      </c>
      <c r="D635" s="3">
        <v>588</v>
      </c>
      <c r="E635" s="32">
        <v>45278</v>
      </c>
      <c r="F635" s="2">
        <v>56565.599999999999</v>
      </c>
      <c r="G635" s="5">
        <v>96.2</v>
      </c>
      <c r="H635" s="35">
        <f t="shared" si="18"/>
        <v>355</v>
      </c>
      <c r="I635" s="43">
        <f t="shared" si="19"/>
        <v>20080788</v>
      </c>
    </row>
    <row r="636" spans="1:9" x14ac:dyDescent="0.2">
      <c r="A636" s="30">
        <v>45383</v>
      </c>
      <c r="B636" s="1" t="s">
        <v>266</v>
      </c>
      <c r="C636" s="38">
        <v>45021</v>
      </c>
      <c r="D636" s="3">
        <v>588</v>
      </c>
      <c r="E636" s="32">
        <v>45279</v>
      </c>
      <c r="F636" s="2">
        <v>56565.599999999999</v>
      </c>
      <c r="G636" s="5">
        <v>96.2</v>
      </c>
      <c r="H636" s="35">
        <f t="shared" si="18"/>
        <v>362</v>
      </c>
      <c r="I636" s="43">
        <f t="shared" si="19"/>
        <v>20476747.199999999</v>
      </c>
    </row>
    <row r="637" spans="1:9" x14ac:dyDescent="0.2">
      <c r="A637" s="30">
        <v>45281</v>
      </c>
      <c r="B637" s="1" t="s">
        <v>286</v>
      </c>
      <c r="C637" s="38">
        <v>44929</v>
      </c>
      <c r="D637" s="3">
        <v>2520</v>
      </c>
      <c r="E637" s="32">
        <v>45040</v>
      </c>
      <c r="F637" s="2">
        <v>421419.6</v>
      </c>
      <c r="G637" s="5">
        <v>167.23</v>
      </c>
      <c r="H637" s="35">
        <f t="shared" si="18"/>
        <v>352</v>
      </c>
      <c r="I637" s="43">
        <f t="shared" si="19"/>
        <v>148339699.19999999</v>
      </c>
    </row>
    <row r="638" spans="1:9" x14ac:dyDescent="0.2">
      <c r="A638" s="30">
        <v>45212</v>
      </c>
      <c r="B638" s="1" t="s">
        <v>287</v>
      </c>
      <c r="C638" s="38">
        <v>45027</v>
      </c>
      <c r="D638" s="3">
        <v>21000</v>
      </c>
      <c r="E638" s="32">
        <v>45205</v>
      </c>
      <c r="F638" s="2">
        <v>2940</v>
      </c>
      <c r="G638" s="5">
        <v>0.14000000000000001</v>
      </c>
      <c r="H638" s="35">
        <f t="shared" si="18"/>
        <v>185</v>
      </c>
      <c r="I638" s="43">
        <f t="shared" si="19"/>
        <v>543900</v>
      </c>
    </row>
    <row r="639" spans="1:9" x14ac:dyDescent="0.2">
      <c r="A639" s="30">
        <v>45281</v>
      </c>
      <c r="B639" s="1" t="s">
        <v>288</v>
      </c>
      <c r="C639" s="38">
        <v>44945</v>
      </c>
      <c r="D639" s="3">
        <v>50</v>
      </c>
      <c r="E639" s="32">
        <v>45274</v>
      </c>
      <c r="F639" s="2">
        <v>174900</v>
      </c>
      <c r="G639" s="5">
        <v>3498</v>
      </c>
      <c r="H639" s="35">
        <f t="shared" si="18"/>
        <v>336</v>
      </c>
      <c r="I639" s="43">
        <f t="shared" si="19"/>
        <v>58766400</v>
      </c>
    </row>
    <row r="640" spans="1:9" x14ac:dyDescent="0.2">
      <c r="A640" s="30">
        <v>45281</v>
      </c>
      <c r="B640" s="1" t="s">
        <v>288</v>
      </c>
      <c r="C640" s="38">
        <v>44945</v>
      </c>
      <c r="D640" s="3">
        <v>150</v>
      </c>
      <c r="E640" s="32">
        <v>45274</v>
      </c>
      <c r="F640" s="2">
        <v>524700</v>
      </c>
      <c r="G640" s="5">
        <v>3498</v>
      </c>
      <c r="H640" s="35">
        <f t="shared" si="18"/>
        <v>336</v>
      </c>
      <c r="I640" s="43">
        <f t="shared" si="19"/>
        <v>176299200</v>
      </c>
    </row>
    <row r="641" spans="1:9" x14ac:dyDescent="0.2">
      <c r="A641" s="30">
        <v>45212</v>
      </c>
      <c r="B641" s="1" t="s">
        <v>288</v>
      </c>
      <c r="C641" s="38">
        <v>45159</v>
      </c>
      <c r="D641" s="3">
        <v>50</v>
      </c>
      <c r="E641" s="32">
        <v>45131</v>
      </c>
      <c r="F641" s="2">
        <v>174900</v>
      </c>
      <c r="G641" s="5">
        <v>3498</v>
      </c>
      <c r="H641" s="35">
        <f t="shared" si="18"/>
        <v>53</v>
      </c>
      <c r="I641" s="43">
        <f t="shared" si="19"/>
        <v>9269700</v>
      </c>
    </row>
    <row r="642" spans="1:9" x14ac:dyDescent="0.2">
      <c r="A642" s="30">
        <v>45289</v>
      </c>
      <c r="B642" s="1" t="s">
        <v>288</v>
      </c>
      <c r="C642" s="38">
        <v>44945</v>
      </c>
      <c r="D642" s="3">
        <v>50</v>
      </c>
      <c r="E642" s="32">
        <v>45278</v>
      </c>
      <c r="F642" s="2">
        <v>174900</v>
      </c>
      <c r="G642" s="5">
        <v>3498</v>
      </c>
      <c r="H642" s="35">
        <f t="shared" si="18"/>
        <v>344</v>
      </c>
      <c r="I642" s="43">
        <f t="shared" si="19"/>
        <v>60165600</v>
      </c>
    </row>
    <row r="643" spans="1:9" x14ac:dyDescent="0.2">
      <c r="A643" s="30">
        <v>45210</v>
      </c>
      <c r="B643" s="1" t="s">
        <v>290</v>
      </c>
      <c r="C643" s="38">
        <v>44886</v>
      </c>
      <c r="D643" s="3">
        <v>684</v>
      </c>
      <c r="E643" s="32">
        <v>45203</v>
      </c>
      <c r="F643" s="2">
        <v>476932.68</v>
      </c>
      <c r="G643" s="5">
        <v>697.27</v>
      </c>
      <c r="H643" s="35">
        <f t="shared" ref="H643:H706" si="20">IFERROR(A643-C643,"")</f>
        <v>324</v>
      </c>
      <c r="I643" s="43">
        <f t="shared" ref="I643:I706" si="21">H643*F643</f>
        <v>154526188.31999999</v>
      </c>
    </row>
    <row r="644" spans="1:9" x14ac:dyDescent="0.2">
      <c r="A644" s="30">
        <v>45231</v>
      </c>
      <c r="B644" s="1" t="s">
        <v>290</v>
      </c>
      <c r="C644" s="38">
        <v>44886</v>
      </c>
      <c r="D644" s="3">
        <v>252</v>
      </c>
      <c r="E644" s="32">
        <v>45224</v>
      </c>
      <c r="F644" s="2">
        <v>175712.04</v>
      </c>
      <c r="G644" s="5">
        <v>697.27</v>
      </c>
      <c r="H644" s="35">
        <f t="shared" si="20"/>
        <v>345</v>
      </c>
      <c r="I644" s="43">
        <f t="shared" si="21"/>
        <v>60620653.800000004</v>
      </c>
    </row>
    <row r="645" spans="1:9" x14ac:dyDescent="0.2">
      <c r="A645" s="30">
        <v>45238</v>
      </c>
      <c r="B645" s="1" t="s">
        <v>290</v>
      </c>
      <c r="C645" s="38">
        <v>44886</v>
      </c>
      <c r="D645" s="3">
        <v>252</v>
      </c>
      <c r="E645" s="32">
        <v>45231</v>
      </c>
      <c r="F645" s="2">
        <v>175712.04</v>
      </c>
      <c r="G645" s="5">
        <v>697.27</v>
      </c>
      <c r="H645" s="35">
        <f t="shared" si="20"/>
        <v>352</v>
      </c>
      <c r="I645" s="43">
        <f t="shared" si="21"/>
        <v>61850638.080000006</v>
      </c>
    </row>
    <row r="646" spans="1:9" x14ac:dyDescent="0.2">
      <c r="A646" s="30">
        <v>45238</v>
      </c>
      <c r="B646" s="1" t="s">
        <v>290</v>
      </c>
      <c r="C646" s="38">
        <v>44886</v>
      </c>
      <c r="D646" s="3">
        <v>288</v>
      </c>
      <c r="E646" s="32">
        <v>45231</v>
      </c>
      <c r="F646" s="2">
        <v>200813.76</v>
      </c>
      <c r="G646" s="5">
        <v>697.27</v>
      </c>
      <c r="H646" s="35">
        <f t="shared" si="20"/>
        <v>352</v>
      </c>
      <c r="I646" s="43">
        <f t="shared" si="21"/>
        <v>70686443.520000011</v>
      </c>
    </row>
    <row r="647" spans="1:9" x14ac:dyDescent="0.2">
      <c r="A647" s="30">
        <v>45212</v>
      </c>
      <c r="B647" s="1" t="s">
        <v>290</v>
      </c>
      <c r="C647" s="38">
        <v>44886</v>
      </c>
      <c r="D647" s="3">
        <v>324</v>
      </c>
      <c r="E647" s="32">
        <v>45205</v>
      </c>
      <c r="F647" s="2">
        <v>225915.48</v>
      </c>
      <c r="G647" s="5">
        <v>697.27</v>
      </c>
      <c r="H647" s="35">
        <f t="shared" si="20"/>
        <v>326</v>
      </c>
      <c r="I647" s="43">
        <f t="shared" si="21"/>
        <v>73648446.480000004</v>
      </c>
    </row>
    <row r="648" spans="1:9" x14ac:dyDescent="0.2">
      <c r="A648" s="30">
        <v>45238</v>
      </c>
      <c r="B648" s="1" t="s">
        <v>290</v>
      </c>
      <c r="C648" s="38">
        <v>44886</v>
      </c>
      <c r="D648" s="3">
        <v>288</v>
      </c>
      <c r="E648" s="32">
        <v>45231</v>
      </c>
      <c r="F648" s="2">
        <v>200813.76</v>
      </c>
      <c r="G648" s="5">
        <v>697.27</v>
      </c>
      <c r="H648" s="35">
        <f t="shared" si="20"/>
        <v>352</v>
      </c>
      <c r="I648" s="43">
        <f t="shared" si="21"/>
        <v>70686443.520000011</v>
      </c>
    </row>
    <row r="649" spans="1:9" x14ac:dyDescent="0.2">
      <c r="A649" s="30">
        <v>45224</v>
      </c>
      <c r="B649" s="1" t="s">
        <v>290</v>
      </c>
      <c r="C649" s="38">
        <v>44886</v>
      </c>
      <c r="D649" s="3">
        <v>273</v>
      </c>
      <c r="E649" s="32">
        <v>45217</v>
      </c>
      <c r="F649" s="2">
        <v>190354.71</v>
      </c>
      <c r="G649" s="5">
        <v>697.27</v>
      </c>
      <c r="H649" s="35">
        <f t="shared" si="20"/>
        <v>338</v>
      </c>
      <c r="I649" s="43">
        <f t="shared" si="21"/>
        <v>64339891.979999997</v>
      </c>
    </row>
    <row r="650" spans="1:9" x14ac:dyDescent="0.2">
      <c r="A650" s="30">
        <v>45357</v>
      </c>
      <c r="B650" s="1" t="s">
        <v>290</v>
      </c>
      <c r="C650" s="38">
        <v>44886</v>
      </c>
      <c r="D650" s="3">
        <v>216</v>
      </c>
      <c r="E650" s="32">
        <v>45350</v>
      </c>
      <c r="F650" s="2">
        <v>150610.32</v>
      </c>
      <c r="G650" s="5">
        <v>697.27</v>
      </c>
      <c r="H650" s="35">
        <f t="shared" si="20"/>
        <v>471</v>
      </c>
      <c r="I650" s="43">
        <f t="shared" si="21"/>
        <v>70937460.719999999</v>
      </c>
    </row>
    <row r="651" spans="1:9" x14ac:dyDescent="0.2">
      <c r="A651" s="30">
        <v>45345</v>
      </c>
      <c r="B651" s="1" t="s">
        <v>290</v>
      </c>
      <c r="C651" s="38">
        <v>44886</v>
      </c>
      <c r="D651" s="3">
        <v>324</v>
      </c>
      <c r="E651" s="32">
        <v>45335</v>
      </c>
      <c r="F651" s="2">
        <v>225915.48</v>
      </c>
      <c r="G651" s="5">
        <v>697.27</v>
      </c>
      <c r="H651" s="35">
        <f t="shared" si="20"/>
        <v>459</v>
      </c>
      <c r="I651" s="43">
        <f t="shared" si="21"/>
        <v>103695205.32000001</v>
      </c>
    </row>
    <row r="652" spans="1:9" x14ac:dyDescent="0.2">
      <c r="A652" s="30">
        <v>45357</v>
      </c>
      <c r="B652" s="1" t="s">
        <v>290</v>
      </c>
      <c r="C652" s="38">
        <v>44886</v>
      </c>
      <c r="D652" s="3">
        <v>216</v>
      </c>
      <c r="E652" s="32">
        <v>45350</v>
      </c>
      <c r="F652" s="2">
        <v>150610.32</v>
      </c>
      <c r="G652" s="5">
        <v>697.27</v>
      </c>
      <c r="H652" s="35">
        <f t="shared" si="20"/>
        <v>471</v>
      </c>
      <c r="I652" s="43">
        <f t="shared" si="21"/>
        <v>70937460.719999999</v>
      </c>
    </row>
    <row r="653" spans="1:9" x14ac:dyDescent="0.2">
      <c r="A653" s="30">
        <v>45356</v>
      </c>
      <c r="B653" s="1" t="s">
        <v>290</v>
      </c>
      <c r="C653" s="38">
        <v>44886</v>
      </c>
      <c r="D653" s="3">
        <v>144</v>
      </c>
      <c r="E653" s="32">
        <v>45349</v>
      </c>
      <c r="F653" s="2">
        <v>100406.88</v>
      </c>
      <c r="G653" s="5">
        <v>697.27</v>
      </c>
      <c r="H653" s="35">
        <f t="shared" si="20"/>
        <v>470</v>
      </c>
      <c r="I653" s="43">
        <f t="shared" si="21"/>
        <v>47191233.600000001</v>
      </c>
    </row>
    <row r="654" spans="1:9" x14ac:dyDescent="0.2">
      <c r="A654" s="30">
        <v>45383</v>
      </c>
      <c r="B654" s="1" t="s">
        <v>290</v>
      </c>
      <c r="C654" s="38">
        <v>44886</v>
      </c>
      <c r="D654" s="3">
        <v>936</v>
      </c>
      <c r="E654" s="32">
        <v>45373</v>
      </c>
      <c r="F654" s="2">
        <v>652644.72</v>
      </c>
      <c r="G654" s="5">
        <v>697.27</v>
      </c>
      <c r="H654" s="35">
        <f t="shared" si="20"/>
        <v>497</v>
      </c>
      <c r="I654" s="43">
        <f t="shared" si="21"/>
        <v>324364425.83999997</v>
      </c>
    </row>
    <row r="655" spans="1:9" x14ac:dyDescent="0.2">
      <c r="A655" s="30">
        <v>45373</v>
      </c>
      <c r="B655" s="1" t="s">
        <v>290</v>
      </c>
      <c r="C655" s="38">
        <v>44886</v>
      </c>
      <c r="D655" s="3">
        <v>684</v>
      </c>
      <c r="E655" s="32">
        <v>45366</v>
      </c>
      <c r="F655" s="2">
        <v>476932.68</v>
      </c>
      <c r="G655" s="5">
        <v>697.27</v>
      </c>
      <c r="H655" s="35">
        <f t="shared" si="20"/>
        <v>487</v>
      </c>
      <c r="I655" s="43">
        <f t="shared" si="21"/>
        <v>232266215.16</v>
      </c>
    </row>
    <row r="656" spans="1:9" x14ac:dyDescent="0.2">
      <c r="A656" s="30">
        <v>45321</v>
      </c>
      <c r="B656" s="1" t="s">
        <v>290</v>
      </c>
      <c r="C656" s="38">
        <v>44886</v>
      </c>
      <c r="D656" s="3">
        <v>144</v>
      </c>
      <c r="E656" s="32">
        <v>45314</v>
      </c>
      <c r="F656" s="2">
        <v>100406.88</v>
      </c>
      <c r="G656" s="5">
        <v>697.27</v>
      </c>
      <c r="H656" s="35">
        <f t="shared" si="20"/>
        <v>435</v>
      </c>
      <c r="I656" s="43">
        <f t="shared" si="21"/>
        <v>43676992.800000004</v>
      </c>
    </row>
    <row r="657" spans="1:9" x14ac:dyDescent="0.2">
      <c r="A657" s="30">
        <v>45328</v>
      </c>
      <c r="B657" s="1" t="s">
        <v>290</v>
      </c>
      <c r="C657" s="38">
        <v>44886</v>
      </c>
      <c r="D657" s="3">
        <v>972</v>
      </c>
      <c r="E657" s="32">
        <v>45321</v>
      </c>
      <c r="F657" s="2">
        <v>677746.44</v>
      </c>
      <c r="G657" s="5">
        <v>697.27</v>
      </c>
      <c r="H657" s="35">
        <f t="shared" si="20"/>
        <v>442</v>
      </c>
      <c r="I657" s="43">
        <f t="shared" si="21"/>
        <v>299563926.47999996</v>
      </c>
    </row>
    <row r="658" spans="1:9" x14ac:dyDescent="0.2">
      <c r="A658" s="30">
        <v>45384</v>
      </c>
      <c r="B658" s="1" t="s">
        <v>290</v>
      </c>
      <c r="C658" s="38">
        <v>44886</v>
      </c>
      <c r="D658" s="3">
        <v>380</v>
      </c>
      <c r="E658" s="32">
        <v>45376</v>
      </c>
      <c r="F658" s="2">
        <v>264962.59999999998</v>
      </c>
      <c r="G658" s="5">
        <v>697.27</v>
      </c>
      <c r="H658" s="35">
        <f t="shared" si="20"/>
        <v>498</v>
      </c>
      <c r="I658" s="43">
        <f t="shared" si="21"/>
        <v>131951374.79999998</v>
      </c>
    </row>
    <row r="659" spans="1:9" x14ac:dyDescent="0.2">
      <c r="A659" s="30">
        <v>45401</v>
      </c>
      <c r="B659" s="1" t="s">
        <v>290</v>
      </c>
      <c r="C659" s="38">
        <v>44901</v>
      </c>
      <c r="D659" s="3">
        <v>396</v>
      </c>
      <c r="E659" s="32">
        <v>45394</v>
      </c>
      <c r="F659" s="2">
        <v>276118.92</v>
      </c>
      <c r="G659" s="5">
        <v>697.27</v>
      </c>
      <c r="H659" s="35">
        <f t="shared" si="20"/>
        <v>500</v>
      </c>
      <c r="I659" s="43">
        <f t="shared" si="21"/>
        <v>138059460</v>
      </c>
    </row>
    <row r="660" spans="1:9" x14ac:dyDescent="0.2">
      <c r="A660" s="30">
        <v>45408</v>
      </c>
      <c r="B660" s="1" t="s">
        <v>290</v>
      </c>
      <c r="C660" s="38">
        <v>44907</v>
      </c>
      <c r="D660" s="3">
        <v>72</v>
      </c>
      <c r="E660" s="32">
        <v>45408</v>
      </c>
      <c r="F660" s="2">
        <v>50203.44</v>
      </c>
      <c r="G660" s="5">
        <v>697.27</v>
      </c>
      <c r="H660" s="35">
        <f t="shared" si="20"/>
        <v>501</v>
      </c>
      <c r="I660" s="43">
        <f t="shared" si="21"/>
        <v>25151923.440000001</v>
      </c>
    </row>
    <row r="661" spans="1:9" x14ac:dyDescent="0.2">
      <c r="A661" s="30">
        <v>45289</v>
      </c>
      <c r="B661" s="1" t="s">
        <v>290</v>
      </c>
      <c r="C661" s="38">
        <v>44928</v>
      </c>
      <c r="D661" s="3">
        <v>1332</v>
      </c>
      <c r="E661" s="32">
        <v>45278</v>
      </c>
      <c r="F661" s="2">
        <v>928763.64</v>
      </c>
      <c r="G661" s="5">
        <v>697.27</v>
      </c>
      <c r="H661" s="35">
        <f t="shared" si="20"/>
        <v>361</v>
      </c>
      <c r="I661" s="43">
        <f t="shared" si="21"/>
        <v>335283674.04000002</v>
      </c>
    </row>
    <row r="662" spans="1:9" x14ac:dyDescent="0.2">
      <c r="A662" s="30">
        <v>45303</v>
      </c>
      <c r="B662" s="1" t="s">
        <v>290</v>
      </c>
      <c r="C662" s="38">
        <v>44945</v>
      </c>
      <c r="D662" s="3">
        <v>612</v>
      </c>
      <c r="E662" s="32">
        <v>45280</v>
      </c>
      <c r="F662" s="2">
        <v>426729.24</v>
      </c>
      <c r="G662" s="5">
        <v>697.27</v>
      </c>
      <c r="H662" s="35">
        <f t="shared" si="20"/>
        <v>358</v>
      </c>
      <c r="I662" s="43">
        <f t="shared" si="21"/>
        <v>152769067.91999999</v>
      </c>
    </row>
    <row r="663" spans="1:9" x14ac:dyDescent="0.2">
      <c r="A663" s="30">
        <v>45313</v>
      </c>
      <c r="B663" s="1" t="s">
        <v>290</v>
      </c>
      <c r="C663" s="38">
        <v>44952</v>
      </c>
      <c r="D663" s="3">
        <v>720</v>
      </c>
      <c r="E663" s="32">
        <v>45280</v>
      </c>
      <c r="F663" s="2">
        <v>502034.4</v>
      </c>
      <c r="G663" s="5">
        <v>697.27</v>
      </c>
      <c r="H663" s="35">
        <f t="shared" si="20"/>
        <v>361</v>
      </c>
      <c r="I663" s="43">
        <f t="shared" si="21"/>
        <v>181234418.40000001</v>
      </c>
    </row>
    <row r="664" spans="1:9" x14ac:dyDescent="0.2">
      <c r="A664" s="30">
        <v>45320</v>
      </c>
      <c r="B664" s="1" t="s">
        <v>290</v>
      </c>
      <c r="C664" s="38">
        <v>44965</v>
      </c>
      <c r="D664" s="3">
        <v>938</v>
      </c>
      <c r="E664" s="32">
        <v>45278</v>
      </c>
      <c r="F664" s="2">
        <v>654039.26</v>
      </c>
      <c r="G664" s="5">
        <v>697.27</v>
      </c>
      <c r="H664" s="35">
        <f t="shared" si="20"/>
        <v>355</v>
      </c>
      <c r="I664" s="43">
        <f t="shared" si="21"/>
        <v>232183937.30000001</v>
      </c>
    </row>
    <row r="665" spans="1:9" x14ac:dyDescent="0.2">
      <c r="A665" s="30">
        <v>45313</v>
      </c>
      <c r="B665" s="1" t="s">
        <v>290</v>
      </c>
      <c r="C665" s="38">
        <v>44958</v>
      </c>
      <c r="D665" s="3">
        <v>612</v>
      </c>
      <c r="E665" s="32">
        <v>45280</v>
      </c>
      <c r="F665" s="2">
        <v>426729.24</v>
      </c>
      <c r="G665" s="5">
        <v>697.27</v>
      </c>
      <c r="H665" s="35">
        <f t="shared" si="20"/>
        <v>355</v>
      </c>
      <c r="I665" s="43">
        <f t="shared" si="21"/>
        <v>151488880.19999999</v>
      </c>
    </row>
    <row r="666" spans="1:9" x14ac:dyDescent="0.2">
      <c r="A666" s="30">
        <v>45342</v>
      </c>
      <c r="B666" s="1" t="s">
        <v>290</v>
      </c>
      <c r="C666" s="38">
        <v>44986</v>
      </c>
      <c r="D666" s="3">
        <v>1000</v>
      </c>
      <c r="E666" s="32">
        <v>45278</v>
      </c>
      <c r="F666" s="2">
        <v>697270</v>
      </c>
      <c r="G666" s="5">
        <v>697.27</v>
      </c>
      <c r="H666" s="35">
        <f t="shared" si="20"/>
        <v>356</v>
      </c>
      <c r="I666" s="43">
        <f t="shared" si="21"/>
        <v>248228120</v>
      </c>
    </row>
    <row r="667" spans="1:9" x14ac:dyDescent="0.2">
      <c r="A667" s="30">
        <v>45596</v>
      </c>
      <c r="B667" s="1" t="s">
        <v>291</v>
      </c>
      <c r="C667" s="38">
        <v>44945</v>
      </c>
      <c r="D667" s="3">
        <v>84</v>
      </c>
      <c r="E667" s="32">
        <v>45589</v>
      </c>
      <c r="F667" s="2">
        <v>67692.240000000005</v>
      </c>
      <c r="G667" s="5">
        <v>805.86</v>
      </c>
      <c r="H667" s="35">
        <f t="shared" si="20"/>
        <v>651</v>
      </c>
      <c r="I667" s="43">
        <f t="shared" si="21"/>
        <v>44067648.240000002</v>
      </c>
    </row>
    <row r="668" spans="1:9" x14ac:dyDescent="0.2">
      <c r="A668" s="30">
        <v>45303</v>
      </c>
      <c r="B668" s="1" t="s">
        <v>233</v>
      </c>
      <c r="C668" s="38">
        <v>45131</v>
      </c>
      <c r="D668" s="3">
        <v>142240</v>
      </c>
      <c r="E668" s="32">
        <v>44903</v>
      </c>
      <c r="F668" s="2">
        <v>1819249.6</v>
      </c>
      <c r="G668" s="5">
        <v>12.79</v>
      </c>
      <c r="H668" s="35">
        <f t="shared" si="20"/>
        <v>172</v>
      </c>
      <c r="I668" s="43">
        <f t="shared" si="21"/>
        <v>312910931.19999999</v>
      </c>
    </row>
    <row r="669" spans="1:9" x14ac:dyDescent="0.2">
      <c r="A669" s="30">
        <v>45212</v>
      </c>
      <c r="B669" s="1" t="s">
        <v>233</v>
      </c>
      <c r="C669" s="38">
        <v>45131</v>
      </c>
      <c r="D669" s="3">
        <v>5600</v>
      </c>
      <c r="E669" s="32">
        <v>44903</v>
      </c>
      <c r="F669" s="2">
        <v>71624</v>
      </c>
      <c r="G669" s="5">
        <v>12.79</v>
      </c>
      <c r="H669" s="35">
        <f t="shared" si="20"/>
        <v>81</v>
      </c>
      <c r="I669" s="43">
        <f t="shared" si="21"/>
        <v>5801544</v>
      </c>
    </row>
    <row r="670" spans="1:9" x14ac:dyDescent="0.2">
      <c r="A670" s="30">
        <v>45212</v>
      </c>
      <c r="B670" s="1" t="s">
        <v>233</v>
      </c>
      <c r="C670" s="38">
        <v>45131</v>
      </c>
      <c r="D670" s="3">
        <v>95200</v>
      </c>
      <c r="E670" s="32">
        <v>44869</v>
      </c>
      <c r="F670" s="2">
        <v>1217608</v>
      </c>
      <c r="G670" s="5">
        <v>12.79</v>
      </c>
      <c r="H670" s="35">
        <f t="shared" si="20"/>
        <v>81</v>
      </c>
      <c r="I670" s="43">
        <f t="shared" si="21"/>
        <v>98626248</v>
      </c>
    </row>
    <row r="671" spans="1:9" x14ac:dyDescent="0.2">
      <c r="A671" s="30">
        <v>45212</v>
      </c>
      <c r="B671" s="1" t="s">
        <v>233</v>
      </c>
      <c r="C671" s="38">
        <v>45175</v>
      </c>
      <c r="D671" s="3">
        <v>6823</v>
      </c>
      <c r="E671" s="32">
        <v>44861</v>
      </c>
      <c r="F671" s="2">
        <v>87266.17</v>
      </c>
      <c r="G671" s="5">
        <v>12.79</v>
      </c>
      <c r="H671" s="35">
        <f t="shared" si="20"/>
        <v>37</v>
      </c>
      <c r="I671" s="43">
        <f t="shared" si="21"/>
        <v>3228848.29</v>
      </c>
    </row>
    <row r="672" spans="1:9" x14ac:dyDescent="0.2">
      <c r="A672" s="30">
        <v>45303</v>
      </c>
      <c r="B672" s="1" t="s">
        <v>233</v>
      </c>
      <c r="C672" s="38">
        <v>45131</v>
      </c>
      <c r="D672" s="3">
        <v>104160</v>
      </c>
      <c r="E672" s="32">
        <v>44966</v>
      </c>
      <c r="F672" s="2">
        <v>1332206.3999999999</v>
      </c>
      <c r="G672" s="5">
        <v>12.79</v>
      </c>
      <c r="H672" s="35">
        <f t="shared" si="20"/>
        <v>172</v>
      </c>
      <c r="I672" s="43">
        <f t="shared" si="21"/>
        <v>229139500.79999998</v>
      </c>
    </row>
    <row r="673" spans="1:9" x14ac:dyDescent="0.2">
      <c r="A673" s="30">
        <v>45212</v>
      </c>
      <c r="B673" s="1" t="s">
        <v>233</v>
      </c>
      <c r="C673" s="38">
        <v>45131</v>
      </c>
      <c r="D673" s="3">
        <v>50000</v>
      </c>
      <c r="E673" s="32">
        <v>44694</v>
      </c>
      <c r="F673" s="2">
        <v>639500</v>
      </c>
      <c r="G673" s="5">
        <v>12.79</v>
      </c>
      <c r="H673" s="35">
        <f t="shared" si="20"/>
        <v>81</v>
      </c>
      <c r="I673" s="43">
        <f t="shared" si="21"/>
        <v>51799500</v>
      </c>
    </row>
    <row r="674" spans="1:9" x14ac:dyDescent="0.2">
      <c r="A674" s="30">
        <v>45303</v>
      </c>
      <c r="B674" s="1" t="s">
        <v>233</v>
      </c>
      <c r="C674" s="38">
        <v>45131</v>
      </c>
      <c r="D674" s="3">
        <v>17920</v>
      </c>
      <c r="E674" s="32">
        <v>45001</v>
      </c>
      <c r="F674" s="2">
        <v>229196.79999999999</v>
      </c>
      <c r="G674" s="5">
        <v>12.79</v>
      </c>
      <c r="H674" s="35">
        <f t="shared" si="20"/>
        <v>172</v>
      </c>
      <c r="I674" s="43">
        <f t="shared" si="21"/>
        <v>39421849.600000001</v>
      </c>
    </row>
    <row r="675" spans="1:9" x14ac:dyDescent="0.2">
      <c r="A675" s="30">
        <v>45303</v>
      </c>
      <c r="B675" s="1" t="s">
        <v>233</v>
      </c>
      <c r="C675" s="38">
        <v>45131</v>
      </c>
      <c r="D675" s="3">
        <v>28753</v>
      </c>
      <c r="E675" s="32">
        <v>45037</v>
      </c>
      <c r="F675" s="2">
        <v>367750.87</v>
      </c>
      <c r="G675" s="5">
        <v>12.79</v>
      </c>
      <c r="H675" s="35">
        <f t="shared" si="20"/>
        <v>172</v>
      </c>
      <c r="I675" s="43">
        <f t="shared" si="21"/>
        <v>63253149.640000001</v>
      </c>
    </row>
    <row r="676" spans="1:9" x14ac:dyDescent="0.2">
      <c r="A676" s="30">
        <v>45303</v>
      </c>
      <c r="B676" s="1" t="s">
        <v>233</v>
      </c>
      <c r="C676" s="38">
        <v>45131</v>
      </c>
      <c r="D676" s="3">
        <v>94080</v>
      </c>
      <c r="E676" s="32">
        <v>44973</v>
      </c>
      <c r="F676" s="2">
        <v>1203283.2</v>
      </c>
      <c r="G676" s="5">
        <v>12.79</v>
      </c>
      <c r="H676" s="35">
        <f t="shared" si="20"/>
        <v>172</v>
      </c>
      <c r="I676" s="43">
        <f t="shared" si="21"/>
        <v>206964710.40000001</v>
      </c>
    </row>
    <row r="677" spans="1:9" x14ac:dyDescent="0.2">
      <c r="A677" s="30">
        <v>45303</v>
      </c>
      <c r="B677" s="1" t="s">
        <v>233</v>
      </c>
      <c r="C677" s="38">
        <v>45131</v>
      </c>
      <c r="D677" s="3">
        <v>50000</v>
      </c>
      <c r="E677" s="32">
        <v>44694</v>
      </c>
      <c r="F677" s="2">
        <v>639500</v>
      </c>
      <c r="G677" s="5">
        <v>12.79</v>
      </c>
      <c r="H677" s="35">
        <f t="shared" si="20"/>
        <v>172</v>
      </c>
      <c r="I677" s="43">
        <f t="shared" si="21"/>
        <v>109994000</v>
      </c>
    </row>
    <row r="678" spans="1:9" x14ac:dyDescent="0.2">
      <c r="A678" s="30">
        <v>45212</v>
      </c>
      <c r="B678" s="1" t="s">
        <v>233</v>
      </c>
      <c r="C678" s="38">
        <v>45131</v>
      </c>
      <c r="D678" s="3">
        <v>104160</v>
      </c>
      <c r="E678" s="32">
        <v>45114</v>
      </c>
      <c r="F678" s="2">
        <v>1332206.3999999999</v>
      </c>
      <c r="G678" s="5">
        <v>12.79</v>
      </c>
      <c r="H678" s="35">
        <f t="shared" si="20"/>
        <v>81</v>
      </c>
      <c r="I678" s="43">
        <f t="shared" si="21"/>
        <v>107908718.39999999</v>
      </c>
    </row>
    <row r="679" spans="1:9" x14ac:dyDescent="0.2">
      <c r="A679" s="30">
        <v>45303</v>
      </c>
      <c r="B679" s="1" t="s">
        <v>233</v>
      </c>
      <c r="C679" s="38">
        <v>45131</v>
      </c>
      <c r="D679" s="3">
        <v>7000</v>
      </c>
      <c r="E679" s="32">
        <v>44904</v>
      </c>
      <c r="F679" s="2">
        <v>89530</v>
      </c>
      <c r="G679" s="5">
        <v>12.79</v>
      </c>
      <c r="H679" s="35">
        <f t="shared" si="20"/>
        <v>172</v>
      </c>
      <c r="I679" s="43">
        <f t="shared" si="21"/>
        <v>15399160</v>
      </c>
    </row>
    <row r="680" spans="1:9" x14ac:dyDescent="0.2">
      <c r="A680" s="30">
        <v>45212</v>
      </c>
      <c r="B680" s="1" t="s">
        <v>233</v>
      </c>
      <c r="C680" s="38">
        <v>45131</v>
      </c>
      <c r="D680" s="3">
        <v>50400</v>
      </c>
      <c r="E680" s="32">
        <v>45093</v>
      </c>
      <c r="F680" s="2">
        <v>644616</v>
      </c>
      <c r="G680" s="5">
        <v>12.79</v>
      </c>
      <c r="H680" s="35">
        <f t="shared" si="20"/>
        <v>81</v>
      </c>
      <c r="I680" s="43">
        <f t="shared" si="21"/>
        <v>52213896</v>
      </c>
    </row>
    <row r="681" spans="1:9" x14ac:dyDescent="0.2">
      <c r="A681" s="30">
        <v>45212</v>
      </c>
      <c r="B681" s="1" t="s">
        <v>233</v>
      </c>
      <c r="C681" s="38">
        <v>45131</v>
      </c>
      <c r="D681" s="3">
        <v>104160</v>
      </c>
      <c r="E681" s="32">
        <v>45134</v>
      </c>
      <c r="F681" s="2">
        <v>1332206.3999999999</v>
      </c>
      <c r="G681" s="5">
        <v>12.79</v>
      </c>
      <c r="H681" s="35">
        <f t="shared" si="20"/>
        <v>81</v>
      </c>
      <c r="I681" s="43">
        <f t="shared" si="21"/>
        <v>107908718.39999999</v>
      </c>
    </row>
    <row r="682" spans="1:9" x14ac:dyDescent="0.2">
      <c r="A682" s="30">
        <v>45394</v>
      </c>
      <c r="B682" s="1" t="s">
        <v>233</v>
      </c>
      <c r="C682" s="38">
        <v>45089</v>
      </c>
      <c r="D682" s="3">
        <v>104160</v>
      </c>
      <c r="E682" s="32">
        <v>45141</v>
      </c>
      <c r="F682" s="2">
        <v>1332206.3999999999</v>
      </c>
      <c r="G682" s="5">
        <v>12.79</v>
      </c>
      <c r="H682" s="35">
        <f t="shared" si="20"/>
        <v>305</v>
      </c>
      <c r="I682" s="43">
        <f t="shared" si="21"/>
        <v>406322952</v>
      </c>
    </row>
    <row r="683" spans="1:9" x14ac:dyDescent="0.2">
      <c r="A683" s="30">
        <v>45212</v>
      </c>
      <c r="B683" s="1" t="s">
        <v>234</v>
      </c>
      <c r="C683" s="38">
        <v>45131</v>
      </c>
      <c r="D683" s="3">
        <v>18488</v>
      </c>
      <c r="E683" s="32">
        <v>45121</v>
      </c>
      <c r="F683" s="2">
        <v>236461.52</v>
      </c>
      <c r="G683" s="5">
        <v>12.79</v>
      </c>
      <c r="H683" s="35">
        <f t="shared" si="20"/>
        <v>81</v>
      </c>
      <c r="I683" s="43">
        <f t="shared" si="21"/>
        <v>19153383.119999997</v>
      </c>
    </row>
    <row r="684" spans="1:9" x14ac:dyDescent="0.2">
      <c r="A684" s="30">
        <v>45212</v>
      </c>
      <c r="B684" s="1" t="s">
        <v>234</v>
      </c>
      <c r="C684" s="38">
        <v>45131</v>
      </c>
      <c r="D684" s="3">
        <v>36000</v>
      </c>
      <c r="E684" s="32">
        <v>44945</v>
      </c>
      <c r="F684" s="2">
        <v>460440</v>
      </c>
      <c r="G684" s="5">
        <v>12.79</v>
      </c>
      <c r="H684" s="35">
        <f t="shared" si="20"/>
        <v>81</v>
      </c>
      <c r="I684" s="43">
        <f t="shared" si="21"/>
        <v>37295640</v>
      </c>
    </row>
    <row r="685" spans="1:9" x14ac:dyDescent="0.2">
      <c r="A685" s="30">
        <v>45212</v>
      </c>
      <c r="B685" s="1" t="s">
        <v>234</v>
      </c>
      <c r="C685" s="38">
        <v>45131</v>
      </c>
      <c r="D685" s="3">
        <v>52640</v>
      </c>
      <c r="E685" s="32">
        <v>44945</v>
      </c>
      <c r="F685" s="2">
        <v>673265.6</v>
      </c>
      <c r="G685" s="5">
        <v>12.79</v>
      </c>
      <c r="H685" s="35">
        <f t="shared" si="20"/>
        <v>81</v>
      </c>
      <c r="I685" s="43">
        <f t="shared" si="21"/>
        <v>54534513.600000001</v>
      </c>
    </row>
    <row r="686" spans="1:9" x14ac:dyDescent="0.2">
      <c r="A686" s="30">
        <v>45303</v>
      </c>
      <c r="B686" s="1" t="s">
        <v>234</v>
      </c>
      <c r="C686" s="38">
        <v>45131</v>
      </c>
      <c r="D686" s="3">
        <v>26880</v>
      </c>
      <c r="E686" s="32">
        <v>44897</v>
      </c>
      <c r="F686" s="2">
        <v>343795.20000000001</v>
      </c>
      <c r="G686" s="5">
        <v>12.79</v>
      </c>
      <c r="H686" s="35">
        <f t="shared" si="20"/>
        <v>172</v>
      </c>
      <c r="I686" s="43">
        <f t="shared" si="21"/>
        <v>59132774.399999999</v>
      </c>
    </row>
    <row r="687" spans="1:9" x14ac:dyDescent="0.2">
      <c r="A687" s="30">
        <v>45303</v>
      </c>
      <c r="B687" s="1" t="s">
        <v>234</v>
      </c>
      <c r="C687" s="38">
        <v>45131</v>
      </c>
      <c r="D687" s="3">
        <v>51520</v>
      </c>
      <c r="E687" s="32">
        <v>44966</v>
      </c>
      <c r="F687" s="2">
        <v>658940.80000000005</v>
      </c>
      <c r="G687" s="5">
        <v>12.79</v>
      </c>
      <c r="H687" s="35">
        <f t="shared" si="20"/>
        <v>172</v>
      </c>
      <c r="I687" s="43">
        <f t="shared" si="21"/>
        <v>113337817.60000001</v>
      </c>
    </row>
    <row r="688" spans="1:9" x14ac:dyDescent="0.2">
      <c r="A688" s="30">
        <v>45303</v>
      </c>
      <c r="B688" s="1" t="s">
        <v>234</v>
      </c>
      <c r="C688" s="38">
        <v>45131</v>
      </c>
      <c r="D688" s="3">
        <v>100800</v>
      </c>
      <c r="E688" s="32">
        <v>44939</v>
      </c>
      <c r="F688" s="2">
        <v>1289232</v>
      </c>
      <c r="G688" s="5">
        <v>12.79</v>
      </c>
      <c r="H688" s="35">
        <f t="shared" si="20"/>
        <v>172</v>
      </c>
      <c r="I688" s="43">
        <f t="shared" si="21"/>
        <v>221747904</v>
      </c>
    </row>
    <row r="689" spans="1:9" x14ac:dyDescent="0.2">
      <c r="A689" s="30">
        <v>45212</v>
      </c>
      <c r="B689" s="1" t="s">
        <v>234</v>
      </c>
      <c r="C689" s="38">
        <v>45131</v>
      </c>
      <c r="D689" s="3">
        <v>28000</v>
      </c>
      <c r="E689" s="32">
        <v>44980</v>
      </c>
      <c r="F689" s="2">
        <v>358120</v>
      </c>
      <c r="G689" s="5">
        <v>12.79</v>
      </c>
      <c r="H689" s="35">
        <f t="shared" si="20"/>
        <v>81</v>
      </c>
      <c r="I689" s="43">
        <f t="shared" si="21"/>
        <v>29007720</v>
      </c>
    </row>
    <row r="690" spans="1:9" x14ac:dyDescent="0.2">
      <c r="A690" s="30">
        <v>45212</v>
      </c>
      <c r="B690" s="1" t="s">
        <v>234</v>
      </c>
      <c r="C690" s="38">
        <v>45131</v>
      </c>
      <c r="D690" s="3">
        <v>24640</v>
      </c>
      <c r="E690" s="32">
        <v>44946</v>
      </c>
      <c r="F690" s="2">
        <v>315145.59999999998</v>
      </c>
      <c r="G690" s="5">
        <v>12.79</v>
      </c>
      <c r="H690" s="35">
        <f t="shared" si="20"/>
        <v>81</v>
      </c>
      <c r="I690" s="43">
        <f t="shared" si="21"/>
        <v>25526793.599999998</v>
      </c>
    </row>
    <row r="691" spans="1:9" x14ac:dyDescent="0.2">
      <c r="A691" s="30">
        <v>45212</v>
      </c>
      <c r="B691" s="1" t="s">
        <v>234</v>
      </c>
      <c r="C691" s="38">
        <v>45131</v>
      </c>
      <c r="D691" s="3">
        <v>51520</v>
      </c>
      <c r="E691" s="32">
        <v>45100</v>
      </c>
      <c r="F691" s="2">
        <v>658940.80000000005</v>
      </c>
      <c r="G691" s="5">
        <v>12.79</v>
      </c>
      <c r="H691" s="35">
        <f t="shared" si="20"/>
        <v>81</v>
      </c>
      <c r="I691" s="43">
        <f t="shared" si="21"/>
        <v>53374204.800000004</v>
      </c>
    </row>
    <row r="692" spans="1:9" x14ac:dyDescent="0.2">
      <c r="A692" s="30">
        <v>45330</v>
      </c>
      <c r="B692" s="1" t="s">
        <v>234</v>
      </c>
      <c r="C692" s="38">
        <v>45117</v>
      </c>
      <c r="D692" s="3">
        <v>52640</v>
      </c>
      <c r="E692" s="32">
        <v>45141</v>
      </c>
      <c r="F692" s="2">
        <v>673265.6</v>
      </c>
      <c r="G692" s="5">
        <v>12.79</v>
      </c>
      <c r="H692" s="35">
        <f t="shared" si="20"/>
        <v>213</v>
      </c>
      <c r="I692" s="43">
        <f t="shared" si="21"/>
        <v>143405572.79999998</v>
      </c>
    </row>
    <row r="693" spans="1:9" x14ac:dyDescent="0.2">
      <c r="A693" s="30">
        <v>45212</v>
      </c>
      <c r="B693" s="1" t="s">
        <v>234</v>
      </c>
      <c r="C693" s="38">
        <v>45131</v>
      </c>
      <c r="D693" s="3">
        <v>39200</v>
      </c>
      <c r="E693" s="32">
        <v>45148</v>
      </c>
      <c r="F693" s="2">
        <v>501368</v>
      </c>
      <c r="G693" s="5">
        <v>12.79</v>
      </c>
      <c r="H693" s="35">
        <f t="shared" si="20"/>
        <v>81</v>
      </c>
      <c r="I693" s="43">
        <f t="shared" si="21"/>
        <v>40610808</v>
      </c>
    </row>
    <row r="694" spans="1:9" x14ac:dyDescent="0.2">
      <c r="A694" s="30">
        <v>45303</v>
      </c>
      <c r="B694" s="1" t="s">
        <v>235</v>
      </c>
      <c r="C694" s="38">
        <v>45131</v>
      </c>
      <c r="D694" s="3">
        <v>24640</v>
      </c>
      <c r="E694" s="32">
        <v>44938</v>
      </c>
      <c r="F694" s="2">
        <v>687456</v>
      </c>
      <c r="G694" s="5">
        <v>27.9</v>
      </c>
      <c r="H694" s="35">
        <f t="shared" si="20"/>
        <v>172</v>
      </c>
      <c r="I694" s="43">
        <f t="shared" si="21"/>
        <v>118242432</v>
      </c>
    </row>
    <row r="695" spans="1:9" x14ac:dyDescent="0.2">
      <c r="A695" s="30">
        <v>45303</v>
      </c>
      <c r="B695" s="1" t="s">
        <v>235</v>
      </c>
      <c r="C695" s="38">
        <v>45131</v>
      </c>
      <c r="D695" s="3">
        <v>52052</v>
      </c>
      <c r="E695" s="32">
        <v>44952</v>
      </c>
      <c r="F695" s="2">
        <v>1452250.8</v>
      </c>
      <c r="G695" s="5">
        <v>27.9</v>
      </c>
      <c r="H695" s="35">
        <f t="shared" si="20"/>
        <v>172</v>
      </c>
      <c r="I695" s="43">
        <f t="shared" si="21"/>
        <v>249787137.59999999</v>
      </c>
    </row>
    <row r="696" spans="1:9" x14ac:dyDescent="0.2">
      <c r="A696" s="30">
        <v>45224</v>
      </c>
      <c r="B696" s="1" t="s">
        <v>235</v>
      </c>
      <c r="C696" s="38">
        <v>45180</v>
      </c>
      <c r="D696" s="3">
        <v>18480</v>
      </c>
      <c r="E696" s="32">
        <v>45008</v>
      </c>
      <c r="F696" s="2">
        <v>515592</v>
      </c>
      <c r="G696" s="5">
        <v>27.9</v>
      </c>
      <c r="H696" s="35">
        <f t="shared" si="20"/>
        <v>44</v>
      </c>
      <c r="I696" s="43">
        <f t="shared" si="21"/>
        <v>22686048</v>
      </c>
    </row>
    <row r="697" spans="1:9" x14ac:dyDescent="0.2">
      <c r="A697" s="30">
        <v>45303</v>
      </c>
      <c r="B697" s="1" t="s">
        <v>235</v>
      </c>
      <c r="C697" s="38">
        <v>45131</v>
      </c>
      <c r="D697" s="3">
        <v>25872</v>
      </c>
      <c r="E697" s="32">
        <v>44967</v>
      </c>
      <c r="F697" s="2">
        <v>721828.8</v>
      </c>
      <c r="G697" s="5">
        <v>27.9</v>
      </c>
      <c r="H697" s="35">
        <f t="shared" si="20"/>
        <v>172</v>
      </c>
      <c r="I697" s="43">
        <f t="shared" si="21"/>
        <v>124154553.60000001</v>
      </c>
    </row>
    <row r="698" spans="1:9" x14ac:dyDescent="0.2">
      <c r="A698" s="30">
        <v>45303</v>
      </c>
      <c r="B698" s="1" t="s">
        <v>235</v>
      </c>
      <c r="C698" s="38">
        <v>45131</v>
      </c>
      <c r="D698" s="3">
        <v>52052</v>
      </c>
      <c r="E698" s="32">
        <v>44945</v>
      </c>
      <c r="F698" s="2">
        <v>1452250.8</v>
      </c>
      <c r="G698" s="5">
        <v>27.9</v>
      </c>
      <c r="H698" s="35">
        <f t="shared" si="20"/>
        <v>172</v>
      </c>
      <c r="I698" s="43">
        <f t="shared" si="21"/>
        <v>249787137.59999999</v>
      </c>
    </row>
    <row r="699" spans="1:9" x14ac:dyDescent="0.2">
      <c r="A699" s="30">
        <v>45303</v>
      </c>
      <c r="B699" s="1" t="s">
        <v>235</v>
      </c>
      <c r="C699" s="38">
        <v>45131</v>
      </c>
      <c r="D699" s="3">
        <v>52052</v>
      </c>
      <c r="E699" s="32">
        <v>45001</v>
      </c>
      <c r="F699" s="2">
        <v>1452250.8</v>
      </c>
      <c r="G699" s="5">
        <v>27.9</v>
      </c>
      <c r="H699" s="35">
        <f t="shared" si="20"/>
        <v>172</v>
      </c>
      <c r="I699" s="43">
        <f t="shared" si="21"/>
        <v>249787137.59999999</v>
      </c>
    </row>
    <row r="700" spans="1:9" x14ac:dyDescent="0.2">
      <c r="A700" s="30">
        <v>45230</v>
      </c>
      <c r="B700" s="1" t="s">
        <v>235</v>
      </c>
      <c r="C700" s="38">
        <v>45159</v>
      </c>
      <c r="D700" s="3">
        <v>52052</v>
      </c>
      <c r="E700" s="32">
        <v>45008</v>
      </c>
      <c r="F700" s="2">
        <v>1452250.8</v>
      </c>
      <c r="G700" s="5">
        <v>27.9</v>
      </c>
      <c r="H700" s="35">
        <f t="shared" si="20"/>
        <v>71</v>
      </c>
      <c r="I700" s="43">
        <f t="shared" si="21"/>
        <v>103109806.8</v>
      </c>
    </row>
    <row r="701" spans="1:9" x14ac:dyDescent="0.2">
      <c r="A701" s="30">
        <v>45230</v>
      </c>
      <c r="B701" s="1" t="s">
        <v>235</v>
      </c>
      <c r="C701" s="38">
        <v>45159</v>
      </c>
      <c r="D701" s="3">
        <v>24332</v>
      </c>
      <c r="E701" s="32">
        <v>45015</v>
      </c>
      <c r="F701" s="2">
        <v>678862.8</v>
      </c>
      <c r="G701" s="5">
        <v>27.9</v>
      </c>
      <c r="H701" s="35">
        <f t="shared" si="20"/>
        <v>71</v>
      </c>
      <c r="I701" s="43">
        <f t="shared" si="21"/>
        <v>48199258.800000004</v>
      </c>
    </row>
    <row r="702" spans="1:9" x14ac:dyDescent="0.2">
      <c r="A702" s="30">
        <v>45330</v>
      </c>
      <c r="B702" s="1" t="s">
        <v>235</v>
      </c>
      <c r="C702" s="38">
        <v>45117</v>
      </c>
      <c r="D702" s="3">
        <v>7700</v>
      </c>
      <c r="E702" s="32">
        <v>44946</v>
      </c>
      <c r="F702" s="2">
        <v>214830</v>
      </c>
      <c r="G702" s="5">
        <v>27.9</v>
      </c>
      <c r="H702" s="35">
        <f t="shared" si="20"/>
        <v>213</v>
      </c>
      <c r="I702" s="43">
        <f t="shared" si="21"/>
        <v>45758790</v>
      </c>
    </row>
    <row r="703" spans="1:9" x14ac:dyDescent="0.2">
      <c r="A703" s="30">
        <v>45330</v>
      </c>
      <c r="B703" s="1" t="s">
        <v>235</v>
      </c>
      <c r="C703" s="38">
        <v>45117</v>
      </c>
      <c r="D703" s="3">
        <v>39116</v>
      </c>
      <c r="E703" s="32">
        <v>45029</v>
      </c>
      <c r="F703" s="2">
        <v>1091336.3999999999</v>
      </c>
      <c r="G703" s="5">
        <v>27.9</v>
      </c>
      <c r="H703" s="35">
        <f t="shared" si="20"/>
        <v>213</v>
      </c>
      <c r="I703" s="43">
        <f t="shared" si="21"/>
        <v>232454653.19999999</v>
      </c>
    </row>
    <row r="704" spans="1:9" x14ac:dyDescent="0.2">
      <c r="A704" s="30">
        <v>45303</v>
      </c>
      <c r="B704" s="1" t="s">
        <v>235</v>
      </c>
      <c r="C704" s="38">
        <v>45131</v>
      </c>
      <c r="D704" s="3">
        <v>51744</v>
      </c>
      <c r="E704" s="32">
        <v>44932</v>
      </c>
      <c r="F704" s="2">
        <v>1443657.6</v>
      </c>
      <c r="G704" s="5">
        <v>27.9</v>
      </c>
      <c r="H704" s="35">
        <f t="shared" si="20"/>
        <v>172</v>
      </c>
      <c r="I704" s="43">
        <f t="shared" si="21"/>
        <v>248309107.20000002</v>
      </c>
    </row>
    <row r="705" spans="1:9" x14ac:dyDescent="0.2">
      <c r="A705" s="30">
        <v>45303</v>
      </c>
      <c r="B705" s="1" t="s">
        <v>235</v>
      </c>
      <c r="C705" s="38">
        <v>45131</v>
      </c>
      <c r="D705" s="3">
        <v>52052</v>
      </c>
      <c r="E705" s="32">
        <v>44980</v>
      </c>
      <c r="F705" s="2">
        <v>1452250.8</v>
      </c>
      <c r="G705" s="5">
        <v>27.9</v>
      </c>
      <c r="H705" s="35">
        <f t="shared" si="20"/>
        <v>172</v>
      </c>
      <c r="I705" s="43">
        <f t="shared" si="21"/>
        <v>249787137.59999999</v>
      </c>
    </row>
    <row r="706" spans="1:9" x14ac:dyDescent="0.2">
      <c r="A706" s="30">
        <v>45330</v>
      </c>
      <c r="B706" s="1" t="s">
        <v>235</v>
      </c>
      <c r="C706" s="38">
        <v>45117</v>
      </c>
      <c r="D706" s="3">
        <v>27104</v>
      </c>
      <c r="E706" s="32">
        <v>45038</v>
      </c>
      <c r="F706" s="2">
        <v>756201.6</v>
      </c>
      <c r="G706" s="5">
        <v>27.9</v>
      </c>
      <c r="H706" s="35">
        <f t="shared" si="20"/>
        <v>213</v>
      </c>
      <c r="I706" s="43">
        <f t="shared" si="21"/>
        <v>161070940.79999998</v>
      </c>
    </row>
    <row r="707" spans="1:9" x14ac:dyDescent="0.2">
      <c r="A707" s="30">
        <v>45330</v>
      </c>
      <c r="B707" s="1" t="s">
        <v>235</v>
      </c>
      <c r="C707" s="38">
        <v>45117</v>
      </c>
      <c r="D707" s="3">
        <v>4620</v>
      </c>
      <c r="E707" s="32">
        <v>45008</v>
      </c>
      <c r="F707" s="2">
        <v>128898</v>
      </c>
      <c r="G707" s="5">
        <v>27.9</v>
      </c>
      <c r="H707" s="35">
        <f t="shared" ref="H707:H770" si="22">IFERROR(A707-C707,"")</f>
        <v>213</v>
      </c>
      <c r="I707" s="43">
        <f t="shared" ref="I707:I770" si="23">H707*F707</f>
        <v>27455274</v>
      </c>
    </row>
    <row r="708" spans="1:9" x14ac:dyDescent="0.2">
      <c r="A708" s="30">
        <v>45230</v>
      </c>
      <c r="B708" s="1" t="s">
        <v>235</v>
      </c>
      <c r="C708" s="38">
        <v>45159</v>
      </c>
      <c r="D708" s="3">
        <v>44352</v>
      </c>
      <c r="E708" s="32">
        <v>45038</v>
      </c>
      <c r="F708" s="2">
        <v>1237420.8</v>
      </c>
      <c r="G708" s="5">
        <v>27.9</v>
      </c>
      <c r="H708" s="35">
        <f t="shared" si="22"/>
        <v>71</v>
      </c>
      <c r="I708" s="43">
        <f t="shared" si="23"/>
        <v>87856876.799999997</v>
      </c>
    </row>
    <row r="709" spans="1:9" x14ac:dyDescent="0.2">
      <c r="A709" s="30">
        <v>45230</v>
      </c>
      <c r="B709" s="1" t="s">
        <v>235</v>
      </c>
      <c r="C709" s="38">
        <v>45159</v>
      </c>
      <c r="D709" s="3">
        <v>51744</v>
      </c>
      <c r="E709" s="32">
        <v>45022</v>
      </c>
      <c r="F709" s="2">
        <v>1443657.6</v>
      </c>
      <c r="G709" s="5">
        <v>27.9</v>
      </c>
      <c r="H709" s="35">
        <f t="shared" si="22"/>
        <v>71</v>
      </c>
      <c r="I709" s="43">
        <f t="shared" si="23"/>
        <v>102499689.60000001</v>
      </c>
    </row>
    <row r="710" spans="1:9" x14ac:dyDescent="0.2">
      <c r="A710" s="30">
        <v>45394</v>
      </c>
      <c r="B710" s="1" t="s">
        <v>235</v>
      </c>
      <c r="C710" s="38">
        <v>44986</v>
      </c>
      <c r="D710" s="3">
        <v>52052</v>
      </c>
      <c r="E710" s="32">
        <v>45107</v>
      </c>
      <c r="F710" s="2">
        <v>1452250.8</v>
      </c>
      <c r="G710" s="5">
        <v>27.9</v>
      </c>
      <c r="H710" s="35">
        <f t="shared" si="22"/>
        <v>408</v>
      </c>
      <c r="I710" s="43">
        <f t="shared" si="23"/>
        <v>592518326.39999998</v>
      </c>
    </row>
    <row r="711" spans="1:9" x14ac:dyDescent="0.2">
      <c r="A711" s="30">
        <v>45394</v>
      </c>
      <c r="B711" s="1" t="s">
        <v>235</v>
      </c>
      <c r="C711" s="38">
        <v>44986</v>
      </c>
      <c r="D711" s="3">
        <v>51744</v>
      </c>
      <c r="E711" s="32">
        <v>44987</v>
      </c>
      <c r="F711" s="2">
        <v>1443657.6</v>
      </c>
      <c r="G711" s="5">
        <v>27.9</v>
      </c>
      <c r="H711" s="35">
        <f t="shared" si="22"/>
        <v>408</v>
      </c>
      <c r="I711" s="43">
        <f t="shared" si="23"/>
        <v>589012300.80000007</v>
      </c>
    </row>
    <row r="712" spans="1:9" x14ac:dyDescent="0.2">
      <c r="A712" s="30">
        <v>45394</v>
      </c>
      <c r="B712" s="1" t="s">
        <v>235</v>
      </c>
      <c r="C712" s="38">
        <v>44986</v>
      </c>
      <c r="D712" s="3">
        <v>52052</v>
      </c>
      <c r="E712" s="32">
        <v>44994</v>
      </c>
      <c r="F712" s="2">
        <v>1452250.8</v>
      </c>
      <c r="G712" s="5">
        <v>27.9</v>
      </c>
      <c r="H712" s="35">
        <f t="shared" si="22"/>
        <v>408</v>
      </c>
      <c r="I712" s="43">
        <f t="shared" si="23"/>
        <v>592518326.39999998</v>
      </c>
    </row>
    <row r="713" spans="1:9" x14ac:dyDescent="0.2">
      <c r="A713" s="30">
        <v>45394</v>
      </c>
      <c r="B713" s="1" t="s">
        <v>235</v>
      </c>
      <c r="C713" s="38">
        <v>44986</v>
      </c>
      <c r="D713" s="3">
        <v>26796</v>
      </c>
      <c r="E713" s="32">
        <v>45093</v>
      </c>
      <c r="F713" s="2">
        <v>747608.4</v>
      </c>
      <c r="G713" s="5">
        <v>27.9</v>
      </c>
      <c r="H713" s="35">
        <f t="shared" si="22"/>
        <v>408</v>
      </c>
      <c r="I713" s="43">
        <f t="shared" si="23"/>
        <v>305024227.19999999</v>
      </c>
    </row>
    <row r="714" spans="1:9" x14ac:dyDescent="0.2">
      <c r="A714" s="30">
        <v>45230</v>
      </c>
      <c r="B714" s="1" t="s">
        <v>235</v>
      </c>
      <c r="C714" s="38">
        <v>45159</v>
      </c>
      <c r="D714" s="3">
        <v>52052</v>
      </c>
      <c r="E714" s="32">
        <v>45038</v>
      </c>
      <c r="F714" s="2">
        <v>1452250.8</v>
      </c>
      <c r="G714" s="5">
        <v>27.9</v>
      </c>
      <c r="H714" s="35">
        <f t="shared" si="22"/>
        <v>71</v>
      </c>
      <c r="I714" s="43">
        <f t="shared" si="23"/>
        <v>103109806.8</v>
      </c>
    </row>
    <row r="715" spans="1:9" x14ac:dyDescent="0.2">
      <c r="A715" s="30">
        <v>45394</v>
      </c>
      <c r="B715" s="1" t="s">
        <v>235</v>
      </c>
      <c r="C715" s="38">
        <v>44986</v>
      </c>
      <c r="D715" s="3">
        <v>52052</v>
      </c>
      <c r="E715" s="32">
        <v>45121</v>
      </c>
      <c r="F715" s="2">
        <v>1452250.8</v>
      </c>
      <c r="G715" s="5">
        <v>27.9</v>
      </c>
      <c r="H715" s="35">
        <f t="shared" si="22"/>
        <v>408</v>
      </c>
      <c r="I715" s="43">
        <f t="shared" si="23"/>
        <v>592518326.39999998</v>
      </c>
    </row>
    <row r="716" spans="1:9" x14ac:dyDescent="0.2">
      <c r="A716" s="30">
        <v>45224</v>
      </c>
      <c r="B716" s="1" t="s">
        <v>235</v>
      </c>
      <c r="C716" s="38">
        <v>45180</v>
      </c>
      <c r="D716" s="3">
        <v>39424</v>
      </c>
      <c r="E716" s="32">
        <v>45149</v>
      </c>
      <c r="F716" s="2">
        <v>1099929.6000000001</v>
      </c>
      <c r="G716" s="5">
        <v>27.9</v>
      </c>
      <c r="H716" s="35">
        <f t="shared" si="22"/>
        <v>44</v>
      </c>
      <c r="I716" s="43">
        <f t="shared" si="23"/>
        <v>48396902.400000006</v>
      </c>
    </row>
    <row r="717" spans="1:9" x14ac:dyDescent="0.2">
      <c r="A717" s="30">
        <v>45230</v>
      </c>
      <c r="B717" s="1" t="s">
        <v>235</v>
      </c>
      <c r="C717" s="38">
        <v>45159</v>
      </c>
      <c r="D717" s="3">
        <v>51744</v>
      </c>
      <c r="E717" s="32">
        <v>45142</v>
      </c>
      <c r="F717" s="2">
        <v>1443657.6</v>
      </c>
      <c r="G717" s="5">
        <v>27.9</v>
      </c>
      <c r="H717" s="35">
        <f t="shared" si="22"/>
        <v>71</v>
      </c>
      <c r="I717" s="43">
        <f t="shared" si="23"/>
        <v>102499689.60000001</v>
      </c>
    </row>
    <row r="718" spans="1:9" x14ac:dyDescent="0.2">
      <c r="A718" s="30">
        <v>45394</v>
      </c>
      <c r="B718" s="1" t="s">
        <v>236</v>
      </c>
      <c r="C718" s="38">
        <v>44986</v>
      </c>
      <c r="D718" s="3">
        <v>51156</v>
      </c>
      <c r="E718" s="32">
        <v>45128</v>
      </c>
      <c r="F718" s="2">
        <v>213320.52</v>
      </c>
      <c r="G718" s="5">
        <v>4.17</v>
      </c>
      <c r="H718" s="35">
        <f t="shared" si="22"/>
        <v>408</v>
      </c>
      <c r="I718" s="43">
        <f t="shared" si="23"/>
        <v>87034772.159999996</v>
      </c>
    </row>
    <row r="719" spans="1:9" x14ac:dyDescent="0.2">
      <c r="A719" s="30">
        <v>45217</v>
      </c>
      <c r="B719" s="1" t="s">
        <v>236</v>
      </c>
      <c r="C719" s="38">
        <v>45063</v>
      </c>
      <c r="D719" s="3">
        <v>53592</v>
      </c>
      <c r="E719" s="32">
        <v>45001</v>
      </c>
      <c r="F719" s="2">
        <v>223478.64</v>
      </c>
      <c r="G719" s="5">
        <v>4.17</v>
      </c>
      <c r="H719" s="35">
        <f t="shared" si="22"/>
        <v>154</v>
      </c>
      <c r="I719" s="43">
        <f t="shared" si="23"/>
        <v>34415710.560000002</v>
      </c>
    </row>
    <row r="720" spans="1:9" x14ac:dyDescent="0.2">
      <c r="A720" s="30">
        <v>45348</v>
      </c>
      <c r="B720" s="1" t="s">
        <v>236</v>
      </c>
      <c r="C720" s="38">
        <v>44986</v>
      </c>
      <c r="D720" s="3">
        <v>43848</v>
      </c>
      <c r="E720" s="32">
        <v>45057</v>
      </c>
      <c r="F720" s="2">
        <v>182846.16</v>
      </c>
      <c r="G720" s="5">
        <v>4.17</v>
      </c>
      <c r="H720" s="35">
        <f t="shared" si="22"/>
        <v>362</v>
      </c>
      <c r="I720" s="43">
        <f t="shared" si="23"/>
        <v>66190309.920000002</v>
      </c>
    </row>
    <row r="721" spans="1:9" x14ac:dyDescent="0.2">
      <c r="A721" s="30">
        <v>45212</v>
      </c>
      <c r="B721" s="1" t="s">
        <v>236</v>
      </c>
      <c r="C721" s="38">
        <v>45131</v>
      </c>
      <c r="D721" s="3">
        <v>51156</v>
      </c>
      <c r="E721" s="32">
        <v>45015</v>
      </c>
      <c r="F721" s="2">
        <v>213320.52</v>
      </c>
      <c r="G721" s="5">
        <v>4.17</v>
      </c>
      <c r="H721" s="35">
        <f t="shared" si="22"/>
        <v>81</v>
      </c>
      <c r="I721" s="43">
        <f t="shared" si="23"/>
        <v>17278962.119999997</v>
      </c>
    </row>
    <row r="722" spans="1:9" x14ac:dyDescent="0.2">
      <c r="A722" s="30">
        <v>45212</v>
      </c>
      <c r="B722" s="1" t="s">
        <v>236</v>
      </c>
      <c r="C722" s="38">
        <v>45131</v>
      </c>
      <c r="D722" s="3">
        <v>53592</v>
      </c>
      <c r="E722" s="32">
        <v>45001</v>
      </c>
      <c r="F722" s="2">
        <v>223478.64</v>
      </c>
      <c r="G722" s="5">
        <v>4.17</v>
      </c>
      <c r="H722" s="35">
        <f t="shared" si="22"/>
        <v>81</v>
      </c>
      <c r="I722" s="43">
        <f t="shared" si="23"/>
        <v>18101769.84</v>
      </c>
    </row>
    <row r="723" spans="1:9" x14ac:dyDescent="0.2">
      <c r="A723" s="30">
        <v>45212</v>
      </c>
      <c r="B723" s="1" t="s">
        <v>236</v>
      </c>
      <c r="C723" s="38">
        <v>45131</v>
      </c>
      <c r="D723" s="3">
        <v>38976</v>
      </c>
      <c r="E723" s="32">
        <v>45022</v>
      </c>
      <c r="F723" s="2">
        <v>162529.92000000001</v>
      </c>
      <c r="G723" s="5">
        <v>4.17</v>
      </c>
      <c r="H723" s="35">
        <f t="shared" si="22"/>
        <v>81</v>
      </c>
      <c r="I723" s="43">
        <f t="shared" si="23"/>
        <v>13164923.520000001</v>
      </c>
    </row>
    <row r="724" spans="1:9" x14ac:dyDescent="0.2">
      <c r="A724" s="30">
        <v>45330</v>
      </c>
      <c r="B724" s="1" t="s">
        <v>236</v>
      </c>
      <c r="C724" s="38">
        <v>45117</v>
      </c>
      <c r="D724" s="3">
        <v>51156</v>
      </c>
      <c r="E724" s="32">
        <v>45008</v>
      </c>
      <c r="F724" s="2">
        <v>213320.52</v>
      </c>
      <c r="G724" s="5">
        <v>4.17</v>
      </c>
      <c r="H724" s="35">
        <f t="shared" si="22"/>
        <v>213</v>
      </c>
      <c r="I724" s="43">
        <f t="shared" si="23"/>
        <v>45437270.759999998</v>
      </c>
    </row>
    <row r="725" spans="1:9" x14ac:dyDescent="0.2">
      <c r="A725" s="30">
        <v>45217</v>
      </c>
      <c r="B725" s="1" t="s">
        <v>236</v>
      </c>
      <c r="C725" s="38">
        <v>45063</v>
      </c>
      <c r="D725" s="3">
        <v>51156</v>
      </c>
      <c r="E725" s="32">
        <v>44959</v>
      </c>
      <c r="F725" s="2">
        <v>213320.52</v>
      </c>
      <c r="G725" s="5">
        <v>4.17</v>
      </c>
      <c r="H725" s="35">
        <f t="shared" si="22"/>
        <v>154</v>
      </c>
      <c r="I725" s="43">
        <f t="shared" si="23"/>
        <v>32851360.079999998</v>
      </c>
    </row>
    <row r="726" spans="1:9" x14ac:dyDescent="0.2">
      <c r="A726" s="30">
        <v>45212</v>
      </c>
      <c r="B726" s="1" t="s">
        <v>236</v>
      </c>
      <c r="C726" s="38">
        <v>45131</v>
      </c>
      <c r="D726" s="3">
        <v>51156</v>
      </c>
      <c r="E726" s="32">
        <v>44994</v>
      </c>
      <c r="F726" s="2">
        <v>213320.52</v>
      </c>
      <c r="G726" s="5">
        <v>4.17</v>
      </c>
      <c r="H726" s="35">
        <f t="shared" si="22"/>
        <v>81</v>
      </c>
      <c r="I726" s="43">
        <f t="shared" si="23"/>
        <v>17278962.119999997</v>
      </c>
    </row>
    <row r="727" spans="1:9" x14ac:dyDescent="0.2">
      <c r="A727" s="30">
        <v>45212</v>
      </c>
      <c r="B727" s="1" t="s">
        <v>236</v>
      </c>
      <c r="C727" s="38">
        <v>45131</v>
      </c>
      <c r="D727" s="3">
        <v>17052</v>
      </c>
      <c r="E727" s="32">
        <v>45001</v>
      </c>
      <c r="F727" s="2">
        <v>71106.84</v>
      </c>
      <c r="G727" s="5">
        <v>4.17</v>
      </c>
      <c r="H727" s="35">
        <f t="shared" si="22"/>
        <v>81</v>
      </c>
      <c r="I727" s="43">
        <f t="shared" si="23"/>
        <v>5759654.04</v>
      </c>
    </row>
    <row r="728" spans="1:9" x14ac:dyDescent="0.2">
      <c r="A728" s="30">
        <v>45373</v>
      </c>
      <c r="B728" s="1" t="s">
        <v>236</v>
      </c>
      <c r="C728" s="38">
        <v>44986</v>
      </c>
      <c r="D728" s="3">
        <v>26796</v>
      </c>
      <c r="E728" s="32">
        <v>45093</v>
      </c>
      <c r="F728" s="2">
        <v>111739.32</v>
      </c>
      <c r="G728" s="5">
        <v>4.17</v>
      </c>
      <c r="H728" s="35">
        <f t="shared" si="22"/>
        <v>387</v>
      </c>
      <c r="I728" s="43">
        <f t="shared" si="23"/>
        <v>43243116.840000004</v>
      </c>
    </row>
    <row r="729" spans="1:9" x14ac:dyDescent="0.2">
      <c r="A729" s="30">
        <v>45394</v>
      </c>
      <c r="B729" s="1" t="s">
        <v>236</v>
      </c>
      <c r="C729" s="38">
        <v>44986</v>
      </c>
      <c r="D729" s="3">
        <v>51156</v>
      </c>
      <c r="E729" s="32">
        <v>45114</v>
      </c>
      <c r="F729" s="2">
        <v>213320.52</v>
      </c>
      <c r="G729" s="5">
        <v>4.17</v>
      </c>
      <c r="H729" s="35">
        <f t="shared" si="22"/>
        <v>408</v>
      </c>
      <c r="I729" s="43">
        <f t="shared" si="23"/>
        <v>87034772.159999996</v>
      </c>
    </row>
    <row r="730" spans="1:9" x14ac:dyDescent="0.2">
      <c r="A730" s="30">
        <v>45373</v>
      </c>
      <c r="B730" s="1" t="s">
        <v>236</v>
      </c>
      <c r="C730" s="38">
        <v>44986</v>
      </c>
      <c r="D730" s="3">
        <v>51156</v>
      </c>
      <c r="E730" s="32">
        <v>45134</v>
      </c>
      <c r="F730" s="2">
        <v>213320.52</v>
      </c>
      <c r="G730" s="5">
        <v>4.17</v>
      </c>
      <c r="H730" s="35">
        <f t="shared" si="22"/>
        <v>387</v>
      </c>
      <c r="I730" s="43">
        <f t="shared" si="23"/>
        <v>82555041.239999995</v>
      </c>
    </row>
    <row r="731" spans="1:9" x14ac:dyDescent="0.2">
      <c r="A731" s="30">
        <v>45394</v>
      </c>
      <c r="B731" s="1" t="s">
        <v>236</v>
      </c>
      <c r="C731" s="38">
        <v>44986</v>
      </c>
      <c r="D731" s="3">
        <v>53592</v>
      </c>
      <c r="E731" s="32">
        <v>45142</v>
      </c>
      <c r="F731" s="2">
        <v>223478.64</v>
      </c>
      <c r="G731" s="5">
        <v>4.17</v>
      </c>
      <c r="H731" s="35">
        <f t="shared" si="22"/>
        <v>408</v>
      </c>
      <c r="I731" s="43">
        <f t="shared" si="23"/>
        <v>91179285.120000005</v>
      </c>
    </row>
    <row r="732" spans="1:9" x14ac:dyDescent="0.2">
      <c r="A732" s="30">
        <v>45394</v>
      </c>
      <c r="B732" s="1" t="s">
        <v>236</v>
      </c>
      <c r="C732" s="38">
        <v>44986</v>
      </c>
      <c r="D732" s="3">
        <v>38976</v>
      </c>
      <c r="E732" s="32">
        <v>45149</v>
      </c>
      <c r="F732" s="2">
        <v>162529.92000000001</v>
      </c>
      <c r="G732" s="5">
        <v>4.17</v>
      </c>
      <c r="H732" s="35">
        <f t="shared" si="22"/>
        <v>408</v>
      </c>
      <c r="I732" s="43">
        <f t="shared" si="23"/>
        <v>66312207.360000007</v>
      </c>
    </row>
    <row r="733" spans="1:9" x14ac:dyDescent="0.2">
      <c r="A733" s="30">
        <v>45394</v>
      </c>
      <c r="B733" s="1" t="s">
        <v>236</v>
      </c>
      <c r="C733" s="38">
        <v>44986</v>
      </c>
      <c r="D733" s="3">
        <v>53592</v>
      </c>
      <c r="E733" s="32">
        <v>45121</v>
      </c>
      <c r="F733" s="2">
        <v>223478.64</v>
      </c>
      <c r="G733" s="5">
        <v>4.17</v>
      </c>
      <c r="H733" s="35">
        <f t="shared" si="22"/>
        <v>408</v>
      </c>
      <c r="I733" s="43">
        <f t="shared" si="23"/>
        <v>91179285.120000005</v>
      </c>
    </row>
    <row r="734" spans="1:9" x14ac:dyDescent="0.2">
      <c r="A734" s="30">
        <v>45212</v>
      </c>
      <c r="B734" s="1" t="s">
        <v>236</v>
      </c>
      <c r="C734" s="38">
        <v>45131</v>
      </c>
      <c r="D734" s="3">
        <v>24360</v>
      </c>
      <c r="E734" s="32">
        <v>44938</v>
      </c>
      <c r="F734" s="2">
        <v>101581.2</v>
      </c>
      <c r="G734" s="5">
        <v>4.17</v>
      </c>
      <c r="H734" s="35">
        <f t="shared" si="22"/>
        <v>81</v>
      </c>
      <c r="I734" s="43">
        <f t="shared" si="23"/>
        <v>8228077.2000000002</v>
      </c>
    </row>
    <row r="735" spans="1:9" x14ac:dyDescent="0.2">
      <c r="A735" s="30">
        <v>45212</v>
      </c>
      <c r="B735" s="1" t="s">
        <v>236</v>
      </c>
      <c r="C735" s="38">
        <v>45131</v>
      </c>
      <c r="D735" s="3">
        <v>19488</v>
      </c>
      <c r="E735" s="32">
        <v>44904</v>
      </c>
      <c r="F735" s="2">
        <v>81264.960000000006</v>
      </c>
      <c r="G735" s="5">
        <v>4.17</v>
      </c>
      <c r="H735" s="35">
        <f t="shared" si="22"/>
        <v>81</v>
      </c>
      <c r="I735" s="43">
        <f t="shared" si="23"/>
        <v>6582461.7600000007</v>
      </c>
    </row>
    <row r="736" spans="1:9" x14ac:dyDescent="0.2">
      <c r="A736" s="30">
        <v>45330</v>
      </c>
      <c r="B736" s="1" t="s">
        <v>236</v>
      </c>
      <c r="C736" s="38">
        <v>45117</v>
      </c>
      <c r="D736" s="3">
        <v>53592</v>
      </c>
      <c r="E736" s="32">
        <v>44924</v>
      </c>
      <c r="F736" s="2">
        <v>223478.64</v>
      </c>
      <c r="G736" s="5">
        <v>4.17</v>
      </c>
      <c r="H736" s="35">
        <f t="shared" si="22"/>
        <v>213</v>
      </c>
      <c r="I736" s="43">
        <f t="shared" si="23"/>
        <v>47600950.32</v>
      </c>
    </row>
    <row r="737" spans="1:9" x14ac:dyDescent="0.2">
      <c r="A737" s="30">
        <v>45212</v>
      </c>
      <c r="B737" s="1" t="s">
        <v>236</v>
      </c>
      <c r="C737" s="38">
        <v>45131</v>
      </c>
      <c r="D737" s="3">
        <v>51156</v>
      </c>
      <c r="E737" s="32">
        <v>44918</v>
      </c>
      <c r="F737" s="2">
        <v>213320.52</v>
      </c>
      <c r="G737" s="5">
        <v>4.17</v>
      </c>
      <c r="H737" s="35">
        <f t="shared" si="22"/>
        <v>81</v>
      </c>
      <c r="I737" s="43">
        <f t="shared" si="23"/>
        <v>17278962.119999997</v>
      </c>
    </row>
    <row r="738" spans="1:9" x14ac:dyDescent="0.2">
      <c r="A738" s="30">
        <v>45330</v>
      </c>
      <c r="B738" s="1" t="s">
        <v>236</v>
      </c>
      <c r="C738" s="38">
        <v>45117</v>
      </c>
      <c r="D738" s="3">
        <v>51156</v>
      </c>
      <c r="E738" s="32">
        <v>44931</v>
      </c>
      <c r="F738" s="2">
        <v>213320.52</v>
      </c>
      <c r="G738" s="5">
        <v>4.17</v>
      </c>
      <c r="H738" s="35">
        <f t="shared" si="22"/>
        <v>213</v>
      </c>
      <c r="I738" s="43">
        <f t="shared" si="23"/>
        <v>45437270.759999998</v>
      </c>
    </row>
    <row r="739" spans="1:9" x14ac:dyDescent="0.2">
      <c r="A739" s="30">
        <v>45330</v>
      </c>
      <c r="B739" s="1" t="s">
        <v>236</v>
      </c>
      <c r="C739" s="38">
        <v>45117</v>
      </c>
      <c r="D739" s="3">
        <v>4872</v>
      </c>
      <c r="E739" s="32">
        <v>44945</v>
      </c>
      <c r="F739" s="2">
        <v>20316.240000000002</v>
      </c>
      <c r="G739" s="5">
        <v>4.17</v>
      </c>
      <c r="H739" s="35">
        <f t="shared" si="22"/>
        <v>213</v>
      </c>
      <c r="I739" s="43">
        <f t="shared" si="23"/>
        <v>4327359.12</v>
      </c>
    </row>
    <row r="740" spans="1:9" x14ac:dyDescent="0.2">
      <c r="A740" s="30">
        <v>45212</v>
      </c>
      <c r="B740" s="1" t="s">
        <v>236</v>
      </c>
      <c r="C740" s="38">
        <v>45131</v>
      </c>
      <c r="D740" s="3">
        <v>51156</v>
      </c>
      <c r="E740" s="32">
        <v>44952</v>
      </c>
      <c r="F740" s="2">
        <v>213320.52</v>
      </c>
      <c r="G740" s="5">
        <v>4.17</v>
      </c>
      <c r="H740" s="35">
        <f t="shared" si="22"/>
        <v>81</v>
      </c>
      <c r="I740" s="43">
        <f t="shared" si="23"/>
        <v>17278962.119999997</v>
      </c>
    </row>
    <row r="741" spans="1:9" x14ac:dyDescent="0.2">
      <c r="A741" s="30">
        <v>45212</v>
      </c>
      <c r="B741" s="1" t="s">
        <v>236</v>
      </c>
      <c r="C741" s="38">
        <v>45131</v>
      </c>
      <c r="D741" s="3">
        <v>53592</v>
      </c>
      <c r="E741" s="32">
        <v>44973</v>
      </c>
      <c r="F741" s="2">
        <v>223478.64</v>
      </c>
      <c r="G741" s="5">
        <v>4.17</v>
      </c>
      <c r="H741" s="35">
        <f t="shared" si="22"/>
        <v>81</v>
      </c>
      <c r="I741" s="43">
        <f t="shared" si="23"/>
        <v>18101769.84</v>
      </c>
    </row>
    <row r="742" spans="1:9" x14ac:dyDescent="0.2">
      <c r="A742" s="30">
        <v>45212</v>
      </c>
      <c r="B742" s="1" t="s">
        <v>236</v>
      </c>
      <c r="C742" s="38">
        <v>45131</v>
      </c>
      <c r="D742" s="3">
        <v>53592</v>
      </c>
      <c r="E742" s="32">
        <v>44987</v>
      </c>
      <c r="F742" s="2">
        <v>223478.64</v>
      </c>
      <c r="G742" s="5">
        <v>4.17</v>
      </c>
      <c r="H742" s="35">
        <f t="shared" si="22"/>
        <v>81</v>
      </c>
      <c r="I742" s="43">
        <f t="shared" si="23"/>
        <v>18101769.84</v>
      </c>
    </row>
    <row r="743" spans="1:9" x14ac:dyDescent="0.2">
      <c r="A743" s="30">
        <v>45212</v>
      </c>
      <c r="B743" s="1" t="s">
        <v>236</v>
      </c>
      <c r="C743" s="38">
        <v>45131</v>
      </c>
      <c r="D743" s="3">
        <v>51156</v>
      </c>
      <c r="E743" s="32">
        <v>44980</v>
      </c>
      <c r="F743" s="2">
        <v>213320.52</v>
      </c>
      <c r="G743" s="5">
        <v>4.17</v>
      </c>
      <c r="H743" s="35">
        <f t="shared" si="22"/>
        <v>81</v>
      </c>
      <c r="I743" s="43">
        <f t="shared" si="23"/>
        <v>17278962.119999997</v>
      </c>
    </row>
    <row r="744" spans="1:9" x14ac:dyDescent="0.2">
      <c r="A744" s="30">
        <v>45330</v>
      </c>
      <c r="B744" s="1" t="s">
        <v>236</v>
      </c>
      <c r="C744" s="38">
        <v>45117</v>
      </c>
      <c r="D744" s="3">
        <v>51156</v>
      </c>
      <c r="E744" s="32">
        <v>44966</v>
      </c>
      <c r="F744" s="2">
        <v>213320.52</v>
      </c>
      <c r="G744" s="5">
        <v>4.17</v>
      </c>
      <c r="H744" s="35">
        <f t="shared" si="22"/>
        <v>213</v>
      </c>
      <c r="I744" s="43">
        <f t="shared" si="23"/>
        <v>45437270.759999998</v>
      </c>
    </row>
    <row r="745" spans="1:9" x14ac:dyDescent="0.2">
      <c r="A745" s="30">
        <v>45373</v>
      </c>
      <c r="B745" s="1" t="s">
        <v>236</v>
      </c>
      <c r="C745" s="38">
        <v>44986</v>
      </c>
      <c r="D745" s="3">
        <v>51156</v>
      </c>
      <c r="E745" s="32">
        <v>45064</v>
      </c>
      <c r="F745" s="2">
        <v>213320.52</v>
      </c>
      <c r="G745" s="5">
        <v>4.17</v>
      </c>
      <c r="H745" s="35">
        <f t="shared" si="22"/>
        <v>387</v>
      </c>
      <c r="I745" s="43">
        <f t="shared" si="23"/>
        <v>82555041.239999995</v>
      </c>
    </row>
    <row r="746" spans="1:9" x14ac:dyDescent="0.2">
      <c r="A746" s="30">
        <v>45373</v>
      </c>
      <c r="B746" s="1" t="s">
        <v>236</v>
      </c>
      <c r="C746" s="38">
        <v>44986</v>
      </c>
      <c r="D746" s="3">
        <v>26796</v>
      </c>
      <c r="E746" s="32">
        <v>45064</v>
      </c>
      <c r="F746" s="2">
        <v>111739.32</v>
      </c>
      <c r="G746" s="5">
        <v>4.17</v>
      </c>
      <c r="H746" s="35">
        <f t="shared" si="22"/>
        <v>387</v>
      </c>
      <c r="I746" s="43">
        <f t="shared" si="23"/>
        <v>43243116.840000004</v>
      </c>
    </row>
    <row r="747" spans="1:9" x14ac:dyDescent="0.2">
      <c r="A747" s="30">
        <v>45330</v>
      </c>
      <c r="B747" s="1" t="s">
        <v>236</v>
      </c>
      <c r="C747" s="38">
        <v>45117</v>
      </c>
      <c r="D747" s="3">
        <v>51156</v>
      </c>
      <c r="E747" s="32">
        <v>45107</v>
      </c>
      <c r="F747" s="2">
        <v>213320.52</v>
      </c>
      <c r="G747" s="5">
        <v>4.17</v>
      </c>
      <c r="H747" s="35">
        <f t="shared" si="22"/>
        <v>213</v>
      </c>
      <c r="I747" s="43">
        <f t="shared" si="23"/>
        <v>45437270.759999998</v>
      </c>
    </row>
    <row r="748" spans="1:9" x14ac:dyDescent="0.2">
      <c r="A748" s="30">
        <v>45373</v>
      </c>
      <c r="B748" s="1" t="s">
        <v>236</v>
      </c>
      <c r="C748" s="38">
        <v>44986</v>
      </c>
      <c r="D748" s="3">
        <v>53592</v>
      </c>
      <c r="E748" s="32">
        <v>45100</v>
      </c>
      <c r="F748" s="2">
        <v>223478.64</v>
      </c>
      <c r="G748" s="5">
        <v>4.17</v>
      </c>
      <c r="H748" s="35">
        <f t="shared" si="22"/>
        <v>387</v>
      </c>
      <c r="I748" s="43">
        <f t="shared" si="23"/>
        <v>86486233.680000007</v>
      </c>
    </row>
    <row r="749" spans="1:9" x14ac:dyDescent="0.2">
      <c r="A749" s="30"/>
      <c r="B749" s="1" t="s">
        <v>233</v>
      </c>
      <c r="C749" s="38">
        <v>45181</v>
      </c>
      <c r="D749" s="3">
        <v>579313</v>
      </c>
      <c r="E749" s="32">
        <v>45181</v>
      </c>
      <c r="F749" s="2">
        <v>7409413.2699999996</v>
      </c>
      <c r="G749" s="5">
        <v>12.79</v>
      </c>
      <c r="H749" s="35"/>
      <c r="I749" s="43">
        <f t="shared" si="23"/>
        <v>0</v>
      </c>
    </row>
    <row r="750" spans="1:9" x14ac:dyDescent="0.2">
      <c r="A750" s="30"/>
      <c r="B750" s="1" t="s">
        <v>236</v>
      </c>
      <c r="C750" s="38">
        <v>45181</v>
      </c>
      <c r="D750" s="3">
        <v>138852</v>
      </c>
      <c r="E750" s="32">
        <v>45181</v>
      </c>
      <c r="F750" s="2">
        <v>579012.84</v>
      </c>
      <c r="G750" s="5">
        <v>4.17</v>
      </c>
      <c r="H750" s="35"/>
      <c r="I750" s="43">
        <f t="shared" si="23"/>
        <v>0</v>
      </c>
    </row>
    <row r="751" spans="1:9" x14ac:dyDescent="0.2">
      <c r="A751" s="30">
        <v>45212</v>
      </c>
      <c r="B751" s="1" t="s">
        <v>310</v>
      </c>
      <c r="C751" s="38">
        <v>45159</v>
      </c>
      <c r="D751" s="3">
        <v>120</v>
      </c>
      <c r="E751" s="32">
        <v>45117</v>
      </c>
      <c r="F751" s="2">
        <v>13698</v>
      </c>
      <c r="G751" s="5">
        <v>114.15</v>
      </c>
      <c r="H751" s="35">
        <f t="shared" si="22"/>
        <v>53</v>
      </c>
      <c r="I751" s="43">
        <f t="shared" si="23"/>
        <v>725994</v>
      </c>
    </row>
    <row r="752" spans="1:9" x14ac:dyDescent="0.2">
      <c r="A752" s="30">
        <v>45338</v>
      </c>
      <c r="B752" s="1" t="s">
        <v>310</v>
      </c>
      <c r="C752" s="38">
        <v>44986</v>
      </c>
      <c r="D752" s="3">
        <v>360</v>
      </c>
      <c r="E752" s="32">
        <v>45299</v>
      </c>
      <c r="F752" s="2">
        <v>41094</v>
      </c>
      <c r="G752" s="5">
        <v>114.15</v>
      </c>
      <c r="H752" s="35">
        <f t="shared" si="22"/>
        <v>352</v>
      </c>
      <c r="I752" s="43">
        <f t="shared" si="23"/>
        <v>14465088</v>
      </c>
    </row>
    <row r="753" spans="1:9" x14ac:dyDescent="0.2">
      <c r="A753" s="30">
        <v>45233</v>
      </c>
      <c r="B753" s="1" t="s">
        <v>310</v>
      </c>
      <c r="C753" s="38">
        <v>45153</v>
      </c>
      <c r="D753" s="3">
        <v>360</v>
      </c>
      <c r="E753" s="32">
        <v>45208</v>
      </c>
      <c r="F753" s="2">
        <v>41094</v>
      </c>
      <c r="G753" s="5">
        <v>114.15</v>
      </c>
      <c r="H753" s="35">
        <f t="shared" si="22"/>
        <v>80</v>
      </c>
      <c r="I753" s="43">
        <f t="shared" si="23"/>
        <v>3287520</v>
      </c>
    </row>
    <row r="754" spans="1:9" x14ac:dyDescent="0.2">
      <c r="A754" s="30">
        <v>45196</v>
      </c>
      <c r="B754" s="1" t="s">
        <v>324</v>
      </c>
      <c r="C754" s="38">
        <v>45180</v>
      </c>
      <c r="D754" s="3">
        <v>32</v>
      </c>
      <c r="E754" s="32">
        <v>44981</v>
      </c>
      <c r="F754" s="2">
        <v>149248</v>
      </c>
      <c r="G754" s="5">
        <v>4664</v>
      </c>
      <c r="H754" s="35">
        <f t="shared" si="22"/>
        <v>16</v>
      </c>
      <c r="I754" s="43">
        <f t="shared" si="23"/>
        <v>2387968</v>
      </c>
    </row>
    <row r="755" spans="1:9" x14ac:dyDescent="0.2">
      <c r="A755" s="30">
        <v>45196</v>
      </c>
      <c r="B755" s="1" t="s">
        <v>324</v>
      </c>
      <c r="C755" s="38">
        <v>45180</v>
      </c>
      <c r="D755" s="3">
        <v>112</v>
      </c>
      <c r="E755" s="32">
        <v>44953</v>
      </c>
      <c r="F755" s="2">
        <v>522368</v>
      </c>
      <c r="G755" s="5">
        <v>4664</v>
      </c>
      <c r="H755" s="35">
        <f t="shared" si="22"/>
        <v>16</v>
      </c>
      <c r="I755" s="43">
        <f t="shared" si="23"/>
        <v>8357888</v>
      </c>
    </row>
    <row r="756" spans="1:9" x14ac:dyDescent="0.2">
      <c r="A756" s="30">
        <v>45238</v>
      </c>
      <c r="B756" s="1" t="s">
        <v>324</v>
      </c>
      <c r="C756" s="38">
        <v>44880</v>
      </c>
      <c r="D756" s="3">
        <v>240</v>
      </c>
      <c r="E756" s="32">
        <v>45229</v>
      </c>
      <c r="F756" s="2">
        <v>1119360</v>
      </c>
      <c r="G756" s="5">
        <v>4664</v>
      </c>
      <c r="H756" s="35">
        <f t="shared" si="22"/>
        <v>358</v>
      </c>
      <c r="I756" s="43">
        <f t="shared" si="23"/>
        <v>400730880</v>
      </c>
    </row>
    <row r="757" spans="1:9" x14ac:dyDescent="0.2">
      <c r="A757" s="30">
        <v>45196</v>
      </c>
      <c r="B757" s="1" t="s">
        <v>324</v>
      </c>
      <c r="C757" s="38">
        <v>45180</v>
      </c>
      <c r="D757" s="3">
        <v>176</v>
      </c>
      <c r="E757" s="32">
        <v>45099</v>
      </c>
      <c r="F757" s="2">
        <v>820864</v>
      </c>
      <c r="G757" s="5">
        <v>4664</v>
      </c>
      <c r="H757" s="35">
        <f t="shared" si="22"/>
        <v>16</v>
      </c>
      <c r="I757" s="43">
        <f t="shared" si="23"/>
        <v>13133824</v>
      </c>
    </row>
    <row r="758" spans="1:9" x14ac:dyDescent="0.2">
      <c r="A758" s="30">
        <v>45196</v>
      </c>
      <c r="B758" s="1" t="s">
        <v>324</v>
      </c>
      <c r="C758" s="38">
        <v>45180</v>
      </c>
      <c r="D758" s="3">
        <v>288</v>
      </c>
      <c r="E758" s="32">
        <v>45135</v>
      </c>
      <c r="F758" s="2">
        <v>1343232</v>
      </c>
      <c r="G758" s="5">
        <v>4664</v>
      </c>
      <c r="H758" s="35">
        <f t="shared" si="22"/>
        <v>16</v>
      </c>
      <c r="I758" s="43">
        <f t="shared" si="23"/>
        <v>21491712</v>
      </c>
    </row>
    <row r="759" spans="1:9" x14ac:dyDescent="0.2">
      <c r="A759" s="30">
        <v>45338</v>
      </c>
      <c r="B759" s="1" t="s">
        <v>324</v>
      </c>
      <c r="C759" s="38">
        <v>45161</v>
      </c>
      <c r="D759" s="3">
        <v>272</v>
      </c>
      <c r="E759" s="32">
        <v>45043</v>
      </c>
      <c r="F759" s="2">
        <v>1268608</v>
      </c>
      <c r="G759" s="5">
        <v>4664</v>
      </c>
      <c r="H759" s="35">
        <f t="shared" si="22"/>
        <v>177</v>
      </c>
      <c r="I759" s="43">
        <f t="shared" si="23"/>
        <v>224543616</v>
      </c>
    </row>
    <row r="760" spans="1:9" x14ac:dyDescent="0.2">
      <c r="A760" s="30">
        <v>45196</v>
      </c>
      <c r="B760" s="1" t="s">
        <v>324</v>
      </c>
      <c r="C760" s="38">
        <v>45180</v>
      </c>
      <c r="D760" s="3">
        <v>224</v>
      </c>
      <c r="E760" s="32">
        <v>45009</v>
      </c>
      <c r="F760" s="2">
        <v>1044736</v>
      </c>
      <c r="G760" s="5">
        <v>4664</v>
      </c>
      <c r="H760" s="35">
        <f t="shared" si="22"/>
        <v>16</v>
      </c>
      <c r="I760" s="43">
        <f t="shared" si="23"/>
        <v>16715776</v>
      </c>
    </row>
    <row r="761" spans="1:9" x14ac:dyDescent="0.2">
      <c r="A761" s="30">
        <v>45198</v>
      </c>
      <c r="B761" s="1" t="s">
        <v>324</v>
      </c>
      <c r="C761" s="38">
        <v>45180</v>
      </c>
      <c r="D761" s="3">
        <v>192</v>
      </c>
      <c r="E761" s="32">
        <v>45191</v>
      </c>
      <c r="F761" s="2">
        <v>895488</v>
      </c>
      <c r="G761" s="5">
        <v>4664</v>
      </c>
      <c r="H761" s="35">
        <f t="shared" si="22"/>
        <v>18</v>
      </c>
      <c r="I761" s="43">
        <f t="shared" si="23"/>
        <v>16118784</v>
      </c>
    </row>
    <row r="762" spans="1:9" x14ac:dyDescent="0.2">
      <c r="A762" s="30">
        <v>45324</v>
      </c>
      <c r="B762" s="1" t="s">
        <v>325</v>
      </c>
      <c r="C762" s="38">
        <v>44983</v>
      </c>
      <c r="D762" s="3">
        <v>120</v>
      </c>
      <c r="E762" s="32">
        <v>45223</v>
      </c>
      <c r="F762" s="2">
        <v>10528.8</v>
      </c>
      <c r="G762" s="5">
        <v>87.74</v>
      </c>
      <c r="H762" s="35">
        <f t="shared" si="22"/>
        <v>341</v>
      </c>
      <c r="I762" s="43">
        <f t="shared" si="23"/>
        <v>3590320.8</v>
      </c>
    </row>
    <row r="763" spans="1:9" x14ac:dyDescent="0.2">
      <c r="A763" s="30">
        <v>45204</v>
      </c>
      <c r="B763" s="1" t="s">
        <v>303</v>
      </c>
      <c r="C763" s="38">
        <v>45165</v>
      </c>
      <c r="D763" s="3">
        <v>1386</v>
      </c>
      <c r="E763" s="32">
        <v>45201</v>
      </c>
      <c r="F763" s="2">
        <v>559916.28</v>
      </c>
      <c r="G763" s="5">
        <v>403.98</v>
      </c>
      <c r="H763" s="35">
        <f t="shared" si="22"/>
        <v>39</v>
      </c>
      <c r="I763" s="43">
        <f t="shared" si="23"/>
        <v>21836734.920000002</v>
      </c>
    </row>
    <row r="764" spans="1:9" x14ac:dyDescent="0.2">
      <c r="A764" s="30">
        <v>45666</v>
      </c>
      <c r="B764" s="1" t="s">
        <v>303</v>
      </c>
      <c r="C764" s="38">
        <v>45167</v>
      </c>
      <c r="D764" s="3">
        <v>1386</v>
      </c>
      <c r="E764" s="32">
        <v>45201</v>
      </c>
      <c r="F764" s="2">
        <v>559916.28</v>
      </c>
      <c r="G764" s="5">
        <v>403.98</v>
      </c>
      <c r="H764" s="35">
        <f t="shared" si="22"/>
        <v>499</v>
      </c>
      <c r="I764" s="43">
        <f t="shared" si="23"/>
        <v>279398223.72000003</v>
      </c>
    </row>
    <row r="765" spans="1:9" x14ac:dyDescent="0.2">
      <c r="A765" s="30">
        <v>45204</v>
      </c>
      <c r="B765" s="1" t="s">
        <v>304</v>
      </c>
      <c r="C765" s="38">
        <v>45165</v>
      </c>
      <c r="D765" s="3">
        <v>1404</v>
      </c>
      <c r="E765" s="32">
        <v>45201</v>
      </c>
      <c r="F765" s="2">
        <v>631364.76</v>
      </c>
      <c r="G765" s="5">
        <v>449.69</v>
      </c>
      <c r="H765" s="35">
        <f t="shared" si="22"/>
        <v>39</v>
      </c>
      <c r="I765" s="43">
        <f t="shared" si="23"/>
        <v>24623225.640000001</v>
      </c>
    </row>
    <row r="766" spans="1:9" x14ac:dyDescent="0.2">
      <c r="A766" s="30">
        <v>45215</v>
      </c>
      <c r="B766" s="1" t="s">
        <v>311</v>
      </c>
      <c r="C766" s="38">
        <v>45050</v>
      </c>
      <c r="D766" s="3">
        <v>70</v>
      </c>
      <c r="E766" s="32">
        <v>45208</v>
      </c>
      <c r="F766" s="2">
        <v>13467.3</v>
      </c>
      <c r="G766" s="5">
        <v>192.39</v>
      </c>
      <c r="H766" s="35">
        <f t="shared" si="22"/>
        <v>165</v>
      </c>
      <c r="I766" s="43">
        <f t="shared" si="23"/>
        <v>2222104.5</v>
      </c>
    </row>
    <row r="767" spans="1:9" x14ac:dyDescent="0.2">
      <c r="A767" s="30">
        <v>45355</v>
      </c>
      <c r="B767" s="1" t="s">
        <v>311</v>
      </c>
      <c r="C767" s="38">
        <v>45004</v>
      </c>
      <c r="D767" s="3">
        <v>1100</v>
      </c>
      <c r="E767" s="32">
        <v>45300</v>
      </c>
      <c r="F767" s="2">
        <v>211629</v>
      </c>
      <c r="G767" s="5">
        <v>192.39</v>
      </c>
      <c r="H767" s="35">
        <f t="shared" si="22"/>
        <v>351</v>
      </c>
      <c r="I767" s="43">
        <f t="shared" si="23"/>
        <v>74281779</v>
      </c>
    </row>
    <row r="768" spans="1:9" x14ac:dyDescent="0.2">
      <c r="A768" s="30">
        <v>45212</v>
      </c>
      <c r="B768" s="1" t="s">
        <v>311</v>
      </c>
      <c r="C768" s="38">
        <v>45061</v>
      </c>
      <c r="D768" s="3">
        <v>400</v>
      </c>
      <c r="E768" s="32">
        <v>45002</v>
      </c>
      <c r="F768" s="2">
        <v>76956</v>
      </c>
      <c r="G768" s="5">
        <v>192.39</v>
      </c>
      <c r="H768" s="35">
        <f t="shared" si="22"/>
        <v>151</v>
      </c>
      <c r="I768" s="43">
        <f t="shared" si="23"/>
        <v>11620356</v>
      </c>
    </row>
    <row r="769" spans="1:9" x14ac:dyDescent="0.2">
      <c r="A769" s="30">
        <v>45393</v>
      </c>
      <c r="B769" s="1" t="s">
        <v>311</v>
      </c>
      <c r="C769" s="38">
        <v>45042</v>
      </c>
      <c r="D769" s="3">
        <v>2132</v>
      </c>
      <c r="E769" s="32">
        <v>45390</v>
      </c>
      <c r="F769" s="2">
        <v>410175.48</v>
      </c>
      <c r="G769" s="5">
        <v>192.39</v>
      </c>
      <c r="H769" s="35">
        <f t="shared" si="22"/>
        <v>351</v>
      </c>
      <c r="I769" s="43">
        <f t="shared" si="23"/>
        <v>143971593.47999999</v>
      </c>
    </row>
    <row r="770" spans="1:9" x14ac:dyDescent="0.2">
      <c r="A770" s="30">
        <v>45215</v>
      </c>
      <c r="B770" s="1" t="s">
        <v>303</v>
      </c>
      <c r="C770" s="38">
        <v>45181</v>
      </c>
      <c r="D770" s="3">
        <v>63</v>
      </c>
      <c r="E770" s="32">
        <v>45214</v>
      </c>
      <c r="F770" s="2">
        <v>25450.74</v>
      </c>
      <c r="G770" s="5">
        <v>403.98</v>
      </c>
      <c r="H770" s="35">
        <f t="shared" si="22"/>
        <v>34</v>
      </c>
      <c r="I770" s="43">
        <f t="shared" si="23"/>
        <v>865325.16</v>
      </c>
    </row>
    <row r="771" spans="1:9" x14ac:dyDescent="0.2">
      <c r="A771" s="30">
        <v>45215</v>
      </c>
      <c r="B771" s="1" t="s">
        <v>303</v>
      </c>
      <c r="C771" s="38">
        <v>45181</v>
      </c>
      <c r="D771" s="3">
        <v>2772</v>
      </c>
      <c r="E771" s="32">
        <v>45214</v>
      </c>
      <c r="F771" s="2">
        <v>1119832.56</v>
      </c>
      <c r="G771" s="5">
        <v>403.98</v>
      </c>
      <c r="H771" s="35">
        <f t="shared" ref="H771:H834" si="24">IFERROR(A771-C771,"")</f>
        <v>34</v>
      </c>
      <c r="I771" s="43">
        <f t="shared" ref="I771:I834" si="25">H771*F771</f>
        <v>38074307.039999999</v>
      </c>
    </row>
    <row r="772" spans="1:9" x14ac:dyDescent="0.2">
      <c r="A772" s="30">
        <v>45189</v>
      </c>
      <c r="B772" s="1" t="s">
        <v>303</v>
      </c>
      <c r="C772" s="38">
        <v>45103</v>
      </c>
      <c r="D772" s="3">
        <v>3150</v>
      </c>
      <c r="E772" s="32">
        <v>45189</v>
      </c>
      <c r="F772" s="2">
        <v>1272537</v>
      </c>
      <c r="G772" s="5">
        <v>403.98</v>
      </c>
      <c r="H772" s="35">
        <f t="shared" si="24"/>
        <v>86</v>
      </c>
      <c r="I772" s="43">
        <f t="shared" si="25"/>
        <v>109438182</v>
      </c>
    </row>
    <row r="773" spans="1:9" x14ac:dyDescent="0.2">
      <c r="A773" s="30">
        <v>45215</v>
      </c>
      <c r="B773" s="1" t="s">
        <v>303</v>
      </c>
      <c r="C773" s="38">
        <v>45181</v>
      </c>
      <c r="D773" s="3">
        <v>945</v>
      </c>
      <c r="E773" s="32">
        <v>45214</v>
      </c>
      <c r="F773" s="2">
        <v>381761.1</v>
      </c>
      <c r="G773" s="5">
        <v>403.98</v>
      </c>
      <c r="H773" s="35">
        <f t="shared" si="24"/>
        <v>34</v>
      </c>
      <c r="I773" s="43">
        <f t="shared" si="25"/>
        <v>12979877.399999999</v>
      </c>
    </row>
    <row r="774" spans="1:9" x14ac:dyDescent="0.2">
      <c r="A774" s="30">
        <v>45215</v>
      </c>
      <c r="B774" s="1" t="s">
        <v>303</v>
      </c>
      <c r="C774" s="38">
        <v>45181</v>
      </c>
      <c r="D774" s="3">
        <v>1827</v>
      </c>
      <c r="E774" s="32">
        <v>45214</v>
      </c>
      <c r="F774" s="2">
        <v>738071.46</v>
      </c>
      <c r="G774" s="5">
        <v>403.98</v>
      </c>
      <c r="H774" s="35">
        <f t="shared" si="24"/>
        <v>34</v>
      </c>
      <c r="I774" s="43">
        <f t="shared" si="25"/>
        <v>25094429.640000001</v>
      </c>
    </row>
    <row r="775" spans="1:9" x14ac:dyDescent="0.2">
      <c r="A775" s="30">
        <v>45215</v>
      </c>
      <c r="B775" s="1" t="s">
        <v>303</v>
      </c>
      <c r="C775" s="38">
        <v>45181</v>
      </c>
      <c r="D775" s="3">
        <v>315</v>
      </c>
      <c r="E775" s="32">
        <v>45214</v>
      </c>
      <c r="F775" s="2">
        <v>127253.7</v>
      </c>
      <c r="G775" s="5">
        <v>403.98</v>
      </c>
      <c r="H775" s="35">
        <f t="shared" si="24"/>
        <v>34</v>
      </c>
      <c r="I775" s="43">
        <f t="shared" si="25"/>
        <v>4326625.8</v>
      </c>
    </row>
    <row r="776" spans="1:9" x14ac:dyDescent="0.2">
      <c r="A776" s="30">
        <v>45215</v>
      </c>
      <c r="B776" s="1" t="s">
        <v>303</v>
      </c>
      <c r="C776" s="38">
        <v>45181</v>
      </c>
      <c r="D776" s="3">
        <v>252</v>
      </c>
      <c r="E776" s="32">
        <v>45214</v>
      </c>
      <c r="F776" s="2">
        <v>101802.96</v>
      </c>
      <c r="G776" s="5">
        <v>403.98</v>
      </c>
      <c r="H776" s="35">
        <f t="shared" si="24"/>
        <v>34</v>
      </c>
      <c r="I776" s="43">
        <f t="shared" si="25"/>
        <v>3461300.64</v>
      </c>
    </row>
    <row r="777" spans="1:9" x14ac:dyDescent="0.2">
      <c r="A777" s="30">
        <v>45215</v>
      </c>
      <c r="B777" s="1" t="s">
        <v>303</v>
      </c>
      <c r="C777" s="38">
        <v>45181</v>
      </c>
      <c r="D777" s="3">
        <v>126</v>
      </c>
      <c r="E777" s="32">
        <v>45214</v>
      </c>
      <c r="F777" s="2">
        <v>50901.48</v>
      </c>
      <c r="G777" s="5">
        <v>403.98</v>
      </c>
      <c r="H777" s="35">
        <f t="shared" si="24"/>
        <v>34</v>
      </c>
      <c r="I777" s="43">
        <f t="shared" si="25"/>
        <v>1730650.32</v>
      </c>
    </row>
    <row r="778" spans="1:9" x14ac:dyDescent="0.2">
      <c r="A778" s="30">
        <v>45215</v>
      </c>
      <c r="B778" s="1" t="s">
        <v>303</v>
      </c>
      <c r="C778" s="38">
        <v>45181</v>
      </c>
      <c r="D778" s="3">
        <v>126</v>
      </c>
      <c r="E778" s="32">
        <v>45214</v>
      </c>
      <c r="F778" s="2">
        <v>50901.48</v>
      </c>
      <c r="G778" s="5">
        <v>403.98</v>
      </c>
      <c r="H778" s="35">
        <f t="shared" si="24"/>
        <v>34</v>
      </c>
      <c r="I778" s="43">
        <f t="shared" si="25"/>
        <v>1730650.32</v>
      </c>
    </row>
    <row r="779" spans="1:9" x14ac:dyDescent="0.2">
      <c r="A779" s="30">
        <v>45215</v>
      </c>
      <c r="B779" s="1" t="s">
        <v>303</v>
      </c>
      <c r="C779" s="38">
        <v>45181</v>
      </c>
      <c r="D779" s="3">
        <v>8442</v>
      </c>
      <c r="E779" s="32">
        <v>45214</v>
      </c>
      <c r="F779" s="2">
        <v>3410399.16</v>
      </c>
      <c r="G779" s="5">
        <v>403.98</v>
      </c>
      <c r="H779" s="35">
        <f t="shared" si="24"/>
        <v>34</v>
      </c>
      <c r="I779" s="43">
        <f t="shared" si="25"/>
        <v>115953571.44</v>
      </c>
    </row>
    <row r="780" spans="1:9" x14ac:dyDescent="0.2">
      <c r="A780" s="30">
        <v>45215</v>
      </c>
      <c r="B780" s="1" t="s">
        <v>304</v>
      </c>
      <c r="C780" s="38">
        <v>45181</v>
      </c>
      <c r="D780" s="3">
        <v>36</v>
      </c>
      <c r="E780" s="32">
        <v>45214</v>
      </c>
      <c r="F780" s="2">
        <v>16188.84</v>
      </c>
      <c r="G780" s="5">
        <v>449.69</v>
      </c>
      <c r="H780" s="35">
        <f t="shared" si="24"/>
        <v>34</v>
      </c>
      <c r="I780" s="43">
        <f t="shared" si="25"/>
        <v>550420.56000000006</v>
      </c>
    </row>
    <row r="781" spans="1:9" x14ac:dyDescent="0.2">
      <c r="A781" s="30">
        <v>45215</v>
      </c>
      <c r="B781" s="1" t="s">
        <v>304</v>
      </c>
      <c r="C781" s="38">
        <v>45181</v>
      </c>
      <c r="D781" s="3">
        <v>108</v>
      </c>
      <c r="E781" s="32">
        <v>45214</v>
      </c>
      <c r="F781" s="2">
        <v>48566.52</v>
      </c>
      <c r="G781" s="5">
        <v>449.69</v>
      </c>
      <c r="H781" s="35">
        <f t="shared" si="24"/>
        <v>34</v>
      </c>
      <c r="I781" s="43">
        <f t="shared" si="25"/>
        <v>1651261.68</v>
      </c>
    </row>
    <row r="782" spans="1:9" x14ac:dyDescent="0.2">
      <c r="A782" s="30">
        <v>45215</v>
      </c>
      <c r="B782" s="1" t="s">
        <v>304</v>
      </c>
      <c r="C782" s="38">
        <v>45181</v>
      </c>
      <c r="D782" s="3">
        <v>360</v>
      </c>
      <c r="E782" s="32">
        <v>45214</v>
      </c>
      <c r="F782" s="2">
        <v>161888.4</v>
      </c>
      <c r="G782" s="5">
        <v>449.69</v>
      </c>
      <c r="H782" s="35">
        <f t="shared" si="24"/>
        <v>34</v>
      </c>
      <c r="I782" s="43">
        <f t="shared" si="25"/>
        <v>5504205.5999999996</v>
      </c>
    </row>
    <row r="783" spans="1:9" x14ac:dyDescent="0.2">
      <c r="A783" s="30">
        <v>45215</v>
      </c>
      <c r="B783" s="1" t="s">
        <v>304</v>
      </c>
      <c r="C783" s="38">
        <v>45181</v>
      </c>
      <c r="D783" s="3">
        <v>252</v>
      </c>
      <c r="E783" s="32">
        <v>45214</v>
      </c>
      <c r="F783" s="2">
        <v>113321.88</v>
      </c>
      <c r="G783" s="5">
        <v>449.69</v>
      </c>
      <c r="H783" s="35">
        <f t="shared" si="24"/>
        <v>34</v>
      </c>
      <c r="I783" s="43">
        <f t="shared" si="25"/>
        <v>3852943.92</v>
      </c>
    </row>
    <row r="784" spans="1:9" x14ac:dyDescent="0.2">
      <c r="A784" s="30">
        <v>45215</v>
      </c>
      <c r="B784" s="1" t="s">
        <v>304</v>
      </c>
      <c r="C784" s="38">
        <v>45181</v>
      </c>
      <c r="D784" s="3">
        <v>252</v>
      </c>
      <c r="E784" s="32">
        <v>45214</v>
      </c>
      <c r="F784" s="2">
        <v>113321.88</v>
      </c>
      <c r="G784" s="5">
        <v>449.69</v>
      </c>
      <c r="H784" s="35">
        <f t="shared" si="24"/>
        <v>34</v>
      </c>
      <c r="I784" s="43">
        <f t="shared" si="25"/>
        <v>3852943.92</v>
      </c>
    </row>
    <row r="785" spans="1:9" x14ac:dyDescent="0.2">
      <c r="A785" s="30">
        <v>45011</v>
      </c>
      <c r="B785" s="1" t="s">
        <v>353</v>
      </c>
      <c r="C785" s="38">
        <v>45001</v>
      </c>
      <c r="D785" s="3">
        <v>6000</v>
      </c>
      <c r="E785" s="32">
        <v>44866</v>
      </c>
      <c r="F785" s="2">
        <v>6300</v>
      </c>
      <c r="G785" s="5">
        <v>1.05</v>
      </c>
      <c r="H785" s="35">
        <f t="shared" si="24"/>
        <v>10</v>
      </c>
      <c r="I785" s="43">
        <f t="shared" si="25"/>
        <v>63000</v>
      </c>
    </row>
    <row r="786" spans="1:9" x14ac:dyDescent="0.2">
      <c r="A786" s="30"/>
      <c r="B786" s="1" t="s">
        <v>315</v>
      </c>
      <c r="C786" s="38">
        <v>45131</v>
      </c>
      <c r="D786" s="3">
        <v>218457</v>
      </c>
      <c r="E786" s="32">
        <v>45657</v>
      </c>
      <c r="F786" s="2">
        <v>13325877</v>
      </c>
      <c r="G786" s="5">
        <v>61</v>
      </c>
      <c r="H786" s="35"/>
      <c r="I786" s="43">
        <f t="shared" si="25"/>
        <v>0</v>
      </c>
    </row>
    <row r="787" spans="1:9" x14ac:dyDescent="0.2">
      <c r="A787" s="30"/>
      <c r="B787" s="1" t="s">
        <v>316</v>
      </c>
      <c r="C787" s="38">
        <v>45131</v>
      </c>
      <c r="D787" s="3">
        <v>45823</v>
      </c>
      <c r="E787" s="32">
        <v>45657</v>
      </c>
      <c r="F787" s="2">
        <v>6576516.96</v>
      </c>
      <c r="G787" s="5">
        <v>143.52000000000001</v>
      </c>
      <c r="H787" s="35"/>
      <c r="I787" s="43">
        <f t="shared" si="25"/>
        <v>0</v>
      </c>
    </row>
    <row r="788" spans="1:9" x14ac:dyDescent="0.2">
      <c r="A788" s="30"/>
      <c r="B788" s="1" t="s">
        <v>316</v>
      </c>
      <c r="C788" s="38">
        <v>45135</v>
      </c>
      <c r="D788" s="3">
        <v>810</v>
      </c>
      <c r="E788" s="32">
        <v>45155</v>
      </c>
      <c r="F788" s="2">
        <v>116251.2</v>
      </c>
      <c r="G788" s="5">
        <v>143.52000000000001</v>
      </c>
      <c r="H788" s="35"/>
      <c r="I788" s="43">
        <f t="shared" si="25"/>
        <v>0</v>
      </c>
    </row>
    <row r="789" spans="1:9" x14ac:dyDescent="0.2">
      <c r="A789" s="30"/>
      <c r="B789" s="1" t="s">
        <v>317</v>
      </c>
      <c r="C789" s="38">
        <v>45131</v>
      </c>
      <c r="D789" s="3">
        <v>29126</v>
      </c>
      <c r="E789" s="32">
        <v>45657</v>
      </c>
      <c r="F789" s="2">
        <v>3657643.08</v>
      </c>
      <c r="G789" s="5">
        <v>125.58</v>
      </c>
      <c r="H789" s="35"/>
      <c r="I789" s="43">
        <f t="shared" si="25"/>
        <v>0</v>
      </c>
    </row>
    <row r="790" spans="1:9" x14ac:dyDescent="0.2">
      <c r="A790" s="30"/>
      <c r="B790" s="1" t="s">
        <v>317</v>
      </c>
      <c r="C790" s="38">
        <v>45135</v>
      </c>
      <c r="D790" s="3">
        <v>945</v>
      </c>
      <c r="E790" s="32">
        <v>45139</v>
      </c>
      <c r="F790" s="2">
        <v>118673.1</v>
      </c>
      <c r="G790" s="5">
        <v>125.58</v>
      </c>
      <c r="H790" s="35"/>
      <c r="I790" s="43">
        <f t="shared" si="25"/>
        <v>0</v>
      </c>
    </row>
    <row r="791" spans="1:9" x14ac:dyDescent="0.2">
      <c r="A791" s="30"/>
      <c r="B791" s="1" t="s">
        <v>317</v>
      </c>
      <c r="C791" s="38">
        <v>45135</v>
      </c>
      <c r="D791" s="3">
        <v>540</v>
      </c>
      <c r="E791" s="32">
        <v>45231</v>
      </c>
      <c r="F791" s="2">
        <v>67813.2</v>
      </c>
      <c r="G791" s="5">
        <v>125.58</v>
      </c>
      <c r="H791" s="35"/>
      <c r="I791" s="43">
        <f t="shared" si="25"/>
        <v>0</v>
      </c>
    </row>
    <row r="792" spans="1:9" x14ac:dyDescent="0.2">
      <c r="A792" s="30"/>
      <c r="B792" s="1" t="s">
        <v>350</v>
      </c>
      <c r="C792" s="38">
        <v>45131</v>
      </c>
      <c r="D792" s="3">
        <v>44010</v>
      </c>
      <c r="E792" s="32">
        <v>45657</v>
      </c>
      <c r="F792" s="2">
        <v>2065829.4</v>
      </c>
      <c r="G792" s="5">
        <v>46.94</v>
      </c>
      <c r="H792" s="35"/>
      <c r="I792" s="43">
        <f t="shared" si="25"/>
        <v>0</v>
      </c>
    </row>
    <row r="793" spans="1:9" x14ac:dyDescent="0.2">
      <c r="A793" s="30"/>
      <c r="B793" s="1" t="s">
        <v>305</v>
      </c>
      <c r="C793" s="38">
        <v>45131</v>
      </c>
      <c r="D793" s="3">
        <v>1668</v>
      </c>
      <c r="E793" s="32">
        <v>45657</v>
      </c>
      <c r="F793" s="2">
        <v>1072473.96</v>
      </c>
      <c r="G793" s="5">
        <v>642.97</v>
      </c>
      <c r="H793" s="35"/>
      <c r="I793" s="43">
        <f t="shared" si="25"/>
        <v>0</v>
      </c>
    </row>
    <row r="794" spans="1:9" x14ac:dyDescent="0.2">
      <c r="A794" s="30">
        <v>45289</v>
      </c>
      <c r="B794" s="1" t="s">
        <v>305</v>
      </c>
      <c r="C794" s="38">
        <v>44972</v>
      </c>
      <c r="D794" s="3">
        <v>89</v>
      </c>
      <c r="E794" s="32">
        <v>45286</v>
      </c>
      <c r="F794" s="2">
        <v>57224.33</v>
      </c>
      <c r="G794" s="5">
        <v>642.97</v>
      </c>
      <c r="H794" s="35">
        <f t="shared" si="24"/>
        <v>317</v>
      </c>
      <c r="I794" s="43">
        <f t="shared" si="25"/>
        <v>18140112.609999999</v>
      </c>
    </row>
    <row r="795" spans="1:9" x14ac:dyDescent="0.2">
      <c r="A795" s="30">
        <v>45483</v>
      </c>
      <c r="B795" s="1" t="s">
        <v>305</v>
      </c>
      <c r="C795" s="38">
        <v>45100</v>
      </c>
      <c r="D795" s="3">
        <v>120</v>
      </c>
      <c r="E795" s="32">
        <v>45481</v>
      </c>
      <c r="F795" s="2">
        <v>77156.399999999994</v>
      </c>
      <c r="G795" s="5">
        <v>642.97</v>
      </c>
      <c r="H795" s="35">
        <f t="shared" si="24"/>
        <v>383</v>
      </c>
      <c r="I795" s="43">
        <f t="shared" si="25"/>
        <v>29550901.199999999</v>
      </c>
    </row>
    <row r="796" spans="1:9" x14ac:dyDescent="0.2">
      <c r="A796" s="30">
        <v>45415</v>
      </c>
      <c r="B796" s="1" t="s">
        <v>305</v>
      </c>
      <c r="C796" s="38">
        <v>45100</v>
      </c>
      <c r="D796" s="3">
        <v>120</v>
      </c>
      <c r="E796" s="32">
        <v>45413</v>
      </c>
      <c r="F796" s="2">
        <v>77156.399999999994</v>
      </c>
      <c r="G796" s="5">
        <v>642.97</v>
      </c>
      <c r="H796" s="35">
        <f t="shared" si="24"/>
        <v>315</v>
      </c>
      <c r="I796" s="43">
        <f t="shared" si="25"/>
        <v>24304266</v>
      </c>
    </row>
    <row r="797" spans="1:9" x14ac:dyDescent="0.2">
      <c r="A797" s="30">
        <v>45421</v>
      </c>
      <c r="B797" s="1" t="s">
        <v>305</v>
      </c>
      <c r="C797" s="38">
        <v>45100</v>
      </c>
      <c r="D797" s="3">
        <v>300</v>
      </c>
      <c r="E797" s="32">
        <v>45418</v>
      </c>
      <c r="F797" s="2">
        <v>192891</v>
      </c>
      <c r="G797" s="5">
        <v>642.97</v>
      </c>
      <c r="H797" s="35">
        <f t="shared" si="24"/>
        <v>321</v>
      </c>
      <c r="I797" s="43">
        <f t="shared" si="25"/>
        <v>61918011</v>
      </c>
    </row>
    <row r="798" spans="1:9" x14ac:dyDescent="0.2">
      <c r="A798" s="30"/>
      <c r="B798" s="1" t="s">
        <v>306</v>
      </c>
      <c r="C798" s="38">
        <v>45131</v>
      </c>
      <c r="D798" s="3">
        <v>36943</v>
      </c>
      <c r="E798" s="32">
        <v>45657</v>
      </c>
      <c r="F798" s="2">
        <v>942785.36</v>
      </c>
      <c r="G798" s="5">
        <v>25.52</v>
      </c>
      <c r="H798" s="35"/>
      <c r="I798" s="43">
        <f t="shared" si="25"/>
        <v>0</v>
      </c>
    </row>
    <row r="799" spans="1:9" x14ac:dyDescent="0.2">
      <c r="A799" s="30">
        <v>45553</v>
      </c>
      <c r="B799" s="1" t="s">
        <v>306</v>
      </c>
      <c r="C799" s="38">
        <v>45100</v>
      </c>
      <c r="D799" s="3">
        <v>120</v>
      </c>
      <c r="E799" s="32">
        <v>45551</v>
      </c>
      <c r="F799" s="2">
        <v>3062.4</v>
      </c>
      <c r="G799" s="5">
        <v>25.52</v>
      </c>
      <c r="H799" s="35">
        <f t="shared" si="24"/>
        <v>453</v>
      </c>
      <c r="I799" s="43">
        <f t="shared" si="25"/>
        <v>1387267.2</v>
      </c>
    </row>
    <row r="800" spans="1:9" x14ac:dyDescent="0.2">
      <c r="A800" s="30"/>
      <c r="B800" s="1" t="s">
        <v>306</v>
      </c>
      <c r="C800" s="38">
        <v>45135</v>
      </c>
      <c r="D800" s="3">
        <v>360</v>
      </c>
      <c r="E800" s="32">
        <v>45586</v>
      </c>
      <c r="F800" s="2">
        <v>9187.2000000000007</v>
      </c>
      <c r="G800" s="5">
        <v>25.52</v>
      </c>
      <c r="H800" s="35"/>
      <c r="I800" s="43">
        <f t="shared" si="25"/>
        <v>0</v>
      </c>
    </row>
    <row r="801" spans="1:9" x14ac:dyDescent="0.2">
      <c r="A801" s="30"/>
      <c r="B801" s="1" t="s">
        <v>333</v>
      </c>
      <c r="C801" s="38">
        <v>45131</v>
      </c>
      <c r="D801" s="3">
        <v>15855</v>
      </c>
      <c r="E801" s="32">
        <v>45657</v>
      </c>
      <c r="F801" s="2">
        <v>853316.1</v>
      </c>
      <c r="G801" s="5">
        <v>53.82</v>
      </c>
      <c r="H801" s="35"/>
      <c r="I801" s="43">
        <f t="shared" si="25"/>
        <v>0</v>
      </c>
    </row>
    <row r="802" spans="1:9" x14ac:dyDescent="0.2">
      <c r="A802" s="30"/>
      <c r="B802" s="1" t="s">
        <v>307</v>
      </c>
      <c r="C802" s="38">
        <v>45131</v>
      </c>
      <c r="D802" s="3">
        <v>720</v>
      </c>
      <c r="E802" s="32">
        <v>45657</v>
      </c>
      <c r="F802" s="2">
        <v>414964.8</v>
      </c>
      <c r="G802" s="5">
        <v>576.34</v>
      </c>
      <c r="H802" s="35"/>
      <c r="I802" s="43">
        <f t="shared" si="25"/>
        <v>0</v>
      </c>
    </row>
    <row r="803" spans="1:9" x14ac:dyDescent="0.2">
      <c r="A803" s="30">
        <v>45421</v>
      </c>
      <c r="B803" s="1" t="s">
        <v>307</v>
      </c>
      <c r="C803" s="38">
        <v>45100</v>
      </c>
      <c r="D803" s="3">
        <v>60</v>
      </c>
      <c r="E803" s="32">
        <v>45418</v>
      </c>
      <c r="F803" s="2">
        <v>34580.400000000001</v>
      </c>
      <c r="G803" s="5">
        <v>576.34</v>
      </c>
      <c r="H803" s="35">
        <f t="shared" si="24"/>
        <v>321</v>
      </c>
      <c r="I803" s="43">
        <f t="shared" si="25"/>
        <v>11100308.4</v>
      </c>
    </row>
    <row r="804" spans="1:9" x14ac:dyDescent="0.2">
      <c r="A804" s="30"/>
      <c r="B804" s="1" t="s">
        <v>332</v>
      </c>
      <c r="C804" s="38">
        <v>45131</v>
      </c>
      <c r="D804" s="3">
        <v>790</v>
      </c>
      <c r="E804" s="32">
        <v>45657</v>
      </c>
      <c r="F804" s="2">
        <v>55489.599999999999</v>
      </c>
      <c r="G804" s="5">
        <v>70.239999999999995</v>
      </c>
      <c r="H804" s="35"/>
      <c r="I804" s="43">
        <f t="shared" si="25"/>
        <v>0</v>
      </c>
    </row>
    <row r="805" spans="1:9" x14ac:dyDescent="0.2">
      <c r="A805" s="30">
        <v>45215</v>
      </c>
      <c r="B805" s="1" t="s">
        <v>304</v>
      </c>
      <c r="C805" s="38">
        <v>45181</v>
      </c>
      <c r="D805" s="3">
        <v>360</v>
      </c>
      <c r="E805" s="32">
        <v>45214</v>
      </c>
      <c r="F805" s="2">
        <v>161888.4</v>
      </c>
      <c r="G805" s="5">
        <v>449.69</v>
      </c>
      <c r="H805" s="35">
        <f t="shared" si="24"/>
        <v>34</v>
      </c>
      <c r="I805" s="43">
        <f t="shared" si="25"/>
        <v>5504205.5999999996</v>
      </c>
    </row>
    <row r="806" spans="1:9" x14ac:dyDescent="0.2">
      <c r="A806" s="30">
        <v>45215</v>
      </c>
      <c r="B806" s="1" t="s">
        <v>304</v>
      </c>
      <c r="C806" s="38">
        <v>45181</v>
      </c>
      <c r="D806" s="3">
        <v>5616</v>
      </c>
      <c r="E806" s="32">
        <v>45214</v>
      </c>
      <c r="F806" s="2">
        <v>2525459.04</v>
      </c>
      <c r="G806" s="5">
        <v>449.69</v>
      </c>
      <c r="H806" s="35">
        <f t="shared" si="24"/>
        <v>34</v>
      </c>
      <c r="I806" s="43">
        <f t="shared" si="25"/>
        <v>85865607.359999999</v>
      </c>
    </row>
    <row r="807" spans="1:9" x14ac:dyDescent="0.2">
      <c r="A807" s="30">
        <v>45215</v>
      </c>
      <c r="B807" s="1" t="s">
        <v>304</v>
      </c>
      <c r="C807" s="38">
        <v>45181</v>
      </c>
      <c r="D807" s="3">
        <v>540</v>
      </c>
      <c r="E807" s="32">
        <v>45214</v>
      </c>
      <c r="F807" s="2">
        <v>242832.6</v>
      </c>
      <c r="G807" s="5">
        <v>449.69</v>
      </c>
      <c r="H807" s="35">
        <f t="shared" si="24"/>
        <v>34</v>
      </c>
      <c r="I807" s="43">
        <f t="shared" si="25"/>
        <v>8256308.4000000004</v>
      </c>
    </row>
    <row r="808" spans="1:9" x14ac:dyDescent="0.2">
      <c r="A808" s="30">
        <v>45215</v>
      </c>
      <c r="B808" s="1" t="s">
        <v>304</v>
      </c>
      <c r="C808" s="38">
        <v>45181</v>
      </c>
      <c r="D808" s="3">
        <v>144</v>
      </c>
      <c r="E808" s="32">
        <v>45214</v>
      </c>
      <c r="F808" s="2">
        <v>64755.360000000001</v>
      </c>
      <c r="G808" s="5">
        <v>449.69</v>
      </c>
      <c r="H808" s="35">
        <f t="shared" si="24"/>
        <v>34</v>
      </c>
      <c r="I808" s="43">
        <f t="shared" si="25"/>
        <v>2201682.2400000002</v>
      </c>
    </row>
    <row r="809" spans="1:9" x14ac:dyDescent="0.2">
      <c r="A809" s="30">
        <v>45215</v>
      </c>
      <c r="B809" s="1" t="s">
        <v>304</v>
      </c>
      <c r="C809" s="38">
        <v>45181</v>
      </c>
      <c r="D809" s="3">
        <v>504</v>
      </c>
      <c r="E809" s="32">
        <v>45214</v>
      </c>
      <c r="F809" s="2">
        <v>226643.76</v>
      </c>
      <c r="G809" s="5">
        <v>449.69</v>
      </c>
      <c r="H809" s="35">
        <f t="shared" si="24"/>
        <v>34</v>
      </c>
      <c r="I809" s="43">
        <f t="shared" si="25"/>
        <v>7705887.8399999999</v>
      </c>
    </row>
    <row r="810" spans="1:9" x14ac:dyDescent="0.2">
      <c r="A810" s="30">
        <v>45215</v>
      </c>
      <c r="B810" s="1" t="s">
        <v>304</v>
      </c>
      <c r="C810" s="38">
        <v>45181</v>
      </c>
      <c r="D810" s="3">
        <v>576</v>
      </c>
      <c r="E810" s="32">
        <v>45214</v>
      </c>
      <c r="F810" s="2">
        <v>259021.44</v>
      </c>
      <c r="G810" s="5">
        <v>449.69</v>
      </c>
      <c r="H810" s="35">
        <f t="shared" si="24"/>
        <v>34</v>
      </c>
      <c r="I810" s="43">
        <f t="shared" si="25"/>
        <v>8806728.9600000009</v>
      </c>
    </row>
    <row r="811" spans="1:9" x14ac:dyDescent="0.2">
      <c r="A811" s="30">
        <v>45215</v>
      </c>
      <c r="B811" s="1" t="s">
        <v>304</v>
      </c>
      <c r="C811" s="38">
        <v>45181</v>
      </c>
      <c r="D811" s="3">
        <v>1332</v>
      </c>
      <c r="E811" s="32">
        <v>45214</v>
      </c>
      <c r="F811" s="2">
        <v>598987.07999999996</v>
      </c>
      <c r="G811" s="5">
        <v>449.69</v>
      </c>
      <c r="H811" s="35">
        <f t="shared" si="24"/>
        <v>34</v>
      </c>
      <c r="I811" s="43">
        <f t="shared" si="25"/>
        <v>20365560.719999999</v>
      </c>
    </row>
    <row r="812" spans="1:9" x14ac:dyDescent="0.2">
      <c r="A812" s="30">
        <v>45215</v>
      </c>
      <c r="B812" s="1" t="s">
        <v>304</v>
      </c>
      <c r="C812" s="38">
        <v>45180</v>
      </c>
      <c r="D812" s="3">
        <v>180</v>
      </c>
      <c r="E812" s="32">
        <v>45208</v>
      </c>
      <c r="F812" s="2">
        <v>80944.2</v>
      </c>
      <c r="G812" s="5">
        <v>449.69</v>
      </c>
      <c r="H812" s="35">
        <f t="shared" si="24"/>
        <v>35</v>
      </c>
      <c r="I812" s="43">
        <f t="shared" si="25"/>
        <v>2833047</v>
      </c>
    </row>
    <row r="813" spans="1:9" x14ac:dyDescent="0.2">
      <c r="A813" s="30">
        <v>45215</v>
      </c>
      <c r="B813" s="1" t="s">
        <v>304</v>
      </c>
      <c r="C813" s="38">
        <v>45181</v>
      </c>
      <c r="D813" s="3">
        <v>324</v>
      </c>
      <c r="E813" s="32">
        <v>45214</v>
      </c>
      <c r="F813" s="2">
        <v>145699.56</v>
      </c>
      <c r="G813" s="5">
        <v>449.69</v>
      </c>
      <c r="H813" s="35">
        <f t="shared" si="24"/>
        <v>34</v>
      </c>
      <c r="I813" s="43">
        <f t="shared" si="25"/>
        <v>4953785.04</v>
      </c>
    </row>
    <row r="814" spans="1:9" x14ac:dyDescent="0.2">
      <c r="A814" s="30">
        <v>45665</v>
      </c>
      <c r="B814" s="1" t="s">
        <v>297</v>
      </c>
      <c r="C814" s="38">
        <v>45142</v>
      </c>
      <c r="D814" s="3">
        <v>606000</v>
      </c>
      <c r="E814" s="32">
        <v>44951</v>
      </c>
      <c r="F814" s="2">
        <v>1515000</v>
      </c>
      <c r="G814" s="5">
        <v>2.5</v>
      </c>
      <c r="H814" s="35">
        <f t="shared" si="24"/>
        <v>523</v>
      </c>
      <c r="I814" s="43">
        <f t="shared" si="25"/>
        <v>792345000</v>
      </c>
    </row>
    <row r="815" spans="1:9" x14ac:dyDescent="0.2">
      <c r="A815" s="30">
        <v>45343</v>
      </c>
      <c r="B815" s="1" t="s">
        <v>297</v>
      </c>
      <c r="C815" s="38">
        <v>45155</v>
      </c>
      <c r="D815" s="3">
        <v>3000</v>
      </c>
      <c r="E815" s="32">
        <v>45335</v>
      </c>
      <c r="F815" s="2">
        <v>7500</v>
      </c>
      <c r="G815" s="5">
        <v>2.5</v>
      </c>
      <c r="H815" s="35">
        <f t="shared" si="24"/>
        <v>188</v>
      </c>
      <c r="I815" s="43">
        <f t="shared" si="25"/>
        <v>1410000</v>
      </c>
    </row>
    <row r="816" spans="1:9" x14ac:dyDescent="0.2">
      <c r="A816" s="30">
        <v>45631</v>
      </c>
      <c r="B816" s="1" t="s">
        <v>297</v>
      </c>
      <c r="C816" s="38">
        <v>45117</v>
      </c>
      <c r="D816" s="3">
        <v>63000</v>
      </c>
      <c r="E816" s="32">
        <v>45616</v>
      </c>
      <c r="F816" s="2">
        <v>157500</v>
      </c>
      <c r="G816" s="5">
        <v>2.5</v>
      </c>
      <c r="H816" s="35">
        <f t="shared" si="24"/>
        <v>514</v>
      </c>
      <c r="I816" s="43">
        <f t="shared" si="25"/>
        <v>80955000</v>
      </c>
    </row>
    <row r="817" spans="1:9" x14ac:dyDescent="0.2">
      <c r="A817" s="30">
        <v>45334</v>
      </c>
      <c r="B817" s="1" t="s">
        <v>297</v>
      </c>
      <c r="C817" s="38">
        <v>45117</v>
      </c>
      <c r="D817" s="3">
        <v>18000</v>
      </c>
      <c r="E817" s="32">
        <v>45317</v>
      </c>
      <c r="F817" s="2">
        <v>45000</v>
      </c>
      <c r="G817" s="5">
        <v>2.5</v>
      </c>
      <c r="H817" s="35">
        <f t="shared" si="24"/>
        <v>217</v>
      </c>
      <c r="I817" s="43">
        <f t="shared" si="25"/>
        <v>9765000</v>
      </c>
    </row>
    <row r="818" spans="1:9" x14ac:dyDescent="0.2">
      <c r="A818" s="30">
        <v>45489</v>
      </c>
      <c r="B818" s="1" t="s">
        <v>297</v>
      </c>
      <c r="C818" s="38">
        <v>45117</v>
      </c>
      <c r="D818" s="3">
        <v>30000</v>
      </c>
      <c r="E818" s="32">
        <v>45474</v>
      </c>
      <c r="F818" s="2">
        <v>75000</v>
      </c>
      <c r="G818" s="5">
        <v>2.5</v>
      </c>
      <c r="H818" s="35">
        <f t="shared" si="24"/>
        <v>372</v>
      </c>
      <c r="I818" s="43">
        <f t="shared" si="25"/>
        <v>27900000</v>
      </c>
    </row>
    <row r="819" spans="1:9" x14ac:dyDescent="0.2">
      <c r="A819" s="30">
        <v>45665</v>
      </c>
      <c r="B819" s="1" t="s">
        <v>308</v>
      </c>
      <c r="C819" s="38">
        <v>45142</v>
      </c>
      <c r="D819" s="3">
        <v>460000</v>
      </c>
      <c r="E819" s="32">
        <v>44911</v>
      </c>
      <c r="F819" s="2">
        <v>966000</v>
      </c>
      <c r="G819" s="5">
        <v>2.1</v>
      </c>
      <c r="H819" s="35">
        <f t="shared" si="24"/>
        <v>523</v>
      </c>
      <c r="I819" s="43">
        <f t="shared" si="25"/>
        <v>505218000</v>
      </c>
    </row>
    <row r="820" spans="1:9" x14ac:dyDescent="0.2">
      <c r="A820" s="30">
        <v>45665</v>
      </c>
      <c r="B820" s="1" t="s">
        <v>304</v>
      </c>
      <c r="C820" s="38">
        <v>45142</v>
      </c>
      <c r="D820" s="3">
        <v>3564000</v>
      </c>
      <c r="E820" s="32">
        <v>45657</v>
      </c>
      <c r="F820" s="2">
        <v>12474000</v>
      </c>
      <c r="G820" s="5">
        <v>3.5</v>
      </c>
      <c r="H820" s="35">
        <f t="shared" si="24"/>
        <v>523</v>
      </c>
      <c r="I820" s="43">
        <f t="shared" si="25"/>
        <v>6523902000</v>
      </c>
    </row>
    <row r="821" spans="1:9" x14ac:dyDescent="0.2">
      <c r="A821" s="30">
        <v>45387</v>
      </c>
      <c r="B821" s="1" t="s">
        <v>304</v>
      </c>
      <c r="C821" s="38">
        <v>45181</v>
      </c>
      <c r="D821" s="3">
        <v>54000</v>
      </c>
      <c r="E821" s="32">
        <v>45382</v>
      </c>
      <c r="F821" s="2">
        <v>189000</v>
      </c>
      <c r="G821" s="5">
        <v>3.5</v>
      </c>
      <c r="H821" s="35">
        <f t="shared" si="24"/>
        <v>206</v>
      </c>
      <c r="I821" s="43">
        <f t="shared" si="25"/>
        <v>38934000</v>
      </c>
    </row>
    <row r="822" spans="1:9" x14ac:dyDescent="0.2">
      <c r="A822" s="30">
        <v>45482</v>
      </c>
      <c r="B822" s="1" t="s">
        <v>304</v>
      </c>
      <c r="C822" s="38">
        <v>45181</v>
      </c>
      <c r="D822" s="3">
        <v>54000</v>
      </c>
      <c r="E822" s="32">
        <v>45473</v>
      </c>
      <c r="F822" s="2">
        <v>189000</v>
      </c>
      <c r="G822" s="5">
        <v>3.5</v>
      </c>
      <c r="H822" s="35">
        <f t="shared" si="24"/>
        <v>301</v>
      </c>
      <c r="I822" s="43">
        <f t="shared" si="25"/>
        <v>56889000</v>
      </c>
    </row>
    <row r="823" spans="1:9" x14ac:dyDescent="0.2">
      <c r="A823" s="30">
        <v>45245</v>
      </c>
      <c r="B823" s="1" t="s">
        <v>304</v>
      </c>
      <c r="C823" s="38">
        <v>45181</v>
      </c>
      <c r="D823" s="3">
        <v>51000</v>
      </c>
      <c r="E823" s="32">
        <v>45199</v>
      </c>
      <c r="F823" s="2">
        <v>178500</v>
      </c>
      <c r="G823" s="5">
        <v>3.5</v>
      </c>
      <c r="H823" s="35">
        <f t="shared" si="24"/>
        <v>64</v>
      </c>
      <c r="I823" s="43">
        <f t="shared" si="25"/>
        <v>11424000</v>
      </c>
    </row>
    <row r="824" spans="1:9" x14ac:dyDescent="0.2">
      <c r="A824" s="30">
        <v>45572</v>
      </c>
      <c r="B824" s="1" t="s">
        <v>304</v>
      </c>
      <c r="C824" s="38">
        <v>45181</v>
      </c>
      <c r="D824" s="3">
        <v>54000</v>
      </c>
      <c r="E824" s="32">
        <v>45565</v>
      </c>
      <c r="F824" s="2">
        <v>189000</v>
      </c>
      <c r="G824" s="5">
        <v>3.5</v>
      </c>
      <c r="H824" s="35">
        <f t="shared" si="24"/>
        <v>391</v>
      </c>
      <c r="I824" s="43">
        <f t="shared" si="25"/>
        <v>73899000</v>
      </c>
    </row>
    <row r="825" spans="1:9" x14ac:dyDescent="0.2">
      <c r="A825" s="30">
        <v>45299</v>
      </c>
      <c r="B825" s="1" t="s">
        <v>304</v>
      </c>
      <c r="C825" s="38">
        <v>45181</v>
      </c>
      <c r="D825" s="3">
        <v>54000</v>
      </c>
      <c r="E825" s="32">
        <v>45291</v>
      </c>
      <c r="F825" s="2">
        <v>189000</v>
      </c>
      <c r="G825" s="5">
        <v>3.5</v>
      </c>
      <c r="H825" s="35">
        <f t="shared" si="24"/>
        <v>118</v>
      </c>
      <c r="I825" s="43">
        <f t="shared" si="25"/>
        <v>22302000</v>
      </c>
    </row>
    <row r="826" spans="1:9" x14ac:dyDescent="0.2">
      <c r="A826" s="30">
        <v>45665</v>
      </c>
      <c r="B826" s="1" t="s">
        <v>304</v>
      </c>
      <c r="C826" s="38">
        <v>45181</v>
      </c>
      <c r="D826" s="3">
        <v>54000</v>
      </c>
      <c r="E826" s="32">
        <v>45657</v>
      </c>
      <c r="F826" s="2">
        <v>189000</v>
      </c>
      <c r="G826" s="5">
        <v>3.5</v>
      </c>
      <c r="H826" s="35">
        <f t="shared" si="24"/>
        <v>484</v>
      </c>
      <c r="I826" s="43">
        <f t="shared" si="25"/>
        <v>91476000</v>
      </c>
    </row>
    <row r="827" spans="1:9" x14ac:dyDescent="0.2">
      <c r="A827" s="30">
        <v>45188</v>
      </c>
      <c r="B827" s="1" t="s">
        <v>304</v>
      </c>
      <c r="C827" s="38">
        <v>45178</v>
      </c>
      <c r="D827" s="3">
        <v>9000</v>
      </c>
      <c r="E827" s="32">
        <v>45181</v>
      </c>
      <c r="F827" s="2">
        <v>31500</v>
      </c>
      <c r="G827" s="5">
        <v>3.5</v>
      </c>
      <c r="H827" s="35">
        <f t="shared" si="24"/>
        <v>10</v>
      </c>
      <c r="I827" s="43">
        <f t="shared" si="25"/>
        <v>315000</v>
      </c>
    </row>
    <row r="828" spans="1:9" x14ac:dyDescent="0.2">
      <c r="A828" s="30">
        <v>45434</v>
      </c>
      <c r="B828" s="1" t="s">
        <v>304</v>
      </c>
      <c r="C828" s="38">
        <v>45178</v>
      </c>
      <c r="D828" s="3">
        <v>6000</v>
      </c>
      <c r="E828" s="32">
        <v>45245</v>
      </c>
      <c r="F828" s="2">
        <v>21000</v>
      </c>
      <c r="G828" s="5">
        <v>3.5</v>
      </c>
      <c r="H828" s="35">
        <f t="shared" si="24"/>
        <v>256</v>
      </c>
      <c r="I828" s="43">
        <f t="shared" si="25"/>
        <v>5376000</v>
      </c>
    </row>
    <row r="829" spans="1:9" x14ac:dyDescent="0.2">
      <c r="A829" s="30">
        <v>45282</v>
      </c>
      <c r="B829" s="1" t="s">
        <v>304</v>
      </c>
      <c r="C829" s="38">
        <v>45178</v>
      </c>
      <c r="D829" s="3">
        <v>15000</v>
      </c>
      <c r="E829" s="32">
        <v>45275</v>
      </c>
      <c r="F829" s="2">
        <v>52500</v>
      </c>
      <c r="G829" s="5">
        <v>3.5</v>
      </c>
      <c r="H829" s="35">
        <f t="shared" si="24"/>
        <v>104</v>
      </c>
      <c r="I829" s="43">
        <f t="shared" si="25"/>
        <v>5460000</v>
      </c>
    </row>
    <row r="830" spans="1:9" x14ac:dyDescent="0.2">
      <c r="A830" s="30">
        <v>45386</v>
      </c>
      <c r="B830" s="1" t="s">
        <v>304</v>
      </c>
      <c r="C830" s="38">
        <v>45124</v>
      </c>
      <c r="D830" s="3">
        <v>30000</v>
      </c>
      <c r="E830" s="32">
        <v>45378</v>
      </c>
      <c r="F830" s="2">
        <v>105000</v>
      </c>
      <c r="G830" s="5">
        <v>3.5</v>
      </c>
      <c r="H830" s="35">
        <f t="shared" si="24"/>
        <v>262</v>
      </c>
      <c r="I830" s="43">
        <f t="shared" si="25"/>
        <v>27510000</v>
      </c>
    </row>
    <row r="831" spans="1:9" x14ac:dyDescent="0.2">
      <c r="A831" s="30">
        <v>45497</v>
      </c>
      <c r="B831" s="1" t="s">
        <v>304</v>
      </c>
      <c r="C831" s="38">
        <v>45124</v>
      </c>
      <c r="D831" s="3">
        <v>135000</v>
      </c>
      <c r="E831" s="32">
        <v>45490</v>
      </c>
      <c r="F831" s="2">
        <v>472500</v>
      </c>
      <c r="G831" s="5">
        <v>3.5</v>
      </c>
      <c r="H831" s="35">
        <f t="shared" si="24"/>
        <v>373</v>
      </c>
      <c r="I831" s="43">
        <f t="shared" si="25"/>
        <v>176242500</v>
      </c>
    </row>
    <row r="832" spans="1:9" x14ac:dyDescent="0.2">
      <c r="A832" s="30">
        <v>45538</v>
      </c>
      <c r="B832" s="1" t="s">
        <v>304</v>
      </c>
      <c r="C832" s="38">
        <v>45147</v>
      </c>
      <c r="D832" s="3">
        <v>12000</v>
      </c>
      <c r="E832" s="32">
        <v>45530</v>
      </c>
      <c r="F832" s="2">
        <v>420000</v>
      </c>
      <c r="G832" s="5">
        <v>35</v>
      </c>
      <c r="H832" s="35">
        <f t="shared" si="24"/>
        <v>391</v>
      </c>
      <c r="I832" s="43">
        <f t="shared" si="25"/>
        <v>164220000</v>
      </c>
    </row>
    <row r="833" spans="1:9" x14ac:dyDescent="0.2">
      <c r="A833" s="30">
        <v>45495</v>
      </c>
      <c r="B833" s="1" t="s">
        <v>304</v>
      </c>
      <c r="C833" s="38">
        <v>45127</v>
      </c>
      <c r="D833" s="3">
        <v>18000</v>
      </c>
      <c r="E833" s="32">
        <v>45488</v>
      </c>
      <c r="F833" s="2">
        <v>630000</v>
      </c>
      <c r="G833" s="5">
        <v>35</v>
      </c>
      <c r="H833" s="35">
        <f t="shared" si="24"/>
        <v>368</v>
      </c>
      <c r="I833" s="43">
        <f t="shared" si="25"/>
        <v>231840000</v>
      </c>
    </row>
    <row r="834" spans="1:9" x14ac:dyDescent="0.2">
      <c r="A834" s="30">
        <v>45665</v>
      </c>
      <c r="B834" s="1" t="s">
        <v>309</v>
      </c>
      <c r="C834" s="38">
        <v>45142</v>
      </c>
      <c r="D834" s="3">
        <v>441000</v>
      </c>
      <c r="E834" s="32">
        <v>45497</v>
      </c>
      <c r="F834" s="2">
        <v>1278900</v>
      </c>
      <c r="G834" s="5">
        <v>2.9</v>
      </c>
      <c r="H834" s="35">
        <f t="shared" si="24"/>
        <v>523</v>
      </c>
      <c r="I834" s="43">
        <f t="shared" si="25"/>
        <v>668864700</v>
      </c>
    </row>
    <row r="835" spans="1:9" x14ac:dyDescent="0.2">
      <c r="A835" s="30">
        <v>45279</v>
      </c>
      <c r="B835" s="1" t="s">
        <v>309</v>
      </c>
      <c r="C835" s="38">
        <v>45117</v>
      </c>
      <c r="D835" s="3">
        <v>9000</v>
      </c>
      <c r="E835" s="32">
        <v>45401</v>
      </c>
      <c r="F835" s="2">
        <v>26100</v>
      </c>
      <c r="G835" s="5">
        <v>2.9</v>
      </c>
      <c r="H835" s="35">
        <f t="shared" ref="H835:H898" si="26">IFERROR(A835-C835,"")</f>
        <v>162</v>
      </c>
      <c r="I835" s="43">
        <f t="shared" ref="I835:I898" si="27">H835*F835</f>
        <v>4228200</v>
      </c>
    </row>
    <row r="836" spans="1:9" x14ac:dyDescent="0.2">
      <c r="A836" s="30">
        <v>45454</v>
      </c>
      <c r="B836" s="1" t="s">
        <v>309</v>
      </c>
      <c r="C836" s="38">
        <v>45175</v>
      </c>
      <c r="D836" s="3">
        <v>12000</v>
      </c>
      <c r="E836" s="32">
        <v>45439</v>
      </c>
      <c r="F836" s="2">
        <v>34800</v>
      </c>
      <c r="G836" s="5">
        <v>2.9</v>
      </c>
      <c r="H836" s="35">
        <f t="shared" si="26"/>
        <v>279</v>
      </c>
      <c r="I836" s="43">
        <f t="shared" si="27"/>
        <v>9709200</v>
      </c>
    </row>
    <row r="837" spans="1:9" x14ac:dyDescent="0.2">
      <c r="A837" s="30">
        <v>45205</v>
      </c>
      <c r="B837" s="1" t="s">
        <v>340</v>
      </c>
      <c r="C837" s="38">
        <v>44970</v>
      </c>
      <c r="D837" s="3">
        <v>84</v>
      </c>
      <c r="E837" s="32">
        <v>45199</v>
      </c>
      <c r="F837" s="2">
        <v>71801.52</v>
      </c>
      <c r="G837" s="5">
        <v>854.78</v>
      </c>
      <c r="H837" s="35">
        <f t="shared" si="26"/>
        <v>235</v>
      </c>
      <c r="I837" s="43">
        <f t="shared" si="27"/>
        <v>16873357.199999999</v>
      </c>
    </row>
    <row r="838" spans="1:9" x14ac:dyDescent="0.2">
      <c r="A838" s="30">
        <v>45212</v>
      </c>
      <c r="B838" s="1" t="s">
        <v>340</v>
      </c>
      <c r="C838" s="38">
        <v>44970</v>
      </c>
      <c r="D838" s="3">
        <v>420</v>
      </c>
      <c r="E838" s="32">
        <v>45206</v>
      </c>
      <c r="F838" s="2">
        <v>359007.6</v>
      </c>
      <c r="G838" s="5">
        <v>854.78</v>
      </c>
      <c r="H838" s="35">
        <f t="shared" si="26"/>
        <v>242</v>
      </c>
      <c r="I838" s="43">
        <f t="shared" si="27"/>
        <v>86879839.199999988</v>
      </c>
    </row>
    <row r="839" spans="1:9" x14ac:dyDescent="0.2">
      <c r="A839" s="30">
        <v>45212</v>
      </c>
      <c r="B839" s="1" t="s">
        <v>340</v>
      </c>
      <c r="C839" s="38">
        <v>44970</v>
      </c>
      <c r="D839" s="3">
        <v>252</v>
      </c>
      <c r="E839" s="32">
        <v>45206</v>
      </c>
      <c r="F839" s="2">
        <v>215404.56</v>
      </c>
      <c r="G839" s="5">
        <v>854.78</v>
      </c>
      <c r="H839" s="35">
        <f t="shared" si="26"/>
        <v>242</v>
      </c>
      <c r="I839" s="43">
        <f t="shared" si="27"/>
        <v>52127903.519999996</v>
      </c>
    </row>
    <row r="840" spans="1:9" x14ac:dyDescent="0.2">
      <c r="A840" s="30">
        <v>45205</v>
      </c>
      <c r="B840" s="1" t="s">
        <v>340</v>
      </c>
      <c r="C840" s="38">
        <v>44970</v>
      </c>
      <c r="D840" s="3">
        <v>420</v>
      </c>
      <c r="E840" s="32">
        <v>45199</v>
      </c>
      <c r="F840" s="2">
        <v>359007.6</v>
      </c>
      <c r="G840" s="5">
        <v>854.78</v>
      </c>
      <c r="H840" s="35">
        <f t="shared" si="26"/>
        <v>235</v>
      </c>
      <c r="I840" s="43">
        <f t="shared" si="27"/>
        <v>84366786</v>
      </c>
    </row>
    <row r="841" spans="1:9" x14ac:dyDescent="0.2">
      <c r="A841" s="30">
        <v>45191</v>
      </c>
      <c r="B841" s="1" t="s">
        <v>340</v>
      </c>
      <c r="C841" s="38">
        <v>44970</v>
      </c>
      <c r="D841" s="3">
        <v>420</v>
      </c>
      <c r="E841" s="32">
        <v>45185</v>
      </c>
      <c r="F841" s="2">
        <v>359007.6</v>
      </c>
      <c r="G841" s="5">
        <v>854.78</v>
      </c>
      <c r="H841" s="35">
        <f t="shared" si="26"/>
        <v>221</v>
      </c>
      <c r="I841" s="43">
        <f t="shared" si="27"/>
        <v>79340679.599999994</v>
      </c>
    </row>
    <row r="842" spans="1:9" x14ac:dyDescent="0.2">
      <c r="A842" s="30">
        <v>45233</v>
      </c>
      <c r="B842" s="1" t="s">
        <v>340</v>
      </c>
      <c r="C842" s="38">
        <v>44970</v>
      </c>
      <c r="D842" s="3">
        <v>504</v>
      </c>
      <c r="E842" s="32">
        <v>45227</v>
      </c>
      <c r="F842" s="2">
        <v>430809.12</v>
      </c>
      <c r="G842" s="5">
        <v>854.78</v>
      </c>
      <c r="H842" s="35">
        <f t="shared" si="26"/>
        <v>263</v>
      </c>
      <c r="I842" s="43">
        <f t="shared" si="27"/>
        <v>113302798.56</v>
      </c>
    </row>
    <row r="843" spans="1:9" x14ac:dyDescent="0.2">
      <c r="A843" s="30">
        <v>45198</v>
      </c>
      <c r="B843" s="1" t="s">
        <v>340</v>
      </c>
      <c r="C843" s="38">
        <v>44970</v>
      </c>
      <c r="D843" s="3">
        <v>420</v>
      </c>
      <c r="E843" s="32">
        <v>45192</v>
      </c>
      <c r="F843" s="2">
        <v>359007.6</v>
      </c>
      <c r="G843" s="5">
        <v>854.78</v>
      </c>
      <c r="H843" s="35">
        <f t="shared" si="26"/>
        <v>228</v>
      </c>
      <c r="I843" s="43">
        <f t="shared" si="27"/>
        <v>81853732.799999997</v>
      </c>
    </row>
    <row r="844" spans="1:9" x14ac:dyDescent="0.2">
      <c r="A844" s="30">
        <v>45212</v>
      </c>
      <c r="B844" s="1" t="s">
        <v>340</v>
      </c>
      <c r="C844" s="38">
        <v>44970</v>
      </c>
      <c r="D844" s="3">
        <v>84</v>
      </c>
      <c r="E844" s="32">
        <v>45206</v>
      </c>
      <c r="F844" s="2">
        <v>71801.52</v>
      </c>
      <c r="G844" s="5">
        <v>854.78</v>
      </c>
      <c r="H844" s="35">
        <f t="shared" si="26"/>
        <v>242</v>
      </c>
      <c r="I844" s="43">
        <f t="shared" si="27"/>
        <v>17375967.84</v>
      </c>
    </row>
    <row r="845" spans="1:9" x14ac:dyDescent="0.2">
      <c r="A845" s="30">
        <v>45222</v>
      </c>
      <c r="B845" s="1" t="s">
        <v>340</v>
      </c>
      <c r="C845" s="38">
        <v>44970</v>
      </c>
      <c r="D845" s="3">
        <v>420</v>
      </c>
      <c r="E845" s="32">
        <v>45222</v>
      </c>
      <c r="F845" s="2">
        <v>359007.6</v>
      </c>
      <c r="G845" s="5">
        <v>854.78</v>
      </c>
      <c r="H845" s="35">
        <f t="shared" si="26"/>
        <v>252</v>
      </c>
      <c r="I845" s="43">
        <f t="shared" si="27"/>
        <v>90469915.199999988</v>
      </c>
    </row>
    <row r="846" spans="1:9" x14ac:dyDescent="0.2">
      <c r="A846" s="30">
        <v>45229</v>
      </c>
      <c r="B846" s="1" t="s">
        <v>340</v>
      </c>
      <c r="C846" s="38">
        <v>44970</v>
      </c>
      <c r="D846" s="3">
        <v>420</v>
      </c>
      <c r="E846" s="32">
        <v>45229</v>
      </c>
      <c r="F846" s="2">
        <v>359007.6</v>
      </c>
      <c r="G846" s="5">
        <v>854.78</v>
      </c>
      <c r="H846" s="35">
        <f t="shared" si="26"/>
        <v>259</v>
      </c>
      <c r="I846" s="43">
        <f t="shared" si="27"/>
        <v>92982968.399999991</v>
      </c>
    </row>
    <row r="847" spans="1:9" x14ac:dyDescent="0.2">
      <c r="A847" s="30">
        <v>45222</v>
      </c>
      <c r="B847" s="1" t="s">
        <v>340</v>
      </c>
      <c r="C847" s="38">
        <v>44970</v>
      </c>
      <c r="D847" s="3">
        <v>84</v>
      </c>
      <c r="E847" s="32">
        <v>45222</v>
      </c>
      <c r="F847" s="2">
        <v>71801.52</v>
      </c>
      <c r="G847" s="5">
        <v>854.78</v>
      </c>
      <c r="H847" s="35">
        <f t="shared" si="26"/>
        <v>252</v>
      </c>
      <c r="I847" s="43">
        <f t="shared" si="27"/>
        <v>18093983.040000003</v>
      </c>
    </row>
    <row r="848" spans="1:9" x14ac:dyDescent="0.2">
      <c r="A848" s="30">
        <v>45236</v>
      </c>
      <c r="B848" s="1" t="s">
        <v>340</v>
      </c>
      <c r="C848" s="38">
        <v>44970</v>
      </c>
      <c r="D848" s="3">
        <v>420</v>
      </c>
      <c r="E848" s="32">
        <v>45236</v>
      </c>
      <c r="F848" s="2">
        <v>359007.6</v>
      </c>
      <c r="G848" s="5">
        <v>854.78</v>
      </c>
      <c r="H848" s="35">
        <f t="shared" si="26"/>
        <v>266</v>
      </c>
      <c r="I848" s="43">
        <f t="shared" si="27"/>
        <v>95496021.599999994</v>
      </c>
    </row>
    <row r="849" spans="1:9" x14ac:dyDescent="0.2">
      <c r="A849" s="30">
        <v>45229</v>
      </c>
      <c r="B849" s="1" t="s">
        <v>340</v>
      </c>
      <c r="C849" s="38">
        <v>44970</v>
      </c>
      <c r="D849" s="3">
        <v>420</v>
      </c>
      <c r="E849" s="32">
        <v>45229</v>
      </c>
      <c r="F849" s="2">
        <v>359007.6</v>
      </c>
      <c r="G849" s="5">
        <v>854.78</v>
      </c>
      <c r="H849" s="35">
        <f t="shared" si="26"/>
        <v>259</v>
      </c>
      <c r="I849" s="43">
        <f t="shared" si="27"/>
        <v>92982968.399999991</v>
      </c>
    </row>
    <row r="850" spans="1:9" x14ac:dyDescent="0.2">
      <c r="A850" s="30">
        <v>45243</v>
      </c>
      <c r="B850" s="1" t="s">
        <v>340</v>
      </c>
      <c r="C850" s="38">
        <v>44970</v>
      </c>
      <c r="D850" s="3">
        <v>420</v>
      </c>
      <c r="E850" s="32">
        <v>45243</v>
      </c>
      <c r="F850" s="2">
        <v>359007.6</v>
      </c>
      <c r="G850" s="5">
        <v>854.78</v>
      </c>
      <c r="H850" s="35">
        <f t="shared" si="26"/>
        <v>273</v>
      </c>
      <c r="I850" s="43">
        <f t="shared" si="27"/>
        <v>98009074.799999997</v>
      </c>
    </row>
    <row r="851" spans="1:9" x14ac:dyDescent="0.2">
      <c r="A851" s="30">
        <v>45236</v>
      </c>
      <c r="B851" s="1" t="s">
        <v>340</v>
      </c>
      <c r="C851" s="38">
        <v>44970</v>
      </c>
      <c r="D851" s="3">
        <v>420</v>
      </c>
      <c r="E851" s="32">
        <v>45236</v>
      </c>
      <c r="F851" s="2">
        <v>359007.6</v>
      </c>
      <c r="G851" s="5">
        <v>854.78</v>
      </c>
      <c r="H851" s="35">
        <f t="shared" si="26"/>
        <v>266</v>
      </c>
      <c r="I851" s="43">
        <f t="shared" si="27"/>
        <v>95496021.599999994</v>
      </c>
    </row>
    <row r="852" spans="1:9" x14ac:dyDescent="0.2">
      <c r="A852" s="30">
        <v>45215</v>
      </c>
      <c r="B852" s="1" t="s">
        <v>340</v>
      </c>
      <c r="C852" s="38">
        <v>44970</v>
      </c>
      <c r="D852" s="3">
        <v>84</v>
      </c>
      <c r="E852" s="32">
        <v>45215</v>
      </c>
      <c r="F852" s="2">
        <v>71801.52</v>
      </c>
      <c r="G852" s="5">
        <v>854.78</v>
      </c>
      <c r="H852" s="35">
        <f t="shared" si="26"/>
        <v>245</v>
      </c>
      <c r="I852" s="43">
        <f t="shared" si="27"/>
        <v>17591372.400000002</v>
      </c>
    </row>
    <row r="853" spans="1:9" x14ac:dyDescent="0.2">
      <c r="A853" s="30">
        <v>45303</v>
      </c>
      <c r="B853" s="1" t="s">
        <v>270</v>
      </c>
      <c r="C853" s="38">
        <v>45161</v>
      </c>
      <c r="D853" s="3">
        <v>13</v>
      </c>
      <c r="E853" s="32">
        <v>44866</v>
      </c>
      <c r="F853" s="2">
        <v>51537.2</v>
      </c>
      <c r="G853" s="5">
        <v>3964.4</v>
      </c>
      <c r="H853" s="35">
        <f t="shared" si="26"/>
        <v>142</v>
      </c>
      <c r="I853" s="43">
        <f t="shared" si="27"/>
        <v>7318282.3999999994</v>
      </c>
    </row>
    <row r="854" spans="1:9" x14ac:dyDescent="0.2">
      <c r="A854" s="30">
        <v>45376</v>
      </c>
      <c r="B854" s="1" t="s">
        <v>270</v>
      </c>
      <c r="C854" s="38">
        <v>44879</v>
      </c>
      <c r="D854" s="3">
        <v>77</v>
      </c>
      <c r="E854" s="32">
        <v>45376</v>
      </c>
      <c r="F854" s="2">
        <v>305258.8</v>
      </c>
      <c r="G854" s="5">
        <v>3964.4</v>
      </c>
      <c r="H854" s="35">
        <f t="shared" si="26"/>
        <v>497</v>
      </c>
      <c r="I854" s="43">
        <f t="shared" si="27"/>
        <v>151713623.59999999</v>
      </c>
    </row>
    <row r="855" spans="1:9" x14ac:dyDescent="0.2">
      <c r="A855" s="30">
        <v>45384</v>
      </c>
      <c r="B855" s="1" t="s">
        <v>270</v>
      </c>
      <c r="C855" s="38">
        <v>44876</v>
      </c>
      <c r="D855" s="3">
        <v>972</v>
      </c>
      <c r="E855" s="32">
        <v>45376</v>
      </c>
      <c r="F855" s="2">
        <v>3853396.8</v>
      </c>
      <c r="G855" s="5">
        <v>3964.4</v>
      </c>
      <c r="H855" s="35">
        <f t="shared" si="26"/>
        <v>508</v>
      </c>
      <c r="I855" s="43">
        <f t="shared" si="27"/>
        <v>1957525574.3999999</v>
      </c>
    </row>
    <row r="856" spans="1:9" x14ac:dyDescent="0.2">
      <c r="A856" s="30">
        <v>45408</v>
      </c>
      <c r="B856" s="1" t="s">
        <v>270</v>
      </c>
      <c r="C856" s="38">
        <v>44900</v>
      </c>
      <c r="D856" s="3">
        <v>12</v>
      </c>
      <c r="E856" s="32">
        <v>45408</v>
      </c>
      <c r="F856" s="2">
        <v>47572.800000000003</v>
      </c>
      <c r="G856" s="5">
        <v>3964.4</v>
      </c>
      <c r="H856" s="35">
        <f t="shared" si="26"/>
        <v>508</v>
      </c>
      <c r="I856" s="43">
        <f t="shared" si="27"/>
        <v>24166982.400000002</v>
      </c>
    </row>
    <row r="857" spans="1:9" x14ac:dyDescent="0.2">
      <c r="A857" s="30">
        <v>45414</v>
      </c>
      <c r="B857" s="1" t="s">
        <v>270</v>
      </c>
      <c r="C857" s="38">
        <v>44910</v>
      </c>
      <c r="D857" s="3">
        <v>16</v>
      </c>
      <c r="E857" s="32">
        <v>45414</v>
      </c>
      <c r="F857" s="2">
        <v>63430.400000000001</v>
      </c>
      <c r="G857" s="5">
        <v>3964.4</v>
      </c>
      <c r="H857" s="35">
        <f t="shared" si="26"/>
        <v>504</v>
      </c>
      <c r="I857" s="43">
        <f t="shared" si="27"/>
        <v>31968921.600000001</v>
      </c>
    </row>
    <row r="858" spans="1:9" x14ac:dyDescent="0.2">
      <c r="A858" s="30">
        <v>45538</v>
      </c>
      <c r="B858" s="1" t="s">
        <v>270</v>
      </c>
      <c r="C858" s="38">
        <v>45036</v>
      </c>
      <c r="D858" s="3">
        <v>8</v>
      </c>
      <c r="E858" s="32">
        <v>45538</v>
      </c>
      <c r="F858" s="2">
        <v>31715.200000000001</v>
      </c>
      <c r="G858" s="5">
        <v>3964.4</v>
      </c>
      <c r="H858" s="35">
        <f t="shared" si="26"/>
        <v>502</v>
      </c>
      <c r="I858" s="43">
        <f t="shared" si="27"/>
        <v>15921030.4</v>
      </c>
    </row>
    <row r="859" spans="1:9" x14ac:dyDescent="0.2">
      <c r="A859" s="30">
        <v>45191</v>
      </c>
      <c r="B859" s="1" t="s">
        <v>237</v>
      </c>
      <c r="C859" s="38">
        <v>44956</v>
      </c>
      <c r="D859" s="3">
        <v>324</v>
      </c>
      <c r="E859" s="32">
        <v>44866</v>
      </c>
      <c r="F859" s="2">
        <v>34126.92</v>
      </c>
      <c r="G859" s="5">
        <v>105.33</v>
      </c>
      <c r="H859" s="35">
        <f t="shared" si="26"/>
        <v>235</v>
      </c>
      <c r="I859" s="43">
        <f t="shared" si="27"/>
        <v>8019826.1999999993</v>
      </c>
    </row>
    <row r="860" spans="1:9" x14ac:dyDescent="0.2">
      <c r="A860" s="30">
        <v>45191</v>
      </c>
      <c r="B860" s="1" t="s">
        <v>237</v>
      </c>
      <c r="C860" s="38">
        <v>44956</v>
      </c>
      <c r="D860" s="3">
        <v>864</v>
      </c>
      <c r="E860" s="32">
        <v>44866</v>
      </c>
      <c r="F860" s="2">
        <v>91005.119999999995</v>
      </c>
      <c r="G860" s="5">
        <v>105.33</v>
      </c>
      <c r="H860" s="35">
        <f t="shared" si="26"/>
        <v>235</v>
      </c>
      <c r="I860" s="43">
        <f t="shared" si="27"/>
        <v>21386203.199999999</v>
      </c>
    </row>
    <row r="861" spans="1:9" x14ac:dyDescent="0.2">
      <c r="A861" s="30">
        <v>45190</v>
      </c>
      <c r="B861" s="1" t="s">
        <v>237</v>
      </c>
      <c r="C861" s="38">
        <v>44956</v>
      </c>
      <c r="D861" s="3">
        <v>1296</v>
      </c>
      <c r="E861" s="32">
        <v>45180</v>
      </c>
      <c r="F861" s="2">
        <v>136507.68</v>
      </c>
      <c r="G861" s="5">
        <v>105.33</v>
      </c>
      <c r="H861" s="35">
        <f t="shared" si="26"/>
        <v>234</v>
      </c>
      <c r="I861" s="43">
        <f t="shared" si="27"/>
        <v>31942797.119999997</v>
      </c>
    </row>
    <row r="862" spans="1:9" x14ac:dyDescent="0.2">
      <c r="A862" s="30">
        <v>45198</v>
      </c>
      <c r="B862" s="1" t="s">
        <v>237</v>
      </c>
      <c r="C862" s="38">
        <v>44956</v>
      </c>
      <c r="D862" s="3">
        <v>3132</v>
      </c>
      <c r="E862" s="32">
        <v>45148</v>
      </c>
      <c r="F862" s="2">
        <v>329893.56</v>
      </c>
      <c r="G862" s="5">
        <v>105.33</v>
      </c>
      <c r="H862" s="35">
        <f t="shared" si="26"/>
        <v>242</v>
      </c>
      <c r="I862" s="43">
        <f t="shared" si="27"/>
        <v>79834241.519999996</v>
      </c>
    </row>
    <row r="863" spans="1:9" x14ac:dyDescent="0.2">
      <c r="A863" s="30">
        <v>45184</v>
      </c>
      <c r="B863" s="1" t="s">
        <v>237</v>
      </c>
      <c r="C863" s="38">
        <v>45175</v>
      </c>
      <c r="D863" s="3">
        <v>1404</v>
      </c>
      <c r="E863" s="32">
        <v>45091</v>
      </c>
      <c r="F863" s="2">
        <v>147883.32</v>
      </c>
      <c r="G863" s="5">
        <v>105.33</v>
      </c>
      <c r="H863" s="35">
        <f t="shared" si="26"/>
        <v>9</v>
      </c>
      <c r="I863" s="43">
        <f t="shared" si="27"/>
        <v>1330949.8800000001</v>
      </c>
    </row>
    <row r="864" spans="1:9" x14ac:dyDescent="0.2">
      <c r="A864" s="30">
        <v>45190</v>
      </c>
      <c r="B864" s="1" t="s">
        <v>237</v>
      </c>
      <c r="C864" s="38">
        <v>44956</v>
      </c>
      <c r="D864" s="3">
        <v>3888</v>
      </c>
      <c r="E864" s="32">
        <v>45141</v>
      </c>
      <c r="F864" s="2">
        <v>409523.04</v>
      </c>
      <c r="G864" s="5">
        <v>105.33</v>
      </c>
      <c r="H864" s="35">
        <f t="shared" si="26"/>
        <v>234</v>
      </c>
      <c r="I864" s="43">
        <f t="shared" si="27"/>
        <v>95828391.359999999</v>
      </c>
    </row>
    <row r="865" spans="1:9" x14ac:dyDescent="0.2">
      <c r="A865" s="30">
        <v>45184</v>
      </c>
      <c r="B865" s="1" t="s">
        <v>237</v>
      </c>
      <c r="C865" s="38">
        <v>45175</v>
      </c>
      <c r="D865" s="3">
        <v>1188</v>
      </c>
      <c r="E865" s="32">
        <v>45106</v>
      </c>
      <c r="F865" s="2">
        <v>125132.04</v>
      </c>
      <c r="G865" s="5">
        <v>105.33</v>
      </c>
      <c r="H865" s="35">
        <f t="shared" si="26"/>
        <v>9</v>
      </c>
      <c r="I865" s="43">
        <f t="shared" si="27"/>
        <v>1126188.3599999999</v>
      </c>
    </row>
    <row r="866" spans="1:9" x14ac:dyDescent="0.2">
      <c r="A866" s="30">
        <v>45210</v>
      </c>
      <c r="B866" s="1" t="s">
        <v>237</v>
      </c>
      <c r="C866" s="38">
        <v>44956</v>
      </c>
      <c r="D866" s="3">
        <v>216</v>
      </c>
      <c r="E866" s="32">
        <v>45203</v>
      </c>
      <c r="F866" s="2">
        <v>22751.279999999999</v>
      </c>
      <c r="G866" s="5">
        <v>105.33</v>
      </c>
      <c r="H866" s="35">
        <f t="shared" si="26"/>
        <v>254</v>
      </c>
      <c r="I866" s="43">
        <f t="shared" si="27"/>
        <v>5778825.1200000001</v>
      </c>
    </row>
    <row r="867" spans="1:9" x14ac:dyDescent="0.2">
      <c r="A867" s="30">
        <v>45198</v>
      </c>
      <c r="B867" s="1" t="s">
        <v>237</v>
      </c>
      <c r="C867" s="38">
        <v>45167</v>
      </c>
      <c r="D867" s="3">
        <v>1188</v>
      </c>
      <c r="E867" s="32">
        <v>45183</v>
      </c>
      <c r="F867" s="2">
        <v>125132.04</v>
      </c>
      <c r="G867" s="5">
        <v>105.33</v>
      </c>
      <c r="H867" s="35">
        <f t="shared" si="26"/>
        <v>31</v>
      </c>
      <c r="I867" s="43">
        <f t="shared" si="27"/>
        <v>3879093.2399999998</v>
      </c>
    </row>
    <row r="868" spans="1:9" x14ac:dyDescent="0.2">
      <c r="A868" s="30">
        <v>45338</v>
      </c>
      <c r="B868" s="1" t="s">
        <v>237</v>
      </c>
      <c r="C868" s="38">
        <v>44965</v>
      </c>
      <c r="D868" s="3">
        <v>864</v>
      </c>
      <c r="E868" s="32">
        <v>45331</v>
      </c>
      <c r="F868" s="2">
        <v>91005.119999999995</v>
      </c>
      <c r="G868" s="5">
        <v>105.33</v>
      </c>
      <c r="H868" s="35">
        <f t="shared" si="26"/>
        <v>373</v>
      </c>
      <c r="I868" s="43">
        <f t="shared" si="27"/>
        <v>33944909.759999998</v>
      </c>
    </row>
    <row r="869" spans="1:9" x14ac:dyDescent="0.2">
      <c r="A869" s="30">
        <v>45350</v>
      </c>
      <c r="B869" s="1" t="s">
        <v>237</v>
      </c>
      <c r="C869" s="38">
        <v>44995</v>
      </c>
      <c r="D869" s="3">
        <v>324</v>
      </c>
      <c r="E869" s="32">
        <v>45342</v>
      </c>
      <c r="F869" s="2">
        <v>34126.92</v>
      </c>
      <c r="G869" s="5">
        <v>105.33</v>
      </c>
      <c r="H869" s="35">
        <f t="shared" si="26"/>
        <v>355</v>
      </c>
      <c r="I869" s="43">
        <f t="shared" si="27"/>
        <v>12115056.6</v>
      </c>
    </row>
    <row r="870" spans="1:9" x14ac:dyDescent="0.2">
      <c r="A870" s="30">
        <v>45195</v>
      </c>
      <c r="B870" s="1" t="s">
        <v>238</v>
      </c>
      <c r="C870" s="38">
        <v>44824</v>
      </c>
      <c r="D870" s="3">
        <v>2000</v>
      </c>
      <c r="E870" s="32">
        <v>45188</v>
      </c>
      <c r="F870" s="2">
        <v>3780</v>
      </c>
      <c r="G870" s="5">
        <v>1.89</v>
      </c>
      <c r="H870" s="35">
        <f t="shared" si="26"/>
        <v>371</v>
      </c>
      <c r="I870" s="43">
        <f t="shared" si="27"/>
        <v>1402380</v>
      </c>
    </row>
    <row r="871" spans="1:9" x14ac:dyDescent="0.2">
      <c r="A871" s="30">
        <v>45189</v>
      </c>
      <c r="B871" s="1" t="s">
        <v>312</v>
      </c>
      <c r="C871" s="38">
        <v>44824</v>
      </c>
      <c r="D871" s="3">
        <v>300</v>
      </c>
      <c r="E871" s="32">
        <v>45189</v>
      </c>
      <c r="F871" s="2">
        <v>3300</v>
      </c>
      <c r="G871" s="5">
        <v>11</v>
      </c>
      <c r="H871" s="35">
        <f t="shared" si="26"/>
        <v>365</v>
      </c>
      <c r="I871" s="43">
        <f t="shared" si="27"/>
        <v>1204500</v>
      </c>
    </row>
    <row r="872" spans="1:9" x14ac:dyDescent="0.2">
      <c r="A872" s="30">
        <v>45196</v>
      </c>
      <c r="B872" s="1" t="s">
        <v>313</v>
      </c>
      <c r="C872" s="38">
        <v>44896</v>
      </c>
      <c r="D872" s="3">
        <v>420</v>
      </c>
      <c r="E872" s="32">
        <v>45196</v>
      </c>
      <c r="F872" s="2">
        <v>3813.6</v>
      </c>
      <c r="G872" s="5">
        <v>9.08</v>
      </c>
      <c r="H872" s="35">
        <f t="shared" si="26"/>
        <v>300</v>
      </c>
      <c r="I872" s="43">
        <f t="shared" si="27"/>
        <v>1144080</v>
      </c>
    </row>
    <row r="873" spans="1:9" x14ac:dyDescent="0.2">
      <c r="A873" s="30">
        <v>45175</v>
      </c>
      <c r="B873" s="1" t="s">
        <v>240</v>
      </c>
      <c r="C873" s="38">
        <v>45175</v>
      </c>
      <c r="D873" s="3">
        <v>488</v>
      </c>
      <c r="E873" s="32">
        <v>44557</v>
      </c>
      <c r="F873" s="2">
        <v>214685.84</v>
      </c>
      <c r="G873" s="5">
        <v>439.93</v>
      </c>
      <c r="H873" s="35">
        <f t="shared" si="26"/>
        <v>0</v>
      </c>
      <c r="I873" s="43">
        <f t="shared" si="27"/>
        <v>0</v>
      </c>
    </row>
    <row r="874" spans="1:9" x14ac:dyDescent="0.2">
      <c r="A874" s="30">
        <v>45233</v>
      </c>
      <c r="B874" s="1" t="s">
        <v>240</v>
      </c>
      <c r="C874" s="38">
        <v>45152</v>
      </c>
      <c r="D874" s="3">
        <v>240</v>
      </c>
      <c r="E874" s="32">
        <v>44960</v>
      </c>
      <c r="F874" s="2">
        <v>105583.2</v>
      </c>
      <c r="G874" s="5">
        <v>439.93</v>
      </c>
      <c r="H874" s="35">
        <f t="shared" si="26"/>
        <v>81</v>
      </c>
      <c r="I874" s="43">
        <f t="shared" si="27"/>
        <v>8552239.1999999993</v>
      </c>
    </row>
    <row r="875" spans="1:9" x14ac:dyDescent="0.2">
      <c r="A875" s="30">
        <v>45209</v>
      </c>
      <c r="B875" s="1" t="s">
        <v>240</v>
      </c>
      <c r="C875" s="38">
        <v>44838</v>
      </c>
      <c r="D875" s="3">
        <v>240</v>
      </c>
      <c r="E875" s="32">
        <v>45209</v>
      </c>
      <c r="F875" s="2">
        <v>105583.2</v>
      </c>
      <c r="G875" s="5">
        <v>439.93</v>
      </c>
      <c r="H875" s="35">
        <f t="shared" si="26"/>
        <v>371</v>
      </c>
      <c r="I875" s="43">
        <f t="shared" si="27"/>
        <v>39171367.199999996</v>
      </c>
    </row>
    <row r="876" spans="1:9" x14ac:dyDescent="0.2">
      <c r="A876" s="30">
        <v>45195</v>
      </c>
      <c r="B876" s="1" t="s">
        <v>240</v>
      </c>
      <c r="C876" s="38">
        <v>44883</v>
      </c>
      <c r="D876" s="3">
        <v>360</v>
      </c>
      <c r="E876" s="32">
        <v>45188</v>
      </c>
      <c r="F876" s="2">
        <v>158374.79999999999</v>
      </c>
      <c r="G876" s="5">
        <v>439.93</v>
      </c>
      <c r="H876" s="35">
        <f t="shared" si="26"/>
        <v>312</v>
      </c>
      <c r="I876" s="43">
        <f t="shared" si="27"/>
        <v>49412937.599999994</v>
      </c>
    </row>
    <row r="877" spans="1:9" x14ac:dyDescent="0.2">
      <c r="A877" s="30">
        <v>45373</v>
      </c>
      <c r="B877" s="1" t="s">
        <v>240</v>
      </c>
      <c r="C877" s="38">
        <v>44923</v>
      </c>
      <c r="D877" s="3">
        <v>960</v>
      </c>
      <c r="E877" s="32">
        <v>45373</v>
      </c>
      <c r="F877" s="2">
        <v>422332.8</v>
      </c>
      <c r="G877" s="5">
        <v>439.93</v>
      </c>
      <c r="H877" s="35">
        <f t="shared" si="26"/>
        <v>450</v>
      </c>
      <c r="I877" s="43">
        <f t="shared" si="27"/>
        <v>190049760</v>
      </c>
    </row>
    <row r="878" spans="1:9" x14ac:dyDescent="0.2">
      <c r="A878" s="30">
        <v>45432</v>
      </c>
      <c r="B878" s="1" t="s">
        <v>240</v>
      </c>
      <c r="C878" s="38">
        <v>44951</v>
      </c>
      <c r="D878" s="3">
        <v>120</v>
      </c>
      <c r="E878" s="32">
        <v>45432</v>
      </c>
      <c r="F878" s="2">
        <v>52791.6</v>
      </c>
      <c r="G878" s="5">
        <v>439.93</v>
      </c>
      <c r="H878" s="35">
        <f t="shared" si="26"/>
        <v>481</v>
      </c>
      <c r="I878" s="43">
        <f t="shared" si="27"/>
        <v>25392759.599999998</v>
      </c>
    </row>
    <row r="879" spans="1:9" x14ac:dyDescent="0.2">
      <c r="A879" s="30">
        <v>45411</v>
      </c>
      <c r="B879" s="1" t="s">
        <v>240</v>
      </c>
      <c r="C879" s="38">
        <v>44944</v>
      </c>
      <c r="D879" s="3">
        <v>720</v>
      </c>
      <c r="E879" s="32">
        <v>45411</v>
      </c>
      <c r="F879" s="2">
        <v>316749.59999999998</v>
      </c>
      <c r="G879" s="5">
        <v>439.93</v>
      </c>
      <c r="H879" s="35">
        <f t="shared" si="26"/>
        <v>467</v>
      </c>
      <c r="I879" s="43">
        <f t="shared" si="27"/>
        <v>147922063.19999999</v>
      </c>
    </row>
    <row r="880" spans="1:9" x14ac:dyDescent="0.2">
      <c r="A880" s="30">
        <v>45450</v>
      </c>
      <c r="B880" s="1" t="s">
        <v>240</v>
      </c>
      <c r="C880" s="38">
        <v>44956</v>
      </c>
      <c r="D880" s="3">
        <v>240</v>
      </c>
      <c r="E880" s="32">
        <v>45450</v>
      </c>
      <c r="F880" s="2">
        <v>105583.2</v>
      </c>
      <c r="G880" s="5">
        <v>439.93</v>
      </c>
      <c r="H880" s="35">
        <f t="shared" si="26"/>
        <v>494</v>
      </c>
      <c r="I880" s="43">
        <f t="shared" si="27"/>
        <v>52158100.799999997</v>
      </c>
    </row>
    <row r="881" spans="1:9" x14ac:dyDescent="0.2">
      <c r="A881" s="30">
        <v>45219</v>
      </c>
      <c r="B881" s="1" t="s">
        <v>318</v>
      </c>
      <c r="C881" s="38">
        <v>45159</v>
      </c>
      <c r="D881" s="3">
        <v>2674</v>
      </c>
      <c r="E881" s="32">
        <v>44335</v>
      </c>
      <c r="F881" s="2">
        <v>380697.38</v>
      </c>
      <c r="G881" s="5">
        <v>142.37</v>
      </c>
      <c r="H881" s="35">
        <f t="shared" si="26"/>
        <v>60</v>
      </c>
      <c r="I881" s="43">
        <f t="shared" si="27"/>
        <v>22841842.800000001</v>
      </c>
    </row>
    <row r="882" spans="1:9" x14ac:dyDescent="0.2">
      <c r="A882" s="30">
        <v>45191</v>
      </c>
      <c r="B882" s="1" t="s">
        <v>318</v>
      </c>
      <c r="C882" s="38">
        <v>44771</v>
      </c>
      <c r="D882" s="3">
        <v>440</v>
      </c>
      <c r="E882" s="32">
        <v>44557</v>
      </c>
      <c r="F882" s="2">
        <v>62642.8</v>
      </c>
      <c r="G882" s="5">
        <v>142.37</v>
      </c>
      <c r="H882" s="35">
        <f t="shared" si="26"/>
        <v>420</v>
      </c>
      <c r="I882" s="43">
        <f t="shared" si="27"/>
        <v>26309976</v>
      </c>
    </row>
    <row r="883" spans="1:9" x14ac:dyDescent="0.2">
      <c r="A883" s="30">
        <v>45191</v>
      </c>
      <c r="B883" s="1" t="s">
        <v>318</v>
      </c>
      <c r="C883" s="38">
        <v>44771</v>
      </c>
      <c r="D883" s="3">
        <v>440</v>
      </c>
      <c r="E883" s="32">
        <v>44550</v>
      </c>
      <c r="F883" s="2">
        <v>62642.8</v>
      </c>
      <c r="G883" s="5">
        <v>142.37</v>
      </c>
      <c r="H883" s="35">
        <f t="shared" si="26"/>
        <v>420</v>
      </c>
      <c r="I883" s="43">
        <f t="shared" si="27"/>
        <v>26309976</v>
      </c>
    </row>
    <row r="884" spans="1:9" x14ac:dyDescent="0.2">
      <c r="A884" s="30">
        <v>45191</v>
      </c>
      <c r="B884" s="1" t="s">
        <v>318</v>
      </c>
      <c r="C884" s="38">
        <v>44771</v>
      </c>
      <c r="D884" s="3">
        <v>220</v>
      </c>
      <c r="E884" s="32">
        <v>44581</v>
      </c>
      <c r="F884" s="2">
        <v>31321.4</v>
      </c>
      <c r="G884" s="5">
        <v>142.37</v>
      </c>
      <c r="H884" s="35">
        <f t="shared" si="26"/>
        <v>420</v>
      </c>
      <c r="I884" s="43">
        <f t="shared" si="27"/>
        <v>13154988</v>
      </c>
    </row>
    <row r="885" spans="1:9" x14ac:dyDescent="0.2">
      <c r="A885" s="30">
        <v>45219</v>
      </c>
      <c r="B885" s="1" t="s">
        <v>318</v>
      </c>
      <c r="C885" s="38">
        <v>45159</v>
      </c>
      <c r="D885" s="3">
        <v>220</v>
      </c>
      <c r="E885" s="32">
        <v>44886</v>
      </c>
      <c r="F885" s="2">
        <v>31321.4</v>
      </c>
      <c r="G885" s="5">
        <v>142.37</v>
      </c>
      <c r="H885" s="35">
        <f t="shared" si="26"/>
        <v>60</v>
      </c>
      <c r="I885" s="43">
        <f t="shared" si="27"/>
        <v>1879284</v>
      </c>
    </row>
    <row r="886" spans="1:9" x14ac:dyDescent="0.2">
      <c r="A886" s="30">
        <v>45219</v>
      </c>
      <c r="B886" s="1" t="s">
        <v>318</v>
      </c>
      <c r="C886" s="38">
        <v>45159</v>
      </c>
      <c r="D886" s="3">
        <v>220</v>
      </c>
      <c r="E886" s="32">
        <v>44792</v>
      </c>
      <c r="F886" s="2">
        <v>31321.4</v>
      </c>
      <c r="G886" s="5">
        <v>142.37</v>
      </c>
      <c r="H886" s="35">
        <f t="shared" si="26"/>
        <v>60</v>
      </c>
      <c r="I886" s="43">
        <f t="shared" si="27"/>
        <v>1879284</v>
      </c>
    </row>
    <row r="887" spans="1:9" x14ac:dyDescent="0.2">
      <c r="A887" s="30">
        <v>45219</v>
      </c>
      <c r="B887" s="1" t="s">
        <v>318</v>
      </c>
      <c r="C887" s="38">
        <v>45159</v>
      </c>
      <c r="D887" s="3">
        <v>220</v>
      </c>
      <c r="E887" s="32">
        <v>44802</v>
      </c>
      <c r="F887" s="2">
        <v>31321.4</v>
      </c>
      <c r="G887" s="5">
        <v>142.37</v>
      </c>
      <c r="H887" s="35">
        <f t="shared" si="26"/>
        <v>60</v>
      </c>
      <c r="I887" s="43">
        <f t="shared" si="27"/>
        <v>1879284</v>
      </c>
    </row>
    <row r="888" spans="1:9" x14ac:dyDescent="0.2">
      <c r="A888" s="30">
        <v>45219</v>
      </c>
      <c r="B888" s="1" t="s">
        <v>318</v>
      </c>
      <c r="C888" s="38">
        <v>45159</v>
      </c>
      <c r="D888" s="3">
        <v>440</v>
      </c>
      <c r="E888" s="32">
        <v>44901</v>
      </c>
      <c r="F888" s="2">
        <v>62642.8</v>
      </c>
      <c r="G888" s="5">
        <v>142.37</v>
      </c>
      <c r="H888" s="35">
        <f t="shared" si="26"/>
        <v>60</v>
      </c>
      <c r="I888" s="43">
        <f t="shared" si="27"/>
        <v>3758568</v>
      </c>
    </row>
    <row r="889" spans="1:9" x14ac:dyDescent="0.2">
      <c r="A889" s="30">
        <v>45407</v>
      </c>
      <c r="B889" s="1" t="s">
        <v>295</v>
      </c>
      <c r="C889" s="38">
        <v>44837</v>
      </c>
      <c r="D889" s="3">
        <v>120</v>
      </c>
      <c r="E889" s="32">
        <v>45407</v>
      </c>
      <c r="F889" s="2">
        <v>10766.4</v>
      </c>
      <c r="G889" s="5">
        <v>89.72</v>
      </c>
      <c r="H889" s="35">
        <f t="shared" si="26"/>
        <v>570</v>
      </c>
      <c r="I889" s="43">
        <f t="shared" si="27"/>
        <v>6136848</v>
      </c>
    </row>
    <row r="890" spans="1:9" x14ac:dyDescent="0.2">
      <c r="A890" s="30">
        <v>45189</v>
      </c>
      <c r="B890" s="1" t="s">
        <v>295</v>
      </c>
      <c r="C890" s="38">
        <v>45180</v>
      </c>
      <c r="D890" s="3">
        <v>360</v>
      </c>
      <c r="E890" s="32">
        <v>45414</v>
      </c>
      <c r="F890" s="2">
        <v>32299.200000000001</v>
      </c>
      <c r="G890" s="5">
        <v>89.72</v>
      </c>
      <c r="H890" s="35">
        <f t="shared" si="26"/>
        <v>9</v>
      </c>
      <c r="I890" s="43">
        <f t="shared" si="27"/>
        <v>290692.8</v>
      </c>
    </row>
    <row r="891" spans="1:9" x14ac:dyDescent="0.2">
      <c r="A891" s="30">
        <v>45434</v>
      </c>
      <c r="B891" s="1" t="s">
        <v>295</v>
      </c>
      <c r="C891" s="38">
        <v>44981</v>
      </c>
      <c r="D891" s="3">
        <v>120</v>
      </c>
      <c r="E891" s="32">
        <v>45033</v>
      </c>
      <c r="F891" s="2">
        <v>10766.4</v>
      </c>
      <c r="G891" s="5">
        <v>89.72</v>
      </c>
      <c r="H891" s="35">
        <f t="shared" si="26"/>
        <v>453</v>
      </c>
      <c r="I891" s="43">
        <f t="shared" si="27"/>
        <v>4877179.2</v>
      </c>
    </row>
    <row r="892" spans="1:9" x14ac:dyDescent="0.2">
      <c r="A892" s="30">
        <v>45512</v>
      </c>
      <c r="B892" s="1" t="s">
        <v>295</v>
      </c>
      <c r="C892" s="38">
        <v>44981</v>
      </c>
      <c r="D892" s="3">
        <v>120</v>
      </c>
      <c r="E892" s="32">
        <v>45107</v>
      </c>
      <c r="F892" s="2">
        <v>10766.4</v>
      </c>
      <c r="G892" s="5">
        <v>89.72</v>
      </c>
      <c r="H892" s="35">
        <f t="shared" si="26"/>
        <v>531</v>
      </c>
      <c r="I892" s="43">
        <f t="shared" si="27"/>
        <v>5716958.3999999994</v>
      </c>
    </row>
    <row r="893" spans="1:9" x14ac:dyDescent="0.2">
      <c r="A893" s="30">
        <v>45308</v>
      </c>
      <c r="B893" s="1" t="s">
        <v>295</v>
      </c>
      <c r="C893" s="38">
        <v>44956</v>
      </c>
      <c r="D893" s="3">
        <v>240</v>
      </c>
      <c r="E893" s="32">
        <v>45282</v>
      </c>
      <c r="F893" s="2">
        <v>21532.799999999999</v>
      </c>
      <c r="G893" s="5">
        <v>89.72</v>
      </c>
      <c r="H893" s="35">
        <f t="shared" si="26"/>
        <v>352</v>
      </c>
      <c r="I893" s="43">
        <f t="shared" si="27"/>
        <v>7579545.5999999996</v>
      </c>
    </row>
    <row r="894" spans="1:9" x14ac:dyDescent="0.2">
      <c r="A894" s="30">
        <v>45317</v>
      </c>
      <c r="B894" s="1" t="s">
        <v>295</v>
      </c>
      <c r="C894" s="38">
        <v>44965</v>
      </c>
      <c r="D894" s="3">
        <v>360</v>
      </c>
      <c r="E894" s="32">
        <v>45279</v>
      </c>
      <c r="F894" s="2">
        <v>32299.200000000001</v>
      </c>
      <c r="G894" s="5">
        <v>89.72</v>
      </c>
      <c r="H894" s="35">
        <f t="shared" si="26"/>
        <v>352</v>
      </c>
      <c r="I894" s="43">
        <f t="shared" si="27"/>
        <v>11369318.4</v>
      </c>
    </row>
    <row r="895" spans="1:9" x14ac:dyDescent="0.2">
      <c r="A895" s="30">
        <v>45322</v>
      </c>
      <c r="B895" s="1" t="s">
        <v>295</v>
      </c>
      <c r="C895" s="38">
        <v>44970</v>
      </c>
      <c r="D895" s="3">
        <v>120</v>
      </c>
      <c r="E895" s="32">
        <v>45314</v>
      </c>
      <c r="F895" s="2">
        <v>10766.4</v>
      </c>
      <c r="G895" s="5">
        <v>89.72</v>
      </c>
      <c r="H895" s="35">
        <f t="shared" si="26"/>
        <v>352</v>
      </c>
      <c r="I895" s="43">
        <f t="shared" si="27"/>
        <v>3789772.7999999998</v>
      </c>
    </row>
    <row r="896" spans="1:9" x14ac:dyDescent="0.2">
      <c r="A896" s="30">
        <v>45342</v>
      </c>
      <c r="B896" s="1" t="s">
        <v>241</v>
      </c>
      <c r="C896" s="38">
        <v>44982</v>
      </c>
      <c r="D896" s="3">
        <v>3780</v>
      </c>
      <c r="E896" s="32">
        <v>45334</v>
      </c>
      <c r="F896" s="2">
        <v>54280.800000000003</v>
      </c>
      <c r="G896" s="5">
        <v>14.36</v>
      </c>
      <c r="H896" s="35">
        <f t="shared" si="26"/>
        <v>360</v>
      </c>
      <c r="I896" s="43">
        <f t="shared" si="27"/>
        <v>19541088</v>
      </c>
    </row>
    <row r="897" spans="1:9" x14ac:dyDescent="0.2">
      <c r="A897" s="30">
        <v>45188</v>
      </c>
      <c r="B897" s="1" t="s">
        <v>242</v>
      </c>
      <c r="C897" s="38">
        <v>44824</v>
      </c>
      <c r="D897" s="3">
        <v>3024</v>
      </c>
      <c r="E897" s="32">
        <v>45188</v>
      </c>
      <c r="F897" s="2">
        <v>130243.68</v>
      </c>
      <c r="G897" s="5">
        <v>43.07</v>
      </c>
      <c r="H897" s="35">
        <f t="shared" si="26"/>
        <v>364</v>
      </c>
      <c r="I897" s="43">
        <f t="shared" si="27"/>
        <v>47408699.519999996</v>
      </c>
    </row>
    <row r="898" spans="1:9" x14ac:dyDescent="0.2">
      <c r="A898" s="30">
        <v>45175</v>
      </c>
      <c r="B898" s="1" t="s">
        <v>243</v>
      </c>
      <c r="C898" s="38">
        <v>45169</v>
      </c>
      <c r="D898" s="3">
        <v>252</v>
      </c>
      <c r="E898" s="32">
        <v>45114</v>
      </c>
      <c r="F898" s="2">
        <v>21089.88</v>
      </c>
      <c r="G898" s="5">
        <v>83.69</v>
      </c>
      <c r="H898" s="35">
        <f t="shared" si="26"/>
        <v>6</v>
      </c>
      <c r="I898" s="43">
        <f t="shared" si="27"/>
        <v>126539.28</v>
      </c>
    </row>
    <row r="899" spans="1:9" x14ac:dyDescent="0.2">
      <c r="A899" s="30">
        <v>45329</v>
      </c>
      <c r="B899" s="1" t="s">
        <v>243</v>
      </c>
      <c r="C899" s="38">
        <v>44978</v>
      </c>
      <c r="D899" s="3">
        <v>252</v>
      </c>
      <c r="E899" s="32">
        <v>45230</v>
      </c>
      <c r="F899" s="2">
        <v>21089.88</v>
      </c>
      <c r="G899" s="5">
        <v>83.69</v>
      </c>
      <c r="H899" s="35">
        <f t="shared" ref="H899:H962" si="28">IFERROR(A899-C899,"")</f>
        <v>351</v>
      </c>
      <c r="I899" s="43">
        <f t="shared" ref="I899:I962" si="29">H899*F899</f>
        <v>7402547.8800000008</v>
      </c>
    </row>
    <row r="900" spans="1:9" x14ac:dyDescent="0.2">
      <c r="A900" s="30">
        <v>45245</v>
      </c>
      <c r="B900" s="1" t="s">
        <v>243</v>
      </c>
      <c r="C900" s="38">
        <v>44978</v>
      </c>
      <c r="D900" s="3">
        <v>252</v>
      </c>
      <c r="E900" s="32">
        <v>45237</v>
      </c>
      <c r="F900" s="2">
        <v>21089.88</v>
      </c>
      <c r="G900" s="5">
        <v>83.69</v>
      </c>
      <c r="H900" s="35">
        <f t="shared" si="28"/>
        <v>267</v>
      </c>
      <c r="I900" s="43">
        <f t="shared" si="29"/>
        <v>5630997.96</v>
      </c>
    </row>
    <row r="901" spans="1:9" x14ac:dyDescent="0.2">
      <c r="A901" s="30">
        <v>45320</v>
      </c>
      <c r="B901" s="1" t="s">
        <v>243</v>
      </c>
      <c r="C901" s="38">
        <v>44984</v>
      </c>
      <c r="D901" s="3">
        <v>504</v>
      </c>
      <c r="E901" s="32">
        <v>45237</v>
      </c>
      <c r="F901" s="2">
        <v>42179.76</v>
      </c>
      <c r="G901" s="5">
        <v>83.69</v>
      </c>
      <c r="H901" s="35">
        <f t="shared" si="28"/>
        <v>336</v>
      </c>
      <c r="I901" s="43">
        <f t="shared" si="29"/>
        <v>14172399.360000001</v>
      </c>
    </row>
    <row r="902" spans="1:9" x14ac:dyDescent="0.2">
      <c r="A902" s="30">
        <v>45357</v>
      </c>
      <c r="B902" s="1" t="s">
        <v>243</v>
      </c>
      <c r="C902" s="38">
        <v>44984</v>
      </c>
      <c r="D902" s="3">
        <v>252</v>
      </c>
      <c r="E902" s="32">
        <v>45357</v>
      </c>
      <c r="F902" s="2">
        <v>21089.88</v>
      </c>
      <c r="G902" s="5">
        <v>83.69</v>
      </c>
      <c r="H902" s="35">
        <f t="shared" si="28"/>
        <v>373</v>
      </c>
      <c r="I902" s="43">
        <f t="shared" si="29"/>
        <v>7866525.2400000002</v>
      </c>
    </row>
    <row r="903" spans="1:9" x14ac:dyDescent="0.2">
      <c r="A903" s="30">
        <v>45329</v>
      </c>
      <c r="B903" s="1" t="s">
        <v>319</v>
      </c>
      <c r="C903" s="38">
        <v>44978</v>
      </c>
      <c r="D903" s="3">
        <v>252</v>
      </c>
      <c r="E903" s="32">
        <v>44848</v>
      </c>
      <c r="F903" s="2">
        <v>28002.240000000002</v>
      </c>
      <c r="G903" s="5">
        <v>111.12</v>
      </c>
      <c r="H903" s="35">
        <f t="shared" si="28"/>
        <v>351</v>
      </c>
      <c r="I903" s="43">
        <f t="shared" si="29"/>
        <v>9828786.2400000002</v>
      </c>
    </row>
    <row r="904" spans="1:9" x14ac:dyDescent="0.2">
      <c r="A904" s="30">
        <v>45329</v>
      </c>
      <c r="B904" s="1" t="s">
        <v>319</v>
      </c>
      <c r="C904" s="38">
        <v>44978</v>
      </c>
      <c r="D904" s="3">
        <v>252</v>
      </c>
      <c r="E904" s="32">
        <v>45195</v>
      </c>
      <c r="F904" s="2">
        <v>28002.240000000002</v>
      </c>
      <c r="G904" s="5">
        <v>111.12</v>
      </c>
      <c r="H904" s="35">
        <f t="shared" si="28"/>
        <v>351</v>
      </c>
      <c r="I904" s="43">
        <f t="shared" si="29"/>
        <v>9828786.2400000002</v>
      </c>
    </row>
    <row r="905" spans="1:9" x14ac:dyDescent="0.2">
      <c r="A905" s="30">
        <v>45212</v>
      </c>
      <c r="B905" s="1" t="s">
        <v>320</v>
      </c>
      <c r="C905" s="38">
        <v>45159</v>
      </c>
      <c r="D905" s="3">
        <v>120</v>
      </c>
      <c r="E905" s="32">
        <v>44988</v>
      </c>
      <c r="F905" s="2">
        <v>28645.200000000001</v>
      </c>
      <c r="G905" s="5">
        <v>238.71</v>
      </c>
      <c r="H905" s="35">
        <f t="shared" si="28"/>
        <v>53</v>
      </c>
      <c r="I905" s="43">
        <f t="shared" si="29"/>
        <v>1518195.6</v>
      </c>
    </row>
    <row r="906" spans="1:9" x14ac:dyDescent="0.2">
      <c r="A906" s="30">
        <v>45308</v>
      </c>
      <c r="B906" s="1" t="s">
        <v>294</v>
      </c>
      <c r="C906" s="38">
        <v>44951</v>
      </c>
      <c r="D906" s="3">
        <v>27000</v>
      </c>
      <c r="E906" s="32">
        <v>45308</v>
      </c>
      <c r="F906" s="2">
        <v>2700</v>
      </c>
      <c r="G906" s="5">
        <v>0.1</v>
      </c>
      <c r="H906" s="35">
        <f t="shared" si="28"/>
        <v>357</v>
      </c>
      <c r="I906" s="43">
        <f t="shared" si="29"/>
        <v>963900</v>
      </c>
    </row>
    <row r="907" spans="1:9" x14ac:dyDescent="0.2">
      <c r="A907" s="30">
        <v>45189</v>
      </c>
      <c r="B907" s="1" t="s">
        <v>247</v>
      </c>
      <c r="C907" s="38">
        <v>44837</v>
      </c>
      <c r="D907" s="3">
        <v>400</v>
      </c>
      <c r="E907" s="32">
        <v>45184</v>
      </c>
      <c r="F907" s="2">
        <v>43968</v>
      </c>
      <c r="G907" s="5">
        <v>109.92</v>
      </c>
      <c r="H907" s="35">
        <f t="shared" si="28"/>
        <v>352</v>
      </c>
      <c r="I907" s="43">
        <f t="shared" si="29"/>
        <v>15476736</v>
      </c>
    </row>
    <row r="908" spans="1:9" x14ac:dyDescent="0.2">
      <c r="A908" s="30">
        <v>45233</v>
      </c>
      <c r="B908" s="1" t="s">
        <v>247</v>
      </c>
      <c r="C908" s="38">
        <v>44838</v>
      </c>
      <c r="D908" s="3">
        <v>600</v>
      </c>
      <c r="E908" s="32">
        <v>45233</v>
      </c>
      <c r="F908" s="2">
        <v>65952</v>
      </c>
      <c r="G908" s="5">
        <v>109.92</v>
      </c>
      <c r="H908" s="35">
        <f t="shared" si="28"/>
        <v>395</v>
      </c>
      <c r="I908" s="43">
        <f t="shared" si="29"/>
        <v>26051040</v>
      </c>
    </row>
    <row r="909" spans="1:9" x14ac:dyDescent="0.2">
      <c r="A909" s="30">
        <v>45226</v>
      </c>
      <c r="B909" s="1" t="s">
        <v>247</v>
      </c>
      <c r="C909" s="38">
        <v>44837</v>
      </c>
      <c r="D909" s="3">
        <v>200</v>
      </c>
      <c r="E909" s="32">
        <v>45226</v>
      </c>
      <c r="F909" s="2">
        <v>21984</v>
      </c>
      <c r="G909" s="5">
        <v>109.92</v>
      </c>
      <c r="H909" s="35">
        <f t="shared" si="28"/>
        <v>389</v>
      </c>
      <c r="I909" s="43">
        <f t="shared" si="29"/>
        <v>8551776</v>
      </c>
    </row>
    <row r="910" spans="1:9" x14ac:dyDescent="0.2">
      <c r="A910" s="30">
        <v>45233</v>
      </c>
      <c r="B910" s="1" t="s">
        <v>247</v>
      </c>
      <c r="C910" s="38">
        <v>44882</v>
      </c>
      <c r="D910" s="3">
        <v>600</v>
      </c>
      <c r="E910" s="32">
        <v>45233</v>
      </c>
      <c r="F910" s="2">
        <v>65952</v>
      </c>
      <c r="G910" s="5">
        <v>109.92</v>
      </c>
      <c r="H910" s="35">
        <f t="shared" si="28"/>
        <v>351</v>
      </c>
      <c r="I910" s="43">
        <f t="shared" si="29"/>
        <v>23149152</v>
      </c>
    </row>
    <row r="911" spans="1:9" x14ac:dyDescent="0.2">
      <c r="A911" s="30">
        <v>45310</v>
      </c>
      <c r="B911" s="1" t="s">
        <v>247</v>
      </c>
      <c r="C911" s="38">
        <v>44936</v>
      </c>
      <c r="D911" s="3">
        <v>600</v>
      </c>
      <c r="E911" s="32">
        <v>45310</v>
      </c>
      <c r="F911" s="2">
        <v>65952</v>
      </c>
      <c r="G911" s="5">
        <v>109.92</v>
      </c>
      <c r="H911" s="35">
        <f t="shared" si="28"/>
        <v>374</v>
      </c>
      <c r="I911" s="43">
        <f t="shared" si="29"/>
        <v>24666048</v>
      </c>
    </row>
    <row r="912" spans="1:9" x14ac:dyDescent="0.2">
      <c r="A912" s="30">
        <v>45323</v>
      </c>
      <c r="B912" s="1" t="s">
        <v>247</v>
      </c>
      <c r="C912" s="38">
        <v>44944</v>
      </c>
      <c r="D912" s="3">
        <v>600</v>
      </c>
      <c r="E912" s="32">
        <v>45323</v>
      </c>
      <c r="F912" s="2">
        <v>65952</v>
      </c>
      <c r="G912" s="5">
        <v>109.92</v>
      </c>
      <c r="H912" s="35">
        <f t="shared" si="28"/>
        <v>379</v>
      </c>
      <c r="I912" s="43">
        <f t="shared" si="29"/>
        <v>24995808</v>
      </c>
    </row>
    <row r="913" spans="1:9" x14ac:dyDescent="0.2">
      <c r="A913" s="30">
        <v>45322</v>
      </c>
      <c r="B913" s="1" t="s">
        <v>247</v>
      </c>
      <c r="C913" s="38">
        <v>44970</v>
      </c>
      <c r="D913" s="3">
        <v>400</v>
      </c>
      <c r="E913" s="32">
        <v>45314</v>
      </c>
      <c r="F913" s="2">
        <v>43968</v>
      </c>
      <c r="G913" s="5">
        <v>109.92</v>
      </c>
      <c r="H913" s="35">
        <f t="shared" si="28"/>
        <v>352</v>
      </c>
      <c r="I913" s="43">
        <f t="shared" si="29"/>
        <v>15476736</v>
      </c>
    </row>
    <row r="914" spans="1:9" x14ac:dyDescent="0.2">
      <c r="A914" s="30">
        <v>45373</v>
      </c>
      <c r="B914" s="1" t="s">
        <v>247</v>
      </c>
      <c r="C914" s="38">
        <v>44982</v>
      </c>
      <c r="D914" s="3">
        <v>600</v>
      </c>
      <c r="E914" s="32">
        <v>45373</v>
      </c>
      <c r="F914" s="2">
        <v>65952</v>
      </c>
      <c r="G914" s="5">
        <v>109.92</v>
      </c>
      <c r="H914" s="35">
        <f t="shared" si="28"/>
        <v>391</v>
      </c>
      <c r="I914" s="43">
        <f t="shared" si="29"/>
        <v>25787232</v>
      </c>
    </row>
    <row r="915" spans="1:9" x14ac:dyDescent="0.2">
      <c r="A915" s="30">
        <v>45334</v>
      </c>
      <c r="B915" s="1" t="s">
        <v>247</v>
      </c>
      <c r="C915" s="38">
        <v>44982</v>
      </c>
      <c r="D915" s="3">
        <v>600</v>
      </c>
      <c r="E915" s="32">
        <v>45329</v>
      </c>
      <c r="F915" s="2">
        <v>65952</v>
      </c>
      <c r="G915" s="5">
        <v>109.92</v>
      </c>
      <c r="H915" s="35">
        <f t="shared" si="28"/>
        <v>352</v>
      </c>
      <c r="I915" s="43">
        <f t="shared" si="29"/>
        <v>23215104</v>
      </c>
    </row>
    <row r="916" spans="1:9" x14ac:dyDescent="0.2">
      <c r="A916" s="30">
        <v>45394</v>
      </c>
      <c r="B916" s="1" t="s">
        <v>247</v>
      </c>
      <c r="C916" s="38">
        <v>44999</v>
      </c>
      <c r="D916" s="3">
        <v>600</v>
      </c>
      <c r="E916" s="32">
        <v>45394</v>
      </c>
      <c r="F916" s="2">
        <v>65952</v>
      </c>
      <c r="G916" s="5">
        <v>109.92</v>
      </c>
      <c r="H916" s="35">
        <f t="shared" si="28"/>
        <v>395</v>
      </c>
      <c r="I916" s="43">
        <f t="shared" si="29"/>
        <v>26051040</v>
      </c>
    </row>
    <row r="917" spans="1:9" x14ac:dyDescent="0.2">
      <c r="A917" s="30">
        <v>45476</v>
      </c>
      <c r="B917" s="1" t="s">
        <v>247</v>
      </c>
      <c r="C917" s="38">
        <v>45124</v>
      </c>
      <c r="D917" s="3">
        <v>600</v>
      </c>
      <c r="E917" s="32">
        <v>45463</v>
      </c>
      <c r="F917" s="2">
        <v>65952</v>
      </c>
      <c r="G917" s="5">
        <v>109.92</v>
      </c>
      <c r="H917" s="35">
        <f t="shared" si="28"/>
        <v>352</v>
      </c>
      <c r="I917" s="43">
        <f t="shared" si="29"/>
        <v>23215104</v>
      </c>
    </row>
    <row r="918" spans="1:9" x14ac:dyDescent="0.2">
      <c r="A918" s="30">
        <v>45491</v>
      </c>
      <c r="B918" s="1" t="s">
        <v>247</v>
      </c>
      <c r="C918" s="38">
        <v>45139</v>
      </c>
      <c r="D918" s="3">
        <v>800</v>
      </c>
      <c r="E918" s="32">
        <v>45491</v>
      </c>
      <c r="F918" s="2">
        <v>87936</v>
      </c>
      <c r="G918" s="5">
        <v>109.92</v>
      </c>
      <c r="H918" s="35">
        <f t="shared" si="28"/>
        <v>352</v>
      </c>
      <c r="I918" s="43">
        <f t="shared" si="29"/>
        <v>30953472</v>
      </c>
    </row>
    <row r="919" spans="1:9" x14ac:dyDescent="0.2">
      <c r="A919" s="30">
        <v>45505</v>
      </c>
      <c r="B919" s="1" t="s">
        <v>247</v>
      </c>
      <c r="C919" s="38">
        <v>45145</v>
      </c>
      <c r="D919" s="3">
        <v>400</v>
      </c>
      <c r="E919" s="32">
        <v>45505</v>
      </c>
      <c r="F919" s="2">
        <v>43968</v>
      </c>
      <c r="G919" s="5">
        <v>109.92</v>
      </c>
      <c r="H919" s="35">
        <f t="shared" si="28"/>
        <v>360</v>
      </c>
      <c r="I919" s="43">
        <f t="shared" si="29"/>
        <v>15828480</v>
      </c>
    </row>
    <row r="920" spans="1:9" x14ac:dyDescent="0.2">
      <c r="A920" s="30">
        <v>45519</v>
      </c>
      <c r="B920" s="1" t="s">
        <v>247</v>
      </c>
      <c r="C920" s="38">
        <v>45158</v>
      </c>
      <c r="D920" s="3">
        <v>200</v>
      </c>
      <c r="E920" s="32">
        <v>45519</v>
      </c>
      <c r="F920" s="2">
        <v>21984</v>
      </c>
      <c r="G920" s="5">
        <v>109.92</v>
      </c>
      <c r="H920" s="35">
        <f t="shared" si="28"/>
        <v>361</v>
      </c>
      <c r="I920" s="43">
        <f t="shared" si="29"/>
        <v>7936224</v>
      </c>
    </row>
    <row r="921" spans="1:9" x14ac:dyDescent="0.2">
      <c r="A921" s="30">
        <v>45191</v>
      </c>
      <c r="B921" s="1" t="s">
        <v>248</v>
      </c>
      <c r="C921" s="38">
        <v>44956</v>
      </c>
      <c r="D921" s="3">
        <v>120</v>
      </c>
      <c r="E921" s="32">
        <v>44834</v>
      </c>
      <c r="F921" s="2">
        <v>51414</v>
      </c>
      <c r="G921" s="5">
        <v>428.45</v>
      </c>
      <c r="H921" s="35">
        <f t="shared" si="28"/>
        <v>235</v>
      </c>
      <c r="I921" s="43">
        <f t="shared" si="29"/>
        <v>12082290</v>
      </c>
    </row>
    <row r="922" spans="1:9" x14ac:dyDescent="0.2">
      <c r="A922" s="30">
        <v>45191</v>
      </c>
      <c r="B922" s="1" t="s">
        <v>248</v>
      </c>
      <c r="C922" s="38">
        <v>44956</v>
      </c>
      <c r="D922" s="3">
        <v>120</v>
      </c>
      <c r="E922" s="32">
        <v>44834</v>
      </c>
      <c r="F922" s="2">
        <v>51414</v>
      </c>
      <c r="G922" s="5">
        <v>428.45</v>
      </c>
      <c r="H922" s="35">
        <f t="shared" si="28"/>
        <v>235</v>
      </c>
      <c r="I922" s="43">
        <f t="shared" si="29"/>
        <v>12082290</v>
      </c>
    </row>
    <row r="923" spans="1:9" x14ac:dyDescent="0.2">
      <c r="A923" s="30">
        <v>45191</v>
      </c>
      <c r="B923" s="1" t="s">
        <v>248</v>
      </c>
      <c r="C923" s="38">
        <v>44956</v>
      </c>
      <c r="D923" s="3">
        <v>810</v>
      </c>
      <c r="E923" s="32">
        <v>44837</v>
      </c>
      <c r="F923" s="2">
        <v>347044.5</v>
      </c>
      <c r="G923" s="5">
        <v>428.45</v>
      </c>
      <c r="H923" s="35">
        <f t="shared" si="28"/>
        <v>235</v>
      </c>
      <c r="I923" s="43">
        <f t="shared" si="29"/>
        <v>81555457.5</v>
      </c>
    </row>
    <row r="924" spans="1:9" x14ac:dyDescent="0.2">
      <c r="A924" s="30">
        <v>45191</v>
      </c>
      <c r="B924" s="1" t="s">
        <v>248</v>
      </c>
      <c r="C924" s="38">
        <v>44956</v>
      </c>
      <c r="D924" s="3">
        <v>450</v>
      </c>
      <c r="E924" s="32">
        <v>44851</v>
      </c>
      <c r="F924" s="2">
        <v>192802.5</v>
      </c>
      <c r="G924" s="5">
        <v>428.45</v>
      </c>
      <c r="H924" s="35">
        <f t="shared" si="28"/>
        <v>235</v>
      </c>
      <c r="I924" s="43">
        <f t="shared" si="29"/>
        <v>45308587.5</v>
      </c>
    </row>
    <row r="925" spans="1:9" x14ac:dyDescent="0.2">
      <c r="A925" s="30">
        <v>45191</v>
      </c>
      <c r="B925" s="1" t="s">
        <v>248</v>
      </c>
      <c r="C925" s="38">
        <v>44956</v>
      </c>
      <c r="D925" s="3">
        <v>120</v>
      </c>
      <c r="E925" s="32">
        <v>44851</v>
      </c>
      <c r="F925" s="2">
        <v>51414</v>
      </c>
      <c r="G925" s="5">
        <v>428.45</v>
      </c>
      <c r="H925" s="35">
        <f t="shared" si="28"/>
        <v>235</v>
      </c>
      <c r="I925" s="43">
        <f t="shared" si="29"/>
        <v>12082290</v>
      </c>
    </row>
    <row r="926" spans="1:9" x14ac:dyDescent="0.2">
      <c r="A926" s="30">
        <v>45191</v>
      </c>
      <c r="B926" s="1" t="s">
        <v>248</v>
      </c>
      <c r="C926" s="38">
        <v>44956</v>
      </c>
      <c r="D926" s="3">
        <v>2880</v>
      </c>
      <c r="E926" s="32">
        <v>44847</v>
      </c>
      <c r="F926" s="2">
        <v>1233936</v>
      </c>
      <c r="G926" s="5">
        <v>428.45</v>
      </c>
      <c r="H926" s="35">
        <f t="shared" si="28"/>
        <v>235</v>
      </c>
      <c r="I926" s="43">
        <f t="shared" si="29"/>
        <v>289974960</v>
      </c>
    </row>
    <row r="927" spans="1:9" x14ac:dyDescent="0.2">
      <c r="A927" s="30">
        <v>45184</v>
      </c>
      <c r="B927" s="1" t="s">
        <v>248</v>
      </c>
      <c r="C927" s="38">
        <v>45175</v>
      </c>
      <c r="D927" s="3">
        <v>900</v>
      </c>
      <c r="E927" s="32">
        <v>45142</v>
      </c>
      <c r="F927" s="2">
        <v>385605</v>
      </c>
      <c r="G927" s="5">
        <v>428.45</v>
      </c>
      <c r="H927" s="35">
        <f t="shared" si="28"/>
        <v>9</v>
      </c>
      <c r="I927" s="43">
        <f t="shared" si="29"/>
        <v>3470445</v>
      </c>
    </row>
    <row r="928" spans="1:9" x14ac:dyDescent="0.2">
      <c r="A928" s="30">
        <v>45224</v>
      </c>
      <c r="B928" s="1" t="s">
        <v>248</v>
      </c>
      <c r="C928" s="38">
        <v>45180</v>
      </c>
      <c r="D928" s="3">
        <v>330</v>
      </c>
      <c r="E928" s="32">
        <v>45194</v>
      </c>
      <c r="F928" s="2">
        <v>141388.5</v>
      </c>
      <c r="G928" s="5">
        <v>428.45</v>
      </c>
      <c r="H928" s="35">
        <f t="shared" si="28"/>
        <v>44</v>
      </c>
      <c r="I928" s="43">
        <f t="shared" si="29"/>
        <v>6221094</v>
      </c>
    </row>
    <row r="929" spans="1:9" x14ac:dyDescent="0.2">
      <c r="A929" s="30">
        <v>45224</v>
      </c>
      <c r="B929" s="1" t="s">
        <v>248</v>
      </c>
      <c r="C929" s="38">
        <v>45180</v>
      </c>
      <c r="D929" s="3">
        <v>3960</v>
      </c>
      <c r="E929" s="32">
        <v>45194</v>
      </c>
      <c r="F929" s="2">
        <v>1696662</v>
      </c>
      <c r="G929" s="5">
        <v>428.45</v>
      </c>
      <c r="H929" s="35">
        <f t="shared" si="28"/>
        <v>44</v>
      </c>
      <c r="I929" s="43">
        <f t="shared" si="29"/>
        <v>74653128</v>
      </c>
    </row>
    <row r="930" spans="1:9" x14ac:dyDescent="0.2">
      <c r="A930" s="30">
        <v>45329</v>
      </c>
      <c r="B930" s="1" t="s">
        <v>248</v>
      </c>
      <c r="C930" s="38">
        <v>44967</v>
      </c>
      <c r="D930" s="3">
        <v>1800</v>
      </c>
      <c r="E930" s="32">
        <v>45321</v>
      </c>
      <c r="F930" s="2">
        <v>771210</v>
      </c>
      <c r="G930" s="5">
        <v>428.45</v>
      </c>
      <c r="H930" s="35">
        <f t="shared" si="28"/>
        <v>362</v>
      </c>
      <c r="I930" s="43">
        <f t="shared" si="29"/>
        <v>279178020</v>
      </c>
    </row>
    <row r="931" spans="1:9" x14ac:dyDescent="0.2">
      <c r="A931" s="30">
        <v>45324</v>
      </c>
      <c r="B931" s="1" t="s">
        <v>248</v>
      </c>
      <c r="C931" s="38">
        <v>44967</v>
      </c>
      <c r="D931" s="3">
        <v>1560</v>
      </c>
      <c r="E931" s="32">
        <v>45299</v>
      </c>
      <c r="F931" s="2">
        <v>668382</v>
      </c>
      <c r="G931" s="5">
        <v>428.45</v>
      </c>
      <c r="H931" s="35">
        <f t="shared" si="28"/>
        <v>357</v>
      </c>
      <c r="I931" s="43">
        <f t="shared" si="29"/>
        <v>238612374</v>
      </c>
    </row>
    <row r="932" spans="1:9" x14ac:dyDescent="0.2">
      <c r="A932" s="30">
        <v>45366</v>
      </c>
      <c r="B932" s="1" t="s">
        <v>248</v>
      </c>
      <c r="C932" s="38">
        <v>44994</v>
      </c>
      <c r="D932" s="3">
        <v>2220</v>
      </c>
      <c r="E932" s="32">
        <v>45359</v>
      </c>
      <c r="F932" s="2">
        <v>951159</v>
      </c>
      <c r="G932" s="5">
        <v>428.45</v>
      </c>
      <c r="H932" s="35">
        <f t="shared" si="28"/>
        <v>372</v>
      </c>
      <c r="I932" s="43">
        <f t="shared" si="29"/>
        <v>353831148</v>
      </c>
    </row>
    <row r="933" spans="1:9" x14ac:dyDescent="0.2">
      <c r="A933" s="30">
        <v>45863</v>
      </c>
      <c r="B933" s="1" t="s">
        <v>248</v>
      </c>
      <c r="C933" s="38">
        <v>45092</v>
      </c>
      <c r="D933" s="3">
        <v>30</v>
      </c>
      <c r="E933" s="32">
        <v>45856</v>
      </c>
      <c r="F933" s="2">
        <v>12853.5</v>
      </c>
      <c r="G933" s="5">
        <v>428.45</v>
      </c>
      <c r="H933" s="35">
        <f t="shared" si="28"/>
        <v>771</v>
      </c>
      <c r="I933" s="43">
        <f t="shared" si="29"/>
        <v>9910048.5</v>
      </c>
    </row>
    <row r="934" spans="1:9" x14ac:dyDescent="0.2">
      <c r="A934" s="30">
        <v>45184</v>
      </c>
      <c r="B934" s="1" t="s">
        <v>314</v>
      </c>
      <c r="C934" s="38">
        <v>45175</v>
      </c>
      <c r="D934" s="3">
        <v>576</v>
      </c>
      <c r="E934" s="32">
        <v>45124</v>
      </c>
      <c r="F934" s="2">
        <v>230204.16</v>
      </c>
      <c r="G934" s="5">
        <v>399.66</v>
      </c>
      <c r="H934" s="35">
        <f t="shared" si="28"/>
        <v>9</v>
      </c>
      <c r="I934" s="43">
        <f t="shared" si="29"/>
        <v>2071837.44</v>
      </c>
    </row>
    <row r="935" spans="1:9" x14ac:dyDescent="0.2">
      <c r="A935" s="30">
        <v>45427</v>
      </c>
      <c r="B935" s="1" t="s">
        <v>314</v>
      </c>
      <c r="C935" s="38">
        <v>45048</v>
      </c>
      <c r="D935" s="3">
        <v>576</v>
      </c>
      <c r="E935" s="32">
        <v>45420</v>
      </c>
      <c r="F935" s="2">
        <v>230204.16</v>
      </c>
      <c r="G935" s="5">
        <v>399.66</v>
      </c>
      <c r="H935" s="35">
        <f t="shared" si="28"/>
        <v>379</v>
      </c>
      <c r="I935" s="43">
        <f t="shared" si="29"/>
        <v>87247376.640000001</v>
      </c>
    </row>
    <row r="936" spans="1:9" x14ac:dyDescent="0.2">
      <c r="A936" s="30">
        <v>45471</v>
      </c>
      <c r="B936" s="1" t="s">
        <v>314</v>
      </c>
      <c r="C936" s="38">
        <v>45105</v>
      </c>
      <c r="D936" s="3">
        <v>576</v>
      </c>
      <c r="E936" s="32">
        <v>45464</v>
      </c>
      <c r="F936" s="2">
        <v>230204.16</v>
      </c>
      <c r="G936" s="5">
        <v>399.66</v>
      </c>
      <c r="H936" s="35">
        <f t="shared" si="28"/>
        <v>366</v>
      </c>
      <c r="I936" s="43">
        <f t="shared" si="29"/>
        <v>84254722.560000002</v>
      </c>
    </row>
    <row r="937" spans="1:9" x14ac:dyDescent="0.2">
      <c r="A937" s="30">
        <v>45532</v>
      </c>
      <c r="B937" s="1" t="s">
        <v>314</v>
      </c>
      <c r="C937" s="38">
        <v>45175</v>
      </c>
      <c r="D937" s="3">
        <v>1152</v>
      </c>
      <c r="E937" s="32">
        <v>45531</v>
      </c>
      <c r="F937" s="2">
        <v>460408.32000000001</v>
      </c>
      <c r="G937" s="5">
        <v>399.66</v>
      </c>
      <c r="H937" s="35">
        <f t="shared" si="28"/>
        <v>357</v>
      </c>
      <c r="I937" s="43">
        <f t="shared" si="29"/>
        <v>164365770.24000001</v>
      </c>
    </row>
    <row r="938" spans="1:9" x14ac:dyDescent="0.2">
      <c r="A938" s="30">
        <v>45252</v>
      </c>
      <c r="B938" s="1" t="s">
        <v>298</v>
      </c>
      <c r="C938" s="38">
        <v>44771</v>
      </c>
      <c r="D938" s="3">
        <v>1008</v>
      </c>
      <c r="E938" s="32">
        <v>45244</v>
      </c>
      <c r="F938" s="2">
        <v>71648.639999999999</v>
      </c>
      <c r="G938" s="5">
        <v>71.08</v>
      </c>
      <c r="H938" s="35">
        <f t="shared" si="28"/>
        <v>481</v>
      </c>
      <c r="I938" s="43">
        <f t="shared" si="29"/>
        <v>34462995.839999996</v>
      </c>
    </row>
    <row r="939" spans="1:9" x14ac:dyDescent="0.2">
      <c r="A939" s="30">
        <v>45258</v>
      </c>
      <c r="B939" s="1" t="s">
        <v>321</v>
      </c>
      <c r="C939" s="38">
        <v>44771</v>
      </c>
      <c r="D939" s="3">
        <v>308</v>
      </c>
      <c r="E939" s="32">
        <v>45246</v>
      </c>
      <c r="F939" s="2">
        <v>26281.64</v>
      </c>
      <c r="G939" s="5">
        <v>85.33</v>
      </c>
      <c r="H939" s="35">
        <f t="shared" si="28"/>
        <v>487</v>
      </c>
      <c r="I939" s="43">
        <f t="shared" si="29"/>
        <v>12799158.68</v>
      </c>
    </row>
    <row r="940" spans="1:9" x14ac:dyDescent="0.2">
      <c r="A940" s="30">
        <v>45261</v>
      </c>
      <c r="B940" s="1" t="s">
        <v>321</v>
      </c>
      <c r="C940" s="38">
        <v>44904</v>
      </c>
      <c r="D940" s="3">
        <v>308</v>
      </c>
      <c r="E940" s="32">
        <v>45246</v>
      </c>
      <c r="F940" s="2">
        <v>26281.64</v>
      </c>
      <c r="G940" s="5">
        <v>85.33</v>
      </c>
      <c r="H940" s="35">
        <f t="shared" si="28"/>
        <v>357</v>
      </c>
      <c r="I940" s="43">
        <f t="shared" si="29"/>
        <v>9382545.4800000004</v>
      </c>
    </row>
    <row r="941" spans="1:9" x14ac:dyDescent="0.2">
      <c r="A941" s="30">
        <v>45191</v>
      </c>
      <c r="B941" s="1" t="s">
        <v>322</v>
      </c>
      <c r="C941" s="38">
        <v>44771</v>
      </c>
      <c r="D941" s="3">
        <v>840</v>
      </c>
      <c r="E941" s="32">
        <v>44729</v>
      </c>
      <c r="F941" s="2">
        <v>12902.4</v>
      </c>
      <c r="G941" s="5">
        <v>15.36</v>
      </c>
      <c r="H941" s="35">
        <f t="shared" si="28"/>
        <v>420</v>
      </c>
      <c r="I941" s="43">
        <f t="shared" si="29"/>
        <v>5419008</v>
      </c>
    </row>
    <row r="942" spans="1:9" x14ac:dyDescent="0.2">
      <c r="A942" s="30">
        <v>45314</v>
      </c>
      <c r="B942" s="1" t="s">
        <v>322</v>
      </c>
      <c r="C942" s="38">
        <v>44900</v>
      </c>
      <c r="D942" s="3">
        <v>840</v>
      </c>
      <c r="E942" s="32">
        <v>45314</v>
      </c>
      <c r="F942" s="2">
        <v>12902.4</v>
      </c>
      <c r="G942" s="5">
        <v>15.36</v>
      </c>
      <c r="H942" s="35">
        <f t="shared" si="28"/>
        <v>414</v>
      </c>
      <c r="I942" s="43">
        <f t="shared" si="29"/>
        <v>5341593.5999999996</v>
      </c>
    </row>
    <row r="943" spans="1:9" x14ac:dyDescent="0.2">
      <c r="A943" s="30">
        <v>45363</v>
      </c>
      <c r="B943" s="1" t="s">
        <v>322</v>
      </c>
      <c r="C943" s="38">
        <v>44900</v>
      </c>
      <c r="D943" s="3">
        <v>840</v>
      </c>
      <c r="E943" s="32">
        <v>45363</v>
      </c>
      <c r="F943" s="2">
        <v>12902.4</v>
      </c>
      <c r="G943" s="5">
        <v>15.36</v>
      </c>
      <c r="H943" s="35">
        <f t="shared" si="28"/>
        <v>463</v>
      </c>
      <c r="I943" s="43">
        <f t="shared" si="29"/>
        <v>5973811.2000000002</v>
      </c>
    </row>
    <row r="944" spans="1:9" x14ac:dyDescent="0.2">
      <c r="A944" s="30">
        <v>45406</v>
      </c>
      <c r="B944" s="1" t="s">
        <v>322</v>
      </c>
      <c r="C944" s="38">
        <v>44907</v>
      </c>
      <c r="D944" s="3">
        <v>840</v>
      </c>
      <c r="E944" s="32">
        <v>45399</v>
      </c>
      <c r="F944" s="2">
        <v>12902.4</v>
      </c>
      <c r="G944" s="5">
        <v>15.36</v>
      </c>
      <c r="H944" s="35">
        <f t="shared" si="28"/>
        <v>499</v>
      </c>
      <c r="I944" s="43">
        <f t="shared" si="29"/>
        <v>6438297.5999999996</v>
      </c>
    </row>
    <row r="945" spans="1:9" x14ac:dyDescent="0.2">
      <c r="A945" s="30">
        <v>45428</v>
      </c>
      <c r="B945" s="1" t="s">
        <v>322</v>
      </c>
      <c r="C945" s="38">
        <v>44943</v>
      </c>
      <c r="D945" s="3">
        <v>420</v>
      </c>
      <c r="E945" s="32">
        <v>45428</v>
      </c>
      <c r="F945" s="2">
        <v>6451.2</v>
      </c>
      <c r="G945" s="5">
        <v>15.36</v>
      </c>
      <c r="H945" s="35">
        <f t="shared" si="28"/>
        <v>485</v>
      </c>
      <c r="I945" s="43">
        <f t="shared" si="29"/>
        <v>3128832</v>
      </c>
    </row>
    <row r="946" spans="1:9" x14ac:dyDescent="0.2">
      <c r="A946" s="30">
        <v>45467</v>
      </c>
      <c r="B946" s="1" t="s">
        <v>322</v>
      </c>
      <c r="C946" s="38">
        <v>44998</v>
      </c>
      <c r="D946" s="3">
        <v>840</v>
      </c>
      <c r="E946" s="32">
        <v>45467</v>
      </c>
      <c r="F946" s="2">
        <v>12902.4</v>
      </c>
      <c r="G946" s="5">
        <v>15.36</v>
      </c>
      <c r="H946" s="35">
        <f t="shared" si="28"/>
        <v>469</v>
      </c>
      <c r="I946" s="43">
        <f t="shared" si="29"/>
        <v>6051225.5999999996</v>
      </c>
    </row>
    <row r="947" spans="1:9" x14ac:dyDescent="0.2">
      <c r="A947" s="30">
        <v>45205</v>
      </c>
      <c r="B947" s="1" t="s">
        <v>250</v>
      </c>
      <c r="C947" s="38">
        <v>45141</v>
      </c>
      <c r="D947" s="3">
        <v>1820</v>
      </c>
      <c r="E947" s="32">
        <v>44774</v>
      </c>
      <c r="F947" s="2">
        <v>4459</v>
      </c>
      <c r="G947" s="5">
        <v>2.4500000000000002</v>
      </c>
      <c r="H947" s="35">
        <f t="shared" si="28"/>
        <v>64</v>
      </c>
      <c r="I947" s="43">
        <f t="shared" si="29"/>
        <v>285376</v>
      </c>
    </row>
    <row r="948" spans="1:9" x14ac:dyDescent="0.2">
      <c r="A948" s="30">
        <v>45205</v>
      </c>
      <c r="B948" s="1" t="s">
        <v>250</v>
      </c>
      <c r="C948" s="38">
        <v>45141</v>
      </c>
      <c r="D948" s="3">
        <v>1820</v>
      </c>
      <c r="E948" s="32">
        <v>44781</v>
      </c>
      <c r="F948" s="2">
        <v>4459</v>
      </c>
      <c r="G948" s="5">
        <v>2.4500000000000002</v>
      </c>
      <c r="H948" s="35">
        <f t="shared" si="28"/>
        <v>64</v>
      </c>
      <c r="I948" s="43">
        <f t="shared" si="29"/>
        <v>285376</v>
      </c>
    </row>
    <row r="949" spans="1:9" x14ac:dyDescent="0.2">
      <c r="A949" s="30">
        <v>45205</v>
      </c>
      <c r="B949" s="1" t="s">
        <v>250</v>
      </c>
      <c r="C949" s="38">
        <v>45141</v>
      </c>
      <c r="D949" s="3">
        <v>1820</v>
      </c>
      <c r="E949" s="32">
        <v>44788</v>
      </c>
      <c r="F949" s="2">
        <v>4459</v>
      </c>
      <c r="G949" s="5">
        <v>2.4500000000000002</v>
      </c>
      <c r="H949" s="35">
        <f t="shared" si="28"/>
        <v>64</v>
      </c>
      <c r="I949" s="43">
        <f t="shared" si="29"/>
        <v>285376</v>
      </c>
    </row>
    <row r="950" spans="1:9" x14ac:dyDescent="0.2">
      <c r="A950" s="30">
        <v>45205</v>
      </c>
      <c r="B950" s="1" t="s">
        <v>250</v>
      </c>
      <c r="C950" s="38">
        <v>45141</v>
      </c>
      <c r="D950" s="3">
        <v>1820</v>
      </c>
      <c r="E950" s="32">
        <v>44802</v>
      </c>
      <c r="F950" s="2">
        <v>4459</v>
      </c>
      <c r="G950" s="5">
        <v>2.4500000000000002</v>
      </c>
      <c r="H950" s="35">
        <f t="shared" si="28"/>
        <v>64</v>
      </c>
      <c r="I950" s="43">
        <f t="shared" si="29"/>
        <v>285376</v>
      </c>
    </row>
    <row r="951" spans="1:9" x14ac:dyDescent="0.2">
      <c r="A951" s="30">
        <v>45205</v>
      </c>
      <c r="B951" s="1" t="s">
        <v>250</v>
      </c>
      <c r="C951" s="38">
        <v>45141</v>
      </c>
      <c r="D951" s="3">
        <v>1820</v>
      </c>
      <c r="E951" s="32">
        <v>44799</v>
      </c>
      <c r="F951" s="2">
        <v>4459</v>
      </c>
      <c r="G951" s="5">
        <v>2.4500000000000002</v>
      </c>
      <c r="H951" s="35">
        <f t="shared" si="28"/>
        <v>64</v>
      </c>
      <c r="I951" s="43">
        <f t="shared" si="29"/>
        <v>285376</v>
      </c>
    </row>
    <row r="952" spans="1:9" x14ac:dyDescent="0.2">
      <c r="A952" s="30">
        <v>45202</v>
      </c>
      <c r="B952" s="1" t="s">
        <v>250</v>
      </c>
      <c r="C952" s="38">
        <v>44811</v>
      </c>
      <c r="D952" s="3">
        <v>7280</v>
      </c>
      <c r="E952" s="32">
        <v>45202</v>
      </c>
      <c r="F952" s="2">
        <v>17836</v>
      </c>
      <c r="G952" s="5">
        <v>2.4500000000000002</v>
      </c>
      <c r="H952" s="35">
        <f t="shared" si="28"/>
        <v>391</v>
      </c>
      <c r="I952" s="43">
        <f t="shared" si="29"/>
        <v>6973876</v>
      </c>
    </row>
    <row r="953" spans="1:9" x14ac:dyDescent="0.2">
      <c r="A953" s="30">
        <v>45524</v>
      </c>
      <c r="B953" s="1" t="s">
        <v>250</v>
      </c>
      <c r="C953" s="38">
        <v>45158</v>
      </c>
      <c r="D953" s="3">
        <v>1820</v>
      </c>
      <c r="E953" s="32">
        <v>45524</v>
      </c>
      <c r="F953" s="2">
        <v>4459</v>
      </c>
      <c r="G953" s="5">
        <v>2.4500000000000002</v>
      </c>
      <c r="H953" s="35">
        <f t="shared" si="28"/>
        <v>366</v>
      </c>
      <c r="I953" s="43">
        <f t="shared" si="29"/>
        <v>1631994</v>
      </c>
    </row>
    <row r="954" spans="1:9" x14ac:dyDescent="0.2">
      <c r="A954" s="30">
        <v>45183</v>
      </c>
      <c r="B954" s="1" t="s">
        <v>280</v>
      </c>
      <c r="C954" s="38">
        <v>44788</v>
      </c>
      <c r="D954" s="3">
        <v>84</v>
      </c>
      <c r="E954" s="32">
        <v>45183</v>
      </c>
      <c r="F954" s="2">
        <v>11361</v>
      </c>
      <c r="G954" s="5">
        <v>135.25</v>
      </c>
      <c r="H954" s="35">
        <f t="shared" si="28"/>
        <v>395</v>
      </c>
      <c r="I954" s="43">
        <f t="shared" si="29"/>
        <v>4487595</v>
      </c>
    </row>
    <row r="955" spans="1:9" x14ac:dyDescent="0.2">
      <c r="A955" s="30">
        <v>45211</v>
      </c>
      <c r="B955" s="1" t="s">
        <v>280</v>
      </c>
      <c r="C955" s="38">
        <v>44811</v>
      </c>
      <c r="D955" s="3">
        <v>84</v>
      </c>
      <c r="E955" s="32">
        <v>45211</v>
      </c>
      <c r="F955" s="2">
        <v>11361</v>
      </c>
      <c r="G955" s="5">
        <v>135.25</v>
      </c>
      <c r="H955" s="35">
        <f t="shared" si="28"/>
        <v>400</v>
      </c>
      <c r="I955" s="43">
        <f t="shared" si="29"/>
        <v>4544400</v>
      </c>
    </row>
    <row r="956" spans="1:9" x14ac:dyDescent="0.2">
      <c r="A956" s="30">
        <v>45212</v>
      </c>
      <c r="B956" s="1" t="s">
        <v>280</v>
      </c>
      <c r="C956" s="38">
        <v>45159</v>
      </c>
      <c r="D956" s="3">
        <v>84</v>
      </c>
      <c r="E956" s="32">
        <v>45127</v>
      </c>
      <c r="F956" s="2">
        <v>11361</v>
      </c>
      <c r="G956" s="5">
        <v>135.25</v>
      </c>
      <c r="H956" s="35">
        <f t="shared" si="28"/>
        <v>53</v>
      </c>
      <c r="I956" s="43">
        <f t="shared" si="29"/>
        <v>602133</v>
      </c>
    </row>
    <row r="957" spans="1:9" x14ac:dyDescent="0.2">
      <c r="A957" s="30">
        <v>45239</v>
      </c>
      <c r="B957" s="1" t="s">
        <v>280</v>
      </c>
      <c r="C957" s="38">
        <v>44978</v>
      </c>
      <c r="D957" s="3">
        <v>84</v>
      </c>
      <c r="E957" s="32">
        <v>45232</v>
      </c>
      <c r="F957" s="2">
        <v>11361</v>
      </c>
      <c r="G957" s="5">
        <v>135.25</v>
      </c>
      <c r="H957" s="35">
        <f t="shared" si="28"/>
        <v>261</v>
      </c>
      <c r="I957" s="43">
        <f t="shared" si="29"/>
        <v>2965221</v>
      </c>
    </row>
    <row r="958" spans="1:9" x14ac:dyDescent="0.2">
      <c r="A958" s="30">
        <v>45212</v>
      </c>
      <c r="B958" s="1" t="s">
        <v>280</v>
      </c>
      <c r="C958" s="38">
        <v>45159</v>
      </c>
      <c r="D958" s="3">
        <v>84</v>
      </c>
      <c r="E958" s="32">
        <v>45099</v>
      </c>
      <c r="F958" s="2">
        <v>11361</v>
      </c>
      <c r="G958" s="5">
        <v>135.25</v>
      </c>
      <c r="H958" s="35">
        <f t="shared" si="28"/>
        <v>53</v>
      </c>
      <c r="I958" s="43">
        <f t="shared" si="29"/>
        <v>602133</v>
      </c>
    </row>
    <row r="959" spans="1:9" x14ac:dyDescent="0.2">
      <c r="A959" s="30">
        <v>45233</v>
      </c>
      <c r="B959" s="1" t="s">
        <v>280</v>
      </c>
      <c r="C959" s="38">
        <v>44972</v>
      </c>
      <c r="D959" s="3">
        <v>168</v>
      </c>
      <c r="E959" s="32">
        <v>45113</v>
      </c>
      <c r="F959" s="2">
        <v>22722</v>
      </c>
      <c r="G959" s="5">
        <v>135.25</v>
      </c>
      <c r="H959" s="35">
        <f t="shared" si="28"/>
        <v>261</v>
      </c>
      <c r="I959" s="43">
        <f t="shared" si="29"/>
        <v>5930442</v>
      </c>
    </row>
    <row r="960" spans="1:9" x14ac:dyDescent="0.2">
      <c r="A960" s="30">
        <v>45376</v>
      </c>
      <c r="B960" s="1" t="s">
        <v>280</v>
      </c>
      <c r="C960" s="38">
        <v>44982</v>
      </c>
      <c r="D960" s="3">
        <v>84</v>
      </c>
      <c r="E960" s="32">
        <v>45376</v>
      </c>
      <c r="F960" s="2">
        <v>11361</v>
      </c>
      <c r="G960" s="5">
        <v>135.25</v>
      </c>
      <c r="H960" s="35">
        <f t="shared" si="28"/>
        <v>394</v>
      </c>
      <c r="I960" s="43">
        <f t="shared" si="29"/>
        <v>4476234</v>
      </c>
    </row>
    <row r="961" spans="1:9" x14ac:dyDescent="0.2">
      <c r="A961" s="30">
        <v>45362</v>
      </c>
      <c r="B961" s="1" t="s">
        <v>280</v>
      </c>
      <c r="C961" s="38">
        <v>45008</v>
      </c>
      <c r="D961" s="3">
        <v>1092</v>
      </c>
      <c r="E961" s="32">
        <v>45026</v>
      </c>
      <c r="F961" s="2">
        <v>147693</v>
      </c>
      <c r="G961" s="5">
        <v>135.25</v>
      </c>
      <c r="H961" s="35">
        <f t="shared" si="28"/>
        <v>354</v>
      </c>
      <c r="I961" s="43">
        <f t="shared" si="29"/>
        <v>52283322</v>
      </c>
    </row>
    <row r="962" spans="1:9" x14ac:dyDescent="0.2">
      <c r="A962" s="30">
        <v>45399</v>
      </c>
      <c r="B962" s="1" t="s">
        <v>280</v>
      </c>
      <c r="C962" s="38">
        <v>45013</v>
      </c>
      <c r="D962" s="3">
        <v>84</v>
      </c>
      <c r="E962" s="32">
        <v>45399</v>
      </c>
      <c r="F962" s="2">
        <v>11361</v>
      </c>
      <c r="G962" s="5">
        <v>135.25</v>
      </c>
      <c r="H962" s="35">
        <f t="shared" si="28"/>
        <v>386</v>
      </c>
      <c r="I962" s="43">
        <f t="shared" si="29"/>
        <v>4385346</v>
      </c>
    </row>
    <row r="963" spans="1:9" x14ac:dyDescent="0.2">
      <c r="A963" s="30">
        <v>45427</v>
      </c>
      <c r="B963" s="1" t="s">
        <v>280</v>
      </c>
      <c r="C963" s="38">
        <v>45027</v>
      </c>
      <c r="D963" s="3">
        <v>84</v>
      </c>
      <c r="E963" s="32">
        <v>45427</v>
      </c>
      <c r="F963" s="2">
        <v>11361</v>
      </c>
      <c r="G963" s="5">
        <v>135.25</v>
      </c>
      <c r="H963" s="35">
        <f t="shared" ref="H963:H1026" si="30">IFERROR(A963-C963,"")</f>
        <v>400</v>
      </c>
      <c r="I963" s="43">
        <f t="shared" ref="I963:I1026" si="31">H963*F963</f>
        <v>4544400</v>
      </c>
    </row>
    <row r="964" spans="1:9" x14ac:dyDescent="0.2">
      <c r="A964" s="30">
        <v>45233</v>
      </c>
      <c r="B964" s="1" t="s">
        <v>251</v>
      </c>
      <c r="C964" s="38">
        <v>45153</v>
      </c>
      <c r="D964" s="3">
        <v>588</v>
      </c>
      <c r="E964" s="32">
        <v>44965</v>
      </c>
      <c r="F964" s="2">
        <v>60722.76</v>
      </c>
      <c r="G964" s="5">
        <v>103.27</v>
      </c>
      <c r="H964" s="35">
        <f t="shared" si="30"/>
        <v>80</v>
      </c>
      <c r="I964" s="43">
        <f t="shared" si="31"/>
        <v>4857820.8</v>
      </c>
    </row>
    <row r="965" spans="1:9" x14ac:dyDescent="0.2">
      <c r="A965" s="30">
        <v>45224</v>
      </c>
      <c r="B965" s="1" t="s">
        <v>252</v>
      </c>
      <c r="C965" s="38">
        <v>44771</v>
      </c>
      <c r="D965" s="3">
        <v>1120</v>
      </c>
      <c r="E965" s="32">
        <v>45217</v>
      </c>
      <c r="F965" s="2">
        <v>60737.599999999999</v>
      </c>
      <c r="G965" s="5">
        <v>54.23</v>
      </c>
      <c r="H965" s="35">
        <f t="shared" si="30"/>
        <v>453</v>
      </c>
      <c r="I965" s="43">
        <f t="shared" si="31"/>
        <v>27514132.800000001</v>
      </c>
    </row>
    <row r="966" spans="1:9" x14ac:dyDescent="0.2">
      <c r="A966" s="30">
        <v>45420</v>
      </c>
      <c r="B966" s="1" t="s">
        <v>252</v>
      </c>
      <c r="C966" s="38">
        <v>44846</v>
      </c>
      <c r="D966" s="3">
        <v>1120</v>
      </c>
      <c r="E966" s="32">
        <v>45420</v>
      </c>
      <c r="F966" s="2">
        <v>60737.599999999999</v>
      </c>
      <c r="G966" s="5">
        <v>54.23</v>
      </c>
      <c r="H966" s="35">
        <f t="shared" si="30"/>
        <v>574</v>
      </c>
      <c r="I966" s="43">
        <f t="shared" si="31"/>
        <v>34863382.399999999</v>
      </c>
    </row>
    <row r="967" spans="1:9" x14ac:dyDescent="0.2">
      <c r="A967" s="30">
        <v>45338</v>
      </c>
      <c r="B967" s="1" t="s">
        <v>253</v>
      </c>
      <c r="C967" s="38">
        <v>45161</v>
      </c>
      <c r="D967" s="3">
        <v>3528</v>
      </c>
      <c r="E967" s="32">
        <v>45223</v>
      </c>
      <c r="F967" s="2">
        <v>325951.92</v>
      </c>
      <c r="G967" s="5">
        <v>92.39</v>
      </c>
      <c r="H967" s="35">
        <f t="shared" si="30"/>
        <v>177</v>
      </c>
      <c r="I967" s="43">
        <f t="shared" si="31"/>
        <v>57693489.839999996</v>
      </c>
    </row>
    <row r="968" spans="1:9" x14ac:dyDescent="0.2">
      <c r="A968" s="30">
        <v>45338</v>
      </c>
      <c r="B968" s="1" t="s">
        <v>253</v>
      </c>
      <c r="C968" s="38">
        <v>45161</v>
      </c>
      <c r="D968" s="3">
        <v>3528</v>
      </c>
      <c r="E968" s="32">
        <v>45223</v>
      </c>
      <c r="F968" s="2">
        <v>325951.92</v>
      </c>
      <c r="G968" s="5">
        <v>92.39</v>
      </c>
      <c r="H968" s="35">
        <f t="shared" si="30"/>
        <v>177</v>
      </c>
      <c r="I968" s="43">
        <f t="shared" si="31"/>
        <v>57693489.839999996</v>
      </c>
    </row>
    <row r="969" spans="1:9" x14ac:dyDescent="0.2">
      <c r="A969" s="30">
        <v>45191</v>
      </c>
      <c r="B969" s="1" t="s">
        <v>254</v>
      </c>
      <c r="C969" s="38">
        <v>44771</v>
      </c>
      <c r="D969" s="3">
        <v>210</v>
      </c>
      <c r="E969" s="32">
        <v>44665</v>
      </c>
      <c r="F969" s="2">
        <v>85113</v>
      </c>
      <c r="G969" s="5">
        <v>405.3</v>
      </c>
      <c r="H969" s="35">
        <f t="shared" si="30"/>
        <v>420</v>
      </c>
      <c r="I969" s="43">
        <f t="shared" si="31"/>
        <v>35747460</v>
      </c>
    </row>
    <row r="970" spans="1:9" x14ac:dyDescent="0.2">
      <c r="A970" s="30">
        <v>45191</v>
      </c>
      <c r="B970" s="1" t="s">
        <v>254</v>
      </c>
      <c r="C970" s="38">
        <v>44771</v>
      </c>
      <c r="D970" s="3">
        <v>700</v>
      </c>
      <c r="E970" s="32">
        <v>44665</v>
      </c>
      <c r="F970" s="2">
        <v>283710</v>
      </c>
      <c r="G970" s="5">
        <v>405.3</v>
      </c>
      <c r="H970" s="35">
        <f t="shared" si="30"/>
        <v>420</v>
      </c>
      <c r="I970" s="43">
        <f t="shared" si="31"/>
        <v>119158200</v>
      </c>
    </row>
    <row r="971" spans="1:9" x14ac:dyDescent="0.2">
      <c r="A971" s="30">
        <v>45191</v>
      </c>
      <c r="B971" s="1" t="s">
        <v>254</v>
      </c>
      <c r="C971" s="38">
        <v>44771</v>
      </c>
      <c r="D971" s="3">
        <v>980</v>
      </c>
      <c r="E971" s="32">
        <v>44694</v>
      </c>
      <c r="F971" s="2">
        <v>397194</v>
      </c>
      <c r="G971" s="5">
        <v>405.3</v>
      </c>
      <c r="H971" s="35">
        <f t="shared" si="30"/>
        <v>420</v>
      </c>
      <c r="I971" s="43">
        <f t="shared" si="31"/>
        <v>166821480</v>
      </c>
    </row>
    <row r="972" spans="1:9" x14ac:dyDescent="0.2">
      <c r="A972" s="30">
        <v>45191</v>
      </c>
      <c r="B972" s="1" t="s">
        <v>254</v>
      </c>
      <c r="C972" s="38">
        <v>44771</v>
      </c>
      <c r="D972" s="3">
        <v>420</v>
      </c>
      <c r="E972" s="32">
        <v>44708</v>
      </c>
      <c r="F972" s="2">
        <v>170226</v>
      </c>
      <c r="G972" s="5">
        <v>405.3</v>
      </c>
      <c r="H972" s="35">
        <f t="shared" si="30"/>
        <v>420</v>
      </c>
      <c r="I972" s="43">
        <f t="shared" si="31"/>
        <v>71494920</v>
      </c>
    </row>
    <row r="973" spans="1:9" x14ac:dyDescent="0.2">
      <c r="A973" s="30">
        <v>45191</v>
      </c>
      <c r="B973" s="1" t="s">
        <v>254</v>
      </c>
      <c r="C973" s="38">
        <v>44771</v>
      </c>
      <c r="D973" s="3">
        <v>350</v>
      </c>
      <c r="E973" s="32">
        <v>44708</v>
      </c>
      <c r="F973" s="2">
        <v>141855</v>
      </c>
      <c r="G973" s="5">
        <v>405.3</v>
      </c>
      <c r="H973" s="35">
        <f t="shared" si="30"/>
        <v>420</v>
      </c>
      <c r="I973" s="43">
        <f t="shared" si="31"/>
        <v>59579100</v>
      </c>
    </row>
    <row r="974" spans="1:9" x14ac:dyDescent="0.2">
      <c r="A974" s="30">
        <v>45191</v>
      </c>
      <c r="B974" s="1" t="s">
        <v>254</v>
      </c>
      <c r="C974" s="38">
        <v>44771</v>
      </c>
      <c r="D974" s="3">
        <v>490</v>
      </c>
      <c r="E974" s="32">
        <v>44708</v>
      </c>
      <c r="F974" s="2">
        <v>198597</v>
      </c>
      <c r="G974" s="5">
        <v>405.3</v>
      </c>
      <c r="H974" s="35">
        <f t="shared" si="30"/>
        <v>420</v>
      </c>
      <c r="I974" s="43">
        <f t="shared" si="31"/>
        <v>83410740</v>
      </c>
    </row>
    <row r="975" spans="1:9" x14ac:dyDescent="0.2">
      <c r="A975" s="30">
        <v>45188</v>
      </c>
      <c r="B975" s="1" t="s">
        <v>254</v>
      </c>
      <c r="C975" s="38">
        <v>45177</v>
      </c>
      <c r="D975" s="3">
        <v>280</v>
      </c>
      <c r="E975" s="32">
        <v>45181</v>
      </c>
      <c r="F975" s="2">
        <v>113484</v>
      </c>
      <c r="G975" s="5">
        <v>405.3</v>
      </c>
      <c r="H975" s="35">
        <f t="shared" si="30"/>
        <v>11</v>
      </c>
      <c r="I975" s="43">
        <f t="shared" si="31"/>
        <v>1248324</v>
      </c>
    </row>
    <row r="976" spans="1:9" x14ac:dyDescent="0.2">
      <c r="A976" s="30">
        <v>45202</v>
      </c>
      <c r="B976" s="1" t="s">
        <v>254</v>
      </c>
      <c r="C976" s="38">
        <v>44811</v>
      </c>
      <c r="D976" s="3">
        <v>140</v>
      </c>
      <c r="E976" s="32">
        <v>45202</v>
      </c>
      <c r="F976" s="2">
        <v>56742</v>
      </c>
      <c r="G976" s="5">
        <v>405.3</v>
      </c>
      <c r="H976" s="35">
        <f t="shared" si="30"/>
        <v>391</v>
      </c>
      <c r="I976" s="43">
        <f t="shared" si="31"/>
        <v>22186122</v>
      </c>
    </row>
    <row r="977" spans="1:9" x14ac:dyDescent="0.2">
      <c r="A977" s="30">
        <v>45209</v>
      </c>
      <c r="B977" s="1" t="s">
        <v>254</v>
      </c>
      <c r="C977" s="38">
        <v>44824</v>
      </c>
      <c r="D977" s="3">
        <v>560</v>
      </c>
      <c r="E977" s="32">
        <v>45209</v>
      </c>
      <c r="F977" s="2">
        <v>226968</v>
      </c>
      <c r="G977" s="5">
        <v>405.3</v>
      </c>
      <c r="H977" s="35">
        <f t="shared" si="30"/>
        <v>385</v>
      </c>
      <c r="I977" s="43">
        <f t="shared" si="31"/>
        <v>87382680</v>
      </c>
    </row>
    <row r="978" spans="1:9" x14ac:dyDescent="0.2">
      <c r="A978" s="30">
        <v>45188</v>
      </c>
      <c r="B978" s="1" t="s">
        <v>255</v>
      </c>
      <c r="C978" s="38">
        <v>45177</v>
      </c>
      <c r="D978" s="3">
        <v>140</v>
      </c>
      <c r="E978" s="32">
        <v>45181</v>
      </c>
      <c r="F978" s="2">
        <v>58604</v>
      </c>
      <c r="G978" s="5">
        <v>418.6</v>
      </c>
      <c r="H978" s="35">
        <f t="shared" si="30"/>
        <v>11</v>
      </c>
      <c r="I978" s="43">
        <f t="shared" si="31"/>
        <v>644644</v>
      </c>
    </row>
    <row r="979" spans="1:9" x14ac:dyDescent="0.2">
      <c r="A979" s="30">
        <v>45212</v>
      </c>
      <c r="B979" s="1" t="s">
        <v>255</v>
      </c>
      <c r="C979" s="38">
        <v>44824</v>
      </c>
      <c r="D979" s="3">
        <v>210</v>
      </c>
      <c r="E979" s="32">
        <v>45212</v>
      </c>
      <c r="F979" s="2">
        <v>87906</v>
      </c>
      <c r="G979" s="5">
        <v>418.6</v>
      </c>
      <c r="H979" s="35">
        <f t="shared" si="30"/>
        <v>388</v>
      </c>
      <c r="I979" s="43">
        <f t="shared" si="31"/>
        <v>34107528</v>
      </c>
    </row>
    <row r="980" spans="1:9" x14ac:dyDescent="0.2">
      <c r="A980" s="30">
        <v>45191</v>
      </c>
      <c r="B980" s="1" t="s">
        <v>256</v>
      </c>
      <c r="C980" s="38">
        <v>44771</v>
      </c>
      <c r="D980" s="3">
        <v>210</v>
      </c>
      <c r="E980" s="32">
        <v>44676</v>
      </c>
      <c r="F980" s="2">
        <v>78649.2</v>
      </c>
      <c r="G980" s="5">
        <v>374.52</v>
      </c>
      <c r="H980" s="35">
        <f t="shared" si="30"/>
        <v>420</v>
      </c>
      <c r="I980" s="43">
        <f t="shared" si="31"/>
        <v>33032664</v>
      </c>
    </row>
    <row r="981" spans="1:9" x14ac:dyDescent="0.2">
      <c r="A981" s="30">
        <v>45191</v>
      </c>
      <c r="B981" s="1" t="s">
        <v>256</v>
      </c>
      <c r="C981" s="38">
        <v>44771</v>
      </c>
      <c r="D981" s="3">
        <v>560</v>
      </c>
      <c r="E981" s="32">
        <v>44697</v>
      </c>
      <c r="F981" s="2">
        <v>209731.20000000001</v>
      </c>
      <c r="G981" s="5">
        <v>374.52</v>
      </c>
      <c r="H981" s="35">
        <f t="shared" si="30"/>
        <v>420</v>
      </c>
      <c r="I981" s="43">
        <f t="shared" si="31"/>
        <v>88087104</v>
      </c>
    </row>
    <row r="982" spans="1:9" x14ac:dyDescent="0.2">
      <c r="A982" s="30">
        <v>45191</v>
      </c>
      <c r="B982" s="1" t="s">
        <v>256</v>
      </c>
      <c r="C982" s="38">
        <v>44771</v>
      </c>
      <c r="D982" s="3">
        <v>70</v>
      </c>
      <c r="E982" s="32">
        <v>44715</v>
      </c>
      <c r="F982" s="2">
        <v>26216.400000000001</v>
      </c>
      <c r="G982" s="5">
        <v>374.52</v>
      </c>
      <c r="H982" s="35">
        <f t="shared" si="30"/>
        <v>420</v>
      </c>
      <c r="I982" s="43">
        <f t="shared" si="31"/>
        <v>11010888</v>
      </c>
    </row>
    <row r="983" spans="1:9" x14ac:dyDescent="0.2">
      <c r="A983" s="30">
        <v>45191</v>
      </c>
      <c r="B983" s="1" t="s">
        <v>256</v>
      </c>
      <c r="C983" s="38">
        <v>44771</v>
      </c>
      <c r="D983" s="3">
        <v>280</v>
      </c>
      <c r="E983" s="32">
        <v>44729</v>
      </c>
      <c r="F983" s="2">
        <v>104865.60000000001</v>
      </c>
      <c r="G983" s="5">
        <v>374.52</v>
      </c>
      <c r="H983" s="35">
        <f t="shared" si="30"/>
        <v>420</v>
      </c>
      <c r="I983" s="43">
        <f t="shared" si="31"/>
        <v>44043552</v>
      </c>
    </row>
    <row r="984" spans="1:9" x14ac:dyDescent="0.2">
      <c r="A984" s="30">
        <v>45191</v>
      </c>
      <c r="B984" s="1" t="s">
        <v>256</v>
      </c>
      <c r="C984" s="38">
        <v>44771</v>
      </c>
      <c r="D984" s="3">
        <v>210</v>
      </c>
      <c r="E984" s="32">
        <v>44729</v>
      </c>
      <c r="F984" s="2">
        <v>78649.2</v>
      </c>
      <c r="G984" s="5">
        <v>374.52</v>
      </c>
      <c r="H984" s="35">
        <f t="shared" si="30"/>
        <v>420</v>
      </c>
      <c r="I984" s="43">
        <f t="shared" si="31"/>
        <v>33032664</v>
      </c>
    </row>
    <row r="985" spans="1:9" x14ac:dyDescent="0.2">
      <c r="A985" s="30">
        <v>45191</v>
      </c>
      <c r="B985" s="1" t="s">
        <v>256</v>
      </c>
      <c r="C985" s="38">
        <v>44771</v>
      </c>
      <c r="D985" s="3">
        <v>280</v>
      </c>
      <c r="E985" s="32">
        <v>44729</v>
      </c>
      <c r="F985" s="2">
        <v>104865.60000000001</v>
      </c>
      <c r="G985" s="5">
        <v>374.52</v>
      </c>
      <c r="H985" s="35">
        <f t="shared" si="30"/>
        <v>420</v>
      </c>
      <c r="I985" s="43">
        <f t="shared" si="31"/>
        <v>44043552</v>
      </c>
    </row>
    <row r="986" spans="1:9" x14ac:dyDescent="0.2">
      <c r="A986" s="30">
        <v>45191</v>
      </c>
      <c r="B986" s="1" t="s">
        <v>256</v>
      </c>
      <c r="C986" s="38">
        <v>44771</v>
      </c>
      <c r="D986" s="3">
        <v>210</v>
      </c>
      <c r="E986" s="32">
        <v>44742</v>
      </c>
      <c r="F986" s="2">
        <v>78649.2</v>
      </c>
      <c r="G986" s="5">
        <v>374.52</v>
      </c>
      <c r="H986" s="35">
        <f t="shared" si="30"/>
        <v>420</v>
      </c>
      <c r="I986" s="43">
        <f t="shared" si="31"/>
        <v>33032664</v>
      </c>
    </row>
    <row r="987" spans="1:9" x14ac:dyDescent="0.2">
      <c r="A987" s="30">
        <v>45191</v>
      </c>
      <c r="B987" s="1" t="s">
        <v>256</v>
      </c>
      <c r="C987" s="38">
        <v>44771</v>
      </c>
      <c r="D987" s="3">
        <v>350</v>
      </c>
      <c r="E987" s="32">
        <v>44742</v>
      </c>
      <c r="F987" s="2">
        <v>131082</v>
      </c>
      <c r="G987" s="5">
        <v>374.52</v>
      </c>
      <c r="H987" s="35">
        <f t="shared" si="30"/>
        <v>420</v>
      </c>
      <c r="I987" s="43">
        <f t="shared" si="31"/>
        <v>55054440</v>
      </c>
    </row>
    <row r="988" spans="1:9" x14ac:dyDescent="0.2">
      <c r="A988" s="30">
        <v>45191</v>
      </c>
      <c r="B988" s="1" t="s">
        <v>256</v>
      </c>
      <c r="C988" s="38">
        <v>44771</v>
      </c>
      <c r="D988" s="3">
        <v>560</v>
      </c>
      <c r="E988" s="32">
        <v>44743</v>
      </c>
      <c r="F988" s="2">
        <v>209731.20000000001</v>
      </c>
      <c r="G988" s="5">
        <v>374.52</v>
      </c>
      <c r="H988" s="35">
        <f t="shared" si="30"/>
        <v>420</v>
      </c>
      <c r="I988" s="43">
        <f t="shared" si="31"/>
        <v>88087104</v>
      </c>
    </row>
    <row r="989" spans="1:9" x14ac:dyDescent="0.2">
      <c r="A989" s="30">
        <v>45188</v>
      </c>
      <c r="B989" s="1" t="s">
        <v>256</v>
      </c>
      <c r="C989" s="38">
        <v>44795</v>
      </c>
      <c r="D989" s="3">
        <v>210</v>
      </c>
      <c r="E989" s="32">
        <v>45188</v>
      </c>
      <c r="F989" s="2">
        <v>78649.2</v>
      </c>
      <c r="G989" s="5">
        <v>374.52</v>
      </c>
      <c r="H989" s="35">
        <f t="shared" si="30"/>
        <v>393</v>
      </c>
      <c r="I989" s="43">
        <f t="shared" si="31"/>
        <v>30909135.599999998</v>
      </c>
    </row>
    <row r="990" spans="1:9" x14ac:dyDescent="0.2">
      <c r="A990" s="30">
        <v>45195</v>
      </c>
      <c r="B990" s="1" t="s">
        <v>256</v>
      </c>
      <c r="C990" s="38">
        <v>44802</v>
      </c>
      <c r="D990" s="3">
        <v>280</v>
      </c>
      <c r="E990" s="32">
        <v>45195</v>
      </c>
      <c r="F990" s="2">
        <v>104865.60000000001</v>
      </c>
      <c r="G990" s="5">
        <v>374.52</v>
      </c>
      <c r="H990" s="35">
        <f t="shared" si="30"/>
        <v>393</v>
      </c>
      <c r="I990" s="43">
        <f t="shared" si="31"/>
        <v>41212180.800000004</v>
      </c>
    </row>
    <row r="991" spans="1:9" x14ac:dyDescent="0.2">
      <c r="A991" s="30">
        <v>45202</v>
      </c>
      <c r="B991" s="1" t="s">
        <v>256</v>
      </c>
      <c r="C991" s="38">
        <v>44811</v>
      </c>
      <c r="D991" s="3">
        <v>280</v>
      </c>
      <c r="E991" s="32">
        <v>45202</v>
      </c>
      <c r="F991" s="2">
        <v>104865.60000000001</v>
      </c>
      <c r="G991" s="5">
        <v>374.52</v>
      </c>
      <c r="H991" s="35">
        <f t="shared" si="30"/>
        <v>391</v>
      </c>
      <c r="I991" s="43">
        <f t="shared" si="31"/>
        <v>41002449.600000001</v>
      </c>
    </row>
    <row r="992" spans="1:9" x14ac:dyDescent="0.2">
      <c r="A992" s="30">
        <v>45209</v>
      </c>
      <c r="B992" s="1" t="s">
        <v>256</v>
      </c>
      <c r="C992" s="38">
        <v>44824</v>
      </c>
      <c r="D992" s="3">
        <v>490</v>
      </c>
      <c r="E992" s="32">
        <v>45209</v>
      </c>
      <c r="F992" s="2">
        <v>183514.8</v>
      </c>
      <c r="G992" s="5">
        <v>374.52</v>
      </c>
      <c r="H992" s="35">
        <f t="shared" si="30"/>
        <v>385</v>
      </c>
      <c r="I992" s="43">
        <f t="shared" si="31"/>
        <v>70653198</v>
      </c>
    </row>
    <row r="993" spans="1:9" x14ac:dyDescent="0.2">
      <c r="A993" s="30">
        <v>45383</v>
      </c>
      <c r="B993" s="1" t="s">
        <v>258</v>
      </c>
      <c r="C993" s="38">
        <v>45048</v>
      </c>
      <c r="D993" s="3">
        <v>280</v>
      </c>
      <c r="E993" s="32">
        <v>45118</v>
      </c>
      <c r="F993" s="2">
        <v>190106</v>
      </c>
      <c r="G993" s="5">
        <v>678.95</v>
      </c>
      <c r="H993" s="35">
        <f t="shared" si="30"/>
        <v>335</v>
      </c>
      <c r="I993" s="43">
        <f t="shared" si="31"/>
        <v>63685510</v>
      </c>
    </row>
    <row r="994" spans="1:9" x14ac:dyDescent="0.2">
      <c r="A994" s="30">
        <v>45303</v>
      </c>
      <c r="B994" s="1" t="s">
        <v>258</v>
      </c>
      <c r="C994" s="38">
        <v>45161</v>
      </c>
      <c r="D994" s="3">
        <v>70</v>
      </c>
      <c r="E994" s="32">
        <v>45128</v>
      </c>
      <c r="F994" s="2">
        <v>47526.5</v>
      </c>
      <c r="G994" s="5">
        <v>678.95</v>
      </c>
      <c r="H994" s="35">
        <f t="shared" si="30"/>
        <v>142</v>
      </c>
      <c r="I994" s="43">
        <f t="shared" si="31"/>
        <v>6748763</v>
      </c>
    </row>
    <row r="995" spans="1:9" x14ac:dyDescent="0.2">
      <c r="A995" s="30">
        <v>45383</v>
      </c>
      <c r="B995" s="1" t="s">
        <v>258</v>
      </c>
      <c r="C995" s="38">
        <v>45048</v>
      </c>
      <c r="D995" s="3">
        <v>140</v>
      </c>
      <c r="E995" s="32">
        <v>45135</v>
      </c>
      <c r="F995" s="2">
        <v>95053</v>
      </c>
      <c r="G995" s="5">
        <v>678.95</v>
      </c>
      <c r="H995" s="35">
        <f t="shared" si="30"/>
        <v>335</v>
      </c>
      <c r="I995" s="43">
        <f t="shared" si="31"/>
        <v>31842755</v>
      </c>
    </row>
    <row r="996" spans="1:9" x14ac:dyDescent="0.2">
      <c r="A996" s="30">
        <v>45383</v>
      </c>
      <c r="B996" s="1" t="s">
        <v>258</v>
      </c>
      <c r="C996" s="38">
        <v>45048</v>
      </c>
      <c r="D996" s="3">
        <v>280</v>
      </c>
      <c r="E996" s="32">
        <v>45139</v>
      </c>
      <c r="F996" s="2">
        <v>190106</v>
      </c>
      <c r="G996" s="5">
        <v>678.95</v>
      </c>
      <c r="H996" s="35">
        <f t="shared" si="30"/>
        <v>335</v>
      </c>
      <c r="I996" s="43">
        <f t="shared" si="31"/>
        <v>63685510</v>
      </c>
    </row>
    <row r="997" spans="1:9" x14ac:dyDescent="0.2">
      <c r="A997" s="30">
        <v>45383</v>
      </c>
      <c r="B997" s="1" t="s">
        <v>258</v>
      </c>
      <c r="C997" s="38">
        <v>45048</v>
      </c>
      <c r="D997" s="3">
        <v>210</v>
      </c>
      <c r="E997" s="32">
        <v>45142</v>
      </c>
      <c r="F997" s="2">
        <v>142579.5</v>
      </c>
      <c r="G997" s="5">
        <v>678.95</v>
      </c>
      <c r="H997" s="35">
        <f t="shared" si="30"/>
        <v>335</v>
      </c>
      <c r="I997" s="43">
        <f t="shared" si="31"/>
        <v>47764132.5</v>
      </c>
    </row>
    <row r="998" spans="1:9" x14ac:dyDescent="0.2">
      <c r="A998" s="30">
        <v>45383</v>
      </c>
      <c r="B998" s="1" t="s">
        <v>258</v>
      </c>
      <c r="C998" s="38">
        <v>45048</v>
      </c>
      <c r="D998" s="3">
        <v>280</v>
      </c>
      <c r="E998" s="32">
        <v>45153</v>
      </c>
      <c r="F998" s="2">
        <v>190106</v>
      </c>
      <c r="G998" s="5">
        <v>678.95</v>
      </c>
      <c r="H998" s="35">
        <f t="shared" si="30"/>
        <v>335</v>
      </c>
      <c r="I998" s="43">
        <f t="shared" si="31"/>
        <v>63685510</v>
      </c>
    </row>
    <row r="999" spans="1:9" x14ac:dyDescent="0.2">
      <c r="A999" s="30">
        <v>45383</v>
      </c>
      <c r="B999" s="1" t="s">
        <v>258</v>
      </c>
      <c r="C999" s="38">
        <v>45048</v>
      </c>
      <c r="D999" s="3">
        <v>420</v>
      </c>
      <c r="E999" s="32">
        <v>45156</v>
      </c>
      <c r="F999" s="2">
        <v>285159</v>
      </c>
      <c r="G999" s="5">
        <v>678.95</v>
      </c>
      <c r="H999" s="35">
        <f t="shared" si="30"/>
        <v>335</v>
      </c>
      <c r="I999" s="43">
        <f t="shared" si="31"/>
        <v>95528265</v>
      </c>
    </row>
    <row r="1000" spans="1:9" x14ac:dyDescent="0.2">
      <c r="A1000" s="30">
        <v>45383</v>
      </c>
      <c r="B1000" s="1" t="s">
        <v>258</v>
      </c>
      <c r="C1000" s="38">
        <v>45048</v>
      </c>
      <c r="D1000" s="3">
        <v>140</v>
      </c>
      <c r="E1000" s="32">
        <v>45153</v>
      </c>
      <c r="F1000" s="2">
        <v>95053</v>
      </c>
      <c r="G1000" s="5">
        <v>678.95</v>
      </c>
      <c r="H1000" s="35">
        <f t="shared" si="30"/>
        <v>335</v>
      </c>
      <c r="I1000" s="43">
        <f t="shared" si="31"/>
        <v>31842755</v>
      </c>
    </row>
    <row r="1001" spans="1:9" x14ac:dyDescent="0.2">
      <c r="A1001" s="30">
        <v>45383</v>
      </c>
      <c r="B1001" s="1" t="s">
        <v>258</v>
      </c>
      <c r="C1001" s="38">
        <v>45048</v>
      </c>
      <c r="D1001" s="3">
        <v>140</v>
      </c>
      <c r="E1001" s="32">
        <v>45188</v>
      </c>
      <c r="F1001" s="2">
        <v>95053</v>
      </c>
      <c r="G1001" s="5">
        <v>678.95</v>
      </c>
      <c r="H1001" s="35">
        <f t="shared" si="30"/>
        <v>335</v>
      </c>
      <c r="I1001" s="43">
        <f t="shared" si="31"/>
        <v>31842755</v>
      </c>
    </row>
    <row r="1002" spans="1:9" x14ac:dyDescent="0.2">
      <c r="A1002" s="30">
        <v>45303</v>
      </c>
      <c r="B1002" s="1" t="s">
        <v>258</v>
      </c>
      <c r="C1002" s="38">
        <v>45161</v>
      </c>
      <c r="D1002" s="3">
        <v>210</v>
      </c>
      <c r="E1002" s="32">
        <v>45195</v>
      </c>
      <c r="F1002" s="2">
        <v>142579.5</v>
      </c>
      <c r="G1002" s="5">
        <v>678.95</v>
      </c>
      <c r="H1002" s="35">
        <f t="shared" si="30"/>
        <v>142</v>
      </c>
      <c r="I1002" s="43">
        <f t="shared" si="31"/>
        <v>20246289</v>
      </c>
    </row>
    <row r="1003" spans="1:9" x14ac:dyDescent="0.2">
      <c r="A1003" s="30">
        <v>45303</v>
      </c>
      <c r="B1003" s="1" t="s">
        <v>258</v>
      </c>
      <c r="C1003" s="38">
        <v>45161</v>
      </c>
      <c r="D1003" s="3">
        <v>420</v>
      </c>
      <c r="E1003" s="32">
        <v>45209</v>
      </c>
      <c r="F1003" s="2">
        <v>285159</v>
      </c>
      <c r="G1003" s="5">
        <v>678.95</v>
      </c>
      <c r="H1003" s="35">
        <f t="shared" si="30"/>
        <v>142</v>
      </c>
      <c r="I1003" s="43">
        <f t="shared" si="31"/>
        <v>40492578</v>
      </c>
    </row>
    <row r="1004" spans="1:9" x14ac:dyDescent="0.2">
      <c r="A1004" s="30">
        <v>45383</v>
      </c>
      <c r="B1004" s="1" t="s">
        <v>258</v>
      </c>
      <c r="C1004" s="38">
        <v>45048</v>
      </c>
      <c r="D1004" s="3">
        <v>140</v>
      </c>
      <c r="E1004" s="32">
        <v>45181</v>
      </c>
      <c r="F1004" s="2">
        <v>95053</v>
      </c>
      <c r="G1004" s="5">
        <v>678.95</v>
      </c>
      <c r="H1004" s="35">
        <f t="shared" si="30"/>
        <v>335</v>
      </c>
      <c r="I1004" s="43">
        <f t="shared" si="31"/>
        <v>31842755</v>
      </c>
    </row>
    <row r="1005" spans="1:9" x14ac:dyDescent="0.2">
      <c r="A1005" s="30">
        <v>45303</v>
      </c>
      <c r="B1005" s="1" t="s">
        <v>258</v>
      </c>
      <c r="C1005" s="38">
        <v>45161</v>
      </c>
      <c r="D1005" s="3">
        <v>280</v>
      </c>
      <c r="E1005" s="32">
        <v>45216</v>
      </c>
      <c r="F1005" s="2">
        <v>190106</v>
      </c>
      <c r="G1005" s="5">
        <v>678.95</v>
      </c>
      <c r="H1005" s="35">
        <f t="shared" si="30"/>
        <v>142</v>
      </c>
      <c r="I1005" s="43">
        <f t="shared" si="31"/>
        <v>26995052</v>
      </c>
    </row>
    <row r="1006" spans="1:9" x14ac:dyDescent="0.2">
      <c r="A1006" s="30">
        <v>45303</v>
      </c>
      <c r="B1006" s="1" t="s">
        <v>258</v>
      </c>
      <c r="C1006" s="38">
        <v>45161</v>
      </c>
      <c r="D1006" s="3">
        <v>280</v>
      </c>
      <c r="E1006" s="32">
        <v>45202</v>
      </c>
      <c r="F1006" s="2">
        <v>190106</v>
      </c>
      <c r="G1006" s="5">
        <v>678.95</v>
      </c>
      <c r="H1006" s="35">
        <f t="shared" si="30"/>
        <v>142</v>
      </c>
      <c r="I1006" s="43">
        <f t="shared" si="31"/>
        <v>26995052</v>
      </c>
    </row>
    <row r="1007" spans="1:9" x14ac:dyDescent="0.2">
      <c r="A1007" s="30">
        <v>45338</v>
      </c>
      <c r="B1007" s="1" t="s">
        <v>258</v>
      </c>
      <c r="C1007" s="38">
        <v>45161</v>
      </c>
      <c r="D1007" s="3">
        <v>210</v>
      </c>
      <c r="E1007" s="32">
        <v>45223</v>
      </c>
      <c r="F1007" s="2">
        <v>142579.5</v>
      </c>
      <c r="G1007" s="5">
        <v>678.95</v>
      </c>
      <c r="H1007" s="35">
        <f t="shared" si="30"/>
        <v>177</v>
      </c>
      <c r="I1007" s="43">
        <f t="shared" si="31"/>
        <v>25236571.5</v>
      </c>
    </row>
    <row r="1008" spans="1:9" x14ac:dyDescent="0.2">
      <c r="A1008" s="30">
        <v>45338</v>
      </c>
      <c r="B1008" s="1" t="s">
        <v>258</v>
      </c>
      <c r="C1008" s="38">
        <v>45161</v>
      </c>
      <c r="D1008" s="3">
        <v>910</v>
      </c>
      <c r="E1008" s="32">
        <v>45230</v>
      </c>
      <c r="F1008" s="2">
        <v>617844.5</v>
      </c>
      <c r="G1008" s="5">
        <v>678.95</v>
      </c>
      <c r="H1008" s="35">
        <f t="shared" si="30"/>
        <v>177</v>
      </c>
      <c r="I1008" s="43">
        <f t="shared" si="31"/>
        <v>109358476.5</v>
      </c>
    </row>
    <row r="1009" spans="1:9" x14ac:dyDescent="0.2">
      <c r="A1009" s="30">
        <v>45338</v>
      </c>
      <c r="B1009" s="1" t="s">
        <v>258</v>
      </c>
      <c r="C1009" s="38">
        <v>45161</v>
      </c>
      <c r="D1009" s="3">
        <v>210</v>
      </c>
      <c r="E1009" s="32">
        <v>45223</v>
      </c>
      <c r="F1009" s="2">
        <v>142579.5</v>
      </c>
      <c r="G1009" s="5">
        <v>678.95</v>
      </c>
      <c r="H1009" s="35">
        <f t="shared" si="30"/>
        <v>177</v>
      </c>
      <c r="I1009" s="43">
        <f t="shared" si="31"/>
        <v>25236571.5</v>
      </c>
    </row>
    <row r="1010" spans="1:9" x14ac:dyDescent="0.2">
      <c r="A1010" s="30">
        <v>45286</v>
      </c>
      <c r="B1010" s="1" t="s">
        <v>258</v>
      </c>
      <c r="C1010" s="38">
        <v>44771</v>
      </c>
      <c r="D1010" s="3">
        <v>280</v>
      </c>
      <c r="E1010" s="32">
        <v>45278</v>
      </c>
      <c r="F1010" s="2">
        <v>190106</v>
      </c>
      <c r="G1010" s="5">
        <v>678.95</v>
      </c>
      <c r="H1010" s="35">
        <f t="shared" si="30"/>
        <v>515</v>
      </c>
      <c r="I1010" s="43">
        <f t="shared" si="31"/>
        <v>97904590</v>
      </c>
    </row>
    <row r="1011" spans="1:9" x14ac:dyDescent="0.2">
      <c r="A1011" s="30">
        <v>45293</v>
      </c>
      <c r="B1011" s="1" t="s">
        <v>258</v>
      </c>
      <c r="C1011" s="38">
        <v>44771</v>
      </c>
      <c r="D1011" s="3">
        <v>280</v>
      </c>
      <c r="E1011" s="32">
        <v>45282</v>
      </c>
      <c r="F1011" s="2">
        <v>190106</v>
      </c>
      <c r="G1011" s="5">
        <v>678.95</v>
      </c>
      <c r="H1011" s="35">
        <f t="shared" si="30"/>
        <v>522</v>
      </c>
      <c r="I1011" s="43">
        <f t="shared" si="31"/>
        <v>99235332</v>
      </c>
    </row>
    <row r="1012" spans="1:9" x14ac:dyDescent="0.2">
      <c r="A1012" s="30">
        <v>45257</v>
      </c>
      <c r="B1012" s="1" t="s">
        <v>258</v>
      </c>
      <c r="C1012" s="38">
        <v>45163</v>
      </c>
      <c r="D1012" s="3">
        <v>70</v>
      </c>
      <c r="E1012" s="32">
        <v>45246</v>
      </c>
      <c r="F1012" s="2">
        <v>47526.5</v>
      </c>
      <c r="G1012" s="5">
        <v>678.95</v>
      </c>
      <c r="H1012" s="35">
        <f t="shared" si="30"/>
        <v>94</v>
      </c>
      <c r="I1012" s="43">
        <f t="shared" si="31"/>
        <v>4467491</v>
      </c>
    </row>
    <row r="1013" spans="1:9" x14ac:dyDescent="0.2">
      <c r="A1013" s="30">
        <v>45286</v>
      </c>
      <c r="B1013" s="1" t="s">
        <v>258</v>
      </c>
      <c r="C1013" s="38">
        <v>44795</v>
      </c>
      <c r="D1013" s="3">
        <v>560</v>
      </c>
      <c r="E1013" s="32">
        <v>45278</v>
      </c>
      <c r="F1013" s="2">
        <v>380212</v>
      </c>
      <c r="G1013" s="5">
        <v>678.95</v>
      </c>
      <c r="H1013" s="35">
        <f t="shared" si="30"/>
        <v>491</v>
      </c>
      <c r="I1013" s="43">
        <f t="shared" si="31"/>
        <v>186684092</v>
      </c>
    </row>
    <row r="1014" spans="1:9" x14ac:dyDescent="0.2">
      <c r="A1014" s="30">
        <v>45300</v>
      </c>
      <c r="B1014" s="1" t="s">
        <v>258</v>
      </c>
      <c r="C1014" s="38">
        <v>44802</v>
      </c>
      <c r="D1014" s="3">
        <v>770</v>
      </c>
      <c r="E1014" s="32">
        <v>45293</v>
      </c>
      <c r="F1014" s="2">
        <v>522791.5</v>
      </c>
      <c r="G1014" s="5">
        <v>678.95</v>
      </c>
      <c r="H1014" s="35">
        <f t="shared" si="30"/>
        <v>498</v>
      </c>
      <c r="I1014" s="43">
        <f t="shared" si="31"/>
        <v>260350167</v>
      </c>
    </row>
    <row r="1015" spans="1:9" x14ac:dyDescent="0.2">
      <c r="A1015" s="30">
        <v>45191</v>
      </c>
      <c r="B1015" s="1" t="s">
        <v>261</v>
      </c>
      <c r="C1015" s="38">
        <v>44951</v>
      </c>
      <c r="D1015" s="3">
        <v>3000</v>
      </c>
      <c r="E1015" s="32">
        <v>45191</v>
      </c>
      <c r="F1015" s="2">
        <v>3570</v>
      </c>
      <c r="G1015" s="5">
        <v>1.19</v>
      </c>
      <c r="H1015" s="35">
        <f t="shared" si="30"/>
        <v>240</v>
      </c>
      <c r="I1015" s="43">
        <f t="shared" si="31"/>
        <v>856800</v>
      </c>
    </row>
    <row r="1016" spans="1:9" x14ac:dyDescent="0.2">
      <c r="A1016" s="30">
        <v>45191</v>
      </c>
      <c r="B1016" s="1" t="s">
        <v>261</v>
      </c>
      <c r="C1016" s="38">
        <v>44951</v>
      </c>
      <c r="D1016" s="3">
        <v>3000</v>
      </c>
      <c r="E1016" s="32">
        <v>45191</v>
      </c>
      <c r="F1016" s="2">
        <v>3570</v>
      </c>
      <c r="G1016" s="5">
        <v>1.19</v>
      </c>
      <c r="H1016" s="35">
        <f t="shared" si="30"/>
        <v>240</v>
      </c>
      <c r="I1016" s="43">
        <f t="shared" si="31"/>
        <v>856800</v>
      </c>
    </row>
    <row r="1017" spans="1:9" x14ac:dyDescent="0.2">
      <c r="A1017" s="30">
        <v>45231</v>
      </c>
      <c r="B1017" s="1" t="s">
        <v>261</v>
      </c>
      <c r="C1017" s="38">
        <v>44951</v>
      </c>
      <c r="D1017" s="3">
        <v>3000</v>
      </c>
      <c r="E1017" s="32">
        <v>45231</v>
      </c>
      <c r="F1017" s="2">
        <v>3570</v>
      </c>
      <c r="G1017" s="5">
        <v>1.19</v>
      </c>
      <c r="H1017" s="35">
        <f t="shared" si="30"/>
        <v>280</v>
      </c>
      <c r="I1017" s="43">
        <f t="shared" si="31"/>
        <v>999600</v>
      </c>
    </row>
    <row r="1018" spans="1:9" x14ac:dyDescent="0.2">
      <c r="A1018" s="30">
        <v>45282</v>
      </c>
      <c r="B1018" s="1" t="s">
        <v>261</v>
      </c>
      <c r="C1018" s="38">
        <v>44951</v>
      </c>
      <c r="D1018" s="3">
        <v>3000</v>
      </c>
      <c r="E1018" s="32">
        <v>45282</v>
      </c>
      <c r="F1018" s="2">
        <v>3570</v>
      </c>
      <c r="G1018" s="5">
        <v>1.19</v>
      </c>
      <c r="H1018" s="35">
        <f t="shared" si="30"/>
        <v>331</v>
      </c>
      <c r="I1018" s="43">
        <f t="shared" si="31"/>
        <v>1181670</v>
      </c>
    </row>
    <row r="1019" spans="1:9" x14ac:dyDescent="0.2">
      <c r="A1019" s="30">
        <v>45247</v>
      </c>
      <c r="B1019" s="1" t="s">
        <v>262</v>
      </c>
      <c r="C1019" s="38">
        <v>45162</v>
      </c>
      <c r="D1019" s="3">
        <v>3000</v>
      </c>
      <c r="E1019" s="32">
        <v>45216</v>
      </c>
      <c r="F1019" s="2">
        <v>3840</v>
      </c>
      <c r="G1019" s="5">
        <v>1.28</v>
      </c>
      <c r="H1019" s="35">
        <f t="shared" si="30"/>
        <v>85</v>
      </c>
      <c r="I1019" s="43">
        <f t="shared" si="31"/>
        <v>326400</v>
      </c>
    </row>
    <row r="1020" spans="1:9" x14ac:dyDescent="0.2">
      <c r="A1020" s="30">
        <v>45233</v>
      </c>
      <c r="B1020" s="1" t="s">
        <v>285</v>
      </c>
      <c r="C1020" s="38">
        <v>44978</v>
      </c>
      <c r="D1020" s="3">
        <v>252</v>
      </c>
      <c r="E1020" s="32">
        <v>45226</v>
      </c>
      <c r="F1020" s="2">
        <v>17062.919999999998</v>
      </c>
      <c r="G1020" s="5">
        <v>67.709999999999994</v>
      </c>
      <c r="H1020" s="35">
        <f t="shared" si="30"/>
        <v>255</v>
      </c>
      <c r="I1020" s="43">
        <f t="shared" si="31"/>
        <v>4351044.5999999996</v>
      </c>
    </row>
    <row r="1021" spans="1:9" x14ac:dyDescent="0.2">
      <c r="A1021" s="30">
        <v>45261</v>
      </c>
      <c r="B1021" s="1" t="s">
        <v>285</v>
      </c>
      <c r="C1021" s="38">
        <v>44978</v>
      </c>
      <c r="D1021" s="3">
        <v>252</v>
      </c>
      <c r="E1021" s="32">
        <v>45254</v>
      </c>
      <c r="F1021" s="2">
        <v>17062.919999999998</v>
      </c>
      <c r="G1021" s="5">
        <v>67.709999999999994</v>
      </c>
      <c r="H1021" s="35">
        <f t="shared" si="30"/>
        <v>283</v>
      </c>
      <c r="I1021" s="43">
        <f t="shared" si="31"/>
        <v>4828806.3599999994</v>
      </c>
    </row>
    <row r="1022" spans="1:9" x14ac:dyDescent="0.2">
      <c r="A1022" s="30">
        <v>45293</v>
      </c>
      <c r="B1022" s="1" t="s">
        <v>285</v>
      </c>
      <c r="C1022" s="38">
        <v>44978</v>
      </c>
      <c r="D1022" s="3">
        <v>252</v>
      </c>
      <c r="E1022" s="32">
        <v>45282</v>
      </c>
      <c r="F1022" s="2">
        <v>17062.919999999998</v>
      </c>
      <c r="G1022" s="5">
        <v>67.709999999999994</v>
      </c>
      <c r="H1022" s="35">
        <f t="shared" si="30"/>
        <v>315</v>
      </c>
      <c r="I1022" s="43">
        <f t="shared" si="31"/>
        <v>5374819.7999999998</v>
      </c>
    </row>
    <row r="1023" spans="1:9" x14ac:dyDescent="0.2">
      <c r="A1023" s="30">
        <v>45331</v>
      </c>
      <c r="B1023" s="1" t="s">
        <v>265</v>
      </c>
      <c r="C1023" s="38">
        <v>45022</v>
      </c>
      <c r="D1023" s="3">
        <v>60</v>
      </c>
      <c r="E1023" s="32">
        <v>45041</v>
      </c>
      <c r="F1023" s="2">
        <v>44470.8</v>
      </c>
      <c r="G1023" s="5">
        <v>741.18</v>
      </c>
      <c r="H1023" s="35">
        <f t="shared" si="30"/>
        <v>309</v>
      </c>
      <c r="I1023" s="43">
        <f t="shared" si="31"/>
        <v>13741477.200000001</v>
      </c>
    </row>
    <row r="1024" spans="1:9" x14ac:dyDescent="0.2">
      <c r="A1024" s="30">
        <v>45447</v>
      </c>
      <c r="B1024" s="1" t="s">
        <v>265</v>
      </c>
      <c r="C1024" s="38">
        <v>44957</v>
      </c>
      <c r="D1024" s="3">
        <v>360</v>
      </c>
      <c r="E1024" s="32">
        <v>45440</v>
      </c>
      <c r="F1024" s="2">
        <v>266824.8</v>
      </c>
      <c r="G1024" s="5">
        <v>741.18</v>
      </c>
      <c r="H1024" s="35">
        <f t="shared" si="30"/>
        <v>490</v>
      </c>
      <c r="I1024" s="43">
        <f t="shared" si="31"/>
        <v>130744152</v>
      </c>
    </row>
    <row r="1025" spans="1:9" x14ac:dyDescent="0.2">
      <c r="A1025" s="30">
        <v>45447</v>
      </c>
      <c r="B1025" s="1" t="s">
        <v>265</v>
      </c>
      <c r="C1025" s="38">
        <v>44957</v>
      </c>
      <c r="D1025" s="3">
        <v>360</v>
      </c>
      <c r="E1025" s="32">
        <v>45440</v>
      </c>
      <c r="F1025" s="2">
        <v>266824.8</v>
      </c>
      <c r="G1025" s="5">
        <v>741.18</v>
      </c>
      <c r="H1025" s="35">
        <f t="shared" si="30"/>
        <v>490</v>
      </c>
      <c r="I1025" s="43">
        <f t="shared" si="31"/>
        <v>130744152</v>
      </c>
    </row>
    <row r="1026" spans="1:9" x14ac:dyDescent="0.2">
      <c r="A1026" s="30">
        <v>45447</v>
      </c>
      <c r="B1026" s="1" t="s">
        <v>265</v>
      </c>
      <c r="C1026" s="38">
        <v>44957</v>
      </c>
      <c r="D1026" s="3">
        <v>90</v>
      </c>
      <c r="E1026" s="32">
        <v>45440</v>
      </c>
      <c r="F1026" s="2">
        <v>66706.2</v>
      </c>
      <c r="G1026" s="5">
        <v>741.18</v>
      </c>
      <c r="H1026" s="35">
        <f t="shared" si="30"/>
        <v>490</v>
      </c>
      <c r="I1026" s="43">
        <f t="shared" si="31"/>
        <v>32686038</v>
      </c>
    </row>
    <row r="1027" spans="1:9" x14ac:dyDescent="0.2">
      <c r="A1027" s="30">
        <v>45264</v>
      </c>
      <c r="B1027" s="1" t="s">
        <v>265</v>
      </c>
      <c r="C1027" s="38">
        <v>44957</v>
      </c>
      <c r="D1027" s="3">
        <v>330</v>
      </c>
      <c r="E1027" s="32">
        <v>45257</v>
      </c>
      <c r="F1027" s="2">
        <v>244589.4</v>
      </c>
      <c r="G1027" s="5">
        <v>741.18</v>
      </c>
      <c r="H1027" s="35">
        <f t="shared" ref="H1027:H1090" si="32">IFERROR(A1027-C1027,"")</f>
        <v>307</v>
      </c>
      <c r="I1027" s="43">
        <f t="shared" ref="I1027:I1090" si="33">H1027*F1027</f>
        <v>75088945.799999997</v>
      </c>
    </row>
    <row r="1028" spans="1:9" x14ac:dyDescent="0.2">
      <c r="A1028" s="30">
        <v>45194</v>
      </c>
      <c r="B1028" s="1" t="s">
        <v>265</v>
      </c>
      <c r="C1028" s="38">
        <v>44957</v>
      </c>
      <c r="D1028" s="3">
        <v>180</v>
      </c>
      <c r="E1028" s="32">
        <v>45187</v>
      </c>
      <c r="F1028" s="2">
        <v>133412.4</v>
      </c>
      <c r="G1028" s="5">
        <v>741.18</v>
      </c>
      <c r="H1028" s="35">
        <f t="shared" si="32"/>
        <v>237</v>
      </c>
      <c r="I1028" s="43">
        <f t="shared" si="33"/>
        <v>31618738.799999997</v>
      </c>
    </row>
    <row r="1029" spans="1:9" x14ac:dyDescent="0.2">
      <c r="A1029" s="30">
        <v>45264</v>
      </c>
      <c r="B1029" s="1" t="s">
        <v>265</v>
      </c>
      <c r="C1029" s="38">
        <v>44957</v>
      </c>
      <c r="D1029" s="3">
        <v>330</v>
      </c>
      <c r="E1029" s="32">
        <v>45257</v>
      </c>
      <c r="F1029" s="2">
        <v>244589.4</v>
      </c>
      <c r="G1029" s="5">
        <v>741.18</v>
      </c>
      <c r="H1029" s="35">
        <f t="shared" si="32"/>
        <v>307</v>
      </c>
      <c r="I1029" s="43">
        <f t="shared" si="33"/>
        <v>75088945.799999997</v>
      </c>
    </row>
    <row r="1030" spans="1:9" x14ac:dyDescent="0.2">
      <c r="A1030" s="30">
        <v>45204</v>
      </c>
      <c r="B1030" s="1" t="s">
        <v>265</v>
      </c>
      <c r="C1030" s="38">
        <v>44957</v>
      </c>
      <c r="D1030" s="3">
        <v>330</v>
      </c>
      <c r="E1030" s="32">
        <v>45197</v>
      </c>
      <c r="F1030" s="2">
        <v>244589.4</v>
      </c>
      <c r="G1030" s="5">
        <v>741.18</v>
      </c>
      <c r="H1030" s="35">
        <f t="shared" si="32"/>
        <v>247</v>
      </c>
      <c r="I1030" s="43">
        <f t="shared" si="33"/>
        <v>60413581.799999997</v>
      </c>
    </row>
    <row r="1031" spans="1:9" x14ac:dyDescent="0.2">
      <c r="A1031" s="30">
        <v>45264</v>
      </c>
      <c r="B1031" s="1" t="s">
        <v>265</v>
      </c>
      <c r="C1031" s="38">
        <v>44957</v>
      </c>
      <c r="D1031" s="3">
        <v>330</v>
      </c>
      <c r="E1031" s="32">
        <v>45257</v>
      </c>
      <c r="F1031" s="2">
        <v>244589.4</v>
      </c>
      <c r="G1031" s="5">
        <v>741.18</v>
      </c>
      <c r="H1031" s="35">
        <f t="shared" si="32"/>
        <v>307</v>
      </c>
      <c r="I1031" s="43">
        <f t="shared" si="33"/>
        <v>75088945.799999997</v>
      </c>
    </row>
    <row r="1032" spans="1:9" x14ac:dyDescent="0.2">
      <c r="A1032" s="30">
        <v>45187</v>
      </c>
      <c r="B1032" s="1" t="s">
        <v>265</v>
      </c>
      <c r="C1032" s="38">
        <v>45176</v>
      </c>
      <c r="D1032" s="3">
        <v>1290</v>
      </c>
      <c r="E1032" s="32">
        <v>45135</v>
      </c>
      <c r="F1032" s="2">
        <v>956122.2</v>
      </c>
      <c r="G1032" s="5">
        <v>741.18</v>
      </c>
      <c r="H1032" s="35">
        <f t="shared" si="32"/>
        <v>11</v>
      </c>
      <c r="I1032" s="43">
        <f t="shared" si="33"/>
        <v>10517344.199999999</v>
      </c>
    </row>
    <row r="1033" spans="1:9" x14ac:dyDescent="0.2">
      <c r="A1033" s="30">
        <v>45188</v>
      </c>
      <c r="B1033" s="1" t="s">
        <v>265</v>
      </c>
      <c r="C1033" s="38">
        <v>45177</v>
      </c>
      <c r="D1033" s="3">
        <v>810</v>
      </c>
      <c r="E1033" s="32">
        <v>45180</v>
      </c>
      <c r="F1033" s="2">
        <v>600355.80000000005</v>
      </c>
      <c r="G1033" s="5">
        <v>741.18</v>
      </c>
      <c r="H1033" s="35">
        <f t="shared" si="32"/>
        <v>11</v>
      </c>
      <c r="I1033" s="43">
        <f t="shared" si="33"/>
        <v>6603913.8000000007</v>
      </c>
    </row>
    <row r="1034" spans="1:9" x14ac:dyDescent="0.2">
      <c r="A1034" s="30">
        <v>45204</v>
      </c>
      <c r="B1034" s="1" t="s">
        <v>265</v>
      </c>
      <c r="C1034" s="38">
        <v>44957</v>
      </c>
      <c r="D1034" s="3">
        <v>360</v>
      </c>
      <c r="E1034" s="32">
        <v>45197</v>
      </c>
      <c r="F1034" s="2">
        <v>266824.8</v>
      </c>
      <c r="G1034" s="5">
        <v>741.18</v>
      </c>
      <c r="H1034" s="35">
        <f t="shared" si="32"/>
        <v>247</v>
      </c>
      <c r="I1034" s="43">
        <f t="shared" si="33"/>
        <v>65905725.599999994</v>
      </c>
    </row>
    <row r="1035" spans="1:9" x14ac:dyDescent="0.2">
      <c r="A1035" s="30">
        <v>45225</v>
      </c>
      <c r="B1035" s="1" t="s">
        <v>265</v>
      </c>
      <c r="C1035" s="38">
        <v>44957</v>
      </c>
      <c r="D1035" s="3">
        <v>510</v>
      </c>
      <c r="E1035" s="32">
        <v>45218</v>
      </c>
      <c r="F1035" s="2">
        <v>378001.8</v>
      </c>
      <c r="G1035" s="5">
        <v>741.18</v>
      </c>
      <c r="H1035" s="35">
        <f t="shared" si="32"/>
        <v>268</v>
      </c>
      <c r="I1035" s="43">
        <f t="shared" si="33"/>
        <v>101304482.39999999</v>
      </c>
    </row>
    <row r="1036" spans="1:9" x14ac:dyDescent="0.2">
      <c r="A1036" s="30">
        <v>45236</v>
      </c>
      <c r="B1036" s="1" t="s">
        <v>265</v>
      </c>
      <c r="C1036" s="38">
        <v>44957</v>
      </c>
      <c r="D1036" s="3">
        <v>870</v>
      </c>
      <c r="E1036" s="32">
        <v>45229</v>
      </c>
      <c r="F1036" s="2">
        <v>644826.6</v>
      </c>
      <c r="G1036" s="5">
        <v>741.18</v>
      </c>
      <c r="H1036" s="35">
        <f t="shared" si="32"/>
        <v>279</v>
      </c>
      <c r="I1036" s="43">
        <f t="shared" si="33"/>
        <v>179906621.40000001</v>
      </c>
    </row>
    <row r="1037" spans="1:9" x14ac:dyDescent="0.2">
      <c r="A1037" s="30">
        <v>45264</v>
      </c>
      <c r="B1037" s="1" t="s">
        <v>265</v>
      </c>
      <c r="C1037" s="38">
        <v>44957</v>
      </c>
      <c r="D1037" s="3">
        <v>150</v>
      </c>
      <c r="E1037" s="32">
        <v>45257</v>
      </c>
      <c r="F1037" s="2">
        <v>111177</v>
      </c>
      <c r="G1037" s="5">
        <v>741.18</v>
      </c>
      <c r="H1037" s="35">
        <f t="shared" si="32"/>
        <v>307</v>
      </c>
      <c r="I1037" s="43">
        <f t="shared" si="33"/>
        <v>34131339</v>
      </c>
    </row>
    <row r="1038" spans="1:9" x14ac:dyDescent="0.2">
      <c r="A1038" s="30">
        <v>45421</v>
      </c>
      <c r="B1038" s="1" t="s">
        <v>265</v>
      </c>
      <c r="C1038" s="38">
        <v>45061</v>
      </c>
      <c r="D1038" s="3">
        <v>2370</v>
      </c>
      <c r="E1038" s="32">
        <v>45414</v>
      </c>
      <c r="F1038" s="2">
        <v>1756596.6</v>
      </c>
      <c r="G1038" s="5">
        <v>741.18</v>
      </c>
      <c r="H1038" s="35">
        <f t="shared" si="32"/>
        <v>360</v>
      </c>
      <c r="I1038" s="43">
        <f t="shared" si="33"/>
        <v>632374776</v>
      </c>
    </row>
    <row r="1039" spans="1:9" x14ac:dyDescent="0.2">
      <c r="A1039" s="30">
        <v>45411</v>
      </c>
      <c r="B1039" s="1" t="s">
        <v>265</v>
      </c>
      <c r="C1039" s="38">
        <v>45061</v>
      </c>
      <c r="D1039" s="3">
        <v>1080</v>
      </c>
      <c r="E1039" s="32">
        <v>45404</v>
      </c>
      <c r="F1039" s="2">
        <v>800474.4</v>
      </c>
      <c r="G1039" s="5">
        <v>741.18</v>
      </c>
      <c r="H1039" s="35">
        <f t="shared" si="32"/>
        <v>350</v>
      </c>
      <c r="I1039" s="43">
        <f t="shared" si="33"/>
        <v>280166040</v>
      </c>
    </row>
    <row r="1040" spans="1:9" x14ac:dyDescent="0.2">
      <c r="A1040" s="30">
        <v>45303</v>
      </c>
      <c r="B1040" s="1" t="s">
        <v>323</v>
      </c>
      <c r="C1040" s="38">
        <v>45161</v>
      </c>
      <c r="D1040" s="3">
        <v>160</v>
      </c>
      <c r="E1040" s="32">
        <v>45027</v>
      </c>
      <c r="F1040" s="2">
        <v>136057.60000000001</v>
      </c>
      <c r="G1040" s="5">
        <v>850.36</v>
      </c>
      <c r="H1040" s="35">
        <f t="shared" si="32"/>
        <v>142</v>
      </c>
      <c r="I1040" s="43">
        <f t="shared" si="33"/>
        <v>19320179.199999999</v>
      </c>
    </row>
    <row r="1041" spans="1:9" x14ac:dyDescent="0.2">
      <c r="A1041" s="30">
        <v>45303</v>
      </c>
      <c r="B1041" s="1" t="s">
        <v>323</v>
      </c>
      <c r="C1041" s="38">
        <v>45161</v>
      </c>
      <c r="D1041" s="3">
        <v>64</v>
      </c>
      <c r="E1041" s="32">
        <v>45034</v>
      </c>
      <c r="F1041" s="2">
        <v>54423.040000000001</v>
      </c>
      <c r="G1041" s="5">
        <v>850.36</v>
      </c>
      <c r="H1041" s="35">
        <f t="shared" si="32"/>
        <v>142</v>
      </c>
      <c r="I1041" s="43">
        <f t="shared" si="33"/>
        <v>7728071.6799999997</v>
      </c>
    </row>
    <row r="1042" spans="1:9" x14ac:dyDescent="0.2">
      <c r="A1042" s="30">
        <v>45259</v>
      </c>
      <c r="B1042" s="1" t="s">
        <v>323</v>
      </c>
      <c r="C1042" s="38">
        <v>44907</v>
      </c>
      <c r="D1042" s="3">
        <v>608</v>
      </c>
      <c r="E1042" s="32">
        <v>45245</v>
      </c>
      <c r="F1042" s="2">
        <v>517018.88</v>
      </c>
      <c r="G1042" s="5">
        <v>850.36</v>
      </c>
      <c r="H1042" s="35">
        <f t="shared" si="32"/>
        <v>352</v>
      </c>
      <c r="I1042" s="43">
        <f t="shared" si="33"/>
        <v>181990645.75999999</v>
      </c>
    </row>
    <row r="1043" spans="1:9" x14ac:dyDescent="0.2">
      <c r="A1043" s="30">
        <v>45282</v>
      </c>
      <c r="B1043" s="1" t="s">
        <v>323</v>
      </c>
      <c r="C1043" s="38">
        <v>44929</v>
      </c>
      <c r="D1043" s="3">
        <v>576</v>
      </c>
      <c r="E1043" s="32">
        <v>45282</v>
      </c>
      <c r="F1043" s="2">
        <v>489807.35999999999</v>
      </c>
      <c r="G1043" s="5">
        <v>850.36</v>
      </c>
      <c r="H1043" s="35">
        <f t="shared" si="32"/>
        <v>353</v>
      </c>
      <c r="I1043" s="43">
        <f t="shared" si="33"/>
        <v>172901998.07999998</v>
      </c>
    </row>
    <row r="1044" spans="1:9" x14ac:dyDescent="0.2">
      <c r="A1044" s="30">
        <v>45202</v>
      </c>
      <c r="B1044" s="1" t="s">
        <v>300</v>
      </c>
      <c r="C1044" s="38">
        <v>44850</v>
      </c>
      <c r="D1044" s="3">
        <v>55</v>
      </c>
      <c r="E1044" s="32">
        <v>45194</v>
      </c>
      <c r="F1044" s="2">
        <v>9579.9</v>
      </c>
      <c r="G1044" s="5">
        <v>174.18</v>
      </c>
      <c r="H1044" s="35">
        <f t="shared" si="32"/>
        <v>352</v>
      </c>
      <c r="I1044" s="43">
        <f t="shared" si="33"/>
        <v>3372124.8</v>
      </c>
    </row>
    <row r="1045" spans="1:9" x14ac:dyDescent="0.2">
      <c r="A1045" s="30">
        <v>45223</v>
      </c>
      <c r="B1045" s="1" t="s">
        <v>300</v>
      </c>
      <c r="C1045" s="38">
        <v>44972</v>
      </c>
      <c r="D1045" s="3">
        <v>60</v>
      </c>
      <c r="E1045" s="32">
        <v>45216</v>
      </c>
      <c r="F1045" s="2">
        <v>10450.799999999999</v>
      </c>
      <c r="G1045" s="5">
        <v>174.18</v>
      </c>
      <c r="H1045" s="35">
        <f t="shared" si="32"/>
        <v>251</v>
      </c>
      <c r="I1045" s="43">
        <f t="shared" si="33"/>
        <v>2623150.7999999998</v>
      </c>
    </row>
    <row r="1046" spans="1:9" x14ac:dyDescent="0.2">
      <c r="A1046" s="30">
        <v>45205</v>
      </c>
      <c r="B1046" s="1" t="s">
        <v>300</v>
      </c>
      <c r="C1046" s="38">
        <v>44972</v>
      </c>
      <c r="D1046" s="3">
        <v>81</v>
      </c>
      <c r="E1046" s="32">
        <v>45188</v>
      </c>
      <c r="F1046" s="2">
        <v>14108.58</v>
      </c>
      <c r="G1046" s="5">
        <v>174.18</v>
      </c>
      <c r="H1046" s="35">
        <f t="shared" si="32"/>
        <v>233</v>
      </c>
      <c r="I1046" s="43">
        <f t="shared" si="33"/>
        <v>3287299.14</v>
      </c>
    </row>
    <row r="1047" spans="1:9" x14ac:dyDescent="0.2">
      <c r="A1047" s="30">
        <v>45251</v>
      </c>
      <c r="B1047" s="1" t="s">
        <v>300</v>
      </c>
      <c r="C1047" s="38">
        <v>44879</v>
      </c>
      <c r="D1047" s="3">
        <v>26</v>
      </c>
      <c r="E1047" s="32">
        <v>45244</v>
      </c>
      <c r="F1047" s="2">
        <v>4528.68</v>
      </c>
      <c r="G1047" s="5">
        <v>174.18</v>
      </c>
      <c r="H1047" s="35">
        <f t="shared" si="32"/>
        <v>372</v>
      </c>
      <c r="I1047" s="43">
        <f t="shared" si="33"/>
        <v>1684668.9600000002</v>
      </c>
    </row>
    <row r="1048" spans="1:9" x14ac:dyDescent="0.2">
      <c r="A1048" s="30">
        <v>45279</v>
      </c>
      <c r="B1048" s="1" t="s">
        <v>300</v>
      </c>
      <c r="C1048" s="38">
        <v>44910</v>
      </c>
      <c r="D1048" s="3">
        <v>60</v>
      </c>
      <c r="E1048" s="32">
        <v>45272</v>
      </c>
      <c r="F1048" s="2">
        <v>10450.799999999999</v>
      </c>
      <c r="G1048" s="5">
        <v>174.18</v>
      </c>
      <c r="H1048" s="35">
        <f t="shared" si="32"/>
        <v>369</v>
      </c>
      <c r="I1048" s="43">
        <f t="shared" si="33"/>
        <v>3856345.1999999997</v>
      </c>
    </row>
    <row r="1049" spans="1:9" x14ac:dyDescent="0.2">
      <c r="A1049" s="30">
        <v>45282</v>
      </c>
      <c r="B1049" s="1" t="s">
        <v>300</v>
      </c>
      <c r="C1049" s="38">
        <v>44928</v>
      </c>
      <c r="D1049" s="3">
        <v>192</v>
      </c>
      <c r="E1049" s="32">
        <v>45272</v>
      </c>
      <c r="F1049" s="2">
        <v>33442.559999999998</v>
      </c>
      <c r="G1049" s="5">
        <v>174.18</v>
      </c>
      <c r="H1049" s="35">
        <f t="shared" si="32"/>
        <v>354</v>
      </c>
      <c r="I1049" s="43">
        <f t="shared" si="33"/>
        <v>11838666.239999998</v>
      </c>
    </row>
    <row r="1050" spans="1:9" x14ac:dyDescent="0.2">
      <c r="A1050" s="30">
        <v>45233</v>
      </c>
      <c r="B1050" s="1" t="s">
        <v>300</v>
      </c>
      <c r="C1050" s="38">
        <v>44972</v>
      </c>
      <c r="D1050" s="3">
        <v>192</v>
      </c>
      <c r="E1050" s="32">
        <v>45209</v>
      </c>
      <c r="F1050" s="2">
        <v>33442.559999999998</v>
      </c>
      <c r="G1050" s="5">
        <v>174.18</v>
      </c>
      <c r="H1050" s="35">
        <f t="shared" si="32"/>
        <v>261</v>
      </c>
      <c r="I1050" s="43">
        <f t="shared" si="33"/>
        <v>8728508.1600000001</v>
      </c>
    </row>
    <row r="1051" spans="1:9" x14ac:dyDescent="0.2">
      <c r="A1051" s="30">
        <v>45282</v>
      </c>
      <c r="B1051" s="1" t="s">
        <v>300</v>
      </c>
      <c r="C1051" s="38">
        <v>44928</v>
      </c>
      <c r="D1051" s="3">
        <v>126</v>
      </c>
      <c r="E1051" s="32">
        <v>45237</v>
      </c>
      <c r="F1051" s="2">
        <v>21946.68</v>
      </c>
      <c r="G1051" s="5">
        <v>174.18</v>
      </c>
      <c r="H1051" s="35">
        <f t="shared" si="32"/>
        <v>354</v>
      </c>
      <c r="I1051" s="43">
        <f t="shared" si="33"/>
        <v>7769124.7199999997</v>
      </c>
    </row>
    <row r="1052" spans="1:9" x14ac:dyDescent="0.2">
      <c r="A1052" s="30">
        <v>45233</v>
      </c>
      <c r="B1052" s="1" t="s">
        <v>300</v>
      </c>
      <c r="C1052" s="38">
        <v>44972</v>
      </c>
      <c r="D1052" s="3">
        <v>126</v>
      </c>
      <c r="E1052" s="32">
        <v>45181</v>
      </c>
      <c r="F1052" s="2">
        <v>21946.68</v>
      </c>
      <c r="G1052" s="5">
        <v>174.18</v>
      </c>
      <c r="H1052" s="35">
        <f t="shared" si="32"/>
        <v>261</v>
      </c>
      <c r="I1052" s="43">
        <f t="shared" si="33"/>
        <v>5728083.4800000004</v>
      </c>
    </row>
    <row r="1053" spans="1:9" x14ac:dyDescent="0.2">
      <c r="A1053" s="30">
        <v>45300</v>
      </c>
      <c r="B1053" s="1" t="s">
        <v>300</v>
      </c>
      <c r="C1053" s="38">
        <v>44936</v>
      </c>
      <c r="D1053" s="3">
        <v>29</v>
      </c>
      <c r="E1053" s="32">
        <v>45300</v>
      </c>
      <c r="F1053" s="2">
        <v>5051.22</v>
      </c>
      <c r="G1053" s="5">
        <v>174.18</v>
      </c>
      <c r="H1053" s="35">
        <f t="shared" si="32"/>
        <v>364</v>
      </c>
      <c r="I1053" s="43">
        <f t="shared" si="33"/>
        <v>1838644.08</v>
      </c>
    </row>
    <row r="1054" spans="1:9" x14ac:dyDescent="0.2">
      <c r="A1054" s="30">
        <v>45261</v>
      </c>
      <c r="B1054" s="1" t="s">
        <v>300</v>
      </c>
      <c r="C1054" s="38">
        <v>45004</v>
      </c>
      <c r="D1054" s="3">
        <v>15</v>
      </c>
      <c r="E1054" s="32">
        <v>45254</v>
      </c>
      <c r="F1054" s="2">
        <v>2612.6999999999998</v>
      </c>
      <c r="G1054" s="5">
        <v>174.18</v>
      </c>
      <c r="H1054" s="35">
        <f t="shared" si="32"/>
        <v>257</v>
      </c>
      <c r="I1054" s="43">
        <f t="shared" si="33"/>
        <v>671463.89999999991</v>
      </c>
    </row>
    <row r="1055" spans="1:9" x14ac:dyDescent="0.2">
      <c r="A1055" s="30">
        <v>45357</v>
      </c>
      <c r="B1055" s="1" t="s">
        <v>300</v>
      </c>
      <c r="C1055" s="38">
        <v>45004</v>
      </c>
      <c r="D1055" s="3">
        <v>208</v>
      </c>
      <c r="E1055" s="32">
        <v>45286</v>
      </c>
      <c r="F1055" s="2">
        <v>36229.440000000002</v>
      </c>
      <c r="G1055" s="5">
        <v>174.18</v>
      </c>
      <c r="H1055" s="35">
        <f t="shared" si="32"/>
        <v>353</v>
      </c>
      <c r="I1055" s="43">
        <f t="shared" si="33"/>
        <v>12788992.32</v>
      </c>
    </row>
    <row r="1056" spans="1:9" x14ac:dyDescent="0.2">
      <c r="A1056" s="30">
        <v>45357</v>
      </c>
      <c r="B1056" s="1" t="s">
        <v>300</v>
      </c>
      <c r="C1056" s="38">
        <v>45004</v>
      </c>
      <c r="D1056" s="3">
        <v>308</v>
      </c>
      <c r="E1056" s="32">
        <v>45259</v>
      </c>
      <c r="F1056" s="2">
        <v>53647.44</v>
      </c>
      <c r="G1056" s="5">
        <v>174.18</v>
      </c>
      <c r="H1056" s="35">
        <f t="shared" si="32"/>
        <v>353</v>
      </c>
      <c r="I1056" s="43">
        <f t="shared" si="33"/>
        <v>18937546.32</v>
      </c>
    </row>
    <row r="1057" spans="1:9" x14ac:dyDescent="0.2">
      <c r="A1057" s="30">
        <v>45366</v>
      </c>
      <c r="B1057" s="1" t="s">
        <v>300</v>
      </c>
      <c r="C1057" s="38">
        <v>45004</v>
      </c>
      <c r="D1057" s="3">
        <v>52</v>
      </c>
      <c r="E1057" s="32">
        <v>45366</v>
      </c>
      <c r="F1057" s="2">
        <v>9057.36</v>
      </c>
      <c r="G1057" s="5">
        <v>174.18</v>
      </c>
      <c r="H1057" s="35">
        <f t="shared" si="32"/>
        <v>362</v>
      </c>
      <c r="I1057" s="43">
        <f t="shared" si="33"/>
        <v>3278764.3200000003</v>
      </c>
    </row>
    <row r="1058" spans="1:9" x14ac:dyDescent="0.2">
      <c r="A1058" s="30">
        <v>45357</v>
      </c>
      <c r="B1058" s="1" t="s">
        <v>300</v>
      </c>
      <c r="C1058" s="38">
        <v>45004</v>
      </c>
      <c r="D1058" s="3">
        <v>69</v>
      </c>
      <c r="E1058" s="32">
        <v>45321</v>
      </c>
      <c r="F1058" s="2">
        <v>12018.42</v>
      </c>
      <c r="G1058" s="5">
        <v>174.18</v>
      </c>
      <c r="H1058" s="35">
        <f t="shared" si="32"/>
        <v>353</v>
      </c>
      <c r="I1058" s="43">
        <f t="shared" si="33"/>
        <v>4242502.26</v>
      </c>
    </row>
    <row r="1059" spans="1:9" x14ac:dyDescent="0.2">
      <c r="A1059" s="30">
        <v>45401</v>
      </c>
      <c r="B1059" s="1" t="s">
        <v>300</v>
      </c>
      <c r="C1059" s="38">
        <v>45036</v>
      </c>
      <c r="D1059" s="3">
        <v>30</v>
      </c>
      <c r="E1059" s="32">
        <v>45401</v>
      </c>
      <c r="F1059" s="2">
        <v>5225.3999999999996</v>
      </c>
      <c r="G1059" s="5">
        <v>174.18</v>
      </c>
      <c r="H1059" s="35">
        <f t="shared" si="32"/>
        <v>365</v>
      </c>
      <c r="I1059" s="43">
        <f t="shared" si="33"/>
        <v>1907270.9999999998</v>
      </c>
    </row>
    <row r="1060" spans="1:9" x14ac:dyDescent="0.2">
      <c r="A1060" s="30">
        <v>45399</v>
      </c>
      <c r="B1060" s="1" t="s">
        <v>300</v>
      </c>
      <c r="C1060" s="38">
        <v>45032</v>
      </c>
      <c r="D1060" s="3">
        <v>15</v>
      </c>
      <c r="E1060" s="32">
        <v>45399</v>
      </c>
      <c r="F1060" s="2">
        <v>2612.6999999999998</v>
      </c>
      <c r="G1060" s="5">
        <v>174.18</v>
      </c>
      <c r="H1060" s="35">
        <f t="shared" si="32"/>
        <v>367</v>
      </c>
      <c r="I1060" s="43">
        <f t="shared" si="33"/>
        <v>958860.89999999991</v>
      </c>
    </row>
    <row r="1061" spans="1:9" x14ac:dyDescent="0.2">
      <c r="A1061" s="30">
        <v>45399</v>
      </c>
      <c r="B1061" s="1" t="s">
        <v>300</v>
      </c>
      <c r="C1061" s="38">
        <v>45045</v>
      </c>
      <c r="D1061" s="3">
        <v>45</v>
      </c>
      <c r="E1061" s="32">
        <v>45399</v>
      </c>
      <c r="F1061" s="2">
        <v>7838.1</v>
      </c>
      <c r="G1061" s="5">
        <v>174.18</v>
      </c>
      <c r="H1061" s="35">
        <f t="shared" si="32"/>
        <v>354</v>
      </c>
      <c r="I1061" s="43">
        <f t="shared" si="33"/>
        <v>2774687.4</v>
      </c>
    </row>
    <row r="1062" spans="1:9" x14ac:dyDescent="0.2">
      <c r="A1062" s="30">
        <v>45422</v>
      </c>
      <c r="B1062" s="1" t="s">
        <v>300</v>
      </c>
      <c r="C1062" s="38">
        <v>45066</v>
      </c>
      <c r="D1062" s="3">
        <v>30</v>
      </c>
      <c r="E1062" s="32">
        <v>45422</v>
      </c>
      <c r="F1062" s="2">
        <v>5225.3999999999996</v>
      </c>
      <c r="G1062" s="5">
        <v>174.18</v>
      </c>
      <c r="H1062" s="35">
        <f t="shared" si="32"/>
        <v>356</v>
      </c>
      <c r="I1062" s="43">
        <f t="shared" si="33"/>
        <v>1860242.4</v>
      </c>
    </row>
    <row r="1063" spans="1:9" x14ac:dyDescent="0.2">
      <c r="A1063" s="30">
        <v>45211</v>
      </c>
      <c r="B1063" s="1" t="s">
        <v>301</v>
      </c>
      <c r="C1063" s="38">
        <v>44840</v>
      </c>
      <c r="D1063" s="3">
        <v>846</v>
      </c>
      <c r="E1063" s="32">
        <v>45204</v>
      </c>
      <c r="F1063" s="2">
        <v>57680.28</v>
      </c>
      <c r="G1063" s="5">
        <v>68.180000000000007</v>
      </c>
      <c r="H1063" s="35">
        <f t="shared" si="32"/>
        <v>371</v>
      </c>
      <c r="I1063" s="43">
        <f t="shared" si="33"/>
        <v>21399383.879999999</v>
      </c>
    </row>
    <row r="1064" spans="1:9" x14ac:dyDescent="0.2">
      <c r="A1064" s="30">
        <v>45267</v>
      </c>
      <c r="B1064" s="1" t="s">
        <v>301</v>
      </c>
      <c r="C1064" s="38">
        <v>44881</v>
      </c>
      <c r="D1064" s="3">
        <v>360</v>
      </c>
      <c r="E1064" s="32">
        <v>45260</v>
      </c>
      <c r="F1064" s="2">
        <v>24544.799999999999</v>
      </c>
      <c r="G1064" s="5">
        <v>68.180000000000007</v>
      </c>
      <c r="H1064" s="35">
        <f t="shared" si="32"/>
        <v>386</v>
      </c>
      <c r="I1064" s="43">
        <f t="shared" si="33"/>
        <v>9474292.7999999989</v>
      </c>
    </row>
    <row r="1065" spans="1:9" x14ac:dyDescent="0.2">
      <c r="A1065" s="30">
        <v>45197</v>
      </c>
      <c r="B1065" s="1" t="s">
        <v>267</v>
      </c>
      <c r="C1065" s="38">
        <v>44957</v>
      </c>
      <c r="D1065" s="3">
        <v>930</v>
      </c>
      <c r="E1065" s="32">
        <v>45139</v>
      </c>
      <c r="F1065" s="2">
        <v>778289.1</v>
      </c>
      <c r="G1065" s="5">
        <v>836.87</v>
      </c>
      <c r="H1065" s="35">
        <f t="shared" si="32"/>
        <v>240</v>
      </c>
      <c r="I1065" s="43">
        <f t="shared" si="33"/>
        <v>186789384</v>
      </c>
    </row>
    <row r="1066" spans="1:9" x14ac:dyDescent="0.2">
      <c r="A1066" s="30">
        <v>45197</v>
      </c>
      <c r="B1066" s="1" t="s">
        <v>267</v>
      </c>
      <c r="C1066" s="38">
        <v>44957</v>
      </c>
      <c r="D1066" s="3">
        <v>1065</v>
      </c>
      <c r="E1066" s="32">
        <v>45176</v>
      </c>
      <c r="F1066" s="2">
        <v>891266.55</v>
      </c>
      <c r="G1066" s="5">
        <v>836.87</v>
      </c>
      <c r="H1066" s="35">
        <f t="shared" si="32"/>
        <v>240</v>
      </c>
      <c r="I1066" s="43">
        <f t="shared" si="33"/>
        <v>213903972</v>
      </c>
    </row>
    <row r="1067" spans="1:9" x14ac:dyDescent="0.2">
      <c r="A1067" s="30">
        <v>45190</v>
      </c>
      <c r="B1067" s="1" t="s">
        <v>267</v>
      </c>
      <c r="C1067" s="38">
        <v>44957</v>
      </c>
      <c r="D1067" s="3">
        <v>2250</v>
      </c>
      <c r="E1067" s="32">
        <v>45110</v>
      </c>
      <c r="F1067" s="2">
        <v>1882957.5</v>
      </c>
      <c r="G1067" s="5">
        <v>836.87</v>
      </c>
      <c r="H1067" s="35">
        <f t="shared" si="32"/>
        <v>233</v>
      </c>
      <c r="I1067" s="43">
        <f t="shared" si="33"/>
        <v>438729097.5</v>
      </c>
    </row>
    <row r="1068" spans="1:9" x14ac:dyDescent="0.2">
      <c r="A1068" s="30">
        <v>45184</v>
      </c>
      <c r="B1068" s="1" t="s">
        <v>267</v>
      </c>
      <c r="C1068" s="38">
        <v>45175</v>
      </c>
      <c r="D1068" s="3">
        <v>675</v>
      </c>
      <c r="E1068" s="32">
        <v>45092</v>
      </c>
      <c r="F1068" s="2">
        <v>564887.25</v>
      </c>
      <c r="G1068" s="5">
        <v>836.87</v>
      </c>
      <c r="H1068" s="35">
        <f t="shared" si="32"/>
        <v>9</v>
      </c>
      <c r="I1068" s="43">
        <f t="shared" si="33"/>
        <v>5083985.25</v>
      </c>
    </row>
    <row r="1069" spans="1:9" x14ac:dyDescent="0.2">
      <c r="A1069" s="30">
        <v>45198</v>
      </c>
      <c r="B1069" s="1" t="s">
        <v>267</v>
      </c>
      <c r="C1069" s="38">
        <v>44957</v>
      </c>
      <c r="D1069" s="3">
        <v>600</v>
      </c>
      <c r="E1069" s="32">
        <v>45184</v>
      </c>
      <c r="F1069" s="2">
        <v>502122</v>
      </c>
      <c r="G1069" s="5">
        <v>836.87</v>
      </c>
      <c r="H1069" s="35">
        <f t="shared" si="32"/>
        <v>241</v>
      </c>
      <c r="I1069" s="43">
        <f t="shared" si="33"/>
        <v>121011402</v>
      </c>
    </row>
    <row r="1070" spans="1:9" x14ac:dyDescent="0.2">
      <c r="A1070" s="30">
        <v>45198</v>
      </c>
      <c r="B1070" s="1" t="s">
        <v>267</v>
      </c>
      <c r="C1070" s="38">
        <v>44957</v>
      </c>
      <c r="D1070" s="3">
        <v>120</v>
      </c>
      <c r="E1070" s="32">
        <v>45184</v>
      </c>
      <c r="F1070" s="2">
        <v>100424.4</v>
      </c>
      <c r="G1070" s="5">
        <v>836.87</v>
      </c>
      <c r="H1070" s="35">
        <f t="shared" si="32"/>
        <v>241</v>
      </c>
      <c r="I1070" s="43">
        <f t="shared" si="33"/>
        <v>24202280.399999999</v>
      </c>
    </row>
    <row r="1071" spans="1:9" x14ac:dyDescent="0.2">
      <c r="A1071" s="30">
        <v>45225</v>
      </c>
      <c r="B1071" s="1" t="s">
        <v>267</v>
      </c>
      <c r="C1071" s="38">
        <v>44957</v>
      </c>
      <c r="D1071" s="3">
        <v>30</v>
      </c>
      <c r="E1071" s="32">
        <v>45218</v>
      </c>
      <c r="F1071" s="2">
        <v>25106.1</v>
      </c>
      <c r="G1071" s="5">
        <v>836.87</v>
      </c>
      <c r="H1071" s="35">
        <f t="shared" si="32"/>
        <v>268</v>
      </c>
      <c r="I1071" s="43">
        <f t="shared" si="33"/>
        <v>6728434.7999999998</v>
      </c>
    </row>
    <row r="1072" spans="1:9" x14ac:dyDescent="0.2">
      <c r="A1072" s="30">
        <v>45421</v>
      </c>
      <c r="B1072" s="1" t="s">
        <v>267</v>
      </c>
      <c r="C1072" s="38">
        <v>45055</v>
      </c>
      <c r="D1072" s="3">
        <v>585</v>
      </c>
      <c r="E1072" s="32">
        <v>45421</v>
      </c>
      <c r="F1072" s="2">
        <v>489568.95</v>
      </c>
      <c r="G1072" s="5">
        <v>836.87</v>
      </c>
      <c r="H1072" s="35">
        <f t="shared" si="32"/>
        <v>366</v>
      </c>
      <c r="I1072" s="43">
        <f t="shared" si="33"/>
        <v>179182235.70000002</v>
      </c>
    </row>
    <row r="1073" spans="1:9" x14ac:dyDescent="0.2">
      <c r="A1073" s="30">
        <v>45303</v>
      </c>
      <c r="B1073" s="1" t="s">
        <v>302</v>
      </c>
      <c r="C1073" s="38">
        <v>45161</v>
      </c>
      <c r="D1073" s="3">
        <v>538</v>
      </c>
      <c r="E1073" s="32">
        <v>44778</v>
      </c>
      <c r="F1073" s="2">
        <v>993653.72</v>
      </c>
      <c r="G1073" s="5">
        <v>1846.94</v>
      </c>
      <c r="H1073" s="35">
        <f t="shared" si="32"/>
        <v>142</v>
      </c>
      <c r="I1073" s="43">
        <f t="shared" si="33"/>
        <v>141098828.24000001</v>
      </c>
    </row>
    <row r="1074" spans="1:9" x14ac:dyDescent="0.2">
      <c r="A1074" s="30">
        <v>45303</v>
      </c>
      <c r="B1074" s="1" t="s">
        <v>302</v>
      </c>
      <c r="C1074" s="38">
        <v>45161</v>
      </c>
      <c r="D1074" s="3">
        <v>351</v>
      </c>
      <c r="E1074" s="32">
        <v>45002</v>
      </c>
      <c r="F1074" s="2">
        <v>648275.93999999994</v>
      </c>
      <c r="G1074" s="5">
        <v>1846.94</v>
      </c>
      <c r="H1074" s="35">
        <f t="shared" si="32"/>
        <v>142</v>
      </c>
      <c r="I1074" s="43">
        <f t="shared" si="33"/>
        <v>92055183.479999989</v>
      </c>
    </row>
    <row r="1075" spans="1:9" x14ac:dyDescent="0.2">
      <c r="A1075" s="30">
        <v>45303</v>
      </c>
      <c r="B1075" s="1" t="s">
        <v>302</v>
      </c>
      <c r="C1075" s="38">
        <v>45161</v>
      </c>
      <c r="D1075" s="3">
        <v>455</v>
      </c>
      <c r="E1075" s="32">
        <v>45030</v>
      </c>
      <c r="F1075" s="2">
        <v>840357.7</v>
      </c>
      <c r="G1075" s="5">
        <v>1846.94</v>
      </c>
      <c r="H1075" s="35">
        <f t="shared" si="32"/>
        <v>142</v>
      </c>
      <c r="I1075" s="43">
        <f t="shared" si="33"/>
        <v>119330793.39999999</v>
      </c>
    </row>
    <row r="1076" spans="1:9" x14ac:dyDescent="0.2">
      <c r="A1076" s="30">
        <v>45303</v>
      </c>
      <c r="B1076" s="1" t="s">
        <v>302</v>
      </c>
      <c r="C1076" s="38">
        <v>45161</v>
      </c>
      <c r="D1076" s="3">
        <v>110</v>
      </c>
      <c r="E1076" s="32">
        <v>45058</v>
      </c>
      <c r="F1076" s="2">
        <v>203163.4</v>
      </c>
      <c r="G1076" s="5">
        <v>1846.94</v>
      </c>
      <c r="H1076" s="35">
        <f t="shared" si="32"/>
        <v>142</v>
      </c>
      <c r="I1076" s="43">
        <f t="shared" si="33"/>
        <v>28849202.800000001</v>
      </c>
    </row>
    <row r="1077" spans="1:9" x14ac:dyDescent="0.2">
      <c r="A1077" s="30">
        <v>45303</v>
      </c>
      <c r="B1077" s="1" t="s">
        <v>302</v>
      </c>
      <c r="C1077" s="38">
        <v>45161</v>
      </c>
      <c r="D1077" s="3">
        <v>110</v>
      </c>
      <c r="E1077" s="32">
        <v>45058</v>
      </c>
      <c r="F1077" s="2">
        <v>203163.4</v>
      </c>
      <c r="G1077" s="5">
        <v>1846.94</v>
      </c>
      <c r="H1077" s="35">
        <f t="shared" si="32"/>
        <v>142</v>
      </c>
      <c r="I1077" s="43">
        <f t="shared" si="33"/>
        <v>28849202.800000001</v>
      </c>
    </row>
    <row r="1078" spans="1:9" x14ac:dyDescent="0.2">
      <c r="A1078" s="30">
        <v>45303</v>
      </c>
      <c r="B1078" s="1" t="s">
        <v>302</v>
      </c>
      <c r="C1078" s="38">
        <v>45161</v>
      </c>
      <c r="D1078" s="3">
        <v>108</v>
      </c>
      <c r="E1078" s="32">
        <v>45086</v>
      </c>
      <c r="F1078" s="2">
        <v>199469.52</v>
      </c>
      <c r="G1078" s="5">
        <v>1846.94</v>
      </c>
      <c r="H1078" s="35">
        <f t="shared" si="32"/>
        <v>142</v>
      </c>
      <c r="I1078" s="43">
        <f t="shared" si="33"/>
        <v>28324671.84</v>
      </c>
    </row>
    <row r="1079" spans="1:9" x14ac:dyDescent="0.2">
      <c r="A1079" s="30">
        <v>45303</v>
      </c>
      <c r="B1079" s="1" t="s">
        <v>302</v>
      </c>
      <c r="C1079" s="38">
        <v>45161</v>
      </c>
      <c r="D1079" s="3">
        <v>116</v>
      </c>
      <c r="E1079" s="32">
        <v>45058</v>
      </c>
      <c r="F1079" s="2">
        <v>214245.04</v>
      </c>
      <c r="G1079" s="5">
        <v>1846.94</v>
      </c>
      <c r="H1079" s="35">
        <f t="shared" si="32"/>
        <v>142</v>
      </c>
      <c r="I1079" s="43">
        <f t="shared" si="33"/>
        <v>30422795.68</v>
      </c>
    </row>
    <row r="1080" spans="1:9" x14ac:dyDescent="0.2">
      <c r="A1080" s="30">
        <v>45303</v>
      </c>
      <c r="B1080" s="1" t="s">
        <v>302</v>
      </c>
      <c r="C1080" s="38">
        <v>45161</v>
      </c>
      <c r="D1080" s="3">
        <v>13</v>
      </c>
      <c r="E1080" s="32">
        <v>45058</v>
      </c>
      <c r="F1080" s="2">
        <v>24010.22</v>
      </c>
      <c r="G1080" s="5">
        <v>1846.94</v>
      </c>
      <c r="H1080" s="35">
        <f t="shared" si="32"/>
        <v>142</v>
      </c>
      <c r="I1080" s="43">
        <f t="shared" si="33"/>
        <v>3409451.24</v>
      </c>
    </row>
    <row r="1081" spans="1:9" x14ac:dyDescent="0.2">
      <c r="A1081" s="30">
        <v>45303</v>
      </c>
      <c r="B1081" s="1" t="s">
        <v>302</v>
      </c>
      <c r="C1081" s="38">
        <v>45161</v>
      </c>
      <c r="D1081" s="3">
        <v>138</v>
      </c>
      <c r="E1081" s="32">
        <v>45086</v>
      </c>
      <c r="F1081" s="2">
        <v>254877.72</v>
      </c>
      <c r="G1081" s="5">
        <v>1846.94</v>
      </c>
      <c r="H1081" s="35">
        <f t="shared" si="32"/>
        <v>142</v>
      </c>
      <c r="I1081" s="43">
        <f t="shared" si="33"/>
        <v>36192636.240000002</v>
      </c>
    </row>
    <row r="1082" spans="1:9" x14ac:dyDescent="0.2">
      <c r="A1082" s="30">
        <v>45303</v>
      </c>
      <c r="B1082" s="1" t="s">
        <v>302</v>
      </c>
      <c r="C1082" s="38">
        <v>45161</v>
      </c>
      <c r="D1082" s="3">
        <v>108</v>
      </c>
      <c r="E1082" s="32">
        <v>45086</v>
      </c>
      <c r="F1082" s="2">
        <v>199469.52</v>
      </c>
      <c r="G1082" s="5">
        <v>1846.94</v>
      </c>
      <c r="H1082" s="35">
        <f t="shared" si="32"/>
        <v>142</v>
      </c>
      <c r="I1082" s="43">
        <f t="shared" si="33"/>
        <v>28324671.84</v>
      </c>
    </row>
    <row r="1083" spans="1:9" x14ac:dyDescent="0.2">
      <c r="A1083" s="30">
        <v>45303</v>
      </c>
      <c r="B1083" s="1" t="s">
        <v>302</v>
      </c>
      <c r="C1083" s="38">
        <v>45161</v>
      </c>
      <c r="D1083" s="3">
        <v>138</v>
      </c>
      <c r="E1083" s="32">
        <v>45163</v>
      </c>
      <c r="F1083" s="2">
        <v>254877.72</v>
      </c>
      <c r="G1083" s="5">
        <v>1846.94</v>
      </c>
      <c r="H1083" s="35">
        <f t="shared" si="32"/>
        <v>142</v>
      </c>
      <c r="I1083" s="43">
        <f t="shared" si="33"/>
        <v>36192636.240000002</v>
      </c>
    </row>
    <row r="1084" spans="1:9" x14ac:dyDescent="0.2">
      <c r="A1084" s="30">
        <v>45303</v>
      </c>
      <c r="B1084" s="1" t="s">
        <v>302</v>
      </c>
      <c r="C1084" s="38">
        <v>45161</v>
      </c>
      <c r="D1084" s="3">
        <v>77</v>
      </c>
      <c r="E1084" s="32">
        <v>45175</v>
      </c>
      <c r="F1084" s="2">
        <v>142214.38</v>
      </c>
      <c r="G1084" s="5">
        <v>1846.94</v>
      </c>
      <c r="H1084" s="35">
        <f t="shared" si="32"/>
        <v>142</v>
      </c>
      <c r="I1084" s="43">
        <f t="shared" si="33"/>
        <v>20194441.960000001</v>
      </c>
    </row>
    <row r="1085" spans="1:9" x14ac:dyDescent="0.2">
      <c r="A1085" s="30">
        <v>45303</v>
      </c>
      <c r="B1085" s="1" t="s">
        <v>268</v>
      </c>
      <c r="C1085" s="38">
        <v>45161</v>
      </c>
      <c r="D1085" s="3">
        <v>519</v>
      </c>
      <c r="E1085" s="32">
        <v>44697</v>
      </c>
      <c r="F1085" s="2">
        <v>1258476.3899999999</v>
      </c>
      <c r="G1085" s="5">
        <v>2424.81</v>
      </c>
      <c r="H1085" s="35">
        <f t="shared" si="32"/>
        <v>142</v>
      </c>
      <c r="I1085" s="43">
        <f t="shared" si="33"/>
        <v>178703647.38</v>
      </c>
    </row>
    <row r="1086" spans="1:9" x14ac:dyDescent="0.2">
      <c r="A1086" s="30">
        <v>45303</v>
      </c>
      <c r="B1086" s="1" t="s">
        <v>268</v>
      </c>
      <c r="C1086" s="38">
        <v>45161</v>
      </c>
      <c r="D1086" s="3">
        <v>16</v>
      </c>
      <c r="E1086" s="32">
        <v>44602</v>
      </c>
      <c r="F1086" s="2">
        <v>38796.959999999999</v>
      </c>
      <c r="G1086" s="5">
        <v>2424.81</v>
      </c>
      <c r="H1086" s="35">
        <f t="shared" si="32"/>
        <v>142</v>
      </c>
      <c r="I1086" s="43">
        <f t="shared" si="33"/>
        <v>5509168.3200000003</v>
      </c>
    </row>
    <row r="1087" spans="1:9" x14ac:dyDescent="0.2">
      <c r="A1087" s="30">
        <v>45303</v>
      </c>
      <c r="B1087" s="1" t="s">
        <v>268</v>
      </c>
      <c r="C1087" s="38">
        <v>45161</v>
      </c>
      <c r="D1087" s="3">
        <v>64</v>
      </c>
      <c r="E1087" s="32">
        <v>44627</v>
      </c>
      <c r="F1087" s="2">
        <v>155187.84</v>
      </c>
      <c r="G1087" s="5">
        <v>2424.81</v>
      </c>
      <c r="H1087" s="35">
        <f t="shared" si="32"/>
        <v>142</v>
      </c>
      <c r="I1087" s="43">
        <f t="shared" si="33"/>
        <v>22036673.280000001</v>
      </c>
    </row>
    <row r="1088" spans="1:9" x14ac:dyDescent="0.2">
      <c r="A1088" s="30">
        <v>45303</v>
      </c>
      <c r="B1088" s="1" t="s">
        <v>268</v>
      </c>
      <c r="C1088" s="38">
        <v>45161</v>
      </c>
      <c r="D1088" s="3">
        <v>144</v>
      </c>
      <c r="E1088" s="32">
        <v>44833</v>
      </c>
      <c r="F1088" s="2">
        <v>349172.64</v>
      </c>
      <c r="G1088" s="5">
        <v>2424.81</v>
      </c>
      <c r="H1088" s="35">
        <f t="shared" si="32"/>
        <v>142</v>
      </c>
      <c r="I1088" s="43">
        <f t="shared" si="33"/>
        <v>49582514.880000003</v>
      </c>
    </row>
    <row r="1089" spans="1:9" x14ac:dyDescent="0.2">
      <c r="A1089" s="30">
        <v>45303</v>
      </c>
      <c r="B1089" s="1" t="s">
        <v>268</v>
      </c>
      <c r="C1089" s="38">
        <v>45161</v>
      </c>
      <c r="D1089" s="3">
        <v>272</v>
      </c>
      <c r="E1089" s="32">
        <v>44826</v>
      </c>
      <c r="F1089" s="2">
        <v>659548.31999999995</v>
      </c>
      <c r="G1089" s="5">
        <v>2424.81</v>
      </c>
      <c r="H1089" s="35">
        <f t="shared" si="32"/>
        <v>142</v>
      </c>
      <c r="I1089" s="43">
        <f t="shared" si="33"/>
        <v>93655861.439999998</v>
      </c>
    </row>
    <row r="1090" spans="1:9" x14ac:dyDescent="0.2">
      <c r="A1090" s="30">
        <v>45303</v>
      </c>
      <c r="B1090" s="1" t="s">
        <v>268</v>
      </c>
      <c r="C1090" s="38">
        <v>45161</v>
      </c>
      <c r="D1090" s="3">
        <v>16</v>
      </c>
      <c r="E1090" s="32">
        <v>44848</v>
      </c>
      <c r="F1090" s="2">
        <v>38796.959999999999</v>
      </c>
      <c r="G1090" s="5">
        <v>2424.81</v>
      </c>
      <c r="H1090" s="35">
        <f t="shared" si="32"/>
        <v>142</v>
      </c>
      <c r="I1090" s="43">
        <f t="shared" si="33"/>
        <v>5509168.3200000003</v>
      </c>
    </row>
    <row r="1091" spans="1:9" x14ac:dyDescent="0.2">
      <c r="A1091" s="30">
        <v>45338</v>
      </c>
      <c r="B1091" s="1" t="s">
        <v>268</v>
      </c>
      <c r="C1091" s="38">
        <v>45161</v>
      </c>
      <c r="D1091" s="3">
        <v>16</v>
      </c>
      <c r="E1091" s="32">
        <v>44875</v>
      </c>
      <c r="F1091" s="2">
        <v>38796.959999999999</v>
      </c>
      <c r="G1091" s="5">
        <v>2424.81</v>
      </c>
      <c r="H1091" s="35">
        <f t="shared" ref="H1091:H1093" si="34">IFERROR(A1091-C1091,"")</f>
        <v>177</v>
      </c>
      <c r="I1091" s="43">
        <f t="shared" ref="I1091:I1093" si="35">H1091*F1091</f>
        <v>6867061.9199999999</v>
      </c>
    </row>
    <row r="1092" spans="1:9" x14ac:dyDescent="0.2">
      <c r="A1092" s="30">
        <v>45338</v>
      </c>
      <c r="B1092" s="1" t="s">
        <v>270</v>
      </c>
      <c r="C1092" s="38">
        <v>45161</v>
      </c>
      <c r="D1092" s="3">
        <v>309</v>
      </c>
      <c r="E1092" s="32">
        <v>45226</v>
      </c>
      <c r="F1092" s="2">
        <v>1224999.6000000001</v>
      </c>
      <c r="G1092" s="5">
        <v>3964.4</v>
      </c>
      <c r="H1092" s="35">
        <f t="shared" si="34"/>
        <v>177</v>
      </c>
      <c r="I1092" s="43">
        <f t="shared" si="35"/>
        <v>216824929.20000002</v>
      </c>
    </row>
    <row r="1093" spans="1:9" x14ac:dyDescent="0.2">
      <c r="A1093" s="30">
        <v>45384</v>
      </c>
      <c r="B1093" s="1" t="s">
        <v>270</v>
      </c>
      <c r="C1093" s="38">
        <v>44866</v>
      </c>
      <c r="D1093" s="3">
        <v>300</v>
      </c>
      <c r="E1093" s="32">
        <v>45376</v>
      </c>
      <c r="F1093" s="2">
        <v>1189320</v>
      </c>
      <c r="G1093" s="5">
        <v>3964.4</v>
      </c>
      <c r="H1093" s="35">
        <f t="shared" si="34"/>
        <v>518</v>
      </c>
      <c r="I1093" s="43">
        <f t="shared" si="35"/>
        <v>616067760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3B21-7767-4410-BC77-3F0F15ACCEE6}">
  <dimension ref="A1:G7921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9.33203125" bestFit="1" customWidth="1"/>
    <col min="2" max="2" width="23.6640625" bestFit="1" customWidth="1"/>
    <col min="3" max="3" width="16.1640625" style="34" customWidth="1"/>
    <col min="4" max="4" width="26.33203125" bestFit="1" customWidth="1"/>
    <col min="5" max="5" width="19.5" bestFit="1" customWidth="1"/>
    <col min="6" max="6" width="23.1640625" bestFit="1" customWidth="1"/>
    <col min="7" max="7" width="12.5" style="6" bestFit="1" customWidth="1"/>
  </cols>
  <sheetData>
    <row r="1" spans="1:7" x14ac:dyDescent="0.2">
      <c r="A1" s="1" t="s">
        <v>30</v>
      </c>
      <c r="B1" s="1" t="s">
        <v>31</v>
      </c>
      <c r="C1" s="37" t="s">
        <v>32</v>
      </c>
      <c r="D1" s="1" t="s">
        <v>3</v>
      </c>
      <c r="E1" s="1" t="s">
        <v>11</v>
      </c>
      <c r="F1" s="1" t="s">
        <v>232</v>
      </c>
      <c r="G1" s="5" t="s">
        <v>29</v>
      </c>
    </row>
    <row r="2" spans="1:7" x14ac:dyDescent="0.2">
      <c r="A2" s="3">
        <v>60</v>
      </c>
      <c r="B2" s="2">
        <v>51628.800000000003</v>
      </c>
      <c r="C2" s="38">
        <v>44929</v>
      </c>
      <c r="D2" s="1" t="s">
        <v>85</v>
      </c>
      <c r="E2" s="1" t="s">
        <v>33</v>
      </c>
      <c r="F2" s="1" t="s">
        <v>199</v>
      </c>
      <c r="G2" s="5">
        <v>860.48</v>
      </c>
    </row>
    <row r="3" spans="1:7" x14ac:dyDescent="0.2">
      <c r="A3" s="3">
        <v>60</v>
      </c>
      <c r="B3" s="2">
        <v>51628.800000000003</v>
      </c>
      <c r="C3" s="38">
        <v>44929</v>
      </c>
      <c r="D3" s="1" t="s">
        <v>85</v>
      </c>
      <c r="E3" s="1" t="s">
        <v>33</v>
      </c>
      <c r="F3" s="1" t="s">
        <v>199</v>
      </c>
      <c r="G3" s="5">
        <v>860.48</v>
      </c>
    </row>
    <row r="4" spans="1:7" x14ac:dyDescent="0.2">
      <c r="A4" s="3">
        <v>60</v>
      </c>
      <c r="B4" s="2">
        <v>51628.800000000003</v>
      </c>
      <c r="C4" s="38">
        <v>44929</v>
      </c>
      <c r="D4" s="1" t="s">
        <v>85</v>
      </c>
      <c r="E4" s="1" t="s">
        <v>33</v>
      </c>
      <c r="F4" s="1" t="s">
        <v>199</v>
      </c>
      <c r="G4" s="5">
        <v>860.48</v>
      </c>
    </row>
    <row r="5" spans="1:7" x14ac:dyDescent="0.2">
      <c r="A5" s="3">
        <v>60</v>
      </c>
      <c r="B5" s="2">
        <v>51628.800000000003</v>
      </c>
      <c r="C5" s="38">
        <v>44929</v>
      </c>
      <c r="D5" s="1" t="s">
        <v>85</v>
      </c>
      <c r="E5" s="1" t="s">
        <v>33</v>
      </c>
      <c r="F5" s="1" t="s">
        <v>199</v>
      </c>
      <c r="G5" s="5">
        <v>860.48</v>
      </c>
    </row>
    <row r="6" spans="1:7" x14ac:dyDescent="0.2">
      <c r="A6" s="3">
        <v>60</v>
      </c>
      <c r="B6" s="2">
        <v>51628.800000000003</v>
      </c>
      <c r="C6" s="38">
        <v>44929</v>
      </c>
      <c r="D6" s="1" t="s">
        <v>85</v>
      </c>
      <c r="E6" s="1" t="s">
        <v>33</v>
      </c>
      <c r="F6" s="1" t="s">
        <v>199</v>
      </c>
      <c r="G6" s="5">
        <v>860.48</v>
      </c>
    </row>
    <row r="7" spans="1:7" x14ac:dyDescent="0.2">
      <c r="A7" s="3">
        <v>60</v>
      </c>
      <c r="B7" s="2">
        <v>51628.800000000003</v>
      </c>
      <c r="C7" s="38">
        <v>44929</v>
      </c>
      <c r="D7" s="1" t="s">
        <v>85</v>
      </c>
      <c r="E7" s="1" t="s">
        <v>33</v>
      </c>
      <c r="F7" s="1" t="s">
        <v>199</v>
      </c>
      <c r="G7" s="5">
        <v>860.48</v>
      </c>
    </row>
    <row r="8" spans="1:7" x14ac:dyDescent="0.2">
      <c r="A8" s="3">
        <v>60</v>
      </c>
      <c r="B8" s="2">
        <v>51628.800000000003</v>
      </c>
      <c r="C8" s="38">
        <v>44929</v>
      </c>
      <c r="D8" s="1" t="s">
        <v>85</v>
      </c>
      <c r="E8" s="1" t="s">
        <v>33</v>
      </c>
      <c r="F8" s="1" t="s">
        <v>199</v>
      </c>
      <c r="G8" s="5">
        <v>860.48</v>
      </c>
    </row>
    <row r="9" spans="1:7" x14ac:dyDescent="0.2">
      <c r="A9" s="3">
        <v>60</v>
      </c>
      <c r="B9" s="2">
        <v>51628.800000000003</v>
      </c>
      <c r="C9" s="38">
        <v>44929</v>
      </c>
      <c r="D9" s="1" t="s">
        <v>85</v>
      </c>
      <c r="E9" s="1" t="s">
        <v>33</v>
      </c>
      <c r="F9" s="1" t="s">
        <v>199</v>
      </c>
      <c r="G9" s="5">
        <v>860.48</v>
      </c>
    </row>
    <row r="10" spans="1:7" x14ac:dyDescent="0.2">
      <c r="A10" s="3">
        <v>60</v>
      </c>
      <c r="B10" s="2">
        <v>51628.800000000003</v>
      </c>
      <c r="C10" s="38">
        <v>44929</v>
      </c>
      <c r="D10" s="1" t="s">
        <v>85</v>
      </c>
      <c r="E10" s="1" t="s">
        <v>33</v>
      </c>
      <c r="F10" s="1" t="s">
        <v>199</v>
      </c>
      <c r="G10" s="5">
        <v>860.48</v>
      </c>
    </row>
    <row r="11" spans="1:7" x14ac:dyDescent="0.2">
      <c r="A11" s="3">
        <v>60</v>
      </c>
      <c r="B11" s="2">
        <v>51628.800000000003</v>
      </c>
      <c r="C11" s="38">
        <v>44929</v>
      </c>
      <c r="D11" s="1" t="s">
        <v>85</v>
      </c>
      <c r="E11" s="1" t="s">
        <v>33</v>
      </c>
      <c r="F11" s="1" t="s">
        <v>199</v>
      </c>
      <c r="G11" s="5">
        <v>860.48</v>
      </c>
    </row>
    <row r="12" spans="1:7" x14ac:dyDescent="0.2">
      <c r="A12" s="3">
        <v>60</v>
      </c>
      <c r="B12" s="2">
        <v>51628.800000000003</v>
      </c>
      <c r="C12" s="38">
        <v>44929</v>
      </c>
      <c r="D12" s="1" t="s">
        <v>85</v>
      </c>
      <c r="E12" s="1" t="s">
        <v>33</v>
      </c>
      <c r="F12" s="1" t="s">
        <v>199</v>
      </c>
      <c r="G12" s="5">
        <v>860.48</v>
      </c>
    </row>
    <row r="13" spans="1:7" x14ac:dyDescent="0.2">
      <c r="A13" s="3">
        <v>60</v>
      </c>
      <c r="B13" s="2">
        <v>51628.800000000003</v>
      </c>
      <c r="C13" s="38">
        <v>44929</v>
      </c>
      <c r="D13" s="1" t="s">
        <v>85</v>
      </c>
      <c r="E13" s="1" t="s">
        <v>33</v>
      </c>
      <c r="F13" s="1" t="s">
        <v>199</v>
      </c>
      <c r="G13" s="5">
        <v>860.48</v>
      </c>
    </row>
    <row r="14" spans="1:7" x14ac:dyDescent="0.2">
      <c r="A14" s="3">
        <v>60</v>
      </c>
      <c r="B14" s="2">
        <v>51628.800000000003</v>
      </c>
      <c r="C14" s="38">
        <v>44929</v>
      </c>
      <c r="D14" s="1" t="s">
        <v>85</v>
      </c>
      <c r="E14" s="1" t="s">
        <v>33</v>
      </c>
      <c r="F14" s="1" t="s">
        <v>199</v>
      </c>
      <c r="G14" s="5">
        <v>860.48</v>
      </c>
    </row>
    <row r="15" spans="1:7" x14ac:dyDescent="0.2">
      <c r="A15" s="3">
        <v>60</v>
      </c>
      <c r="B15" s="2">
        <v>51628.800000000003</v>
      </c>
      <c r="C15" s="38">
        <v>44929</v>
      </c>
      <c r="D15" s="1" t="s">
        <v>85</v>
      </c>
      <c r="E15" s="1" t="s">
        <v>33</v>
      </c>
      <c r="F15" s="1" t="s">
        <v>199</v>
      </c>
      <c r="G15" s="5">
        <v>860.48</v>
      </c>
    </row>
    <row r="16" spans="1:7" x14ac:dyDescent="0.2">
      <c r="A16" s="3">
        <v>60</v>
      </c>
      <c r="B16" s="2">
        <v>51628.800000000003</v>
      </c>
      <c r="C16" s="38">
        <v>44929</v>
      </c>
      <c r="D16" s="1" t="s">
        <v>85</v>
      </c>
      <c r="E16" s="1" t="s">
        <v>33</v>
      </c>
      <c r="F16" s="1" t="s">
        <v>199</v>
      </c>
      <c r="G16" s="5">
        <v>860.48</v>
      </c>
    </row>
    <row r="17" spans="1:7" x14ac:dyDescent="0.2">
      <c r="A17" s="3">
        <v>60</v>
      </c>
      <c r="B17" s="2">
        <v>51628.800000000003</v>
      </c>
      <c r="C17" s="38">
        <v>44929</v>
      </c>
      <c r="D17" s="1" t="s">
        <v>85</v>
      </c>
      <c r="E17" s="1" t="s">
        <v>33</v>
      </c>
      <c r="F17" s="1" t="s">
        <v>199</v>
      </c>
      <c r="G17" s="5">
        <v>860.48</v>
      </c>
    </row>
    <row r="18" spans="1:7" x14ac:dyDescent="0.2">
      <c r="A18" s="3">
        <v>60</v>
      </c>
      <c r="B18" s="2">
        <v>51628.800000000003</v>
      </c>
      <c r="C18" s="38">
        <v>44929</v>
      </c>
      <c r="D18" s="1" t="s">
        <v>85</v>
      </c>
      <c r="E18" s="1" t="s">
        <v>33</v>
      </c>
      <c r="F18" s="1" t="s">
        <v>199</v>
      </c>
      <c r="G18" s="5">
        <v>860.48</v>
      </c>
    </row>
    <row r="19" spans="1:7" x14ac:dyDescent="0.2">
      <c r="A19" s="3">
        <v>60</v>
      </c>
      <c r="B19" s="2">
        <v>51628.800000000003</v>
      </c>
      <c r="C19" s="38">
        <v>44929</v>
      </c>
      <c r="D19" s="1" t="s">
        <v>85</v>
      </c>
      <c r="E19" s="1" t="s">
        <v>33</v>
      </c>
      <c r="F19" s="1" t="s">
        <v>199</v>
      </c>
      <c r="G19" s="5">
        <v>860.48</v>
      </c>
    </row>
    <row r="20" spans="1:7" x14ac:dyDescent="0.2">
      <c r="A20" s="3">
        <v>60</v>
      </c>
      <c r="B20" s="2">
        <v>51628.800000000003</v>
      </c>
      <c r="C20" s="38">
        <v>44929</v>
      </c>
      <c r="D20" s="1" t="s">
        <v>85</v>
      </c>
      <c r="E20" s="1" t="s">
        <v>33</v>
      </c>
      <c r="F20" s="1" t="s">
        <v>199</v>
      </c>
      <c r="G20" s="5">
        <v>860.48</v>
      </c>
    </row>
    <row r="21" spans="1:7" x14ac:dyDescent="0.2">
      <c r="A21" s="3">
        <v>60</v>
      </c>
      <c r="B21" s="2">
        <v>51628.800000000003</v>
      </c>
      <c r="C21" s="38">
        <v>44929</v>
      </c>
      <c r="D21" s="1" t="s">
        <v>85</v>
      </c>
      <c r="E21" s="1" t="s">
        <v>33</v>
      </c>
      <c r="F21" s="1" t="s">
        <v>199</v>
      </c>
      <c r="G21" s="5">
        <v>860.48</v>
      </c>
    </row>
    <row r="22" spans="1:7" x14ac:dyDescent="0.2">
      <c r="A22" s="3">
        <v>60</v>
      </c>
      <c r="B22" s="2">
        <v>51628.800000000003</v>
      </c>
      <c r="C22" s="38">
        <v>44929</v>
      </c>
      <c r="D22" s="1" t="s">
        <v>85</v>
      </c>
      <c r="E22" s="1" t="s">
        <v>33</v>
      </c>
      <c r="F22" s="1" t="s">
        <v>199</v>
      </c>
      <c r="G22" s="5">
        <v>860.48</v>
      </c>
    </row>
    <row r="23" spans="1:7" x14ac:dyDescent="0.2">
      <c r="A23" s="3">
        <v>60</v>
      </c>
      <c r="B23" s="2">
        <v>51628.800000000003</v>
      </c>
      <c r="C23" s="38">
        <v>44929</v>
      </c>
      <c r="D23" s="1" t="s">
        <v>85</v>
      </c>
      <c r="E23" s="1" t="s">
        <v>33</v>
      </c>
      <c r="F23" s="1" t="s">
        <v>199</v>
      </c>
      <c r="G23" s="5">
        <v>860.48</v>
      </c>
    </row>
    <row r="24" spans="1:7" x14ac:dyDescent="0.2">
      <c r="A24" s="3">
        <v>60</v>
      </c>
      <c r="B24" s="2">
        <v>51628.800000000003</v>
      </c>
      <c r="C24" s="38">
        <v>44929</v>
      </c>
      <c r="D24" s="1" t="s">
        <v>85</v>
      </c>
      <c r="E24" s="1" t="s">
        <v>33</v>
      </c>
      <c r="F24" s="1" t="s">
        <v>199</v>
      </c>
      <c r="G24" s="5">
        <v>860.48</v>
      </c>
    </row>
    <row r="25" spans="1:7" x14ac:dyDescent="0.2">
      <c r="A25" s="3">
        <v>60</v>
      </c>
      <c r="B25" s="2">
        <v>51628.800000000003</v>
      </c>
      <c r="C25" s="38">
        <v>44862</v>
      </c>
      <c r="D25" s="1" t="s">
        <v>85</v>
      </c>
      <c r="E25" s="1" t="s">
        <v>33</v>
      </c>
      <c r="F25" s="1" t="s">
        <v>199</v>
      </c>
      <c r="G25" s="5">
        <v>860.48</v>
      </c>
    </row>
    <row r="26" spans="1:7" x14ac:dyDescent="0.2">
      <c r="A26" s="3">
        <v>60</v>
      </c>
      <c r="B26" s="2">
        <v>51628.800000000003</v>
      </c>
      <c r="C26" s="38">
        <v>44862</v>
      </c>
      <c r="D26" s="1" t="s">
        <v>85</v>
      </c>
      <c r="E26" s="1" t="s">
        <v>33</v>
      </c>
      <c r="F26" s="1" t="s">
        <v>199</v>
      </c>
      <c r="G26" s="5">
        <v>860.48</v>
      </c>
    </row>
    <row r="27" spans="1:7" x14ac:dyDescent="0.2">
      <c r="A27" s="3">
        <v>60</v>
      </c>
      <c r="B27" s="2">
        <v>51628.800000000003</v>
      </c>
      <c r="C27" s="38">
        <v>44862</v>
      </c>
      <c r="D27" s="1" t="s">
        <v>85</v>
      </c>
      <c r="E27" s="1" t="s">
        <v>33</v>
      </c>
      <c r="F27" s="1" t="s">
        <v>199</v>
      </c>
      <c r="G27" s="5">
        <v>860.48</v>
      </c>
    </row>
    <row r="28" spans="1:7" x14ac:dyDescent="0.2">
      <c r="A28" s="3">
        <v>60</v>
      </c>
      <c r="B28" s="2">
        <v>51628.800000000003</v>
      </c>
      <c r="C28" s="38">
        <v>44862</v>
      </c>
      <c r="D28" s="1" t="s">
        <v>85</v>
      </c>
      <c r="E28" s="1" t="s">
        <v>33</v>
      </c>
      <c r="F28" s="1" t="s">
        <v>199</v>
      </c>
      <c r="G28" s="5">
        <v>860.48</v>
      </c>
    </row>
    <row r="29" spans="1:7" x14ac:dyDescent="0.2">
      <c r="A29" s="3">
        <v>60</v>
      </c>
      <c r="B29" s="2">
        <v>51628.800000000003</v>
      </c>
      <c r="C29" s="38">
        <v>44862</v>
      </c>
      <c r="D29" s="1" t="s">
        <v>85</v>
      </c>
      <c r="E29" s="1" t="s">
        <v>33</v>
      </c>
      <c r="F29" s="1" t="s">
        <v>199</v>
      </c>
      <c r="G29" s="5">
        <v>860.48</v>
      </c>
    </row>
    <row r="30" spans="1:7" x14ac:dyDescent="0.2">
      <c r="A30" s="3">
        <v>60</v>
      </c>
      <c r="B30" s="2">
        <v>51628.800000000003</v>
      </c>
      <c r="C30" s="38">
        <v>44862</v>
      </c>
      <c r="D30" s="1" t="s">
        <v>85</v>
      </c>
      <c r="E30" s="1" t="s">
        <v>33</v>
      </c>
      <c r="F30" s="1" t="s">
        <v>199</v>
      </c>
      <c r="G30" s="5">
        <v>860.48</v>
      </c>
    </row>
    <row r="31" spans="1:7" x14ac:dyDescent="0.2">
      <c r="A31" s="3">
        <v>60</v>
      </c>
      <c r="B31" s="2">
        <v>51628.800000000003</v>
      </c>
      <c r="C31" s="38">
        <v>44862</v>
      </c>
      <c r="D31" s="1" t="s">
        <v>85</v>
      </c>
      <c r="E31" s="1" t="s">
        <v>33</v>
      </c>
      <c r="F31" s="1" t="s">
        <v>199</v>
      </c>
      <c r="G31" s="5">
        <v>860.48</v>
      </c>
    </row>
    <row r="32" spans="1:7" x14ac:dyDescent="0.2">
      <c r="A32" s="3">
        <v>60</v>
      </c>
      <c r="B32" s="2">
        <v>51628.800000000003</v>
      </c>
      <c r="C32" s="38">
        <v>44862</v>
      </c>
      <c r="D32" s="1" t="s">
        <v>85</v>
      </c>
      <c r="E32" s="1" t="s">
        <v>33</v>
      </c>
      <c r="F32" s="1" t="s">
        <v>199</v>
      </c>
      <c r="G32" s="5">
        <v>860.48</v>
      </c>
    </row>
    <row r="33" spans="1:7" x14ac:dyDescent="0.2">
      <c r="A33" s="3">
        <v>60</v>
      </c>
      <c r="B33" s="2">
        <v>51628.800000000003</v>
      </c>
      <c r="C33" s="38">
        <v>44862</v>
      </c>
      <c r="D33" s="1" t="s">
        <v>85</v>
      </c>
      <c r="E33" s="1" t="s">
        <v>33</v>
      </c>
      <c r="F33" s="1" t="s">
        <v>199</v>
      </c>
      <c r="G33" s="5">
        <v>860.48</v>
      </c>
    </row>
    <row r="34" spans="1:7" x14ac:dyDescent="0.2">
      <c r="A34" s="3">
        <v>60</v>
      </c>
      <c r="B34" s="2">
        <v>51628.800000000003</v>
      </c>
      <c r="C34" s="38">
        <v>44862</v>
      </c>
      <c r="D34" s="1" t="s">
        <v>85</v>
      </c>
      <c r="E34" s="1" t="s">
        <v>33</v>
      </c>
      <c r="F34" s="1" t="s">
        <v>199</v>
      </c>
      <c r="G34" s="5">
        <v>860.48</v>
      </c>
    </row>
    <row r="35" spans="1:7" x14ac:dyDescent="0.2">
      <c r="A35" s="3">
        <v>60</v>
      </c>
      <c r="B35" s="2">
        <v>51628.800000000003</v>
      </c>
      <c r="C35" s="38">
        <v>44862</v>
      </c>
      <c r="D35" s="1" t="s">
        <v>85</v>
      </c>
      <c r="E35" s="1" t="s">
        <v>33</v>
      </c>
      <c r="F35" s="1" t="s">
        <v>199</v>
      </c>
      <c r="G35" s="5">
        <v>860.48</v>
      </c>
    </row>
    <row r="36" spans="1:7" x14ac:dyDescent="0.2">
      <c r="A36" s="3">
        <v>60</v>
      </c>
      <c r="B36" s="2">
        <v>51628.800000000003</v>
      </c>
      <c r="C36" s="38">
        <v>44862</v>
      </c>
      <c r="D36" s="1" t="s">
        <v>85</v>
      </c>
      <c r="E36" s="1" t="s">
        <v>33</v>
      </c>
      <c r="F36" s="1" t="s">
        <v>199</v>
      </c>
      <c r="G36" s="5">
        <v>860.48</v>
      </c>
    </row>
    <row r="37" spans="1:7" x14ac:dyDescent="0.2">
      <c r="A37" s="3">
        <v>60</v>
      </c>
      <c r="B37" s="2">
        <v>51628.800000000003</v>
      </c>
      <c r="C37" s="38">
        <v>44862</v>
      </c>
      <c r="D37" s="1" t="s">
        <v>85</v>
      </c>
      <c r="E37" s="1" t="s">
        <v>33</v>
      </c>
      <c r="F37" s="1" t="s">
        <v>199</v>
      </c>
      <c r="G37" s="5">
        <v>860.48</v>
      </c>
    </row>
    <row r="38" spans="1:7" x14ac:dyDescent="0.2">
      <c r="A38" s="3">
        <v>60</v>
      </c>
      <c r="B38" s="2">
        <v>51628.800000000003</v>
      </c>
      <c r="C38" s="38">
        <v>44862</v>
      </c>
      <c r="D38" s="1" t="s">
        <v>85</v>
      </c>
      <c r="E38" s="1" t="s">
        <v>33</v>
      </c>
      <c r="F38" s="1" t="s">
        <v>199</v>
      </c>
      <c r="G38" s="5">
        <v>860.48</v>
      </c>
    </row>
    <row r="39" spans="1:7" x14ac:dyDescent="0.2">
      <c r="A39" s="3">
        <v>60</v>
      </c>
      <c r="B39" s="2">
        <v>51628.800000000003</v>
      </c>
      <c r="C39" s="38">
        <v>44862</v>
      </c>
      <c r="D39" s="1" t="s">
        <v>85</v>
      </c>
      <c r="E39" s="1" t="s">
        <v>33</v>
      </c>
      <c r="F39" s="1" t="s">
        <v>199</v>
      </c>
      <c r="G39" s="5">
        <v>860.48</v>
      </c>
    </row>
    <row r="40" spans="1:7" x14ac:dyDescent="0.2">
      <c r="A40" s="3">
        <v>60</v>
      </c>
      <c r="B40" s="2">
        <v>51628.800000000003</v>
      </c>
      <c r="C40" s="38">
        <v>44862</v>
      </c>
      <c r="D40" s="1" t="s">
        <v>85</v>
      </c>
      <c r="E40" s="1" t="s">
        <v>33</v>
      </c>
      <c r="F40" s="1" t="s">
        <v>199</v>
      </c>
      <c r="G40" s="5">
        <v>860.48</v>
      </c>
    </row>
    <row r="41" spans="1:7" x14ac:dyDescent="0.2">
      <c r="A41" s="3">
        <v>60</v>
      </c>
      <c r="B41" s="2">
        <v>51628.800000000003</v>
      </c>
      <c r="C41" s="38">
        <v>44862</v>
      </c>
      <c r="D41" s="1" t="s">
        <v>85</v>
      </c>
      <c r="E41" s="1" t="s">
        <v>33</v>
      </c>
      <c r="F41" s="1" t="s">
        <v>199</v>
      </c>
      <c r="G41" s="5">
        <v>860.48</v>
      </c>
    </row>
    <row r="42" spans="1:7" x14ac:dyDescent="0.2">
      <c r="A42" s="3">
        <v>60</v>
      </c>
      <c r="B42" s="2">
        <v>51628.800000000003</v>
      </c>
      <c r="C42" s="38">
        <v>44862</v>
      </c>
      <c r="D42" s="1" t="s">
        <v>85</v>
      </c>
      <c r="E42" s="1" t="s">
        <v>33</v>
      </c>
      <c r="F42" s="1" t="s">
        <v>199</v>
      </c>
      <c r="G42" s="5">
        <v>860.48</v>
      </c>
    </row>
    <row r="43" spans="1:7" x14ac:dyDescent="0.2">
      <c r="A43" s="3">
        <v>60</v>
      </c>
      <c r="B43" s="2">
        <v>51628.800000000003</v>
      </c>
      <c r="C43" s="38">
        <v>44862</v>
      </c>
      <c r="D43" s="1" t="s">
        <v>85</v>
      </c>
      <c r="E43" s="1" t="s">
        <v>33</v>
      </c>
      <c r="F43" s="1" t="s">
        <v>199</v>
      </c>
      <c r="G43" s="5">
        <v>860.48</v>
      </c>
    </row>
    <row r="44" spans="1:7" x14ac:dyDescent="0.2">
      <c r="A44" s="3">
        <v>60</v>
      </c>
      <c r="B44" s="2">
        <v>51628.800000000003</v>
      </c>
      <c r="C44" s="38">
        <v>44862</v>
      </c>
      <c r="D44" s="1" t="s">
        <v>85</v>
      </c>
      <c r="E44" s="1" t="s">
        <v>33</v>
      </c>
      <c r="F44" s="1" t="s">
        <v>199</v>
      </c>
      <c r="G44" s="5">
        <v>860.48</v>
      </c>
    </row>
    <row r="45" spans="1:7" x14ac:dyDescent="0.2">
      <c r="A45" s="3">
        <v>60</v>
      </c>
      <c r="B45" s="2">
        <v>51628.800000000003</v>
      </c>
      <c r="C45" s="38">
        <v>44862</v>
      </c>
      <c r="D45" s="1" t="s">
        <v>85</v>
      </c>
      <c r="E45" s="1" t="s">
        <v>33</v>
      </c>
      <c r="F45" s="1" t="s">
        <v>199</v>
      </c>
      <c r="G45" s="5">
        <v>860.48</v>
      </c>
    </row>
    <row r="46" spans="1:7" x14ac:dyDescent="0.2">
      <c r="A46" s="3">
        <v>60</v>
      </c>
      <c r="B46" s="2">
        <v>51628.800000000003</v>
      </c>
      <c r="C46" s="38">
        <v>44862</v>
      </c>
      <c r="D46" s="1" t="s">
        <v>85</v>
      </c>
      <c r="E46" s="1" t="s">
        <v>33</v>
      </c>
      <c r="F46" s="1" t="s">
        <v>199</v>
      </c>
      <c r="G46" s="5">
        <v>860.48</v>
      </c>
    </row>
    <row r="47" spans="1:7" x14ac:dyDescent="0.2">
      <c r="A47" s="3">
        <v>60</v>
      </c>
      <c r="B47" s="2">
        <v>51628.800000000003</v>
      </c>
      <c r="C47" s="38">
        <v>44862</v>
      </c>
      <c r="D47" s="1" t="s">
        <v>85</v>
      </c>
      <c r="E47" s="1" t="s">
        <v>33</v>
      </c>
      <c r="F47" s="1" t="s">
        <v>199</v>
      </c>
      <c r="G47" s="5">
        <v>860.48</v>
      </c>
    </row>
    <row r="48" spans="1:7" x14ac:dyDescent="0.2">
      <c r="A48" s="3">
        <v>60</v>
      </c>
      <c r="B48" s="2">
        <v>51628.800000000003</v>
      </c>
      <c r="C48" s="38">
        <v>44862</v>
      </c>
      <c r="D48" s="1" t="s">
        <v>85</v>
      </c>
      <c r="E48" s="1" t="s">
        <v>33</v>
      </c>
      <c r="F48" s="1" t="s">
        <v>199</v>
      </c>
      <c r="G48" s="5">
        <v>860.48</v>
      </c>
    </row>
    <row r="49" spans="1:7" x14ac:dyDescent="0.2">
      <c r="A49" s="3">
        <v>60</v>
      </c>
      <c r="B49" s="2">
        <v>51628.800000000003</v>
      </c>
      <c r="C49" s="38">
        <v>44862</v>
      </c>
      <c r="D49" s="1" t="s">
        <v>85</v>
      </c>
      <c r="E49" s="1" t="s">
        <v>33</v>
      </c>
      <c r="F49" s="1" t="s">
        <v>199</v>
      </c>
      <c r="G49" s="5">
        <v>860.48</v>
      </c>
    </row>
    <row r="50" spans="1:7" x14ac:dyDescent="0.2">
      <c r="A50" s="3">
        <v>60</v>
      </c>
      <c r="B50" s="2">
        <v>51628.800000000003</v>
      </c>
      <c r="C50" s="38">
        <v>44862</v>
      </c>
      <c r="D50" s="1" t="s">
        <v>85</v>
      </c>
      <c r="E50" s="1" t="s">
        <v>33</v>
      </c>
      <c r="F50" s="1" t="s">
        <v>199</v>
      </c>
      <c r="G50" s="5">
        <v>860.48</v>
      </c>
    </row>
    <row r="51" spans="1:7" x14ac:dyDescent="0.2">
      <c r="A51" s="3">
        <v>60</v>
      </c>
      <c r="B51" s="2">
        <v>51628.800000000003</v>
      </c>
      <c r="C51" s="38">
        <v>44862</v>
      </c>
      <c r="D51" s="1" t="s">
        <v>85</v>
      </c>
      <c r="E51" s="1" t="s">
        <v>33</v>
      </c>
      <c r="F51" s="1" t="s">
        <v>199</v>
      </c>
      <c r="G51" s="5">
        <v>860.48</v>
      </c>
    </row>
    <row r="52" spans="1:7" x14ac:dyDescent="0.2">
      <c r="A52" s="3">
        <v>60</v>
      </c>
      <c r="B52" s="2">
        <v>51628.800000000003</v>
      </c>
      <c r="C52" s="38">
        <v>44862</v>
      </c>
      <c r="D52" s="1" t="s">
        <v>85</v>
      </c>
      <c r="E52" s="1" t="s">
        <v>33</v>
      </c>
      <c r="F52" s="1" t="s">
        <v>199</v>
      </c>
      <c r="G52" s="5">
        <v>860.48</v>
      </c>
    </row>
    <row r="53" spans="1:7" x14ac:dyDescent="0.2">
      <c r="A53" s="3">
        <v>60</v>
      </c>
      <c r="B53" s="2">
        <v>51628.800000000003</v>
      </c>
      <c r="C53" s="38">
        <v>44862</v>
      </c>
      <c r="D53" s="1" t="s">
        <v>85</v>
      </c>
      <c r="E53" s="1" t="s">
        <v>33</v>
      </c>
      <c r="F53" s="1" t="s">
        <v>199</v>
      </c>
      <c r="G53" s="5">
        <v>860.48</v>
      </c>
    </row>
    <row r="54" spans="1:7" x14ac:dyDescent="0.2">
      <c r="A54" s="3">
        <v>60</v>
      </c>
      <c r="B54" s="2">
        <v>51628.800000000003</v>
      </c>
      <c r="C54" s="38">
        <v>44862</v>
      </c>
      <c r="D54" s="1" t="s">
        <v>85</v>
      </c>
      <c r="E54" s="1" t="s">
        <v>33</v>
      </c>
      <c r="F54" s="1" t="s">
        <v>199</v>
      </c>
      <c r="G54" s="5">
        <v>860.48</v>
      </c>
    </row>
    <row r="55" spans="1:7" x14ac:dyDescent="0.2">
      <c r="A55" s="3">
        <v>60</v>
      </c>
      <c r="B55" s="2">
        <v>51628.800000000003</v>
      </c>
      <c r="C55" s="38">
        <v>44862</v>
      </c>
      <c r="D55" s="1" t="s">
        <v>85</v>
      </c>
      <c r="E55" s="1" t="s">
        <v>33</v>
      </c>
      <c r="F55" s="1" t="s">
        <v>199</v>
      </c>
      <c r="G55" s="5">
        <v>860.48</v>
      </c>
    </row>
    <row r="56" spans="1:7" x14ac:dyDescent="0.2">
      <c r="A56" s="3">
        <v>60</v>
      </c>
      <c r="B56" s="2">
        <v>51628.800000000003</v>
      </c>
      <c r="C56" s="38">
        <v>44862</v>
      </c>
      <c r="D56" s="1" t="s">
        <v>85</v>
      </c>
      <c r="E56" s="1" t="s">
        <v>33</v>
      </c>
      <c r="F56" s="1" t="s">
        <v>199</v>
      </c>
      <c r="G56" s="5">
        <v>860.48</v>
      </c>
    </row>
    <row r="57" spans="1:7" x14ac:dyDescent="0.2">
      <c r="A57" s="3">
        <v>60</v>
      </c>
      <c r="B57" s="2">
        <v>51628.800000000003</v>
      </c>
      <c r="C57" s="38">
        <v>44862</v>
      </c>
      <c r="D57" s="1" t="s">
        <v>85</v>
      </c>
      <c r="E57" s="1" t="s">
        <v>33</v>
      </c>
      <c r="F57" s="1" t="s">
        <v>199</v>
      </c>
      <c r="G57" s="5">
        <v>860.48</v>
      </c>
    </row>
    <row r="58" spans="1:7" x14ac:dyDescent="0.2">
      <c r="A58" s="3">
        <v>60</v>
      </c>
      <c r="B58" s="2">
        <v>51628.800000000003</v>
      </c>
      <c r="C58" s="38">
        <v>44862</v>
      </c>
      <c r="D58" s="1" t="s">
        <v>85</v>
      </c>
      <c r="E58" s="1" t="s">
        <v>33</v>
      </c>
      <c r="F58" s="1" t="s">
        <v>199</v>
      </c>
      <c r="G58" s="5">
        <v>860.48</v>
      </c>
    </row>
    <row r="59" spans="1:7" x14ac:dyDescent="0.2">
      <c r="A59" s="3">
        <v>60</v>
      </c>
      <c r="B59" s="2">
        <v>51628.800000000003</v>
      </c>
      <c r="C59" s="38">
        <v>44862</v>
      </c>
      <c r="D59" s="1" t="s">
        <v>85</v>
      </c>
      <c r="E59" s="1" t="s">
        <v>33</v>
      </c>
      <c r="F59" s="1" t="s">
        <v>199</v>
      </c>
      <c r="G59" s="5">
        <v>860.48</v>
      </c>
    </row>
    <row r="60" spans="1:7" x14ac:dyDescent="0.2">
      <c r="A60" s="3">
        <v>60</v>
      </c>
      <c r="B60" s="2">
        <v>51628.800000000003</v>
      </c>
      <c r="C60" s="38">
        <v>44862</v>
      </c>
      <c r="D60" s="1" t="s">
        <v>85</v>
      </c>
      <c r="E60" s="1" t="s">
        <v>33</v>
      </c>
      <c r="F60" s="1" t="s">
        <v>199</v>
      </c>
      <c r="G60" s="5">
        <v>860.48</v>
      </c>
    </row>
    <row r="61" spans="1:7" x14ac:dyDescent="0.2">
      <c r="A61" s="3">
        <v>60</v>
      </c>
      <c r="B61" s="2">
        <v>51628.800000000003</v>
      </c>
      <c r="C61" s="38">
        <v>44862</v>
      </c>
      <c r="D61" s="1" t="s">
        <v>85</v>
      </c>
      <c r="E61" s="1" t="s">
        <v>33</v>
      </c>
      <c r="F61" s="1" t="s">
        <v>199</v>
      </c>
      <c r="G61" s="5">
        <v>860.48</v>
      </c>
    </row>
    <row r="62" spans="1:7" x14ac:dyDescent="0.2">
      <c r="A62" s="3">
        <v>60</v>
      </c>
      <c r="B62" s="2">
        <v>51628.800000000003</v>
      </c>
      <c r="C62" s="38">
        <v>44862</v>
      </c>
      <c r="D62" s="1" t="s">
        <v>85</v>
      </c>
      <c r="E62" s="1" t="s">
        <v>33</v>
      </c>
      <c r="F62" s="1" t="s">
        <v>199</v>
      </c>
      <c r="G62" s="5">
        <v>860.48</v>
      </c>
    </row>
    <row r="63" spans="1:7" x14ac:dyDescent="0.2">
      <c r="A63" s="3">
        <v>60</v>
      </c>
      <c r="B63" s="2">
        <v>51628.800000000003</v>
      </c>
      <c r="C63" s="38">
        <v>44862</v>
      </c>
      <c r="D63" s="1" t="s">
        <v>85</v>
      </c>
      <c r="E63" s="1" t="s">
        <v>33</v>
      </c>
      <c r="F63" s="1" t="s">
        <v>199</v>
      </c>
      <c r="G63" s="5">
        <v>860.48</v>
      </c>
    </row>
    <row r="64" spans="1:7" x14ac:dyDescent="0.2">
      <c r="A64" s="3">
        <v>60</v>
      </c>
      <c r="B64" s="2">
        <v>51628.800000000003</v>
      </c>
      <c r="C64" s="38">
        <v>44862</v>
      </c>
      <c r="D64" s="1" t="s">
        <v>85</v>
      </c>
      <c r="E64" s="1" t="s">
        <v>33</v>
      </c>
      <c r="F64" s="1" t="s">
        <v>199</v>
      </c>
      <c r="G64" s="5">
        <v>860.48</v>
      </c>
    </row>
    <row r="65" spans="1:7" x14ac:dyDescent="0.2">
      <c r="A65" s="3">
        <v>60</v>
      </c>
      <c r="B65" s="2">
        <v>51628.800000000003</v>
      </c>
      <c r="C65" s="38">
        <v>44862</v>
      </c>
      <c r="D65" s="1" t="s">
        <v>85</v>
      </c>
      <c r="E65" s="1" t="s">
        <v>33</v>
      </c>
      <c r="F65" s="1" t="s">
        <v>199</v>
      </c>
      <c r="G65" s="5">
        <v>860.48</v>
      </c>
    </row>
    <row r="66" spans="1:7" x14ac:dyDescent="0.2">
      <c r="A66" s="3">
        <v>60</v>
      </c>
      <c r="B66" s="2">
        <v>51628.800000000003</v>
      </c>
      <c r="C66" s="38">
        <v>44862</v>
      </c>
      <c r="D66" s="1" t="s">
        <v>85</v>
      </c>
      <c r="E66" s="1" t="s">
        <v>33</v>
      </c>
      <c r="F66" s="1" t="s">
        <v>199</v>
      </c>
      <c r="G66" s="5">
        <v>860.48</v>
      </c>
    </row>
    <row r="67" spans="1:7" x14ac:dyDescent="0.2">
      <c r="A67" s="3">
        <v>60</v>
      </c>
      <c r="B67" s="2">
        <v>51628.800000000003</v>
      </c>
      <c r="C67" s="38">
        <v>44866</v>
      </c>
      <c r="D67" s="1" t="s">
        <v>85</v>
      </c>
      <c r="E67" s="1" t="s">
        <v>33</v>
      </c>
      <c r="F67" s="1" t="s">
        <v>199</v>
      </c>
      <c r="G67" s="5">
        <v>860.48</v>
      </c>
    </row>
    <row r="68" spans="1:7" x14ac:dyDescent="0.2">
      <c r="A68" s="3">
        <v>60</v>
      </c>
      <c r="B68" s="2">
        <v>51628.800000000003</v>
      </c>
      <c r="C68" s="38">
        <v>44873</v>
      </c>
      <c r="D68" s="1" t="s">
        <v>85</v>
      </c>
      <c r="E68" s="1" t="s">
        <v>33</v>
      </c>
      <c r="F68" s="1" t="s">
        <v>199</v>
      </c>
      <c r="G68" s="5">
        <v>860.48</v>
      </c>
    </row>
    <row r="69" spans="1:7" x14ac:dyDescent="0.2">
      <c r="A69" s="3">
        <v>60</v>
      </c>
      <c r="B69" s="2">
        <v>51628.800000000003</v>
      </c>
      <c r="C69" s="38">
        <v>44873</v>
      </c>
      <c r="D69" s="1" t="s">
        <v>85</v>
      </c>
      <c r="E69" s="1" t="s">
        <v>33</v>
      </c>
      <c r="F69" s="1" t="s">
        <v>199</v>
      </c>
      <c r="G69" s="5">
        <v>860.48</v>
      </c>
    </row>
    <row r="70" spans="1:7" x14ac:dyDescent="0.2">
      <c r="A70" s="3">
        <v>60</v>
      </c>
      <c r="B70" s="2">
        <v>51628.800000000003</v>
      </c>
      <c r="C70" s="38">
        <v>44777</v>
      </c>
      <c r="D70" s="1" t="s">
        <v>85</v>
      </c>
      <c r="E70" s="1" t="s">
        <v>33</v>
      </c>
      <c r="F70" s="1" t="s">
        <v>199</v>
      </c>
      <c r="G70" s="5">
        <v>860.48</v>
      </c>
    </row>
    <row r="71" spans="1:7" x14ac:dyDescent="0.2">
      <c r="A71" s="3">
        <v>60</v>
      </c>
      <c r="B71" s="2">
        <v>51628.800000000003</v>
      </c>
      <c r="C71" s="38">
        <v>44777</v>
      </c>
      <c r="D71" s="1" t="s">
        <v>85</v>
      </c>
      <c r="E71" s="1" t="s">
        <v>33</v>
      </c>
      <c r="F71" s="1" t="s">
        <v>199</v>
      </c>
      <c r="G71" s="5">
        <v>860.48</v>
      </c>
    </row>
    <row r="72" spans="1:7" x14ac:dyDescent="0.2">
      <c r="A72" s="3">
        <v>60</v>
      </c>
      <c r="B72" s="2">
        <v>51628.800000000003</v>
      </c>
      <c r="C72" s="38">
        <v>44777</v>
      </c>
      <c r="D72" s="1" t="s">
        <v>85</v>
      </c>
      <c r="E72" s="1" t="s">
        <v>33</v>
      </c>
      <c r="F72" s="1" t="s">
        <v>199</v>
      </c>
      <c r="G72" s="5">
        <v>860.48</v>
      </c>
    </row>
    <row r="73" spans="1:7" x14ac:dyDescent="0.2">
      <c r="A73" s="3">
        <v>60</v>
      </c>
      <c r="B73" s="2">
        <v>51628.800000000003</v>
      </c>
      <c r="C73" s="38">
        <v>44777</v>
      </c>
      <c r="D73" s="1" t="s">
        <v>85</v>
      </c>
      <c r="E73" s="1" t="s">
        <v>33</v>
      </c>
      <c r="F73" s="1" t="s">
        <v>199</v>
      </c>
      <c r="G73" s="5">
        <v>860.48</v>
      </c>
    </row>
    <row r="74" spans="1:7" x14ac:dyDescent="0.2">
      <c r="A74" s="3">
        <v>60</v>
      </c>
      <c r="B74" s="2">
        <v>51628.800000000003</v>
      </c>
      <c r="C74" s="38">
        <v>44777</v>
      </c>
      <c r="D74" s="1" t="s">
        <v>85</v>
      </c>
      <c r="E74" s="1" t="s">
        <v>33</v>
      </c>
      <c r="F74" s="1" t="s">
        <v>199</v>
      </c>
      <c r="G74" s="5">
        <v>860.48</v>
      </c>
    </row>
    <row r="75" spans="1:7" x14ac:dyDescent="0.2">
      <c r="A75" s="3">
        <v>60</v>
      </c>
      <c r="B75" s="2">
        <v>51628.800000000003</v>
      </c>
      <c r="C75" s="38">
        <v>44777</v>
      </c>
      <c r="D75" s="1" t="s">
        <v>85</v>
      </c>
      <c r="E75" s="1" t="s">
        <v>33</v>
      </c>
      <c r="F75" s="1" t="s">
        <v>199</v>
      </c>
      <c r="G75" s="5">
        <v>860.48</v>
      </c>
    </row>
    <row r="76" spans="1:7" x14ac:dyDescent="0.2">
      <c r="A76" s="3">
        <v>60</v>
      </c>
      <c r="B76" s="2">
        <v>51628.800000000003</v>
      </c>
      <c r="C76" s="38">
        <v>44777</v>
      </c>
      <c r="D76" s="1" t="s">
        <v>85</v>
      </c>
      <c r="E76" s="1" t="s">
        <v>33</v>
      </c>
      <c r="F76" s="1" t="s">
        <v>199</v>
      </c>
      <c r="G76" s="5">
        <v>860.48</v>
      </c>
    </row>
    <row r="77" spans="1:7" x14ac:dyDescent="0.2">
      <c r="A77" s="3">
        <v>60</v>
      </c>
      <c r="B77" s="2">
        <v>51628.800000000003</v>
      </c>
      <c r="C77" s="38">
        <v>44777</v>
      </c>
      <c r="D77" s="1" t="s">
        <v>85</v>
      </c>
      <c r="E77" s="1" t="s">
        <v>33</v>
      </c>
      <c r="F77" s="1" t="s">
        <v>199</v>
      </c>
      <c r="G77" s="5">
        <v>860.48</v>
      </c>
    </row>
    <row r="78" spans="1:7" x14ac:dyDescent="0.2">
      <c r="A78" s="3">
        <v>60</v>
      </c>
      <c r="B78" s="2">
        <v>51628.800000000003</v>
      </c>
      <c r="C78" s="38">
        <v>44777</v>
      </c>
      <c r="D78" s="1" t="s">
        <v>85</v>
      </c>
      <c r="E78" s="1" t="s">
        <v>33</v>
      </c>
      <c r="F78" s="1" t="s">
        <v>199</v>
      </c>
      <c r="G78" s="5">
        <v>860.48</v>
      </c>
    </row>
    <row r="79" spans="1:7" x14ac:dyDescent="0.2">
      <c r="A79" s="3">
        <v>60</v>
      </c>
      <c r="B79" s="2">
        <v>51628.800000000003</v>
      </c>
      <c r="C79" s="38">
        <v>44777</v>
      </c>
      <c r="D79" s="1" t="s">
        <v>85</v>
      </c>
      <c r="E79" s="1" t="s">
        <v>33</v>
      </c>
      <c r="F79" s="1" t="s">
        <v>199</v>
      </c>
      <c r="G79" s="5">
        <v>860.48</v>
      </c>
    </row>
    <row r="80" spans="1:7" x14ac:dyDescent="0.2">
      <c r="A80" s="3">
        <v>60</v>
      </c>
      <c r="B80" s="2">
        <v>51628.800000000003</v>
      </c>
      <c r="C80" s="38">
        <v>44777</v>
      </c>
      <c r="D80" s="1" t="s">
        <v>85</v>
      </c>
      <c r="E80" s="1" t="s">
        <v>33</v>
      </c>
      <c r="F80" s="1" t="s">
        <v>199</v>
      </c>
      <c r="G80" s="5">
        <v>860.48</v>
      </c>
    </row>
    <row r="81" spans="1:7" x14ac:dyDescent="0.2">
      <c r="A81" s="3">
        <v>60</v>
      </c>
      <c r="B81" s="2">
        <v>51628.800000000003</v>
      </c>
      <c r="C81" s="38">
        <v>44777</v>
      </c>
      <c r="D81" s="1" t="s">
        <v>85</v>
      </c>
      <c r="E81" s="1" t="s">
        <v>33</v>
      </c>
      <c r="F81" s="1" t="s">
        <v>199</v>
      </c>
      <c r="G81" s="5">
        <v>860.48</v>
      </c>
    </row>
    <row r="82" spans="1:7" x14ac:dyDescent="0.2">
      <c r="A82" s="3">
        <v>60</v>
      </c>
      <c r="B82" s="2">
        <v>51628.800000000003</v>
      </c>
      <c r="C82" s="38">
        <v>44777</v>
      </c>
      <c r="D82" s="1" t="s">
        <v>85</v>
      </c>
      <c r="E82" s="1" t="s">
        <v>33</v>
      </c>
      <c r="F82" s="1" t="s">
        <v>199</v>
      </c>
      <c r="G82" s="5">
        <v>860.48</v>
      </c>
    </row>
    <row r="83" spans="1:7" x14ac:dyDescent="0.2">
      <c r="A83" s="3">
        <v>60</v>
      </c>
      <c r="B83" s="2">
        <v>51628.800000000003</v>
      </c>
      <c r="C83" s="38">
        <v>44777</v>
      </c>
      <c r="D83" s="1" t="s">
        <v>85</v>
      </c>
      <c r="E83" s="1" t="s">
        <v>33</v>
      </c>
      <c r="F83" s="1" t="s">
        <v>199</v>
      </c>
      <c r="G83" s="5">
        <v>860.48</v>
      </c>
    </row>
    <row r="84" spans="1:7" x14ac:dyDescent="0.2">
      <c r="A84" s="3">
        <v>60</v>
      </c>
      <c r="B84" s="2">
        <v>51628.800000000003</v>
      </c>
      <c r="C84" s="38">
        <v>44777</v>
      </c>
      <c r="D84" s="1" t="s">
        <v>85</v>
      </c>
      <c r="E84" s="1" t="s">
        <v>33</v>
      </c>
      <c r="F84" s="1" t="s">
        <v>199</v>
      </c>
      <c r="G84" s="5">
        <v>860.48</v>
      </c>
    </row>
    <row r="85" spans="1:7" x14ac:dyDescent="0.2">
      <c r="A85" s="3">
        <v>60</v>
      </c>
      <c r="B85" s="2">
        <v>51628.800000000003</v>
      </c>
      <c r="C85" s="38">
        <v>44777</v>
      </c>
      <c r="D85" s="1" t="s">
        <v>85</v>
      </c>
      <c r="E85" s="1" t="s">
        <v>33</v>
      </c>
      <c r="F85" s="1" t="s">
        <v>199</v>
      </c>
      <c r="G85" s="5">
        <v>860.48</v>
      </c>
    </row>
    <row r="86" spans="1:7" x14ac:dyDescent="0.2">
      <c r="A86" s="3">
        <v>60</v>
      </c>
      <c r="B86" s="2">
        <v>51628.800000000003</v>
      </c>
      <c r="C86" s="38">
        <v>44883</v>
      </c>
      <c r="D86" s="1" t="s">
        <v>85</v>
      </c>
      <c r="E86" s="1" t="s">
        <v>33</v>
      </c>
      <c r="F86" s="1" t="s">
        <v>199</v>
      </c>
      <c r="G86" s="5">
        <v>860.48</v>
      </c>
    </row>
    <row r="87" spans="1:7" x14ac:dyDescent="0.2">
      <c r="A87" s="3">
        <v>60</v>
      </c>
      <c r="B87" s="2">
        <v>51628.800000000003</v>
      </c>
      <c r="C87" s="38">
        <v>44883</v>
      </c>
      <c r="D87" s="1" t="s">
        <v>85</v>
      </c>
      <c r="E87" s="1" t="s">
        <v>33</v>
      </c>
      <c r="F87" s="1" t="s">
        <v>199</v>
      </c>
      <c r="G87" s="5">
        <v>860.48</v>
      </c>
    </row>
    <row r="88" spans="1:7" x14ac:dyDescent="0.2">
      <c r="A88" s="3">
        <v>60</v>
      </c>
      <c r="B88" s="2">
        <v>51628.800000000003</v>
      </c>
      <c r="C88" s="38">
        <v>44883</v>
      </c>
      <c r="D88" s="1" t="s">
        <v>85</v>
      </c>
      <c r="E88" s="1" t="s">
        <v>33</v>
      </c>
      <c r="F88" s="1" t="s">
        <v>199</v>
      </c>
      <c r="G88" s="5">
        <v>860.48</v>
      </c>
    </row>
    <row r="89" spans="1:7" x14ac:dyDescent="0.2">
      <c r="A89" s="3">
        <v>60</v>
      </c>
      <c r="B89" s="2">
        <v>51628.800000000003</v>
      </c>
      <c r="C89" s="38">
        <v>44883</v>
      </c>
      <c r="D89" s="1" t="s">
        <v>85</v>
      </c>
      <c r="E89" s="1" t="s">
        <v>33</v>
      </c>
      <c r="F89" s="1" t="s">
        <v>199</v>
      </c>
      <c r="G89" s="5">
        <v>860.48</v>
      </c>
    </row>
    <row r="90" spans="1:7" x14ac:dyDescent="0.2">
      <c r="A90" s="3">
        <v>60</v>
      </c>
      <c r="B90" s="2">
        <v>51628.800000000003</v>
      </c>
      <c r="C90" s="38">
        <v>44894</v>
      </c>
      <c r="D90" s="1" t="s">
        <v>85</v>
      </c>
      <c r="E90" s="1" t="s">
        <v>33</v>
      </c>
      <c r="F90" s="1" t="s">
        <v>199</v>
      </c>
      <c r="G90" s="5">
        <v>860.48</v>
      </c>
    </row>
    <row r="91" spans="1:7" x14ac:dyDescent="0.2">
      <c r="A91" s="3">
        <v>60</v>
      </c>
      <c r="B91" s="2">
        <v>51628.800000000003</v>
      </c>
      <c r="C91" s="38">
        <v>44894</v>
      </c>
      <c r="D91" s="1" t="s">
        <v>85</v>
      </c>
      <c r="E91" s="1" t="s">
        <v>33</v>
      </c>
      <c r="F91" s="1" t="s">
        <v>199</v>
      </c>
      <c r="G91" s="5">
        <v>860.48</v>
      </c>
    </row>
    <row r="92" spans="1:7" x14ac:dyDescent="0.2">
      <c r="A92" s="3">
        <v>60</v>
      </c>
      <c r="B92" s="2">
        <v>51628.800000000003</v>
      </c>
      <c r="C92" s="38">
        <v>44894</v>
      </c>
      <c r="D92" s="1" t="s">
        <v>85</v>
      </c>
      <c r="E92" s="1" t="s">
        <v>33</v>
      </c>
      <c r="F92" s="1" t="s">
        <v>199</v>
      </c>
      <c r="G92" s="5">
        <v>860.48</v>
      </c>
    </row>
    <row r="93" spans="1:7" x14ac:dyDescent="0.2">
      <c r="A93" s="3">
        <v>60</v>
      </c>
      <c r="B93" s="2">
        <v>51628.800000000003</v>
      </c>
      <c r="C93" s="38">
        <v>44894</v>
      </c>
      <c r="D93" s="1" t="s">
        <v>85</v>
      </c>
      <c r="E93" s="1" t="s">
        <v>33</v>
      </c>
      <c r="F93" s="1" t="s">
        <v>199</v>
      </c>
      <c r="G93" s="5">
        <v>860.48</v>
      </c>
    </row>
    <row r="94" spans="1:7" x14ac:dyDescent="0.2">
      <c r="A94" s="3">
        <v>60</v>
      </c>
      <c r="B94" s="2">
        <v>51628.800000000003</v>
      </c>
      <c r="C94" s="38">
        <v>44894</v>
      </c>
      <c r="D94" s="1" t="s">
        <v>85</v>
      </c>
      <c r="E94" s="1" t="s">
        <v>33</v>
      </c>
      <c r="F94" s="1" t="s">
        <v>199</v>
      </c>
      <c r="G94" s="5">
        <v>860.48</v>
      </c>
    </row>
    <row r="95" spans="1:7" x14ac:dyDescent="0.2">
      <c r="A95" s="3">
        <v>60</v>
      </c>
      <c r="B95" s="2">
        <v>51628.800000000003</v>
      </c>
      <c r="C95" s="38">
        <v>44894</v>
      </c>
      <c r="D95" s="1" t="s">
        <v>85</v>
      </c>
      <c r="E95" s="1" t="s">
        <v>33</v>
      </c>
      <c r="F95" s="1" t="s">
        <v>199</v>
      </c>
      <c r="G95" s="5">
        <v>860.48</v>
      </c>
    </row>
    <row r="96" spans="1:7" x14ac:dyDescent="0.2">
      <c r="A96" s="3">
        <v>60</v>
      </c>
      <c r="B96" s="2">
        <v>51628.800000000003</v>
      </c>
      <c r="C96" s="38">
        <v>44894</v>
      </c>
      <c r="D96" s="1" t="s">
        <v>85</v>
      </c>
      <c r="E96" s="1" t="s">
        <v>33</v>
      </c>
      <c r="F96" s="1" t="s">
        <v>199</v>
      </c>
      <c r="G96" s="5">
        <v>860.48</v>
      </c>
    </row>
    <row r="97" spans="1:7" x14ac:dyDescent="0.2">
      <c r="A97" s="3">
        <v>60</v>
      </c>
      <c r="B97" s="2">
        <v>51628.800000000003</v>
      </c>
      <c r="C97" s="38">
        <v>44894</v>
      </c>
      <c r="D97" s="1" t="s">
        <v>85</v>
      </c>
      <c r="E97" s="1" t="s">
        <v>33</v>
      </c>
      <c r="F97" s="1" t="s">
        <v>199</v>
      </c>
      <c r="G97" s="5">
        <v>860.48</v>
      </c>
    </row>
    <row r="98" spans="1:7" x14ac:dyDescent="0.2">
      <c r="A98" s="3">
        <v>60</v>
      </c>
      <c r="B98" s="2">
        <v>51628.800000000003</v>
      </c>
      <c r="C98" s="38">
        <v>44894</v>
      </c>
      <c r="D98" s="1" t="s">
        <v>85</v>
      </c>
      <c r="E98" s="1" t="s">
        <v>33</v>
      </c>
      <c r="F98" s="1" t="s">
        <v>199</v>
      </c>
      <c r="G98" s="5">
        <v>860.48</v>
      </c>
    </row>
    <row r="99" spans="1:7" x14ac:dyDescent="0.2">
      <c r="A99" s="3">
        <v>60</v>
      </c>
      <c r="B99" s="2">
        <v>51628.800000000003</v>
      </c>
      <c r="C99" s="38">
        <v>44897</v>
      </c>
      <c r="D99" s="1" t="s">
        <v>85</v>
      </c>
      <c r="E99" s="1" t="s">
        <v>33</v>
      </c>
      <c r="F99" s="1" t="s">
        <v>199</v>
      </c>
      <c r="G99" s="5">
        <v>860.48</v>
      </c>
    </row>
    <row r="100" spans="1:7" x14ac:dyDescent="0.2">
      <c r="A100" s="3">
        <v>60</v>
      </c>
      <c r="B100" s="2">
        <v>51628.800000000003</v>
      </c>
      <c r="C100" s="38">
        <v>44897</v>
      </c>
      <c r="D100" s="1" t="s">
        <v>85</v>
      </c>
      <c r="E100" s="1" t="s">
        <v>33</v>
      </c>
      <c r="F100" s="1" t="s">
        <v>199</v>
      </c>
      <c r="G100" s="5">
        <v>860.48</v>
      </c>
    </row>
    <row r="101" spans="1:7" x14ac:dyDescent="0.2">
      <c r="A101" s="3">
        <v>60</v>
      </c>
      <c r="B101" s="2">
        <v>51628.800000000003</v>
      </c>
      <c r="C101" s="38">
        <v>44897</v>
      </c>
      <c r="D101" s="1" t="s">
        <v>85</v>
      </c>
      <c r="E101" s="1" t="s">
        <v>33</v>
      </c>
      <c r="F101" s="1" t="s">
        <v>199</v>
      </c>
      <c r="G101" s="5">
        <v>860.48</v>
      </c>
    </row>
    <row r="102" spans="1:7" x14ac:dyDescent="0.2">
      <c r="A102" s="3">
        <v>60</v>
      </c>
      <c r="B102" s="2">
        <v>51628.800000000003</v>
      </c>
      <c r="C102" s="38">
        <v>44851</v>
      </c>
      <c r="D102" s="1" t="s">
        <v>85</v>
      </c>
      <c r="E102" s="1" t="s">
        <v>33</v>
      </c>
      <c r="F102" s="1" t="s">
        <v>199</v>
      </c>
      <c r="G102" s="5">
        <v>860.48</v>
      </c>
    </row>
    <row r="103" spans="1:7" x14ac:dyDescent="0.2">
      <c r="A103" s="3">
        <v>60</v>
      </c>
      <c r="B103" s="2">
        <v>51628.800000000003</v>
      </c>
      <c r="C103" s="38">
        <v>44902</v>
      </c>
      <c r="D103" s="1" t="s">
        <v>85</v>
      </c>
      <c r="E103" s="1" t="s">
        <v>33</v>
      </c>
      <c r="F103" s="1" t="s">
        <v>199</v>
      </c>
      <c r="G103" s="5">
        <v>860.48</v>
      </c>
    </row>
    <row r="104" spans="1:7" x14ac:dyDescent="0.2">
      <c r="A104" s="3">
        <v>60</v>
      </c>
      <c r="B104" s="2">
        <v>51628.800000000003</v>
      </c>
      <c r="C104" s="38">
        <v>44902</v>
      </c>
      <c r="D104" s="1" t="s">
        <v>85</v>
      </c>
      <c r="E104" s="1" t="s">
        <v>33</v>
      </c>
      <c r="F104" s="1" t="s">
        <v>199</v>
      </c>
      <c r="G104" s="5">
        <v>860.48</v>
      </c>
    </row>
    <row r="105" spans="1:7" x14ac:dyDescent="0.2">
      <c r="A105" s="3">
        <v>60</v>
      </c>
      <c r="B105" s="2">
        <v>51628.800000000003</v>
      </c>
      <c r="C105" s="38">
        <v>44902</v>
      </c>
      <c r="D105" s="1" t="s">
        <v>85</v>
      </c>
      <c r="E105" s="1" t="s">
        <v>33</v>
      </c>
      <c r="F105" s="1" t="s">
        <v>199</v>
      </c>
      <c r="G105" s="5">
        <v>860.48</v>
      </c>
    </row>
    <row r="106" spans="1:7" x14ac:dyDescent="0.2">
      <c r="A106" s="3">
        <v>60</v>
      </c>
      <c r="B106" s="2">
        <v>51628.800000000003</v>
      </c>
      <c r="C106" s="38">
        <v>44902</v>
      </c>
      <c r="D106" s="1" t="s">
        <v>85</v>
      </c>
      <c r="E106" s="1" t="s">
        <v>33</v>
      </c>
      <c r="F106" s="1" t="s">
        <v>199</v>
      </c>
      <c r="G106" s="5">
        <v>860.48</v>
      </c>
    </row>
    <row r="107" spans="1:7" x14ac:dyDescent="0.2">
      <c r="A107" s="3">
        <v>60</v>
      </c>
      <c r="B107" s="2">
        <v>51628.800000000003</v>
      </c>
      <c r="C107" s="38">
        <v>44902</v>
      </c>
      <c r="D107" s="1" t="s">
        <v>85</v>
      </c>
      <c r="E107" s="1" t="s">
        <v>33</v>
      </c>
      <c r="F107" s="1" t="s">
        <v>199</v>
      </c>
      <c r="G107" s="5">
        <v>860.48</v>
      </c>
    </row>
    <row r="108" spans="1:7" x14ac:dyDescent="0.2">
      <c r="A108" s="3">
        <v>60</v>
      </c>
      <c r="B108" s="2">
        <v>51628.800000000003</v>
      </c>
      <c r="C108" s="38">
        <v>44902</v>
      </c>
      <c r="D108" s="1" t="s">
        <v>85</v>
      </c>
      <c r="E108" s="1" t="s">
        <v>33</v>
      </c>
      <c r="F108" s="1" t="s">
        <v>199</v>
      </c>
      <c r="G108" s="5">
        <v>860.48</v>
      </c>
    </row>
    <row r="109" spans="1:7" x14ac:dyDescent="0.2">
      <c r="A109" s="3">
        <v>60</v>
      </c>
      <c r="B109" s="2">
        <v>51628.800000000003</v>
      </c>
      <c r="C109" s="38">
        <v>44902</v>
      </c>
      <c r="D109" s="1" t="s">
        <v>85</v>
      </c>
      <c r="E109" s="1" t="s">
        <v>33</v>
      </c>
      <c r="F109" s="1" t="s">
        <v>199</v>
      </c>
      <c r="G109" s="5">
        <v>860.48</v>
      </c>
    </row>
    <row r="110" spans="1:7" x14ac:dyDescent="0.2">
      <c r="A110" s="3">
        <v>60</v>
      </c>
      <c r="B110" s="2">
        <v>51628.800000000003</v>
      </c>
      <c r="C110" s="38">
        <v>44902</v>
      </c>
      <c r="D110" s="1" t="s">
        <v>85</v>
      </c>
      <c r="E110" s="1" t="s">
        <v>33</v>
      </c>
      <c r="F110" s="1" t="s">
        <v>199</v>
      </c>
      <c r="G110" s="5">
        <v>860.48</v>
      </c>
    </row>
    <row r="111" spans="1:7" x14ac:dyDescent="0.2">
      <c r="A111" s="3">
        <v>60</v>
      </c>
      <c r="B111" s="2">
        <v>51628.800000000003</v>
      </c>
      <c r="C111" s="38">
        <v>44902</v>
      </c>
      <c r="D111" s="1" t="s">
        <v>85</v>
      </c>
      <c r="E111" s="1" t="s">
        <v>33</v>
      </c>
      <c r="F111" s="1" t="s">
        <v>199</v>
      </c>
      <c r="G111" s="5">
        <v>860.48</v>
      </c>
    </row>
    <row r="112" spans="1:7" x14ac:dyDescent="0.2">
      <c r="A112" s="3">
        <v>60</v>
      </c>
      <c r="B112" s="2">
        <v>51628.800000000003</v>
      </c>
      <c r="C112" s="38">
        <v>44902</v>
      </c>
      <c r="D112" s="1" t="s">
        <v>85</v>
      </c>
      <c r="E112" s="1" t="s">
        <v>33</v>
      </c>
      <c r="F112" s="1" t="s">
        <v>199</v>
      </c>
      <c r="G112" s="5">
        <v>860.48</v>
      </c>
    </row>
    <row r="113" spans="1:7" x14ac:dyDescent="0.2">
      <c r="A113" s="3">
        <v>60</v>
      </c>
      <c r="B113" s="2">
        <v>51628.800000000003</v>
      </c>
      <c r="C113" s="38">
        <v>44902</v>
      </c>
      <c r="D113" s="1" t="s">
        <v>85</v>
      </c>
      <c r="E113" s="1" t="s">
        <v>33</v>
      </c>
      <c r="F113" s="1" t="s">
        <v>199</v>
      </c>
      <c r="G113" s="5">
        <v>860.48</v>
      </c>
    </row>
    <row r="114" spans="1:7" x14ac:dyDescent="0.2">
      <c r="A114" s="3">
        <v>60</v>
      </c>
      <c r="B114" s="2">
        <v>51628.800000000003</v>
      </c>
      <c r="C114" s="38">
        <v>44902</v>
      </c>
      <c r="D114" s="1" t="s">
        <v>85</v>
      </c>
      <c r="E114" s="1" t="s">
        <v>33</v>
      </c>
      <c r="F114" s="1" t="s">
        <v>199</v>
      </c>
      <c r="G114" s="5">
        <v>860.48</v>
      </c>
    </row>
    <row r="115" spans="1:7" x14ac:dyDescent="0.2">
      <c r="A115" s="3">
        <v>60</v>
      </c>
      <c r="B115" s="2">
        <v>51628.800000000003</v>
      </c>
      <c r="C115" s="38">
        <v>44902</v>
      </c>
      <c r="D115" s="1" t="s">
        <v>85</v>
      </c>
      <c r="E115" s="1" t="s">
        <v>33</v>
      </c>
      <c r="F115" s="1" t="s">
        <v>199</v>
      </c>
      <c r="G115" s="5">
        <v>860.48</v>
      </c>
    </row>
    <row r="116" spans="1:7" x14ac:dyDescent="0.2">
      <c r="A116" s="3">
        <v>60</v>
      </c>
      <c r="B116" s="2">
        <v>51628.800000000003</v>
      </c>
      <c r="C116" s="38">
        <v>44902</v>
      </c>
      <c r="D116" s="1" t="s">
        <v>85</v>
      </c>
      <c r="E116" s="1" t="s">
        <v>33</v>
      </c>
      <c r="F116" s="1" t="s">
        <v>199</v>
      </c>
      <c r="G116" s="5">
        <v>860.48</v>
      </c>
    </row>
    <row r="117" spans="1:7" x14ac:dyDescent="0.2">
      <c r="A117" s="3">
        <v>60</v>
      </c>
      <c r="B117" s="2">
        <v>51628.800000000003</v>
      </c>
      <c r="C117" s="38">
        <v>44902</v>
      </c>
      <c r="D117" s="1" t="s">
        <v>85</v>
      </c>
      <c r="E117" s="1" t="s">
        <v>33</v>
      </c>
      <c r="F117" s="1" t="s">
        <v>199</v>
      </c>
      <c r="G117" s="5">
        <v>860.48</v>
      </c>
    </row>
    <row r="118" spans="1:7" x14ac:dyDescent="0.2">
      <c r="A118" s="3">
        <v>60</v>
      </c>
      <c r="B118" s="2">
        <v>51628.800000000003</v>
      </c>
      <c r="C118" s="38">
        <v>44902</v>
      </c>
      <c r="D118" s="1" t="s">
        <v>85</v>
      </c>
      <c r="E118" s="1" t="s">
        <v>33</v>
      </c>
      <c r="F118" s="1" t="s">
        <v>199</v>
      </c>
      <c r="G118" s="5">
        <v>860.48</v>
      </c>
    </row>
    <row r="119" spans="1:7" x14ac:dyDescent="0.2">
      <c r="A119" s="3">
        <v>60</v>
      </c>
      <c r="B119" s="2">
        <v>51628.800000000003</v>
      </c>
      <c r="C119" s="38">
        <v>44902</v>
      </c>
      <c r="D119" s="1" t="s">
        <v>85</v>
      </c>
      <c r="E119" s="1" t="s">
        <v>33</v>
      </c>
      <c r="F119" s="1" t="s">
        <v>199</v>
      </c>
      <c r="G119" s="5">
        <v>860.48</v>
      </c>
    </row>
    <row r="120" spans="1:7" x14ac:dyDescent="0.2">
      <c r="A120" s="3">
        <v>60</v>
      </c>
      <c r="B120" s="2">
        <v>51628.800000000003</v>
      </c>
      <c r="C120" s="38">
        <v>44902</v>
      </c>
      <c r="D120" s="1" t="s">
        <v>85</v>
      </c>
      <c r="E120" s="1" t="s">
        <v>33</v>
      </c>
      <c r="F120" s="1" t="s">
        <v>199</v>
      </c>
      <c r="G120" s="5">
        <v>860.48</v>
      </c>
    </row>
    <row r="121" spans="1:7" x14ac:dyDescent="0.2">
      <c r="A121" s="3">
        <v>60</v>
      </c>
      <c r="B121" s="2">
        <v>51628.800000000003</v>
      </c>
      <c r="C121" s="38">
        <v>44902</v>
      </c>
      <c r="D121" s="1" t="s">
        <v>85</v>
      </c>
      <c r="E121" s="1" t="s">
        <v>33</v>
      </c>
      <c r="F121" s="1" t="s">
        <v>199</v>
      </c>
      <c r="G121" s="5">
        <v>860.48</v>
      </c>
    </row>
    <row r="122" spans="1:7" x14ac:dyDescent="0.2">
      <c r="A122" s="3">
        <v>60</v>
      </c>
      <c r="B122" s="2">
        <v>51628.800000000003</v>
      </c>
      <c r="C122" s="38">
        <v>44902</v>
      </c>
      <c r="D122" s="1" t="s">
        <v>85</v>
      </c>
      <c r="E122" s="1" t="s">
        <v>33</v>
      </c>
      <c r="F122" s="1" t="s">
        <v>199</v>
      </c>
      <c r="G122" s="5">
        <v>860.48</v>
      </c>
    </row>
    <row r="123" spans="1:7" x14ac:dyDescent="0.2">
      <c r="A123" s="3">
        <v>60</v>
      </c>
      <c r="B123" s="2">
        <v>51628.800000000003</v>
      </c>
      <c r="C123" s="38">
        <v>44792</v>
      </c>
      <c r="D123" s="1" t="s">
        <v>85</v>
      </c>
      <c r="E123" s="1" t="s">
        <v>33</v>
      </c>
      <c r="F123" s="1" t="s">
        <v>199</v>
      </c>
      <c r="G123" s="5">
        <v>860.48</v>
      </c>
    </row>
    <row r="124" spans="1:7" x14ac:dyDescent="0.2">
      <c r="A124" s="3">
        <v>60</v>
      </c>
      <c r="B124" s="2">
        <v>51628.800000000003</v>
      </c>
      <c r="C124" s="38">
        <v>44792</v>
      </c>
      <c r="D124" s="1" t="s">
        <v>85</v>
      </c>
      <c r="E124" s="1" t="s">
        <v>33</v>
      </c>
      <c r="F124" s="1" t="s">
        <v>199</v>
      </c>
      <c r="G124" s="5">
        <v>860.48</v>
      </c>
    </row>
    <row r="125" spans="1:7" x14ac:dyDescent="0.2">
      <c r="A125" s="3">
        <v>60</v>
      </c>
      <c r="B125" s="2">
        <v>51628.800000000003</v>
      </c>
      <c r="C125" s="38">
        <v>44792</v>
      </c>
      <c r="D125" s="1" t="s">
        <v>85</v>
      </c>
      <c r="E125" s="1" t="s">
        <v>33</v>
      </c>
      <c r="F125" s="1" t="s">
        <v>199</v>
      </c>
      <c r="G125" s="5">
        <v>860.48</v>
      </c>
    </row>
    <row r="126" spans="1:7" x14ac:dyDescent="0.2">
      <c r="A126" s="3">
        <v>60</v>
      </c>
      <c r="B126" s="2">
        <v>51628.800000000003</v>
      </c>
      <c r="C126" s="38">
        <v>44792</v>
      </c>
      <c r="D126" s="1" t="s">
        <v>85</v>
      </c>
      <c r="E126" s="1" t="s">
        <v>33</v>
      </c>
      <c r="F126" s="1" t="s">
        <v>199</v>
      </c>
      <c r="G126" s="5">
        <v>860.48</v>
      </c>
    </row>
    <row r="127" spans="1:7" x14ac:dyDescent="0.2">
      <c r="A127" s="3">
        <v>60</v>
      </c>
      <c r="B127" s="2">
        <v>51628.800000000003</v>
      </c>
      <c r="C127" s="38">
        <v>44792</v>
      </c>
      <c r="D127" s="1" t="s">
        <v>85</v>
      </c>
      <c r="E127" s="1" t="s">
        <v>33</v>
      </c>
      <c r="F127" s="1" t="s">
        <v>199</v>
      </c>
      <c r="G127" s="5">
        <v>860.48</v>
      </c>
    </row>
    <row r="128" spans="1:7" x14ac:dyDescent="0.2">
      <c r="A128" s="3">
        <v>60</v>
      </c>
      <c r="B128" s="2">
        <v>51628.800000000003</v>
      </c>
      <c r="C128" s="38">
        <v>44902</v>
      </c>
      <c r="D128" s="1" t="s">
        <v>85</v>
      </c>
      <c r="E128" s="1" t="s">
        <v>33</v>
      </c>
      <c r="F128" s="1" t="s">
        <v>199</v>
      </c>
      <c r="G128" s="5">
        <v>860.48</v>
      </c>
    </row>
    <row r="129" spans="1:7" x14ac:dyDescent="0.2">
      <c r="A129" s="3">
        <v>60</v>
      </c>
      <c r="B129" s="2">
        <v>51628.800000000003</v>
      </c>
      <c r="C129" s="38">
        <v>44854</v>
      </c>
      <c r="D129" s="1" t="s">
        <v>85</v>
      </c>
      <c r="E129" s="1" t="s">
        <v>33</v>
      </c>
      <c r="F129" s="1" t="s">
        <v>199</v>
      </c>
      <c r="G129" s="5">
        <v>860.48</v>
      </c>
    </row>
    <row r="130" spans="1:7" x14ac:dyDescent="0.2">
      <c r="A130" s="3">
        <v>60</v>
      </c>
      <c r="B130" s="2">
        <v>51628.800000000003</v>
      </c>
      <c r="C130" s="38">
        <v>44854</v>
      </c>
      <c r="D130" s="1" t="s">
        <v>85</v>
      </c>
      <c r="E130" s="1" t="s">
        <v>33</v>
      </c>
      <c r="F130" s="1" t="s">
        <v>199</v>
      </c>
      <c r="G130" s="5">
        <v>860.48</v>
      </c>
    </row>
    <row r="131" spans="1:7" x14ac:dyDescent="0.2">
      <c r="A131" s="3">
        <v>60</v>
      </c>
      <c r="B131" s="2">
        <v>51628.800000000003</v>
      </c>
      <c r="C131" s="38">
        <v>44854</v>
      </c>
      <c r="D131" s="1" t="s">
        <v>85</v>
      </c>
      <c r="E131" s="1" t="s">
        <v>33</v>
      </c>
      <c r="F131" s="1" t="s">
        <v>199</v>
      </c>
      <c r="G131" s="5">
        <v>860.48</v>
      </c>
    </row>
    <row r="132" spans="1:7" x14ac:dyDescent="0.2">
      <c r="A132" s="3">
        <v>60</v>
      </c>
      <c r="B132" s="2">
        <v>51628.800000000003</v>
      </c>
      <c r="C132" s="38">
        <v>44854</v>
      </c>
      <c r="D132" s="1" t="s">
        <v>85</v>
      </c>
      <c r="E132" s="1" t="s">
        <v>33</v>
      </c>
      <c r="F132" s="1" t="s">
        <v>199</v>
      </c>
      <c r="G132" s="5">
        <v>860.48</v>
      </c>
    </row>
    <row r="133" spans="1:7" x14ac:dyDescent="0.2">
      <c r="A133" s="3">
        <v>60</v>
      </c>
      <c r="B133" s="2">
        <v>51628.800000000003</v>
      </c>
      <c r="C133" s="38">
        <v>44854</v>
      </c>
      <c r="D133" s="1" t="s">
        <v>85</v>
      </c>
      <c r="E133" s="1" t="s">
        <v>33</v>
      </c>
      <c r="F133" s="1" t="s">
        <v>199</v>
      </c>
      <c r="G133" s="5">
        <v>860.48</v>
      </c>
    </row>
    <row r="134" spans="1:7" x14ac:dyDescent="0.2">
      <c r="A134" s="3">
        <v>60</v>
      </c>
      <c r="B134" s="2">
        <v>51628.800000000003</v>
      </c>
      <c r="C134" s="38">
        <v>44854</v>
      </c>
      <c r="D134" s="1" t="s">
        <v>85</v>
      </c>
      <c r="E134" s="1" t="s">
        <v>33</v>
      </c>
      <c r="F134" s="1" t="s">
        <v>199</v>
      </c>
      <c r="G134" s="5">
        <v>860.48</v>
      </c>
    </row>
    <row r="135" spans="1:7" x14ac:dyDescent="0.2">
      <c r="A135" s="3">
        <v>60</v>
      </c>
      <c r="B135" s="2">
        <v>51628.800000000003</v>
      </c>
      <c r="C135" s="38">
        <v>44854</v>
      </c>
      <c r="D135" s="1" t="s">
        <v>85</v>
      </c>
      <c r="E135" s="1" t="s">
        <v>33</v>
      </c>
      <c r="F135" s="1" t="s">
        <v>199</v>
      </c>
      <c r="G135" s="5">
        <v>860.48</v>
      </c>
    </row>
    <row r="136" spans="1:7" x14ac:dyDescent="0.2">
      <c r="A136" s="3">
        <v>60</v>
      </c>
      <c r="B136" s="2">
        <v>51628.800000000003</v>
      </c>
      <c r="C136" s="38">
        <v>44854</v>
      </c>
      <c r="D136" s="1" t="s">
        <v>85</v>
      </c>
      <c r="E136" s="1" t="s">
        <v>33</v>
      </c>
      <c r="F136" s="1" t="s">
        <v>199</v>
      </c>
      <c r="G136" s="5">
        <v>860.48</v>
      </c>
    </row>
    <row r="137" spans="1:7" x14ac:dyDescent="0.2">
      <c r="A137" s="3">
        <v>60</v>
      </c>
      <c r="B137" s="2">
        <v>51628.800000000003</v>
      </c>
      <c r="C137" s="38">
        <v>44854</v>
      </c>
      <c r="D137" s="1" t="s">
        <v>85</v>
      </c>
      <c r="E137" s="1" t="s">
        <v>33</v>
      </c>
      <c r="F137" s="1" t="s">
        <v>199</v>
      </c>
      <c r="G137" s="5">
        <v>860.48</v>
      </c>
    </row>
    <row r="138" spans="1:7" x14ac:dyDescent="0.2">
      <c r="A138" s="3">
        <v>60</v>
      </c>
      <c r="B138" s="2">
        <v>51628.800000000003</v>
      </c>
      <c r="C138" s="38">
        <v>44854</v>
      </c>
      <c r="D138" s="1" t="s">
        <v>85</v>
      </c>
      <c r="E138" s="1" t="s">
        <v>33</v>
      </c>
      <c r="F138" s="1" t="s">
        <v>199</v>
      </c>
      <c r="G138" s="5">
        <v>860.48</v>
      </c>
    </row>
    <row r="139" spans="1:7" x14ac:dyDescent="0.2">
      <c r="A139" s="3">
        <v>60</v>
      </c>
      <c r="B139" s="2">
        <v>51628.800000000003</v>
      </c>
      <c r="C139" s="38">
        <v>44854</v>
      </c>
      <c r="D139" s="1" t="s">
        <v>85</v>
      </c>
      <c r="E139" s="1" t="s">
        <v>33</v>
      </c>
      <c r="F139" s="1" t="s">
        <v>199</v>
      </c>
      <c r="G139" s="5">
        <v>860.48</v>
      </c>
    </row>
    <row r="140" spans="1:7" x14ac:dyDescent="0.2">
      <c r="A140" s="3">
        <v>60</v>
      </c>
      <c r="B140" s="2">
        <v>51628.800000000003</v>
      </c>
      <c r="C140" s="38">
        <v>44854</v>
      </c>
      <c r="D140" s="1" t="s">
        <v>85</v>
      </c>
      <c r="E140" s="1" t="s">
        <v>33</v>
      </c>
      <c r="F140" s="1" t="s">
        <v>199</v>
      </c>
      <c r="G140" s="5">
        <v>860.48</v>
      </c>
    </row>
    <row r="141" spans="1:7" x14ac:dyDescent="0.2">
      <c r="A141" s="3">
        <v>60</v>
      </c>
      <c r="B141" s="2">
        <v>51628.800000000003</v>
      </c>
      <c r="C141" s="38">
        <v>44854</v>
      </c>
      <c r="D141" s="1" t="s">
        <v>85</v>
      </c>
      <c r="E141" s="1" t="s">
        <v>33</v>
      </c>
      <c r="F141" s="1" t="s">
        <v>199</v>
      </c>
      <c r="G141" s="5">
        <v>860.48</v>
      </c>
    </row>
    <row r="142" spans="1:7" x14ac:dyDescent="0.2">
      <c r="A142" s="3">
        <v>60</v>
      </c>
      <c r="B142" s="2">
        <v>51628.800000000003</v>
      </c>
      <c r="C142" s="38">
        <v>44854</v>
      </c>
      <c r="D142" s="1" t="s">
        <v>85</v>
      </c>
      <c r="E142" s="1" t="s">
        <v>33</v>
      </c>
      <c r="F142" s="1" t="s">
        <v>199</v>
      </c>
      <c r="G142" s="5">
        <v>860.48</v>
      </c>
    </row>
    <row r="143" spans="1:7" x14ac:dyDescent="0.2">
      <c r="A143" s="3">
        <v>60</v>
      </c>
      <c r="B143" s="2">
        <v>51628.800000000003</v>
      </c>
      <c r="C143" s="38">
        <v>44854</v>
      </c>
      <c r="D143" s="1" t="s">
        <v>85</v>
      </c>
      <c r="E143" s="1" t="s">
        <v>33</v>
      </c>
      <c r="F143" s="1" t="s">
        <v>199</v>
      </c>
      <c r="G143" s="5">
        <v>860.48</v>
      </c>
    </row>
    <row r="144" spans="1:7" x14ac:dyDescent="0.2">
      <c r="A144" s="3">
        <v>60</v>
      </c>
      <c r="B144" s="2">
        <v>51628.800000000003</v>
      </c>
      <c r="C144" s="38">
        <v>44854</v>
      </c>
      <c r="D144" s="1" t="s">
        <v>85</v>
      </c>
      <c r="E144" s="1" t="s">
        <v>33</v>
      </c>
      <c r="F144" s="1" t="s">
        <v>199</v>
      </c>
      <c r="G144" s="5">
        <v>860.48</v>
      </c>
    </row>
    <row r="145" spans="1:7" x14ac:dyDescent="0.2">
      <c r="A145" s="3">
        <v>60</v>
      </c>
      <c r="B145" s="2">
        <v>51628.800000000003</v>
      </c>
      <c r="C145" s="38">
        <v>44854</v>
      </c>
      <c r="D145" s="1" t="s">
        <v>85</v>
      </c>
      <c r="E145" s="1" t="s">
        <v>33</v>
      </c>
      <c r="F145" s="1" t="s">
        <v>199</v>
      </c>
      <c r="G145" s="5">
        <v>860.48</v>
      </c>
    </row>
    <row r="146" spans="1:7" x14ac:dyDescent="0.2">
      <c r="A146" s="3">
        <v>60</v>
      </c>
      <c r="B146" s="2">
        <v>51628.800000000003</v>
      </c>
      <c r="C146" s="38">
        <v>44761</v>
      </c>
      <c r="D146" s="1" t="s">
        <v>85</v>
      </c>
      <c r="E146" s="1" t="s">
        <v>33</v>
      </c>
      <c r="F146" s="1" t="s">
        <v>199</v>
      </c>
      <c r="G146" s="5">
        <v>860.48</v>
      </c>
    </row>
    <row r="147" spans="1:7" x14ac:dyDescent="0.2">
      <c r="A147" s="3">
        <v>60</v>
      </c>
      <c r="B147" s="2">
        <v>51628.800000000003</v>
      </c>
      <c r="C147" s="38">
        <v>44761</v>
      </c>
      <c r="D147" s="1" t="s">
        <v>85</v>
      </c>
      <c r="E147" s="1" t="s">
        <v>33</v>
      </c>
      <c r="F147" s="1" t="s">
        <v>199</v>
      </c>
      <c r="G147" s="5">
        <v>860.48</v>
      </c>
    </row>
    <row r="148" spans="1:7" x14ac:dyDescent="0.2">
      <c r="A148" s="3">
        <v>60</v>
      </c>
      <c r="B148" s="2">
        <v>51628.800000000003</v>
      </c>
      <c r="C148" s="38">
        <v>44854</v>
      </c>
      <c r="D148" s="1" t="s">
        <v>85</v>
      </c>
      <c r="E148" s="1" t="s">
        <v>33</v>
      </c>
      <c r="F148" s="1" t="s">
        <v>199</v>
      </c>
      <c r="G148" s="5">
        <v>860.48</v>
      </c>
    </row>
    <row r="149" spans="1:7" x14ac:dyDescent="0.2">
      <c r="A149" s="3">
        <v>60</v>
      </c>
      <c r="B149" s="2">
        <v>51628.800000000003</v>
      </c>
      <c r="C149" s="38">
        <v>44854</v>
      </c>
      <c r="D149" s="1" t="s">
        <v>85</v>
      </c>
      <c r="E149" s="1" t="s">
        <v>33</v>
      </c>
      <c r="F149" s="1" t="s">
        <v>199</v>
      </c>
      <c r="G149" s="5">
        <v>860.48</v>
      </c>
    </row>
    <row r="150" spans="1:7" x14ac:dyDescent="0.2">
      <c r="A150" s="3">
        <v>60</v>
      </c>
      <c r="B150" s="2">
        <v>51628.800000000003</v>
      </c>
      <c r="C150" s="38">
        <v>44854</v>
      </c>
      <c r="D150" s="1" t="s">
        <v>85</v>
      </c>
      <c r="E150" s="1" t="s">
        <v>33</v>
      </c>
      <c r="F150" s="1" t="s">
        <v>199</v>
      </c>
      <c r="G150" s="5">
        <v>860.48</v>
      </c>
    </row>
    <row r="151" spans="1:7" x14ac:dyDescent="0.2">
      <c r="A151" s="3">
        <v>60</v>
      </c>
      <c r="B151" s="2">
        <v>51628.800000000003</v>
      </c>
      <c r="C151" s="38">
        <v>44854</v>
      </c>
      <c r="D151" s="1" t="s">
        <v>85</v>
      </c>
      <c r="E151" s="1" t="s">
        <v>33</v>
      </c>
      <c r="F151" s="1" t="s">
        <v>199</v>
      </c>
      <c r="G151" s="5">
        <v>860.48</v>
      </c>
    </row>
    <row r="152" spans="1:7" x14ac:dyDescent="0.2">
      <c r="A152" s="3">
        <v>60</v>
      </c>
      <c r="B152" s="2">
        <v>51628.800000000003</v>
      </c>
      <c r="C152" s="38">
        <v>44854</v>
      </c>
      <c r="D152" s="1" t="s">
        <v>85</v>
      </c>
      <c r="E152" s="1" t="s">
        <v>33</v>
      </c>
      <c r="F152" s="1" t="s">
        <v>199</v>
      </c>
      <c r="G152" s="5">
        <v>860.48</v>
      </c>
    </row>
    <row r="153" spans="1:7" x14ac:dyDescent="0.2">
      <c r="A153" s="3">
        <v>60</v>
      </c>
      <c r="B153" s="2">
        <v>51628.800000000003</v>
      </c>
      <c r="C153" s="38">
        <v>44854</v>
      </c>
      <c r="D153" s="1" t="s">
        <v>85</v>
      </c>
      <c r="E153" s="1" t="s">
        <v>33</v>
      </c>
      <c r="F153" s="1" t="s">
        <v>199</v>
      </c>
      <c r="G153" s="5">
        <v>860.48</v>
      </c>
    </row>
    <row r="154" spans="1:7" x14ac:dyDescent="0.2">
      <c r="A154" s="3">
        <v>60</v>
      </c>
      <c r="B154" s="2">
        <v>51628.800000000003</v>
      </c>
      <c r="C154" s="38">
        <v>44854</v>
      </c>
      <c r="D154" s="1" t="s">
        <v>85</v>
      </c>
      <c r="E154" s="1" t="s">
        <v>33</v>
      </c>
      <c r="F154" s="1" t="s">
        <v>199</v>
      </c>
      <c r="G154" s="5">
        <v>860.48</v>
      </c>
    </row>
    <row r="155" spans="1:7" x14ac:dyDescent="0.2">
      <c r="A155" s="3">
        <v>60</v>
      </c>
      <c r="B155" s="2">
        <v>51628.800000000003</v>
      </c>
      <c r="C155" s="38">
        <v>44854</v>
      </c>
      <c r="D155" s="1" t="s">
        <v>85</v>
      </c>
      <c r="E155" s="1" t="s">
        <v>33</v>
      </c>
      <c r="F155" s="1" t="s">
        <v>199</v>
      </c>
      <c r="G155" s="5">
        <v>860.48</v>
      </c>
    </row>
    <row r="156" spans="1:7" x14ac:dyDescent="0.2">
      <c r="A156" s="3">
        <v>60</v>
      </c>
      <c r="B156" s="2">
        <v>51628.800000000003</v>
      </c>
      <c r="C156" s="38">
        <v>44854</v>
      </c>
      <c r="D156" s="1" t="s">
        <v>85</v>
      </c>
      <c r="E156" s="1" t="s">
        <v>33</v>
      </c>
      <c r="F156" s="1" t="s">
        <v>199</v>
      </c>
      <c r="G156" s="5">
        <v>860.48</v>
      </c>
    </row>
    <row r="157" spans="1:7" x14ac:dyDescent="0.2">
      <c r="A157" s="3">
        <v>60</v>
      </c>
      <c r="B157" s="2">
        <v>51628.800000000003</v>
      </c>
      <c r="C157" s="38">
        <v>44854</v>
      </c>
      <c r="D157" s="1" t="s">
        <v>85</v>
      </c>
      <c r="E157" s="1" t="s">
        <v>33</v>
      </c>
      <c r="F157" s="1" t="s">
        <v>199</v>
      </c>
      <c r="G157" s="5">
        <v>860.48</v>
      </c>
    </row>
    <row r="158" spans="1:7" x14ac:dyDescent="0.2">
      <c r="A158" s="3">
        <v>60</v>
      </c>
      <c r="B158" s="2">
        <v>51628.800000000003</v>
      </c>
      <c r="C158" s="38">
        <v>44854</v>
      </c>
      <c r="D158" s="1" t="s">
        <v>85</v>
      </c>
      <c r="E158" s="1" t="s">
        <v>33</v>
      </c>
      <c r="F158" s="1" t="s">
        <v>199</v>
      </c>
      <c r="G158" s="5">
        <v>860.48</v>
      </c>
    </row>
    <row r="159" spans="1:7" x14ac:dyDescent="0.2">
      <c r="A159" s="3">
        <v>60</v>
      </c>
      <c r="B159" s="2">
        <v>51628.800000000003</v>
      </c>
      <c r="C159" s="38">
        <v>44854</v>
      </c>
      <c r="D159" s="1" t="s">
        <v>85</v>
      </c>
      <c r="E159" s="1" t="s">
        <v>33</v>
      </c>
      <c r="F159" s="1" t="s">
        <v>199</v>
      </c>
      <c r="G159" s="5">
        <v>860.48</v>
      </c>
    </row>
    <row r="160" spans="1:7" x14ac:dyDescent="0.2">
      <c r="A160" s="3">
        <v>60</v>
      </c>
      <c r="B160" s="2">
        <v>51628.800000000003</v>
      </c>
      <c r="C160" s="38">
        <v>44854</v>
      </c>
      <c r="D160" s="1" t="s">
        <v>85</v>
      </c>
      <c r="E160" s="1" t="s">
        <v>33</v>
      </c>
      <c r="F160" s="1" t="s">
        <v>199</v>
      </c>
      <c r="G160" s="5">
        <v>860.48</v>
      </c>
    </row>
    <row r="161" spans="1:7" x14ac:dyDescent="0.2">
      <c r="A161" s="3">
        <v>60</v>
      </c>
      <c r="B161" s="2">
        <v>51628.800000000003</v>
      </c>
      <c r="C161" s="38">
        <v>44854</v>
      </c>
      <c r="D161" s="1" t="s">
        <v>85</v>
      </c>
      <c r="E161" s="1" t="s">
        <v>33</v>
      </c>
      <c r="F161" s="1" t="s">
        <v>199</v>
      </c>
      <c r="G161" s="5">
        <v>860.48</v>
      </c>
    </row>
    <row r="162" spans="1:7" x14ac:dyDescent="0.2">
      <c r="A162" s="3">
        <v>60</v>
      </c>
      <c r="B162" s="2">
        <v>51628.800000000003</v>
      </c>
      <c r="C162" s="38">
        <v>44854</v>
      </c>
      <c r="D162" s="1" t="s">
        <v>85</v>
      </c>
      <c r="E162" s="1" t="s">
        <v>33</v>
      </c>
      <c r="F162" s="1" t="s">
        <v>199</v>
      </c>
      <c r="G162" s="5">
        <v>860.48</v>
      </c>
    </row>
    <row r="163" spans="1:7" x14ac:dyDescent="0.2">
      <c r="A163" s="3">
        <v>60</v>
      </c>
      <c r="B163" s="2">
        <v>51628.800000000003</v>
      </c>
      <c r="C163" s="38">
        <v>44854</v>
      </c>
      <c r="D163" s="1" t="s">
        <v>85</v>
      </c>
      <c r="E163" s="1" t="s">
        <v>33</v>
      </c>
      <c r="F163" s="1" t="s">
        <v>199</v>
      </c>
      <c r="G163" s="5">
        <v>860.48</v>
      </c>
    </row>
    <row r="164" spans="1:7" x14ac:dyDescent="0.2">
      <c r="A164" s="3">
        <v>60</v>
      </c>
      <c r="B164" s="2">
        <v>51628.800000000003</v>
      </c>
      <c r="C164" s="38">
        <v>44854</v>
      </c>
      <c r="D164" s="1" t="s">
        <v>85</v>
      </c>
      <c r="E164" s="1" t="s">
        <v>33</v>
      </c>
      <c r="F164" s="1" t="s">
        <v>199</v>
      </c>
      <c r="G164" s="5">
        <v>860.48</v>
      </c>
    </row>
    <row r="165" spans="1:7" x14ac:dyDescent="0.2">
      <c r="A165" s="3">
        <v>60</v>
      </c>
      <c r="B165" s="2">
        <v>51628.800000000003</v>
      </c>
      <c r="C165" s="38">
        <v>44854</v>
      </c>
      <c r="D165" s="1" t="s">
        <v>85</v>
      </c>
      <c r="E165" s="1" t="s">
        <v>33</v>
      </c>
      <c r="F165" s="1" t="s">
        <v>199</v>
      </c>
      <c r="G165" s="5">
        <v>860.48</v>
      </c>
    </row>
    <row r="166" spans="1:7" x14ac:dyDescent="0.2">
      <c r="A166" s="3">
        <v>60</v>
      </c>
      <c r="B166" s="2">
        <v>51628.800000000003</v>
      </c>
      <c r="C166" s="38">
        <v>44854</v>
      </c>
      <c r="D166" s="1" t="s">
        <v>85</v>
      </c>
      <c r="E166" s="1" t="s">
        <v>33</v>
      </c>
      <c r="F166" s="1" t="s">
        <v>199</v>
      </c>
      <c r="G166" s="5">
        <v>860.48</v>
      </c>
    </row>
    <row r="167" spans="1:7" x14ac:dyDescent="0.2">
      <c r="A167" s="3">
        <v>60</v>
      </c>
      <c r="B167" s="2">
        <v>51628.800000000003</v>
      </c>
      <c r="C167" s="38">
        <v>44854</v>
      </c>
      <c r="D167" s="1" t="s">
        <v>85</v>
      </c>
      <c r="E167" s="1" t="s">
        <v>33</v>
      </c>
      <c r="F167" s="1" t="s">
        <v>199</v>
      </c>
      <c r="G167" s="5">
        <v>860.48</v>
      </c>
    </row>
    <row r="168" spans="1:7" x14ac:dyDescent="0.2">
      <c r="A168" s="3">
        <v>60</v>
      </c>
      <c r="B168" s="2">
        <v>51628.800000000003</v>
      </c>
      <c r="C168" s="38">
        <v>44854</v>
      </c>
      <c r="D168" s="1" t="s">
        <v>85</v>
      </c>
      <c r="E168" s="1" t="s">
        <v>33</v>
      </c>
      <c r="F168" s="1" t="s">
        <v>199</v>
      </c>
      <c r="G168" s="5">
        <v>860.48</v>
      </c>
    </row>
    <row r="169" spans="1:7" x14ac:dyDescent="0.2">
      <c r="A169" s="3">
        <v>60</v>
      </c>
      <c r="B169" s="2">
        <v>51628.800000000003</v>
      </c>
      <c r="C169" s="38">
        <v>44854</v>
      </c>
      <c r="D169" s="1" t="s">
        <v>85</v>
      </c>
      <c r="E169" s="1" t="s">
        <v>33</v>
      </c>
      <c r="F169" s="1" t="s">
        <v>199</v>
      </c>
      <c r="G169" s="5">
        <v>860.48</v>
      </c>
    </row>
    <row r="170" spans="1:7" x14ac:dyDescent="0.2">
      <c r="A170" s="3">
        <v>60</v>
      </c>
      <c r="B170" s="2">
        <v>51628.800000000003</v>
      </c>
      <c r="C170" s="38">
        <v>44854</v>
      </c>
      <c r="D170" s="1" t="s">
        <v>85</v>
      </c>
      <c r="E170" s="1" t="s">
        <v>33</v>
      </c>
      <c r="F170" s="1" t="s">
        <v>199</v>
      </c>
      <c r="G170" s="5">
        <v>860.48</v>
      </c>
    </row>
    <row r="171" spans="1:7" x14ac:dyDescent="0.2">
      <c r="A171" s="3">
        <v>60</v>
      </c>
      <c r="B171" s="2">
        <v>51628.800000000003</v>
      </c>
      <c r="C171" s="38">
        <v>44854</v>
      </c>
      <c r="D171" s="1" t="s">
        <v>85</v>
      </c>
      <c r="E171" s="1" t="s">
        <v>33</v>
      </c>
      <c r="F171" s="1" t="s">
        <v>199</v>
      </c>
      <c r="G171" s="5">
        <v>860.48</v>
      </c>
    </row>
    <row r="172" spans="1:7" x14ac:dyDescent="0.2">
      <c r="A172" s="3">
        <v>60</v>
      </c>
      <c r="B172" s="2">
        <v>51628.800000000003</v>
      </c>
      <c r="C172" s="38">
        <v>44854</v>
      </c>
      <c r="D172" s="1" t="s">
        <v>85</v>
      </c>
      <c r="E172" s="1" t="s">
        <v>33</v>
      </c>
      <c r="F172" s="1" t="s">
        <v>199</v>
      </c>
      <c r="G172" s="5">
        <v>860.48</v>
      </c>
    </row>
    <row r="173" spans="1:7" x14ac:dyDescent="0.2">
      <c r="A173" s="3">
        <v>60</v>
      </c>
      <c r="B173" s="2">
        <v>51628.800000000003</v>
      </c>
      <c r="C173" s="38">
        <v>44854</v>
      </c>
      <c r="D173" s="1" t="s">
        <v>85</v>
      </c>
      <c r="E173" s="1" t="s">
        <v>33</v>
      </c>
      <c r="F173" s="1" t="s">
        <v>199</v>
      </c>
      <c r="G173" s="5">
        <v>860.48</v>
      </c>
    </row>
    <row r="174" spans="1:7" x14ac:dyDescent="0.2">
      <c r="A174" s="3">
        <v>60</v>
      </c>
      <c r="B174" s="2">
        <v>51628.800000000003</v>
      </c>
      <c r="C174" s="38">
        <v>44854</v>
      </c>
      <c r="D174" s="1" t="s">
        <v>85</v>
      </c>
      <c r="E174" s="1" t="s">
        <v>33</v>
      </c>
      <c r="F174" s="1" t="s">
        <v>199</v>
      </c>
      <c r="G174" s="5">
        <v>860.48</v>
      </c>
    </row>
    <row r="175" spans="1:7" x14ac:dyDescent="0.2">
      <c r="A175" s="3">
        <v>60</v>
      </c>
      <c r="B175" s="2">
        <v>51628.800000000003</v>
      </c>
      <c r="C175" s="38">
        <v>44854</v>
      </c>
      <c r="D175" s="1" t="s">
        <v>85</v>
      </c>
      <c r="E175" s="1" t="s">
        <v>33</v>
      </c>
      <c r="F175" s="1" t="s">
        <v>199</v>
      </c>
      <c r="G175" s="5">
        <v>860.48</v>
      </c>
    </row>
    <row r="176" spans="1:7" x14ac:dyDescent="0.2">
      <c r="A176" s="3">
        <v>60</v>
      </c>
      <c r="B176" s="2">
        <v>51628.800000000003</v>
      </c>
      <c r="C176" s="38">
        <v>44854</v>
      </c>
      <c r="D176" s="1" t="s">
        <v>85</v>
      </c>
      <c r="E176" s="1" t="s">
        <v>33</v>
      </c>
      <c r="F176" s="1" t="s">
        <v>199</v>
      </c>
      <c r="G176" s="5">
        <v>860.48</v>
      </c>
    </row>
    <row r="177" spans="1:7" x14ac:dyDescent="0.2">
      <c r="A177" s="3">
        <v>60</v>
      </c>
      <c r="B177" s="2">
        <v>51628.800000000003</v>
      </c>
      <c r="C177" s="38">
        <v>44854</v>
      </c>
      <c r="D177" s="1" t="s">
        <v>85</v>
      </c>
      <c r="E177" s="1" t="s">
        <v>33</v>
      </c>
      <c r="F177" s="1" t="s">
        <v>199</v>
      </c>
      <c r="G177" s="5">
        <v>860.48</v>
      </c>
    </row>
    <row r="178" spans="1:7" x14ac:dyDescent="0.2">
      <c r="A178" s="3">
        <v>60</v>
      </c>
      <c r="B178" s="2">
        <v>51628.800000000003</v>
      </c>
      <c r="C178" s="38">
        <v>44854</v>
      </c>
      <c r="D178" s="1" t="s">
        <v>85</v>
      </c>
      <c r="E178" s="1" t="s">
        <v>33</v>
      </c>
      <c r="F178" s="1" t="s">
        <v>199</v>
      </c>
      <c r="G178" s="5">
        <v>860.48</v>
      </c>
    </row>
    <row r="179" spans="1:7" x14ac:dyDescent="0.2">
      <c r="A179" s="3">
        <v>60</v>
      </c>
      <c r="B179" s="2">
        <v>51628.800000000003</v>
      </c>
      <c r="C179" s="38">
        <v>44854</v>
      </c>
      <c r="D179" s="1" t="s">
        <v>85</v>
      </c>
      <c r="E179" s="1" t="s">
        <v>33</v>
      </c>
      <c r="F179" s="1" t="s">
        <v>199</v>
      </c>
      <c r="G179" s="5">
        <v>860.48</v>
      </c>
    </row>
    <row r="180" spans="1:7" x14ac:dyDescent="0.2">
      <c r="A180" s="3">
        <v>60</v>
      </c>
      <c r="B180" s="2">
        <v>51628.800000000003</v>
      </c>
      <c r="C180" s="38">
        <v>44854</v>
      </c>
      <c r="D180" s="1" t="s">
        <v>85</v>
      </c>
      <c r="E180" s="1" t="s">
        <v>33</v>
      </c>
      <c r="F180" s="1" t="s">
        <v>199</v>
      </c>
      <c r="G180" s="5">
        <v>860.48</v>
      </c>
    </row>
    <row r="181" spans="1:7" x14ac:dyDescent="0.2">
      <c r="A181" s="3">
        <v>60</v>
      </c>
      <c r="B181" s="2">
        <v>51628.800000000003</v>
      </c>
      <c r="C181" s="38">
        <v>44854</v>
      </c>
      <c r="D181" s="1" t="s">
        <v>85</v>
      </c>
      <c r="E181" s="1" t="s">
        <v>33</v>
      </c>
      <c r="F181" s="1" t="s">
        <v>199</v>
      </c>
      <c r="G181" s="5">
        <v>860.48</v>
      </c>
    </row>
    <row r="182" spans="1:7" x14ac:dyDescent="0.2">
      <c r="A182" s="3">
        <v>60</v>
      </c>
      <c r="B182" s="2">
        <v>51628.800000000003</v>
      </c>
      <c r="C182" s="38">
        <v>44854</v>
      </c>
      <c r="D182" s="1" t="s">
        <v>85</v>
      </c>
      <c r="E182" s="1" t="s">
        <v>33</v>
      </c>
      <c r="F182" s="1" t="s">
        <v>199</v>
      </c>
      <c r="G182" s="5">
        <v>860.48</v>
      </c>
    </row>
    <row r="183" spans="1:7" x14ac:dyDescent="0.2">
      <c r="A183" s="3">
        <v>60</v>
      </c>
      <c r="B183" s="2">
        <v>51628.800000000003</v>
      </c>
      <c r="C183" s="38">
        <v>44859</v>
      </c>
      <c r="D183" s="1" t="s">
        <v>85</v>
      </c>
      <c r="E183" s="1" t="s">
        <v>33</v>
      </c>
      <c r="F183" s="1" t="s">
        <v>199</v>
      </c>
      <c r="G183" s="5">
        <v>860.48</v>
      </c>
    </row>
    <row r="184" spans="1:7" x14ac:dyDescent="0.2">
      <c r="A184" s="3">
        <v>60</v>
      </c>
      <c r="B184" s="2">
        <v>51628.800000000003</v>
      </c>
      <c r="C184" s="38">
        <v>44859</v>
      </c>
      <c r="D184" s="1" t="s">
        <v>85</v>
      </c>
      <c r="E184" s="1" t="s">
        <v>33</v>
      </c>
      <c r="F184" s="1" t="s">
        <v>199</v>
      </c>
      <c r="G184" s="5">
        <v>860.48</v>
      </c>
    </row>
    <row r="185" spans="1:7" x14ac:dyDescent="0.2">
      <c r="A185" s="3">
        <v>60</v>
      </c>
      <c r="B185" s="2">
        <v>51628.800000000003</v>
      </c>
      <c r="C185" s="38">
        <v>44859</v>
      </c>
      <c r="D185" s="1" t="s">
        <v>85</v>
      </c>
      <c r="E185" s="1" t="s">
        <v>33</v>
      </c>
      <c r="F185" s="1" t="s">
        <v>199</v>
      </c>
      <c r="G185" s="5">
        <v>860.48</v>
      </c>
    </row>
    <row r="186" spans="1:7" x14ac:dyDescent="0.2">
      <c r="A186" s="3">
        <v>60</v>
      </c>
      <c r="B186" s="2">
        <v>51628.800000000003</v>
      </c>
      <c r="C186" s="38">
        <v>44862</v>
      </c>
      <c r="D186" s="1" t="s">
        <v>85</v>
      </c>
      <c r="E186" s="1" t="s">
        <v>33</v>
      </c>
      <c r="F186" s="1" t="s">
        <v>199</v>
      </c>
      <c r="G186" s="5">
        <v>860.48</v>
      </c>
    </row>
    <row r="187" spans="1:7" x14ac:dyDescent="0.2">
      <c r="A187" s="3">
        <v>60</v>
      </c>
      <c r="B187" s="2">
        <v>51628.800000000003</v>
      </c>
      <c r="C187" s="38">
        <v>44862</v>
      </c>
      <c r="D187" s="1" t="s">
        <v>85</v>
      </c>
      <c r="E187" s="1" t="s">
        <v>33</v>
      </c>
      <c r="F187" s="1" t="s">
        <v>199</v>
      </c>
      <c r="G187" s="5">
        <v>860.48</v>
      </c>
    </row>
    <row r="188" spans="1:7" x14ac:dyDescent="0.2">
      <c r="A188" s="3">
        <v>60</v>
      </c>
      <c r="B188" s="2">
        <v>51628.800000000003</v>
      </c>
      <c r="C188" s="38">
        <v>44862</v>
      </c>
      <c r="D188" s="1" t="s">
        <v>85</v>
      </c>
      <c r="E188" s="1" t="s">
        <v>33</v>
      </c>
      <c r="F188" s="1" t="s">
        <v>199</v>
      </c>
      <c r="G188" s="5">
        <v>860.48</v>
      </c>
    </row>
    <row r="189" spans="1:7" x14ac:dyDescent="0.2">
      <c r="A189" s="3">
        <v>60</v>
      </c>
      <c r="B189" s="2">
        <v>51628.800000000003</v>
      </c>
      <c r="C189" s="38">
        <v>44862</v>
      </c>
      <c r="D189" s="1" t="s">
        <v>85</v>
      </c>
      <c r="E189" s="1" t="s">
        <v>33</v>
      </c>
      <c r="F189" s="1" t="s">
        <v>199</v>
      </c>
      <c r="G189" s="5">
        <v>860.48</v>
      </c>
    </row>
    <row r="190" spans="1:7" x14ac:dyDescent="0.2">
      <c r="A190" s="3">
        <v>60</v>
      </c>
      <c r="B190" s="2">
        <v>51628.800000000003</v>
      </c>
      <c r="C190" s="38">
        <v>44862</v>
      </c>
      <c r="D190" s="1" t="s">
        <v>85</v>
      </c>
      <c r="E190" s="1" t="s">
        <v>33</v>
      </c>
      <c r="F190" s="1" t="s">
        <v>199</v>
      </c>
      <c r="G190" s="5">
        <v>860.48</v>
      </c>
    </row>
    <row r="191" spans="1:7" x14ac:dyDescent="0.2">
      <c r="A191" s="3">
        <v>60</v>
      </c>
      <c r="B191" s="2">
        <v>51628.800000000003</v>
      </c>
      <c r="C191" s="38">
        <v>44862</v>
      </c>
      <c r="D191" s="1" t="s">
        <v>85</v>
      </c>
      <c r="E191" s="1" t="s">
        <v>33</v>
      </c>
      <c r="F191" s="1" t="s">
        <v>199</v>
      </c>
      <c r="G191" s="5">
        <v>860.48</v>
      </c>
    </row>
    <row r="192" spans="1:7" x14ac:dyDescent="0.2">
      <c r="A192" s="3">
        <v>60</v>
      </c>
      <c r="B192" s="2">
        <v>51628.800000000003</v>
      </c>
      <c r="C192" s="38">
        <v>44862</v>
      </c>
      <c r="D192" s="1" t="s">
        <v>85</v>
      </c>
      <c r="E192" s="1" t="s">
        <v>33</v>
      </c>
      <c r="F192" s="1" t="s">
        <v>199</v>
      </c>
      <c r="G192" s="5">
        <v>860.48</v>
      </c>
    </row>
    <row r="193" spans="1:7" x14ac:dyDescent="0.2">
      <c r="A193" s="3">
        <v>60</v>
      </c>
      <c r="B193" s="2">
        <v>51628.800000000003</v>
      </c>
      <c r="C193" s="38">
        <v>44862</v>
      </c>
      <c r="D193" s="1" t="s">
        <v>85</v>
      </c>
      <c r="E193" s="1" t="s">
        <v>33</v>
      </c>
      <c r="F193" s="1" t="s">
        <v>199</v>
      </c>
      <c r="G193" s="5">
        <v>860.48</v>
      </c>
    </row>
    <row r="194" spans="1:7" x14ac:dyDescent="0.2">
      <c r="A194" s="3">
        <v>60</v>
      </c>
      <c r="B194" s="2">
        <v>51628.800000000003</v>
      </c>
      <c r="C194" s="38">
        <v>44862</v>
      </c>
      <c r="D194" s="1" t="s">
        <v>85</v>
      </c>
      <c r="E194" s="1" t="s">
        <v>33</v>
      </c>
      <c r="F194" s="1" t="s">
        <v>199</v>
      </c>
      <c r="G194" s="5">
        <v>860.48</v>
      </c>
    </row>
    <row r="195" spans="1:7" x14ac:dyDescent="0.2">
      <c r="A195" s="3">
        <v>60</v>
      </c>
      <c r="B195" s="2">
        <v>51628.800000000003</v>
      </c>
      <c r="C195" s="38">
        <v>44862</v>
      </c>
      <c r="D195" s="1" t="s">
        <v>85</v>
      </c>
      <c r="E195" s="1" t="s">
        <v>33</v>
      </c>
      <c r="F195" s="1" t="s">
        <v>199</v>
      </c>
      <c r="G195" s="5">
        <v>860.48</v>
      </c>
    </row>
    <row r="196" spans="1:7" x14ac:dyDescent="0.2">
      <c r="A196" s="3">
        <v>60</v>
      </c>
      <c r="B196" s="2">
        <v>51628.800000000003</v>
      </c>
      <c r="C196" s="38">
        <v>44862</v>
      </c>
      <c r="D196" s="1" t="s">
        <v>85</v>
      </c>
      <c r="E196" s="1" t="s">
        <v>33</v>
      </c>
      <c r="F196" s="1" t="s">
        <v>199</v>
      </c>
      <c r="G196" s="5">
        <v>860.48</v>
      </c>
    </row>
    <row r="197" spans="1:7" x14ac:dyDescent="0.2">
      <c r="A197" s="3">
        <v>60</v>
      </c>
      <c r="B197" s="2">
        <v>51628.800000000003</v>
      </c>
      <c r="C197" s="38">
        <v>44862</v>
      </c>
      <c r="D197" s="1" t="s">
        <v>85</v>
      </c>
      <c r="E197" s="1" t="s">
        <v>33</v>
      </c>
      <c r="F197" s="1" t="s">
        <v>199</v>
      </c>
      <c r="G197" s="5">
        <v>860.48</v>
      </c>
    </row>
    <row r="198" spans="1:7" x14ac:dyDescent="0.2">
      <c r="A198" s="3">
        <v>60</v>
      </c>
      <c r="B198" s="2">
        <v>51628.800000000003</v>
      </c>
      <c r="C198" s="38">
        <v>44862</v>
      </c>
      <c r="D198" s="1" t="s">
        <v>85</v>
      </c>
      <c r="E198" s="1" t="s">
        <v>33</v>
      </c>
      <c r="F198" s="1" t="s">
        <v>199</v>
      </c>
      <c r="G198" s="5">
        <v>860.48</v>
      </c>
    </row>
    <row r="199" spans="1:7" x14ac:dyDescent="0.2">
      <c r="A199" s="3">
        <v>60</v>
      </c>
      <c r="B199" s="2">
        <v>51628.800000000003</v>
      </c>
      <c r="C199" s="38">
        <v>44862</v>
      </c>
      <c r="D199" s="1" t="s">
        <v>85</v>
      </c>
      <c r="E199" s="1" t="s">
        <v>33</v>
      </c>
      <c r="F199" s="1" t="s">
        <v>199</v>
      </c>
      <c r="G199" s="5">
        <v>860.48</v>
      </c>
    </row>
    <row r="200" spans="1:7" x14ac:dyDescent="0.2">
      <c r="A200" s="3">
        <v>-120</v>
      </c>
      <c r="B200" s="2">
        <v>-51024</v>
      </c>
      <c r="C200" s="38">
        <v>45056</v>
      </c>
      <c r="D200" s="1" t="s">
        <v>58</v>
      </c>
      <c r="E200" s="1" t="s">
        <v>33</v>
      </c>
      <c r="F200" s="1" t="s">
        <v>199</v>
      </c>
      <c r="G200" s="5">
        <v>425.2</v>
      </c>
    </row>
    <row r="201" spans="1:7" x14ac:dyDescent="0.2">
      <c r="A201" s="3">
        <v>-120</v>
      </c>
      <c r="B201" s="2">
        <v>-51024</v>
      </c>
      <c r="C201" s="38">
        <v>45056</v>
      </c>
      <c r="D201" s="1" t="s">
        <v>58</v>
      </c>
      <c r="E201" s="1" t="s">
        <v>33</v>
      </c>
      <c r="F201" s="1" t="s">
        <v>199</v>
      </c>
      <c r="G201" s="5">
        <v>425.2</v>
      </c>
    </row>
    <row r="202" spans="1:7" x14ac:dyDescent="0.2">
      <c r="A202" s="3">
        <v>120</v>
      </c>
      <c r="B202" s="2">
        <v>54085.2</v>
      </c>
      <c r="C202" s="38">
        <v>45056</v>
      </c>
      <c r="D202" s="1" t="s">
        <v>58</v>
      </c>
      <c r="E202" s="1" t="s">
        <v>33</v>
      </c>
      <c r="F202" s="1" t="s">
        <v>199</v>
      </c>
      <c r="G202" s="5">
        <v>450.71</v>
      </c>
    </row>
    <row r="203" spans="1:7" x14ac:dyDescent="0.2">
      <c r="A203" s="3">
        <v>120</v>
      </c>
      <c r="B203" s="2">
        <v>54085.2</v>
      </c>
      <c r="C203" s="38">
        <v>45056</v>
      </c>
      <c r="D203" s="1" t="s">
        <v>58</v>
      </c>
      <c r="E203" s="1" t="s">
        <v>33</v>
      </c>
      <c r="F203" s="1" t="s">
        <v>199</v>
      </c>
      <c r="G203" s="5">
        <v>450.71</v>
      </c>
    </row>
    <row r="204" spans="1:7" x14ac:dyDescent="0.2">
      <c r="A204" s="3">
        <v>768</v>
      </c>
      <c r="B204" s="2">
        <v>116090.88</v>
      </c>
      <c r="C204" s="38">
        <v>45072</v>
      </c>
      <c r="D204" s="1" t="s">
        <v>165</v>
      </c>
      <c r="E204" s="1" t="s">
        <v>33</v>
      </c>
      <c r="F204" s="1" t="s">
        <v>199</v>
      </c>
      <c r="G204" s="5">
        <v>151.16</v>
      </c>
    </row>
    <row r="205" spans="1:7" x14ac:dyDescent="0.2">
      <c r="A205" s="3">
        <v>147</v>
      </c>
      <c r="B205" s="2">
        <v>49849.17</v>
      </c>
      <c r="C205" s="38">
        <v>45077</v>
      </c>
      <c r="D205" s="1" t="s">
        <v>77</v>
      </c>
      <c r="E205" s="1" t="s">
        <v>33</v>
      </c>
      <c r="F205" s="1" t="s">
        <v>199</v>
      </c>
      <c r="G205" s="5">
        <v>339.11</v>
      </c>
    </row>
    <row r="206" spans="1:7" x14ac:dyDescent="0.2">
      <c r="A206" s="3">
        <v>210</v>
      </c>
      <c r="B206" s="2">
        <v>85386</v>
      </c>
      <c r="C206" s="38">
        <v>44932</v>
      </c>
      <c r="D206" s="1" t="s">
        <v>73</v>
      </c>
      <c r="E206" s="1" t="s">
        <v>33</v>
      </c>
      <c r="F206" s="1" t="s">
        <v>199</v>
      </c>
      <c r="G206" s="5">
        <v>406.6</v>
      </c>
    </row>
    <row r="207" spans="1:7" x14ac:dyDescent="0.2">
      <c r="A207" s="3">
        <v>360</v>
      </c>
      <c r="B207" s="2">
        <v>158594.4</v>
      </c>
      <c r="C207" s="38">
        <v>44932</v>
      </c>
      <c r="D207" s="1" t="s">
        <v>66</v>
      </c>
      <c r="E207" s="1" t="s">
        <v>33</v>
      </c>
      <c r="F207" s="1" t="s">
        <v>199</v>
      </c>
      <c r="G207" s="5">
        <v>440.54</v>
      </c>
    </row>
    <row r="208" spans="1:7" x14ac:dyDescent="0.2">
      <c r="A208" s="3">
        <v>144</v>
      </c>
      <c r="B208" s="2">
        <v>29975.040000000001</v>
      </c>
      <c r="C208" s="38">
        <v>44985</v>
      </c>
      <c r="D208" s="1" t="s">
        <v>115</v>
      </c>
      <c r="E208" s="1" t="s">
        <v>33</v>
      </c>
      <c r="F208" s="1" t="s">
        <v>199</v>
      </c>
      <c r="G208" s="5">
        <v>208.16</v>
      </c>
    </row>
    <row r="209" spans="1:7" x14ac:dyDescent="0.2">
      <c r="A209" s="3">
        <v>96</v>
      </c>
      <c r="B209" s="2">
        <v>19983.36</v>
      </c>
      <c r="C209" s="38">
        <v>44985</v>
      </c>
      <c r="D209" s="1" t="s">
        <v>115</v>
      </c>
      <c r="E209" s="1" t="s">
        <v>33</v>
      </c>
      <c r="F209" s="1" t="s">
        <v>199</v>
      </c>
      <c r="G209" s="5">
        <v>208.16</v>
      </c>
    </row>
    <row r="210" spans="1:7" x14ac:dyDescent="0.2">
      <c r="A210" s="3">
        <v>96</v>
      </c>
      <c r="B210" s="2">
        <v>19983.36</v>
      </c>
      <c r="C210" s="38">
        <v>44985</v>
      </c>
      <c r="D210" s="1" t="s">
        <v>115</v>
      </c>
      <c r="E210" s="1" t="s">
        <v>33</v>
      </c>
      <c r="F210" s="1" t="s">
        <v>199</v>
      </c>
      <c r="G210" s="5">
        <v>208.16</v>
      </c>
    </row>
    <row r="211" spans="1:7" x14ac:dyDescent="0.2">
      <c r="A211" s="3">
        <v>21</v>
      </c>
      <c r="B211" s="2">
        <v>52168.62</v>
      </c>
      <c r="C211" s="38">
        <v>44985</v>
      </c>
      <c r="D211" s="1" t="s">
        <v>86</v>
      </c>
      <c r="E211" s="1" t="s">
        <v>33</v>
      </c>
      <c r="F211" s="1" t="s">
        <v>199</v>
      </c>
      <c r="G211" s="5">
        <v>2484.2199999999998</v>
      </c>
    </row>
    <row r="212" spans="1:7" x14ac:dyDescent="0.2">
      <c r="A212" s="3">
        <v>6</v>
      </c>
      <c r="B212" s="2">
        <v>14905.32</v>
      </c>
      <c r="C212" s="38">
        <v>44985</v>
      </c>
      <c r="D212" s="1" t="s">
        <v>86</v>
      </c>
      <c r="E212" s="1" t="s">
        <v>33</v>
      </c>
      <c r="F212" s="1" t="s">
        <v>199</v>
      </c>
      <c r="G212" s="5">
        <v>2484.2199999999998</v>
      </c>
    </row>
    <row r="213" spans="1:7" x14ac:dyDescent="0.2">
      <c r="A213" s="3">
        <v>147</v>
      </c>
      <c r="B213" s="2">
        <v>47026.77</v>
      </c>
      <c r="C213" s="38">
        <v>44940</v>
      </c>
      <c r="D213" s="1" t="s">
        <v>77</v>
      </c>
      <c r="E213" s="1" t="s">
        <v>33</v>
      </c>
      <c r="F213" s="1" t="s">
        <v>199</v>
      </c>
      <c r="G213" s="5">
        <v>319.91000000000003</v>
      </c>
    </row>
    <row r="214" spans="1:7" x14ac:dyDescent="0.2">
      <c r="A214" s="3">
        <v>30</v>
      </c>
      <c r="B214" s="2">
        <v>12198</v>
      </c>
      <c r="C214" s="38">
        <v>44940</v>
      </c>
      <c r="D214" s="1" t="s">
        <v>73</v>
      </c>
      <c r="E214" s="1" t="s">
        <v>33</v>
      </c>
      <c r="F214" s="1" t="s">
        <v>199</v>
      </c>
      <c r="G214" s="5">
        <v>406.6</v>
      </c>
    </row>
    <row r="215" spans="1:7" x14ac:dyDescent="0.2">
      <c r="A215" s="3">
        <v>5</v>
      </c>
      <c r="B215" s="2">
        <v>12421.1</v>
      </c>
      <c r="C215" s="38">
        <v>44992</v>
      </c>
      <c r="D215" s="1" t="s">
        <v>86</v>
      </c>
      <c r="E215" s="1" t="s">
        <v>33</v>
      </c>
      <c r="F215" s="1" t="s">
        <v>199</v>
      </c>
      <c r="G215" s="5">
        <v>2484.2199999999998</v>
      </c>
    </row>
    <row r="216" spans="1:7" x14ac:dyDescent="0.2">
      <c r="A216" s="3">
        <v>210</v>
      </c>
      <c r="B216" s="2">
        <v>76015.8</v>
      </c>
      <c r="C216" s="38">
        <v>44992</v>
      </c>
      <c r="D216" s="1" t="s">
        <v>74</v>
      </c>
      <c r="E216" s="1" t="s">
        <v>33</v>
      </c>
      <c r="F216" s="1" t="s">
        <v>199</v>
      </c>
      <c r="G216" s="5">
        <v>361.98</v>
      </c>
    </row>
    <row r="217" spans="1:7" x14ac:dyDescent="0.2">
      <c r="A217" s="3">
        <v>27</v>
      </c>
      <c r="B217" s="2">
        <v>67073.94</v>
      </c>
      <c r="C217" s="38">
        <v>45000</v>
      </c>
      <c r="D217" s="1" t="s">
        <v>86</v>
      </c>
      <c r="E217" s="1" t="s">
        <v>33</v>
      </c>
      <c r="F217" s="1" t="s">
        <v>199</v>
      </c>
      <c r="G217" s="5">
        <v>2484.2199999999998</v>
      </c>
    </row>
    <row r="218" spans="1:7" x14ac:dyDescent="0.2">
      <c r="A218" s="3">
        <v>17</v>
      </c>
      <c r="B218" s="2">
        <v>42231.74</v>
      </c>
      <c r="C218" s="38">
        <v>45000</v>
      </c>
      <c r="D218" s="1" t="s">
        <v>86</v>
      </c>
      <c r="E218" s="1" t="s">
        <v>33</v>
      </c>
      <c r="F218" s="1" t="s">
        <v>199</v>
      </c>
      <c r="G218" s="5">
        <v>2484.2199999999998</v>
      </c>
    </row>
    <row r="219" spans="1:7" x14ac:dyDescent="0.2">
      <c r="A219" s="3">
        <v>768</v>
      </c>
      <c r="B219" s="2">
        <v>116090.88</v>
      </c>
      <c r="C219" s="38">
        <v>45030</v>
      </c>
      <c r="D219" s="1" t="s">
        <v>165</v>
      </c>
      <c r="E219" s="1" t="s">
        <v>33</v>
      </c>
      <c r="F219" s="1" t="s">
        <v>199</v>
      </c>
      <c r="G219" s="5">
        <v>151.16</v>
      </c>
    </row>
    <row r="220" spans="1:7" x14ac:dyDescent="0.2">
      <c r="A220" s="3">
        <v>147</v>
      </c>
      <c r="B220" s="2">
        <v>47026.77</v>
      </c>
      <c r="C220" s="38">
        <v>44956</v>
      </c>
      <c r="D220" s="1" t="s">
        <v>77</v>
      </c>
      <c r="E220" s="1" t="s">
        <v>33</v>
      </c>
      <c r="F220" s="1" t="s">
        <v>199</v>
      </c>
      <c r="G220" s="5">
        <v>319.91000000000003</v>
      </c>
    </row>
    <row r="221" spans="1:7" x14ac:dyDescent="0.2">
      <c r="A221" s="3">
        <v>216</v>
      </c>
      <c r="B221" s="2">
        <v>23392.799999999999</v>
      </c>
      <c r="C221" s="38">
        <v>44970</v>
      </c>
      <c r="D221" s="1" t="s">
        <v>55</v>
      </c>
      <c r="E221" s="1" t="s">
        <v>33</v>
      </c>
      <c r="F221" s="1" t="s">
        <v>199</v>
      </c>
      <c r="G221" s="5">
        <v>108.3</v>
      </c>
    </row>
    <row r="222" spans="1:7" x14ac:dyDescent="0.2">
      <c r="A222" s="3">
        <v>144</v>
      </c>
      <c r="B222" s="2">
        <v>29975.040000000001</v>
      </c>
      <c r="C222" s="38">
        <v>45037</v>
      </c>
      <c r="D222" s="1" t="s">
        <v>115</v>
      </c>
      <c r="E222" s="1" t="s">
        <v>33</v>
      </c>
      <c r="F222" s="1" t="s">
        <v>199</v>
      </c>
      <c r="G222" s="5">
        <v>208.16</v>
      </c>
    </row>
    <row r="223" spans="1:7" x14ac:dyDescent="0.2">
      <c r="A223" s="3">
        <v>48</v>
      </c>
      <c r="B223" s="2">
        <v>9991.68</v>
      </c>
      <c r="C223" s="38">
        <v>45037</v>
      </c>
      <c r="D223" s="1" t="s">
        <v>115</v>
      </c>
      <c r="E223" s="1" t="s">
        <v>33</v>
      </c>
      <c r="F223" s="1" t="s">
        <v>199</v>
      </c>
      <c r="G223" s="5">
        <v>208.16</v>
      </c>
    </row>
    <row r="224" spans="1:7" x14ac:dyDescent="0.2">
      <c r="A224" s="3">
        <v>96</v>
      </c>
      <c r="B224" s="2">
        <v>19983.36</v>
      </c>
      <c r="C224" s="38">
        <v>45037</v>
      </c>
      <c r="D224" s="1" t="s">
        <v>115</v>
      </c>
      <c r="E224" s="1" t="s">
        <v>33</v>
      </c>
      <c r="F224" s="1" t="s">
        <v>199</v>
      </c>
      <c r="G224" s="5">
        <v>208.16</v>
      </c>
    </row>
    <row r="225" spans="1:7" x14ac:dyDescent="0.2">
      <c r="A225" s="3">
        <v>15</v>
      </c>
      <c r="B225" s="2">
        <v>37263.300000000003</v>
      </c>
      <c r="C225" s="38">
        <v>45061</v>
      </c>
      <c r="D225" s="1" t="s">
        <v>86</v>
      </c>
      <c r="E225" s="1" t="s">
        <v>33</v>
      </c>
      <c r="F225" s="1" t="s">
        <v>199</v>
      </c>
      <c r="G225" s="5">
        <v>2484.2199999999998</v>
      </c>
    </row>
    <row r="226" spans="1:7" x14ac:dyDescent="0.2">
      <c r="A226" s="3">
        <v>147</v>
      </c>
      <c r="B226" s="2">
        <v>49849.17</v>
      </c>
      <c r="C226" s="38">
        <v>44978</v>
      </c>
      <c r="D226" s="1" t="s">
        <v>77</v>
      </c>
      <c r="E226" s="1" t="s">
        <v>33</v>
      </c>
      <c r="F226" s="1" t="s">
        <v>199</v>
      </c>
      <c r="G226" s="5">
        <v>339.11</v>
      </c>
    </row>
    <row r="227" spans="1:7" x14ac:dyDescent="0.2">
      <c r="A227" s="3">
        <v>324</v>
      </c>
      <c r="B227" s="2">
        <v>35089.199999999997</v>
      </c>
      <c r="C227" s="38">
        <v>44978</v>
      </c>
      <c r="D227" s="1" t="s">
        <v>55</v>
      </c>
      <c r="E227" s="1" t="s">
        <v>33</v>
      </c>
      <c r="F227" s="1" t="s">
        <v>199</v>
      </c>
      <c r="G227" s="5">
        <v>108.3</v>
      </c>
    </row>
    <row r="228" spans="1:7" x14ac:dyDescent="0.2">
      <c r="A228" s="3">
        <v>324</v>
      </c>
      <c r="B228" s="2">
        <v>35089.199999999997</v>
      </c>
      <c r="C228" s="38">
        <v>44978</v>
      </c>
      <c r="D228" s="1" t="s">
        <v>55</v>
      </c>
      <c r="E228" s="1" t="s">
        <v>33</v>
      </c>
      <c r="F228" s="1" t="s">
        <v>199</v>
      </c>
      <c r="G228" s="5">
        <v>108.3</v>
      </c>
    </row>
    <row r="229" spans="1:7" x14ac:dyDescent="0.2">
      <c r="A229" s="3">
        <v>21</v>
      </c>
      <c r="B229" s="2">
        <v>52168.62</v>
      </c>
      <c r="C229" s="38">
        <v>45061</v>
      </c>
      <c r="D229" s="1" t="s">
        <v>86</v>
      </c>
      <c r="E229" s="1" t="s">
        <v>33</v>
      </c>
      <c r="F229" s="1" t="s">
        <v>199</v>
      </c>
      <c r="G229" s="5">
        <v>2484.2199999999998</v>
      </c>
    </row>
    <row r="230" spans="1:7" x14ac:dyDescent="0.2">
      <c r="A230" s="3">
        <v>147</v>
      </c>
      <c r="B230" s="2">
        <v>49849.17</v>
      </c>
      <c r="C230" s="38">
        <v>45041</v>
      </c>
      <c r="D230" s="1" t="s">
        <v>77</v>
      </c>
      <c r="E230" s="1" t="s">
        <v>33</v>
      </c>
      <c r="F230" s="1" t="s">
        <v>199</v>
      </c>
      <c r="G230" s="5">
        <v>339.11</v>
      </c>
    </row>
    <row r="231" spans="1:7" x14ac:dyDescent="0.2">
      <c r="A231" s="3">
        <v>147</v>
      </c>
      <c r="B231" s="2">
        <v>49849.17</v>
      </c>
      <c r="C231" s="38">
        <v>45041</v>
      </c>
      <c r="D231" s="1" t="s">
        <v>77</v>
      </c>
      <c r="E231" s="1" t="s">
        <v>33</v>
      </c>
      <c r="F231" s="1" t="s">
        <v>199</v>
      </c>
      <c r="G231" s="5">
        <v>339.11</v>
      </c>
    </row>
    <row r="232" spans="1:7" x14ac:dyDescent="0.2">
      <c r="A232" s="3">
        <v>192</v>
      </c>
      <c r="B232" s="2">
        <v>37704.959999999999</v>
      </c>
      <c r="C232" s="38">
        <v>45041</v>
      </c>
      <c r="D232" s="1" t="s">
        <v>172</v>
      </c>
      <c r="E232" s="1" t="s">
        <v>33</v>
      </c>
      <c r="F232" s="1" t="s">
        <v>199</v>
      </c>
      <c r="G232" s="5">
        <v>196.38</v>
      </c>
    </row>
    <row r="233" spans="1:7" x14ac:dyDescent="0.2">
      <c r="A233" s="3">
        <v>96</v>
      </c>
      <c r="B233" s="2">
        <v>18852.48</v>
      </c>
      <c r="C233" s="38">
        <v>45041</v>
      </c>
      <c r="D233" s="1" t="s">
        <v>172</v>
      </c>
      <c r="E233" s="1" t="s">
        <v>33</v>
      </c>
      <c r="F233" s="1" t="s">
        <v>199</v>
      </c>
      <c r="G233" s="5">
        <v>196.38</v>
      </c>
    </row>
    <row r="234" spans="1:7" x14ac:dyDescent="0.2">
      <c r="A234" s="3">
        <v>144</v>
      </c>
      <c r="B234" s="2">
        <v>28278.720000000001</v>
      </c>
      <c r="C234" s="38">
        <v>45041</v>
      </c>
      <c r="D234" s="1" t="s">
        <v>172</v>
      </c>
      <c r="E234" s="1" t="s">
        <v>33</v>
      </c>
      <c r="F234" s="1" t="s">
        <v>199</v>
      </c>
      <c r="G234" s="5">
        <v>196.38</v>
      </c>
    </row>
    <row r="235" spans="1:7" x14ac:dyDescent="0.2">
      <c r="A235" s="3">
        <v>144</v>
      </c>
      <c r="B235" s="2">
        <v>28278.720000000001</v>
      </c>
      <c r="C235" s="38">
        <v>45041</v>
      </c>
      <c r="D235" s="1" t="s">
        <v>172</v>
      </c>
      <c r="E235" s="1" t="s">
        <v>33</v>
      </c>
      <c r="F235" s="1" t="s">
        <v>199</v>
      </c>
      <c r="G235" s="5">
        <v>196.38</v>
      </c>
    </row>
    <row r="236" spans="1:7" x14ac:dyDescent="0.2">
      <c r="A236" s="3">
        <v>192</v>
      </c>
      <c r="B236" s="2">
        <v>37704.959999999999</v>
      </c>
      <c r="C236" s="38">
        <v>45041</v>
      </c>
      <c r="D236" s="1" t="s">
        <v>172</v>
      </c>
      <c r="E236" s="1" t="s">
        <v>33</v>
      </c>
      <c r="F236" s="1" t="s">
        <v>199</v>
      </c>
      <c r="G236" s="5">
        <v>196.38</v>
      </c>
    </row>
    <row r="237" spans="1:7" x14ac:dyDescent="0.2">
      <c r="A237" s="3">
        <v>192</v>
      </c>
      <c r="B237" s="2">
        <v>37704.959999999999</v>
      </c>
      <c r="C237" s="38">
        <v>45041</v>
      </c>
      <c r="D237" s="1" t="s">
        <v>172</v>
      </c>
      <c r="E237" s="1" t="s">
        <v>33</v>
      </c>
      <c r="F237" s="1" t="s">
        <v>199</v>
      </c>
      <c r="G237" s="5">
        <v>196.38</v>
      </c>
    </row>
    <row r="238" spans="1:7" x14ac:dyDescent="0.2">
      <c r="A238" s="3">
        <v>96</v>
      </c>
      <c r="B238" s="2">
        <v>19983.36</v>
      </c>
      <c r="C238" s="38">
        <v>45132</v>
      </c>
      <c r="D238" s="1" t="s">
        <v>115</v>
      </c>
      <c r="E238" s="1" t="s">
        <v>33</v>
      </c>
      <c r="F238" s="1" t="s">
        <v>199</v>
      </c>
      <c r="G238" s="5">
        <v>208.16</v>
      </c>
    </row>
    <row r="239" spans="1:7" x14ac:dyDescent="0.2">
      <c r="A239" s="3">
        <v>48</v>
      </c>
      <c r="B239" s="2">
        <v>9991.68</v>
      </c>
      <c r="C239" s="38">
        <v>45132</v>
      </c>
      <c r="D239" s="1" t="s">
        <v>115</v>
      </c>
      <c r="E239" s="1" t="s">
        <v>33</v>
      </c>
      <c r="F239" s="1" t="s">
        <v>199</v>
      </c>
      <c r="G239" s="5">
        <v>208.16</v>
      </c>
    </row>
    <row r="240" spans="1:7" x14ac:dyDescent="0.2">
      <c r="A240" s="3">
        <v>147</v>
      </c>
      <c r="B240" s="2">
        <v>49849.17</v>
      </c>
      <c r="C240" s="38">
        <v>45132</v>
      </c>
      <c r="D240" s="1" t="s">
        <v>77</v>
      </c>
      <c r="E240" s="1" t="s">
        <v>33</v>
      </c>
      <c r="F240" s="1" t="s">
        <v>199</v>
      </c>
      <c r="G240" s="5">
        <v>339.11</v>
      </c>
    </row>
    <row r="241" spans="1:7" x14ac:dyDescent="0.2">
      <c r="A241" s="3">
        <v>26</v>
      </c>
      <c r="B241" s="2">
        <v>61238.32</v>
      </c>
      <c r="C241" s="38">
        <v>44768</v>
      </c>
      <c r="D241" s="1" t="s">
        <v>86</v>
      </c>
      <c r="E241" s="1" t="s">
        <v>33</v>
      </c>
      <c r="F241" s="1" t="s">
        <v>199</v>
      </c>
      <c r="G241" s="5">
        <v>2355.3200000000002</v>
      </c>
    </row>
    <row r="242" spans="1:7" x14ac:dyDescent="0.2">
      <c r="A242" s="3">
        <v>6</v>
      </c>
      <c r="B242" s="2">
        <v>14131.92</v>
      </c>
      <c r="C242" s="38">
        <v>44768</v>
      </c>
      <c r="D242" s="1" t="s">
        <v>86</v>
      </c>
      <c r="E242" s="1" t="s">
        <v>33</v>
      </c>
      <c r="F242" s="1" t="s">
        <v>199</v>
      </c>
      <c r="G242" s="5">
        <v>2355.3200000000002</v>
      </c>
    </row>
    <row r="243" spans="1:7" x14ac:dyDescent="0.2">
      <c r="A243" s="3">
        <v>26</v>
      </c>
      <c r="B243" s="2">
        <v>61238.32</v>
      </c>
      <c r="C243" s="38">
        <v>44806</v>
      </c>
      <c r="D243" s="1" t="s">
        <v>86</v>
      </c>
      <c r="E243" s="1" t="s">
        <v>33</v>
      </c>
      <c r="F243" s="1" t="s">
        <v>199</v>
      </c>
      <c r="G243" s="5">
        <v>2355.3200000000002</v>
      </c>
    </row>
    <row r="244" spans="1:7" x14ac:dyDescent="0.2">
      <c r="A244" s="3">
        <v>6</v>
      </c>
      <c r="B244" s="2">
        <v>14131.92</v>
      </c>
      <c r="C244" s="38">
        <v>44806</v>
      </c>
      <c r="D244" s="1" t="s">
        <v>86</v>
      </c>
      <c r="E244" s="1" t="s">
        <v>33</v>
      </c>
      <c r="F244" s="1" t="s">
        <v>199</v>
      </c>
      <c r="G244" s="5">
        <v>2355.3200000000002</v>
      </c>
    </row>
    <row r="245" spans="1:7" x14ac:dyDescent="0.2">
      <c r="A245" s="3">
        <v>144</v>
      </c>
      <c r="B245" s="2">
        <v>29975.040000000001</v>
      </c>
      <c r="C245" s="38">
        <v>45175</v>
      </c>
      <c r="D245" s="1" t="s">
        <v>115</v>
      </c>
      <c r="E245" s="1" t="s">
        <v>33</v>
      </c>
      <c r="F245" s="1" t="s">
        <v>199</v>
      </c>
      <c r="G245" s="5">
        <v>208.16</v>
      </c>
    </row>
    <row r="246" spans="1:7" x14ac:dyDescent="0.2">
      <c r="A246" s="3">
        <v>26</v>
      </c>
      <c r="B246" s="2">
        <v>61238.32</v>
      </c>
      <c r="C246" s="38">
        <v>44825</v>
      </c>
      <c r="D246" s="1" t="s">
        <v>86</v>
      </c>
      <c r="E246" s="1" t="s">
        <v>33</v>
      </c>
      <c r="F246" s="1" t="s">
        <v>199</v>
      </c>
      <c r="G246" s="5">
        <v>2355.3200000000002</v>
      </c>
    </row>
    <row r="247" spans="1:7" x14ac:dyDescent="0.2">
      <c r="A247" s="3">
        <v>6</v>
      </c>
      <c r="B247" s="2">
        <v>14131.92</v>
      </c>
      <c r="C247" s="38">
        <v>44825</v>
      </c>
      <c r="D247" s="1" t="s">
        <v>86</v>
      </c>
      <c r="E247" s="1" t="s">
        <v>33</v>
      </c>
      <c r="F247" s="1" t="s">
        <v>199</v>
      </c>
      <c r="G247" s="5">
        <v>2355.3200000000002</v>
      </c>
    </row>
    <row r="248" spans="1:7" x14ac:dyDescent="0.2">
      <c r="A248" s="3">
        <v>26</v>
      </c>
      <c r="B248" s="2">
        <v>61238.32</v>
      </c>
      <c r="C248" s="38">
        <v>44825</v>
      </c>
      <c r="D248" s="1" t="s">
        <v>86</v>
      </c>
      <c r="E248" s="1" t="s">
        <v>33</v>
      </c>
      <c r="F248" s="1" t="s">
        <v>199</v>
      </c>
      <c r="G248" s="5">
        <v>2355.3200000000002</v>
      </c>
    </row>
    <row r="249" spans="1:7" x14ac:dyDescent="0.2">
      <c r="A249" s="3">
        <v>11</v>
      </c>
      <c r="B249" s="2">
        <v>25908.52</v>
      </c>
      <c r="C249" s="38">
        <v>44862</v>
      </c>
      <c r="D249" s="1" t="s">
        <v>86</v>
      </c>
      <c r="E249" s="1" t="s">
        <v>33</v>
      </c>
      <c r="F249" s="1" t="s">
        <v>199</v>
      </c>
      <c r="G249" s="5">
        <v>2355.3200000000002</v>
      </c>
    </row>
    <row r="250" spans="1:7" x14ac:dyDescent="0.2">
      <c r="A250" s="3">
        <v>147</v>
      </c>
      <c r="B250" s="2">
        <v>47026.77</v>
      </c>
      <c r="C250" s="38">
        <v>44743</v>
      </c>
      <c r="D250" s="1" t="s">
        <v>77</v>
      </c>
      <c r="E250" s="1" t="s">
        <v>33</v>
      </c>
      <c r="F250" s="1" t="s">
        <v>199</v>
      </c>
      <c r="G250" s="5">
        <v>319.91000000000003</v>
      </c>
    </row>
    <row r="251" spans="1:7" x14ac:dyDescent="0.2">
      <c r="A251" s="3">
        <v>26</v>
      </c>
      <c r="B251" s="2">
        <v>61238.32</v>
      </c>
      <c r="C251" s="38">
        <v>44777</v>
      </c>
      <c r="D251" s="1" t="s">
        <v>86</v>
      </c>
      <c r="E251" s="1" t="s">
        <v>33</v>
      </c>
      <c r="F251" s="1" t="s">
        <v>199</v>
      </c>
      <c r="G251" s="5">
        <v>2355.3200000000002</v>
      </c>
    </row>
    <row r="252" spans="1:7" x14ac:dyDescent="0.2">
      <c r="A252" s="3">
        <v>6</v>
      </c>
      <c r="B252" s="2">
        <v>14131.92</v>
      </c>
      <c r="C252" s="38">
        <v>44777</v>
      </c>
      <c r="D252" s="1" t="s">
        <v>86</v>
      </c>
      <c r="E252" s="1" t="s">
        <v>33</v>
      </c>
      <c r="F252" s="1" t="s">
        <v>199</v>
      </c>
      <c r="G252" s="5">
        <v>2355.3200000000002</v>
      </c>
    </row>
    <row r="253" spans="1:7" x14ac:dyDescent="0.2">
      <c r="A253" s="3">
        <v>144</v>
      </c>
      <c r="B253" s="2">
        <v>28278.720000000001</v>
      </c>
      <c r="C253" s="38">
        <v>44875</v>
      </c>
      <c r="D253" s="1" t="s">
        <v>115</v>
      </c>
      <c r="E253" s="1" t="s">
        <v>33</v>
      </c>
      <c r="F253" s="1" t="s">
        <v>199</v>
      </c>
      <c r="G253" s="5">
        <v>196.38</v>
      </c>
    </row>
    <row r="254" spans="1:7" x14ac:dyDescent="0.2">
      <c r="A254" s="3">
        <v>144</v>
      </c>
      <c r="B254" s="2">
        <v>28278.720000000001</v>
      </c>
      <c r="C254" s="38">
        <v>44883</v>
      </c>
      <c r="D254" s="1" t="s">
        <v>115</v>
      </c>
      <c r="E254" s="1" t="s">
        <v>33</v>
      </c>
      <c r="F254" s="1" t="s">
        <v>199</v>
      </c>
      <c r="G254" s="5">
        <v>196.38</v>
      </c>
    </row>
    <row r="255" spans="1:7" x14ac:dyDescent="0.2">
      <c r="A255" s="3">
        <v>96</v>
      </c>
      <c r="B255" s="2">
        <v>18852.48</v>
      </c>
      <c r="C255" s="38">
        <v>44883</v>
      </c>
      <c r="D255" s="1" t="s">
        <v>115</v>
      </c>
      <c r="E255" s="1" t="s">
        <v>33</v>
      </c>
      <c r="F255" s="1" t="s">
        <v>199</v>
      </c>
      <c r="G255" s="5">
        <v>196.38</v>
      </c>
    </row>
    <row r="256" spans="1:7" x14ac:dyDescent="0.2">
      <c r="A256" s="3">
        <v>26</v>
      </c>
      <c r="B256" s="2">
        <v>61238.32</v>
      </c>
      <c r="C256" s="38">
        <v>44743</v>
      </c>
      <c r="D256" s="1" t="s">
        <v>86</v>
      </c>
      <c r="E256" s="1" t="s">
        <v>33</v>
      </c>
      <c r="F256" s="1" t="s">
        <v>199</v>
      </c>
      <c r="G256" s="5">
        <v>2355.3200000000002</v>
      </c>
    </row>
    <row r="257" spans="1:7" x14ac:dyDescent="0.2">
      <c r="A257" s="3">
        <v>6</v>
      </c>
      <c r="B257" s="2">
        <v>14131.92</v>
      </c>
      <c r="C257" s="38">
        <v>44743</v>
      </c>
      <c r="D257" s="1" t="s">
        <v>86</v>
      </c>
      <c r="E257" s="1" t="s">
        <v>33</v>
      </c>
      <c r="F257" s="1" t="s">
        <v>199</v>
      </c>
      <c r="G257" s="5">
        <v>2355.3200000000002</v>
      </c>
    </row>
    <row r="258" spans="1:7" x14ac:dyDescent="0.2">
      <c r="A258" s="3">
        <v>8</v>
      </c>
      <c r="B258" s="2">
        <v>18842.560000000001</v>
      </c>
      <c r="C258" s="38">
        <v>44743</v>
      </c>
      <c r="D258" s="1" t="s">
        <v>86</v>
      </c>
      <c r="E258" s="1" t="s">
        <v>33</v>
      </c>
      <c r="F258" s="1" t="s">
        <v>199</v>
      </c>
      <c r="G258" s="5">
        <v>2355.3200000000002</v>
      </c>
    </row>
    <row r="259" spans="1:7" x14ac:dyDescent="0.2">
      <c r="A259" s="3">
        <v>8</v>
      </c>
      <c r="B259" s="2">
        <v>18842.560000000001</v>
      </c>
      <c r="C259" s="38">
        <v>44743</v>
      </c>
      <c r="D259" s="1" t="s">
        <v>86</v>
      </c>
      <c r="E259" s="1" t="s">
        <v>33</v>
      </c>
      <c r="F259" s="1" t="s">
        <v>199</v>
      </c>
      <c r="G259" s="5">
        <v>2355.3200000000002</v>
      </c>
    </row>
    <row r="260" spans="1:7" x14ac:dyDescent="0.2">
      <c r="A260" s="3">
        <v>26</v>
      </c>
      <c r="B260" s="2">
        <v>61238.32</v>
      </c>
      <c r="C260" s="38">
        <v>44743</v>
      </c>
      <c r="D260" s="1" t="s">
        <v>86</v>
      </c>
      <c r="E260" s="1" t="s">
        <v>33</v>
      </c>
      <c r="F260" s="1" t="s">
        <v>199</v>
      </c>
      <c r="G260" s="5">
        <v>2355.3200000000002</v>
      </c>
    </row>
    <row r="261" spans="1:7" x14ac:dyDescent="0.2">
      <c r="A261" s="3">
        <v>6</v>
      </c>
      <c r="B261" s="2">
        <v>14131.92</v>
      </c>
      <c r="C261" s="38">
        <v>44743</v>
      </c>
      <c r="D261" s="1" t="s">
        <v>86</v>
      </c>
      <c r="E261" s="1" t="s">
        <v>33</v>
      </c>
      <c r="F261" s="1" t="s">
        <v>199</v>
      </c>
      <c r="G261" s="5">
        <v>2355.3200000000002</v>
      </c>
    </row>
    <row r="262" spans="1:7" x14ac:dyDescent="0.2">
      <c r="A262" s="3">
        <v>26</v>
      </c>
      <c r="B262" s="2">
        <v>61238.32</v>
      </c>
      <c r="C262" s="38">
        <v>44743</v>
      </c>
      <c r="D262" s="1" t="s">
        <v>86</v>
      </c>
      <c r="E262" s="1" t="s">
        <v>33</v>
      </c>
      <c r="F262" s="1" t="s">
        <v>199</v>
      </c>
      <c r="G262" s="5">
        <v>2355.3200000000002</v>
      </c>
    </row>
    <row r="263" spans="1:7" x14ac:dyDescent="0.2">
      <c r="A263" s="3">
        <v>6</v>
      </c>
      <c r="B263" s="2">
        <v>14131.92</v>
      </c>
      <c r="C263" s="38">
        <v>44743</v>
      </c>
      <c r="D263" s="1" t="s">
        <v>86</v>
      </c>
      <c r="E263" s="1" t="s">
        <v>33</v>
      </c>
      <c r="F263" s="1" t="s">
        <v>199</v>
      </c>
      <c r="G263" s="5">
        <v>2355.3200000000002</v>
      </c>
    </row>
    <row r="264" spans="1:7" x14ac:dyDescent="0.2">
      <c r="A264" s="3">
        <v>26</v>
      </c>
      <c r="B264" s="2">
        <v>61238.32</v>
      </c>
      <c r="C264" s="38">
        <v>44743</v>
      </c>
      <c r="D264" s="1" t="s">
        <v>86</v>
      </c>
      <c r="E264" s="1" t="s">
        <v>33</v>
      </c>
      <c r="F264" s="1" t="s">
        <v>199</v>
      </c>
      <c r="G264" s="5">
        <v>2355.3200000000002</v>
      </c>
    </row>
    <row r="265" spans="1:7" x14ac:dyDescent="0.2">
      <c r="A265" s="3">
        <v>6</v>
      </c>
      <c r="B265" s="2">
        <v>14131.92</v>
      </c>
      <c r="C265" s="38">
        <v>44743</v>
      </c>
      <c r="D265" s="1" t="s">
        <v>86</v>
      </c>
      <c r="E265" s="1" t="s">
        <v>33</v>
      </c>
      <c r="F265" s="1" t="s">
        <v>199</v>
      </c>
      <c r="G265" s="5">
        <v>2355.3200000000002</v>
      </c>
    </row>
    <row r="266" spans="1:7" x14ac:dyDescent="0.2">
      <c r="A266" s="3">
        <v>26</v>
      </c>
      <c r="B266" s="2">
        <v>61238.32</v>
      </c>
      <c r="C266" s="38">
        <v>44743</v>
      </c>
      <c r="D266" s="1" t="s">
        <v>86</v>
      </c>
      <c r="E266" s="1" t="s">
        <v>33</v>
      </c>
      <c r="F266" s="1" t="s">
        <v>199</v>
      </c>
      <c r="G266" s="5">
        <v>2355.3200000000002</v>
      </c>
    </row>
    <row r="267" spans="1:7" x14ac:dyDescent="0.2">
      <c r="A267" s="3">
        <v>6</v>
      </c>
      <c r="B267" s="2">
        <v>14131.92</v>
      </c>
      <c r="C267" s="38">
        <v>44743</v>
      </c>
      <c r="D267" s="1" t="s">
        <v>86</v>
      </c>
      <c r="E267" s="1" t="s">
        <v>33</v>
      </c>
      <c r="F267" s="1" t="s">
        <v>199</v>
      </c>
      <c r="G267" s="5">
        <v>2355.3200000000002</v>
      </c>
    </row>
    <row r="268" spans="1:7" x14ac:dyDescent="0.2">
      <c r="A268" s="3">
        <v>26</v>
      </c>
      <c r="B268" s="2">
        <v>61238.32</v>
      </c>
      <c r="C268" s="38">
        <v>44743</v>
      </c>
      <c r="D268" s="1" t="s">
        <v>86</v>
      </c>
      <c r="E268" s="1" t="s">
        <v>33</v>
      </c>
      <c r="F268" s="1" t="s">
        <v>199</v>
      </c>
      <c r="G268" s="5">
        <v>2355.3200000000002</v>
      </c>
    </row>
    <row r="269" spans="1:7" x14ac:dyDescent="0.2">
      <c r="A269" s="3">
        <v>6</v>
      </c>
      <c r="B269" s="2">
        <v>14131.92</v>
      </c>
      <c r="C269" s="38">
        <v>44743</v>
      </c>
      <c r="D269" s="1" t="s">
        <v>86</v>
      </c>
      <c r="E269" s="1" t="s">
        <v>33</v>
      </c>
      <c r="F269" s="1" t="s">
        <v>199</v>
      </c>
      <c r="G269" s="5">
        <v>2355.3200000000002</v>
      </c>
    </row>
    <row r="270" spans="1:7" x14ac:dyDescent="0.2">
      <c r="A270" s="3">
        <v>26</v>
      </c>
      <c r="B270" s="2">
        <v>61238.32</v>
      </c>
      <c r="C270" s="38">
        <v>44743</v>
      </c>
      <c r="D270" s="1" t="s">
        <v>86</v>
      </c>
      <c r="E270" s="1" t="s">
        <v>33</v>
      </c>
      <c r="F270" s="1" t="s">
        <v>199</v>
      </c>
      <c r="G270" s="5">
        <v>2355.3200000000002</v>
      </c>
    </row>
    <row r="271" spans="1:7" x14ac:dyDescent="0.2">
      <c r="A271" s="3">
        <v>2</v>
      </c>
      <c r="B271" s="2">
        <v>9015.6</v>
      </c>
      <c r="C271" s="38">
        <v>44839</v>
      </c>
      <c r="D271" s="1" t="s">
        <v>142</v>
      </c>
      <c r="E271" s="1" t="s">
        <v>33</v>
      </c>
      <c r="F271" s="1" t="s">
        <v>199</v>
      </c>
      <c r="G271" s="5">
        <v>4507.8</v>
      </c>
    </row>
    <row r="272" spans="1:7" x14ac:dyDescent="0.2">
      <c r="A272" s="3">
        <v>6</v>
      </c>
      <c r="B272" s="2">
        <v>14131.92</v>
      </c>
      <c r="C272" s="38">
        <v>44743</v>
      </c>
      <c r="D272" s="1" t="s">
        <v>86</v>
      </c>
      <c r="E272" s="1" t="s">
        <v>33</v>
      </c>
      <c r="F272" s="1" t="s">
        <v>199</v>
      </c>
      <c r="G272" s="5">
        <v>2355.3200000000002</v>
      </c>
    </row>
    <row r="273" spans="1:7" x14ac:dyDescent="0.2">
      <c r="A273" s="3">
        <v>26</v>
      </c>
      <c r="B273" s="2">
        <v>61238.32</v>
      </c>
      <c r="C273" s="38">
        <v>44743</v>
      </c>
      <c r="D273" s="1" t="s">
        <v>86</v>
      </c>
      <c r="E273" s="1" t="s">
        <v>33</v>
      </c>
      <c r="F273" s="1" t="s">
        <v>199</v>
      </c>
      <c r="G273" s="5">
        <v>2355.3200000000002</v>
      </c>
    </row>
    <row r="274" spans="1:7" x14ac:dyDescent="0.2">
      <c r="A274" s="3">
        <v>6</v>
      </c>
      <c r="B274" s="2">
        <v>14131.92</v>
      </c>
      <c r="C274" s="38">
        <v>44743</v>
      </c>
      <c r="D274" s="1" t="s">
        <v>86</v>
      </c>
      <c r="E274" s="1" t="s">
        <v>33</v>
      </c>
      <c r="F274" s="1" t="s">
        <v>199</v>
      </c>
      <c r="G274" s="5">
        <v>2355.3200000000002</v>
      </c>
    </row>
    <row r="275" spans="1:7" x14ac:dyDescent="0.2">
      <c r="A275" s="3">
        <v>26</v>
      </c>
      <c r="B275" s="2">
        <v>61238.32</v>
      </c>
      <c r="C275" s="38">
        <v>44743</v>
      </c>
      <c r="D275" s="1" t="s">
        <v>86</v>
      </c>
      <c r="E275" s="1" t="s">
        <v>33</v>
      </c>
      <c r="F275" s="1" t="s">
        <v>199</v>
      </c>
      <c r="G275" s="5">
        <v>2355.3200000000002</v>
      </c>
    </row>
    <row r="276" spans="1:7" x14ac:dyDescent="0.2">
      <c r="A276" s="3">
        <v>6</v>
      </c>
      <c r="B276" s="2">
        <v>14131.92</v>
      </c>
      <c r="C276" s="38">
        <v>44743</v>
      </c>
      <c r="D276" s="1" t="s">
        <v>86</v>
      </c>
      <c r="E276" s="1" t="s">
        <v>33</v>
      </c>
      <c r="F276" s="1" t="s">
        <v>199</v>
      </c>
      <c r="G276" s="5">
        <v>2355.3200000000002</v>
      </c>
    </row>
    <row r="277" spans="1:7" x14ac:dyDescent="0.2">
      <c r="A277" s="3">
        <v>26</v>
      </c>
      <c r="B277" s="2">
        <v>61238.32</v>
      </c>
      <c r="C277" s="38">
        <v>44743</v>
      </c>
      <c r="D277" s="1" t="s">
        <v>86</v>
      </c>
      <c r="E277" s="1" t="s">
        <v>33</v>
      </c>
      <c r="F277" s="1" t="s">
        <v>199</v>
      </c>
      <c r="G277" s="5">
        <v>2355.3200000000002</v>
      </c>
    </row>
    <row r="278" spans="1:7" x14ac:dyDescent="0.2">
      <c r="A278" s="3">
        <v>6</v>
      </c>
      <c r="B278" s="2">
        <v>14131.92</v>
      </c>
      <c r="C278" s="38">
        <v>44743</v>
      </c>
      <c r="D278" s="1" t="s">
        <v>86</v>
      </c>
      <c r="E278" s="1" t="s">
        <v>33</v>
      </c>
      <c r="F278" s="1" t="s">
        <v>199</v>
      </c>
      <c r="G278" s="5">
        <v>2355.3200000000002</v>
      </c>
    </row>
    <row r="279" spans="1:7" x14ac:dyDescent="0.2">
      <c r="A279" s="3">
        <v>144</v>
      </c>
      <c r="B279" s="2">
        <v>28278.720000000001</v>
      </c>
      <c r="C279" s="38">
        <v>44847</v>
      </c>
      <c r="D279" s="1" t="s">
        <v>115</v>
      </c>
      <c r="E279" s="1" t="s">
        <v>33</v>
      </c>
      <c r="F279" s="1" t="s">
        <v>199</v>
      </c>
      <c r="G279" s="5">
        <v>196.38</v>
      </c>
    </row>
    <row r="280" spans="1:7" x14ac:dyDescent="0.2">
      <c r="A280" s="3">
        <v>144</v>
      </c>
      <c r="B280" s="2">
        <v>28278.720000000001</v>
      </c>
      <c r="C280" s="38">
        <v>44847</v>
      </c>
      <c r="D280" s="1" t="s">
        <v>115</v>
      </c>
      <c r="E280" s="1" t="s">
        <v>33</v>
      </c>
      <c r="F280" s="1" t="s">
        <v>199</v>
      </c>
      <c r="G280" s="5">
        <v>196.38</v>
      </c>
    </row>
    <row r="281" spans="1:7" x14ac:dyDescent="0.2">
      <c r="A281" s="3">
        <v>48</v>
      </c>
      <c r="B281" s="2">
        <v>9426.24</v>
      </c>
      <c r="C281" s="38">
        <v>44847</v>
      </c>
      <c r="D281" s="1" t="s">
        <v>115</v>
      </c>
      <c r="E281" s="1" t="s">
        <v>33</v>
      </c>
      <c r="F281" s="1" t="s">
        <v>199</v>
      </c>
      <c r="G281" s="5">
        <v>196.38</v>
      </c>
    </row>
    <row r="282" spans="1:7" x14ac:dyDescent="0.2">
      <c r="A282" s="3">
        <v>144</v>
      </c>
      <c r="B282" s="2">
        <v>28278.720000000001</v>
      </c>
      <c r="C282" s="38">
        <v>44847</v>
      </c>
      <c r="D282" s="1" t="s">
        <v>115</v>
      </c>
      <c r="E282" s="1" t="s">
        <v>33</v>
      </c>
      <c r="F282" s="1" t="s">
        <v>199</v>
      </c>
      <c r="G282" s="5">
        <v>196.38</v>
      </c>
    </row>
    <row r="283" spans="1:7" x14ac:dyDescent="0.2">
      <c r="A283" s="3">
        <v>96</v>
      </c>
      <c r="B283" s="2">
        <v>18852.48</v>
      </c>
      <c r="C283" s="38">
        <v>44847</v>
      </c>
      <c r="D283" s="1" t="s">
        <v>115</v>
      </c>
      <c r="E283" s="1" t="s">
        <v>33</v>
      </c>
      <c r="F283" s="1" t="s">
        <v>199</v>
      </c>
      <c r="G283" s="5">
        <v>196.38</v>
      </c>
    </row>
    <row r="284" spans="1:7" x14ac:dyDescent="0.2">
      <c r="A284" s="3">
        <v>144</v>
      </c>
      <c r="B284" s="2">
        <v>28278.720000000001</v>
      </c>
      <c r="C284" s="38">
        <v>44847</v>
      </c>
      <c r="D284" s="1" t="s">
        <v>115</v>
      </c>
      <c r="E284" s="1" t="s">
        <v>33</v>
      </c>
      <c r="F284" s="1" t="s">
        <v>199</v>
      </c>
      <c r="G284" s="5">
        <v>196.38</v>
      </c>
    </row>
    <row r="285" spans="1:7" x14ac:dyDescent="0.2">
      <c r="A285" s="3">
        <v>26</v>
      </c>
      <c r="B285" s="2">
        <v>61238.32</v>
      </c>
      <c r="C285" s="38">
        <v>44792</v>
      </c>
      <c r="D285" s="1" t="s">
        <v>86</v>
      </c>
      <c r="E285" s="1" t="s">
        <v>33</v>
      </c>
      <c r="F285" s="1" t="s">
        <v>199</v>
      </c>
      <c r="G285" s="5">
        <v>2355.3200000000002</v>
      </c>
    </row>
    <row r="286" spans="1:7" x14ac:dyDescent="0.2">
      <c r="A286" s="3">
        <v>6</v>
      </c>
      <c r="B286" s="2">
        <v>14131.92</v>
      </c>
      <c r="C286" s="38">
        <v>44792</v>
      </c>
      <c r="D286" s="1" t="s">
        <v>86</v>
      </c>
      <c r="E286" s="1" t="s">
        <v>33</v>
      </c>
      <c r="F286" s="1" t="s">
        <v>199</v>
      </c>
      <c r="G286" s="5">
        <v>2355.3200000000002</v>
      </c>
    </row>
    <row r="287" spans="1:7" x14ac:dyDescent="0.2">
      <c r="A287" s="3">
        <v>26</v>
      </c>
      <c r="B287" s="2">
        <v>61238.32</v>
      </c>
      <c r="C287" s="38">
        <v>44792</v>
      </c>
      <c r="D287" s="1" t="s">
        <v>86</v>
      </c>
      <c r="E287" s="1" t="s">
        <v>33</v>
      </c>
      <c r="F287" s="1" t="s">
        <v>199</v>
      </c>
      <c r="G287" s="5">
        <v>2355.3200000000002</v>
      </c>
    </row>
    <row r="288" spans="1:7" x14ac:dyDescent="0.2">
      <c r="A288" s="3">
        <v>6</v>
      </c>
      <c r="B288" s="2">
        <v>14131.92</v>
      </c>
      <c r="C288" s="38">
        <v>44792</v>
      </c>
      <c r="D288" s="1" t="s">
        <v>86</v>
      </c>
      <c r="E288" s="1" t="s">
        <v>33</v>
      </c>
      <c r="F288" s="1" t="s">
        <v>199</v>
      </c>
      <c r="G288" s="5">
        <v>2355.3200000000002</v>
      </c>
    </row>
    <row r="289" spans="1:7" x14ac:dyDescent="0.2">
      <c r="A289" s="3">
        <v>26</v>
      </c>
      <c r="B289" s="2">
        <v>61238.32</v>
      </c>
      <c r="C289" s="38">
        <v>44792</v>
      </c>
      <c r="D289" s="1" t="s">
        <v>86</v>
      </c>
      <c r="E289" s="1" t="s">
        <v>33</v>
      </c>
      <c r="F289" s="1" t="s">
        <v>199</v>
      </c>
      <c r="G289" s="5">
        <v>2355.3200000000002</v>
      </c>
    </row>
    <row r="290" spans="1:7" x14ac:dyDescent="0.2">
      <c r="A290" s="3">
        <v>147</v>
      </c>
      <c r="B290" s="2">
        <v>47026.77</v>
      </c>
      <c r="C290" s="38">
        <v>44753</v>
      </c>
      <c r="D290" s="1" t="s">
        <v>77</v>
      </c>
      <c r="E290" s="1" t="s">
        <v>33</v>
      </c>
      <c r="F290" s="1" t="s">
        <v>199</v>
      </c>
      <c r="G290" s="5">
        <v>319.91000000000003</v>
      </c>
    </row>
    <row r="291" spans="1:7" x14ac:dyDescent="0.2">
      <c r="A291" s="3">
        <v>26</v>
      </c>
      <c r="B291" s="2">
        <v>61238.32</v>
      </c>
      <c r="C291" s="38">
        <v>44753</v>
      </c>
      <c r="D291" s="1" t="s">
        <v>86</v>
      </c>
      <c r="E291" s="1" t="s">
        <v>33</v>
      </c>
      <c r="F291" s="1" t="s">
        <v>199</v>
      </c>
      <c r="G291" s="5">
        <v>2355.3200000000002</v>
      </c>
    </row>
    <row r="292" spans="1:7" x14ac:dyDescent="0.2">
      <c r="A292" s="3">
        <v>6</v>
      </c>
      <c r="B292" s="2">
        <v>14131.92</v>
      </c>
      <c r="C292" s="38">
        <v>44753</v>
      </c>
      <c r="D292" s="1" t="s">
        <v>86</v>
      </c>
      <c r="E292" s="1" t="s">
        <v>33</v>
      </c>
      <c r="F292" s="1" t="s">
        <v>199</v>
      </c>
      <c r="G292" s="5">
        <v>2355.3200000000002</v>
      </c>
    </row>
    <row r="293" spans="1:7" x14ac:dyDescent="0.2">
      <c r="A293" s="3">
        <v>26</v>
      </c>
      <c r="B293" s="2">
        <v>61238.32</v>
      </c>
      <c r="C293" s="38">
        <v>44753</v>
      </c>
      <c r="D293" s="1" t="s">
        <v>86</v>
      </c>
      <c r="E293" s="1" t="s">
        <v>33</v>
      </c>
      <c r="F293" s="1" t="s">
        <v>199</v>
      </c>
      <c r="G293" s="5">
        <v>2355.3200000000002</v>
      </c>
    </row>
    <row r="294" spans="1:7" x14ac:dyDescent="0.2">
      <c r="A294" s="3">
        <v>6</v>
      </c>
      <c r="B294" s="2">
        <v>14131.92</v>
      </c>
      <c r="C294" s="38">
        <v>44753</v>
      </c>
      <c r="D294" s="1" t="s">
        <v>86</v>
      </c>
      <c r="E294" s="1" t="s">
        <v>33</v>
      </c>
      <c r="F294" s="1" t="s">
        <v>199</v>
      </c>
      <c r="G294" s="5">
        <v>2355.3200000000002</v>
      </c>
    </row>
    <row r="295" spans="1:7" x14ac:dyDescent="0.2">
      <c r="A295" s="3">
        <v>6</v>
      </c>
      <c r="B295" s="2">
        <v>14131.92</v>
      </c>
      <c r="C295" s="38">
        <v>44792</v>
      </c>
      <c r="D295" s="1" t="s">
        <v>86</v>
      </c>
      <c r="E295" s="1" t="s">
        <v>33</v>
      </c>
      <c r="F295" s="1" t="s">
        <v>199</v>
      </c>
      <c r="G295" s="5">
        <v>2355.3200000000002</v>
      </c>
    </row>
    <row r="296" spans="1:7" x14ac:dyDescent="0.2">
      <c r="A296" s="3">
        <v>26</v>
      </c>
      <c r="B296" s="2">
        <v>61238.32</v>
      </c>
      <c r="C296" s="38">
        <v>44792</v>
      </c>
      <c r="D296" s="1" t="s">
        <v>86</v>
      </c>
      <c r="E296" s="1" t="s">
        <v>33</v>
      </c>
      <c r="F296" s="1" t="s">
        <v>199</v>
      </c>
      <c r="G296" s="5">
        <v>2355.3200000000002</v>
      </c>
    </row>
    <row r="297" spans="1:7" x14ac:dyDescent="0.2">
      <c r="A297" s="3">
        <v>6</v>
      </c>
      <c r="B297" s="2">
        <v>14131.92</v>
      </c>
      <c r="C297" s="38">
        <v>44792</v>
      </c>
      <c r="D297" s="1" t="s">
        <v>86</v>
      </c>
      <c r="E297" s="1" t="s">
        <v>33</v>
      </c>
      <c r="F297" s="1" t="s">
        <v>199</v>
      </c>
      <c r="G297" s="5">
        <v>2355.3200000000002</v>
      </c>
    </row>
    <row r="298" spans="1:7" x14ac:dyDescent="0.2">
      <c r="A298" s="3">
        <v>147</v>
      </c>
      <c r="B298" s="2">
        <v>49849.17</v>
      </c>
      <c r="C298" s="38">
        <v>45121</v>
      </c>
      <c r="D298" s="1" t="s">
        <v>77</v>
      </c>
      <c r="E298" s="1" t="s">
        <v>33</v>
      </c>
      <c r="F298" s="1" t="s">
        <v>199</v>
      </c>
      <c r="G298" s="5">
        <v>339.11</v>
      </c>
    </row>
    <row r="299" spans="1:7" x14ac:dyDescent="0.2">
      <c r="A299" s="3">
        <v>26</v>
      </c>
      <c r="B299" s="2">
        <v>61238.32</v>
      </c>
      <c r="C299" s="38">
        <v>44761</v>
      </c>
      <c r="D299" s="1" t="s">
        <v>86</v>
      </c>
      <c r="E299" s="1" t="s">
        <v>33</v>
      </c>
      <c r="F299" s="1" t="s">
        <v>199</v>
      </c>
      <c r="G299" s="5">
        <v>2355.3200000000002</v>
      </c>
    </row>
    <row r="300" spans="1:7" x14ac:dyDescent="0.2">
      <c r="A300" s="3">
        <v>6</v>
      </c>
      <c r="B300" s="2">
        <v>14131.92</v>
      </c>
      <c r="C300" s="38">
        <v>44761</v>
      </c>
      <c r="D300" s="1" t="s">
        <v>86</v>
      </c>
      <c r="E300" s="1" t="s">
        <v>33</v>
      </c>
      <c r="F300" s="1" t="s">
        <v>199</v>
      </c>
      <c r="G300" s="5">
        <v>2355.3200000000002</v>
      </c>
    </row>
    <row r="301" spans="1:7" x14ac:dyDescent="0.2">
      <c r="A301" s="3">
        <v>26</v>
      </c>
      <c r="B301" s="2">
        <v>61238.32</v>
      </c>
      <c r="C301" s="38">
        <v>44764</v>
      </c>
      <c r="D301" s="1" t="s">
        <v>86</v>
      </c>
      <c r="E301" s="1" t="s">
        <v>33</v>
      </c>
      <c r="F301" s="1" t="s">
        <v>199</v>
      </c>
      <c r="G301" s="5">
        <v>2355.3200000000002</v>
      </c>
    </row>
    <row r="302" spans="1:7" x14ac:dyDescent="0.2">
      <c r="A302" s="3">
        <v>6</v>
      </c>
      <c r="B302" s="2">
        <v>14131.92</v>
      </c>
      <c r="C302" s="38">
        <v>44764</v>
      </c>
      <c r="D302" s="1" t="s">
        <v>86</v>
      </c>
      <c r="E302" s="1" t="s">
        <v>33</v>
      </c>
      <c r="F302" s="1" t="s">
        <v>199</v>
      </c>
      <c r="G302" s="5">
        <v>2355.3200000000002</v>
      </c>
    </row>
    <row r="303" spans="1:7" x14ac:dyDescent="0.2">
      <c r="A303" s="3">
        <v>26</v>
      </c>
      <c r="B303" s="2">
        <v>61238.32</v>
      </c>
      <c r="C303" s="38">
        <v>44764</v>
      </c>
      <c r="D303" s="1" t="s">
        <v>86</v>
      </c>
      <c r="E303" s="1" t="s">
        <v>33</v>
      </c>
      <c r="F303" s="1" t="s">
        <v>199</v>
      </c>
      <c r="G303" s="5">
        <v>2355.3200000000002</v>
      </c>
    </row>
    <row r="304" spans="1:7" x14ac:dyDescent="0.2">
      <c r="A304" s="3">
        <v>6</v>
      </c>
      <c r="B304" s="2">
        <v>14131.92</v>
      </c>
      <c r="C304" s="38">
        <v>44764</v>
      </c>
      <c r="D304" s="1" t="s">
        <v>86</v>
      </c>
      <c r="E304" s="1" t="s">
        <v>33</v>
      </c>
      <c r="F304" s="1" t="s">
        <v>199</v>
      </c>
      <c r="G304" s="5">
        <v>2355.3200000000002</v>
      </c>
    </row>
    <row r="305" spans="1:7" x14ac:dyDescent="0.2">
      <c r="A305" s="3">
        <v>26</v>
      </c>
      <c r="B305" s="2">
        <v>61238.32</v>
      </c>
      <c r="C305" s="38">
        <v>44854</v>
      </c>
      <c r="D305" s="1" t="s">
        <v>86</v>
      </c>
      <c r="E305" s="1" t="s">
        <v>33</v>
      </c>
      <c r="F305" s="1" t="s">
        <v>199</v>
      </c>
      <c r="G305" s="5">
        <v>2355.3200000000002</v>
      </c>
    </row>
    <row r="306" spans="1:7" x14ac:dyDescent="0.2">
      <c r="A306" s="3">
        <v>6</v>
      </c>
      <c r="B306" s="2">
        <v>14131.92</v>
      </c>
      <c r="C306" s="38">
        <v>44854</v>
      </c>
      <c r="D306" s="1" t="s">
        <v>86</v>
      </c>
      <c r="E306" s="1" t="s">
        <v>33</v>
      </c>
      <c r="F306" s="1" t="s">
        <v>199</v>
      </c>
      <c r="G306" s="5">
        <v>2355.3200000000002</v>
      </c>
    </row>
    <row r="307" spans="1:7" x14ac:dyDescent="0.2">
      <c r="A307" s="3">
        <v>26</v>
      </c>
      <c r="B307" s="2">
        <v>61238.32</v>
      </c>
      <c r="C307" s="38">
        <v>44854</v>
      </c>
      <c r="D307" s="1" t="s">
        <v>86</v>
      </c>
      <c r="E307" s="1" t="s">
        <v>33</v>
      </c>
      <c r="F307" s="1" t="s">
        <v>199</v>
      </c>
      <c r="G307" s="5">
        <v>2355.3200000000002</v>
      </c>
    </row>
    <row r="308" spans="1:7" x14ac:dyDescent="0.2">
      <c r="A308" s="3">
        <v>6</v>
      </c>
      <c r="B308" s="2">
        <v>14131.92</v>
      </c>
      <c r="C308" s="38">
        <v>44854</v>
      </c>
      <c r="D308" s="1" t="s">
        <v>86</v>
      </c>
      <c r="E308" s="1" t="s">
        <v>33</v>
      </c>
      <c r="F308" s="1" t="s">
        <v>199</v>
      </c>
      <c r="G308" s="5">
        <v>2355.3200000000002</v>
      </c>
    </row>
    <row r="309" spans="1:7" x14ac:dyDescent="0.2">
      <c r="A309" s="3">
        <v>27000</v>
      </c>
      <c r="B309" s="2">
        <v>2640.6</v>
      </c>
      <c r="C309" s="38">
        <v>44855</v>
      </c>
      <c r="D309" s="1" t="s">
        <v>112</v>
      </c>
      <c r="E309" s="1" t="s">
        <v>33</v>
      </c>
      <c r="F309" s="1" t="s">
        <v>199</v>
      </c>
      <c r="G309" s="5">
        <v>9.7799999999999998E-2</v>
      </c>
    </row>
    <row r="310" spans="1:7" x14ac:dyDescent="0.2">
      <c r="A310" s="3">
        <v>45</v>
      </c>
      <c r="B310" s="2">
        <v>38721.599999999999</v>
      </c>
      <c r="C310" s="38">
        <v>44929</v>
      </c>
      <c r="D310" s="1" t="s">
        <v>85</v>
      </c>
      <c r="E310" s="1" t="s">
        <v>33</v>
      </c>
      <c r="F310" s="1" t="s">
        <v>199</v>
      </c>
      <c r="G310" s="5">
        <v>860.48</v>
      </c>
    </row>
    <row r="311" spans="1:7" x14ac:dyDescent="0.2">
      <c r="A311" s="3">
        <v>45</v>
      </c>
      <c r="B311" s="2">
        <v>38721.599999999999</v>
      </c>
      <c r="C311" s="38">
        <v>44929</v>
      </c>
      <c r="D311" s="1" t="s">
        <v>85</v>
      </c>
      <c r="E311" s="1" t="s">
        <v>33</v>
      </c>
      <c r="F311" s="1" t="s">
        <v>199</v>
      </c>
      <c r="G311" s="5">
        <v>860.48</v>
      </c>
    </row>
    <row r="312" spans="1:7" x14ac:dyDescent="0.2">
      <c r="A312" s="3">
        <v>15</v>
      </c>
      <c r="B312" s="2">
        <v>13613.1</v>
      </c>
      <c r="C312" s="38">
        <v>44952</v>
      </c>
      <c r="D312" s="1" t="s">
        <v>85</v>
      </c>
      <c r="E312" s="1" t="s">
        <v>33</v>
      </c>
      <c r="F312" s="1" t="s">
        <v>199</v>
      </c>
      <c r="G312" s="5">
        <v>907.54</v>
      </c>
    </row>
    <row r="313" spans="1:7" x14ac:dyDescent="0.2">
      <c r="A313" s="3">
        <v>15</v>
      </c>
      <c r="B313" s="2">
        <v>13613.1</v>
      </c>
      <c r="C313" s="38">
        <v>44952</v>
      </c>
      <c r="D313" s="1" t="s">
        <v>85</v>
      </c>
      <c r="E313" s="1" t="s">
        <v>33</v>
      </c>
      <c r="F313" s="1" t="s">
        <v>199</v>
      </c>
      <c r="G313" s="5">
        <v>907.54</v>
      </c>
    </row>
    <row r="314" spans="1:7" x14ac:dyDescent="0.2">
      <c r="A314" s="3">
        <v>15</v>
      </c>
      <c r="B314" s="2">
        <v>13613.1</v>
      </c>
      <c r="C314" s="38">
        <v>44952</v>
      </c>
      <c r="D314" s="1" t="s">
        <v>85</v>
      </c>
      <c r="E314" s="1" t="s">
        <v>33</v>
      </c>
      <c r="F314" s="1" t="s">
        <v>199</v>
      </c>
      <c r="G314" s="5">
        <v>907.54</v>
      </c>
    </row>
    <row r="315" spans="1:7" x14ac:dyDescent="0.2">
      <c r="A315" s="3">
        <v>15</v>
      </c>
      <c r="B315" s="2">
        <v>13613.1</v>
      </c>
      <c r="C315" s="38">
        <v>44952</v>
      </c>
      <c r="D315" s="1" t="s">
        <v>85</v>
      </c>
      <c r="E315" s="1" t="s">
        <v>33</v>
      </c>
      <c r="F315" s="1" t="s">
        <v>199</v>
      </c>
      <c r="G315" s="5">
        <v>907.54</v>
      </c>
    </row>
    <row r="316" spans="1:7" x14ac:dyDescent="0.2">
      <c r="A316" s="3">
        <v>15</v>
      </c>
      <c r="B316" s="2">
        <v>13613.1</v>
      </c>
      <c r="C316" s="38">
        <v>44952</v>
      </c>
      <c r="D316" s="1" t="s">
        <v>85</v>
      </c>
      <c r="E316" s="1" t="s">
        <v>33</v>
      </c>
      <c r="F316" s="1" t="s">
        <v>199</v>
      </c>
      <c r="G316" s="5">
        <v>907.54</v>
      </c>
    </row>
    <row r="317" spans="1:7" x14ac:dyDescent="0.2">
      <c r="A317" s="3">
        <v>60</v>
      </c>
      <c r="B317" s="2">
        <v>51442.2</v>
      </c>
      <c r="C317" s="38">
        <v>45097</v>
      </c>
      <c r="D317" s="1" t="s">
        <v>85</v>
      </c>
      <c r="E317" s="1" t="s">
        <v>33</v>
      </c>
      <c r="F317" s="1" t="s">
        <v>199</v>
      </c>
      <c r="G317" s="5">
        <v>857.37</v>
      </c>
    </row>
    <row r="318" spans="1:7" x14ac:dyDescent="0.2">
      <c r="A318" s="3">
        <v>45</v>
      </c>
      <c r="B318" s="2">
        <v>38581.65</v>
      </c>
      <c r="C318" s="38">
        <v>45097</v>
      </c>
      <c r="D318" s="1" t="s">
        <v>85</v>
      </c>
      <c r="E318" s="1" t="s">
        <v>33</v>
      </c>
      <c r="F318" s="1" t="s">
        <v>199</v>
      </c>
      <c r="G318" s="5">
        <v>857.37</v>
      </c>
    </row>
    <row r="319" spans="1:7" x14ac:dyDescent="0.2">
      <c r="A319" s="3">
        <v>60</v>
      </c>
      <c r="B319" s="2">
        <v>51442.2</v>
      </c>
      <c r="C319" s="38">
        <v>45097</v>
      </c>
      <c r="D319" s="1" t="s">
        <v>85</v>
      </c>
      <c r="E319" s="1" t="s">
        <v>33</v>
      </c>
      <c r="F319" s="1" t="s">
        <v>199</v>
      </c>
      <c r="G319" s="5">
        <v>857.37</v>
      </c>
    </row>
    <row r="320" spans="1:7" x14ac:dyDescent="0.2">
      <c r="A320" s="3">
        <v>60</v>
      </c>
      <c r="B320" s="2">
        <v>51442.2</v>
      </c>
      <c r="C320" s="38">
        <v>45098</v>
      </c>
      <c r="D320" s="1" t="s">
        <v>85</v>
      </c>
      <c r="E320" s="1" t="s">
        <v>33</v>
      </c>
      <c r="F320" s="1" t="s">
        <v>199</v>
      </c>
      <c r="G320" s="5">
        <v>857.37</v>
      </c>
    </row>
    <row r="321" spans="1:7" x14ac:dyDescent="0.2">
      <c r="A321" s="3">
        <v>60</v>
      </c>
      <c r="B321" s="2">
        <v>51442.2</v>
      </c>
      <c r="C321" s="38">
        <v>45098</v>
      </c>
      <c r="D321" s="1" t="s">
        <v>85</v>
      </c>
      <c r="E321" s="1" t="s">
        <v>33</v>
      </c>
      <c r="F321" s="1" t="s">
        <v>199</v>
      </c>
      <c r="G321" s="5">
        <v>857.37</v>
      </c>
    </row>
    <row r="322" spans="1:7" x14ac:dyDescent="0.2">
      <c r="A322" s="3">
        <v>60</v>
      </c>
      <c r="B322" s="2">
        <v>51442.2</v>
      </c>
      <c r="C322" s="38">
        <v>45098</v>
      </c>
      <c r="D322" s="1" t="s">
        <v>85</v>
      </c>
      <c r="E322" s="1" t="s">
        <v>33</v>
      </c>
      <c r="F322" s="1" t="s">
        <v>199</v>
      </c>
      <c r="G322" s="5">
        <v>857.37</v>
      </c>
    </row>
    <row r="323" spans="1:7" x14ac:dyDescent="0.2">
      <c r="A323" s="3">
        <v>60</v>
      </c>
      <c r="B323" s="2">
        <v>51442.2</v>
      </c>
      <c r="C323" s="38">
        <v>45098</v>
      </c>
      <c r="D323" s="1" t="s">
        <v>85</v>
      </c>
      <c r="E323" s="1" t="s">
        <v>33</v>
      </c>
      <c r="F323" s="1" t="s">
        <v>199</v>
      </c>
      <c r="G323" s="5">
        <v>857.37</v>
      </c>
    </row>
    <row r="324" spans="1:7" x14ac:dyDescent="0.2">
      <c r="A324" s="3">
        <v>45</v>
      </c>
      <c r="B324" s="2">
        <v>38581.65</v>
      </c>
      <c r="C324" s="38">
        <v>45098</v>
      </c>
      <c r="D324" s="1" t="s">
        <v>85</v>
      </c>
      <c r="E324" s="1" t="s">
        <v>33</v>
      </c>
      <c r="F324" s="1" t="s">
        <v>199</v>
      </c>
      <c r="G324" s="5">
        <v>857.37</v>
      </c>
    </row>
    <row r="325" spans="1:7" x14ac:dyDescent="0.2">
      <c r="A325" s="3">
        <v>60</v>
      </c>
      <c r="B325" s="2">
        <v>51442.2</v>
      </c>
      <c r="C325" s="38">
        <v>45098</v>
      </c>
      <c r="D325" s="1" t="s">
        <v>85</v>
      </c>
      <c r="E325" s="1" t="s">
        <v>33</v>
      </c>
      <c r="F325" s="1" t="s">
        <v>199</v>
      </c>
      <c r="G325" s="5">
        <v>857.37</v>
      </c>
    </row>
    <row r="326" spans="1:7" x14ac:dyDescent="0.2">
      <c r="A326" s="3">
        <v>15</v>
      </c>
      <c r="B326" s="2">
        <v>12907.2</v>
      </c>
      <c r="C326" s="38">
        <v>44929</v>
      </c>
      <c r="D326" s="1" t="s">
        <v>85</v>
      </c>
      <c r="E326" s="1" t="s">
        <v>33</v>
      </c>
      <c r="F326" s="1" t="s">
        <v>199</v>
      </c>
      <c r="G326" s="5">
        <v>860.48</v>
      </c>
    </row>
    <row r="327" spans="1:7" x14ac:dyDescent="0.2">
      <c r="A327" s="3">
        <v>60</v>
      </c>
      <c r="B327" s="2">
        <v>51442.2</v>
      </c>
      <c r="C327" s="38">
        <v>45132</v>
      </c>
      <c r="D327" s="1" t="s">
        <v>85</v>
      </c>
      <c r="E327" s="1" t="s">
        <v>33</v>
      </c>
      <c r="F327" s="1" t="s">
        <v>199</v>
      </c>
      <c r="G327" s="5">
        <v>857.37</v>
      </c>
    </row>
    <row r="328" spans="1:7" x14ac:dyDescent="0.2">
      <c r="A328" s="3">
        <v>30</v>
      </c>
      <c r="B328" s="2">
        <v>25814.400000000001</v>
      </c>
      <c r="C328" s="38">
        <v>44862</v>
      </c>
      <c r="D328" s="1" t="s">
        <v>85</v>
      </c>
      <c r="E328" s="1" t="s">
        <v>33</v>
      </c>
      <c r="F328" s="1" t="s">
        <v>199</v>
      </c>
      <c r="G328" s="5">
        <v>860.48</v>
      </c>
    </row>
    <row r="329" spans="1:7" x14ac:dyDescent="0.2">
      <c r="A329" s="3">
        <v>15</v>
      </c>
      <c r="B329" s="2">
        <v>12907.2</v>
      </c>
      <c r="C329" s="38">
        <v>44862</v>
      </c>
      <c r="D329" s="1" t="s">
        <v>85</v>
      </c>
      <c r="E329" s="1" t="s">
        <v>33</v>
      </c>
      <c r="F329" s="1" t="s">
        <v>199</v>
      </c>
      <c r="G329" s="5">
        <v>860.48</v>
      </c>
    </row>
    <row r="330" spans="1:7" x14ac:dyDescent="0.2">
      <c r="A330" s="3">
        <v>15</v>
      </c>
      <c r="B330" s="2">
        <v>12907.2</v>
      </c>
      <c r="C330" s="38">
        <v>44862</v>
      </c>
      <c r="D330" s="1" t="s">
        <v>85</v>
      </c>
      <c r="E330" s="1" t="s">
        <v>33</v>
      </c>
      <c r="F330" s="1" t="s">
        <v>199</v>
      </c>
      <c r="G330" s="5">
        <v>860.48</v>
      </c>
    </row>
    <row r="331" spans="1:7" x14ac:dyDescent="0.2">
      <c r="A331" s="3">
        <v>15</v>
      </c>
      <c r="B331" s="2">
        <v>12907.2</v>
      </c>
      <c r="C331" s="38">
        <v>44862</v>
      </c>
      <c r="D331" s="1" t="s">
        <v>85</v>
      </c>
      <c r="E331" s="1" t="s">
        <v>33</v>
      </c>
      <c r="F331" s="1" t="s">
        <v>199</v>
      </c>
      <c r="G331" s="5">
        <v>860.48</v>
      </c>
    </row>
    <row r="332" spans="1:7" x14ac:dyDescent="0.2">
      <c r="A332" s="3">
        <v>30</v>
      </c>
      <c r="B332" s="2">
        <v>25814.400000000001</v>
      </c>
      <c r="C332" s="38">
        <v>44862</v>
      </c>
      <c r="D332" s="1" t="s">
        <v>85</v>
      </c>
      <c r="E332" s="1" t="s">
        <v>33</v>
      </c>
      <c r="F332" s="1" t="s">
        <v>199</v>
      </c>
      <c r="G332" s="5">
        <v>860.48</v>
      </c>
    </row>
    <row r="333" spans="1:7" x14ac:dyDescent="0.2">
      <c r="A333" s="3">
        <v>30</v>
      </c>
      <c r="B333" s="2">
        <v>25814.400000000001</v>
      </c>
      <c r="C333" s="38">
        <v>44862</v>
      </c>
      <c r="D333" s="1" t="s">
        <v>85</v>
      </c>
      <c r="E333" s="1" t="s">
        <v>33</v>
      </c>
      <c r="F333" s="1" t="s">
        <v>199</v>
      </c>
      <c r="G333" s="5">
        <v>860.48</v>
      </c>
    </row>
    <row r="334" spans="1:7" x14ac:dyDescent="0.2">
      <c r="A334" s="3">
        <v>45</v>
      </c>
      <c r="B334" s="2">
        <v>38721.599999999999</v>
      </c>
      <c r="C334" s="38">
        <v>44862</v>
      </c>
      <c r="D334" s="1" t="s">
        <v>85</v>
      </c>
      <c r="E334" s="1" t="s">
        <v>33</v>
      </c>
      <c r="F334" s="1" t="s">
        <v>199</v>
      </c>
      <c r="G334" s="5">
        <v>860.48</v>
      </c>
    </row>
    <row r="335" spans="1:7" x14ac:dyDescent="0.2">
      <c r="A335" s="3">
        <v>15</v>
      </c>
      <c r="B335" s="2">
        <v>12907.2</v>
      </c>
      <c r="C335" s="38">
        <v>44862</v>
      </c>
      <c r="D335" s="1" t="s">
        <v>85</v>
      </c>
      <c r="E335" s="1" t="s">
        <v>33</v>
      </c>
      <c r="F335" s="1" t="s">
        <v>199</v>
      </c>
      <c r="G335" s="5">
        <v>860.48</v>
      </c>
    </row>
    <row r="336" spans="1:7" x14ac:dyDescent="0.2">
      <c r="A336" s="3">
        <v>30</v>
      </c>
      <c r="B336" s="2">
        <v>25814.400000000001</v>
      </c>
      <c r="C336" s="38">
        <v>44862</v>
      </c>
      <c r="D336" s="1" t="s">
        <v>85</v>
      </c>
      <c r="E336" s="1" t="s">
        <v>33</v>
      </c>
      <c r="F336" s="1" t="s">
        <v>199</v>
      </c>
      <c r="G336" s="5">
        <v>860.48</v>
      </c>
    </row>
    <row r="337" spans="1:7" x14ac:dyDescent="0.2">
      <c r="A337" s="3">
        <v>30</v>
      </c>
      <c r="B337" s="2">
        <v>25814.400000000001</v>
      </c>
      <c r="C337" s="38">
        <v>44862</v>
      </c>
      <c r="D337" s="1" t="s">
        <v>85</v>
      </c>
      <c r="E337" s="1" t="s">
        <v>33</v>
      </c>
      <c r="F337" s="1" t="s">
        <v>199</v>
      </c>
      <c r="G337" s="5">
        <v>860.48</v>
      </c>
    </row>
    <row r="338" spans="1:7" x14ac:dyDescent="0.2">
      <c r="A338" s="3">
        <v>30</v>
      </c>
      <c r="B338" s="2">
        <v>25814.400000000001</v>
      </c>
      <c r="C338" s="38">
        <v>44777</v>
      </c>
      <c r="D338" s="1" t="s">
        <v>85</v>
      </c>
      <c r="E338" s="1" t="s">
        <v>33</v>
      </c>
      <c r="F338" s="1" t="s">
        <v>199</v>
      </c>
      <c r="G338" s="5">
        <v>860.48</v>
      </c>
    </row>
    <row r="339" spans="1:7" x14ac:dyDescent="0.2">
      <c r="A339" s="3">
        <v>30</v>
      </c>
      <c r="B339" s="2">
        <v>25814.400000000001</v>
      </c>
      <c r="C339" s="38">
        <v>44777</v>
      </c>
      <c r="D339" s="1" t="s">
        <v>85</v>
      </c>
      <c r="E339" s="1" t="s">
        <v>33</v>
      </c>
      <c r="F339" s="1" t="s">
        <v>199</v>
      </c>
      <c r="G339" s="5">
        <v>860.48</v>
      </c>
    </row>
    <row r="340" spans="1:7" x14ac:dyDescent="0.2">
      <c r="A340" s="3">
        <v>45</v>
      </c>
      <c r="B340" s="2">
        <v>38581.65</v>
      </c>
      <c r="C340" s="38">
        <v>45142</v>
      </c>
      <c r="D340" s="1" t="s">
        <v>85</v>
      </c>
      <c r="E340" s="1" t="s">
        <v>33</v>
      </c>
      <c r="F340" s="1" t="s">
        <v>199</v>
      </c>
      <c r="G340" s="5">
        <v>857.37</v>
      </c>
    </row>
    <row r="341" spans="1:7" x14ac:dyDescent="0.2">
      <c r="A341" s="3">
        <v>45</v>
      </c>
      <c r="B341" s="2">
        <v>38581.65</v>
      </c>
      <c r="C341" s="38">
        <v>45142</v>
      </c>
      <c r="D341" s="1" t="s">
        <v>85</v>
      </c>
      <c r="E341" s="1" t="s">
        <v>33</v>
      </c>
      <c r="F341" s="1" t="s">
        <v>199</v>
      </c>
      <c r="G341" s="5">
        <v>857.37</v>
      </c>
    </row>
    <row r="342" spans="1:7" x14ac:dyDescent="0.2">
      <c r="A342" s="3">
        <v>45</v>
      </c>
      <c r="B342" s="2">
        <v>38581.65</v>
      </c>
      <c r="C342" s="38">
        <v>45142</v>
      </c>
      <c r="D342" s="1" t="s">
        <v>85</v>
      </c>
      <c r="E342" s="1" t="s">
        <v>33</v>
      </c>
      <c r="F342" s="1" t="s">
        <v>199</v>
      </c>
      <c r="G342" s="5">
        <v>857.37</v>
      </c>
    </row>
    <row r="343" spans="1:7" x14ac:dyDescent="0.2">
      <c r="A343" s="3">
        <v>45</v>
      </c>
      <c r="B343" s="2">
        <v>38581.65</v>
      </c>
      <c r="C343" s="38">
        <v>45142</v>
      </c>
      <c r="D343" s="1" t="s">
        <v>85</v>
      </c>
      <c r="E343" s="1" t="s">
        <v>33</v>
      </c>
      <c r="F343" s="1" t="s">
        <v>199</v>
      </c>
      <c r="G343" s="5">
        <v>857.37</v>
      </c>
    </row>
    <row r="344" spans="1:7" x14ac:dyDescent="0.2">
      <c r="A344" s="3">
        <v>45</v>
      </c>
      <c r="B344" s="2">
        <v>38581.65</v>
      </c>
      <c r="C344" s="38">
        <v>45142</v>
      </c>
      <c r="D344" s="1" t="s">
        <v>85</v>
      </c>
      <c r="E344" s="1" t="s">
        <v>33</v>
      </c>
      <c r="F344" s="1" t="s">
        <v>199</v>
      </c>
      <c r="G344" s="5">
        <v>857.37</v>
      </c>
    </row>
    <row r="345" spans="1:7" x14ac:dyDescent="0.2">
      <c r="A345" s="3">
        <v>45</v>
      </c>
      <c r="B345" s="2">
        <v>38581.65</v>
      </c>
      <c r="C345" s="38">
        <v>45142</v>
      </c>
      <c r="D345" s="1" t="s">
        <v>85</v>
      </c>
      <c r="E345" s="1" t="s">
        <v>33</v>
      </c>
      <c r="F345" s="1" t="s">
        <v>199</v>
      </c>
      <c r="G345" s="5">
        <v>857.37</v>
      </c>
    </row>
    <row r="346" spans="1:7" x14ac:dyDescent="0.2">
      <c r="A346" s="3">
        <v>45</v>
      </c>
      <c r="B346" s="2">
        <v>38581.65</v>
      </c>
      <c r="C346" s="38">
        <v>45142</v>
      </c>
      <c r="D346" s="1" t="s">
        <v>85</v>
      </c>
      <c r="E346" s="1" t="s">
        <v>33</v>
      </c>
      <c r="F346" s="1" t="s">
        <v>199</v>
      </c>
      <c r="G346" s="5">
        <v>857.37</v>
      </c>
    </row>
    <row r="347" spans="1:7" x14ac:dyDescent="0.2">
      <c r="A347" s="3">
        <v>45</v>
      </c>
      <c r="B347" s="2">
        <v>38721.599999999999</v>
      </c>
      <c r="C347" s="38">
        <v>44894</v>
      </c>
      <c r="D347" s="1" t="s">
        <v>85</v>
      </c>
      <c r="E347" s="1" t="s">
        <v>33</v>
      </c>
      <c r="F347" s="1" t="s">
        <v>199</v>
      </c>
      <c r="G347" s="5">
        <v>860.48</v>
      </c>
    </row>
    <row r="348" spans="1:7" x14ac:dyDescent="0.2">
      <c r="A348" s="3">
        <v>15</v>
      </c>
      <c r="B348" s="2">
        <v>12860.55</v>
      </c>
      <c r="C348" s="38">
        <v>45155</v>
      </c>
      <c r="D348" s="1" t="s">
        <v>85</v>
      </c>
      <c r="E348" s="1" t="s">
        <v>33</v>
      </c>
      <c r="F348" s="1" t="s">
        <v>199</v>
      </c>
      <c r="G348" s="5">
        <v>857.37</v>
      </c>
    </row>
    <row r="349" spans="1:7" x14ac:dyDescent="0.2">
      <c r="A349" s="3">
        <v>45</v>
      </c>
      <c r="B349" s="2">
        <v>38581.65</v>
      </c>
      <c r="C349" s="38">
        <v>45155</v>
      </c>
      <c r="D349" s="1" t="s">
        <v>85</v>
      </c>
      <c r="E349" s="1" t="s">
        <v>33</v>
      </c>
      <c r="F349" s="1" t="s">
        <v>199</v>
      </c>
      <c r="G349" s="5">
        <v>857.37</v>
      </c>
    </row>
    <row r="350" spans="1:7" x14ac:dyDescent="0.2">
      <c r="A350" s="3">
        <v>45</v>
      </c>
      <c r="B350" s="2">
        <v>38581.65</v>
      </c>
      <c r="C350" s="38">
        <v>45155</v>
      </c>
      <c r="D350" s="1" t="s">
        <v>85</v>
      </c>
      <c r="E350" s="1" t="s">
        <v>33</v>
      </c>
      <c r="F350" s="1" t="s">
        <v>199</v>
      </c>
      <c r="G350" s="5">
        <v>857.37</v>
      </c>
    </row>
    <row r="351" spans="1:7" x14ac:dyDescent="0.2">
      <c r="A351" s="3">
        <v>15</v>
      </c>
      <c r="B351" s="2">
        <v>12907.2</v>
      </c>
      <c r="C351" s="38">
        <v>44902</v>
      </c>
      <c r="D351" s="1" t="s">
        <v>85</v>
      </c>
      <c r="E351" s="1" t="s">
        <v>33</v>
      </c>
      <c r="F351" s="1" t="s">
        <v>199</v>
      </c>
      <c r="G351" s="5">
        <v>860.48</v>
      </c>
    </row>
    <row r="352" spans="1:7" x14ac:dyDescent="0.2">
      <c r="A352" s="3">
        <v>45</v>
      </c>
      <c r="B352" s="2">
        <v>38721.599999999999</v>
      </c>
      <c r="C352" s="38">
        <v>44902</v>
      </c>
      <c r="D352" s="1" t="s">
        <v>85</v>
      </c>
      <c r="E352" s="1" t="s">
        <v>33</v>
      </c>
      <c r="F352" s="1" t="s">
        <v>199</v>
      </c>
      <c r="G352" s="5">
        <v>860.48</v>
      </c>
    </row>
    <row r="353" spans="1:7" x14ac:dyDescent="0.2">
      <c r="A353" s="3">
        <v>15</v>
      </c>
      <c r="B353" s="2">
        <v>12907.2</v>
      </c>
      <c r="C353" s="38">
        <v>44902</v>
      </c>
      <c r="D353" s="1" t="s">
        <v>85</v>
      </c>
      <c r="E353" s="1" t="s">
        <v>33</v>
      </c>
      <c r="F353" s="1" t="s">
        <v>199</v>
      </c>
      <c r="G353" s="5">
        <v>860.48</v>
      </c>
    </row>
    <row r="354" spans="1:7" x14ac:dyDescent="0.2">
      <c r="A354" s="3">
        <v>45</v>
      </c>
      <c r="B354" s="2">
        <v>38721.599999999999</v>
      </c>
      <c r="C354" s="38">
        <v>44792</v>
      </c>
      <c r="D354" s="1" t="s">
        <v>85</v>
      </c>
      <c r="E354" s="1" t="s">
        <v>33</v>
      </c>
      <c r="F354" s="1" t="s">
        <v>199</v>
      </c>
      <c r="G354" s="5">
        <v>860.48</v>
      </c>
    </row>
    <row r="355" spans="1:7" x14ac:dyDescent="0.2">
      <c r="A355" s="3">
        <v>30</v>
      </c>
      <c r="B355" s="2">
        <v>25814.400000000001</v>
      </c>
      <c r="C355" s="38">
        <v>44792</v>
      </c>
      <c r="D355" s="1" t="s">
        <v>85</v>
      </c>
      <c r="E355" s="1" t="s">
        <v>33</v>
      </c>
      <c r="F355" s="1" t="s">
        <v>199</v>
      </c>
      <c r="G355" s="5">
        <v>860.48</v>
      </c>
    </row>
    <row r="356" spans="1:7" x14ac:dyDescent="0.2">
      <c r="A356" s="3">
        <v>30</v>
      </c>
      <c r="B356" s="2">
        <v>25814.400000000001</v>
      </c>
      <c r="C356" s="38">
        <v>44854</v>
      </c>
      <c r="D356" s="1" t="s">
        <v>85</v>
      </c>
      <c r="E356" s="1" t="s">
        <v>33</v>
      </c>
      <c r="F356" s="1" t="s">
        <v>199</v>
      </c>
      <c r="G356" s="5">
        <v>860.48</v>
      </c>
    </row>
    <row r="357" spans="1:7" x14ac:dyDescent="0.2">
      <c r="A357" s="3">
        <v>45</v>
      </c>
      <c r="B357" s="2">
        <v>38721.599999999999</v>
      </c>
      <c r="C357" s="38">
        <v>44854</v>
      </c>
      <c r="D357" s="1" t="s">
        <v>85</v>
      </c>
      <c r="E357" s="1" t="s">
        <v>33</v>
      </c>
      <c r="F357" s="1" t="s">
        <v>199</v>
      </c>
      <c r="G357" s="5">
        <v>860.48</v>
      </c>
    </row>
    <row r="358" spans="1:7" x14ac:dyDescent="0.2">
      <c r="A358" s="3">
        <v>45</v>
      </c>
      <c r="B358" s="2">
        <v>38721.599999999999</v>
      </c>
      <c r="C358" s="38">
        <v>44854</v>
      </c>
      <c r="D358" s="1" t="s">
        <v>85</v>
      </c>
      <c r="E358" s="1" t="s">
        <v>33</v>
      </c>
      <c r="F358" s="1" t="s">
        <v>199</v>
      </c>
      <c r="G358" s="5">
        <v>860.48</v>
      </c>
    </row>
    <row r="359" spans="1:7" x14ac:dyDescent="0.2">
      <c r="A359" s="3">
        <v>45</v>
      </c>
      <c r="B359" s="2">
        <v>38721.599999999999</v>
      </c>
      <c r="C359" s="38">
        <v>44854</v>
      </c>
      <c r="D359" s="1" t="s">
        <v>85</v>
      </c>
      <c r="E359" s="1" t="s">
        <v>33</v>
      </c>
      <c r="F359" s="1" t="s">
        <v>199</v>
      </c>
      <c r="G359" s="5">
        <v>860.48</v>
      </c>
    </row>
    <row r="360" spans="1:7" x14ac:dyDescent="0.2">
      <c r="A360" s="3">
        <v>270</v>
      </c>
      <c r="B360" s="2">
        <v>231489.9</v>
      </c>
      <c r="C360" s="38">
        <v>45121</v>
      </c>
      <c r="D360" s="1" t="s">
        <v>85</v>
      </c>
      <c r="E360" s="1" t="s">
        <v>33</v>
      </c>
      <c r="F360" s="1" t="s">
        <v>199</v>
      </c>
      <c r="G360" s="5">
        <v>857.37</v>
      </c>
    </row>
    <row r="361" spans="1:7" x14ac:dyDescent="0.2">
      <c r="A361" s="3">
        <v>45</v>
      </c>
      <c r="B361" s="2">
        <v>38581.65</v>
      </c>
      <c r="C361" s="38">
        <v>45121</v>
      </c>
      <c r="D361" s="1" t="s">
        <v>85</v>
      </c>
      <c r="E361" s="1" t="s">
        <v>33</v>
      </c>
      <c r="F361" s="1" t="s">
        <v>199</v>
      </c>
      <c r="G361" s="5">
        <v>857.37</v>
      </c>
    </row>
    <row r="362" spans="1:7" x14ac:dyDescent="0.2">
      <c r="A362" s="3">
        <v>60</v>
      </c>
      <c r="B362" s="2">
        <v>51442.2</v>
      </c>
      <c r="C362" s="38">
        <v>45121</v>
      </c>
      <c r="D362" s="1" t="s">
        <v>85</v>
      </c>
      <c r="E362" s="1" t="s">
        <v>33</v>
      </c>
      <c r="F362" s="1" t="s">
        <v>199</v>
      </c>
      <c r="G362" s="5">
        <v>857.37</v>
      </c>
    </row>
    <row r="363" spans="1:7" x14ac:dyDescent="0.2">
      <c r="A363" s="3">
        <v>60</v>
      </c>
      <c r="B363" s="2">
        <v>51442.2</v>
      </c>
      <c r="C363" s="38">
        <v>45121</v>
      </c>
      <c r="D363" s="1" t="s">
        <v>85</v>
      </c>
      <c r="E363" s="1" t="s">
        <v>33</v>
      </c>
      <c r="F363" s="1" t="s">
        <v>199</v>
      </c>
      <c r="G363" s="5">
        <v>857.37</v>
      </c>
    </row>
    <row r="364" spans="1:7" x14ac:dyDescent="0.2">
      <c r="A364" s="3">
        <v>30</v>
      </c>
      <c r="B364" s="2">
        <v>25721.1</v>
      </c>
      <c r="C364" s="38">
        <v>45121</v>
      </c>
      <c r="D364" s="1" t="s">
        <v>85</v>
      </c>
      <c r="E364" s="1" t="s">
        <v>33</v>
      </c>
      <c r="F364" s="1" t="s">
        <v>199</v>
      </c>
      <c r="G364" s="5">
        <v>857.37</v>
      </c>
    </row>
    <row r="365" spans="1:7" x14ac:dyDescent="0.2">
      <c r="A365" s="3">
        <v>60</v>
      </c>
      <c r="B365" s="2">
        <v>51442.2</v>
      </c>
      <c r="C365" s="38">
        <v>45121</v>
      </c>
      <c r="D365" s="1" t="s">
        <v>85</v>
      </c>
      <c r="E365" s="1" t="s">
        <v>33</v>
      </c>
      <c r="F365" s="1" t="s">
        <v>199</v>
      </c>
      <c r="G365" s="5">
        <v>857.37</v>
      </c>
    </row>
    <row r="366" spans="1:7" x14ac:dyDescent="0.2">
      <c r="A366" s="3">
        <v>45</v>
      </c>
      <c r="B366" s="2">
        <v>38721.599999999999</v>
      </c>
      <c r="C366" s="38">
        <v>44761</v>
      </c>
      <c r="D366" s="1" t="s">
        <v>85</v>
      </c>
      <c r="E366" s="1" t="s">
        <v>33</v>
      </c>
      <c r="F366" s="1" t="s">
        <v>199</v>
      </c>
      <c r="G366" s="5">
        <v>860.48</v>
      </c>
    </row>
    <row r="367" spans="1:7" x14ac:dyDescent="0.2">
      <c r="A367" s="3">
        <v>30</v>
      </c>
      <c r="B367" s="2">
        <v>25814.400000000001</v>
      </c>
      <c r="C367" s="38">
        <v>44761</v>
      </c>
      <c r="D367" s="1" t="s">
        <v>85</v>
      </c>
      <c r="E367" s="1" t="s">
        <v>33</v>
      </c>
      <c r="F367" s="1" t="s">
        <v>199</v>
      </c>
      <c r="G367" s="5">
        <v>860.48</v>
      </c>
    </row>
    <row r="368" spans="1:7" x14ac:dyDescent="0.2">
      <c r="A368" s="3">
        <v>45</v>
      </c>
      <c r="B368" s="2">
        <v>38721.599999999999</v>
      </c>
      <c r="C368" s="38">
        <v>44854</v>
      </c>
      <c r="D368" s="1" t="s">
        <v>85</v>
      </c>
      <c r="E368" s="1" t="s">
        <v>33</v>
      </c>
      <c r="F368" s="1" t="s">
        <v>199</v>
      </c>
      <c r="G368" s="5">
        <v>860.48</v>
      </c>
    </row>
    <row r="369" spans="1:7" x14ac:dyDescent="0.2">
      <c r="A369" s="3">
        <v>15</v>
      </c>
      <c r="B369" s="2">
        <v>12907.2</v>
      </c>
      <c r="C369" s="38">
        <v>44854</v>
      </c>
      <c r="D369" s="1" t="s">
        <v>85</v>
      </c>
      <c r="E369" s="1" t="s">
        <v>33</v>
      </c>
      <c r="F369" s="1" t="s">
        <v>199</v>
      </c>
      <c r="G369" s="5">
        <v>860.48</v>
      </c>
    </row>
    <row r="370" spans="1:7" x14ac:dyDescent="0.2">
      <c r="A370" s="3">
        <v>45</v>
      </c>
      <c r="B370" s="2">
        <v>38721.599999999999</v>
      </c>
      <c r="C370" s="38">
        <v>44762</v>
      </c>
      <c r="D370" s="1" t="s">
        <v>85</v>
      </c>
      <c r="E370" s="1" t="s">
        <v>33</v>
      </c>
      <c r="F370" s="1" t="s">
        <v>199</v>
      </c>
      <c r="G370" s="5">
        <v>860.48</v>
      </c>
    </row>
    <row r="371" spans="1:7" x14ac:dyDescent="0.2">
      <c r="A371" s="3">
        <v>30</v>
      </c>
      <c r="B371" s="2">
        <v>25814.400000000001</v>
      </c>
      <c r="C371" s="38">
        <v>44764</v>
      </c>
      <c r="D371" s="1" t="s">
        <v>85</v>
      </c>
      <c r="E371" s="1" t="s">
        <v>33</v>
      </c>
      <c r="F371" s="1" t="s">
        <v>199</v>
      </c>
      <c r="G371" s="5">
        <v>860.48</v>
      </c>
    </row>
    <row r="372" spans="1:7" x14ac:dyDescent="0.2">
      <c r="A372" s="3">
        <v>15</v>
      </c>
      <c r="B372" s="2">
        <v>12907.2</v>
      </c>
      <c r="C372" s="38">
        <v>44854</v>
      </c>
      <c r="D372" s="1" t="s">
        <v>85</v>
      </c>
      <c r="E372" s="1" t="s">
        <v>33</v>
      </c>
      <c r="F372" s="1" t="s">
        <v>199</v>
      </c>
      <c r="G372" s="5">
        <v>860.48</v>
      </c>
    </row>
    <row r="373" spans="1:7" x14ac:dyDescent="0.2">
      <c r="A373" s="3">
        <v>30</v>
      </c>
      <c r="B373" s="2">
        <v>25814.400000000001</v>
      </c>
      <c r="C373" s="38">
        <v>44854</v>
      </c>
      <c r="D373" s="1" t="s">
        <v>85</v>
      </c>
      <c r="E373" s="1" t="s">
        <v>33</v>
      </c>
      <c r="F373" s="1" t="s">
        <v>199</v>
      </c>
      <c r="G373" s="5">
        <v>860.48</v>
      </c>
    </row>
    <row r="374" spans="1:7" x14ac:dyDescent="0.2">
      <c r="A374" s="3">
        <v>45</v>
      </c>
      <c r="B374" s="2">
        <v>38721.599999999999</v>
      </c>
      <c r="C374" s="38">
        <v>44854</v>
      </c>
      <c r="D374" s="1" t="s">
        <v>85</v>
      </c>
      <c r="E374" s="1" t="s">
        <v>33</v>
      </c>
      <c r="F374" s="1" t="s">
        <v>199</v>
      </c>
      <c r="G374" s="5">
        <v>860.48</v>
      </c>
    </row>
    <row r="375" spans="1:7" x14ac:dyDescent="0.2">
      <c r="A375" s="3">
        <v>45</v>
      </c>
      <c r="B375" s="2">
        <v>38581.65</v>
      </c>
      <c r="C375" s="38">
        <v>45169</v>
      </c>
      <c r="D375" s="1" t="s">
        <v>85</v>
      </c>
      <c r="E375" s="1" t="s">
        <v>33</v>
      </c>
      <c r="F375" s="1" t="s">
        <v>199</v>
      </c>
      <c r="G375" s="5">
        <v>857.37</v>
      </c>
    </row>
    <row r="376" spans="1:7" x14ac:dyDescent="0.2">
      <c r="A376" s="3">
        <v>30</v>
      </c>
      <c r="B376" s="2">
        <v>25814.400000000001</v>
      </c>
      <c r="C376" s="38">
        <v>44862</v>
      </c>
      <c r="D376" s="1" t="s">
        <v>85</v>
      </c>
      <c r="E376" s="1" t="s">
        <v>33</v>
      </c>
      <c r="F376" s="1" t="s">
        <v>199</v>
      </c>
      <c r="G376" s="5">
        <v>860.48</v>
      </c>
    </row>
    <row r="377" spans="1:7" x14ac:dyDescent="0.2">
      <c r="A377" s="3">
        <v>15</v>
      </c>
      <c r="B377" s="2">
        <v>12907.2</v>
      </c>
      <c r="C377" s="38">
        <v>44862</v>
      </c>
      <c r="D377" s="1" t="s">
        <v>85</v>
      </c>
      <c r="E377" s="1" t="s">
        <v>33</v>
      </c>
      <c r="F377" s="1" t="s">
        <v>199</v>
      </c>
      <c r="G377" s="5">
        <v>860.48</v>
      </c>
    </row>
    <row r="378" spans="1:7" x14ac:dyDescent="0.2">
      <c r="A378" s="3">
        <v>30</v>
      </c>
      <c r="B378" s="2">
        <v>25814.400000000001</v>
      </c>
      <c r="C378" s="38">
        <v>44862</v>
      </c>
      <c r="D378" s="1" t="s">
        <v>85</v>
      </c>
      <c r="E378" s="1" t="s">
        <v>33</v>
      </c>
      <c r="F378" s="1" t="s">
        <v>199</v>
      </c>
      <c r="G378" s="5">
        <v>860.48</v>
      </c>
    </row>
    <row r="379" spans="1:7" x14ac:dyDescent="0.2">
      <c r="A379" s="3">
        <v>30</v>
      </c>
      <c r="B379" s="2">
        <v>25814.400000000001</v>
      </c>
      <c r="C379" s="38">
        <v>44862</v>
      </c>
      <c r="D379" s="1" t="s">
        <v>85</v>
      </c>
      <c r="E379" s="1" t="s">
        <v>33</v>
      </c>
      <c r="F379" s="1" t="s">
        <v>199</v>
      </c>
      <c r="G379" s="5">
        <v>860.48</v>
      </c>
    </row>
    <row r="380" spans="1:7" x14ac:dyDescent="0.2">
      <c r="A380" s="3">
        <v>540</v>
      </c>
      <c r="B380" s="2">
        <v>58271.4</v>
      </c>
      <c r="C380" s="38">
        <v>45077</v>
      </c>
      <c r="D380" s="1" t="s">
        <v>55</v>
      </c>
      <c r="E380" s="1" t="s">
        <v>33</v>
      </c>
      <c r="F380" s="1" t="s">
        <v>199</v>
      </c>
      <c r="G380" s="5">
        <v>107.91</v>
      </c>
    </row>
    <row r="381" spans="1:7" x14ac:dyDescent="0.2">
      <c r="A381" s="3">
        <v>90</v>
      </c>
      <c r="B381" s="2">
        <v>39505.5</v>
      </c>
      <c r="C381" s="38">
        <v>45077</v>
      </c>
      <c r="D381" s="1" t="s">
        <v>66</v>
      </c>
      <c r="E381" s="1" t="s">
        <v>33</v>
      </c>
      <c r="F381" s="1" t="s">
        <v>199</v>
      </c>
      <c r="G381" s="5">
        <v>438.95</v>
      </c>
    </row>
    <row r="382" spans="1:7" x14ac:dyDescent="0.2">
      <c r="A382" s="3">
        <v>90</v>
      </c>
      <c r="B382" s="2">
        <v>39505.5</v>
      </c>
      <c r="C382" s="38">
        <v>45077</v>
      </c>
      <c r="D382" s="1" t="s">
        <v>66</v>
      </c>
      <c r="E382" s="1" t="s">
        <v>33</v>
      </c>
      <c r="F382" s="1" t="s">
        <v>199</v>
      </c>
      <c r="G382" s="5">
        <v>438.95</v>
      </c>
    </row>
    <row r="383" spans="1:7" x14ac:dyDescent="0.2">
      <c r="A383" s="3">
        <v>90</v>
      </c>
      <c r="B383" s="2">
        <v>39505.5</v>
      </c>
      <c r="C383" s="38">
        <v>45077</v>
      </c>
      <c r="D383" s="1" t="s">
        <v>66</v>
      </c>
      <c r="E383" s="1" t="s">
        <v>33</v>
      </c>
      <c r="F383" s="1" t="s">
        <v>199</v>
      </c>
      <c r="G383" s="5">
        <v>438.95</v>
      </c>
    </row>
    <row r="384" spans="1:7" x14ac:dyDescent="0.2">
      <c r="A384" s="3">
        <v>30</v>
      </c>
      <c r="B384" s="2">
        <v>13168.5</v>
      </c>
      <c r="C384" s="38">
        <v>45077</v>
      </c>
      <c r="D384" s="1" t="s">
        <v>66</v>
      </c>
      <c r="E384" s="1" t="s">
        <v>33</v>
      </c>
      <c r="F384" s="1" t="s">
        <v>199</v>
      </c>
      <c r="G384" s="5">
        <v>438.95</v>
      </c>
    </row>
    <row r="385" spans="1:7" x14ac:dyDescent="0.2">
      <c r="A385" s="3">
        <v>30</v>
      </c>
      <c r="B385" s="2">
        <v>13168.5</v>
      </c>
      <c r="C385" s="38">
        <v>45077</v>
      </c>
      <c r="D385" s="1" t="s">
        <v>66</v>
      </c>
      <c r="E385" s="1" t="s">
        <v>33</v>
      </c>
      <c r="F385" s="1" t="s">
        <v>199</v>
      </c>
      <c r="G385" s="5">
        <v>438.95</v>
      </c>
    </row>
    <row r="386" spans="1:7" x14ac:dyDescent="0.2">
      <c r="A386" s="3">
        <v>324</v>
      </c>
      <c r="B386" s="2">
        <v>37004.04</v>
      </c>
      <c r="C386" s="38">
        <v>44940</v>
      </c>
      <c r="D386" s="1" t="s">
        <v>55</v>
      </c>
      <c r="E386" s="1" t="s">
        <v>33</v>
      </c>
      <c r="F386" s="1" t="s">
        <v>199</v>
      </c>
      <c r="G386" s="5">
        <v>114.21</v>
      </c>
    </row>
    <row r="387" spans="1:7" x14ac:dyDescent="0.2">
      <c r="A387" s="3">
        <v>1500</v>
      </c>
      <c r="B387" s="2">
        <v>1029.5999999999999</v>
      </c>
      <c r="C387" s="38">
        <v>44985</v>
      </c>
      <c r="D387" s="1" t="s">
        <v>81</v>
      </c>
      <c r="E387" s="1" t="s">
        <v>33</v>
      </c>
      <c r="F387" s="1" t="s">
        <v>199</v>
      </c>
      <c r="G387" s="5">
        <v>0.68640000000000001</v>
      </c>
    </row>
    <row r="388" spans="1:7" x14ac:dyDescent="0.2">
      <c r="A388" s="3">
        <v>90</v>
      </c>
      <c r="B388" s="2">
        <v>68340.600000000006</v>
      </c>
      <c r="C388" s="38">
        <v>44985</v>
      </c>
      <c r="D388" s="1" t="s">
        <v>83</v>
      </c>
      <c r="E388" s="1" t="s">
        <v>33</v>
      </c>
      <c r="F388" s="1" t="s">
        <v>199</v>
      </c>
      <c r="G388" s="5">
        <v>759.34</v>
      </c>
    </row>
    <row r="389" spans="1:7" x14ac:dyDescent="0.2">
      <c r="A389" s="3">
        <v>216</v>
      </c>
      <c r="B389" s="2">
        <v>23308.560000000001</v>
      </c>
      <c r="C389" s="38">
        <v>44992</v>
      </c>
      <c r="D389" s="1" t="s">
        <v>55</v>
      </c>
      <c r="E389" s="1" t="s">
        <v>33</v>
      </c>
      <c r="F389" s="1" t="s">
        <v>199</v>
      </c>
      <c r="G389" s="5">
        <v>107.91</v>
      </c>
    </row>
    <row r="390" spans="1:7" x14ac:dyDescent="0.2">
      <c r="A390" s="3">
        <v>90</v>
      </c>
      <c r="B390" s="2">
        <v>41816.699999999997</v>
      </c>
      <c r="C390" s="38">
        <v>44992</v>
      </c>
      <c r="D390" s="1" t="s">
        <v>66</v>
      </c>
      <c r="E390" s="1" t="s">
        <v>33</v>
      </c>
      <c r="F390" s="1" t="s">
        <v>199</v>
      </c>
      <c r="G390" s="5">
        <v>464.63</v>
      </c>
    </row>
    <row r="391" spans="1:7" x14ac:dyDescent="0.2">
      <c r="A391" s="3">
        <v>30</v>
      </c>
      <c r="B391" s="2">
        <v>13168.5</v>
      </c>
      <c r="C391" s="38">
        <v>44992</v>
      </c>
      <c r="D391" s="1" t="s">
        <v>66</v>
      </c>
      <c r="E391" s="1" t="s">
        <v>33</v>
      </c>
      <c r="F391" s="1" t="s">
        <v>199</v>
      </c>
      <c r="G391" s="5">
        <v>438.95</v>
      </c>
    </row>
    <row r="392" spans="1:7" x14ac:dyDescent="0.2">
      <c r="A392" s="3">
        <v>30</v>
      </c>
      <c r="B392" s="2">
        <v>13168.5</v>
      </c>
      <c r="C392" s="38">
        <v>45082</v>
      </c>
      <c r="D392" s="1" t="s">
        <v>66</v>
      </c>
      <c r="E392" s="1" t="s">
        <v>33</v>
      </c>
      <c r="F392" s="1" t="s">
        <v>199</v>
      </c>
      <c r="G392" s="5">
        <v>438.95</v>
      </c>
    </row>
    <row r="393" spans="1:7" x14ac:dyDescent="0.2">
      <c r="A393" s="3">
        <v>216</v>
      </c>
      <c r="B393" s="2">
        <v>23308.560000000001</v>
      </c>
      <c r="C393" s="38">
        <v>45000</v>
      </c>
      <c r="D393" s="1" t="s">
        <v>55</v>
      </c>
      <c r="E393" s="1" t="s">
        <v>33</v>
      </c>
      <c r="F393" s="1" t="s">
        <v>199</v>
      </c>
      <c r="G393" s="5">
        <v>107.91</v>
      </c>
    </row>
    <row r="394" spans="1:7" x14ac:dyDescent="0.2">
      <c r="A394" s="3">
        <v>432</v>
      </c>
      <c r="B394" s="2">
        <v>46617.120000000003</v>
      </c>
      <c r="C394" s="38">
        <v>45000</v>
      </c>
      <c r="D394" s="1" t="s">
        <v>55</v>
      </c>
      <c r="E394" s="1" t="s">
        <v>33</v>
      </c>
      <c r="F394" s="1" t="s">
        <v>199</v>
      </c>
      <c r="G394" s="5">
        <v>107.91</v>
      </c>
    </row>
    <row r="395" spans="1:7" x14ac:dyDescent="0.2">
      <c r="A395" s="3">
        <v>324</v>
      </c>
      <c r="B395" s="2">
        <v>34962.839999999997</v>
      </c>
      <c r="C395" s="38">
        <v>45000</v>
      </c>
      <c r="D395" s="1" t="s">
        <v>55</v>
      </c>
      <c r="E395" s="1" t="s">
        <v>33</v>
      </c>
      <c r="F395" s="1" t="s">
        <v>199</v>
      </c>
      <c r="G395" s="5">
        <v>107.91</v>
      </c>
    </row>
    <row r="396" spans="1:7" x14ac:dyDescent="0.2">
      <c r="A396" s="3">
        <v>420</v>
      </c>
      <c r="B396" s="2">
        <v>6610.8</v>
      </c>
      <c r="C396" s="38">
        <v>45000</v>
      </c>
      <c r="D396" s="1" t="s">
        <v>140</v>
      </c>
      <c r="E396" s="1" t="s">
        <v>33</v>
      </c>
      <c r="F396" s="1" t="s">
        <v>199</v>
      </c>
      <c r="G396" s="5">
        <v>15.74</v>
      </c>
    </row>
    <row r="397" spans="1:7" x14ac:dyDescent="0.2">
      <c r="A397" s="3">
        <v>420</v>
      </c>
      <c r="B397" s="2">
        <v>6610.8</v>
      </c>
      <c r="C397" s="38">
        <v>45000</v>
      </c>
      <c r="D397" s="1" t="s">
        <v>140</v>
      </c>
      <c r="E397" s="1" t="s">
        <v>33</v>
      </c>
      <c r="F397" s="1" t="s">
        <v>199</v>
      </c>
      <c r="G397" s="5">
        <v>15.74</v>
      </c>
    </row>
    <row r="398" spans="1:7" x14ac:dyDescent="0.2">
      <c r="A398" s="3">
        <v>588</v>
      </c>
      <c r="B398" s="2">
        <v>58982.28</v>
      </c>
      <c r="C398" s="38">
        <v>45000</v>
      </c>
      <c r="D398" s="1" t="s">
        <v>69</v>
      </c>
      <c r="E398" s="1" t="s">
        <v>33</v>
      </c>
      <c r="F398" s="1" t="s">
        <v>199</v>
      </c>
      <c r="G398" s="5">
        <v>100.31</v>
      </c>
    </row>
    <row r="399" spans="1:7" x14ac:dyDescent="0.2">
      <c r="A399" s="3">
        <v>1500</v>
      </c>
      <c r="B399" s="2">
        <v>1029.5999999999999</v>
      </c>
      <c r="C399" s="38">
        <v>45000</v>
      </c>
      <c r="D399" s="1" t="s">
        <v>81</v>
      </c>
      <c r="E399" s="1" t="s">
        <v>33</v>
      </c>
      <c r="F399" s="1" t="s">
        <v>199</v>
      </c>
      <c r="G399" s="5">
        <v>0.68640000000000001</v>
      </c>
    </row>
    <row r="400" spans="1:7" x14ac:dyDescent="0.2">
      <c r="A400" s="3">
        <v>588</v>
      </c>
      <c r="B400" s="2">
        <v>62210.400000000001</v>
      </c>
      <c r="C400" s="38">
        <v>45049</v>
      </c>
      <c r="D400" s="1" t="s">
        <v>69</v>
      </c>
      <c r="E400" s="1" t="s">
        <v>33</v>
      </c>
      <c r="F400" s="1" t="s">
        <v>199</v>
      </c>
      <c r="G400" s="5">
        <v>105.8</v>
      </c>
    </row>
    <row r="401" spans="1:7" x14ac:dyDescent="0.2">
      <c r="A401" s="3">
        <v>588</v>
      </c>
      <c r="B401" s="2">
        <v>62210.400000000001</v>
      </c>
      <c r="C401" s="38">
        <v>45049</v>
      </c>
      <c r="D401" s="1" t="s">
        <v>69</v>
      </c>
      <c r="E401" s="1" t="s">
        <v>33</v>
      </c>
      <c r="F401" s="1" t="s">
        <v>199</v>
      </c>
      <c r="G401" s="5">
        <v>105.8</v>
      </c>
    </row>
    <row r="402" spans="1:7" x14ac:dyDescent="0.2">
      <c r="A402" s="3">
        <v>588</v>
      </c>
      <c r="B402" s="2">
        <v>62210.400000000001</v>
      </c>
      <c r="C402" s="38">
        <v>45049</v>
      </c>
      <c r="D402" s="1" t="s">
        <v>69</v>
      </c>
      <c r="E402" s="1" t="s">
        <v>33</v>
      </c>
      <c r="F402" s="1" t="s">
        <v>199</v>
      </c>
      <c r="G402" s="5">
        <v>105.8</v>
      </c>
    </row>
    <row r="403" spans="1:7" x14ac:dyDescent="0.2">
      <c r="A403" s="3">
        <v>588</v>
      </c>
      <c r="B403" s="2">
        <v>62210.400000000001</v>
      </c>
      <c r="C403" s="38">
        <v>45049</v>
      </c>
      <c r="D403" s="1" t="s">
        <v>69</v>
      </c>
      <c r="E403" s="1" t="s">
        <v>33</v>
      </c>
      <c r="F403" s="1" t="s">
        <v>199</v>
      </c>
      <c r="G403" s="5">
        <v>105.8</v>
      </c>
    </row>
    <row r="404" spans="1:7" x14ac:dyDescent="0.2">
      <c r="A404" s="3">
        <v>588</v>
      </c>
      <c r="B404" s="2">
        <v>62210.400000000001</v>
      </c>
      <c r="C404" s="38">
        <v>45049</v>
      </c>
      <c r="D404" s="1" t="s">
        <v>69</v>
      </c>
      <c r="E404" s="1" t="s">
        <v>33</v>
      </c>
      <c r="F404" s="1" t="s">
        <v>199</v>
      </c>
      <c r="G404" s="5">
        <v>105.8</v>
      </c>
    </row>
    <row r="405" spans="1:7" x14ac:dyDescent="0.2">
      <c r="A405" s="3">
        <v>588</v>
      </c>
      <c r="B405" s="2">
        <v>62210.400000000001</v>
      </c>
      <c r="C405" s="38">
        <v>45049</v>
      </c>
      <c r="D405" s="1" t="s">
        <v>69</v>
      </c>
      <c r="E405" s="1" t="s">
        <v>33</v>
      </c>
      <c r="F405" s="1" t="s">
        <v>199</v>
      </c>
      <c r="G405" s="5">
        <v>105.8</v>
      </c>
    </row>
    <row r="406" spans="1:7" x14ac:dyDescent="0.2">
      <c r="A406" s="3">
        <v>588</v>
      </c>
      <c r="B406" s="2">
        <v>62210.400000000001</v>
      </c>
      <c r="C406" s="38">
        <v>45049</v>
      </c>
      <c r="D406" s="1" t="s">
        <v>69</v>
      </c>
      <c r="E406" s="1" t="s">
        <v>33</v>
      </c>
      <c r="F406" s="1" t="s">
        <v>199</v>
      </c>
      <c r="G406" s="5">
        <v>105.8</v>
      </c>
    </row>
    <row r="407" spans="1:7" x14ac:dyDescent="0.2">
      <c r="A407" s="3">
        <v>588</v>
      </c>
      <c r="B407" s="2">
        <v>62210.400000000001</v>
      </c>
      <c r="C407" s="38">
        <v>45049</v>
      </c>
      <c r="D407" s="1" t="s">
        <v>69</v>
      </c>
      <c r="E407" s="1" t="s">
        <v>33</v>
      </c>
      <c r="F407" s="1" t="s">
        <v>199</v>
      </c>
      <c r="G407" s="5">
        <v>105.8</v>
      </c>
    </row>
    <row r="408" spans="1:7" x14ac:dyDescent="0.2">
      <c r="A408" s="3">
        <v>588</v>
      </c>
      <c r="B408" s="2">
        <v>62210.400000000001</v>
      </c>
      <c r="C408" s="38">
        <v>45049</v>
      </c>
      <c r="D408" s="1" t="s">
        <v>69</v>
      </c>
      <c r="E408" s="1" t="s">
        <v>33</v>
      </c>
      <c r="F408" s="1" t="s">
        <v>199</v>
      </c>
      <c r="G408" s="5">
        <v>105.8</v>
      </c>
    </row>
    <row r="409" spans="1:7" x14ac:dyDescent="0.2">
      <c r="A409" s="3">
        <v>420</v>
      </c>
      <c r="B409" s="2">
        <v>318922.8</v>
      </c>
      <c r="C409" s="38">
        <v>45049</v>
      </c>
      <c r="D409" s="1" t="s">
        <v>83</v>
      </c>
      <c r="E409" s="1" t="s">
        <v>33</v>
      </c>
      <c r="F409" s="1" t="s">
        <v>199</v>
      </c>
      <c r="G409" s="5">
        <v>759.34</v>
      </c>
    </row>
    <row r="410" spans="1:7" x14ac:dyDescent="0.2">
      <c r="A410" s="3">
        <v>432</v>
      </c>
      <c r="B410" s="2">
        <v>49338.720000000001</v>
      </c>
      <c r="C410" s="38">
        <v>44950</v>
      </c>
      <c r="D410" s="1" t="s">
        <v>55</v>
      </c>
      <c r="E410" s="1" t="s">
        <v>33</v>
      </c>
      <c r="F410" s="1" t="s">
        <v>199</v>
      </c>
      <c r="G410" s="5">
        <v>114.21</v>
      </c>
    </row>
    <row r="411" spans="1:7" x14ac:dyDescent="0.2">
      <c r="A411" s="3">
        <v>216</v>
      </c>
      <c r="B411" s="2">
        <v>24669.360000000001</v>
      </c>
      <c r="C411" s="38">
        <v>44950</v>
      </c>
      <c r="D411" s="1" t="s">
        <v>55</v>
      </c>
      <c r="E411" s="1" t="s">
        <v>33</v>
      </c>
      <c r="F411" s="1" t="s">
        <v>199</v>
      </c>
      <c r="G411" s="5">
        <v>114.21</v>
      </c>
    </row>
    <row r="412" spans="1:7" x14ac:dyDescent="0.2">
      <c r="A412" s="3">
        <v>64</v>
      </c>
      <c r="B412" s="2">
        <v>55756.160000000003</v>
      </c>
      <c r="C412" s="38">
        <v>45049</v>
      </c>
      <c r="D412" s="1" t="s">
        <v>141</v>
      </c>
      <c r="E412" s="1" t="s">
        <v>33</v>
      </c>
      <c r="F412" s="1" t="s">
        <v>199</v>
      </c>
      <c r="G412" s="5">
        <v>871.19</v>
      </c>
    </row>
    <row r="413" spans="1:7" x14ac:dyDescent="0.2">
      <c r="A413" s="3">
        <v>64</v>
      </c>
      <c r="B413" s="2">
        <v>55756.160000000003</v>
      </c>
      <c r="C413" s="38">
        <v>45049</v>
      </c>
      <c r="D413" s="1" t="s">
        <v>141</v>
      </c>
      <c r="E413" s="1" t="s">
        <v>33</v>
      </c>
      <c r="F413" s="1" t="s">
        <v>199</v>
      </c>
      <c r="G413" s="5">
        <v>871.19</v>
      </c>
    </row>
    <row r="414" spans="1:7" x14ac:dyDescent="0.2">
      <c r="A414" s="3">
        <v>30</v>
      </c>
      <c r="B414" s="2">
        <v>13938.9</v>
      </c>
      <c r="C414" s="38">
        <v>44950</v>
      </c>
      <c r="D414" s="1" t="s">
        <v>66</v>
      </c>
      <c r="E414" s="1" t="s">
        <v>33</v>
      </c>
      <c r="F414" s="1" t="s">
        <v>199</v>
      </c>
      <c r="G414" s="5">
        <v>464.63</v>
      </c>
    </row>
    <row r="415" spans="1:7" x14ac:dyDescent="0.2">
      <c r="A415" s="3">
        <v>90</v>
      </c>
      <c r="B415" s="2">
        <v>41816.699999999997</v>
      </c>
      <c r="C415" s="38">
        <v>44950</v>
      </c>
      <c r="D415" s="1" t="s">
        <v>66</v>
      </c>
      <c r="E415" s="1" t="s">
        <v>33</v>
      </c>
      <c r="F415" s="1" t="s">
        <v>199</v>
      </c>
      <c r="G415" s="5">
        <v>464.63</v>
      </c>
    </row>
    <row r="416" spans="1:7" x14ac:dyDescent="0.2">
      <c r="A416" s="3">
        <v>420</v>
      </c>
      <c r="B416" s="2">
        <v>6610.8</v>
      </c>
      <c r="C416" s="38">
        <v>44950</v>
      </c>
      <c r="D416" s="1" t="s">
        <v>140</v>
      </c>
      <c r="E416" s="1" t="s">
        <v>33</v>
      </c>
      <c r="F416" s="1" t="s">
        <v>199</v>
      </c>
      <c r="G416" s="5">
        <v>15.74</v>
      </c>
    </row>
    <row r="417" spans="1:7" x14ac:dyDescent="0.2">
      <c r="A417" s="3">
        <v>60</v>
      </c>
      <c r="B417" s="2">
        <v>48226.2</v>
      </c>
      <c r="C417" s="38">
        <v>44950</v>
      </c>
      <c r="D417" s="1" t="s">
        <v>83</v>
      </c>
      <c r="E417" s="1" t="s">
        <v>33</v>
      </c>
      <c r="F417" s="1" t="s">
        <v>199</v>
      </c>
      <c r="G417" s="5">
        <v>803.77</v>
      </c>
    </row>
    <row r="418" spans="1:7" x14ac:dyDescent="0.2">
      <c r="A418" s="3">
        <v>150</v>
      </c>
      <c r="B418" s="2">
        <v>120565.5</v>
      </c>
      <c r="C418" s="38">
        <v>44950</v>
      </c>
      <c r="D418" s="1" t="s">
        <v>83</v>
      </c>
      <c r="E418" s="1" t="s">
        <v>33</v>
      </c>
      <c r="F418" s="1" t="s">
        <v>199</v>
      </c>
      <c r="G418" s="5">
        <v>803.77</v>
      </c>
    </row>
    <row r="419" spans="1:7" x14ac:dyDescent="0.2">
      <c r="A419" s="3">
        <v>300</v>
      </c>
      <c r="B419" s="2">
        <v>241131</v>
      </c>
      <c r="C419" s="38">
        <v>44950</v>
      </c>
      <c r="D419" s="1" t="s">
        <v>83</v>
      </c>
      <c r="E419" s="1" t="s">
        <v>33</v>
      </c>
      <c r="F419" s="1" t="s">
        <v>199</v>
      </c>
      <c r="G419" s="5">
        <v>803.77</v>
      </c>
    </row>
    <row r="420" spans="1:7" x14ac:dyDescent="0.2">
      <c r="A420" s="3">
        <v>64</v>
      </c>
      <c r="B420" s="2">
        <v>55756.160000000003</v>
      </c>
      <c r="C420" s="38">
        <v>45049</v>
      </c>
      <c r="D420" s="1" t="s">
        <v>141</v>
      </c>
      <c r="E420" s="1" t="s">
        <v>33</v>
      </c>
      <c r="F420" s="1" t="s">
        <v>199</v>
      </c>
      <c r="G420" s="5">
        <v>871.19</v>
      </c>
    </row>
    <row r="421" spans="1:7" x14ac:dyDescent="0.2">
      <c r="A421" s="3">
        <v>64</v>
      </c>
      <c r="B421" s="2">
        <v>55756.160000000003</v>
      </c>
      <c r="C421" s="38">
        <v>45049</v>
      </c>
      <c r="D421" s="1" t="s">
        <v>141</v>
      </c>
      <c r="E421" s="1" t="s">
        <v>33</v>
      </c>
      <c r="F421" s="1" t="s">
        <v>199</v>
      </c>
      <c r="G421" s="5">
        <v>871.19</v>
      </c>
    </row>
    <row r="422" spans="1:7" x14ac:dyDescent="0.2">
      <c r="A422" s="3">
        <v>121</v>
      </c>
      <c r="B422" s="2">
        <v>11925.76</v>
      </c>
      <c r="C422" s="38">
        <v>45049</v>
      </c>
      <c r="D422" s="1" t="s">
        <v>84</v>
      </c>
      <c r="E422" s="1" t="s">
        <v>33</v>
      </c>
      <c r="F422" s="1" t="s">
        <v>199</v>
      </c>
      <c r="G422" s="5">
        <v>98.56</v>
      </c>
    </row>
    <row r="423" spans="1:7" x14ac:dyDescent="0.2">
      <c r="A423" s="3">
        <v>156</v>
      </c>
      <c r="B423" s="2">
        <v>15375.36</v>
      </c>
      <c r="C423" s="38">
        <v>45049</v>
      </c>
      <c r="D423" s="1" t="s">
        <v>84</v>
      </c>
      <c r="E423" s="1" t="s">
        <v>33</v>
      </c>
      <c r="F423" s="1" t="s">
        <v>199</v>
      </c>
      <c r="G423" s="5">
        <v>98.56</v>
      </c>
    </row>
    <row r="424" spans="1:7" x14ac:dyDescent="0.2">
      <c r="A424" s="3">
        <v>156</v>
      </c>
      <c r="B424" s="2">
        <v>15375.36</v>
      </c>
      <c r="C424" s="38">
        <v>45049</v>
      </c>
      <c r="D424" s="1" t="s">
        <v>84</v>
      </c>
      <c r="E424" s="1" t="s">
        <v>33</v>
      </c>
      <c r="F424" s="1" t="s">
        <v>199</v>
      </c>
      <c r="G424" s="5">
        <v>98.56</v>
      </c>
    </row>
    <row r="425" spans="1:7" x14ac:dyDescent="0.2">
      <c r="A425" s="3">
        <v>30</v>
      </c>
      <c r="B425" s="2">
        <v>13938.9</v>
      </c>
      <c r="C425" s="38">
        <v>44952</v>
      </c>
      <c r="D425" s="1" t="s">
        <v>66</v>
      </c>
      <c r="E425" s="1" t="s">
        <v>33</v>
      </c>
      <c r="F425" s="1" t="s">
        <v>199</v>
      </c>
      <c r="G425" s="5">
        <v>464.63</v>
      </c>
    </row>
    <row r="426" spans="1:7" x14ac:dyDescent="0.2">
      <c r="A426" s="3">
        <v>1192</v>
      </c>
      <c r="B426" s="2">
        <v>112822.8</v>
      </c>
      <c r="C426" s="38">
        <v>44952</v>
      </c>
      <c r="D426" s="1" t="s">
        <v>71</v>
      </c>
      <c r="E426" s="1" t="s">
        <v>33</v>
      </c>
      <c r="F426" s="1" t="s">
        <v>199</v>
      </c>
      <c r="G426" s="5">
        <v>94.65</v>
      </c>
    </row>
    <row r="427" spans="1:7" x14ac:dyDescent="0.2">
      <c r="A427" s="3">
        <v>2000</v>
      </c>
      <c r="B427" s="2">
        <v>3880</v>
      </c>
      <c r="C427" s="38">
        <v>45030</v>
      </c>
      <c r="D427" s="1" t="s">
        <v>56</v>
      </c>
      <c r="E427" s="1" t="s">
        <v>33</v>
      </c>
      <c r="F427" s="1" t="s">
        <v>199</v>
      </c>
      <c r="G427" s="5">
        <v>1.94</v>
      </c>
    </row>
    <row r="428" spans="1:7" x14ac:dyDescent="0.2">
      <c r="A428" s="3">
        <v>420</v>
      </c>
      <c r="B428" s="2">
        <v>6610.8</v>
      </c>
      <c r="C428" s="38">
        <v>45030</v>
      </c>
      <c r="D428" s="1" t="s">
        <v>140</v>
      </c>
      <c r="E428" s="1" t="s">
        <v>33</v>
      </c>
      <c r="F428" s="1" t="s">
        <v>199</v>
      </c>
      <c r="G428" s="5">
        <v>15.74</v>
      </c>
    </row>
    <row r="429" spans="1:7" x14ac:dyDescent="0.2">
      <c r="A429" s="3">
        <v>420</v>
      </c>
      <c r="B429" s="2">
        <v>6610.8</v>
      </c>
      <c r="C429" s="38">
        <v>45030</v>
      </c>
      <c r="D429" s="1" t="s">
        <v>140</v>
      </c>
      <c r="E429" s="1" t="s">
        <v>33</v>
      </c>
      <c r="F429" s="1" t="s">
        <v>199</v>
      </c>
      <c r="G429" s="5">
        <v>15.74</v>
      </c>
    </row>
    <row r="430" spans="1:7" x14ac:dyDescent="0.2">
      <c r="A430" s="3">
        <v>1820</v>
      </c>
      <c r="B430" s="2">
        <v>4313.3999999999996</v>
      </c>
      <c r="C430" s="38">
        <v>45030</v>
      </c>
      <c r="D430" s="1" t="s">
        <v>68</v>
      </c>
      <c r="E430" s="1" t="s">
        <v>33</v>
      </c>
      <c r="F430" s="1" t="s">
        <v>199</v>
      </c>
      <c r="G430" s="5">
        <v>2.37</v>
      </c>
    </row>
    <row r="431" spans="1:7" x14ac:dyDescent="0.2">
      <c r="A431" s="3">
        <v>4500</v>
      </c>
      <c r="B431" s="2">
        <v>5895</v>
      </c>
      <c r="C431" s="38">
        <v>45030</v>
      </c>
      <c r="D431" s="1" t="s">
        <v>80</v>
      </c>
      <c r="E431" s="1" t="s">
        <v>33</v>
      </c>
      <c r="F431" s="1" t="s">
        <v>199</v>
      </c>
      <c r="G431" s="5">
        <v>1.31</v>
      </c>
    </row>
    <row r="432" spans="1:7" x14ac:dyDescent="0.2">
      <c r="A432" s="3">
        <v>1500</v>
      </c>
      <c r="B432" s="2">
        <v>1029.5999999999999</v>
      </c>
      <c r="C432" s="38">
        <v>45086</v>
      </c>
      <c r="D432" s="1" t="s">
        <v>81</v>
      </c>
      <c r="E432" s="1" t="s">
        <v>33</v>
      </c>
      <c r="F432" s="1" t="s">
        <v>199</v>
      </c>
      <c r="G432" s="5">
        <v>0.68640000000000001</v>
      </c>
    </row>
    <row r="433" spans="1:7" x14ac:dyDescent="0.2">
      <c r="A433" s="3">
        <v>432</v>
      </c>
      <c r="B433" s="2">
        <v>46617.120000000003</v>
      </c>
      <c r="C433" s="38">
        <v>45097</v>
      </c>
      <c r="D433" s="1" t="s">
        <v>55</v>
      </c>
      <c r="E433" s="1" t="s">
        <v>33</v>
      </c>
      <c r="F433" s="1" t="s">
        <v>199</v>
      </c>
      <c r="G433" s="5">
        <v>107.91</v>
      </c>
    </row>
    <row r="434" spans="1:7" x14ac:dyDescent="0.2">
      <c r="A434" s="3">
        <v>30</v>
      </c>
      <c r="B434" s="2">
        <v>13168.5</v>
      </c>
      <c r="C434" s="38">
        <v>45097</v>
      </c>
      <c r="D434" s="1" t="s">
        <v>66</v>
      </c>
      <c r="E434" s="1" t="s">
        <v>33</v>
      </c>
      <c r="F434" s="1" t="s">
        <v>199</v>
      </c>
      <c r="G434" s="5">
        <v>438.95</v>
      </c>
    </row>
    <row r="435" spans="1:7" x14ac:dyDescent="0.2">
      <c r="A435" s="3">
        <v>64</v>
      </c>
      <c r="B435" s="2">
        <v>55756.160000000003</v>
      </c>
      <c r="C435" s="38">
        <v>45030</v>
      </c>
      <c r="D435" s="1" t="s">
        <v>141</v>
      </c>
      <c r="E435" s="1" t="s">
        <v>33</v>
      </c>
      <c r="F435" s="1" t="s">
        <v>199</v>
      </c>
      <c r="G435" s="5">
        <v>871.19</v>
      </c>
    </row>
    <row r="436" spans="1:7" x14ac:dyDescent="0.2">
      <c r="A436" s="3">
        <v>64</v>
      </c>
      <c r="B436" s="2">
        <v>55756.160000000003</v>
      </c>
      <c r="C436" s="38">
        <v>45030</v>
      </c>
      <c r="D436" s="1" t="s">
        <v>141</v>
      </c>
      <c r="E436" s="1" t="s">
        <v>33</v>
      </c>
      <c r="F436" s="1" t="s">
        <v>199</v>
      </c>
      <c r="G436" s="5">
        <v>871.19</v>
      </c>
    </row>
    <row r="437" spans="1:7" x14ac:dyDescent="0.2">
      <c r="A437" s="3">
        <v>432</v>
      </c>
      <c r="B437" s="2">
        <v>46617.120000000003</v>
      </c>
      <c r="C437" s="38">
        <v>45098</v>
      </c>
      <c r="D437" s="1" t="s">
        <v>55</v>
      </c>
      <c r="E437" s="1" t="s">
        <v>33</v>
      </c>
      <c r="F437" s="1" t="s">
        <v>199</v>
      </c>
      <c r="G437" s="5">
        <v>107.91</v>
      </c>
    </row>
    <row r="438" spans="1:7" x14ac:dyDescent="0.2">
      <c r="A438" s="3">
        <v>324</v>
      </c>
      <c r="B438" s="2">
        <v>34962.839999999997</v>
      </c>
      <c r="C438" s="38">
        <v>45098</v>
      </c>
      <c r="D438" s="1" t="s">
        <v>55</v>
      </c>
      <c r="E438" s="1" t="s">
        <v>33</v>
      </c>
      <c r="F438" s="1" t="s">
        <v>199</v>
      </c>
      <c r="G438" s="5">
        <v>107.91</v>
      </c>
    </row>
    <row r="439" spans="1:7" x14ac:dyDescent="0.2">
      <c r="A439" s="3">
        <v>300</v>
      </c>
      <c r="B439" s="2">
        <v>227802</v>
      </c>
      <c r="C439" s="38">
        <v>45098</v>
      </c>
      <c r="D439" s="1" t="s">
        <v>83</v>
      </c>
      <c r="E439" s="1" t="s">
        <v>33</v>
      </c>
      <c r="F439" s="1" t="s">
        <v>199</v>
      </c>
      <c r="G439" s="5">
        <v>759.34</v>
      </c>
    </row>
    <row r="440" spans="1:7" x14ac:dyDescent="0.2">
      <c r="A440" s="3">
        <v>240</v>
      </c>
      <c r="B440" s="2">
        <v>108170.4</v>
      </c>
      <c r="C440" s="38">
        <v>45037</v>
      </c>
      <c r="D440" s="1" t="s">
        <v>58</v>
      </c>
      <c r="E440" s="1" t="s">
        <v>33</v>
      </c>
      <c r="F440" s="1" t="s">
        <v>199</v>
      </c>
      <c r="G440" s="5">
        <v>450.71</v>
      </c>
    </row>
    <row r="441" spans="1:7" x14ac:dyDescent="0.2">
      <c r="A441" s="3">
        <v>240</v>
      </c>
      <c r="B441" s="2">
        <v>102048</v>
      </c>
      <c r="C441" s="38">
        <v>45037</v>
      </c>
      <c r="D441" s="1" t="s">
        <v>58</v>
      </c>
      <c r="E441" s="1" t="s">
        <v>33</v>
      </c>
      <c r="F441" s="1" t="s">
        <v>199</v>
      </c>
      <c r="G441" s="5">
        <v>425.2</v>
      </c>
    </row>
    <row r="442" spans="1:7" x14ac:dyDescent="0.2">
      <c r="A442" s="3">
        <v>330</v>
      </c>
      <c r="B442" s="2">
        <v>250582.2</v>
      </c>
      <c r="C442" s="38">
        <v>45037</v>
      </c>
      <c r="D442" s="1" t="s">
        <v>83</v>
      </c>
      <c r="E442" s="1" t="s">
        <v>33</v>
      </c>
      <c r="F442" s="1" t="s">
        <v>199</v>
      </c>
      <c r="G442" s="5">
        <v>759.34</v>
      </c>
    </row>
    <row r="443" spans="1:7" x14ac:dyDescent="0.2">
      <c r="A443" s="3">
        <v>420</v>
      </c>
      <c r="B443" s="2">
        <v>318922.8</v>
      </c>
      <c r="C443" s="38">
        <v>45037</v>
      </c>
      <c r="D443" s="1" t="s">
        <v>83</v>
      </c>
      <c r="E443" s="1" t="s">
        <v>33</v>
      </c>
      <c r="F443" s="1" t="s">
        <v>199</v>
      </c>
      <c r="G443" s="5">
        <v>759.34</v>
      </c>
    </row>
    <row r="444" spans="1:7" x14ac:dyDescent="0.2">
      <c r="A444" s="3">
        <v>1008</v>
      </c>
      <c r="B444" s="2">
        <v>80398.080000000002</v>
      </c>
      <c r="C444" s="38">
        <v>44967</v>
      </c>
      <c r="D444" s="1" t="s">
        <v>61</v>
      </c>
      <c r="E444" s="1" t="s">
        <v>33</v>
      </c>
      <c r="F444" s="1" t="s">
        <v>199</v>
      </c>
      <c r="G444" s="5">
        <v>79.760000000000005</v>
      </c>
    </row>
    <row r="445" spans="1:7" x14ac:dyDescent="0.2">
      <c r="A445" s="3">
        <v>1000</v>
      </c>
      <c r="B445" s="2">
        <v>1830</v>
      </c>
      <c r="C445" s="38">
        <v>44970</v>
      </c>
      <c r="D445" s="1" t="s">
        <v>56</v>
      </c>
      <c r="E445" s="1" t="s">
        <v>33</v>
      </c>
      <c r="F445" s="1" t="s">
        <v>199</v>
      </c>
      <c r="G445" s="5">
        <v>1.83</v>
      </c>
    </row>
    <row r="446" spans="1:7" x14ac:dyDescent="0.2">
      <c r="A446" s="3">
        <v>3000</v>
      </c>
      <c r="B446" s="2">
        <v>1943.7</v>
      </c>
      <c r="C446" s="38">
        <v>44970</v>
      </c>
      <c r="D446" s="1" t="s">
        <v>81</v>
      </c>
      <c r="E446" s="1" t="s">
        <v>33</v>
      </c>
      <c r="F446" s="1" t="s">
        <v>199</v>
      </c>
      <c r="G446" s="5">
        <v>0.64790000000000003</v>
      </c>
    </row>
    <row r="447" spans="1:7" x14ac:dyDescent="0.2">
      <c r="A447" s="3">
        <v>3024</v>
      </c>
      <c r="B447" s="2">
        <v>133449.12</v>
      </c>
      <c r="C447" s="38">
        <v>45041</v>
      </c>
      <c r="D447" s="1" t="s">
        <v>60</v>
      </c>
      <c r="E447" s="1" t="s">
        <v>33</v>
      </c>
      <c r="F447" s="1" t="s">
        <v>199</v>
      </c>
      <c r="G447" s="5">
        <v>44.13</v>
      </c>
    </row>
    <row r="448" spans="1:7" x14ac:dyDescent="0.2">
      <c r="A448" s="3">
        <v>252</v>
      </c>
      <c r="B448" s="2">
        <v>21606.48</v>
      </c>
      <c r="C448" s="38">
        <v>45041</v>
      </c>
      <c r="D448" s="1" t="s">
        <v>61</v>
      </c>
      <c r="E448" s="1" t="s">
        <v>33</v>
      </c>
      <c r="F448" s="1" t="s">
        <v>199</v>
      </c>
      <c r="G448" s="5">
        <v>85.74</v>
      </c>
    </row>
    <row r="449" spans="1:7" x14ac:dyDescent="0.2">
      <c r="A449" s="3">
        <v>252</v>
      </c>
      <c r="B449" s="2">
        <v>21606.48</v>
      </c>
      <c r="C449" s="38">
        <v>45041</v>
      </c>
      <c r="D449" s="1" t="s">
        <v>61</v>
      </c>
      <c r="E449" s="1" t="s">
        <v>33</v>
      </c>
      <c r="F449" s="1" t="s">
        <v>199</v>
      </c>
      <c r="G449" s="5">
        <v>85.74</v>
      </c>
    </row>
    <row r="450" spans="1:7" x14ac:dyDescent="0.2">
      <c r="A450" s="3">
        <v>252</v>
      </c>
      <c r="B450" s="2">
        <v>21606.48</v>
      </c>
      <c r="C450" s="38">
        <v>45041</v>
      </c>
      <c r="D450" s="1" t="s">
        <v>61</v>
      </c>
      <c r="E450" s="1" t="s">
        <v>33</v>
      </c>
      <c r="F450" s="1" t="s">
        <v>199</v>
      </c>
      <c r="G450" s="5">
        <v>85.74</v>
      </c>
    </row>
    <row r="451" spans="1:7" x14ac:dyDescent="0.2">
      <c r="A451" s="3">
        <v>252</v>
      </c>
      <c r="B451" s="2">
        <v>28687.68</v>
      </c>
      <c r="C451" s="38">
        <v>45041</v>
      </c>
      <c r="D451" s="1" t="s">
        <v>137</v>
      </c>
      <c r="E451" s="1" t="s">
        <v>33</v>
      </c>
      <c r="F451" s="1" t="s">
        <v>199</v>
      </c>
      <c r="G451" s="5">
        <v>113.84</v>
      </c>
    </row>
    <row r="452" spans="1:7" x14ac:dyDescent="0.2">
      <c r="A452" s="3">
        <v>588</v>
      </c>
      <c r="B452" s="2">
        <v>79585.8</v>
      </c>
      <c r="C452" s="38">
        <v>45041</v>
      </c>
      <c r="D452" s="1" t="s">
        <v>117</v>
      </c>
      <c r="E452" s="1" t="s">
        <v>33</v>
      </c>
      <c r="F452" s="1" t="s">
        <v>199</v>
      </c>
      <c r="G452" s="5">
        <v>135.35</v>
      </c>
    </row>
    <row r="453" spans="1:7" x14ac:dyDescent="0.2">
      <c r="A453" s="3">
        <v>220</v>
      </c>
      <c r="B453" s="2">
        <v>32089.200000000001</v>
      </c>
      <c r="C453" s="38">
        <v>45061</v>
      </c>
      <c r="D453" s="1" t="s">
        <v>136</v>
      </c>
      <c r="E453" s="1" t="s">
        <v>33</v>
      </c>
      <c r="F453" s="1" t="s">
        <v>199</v>
      </c>
      <c r="G453" s="5">
        <v>145.86000000000001</v>
      </c>
    </row>
    <row r="454" spans="1:7" x14ac:dyDescent="0.2">
      <c r="A454" s="3">
        <v>30</v>
      </c>
      <c r="B454" s="2">
        <v>13168.5</v>
      </c>
      <c r="C454" s="38">
        <v>45061</v>
      </c>
      <c r="D454" s="1" t="s">
        <v>66</v>
      </c>
      <c r="E454" s="1" t="s">
        <v>33</v>
      </c>
      <c r="F454" s="1" t="s">
        <v>199</v>
      </c>
      <c r="G454" s="5">
        <v>438.95</v>
      </c>
    </row>
    <row r="455" spans="1:7" x14ac:dyDescent="0.2">
      <c r="A455" s="3">
        <v>60</v>
      </c>
      <c r="B455" s="2">
        <v>26337</v>
      </c>
      <c r="C455" s="38">
        <v>45061</v>
      </c>
      <c r="D455" s="1" t="s">
        <v>66</v>
      </c>
      <c r="E455" s="1" t="s">
        <v>33</v>
      </c>
      <c r="F455" s="1" t="s">
        <v>199</v>
      </c>
      <c r="G455" s="5">
        <v>438.95</v>
      </c>
    </row>
    <row r="456" spans="1:7" x14ac:dyDescent="0.2">
      <c r="A456" s="3">
        <v>1008</v>
      </c>
      <c r="B456" s="2">
        <v>69602.399999999994</v>
      </c>
      <c r="C456" s="38">
        <v>45061</v>
      </c>
      <c r="D456" s="1" t="s">
        <v>116</v>
      </c>
      <c r="E456" s="1" t="s">
        <v>33</v>
      </c>
      <c r="F456" s="1" t="s">
        <v>199</v>
      </c>
      <c r="G456" s="5">
        <v>69.05</v>
      </c>
    </row>
    <row r="457" spans="1:7" x14ac:dyDescent="0.2">
      <c r="A457" s="3">
        <v>840</v>
      </c>
      <c r="B457" s="2">
        <v>13221.6</v>
      </c>
      <c r="C457" s="38">
        <v>45061</v>
      </c>
      <c r="D457" s="1" t="s">
        <v>140</v>
      </c>
      <c r="E457" s="1" t="s">
        <v>33</v>
      </c>
      <c r="F457" s="1" t="s">
        <v>199</v>
      </c>
      <c r="G457" s="5">
        <v>15.74</v>
      </c>
    </row>
    <row r="458" spans="1:7" x14ac:dyDescent="0.2">
      <c r="A458" s="3">
        <v>1820</v>
      </c>
      <c r="B458" s="2">
        <v>4313.3999999999996</v>
      </c>
      <c r="C458" s="38">
        <v>45061</v>
      </c>
      <c r="D458" s="1" t="s">
        <v>68</v>
      </c>
      <c r="E458" s="1" t="s">
        <v>33</v>
      </c>
      <c r="F458" s="1" t="s">
        <v>199</v>
      </c>
      <c r="G458" s="5">
        <v>2.37</v>
      </c>
    </row>
    <row r="459" spans="1:7" x14ac:dyDescent="0.2">
      <c r="A459" s="3">
        <v>1820</v>
      </c>
      <c r="B459" s="2">
        <v>4313.3999999999996</v>
      </c>
      <c r="C459" s="38">
        <v>45061</v>
      </c>
      <c r="D459" s="1" t="s">
        <v>68</v>
      </c>
      <c r="E459" s="1" t="s">
        <v>33</v>
      </c>
      <c r="F459" s="1" t="s">
        <v>199</v>
      </c>
      <c r="G459" s="5">
        <v>2.37</v>
      </c>
    </row>
    <row r="460" spans="1:7" x14ac:dyDescent="0.2">
      <c r="A460" s="3">
        <v>1820</v>
      </c>
      <c r="B460" s="2">
        <v>4568.2</v>
      </c>
      <c r="C460" s="38">
        <v>45061</v>
      </c>
      <c r="D460" s="1" t="s">
        <v>68</v>
      </c>
      <c r="E460" s="1" t="s">
        <v>33</v>
      </c>
      <c r="F460" s="1" t="s">
        <v>199</v>
      </c>
      <c r="G460" s="5">
        <v>2.5099999999999998</v>
      </c>
    </row>
    <row r="461" spans="1:7" x14ac:dyDescent="0.2">
      <c r="A461" s="3">
        <v>4500</v>
      </c>
      <c r="B461" s="2">
        <v>3088.8</v>
      </c>
      <c r="C461" s="38">
        <v>45061</v>
      </c>
      <c r="D461" s="1" t="s">
        <v>81</v>
      </c>
      <c r="E461" s="1" t="s">
        <v>33</v>
      </c>
      <c r="F461" s="1" t="s">
        <v>199</v>
      </c>
      <c r="G461" s="5">
        <v>0.68640000000000001</v>
      </c>
    </row>
    <row r="462" spans="1:7" x14ac:dyDescent="0.2">
      <c r="A462" s="3">
        <v>3000</v>
      </c>
      <c r="B462" s="2">
        <v>2059.1999999999998</v>
      </c>
      <c r="C462" s="38">
        <v>45061</v>
      </c>
      <c r="D462" s="1" t="s">
        <v>81</v>
      </c>
      <c r="E462" s="1" t="s">
        <v>33</v>
      </c>
      <c r="F462" s="1" t="s">
        <v>199</v>
      </c>
      <c r="G462" s="5">
        <v>0.68640000000000001</v>
      </c>
    </row>
    <row r="463" spans="1:7" x14ac:dyDescent="0.2">
      <c r="A463" s="3">
        <v>64</v>
      </c>
      <c r="B463" s="2">
        <v>55756.160000000003</v>
      </c>
      <c r="C463" s="38">
        <v>45061</v>
      </c>
      <c r="D463" s="1" t="s">
        <v>141</v>
      </c>
      <c r="E463" s="1" t="s">
        <v>33</v>
      </c>
      <c r="F463" s="1" t="s">
        <v>199</v>
      </c>
      <c r="G463" s="5">
        <v>871.19</v>
      </c>
    </row>
    <row r="464" spans="1:7" x14ac:dyDescent="0.2">
      <c r="A464" s="3">
        <v>432</v>
      </c>
      <c r="B464" s="2">
        <v>46617.120000000003</v>
      </c>
      <c r="C464" s="38">
        <v>44978</v>
      </c>
      <c r="D464" s="1" t="s">
        <v>55</v>
      </c>
      <c r="E464" s="1" t="s">
        <v>33</v>
      </c>
      <c r="F464" s="1" t="s">
        <v>199</v>
      </c>
      <c r="G464" s="5">
        <v>107.91</v>
      </c>
    </row>
    <row r="465" spans="1:7" x14ac:dyDescent="0.2">
      <c r="A465" s="3">
        <v>432</v>
      </c>
      <c r="B465" s="2">
        <v>46617.120000000003</v>
      </c>
      <c r="C465" s="38">
        <v>44978</v>
      </c>
      <c r="D465" s="1" t="s">
        <v>55</v>
      </c>
      <c r="E465" s="1" t="s">
        <v>33</v>
      </c>
      <c r="F465" s="1" t="s">
        <v>199</v>
      </c>
      <c r="G465" s="5">
        <v>107.91</v>
      </c>
    </row>
    <row r="466" spans="1:7" x14ac:dyDescent="0.2">
      <c r="A466" s="3">
        <v>108</v>
      </c>
      <c r="B466" s="2">
        <v>11654.28</v>
      </c>
      <c r="C466" s="38">
        <v>44978</v>
      </c>
      <c r="D466" s="1" t="s">
        <v>55</v>
      </c>
      <c r="E466" s="1" t="s">
        <v>33</v>
      </c>
      <c r="F466" s="1" t="s">
        <v>199</v>
      </c>
      <c r="G466" s="5">
        <v>107.91</v>
      </c>
    </row>
    <row r="467" spans="1:7" x14ac:dyDescent="0.2">
      <c r="A467" s="3">
        <v>90</v>
      </c>
      <c r="B467" s="2">
        <v>41816.699999999997</v>
      </c>
      <c r="C467" s="38">
        <v>44978</v>
      </c>
      <c r="D467" s="1" t="s">
        <v>66</v>
      </c>
      <c r="E467" s="1" t="s">
        <v>33</v>
      </c>
      <c r="F467" s="1" t="s">
        <v>199</v>
      </c>
      <c r="G467" s="5">
        <v>464.63</v>
      </c>
    </row>
    <row r="468" spans="1:7" x14ac:dyDescent="0.2">
      <c r="A468" s="3">
        <v>90</v>
      </c>
      <c r="B468" s="2">
        <v>41816.699999999997</v>
      </c>
      <c r="C468" s="38">
        <v>44978</v>
      </c>
      <c r="D468" s="1" t="s">
        <v>66</v>
      </c>
      <c r="E468" s="1" t="s">
        <v>33</v>
      </c>
      <c r="F468" s="1" t="s">
        <v>199</v>
      </c>
      <c r="G468" s="5">
        <v>464.63</v>
      </c>
    </row>
    <row r="469" spans="1:7" x14ac:dyDescent="0.2">
      <c r="A469" s="3">
        <v>90</v>
      </c>
      <c r="B469" s="2">
        <v>41816.699999999997</v>
      </c>
      <c r="C469" s="38">
        <v>44978</v>
      </c>
      <c r="D469" s="1" t="s">
        <v>66</v>
      </c>
      <c r="E469" s="1" t="s">
        <v>33</v>
      </c>
      <c r="F469" s="1" t="s">
        <v>199</v>
      </c>
      <c r="G469" s="5">
        <v>464.63</v>
      </c>
    </row>
    <row r="470" spans="1:7" x14ac:dyDescent="0.2">
      <c r="A470" s="3">
        <v>60</v>
      </c>
      <c r="B470" s="2">
        <v>27877.8</v>
      </c>
      <c r="C470" s="38">
        <v>44978</v>
      </c>
      <c r="D470" s="1" t="s">
        <v>66</v>
      </c>
      <c r="E470" s="1" t="s">
        <v>33</v>
      </c>
      <c r="F470" s="1" t="s">
        <v>199</v>
      </c>
      <c r="G470" s="5">
        <v>464.63</v>
      </c>
    </row>
    <row r="471" spans="1:7" x14ac:dyDescent="0.2">
      <c r="A471" s="3">
        <v>1500</v>
      </c>
      <c r="B471" s="2">
        <v>971.85</v>
      </c>
      <c r="C471" s="38">
        <v>44978</v>
      </c>
      <c r="D471" s="1" t="s">
        <v>81</v>
      </c>
      <c r="E471" s="1" t="s">
        <v>33</v>
      </c>
      <c r="F471" s="1" t="s">
        <v>199</v>
      </c>
      <c r="G471" s="5">
        <v>0.64790000000000003</v>
      </c>
    </row>
    <row r="472" spans="1:7" x14ac:dyDescent="0.2">
      <c r="A472" s="3">
        <v>1500</v>
      </c>
      <c r="B472" s="2">
        <v>1029.5999999999999</v>
      </c>
      <c r="C472" s="38">
        <v>45041</v>
      </c>
      <c r="D472" s="1" t="s">
        <v>81</v>
      </c>
      <c r="E472" s="1" t="s">
        <v>33</v>
      </c>
      <c r="F472" s="1" t="s">
        <v>199</v>
      </c>
      <c r="G472" s="5">
        <v>0.68640000000000001</v>
      </c>
    </row>
    <row r="473" spans="1:7" x14ac:dyDescent="0.2">
      <c r="A473" s="3">
        <v>420</v>
      </c>
      <c r="B473" s="2">
        <v>318922.8</v>
      </c>
      <c r="C473" s="38">
        <v>45041</v>
      </c>
      <c r="D473" s="1" t="s">
        <v>83</v>
      </c>
      <c r="E473" s="1" t="s">
        <v>33</v>
      </c>
      <c r="F473" s="1" t="s">
        <v>199</v>
      </c>
      <c r="G473" s="5">
        <v>759.34</v>
      </c>
    </row>
    <row r="474" spans="1:7" x14ac:dyDescent="0.2">
      <c r="A474" s="3">
        <v>420</v>
      </c>
      <c r="B474" s="2">
        <v>318922.8</v>
      </c>
      <c r="C474" s="38">
        <v>45041</v>
      </c>
      <c r="D474" s="1" t="s">
        <v>83</v>
      </c>
      <c r="E474" s="1" t="s">
        <v>33</v>
      </c>
      <c r="F474" s="1" t="s">
        <v>199</v>
      </c>
      <c r="G474" s="5">
        <v>759.34</v>
      </c>
    </row>
    <row r="475" spans="1:7" x14ac:dyDescent="0.2">
      <c r="A475" s="3">
        <v>156</v>
      </c>
      <c r="B475" s="2">
        <v>15375.36</v>
      </c>
      <c r="C475" s="38">
        <v>45041</v>
      </c>
      <c r="D475" s="1" t="s">
        <v>84</v>
      </c>
      <c r="E475" s="1" t="s">
        <v>33</v>
      </c>
      <c r="F475" s="1" t="s">
        <v>199</v>
      </c>
      <c r="G475" s="5">
        <v>98.56</v>
      </c>
    </row>
    <row r="476" spans="1:7" x14ac:dyDescent="0.2">
      <c r="A476" s="3">
        <v>324</v>
      </c>
      <c r="B476" s="2">
        <v>34962.839999999997</v>
      </c>
      <c r="C476" s="38">
        <v>44981</v>
      </c>
      <c r="D476" s="1" t="s">
        <v>55</v>
      </c>
      <c r="E476" s="1" t="s">
        <v>33</v>
      </c>
      <c r="F476" s="1" t="s">
        <v>199</v>
      </c>
      <c r="G476" s="5">
        <v>107.91</v>
      </c>
    </row>
    <row r="477" spans="1:7" x14ac:dyDescent="0.2">
      <c r="A477" s="3">
        <v>432</v>
      </c>
      <c r="B477" s="2">
        <v>46617.120000000003</v>
      </c>
      <c r="C477" s="38">
        <v>44981</v>
      </c>
      <c r="D477" s="1" t="s">
        <v>55</v>
      </c>
      <c r="E477" s="1" t="s">
        <v>33</v>
      </c>
      <c r="F477" s="1" t="s">
        <v>199</v>
      </c>
      <c r="G477" s="5">
        <v>107.91</v>
      </c>
    </row>
    <row r="478" spans="1:7" x14ac:dyDescent="0.2">
      <c r="A478" s="3">
        <v>1000</v>
      </c>
      <c r="B478" s="2">
        <v>1830</v>
      </c>
      <c r="C478" s="38">
        <v>44981</v>
      </c>
      <c r="D478" s="1" t="s">
        <v>56</v>
      </c>
      <c r="E478" s="1" t="s">
        <v>33</v>
      </c>
      <c r="F478" s="1" t="s">
        <v>199</v>
      </c>
      <c r="G478" s="5">
        <v>1.83</v>
      </c>
    </row>
    <row r="479" spans="1:7" x14ac:dyDescent="0.2">
      <c r="A479" s="3">
        <v>252</v>
      </c>
      <c r="B479" s="2">
        <v>20099.52</v>
      </c>
      <c r="C479" s="38">
        <v>44981</v>
      </c>
      <c r="D479" s="1" t="s">
        <v>61</v>
      </c>
      <c r="E479" s="1" t="s">
        <v>33</v>
      </c>
      <c r="F479" s="1" t="s">
        <v>199</v>
      </c>
      <c r="G479" s="5">
        <v>79.760000000000005</v>
      </c>
    </row>
    <row r="480" spans="1:7" x14ac:dyDescent="0.2">
      <c r="A480" s="3">
        <v>252</v>
      </c>
      <c r="B480" s="2">
        <v>20099.52</v>
      </c>
      <c r="C480" s="38">
        <v>44981</v>
      </c>
      <c r="D480" s="1" t="s">
        <v>61</v>
      </c>
      <c r="E480" s="1" t="s">
        <v>33</v>
      </c>
      <c r="F480" s="1" t="s">
        <v>199</v>
      </c>
      <c r="G480" s="5">
        <v>79.760000000000005</v>
      </c>
    </row>
    <row r="481" spans="1:7" x14ac:dyDescent="0.2">
      <c r="A481" s="3">
        <v>252</v>
      </c>
      <c r="B481" s="2">
        <v>20099.52</v>
      </c>
      <c r="C481" s="38">
        <v>44981</v>
      </c>
      <c r="D481" s="1" t="s">
        <v>61</v>
      </c>
      <c r="E481" s="1" t="s">
        <v>33</v>
      </c>
      <c r="F481" s="1" t="s">
        <v>199</v>
      </c>
      <c r="G481" s="5">
        <v>79.760000000000005</v>
      </c>
    </row>
    <row r="482" spans="1:7" x14ac:dyDescent="0.2">
      <c r="A482" s="3">
        <v>252</v>
      </c>
      <c r="B482" s="2">
        <v>20099.52</v>
      </c>
      <c r="C482" s="38">
        <v>44981</v>
      </c>
      <c r="D482" s="1" t="s">
        <v>61</v>
      </c>
      <c r="E482" s="1" t="s">
        <v>33</v>
      </c>
      <c r="F482" s="1" t="s">
        <v>199</v>
      </c>
      <c r="G482" s="5">
        <v>79.760000000000005</v>
      </c>
    </row>
    <row r="483" spans="1:7" x14ac:dyDescent="0.2">
      <c r="A483" s="3">
        <v>2336</v>
      </c>
      <c r="B483" s="2">
        <v>221102.4</v>
      </c>
      <c r="C483" s="38">
        <v>44981</v>
      </c>
      <c r="D483" s="1" t="s">
        <v>71</v>
      </c>
      <c r="E483" s="1" t="s">
        <v>33</v>
      </c>
      <c r="F483" s="1" t="s">
        <v>199</v>
      </c>
      <c r="G483" s="5">
        <v>94.65</v>
      </c>
    </row>
    <row r="484" spans="1:7" x14ac:dyDescent="0.2">
      <c r="A484" s="3">
        <v>30</v>
      </c>
      <c r="B484" s="2">
        <v>13168.5</v>
      </c>
      <c r="C484" s="38">
        <v>45072</v>
      </c>
      <c r="D484" s="1" t="s">
        <v>66</v>
      </c>
      <c r="E484" s="1" t="s">
        <v>33</v>
      </c>
      <c r="F484" s="1" t="s">
        <v>199</v>
      </c>
      <c r="G484" s="5">
        <v>438.95</v>
      </c>
    </row>
    <row r="485" spans="1:7" x14ac:dyDescent="0.2">
      <c r="A485" s="3">
        <v>324</v>
      </c>
      <c r="B485" s="2">
        <v>34962.839999999997</v>
      </c>
      <c r="C485" s="38">
        <v>44985</v>
      </c>
      <c r="D485" s="1" t="s">
        <v>55</v>
      </c>
      <c r="E485" s="1" t="s">
        <v>33</v>
      </c>
      <c r="F485" s="1" t="s">
        <v>199</v>
      </c>
      <c r="G485" s="5">
        <v>107.91</v>
      </c>
    </row>
    <row r="486" spans="1:7" x14ac:dyDescent="0.2">
      <c r="A486" s="3">
        <v>324</v>
      </c>
      <c r="B486" s="2">
        <v>34962.839999999997</v>
      </c>
      <c r="C486" s="38">
        <v>44985</v>
      </c>
      <c r="D486" s="1" t="s">
        <v>55</v>
      </c>
      <c r="E486" s="1" t="s">
        <v>33</v>
      </c>
      <c r="F486" s="1" t="s">
        <v>199</v>
      </c>
      <c r="G486" s="5">
        <v>107.91</v>
      </c>
    </row>
    <row r="487" spans="1:7" x14ac:dyDescent="0.2">
      <c r="A487" s="3">
        <v>324</v>
      </c>
      <c r="B487" s="2">
        <v>34962.839999999997</v>
      </c>
      <c r="C487" s="38">
        <v>44985</v>
      </c>
      <c r="D487" s="1" t="s">
        <v>55</v>
      </c>
      <c r="E487" s="1" t="s">
        <v>33</v>
      </c>
      <c r="F487" s="1" t="s">
        <v>199</v>
      </c>
      <c r="G487" s="5">
        <v>107.91</v>
      </c>
    </row>
    <row r="488" spans="1:7" x14ac:dyDescent="0.2">
      <c r="A488" s="3">
        <v>324</v>
      </c>
      <c r="B488" s="2">
        <v>34962.839999999997</v>
      </c>
      <c r="C488" s="38">
        <v>44985</v>
      </c>
      <c r="D488" s="1" t="s">
        <v>55</v>
      </c>
      <c r="E488" s="1" t="s">
        <v>33</v>
      </c>
      <c r="F488" s="1" t="s">
        <v>199</v>
      </c>
      <c r="G488" s="5">
        <v>107.91</v>
      </c>
    </row>
    <row r="489" spans="1:7" x14ac:dyDescent="0.2">
      <c r="A489" s="3">
        <v>108</v>
      </c>
      <c r="B489" s="2">
        <v>11654.28</v>
      </c>
      <c r="C489" s="38">
        <v>44985</v>
      </c>
      <c r="D489" s="1" t="s">
        <v>55</v>
      </c>
      <c r="E489" s="1" t="s">
        <v>33</v>
      </c>
      <c r="F489" s="1" t="s">
        <v>199</v>
      </c>
      <c r="G489" s="5">
        <v>107.91</v>
      </c>
    </row>
    <row r="490" spans="1:7" x14ac:dyDescent="0.2">
      <c r="A490" s="3">
        <v>1192</v>
      </c>
      <c r="B490" s="2">
        <v>112822.8</v>
      </c>
      <c r="C490" s="38">
        <v>44985</v>
      </c>
      <c r="D490" s="1" t="s">
        <v>71</v>
      </c>
      <c r="E490" s="1" t="s">
        <v>33</v>
      </c>
      <c r="F490" s="1" t="s">
        <v>199</v>
      </c>
      <c r="G490" s="5">
        <v>94.65</v>
      </c>
    </row>
    <row r="491" spans="1:7" x14ac:dyDescent="0.2">
      <c r="A491" s="3">
        <v>1008</v>
      </c>
      <c r="B491" s="2">
        <v>73402.559999999998</v>
      </c>
      <c r="C491" s="38">
        <v>45072</v>
      </c>
      <c r="D491" s="1" t="s">
        <v>116</v>
      </c>
      <c r="E491" s="1" t="s">
        <v>33</v>
      </c>
      <c r="F491" s="1" t="s">
        <v>199</v>
      </c>
      <c r="G491" s="5">
        <v>72.819999999999993</v>
      </c>
    </row>
    <row r="492" spans="1:7" x14ac:dyDescent="0.2">
      <c r="A492" s="3">
        <v>279</v>
      </c>
      <c r="B492" s="2">
        <v>24390.18</v>
      </c>
      <c r="C492" s="38">
        <v>45072</v>
      </c>
      <c r="D492" s="1" t="s">
        <v>139</v>
      </c>
      <c r="E492" s="1" t="s">
        <v>33</v>
      </c>
      <c r="F492" s="1" t="s">
        <v>199</v>
      </c>
      <c r="G492" s="5">
        <v>87.42</v>
      </c>
    </row>
    <row r="493" spans="1:7" x14ac:dyDescent="0.2">
      <c r="A493" s="3">
        <v>29</v>
      </c>
      <c r="B493" s="2">
        <v>2535.1799999999998</v>
      </c>
      <c r="C493" s="38">
        <v>45072</v>
      </c>
      <c r="D493" s="1" t="s">
        <v>139</v>
      </c>
      <c r="E493" s="1" t="s">
        <v>33</v>
      </c>
      <c r="F493" s="1" t="s">
        <v>199</v>
      </c>
      <c r="G493" s="5">
        <v>87.42</v>
      </c>
    </row>
    <row r="494" spans="1:7" x14ac:dyDescent="0.2">
      <c r="A494" s="3">
        <v>1820</v>
      </c>
      <c r="B494" s="2">
        <v>4568.2</v>
      </c>
      <c r="C494" s="38">
        <v>45072</v>
      </c>
      <c r="D494" s="1" t="s">
        <v>68</v>
      </c>
      <c r="E494" s="1" t="s">
        <v>33</v>
      </c>
      <c r="F494" s="1" t="s">
        <v>199</v>
      </c>
      <c r="G494" s="5">
        <v>2.5099999999999998</v>
      </c>
    </row>
    <row r="495" spans="1:7" x14ac:dyDescent="0.2">
      <c r="A495" s="3">
        <v>1820</v>
      </c>
      <c r="B495" s="2">
        <v>4568.2</v>
      </c>
      <c r="C495" s="38">
        <v>45072</v>
      </c>
      <c r="D495" s="1" t="s">
        <v>68</v>
      </c>
      <c r="E495" s="1" t="s">
        <v>33</v>
      </c>
      <c r="F495" s="1" t="s">
        <v>199</v>
      </c>
      <c r="G495" s="5">
        <v>2.5099999999999998</v>
      </c>
    </row>
    <row r="496" spans="1:7" x14ac:dyDescent="0.2">
      <c r="A496" s="3">
        <v>1820</v>
      </c>
      <c r="B496" s="2">
        <v>4568.2</v>
      </c>
      <c r="C496" s="38">
        <v>45072</v>
      </c>
      <c r="D496" s="1" t="s">
        <v>68</v>
      </c>
      <c r="E496" s="1" t="s">
        <v>33</v>
      </c>
      <c r="F496" s="1" t="s">
        <v>199</v>
      </c>
      <c r="G496" s="5">
        <v>2.5099999999999998</v>
      </c>
    </row>
    <row r="497" spans="1:7" x14ac:dyDescent="0.2">
      <c r="A497" s="3">
        <v>1820</v>
      </c>
      <c r="B497" s="2">
        <v>4568.2</v>
      </c>
      <c r="C497" s="38">
        <v>45072</v>
      </c>
      <c r="D497" s="1" t="s">
        <v>68</v>
      </c>
      <c r="E497" s="1" t="s">
        <v>33</v>
      </c>
      <c r="F497" s="1" t="s">
        <v>199</v>
      </c>
      <c r="G497" s="5">
        <v>2.5099999999999998</v>
      </c>
    </row>
    <row r="498" spans="1:7" x14ac:dyDescent="0.2">
      <c r="A498" s="3">
        <v>1820</v>
      </c>
      <c r="B498" s="2">
        <v>4568.2</v>
      </c>
      <c r="C498" s="38">
        <v>45072</v>
      </c>
      <c r="D498" s="1" t="s">
        <v>68</v>
      </c>
      <c r="E498" s="1" t="s">
        <v>33</v>
      </c>
      <c r="F498" s="1" t="s">
        <v>199</v>
      </c>
      <c r="G498" s="5">
        <v>2.5099999999999998</v>
      </c>
    </row>
    <row r="499" spans="1:7" x14ac:dyDescent="0.2">
      <c r="A499" s="3">
        <v>1820</v>
      </c>
      <c r="B499" s="2">
        <v>4568.2</v>
      </c>
      <c r="C499" s="38">
        <v>45072</v>
      </c>
      <c r="D499" s="1" t="s">
        <v>68</v>
      </c>
      <c r="E499" s="1" t="s">
        <v>33</v>
      </c>
      <c r="F499" s="1" t="s">
        <v>199</v>
      </c>
      <c r="G499" s="5">
        <v>2.5099999999999998</v>
      </c>
    </row>
    <row r="500" spans="1:7" x14ac:dyDescent="0.2">
      <c r="A500" s="3">
        <v>15</v>
      </c>
      <c r="B500" s="2">
        <v>6760.65</v>
      </c>
      <c r="C500" s="38">
        <v>45142</v>
      </c>
      <c r="D500" s="1" t="s">
        <v>58</v>
      </c>
      <c r="E500" s="1" t="s">
        <v>33</v>
      </c>
      <c r="F500" s="1" t="s">
        <v>199</v>
      </c>
      <c r="G500" s="5">
        <v>450.71</v>
      </c>
    </row>
    <row r="501" spans="1:7" x14ac:dyDescent="0.2">
      <c r="A501" s="3">
        <v>76</v>
      </c>
      <c r="B501" s="2">
        <v>34253.96</v>
      </c>
      <c r="C501" s="38">
        <v>45142</v>
      </c>
      <c r="D501" s="1" t="s">
        <v>58</v>
      </c>
      <c r="E501" s="1" t="s">
        <v>33</v>
      </c>
      <c r="F501" s="1" t="s">
        <v>199</v>
      </c>
      <c r="G501" s="5">
        <v>450.71</v>
      </c>
    </row>
    <row r="502" spans="1:7" x14ac:dyDescent="0.2">
      <c r="A502" s="3">
        <v>420</v>
      </c>
      <c r="B502" s="2">
        <v>318922.8</v>
      </c>
      <c r="C502" s="38">
        <v>45142</v>
      </c>
      <c r="D502" s="1" t="s">
        <v>83</v>
      </c>
      <c r="E502" s="1" t="s">
        <v>33</v>
      </c>
      <c r="F502" s="1" t="s">
        <v>199</v>
      </c>
      <c r="G502" s="5">
        <v>759.34</v>
      </c>
    </row>
    <row r="503" spans="1:7" x14ac:dyDescent="0.2">
      <c r="A503" s="3">
        <v>432</v>
      </c>
      <c r="B503" s="2">
        <v>46617.120000000003</v>
      </c>
      <c r="C503" s="38">
        <v>45154</v>
      </c>
      <c r="D503" s="1" t="s">
        <v>55</v>
      </c>
      <c r="E503" s="1" t="s">
        <v>33</v>
      </c>
      <c r="F503" s="1" t="s">
        <v>199</v>
      </c>
      <c r="G503" s="5">
        <v>107.91</v>
      </c>
    </row>
    <row r="504" spans="1:7" x14ac:dyDescent="0.2">
      <c r="A504" s="3">
        <v>324</v>
      </c>
      <c r="B504" s="2">
        <v>34962.839999999997</v>
      </c>
      <c r="C504" s="38">
        <v>45154</v>
      </c>
      <c r="D504" s="1" t="s">
        <v>55</v>
      </c>
      <c r="E504" s="1" t="s">
        <v>33</v>
      </c>
      <c r="F504" s="1" t="s">
        <v>199</v>
      </c>
      <c r="G504" s="5">
        <v>107.91</v>
      </c>
    </row>
    <row r="505" spans="1:7" x14ac:dyDescent="0.2">
      <c r="A505" s="3">
        <v>103</v>
      </c>
      <c r="B505" s="2">
        <v>46423.13</v>
      </c>
      <c r="C505" s="38">
        <v>45154</v>
      </c>
      <c r="D505" s="1" t="s">
        <v>58</v>
      </c>
      <c r="E505" s="1" t="s">
        <v>33</v>
      </c>
      <c r="F505" s="1" t="s">
        <v>199</v>
      </c>
      <c r="G505" s="5">
        <v>450.71</v>
      </c>
    </row>
    <row r="506" spans="1:7" x14ac:dyDescent="0.2">
      <c r="A506" s="3">
        <v>80</v>
      </c>
      <c r="B506" s="2">
        <v>36056.800000000003</v>
      </c>
      <c r="C506" s="38">
        <v>45154</v>
      </c>
      <c r="D506" s="1" t="s">
        <v>58</v>
      </c>
      <c r="E506" s="1" t="s">
        <v>33</v>
      </c>
      <c r="F506" s="1" t="s">
        <v>199</v>
      </c>
      <c r="G506" s="5">
        <v>450.71</v>
      </c>
    </row>
    <row r="507" spans="1:7" x14ac:dyDescent="0.2">
      <c r="A507" s="3">
        <v>432</v>
      </c>
      <c r="B507" s="2">
        <v>46617.120000000003</v>
      </c>
      <c r="C507" s="38">
        <v>45155</v>
      </c>
      <c r="D507" s="1" t="s">
        <v>55</v>
      </c>
      <c r="E507" s="1" t="s">
        <v>33</v>
      </c>
      <c r="F507" s="1" t="s">
        <v>199</v>
      </c>
      <c r="G507" s="5">
        <v>107.91</v>
      </c>
    </row>
    <row r="508" spans="1:7" x14ac:dyDescent="0.2">
      <c r="A508" s="3">
        <v>60</v>
      </c>
      <c r="B508" s="2">
        <v>45560.4</v>
      </c>
      <c r="C508" s="38">
        <v>45155</v>
      </c>
      <c r="D508" s="1" t="s">
        <v>83</v>
      </c>
      <c r="E508" s="1" t="s">
        <v>33</v>
      </c>
      <c r="F508" s="1" t="s">
        <v>199</v>
      </c>
      <c r="G508" s="5">
        <v>759.34</v>
      </c>
    </row>
    <row r="509" spans="1:7" x14ac:dyDescent="0.2">
      <c r="A509" s="3">
        <v>60</v>
      </c>
      <c r="B509" s="2">
        <v>45560.4</v>
      </c>
      <c r="C509" s="38">
        <v>45155</v>
      </c>
      <c r="D509" s="1" t="s">
        <v>83</v>
      </c>
      <c r="E509" s="1" t="s">
        <v>33</v>
      </c>
      <c r="F509" s="1" t="s">
        <v>199</v>
      </c>
      <c r="G509" s="5">
        <v>759.34</v>
      </c>
    </row>
    <row r="510" spans="1:7" x14ac:dyDescent="0.2">
      <c r="A510" s="3">
        <v>60</v>
      </c>
      <c r="B510" s="2">
        <v>45560.4</v>
      </c>
      <c r="C510" s="38">
        <v>45155</v>
      </c>
      <c r="D510" s="1" t="s">
        <v>83</v>
      </c>
      <c r="E510" s="1" t="s">
        <v>33</v>
      </c>
      <c r="F510" s="1" t="s">
        <v>199</v>
      </c>
      <c r="G510" s="5">
        <v>759.34</v>
      </c>
    </row>
    <row r="511" spans="1:7" x14ac:dyDescent="0.2">
      <c r="A511" s="3">
        <v>21</v>
      </c>
      <c r="B511" s="2">
        <v>3747.45</v>
      </c>
      <c r="C511" s="38">
        <v>45155</v>
      </c>
      <c r="D511" s="1" t="s">
        <v>118</v>
      </c>
      <c r="E511" s="1" t="s">
        <v>33</v>
      </c>
      <c r="F511" s="1" t="s">
        <v>199</v>
      </c>
      <c r="G511" s="5">
        <v>178.45</v>
      </c>
    </row>
    <row r="512" spans="1:7" x14ac:dyDescent="0.2">
      <c r="A512" s="3">
        <v>648</v>
      </c>
      <c r="B512" s="2">
        <v>69925.679999999993</v>
      </c>
      <c r="C512" s="38">
        <v>45121</v>
      </c>
      <c r="D512" s="1" t="s">
        <v>55</v>
      </c>
      <c r="E512" s="1" t="s">
        <v>33</v>
      </c>
      <c r="F512" s="1" t="s">
        <v>199</v>
      </c>
      <c r="G512" s="5">
        <v>107.91</v>
      </c>
    </row>
    <row r="513" spans="1:7" x14ac:dyDescent="0.2">
      <c r="A513" s="3">
        <v>420</v>
      </c>
      <c r="B513" s="2">
        <v>6610.8</v>
      </c>
      <c r="C513" s="38">
        <v>45121</v>
      </c>
      <c r="D513" s="1" t="s">
        <v>140</v>
      </c>
      <c r="E513" s="1" t="s">
        <v>33</v>
      </c>
      <c r="F513" s="1" t="s">
        <v>199</v>
      </c>
      <c r="G513" s="5">
        <v>15.74</v>
      </c>
    </row>
    <row r="514" spans="1:7" x14ac:dyDescent="0.2">
      <c r="A514" s="3">
        <v>1820</v>
      </c>
      <c r="B514" s="2">
        <v>4568.2</v>
      </c>
      <c r="C514" s="38">
        <v>45121</v>
      </c>
      <c r="D514" s="1" t="s">
        <v>68</v>
      </c>
      <c r="E514" s="1" t="s">
        <v>33</v>
      </c>
      <c r="F514" s="1" t="s">
        <v>199</v>
      </c>
      <c r="G514" s="5">
        <v>2.5099999999999998</v>
      </c>
    </row>
    <row r="515" spans="1:7" x14ac:dyDescent="0.2">
      <c r="A515" s="3">
        <v>1820</v>
      </c>
      <c r="B515" s="2">
        <v>4568.2</v>
      </c>
      <c r="C515" s="38">
        <v>45121</v>
      </c>
      <c r="D515" s="1" t="s">
        <v>68</v>
      </c>
      <c r="E515" s="1" t="s">
        <v>33</v>
      </c>
      <c r="F515" s="1" t="s">
        <v>199</v>
      </c>
      <c r="G515" s="5">
        <v>2.5099999999999998</v>
      </c>
    </row>
    <row r="516" spans="1:7" x14ac:dyDescent="0.2">
      <c r="A516" s="3">
        <v>1820</v>
      </c>
      <c r="B516" s="2">
        <v>4568.2</v>
      </c>
      <c r="C516" s="38">
        <v>45121</v>
      </c>
      <c r="D516" s="1" t="s">
        <v>68</v>
      </c>
      <c r="E516" s="1" t="s">
        <v>33</v>
      </c>
      <c r="F516" s="1" t="s">
        <v>199</v>
      </c>
      <c r="G516" s="5">
        <v>2.5099999999999998</v>
      </c>
    </row>
    <row r="517" spans="1:7" x14ac:dyDescent="0.2">
      <c r="A517" s="3">
        <v>1820</v>
      </c>
      <c r="B517" s="2">
        <v>4568.2</v>
      </c>
      <c r="C517" s="38">
        <v>45121</v>
      </c>
      <c r="D517" s="1" t="s">
        <v>68</v>
      </c>
      <c r="E517" s="1" t="s">
        <v>33</v>
      </c>
      <c r="F517" s="1" t="s">
        <v>199</v>
      </c>
      <c r="G517" s="5">
        <v>2.5099999999999998</v>
      </c>
    </row>
    <row r="518" spans="1:7" x14ac:dyDescent="0.2">
      <c r="A518" s="3">
        <v>1820</v>
      </c>
      <c r="B518" s="2">
        <v>4568.2</v>
      </c>
      <c r="C518" s="38">
        <v>45121</v>
      </c>
      <c r="D518" s="1" t="s">
        <v>68</v>
      </c>
      <c r="E518" s="1" t="s">
        <v>33</v>
      </c>
      <c r="F518" s="1" t="s">
        <v>199</v>
      </c>
      <c r="G518" s="5">
        <v>2.5099999999999998</v>
      </c>
    </row>
    <row r="519" spans="1:7" x14ac:dyDescent="0.2">
      <c r="A519" s="3">
        <v>1820</v>
      </c>
      <c r="B519" s="2">
        <v>4568.2</v>
      </c>
      <c r="C519" s="38">
        <v>45121</v>
      </c>
      <c r="D519" s="1" t="s">
        <v>68</v>
      </c>
      <c r="E519" s="1" t="s">
        <v>33</v>
      </c>
      <c r="F519" s="1" t="s">
        <v>199</v>
      </c>
      <c r="G519" s="5">
        <v>2.5099999999999998</v>
      </c>
    </row>
    <row r="520" spans="1:7" x14ac:dyDescent="0.2">
      <c r="A520" s="3">
        <v>3528</v>
      </c>
      <c r="B520" s="2">
        <v>333925.2</v>
      </c>
      <c r="C520" s="38">
        <v>45121</v>
      </c>
      <c r="D520" s="1" t="s">
        <v>71</v>
      </c>
      <c r="E520" s="1" t="s">
        <v>33</v>
      </c>
      <c r="F520" s="1" t="s">
        <v>199</v>
      </c>
      <c r="G520" s="5">
        <v>94.65</v>
      </c>
    </row>
    <row r="521" spans="1:7" x14ac:dyDescent="0.2">
      <c r="A521" s="3">
        <v>350</v>
      </c>
      <c r="B521" s="2">
        <v>150101</v>
      </c>
      <c r="C521" s="38">
        <v>45121</v>
      </c>
      <c r="D521" s="1" t="s">
        <v>73</v>
      </c>
      <c r="E521" s="1" t="s">
        <v>33</v>
      </c>
      <c r="F521" s="1" t="s">
        <v>199</v>
      </c>
      <c r="G521" s="5">
        <v>428.86</v>
      </c>
    </row>
    <row r="522" spans="1:7" x14ac:dyDescent="0.2">
      <c r="A522" s="3">
        <v>252</v>
      </c>
      <c r="B522" s="2">
        <v>21606.48</v>
      </c>
      <c r="C522" s="38">
        <v>45132</v>
      </c>
      <c r="D522" s="1" t="s">
        <v>61</v>
      </c>
      <c r="E522" s="1" t="s">
        <v>33</v>
      </c>
      <c r="F522" s="1" t="s">
        <v>199</v>
      </c>
      <c r="G522" s="5">
        <v>85.74</v>
      </c>
    </row>
    <row r="523" spans="1:7" x14ac:dyDescent="0.2">
      <c r="A523" s="3">
        <v>756</v>
      </c>
      <c r="B523" s="2">
        <v>64819.44</v>
      </c>
      <c r="C523" s="38">
        <v>45132</v>
      </c>
      <c r="D523" s="1" t="s">
        <v>61</v>
      </c>
      <c r="E523" s="1" t="s">
        <v>33</v>
      </c>
      <c r="F523" s="1" t="s">
        <v>199</v>
      </c>
      <c r="G523" s="5">
        <v>85.74</v>
      </c>
    </row>
    <row r="524" spans="1:7" x14ac:dyDescent="0.2">
      <c r="A524" s="3">
        <v>630</v>
      </c>
      <c r="B524" s="2">
        <v>276538.5</v>
      </c>
      <c r="C524" s="38">
        <v>45132</v>
      </c>
      <c r="D524" s="1" t="s">
        <v>66</v>
      </c>
      <c r="E524" s="1" t="s">
        <v>33</v>
      </c>
      <c r="F524" s="1" t="s">
        <v>199</v>
      </c>
      <c r="G524" s="5">
        <v>438.95</v>
      </c>
    </row>
    <row r="525" spans="1:7" x14ac:dyDescent="0.2">
      <c r="A525" s="3">
        <v>90</v>
      </c>
      <c r="B525" s="2">
        <v>39505.5</v>
      </c>
      <c r="C525" s="38">
        <v>45132</v>
      </c>
      <c r="D525" s="1" t="s">
        <v>66</v>
      </c>
      <c r="E525" s="1" t="s">
        <v>33</v>
      </c>
      <c r="F525" s="1" t="s">
        <v>199</v>
      </c>
      <c r="G525" s="5">
        <v>438.95</v>
      </c>
    </row>
    <row r="526" spans="1:7" x14ac:dyDescent="0.2">
      <c r="A526" s="3">
        <v>279</v>
      </c>
      <c r="B526" s="2">
        <v>24390.18</v>
      </c>
      <c r="C526" s="38">
        <v>45169</v>
      </c>
      <c r="D526" s="1" t="s">
        <v>139</v>
      </c>
      <c r="E526" s="1" t="s">
        <v>33</v>
      </c>
      <c r="F526" s="1" t="s">
        <v>199</v>
      </c>
      <c r="G526" s="5">
        <v>87.42</v>
      </c>
    </row>
    <row r="527" spans="1:7" x14ac:dyDescent="0.2">
      <c r="A527" s="3">
        <v>29</v>
      </c>
      <c r="B527" s="2">
        <v>2535.1799999999998</v>
      </c>
      <c r="C527" s="38">
        <v>45169</v>
      </c>
      <c r="D527" s="1" t="s">
        <v>139</v>
      </c>
      <c r="E527" s="1" t="s">
        <v>33</v>
      </c>
      <c r="F527" s="1" t="s">
        <v>199</v>
      </c>
      <c r="G527" s="5">
        <v>87.42</v>
      </c>
    </row>
    <row r="528" spans="1:7" x14ac:dyDescent="0.2">
      <c r="A528" s="3">
        <v>60</v>
      </c>
      <c r="B528" s="2">
        <v>45560.4</v>
      </c>
      <c r="C528" s="38">
        <v>45169</v>
      </c>
      <c r="D528" s="1" t="s">
        <v>83</v>
      </c>
      <c r="E528" s="1" t="s">
        <v>33</v>
      </c>
      <c r="F528" s="1" t="s">
        <v>199</v>
      </c>
      <c r="G528" s="5">
        <v>759.34</v>
      </c>
    </row>
    <row r="529" spans="1:7" x14ac:dyDescent="0.2">
      <c r="A529" s="3">
        <v>60</v>
      </c>
      <c r="B529" s="2">
        <v>45560.4</v>
      </c>
      <c r="C529" s="38">
        <v>45169</v>
      </c>
      <c r="D529" s="1" t="s">
        <v>83</v>
      </c>
      <c r="E529" s="1" t="s">
        <v>33</v>
      </c>
      <c r="F529" s="1" t="s">
        <v>199</v>
      </c>
      <c r="G529" s="5">
        <v>759.34</v>
      </c>
    </row>
    <row r="530" spans="1:7" x14ac:dyDescent="0.2">
      <c r="A530" s="3">
        <v>90</v>
      </c>
      <c r="B530" s="2">
        <v>39505.5</v>
      </c>
      <c r="C530" s="38">
        <v>45132</v>
      </c>
      <c r="D530" s="1" t="s">
        <v>66</v>
      </c>
      <c r="E530" s="1" t="s">
        <v>33</v>
      </c>
      <c r="F530" s="1" t="s">
        <v>199</v>
      </c>
      <c r="G530" s="5">
        <v>438.95</v>
      </c>
    </row>
    <row r="531" spans="1:7" x14ac:dyDescent="0.2">
      <c r="A531" s="3">
        <v>1820</v>
      </c>
      <c r="B531" s="2">
        <v>4568.2</v>
      </c>
      <c r="C531" s="38">
        <v>45132</v>
      </c>
      <c r="D531" s="1" t="s">
        <v>68</v>
      </c>
      <c r="E531" s="1" t="s">
        <v>33</v>
      </c>
      <c r="F531" s="1" t="s">
        <v>199</v>
      </c>
      <c r="G531" s="5">
        <v>2.5099999999999998</v>
      </c>
    </row>
    <row r="532" spans="1:7" x14ac:dyDescent="0.2">
      <c r="A532" s="3">
        <v>1820</v>
      </c>
      <c r="B532" s="2">
        <v>4568.2</v>
      </c>
      <c r="C532" s="38">
        <v>45132</v>
      </c>
      <c r="D532" s="1" t="s">
        <v>68</v>
      </c>
      <c r="E532" s="1" t="s">
        <v>33</v>
      </c>
      <c r="F532" s="1" t="s">
        <v>199</v>
      </c>
      <c r="G532" s="5">
        <v>2.5099999999999998</v>
      </c>
    </row>
    <row r="533" spans="1:7" x14ac:dyDescent="0.2">
      <c r="A533" s="3">
        <v>1820</v>
      </c>
      <c r="B533" s="2">
        <v>4568.2</v>
      </c>
      <c r="C533" s="38">
        <v>45132</v>
      </c>
      <c r="D533" s="1" t="s">
        <v>68</v>
      </c>
      <c r="E533" s="1" t="s">
        <v>33</v>
      </c>
      <c r="F533" s="1" t="s">
        <v>199</v>
      </c>
      <c r="G533" s="5">
        <v>2.5099999999999998</v>
      </c>
    </row>
    <row r="534" spans="1:7" x14ac:dyDescent="0.2">
      <c r="A534" s="3">
        <v>1820</v>
      </c>
      <c r="B534" s="2">
        <v>4568.2</v>
      </c>
      <c r="C534" s="38">
        <v>45132</v>
      </c>
      <c r="D534" s="1" t="s">
        <v>68</v>
      </c>
      <c r="E534" s="1" t="s">
        <v>33</v>
      </c>
      <c r="F534" s="1" t="s">
        <v>199</v>
      </c>
      <c r="G534" s="5">
        <v>2.5099999999999998</v>
      </c>
    </row>
    <row r="535" spans="1:7" x14ac:dyDescent="0.2">
      <c r="A535" s="3">
        <v>1820</v>
      </c>
      <c r="B535" s="2">
        <v>4568.2</v>
      </c>
      <c r="C535" s="38">
        <v>45132</v>
      </c>
      <c r="D535" s="1" t="s">
        <v>68</v>
      </c>
      <c r="E535" s="1" t="s">
        <v>33</v>
      </c>
      <c r="F535" s="1" t="s">
        <v>199</v>
      </c>
      <c r="G535" s="5">
        <v>2.5099999999999998</v>
      </c>
    </row>
    <row r="536" spans="1:7" x14ac:dyDescent="0.2">
      <c r="A536" s="3">
        <v>60</v>
      </c>
      <c r="B536" s="2">
        <v>45560.4</v>
      </c>
      <c r="C536" s="38">
        <v>45169</v>
      </c>
      <c r="D536" s="1" t="s">
        <v>83</v>
      </c>
      <c r="E536" s="1" t="s">
        <v>33</v>
      </c>
      <c r="F536" s="1" t="s">
        <v>199</v>
      </c>
      <c r="G536" s="5">
        <v>759.34</v>
      </c>
    </row>
    <row r="537" spans="1:7" x14ac:dyDescent="0.2">
      <c r="A537" s="3">
        <v>60</v>
      </c>
      <c r="B537" s="2">
        <v>45560.4</v>
      </c>
      <c r="C537" s="38">
        <v>45169</v>
      </c>
      <c r="D537" s="1" t="s">
        <v>83</v>
      </c>
      <c r="E537" s="1" t="s">
        <v>33</v>
      </c>
      <c r="F537" s="1" t="s">
        <v>199</v>
      </c>
      <c r="G537" s="5">
        <v>759.34</v>
      </c>
    </row>
    <row r="538" spans="1:7" x14ac:dyDescent="0.2">
      <c r="A538" s="3">
        <v>420</v>
      </c>
      <c r="B538" s="2">
        <v>318922.8</v>
      </c>
      <c r="C538" s="38">
        <v>45132</v>
      </c>
      <c r="D538" s="1" t="s">
        <v>83</v>
      </c>
      <c r="E538" s="1" t="s">
        <v>33</v>
      </c>
      <c r="F538" s="1" t="s">
        <v>199</v>
      </c>
      <c r="G538" s="5">
        <v>759.34</v>
      </c>
    </row>
    <row r="539" spans="1:7" x14ac:dyDescent="0.2">
      <c r="A539" s="3">
        <v>200</v>
      </c>
      <c r="B539" s="2">
        <v>85040</v>
      </c>
      <c r="C539" s="38">
        <v>44932</v>
      </c>
      <c r="D539" s="1" t="s">
        <v>58</v>
      </c>
      <c r="E539" s="1" t="s">
        <v>33</v>
      </c>
      <c r="F539" s="1" t="s">
        <v>199</v>
      </c>
      <c r="G539" s="5">
        <v>425.2</v>
      </c>
    </row>
    <row r="540" spans="1:7" x14ac:dyDescent="0.2">
      <c r="A540" s="3">
        <v>46</v>
      </c>
      <c r="B540" s="2">
        <v>19559.2</v>
      </c>
      <c r="C540" s="38">
        <v>44932</v>
      </c>
      <c r="D540" s="1" t="s">
        <v>58</v>
      </c>
      <c r="E540" s="1" t="s">
        <v>33</v>
      </c>
      <c r="F540" s="1" t="s">
        <v>199</v>
      </c>
      <c r="G540" s="5">
        <v>425.2</v>
      </c>
    </row>
    <row r="541" spans="1:7" x14ac:dyDescent="0.2">
      <c r="A541" s="3">
        <v>216</v>
      </c>
      <c r="B541" s="2">
        <v>24669.360000000001</v>
      </c>
      <c r="C541" s="38">
        <v>44940</v>
      </c>
      <c r="D541" s="1" t="s">
        <v>55</v>
      </c>
      <c r="E541" s="1" t="s">
        <v>33</v>
      </c>
      <c r="F541" s="1" t="s">
        <v>199</v>
      </c>
      <c r="G541" s="5">
        <v>114.21</v>
      </c>
    </row>
    <row r="542" spans="1:7" x14ac:dyDescent="0.2">
      <c r="A542" s="3">
        <v>108</v>
      </c>
      <c r="B542" s="2">
        <v>12334.68</v>
      </c>
      <c r="C542" s="38">
        <v>44940</v>
      </c>
      <c r="D542" s="1" t="s">
        <v>55</v>
      </c>
      <c r="E542" s="1" t="s">
        <v>33</v>
      </c>
      <c r="F542" s="1" t="s">
        <v>199</v>
      </c>
      <c r="G542" s="5">
        <v>114.21</v>
      </c>
    </row>
    <row r="543" spans="1:7" x14ac:dyDescent="0.2">
      <c r="A543" s="3">
        <v>240</v>
      </c>
      <c r="B543" s="2">
        <v>102048</v>
      </c>
      <c r="C543" s="38">
        <v>44940</v>
      </c>
      <c r="D543" s="1" t="s">
        <v>58</v>
      </c>
      <c r="E543" s="1" t="s">
        <v>33</v>
      </c>
      <c r="F543" s="1" t="s">
        <v>199</v>
      </c>
      <c r="G543" s="5">
        <v>425.2</v>
      </c>
    </row>
    <row r="544" spans="1:7" x14ac:dyDescent="0.2">
      <c r="A544" s="3">
        <v>40</v>
      </c>
      <c r="B544" s="2">
        <v>17008</v>
      </c>
      <c r="C544" s="38">
        <v>44940</v>
      </c>
      <c r="D544" s="1" t="s">
        <v>58</v>
      </c>
      <c r="E544" s="1" t="s">
        <v>33</v>
      </c>
      <c r="F544" s="1" t="s">
        <v>199</v>
      </c>
      <c r="G544" s="5">
        <v>425.2</v>
      </c>
    </row>
    <row r="545" spans="1:7" x14ac:dyDescent="0.2">
      <c r="A545" s="3">
        <v>1000</v>
      </c>
      <c r="B545" s="2">
        <v>1830</v>
      </c>
      <c r="C545" s="38">
        <v>44651</v>
      </c>
      <c r="D545" s="1" t="s">
        <v>56</v>
      </c>
      <c r="E545" s="1" t="s">
        <v>33</v>
      </c>
      <c r="F545" s="1" t="s">
        <v>199</v>
      </c>
      <c r="G545" s="5">
        <v>1.83</v>
      </c>
    </row>
    <row r="546" spans="1:7" x14ac:dyDescent="0.2">
      <c r="A546" s="3">
        <v>2000</v>
      </c>
      <c r="B546" s="2">
        <v>3660</v>
      </c>
      <c r="C546" s="38">
        <v>44651</v>
      </c>
      <c r="D546" s="1" t="s">
        <v>56</v>
      </c>
      <c r="E546" s="1" t="s">
        <v>33</v>
      </c>
      <c r="F546" s="1" t="s">
        <v>199</v>
      </c>
      <c r="G546" s="5">
        <v>1.83</v>
      </c>
    </row>
    <row r="547" spans="1:7" x14ac:dyDescent="0.2">
      <c r="A547" s="3">
        <v>432</v>
      </c>
      <c r="B547" s="2">
        <v>46781.279999999999</v>
      </c>
      <c r="C547" s="38">
        <v>44721</v>
      </c>
      <c r="D547" s="1" t="s">
        <v>55</v>
      </c>
      <c r="E547" s="1" t="s">
        <v>33</v>
      </c>
      <c r="F547" s="1" t="s">
        <v>199</v>
      </c>
      <c r="G547" s="5">
        <v>108.29</v>
      </c>
    </row>
    <row r="548" spans="1:7" x14ac:dyDescent="0.2">
      <c r="A548" s="3">
        <v>324</v>
      </c>
      <c r="B548" s="2">
        <v>35085.96</v>
      </c>
      <c r="C548" s="38">
        <v>44721</v>
      </c>
      <c r="D548" s="1" t="s">
        <v>55</v>
      </c>
      <c r="E548" s="1" t="s">
        <v>33</v>
      </c>
      <c r="F548" s="1" t="s">
        <v>199</v>
      </c>
      <c r="G548" s="5">
        <v>108.29</v>
      </c>
    </row>
    <row r="549" spans="1:7" x14ac:dyDescent="0.2">
      <c r="A549" s="3">
        <v>2000</v>
      </c>
      <c r="B549" s="2">
        <v>3660</v>
      </c>
      <c r="C549" s="38">
        <v>44656</v>
      </c>
      <c r="D549" s="1" t="s">
        <v>56</v>
      </c>
      <c r="E549" s="1" t="s">
        <v>33</v>
      </c>
      <c r="F549" s="1" t="s">
        <v>199</v>
      </c>
      <c r="G549" s="5">
        <v>1.83</v>
      </c>
    </row>
    <row r="550" spans="1:7" x14ac:dyDescent="0.2">
      <c r="A550" s="3">
        <v>420</v>
      </c>
      <c r="B550" s="2">
        <v>320073.59999999998</v>
      </c>
      <c r="C550" s="38">
        <v>44721</v>
      </c>
      <c r="D550" s="1" t="s">
        <v>83</v>
      </c>
      <c r="E550" s="1" t="s">
        <v>33</v>
      </c>
      <c r="F550" s="1" t="s">
        <v>199</v>
      </c>
      <c r="G550" s="5">
        <v>762.08</v>
      </c>
    </row>
    <row r="551" spans="1:7" x14ac:dyDescent="0.2">
      <c r="A551" s="3">
        <v>420</v>
      </c>
      <c r="B551" s="2">
        <v>320073.59999999998</v>
      </c>
      <c r="C551" s="38">
        <v>44721</v>
      </c>
      <c r="D551" s="1" t="s">
        <v>83</v>
      </c>
      <c r="E551" s="1" t="s">
        <v>33</v>
      </c>
      <c r="F551" s="1" t="s">
        <v>199</v>
      </c>
      <c r="G551" s="5">
        <v>762.08</v>
      </c>
    </row>
    <row r="552" spans="1:7" x14ac:dyDescent="0.2">
      <c r="A552" s="3">
        <v>432</v>
      </c>
      <c r="B552" s="2">
        <v>46781.279999999999</v>
      </c>
      <c r="C552" s="38">
        <v>44690</v>
      </c>
      <c r="D552" s="1" t="s">
        <v>55</v>
      </c>
      <c r="E552" s="1" t="s">
        <v>33</v>
      </c>
      <c r="F552" s="1" t="s">
        <v>199</v>
      </c>
      <c r="G552" s="5">
        <v>108.29</v>
      </c>
    </row>
    <row r="553" spans="1:7" x14ac:dyDescent="0.2">
      <c r="A553" s="3">
        <v>540</v>
      </c>
      <c r="B553" s="2">
        <v>58476.6</v>
      </c>
      <c r="C553" s="38">
        <v>44690</v>
      </c>
      <c r="D553" s="1" t="s">
        <v>55</v>
      </c>
      <c r="E553" s="1" t="s">
        <v>33</v>
      </c>
      <c r="F553" s="1" t="s">
        <v>199</v>
      </c>
      <c r="G553" s="5">
        <v>108.29</v>
      </c>
    </row>
    <row r="554" spans="1:7" x14ac:dyDescent="0.2">
      <c r="A554" s="3">
        <v>540</v>
      </c>
      <c r="B554" s="2">
        <v>58476.6</v>
      </c>
      <c r="C554" s="38">
        <v>44690</v>
      </c>
      <c r="D554" s="1" t="s">
        <v>55</v>
      </c>
      <c r="E554" s="1" t="s">
        <v>33</v>
      </c>
      <c r="F554" s="1" t="s">
        <v>199</v>
      </c>
      <c r="G554" s="5">
        <v>108.29</v>
      </c>
    </row>
    <row r="555" spans="1:7" x14ac:dyDescent="0.2">
      <c r="A555" s="3">
        <v>1820</v>
      </c>
      <c r="B555" s="2">
        <v>1342.43</v>
      </c>
      <c r="C555" s="38">
        <v>44690</v>
      </c>
      <c r="D555" s="1" t="s">
        <v>161</v>
      </c>
      <c r="E555" s="1" t="s">
        <v>33</v>
      </c>
      <c r="F555" s="1" t="s">
        <v>199</v>
      </c>
      <c r="G555" s="5">
        <v>0.73760000000000003</v>
      </c>
    </row>
    <row r="556" spans="1:7" x14ac:dyDescent="0.2">
      <c r="A556" s="3">
        <v>4382</v>
      </c>
      <c r="B556" s="2">
        <v>407394.54</v>
      </c>
      <c r="C556" s="38">
        <v>44690</v>
      </c>
      <c r="D556" s="1" t="s">
        <v>84</v>
      </c>
      <c r="E556" s="1" t="s">
        <v>33</v>
      </c>
      <c r="F556" s="1" t="s">
        <v>199</v>
      </c>
      <c r="G556" s="5">
        <v>92.97</v>
      </c>
    </row>
    <row r="557" spans="1:7" x14ac:dyDescent="0.2">
      <c r="A557" s="3">
        <v>1160</v>
      </c>
      <c r="B557" s="2">
        <v>104098.4</v>
      </c>
      <c r="C557" s="38">
        <v>44740</v>
      </c>
      <c r="D557" s="1" t="s">
        <v>71</v>
      </c>
      <c r="E557" s="1" t="s">
        <v>33</v>
      </c>
      <c r="F557" s="1" t="s">
        <v>199</v>
      </c>
      <c r="G557" s="5">
        <v>89.74</v>
      </c>
    </row>
    <row r="558" spans="1:7" x14ac:dyDescent="0.2">
      <c r="A558" s="3">
        <v>1000</v>
      </c>
      <c r="B558" s="2">
        <v>1830</v>
      </c>
      <c r="C558" s="38">
        <v>44593</v>
      </c>
      <c r="D558" s="1" t="s">
        <v>56</v>
      </c>
      <c r="E558" s="1" t="s">
        <v>33</v>
      </c>
      <c r="F558" s="1" t="s">
        <v>199</v>
      </c>
      <c r="G558" s="5">
        <v>1.83</v>
      </c>
    </row>
    <row r="559" spans="1:7" x14ac:dyDescent="0.2">
      <c r="A559" s="3">
        <v>324</v>
      </c>
      <c r="B559" s="2">
        <v>35085.96</v>
      </c>
      <c r="C559" s="38">
        <v>44692</v>
      </c>
      <c r="D559" s="1" t="s">
        <v>55</v>
      </c>
      <c r="E559" s="1" t="s">
        <v>33</v>
      </c>
      <c r="F559" s="1" t="s">
        <v>199</v>
      </c>
      <c r="G559" s="5">
        <v>108.29</v>
      </c>
    </row>
    <row r="560" spans="1:7" x14ac:dyDescent="0.2">
      <c r="A560" s="3">
        <v>1820</v>
      </c>
      <c r="B560" s="2">
        <v>1342.43</v>
      </c>
      <c r="C560" s="38">
        <v>44564</v>
      </c>
      <c r="D560" s="1" t="s">
        <v>161</v>
      </c>
      <c r="E560" s="1" t="s">
        <v>33</v>
      </c>
      <c r="F560" s="1" t="s">
        <v>199</v>
      </c>
      <c r="G560" s="5">
        <v>0.73760000000000003</v>
      </c>
    </row>
    <row r="561" spans="1:7" x14ac:dyDescent="0.2">
      <c r="A561" s="3">
        <v>432</v>
      </c>
      <c r="B561" s="2">
        <v>46785.599999999999</v>
      </c>
      <c r="C561" s="38">
        <v>44929</v>
      </c>
      <c r="D561" s="1" t="s">
        <v>55</v>
      </c>
      <c r="E561" s="1" t="s">
        <v>33</v>
      </c>
      <c r="F561" s="1" t="s">
        <v>199</v>
      </c>
      <c r="G561" s="5">
        <v>108.3</v>
      </c>
    </row>
    <row r="562" spans="1:7" x14ac:dyDescent="0.2">
      <c r="A562" s="3">
        <v>324</v>
      </c>
      <c r="B562" s="2">
        <v>35089.199999999997</v>
      </c>
      <c r="C562" s="38">
        <v>44929</v>
      </c>
      <c r="D562" s="1" t="s">
        <v>55</v>
      </c>
      <c r="E562" s="1" t="s">
        <v>33</v>
      </c>
      <c r="F562" s="1" t="s">
        <v>199</v>
      </c>
      <c r="G562" s="5">
        <v>108.3</v>
      </c>
    </row>
    <row r="563" spans="1:7" x14ac:dyDescent="0.2">
      <c r="A563" s="3">
        <v>324</v>
      </c>
      <c r="B563" s="2">
        <v>35089.199999999997</v>
      </c>
      <c r="C563" s="38">
        <v>44929</v>
      </c>
      <c r="D563" s="1" t="s">
        <v>55</v>
      </c>
      <c r="E563" s="1" t="s">
        <v>33</v>
      </c>
      <c r="F563" s="1" t="s">
        <v>199</v>
      </c>
      <c r="G563" s="5">
        <v>108.3</v>
      </c>
    </row>
    <row r="564" spans="1:7" x14ac:dyDescent="0.2">
      <c r="A564" s="3">
        <v>216</v>
      </c>
      <c r="B564" s="2">
        <v>23392.799999999999</v>
      </c>
      <c r="C564" s="38">
        <v>44929</v>
      </c>
      <c r="D564" s="1" t="s">
        <v>55</v>
      </c>
      <c r="E564" s="1" t="s">
        <v>33</v>
      </c>
      <c r="F564" s="1" t="s">
        <v>199</v>
      </c>
      <c r="G564" s="5">
        <v>108.3</v>
      </c>
    </row>
    <row r="565" spans="1:7" x14ac:dyDescent="0.2">
      <c r="A565" s="3">
        <v>432</v>
      </c>
      <c r="B565" s="2">
        <v>46785.599999999999</v>
      </c>
      <c r="C565" s="38">
        <v>44929</v>
      </c>
      <c r="D565" s="1" t="s">
        <v>55</v>
      </c>
      <c r="E565" s="1" t="s">
        <v>33</v>
      </c>
      <c r="F565" s="1" t="s">
        <v>199</v>
      </c>
      <c r="G565" s="5">
        <v>108.3</v>
      </c>
    </row>
    <row r="566" spans="1:7" x14ac:dyDescent="0.2">
      <c r="A566" s="3">
        <v>324</v>
      </c>
      <c r="B566" s="2">
        <v>35089.199999999997</v>
      </c>
      <c r="C566" s="38">
        <v>44929</v>
      </c>
      <c r="D566" s="1" t="s">
        <v>55</v>
      </c>
      <c r="E566" s="1" t="s">
        <v>33</v>
      </c>
      <c r="F566" s="1" t="s">
        <v>199</v>
      </c>
      <c r="G566" s="5">
        <v>108.3</v>
      </c>
    </row>
    <row r="567" spans="1:7" x14ac:dyDescent="0.2">
      <c r="A567" s="3">
        <v>216</v>
      </c>
      <c r="B567" s="2">
        <v>23392.799999999999</v>
      </c>
      <c r="C567" s="38">
        <v>44929</v>
      </c>
      <c r="D567" s="1" t="s">
        <v>55</v>
      </c>
      <c r="E567" s="1" t="s">
        <v>33</v>
      </c>
      <c r="F567" s="1" t="s">
        <v>199</v>
      </c>
      <c r="G567" s="5">
        <v>108.3</v>
      </c>
    </row>
    <row r="568" spans="1:7" x14ac:dyDescent="0.2">
      <c r="A568" s="3">
        <v>1000</v>
      </c>
      <c r="B568" s="2">
        <v>1830</v>
      </c>
      <c r="C568" s="38">
        <v>44929</v>
      </c>
      <c r="D568" s="1" t="s">
        <v>56</v>
      </c>
      <c r="E568" s="1" t="s">
        <v>33</v>
      </c>
      <c r="F568" s="1" t="s">
        <v>199</v>
      </c>
      <c r="G568" s="5">
        <v>1.83</v>
      </c>
    </row>
    <row r="569" spans="1:7" x14ac:dyDescent="0.2">
      <c r="A569" s="3">
        <v>2000</v>
      </c>
      <c r="B569" s="2">
        <v>3880</v>
      </c>
      <c r="C569" s="38">
        <v>44929</v>
      </c>
      <c r="D569" s="1" t="s">
        <v>56</v>
      </c>
      <c r="E569" s="1" t="s">
        <v>33</v>
      </c>
      <c r="F569" s="1" t="s">
        <v>199</v>
      </c>
      <c r="G569" s="5">
        <v>1.94</v>
      </c>
    </row>
    <row r="570" spans="1:7" x14ac:dyDescent="0.2">
      <c r="A570" s="3">
        <v>240</v>
      </c>
      <c r="B570" s="2">
        <v>102048</v>
      </c>
      <c r="C570" s="38">
        <v>44929</v>
      </c>
      <c r="D570" s="1" t="s">
        <v>58</v>
      </c>
      <c r="E570" s="1" t="s">
        <v>33</v>
      </c>
      <c r="F570" s="1" t="s">
        <v>199</v>
      </c>
      <c r="G570" s="5">
        <v>425.2</v>
      </c>
    </row>
    <row r="571" spans="1:7" x14ac:dyDescent="0.2">
      <c r="A571" s="3">
        <v>240</v>
      </c>
      <c r="B571" s="2">
        <v>102048</v>
      </c>
      <c r="C571" s="38">
        <v>44929</v>
      </c>
      <c r="D571" s="1" t="s">
        <v>58</v>
      </c>
      <c r="E571" s="1" t="s">
        <v>33</v>
      </c>
      <c r="F571" s="1" t="s">
        <v>199</v>
      </c>
      <c r="G571" s="5">
        <v>425.2</v>
      </c>
    </row>
    <row r="572" spans="1:7" x14ac:dyDescent="0.2">
      <c r="A572" s="3">
        <v>648</v>
      </c>
      <c r="B572" s="2">
        <v>70171.92</v>
      </c>
      <c r="C572" s="38">
        <v>44699</v>
      </c>
      <c r="D572" s="1" t="s">
        <v>55</v>
      </c>
      <c r="E572" s="1" t="s">
        <v>33</v>
      </c>
      <c r="F572" s="1" t="s">
        <v>199</v>
      </c>
      <c r="G572" s="5">
        <v>108.29</v>
      </c>
    </row>
    <row r="573" spans="1:7" x14ac:dyDescent="0.2">
      <c r="A573" s="3">
        <v>324</v>
      </c>
      <c r="B573" s="2">
        <v>35085.96</v>
      </c>
      <c r="C573" s="38">
        <v>44699</v>
      </c>
      <c r="D573" s="1" t="s">
        <v>55</v>
      </c>
      <c r="E573" s="1" t="s">
        <v>33</v>
      </c>
      <c r="F573" s="1" t="s">
        <v>199</v>
      </c>
      <c r="G573" s="5">
        <v>108.29</v>
      </c>
    </row>
    <row r="574" spans="1:7" x14ac:dyDescent="0.2">
      <c r="A574" s="3">
        <v>40</v>
      </c>
      <c r="B574" s="2">
        <v>17008</v>
      </c>
      <c r="C574" s="38">
        <v>44929</v>
      </c>
      <c r="D574" s="1" t="s">
        <v>58</v>
      </c>
      <c r="E574" s="1" t="s">
        <v>33</v>
      </c>
      <c r="F574" s="1" t="s">
        <v>199</v>
      </c>
      <c r="G574" s="5">
        <v>425.2</v>
      </c>
    </row>
    <row r="575" spans="1:7" x14ac:dyDescent="0.2">
      <c r="A575" s="3">
        <v>3024</v>
      </c>
      <c r="B575" s="2">
        <v>126493.92</v>
      </c>
      <c r="C575" s="38">
        <v>44929</v>
      </c>
      <c r="D575" s="1" t="s">
        <v>60</v>
      </c>
      <c r="E575" s="1" t="s">
        <v>33</v>
      </c>
      <c r="F575" s="1" t="s">
        <v>199</v>
      </c>
      <c r="G575" s="5">
        <v>41.83</v>
      </c>
    </row>
    <row r="576" spans="1:7" x14ac:dyDescent="0.2">
      <c r="A576" s="3">
        <v>1176</v>
      </c>
      <c r="B576" s="2">
        <v>105546</v>
      </c>
      <c r="C576" s="38">
        <v>44929</v>
      </c>
      <c r="D576" s="1" t="s">
        <v>71</v>
      </c>
      <c r="E576" s="1" t="s">
        <v>33</v>
      </c>
      <c r="F576" s="1" t="s">
        <v>199</v>
      </c>
      <c r="G576" s="5">
        <v>89.75</v>
      </c>
    </row>
    <row r="577" spans="1:7" x14ac:dyDescent="0.2">
      <c r="A577" s="3">
        <v>420</v>
      </c>
      <c r="B577" s="2">
        <v>6266.4</v>
      </c>
      <c r="C577" s="38">
        <v>44678</v>
      </c>
      <c r="D577" s="1" t="s">
        <v>140</v>
      </c>
      <c r="E577" s="1" t="s">
        <v>33</v>
      </c>
      <c r="F577" s="1" t="s">
        <v>199</v>
      </c>
      <c r="G577" s="5">
        <v>14.92</v>
      </c>
    </row>
    <row r="578" spans="1:7" x14ac:dyDescent="0.2">
      <c r="A578" s="3">
        <v>420</v>
      </c>
      <c r="B578" s="2">
        <v>6266.4</v>
      </c>
      <c r="C578" s="38">
        <v>44678</v>
      </c>
      <c r="D578" s="1" t="s">
        <v>140</v>
      </c>
      <c r="E578" s="1" t="s">
        <v>33</v>
      </c>
      <c r="F578" s="1" t="s">
        <v>199</v>
      </c>
      <c r="G578" s="5">
        <v>14.92</v>
      </c>
    </row>
    <row r="579" spans="1:7" x14ac:dyDescent="0.2">
      <c r="A579" s="3">
        <v>588</v>
      </c>
      <c r="B579" s="2">
        <v>75075.839999999997</v>
      </c>
      <c r="C579" s="38">
        <v>44768</v>
      </c>
      <c r="D579" s="1" t="s">
        <v>117</v>
      </c>
      <c r="E579" s="1" t="s">
        <v>33</v>
      </c>
      <c r="F579" s="1" t="s">
        <v>199</v>
      </c>
      <c r="G579" s="5">
        <v>127.68</v>
      </c>
    </row>
    <row r="580" spans="1:7" x14ac:dyDescent="0.2">
      <c r="A580" s="3">
        <v>588</v>
      </c>
      <c r="B580" s="2">
        <v>75075.839999999997</v>
      </c>
      <c r="C580" s="38">
        <v>44768</v>
      </c>
      <c r="D580" s="1" t="s">
        <v>117</v>
      </c>
      <c r="E580" s="1" t="s">
        <v>33</v>
      </c>
      <c r="F580" s="1" t="s">
        <v>199</v>
      </c>
      <c r="G580" s="5">
        <v>127.68</v>
      </c>
    </row>
    <row r="581" spans="1:7" x14ac:dyDescent="0.2">
      <c r="A581" s="3">
        <v>588</v>
      </c>
      <c r="B581" s="2">
        <v>75075.839999999997</v>
      </c>
      <c r="C581" s="38">
        <v>44768</v>
      </c>
      <c r="D581" s="1" t="s">
        <v>117</v>
      </c>
      <c r="E581" s="1" t="s">
        <v>33</v>
      </c>
      <c r="F581" s="1" t="s">
        <v>199</v>
      </c>
      <c r="G581" s="5">
        <v>127.68</v>
      </c>
    </row>
    <row r="582" spans="1:7" x14ac:dyDescent="0.2">
      <c r="A582" s="3">
        <v>588</v>
      </c>
      <c r="B582" s="2">
        <v>75075.839999999997</v>
      </c>
      <c r="C582" s="38">
        <v>44768</v>
      </c>
      <c r="D582" s="1" t="s">
        <v>117</v>
      </c>
      <c r="E582" s="1" t="s">
        <v>33</v>
      </c>
      <c r="F582" s="1" t="s">
        <v>199</v>
      </c>
      <c r="G582" s="5">
        <v>127.68</v>
      </c>
    </row>
    <row r="583" spans="1:7" x14ac:dyDescent="0.2">
      <c r="A583" s="3">
        <v>4500</v>
      </c>
      <c r="B583" s="2">
        <v>5175</v>
      </c>
      <c r="C583" s="38">
        <v>44768</v>
      </c>
      <c r="D583" s="1" t="s">
        <v>79</v>
      </c>
      <c r="E583" s="1" t="s">
        <v>33</v>
      </c>
      <c r="F583" s="1" t="s">
        <v>199</v>
      </c>
      <c r="G583" s="5">
        <v>1.1499999999999999</v>
      </c>
    </row>
    <row r="584" spans="1:7" x14ac:dyDescent="0.2">
      <c r="A584" s="3">
        <v>60</v>
      </c>
      <c r="B584" s="2">
        <v>26432.400000000001</v>
      </c>
      <c r="C584" s="38">
        <v>44816</v>
      </c>
      <c r="D584" s="1" t="s">
        <v>66</v>
      </c>
      <c r="E584" s="1" t="s">
        <v>33</v>
      </c>
      <c r="F584" s="1" t="s">
        <v>199</v>
      </c>
      <c r="G584" s="5">
        <v>440.54</v>
      </c>
    </row>
    <row r="585" spans="1:7" x14ac:dyDescent="0.2">
      <c r="A585" s="3">
        <v>1820</v>
      </c>
      <c r="B585" s="2">
        <v>4313.3999999999996</v>
      </c>
      <c r="C585" s="38">
        <v>44816</v>
      </c>
      <c r="D585" s="1" t="s">
        <v>68</v>
      </c>
      <c r="E585" s="1" t="s">
        <v>33</v>
      </c>
      <c r="F585" s="1" t="s">
        <v>199</v>
      </c>
      <c r="G585" s="5">
        <v>2.37</v>
      </c>
    </row>
    <row r="586" spans="1:7" x14ac:dyDescent="0.2">
      <c r="A586" s="3">
        <v>1820</v>
      </c>
      <c r="B586" s="2">
        <v>4313.3999999999996</v>
      </c>
      <c r="C586" s="38">
        <v>44816</v>
      </c>
      <c r="D586" s="1" t="s">
        <v>68</v>
      </c>
      <c r="E586" s="1" t="s">
        <v>33</v>
      </c>
      <c r="F586" s="1" t="s">
        <v>199</v>
      </c>
      <c r="G586" s="5">
        <v>2.37</v>
      </c>
    </row>
    <row r="587" spans="1:7" x14ac:dyDescent="0.2">
      <c r="A587" s="3">
        <v>1820</v>
      </c>
      <c r="B587" s="2">
        <v>4313.3999999999996</v>
      </c>
      <c r="C587" s="38">
        <v>44816</v>
      </c>
      <c r="D587" s="1" t="s">
        <v>68</v>
      </c>
      <c r="E587" s="1" t="s">
        <v>33</v>
      </c>
      <c r="F587" s="1" t="s">
        <v>199</v>
      </c>
      <c r="G587" s="5">
        <v>2.37</v>
      </c>
    </row>
    <row r="588" spans="1:7" x14ac:dyDescent="0.2">
      <c r="A588" s="3">
        <v>1820</v>
      </c>
      <c r="B588" s="2">
        <v>4313.3999999999996</v>
      </c>
      <c r="C588" s="38">
        <v>44816</v>
      </c>
      <c r="D588" s="1" t="s">
        <v>68</v>
      </c>
      <c r="E588" s="1" t="s">
        <v>33</v>
      </c>
      <c r="F588" s="1" t="s">
        <v>199</v>
      </c>
      <c r="G588" s="5">
        <v>2.37</v>
      </c>
    </row>
    <row r="589" spans="1:7" x14ac:dyDescent="0.2">
      <c r="A589" s="3">
        <v>588</v>
      </c>
      <c r="B589" s="2">
        <v>52767.12</v>
      </c>
      <c r="C589" s="38">
        <v>44816</v>
      </c>
      <c r="D589" s="1" t="s">
        <v>71</v>
      </c>
      <c r="E589" s="1" t="s">
        <v>33</v>
      </c>
      <c r="F589" s="1" t="s">
        <v>199</v>
      </c>
      <c r="G589" s="5">
        <v>89.74</v>
      </c>
    </row>
    <row r="590" spans="1:7" x14ac:dyDescent="0.2">
      <c r="A590" s="3">
        <v>252</v>
      </c>
      <c r="B590" s="2">
        <v>19056.240000000002</v>
      </c>
      <c r="C590" s="38">
        <v>44825</v>
      </c>
      <c r="D590" s="1" t="s">
        <v>61</v>
      </c>
      <c r="E590" s="1" t="s">
        <v>33</v>
      </c>
      <c r="F590" s="1" t="s">
        <v>199</v>
      </c>
      <c r="G590" s="5">
        <v>75.62</v>
      </c>
    </row>
    <row r="591" spans="1:7" x14ac:dyDescent="0.2">
      <c r="A591" s="3">
        <v>252</v>
      </c>
      <c r="B591" s="2">
        <v>19056.240000000002</v>
      </c>
      <c r="C591" s="38">
        <v>44825</v>
      </c>
      <c r="D591" s="1" t="s">
        <v>61</v>
      </c>
      <c r="E591" s="1" t="s">
        <v>33</v>
      </c>
      <c r="F591" s="1" t="s">
        <v>199</v>
      </c>
      <c r="G591" s="5">
        <v>75.62</v>
      </c>
    </row>
    <row r="592" spans="1:7" x14ac:dyDescent="0.2">
      <c r="A592" s="3">
        <v>252</v>
      </c>
      <c r="B592" s="2">
        <v>19056.240000000002</v>
      </c>
      <c r="C592" s="38">
        <v>44825</v>
      </c>
      <c r="D592" s="1" t="s">
        <v>61</v>
      </c>
      <c r="E592" s="1" t="s">
        <v>33</v>
      </c>
      <c r="F592" s="1" t="s">
        <v>199</v>
      </c>
      <c r="G592" s="5">
        <v>75.62</v>
      </c>
    </row>
    <row r="593" spans="1:7" x14ac:dyDescent="0.2">
      <c r="A593" s="3">
        <v>30</v>
      </c>
      <c r="B593" s="2">
        <v>13216.2</v>
      </c>
      <c r="C593" s="38">
        <v>44825</v>
      </c>
      <c r="D593" s="1" t="s">
        <v>66</v>
      </c>
      <c r="E593" s="1" t="s">
        <v>33</v>
      </c>
      <c r="F593" s="1" t="s">
        <v>199</v>
      </c>
      <c r="G593" s="5">
        <v>440.54</v>
      </c>
    </row>
    <row r="594" spans="1:7" x14ac:dyDescent="0.2">
      <c r="A594" s="3">
        <v>30</v>
      </c>
      <c r="B594" s="2">
        <v>13216.2</v>
      </c>
      <c r="C594" s="38">
        <v>44825</v>
      </c>
      <c r="D594" s="1" t="s">
        <v>66</v>
      </c>
      <c r="E594" s="1" t="s">
        <v>33</v>
      </c>
      <c r="F594" s="1" t="s">
        <v>199</v>
      </c>
      <c r="G594" s="5">
        <v>440.54</v>
      </c>
    </row>
    <row r="595" spans="1:7" x14ac:dyDescent="0.2">
      <c r="A595" s="3">
        <v>90</v>
      </c>
      <c r="B595" s="2">
        <v>39648.6</v>
      </c>
      <c r="C595" s="38">
        <v>44825</v>
      </c>
      <c r="D595" s="1" t="s">
        <v>66</v>
      </c>
      <c r="E595" s="1" t="s">
        <v>33</v>
      </c>
      <c r="F595" s="1" t="s">
        <v>199</v>
      </c>
      <c r="G595" s="5">
        <v>440.54</v>
      </c>
    </row>
    <row r="596" spans="1:7" x14ac:dyDescent="0.2">
      <c r="A596" s="3">
        <v>90</v>
      </c>
      <c r="B596" s="2">
        <v>39648.6</v>
      </c>
      <c r="C596" s="38">
        <v>44825</v>
      </c>
      <c r="D596" s="1" t="s">
        <v>66</v>
      </c>
      <c r="E596" s="1" t="s">
        <v>33</v>
      </c>
      <c r="F596" s="1" t="s">
        <v>199</v>
      </c>
      <c r="G596" s="5">
        <v>440.54</v>
      </c>
    </row>
    <row r="597" spans="1:7" x14ac:dyDescent="0.2">
      <c r="A597" s="3">
        <v>588</v>
      </c>
      <c r="B597" s="2">
        <v>52767.12</v>
      </c>
      <c r="C597" s="38">
        <v>44825</v>
      </c>
      <c r="D597" s="1" t="s">
        <v>71</v>
      </c>
      <c r="E597" s="1" t="s">
        <v>33</v>
      </c>
      <c r="F597" s="1" t="s">
        <v>199</v>
      </c>
      <c r="G597" s="5">
        <v>89.74</v>
      </c>
    </row>
    <row r="598" spans="1:7" x14ac:dyDescent="0.2">
      <c r="A598" s="3">
        <v>324</v>
      </c>
      <c r="B598" s="2">
        <v>35089.199999999997</v>
      </c>
      <c r="C598" s="38">
        <v>44826</v>
      </c>
      <c r="D598" s="1" t="s">
        <v>55</v>
      </c>
      <c r="E598" s="1" t="s">
        <v>33</v>
      </c>
      <c r="F598" s="1" t="s">
        <v>199</v>
      </c>
      <c r="G598" s="5">
        <v>108.3</v>
      </c>
    </row>
    <row r="599" spans="1:7" x14ac:dyDescent="0.2">
      <c r="A599" s="3">
        <v>60</v>
      </c>
      <c r="B599" s="2">
        <v>26432.400000000001</v>
      </c>
      <c r="C599" s="38">
        <v>44826</v>
      </c>
      <c r="D599" s="1" t="s">
        <v>66</v>
      </c>
      <c r="E599" s="1" t="s">
        <v>33</v>
      </c>
      <c r="F599" s="1" t="s">
        <v>199</v>
      </c>
      <c r="G599" s="5">
        <v>440.54</v>
      </c>
    </row>
    <row r="600" spans="1:7" x14ac:dyDescent="0.2">
      <c r="A600" s="3">
        <v>100</v>
      </c>
      <c r="B600" s="2">
        <v>42520</v>
      </c>
      <c r="C600" s="38">
        <v>44866</v>
      </c>
      <c r="D600" s="1" t="s">
        <v>58</v>
      </c>
      <c r="E600" s="1" t="s">
        <v>33</v>
      </c>
      <c r="F600" s="1" t="s">
        <v>199</v>
      </c>
      <c r="G600" s="5">
        <v>425.2</v>
      </c>
    </row>
    <row r="601" spans="1:7" x14ac:dyDescent="0.2">
      <c r="A601" s="3">
        <v>180</v>
      </c>
      <c r="B601" s="2">
        <v>137174.39999999999</v>
      </c>
      <c r="C601" s="38">
        <v>44866</v>
      </c>
      <c r="D601" s="1" t="s">
        <v>83</v>
      </c>
      <c r="E601" s="1" t="s">
        <v>33</v>
      </c>
      <c r="F601" s="1" t="s">
        <v>199</v>
      </c>
      <c r="G601" s="5">
        <v>762.08</v>
      </c>
    </row>
    <row r="602" spans="1:7" x14ac:dyDescent="0.2">
      <c r="A602" s="3">
        <v>60</v>
      </c>
      <c r="B602" s="2">
        <v>26432.400000000001</v>
      </c>
      <c r="C602" s="38">
        <v>44868</v>
      </c>
      <c r="D602" s="1" t="s">
        <v>66</v>
      </c>
      <c r="E602" s="1" t="s">
        <v>33</v>
      </c>
      <c r="F602" s="1" t="s">
        <v>199</v>
      </c>
      <c r="G602" s="5">
        <v>440.54</v>
      </c>
    </row>
    <row r="603" spans="1:7" x14ac:dyDescent="0.2">
      <c r="A603" s="3">
        <v>30</v>
      </c>
      <c r="B603" s="2">
        <v>13216.2</v>
      </c>
      <c r="C603" s="38">
        <v>44868</v>
      </c>
      <c r="D603" s="1" t="s">
        <v>66</v>
      </c>
      <c r="E603" s="1" t="s">
        <v>33</v>
      </c>
      <c r="F603" s="1" t="s">
        <v>199</v>
      </c>
      <c r="G603" s="5">
        <v>440.54</v>
      </c>
    </row>
    <row r="604" spans="1:7" x14ac:dyDescent="0.2">
      <c r="A604" s="3">
        <v>180</v>
      </c>
      <c r="B604" s="2">
        <v>137174.39999999999</v>
      </c>
      <c r="C604" s="38">
        <v>44771</v>
      </c>
      <c r="D604" s="1" t="s">
        <v>83</v>
      </c>
      <c r="E604" s="1" t="s">
        <v>33</v>
      </c>
      <c r="F604" s="1" t="s">
        <v>199</v>
      </c>
      <c r="G604" s="5">
        <v>762.08</v>
      </c>
    </row>
    <row r="605" spans="1:7" x14ac:dyDescent="0.2">
      <c r="A605" s="3">
        <v>144</v>
      </c>
      <c r="B605" s="2">
        <v>41486.400000000001</v>
      </c>
      <c r="C605" s="38">
        <v>44830</v>
      </c>
      <c r="D605" s="1" t="s">
        <v>57</v>
      </c>
      <c r="E605" s="1" t="s">
        <v>33</v>
      </c>
      <c r="F605" s="1" t="s">
        <v>199</v>
      </c>
      <c r="G605" s="5">
        <v>288.10000000000002</v>
      </c>
    </row>
    <row r="606" spans="1:7" x14ac:dyDescent="0.2">
      <c r="A606" s="3">
        <v>936</v>
      </c>
      <c r="B606" s="2">
        <v>269661.59999999998</v>
      </c>
      <c r="C606" s="38">
        <v>44830</v>
      </c>
      <c r="D606" s="1" t="s">
        <v>57</v>
      </c>
      <c r="E606" s="1" t="s">
        <v>33</v>
      </c>
      <c r="F606" s="1" t="s">
        <v>199</v>
      </c>
      <c r="G606" s="5">
        <v>288.10000000000002</v>
      </c>
    </row>
    <row r="607" spans="1:7" x14ac:dyDescent="0.2">
      <c r="A607" s="3">
        <v>252</v>
      </c>
      <c r="B607" s="2">
        <v>19056.240000000002</v>
      </c>
      <c r="C607" s="38">
        <v>44830</v>
      </c>
      <c r="D607" s="1" t="s">
        <v>61</v>
      </c>
      <c r="E607" s="1" t="s">
        <v>33</v>
      </c>
      <c r="F607" s="1" t="s">
        <v>199</v>
      </c>
      <c r="G607" s="5">
        <v>75.62</v>
      </c>
    </row>
    <row r="608" spans="1:7" x14ac:dyDescent="0.2">
      <c r="A608" s="3">
        <v>252</v>
      </c>
      <c r="B608" s="2">
        <v>19056.240000000002</v>
      </c>
      <c r="C608" s="38">
        <v>44830</v>
      </c>
      <c r="D608" s="1" t="s">
        <v>61</v>
      </c>
      <c r="E608" s="1" t="s">
        <v>33</v>
      </c>
      <c r="F608" s="1" t="s">
        <v>199</v>
      </c>
      <c r="G608" s="5">
        <v>75.62</v>
      </c>
    </row>
    <row r="609" spans="1:7" x14ac:dyDescent="0.2">
      <c r="A609" s="3">
        <v>30</v>
      </c>
      <c r="B609" s="2">
        <v>13216.2</v>
      </c>
      <c r="C609" s="38">
        <v>44830</v>
      </c>
      <c r="D609" s="1" t="s">
        <v>66</v>
      </c>
      <c r="E609" s="1" t="s">
        <v>33</v>
      </c>
      <c r="F609" s="1" t="s">
        <v>199</v>
      </c>
      <c r="G609" s="5">
        <v>440.54</v>
      </c>
    </row>
    <row r="610" spans="1:7" x14ac:dyDescent="0.2">
      <c r="A610" s="3">
        <v>30</v>
      </c>
      <c r="B610" s="2">
        <v>13216.2</v>
      </c>
      <c r="C610" s="38">
        <v>44830</v>
      </c>
      <c r="D610" s="1" t="s">
        <v>66</v>
      </c>
      <c r="E610" s="1" t="s">
        <v>33</v>
      </c>
      <c r="F610" s="1" t="s">
        <v>199</v>
      </c>
      <c r="G610" s="5">
        <v>440.54</v>
      </c>
    </row>
    <row r="611" spans="1:7" x14ac:dyDescent="0.2">
      <c r="A611" s="3">
        <v>30</v>
      </c>
      <c r="B611" s="2">
        <v>13216.2</v>
      </c>
      <c r="C611" s="38">
        <v>44830</v>
      </c>
      <c r="D611" s="1" t="s">
        <v>66</v>
      </c>
      <c r="E611" s="1" t="s">
        <v>33</v>
      </c>
      <c r="F611" s="1" t="s">
        <v>199</v>
      </c>
      <c r="G611" s="5">
        <v>440.54</v>
      </c>
    </row>
    <row r="612" spans="1:7" x14ac:dyDescent="0.2">
      <c r="A612" s="3">
        <v>28</v>
      </c>
      <c r="B612" s="2">
        <v>70631.399999999994</v>
      </c>
      <c r="C612" s="38">
        <v>44833</v>
      </c>
      <c r="D612" s="1" t="s">
        <v>162</v>
      </c>
      <c r="E612" s="1" t="s">
        <v>33</v>
      </c>
      <c r="F612" s="1" t="s">
        <v>199</v>
      </c>
      <c r="G612" s="5">
        <v>2522.5500000000002</v>
      </c>
    </row>
    <row r="613" spans="1:7" x14ac:dyDescent="0.2">
      <c r="A613" s="3">
        <v>279</v>
      </c>
      <c r="B613" s="2">
        <v>23123.52</v>
      </c>
      <c r="C613" s="38">
        <v>44833</v>
      </c>
      <c r="D613" s="1" t="s">
        <v>139</v>
      </c>
      <c r="E613" s="1" t="s">
        <v>33</v>
      </c>
      <c r="F613" s="1" t="s">
        <v>199</v>
      </c>
      <c r="G613" s="5">
        <v>82.88</v>
      </c>
    </row>
    <row r="614" spans="1:7" x14ac:dyDescent="0.2">
      <c r="A614" s="3">
        <v>1820</v>
      </c>
      <c r="B614" s="2">
        <v>4313.3999999999996</v>
      </c>
      <c r="C614" s="38">
        <v>44833</v>
      </c>
      <c r="D614" s="1" t="s">
        <v>68</v>
      </c>
      <c r="E614" s="1" t="s">
        <v>33</v>
      </c>
      <c r="F614" s="1" t="s">
        <v>199</v>
      </c>
      <c r="G614" s="5">
        <v>2.37</v>
      </c>
    </row>
    <row r="615" spans="1:7" x14ac:dyDescent="0.2">
      <c r="A615" s="3">
        <v>1820</v>
      </c>
      <c r="B615" s="2">
        <v>4313.3999999999996</v>
      </c>
      <c r="C615" s="38">
        <v>44833</v>
      </c>
      <c r="D615" s="1" t="s">
        <v>68</v>
      </c>
      <c r="E615" s="1" t="s">
        <v>33</v>
      </c>
      <c r="F615" s="1" t="s">
        <v>199</v>
      </c>
      <c r="G615" s="5">
        <v>2.37</v>
      </c>
    </row>
    <row r="616" spans="1:7" x14ac:dyDescent="0.2">
      <c r="A616" s="3">
        <v>4500</v>
      </c>
      <c r="B616" s="2">
        <v>5175</v>
      </c>
      <c r="C616" s="38">
        <v>44833</v>
      </c>
      <c r="D616" s="1" t="s">
        <v>79</v>
      </c>
      <c r="E616" s="1" t="s">
        <v>33</v>
      </c>
      <c r="F616" s="1" t="s">
        <v>199</v>
      </c>
      <c r="G616" s="5">
        <v>1.1499999999999999</v>
      </c>
    </row>
    <row r="617" spans="1:7" x14ac:dyDescent="0.2">
      <c r="A617" s="3">
        <v>240</v>
      </c>
      <c r="B617" s="2">
        <v>182899.20000000001</v>
      </c>
      <c r="C617" s="38">
        <v>44833</v>
      </c>
      <c r="D617" s="1" t="s">
        <v>83</v>
      </c>
      <c r="E617" s="1" t="s">
        <v>33</v>
      </c>
      <c r="F617" s="1" t="s">
        <v>199</v>
      </c>
      <c r="G617" s="5">
        <v>762.08</v>
      </c>
    </row>
    <row r="618" spans="1:7" x14ac:dyDescent="0.2">
      <c r="A618" s="3">
        <v>588</v>
      </c>
      <c r="B618" s="2">
        <v>58982.28</v>
      </c>
      <c r="C618" s="38">
        <v>44868</v>
      </c>
      <c r="D618" s="1" t="s">
        <v>69</v>
      </c>
      <c r="E618" s="1" t="s">
        <v>33</v>
      </c>
      <c r="F618" s="1" t="s">
        <v>199</v>
      </c>
      <c r="G618" s="5">
        <v>100.31</v>
      </c>
    </row>
    <row r="619" spans="1:7" x14ac:dyDescent="0.2">
      <c r="A619" s="3">
        <v>588</v>
      </c>
      <c r="B619" s="2">
        <v>58982.28</v>
      </c>
      <c r="C619" s="38">
        <v>44868</v>
      </c>
      <c r="D619" s="1" t="s">
        <v>69</v>
      </c>
      <c r="E619" s="1" t="s">
        <v>33</v>
      </c>
      <c r="F619" s="1" t="s">
        <v>199</v>
      </c>
      <c r="G619" s="5">
        <v>100.31</v>
      </c>
    </row>
    <row r="620" spans="1:7" x14ac:dyDescent="0.2">
      <c r="A620" s="3">
        <v>1820</v>
      </c>
      <c r="B620" s="2">
        <v>4313.3999999999996</v>
      </c>
      <c r="C620" s="38">
        <v>44873</v>
      </c>
      <c r="D620" s="1" t="s">
        <v>68</v>
      </c>
      <c r="E620" s="1" t="s">
        <v>33</v>
      </c>
      <c r="F620" s="1" t="s">
        <v>199</v>
      </c>
      <c r="G620" s="5">
        <v>2.37</v>
      </c>
    </row>
    <row r="621" spans="1:7" x14ac:dyDescent="0.2">
      <c r="A621" s="3">
        <v>588</v>
      </c>
      <c r="B621" s="2">
        <v>58982.28</v>
      </c>
      <c r="C621" s="38">
        <v>44873</v>
      </c>
      <c r="D621" s="1" t="s">
        <v>69</v>
      </c>
      <c r="E621" s="1" t="s">
        <v>33</v>
      </c>
      <c r="F621" s="1" t="s">
        <v>199</v>
      </c>
      <c r="G621" s="5">
        <v>100.31</v>
      </c>
    </row>
    <row r="622" spans="1:7" x14ac:dyDescent="0.2">
      <c r="A622" s="3">
        <v>20</v>
      </c>
      <c r="B622" s="2">
        <v>8504</v>
      </c>
      <c r="C622" s="38">
        <v>44875</v>
      </c>
      <c r="D622" s="1" t="s">
        <v>58</v>
      </c>
      <c r="E622" s="1" t="s">
        <v>33</v>
      </c>
      <c r="F622" s="1" t="s">
        <v>199</v>
      </c>
      <c r="G622" s="5">
        <v>425.2</v>
      </c>
    </row>
    <row r="623" spans="1:7" x14ac:dyDescent="0.2">
      <c r="A623" s="3">
        <v>324</v>
      </c>
      <c r="B623" s="2">
        <v>35085.96</v>
      </c>
      <c r="C623" s="38">
        <v>44743</v>
      </c>
      <c r="D623" s="1" t="s">
        <v>55</v>
      </c>
      <c r="E623" s="1" t="s">
        <v>33</v>
      </c>
      <c r="F623" s="1" t="s">
        <v>199</v>
      </c>
      <c r="G623" s="5">
        <v>108.29</v>
      </c>
    </row>
    <row r="624" spans="1:7" x14ac:dyDescent="0.2">
      <c r="A624" s="3">
        <v>1820</v>
      </c>
      <c r="B624" s="2">
        <v>4313.3999999999996</v>
      </c>
      <c r="C624" s="38">
        <v>44743</v>
      </c>
      <c r="D624" s="1" t="s">
        <v>68</v>
      </c>
      <c r="E624" s="1" t="s">
        <v>33</v>
      </c>
      <c r="F624" s="1" t="s">
        <v>199</v>
      </c>
      <c r="G624" s="5">
        <v>2.37</v>
      </c>
    </row>
    <row r="625" spans="1:7" x14ac:dyDescent="0.2">
      <c r="A625" s="3">
        <v>420</v>
      </c>
      <c r="B625" s="2">
        <v>320073.59999999998</v>
      </c>
      <c r="C625" s="38">
        <v>44833</v>
      </c>
      <c r="D625" s="1" t="s">
        <v>83</v>
      </c>
      <c r="E625" s="1" t="s">
        <v>33</v>
      </c>
      <c r="F625" s="1" t="s">
        <v>199</v>
      </c>
      <c r="G625" s="5">
        <v>762.08</v>
      </c>
    </row>
    <row r="626" spans="1:7" x14ac:dyDescent="0.2">
      <c r="A626" s="3">
        <v>216</v>
      </c>
      <c r="B626" s="2">
        <v>23392.799999999999</v>
      </c>
      <c r="C626" s="38">
        <v>44879</v>
      </c>
      <c r="D626" s="1" t="s">
        <v>55</v>
      </c>
      <c r="E626" s="1" t="s">
        <v>33</v>
      </c>
      <c r="F626" s="1" t="s">
        <v>199</v>
      </c>
      <c r="G626" s="5">
        <v>108.3</v>
      </c>
    </row>
    <row r="627" spans="1:7" x14ac:dyDescent="0.2">
      <c r="A627" s="3">
        <v>432</v>
      </c>
      <c r="B627" s="2">
        <v>46785.599999999999</v>
      </c>
      <c r="C627" s="38">
        <v>44879</v>
      </c>
      <c r="D627" s="1" t="s">
        <v>55</v>
      </c>
      <c r="E627" s="1" t="s">
        <v>33</v>
      </c>
      <c r="F627" s="1" t="s">
        <v>199</v>
      </c>
      <c r="G627" s="5">
        <v>108.3</v>
      </c>
    </row>
    <row r="628" spans="1:7" x14ac:dyDescent="0.2">
      <c r="A628" s="3">
        <v>216</v>
      </c>
      <c r="B628" s="2">
        <v>23392.799999999999</v>
      </c>
      <c r="C628" s="38">
        <v>44879</v>
      </c>
      <c r="D628" s="1" t="s">
        <v>55</v>
      </c>
      <c r="E628" s="1" t="s">
        <v>33</v>
      </c>
      <c r="F628" s="1" t="s">
        <v>199</v>
      </c>
      <c r="G628" s="5">
        <v>108.3</v>
      </c>
    </row>
    <row r="629" spans="1:7" x14ac:dyDescent="0.2">
      <c r="A629" s="3">
        <v>108</v>
      </c>
      <c r="B629" s="2">
        <v>11696.4</v>
      </c>
      <c r="C629" s="38">
        <v>44883</v>
      </c>
      <c r="D629" s="1" t="s">
        <v>55</v>
      </c>
      <c r="E629" s="1" t="s">
        <v>33</v>
      </c>
      <c r="F629" s="1" t="s">
        <v>199</v>
      </c>
      <c r="G629" s="5">
        <v>108.3</v>
      </c>
    </row>
    <row r="630" spans="1:7" x14ac:dyDescent="0.2">
      <c r="A630" s="3">
        <v>1820</v>
      </c>
      <c r="B630" s="2">
        <v>4313.3999999999996</v>
      </c>
      <c r="C630" s="38">
        <v>44883</v>
      </c>
      <c r="D630" s="1" t="s">
        <v>68</v>
      </c>
      <c r="E630" s="1" t="s">
        <v>33</v>
      </c>
      <c r="F630" s="1" t="s">
        <v>199</v>
      </c>
      <c r="G630" s="5">
        <v>2.37</v>
      </c>
    </row>
    <row r="631" spans="1:7" x14ac:dyDescent="0.2">
      <c r="A631" s="3">
        <v>1500</v>
      </c>
      <c r="B631" s="2">
        <v>1725</v>
      </c>
      <c r="C631" s="38">
        <v>44883</v>
      </c>
      <c r="D631" s="1" t="s">
        <v>79</v>
      </c>
      <c r="E631" s="1" t="s">
        <v>33</v>
      </c>
      <c r="F631" s="1" t="s">
        <v>199</v>
      </c>
      <c r="G631" s="5">
        <v>1.1499999999999999</v>
      </c>
    </row>
    <row r="632" spans="1:7" x14ac:dyDescent="0.2">
      <c r="A632" s="3">
        <v>240</v>
      </c>
      <c r="B632" s="2">
        <v>182899.20000000001</v>
      </c>
      <c r="C632" s="38">
        <v>44883</v>
      </c>
      <c r="D632" s="1" t="s">
        <v>83</v>
      </c>
      <c r="E632" s="1" t="s">
        <v>33</v>
      </c>
      <c r="F632" s="1" t="s">
        <v>199</v>
      </c>
      <c r="G632" s="5">
        <v>762.08</v>
      </c>
    </row>
    <row r="633" spans="1:7" x14ac:dyDescent="0.2">
      <c r="A633" s="3">
        <v>180</v>
      </c>
      <c r="B633" s="2">
        <v>137174.39999999999</v>
      </c>
      <c r="C633" s="38">
        <v>44883</v>
      </c>
      <c r="D633" s="1" t="s">
        <v>83</v>
      </c>
      <c r="E633" s="1" t="s">
        <v>33</v>
      </c>
      <c r="F633" s="1" t="s">
        <v>199</v>
      </c>
      <c r="G633" s="5">
        <v>762.08</v>
      </c>
    </row>
    <row r="634" spans="1:7" x14ac:dyDescent="0.2">
      <c r="A634" s="3">
        <v>72</v>
      </c>
      <c r="B634" s="2">
        <v>6243.12</v>
      </c>
      <c r="C634" s="38">
        <v>44788</v>
      </c>
      <c r="D634" s="1" t="s">
        <v>113</v>
      </c>
      <c r="E634" s="1" t="s">
        <v>33</v>
      </c>
      <c r="F634" s="1" t="s">
        <v>199</v>
      </c>
      <c r="G634" s="5">
        <v>86.71</v>
      </c>
    </row>
    <row r="635" spans="1:7" x14ac:dyDescent="0.2">
      <c r="A635" s="3">
        <v>36</v>
      </c>
      <c r="B635" s="2">
        <v>3121.56</v>
      </c>
      <c r="C635" s="38">
        <v>44788</v>
      </c>
      <c r="D635" s="1" t="s">
        <v>113</v>
      </c>
      <c r="E635" s="1" t="s">
        <v>33</v>
      </c>
      <c r="F635" s="1" t="s">
        <v>199</v>
      </c>
      <c r="G635" s="5">
        <v>86.71</v>
      </c>
    </row>
    <row r="636" spans="1:7" x14ac:dyDescent="0.2">
      <c r="A636" s="3">
        <v>30</v>
      </c>
      <c r="B636" s="2">
        <v>13216.2</v>
      </c>
      <c r="C636" s="38">
        <v>44839</v>
      </c>
      <c r="D636" s="1" t="s">
        <v>66</v>
      </c>
      <c r="E636" s="1" t="s">
        <v>33</v>
      </c>
      <c r="F636" s="1" t="s">
        <v>199</v>
      </c>
      <c r="G636" s="5">
        <v>440.54</v>
      </c>
    </row>
    <row r="637" spans="1:7" x14ac:dyDescent="0.2">
      <c r="A637" s="3">
        <v>108</v>
      </c>
      <c r="B637" s="2">
        <v>11696.4</v>
      </c>
      <c r="C637" s="38">
        <v>44841</v>
      </c>
      <c r="D637" s="1" t="s">
        <v>55</v>
      </c>
      <c r="E637" s="1" t="s">
        <v>33</v>
      </c>
      <c r="F637" s="1" t="s">
        <v>199</v>
      </c>
      <c r="G637" s="5">
        <v>108.3</v>
      </c>
    </row>
    <row r="638" spans="1:7" x14ac:dyDescent="0.2">
      <c r="A638" s="3">
        <v>432</v>
      </c>
      <c r="B638" s="2">
        <v>46785.599999999999</v>
      </c>
      <c r="C638" s="38">
        <v>44841</v>
      </c>
      <c r="D638" s="1" t="s">
        <v>55</v>
      </c>
      <c r="E638" s="1" t="s">
        <v>33</v>
      </c>
      <c r="F638" s="1" t="s">
        <v>199</v>
      </c>
      <c r="G638" s="5">
        <v>108.3</v>
      </c>
    </row>
    <row r="639" spans="1:7" x14ac:dyDescent="0.2">
      <c r="A639" s="3">
        <v>220</v>
      </c>
      <c r="B639" s="2">
        <v>30272</v>
      </c>
      <c r="C639" s="38">
        <v>44841</v>
      </c>
      <c r="D639" s="1" t="s">
        <v>136</v>
      </c>
      <c r="E639" s="1" t="s">
        <v>33</v>
      </c>
      <c r="F639" s="1" t="s">
        <v>199</v>
      </c>
      <c r="G639" s="5">
        <v>137.6</v>
      </c>
    </row>
    <row r="640" spans="1:7" x14ac:dyDescent="0.2">
      <c r="A640" s="3">
        <v>5460</v>
      </c>
      <c r="B640" s="2">
        <v>4027.29</v>
      </c>
      <c r="C640" s="38">
        <v>44524</v>
      </c>
      <c r="D640" s="1" t="s">
        <v>161</v>
      </c>
      <c r="E640" s="1" t="s">
        <v>33</v>
      </c>
      <c r="F640" s="1" t="s">
        <v>199</v>
      </c>
      <c r="G640" s="5">
        <v>0.73760000000000003</v>
      </c>
    </row>
    <row r="641" spans="1:7" x14ac:dyDescent="0.2">
      <c r="A641" s="3">
        <v>324</v>
      </c>
      <c r="B641" s="2">
        <v>35089.199999999997</v>
      </c>
      <c r="C641" s="38">
        <v>44894</v>
      </c>
      <c r="D641" s="1" t="s">
        <v>55</v>
      </c>
      <c r="E641" s="1" t="s">
        <v>33</v>
      </c>
      <c r="F641" s="1" t="s">
        <v>199</v>
      </c>
      <c r="G641" s="5">
        <v>108.3</v>
      </c>
    </row>
    <row r="642" spans="1:7" x14ac:dyDescent="0.2">
      <c r="A642" s="3">
        <v>432</v>
      </c>
      <c r="B642" s="2">
        <v>46785.599999999999</v>
      </c>
      <c r="C642" s="38">
        <v>44894</v>
      </c>
      <c r="D642" s="1" t="s">
        <v>55</v>
      </c>
      <c r="E642" s="1" t="s">
        <v>33</v>
      </c>
      <c r="F642" s="1" t="s">
        <v>199</v>
      </c>
      <c r="G642" s="5">
        <v>108.3</v>
      </c>
    </row>
    <row r="643" spans="1:7" x14ac:dyDescent="0.2">
      <c r="A643" s="3">
        <v>324</v>
      </c>
      <c r="B643" s="2">
        <v>35089.199999999997</v>
      </c>
      <c r="C643" s="38">
        <v>44894</v>
      </c>
      <c r="D643" s="1" t="s">
        <v>55</v>
      </c>
      <c r="E643" s="1" t="s">
        <v>33</v>
      </c>
      <c r="F643" s="1" t="s">
        <v>199</v>
      </c>
      <c r="G643" s="5">
        <v>108.3</v>
      </c>
    </row>
    <row r="644" spans="1:7" x14ac:dyDescent="0.2">
      <c r="A644" s="3">
        <v>1500</v>
      </c>
      <c r="B644" s="2">
        <v>1725</v>
      </c>
      <c r="C644" s="38">
        <v>44894</v>
      </c>
      <c r="D644" s="1" t="s">
        <v>79</v>
      </c>
      <c r="E644" s="1" t="s">
        <v>33</v>
      </c>
      <c r="F644" s="1" t="s">
        <v>199</v>
      </c>
      <c r="G644" s="5">
        <v>1.1499999999999999</v>
      </c>
    </row>
    <row r="645" spans="1:7" x14ac:dyDescent="0.2">
      <c r="A645" s="3">
        <v>240</v>
      </c>
      <c r="B645" s="2">
        <v>182899.20000000001</v>
      </c>
      <c r="C645" s="38">
        <v>44894</v>
      </c>
      <c r="D645" s="1" t="s">
        <v>83</v>
      </c>
      <c r="E645" s="1" t="s">
        <v>33</v>
      </c>
      <c r="F645" s="1" t="s">
        <v>199</v>
      </c>
      <c r="G645" s="5">
        <v>762.08</v>
      </c>
    </row>
    <row r="646" spans="1:7" x14ac:dyDescent="0.2">
      <c r="A646" s="3">
        <v>216</v>
      </c>
      <c r="B646" s="2">
        <v>23392.799999999999</v>
      </c>
      <c r="C646" s="38">
        <v>44847</v>
      </c>
      <c r="D646" s="1" t="s">
        <v>55</v>
      </c>
      <c r="E646" s="1" t="s">
        <v>33</v>
      </c>
      <c r="F646" s="1" t="s">
        <v>199</v>
      </c>
      <c r="G646" s="5">
        <v>108.3</v>
      </c>
    </row>
    <row r="647" spans="1:7" x14ac:dyDescent="0.2">
      <c r="A647" s="3">
        <v>432</v>
      </c>
      <c r="B647" s="2">
        <v>46785.599999999999</v>
      </c>
      <c r="C647" s="38">
        <v>44847</v>
      </c>
      <c r="D647" s="1" t="s">
        <v>55</v>
      </c>
      <c r="E647" s="1" t="s">
        <v>33</v>
      </c>
      <c r="F647" s="1" t="s">
        <v>199</v>
      </c>
      <c r="G647" s="5">
        <v>108.3</v>
      </c>
    </row>
    <row r="648" spans="1:7" x14ac:dyDescent="0.2">
      <c r="A648" s="3">
        <v>540</v>
      </c>
      <c r="B648" s="2">
        <v>58482</v>
      </c>
      <c r="C648" s="38">
        <v>44847</v>
      </c>
      <c r="D648" s="1" t="s">
        <v>55</v>
      </c>
      <c r="E648" s="1" t="s">
        <v>33</v>
      </c>
      <c r="F648" s="1" t="s">
        <v>199</v>
      </c>
      <c r="G648" s="5">
        <v>108.3</v>
      </c>
    </row>
    <row r="649" spans="1:7" x14ac:dyDescent="0.2">
      <c r="A649" s="3">
        <v>220</v>
      </c>
      <c r="B649" s="2">
        <v>30272</v>
      </c>
      <c r="C649" s="38">
        <v>44847</v>
      </c>
      <c r="D649" s="1" t="s">
        <v>136</v>
      </c>
      <c r="E649" s="1" t="s">
        <v>33</v>
      </c>
      <c r="F649" s="1" t="s">
        <v>199</v>
      </c>
      <c r="G649" s="5">
        <v>137.6</v>
      </c>
    </row>
    <row r="650" spans="1:7" x14ac:dyDescent="0.2">
      <c r="A650" s="3">
        <v>220</v>
      </c>
      <c r="B650" s="2">
        <v>30272</v>
      </c>
      <c r="C650" s="38">
        <v>44847</v>
      </c>
      <c r="D650" s="1" t="s">
        <v>136</v>
      </c>
      <c r="E650" s="1" t="s">
        <v>33</v>
      </c>
      <c r="F650" s="1" t="s">
        <v>199</v>
      </c>
      <c r="G650" s="5">
        <v>137.6</v>
      </c>
    </row>
    <row r="651" spans="1:7" x14ac:dyDescent="0.2">
      <c r="A651" s="3">
        <v>1820</v>
      </c>
      <c r="B651" s="2">
        <v>4313.3999999999996</v>
      </c>
      <c r="C651" s="38">
        <v>44847</v>
      </c>
      <c r="D651" s="1" t="s">
        <v>68</v>
      </c>
      <c r="E651" s="1" t="s">
        <v>33</v>
      </c>
      <c r="F651" s="1" t="s">
        <v>199</v>
      </c>
      <c r="G651" s="5">
        <v>2.37</v>
      </c>
    </row>
    <row r="652" spans="1:7" x14ac:dyDescent="0.2">
      <c r="A652" s="3">
        <v>1820</v>
      </c>
      <c r="B652" s="2">
        <v>4313.3999999999996</v>
      </c>
      <c r="C652" s="38">
        <v>44847</v>
      </c>
      <c r="D652" s="1" t="s">
        <v>68</v>
      </c>
      <c r="E652" s="1" t="s">
        <v>33</v>
      </c>
      <c r="F652" s="1" t="s">
        <v>199</v>
      </c>
      <c r="G652" s="5">
        <v>2.37</v>
      </c>
    </row>
    <row r="653" spans="1:7" x14ac:dyDescent="0.2">
      <c r="A653" s="3">
        <v>1820</v>
      </c>
      <c r="B653" s="2">
        <v>4313.3999999999996</v>
      </c>
      <c r="C653" s="38">
        <v>44847</v>
      </c>
      <c r="D653" s="1" t="s">
        <v>68</v>
      </c>
      <c r="E653" s="1" t="s">
        <v>33</v>
      </c>
      <c r="F653" s="1" t="s">
        <v>199</v>
      </c>
      <c r="G653" s="5">
        <v>2.37</v>
      </c>
    </row>
    <row r="654" spans="1:7" x14ac:dyDescent="0.2">
      <c r="A654" s="3">
        <v>1820</v>
      </c>
      <c r="B654" s="2">
        <v>4313.3999999999996</v>
      </c>
      <c r="C654" s="38">
        <v>44847</v>
      </c>
      <c r="D654" s="1" t="s">
        <v>68</v>
      </c>
      <c r="E654" s="1" t="s">
        <v>33</v>
      </c>
      <c r="F654" s="1" t="s">
        <v>199</v>
      </c>
      <c r="G654" s="5">
        <v>2.37</v>
      </c>
    </row>
    <row r="655" spans="1:7" x14ac:dyDescent="0.2">
      <c r="A655" s="3">
        <v>1820</v>
      </c>
      <c r="B655" s="2">
        <v>4313.3999999999996</v>
      </c>
      <c r="C655" s="38">
        <v>44847</v>
      </c>
      <c r="D655" s="1" t="s">
        <v>68</v>
      </c>
      <c r="E655" s="1" t="s">
        <v>33</v>
      </c>
      <c r="F655" s="1" t="s">
        <v>199</v>
      </c>
      <c r="G655" s="5">
        <v>2.37</v>
      </c>
    </row>
    <row r="656" spans="1:7" x14ac:dyDescent="0.2">
      <c r="A656" s="3">
        <v>432</v>
      </c>
      <c r="B656" s="2">
        <v>46785.599999999999</v>
      </c>
      <c r="C656" s="38">
        <v>44897</v>
      </c>
      <c r="D656" s="1" t="s">
        <v>55</v>
      </c>
      <c r="E656" s="1" t="s">
        <v>33</v>
      </c>
      <c r="F656" s="1" t="s">
        <v>199</v>
      </c>
      <c r="G656" s="5">
        <v>108.3</v>
      </c>
    </row>
    <row r="657" spans="1:7" x14ac:dyDescent="0.2">
      <c r="A657" s="3">
        <v>192</v>
      </c>
      <c r="B657" s="2">
        <v>17230.080000000002</v>
      </c>
      <c r="C657" s="38">
        <v>44897</v>
      </c>
      <c r="D657" s="1" t="s">
        <v>71</v>
      </c>
      <c r="E657" s="1" t="s">
        <v>33</v>
      </c>
      <c r="F657" s="1" t="s">
        <v>199</v>
      </c>
      <c r="G657" s="5">
        <v>89.74</v>
      </c>
    </row>
    <row r="658" spans="1:7" x14ac:dyDescent="0.2">
      <c r="A658" s="3">
        <v>420</v>
      </c>
      <c r="B658" s="2">
        <v>320073.59999999998</v>
      </c>
      <c r="C658" s="38">
        <v>44902</v>
      </c>
      <c r="D658" s="1" t="s">
        <v>83</v>
      </c>
      <c r="E658" s="1" t="s">
        <v>33</v>
      </c>
      <c r="F658" s="1" t="s">
        <v>199</v>
      </c>
      <c r="G658" s="5">
        <v>762.08</v>
      </c>
    </row>
    <row r="659" spans="1:7" x14ac:dyDescent="0.2">
      <c r="A659" s="3">
        <v>108</v>
      </c>
      <c r="B659" s="2">
        <v>11695.32</v>
      </c>
      <c r="C659" s="38">
        <v>44753</v>
      </c>
      <c r="D659" s="1" t="s">
        <v>55</v>
      </c>
      <c r="E659" s="1" t="s">
        <v>33</v>
      </c>
      <c r="F659" s="1" t="s">
        <v>199</v>
      </c>
      <c r="G659" s="5">
        <v>108.29</v>
      </c>
    </row>
    <row r="660" spans="1:7" x14ac:dyDescent="0.2">
      <c r="A660" s="3">
        <v>216</v>
      </c>
      <c r="B660" s="2">
        <v>23392.799999999999</v>
      </c>
      <c r="C660" s="38">
        <v>44753</v>
      </c>
      <c r="D660" s="1" t="s">
        <v>55</v>
      </c>
      <c r="E660" s="1" t="s">
        <v>33</v>
      </c>
      <c r="F660" s="1" t="s">
        <v>199</v>
      </c>
      <c r="G660" s="5">
        <v>108.3</v>
      </c>
    </row>
    <row r="661" spans="1:7" x14ac:dyDescent="0.2">
      <c r="A661" s="3">
        <v>240</v>
      </c>
      <c r="B661" s="2">
        <v>105729.60000000001</v>
      </c>
      <c r="C661" s="38">
        <v>44753</v>
      </c>
      <c r="D661" s="1" t="s">
        <v>66</v>
      </c>
      <c r="E661" s="1" t="s">
        <v>33</v>
      </c>
      <c r="F661" s="1" t="s">
        <v>199</v>
      </c>
      <c r="G661" s="5">
        <v>440.54</v>
      </c>
    </row>
    <row r="662" spans="1:7" x14ac:dyDescent="0.2">
      <c r="A662" s="3">
        <v>240</v>
      </c>
      <c r="B662" s="2">
        <v>105729.60000000001</v>
      </c>
      <c r="C662" s="38">
        <v>44753</v>
      </c>
      <c r="D662" s="1" t="s">
        <v>66</v>
      </c>
      <c r="E662" s="1" t="s">
        <v>33</v>
      </c>
      <c r="F662" s="1" t="s">
        <v>199</v>
      </c>
      <c r="G662" s="5">
        <v>440.54</v>
      </c>
    </row>
    <row r="663" spans="1:7" x14ac:dyDescent="0.2">
      <c r="A663" s="3">
        <v>90</v>
      </c>
      <c r="B663" s="2">
        <v>39648.6</v>
      </c>
      <c r="C663" s="38">
        <v>44753</v>
      </c>
      <c r="D663" s="1" t="s">
        <v>66</v>
      </c>
      <c r="E663" s="1" t="s">
        <v>33</v>
      </c>
      <c r="F663" s="1" t="s">
        <v>199</v>
      </c>
      <c r="G663" s="5">
        <v>440.54</v>
      </c>
    </row>
    <row r="664" spans="1:7" x14ac:dyDescent="0.2">
      <c r="A664" s="3">
        <v>540</v>
      </c>
      <c r="B664" s="2">
        <v>58482</v>
      </c>
      <c r="C664" s="38">
        <v>44792</v>
      </c>
      <c r="D664" s="1" t="s">
        <v>55</v>
      </c>
      <c r="E664" s="1" t="s">
        <v>33</v>
      </c>
      <c r="F664" s="1" t="s">
        <v>199</v>
      </c>
      <c r="G664" s="5">
        <v>108.3</v>
      </c>
    </row>
    <row r="665" spans="1:7" x14ac:dyDescent="0.2">
      <c r="A665" s="3">
        <v>90</v>
      </c>
      <c r="B665" s="2">
        <v>39648.6</v>
      </c>
      <c r="C665" s="38">
        <v>44792</v>
      </c>
      <c r="D665" s="1" t="s">
        <v>66</v>
      </c>
      <c r="E665" s="1" t="s">
        <v>33</v>
      </c>
      <c r="F665" s="1" t="s">
        <v>199</v>
      </c>
      <c r="G665" s="5">
        <v>440.54</v>
      </c>
    </row>
    <row r="666" spans="1:7" x14ac:dyDescent="0.2">
      <c r="A666" s="3">
        <v>30</v>
      </c>
      <c r="B666" s="2">
        <v>13216.2</v>
      </c>
      <c r="C666" s="38">
        <v>44792</v>
      </c>
      <c r="D666" s="1" t="s">
        <v>66</v>
      </c>
      <c r="E666" s="1" t="s">
        <v>33</v>
      </c>
      <c r="F666" s="1" t="s">
        <v>199</v>
      </c>
      <c r="G666" s="5">
        <v>440.54</v>
      </c>
    </row>
    <row r="667" spans="1:7" x14ac:dyDescent="0.2">
      <c r="A667" s="3">
        <v>420</v>
      </c>
      <c r="B667" s="2">
        <v>320073.59999999998</v>
      </c>
      <c r="C667" s="38">
        <v>44792</v>
      </c>
      <c r="D667" s="1" t="s">
        <v>83</v>
      </c>
      <c r="E667" s="1" t="s">
        <v>33</v>
      </c>
      <c r="F667" s="1" t="s">
        <v>199</v>
      </c>
      <c r="G667" s="5">
        <v>762.08</v>
      </c>
    </row>
    <row r="668" spans="1:7" x14ac:dyDescent="0.2">
      <c r="A668" s="3">
        <v>588</v>
      </c>
      <c r="B668" s="2">
        <v>75075.839999999997</v>
      </c>
      <c r="C668" s="38">
        <v>44847</v>
      </c>
      <c r="D668" s="1" t="s">
        <v>117</v>
      </c>
      <c r="E668" s="1" t="s">
        <v>33</v>
      </c>
      <c r="F668" s="1" t="s">
        <v>199</v>
      </c>
      <c r="G668" s="5">
        <v>127.68</v>
      </c>
    </row>
    <row r="669" spans="1:7" x14ac:dyDescent="0.2">
      <c r="A669" s="3">
        <v>588</v>
      </c>
      <c r="B669" s="2">
        <v>75075.839999999997</v>
      </c>
      <c r="C669" s="38">
        <v>44847</v>
      </c>
      <c r="D669" s="1" t="s">
        <v>117</v>
      </c>
      <c r="E669" s="1" t="s">
        <v>33</v>
      </c>
      <c r="F669" s="1" t="s">
        <v>199</v>
      </c>
      <c r="G669" s="5">
        <v>127.68</v>
      </c>
    </row>
    <row r="670" spans="1:7" x14ac:dyDescent="0.2">
      <c r="A670" s="3">
        <v>1000</v>
      </c>
      <c r="B670" s="2">
        <v>89740</v>
      </c>
      <c r="C670" s="38">
        <v>44847</v>
      </c>
      <c r="D670" s="1" t="s">
        <v>71</v>
      </c>
      <c r="E670" s="1" t="s">
        <v>33</v>
      </c>
      <c r="F670" s="1" t="s">
        <v>199</v>
      </c>
      <c r="G670" s="5">
        <v>89.74</v>
      </c>
    </row>
    <row r="671" spans="1:7" x14ac:dyDescent="0.2">
      <c r="A671" s="3">
        <v>30</v>
      </c>
      <c r="B671" s="2">
        <v>22862.400000000001</v>
      </c>
      <c r="C671" s="38">
        <v>44847</v>
      </c>
      <c r="D671" s="1" t="s">
        <v>83</v>
      </c>
      <c r="E671" s="1" t="s">
        <v>33</v>
      </c>
      <c r="F671" s="1" t="s">
        <v>199</v>
      </c>
      <c r="G671" s="5">
        <v>762.08</v>
      </c>
    </row>
    <row r="672" spans="1:7" x14ac:dyDescent="0.2">
      <c r="A672" s="3">
        <v>270</v>
      </c>
      <c r="B672" s="2">
        <v>205761.6</v>
      </c>
      <c r="C672" s="38">
        <v>44902</v>
      </c>
      <c r="D672" s="1" t="s">
        <v>83</v>
      </c>
      <c r="E672" s="1" t="s">
        <v>33</v>
      </c>
      <c r="F672" s="1" t="s">
        <v>199</v>
      </c>
      <c r="G672" s="5">
        <v>762.08</v>
      </c>
    </row>
    <row r="673" spans="1:7" x14ac:dyDescent="0.2">
      <c r="A673" s="3">
        <v>270</v>
      </c>
      <c r="B673" s="2">
        <v>118945.8</v>
      </c>
      <c r="C673" s="38">
        <v>44753</v>
      </c>
      <c r="D673" s="1" t="s">
        <v>66</v>
      </c>
      <c r="E673" s="1" t="s">
        <v>33</v>
      </c>
      <c r="F673" s="1" t="s">
        <v>199</v>
      </c>
      <c r="G673" s="5">
        <v>440.54</v>
      </c>
    </row>
    <row r="674" spans="1:7" x14ac:dyDescent="0.2">
      <c r="A674" s="3">
        <v>150</v>
      </c>
      <c r="B674" s="2">
        <v>66081</v>
      </c>
      <c r="C674" s="38">
        <v>44753</v>
      </c>
      <c r="D674" s="1" t="s">
        <v>66</v>
      </c>
      <c r="E674" s="1" t="s">
        <v>33</v>
      </c>
      <c r="F674" s="1" t="s">
        <v>199</v>
      </c>
      <c r="G674" s="5">
        <v>440.54</v>
      </c>
    </row>
    <row r="675" spans="1:7" x14ac:dyDescent="0.2">
      <c r="A675" s="3">
        <v>150</v>
      </c>
      <c r="B675" s="2">
        <v>66081</v>
      </c>
      <c r="C675" s="38">
        <v>44753</v>
      </c>
      <c r="D675" s="1" t="s">
        <v>66</v>
      </c>
      <c r="E675" s="1" t="s">
        <v>33</v>
      </c>
      <c r="F675" s="1" t="s">
        <v>199</v>
      </c>
      <c r="G675" s="5">
        <v>440.54</v>
      </c>
    </row>
    <row r="676" spans="1:7" x14ac:dyDescent="0.2">
      <c r="A676" s="3">
        <v>270</v>
      </c>
      <c r="B676" s="2">
        <v>118945.8</v>
      </c>
      <c r="C676" s="38">
        <v>44753</v>
      </c>
      <c r="D676" s="1" t="s">
        <v>66</v>
      </c>
      <c r="E676" s="1" t="s">
        <v>33</v>
      </c>
      <c r="F676" s="1" t="s">
        <v>199</v>
      </c>
      <c r="G676" s="5">
        <v>440.54</v>
      </c>
    </row>
    <row r="677" spans="1:7" x14ac:dyDescent="0.2">
      <c r="A677" s="3">
        <v>270</v>
      </c>
      <c r="B677" s="2">
        <v>118945.8</v>
      </c>
      <c r="C677" s="38">
        <v>44753</v>
      </c>
      <c r="D677" s="1" t="s">
        <v>66</v>
      </c>
      <c r="E677" s="1" t="s">
        <v>33</v>
      </c>
      <c r="F677" s="1" t="s">
        <v>199</v>
      </c>
      <c r="G677" s="5">
        <v>440.54</v>
      </c>
    </row>
    <row r="678" spans="1:7" x14ac:dyDescent="0.2">
      <c r="A678" s="3">
        <v>150</v>
      </c>
      <c r="B678" s="2">
        <v>66081</v>
      </c>
      <c r="C678" s="38">
        <v>44753</v>
      </c>
      <c r="D678" s="1" t="s">
        <v>66</v>
      </c>
      <c r="E678" s="1" t="s">
        <v>33</v>
      </c>
      <c r="F678" s="1" t="s">
        <v>199</v>
      </c>
      <c r="G678" s="5">
        <v>440.54</v>
      </c>
    </row>
    <row r="679" spans="1:7" x14ac:dyDescent="0.2">
      <c r="A679" s="3">
        <v>240</v>
      </c>
      <c r="B679" s="2">
        <v>105729.60000000001</v>
      </c>
      <c r="C679" s="38">
        <v>44753</v>
      </c>
      <c r="D679" s="1" t="s">
        <v>66</v>
      </c>
      <c r="E679" s="1" t="s">
        <v>33</v>
      </c>
      <c r="F679" s="1" t="s">
        <v>199</v>
      </c>
      <c r="G679" s="5">
        <v>440.54</v>
      </c>
    </row>
    <row r="680" spans="1:7" x14ac:dyDescent="0.2">
      <c r="A680" s="3">
        <v>240</v>
      </c>
      <c r="B680" s="2">
        <v>105729.60000000001</v>
      </c>
      <c r="C680" s="38">
        <v>44753</v>
      </c>
      <c r="D680" s="1" t="s">
        <v>66</v>
      </c>
      <c r="E680" s="1" t="s">
        <v>33</v>
      </c>
      <c r="F680" s="1" t="s">
        <v>199</v>
      </c>
      <c r="G680" s="5">
        <v>440.54</v>
      </c>
    </row>
    <row r="681" spans="1:7" x14ac:dyDescent="0.2">
      <c r="A681" s="3">
        <v>360</v>
      </c>
      <c r="B681" s="2">
        <v>158594.4</v>
      </c>
      <c r="C681" s="38">
        <v>44753</v>
      </c>
      <c r="D681" s="1" t="s">
        <v>66</v>
      </c>
      <c r="E681" s="1" t="s">
        <v>33</v>
      </c>
      <c r="F681" s="1" t="s">
        <v>199</v>
      </c>
      <c r="G681" s="5">
        <v>440.54</v>
      </c>
    </row>
    <row r="682" spans="1:7" x14ac:dyDescent="0.2">
      <c r="A682" s="3">
        <v>150</v>
      </c>
      <c r="B682" s="2">
        <v>66081</v>
      </c>
      <c r="C682" s="38">
        <v>44753</v>
      </c>
      <c r="D682" s="1" t="s">
        <v>66</v>
      </c>
      <c r="E682" s="1" t="s">
        <v>33</v>
      </c>
      <c r="F682" s="1" t="s">
        <v>199</v>
      </c>
      <c r="G682" s="5">
        <v>440.54</v>
      </c>
    </row>
    <row r="683" spans="1:7" x14ac:dyDescent="0.2">
      <c r="A683" s="3">
        <v>240</v>
      </c>
      <c r="B683" s="2">
        <v>105729.60000000001</v>
      </c>
      <c r="C683" s="38">
        <v>44753</v>
      </c>
      <c r="D683" s="1" t="s">
        <v>66</v>
      </c>
      <c r="E683" s="1" t="s">
        <v>33</v>
      </c>
      <c r="F683" s="1" t="s">
        <v>199</v>
      </c>
      <c r="G683" s="5">
        <v>440.54</v>
      </c>
    </row>
    <row r="684" spans="1:7" x14ac:dyDescent="0.2">
      <c r="A684" s="3">
        <v>180</v>
      </c>
      <c r="B684" s="2">
        <v>79297.2</v>
      </c>
      <c r="C684" s="38">
        <v>44753</v>
      </c>
      <c r="D684" s="1" t="s">
        <v>66</v>
      </c>
      <c r="E684" s="1" t="s">
        <v>33</v>
      </c>
      <c r="F684" s="1" t="s">
        <v>199</v>
      </c>
      <c r="G684" s="5">
        <v>440.54</v>
      </c>
    </row>
    <row r="685" spans="1:7" x14ac:dyDescent="0.2">
      <c r="A685" s="3">
        <v>252</v>
      </c>
      <c r="B685" s="2">
        <v>19056.240000000002</v>
      </c>
      <c r="C685" s="38">
        <v>44854</v>
      </c>
      <c r="D685" s="1" t="s">
        <v>61</v>
      </c>
      <c r="E685" s="1" t="s">
        <v>33</v>
      </c>
      <c r="F685" s="1" t="s">
        <v>199</v>
      </c>
      <c r="G685" s="5">
        <v>75.62</v>
      </c>
    </row>
    <row r="686" spans="1:7" x14ac:dyDescent="0.2">
      <c r="A686" s="3">
        <v>30</v>
      </c>
      <c r="B686" s="2">
        <v>13216.2</v>
      </c>
      <c r="C686" s="38">
        <v>44854</v>
      </c>
      <c r="D686" s="1" t="s">
        <v>66</v>
      </c>
      <c r="E686" s="1" t="s">
        <v>33</v>
      </c>
      <c r="F686" s="1" t="s">
        <v>199</v>
      </c>
      <c r="G686" s="5">
        <v>440.54</v>
      </c>
    </row>
    <row r="687" spans="1:7" x14ac:dyDescent="0.2">
      <c r="A687" s="3">
        <v>588</v>
      </c>
      <c r="B687" s="2">
        <v>58982.28</v>
      </c>
      <c r="C687" s="38">
        <v>44854</v>
      </c>
      <c r="D687" s="1" t="s">
        <v>69</v>
      </c>
      <c r="E687" s="1" t="s">
        <v>33</v>
      </c>
      <c r="F687" s="1" t="s">
        <v>199</v>
      </c>
      <c r="G687" s="5">
        <v>100.31</v>
      </c>
    </row>
    <row r="688" spans="1:7" x14ac:dyDescent="0.2">
      <c r="A688" s="3">
        <v>588</v>
      </c>
      <c r="B688" s="2">
        <v>58982.28</v>
      </c>
      <c r="C688" s="38">
        <v>44854</v>
      </c>
      <c r="D688" s="1" t="s">
        <v>69</v>
      </c>
      <c r="E688" s="1" t="s">
        <v>33</v>
      </c>
      <c r="F688" s="1" t="s">
        <v>199</v>
      </c>
      <c r="G688" s="5">
        <v>100.31</v>
      </c>
    </row>
    <row r="689" spans="1:7" x14ac:dyDescent="0.2">
      <c r="A689" s="3">
        <v>588</v>
      </c>
      <c r="B689" s="2">
        <v>58982.28</v>
      </c>
      <c r="C689" s="38">
        <v>44854</v>
      </c>
      <c r="D689" s="1" t="s">
        <v>69</v>
      </c>
      <c r="E689" s="1" t="s">
        <v>33</v>
      </c>
      <c r="F689" s="1" t="s">
        <v>199</v>
      </c>
      <c r="G689" s="5">
        <v>100.31</v>
      </c>
    </row>
    <row r="690" spans="1:7" x14ac:dyDescent="0.2">
      <c r="A690" s="3">
        <v>588</v>
      </c>
      <c r="B690" s="2">
        <v>58982.28</v>
      </c>
      <c r="C690" s="38">
        <v>44854</v>
      </c>
      <c r="D690" s="1" t="s">
        <v>69</v>
      </c>
      <c r="E690" s="1" t="s">
        <v>33</v>
      </c>
      <c r="F690" s="1" t="s">
        <v>199</v>
      </c>
      <c r="G690" s="5">
        <v>100.31</v>
      </c>
    </row>
    <row r="691" spans="1:7" x14ac:dyDescent="0.2">
      <c r="A691" s="3">
        <v>588</v>
      </c>
      <c r="B691" s="2">
        <v>58982.28</v>
      </c>
      <c r="C691" s="38">
        <v>44854</v>
      </c>
      <c r="D691" s="1" t="s">
        <v>69</v>
      </c>
      <c r="E691" s="1" t="s">
        <v>33</v>
      </c>
      <c r="F691" s="1" t="s">
        <v>199</v>
      </c>
      <c r="G691" s="5">
        <v>100.31</v>
      </c>
    </row>
    <row r="692" spans="1:7" x14ac:dyDescent="0.2">
      <c r="A692" s="3">
        <v>588</v>
      </c>
      <c r="B692" s="2">
        <v>58982.28</v>
      </c>
      <c r="C692" s="38">
        <v>44854</v>
      </c>
      <c r="D692" s="1" t="s">
        <v>69</v>
      </c>
      <c r="E692" s="1" t="s">
        <v>33</v>
      </c>
      <c r="F692" s="1" t="s">
        <v>199</v>
      </c>
      <c r="G692" s="5">
        <v>100.31</v>
      </c>
    </row>
    <row r="693" spans="1:7" x14ac:dyDescent="0.2">
      <c r="A693" s="3">
        <v>588</v>
      </c>
      <c r="B693" s="2">
        <v>58982.28</v>
      </c>
      <c r="C693" s="38">
        <v>44854</v>
      </c>
      <c r="D693" s="1" t="s">
        <v>69</v>
      </c>
      <c r="E693" s="1" t="s">
        <v>33</v>
      </c>
      <c r="F693" s="1" t="s">
        <v>199</v>
      </c>
      <c r="G693" s="5">
        <v>100.31</v>
      </c>
    </row>
    <row r="694" spans="1:7" x14ac:dyDescent="0.2">
      <c r="A694" s="3">
        <v>588</v>
      </c>
      <c r="B694" s="2">
        <v>58982.28</v>
      </c>
      <c r="C694" s="38">
        <v>44854</v>
      </c>
      <c r="D694" s="1" t="s">
        <v>69</v>
      </c>
      <c r="E694" s="1" t="s">
        <v>33</v>
      </c>
      <c r="F694" s="1" t="s">
        <v>199</v>
      </c>
      <c r="G694" s="5">
        <v>100.31</v>
      </c>
    </row>
    <row r="695" spans="1:7" x14ac:dyDescent="0.2">
      <c r="A695" s="3">
        <v>588</v>
      </c>
      <c r="B695" s="2">
        <v>58982.28</v>
      </c>
      <c r="C695" s="38">
        <v>44854</v>
      </c>
      <c r="D695" s="1" t="s">
        <v>69</v>
      </c>
      <c r="E695" s="1" t="s">
        <v>33</v>
      </c>
      <c r="F695" s="1" t="s">
        <v>199</v>
      </c>
      <c r="G695" s="5">
        <v>100.31</v>
      </c>
    </row>
    <row r="696" spans="1:7" x14ac:dyDescent="0.2">
      <c r="A696" s="3">
        <v>588</v>
      </c>
      <c r="B696" s="2">
        <v>58982.28</v>
      </c>
      <c r="C696" s="38">
        <v>44854</v>
      </c>
      <c r="D696" s="1" t="s">
        <v>69</v>
      </c>
      <c r="E696" s="1" t="s">
        <v>33</v>
      </c>
      <c r="F696" s="1" t="s">
        <v>199</v>
      </c>
      <c r="G696" s="5">
        <v>100.31</v>
      </c>
    </row>
    <row r="697" spans="1:7" x14ac:dyDescent="0.2">
      <c r="A697" s="3">
        <v>60</v>
      </c>
      <c r="B697" s="2">
        <v>45724.800000000003</v>
      </c>
      <c r="C697" s="38">
        <v>44753</v>
      </c>
      <c r="D697" s="1" t="s">
        <v>83</v>
      </c>
      <c r="E697" s="1" t="s">
        <v>33</v>
      </c>
      <c r="F697" s="1" t="s">
        <v>199</v>
      </c>
      <c r="G697" s="5">
        <v>762.08</v>
      </c>
    </row>
    <row r="698" spans="1:7" x14ac:dyDescent="0.2">
      <c r="A698" s="3">
        <v>72</v>
      </c>
      <c r="B698" s="2">
        <v>6243.12</v>
      </c>
      <c r="C698" s="38">
        <v>44795</v>
      </c>
      <c r="D698" s="1" t="s">
        <v>113</v>
      </c>
      <c r="E698" s="1" t="s">
        <v>33</v>
      </c>
      <c r="F698" s="1" t="s">
        <v>199</v>
      </c>
      <c r="G698" s="5">
        <v>86.71</v>
      </c>
    </row>
    <row r="699" spans="1:7" x14ac:dyDescent="0.2">
      <c r="A699" s="3">
        <v>108</v>
      </c>
      <c r="B699" s="2">
        <v>9364.68</v>
      </c>
      <c r="C699" s="38">
        <v>44795</v>
      </c>
      <c r="D699" s="1" t="s">
        <v>113</v>
      </c>
      <c r="E699" s="1" t="s">
        <v>33</v>
      </c>
      <c r="F699" s="1" t="s">
        <v>199</v>
      </c>
      <c r="G699" s="5">
        <v>86.71</v>
      </c>
    </row>
    <row r="700" spans="1:7" x14ac:dyDescent="0.2">
      <c r="A700" s="3">
        <v>108</v>
      </c>
      <c r="B700" s="2">
        <v>9364.68</v>
      </c>
      <c r="C700" s="38">
        <v>44795</v>
      </c>
      <c r="D700" s="1" t="s">
        <v>113</v>
      </c>
      <c r="E700" s="1" t="s">
        <v>33</v>
      </c>
      <c r="F700" s="1" t="s">
        <v>199</v>
      </c>
      <c r="G700" s="5">
        <v>86.71</v>
      </c>
    </row>
    <row r="701" spans="1:7" x14ac:dyDescent="0.2">
      <c r="A701" s="3">
        <v>108</v>
      </c>
      <c r="B701" s="2">
        <v>9364.68</v>
      </c>
      <c r="C701" s="38">
        <v>44795</v>
      </c>
      <c r="D701" s="1" t="s">
        <v>113</v>
      </c>
      <c r="E701" s="1" t="s">
        <v>33</v>
      </c>
      <c r="F701" s="1" t="s">
        <v>199</v>
      </c>
      <c r="G701" s="5">
        <v>86.71</v>
      </c>
    </row>
    <row r="702" spans="1:7" x14ac:dyDescent="0.2">
      <c r="A702" s="3">
        <v>108</v>
      </c>
      <c r="B702" s="2">
        <v>9364.68</v>
      </c>
      <c r="C702" s="38">
        <v>44795</v>
      </c>
      <c r="D702" s="1" t="s">
        <v>113</v>
      </c>
      <c r="E702" s="1" t="s">
        <v>33</v>
      </c>
      <c r="F702" s="1" t="s">
        <v>199</v>
      </c>
      <c r="G702" s="5">
        <v>86.71</v>
      </c>
    </row>
    <row r="703" spans="1:7" x14ac:dyDescent="0.2">
      <c r="A703" s="3">
        <v>588</v>
      </c>
      <c r="B703" s="2">
        <v>58982.28</v>
      </c>
      <c r="C703" s="38">
        <v>44854</v>
      </c>
      <c r="D703" s="1" t="s">
        <v>69</v>
      </c>
      <c r="E703" s="1" t="s">
        <v>33</v>
      </c>
      <c r="F703" s="1" t="s">
        <v>199</v>
      </c>
      <c r="G703" s="5">
        <v>100.31</v>
      </c>
    </row>
    <row r="704" spans="1:7" x14ac:dyDescent="0.2">
      <c r="A704" s="3">
        <v>588</v>
      </c>
      <c r="B704" s="2">
        <v>58982.28</v>
      </c>
      <c r="C704" s="38">
        <v>44854</v>
      </c>
      <c r="D704" s="1" t="s">
        <v>69</v>
      </c>
      <c r="E704" s="1" t="s">
        <v>33</v>
      </c>
      <c r="F704" s="1" t="s">
        <v>199</v>
      </c>
      <c r="G704" s="5">
        <v>100.31</v>
      </c>
    </row>
    <row r="705" spans="1:7" x14ac:dyDescent="0.2">
      <c r="A705" s="3">
        <v>588</v>
      </c>
      <c r="B705" s="2">
        <v>58982.28</v>
      </c>
      <c r="C705" s="38">
        <v>44854</v>
      </c>
      <c r="D705" s="1" t="s">
        <v>69</v>
      </c>
      <c r="E705" s="1" t="s">
        <v>33</v>
      </c>
      <c r="F705" s="1" t="s">
        <v>199</v>
      </c>
      <c r="G705" s="5">
        <v>100.31</v>
      </c>
    </row>
    <row r="706" spans="1:7" x14ac:dyDescent="0.2">
      <c r="A706" s="3">
        <v>588</v>
      </c>
      <c r="B706" s="2">
        <v>58982.28</v>
      </c>
      <c r="C706" s="38">
        <v>44854</v>
      </c>
      <c r="D706" s="1" t="s">
        <v>69</v>
      </c>
      <c r="E706" s="1" t="s">
        <v>33</v>
      </c>
      <c r="F706" s="1" t="s">
        <v>199</v>
      </c>
      <c r="G706" s="5">
        <v>100.31</v>
      </c>
    </row>
    <row r="707" spans="1:7" x14ac:dyDescent="0.2">
      <c r="A707" s="3">
        <v>588</v>
      </c>
      <c r="B707" s="2">
        <v>58982.28</v>
      </c>
      <c r="C707" s="38">
        <v>44854</v>
      </c>
      <c r="D707" s="1" t="s">
        <v>69</v>
      </c>
      <c r="E707" s="1" t="s">
        <v>33</v>
      </c>
      <c r="F707" s="1" t="s">
        <v>199</v>
      </c>
      <c r="G707" s="5">
        <v>100.31</v>
      </c>
    </row>
    <row r="708" spans="1:7" x14ac:dyDescent="0.2">
      <c r="A708" s="3">
        <v>588</v>
      </c>
      <c r="B708" s="2">
        <v>58982.28</v>
      </c>
      <c r="C708" s="38">
        <v>44854</v>
      </c>
      <c r="D708" s="1" t="s">
        <v>69</v>
      </c>
      <c r="E708" s="1" t="s">
        <v>33</v>
      </c>
      <c r="F708" s="1" t="s">
        <v>199</v>
      </c>
      <c r="G708" s="5">
        <v>100.31</v>
      </c>
    </row>
    <row r="709" spans="1:7" x14ac:dyDescent="0.2">
      <c r="A709" s="3">
        <v>588</v>
      </c>
      <c r="B709" s="2">
        <v>58982.28</v>
      </c>
      <c r="C709" s="38">
        <v>44854</v>
      </c>
      <c r="D709" s="1" t="s">
        <v>69</v>
      </c>
      <c r="E709" s="1" t="s">
        <v>33</v>
      </c>
      <c r="F709" s="1" t="s">
        <v>199</v>
      </c>
      <c r="G709" s="5">
        <v>100.31</v>
      </c>
    </row>
    <row r="710" spans="1:7" x14ac:dyDescent="0.2">
      <c r="A710" s="3">
        <v>588</v>
      </c>
      <c r="B710" s="2">
        <v>58982.28</v>
      </c>
      <c r="C710" s="38">
        <v>44854</v>
      </c>
      <c r="D710" s="1" t="s">
        <v>69</v>
      </c>
      <c r="E710" s="1" t="s">
        <v>33</v>
      </c>
      <c r="F710" s="1" t="s">
        <v>199</v>
      </c>
      <c r="G710" s="5">
        <v>100.31</v>
      </c>
    </row>
    <row r="711" spans="1:7" x14ac:dyDescent="0.2">
      <c r="A711" s="3">
        <v>588</v>
      </c>
      <c r="B711" s="2">
        <v>58982.28</v>
      </c>
      <c r="C711" s="38">
        <v>44854</v>
      </c>
      <c r="D711" s="1" t="s">
        <v>69</v>
      </c>
      <c r="E711" s="1" t="s">
        <v>33</v>
      </c>
      <c r="F711" s="1" t="s">
        <v>199</v>
      </c>
      <c r="G711" s="5">
        <v>100.31</v>
      </c>
    </row>
    <row r="712" spans="1:7" x14ac:dyDescent="0.2">
      <c r="A712" s="3">
        <v>588</v>
      </c>
      <c r="B712" s="2">
        <v>58982.28</v>
      </c>
      <c r="C712" s="38">
        <v>44854</v>
      </c>
      <c r="D712" s="1" t="s">
        <v>69</v>
      </c>
      <c r="E712" s="1" t="s">
        <v>33</v>
      </c>
      <c r="F712" s="1" t="s">
        <v>199</v>
      </c>
      <c r="G712" s="5">
        <v>100.31</v>
      </c>
    </row>
    <row r="713" spans="1:7" x14ac:dyDescent="0.2">
      <c r="A713" s="3">
        <v>588</v>
      </c>
      <c r="B713" s="2">
        <v>58982.28</v>
      </c>
      <c r="C713" s="38">
        <v>44854</v>
      </c>
      <c r="D713" s="1" t="s">
        <v>69</v>
      </c>
      <c r="E713" s="1" t="s">
        <v>33</v>
      </c>
      <c r="F713" s="1" t="s">
        <v>199</v>
      </c>
      <c r="G713" s="5">
        <v>100.31</v>
      </c>
    </row>
    <row r="714" spans="1:7" x14ac:dyDescent="0.2">
      <c r="A714" s="3">
        <v>588</v>
      </c>
      <c r="B714" s="2">
        <v>58982.28</v>
      </c>
      <c r="C714" s="38">
        <v>44854</v>
      </c>
      <c r="D714" s="1" t="s">
        <v>69</v>
      </c>
      <c r="E714" s="1" t="s">
        <v>33</v>
      </c>
      <c r="F714" s="1" t="s">
        <v>199</v>
      </c>
      <c r="G714" s="5">
        <v>100.31</v>
      </c>
    </row>
    <row r="715" spans="1:7" x14ac:dyDescent="0.2">
      <c r="A715" s="3">
        <v>588</v>
      </c>
      <c r="B715" s="2">
        <v>58982.28</v>
      </c>
      <c r="C715" s="38">
        <v>44854</v>
      </c>
      <c r="D715" s="1" t="s">
        <v>69</v>
      </c>
      <c r="E715" s="1" t="s">
        <v>33</v>
      </c>
      <c r="F715" s="1" t="s">
        <v>199</v>
      </c>
      <c r="G715" s="5">
        <v>100.31</v>
      </c>
    </row>
    <row r="716" spans="1:7" x14ac:dyDescent="0.2">
      <c r="A716" s="3">
        <v>588</v>
      </c>
      <c r="B716" s="2">
        <v>58982.28</v>
      </c>
      <c r="C716" s="38">
        <v>44854</v>
      </c>
      <c r="D716" s="1" t="s">
        <v>69</v>
      </c>
      <c r="E716" s="1" t="s">
        <v>33</v>
      </c>
      <c r="F716" s="1" t="s">
        <v>199</v>
      </c>
      <c r="G716" s="5">
        <v>100.31</v>
      </c>
    </row>
    <row r="717" spans="1:7" x14ac:dyDescent="0.2">
      <c r="A717" s="3">
        <v>588</v>
      </c>
      <c r="B717" s="2">
        <v>58982.28</v>
      </c>
      <c r="C717" s="38">
        <v>44854</v>
      </c>
      <c r="D717" s="1" t="s">
        <v>69</v>
      </c>
      <c r="E717" s="1" t="s">
        <v>33</v>
      </c>
      <c r="F717" s="1" t="s">
        <v>199</v>
      </c>
      <c r="G717" s="5">
        <v>100.31</v>
      </c>
    </row>
    <row r="718" spans="1:7" x14ac:dyDescent="0.2">
      <c r="A718" s="3">
        <v>588</v>
      </c>
      <c r="B718" s="2">
        <v>58982.28</v>
      </c>
      <c r="C718" s="38">
        <v>44854</v>
      </c>
      <c r="D718" s="1" t="s">
        <v>69</v>
      </c>
      <c r="E718" s="1" t="s">
        <v>33</v>
      </c>
      <c r="F718" s="1" t="s">
        <v>199</v>
      </c>
      <c r="G718" s="5">
        <v>100.31</v>
      </c>
    </row>
    <row r="719" spans="1:7" x14ac:dyDescent="0.2">
      <c r="A719" s="3">
        <v>588</v>
      </c>
      <c r="B719" s="2">
        <v>58982.28</v>
      </c>
      <c r="C719" s="38">
        <v>44854</v>
      </c>
      <c r="D719" s="1" t="s">
        <v>69</v>
      </c>
      <c r="E719" s="1" t="s">
        <v>33</v>
      </c>
      <c r="F719" s="1" t="s">
        <v>199</v>
      </c>
      <c r="G719" s="5">
        <v>100.31</v>
      </c>
    </row>
    <row r="720" spans="1:7" x14ac:dyDescent="0.2">
      <c r="A720" s="3">
        <v>210</v>
      </c>
      <c r="B720" s="2">
        <v>76015.8</v>
      </c>
      <c r="C720" s="38">
        <v>44854</v>
      </c>
      <c r="D720" s="1" t="s">
        <v>74</v>
      </c>
      <c r="E720" s="1" t="s">
        <v>33</v>
      </c>
      <c r="F720" s="1" t="s">
        <v>199</v>
      </c>
      <c r="G720" s="5">
        <v>361.98</v>
      </c>
    </row>
    <row r="721" spans="1:7" x14ac:dyDescent="0.2">
      <c r="A721" s="3">
        <v>2784</v>
      </c>
      <c r="B721" s="2">
        <v>2288113.92</v>
      </c>
      <c r="C721" s="38">
        <v>44854</v>
      </c>
      <c r="D721" s="1" t="s">
        <v>141</v>
      </c>
      <c r="E721" s="1" t="s">
        <v>33</v>
      </c>
      <c r="F721" s="1" t="s">
        <v>199</v>
      </c>
      <c r="G721" s="5">
        <v>821.88</v>
      </c>
    </row>
    <row r="722" spans="1:7" x14ac:dyDescent="0.2">
      <c r="A722" s="3">
        <v>2000</v>
      </c>
      <c r="B722" s="2">
        <v>3660</v>
      </c>
      <c r="C722" s="38">
        <v>44914</v>
      </c>
      <c r="D722" s="1" t="s">
        <v>56</v>
      </c>
      <c r="E722" s="1" t="s">
        <v>33</v>
      </c>
      <c r="F722" s="1" t="s">
        <v>199</v>
      </c>
      <c r="G722" s="5">
        <v>1.83</v>
      </c>
    </row>
    <row r="723" spans="1:7" x14ac:dyDescent="0.2">
      <c r="A723" s="3">
        <v>1000</v>
      </c>
      <c r="B723" s="2">
        <v>1830</v>
      </c>
      <c r="C723" s="38">
        <v>44914</v>
      </c>
      <c r="D723" s="1" t="s">
        <v>56</v>
      </c>
      <c r="E723" s="1" t="s">
        <v>33</v>
      </c>
      <c r="F723" s="1" t="s">
        <v>199</v>
      </c>
      <c r="G723" s="5">
        <v>1.83</v>
      </c>
    </row>
    <row r="724" spans="1:7" x14ac:dyDescent="0.2">
      <c r="A724" s="3">
        <v>808</v>
      </c>
      <c r="B724" s="2">
        <v>72518</v>
      </c>
      <c r="C724" s="38">
        <v>44914</v>
      </c>
      <c r="D724" s="1" t="s">
        <v>71</v>
      </c>
      <c r="E724" s="1" t="s">
        <v>33</v>
      </c>
      <c r="F724" s="1" t="s">
        <v>199</v>
      </c>
      <c r="G724" s="5">
        <v>89.75</v>
      </c>
    </row>
    <row r="725" spans="1:7" x14ac:dyDescent="0.2">
      <c r="A725" s="3">
        <v>352</v>
      </c>
      <c r="B725" s="2">
        <v>31592</v>
      </c>
      <c r="C725" s="38">
        <v>44914</v>
      </c>
      <c r="D725" s="1" t="s">
        <v>71</v>
      </c>
      <c r="E725" s="1" t="s">
        <v>33</v>
      </c>
      <c r="F725" s="1" t="s">
        <v>199</v>
      </c>
      <c r="G725" s="5">
        <v>89.75</v>
      </c>
    </row>
    <row r="726" spans="1:7" x14ac:dyDescent="0.2">
      <c r="A726" s="3">
        <v>210</v>
      </c>
      <c r="B726" s="2">
        <v>85386</v>
      </c>
      <c r="C726" s="38">
        <v>44914</v>
      </c>
      <c r="D726" s="1" t="s">
        <v>73</v>
      </c>
      <c r="E726" s="1" t="s">
        <v>33</v>
      </c>
      <c r="F726" s="1" t="s">
        <v>199</v>
      </c>
      <c r="G726" s="5">
        <v>406.6</v>
      </c>
    </row>
    <row r="727" spans="1:7" x14ac:dyDescent="0.2">
      <c r="A727" s="3">
        <v>4500</v>
      </c>
      <c r="B727" s="2">
        <v>5175</v>
      </c>
      <c r="C727" s="38">
        <v>44914</v>
      </c>
      <c r="D727" s="1" t="s">
        <v>79</v>
      </c>
      <c r="E727" s="1" t="s">
        <v>33</v>
      </c>
      <c r="F727" s="1" t="s">
        <v>199</v>
      </c>
      <c r="G727" s="5">
        <v>1.1499999999999999</v>
      </c>
    </row>
    <row r="728" spans="1:7" x14ac:dyDescent="0.2">
      <c r="A728" s="3">
        <v>150</v>
      </c>
      <c r="B728" s="2">
        <v>114312</v>
      </c>
      <c r="C728" s="38">
        <v>44914</v>
      </c>
      <c r="D728" s="1" t="s">
        <v>83</v>
      </c>
      <c r="E728" s="1" t="s">
        <v>33</v>
      </c>
      <c r="F728" s="1" t="s">
        <v>199</v>
      </c>
      <c r="G728" s="5">
        <v>762.08</v>
      </c>
    </row>
    <row r="729" spans="1:7" x14ac:dyDescent="0.2">
      <c r="A729" s="3">
        <v>210</v>
      </c>
      <c r="B729" s="2">
        <v>160036.79999999999</v>
      </c>
      <c r="C729" s="38">
        <v>44914</v>
      </c>
      <c r="D729" s="1" t="s">
        <v>83</v>
      </c>
      <c r="E729" s="1" t="s">
        <v>33</v>
      </c>
      <c r="F729" s="1" t="s">
        <v>199</v>
      </c>
      <c r="G729" s="5">
        <v>762.08</v>
      </c>
    </row>
    <row r="730" spans="1:7" x14ac:dyDescent="0.2">
      <c r="A730" s="3">
        <v>60</v>
      </c>
      <c r="B730" s="2">
        <v>45724.800000000003</v>
      </c>
      <c r="C730" s="38">
        <v>44761</v>
      </c>
      <c r="D730" s="1" t="s">
        <v>83</v>
      </c>
      <c r="E730" s="1" t="s">
        <v>33</v>
      </c>
      <c r="F730" s="1" t="s">
        <v>199</v>
      </c>
      <c r="G730" s="5">
        <v>762.08</v>
      </c>
    </row>
    <row r="731" spans="1:7" x14ac:dyDescent="0.2">
      <c r="A731" s="3">
        <v>420</v>
      </c>
      <c r="B731" s="2">
        <v>320073.59999999998</v>
      </c>
      <c r="C731" s="38">
        <v>44761</v>
      </c>
      <c r="D731" s="1" t="s">
        <v>83</v>
      </c>
      <c r="E731" s="1" t="s">
        <v>33</v>
      </c>
      <c r="F731" s="1" t="s">
        <v>199</v>
      </c>
      <c r="G731" s="5">
        <v>762.08</v>
      </c>
    </row>
    <row r="732" spans="1:7" x14ac:dyDescent="0.2">
      <c r="A732" s="3">
        <v>420</v>
      </c>
      <c r="B732" s="2">
        <v>320073.59999999998</v>
      </c>
      <c r="C732" s="38">
        <v>44761</v>
      </c>
      <c r="D732" s="1" t="s">
        <v>83</v>
      </c>
      <c r="E732" s="1" t="s">
        <v>33</v>
      </c>
      <c r="F732" s="1" t="s">
        <v>199</v>
      </c>
      <c r="G732" s="5">
        <v>762.08</v>
      </c>
    </row>
    <row r="733" spans="1:7" x14ac:dyDescent="0.2">
      <c r="A733" s="3">
        <v>420</v>
      </c>
      <c r="B733" s="2">
        <v>320073.59999999998</v>
      </c>
      <c r="C733" s="38">
        <v>44761</v>
      </c>
      <c r="D733" s="1" t="s">
        <v>83</v>
      </c>
      <c r="E733" s="1" t="s">
        <v>33</v>
      </c>
      <c r="F733" s="1" t="s">
        <v>199</v>
      </c>
      <c r="G733" s="5">
        <v>762.08</v>
      </c>
    </row>
    <row r="734" spans="1:7" x14ac:dyDescent="0.2">
      <c r="A734" s="3">
        <v>420</v>
      </c>
      <c r="B734" s="2">
        <v>320073.59999999998</v>
      </c>
      <c r="C734" s="38">
        <v>44764</v>
      </c>
      <c r="D734" s="1" t="s">
        <v>83</v>
      </c>
      <c r="E734" s="1" t="s">
        <v>33</v>
      </c>
      <c r="F734" s="1" t="s">
        <v>199</v>
      </c>
      <c r="G734" s="5">
        <v>762.08</v>
      </c>
    </row>
    <row r="735" spans="1:7" x14ac:dyDescent="0.2">
      <c r="A735" s="3">
        <v>30</v>
      </c>
      <c r="B735" s="2">
        <v>13216.2</v>
      </c>
      <c r="C735" s="38">
        <v>44806</v>
      </c>
      <c r="D735" s="1" t="s">
        <v>66</v>
      </c>
      <c r="E735" s="1" t="s">
        <v>33</v>
      </c>
      <c r="F735" s="1" t="s">
        <v>199</v>
      </c>
      <c r="G735" s="5">
        <v>440.54</v>
      </c>
    </row>
    <row r="736" spans="1:7" x14ac:dyDescent="0.2">
      <c r="A736" s="3">
        <v>90</v>
      </c>
      <c r="B736" s="2">
        <v>39648.6</v>
      </c>
      <c r="C736" s="38">
        <v>44806</v>
      </c>
      <c r="D736" s="1" t="s">
        <v>66</v>
      </c>
      <c r="E736" s="1" t="s">
        <v>33</v>
      </c>
      <c r="F736" s="1" t="s">
        <v>199</v>
      </c>
      <c r="G736" s="5">
        <v>440.54</v>
      </c>
    </row>
    <row r="737" spans="1:7" x14ac:dyDescent="0.2">
      <c r="A737" s="3">
        <v>30</v>
      </c>
      <c r="B737" s="2">
        <v>13216.2</v>
      </c>
      <c r="C737" s="38">
        <v>44806</v>
      </c>
      <c r="D737" s="1" t="s">
        <v>66</v>
      </c>
      <c r="E737" s="1" t="s">
        <v>33</v>
      </c>
      <c r="F737" s="1" t="s">
        <v>199</v>
      </c>
      <c r="G737" s="5">
        <v>440.54</v>
      </c>
    </row>
    <row r="738" spans="1:7" x14ac:dyDescent="0.2">
      <c r="A738" s="3">
        <v>30</v>
      </c>
      <c r="B738" s="2">
        <v>13216.2</v>
      </c>
      <c r="C738" s="38">
        <v>44806</v>
      </c>
      <c r="D738" s="1" t="s">
        <v>66</v>
      </c>
      <c r="E738" s="1" t="s">
        <v>33</v>
      </c>
      <c r="F738" s="1" t="s">
        <v>199</v>
      </c>
      <c r="G738" s="5">
        <v>440.54</v>
      </c>
    </row>
    <row r="739" spans="1:7" x14ac:dyDescent="0.2">
      <c r="A739" s="3">
        <v>30</v>
      </c>
      <c r="B739" s="2">
        <v>13216.2</v>
      </c>
      <c r="C739" s="38">
        <v>44806</v>
      </c>
      <c r="D739" s="1" t="s">
        <v>66</v>
      </c>
      <c r="E739" s="1" t="s">
        <v>33</v>
      </c>
      <c r="F739" s="1" t="s">
        <v>199</v>
      </c>
      <c r="G739" s="5">
        <v>440.54</v>
      </c>
    </row>
    <row r="740" spans="1:7" x14ac:dyDescent="0.2">
      <c r="A740" s="3">
        <v>90</v>
      </c>
      <c r="B740" s="2">
        <v>39648.6</v>
      </c>
      <c r="C740" s="38">
        <v>44806</v>
      </c>
      <c r="D740" s="1" t="s">
        <v>66</v>
      </c>
      <c r="E740" s="1" t="s">
        <v>33</v>
      </c>
      <c r="F740" s="1" t="s">
        <v>199</v>
      </c>
      <c r="G740" s="5">
        <v>440.54</v>
      </c>
    </row>
    <row r="741" spans="1:7" x14ac:dyDescent="0.2">
      <c r="A741" s="3">
        <v>60</v>
      </c>
      <c r="B741" s="2">
        <v>26432.400000000001</v>
      </c>
      <c r="C741" s="38">
        <v>44806</v>
      </c>
      <c r="D741" s="1" t="s">
        <v>66</v>
      </c>
      <c r="E741" s="1" t="s">
        <v>33</v>
      </c>
      <c r="F741" s="1" t="s">
        <v>199</v>
      </c>
      <c r="G741" s="5">
        <v>440.54</v>
      </c>
    </row>
    <row r="742" spans="1:7" x14ac:dyDescent="0.2">
      <c r="A742" s="3">
        <v>60</v>
      </c>
      <c r="B742" s="2">
        <v>26432.400000000001</v>
      </c>
      <c r="C742" s="38">
        <v>44806</v>
      </c>
      <c r="D742" s="1" t="s">
        <v>66</v>
      </c>
      <c r="E742" s="1" t="s">
        <v>33</v>
      </c>
      <c r="F742" s="1" t="s">
        <v>199</v>
      </c>
      <c r="G742" s="5">
        <v>440.54</v>
      </c>
    </row>
    <row r="743" spans="1:7" x14ac:dyDescent="0.2">
      <c r="A743" s="3">
        <v>3000</v>
      </c>
      <c r="B743" s="2">
        <v>3720</v>
      </c>
      <c r="C743" s="38">
        <v>44859</v>
      </c>
      <c r="D743" s="1" t="s">
        <v>80</v>
      </c>
      <c r="E743" s="1" t="s">
        <v>33</v>
      </c>
      <c r="F743" s="1" t="s">
        <v>199</v>
      </c>
      <c r="G743" s="5">
        <v>1.24</v>
      </c>
    </row>
    <row r="744" spans="1:7" x14ac:dyDescent="0.2">
      <c r="A744" s="3">
        <v>420</v>
      </c>
      <c r="B744" s="2">
        <v>320073.59999999998</v>
      </c>
      <c r="C744" s="38">
        <v>44859</v>
      </c>
      <c r="D744" s="1" t="s">
        <v>83</v>
      </c>
      <c r="E744" s="1" t="s">
        <v>33</v>
      </c>
      <c r="F744" s="1" t="s">
        <v>199</v>
      </c>
      <c r="G744" s="5">
        <v>762.08</v>
      </c>
    </row>
    <row r="745" spans="1:7" x14ac:dyDescent="0.2">
      <c r="A745" s="3">
        <v>1820</v>
      </c>
      <c r="B745" s="2">
        <v>4313.3999999999996</v>
      </c>
      <c r="C745" s="38">
        <v>44806</v>
      </c>
      <c r="D745" s="1" t="s">
        <v>68</v>
      </c>
      <c r="E745" s="1" t="s">
        <v>33</v>
      </c>
      <c r="F745" s="1" t="s">
        <v>199</v>
      </c>
      <c r="G745" s="5">
        <v>2.37</v>
      </c>
    </row>
    <row r="746" spans="1:7" x14ac:dyDescent="0.2">
      <c r="A746" s="3">
        <v>432</v>
      </c>
      <c r="B746" s="2">
        <v>46785.599999999999</v>
      </c>
      <c r="C746" s="38">
        <v>44862</v>
      </c>
      <c r="D746" s="1" t="s">
        <v>55</v>
      </c>
      <c r="E746" s="1" t="s">
        <v>33</v>
      </c>
      <c r="F746" s="1" t="s">
        <v>199</v>
      </c>
      <c r="G746" s="5">
        <v>108.3</v>
      </c>
    </row>
    <row r="747" spans="1:7" x14ac:dyDescent="0.2">
      <c r="A747" s="3">
        <v>432</v>
      </c>
      <c r="B747" s="2">
        <v>46785.599999999999</v>
      </c>
      <c r="C747" s="38">
        <v>44862</v>
      </c>
      <c r="D747" s="1" t="s">
        <v>55</v>
      </c>
      <c r="E747" s="1" t="s">
        <v>33</v>
      </c>
      <c r="F747" s="1" t="s">
        <v>199</v>
      </c>
      <c r="G747" s="5">
        <v>108.3</v>
      </c>
    </row>
    <row r="748" spans="1:7" x14ac:dyDescent="0.2">
      <c r="A748" s="3">
        <v>432</v>
      </c>
      <c r="B748" s="2">
        <v>46785.599999999999</v>
      </c>
      <c r="C748" s="38">
        <v>44862</v>
      </c>
      <c r="D748" s="1" t="s">
        <v>55</v>
      </c>
      <c r="E748" s="1" t="s">
        <v>33</v>
      </c>
      <c r="F748" s="1" t="s">
        <v>199</v>
      </c>
      <c r="G748" s="5">
        <v>108.3</v>
      </c>
    </row>
    <row r="749" spans="1:7" x14ac:dyDescent="0.2">
      <c r="A749" s="3">
        <v>216</v>
      </c>
      <c r="B749" s="2">
        <v>23392.799999999999</v>
      </c>
      <c r="C749" s="38">
        <v>44862</v>
      </c>
      <c r="D749" s="1" t="s">
        <v>55</v>
      </c>
      <c r="E749" s="1" t="s">
        <v>33</v>
      </c>
      <c r="F749" s="1" t="s">
        <v>199</v>
      </c>
      <c r="G749" s="5">
        <v>108.3</v>
      </c>
    </row>
    <row r="750" spans="1:7" x14ac:dyDescent="0.2">
      <c r="A750" s="3">
        <v>2000</v>
      </c>
      <c r="B750" s="2">
        <v>3660</v>
      </c>
      <c r="C750" s="38">
        <v>44862</v>
      </c>
      <c r="D750" s="1" t="s">
        <v>56</v>
      </c>
      <c r="E750" s="1" t="s">
        <v>33</v>
      </c>
      <c r="F750" s="1" t="s">
        <v>199</v>
      </c>
      <c r="G750" s="5">
        <v>1.83</v>
      </c>
    </row>
    <row r="751" spans="1:7" x14ac:dyDescent="0.2">
      <c r="A751" s="3">
        <v>220</v>
      </c>
      <c r="B751" s="2">
        <v>30272</v>
      </c>
      <c r="C751" s="38">
        <v>44862</v>
      </c>
      <c r="D751" s="1" t="s">
        <v>136</v>
      </c>
      <c r="E751" s="1" t="s">
        <v>33</v>
      </c>
      <c r="F751" s="1" t="s">
        <v>199</v>
      </c>
      <c r="G751" s="5">
        <v>137.6</v>
      </c>
    </row>
    <row r="752" spans="1:7" x14ac:dyDescent="0.2">
      <c r="A752" s="3">
        <v>756</v>
      </c>
      <c r="B752" s="2">
        <v>57168.72</v>
      </c>
      <c r="C752" s="38">
        <v>44862</v>
      </c>
      <c r="D752" s="1" t="s">
        <v>61</v>
      </c>
      <c r="E752" s="1" t="s">
        <v>33</v>
      </c>
      <c r="F752" s="1" t="s">
        <v>199</v>
      </c>
      <c r="G752" s="5">
        <v>75.62</v>
      </c>
    </row>
    <row r="753" spans="1:7" x14ac:dyDescent="0.2">
      <c r="A753" s="3">
        <v>1820</v>
      </c>
      <c r="B753" s="2">
        <v>4313.3999999999996</v>
      </c>
      <c r="C753" s="38">
        <v>44862</v>
      </c>
      <c r="D753" s="1" t="s">
        <v>68</v>
      </c>
      <c r="E753" s="1" t="s">
        <v>33</v>
      </c>
      <c r="F753" s="1" t="s">
        <v>199</v>
      </c>
      <c r="G753" s="5">
        <v>2.37</v>
      </c>
    </row>
    <row r="754" spans="1:7" x14ac:dyDescent="0.2">
      <c r="A754" s="3">
        <v>3000</v>
      </c>
      <c r="B754" s="2">
        <v>3450</v>
      </c>
      <c r="C754" s="38">
        <v>44862</v>
      </c>
      <c r="D754" s="1" t="s">
        <v>79</v>
      </c>
      <c r="E754" s="1" t="s">
        <v>33</v>
      </c>
      <c r="F754" s="1" t="s">
        <v>199</v>
      </c>
      <c r="G754" s="5">
        <v>1.1499999999999999</v>
      </c>
    </row>
    <row r="755" spans="1:7" x14ac:dyDescent="0.2">
      <c r="A755" s="3">
        <v>210</v>
      </c>
      <c r="B755" s="2">
        <v>160036.79999999999</v>
      </c>
      <c r="C755" s="38">
        <v>44862</v>
      </c>
      <c r="D755" s="1" t="s">
        <v>83</v>
      </c>
      <c r="E755" s="1" t="s">
        <v>33</v>
      </c>
      <c r="F755" s="1" t="s">
        <v>199</v>
      </c>
      <c r="G755" s="5">
        <v>762.08</v>
      </c>
    </row>
    <row r="756" spans="1:7" x14ac:dyDescent="0.2">
      <c r="A756" s="3">
        <v>420</v>
      </c>
      <c r="B756" s="2">
        <v>320073.59999999998</v>
      </c>
      <c r="C756" s="38">
        <v>44862</v>
      </c>
      <c r="D756" s="1" t="s">
        <v>83</v>
      </c>
      <c r="E756" s="1" t="s">
        <v>33</v>
      </c>
      <c r="F756" s="1" t="s">
        <v>199</v>
      </c>
      <c r="G756" s="5">
        <v>762.08</v>
      </c>
    </row>
    <row r="757" spans="1:7" x14ac:dyDescent="0.2">
      <c r="A757" s="3">
        <v>420</v>
      </c>
      <c r="B757" s="2">
        <v>320073.59999999998</v>
      </c>
      <c r="C757" s="38">
        <v>44862</v>
      </c>
      <c r="D757" s="1" t="s">
        <v>83</v>
      </c>
      <c r="E757" s="1" t="s">
        <v>33</v>
      </c>
      <c r="F757" s="1" t="s">
        <v>199</v>
      </c>
      <c r="G757" s="5">
        <v>762.08</v>
      </c>
    </row>
    <row r="758" spans="1:7" x14ac:dyDescent="0.2">
      <c r="A758" s="3">
        <v>30</v>
      </c>
      <c r="B758" s="2">
        <v>22862.400000000001</v>
      </c>
      <c r="C758" s="38">
        <v>44862</v>
      </c>
      <c r="D758" s="1" t="s">
        <v>83</v>
      </c>
      <c r="E758" s="1" t="s">
        <v>33</v>
      </c>
      <c r="F758" s="1" t="s">
        <v>199</v>
      </c>
      <c r="G758" s="5">
        <v>762.08</v>
      </c>
    </row>
    <row r="759" spans="1:7" x14ac:dyDescent="0.2">
      <c r="A759" s="3">
        <v>390</v>
      </c>
      <c r="B759" s="2">
        <v>297211.2</v>
      </c>
      <c r="C759" s="38">
        <v>44862</v>
      </c>
      <c r="D759" s="1" t="s">
        <v>83</v>
      </c>
      <c r="E759" s="1" t="s">
        <v>33</v>
      </c>
      <c r="F759" s="1" t="s">
        <v>199</v>
      </c>
      <c r="G759" s="5">
        <v>762.08</v>
      </c>
    </row>
    <row r="760" spans="1:7" x14ac:dyDescent="0.2">
      <c r="A760" s="3">
        <v>420</v>
      </c>
      <c r="B760" s="2">
        <v>320073.59999999998</v>
      </c>
      <c r="C760" s="38">
        <v>44806</v>
      </c>
      <c r="D760" s="1" t="s">
        <v>83</v>
      </c>
      <c r="E760" s="1" t="s">
        <v>33</v>
      </c>
      <c r="F760" s="1" t="s">
        <v>199</v>
      </c>
      <c r="G760" s="5">
        <v>762.08</v>
      </c>
    </row>
    <row r="761" spans="1:7" x14ac:dyDescent="0.2">
      <c r="A761" s="3">
        <v>420</v>
      </c>
      <c r="B761" s="2">
        <v>320073.59999999998</v>
      </c>
      <c r="C761" s="38">
        <v>44806</v>
      </c>
      <c r="D761" s="1" t="s">
        <v>83</v>
      </c>
      <c r="E761" s="1" t="s">
        <v>33</v>
      </c>
      <c r="F761" s="1" t="s">
        <v>199</v>
      </c>
      <c r="G761" s="5">
        <v>762.08</v>
      </c>
    </row>
    <row r="762" spans="1:7" x14ac:dyDescent="0.2">
      <c r="A762" s="3">
        <v>420</v>
      </c>
      <c r="B762" s="2">
        <v>320073.59999999998</v>
      </c>
      <c r="C762" s="38">
        <v>44862</v>
      </c>
      <c r="D762" s="1" t="s">
        <v>83</v>
      </c>
      <c r="E762" s="1" t="s">
        <v>33</v>
      </c>
      <c r="F762" s="1" t="s">
        <v>199</v>
      </c>
      <c r="G762" s="5">
        <v>762.08</v>
      </c>
    </row>
    <row r="763" spans="1:7" x14ac:dyDescent="0.2">
      <c r="A763" s="3">
        <v>16</v>
      </c>
      <c r="B763" s="2">
        <v>40360.800000000003</v>
      </c>
      <c r="C763" s="38">
        <v>44839</v>
      </c>
      <c r="D763" s="1" t="s">
        <v>162</v>
      </c>
      <c r="E763" s="1" t="s">
        <v>33</v>
      </c>
      <c r="F763" s="1" t="s">
        <v>199</v>
      </c>
      <c r="G763" s="5">
        <v>2522.5500000000002</v>
      </c>
    </row>
    <row r="764" spans="1:7" x14ac:dyDescent="0.2">
      <c r="A764" s="3">
        <v>16</v>
      </c>
      <c r="B764" s="2">
        <v>40360.800000000003</v>
      </c>
      <c r="C764" s="38">
        <v>44839</v>
      </c>
      <c r="D764" s="1" t="s">
        <v>162</v>
      </c>
      <c r="E764" s="1" t="s">
        <v>33</v>
      </c>
      <c r="F764" s="1" t="s">
        <v>199</v>
      </c>
      <c r="G764" s="5">
        <v>2522.5500000000002</v>
      </c>
    </row>
    <row r="765" spans="1:7" x14ac:dyDescent="0.2">
      <c r="A765" s="3">
        <v>16</v>
      </c>
      <c r="B765" s="2">
        <v>40360.800000000003</v>
      </c>
      <c r="C765" s="38">
        <v>44839</v>
      </c>
      <c r="D765" s="1" t="s">
        <v>162</v>
      </c>
      <c r="E765" s="1" t="s">
        <v>33</v>
      </c>
      <c r="F765" s="1" t="s">
        <v>199</v>
      </c>
      <c r="G765" s="5">
        <v>2522.5500000000002</v>
      </c>
    </row>
    <row r="766" spans="1:7" x14ac:dyDescent="0.2">
      <c r="A766" s="3">
        <v>16</v>
      </c>
      <c r="B766" s="2">
        <v>40360.800000000003</v>
      </c>
      <c r="C766" s="38">
        <v>44839</v>
      </c>
      <c r="D766" s="1" t="s">
        <v>162</v>
      </c>
      <c r="E766" s="1" t="s">
        <v>33</v>
      </c>
      <c r="F766" s="1" t="s">
        <v>199</v>
      </c>
      <c r="G766" s="5">
        <v>2522.5500000000002</v>
      </c>
    </row>
    <row r="767" spans="1:7" x14ac:dyDescent="0.2">
      <c r="A767" s="3">
        <v>16</v>
      </c>
      <c r="B767" s="2">
        <v>40360.800000000003</v>
      </c>
      <c r="C767" s="38">
        <v>44839</v>
      </c>
      <c r="D767" s="1" t="s">
        <v>162</v>
      </c>
      <c r="E767" s="1" t="s">
        <v>33</v>
      </c>
      <c r="F767" s="1" t="s">
        <v>199</v>
      </c>
      <c r="G767" s="5">
        <v>2522.5500000000002</v>
      </c>
    </row>
    <row r="768" spans="1:7" x14ac:dyDescent="0.2">
      <c r="A768" s="3">
        <v>16</v>
      </c>
      <c r="B768" s="2">
        <v>40360.800000000003</v>
      </c>
      <c r="C768" s="38">
        <v>44839</v>
      </c>
      <c r="D768" s="1" t="s">
        <v>162</v>
      </c>
      <c r="E768" s="1" t="s">
        <v>33</v>
      </c>
      <c r="F768" s="1" t="s">
        <v>199</v>
      </c>
      <c r="G768" s="5">
        <v>2522.5500000000002</v>
      </c>
    </row>
    <row r="769" spans="1:7" x14ac:dyDescent="0.2">
      <c r="A769" s="3">
        <v>16</v>
      </c>
      <c r="B769" s="2">
        <v>40360.800000000003</v>
      </c>
      <c r="C769" s="38">
        <v>44839</v>
      </c>
      <c r="D769" s="1" t="s">
        <v>162</v>
      </c>
      <c r="E769" s="1" t="s">
        <v>33</v>
      </c>
      <c r="F769" s="1" t="s">
        <v>199</v>
      </c>
      <c r="G769" s="5">
        <v>2522.5500000000002</v>
      </c>
    </row>
    <row r="770" spans="1:7" x14ac:dyDescent="0.2">
      <c r="A770" s="3">
        <v>16</v>
      </c>
      <c r="B770" s="2">
        <v>40360.800000000003</v>
      </c>
      <c r="C770" s="38">
        <v>44839</v>
      </c>
      <c r="D770" s="1" t="s">
        <v>162</v>
      </c>
      <c r="E770" s="1" t="s">
        <v>33</v>
      </c>
      <c r="F770" s="1" t="s">
        <v>199</v>
      </c>
      <c r="G770" s="5">
        <v>2522.5500000000002</v>
      </c>
    </row>
    <row r="771" spans="1:7" x14ac:dyDescent="0.2">
      <c r="A771" s="3">
        <v>16</v>
      </c>
      <c r="B771" s="2">
        <v>40360.800000000003</v>
      </c>
      <c r="C771" s="38">
        <v>44839</v>
      </c>
      <c r="D771" s="1" t="s">
        <v>162</v>
      </c>
      <c r="E771" s="1" t="s">
        <v>33</v>
      </c>
      <c r="F771" s="1" t="s">
        <v>199</v>
      </c>
      <c r="G771" s="5">
        <v>2522.5500000000002</v>
      </c>
    </row>
    <row r="772" spans="1:7" x14ac:dyDescent="0.2">
      <c r="A772" s="3">
        <v>16</v>
      </c>
      <c r="B772" s="2">
        <v>40360.800000000003</v>
      </c>
      <c r="C772" s="38">
        <v>44839</v>
      </c>
      <c r="D772" s="1" t="s">
        <v>162</v>
      </c>
      <c r="E772" s="1" t="s">
        <v>33</v>
      </c>
      <c r="F772" s="1" t="s">
        <v>199</v>
      </c>
      <c r="G772" s="5">
        <v>2522.5500000000002</v>
      </c>
    </row>
    <row r="773" spans="1:7" x14ac:dyDescent="0.2">
      <c r="A773" s="3">
        <v>16</v>
      </c>
      <c r="B773" s="2">
        <v>39747.519999999997</v>
      </c>
      <c r="C773" s="38">
        <v>44992</v>
      </c>
      <c r="D773" s="1" t="s">
        <v>86</v>
      </c>
      <c r="E773" s="1" t="s">
        <v>33</v>
      </c>
      <c r="F773" s="1" t="s">
        <v>199</v>
      </c>
      <c r="G773" s="5">
        <v>2484.2199999999998</v>
      </c>
    </row>
    <row r="774" spans="1:7" x14ac:dyDescent="0.2">
      <c r="A774" s="3">
        <v>16</v>
      </c>
      <c r="B774" s="2">
        <v>39747.519999999997</v>
      </c>
      <c r="C774" s="38">
        <v>45000</v>
      </c>
      <c r="D774" s="1" t="s">
        <v>86</v>
      </c>
      <c r="E774" s="1" t="s">
        <v>33</v>
      </c>
      <c r="F774" s="1" t="s">
        <v>199</v>
      </c>
      <c r="G774" s="5">
        <v>2484.2199999999998</v>
      </c>
    </row>
    <row r="775" spans="1:7" x14ac:dyDescent="0.2">
      <c r="A775" s="3">
        <v>16</v>
      </c>
      <c r="B775" s="2">
        <v>39747.519999999997</v>
      </c>
      <c r="C775" s="38">
        <v>45000</v>
      </c>
      <c r="D775" s="1" t="s">
        <v>86</v>
      </c>
      <c r="E775" s="1" t="s">
        <v>33</v>
      </c>
      <c r="F775" s="1" t="s">
        <v>199</v>
      </c>
      <c r="G775" s="5">
        <v>2484.2199999999998</v>
      </c>
    </row>
    <row r="776" spans="1:7" x14ac:dyDescent="0.2">
      <c r="A776" s="3">
        <v>16</v>
      </c>
      <c r="B776" s="2">
        <v>39747.519999999997</v>
      </c>
      <c r="C776" s="38">
        <v>45000</v>
      </c>
      <c r="D776" s="1" t="s">
        <v>86</v>
      </c>
      <c r="E776" s="1" t="s">
        <v>33</v>
      </c>
      <c r="F776" s="1" t="s">
        <v>199</v>
      </c>
      <c r="G776" s="5">
        <v>2484.2199999999998</v>
      </c>
    </row>
    <row r="777" spans="1:7" x14ac:dyDescent="0.2">
      <c r="A777" s="3">
        <v>16</v>
      </c>
      <c r="B777" s="2">
        <v>39747.519999999997</v>
      </c>
      <c r="C777" s="38">
        <v>45061</v>
      </c>
      <c r="D777" s="1" t="s">
        <v>86</v>
      </c>
      <c r="E777" s="1" t="s">
        <v>33</v>
      </c>
      <c r="F777" s="1" t="s">
        <v>199</v>
      </c>
      <c r="G777" s="5">
        <v>2484.2199999999998</v>
      </c>
    </row>
    <row r="778" spans="1:7" x14ac:dyDescent="0.2">
      <c r="A778" s="3">
        <v>16</v>
      </c>
      <c r="B778" s="2">
        <v>39747.519999999997</v>
      </c>
      <c r="C778" s="38">
        <v>45061</v>
      </c>
      <c r="D778" s="1" t="s">
        <v>86</v>
      </c>
      <c r="E778" s="1" t="s">
        <v>33</v>
      </c>
      <c r="F778" s="1" t="s">
        <v>199</v>
      </c>
      <c r="G778" s="5">
        <v>2484.2199999999998</v>
      </c>
    </row>
    <row r="779" spans="1:7" x14ac:dyDescent="0.2">
      <c r="A779" s="3">
        <v>16</v>
      </c>
      <c r="B779" s="2">
        <v>39747.519999999997</v>
      </c>
      <c r="C779" s="38">
        <v>45061</v>
      </c>
      <c r="D779" s="1" t="s">
        <v>86</v>
      </c>
      <c r="E779" s="1" t="s">
        <v>33</v>
      </c>
      <c r="F779" s="1" t="s">
        <v>199</v>
      </c>
      <c r="G779" s="5">
        <v>2484.2199999999998</v>
      </c>
    </row>
    <row r="780" spans="1:7" x14ac:dyDescent="0.2">
      <c r="A780" s="3">
        <v>16</v>
      </c>
      <c r="B780" s="2">
        <v>39747.519999999997</v>
      </c>
      <c r="C780" s="38">
        <v>45061</v>
      </c>
      <c r="D780" s="1" t="s">
        <v>86</v>
      </c>
      <c r="E780" s="1" t="s">
        <v>33</v>
      </c>
      <c r="F780" s="1" t="s">
        <v>199</v>
      </c>
      <c r="G780" s="5">
        <v>2484.2199999999998</v>
      </c>
    </row>
    <row r="781" spans="1:7" x14ac:dyDescent="0.2">
      <c r="A781" s="3">
        <v>16</v>
      </c>
      <c r="B781" s="2">
        <v>39747.519999999997</v>
      </c>
      <c r="C781" s="38">
        <v>45061</v>
      </c>
      <c r="D781" s="1" t="s">
        <v>86</v>
      </c>
      <c r="E781" s="1" t="s">
        <v>33</v>
      </c>
      <c r="F781" s="1" t="s">
        <v>199</v>
      </c>
      <c r="G781" s="5">
        <v>2484.2199999999998</v>
      </c>
    </row>
    <row r="782" spans="1:7" x14ac:dyDescent="0.2">
      <c r="A782" s="3">
        <v>16</v>
      </c>
      <c r="B782" s="2">
        <v>37685.120000000003</v>
      </c>
      <c r="C782" s="38">
        <v>44768</v>
      </c>
      <c r="D782" s="1" t="s">
        <v>86</v>
      </c>
      <c r="E782" s="1" t="s">
        <v>33</v>
      </c>
      <c r="F782" s="1" t="s">
        <v>199</v>
      </c>
      <c r="G782" s="5">
        <v>2355.3200000000002</v>
      </c>
    </row>
    <row r="783" spans="1:7" x14ac:dyDescent="0.2">
      <c r="A783" s="3">
        <v>16</v>
      </c>
      <c r="B783" s="2">
        <v>37685.120000000003</v>
      </c>
      <c r="C783" s="38">
        <v>44768</v>
      </c>
      <c r="D783" s="1" t="s">
        <v>86</v>
      </c>
      <c r="E783" s="1" t="s">
        <v>33</v>
      </c>
      <c r="F783" s="1" t="s">
        <v>199</v>
      </c>
      <c r="G783" s="5">
        <v>2355.3200000000002</v>
      </c>
    </row>
    <row r="784" spans="1:7" x14ac:dyDescent="0.2">
      <c r="A784" s="3">
        <v>16</v>
      </c>
      <c r="B784" s="2">
        <v>37685.120000000003</v>
      </c>
      <c r="C784" s="38">
        <v>44768</v>
      </c>
      <c r="D784" s="1" t="s">
        <v>86</v>
      </c>
      <c r="E784" s="1" t="s">
        <v>33</v>
      </c>
      <c r="F784" s="1" t="s">
        <v>199</v>
      </c>
      <c r="G784" s="5">
        <v>2355.3200000000002</v>
      </c>
    </row>
    <row r="785" spans="1:7" x14ac:dyDescent="0.2">
      <c r="A785" s="3">
        <v>16</v>
      </c>
      <c r="B785" s="2">
        <v>37685.120000000003</v>
      </c>
      <c r="C785" s="38">
        <v>44806</v>
      </c>
      <c r="D785" s="1" t="s">
        <v>86</v>
      </c>
      <c r="E785" s="1" t="s">
        <v>33</v>
      </c>
      <c r="F785" s="1" t="s">
        <v>199</v>
      </c>
      <c r="G785" s="5">
        <v>2355.3200000000002</v>
      </c>
    </row>
    <row r="786" spans="1:7" x14ac:dyDescent="0.2">
      <c r="A786" s="3">
        <v>16</v>
      </c>
      <c r="B786" s="2">
        <v>37685.120000000003</v>
      </c>
      <c r="C786" s="38">
        <v>44806</v>
      </c>
      <c r="D786" s="1" t="s">
        <v>86</v>
      </c>
      <c r="E786" s="1" t="s">
        <v>33</v>
      </c>
      <c r="F786" s="1" t="s">
        <v>199</v>
      </c>
      <c r="G786" s="5">
        <v>2355.3200000000002</v>
      </c>
    </row>
    <row r="787" spans="1:7" x14ac:dyDescent="0.2">
      <c r="A787" s="3">
        <v>16</v>
      </c>
      <c r="B787" s="2">
        <v>37685.120000000003</v>
      </c>
      <c r="C787" s="38">
        <v>44806</v>
      </c>
      <c r="D787" s="1" t="s">
        <v>86</v>
      </c>
      <c r="E787" s="1" t="s">
        <v>33</v>
      </c>
      <c r="F787" s="1" t="s">
        <v>199</v>
      </c>
      <c r="G787" s="5">
        <v>2355.3200000000002</v>
      </c>
    </row>
    <row r="788" spans="1:7" x14ac:dyDescent="0.2">
      <c r="A788" s="3">
        <v>16</v>
      </c>
      <c r="B788" s="2">
        <v>37685.120000000003</v>
      </c>
      <c r="C788" s="38">
        <v>44768</v>
      </c>
      <c r="D788" s="1" t="s">
        <v>86</v>
      </c>
      <c r="E788" s="1" t="s">
        <v>33</v>
      </c>
      <c r="F788" s="1" t="s">
        <v>199</v>
      </c>
      <c r="G788" s="5">
        <v>2355.3200000000002</v>
      </c>
    </row>
    <row r="789" spans="1:7" x14ac:dyDescent="0.2">
      <c r="A789" s="3">
        <v>16</v>
      </c>
      <c r="B789" s="2">
        <v>37685.120000000003</v>
      </c>
      <c r="C789" s="38">
        <v>44768</v>
      </c>
      <c r="D789" s="1" t="s">
        <v>86</v>
      </c>
      <c r="E789" s="1" t="s">
        <v>33</v>
      </c>
      <c r="F789" s="1" t="s">
        <v>199</v>
      </c>
      <c r="G789" s="5">
        <v>2355.3200000000002</v>
      </c>
    </row>
    <row r="790" spans="1:7" x14ac:dyDescent="0.2">
      <c r="A790" s="3">
        <v>16</v>
      </c>
      <c r="B790" s="2">
        <v>37685.120000000003</v>
      </c>
      <c r="C790" s="38">
        <v>44825</v>
      </c>
      <c r="D790" s="1" t="s">
        <v>86</v>
      </c>
      <c r="E790" s="1" t="s">
        <v>33</v>
      </c>
      <c r="F790" s="1" t="s">
        <v>199</v>
      </c>
      <c r="G790" s="5">
        <v>2355.3200000000002</v>
      </c>
    </row>
    <row r="791" spans="1:7" x14ac:dyDescent="0.2">
      <c r="A791" s="3">
        <v>16</v>
      </c>
      <c r="B791" s="2">
        <v>37685.120000000003</v>
      </c>
      <c r="C791" s="38">
        <v>44872</v>
      </c>
      <c r="D791" s="1" t="s">
        <v>86</v>
      </c>
      <c r="E791" s="1" t="s">
        <v>33</v>
      </c>
      <c r="F791" s="1" t="s">
        <v>199</v>
      </c>
      <c r="G791" s="5">
        <v>2355.3200000000002</v>
      </c>
    </row>
    <row r="792" spans="1:7" x14ac:dyDescent="0.2">
      <c r="A792" s="3">
        <v>16</v>
      </c>
      <c r="B792" s="2">
        <v>37685.120000000003</v>
      </c>
      <c r="C792" s="38">
        <v>44743</v>
      </c>
      <c r="D792" s="1" t="s">
        <v>86</v>
      </c>
      <c r="E792" s="1" t="s">
        <v>33</v>
      </c>
      <c r="F792" s="1" t="s">
        <v>199</v>
      </c>
      <c r="G792" s="5">
        <v>2355.3200000000002</v>
      </c>
    </row>
    <row r="793" spans="1:7" x14ac:dyDescent="0.2">
      <c r="A793" s="3">
        <v>16</v>
      </c>
      <c r="B793" s="2">
        <v>37685.120000000003</v>
      </c>
      <c r="C793" s="38">
        <v>44743</v>
      </c>
      <c r="D793" s="1" t="s">
        <v>86</v>
      </c>
      <c r="E793" s="1" t="s">
        <v>33</v>
      </c>
      <c r="F793" s="1" t="s">
        <v>199</v>
      </c>
      <c r="G793" s="5">
        <v>2355.3200000000002</v>
      </c>
    </row>
    <row r="794" spans="1:7" x14ac:dyDescent="0.2">
      <c r="A794" s="3">
        <v>16</v>
      </c>
      <c r="B794" s="2">
        <v>37685.120000000003</v>
      </c>
      <c r="C794" s="38">
        <v>44777</v>
      </c>
      <c r="D794" s="1" t="s">
        <v>86</v>
      </c>
      <c r="E794" s="1" t="s">
        <v>33</v>
      </c>
      <c r="F794" s="1" t="s">
        <v>199</v>
      </c>
      <c r="G794" s="5">
        <v>2355.3200000000002</v>
      </c>
    </row>
    <row r="795" spans="1:7" x14ac:dyDescent="0.2">
      <c r="A795" s="3">
        <v>16</v>
      </c>
      <c r="B795" s="2">
        <v>37685.120000000003</v>
      </c>
      <c r="C795" s="38">
        <v>44777</v>
      </c>
      <c r="D795" s="1" t="s">
        <v>86</v>
      </c>
      <c r="E795" s="1" t="s">
        <v>33</v>
      </c>
      <c r="F795" s="1" t="s">
        <v>199</v>
      </c>
      <c r="G795" s="5">
        <v>2355.3200000000002</v>
      </c>
    </row>
    <row r="796" spans="1:7" x14ac:dyDescent="0.2">
      <c r="A796" s="3">
        <v>16</v>
      </c>
      <c r="B796" s="2">
        <v>37685.120000000003</v>
      </c>
      <c r="C796" s="38">
        <v>44777</v>
      </c>
      <c r="D796" s="1" t="s">
        <v>86</v>
      </c>
      <c r="E796" s="1" t="s">
        <v>33</v>
      </c>
      <c r="F796" s="1" t="s">
        <v>199</v>
      </c>
      <c r="G796" s="5">
        <v>2355.3200000000002</v>
      </c>
    </row>
    <row r="797" spans="1:7" x14ac:dyDescent="0.2">
      <c r="A797" s="3">
        <v>16</v>
      </c>
      <c r="B797" s="2">
        <v>37685.120000000003</v>
      </c>
      <c r="C797" s="38">
        <v>44777</v>
      </c>
      <c r="D797" s="1" t="s">
        <v>86</v>
      </c>
      <c r="E797" s="1" t="s">
        <v>33</v>
      </c>
      <c r="F797" s="1" t="s">
        <v>199</v>
      </c>
      <c r="G797" s="5">
        <v>2355.3200000000002</v>
      </c>
    </row>
    <row r="798" spans="1:7" x14ac:dyDescent="0.2">
      <c r="A798" s="3">
        <v>16</v>
      </c>
      <c r="B798" s="2">
        <v>37685.120000000003</v>
      </c>
      <c r="C798" s="38">
        <v>44743</v>
      </c>
      <c r="D798" s="1" t="s">
        <v>86</v>
      </c>
      <c r="E798" s="1" t="s">
        <v>33</v>
      </c>
      <c r="F798" s="1" t="s">
        <v>199</v>
      </c>
      <c r="G798" s="5">
        <v>2355.3200000000002</v>
      </c>
    </row>
    <row r="799" spans="1:7" x14ac:dyDescent="0.2">
      <c r="A799" s="3">
        <v>16</v>
      </c>
      <c r="B799" s="2">
        <v>37685.120000000003</v>
      </c>
      <c r="C799" s="38">
        <v>44743</v>
      </c>
      <c r="D799" s="1" t="s">
        <v>86</v>
      </c>
      <c r="E799" s="1" t="s">
        <v>33</v>
      </c>
      <c r="F799" s="1" t="s">
        <v>199</v>
      </c>
      <c r="G799" s="5">
        <v>2355.3200000000002</v>
      </c>
    </row>
    <row r="800" spans="1:7" x14ac:dyDescent="0.2">
      <c r="A800" s="3">
        <v>16</v>
      </c>
      <c r="B800" s="2">
        <v>37685.120000000003</v>
      </c>
      <c r="C800" s="38">
        <v>44743</v>
      </c>
      <c r="D800" s="1" t="s">
        <v>86</v>
      </c>
      <c r="E800" s="1" t="s">
        <v>33</v>
      </c>
      <c r="F800" s="1" t="s">
        <v>199</v>
      </c>
      <c r="G800" s="5">
        <v>2355.3200000000002</v>
      </c>
    </row>
    <row r="801" spans="1:7" x14ac:dyDescent="0.2">
      <c r="A801" s="3">
        <v>16</v>
      </c>
      <c r="B801" s="2">
        <v>37685.120000000003</v>
      </c>
      <c r="C801" s="38">
        <v>44743</v>
      </c>
      <c r="D801" s="1" t="s">
        <v>86</v>
      </c>
      <c r="E801" s="1" t="s">
        <v>33</v>
      </c>
      <c r="F801" s="1" t="s">
        <v>199</v>
      </c>
      <c r="G801" s="5">
        <v>2355.3200000000002</v>
      </c>
    </row>
    <row r="802" spans="1:7" x14ac:dyDescent="0.2">
      <c r="A802" s="3">
        <v>16</v>
      </c>
      <c r="B802" s="2">
        <v>37685.120000000003</v>
      </c>
      <c r="C802" s="38">
        <v>44743</v>
      </c>
      <c r="D802" s="1" t="s">
        <v>86</v>
      </c>
      <c r="E802" s="1" t="s">
        <v>33</v>
      </c>
      <c r="F802" s="1" t="s">
        <v>199</v>
      </c>
      <c r="G802" s="5">
        <v>2355.3200000000002</v>
      </c>
    </row>
    <row r="803" spans="1:7" x14ac:dyDescent="0.2">
      <c r="A803" s="3">
        <v>16</v>
      </c>
      <c r="B803" s="2">
        <v>37685.120000000003</v>
      </c>
      <c r="C803" s="38">
        <v>44743</v>
      </c>
      <c r="D803" s="1" t="s">
        <v>86</v>
      </c>
      <c r="E803" s="1" t="s">
        <v>33</v>
      </c>
      <c r="F803" s="1" t="s">
        <v>199</v>
      </c>
      <c r="G803" s="5">
        <v>2355.3200000000002</v>
      </c>
    </row>
    <row r="804" spans="1:7" x14ac:dyDescent="0.2">
      <c r="A804" s="3">
        <v>16</v>
      </c>
      <c r="B804" s="2">
        <v>37685.120000000003</v>
      </c>
      <c r="C804" s="38">
        <v>44743</v>
      </c>
      <c r="D804" s="1" t="s">
        <v>86</v>
      </c>
      <c r="E804" s="1" t="s">
        <v>33</v>
      </c>
      <c r="F804" s="1" t="s">
        <v>199</v>
      </c>
      <c r="G804" s="5">
        <v>2355.3200000000002</v>
      </c>
    </row>
    <row r="805" spans="1:7" x14ac:dyDescent="0.2">
      <c r="A805" s="3">
        <v>16</v>
      </c>
      <c r="B805" s="2">
        <v>37685.120000000003</v>
      </c>
      <c r="C805" s="38">
        <v>44743</v>
      </c>
      <c r="D805" s="1" t="s">
        <v>86</v>
      </c>
      <c r="E805" s="1" t="s">
        <v>33</v>
      </c>
      <c r="F805" s="1" t="s">
        <v>199</v>
      </c>
      <c r="G805" s="5">
        <v>2355.3200000000002</v>
      </c>
    </row>
    <row r="806" spans="1:7" x14ac:dyDescent="0.2">
      <c r="A806" s="3">
        <v>16</v>
      </c>
      <c r="B806" s="2">
        <v>37685.120000000003</v>
      </c>
      <c r="C806" s="38">
        <v>44743</v>
      </c>
      <c r="D806" s="1" t="s">
        <v>86</v>
      </c>
      <c r="E806" s="1" t="s">
        <v>33</v>
      </c>
      <c r="F806" s="1" t="s">
        <v>199</v>
      </c>
      <c r="G806" s="5">
        <v>2355.3200000000002</v>
      </c>
    </row>
    <row r="807" spans="1:7" x14ac:dyDescent="0.2">
      <c r="A807" s="3">
        <v>16</v>
      </c>
      <c r="B807" s="2">
        <v>37685.120000000003</v>
      </c>
      <c r="C807" s="38">
        <v>44743</v>
      </c>
      <c r="D807" s="1" t="s">
        <v>86</v>
      </c>
      <c r="E807" s="1" t="s">
        <v>33</v>
      </c>
      <c r="F807" s="1" t="s">
        <v>199</v>
      </c>
      <c r="G807" s="5">
        <v>2355.3200000000002</v>
      </c>
    </row>
    <row r="808" spans="1:7" x14ac:dyDescent="0.2">
      <c r="A808" s="3">
        <v>16</v>
      </c>
      <c r="B808" s="2">
        <v>37685.120000000003</v>
      </c>
      <c r="C808" s="38">
        <v>44743</v>
      </c>
      <c r="D808" s="1" t="s">
        <v>86</v>
      </c>
      <c r="E808" s="1" t="s">
        <v>33</v>
      </c>
      <c r="F808" s="1" t="s">
        <v>199</v>
      </c>
      <c r="G808" s="5">
        <v>2355.3200000000002</v>
      </c>
    </row>
    <row r="809" spans="1:7" x14ac:dyDescent="0.2">
      <c r="A809" s="3">
        <v>16</v>
      </c>
      <c r="B809" s="2">
        <v>37685.120000000003</v>
      </c>
      <c r="C809" s="38">
        <v>44743</v>
      </c>
      <c r="D809" s="1" t="s">
        <v>86</v>
      </c>
      <c r="E809" s="1" t="s">
        <v>33</v>
      </c>
      <c r="F809" s="1" t="s">
        <v>199</v>
      </c>
      <c r="G809" s="5">
        <v>2355.3200000000002</v>
      </c>
    </row>
    <row r="810" spans="1:7" x14ac:dyDescent="0.2">
      <c r="A810" s="3">
        <v>16</v>
      </c>
      <c r="B810" s="2">
        <v>37685.120000000003</v>
      </c>
      <c r="C810" s="38">
        <v>44743</v>
      </c>
      <c r="D810" s="1" t="s">
        <v>86</v>
      </c>
      <c r="E810" s="1" t="s">
        <v>33</v>
      </c>
      <c r="F810" s="1" t="s">
        <v>199</v>
      </c>
      <c r="G810" s="5">
        <v>2355.3200000000002</v>
      </c>
    </row>
    <row r="811" spans="1:7" x14ac:dyDescent="0.2">
      <c r="A811" s="3">
        <v>16</v>
      </c>
      <c r="B811" s="2">
        <v>37685.120000000003</v>
      </c>
      <c r="C811" s="38">
        <v>44743</v>
      </c>
      <c r="D811" s="1" t="s">
        <v>86</v>
      </c>
      <c r="E811" s="1" t="s">
        <v>33</v>
      </c>
      <c r="F811" s="1" t="s">
        <v>199</v>
      </c>
      <c r="G811" s="5">
        <v>2355.3200000000002</v>
      </c>
    </row>
    <row r="812" spans="1:7" x14ac:dyDescent="0.2">
      <c r="A812" s="3">
        <v>16</v>
      </c>
      <c r="B812" s="2">
        <v>37685.120000000003</v>
      </c>
      <c r="C812" s="38">
        <v>44743</v>
      </c>
      <c r="D812" s="1" t="s">
        <v>86</v>
      </c>
      <c r="E812" s="1" t="s">
        <v>33</v>
      </c>
      <c r="F812" s="1" t="s">
        <v>199</v>
      </c>
      <c r="G812" s="5">
        <v>2355.3200000000002</v>
      </c>
    </row>
    <row r="813" spans="1:7" x14ac:dyDescent="0.2">
      <c r="A813" s="3">
        <v>16</v>
      </c>
      <c r="B813" s="2">
        <v>37685.120000000003</v>
      </c>
      <c r="C813" s="38">
        <v>44743</v>
      </c>
      <c r="D813" s="1" t="s">
        <v>86</v>
      </c>
      <c r="E813" s="1" t="s">
        <v>33</v>
      </c>
      <c r="F813" s="1" t="s">
        <v>199</v>
      </c>
      <c r="G813" s="5">
        <v>2355.3200000000002</v>
      </c>
    </row>
    <row r="814" spans="1:7" x14ac:dyDescent="0.2">
      <c r="A814" s="3">
        <v>16</v>
      </c>
      <c r="B814" s="2">
        <v>37685.120000000003</v>
      </c>
      <c r="C814" s="38">
        <v>44743</v>
      </c>
      <c r="D814" s="1" t="s">
        <v>86</v>
      </c>
      <c r="E814" s="1" t="s">
        <v>33</v>
      </c>
      <c r="F814" s="1" t="s">
        <v>199</v>
      </c>
      <c r="G814" s="5">
        <v>2355.3200000000002</v>
      </c>
    </row>
    <row r="815" spans="1:7" x14ac:dyDescent="0.2">
      <c r="A815" s="3">
        <v>16</v>
      </c>
      <c r="B815" s="2">
        <v>37685.120000000003</v>
      </c>
      <c r="C815" s="38">
        <v>44792</v>
      </c>
      <c r="D815" s="1" t="s">
        <v>86</v>
      </c>
      <c r="E815" s="1" t="s">
        <v>33</v>
      </c>
      <c r="F815" s="1" t="s">
        <v>199</v>
      </c>
      <c r="G815" s="5">
        <v>2355.3200000000002</v>
      </c>
    </row>
    <row r="816" spans="1:7" x14ac:dyDescent="0.2">
      <c r="A816" s="3">
        <v>16</v>
      </c>
      <c r="B816" s="2">
        <v>37685.120000000003</v>
      </c>
      <c r="C816" s="38">
        <v>44792</v>
      </c>
      <c r="D816" s="1" t="s">
        <v>86</v>
      </c>
      <c r="E816" s="1" t="s">
        <v>33</v>
      </c>
      <c r="F816" s="1" t="s">
        <v>199</v>
      </c>
      <c r="G816" s="5">
        <v>2355.3200000000002</v>
      </c>
    </row>
    <row r="817" spans="1:7" x14ac:dyDescent="0.2">
      <c r="A817" s="3">
        <v>16</v>
      </c>
      <c r="B817" s="2">
        <v>37685.120000000003</v>
      </c>
      <c r="C817" s="38">
        <v>44792</v>
      </c>
      <c r="D817" s="1" t="s">
        <v>86</v>
      </c>
      <c r="E817" s="1" t="s">
        <v>33</v>
      </c>
      <c r="F817" s="1" t="s">
        <v>199</v>
      </c>
      <c r="G817" s="5">
        <v>2355.3200000000002</v>
      </c>
    </row>
    <row r="818" spans="1:7" x14ac:dyDescent="0.2">
      <c r="A818" s="3">
        <v>16</v>
      </c>
      <c r="B818" s="2">
        <v>37685.120000000003</v>
      </c>
      <c r="C818" s="38">
        <v>44792</v>
      </c>
      <c r="D818" s="1" t="s">
        <v>86</v>
      </c>
      <c r="E818" s="1" t="s">
        <v>33</v>
      </c>
      <c r="F818" s="1" t="s">
        <v>199</v>
      </c>
      <c r="G818" s="5">
        <v>2355.3200000000002</v>
      </c>
    </row>
    <row r="819" spans="1:7" x14ac:dyDescent="0.2">
      <c r="A819" s="3">
        <v>16</v>
      </c>
      <c r="B819" s="2">
        <v>37685.120000000003</v>
      </c>
      <c r="C819" s="38">
        <v>44792</v>
      </c>
      <c r="D819" s="1" t="s">
        <v>86</v>
      </c>
      <c r="E819" s="1" t="s">
        <v>33</v>
      </c>
      <c r="F819" s="1" t="s">
        <v>199</v>
      </c>
      <c r="G819" s="5">
        <v>2355.3200000000002</v>
      </c>
    </row>
    <row r="820" spans="1:7" x14ac:dyDescent="0.2">
      <c r="A820" s="3">
        <v>16</v>
      </c>
      <c r="B820" s="2">
        <v>37685.120000000003</v>
      </c>
      <c r="C820" s="38">
        <v>44753</v>
      </c>
      <c r="D820" s="1" t="s">
        <v>86</v>
      </c>
      <c r="E820" s="1" t="s">
        <v>33</v>
      </c>
      <c r="F820" s="1" t="s">
        <v>199</v>
      </c>
      <c r="G820" s="5">
        <v>2355.3200000000002</v>
      </c>
    </row>
    <row r="821" spans="1:7" x14ac:dyDescent="0.2">
      <c r="A821" s="3">
        <v>16</v>
      </c>
      <c r="B821" s="2">
        <v>37685.120000000003</v>
      </c>
      <c r="C821" s="38">
        <v>44753</v>
      </c>
      <c r="D821" s="1" t="s">
        <v>86</v>
      </c>
      <c r="E821" s="1" t="s">
        <v>33</v>
      </c>
      <c r="F821" s="1" t="s">
        <v>199</v>
      </c>
      <c r="G821" s="5">
        <v>2355.3200000000002</v>
      </c>
    </row>
    <row r="822" spans="1:7" x14ac:dyDescent="0.2">
      <c r="A822" s="3">
        <v>16</v>
      </c>
      <c r="B822" s="2">
        <v>37685.120000000003</v>
      </c>
      <c r="C822" s="38">
        <v>44753</v>
      </c>
      <c r="D822" s="1" t="s">
        <v>86</v>
      </c>
      <c r="E822" s="1" t="s">
        <v>33</v>
      </c>
      <c r="F822" s="1" t="s">
        <v>199</v>
      </c>
      <c r="G822" s="5">
        <v>2355.3200000000002</v>
      </c>
    </row>
    <row r="823" spans="1:7" x14ac:dyDescent="0.2">
      <c r="A823" s="3">
        <v>16</v>
      </c>
      <c r="B823" s="2">
        <v>37685.120000000003</v>
      </c>
      <c r="C823" s="38">
        <v>44753</v>
      </c>
      <c r="D823" s="1" t="s">
        <v>86</v>
      </c>
      <c r="E823" s="1" t="s">
        <v>33</v>
      </c>
      <c r="F823" s="1" t="s">
        <v>199</v>
      </c>
      <c r="G823" s="5">
        <v>2355.3200000000002</v>
      </c>
    </row>
    <row r="824" spans="1:7" x14ac:dyDescent="0.2">
      <c r="A824" s="3">
        <v>16</v>
      </c>
      <c r="B824" s="2">
        <v>37685.120000000003</v>
      </c>
      <c r="C824" s="38">
        <v>44753</v>
      </c>
      <c r="D824" s="1" t="s">
        <v>86</v>
      </c>
      <c r="E824" s="1" t="s">
        <v>33</v>
      </c>
      <c r="F824" s="1" t="s">
        <v>199</v>
      </c>
      <c r="G824" s="5">
        <v>2355.3200000000002</v>
      </c>
    </row>
    <row r="825" spans="1:7" x14ac:dyDescent="0.2">
      <c r="A825" s="3">
        <v>16</v>
      </c>
      <c r="B825" s="2">
        <v>37685.120000000003</v>
      </c>
      <c r="C825" s="38">
        <v>44753</v>
      </c>
      <c r="D825" s="1" t="s">
        <v>86</v>
      </c>
      <c r="E825" s="1" t="s">
        <v>33</v>
      </c>
      <c r="F825" s="1" t="s">
        <v>199</v>
      </c>
      <c r="G825" s="5">
        <v>2355.3200000000002</v>
      </c>
    </row>
    <row r="826" spans="1:7" x14ac:dyDescent="0.2">
      <c r="A826" s="3">
        <v>16</v>
      </c>
      <c r="B826" s="2">
        <v>37685.120000000003</v>
      </c>
      <c r="C826" s="38">
        <v>44753</v>
      </c>
      <c r="D826" s="1" t="s">
        <v>86</v>
      </c>
      <c r="E826" s="1" t="s">
        <v>33</v>
      </c>
      <c r="F826" s="1" t="s">
        <v>199</v>
      </c>
      <c r="G826" s="5">
        <v>2355.3200000000002</v>
      </c>
    </row>
    <row r="827" spans="1:7" x14ac:dyDescent="0.2">
      <c r="A827" s="3">
        <v>16</v>
      </c>
      <c r="B827" s="2">
        <v>37685.120000000003</v>
      </c>
      <c r="C827" s="38">
        <v>44792</v>
      </c>
      <c r="D827" s="1" t="s">
        <v>86</v>
      </c>
      <c r="E827" s="1" t="s">
        <v>33</v>
      </c>
      <c r="F827" s="1" t="s">
        <v>199</v>
      </c>
      <c r="G827" s="5">
        <v>2355.3200000000002</v>
      </c>
    </row>
    <row r="828" spans="1:7" x14ac:dyDescent="0.2">
      <c r="A828" s="3">
        <v>16</v>
      </c>
      <c r="B828" s="2">
        <v>37685.120000000003</v>
      </c>
      <c r="C828" s="38">
        <v>44792</v>
      </c>
      <c r="D828" s="1" t="s">
        <v>86</v>
      </c>
      <c r="E828" s="1" t="s">
        <v>33</v>
      </c>
      <c r="F828" s="1" t="s">
        <v>199</v>
      </c>
      <c r="G828" s="5">
        <v>2355.3200000000002</v>
      </c>
    </row>
    <row r="829" spans="1:7" x14ac:dyDescent="0.2">
      <c r="A829" s="3">
        <v>16</v>
      </c>
      <c r="B829" s="2">
        <v>37685.120000000003</v>
      </c>
      <c r="C829" s="38">
        <v>44761</v>
      </c>
      <c r="D829" s="1" t="s">
        <v>86</v>
      </c>
      <c r="E829" s="1" t="s">
        <v>33</v>
      </c>
      <c r="F829" s="1" t="s">
        <v>199</v>
      </c>
      <c r="G829" s="5">
        <v>2355.3200000000002</v>
      </c>
    </row>
    <row r="830" spans="1:7" x14ac:dyDescent="0.2">
      <c r="A830" s="3">
        <v>16</v>
      </c>
      <c r="B830" s="2">
        <v>37685.120000000003</v>
      </c>
      <c r="C830" s="38">
        <v>44761</v>
      </c>
      <c r="D830" s="1" t="s">
        <v>86</v>
      </c>
      <c r="E830" s="1" t="s">
        <v>33</v>
      </c>
      <c r="F830" s="1" t="s">
        <v>199</v>
      </c>
      <c r="G830" s="5">
        <v>2355.3200000000002</v>
      </c>
    </row>
    <row r="831" spans="1:7" x14ac:dyDescent="0.2">
      <c r="A831" s="3">
        <v>16</v>
      </c>
      <c r="B831" s="2">
        <v>37685.120000000003</v>
      </c>
      <c r="C831" s="38">
        <v>44761</v>
      </c>
      <c r="D831" s="1" t="s">
        <v>86</v>
      </c>
      <c r="E831" s="1" t="s">
        <v>33</v>
      </c>
      <c r="F831" s="1" t="s">
        <v>199</v>
      </c>
      <c r="G831" s="5">
        <v>2355.3200000000002</v>
      </c>
    </row>
    <row r="832" spans="1:7" x14ac:dyDescent="0.2">
      <c r="A832" s="3">
        <v>16</v>
      </c>
      <c r="B832" s="2">
        <v>37685.120000000003</v>
      </c>
      <c r="C832" s="38">
        <v>44761</v>
      </c>
      <c r="D832" s="1" t="s">
        <v>86</v>
      </c>
      <c r="E832" s="1" t="s">
        <v>33</v>
      </c>
      <c r="F832" s="1" t="s">
        <v>199</v>
      </c>
      <c r="G832" s="5">
        <v>2355.3200000000002</v>
      </c>
    </row>
    <row r="833" spans="1:7" x14ac:dyDescent="0.2">
      <c r="A833" s="3">
        <v>16</v>
      </c>
      <c r="B833" s="2">
        <v>37685.120000000003</v>
      </c>
      <c r="C833" s="38">
        <v>44764</v>
      </c>
      <c r="D833" s="1" t="s">
        <v>86</v>
      </c>
      <c r="E833" s="1" t="s">
        <v>33</v>
      </c>
      <c r="F833" s="1" t="s">
        <v>199</v>
      </c>
      <c r="G833" s="5">
        <v>2355.3200000000002</v>
      </c>
    </row>
    <row r="834" spans="1:7" x14ac:dyDescent="0.2">
      <c r="A834" s="3">
        <v>16</v>
      </c>
      <c r="B834" s="2">
        <v>37685.120000000003</v>
      </c>
      <c r="C834" s="38">
        <v>44764</v>
      </c>
      <c r="D834" s="1" t="s">
        <v>86</v>
      </c>
      <c r="E834" s="1" t="s">
        <v>33</v>
      </c>
      <c r="F834" s="1" t="s">
        <v>199</v>
      </c>
      <c r="G834" s="5">
        <v>2355.3200000000002</v>
      </c>
    </row>
    <row r="835" spans="1:7" x14ac:dyDescent="0.2">
      <c r="A835" s="3">
        <v>16</v>
      </c>
      <c r="B835" s="2">
        <v>37685.120000000003</v>
      </c>
      <c r="C835" s="38">
        <v>44764</v>
      </c>
      <c r="D835" s="1" t="s">
        <v>86</v>
      </c>
      <c r="E835" s="1" t="s">
        <v>33</v>
      </c>
      <c r="F835" s="1" t="s">
        <v>199</v>
      </c>
      <c r="G835" s="5">
        <v>2355.3200000000002</v>
      </c>
    </row>
    <row r="836" spans="1:7" x14ac:dyDescent="0.2">
      <c r="A836" s="3">
        <v>16</v>
      </c>
      <c r="B836" s="2">
        <v>37685.120000000003</v>
      </c>
      <c r="C836" s="38">
        <v>44854</v>
      </c>
      <c r="D836" s="1" t="s">
        <v>86</v>
      </c>
      <c r="E836" s="1" t="s">
        <v>33</v>
      </c>
      <c r="F836" s="1" t="s">
        <v>199</v>
      </c>
      <c r="G836" s="5">
        <v>2355.3200000000002</v>
      </c>
    </row>
    <row r="837" spans="1:7" x14ac:dyDescent="0.2">
      <c r="A837" s="3">
        <v>16</v>
      </c>
      <c r="B837" s="2">
        <v>37685.120000000003</v>
      </c>
      <c r="C837" s="38">
        <v>44854</v>
      </c>
      <c r="D837" s="1" t="s">
        <v>86</v>
      </c>
      <c r="E837" s="1" t="s">
        <v>33</v>
      </c>
      <c r="F837" s="1" t="s">
        <v>199</v>
      </c>
      <c r="G837" s="5">
        <v>2355.3200000000002</v>
      </c>
    </row>
    <row r="838" spans="1:7" x14ac:dyDescent="0.2">
      <c r="A838" s="3">
        <v>16</v>
      </c>
      <c r="B838" s="2">
        <v>37685.120000000003</v>
      </c>
      <c r="C838" s="38">
        <v>44854</v>
      </c>
      <c r="D838" s="1" t="s">
        <v>86</v>
      </c>
      <c r="E838" s="1" t="s">
        <v>33</v>
      </c>
      <c r="F838" s="1" t="s">
        <v>199</v>
      </c>
      <c r="G838" s="5">
        <v>2355.3200000000002</v>
      </c>
    </row>
    <row r="839" spans="1:7" x14ac:dyDescent="0.2">
      <c r="A839" s="3">
        <v>16</v>
      </c>
      <c r="B839" s="2">
        <v>37685.120000000003</v>
      </c>
      <c r="C839" s="38">
        <v>44854</v>
      </c>
      <c r="D839" s="1" t="s">
        <v>86</v>
      </c>
      <c r="E839" s="1" t="s">
        <v>33</v>
      </c>
      <c r="F839" s="1" t="s">
        <v>199</v>
      </c>
      <c r="G839" s="5">
        <v>2355.3200000000002</v>
      </c>
    </row>
    <row r="840" spans="1:7" x14ac:dyDescent="0.2">
      <c r="A840" s="3">
        <v>32</v>
      </c>
      <c r="B840" s="2">
        <v>27878.080000000002</v>
      </c>
      <c r="C840" s="38">
        <v>44985</v>
      </c>
      <c r="D840" s="1" t="s">
        <v>141</v>
      </c>
      <c r="E840" s="1" t="s">
        <v>33</v>
      </c>
      <c r="F840" s="1" t="s">
        <v>199</v>
      </c>
      <c r="G840" s="5">
        <v>871.19</v>
      </c>
    </row>
    <row r="841" spans="1:7" x14ac:dyDescent="0.2">
      <c r="A841" s="3">
        <v>32</v>
      </c>
      <c r="B841" s="2">
        <v>79495.039999999994</v>
      </c>
      <c r="C841" s="38">
        <v>44992</v>
      </c>
      <c r="D841" s="1" t="s">
        <v>86</v>
      </c>
      <c r="E841" s="1" t="s">
        <v>33</v>
      </c>
      <c r="F841" s="1" t="s">
        <v>199</v>
      </c>
      <c r="G841" s="5">
        <v>2484.2199999999998</v>
      </c>
    </row>
    <row r="842" spans="1:7" x14ac:dyDescent="0.2">
      <c r="A842" s="3">
        <v>32</v>
      </c>
      <c r="B842" s="2">
        <v>79495.039999999994</v>
      </c>
      <c r="C842" s="38">
        <v>44992</v>
      </c>
      <c r="D842" s="1" t="s">
        <v>86</v>
      </c>
      <c r="E842" s="1" t="s">
        <v>33</v>
      </c>
      <c r="F842" s="1" t="s">
        <v>199</v>
      </c>
      <c r="G842" s="5">
        <v>2484.2199999999998</v>
      </c>
    </row>
    <row r="843" spans="1:7" x14ac:dyDescent="0.2">
      <c r="A843" s="3">
        <v>32</v>
      </c>
      <c r="B843" s="2">
        <v>79495.039999999994</v>
      </c>
      <c r="C843" s="38">
        <v>44992</v>
      </c>
      <c r="D843" s="1" t="s">
        <v>86</v>
      </c>
      <c r="E843" s="1" t="s">
        <v>33</v>
      </c>
      <c r="F843" s="1" t="s">
        <v>199</v>
      </c>
      <c r="G843" s="5">
        <v>2484.2199999999998</v>
      </c>
    </row>
    <row r="844" spans="1:7" x14ac:dyDescent="0.2">
      <c r="A844" s="3">
        <v>32</v>
      </c>
      <c r="B844" s="2">
        <v>79495.039999999994</v>
      </c>
      <c r="C844" s="38">
        <v>44992</v>
      </c>
      <c r="D844" s="1" t="s">
        <v>86</v>
      </c>
      <c r="E844" s="1" t="s">
        <v>33</v>
      </c>
      <c r="F844" s="1" t="s">
        <v>199</v>
      </c>
      <c r="G844" s="5">
        <v>2484.2199999999998</v>
      </c>
    </row>
    <row r="845" spans="1:7" x14ac:dyDescent="0.2">
      <c r="A845" s="3">
        <v>32</v>
      </c>
      <c r="B845" s="2">
        <v>79495.039999999994</v>
      </c>
      <c r="C845" s="38">
        <v>44992</v>
      </c>
      <c r="D845" s="1" t="s">
        <v>86</v>
      </c>
      <c r="E845" s="1" t="s">
        <v>33</v>
      </c>
      <c r="F845" s="1" t="s">
        <v>199</v>
      </c>
      <c r="G845" s="5">
        <v>2484.2199999999998</v>
      </c>
    </row>
    <row r="846" spans="1:7" x14ac:dyDescent="0.2">
      <c r="A846" s="3">
        <v>32</v>
      </c>
      <c r="B846" s="2">
        <v>79495.039999999994</v>
      </c>
      <c r="C846" s="38">
        <v>44992</v>
      </c>
      <c r="D846" s="1" t="s">
        <v>86</v>
      </c>
      <c r="E846" s="1" t="s">
        <v>33</v>
      </c>
      <c r="F846" s="1" t="s">
        <v>199</v>
      </c>
      <c r="G846" s="5">
        <v>2484.2199999999998</v>
      </c>
    </row>
    <row r="847" spans="1:7" x14ac:dyDescent="0.2">
      <c r="A847" s="3">
        <v>32</v>
      </c>
      <c r="B847" s="2">
        <v>79495.039999999994</v>
      </c>
      <c r="C847" s="38">
        <v>44992</v>
      </c>
      <c r="D847" s="1" t="s">
        <v>86</v>
      </c>
      <c r="E847" s="1" t="s">
        <v>33</v>
      </c>
      <c r="F847" s="1" t="s">
        <v>199</v>
      </c>
      <c r="G847" s="5">
        <v>2484.2199999999998</v>
      </c>
    </row>
    <row r="848" spans="1:7" x14ac:dyDescent="0.2">
      <c r="A848" s="3">
        <v>32</v>
      </c>
      <c r="B848" s="2">
        <v>79495.039999999994</v>
      </c>
      <c r="C848" s="38">
        <v>44992</v>
      </c>
      <c r="D848" s="1" t="s">
        <v>86</v>
      </c>
      <c r="E848" s="1" t="s">
        <v>33</v>
      </c>
      <c r="F848" s="1" t="s">
        <v>199</v>
      </c>
      <c r="G848" s="5">
        <v>2484.2199999999998</v>
      </c>
    </row>
    <row r="849" spans="1:7" x14ac:dyDescent="0.2">
      <c r="A849" s="3">
        <v>32</v>
      </c>
      <c r="B849" s="2">
        <v>79495.039999999994</v>
      </c>
      <c r="C849" s="38">
        <v>44992</v>
      </c>
      <c r="D849" s="1" t="s">
        <v>86</v>
      </c>
      <c r="E849" s="1" t="s">
        <v>33</v>
      </c>
      <c r="F849" s="1" t="s">
        <v>199</v>
      </c>
      <c r="G849" s="5">
        <v>2484.2199999999998</v>
      </c>
    </row>
    <row r="850" spans="1:7" x14ac:dyDescent="0.2">
      <c r="A850" s="3">
        <v>32</v>
      </c>
      <c r="B850" s="2">
        <v>79495.039999999994</v>
      </c>
      <c r="C850" s="38">
        <v>44992</v>
      </c>
      <c r="D850" s="1" t="s">
        <v>86</v>
      </c>
      <c r="E850" s="1" t="s">
        <v>33</v>
      </c>
      <c r="F850" s="1" t="s">
        <v>199</v>
      </c>
      <c r="G850" s="5">
        <v>2484.2199999999998</v>
      </c>
    </row>
    <row r="851" spans="1:7" x14ac:dyDescent="0.2">
      <c r="A851" s="3">
        <v>32</v>
      </c>
      <c r="B851" s="2">
        <v>79495.039999999994</v>
      </c>
      <c r="C851" s="38">
        <v>44992</v>
      </c>
      <c r="D851" s="1" t="s">
        <v>86</v>
      </c>
      <c r="E851" s="1" t="s">
        <v>33</v>
      </c>
      <c r="F851" s="1" t="s">
        <v>199</v>
      </c>
      <c r="G851" s="5">
        <v>2484.2199999999998</v>
      </c>
    </row>
    <row r="852" spans="1:7" x14ac:dyDescent="0.2">
      <c r="A852" s="3">
        <v>32</v>
      </c>
      <c r="B852" s="2">
        <v>79495.039999999994</v>
      </c>
      <c r="C852" s="38">
        <v>44992</v>
      </c>
      <c r="D852" s="1" t="s">
        <v>86</v>
      </c>
      <c r="E852" s="1" t="s">
        <v>33</v>
      </c>
      <c r="F852" s="1" t="s">
        <v>199</v>
      </c>
      <c r="G852" s="5">
        <v>2484.2199999999998</v>
      </c>
    </row>
    <row r="853" spans="1:7" x14ac:dyDescent="0.2">
      <c r="A853" s="3">
        <v>32</v>
      </c>
      <c r="B853" s="2">
        <v>79495.039999999994</v>
      </c>
      <c r="C853" s="38">
        <v>45000</v>
      </c>
      <c r="D853" s="1" t="s">
        <v>86</v>
      </c>
      <c r="E853" s="1" t="s">
        <v>33</v>
      </c>
      <c r="F853" s="1" t="s">
        <v>199</v>
      </c>
      <c r="G853" s="5">
        <v>2484.2199999999998</v>
      </c>
    </row>
    <row r="854" spans="1:7" x14ac:dyDescent="0.2">
      <c r="A854" s="3">
        <v>32</v>
      </c>
      <c r="B854" s="2">
        <v>79495.039999999994</v>
      </c>
      <c r="C854" s="38">
        <v>45000</v>
      </c>
      <c r="D854" s="1" t="s">
        <v>86</v>
      </c>
      <c r="E854" s="1" t="s">
        <v>33</v>
      </c>
      <c r="F854" s="1" t="s">
        <v>199</v>
      </c>
      <c r="G854" s="5">
        <v>2484.2199999999998</v>
      </c>
    </row>
    <row r="855" spans="1:7" x14ac:dyDescent="0.2">
      <c r="A855" s="3">
        <v>32</v>
      </c>
      <c r="B855" s="2">
        <v>79495.039999999994</v>
      </c>
      <c r="C855" s="38">
        <v>45000</v>
      </c>
      <c r="D855" s="1" t="s">
        <v>86</v>
      </c>
      <c r="E855" s="1" t="s">
        <v>33</v>
      </c>
      <c r="F855" s="1" t="s">
        <v>199</v>
      </c>
      <c r="G855" s="5">
        <v>2484.2199999999998</v>
      </c>
    </row>
    <row r="856" spans="1:7" x14ac:dyDescent="0.2">
      <c r="A856" s="3">
        <v>32</v>
      </c>
      <c r="B856" s="2">
        <v>79495.039999999994</v>
      </c>
      <c r="C856" s="38">
        <v>45000</v>
      </c>
      <c r="D856" s="1" t="s">
        <v>86</v>
      </c>
      <c r="E856" s="1" t="s">
        <v>33</v>
      </c>
      <c r="F856" s="1" t="s">
        <v>199</v>
      </c>
      <c r="G856" s="5">
        <v>2484.2199999999998</v>
      </c>
    </row>
    <row r="857" spans="1:7" x14ac:dyDescent="0.2">
      <c r="A857" s="3">
        <v>32</v>
      </c>
      <c r="B857" s="2">
        <v>79495.039999999994</v>
      </c>
      <c r="C857" s="38">
        <v>45000</v>
      </c>
      <c r="D857" s="1" t="s">
        <v>86</v>
      </c>
      <c r="E857" s="1" t="s">
        <v>33</v>
      </c>
      <c r="F857" s="1" t="s">
        <v>199</v>
      </c>
      <c r="G857" s="5">
        <v>2484.2199999999998</v>
      </c>
    </row>
    <row r="858" spans="1:7" x14ac:dyDescent="0.2">
      <c r="A858" s="3">
        <v>32</v>
      </c>
      <c r="B858" s="2">
        <v>79495.039999999994</v>
      </c>
      <c r="C858" s="38">
        <v>45000</v>
      </c>
      <c r="D858" s="1" t="s">
        <v>86</v>
      </c>
      <c r="E858" s="1" t="s">
        <v>33</v>
      </c>
      <c r="F858" s="1" t="s">
        <v>199</v>
      </c>
      <c r="G858" s="5">
        <v>2484.2199999999998</v>
      </c>
    </row>
    <row r="859" spans="1:7" x14ac:dyDescent="0.2">
      <c r="A859" s="3">
        <v>32</v>
      </c>
      <c r="B859" s="2">
        <v>79495.039999999994</v>
      </c>
      <c r="C859" s="38">
        <v>45000</v>
      </c>
      <c r="D859" s="1" t="s">
        <v>86</v>
      </c>
      <c r="E859" s="1" t="s">
        <v>33</v>
      </c>
      <c r="F859" s="1" t="s">
        <v>199</v>
      </c>
      <c r="G859" s="5">
        <v>2484.2199999999998</v>
      </c>
    </row>
    <row r="860" spans="1:7" x14ac:dyDescent="0.2">
      <c r="A860" s="3">
        <v>32</v>
      </c>
      <c r="B860" s="2">
        <v>79495.039999999994</v>
      </c>
      <c r="C860" s="38">
        <v>45000</v>
      </c>
      <c r="D860" s="1" t="s">
        <v>86</v>
      </c>
      <c r="E860" s="1" t="s">
        <v>33</v>
      </c>
      <c r="F860" s="1" t="s">
        <v>199</v>
      </c>
      <c r="G860" s="5">
        <v>2484.2199999999998</v>
      </c>
    </row>
    <row r="861" spans="1:7" x14ac:dyDescent="0.2">
      <c r="A861" s="3">
        <v>32</v>
      </c>
      <c r="B861" s="2">
        <v>79495.039999999994</v>
      </c>
      <c r="C861" s="38">
        <v>45000</v>
      </c>
      <c r="D861" s="1" t="s">
        <v>86</v>
      </c>
      <c r="E861" s="1" t="s">
        <v>33</v>
      </c>
      <c r="F861" s="1" t="s">
        <v>199</v>
      </c>
      <c r="G861" s="5">
        <v>2484.2199999999998</v>
      </c>
    </row>
    <row r="862" spans="1:7" x14ac:dyDescent="0.2">
      <c r="A862" s="3">
        <v>32</v>
      </c>
      <c r="B862" s="2">
        <v>27878.080000000002</v>
      </c>
      <c r="C862" s="38">
        <v>45049</v>
      </c>
      <c r="D862" s="1" t="s">
        <v>141</v>
      </c>
      <c r="E862" s="1" t="s">
        <v>33</v>
      </c>
      <c r="F862" s="1" t="s">
        <v>199</v>
      </c>
      <c r="G862" s="5">
        <v>871.19</v>
      </c>
    </row>
    <row r="863" spans="1:7" x14ac:dyDescent="0.2">
      <c r="A863" s="3">
        <v>32</v>
      </c>
      <c r="B863" s="2">
        <v>27878.080000000002</v>
      </c>
      <c r="C863" s="38">
        <v>45049</v>
      </c>
      <c r="D863" s="1" t="s">
        <v>141</v>
      </c>
      <c r="E863" s="1" t="s">
        <v>33</v>
      </c>
      <c r="F863" s="1" t="s">
        <v>199</v>
      </c>
      <c r="G863" s="5">
        <v>871.19</v>
      </c>
    </row>
    <row r="864" spans="1:7" x14ac:dyDescent="0.2">
      <c r="A864" s="3">
        <v>32</v>
      </c>
      <c r="B864" s="2">
        <v>27878.080000000002</v>
      </c>
      <c r="C864" s="38">
        <v>45049</v>
      </c>
      <c r="D864" s="1" t="s">
        <v>141</v>
      </c>
      <c r="E864" s="1" t="s">
        <v>33</v>
      </c>
      <c r="F864" s="1" t="s">
        <v>199</v>
      </c>
      <c r="G864" s="5">
        <v>871.19</v>
      </c>
    </row>
    <row r="865" spans="1:7" x14ac:dyDescent="0.2">
      <c r="A865" s="3">
        <v>32</v>
      </c>
      <c r="B865" s="2">
        <v>27878.080000000002</v>
      </c>
      <c r="C865" s="38">
        <v>45049</v>
      </c>
      <c r="D865" s="1" t="s">
        <v>141</v>
      </c>
      <c r="E865" s="1" t="s">
        <v>33</v>
      </c>
      <c r="F865" s="1" t="s">
        <v>199</v>
      </c>
      <c r="G865" s="5">
        <v>871.19</v>
      </c>
    </row>
    <row r="866" spans="1:7" x14ac:dyDescent="0.2">
      <c r="A866" s="3">
        <v>32</v>
      </c>
      <c r="B866" s="2">
        <v>27878.080000000002</v>
      </c>
      <c r="C866" s="38">
        <v>45049</v>
      </c>
      <c r="D866" s="1" t="s">
        <v>141</v>
      </c>
      <c r="E866" s="1" t="s">
        <v>33</v>
      </c>
      <c r="F866" s="1" t="s">
        <v>199</v>
      </c>
      <c r="G866" s="5">
        <v>871.19</v>
      </c>
    </row>
    <row r="867" spans="1:7" x14ac:dyDescent="0.2">
      <c r="A867" s="3">
        <v>32</v>
      </c>
      <c r="B867" s="2">
        <v>27878.080000000002</v>
      </c>
      <c r="C867" s="38">
        <v>45049</v>
      </c>
      <c r="D867" s="1" t="s">
        <v>141</v>
      </c>
      <c r="E867" s="1" t="s">
        <v>33</v>
      </c>
      <c r="F867" s="1" t="s">
        <v>199</v>
      </c>
      <c r="G867" s="5">
        <v>871.19</v>
      </c>
    </row>
    <row r="868" spans="1:7" x14ac:dyDescent="0.2">
      <c r="A868" s="3">
        <v>32</v>
      </c>
      <c r="B868" s="2">
        <v>27878.080000000002</v>
      </c>
      <c r="C868" s="38">
        <v>45049</v>
      </c>
      <c r="D868" s="1" t="s">
        <v>141</v>
      </c>
      <c r="E868" s="1" t="s">
        <v>33</v>
      </c>
      <c r="F868" s="1" t="s">
        <v>199</v>
      </c>
      <c r="G868" s="5">
        <v>871.19</v>
      </c>
    </row>
    <row r="869" spans="1:7" x14ac:dyDescent="0.2">
      <c r="A869" s="3">
        <v>32</v>
      </c>
      <c r="B869" s="2">
        <v>27878.080000000002</v>
      </c>
      <c r="C869" s="38">
        <v>45049</v>
      </c>
      <c r="D869" s="1" t="s">
        <v>141</v>
      </c>
      <c r="E869" s="1" t="s">
        <v>33</v>
      </c>
      <c r="F869" s="1" t="s">
        <v>199</v>
      </c>
      <c r="G869" s="5">
        <v>871.19</v>
      </c>
    </row>
    <row r="870" spans="1:7" x14ac:dyDescent="0.2">
      <c r="A870" s="3">
        <v>32</v>
      </c>
      <c r="B870" s="2">
        <v>27878.080000000002</v>
      </c>
      <c r="C870" s="38">
        <v>45049</v>
      </c>
      <c r="D870" s="1" t="s">
        <v>141</v>
      </c>
      <c r="E870" s="1" t="s">
        <v>33</v>
      </c>
      <c r="F870" s="1" t="s">
        <v>199</v>
      </c>
      <c r="G870" s="5">
        <v>871.19</v>
      </c>
    </row>
    <row r="871" spans="1:7" x14ac:dyDescent="0.2">
      <c r="A871" s="3">
        <v>32</v>
      </c>
      <c r="B871" s="2">
        <v>27878.080000000002</v>
      </c>
      <c r="C871" s="38">
        <v>45049</v>
      </c>
      <c r="D871" s="1" t="s">
        <v>141</v>
      </c>
      <c r="E871" s="1" t="s">
        <v>33</v>
      </c>
      <c r="F871" s="1" t="s">
        <v>199</v>
      </c>
      <c r="G871" s="5">
        <v>871.19</v>
      </c>
    </row>
    <row r="872" spans="1:7" x14ac:dyDescent="0.2">
      <c r="A872" s="3">
        <v>32</v>
      </c>
      <c r="B872" s="2">
        <v>27878.080000000002</v>
      </c>
      <c r="C872" s="38">
        <v>45049</v>
      </c>
      <c r="D872" s="1" t="s">
        <v>141</v>
      </c>
      <c r="E872" s="1" t="s">
        <v>33</v>
      </c>
      <c r="F872" s="1" t="s">
        <v>199</v>
      </c>
      <c r="G872" s="5">
        <v>871.19</v>
      </c>
    </row>
    <row r="873" spans="1:7" x14ac:dyDescent="0.2">
      <c r="A873" s="3">
        <v>32</v>
      </c>
      <c r="B873" s="2">
        <v>27878.080000000002</v>
      </c>
      <c r="C873" s="38">
        <v>45049</v>
      </c>
      <c r="D873" s="1" t="s">
        <v>141</v>
      </c>
      <c r="E873" s="1" t="s">
        <v>33</v>
      </c>
      <c r="F873" s="1" t="s">
        <v>199</v>
      </c>
      <c r="G873" s="5">
        <v>871.19</v>
      </c>
    </row>
    <row r="874" spans="1:7" x14ac:dyDescent="0.2">
      <c r="A874" s="3">
        <v>32</v>
      </c>
      <c r="B874" s="2">
        <v>27878.080000000002</v>
      </c>
      <c r="C874" s="38">
        <v>45049</v>
      </c>
      <c r="D874" s="1" t="s">
        <v>141</v>
      </c>
      <c r="E874" s="1" t="s">
        <v>33</v>
      </c>
      <c r="F874" s="1" t="s">
        <v>199</v>
      </c>
      <c r="G874" s="5">
        <v>871.19</v>
      </c>
    </row>
    <row r="875" spans="1:7" x14ac:dyDescent="0.2">
      <c r="A875" s="3">
        <v>32</v>
      </c>
      <c r="B875" s="2">
        <v>27878.080000000002</v>
      </c>
      <c r="C875" s="38">
        <v>45049</v>
      </c>
      <c r="D875" s="1" t="s">
        <v>141</v>
      </c>
      <c r="E875" s="1" t="s">
        <v>33</v>
      </c>
      <c r="F875" s="1" t="s">
        <v>199</v>
      </c>
      <c r="G875" s="5">
        <v>871.19</v>
      </c>
    </row>
    <row r="876" spans="1:7" x14ac:dyDescent="0.2">
      <c r="A876" s="3">
        <v>32</v>
      </c>
      <c r="B876" s="2">
        <v>27878.080000000002</v>
      </c>
      <c r="C876" s="38">
        <v>45049</v>
      </c>
      <c r="D876" s="1" t="s">
        <v>141</v>
      </c>
      <c r="E876" s="1" t="s">
        <v>33</v>
      </c>
      <c r="F876" s="1" t="s">
        <v>199</v>
      </c>
      <c r="G876" s="5">
        <v>871.19</v>
      </c>
    </row>
    <row r="877" spans="1:7" x14ac:dyDescent="0.2">
      <c r="A877" s="3">
        <v>32</v>
      </c>
      <c r="B877" s="2">
        <v>27878.080000000002</v>
      </c>
      <c r="C877" s="38">
        <v>45049</v>
      </c>
      <c r="D877" s="1" t="s">
        <v>141</v>
      </c>
      <c r="E877" s="1" t="s">
        <v>33</v>
      </c>
      <c r="F877" s="1" t="s">
        <v>199</v>
      </c>
      <c r="G877" s="5">
        <v>871.19</v>
      </c>
    </row>
    <row r="878" spans="1:7" x14ac:dyDescent="0.2">
      <c r="A878" s="3">
        <v>32</v>
      </c>
      <c r="B878" s="2">
        <v>27878.080000000002</v>
      </c>
      <c r="C878" s="38">
        <v>45049</v>
      </c>
      <c r="D878" s="1" t="s">
        <v>141</v>
      </c>
      <c r="E878" s="1" t="s">
        <v>33</v>
      </c>
      <c r="F878" s="1" t="s">
        <v>199</v>
      </c>
      <c r="G878" s="5">
        <v>871.19</v>
      </c>
    </row>
    <row r="879" spans="1:7" x14ac:dyDescent="0.2">
      <c r="A879" s="3">
        <v>32</v>
      </c>
      <c r="B879" s="2">
        <v>27878.080000000002</v>
      </c>
      <c r="C879" s="38">
        <v>45049</v>
      </c>
      <c r="D879" s="1" t="s">
        <v>141</v>
      </c>
      <c r="E879" s="1" t="s">
        <v>33</v>
      </c>
      <c r="F879" s="1" t="s">
        <v>199</v>
      </c>
      <c r="G879" s="5">
        <v>871.19</v>
      </c>
    </row>
    <row r="880" spans="1:7" x14ac:dyDescent="0.2">
      <c r="A880" s="3">
        <v>32</v>
      </c>
      <c r="B880" s="2">
        <v>27878.080000000002</v>
      </c>
      <c r="C880" s="38">
        <v>45049</v>
      </c>
      <c r="D880" s="1" t="s">
        <v>141</v>
      </c>
      <c r="E880" s="1" t="s">
        <v>33</v>
      </c>
      <c r="F880" s="1" t="s">
        <v>199</v>
      </c>
      <c r="G880" s="5">
        <v>871.19</v>
      </c>
    </row>
    <row r="881" spans="1:7" x14ac:dyDescent="0.2">
      <c r="A881" s="3">
        <v>32</v>
      </c>
      <c r="B881" s="2">
        <v>27878.080000000002</v>
      </c>
      <c r="C881" s="38">
        <v>45049</v>
      </c>
      <c r="D881" s="1" t="s">
        <v>141</v>
      </c>
      <c r="E881" s="1" t="s">
        <v>33</v>
      </c>
      <c r="F881" s="1" t="s">
        <v>199</v>
      </c>
      <c r="G881" s="5">
        <v>871.19</v>
      </c>
    </row>
    <row r="882" spans="1:7" x14ac:dyDescent="0.2">
      <c r="A882" s="3">
        <v>32</v>
      </c>
      <c r="B882" s="2">
        <v>27878.080000000002</v>
      </c>
      <c r="C882" s="38">
        <v>45049</v>
      </c>
      <c r="D882" s="1" t="s">
        <v>141</v>
      </c>
      <c r="E882" s="1" t="s">
        <v>33</v>
      </c>
      <c r="F882" s="1" t="s">
        <v>199</v>
      </c>
      <c r="G882" s="5">
        <v>871.19</v>
      </c>
    </row>
    <row r="883" spans="1:7" x14ac:dyDescent="0.2">
      <c r="A883" s="3">
        <v>32</v>
      </c>
      <c r="B883" s="2">
        <v>27878.080000000002</v>
      </c>
      <c r="C883" s="38">
        <v>45049</v>
      </c>
      <c r="D883" s="1" t="s">
        <v>141</v>
      </c>
      <c r="E883" s="1" t="s">
        <v>33</v>
      </c>
      <c r="F883" s="1" t="s">
        <v>199</v>
      </c>
      <c r="G883" s="5">
        <v>871.19</v>
      </c>
    </row>
    <row r="884" spans="1:7" x14ac:dyDescent="0.2">
      <c r="A884" s="3">
        <v>32</v>
      </c>
      <c r="B884" s="2">
        <v>27878.080000000002</v>
      </c>
      <c r="C884" s="38">
        <v>45049</v>
      </c>
      <c r="D884" s="1" t="s">
        <v>141</v>
      </c>
      <c r="E884" s="1" t="s">
        <v>33</v>
      </c>
      <c r="F884" s="1" t="s">
        <v>199</v>
      </c>
      <c r="G884" s="5">
        <v>871.19</v>
      </c>
    </row>
    <row r="885" spans="1:7" x14ac:dyDescent="0.2">
      <c r="A885" s="3">
        <v>32</v>
      </c>
      <c r="B885" s="2">
        <v>27878.080000000002</v>
      </c>
      <c r="C885" s="38">
        <v>45049</v>
      </c>
      <c r="D885" s="1" t="s">
        <v>141</v>
      </c>
      <c r="E885" s="1" t="s">
        <v>33</v>
      </c>
      <c r="F885" s="1" t="s">
        <v>199</v>
      </c>
      <c r="G885" s="5">
        <v>871.19</v>
      </c>
    </row>
    <row r="886" spans="1:7" x14ac:dyDescent="0.2">
      <c r="A886" s="3">
        <v>32</v>
      </c>
      <c r="B886" s="2">
        <v>27878.080000000002</v>
      </c>
      <c r="C886" s="38">
        <v>45049</v>
      </c>
      <c r="D886" s="1" t="s">
        <v>141</v>
      </c>
      <c r="E886" s="1" t="s">
        <v>33</v>
      </c>
      <c r="F886" s="1" t="s">
        <v>199</v>
      </c>
      <c r="G886" s="5">
        <v>871.19</v>
      </c>
    </row>
    <row r="887" spans="1:7" x14ac:dyDescent="0.2">
      <c r="A887" s="3">
        <v>32</v>
      </c>
      <c r="B887" s="2">
        <v>27878.080000000002</v>
      </c>
      <c r="C887" s="38">
        <v>45049</v>
      </c>
      <c r="D887" s="1" t="s">
        <v>141</v>
      </c>
      <c r="E887" s="1" t="s">
        <v>33</v>
      </c>
      <c r="F887" s="1" t="s">
        <v>199</v>
      </c>
      <c r="G887" s="5">
        <v>871.19</v>
      </c>
    </row>
    <row r="888" spans="1:7" x14ac:dyDescent="0.2">
      <c r="A888" s="3">
        <v>32</v>
      </c>
      <c r="B888" s="2">
        <v>27878.080000000002</v>
      </c>
      <c r="C888" s="38">
        <v>45049</v>
      </c>
      <c r="D888" s="1" t="s">
        <v>141</v>
      </c>
      <c r="E888" s="1" t="s">
        <v>33</v>
      </c>
      <c r="F888" s="1" t="s">
        <v>199</v>
      </c>
      <c r="G888" s="5">
        <v>871.19</v>
      </c>
    </row>
    <row r="889" spans="1:7" x14ac:dyDescent="0.2">
      <c r="A889" s="3">
        <v>32</v>
      </c>
      <c r="B889" s="2">
        <v>27878.080000000002</v>
      </c>
      <c r="C889" s="38">
        <v>45049</v>
      </c>
      <c r="D889" s="1" t="s">
        <v>141</v>
      </c>
      <c r="E889" s="1" t="s">
        <v>33</v>
      </c>
      <c r="F889" s="1" t="s">
        <v>199</v>
      </c>
      <c r="G889" s="5">
        <v>871.19</v>
      </c>
    </row>
    <row r="890" spans="1:7" x14ac:dyDescent="0.2">
      <c r="A890" s="3">
        <v>32</v>
      </c>
      <c r="B890" s="2">
        <v>27878.080000000002</v>
      </c>
      <c r="C890" s="38">
        <v>45049</v>
      </c>
      <c r="D890" s="1" t="s">
        <v>141</v>
      </c>
      <c r="E890" s="1" t="s">
        <v>33</v>
      </c>
      <c r="F890" s="1" t="s">
        <v>199</v>
      </c>
      <c r="G890" s="5">
        <v>871.19</v>
      </c>
    </row>
    <row r="891" spans="1:7" x14ac:dyDescent="0.2">
      <c r="A891" s="3">
        <v>32</v>
      </c>
      <c r="B891" s="2">
        <v>75370.240000000005</v>
      </c>
      <c r="C891" s="38">
        <v>44664</v>
      </c>
      <c r="D891" s="1" t="s">
        <v>86</v>
      </c>
      <c r="E891" s="1" t="s">
        <v>33</v>
      </c>
      <c r="F891" s="1" t="s">
        <v>199</v>
      </c>
      <c r="G891" s="5">
        <v>2355.3200000000002</v>
      </c>
    </row>
    <row r="892" spans="1:7" x14ac:dyDescent="0.2">
      <c r="A892" s="3">
        <v>32</v>
      </c>
      <c r="B892" s="2">
        <v>27878.080000000002</v>
      </c>
      <c r="C892" s="38">
        <v>45030</v>
      </c>
      <c r="D892" s="1" t="s">
        <v>141</v>
      </c>
      <c r="E892" s="1" t="s">
        <v>33</v>
      </c>
      <c r="F892" s="1" t="s">
        <v>199</v>
      </c>
      <c r="G892" s="5">
        <v>871.19</v>
      </c>
    </row>
    <row r="893" spans="1:7" x14ac:dyDescent="0.2">
      <c r="A893" s="3">
        <v>32</v>
      </c>
      <c r="B893" s="2">
        <v>27878.080000000002</v>
      </c>
      <c r="C893" s="38">
        <v>45030</v>
      </c>
      <c r="D893" s="1" t="s">
        <v>141</v>
      </c>
      <c r="E893" s="1" t="s">
        <v>33</v>
      </c>
      <c r="F893" s="1" t="s">
        <v>199</v>
      </c>
      <c r="G893" s="5">
        <v>871.19</v>
      </c>
    </row>
    <row r="894" spans="1:7" x14ac:dyDescent="0.2">
      <c r="A894" s="3">
        <v>32</v>
      </c>
      <c r="B894" s="2">
        <v>27878.080000000002</v>
      </c>
      <c r="C894" s="38">
        <v>45030</v>
      </c>
      <c r="D894" s="1" t="s">
        <v>141</v>
      </c>
      <c r="E894" s="1" t="s">
        <v>33</v>
      </c>
      <c r="F894" s="1" t="s">
        <v>199</v>
      </c>
      <c r="G894" s="5">
        <v>871.19</v>
      </c>
    </row>
    <row r="895" spans="1:7" x14ac:dyDescent="0.2">
      <c r="A895" s="3">
        <v>32</v>
      </c>
      <c r="B895" s="2">
        <v>27878.080000000002</v>
      </c>
      <c r="C895" s="38">
        <v>45030</v>
      </c>
      <c r="D895" s="1" t="s">
        <v>141</v>
      </c>
      <c r="E895" s="1" t="s">
        <v>33</v>
      </c>
      <c r="F895" s="1" t="s">
        <v>199</v>
      </c>
      <c r="G895" s="5">
        <v>871.19</v>
      </c>
    </row>
    <row r="896" spans="1:7" x14ac:dyDescent="0.2">
      <c r="A896" s="3">
        <v>32</v>
      </c>
      <c r="B896" s="2">
        <v>27878.080000000002</v>
      </c>
      <c r="C896" s="38">
        <v>45030</v>
      </c>
      <c r="D896" s="1" t="s">
        <v>141</v>
      </c>
      <c r="E896" s="1" t="s">
        <v>33</v>
      </c>
      <c r="F896" s="1" t="s">
        <v>199</v>
      </c>
      <c r="G896" s="5">
        <v>871.19</v>
      </c>
    </row>
    <row r="897" spans="1:7" x14ac:dyDescent="0.2">
      <c r="A897" s="3">
        <v>32</v>
      </c>
      <c r="B897" s="2">
        <v>27878.080000000002</v>
      </c>
      <c r="C897" s="38">
        <v>45030</v>
      </c>
      <c r="D897" s="1" t="s">
        <v>141</v>
      </c>
      <c r="E897" s="1" t="s">
        <v>33</v>
      </c>
      <c r="F897" s="1" t="s">
        <v>199</v>
      </c>
      <c r="G897" s="5">
        <v>871.19</v>
      </c>
    </row>
    <row r="898" spans="1:7" x14ac:dyDescent="0.2">
      <c r="A898" s="3">
        <v>32</v>
      </c>
      <c r="B898" s="2">
        <v>27878.080000000002</v>
      </c>
      <c r="C898" s="38">
        <v>45030</v>
      </c>
      <c r="D898" s="1" t="s">
        <v>141</v>
      </c>
      <c r="E898" s="1" t="s">
        <v>33</v>
      </c>
      <c r="F898" s="1" t="s">
        <v>199</v>
      </c>
      <c r="G898" s="5">
        <v>871.19</v>
      </c>
    </row>
    <row r="899" spans="1:7" x14ac:dyDescent="0.2">
      <c r="A899" s="3">
        <v>32</v>
      </c>
      <c r="B899" s="2">
        <v>27878.080000000002</v>
      </c>
      <c r="C899" s="38">
        <v>45030</v>
      </c>
      <c r="D899" s="1" t="s">
        <v>141</v>
      </c>
      <c r="E899" s="1" t="s">
        <v>33</v>
      </c>
      <c r="F899" s="1" t="s">
        <v>199</v>
      </c>
      <c r="G899" s="5">
        <v>871.19</v>
      </c>
    </row>
    <row r="900" spans="1:7" x14ac:dyDescent="0.2">
      <c r="A900" s="3">
        <v>32</v>
      </c>
      <c r="B900" s="2">
        <v>27878.080000000002</v>
      </c>
      <c r="C900" s="38">
        <v>45030</v>
      </c>
      <c r="D900" s="1" t="s">
        <v>141</v>
      </c>
      <c r="E900" s="1" t="s">
        <v>33</v>
      </c>
      <c r="F900" s="1" t="s">
        <v>199</v>
      </c>
      <c r="G900" s="5">
        <v>871.19</v>
      </c>
    </row>
    <row r="901" spans="1:7" x14ac:dyDescent="0.2">
      <c r="A901" s="3">
        <v>32</v>
      </c>
      <c r="B901" s="2">
        <v>27878.080000000002</v>
      </c>
      <c r="C901" s="38">
        <v>45030</v>
      </c>
      <c r="D901" s="1" t="s">
        <v>141</v>
      </c>
      <c r="E901" s="1" t="s">
        <v>33</v>
      </c>
      <c r="F901" s="1" t="s">
        <v>199</v>
      </c>
      <c r="G901" s="5">
        <v>871.19</v>
      </c>
    </row>
    <row r="902" spans="1:7" x14ac:dyDescent="0.2">
      <c r="A902" s="3">
        <v>32</v>
      </c>
      <c r="B902" s="2">
        <v>27878.080000000002</v>
      </c>
      <c r="C902" s="38">
        <v>45030</v>
      </c>
      <c r="D902" s="1" t="s">
        <v>141</v>
      </c>
      <c r="E902" s="1" t="s">
        <v>33</v>
      </c>
      <c r="F902" s="1" t="s">
        <v>199</v>
      </c>
      <c r="G902" s="5">
        <v>871.19</v>
      </c>
    </row>
    <row r="903" spans="1:7" x14ac:dyDescent="0.2">
      <c r="A903" s="3">
        <v>32</v>
      </c>
      <c r="B903" s="2">
        <v>27878.080000000002</v>
      </c>
      <c r="C903" s="38">
        <v>45030</v>
      </c>
      <c r="D903" s="1" t="s">
        <v>141</v>
      </c>
      <c r="E903" s="1" t="s">
        <v>33</v>
      </c>
      <c r="F903" s="1" t="s">
        <v>199</v>
      </c>
      <c r="G903" s="5">
        <v>871.19</v>
      </c>
    </row>
    <row r="904" spans="1:7" x14ac:dyDescent="0.2">
      <c r="A904" s="3">
        <v>32</v>
      </c>
      <c r="B904" s="2">
        <v>27878.080000000002</v>
      </c>
      <c r="C904" s="38">
        <v>45061</v>
      </c>
      <c r="D904" s="1" t="s">
        <v>141</v>
      </c>
      <c r="E904" s="1" t="s">
        <v>33</v>
      </c>
      <c r="F904" s="1" t="s">
        <v>199</v>
      </c>
      <c r="G904" s="5">
        <v>871.19</v>
      </c>
    </row>
    <row r="905" spans="1:7" x14ac:dyDescent="0.2">
      <c r="A905" s="3">
        <v>32</v>
      </c>
      <c r="B905" s="2">
        <v>27878.080000000002</v>
      </c>
      <c r="C905" s="38">
        <v>45061</v>
      </c>
      <c r="D905" s="1" t="s">
        <v>141</v>
      </c>
      <c r="E905" s="1" t="s">
        <v>33</v>
      </c>
      <c r="F905" s="1" t="s">
        <v>199</v>
      </c>
      <c r="G905" s="5">
        <v>871.19</v>
      </c>
    </row>
    <row r="906" spans="1:7" x14ac:dyDescent="0.2">
      <c r="A906" s="3">
        <v>32</v>
      </c>
      <c r="B906" s="2">
        <v>27878.080000000002</v>
      </c>
      <c r="C906" s="38">
        <v>45061</v>
      </c>
      <c r="D906" s="1" t="s">
        <v>141</v>
      </c>
      <c r="E906" s="1" t="s">
        <v>33</v>
      </c>
      <c r="F906" s="1" t="s">
        <v>199</v>
      </c>
      <c r="G906" s="5">
        <v>871.19</v>
      </c>
    </row>
    <row r="907" spans="1:7" x14ac:dyDescent="0.2">
      <c r="A907" s="3">
        <v>32</v>
      </c>
      <c r="B907" s="2">
        <v>79495.039999999994</v>
      </c>
      <c r="C907" s="38">
        <v>45061</v>
      </c>
      <c r="D907" s="1" t="s">
        <v>86</v>
      </c>
      <c r="E907" s="1" t="s">
        <v>33</v>
      </c>
      <c r="F907" s="1" t="s">
        <v>199</v>
      </c>
      <c r="G907" s="5">
        <v>2484.2199999999998</v>
      </c>
    </row>
    <row r="908" spans="1:7" x14ac:dyDescent="0.2">
      <c r="A908" s="3">
        <v>32</v>
      </c>
      <c r="B908" s="2">
        <v>79495.039999999994</v>
      </c>
      <c r="C908" s="38">
        <v>45061</v>
      </c>
      <c r="D908" s="1" t="s">
        <v>86</v>
      </c>
      <c r="E908" s="1" t="s">
        <v>33</v>
      </c>
      <c r="F908" s="1" t="s">
        <v>199</v>
      </c>
      <c r="G908" s="5">
        <v>2484.2199999999998</v>
      </c>
    </row>
    <row r="909" spans="1:7" x14ac:dyDescent="0.2">
      <c r="A909" s="3">
        <v>32</v>
      </c>
      <c r="B909" s="2">
        <v>79495.039999999994</v>
      </c>
      <c r="C909" s="38">
        <v>45061</v>
      </c>
      <c r="D909" s="1" t="s">
        <v>86</v>
      </c>
      <c r="E909" s="1" t="s">
        <v>33</v>
      </c>
      <c r="F909" s="1" t="s">
        <v>199</v>
      </c>
      <c r="G909" s="5">
        <v>2484.2199999999998</v>
      </c>
    </row>
    <row r="910" spans="1:7" x14ac:dyDescent="0.2">
      <c r="A910" s="3">
        <v>32</v>
      </c>
      <c r="B910" s="2">
        <v>79495.039999999994</v>
      </c>
      <c r="C910" s="38">
        <v>45061</v>
      </c>
      <c r="D910" s="1" t="s">
        <v>86</v>
      </c>
      <c r="E910" s="1" t="s">
        <v>33</v>
      </c>
      <c r="F910" s="1" t="s">
        <v>199</v>
      </c>
      <c r="G910" s="5">
        <v>2484.2199999999998</v>
      </c>
    </row>
    <row r="911" spans="1:7" x14ac:dyDescent="0.2">
      <c r="A911" s="3">
        <v>32</v>
      </c>
      <c r="B911" s="2">
        <v>79495.039999999994</v>
      </c>
      <c r="C911" s="38">
        <v>45061</v>
      </c>
      <c r="D911" s="1" t="s">
        <v>86</v>
      </c>
      <c r="E911" s="1" t="s">
        <v>33</v>
      </c>
      <c r="F911" s="1" t="s">
        <v>199</v>
      </c>
      <c r="G911" s="5">
        <v>2484.2199999999998</v>
      </c>
    </row>
    <row r="912" spans="1:7" x14ac:dyDescent="0.2">
      <c r="A912" s="3">
        <v>32</v>
      </c>
      <c r="B912" s="2">
        <v>79495.039999999994</v>
      </c>
      <c r="C912" s="38">
        <v>45061</v>
      </c>
      <c r="D912" s="1" t="s">
        <v>86</v>
      </c>
      <c r="E912" s="1" t="s">
        <v>33</v>
      </c>
      <c r="F912" s="1" t="s">
        <v>199</v>
      </c>
      <c r="G912" s="5">
        <v>2484.2199999999998</v>
      </c>
    </row>
    <row r="913" spans="1:7" x14ac:dyDescent="0.2">
      <c r="A913" s="3">
        <v>32</v>
      </c>
      <c r="B913" s="2">
        <v>79495.039999999994</v>
      </c>
      <c r="C913" s="38">
        <v>45061</v>
      </c>
      <c r="D913" s="1" t="s">
        <v>86</v>
      </c>
      <c r="E913" s="1" t="s">
        <v>33</v>
      </c>
      <c r="F913" s="1" t="s">
        <v>199</v>
      </c>
      <c r="G913" s="5">
        <v>2484.2199999999998</v>
      </c>
    </row>
    <row r="914" spans="1:7" x14ac:dyDescent="0.2">
      <c r="A914" s="3">
        <v>32</v>
      </c>
      <c r="B914" s="2">
        <v>79495.039999999994</v>
      </c>
      <c r="C914" s="38">
        <v>45061</v>
      </c>
      <c r="D914" s="1" t="s">
        <v>86</v>
      </c>
      <c r="E914" s="1" t="s">
        <v>33</v>
      </c>
      <c r="F914" s="1" t="s">
        <v>199</v>
      </c>
      <c r="G914" s="5">
        <v>2484.2199999999998</v>
      </c>
    </row>
    <row r="915" spans="1:7" x14ac:dyDescent="0.2">
      <c r="A915" s="3">
        <v>32</v>
      </c>
      <c r="B915" s="2">
        <v>79495.039999999994</v>
      </c>
      <c r="C915" s="38">
        <v>45061</v>
      </c>
      <c r="D915" s="1" t="s">
        <v>86</v>
      </c>
      <c r="E915" s="1" t="s">
        <v>33</v>
      </c>
      <c r="F915" s="1" t="s">
        <v>199</v>
      </c>
      <c r="G915" s="5">
        <v>2484.2199999999998</v>
      </c>
    </row>
    <row r="916" spans="1:7" x14ac:dyDescent="0.2">
      <c r="A916" s="3">
        <v>32</v>
      </c>
      <c r="B916" s="2">
        <v>79495.039999999994</v>
      </c>
      <c r="C916" s="38">
        <v>45061</v>
      </c>
      <c r="D916" s="1" t="s">
        <v>86</v>
      </c>
      <c r="E916" s="1" t="s">
        <v>33</v>
      </c>
      <c r="F916" s="1" t="s">
        <v>199</v>
      </c>
      <c r="G916" s="5">
        <v>2484.2199999999998</v>
      </c>
    </row>
    <row r="917" spans="1:7" x14ac:dyDescent="0.2">
      <c r="A917" s="3">
        <v>32</v>
      </c>
      <c r="B917" s="2">
        <v>79495.039999999994</v>
      </c>
      <c r="C917" s="38">
        <v>45061</v>
      </c>
      <c r="D917" s="1" t="s">
        <v>86</v>
      </c>
      <c r="E917" s="1" t="s">
        <v>33</v>
      </c>
      <c r="F917" s="1" t="s">
        <v>199</v>
      </c>
      <c r="G917" s="5">
        <v>2484.2199999999998</v>
      </c>
    </row>
    <row r="918" spans="1:7" x14ac:dyDescent="0.2">
      <c r="A918" s="3">
        <v>32</v>
      </c>
      <c r="B918" s="2">
        <v>79495.039999999994</v>
      </c>
      <c r="C918" s="38">
        <v>45061</v>
      </c>
      <c r="D918" s="1" t="s">
        <v>86</v>
      </c>
      <c r="E918" s="1" t="s">
        <v>33</v>
      </c>
      <c r="F918" s="1" t="s">
        <v>199</v>
      </c>
      <c r="G918" s="5">
        <v>2484.2199999999998</v>
      </c>
    </row>
    <row r="919" spans="1:7" x14ac:dyDescent="0.2">
      <c r="A919" s="3">
        <v>32</v>
      </c>
      <c r="B919" s="2">
        <v>79495.039999999994</v>
      </c>
      <c r="C919" s="38">
        <v>45061</v>
      </c>
      <c r="D919" s="1" t="s">
        <v>86</v>
      </c>
      <c r="E919" s="1" t="s">
        <v>33</v>
      </c>
      <c r="F919" s="1" t="s">
        <v>199</v>
      </c>
      <c r="G919" s="5">
        <v>2484.2199999999998</v>
      </c>
    </row>
    <row r="920" spans="1:7" x14ac:dyDescent="0.2">
      <c r="A920" s="3">
        <v>32</v>
      </c>
      <c r="B920" s="2">
        <v>79495.039999999994</v>
      </c>
      <c r="C920" s="38">
        <v>45061</v>
      </c>
      <c r="D920" s="1" t="s">
        <v>86</v>
      </c>
      <c r="E920" s="1" t="s">
        <v>33</v>
      </c>
      <c r="F920" s="1" t="s">
        <v>199</v>
      </c>
      <c r="G920" s="5">
        <v>2484.2199999999998</v>
      </c>
    </row>
    <row r="921" spans="1:7" x14ac:dyDescent="0.2">
      <c r="A921" s="3">
        <v>32</v>
      </c>
      <c r="B921" s="2">
        <v>79495.039999999994</v>
      </c>
      <c r="C921" s="38">
        <v>45061</v>
      </c>
      <c r="D921" s="1" t="s">
        <v>86</v>
      </c>
      <c r="E921" s="1" t="s">
        <v>33</v>
      </c>
      <c r="F921" s="1" t="s">
        <v>199</v>
      </c>
      <c r="G921" s="5">
        <v>2484.2199999999998</v>
      </c>
    </row>
    <row r="922" spans="1:7" x14ac:dyDescent="0.2">
      <c r="A922" s="3">
        <v>32</v>
      </c>
      <c r="B922" s="2">
        <v>79495.039999999994</v>
      </c>
      <c r="C922" s="38">
        <v>45061</v>
      </c>
      <c r="D922" s="1" t="s">
        <v>86</v>
      </c>
      <c r="E922" s="1" t="s">
        <v>33</v>
      </c>
      <c r="F922" s="1" t="s">
        <v>199</v>
      </c>
      <c r="G922" s="5">
        <v>2484.2199999999998</v>
      </c>
    </row>
    <row r="923" spans="1:7" x14ac:dyDescent="0.2">
      <c r="A923" s="3">
        <v>32</v>
      </c>
      <c r="B923" s="2">
        <v>75370.240000000005</v>
      </c>
      <c r="C923" s="38">
        <v>44806</v>
      </c>
      <c r="D923" s="1" t="s">
        <v>86</v>
      </c>
      <c r="E923" s="1" t="s">
        <v>33</v>
      </c>
      <c r="F923" s="1" t="s">
        <v>199</v>
      </c>
      <c r="G923" s="5">
        <v>2355.3200000000002</v>
      </c>
    </row>
    <row r="924" spans="1:7" x14ac:dyDescent="0.2">
      <c r="A924" s="3">
        <v>32</v>
      </c>
      <c r="B924" s="2">
        <v>75370.240000000005</v>
      </c>
      <c r="C924" s="38">
        <v>44806</v>
      </c>
      <c r="D924" s="1" t="s">
        <v>86</v>
      </c>
      <c r="E924" s="1" t="s">
        <v>33</v>
      </c>
      <c r="F924" s="1" t="s">
        <v>199</v>
      </c>
      <c r="G924" s="5">
        <v>2355.3200000000002</v>
      </c>
    </row>
    <row r="925" spans="1:7" x14ac:dyDescent="0.2">
      <c r="A925" s="3">
        <v>32</v>
      </c>
      <c r="B925" s="2">
        <v>75370.240000000005</v>
      </c>
      <c r="C925" s="38">
        <v>44806</v>
      </c>
      <c r="D925" s="1" t="s">
        <v>86</v>
      </c>
      <c r="E925" s="1" t="s">
        <v>33</v>
      </c>
      <c r="F925" s="1" t="s">
        <v>199</v>
      </c>
      <c r="G925" s="5">
        <v>2355.3200000000002</v>
      </c>
    </row>
    <row r="926" spans="1:7" x14ac:dyDescent="0.2">
      <c r="A926" s="3">
        <v>32</v>
      </c>
      <c r="B926" s="2">
        <v>75370.240000000005</v>
      </c>
      <c r="C926" s="38">
        <v>44862</v>
      </c>
      <c r="D926" s="1" t="s">
        <v>86</v>
      </c>
      <c r="E926" s="1" t="s">
        <v>33</v>
      </c>
      <c r="F926" s="1" t="s">
        <v>199</v>
      </c>
      <c r="G926" s="5">
        <v>2355.3200000000002</v>
      </c>
    </row>
    <row r="927" spans="1:7" x14ac:dyDescent="0.2">
      <c r="A927" s="3">
        <v>32</v>
      </c>
      <c r="B927" s="2">
        <v>80721.600000000006</v>
      </c>
      <c r="C927" s="38">
        <v>44833</v>
      </c>
      <c r="D927" s="1" t="s">
        <v>162</v>
      </c>
      <c r="E927" s="1" t="s">
        <v>33</v>
      </c>
      <c r="F927" s="1" t="s">
        <v>199</v>
      </c>
      <c r="G927" s="5">
        <v>2522.5500000000002</v>
      </c>
    </row>
    <row r="928" spans="1:7" x14ac:dyDescent="0.2">
      <c r="A928" s="3">
        <v>32</v>
      </c>
      <c r="B928" s="2">
        <v>75370.240000000005</v>
      </c>
      <c r="C928" s="38">
        <v>44743</v>
      </c>
      <c r="D928" s="1" t="s">
        <v>86</v>
      </c>
      <c r="E928" s="1" t="s">
        <v>33</v>
      </c>
      <c r="F928" s="1" t="s">
        <v>199</v>
      </c>
      <c r="G928" s="5">
        <v>2355.3200000000002</v>
      </c>
    </row>
    <row r="929" spans="1:7" x14ac:dyDescent="0.2">
      <c r="A929" s="3">
        <v>32</v>
      </c>
      <c r="B929" s="2">
        <v>75370.240000000005</v>
      </c>
      <c r="C929" s="38">
        <v>44743</v>
      </c>
      <c r="D929" s="1" t="s">
        <v>86</v>
      </c>
      <c r="E929" s="1" t="s">
        <v>33</v>
      </c>
      <c r="F929" s="1" t="s">
        <v>199</v>
      </c>
      <c r="G929" s="5">
        <v>2355.3200000000002</v>
      </c>
    </row>
    <row r="930" spans="1:7" x14ac:dyDescent="0.2">
      <c r="A930" s="3">
        <v>32</v>
      </c>
      <c r="B930" s="2">
        <v>75370.240000000005</v>
      </c>
      <c r="C930" s="38">
        <v>44743</v>
      </c>
      <c r="D930" s="1" t="s">
        <v>86</v>
      </c>
      <c r="E930" s="1" t="s">
        <v>33</v>
      </c>
      <c r="F930" s="1" t="s">
        <v>199</v>
      </c>
      <c r="G930" s="5">
        <v>2355.3200000000002</v>
      </c>
    </row>
    <row r="931" spans="1:7" x14ac:dyDescent="0.2">
      <c r="A931" s="3">
        <v>32</v>
      </c>
      <c r="B931" s="2">
        <v>75370.240000000005</v>
      </c>
      <c r="C931" s="38">
        <v>44743</v>
      </c>
      <c r="D931" s="1" t="s">
        <v>86</v>
      </c>
      <c r="E931" s="1" t="s">
        <v>33</v>
      </c>
      <c r="F931" s="1" t="s">
        <v>199</v>
      </c>
      <c r="G931" s="5">
        <v>2355.3200000000002</v>
      </c>
    </row>
    <row r="932" spans="1:7" x14ac:dyDescent="0.2">
      <c r="A932" s="3">
        <v>32</v>
      </c>
      <c r="B932" s="2">
        <v>75370.240000000005</v>
      </c>
      <c r="C932" s="38">
        <v>44743</v>
      </c>
      <c r="D932" s="1" t="s">
        <v>86</v>
      </c>
      <c r="E932" s="1" t="s">
        <v>33</v>
      </c>
      <c r="F932" s="1" t="s">
        <v>199</v>
      </c>
      <c r="G932" s="5">
        <v>2355.3200000000002</v>
      </c>
    </row>
    <row r="933" spans="1:7" x14ac:dyDescent="0.2">
      <c r="A933" s="3">
        <v>32</v>
      </c>
      <c r="B933" s="2">
        <v>75370.240000000005</v>
      </c>
      <c r="C933" s="38">
        <v>44743</v>
      </c>
      <c r="D933" s="1" t="s">
        <v>86</v>
      </c>
      <c r="E933" s="1" t="s">
        <v>33</v>
      </c>
      <c r="F933" s="1" t="s">
        <v>199</v>
      </c>
      <c r="G933" s="5">
        <v>2355.3200000000002</v>
      </c>
    </row>
    <row r="934" spans="1:7" x14ac:dyDescent="0.2">
      <c r="A934" s="3">
        <v>32</v>
      </c>
      <c r="B934" s="2">
        <v>75370.240000000005</v>
      </c>
      <c r="C934" s="38">
        <v>44743</v>
      </c>
      <c r="D934" s="1" t="s">
        <v>86</v>
      </c>
      <c r="E934" s="1" t="s">
        <v>33</v>
      </c>
      <c r="F934" s="1" t="s">
        <v>199</v>
      </c>
      <c r="G934" s="5">
        <v>2355.3200000000002</v>
      </c>
    </row>
    <row r="935" spans="1:7" x14ac:dyDescent="0.2">
      <c r="A935" s="3">
        <v>32</v>
      </c>
      <c r="B935" s="2">
        <v>75370.240000000005</v>
      </c>
      <c r="C935" s="38">
        <v>44743</v>
      </c>
      <c r="D935" s="1" t="s">
        <v>86</v>
      </c>
      <c r="E935" s="1" t="s">
        <v>33</v>
      </c>
      <c r="F935" s="1" t="s">
        <v>199</v>
      </c>
      <c r="G935" s="5">
        <v>2355.3200000000002</v>
      </c>
    </row>
    <row r="936" spans="1:7" x14ac:dyDescent="0.2">
      <c r="A936" s="3">
        <v>32</v>
      </c>
      <c r="B936" s="2">
        <v>75370.240000000005</v>
      </c>
      <c r="C936" s="38">
        <v>44743</v>
      </c>
      <c r="D936" s="1" t="s">
        <v>86</v>
      </c>
      <c r="E936" s="1" t="s">
        <v>33</v>
      </c>
      <c r="F936" s="1" t="s">
        <v>199</v>
      </c>
      <c r="G936" s="5">
        <v>2355.3200000000002</v>
      </c>
    </row>
    <row r="937" spans="1:7" x14ac:dyDescent="0.2">
      <c r="A937" s="3">
        <v>32</v>
      </c>
      <c r="B937" s="2">
        <v>80721.600000000006</v>
      </c>
      <c r="C937" s="38">
        <v>44847</v>
      </c>
      <c r="D937" s="1" t="s">
        <v>162</v>
      </c>
      <c r="E937" s="1" t="s">
        <v>33</v>
      </c>
      <c r="F937" s="1" t="s">
        <v>199</v>
      </c>
      <c r="G937" s="5">
        <v>2522.5500000000002</v>
      </c>
    </row>
    <row r="938" spans="1:7" x14ac:dyDescent="0.2">
      <c r="A938" s="3">
        <v>32</v>
      </c>
      <c r="B938" s="2">
        <v>75370.240000000005</v>
      </c>
      <c r="C938" s="38">
        <v>44792</v>
      </c>
      <c r="D938" s="1" t="s">
        <v>86</v>
      </c>
      <c r="E938" s="1" t="s">
        <v>33</v>
      </c>
      <c r="F938" s="1" t="s">
        <v>199</v>
      </c>
      <c r="G938" s="5">
        <v>2355.3200000000002</v>
      </c>
    </row>
    <row r="939" spans="1:7" x14ac:dyDescent="0.2">
      <c r="A939" s="3">
        <v>32</v>
      </c>
      <c r="B939" s="2">
        <v>75370.240000000005</v>
      </c>
      <c r="C939" s="38">
        <v>44792</v>
      </c>
      <c r="D939" s="1" t="s">
        <v>86</v>
      </c>
      <c r="E939" s="1" t="s">
        <v>33</v>
      </c>
      <c r="F939" s="1" t="s">
        <v>199</v>
      </c>
      <c r="G939" s="5">
        <v>2355.3200000000002</v>
      </c>
    </row>
    <row r="940" spans="1:7" x14ac:dyDescent="0.2">
      <c r="A940" s="3">
        <v>32</v>
      </c>
      <c r="B940" s="2">
        <v>75370.240000000005</v>
      </c>
      <c r="C940" s="38">
        <v>44792</v>
      </c>
      <c r="D940" s="1" t="s">
        <v>86</v>
      </c>
      <c r="E940" s="1" t="s">
        <v>33</v>
      </c>
      <c r="F940" s="1" t="s">
        <v>199</v>
      </c>
      <c r="G940" s="5">
        <v>2355.3200000000002</v>
      </c>
    </row>
    <row r="941" spans="1:7" x14ac:dyDescent="0.2">
      <c r="A941" s="3">
        <v>32</v>
      </c>
      <c r="B941" s="2">
        <v>75370.240000000005</v>
      </c>
      <c r="C941" s="38">
        <v>44753</v>
      </c>
      <c r="D941" s="1" t="s">
        <v>86</v>
      </c>
      <c r="E941" s="1" t="s">
        <v>33</v>
      </c>
      <c r="F941" s="1" t="s">
        <v>199</v>
      </c>
      <c r="G941" s="5">
        <v>2355.3200000000002</v>
      </c>
    </row>
    <row r="942" spans="1:7" x14ac:dyDescent="0.2">
      <c r="A942" s="3">
        <v>32</v>
      </c>
      <c r="B942" s="2">
        <v>75370.240000000005</v>
      </c>
      <c r="C942" s="38">
        <v>44753</v>
      </c>
      <c r="D942" s="1" t="s">
        <v>86</v>
      </c>
      <c r="E942" s="1" t="s">
        <v>33</v>
      </c>
      <c r="F942" s="1" t="s">
        <v>199</v>
      </c>
      <c r="G942" s="5">
        <v>2355.3200000000002</v>
      </c>
    </row>
    <row r="943" spans="1:7" x14ac:dyDescent="0.2">
      <c r="A943" s="3">
        <v>32</v>
      </c>
      <c r="B943" s="2">
        <v>75370.240000000005</v>
      </c>
      <c r="C943" s="38">
        <v>44854</v>
      </c>
      <c r="D943" s="1" t="s">
        <v>86</v>
      </c>
      <c r="E943" s="1" t="s">
        <v>33</v>
      </c>
      <c r="F943" s="1" t="s">
        <v>199</v>
      </c>
      <c r="G943" s="5">
        <v>2355.3200000000002</v>
      </c>
    </row>
    <row r="944" spans="1:7" x14ac:dyDescent="0.2">
      <c r="A944" s="3">
        <v>32</v>
      </c>
      <c r="B944" s="2">
        <v>75370.240000000005</v>
      </c>
      <c r="C944" s="38">
        <v>44854</v>
      </c>
      <c r="D944" s="1" t="s">
        <v>86</v>
      </c>
      <c r="E944" s="1" t="s">
        <v>33</v>
      </c>
      <c r="F944" s="1" t="s">
        <v>199</v>
      </c>
      <c r="G944" s="5">
        <v>2355.3200000000002</v>
      </c>
    </row>
    <row r="945" spans="1:7" x14ac:dyDescent="0.2">
      <c r="A945" s="3">
        <v>32</v>
      </c>
      <c r="B945" s="2">
        <v>75370.240000000005</v>
      </c>
      <c r="C945" s="38">
        <v>44854</v>
      </c>
      <c r="D945" s="1" t="s">
        <v>86</v>
      </c>
      <c r="E945" s="1" t="s">
        <v>33</v>
      </c>
      <c r="F945" s="1" t="s">
        <v>199</v>
      </c>
      <c r="G945" s="5">
        <v>2355.3200000000002</v>
      </c>
    </row>
    <row r="946" spans="1:7" x14ac:dyDescent="0.2">
      <c r="A946" s="3">
        <v>140</v>
      </c>
      <c r="B946" s="2">
        <v>58132.2</v>
      </c>
      <c r="C946" s="38">
        <v>44985</v>
      </c>
      <c r="D946" s="1" t="s">
        <v>72</v>
      </c>
      <c r="E946" s="1" t="s">
        <v>33</v>
      </c>
      <c r="F946" s="1" t="s">
        <v>199</v>
      </c>
      <c r="G946" s="5">
        <v>415.23</v>
      </c>
    </row>
    <row r="947" spans="1:7" x14ac:dyDescent="0.2">
      <c r="A947" s="3">
        <v>140</v>
      </c>
      <c r="B947" s="2">
        <v>58132.2</v>
      </c>
      <c r="C947" s="38">
        <v>44985</v>
      </c>
      <c r="D947" s="1" t="s">
        <v>72</v>
      </c>
      <c r="E947" s="1" t="s">
        <v>33</v>
      </c>
      <c r="F947" s="1" t="s">
        <v>199</v>
      </c>
      <c r="G947" s="5">
        <v>415.23</v>
      </c>
    </row>
    <row r="948" spans="1:7" x14ac:dyDescent="0.2">
      <c r="A948" s="3">
        <v>140</v>
      </c>
      <c r="B948" s="2">
        <v>58132.2</v>
      </c>
      <c r="C948" s="38">
        <v>44985</v>
      </c>
      <c r="D948" s="1" t="s">
        <v>72</v>
      </c>
      <c r="E948" s="1" t="s">
        <v>33</v>
      </c>
      <c r="F948" s="1" t="s">
        <v>199</v>
      </c>
      <c r="G948" s="5">
        <v>415.23</v>
      </c>
    </row>
    <row r="949" spans="1:7" x14ac:dyDescent="0.2">
      <c r="A949" s="3">
        <v>140</v>
      </c>
      <c r="B949" s="2">
        <v>58132.2</v>
      </c>
      <c r="C949" s="38">
        <v>44985</v>
      </c>
      <c r="D949" s="1" t="s">
        <v>72</v>
      </c>
      <c r="E949" s="1" t="s">
        <v>33</v>
      </c>
      <c r="F949" s="1" t="s">
        <v>199</v>
      </c>
      <c r="G949" s="5">
        <v>415.23</v>
      </c>
    </row>
    <row r="950" spans="1:7" x14ac:dyDescent="0.2">
      <c r="A950" s="3">
        <v>140</v>
      </c>
      <c r="B950" s="2">
        <v>58132.2</v>
      </c>
      <c r="C950" s="38">
        <v>44985</v>
      </c>
      <c r="D950" s="1" t="s">
        <v>72</v>
      </c>
      <c r="E950" s="1" t="s">
        <v>33</v>
      </c>
      <c r="F950" s="1" t="s">
        <v>199</v>
      </c>
      <c r="G950" s="5">
        <v>415.23</v>
      </c>
    </row>
    <row r="951" spans="1:7" x14ac:dyDescent="0.2">
      <c r="A951" s="3">
        <v>140</v>
      </c>
      <c r="B951" s="2">
        <v>58132.2</v>
      </c>
      <c r="C951" s="38">
        <v>44985</v>
      </c>
      <c r="D951" s="1" t="s">
        <v>72</v>
      </c>
      <c r="E951" s="1" t="s">
        <v>33</v>
      </c>
      <c r="F951" s="1" t="s">
        <v>199</v>
      </c>
      <c r="G951" s="5">
        <v>415.23</v>
      </c>
    </row>
    <row r="952" spans="1:7" x14ac:dyDescent="0.2">
      <c r="A952" s="3">
        <v>140</v>
      </c>
      <c r="B952" s="2">
        <v>58132.2</v>
      </c>
      <c r="C952" s="38">
        <v>44985</v>
      </c>
      <c r="D952" s="1" t="s">
        <v>72</v>
      </c>
      <c r="E952" s="1" t="s">
        <v>33</v>
      </c>
      <c r="F952" s="1" t="s">
        <v>199</v>
      </c>
      <c r="G952" s="5">
        <v>415.23</v>
      </c>
    </row>
    <row r="953" spans="1:7" x14ac:dyDescent="0.2">
      <c r="A953" s="3">
        <v>140</v>
      </c>
      <c r="B953" s="2">
        <v>58132.2</v>
      </c>
      <c r="C953" s="38">
        <v>44985</v>
      </c>
      <c r="D953" s="1" t="s">
        <v>72</v>
      </c>
      <c r="E953" s="1" t="s">
        <v>33</v>
      </c>
      <c r="F953" s="1" t="s">
        <v>199</v>
      </c>
      <c r="G953" s="5">
        <v>415.23</v>
      </c>
    </row>
    <row r="954" spans="1:7" x14ac:dyDescent="0.2">
      <c r="A954" s="3">
        <v>140</v>
      </c>
      <c r="B954" s="2">
        <v>58132.2</v>
      </c>
      <c r="C954" s="38">
        <v>44985</v>
      </c>
      <c r="D954" s="1" t="s">
        <v>72</v>
      </c>
      <c r="E954" s="1" t="s">
        <v>33</v>
      </c>
      <c r="F954" s="1" t="s">
        <v>199</v>
      </c>
      <c r="G954" s="5">
        <v>415.23</v>
      </c>
    </row>
    <row r="955" spans="1:7" x14ac:dyDescent="0.2">
      <c r="A955" s="3">
        <v>140</v>
      </c>
      <c r="B955" s="2">
        <v>58132.2</v>
      </c>
      <c r="C955" s="38">
        <v>44985</v>
      </c>
      <c r="D955" s="1" t="s">
        <v>72</v>
      </c>
      <c r="E955" s="1" t="s">
        <v>33</v>
      </c>
      <c r="F955" s="1" t="s">
        <v>199</v>
      </c>
      <c r="G955" s="5">
        <v>415.23</v>
      </c>
    </row>
    <row r="956" spans="1:7" x14ac:dyDescent="0.2">
      <c r="A956" s="3">
        <v>140</v>
      </c>
      <c r="B956" s="2">
        <v>58132.2</v>
      </c>
      <c r="C956" s="38">
        <v>44985</v>
      </c>
      <c r="D956" s="1" t="s">
        <v>72</v>
      </c>
      <c r="E956" s="1" t="s">
        <v>33</v>
      </c>
      <c r="F956" s="1" t="s">
        <v>199</v>
      </c>
      <c r="G956" s="5">
        <v>415.23</v>
      </c>
    </row>
    <row r="957" spans="1:7" x14ac:dyDescent="0.2">
      <c r="A957" s="3">
        <v>140</v>
      </c>
      <c r="B957" s="2">
        <v>58132.2</v>
      </c>
      <c r="C957" s="38">
        <v>44985</v>
      </c>
      <c r="D957" s="1" t="s">
        <v>72</v>
      </c>
      <c r="E957" s="1" t="s">
        <v>33</v>
      </c>
      <c r="F957" s="1" t="s">
        <v>199</v>
      </c>
      <c r="G957" s="5">
        <v>415.23</v>
      </c>
    </row>
    <row r="958" spans="1:7" x14ac:dyDescent="0.2">
      <c r="A958" s="3">
        <v>140</v>
      </c>
      <c r="B958" s="2">
        <v>58132.2</v>
      </c>
      <c r="C958" s="38">
        <v>44985</v>
      </c>
      <c r="D958" s="1" t="s">
        <v>72</v>
      </c>
      <c r="E958" s="1" t="s">
        <v>33</v>
      </c>
      <c r="F958" s="1" t="s">
        <v>199</v>
      </c>
      <c r="G958" s="5">
        <v>415.23</v>
      </c>
    </row>
    <row r="959" spans="1:7" x14ac:dyDescent="0.2">
      <c r="A959" s="3">
        <v>140</v>
      </c>
      <c r="B959" s="2">
        <v>58132.2</v>
      </c>
      <c r="C959" s="38">
        <v>44985</v>
      </c>
      <c r="D959" s="1" t="s">
        <v>72</v>
      </c>
      <c r="E959" s="1" t="s">
        <v>33</v>
      </c>
      <c r="F959" s="1" t="s">
        <v>199</v>
      </c>
      <c r="G959" s="5">
        <v>415.23</v>
      </c>
    </row>
    <row r="960" spans="1:7" x14ac:dyDescent="0.2">
      <c r="A960" s="3">
        <v>140</v>
      </c>
      <c r="B960" s="2">
        <v>58132.2</v>
      </c>
      <c r="C960" s="38">
        <v>44985</v>
      </c>
      <c r="D960" s="1" t="s">
        <v>72</v>
      </c>
      <c r="E960" s="1" t="s">
        <v>33</v>
      </c>
      <c r="F960" s="1" t="s">
        <v>199</v>
      </c>
      <c r="G960" s="5">
        <v>415.23</v>
      </c>
    </row>
    <row r="961" spans="1:7" x14ac:dyDescent="0.2">
      <c r="A961" s="3">
        <v>140</v>
      </c>
      <c r="B961" s="2">
        <v>58132.2</v>
      </c>
      <c r="C961" s="38">
        <v>44985</v>
      </c>
      <c r="D961" s="1" t="s">
        <v>72</v>
      </c>
      <c r="E961" s="1" t="s">
        <v>33</v>
      </c>
      <c r="F961" s="1" t="s">
        <v>199</v>
      </c>
      <c r="G961" s="5">
        <v>415.23</v>
      </c>
    </row>
    <row r="962" spans="1:7" x14ac:dyDescent="0.2">
      <c r="A962" s="3">
        <v>140</v>
      </c>
      <c r="B962" s="2">
        <v>58132.2</v>
      </c>
      <c r="C962" s="38">
        <v>44985</v>
      </c>
      <c r="D962" s="1" t="s">
        <v>72</v>
      </c>
      <c r="E962" s="1" t="s">
        <v>33</v>
      </c>
      <c r="F962" s="1" t="s">
        <v>199</v>
      </c>
      <c r="G962" s="5">
        <v>415.23</v>
      </c>
    </row>
    <row r="963" spans="1:7" x14ac:dyDescent="0.2">
      <c r="A963" s="3">
        <v>140</v>
      </c>
      <c r="B963" s="2">
        <v>58132.2</v>
      </c>
      <c r="C963" s="38">
        <v>44985</v>
      </c>
      <c r="D963" s="1" t="s">
        <v>72</v>
      </c>
      <c r="E963" s="1" t="s">
        <v>33</v>
      </c>
      <c r="F963" s="1" t="s">
        <v>199</v>
      </c>
      <c r="G963" s="5">
        <v>415.23</v>
      </c>
    </row>
    <row r="964" spans="1:7" x14ac:dyDescent="0.2">
      <c r="A964" s="3">
        <v>140</v>
      </c>
      <c r="B964" s="2">
        <v>60040.4</v>
      </c>
      <c r="C964" s="38">
        <v>44985</v>
      </c>
      <c r="D964" s="1" t="s">
        <v>73</v>
      </c>
      <c r="E964" s="1" t="s">
        <v>33</v>
      </c>
      <c r="F964" s="1" t="s">
        <v>199</v>
      </c>
      <c r="G964" s="5">
        <v>428.86</v>
      </c>
    </row>
    <row r="965" spans="1:7" x14ac:dyDescent="0.2">
      <c r="A965" s="3">
        <v>140</v>
      </c>
      <c r="B965" s="2">
        <v>60040.4</v>
      </c>
      <c r="C965" s="38">
        <v>44985</v>
      </c>
      <c r="D965" s="1" t="s">
        <v>73</v>
      </c>
      <c r="E965" s="1" t="s">
        <v>33</v>
      </c>
      <c r="F965" s="1" t="s">
        <v>199</v>
      </c>
      <c r="G965" s="5">
        <v>428.86</v>
      </c>
    </row>
    <row r="966" spans="1:7" x14ac:dyDescent="0.2">
      <c r="A966" s="3">
        <v>140</v>
      </c>
      <c r="B966" s="2">
        <v>60040.4</v>
      </c>
      <c r="C966" s="38">
        <v>44985</v>
      </c>
      <c r="D966" s="1" t="s">
        <v>73</v>
      </c>
      <c r="E966" s="1" t="s">
        <v>33</v>
      </c>
      <c r="F966" s="1" t="s">
        <v>199</v>
      </c>
      <c r="G966" s="5">
        <v>428.86</v>
      </c>
    </row>
    <row r="967" spans="1:7" x14ac:dyDescent="0.2">
      <c r="A967" s="3">
        <v>140</v>
      </c>
      <c r="B967" s="2">
        <v>53718</v>
      </c>
      <c r="C967" s="38">
        <v>44985</v>
      </c>
      <c r="D967" s="1" t="s">
        <v>74</v>
      </c>
      <c r="E967" s="1" t="s">
        <v>33</v>
      </c>
      <c r="F967" s="1" t="s">
        <v>199</v>
      </c>
      <c r="G967" s="5">
        <v>383.7</v>
      </c>
    </row>
    <row r="968" spans="1:7" x14ac:dyDescent="0.2">
      <c r="A968" s="3">
        <v>140</v>
      </c>
      <c r="B968" s="2">
        <v>53718</v>
      </c>
      <c r="C968" s="38">
        <v>44985</v>
      </c>
      <c r="D968" s="1" t="s">
        <v>74</v>
      </c>
      <c r="E968" s="1" t="s">
        <v>33</v>
      </c>
      <c r="F968" s="1" t="s">
        <v>199</v>
      </c>
      <c r="G968" s="5">
        <v>383.7</v>
      </c>
    </row>
    <row r="969" spans="1:7" x14ac:dyDescent="0.2">
      <c r="A969" s="3">
        <v>140</v>
      </c>
      <c r="B969" s="2">
        <v>53718</v>
      </c>
      <c r="C969" s="38">
        <v>44985</v>
      </c>
      <c r="D969" s="1" t="s">
        <v>74</v>
      </c>
      <c r="E969" s="1" t="s">
        <v>33</v>
      </c>
      <c r="F969" s="1" t="s">
        <v>199</v>
      </c>
      <c r="G969" s="5">
        <v>383.7</v>
      </c>
    </row>
    <row r="970" spans="1:7" x14ac:dyDescent="0.2">
      <c r="A970" s="3">
        <v>140</v>
      </c>
      <c r="B970" s="2">
        <v>53718</v>
      </c>
      <c r="C970" s="38">
        <v>44985</v>
      </c>
      <c r="D970" s="1" t="s">
        <v>74</v>
      </c>
      <c r="E970" s="1" t="s">
        <v>33</v>
      </c>
      <c r="F970" s="1" t="s">
        <v>199</v>
      </c>
      <c r="G970" s="5">
        <v>383.7</v>
      </c>
    </row>
    <row r="971" spans="1:7" x14ac:dyDescent="0.2">
      <c r="A971" s="3">
        <v>140</v>
      </c>
      <c r="B971" s="2">
        <v>53718</v>
      </c>
      <c r="C971" s="38">
        <v>44985</v>
      </c>
      <c r="D971" s="1" t="s">
        <v>74</v>
      </c>
      <c r="E971" s="1" t="s">
        <v>33</v>
      </c>
      <c r="F971" s="1" t="s">
        <v>199</v>
      </c>
      <c r="G971" s="5">
        <v>383.7</v>
      </c>
    </row>
    <row r="972" spans="1:7" x14ac:dyDescent="0.2">
      <c r="A972" s="3">
        <v>140</v>
      </c>
      <c r="B972" s="2">
        <v>53718</v>
      </c>
      <c r="C972" s="38">
        <v>44985</v>
      </c>
      <c r="D972" s="1" t="s">
        <v>74</v>
      </c>
      <c r="E972" s="1" t="s">
        <v>33</v>
      </c>
      <c r="F972" s="1" t="s">
        <v>199</v>
      </c>
      <c r="G972" s="5">
        <v>383.7</v>
      </c>
    </row>
    <row r="973" spans="1:7" x14ac:dyDescent="0.2">
      <c r="A973" s="3">
        <v>140</v>
      </c>
      <c r="B973" s="2">
        <v>53718</v>
      </c>
      <c r="C973" s="38">
        <v>44985</v>
      </c>
      <c r="D973" s="1" t="s">
        <v>74</v>
      </c>
      <c r="E973" s="1" t="s">
        <v>33</v>
      </c>
      <c r="F973" s="1" t="s">
        <v>199</v>
      </c>
      <c r="G973" s="5">
        <v>383.7</v>
      </c>
    </row>
    <row r="974" spans="1:7" x14ac:dyDescent="0.2">
      <c r="A974" s="3">
        <v>140</v>
      </c>
      <c r="B974" s="2">
        <v>53718</v>
      </c>
      <c r="C974" s="38">
        <v>44985</v>
      </c>
      <c r="D974" s="1" t="s">
        <v>74</v>
      </c>
      <c r="E974" s="1" t="s">
        <v>33</v>
      </c>
      <c r="F974" s="1" t="s">
        <v>199</v>
      </c>
      <c r="G974" s="5">
        <v>383.7</v>
      </c>
    </row>
    <row r="975" spans="1:7" x14ac:dyDescent="0.2">
      <c r="A975" s="3">
        <v>140</v>
      </c>
      <c r="B975" s="2">
        <v>60040.4</v>
      </c>
      <c r="C975" s="38">
        <v>44940</v>
      </c>
      <c r="D975" s="1" t="s">
        <v>73</v>
      </c>
      <c r="E975" s="1" t="s">
        <v>33</v>
      </c>
      <c r="F975" s="1" t="s">
        <v>199</v>
      </c>
      <c r="G975" s="5">
        <v>428.86</v>
      </c>
    </row>
    <row r="976" spans="1:7" x14ac:dyDescent="0.2">
      <c r="A976" s="3">
        <v>140</v>
      </c>
      <c r="B976" s="2">
        <v>60040.4</v>
      </c>
      <c r="C976" s="38">
        <v>44940</v>
      </c>
      <c r="D976" s="1" t="s">
        <v>73</v>
      </c>
      <c r="E976" s="1" t="s">
        <v>33</v>
      </c>
      <c r="F976" s="1" t="s">
        <v>199</v>
      </c>
      <c r="G976" s="5">
        <v>428.86</v>
      </c>
    </row>
    <row r="977" spans="1:7" x14ac:dyDescent="0.2">
      <c r="A977" s="3">
        <v>140</v>
      </c>
      <c r="B977" s="2">
        <v>60040.4</v>
      </c>
      <c r="C977" s="38">
        <v>44940</v>
      </c>
      <c r="D977" s="1" t="s">
        <v>73</v>
      </c>
      <c r="E977" s="1" t="s">
        <v>33</v>
      </c>
      <c r="F977" s="1" t="s">
        <v>199</v>
      </c>
      <c r="G977" s="5">
        <v>428.86</v>
      </c>
    </row>
    <row r="978" spans="1:7" x14ac:dyDescent="0.2">
      <c r="A978" s="3">
        <v>140</v>
      </c>
      <c r="B978" s="2">
        <v>53718</v>
      </c>
      <c r="C978" s="38">
        <v>44940</v>
      </c>
      <c r="D978" s="1" t="s">
        <v>74</v>
      </c>
      <c r="E978" s="1" t="s">
        <v>33</v>
      </c>
      <c r="F978" s="1" t="s">
        <v>199</v>
      </c>
      <c r="G978" s="5">
        <v>383.7</v>
      </c>
    </row>
    <row r="979" spans="1:7" x14ac:dyDescent="0.2">
      <c r="A979" s="3">
        <v>140</v>
      </c>
      <c r="B979" s="2">
        <v>53718</v>
      </c>
      <c r="C979" s="38">
        <v>44940</v>
      </c>
      <c r="D979" s="1" t="s">
        <v>74</v>
      </c>
      <c r="E979" s="1" t="s">
        <v>33</v>
      </c>
      <c r="F979" s="1" t="s">
        <v>199</v>
      </c>
      <c r="G979" s="5">
        <v>383.7</v>
      </c>
    </row>
    <row r="980" spans="1:7" x14ac:dyDescent="0.2">
      <c r="A980" s="3">
        <v>140</v>
      </c>
      <c r="B980" s="2">
        <v>53718</v>
      </c>
      <c r="C980" s="38">
        <v>44940</v>
      </c>
      <c r="D980" s="1" t="s">
        <v>74</v>
      </c>
      <c r="E980" s="1" t="s">
        <v>33</v>
      </c>
      <c r="F980" s="1" t="s">
        <v>199</v>
      </c>
      <c r="G980" s="5">
        <v>383.7</v>
      </c>
    </row>
    <row r="981" spans="1:7" x14ac:dyDescent="0.2">
      <c r="A981" s="3">
        <v>140</v>
      </c>
      <c r="B981" s="2">
        <v>53718</v>
      </c>
      <c r="C981" s="38">
        <v>44940</v>
      </c>
      <c r="D981" s="1" t="s">
        <v>74</v>
      </c>
      <c r="E981" s="1" t="s">
        <v>33</v>
      </c>
      <c r="F981" s="1" t="s">
        <v>199</v>
      </c>
      <c r="G981" s="5">
        <v>383.7</v>
      </c>
    </row>
    <row r="982" spans="1:7" x14ac:dyDescent="0.2">
      <c r="A982" s="3">
        <v>140</v>
      </c>
      <c r="B982" s="2">
        <v>53718</v>
      </c>
      <c r="C982" s="38">
        <v>44940</v>
      </c>
      <c r="D982" s="1" t="s">
        <v>74</v>
      </c>
      <c r="E982" s="1" t="s">
        <v>33</v>
      </c>
      <c r="F982" s="1" t="s">
        <v>199</v>
      </c>
      <c r="G982" s="5">
        <v>383.7</v>
      </c>
    </row>
    <row r="983" spans="1:7" x14ac:dyDescent="0.2">
      <c r="A983" s="3">
        <v>140</v>
      </c>
      <c r="B983" s="2">
        <v>53718</v>
      </c>
      <c r="C983" s="38">
        <v>45000</v>
      </c>
      <c r="D983" s="1" t="s">
        <v>74</v>
      </c>
      <c r="E983" s="1" t="s">
        <v>33</v>
      </c>
      <c r="F983" s="1" t="s">
        <v>199</v>
      </c>
      <c r="G983" s="5">
        <v>383.7</v>
      </c>
    </row>
    <row r="984" spans="1:7" x14ac:dyDescent="0.2">
      <c r="A984" s="3">
        <v>140</v>
      </c>
      <c r="B984" s="2">
        <v>53718</v>
      </c>
      <c r="C984" s="38">
        <v>45000</v>
      </c>
      <c r="D984" s="1" t="s">
        <v>74</v>
      </c>
      <c r="E984" s="1" t="s">
        <v>33</v>
      </c>
      <c r="F984" s="1" t="s">
        <v>199</v>
      </c>
      <c r="G984" s="5">
        <v>383.7</v>
      </c>
    </row>
    <row r="985" spans="1:7" x14ac:dyDescent="0.2">
      <c r="A985" s="3">
        <v>140</v>
      </c>
      <c r="B985" s="2">
        <v>53718</v>
      </c>
      <c r="C985" s="38">
        <v>45000</v>
      </c>
      <c r="D985" s="1" t="s">
        <v>74</v>
      </c>
      <c r="E985" s="1" t="s">
        <v>33</v>
      </c>
      <c r="F985" s="1" t="s">
        <v>199</v>
      </c>
      <c r="G985" s="5">
        <v>383.7</v>
      </c>
    </row>
    <row r="986" spans="1:7" x14ac:dyDescent="0.2">
      <c r="A986" s="3">
        <v>140</v>
      </c>
      <c r="B986" s="2">
        <v>53718</v>
      </c>
      <c r="C986" s="38">
        <v>45000</v>
      </c>
      <c r="D986" s="1" t="s">
        <v>74</v>
      </c>
      <c r="E986" s="1" t="s">
        <v>33</v>
      </c>
      <c r="F986" s="1" t="s">
        <v>199</v>
      </c>
      <c r="G986" s="5">
        <v>383.7</v>
      </c>
    </row>
    <row r="987" spans="1:7" x14ac:dyDescent="0.2">
      <c r="A987" s="3">
        <v>140</v>
      </c>
      <c r="B987" s="2">
        <v>53718</v>
      </c>
      <c r="C987" s="38">
        <v>45000</v>
      </c>
      <c r="D987" s="1" t="s">
        <v>74</v>
      </c>
      <c r="E987" s="1" t="s">
        <v>33</v>
      </c>
      <c r="F987" s="1" t="s">
        <v>199</v>
      </c>
      <c r="G987" s="5">
        <v>383.7</v>
      </c>
    </row>
    <row r="988" spans="1:7" x14ac:dyDescent="0.2">
      <c r="A988" s="3">
        <v>140</v>
      </c>
      <c r="B988" s="2">
        <v>58132.2</v>
      </c>
      <c r="C988" s="38">
        <v>44950</v>
      </c>
      <c r="D988" s="1" t="s">
        <v>72</v>
      </c>
      <c r="E988" s="1" t="s">
        <v>33</v>
      </c>
      <c r="F988" s="1" t="s">
        <v>199</v>
      </c>
      <c r="G988" s="5">
        <v>415.23</v>
      </c>
    </row>
    <row r="989" spans="1:7" x14ac:dyDescent="0.2">
      <c r="A989" s="3">
        <v>140</v>
      </c>
      <c r="B989" s="2">
        <v>58132.2</v>
      </c>
      <c r="C989" s="38">
        <v>44950</v>
      </c>
      <c r="D989" s="1" t="s">
        <v>72</v>
      </c>
      <c r="E989" s="1" t="s">
        <v>33</v>
      </c>
      <c r="F989" s="1" t="s">
        <v>199</v>
      </c>
      <c r="G989" s="5">
        <v>415.23</v>
      </c>
    </row>
    <row r="990" spans="1:7" x14ac:dyDescent="0.2">
      <c r="A990" s="3">
        <v>140</v>
      </c>
      <c r="B990" s="2">
        <v>60040.4</v>
      </c>
      <c r="C990" s="38">
        <v>44950</v>
      </c>
      <c r="D990" s="1" t="s">
        <v>73</v>
      </c>
      <c r="E990" s="1" t="s">
        <v>33</v>
      </c>
      <c r="F990" s="1" t="s">
        <v>199</v>
      </c>
      <c r="G990" s="5">
        <v>428.86</v>
      </c>
    </row>
    <row r="991" spans="1:7" x14ac:dyDescent="0.2">
      <c r="A991" s="3">
        <v>140</v>
      </c>
      <c r="B991" s="2">
        <v>60040.4</v>
      </c>
      <c r="C991" s="38">
        <v>44950</v>
      </c>
      <c r="D991" s="1" t="s">
        <v>73</v>
      </c>
      <c r="E991" s="1" t="s">
        <v>33</v>
      </c>
      <c r="F991" s="1" t="s">
        <v>199</v>
      </c>
      <c r="G991" s="5">
        <v>428.86</v>
      </c>
    </row>
    <row r="992" spans="1:7" x14ac:dyDescent="0.2">
      <c r="A992" s="3">
        <v>140</v>
      </c>
      <c r="B992" s="2">
        <v>60040.4</v>
      </c>
      <c r="C992" s="38">
        <v>44950</v>
      </c>
      <c r="D992" s="1" t="s">
        <v>73</v>
      </c>
      <c r="E992" s="1" t="s">
        <v>33</v>
      </c>
      <c r="F992" s="1" t="s">
        <v>199</v>
      </c>
      <c r="G992" s="5">
        <v>428.86</v>
      </c>
    </row>
    <row r="993" spans="1:7" x14ac:dyDescent="0.2">
      <c r="A993" s="3">
        <v>140</v>
      </c>
      <c r="B993" s="2">
        <v>60040.4</v>
      </c>
      <c r="C993" s="38">
        <v>44950</v>
      </c>
      <c r="D993" s="1" t="s">
        <v>73</v>
      </c>
      <c r="E993" s="1" t="s">
        <v>33</v>
      </c>
      <c r="F993" s="1" t="s">
        <v>199</v>
      </c>
      <c r="G993" s="5">
        <v>428.86</v>
      </c>
    </row>
    <row r="994" spans="1:7" x14ac:dyDescent="0.2">
      <c r="A994" s="3">
        <v>140</v>
      </c>
      <c r="B994" s="2">
        <v>60040.4</v>
      </c>
      <c r="C994" s="38">
        <v>44950</v>
      </c>
      <c r="D994" s="1" t="s">
        <v>73</v>
      </c>
      <c r="E994" s="1" t="s">
        <v>33</v>
      </c>
      <c r="F994" s="1" t="s">
        <v>199</v>
      </c>
      <c r="G994" s="5">
        <v>428.86</v>
      </c>
    </row>
    <row r="995" spans="1:7" x14ac:dyDescent="0.2">
      <c r="A995" s="3">
        <v>140</v>
      </c>
      <c r="B995" s="2">
        <v>58132.2</v>
      </c>
      <c r="C995" s="38">
        <v>44952</v>
      </c>
      <c r="D995" s="1" t="s">
        <v>72</v>
      </c>
      <c r="E995" s="1" t="s">
        <v>33</v>
      </c>
      <c r="F995" s="1" t="s">
        <v>199</v>
      </c>
      <c r="G995" s="5">
        <v>415.23</v>
      </c>
    </row>
    <row r="996" spans="1:7" x14ac:dyDescent="0.2">
      <c r="A996" s="3">
        <v>140</v>
      </c>
      <c r="B996" s="2">
        <v>58132.2</v>
      </c>
      <c r="C996" s="38">
        <v>44952</v>
      </c>
      <c r="D996" s="1" t="s">
        <v>72</v>
      </c>
      <c r="E996" s="1" t="s">
        <v>33</v>
      </c>
      <c r="F996" s="1" t="s">
        <v>199</v>
      </c>
      <c r="G996" s="5">
        <v>415.23</v>
      </c>
    </row>
    <row r="997" spans="1:7" x14ac:dyDescent="0.2">
      <c r="A997" s="3">
        <v>140</v>
      </c>
      <c r="B997" s="2">
        <v>58132.2</v>
      </c>
      <c r="C997" s="38">
        <v>44952</v>
      </c>
      <c r="D997" s="1" t="s">
        <v>72</v>
      </c>
      <c r="E997" s="1" t="s">
        <v>33</v>
      </c>
      <c r="F997" s="1" t="s">
        <v>199</v>
      </c>
      <c r="G997" s="5">
        <v>415.23</v>
      </c>
    </row>
    <row r="998" spans="1:7" x14ac:dyDescent="0.2">
      <c r="A998" s="3">
        <v>140</v>
      </c>
      <c r="B998" s="2">
        <v>58132.2</v>
      </c>
      <c r="C998" s="38">
        <v>44952</v>
      </c>
      <c r="D998" s="1" t="s">
        <v>72</v>
      </c>
      <c r="E998" s="1" t="s">
        <v>33</v>
      </c>
      <c r="F998" s="1" t="s">
        <v>199</v>
      </c>
      <c r="G998" s="5">
        <v>415.23</v>
      </c>
    </row>
    <row r="999" spans="1:7" x14ac:dyDescent="0.2">
      <c r="A999" s="3">
        <v>140</v>
      </c>
      <c r="B999" s="2">
        <v>58132.2</v>
      </c>
      <c r="C999" s="38">
        <v>44956</v>
      </c>
      <c r="D999" s="1" t="s">
        <v>72</v>
      </c>
      <c r="E999" s="1" t="s">
        <v>33</v>
      </c>
      <c r="F999" s="1" t="s">
        <v>199</v>
      </c>
      <c r="G999" s="5">
        <v>415.23</v>
      </c>
    </row>
    <row r="1000" spans="1:7" x14ac:dyDescent="0.2">
      <c r="A1000" s="3">
        <v>140</v>
      </c>
      <c r="B1000" s="2">
        <v>58132.2</v>
      </c>
      <c r="C1000" s="38">
        <v>44956</v>
      </c>
      <c r="D1000" s="1" t="s">
        <v>72</v>
      </c>
      <c r="E1000" s="1" t="s">
        <v>33</v>
      </c>
      <c r="F1000" s="1" t="s">
        <v>199</v>
      </c>
      <c r="G1000" s="5">
        <v>415.23</v>
      </c>
    </row>
    <row r="1001" spans="1:7" x14ac:dyDescent="0.2">
      <c r="A1001" s="3">
        <v>140</v>
      </c>
      <c r="B1001" s="2">
        <v>58132.2</v>
      </c>
      <c r="C1001" s="38">
        <v>44956</v>
      </c>
      <c r="D1001" s="1" t="s">
        <v>72</v>
      </c>
      <c r="E1001" s="1" t="s">
        <v>33</v>
      </c>
      <c r="F1001" s="1" t="s">
        <v>199</v>
      </c>
      <c r="G1001" s="5">
        <v>415.23</v>
      </c>
    </row>
    <row r="1002" spans="1:7" x14ac:dyDescent="0.2">
      <c r="A1002" s="3">
        <v>140</v>
      </c>
      <c r="B1002" s="2">
        <v>58132.2</v>
      </c>
      <c r="C1002" s="38">
        <v>44956</v>
      </c>
      <c r="D1002" s="1" t="s">
        <v>72</v>
      </c>
      <c r="E1002" s="1" t="s">
        <v>33</v>
      </c>
      <c r="F1002" s="1" t="s">
        <v>199</v>
      </c>
      <c r="G1002" s="5">
        <v>415.23</v>
      </c>
    </row>
    <row r="1003" spans="1:7" x14ac:dyDescent="0.2">
      <c r="A1003" s="3">
        <v>140</v>
      </c>
      <c r="B1003" s="2">
        <v>58132.2</v>
      </c>
      <c r="C1003" s="38">
        <v>44956</v>
      </c>
      <c r="D1003" s="1" t="s">
        <v>72</v>
      </c>
      <c r="E1003" s="1" t="s">
        <v>33</v>
      </c>
      <c r="F1003" s="1" t="s">
        <v>199</v>
      </c>
      <c r="G1003" s="5">
        <v>415.23</v>
      </c>
    </row>
    <row r="1004" spans="1:7" x14ac:dyDescent="0.2">
      <c r="A1004" s="3">
        <v>140</v>
      </c>
      <c r="B1004" s="2">
        <v>58132.2</v>
      </c>
      <c r="C1004" s="38">
        <v>44956</v>
      </c>
      <c r="D1004" s="1" t="s">
        <v>72</v>
      </c>
      <c r="E1004" s="1" t="s">
        <v>33</v>
      </c>
      <c r="F1004" s="1" t="s">
        <v>199</v>
      </c>
      <c r="G1004" s="5">
        <v>415.23</v>
      </c>
    </row>
    <row r="1005" spans="1:7" x14ac:dyDescent="0.2">
      <c r="A1005" s="3">
        <v>140</v>
      </c>
      <c r="B1005" s="2">
        <v>58132.2</v>
      </c>
      <c r="C1005" s="38">
        <v>44956</v>
      </c>
      <c r="D1005" s="1" t="s">
        <v>72</v>
      </c>
      <c r="E1005" s="1" t="s">
        <v>33</v>
      </c>
      <c r="F1005" s="1" t="s">
        <v>199</v>
      </c>
      <c r="G1005" s="5">
        <v>415.23</v>
      </c>
    </row>
    <row r="1006" spans="1:7" x14ac:dyDescent="0.2">
      <c r="A1006" s="3">
        <v>140</v>
      </c>
      <c r="B1006" s="2">
        <v>58132.2</v>
      </c>
      <c r="C1006" s="38">
        <v>44956</v>
      </c>
      <c r="D1006" s="1" t="s">
        <v>72</v>
      </c>
      <c r="E1006" s="1" t="s">
        <v>33</v>
      </c>
      <c r="F1006" s="1" t="s">
        <v>199</v>
      </c>
      <c r="G1006" s="5">
        <v>415.23</v>
      </c>
    </row>
    <row r="1007" spans="1:7" x14ac:dyDescent="0.2">
      <c r="A1007" s="3">
        <v>140</v>
      </c>
      <c r="B1007" s="2">
        <v>92328.6</v>
      </c>
      <c r="C1007" s="38">
        <v>44956</v>
      </c>
      <c r="D1007" s="1" t="s">
        <v>76</v>
      </c>
      <c r="E1007" s="1" t="s">
        <v>33</v>
      </c>
      <c r="F1007" s="1" t="s">
        <v>199</v>
      </c>
      <c r="G1007" s="5">
        <v>659.49</v>
      </c>
    </row>
    <row r="1008" spans="1:7" x14ac:dyDescent="0.2">
      <c r="A1008" s="3">
        <v>140</v>
      </c>
      <c r="B1008" s="2">
        <v>58132.2</v>
      </c>
      <c r="C1008" s="38">
        <v>45041</v>
      </c>
      <c r="D1008" s="1" t="s">
        <v>72</v>
      </c>
      <c r="E1008" s="1" t="s">
        <v>33</v>
      </c>
      <c r="F1008" s="1" t="s">
        <v>199</v>
      </c>
      <c r="G1008" s="5">
        <v>415.23</v>
      </c>
    </row>
    <row r="1009" spans="1:7" x14ac:dyDescent="0.2">
      <c r="A1009" s="3">
        <v>140</v>
      </c>
      <c r="B1009" s="2">
        <v>58132.2</v>
      </c>
      <c r="C1009" s="38">
        <v>45041</v>
      </c>
      <c r="D1009" s="1" t="s">
        <v>72</v>
      </c>
      <c r="E1009" s="1" t="s">
        <v>33</v>
      </c>
      <c r="F1009" s="1" t="s">
        <v>199</v>
      </c>
      <c r="G1009" s="5">
        <v>415.23</v>
      </c>
    </row>
    <row r="1010" spans="1:7" x14ac:dyDescent="0.2">
      <c r="A1010" s="3">
        <v>140</v>
      </c>
      <c r="B1010" s="2">
        <v>58132.2</v>
      </c>
      <c r="C1010" s="38">
        <v>45041</v>
      </c>
      <c r="D1010" s="1" t="s">
        <v>72</v>
      </c>
      <c r="E1010" s="1" t="s">
        <v>33</v>
      </c>
      <c r="F1010" s="1" t="s">
        <v>199</v>
      </c>
      <c r="G1010" s="5">
        <v>415.23</v>
      </c>
    </row>
    <row r="1011" spans="1:7" x14ac:dyDescent="0.2">
      <c r="A1011" s="3">
        <v>140</v>
      </c>
      <c r="B1011" s="2">
        <v>58132.2</v>
      </c>
      <c r="C1011" s="38">
        <v>45041</v>
      </c>
      <c r="D1011" s="1" t="s">
        <v>72</v>
      </c>
      <c r="E1011" s="1" t="s">
        <v>33</v>
      </c>
      <c r="F1011" s="1" t="s">
        <v>199</v>
      </c>
      <c r="G1011" s="5">
        <v>415.23</v>
      </c>
    </row>
    <row r="1012" spans="1:7" x14ac:dyDescent="0.2">
      <c r="A1012" s="3">
        <v>140</v>
      </c>
      <c r="B1012" s="2">
        <v>58132.2</v>
      </c>
      <c r="C1012" s="38">
        <v>45041</v>
      </c>
      <c r="D1012" s="1" t="s">
        <v>72</v>
      </c>
      <c r="E1012" s="1" t="s">
        <v>33</v>
      </c>
      <c r="F1012" s="1" t="s">
        <v>199</v>
      </c>
      <c r="G1012" s="5">
        <v>415.23</v>
      </c>
    </row>
    <row r="1013" spans="1:7" x14ac:dyDescent="0.2">
      <c r="A1013" s="3">
        <v>140</v>
      </c>
      <c r="B1013" s="2">
        <v>58132.2</v>
      </c>
      <c r="C1013" s="38">
        <v>45041</v>
      </c>
      <c r="D1013" s="1" t="s">
        <v>72</v>
      </c>
      <c r="E1013" s="1" t="s">
        <v>33</v>
      </c>
      <c r="F1013" s="1" t="s">
        <v>199</v>
      </c>
      <c r="G1013" s="5">
        <v>415.23</v>
      </c>
    </row>
    <row r="1014" spans="1:7" x14ac:dyDescent="0.2">
      <c r="A1014" s="3">
        <v>140</v>
      </c>
      <c r="B1014" s="2">
        <v>58132.2</v>
      </c>
      <c r="C1014" s="38">
        <v>45041</v>
      </c>
      <c r="D1014" s="1" t="s">
        <v>72</v>
      </c>
      <c r="E1014" s="1" t="s">
        <v>33</v>
      </c>
      <c r="F1014" s="1" t="s">
        <v>199</v>
      </c>
      <c r="G1014" s="5">
        <v>415.23</v>
      </c>
    </row>
    <row r="1015" spans="1:7" x14ac:dyDescent="0.2">
      <c r="A1015" s="3">
        <v>140</v>
      </c>
      <c r="B1015" s="2">
        <v>53718</v>
      </c>
      <c r="C1015" s="38">
        <v>45061</v>
      </c>
      <c r="D1015" s="1" t="s">
        <v>74</v>
      </c>
      <c r="E1015" s="1" t="s">
        <v>33</v>
      </c>
      <c r="F1015" s="1" t="s">
        <v>199</v>
      </c>
      <c r="G1015" s="5">
        <v>383.7</v>
      </c>
    </row>
    <row r="1016" spans="1:7" x14ac:dyDescent="0.2">
      <c r="A1016" s="3">
        <v>140</v>
      </c>
      <c r="B1016" s="2">
        <v>60040.4</v>
      </c>
      <c r="C1016" s="38">
        <v>44978</v>
      </c>
      <c r="D1016" s="1" t="s">
        <v>73</v>
      </c>
      <c r="E1016" s="1" t="s">
        <v>33</v>
      </c>
      <c r="F1016" s="1" t="s">
        <v>199</v>
      </c>
      <c r="G1016" s="5">
        <v>428.86</v>
      </c>
    </row>
    <row r="1017" spans="1:7" x14ac:dyDescent="0.2">
      <c r="A1017" s="3">
        <v>140</v>
      </c>
      <c r="B1017" s="2">
        <v>60040.4</v>
      </c>
      <c r="C1017" s="38">
        <v>44978</v>
      </c>
      <c r="D1017" s="1" t="s">
        <v>73</v>
      </c>
      <c r="E1017" s="1" t="s">
        <v>33</v>
      </c>
      <c r="F1017" s="1" t="s">
        <v>199</v>
      </c>
      <c r="G1017" s="5">
        <v>428.86</v>
      </c>
    </row>
    <row r="1018" spans="1:7" x14ac:dyDescent="0.2">
      <c r="A1018" s="3">
        <v>140</v>
      </c>
      <c r="B1018" s="2">
        <v>60040.4</v>
      </c>
      <c r="C1018" s="38">
        <v>44978</v>
      </c>
      <c r="D1018" s="1" t="s">
        <v>73</v>
      </c>
      <c r="E1018" s="1" t="s">
        <v>33</v>
      </c>
      <c r="F1018" s="1" t="s">
        <v>199</v>
      </c>
      <c r="G1018" s="5">
        <v>428.86</v>
      </c>
    </row>
    <row r="1019" spans="1:7" x14ac:dyDescent="0.2">
      <c r="A1019" s="3">
        <v>140</v>
      </c>
      <c r="B1019" s="2">
        <v>53718</v>
      </c>
      <c r="C1019" s="38">
        <v>45041</v>
      </c>
      <c r="D1019" s="1" t="s">
        <v>74</v>
      </c>
      <c r="E1019" s="1" t="s">
        <v>33</v>
      </c>
      <c r="F1019" s="1" t="s">
        <v>199</v>
      </c>
      <c r="G1019" s="5">
        <v>383.7</v>
      </c>
    </row>
    <row r="1020" spans="1:7" x14ac:dyDescent="0.2">
      <c r="A1020" s="3">
        <v>140</v>
      </c>
      <c r="B1020" s="2">
        <v>53718</v>
      </c>
      <c r="C1020" s="38">
        <v>45041</v>
      </c>
      <c r="D1020" s="1" t="s">
        <v>74</v>
      </c>
      <c r="E1020" s="1" t="s">
        <v>33</v>
      </c>
      <c r="F1020" s="1" t="s">
        <v>199</v>
      </c>
      <c r="G1020" s="5">
        <v>383.7</v>
      </c>
    </row>
    <row r="1021" spans="1:7" x14ac:dyDescent="0.2">
      <c r="A1021" s="3">
        <v>140</v>
      </c>
      <c r="B1021" s="2">
        <v>53718</v>
      </c>
      <c r="C1021" s="38">
        <v>45041</v>
      </c>
      <c r="D1021" s="1" t="s">
        <v>74</v>
      </c>
      <c r="E1021" s="1" t="s">
        <v>33</v>
      </c>
      <c r="F1021" s="1" t="s">
        <v>199</v>
      </c>
      <c r="G1021" s="5">
        <v>383.7</v>
      </c>
    </row>
    <row r="1022" spans="1:7" x14ac:dyDescent="0.2">
      <c r="A1022" s="3">
        <v>140</v>
      </c>
      <c r="B1022" s="2">
        <v>53718</v>
      </c>
      <c r="C1022" s="38">
        <v>45041</v>
      </c>
      <c r="D1022" s="1" t="s">
        <v>74</v>
      </c>
      <c r="E1022" s="1" t="s">
        <v>33</v>
      </c>
      <c r="F1022" s="1" t="s">
        <v>199</v>
      </c>
      <c r="G1022" s="5">
        <v>383.7</v>
      </c>
    </row>
    <row r="1023" spans="1:7" x14ac:dyDescent="0.2">
      <c r="A1023" s="3">
        <v>140</v>
      </c>
      <c r="B1023" s="2">
        <v>53718</v>
      </c>
      <c r="C1023" s="38">
        <v>45041</v>
      </c>
      <c r="D1023" s="1" t="s">
        <v>74</v>
      </c>
      <c r="E1023" s="1" t="s">
        <v>33</v>
      </c>
      <c r="F1023" s="1" t="s">
        <v>199</v>
      </c>
      <c r="G1023" s="5">
        <v>383.7</v>
      </c>
    </row>
    <row r="1024" spans="1:7" x14ac:dyDescent="0.2">
      <c r="A1024" s="3">
        <v>140</v>
      </c>
      <c r="B1024" s="2">
        <v>53718</v>
      </c>
      <c r="C1024" s="38">
        <v>45041</v>
      </c>
      <c r="D1024" s="1" t="s">
        <v>74</v>
      </c>
      <c r="E1024" s="1" t="s">
        <v>33</v>
      </c>
      <c r="F1024" s="1" t="s">
        <v>199</v>
      </c>
      <c r="G1024" s="5">
        <v>383.7</v>
      </c>
    </row>
    <row r="1025" spans="1:7" x14ac:dyDescent="0.2">
      <c r="A1025" s="3">
        <v>140</v>
      </c>
      <c r="B1025" s="2">
        <v>53718</v>
      </c>
      <c r="C1025" s="38">
        <v>45041</v>
      </c>
      <c r="D1025" s="1" t="s">
        <v>74</v>
      </c>
      <c r="E1025" s="1" t="s">
        <v>33</v>
      </c>
      <c r="F1025" s="1" t="s">
        <v>199</v>
      </c>
      <c r="G1025" s="5">
        <v>383.7</v>
      </c>
    </row>
    <row r="1026" spans="1:7" x14ac:dyDescent="0.2">
      <c r="A1026" s="3">
        <v>140</v>
      </c>
      <c r="B1026" s="2">
        <v>53718</v>
      </c>
      <c r="C1026" s="38">
        <v>45041</v>
      </c>
      <c r="D1026" s="1" t="s">
        <v>74</v>
      </c>
      <c r="E1026" s="1" t="s">
        <v>33</v>
      </c>
      <c r="F1026" s="1" t="s">
        <v>199</v>
      </c>
      <c r="G1026" s="5">
        <v>383.7</v>
      </c>
    </row>
    <row r="1027" spans="1:7" x14ac:dyDescent="0.2">
      <c r="A1027" s="3">
        <v>140</v>
      </c>
      <c r="B1027" s="2">
        <v>53718</v>
      </c>
      <c r="C1027" s="38">
        <v>45041</v>
      </c>
      <c r="D1027" s="1" t="s">
        <v>74</v>
      </c>
      <c r="E1027" s="1" t="s">
        <v>33</v>
      </c>
      <c r="F1027" s="1" t="s">
        <v>199</v>
      </c>
      <c r="G1027" s="5">
        <v>383.7</v>
      </c>
    </row>
    <row r="1028" spans="1:7" x14ac:dyDescent="0.2">
      <c r="A1028" s="3">
        <v>140</v>
      </c>
      <c r="B1028" s="2">
        <v>53718</v>
      </c>
      <c r="C1028" s="38">
        <v>45041</v>
      </c>
      <c r="D1028" s="1" t="s">
        <v>74</v>
      </c>
      <c r="E1028" s="1" t="s">
        <v>33</v>
      </c>
      <c r="F1028" s="1" t="s">
        <v>199</v>
      </c>
      <c r="G1028" s="5">
        <v>383.7</v>
      </c>
    </row>
    <row r="1029" spans="1:7" x14ac:dyDescent="0.2">
      <c r="A1029" s="3">
        <v>140</v>
      </c>
      <c r="B1029" s="2">
        <v>53718</v>
      </c>
      <c r="C1029" s="38">
        <v>45041</v>
      </c>
      <c r="D1029" s="1" t="s">
        <v>74</v>
      </c>
      <c r="E1029" s="1" t="s">
        <v>33</v>
      </c>
      <c r="F1029" s="1" t="s">
        <v>199</v>
      </c>
      <c r="G1029" s="5">
        <v>383.7</v>
      </c>
    </row>
    <row r="1030" spans="1:7" x14ac:dyDescent="0.2">
      <c r="A1030" s="3">
        <v>140</v>
      </c>
      <c r="B1030" s="2">
        <v>53718</v>
      </c>
      <c r="C1030" s="38">
        <v>45041</v>
      </c>
      <c r="D1030" s="1" t="s">
        <v>74</v>
      </c>
      <c r="E1030" s="1" t="s">
        <v>33</v>
      </c>
      <c r="F1030" s="1" t="s">
        <v>199</v>
      </c>
      <c r="G1030" s="5">
        <v>383.7</v>
      </c>
    </row>
    <row r="1031" spans="1:7" x14ac:dyDescent="0.2">
      <c r="A1031" s="3">
        <v>140</v>
      </c>
      <c r="B1031" s="2">
        <v>53718</v>
      </c>
      <c r="C1031" s="38">
        <v>45041</v>
      </c>
      <c r="D1031" s="1" t="s">
        <v>74</v>
      </c>
      <c r="E1031" s="1" t="s">
        <v>33</v>
      </c>
      <c r="F1031" s="1" t="s">
        <v>199</v>
      </c>
      <c r="G1031" s="5">
        <v>383.7</v>
      </c>
    </row>
    <row r="1032" spans="1:7" x14ac:dyDescent="0.2">
      <c r="A1032" s="3">
        <v>140</v>
      </c>
      <c r="B1032" s="2">
        <v>53718</v>
      </c>
      <c r="C1032" s="38">
        <v>45041</v>
      </c>
      <c r="D1032" s="1" t="s">
        <v>74</v>
      </c>
      <c r="E1032" s="1" t="s">
        <v>33</v>
      </c>
      <c r="F1032" s="1" t="s">
        <v>199</v>
      </c>
      <c r="G1032" s="5">
        <v>383.7</v>
      </c>
    </row>
    <row r="1033" spans="1:7" x14ac:dyDescent="0.2">
      <c r="A1033" s="3">
        <v>140</v>
      </c>
      <c r="B1033" s="2">
        <v>53718</v>
      </c>
      <c r="C1033" s="38">
        <v>45041</v>
      </c>
      <c r="D1033" s="1" t="s">
        <v>74</v>
      </c>
      <c r="E1033" s="1" t="s">
        <v>33</v>
      </c>
      <c r="F1033" s="1" t="s">
        <v>199</v>
      </c>
      <c r="G1033" s="5">
        <v>383.7</v>
      </c>
    </row>
    <row r="1034" spans="1:7" x14ac:dyDescent="0.2">
      <c r="A1034" s="3">
        <v>140</v>
      </c>
      <c r="B1034" s="2">
        <v>53718</v>
      </c>
      <c r="C1034" s="38">
        <v>45041</v>
      </c>
      <c r="D1034" s="1" t="s">
        <v>74</v>
      </c>
      <c r="E1034" s="1" t="s">
        <v>33</v>
      </c>
      <c r="F1034" s="1" t="s">
        <v>199</v>
      </c>
      <c r="G1034" s="5">
        <v>383.7</v>
      </c>
    </row>
    <row r="1035" spans="1:7" x14ac:dyDescent="0.2">
      <c r="A1035" s="3">
        <v>140</v>
      </c>
      <c r="B1035" s="2">
        <v>53718</v>
      </c>
      <c r="C1035" s="38">
        <v>45041</v>
      </c>
      <c r="D1035" s="1" t="s">
        <v>74</v>
      </c>
      <c r="E1035" s="1" t="s">
        <v>33</v>
      </c>
      <c r="F1035" s="1" t="s">
        <v>199</v>
      </c>
      <c r="G1035" s="5">
        <v>383.7</v>
      </c>
    </row>
    <row r="1036" spans="1:7" x14ac:dyDescent="0.2">
      <c r="A1036" s="3">
        <v>140</v>
      </c>
      <c r="B1036" s="2">
        <v>50677.2</v>
      </c>
      <c r="C1036" s="38">
        <v>44981</v>
      </c>
      <c r="D1036" s="1" t="s">
        <v>74</v>
      </c>
      <c r="E1036" s="1" t="s">
        <v>33</v>
      </c>
      <c r="F1036" s="1" t="s">
        <v>199</v>
      </c>
      <c r="G1036" s="5">
        <v>361.98</v>
      </c>
    </row>
    <row r="1037" spans="1:7" x14ac:dyDescent="0.2">
      <c r="A1037" s="3">
        <v>140</v>
      </c>
      <c r="B1037" s="2">
        <v>50677.2</v>
      </c>
      <c r="C1037" s="38">
        <v>44981</v>
      </c>
      <c r="D1037" s="1" t="s">
        <v>74</v>
      </c>
      <c r="E1037" s="1" t="s">
        <v>33</v>
      </c>
      <c r="F1037" s="1" t="s">
        <v>199</v>
      </c>
      <c r="G1037" s="5">
        <v>361.98</v>
      </c>
    </row>
    <row r="1038" spans="1:7" x14ac:dyDescent="0.2">
      <c r="A1038" s="3">
        <v>140</v>
      </c>
      <c r="B1038" s="2">
        <v>50677.2</v>
      </c>
      <c r="C1038" s="38">
        <v>44981</v>
      </c>
      <c r="D1038" s="1" t="s">
        <v>74</v>
      </c>
      <c r="E1038" s="1" t="s">
        <v>33</v>
      </c>
      <c r="F1038" s="1" t="s">
        <v>199</v>
      </c>
      <c r="G1038" s="5">
        <v>361.98</v>
      </c>
    </row>
    <row r="1039" spans="1:7" x14ac:dyDescent="0.2">
      <c r="A1039" s="3">
        <v>140</v>
      </c>
      <c r="B1039" s="2">
        <v>50677.2</v>
      </c>
      <c r="C1039" s="38">
        <v>44981</v>
      </c>
      <c r="D1039" s="1" t="s">
        <v>74</v>
      </c>
      <c r="E1039" s="1" t="s">
        <v>33</v>
      </c>
      <c r="F1039" s="1" t="s">
        <v>199</v>
      </c>
      <c r="G1039" s="5">
        <v>361.98</v>
      </c>
    </row>
    <row r="1040" spans="1:7" x14ac:dyDescent="0.2">
      <c r="A1040" s="3">
        <v>140</v>
      </c>
      <c r="B1040" s="2">
        <v>50677.2</v>
      </c>
      <c r="C1040" s="38">
        <v>44981</v>
      </c>
      <c r="D1040" s="1" t="s">
        <v>74</v>
      </c>
      <c r="E1040" s="1" t="s">
        <v>33</v>
      </c>
      <c r="F1040" s="1" t="s">
        <v>199</v>
      </c>
      <c r="G1040" s="5">
        <v>361.98</v>
      </c>
    </row>
    <row r="1041" spans="1:7" x14ac:dyDescent="0.2">
      <c r="A1041" s="3">
        <v>140</v>
      </c>
      <c r="B1041" s="2">
        <v>58132.2</v>
      </c>
      <c r="C1041" s="38">
        <v>44985</v>
      </c>
      <c r="D1041" s="1" t="s">
        <v>72</v>
      </c>
      <c r="E1041" s="1" t="s">
        <v>33</v>
      </c>
      <c r="F1041" s="1" t="s">
        <v>199</v>
      </c>
      <c r="G1041" s="5">
        <v>415.23</v>
      </c>
    </row>
    <row r="1042" spans="1:7" x14ac:dyDescent="0.2">
      <c r="A1042" s="3">
        <v>140</v>
      </c>
      <c r="B1042" s="2">
        <v>58132.2</v>
      </c>
      <c r="C1042" s="38">
        <v>44985</v>
      </c>
      <c r="D1042" s="1" t="s">
        <v>72</v>
      </c>
      <c r="E1042" s="1" t="s">
        <v>33</v>
      </c>
      <c r="F1042" s="1" t="s">
        <v>199</v>
      </c>
      <c r="G1042" s="5">
        <v>415.23</v>
      </c>
    </row>
    <row r="1043" spans="1:7" x14ac:dyDescent="0.2">
      <c r="A1043" s="3">
        <v>140</v>
      </c>
      <c r="B1043" s="2">
        <v>58132.2</v>
      </c>
      <c r="C1043" s="38">
        <v>44985</v>
      </c>
      <c r="D1043" s="1" t="s">
        <v>72</v>
      </c>
      <c r="E1043" s="1" t="s">
        <v>33</v>
      </c>
      <c r="F1043" s="1" t="s">
        <v>199</v>
      </c>
      <c r="G1043" s="5">
        <v>415.23</v>
      </c>
    </row>
    <row r="1044" spans="1:7" x14ac:dyDescent="0.2">
      <c r="A1044" s="3">
        <v>140</v>
      </c>
      <c r="B1044" s="2">
        <v>60040.4</v>
      </c>
      <c r="C1044" s="38">
        <v>45135</v>
      </c>
      <c r="D1044" s="1" t="s">
        <v>73</v>
      </c>
      <c r="E1044" s="1" t="s">
        <v>33</v>
      </c>
      <c r="F1044" s="1" t="s">
        <v>199</v>
      </c>
      <c r="G1044" s="5">
        <v>428.86</v>
      </c>
    </row>
    <row r="1045" spans="1:7" x14ac:dyDescent="0.2">
      <c r="A1045" s="3">
        <v>140</v>
      </c>
      <c r="B1045" s="2">
        <v>92328.6</v>
      </c>
      <c r="C1045" s="38">
        <v>44875</v>
      </c>
      <c r="D1045" s="1" t="s">
        <v>76</v>
      </c>
      <c r="E1045" s="1" t="s">
        <v>33</v>
      </c>
      <c r="F1045" s="1" t="s">
        <v>199</v>
      </c>
      <c r="G1045" s="5">
        <v>659.49</v>
      </c>
    </row>
    <row r="1046" spans="1:7" x14ac:dyDescent="0.2">
      <c r="A1046" s="3">
        <v>140</v>
      </c>
      <c r="B1046" s="2">
        <v>58132.2</v>
      </c>
      <c r="C1046" s="38">
        <v>45154</v>
      </c>
      <c r="D1046" s="1" t="s">
        <v>72</v>
      </c>
      <c r="E1046" s="1" t="s">
        <v>33</v>
      </c>
      <c r="F1046" s="1" t="s">
        <v>199</v>
      </c>
      <c r="G1046" s="5">
        <v>415.23</v>
      </c>
    </row>
    <row r="1047" spans="1:7" x14ac:dyDescent="0.2">
      <c r="A1047" s="3">
        <v>140</v>
      </c>
      <c r="B1047" s="2">
        <v>56924</v>
      </c>
      <c r="C1047" s="38">
        <v>44914</v>
      </c>
      <c r="D1047" s="1" t="s">
        <v>73</v>
      </c>
      <c r="E1047" s="1" t="s">
        <v>33</v>
      </c>
      <c r="F1047" s="1" t="s">
        <v>199</v>
      </c>
      <c r="G1047" s="5">
        <v>406.6</v>
      </c>
    </row>
    <row r="1048" spans="1:7" x14ac:dyDescent="0.2">
      <c r="A1048" s="3">
        <v>140</v>
      </c>
      <c r="B1048" s="2">
        <v>56924</v>
      </c>
      <c r="C1048" s="38">
        <v>44914</v>
      </c>
      <c r="D1048" s="1" t="s">
        <v>73</v>
      </c>
      <c r="E1048" s="1" t="s">
        <v>33</v>
      </c>
      <c r="F1048" s="1" t="s">
        <v>199</v>
      </c>
      <c r="G1048" s="5">
        <v>406.6</v>
      </c>
    </row>
    <row r="1049" spans="1:7" x14ac:dyDescent="0.2">
      <c r="A1049" s="3">
        <v>140</v>
      </c>
      <c r="B1049" s="2">
        <v>56924</v>
      </c>
      <c r="C1049" s="38">
        <v>44914</v>
      </c>
      <c r="D1049" s="1" t="s">
        <v>73</v>
      </c>
      <c r="E1049" s="1" t="s">
        <v>33</v>
      </c>
      <c r="F1049" s="1" t="s">
        <v>199</v>
      </c>
      <c r="G1049" s="5">
        <v>406.6</v>
      </c>
    </row>
    <row r="1050" spans="1:7" x14ac:dyDescent="0.2">
      <c r="A1050" s="3">
        <v>140</v>
      </c>
      <c r="B1050" s="2">
        <v>56924</v>
      </c>
      <c r="C1050" s="38">
        <v>44914</v>
      </c>
      <c r="D1050" s="1" t="s">
        <v>73</v>
      </c>
      <c r="E1050" s="1" t="s">
        <v>33</v>
      </c>
      <c r="F1050" s="1" t="s">
        <v>199</v>
      </c>
      <c r="G1050" s="5">
        <v>406.6</v>
      </c>
    </row>
    <row r="1051" spans="1:7" x14ac:dyDescent="0.2">
      <c r="A1051" s="3">
        <v>140</v>
      </c>
      <c r="B1051" s="2">
        <v>58132.2</v>
      </c>
      <c r="C1051" s="38">
        <v>45132</v>
      </c>
      <c r="D1051" s="1" t="s">
        <v>72</v>
      </c>
      <c r="E1051" s="1" t="s">
        <v>33</v>
      </c>
      <c r="F1051" s="1" t="s">
        <v>199</v>
      </c>
      <c r="G1051" s="5">
        <v>415.23</v>
      </c>
    </row>
    <row r="1052" spans="1:7" x14ac:dyDescent="0.2">
      <c r="A1052" s="3">
        <v>140</v>
      </c>
      <c r="B1052" s="2">
        <v>58132.2</v>
      </c>
      <c r="C1052" s="38">
        <v>45132</v>
      </c>
      <c r="D1052" s="1" t="s">
        <v>72</v>
      </c>
      <c r="E1052" s="1" t="s">
        <v>33</v>
      </c>
      <c r="F1052" s="1" t="s">
        <v>199</v>
      </c>
      <c r="G1052" s="5">
        <v>415.23</v>
      </c>
    </row>
    <row r="1053" spans="1:7" x14ac:dyDescent="0.2">
      <c r="A1053" s="3">
        <v>140</v>
      </c>
      <c r="B1053" s="2">
        <v>60040.4</v>
      </c>
      <c r="C1053" s="38">
        <v>45132</v>
      </c>
      <c r="D1053" s="1" t="s">
        <v>73</v>
      </c>
      <c r="E1053" s="1" t="s">
        <v>33</v>
      </c>
      <c r="F1053" s="1" t="s">
        <v>199</v>
      </c>
      <c r="G1053" s="5">
        <v>428.86</v>
      </c>
    </row>
    <row r="1054" spans="1:7" x14ac:dyDescent="0.2">
      <c r="A1054" s="3">
        <v>140</v>
      </c>
      <c r="B1054" s="2">
        <v>60040.4</v>
      </c>
      <c r="C1054" s="38">
        <v>45132</v>
      </c>
      <c r="D1054" s="1" t="s">
        <v>73</v>
      </c>
      <c r="E1054" s="1" t="s">
        <v>33</v>
      </c>
      <c r="F1054" s="1" t="s">
        <v>199</v>
      </c>
      <c r="G1054" s="5">
        <v>428.86</v>
      </c>
    </row>
    <row r="1055" spans="1:7" x14ac:dyDescent="0.2">
      <c r="A1055" s="3">
        <v>120</v>
      </c>
      <c r="B1055" s="2">
        <v>54085.2</v>
      </c>
      <c r="C1055" s="38">
        <v>45049</v>
      </c>
      <c r="D1055" s="1" t="s">
        <v>58</v>
      </c>
      <c r="E1055" s="1" t="s">
        <v>33</v>
      </c>
      <c r="F1055" s="1" t="s">
        <v>199</v>
      </c>
      <c r="G1055" s="5">
        <v>450.71</v>
      </c>
    </row>
    <row r="1056" spans="1:7" x14ac:dyDescent="0.2">
      <c r="A1056" s="3">
        <v>120</v>
      </c>
      <c r="B1056" s="2">
        <v>96452.4</v>
      </c>
      <c r="C1056" s="38">
        <v>44950</v>
      </c>
      <c r="D1056" s="1" t="s">
        <v>83</v>
      </c>
      <c r="E1056" s="1" t="s">
        <v>33</v>
      </c>
      <c r="F1056" s="1" t="s">
        <v>199</v>
      </c>
      <c r="G1056" s="5">
        <v>803.77</v>
      </c>
    </row>
    <row r="1057" spans="1:7" x14ac:dyDescent="0.2">
      <c r="A1057" s="3">
        <v>120</v>
      </c>
      <c r="B1057" s="2">
        <v>96452.4</v>
      </c>
      <c r="C1057" s="38">
        <v>44956</v>
      </c>
      <c r="D1057" s="1" t="s">
        <v>83</v>
      </c>
      <c r="E1057" s="1" t="s">
        <v>33</v>
      </c>
      <c r="F1057" s="1" t="s">
        <v>199</v>
      </c>
      <c r="G1057" s="5">
        <v>803.77</v>
      </c>
    </row>
    <row r="1058" spans="1:7" x14ac:dyDescent="0.2">
      <c r="A1058" s="3">
        <v>120</v>
      </c>
      <c r="B1058" s="2">
        <v>54085.2</v>
      </c>
      <c r="C1058" s="38">
        <v>45037</v>
      </c>
      <c r="D1058" s="1" t="s">
        <v>58</v>
      </c>
      <c r="E1058" s="1" t="s">
        <v>33</v>
      </c>
      <c r="F1058" s="1" t="s">
        <v>199</v>
      </c>
      <c r="G1058" s="5">
        <v>450.71</v>
      </c>
    </row>
    <row r="1059" spans="1:7" x14ac:dyDescent="0.2">
      <c r="A1059" s="3">
        <v>120</v>
      </c>
      <c r="B1059" s="2">
        <v>54085.2</v>
      </c>
      <c r="C1059" s="38">
        <v>45037</v>
      </c>
      <c r="D1059" s="1" t="s">
        <v>58</v>
      </c>
      <c r="E1059" s="1" t="s">
        <v>33</v>
      </c>
      <c r="F1059" s="1" t="s">
        <v>199</v>
      </c>
      <c r="G1059" s="5">
        <v>450.71</v>
      </c>
    </row>
    <row r="1060" spans="1:7" x14ac:dyDescent="0.2">
      <c r="A1060" s="3">
        <v>120</v>
      </c>
      <c r="B1060" s="2">
        <v>54085.2</v>
      </c>
      <c r="C1060" s="38">
        <v>45037</v>
      </c>
      <c r="D1060" s="1" t="s">
        <v>58</v>
      </c>
      <c r="E1060" s="1" t="s">
        <v>33</v>
      </c>
      <c r="F1060" s="1" t="s">
        <v>199</v>
      </c>
      <c r="G1060" s="5">
        <v>450.71</v>
      </c>
    </row>
    <row r="1061" spans="1:7" x14ac:dyDescent="0.2">
      <c r="A1061" s="3">
        <v>120</v>
      </c>
      <c r="B1061" s="2">
        <v>54085.2</v>
      </c>
      <c r="C1061" s="38">
        <v>45037</v>
      </c>
      <c r="D1061" s="1" t="s">
        <v>58</v>
      </c>
      <c r="E1061" s="1" t="s">
        <v>33</v>
      </c>
      <c r="F1061" s="1" t="s">
        <v>199</v>
      </c>
      <c r="G1061" s="5">
        <v>450.71</v>
      </c>
    </row>
    <row r="1062" spans="1:7" x14ac:dyDescent="0.2">
      <c r="A1062" s="3">
        <v>120</v>
      </c>
      <c r="B1062" s="2">
        <v>54085.2</v>
      </c>
      <c r="C1062" s="38">
        <v>45037</v>
      </c>
      <c r="D1062" s="1" t="s">
        <v>58</v>
      </c>
      <c r="E1062" s="1" t="s">
        <v>33</v>
      </c>
      <c r="F1062" s="1" t="s">
        <v>199</v>
      </c>
      <c r="G1062" s="5">
        <v>450.71</v>
      </c>
    </row>
    <row r="1063" spans="1:7" x14ac:dyDescent="0.2">
      <c r="A1063" s="3">
        <v>120</v>
      </c>
      <c r="B1063" s="2">
        <v>54085.2</v>
      </c>
      <c r="C1063" s="38">
        <v>45037</v>
      </c>
      <c r="D1063" s="1" t="s">
        <v>58</v>
      </c>
      <c r="E1063" s="1" t="s">
        <v>33</v>
      </c>
      <c r="F1063" s="1" t="s">
        <v>199</v>
      </c>
      <c r="G1063" s="5">
        <v>450.71</v>
      </c>
    </row>
    <row r="1064" spans="1:7" x14ac:dyDescent="0.2">
      <c r="A1064" s="3">
        <v>120</v>
      </c>
      <c r="B1064" s="2">
        <v>54085.2</v>
      </c>
      <c r="C1064" s="38">
        <v>45061</v>
      </c>
      <c r="D1064" s="1" t="s">
        <v>58</v>
      </c>
      <c r="E1064" s="1" t="s">
        <v>33</v>
      </c>
      <c r="F1064" s="1" t="s">
        <v>199</v>
      </c>
      <c r="G1064" s="5">
        <v>450.71</v>
      </c>
    </row>
    <row r="1065" spans="1:7" x14ac:dyDescent="0.2">
      <c r="A1065" s="3">
        <v>120</v>
      </c>
      <c r="B1065" s="2">
        <v>51024</v>
      </c>
      <c r="C1065" s="38">
        <v>44929</v>
      </c>
      <c r="D1065" s="1" t="s">
        <v>58</v>
      </c>
      <c r="E1065" s="1" t="s">
        <v>33</v>
      </c>
      <c r="F1065" s="1" t="s">
        <v>199</v>
      </c>
      <c r="G1065" s="5">
        <v>425.2</v>
      </c>
    </row>
    <row r="1066" spans="1:7" x14ac:dyDescent="0.2">
      <c r="A1066" s="3">
        <v>120</v>
      </c>
      <c r="B1066" s="2">
        <v>51024</v>
      </c>
      <c r="C1066" s="38">
        <v>44929</v>
      </c>
      <c r="D1066" s="1" t="s">
        <v>58</v>
      </c>
      <c r="E1066" s="1" t="s">
        <v>33</v>
      </c>
      <c r="F1066" s="1" t="s">
        <v>199</v>
      </c>
      <c r="G1066" s="5">
        <v>425.2</v>
      </c>
    </row>
    <row r="1067" spans="1:7" x14ac:dyDescent="0.2">
      <c r="A1067" s="3">
        <v>120</v>
      </c>
      <c r="B1067" s="2">
        <v>51024</v>
      </c>
      <c r="C1067" s="38">
        <v>44894</v>
      </c>
      <c r="D1067" s="1" t="s">
        <v>58</v>
      </c>
      <c r="E1067" s="1" t="s">
        <v>33</v>
      </c>
      <c r="F1067" s="1" t="s">
        <v>199</v>
      </c>
      <c r="G1067" s="5">
        <v>425.2</v>
      </c>
    </row>
    <row r="1068" spans="1:7" x14ac:dyDescent="0.2">
      <c r="A1068" s="3">
        <v>120</v>
      </c>
      <c r="B1068" s="2">
        <v>51024</v>
      </c>
      <c r="C1068" s="38">
        <v>44909</v>
      </c>
      <c r="D1068" s="1" t="s">
        <v>58</v>
      </c>
      <c r="E1068" s="1" t="s">
        <v>33</v>
      </c>
      <c r="F1068" s="1" t="s">
        <v>199</v>
      </c>
      <c r="G1068" s="5">
        <v>425.2</v>
      </c>
    </row>
    <row r="1069" spans="1:7" x14ac:dyDescent="0.2">
      <c r="A1069" s="3">
        <v>120</v>
      </c>
      <c r="B1069" s="2">
        <v>91449.600000000006</v>
      </c>
      <c r="C1069" s="38">
        <v>44761</v>
      </c>
      <c r="D1069" s="1" t="s">
        <v>83</v>
      </c>
      <c r="E1069" s="1" t="s">
        <v>33</v>
      </c>
      <c r="F1069" s="1" t="s">
        <v>199</v>
      </c>
      <c r="G1069" s="5">
        <v>762.08</v>
      </c>
    </row>
    <row r="1070" spans="1:7" x14ac:dyDescent="0.2">
      <c r="A1070" s="3">
        <v>120</v>
      </c>
      <c r="B1070" s="2">
        <v>51024</v>
      </c>
      <c r="C1070" s="38">
        <v>44859</v>
      </c>
      <c r="D1070" s="1" t="s">
        <v>58</v>
      </c>
      <c r="E1070" s="1" t="s">
        <v>33</v>
      </c>
      <c r="F1070" s="1" t="s">
        <v>199</v>
      </c>
      <c r="G1070" s="5">
        <v>425.2</v>
      </c>
    </row>
    <row r="1071" spans="1:7" x14ac:dyDescent="0.2">
      <c r="A1071" s="3">
        <v>120</v>
      </c>
      <c r="B1071" s="2">
        <v>51024</v>
      </c>
      <c r="C1071" s="38">
        <v>44859</v>
      </c>
      <c r="D1071" s="1" t="s">
        <v>58</v>
      </c>
      <c r="E1071" s="1" t="s">
        <v>33</v>
      </c>
      <c r="F1071" s="1" t="s">
        <v>199</v>
      </c>
      <c r="G1071" s="5">
        <v>425.2</v>
      </c>
    </row>
    <row r="1072" spans="1:7" x14ac:dyDescent="0.2">
      <c r="A1072" s="3">
        <v>120</v>
      </c>
      <c r="B1072" s="2">
        <v>51024</v>
      </c>
      <c r="C1072" s="38">
        <v>44859</v>
      </c>
      <c r="D1072" s="1" t="s">
        <v>58</v>
      </c>
      <c r="E1072" s="1" t="s">
        <v>33</v>
      </c>
      <c r="F1072" s="1" t="s">
        <v>199</v>
      </c>
      <c r="G1072" s="5">
        <v>425.2</v>
      </c>
    </row>
    <row r="1073" spans="1:7" x14ac:dyDescent="0.2">
      <c r="A1073" s="3">
        <v>120</v>
      </c>
      <c r="B1073" s="2">
        <v>51024</v>
      </c>
      <c r="C1073" s="38">
        <v>44859</v>
      </c>
      <c r="D1073" s="1" t="s">
        <v>58</v>
      </c>
      <c r="E1073" s="1" t="s">
        <v>33</v>
      </c>
      <c r="F1073" s="1" t="s">
        <v>199</v>
      </c>
      <c r="G1073" s="5">
        <v>425.2</v>
      </c>
    </row>
    <row r="1074" spans="1:7" x14ac:dyDescent="0.2">
      <c r="A1074" s="3">
        <v>120</v>
      </c>
      <c r="B1074" s="2">
        <v>51024</v>
      </c>
      <c r="C1074" s="38">
        <v>44859</v>
      </c>
      <c r="D1074" s="1" t="s">
        <v>58</v>
      </c>
      <c r="E1074" s="1" t="s">
        <v>33</v>
      </c>
      <c r="F1074" s="1" t="s">
        <v>199</v>
      </c>
      <c r="G1074" s="5">
        <v>425.2</v>
      </c>
    </row>
    <row r="1075" spans="1:7" x14ac:dyDescent="0.2">
      <c r="A1075" s="3">
        <v>120</v>
      </c>
      <c r="B1075" s="2">
        <v>51024</v>
      </c>
      <c r="C1075" s="38">
        <v>44859</v>
      </c>
      <c r="D1075" s="1" t="s">
        <v>58</v>
      </c>
      <c r="E1075" s="1" t="s">
        <v>33</v>
      </c>
      <c r="F1075" s="1" t="s">
        <v>199</v>
      </c>
      <c r="G1075" s="5">
        <v>425.2</v>
      </c>
    </row>
    <row r="1076" spans="1:7" x14ac:dyDescent="0.2">
      <c r="A1076" s="3">
        <v>120</v>
      </c>
      <c r="B1076" s="2">
        <v>52864.800000000003</v>
      </c>
      <c r="C1076" s="38">
        <v>44985</v>
      </c>
      <c r="D1076" s="1" t="s">
        <v>66</v>
      </c>
      <c r="E1076" s="1" t="s">
        <v>33</v>
      </c>
      <c r="F1076" s="1" t="s">
        <v>199</v>
      </c>
      <c r="G1076" s="5">
        <v>440.54</v>
      </c>
    </row>
    <row r="1077" spans="1:7" x14ac:dyDescent="0.2">
      <c r="A1077" s="3">
        <v>120</v>
      </c>
      <c r="B1077" s="2">
        <v>52864.800000000003</v>
      </c>
      <c r="C1077" s="38">
        <v>44985</v>
      </c>
      <c r="D1077" s="1" t="s">
        <v>66</v>
      </c>
      <c r="E1077" s="1" t="s">
        <v>33</v>
      </c>
      <c r="F1077" s="1" t="s">
        <v>199</v>
      </c>
      <c r="G1077" s="5">
        <v>440.54</v>
      </c>
    </row>
    <row r="1078" spans="1:7" x14ac:dyDescent="0.2">
      <c r="A1078" s="3">
        <v>120</v>
      </c>
      <c r="B1078" s="2">
        <v>52864.800000000003</v>
      </c>
      <c r="C1078" s="38">
        <v>44978</v>
      </c>
      <c r="D1078" s="1" t="s">
        <v>66</v>
      </c>
      <c r="E1078" s="1" t="s">
        <v>33</v>
      </c>
      <c r="F1078" s="1" t="s">
        <v>199</v>
      </c>
      <c r="G1078" s="5">
        <v>440.54</v>
      </c>
    </row>
    <row r="1079" spans="1:7" x14ac:dyDescent="0.2">
      <c r="A1079" s="3">
        <v>120</v>
      </c>
      <c r="B1079" s="2">
        <v>52864.800000000003</v>
      </c>
      <c r="C1079" s="38">
        <v>44978</v>
      </c>
      <c r="D1079" s="1" t="s">
        <v>66</v>
      </c>
      <c r="E1079" s="1" t="s">
        <v>33</v>
      </c>
      <c r="F1079" s="1" t="s">
        <v>199</v>
      </c>
      <c r="G1079" s="5">
        <v>440.54</v>
      </c>
    </row>
    <row r="1080" spans="1:7" x14ac:dyDescent="0.2">
      <c r="A1080" s="3">
        <v>120</v>
      </c>
      <c r="B1080" s="2">
        <v>52864.800000000003</v>
      </c>
      <c r="C1080" s="38">
        <v>44978</v>
      </c>
      <c r="D1080" s="1" t="s">
        <v>66</v>
      </c>
      <c r="E1080" s="1" t="s">
        <v>33</v>
      </c>
      <c r="F1080" s="1" t="s">
        <v>199</v>
      </c>
      <c r="G1080" s="5">
        <v>440.54</v>
      </c>
    </row>
    <row r="1081" spans="1:7" x14ac:dyDescent="0.2">
      <c r="A1081" s="3">
        <v>120</v>
      </c>
      <c r="B1081" s="2">
        <v>52864.800000000003</v>
      </c>
      <c r="C1081" s="38">
        <v>44978</v>
      </c>
      <c r="D1081" s="1" t="s">
        <v>66</v>
      </c>
      <c r="E1081" s="1" t="s">
        <v>33</v>
      </c>
      <c r="F1081" s="1" t="s">
        <v>199</v>
      </c>
      <c r="G1081" s="5">
        <v>440.54</v>
      </c>
    </row>
    <row r="1082" spans="1:7" x14ac:dyDescent="0.2">
      <c r="A1082" s="3">
        <v>120</v>
      </c>
      <c r="B1082" s="2">
        <v>52864.800000000003</v>
      </c>
      <c r="C1082" s="38">
        <v>44978</v>
      </c>
      <c r="D1082" s="1" t="s">
        <v>66</v>
      </c>
      <c r="E1082" s="1" t="s">
        <v>33</v>
      </c>
      <c r="F1082" s="1" t="s">
        <v>199</v>
      </c>
      <c r="G1082" s="5">
        <v>440.54</v>
      </c>
    </row>
    <row r="1083" spans="1:7" x14ac:dyDescent="0.2">
      <c r="A1083" s="3">
        <v>120</v>
      </c>
      <c r="B1083" s="2">
        <v>52864.800000000003</v>
      </c>
      <c r="C1083" s="38">
        <v>44978</v>
      </c>
      <c r="D1083" s="1" t="s">
        <v>66</v>
      </c>
      <c r="E1083" s="1" t="s">
        <v>33</v>
      </c>
      <c r="F1083" s="1" t="s">
        <v>199</v>
      </c>
      <c r="G1083" s="5">
        <v>440.54</v>
      </c>
    </row>
    <row r="1084" spans="1:7" x14ac:dyDescent="0.2">
      <c r="A1084" s="3">
        <v>120</v>
      </c>
      <c r="B1084" s="2">
        <v>52864.800000000003</v>
      </c>
      <c r="C1084" s="38">
        <v>44978</v>
      </c>
      <c r="D1084" s="1" t="s">
        <v>66</v>
      </c>
      <c r="E1084" s="1" t="s">
        <v>33</v>
      </c>
      <c r="F1084" s="1" t="s">
        <v>199</v>
      </c>
      <c r="G1084" s="5">
        <v>440.54</v>
      </c>
    </row>
    <row r="1085" spans="1:7" x14ac:dyDescent="0.2">
      <c r="A1085" s="3">
        <v>120</v>
      </c>
      <c r="B1085" s="2">
        <v>52864.800000000003</v>
      </c>
      <c r="C1085" s="38">
        <v>44978</v>
      </c>
      <c r="D1085" s="1" t="s">
        <v>66</v>
      </c>
      <c r="E1085" s="1" t="s">
        <v>33</v>
      </c>
      <c r="F1085" s="1" t="s">
        <v>199</v>
      </c>
      <c r="G1085" s="5">
        <v>440.54</v>
      </c>
    </row>
    <row r="1086" spans="1:7" x14ac:dyDescent="0.2">
      <c r="A1086" s="3">
        <v>120</v>
      </c>
      <c r="B1086" s="2">
        <v>52864.800000000003</v>
      </c>
      <c r="C1086" s="38">
        <v>44981</v>
      </c>
      <c r="D1086" s="1" t="s">
        <v>66</v>
      </c>
      <c r="E1086" s="1" t="s">
        <v>33</v>
      </c>
      <c r="F1086" s="1" t="s">
        <v>199</v>
      </c>
      <c r="G1086" s="5">
        <v>440.54</v>
      </c>
    </row>
    <row r="1087" spans="1:7" x14ac:dyDescent="0.2">
      <c r="A1087" s="3">
        <v>120</v>
      </c>
      <c r="B1087" s="2">
        <v>52864.800000000003</v>
      </c>
      <c r="C1087" s="38">
        <v>44981</v>
      </c>
      <c r="D1087" s="1" t="s">
        <v>66</v>
      </c>
      <c r="E1087" s="1" t="s">
        <v>33</v>
      </c>
      <c r="F1087" s="1" t="s">
        <v>199</v>
      </c>
      <c r="G1087" s="5">
        <v>440.54</v>
      </c>
    </row>
    <row r="1088" spans="1:7" x14ac:dyDescent="0.2">
      <c r="A1088" s="3">
        <v>120</v>
      </c>
      <c r="B1088" s="2">
        <v>52674</v>
      </c>
      <c r="C1088" s="38">
        <v>45077</v>
      </c>
      <c r="D1088" s="1" t="s">
        <v>66</v>
      </c>
      <c r="E1088" s="1" t="s">
        <v>33</v>
      </c>
      <c r="F1088" s="1" t="s">
        <v>199</v>
      </c>
      <c r="G1088" s="5">
        <v>438.95</v>
      </c>
    </row>
    <row r="1089" spans="1:7" x14ac:dyDescent="0.2">
      <c r="A1089" s="3">
        <v>120</v>
      </c>
      <c r="B1089" s="2">
        <v>52674</v>
      </c>
      <c r="C1089" s="38">
        <v>45077</v>
      </c>
      <c r="D1089" s="1" t="s">
        <v>66</v>
      </c>
      <c r="E1089" s="1" t="s">
        <v>33</v>
      </c>
      <c r="F1089" s="1" t="s">
        <v>199</v>
      </c>
      <c r="G1089" s="5">
        <v>438.95</v>
      </c>
    </row>
    <row r="1090" spans="1:7" x14ac:dyDescent="0.2">
      <c r="A1090" s="3">
        <v>120</v>
      </c>
      <c r="B1090" s="2">
        <v>52674</v>
      </c>
      <c r="C1090" s="38">
        <v>45077</v>
      </c>
      <c r="D1090" s="1" t="s">
        <v>66</v>
      </c>
      <c r="E1090" s="1" t="s">
        <v>33</v>
      </c>
      <c r="F1090" s="1" t="s">
        <v>199</v>
      </c>
      <c r="G1090" s="5">
        <v>438.95</v>
      </c>
    </row>
    <row r="1091" spans="1:7" x14ac:dyDescent="0.2">
      <c r="A1091" s="3">
        <v>120</v>
      </c>
      <c r="B1091" s="2">
        <v>52674</v>
      </c>
      <c r="C1091" s="38">
        <v>45077</v>
      </c>
      <c r="D1091" s="1" t="s">
        <v>66</v>
      </c>
      <c r="E1091" s="1" t="s">
        <v>33</v>
      </c>
      <c r="F1091" s="1" t="s">
        <v>199</v>
      </c>
      <c r="G1091" s="5">
        <v>438.95</v>
      </c>
    </row>
    <row r="1092" spans="1:7" x14ac:dyDescent="0.2">
      <c r="A1092" s="3">
        <v>120</v>
      </c>
      <c r="B1092" s="2">
        <v>52674</v>
      </c>
      <c r="C1092" s="38">
        <v>45077</v>
      </c>
      <c r="D1092" s="1" t="s">
        <v>66</v>
      </c>
      <c r="E1092" s="1" t="s">
        <v>33</v>
      </c>
      <c r="F1092" s="1" t="s">
        <v>199</v>
      </c>
      <c r="G1092" s="5">
        <v>438.95</v>
      </c>
    </row>
    <row r="1093" spans="1:7" x14ac:dyDescent="0.2">
      <c r="A1093" s="3">
        <v>120</v>
      </c>
      <c r="B1093" s="2">
        <v>52864.800000000003</v>
      </c>
      <c r="C1093" s="38">
        <v>44932</v>
      </c>
      <c r="D1093" s="1" t="s">
        <v>66</v>
      </c>
      <c r="E1093" s="1" t="s">
        <v>33</v>
      </c>
      <c r="F1093" s="1" t="s">
        <v>199</v>
      </c>
      <c r="G1093" s="5">
        <v>440.54</v>
      </c>
    </row>
    <row r="1094" spans="1:7" x14ac:dyDescent="0.2">
      <c r="A1094" s="3">
        <v>120</v>
      </c>
      <c r="B1094" s="2">
        <v>52864.800000000003</v>
      </c>
      <c r="C1094" s="38">
        <v>44932</v>
      </c>
      <c r="D1094" s="1" t="s">
        <v>66</v>
      </c>
      <c r="E1094" s="1" t="s">
        <v>33</v>
      </c>
      <c r="F1094" s="1" t="s">
        <v>199</v>
      </c>
      <c r="G1094" s="5">
        <v>440.54</v>
      </c>
    </row>
    <row r="1095" spans="1:7" x14ac:dyDescent="0.2">
      <c r="A1095" s="3">
        <v>120</v>
      </c>
      <c r="B1095" s="2">
        <v>52674</v>
      </c>
      <c r="C1095" s="38">
        <v>45077</v>
      </c>
      <c r="D1095" s="1" t="s">
        <v>66</v>
      </c>
      <c r="E1095" s="1" t="s">
        <v>33</v>
      </c>
      <c r="F1095" s="1" t="s">
        <v>199</v>
      </c>
      <c r="G1095" s="5">
        <v>438.95</v>
      </c>
    </row>
    <row r="1096" spans="1:7" x14ac:dyDescent="0.2">
      <c r="A1096" s="3">
        <v>120</v>
      </c>
      <c r="B1096" s="2">
        <v>52674</v>
      </c>
      <c r="C1096" s="38">
        <v>45077</v>
      </c>
      <c r="D1096" s="1" t="s">
        <v>66</v>
      </c>
      <c r="E1096" s="1" t="s">
        <v>33</v>
      </c>
      <c r="F1096" s="1" t="s">
        <v>199</v>
      </c>
      <c r="G1096" s="5">
        <v>438.95</v>
      </c>
    </row>
    <row r="1097" spans="1:7" x14ac:dyDescent="0.2">
      <c r="A1097" s="3">
        <v>120</v>
      </c>
      <c r="B1097" s="2">
        <v>52674</v>
      </c>
      <c r="C1097" s="38">
        <v>45077</v>
      </c>
      <c r="D1097" s="1" t="s">
        <v>66</v>
      </c>
      <c r="E1097" s="1" t="s">
        <v>33</v>
      </c>
      <c r="F1097" s="1" t="s">
        <v>199</v>
      </c>
      <c r="G1097" s="5">
        <v>438.95</v>
      </c>
    </row>
    <row r="1098" spans="1:7" x14ac:dyDescent="0.2">
      <c r="A1098" s="3">
        <v>120</v>
      </c>
      <c r="B1098" s="2">
        <v>52674</v>
      </c>
      <c r="C1098" s="38">
        <v>45077</v>
      </c>
      <c r="D1098" s="1" t="s">
        <v>66</v>
      </c>
      <c r="E1098" s="1" t="s">
        <v>33</v>
      </c>
      <c r="F1098" s="1" t="s">
        <v>199</v>
      </c>
      <c r="G1098" s="5">
        <v>438.95</v>
      </c>
    </row>
    <row r="1099" spans="1:7" x14ac:dyDescent="0.2">
      <c r="A1099" s="3">
        <v>120</v>
      </c>
      <c r="B1099" s="2">
        <v>52674</v>
      </c>
      <c r="C1099" s="38">
        <v>45077</v>
      </c>
      <c r="D1099" s="1" t="s">
        <v>66</v>
      </c>
      <c r="E1099" s="1" t="s">
        <v>33</v>
      </c>
      <c r="F1099" s="1" t="s">
        <v>199</v>
      </c>
      <c r="G1099" s="5">
        <v>438.95</v>
      </c>
    </row>
    <row r="1100" spans="1:7" x14ac:dyDescent="0.2">
      <c r="A1100" s="3">
        <v>120</v>
      </c>
      <c r="B1100" s="2">
        <v>52674</v>
      </c>
      <c r="C1100" s="38">
        <v>45082</v>
      </c>
      <c r="D1100" s="1" t="s">
        <v>66</v>
      </c>
      <c r="E1100" s="1" t="s">
        <v>33</v>
      </c>
      <c r="F1100" s="1" t="s">
        <v>199</v>
      </c>
      <c r="G1100" s="5">
        <v>438.95</v>
      </c>
    </row>
    <row r="1101" spans="1:7" x14ac:dyDescent="0.2">
      <c r="A1101" s="3">
        <v>120</v>
      </c>
      <c r="B1101" s="2">
        <v>52674</v>
      </c>
      <c r="C1101" s="38">
        <v>45082</v>
      </c>
      <c r="D1101" s="1" t="s">
        <v>66</v>
      </c>
      <c r="E1101" s="1" t="s">
        <v>33</v>
      </c>
      <c r="F1101" s="1" t="s">
        <v>199</v>
      </c>
      <c r="G1101" s="5">
        <v>438.95</v>
      </c>
    </row>
    <row r="1102" spans="1:7" x14ac:dyDescent="0.2">
      <c r="A1102" s="3">
        <v>120</v>
      </c>
      <c r="B1102" s="2">
        <v>55755.6</v>
      </c>
      <c r="C1102" s="38">
        <v>44950</v>
      </c>
      <c r="D1102" s="1" t="s">
        <v>66</v>
      </c>
      <c r="E1102" s="1" t="s">
        <v>33</v>
      </c>
      <c r="F1102" s="1" t="s">
        <v>199</v>
      </c>
      <c r="G1102" s="5">
        <v>464.63</v>
      </c>
    </row>
    <row r="1103" spans="1:7" x14ac:dyDescent="0.2">
      <c r="A1103" s="3">
        <v>120</v>
      </c>
      <c r="B1103" s="2">
        <v>55755.6</v>
      </c>
      <c r="C1103" s="38">
        <v>44950</v>
      </c>
      <c r="D1103" s="1" t="s">
        <v>66</v>
      </c>
      <c r="E1103" s="1" t="s">
        <v>33</v>
      </c>
      <c r="F1103" s="1" t="s">
        <v>199</v>
      </c>
      <c r="G1103" s="5">
        <v>464.63</v>
      </c>
    </row>
    <row r="1104" spans="1:7" x14ac:dyDescent="0.2">
      <c r="A1104" s="3">
        <v>120</v>
      </c>
      <c r="B1104" s="2">
        <v>55755.6</v>
      </c>
      <c r="C1104" s="38">
        <v>44950</v>
      </c>
      <c r="D1104" s="1" t="s">
        <v>66</v>
      </c>
      <c r="E1104" s="1" t="s">
        <v>33</v>
      </c>
      <c r="F1104" s="1" t="s">
        <v>199</v>
      </c>
      <c r="G1104" s="5">
        <v>464.63</v>
      </c>
    </row>
    <row r="1105" spans="1:7" x14ac:dyDescent="0.2">
      <c r="A1105" s="3">
        <v>120</v>
      </c>
      <c r="B1105" s="2">
        <v>55755.6</v>
      </c>
      <c r="C1105" s="38">
        <v>44950</v>
      </c>
      <c r="D1105" s="1" t="s">
        <v>66</v>
      </c>
      <c r="E1105" s="1" t="s">
        <v>33</v>
      </c>
      <c r="F1105" s="1" t="s">
        <v>199</v>
      </c>
      <c r="G1105" s="5">
        <v>464.63</v>
      </c>
    </row>
    <row r="1106" spans="1:7" x14ac:dyDescent="0.2">
      <c r="A1106" s="3">
        <v>120</v>
      </c>
      <c r="B1106" s="2">
        <v>55755.6</v>
      </c>
      <c r="C1106" s="38">
        <v>44950</v>
      </c>
      <c r="D1106" s="1" t="s">
        <v>66</v>
      </c>
      <c r="E1106" s="1" t="s">
        <v>33</v>
      </c>
      <c r="F1106" s="1" t="s">
        <v>199</v>
      </c>
      <c r="G1106" s="5">
        <v>464.63</v>
      </c>
    </row>
    <row r="1107" spans="1:7" x14ac:dyDescent="0.2">
      <c r="A1107" s="3">
        <v>120</v>
      </c>
      <c r="B1107" s="2">
        <v>55755.6</v>
      </c>
      <c r="C1107" s="38">
        <v>44950</v>
      </c>
      <c r="D1107" s="1" t="s">
        <v>66</v>
      </c>
      <c r="E1107" s="1" t="s">
        <v>33</v>
      </c>
      <c r="F1107" s="1" t="s">
        <v>199</v>
      </c>
      <c r="G1107" s="5">
        <v>464.63</v>
      </c>
    </row>
    <row r="1108" spans="1:7" x14ac:dyDescent="0.2">
      <c r="A1108" s="3">
        <v>120</v>
      </c>
      <c r="B1108" s="2">
        <v>55755.6</v>
      </c>
      <c r="C1108" s="38">
        <v>44950</v>
      </c>
      <c r="D1108" s="1" t="s">
        <v>66</v>
      </c>
      <c r="E1108" s="1" t="s">
        <v>33</v>
      </c>
      <c r="F1108" s="1" t="s">
        <v>199</v>
      </c>
      <c r="G1108" s="5">
        <v>464.63</v>
      </c>
    </row>
    <row r="1109" spans="1:7" x14ac:dyDescent="0.2">
      <c r="A1109" s="3">
        <v>120</v>
      </c>
      <c r="B1109" s="2">
        <v>55755.6</v>
      </c>
      <c r="C1109" s="38">
        <v>44950</v>
      </c>
      <c r="D1109" s="1" t="s">
        <v>66</v>
      </c>
      <c r="E1109" s="1" t="s">
        <v>33</v>
      </c>
      <c r="F1109" s="1" t="s">
        <v>199</v>
      </c>
      <c r="G1109" s="5">
        <v>464.63</v>
      </c>
    </row>
    <row r="1110" spans="1:7" x14ac:dyDescent="0.2">
      <c r="A1110" s="3">
        <v>120</v>
      </c>
      <c r="B1110" s="2">
        <v>52674</v>
      </c>
      <c r="C1110" s="38">
        <v>45061</v>
      </c>
      <c r="D1110" s="1" t="s">
        <v>66</v>
      </c>
      <c r="E1110" s="1" t="s">
        <v>33</v>
      </c>
      <c r="F1110" s="1" t="s">
        <v>199</v>
      </c>
      <c r="G1110" s="5">
        <v>438.95</v>
      </c>
    </row>
    <row r="1111" spans="1:7" x14ac:dyDescent="0.2">
      <c r="A1111" s="3">
        <v>120</v>
      </c>
      <c r="B1111" s="2">
        <v>52674</v>
      </c>
      <c r="C1111" s="38">
        <v>45061</v>
      </c>
      <c r="D1111" s="1" t="s">
        <v>66</v>
      </c>
      <c r="E1111" s="1" t="s">
        <v>33</v>
      </c>
      <c r="F1111" s="1" t="s">
        <v>199</v>
      </c>
      <c r="G1111" s="5">
        <v>438.95</v>
      </c>
    </row>
    <row r="1112" spans="1:7" x14ac:dyDescent="0.2">
      <c r="A1112" s="3">
        <v>120</v>
      </c>
      <c r="B1112" s="2">
        <v>52674</v>
      </c>
      <c r="C1112" s="38">
        <v>45061</v>
      </c>
      <c r="D1112" s="1" t="s">
        <v>66</v>
      </c>
      <c r="E1112" s="1" t="s">
        <v>33</v>
      </c>
      <c r="F1112" s="1" t="s">
        <v>199</v>
      </c>
      <c r="G1112" s="5">
        <v>438.95</v>
      </c>
    </row>
    <row r="1113" spans="1:7" x14ac:dyDescent="0.2">
      <c r="A1113" s="3">
        <v>120</v>
      </c>
      <c r="B1113" s="2">
        <v>55755.6</v>
      </c>
      <c r="C1113" s="38">
        <v>44978</v>
      </c>
      <c r="D1113" s="1" t="s">
        <v>66</v>
      </c>
      <c r="E1113" s="1" t="s">
        <v>33</v>
      </c>
      <c r="F1113" s="1" t="s">
        <v>199</v>
      </c>
      <c r="G1113" s="5">
        <v>464.63</v>
      </c>
    </row>
    <row r="1114" spans="1:7" x14ac:dyDescent="0.2">
      <c r="A1114" s="3">
        <v>120</v>
      </c>
      <c r="B1114" s="2">
        <v>55755.6</v>
      </c>
      <c r="C1114" s="38">
        <v>44978</v>
      </c>
      <c r="D1114" s="1" t="s">
        <v>66</v>
      </c>
      <c r="E1114" s="1" t="s">
        <v>33</v>
      </c>
      <c r="F1114" s="1" t="s">
        <v>199</v>
      </c>
      <c r="G1114" s="5">
        <v>464.63</v>
      </c>
    </row>
    <row r="1115" spans="1:7" x14ac:dyDescent="0.2">
      <c r="A1115" s="3">
        <v>120</v>
      </c>
      <c r="B1115" s="2">
        <v>52674</v>
      </c>
      <c r="C1115" s="38">
        <v>45072</v>
      </c>
      <c r="D1115" s="1" t="s">
        <v>66</v>
      </c>
      <c r="E1115" s="1" t="s">
        <v>33</v>
      </c>
      <c r="F1115" s="1" t="s">
        <v>199</v>
      </c>
      <c r="G1115" s="5">
        <v>438.95</v>
      </c>
    </row>
    <row r="1116" spans="1:7" x14ac:dyDescent="0.2">
      <c r="A1116" s="3">
        <v>120</v>
      </c>
      <c r="B1116" s="2">
        <v>55755.6</v>
      </c>
      <c r="C1116" s="38">
        <v>44985</v>
      </c>
      <c r="D1116" s="1" t="s">
        <v>66</v>
      </c>
      <c r="E1116" s="1" t="s">
        <v>33</v>
      </c>
      <c r="F1116" s="1" t="s">
        <v>199</v>
      </c>
      <c r="G1116" s="5">
        <v>464.63</v>
      </c>
    </row>
    <row r="1117" spans="1:7" x14ac:dyDescent="0.2">
      <c r="A1117" s="3">
        <v>120</v>
      </c>
      <c r="B1117" s="2">
        <v>52674</v>
      </c>
      <c r="C1117" s="38">
        <v>44985</v>
      </c>
      <c r="D1117" s="1" t="s">
        <v>66</v>
      </c>
      <c r="E1117" s="1" t="s">
        <v>33</v>
      </c>
      <c r="F1117" s="1" t="s">
        <v>199</v>
      </c>
      <c r="G1117" s="5">
        <v>438.95</v>
      </c>
    </row>
    <row r="1118" spans="1:7" x14ac:dyDescent="0.2">
      <c r="A1118" s="3">
        <v>120</v>
      </c>
      <c r="B1118" s="2">
        <v>52674</v>
      </c>
      <c r="C1118" s="38">
        <v>45072</v>
      </c>
      <c r="D1118" s="1" t="s">
        <v>66</v>
      </c>
      <c r="E1118" s="1" t="s">
        <v>33</v>
      </c>
      <c r="F1118" s="1" t="s">
        <v>199</v>
      </c>
      <c r="G1118" s="5">
        <v>438.95</v>
      </c>
    </row>
    <row r="1119" spans="1:7" x14ac:dyDescent="0.2">
      <c r="A1119" s="3">
        <v>120</v>
      </c>
      <c r="B1119" s="2">
        <v>52674</v>
      </c>
      <c r="C1119" s="38">
        <v>45072</v>
      </c>
      <c r="D1119" s="1" t="s">
        <v>66</v>
      </c>
      <c r="E1119" s="1" t="s">
        <v>33</v>
      </c>
      <c r="F1119" s="1" t="s">
        <v>199</v>
      </c>
      <c r="G1119" s="5">
        <v>438.95</v>
      </c>
    </row>
    <row r="1120" spans="1:7" x14ac:dyDescent="0.2">
      <c r="A1120" s="3">
        <v>120</v>
      </c>
      <c r="B1120" s="2">
        <v>52674</v>
      </c>
      <c r="C1120" s="38">
        <v>45072</v>
      </c>
      <c r="D1120" s="1" t="s">
        <v>66</v>
      </c>
      <c r="E1120" s="1" t="s">
        <v>33</v>
      </c>
      <c r="F1120" s="1" t="s">
        <v>199</v>
      </c>
      <c r="G1120" s="5">
        <v>438.95</v>
      </c>
    </row>
    <row r="1121" spans="1:7" x14ac:dyDescent="0.2">
      <c r="A1121" s="3">
        <v>120</v>
      </c>
      <c r="B1121" s="2">
        <v>52674</v>
      </c>
      <c r="C1121" s="38">
        <v>45072</v>
      </c>
      <c r="D1121" s="1" t="s">
        <v>66</v>
      </c>
      <c r="E1121" s="1" t="s">
        <v>33</v>
      </c>
      <c r="F1121" s="1" t="s">
        <v>199</v>
      </c>
      <c r="G1121" s="5">
        <v>438.95</v>
      </c>
    </row>
    <row r="1122" spans="1:7" x14ac:dyDescent="0.2">
      <c r="A1122" s="3">
        <v>120</v>
      </c>
      <c r="B1122" s="2">
        <v>52674</v>
      </c>
      <c r="C1122" s="38">
        <v>45072</v>
      </c>
      <c r="D1122" s="1" t="s">
        <v>66</v>
      </c>
      <c r="E1122" s="1" t="s">
        <v>33</v>
      </c>
      <c r="F1122" s="1" t="s">
        <v>199</v>
      </c>
      <c r="G1122" s="5">
        <v>438.95</v>
      </c>
    </row>
    <row r="1123" spans="1:7" x14ac:dyDescent="0.2">
      <c r="A1123" s="3">
        <v>120</v>
      </c>
      <c r="B1123" s="2">
        <v>52864.800000000003</v>
      </c>
      <c r="C1123" s="38">
        <v>44825</v>
      </c>
      <c r="D1123" s="1" t="s">
        <v>66</v>
      </c>
      <c r="E1123" s="1" t="s">
        <v>33</v>
      </c>
      <c r="F1123" s="1" t="s">
        <v>199</v>
      </c>
      <c r="G1123" s="5">
        <v>440.54</v>
      </c>
    </row>
    <row r="1124" spans="1:7" x14ac:dyDescent="0.2">
      <c r="A1124" s="3">
        <v>120</v>
      </c>
      <c r="B1124" s="2">
        <v>52864.800000000003</v>
      </c>
      <c r="C1124" s="38">
        <v>44825</v>
      </c>
      <c r="D1124" s="1" t="s">
        <v>66</v>
      </c>
      <c r="E1124" s="1" t="s">
        <v>33</v>
      </c>
      <c r="F1124" s="1" t="s">
        <v>199</v>
      </c>
      <c r="G1124" s="5">
        <v>440.54</v>
      </c>
    </row>
    <row r="1125" spans="1:7" x14ac:dyDescent="0.2">
      <c r="A1125" s="3">
        <v>120</v>
      </c>
      <c r="B1125" s="2">
        <v>52864.800000000003</v>
      </c>
      <c r="C1125" s="38">
        <v>44825</v>
      </c>
      <c r="D1125" s="1" t="s">
        <v>66</v>
      </c>
      <c r="E1125" s="1" t="s">
        <v>33</v>
      </c>
      <c r="F1125" s="1" t="s">
        <v>199</v>
      </c>
      <c r="G1125" s="5">
        <v>440.54</v>
      </c>
    </row>
    <row r="1126" spans="1:7" x14ac:dyDescent="0.2">
      <c r="A1126" s="3">
        <v>120</v>
      </c>
      <c r="B1126" s="2">
        <v>52864.800000000003</v>
      </c>
      <c r="C1126" s="38">
        <v>44825</v>
      </c>
      <c r="D1126" s="1" t="s">
        <v>66</v>
      </c>
      <c r="E1126" s="1" t="s">
        <v>33</v>
      </c>
      <c r="F1126" s="1" t="s">
        <v>199</v>
      </c>
      <c r="G1126" s="5">
        <v>440.54</v>
      </c>
    </row>
    <row r="1127" spans="1:7" x14ac:dyDescent="0.2">
      <c r="A1127" s="3">
        <v>120</v>
      </c>
      <c r="B1127" s="2">
        <v>52864.800000000003</v>
      </c>
      <c r="C1127" s="38">
        <v>44825</v>
      </c>
      <c r="D1127" s="1" t="s">
        <v>66</v>
      </c>
      <c r="E1127" s="1" t="s">
        <v>33</v>
      </c>
      <c r="F1127" s="1" t="s">
        <v>199</v>
      </c>
      <c r="G1127" s="5">
        <v>440.54</v>
      </c>
    </row>
    <row r="1128" spans="1:7" x14ac:dyDescent="0.2">
      <c r="A1128" s="3">
        <v>120</v>
      </c>
      <c r="B1128" s="2">
        <v>52864.800000000003</v>
      </c>
      <c r="C1128" s="38">
        <v>44826</v>
      </c>
      <c r="D1128" s="1" t="s">
        <v>66</v>
      </c>
      <c r="E1128" s="1" t="s">
        <v>33</v>
      </c>
      <c r="F1128" s="1" t="s">
        <v>199</v>
      </c>
      <c r="G1128" s="5">
        <v>440.54</v>
      </c>
    </row>
    <row r="1129" spans="1:7" x14ac:dyDescent="0.2">
      <c r="A1129" s="3">
        <v>120</v>
      </c>
      <c r="B1129" s="2">
        <v>52864.800000000003</v>
      </c>
      <c r="C1129" s="38">
        <v>44826</v>
      </c>
      <c r="D1129" s="1" t="s">
        <v>66</v>
      </c>
      <c r="E1129" s="1" t="s">
        <v>33</v>
      </c>
      <c r="F1129" s="1" t="s">
        <v>199</v>
      </c>
      <c r="G1129" s="5">
        <v>440.54</v>
      </c>
    </row>
    <row r="1130" spans="1:7" x14ac:dyDescent="0.2">
      <c r="A1130" s="3">
        <v>120</v>
      </c>
      <c r="B1130" s="2">
        <v>52864.800000000003</v>
      </c>
      <c r="C1130" s="38">
        <v>44826</v>
      </c>
      <c r="D1130" s="1" t="s">
        <v>66</v>
      </c>
      <c r="E1130" s="1" t="s">
        <v>33</v>
      </c>
      <c r="F1130" s="1" t="s">
        <v>199</v>
      </c>
      <c r="G1130" s="5">
        <v>440.54</v>
      </c>
    </row>
    <row r="1131" spans="1:7" x14ac:dyDescent="0.2">
      <c r="A1131" s="3">
        <v>120</v>
      </c>
      <c r="B1131" s="2">
        <v>52864.800000000003</v>
      </c>
      <c r="C1131" s="38">
        <v>44826</v>
      </c>
      <c r="D1131" s="1" t="s">
        <v>66</v>
      </c>
      <c r="E1131" s="1" t="s">
        <v>33</v>
      </c>
      <c r="F1131" s="1" t="s">
        <v>199</v>
      </c>
      <c r="G1131" s="5">
        <v>440.54</v>
      </c>
    </row>
    <row r="1132" spans="1:7" x14ac:dyDescent="0.2">
      <c r="A1132" s="3">
        <v>120</v>
      </c>
      <c r="B1132" s="2">
        <v>52864.800000000003</v>
      </c>
      <c r="C1132" s="38">
        <v>44826</v>
      </c>
      <c r="D1132" s="1" t="s">
        <v>66</v>
      </c>
      <c r="E1132" s="1" t="s">
        <v>33</v>
      </c>
      <c r="F1132" s="1" t="s">
        <v>199</v>
      </c>
      <c r="G1132" s="5">
        <v>440.54</v>
      </c>
    </row>
    <row r="1133" spans="1:7" x14ac:dyDescent="0.2">
      <c r="A1133" s="3">
        <v>120</v>
      </c>
      <c r="B1133" s="2">
        <v>52864.800000000003</v>
      </c>
      <c r="C1133" s="38">
        <v>44826</v>
      </c>
      <c r="D1133" s="1" t="s">
        <v>66</v>
      </c>
      <c r="E1133" s="1" t="s">
        <v>33</v>
      </c>
      <c r="F1133" s="1" t="s">
        <v>199</v>
      </c>
      <c r="G1133" s="5">
        <v>440.54</v>
      </c>
    </row>
    <row r="1134" spans="1:7" x14ac:dyDescent="0.2">
      <c r="A1134" s="3">
        <v>120</v>
      </c>
      <c r="B1134" s="2">
        <v>52864.800000000003</v>
      </c>
      <c r="C1134" s="38">
        <v>44826</v>
      </c>
      <c r="D1134" s="1" t="s">
        <v>66</v>
      </c>
      <c r="E1134" s="1" t="s">
        <v>33</v>
      </c>
      <c r="F1134" s="1" t="s">
        <v>199</v>
      </c>
      <c r="G1134" s="5">
        <v>440.54</v>
      </c>
    </row>
    <row r="1135" spans="1:7" x14ac:dyDescent="0.2">
      <c r="A1135" s="3">
        <v>120</v>
      </c>
      <c r="B1135" s="2">
        <v>52864.800000000003</v>
      </c>
      <c r="C1135" s="38">
        <v>44826</v>
      </c>
      <c r="D1135" s="1" t="s">
        <v>66</v>
      </c>
      <c r="E1135" s="1" t="s">
        <v>33</v>
      </c>
      <c r="F1135" s="1" t="s">
        <v>199</v>
      </c>
      <c r="G1135" s="5">
        <v>440.54</v>
      </c>
    </row>
    <row r="1136" spans="1:7" x14ac:dyDescent="0.2">
      <c r="A1136" s="3">
        <v>120</v>
      </c>
      <c r="B1136" s="2">
        <v>52864.800000000003</v>
      </c>
      <c r="C1136" s="38">
        <v>44826</v>
      </c>
      <c r="D1136" s="1" t="s">
        <v>66</v>
      </c>
      <c r="E1136" s="1" t="s">
        <v>33</v>
      </c>
      <c r="F1136" s="1" t="s">
        <v>199</v>
      </c>
      <c r="G1136" s="5">
        <v>440.54</v>
      </c>
    </row>
    <row r="1137" spans="1:7" x14ac:dyDescent="0.2">
      <c r="A1137" s="3">
        <v>120</v>
      </c>
      <c r="B1137" s="2">
        <v>52864.800000000003</v>
      </c>
      <c r="C1137" s="38">
        <v>44826</v>
      </c>
      <c r="D1137" s="1" t="s">
        <v>66</v>
      </c>
      <c r="E1137" s="1" t="s">
        <v>33</v>
      </c>
      <c r="F1137" s="1" t="s">
        <v>199</v>
      </c>
      <c r="G1137" s="5">
        <v>440.54</v>
      </c>
    </row>
    <row r="1138" spans="1:7" x14ac:dyDescent="0.2">
      <c r="A1138" s="3">
        <v>120</v>
      </c>
      <c r="B1138" s="2">
        <v>52864.800000000003</v>
      </c>
      <c r="C1138" s="38">
        <v>44866</v>
      </c>
      <c r="D1138" s="1" t="s">
        <v>66</v>
      </c>
      <c r="E1138" s="1" t="s">
        <v>33</v>
      </c>
      <c r="F1138" s="1" t="s">
        <v>199</v>
      </c>
      <c r="G1138" s="5">
        <v>440.54</v>
      </c>
    </row>
    <row r="1139" spans="1:7" x14ac:dyDescent="0.2">
      <c r="A1139" s="3">
        <v>120</v>
      </c>
      <c r="B1139" s="2">
        <v>52864.800000000003</v>
      </c>
      <c r="C1139" s="38">
        <v>44866</v>
      </c>
      <c r="D1139" s="1" t="s">
        <v>66</v>
      </c>
      <c r="E1139" s="1" t="s">
        <v>33</v>
      </c>
      <c r="F1139" s="1" t="s">
        <v>199</v>
      </c>
      <c r="G1139" s="5">
        <v>440.54</v>
      </c>
    </row>
    <row r="1140" spans="1:7" x14ac:dyDescent="0.2">
      <c r="A1140" s="3">
        <v>120</v>
      </c>
      <c r="B1140" s="2">
        <v>52864.800000000003</v>
      </c>
      <c r="C1140" s="38">
        <v>44866</v>
      </c>
      <c r="D1140" s="1" t="s">
        <v>66</v>
      </c>
      <c r="E1140" s="1" t="s">
        <v>33</v>
      </c>
      <c r="F1140" s="1" t="s">
        <v>199</v>
      </c>
      <c r="G1140" s="5">
        <v>440.54</v>
      </c>
    </row>
    <row r="1141" spans="1:7" x14ac:dyDescent="0.2">
      <c r="A1141" s="3">
        <v>120</v>
      </c>
      <c r="B1141" s="2">
        <v>52864.800000000003</v>
      </c>
      <c r="C1141" s="38">
        <v>44866</v>
      </c>
      <c r="D1141" s="1" t="s">
        <v>66</v>
      </c>
      <c r="E1141" s="1" t="s">
        <v>33</v>
      </c>
      <c r="F1141" s="1" t="s">
        <v>199</v>
      </c>
      <c r="G1141" s="5">
        <v>440.54</v>
      </c>
    </row>
    <row r="1142" spans="1:7" x14ac:dyDescent="0.2">
      <c r="A1142" s="3">
        <v>120</v>
      </c>
      <c r="B1142" s="2">
        <v>52864.800000000003</v>
      </c>
      <c r="C1142" s="38">
        <v>44867</v>
      </c>
      <c r="D1142" s="1" t="s">
        <v>66</v>
      </c>
      <c r="E1142" s="1" t="s">
        <v>33</v>
      </c>
      <c r="F1142" s="1" t="s">
        <v>199</v>
      </c>
      <c r="G1142" s="5">
        <v>440.54</v>
      </c>
    </row>
    <row r="1143" spans="1:7" x14ac:dyDescent="0.2">
      <c r="A1143" s="3">
        <v>120</v>
      </c>
      <c r="B1143" s="2">
        <v>52864.800000000003</v>
      </c>
      <c r="C1143" s="38">
        <v>44868</v>
      </c>
      <c r="D1143" s="1" t="s">
        <v>66</v>
      </c>
      <c r="E1143" s="1" t="s">
        <v>33</v>
      </c>
      <c r="F1143" s="1" t="s">
        <v>199</v>
      </c>
      <c r="G1143" s="5">
        <v>440.54</v>
      </c>
    </row>
    <row r="1144" spans="1:7" x14ac:dyDescent="0.2">
      <c r="A1144" s="3">
        <v>120</v>
      </c>
      <c r="B1144" s="2">
        <v>52864.800000000003</v>
      </c>
      <c r="C1144" s="38">
        <v>44868</v>
      </c>
      <c r="D1144" s="1" t="s">
        <v>66</v>
      </c>
      <c r="E1144" s="1" t="s">
        <v>33</v>
      </c>
      <c r="F1144" s="1" t="s">
        <v>199</v>
      </c>
      <c r="G1144" s="5">
        <v>440.54</v>
      </c>
    </row>
    <row r="1145" spans="1:7" x14ac:dyDescent="0.2">
      <c r="A1145" s="3">
        <v>120</v>
      </c>
      <c r="B1145" s="2">
        <v>52864.800000000003</v>
      </c>
      <c r="C1145" s="38">
        <v>44868</v>
      </c>
      <c r="D1145" s="1" t="s">
        <v>66</v>
      </c>
      <c r="E1145" s="1" t="s">
        <v>33</v>
      </c>
      <c r="F1145" s="1" t="s">
        <v>199</v>
      </c>
      <c r="G1145" s="5">
        <v>440.54</v>
      </c>
    </row>
    <row r="1146" spans="1:7" x14ac:dyDescent="0.2">
      <c r="A1146" s="3">
        <v>120</v>
      </c>
      <c r="B1146" s="2">
        <v>52864.800000000003</v>
      </c>
      <c r="C1146" s="38">
        <v>44868</v>
      </c>
      <c r="D1146" s="1" t="s">
        <v>66</v>
      </c>
      <c r="E1146" s="1" t="s">
        <v>33</v>
      </c>
      <c r="F1146" s="1" t="s">
        <v>199</v>
      </c>
      <c r="G1146" s="5">
        <v>440.54</v>
      </c>
    </row>
    <row r="1147" spans="1:7" x14ac:dyDescent="0.2">
      <c r="A1147" s="3">
        <v>120</v>
      </c>
      <c r="B1147" s="2">
        <v>52864.800000000003</v>
      </c>
      <c r="C1147" s="38">
        <v>44875</v>
      </c>
      <c r="D1147" s="1" t="s">
        <v>66</v>
      </c>
      <c r="E1147" s="1" t="s">
        <v>33</v>
      </c>
      <c r="F1147" s="1" t="s">
        <v>199</v>
      </c>
      <c r="G1147" s="5">
        <v>440.54</v>
      </c>
    </row>
    <row r="1148" spans="1:7" x14ac:dyDescent="0.2">
      <c r="A1148" s="3">
        <v>120</v>
      </c>
      <c r="B1148" s="2">
        <v>52864.800000000003</v>
      </c>
      <c r="C1148" s="38">
        <v>44753</v>
      </c>
      <c r="D1148" s="1" t="s">
        <v>66</v>
      </c>
      <c r="E1148" s="1" t="s">
        <v>33</v>
      </c>
      <c r="F1148" s="1" t="s">
        <v>199</v>
      </c>
      <c r="G1148" s="5">
        <v>440.54</v>
      </c>
    </row>
    <row r="1149" spans="1:7" x14ac:dyDescent="0.2">
      <c r="A1149" s="3">
        <v>120</v>
      </c>
      <c r="B1149" s="2">
        <v>52864.800000000003</v>
      </c>
      <c r="C1149" s="38">
        <v>44753</v>
      </c>
      <c r="D1149" s="1" t="s">
        <v>66</v>
      </c>
      <c r="E1149" s="1" t="s">
        <v>33</v>
      </c>
      <c r="F1149" s="1" t="s">
        <v>199</v>
      </c>
      <c r="G1149" s="5">
        <v>440.54</v>
      </c>
    </row>
    <row r="1150" spans="1:7" x14ac:dyDescent="0.2">
      <c r="A1150" s="3">
        <v>120</v>
      </c>
      <c r="B1150" s="2">
        <v>52864.800000000003</v>
      </c>
      <c r="C1150" s="38">
        <v>44753</v>
      </c>
      <c r="D1150" s="1" t="s">
        <v>66</v>
      </c>
      <c r="E1150" s="1" t="s">
        <v>33</v>
      </c>
      <c r="F1150" s="1" t="s">
        <v>199</v>
      </c>
      <c r="G1150" s="5">
        <v>440.54</v>
      </c>
    </row>
    <row r="1151" spans="1:7" x14ac:dyDescent="0.2">
      <c r="A1151" s="3">
        <v>120</v>
      </c>
      <c r="B1151" s="2">
        <v>52864.800000000003</v>
      </c>
      <c r="C1151" s="38">
        <v>44792</v>
      </c>
      <c r="D1151" s="1" t="s">
        <v>66</v>
      </c>
      <c r="E1151" s="1" t="s">
        <v>33</v>
      </c>
      <c r="F1151" s="1" t="s">
        <v>199</v>
      </c>
      <c r="G1151" s="5">
        <v>440.54</v>
      </c>
    </row>
    <row r="1152" spans="1:7" x14ac:dyDescent="0.2">
      <c r="A1152" s="3">
        <v>120</v>
      </c>
      <c r="B1152" s="2">
        <v>52864.800000000003</v>
      </c>
      <c r="C1152" s="38">
        <v>44753</v>
      </c>
      <c r="D1152" s="1" t="s">
        <v>66</v>
      </c>
      <c r="E1152" s="1" t="s">
        <v>33</v>
      </c>
      <c r="F1152" s="1" t="s">
        <v>199</v>
      </c>
      <c r="G1152" s="5">
        <v>440.54</v>
      </c>
    </row>
    <row r="1153" spans="1:7" x14ac:dyDescent="0.2">
      <c r="A1153" s="3">
        <v>120</v>
      </c>
      <c r="B1153" s="2">
        <v>52864.800000000003</v>
      </c>
      <c r="C1153" s="38">
        <v>44854</v>
      </c>
      <c r="D1153" s="1" t="s">
        <v>66</v>
      </c>
      <c r="E1153" s="1" t="s">
        <v>33</v>
      </c>
      <c r="F1153" s="1" t="s">
        <v>199</v>
      </c>
      <c r="G1153" s="5">
        <v>440.54</v>
      </c>
    </row>
    <row r="1154" spans="1:7" x14ac:dyDescent="0.2">
      <c r="A1154" s="3">
        <v>120</v>
      </c>
      <c r="B1154" s="2">
        <v>52864.800000000003</v>
      </c>
      <c r="C1154" s="38">
        <v>44854</v>
      </c>
      <c r="D1154" s="1" t="s">
        <v>66</v>
      </c>
      <c r="E1154" s="1" t="s">
        <v>33</v>
      </c>
      <c r="F1154" s="1" t="s">
        <v>199</v>
      </c>
      <c r="G1154" s="5">
        <v>440.54</v>
      </c>
    </row>
    <row r="1155" spans="1:7" x14ac:dyDescent="0.2">
      <c r="A1155" s="3">
        <v>120</v>
      </c>
      <c r="B1155" s="2">
        <v>52864.800000000003</v>
      </c>
      <c r="C1155" s="38">
        <v>44854</v>
      </c>
      <c r="D1155" s="1" t="s">
        <v>66</v>
      </c>
      <c r="E1155" s="1" t="s">
        <v>33</v>
      </c>
      <c r="F1155" s="1" t="s">
        <v>199</v>
      </c>
      <c r="G1155" s="5">
        <v>440.54</v>
      </c>
    </row>
    <row r="1156" spans="1:7" x14ac:dyDescent="0.2">
      <c r="A1156" s="3">
        <v>120</v>
      </c>
      <c r="B1156" s="2">
        <v>52864.800000000003</v>
      </c>
      <c r="C1156" s="38">
        <v>44914</v>
      </c>
      <c r="D1156" s="1" t="s">
        <v>66</v>
      </c>
      <c r="E1156" s="1" t="s">
        <v>33</v>
      </c>
      <c r="F1156" s="1" t="s">
        <v>199</v>
      </c>
      <c r="G1156" s="5">
        <v>440.54</v>
      </c>
    </row>
    <row r="1157" spans="1:7" x14ac:dyDescent="0.2">
      <c r="A1157" s="3">
        <v>120</v>
      </c>
      <c r="B1157" s="2">
        <v>52674</v>
      </c>
      <c r="C1157" s="38">
        <v>45132</v>
      </c>
      <c r="D1157" s="1" t="s">
        <v>66</v>
      </c>
      <c r="E1157" s="1" t="s">
        <v>33</v>
      </c>
      <c r="F1157" s="1" t="s">
        <v>199</v>
      </c>
      <c r="G1157" s="5">
        <v>438.95</v>
      </c>
    </row>
    <row r="1158" spans="1:7" x14ac:dyDescent="0.2">
      <c r="A1158" s="3">
        <v>120</v>
      </c>
      <c r="B1158" s="2">
        <v>52674</v>
      </c>
      <c r="C1158" s="38">
        <v>45132</v>
      </c>
      <c r="D1158" s="1" t="s">
        <v>66</v>
      </c>
      <c r="E1158" s="1" t="s">
        <v>33</v>
      </c>
      <c r="F1158" s="1" t="s">
        <v>199</v>
      </c>
      <c r="G1158" s="5">
        <v>438.95</v>
      </c>
    </row>
    <row r="1159" spans="1:7" x14ac:dyDescent="0.2">
      <c r="A1159" s="3">
        <v>120</v>
      </c>
      <c r="B1159" s="2">
        <v>52674</v>
      </c>
      <c r="C1159" s="38">
        <v>45132</v>
      </c>
      <c r="D1159" s="1" t="s">
        <v>66</v>
      </c>
      <c r="E1159" s="1" t="s">
        <v>33</v>
      </c>
      <c r="F1159" s="1" t="s">
        <v>199</v>
      </c>
      <c r="G1159" s="5">
        <v>438.95</v>
      </c>
    </row>
    <row r="1160" spans="1:7" x14ac:dyDescent="0.2">
      <c r="A1160" s="3">
        <v>120</v>
      </c>
      <c r="B1160" s="2">
        <v>52674</v>
      </c>
      <c r="C1160" s="38">
        <v>45132</v>
      </c>
      <c r="D1160" s="1" t="s">
        <v>66</v>
      </c>
      <c r="E1160" s="1" t="s">
        <v>33</v>
      </c>
      <c r="F1160" s="1" t="s">
        <v>199</v>
      </c>
      <c r="G1160" s="5">
        <v>438.95</v>
      </c>
    </row>
    <row r="1161" spans="1:7" x14ac:dyDescent="0.2">
      <c r="A1161" s="3">
        <v>120</v>
      </c>
      <c r="B1161" s="2">
        <v>52674</v>
      </c>
      <c r="C1161" s="38">
        <v>45132</v>
      </c>
      <c r="D1161" s="1" t="s">
        <v>66</v>
      </c>
      <c r="E1161" s="1" t="s">
        <v>33</v>
      </c>
      <c r="F1161" s="1" t="s">
        <v>199</v>
      </c>
      <c r="G1161" s="5">
        <v>438.95</v>
      </c>
    </row>
    <row r="1162" spans="1:7" x14ac:dyDescent="0.2">
      <c r="A1162" s="3">
        <v>120</v>
      </c>
      <c r="B1162" s="2">
        <v>52674</v>
      </c>
      <c r="C1162" s="38">
        <v>45132</v>
      </c>
      <c r="D1162" s="1" t="s">
        <v>66</v>
      </c>
      <c r="E1162" s="1" t="s">
        <v>33</v>
      </c>
      <c r="F1162" s="1" t="s">
        <v>199</v>
      </c>
      <c r="G1162" s="5">
        <v>438.95</v>
      </c>
    </row>
    <row r="1163" spans="1:7" x14ac:dyDescent="0.2">
      <c r="A1163" s="3">
        <v>120</v>
      </c>
      <c r="B1163" s="2">
        <v>52674</v>
      </c>
      <c r="C1163" s="38">
        <v>45132</v>
      </c>
      <c r="D1163" s="1" t="s">
        <v>66</v>
      </c>
      <c r="E1163" s="1" t="s">
        <v>33</v>
      </c>
      <c r="F1163" s="1" t="s">
        <v>199</v>
      </c>
      <c r="G1163" s="5">
        <v>438.95</v>
      </c>
    </row>
    <row r="1164" spans="1:7" x14ac:dyDescent="0.2">
      <c r="A1164" s="3">
        <v>120</v>
      </c>
      <c r="B1164" s="2">
        <v>52674</v>
      </c>
      <c r="C1164" s="38">
        <v>45132</v>
      </c>
      <c r="D1164" s="1" t="s">
        <v>66</v>
      </c>
      <c r="E1164" s="1" t="s">
        <v>33</v>
      </c>
      <c r="F1164" s="1" t="s">
        <v>199</v>
      </c>
      <c r="G1164" s="5">
        <v>438.95</v>
      </c>
    </row>
    <row r="1165" spans="1:7" x14ac:dyDescent="0.2">
      <c r="A1165" s="3">
        <v>120</v>
      </c>
      <c r="B1165" s="2">
        <v>52674</v>
      </c>
      <c r="C1165" s="38">
        <v>45132</v>
      </c>
      <c r="D1165" s="1" t="s">
        <v>66</v>
      </c>
      <c r="E1165" s="1" t="s">
        <v>33</v>
      </c>
      <c r="F1165" s="1" t="s">
        <v>199</v>
      </c>
      <c r="G1165" s="5">
        <v>438.95</v>
      </c>
    </row>
    <row r="1166" spans="1:7" x14ac:dyDescent="0.2">
      <c r="A1166" s="3">
        <v>120</v>
      </c>
      <c r="B1166" s="2">
        <v>52674</v>
      </c>
      <c r="C1166" s="38">
        <v>45132</v>
      </c>
      <c r="D1166" s="1" t="s">
        <v>66</v>
      </c>
      <c r="E1166" s="1" t="s">
        <v>33</v>
      </c>
      <c r="F1166" s="1" t="s">
        <v>199</v>
      </c>
      <c r="G1166" s="5">
        <v>438.95</v>
      </c>
    </row>
    <row r="1167" spans="1:7" x14ac:dyDescent="0.2">
      <c r="A1167" s="3">
        <v>120</v>
      </c>
      <c r="B1167" s="2">
        <v>52674</v>
      </c>
      <c r="C1167" s="38">
        <v>45132</v>
      </c>
      <c r="D1167" s="1" t="s">
        <v>66</v>
      </c>
      <c r="E1167" s="1" t="s">
        <v>33</v>
      </c>
      <c r="F1167" s="1" t="s">
        <v>199</v>
      </c>
      <c r="G1167" s="5">
        <v>438.95</v>
      </c>
    </row>
    <row r="1168" spans="1:7" x14ac:dyDescent="0.2">
      <c r="A1168" s="3">
        <v>120</v>
      </c>
      <c r="B1168" s="2">
        <v>52674</v>
      </c>
      <c r="C1168" s="38">
        <v>45132</v>
      </c>
      <c r="D1168" s="1" t="s">
        <v>66</v>
      </c>
      <c r="E1168" s="1" t="s">
        <v>33</v>
      </c>
      <c r="F1168" s="1" t="s">
        <v>199</v>
      </c>
      <c r="G1168" s="5">
        <v>438.95</v>
      </c>
    </row>
    <row r="1169" spans="1:7" x14ac:dyDescent="0.2">
      <c r="A1169" s="3">
        <v>120</v>
      </c>
      <c r="B1169" s="2">
        <v>52674</v>
      </c>
      <c r="C1169" s="38">
        <v>45132</v>
      </c>
      <c r="D1169" s="1" t="s">
        <v>66</v>
      </c>
      <c r="E1169" s="1" t="s">
        <v>33</v>
      </c>
      <c r="F1169" s="1" t="s">
        <v>199</v>
      </c>
      <c r="G1169" s="5">
        <v>438.95</v>
      </c>
    </row>
    <row r="1170" spans="1:7" x14ac:dyDescent="0.2">
      <c r="A1170" s="3">
        <v>120</v>
      </c>
      <c r="B1170" s="2">
        <v>52674</v>
      </c>
      <c r="C1170" s="38">
        <v>45132</v>
      </c>
      <c r="D1170" s="1" t="s">
        <v>66</v>
      </c>
      <c r="E1170" s="1" t="s">
        <v>33</v>
      </c>
      <c r="F1170" s="1" t="s">
        <v>199</v>
      </c>
      <c r="G1170" s="5">
        <v>438.95</v>
      </c>
    </row>
    <row r="1171" spans="1:7" x14ac:dyDescent="0.2">
      <c r="A1171" s="3">
        <v>120</v>
      </c>
      <c r="B1171" s="2">
        <v>52864.800000000003</v>
      </c>
      <c r="C1171" s="38">
        <v>44806</v>
      </c>
      <c r="D1171" s="1" t="s">
        <v>66</v>
      </c>
      <c r="E1171" s="1" t="s">
        <v>33</v>
      </c>
      <c r="F1171" s="1" t="s">
        <v>199</v>
      </c>
      <c r="G1171" s="5">
        <v>440.54</v>
      </c>
    </row>
    <row r="1172" spans="1:7" x14ac:dyDescent="0.2">
      <c r="A1172" s="3">
        <v>120</v>
      </c>
      <c r="B1172" s="2">
        <v>52864.800000000003</v>
      </c>
      <c r="C1172" s="38">
        <v>44806</v>
      </c>
      <c r="D1172" s="1" t="s">
        <v>66</v>
      </c>
      <c r="E1172" s="1" t="s">
        <v>33</v>
      </c>
      <c r="F1172" s="1" t="s">
        <v>199</v>
      </c>
      <c r="G1172" s="5">
        <v>440.54</v>
      </c>
    </row>
    <row r="1173" spans="1:7" x14ac:dyDescent="0.2">
      <c r="A1173" s="3">
        <v>120</v>
      </c>
      <c r="B1173" s="2">
        <v>52864.800000000003</v>
      </c>
      <c r="C1173" s="38">
        <v>44806</v>
      </c>
      <c r="D1173" s="1" t="s">
        <v>66</v>
      </c>
      <c r="E1173" s="1" t="s">
        <v>33</v>
      </c>
      <c r="F1173" s="1" t="s">
        <v>199</v>
      </c>
      <c r="G1173" s="5">
        <v>440.54</v>
      </c>
    </row>
    <row r="1174" spans="1:7" x14ac:dyDescent="0.2">
      <c r="A1174" s="3">
        <v>120</v>
      </c>
      <c r="B1174" s="2">
        <v>52864.800000000003</v>
      </c>
      <c r="C1174" s="38">
        <v>44806</v>
      </c>
      <c r="D1174" s="1" t="s">
        <v>66</v>
      </c>
      <c r="E1174" s="1" t="s">
        <v>33</v>
      </c>
      <c r="F1174" s="1" t="s">
        <v>199</v>
      </c>
      <c r="G1174" s="5">
        <v>440.54</v>
      </c>
    </row>
    <row r="1175" spans="1:7" x14ac:dyDescent="0.2">
      <c r="A1175" s="3">
        <v>120</v>
      </c>
      <c r="B1175" s="2">
        <v>52864.800000000003</v>
      </c>
      <c r="C1175" s="38">
        <v>44806</v>
      </c>
      <c r="D1175" s="1" t="s">
        <v>66</v>
      </c>
      <c r="E1175" s="1" t="s">
        <v>33</v>
      </c>
      <c r="F1175" s="1" t="s">
        <v>199</v>
      </c>
      <c r="G1175" s="5">
        <v>440.54</v>
      </c>
    </row>
    <row r="1176" spans="1:7" x14ac:dyDescent="0.2">
      <c r="A1176" s="3">
        <v>120</v>
      </c>
      <c r="B1176" s="2">
        <v>52864.800000000003</v>
      </c>
      <c r="C1176" s="38">
        <v>44806</v>
      </c>
      <c r="D1176" s="1" t="s">
        <v>66</v>
      </c>
      <c r="E1176" s="1" t="s">
        <v>33</v>
      </c>
      <c r="F1176" s="1" t="s">
        <v>199</v>
      </c>
      <c r="G1176" s="5">
        <v>440.54</v>
      </c>
    </row>
    <row r="1177" spans="1:7" x14ac:dyDescent="0.2">
      <c r="A1177" s="3">
        <v>120</v>
      </c>
      <c r="B1177" s="2">
        <v>52864.800000000003</v>
      </c>
      <c r="C1177" s="38">
        <v>44806</v>
      </c>
      <c r="D1177" s="1" t="s">
        <v>66</v>
      </c>
      <c r="E1177" s="1" t="s">
        <v>33</v>
      </c>
      <c r="F1177" s="1" t="s">
        <v>199</v>
      </c>
      <c r="G1177" s="5">
        <v>440.54</v>
      </c>
    </row>
    <row r="1178" spans="1:7" x14ac:dyDescent="0.2">
      <c r="A1178" s="3">
        <v>120</v>
      </c>
      <c r="B1178" s="2">
        <v>52864.800000000003</v>
      </c>
      <c r="C1178" s="38">
        <v>44806</v>
      </c>
      <c r="D1178" s="1" t="s">
        <v>66</v>
      </c>
      <c r="E1178" s="1" t="s">
        <v>33</v>
      </c>
      <c r="F1178" s="1" t="s">
        <v>199</v>
      </c>
      <c r="G1178" s="5">
        <v>440.54</v>
      </c>
    </row>
    <row r="1179" spans="1:7" x14ac:dyDescent="0.2">
      <c r="A1179" s="3">
        <v>120</v>
      </c>
      <c r="B1179" s="2">
        <v>52864.800000000003</v>
      </c>
      <c r="C1179" s="38">
        <v>44806</v>
      </c>
      <c r="D1179" s="1" t="s">
        <v>66</v>
      </c>
      <c r="E1179" s="1" t="s">
        <v>33</v>
      </c>
      <c r="F1179" s="1" t="s">
        <v>199</v>
      </c>
      <c r="G1179" s="5">
        <v>440.54</v>
      </c>
    </row>
    <row r="1180" spans="1:7" x14ac:dyDescent="0.2">
      <c r="A1180" s="3">
        <v>120</v>
      </c>
      <c r="B1180" s="2">
        <v>52864.800000000003</v>
      </c>
      <c r="C1180" s="38">
        <v>44806</v>
      </c>
      <c r="D1180" s="1" t="s">
        <v>66</v>
      </c>
      <c r="E1180" s="1" t="s">
        <v>33</v>
      </c>
      <c r="F1180" s="1" t="s">
        <v>199</v>
      </c>
      <c r="G1180" s="5">
        <v>440.54</v>
      </c>
    </row>
    <row r="1181" spans="1:7" x14ac:dyDescent="0.2">
      <c r="A1181" s="3">
        <v>70</v>
      </c>
      <c r="B1181" s="2">
        <v>29066.1</v>
      </c>
      <c r="C1181" s="38">
        <v>44985</v>
      </c>
      <c r="D1181" s="1" t="s">
        <v>72</v>
      </c>
      <c r="E1181" s="1" t="s">
        <v>33</v>
      </c>
      <c r="F1181" s="1" t="s">
        <v>199</v>
      </c>
      <c r="G1181" s="5">
        <v>415.23</v>
      </c>
    </row>
    <row r="1182" spans="1:7" x14ac:dyDescent="0.2">
      <c r="A1182" s="3">
        <v>70</v>
      </c>
      <c r="B1182" s="2">
        <v>29066.1</v>
      </c>
      <c r="C1182" s="38">
        <v>44985</v>
      </c>
      <c r="D1182" s="1" t="s">
        <v>72</v>
      </c>
      <c r="E1182" s="1" t="s">
        <v>33</v>
      </c>
      <c r="F1182" s="1" t="s">
        <v>199</v>
      </c>
      <c r="G1182" s="5">
        <v>415.23</v>
      </c>
    </row>
    <row r="1183" spans="1:7" x14ac:dyDescent="0.2">
      <c r="A1183" s="3">
        <v>70</v>
      </c>
      <c r="B1183" s="2">
        <v>29066.1</v>
      </c>
      <c r="C1183" s="38">
        <v>44985</v>
      </c>
      <c r="D1183" s="1" t="s">
        <v>72</v>
      </c>
      <c r="E1183" s="1" t="s">
        <v>33</v>
      </c>
      <c r="F1183" s="1" t="s">
        <v>199</v>
      </c>
      <c r="G1183" s="5">
        <v>415.23</v>
      </c>
    </row>
    <row r="1184" spans="1:7" x14ac:dyDescent="0.2">
      <c r="A1184" s="3">
        <v>70</v>
      </c>
      <c r="B1184" s="2">
        <v>29066.1</v>
      </c>
      <c r="C1184" s="38">
        <v>44985</v>
      </c>
      <c r="D1184" s="1" t="s">
        <v>72</v>
      </c>
      <c r="E1184" s="1" t="s">
        <v>33</v>
      </c>
      <c r="F1184" s="1" t="s">
        <v>199</v>
      </c>
      <c r="G1184" s="5">
        <v>415.23</v>
      </c>
    </row>
    <row r="1185" spans="1:7" x14ac:dyDescent="0.2">
      <c r="A1185" s="3">
        <v>70</v>
      </c>
      <c r="B1185" s="2">
        <v>29066.1</v>
      </c>
      <c r="C1185" s="38">
        <v>44985</v>
      </c>
      <c r="D1185" s="1" t="s">
        <v>72</v>
      </c>
      <c r="E1185" s="1" t="s">
        <v>33</v>
      </c>
      <c r="F1185" s="1" t="s">
        <v>199</v>
      </c>
      <c r="G1185" s="5">
        <v>415.23</v>
      </c>
    </row>
    <row r="1186" spans="1:7" x14ac:dyDescent="0.2">
      <c r="A1186" s="3">
        <v>70</v>
      </c>
      <c r="B1186" s="2">
        <v>29066.1</v>
      </c>
      <c r="C1186" s="38">
        <v>44985</v>
      </c>
      <c r="D1186" s="1" t="s">
        <v>72</v>
      </c>
      <c r="E1186" s="1" t="s">
        <v>33</v>
      </c>
      <c r="F1186" s="1" t="s">
        <v>199</v>
      </c>
      <c r="G1186" s="5">
        <v>415.23</v>
      </c>
    </row>
    <row r="1187" spans="1:7" x14ac:dyDescent="0.2">
      <c r="A1187" s="3">
        <v>70</v>
      </c>
      <c r="B1187" s="2">
        <v>29066.1</v>
      </c>
      <c r="C1187" s="38">
        <v>44985</v>
      </c>
      <c r="D1187" s="1" t="s">
        <v>72</v>
      </c>
      <c r="E1187" s="1" t="s">
        <v>33</v>
      </c>
      <c r="F1187" s="1" t="s">
        <v>199</v>
      </c>
      <c r="G1187" s="5">
        <v>415.23</v>
      </c>
    </row>
    <row r="1188" spans="1:7" x14ac:dyDescent="0.2">
      <c r="A1188" s="3">
        <v>70</v>
      </c>
      <c r="B1188" s="2">
        <v>29066.1</v>
      </c>
      <c r="C1188" s="38">
        <v>44985</v>
      </c>
      <c r="D1188" s="1" t="s">
        <v>72</v>
      </c>
      <c r="E1188" s="1" t="s">
        <v>33</v>
      </c>
      <c r="F1188" s="1" t="s">
        <v>199</v>
      </c>
      <c r="G1188" s="5">
        <v>415.23</v>
      </c>
    </row>
    <row r="1189" spans="1:7" x14ac:dyDescent="0.2">
      <c r="A1189" s="3">
        <v>70</v>
      </c>
      <c r="B1189" s="2">
        <v>29066.1</v>
      </c>
      <c r="C1189" s="38">
        <v>44985</v>
      </c>
      <c r="D1189" s="1" t="s">
        <v>72</v>
      </c>
      <c r="E1189" s="1" t="s">
        <v>33</v>
      </c>
      <c r="F1189" s="1" t="s">
        <v>199</v>
      </c>
      <c r="G1189" s="5">
        <v>415.23</v>
      </c>
    </row>
    <row r="1190" spans="1:7" x14ac:dyDescent="0.2">
      <c r="A1190" s="3">
        <v>70</v>
      </c>
      <c r="B1190" s="2">
        <v>29066.1</v>
      </c>
      <c r="C1190" s="38">
        <v>44985</v>
      </c>
      <c r="D1190" s="1" t="s">
        <v>72</v>
      </c>
      <c r="E1190" s="1" t="s">
        <v>33</v>
      </c>
      <c r="F1190" s="1" t="s">
        <v>199</v>
      </c>
      <c r="G1190" s="5">
        <v>415.23</v>
      </c>
    </row>
    <row r="1191" spans="1:7" x14ac:dyDescent="0.2">
      <c r="A1191" s="3">
        <v>70</v>
      </c>
      <c r="B1191" s="2">
        <v>30020.2</v>
      </c>
      <c r="C1191" s="38">
        <v>44940</v>
      </c>
      <c r="D1191" s="1" t="s">
        <v>73</v>
      </c>
      <c r="E1191" s="1" t="s">
        <v>33</v>
      </c>
      <c r="F1191" s="1" t="s">
        <v>199</v>
      </c>
      <c r="G1191" s="5">
        <v>428.86</v>
      </c>
    </row>
    <row r="1192" spans="1:7" x14ac:dyDescent="0.2">
      <c r="A1192" s="3">
        <v>70</v>
      </c>
      <c r="B1192" s="2">
        <v>26859</v>
      </c>
      <c r="C1192" s="38">
        <v>44940</v>
      </c>
      <c r="D1192" s="1" t="s">
        <v>74</v>
      </c>
      <c r="E1192" s="1" t="s">
        <v>33</v>
      </c>
      <c r="F1192" s="1" t="s">
        <v>199</v>
      </c>
      <c r="G1192" s="5">
        <v>383.7</v>
      </c>
    </row>
    <row r="1193" spans="1:7" x14ac:dyDescent="0.2">
      <c r="A1193" s="3">
        <v>70</v>
      </c>
      <c r="B1193" s="2">
        <v>29066.1</v>
      </c>
      <c r="C1193" s="38">
        <v>44985</v>
      </c>
      <c r="D1193" s="1" t="s">
        <v>72</v>
      </c>
      <c r="E1193" s="1" t="s">
        <v>33</v>
      </c>
      <c r="F1193" s="1" t="s">
        <v>199</v>
      </c>
      <c r="G1193" s="5">
        <v>415.23</v>
      </c>
    </row>
    <row r="1194" spans="1:7" x14ac:dyDescent="0.2">
      <c r="A1194" s="3">
        <v>70</v>
      </c>
      <c r="B1194" s="2">
        <v>26859</v>
      </c>
      <c r="C1194" s="38">
        <v>44985</v>
      </c>
      <c r="D1194" s="1" t="s">
        <v>74</v>
      </c>
      <c r="E1194" s="1" t="s">
        <v>33</v>
      </c>
      <c r="F1194" s="1" t="s">
        <v>199</v>
      </c>
      <c r="G1194" s="5">
        <v>383.7</v>
      </c>
    </row>
    <row r="1195" spans="1:7" x14ac:dyDescent="0.2">
      <c r="A1195" s="3">
        <v>70</v>
      </c>
      <c r="B1195" s="2">
        <v>26859</v>
      </c>
      <c r="C1195" s="38">
        <v>44985</v>
      </c>
      <c r="D1195" s="1" t="s">
        <v>74</v>
      </c>
      <c r="E1195" s="1" t="s">
        <v>33</v>
      </c>
      <c r="F1195" s="1" t="s">
        <v>199</v>
      </c>
      <c r="G1195" s="5">
        <v>383.7</v>
      </c>
    </row>
    <row r="1196" spans="1:7" x14ac:dyDescent="0.2">
      <c r="A1196" s="3">
        <v>70</v>
      </c>
      <c r="B1196" s="2">
        <v>26859</v>
      </c>
      <c r="C1196" s="38">
        <v>44985</v>
      </c>
      <c r="D1196" s="1" t="s">
        <v>74</v>
      </c>
      <c r="E1196" s="1" t="s">
        <v>33</v>
      </c>
      <c r="F1196" s="1" t="s">
        <v>199</v>
      </c>
      <c r="G1196" s="5">
        <v>383.7</v>
      </c>
    </row>
    <row r="1197" spans="1:7" x14ac:dyDescent="0.2">
      <c r="A1197" s="3">
        <v>70</v>
      </c>
      <c r="B1197" s="2">
        <v>29066.1</v>
      </c>
      <c r="C1197" s="38">
        <v>44940</v>
      </c>
      <c r="D1197" s="1" t="s">
        <v>72</v>
      </c>
      <c r="E1197" s="1" t="s">
        <v>33</v>
      </c>
      <c r="F1197" s="1" t="s">
        <v>199</v>
      </c>
      <c r="G1197" s="5">
        <v>415.23</v>
      </c>
    </row>
    <row r="1198" spans="1:7" x14ac:dyDescent="0.2">
      <c r="A1198" s="3">
        <v>70</v>
      </c>
      <c r="B1198" s="2">
        <v>30020.2</v>
      </c>
      <c r="C1198" s="38">
        <v>44940</v>
      </c>
      <c r="D1198" s="1" t="s">
        <v>73</v>
      </c>
      <c r="E1198" s="1" t="s">
        <v>33</v>
      </c>
      <c r="F1198" s="1" t="s">
        <v>199</v>
      </c>
      <c r="G1198" s="5">
        <v>428.86</v>
      </c>
    </row>
    <row r="1199" spans="1:7" x14ac:dyDescent="0.2">
      <c r="A1199" s="3">
        <v>70</v>
      </c>
      <c r="B1199" s="2">
        <v>30020.2</v>
      </c>
      <c r="C1199" s="38">
        <v>44940</v>
      </c>
      <c r="D1199" s="1" t="s">
        <v>73</v>
      </c>
      <c r="E1199" s="1" t="s">
        <v>33</v>
      </c>
      <c r="F1199" s="1" t="s">
        <v>199</v>
      </c>
      <c r="G1199" s="5">
        <v>428.86</v>
      </c>
    </row>
    <row r="1200" spans="1:7" x14ac:dyDescent="0.2">
      <c r="A1200" s="3">
        <v>70</v>
      </c>
      <c r="B1200" s="2">
        <v>30020.2</v>
      </c>
      <c r="C1200" s="38">
        <v>44940</v>
      </c>
      <c r="D1200" s="1" t="s">
        <v>73</v>
      </c>
      <c r="E1200" s="1" t="s">
        <v>33</v>
      </c>
      <c r="F1200" s="1" t="s">
        <v>199</v>
      </c>
      <c r="G1200" s="5">
        <v>428.86</v>
      </c>
    </row>
    <row r="1201" spans="1:7" x14ac:dyDescent="0.2">
      <c r="A1201" s="3">
        <v>70</v>
      </c>
      <c r="B1201" s="2">
        <v>30020.2</v>
      </c>
      <c r="C1201" s="38">
        <v>44940</v>
      </c>
      <c r="D1201" s="1" t="s">
        <v>73</v>
      </c>
      <c r="E1201" s="1" t="s">
        <v>33</v>
      </c>
      <c r="F1201" s="1" t="s">
        <v>199</v>
      </c>
      <c r="G1201" s="5">
        <v>428.86</v>
      </c>
    </row>
    <row r="1202" spans="1:7" x14ac:dyDescent="0.2">
      <c r="A1202" s="3">
        <v>70</v>
      </c>
      <c r="B1202" s="2">
        <v>26859</v>
      </c>
      <c r="C1202" s="38">
        <v>44940</v>
      </c>
      <c r="D1202" s="1" t="s">
        <v>74</v>
      </c>
      <c r="E1202" s="1" t="s">
        <v>33</v>
      </c>
      <c r="F1202" s="1" t="s">
        <v>199</v>
      </c>
      <c r="G1202" s="5">
        <v>383.7</v>
      </c>
    </row>
    <row r="1203" spans="1:7" x14ac:dyDescent="0.2">
      <c r="A1203" s="3">
        <v>70</v>
      </c>
      <c r="B1203" s="2">
        <v>26859</v>
      </c>
      <c r="C1203" s="38">
        <v>45000</v>
      </c>
      <c r="D1203" s="1" t="s">
        <v>74</v>
      </c>
      <c r="E1203" s="1" t="s">
        <v>33</v>
      </c>
      <c r="F1203" s="1" t="s">
        <v>199</v>
      </c>
      <c r="G1203" s="5">
        <v>383.7</v>
      </c>
    </row>
    <row r="1204" spans="1:7" x14ac:dyDescent="0.2">
      <c r="A1204" s="3">
        <v>70</v>
      </c>
      <c r="B1204" s="2">
        <v>26859</v>
      </c>
      <c r="C1204" s="38">
        <v>45000</v>
      </c>
      <c r="D1204" s="1" t="s">
        <v>74</v>
      </c>
      <c r="E1204" s="1" t="s">
        <v>33</v>
      </c>
      <c r="F1204" s="1" t="s">
        <v>199</v>
      </c>
      <c r="G1204" s="5">
        <v>383.7</v>
      </c>
    </row>
    <row r="1205" spans="1:7" x14ac:dyDescent="0.2">
      <c r="A1205" s="3">
        <v>70</v>
      </c>
      <c r="B1205" s="2">
        <v>26859</v>
      </c>
      <c r="C1205" s="38">
        <v>45049</v>
      </c>
      <c r="D1205" s="1" t="s">
        <v>74</v>
      </c>
      <c r="E1205" s="1" t="s">
        <v>33</v>
      </c>
      <c r="F1205" s="1" t="s">
        <v>199</v>
      </c>
      <c r="G1205" s="5">
        <v>383.7</v>
      </c>
    </row>
    <row r="1206" spans="1:7" x14ac:dyDescent="0.2">
      <c r="A1206" s="3">
        <v>70</v>
      </c>
      <c r="B1206" s="2">
        <v>30020.2</v>
      </c>
      <c r="C1206" s="38">
        <v>44950</v>
      </c>
      <c r="D1206" s="1" t="s">
        <v>73</v>
      </c>
      <c r="E1206" s="1" t="s">
        <v>33</v>
      </c>
      <c r="F1206" s="1" t="s">
        <v>199</v>
      </c>
      <c r="G1206" s="5">
        <v>428.86</v>
      </c>
    </row>
    <row r="1207" spans="1:7" x14ac:dyDescent="0.2">
      <c r="A1207" s="3">
        <v>70</v>
      </c>
      <c r="B1207" s="2">
        <v>30020.2</v>
      </c>
      <c r="C1207" s="38">
        <v>44950</v>
      </c>
      <c r="D1207" s="1" t="s">
        <v>73</v>
      </c>
      <c r="E1207" s="1" t="s">
        <v>33</v>
      </c>
      <c r="F1207" s="1" t="s">
        <v>199</v>
      </c>
      <c r="G1207" s="5">
        <v>428.86</v>
      </c>
    </row>
    <row r="1208" spans="1:7" x14ac:dyDescent="0.2">
      <c r="A1208" s="3">
        <v>70</v>
      </c>
      <c r="B1208" s="2">
        <v>29066.1</v>
      </c>
      <c r="C1208" s="38">
        <v>44952</v>
      </c>
      <c r="D1208" s="1" t="s">
        <v>72</v>
      </c>
      <c r="E1208" s="1" t="s">
        <v>33</v>
      </c>
      <c r="F1208" s="1" t="s">
        <v>199</v>
      </c>
      <c r="G1208" s="5">
        <v>415.23</v>
      </c>
    </row>
    <row r="1209" spans="1:7" x14ac:dyDescent="0.2">
      <c r="A1209" s="3">
        <v>70</v>
      </c>
      <c r="B1209" s="2">
        <v>30020.2</v>
      </c>
      <c r="C1209" s="38">
        <v>44952</v>
      </c>
      <c r="D1209" s="1" t="s">
        <v>73</v>
      </c>
      <c r="E1209" s="1" t="s">
        <v>33</v>
      </c>
      <c r="F1209" s="1" t="s">
        <v>199</v>
      </c>
      <c r="G1209" s="5">
        <v>428.86</v>
      </c>
    </row>
    <row r="1210" spans="1:7" x14ac:dyDescent="0.2">
      <c r="A1210" s="3">
        <v>70</v>
      </c>
      <c r="B1210" s="2">
        <v>30020.2</v>
      </c>
      <c r="C1210" s="38">
        <v>44952</v>
      </c>
      <c r="D1210" s="1" t="s">
        <v>73</v>
      </c>
      <c r="E1210" s="1" t="s">
        <v>33</v>
      </c>
      <c r="F1210" s="1" t="s">
        <v>199</v>
      </c>
      <c r="G1210" s="5">
        <v>428.86</v>
      </c>
    </row>
    <row r="1211" spans="1:7" x14ac:dyDescent="0.2">
      <c r="A1211" s="3">
        <v>70</v>
      </c>
      <c r="B1211" s="2">
        <v>29066.1</v>
      </c>
      <c r="C1211" s="38">
        <v>44956</v>
      </c>
      <c r="D1211" s="1" t="s">
        <v>72</v>
      </c>
      <c r="E1211" s="1" t="s">
        <v>33</v>
      </c>
      <c r="F1211" s="1" t="s">
        <v>199</v>
      </c>
      <c r="G1211" s="5">
        <v>415.23</v>
      </c>
    </row>
    <row r="1212" spans="1:7" x14ac:dyDescent="0.2">
      <c r="A1212" s="3">
        <v>70</v>
      </c>
      <c r="B1212" s="2">
        <v>29066.1</v>
      </c>
      <c r="C1212" s="38">
        <v>44956</v>
      </c>
      <c r="D1212" s="1" t="s">
        <v>72</v>
      </c>
      <c r="E1212" s="1" t="s">
        <v>33</v>
      </c>
      <c r="F1212" s="1" t="s">
        <v>199</v>
      </c>
      <c r="G1212" s="5">
        <v>415.23</v>
      </c>
    </row>
    <row r="1213" spans="1:7" x14ac:dyDescent="0.2">
      <c r="A1213" s="3">
        <v>70</v>
      </c>
      <c r="B1213" s="2">
        <v>29066.1</v>
      </c>
      <c r="C1213" s="38">
        <v>44956</v>
      </c>
      <c r="D1213" s="1" t="s">
        <v>72</v>
      </c>
      <c r="E1213" s="1" t="s">
        <v>33</v>
      </c>
      <c r="F1213" s="1" t="s">
        <v>199</v>
      </c>
      <c r="G1213" s="5">
        <v>415.23</v>
      </c>
    </row>
    <row r="1214" spans="1:7" x14ac:dyDescent="0.2">
      <c r="A1214" s="3">
        <v>70</v>
      </c>
      <c r="B1214" s="2">
        <v>30020.2</v>
      </c>
      <c r="C1214" s="38">
        <v>44959</v>
      </c>
      <c r="D1214" s="1" t="s">
        <v>73</v>
      </c>
      <c r="E1214" s="1" t="s">
        <v>33</v>
      </c>
      <c r="F1214" s="1" t="s">
        <v>199</v>
      </c>
      <c r="G1214" s="5">
        <v>428.86</v>
      </c>
    </row>
    <row r="1215" spans="1:7" x14ac:dyDescent="0.2">
      <c r="A1215" s="3">
        <v>70</v>
      </c>
      <c r="B1215" s="2">
        <v>30020.2</v>
      </c>
      <c r="C1215" s="38">
        <v>44970</v>
      </c>
      <c r="D1215" s="1" t="s">
        <v>73</v>
      </c>
      <c r="E1215" s="1" t="s">
        <v>33</v>
      </c>
      <c r="F1215" s="1" t="s">
        <v>199</v>
      </c>
      <c r="G1215" s="5">
        <v>428.86</v>
      </c>
    </row>
    <row r="1216" spans="1:7" x14ac:dyDescent="0.2">
      <c r="A1216" s="3">
        <v>70</v>
      </c>
      <c r="B1216" s="2">
        <v>30020.2</v>
      </c>
      <c r="C1216" s="38">
        <v>44978</v>
      </c>
      <c r="D1216" s="1" t="s">
        <v>73</v>
      </c>
      <c r="E1216" s="1" t="s">
        <v>33</v>
      </c>
      <c r="F1216" s="1" t="s">
        <v>199</v>
      </c>
      <c r="G1216" s="5">
        <v>428.86</v>
      </c>
    </row>
    <row r="1217" spans="1:7" x14ac:dyDescent="0.2">
      <c r="A1217" s="3">
        <v>70</v>
      </c>
      <c r="B1217" s="2">
        <v>26859</v>
      </c>
      <c r="C1217" s="38">
        <v>45041</v>
      </c>
      <c r="D1217" s="1" t="s">
        <v>74</v>
      </c>
      <c r="E1217" s="1" t="s">
        <v>33</v>
      </c>
      <c r="F1217" s="1" t="s">
        <v>199</v>
      </c>
      <c r="G1217" s="5">
        <v>383.7</v>
      </c>
    </row>
    <row r="1218" spans="1:7" x14ac:dyDescent="0.2">
      <c r="A1218" s="3">
        <v>70</v>
      </c>
      <c r="B1218" s="2">
        <v>25338.6</v>
      </c>
      <c r="C1218" s="38">
        <v>44981</v>
      </c>
      <c r="D1218" s="1" t="s">
        <v>74</v>
      </c>
      <c r="E1218" s="1" t="s">
        <v>33</v>
      </c>
      <c r="F1218" s="1" t="s">
        <v>199</v>
      </c>
      <c r="G1218" s="5">
        <v>361.98</v>
      </c>
    </row>
    <row r="1219" spans="1:7" x14ac:dyDescent="0.2">
      <c r="A1219" s="3">
        <v>70</v>
      </c>
      <c r="B1219" s="2">
        <v>29066.1</v>
      </c>
      <c r="C1219" s="38">
        <v>44985</v>
      </c>
      <c r="D1219" s="1" t="s">
        <v>72</v>
      </c>
      <c r="E1219" s="1" t="s">
        <v>33</v>
      </c>
      <c r="F1219" s="1" t="s">
        <v>199</v>
      </c>
      <c r="G1219" s="5">
        <v>415.23</v>
      </c>
    </row>
    <row r="1220" spans="1:7" x14ac:dyDescent="0.2">
      <c r="A1220" s="3">
        <v>70</v>
      </c>
      <c r="B1220" s="2">
        <v>30020.2</v>
      </c>
      <c r="C1220" s="38">
        <v>45142</v>
      </c>
      <c r="D1220" s="1" t="s">
        <v>73</v>
      </c>
      <c r="E1220" s="1" t="s">
        <v>33</v>
      </c>
      <c r="F1220" s="1" t="s">
        <v>199</v>
      </c>
      <c r="G1220" s="5">
        <v>428.86</v>
      </c>
    </row>
    <row r="1221" spans="1:7" x14ac:dyDescent="0.2">
      <c r="A1221" s="3">
        <v>70</v>
      </c>
      <c r="B1221" s="2">
        <v>30020.2</v>
      </c>
      <c r="C1221" s="38">
        <v>45155</v>
      </c>
      <c r="D1221" s="1" t="s">
        <v>73</v>
      </c>
      <c r="E1221" s="1" t="s">
        <v>33</v>
      </c>
      <c r="F1221" s="1" t="s">
        <v>199</v>
      </c>
      <c r="G1221" s="5">
        <v>428.86</v>
      </c>
    </row>
    <row r="1222" spans="1:7" x14ac:dyDescent="0.2">
      <c r="A1222" s="3">
        <v>70</v>
      </c>
      <c r="B1222" s="2">
        <v>30020.2</v>
      </c>
      <c r="C1222" s="38">
        <v>45155</v>
      </c>
      <c r="D1222" s="1" t="s">
        <v>73</v>
      </c>
      <c r="E1222" s="1" t="s">
        <v>33</v>
      </c>
      <c r="F1222" s="1" t="s">
        <v>199</v>
      </c>
      <c r="G1222" s="5">
        <v>428.86</v>
      </c>
    </row>
    <row r="1223" spans="1:7" x14ac:dyDescent="0.2">
      <c r="A1223" s="3">
        <v>70</v>
      </c>
      <c r="B1223" s="2">
        <v>30020.2</v>
      </c>
      <c r="C1223" s="38">
        <v>45155</v>
      </c>
      <c r="D1223" s="1" t="s">
        <v>73</v>
      </c>
      <c r="E1223" s="1" t="s">
        <v>33</v>
      </c>
      <c r="F1223" s="1" t="s">
        <v>199</v>
      </c>
      <c r="G1223" s="5">
        <v>428.86</v>
      </c>
    </row>
    <row r="1224" spans="1:7" x14ac:dyDescent="0.2">
      <c r="A1224" s="3">
        <v>70</v>
      </c>
      <c r="B1224" s="2">
        <v>48690.6</v>
      </c>
      <c r="C1224" s="38">
        <v>45155</v>
      </c>
      <c r="D1224" s="1" t="s">
        <v>76</v>
      </c>
      <c r="E1224" s="1" t="s">
        <v>33</v>
      </c>
      <c r="F1224" s="1" t="s">
        <v>199</v>
      </c>
      <c r="G1224" s="5">
        <v>695.58</v>
      </c>
    </row>
    <row r="1225" spans="1:7" x14ac:dyDescent="0.2">
      <c r="A1225" s="3">
        <v>70</v>
      </c>
      <c r="B1225" s="2">
        <v>48690.6</v>
      </c>
      <c r="C1225" s="38">
        <v>45155</v>
      </c>
      <c r="D1225" s="1" t="s">
        <v>76</v>
      </c>
      <c r="E1225" s="1" t="s">
        <v>33</v>
      </c>
      <c r="F1225" s="1" t="s">
        <v>199</v>
      </c>
      <c r="G1225" s="5">
        <v>695.58</v>
      </c>
    </row>
    <row r="1226" spans="1:7" x14ac:dyDescent="0.2">
      <c r="A1226" s="3">
        <v>70</v>
      </c>
      <c r="B1226" s="2">
        <v>48690.6</v>
      </c>
      <c r="C1226" s="38">
        <v>45155</v>
      </c>
      <c r="D1226" s="1" t="s">
        <v>76</v>
      </c>
      <c r="E1226" s="1" t="s">
        <v>33</v>
      </c>
      <c r="F1226" s="1" t="s">
        <v>199</v>
      </c>
      <c r="G1226" s="5">
        <v>695.58</v>
      </c>
    </row>
    <row r="1227" spans="1:7" x14ac:dyDescent="0.2">
      <c r="A1227" s="3">
        <v>70</v>
      </c>
      <c r="B1227" s="2">
        <v>48690.6</v>
      </c>
      <c r="C1227" s="38">
        <v>45155</v>
      </c>
      <c r="D1227" s="1" t="s">
        <v>76</v>
      </c>
      <c r="E1227" s="1" t="s">
        <v>33</v>
      </c>
      <c r="F1227" s="1" t="s">
        <v>199</v>
      </c>
      <c r="G1227" s="5">
        <v>695.58</v>
      </c>
    </row>
    <row r="1228" spans="1:7" x14ac:dyDescent="0.2">
      <c r="A1228" s="3">
        <v>70</v>
      </c>
      <c r="B1228" s="2">
        <v>48690.6</v>
      </c>
      <c r="C1228" s="38">
        <v>45155</v>
      </c>
      <c r="D1228" s="1" t="s">
        <v>76</v>
      </c>
      <c r="E1228" s="1" t="s">
        <v>33</v>
      </c>
      <c r="F1228" s="1" t="s">
        <v>199</v>
      </c>
      <c r="G1228" s="5">
        <v>695.58</v>
      </c>
    </row>
    <row r="1229" spans="1:7" x14ac:dyDescent="0.2">
      <c r="A1229" s="3">
        <v>70</v>
      </c>
      <c r="B1229" s="2">
        <v>48690.6</v>
      </c>
      <c r="C1229" s="38">
        <v>45155</v>
      </c>
      <c r="D1229" s="1" t="s">
        <v>76</v>
      </c>
      <c r="E1229" s="1" t="s">
        <v>33</v>
      </c>
      <c r="F1229" s="1" t="s">
        <v>199</v>
      </c>
      <c r="G1229" s="5">
        <v>695.58</v>
      </c>
    </row>
    <row r="1230" spans="1:7" x14ac:dyDescent="0.2">
      <c r="A1230" s="3">
        <v>70</v>
      </c>
      <c r="B1230" s="2">
        <v>25338.6</v>
      </c>
      <c r="C1230" s="38">
        <v>44847</v>
      </c>
      <c r="D1230" s="1" t="s">
        <v>74</v>
      </c>
      <c r="E1230" s="1" t="s">
        <v>33</v>
      </c>
      <c r="F1230" s="1" t="s">
        <v>199</v>
      </c>
      <c r="G1230" s="5">
        <v>361.98</v>
      </c>
    </row>
    <row r="1231" spans="1:7" x14ac:dyDescent="0.2">
      <c r="A1231" s="3">
        <v>70</v>
      </c>
      <c r="B1231" s="2">
        <v>27421.1</v>
      </c>
      <c r="C1231" s="38">
        <v>44907</v>
      </c>
      <c r="D1231" s="1" t="s">
        <v>72</v>
      </c>
      <c r="E1231" s="1" t="s">
        <v>33</v>
      </c>
      <c r="F1231" s="1" t="s">
        <v>199</v>
      </c>
      <c r="G1231" s="5">
        <v>391.73</v>
      </c>
    </row>
    <row r="1232" spans="1:7" x14ac:dyDescent="0.2">
      <c r="A1232" s="3">
        <v>70</v>
      </c>
      <c r="B1232" s="2">
        <v>25338.6</v>
      </c>
      <c r="C1232" s="38">
        <v>44854</v>
      </c>
      <c r="D1232" s="1" t="s">
        <v>74</v>
      </c>
      <c r="E1232" s="1" t="s">
        <v>33</v>
      </c>
      <c r="F1232" s="1" t="s">
        <v>199</v>
      </c>
      <c r="G1232" s="5">
        <v>361.98</v>
      </c>
    </row>
    <row r="1233" spans="1:7" x14ac:dyDescent="0.2">
      <c r="A1233" s="3">
        <v>70</v>
      </c>
      <c r="B1233" s="2">
        <v>28462</v>
      </c>
      <c r="C1233" s="38">
        <v>44914</v>
      </c>
      <c r="D1233" s="1" t="s">
        <v>73</v>
      </c>
      <c r="E1233" s="1" t="s">
        <v>33</v>
      </c>
      <c r="F1233" s="1" t="s">
        <v>199</v>
      </c>
      <c r="G1233" s="5">
        <v>406.6</v>
      </c>
    </row>
    <row r="1234" spans="1:7" x14ac:dyDescent="0.2">
      <c r="A1234" s="3">
        <v>70</v>
      </c>
      <c r="B1234" s="2">
        <v>28462</v>
      </c>
      <c r="C1234" s="38">
        <v>44914</v>
      </c>
      <c r="D1234" s="1" t="s">
        <v>73</v>
      </c>
      <c r="E1234" s="1" t="s">
        <v>33</v>
      </c>
      <c r="F1234" s="1" t="s">
        <v>199</v>
      </c>
      <c r="G1234" s="5">
        <v>406.6</v>
      </c>
    </row>
    <row r="1235" spans="1:7" x14ac:dyDescent="0.2">
      <c r="A1235" s="3">
        <v>70</v>
      </c>
      <c r="B1235" s="2">
        <v>28462</v>
      </c>
      <c r="C1235" s="38">
        <v>44914</v>
      </c>
      <c r="D1235" s="1" t="s">
        <v>73</v>
      </c>
      <c r="E1235" s="1" t="s">
        <v>33</v>
      </c>
      <c r="F1235" s="1" t="s">
        <v>199</v>
      </c>
      <c r="G1235" s="5">
        <v>406.6</v>
      </c>
    </row>
    <row r="1236" spans="1:7" x14ac:dyDescent="0.2">
      <c r="A1236" s="3">
        <v>70</v>
      </c>
      <c r="B1236" s="2">
        <v>28462</v>
      </c>
      <c r="C1236" s="38">
        <v>44914</v>
      </c>
      <c r="D1236" s="1" t="s">
        <v>73</v>
      </c>
      <c r="E1236" s="1" t="s">
        <v>33</v>
      </c>
      <c r="F1236" s="1" t="s">
        <v>199</v>
      </c>
      <c r="G1236" s="5">
        <v>406.6</v>
      </c>
    </row>
    <row r="1237" spans="1:7" x14ac:dyDescent="0.2">
      <c r="A1237" s="3">
        <v>70</v>
      </c>
      <c r="B1237" s="2">
        <v>28462</v>
      </c>
      <c r="C1237" s="38">
        <v>44914</v>
      </c>
      <c r="D1237" s="1" t="s">
        <v>73</v>
      </c>
      <c r="E1237" s="1" t="s">
        <v>33</v>
      </c>
      <c r="F1237" s="1" t="s">
        <v>199</v>
      </c>
      <c r="G1237" s="5">
        <v>406.6</v>
      </c>
    </row>
    <row r="1238" spans="1:7" x14ac:dyDescent="0.2">
      <c r="A1238" s="3">
        <v>70</v>
      </c>
      <c r="B1238" s="2">
        <v>29066.1</v>
      </c>
      <c r="C1238" s="38">
        <v>45161</v>
      </c>
      <c r="D1238" s="1" t="s">
        <v>72</v>
      </c>
      <c r="E1238" s="1" t="s">
        <v>33</v>
      </c>
      <c r="F1238" s="1" t="s">
        <v>199</v>
      </c>
      <c r="G1238" s="5">
        <v>415.23</v>
      </c>
    </row>
    <row r="1239" spans="1:7" x14ac:dyDescent="0.2">
      <c r="A1239" s="3">
        <v>70</v>
      </c>
      <c r="B1239" s="2">
        <v>29066.1</v>
      </c>
      <c r="C1239" s="38">
        <v>45161</v>
      </c>
      <c r="D1239" s="1" t="s">
        <v>72</v>
      </c>
      <c r="E1239" s="1" t="s">
        <v>33</v>
      </c>
      <c r="F1239" s="1" t="s">
        <v>199</v>
      </c>
      <c r="G1239" s="5">
        <v>415.23</v>
      </c>
    </row>
    <row r="1240" spans="1:7" x14ac:dyDescent="0.2">
      <c r="A1240" s="3">
        <v>70</v>
      </c>
      <c r="B1240" s="2">
        <v>29066.1</v>
      </c>
      <c r="C1240" s="38">
        <v>45161</v>
      </c>
      <c r="D1240" s="1" t="s">
        <v>72</v>
      </c>
      <c r="E1240" s="1" t="s">
        <v>33</v>
      </c>
      <c r="F1240" s="1" t="s">
        <v>199</v>
      </c>
      <c r="G1240" s="5">
        <v>415.23</v>
      </c>
    </row>
    <row r="1241" spans="1:7" x14ac:dyDescent="0.2">
      <c r="A1241" s="3">
        <v>70</v>
      </c>
      <c r="B1241" s="2">
        <v>29066.1</v>
      </c>
      <c r="C1241" s="38">
        <v>45161</v>
      </c>
      <c r="D1241" s="1" t="s">
        <v>72</v>
      </c>
      <c r="E1241" s="1" t="s">
        <v>33</v>
      </c>
      <c r="F1241" s="1" t="s">
        <v>199</v>
      </c>
      <c r="G1241" s="5">
        <v>415.23</v>
      </c>
    </row>
    <row r="1242" spans="1:7" x14ac:dyDescent="0.2">
      <c r="A1242" s="3">
        <v>70</v>
      </c>
      <c r="B1242" s="2">
        <v>29066.1</v>
      </c>
      <c r="C1242" s="38">
        <v>45161</v>
      </c>
      <c r="D1242" s="1" t="s">
        <v>72</v>
      </c>
      <c r="E1242" s="1" t="s">
        <v>33</v>
      </c>
      <c r="F1242" s="1" t="s">
        <v>199</v>
      </c>
      <c r="G1242" s="5">
        <v>415.23</v>
      </c>
    </row>
    <row r="1243" spans="1:7" x14ac:dyDescent="0.2">
      <c r="A1243" s="3">
        <v>70</v>
      </c>
      <c r="B1243" s="2">
        <v>29066.1</v>
      </c>
      <c r="C1243" s="38">
        <v>45161</v>
      </c>
      <c r="D1243" s="1" t="s">
        <v>72</v>
      </c>
      <c r="E1243" s="1" t="s">
        <v>33</v>
      </c>
      <c r="F1243" s="1" t="s">
        <v>199</v>
      </c>
      <c r="G1243" s="5">
        <v>415.23</v>
      </c>
    </row>
    <row r="1244" spans="1:7" x14ac:dyDescent="0.2">
      <c r="A1244" s="3">
        <v>70</v>
      </c>
      <c r="B1244" s="2">
        <v>29066.1</v>
      </c>
      <c r="C1244" s="38">
        <v>45161</v>
      </c>
      <c r="D1244" s="1" t="s">
        <v>72</v>
      </c>
      <c r="E1244" s="1" t="s">
        <v>33</v>
      </c>
      <c r="F1244" s="1" t="s">
        <v>199</v>
      </c>
      <c r="G1244" s="5">
        <v>415.23</v>
      </c>
    </row>
    <row r="1245" spans="1:7" x14ac:dyDescent="0.2">
      <c r="A1245" s="3">
        <v>70</v>
      </c>
      <c r="B1245" s="2">
        <v>30020.2</v>
      </c>
      <c r="C1245" s="38">
        <v>45161</v>
      </c>
      <c r="D1245" s="1" t="s">
        <v>73</v>
      </c>
      <c r="E1245" s="1" t="s">
        <v>33</v>
      </c>
      <c r="F1245" s="1" t="s">
        <v>199</v>
      </c>
      <c r="G1245" s="5">
        <v>428.86</v>
      </c>
    </row>
    <row r="1246" spans="1:7" x14ac:dyDescent="0.2">
      <c r="A1246" s="3">
        <v>70</v>
      </c>
      <c r="B1246" s="2">
        <v>30020.2</v>
      </c>
      <c r="C1246" s="38">
        <v>45161</v>
      </c>
      <c r="D1246" s="1" t="s">
        <v>73</v>
      </c>
      <c r="E1246" s="1" t="s">
        <v>33</v>
      </c>
      <c r="F1246" s="1" t="s">
        <v>199</v>
      </c>
      <c r="G1246" s="5">
        <v>428.86</v>
      </c>
    </row>
    <row r="1247" spans="1:7" x14ac:dyDescent="0.2">
      <c r="A1247" s="3">
        <v>70</v>
      </c>
      <c r="B1247" s="2">
        <v>29066.1</v>
      </c>
      <c r="C1247" s="38">
        <v>45169</v>
      </c>
      <c r="D1247" s="1" t="s">
        <v>72</v>
      </c>
      <c r="E1247" s="1" t="s">
        <v>33</v>
      </c>
      <c r="F1247" s="1" t="s">
        <v>199</v>
      </c>
      <c r="G1247" s="5">
        <v>415.23</v>
      </c>
    </row>
    <row r="1248" spans="1:7" x14ac:dyDescent="0.2">
      <c r="A1248" s="3">
        <v>70</v>
      </c>
      <c r="B1248" s="2">
        <v>29066.1</v>
      </c>
      <c r="C1248" s="38">
        <v>45169</v>
      </c>
      <c r="D1248" s="1" t="s">
        <v>72</v>
      </c>
      <c r="E1248" s="1" t="s">
        <v>33</v>
      </c>
      <c r="F1248" s="1" t="s">
        <v>199</v>
      </c>
      <c r="G1248" s="5">
        <v>415.23</v>
      </c>
    </row>
    <row r="1249" spans="1:7" x14ac:dyDescent="0.2">
      <c r="A1249" s="3">
        <v>70</v>
      </c>
      <c r="B1249" s="2">
        <v>29066.1</v>
      </c>
      <c r="C1249" s="38">
        <v>45169</v>
      </c>
      <c r="D1249" s="1" t="s">
        <v>72</v>
      </c>
      <c r="E1249" s="1" t="s">
        <v>33</v>
      </c>
      <c r="F1249" s="1" t="s">
        <v>199</v>
      </c>
      <c r="G1249" s="5">
        <v>415.23</v>
      </c>
    </row>
    <row r="1250" spans="1:7" x14ac:dyDescent="0.2">
      <c r="A1250" s="3">
        <v>70</v>
      </c>
      <c r="B1250" s="2">
        <v>29066.1</v>
      </c>
      <c r="C1250" s="38">
        <v>45169</v>
      </c>
      <c r="D1250" s="1" t="s">
        <v>72</v>
      </c>
      <c r="E1250" s="1" t="s">
        <v>33</v>
      </c>
      <c r="F1250" s="1" t="s">
        <v>199</v>
      </c>
      <c r="G1250" s="5">
        <v>415.23</v>
      </c>
    </row>
    <row r="1251" spans="1:7" x14ac:dyDescent="0.2">
      <c r="A1251" s="3">
        <v>70</v>
      </c>
      <c r="B1251" s="2">
        <v>30020.2</v>
      </c>
      <c r="C1251" s="38">
        <v>45169</v>
      </c>
      <c r="D1251" s="1" t="s">
        <v>73</v>
      </c>
      <c r="E1251" s="1" t="s">
        <v>33</v>
      </c>
      <c r="F1251" s="1" t="s">
        <v>199</v>
      </c>
      <c r="G1251" s="5">
        <v>428.86</v>
      </c>
    </row>
    <row r="1252" spans="1:7" x14ac:dyDescent="0.2">
      <c r="A1252" s="3">
        <v>70</v>
      </c>
      <c r="B1252" s="2">
        <v>30020.2</v>
      </c>
      <c r="C1252" s="38">
        <v>45169</v>
      </c>
      <c r="D1252" s="1" t="s">
        <v>73</v>
      </c>
      <c r="E1252" s="1" t="s">
        <v>33</v>
      </c>
      <c r="F1252" s="1" t="s">
        <v>199</v>
      </c>
      <c r="G1252" s="5">
        <v>428.86</v>
      </c>
    </row>
    <row r="1253" spans="1:7" x14ac:dyDescent="0.2">
      <c r="A1253" s="3">
        <v>70</v>
      </c>
      <c r="B1253" s="2">
        <v>30020.2</v>
      </c>
      <c r="C1253" s="38">
        <v>45169</v>
      </c>
      <c r="D1253" s="1" t="s">
        <v>73</v>
      </c>
      <c r="E1253" s="1" t="s">
        <v>33</v>
      </c>
      <c r="F1253" s="1" t="s">
        <v>199</v>
      </c>
      <c r="G1253" s="5">
        <v>428.86</v>
      </c>
    </row>
    <row r="1254" spans="1:7" x14ac:dyDescent="0.2">
      <c r="A1254" s="3">
        <v>70</v>
      </c>
      <c r="B1254" s="2">
        <v>29066.1</v>
      </c>
      <c r="C1254" s="38">
        <v>45132</v>
      </c>
      <c r="D1254" s="1" t="s">
        <v>72</v>
      </c>
      <c r="E1254" s="1" t="s">
        <v>33</v>
      </c>
      <c r="F1254" s="1" t="s">
        <v>199</v>
      </c>
      <c r="G1254" s="5">
        <v>415.23</v>
      </c>
    </row>
    <row r="1255" spans="1:7" x14ac:dyDescent="0.2">
      <c r="A1255" s="3">
        <v>70</v>
      </c>
      <c r="B1255" s="2">
        <v>48690.6</v>
      </c>
      <c r="C1255" s="38">
        <v>45132</v>
      </c>
      <c r="D1255" s="1" t="s">
        <v>76</v>
      </c>
      <c r="E1255" s="1" t="s">
        <v>33</v>
      </c>
      <c r="F1255" s="1" t="s">
        <v>199</v>
      </c>
      <c r="G1255" s="5">
        <v>695.58</v>
      </c>
    </row>
    <row r="1256" spans="1:7" x14ac:dyDescent="0.2">
      <c r="A1256" s="3">
        <v>70</v>
      </c>
      <c r="B1256" s="2">
        <v>48690.6</v>
      </c>
      <c r="C1256" s="38">
        <v>45132</v>
      </c>
      <c r="D1256" s="1" t="s">
        <v>76</v>
      </c>
      <c r="E1256" s="1" t="s">
        <v>33</v>
      </c>
      <c r="F1256" s="1" t="s">
        <v>199</v>
      </c>
      <c r="G1256" s="5">
        <v>695.58</v>
      </c>
    </row>
    <row r="1257" spans="1:7" x14ac:dyDescent="0.2">
      <c r="A1257" s="3">
        <v>70</v>
      </c>
      <c r="B1257" s="2">
        <v>48690.6</v>
      </c>
      <c r="C1257" s="38">
        <v>45132</v>
      </c>
      <c r="D1257" s="1" t="s">
        <v>76</v>
      </c>
      <c r="E1257" s="1" t="s">
        <v>33</v>
      </c>
      <c r="F1257" s="1" t="s">
        <v>199</v>
      </c>
      <c r="G1257" s="5">
        <v>695.58</v>
      </c>
    </row>
    <row r="1258" spans="1:7" x14ac:dyDescent="0.2">
      <c r="A1258" s="3">
        <v>70</v>
      </c>
      <c r="B1258" s="2">
        <v>48690.6</v>
      </c>
      <c r="C1258" s="38">
        <v>45132</v>
      </c>
      <c r="D1258" s="1" t="s">
        <v>76</v>
      </c>
      <c r="E1258" s="1" t="s">
        <v>33</v>
      </c>
      <c r="F1258" s="1" t="s">
        <v>199</v>
      </c>
      <c r="G1258" s="5">
        <v>695.58</v>
      </c>
    </row>
    <row r="1259" spans="1:7" x14ac:dyDescent="0.2">
      <c r="A1259" s="3">
        <v>70</v>
      </c>
      <c r="B1259" s="2">
        <v>48690.6</v>
      </c>
      <c r="C1259" s="38">
        <v>45132</v>
      </c>
      <c r="D1259" s="1" t="s">
        <v>76</v>
      </c>
      <c r="E1259" s="1" t="s">
        <v>33</v>
      </c>
      <c r="F1259" s="1" t="s">
        <v>199</v>
      </c>
      <c r="G1259" s="5">
        <v>695.58</v>
      </c>
    </row>
    <row r="1260" spans="1:7" x14ac:dyDescent="0.2">
      <c r="A1260" s="3">
        <v>70</v>
      </c>
      <c r="B1260" s="2">
        <v>48690.6</v>
      </c>
      <c r="C1260" s="38">
        <v>45132</v>
      </c>
      <c r="D1260" s="1" t="s">
        <v>76</v>
      </c>
      <c r="E1260" s="1" t="s">
        <v>33</v>
      </c>
      <c r="F1260" s="1" t="s">
        <v>199</v>
      </c>
      <c r="G1260" s="5">
        <v>695.58</v>
      </c>
    </row>
    <row r="1261" spans="1:7" x14ac:dyDescent="0.2">
      <c r="A1261" s="3">
        <v>70</v>
      </c>
      <c r="B1261" s="2">
        <v>48690.6</v>
      </c>
      <c r="C1261" s="38">
        <v>45132</v>
      </c>
      <c r="D1261" s="1" t="s">
        <v>76</v>
      </c>
      <c r="E1261" s="1" t="s">
        <v>33</v>
      </c>
      <c r="F1261" s="1" t="s">
        <v>199</v>
      </c>
      <c r="G1261" s="5">
        <v>695.58</v>
      </c>
    </row>
    <row r="1262" spans="1:7" x14ac:dyDescent="0.2">
      <c r="A1262" s="3">
        <v>70</v>
      </c>
      <c r="B1262" s="2">
        <v>48690.6</v>
      </c>
      <c r="C1262" s="38">
        <v>45132</v>
      </c>
      <c r="D1262" s="1" t="s">
        <v>76</v>
      </c>
      <c r="E1262" s="1" t="s">
        <v>33</v>
      </c>
      <c r="F1262" s="1" t="s">
        <v>199</v>
      </c>
      <c r="G1262" s="5">
        <v>695.58</v>
      </c>
    </row>
    <row r="1263" spans="1:7" x14ac:dyDescent="0.2">
      <c r="A1263" s="3">
        <v>70</v>
      </c>
      <c r="B1263" s="2">
        <v>48690.6</v>
      </c>
      <c r="C1263" s="38">
        <v>45132</v>
      </c>
      <c r="D1263" s="1" t="s">
        <v>76</v>
      </c>
      <c r="E1263" s="1" t="s">
        <v>33</v>
      </c>
      <c r="F1263" s="1" t="s">
        <v>199</v>
      </c>
      <c r="G1263" s="5">
        <v>695.58</v>
      </c>
    </row>
    <row r="1264" spans="1:7" x14ac:dyDescent="0.2">
      <c r="A1264" s="3">
        <v>70</v>
      </c>
      <c r="B1264" s="2">
        <v>48690.6</v>
      </c>
      <c r="C1264" s="38">
        <v>45132</v>
      </c>
      <c r="D1264" s="1" t="s">
        <v>76</v>
      </c>
      <c r="E1264" s="1" t="s">
        <v>33</v>
      </c>
      <c r="F1264" s="1" t="s">
        <v>199</v>
      </c>
      <c r="G1264" s="5">
        <v>695.58</v>
      </c>
    </row>
    <row r="1265" spans="1:7" x14ac:dyDescent="0.2">
      <c r="A1265" s="3">
        <v>70</v>
      </c>
      <c r="B1265" s="2">
        <v>48690.6</v>
      </c>
      <c r="C1265" s="38">
        <v>45132</v>
      </c>
      <c r="D1265" s="1" t="s">
        <v>76</v>
      </c>
      <c r="E1265" s="1" t="s">
        <v>33</v>
      </c>
      <c r="F1265" s="1" t="s">
        <v>199</v>
      </c>
      <c r="G1265" s="5">
        <v>695.58</v>
      </c>
    </row>
    <row r="1266" spans="1:7" x14ac:dyDescent="0.2">
      <c r="A1266" s="3">
        <v>70</v>
      </c>
      <c r="B1266" s="2">
        <v>48690.6</v>
      </c>
      <c r="C1266" s="38">
        <v>45132</v>
      </c>
      <c r="D1266" s="1" t="s">
        <v>76</v>
      </c>
      <c r="E1266" s="1" t="s">
        <v>33</v>
      </c>
      <c r="F1266" s="1" t="s">
        <v>199</v>
      </c>
      <c r="G1266" s="5">
        <v>695.58</v>
      </c>
    </row>
    <row r="1267" spans="1:7" x14ac:dyDescent="0.2">
      <c r="A1267" s="3">
        <v>70</v>
      </c>
      <c r="B1267" s="2">
        <v>48690.6</v>
      </c>
      <c r="C1267" s="38">
        <v>45132</v>
      </c>
      <c r="D1267" s="1" t="s">
        <v>76</v>
      </c>
      <c r="E1267" s="1" t="s">
        <v>33</v>
      </c>
      <c r="F1267" s="1" t="s">
        <v>199</v>
      </c>
      <c r="G1267" s="5">
        <v>695.58</v>
      </c>
    </row>
    <row r="1268" spans="1:7" x14ac:dyDescent="0.2">
      <c r="A1268" s="3">
        <v>70</v>
      </c>
      <c r="B1268" s="2">
        <v>48690.6</v>
      </c>
      <c r="C1268" s="38">
        <v>45132</v>
      </c>
      <c r="D1268" s="1" t="s">
        <v>76</v>
      </c>
      <c r="E1268" s="1" t="s">
        <v>33</v>
      </c>
      <c r="F1268" s="1" t="s">
        <v>199</v>
      </c>
      <c r="G1268" s="5">
        <v>695.58</v>
      </c>
    </row>
    <row r="1269" spans="1:7" x14ac:dyDescent="0.2">
      <c r="A1269" s="3">
        <v>70</v>
      </c>
      <c r="B1269" s="2">
        <v>48690.6</v>
      </c>
      <c r="C1269" s="38">
        <v>45132</v>
      </c>
      <c r="D1269" s="1" t="s">
        <v>76</v>
      </c>
      <c r="E1269" s="1" t="s">
        <v>33</v>
      </c>
      <c r="F1269" s="1" t="s">
        <v>199</v>
      </c>
      <c r="G1269" s="5">
        <v>695.58</v>
      </c>
    </row>
    <row r="1270" spans="1:7" x14ac:dyDescent="0.2">
      <c r="A1270" s="3">
        <v>70</v>
      </c>
      <c r="B1270" s="2">
        <v>48690.6</v>
      </c>
      <c r="C1270" s="38">
        <v>45132</v>
      </c>
      <c r="D1270" s="1" t="s">
        <v>76</v>
      </c>
      <c r="E1270" s="1" t="s">
        <v>33</v>
      </c>
      <c r="F1270" s="1" t="s">
        <v>199</v>
      </c>
      <c r="G1270" s="5">
        <v>695.58</v>
      </c>
    </row>
    <row r="1271" spans="1:7" x14ac:dyDescent="0.2">
      <c r="A1271" s="3">
        <v>70</v>
      </c>
      <c r="B1271" s="2">
        <v>48690.6</v>
      </c>
      <c r="C1271" s="38">
        <v>45132</v>
      </c>
      <c r="D1271" s="1" t="s">
        <v>76</v>
      </c>
      <c r="E1271" s="1" t="s">
        <v>33</v>
      </c>
      <c r="F1271" s="1" t="s">
        <v>199</v>
      </c>
      <c r="G1271" s="5">
        <v>695.58</v>
      </c>
    </row>
    <row r="1272" spans="1:7" x14ac:dyDescent="0.2">
      <c r="A1272" s="3">
        <v>70</v>
      </c>
      <c r="B1272" s="2">
        <v>48690.6</v>
      </c>
      <c r="C1272" s="38">
        <v>45132</v>
      </c>
      <c r="D1272" s="1" t="s">
        <v>76</v>
      </c>
      <c r="E1272" s="1" t="s">
        <v>33</v>
      </c>
      <c r="F1272" s="1" t="s">
        <v>199</v>
      </c>
      <c r="G1272" s="5">
        <v>695.58</v>
      </c>
    </row>
    <row r="1273" spans="1:7" x14ac:dyDescent="0.2">
      <c r="A1273" s="3">
        <v>70</v>
      </c>
      <c r="B1273" s="2">
        <v>46164.3</v>
      </c>
      <c r="C1273" s="38">
        <v>44978</v>
      </c>
      <c r="D1273" s="1" t="s">
        <v>76</v>
      </c>
      <c r="E1273" s="1" t="s">
        <v>33</v>
      </c>
      <c r="F1273" s="1" t="s">
        <v>199</v>
      </c>
      <c r="G1273" s="5">
        <v>659.49</v>
      </c>
    </row>
    <row r="1274" spans="1:7" x14ac:dyDescent="0.2">
      <c r="A1274" s="3">
        <v>70</v>
      </c>
      <c r="B1274" s="2">
        <v>46164.3</v>
      </c>
      <c r="C1274" s="38">
        <v>44978</v>
      </c>
      <c r="D1274" s="1" t="s">
        <v>76</v>
      </c>
      <c r="E1274" s="1" t="s">
        <v>33</v>
      </c>
      <c r="F1274" s="1" t="s">
        <v>199</v>
      </c>
      <c r="G1274" s="5">
        <v>659.49</v>
      </c>
    </row>
    <row r="1275" spans="1:7" x14ac:dyDescent="0.2">
      <c r="A1275" s="3">
        <v>70</v>
      </c>
      <c r="B1275" s="2">
        <v>46164.3</v>
      </c>
      <c r="C1275" s="38">
        <v>44978</v>
      </c>
      <c r="D1275" s="1" t="s">
        <v>76</v>
      </c>
      <c r="E1275" s="1" t="s">
        <v>33</v>
      </c>
      <c r="F1275" s="1" t="s">
        <v>199</v>
      </c>
      <c r="G1275" s="5">
        <v>659.49</v>
      </c>
    </row>
    <row r="1276" spans="1:7" x14ac:dyDescent="0.2">
      <c r="A1276" s="3">
        <v>70</v>
      </c>
      <c r="B1276" s="2">
        <v>46164.3</v>
      </c>
      <c r="C1276" s="38">
        <v>44978</v>
      </c>
      <c r="D1276" s="1" t="s">
        <v>76</v>
      </c>
      <c r="E1276" s="1" t="s">
        <v>33</v>
      </c>
      <c r="F1276" s="1" t="s">
        <v>199</v>
      </c>
      <c r="G1276" s="5">
        <v>659.49</v>
      </c>
    </row>
    <row r="1277" spans="1:7" x14ac:dyDescent="0.2">
      <c r="A1277" s="3">
        <v>70</v>
      </c>
      <c r="B1277" s="2">
        <v>46164.3</v>
      </c>
      <c r="C1277" s="38">
        <v>44721</v>
      </c>
      <c r="D1277" s="1" t="s">
        <v>76</v>
      </c>
      <c r="E1277" s="1" t="s">
        <v>33</v>
      </c>
      <c r="F1277" s="1" t="s">
        <v>199</v>
      </c>
      <c r="G1277" s="5">
        <v>659.49</v>
      </c>
    </row>
    <row r="1278" spans="1:7" x14ac:dyDescent="0.2">
      <c r="A1278" s="3">
        <v>70</v>
      </c>
      <c r="B1278" s="2">
        <v>46164.3</v>
      </c>
      <c r="C1278" s="38">
        <v>44721</v>
      </c>
      <c r="D1278" s="1" t="s">
        <v>76</v>
      </c>
      <c r="E1278" s="1" t="s">
        <v>33</v>
      </c>
      <c r="F1278" s="1" t="s">
        <v>199</v>
      </c>
      <c r="G1278" s="5">
        <v>659.49</v>
      </c>
    </row>
    <row r="1279" spans="1:7" x14ac:dyDescent="0.2">
      <c r="A1279" s="3">
        <v>70</v>
      </c>
      <c r="B1279" s="2">
        <v>46164.3</v>
      </c>
      <c r="C1279" s="38">
        <v>44721</v>
      </c>
      <c r="D1279" s="1" t="s">
        <v>76</v>
      </c>
      <c r="E1279" s="1" t="s">
        <v>33</v>
      </c>
      <c r="F1279" s="1" t="s">
        <v>199</v>
      </c>
      <c r="G1279" s="5">
        <v>659.49</v>
      </c>
    </row>
    <row r="1280" spans="1:7" x14ac:dyDescent="0.2">
      <c r="A1280" s="3">
        <v>70</v>
      </c>
      <c r="B1280" s="2">
        <v>46164.3</v>
      </c>
      <c r="C1280" s="38">
        <v>44721</v>
      </c>
      <c r="D1280" s="1" t="s">
        <v>76</v>
      </c>
      <c r="E1280" s="1" t="s">
        <v>33</v>
      </c>
      <c r="F1280" s="1" t="s">
        <v>199</v>
      </c>
      <c r="G1280" s="5">
        <v>659.49</v>
      </c>
    </row>
    <row r="1281" spans="1:7" x14ac:dyDescent="0.2">
      <c r="A1281" s="3">
        <v>70</v>
      </c>
      <c r="B1281" s="2">
        <v>46164.3</v>
      </c>
      <c r="C1281" s="38">
        <v>44721</v>
      </c>
      <c r="D1281" s="1" t="s">
        <v>76</v>
      </c>
      <c r="E1281" s="1" t="s">
        <v>33</v>
      </c>
      <c r="F1281" s="1" t="s">
        <v>199</v>
      </c>
      <c r="G1281" s="5">
        <v>659.49</v>
      </c>
    </row>
    <row r="1282" spans="1:7" x14ac:dyDescent="0.2">
      <c r="A1282" s="3">
        <v>70</v>
      </c>
      <c r="B1282" s="2">
        <v>46164.3</v>
      </c>
      <c r="C1282" s="38">
        <v>44721</v>
      </c>
      <c r="D1282" s="1" t="s">
        <v>76</v>
      </c>
      <c r="E1282" s="1" t="s">
        <v>33</v>
      </c>
      <c r="F1282" s="1" t="s">
        <v>199</v>
      </c>
      <c r="G1282" s="5">
        <v>659.49</v>
      </c>
    </row>
    <row r="1283" spans="1:7" x14ac:dyDescent="0.2">
      <c r="A1283" s="3">
        <v>70</v>
      </c>
      <c r="B1283" s="2">
        <v>46164.3</v>
      </c>
      <c r="C1283" s="38">
        <v>44721</v>
      </c>
      <c r="D1283" s="1" t="s">
        <v>76</v>
      </c>
      <c r="E1283" s="1" t="s">
        <v>33</v>
      </c>
      <c r="F1283" s="1" t="s">
        <v>199</v>
      </c>
      <c r="G1283" s="5">
        <v>659.49</v>
      </c>
    </row>
    <row r="1284" spans="1:7" x14ac:dyDescent="0.2">
      <c r="A1284" s="3">
        <v>70</v>
      </c>
      <c r="B1284" s="2">
        <v>46164.3</v>
      </c>
      <c r="C1284" s="38">
        <v>44721</v>
      </c>
      <c r="D1284" s="1" t="s">
        <v>76</v>
      </c>
      <c r="E1284" s="1" t="s">
        <v>33</v>
      </c>
      <c r="F1284" s="1" t="s">
        <v>199</v>
      </c>
      <c r="G1284" s="5">
        <v>659.49</v>
      </c>
    </row>
    <row r="1285" spans="1:7" x14ac:dyDescent="0.2">
      <c r="A1285" s="3">
        <v>70</v>
      </c>
      <c r="B1285" s="2">
        <v>46164.3</v>
      </c>
      <c r="C1285" s="38">
        <v>44721</v>
      </c>
      <c r="D1285" s="1" t="s">
        <v>76</v>
      </c>
      <c r="E1285" s="1" t="s">
        <v>33</v>
      </c>
      <c r="F1285" s="1" t="s">
        <v>199</v>
      </c>
      <c r="G1285" s="5">
        <v>659.49</v>
      </c>
    </row>
    <row r="1286" spans="1:7" x14ac:dyDescent="0.2">
      <c r="A1286" s="3">
        <v>70</v>
      </c>
      <c r="B1286" s="2">
        <v>46164.3</v>
      </c>
      <c r="C1286" s="38">
        <v>44721</v>
      </c>
      <c r="D1286" s="1" t="s">
        <v>76</v>
      </c>
      <c r="E1286" s="1" t="s">
        <v>33</v>
      </c>
      <c r="F1286" s="1" t="s">
        <v>199</v>
      </c>
      <c r="G1286" s="5">
        <v>659.49</v>
      </c>
    </row>
    <row r="1287" spans="1:7" x14ac:dyDescent="0.2">
      <c r="A1287" s="3">
        <v>70</v>
      </c>
      <c r="B1287" s="2">
        <v>46164.3</v>
      </c>
      <c r="C1287" s="38">
        <v>44721</v>
      </c>
      <c r="D1287" s="1" t="s">
        <v>76</v>
      </c>
      <c r="E1287" s="1" t="s">
        <v>33</v>
      </c>
      <c r="F1287" s="1" t="s">
        <v>199</v>
      </c>
      <c r="G1287" s="5">
        <v>659.49</v>
      </c>
    </row>
    <row r="1288" spans="1:7" x14ac:dyDescent="0.2">
      <c r="A1288" s="3">
        <v>70</v>
      </c>
      <c r="B1288" s="2">
        <v>46164.3</v>
      </c>
      <c r="C1288" s="38">
        <v>44721</v>
      </c>
      <c r="D1288" s="1" t="s">
        <v>76</v>
      </c>
      <c r="E1288" s="1" t="s">
        <v>33</v>
      </c>
      <c r="F1288" s="1" t="s">
        <v>199</v>
      </c>
      <c r="G1288" s="5">
        <v>659.49</v>
      </c>
    </row>
    <row r="1289" spans="1:7" x14ac:dyDescent="0.2">
      <c r="A1289" s="3">
        <v>70</v>
      </c>
      <c r="B1289" s="2">
        <v>46164.3</v>
      </c>
      <c r="C1289" s="38">
        <v>44721</v>
      </c>
      <c r="D1289" s="1" t="s">
        <v>76</v>
      </c>
      <c r="E1289" s="1" t="s">
        <v>33</v>
      </c>
      <c r="F1289" s="1" t="s">
        <v>199</v>
      </c>
      <c r="G1289" s="5">
        <v>659.49</v>
      </c>
    </row>
    <row r="1290" spans="1:7" x14ac:dyDescent="0.2">
      <c r="A1290" s="3">
        <v>70</v>
      </c>
      <c r="B1290" s="2">
        <v>46164.3</v>
      </c>
      <c r="C1290" s="38">
        <v>44721</v>
      </c>
      <c r="D1290" s="1" t="s">
        <v>76</v>
      </c>
      <c r="E1290" s="1" t="s">
        <v>33</v>
      </c>
      <c r="F1290" s="1" t="s">
        <v>199</v>
      </c>
      <c r="G1290" s="5">
        <v>659.49</v>
      </c>
    </row>
    <row r="1291" spans="1:7" x14ac:dyDescent="0.2">
      <c r="A1291" s="3">
        <v>70</v>
      </c>
      <c r="B1291" s="2">
        <v>46164.3</v>
      </c>
      <c r="C1291" s="38">
        <v>44721</v>
      </c>
      <c r="D1291" s="1" t="s">
        <v>76</v>
      </c>
      <c r="E1291" s="1" t="s">
        <v>33</v>
      </c>
      <c r="F1291" s="1" t="s">
        <v>199</v>
      </c>
      <c r="G1291" s="5">
        <v>659.49</v>
      </c>
    </row>
    <row r="1292" spans="1:7" x14ac:dyDescent="0.2">
      <c r="A1292" s="3">
        <v>70</v>
      </c>
      <c r="B1292" s="2">
        <v>46164.3</v>
      </c>
      <c r="C1292" s="38">
        <v>44721</v>
      </c>
      <c r="D1292" s="1" t="s">
        <v>76</v>
      </c>
      <c r="E1292" s="1" t="s">
        <v>33</v>
      </c>
      <c r="F1292" s="1" t="s">
        <v>199</v>
      </c>
      <c r="G1292" s="5">
        <v>659.49</v>
      </c>
    </row>
    <row r="1293" spans="1:7" x14ac:dyDescent="0.2">
      <c r="A1293" s="3">
        <v>70</v>
      </c>
      <c r="B1293" s="2">
        <v>46164.3</v>
      </c>
      <c r="C1293" s="38">
        <v>44721</v>
      </c>
      <c r="D1293" s="1" t="s">
        <v>76</v>
      </c>
      <c r="E1293" s="1" t="s">
        <v>33</v>
      </c>
      <c r="F1293" s="1" t="s">
        <v>199</v>
      </c>
      <c r="G1293" s="5">
        <v>659.49</v>
      </c>
    </row>
    <row r="1294" spans="1:7" x14ac:dyDescent="0.2">
      <c r="A1294" s="3">
        <v>70</v>
      </c>
      <c r="B1294" s="2">
        <v>46164.3</v>
      </c>
      <c r="C1294" s="38">
        <v>44721</v>
      </c>
      <c r="D1294" s="1" t="s">
        <v>76</v>
      </c>
      <c r="E1294" s="1" t="s">
        <v>33</v>
      </c>
      <c r="F1294" s="1" t="s">
        <v>199</v>
      </c>
      <c r="G1294" s="5">
        <v>659.49</v>
      </c>
    </row>
    <row r="1295" spans="1:7" x14ac:dyDescent="0.2">
      <c r="A1295" s="3">
        <v>70</v>
      </c>
      <c r="B1295" s="2">
        <v>46164.3</v>
      </c>
      <c r="C1295" s="38">
        <v>44721</v>
      </c>
      <c r="D1295" s="1" t="s">
        <v>76</v>
      </c>
      <c r="E1295" s="1" t="s">
        <v>33</v>
      </c>
      <c r="F1295" s="1" t="s">
        <v>199</v>
      </c>
      <c r="G1295" s="5">
        <v>659.49</v>
      </c>
    </row>
    <row r="1296" spans="1:7" x14ac:dyDescent="0.2">
      <c r="A1296" s="3">
        <v>70</v>
      </c>
      <c r="B1296" s="2">
        <v>46164.3</v>
      </c>
      <c r="C1296" s="38">
        <v>44721</v>
      </c>
      <c r="D1296" s="1" t="s">
        <v>76</v>
      </c>
      <c r="E1296" s="1" t="s">
        <v>33</v>
      </c>
      <c r="F1296" s="1" t="s">
        <v>199</v>
      </c>
      <c r="G1296" s="5">
        <v>659.49</v>
      </c>
    </row>
    <row r="1297" spans="1:7" x14ac:dyDescent="0.2">
      <c r="A1297" s="3">
        <v>70</v>
      </c>
      <c r="B1297" s="2">
        <v>46164.3</v>
      </c>
      <c r="C1297" s="38">
        <v>44721</v>
      </c>
      <c r="D1297" s="1" t="s">
        <v>76</v>
      </c>
      <c r="E1297" s="1" t="s">
        <v>33</v>
      </c>
      <c r="F1297" s="1" t="s">
        <v>199</v>
      </c>
      <c r="G1297" s="5">
        <v>659.49</v>
      </c>
    </row>
    <row r="1298" spans="1:7" x14ac:dyDescent="0.2">
      <c r="A1298" s="3">
        <v>70</v>
      </c>
      <c r="B1298" s="2">
        <v>46164.3</v>
      </c>
      <c r="C1298" s="38">
        <v>44721</v>
      </c>
      <c r="D1298" s="1" t="s">
        <v>76</v>
      </c>
      <c r="E1298" s="1" t="s">
        <v>33</v>
      </c>
      <c r="F1298" s="1" t="s">
        <v>199</v>
      </c>
      <c r="G1298" s="5">
        <v>659.49</v>
      </c>
    </row>
    <row r="1299" spans="1:7" x14ac:dyDescent="0.2">
      <c r="A1299" s="3">
        <v>70</v>
      </c>
      <c r="B1299" s="2">
        <v>46164.3</v>
      </c>
      <c r="C1299" s="38">
        <v>44721</v>
      </c>
      <c r="D1299" s="1" t="s">
        <v>76</v>
      </c>
      <c r="E1299" s="1" t="s">
        <v>33</v>
      </c>
      <c r="F1299" s="1" t="s">
        <v>199</v>
      </c>
      <c r="G1299" s="5">
        <v>659.49</v>
      </c>
    </row>
    <row r="1300" spans="1:7" x14ac:dyDescent="0.2">
      <c r="A1300" s="3">
        <v>70</v>
      </c>
      <c r="B1300" s="2">
        <v>46164.3</v>
      </c>
      <c r="C1300" s="38">
        <v>44721</v>
      </c>
      <c r="D1300" s="1" t="s">
        <v>76</v>
      </c>
      <c r="E1300" s="1" t="s">
        <v>33</v>
      </c>
      <c r="F1300" s="1" t="s">
        <v>199</v>
      </c>
      <c r="G1300" s="5">
        <v>659.49</v>
      </c>
    </row>
    <row r="1301" spans="1:7" x14ac:dyDescent="0.2">
      <c r="A1301" s="3">
        <v>70</v>
      </c>
      <c r="B1301" s="2">
        <v>46164.3</v>
      </c>
      <c r="C1301" s="38">
        <v>44721</v>
      </c>
      <c r="D1301" s="1" t="s">
        <v>76</v>
      </c>
      <c r="E1301" s="1" t="s">
        <v>33</v>
      </c>
      <c r="F1301" s="1" t="s">
        <v>199</v>
      </c>
      <c r="G1301" s="5">
        <v>659.49</v>
      </c>
    </row>
    <row r="1302" spans="1:7" x14ac:dyDescent="0.2">
      <c r="A1302" s="3">
        <v>70</v>
      </c>
      <c r="B1302" s="2">
        <v>46164.3</v>
      </c>
      <c r="C1302" s="38">
        <v>44721</v>
      </c>
      <c r="D1302" s="1" t="s">
        <v>76</v>
      </c>
      <c r="E1302" s="1" t="s">
        <v>33</v>
      </c>
      <c r="F1302" s="1" t="s">
        <v>199</v>
      </c>
      <c r="G1302" s="5">
        <v>659.49</v>
      </c>
    </row>
    <row r="1303" spans="1:7" x14ac:dyDescent="0.2">
      <c r="A1303" s="3">
        <v>70</v>
      </c>
      <c r="B1303" s="2">
        <v>46164.3</v>
      </c>
      <c r="C1303" s="38">
        <v>44721</v>
      </c>
      <c r="D1303" s="1" t="s">
        <v>76</v>
      </c>
      <c r="E1303" s="1" t="s">
        <v>33</v>
      </c>
      <c r="F1303" s="1" t="s">
        <v>199</v>
      </c>
      <c r="G1303" s="5">
        <v>659.49</v>
      </c>
    </row>
    <row r="1304" spans="1:7" x14ac:dyDescent="0.2">
      <c r="A1304" s="3">
        <v>70</v>
      </c>
      <c r="B1304" s="2">
        <v>46164.3</v>
      </c>
      <c r="C1304" s="38">
        <v>44721</v>
      </c>
      <c r="D1304" s="1" t="s">
        <v>76</v>
      </c>
      <c r="E1304" s="1" t="s">
        <v>33</v>
      </c>
      <c r="F1304" s="1" t="s">
        <v>199</v>
      </c>
      <c r="G1304" s="5">
        <v>659.49</v>
      </c>
    </row>
    <row r="1305" spans="1:7" x14ac:dyDescent="0.2">
      <c r="A1305" s="3">
        <v>70</v>
      </c>
      <c r="B1305" s="2">
        <v>46164.3</v>
      </c>
      <c r="C1305" s="38">
        <v>44721</v>
      </c>
      <c r="D1305" s="1" t="s">
        <v>76</v>
      </c>
      <c r="E1305" s="1" t="s">
        <v>33</v>
      </c>
      <c r="F1305" s="1" t="s">
        <v>199</v>
      </c>
      <c r="G1305" s="5">
        <v>659.49</v>
      </c>
    </row>
    <row r="1306" spans="1:7" x14ac:dyDescent="0.2">
      <c r="A1306" s="3">
        <v>70</v>
      </c>
      <c r="B1306" s="2">
        <v>46164.3</v>
      </c>
      <c r="C1306" s="38">
        <v>44721</v>
      </c>
      <c r="D1306" s="1" t="s">
        <v>76</v>
      </c>
      <c r="E1306" s="1" t="s">
        <v>33</v>
      </c>
      <c r="F1306" s="1" t="s">
        <v>199</v>
      </c>
      <c r="G1306" s="5">
        <v>659.49</v>
      </c>
    </row>
    <row r="1307" spans="1:7" x14ac:dyDescent="0.2">
      <c r="A1307" s="3">
        <v>70</v>
      </c>
      <c r="B1307" s="2">
        <v>46164.3</v>
      </c>
      <c r="C1307" s="38">
        <v>44721</v>
      </c>
      <c r="D1307" s="1" t="s">
        <v>76</v>
      </c>
      <c r="E1307" s="1" t="s">
        <v>33</v>
      </c>
      <c r="F1307" s="1" t="s">
        <v>199</v>
      </c>
      <c r="G1307" s="5">
        <v>659.49</v>
      </c>
    </row>
    <row r="1308" spans="1:7" x14ac:dyDescent="0.2">
      <c r="A1308" s="3">
        <v>70</v>
      </c>
      <c r="B1308" s="2">
        <v>46164.3</v>
      </c>
      <c r="C1308" s="38">
        <v>44721</v>
      </c>
      <c r="D1308" s="1" t="s">
        <v>76</v>
      </c>
      <c r="E1308" s="1" t="s">
        <v>33</v>
      </c>
      <c r="F1308" s="1" t="s">
        <v>199</v>
      </c>
      <c r="G1308" s="5">
        <v>659.49</v>
      </c>
    </row>
    <row r="1309" spans="1:7" x14ac:dyDescent="0.2">
      <c r="A1309" s="3">
        <v>70</v>
      </c>
      <c r="B1309" s="2">
        <v>46164.3</v>
      </c>
      <c r="C1309" s="38">
        <v>44721</v>
      </c>
      <c r="D1309" s="1" t="s">
        <v>76</v>
      </c>
      <c r="E1309" s="1" t="s">
        <v>33</v>
      </c>
      <c r="F1309" s="1" t="s">
        <v>199</v>
      </c>
      <c r="G1309" s="5">
        <v>659.49</v>
      </c>
    </row>
    <row r="1310" spans="1:7" x14ac:dyDescent="0.2">
      <c r="A1310" s="3">
        <v>70</v>
      </c>
      <c r="B1310" s="2">
        <v>46164.3</v>
      </c>
      <c r="C1310" s="38">
        <v>44721</v>
      </c>
      <c r="D1310" s="1" t="s">
        <v>76</v>
      </c>
      <c r="E1310" s="1" t="s">
        <v>33</v>
      </c>
      <c r="F1310" s="1" t="s">
        <v>199</v>
      </c>
      <c r="G1310" s="5">
        <v>659.49</v>
      </c>
    </row>
    <row r="1311" spans="1:7" x14ac:dyDescent="0.2">
      <c r="A1311" s="3">
        <v>70</v>
      </c>
      <c r="B1311" s="2">
        <v>46164.3</v>
      </c>
      <c r="C1311" s="38">
        <v>44721</v>
      </c>
      <c r="D1311" s="1" t="s">
        <v>76</v>
      </c>
      <c r="E1311" s="1" t="s">
        <v>33</v>
      </c>
      <c r="F1311" s="1" t="s">
        <v>199</v>
      </c>
      <c r="G1311" s="5">
        <v>659.49</v>
      </c>
    </row>
    <row r="1312" spans="1:7" x14ac:dyDescent="0.2">
      <c r="A1312" s="3">
        <v>70</v>
      </c>
      <c r="B1312" s="2">
        <v>46164.3</v>
      </c>
      <c r="C1312" s="38">
        <v>44721</v>
      </c>
      <c r="D1312" s="1" t="s">
        <v>76</v>
      </c>
      <c r="E1312" s="1" t="s">
        <v>33</v>
      </c>
      <c r="F1312" s="1" t="s">
        <v>199</v>
      </c>
      <c r="G1312" s="5">
        <v>659.49</v>
      </c>
    </row>
    <row r="1313" spans="1:7" x14ac:dyDescent="0.2">
      <c r="A1313" s="3">
        <v>70</v>
      </c>
      <c r="B1313" s="2">
        <v>46164.3</v>
      </c>
      <c r="C1313" s="38">
        <v>44721</v>
      </c>
      <c r="D1313" s="1" t="s">
        <v>76</v>
      </c>
      <c r="E1313" s="1" t="s">
        <v>33</v>
      </c>
      <c r="F1313" s="1" t="s">
        <v>199</v>
      </c>
      <c r="G1313" s="5">
        <v>659.49</v>
      </c>
    </row>
    <row r="1314" spans="1:7" x14ac:dyDescent="0.2">
      <c r="A1314" s="3">
        <v>70</v>
      </c>
      <c r="B1314" s="2">
        <v>46164.3</v>
      </c>
      <c r="C1314" s="38">
        <v>44721</v>
      </c>
      <c r="D1314" s="1" t="s">
        <v>76</v>
      </c>
      <c r="E1314" s="1" t="s">
        <v>33</v>
      </c>
      <c r="F1314" s="1" t="s">
        <v>199</v>
      </c>
      <c r="G1314" s="5">
        <v>659.49</v>
      </c>
    </row>
    <row r="1315" spans="1:7" x14ac:dyDescent="0.2">
      <c r="A1315" s="3">
        <v>70</v>
      </c>
      <c r="B1315" s="2">
        <v>46164.3</v>
      </c>
      <c r="C1315" s="38">
        <v>44721</v>
      </c>
      <c r="D1315" s="1" t="s">
        <v>76</v>
      </c>
      <c r="E1315" s="1" t="s">
        <v>33</v>
      </c>
      <c r="F1315" s="1" t="s">
        <v>199</v>
      </c>
      <c r="G1315" s="5">
        <v>659.49</v>
      </c>
    </row>
    <row r="1316" spans="1:7" x14ac:dyDescent="0.2">
      <c r="A1316" s="3">
        <v>70</v>
      </c>
      <c r="B1316" s="2">
        <v>46164.3</v>
      </c>
      <c r="C1316" s="38">
        <v>44721</v>
      </c>
      <c r="D1316" s="1" t="s">
        <v>76</v>
      </c>
      <c r="E1316" s="1" t="s">
        <v>33</v>
      </c>
      <c r="F1316" s="1" t="s">
        <v>199</v>
      </c>
      <c r="G1316" s="5">
        <v>659.49</v>
      </c>
    </row>
    <row r="1317" spans="1:7" x14ac:dyDescent="0.2">
      <c r="A1317" s="3">
        <v>70</v>
      </c>
      <c r="B1317" s="2">
        <v>46164.3</v>
      </c>
      <c r="C1317" s="38">
        <v>44729</v>
      </c>
      <c r="D1317" s="1" t="s">
        <v>76</v>
      </c>
      <c r="E1317" s="1" t="s">
        <v>33</v>
      </c>
      <c r="F1317" s="1" t="s">
        <v>199</v>
      </c>
      <c r="G1317" s="5">
        <v>659.49</v>
      </c>
    </row>
    <row r="1318" spans="1:7" x14ac:dyDescent="0.2">
      <c r="A1318" s="3">
        <v>70</v>
      </c>
      <c r="B1318" s="2">
        <v>46164.3</v>
      </c>
      <c r="C1318" s="38">
        <v>44929</v>
      </c>
      <c r="D1318" s="1" t="s">
        <v>76</v>
      </c>
      <c r="E1318" s="1" t="s">
        <v>33</v>
      </c>
      <c r="F1318" s="1" t="s">
        <v>199</v>
      </c>
      <c r="G1318" s="5">
        <v>659.49</v>
      </c>
    </row>
    <row r="1319" spans="1:7" x14ac:dyDescent="0.2">
      <c r="A1319" s="3">
        <v>70</v>
      </c>
      <c r="B1319" s="2">
        <v>46164.3</v>
      </c>
      <c r="C1319" s="38">
        <v>44929</v>
      </c>
      <c r="D1319" s="1" t="s">
        <v>76</v>
      </c>
      <c r="E1319" s="1" t="s">
        <v>33</v>
      </c>
      <c r="F1319" s="1" t="s">
        <v>199</v>
      </c>
      <c r="G1319" s="5">
        <v>659.49</v>
      </c>
    </row>
    <row r="1320" spans="1:7" x14ac:dyDescent="0.2">
      <c r="A1320" s="3">
        <v>70</v>
      </c>
      <c r="B1320" s="2">
        <v>46164.3</v>
      </c>
      <c r="C1320" s="38">
        <v>44929</v>
      </c>
      <c r="D1320" s="1" t="s">
        <v>76</v>
      </c>
      <c r="E1320" s="1" t="s">
        <v>33</v>
      </c>
      <c r="F1320" s="1" t="s">
        <v>199</v>
      </c>
      <c r="G1320" s="5">
        <v>659.49</v>
      </c>
    </row>
    <row r="1321" spans="1:7" x14ac:dyDescent="0.2">
      <c r="A1321" s="3">
        <v>70</v>
      </c>
      <c r="B1321" s="2">
        <v>46164.3</v>
      </c>
      <c r="C1321" s="38">
        <v>44929</v>
      </c>
      <c r="D1321" s="1" t="s">
        <v>76</v>
      </c>
      <c r="E1321" s="1" t="s">
        <v>33</v>
      </c>
      <c r="F1321" s="1" t="s">
        <v>199</v>
      </c>
      <c r="G1321" s="5">
        <v>659.49</v>
      </c>
    </row>
    <row r="1322" spans="1:7" x14ac:dyDescent="0.2">
      <c r="A1322" s="3">
        <v>70</v>
      </c>
      <c r="B1322" s="2">
        <v>46164.3</v>
      </c>
      <c r="C1322" s="38">
        <v>44873</v>
      </c>
      <c r="D1322" s="1" t="s">
        <v>76</v>
      </c>
      <c r="E1322" s="1" t="s">
        <v>33</v>
      </c>
      <c r="F1322" s="1" t="s">
        <v>199</v>
      </c>
      <c r="G1322" s="5">
        <v>659.49</v>
      </c>
    </row>
    <row r="1323" spans="1:7" x14ac:dyDescent="0.2">
      <c r="A1323" s="3">
        <v>70</v>
      </c>
      <c r="B1323" s="2">
        <v>46164.3</v>
      </c>
      <c r="C1323" s="38">
        <v>44875</v>
      </c>
      <c r="D1323" s="1" t="s">
        <v>76</v>
      </c>
      <c r="E1323" s="1" t="s">
        <v>33</v>
      </c>
      <c r="F1323" s="1" t="s">
        <v>199</v>
      </c>
      <c r="G1323" s="5">
        <v>659.49</v>
      </c>
    </row>
    <row r="1324" spans="1:7" x14ac:dyDescent="0.2">
      <c r="A1324" s="3">
        <v>70</v>
      </c>
      <c r="B1324" s="2">
        <v>46164.3</v>
      </c>
      <c r="C1324" s="38">
        <v>44875</v>
      </c>
      <c r="D1324" s="1" t="s">
        <v>76</v>
      </c>
      <c r="E1324" s="1" t="s">
        <v>33</v>
      </c>
      <c r="F1324" s="1" t="s">
        <v>199</v>
      </c>
      <c r="G1324" s="5">
        <v>659.49</v>
      </c>
    </row>
    <row r="1325" spans="1:7" x14ac:dyDescent="0.2">
      <c r="A1325" s="3">
        <v>70</v>
      </c>
      <c r="B1325" s="2">
        <v>46164.3</v>
      </c>
      <c r="C1325" s="38">
        <v>44875</v>
      </c>
      <c r="D1325" s="1" t="s">
        <v>76</v>
      </c>
      <c r="E1325" s="1" t="s">
        <v>33</v>
      </c>
      <c r="F1325" s="1" t="s">
        <v>199</v>
      </c>
      <c r="G1325" s="5">
        <v>659.49</v>
      </c>
    </row>
    <row r="1326" spans="1:7" x14ac:dyDescent="0.2">
      <c r="A1326" s="3">
        <v>70</v>
      </c>
      <c r="B1326" s="2">
        <v>46164.3</v>
      </c>
      <c r="C1326" s="38">
        <v>44875</v>
      </c>
      <c r="D1326" s="1" t="s">
        <v>76</v>
      </c>
      <c r="E1326" s="1" t="s">
        <v>33</v>
      </c>
      <c r="F1326" s="1" t="s">
        <v>199</v>
      </c>
      <c r="G1326" s="5">
        <v>659.49</v>
      </c>
    </row>
    <row r="1327" spans="1:7" x14ac:dyDescent="0.2">
      <c r="A1327" s="3">
        <v>70</v>
      </c>
      <c r="B1327" s="2">
        <v>46164.3</v>
      </c>
      <c r="C1327" s="38">
        <v>44875</v>
      </c>
      <c r="D1327" s="1" t="s">
        <v>76</v>
      </c>
      <c r="E1327" s="1" t="s">
        <v>33</v>
      </c>
      <c r="F1327" s="1" t="s">
        <v>199</v>
      </c>
      <c r="G1327" s="5">
        <v>659.49</v>
      </c>
    </row>
    <row r="1328" spans="1:7" x14ac:dyDescent="0.2">
      <c r="A1328" s="3">
        <v>70</v>
      </c>
      <c r="B1328" s="2">
        <v>46164.3</v>
      </c>
      <c r="C1328" s="38">
        <v>44875</v>
      </c>
      <c r="D1328" s="1" t="s">
        <v>76</v>
      </c>
      <c r="E1328" s="1" t="s">
        <v>33</v>
      </c>
      <c r="F1328" s="1" t="s">
        <v>199</v>
      </c>
      <c r="G1328" s="5">
        <v>659.49</v>
      </c>
    </row>
    <row r="1329" spans="1:7" x14ac:dyDescent="0.2">
      <c r="A1329" s="3">
        <v>70</v>
      </c>
      <c r="B1329" s="2">
        <v>46164.3</v>
      </c>
      <c r="C1329" s="38">
        <v>44875</v>
      </c>
      <c r="D1329" s="1" t="s">
        <v>76</v>
      </c>
      <c r="E1329" s="1" t="s">
        <v>33</v>
      </c>
      <c r="F1329" s="1" t="s">
        <v>199</v>
      </c>
      <c r="G1329" s="5">
        <v>659.49</v>
      </c>
    </row>
    <row r="1330" spans="1:7" x14ac:dyDescent="0.2">
      <c r="A1330" s="3">
        <v>70</v>
      </c>
      <c r="B1330" s="2">
        <v>46164.3</v>
      </c>
      <c r="C1330" s="38">
        <v>44875</v>
      </c>
      <c r="D1330" s="1" t="s">
        <v>76</v>
      </c>
      <c r="E1330" s="1" t="s">
        <v>33</v>
      </c>
      <c r="F1330" s="1" t="s">
        <v>199</v>
      </c>
      <c r="G1330" s="5">
        <v>659.49</v>
      </c>
    </row>
    <row r="1331" spans="1:7" x14ac:dyDescent="0.2">
      <c r="A1331" s="3">
        <v>70</v>
      </c>
      <c r="B1331" s="2">
        <v>46164.3</v>
      </c>
      <c r="C1331" s="38">
        <v>44875</v>
      </c>
      <c r="D1331" s="1" t="s">
        <v>76</v>
      </c>
      <c r="E1331" s="1" t="s">
        <v>33</v>
      </c>
      <c r="F1331" s="1" t="s">
        <v>199</v>
      </c>
      <c r="G1331" s="5">
        <v>659.49</v>
      </c>
    </row>
    <row r="1332" spans="1:7" x14ac:dyDescent="0.2">
      <c r="A1332" s="3">
        <v>70</v>
      </c>
      <c r="B1332" s="2">
        <v>46164.3</v>
      </c>
      <c r="C1332" s="38">
        <v>44875</v>
      </c>
      <c r="D1332" s="1" t="s">
        <v>76</v>
      </c>
      <c r="E1332" s="1" t="s">
        <v>33</v>
      </c>
      <c r="F1332" s="1" t="s">
        <v>199</v>
      </c>
      <c r="G1332" s="5">
        <v>659.49</v>
      </c>
    </row>
    <row r="1333" spans="1:7" x14ac:dyDescent="0.2">
      <c r="A1333" s="3">
        <v>70</v>
      </c>
      <c r="B1333" s="2">
        <v>46164.3</v>
      </c>
      <c r="C1333" s="38">
        <v>44897</v>
      </c>
      <c r="D1333" s="1" t="s">
        <v>76</v>
      </c>
      <c r="E1333" s="1" t="s">
        <v>33</v>
      </c>
      <c r="F1333" s="1" t="s">
        <v>199</v>
      </c>
      <c r="G1333" s="5">
        <v>659.49</v>
      </c>
    </row>
    <row r="1334" spans="1:7" x14ac:dyDescent="0.2">
      <c r="A1334" s="3">
        <v>70</v>
      </c>
      <c r="B1334" s="2">
        <v>46164.3</v>
      </c>
      <c r="C1334" s="38">
        <v>44753</v>
      </c>
      <c r="D1334" s="1" t="s">
        <v>76</v>
      </c>
      <c r="E1334" s="1" t="s">
        <v>33</v>
      </c>
      <c r="F1334" s="1" t="s">
        <v>199</v>
      </c>
      <c r="G1334" s="5">
        <v>659.49</v>
      </c>
    </row>
    <row r="1335" spans="1:7" x14ac:dyDescent="0.2">
      <c r="A1335" s="3">
        <v>70</v>
      </c>
      <c r="B1335" s="2">
        <v>46164.3</v>
      </c>
      <c r="C1335" s="38">
        <v>44753</v>
      </c>
      <c r="D1335" s="1" t="s">
        <v>76</v>
      </c>
      <c r="E1335" s="1" t="s">
        <v>33</v>
      </c>
      <c r="F1335" s="1" t="s">
        <v>199</v>
      </c>
      <c r="G1335" s="5">
        <v>659.49</v>
      </c>
    </row>
    <row r="1336" spans="1:7" x14ac:dyDescent="0.2">
      <c r="A1336" s="3">
        <v>70</v>
      </c>
      <c r="B1336" s="2">
        <v>46164.3</v>
      </c>
      <c r="C1336" s="38">
        <v>44753</v>
      </c>
      <c r="D1336" s="1" t="s">
        <v>76</v>
      </c>
      <c r="E1336" s="1" t="s">
        <v>33</v>
      </c>
      <c r="F1336" s="1" t="s">
        <v>199</v>
      </c>
      <c r="G1336" s="5">
        <v>659.49</v>
      </c>
    </row>
    <row r="1337" spans="1:7" x14ac:dyDescent="0.2">
      <c r="A1337" s="3">
        <v>70</v>
      </c>
      <c r="B1337" s="2">
        <v>46164.3</v>
      </c>
      <c r="C1337" s="38">
        <v>44753</v>
      </c>
      <c r="D1337" s="1" t="s">
        <v>76</v>
      </c>
      <c r="E1337" s="1" t="s">
        <v>33</v>
      </c>
      <c r="F1337" s="1" t="s">
        <v>199</v>
      </c>
      <c r="G1337" s="5">
        <v>659.49</v>
      </c>
    </row>
    <row r="1338" spans="1:7" x14ac:dyDescent="0.2">
      <c r="A1338" s="3">
        <v>70</v>
      </c>
      <c r="B1338" s="2">
        <v>46164.3</v>
      </c>
      <c r="C1338" s="38">
        <v>44753</v>
      </c>
      <c r="D1338" s="1" t="s">
        <v>76</v>
      </c>
      <c r="E1338" s="1" t="s">
        <v>33</v>
      </c>
      <c r="F1338" s="1" t="s">
        <v>199</v>
      </c>
      <c r="G1338" s="5">
        <v>659.49</v>
      </c>
    </row>
    <row r="1339" spans="1:7" x14ac:dyDescent="0.2">
      <c r="A1339" s="3">
        <v>70</v>
      </c>
      <c r="B1339" s="2">
        <v>46164.3</v>
      </c>
      <c r="C1339" s="38">
        <v>44753</v>
      </c>
      <c r="D1339" s="1" t="s">
        <v>76</v>
      </c>
      <c r="E1339" s="1" t="s">
        <v>33</v>
      </c>
      <c r="F1339" s="1" t="s">
        <v>199</v>
      </c>
      <c r="G1339" s="5">
        <v>659.49</v>
      </c>
    </row>
    <row r="1340" spans="1:7" x14ac:dyDescent="0.2">
      <c r="A1340" s="3">
        <v>70</v>
      </c>
      <c r="B1340" s="2">
        <v>46164.3</v>
      </c>
      <c r="C1340" s="38">
        <v>44753</v>
      </c>
      <c r="D1340" s="1" t="s">
        <v>76</v>
      </c>
      <c r="E1340" s="1" t="s">
        <v>33</v>
      </c>
      <c r="F1340" s="1" t="s">
        <v>199</v>
      </c>
      <c r="G1340" s="5">
        <v>659.49</v>
      </c>
    </row>
    <row r="1341" spans="1:7" x14ac:dyDescent="0.2">
      <c r="A1341" s="3">
        <v>70</v>
      </c>
      <c r="B1341" s="2">
        <v>46164.3</v>
      </c>
      <c r="C1341" s="38">
        <v>44753</v>
      </c>
      <c r="D1341" s="1" t="s">
        <v>76</v>
      </c>
      <c r="E1341" s="1" t="s">
        <v>33</v>
      </c>
      <c r="F1341" s="1" t="s">
        <v>199</v>
      </c>
      <c r="G1341" s="5">
        <v>659.49</v>
      </c>
    </row>
    <row r="1342" spans="1:7" x14ac:dyDescent="0.2">
      <c r="A1342" s="3">
        <v>70</v>
      </c>
      <c r="B1342" s="2">
        <v>46164.3</v>
      </c>
      <c r="C1342" s="38">
        <v>44753</v>
      </c>
      <c r="D1342" s="1" t="s">
        <v>76</v>
      </c>
      <c r="E1342" s="1" t="s">
        <v>33</v>
      </c>
      <c r="F1342" s="1" t="s">
        <v>199</v>
      </c>
      <c r="G1342" s="5">
        <v>659.49</v>
      </c>
    </row>
    <row r="1343" spans="1:7" x14ac:dyDescent="0.2">
      <c r="A1343" s="3">
        <v>70</v>
      </c>
      <c r="B1343" s="2">
        <v>46164.3</v>
      </c>
      <c r="C1343" s="38">
        <v>44753</v>
      </c>
      <c r="D1343" s="1" t="s">
        <v>76</v>
      </c>
      <c r="E1343" s="1" t="s">
        <v>33</v>
      </c>
      <c r="F1343" s="1" t="s">
        <v>199</v>
      </c>
      <c r="G1343" s="5">
        <v>659.49</v>
      </c>
    </row>
    <row r="1344" spans="1:7" x14ac:dyDescent="0.2">
      <c r="A1344" s="3">
        <v>70</v>
      </c>
      <c r="B1344" s="2">
        <v>46164.3</v>
      </c>
      <c r="C1344" s="38">
        <v>44753</v>
      </c>
      <c r="D1344" s="1" t="s">
        <v>76</v>
      </c>
      <c r="E1344" s="1" t="s">
        <v>33</v>
      </c>
      <c r="F1344" s="1" t="s">
        <v>199</v>
      </c>
      <c r="G1344" s="5">
        <v>659.49</v>
      </c>
    </row>
    <row r="1345" spans="1:7" x14ac:dyDescent="0.2">
      <c r="A1345" s="3">
        <v>70</v>
      </c>
      <c r="B1345" s="2">
        <v>46164.3</v>
      </c>
      <c r="C1345" s="38">
        <v>44753</v>
      </c>
      <c r="D1345" s="1" t="s">
        <v>76</v>
      </c>
      <c r="E1345" s="1" t="s">
        <v>33</v>
      </c>
      <c r="F1345" s="1" t="s">
        <v>199</v>
      </c>
      <c r="G1345" s="5">
        <v>659.49</v>
      </c>
    </row>
    <row r="1346" spans="1:7" x14ac:dyDescent="0.2">
      <c r="A1346" s="3">
        <v>70</v>
      </c>
      <c r="B1346" s="2">
        <v>46164.3</v>
      </c>
      <c r="C1346" s="38">
        <v>44806</v>
      </c>
      <c r="D1346" s="1" t="s">
        <v>76</v>
      </c>
      <c r="E1346" s="1" t="s">
        <v>33</v>
      </c>
      <c r="F1346" s="1" t="s">
        <v>199</v>
      </c>
      <c r="G1346" s="5">
        <v>659.49</v>
      </c>
    </row>
    <row r="1347" spans="1:7" x14ac:dyDescent="0.2">
      <c r="A1347" s="3">
        <v>70</v>
      </c>
      <c r="B1347" s="2">
        <v>46164.3</v>
      </c>
      <c r="C1347" s="38">
        <v>44806</v>
      </c>
      <c r="D1347" s="1" t="s">
        <v>76</v>
      </c>
      <c r="E1347" s="1" t="s">
        <v>33</v>
      </c>
      <c r="F1347" s="1" t="s">
        <v>199</v>
      </c>
      <c r="G1347" s="5">
        <v>659.49</v>
      </c>
    </row>
    <row r="1348" spans="1:7" x14ac:dyDescent="0.2">
      <c r="A1348" s="3">
        <v>70</v>
      </c>
      <c r="B1348" s="2">
        <v>46164.3</v>
      </c>
      <c r="C1348" s="38">
        <v>44806</v>
      </c>
      <c r="D1348" s="1" t="s">
        <v>76</v>
      </c>
      <c r="E1348" s="1" t="s">
        <v>33</v>
      </c>
      <c r="F1348" s="1" t="s">
        <v>199</v>
      </c>
      <c r="G1348" s="5">
        <v>659.49</v>
      </c>
    </row>
    <row r="1349" spans="1:7" x14ac:dyDescent="0.2">
      <c r="A1349" s="3">
        <v>70</v>
      </c>
      <c r="B1349" s="2">
        <v>46164.3</v>
      </c>
      <c r="C1349" s="38">
        <v>44806</v>
      </c>
      <c r="D1349" s="1" t="s">
        <v>76</v>
      </c>
      <c r="E1349" s="1" t="s">
        <v>33</v>
      </c>
      <c r="F1349" s="1" t="s">
        <v>199</v>
      </c>
      <c r="G1349" s="5">
        <v>659.49</v>
      </c>
    </row>
    <row r="1350" spans="1:7" x14ac:dyDescent="0.2">
      <c r="A1350" s="3">
        <v>70</v>
      </c>
      <c r="B1350" s="2">
        <v>46164.3</v>
      </c>
      <c r="C1350" s="38">
        <v>44806</v>
      </c>
      <c r="D1350" s="1" t="s">
        <v>76</v>
      </c>
      <c r="E1350" s="1" t="s">
        <v>33</v>
      </c>
      <c r="F1350" s="1" t="s">
        <v>199</v>
      </c>
      <c r="G1350" s="5">
        <v>659.49</v>
      </c>
    </row>
    <row r="1351" spans="1:7" x14ac:dyDescent="0.2">
      <c r="A1351" s="3">
        <v>70</v>
      </c>
      <c r="B1351" s="2">
        <v>46164.3</v>
      </c>
      <c r="C1351" s="38">
        <v>44806</v>
      </c>
      <c r="D1351" s="1" t="s">
        <v>76</v>
      </c>
      <c r="E1351" s="1" t="s">
        <v>33</v>
      </c>
      <c r="F1351" s="1" t="s">
        <v>199</v>
      </c>
      <c r="G1351" s="5">
        <v>659.49</v>
      </c>
    </row>
    <row r="1352" spans="1:7" x14ac:dyDescent="0.2">
      <c r="A1352" s="3">
        <v>70</v>
      </c>
      <c r="B1352" s="2">
        <v>46164.3</v>
      </c>
      <c r="C1352" s="38">
        <v>44806</v>
      </c>
      <c r="D1352" s="1" t="s">
        <v>76</v>
      </c>
      <c r="E1352" s="1" t="s">
        <v>33</v>
      </c>
      <c r="F1352" s="1" t="s">
        <v>199</v>
      </c>
      <c r="G1352" s="5">
        <v>659.49</v>
      </c>
    </row>
    <row r="1353" spans="1:7" x14ac:dyDescent="0.2">
      <c r="A1353" s="3">
        <v>70</v>
      </c>
      <c r="B1353" s="2">
        <v>46164.3</v>
      </c>
      <c r="C1353" s="38">
        <v>44806</v>
      </c>
      <c r="D1353" s="1" t="s">
        <v>76</v>
      </c>
      <c r="E1353" s="1" t="s">
        <v>33</v>
      </c>
      <c r="F1353" s="1" t="s">
        <v>199</v>
      </c>
      <c r="G1353" s="5">
        <v>659.49</v>
      </c>
    </row>
    <row r="1354" spans="1:7" x14ac:dyDescent="0.2">
      <c r="A1354" s="3">
        <v>70</v>
      </c>
      <c r="B1354" s="2">
        <v>46164.3</v>
      </c>
      <c r="C1354" s="38">
        <v>44806</v>
      </c>
      <c r="D1354" s="1" t="s">
        <v>76</v>
      </c>
      <c r="E1354" s="1" t="s">
        <v>33</v>
      </c>
      <c r="F1354" s="1" t="s">
        <v>199</v>
      </c>
      <c r="G1354" s="5">
        <v>659.49</v>
      </c>
    </row>
    <row r="1355" spans="1:7" x14ac:dyDescent="0.2">
      <c r="A1355" s="3">
        <v>70</v>
      </c>
      <c r="B1355" s="2">
        <v>46164.3</v>
      </c>
      <c r="C1355" s="38">
        <v>44806</v>
      </c>
      <c r="D1355" s="1" t="s">
        <v>76</v>
      </c>
      <c r="E1355" s="1" t="s">
        <v>33</v>
      </c>
      <c r="F1355" s="1" t="s">
        <v>199</v>
      </c>
      <c r="G1355" s="5">
        <v>659.49</v>
      </c>
    </row>
    <row r="1356" spans="1:7" x14ac:dyDescent="0.2">
      <c r="A1356" s="3">
        <v>70</v>
      </c>
      <c r="B1356" s="2">
        <v>46164.3</v>
      </c>
      <c r="C1356" s="38">
        <v>44806</v>
      </c>
      <c r="D1356" s="1" t="s">
        <v>76</v>
      </c>
      <c r="E1356" s="1" t="s">
        <v>33</v>
      </c>
      <c r="F1356" s="1" t="s">
        <v>199</v>
      </c>
      <c r="G1356" s="5">
        <v>659.49</v>
      </c>
    </row>
    <row r="1357" spans="1:7" x14ac:dyDescent="0.2">
      <c r="A1357" s="3">
        <v>70</v>
      </c>
      <c r="B1357" s="2">
        <v>46164.3</v>
      </c>
      <c r="C1357" s="38">
        <v>44806</v>
      </c>
      <c r="D1357" s="1" t="s">
        <v>76</v>
      </c>
      <c r="E1357" s="1" t="s">
        <v>33</v>
      </c>
      <c r="F1357" s="1" t="s">
        <v>199</v>
      </c>
      <c r="G1357" s="5">
        <v>659.49</v>
      </c>
    </row>
    <row r="1358" spans="1:7" x14ac:dyDescent="0.2">
      <c r="A1358" s="3">
        <v>70</v>
      </c>
      <c r="B1358" s="2">
        <v>46164.3</v>
      </c>
      <c r="C1358" s="38">
        <v>44806</v>
      </c>
      <c r="D1358" s="1" t="s">
        <v>76</v>
      </c>
      <c r="E1358" s="1" t="s">
        <v>33</v>
      </c>
      <c r="F1358" s="1" t="s">
        <v>199</v>
      </c>
      <c r="G1358" s="5">
        <v>659.49</v>
      </c>
    </row>
    <row r="1359" spans="1:7" x14ac:dyDescent="0.2">
      <c r="A1359" s="3">
        <v>70</v>
      </c>
      <c r="B1359" s="2">
        <v>46164.3</v>
      </c>
      <c r="C1359" s="38">
        <v>44806</v>
      </c>
      <c r="D1359" s="1" t="s">
        <v>76</v>
      </c>
      <c r="E1359" s="1" t="s">
        <v>33</v>
      </c>
      <c r="F1359" s="1" t="s">
        <v>199</v>
      </c>
      <c r="G1359" s="5">
        <v>659.49</v>
      </c>
    </row>
    <row r="1360" spans="1:7" x14ac:dyDescent="0.2">
      <c r="A1360" s="3">
        <v>70</v>
      </c>
      <c r="B1360" s="2">
        <v>46164.3</v>
      </c>
      <c r="C1360" s="38">
        <v>44806</v>
      </c>
      <c r="D1360" s="1" t="s">
        <v>76</v>
      </c>
      <c r="E1360" s="1" t="s">
        <v>33</v>
      </c>
      <c r="F1360" s="1" t="s">
        <v>199</v>
      </c>
      <c r="G1360" s="5">
        <v>659.49</v>
      </c>
    </row>
    <row r="1361" spans="1:7" x14ac:dyDescent="0.2">
      <c r="A1361" s="3">
        <v>70</v>
      </c>
      <c r="B1361" s="2">
        <v>46164.3</v>
      </c>
      <c r="C1361" s="38">
        <v>44806</v>
      </c>
      <c r="D1361" s="1" t="s">
        <v>76</v>
      </c>
      <c r="E1361" s="1" t="s">
        <v>33</v>
      </c>
      <c r="F1361" s="1" t="s">
        <v>199</v>
      </c>
      <c r="G1361" s="5">
        <v>659.49</v>
      </c>
    </row>
    <row r="1362" spans="1:7" x14ac:dyDescent="0.2">
      <c r="A1362" s="3">
        <v>70</v>
      </c>
      <c r="B1362" s="2">
        <v>46164.3</v>
      </c>
      <c r="C1362" s="38">
        <v>44806</v>
      </c>
      <c r="D1362" s="1" t="s">
        <v>76</v>
      </c>
      <c r="E1362" s="1" t="s">
        <v>33</v>
      </c>
      <c r="F1362" s="1" t="s">
        <v>199</v>
      </c>
      <c r="G1362" s="5">
        <v>659.49</v>
      </c>
    </row>
    <row r="1363" spans="1:7" x14ac:dyDescent="0.2">
      <c r="A1363" s="3">
        <v>70</v>
      </c>
      <c r="B1363" s="2">
        <v>46164.3</v>
      </c>
      <c r="C1363" s="38">
        <v>44806</v>
      </c>
      <c r="D1363" s="1" t="s">
        <v>76</v>
      </c>
      <c r="E1363" s="1" t="s">
        <v>33</v>
      </c>
      <c r="F1363" s="1" t="s">
        <v>199</v>
      </c>
      <c r="G1363" s="5">
        <v>659.49</v>
      </c>
    </row>
    <row r="1364" spans="1:7" x14ac:dyDescent="0.2">
      <c r="A1364" s="3">
        <v>70</v>
      </c>
      <c r="B1364" s="2">
        <v>46164.3</v>
      </c>
      <c r="C1364" s="38">
        <v>44806</v>
      </c>
      <c r="D1364" s="1" t="s">
        <v>76</v>
      </c>
      <c r="E1364" s="1" t="s">
        <v>33</v>
      </c>
      <c r="F1364" s="1" t="s">
        <v>199</v>
      </c>
      <c r="G1364" s="5">
        <v>659.49</v>
      </c>
    </row>
    <row r="1365" spans="1:7" x14ac:dyDescent="0.2">
      <c r="A1365" s="3">
        <v>70</v>
      </c>
      <c r="B1365" s="2">
        <v>46164.3</v>
      </c>
      <c r="C1365" s="38">
        <v>44806</v>
      </c>
      <c r="D1365" s="1" t="s">
        <v>76</v>
      </c>
      <c r="E1365" s="1" t="s">
        <v>33</v>
      </c>
      <c r="F1365" s="1" t="s">
        <v>199</v>
      </c>
      <c r="G1365" s="5">
        <v>659.49</v>
      </c>
    </row>
    <row r="1366" spans="1:7" x14ac:dyDescent="0.2">
      <c r="A1366" s="3">
        <v>70</v>
      </c>
      <c r="B1366" s="2">
        <v>46164.3</v>
      </c>
      <c r="C1366" s="38">
        <v>44806</v>
      </c>
      <c r="D1366" s="1" t="s">
        <v>76</v>
      </c>
      <c r="E1366" s="1" t="s">
        <v>33</v>
      </c>
      <c r="F1366" s="1" t="s">
        <v>199</v>
      </c>
      <c r="G1366" s="5">
        <v>659.49</v>
      </c>
    </row>
    <row r="1367" spans="1:7" x14ac:dyDescent="0.2">
      <c r="A1367" s="3">
        <v>70</v>
      </c>
      <c r="B1367" s="2">
        <v>46164.3</v>
      </c>
      <c r="C1367" s="38">
        <v>44806</v>
      </c>
      <c r="D1367" s="1" t="s">
        <v>76</v>
      </c>
      <c r="E1367" s="1" t="s">
        <v>33</v>
      </c>
      <c r="F1367" s="1" t="s">
        <v>199</v>
      </c>
      <c r="G1367" s="5">
        <v>659.49</v>
      </c>
    </row>
    <row r="1368" spans="1:7" x14ac:dyDescent="0.2">
      <c r="A1368" s="3">
        <v>70</v>
      </c>
      <c r="B1368" s="2">
        <v>46164.3</v>
      </c>
      <c r="C1368" s="38">
        <v>44806</v>
      </c>
      <c r="D1368" s="1" t="s">
        <v>76</v>
      </c>
      <c r="E1368" s="1" t="s">
        <v>33</v>
      </c>
      <c r="F1368" s="1" t="s">
        <v>199</v>
      </c>
      <c r="G1368" s="5">
        <v>659.49</v>
      </c>
    </row>
    <row r="1369" spans="1:7" x14ac:dyDescent="0.2">
      <c r="A1369" s="3">
        <v>70</v>
      </c>
      <c r="B1369" s="2">
        <v>46164.3</v>
      </c>
      <c r="C1369" s="38">
        <v>44806</v>
      </c>
      <c r="D1369" s="1" t="s">
        <v>76</v>
      </c>
      <c r="E1369" s="1" t="s">
        <v>33</v>
      </c>
      <c r="F1369" s="1" t="s">
        <v>199</v>
      </c>
      <c r="G1369" s="5">
        <v>659.49</v>
      </c>
    </row>
    <row r="1370" spans="1:7" x14ac:dyDescent="0.2">
      <c r="A1370" s="3">
        <v>70</v>
      </c>
      <c r="B1370" s="2">
        <v>46164.3</v>
      </c>
      <c r="C1370" s="38">
        <v>44806</v>
      </c>
      <c r="D1370" s="1" t="s">
        <v>76</v>
      </c>
      <c r="E1370" s="1" t="s">
        <v>33</v>
      </c>
      <c r="F1370" s="1" t="s">
        <v>199</v>
      </c>
      <c r="G1370" s="5">
        <v>659.49</v>
      </c>
    </row>
    <row r="1371" spans="1:7" x14ac:dyDescent="0.2">
      <c r="A1371" s="3">
        <v>70</v>
      </c>
      <c r="B1371" s="2">
        <v>46164.3</v>
      </c>
      <c r="C1371" s="38">
        <v>44806</v>
      </c>
      <c r="D1371" s="1" t="s">
        <v>76</v>
      </c>
      <c r="E1371" s="1" t="s">
        <v>33</v>
      </c>
      <c r="F1371" s="1" t="s">
        <v>199</v>
      </c>
      <c r="G1371" s="5">
        <v>659.49</v>
      </c>
    </row>
    <row r="1372" spans="1:7" x14ac:dyDescent="0.2">
      <c r="A1372" s="3">
        <v>70</v>
      </c>
      <c r="B1372" s="2">
        <v>46164.3</v>
      </c>
      <c r="C1372" s="38">
        <v>44806</v>
      </c>
      <c r="D1372" s="1" t="s">
        <v>76</v>
      </c>
      <c r="E1372" s="1" t="s">
        <v>33</v>
      </c>
      <c r="F1372" s="1" t="s">
        <v>199</v>
      </c>
      <c r="G1372" s="5">
        <v>659.49</v>
      </c>
    </row>
    <row r="1373" spans="1:7" x14ac:dyDescent="0.2">
      <c r="A1373" s="3">
        <v>70</v>
      </c>
      <c r="B1373" s="2">
        <v>46164.3</v>
      </c>
      <c r="C1373" s="38">
        <v>44806</v>
      </c>
      <c r="D1373" s="1" t="s">
        <v>76</v>
      </c>
      <c r="E1373" s="1" t="s">
        <v>33</v>
      </c>
      <c r="F1373" s="1" t="s">
        <v>199</v>
      </c>
      <c r="G1373" s="5">
        <v>659.49</v>
      </c>
    </row>
    <row r="1374" spans="1:7" x14ac:dyDescent="0.2">
      <c r="A1374" s="3">
        <v>70</v>
      </c>
      <c r="B1374" s="2">
        <v>46164.3</v>
      </c>
      <c r="C1374" s="38">
        <v>44806</v>
      </c>
      <c r="D1374" s="1" t="s">
        <v>76</v>
      </c>
      <c r="E1374" s="1" t="s">
        <v>33</v>
      </c>
      <c r="F1374" s="1" t="s">
        <v>199</v>
      </c>
      <c r="G1374" s="5">
        <v>659.49</v>
      </c>
    </row>
    <row r="1375" spans="1:7" x14ac:dyDescent="0.2">
      <c r="A1375" s="3">
        <v>70</v>
      </c>
      <c r="B1375" s="2">
        <v>46164.3</v>
      </c>
      <c r="C1375" s="38">
        <v>44806</v>
      </c>
      <c r="D1375" s="1" t="s">
        <v>76</v>
      </c>
      <c r="E1375" s="1" t="s">
        <v>33</v>
      </c>
      <c r="F1375" s="1" t="s">
        <v>199</v>
      </c>
      <c r="G1375" s="5">
        <v>659.49</v>
      </c>
    </row>
    <row r="1376" spans="1:7" x14ac:dyDescent="0.2">
      <c r="A1376" s="3">
        <v>70</v>
      </c>
      <c r="B1376" s="2">
        <v>46164.3</v>
      </c>
      <c r="C1376" s="38">
        <v>44806</v>
      </c>
      <c r="D1376" s="1" t="s">
        <v>76</v>
      </c>
      <c r="E1376" s="1" t="s">
        <v>33</v>
      </c>
      <c r="F1376" s="1" t="s">
        <v>199</v>
      </c>
      <c r="G1376" s="5">
        <v>659.49</v>
      </c>
    </row>
    <row r="1377" spans="1:7" x14ac:dyDescent="0.2">
      <c r="A1377" s="3">
        <v>70</v>
      </c>
      <c r="B1377" s="2">
        <v>46164.3</v>
      </c>
      <c r="C1377" s="38">
        <v>44806</v>
      </c>
      <c r="D1377" s="1" t="s">
        <v>76</v>
      </c>
      <c r="E1377" s="1" t="s">
        <v>33</v>
      </c>
      <c r="F1377" s="1" t="s">
        <v>199</v>
      </c>
      <c r="G1377" s="5">
        <v>659.49</v>
      </c>
    </row>
    <row r="1378" spans="1:7" x14ac:dyDescent="0.2">
      <c r="A1378" s="3">
        <v>70</v>
      </c>
      <c r="B1378" s="2">
        <v>46164.3</v>
      </c>
      <c r="C1378" s="38">
        <v>44932</v>
      </c>
      <c r="D1378" s="1" t="s">
        <v>76</v>
      </c>
      <c r="E1378" s="1" t="s">
        <v>33</v>
      </c>
      <c r="F1378" s="1" t="s">
        <v>200</v>
      </c>
      <c r="G1378" s="5">
        <v>659.49</v>
      </c>
    </row>
    <row r="1379" spans="1:7" x14ac:dyDescent="0.2">
      <c r="A1379" s="3">
        <v>70</v>
      </c>
      <c r="B1379" s="2">
        <v>46164.3</v>
      </c>
      <c r="C1379" s="38">
        <v>44932</v>
      </c>
      <c r="D1379" s="1" t="s">
        <v>76</v>
      </c>
      <c r="E1379" s="1" t="s">
        <v>33</v>
      </c>
      <c r="F1379" s="1" t="s">
        <v>200</v>
      </c>
      <c r="G1379" s="5">
        <v>659.49</v>
      </c>
    </row>
    <row r="1380" spans="1:7" x14ac:dyDescent="0.2">
      <c r="A1380" s="3">
        <v>70</v>
      </c>
      <c r="B1380" s="2">
        <v>46164.3</v>
      </c>
      <c r="C1380" s="38">
        <v>44932</v>
      </c>
      <c r="D1380" s="1" t="s">
        <v>76</v>
      </c>
      <c r="E1380" s="1" t="s">
        <v>33</v>
      </c>
      <c r="F1380" s="1" t="s">
        <v>200</v>
      </c>
      <c r="G1380" s="5">
        <v>659.49</v>
      </c>
    </row>
    <row r="1381" spans="1:7" x14ac:dyDescent="0.2">
      <c r="A1381" s="3">
        <v>70</v>
      </c>
      <c r="B1381" s="2">
        <v>46164.3</v>
      </c>
      <c r="C1381" s="38">
        <v>44932</v>
      </c>
      <c r="D1381" s="1" t="s">
        <v>76</v>
      </c>
      <c r="E1381" s="1" t="s">
        <v>33</v>
      </c>
      <c r="F1381" s="1" t="s">
        <v>200</v>
      </c>
      <c r="G1381" s="5">
        <v>659.49</v>
      </c>
    </row>
    <row r="1382" spans="1:7" x14ac:dyDescent="0.2">
      <c r="A1382" s="3">
        <v>70</v>
      </c>
      <c r="B1382" s="2">
        <v>46164.3</v>
      </c>
      <c r="C1382" s="38">
        <v>44932</v>
      </c>
      <c r="D1382" s="1" t="s">
        <v>76</v>
      </c>
      <c r="E1382" s="1" t="s">
        <v>33</v>
      </c>
      <c r="F1382" s="1" t="s">
        <v>200</v>
      </c>
      <c r="G1382" s="5">
        <v>659.49</v>
      </c>
    </row>
    <row r="1383" spans="1:7" x14ac:dyDescent="0.2">
      <c r="A1383" s="3">
        <v>70</v>
      </c>
      <c r="B1383" s="2">
        <v>46164.3</v>
      </c>
      <c r="C1383" s="38">
        <v>44932</v>
      </c>
      <c r="D1383" s="1" t="s">
        <v>76</v>
      </c>
      <c r="E1383" s="1" t="s">
        <v>33</v>
      </c>
      <c r="F1383" s="1" t="s">
        <v>200</v>
      </c>
      <c r="G1383" s="5">
        <v>659.49</v>
      </c>
    </row>
    <row r="1384" spans="1:7" x14ac:dyDescent="0.2">
      <c r="A1384" s="3">
        <v>70</v>
      </c>
      <c r="B1384" s="2">
        <v>46164.3</v>
      </c>
      <c r="C1384" s="38">
        <v>44932</v>
      </c>
      <c r="D1384" s="1" t="s">
        <v>76</v>
      </c>
      <c r="E1384" s="1" t="s">
        <v>33</v>
      </c>
      <c r="F1384" s="1" t="s">
        <v>200</v>
      </c>
      <c r="G1384" s="5">
        <v>659.49</v>
      </c>
    </row>
    <row r="1385" spans="1:7" x14ac:dyDescent="0.2">
      <c r="A1385" s="3">
        <v>70</v>
      </c>
      <c r="B1385" s="2">
        <v>46164.3</v>
      </c>
      <c r="C1385" s="38">
        <v>44932</v>
      </c>
      <c r="D1385" s="1" t="s">
        <v>76</v>
      </c>
      <c r="E1385" s="1" t="s">
        <v>33</v>
      </c>
      <c r="F1385" s="1" t="s">
        <v>200</v>
      </c>
      <c r="G1385" s="5">
        <v>659.49</v>
      </c>
    </row>
    <row r="1386" spans="1:7" x14ac:dyDescent="0.2">
      <c r="A1386" s="3">
        <v>70</v>
      </c>
      <c r="B1386" s="2">
        <v>46164.3</v>
      </c>
      <c r="C1386" s="38">
        <v>44932</v>
      </c>
      <c r="D1386" s="1" t="s">
        <v>76</v>
      </c>
      <c r="E1386" s="1" t="s">
        <v>33</v>
      </c>
      <c r="F1386" s="1" t="s">
        <v>200</v>
      </c>
      <c r="G1386" s="5">
        <v>659.49</v>
      </c>
    </row>
    <row r="1387" spans="1:7" x14ac:dyDescent="0.2">
      <c r="A1387" s="3">
        <v>70</v>
      </c>
      <c r="B1387" s="2">
        <v>46164.3</v>
      </c>
      <c r="C1387" s="38">
        <v>44713</v>
      </c>
      <c r="D1387" s="1" t="s">
        <v>76</v>
      </c>
      <c r="E1387" s="1" t="s">
        <v>33</v>
      </c>
      <c r="F1387" s="1" t="s">
        <v>200</v>
      </c>
      <c r="G1387" s="5">
        <v>659.49</v>
      </c>
    </row>
    <row r="1388" spans="1:7" x14ac:dyDescent="0.2">
      <c r="A1388" s="3">
        <v>70</v>
      </c>
      <c r="B1388" s="2">
        <v>46164.3</v>
      </c>
      <c r="C1388" s="38">
        <v>44713</v>
      </c>
      <c r="D1388" s="1" t="s">
        <v>76</v>
      </c>
      <c r="E1388" s="1" t="s">
        <v>33</v>
      </c>
      <c r="F1388" s="1" t="s">
        <v>200</v>
      </c>
      <c r="G1388" s="5">
        <v>659.49</v>
      </c>
    </row>
    <row r="1389" spans="1:7" x14ac:dyDescent="0.2">
      <c r="A1389" s="3">
        <v>70</v>
      </c>
      <c r="B1389" s="2">
        <v>46164.3</v>
      </c>
      <c r="C1389" s="38">
        <v>44713</v>
      </c>
      <c r="D1389" s="1" t="s">
        <v>76</v>
      </c>
      <c r="E1389" s="1" t="s">
        <v>33</v>
      </c>
      <c r="F1389" s="1" t="s">
        <v>200</v>
      </c>
      <c r="G1389" s="5">
        <v>659.49</v>
      </c>
    </row>
    <row r="1390" spans="1:7" x14ac:dyDescent="0.2">
      <c r="A1390" s="3">
        <v>70</v>
      </c>
      <c r="B1390" s="2">
        <v>46164.3</v>
      </c>
      <c r="C1390" s="38">
        <v>44713</v>
      </c>
      <c r="D1390" s="1" t="s">
        <v>76</v>
      </c>
      <c r="E1390" s="1" t="s">
        <v>33</v>
      </c>
      <c r="F1390" s="1" t="s">
        <v>200</v>
      </c>
      <c r="G1390" s="5">
        <v>659.49</v>
      </c>
    </row>
    <row r="1391" spans="1:7" x14ac:dyDescent="0.2">
      <c r="A1391" s="3">
        <v>70</v>
      </c>
      <c r="B1391" s="2">
        <v>46164.3</v>
      </c>
      <c r="C1391" s="38">
        <v>44713</v>
      </c>
      <c r="D1391" s="1" t="s">
        <v>76</v>
      </c>
      <c r="E1391" s="1" t="s">
        <v>33</v>
      </c>
      <c r="F1391" s="1" t="s">
        <v>200</v>
      </c>
      <c r="G1391" s="5">
        <v>659.49</v>
      </c>
    </row>
    <row r="1392" spans="1:7" x14ac:dyDescent="0.2">
      <c r="A1392" s="3">
        <v>70</v>
      </c>
      <c r="B1392" s="2">
        <v>46164.3</v>
      </c>
      <c r="C1392" s="38">
        <v>44713</v>
      </c>
      <c r="D1392" s="1" t="s">
        <v>76</v>
      </c>
      <c r="E1392" s="1" t="s">
        <v>33</v>
      </c>
      <c r="F1392" s="1" t="s">
        <v>200</v>
      </c>
      <c r="G1392" s="5">
        <v>659.49</v>
      </c>
    </row>
    <row r="1393" spans="1:7" x14ac:dyDescent="0.2">
      <c r="A1393" s="3">
        <v>70</v>
      </c>
      <c r="B1393" s="2">
        <v>46164.3</v>
      </c>
      <c r="C1393" s="38">
        <v>44713</v>
      </c>
      <c r="D1393" s="1" t="s">
        <v>76</v>
      </c>
      <c r="E1393" s="1" t="s">
        <v>33</v>
      </c>
      <c r="F1393" s="1" t="s">
        <v>200</v>
      </c>
      <c r="G1393" s="5">
        <v>659.49</v>
      </c>
    </row>
    <row r="1394" spans="1:7" x14ac:dyDescent="0.2">
      <c r="A1394" s="3">
        <v>70</v>
      </c>
      <c r="B1394" s="2">
        <v>46164.3</v>
      </c>
      <c r="C1394" s="38">
        <v>44713</v>
      </c>
      <c r="D1394" s="1" t="s">
        <v>76</v>
      </c>
      <c r="E1394" s="1" t="s">
        <v>33</v>
      </c>
      <c r="F1394" s="1" t="s">
        <v>200</v>
      </c>
      <c r="G1394" s="5">
        <v>659.49</v>
      </c>
    </row>
    <row r="1395" spans="1:7" x14ac:dyDescent="0.2">
      <c r="A1395" s="3">
        <v>70</v>
      </c>
      <c r="B1395" s="2">
        <v>46164.3</v>
      </c>
      <c r="C1395" s="38">
        <v>44713</v>
      </c>
      <c r="D1395" s="1" t="s">
        <v>76</v>
      </c>
      <c r="E1395" s="1" t="s">
        <v>33</v>
      </c>
      <c r="F1395" s="1" t="s">
        <v>200</v>
      </c>
      <c r="G1395" s="5">
        <v>659.49</v>
      </c>
    </row>
    <row r="1396" spans="1:7" x14ac:dyDescent="0.2">
      <c r="A1396" s="3">
        <v>70</v>
      </c>
      <c r="B1396" s="2">
        <v>46164.3</v>
      </c>
      <c r="C1396" s="38">
        <v>44713</v>
      </c>
      <c r="D1396" s="1" t="s">
        <v>76</v>
      </c>
      <c r="E1396" s="1" t="s">
        <v>33</v>
      </c>
      <c r="F1396" s="1" t="s">
        <v>200</v>
      </c>
      <c r="G1396" s="5">
        <v>659.49</v>
      </c>
    </row>
    <row r="1397" spans="1:7" x14ac:dyDescent="0.2">
      <c r="A1397" s="3">
        <v>70</v>
      </c>
      <c r="B1397" s="2">
        <v>46164.3</v>
      </c>
      <c r="C1397" s="38">
        <v>44713</v>
      </c>
      <c r="D1397" s="1" t="s">
        <v>76</v>
      </c>
      <c r="E1397" s="1" t="s">
        <v>33</v>
      </c>
      <c r="F1397" s="1" t="s">
        <v>200</v>
      </c>
      <c r="G1397" s="5">
        <v>659.49</v>
      </c>
    </row>
    <row r="1398" spans="1:7" x14ac:dyDescent="0.2">
      <c r="A1398" s="3">
        <v>70</v>
      </c>
      <c r="B1398" s="2">
        <v>46164.3</v>
      </c>
      <c r="C1398" s="38">
        <v>44713</v>
      </c>
      <c r="D1398" s="1" t="s">
        <v>76</v>
      </c>
      <c r="E1398" s="1" t="s">
        <v>33</v>
      </c>
      <c r="F1398" s="1" t="s">
        <v>200</v>
      </c>
      <c r="G1398" s="5">
        <v>659.49</v>
      </c>
    </row>
    <row r="1399" spans="1:7" x14ac:dyDescent="0.2">
      <c r="A1399" s="3">
        <v>70</v>
      </c>
      <c r="B1399" s="2">
        <v>46164.3</v>
      </c>
      <c r="C1399" s="38">
        <v>44713</v>
      </c>
      <c r="D1399" s="1" t="s">
        <v>76</v>
      </c>
      <c r="E1399" s="1" t="s">
        <v>33</v>
      </c>
      <c r="F1399" s="1" t="s">
        <v>200</v>
      </c>
      <c r="G1399" s="5">
        <v>659.49</v>
      </c>
    </row>
    <row r="1400" spans="1:7" x14ac:dyDescent="0.2">
      <c r="A1400" s="3">
        <v>70</v>
      </c>
      <c r="B1400" s="2">
        <v>46164.3</v>
      </c>
      <c r="C1400" s="38">
        <v>44713</v>
      </c>
      <c r="D1400" s="1" t="s">
        <v>76</v>
      </c>
      <c r="E1400" s="1" t="s">
        <v>33</v>
      </c>
      <c r="F1400" s="1" t="s">
        <v>200</v>
      </c>
      <c r="G1400" s="5">
        <v>659.49</v>
      </c>
    </row>
    <row r="1401" spans="1:7" x14ac:dyDescent="0.2">
      <c r="A1401" s="3">
        <v>70</v>
      </c>
      <c r="B1401" s="2">
        <v>46164.3</v>
      </c>
      <c r="C1401" s="38">
        <v>44713</v>
      </c>
      <c r="D1401" s="1" t="s">
        <v>76</v>
      </c>
      <c r="E1401" s="1" t="s">
        <v>33</v>
      </c>
      <c r="F1401" s="1" t="s">
        <v>200</v>
      </c>
      <c r="G1401" s="5">
        <v>659.49</v>
      </c>
    </row>
    <row r="1402" spans="1:7" x14ac:dyDescent="0.2">
      <c r="A1402" s="3">
        <v>70</v>
      </c>
      <c r="B1402" s="2">
        <v>46164.3</v>
      </c>
      <c r="C1402" s="38">
        <v>44713</v>
      </c>
      <c r="D1402" s="1" t="s">
        <v>76</v>
      </c>
      <c r="E1402" s="1" t="s">
        <v>33</v>
      </c>
      <c r="F1402" s="1" t="s">
        <v>200</v>
      </c>
      <c r="G1402" s="5">
        <v>659.49</v>
      </c>
    </row>
    <row r="1403" spans="1:7" x14ac:dyDescent="0.2">
      <c r="A1403" s="3">
        <v>70</v>
      </c>
      <c r="B1403" s="2">
        <v>46164.3</v>
      </c>
      <c r="C1403" s="38">
        <v>44713</v>
      </c>
      <c r="D1403" s="1" t="s">
        <v>76</v>
      </c>
      <c r="E1403" s="1" t="s">
        <v>33</v>
      </c>
      <c r="F1403" s="1" t="s">
        <v>200</v>
      </c>
      <c r="G1403" s="5">
        <v>659.49</v>
      </c>
    </row>
    <row r="1404" spans="1:7" x14ac:dyDescent="0.2">
      <c r="A1404" s="3">
        <v>70</v>
      </c>
      <c r="B1404" s="2">
        <v>46164.3</v>
      </c>
      <c r="C1404" s="38">
        <v>44713</v>
      </c>
      <c r="D1404" s="1" t="s">
        <v>76</v>
      </c>
      <c r="E1404" s="1" t="s">
        <v>33</v>
      </c>
      <c r="F1404" s="1" t="s">
        <v>200</v>
      </c>
      <c r="G1404" s="5">
        <v>659.49</v>
      </c>
    </row>
    <row r="1405" spans="1:7" x14ac:dyDescent="0.2">
      <c r="A1405" s="3">
        <v>70</v>
      </c>
      <c r="B1405" s="2">
        <v>46164.3</v>
      </c>
      <c r="C1405" s="38">
        <v>44713</v>
      </c>
      <c r="D1405" s="1" t="s">
        <v>76</v>
      </c>
      <c r="E1405" s="1" t="s">
        <v>33</v>
      </c>
      <c r="F1405" s="1" t="s">
        <v>200</v>
      </c>
      <c r="G1405" s="5">
        <v>659.49</v>
      </c>
    </row>
    <row r="1406" spans="1:7" x14ac:dyDescent="0.2">
      <c r="A1406" s="3">
        <v>70</v>
      </c>
      <c r="B1406" s="2">
        <v>46164.3</v>
      </c>
      <c r="C1406" s="38">
        <v>44713</v>
      </c>
      <c r="D1406" s="1" t="s">
        <v>76</v>
      </c>
      <c r="E1406" s="1" t="s">
        <v>33</v>
      </c>
      <c r="F1406" s="1" t="s">
        <v>200</v>
      </c>
      <c r="G1406" s="5">
        <v>659.49</v>
      </c>
    </row>
    <row r="1407" spans="1:7" x14ac:dyDescent="0.2">
      <c r="A1407" s="3">
        <v>70</v>
      </c>
      <c r="B1407" s="2">
        <v>46164.3</v>
      </c>
      <c r="C1407" s="38">
        <v>44940</v>
      </c>
      <c r="D1407" s="1" t="s">
        <v>76</v>
      </c>
      <c r="E1407" s="1" t="s">
        <v>33</v>
      </c>
      <c r="F1407" s="1" t="s">
        <v>200</v>
      </c>
      <c r="G1407" s="5">
        <v>659.49</v>
      </c>
    </row>
    <row r="1408" spans="1:7" x14ac:dyDescent="0.2">
      <c r="A1408" s="3">
        <v>70</v>
      </c>
      <c r="B1408" s="2">
        <v>46164.3</v>
      </c>
      <c r="C1408" s="38">
        <v>44940</v>
      </c>
      <c r="D1408" s="1" t="s">
        <v>76</v>
      </c>
      <c r="E1408" s="1" t="s">
        <v>33</v>
      </c>
      <c r="F1408" s="1" t="s">
        <v>200</v>
      </c>
      <c r="G1408" s="5">
        <v>659.49</v>
      </c>
    </row>
    <row r="1409" spans="1:7" x14ac:dyDescent="0.2">
      <c r="A1409" s="3">
        <v>70</v>
      </c>
      <c r="B1409" s="2">
        <v>46164.3</v>
      </c>
      <c r="C1409" s="38">
        <v>44940</v>
      </c>
      <c r="D1409" s="1" t="s">
        <v>76</v>
      </c>
      <c r="E1409" s="1" t="s">
        <v>33</v>
      </c>
      <c r="F1409" s="1" t="s">
        <v>200</v>
      </c>
      <c r="G1409" s="5">
        <v>659.49</v>
      </c>
    </row>
    <row r="1410" spans="1:7" x14ac:dyDescent="0.2">
      <c r="A1410" s="3">
        <v>70</v>
      </c>
      <c r="B1410" s="2">
        <v>46164.3</v>
      </c>
      <c r="C1410" s="38">
        <v>44940</v>
      </c>
      <c r="D1410" s="1" t="s">
        <v>76</v>
      </c>
      <c r="E1410" s="1" t="s">
        <v>33</v>
      </c>
      <c r="F1410" s="1" t="s">
        <v>200</v>
      </c>
      <c r="G1410" s="5">
        <v>659.49</v>
      </c>
    </row>
    <row r="1411" spans="1:7" x14ac:dyDescent="0.2">
      <c r="A1411" s="3">
        <v>70</v>
      </c>
      <c r="B1411" s="2">
        <v>46164.3</v>
      </c>
      <c r="C1411" s="38">
        <v>44940</v>
      </c>
      <c r="D1411" s="1" t="s">
        <v>76</v>
      </c>
      <c r="E1411" s="1" t="s">
        <v>33</v>
      </c>
      <c r="F1411" s="1" t="s">
        <v>200</v>
      </c>
      <c r="G1411" s="5">
        <v>659.49</v>
      </c>
    </row>
    <row r="1412" spans="1:7" x14ac:dyDescent="0.2">
      <c r="A1412" s="3">
        <v>70</v>
      </c>
      <c r="B1412" s="2">
        <v>46164.3</v>
      </c>
      <c r="C1412" s="38">
        <v>44940</v>
      </c>
      <c r="D1412" s="1" t="s">
        <v>76</v>
      </c>
      <c r="E1412" s="1" t="s">
        <v>33</v>
      </c>
      <c r="F1412" s="1" t="s">
        <v>200</v>
      </c>
      <c r="G1412" s="5">
        <v>659.49</v>
      </c>
    </row>
    <row r="1413" spans="1:7" x14ac:dyDescent="0.2">
      <c r="A1413" s="3">
        <v>70</v>
      </c>
      <c r="B1413" s="2">
        <v>46164.3</v>
      </c>
      <c r="C1413" s="38">
        <v>44940</v>
      </c>
      <c r="D1413" s="1" t="s">
        <v>76</v>
      </c>
      <c r="E1413" s="1" t="s">
        <v>33</v>
      </c>
      <c r="F1413" s="1" t="s">
        <v>200</v>
      </c>
      <c r="G1413" s="5">
        <v>659.49</v>
      </c>
    </row>
    <row r="1414" spans="1:7" x14ac:dyDescent="0.2">
      <c r="A1414" s="3">
        <v>70</v>
      </c>
      <c r="B1414" s="2">
        <v>46164.3</v>
      </c>
      <c r="C1414" s="38">
        <v>44950</v>
      </c>
      <c r="D1414" s="1" t="s">
        <v>76</v>
      </c>
      <c r="E1414" s="1" t="s">
        <v>33</v>
      </c>
      <c r="F1414" s="1" t="s">
        <v>200</v>
      </c>
      <c r="G1414" s="5">
        <v>659.49</v>
      </c>
    </row>
    <row r="1415" spans="1:7" x14ac:dyDescent="0.2">
      <c r="A1415" s="3">
        <v>70</v>
      </c>
      <c r="B1415" s="2">
        <v>46164.3</v>
      </c>
      <c r="C1415" s="38">
        <v>44950</v>
      </c>
      <c r="D1415" s="1" t="s">
        <v>76</v>
      </c>
      <c r="E1415" s="1" t="s">
        <v>33</v>
      </c>
      <c r="F1415" s="1" t="s">
        <v>200</v>
      </c>
      <c r="G1415" s="5">
        <v>659.49</v>
      </c>
    </row>
    <row r="1416" spans="1:7" x14ac:dyDescent="0.2">
      <c r="A1416" s="3">
        <v>70</v>
      </c>
      <c r="B1416" s="2">
        <v>46164.3</v>
      </c>
      <c r="C1416" s="38">
        <v>44950</v>
      </c>
      <c r="D1416" s="1" t="s">
        <v>76</v>
      </c>
      <c r="E1416" s="1" t="s">
        <v>33</v>
      </c>
      <c r="F1416" s="1" t="s">
        <v>200</v>
      </c>
      <c r="G1416" s="5">
        <v>659.49</v>
      </c>
    </row>
    <row r="1417" spans="1:7" x14ac:dyDescent="0.2">
      <c r="A1417" s="3">
        <v>70</v>
      </c>
      <c r="B1417" s="2">
        <v>46164.3</v>
      </c>
      <c r="C1417" s="38">
        <v>44950</v>
      </c>
      <c r="D1417" s="1" t="s">
        <v>76</v>
      </c>
      <c r="E1417" s="1" t="s">
        <v>33</v>
      </c>
      <c r="F1417" s="1" t="s">
        <v>200</v>
      </c>
      <c r="G1417" s="5">
        <v>659.49</v>
      </c>
    </row>
    <row r="1418" spans="1:7" x14ac:dyDescent="0.2">
      <c r="A1418" s="3">
        <v>70</v>
      </c>
      <c r="B1418" s="2">
        <v>46164.3</v>
      </c>
      <c r="C1418" s="38">
        <v>44721</v>
      </c>
      <c r="D1418" s="1" t="s">
        <v>76</v>
      </c>
      <c r="E1418" s="1" t="s">
        <v>33</v>
      </c>
      <c r="F1418" s="1" t="s">
        <v>200</v>
      </c>
      <c r="G1418" s="5">
        <v>659.49</v>
      </c>
    </row>
    <row r="1419" spans="1:7" x14ac:dyDescent="0.2">
      <c r="A1419" s="3">
        <v>70</v>
      </c>
      <c r="B1419" s="2">
        <v>46164.3</v>
      </c>
      <c r="C1419" s="38">
        <v>44721</v>
      </c>
      <c r="D1419" s="1" t="s">
        <v>76</v>
      </c>
      <c r="E1419" s="1" t="s">
        <v>33</v>
      </c>
      <c r="F1419" s="1" t="s">
        <v>200</v>
      </c>
      <c r="G1419" s="5">
        <v>659.49</v>
      </c>
    </row>
    <row r="1420" spans="1:7" x14ac:dyDescent="0.2">
      <c r="A1420" s="3">
        <v>70</v>
      </c>
      <c r="B1420" s="2">
        <v>46164.3</v>
      </c>
      <c r="C1420" s="38">
        <v>44721</v>
      </c>
      <c r="D1420" s="1" t="s">
        <v>76</v>
      </c>
      <c r="E1420" s="1" t="s">
        <v>33</v>
      </c>
      <c r="F1420" s="1" t="s">
        <v>200</v>
      </c>
      <c r="G1420" s="5">
        <v>659.49</v>
      </c>
    </row>
    <row r="1421" spans="1:7" x14ac:dyDescent="0.2">
      <c r="A1421" s="3">
        <v>70</v>
      </c>
      <c r="B1421" s="2">
        <v>46164.3</v>
      </c>
      <c r="C1421" s="38">
        <v>44721</v>
      </c>
      <c r="D1421" s="1" t="s">
        <v>76</v>
      </c>
      <c r="E1421" s="1" t="s">
        <v>33</v>
      </c>
      <c r="F1421" s="1" t="s">
        <v>200</v>
      </c>
      <c r="G1421" s="5">
        <v>659.49</v>
      </c>
    </row>
    <row r="1422" spans="1:7" x14ac:dyDescent="0.2">
      <c r="A1422" s="3">
        <v>70</v>
      </c>
      <c r="B1422" s="2">
        <v>46164.3</v>
      </c>
      <c r="C1422" s="38">
        <v>44721</v>
      </c>
      <c r="D1422" s="1" t="s">
        <v>76</v>
      </c>
      <c r="E1422" s="1" t="s">
        <v>33</v>
      </c>
      <c r="F1422" s="1" t="s">
        <v>200</v>
      </c>
      <c r="G1422" s="5">
        <v>659.49</v>
      </c>
    </row>
    <row r="1423" spans="1:7" x14ac:dyDescent="0.2">
      <c r="A1423" s="3">
        <v>70</v>
      </c>
      <c r="B1423" s="2">
        <v>46164.3</v>
      </c>
      <c r="C1423" s="38">
        <v>44721</v>
      </c>
      <c r="D1423" s="1" t="s">
        <v>76</v>
      </c>
      <c r="E1423" s="1" t="s">
        <v>33</v>
      </c>
      <c r="F1423" s="1" t="s">
        <v>200</v>
      </c>
      <c r="G1423" s="5">
        <v>659.49</v>
      </c>
    </row>
    <row r="1424" spans="1:7" x14ac:dyDescent="0.2">
      <c r="A1424" s="3">
        <v>70</v>
      </c>
      <c r="B1424" s="2">
        <v>46164.3</v>
      </c>
      <c r="C1424" s="38">
        <v>44721</v>
      </c>
      <c r="D1424" s="1" t="s">
        <v>76</v>
      </c>
      <c r="E1424" s="1" t="s">
        <v>33</v>
      </c>
      <c r="F1424" s="1" t="s">
        <v>200</v>
      </c>
      <c r="G1424" s="5">
        <v>659.49</v>
      </c>
    </row>
    <row r="1425" spans="1:7" x14ac:dyDescent="0.2">
      <c r="A1425" s="3">
        <v>70</v>
      </c>
      <c r="B1425" s="2">
        <v>46164.3</v>
      </c>
      <c r="C1425" s="38">
        <v>44956</v>
      </c>
      <c r="D1425" s="1" t="s">
        <v>76</v>
      </c>
      <c r="E1425" s="1" t="s">
        <v>33</v>
      </c>
      <c r="F1425" s="1" t="s">
        <v>200</v>
      </c>
      <c r="G1425" s="5">
        <v>659.49</v>
      </c>
    </row>
    <row r="1426" spans="1:7" x14ac:dyDescent="0.2">
      <c r="A1426" s="3">
        <v>70</v>
      </c>
      <c r="B1426" s="2">
        <v>46164.3</v>
      </c>
      <c r="C1426" s="38">
        <v>44956</v>
      </c>
      <c r="D1426" s="1" t="s">
        <v>76</v>
      </c>
      <c r="E1426" s="1" t="s">
        <v>33</v>
      </c>
      <c r="F1426" s="1" t="s">
        <v>200</v>
      </c>
      <c r="G1426" s="5">
        <v>659.49</v>
      </c>
    </row>
    <row r="1427" spans="1:7" x14ac:dyDescent="0.2">
      <c r="A1427" s="3">
        <v>70</v>
      </c>
      <c r="B1427" s="2">
        <v>46164.3</v>
      </c>
      <c r="C1427" s="38">
        <v>44959</v>
      </c>
      <c r="D1427" s="1" t="s">
        <v>76</v>
      </c>
      <c r="E1427" s="1" t="s">
        <v>33</v>
      </c>
      <c r="F1427" s="1" t="s">
        <v>200</v>
      </c>
      <c r="G1427" s="5">
        <v>659.49</v>
      </c>
    </row>
    <row r="1428" spans="1:7" x14ac:dyDescent="0.2">
      <c r="A1428" s="3">
        <v>70</v>
      </c>
      <c r="B1428" s="2">
        <v>46164.3</v>
      </c>
      <c r="C1428" s="38">
        <v>44959</v>
      </c>
      <c r="D1428" s="1" t="s">
        <v>76</v>
      </c>
      <c r="E1428" s="1" t="s">
        <v>33</v>
      </c>
      <c r="F1428" s="1" t="s">
        <v>200</v>
      </c>
      <c r="G1428" s="5">
        <v>659.49</v>
      </c>
    </row>
    <row r="1429" spans="1:7" x14ac:dyDescent="0.2">
      <c r="A1429" s="3">
        <v>70</v>
      </c>
      <c r="B1429" s="2">
        <v>46164.3</v>
      </c>
      <c r="C1429" s="38">
        <v>44970</v>
      </c>
      <c r="D1429" s="1" t="s">
        <v>76</v>
      </c>
      <c r="E1429" s="1" t="s">
        <v>33</v>
      </c>
      <c r="F1429" s="1" t="s">
        <v>200</v>
      </c>
      <c r="G1429" s="5">
        <v>659.49</v>
      </c>
    </row>
    <row r="1430" spans="1:7" x14ac:dyDescent="0.2">
      <c r="A1430" s="3">
        <v>70</v>
      </c>
      <c r="B1430" s="2">
        <v>46164.3</v>
      </c>
      <c r="C1430" s="38">
        <v>44970</v>
      </c>
      <c r="D1430" s="1" t="s">
        <v>76</v>
      </c>
      <c r="E1430" s="1" t="s">
        <v>33</v>
      </c>
      <c r="F1430" s="1" t="s">
        <v>200</v>
      </c>
      <c r="G1430" s="5">
        <v>659.49</v>
      </c>
    </row>
    <row r="1431" spans="1:7" x14ac:dyDescent="0.2">
      <c r="A1431" s="3">
        <v>70</v>
      </c>
      <c r="B1431" s="2">
        <v>46164.3</v>
      </c>
      <c r="C1431" s="38">
        <v>44970</v>
      </c>
      <c r="D1431" s="1" t="s">
        <v>76</v>
      </c>
      <c r="E1431" s="1" t="s">
        <v>33</v>
      </c>
      <c r="F1431" s="1" t="s">
        <v>200</v>
      </c>
      <c r="G1431" s="5">
        <v>659.49</v>
      </c>
    </row>
    <row r="1432" spans="1:7" x14ac:dyDescent="0.2">
      <c r="A1432" s="3">
        <v>70</v>
      </c>
      <c r="B1432" s="2">
        <v>46164.3</v>
      </c>
      <c r="C1432" s="38">
        <v>44970</v>
      </c>
      <c r="D1432" s="1" t="s">
        <v>76</v>
      </c>
      <c r="E1432" s="1" t="s">
        <v>33</v>
      </c>
      <c r="F1432" s="1" t="s">
        <v>200</v>
      </c>
      <c r="G1432" s="5">
        <v>659.49</v>
      </c>
    </row>
    <row r="1433" spans="1:7" x14ac:dyDescent="0.2">
      <c r="A1433" s="3">
        <v>70</v>
      </c>
      <c r="B1433" s="2">
        <v>46164.3</v>
      </c>
      <c r="C1433" s="38">
        <v>44806</v>
      </c>
      <c r="D1433" s="1" t="s">
        <v>76</v>
      </c>
      <c r="E1433" s="1" t="s">
        <v>33</v>
      </c>
      <c r="F1433" s="1" t="s">
        <v>200</v>
      </c>
      <c r="G1433" s="5">
        <v>659.49</v>
      </c>
    </row>
    <row r="1434" spans="1:7" x14ac:dyDescent="0.2">
      <c r="A1434" s="3">
        <v>70</v>
      </c>
      <c r="B1434" s="2">
        <v>46164.3</v>
      </c>
      <c r="C1434" s="38">
        <v>44806</v>
      </c>
      <c r="D1434" s="1" t="s">
        <v>76</v>
      </c>
      <c r="E1434" s="1" t="s">
        <v>33</v>
      </c>
      <c r="F1434" s="1" t="s">
        <v>200</v>
      </c>
      <c r="G1434" s="5">
        <v>659.49</v>
      </c>
    </row>
    <row r="1435" spans="1:7" x14ac:dyDescent="0.2">
      <c r="A1435" s="3">
        <v>70</v>
      </c>
      <c r="B1435" s="2">
        <v>46164.3</v>
      </c>
      <c r="C1435" s="38">
        <v>44806</v>
      </c>
      <c r="D1435" s="1" t="s">
        <v>76</v>
      </c>
      <c r="E1435" s="1" t="s">
        <v>33</v>
      </c>
      <c r="F1435" s="1" t="s">
        <v>200</v>
      </c>
      <c r="G1435" s="5">
        <v>659.49</v>
      </c>
    </row>
    <row r="1436" spans="1:7" x14ac:dyDescent="0.2">
      <c r="A1436" s="3">
        <v>70</v>
      </c>
      <c r="B1436" s="2">
        <v>46164.3</v>
      </c>
      <c r="C1436" s="38">
        <v>44806</v>
      </c>
      <c r="D1436" s="1" t="s">
        <v>76</v>
      </c>
      <c r="E1436" s="1" t="s">
        <v>33</v>
      </c>
      <c r="F1436" s="1" t="s">
        <v>200</v>
      </c>
      <c r="G1436" s="5">
        <v>659.49</v>
      </c>
    </row>
    <row r="1437" spans="1:7" x14ac:dyDescent="0.2">
      <c r="A1437" s="3">
        <v>70</v>
      </c>
      <c r="B1437" s="2">
        <v>46164.3</v>
      </c>
      <c r="C1437" s="38">
        <v>44806</v>
      </c>
      <c r="D1437" s="1" t="s">
        <v>76</v>
      </c>
      <c r="E1437" s="1" t="s">
        <v>33</v>
      </c>
      <c r="F1437" s="1" t="s">
        <v>200</v>
      </c>
      <c r="G1437" s="5">
        <v>659.49</v>
      </c>
    </row>
    <row r="1438" spans="1:7" x14ac:dyDescent="0.2">
      <c r="A1438" s="3">
        <v>70</v>
      </c>
      <c r="B1438" s="2">
        <v>46164.3</v>
      </c>
      <c r="C1438" s="38">
        <v>44806</v>
      </c>
      <c r="D1438" s="1" t="s">
        <v>76</v>
      </c>
      <c r="E1438" s="1" t="s">
        <v>33</v>
      </c>
      <c r="F1438" s="1" t="s">
        <v>200</v>
      </c>
      <c r="G1438" s="5">
        <v>659.49</v>
      </c>
    </row>
    <row r="1439" spans="1:7" x14ac:dyDescent="0.2">
      <c r="A1439" s="3">
        <v>70</v>
      </c>
      <c r="B1439" s="2">
        <v>46164.3</v>
      </c>
      <c r="C1439" s="38">
        <v>44806</v>
      </c>
      <c r="D1439" s="1" t="s">
        <v>76</v>
      </c>
      <c r="E1439" s="1" t="s">
        <v>33</v>
      </c>
      <c r="F1439" s="1" t="s">
        <v>200</v>
      </c>
      <c r="G1439" s="5">
        <v>659.49</v>
      </c>
    </row>
    <row r="1440" spans="1:7" x14ac:dyDescent="0.2">
      <c r="A1440" s="3">
        <v>70</v>
      </c>
      <c r="B1440" s="2">
        <v>46164.3</v>
      </c>
      <c r="C1440" s="38">
        <v>44894</v>
      </c>
      <c r="D1440" s="1" t="s">
        <v>76</v>
      </c>
      <c r="E1440" s="1" t="s">
        <v>33</v>
      </c>
      <c r="F1440" s="1" t="s">
        <v>200</v>
      </c>
      <c r="G1440" s="5">
        <v>659.49</v>
      </c>
    </row>
    <row r="1441" spans="1:7" x14ac:dyDescent="0.2">
      <c r="A1441" s="3">
        <v>70</v>
      </c>
      <c r="B1441" s="2">
        <v>46164.3</v>
      </c>
      <c r="C1441" s="38">
        <v>44894</v>
      </c>
      <c r="D1441" s="1" t="s">
        <v>76</v>
      </c>
      <c r="E1441" s="1" t="s">
        <v>33</v>
      </c>
      <c r="F1441" s="1" t="s">
        <v>200</v>
      </c>
      <c r="G1441" s="5">
        <v>659.49</v>
      </c>
    </row>
    <row r="1442" spans="1:7" x14ac:dyDescent="0.2">
      <c r="A1442" s="3">
        <v>70</v>
      </c>
      <c r="B1442" s="2">
        <v>46164.3</v>
      </c>
      <c r="C1442" s="38">
        <v>44897</v>
      </c>
      <c r="D1442" s="1" t="s">
        <v>76</v>
      </c>
      <c r="E1442" s="1" t="s">
        <v>33</v>
      </c>
      <c r="F1442" s="1" t="s">
        <v>200</v>
      </c>
      <c r="G1442" s="5">
        <v>659.49</v>
      </c>
    </row>
    <row r="1443" spans="1:7" x14ac:dyDescent="0.2">
      <c r="A1443" s="3">
        <v>70</v>
      </c>
      <c r="B1443" s="2">
        <v>46164.3</v>
      </c>
      <c r="C1443" s="38">
        <v>44914</v>
      </c>
      <c r="D1443" s="1" t="s">
        <v>76</v>
      </c>
      <c r="E1443" s="1" t="s">
        <v>33</v>
      </c>
      <c r="F1443" s="1" t="s">
        <v>200</v>
      </c>
      <c r="G1443" s="5">
        <v>659.49</v>
      </c>
    </row>
    <row r="1444" spans="1:7" x14ac:dyDescent="0.2">
      <c r="A1444" s="3">
        <v>70</v>
      </c>
      <c r="B1444" s="2">
        <v>46164.3</v>
      </c>
      <c r="C1444" s="38">
        <v>44806</v>
      </c>
      <c r="D1444" s="1" t="s">
        <v>76</v>
      </c>
      <c r="E1444" s="1" t="s">
        <v>33</v>
      </c>
      <c r="F1444" s="1" t="s">
        <v>200</v>
      </c>
      <c r="G1444" s="5">
        <v>659.49</v>
      </c>
    </row>
    <row r="1445" spans="1:7" x14ac:dyDescent="0.2">
      <c r="A1445" s="3">
        <v>70</v>
      </c>
      <c r="B1445" s="2">
        <v>46164.3</v>
      </c>
      <c r="C1445" s="38">
        <v>44806</v>
      </c>
      <c r="D1445" s="1" t="s">
        <v>76</v>
      </c>
      <c r="E1445" s="1" t="s">
        <v>33</v>
      </c>
      <c r="F1445" s="1" t="s">
        <v>200</v>
      </c>
      <c r="G1445" s="5">
        <v>659.49</v>
      </c>
    </row>
    <row r="1446" spans="1:7" x14ac:dyDescent="0.2">
      <c r="A1446" s="3">
        <v>70</v>
      </c>
      <c r="B1446" s="2">
        <v>46164.3</v>
      </c>
      <c r="C1446" s="38">
        <v>44806</v>
      </c>
      <c r="D1446" s="1" t="s">
        <v>76</v>
      </c>
      <c r="E1446" s="1" t="s">
        <v>33</v>
      </c>
      <c r="F1446" s="1" t="s">
        <v>200</v>
      </c>
      <c r="G1446" s="5">
        <v>659.49</v>
      </c>
    </row>
    <row r="1447" spans="1:7" x14ac:dyDescent="0.2">
      <c r="A1447" s="3">
        <v>70</v>
      </c>
      <c r="B1447" s="2">
        <v>26859</v>
      </c>
      <c r="C1447" s="38">
        <v>45077</v>
      </c>
      <c r="D1447" s="1" t="s">
        <v>74</v>
      </c>
      <c r="E1447" s="1" t="s">
        <v>33</v>
      </c>
      <c r="F1447" s="1" t="s">
        <v>200</v>
      </c>
      <c r="G1447" s="5">
        <v>383.7</v>
      </c>
    </row>
    <row r="1448" spans="1:7" x14ac:dyDescent="0.2">
      <c r="A1448" s="3">
        <v>70</v>
      </c>
      <c r="B1448" s="2">
        <v>26859</v>
      </c>
      <c r="C1448" s="38">
        <v>44940</v>
      </c>
      <c r="D1448" s="1" t="s">
        <v>74</v>
      </c>
      <c r="E1448" s="1" t="s">
        <v>33</v>
      </c>
      <c r="F1448" s="1" t="s">
        <v>200</v>
      </c>
      <c r="G1448" s="5">
        <v>383.7</v>
      </c>
    </row>
    <row r="1449" spans="1:7" x14ac:dyDescent="0.2">
      <c r="A1449" s="3">
        <v>70</v>
      </c>
      <c r="B1449" s="2">
        <v>29066.1</v>
      </c>
      <c r="C1449" s="38">
        <v>44950</v>
      </c>
      <c r="D1449" s="1" t="s">
        <v>72</v>
      </c>
      <c r="E1449" s="1" t="s">
        <v>33</v>
      </c>
      <c r="F1449" s="1" t="s">
        <v>200</v>
      </c>
      <c r="G1449" s="5">
        <v>415.23</v>
      </c>
    </row>
    <row r="1450" spans="1:7" x14ac:dyDescent="0.2">
      <c r="A1450" s="3">
        <v>70</v>
      </c>
      <c r="B1450" s="2">
        <v>29066.1</v>
      </c>
      <c r="C1450" s="38">
        <v>44950</v>
      </c>
      <c r="D1450" s="1" t="s">
        <v>72</v>
      </c>
      <c r="E1450" s="1" t="s">
        <v>33</v>
      </c>
      <c r="F1450" s="1" t="s">
        <v>200</v>
      </c>
      <c r="G1450" s="5">
        <v>415.23</v>
      </c>
    </row>
    <row r="1451" spans="1:7" x14ac:dyDescent="0.2">
      <c r="A1451" s="3">
        <v>70</v>
      </c>
      <c r="B1451" s="2">
        <v>29066.1</v>
      </c>
      <c r="C1451" s="38">
        <v>44950</v>
      </c>
      <c r="D1451" s="1" t="s">
        <v>72</v>
      </c>
      <c r="E1451" s="1" t="s">
        <v>33</v>
      </c>
      <c r="F1451" s="1" t="s">
        <v>200</v>
      </c>
      <c r="G1451" s="5">
        <v>415.23</v>
      </c>
    </row>
    <row r="1452" spans="1:7" x14ac:dyDescent="0.2">
      <c r="A1452" s="3">
        <v>70</v>
      </c>
      <c r="B1452" s="2">
        <v>29066.1</v>
      </c>
      <c r="C1452" s="38">
        <v>44950</v>
      </c>
      <c r="D1452" s="1" t="s">
        <v>72</v>
      </c>
      <c r="E1452" s="1" t="s">
        <v>33</v>
      </c>
      <c r="F1452" s="1" t="s">
        <v>200</v>
      </c>
      <c r="G1452" s="5">
        <v>415.23</v>
      </c>
    </row>
    <row r="1453" spans="1:7" x14ac:dyDescent="0.2">
      <c r="A1453" s="3">
        <v>70</v>
      </c>
      <c r="B1453" s="2">
        <v>29066.1</v>
      </c>
      <c r="C1453" s="38">
        <v>44950</v>
      </c>
      <c r="D1453" s="1" t="s">
        <v>72</v>
      </c>
      <c r="E1453" s="1" t="s">
        <v>33</v>
      </c>
      <c r="F1453" s="1" t="s">
        <v>200</v>
      </c>
      <c r="G1453" s="5">
        <v>415.23</v>
      </c>
    </row>
    <row r="1454" spans="1:7" x14ac:dyDescent="0.2">
      <c r="A1454" s="3">
        <v>70</v>
      </c>
      <c r="B1454" s="2">
        <v>29066.1</v>
      </c>
      <c r="C1454" s="38">
        <v>45049</v>
      </c>
      <c r="D1454" s="1" t="s">
        <v>72</v>
      </c>
      <c r="E1454" s="1" t="s">
        <v>33</v>
      </c>
      <c r="F1454" s="1" t="s">
        <v>200</v>
      </c>
      <c r="G1454" s="5">
        <v>415.23</v>
      </c>
    </row>
    <row r="1455" spans="1:7" x14ac:dyDescent="0.2">
      <c r="A1455" s="3">
        <v>70</v>
      </c>
      <c r="B1455" s="2">
        <v>29066.1</v>
      </c>
      <c r="C1455" s="38">
        <v>45049</v>
      </c>
      <c r="D1455" s="1" t="s">
        <v>72</v>
      </c>
      <c r="E1455" s="1" t="s">
        <v>33</v>
      </c>
      <c r="F1455" s="1" t="s">
        <v>200</v>
      </c>
      <c r="G1455" s="5">
        <v>415.23</v>
      </c>
    </row>
    <row r="1456" spans="1:7" x14ac:dyDescent="0.2">
      <c r="A1456" s="3">
        <v>70</v>
      </c>
      <c r="B1456" s="2">
        <v>29066.1</v>
      </c>
      <c r="C1456" s="38">
        <v>45049</v>
      </c>
      <c r="D1456" s="1" t="s">
        <v>72</v>
      </c>
      <c r="E1456" s="1" t="s">
        <v>33</v>
      </c>
      <c r="F1456" s="1" t="s">
        <v>200</v>
      </c>
      <c r="G1456" s="5">
        <v>415.23</v>
      </c>
    </row>
    <row r="1457" spans="1:7" x14ac:dyDescent="0.2">
      <c r="A1457" s="3">
        <v>70</v>
      </c>
      <c r="B1457" s="2">
        <v>30020.2</v>
      </c>
      <c r="C1457" s="38">
        <v>45049</v>
      </c>
      <c r="D1457" s="1" t="s">
        <v>73</v>
      </c>
      <c r="E1457" s="1" t="s">
        <v>33</v>
      </c>
      <c r="F1457" s="1" t="s">
        <v>200</v>
      </c>
      <c r="G1457" s="5">
        <v>428.86</v>
      </c>
    </row>
    <row r="1458" spans="1:7" x14ac:dyDescent="0.2">
      <c r="A1458" s="3">
        <v>70</v>
      </c>
      <c r="B1458" s="2">
        <v>30020.2</v>
      </c>
      <c r="C1458" s="38">
        <v>45049</v>
      </c>
      <c r="D1458" s="1" t="s">
        <v>73</v>
      </c>
      <c r="E1458" s="1" t="s">
        <v>33</v>
      </c>
      <c r="F1458" s="1" t="s">
        <v>200</v>
      </c>
      <c r="G1458" s="5">
        <v>428.86</v>
      </c>
    </row>
    <row r="1459" spans="1:7" x14ac:dyDescent="0.2">
      <c r="A1459" s="3">
        <v>70</v>
      </c>
      <c r="B1459" s="2">
        <v>26859</v>
      </c>
      <c r="C1459" s="38">
        <v>45049</v>
      </c>
      <c r="D1459" s="1" t="s">
        <v>74</v>
      </c>
      <c r="E1459" s="1" t="s">
        <v>33</v>
      </c>
      <c r="F1459" s="1" t="s">
        <v>200</v>
      </c>
      <c r="G1459" s="5">
        <v>383.7</v>
      </c>
    </row>
    <row r="1460" spans="1:7" x14ac:dyDescent="0.2">
      <c r="A1460" s="3">
        <v>70</v>
      </c>
      <c r="B1460" s="2">
        <v>26859</v>
      </c>
      <c r="C1460" s="38">
        <v>45086</v>
      </c>
      <c r="D1460" s="1" t="s">
        <v>74</v>
      </c>
      <c r="E1460" s="1" t="s">
        <v>33</v>
      </c>
      <c r="F1460" s="1" t="s">
        <v>200</v>
      </c>
      <c r="G1460" s="5">
        <v>383.7</v>
      </c>
    </row>
    <row r="1461" spans="1:7" x14ac:dyDescent="0.2">
      <c r="A1461" s="3">
        <v>70</v>
      </c>
      <c r="B1461" s="2">
        <v>30020.2</v>
      </c>
      <c r="C1461" s="38">
        <v>44970</v>
      </c>
      <c r="D1461" s="1" t="s">
        <v>73</v>
      </c>
      <c r="E1461" s="1" t="s">
        <v>33</v>
      </c>
      <c r="F1461" s="1" t="s">
        <v>200</v>
      </c>
      <c r="G1461" s="5">
        <v>428.86</v>
      </c>
    </row>
    <row r="1462" spans="1:7" x14ac:dyDescent="0.2">
      <c r="A1462" s="3">
        <v>70</v>
      </c>
      <c r="B1462" s="2">
        <v>48690.6</v>
      </c>
      <c r="C1462" s="38">
        <v>44978</v>
      </c>
      <c r="D1462" s="1" t="s">
        <v>76</v>
      </c>
      <c r="E1462" s="1" t="s">
        <v>33</v>
      </c>
      <c r="F1462" s="1" t="s">
        <v>200</v>
      </c>
      <c r="G1462" s="5">
        <v>695.58</v>
      </c>
    </row>
    <row r="1463" spans="1:7" x14ac:dyDescent="0.2">
      <c r="A1463" s="3">
        <v>70</v>
      </c>
      <c r="B1463" s="2">
        <v>48690.6</v>
      </c>
      <c r="C1463" s="38">
        <v>44978</v>
      </c>
      <c r="D1463" s="1" t="s">
        <v>76</v>
      </c>
      <c r="E1463" s="1" t="s">
        <v>33</v>
      </c>
      <c r="F1463" s="1" t="s">
        <v>200</v>
      </c>
      <c r="G1463" s="5">
        <v>695.58</v>
      </c>
    </row>
    <row r="1464" spans="1:7" x14ac:dyDescent="0.2">
      <c r="A1464" s="3">
        <v>70</v>
      </c>
      <c r="B1464" s="2">
        <v>48690.6</v>
      </c>
      <c r="C1464" s="38">
        <v>44978</v>
      </c>
      <c r="D1464" s="1" t="s">
        <v>76</v>
      </c>
      <c r="E1464" s="1" t="s">
        <v>33</v>
      </c>
      <c r="F1464" s="1" t="s">
        <v>200</v>
      </c>
      <c r="G1464" s="5">
        <v>695.58</v>
      </c>
    </row>
    <row r="1465" spans="1:7" x14ac:dyDescent="0.2">
      <c r="A1465" s="3">
        <v>70</v>
      </c>
      <c r="B1465" s="2">
        <v>30020.2</v>
      </c>
      <c r="C1465" s="38">
        <v>45061</v>
      </c>
      <c r="D1465" s="1" t="s">
        <v>73</v>
      </c>
      <c r="E1465" s="1" t="s">
        <v>33</v>
      </c>
      <c r="F1465" s="1" t="s">
        <v>200</v>
      </c>
      <c r="G1465" s="5">
        <v>428.86</v>
      </c>
    </row>
    <row r="1466" spans="1:7" x14ac:dyDescent="0.2">
      <c r="A1466" s="3">
        <v>70</v>
      </c>
      <c r="B1466" s="2">
        <v>30020.2</v>
      </c>
      <c r="C1466" s="38">
        <v>45041</v>
      </c>
      <c r="D1466" s="1" t="s">
        <v>73</v>
      </c>
      <c r="E1466" s="1" t="s">
        <v>33</v>
      </c>
      <c r="F1466" s="1" t="s">
        <v>200</v>
      </c>
      <c r="G1466" s="5">
        <v>428.86</v>
      </c>
    </row>
    <row r="1467" spans="1:7" x14ac:dyDescent="0.2">
      <c r="A1467" s="3">
        <v>70</v>
      </c>
      <c r="B1467" s="2">
        <v>30020.2</v>
      </c>
      <c r="C1467" s="38">
        <v>45041</v>
      </c>
      <c r="D1467" s="1" t="s">
        <v>73</v>
      </c>
      <c r="E1467" s="1" t="s">
        <v>33</v>
      </c>
      <c r="F1467" s="1" t="s">
        <v>200</v>
      </c>
      <c r="G1467" s="5">
        <v>428.86</v>
      </c>
    </row>
    <row r="1468" spans="1:7" x14ac:dyDescent="0.2">
      <c r="A1468" s="3">
        <v>70</v>
      </c>
      <c r="B1468" s="2">
        <v>30020.2</v>
      </c>
      <c r="C1468" s="38">
        <v>45041</v>
      </c>
      <c r="D1468" s="1" t="s">
        <v>73</v>
      </c>
      <c r="E1468" s="1" t="s">
        <v>33</v>
      </c>
      <c r="F1468" s="1" t="s">
        <v>200</v>
      </c>
      <c r="G1468" s="5">
        <v>428.86</v>
      </c>
    </row>
    <row r="1469" spans="1:7" x14ac:dyDescent="0.2">
      <c r="A1469" s="3">
        <v>70</v>
      </c>
      <c r="B1469" s="2">
        <v>30020.2</v>
      </c>
      <c r="C1469" s="38">
        <v>45041</v>
      </c>
      <c r="D1469" s="1" t="s">
        <v>73</v>
      </c>
      <c r="E1469" s="1" t="s">
        <v>33</v>
      </c>
      <c r="F1469" s="1" t="s">
        <v>200</v>
      </c>
      <c r="G1469" s="5">
        <v>428.86</v>
      </c>
    </row>
    <row r="1470" spans="1:7" x14ac:dyDescent="0.2">
      <c r="A1470" s="3">
        <v>70</v>
      </c>
      <c r="B1470" s="2">
        <v>26859</v>
      </c>
      <c r="C1470" s="38">
        <v>45154</v>
      </c>
      <c r="D1470" s="1" t="s">
        <v>74</v>
      </c>
      <c r="E1470" s="1" t="s">
        <v>33</v>
      </c>
      <c r="F1470" s="1" t="s">
        <v>200</v>
      </c>
      <c r="G1470" s="5">
        <v>383.7</v>
      </c>
    </row>
    <row r="1471" spans="1:7" x14ac:dyDescent="0.2">
      <c r="A1471" s="3">
        <v>70</v>
      </c>
      <c r="B1471" s="2">
        <v>26859</v>
      </c>
      <c r="C1471" s="38">
        <v>45154</v>
      </c>
      <c r="D1471" s="1" t="s">
        <v>74</v>
      </c>
      <c r="E1471" s="1" t="s">
        <v>33</v>
      </c>
      <c r="F1471" s="1" t="s">
        <v>200</v>
      </c>
      <c r="G1471" s="5">
        <v>383.7</v>
      </c>
    </row>
    <row r="1472" spans="1:7" x14ac:dyDescent="0.2">
      <c r="A1472" s="3">
        <v>70</v>
      </c>
      <c r="B1472" s="2">
        <v>26859</v>
      </c>
      <c r="C1472" s="38">
        <v>45155</v>
      </c>
      <c r="D1472" s="1" t="s">
        <v>74</v>
      </c>
      <c r="E1472" s="1" t="s">
        <v>33</v>
      </c>
      <c r="F1472" s="1" t="s">
        <v>200</v>
      </c>
      <c r="G1472" s="5">
        <v>383.7</v>
      </c>
    </row>
    <row r="1473" spans="1:7" x14ac:dyDescent="0.2">
      <c r="A1473" s="3">
        <v>70</v>
      </c>
      <c r="B1473" s="2">
        <v>26859</v>
      </c>
      <c r="C1473" s="38">
        <v>45155</v>
      </c>
      <c r="D1473" s="1" t="s">
        <v>74</v>
      </c>
      <c r="E1473" s="1" t="s">
        <v>33</v>
      </c>
      <c r="F1473" s="1" t="s">
        <v>200</v>
      </c>
      <c r="G1473" s="5">
        <v>383.7</v>
      </c>
    </row>
    <row r="1474" spans="1:7" x14ac:dyDescent="0.2">
      <c r="A1474" s="3">
        <v>70</v>
      </c>
      <c r="B1474" s="2">
        <v>27421.1</v>
      </c>
      <c r="C1474" s="38">
        <v>44907</v>
      </c>
      <c r="D1474" s="1" t="s">
        <v>72</v>
      </c>
      <c r="E1474" s="1" t="s">
        <v>33</v>
      </c>
      <c r="F1474" s="1" t="s">
        <v>200</v>
      </c>
      <c r="G1474" s="5">
        <v>391.73</v>
      </c>
    </row>
    <row r="1475" spans="1:7" x14ac:dyDescent="0.2">
      <c r="A1475" s="3">
        <v>70</v>
      </c>
      <c r="B1475" s="2">
        <v>27421.1</v>
      </c>
      <c r="C1475" s="38">
        <v>44907</v>
      </c>
      <c r="D1475" s="1" t="s">
        <v>72</v>
      </c>
      <c r="E1475" s="1" t="s">
        <v>33</v>
      </c>
      <c r="F1475" s="1" t="s">
        <v>200</v>
      </c>
      <c r="G1475" s="5">
        <v>391.73</v>
      </c>
    </row>
    <row r="1476" spans="1:7" x14ac:dyDescent="0.2">
      <c r="A1476" s="3">
        <v>70</v>
      </c>
      <c r="B1476" s="2">
        <v>28462</v>
      </c>
      <c r="C1476" s="38">
        <v>44854</v>
      </c>
      <c r="D1476" s="1" t="s">
        <v>73</v>
      </c>
      <c r="E1476" s="1" t="s">
        <v>33</v>
      </c>
      <c r="F1476" s="1" t="s">
        <v>200</v>
      </c>
      <c r="G1476" s="5">
        <v>406.6</v>
      </c>
    </row>
    <row r="1477" spans="1:7" x14ac:dyDescent="0.2">
      <c r="A1477" s="3">
        <v>70</v>
      </c>
      <c r="B1477" s="2">
        <v>28462</v>
      </c>
      <c r="C1477" s="38">
        <v>44854</v>
      </c>
      <c r="D1477" s="1" t="s">
        <v>73</v>
      </c>
      <c r="E1477" s="1" t="s">
        <v>33</v>
      </c>
      <c r="F1477" s="1" t="s">
        <v>200</v>
      </c>
      <c r="G1477" s="5">
        <v>406.6</v>
      </c>
    </row>
    <row r="1478" spans="1:7" x14ac:dyDescent="0.2">
      <c r="A1478" s="3">
        <v>70</v>
      </c>
      <c r="B1478" s="2">
        <v>28462</v>
      </c>
      <c r="C1478" s="38">
        <v>44914</v>
      </c>
      <c r="D1478" s="1" t="s">
        <v>73</v>
      </c>
      <c r="E1478" s="1" t="s">
        <v>33</v>
      </c>
      <c r="F1478" s="1" t="s">
        <v>200</v>
      </c>
      <c r="G1478" s="5">
        <v>406.6</v>
      </c>
    </row>
    <row r="1479" spans="1:7" x14ac:dyDescent="0.2">
      <c r="A1479" s="3">
        <v>70</v>
      </c>
      <c r="B1479" s="2">
        <v>28462</v>
      </c>
      <c r="C1479" s="38">
        <v>44854</v>
      </c>
      <c r="D1479" s="1" t="s">
        <v>73</v>
      </c>
      <c r="E1479" s="1" t="s">
        <v>33</v>
      </c>
      <c r="F1479" s="1" t="s">
        <v>200</v>
      </c>
      <c r="G1479" s="5">
        <v>406.6</v>
      </c>
    </row>
    <row r="1480" spans="1:7" x14ac:dyDescent="0.2">
      <c r="A1480" s="3">
        <v>70</v>
      </c>
      <c r="B1480" s="2">
        <v>28462</v>
      </c>
      <c r="C1480" s="38">
        <v>44854</v>
      </c>
      <c r="D1480" s="1" t="s">
        <v>73</v>
      </c>
      <c r="E1480" s="1" t="s">
        <v>33</v>
      </c>
      <c r="F1480" s="1" t="s">
        <v>200</v>
      </c>
      <c r="G1480" s="5">
        <v>406.6</v>
      </c>
    </row>
    <row r="1481" spans="1:7" x14ac:dyDescent="0.2">
      <c r="A1481" s="3">
        <v>70</v>
      </c>
      <c r="B1481" s="2">
        <v>28462</v>
      </c>
      <c r="C1481" s="38">
        <v>44854</v>
      </c>
      <c r="D1481" s="1" t="s">
        <v>73</v>
      </c>
      <c r="E1481" s="1" t="s">
        <v>33</v>
      </c>
      <c r="F1481" s="1" t="s">
        <v>200</v>
      </c>
      <c r="G1481" s="5">
        <v>406.6</v>
      </c>
    </row>
    <row r="1482" spans="1:7" x14ac:dyDescent="0.2">
      <c r="A1482" s="3">
        <v>70</v>
      </c>
      <c r="B1482" s="2">
        <v>28462</v>
      </c>
      <c r="C1482" s="38">
        <v>44914</v>
      </c>
      <c r="D1482" s="1" t="s">
        <v>73</v>
      </c>
      <c r="E1482" s="1" t="s">
        <v>33</v>
      </c>
      <c r="F1482" s="1" t="s">
        <v>200</v>
      </c>
      <c r="G1482" s="5">
        <v>406.6</v>
      </c>
    </row>
    <row r="1483" spans="1:7" x14ac:dyDescent="0.2">
      <c r="A1483" s="3">
        <v>70</v>
      </c>
      <c r="B1483" s="2">
        <v>29066.1</v>
      </c>
      <c r="C1483" s="38">
        <v>45132</v>
      </c>
      <c r="D1483" s="1" t="s">
        <v>72</v>
      </c>
      <c r="E1483" s="1" t="s">
        <v>33</v>
      </c>
      <c r="F1483" s="1" t="s">
        <v>200</v>
      </c>
      <c r="G1483" s="5">
        <v>415.23</v>
      </c>
    </row>
    <row r="1484" spans="1:7" x14ac:dyDescent="0.2">
      <c r="A1484" s="3">
        <v>70</v>
      </c>
      <c r="B1484" s="2">
        <v>29066.1</v>
      </c>
      <c r="C1484" s="38">
        <v>45132</v>
      </c>
      <c r="D1484" s="1" t="s">
        <v>72</v>
      </c>
      <c r="E1484" s="1" t="s">
        <v>33</v>
      </c>
      <c r="F1484" s="1" t="s">
        <v>200</v>
      </c>
      <c r="G1484" s="5">
        <v>415.23</v>
      </c>
    </row>
    <row r="1485" spans="1:7" x14ac:dyDescent="0.2">
      <c r="A1485" s="3">
        <v>70</v>
      </c>
      <c r="B1485" s="2">
        <v>29066.1</v>
      </c>
      <c r="C1485" s="38">
        <v>45132</v>
      </c>
      <c r="D1485" s="1" t="s">
        <v>72</v>
      </c>
      <c r="E1485" s="1" t="s">
        <v>33</v>
      </c>
      <c r="F1485" s="1" t="s">
        <v>200</v>
      </c>
      <c r="G1485" s="5">
        <v>415.23</v>
      </c>
    </row>
    <row r="1486" spans="1:7" x14ac:dyDescent="0.2">
      <c r="A1486" s="3">
        <v>70</v>
      </c>
      <c r="B1486" s="2">
        <v>26859</v>
      </c>
      <c r="C1486" s="38">
        <v>45132</v>
      </c>
      <c r="D1486" s="1" t="s">
        <v>74</v>
      </c>
      <c r="E1486" s="1" t="s">
        <v>33</v>
      </c>
      <c r="F1486" s="1" t="s">
        <v>200</v>
      </c>
      <c r="G1486" s="5">
        <v>383.7</v>
      </c>
    </row>
    <row r="1487" spans="1:7" x14ac:dyDescent="0.2">
      <c r="A1487" s="3">
        <v>120</v>
      </c>
      <c r="B1487" s="2">
        <v>52864.800000000003</v>
      </c>
      <c r="C1487" s="38">
        <v>44678</v>
      </c>
      <c r="D1487" s="1" t="s">
        <v>66</v>
      </c>
      <c r="E1487" s="1" t="s">
        <v>33</v>
      </c>
      <c r="F1487" s="1" t="s">
        <v>200</v>
      </c>
      <c r="G1487" s="5">
        <v>440.54</v>
      </c>
    </row>
    <row r="1488" spans="1:7" x14ac:dyDescent="0.2">
      <c r="A1488" s="3">
        <v>120</v>
      </c>
      <c r="B1488" s="2">
        <v>52864.800000000003</v>
      </c>
      <c r="C1488" s="38">
        <v>44678</v>
      </c>
      <c r="D1488" s="1" t="s">
        <v>66</v>
      </c>
      <c r="E1488" s="1" t="s">
        <v>33</v>
      </c>
      <c r="F1488" s="1" t="s">
        <v>200</v>
      </c>
      <c r="G1488" s="5">
        <v>440.54</v>
      </c>
    </row>
    <row r="1489" spans="1:7" x14ac:dyDescent="0.2">
      <c r="A1489" s="3">
        <v>120</v>
      </c>
      <c r="B1489" s="2">
        <v>52864.800000000003</v>
      </c>
      <c r="C1489" s="38">
        <v>44678</v>
      </c>
      <c r="D1489" s="1" t="s">
        <v>66</v>
      </c>
      <c r="E1489" s="1" t="s">
        <v>33</v>
      </c>
      <c r="F1489" s="1" t="s">
        <v>200</v>
      </c>
      <c r="G1489" s="5">
        <v>440.54</v>
      </c>
    </row>
    <row r="1490" spans="1:7" x14ac:dyDescent="0.2">
      <c r="A1490" s="3">
        <v>120</v>
      </c>
      <c r="B1490" s="2">
        <v>52864.800000000003</v>
      </c>
      <c r="C1490" s="38">
        <v>44678</v>
      </c>
      <c r="D1490" s="1" t="s">
        <v>66</v>
      </c>
      <c r="E1490" s="1" t="s">
        <v>33</v>
      </c>
      <c r="F1490" s="1" t="s">
        <v>200</v>
      </c>
      <c r="G1490" s="5">
        <v>440.54</v>
      </c>
    </row>
    <row r="1491" spans="1:7" x14ac:dyDescent="0.2">
      <c r="A1491" s="3">
        <v>120</v>
      </c>
      <c r="B1491" s="2">
        <v>52864.800000000003</v>
      </c>
      <c r="C1491" s="38">
        <v>44678</v>
      </c>
      <c r="D1491" s="1" t="s">
        <v>66</v>
      </c>
      <c r="E1491" s="1" t="s">
        <v>33</v>
      </c>
      <c r="F1491" s="1" t="s">
        <v>200</v>
      </c>
      <c r="G1491" s="5">
        <v>440.54</v>
      </c>
    </row>
    <row r="1492" spans="1:7" x14ac:dyDescent="0.2">
      <c r="A1492" s="3">
        <v>120</v>
      </c>
      <c r="B1492" s="2">
        <v>52864.800000000003</v>
      </c>
      <c r="C1492" s="38">
        <v>44678</v>
      </c>
      <c r="D1492" s="1" t="s">
        <v>66</v>
      </c>
      <c r="E1492" s="1" t="s">
        <v>33</v>
      </c>
      <c r="F1492" s="1" t="s">
        <v>200</v>
      </c>
      <c r="G1492" s="5">
        <v>440.54</v>
      </c>
    </row>
    <row r="1493" spans="1:7" x14ac:dyDescent="0.2">
      <c r="A1493" s="3">
        <v>120</v>
      </c>
      <c r="B1493" s="2">
        <v>52864.800000000003</v>
      </c>
      <c r="C1493" s="38">
        <v>44678</v>
      </c>
      <c r="D1493" s="1" t="s">
        <v>66</v>
      </c>
      <c r="E1493" s="1" t="s">
        <v>33</v>
      </c>
      <c r="F1493" s="1" t="s">
        <v>200</v>
      </c>
      <c r="G1493" s="5">
        <v>440.54</v>
      </c>
    </row>
    <row r="1494" spans="1:7" x14ac:dyDescent="0.2">
      <c r="A1494" s="3">
        <v>120</v>
      </c>
      <c r="B1494" s="2">
        <v>52864.800000000003</v>
      </c>
      <c r="C1494" s="38">
        <v>44678</v>
      </c>
      <c r="D1494" s="1" t="s">
        <v>66</v>
      </c>
      <c r="E1494" s="1" t="s">
        <v>33</v>
      </c>
      <c r="F1494" s="1" t="s">
        <v>200</v>
      </c>
      <c r="G1494" s="5">
        <v>440.54</v>
      </c>
    </row>
    <row r="1495" spans="1:7" x14ac:dyDescent="0.2">
      <c r="A1495" s="3">
        <v>120</v>
      </c>
      <c r="B1495" s="2">
        <v>52864.800000000003</v>
      </c>
      <c r="C1495" s="38">
        <v>44678</v>
      </c>
      <c r="D1495" s="1" t="s">
        <v>66</v>
      </c>
      <c r="E1495" s="1" t="s">
        <v>33</v>
      </c>
      <c r="F1495" s="1" t="s">
        <v>200</v>
      </c>
      <c r="G1495" s="5">
        <v>440.54</v>
      </c>
    </row>
    <row r="1496" spans="1:7" x14ac:dyDescent="0.2">
      <c r="A1496" s="3">
        <v>120</v>
      </c>
      <c r="B1496" s="2">
        <v>52864.800000000003</v>
      </c>
      <c r="C1496" s="38">
        <v>44678</v>
      </c>
      <c r="D1496" s="1" t="s">
        <v>66</v>
      </c>
      <c r="E1496" s="1" t="s">
        <v>33</v>
      </c>
      <c r="F1496" s="1" t="s">
        <v>200</v>
      </c>
      <c r="G1496" s="5">
        <v>440.54</v>
      </c>
    </row>
    <row r="1497" spans="1:7" x14ac:dyDescent="0.2">
      <c r="A1497" s="3">
        <v>120</v>
      </c>
      <c r="B1497" s="2">
        <v>52864.800000000003</v>
      </c>
      <c r="C1497" s="38">
        <v>44678</v>
      </c>
      <c r="D1497" s="1" t="s">
        <v>66</v>
      </c>
      <c r="E1497" s="1" t="s">
        <v>33</v>
      </c>
      <c r="F1497" s="1" t="s">
        <v>200</v>
      </c>
      <c r="G1497" s="5">
        <v>440.54</v>
      </c>
    </row>
    <row r="1498" spans="1:7" x14ac:dyDescent="0.2">
      <c r="A1498" s="3">
        <v>120</v>
      </c>
      <c r="B1498" s="2">
        <v>52864.800000000003</v>
      </c>
      <c r="C1498" s="38">
        <v>44678</v>
      </c>
      <c r="D1498" s="1" t="s">
        <v>66</v>
      </c>
      <c r="E1498" s="1" t="s">
        <v>33</v>
      </c>
      <c r="F1498" s="1" t="s">
        <v>200</v>
      </c>
      <c r="G1498" s="5">
        <v>440.54</v>
      </c>
    </row>
    <row r="1499" spans="1:7" x14ac:dyDescent="0.2">
      <c r="A1499" s="3">
        <v>120</v>
      </c>
      <c r="B1499" s="2">
        <v>52864.800000000003</v>
      </c>
      <c r="C1499" s="38">
        <v>44678</v>
      </c>
      <c r="D1499" s="1" t="s">
        <v>66</v>
      </c>
      <c r="E1499" s="1" t="s">
        <v>33</v>
      </c>
      <c r="F1499" s="1" t="s">
        <v>200</v>
      </c>
      <c r="G1499" s="5">
        <v>440.54</v>
      </c>
    </row>
    <row r="1500" spans="1:7" x14ac:dyDescent="0.2">
      <c r="A1500" s="3">
        <v>120</v>
      </c>
      <c r="B1500" s="2">
        <v>52864.800000000003</v>
      </c>
      <c r="C1500" s="38">
        <v>44678</v>
      </c>
      <c r="D1500" s="1" t="s">
        <v>66</v>
      </c>
      <c r="E1500" s="1" t="s">
        <v>33</v>
      </c>
      <c r="F1500" s="1" t="s">
        <v>200</v>
      </c>
      <c r="G1500" s="5">
        <v>440.54</v>
      </c>
    </row>
    <row r="1501" spans="1:7" x14ac:dyDescent="0.2">
      <c r="A1501" s="3">
        <v>120</v>
      </c>
      <c r="B1501" s="2">
        <v>52864.800000000003</v>
      </c>
      <c r="C1501" s="38">
        <v>44678</v>
      </c>
      <c r="D1501" s="1" t="s">
        <v>66</v>
      </c>
      <c r="E1501" s="1" t="s">
        <v>33</v>
      </c>
      <c r="F1501" s="1" t="s">
        <v>200</v>
      </c>
      <c r="G1501" s="5">
        <v>440.54</v>
      </c>
    </row>
    <row r="1502" spans="1:7" x14ac:dyDescent="0.2">
      <c r="A1502" s="3">
        <v>120</v>
      </c>
      <c r="B1502" s="2">
        <v>52864.800000000003</v>
      </c>
      <c r="C1502" s="38">
        <v>44678</v>
      </c>
      <c r="D1502" s="1" t="s">
        <v>66</v>
      </c>
      <c r="E1502" s="1" t="s">
        <v>33</v>
      </c>
      <c r="F1502" s="1" t="s">
        <v>200</v>
      </c>
      <c r="G1502" s="5">
        <v>440.54</v>
      </c>
    </row>
    <row r="1503" spans="1:7" x14ac:dyDescent="0.2">
      <c r="A1503" s="3">
        <v>120</v>
      </c>
      <c r="B1503" s="2">
        <v>52674</v>
      </c>
      <c r="C1503" s="38">
        <v>45000</v>
      </c>
      <c r="D1503" s="1" t="s">
        <v>66</v>
      </c>
      <c r="E1503" s="1" t="s">
        <v>33</v>
      </c>
      <c r="F1503" s="1" t="s">
        <v>200</v>
      </c>
      <c r="G1503" s="5">
        <v>438.95</v>
      </c>
    </row>
    <row r="1504" spans="1:7" x14ac:dyDescent="0.2">
      <c r="A1504" s="3">
        <v>120</v>
      </c>
      <c r="B1504" s="2">
        <v>55755.6</v>
      </c>
      <c r="C1504" s="38">
        <v>45049</v>
      </c>
      <c r="D1504" s="1" t="s">
        <v>66</v>
      </c>
      <c r="E1504" s="1" t="s">
        <v>33</v>
      </c>
      <c r="F1504" s="1" t="s">
        <v>200</v>
      </c>
      <c r="G1504" s="5">
        <v>464.63</v>
      </c>
    </row>
    <row r="1505" spans="1:7" x14ac:dyDescent="0.2">
      <c r="A1505" s="3">
        <v>120</v>
      </c>
      <c r="B1505" s="2">
        <v>55755.6</v>
      </c>
      <c r="C1505" s="38">
        <v>44952</v>
      </c>
      <c r="D1505" s="1" t="s">
        <v>66</v>
      </c>
      <c r="E1505" s="1" t="s">
        <v>33</v>
      </c>
      <c r="F1505" s="1" t="s">
        <v>200</v>
      </c>
      <c r="G1505" s="5">
        <v>464.63</v>
      </c>
    </row>
    <row r="1506" spans="1:7" x14ac:dyDescent="0.2">
      <c r="A1506" s="3">
        <v>120</v>
      </c>
      <c r="B1506" s="2">
        <v>55755.6</v>
      </c>
      <c r="C1506" s="38">
        <v>44952</v>
      </c>
      <c r="D1506" s="1" t="s">
        <v>66</v>
      </c>
      <c r="E1506" s="1" t="s">
        <v>33</v>
      </c>
      <c r="F1506" s="1" t="s">
        <v>200</v>
      </c>
      <c r="G1506" s="5">
        <v>464.63</v>
      </c>
    </row>
    <row r="1507" spans="1:7" x14ac:dyDescent="0.2">
      <c r="A1507" s="3">
        <v>120</v>
      </c>
      <c r="B1507" s="2">
        <v>52864.800000000003</v>
      </c>
      <c r="C1507" s="38">
        <v>44664</v>
      </c>
      <c r="D1507" s="1" t="s">
        <v>66</v>
      </c>
      <c r="E1507" s="1" t="s">
        <v>33</v>
      </c>
      <c r="F1507" s="1" t="s">
        <v>200</v>
      </c>
      <c r="G1507" s="5">
        <v>440.54</v>
      </c>
    </row>
    <row r="1508" spans="1:7" x14ac:dyDescent="0.2">
      <c r="A1508" s="3">
        <v>120</v>
      </c>
      <c r="B1508" s="2">
        <v>52864.800000000003</v>
      </c>
      <c r="C1508" s="38">
        <v>44664</v>
      </c>
      <c r="D1508" s="1" t="s">
        <v>66</v>
      </c>
      <c r="E1508" s="1" t="s">
        <v>33</v>
      </c>
      <c r="F1508" s="1" t="s">
        <v>200</v>
      </c>
      <c r="G1508" s="5">
        <v>440.54</v>
      </c>
    </row>
    <row r="1509" spans="1:7" x14ac:dyDescent="0.2">
      <c r="A1509" s="3">
        <v>120</v>
      </c>
      <c r="B1509" s="2">
        <v>52864.800000000003</v>
      </c>
      <c r="C1509" s="38">
        <v>44664</v>
      </c>
      <c r="D1509" s="1" t="s">
        <v>66</v>
      </c>
      <c r="E1509" s="1" t="s">
        <v>33</v>
      </c>
      <c r="F1509" s="1" t="s">
        <v>200</v>
      </c>
      <c r="G1509" s="5">
        <v>440.54</v>
      </c>
    </row>
    <row r="1510" spans="1:7" x14ac:dyDescent="0.2">
      <c r="A1510" s="3">
        <v>120</v>
      </c>
      <c r="B1510" s="2">
        <v>52864.800000000003</v>
      </c>
      <c r="C1510" s="38">
        <v>44664</v>
      </c>
      <c r="D1510" s="1" t="s">
        <v>66</v>
      </c>
      <c r="E1510" s="1" t="s">
        <v>33</v>
      </c>
      <c r="F1510" s="1" t="s">
        <v>200</v>
      </c>
      <c r="G1510" s="5">
        <v>440.54</v>
      </c>
    </row>
    <row r="1511" spans="1:7" x14ac:dyDescent="0.2">
      <c r="A1511" s="3">
        <v>120</v>
      </c>
      <c r="B1511" s="2">
        <v>52864.800000000003</v>
      </c>
      <c r="C1511" s="38">
        <v>44690</v>
      </c>
      <c r="D1511" s="1" t="s">
        <v>66</v>
      </c>
      <c r="E1511" s="1" t="s">
        <v>33</v>
      </c>
      <c r="F1511" s="1" t="s">
        <v>200</v>
      </c>
      <c r="G1511" s="5">
        <v>440.54</v>
      </c>
    </row>
    <row r="1512" spans="1:7" x14ac:dyDescent="0.2">
      <c r="A1512" s="3">
        <v>120</v>
      </c>
      <c r="B1512" s="2">
        <v>52864.800000000003</v>
      </c>
      <c r="C1512" s="38">
        <v>44690</v>
      </c>
      <c r="D1512" s="1" t="s">
        <v>66</v>
      </c>
      <c r="E1512" s="1" t="s">
        <v>33</v>
      </c>
      <c r="F1512" s="1" t="s">
        <v>200</v>
      </c>
      <c r="G1512" s="5">
        <v>440.54</v>
      </c>
    </row>
    <row r="1513" spans="1:7" x14ac:dyDescent="0.2">
      <c r="A1513" s="3">
        <v>120</v>
      </c>
      <c r="B1513" s="2">
        <v>52864.800000000003</v>
      </c>
      <c r="C1513" s="38">
        <v>44690</v>
      </c>
      <c r="D1513" s="1" t="s">
        <v>66</v>
      </c>
      <c r="E1513" s="1" t="s">
        <v>33</v>
      </c>
      <c r="F1513" s="1" t="s">
        <v>200</v>
      </c>
      <c r="G1513" s="5">
        <v>440.54</v>
      </c>
    </row>
    <row r="1514" spans="1:7" x14ac:dyDescent="0.2">
      <c r="A1514" s="3">
        <v>120</v>
      </c>
      <c r="B1514" s="2">
        <v>55755.6</v>
      </c>
      <c r="C1514" s="38">
        <v>44956</v>
      </c>
      <c r="D1514" s="1" t="s">
        <v>66</v>
      </c>
      <c r="E1514" s="1" t="s">
        <v>33</v>
      </c>
      <c r="F1514" s="1" t="s">
        <v>200</v>
      </c>
      <c r="G1514" s="5">
        <v>464.63</v>
      </c>
    </row>
    <row r="1515" spans="1:7" x14ac:dyDescent="0.2">
      <c r="A1515" s="3">
        <v>120</v>
      </c>
      <c r="B1515" s="2">
        <v>55755.6</v>
      </c>
      <c r="C1515" s="38">
        <v>44956</v>
      </c>
      <c r="D1515" s="1" t="s">
        <v>66</v>
      </c>
      <c r="E1515" s="1" t="s">
        <v>33</v>
      </c>
      <c r="F1515" s="1" t="s">
        <v>200</v>
      </c>
      <c r="G1515" s="5">
        <v>464.63</v>
      </c>
    </row>
    <row r="1516" spans="1:7" x14ac:dyDescent="0.2">
      <c r="A1516" s="3">
        <v>120</v>
      </c>
      <c r="B1516" s="2">
        <v>54085.2</v>
      </c>
      <c r="C1516" s="38">
        <v>45061</v>
      </c>
      <c r="D1516" s="1" t="s">
        <v>58</v>
      </c>
      <c r="E1516" s="1" t="s">
        <v>33</v>
      </c>
      <c r="F1516" s="1" t="s">
        <v>200</v>
      </c>
      <c r="G1516" s="5">
        <v>450.71</v>
      </c>
    </row>
    <row r="1517" spans="1:7" x14ac:dyDescent="0.2">
      <c r="A1517" s="3">
        <v>120</v>
      </c>
      <c r="B1517" s="2">
        <v>52674</v>
      </c>
      <c r="C1517" s="38">
        <v>45061</v>
      </c>
      <c r="D1517" s="1" t="s">
        <v>66</v>
      </c>
      <c r="E1517" s="1" t="s">
        <v>33</v>
      </c>
      <c r="F1517" s="1" t="s">
        <v>200</v>
      </c>
      <c r="G1517" s="5">
        <v>438.95</v>
      </c>
    </row>
    <row r="1518" spans="1:7" x14ac:dyDescent="0.2">
      <c r="A1518" s="3">
        <v>120</v>
      </c>
      <c r="B1518" s="2">
        <v>52674</v>
      </c>
      <c r="C1518" s="38">
        <v>45061</v>
      </c>
      <c r="D1518" s="1" t="s">
        <v>66</v>
      </c>
      <c r="E1518" s="1" t="s">
        <v>33</v>
      </c>
      <c r="F1518" s="1" t="s">
        <v>200</v>
      </c>
      <c r="G1518" s="5">
        <v>438.95</v>
      </c>
    </row>
    <row r="1519" spans="1:7" x14ac:dyDescent="0.2">
      <c r="A1519" s="3">
        <v>120</v>
      </c>
      <c r="B1519" s="2">
        <v>52674</v>
      </c>
      <c r="C1519" s="38">
        <v>45061</v>
      </c>
      <c r="D1519" s="1" t="s">
        <v>66</v>
      </c>
      <c r="E1519" s="1" t="s">
        <v>33</v>
      </c>
      <c r="F1519" s="1" t="s">
        <v>200</v>
      </c>
      <c r="G1519" s="5">
        <v>438.95</v>
      </c>
    </row>
    <row r="1520" spans="1:7" x14ac:dyDescent="0.2">
      <c r="A1520" s="3">
        <v>120</v>
      </c>
      <c r="B1520" s="2">
        <v>52674</v>
      </c>
      <c r="C1520" s="38">
        <v>45061</v>
      </c>
      <c r="D1520" s="1" t="s">
        <v>66</v>
      </c>
      <c r="E1520" s="1" t="s">
        <v>33</v>
      </c>
      <c r="F1520" s="1" t="s">
        <v>200</v>
      </c>
      <c r="G1520" s="5">
        <v>438.95</v>
      </c>
    </row>
    <row r="1521" spans="1:7" x14ac:dyDescent="0.2">
      <c r="A1521" s="3">
        <v>120</v>
      </c>
      <c r="B1521" s="2">
        <v>52674</v>
      </c>
      <c r="C1521" s="38">
        <v>45061</v>
      </c>
      <c r="D1521" s="1" t="s">
        <v>66</v>
      </c>
      <c r="E1521" s="1" t="s">
        <v>33</v>
      </c>
      <c r="F1521" s="1" t="s">
        <v>200</v>
      </c>
      <c r="G1521" s="5">
        <v>438.95</v>
      </c>
    </row>
    <row r="1522" spans="1:7" x14ac:dyDescent="0.2">
      <c r="A1522" s="3">
        <v>120</v>
      </c>
      <c r="B1522" s="2">
        <v>52864.800000000003</v>
      </c>
      <c r="C1522" s="38">
        <v>44978</v>
      </c>
      <c r="D1522" s="1" t="s">
        <v>66</v>
      </c>
      <c r="E1522" s="1" t="s">
        <v>33</v>
      </c>
      <c r="F1522" s="1" t="s">
        <v>200</v>
      </c>
      <c r="G1522" s="5">
        <v>440.54</v>
      </c>
    </row>
    <row r="1523" spans="1:7" x14ac:dyDescent="0.2">
      <c r="A1523" s="3">
        <v>120</v>
      </c>
      <c r="B1523" s="2">
        <v>52674</v>
      </c>
      <c r="C1523" s="38">
        <v>45041</v>
      </c>
      <c r="D1523" s="1" t="s">
        <v>66</v>
      </c>
      <c r="E1523" s="1" t="s">
        <v>33</v>
      </c>
      <c r="F1523" s="1" t="s">
        <v>200</v>
      </c>
      <c r="G1523" s="5">
        <v>438.95</v>
      </c>
    </row>
    <row r="1524" spans="1:7" x14ac:dyDescent="0.2">
      <c r="A1524" s="3">
        <v>120</v>
      </c>
      <c r="B1524" s="2">
        <v>52674</v>
      </c>
      <c r="C1524" s="38">
        <v>45041</v>
      </c>
      <c r="D1524" s="1" t="s">
        <v>66</v>
      </c>
      <c r="E1524" s="1" t="s">
        <v>33</v>
      </c>
      <c r="F1524" s="1" t="s">
        <v>200</v>
      </c>
      <c r="G1524" s="5">
        <v>438.95</v>
      </c>
    </row>
    <row r="1525" spans="1:7" x14ac:dyDescent="0.2">
      <c r="A1525" s="3">
        <v>120</v>
      </c>
      <c r="B1525" s="2">
        <v>52674</v>
      </c>
      <c r="C1525" s="38">
        <v>45041</v>
      </c>
      <c r="D1525" s="1" t="s">
        <v>66</v>
      </c>
      <c r="E1525" s="1" t="s">
        <v>33</v>
      </c>
      <c r="F1525" s="1" t="s">
        <v>200</v>
      </c>
      <c r="G1525" s="5">
        <v>438.95</v>
      </c>
    </row>
    <row r="1526" spans="1:7" x14ac:dyDescent="0.2">
      <c r="A1526" s="3">
        <v>120</v>
      </c>
      <c r="B1526" s="2">
        <v>52674</v>
      </c>
      <c r="C1526" s="38">
        <v>45041</v>
      </c>
      <c r="D1526" s="1" t="s">
        <v>66</v>
      </c>
      <c r="E1526" s="1" t="s">
        <v>33</v>
      </c>
      <c r="F1526" s="1" t="s">
        <v>200</v>
      </c>
      <c r="G1526" s="5">
        <v>438.95</v>
      </c>
    </row>
    <row r="1527" spans="1:7" x14ac:dyDescent="0.2">
      <c r="A1527" s="3">
        <v>120</v>
      </c>
      <c r="B1527" s="2">
        <v>52674</v>
      </c>
      <c r="C1527" s="38">
        <v>45041</v>
      </c>
      <c r="D1527" s="1" t="s">
        <v>66</v>
      </c>
      <c r="E1527" s="1" t="s">
        <v>33</v>
      </c>
      <c r="F1527" s="1" t="s">
        <v>200</v>
      </c>
      <c r="G1527" s="5">
        <v>438.95</v>
      </c>
    </row>
    <row r="1528" spans="1:7" x14ac:dyDescent="0.2">
      <c r="A1528" s="3">
        <v>120</v>
      </c>
      <c r="B1528" s="2">
        <v>52674</v>
      </c>
      <c r="C1528" s="38">
        <v>45041</v>
      </c>
      <c r="D1528" s="1" t="s">
        <v>66</v>
      </c>
      <c r="E1528" s="1" t="s">
        <v>33</v>
      </c>
      <c r="F1528" s="1" t="s">
        <v>200</v>
      </c>
      <c r="G1528" s="5">
        <v>438.95</v>
      </c>
    </row>
    <row r="1529" spans="1:7" x14ac:dyDescent="0.2">
      <c r="A1529" s="3">
        <v>120</v>
      </c>
      <c r="B1529" s="2">
        <v>52674</v>
      </c>
      <c r="C1529" s="38">
        <v>45041</v>
      </c>
      <c r="D1529" s="1" t="s">
        <v>66</v>
      </c>
      <c r="E1529" s="1" t="s">
        <v>33</v>
      </c>
      <c r="F1529" s="1" t="s">
        <v>200</v>
      </c>
      <c r="G1529" s="5">
        <v>438.95</v>
      </c>
    </row>
    <row r="1530" spans="1:7" x14ac:dyDescent="0.2">
      <c r="A1530" s="3">
        <v>120</v>
      </c>
      <c r="B1530" s="2">
        <v>52674</v>
      </c>
      <c r="C1530" s="38">
        <v>45041</v>
      </c>
      <c r="D1530" s="1" t="s">
        <v>66</v>
      </c>
      <c r="E1530" s="1" t="s">
        <v>33</v>
      </c>
      <c r="F1530" s="1" t="s">
        <v>200</v>
      </c>
      <c r="G1530" s="5">
        <v>438.95</v>
      </c>
    </row>
    <row r="1531" spans="1:7" x14ac:dyDescent="0.2">
      <c r="A1531" s="3">
        <v>120</v>
      </c>
      <c r="B1531" s="2">
        <v>52674</v>
      </c>
      <c r="C1531" s="38">
        <v>45041</v>
      </c>
      <c r="D1531" s="1" t="s">
        <v>66</v>
      </c>
      <c r="E1531" s="1" t="s">
        <v>33</v>
      </c>
      <c r="F1531" s="1" t="s">
        <v>200</v>
      </c>
      <c r="G1531" s="5">
        <v>438.95</v>
      </c>
    </row>
    <row r="1532" spans="1:7" x14ac:dyDescent="0.2">
      <c r="A1532" s="3">
        <v>120</v>
      </c>
      <c r="B1532" s="2">
        <v>52674</v>
      </c>
      <c r="C1532" s="38">
        <v>45041</v>
      </c>
      <c r="D1532" s="1" t="s">
        <v>66</v>
      </c>
      <c r="E1532" s="1" t="s">
        <v>33</v>
      </c>
      <c r="F1532" s="1" t="s">
        <v>200</v>
      </c>
      <c r="G1532" s="5">
        <v>438.95</v>
      </c>
    </row>
    <row r="1533" spans="1:7" x14ac:dyDescent="0.2">
      <c r="A1533" s="3">
        <v>120</v>
      </c>
      <c r="B1533" s="2">
        <v>52674</v>
      </c>
      <c r="C1533" s="38">
        <v>45041</v>
      </c>
      <c r="D1533" s="1" t="s">
        <v>66</v>
      </c>
      <c r="E1533" s="1" t="s">
        <v>33</v>
      </c>
      <c r="F1533" s="1" t="s">
        <v>200</v>
      </c>
      <c r="G1533" s="5">
        <v>438.95</v>
      </c>
    </row>
    <row r="1534" spans="1:7" x14ac:dyDescent="0.2">
      <c r="A1534" s="3">
        <v>120</v>
      </c>
      <c r="B1534" s="2">
        <v>52674</v>
      </c>
      <c r="C1534" s="38">
        <v>45041</v>
      </c>
      <c r="D1534" s="1" t="s">
        <v>66</v>
      </c>
      <c r="E1534" s="1" t="s">
        <v>33</v>
      </c>
      <c r="F1534" s="1" t="s">
        <v>200</v>
      </c>
      <c r="G1534" s="5">
        <v>438.95</v>
      </c>
    </row>
    <row r="1535" spans="1:7" x14ac:dyDescent="0.2">
      <c r="A1535" s="3">
        <v>120</v>
      </c>
      <c r="B1535" s="2">
        <v>52674</v>
      </c>
      <c r="C1535" s="38">
        <v>45041</v>
      </c>
      <c r="D1535" s="1" t="s">
        <v>66</v>
      </c>
      <c r="E1535" s="1" t="s">
        <v>33</v>
      </c>
      <c r="F1535" s="1" t="s">
        <v>200</v>
      </c>
      <c r="G1535" s="5">
        <v>438.95</v>
      </c>
    </row>
    <row r="1536" spans="1:7" x14ac:dyDescent="0.2">
      <c r="A1536" s="3">
        <v>120</v>
      </c>
      <c r="B1536" s="2">
        <v>52674</v>
      </c>
      <c r="C1536" s="38">
        <v>45041</v>
      </c>
      <c r="D1536" s="1" t="s">
        <v>66</v>
      </c>
      <c r="E1536" s="1" t="s">
        <v>33</v>
      </c>
      <c r="F1536" s="1" t="s">
        <v>200</v>
      </c>
      <c r="G1536" s="5">
        <v>438.95</v>
      </c>
    </row>
    <row r="1537" spans="1:7" x14ac:dyDescent="0.2">
      <c r="A1537" s="3">
        <v>120</v>
      </c>
      <c r="B1537" s="2">
        <v>51024</v>
      </c>
      <c r="C1537" s="38">
        <v>44929</v>
      </c>
      <c r="D1537" s="1" t="s">
        <v>58</v>
      </c>
      <c r="E1537" s="1" t="s">
        <v>33</v>
      </c>
      <c r="F1537" s="1" t="s">
        <v>200</v>
      </c>
      <c r="G1537" s="5">
        <v>425.2</v>
      </c>
    </row>
    <row r="1538" spans="1:7" x14ac:dyDescent="0.2">
      <c r="A1538" s="3">
        <v>120</v>
      </c>
      <c r="B1538" s="2">
        <v>54085.2</v>
      </c>
      <c r="C1538" s="38">
        <v>45135</v>
      </c>
      <c r="D1538" s="1" t="s">
        <v>58</v>
      </c>
      <c r="E1538" s="1" t="s">
        <v>33</v>
      </c>
      <c r="F1538" s="1" t="s">
        <v>200</v>
      </c>
      <c r="G1538" s="5">
        <v>450.71</v>
      </c>
    </row>
    <row r="1539" spans="1:7" x14ac:dyDescent="0.2">
      <c r="A1539" s="3">
        <v>120</v>
      </c>
      <c r="B1539" s="2">
        <v>52864.800000000003</v>
      </c>
      <c r="C1539" s="38">
        <v>44753</v>
      </c>
      <c r="D1539" s="1" t="s">
        <v>66</v>
      </c>
      <c r="E1539" s="1" t="s">
        <v>33</v>
      </c>
      <c r="F1539" s="1" t="s">
        <v>200</v>
      </c>
      <c r="G1539" s="5">
        <v>440.54</v>
      </c>
    </row>
    <row r="1540" spans="1:7" x14ac:dyDescent="0.2">
      <c r="A1540" s="3">
        <v>120</v>
      </c>
      <c r="B1540" s="2">
        <v>54085.2</v>
      </c>
      <c r="C1540" s="38">
        <v>45121</v>
      </c>
      <c r="D1540" s="1" t="s">
        <v>58</v>
      </c>
      <c r="E1540" s="1" t="s">
        <v>33</v>
      </c>
      <c r="F1540" s="1" t="s">
        <v>200</v>
      </c>
      <c r="G1540" s="5">
        <v>450.71</v>
      </c>
    </row>
    <row r="1541" spans="1:7" x14ac:dyDescent="0.2">
      <c r="A1541" s="3">
        <v>120</v>
      </c>
      <c r="B1541" s="2">
        <v>52674</v>
      </c>
      <c r="C1541" s="38">
        <v>45132</v>
      </c>
      <c r="D1541" s="1" t="s">
        <v>66</v>
      </c>
      <c r="E1541" s="1" t="s">
        <v>33</v>
      </c>
      <c r="F1541" s="1" t="s">
        <v>200</v>
      </c>
      <c r="G1541" s="5">
        <v>438.95</v>
      </c>
    </row>
    <row r="1542" spans="1:7" x14ac:dyDescent="0.2">
      <c r="A1542" s="3">
        <v>120</v>
      </c>
      <c r="B1542" s="2">
        <v>52674</v>
      </c>
      <c r="C1542" s="38">
        <v>45132</v>
      </c>
      <c r="D1542" s="1" t="s">
        <v>66</v>
      </c>
      <c r="E1542" s="1" t="s">
        <v>33</v>
      </c>
      <c r="F1542" s="1" t="s">
        <v>200</v>
      </c>
      <c r="G1542" s="5">
        <v>438.95</v>
      </c>
    </row>
    <row r="1543" spans="1:7" x14ac:dyDescent="0.2">
      <c r="A1543" s="3">
        <v>120</v>
      </c>
      <c r="B1543" s="2">
        <v>52674</v>
      </c>
      <c r="C1543" s="38">
        <v>45132</v>
      </c>
      <c r="D1543" s="1" t="s">
        <v>66</v>
      </c>
      <c r="E1543" s="1" t="s">
        <v>33</v>
      </c>
      <c r="F1543" s="1" t="s">
        <v>200</v>
      </c>
      <c r="G1543" s="5">
        <v>438.95</v>
      </c>
    </row>
    <row r="1544" spans="1:7" x14ac:dyDescent="0.2">
      <c r="A1544" s="3">
        <v>120</v>
      </c>
      <c r="B1544" s="2">
        <v>52674</v>
      </c>
      <c r="C1544" s="38">
        <v>45132</v>
      </c>
      <c r="D1544" s="1" t="s">
        <v>66</v>
      </c>
      <c r="E1544" s="1" t="s">
        <v>33</v>
      </c>
      <c r="F1544" s="1" t="s">
        <v>200</v>
      </c>
      <c r="G1544" s="5">
        <v>438.95</v>
      </c>
    </row>
    <row r="1545" spans="1:7" x14ac:dyDescent="0.2">
      <c r="A1545" s="3">
        <v>120</v>
      </c>
      <c r="B1545" s="2">
        <v>52674</v>
      </c>
      <c r="C1545" s="38">
        <v>45132</v>
      </c>
      <c r="D1545" s="1" t="s">
        <v>66</v>
      </c>
      <c r="E1545" s="1" t="s">
        <v>33</v>
      </c>
      <c r="F1545" s="1" t="s">
        <v>200</v>
      </c>
      <c r="G1545" s="5">
        <v>438.95</v>
      </c>
    </row>
    <row r="1546" spans="1:7" x14ac:dyDescent="0.2">
      <c r="A1546" s="3">
        <v>120</v>
      </c>
      <c r="B1546" s="2">
        <v>52864.800000000003</v>
      </c>
      <c r="C1546" s="38">
        <v>44806</v>
      </c>
      <c r="D1546" s="1" t="s">
        <v>66</v>
      </c>
      <c r="E1546" s="1" t="s">
        <v>33</v>
      </c>
      <c r="F1546" s="1" t="s">
        <v>200</v>
      </c>
      <c r="G1546" s="5">
        <v>440.54</v>
      </c>
    </row>
    <row r="1547" spans="1:7" x14ac:dyDescent="0.2">
      <c r="A1547" s="3">
        <v>120</v>
      </c>
      <c r="B1547" s="2">
        <v>52864.800000000003</v>
      </c>
      <c r="C1547" s="38">
        <v>44806</v>
      </c>
      <c r="D1547" s="1" t="s">
        <v>66</v>
      </c>
      <c r="E1547" s="1" t="s">
        <v>33</v>
      </c>
      <c r="F1547" s="1" t="s">
        <v>200</v>
      </c>
      <c r="G1547" s="5">
        <v>440.54</v>
      </c>
    </row>
    <row r="1548" spans="1:7" x14ac:dyDescent="0.2">
      <c r="A1548" s="3">
        <v>120</v>
      </c>
      <c r="B1548" s="2">
        <v>52864.800000000003</v>
      </c>
      <c r="C1548" s="38">
        <v>44806</v>
      </c>
      <c r="D1548" s="1" t="s">
        <v>66</v>
      </c>
      <c r="E1548" s="1" t="s">
        <v>33</v>
      </c>
      <c r="F1548" s="1" t="s">
        <v>200</v>
      </c>
      <c r="G1548" s="5">
        <v>440.54</v>
      </c>
    </row>
    <row r="1549" spans="1:7" x14ac:dyDescent="0.2">
      <c r="A1549" s="3">
        <v>120</v>
      </c>
      <c r="B1549" s="2">
        <v>52864.800000000003</v>
      </c>
      <c r="C1549" s="38">
        <v>44806</v>
      </c>
      <c r="D1549" s="1" t="s">
        <v>66</v>
      </c>
      <c r="E1549" s="1" t="s">
        <v>33</v>
      </c>
      <c r="F1549" s="1" t="s">
        <v>200</v>
      </c>
      <c r="G1549" s="5">
        <v>440.54</v>
      </c>
    </row>
    <row r="1550" spans="1:7" x14ac:dyDescent="0.2">
      <c r="A1550" s="3">
        <v>120</v>
      </c>
      <c r="B1550" s="2">
        <v>52864.800000000003</v>
      </c>
      <c r="C1550" s="38">
        <v>44806</v>
      </c>
      <c r="D1550" s="1" t="s">
        <v>66</v>
      </c>
      <c r="E1550" s="1" t="s">
        <v>33</v>
      </c>
      <c r="F1550" s="1" t="s">
        <v>200</v>
      </c>
      <c r="G1550" s="5">
        <v>440.54</v>
      </c>
    </row>
    <row r="1551" spans="1:7" x14ac:dyDescent="0.2">
      <c r="A1551" s="3">
        <v>120</v>
      </c>
      <c r="B1551" s="2">
        <v>52864.800000000003</v>
      </c>
      <c r="C1551" s="38">
        <v>44806</v>
      </c>
      <c r="D1551" s="1" t="s">
        <v>66</v>
      </c>
      <c r="E1551" s="1" t="s">
        <v>33</v>
      </c>
      <c r="F1551" s="1" t="s">
        <v>200</v>
      </c>
      <c r="G1551" s="5">
        <v>440.54</v>
      </c>
    </row>
    <row r="1552" spans="1:7" x14ac:dyDescent="0.2">
      <c r="A1552" s="3">
        <v>432</v>
      </c>
      <c r="B1552" s="2">
        <v>42577.919999999998</v>
      </c>
      <c r="C1552" s="38">
        <v>45072</v>
      </c>
      <c r="D1552" s="1" t="s">
        <v>84</v>
      </c>
      <c r="E1552" s="1" t="s">
        <v>33</v>
      </c>
      <c r="F1552" s="1" t="s">
        <v>200</v>
      </c>
      <c r="G1552" s="5">
        <v>98.56</v>
      </c>
    </row>
    <row r="1553" spans="1:7" x14ac:dyDescent="0.2">
      <c r="A1553" s="3">
        <v>216</v>
      </c>
      <c r="B1553" s="2">
        <v>21288.959999999999</v>
      </c>
      <c r="C1553" s="38">
        <v>45072</v>
      </c>
      <c r="D1553" s="1" t="s">
        <v>84</v>
      </c>
      <c r="E1553" s="1" t="s">
        <v>33</v>
      </c>
      <c r="F1553" s="1" t="s">
        <v>200</v>
      </c>
      <c r="G1553" s="5">
        <v>98.56</v>
      </c>
    </row>
    <row r="1554" spans="1:7" x14ac:dyDescent="0.2">
      <c r="A1554" s="3">
        <v>144</v>
      </c>
      <c r="B1554" s="2">
        <v>29975.040000000001</v>
      </c>
      <c r="C1554" s="38">
        <v>45072</v>
      </c>
      <c r="D1554" s="1" t="s">
        <v>115</v>
      </c>
      <c r="E1554" s="1" t="s">
        <v>33</v>
      </c>
      <c r="F1554" s="1" t="s">
        <v>200</v>
      </c>
      <c r="G1554" s="5">
        <v>208.16</v>
      </c>
    </row>
    <row r="1555" spans="1:7" x14ac:dyDescent="0.2">
      <c r="A1555" s="3">
        <v>15</v>
      </c>
      <c r="B1555" s="2">
        <v>12860.55</v>
      </c>
      <c r="C1555" s="38">
        <v>45072</v>
      </c>
      <c r="D1555" s="1" t="s">
        <v>85</v>
      </c>
      <c r="E1555" s="1" t="s">
        <v>33</v>
      </c>
      <c r="F1555" s="1" t="s">
        <v>200</v>
      </c>
      <c r="G1555" s="5">
        <v>857.37</v>
      </c>
    </row>
    <row r="1556" spans="1:7" x14ac:dyDescent="0.2">
      <c r="A1556" s="3">
        <v>60</v>
      </c>
      <c r="B1556" s="2">
        <v>51442.2</v>
      </c>
      <c r="C1556" s="38">
        <v>45072</v>
      </c>
      <c r="D1556" s="1" t="s">
        <v>85</v>
      </c>
      <c r="E1556" s="1" t="s">
        <v>33</v>
      </c>
      <c r="F1556" s="1" t="s">
        <v>200</v>
      </c>
      <c r="G1556" s="5">
        <v>857.37</v>
      </c>
    </row>
    <row r="1557" spans="1:7" x14ac:dyDescent="0.2">
      <c r="A1557" s="3">
        <v>60</v>
      </c>
      <c r="B1557" s="2">
        <v>51442.2</v>
      </c>
      <c r="C1557" s="38">
        <v>45072</v>
      </c>
      <c r="D1557" s="1" t="s">
        <v>85</v>
      </c>
      <c r="E1557" s="1" t="s">
        <v>33</v>
      </c>
      <c r="F1557" s="1" t="s">
        <v>200</v>
      </c>
      <c r="G1557" s="5">
        <v>857.37</v>
      </c>
    </row>
    <row r="1558" spans="1:7" x14ac:dyDescent="0.2">
      <c r="A1558" s="3">
        <v>15</v>
      </c>
      <c r="B1558" s="2">
        <v>12860.55</v>
      </c>
      <c r="C1558" s="38">
        <v>45072</v>
      </c>
      <c r="D1558" s="1" t="s">
        <v>85</v>
      </c>
      <c r="E1558" s="1" t="s">
        <v>33</v>
      </c>
      <c r="F1558" s="1" t="s">
        <v>200</v>
      </c>
      <c r="G1558" s="5">
        <v>857.37</v>
      </c>
    </row>
    <row r="1559" spans="1:7" x14ac:dyDescent="0.2">
      <c r="A1559" s="3">
        <v>60</v>
      </c>
      <c r="B1559" s="2">
        <v>51442.2</v>
      </c>
      <c r="C1559" s="38">
        <v>45072</v>
      </c>
      <c r="D1559" s="1" t="s">
        <v>85</v>
      </c>
      <c r="E1559" s="1" t="s">
        <v>33</v>
      </c>
      <c r="F1559" s="1" t="s">
        <v>200</v>
      </c>
      <c r="G1559" s="5">
        <v>857.37</v>
      </c>
    </row>
    <row r="1560" spans="1:7" x14ac:dyDescent="0.2">
      <c r="A1560" s="3">
        <v>60</v>
      </c>
      <c r="B1560" s="2">
        <v>51442.2</v>
      </c>
      <c r="C1560" s="38">
        <v>45072</v>
      </c>
      <c r="D1560" s="1" t="s">
        <v>85</v>
      </c>
      <c r="E1560" s="1" t="s">
        <v>33</v>
      </c>
      <c r="F1560" s="1" t="s">
        <v>200</v>
      </c>
      <c r="G1560" s="5">
        <v>857.37</v>
      </c>
    </row>
    <row r="1561" spans="1:7" x14ac:dyDescent="0.2">
      <c r="A1561" s="3">
        <v>60</v>
      </c>
      <c r="B1561" s="2">
        <v>51442.2</v>
      </c>
      <c r="C1561" s="38">
        <v>45072</v>
      </c>
      <c r="D1561" s="1" t="s">
        <v>85</v>
      </c>
      <c r="E1561" s="1" t="s">
        <v>33</v>
      </c>
      <c r="F1561" s="1" t="s">
        <v>200</v>
      </c>
      <c r="G1561" s="5">
        <v>857.37</v>
      </c>
    </row>
    <row r="1562" spans="1:7" x14ac:dyDescent="0.2">
      <c r="A1562" s="3">
        <v>60</v>
      </c>
      <c r="B1562" s="2">
        <v>51442.2</v>
      </c>
      <c r="C1562" s="38">
        <v>45072</v>
      </c>
      <c r="D1562" s="1" t="s">
        <v>85</v>
      </c>
      <c r="E1562" s="1" t="s">
        <v>33</v>
      </c>
      <c r="F1562" s="1" t="s">
        <v>200</v>
      </c>
      <c r="G1562" s="5">
        <v>857.37</v>
      </c>
    </row>
    <row r="1563" spans="1:7" x14ac:dyDescent="0.2">
      <c r="A1563" s="3">
        <v>60</v>
      </c>
      <c r="B1563" s="2">
        <v>51442.2</v>
      </c>
      <c r="C1563" s="38">
        <v>45072</v>
      </c>
      <c r="D1563" s="1" t="s">
        <v>85</v>
      </c>
      <c r="E1563" s="1" t="s">
        <v>33</v>
      </c>
      <c r="F1563" s="1" t="s">
        <v>200</v>
      </c>
      <c r="G1563" s="5">
        <v>857.37</v>
      </c>
    </row>
    <row r="1564" spans="1:7" x14ac:dyDescent="0.2">
      <c r="A1564" s="3">
        <v>30</v>
      </c>
      <c r="B1564" s="2">
        <v>13216.2</v>
      </c>
      <c r="C1564" s="38">
        <v>44678</v>
      </c>
      <c r="D1564" s="1" t="s">
        <v>66</v>
      </c>
      <c r="E1564" s="1" t="s">
        <v>33</v>
      </c>
      <c r="F1564" s="1" t="s">
        <v>200</v>
      </c>
      <c r="G1564" s="5">
        <v>440.54</v>
      </c>
    </row>
    <row r="1565" spans="1:7" x14ac:dyDescent="0.2">
      <c r="A1565" s="3">
        <v>90</v>
      </c>
      <c r="B1565" s="2">
        <v>39648.6</v>
      </c>
      <c r="C1565" s="38">
        <v>44678</v>
      </c>
      <c r="D1565" s="1" t="s">
        <v>66</v>
      </c>
      <c r="E1565" s="1" t="s">
        <v>33</v>
      </c>
      <c r="F1565" s="1" t="s">
        <v>200</v>
      </c>
      <c r="G1565" s="5">
        <v>440.54</v>
      </c>
    </row>
    <row r="1566" spans="1:7" x14ac:dyDescent="0.2">
      <c r="A1566" s="3">
        <v>30</v>
      </c>
      <c r="B1566" s="2">
        <v>13216.2</v>
      </c>
      <c r="C1566" s="38">
        <v>44678</v>
      </c>
      <c r="D1566" s="1" t="s">
        <v>66</v>
      </c>
      <c r="E1566" s="1" t="s">
        <v>33</v>
      </c>
      <c r="F1566" s="1" t="s">
        <v>200</v>
      </c>
      <c r="G1566" s="5">
        <v>440.54</v>
      </c>
    </row>
    <row r="1567" spans="1:7" x14ac:dyDescent="0.2">
      <c r="A1567" s="3">
        <v>90</v>
      </c>
      <c r="B1567" s="2">
        <v>39648.6</v>
      </c>
      <c r="C1567" s="38">
        <v>44678</v>
      </c>
      <c r="D1567" s="1" t="s">
        <v>66</v>
      </c>
      <c r="E1567" s="1" t="s">
        <v>33</v>
      </c>
      <c r="F1567" s="1" t="s">
        <v>200</v>
      </c>
      <c r="G1567" s="5">
        <v>440.54</v>
      </c>
    </row>
    <row r="1568" spans="1:7" x14ac:dyDescent="0.2">
      <c r="A1568" s="3">
        <v>324</v>
      </c>
      <c r="B1568" s="2">
        <v>34962.839999999997</v>
      </c>
      <c r="C1568" s="38">
        <v>45077</v>
      </c>
      <c r="D1568" s="1" t="s">
        <v>55</v>
      </c>
      <c r="E1568" s="1" t="s">
        <v>33</v>
      </c>
      <c r="F1568" s="1" t="s">
        <v>200</v>
      </c>
      <c r="G1568" s="5">
        <v>107.91</v>
      </c>
    </row>
    <row r="1569" spans="1:7" x14ac:dyDescent="0.2">
      <c r="A1569" s="3">
        <v>432</v>
      </c>
      <c r="B1569" s="2">
        <v>46617.120000000003</v>
      </c>
      <c r="C1569" s="38">
        <v>45077</v>
      </c>
      <c r="D1569" s="1" t="s">
        <v>55</v>
      </c>
      <c r="E1569" s="1" t="s">
        <v>33</v>
      </c>
      <c r="F1569" s="1" t="s">
        <v>200</v>
      </c>
      <c r="G1569" s="5">
        <v>107.91</v>
      </c>
    </row>
    <row r="1570" spans="1:7" x14ac:dyDescent="0.2">
      <c r="A1570" s="3">
        <v>216</v>
      </c>
      <c r="B1570" s="2">
        <v>23308.560000000001</v>
      </c>
      <c r="C1570" s="38">
        <v>45077</v>
      </c>
      <c r="D1570" s="1" t="s">
        <v>55</v>
      </c>
      <c r="E1570" s="1" t="s">
        <v>33</v>
      </c>
      <c r="F1570" s="1" t="s">
        <v>200</v>
      </c>
      <c r="G1570" s="5">
        <v>107.91</v>
      </c>
    </row>
    <row r="1571" spans="1:7" x14ac:dyDescent="0.2">
      <c r="A1571" s="3">
        <v>432</v>
      </c>
      <c r="B1571" s="2">
        <v>46617.120000000003</v>
      </c>
      <c r="C1571" s="38">
        <v>45077</v>
      </c>
      <c r="D1571" s="1" t="s">
        <v>55</v>
      </c>
      <c r="E1571" s="1" t="s">
        <v>33</v>
      </c>
      <c r="F1571" s="1" t="s">
        <v>200</v>
      </c>
      <c r="G1571" s="5">
        <v>107.91</v>
      </c>
    </row>
    <row r="1572" spans="1:7" x14ac:dyDescent="0.2">
      <c r="A1572" s="3">
        <v>140</v>
      </c>
      <c r="B1572" s="2">
        <v>53718</v>
      </c>
      <c r="C1572" s="38">
        <v>45077</v>
      </c>
      <c r="D1572" s="1" t="s">
        <v>74</v>
      </c>
      <c r="E1572" s="1" t="s">
        <v>33</v>
      </c>
      <c r="F1572" s="1" t="s">
        <v>200</v>
      </c>
      <c r="G1572" s="5">
        <v>383.7</v>
      </c>
    </row>
    <row r="1573" spans="1:7" x14ac:dyDescent="0.2">
      <c r="A1573" s="3">
        <v>140</v>
      </c>
      <c r="B1573" s="2">
        <v>53718</v>
      </c>
      <c r="C1573" s="38">
        <v>45077</v>
      </c>
      <c r="D1573" s="1" t="s">
        <v>74</v>
      </c>
      <c r="E1573" s="1" t="s">
        <v>33</v>
      </c>
      <c r="F1573" s="1" t="s">
        <v>200</v>
      </c>
      <c r="G1573" s="5">
        <v>383.7</v>
      </c>
    </row>
    <row r="1574" spans="1:7" x14ac:dyDescent="0.2">
      <c r="A1574" s="3">
        <v>140</v>
      </c>
      <c r="B1574" s="2">
        <v>53718</v>
      </c>
      <c r="C1574" s="38">
        <v>45077</v>
      </c>
      <c r="D1574" s="1" t="s">
        <v>74</v>
      </c>
      <c r="E1574" s="1" t="s">
        <v>33</v>
      </c>
      <c r="F1574" s="1" t="s">
        <v>200</v>
      </c>
      <c r="G1574" s="5">
        <v>383.7</v>
      </c>
    </row>
    <row r="1575" spans="1:7" x14ac:dyDescent="0.2">
      <c r="A1575" s="3">
        <v>30</v>
      </c>
      <c r="B1575" s="2">
        <v>25721.1</v>
      </c>
      <c r="C1575" s="38">
        <v>45077</v>
      </c>
      <c r="D1575" s="1" t="s">
        <v>85</v>
      </c>
      <c r="E1575" s="1" t="s">
        <v>33</v>
      </c>
      <c r="F1575" s="1" t="s">
        <v>200</v>
      </c>
      <c r="G1575" s="5">
        <v>857.37</v>
      </c>
    </row>
    <row r="1576" spans="1:7" x14ac:dyDescent="0.2">
      <c r="A1576" s="3">
        <v>60</v>
      </c>
      <c r="B1576" s="2">
        <v>51442.2</v>
      </c>
      <c r="C1576" s="38">
        <v>45077</v>
      </c>
      <c r="D1576" s="1" t="s">
        <v>85</v>
      </c>
      <c r="E1576" s="1" t="s">
        <v>33</v>
      </c>
      <c r="F1576" s="1" t="s">
        <v>200</v>
      </c>
      <c r="G1576" s="5">
        <v>857.37</v>
      </c>
    </row>
    <row r="1577" spans="1:7" x14ac:dyDescent="0.2">
      <c r="A1577" s="3">
        <v>60</v>
      </c>
      <c r="B1577" s="2">
        <v>51442.2</v>
      </c>
      <c r="C1577" s="38">
        <v>45077</v>
      </c>
      <c r="D1577" s="1" t="s">
        <v>85</v>
      </c>
      <c r="E1577" s="1" t="s">
        <v>33</v>
      </c>
      <c r="F1577" s="1" t="s">
        <v>200</v>
      </c>
      <c r="G1577" s="5">
        <v>857.37</v>
      </c>
    </row>
    <row r="1578" spans="1:7" x14ac:dyDescent="0.2">
      <c r="A1578" s="3">
        <v>60</v>
      </c>
      <c r="B1578" s="2">
        <v>51442.2</v>
      </c>
      <c r="C1578" s="38">
        <v>45077</v>
      </c>
      <c r="D1578" s="1" t="s">
        <v>85</v>
      </c>
      <c r="E1578" s="1" t="s">
        <v>33</v>
      </c>
      <c r="F1578" s="1" t="s">
        <v>200</v>
      </c>
      <c r="G1578" s="5">
        <v>857.37</v>
      </c>
    </row>
    <row r="1579" spans="1:7" x14ac:dyDescent="0.2">
      <c r="A1579" s="3">
        <v>60</v>
      </c>
      <c r="B1579" s="2">
        <v>51442.2</v>
      </c>
      <c r="C1579" s="38">
        <v>45077</v>
      </c>
      <c r="D1579" s="1" t="s">
        <v>85</v>
      </c>
      <c r="E1579" s="1" t="s">
        <v>33</v>
      </c>
      <c r="F1579" s="1" t="s">
        <v>200</v>
      </c>
      <c r="G1579" s="5">
        <v>857.37</v>
      </c>
    </row>
    <row r="1580" spans="1:7" x14ac:dyDescent="0.2">
      <c r="A1580" s="3">
        <v>60</v>
      </c>
      <c r="B1580" s="2">
        <v>51442.2</v>
      </c>
      <c r="C1580" s="38">
        <v>45077</v>
      </c>
      <c r="D1580" s="1" t="s">
        <v>85</v>
      </c>
      <c r="E1580" s="1" t="s">
        <v>33</v>
      </c>
      <c r="F1580" s="1" t="s">
        <v>200</v>
      </c>
      <c r="G1580" s="5">
        <v>857.37</v>
      </c>
    </row>
    <row r="1581" spans="1:7" x14ac:dyDescent="0.2">
      <c r="A1581" s="3">
        <v>30</v>
      </c>
      <c r="B1581" s="2">
        <v>13216.2</v>
      </c>
      <c r="C1581" s="38">
        <v>44932</v>
      </c>
      <c r="D1581" s="1" t="s">
        <v>66</v>
      </c>
      <c r="E1581" s="1" t="s">
        <v>33</v>
      </c>
      <c r="F1581" s="1" t="s">
        <v>200</v>
      </c>
      <c r="G1581" s="5">
        <v>440.54</v>
      </c>
    </row>
    <row r="1582" spans="1:7" x14ac:dyDescent="0.2">
      <c r="A1582" s="3">
        <v>30</v>
      </c>
      <c r="B1582" s="2">
        <v>13216.2</v>
      </c>
      <c r="C1582" s="38">
        <v>44713</v>
      </c>
      <c r="D1582" s="1" t="s">
        <v>66</v>
      </c>
      <c r="E1582" s="1" t="s">
        <v>33</v>
      </c>
      <c r="F1582" s="1" t="s">
        <v>200</v>
      </c>
      <c r="G1582" s="5">
        <v>440.54</v>
      </c>
    </row>
    <row r="1583" spans="1:7" x14ac:dyDescent="0.2">
      <c r="A1583" s="3">
        <v>1820</v>
      </c>
      <c r="B1583" s="2">
        <v>4313.3999999999996</v>
      </c>
      <c r="C1583" s="38">
        <v>44713</v>
      </c>
      <c r="D1583" s="1" t="s">
        <v>68</v>
      </c>
      <c r="E1583" s="1" t="s">
        <v>33</v>
      </c>
      <c r="F1583" s="1" t="s">
        <v>200</v>
      </c>
      <c r="G1583" s="5">
        <v>2.37</v>
      </c>
    </row>
    <row r="1584" spans="1:7" x14ac:dyDescent="0.2">
      <c r="A1584" s="3">
        <v>1820</v>
      </c>
      <c r="B1584" s="2">
        <v>4313.3999999999996</v>
      </c>
      <c r="C1584" s="38">
        <v>44713</v>
      </c>
      <c r="D1584" s="1" t="s">
        <v>68</v>
      </c>
      <c r="E1584" s="1" t="s">
        <v>33</v>
      </c>
      <c r="F1584" s="1" t="s">
        <v>200</v>
      </c>
      <c r="G1584" s="5">
        <v>2.37</v>
      </c>
    </row>
    <row r="1585" spans="1:7" x14ac:dyDescent="0.2">
      <c r="A1585" s="3">
        <v>1820</v>
      </c>
      <c r="B1585" s="2">
        <v>4313.3999999999996</v>
      </c>
      <c r="C1585" s="38">
        <v>44713</v>
      </c>
      <c r="D1585" s="1" t="s">
        <v>68</v>
      </c>
      <c r="E1585" s="1" t="s">
        <v>33</v>
      </c>
      <c r="F1585" s="1" t="s">
        <v>200</v>
      </c>
      <c r="G1585" s="5">
        <v>2.37</v>
      </c>
    </row>
    <row r="1586" spans="1:7" x14ac:dyDescent="0.2">
      <c r="A1586" s="3">
        <v>324</v>
      </c>
      <c r="B1586" s="2">
        <v>37004.04</v>
      </c>
      <c r="C1586" s="38">
        <v>44940</v>
      </c>
      <c r="D1586" s="1" t="s">
        <v>55</v>
      </c>
      <c r="E1586" s="1" t="s">
        <v>33</v>
      </c>
      <c r="F1586" s="1" t="s">
        <v>200</v>
      </c>
      <c r="G1586" s="5">
        <v>114.21</v>
      </c>
    </row>
    <row r="1587" spans="1:7" x14ac:dyDescent="0.2">
      <c r="A1587" s="3">
        <v>16</v>
      </c>
      <c r="B1587" s="2">
        <v>40360.800000000003</v>
      </c>
      <c r="C1587" s="38">
        <v>44940</v>
      </c>
      <c r="D1587" s="1" t="s">
        <v>162</v>
      </c>
      <c r="E1587" s="1" t="s">
        <v>33</v>
      </c>
      <c r="F1587" s="1" t="s">
        <v>200</v>
      </c>
      <c r="G1587" s="5">
        <v>2522.5500000000002</v>
      </c>
    </row>
    <row r="1588" spans="1:7" x14ac:dyDescent="0.2">
      <c r="A1588" s="3">
        <v>140</v>
      </c>
      <c r="B1588" s="2">
        <v>60040.4</v>
      </c>
      <c r="C1588" s="38">
        <v>44940</v>
      </c>
      <c r="D1588" s="1" t="s">
        <v>73</v>
      </c>
      <c r="E1588" s="1" t="s">
        <v>33</v>
      </c>
      <c r="F1588" s="1" t="s">
        <v>200</v>
      </c>
      <c r="G1588" s="5">
        <v>428.86</v>
      </c>
    </row>
    <row r="1589" spans="1:7" x14ac:dyDescent="0.2">
      <c r="A1589" s="3">
        <v>140</v>
      </c>
      <c r="B1589" s="2">
        <v>58132.2</v>
      </c>
      <c r="C1589" s="38">
        <v>44985</v>
      </c>
      <c r="D1589" s="1" t="s">
        <v>72</v>
      </c>
      <c r="E1589" s="1" t="s">
        <v>33</v>
      </c>
      <c r="F1589" s="1" t="s">
        <v>200</v>
      </c>
      <c r="G1589" s="5">
        <v>415.23</v>
      </c>
    </row>
    <row r="1590" spans="1:7" x14ac:dyDescent="0.2">
      <c r="A1590" s="3">
        <v>140</v>
      </c>
      <c r="B1590" s="2">
        <v>58132.2</v>
      </c>
      <c r="C1590" s="38">
        <v>44985</v>
      </c>
      <c r="D1590" s="1" t="s">
        <v>72</v>
      </c>
      <c r="E1590" s="1" t="s">
        <v>33</v>
      </c>
      <c r="F1590" s="1" t="s">
        <v>200</v>
      </c>
      <c r="G1590" s="5">
        <v>415.23</v>
      </c>
    </row>
    <row r="1591" spans="1:7" x14ac:dyDescent="0.2">
      <c r="A1591" s="3">
        <v>432</v>
      </c>
      <c r="B1591" s="2">
        <v>46617.120000000003</v>
      </c>
      <c r="C1591" s="38">
        <v>45082</v>
      </c>
      <c r="D1591" s="1" t="s">
        <v>55</v>
      </c>
      <c r="E1591" s="1" t="s">
        <v>33</v>
      </c>
      <c r="F1591" s="1" t="s">
        <v>200</v>
      </c>
      <c r="G1591" s="5">
        <v>107.91</v>
      </c>
    </row>
    <row r="1592" spans="1:7" x14ac:dyDescent="0.2">
      <c r="A1592" s="3">
        <v>60</v>
      </c>
      <c r="B1592" s="2">
        <v>26337</v>
      </c>
      <c r="C1592" s="38">
        <v>45082</v>
      </c>
      <c r="D1592" s="1" t="s">
        <v>66</v>
      </c>
      <c r="E1592" s="1" t="s">
        <v>33</v>
      </c>
      <c r="F1592" s="1" t="s">
        <v>200</v>
      </c>
      <c r="G1592" s="5">
        <v>438.95</v>
      </c>
    </row>
    <row r="1593" spans="1:7" x14ac:dyDescent="0.2">
      <c r="A1593" s="3">
        <v>1500</v>
      </c>
      <c r="B1593" s="2">
        <v>1830</v>
      </c>
      <c r="C1593" s="38">
        <v>45082</v>
      </c>
      <c r="D1593" s="1" t="s">
        <v>79</v>
      </c>
      <c r="E1593" s="1" t="s">
        <v>33</v>
      </c>
      <c r="F1593" s="1" t="s">
        <v>200</v>
      </c>
      <c r="G1593" s="5">
        <v>1.22</v>
      </c>
    </row>
    <row r="1594" spans="1:7" x14ac:dyDescent="0.2">
      <c r="A1594" s="3">
        <v>1500</v>
      </c>
      <c r="B1594" s="2">
        <v>1830</v>
      </c>
      <c r="C1594" s="38">
        <v>45082</v>
      </c>
      <c r="D1594" s="1" t="s">
        <v>79</v>
      </c>
      <c r="E1594" s="1" t="s">
        <v>33</v>
      </c>
      <c r="F1594" s="1" t="s">
        <v>200</v>
      </c>
      <c r="G1594" s="5">
        <v>1.22</v>
      </c>
    </row>
    <row r="1595" spans="1:7" x14ac:dyDescent="0.2">
      <c r="A1595" s="3">
        <v>420</v>
      </c>
      <c r="B1595" s="2">
        <v>318922.8</v>
      </c>
      <c r="C1595" s="38">
        <v>45082</v>
      </c>
      <c r="D1595" s="1" t="s">
        <v>83</v>
      </c>
      <c r="E1595" s="1" t="s">
        <v>33</v>
      </c>
      <c r="F1595" s="1" t="s">
        <v>200</v>
      </c>
      <c r="G1595" s="5">
        <v>759.34</v>
      </c>
    </row>
    <row r="1596" spans="1:7" x14ac:dyDescent="0.2">
      <c r="A1596" s="3">
        <v>30</v>
      </c>
      <c r="B1596" s="2">
        <v>13168.5</v>
      </c>
      <c r="C1596" s="38">
        <v>45000</v>
      </c>
      <c r="D1596" s="1" t="s">
        <v>66</v>
      </c>
      <c r="E1596" s="1" t="s">
        <v>33</v>
      </c>
      <c r="F1596" s="1" t="s">
        <v>200</v>
      </c>
      <c r="G1596" s="5">
        <v>438.95</v>
      </c>
    </row>
    <row r="1597" spans="1:7" x14ac:dyDescent="0.2">
      <c r="A1597" s="3">
        <v>90</v>
      </c>
      <c r="B1597" s="2">
        <v>39505.5</v>
      </c>
      <c r="C1597" s="38">
        <v>45000</v>
      </c>
      <c r="D1597" s="1" t="s">
        <v>66</v>
      </c>
      <c r="E1597" s="1" t="s">
        <v>33</v>
      </c>
      <c r="F1597" s="1" t="s">
        <v>200</v>
      </c>
      <c r="G1597" s="5">
        <v>438.95</v>
      </c>
    </row>
    <row r="1598" spans="1:7" x14ac:dyDescent="0.2">
      <c r="A1598" s="3">
        <v>140</v>
      </c>
      <c r="B1598" s="2">
        <v>53718</v>
      </c>
      <c r="C1598" s="38">
        <v>45000</v>
      </c>
      <c r="D1598" s="1" t="s">
        <v>74</v>
      </c>
      <c r="E1598" s="1" t="s">
        <v>33</v>
      </c>
      <c r="F1598" s="1" t="s">
        <v>200</v>
      </c>
      <c r="G1598" s="5">
        <v>383.7</v>
      </c>
    </row>
    <row r="1599" spans="1:7" x14ac:dyDescent="0.2">
      <c r="A1599" s="3">
        <v>216</v>
      </c>
      <c r="B1599" s="2">
        <v>24669.360000000001</v>
      </c>
      <c r="C1599" s="38">
        <v>44950</v>
      </c>
      <c r="D1599" s="1" t="s">
        <v>55</v>
      </c>
      <c r="E1599" s="1" t="s">
        <v>33</v>
      </c>
      <c r="F1599" s="1" t="s">
        <v>200</v>
      </c>
      <c r="G1599" s="5">
        <v>114.21</v>
      </c>
    </row>
    <row r="1600" spans="1:7" x14ac:dyDescent="0.2">
      <c r="A1600" s="3">
        <v>324</v>
      </c>
      <c r="B1600" s="2">
        <v>34962.839999999997</v>
      </c>
      <c r="C1600" s="38">
        <v>45049</v>
      </c>
      <c r="D1600" s="1" t="s">
        <v>55</v>
      </c>
      <c r="E1600" s="1" t="s">
        <v>33</v>
      </c>
      <c r="F1600" s="1" t="s">
        <v>200</v>
      </c>
      <c r="G1600" s="5">
        <v>107.91</v>
      </c>
    </row>
    <row r="1601" spans="1:7" x14ac:dyDescent="0.2">
      <c r="A1601" s="3">
        <v>432</v>
      </c>
      <c r="B1601" s="2">
        <v>46617.120000000003</v>
      </c>
      <c r="C1601" s="38">
        <v>45049</v>
      </c>
      <c r="D1601" s="1" t="s">
        <v>55</v>
      </c>
      <c r="E1601" s="1" t="s">
        <v>33</v>
      </c>
      <c r="F1601" s="1" t="s">
        <v>200</v>
      </c>
      <c r="G1601" s="5">
        <v>107.91</v>
      </c>
    </row>
    <row r="1602" spans="1:7" x14ac:dyDescent="0.2">
      <c r="A1602" s="3">
        <v>252</v>
      </c>
      <c r="B1602" s="2">
        <v>21606.48</v>
      </c>
      <c r="C1602" s="38">
        <v>45049</v>
      </c>
      <c r="D1602" s="1" t="s">
        <v>61</v>
      </c>
      <c r="E1602" s="1" t="s">
        <v>33</v>
      </c>
      <c r="F1602" s="1" t="s">
        <v>200</v>
      </c>
      <c r="G1602" s="5">
        <v>85.74</v>
      </c>
    </row>
    <row r="1603" spans="1:7" x14ac:dyDescent="0.2">
      <c r="A1603" s="3">
        <v>252</v>
      </c>
      <c r="B1603" s="2">
        <v>21606.48</v>
      </c>
      <c r="C1603" s="38">
        <v>45049</v>
      </c>
      <c r="D1603" s="1" t="s">
        <v>61</v>
      </c>
      <c r="E1603" s="1" t="s">
        <v>33</v>
      </c>
      <c r="F1603" s="1" t="s">
        <v>200</v>
      </c>
      <c r="G1603" s="5">
        <v>85.74</v>
      </c>
    </row>
    <row r="1604" spans="1:7" x14ac:dyDescent="0.2">
      <c r="A1604" s="3">
        <v>588</v>
      </c>
      <c r="B1604" s="2">
        <v>62210.400000000001</v>
      </c>
      <c r="C1604" s="38">
        <v>45049</v>
      </c>
      <c r="D1604" s="1" t="s">
        <v>69</v>
      </c>
      <c r="E1604" s="1" t="s">
        <v>33</v>
      </c>
      <c r="F1604" s="1" t="s">
        <v>200</v>
      </c>
      <c r="G1604" s="5">
        <v>105.8</v>
      </c>
    </row>
    <row r="1605" spans="1:7" x14ac:dyDescent="0.2">
      <c r="A1605" s="3">
        <v>588</v>
      </c>
      <c r="B1605" s="2">
        <v>62210.400000000001</v>
      </c>
      <c r="C1605" s="38">
        <v>45049</v>
      </c>
      <c r="D1605" s="1" t="s">
        <v>69</v>
      </c>
      <c r="E1605" s="1" t="s">
        <v>33</v>
      </c>
      <c r="F1605" s="1" t="s">
        <v>200</v>
      </c>
      <c r="G1605" s="5">
        <v>105.8</v>
      </c>
    </row>
    <row r="1606" spans="1:7" x14ac:dyDescent="0.2">
      <c r="A1606" s="3">
        <v>140</v>
      </c>
      <c r="B1606" s="2">
        <v>58132.2</v>
      </c>
      <c r="C1606" s="38">
        <v>45049</v>
      </c>
      <c r="D1606" s="1" t="s">
        <v>72</v>
      </c>
      <c r="E1606" s="1" t="s">
        <v>33</v>
      </c>
      <c r="F1606" s="1" t="s">
        <v>200</v>
      </c>
      <c r="G1606" s="5">
        <v>415.23</v>
      </c>
    </row>
    <row r="1607" spans="1:7" x14ac:dyDescent="0.2">
      <c r="A1607" s="3">
        <v>140</v>
      </c>
      <c r="B1607" s="2">
        <v>58132.2</v>
      </c>
      <c r="C1607" s="38">
        <v>45049</v>
      </c>
      <c r="D1607" s="1" t="s">
        <v>72</v>
      </c>
      <c r="E1607" s="1" t="s">
        <v>33</v>
      </c>
      <c r="F1607" s="1" t="s">
        <v>200</v>
      </c>
      <c r="G1607" s="5">
        <v>415.23</v>
      </c>
    </row>
    <row r="1608" spans="1:7" x14ac:dyDescent="0.2">
      <c r="A1608" s="3">
        <v>140</v>
      </c>
      <c r="B1608" s="2">
        <v>58132.2</v>
      </c>
      <c r="C1608" s="38">
        <v>45049</v>
      </c>
      <c r="D1608" s="1" t="s">
        <v>72</v>
      </c>
      <c r="E1608" s="1" t="s">
        <v>33</v>
      </c>
      <c r="F1608" s="1" t="s">
        <v>200</v>
      </c>
      <c r="G1608" s="5">
        <v>415.23</v>
      </c>
    </row>
    <row r="1609" spans="1:7" x14ac:dyDescent="0.2">
      <c r="A1609" s="3">
        <v>140</v>
      </c>
      <c r="B1609" s="2">
        <v>58132.2</v>
      </c>
      <c r="C1609" s="38">
        <v>45049</v>
      </c>
      <c r="D1609" s="1" t="s">
        <v>72</v>
      </c>
      <c r="E1609" s="1" t="s">
        <v>33</v>
      </c>
      <c r="F1609" s="1" t="s">
        <v>200</v>
      </c>
      <c r="G1609" s="5">
        <v>415.23</v>
      </c>
    </row>
    <row r="1610" spans="1:7" x14ac:dyDescent="0.2">
      <c r="A1610" s="3">
        <v>140</v>
      </c>
      <c r="B1610" s="2">
        <v>58132.2</v>
      </c>
      <c r="C1610" s="38">
        <v>45049</v>
      </c>
      <c r="D1610" s="1" t="s">
        <v>72</v>
      </c>
      <c r="E1610" s="1" t="s">
        <v>33</v>
      </c>
      <c r="F1610" s="1" t="s">
        <v>200</v>
      </c>
      <c r="G1610" s="5">
        <v>415.23</v>
      </c>
    </row>
    <row r="1611" spans="1:7" x14ac:dyDescent="0.2">
      <c r="A1611" s="3">
        <v>140</v>
      </c>
      <c r="B1611" s="2">
        <v>58132.2</v>
      </c>
      <c r="C1611" s="38">
        <v>44950</v>
      </c>
      <c r="D1611" s="1" t="s">
        <v>72</v>
      </c>
      <c r="E1611" s="1" t="s">
        <v>33</v>
      </c>
      <c r="F1611" s="1" t="s">
        <v>200</v>
      </c>
      <c r="G1611" s="5">
        <v>415.23</v>
      </c>
    </row>
    <row r="1612" spans="1:7" x14ac:dyDescent="0.2">
      <c r="A1612" s="3">
        <v>90</v>
      </c>
      <c r="B1612" s="2">
        <v>41816.699999999997</v>
      </c>
      <c r="C1612" s="38">
        <v>44952</v>
      </c>
      <c r="D1612" s="1" t="s">
        <v>66</v>
      </c>
      <c r="E1612" s="1" t="s">
        <v>33</v>
      </c>
      <c r="F1612" s="1" t="s">
        <v>200</v>
      </c>
      <c r="G1612" s="5">
        <v>464.63</v>
      </c>
    </row>
    <row r="1613" spans="1:7" x14ac:dyDescent="0.2">
      <c r="A1613" s="3">
        <v>140</v>
      </c>
      <c r="B1613" s="2">
        <v>58132.2</v>
      </c>
      <c r="C1613" s="38">
        <v>44952</v>
      </c>
      <c r="D1613" s="1" t="s">
        <v>72</v>
      </c>
      <c r="E1613" s="1" t="s">
        <v>33</v>
      </c>
      <c r="F1613" s="1" t="s">
        <v>200</v>
      </c>
      <c r="G1613" s="5">
        <v>415.23</v>
      </c>
    </row>
    <row r="1614" spans="1:7" x14ac:dyDescent="0.2">
      <c r="A1614" s="3">
        <v>140</v>
      </c>
      <c r="B1614" s="2">
        <v>58132.2</v>
      </c>
      <c r="C1614" s="38">
        <v>44952</v>
      </c>
      <c r="D1614" s="1" t="s">
        <v>72</v>
      </c>
      <c r="E1614" s="1" t="s">
        <v>33</v>
      </c>
      <c r="F1614" s="1" t="s">
        <v>200</v>
      </c>
      <c r="G1614" s="5">
        <v>415.23</v>
      </c>
    </row>
    <row r="1615" spans="1:7" x14ac:dyDescent="0.2">
      <c r="A1615" s="3">
        <v>140</v>
      </c>
      <c r="B1615" s="2">
        <v>58132.2</v>
      </c>
      <c r="C1615" s="38">
        <v>45049</v>
      </c>
      <c r="D1615" s="1" t="s">
        <v>72</v>
      </c>
      <c r="E1615" s="1" t="s">
        <v>33</v>
      </c>
      <c r="F1615" s="1" t="s">
        <v>200</v>
      </c>
      <c r="G1615" s="5">
        <v>415.23</v>
      </c>
    </row>
    <row r="1616" spans="1:7" x14ac:dyDescent="0.2">
      <c r="A1616" s="3">
        <v>140</v>
      </c>
      <c r="B1616" s="2">
        <v>58132.2</v>
      </c>
      <c r="C1616" s="38">
        <v>45049</v>
      </c>
      <c r="D1616" s="1" t="s">
        <v>72</v>
      </c>
      <c r="E1616" s="1" t="s">
        <v>33</v>
      </c>
      <c r="F1616" s="1" t="s">
        <v>200</v>
      </c>
      <c r="G1616" s="5">
        <v>415.23</v>
      </c>
    </row>
    <row r="1617" spans="1:7" x14ac:dyDescent="0.2">
      <c r="A1617" s="3">
        <v>1500</v>
      </c>
      <c r="B1617" s="2">
        <v>1830</v>
      </c>
      <c r="C1617" s="38">
        <v>45049</v>
      </c>
      <c r="D1617" s="1" t="s">
        <v>79</v>
      </c>
      <c r="E1617" s="1" t="s">
        <v>33</v>
      </c>
      <c r="F1617" s="1" t="s">
        <v>200</v>
      </c>
      <c r="G1617" s="5">
        <v>1.22</v>
      </c>
    </row>
    <row r="1618" spans="1:7" x14ac:dyDescent="0.2">
      <c r="A1618" s="3">
        <v>156</v>
      </c>
      <c r="B1618" s="2">
        <v>15375.36</v>
      </c>
      <c r="C1618" s="38">
        <v>45049</v>
      </c>
      <c r="D1618" s="1" t="s">
        <v>84</v>
      </c>
      <c r="E1618" s="1" t="s">
        <v>33</v>
      </c>
      <c r="F1618" s="1" t="s">
        <v>200</v>
      </c>
      <c r="G1618" s="5">
        <v>98.56</v>
      </c>
    </row>
    <row r="1619" spans="1:7" x14ac:dyDescent="0.2">
      <c r="A1619" s="3">
        <v>144</v>
      </c>
      <c r="B1619" s="2">
        <v>14192.64</v>
      </c>
      <c r="C1619" s="38">
        <v>45049</v>
      </c>
      <c r="D1619" s="1" t="s">
        <v>84</v>
      </c>
      <c r="E1619" s="1" t="s">
        <v>33</v>
      </c>
      <c r="F1619" s="1" t="s">
        <v>200</v>
      </c>
      <c r="G1619" s="5">
        <v>98.56</v>
      </c>
    </row>
    <row r="1620" spans="1:7" x14ac:dyDescent="0.2">
      <c r="A1620" s="3">
        <v>156</v>
      </c>
      <c r="B1620" s="2">
        <v>15375.36</v>
      </c>
      <c r="C1620" s="38">
        <v>45049</v>
      </c>
      <c r="D1620" s="1" t="s">
        <v>84</v>
      </c>
      <c r="E1620" s="1" t="s">
        <v>33</v>
      </c>
      <c r="F1620" s="1" t="s">
        <v>200</v>
      </c>
      <c r="G1620" s="5">
        <v>98.56</v>
      </c>
    </row>
    <row r="1621" spans="1:7" x14ac:dyDescent="0.2">
      <c r="A1621" s="3">
        <v>156</v>
      </c>
      <c r="B1621" s="2">
        <v>15375.36</v>
      </c>
      <c r="C1621" s="38">
        <v>45049</v>
      </c>
      <c r="D1621" s="1" t="s">
        <v>84</v>
      </c>
      <c r="E1621" s="1" t="s">
        <v>33</v>
      </c>
      <c r="F1621" s="1" t="s">
        <v>200</v>
      </c>
      <c r="G1621" s="5">
        <v>98.56</v>
      </c>
    </row>
    <row r="1622" spans="1:7" x14ac:dyDescent="0.2">
      <c r="A1622" s="3">
        <v>156</v>
      </c>
      <c r="B1622" s="2">
        <v>15375.36</v>
      </c>
      <c r="C1622" s="38">
        <v>45049</v>
      </c>
      <c r="D1622" s="1" t="s">
        <v>84</v>
      </c>
      <c r="E1622" s="1" t="s">
        <v>33</v>
      </c>
      <c r="F1622" s="1" t="s">
        <v>200</v>
      </c>
      <c r="G1622" s="5">
        <v>98.56</v>
      </c>
    </row>
    <row r="1623" spans="1:7" x14ac:dyDescent="0.2">
      <c r="A1623" s="3">
        <v>216</v>
      </c>
      <c r="B1623" s="2">
        <v>21288.959999999999</v>
      </c>
      <c r="C1623" s="38">
        <v>45049</v>
      </c>
      <c r="D1623" s="1" t="s">
        <v>84</v>
      </c>
      <c r="E1623" s="1" t="s">
        <v>33</v>
      </c>
      <c r="F1623" s="1" t="s">
        <v>200</v>
      </c>
      <c r="G1623" s="5">
        <v>98.56</v>
      </c>
    </row>
    <row r="1624" spans="1:7" x14ac:dyDescent="0.2">
      <c r="A1624" s="3">
        <v>216</v>
      </c>
      <c r="B1624" s="2">
        <v>21288.959999999999</v>
      </c>
      <c r="C1624" s="38">
        <v>45049</v>
      </c>
      <c r="D1624" s="1" t="s">
        <v>84</v>
      </c>
      <c r="E1624" s="1" t="s">
        <v>33</v>
      </c>
      <c r="F1624" s="1" t="s">
        <v>200</v>
      </c>
      <c r="G1624" s="5">
        <v>98.56</v>
      </c>
    </row>
    <row r="1625" spans="1:7" x14ac:dyDescent="0.2">
      <c r="A1625" s="3">
        <v>156</v>
      </c>
      <c r="B1625" s="2">
        <v>15375.36</v>
      </c>
      <c r="C1625" s="38">
        <v>45049</v>
      </c>
      <c r="D1625" s="1" t="s">
        <v>84</v>
      </c>
      <c r="E1625" s="1" t="s">
        <v>33</v>
      </c>
      <c r="F1625" s="1" t="s">
        <v>200</v>
      </c>
      <c r="G1625" s="5">
        <v>98.56</v>
      </c>
    </row>
    <row r="1626" spans="1:7" x14ac:dyDescent="0.2">
      <c r="A1626" s="3">
        <v>1820</v>
      </c>
      <c r="B1626" s="2">
        <v>4313.3999999999996</v>
      </c>
      <c r="C1626" s="38">
        <v>44721</v>
      </c>
      <c r="D1626" s="1" t="s">
        <v>68</v>
      </c>
      <c r="E1626" s="1" t="s">
        <v>33</v>
      </c>
      <c r="F1626" s="1" t="s">
        <v>200</v>
      </c>
      <c r="G1626" s="5">
        <v>2.37</v>
      </c>
    </row>
    <row r="1627" spans="1:7" x14ac:dyDescent="0.2">
      <c r="A1627" s="3">
        <v>1820</v>
      </c>
      <c r="B1627" s="2">
        <v>4313.3999999999996</v>
      </c>
      <c r="C1627" s="38">
        <v>44721</v>
      </c>
      <c r="D1627" s="1" t="s">
        <v>68</v>
      </c>
      <c r="E1627" s="1" t="s">
        <v>33</v>
      </c>
      <c r="F1627" s="1" t="s">
        <v>200</v>
      </c>
      <c r="G1627" s="5">
        <v>2.37</v>
      </c>
    </row>
    <row r="1628" spans="1:7" x14ac:dyDescent="0.2">
      <c r="A1628" s="3">
        <v>60</v>
      </c>
      <c r="B1628" s="2">
        <v>26432.400000000001</v>
      </c>
      <c r="C1628" s="38">
        <v>44664</v>
      </c>
      <c r="D1628" s="1" t="s">
        <v>66</v>
      </c>
      <c r="E1628" s="1" t="s">
        <v>33</v>
      </c>
      <c r="F1628" s="1" t="s">
        <v>200</v>
      </c>
      <c r="G1628" s="5">
        <v>440.54</v>
      </c>
    </row>
    <row r="1629" spans="1:7" x14ac:dyDescent="0.2">
      <c r="A1629" s="3">
        <v>90</v>
      </c>
      <c r="B1629" s="2">
        <v>39648.6</v>
      </c>
      <c r="C1629" s="38">
        <v>44664</v>
      </c>
      <c r="D1629" s="1" t="s">
        <v>66</v>
      </c>
      <c r="E1629" s="1" t="s">
        <v>33</v>
      </c>
      <c r="F1629" s="1" t="s">
        <v>200</v>
      </c>
      <c r="G1629" s="5">
        <v>440.54</v>
      </c>
    </row>
    <row r="1630" spans="1:7" x14ac:dyDescent="0.2">
      <c r="A1630" s="3">
        <v>60</v>
      </c>
      <c r="B1630" s="2">
        <v>26432.400000000001</v>
      </c>
      <c r="C1630" s="38">
        <v>44664</v>
      </c>
      <c r="D1630" s="1" t="s">
        <v>66</v>
      </c>
      <c r="E1630" s="1" t="s">
        <v>33</v>
      </c>
      <c r="F1630" s="1" t="s">
        <v>200</v>
      </c>
      <c r="G1630" s="5">
        <v>440.54</v>
      </c>
    </row>
    <row r="1631" spans="1:7" x14ac:dyDescent="0.2">
      <c r="A1631" s="3">
        <v>30</v>
      </c>
      <c r="B1631" s="2">
        <v>13216.2</v>
      </c>
      <c r="C1631" s="38">
        <v>44664</v>
      </c>
      <c r="D1631" s="1" t="s">
        <v>66</v>
      </c>
      <c r="E1631" s="1" t="s">
        <v>33</v>
      </c>
      <c r="F1631" s="1" t="s">
        <v>200</v>
      </c>
      <c r="G1631" s="5">
        <v>440.54</v>
      </c>
    </row>
    <row r="1632" spans="1:7" x14ac:dyDescent="0.2">
      <c r="A1632" s="3">
        <v>30</v>
      </c>
      <c r="B1632" s="2">
        <v>13216.2</v>
      </c>
      <c r="C1632" s="38">
        <v>44664</v>
      </c>
      <c r="D1632" s="1" t="s">
        <v>66</v>
      </c>
      <c r="E1632" s="1" t="s">
        <v>33</v>
      </c>
      <c r="F1632" s="1" t="s">
        <v>200</v>
      </c>
      <c r="G1632" s="5">
        <v>440.54</v>
      </c>
    </row>
    <row r="1633" spans="1:7" x14ac:dyDescent="0.2">
      <c r="A1633" s="3">
        <v>60</v>
      </c>
      <c r="B1633" s="2">
        <v>26432.400000000001</v>
      </c>
      <c r="C1633" s="38">
        <v>44664</v>
      </c>
      <c r="D1633" s="1" t="s">
        <v>66</v>
      </c>
      <c r="E1633" s="1" t="s">
        <v>33</v>
      </c>
      <c r="F1633" s="1" t="s">
        <v>200</v>
      </c>
      <c r="G1633" s="5">
        <v>440.54</v>
      </c>
    </row>
    <row r="1634" spans="1:7" x14ac:dyDescent="0.2">
      <c r="A1634" s="3">
        <v>30</v>
      </c>
      <c r="B1634" s="2">
        <v>13216.2</v>
      </c>
      <c r="C1634" s="38">
        <v>44664</v>
      </c>
      <c r="D1634" s="1" t="s">
        <v>66</v>
      </c>
      <c r="E1634" s="1" t="s">
        <v>33</v>
      </c>
      <c r="F1634" s="1" t="s">
        <v>200</v>
      </c>
      <c r="G1634" s="5">
        <v>440.54</v>
      </c>
    </row>
    <row r="1635" spans="1:7" x14ac:dyDescent="0.2">
      <c r="A1635" s="3">
        <v>588</v>
      </c>
      <c r="B1635" s="2">
        <v>58982.28</v>
      </c>
      <c r="C1635" s="38">
        <v>44664</v>
      </c>
      <c r="D1635" s="1" t="s">
        <v>69</v>
      </c>
      <c r="E1635" s="1" t="s">
        <v>33</v>
      </c>
      <c r="F1635" s="1" t="s">
        <v>200</v>
      </c>
      <c r="G1635" s="5">
        <v>100.31</v>
      </c>
    </row>
    <row r="1636" spans="1:7" x14ac:dyDescent="0.2">
      <c r="A1636" s="3">
        <v>32</v>
      </c>
      <c r="B1636" s="2">
        <v>18030.72</v>
      </c>
      <c r="C1636" s="38">
        <v>44690</v>
      </c>
      <c r="D1636" s="1" t="s">
        <v>173</v>
      </c>
      <c r="E1636" s="1" t="s">
        <v>33</v>
      </c>
      <c r="F1636" s="1" t="s">
        <v>200</v>
      </c>
      <c r="G1636" s="5">
        <v>563.46</v>
      </c>
    </row>
    <row r="1637" spans="1:7" x14ac:dyDescent="0.2">
      <c r="A1637" s="3">
        <v>140</v>
      </c>
      <c r="B1637" s="2">
        <v>60040.4</v>
      </c>
      <c r="C1637" s="38">
        <v>45086</v>
      </c>
      <c r="D1637" s="1" t="s">
        <v>73</v>
      </c>
      <c r="E1637" s="1" t="s">
        <v>33</v>
      </c>
      <c r="F1637" s="1" t="s">
        <v>200</v>
      </c>
      <c r="G1637" s="5">
        <v>428.86</v>
      </c>
    </row>
    <row r="1638" spans="1:7" x14ac:dyDescent="0.2">
      <c r="A1638" s="3">
        <v>108</v>
      </c>
      <c r="B1638" s="2">
        <v>11654.28</v>
      </c>
      <c r="C1638" s="38">
        <v>45097</v>
      </c>
      <c r="D1638" s="1" t="s">
        <v>55</v>
      </c>
      <c r="E1638" s="1" t="s">
        <v>33</v>
      </c>
      <c r="F1638" s="1" t="s">
        <v>200</v>
      </c>
      <c r="G1638" s="5">
        <v>107.91</v>
      </c>
    </row>
    <row r="1639" spans="1:7" x14ac:dyDescent="0.2">
      <c r="A1639" s="3">
        <v>432</v>
      </c>
      <c r="B1639" s="2">
        <v>46617.120000000003</v>
      </c>
      <c r="C1639" s="38">
        <v>45097</v>
      </c>
      <c r="D1639" s="1" t="s">
        <v>55</v>
      </c>
      <c r="E1639" s="1" t="s">
        <v>33</v>
      </c>
      <c r="F1639" s="1" t="s">
        <v>200</v>
      </c>
      <c r="G1639" s="5">
        <v>107.91</v>
      </c>
    </row>
    <row r="1640" spans="1:7" x14ac:dyDescent="0.2">
      <c r="A1640" s="3">
        <v>240</v>
      </c>
      <c r="B1640" s="2">
        <v>108170.4</v>
      </c>
      <c r="C1640" s="38">
        <v>45097</v>
      </c>
      <c r="D1640" s="1" t="s">
        <v>58</v>
      </c>
      <c r="E1640" s="1" t="s">
        <v>33</v>
      </c>
      <c r="F1640" s="1" t="s">
        <v>200</v>
      </c>
      <c r="G1640" s="5">
        <v>450.71</v>
      </c>
    </row>
    <row r="1641" spans="1:7" x14ac:dyDescent="0.2">
      <c r="A1641" s="3">
        <v>240</v>
      </c>
      <c r="B1641" s="2">
        <v>108170.4</v>
      </c>
      <c r="C1641" s="38">
        <v>45097</v>
      </c>
      <c r="D1641" s="1" t="s">
        <v>58</v>
      </c>
      <c r="E1641" s="1" t="s">
        <v>33</v>
      </c>
      <c r="F1641" s="1" t="s">
        <v>200</v>
      </c>
      <c r="G1641" s="5">
        <v>450.71</v>
      </c>
    </row>
    <row r="1642" spans="1:7" x14ac:dyDescent="0.2">
      <c r="A1642" s="3">
        <v>3000</v>
      </c>
      <c r="B1642" s="2">
        <v>3660</v>
      </c>
      <c r="C1642" s="38">
        <v>45097</v>
      </c>
      <c r="D1642" s="1" t="s">
        <v>79</v>
      </c>
      <c r="E1642" s="1" t="s">
        <v>33</v>
      </c>
      <c r="F1642" s="1" t="s">
        <v>200</v>
      </c>
      <c r="G1642" s="5">
        <v>1.22</v>
      </c>
    </row>
    <row r="1643" spans="1:7" x14ac:dyDescent="0.2">
      <c r="A1643" s="3">
        <v>15</v>
      </c>
      <c r="B1643" s="2">
        <v>12860.55</v>
      </c>
      <c r="C1643" s="38">
        <v>45097</v>
      </c>
      <c r="D1643" s="1" t="s">
        <v>85</v>
      </c>
      <c r="E1643" s="1" t="s">
        <v>33</v>
      </c>
      <c r="F1643" s="1" t="s">
        <v>200</v>
      </c>
      <c r="G1643" s="5">
        <v>857.37</v>
      </c>
    </row>
    <row r="1644" spans="1:7" x14ac:dyDescent="0.2">
      <c r="A1644" s="3">
        <v>60</v>
      </c>
      <c r="B1644" s="2">
        <v>51442.2</v>
      </c>
      <c r="C1644" s="38">
        <v>45097</v>
      </c>
      <c r="D1644" s="1" t="s">
        <v>85</v>
      </c>
      <c r="E1644" s="1" t="s">
        <v>33</v>
      </c>
      <c r="F1644" s="1" t="s">
        <v>200</v>
      </c>
      <c r="G1644" s="5">
        <v>857.37</v>
      </c>
    </row>
    <row r="1645" spans="1:7" x14ac:dyDescent="0.2">
      <c r="A1645" s="3">
        <v>60</v>
      </c>
      <c r="B1645" s="2">
        <v>51442.2</v>
      </c>
      <c r="C1645" s="38">
        <v>45097</v>
      </c>
      <c r="D1645" s="1" t="s">
        <v>85</v>
      </c>
      <c r="E1645" s="1" t="s">
        <v>33</v>
      </c>
      <c r="F1645" s="1" t="s">
        <v>200</v>
      </c>
      <c r="G1645" s="5">
        <v>857.37</v>
      </c>
    </row>
    <row r="1646" spans="1:7" x14ac:dyDescent="0.2">
      <c r="A1646" s="3">
        <v>60</v>
      </c>
      <c r="B1646" s="2">
        <v>51442.2</v>
      </c>
      <c r="C1646" s="38">
        <v>45097</v>
      </c>
      <c r="D1646" s="1" t="s">
        <v>85</v>
      </c>
      <c r="E1646" s="1" t="s">
        <v>33</v>
      </c>
      <c r="F1646" s="1" t="s">
        <v>200</v>
      </c>
      <c r="G1646" s="5">
        <v>857.37</v>
      </c>
    </row>
    <row r="1647" spans="1:7" x14ac:dyDescent="0.2">
      <c r="A1647" s="3">
        <v>420</v>
      </c>
      <c r="B1647" s="2">
        <v>6610.8</v>
      </c>
      <c r="C1647" s="38">
        <v>45030</v>
      </c>
      <c r="D1647" s="1" t="s">
        <v>140</v>
      </c>
      <c r="E1647" s="1" t="s">
        <v>33</v>
      </c>
      <c r="F1647" s="1" t="s">
        <v>200</v>
      </c>
      <c r="G1647" s="5">
        <v>15.74</v>
      </c>
    </row>
    <row r="1648" spans="1:7" x14ac:dyDescent="0.2">
      <c r="A1648" s="3">
        <v>32</v>
      </c>
      <c r="B1648" s="2">
        <v>27878.080000000002</v>
      </c>
      <c r="C1648" s="38">
        <v>45030</v>
      </c>
      <c r="D1648" s="1" t="s">
        <v>141</v>
      </c>
      <c r="E1648" s="1" t="s">
        <v>33</v>
      </c>
      <c r="F1648" s="1" t="s">
        <v>200</v>
      </c>
      <c r="G1648" s="5">
        <v>871.19</v>
      </c>
    </row>
    <row r="1649" spans="1:7" x14ac:dyDescent="0.2">
      <c r="A1649" s="3">
        <v>108</v>
      </c>
      <c r="B1649" s="2">
        <v>10644.48</v>
      </c>
      <c r="C1649" s="38">
        <v>45030</v>
      </c>
      <c r="D1649" s="1" t="s">
        <v>84</v>
      </c>
      <c r="E1649" s="1" t="s">
        <v>33</v>
      </c>
      <c r="F1649" s="1" t="s">
        <v>200</v>
      </c>
      <c r="G1649" s="5">
        <v>98.56</v>
      </c>
    </row>
    <row r="1650" spans="1:7" x14ac:dyDescent="0.2">
      <c r="A1650" s="3">
        <v>108</v>
      </c>
      <c r="B1650" s="2">
        <v>10644.48</v>
      </c>
      <c r="C1650" s="38">
        <v>45030</v>
      </c>
      <c r="D1650" s="1" t="s">
        <v>84</v>
      </c>
      <c r="E1650" s="1" t="s">
        <v>33</v>
      </c>
      <c r="F1650" s="1" t="s">
        <v>200</v>
      </c>
      <c r="G1650" s="5">
        <v>98.56</v>
      </c>
    </row>
    <row r="1651" spans="1:7" x14ac:dyDescent="0.2">
      <c r="A1651" s="3">
        <v>108</v>
      </c>
      <c r="B1651" s="2">
        <v>10644.48</v>
      </c>
      <c r="C1651" s="38">
        <v>45030</v>
      </c>
      <c r="D1651" s="1" t="s">
        <v>84</v>
      </c>
      <c r="E1651" s="1" t="s">
        <v>33</v>
      </c>
      <c r="F1651" s="1" t="s">
        <v>200</v>
      </c>
      <c r="G1651" s="5">
        <v>98.56</v>
      </c>
    </row>
    <row r="1652" spans="1:7" x14ac:dyDescent="0.2">
      <c r="A1652" s="3">
        <v>74</v>
      </c>
      <c r="B1652" s="2">
        <v>7293.44</v>
      </c>
      <c r="C1652" s="38">
        <v>45030</v>
      </c>
      <c r="D1652" s="1" t="s">
        <v>84</v>
      </c>
      <c r="E1652" s="1" t="s">
        <v>33</v>
      </c>
      <c r="F1652" s="1" t="s">
        <v>200</v>
      </c>
      <c r="G1652" s="5">
        <v>98.56</v>
      </c>
    </row>
    <row r="1653" spans="1:7" x14ac:dyDescent="0.2">
      <c r="A1653" s="3">
        <v>83</v>
      </c>
      <c r="B1653" s="2">
        <v>8180.48</v>
      </c>
      <c r="C1653" s="38">
        <v>45030</v>
      </c>
      <c r="D1653" s="1" t="s">
        <v>84</v>
      </c>
      <c r="E1653" s="1" t="s">
        <v>33</v>
      </c>
      <c r="F1653" s="1" t="s">
        <v>200</v>
      </c>
      <c r="G1653" s="5">
        <v>98.56</v>
      </c>
    </row>
    <row r="1654" spans="1:7" x14ac:dyDescent="0.2">
      <c r="A1654" s="3">
        <v>108</v>
      </c>
      <c r="B1654" s="2">
        <v>10644.48</v>
      </c>
      <c r="C1654" s="38">
        <v>45030</v>
      </c>
      <c r="D1654" s="1" t="s">
        <v>84</v>
      </c>
      <c r="E1654" s="1" t="s">
        <v>33</v>
      </c>
      <c r="F1654" s="1" t="s">
        <v>200</v>
      </c>
      <c r="G1654" s="5">
        <v>98.56</v>
      </c>
    </row>
    <row r="1655" spans="1:7" x14ac:dyDescent="0.2">
      <c r="A1655" s="3">
        <v>60</v>
      </c>
      <c r="B1655" s="2">
        <v>5913.6</v>
      </c>
      <c r="C1655" s="38">
        <v>45030</v>
      </c>
      <c r="D1655" s="1" t="s">
        <v>84</v>
      </c>
      <c r="E1655" s="1" t="s">
        <v>33</v>
      </c>
      <c r="F1655" s="1" t="s">
        <v>200</v>
      </c>
      <c r="G1655" s="5">
        <v>98.56</v>
      </c>
    </row>
    <row r="1656" spans="1:7" x14ac:dyDescent="0.2">
      <c r="A1656" s="3">
        <v>156</v>
      </c>
      <c r="B1656" s="2">
        <v>15375.36</v>
      </c>
      <c r="C1656" s="38">
        <v>45030</v>
      </c>
      <c r="D1656" s="1" t="s">
        <v>84</v>
      </c>
      <c r="E1656" s="1" t="s">
        <v>33</v>
      </c>
      <c r="F1656" s="1" t="s">
        <v>200</v>
      </c>
      <c r="G1656" s="5">
        <v>98.56</v>
      </c>
    </row>
    <row r="1657" spans="1:7" x14ac:dyDescent="0.2">
      <c r="A1657" s="3">
        <v>34</v>
      </c>
      <c r="B1657" s="2">
        <v>3351.04</v>
      </c>
      <c r="C1657" s="38">
        <v>45030</v>
      </c>
      <c r="D1657" s="1" t="s">
        <v>84</v>
      </c>
      <c r="E1657" s="1" t="s">
        <v>33</v>
      </c>
      <c r="F1657" s="1" t="s">
        <v>200</v>
      </c>
      <c r="G1657" s="5">
        <v>98.56</v>
      </c>
    </row>
    <row r="1658" spans="1:7" x14ac:dyDescent="0.2">
      <c r="A1658" s="3">
        <v>60</v>
      </c>
      <c r="B1658" s="2">
        <v>51442.2</v>
      </c>
      <c r="C1658" s="38">
        <v>45097</v>
      </c>
      <c r="D1658" s="1" t="s">
        <v>85</v>
      </c>
      <c r="E1658" s="1" t="s">
        <v>33</v>
      </c>
      <c r="F1658" s="1" t="s">
        <v>200</v>
      </c>
      <c r="G1658" s="5">
        <v>857.37</v>
      </c>
    </row>
    <row r="1659" spans="1:7" x14ac:dyDescent="0.2">
      <c r="A1659" s="3">
        <v>25</v>
      </c>
      <c r="B1659" s="2">
        <v>63063.75</v>
      </c>
      <c r="C1659" s="38">
        <v>44959</v>
      </c>
      <c r="D1659" s="1" t="s">
        <v>162</v>
      </c>
      <c r="E1659" s="1" t="s">
        <v>33</v>
      </c>
      <c r="F1659" s="1" t="s">
        <v>200</v>
      </c>
      <c r="G1659" s="5">
        <v>2522.5500000000002</v>
      </c>
    </row>
    <row r="1660" spans="1:7" x14ac:dyDescent="0.2">
      <c r="A1660" s="3">
        <v>2</v>
      </c>
      <c r="B1660" s="2">
        <v>5045.1000000000004</v>
      </c>
      <c r="C1660" s="38">
        <v>44959</v>
      </c>
      <c r="D1660" s="1" t="s">
        <v>162</v>
      </c>
      <c r="E1660" s="1" t="s">
        <v>33</v>
      </c>
      <c r="F1660" s="1" t="s">
        <v>200</v>
      </c>
      <c r="G1660" s="5">
        <v>2522.5500000000002</v>
      </c>
    </row>
    <row r="1661" spans="1:7" x14ac:dyDescent="0.2">
      <c r="A1661" s="3">
        <v>3000</v>
      </c>
      <c r="B1661" s="2">
        <v>3930</v>
      </c>
      <c r="C1661" s="38">
        <v>44959</v>
      </c>
      <c r="D1661" s="1" t="s">
        <v>80</v>
      </c>
      <c r="E1661" s="1" t="s">
        <v>33</v>
      </c>
      <c r="F1661" s="1" t="s">
        <v>200</v>
      </c>
      <c r="G1661" s="5">
        <v>1.31</v>
      </c>
    </row>
    <row r="1662" spans="1:7" x14ac:dyDescent="0.2">
      <c r="A1662" s="3">
        <v>432</v>
      </c>
      <c r="B1662" s="2">
        <v>46617.120000000003</v>
      </c>
      <c r="C1662" s="38">
        <v>45037</v>
      </c>
      <c r="D1662" s="1" t="s">
        <v>55</v>
      </c>
      <c r="E1662" s="1" t="s">
        <v>33</v>
      </c>
      <c r="F1662" s="1" t="s">
        <v>200</v>
      </c>
      <c r="G1662" s="5">
        <v>107.91</v>
      </c>
    </row>
    <row r="1663" spans="1:7" x14ac:dyDescent="0.2">
      <c r="A1663" s="3">
        <v>216</v>
      </c>
      <c r="B1663" s="2">
        <v>23308.560000000001</v>
      </c>
      <c r="C1663" s="38">
        <v>45037</v>
      </c>
      <c r="D1663" s="1" t="s">
        <v>55</v>
      </c>
      <c r="E1663" s="1" t="s">
        <v>33</v>
      </c>
      <c r="F1663" s="1" t="s">
        <v>200</v>
      </c>
      <c r="G1663" s="5">
        <v>107.91</v>
      </c>
    </row>
    <row r="1664" spans="1:7" x14ac:dyDescent="0.2">
      <c r="A1664" s="3">
        <v>108</v>
      </c>
      <c r="B1664" s="2">
        <v>11654.28</v>
      </c>
      <c r="C1664" s="38">
        <v>45037</v>
      </c>
      <c r="D1664" s="1" t="s">
        <v>55</v>
      </c>
      <c r="E1664" s="1" t="s">
        <v>33</v>
      </c>
      <c r="F1664" s="1" t="s">
        <v>200</v>
      </c>
      <c r="G1664" s="5">
        <v>107.91</v>
      </c>
    </row>
    <row r="1665" spans="1:7" x14ac:dyDescent="0.2">
      <c r="A1665" s="3">
        <v>432</v>
      </c>
      <c r="B1665" s="2">
        <v>46617.120000000003</v>
      </c>
      <c r="C1665" s="38">
        <v>45037</v>
      </c>
      <c r="D1665" s="1" t="s">
        <v>55</v>
      </c>
      <c r="E1665" s="1" t="s">
        <v>33</v>
      </c>
      <c r="F1665" s="1" t="s">
        <v>200</v>
      </c>
      <c r="G1665" s="5">
        <v>107.91</v>
      </c>
    </row>
    <row r="1666" spans="1:7" x14ac:dyDescent="0.2">
      <c r="A1666" s="3">
        <v>324</v>
      </c>
      <c r="B1666" s="2">
        <v>34962.839999999997</v>
      </c>
      <c r="C1666" s="38">
        <v>45037</v>
      </c>
      <c r="D1666" s="1" t="s">
        <v>55</v>
      </c>
      <c r="E1666" s="1" t="s">
        <v>33</v>
      </c>
      <c r="F1666" s="1" t="s">
        <v>200</v>
      </c>
      <c r="G1666" s="5">
        <v>107.91</v>
      </c>
    </row>
    <row r="1667" spans="1:7" x14ac:dyDescent="0.2">
      <c r="A1667" s="3">
        <v>432</v>
      </c>
      <c r="B1667" s="2">
        <v>46617.120000000003</v>
      </c>
      <c r="C1667" s="38">
        <v>45037</v>
      </c>
      <c r="D1667" s="1" t="s">
        <v>55</v>
      </c>
      <c r="E1667" s="1" t="s">
        <v>33</v>
      </c>
      <c r="F1667" s="1" t="s">
        <v>200</v>
      </c>
      <c r="G1667" s="5">
        <v>107.91</v>
      </c>
    </row>
    <row r="1668" spans="1:7" x14ac:dyDescent="0.2">
      <c r="A1668" s="3">
        <v>432</v>
      </c>
      <c r="B1668" s="2">
        <v>46617.120000000003</v>
      </c>
      <c r="C1668" s="38">
        <v>45037</v>
      </c>
      <c r="D1668" s="1" t="s">
        <v>55</v>
      </c>
      <c r="E1668" s="1" t="s">
        <v>33</v>
      </c>
      <c r="F1668" s="1" t="s">
        <v>200</v>
      </c>
      <c r="G1668" s="5">
        <v>107.91</v>
      </c>
    </row>
    <row r="1669" spans="1:7" x14ac:dyDescent="0.2">
      <c r="A1669" s="3">
        <v>324</v>
      </c>
      <c r="B1669" s="2">
        <v>34962.839999999997</v>
      </c>
      <c r="C1669" s="38">
        <v>45037</v>
      </c>
      <c r="D1669" s="1" t="s">
        <v>55</v>
      </c>
      <c r="E1669" s="1" t="s">
        <v>33</v>
      </c>
      <c r="F1669" s="1" t="s">
        <v>200</v>
      </c>
      <c r="G1669" s="5">
        <v>107.91</v>
      </c>
    </row>
    <row r="1670" spans="1:7" x14ac:dyDescent="0.2">
      <c r="A1670" s="3">
        <v>432</v>
      </c>
      <c r="B1670" s="2">
        <v>46617.120000000003</v>
      </c>
      <c r="C1670" s="38">
        <v>45037</v>
      </c>
      <c r="D1670" s="1" t="s">
        <v>55</v>
      </c>
      <c r="E1670" s="1" t="s">
        <v>33</v>
      </c>
      <c r="F1670" s="1" t="s">
        <v>200</v>
      </c>
      <c r="G1670" s="5">
        <v>107.91</v>
      </c>
    </row>
    <row r="1671" spans="1:7" x14ac:dyDescent="0.2">
      <c r="A1671" s="3">
        <v>432</v>
      </c>
      <c r="B1671" s="2">
        <v>46617.120000000003</v>
      </c>
      <c r="C1671" s="38">
        <v>45037</v>
      </c>
      <c r="D1671" s="1" t="s">
        <v>55</v>
      </c>
      <c r="E1671" s="1" t="s">
        <v>33</v>
      </c>
      <c r="F1671" s="1" t="s">
        <v>200</v>
      </c>
      <c r="G1671" s="5">
        <v>107.91</v>
      </c>
    </row>
    <row r="1672" spans="1:7" x14ac:dyDescent="0.2">
      <c r="A1672" s="3">
        <v>140</v>
      </c>
      <c r="B1672" s="2">
        <v>60040.4</v>
      </c>
      <c r="C1672" s="38">
        <v>44970</v>
      </c>
      <c r="D1672" s="1" t="s">
        <v>73</v>
      </c>
      <c r="E1672" s="1" t="s">
        <v>33</v>
      </c>
      <c r="F1672" s="1" t="s">
        <v>200</v>
      </c>
      <c r="G1672" s="5">
        <v>428.86</v>
      </c>
    </row>
    <row r="1673" spans="1:7" x14ac:dyDescent="0.2">
      <c r="A1673" s="3">
        <v>1500</v>
      </c>
      <c r="B1673" s="2">
        <v>1830</v>
      </c>
      <c r="C1673" s="38">
        <v>44970</v>
      </c>
      <c r="D1673" s="1" t="s">
        <v>79</v>
      </c>
      <c r="E1673" s="1" t="s">
        <v>33</v>
      </c>
      <c r="F1673" s="1" t="s">
        <v>200</v>
      </c>
      <c r="G1673" s="5">
        <v>1.22</v>
      </c>
    </row>
    <row r="1674" spans="1:7" x14ac:dyDescent="0.2">
      <c r="A1674" s="3">
        <v>216</v>
      </c>
      <c r="B1674" s="2">
        <v>23308.560000000001</v>
      </c>
      <c r="C1674" s="38">
        <v>45037</v>
      </c>
      <c r="D1674" s="1" t="s">
        <v>55</v>
      </c>
      <c r="E1674" s="1" t="s">
        <v>33</v>
      </c>
      <c r="F1674" s="1" t="s">
        <v>200</v>
      </c>
      <c r="G1674" s="5">
        <v>107.91</v>
      </c>
    </row>
    <row r="1675" spans="1:7" x14ac:dyDescent="0.2">
      <c r="A1675" s="3">
        <v>324</v>
      </c>
      <c r="B1675" s="2">
        <v>34962.839999999997</v>
      </c>
      <c r="C1675" s="38">
        <v>45037</v>
      </c>
      <c r="D1675" s="1" t="s">
        <v>55</v>
      </c>
      <c r="E1675" s="1" t="s">
        <v>33</v>
      </c>
      <c r="F1675" s="1" t="s">
        <v>200</v>
      </c>
      <c r="G1675" s="5">
        <v>107.91</v>
      </c>
    </row>
    <row r="1676" spans="1:7" x14ac:dyDescent="0.2">
      <c r="A1676" s="3">
        <v>3000</v>
      </c>
      <c r="B1676" s="2">
        <v>3660</v>
      </c>
      <c r="C1676" s="38">
        <v>45037</v>
      </c>
      <c r="D1676" s="1" t="s">
        <v>79</v>
      </c>
      <c r="E1676" s="1" t="s">
        <v>33</v>
      </c>
      <c r="F1676" s="1" t="s">
        <v>200</v>
      </c>
      <c r="G1676" s="5">
        <v>1.22</v>
      </c>
    </row>
    <row r="1677" spans="1:7" x14ac:dyDescent="0.2">
      <c r="A1677" s="3">
        <v>96</v>
      </c>
      <c r="B1677" s="2">
        <v>19983.36</v>
      </c>
      <c r="C1677" s="38">
        <v>45037</v>
      </c>
      <c r="D1677" s="1" t="s">
        <v>115</v>
      </c>
      <c r="E1677" s="1" t="s">
        <v>33</v>
      </c>
      <c r="F1677" s="1" t="s">
        <v>200</v>
      </c>
      <c r="G1677" s="5">
        <v>208.16</v>
      </c>
    </row>
    <row r="1678" spans="1:7" x14ac:dyDescent="0.2">
      <c r="A1678" s="3">
        <v>768</v>
      </c>
      <c r="B1678" s="2">
        <v>116090.88</v>
      </c>
      <c r="C1678" s="38">
        <v>45037</v>
      </c>
      <c r="D1678" s="1" t="s">
        <v>165</v>
      </c>
      <c r="E1678" s="1" t="s">
        <v>33</v>
      </c>
      <c r="F1678" s="1" t="s">
        <v>200</v>
      </c>
      <c r="G1678" s="5">
        <v>151.16</v>
      </c>
    </row>
    <row r="1679" spans="1:7" x14ac:dyDescent="0.2">
      <c r="A1679" s="3">
        <v>432</v>
      </c>
      <c r="B1679" s="2">
        <v>46617.120000000003</v>
      </c>
      <c r="C1679" s="38">
        <v>45061</v>
      </c>
      <c r="D1679" s="1" t="s">
        <v>55</v>
      </c>
      <c r="E1679" s="1" t="s">
        <v>33</v>
      </c>
      <c r="F1679" s="1" t="s">
        <v>200</v>
      </c>
      <c r="G1679" s="5">
        <v>107.91</v>
      </c>
    </row>
    <row r="1680" spans="1:7" x14ac:dyDescent="0.2">
      <c r="A1680" s="3">
        <v>216</v>
      </c>
      <c r="B1680" s="2">
        <v>23308.560000000001</v>
      </c>
      <c r="C1680" s="38">
        <v>45061</v>
      </c>
      <c r="D1680" s="1" t="s">
        <v>55</v>
      </c>
      <c r="E1680" s="1" t="s">
        <v>33</v>
      </c>
      <c r="F1680" s="1" t="s">
        <v>200</v>
      </c>
      <c r="G1680" s="5">
        <v>107.91</v>
      </c>
    </row>
    <row r="1681" spans="1:7" x14ac:dyDescent="0.2">
      <c r="A1681" s="3">
        <v>324</v>
      </c>
      <c r="B1681" s="2">
        <v>34962.839999999997</v>
      </c>
      <c r="C1681" s="38">
        <v>45061</v>
      </c>
      <c r="D1681" s="1" t="s">
        <v>55</v>
      </c>
      <c r="E1681" s="1" t="s">
        <v>33</v>
      </c>
      <c r="F1681" s="1" t="s">
        <v>200</v>
      </c>
      <c r="G1681" s="5">
        <v>107.91</v>
      </c>
    </row>
    <row r="1682" spans="1:7" x14ac:dyDescent="0.2">
      <c r="A1682" s="3">
        <v>82</v>
      </c>
      <c r="B1682" s="2">
        <v>36958.22</v>
      </c>
      <c r="C1682" s="38">
        <v>45061</v>
      </c>
      <c r="D1682" s="1" t="s">
        <v>58</v>
      </c>
      <c r="E1682" s="1" t="s">
        <v>33</v>
      </c>
      <c r="F1682" s="1" t="s">
        <v>200</v>
      </c>
      <c r="G1682" s="5">
        <v>450.71</v>
      </c>
    </row>
    <row r="1683" spans="1:7" x14ac:dyDescent="0.2">
      <c r="A1683" s="3">
        <v>240</v>
      </c>
      <c r="B1683" s="2">
        <v>108170.4</v>
      </c>
      <c r="C1683" s="38">
        <v>45061</v>
      </c>
      <c r="D1683" s="1" t="s">
        <v>58</v>
      </c>
      <c r="E1683" s="1" t="s">
        <v>33</v>
      </c>
      <c r="F1683" s="1" t="s">
        <v>200</v>
      </c>
      <c r="G1683" s="5">
        <v>450.71</v>
      </c>
    </row>
    <row r="1684" spans="1:7" x14ac:dyDescent="0.2">
      <c r="A1684" s="3">
        <v>432</v>
      </c>
      <c r="B1684" s="2">
        <v>46617.120000000003</v>
      </c>
      <c r="C1684" s="38">
        <v>44978</v>
      </c>
      <c r="D1684" s="1" t="s">
        <v>55</v>
      </c>
      <c r="E1684" s="1" t="s">
        <v>33</v>
      </c>
      <c r="F1684" s="1" t="s">
        <v>200</v>
      </c>
      <c r="G1684" s="5">
        <v>107.91</v>
      </c>
    </row>
    <row r="1685" spans="1:7" x14ac:dyDescent="0.2">
      <c r="A1685" s="3">
        <v>108</v>
      </c>
      <c r="B1685" s="2">
        <v>11654.28</v>
      </c>
      <c r="C1685" s="38">
        <v>44978</v>
      </c>
      <c r="D1685" s="1" t="s">
        <v>55</v>
      </c>
      <c r="E1685" s="1" t="s">
        <v>33</v>
      </c>
      <c r="F1685" s="1" t="s">
        <v>200</v>
      </c>
      <c r="G1685" s="5">
        <v>107.91</v>
      </c>
    </row>
    <row r="1686" spans="1:7" x14ac:dyDescent="0.2">
      <c r="A1686" s="3">
        <v>108</v>
      </c>
      <c r="B1686" s="2">
        <v>11654.28</v>
      </c>
      <c r="C1686" s="38">
        <v>44978</v>
      </c>
      <c r="D1686" s="1" t="s">
        <v>55</v>
      </c>
      <c r="E1686" s="1" t="s">
        <v>33</v>
      </c>
      <c r="F1686" s="1" t="s">
        <v>200</v>
      </c>
      <c r="G1686" s="5">
        <v>107.91</v>
      </c>
    </row>
    <row r="1687" spans="1:7" x14ac:dyDescent="0.2">
      <c r="A1687" s="3">
        <v>252</v>
      </c>
      <c r="B1687" s="2">
        <v>21606.48</v>
      </c>
      <c r="C1687" s="38">
        <v>45041</v>
      </c>
      <c r="D1687" s="1" t="s">
        <v>61</v>
      </c>
      <c r="E1687" s="1" t="s">
        <v>33</v>
      </c>
      <c r="F1687" s="1" t="s">
        <v>200</v>
      </c>
      <c r="G1687" s="5">
        <v>85.74</v>
      </c>
    </row>
    <row r="1688" spans="1:7" x14ac:dyDescent="0.2">
      <c r="A1688" s="3">
        <v>252</v>
      </c>
      <c r="B1688" s="2">
        <v>21606.48</v>
      </c>
      <c r="C1688" s="38">
        <v>45041</v>
      </c>
      <c r="D1688" s="1" t="s">
        <v>61</v>
      </c>
      <c r="E1688" s="1" t="s">
        <v>33</v>
      </c>
      <c r="F1688" s="1" t="s">
        <v>200</v>
      </c>
      <c r="G1688" s="5">
        <v>85.74</v>
      </c>
    </row>
    <row r="1689" spans="1:7" x14ac:dyDescent="0.2">
      <c r="A1689" s="3">
        <v>90</v>
      </c>
      <c r="B1689" s="2">
        <v>39505.5</v>
      </c>
      <c r="C1689" s="38">
        <v>45061</v>
      </c>
      <c r="D1689" s="1" t="s">
        <v>66</v>
      </c>
      <c r="E1689" s="1" t="s">
        <v>33</v>
      </c>
      <c r="F1689" s="1" t="s">
        <v>200</v>
      </c>
      <c r="G1689" s="5">
        <v>438.95</v>
      </c>
    </row>
    <row r="1690" spans="1:7" x14ac:dyDescent="0.2">
      <c r="A1690" s="3">
        <v>1500</v>
      </c>
      <c r="B1690" s="2">
        <v>1830</v>
      </c>
      <c r="C1690" s="38">
        <v>45061</v>
      </c>
      <c r="D1690" s="1" t="s">
        <v>79</v>
      </c>
      <c r="E1690" s="1" t="s">
        <v>33</v>
      </c>
      <c r="F1690" s="1" t="s">
        <v>200</v>
      </c>
      <c r="G1690" s="5">
        <v>1.22</v>
      </c>
    </row>
    <row r="1691" spans="1:7" x14ac:dyDescent="0.2">
      <c r="A1691" s="3">
        <v>3000</v>
      </c>
      <c r="B1691" s="2">
        <v>3660</v>
      </c>
      <c r="C1691" s="38">
        <v>45061</v>
      </c>
      <c r="D1691" s="1" t="s">
        <v>79</v>
      </c>
      <c r="E1691" s="1" t="s">
        <v>33</v>
      </c>
      <c r="F1691" s="1" t="s">
        <v>200</v>
      </c>
      <c r="G1691" s="5">
        <v>1.22</v>
      </c>
    </row>
    <row r="1692" spans="1:7" x14ac:dyDescent="0.2">
      <c r="A1692" s="3">
        <v>160</v>
      </c>
      <c r="B1692" s="2">
        <v>139390.39999999999</v>
      </c>
      <c r="C1692" s="38">
        <v>45061</v>
      </c>
      <c r="D1692" s="1" t="s">
        <v>141</v>
      </c>
      <c r="E1692" s="1" t="s">
        <v>33</v>
      </c>
      <c r="F1692" s="1" t="s">
        <v>200</v>
      </c>
      <c r="G1692" s="5">
        <v>871.19</v>
      </c>
    </row>
    <row r="1693" spans="1:7" x14ac:dyDescent="0.2">
      <c r="A1693" s="3">
        <v>1500</v>
      </c>
      <c r="B1693" s="2">
        <v>1860</v>
      </c>
      <c r="C1693" s="38">
        <v>44978</v>
      </c>
      <c r="D1693" s="1" t="s">
        <v>80</v>
      </c>
      <c r="E1693" s="1" t="s">
        <v>33</v>
      </c>
      <c r="F1693" s="1" t="s">
        <v>200</v>
      </c>
      <c r="G1693" s="5">
        <v>1.24</v>
      </c>
    </row>
    <row r="1694" spans="1:7" x14ac:dyDescent="0.2">
      <c r="A1694" s="3">
        <v>252</v>
      </c>
      <c r="B1694" s="2">
        <v>20099.52</v>
      </c>
      <c r="C1694" s="38">
        <v>44981</v>
      </c>
      <c r="D1694" s="1" t="s">
        <v>61</v>
      </c>
      <c r="E1694" s="1" t="s">
        <v>33</v>
      </c>
      <c r="F1694" s="1" t="s">
        <v>200</v>
      </c>
      <c r="G1694" s="5">
        <v>79.760000000000005</v>
      </c>
    </row>
    <row r="1695" spans="1:7" x14ac:dyDescent="0.2">
      <c r="A1695" s="3">
        <v>1500</v>
      </c>
      <c r="B1695" s="2">
        <v>1965</v>
      </c>
      <c r="C1695" s="38">
        <v>44981</v>
      </c>
      <c r="D1695" s="1" t="s">
        <v>80</v>
      </c>
      <c r="E1695" s="1" t="s">
        <v>33</v>
      </c>
      <c r="F1695" s="1" t="s">
        <v>200</v>
      </c>
      <c r="G1695" s="5">
        <v>1.31</v>
      </c>
    </row>
    <row r="1696" spans="1:7" x14ac:dyDescent="0.2">
      <c r="A1696" s="3">
        <v>30</v>
      </c>
      <c r="B1696" s="2">
        <v>13168.5</v>
      </c>
      <c r="C1696" s="38">
        <v>45041</v>
      </c>
      <c r="D1696" s="1" t="s">
        <v>66</v>
      </c>
      <c r="E1696" s="1" t="s">
        <v>33</v>
      </c>
      <c r="F1696" s="1" t="s">
        <v>200</v>
      </c>
      <c r="G1696" s="5">
        <v>438.95</v>
      </c>
    </row>
    <row r="1697" spans="1:7" x14ac:dyDescent="0.2">
      <c r="A1697" s="3">
        <v>588</v>
      </c>
      <c r="B1697" s="2">
        <v>79585.8</v>
      </c>
      <c r="C1697" s="38">
        <v>45041</v>
      </c>
      <c r="D1697" s="1" t="s">
        <v>117</v>
      </c>
      <c r="E1697" s="1" t="s">
        <v>33</v>
      </c>
      <c r="F1697" s="1" t="s">
        <v>200</v>
      </c>
      <c r="G1697" s="5">
        <v>135.35</v>
      </c>
    </row>
    <row r="1698" spans="1:7" x14ac:dyDescent="0.2">
      <c r="A1698" s="3">
        <v>140</v>
      </c>
      <c r="B1698" s="2">
        <v>60040.4</v>
      </c>
      <c r="C1698" s="38">
        <v>45041</v>
      </c>
      <c r="D1698" s="1" t="s">
        <v>73</v>
      </c>
      <c r="E1698" s="1" t="s">
        <v>33</v>
      </c>
      <c r="F1698" s="1" t="s">
        <v>200</v>
      </c>
      <c r="G1698" s="5">
        <v>428.86</v>
      </c>
    </row>
    <row r="1699" spans="1:7" x14ac:dyDescent="0.2">
      <c r="A1699" s="3">
        <v>140</v>
      </c>
      <c r="B1699" s="2">
        <v>60040.4</v>
      </c>
      <c r="C1699" s="38">
        <v>45041</v>
      </c>
      <c r="D1699" s="1" t="s">
        <v>73</v>
      </c>
      <c r="E1699" s="1" t="s">
        <v>33</v>
      </c>
      <c r="F1699" s="1" t="s">
        <v>200</v>
      </c>
      <c r="G1699" s="5">
        <v>428.86</v>
      </c>
    </row>
    <row r="1700" spans="1:7" x14ac:dyDescent="0.2">
      <c r="A1700" s="3">
        <v>140</v>
      </c>
      <c r="B1700" s="2">
        <v>60040.4</v>
      </c>
      <c r="C1700" s="38">
        <v>45041</v>
      </c>
      <c r="D1700" s="1" t="s">
        <v>73</v>
      </c>
      <c r="E1700" s="1" t="s">
        <v>33</v>
      </c>
      <c r="F1700" s="1" t="s">
        <v>200</v>
      </c>
      <c r="G1700" s="5">
        <v>428.86</v>
      </c>
    </row>
    <row r="1701" spans="1:7" x14ac:dyDescent="0.2">
      <c r="A1701" s="3">
        <v>156</v>
      </c>
      <c r="B1701" s="2">
        <v>15375.36</v>
      </c>
      <c r="C1701" s="38">
        <v>45041</v>
      </c>
      <c r="D1701" s="1" t="s">
        <v>84</v>
      </c>
      <c r="E1701" s="1" t="s">
        <v>33</v>
      </c>
      <c r="F1701" s="1" t="s">
        <v>200</v>
      </c>
      <c r="G1701" s="5">
        <v>98.56</v>
      </c>
    </row>
    <row r="1702" spans="1:7" x14ac:dyDescent="0.2">
      <c r="A1702" s="3">
        <v>60</v>
      </c>
      <c r="B1702" s="2">
        <v>51442.2</v>
      </c>
      <c r="C1702" s="38">
        <v>45061</v>
      </c>
      <c r="D1702" s="1" t="s">
        <v>85</v>
      </c>
      <c r="E1702" s="1" t="s">
        <v>33</v>
      </c>
      <c r="F1702" s="1" t="s">
        <v>200</v>
      </c>
      <c r="G1702" s="5">
        <v>857.37</v>
      </c>
    </row>
    <row r="1703" spans="1:7" x14ac:dyDescent="0.2">
      <c r="A1703" s="3">
        <v>60</v>
      </c>
      <c r="B1703" s="2">
        <v>51442.2</v>
      </c>
      <c r="C1703" s="38">
        <v>45061</v>
      </c>
      <c r="D1703" s="1" t="s">
        <v>85</v>
      </c>
      <c r="E1703" s="1" t="s">
        <v>33</v>
      </c>
      <c r="F1703" s="1" t="s">
        <v>200</v>
      </c>
      <c r="G1703" s="5">
        <v>857.37</v>
      </c>
    </row>
    <row r="1704" spans="1:7" x14ac:dyDescent="0.2">
      <c r="A1704" s="3">
        <v>45</v>
      </c>
      <c r="B1704" s="2">
        <v>38581.65</v>
      </c>
      <c r="C1704" s="38">
        <v>45061</v>
      </c>
      <c r="D1704" s="1" t="s">
        <v>85</v>
      </c>
      <c r="E1704" s="1" t="s">
        <v>33</v>
      </c>
      <c r="F1704" s="1" t="s">
        <v>200</v>
      </c>
      <c r="G1704" s="5">
        <v>857.37</v>
      </c>
    </row>
    <row r="1705" spans="1:7" x14ac:dyDescent="0.2">
      <c r="A1705" s="3">
        <v>30</v>
      </c>
      <c r="B1705" s="2">
        <v>13216.2</v>
      </c>
      <c r="C1705" s="38">
        <v>44699</v>
      </c>
      <c r="D1705" s="1" t="s">
        <v>66</v>
      </c>
      <c r="E1705" s="1" t="s">
        <v>33</v>
      </c>
      <c r="F1705" s="1" t="s">
        <v>200</v>
      </c>
      <c r="G1705" s="5">
        <v>440.54</v>
      </c>
    </row>
    <row r="1706" spans="1:7" x14ac:dyDescent="0.2">
      <c r="A1706" s="3">
        <v>2000</v>
      </c>
      <c r="B1706" s="2">
        <v>3880</v>
      </c>
      <c r="C1706" s="38">
        <v>44929</v>
      </c>
      <c r="D1706" s="1" t="s">
        <v>56</v>
      </c>
      <c r="E1706" s="1" t="s">
        <v>33</v>
      </c>
      <c r="F1706" s="1" t="s">
        <v>200</v>
      </c>
      <c r="G1706" s="5">
        <v>1.94</v>
      </c>
    </row>
    <row r="1707" spans="1:7" x14ac:dyDescent="0.2">
      <c r="A1707" s="3">
        <v>3024</v>
      </c>
      <c r="B1707" s="2">
        <v>126493.92</v>
      </c>
      <c r="C1707" s="38">
        <v>44929</v>
      </c>
      <c r="D1707" s="1" t="s">
        <v>60</v>
      </c>
      <c r="E1707" s="1" t="s">
        <v>33</v>
      </c>
      <c r="F1707" s="1" t="s">
        <v>200</v>
      </c>
      <c r="G1707" s="5">
        <v>41.83</v>
      </c>
    </row>
    <row r="1708" spans="1:7" x14ac:dyDescent="0.2">
      <c r="A1708" s="3">
        <v>30</v>
      </c>
      <c r="B1708" s="2">
        <v>13216.2</v>
      </c>
      <c r="C1708" s="38">
        <v>44929</v>
      </c>
      <c r="D1708" s="1" t="s">
        <v>66</v>
      </c>
      <c r="E1708" s="1" t="s">
        <v>33</v>
      </c>
      <c r="F1708" s="1" t="s">
        <v>200</v>
      </c>
      <c r="G1708" s="5">
        <v>440.54</v>
      </c>
    </row>
    <row r="1709" spans="1:7" x14ac:dyDescent="0.2">
      <c r="A1709" s="3">
        <v>4500</v>
      </c>
      <c r="B1709" s="2">
        <v>2915.55</v>
      </c>
      <c r="C1709" s="38">
        <v>44929</v>
      </c>
      <c r="D1709" s="1" t="s">
        <v>81</v>
      </c>
      <c r="E1709" s="1" t="s">
        <v>33</v>
      </c>
      <c r="F1709" s="1" t="s">
        <v>200</v>
      </c>
      <c r="G1709" s="5">
        <v>0.64790000000000003</v>
      </c>
    </row>
    <row r="1710" spans="1:7" x14ac:dyDescent="0.2">
      <c r="A1710" s="3">
        <v>216</v>
      </c>
      <c r="B1710" s="2">
        <v>21288.959999999999</v>
      </c>
      <c r="C1710" s="38">
        <v>45041</v>
      </c>
      <c r="D1710" s="1" t="s">
        <v>84</v>
      </c>
      <c r="E1710" s="1" t="s">
        <v>33</v>
      </c>
      <c r="F1710" s="1" t="s">
        <v>200</v>
      </c>
      <c r="G1710" s="5">
        <v>98.56</v>
      </c>
    </row>
    <row r="1711" spans="1:7" x14ac:dyDescent="0.2">
      <c r="A1711" s="3">
        <v>156</v>
      </c>
      <c r="B1711" s="2">
        <v>15375.36</v>
      </c>
      <c r="C1711" s="38">
        <v>45041</v>
      </c>
      <c r="D1711" s="1" t="s">
        <v>84</v>
      </c>
      <c r="E1711" s="1" t="s">
        <v>33</v>
      </c>
      <c r="F1711" s="1" t="s">
        <v>200</v>
      </c>
      <c r="G1711" s="5">
        <v>98.56</v>
      </c>
    </row>
    <row r="1712" spans="1:7" x14ac:dyDescent="0.2">
      <c r="A1712" s="3">
        <v>108</v>
      </c>
      <c r="B1712" s="2">
        <v>10644.48</v>
      </c>
      <c r="C1712" s="38">
        <v>45041</v>
      </c>
      <c r="D1712" s="1" t="s">
        <v>84</v>
      </c>
      <c r="E1712" s="1" t="s">
        <v>33</v>
      </c>
      <c r="F1712" s="1" t="s">
        <v>200</v>
      </c>
      <c r="G1712" s="5">
        <v>98.56</v>
      </c>
    </row>
    <row r="1713" spans="1:7" x14ac:dyDescent="0.2">
      <c r="A1713" s="3">
        <v>156</v>
      </c>
      <c r="B1713" s="2">
        <v>15375.36</v>
      </c>
      <c r="C1713" s="38">
        <v>45041</v>
      </c>
      <c r="D1713" s="1" t="s">
        <v>84</v>
      </c>
      <c r="E1713" s="1" t="s">
        <v>33</v>
      </c>
      <c r="F1713" s="1" t="s">
        <v>200</v>
      </c>
      <c r="G1713" s="5">
        <v>98.56</v>
      </c>
    </row>
    <row r="1714" spans="1:7" x14ac:dyDescent="0.2">
      <c r="A1714" s="3">
        <v>156</v>
      </c>
      <c r="B1714" s="2">
        <v>15375.36</v>
      </c>
      <c r="C1714" s="38">
        <v>45041</v>
      </c>
      <c r="D1714" s="1" t="s">
        <v>84</v>
      </c>
      <c r="E1714" s="1" t="s">
        <v>33</v>
      </c>
      <c r="F1714" s="1" t="s">
        <v>200</v>
      </c>
      <c r="G1714" s="5">
        <v>98.56</v>
      </c>
    </row>
    <row r="1715" spans="1:7" x14ac:dyDescent="0.2">
      <c r="A1715" s="3">
        <v>156</v>
      </c>
      <c r="B1715" s="2">
        <v>15375.36</v>
      </c>
      <c r="C1715" s="38">
        <v>45041</v>
      </c>
      <c r="D1715" s="1" t="s">
        <v>84</v>
      </c>
      <c r="E1715" s="1" t="s">
        <v>33</v>
      </c>
      <c r="F1715" s="1" t="s">
        <v>200</v>
      </c>
      <c r="G1715" s="5">
        <v>98.56</v>
      </c>
    </row>
    <row r="1716" spans="1:7" x14ac:dyDescent="0.2">
      <c r="A1716" s="3">
        <v>144</v>
      </c>
      <c r="B1716" s="2">
        <v>29975.040000000001</v>
      </c>
      <c r="C1716" s="38">
        <v>45041</v>
      </c>
      <c r="D1716" s="1" t="s">
        <v>115</v>
      </c>
      <c r="E1716" s="1" t="s">
        <v>33</v>
      </c>
      <c r="F1716" s="1" t="s">
        <v>200</v>
      </c>
      <c r="G1716" s="5">
        <v>208.16</v>
      </c>
    </row>
    <row r="1717" spans="1:7" x14ac:dyDescent="0.2">
      <c r="A1717" s="3">
        <v>90</v>
      </c>
      <c r="B1717" s="2">
        <v>39648.6</v>
      </c>
      <c r="C1717" s="38">
        <v>44678</v>
      </c>
      <c r="D1717" s="1" t="s">
        <v>66</v>
      </c>
      <c r="E1717" s="1" t="s">
        <v>33</v>
      </c>
      <c r="F1717" s="1" t="s">
        <v>200</v>
      </c>
      <c r="G1717" s="5">
        <v>440.54</v>
      </c>
    </row>
    <row r="1718" spans="1:7" x14ac:dyDescent="0.2">
      <c r="A1718" s="3">
        <v>60</v>
      </c>
      <c r="B1718" s="2">
        <v>26432.400000000001</v>
      </c>
      <c r="C1718" s="38">
        <v>44678</v>
      </c>
      <c r="D1718" s="1" t="s">
        <v>66</v>
      </c>
      <c r="E1718" s="1" t="s">
        <v>33</v>
      </c>
      <c r="F1718" s="1" t="s">
        <v>200</v>
      </c>
      <c r="G1718" s="5">
        <v>440.54</v>
      </c>
    </row>
    <row r="1719" spans="1:7" x14ac:dyDescent="0.2">
      <c r="A1719" s="3">
        <v>60</v>
      </c>
      <c r="B1719" s="2">
        <v>26432.400000000001</v>
      </c>
      <c r="C1719" s="38">
        <v>44678</v>
      </c>
      <c r="D1719" s="1" t="s">
        <v>66</v>
      </c>
      <c r="E1719" s="1" t="s">
        <v>33</v>
      </c>
      <c r="F1719" s="1" t="s">
        <v>200</v>
      </c>
      <c r="G1719" s="5">
        <v>440.54</v>
      </c>
    </row>
    <row r="1720" spans="1:7" x14ac:dyDescent="0.2">
      <c r="A1720" s="3">
        <v>30</v>
      </c>
      <c r="B1720" s="2">
        <v>13216.2</v>
      </c>
      <c r="C1720" s="38">
        <v>44678</v>
      </c>
      <c r="D1720" s="1" t="s">
        <v>66</v>
      </c>
      <c r="E1720" s="1" t="s">
        <v>33</v>
      </c>
      <c r="F1720" s="1" t="s">
        <v>200</v>
      </c>
      <c r="G1720" s="5">
        <v>440.54</v>
      </c>
    </row>
    <row r="1721" spans="1:7" x14ac:dyDescent="0.2">
      <c r="A1721" s="3">
        <v>60</v>
      </c>
      <c r="B1721" s="2">
        <v>26432.400000000001</v>
      </c>
      <c r="C1721" s="38">
        <v>44678</v>
      </c>
      <c r="D1721" s="1" t="s">
        <v>66</v>
      </c>
      <c r="E1721" s="1" t="s">
        <v>33</v>
      </c>
      <c r="F1721" s="1" t="s">
        <v>200</v>
      </c>
      <c r="G1721" s="5">
        <v>440.54</v>
      </c>
    </row>
    <row r="1722" spans="1:7" x14ac:dyDescent="0.2">
      <c r="A1722" s="3">
        <v>216</v>
      </c>
      <c r="B1722" s="2">
        <v>23308.560000000001</v>
      </c>
      <c r="C1722" s="38">
        <v>45072</v>
      </c>
      <c r="D1722" s="1" t="s">
        <v>55</v>
      </c>
      <c r="E1722" s="1" t="s">
        <v>33</v>
      </c>
      <c r="F1722" s="1" t="s">
        <v>200</v>
      </c>
      <c r="G1722" s="5">
        <v>107.91</v>
      </c>
    </row>
    <row r="1723" spans="1:7" x14ac:dyDescent="0.2">
      <c r="A1723" s="3">
        <v>432</v>
      </c>
      <c r="B1723" s="2">
        <v>46617.120000000003</v>
      </c>
      <c r="C1723" s="38">
        <v>45072</v>
      </c>
      <c r="D1723" s="1" t="s">
        <v>55</v>
      </c>
      <c r="E1723" s="1" t="s">
        <v>33</v>
      </c>
      <c r="F1723" s="1" t="s">
        <v>200</v>
      </c>
      <c r="G1723" s="5">
        <v>107.91</v>
      </c>
    </row>
    <row r="1724" spans="1:7" x14ac:dyDescent="0.2">
      <c r="A1724" s="3">
        <v>324</v>
      </c>
      <c r="B1724" s="2">
        <v>34962.839999999997</v>
      </c>
      <c r="C1724" s="38">
        <v>45072</v>
      </c>
      <c r="D1724" s="1" t="s">
        <v>55</v>
      </c>
      <c r="E1724" s="1" t="s">
        <v>33</v>
      </c>
      <c r="F1724" s="1" t="s">
        <v>200</v>
      </c>
      <c r="G1724" s="5">
        <v>107.91</v>
      </c>
    </row>
    <row r="1725" spans="1:7" x14ac:dyDescent="0.2">
      <c r="A1725" s="3">
        <v>432</v>
      </c>
      <c r="B1725" s="2">
        <v>46617.120000000003</v>
      </c>
      <c r="C1725" s="38">
        <v>45072</v>
      </c>
      <c r="D1725" s="1" t="s">
        <v>55</v>
      </c>
      <c r="E1725" s="1" t="s">
        <v>33</v>
      </c>
      <c r="F1725" s="1" t="s">
        <v>200</v>
      </c>
      <c r="G1725" s="5">
        <v>107.91</v>
      </c>
    </row>
    <row r="1726" spans="1:7" x14ac:dyDescent="0.2">
      <c r="A1726" s="3">
        <v>38</v>
      </c>
      <c r="B1726" s="2">
        <v>17126.98</v>
      </c>
      <c r="C1726" s="38">
        <v>45072</v>
      </c>
      <c r="D1726" s="1" t="s">
        <v>58</v>
      </c>
      <c r="E1726" s="1" t="s">
        <v>33</v>
      </c>
      <c r="F1726" s="1" t="s">
        <v>200</v>
      </c>
      <c r="G1726" s="5">
        <v>450.71</v>
      </c>
    </row>
    <row r="1727" spans="1:7" x14ac:dyDescent="0.2">
      <c r="A1727" s="3">
        <v>252</v>
      </c>
      <c r="B1727" s="2">
        <v>21606.48</v>
      </c>
      <c r="C1727" s="38">
        <v>45072</v>
      </c>
      <c r="D1727" s="1" t="s">
        <v>61</v>
      </c>
      <c r="E1727" s="1" t="s">
        <v>33</v>
      </c>
      <c r="F1727" s="1" t="s">
        <v>200</v>
      </c>
      <c r="G1727" s="5">
        <v>85.74</v>
      </c>
    </row>
    <row r="1728" spans="1:7" x14ac:dyDescent="0.2">
      <c r="A1728" s="3">
        <v>252</v>
      </c>
      <c r="B1728" s="2">
        <v>21606.48</v>
      </c>
      <c r="C1728" s="38">
        <v>45072</v>
      </c>
      <c r="D1728" s="1" t="s">
        <v>61</v>
      </c>
      <c r="E1728" s="1" t="s">
        <v>33</v>
      </c>
      <c r="F1728" s="1" t="s">
        <v>200</v>
      </c>
      <c r="G1728" s="5">
        <v>85.74</v>
      </c>
    </row>
    <row r="1729" spans="1:7" x14ac:dyDescent="0.2">
      <c r="A1729" s="3">
        <v>420</v>
      </c>
      <c r="B1729" s="2">
        <v>318922.8</v>
      </c>
      <c r="C1729" s="38">
        <v>45072</v>
      </c>
      <c r="D1729" s="1" t="s">
        <v>83</v>
      </c>
      <c r="E1729" s="1" t="s">
        <v>33</v>
      </c>
      <c r="F1729" s="1" t="s">
        <v>200</v>
      </c>
      <c r="G1729" s="5">
        <v>759.34</v>
      </c>
    </row>
    <row r="1730" spans="1:7" x14ac:dyDescent="0.2">
      <c r="A1730" s="3">
        <v>216</v>
      </c>
      <c r="B1730" s="2">
        <v>21288.959999999999</v>
      </c>
      <c r="C1730" s="38">
        <v>45072</v>
      </c>
      <c r="D1730" s="1" t="s">
        <v>84</v>
      </c>
      <c r="E1730" s="1" t="s">
        <v>33</v>
      </c>
      <c r="F1730" s="1" t="s">
        <v>200</v>
      </c>
      <c r="G1730" s="5">
        <v>98.56</v>
      </c>
    </row>
    <row r="1731" spans="1:7" x14ac:dyDescent="0.2">
      <c r="A1731" s="3">
        <v>432</v>
      </c>
      <c r="B1731" s="2">
        <v>42577.919999999998</v>
      </c>
      <c r="C1731" s="38">
        <v>45072</v>
      </c>
      <c r="D1731" s="1" t="s">
        <v>84</v>
      </c>
      <c r="E1731" s="1" t="s">
        <v>33</v>
      </c>
      <c r="F1731" s="1" t="s">
        <v>200</v>
      </c>
      <c r="G1731" s="5">
        <v>98.56</v>
      </c>
    </row>
    <row r="1732" spans="1:7" x14ac:dyDescent="0.2">
      <c r="A1732" s="3">
        <v>420</v>
      </c>
      <c r="B1732" s="2">
        <v>318922.8</v>
      </c>
      <c r="C1732" s="38">
        <v>45132</v>
      </c>
      <c r="D1732" s="1" t="s">
        <v>83</v>
      </c>
      <c r="E1732" s="1" t="s">
        <v>33</v>
      </c>
      <c r="F1732" s="1" t="s">
        <v>200</v>
      </c>
      <c r="G1732" s="5">
        <v>759.34</v>
      </c>
    </row>
    <row r="1733" spans="1:7" x14ac:dyDescent="0.2">
      <c r="A1733" s="3">
        <v>768</v>
      </c>
      <c r="B1733" s="2">
        <v>116090.88</v>
      </c>
      <c r="C1733" s="38">
        <v>45132</v>
      </c>
      <c r="D1733" s="1" t="s">
        <v>174</v>
      </c>
      <c r="E1733" s="1" t="s">
        <v>33</v>
      </c>
      <c r="F1733" s="1" t="s">
        <v>200</v>
      </c>
      <c r="G1733" s="5">
        <v>151.16</v>
      </c>
    </row>
    <row r="1734" spans="1:7" x14ac:dyDescent="0.2">
      <c r="A1734" s="3">
        <v>324</v>
      </c>
      <c r="B1734" s="2">
        <v>149270.04</v>
      </c>
      <c r="C1734" s="38">
        <v>45132</v>
      </c>
      <c r="D1734" s="1" t="s">
        <v>122</v>
      </c>
      <c r="E1734" s="1" t="s">
        <v>33</v>
      </c>
      <c r="F1734" s="1" t="s">
        <v>200</v>
      </c>
      <c r="G1734" s="5">
        <v>460.71</v>
      </c>
    </row>
    <row r="1735" spans="1:7" x14ac:dyDescent="0.2">
      <c r="A1735" s="3">
        <v>288</v>
      </c>
      <c r="B1735" s="2">
        <v>132684.48000000001</v>
      </c>
      <c r="C1735" s="38">
        <v>45132</v>
      </c>
      <c r="D1735" s="1" t="s">
        <v>122</v>
      </c>
      <c r="E1735" s="1" t="s">
        <v>33</v>
      </c>
      <c r="F1735" s="1" t="s">
        <v>200</v>
      </c>
      <c r="G1735" s="5">
        <v>460.71</v>
      </c>
    </row>
    <row r="1736" spans="1:7" x14ac:dyDescent="0.2">
      <c r="A1736" s="3">
        <v>360</v>
      </c>
      <c r="B1736" s="2">
        <v>165855.6</v>
      </c>
      <c r="C1736" s="38">
        <v>45132</v>
      </c>
      <c r="D1736" s="1" t="s">
        <v>122</v>
      </c>
      <c r="E1736" s="1" t="s">
        <v>33</v>
      </c>
      <c r="F1736" s="1" t="s">
        <v>200</v>
      </c>
      <c r="G1736" s="5">
        <v>460.71</v>
      </c>
    </row>
    <row r="1737" spans="1:7" x14ac:dyDescent="0.2">
      <c r="A1737" s="3">
        <v>360</v>
      </c>
      <c r="B1737" s="2">
        <v>165855.6</v>
      </c>
      <c r="C1737" s="38">
        <v>45132</v>
      </c>
      <c r="D1737" s="1" t="s">
        <v>122</v>
      </c>
      <c r="E1737" s="1" t="s">
        <v>33</v>
      </c>
      <c r="F1737" s="1" t="s">
        <v>200</v>
      </c>
      <c r="G1737" s="5">
        <v>460.71</v>
      </c>
    </row>
    <row r="1738" spans="1:7" x14ac:dyDescent="0.2">
      <c r="A1738" s="3">
        <v>288</v>
      </c>
      <c r="B1738" s="2">
        <v>132684.48000000001</v>
      </c>
      <c r="C1738" s="38">
        <v>45132</v>
      </c>
      <c r="D1738" s="1" t="s">
        <v>122</v>
      </c>
      <c r="E1738" s="1" t="s">
        <v>33</v>
      </c>
      <c r="F1738" s="1" t="s">
        <v>200</v>
      </c>
      <c r="G1738" s="5">
        <v>460.71</v>
      </c>
    </row>
    <row r="1739" spans="1:7" x14ac:dyDescent="0.2">
      <c r="A1739" s="3">
        <v>360</v>
      </c>
      <c r="B1739" s="2">
        <v>165855.6</v>
      </c>
      <c r="C1739" s="38">
        <v>45132</v>
      </c>
      <c r="D1739" s="1" t="s">
        <v>122</v>
      </c>
      <c r="E1739" s="1" t="s">
        <v>33</v>
      </c>
      <c r="F1739" s="1" t="s">
        <v>200</v>
      </c>
      <c r="G1739" s="5">
        <v>460.71</v>
      </c>
    </row>
    <row r="1740" spans="1:7" x14ac:dyDescent="0.2">
      <c r="A1740" s="3">
        <v>36</v>
      </c>
      <c r="B1740" s="2">
        <v>16585.560000000001</v>
      </c>
      <c r="C1740" s="38">
        <v>45132</v>
      </c>
      <c r="D1740" s="1" t="s">
        <v>122</v>
      </c>
      <c r="E1740" s="1" t="s">
        <v>33</v>
      </c>
      <c r="F1740" s="1" t="s">
        <v>200</v>
      </c>
      <c r="G1740" s="5">
        <v>460.71</v>
      </c>
    </row>
    <row r="1741" spans="1:7" x14ac:dyDescent="0.2">
      <c r="A1741" s="3">
        <v>819</v>
      </c>
      <c r="B1741" s="2">
        <v>338967.72</v>
      </c>
      <c r="C1741" s="38">
        <v>45175</v>
      </c>
      <c r="D1741" s="1" t="s">
        <v>121</v>
      </c>
      <c r="E1741" s="1" t="s">
        <v>33</v>
      </c>
      <c r="F1741" s="1" t="s">
        <v>200</v>
      </c>
      <c r="G1741" s="5">
        <v>413.88</v>
      </c>
    </row>
    <row r="1742" spans="1:7" x14ac:dyDescent="0.2">
      <c r="A1742" s="3">
        <v>3780</v>
      </c>
      <c r="B1742" s="2">
        <v>52466.400000000001</v>
      </c>
      <c r="C1742" s="38">
        <v>44816</v>
      </c>
      <c r="D1742" s="1" t="s">
        <v>59</v>
      </c>
      <c r="E1742" s="1" t="s">
        <v>33</v>
      </c>
      <c r="F1742" s="1" t="s">
        <v>200</v>
      </c>
      <c r="G1742" s="5">
        <v>13.88</v>
      </c>
    </row>
    <row r="1743" spans="1:7" x14ac:dyDescent="0.2">
      <c r="A1743" s="3">
        <v>1820</v>
      </c>
      <c r="B1743" s="2">
        <v>4313.3999999999996</v>
      </c>
      <c r="C1743" s="38">
        <v>44816</v>
      </c>
      <c r="D1743" s="1" t="s">
        <v>68</v>
      </c>
      <c r="E1743" s="1" t="s">
        <v>33</v>
      </c>
      <c r="F1743" s="1" t="s">
        <v>200</v>
      </c>
      <c r="G1743" s="5">
        <v>2.37</v>
      </c>
    </row>
    <row r="1744" spans="1:7" x14ac:dyDescent="0.2">
      <c r="A1744" s="3">
        <v>3024</v>
      </c>
      <c r="B1744" s="2">
        <v>126493.92</v>
      </c>
      <c r="C1744" s="38">
        <v>44825</v>
      </c>
      <c r="D1744" s="1" t="s">
        <v>60</v>
      </c>
      <c r="E1744" s="1" t="s">
        <v>33</v>
      </c>
      <c r="F1744" s="1" t="s">
        <v>200</v>
      </c>
      <c r="G1744" s="5">
        <v>41.83</v>
      </c>
    </row>
    <row r="1745" spans="1:7" x14ac:dyDescent="0.2">
      <c r="A1745" s="3">
        <v>144</v>
      </c>
      <c r="B1745" s="2">
        <v>29975.040000000001</v>
      </c>
      <c r="C1745" s="38">
        <v>45107</v>
      </c>
      <c r="D1745" s="1" t="s">
        <v>115</v>
      </c>
      <c r="E1745" s="1" t="s">
        <v>33</v>
      </c>
      <c r="F1745" s="1" t="s">
        <v>200</v>
      </c>
      <c r="G1745" s="5">
        <v>208.16</v>
      </c>
    </row>
    <row r="1746" spans="1:7" x14ac:dyDescent="0.2">
      <c r="A1746" s="3">
        <v>144</v>
      </c>
      <c r="B1746" s="2">
        <v>29975.040000000001</v>
      </c>
      <c r="C1746" s="38">
        <v>45107</v>
      </c>
      <c r="D1746" s="1" t="s">
        <v>115</v>
      </c>
      <c r="E1746" s="1" t="s">
        <v>33</v>
      </c>
      <c r="F1746" s="1" t="s">
        <v>200</v>
      </c>
      <c r="G1746" s="5">
        <v>208.16</v>
      </c>
    </row>
    <row r="1747" spans="1:7" x14ac:dyDescent="0.2">
      <c r="A1747" s="3">
        <v>48</v>
      </c>
      <c r="B1747" s="2">
        <v>9991.68</v>
      </c>
      <c r="C1747" s="38">
        <v>45107</v>
      </c>
      <c r="D1747" s="1" t="s">
        <v>115</v>
      </c>
      <c r="E1747" s="1" t="s">
        <v>33</v>
      </c>
      <c r="F1747" s="1" t="s">
        <v>200</v>
      </c>
      <c r="G1747" s="5">
        <v>208.16</v>
      </c>
    </row>
    <row r="1748" spans="1:7" x14ac:dyDescent="0.2">
      <c r="A1748" s="3">
        <v>252</v>
      </c>
      <c r="B1748" s="2">
        <v>19056.240000000002</v>
      </c>
      <c r="C1748" s="38">
        <v>44825</v>
      </c>
      <c r="D1748" s="1" t="s">
        <v>61</v>
      </c>
      <c r="E1748" s="1" t="s">
        <v>33</v>
      </c>
      <c r="F1748" s="1" t="s">
        <v>200</v>
      </c>
      <c r="G1748" s="5">
        <v>75.62</v>
      </c>
    </row>
    <row r="1749" spans="1:7" x14ac:dyDescent="0.2">
      <c r="A1749" s="3">
        <v>1820</v>
      </c>
      <c r="B1749" s="2">
        <v>4313.3999999999996</v>
      </c>
      <c r="C1749" s="38">
        <v>44825</v>
      </c>
      <c r="D1749" s="1" t="s">
        <v>68</v>
      </c>
      <c r="E1749" s="1" t="s">
        <v>33</v>
      </c>
      <c r="F1749" s="1" t="s">
        <v>200</v>
      </c>
      <c r="G1749" s="5">
        <v>2.37</v>
      </c>
    </row>
    <row r="1750" spans="1:7" x14ac:dyDescent="0.2">
      <c r="A1750" s="3">
        <v>588</v>
      </c>
      <c r="B1750" s="2">
        <v>58982.28</v>
      </c>
      <c r="C1750" s="38">
        <v>44826</v>
      </c>
      <c r="D1750" s="1" t="s">
        <v>69</v>
      </c>
      <c r="E1750" s="1" t="s">
        <v>33</v>
      </c>
      <c r="F1750" s="1" t="s">
        <v>200</v>
      </c>
      <c r="G1750" s="5">
        <v>100.31</v>
      </c>
    </row>
    <row r="1751" spans="1:7" x14ac:dyDescent="0.2">
      <c r="A1751" s="3">
        <v>588</v>
      </c>
      <c r="B1751" s="2">
        <v>58982.28</v>
      </c>
      <c r="C1751" s="38">
        <v>44826</v>
      </c>
      <c r="D1751" s="1" t="s">
        <v>69</v>
      </c>
      <c r="E1751" s="1" t="s">
        <v>33</v>
      </c>
      <c r="F1751" s="1" t="s">
        <v>200</v>
      </c>
      <c r="G1751" s="5">
        <v>100.31</v>
      </c>
    </row>
    <row r="1752" spans="1:7" x14ac:dyDescent="0.2">
      <c r="A1752" s="3">
        <v>588</v>
      </c>
      <c r="B1752" s="2">
        <v>58982.28</v>
      </c>
      <c r="C1752" s="38">
        <v>44826</v>
      </c>
      <c r="D1752" s="1" t="s">
        <v>69</v>
      </c>
      <c r="E1752" s="1" t="s">
        <v>33</v>
      </c>
      <c r="F1752" s="1" t="s">
        <v>200</v>
      </c>
      <c r="G1752" s="5">
        <v>100.31</v>
      </c>
    </row>
    <row r="1753" spans="1:7" x14ac:dyDescent="0.2">
      <c r="A1753" s="3">
        <v>1820</v>
      </c>
      <c r="B1753" s="2">
        <v>4313.3999999999996</v>
      </c>
      <c r="C1753" s="38">
        <v>44866</v>
      </c>
      <c r="D1753" s="1" t="s">
        <v>68</v>
      </c>
      <c r="E1753" s="1" t="s">
        <v>33</v>
      </c>
      <c r="F1753" s="1" t="s">
        <v>200</v>
      </c>
      <c r="G1753" s="5">
        <v>2.37</v>
      </c>
    </row>
    <row r="1754" spans="1:7" x14ac:dyDescent="0.2">
      <c r="A1754" s="3">
        <v>140</v>
      </c>
      <c r="B1754" s="2">
        <v>53718</v>
      </c>
      <c r="C1754" s="38">
        <v>45135</v>
      </c>
      <c r="D1754" s="1" t="s">
        <v>74</v>
      </c>
      <c r="E1754" s="1" t="s">
        <v>33</v>
      </c>
      <c r="F1754" s="1" t="s">
        <v>200</v>
      </c>
      <c r="G1754" s="5">
        <v>383.7</v>
      </c>
    </row>
    <row r="1755" spans="1:7" x14ac:dyDescent="0.2">
      <c r="A1755" s="3">
        <v>108</v>
      </c>
      <c r="B1755" s="2">
        <v>11696.4</v>
      </c>
      <c r="C1755" s="38">
        <v>44777</v>
      </c>
      <c r="D1755" s="1" t="s">
        <v>55</v>
      </c>
      <c r="E1755" s="1" t="s">
        <v>33</v>
      </c>
      <c r="F1755" s="1" t="s">
        <v>200</v>
      </c>
      <c r="G1755" s="5">
        <v>108.3</v>
      </c>
    </row>
    <row r="1756" spans="1:7" x14ac:dyDescent="0.2">
      <c r="A1756" s="3">
        <v>540</v>
      </c>
      <c r="B1756" s="2">
        <v>58482</v>
      </c>
      <c r="C1756" s="38">
        <v>44777</v>
      </c>
      <c r="D1756" s="1" t="s">
        <v>55</v>
      </c>
      <c r="E1756" s="1" t="s">
        <v>33</v>
      </c>
      <c r="F1756" s="1" t="s">
        <v>200</v>
      </c>
      <c r="G1756" s="5">
        <v>108.3</v>
      </c>
    </row>
    <row r="1757" spans="1:7" x14ac:dyDescent="0.2">
      <c r="A1757" s="3">
        <v>432</v>
      </c>
      <c r="B1757" s="2">
        <v>46785.599999999999</v>
      </c>
      <c r="C1757" s="38">
        <v>44777</v>
      </c>
      <c r="D1757" s="1" t="s">
        <v>55</v>
      </c>
      <c r="E1757" s="1" t="s">
        <v>33</v>
      </c>
      <c r="F1757" s="1" t="s">
        <v>200</v>
      </c>
      <c r="G1757" s="5">
        <v>108.3</v>
      </c>
    </row>
    <row r="1758" spans="1:7" x14ac:dyDescent="0.2">
      <c r="A1758" s="3">
        <v>432</v>
      </c>
      <c r="B1758" s="2">
        <v>46785.599999999999</v>
      </c>
      <c r="C1758" s="38">
        <v>44868</v>
      </c>
      <c r="D1758" s="1" t="s">
        <v>55</v>
      </c>
      <c r="E1758" s="1" t="s">
        <v>33</v>
      </c>
      <c r="F1758" s="1" t="s">
        <v>200</v>
      </c>
      <c r="G1758" s="5">
        <v>108.3</v>
      </c>
    </row>
    <row r="1759" spans="1:7" x14ac:dyDescent="0.2">
      <c r="A1759" s="3">
        <v>216</v>
      </c>
      <c r="B1759" s="2">
        <v>23392.799999999999</v>
      </c>
      <c r="C1759" s="38">
        <v>44868</v>
      </c>
      <c r="D1759" s="1" t="s">
        <v>55</v>
      </c>
      <c r="E1759" s="1" t="s">
        <v>33</v>
      </c>
      <c r="F1759" s="1" t="s">
        <v>200</v>
      </c>
      <c r="G1759" s="5">
        <v>108.3</v>
      </c>
    </row>
    <row r="1760" spans="1:7" x14ac:dyDescent="0.2">
      <c r="A1760" s="3">
        <v>216</v>
      </c>
      <c r="B1760" s="2">
        <v>23392.799999999999</v>
      </c>
      <c r="C1760" s="38">
        <v>44868</v>
      </c>
      <c r="D1760" s="1" t="s">
        <v>55</v>
      </c>
      <c r="E1760" s="1" t="s">
        <v>33</v>
      </c>
      <c r="F1760" s="1" t="s">
        <v>200</v>
      </c>
      <c r="G1760" s="5">
        <v>108.3</v>
      </c>
    </row>
    <row r="1761" spans="1:7" x14ac:dyDescent="0.2">
      <c r="A1761" s="3">
        <v>324</v>
      </c>
      <c r="B1761" s="2">
        <v>35089.199999999997</v>
      </c>
      <c r="C1761" s="38">
        <v>44868</v>
      </c>
      <c r="D1761" s="1" t="s">
        <v>55</v>
      </c>
      <c r="E1761" s="1" t="s">
        <v>33</v>
      </c>
      <c r="F1761" s="1" t="s">
        <v>200</v>
      </c>
      <c r="G1761" s="5">
        <v>108.3</v>
      </c>
    </row>
    <row r="1762" spans="1:7" x14ac:dyDescent="0.2">
      <c r="A1762" s="3">
        <v>216</v>
      </c>
      <c r="B1762" s="2">
        <v>23392.799999999999</v>
      </c>
      <c r="C1762" s="38">
        <v>44868</v>
      </c>
      <c r="D1762" s="1" t="s">
        <v>55</v>
      </c>
      <c r="E1762" s="1" t="s">
        <v>33</v>
      </c>
      <c r="F1762" s="1" t="s">
        <v>200</v>
      </c>
      <c r="G1762" s="5">
        <v>108.3</v>
      </c>
    </row>
    <row r="1763" spans="1:7" x14ac:dyDescent="0.2">
      <c r="A1763" s="3">
        <v>216</v>
      </c>
      <c r="B1763" s="2">
        <v>23392.799999999999</v>
      </c>
      <c r="C1763" s="38">
        <v>44868</v>
      </c>
      <c r="D1763" s="1" t="s">
        <v>55</v>
      </c>
      <c r="E1763" s="1" t="s">
        <v>33</v>
      </c>
      <c r="F1763" s="1" t="s">
        <v>200</v>
      </c>
      <c r="G1763" s="5">
        <v>108.3</v>
      </c>
    </row>
    <row r="1764" spans="1:7" x14ac:dyDescent="0.2">
      <c r="A1764" s="3">
        <v>432</v>
      </c>
      <c r="B1764" s="2">
        <v>46785.599999999999</v>
      </c>
      <c r="C1764" s="38">
        <v>44868</v>
      </c>
      <c r="D1764" s="1" t="s">
        <v>55</v>
      </c>
      <c r="E1764" s="1" t="s">
        <v>33</v>
      </c>
      <c r="F1764" s="1" t="s">
        <v>200</v>
      </c>
      <c r="G1764" s="5">
        <v>108.3</v>
      </c>
    </row>
    <row r="1765" spans="1:7" x14ac:dyDescent="0.2">
      <c r="A1765" s="3">
        <v>432</v>
      </c>
      <c r="B1765" s="2">
        <v>46785.599999999999</v>
      </c>
      <c r="C1765" s="38">
        <v>44868</v>
      </c>
      <c r="D1765" s="1" t="s">
        <v>55</v>
      </c>
      <c r="E1765" s="1" t="s">
        <v>33</v>
      </c>
      <c r="F1765" s="1" t="s">
        <v>200</v>
      </c>
      <c r="G1765" s="5">
        <v>108.3</v>
      </c>
    </row>
    <row r="1766" spans="1:7" x14ac:dyDescent="0.2">
      <c r="A1766" s="3">
        <v>90</v>
      </c>
      <c r="B1766" s="2">
        <v>39648.6</v>
      </c>
      <c r="C1766" s="38">
        <v>44743</v>
      </c>
      <c r="D1766" s="1" t="s">
        <v>66</v>
      </c>
      <c r="E1766" s="1" t="s">
        <v>33</v>
      </c>
      <c r="F1766" s="1" t="s">
        <v>200</v>
      </c>
      <c r="G1766" s="5">
        <v>440.54</v>
      </c>
    </row>
    <row r="1767" spans="1:7" x14ac:dyDescent="0.2">
      <c r="A1767" s="3">
        <v>1820</v>
      </c>
      <c r="B1767" s="2">
        <v>4313.3999999999996</v>
      </c>
      <c r="C1767" s="38">
        <v>44833</v>
      </c>
      <c r="D1767" s="1" t="s">
        <v>68</v>
      </c>
      <c r="E1767" s="1" t="s">
        <v>33</v>
      </c>
      <c r="F1767" s="1" t="s">
        <v>200</v>
      </c>
      <c r="G1767" s="5">
        <v>2.37</v>
      </c>
    </row>
    <row r="1768" spans="1:7" x14ac:dyDescent="0.2">
      <c r="A1768" s="3">
        <v>1820</v>
      </c>
      <c r="B1768" s="2">
        <v>4313.3999999999996</v>
      </c>
      <c r="C1768" s="38">
        <v>44833</v>
      </c>
      <c r="D1768" s="1" t="s">
        <v>68</v>
      </c>
      <c r="E1768" s="1" t="s">
        <v>33</v>
      </c>
      <c r="F1768" s="1" t="s">
        <v>200</v>
      </c>
      <c r="G1768" s="5">
        <v>2.37</v>
      </c>
    </row>
    <row r="1769" spans="1:7" x14ac:dyDescent="0.2">
      <c r="A1769" s="3">
        <v>588</v>
      </c>
      <c r="B1769" s="2">
        <v>58982.28</v>
      </c>
      <c r="C1769" s="38">
        <v>44833</v>
      </c>
      <c r="D1769" s="1" t="s">
        <v>69</v>
      </c>
      <c r="E1769" s="1" t="s">
        <v>33</v>
      </c>
      <c r="F1769" s="1" t="s">
        <v>200</v>
      </c>
      <c r="G1769" s="5">
        <v>100.31</v>
      </c>
    </row>
    <row r="1770" spans="1:7" x14ac:dyDescent="0.2">
      <c r="A1770" s="3">
        <v>420</v>
      </c>
      <c r="B1770" s="2">
        <v>320073.59999999998</v>
      </c>
      <c r="C1770" s="38">
        <v>44833</v>
      </c>
      <c r="D1770" s="1" t="s">
        <v>83</v>
      </c>
      <c r="E1770" s="1" t="s">
        <v>33</v>
      </c>
      <c r="F1770" s="1" t="s">
        <v>200</v>
      </c>
      <c r="G1770" s="5">
        <v>762.08</v>
      </c>
    </row>
    <row r="1771" spans="1:7" x14ac:dyDescent="0.2">
      <c r="A1771" s="3">
        <v>180</v>
      </c>
      <c r="B1771" s="2">
        <v>137174.39999999999</v>
      </c>
      <c r="C1771" s="38">
        <v>44833</v>
      </c>
      <c r="D1771" s="1" t="s">
        <v>83</v>
      </c>
      <c r="E1771" s="1" t="s">
        <v>33</v>
      </c>
      <c r="F1771" s="1" t="s">
        <v>200</v>
      </c>
      <c r="G1771" s="5">
        <v>762.08</v>
      </c>
    </row>
    <row r="1772" spans="1:7" x14ac:dyDescent="0.2">
      <c r="A1772" s="3">
        <v>420</v>
      </c>
      <c r="B1772" s="2">
        <v>320073.59999999998</v>
      </c>
      <c r="C1772" s="38">
        <v>44833</v>
      </c>
      <c r="D1772" s="1" t="s">
        <v>83</v>
      </c>
      <c r="E1772" s="1" t="s">
        <v>33</v>
      </c>
      <c r="F1772" s="1" t="s">
        <v>200</v>
      </c>
      <c r="G1772" s="5">
        <v>762.08</v>
      </c>
    </row>
    <row r="1773" spans="1:7" x14ac:dyDescent="0.2">
      <c r="A1773" s="3">
        <v>420</v>
      </c>
      <c r="B1773" s="2">
        <v>320073.59999999998</v>
      </c>
      <c r="C1773" s="38">
        <v>44833</v>
      </c>
      <c r="D1773" s="1" t="s">
        <v>83</v>
      </c>
      <c r="E1773" s="1" t="s">
        <v>33</v>
      </c>
      <c r="F1773" s="1" t="s">
        <v>200</v>
      </c>
      <c r="G1773" s="5">
        <v>762.08</v>
      </c>
    </row>
    <row r="1774" spans="1:7" x14ac:dyDescent="0.2">
      <c r="A1774" s="3">
        <v>420</v>
      </c>
      <c r="B1774" s="2">
        <v>320073.59999999998</v>
      </c>
      <c r="C1774" s="38">
        <v>44833</v>
      </c>
      <c r="D1774" s="1" t="s">
        <v>83</v>
      </c>
      <c r="E1774" s="1" t="s">
        <v>33</v>
      </c>
      <c r="F1774" s="1" t="s">
        <v>200</v>
      </c>
      <c r="G1774" s="5">
        <v>762.08</v>
      </c>
    </row>
    <row r="1775" spans="1:7" x14ac:dyDescent="0.2">
      <c r="A1775" s="3">
        <v>420</v>
      </c>
      <c r="B1775" s="2">
        <v>320073.59999999998</v>
      </c>
      <c r="C1775" s="38">
        <v>44833</v>
      </c>
      <c r="D1775" s="1" t="s">
        <v>83</v>
      </c>
      <c r="E1775" s="1" t="s">
        <v>33</v>
      </c>
      <c r="F1775" s="1" t="s">
        <v>200</v>
      </c>
      <c r="G1775" s="5">
        <v>762.08</v>
      </c>
    </row>
    <row r="1776" spans="1:7" x14ac:dyDescent="0.2">
      <c r="A1776" s="3">
        <v>118</v>
      </c>
      <c r="B1776" s="2">
        <v>50173.599999999999</v>
      </c>
      <c r="C1776" s="38">
        <v>44875</v>
      </c>
      <c r="D1776" s="1" t="s">
        <v>58</v>
      </c>
      <c r="E1776" s="1" t="s">
        <v>33</v>
      </c>
      <c r="F1776" s="1" t="s">
        <v>200</v>
      </c>
      <c r="G1776" s="5">
        <v>425.2</v>
      </c>
    </row>
    <row r="1777" spans="1:7" x14ac:dyDescent="0.2">
      <c r="A1777" s="3">
        <v>108</v>
      </c>
      <c r="B1777" s="2">
        <v>11696.4</v>
      </c>
      <c r="C1777" s="38">
        <v>44879</v>
      </c>
      <c r="D1777" s="1" t="s">
        <v>55</v>
      </c>
      <c r="E1777" s="1" t="s">
        <v>33</v>
      </c>
      <c r="F1777" s="1" t="s">
        <v>200</v>
      </c>
      <c r="G1777" s="5">
        <v>108.3</v>
      </c>
    </row>
    <row r="1778" spans="1:7" x14ac:dyDescent="0.2">
      <c r="A1778" s="3">
        <v>432</v>
      </c>
      <c r="B1778" s="2">
        <v>46785.599999999999</v>
      </c>
      <c r="C1778" s="38">
        <v>44879</v>
      </c>
      <c r="D1778" s="1" t="s">
        <v>55</v>
      </c>
      <c r="E1778" s="1" t="s">
        <v>33</v>
      </c>
      <c r="F1778" s="1" t="s">
        <v>200</v>
      </c>
      <c r="G1778" s="5">
        <v>108.3</v>
      </c>
    </row>
    <row r="1779" spans="1:7" x14ac:dyDescent="0.2">
      <c r="A1779" s="3">
        <v>1820</v>
      </c>
      <c r="B1779" s="2">
        <v>4568.2</v>
      </c>
      <c r="C1779" s="38">
        <v>45142</v>
      </c>
      <c r="D1779" s="1" t="s">
        <v>68</v>
      </c>
      <c r="E1779" s="1" t="s">
        <v>33</v>
      </c>
      <c r="F1779" s="1" t="s">
        <v>200</v>
      </c>
      <c r="G1779" s="5">
        <v>2.5099999999999998</v>
      </c>
    </row>
    <row r="1780" spans="1:7" x14ac:dyDescent="0.2">
      <c r="A1780" s="3">
        <v>140</v>
      </c>
      <c r="B1780" s="2">
        <v>24983</v>
      </c>
      <c r="C1780" s="38">
        <v>45142</v>
      </c>
      <c r="D1780" s="1" t="s">
        <v>118</v>
      </c>
      <c r="E1780" s="1" t="s">
        <v>33</v>
      </c>
      <c r="F1780" s="1" t="s">
        <v>200</v>
      </c>
      <c r="G1780" s="5">
        <v>178.45</v>
      </c>
    </row>
    <row r="1781" spans="1:7" x14ac:dyDescent="0.2">
      <c r="A1781" s="3">
        <v>32</v>
      </c>
      <c r="B1781" s="2">
        <v>80721.600000000006</v>
      </c>
      <c r="C1781" s="38">
        <v>44839</v>
      </c>
      <c r="D1781" s="1" t="s">
        <v>162</v>
      </c>
      <c r="E1781" s="1" t="s">
        <v>33</v>
      </c>
      <c r="F1781" s="1" t="s">
        <v>200</v>
      </c>
      <c r="G1781" s="5">
        <v>2522.5500000000002</v>
      </c>
    </row>
    <row r="1782" spans="1:7" x14ac:dyDescent="0.2">
      <c r="A1782" s="3">
        <v>540</v>
      </c>
      <c r="B1782" s="2">
        <v>58482</v>
      </c>
      <c r="C1782" s="38">
        <v>44841</v>
      </c>
      <c r="D1782" s="1" t="s">
        <v>55</v>
      </c>
      <c r="E1782" s="1" t="s">
        <v>33</v>
      </c>
      <c r="F1782" s="1" t="s">
        <v>200</v>
      </c>
      <c r="G1782" s="5">
        <v>108.3</v>
      </c>
    </row>
    <row r="1783" spans="1:7" x14ac:dyDescent="0.2">
      <c r="A1783" s="3">
        <v>2</v>
      </c>
      <c r="B1783" s="2">
        <v>901.42</v>
      </c>
      <c r="C1783" s="38">
        <v>45154</v>
      </c>
      <c r="D1783" s="1" t="s">
        <v>58</v>
      </c>
      <c r="E1783" s="1" t="s">
        <v>33</v>
      </c>
      <c r="F1783" s="1" t="s">
        <v>200</v>
      </c>
      <c r="G1783" s="5">
        <v>450.71</v>
      </c>
    </row>
    <row r="1784" spans="1:7" x14ac:dyDescent="0.2">
      <c r="A1784" s="3">
        <v>140</v>
      </c>
      <c r="B1784" s="2">
        <v>53718</v>
      </c>
      <c r="C1784" s="38">
        <v>45154</v>
      </c>
      <c r="D1784" s="1" t="s">
        <v>74</v>
      </c>
      <c r="E1784" s="1" t="s">
        <v>33</v>
      </c>
      <c r="F1784" s="1" t="s">
        <v>200</v>
      </c>
      <c r="G1784" s="5">
        <v>383.7</v>
      </c>
    </row>
    <row r="1785" spans="1:7" x14ac:dyDescent="0.2">
      <c r="A1785" s="3">
        <v>588</v>
      </c>
      <c r="B1785" s="2">
        <v>58982.28</v>
      </c>
      <c r="C1785" s="38">
        <v>44841</v>
      </c>
      <c r="D1785" s="1" t="s">
        <v>69</v>
      </c>
      <c r="E1785" s="1" t="s">
        <v>33</v>
      </c>
      <c r="F1785" s="1" t="s">
        <v>200</v>
      </c>
      <c r="G1785" s="5">
        <v>100.31</v>
      </c>
    </row>
    <row r="1786" spans="1:7" x14ac:dyDescent="0.2">
      <c r="A1786" s="3">
        <v>588</v>
      </c>
      <c r="B1786" s="2">
        <v>58982.28</v>
      </c>
      <c r="C1786" s="38">
        <v>44841</v>
      </c>
      <c r="D1786" s="1" t="s">
        <v>69</v>
      </c>
      <c r="E1786" s="1" t="s">
        <v>33</v>
      </c>
      <c r="F1786" s="1" t="s">
        <v>200</v>
      </c>
      <c r="G1786" s="5">
        <v>100.31</v>
      </c>
    </row>
    <row r="1787" spans="1:7" x14ac:dyDescent="0.2">
      <c r="A1787" s="3">
        <v>588</v>
      </c>
      <c r="B1787" s="2">
        <v>58982.28</v>
      </c>
      <c r="C1787" s="38">
        <v>44841</v>
      </c>
      <c r="D1787" s="1" t="s">
        <v>69</v>
      </c>
      <c r="E1787" s="1" t="s">
        <v>33</v>
      </c>
      <c r="F1787" s="1" t="s">
        <v>200</v>
      </c>
      <c r="G1787" s="5">
        <v>100.31</v>
      </c>
    </row>
    <row r="1788" spans="1:7" x14ac:dyDescent="0.2">
      <c r="A1788" s="3">
        <v>588</v>
      </c>
      <c r="B1788" s="2">
        <v>58982.28</v>
      </c>
      <c r="C1788" s="38">
        <v>44841</v>
      </c>
      <c r="D1788" s="1" t="s">
        <v>69</v>
      </c>
      <c r="E1788" s="1" t="s">
        <v>33</v>
      </c>
      <c r="F1788" s="1" t="s">
        <v>200</v>
      </c>
      <c r="G1788" s="5">
        <v>100.31</v>
      </c>
    </row>
    <row r="1789" spans="1:7" x14ac:dyDescent="0.2">
      <c r="A1789" s="3">
        <v>588</v>
      </c>
      <c r="B1789" s="2">
        <v>58982.28</v>
      </c>
      <c r="C1789" s="38">
        <v>44841</v>
      </c>
      <c r="D1789" s="1" t="s">
        <v>69</v>
      </c>
      <c r="E1789" s="1" t="s">
        <v>33</v>
      </c>
      <c r="F1789" s="1" t="s">
        <v>200</v>
      </c>
      <c r="G1789" s="5">
        <v>100.31</v>
      </c>
    </row>
    <row r="1790" spans="1:7" x14ac:dyDescent="0.2">
      <c r="A1790" s="3">
        <v>588</v>
      </c>
      <c r="B1790" s="2">
        <v>58982.28</v>
      </c>
      <c r="C1790" s="38">
        <v>44841</v>
      </c>
      <c r="D1790" s="1" t="s">
        <v>69</v>
      </c>
      <c r="E1790" s="1" t="s">
        <v>33</v>
      </c>
      <c r="F1790" s="1" t="s">
        <v>200</v>
      </c>
      <c r="G1790" s="5">
        <v>100.31</v>
      </c>
    </row>
    <row r="1791" spans="1:7" x14ac:dyDescent="0.2">
      <c r="A1791" s="3">
        <v>147</v>
      </c>
      <c r="B1791" s="2">
        <v>47026.77</v>
      </c>
      <c r="C1791" s="38">
        <v>44894</v>
      </c>
      <c r="D1791" s="1" t="s">
        <v>77</v>
      </c>
      <c r="E1791" s="1" t="s">
        <v>33</v>
      </c>
      <c r="F1791" s="1" t="s">
        <v>200</v>
      </c>
      <c r="G1791" s="5">
        <v>319.91000000000003</v>
      </c>
    </row>
    <row r="1792" spans="1:7" x14ac:dyDescent="0.2">
      <c r="A1792" s="3">
        <v>140</v>
      </c>
      <c r="B1792" s="2">
        <v>53718</v>
      </c>
      <c r="C1792" s="38">
        <v>45155</v>
      </c>
      <c r="D1792" s="1" t="s">
        <v>74</v>
      </c>
      <c r="E1792" s="1" t="s">
        <v>33</v>
      </c>
      <c r="F1792" s="1" t="s">
        <v>200</v>
      </c>
      <c r="G1792" s="5">
        <v>383.7</v>
      </c>
    </row>
    <row r="1793" spans="1:7" x14ac:dyDescent="0.2">
      <c r="A1793" s="3">
        <v>30</v>
      </c>
      <c r="B1793" s="2">
        <v>22780.2</v>
      </c>
      <c r="C1793" s="38">
        <v>45155</v>
      </c>
      <c r="D1793" s="1" t="s">
        <v>83</v>
      </c>
      <c r="E1793" s="1" t="s">
        <v>33</v>
      </c>
      <c r="F1793" s="1" t="s">
        <v>200</v>
      </c>
      <c r="G1793" s="5">
        <v>759.34</v>
      </c>
    </row>
    <row r="1794" spans="1:7" x14ac:dyDescent="0.2">
      <c r="A1794" s="3">
        <v>60</v>
      </c>
      <c r="B1794" s="2">
        <v>45560.4</v>
      </c>
      <c r="C1794" s="38">
        <v>45155</v>
      </c>
      <c r="D1794" s="1" t="s">
        <v>83</v>
      </c>
      <c r="E1794" s="1" t="s">
        <v>33</v>
      </c>
      <c r="F1794" s="1" t="s">
        <v>200</v>
      </c>
      <c r="G1794" s="5">
        <v>759.34</v>
      </c>
    </row>
    <row r="1795" spans="1:7" x14ac:dyDescent="0.2">
      <c r="A1795" s="3">
        <v>132</v>
      </c>
      <c r="B1795" s="2">
        <v>23555.4</v>
      </c>
      <c r="C1795" s="38">
        <v>45155</v>
      </c>
      <c r="D1795" s="1" t="s">
        <v>118</v>
      </c>
      <c r="E1795" s="1" t="s">
        <v>33</v>
      </c>
      <c r="F1795" s="1" t="s">
        <v>200</v>
      </c>
      <c r="G1795" s="5">
        <v>178.45</v>
      </c>
    </row>
    <row r="1796" spans="1:7" x14ac:dyDescent="0.2">
      <c r="A1796" s="3">
        <v>15</v>
      </c>
      <c r="B1796" s="2">
        <v>12860.55</v>
      </c>
      <c r="C1796" s="38">
        <v>45155</v>
      </c>
      <c r="D1796" s="1" t="s">
        <v>85</v>
      </c>
      <c r="E1796" s="1" t="s">
        <v>33</v>
      </c>
      <c r="F1796" s="1" t="s">
        <v>200</v>
      </c>
      <c r="G1796" s="5">
        <v>857.37</v>
      </c>
    </row>
    <row r="1797" spans="1:7" x14ac:dyDescent="0.2">
      <c r="A1797" s="3">
        <v>45</v>
      </c>
      <c r="B1797" s="2">
        <v>38581.65</v>
      </c>
      <c r="C1797" s="38">
        <v>45155</v>
      </c>
      <c r="D1797" s="1" t="s">
        <v>85</v>
      </c>
      <c r="E1797" s="1" t="s">
        <v>33</v>
      </c>
      <c r="F1797" s="1" t="s">
        <v>200</v>
      </c>
      <c r="G1797" s="5">
        <v>857.37</v>
      </c>
    </row>
    <row r="1798" spans="1:7" x14ac:dyDescent="0.2">
      <c r="A1798" s="3">
        <v>45</v>
      </c>
      <c r="B1798" s="2">
        <v>38581.65</v>
      </c>
      <c r="C1798" s="38">
        <v>45155</v>
      </c>
      <c r="D1798" s="1" t="s">
        <v>85</v>
      </c>
      <c r="E1798" s="1" t="s">
        <v>33</v>
      </c>
      <c r="F1798" s="1" t="s">
        <v>200</v>
      </c>
      <c r="G1798" s="5">
        <v>857.37</v>
      </c>
    </row>
    <row r="1799" spans="1:7" x14ac:dyDescent="0.2">
      <c r="A1799" s="3">
        <v>45</v>
      </c>
      <c r="B1799" s="2">
        <v>38581.65</v>
      </c>
      <c r="C1799" s="38">
        <v>45155</v>
      </c>
      <c r="D1799" s="1" t="s">
        <v>85</v>
      </c>
      <c r="E1799" s="1" t="s">
        <v>33</v>
      </c>
      <c r="F1799" s="1" t="s">
        <v>200</v>
      </c>
      <c r="G1799" s="5">
        <v>857.37</v>
      </c>
    </row>
    <row r="1800" spans="1:7" x14ac:dyDescent="0.2">
      <c r="A1800" s="3">
        <v>324</v>
      </c>
      <c r="B1800" s="2">
        <v>35089.199999999997</v>
      </c>
      <c r="C1800" s="38">
        <v>44792</v>
      </c>
      <c r="D1800" s="1" t="s">
        <v>55</v>
      </c>
      <c r="E1800" s="1" t="s">
        <v>33</v>
      </c>
      <c r="F1800" s="1" t="s">
        <v>200</v>
      </c>
      <c r="G1800" s="5">
        <v>108.3</v>
      </c>
    </row>
    <row r="1801" spans="1:7" x14ac:dyDescent="0.2">
      <c r="A1801" s="3">
        <v>220</v>
      </c>
      <c r="B1801" s="2">
        <v>30272</v>
      </c>
      <c r="C1801" s="38">
        <v>44847</v>
      </c>
      <c r="D1801" s="1" t="s">
        <v>136</v>
      </c>
      <c r="E1801" s="1" t="s">
        <v>33</v>
      </c>
      <c r="F1801" s="1" t="s">
        <v>200</v>
      </c>
      <c r="G1801" s="5">
        <v>137.6</v>
      </c>
    </row>
    <row r="1802" spans="1:7" x14ac:dyDescent="0.2">
      <c r="A1802" s="3">
        <v>252</v>
      </c>
      <c r="B1802" s="2">
        <v>25303.32</v>
      </c>
      <c r="C1802" s="38">
        <v>44847</v>
      </c>
      <c r="D1802" s="1" t="s">
        <v>137</v>
      </c>
      <c r="E1802" s="1" t="s">
        <v>33</v>
      </c>
      <c r="F1802" s="1" t="s">
        <v>200</v>
      </c>
      <c r="G1802" s="5">
        <v>100.41</v>
      </c>
    </row>
    <row r="1803" spans="1:7" x14ac:dyDescent="0.2">
      <c r="A1803" s="3">
        <v>420</v>
      </c>
      <c r="B1803" s="2">
        <v>6266.4</v>
      </c>
      <c r="C1803" s="38">
        <v>44847</v>
      </c>
      <c r="D1803" s="1" t="s">
        <v>140</v>
      </c>
      <c r="E1803" s="1" t="s">
        <v>33</v>
      </c>
      <c r="F1803" s="1" t="s">
        <v>200</v>
      </c>
      <c r="G1803" s="5">
        <v>14.92</v>
      </c>
    </row>
    <row r="1804" spans="1:7" x14ac:dyDescent="0.2">
      <c r="A1804" s="3">
        <v>420</v>
      </c>
      <c r="B1804" s="2">
        <v>6266.4</v>
      </c>
      <c r="C1804" s="38">
        <v>44847</v>
      </c>
      <c r="D1804" s="1" t="s">
        <v>140</v>
      </c>
      <c r="E1804" s="1" t="s">
        <v>33</v>
      </c>
      <c r="F1804" s="1" t="s">
        <v>200</v>
      </c>
      <c r="G1804" s="5">
        <v>14.92</v>
      </c>
    </row>
    <row r="1805" spans="1:7" x14ac:dyDescent="0.2">
      <c r="A1805" s="3">
        <v>140</v>
      </c>
      <c r="B1805" s="2">
        <v>50677.2</v>
      </c>
      <c r="C1805" s="38">
        <v>44847</v>
      </c>
      <c r="D1805" s="1" t="s">
        <v>74</v>
      </c>
      <c r="E1805" s="1" t="s">
        <v>33</v>
      </c>
      <c r="F1805" s="1" t="s">
        <v>200</v>
      </c>
      <c r="G1805" s="5">
        <v>361.98</v>
      </c>
    </row>
    <row r="1806" spans="1:7" x14ac:dyDescent="0.2">
      <c r="A1806" s="3">
        <v>180</v>
      </c>
      <c r="B1806" s="2">
        <v>137174.39999999999</v>
      </c>
      <c r="C1806" s="38">
        <v>44847</v>
      </c>
      <c r="D1806" s="1" t="s">
        <v>83</v>
      </c>
      <c r="E1806" s="1" t="s">
        <v>33</v>
      </c>
      <c r="F1806" s="1" t="s">
        <v>200</v>
      </c>
      <c r="G1806" s="5">
        <v>762.08</v>
      </c>
    </row>
    <row r="1807" spans="1:7" x14ac:dyDescent="0.2">
      <c r="A1807" s="3">
        <v>108</v>
      </c>
      <c r="B1807" s="2">
        <v>11696.4</v>
      </c>
      <c r="C1807" s="38">
        <v>44792</v>
      </c>
      <c r="D1807" s="1" t="s">
        <v>55</v>
      </c>
      <c r="E1807" s="1" t="s">
        <v>33</v>
      </c>
      <c r="F1807" s="1" t="s">
        <v>200</v>
      </c>
      <c r="G1807" s="5">
        <v>108.3</v>
      </c>
    </row>
    <row r="1808" spans="1:7" x14ac:dyDescent="0.2">
      <c r="A1808" s="3">
        <v>60</v>
      </c>
      <c r="B1808" s="2">
        <v>26432.400000000001</v>
      </c>
      <c r="C1808" s="38">
        <v>44792</v>
      </c>
      <c r="D1808" s="1" t="s">
        <v>66</v>
      </c>
      <c r="E1808" s="1" t="s">
        <v>33</v>
      </c>
      <c r="F1808" s="1" t="s">
        <v>200</v>
      </c>
      <c r="G1808" s="5">
        <v>440.54</v>
      </c>
    </row>
    <row r="1809" spans="1:7" x14ac:dyDescent="0.2">
      <c r="A1809" s="3">
        <v>140</v>
      </c>
      <c r="B1809" s="2">
        <v>56924</v>
      </c>
      <c r="C1809" s="38">
        <v>44792</v>
      </c>
      <c r="D1809" s="1" t="s">
        <v>73</v>
      </c>
      <c r="E1809" s="1" t="s">
        <v>33</v>
      </c>
      <c r="F1809" s="1" t="s">
        <v>200</v>
      </c>
      <c r="G1809" s="5">
        <v>406.6</v>
      </c>
    </row>
    <row r="1810" spans="1:7" x14ac:dyDescent="0.2">
      <c r="A1810" s="3">
        <v>3000</v>
      </c>
      <c r="B1810" s="2">
        <v>3450</v>
      </c>
      <c r="C1810" s="38">
        <v>44792</v>
      </c>
      <c r="D1810" s="1" t="s">
        <v>79</v>
      </c>
      <c r="E1810" s="1" t="s">
        <v>33</v>
      </c>
      <c r="F1810" s="1" t="s">
        <v>200</v>
      </c>
      <c r="G1810" s="5">
        <v>1.1499999999999999</v>
      </c>
    </row>
    <row r="1811" spans="1:7" x14ac:dyDescent="0.2">
      <c r="A1811" s="3">
        <v>588</v>
      </c>
      <c r="B1811" s="2">
        <v>58982.28</v>
      </c>
      <c r="C1811" s="38">
        <v>44540</v>
      </c>
      <c r="D1811" s="1" t="s">
        <v>69</v>
      </c>
      <c r="E1811" s="1" t="s">
        <v>33</v>
      </c>
      <c r="F1811" s="1" t="s">
        <v>200</v>
      </c>
      <c r="G1811" s="5">
        <v>100.31</v>
      </c>
    </row>
    <row r="1812" spans="1:7" x14ac:dyDescent="0.2">
      <c r="A1812" s="3">
        <v>140</v>
      </c>
      <c r="B1812" s="2">
        <v>54842.2</v>
      </c>
      <c r="C1812" s="38">
        <v>44907</v>
      </c>
      <c r="D1812" s="1" t="s">
        <v>72</v>
      </c>
      <c r="E1812" s="1" t="s">
        <v>33</v>
      </c>
      <c r="F1812" s="1" t="s">
        <v>200</v>
      </c>
      <c r="G1812" s="5">
        <v>391.73</v>
      </c>
    </row>
    <row r="1813" spans="1:7" x14ac:dyDescent="0.2">
      <c r="A1813" s="3">
        <v>140</v>
      </c>
      <c r="B1813" s="2">
        <v>54842.2</v>
      </c>
      <c r="C1813" s="38">
        <v>44907</v>
      </c>
      <c r="D1813" s="1" t="s">
        <v>72</v>
      </c>
      <c r="E1813" s="1" t="s">
        <v>33</v>
      </c>
      <c r="F1813" s="1" t="s">
        <v>200</v>
      </c>
      <c r="G1813" s="5">
        <v>391.73</v>
      </c>
    </row>
    <row r="1814" spans="1:7" x14ac:dyDescent="0.2">
      <c r="A1814" s="3">
        <v>140</v>
      </c>
      <c r="B1814" s="2">
        <v>54842.2</v>
      </c>
      <c r="C1814" s="38">
        <v>44907</v>
      </c>
      <c r="D1814" s="1" t="s">
        <v>72</v>
      </c>
      <c r="E1814" s="1" t="s">
        <v>33</v>
      </c>
      <c r="F1814" s="1" t="s">
        <v>200</v>
      </c>
      <c r="G1814" s="5">
        <v>391.73</v>
      </c>
    </row>
    <row r="1815" spans="1:7" x14ac:dyDescent="0.2">
      <c r="A1815" s="3">
        <v>140</v>
      </c>
      <c r="B1815" s="2">
        <v>54842.2</v>
      </c>
      <c r="C1815" s="38">
        <v>44907</v>
      </c>
      <c r="D1815" s="1" t="s">
        <v>72</v>
      </c>
      <c r="E1815" s="1" t="s">
        <v>33</v>
      </c>
      <c r="F1815" s="1" t="s">
        <v>200</v>
      </c>
      <c r="G1815" s="5">
        <v>391.73</v>
      </c>
    </row>
    <row r="1816" spans="1:7" x14ac:dyDescent="0.2">
      <c r="A1816" s="3">
        <v>140</v>
      </c>
      <c r="B1816" s="2">
        <v>54842.2</v>
      </c>
      <c r="C1816" s="38">
        <v>44907</v>
      </c>
      <c r="D1816" s="1" t="s">
        <v>72</v>
      </c>
      <c r="E1816" s="1" t="s">
        <v>33</v>
      </c>
      <c r="F1816" s="1" t="s">
        <v>200</v>
      </c>
      <c r="G1816" s="5">
        <v>391.73</v>
      </c>
    </row>
    <row r="1817" spans="1:7" x14ac:dyDescent="0.2">
      <c r="A1817" s="3">
        <v>140</v>
      </c>
      <c r="B1817" s="2">
        <v>54842.2</v>
      </c>
      <c r="C1817" s="38">
        <v>44907</v>
      </c>
      <c r="D1817" s="1" t="s">
        <v>72</v>
      </c>
      <c r="E1817" s="1" t="s">
        <v>33</v>
      </c>
      <c r="F1817" s="1" t="s">
        <v>200</v>
      </c>
      <c r="G1817" s="5">
        <v>391.73</v>
      </c>
    </row>
    <row r="1818" spans="1:7" x14ac:dyDescent="0.2">
      <c r="A1818" s="3">
        <v>140</v>
      </c>
      <c r="B1818" s="2">
        <v>54842.2</v>
      </c>
      <c r="C1818" s="38">
        <v>44907</v>
      </c>
      <c r="D1818" s="1" t="s">
        <v>72</v>
      </c>
      <c r="E1818" s="1" t="s">
        <v>33</v>
      </c>
      <c r="F1818" s="1" t="s">
        <v>200</v>
      </c>
      <c r="G1818" s="5">
        <v>391.73</v>
      </c>
    </row>
    <row r="1819" spans="1:7" x14ac:dyDescent="0.2">
      <c r="A1819" s="3">
        <v>140</v>
      </c>
      <c r="B1819" s="2">
        <v>54842.2</v>
      </c>
      <c r="C1819" s="38">
        <v>44907</v>
      </c>
      <c r="D1819" s="1" t="s">
        <v>72</v>
      </c>
      <c r="E1819" s="1" t="s">
        <v>33</v>
      </c>
      <c r="F1819" s="1" t="s">
        <v>200</v>
      </c>
      <c r="G1819" s="5">
        <v>391.73</v>
      </c>
    </row>
    <row r="1820" spans="1:7" x14ac:dyDescent="0.2">
      <c r="A1820" s="3">
        <v>140</v>
      </c>
      <c r="B1820" s="2">
        <v>54842.2</v>
      </c>
      <c r="C1820" s="38">
        <v>44907</v>
      </c>
      <c r="D1820" s="1" t="s">
        <v>72</v>
      </c>
      <c r="E1820" s="1" t="s">
        <v>33</v>
      </c>
      <c r="F1820" s="1" t="s">
        <v>200</v>
      </c>
      <c r="G1820" s="5">
        <v>391.73</v>
      </c>
    </row>
    <row r="1821" spans="1:7" x14ac:dyDescent="0.2">
      <c r="A1821" s="3">
        <v>30</v>
      </c>
      <c r="B1821" s="2">
        <v>13216.2</v>
      </c>
      <c r="C1821" s="38">
        <v>44753</v>
      </c>
      <c r="D1821" s="1" t="s">
        <v>66</v>
      </c>
      <c r="E1821" s="1" t="s">
        <v>33</v>
      </c>
      <c r="F1821" s="1" t="s">
        <v>200</v>
      </c>
      <c r="G1821" s="5">
        <v>440.54</v>
      </c>
    </row>
    <row r="1822" spans="1:7" x14ac:dyDescent="0.2">
      <c r="A1822" s="3">
        <v>60</v>
      </c>
      <c r="B1822" s="2">
        <v>26432.400000000001</v>
      </c>
      <c r="C1822" s="38">
        <v>44753</v>
      </c>
      <c r="D1822" s="1" t="s">
        <v>66</v>
      </c>
      <c r="E1822" s="1" t="s">
        <v>33</v>
      </c>
      <c r="F1822" s="1" t="s">
        <v>200</v>
      </c>
      <c r="G1822" s="5">
        <v>440.54</v>
      </c>
    </row>
    <row r="1823" spans="1:7" x14ac:dyDescent="0.2">
      <c r="A1823" s="3">
        <v>3000</v>
      </c>
      <c r="B1823" s="2">
        <v>3450</v>
      </c>
      <c r="C1823" s="38">
        <v>44753</v>
      </c>
      <c r="D1823" s="1" t="s">
        <v>79</v>
      </c>
      <c r="E1823" s="1" t="s">
        <v>33</v>
      </c>
      <c r="F1823" s="1" t="s">
        <v>200</v>
      </c>
      <c r="G1823" s="5">
        <v>1.1499999999999999</v>
      </c>
    </row>
    <row r="1824" spans="1:7" x14ac:dyDescent="0.2">
      <c r="A1824" s="3">
        <v>3000</v>
      </c>
      <c r="B1824" s="2">
        <v>3720</v>
      </c>
      <c r="C1824" s="38">
        <v>44753</v>
      </c>
      <c r="D1824" s="1" t="s">
        <v>80</v>
      </c>
      <c r="E1824" s="1" t="s">
        <v>33</v>
      </c>
      <c r="F1824" s="1" t="s">
        <v>200</v>
      </c>
      <c r="G1824" s="5">
        <v>1.24</v>
      </c>
    </row>
    <row r="1825" spans="1:7" x14ac:dyDescent="0.2">
      <c r="A1825" s="3">
        <v>75</v>
      </c>
      <c r="B1825" s="2">
        <v>64536</v>
      </c>
      <c r="C1825" s="38">
        <v>44753</v>
      </c>
      <c r="D1825" s="1" t="s">
        <v>85</v>
      </c>
      <c r="E1825" s="1" t="s">
        <v>33</v>
      </c>
      <c r="F1825" s="1" t="s">
        <v>200</v>
      </c>
      <c r="G1825" s="5">
        <v>860.48</v>
      </c>
    </row>
    <row r="1826" spans="1:7" x14ac:dyDescent="0.2">
      <c r="A1826" s="3">
        <v>588</v>
      </c>
      <c r="B1826" s="2">
        <v>58982.28</v>
      </c>
      <c r="C1826" s="38">
        <v>44854</v>
      </c>
      <c r="D1826" s="1" t="s">
        <v>69</v>
      </c>
      <c r="E1826" s="1" t="s">
        <v>33</v>
      </c>
      <c r="F1826" s="1" t="s">
        <v>200</v>
      </c>
      <c r="G1826" s="5">
        <v>100.31</v>
      </c>
    </row>
    <row r="1827" spans="1:7" x14ac:dyDescent="0.2">
      <c r="A1827" s="3">
        <v>588</v>
      </c>
      <c r="B1827" s="2">
        <v>58982.28</v>
      </c>
      <c r="C1827" s="38">
        <v>44854</v>
      </c>
      <c r="D1827" s="1" t="s">
        <v>69</v>
      </c>
      <c r="E1827" s="1" t="s">
        <v>33</v>
      </c>
      <c r="F1827" s="1" t="s">
        <v>200</v>
      </c>
      <c r="G1827" s="5">
        <v>100.31</v>
      </c>
    </row>
    <row r="1828" spans="1:7" x14ac:dyDescent="0.2">
      <c r="A1828" s="3">
        <v>140</v>
      </c>
      <c r="B1828" s="2">
        <v>56924</v>
      </c>
      <c r="C1828" s="38">
        <v>44914</v>
      </c>
      <c r="D1828" s="1" t="s">
        <v>73</v>
      </c>
      <c r="E1828" s="1" t="s">
        <v>33</v>
      </c>
      <c r="F1828" s="1" t="s">
        <v>200</v>
      </c>
      <c r="G1828" s="5">
        <v>406.6</v>
      </c>
    </row>
    <row r="1829" spans="1:7" x14ac:dyDescent="0.2">
      <c r="A1829" s="3">
        <v>140</v>
      </c>
      <c r="B1829" s="2">
        <v>56924</v>
      </c>
      <c r="C1829" s="38">
        <v>44914</v>
      </c>
      <c r="D1829" s="1" t="s">
        <v>73</v>
      </c>
      <c r="E1829" s="1" t="s">
        <v>33</v>
      </c>
      <c r="F1829" s="1" t="s">
        <v>200</v>
      </c>
      <c r="G1829" s="5">
        <v>406.6</v>
      </c>
    </row>
    <row r="1830" spans="1:7" x14ac:dyDescent="0.2">
      <c r="A1830" s="3">
        <v>140</v>
      </c>
      <c r="B1830" s="2">
        <v>56924</v>
      </c>
      <c r="C1830" s="38">
        <v>44914</v>
      </c>
      <c r="D1830" s="1" t="s">
        <v>73</v>
      </c>
      <c r="E1830" s="1" t="s">
        <v>33</v>
      </c>
      <c r="F1830" s="1" t="s">
        <v>200</v>
      </c>
      <c r="G1830" s="5">
        <v>406.6</v>
      </c>
    </row>
    <row r="1831" spans="1:7" x14ac:dyDescent="0.2">
      <c r="A1831" s="3">
        <v>22</v>
      </c>
      <c r="B1831" s="2">
        <v>9915.6200000000008</v>
      </c>
      <c r="C1831" s="38">
        <v>45121</v>
      </c>
      <c r="D1831" s="1" t="s">
        <v>58</v>
      </c>
      <c r="E1831" s="1" t="s">
        <v>33</v>
      </c>
      <c r="F1831" s="1" t="s">
        <v>200</v>
      </c>
      <c r="G1831" s="5">
        <v>450.71</v>
      </c>
    </row>
    <row r="1832" spans="1:7" x14ac:dyDescent="0.2">
      <c r="A1832" s="3">
        <v>79</v>
      </c>
      <c r="B1832" s="2">
        <v>35606.089999999997</v>
      </c>
      <c r="C1832" s="38">
        <v>45121</v>
      </c>
      <c r="D1832" s="1" t="s">
        <v>58</v>
      </c>
      <c r="E1832" s="1" t="s">
        <v>33</v>
      </c>
      <c r="F1832" s="1" t="s">
        <v>200</v>
      </c>
      <c r="G1832" s="5">
        <v>450.71</v>
      </c>
    </row>
    <row r="1833" spans="1:7" x14ac:dyDescent="0.2">
      <c r="A1833" s="3">
        <v>252</v>
      </c>
      <c r="B1833" s="2">
        <v>21606.48</v>
      </c>
      <c r="C1833" s="38">
        <v>45121</v>
      </c>
      <c r="D1833" s="1" t="s">
        <v>61</v>
      </c>
      <c r="E1833" s="1" t="s">
        <v>33</v>
      </c>
      <c r="F1833" s="1" t="s">
        <v>200</v>
      </c>
      <c r="G1833" s="5">
        <v>85.74</v>
      </c>
    </row>
    <row r="1834" spans="1:7" x14ac:dyDescent="0.2">
      <c r="A1834" s="3">
        <v>252</v>
      </c>
      <c r="B1834" s="2">
        <v>21606.48</v>
      </c>
      <c r="C1834" s="38">
        <v>45121</v>
      </c>
      <c r="D1834" s="1" t="s">
        <v>61</v>
      </c>
      <c r="E1834" s="1" t="s">
        <v>33</v>
      </c>
      <c r="F1834" s="1" t="s">
        <v>200</v>
      </c>
      <c r="G1834" s="5">
        <v>85.74</v>
      </c>
    </row>
    <row r="1835" spans="1:7" x14ac:dyDescent="0.2">
      <c r="A1835" s="3">
        <v>140</v>
      </c>
      <c r="B1835" s="2">
        <v>58132.2</v>
      </c>
      <c r="C1835" s="38">
        <v>45121</v>
      </c>
      <c r="D1835" s="1" t="s">
        <v>72</v>
      </c>
      <c r="E1835" s="1" t="s">
        <v>33</v>
      </c>
      <c r="F1835" s="1" t="s">
        <v>200</v>
      </c>
      <c r="G1835" s="5">
        <v>415.23</v>
      </c>
    </row>
    <row r="1836" spans="1:7" x14ac:dyDescent="0.2">
      <c r="A1836" s="3">
        <v>140</v>
      </c>
      <c r="B1836" s="2">
        <v>58132.2</v>
      </c>
      <c r="C1836" s="38">
        <v>45121</v>
      </c>
      <c r="D1836" s="1" t="s">
        <v>72</v>
      </c>
      <c r="E1836" s="1" t="s">
        <v>33</v>
      </c>
      <c r="F1836" s="1" t="s">
        <v>200</v>
      </c>
      <c r="G1836" s="5">
        <v>415.23</v>
      </c>
    </row>
    <row r="1837" spans="1:7" x14ac:dyDescent="0.2">
      <c r="A1837" s="3">
        <v>432</v>
      </c>
      <c r="B1837" s="2">
        <v>46617.120000000003</v>
      </c>
      <c r="C1837" s="38">
        <v>45161</v>
      </c>
      <c r="D1837" s="1" t="s">
        <v>55</v>
      </c>
      <c r="E1837" s="1" t="s">
        <v>33</v>
      </c>
      <c r="F1837" s="1" t="s">
        <v>200</v>
      </c>
      <c r="G1837" s="5">
        <v>107.91</v>
      </c>
    </row>
    <row r="1838" spans="1:7" x14ac:dyDescent="0.2">
      <c r="A1838" s="3">
        <v>324</v>
      </c>
      <c r="B1838" s="2">
        <v>34962.839999999997</v>
      </c>
      <c r="C1838" s="38">
        <v>45161</v>
      </c>
      <c r="D1838" s="1" t="s">
        <v>55</v>
      </c>
      <c r="E1838" s="1" t="s">
        <v>33</v>
      </c>
      <c r="F1838" s="1" t="s">
        <v>200</v>
      </c>
      <c r="G1838" s="5">
        <v>107.91</v>
      </c>
    </row>
    <row r="1839" spans="1:7" x14ac:dyDescent="0.2">
      <c r="A1839" s="3">
        <v>45</v>
      </c>
      <c r="B1839" s="2">
        <v>38581.65</v>
      </c>
      <c r="C1839" s="38">
        <v>45161</v>
      </c>
      <c r="D1839" s="1" t="s">
        <v>85</v>
      </c>
      <c r="E1839" s="1" t="s">
        <v>33</v>
      </c>
      <c r="F1839" s="1" t="s">
        <v>200</v>
      </c>
      <c r="G1839" s="5">
        <v>857.37</v>
      </c>
    </row>
    <row r="1840" spans="1:7" x14ac:dyDescent="0.2">
      <c r="A1840" s="3">
        <v>45</v>
      </c>
      <c r="B1840" s="2">
        <v>38581.65</v>
      </c>
      <c r="C1840" s="38">
        <v>45161</v>
      </c>
      <c r="D1840" s="1" t="s">
        <v>85</v>
      </c>
      <c r="E1840" s="1" t="s">
        <v>33</v>
      </c>
      <c r="F1840" s="1" t="s">
        <v>200</v>
      </c>
      <c r="G1840" s="5">
        <v>857.37</v>
      </c>
    </row>
    <row r="1841" spans="1:7" x14ac:dyDescent="0.2">
      <c r="A1841" s="3">
        <v>45</v>
      </c>
      <c r="B1841" s="2">
        <v>38581.65</v>
      </c>
      <c r="C1841" s="38">
        <v>45161</v>
      </c>
      <c r="D1841" s="1" t="s">
        <v>85</v>
      </c>
      <c r="E1841" s="1" t="s">
        <v>33</v>
      </c>
      <c r="F1841" s="1" t="s">
        <v>200</v>
      </c>
      <c r="G1841" s="5">
        <v>857.37</v>
      </c>
    </row>
    <row r="1842" spans="1:7" x14ac:dyDescent="0.2">
      <c r="A1842" s="3">
        <v>45</v>
      </c>
      <c r="B1842" s="2">
        <v>38581.65</v>
      </c>
      <c r="C1842" s="38">
        <v>45161</v>
      </c>
      <c r="D1842" s="1" t="s">
        <v>85</v>
      </c>
      <c r="E1842" s="1" t="s">
        <v>33</v>
      </c>
      <c r="F1842" s="1" t="s">
        <v>200</v>
      </c>
      <c r="G1842" s="5">
        <v>857.37</v>
      </c>
    </row>
    <row r="1843" spans="1:7" x14ac:dyDescent="0.2">
      <c r="A1843" s="3">
        <v>45</v>
      </c>
      <c r="B1843" s="2">
        <v>38581.65</v>
      </c>
      <c r="C1843" s="38">
        <v>45161</v>
      </c>
      <c r="D1843" s="1" t="s">
        <v>85</v>
      </c>
      <c r="E1843" s="1" t="s">
        <v>33</v>
      </c>
      <c r="F1843" s="1" t="s">
        <v>200</v>
      </c>
      <c r="G1843" s="5">
        <v>857.37</v>
      </c>
    </row>
    <row r="1844" spans="1:7" x14ac:dyDescent="0.2">
      <c r="A1844" s="3">
        <v>45</v>
      </c>
      <c r="B1844" s="2">
        <v>38581.65</v>
      </c>
      <c r="C1844" s="38">
        <v>45161</v>
      </c>
      <c r="D1844" s="1" t="s">
        <v>85</v>
      </c>
      <c r="E1844" s="1" t="s">
        <v>33</v>
      </c>
      <c r="F1844" s="1" t="s">
        <v>200</v>
      </c>
      <c r="G1844" s="5">
        <v>857.37</v>
      </c>
    </row>
    <row r="1845" spans="1:7" x14ac:dyDescent="0.2">
      <c r="A1845" s="3">
        <v>45</v>
      </c>
      <c r="B1845" s="2">
        <v>38581.65</v>
      </c>
      <c r="C1845" s="38">
        <v>45161</v>
      </c>
      <c r="D1845" s="1" t="s">
        <v>85</v>
      </c>
      <c r="E1845" s="1" t="s">
        <v>33</v>
      </c>
      <c r="F1845" s="1" t="s">
        <v>200</v>
      </c>
      <c r="G1845" s="5">
        <v>857.37</v>
      </c>
    </row>
    <row r="1846" spans="1:7" x14ac:dyDescent="0.2">
      <c r="A1846" s="3">
        <v>140</v>
      </c>
      <c r="B1846" s="2">
        <v>58132.2</v>
      </c>
      <c r="C1846" s="38">
        <v>45121</v>
      </c>
      <c r="D1846" s="1" t="s">
        <v>72</v>
      </c>
      <c r="E1846" s="1" t="s">
        <v>33</v>
      </c>
      <c r="F1846" s="1" t="s">
        <v>200</v>
      </c>
      <c r="G1846" s="5">
        <v>415.23</v>
      </c>
    </row>
    <row r="1847" spans="1:7" x14ac:dyDescent="0.2">
      <c r="A1847" s="3">
        <v>140</v>
      </c>
      <c r="B1847" s="2">
        <v>58132.2</v>
      </c>
      <c r="C1847" s="38">
        <v>45121</v>
      </c>
      <c r="D1847" s="1" t="s">
        <v>72</v>
      </c>
      <c r="E1847" s="1" t="s">
        <v>33</v>
      </c>
      <c r="F1847" s="1" t="s">
        <v>200</v>
      </c>
      <c r="G1847" s="5">
        <v>415.23</v>
      </c>
    </row>
    <row r="1848" spans="1:7" x14ac:dyDescent="0.2">
      <c r="A1848" s="3">
        <v>140</v>
      </c>
      <c r="B1848" s="2">
        <v>58132.2</v>
      </c>
      <c r="C1848" s="38">
        <v>45121</v>
      </c>
      <c r="D1848" s="1" t="s">
        <v>72</v>
      </c>
      <c r="E1848" s="1" t="s">
        <v>33</v>
      </c>
      <c r="F1848" s="1" t="s">
        <v>200</v>
      </c>
      <c r="G1848" s="5">
        <v>415.23</v>
      </c>
    </row>
    <row r="1849" spans="1:7" x14ac:dyDescent="0.2">
      <c r="A1849" s="3">
        <v>420</v>
      </c>
      <c r="B1849" s="2">
        <v>318922.8</v>
      </c>
      <c r="C1849" s="38">
        <v>45121</v>
      </c>
      <c r="D1849" s="1" t="s">
        <v>83</v>
      </c>
      <c r="E1849" s="1" t="s">
        <v>33</v>
      </c>
      <c r="F1849" s="1" t="s">
        <v>200</v>
      </c>
      <c r="G1849" s="5">
        <v>759.34</v>
      </c>
    </row>
    <row r="1850" spans="1:7" x14ac:dyDescent="0.2">
      <c r="A1850" s="3">
        <v>540</v>
      </c>
      <c r="B1850" s="2">
        <v>58482</v>
      </c>
      <c r="C1850" s="38">
        <v>44761</v>
      </c>
      <c r="D1850" s="1" t="s">
        <v>55</v>
      </c>
      <c r="E1850" s="1" t="s">
        <v>33</v>
      </c>
      <c r="F1850" s="1" t="s">
        <v>200</v>
      </c>
      <c r="G1850" s="5">
        <v>108.3</v>
      </c>
    </row>
    <row r="1851" spans="1:7" x14ac:dyDescent="0.2">
      <c r="A1851" s="3">
        <v>324</v>
      </c>
      <c r="B1851" s="2">
        <v>35089.199999999997</v>
      </c>
      <c r="C1851" s="38">
        <v>44764</v>
      </c>
      <c r="D1851" s="1" t="s">
        <v>55</v>
      </c>
      <c r="E1851" s="1" t="s">
        <v>33</v>
      </c>
      <c r="F1851" s="1" t="s">
        <v>200</v>
      </c>
      <c r="G1851" s="5">
        <v>108.3</v>
      </c>
    </row>
    <row r="1852" spans="1:7" x14ac:dyDescent="0.2">
      <c r="A1852" s="3">
        <v>60</v>
      </c>
      <c r="B1852" s="2">
        <v>45560.4</v>
      </c>
      <c r="C1852" s="38">
        <v>45169</v>
      </c>
      <c r="D1852" s="1" t="s">
        <v>83</v>
      </c>
      <c r="E1852" s="1" t="s">
        <v>33</v>
      </c>
      <c r="F1852" s="1" t="s">
        <v>200</v>
      </c>
      <c r="G1852" s="5">
        <v>759.34</v>
      </c>
    </row>
    <row r="1853" spans="1:7" x14ac:dyDescent="0.2">
      <c r="A1853" s="3">
        <v>360</v>
      </c>
      <c r="B1853" s="2">
        <v>165855.6</v>
      </c>
      <c r="C1853" s="38">
        <v>45169</v>
      </c>
      <c r="D1853" s="1" t="s">
        <v>122</v>
      </c>
      <c r="E1853" s="1" t="s">
        <v>33</v>
      </c>
      <c r="F1853" s="1" t="s">
        <v>200</v>
      </c>
      <c r="G1853" s="5">
        <v>460.71</v>
      </c>
    </row>
    <row r="1854" spans="1:7" x14ac:dyDescent="0.2">
      <c r="A1854" s="3">
        <v>19</v>
      </c>
      <c r="B1854" s="2">
        <v>8563.49</v>
      </c>
      <c r="C1854" s="38">
        <v>45132</v>
      </c>
      <c r="D1854" s="1" t="s">
        <v>58</v>
      </c>
      <c r="E1854" s="1" t="s">
        <v>33</v>
      </c>
      <c r="F1854" s="1" t="s">
        <v>200</v>
      </c>
      <c r="G1854" s="5">
        <v>450.71</v>
      </c>
    </row>
    <row r="1855" spans="1:7" x14ac:dyDescent="0.2">
      <c r="A1855" s="3">
        <v>252</v>
      </c>
      <c r="B1855" s="2">
        <v>21606.48</v>
      </c>
      <c r="C1855" s="38">
        <v>45132</v>
      </c>
      <c r="D1855" s="1" t="s">
        <v>61</v>
      </c>
      <c r="E1855" s="1" t="s">
        <v>33</v>
      </c>
      <c r="F1855" s="1" t="s">
        <v>200</v>
      </c>
      <c r="G1855" s="5">
        <v>85.74</v>
      </c>
    </row>
    <row r="1856" spans="1:7" x14ac:dyDescent="0.2">
      <c r="A1856" s="3">
        <v>252</v>
      </c>
      <c r="B1856" s="2">
        <v>21606.48</v>
      </c>
      <c r="C1856" s="38">
        <v>45132</v>
      </c>
      <c r="D1856" s="1" t="s">
        <v>61</v>
      </c>
      <c r="E1856" s="1" t="s">
        <v>33</v>
      </c>
      <c r="F1856" s="1" t="s">
        <v>200</v>
      </c>
      <c r="G1856" s="5">
        <v>85.74</v>
      </c>
    </row>
    <row r="1857" spans="1:7" x14ac:dyDescent="0.2">
      <c r="A1857" s="3">
        <v>252</v>
      </c>
      <c r="B1857" s="2">
        <v>21606.48</v>
      </c>
      <c r="C1857" s="38">
        <v>45132</v>
      </c>
      <c r="D1857" s="1" t="s">
        <v>61</v>
      </c>
      <c r="E1857" s="1" t="s">
        <v>33</v>
      </c>
      <c r="F1857" s="1" t="s">
        <v>200</v>
      </c>
      <c r="G1857" s="5">
        <v>85.74</v>
      </c>
    </row>
    <row r="1858" spans="1:7" x14ac:dyDescent="0.2">
      <c r="A1858" s="3">
        <v>252</v>
      </c>
      <c r="B1858" s="2">
        <v>21606.48</v>
      </c>
      <c r="C1858" s="38">
        <v>45132</v>
      </c>
      <c r="D1858" s="1" t="s">
        <v>61</v>
      </c>
      <c r="E1858" s="1" t="s">
        <v>33</v>
      </c>
      <c r="F1858" s="1" t="s">
        <v>200</v>
      </c>
      <c r="G1858" s="5">
        <v>85.74</v>
      </c>
    </row>
    <row r="1859" spans="1:7" x14ac:dyDescent="0.2">
      <c r="A1859" s="3">
        <v>252</v>
      </c>
      <c r="B1859" s="2">
        <v>21606.48</v>
      </c>
      <c r="C1859" s="38">
        <v>45132</v>
      </c>
      <c r="D1859" s="1" t="s">
        <v>61</v>
      </c>
      <c r="E1859" s="1" t="s">
        <v>33</v>
      </c>
      <c r="F1859" s="1" t="s">
        <v>200</v>
      </c>
      <c r="G1859" s="5">
        <v>85.74</v>
      </c>
    </row>
    <row r="1860" spans="1:7" x14ac:dyDescent="0.2">
      <c r="A1860" s="3">
        <v>708</v>
      </c>
      <c r="B1860" s="2">
        <v>2712794.04</v>
      </c>
      <c r="C1860" s="38">
        <v>44859</v>
      </c>
      <c r="D1860" s="1" t="s">
        <v>88</v>
      </c>
      <c r="E1860" s="1" t="s">
        <v>33</v>
      </c>
      <c r="F1860" s="1" t="s">
        <v>200</v>
      </c>
      <c r="G1860" s="5">
        <v>3831.63</v>
      </c>
    </row>
    <row r="1861" spans="1:7" x14ac:dyDescent="0.2">
      <c r="A1861" s="3">
        <v>90</v>
      </c>
      <c r="B1861" s="2">
        <v>39505.5</v>
      </c>
      <c r="C1861" s="38">
        <v>45132</v>
      </c>
      <c r="D1861" s="1" t="s">
        <v>66</v>
      </c>
      <c r="E1861" s="1" t="s">
        <v>33</v>
      </c>
      <c r="F1861" s="1" t="s">
        <v>200</v>
      </c>
      <c r="G1861" s="5">
        <v>438.95</v>
      </c>
    </row>
    <row r="1862" spans="1:7" x14ac:dyDescent="0.2">
      <c r="A1862" s="3">
        <v>90</v>
      </c>
      <c r="B1862" s="2">
        <v>39505.5</v>
      </c>
      <c r="C1862" s="38">
        <v>45132</v>
      </c>
      <c r="D1862" s="1" t="s">
        <v>66</v>
      </c>
      <c r="E1862" s="1" t="s">
        <v>33</v>
      </c>
      <c r="F1862" s="1" t="s">
        <v>200</v>
      </c>
      <c r="G1862" s="5">
        <v>438.95</v>
      </c>
    </row>
    <row r="1863" spans="1:7" x14ac:dyDescent="0.2">
      <c r="A1863" s="3">
        <v>90</v>
      </c>
      <c r="B1863" s="2">
        <v>39505.5</v>
      </c>
      <c r="C1863" s="38">
        <v>45132</v>
      </c>
      <c r="D1863" s="1" t="s">
        <v>66</v>
      </c>
      <c r="E1863" s="1" t="s">
        <v>33</v>
      </c>
      <c r="F1863" s="1" t="s">
        <v>200</v>
      </c>
      <c r="G1863" s="5">
        <v>438.95</v>
      </c>
    </row>
    <row r="1864" spans="1:7" x14ac:dyDescent="0.2">
      <c r="A1864" s="3">
        <v>1820</v>
      </c>
      <c r="B1864" s="2">
        <v>4568.2</v>
      </c>
      <c r="C1864" s="38">
        <v>45132</v>
      </c>
      <c r="D1864" s="1" t="s">
        <v>68</v>
      </c>
      <c r="E1864" s="1" t="s">
        <v>33</v>
      </c>
      <c r="F1864" s="1" t="s">
        <v>200</v>
      </c>
      <c r="G1864" s="5">
        <v>2.5099999999999998</v>
      </c>
    </row>
    <row r="1865" spans="1:7" x14ac:dyDescent="0.2">
      <c r="A1865" s="3">
        <v>1820</v>
      </c>
      <c r="B1865" s="2">
        <v>4568.2</v>
      </c>
      <c r="C1865" s="38">
        <v>45132</v>
      </c>
      <c r="D1865" s="1" t="s">
        <v>68</v>
      </c>
      <c r="E1865" s="1" t="s">
        <v>33</v>
      </c>
      <c r="F1865" s="1" t="s">
        <v>200</v>
      </c>
      <c r="G1865" s="5">
        <v>2.5099999999999998</v>
      </c>
    </row>
    <row r="1866" spans="1:7" x14ac:dyDescent="0.2">
      <c r="A1866" s="3">
        <v>1820</v>
      </c>
      <c r="B1866" s="2">
        <v>4568.2</v>
      </c>
      <c r="C1866" s="38">
        <v>45132</v>
      </c>
      <c r="D1866" s="1" t="s">
        <v>68</v>
      </c>
      <c r="E1866" s="1" t="s">
        <v>33</v>
      </c>
      <c r="F1866" s="1" t="s">
        <v>200</v>
      </c>
      <c r="G1866" s="5">
        <v>2.5099999999999998</v>
      </c>
    </row>
    <row r="1867" spans="1:7" x14ac:dyDescent="0.2">
      <c r="A1867" s="3">
        <v>1820</v>
      </c>
      <c r="B1867" s="2">
        <v>4568.2</v>
      </c>
      <c r="C1867" s="38">
        <v>45132</v>
      </c>
      <c r="D1867" s="1" t="s">
        <v>68</v>
      </c>
      <c r="E1867" s="1" t="s">
        <v>33</v>
      </c>
      <c r="F1867" s="1" t="s">
        <v>200</v>
      </c>
      <c r="G1867" s="5">
        <v>2.5099999999999998</v>
      </c>
    </row>
    <row r="1868" spans="1:7" x14ac:dyDescent="0.2">
      <c r="A1868" s="3">
        <v>1820</v>
      </c>
      <c r="B1868" s="2">
        <v>4568.2</v>
      </c>
      <c r="C1868" s="38">
        <v>45132</v>
      </c>
      <c r="D1868" s="1" t="s">
        <v>68</v>
      </c>
      <c r="E1868" s="1" t="s">
        <v>33</v>
      </c>
      <c r="F1868" s="1" t="s">
        <v>200</v>
      </c>
      <c r="G1868" s="5">
        <v>2.5099999999999998</v>
      </c>
    </row>
    <row r="1869" spans="1:7" x14ac:dyDescent="0.2">
      <c r="A1869" s="3">
        <v>1820</v>
      </c>
      <c r="B1869" s="2">
        <v>4568.2</v>
      </c>
      <c r="C1869" s="38">
        <v>45132</v>
      </c>
      <c r="D1869" s="1" t="s">
        <v>68</v>
      </c>
      <c r="E1869" s="1" t="s">
        <v>33</v>
      </c>
      <c r="F1869" s="1" t="s">
        <v>200</v>
      </c>
      <c r="G1869" s="5">
        <v>2.5099999999999998</v>
      </c>
    </row>
    <row r="1870" spans="1:7" x14ac:dyDescent="0.2">
      <c r="A1870" s="3">
        <v>140</v>
      </c>
      <c r="B1870" s="2">
        <v>58132.2</v>
      </c>
      <c r="C1870" s="38">
        <v>45132</v>
      </c>
      <c r="D1870" s="1" t="s">
        <v>72</v>
      </c>
      <c r="E1870" s="1" t="s">
        <v>33</v>
      </c>
      <c r="F1870" s="1" t="s">
        <v>200</v>
      </c>
      <c r="G1870" s="5">
        <v>415.23</v>
      </c>
    </row>
    <row r="1871" spans="1:7" x14ac:dyDescent="0.2">
      <c r="A1871" s="3">
        <v>140</v>
      </c>
      <c r="B1871" s="2">
        <v>58132.2</v>
      </c>
      <c r="C1871" s="38">
        <v>45132</v>
      </c>
      <c r="D1871" s="1" t="s">
        <v>72</v>
      </c>
      <c r="E1871" s="1" t="s">
        <v>33</v>
      </c>
      <c r="F1871" s="1" t="s">
        <v>200</v>
      </c>
      <c r="G1871" s="5">
        <v>415.23</v>
      </c>
    </row>
    <row r="1872" spans="1:7" x14ac:dyDescent="0.2">
      <c r="A1872" s="3">
        <v>140</v>
      </c>
      <c r="B1872" s="2">
        <v>58132.2</v>
      </c>
      <c r="C1872" s="38">
        <v>45132</v>
      </c>
      <c r="D1872" s="1" t="s">
        <v>72</v>
      </c>
      <c r="E1872" s="1" t="s">
        <v>33</v>
      </c>
      <c r="F1872" s="1" t="s">
        <v>200</v>
      </c>
      <c r="G1872" s="5">
        <v>415.23</v>
      </c>
    </row>
    <row r="1873" spans="1:7" x14ac:dyDescent="0.2">
      <c r="A1873" s="3">
        <v>140</v>
      </c>
      <c r="B1873" s="2">
        <v>58132.2</v>
      </c>
      <c r="C1873" s="38">
        <v>45132</v>
      </c>
      <c r="D1873" s="1" t="s">
        <v>72</v>
      </c>
      <c r="E1873" s="1" t="s">
        <v>33</v>
      </c>
      <c r="F1873" s="1" t="s">
        <v>200</v>
      </c>
      <c r="G1873" s="5">
        <v>415.23</v>
      </c>
    </row>
    <row r="1874" spans="1:7" x14ac:dyDescent="0.2">
      <c r="A1874" s="3">
        <v>140</v>
      </c>
      <c r="B1874" s="2">
        <v>53718</v>
      </c>
      <c r="C1874" s="38">
        <v>45132</v>
      </c>
      <c r="D1874" s="1" t="s">
        <v>74</v>
      </c>
      <c r="E1874" s="1" t="s">
        <v>33</v>
      </c>
      <c r="F1874" s="1" t="s">
        <v>200</v>
      </c>
      <c r="G1874" s="5">
        <v>383.7</v>
      </c>
    </row>
    <row r="1875" spans="1:7" x14ac:dyDescent="0.2">
      <c r="A1875" s="3">
        <v>140</v>
      </c>
      <c r="B1875" s="2">
        <v>53718</v>
      </c>
      <c r="C1875" s="38">
        <v>45132</v>
      </c>
      <c r="D1875" s="1" t="s">
        <v>74</v>
      </c>
      <c r="E1875" s="1" t="s">
        <v>33</v>
      </c>
      <c r="F1875" s="1" t="s">
        <v>200</v>
      </c>
      <c r="G1875" s="5">
        <v>383.7</v>
      </c>
    </row>
    <row r="1876" spans="1:7" x14ac:dyDescent="0.2">
      <c r="A1876" s="3">
        <v>140</v>
      </c>
      <c r="B1876" s="2">
        <v>53718</v>
      </c>
      <c r="C1876" s="38">
        <v>45132</v>
      </c>
      <c r="D1876" s="1" t="s">
        <v>74</v>
      </c>
      <c r="E1876" s="1" t="s">
        <v>33</v>
      </c>
      <c r="F1876" s="1" t="s">
        <v>200</v>
      </c>
      <c r="G1876" s="5">
        <v>383.7</v>
      </c>
    </row>
    <row r="1877" spans="1:7" x14ac:dyDescent="0.2">
      <c r="A1877" s="3">
        <v>540</v>
      </c>
      <c r="B1877" s="2">
        <v>58482</v>
      </c>
      <c r="C1877" s="38">
        <v>44806</v>
      </c>
      <c r="D1877" s="1" t="s">
        <v>55</v>
      </c>
      <c r="E1877" s="1" t="s">
        <v>33</v>
      </c>
      <c r="F1877" s="1" t="s">
        <v>200</v>
      </c>
      <c r="G1877" s="5">
        <v>108.3</v>
      </c>
    </row>
    <row r="1878" spans="1:7" x14ac:dyDescent="0.2">
      <c r="A1878" s="3">
        <v>60</v>
      </c>
      <c r="B1878" s="2">
        <v>26432.400000000001</v>
      </c>
      <c r="C1878" s="38">
        <v>44806</v>
      </c>
      <c r="D1878" s="1" t="s">
        <v>66</v>
      </c>
      <c r="E1878" s="1" t="s">
        <v>33</v>
      </c>
      <c r="F1878" s="1" t="s">
        <v>200</v>
      </c>
      <c r="G1878" s="5">
        <v>440.54</v>
      </c>
    </row>
    <row r="1879" spans="1:7" x14ac:dyDescent="0.2">
      <c r="A1879" s="3">
        <v>60</v>
      </c>
      <c r="B1879" s="2">
        <v>26432.400000000001</v>
      </c>
      <c r="C1879" s="38">
        <v>44806</v>
      </c>
      <c r="D1879" s="1" t="s">
        <v>66</v>
      </c>
      <c r="E1879" s="1" t="s">
        <v>33</v>
      </c>
      <c r="F1879" s="1" t="s">
        <v>200</v>
      </c>
      <c r="G1879" s="5">
        <v>440.54</v>
      </c>
    </row>
    <row r="1880" spans="1:7" x14ac:dyDescent="0.2">
      <c r="A1880" s="3">
        <v>588</v>
      </c>
      <c r="B1880" s="2">
        <v>58982.28</v>
      </c>
      <c r="C1880" s="38">
        <v>44806</v>
      </c>
      <c r="D1880" s="1" t="s">
        <v>69</v>
      </c>
      <c r="E1880" s="1" t="s">
        <v>33</v>
      </c>
      <c r="F1880" s="1" t="s">
        <v>200</v>
      </c>
      <c r="G1880" s="5">
        <v>100.31</v>
      </c>
    </row>
    <row r="1881" spans="1:7" x14ac:dyDescent="0.2">
      <c r="A1881" s="3">
        <v>60</v>
      </c>
      <c r="B1881" s="2">
        <v>45724.800000000003</v>
      </c>
      <c r="C1881" s="38">
        <v>44862</v>
      </c>
      <c r="D1881" s="1" t="s">
        <v>83</v>
      </c>
      <c r="E1881" s="1" t="s">
        <v>33</v>
      </c>
      <c r="F1881" s="1" t="s">
        <v>200</v>
      </c>
      <c r="G1881" s="5">
        <v>762.08</v>
      </c>
    </row>
    <row r="1882" spans="1:7" x14ac:dyDescent="0.2">
      <c r="A1882" s="3">
        <v>420</v>
      </c>
      <c r="B1882" s="2">
        <v>320073.59999999998</v>
      </c>
      <c r="C1882" s="38">
        <v>44862</v>
      </c>
      <c r="D1882" s="1" t="s">
        <v>83</v>
      </c>
      <c r="E1882" s="1" t="s">
        <v>33</v>
      </c>
      <c r="F1882" s="1" t="s">
        <v>200</v>
      </c>
      <c r="G1882" s="5">
        <v>762.08</v>
      </c>
    </row>
    <row r="1883" spans="1:7" x14ac:dyDescent="0.2">
      <c r="A1883" s="3">
        <v>-35</v>
      </c>
      <c r="B1883" s="2">
        <v>-3718.4</v>
      </c>
      <c r="C1883" s="38">
        <v>45114</v>
      </c>
      <c r="D1883" s="1" t="s">
        <v>65</v>
      </c>
      <c r="E1883" s="1" t="s">
        <v>33</v>
      </c>
      <c r="F1883" s="1" t="s">
        <v>211</v>
      </c>
      <c r="G1883" s="5">
        <v>106.24</v>
      </c>
    </row>
    <row r="1884" spans="1:7" x14ac:dyDescent="0.2">
      <c r="A1884" s="3">
        <v>-270</v>
      </c>
      <c r="B1884" s="2">
        <v>-28684.799999999999</v>
      </c>
      <c r="C1884" s="38">
        <v>45114</v>
      </c>
      <c r="D1884" s="1" t="s">
        <v>65</v>
      </c>
      <c r="E1884" s="1" t="s">
        <v>33</v>
      </c>
      <c r="F1884" s="1" t="s">
        <v>211</v>
      </c>
      <c r="G1884" s="5">
        <v>106.24</v>
      </c>
    </row>
    <row r="1885" spans="1:7" x14ac:dyDescent="0.2">
      <c r="A1885" s="3">
        <v>-95</v>
      </c>
      <c r="B1885" s="2">
        <v>-10092.799999999999</v>
      </c>
      <c r="C1885" s="38">
        <v>45114</v>
      </c>
      <c r="D1885" s="1" t="s">
        <v>65</v>
      </c>
      <c r="E1885" s="1" t="s">
        <v>33</v>
      </c>
      <c r="F1885" s="1" t="s">
        <v>211</v>
      </c>
      <c r="G1885" s="5">
        <v>106.24</v>
      </c>
    </row>
    <row r="1886" spans="1:7" x14ac:dyDescent="0.2">
      <c r="A1886" s="3">
        <v>35</v>
      </c>
      <c r="B1886" s="2">
        <v>3941.35</v>
      </c>
      <c r="C1886" s="38">
        <v>45114</v>
      </c>
      <c r="D1886" s="1" t="s">
        <v>65</v>
      </c>
      <c r="E1886" s="1" t="s">
        <v>33</v>
      </c>
      <c r="F1886" s="1" t="s">
        <v>211</v>
      </c>
      <c r="G1886" s="5">
        <v>112.61</v>
      </c>
    </row>
    <row r="1887" spans="1:7" x14ac:dyDescent="0.2">
      <c r="A1887" s="3">
        <v>270</v>
      </c>
      <c r="B1887" s="2">
        <v>30404.7</v>
      </c>
      <c r="C1887" s="38">
        <v>45114</v>
      </c>
      <c r="D1887" s="1" t="s">
        <v>65</v>
      </c>
      <c r="E1887" s="1" t="s">
        <v>33</v>
      </c>
      <c r="F1887" s="1" t="s">
        <v>211</v>
      </c>
      <c r="G1887" s="5">
        <v>112.61</v>
      </c>
    </row>
    <row r="1888" spans="1:7" x14ac:dyDescent="0.2">
      <c r="A1888" s="3">
        <v>95</v>
      </c>
      <c r="B1888" s="2">
        <v>10697.95</v>
      </c>
      <c r="C1888" s="38">
        <v>45114</v>
      </c>
      <c r="D1888" s="1" t="s">
        <v>65</v>
      </c>
      <c r="E1888" s="1" t="s">
        <v>33</v>
      </c>
      <c r="F1888" s="1" t="s">
        <v>211</v>
      </c>
      <c r="G1888" s="5">
        <v>112.61</v>
      </c>
    </row>
    <row r="1889" spans="1:7" x14ac:dyDescent="0.2">
      <c r="A1889" s="3">
        <v>576</v>
      </c>
      <c r="B1889" s="2">
        <v>222497.28</v>
      </c>
      <c r="C1889" s="38">
        <v>44678</v>
      </c>
      <c r="D1889" s="1" t="s">
        <v>132</v>
      </c>
      <c r="E1889" s="1" t="s">
        <v>33</v>
      </c>
      <c r="F1889" s="1" t="s">
        <v>211</v>
      </c>
      <c r="G1889" s="5">
        <v>386.28</v>
      </c>
    </row>
    <row r="1890" spans="1:7" x14ac:dyDescent="0.2">
      <c r="A1890" s="3">
        <v>576</v>
      </c>
      <c r="B1890" s="2">
        <v>222497.28</v>
      </c>
      <c r="C1890" s="38">
        <v>44937</v>
      </c>
      <c r="D1890" s="1" t="s">
        <v>132</v>
      </c>
      <c r="E1890" s="1" t="s">
        <v>33</v>
      </c>
      <c r="F1890" s="1" t="s">
        <v>211</v>
      </c>
      <c r="G1890" s="5">
        <v>386.28</v>
      </c>
    </row>
    <row r="1891" spans="1:7" x14ac:dyDescent="0.2">
      <c r="A1891" s="3">
        <v>252</v>
      </c>
      <c r="B1891" s="2">
        <v>17481.240000000002</v>
      </c>
      <c r="C1891" s="38">
        <v>44992</v>
      </c>
      <c r="D1891" s="1" t="s">
        <v>103</v>
      </c>
      <c r="E1891" s="1" t="s">
        <v>33</v>
      </c>
      <c r="F1891" s="1" t="s">
        <v>211</v>
      </c>
      <c r="G1891" s="5">
        <v>69.37</v>
      </c>
    </row>
    <row r="1892" spans="1:7" x14ac:dyDescent="0.2">
      <c r="A1892" s="3">
        <v>300</v>
      </c>
      <c r="B1892" s="2">
        <v>3381</v>
      </c>
      <c r="C1892" s="38">
        <v>44995</v>
      </c>
      <c r="D1892" s="1" t="s">
        <v>130</v>
      </c>
      <c r="E1892" s="1" t="s">
        <v>33</v>
      </c>
      <c r="F1892" s="1" t="s">
        <v>211</v>
      </c>
      <c r="G1892" s="5">
        <v>11.27</v>
      </c>
    </row>
    <row r="1893" spans="1:7" x14ac:dyDescent="0.2">
      <c r="A1893" s="3">
        <v>70</v>
      </c>
      <c r="B1893" s="2">
        <v>39788</v>
      </c>
      <c r="C1893" s="38">
        <v>44946</v>
      </c>
      <c r="D1893" s="1" t="s">
        <v>164</v>
      </c>
      <c r="E1893" s="1" t="s">
        <v>33</v>
      </c>
      <c r="F1893" s="1" t="s">
        <v>211</v>
      </c>
      <c r="G1893" s="5">
        <v>568.4</v>
      </c>
    </row>
    <row r="1894" spans="1:7" x14ac:dyDescent="0.2">
      <c r="A1894" s="3">
        <v>300</v>
      </c>
      <c r="B1894" s="2">
        <v>3381</v>
      </c>
      <c r="C1894" s="38">
        <v>44946</v>
      </c>
      <c r="D1894" s="1" t="s">
        <v>130</v>
      </c>
      <c r="E1894" s="1" t="s">
        <v>33</v>
      </c>
      <c r="F1894" s="1" t="s">
        <v>211</v>
      </c>
      <c r="G1894" s="5">
        <v>11.27</v>
      </c>
    </row>
    <row r="1895" spans="1:7" x14ac:dyDescent="0.2">
      <c r="A1895" s="3">
        <v>1120</v>
      </c>
      <c r="B1895" s="2">
        <v>62227.199999999997</v>
      </c>
      <c r="C1895" s="38">
        <v>44946</v>
      </c>
      <c r="D1895" s="1" t="s">
        <v>70</v>
      </c>
      <c r="E1895" s="1" t="s">
        <v>33</v>
      </c>
      <c r="F1895" s="1" t="s">
        <v>211</v>
      </c>
      <c r="G1895" s="5">
        <v>55.56</v>
      </c>
    </row>
    <row r="1896" spans="1:7" x14ac:dyDescent="0.2">
      <c r="A1896" s="3">
        <v>155</v>
      </c>
      <c r="B1896" s="2">
        <v>10752.35</v>
      </c>
      <c r="C1896" s="38">
        <v>45020</v>
      </c>
      <c r="D1896" s="1" t="s">
        <v>103</v>
      </c>
      <c r="E1896" s="1" t="s">
        <v>33</v>
      </c>
      <c r="F1896" s="1" t="s">
        <v>211</v>
      </c>
      <c r="G1896" s="5">
        <v>69.37</v>
      </c>
    </row>
    <row r="1897" spans="1:7" x14ac:dyDescent="0.2">
      <c r="A1897" s="3">
        <v>300</v>
      </c>
      <c r="B1897" s="2">
        <v>3189</v>
      </c>
      <c r="C1897" s="38">
        <v>44687</v>
      </c>
      <c r="D1897" s="1" t="s">
        <v>130</v>
      </c>
      <c r="E1897" s="1" t="s">
        <v>33</v>
      </c>
      <c r="F1897" s="1" t="s">
        <v>211</v>
      </c>
      <c r="G1897" s="5">
        <v>10.63</v>
      </c>
    </row>
    <row r="1898" spans="1:7" x14ac:dyDescent="0.2">
      <c r="A1898" s="3">
        <v>576</v>
      </c>
      <c r="B1898" s="2">
        <v>222497.28</v>
      </c>
      <c r="C1898" s="38">
        <v>44687</v>
      </c>
      <c r="D1898" s="1" t="s">
        <v>132</v>
      </c>
      <c r="E1898" s="1" t="s">
        <v>33</v>
      </c>
      <c r="F1898" s="1" t="s">
        <v>211</v>
      </c>
      <c r="G1898" s="5">
        <v>386.28</v>
      </c>
    </row>
    <row r="1899" spans="1:7" x14ac:dyDescent="0.2">
      <c r="A1899" s="3">
        <v>70</v>
      </c>
      <c r="B1899" s="2">
        <v>41965.7</v>
      </c>
      <c r="C1899" s="38">
        <v>45054</v>
      </c>
      <c r="D1899" s="1" t="s">
        <v>164</v>
      </c>
      <c r="E1899" s="1" t="s">
        <v>33</v>
      </c>
      <c r="F1899" s="1" t="s">
        <v>211</v>
      </c>
      <c r="G1899" s="5">
        <v>599.51</v>
      </c>
    </row>
    <row r="1900" spans="1:7" x14ac:dyDescent="0.2">
      <c r="A1900" s="3">
        <v>300</v>
      </c>
      <c r="B1900" s="2">
        <v>3381</v>
      </c>
      <c r="C1900" s="38">
        <v>45054</v>
      </c>
      <c r="D1900" s="1" t="s">
        <v>130</v>
      </c>
      <c r="E1900" s="1" t="s">
        <v>33</v>
      </c>
      <c r="F1900" s="1" t="s">
        <v>211</v>
      </c>
      <c r="G1900" s="5">
        <v>11.27</v>
      </c>
    </row>
    <row r="1901" spans="1:7" x14ac:dyDescent="0.2">
      <c r="A1901" s="3">
        <v>1440</v>
      </c>
      <c r="B1901" s="2">
        <v>362649.59999999998</v>
      </c>
      <c r="C1901" s="38">
        <v>45054</v>
      </c>
      <c r="D1901" s="1" t="s">
        <v>175</v>
      </c>
      <c r="E1901" s="1" t="s">
        <v>33</v>
      </c>
      <c r="F1901" s="1" t="s">
        <v>211</v>
      </c>
      <c r="G1901" s="5">
        <v>251.84</v>
      </c>
    </row>
    <row r="1902" spans="1:7" x14ac:dyDescent="0.2">
      <c r="A1902" s="3">
        <v>1440</v>
      </c>
      <c r="B1902" s="2">
        <v>362649.59999999998</v>
      </c>
      <c r="C1902" s="38">
        <v>45089</v>
      </c>
      <c r="D1902" s="1" t="s">
        <v>175</v>
      </c>
      <c r="E1902" s="1" t="s">
        <v>33</v>
      </c>
      <c r="F1902" s="1" t="s">
        <v>211</v>
      </c>
      <c r="G1902" s="5">
        <v>251.84</v>
      </c>
    </row>
    <row r="1903" spans="1:7" x14ac:dyDescent="0.2">
      <c r="A1903" s="3">
        <v>1120</v>
      </c>
      <c r="B1903" s="2">
        <v>62227.199999999997</v>
      </c>
      <c r="C1903" s="38">
        <v>45036</v>
      </c>
      <c r="D1903" s="1" t="s">
        <v>70</v>
      </c>
      <c r="E1903" s="1" t="s">
        <v>33</v>
      </c>
      <c r="F1903" s="1" t="s">
        <v>211</v>
      </c>
      <c r="G1903" s="5">
        <v>55.56</v>
      </c>
    </row>
    <row r="1904" spans="1:7" x14ac:dyDescent="0.2">
      <c r="A1904" s="3">
        <v>27000</v>
      </c>
      <c r="B1904" s="2">
        <v>2640.6</v>
      </c>
      <c r="C1904" s="38">
        <v>44972</v>
      </c>
      <c r="D1904" s="1" t="s">
        <v>112</v>
      </c>
      <c r="E1904" s="1" t="s">
        <v>33</v>
      </c>
      <c r="F1904" s="1" t="s">
        <v>211</v>
      </c>
      <c r="G1904" s="5">
        <v>9.7799999999999998E-2</v>
      </c>
    </row>
    <row r="1905" spans="1:7" x14ac:dyDescent="0.2">
      <c r="A1905" s="3">
        <v>1120</v>
      </c>
      <c r="B1905" s="2">
        <v>58710.400000000001</v>
      </c>
      <c r="C1905" s="38">
        <v>44699</v>
      </c>
      <c r="D1905" s="1" t="s">
        <v>70</v>
      </c>
      <c r="E1905" s="1" t="s">
        <v>33</v>
      </c>
      <c r="F1905" s="1" t="s">
        <v>211</v>
      </c>
      <c r="G1905" s="5">
        <v>52.42</v>
      </c>
    </row>
    <row r="1906" spans="1:7" x14ac:dyDescent="0.2">
      <c r="A1906" s="3">
        <v>1120</v>
      </c>
      <c r="B1906" s="2">
        <v>58710.400000000001</v>
      </c>
      <c r="C1906" s="38">
        <v>44704</v>
      </c>
      <c r="D1906" s="1" t="s">
        <v>70</v>
      </c>
      <c r="E1906" s="1" t="s">
        <v>33</v>
      </c>
      <c r="F1906" s="1" t="s">
        <v>211</v>
      </c>
      <c r="G1906" s="5">
        <v>52.42</v>
      </c>
    </row>
    <row r="1907" spans="1:7" x14ac:dyDescent="0.2">
      <c r="A1907" s="3">
        <v>576</v>
      </c>
      <c r="B1907" s="2">
        <v>235843.20000000001</v>
      </c>
      <c r="C1907" s="38">
        <v>45133</v>
      </c>
      <c r="D1907" s="1" t="s">
        <v>132</v>
      </c>
      <c r="E1907" s="1" t="s">
        <v>33</v>
      </c>
      <c r="F1907" s="1" t="s">
        <v>211</v>
      </c>
      <c r="G1907" s="5">
        <v>409.45</v>
      </c>
    </row>
    <row r="1908" spans="1:7" x14ac:dyDescent="0.2">
      <c r="A1908" s="3">
        <v>1440</v>
      </c>
      <c r="B1908" s="2">
        <v>362649.59999999998</v>
      </c>
      <c r="C1908" s="38">
        <v>45134</v>
      </c>
      <c r="D1908" s="1" t="s">
        <v>175</v>
      </c>
      <c r="E1908" s="1" t="s">
        <v>33</v>
      </c>
      <c r="F1908" s="1" t="s">
        <v>211</v>
      </c>
      <c r="G1908" s="5">
        <v>251.84</v>
      </c>
    </row>
    <row r="1909" spans="1:7" x14ac:dyDescent="0.2">
      <c r="A1909" s="3">
        <v>70</v>
      </c>
      <c r="B1909" s="2">
        <v>41965.7</v>
      </c>
      <c r="C1909" s="38">
        <v>45147</v>
      </c>
      <c r="D1909" s="1" t="s">
        <v>164</v>
      </c>
      <c r="E1909" s="1" t="s">
        <v>33</v>
      </c>
      <c r="F1909" s="1" t="s">
        <v>211</v>
      </c>
      <c r="G1909" s="5">
        <v>599.51</v>
      </c>
    </row>
    <row r="1910" spans="1:7" x14ac:dyDescent="0.2">
      <c r="A1910" s="3">
        <v>300</v>
      </c>
      <c r="B1910" s="2">
        <v>3381</v>
      </c>
      <c r="C1910" s="38">
        <v>45154</v>
      </c>
      <c r="D1910" s="1" t="s">
        <v>130</v>
      </c>
      <c r="E1910" s="1" t="s">
        <v>33</v>
      </c>
      <c r="F1910" s="1" t="s">
        <v>211</v>
      </c>
      <c r="G1910" s="5">
        <v>11.27</v>
      </c>
    </row>
    <row r="1911" spans="1:7" x14ac:dyDescent="0.2">
      <c r="A1911" s="3">
        <v>1120</v>
      </c>
      <c r="B1911" s="2">
        <v>58699.199999999997</v>
      </c>
      <c r="C1911" s="38">
        <v>44841</v>
      </c>
      <c r="D1911" s="1" t="s">
        <v>70</v>
      </c>
      <c r="E1911" s="1" t="s">
        <v>33</v>
      </c>
      <c r="F1911" s="1" t="s">
        <v>211</v>
      </c>
      <c r="G1911" s="5">
        <v>52.41</v>
      </c>
    </row>
    <row r="1912" spans="1:7" x14ac:dyDescent="0.2">
      <c r="A1912" s="3">
        <v>380</v>
      </c>
      <c r="B1912" s="2">
        <v>19915.8</v>
      </c>
      <c r="C1912" s="38">
        <v>44841</v>
      </c>
      <c r="D1912" s="1" t="s">
        <v>70</v>
      </c>
      <c r="E1912" s="1" t="s">
        <v>33</v>
      </c>
      <c r="F1912" s="1" t="s">
        <v>211</v>
      </c>
      <c r="G1912" s="5">
        <v>52.41</v>
      </c>
    </row>
    <row r="1913" spans="1:7" x14ac:dyDescent="0.2">
      <c r="A1913" s="3">
        <v>1120</v>
      </c>
      <c r="B1913" s="2">
        <v>58699.199999999997</v>
      </c>
      <c r="C1913" s="38">
        <v>44841</v>
      </c>
      <c r="D1913" s="1" t="s">
        <v>70</v>
      </c>
      <c r="E1913" s="1" t="s">
        <v>33</v>
      </c>
      <c r="F1913" s="1" t="s">
        <v>211</v>
      </c>
      <c r="G1913" s="5">
        <v>52.41</v>
      </c>
    </row>
    <row r="1914" spans="1:7" x14ac:dyDescent="0.2">
      <c r="A1914" s="3">
        <v>1440</v>
      </c>
      <c r="B1914" s="2">
        <v>342129.6</v>
      </c>
      <c r="C1914" s="38">
        <v>44845</v>
      </c>
      <c r="D1914" s="1" t="s">
        <v>175</v>
      </c>
      <c r="E1914" s="1" t="s">
        <v>33</v>
      </c>
      <c r="F1914" s="1" t="s">
        <v>211</v>
      </c>
      <c r="G1914" s="5">
        <v>237.59</v>
      </c>
    </row>
    <row r="1915" spans="1:7" x14ac:dyDescent="0.2">
      <c r="A1915" s="3">
        <v>300</v>
      </c>
      <c r="B1915" s="2">
        <v>3189</v>
      </c>
      <c r="C1915" s="38">
        <v>44900</v>
      </c>
      <c r="D1915" s="1" t="s">
        <v>130</v>
      </c>
      <c r="E1915" s="1" t="s">
        <v>33</v>
      </c>
      <c r="F1915" s="1" t="s">
        <v>211</v>
      </c>
      <c r="G1915" s="5">
        <v>10.63</v>
      </c>
    </row>
    <row r="1916" spans="1:7" x14ac:dyDescent="0.2">
      <c r="A1916" s="3">
        <v>300</v>
      </c>
      <c r="B1916" s="2">
        <v>3189</v>
      </c>
      <c r="C1916" s="38">
        <v>44900</v>
      </c>
      <c r="D1916" s="1" t="s">
        <v>130</v>
      </c>
      <c r="E1916" s="1" t="s">
        <v>33</v>
      </c>
      <c r="F1916" s="1" t="s">
        <v>211</v>
      </c>
      <c r="G1916" s="5">
        <v>10.63</v>
      </c>
    </row>
    <row r="1917" spans="1:7" x14ac:dyDescent="0.2">
      <c r="A1917" s="3">
        <v>300</v>
      </c>
      <c r="B1917" s="2">
        <v>3189</v>
      </c>
      <c r="C1917" s="38">
        <v>44900</v>
      </c>
      <c r="D1917" s="1" t="s">
        <v>130</v>
      </c>
      <c r="E1917" s="1" t="s">
        <v>33</v>
      </c>
      <c r="F1917" s="1" t="s">
        <v>211</v>
      </c>
      <c r="G1917" s="5">
        <v>10.63</v>
      </c>
    </row>
    <row r="1918" spans="1:7" x14ac:dyDescent="0.2">
      <c r="A1918" s="3">
        <v>300</v>
      </c>
      <c r="B1918" s="2">
        <v>3381</v>
      </c>
      <c r="C1918" s="38">
        <v>45114</v>
      </c>
      <c r="D1918" s="1" t="s">
        <v>130</v>
      </c>
      <c r="E1918" s="1" t="s">
        <v>33</v>
      </c>
      <c r="F1918" s="1" t="s">
        <v>211</v>
      </c>
      <c r="G1918" s="5">
        <v>11.27</v>
      </c>
    </row>
    <row r="1919" spans="1:7" x14ac:dyDescent="0.2">
      <c r="A1919" s="3">
        <v>576</v>
      </c>
      <c r="B1919" s="2">
        <v>222497.28</v>
      </c>
      <c r="C1919" s="38">
        <v>44847</v>
      </c>
      <c r="D1919" s="1" t="s">
        <v>132</v>
      </c>
      <c r="E1919" s="1" t="s">
        <v>33</v>
      </c>
      <c r="F1919" s="1" t="s">
        <v>211</v>
      </c>
      <c r="G1919" s="5">
        <v>386.28</v>
      </c>
    </row>
    <row r="1920" spans="1:7" x14ac:dyDescent="0.2">
      <c r="A1920" s="3">
        <v>740</v>
      </c>
      <c r="B1920" s="2">
        <v>38783.4</v>
      </c>
      <c r="C1920" s="38">
        <v>44910</v>
      </c>
      <c r="D1920" s="1" t="s">
        <v>70</v>
      </c>
      <c r="E1920" s="1" t="s">
        <v>33</v>
      </c>
      <c r="F1920" s="1" t="s">
        <v>211</v>
      </c>
      <c r="G1920" s="5">
        <v>52.41</v>
      </c>
    </row>
    <row r="1921" spans="1:7" x14ac:dyDescent="0.2">
      <c r="A1921" s="3">
        <v>380</v>
      </c>
      <c r="B1921" s="2">
        <v>19915.8</v>
      </c>
      <c r="C1921" s="38">
        <v>44910</v>
      </c>
      <c r="D1921" s="1" t="s">
        <v>70</v>
      </c>
      <c r="E1921" s="1" t="s">
        <v>33</v>
      </c>
      <c r="F1921" s="1" t="s">
        <v>211</v>
      </c>
      <c r="G1921" s="5">
        <v>52.41</v>
      </c>
    </row>
    <row r="1922" spans="1:7" x14ac:dyDescent="0.2">
      <c r="A1922" s="3">
        <v>300</v>
      </c>
      <c r="B1922" s="2">
        <v>3189</v>
      </c>
      <c r="C1922" s="38">
        <v>44753</v>
      </c>
      <c r="D1922" s="1" t="s">
        <v>130</v>
      </c>
      <c r="E1922" s="1" t="s">
        <v>33</v>
      </c>
      <c r="F1922" s="1" t="s">
        <v>211</v>
      </c>
      <c r="G1922" s="5">
        <v>10.63</v>
      </c>
    </row>
    <row r="1923" spans="1:7" x14ac:dyDescent="0.2">
      <c r="A1923" s="3">
        <v>1440</v>
      </c>
      <c r="B1923" s="2">
        <v>342129.6</v>
      </c>
      <c r="C1923" s="38">
        <v>44755</v>
      </c>
      <c r="D1923" s="1" t="s">
        <v>175</v>
      </c>
      <c r="E1923" s="1" t="s">
        <v>33</v>
      </c>
      <c r="F1923" s="1" t="s">
        <v>211</v>
      </c>
      <c r="G1923" s="5">
        <v>237.59</v>
      </c>
    </row>
    <row r="1924" spans="1:7" x14ac:dyDescent="0.2">
      <c r="A1924" s="3">
        <v>1120</v>
      </c>
      <c r="B1924" s="2">
        <v>62227.199999999997</v>
      </c>
      <c r="C1924" s="38">
        <v>45161</v>
      </c>
      <c r="D1924" s="1" t="s">
        <v>70</v>
      </c>
      <c r="E1924" s="1" t="s">
        <v>33</v>
      </c>
      <c r="F1924" s="1" t="s">
        <v>211</v>
      </c>
      <c r="G1924" s="5">
        <v>55.56</v>
      </c>
    </row>
    <row r="1925" spans="1:7" x14ac:dyDescent="0.2">
      <c r="A1925" s="3">
        <v>740</v>
      </c>
      <c r="B1925" s="2">
        <v>38783.4</v>
      </c>
      <c r="C1925" s="38">
        <v>44915</v>
      </c>
      <c r="D1925" s="1" t="s">
        <v>70</v>
      </c>
      <c r="E1925" s="1" t="s">
        <v>33</v>
      </c>
      <c r="F1925" s="1" t="s">
        <v>211</v>
      </c>
      <c r="G1925" s="5">
        <v>52.41</v>
      </c>
    </row>
    <row r="1926" spans="1:7" x14ac:dyDescent="0.2">
      <c r="A1926" s="3">
        <v>576</v>
      </c>
      <c r="B1926" s="2">
        <v>222497.28</v>
      </c>
      <c r="C1926" s="38">
        <v>44798</v>
      </c>
      <c r="D1926" s="1" t="s">
        <v>132</v>
      </c>
      <c r="E1926" s="1" t="s">
        <v>33</v>
      </c>
      <c r="F1926" s="1" t="s">
        <v>211</v>
      </c>
      <c r="G1926" s="5">
        <v>386.28</v>
      </c>
    </row>
    <row r="1927" spans="1:7" x14ac:dyDescent="0.2">
      <c r="A1927" s="3">
        <v>200</v>
      </c>
      <c r="B1927" s="2">
        <v>21248</v>
      </c>
      <c r="C1927" s="38">
        <v>45076</v>
      </c>
      <c r="D1927" s="1" t="s">
        <v>65</v>
      </c>
      <c r="E1927" s="1" t="s">
        <v>33</v>
      </c>
      <c r="F1927" s="1" t="s">
        <v>211</v>
      </c>
      <c r="G1927" s="5">
        <v>106.24</v>
      </c>
    </row>
    <row r="1928" spans="1:7" x14ac:dyDescent="0.2">
      <c r="A1928" s="3">
        <v>200</v>
      </c>
      <c r="B1928" s="2">
        <v>21248</v>
      </c>
      <c r="C1928" s="38">
        <v>45076</v>
      </c>
      <c r="D1928" s="1" t="s">
        <v>65</v>
      </c>
      <c r="E1928" s="1" t="s">
        <v>33</v>
      </c>
      <c r="F1928" s="1" t="s">
        <v>211</v>
      </c>
      <c r="G1928" s="5">
        <v>106.24</v>
      </c>
    </row>
    <row r="1929" spans="1:7" x14ac:dyDescent="0.2">
      <c r="A1929" s="3">
        <v>84</v>
      </c>
      <c r="B1929" s="2">
        <v>11639.04</v>
      </c>
      <c r="C1929" s="38">
        <v>45076</v>
      </c>
      <c r="D1929" s="1" t="s">
        <v>98</v>
      </c>
      <c r="E1929" s="1" t="s">
        <v>33</v>
      </c>
      <c r="F1929" s="1" t="s">
        <v>211</v>
      </c>
      <c r="G1929" s="5">
        <v>138.56</v>
      </c>
    </row>
    <row r="1930" spans="1:7" x14ac:dyDescent="0.2">
      <c r="A1930" s="3">
        <v>84</v>
      </c>
      <c r="B1930" s="2">
        <v>10980.48</v>
      </c>
      <c r="C1930" s="38">
        <v>44930</v>
      </c>
      <c r="D1930" s="1" t="s">
        <v>98</v>
      </c>
      <c r="E1930" s="1" t="s">
        <v>33</v>
      </c>
      <c r="F1930" s="1" t="s">
        <v>211</v>
      </c>
      <c r="G1930" s="5">
        <v>130.72</v>
      </c>
    </row>
    <row r="1931" spans="1:7" x14ac:dyDescent="0.2">
      <c r="A1931" s="3">
        <v>84</v>
      </c>
      <c r="B1931" s="2">
        <v>10980.48</v>
      </c>
      <c r="C1931" s="38">
        <v>44930</v>
      </c>
      <c r="D1931" s="1" t="s">
        <v>98</v>
      </c>
      <c r="E1931" s="1" t="s">
        <v>33</v>
      </c>
      <c r="F1931" s="1" t="s">
        <v>211</v>
      </c>
      <c r="G1931" s="5">
        <v>130.72</v>
      </c>
    </row>
    <row r="1932" spans="1:7" x14ac:dyDescent="0.2">
      <c r="A1932" s="3">
        <v>84</v>
      </c>
      <c r="B1932" s="2">
        <v>10980.48</v>
      </c>
      <c r="C1932" s="38">
        <v>44930</v>
      </c>
      <c r="D1932" s="1" t="s">
        <v>98</v>
      </c>
      <c r="E1932" s="1" t="s">
        <v>33</v>
      </c>
      <c r="F1932" s="1" t="s">
        <v>211</v>
      </c>
      <c r="G1932" s="5">
        <v>130.72</v>
      </c>
    </row>
    <row r="1933" spans="1:7" x14ac:dyDescent="0.2">
      <c r="A1933" s="3">
        <v>84</v>
      </c>
      <c r="B1933" s="2">
        <v>10980.48</v>
      </c>
      <c r="C1933" s="38">
        <v>44930</v>
      </c>
      <c r="D1933" s="1" t="s">
        <v>98</v>
      </c>
      <c r="E1933" s="1" t="s">
        <v>33</v>
      </c>
      <c r="F1933" s="1" t="s">
        <v>211</v>
      </c>
      <c r="G1933" s="5">
        <v>130.72</v>
      </c>
    </row>
    <row r="1934" spans="1:7" x14ac:dyDescent="0.2">
      <c r="A1934" s="3">
        <v>120</v>
      </c>
      <c r="B1934" s="2">
        <v>1116</v>
      </c>
      <c r="C1934" s="38">
        <v>44937</v>
      </c>
      <c r="D1934" s="1" t="s">
        <v>131</v>
      </c>
      <c r="E1934" s="1" t="s">
        <v>33</v>
      </c>
      <c r="F1934" s="1" t="s">
        <v>211</v>
      </c>
      <c r="G1934" s="5">
        <v>9.3000000000000007</v>
      </c>
    </row>
    <row r="1935" spans="1:7" x14ac:dyDescent="0.2">
      <c r="A1935" s="3">
        <v>200</v>
      </c>
      <c r="B1935" s="2">
        <v>21248</v>
      </c>
      <c r="C1935" s="38">
        <v>45020</v>
      </c>
      <c r="D1935" s="1" t="s">
        <v>65</v>
      </c>
      <c r="E1935" s="1" t="s">
        <v>33</v>
      </c>
      <c r="F1935" s="1" t="s">
        <v>211</v>
      </c>
      <c r="G1935" s="5">
        <v>106.24</v>
      </c>
    </row>
    <row r="1936" spans="1:7" x14ac:dyDescent="0.2">
      <c r="A1936" s="3">
        <v>360</v>
      </c>
      <c r="B1936" s="2">
        <v>38246.400000000001</v>
      </c>
      <c r="C1936" s="38">
        <v>44720</v>
      </c>
      <c r="D1936" s="1" t="s">
        <v>65</v>
      </c>
      <c r="E1936" s="1" t="s">
        <v>33</v>
      </c>
      <c r="F1936" s="1" t="s">
        <v>211</v>
      </c>
      <c r="G1936" s="5">
        <v>106.24</v>
      </c>
    </row>
    <row r="1937" spans="1:7" x14ac:dyDescent="0.2">
      <c r="A1937" s="3">
        <v>120</v>
      </c>
      <c r="B1937" s="2">
        <v>12748.8</v>
      </c>
      <c r="C1937" s="38">
        <v>44720</v>
      </c>
      <c r="D1937" s="1" t="s">
        <v>65</v>
      </c>
      <c r="E1937" s="1" t="s">
        <v>33</v>
      </c>
      <c r="F1937" s="1" t="s">
        <v>211</v>
      </c>
      <c r="G1937" s="5">
        <v>106.24</v>
      </c>
    </row>
    <row r="1938" spans="1:7" x14ac:dyDescent="0.2">
      <c r="A1938" s="3">
        <v>360</v>
      </c>
      <c r="B1938" s="2">
        <v>38246.400000000001</v>
      </c>
      <c r="C1938" s="38">
        <v>44720</v>
      </c>
      <c r="D1938" s="1" t="s">
        <v>65</v>
      </c>
      <c r="E1938" s="1" t="s">
        <v>33</v>
      </c>
      <c r="F1938" s="1" t="s">
        <v>211</v>
      </c>
      <c r="G1938" s="5">
        <v>106.24</v>
      </c>
    </row>
    <row r="1939" spans="1:7" x14ac:dyDescent="0.2">
      <c r="A1939" s="3">
        <v>330</v>
      </c>
      <c r="B1939" s="2">
        <v>35059.199999999997</v>
      </c>
      <c r="C1939" s="38">
        <v>44720</v>
      </c>
      <c r="D1939" s="1" t="s">
        <v>65</v>
      </c>
      <c r="E1939" s="1" t="s">
        <v>33</v>
      </c>
      <c r="F1939" s="1" t="s">
        <v>211</v>
      </c>
      <c r="G1939" s="5">
        <v>106.24</v>
      </c>
    </row>
    <row r="1940" spans="1:7" x14ac:dyDescent="0.2">
      <c r="A1940" s="3">
        <v>84</v>
      </c>
      <c r="B1940" s="2">
        <v>11639.04</v>
      </c>
      <c r="C1940" s="38">
        <v>45020</v>
      </c>
      <c r="D1940" s="1" t="s">
        <v>98</v>
      </c>
      <c r="E1940" s="1" t="s">
        <v>33</v>
      </c>
      <c r="F1940" s="1" t="s">
        <v>211</v>
      </c>
      <c r="G1940" s="5">
        <v>138.56</v>
      </c>
    </row>
    <row r="1941" spans="1:7" x14ac:dyDescent="0.2">
      <c r="A1941" s="3">
        <v>84</v>
      </c>
      <c r="B1941" s="2">
        <v>11639.04</v>
      </c>
      <c r="C1941" s="38">
        <v>45020</v>
      </c>
      <c r="D1941" s="1" t="s">
        <v>98</v>
      </c>
      <c r="E1941" s="1" t="s">
        <v>33</v>
      </c>
      <c r="F1941" s="1" t="s">
        <v>211</v>
      </c>
      <c r="G1941" s="5">
        <v>138.56</v>
      </c>
    </row>
    <row r="1942" spans="1:7" x14ac:dyDescent="0.2">
      <c r="A1942" s="3">
        <v>168</v>
      </c>
      <c r="B1942" s="2">
        <v>23278.080000000002</v>
      </c>
      <c r="C1942" s="38">
        <v>45020</v>
      </c>
      <c r="D1942" s="1" t="s">
        <v>98</v>
      </c>
      <c r="E1942" s="1" t="s">
        <v>33</v>
      </c>
      <c r="F1942" s="1" t="s">
        <v>211</v>
      </c>
      <c r="G1942" s="5">
        <v>138.56</v>
      </c>
    </row>
    <row r="1943" spans="1:7" x14ac:dyDescent="0.2">
      <c r="A1943" s="3">
        <v>84</v>
      </c>
      <c r="B1943" s="2">
        <v>11639.04</v>
      </c>
      <c r="C1943" s="38">
        <v>45020</v>
      </c>
      <c r="D1943" s="1" t="s">
        <v>98</v>
      </c>
      <c r="E1943" s="1" t="s">
        <v>33</v>
      </c>
      <c r="F1943" s="1" t="s">
        <v>211</v>
      </c>
      <c r="G1943" s="5">
        <v>138.56</v>
      </c>
    </row>
    <row r="1944" spans="1:7" x14ac:dyDescent="0.2">
      <c r="A1944" s="3">
        <v>84</v>
      </c>
      <c r="B1944" s="2">
        <v>11639.04</v>
      </c>
      <c r="C1944" s="38">
        <v>45020</v>
      </c>
      <c r="D1944" s="1" t="s">
        <v>98</v>
      </c>
      <c r="E1944" s="1" t="s">
        <v>33</v>
      </c>
      <c r="F1944" s="1" t="s">
        <v>211</v>
      </c>
      <c r="G1944" s="5">
        <v>138.56</v>
      </c>
    </row>
    <row r="1945" spans="1:7" x14ac:dyDescent="0.2">
      <c r="A1945" s="3">
        <v>400</v>
      </c>
      <c r="B1945" s="2">
        <v>42496</v>
      </c>
      <c r="C1945" s="38">
        <v>45049</v>
      </c>
      <c r="D1945" s="1" t="s">
        <v>65</v>
      </c>
      <c r="E1945" s="1" t="s">
        <v>33</v>
      </c>
      <c r="F1945" s="1" t="s">
        <v>211</v>
      </c>
      <c r="G1945" s="5">
        <v>106.24</v>
      </c>
    </row>
    <row r="1946" spans="1:7" x14ac:dyDescent="0.2">
      <c r="A1946" s="3">
        <v>200</v>
      </c>
      <c r="B1946" s="2">
        <v>21248</v>
      </c>
      <c r="C1946" s="38">
        <v>45049</v>
      </c>
      <c r="D1946" s="1" t="s">
        <v>65</v>
      </c>
      <c r="E1946" s="1" t="s">
        <v>33</v>
      </c>
      <c r="F1946" s="1" t="s">
        <v>211</v>
      </c>
      <c r="G1946" s="5">
        <v>106.24</v>
      </c>
    </row>
    <row r="1947" spans="1:7" x14ac:dyDescent="0.2">
      <c r="A1947" s="3">
        <v>1500</v>
      </c>
      <c r="B1947" s="2">
        <v>1725</v>
      </c>
      <c r="C1947" s="38">
        <v>44687</v>
      </c>
      <c r="D1947" s="1" t="s">
        <v>79</v>
      </c>
      <c r="E1947" s="1" t="s">
        <v>33</v>
      </c>
      <c r="F1947" s="1" t="s">
        <v>211</v>
      </c>
      <c r="G1947" s="5">
        <v>1.1499999999999999</v>
      </c>
    </row>
    <row r="1948" spans="1:7" x14ac:dyDescent="0.2">
      <c r="A1948" s="3">
        <v>400</v>
      </c>
      <c r="B1948" s="2">
        <v>42496</v>
      </c>
      <c r="C1948" s="38">
        <v>45089</v>
      </c>
      <c r="D1948" s="1" t="s">
        <v>65</v>
      </c>
      <c r="E1948" s="1" t="s">
        <v>33</v>
      </c>
      <c r="F1948" s="1" t="s">
        <v>211</v>
      </c>
      <c r="G1948" s="5">
        <v>106.24</v>
      </c>
    </row>
    <row r="1949" spans="1:7" x14ac:dyDescent="0.2">
      <c r="A1949" s="3">
        <v>120</v>
      </c>
      <c r="B1949" s="2">
        <v>10405.200000000001</v>
      </c>
      <c r="C1949" s="38">
        <v>45098</v>
      </c>
      <c r="D1949" s="1" t="s">
        <v>113</v>
      </c>
      <c r="E1949" s="1" t="s">
        <v>33</v>
      </c>
      <c r="F1949" s="1" t="s">
        <v>211</v>
      </c>
      <c r="G1949" s="5">
        <v>86.71</v>
      </c>
    </row>
    <row r="1950" spans="1:7" x14ac:dyDescent="0.2">
      <c r="A1950" s="3">
        <v>200</v>
      </c>
      <c r="B1950" s="2">
        <v>22522</v>
      </c>
      <c r="C1950" s="38">
        <v>45103</v>
      </c>
      <c r="D1950" s="1" t="s">
        <v>65</v>
      </c>
      <c r="E1950" s="1" t="s">
        <v>33</v>
      </c>
      <c r="F1950" s="1" t="s">
        <v>211</v>
      </c>
      <c r="G1950" s="5">
        <v>112.61</v>
      </c>
    </row>
    <row r="1951" spans="1:7" x14ac:dyDescent="0.2">
      <c r="A1951" s="3">
        <v>200</v>
      </c>
      <c r="B1951" s="2">
        <v>21248</v>
      </c>
      <c r="C1951" s="38">
        <v>45103</v>
      </c>
      <c r="D1951" s="1" t="s">
        <v>65</v>
      </c>
      <c r="E1951" s="1" t="s">
        <v>33</v>
      </c>
      <c r="F1951" s="1" t="s">
        <v>211</v>
      </c>
      <c r="G1951" s="5">
        <v>106.24</v>
      </c>
    </row>
    <row r="1952" spans="1:7" x14ac:dyDescent="0.2">
      <c r="A1952" s="3">
        <v>400</v>
      </c>
      <c r="B1952" s="2">
        <v>45044</v>
      </c>
      <c r="C1952" s="38">
        <v>45103</v>
      </c>
      <c r="D1952" s="1" t="s">
        <v>65</v>
      </c>
      <c r="E1952" s="1" t="s">
        <v>33</v>
      </c>
      <c r="F1952" s="1" t="s">
        <v>211</v>
      </c>
      <c r="G1952" s="5">
        <v>112.61</v>
      </c>
    </row>
    <row r="1953" spans="1:7" x14ac:dyDescent="0.2">
      <c r="A1953" s="3">
        <v>400</v>
      </c>
      <c r="B1953" s="2">
        <v>45044</v>
      </c>
      <c r="C1953" s="38">
        <v>45103</v>
      </c>
      <c r="D1953" s="1" t="s">
        <v>65</v>
      </c>
      <c r="E1953" s="1" t="s">
        <v>33</v>
      </c>
      <c r="F1953" s="1" t="s">
        <v>211</v>
      </c>
      <c r="G1953" s="5">
        <v>112.61</v>
      </c>
    </row>
    <row r="1954" spans="1:7" x14ac:dyDescent="0.2">
      <c r="A1954" s="3">
        <v>400</v>
      </c>
      <c r="B1954" s="2">
        <v>42496</v>
      </c>
      <c r="C1954" s="38">
        <v>45103</v>
      </c>
      <c r="D1954" s="1" t="s">
        <v>65</v>
      </c>
      <c r="E1954" s="1" t="s">
        <v>33</v>
      </c>
      <c r="F1954" s="1" t="s">
        <v>211</v>
      </c>
      <c r="G1954" s="5">
        <v>106.24</v>
      </c>
    </row>
    <row r="1955" spans="1:7" x14ac:dyDescent="0.2">
      <c r="A1955" s="3">
        <v>70</v>
      </c>
      <c r="B1955" s="2">
        <v>7882.7</v>
      </c>
      <c r="C1955" s="38">
        <v>45103</v>
      </c>
      <c r="D1955" s="1" t="s">
        <v>65</v>
      </c>
      <c r="E1955" s="1" t="s">
        <v>33</v>
      </c>
      <c r="F1955" s="1" t="s">
        <v>211</v>
      </c>
      <c r="G1955" s="5">
        <v>112.61</v>
      </c>
    </row>
    <row r="1956" spans="1:7" x14ac:dyDescent="0.2">
      <c r="A1956" s="3">
        <v>1500</v>
      </c>
      <c r="B1956" s="2">
        <v>1830</v>
      </c>
      <c r="C1956" s="38">
        <v>44956</v>
      </c>
      <c r="D1956" s="1" t="s">
        <v>79</v>
      </c>
      <c r="E1956" s="1" t="s">
        <v>33</v>
      </c>
      <c r="F1956" s="1" t="s">
        <v>211</v>
      </c>
      <c r="G1956" s="5">
        <v>1.22</v>
      </c>
    </row>
    <row r="1957" spans="1:7" x14ac:dyDescent="0.2">
      <c r="A1957" s="3">
        <v>360</v>
      </c>
      <c r="B1957" s="2">
        <v>3348</v>
      </c>
      <c r="C1957" s="38">
        <v>45036</v>
      </c>
      <c r="D1957" s="1" t="s">
        <v>131</v>
      </c>
      <c r="E1957" s="1" t="s">
        <v>33</v>
      </c>
      <c r="F1957" s="1" t="s">
        <v>211</v>
      </c>
      <c r="G1957" s="5">
        <v>9.3000000000000007</v>
      </c>
    </row>
    <row r="1958" spans="1:7" x14ac:dyDescent="0.2">
      <c r="A1958" s="3">
        <v>400</v>
      </c>
      <c r="B1958" s="2">
        <v>42496</v>
      </c>
      <c r="C1958" s="38">
        <v>45036</v>
      </c>
      <c r="D1958" s="1" t="s">
        <v>65</v>
      </c>
      <c r="E1958" s="1" t="s">
        <v>33</v>
      </c>
      <c r="F1958" s="1" t="s">
        <v>211</v>
      </c>
      <c r="G1958" s="5">
        <v>106.24</v>
      </c>
    </row>
    <row r="1959" spans="1:7" x14ac:dyDescent="0.2">
      <c r="A1959" s="3">
        <v>360</v>
      </c>
      <c r="B1959" s="2">
        <v>3348</v>
      </c>
      <c r="C1959" s="38">
        <v>44967</v>
      </c>
      <c r="D1959" s="1" t="s">
        <v>131</v>
      </c>
      <c r="E1959" s="1" t="s">
        <v>33</v>
      </c>
      <c r="F1959" s="1" t="s">
        <v>211</v>
      </c>
      <c r="G1959" s="5">
        <v>9.3000000000000007</v>
      </c>
    </row>
    <row r="1960" spans="1:7" x14ac:dyDescent="0.2">
      <c r="A1960" s="3">
        <v>3000</v>
      </c>
      <c r="B1960" s="2">
        <v>3450</v>
      </c>
      <c r="C1960" s="38">
        <v>44614</v>
      </c>
      <c r="D1960" s="1" t="s">
        <v>79</v>
      </c>
      <c r="E1960" s="1" t="s">
        <v>33</v>
      </c>
      <c r="F1960" s="1" t="s">
        <v>211</v>
      </c>
      <c r="G1960" s="5">
        <v>1.1499999999999999</v>
      </c>
    </row>
    <row r="1961" spans="1:7" x14ac:dyDescent="0.2">
      <c r="A1961" s="3">
        <v>84</v>
      </c>
      <c r="B1961" s="2">
        <v>11639.04</v>
      </c>
      <c r="C1961" s="38">
        <v>44981</v>
      </c>
      <c r="D1961" s="1" t="s">
        <v>98</v>
      </c>
      <c r="E1961" s="1" t="s">
        <v>33</v>
      </c>
      <c r="F1961" s="1" t="s">
        <v>211</v>
      </c>
      <c r="G1961" s="5">
        <v>138.56</v>
      </c>
    </row>
    <row r="1962" spans="1:7" x14ac:dyDescent="0.2">
      <c r="A1962" s="3">
        <v>84</v>
      </c>
      <c r="B1962" s="2">
        <v>10980.48</v>
      </c>
      <c r="C1962" s="38">
        <v>44810</v>
      </c>
      <c r="D1962" s="1" t="s">
        <v>98</v>
      </c>
      <c r="E1962" s="1" t="s">
        <v>33</v>
      </c>
      <c r="F1962" s="1" t="s">
        <v>211</v>
      </c>
      <c r="G1962" s="5">
        <v>130.72</v>
      </c>
    </row>
    <row r="1963" spans="1:7" x14ac:dyDescent="0.2">
      <c r="A1963" s="3">
        <v>120</v>
      </c>
      <c r="B1963" s="2">
        <v>11030.4</v>
      </c>
      <c r="C1963" s="38">
        <v>45175</v>
      </c>
      <c r="D1963" s="1" t="s">
        <v>113</v>
      </c>
      <c r="E1963" s="1" t="s">
        <v>33</v>
      </c>
      <c r="F1963" s="1" t="s">
        <v>211</v>
      </c>
      <c r="G1963" s="5">
        <v>91.92</v>
      </c>
    </row>
    <row r="1964" spans="1:7" x14ac:dyDescent="0.2">
      <c r="A1964" s="3">
        <v>1500</v>
      </c>
      <c r="B1964" s="2">
        <v>971.85</v>
      </c>
      <c r="C1964" s="38">
        <v>44811</v>
      </c>
      <c r="D1964" s="1" t="s">
        <v>81</v>
      </c>
      <c r="E1964" s="1" t="s">
        <v>33</v>
      </c>
      <c r="F1964" s="1" t="s">
        <v>211</v>
      </c>
      <c r="G1964" s="5">
        <v>0.64790000000000003</v>
      </c>
    </row>
    <row r="1965" spans="1:7" x14ac:dyDescent="0.2">
      <c r="A1965" s="3">
        <v>130</v>
      </c>
      <c r="B1965" s="2">
        <v>14639.3</v>
      </c>
      <c r="C1965" s="38">
        <v>45133</v>
      </c>
      <c r="D1965" s="1" t="s">
        <v>65</v>
      </c>
      <c r="E1965" s="1" t="s">
        <v>33</v>
      </c>
      <c r="F1965" s="1" t="s">
        <v>211</v>
      </c>
      <c r="G1965" s="5">
        <v>112.61</v>
      </c>
    </row>
    <row r="1966" spans="1:7" x14ac:dyDescent="0.2">
      <c r="A1966" s="3">
        <v>400</v>
      </c>
      <c r="B1966" s="2">
        <v>45044</v>
      </c>
      <c r="C1966" s="38">
        <v>45133</v>
      </c>
      <c r="D1966" s="1" t="s">
        <v>65</v>
      </c>
      <c r="E1966" s="1" t="s">
        <v>33</v>
      </c>
      <c r="F1966" s="1" t="s">
        <v>211</v>
      </c>
      <c r="G1966" s="5">
        <v>112.61</v>
      </c>
    </row>
    <row r="1967" spans="1:7" x14ac:dyDescent="0.2">
      <c r="A1967" s="3">
        <v>200</v>
      </c>
      <c r="B1967" s="2">
        <v>22522</v>
      </c>
      <c r="C1967" s="38">
        <v>45133</v>
      </c>
      <c r="D1967" s="1" t="s">
        <v>65</v>
      </c>
      <c r="E1967" s="1" t="s">
        <v>33</v>
      </c>
      <c r="F1967" s="1" t="s">
        <v>211</v>
      </c>
      <c r="G1967" s="5">
        <v>112.61</v>
      </c>
    </row>
    <row r="1968" spans="1:7" x14ac:dyDescent="0.2">
      <c r="A1968" s="3">
        <v>200</v>
      </c>
      <c r="B1968" s="2">
        <v>22522</v>
      </c>
      <c r="C1968" s="38">
        <v>45133</v>
      </c>
      <c r="D1968" s="1" t="s">
        <v>65</v>
      </c>
      <c r="E1968" s="1" t="s">
        <v>33</v>
      </c>
      <c r="F1968" s="1" t="s">
        <v>211</v>
      </c>
      <c r="G1968" s="5">
        <v>112.61</v>
      </c>
    </row>
    <row r="1969" spans="1:7" x14ac:dyDescent="0.2">
      <c r="A1969" s="3">
        <v>200</v>
      </c>
      <c r="B1969" s="2">
        <v>22522</v>
      </c>
      <c r="C1969" s="38">
        <v>45133</v>
      </c>
      <c r="D1969" s="1" t="s">
        <v>65</v>
      </c>
      <c r="E1969" s="1" t="s">
        <v>33</v>
      </c>
      <c r="F1969" s="1" t="s">
        <v>211</v>
      </c>
      <c r="G1969" s="5">
        <v>112.61</v>
      </c>
    </row>
    <row r="1970" spans="1:7" x14ac:dyDescent="0.2">
      <c r="A1970" s="3">
        <v>400</v>
      </c>
      <c r="B1970" s="2">
        <v>45044</v>
      </c>
      <c r="C1970" s="38">
        <v>45133</v>
      </c>
      <c r="D1970" s="1" t="s">
        <v>65</v>
      </c>
      <c r="E1970" s="1" t="s">
        <v>33</v>
      </c>
      <c r="F1970" s="1" t="s">
        <v>211</v>
      </c>
      <c r="G1970" s="5">
        <v>112.61</v>
      </c>
    </row>
    <row r="1971" spans="1:7" x14ac:dyDescent="0.2">
      <c r="A1971" s="3">
        <v>270</v>
      </c>
      <c r="B1971" s="2">
        <v>30404.7</v>
      </c>
      <c r="C1971" s="38">
        <v>45133</v>
      </c>
      <c r="D1971" s="1" t="s">
        <v>65</v>
      </c>
      <c r="E1971" s="1" t="s">
        <v>33</v>
      </c>
      <c r="F1971" s="1" t="s">
        <v>211</v>
      </c>
      <c r="G1971" s="5">
        <v>112.61</v>
      </c>
    </row>
    <row r="1972" spans="1:7" x14ac:dyDescent="0.2">
      <c r="A1972" s="3">
        <v>84</v>
      </c>
      <c r="B1972" s="2">
        <v>11639.04</v>
      </c>
      <c r="C1972" s="38">
        <v>45134</v>
      </c>
      <c r="D1972" s="1" t="s">
        <v>98</v>
      </c>
      <c r="E1972" s="1" t="s">
        <v>33</v>
      </c>
      <c r="F1972" s="1" t="s">
        <v>211</v>
      </c>
      <c r="G1972" s="5">
        <v>138.56</v>
      </c>
    </row>
    <row r="1973" spans="1:7" x14ac:dyDescent="0.2">
      <c r="A1973" s="3">
        <v>3780</v>
      </c>
      <c r="B1973" s="2">
        <v>52466.400000000001</v>
      </c>
      <c r="C1973" s="38">
        <v>44770</v>
      </c>
      <c r="D1973" s="1" t="s">
        <v>59</v>
      </c>
      <c r="E1973" s="1" t="s">
        <v>33</v>
      </c>
      <c r="F1973" s="1" t="s">
        <v>211</v>
      </c>
      <c r="G1973" s="5">
        <v>13.88</v>
      </c>
    </row>
    <row r="1974" spans="1:7" x14ac:dyDescent="0.2">
      <c r="A1974" s="3">
        <v>84</v>
      </c>
      <c r="B1974" s="2">
        <v>10980.48</v>
      </c>
      <c r="C1974" s="38">
        <v>44823</v>
      </c>
      <c r="D1974" s="1" t="s">
        <v>98</v>
      </c>
      <c r="E1974" s="1" t="s">
        <v>33</v>
      </c>
      <c r="F1974" s="1" t="s">
        <v>211</v>
      </c>
      <c r="G1974" s="5">
        <v>130.72</v>
      </c>
    </row>
    <row r="1975" spans="1:7" x14ac:dyDescent="0.2">
      <c r="A1975" s="3">
        <v>180</v>
      </c>
      <c r="B1975" s="2">
        <v>1512</v>
      </c>
      <c r="C1975" s="38">
        <v>44826</v>
      </c>
      <c r="D1975" s="1" t="s">
        <v>131</v>
      </c>
      <c r="E1975" s="1" t="s">
        <v>33</v>
      </c>
      <c r="F1975" s="1" t="s">
        <v>211</v>
      </c>
      <c r="G1975" s="5">
        <v>8.4</v>
      </c>
    </row>
    <row r="1976" spans="1:7" x14ac:dyDescent="0.2">
      <c r="A1976" s="3">
        <v>60</v>
      </c>
      <c r="B1976" s="2">
        <v>504</v>
      </c>
      <c r="C1976" s="38">
        <v>44826</v>
      </c>
      <c r="D1976" s="1" t="s">
        <v>131</v>
      </c>
      <c r="E1976" s="1" t="s">
        <v>33</v>
      </c>
      <c r="F1976" s="1" t="s">
        <v>211</v>
      </c>
      <c r="G1976" s="5">
        <v>8.4</v>
      </c>
    </row>
    <row r="1977" spans="1:7" x14ac:dyDescent="0.2">
      <c r="A1977" s="3">
        <v>1500</v>
      </c>
      <c r="B1977" s="2">
        <v>1725</v>
      </c>
      <c r="C1977" s="38">
        <v>44776</v>
      </c>
      <c r="D1977" s="1" t="s">
        <v>79</v>
      </c>
      <c r="E1977" s="1" t="s">
        <v>33</v>
      </c>
      <c r="F1977" s="1" t="s">
        <v>211</v>
      </c>
      <c r="G1977" s="5">
        <v>1.1499999999999999</v>
      </c>
    </row>
    <row r="1978" spans="1:7" x14ac:dyDescent="0.2">
      <c r="A1978" s="3">
        <v>120</v>
      </c>
      <c r="B1978" s="2">
        <v>1008</v>
      </c>
      <c r="C1978" s="38">
        <v>44826</v>
      </c>
      <c r="D1978" s="1" t="s">
        <v>131</v>
      </c>
      <c r="E1978" s="1" t="s">
        <v>33</v>
      </c>
      <c r="F1978" s="1" t="s">
        <v>211</v>
      </c>
      <c r="G1978" s="5">
        <v>8.4</v>
      </c>
    </row>
    <row r="1979" spans="1:7" x14ac:dyDescent="0.2">
      <c r="A1979" s="3">
        <v>1500</v>
      </c>
      <c r="B1979" s="2">
        <v>1721.16</v>
      </c>
      <c r="C1979" s="38">
        <v>44868</v>
      </c>
      <c r="D1979" s="1" t="s">
        <v>79</v>
      </c>
      <c r="E1979" s="1" t="s">
        <v>33</v>
      </c>
      <c r="F1979" s="1" t="s">
        <v>211</v>
      </c>
      <c r="G1979" s="5">
        <v>1.1474</v>
      </c>
    </row>
    <row r="1980" spans="1:7" x14ac:dyDescent="0.2">
      <c r="A1980" s="3">
        <v>360</v>
      </c>
      <c r="B1980" s="2">
        <v>3024</v>
      </c>
      <c r="C1980" s="38">
        <v>44872</v>
      </c>
      <c r="D1980" s="1" t="s">
        <v>131</v>
      </c>
      <c r="E1980" s="1" t="s">
        <v>33</v>
      </c>
      <c r="F1980" s="1" t="s">
        <v>211</v>
      </c>
      <c r="G1980" s="5">
        <v>8.4</v>
      </c>
    </row>
    <row r="1981" spans="1:7" x14ac:dyDescent="0.2">
      <c r="A1981" s="3">
        <v>108</v>
      </c>
      <c r="B1981" s="2">
        <v>9364.68</v>
      </c>
      <c r="C1981" s="38">
        <v>44834</v>
      </c>
      <c r="D1981" s="1" t="s">
        <v>113</v>
      </c>
      <c r="E1981" s="1" t="s">
        <v>33</v>
      </c>
      <c r="F1981" s="1" t="s">
        <v>211</v>
      </c>
      <c r="G1981" s="5">
        <v>86.71</v>
      </c>
    </row>
    <row r="1982" spans="1:7" x14ac:dyDescent="0.2">
      <c r="A1982" s="3">
        <v>120</v>
      </c>
      <c r="B1982" s="2">
        <v>10405.200000000001</v>
      </c>
      <c r="C1982" s="38">
        <v>44834</v>
      </c>
      <c r="D1982" s="1" t="s">
        <v>113</v>
      </c>
      <c r="E1982" s="1" t="s">
        <v>33</v>
      </c>
      <c r="F1982" s="1" t="s">
        <v>211</v>
      </c>
      <c r="G1982" s="5">
        <v>86.71</v>
      </c>
    </row>
    <row r="1983" spans="1:7" x14ac:dyDescent="0.2">
      <c r="A1983" s="3">
        <v>120</v>
      </c>
      <c r="B1983" s="2">
        <v>10405.200000000001</v>
      </c>
      <c r="C1983" s="38">
        <v>45154</v>
      </c>
      <c r="D1983" s="1" t="s">
        <v>113</v>
      </c>
      <c r="E1983" s="1" t="s">
        <v>33</v>
      </c>
      <c r="F1983" s="1" t="s">
        <v>211</v>
      </c>
      <c r="G1983" s="5">
        <v>86.71</v>
      </c>
    </row>
    <row r="1984" spans="1:7" x14ac:dyDescent="0.2">
      <c r="A1984" s="3">
        <v>400</v>
      </c>
      <c r="B1984" s="2">
        <v>45044</v>
      </c>
      <c r="C1984" s="38">
        <v>45154</v>
      </c>
      <c r="D1984" s="1" t="s">
        <v>65</v>
      </c>
      <c r="E1984" s="1" t="s">
        <v>33</v>
      </c>
      <c r="F1984" s="1" t="s">
        <v>211</v>
      </c>
      <c r="G1984" s="5">
        <v>112.61</v>
      </c>
    </row>
    <row r="1985" spans="1:7" x14ac:dyDescent="0.2">
      <c r="A1985" s="3">
        <v>1500</v>
      </c>
      <c r="B1985" s="2">
        <v>1725</v>
      </c>
      <c r="C1985" s="38">
        <v>44536</v>
      </c>
      <c r="D1985" s="1" t="s">
        <v>79</v>
      </c>
      <c r="E1985" s="1" t="s">
        <v>33</v>
      </c>
      <c r="F1985" s="1" t="s">
        <v>211</v>
      </c>
      <c r="G1985" s="5">
        <v>1.1499999999999999</v>
      </c>
    </row>
    <row r="1986" spans="1:7" x14ac:dyDescent="0.2">
      <c r="A1986" s="3">
        <v>1500</v>
      </c>
      <c r="B1986" s="2">
        <v>1725</v>
      </c>
      <c r="C1986" s="38">
        <v>44748</v>
      </c>
      <c r="D1986" s="1" t="s">
        <v>79</v>
      </c>
      <c r="E1986" s="1" t="s">
        <v>33</v>
      </c>
      <c r="F1986" s="1" t="s">
        <v>211</v>
      </c>
      <c r="G1986" s="5">
        <v>1.1499999999999999</v>
      </c>
    </row>
    <row r="1987" spans="1:7" x14ac:dyDescent="0.2">
      <c r="A1987" s="3">
        <v>84</v>
      </c>
      <c r="B1987" s="2">
        <v>11639.04</v>
      </c>
      <c r="C1987" s="38">
        <v>45114</v>
      </c>
      <c r="D1987" s="1" t="s">
        <v>98</v>
      </c>
      <c r="E1987" s="1" t="s">
        <v>33</v>
      </c>
      <c r="F1987" s="1" t="s">
        <v>211</v>
      </c>
      <c r="G1987" s="5">
        <v>138.56</v>
      </c>
    </row>
    <row r="1988" spans="1:7" x14ac:dyDescent="0.2">
      <c r="A1988" s="3">
        <v>3000</v>
      </c>
      <c r="B1988" s="2">
        <v>3660</v>
      </c>
      <c r="C1988" s="38">
        <v>45114</v>
      </c>
      <c r="D1988" s="1" t="s">
        <v>79</v>
      </c>
      <c r="E1988" s="1" t="s">
        <v>33</v>
      </c>
      <c r="F1988" s="1" t="s">
        <v>211</v>
      </c>
      <c r="G1988" s="5">
        <v>1.22</v>
      </c>
    </row>
    <row r="1989" spans="1:7" x14ac:dyDescent="0.2">
      <c r="A1989" s="3">
        <v>1500</v>
      </c>
      <c r="B1989" s="2">
        <v>1830</v>
      </c>
      <c r="C1989" s="38">
        <v>45114</v>
      </c>
      <c r="D1989" s="1" t="s">
        <v>79</v>
      </c>
      <c r="E1989" s="1" t="s">
        <v>33</v>
      </c>
      <c r="F1989" s="1" t="s">
        <v>211</v>
      </c>
      <c r="G1989" s="5">
        <v>1.22</v>
      </c>
    </row>
    <row r="1990" spans="1:7" x14ac:dyDescent="0.2">
      <c r="A1990" s="3">
        <v>1500</v>
      </c>
      <c r="B1990" s="2">
        <v>1830</v>
      </c>
      <c r="C1990" s="38">
        <v>45114</v>
      </c>
      <c r="D1990" s="1" t="s">
        <v>79</v>
      </c>
      <c r="E1990" s="1" t="s">
        <v>33</v>
      </c>
      <c r="F1990" s="1" t="s">
        <v>211</v>
      </c>
      <c r="G1990" s="5">
        <v>1.22</v>
      </c>
    </row>
    <row r="1991" spans="1:7" x14ac:dyDescent="0.2">
      <c r="A1991" s="3">
        <v>1500</v>
      </c>
      <c r="B1991" s="2">
        <v>1830</v>
      </c>
      <c r="C1991" s="38">
        <v>45114</v>
      </c>
      <c r="D1991" s="1" t="s">
        <v>79</v>
      </c>
      <c r="E1991" s="1" t="s">
        <v>33</v>
      </c>
      <c r="F1991" s="1" t="s">
        <v>211</v>
      </c>
      <c r="G1991" s="5">
        <v>1.22</v>
      </c>
    </row>
    <row r="1992" spans="1:7" x14ac:dyDescent="0.2">
      <c r="A1992" s="3">
        <v>120</v>
      </c>
      <c r="B1992" s="2">
        <v>10405.200000000001</v>
      </c>
      <c r="C1992" s="38">
        <v>45155</v>
      </c>
      <c r="D1992" s="1" t="s">
        <v>113</v>
      </c>
      <c r="E1992" s="1" t="s">
        <v>33</v>
      </c>
      <c r="F1992" s="1" t="s">
        <v>211</v>
      </c>
      <c r="G1992" s="5">
        <v>86.71</v>
      </c>
    </row>
    <row r="1993" spans="1:7" x14ac:dyDescent="0.2">
      <c r="A1993" s="3">
        <v>200</v>
      </c>
      <c r="B1993" s="2">
        <v>22522</v>
      </c>
      <c r="C1993" s="38">
        <v>45155</v>
      </c>
      <c r="D1993" s="1" t="s">
        <v>65</v>
      </c>
      <c r="E1993" s="1" t="s">
        <v>33</v>
      </c>
      <c r="F1993" s="1" t="s">
        <v>211</v>
      </c>
      <c r="G1993" s="5">
        <v>112.61</v>
      </c>
    </row>
    <row r="1994" spans="1:7" x14ac:dyDescent="0.2">
      <c r="A1994" s="3">
        <v>130</v>
      </c>
      <c r="B1994" s="2">
        <v>14639.3</v>
      </c>
      <c r="C1994" s="38">
        <v>45155</v>
      </c>
      <c r="D1994" s="1" t="s">
        <v>65</v>
      </c>
      <c r="E1994" s="1" t="s">
        <v>33</v>
      </c>
      <c r="F1994" s="1" t="s">
        <v>211</v>
      </c>
      <c r="G1994" s="5">
        <v>112.61</v>
      </c>
    </row>
    <row r="1995" spans="1:7" x14ac:dyDescent="0.2">
      <c r="A1995" s="3">
        <v>1500</v>
      </c>
      <c r="B1995" s="2">
        <v>1830</v>
      </c>
      <c r="C1995" s="38">
        <v>45155</v>
      </c>
      <c r="D1995" s="1" t="s">
        <v>79</v>
      </c>
      <c r="E1995" s="1" t="s">
        <v>33</v>
      </c>
      <c r="F1995" s="1" t="s">
        <v>211</v>
      </c>
      <c r="G1995" s="5">
        <v>1.22</v>
      </c>
    </row>
    <row r="1996" spans="1:7" x14ac:dyDescent="0.2">
      <c r="A1996" s="3">
        <v>84</v>
      </c>
      <c r="B1996" s="2">
        <v>10980.48</v>
      </c>
      <c r="C1996" s="38">
        <v>44847</v>
      </c>
      <c r="D1996" s="1" t="s">
        <v>98</v>
      </c>
      <c r="E1996" s="1" t="s">
        <v>33</v>
      </c>
      <c r="F1996" s="1" t="s">
        <v>211</v>
      </c>
      <c r="G1996" s="5">
        <v>130.72</v>
      </c>
    </row>
    <row r="1997" spans="1:7" x14ac:dyDescent="0.2">
      <c r="A1997" s="3">
        <v>180</v>
      </c>
      <c r="B1997" s="2">
        <v>1512</v>
      </c>
      <c r="C1997" s="38">
        <v>44910</v>
      </c>
      <c r="D1997" s="1" t="s">
        <v>131</v>
      </c>
      <c r="E1997" s="1" t="s">
        <v>33</v>
      </c>
      <c r="F1997" s="1" t="s">
        <v>211</v>
      </c>
      <c r="G1997" s="5">
        <v>8.4</v>
      </c>
    </row>
    <row r="1998" spans="1:7" x14ac:dyDescent="0.2">
      <c r="A1998" s="3">
        <v>330</v>
      </c>
      <c r="B1998" s="2">
        <v>34772.1</v>
      </c>
      <c r="C1998" s="38">
        <v>44754</v>
      </c>
      <c r="D1998" s="1" t="s">
        <v>168</v>
      </c>
      <c r="E1998" s="1" t="s">
        <v>33</v>
      </c>
      <c r="F1998" s="1" t="s">
        <v>211</v>
      </c>
      <c r="G1998" s="5">
        <v>105.37</v>
      </c>
    </row>
    <row r="1999" spans="1:7" x14ac:dyDescent="0.2">
      <c r="A1999" s="3">
        <v>120</v>
      </c>
      <c r="B1999" s="2">
        <v>1008</v>
      </c>
      <c r="C1999" s="38">
        <v>44795</v>
      </c>
      <c r="D1999" s="1" t="s">
        <v>131</v>
      </c>
      <c r="E1999" s="1" t="s">
        <v>33</v>
      </c>
      <c r="F1999" s="1" t="s">
        <v>211</v>
      </c>
      <c r="G1999" s="5">
        <v>8.4</v>
      </c>
    </row>
    <row r="2000" spans="1:7" x14ac:dyDescent="0.2">
      <c r="A2000" s="3">
        <v>240</v>
      </c>
      <c r="B2000" s="2">
        <v>2016</v>
      </c>
      <c r="C2000" s="38">
        <v>44795</v>
      </c>
      <c r="D2000" s="1" t="s">
        <v>131</v>
      </c>
      <c r="E2000" s="1" t="s">
        <v>33</v>
      </c>
      <c r="F2000" s="1" t="s">
        <v>211</v>
      </c>
      <c r="G2000" s="5">
        <v>8.4</v>
      </c>
    </row>
    <row r="2001" spans="1:7" x14ac:dyDescent="0.2">
      <c r="A2001" s="3">
        <v>72</v>
      </c>
      <c r="B2001" s="2">
        <v>6243.12</v>
      </c>
      <c r="C2001" s="38">
        <v>44795</v>
      </c>
      <c r="D2001" s="1" t="s">
        <v>113</v>
      </c>
      <c r="E2001" s="1" t="s">
        <v>33</v>
      </c>
      <c r="F2001" s="1" t="s">
        <v>211</v>
      </c>
      <c r="G2001" s="5">
        <v>86.71</v>
      </c>
    </row>
    <row r="2002" spans="1:7" x14ac:dyDescent="0.2">
      <c r="A2002" s="3">
        <v>108</v>
      </c>
      <c r="B2002" s="2">
        <v>9364.68</v>
      </c>
      <c r="C2002" s="38">
        <v>44795</v>
      </c>
      <c r="D2002" s="1" t="s">
        <v>113</v>
      </c>
      <c r="E2002" s="1" t="s">
        <v>33</v>
      </c>
      <c r="F2002" s="1" t="s">
        <v>211</v>
      </c>
      <c r="G2002" s="5">
        <v>86.71</v>
      </c>
    </row>
    <row r="2003" spans="1:7" x14ac:dyDescent="0.2">
      <c r="A2003" s="3">
        <v>72</v>
      </c>
      <c r="B2003" s="2">
        <v>6243.12</v>
      </c>
      <c r="C2003" s="38">
        <v>44795</v>
      </c>
      <c r="D2003" s="1" t="s">
        <v>113</v>
      </c>
      <c r="E2003" s="1" t="s">
        <v>33</v>
      </c>
      <c r="F2003" s="1" t="s">
        <v>211</v>
      </c>
      <c r="G2003" s="5">
        <v>86.71</v>
      </c>
    </row>
    <row r="2004" spans="1:7" x14ac:dyDescent="0.2">
      <c r="A2004" s="3">
        <v>120</v>
      </c>
      <c r="B2004" s="2">
        <v>11030.4</v>
      </c>
      <c r="C2004" s="38">
        <v>45161</v>
      </c>
      <c r="D2004" s="1" t="s">
        <v>113</v>
      </c>
      <c r="E2004" s="1" t="s">
        <v>33</v>
      </c>
      <c r="F2004" s="1" t="s">
        <v>211</v>
      </c>
      <c r="G2004" s="5">
        <v>91.92</v>
      </c>
    </row>
    <row r="2005" spans="1:7" x14ac:dyDescent="0.2">
      <c r="A2005" s="3">
        <v>108</v>
      </c>
      <c r="B2005" s="2">
        <v>9927.36</v>
      </c>
      <c r="C2005" s="38">
        <v>45161</v>
      </c>
      <c r="D2005" s="1" t="s">
        <v>113</v>
      </c>
      <c r="E2005" s="1" t="s">
        <v>33</v>
      </c>
      <c r="F2005" s="1" t="s">
        <v>211</v>
      </c>
      <c r="G2005" s="5">
        <v>91.92</v>
      </c>
    </row>
    <row r="2006" spans="1:7" x14ac:dyDescent="0.2">
      <c r="A2006" s="3">
        <v>12</v>
      </c>
      <c r="B2006" s="2">
        <v>1040.52</v>
      </c>
      <c r="C2006" s="38">
        <v>45161</v>
      </c>
      <c r="D2006" s="1" t="s">
        <v>113</v>
      </c>
      <c r="E2006" s="1" t="s">
        <v>33</v>
      </c>
      <c r="F2006" s="1" t="s">
        <v>211</v>
      </c>
      <c r="G2006" s="5">
        <v>86.71</v>
      </c>
    </row>
    <row r="2007" spans="1:7" x14ac:dyDescent="0.2">
      <c r="A2007" s="3">
        <v>1500</v>
      </c>
      <c r="B2007" s="2">
        <v>1725</v>
      </c>
      <c r="C2007" s="38">
        <v>44552</v>
      </c>
      <c r="D2007" s="1" t="s">
        <v>79</v>
      </c>
      <c r="E2007" s="1" t="s">
        <v>33</v>
      </c>
      <c r="F2007" s="1" t="s">
        <v>211</v>
      </c>
      <c r="G2007" s="5">
        <v>1.1499999999999999</v>
      </c>
    </row>
    <row r="2008" spans="1:7" x14ac:dyDescent="0.2">
      <c r="A2008" s="3">
        <v>3000</v>
      </c>
      <c r="B2008" s="2">
        <v>3450</v>
      </c>
      <c r="C2008" s="38">
        <v>44924</v>
      </c>
      <c r="D2008" s="1" t="s">
        <v>79</v>
      </c>
      <c r="E2008" s="1" t="s">
        <v>33</v>
      </c>
      <c r="F2008" s="1" t="s">
        <v>211</v>
      </c>
      <c r="G2008" s="5">
        <v>1.1499999999999999</v>
      </c>
    </row>
    <row r="2009" spans="1:7" x14ac:dyDescent="0.2">
      <c r="A2009" s="3">
        <v>1500</v>
      </c>
      <c r="B2009" s="2">
        <v>1725</v>
      </c>
      <c r="C2009" s="38">
        <v>44924</v>
      </c>
      <c r="D2009" s="1" t="s">
        <v>79</v>
      </c>
      <c r="E2009" s="1" t="s">
        <v>33</v>
      </c>
      <c r="F2009" s="1" t="s">
        <v>211</v>
      </c>
      <c r="G2009" s="5">
        <v>1.1499999999999999</v>
      </c>
    </row>
    <row r="2010" spans="1:7" x14ac:dyDescent="0.2">
      <c r="A2010" s="3">
        <v>120</v>
      </c>
      <c r="B2010" s="2">
        <v>11030.4</v>
      </c>
      <c r="C2010" s="38">
        <v>45166</v>
      </c>
      <c r="D2010" s="1" t="s">
        <v>113</v>
      </c>
      <c r="E2010" s="1" t="s">
        <v>33</v>
      </c>
      <c r="F2010" s="1" t="s">
        <v>211</v>
      </c>
      <c r="G2010" s="5">
        <v>91.92</v>
      </c>
    </row>
    <row r="2011" spans="1:7" x14ac:dyDescent="0.2">
      <c r="A2011" s="3">
        <v>120</v>
      </c>
      <c r="B2011" s="2">
        <v>1008</v>
      </c>
      <c r="C2011" s="38">
        <v>44855</v>
      </c>
      <c r="D2011" s="1" t="s">
        <v>131</v>
      </c>
      <c r="E2011" s="1" t="s">
        <v>33</v>
      </c>
      <c r="F2011" s="1" t="s">
        <v>211</v>
      </c>
      <c r="G2011" s="5">
        <v>8.4</v>
      </c>
    </row>
    <row r="2012" spans="1:7" x14ac:dyDescent="0.2">
      <c r="A2012" s="3">
        <v>1329</v>
      </c>
      <c r="B2012" s="2" t="s">
        <v>13</v>
      </c>
      <c r="C2012" s="38">
        <v>45149</v>
      </c>
      <c r="D2012" s="1" t="s">
        <v>135</v>
      </c>
      <c r="E2012" s="1" t="s">
        <v>33</v>
      </c>
      <c r="F2012" s="1" t="s">
        <v>209</v>
      </c>
      <c r="G2012" s="5" t="s">
        <v>13</v>
      </c>
    </row>
    <row r="2013" spans="1:7" x14ac:dyDescent="0.2">
      <c r="A2013" s="3">
        <v>351</v>
      </c>
      <c r="B2013" s="2" t="s">
        <v>13</v>
      </c>
      <c r="C2013" s="38">
        <v>45149</v>
      </c>
      <c r="D2013" s="1" t="s">
        <v>135</v>
      </c>
      <c r="E2013" s="1" t="s">
        <v>33</v>
      </c>
      <c r="F2013" s="1" t="s">
        <v>209</v>
      </c>
      <c r="G2013" s="5" t="s">
        <v>13</v>
      </c>
    </row>
    <row r="2014" spans="1:7" x14ac:dyDescent="0.2">
      <c r="A2014" s="3">
        <v>785</v>
      </c>
      <c r="B2014" s="2" t="s">
        <v>13</v>
      </c>
      <c r="C2014" s="38">
        <v>45149</v>
      </c>
      <c r="D2014" s="1" t="s">
        <v>134</v>
      </c>
      <c r="E2014" s="1" t="s">
        <v>33</v>
      </c>
      <c r="F2014" s="1" t="s">
        <v>209</v>
      </c>
      <c r="G2014" s="5" t="s">
        <v>13</v>
      </c>
    </row>
    <row r="2015" spans="1:7" x14ac:dyDescent="0.2">
      <c r="A2015" s="3">
        <v>-351</v>
      </c>
      <c r="B2015" s="2" t="s">
        <v>13</v>
      </c>
      <c r="C2015" s="38">
        <v>45153</v>
      </c>
      <c r="D2015" s="1" t="s">
        <v>135</v>
      </c>
      <c r="E2015" s="1" t="s">
        <v>33</v>
      </c>
      <c r="F2015" s="1" t="s">
        <v>209</v>
      </c>
      <c r="G2015" s="5" t="s">
        <v>13</v>
      </c>
    </row>
    <row r="2016" spans="1:7" x14ac:dyDescent="0.2">
      <c r="A2016" s="3">
        <v>-785</v>
      </c>
      <c r="B2016" s="2" t="s">
        <v>13</v>
      </c>
      <c r="C2016" s="38">
        <v>45153</v>
      </c>
      <c r="D2016" s="1" t="s">
        <v>134</v>
      </c>
      <c r="E2016" s="1" t="s">
        <v>33</v>
      </c>
      <c r="F2016" s="1" t="s">
        <v>209</v>
      </c>
      <c r="G2016" s="5" t="s">
        <v>13</v>
      </c>
    </row>
    <row r="2017" spans="1:7" x14ac:dyDescent="0.2">
      <c r="A2017" s="3">
        <v>-1329</v>
      </c>
      <c r="B2017" s="2" t="s">
        <v>13</v>
      </c>
      <c r="C2017" s="38">
        <v>45153</v>
      </c>
      <c r="D2017" s="1" t="s">
        <v>135</v>
      </c>
      <c r="E2017" s="1" t="s">
        <v>33</v>
      </c>
      <c r="F2017" s="1" t="s">
        <v>209</v>
      </c>
      <c r="G2017" s="5" t="s">
        <v>13</v>
      </c>
    </row>
    <row r="2018" spans="1:7" x14ac:dyDescent="0.2">
      <c r="A2018" s="3">
        <v>240</v>
      </c>
      <c r="B2018" s="2">
        <v>6355.2</v>
      </c>
      <c r="C2018" s="38">
        <v>45180</v>
      </c>
      <c r="D2018" s="1" t="s">
        <v>124</v>
      </c>
      <c r="E2018" s="1" t="s">
        <v>33</v>
      </c>
      <c r="F2018" s="1" t="s">
        <v>209</v>
      </c>
      <c r="G2018" s="5">
        <v>26.48</v>
      </c>
    </row>
    <row r="2019" spans="1:7" x14ac:dyDescent="0.2">
      <c r="A2019" s="3">
        <v>3000</v>
      </c>
      <c r="B2019" s="2">
        <v>5250</v>
      </c>
      <c r="C2019" s="38">
        <v>44579</v>
      </c>
      <c r="D2019" s="1" t="s">
        <v>122</v>
      </c>
      <c r="E2019" s="1" t="s">
        <v>33</v>
      </c>
      <c r="F2019" s="1" t="s">
        <v>209</v>
      </c>
      <c r="G2019" s="5">
        <v>1.75</v>
      </c>
    </row>
    <row r="2020" spans="1:7" x14ac:dyDescent="0.2">
      <c r="A2020" s="3">
        <v>18000</v>
      </c>
      <c r="B2020" s="2">
        <v>31500</v>
      </c>
      <c r="C2020" s="38">
        <v>44579</v>
      </c>
      <c r="D2020" s="1" t="s">
        <v>122</v>
      </c>
      <c r="E2020" s="1" t="s">
        <v>33</v>
      </c>
      <c r="F2020" s="1" t="s">
        <v>209</v>
      </c>
      <c r="G2020" s="5">
        <v>1.75</v>
      </c>
    </row>
    <row r="2021" spans="1:7" x14ac:dyDescent="0.2">
      <c r="A2021" s="3">
        <v>6000</v>
      </c>
      <c r="B2021" s="2">
        <v>10500</v>
      </c>
      <c r="C2021" s="38">
        <v>44579</v>
      </c>
      <c r="D2021" s="1" t="s">
        <v>122</v>
      </c>
      <c r="E2021" s="1" t="s">
        <v>33</v>
      </c>
      <c r="F2021" s="1" t="s">
        <v>209</v>
      </c>
      <c r="G2021" s="5">
        <v>1.75</v>
      </c>
    </row>
    <row r="2022" spans="1:7" x14ac:dyDescent="0.2">
      <c r="A2022" s="3">
        <v>12000</v>
      </c>
      <c r="B2022" s="2">
        <v>21000</v>
      </c>
      <c r="C2022" s="38">
        <v>44580</v>
      </c>
      <c r="D2022" s="1" t="s">
        <v>122</v>
      </c>
      <c r="E2022" s="1" t="s">
        <v>33</v>
      </c>
      <c r="F2022" s="1" t="s">
        <v>209</v>
      </c>
      <c r="G2022" s="5">
        <v>1.75</v>
      </c>
    </row>
    <row r="2023" spans="1:7" x14ac:dyDescent="0.2">
      <c r="A2023" s="3">
        <v>3000</v>
      </c>
      <c r="B2023" s="2">
        <v>5940</v>
      </c>
      <c r="C2023" s="38">
        <v>44589</v>
      </c>
      <c r="D2023" s="1" t="s">
        <v>127</v>
      </c>
      <c r="E2023" s="1" t="s">
        <v>33</v>
      </c>
      <c r="F2023" s="1" t="s">
        <v>209</v>
      </c>
      <c r="G2023" s="5">
        <v>1.98</v>
      </c>
    </row>
    <row r="2024" spans="1:7" x14ac:dyDescent="0.2">
      <c r="A2024" s="3">
        <v>4000</v>
      </c>
      <c r="B2024" s="2">
        <v>5360</v>
      </c>
      <c r="C2024" s="38">
        <v>44963</v>
      </c>
      <c r="D2024" s="1" t="s">
        <v>126</v>
      </c>
      <c r="E2024" s="1" t="s">
        <v>33</v>
      </c>
      <c r="F2024" s="1" t="s">
        <v>209</v>
      </c>
      <c r="G2024" s="5">
        <v>1.34</v>
      </c>
    </row>
    <row r="2025" spans="1:7" x14ac:dyDescent="0.2">
      <c r="A2025" s="3">
        <v>3000</v>
      </c>
      <c r="B2025" s="2">
        <v>5280</v>
      </c>
      <c r="C2025" s="38">
        <v>44964</v>
      </c>
      <c r="D2025" s="1" t="s">
        <v>115</v>
      </c>
      <c r="E2025" s="1" t="s">
        <v>33</v>
      </c>
      <c r="F2025" s="1" t="s">
        <v>209</v>
      </c>
      <c r="G2025" s="5">
        <v>1.76</v>
      </c>
    </row>
    <row r="2026" spans="1:7" x14ac:dyDescent="0.2">
      <c r="A2026" s="3">
        <v>3000</v>
      </c>
      <c r="B2026" s="2">
        <v>5940</v>
      </c>
      <c r="C2026" s="38">
        <v>44610</v>
      </c>
      <c r="D2026" s="1" t="s">
        <v>127</v>
      </c>
      <c r="E2026" s="1" t="s">
        <v>33</v>
      </c>
      <c r="F2026" s="1" t="s">
        <v>209</v>
      </c>
      <c r="G2026" s="5">
        <v>1.98</v>
      </c>
    </row>
    <row r="2027" spans="1:7" x14ac:dyDescent="0.2">
      <c r="A2027" s="3">
        <v>3000</v>
      </c>
      <c r="B2027" s="2">
        <v>5940</v>
      </c>
      <c r="C2027" s="38">
        <v>44617</v>
      </c>
      <c r="D2027" s="1" t="s">
        <v>127</v>
      </c>
      <c r="E2027" s="1" t="s">
        <v>33</v>
      </c>
      <c r="F2027" s="1" t="s">
        <v>209</v>
      </c>
      <c r="G2027" s="5">
        <v>1.98</v>
      </c>
    </row>
    <row r="2028" spans="1:7" x14ac:dyDescent="0.2">
      <c r="A2028" s="3">
        <v>3000</v>
      </c>
      <c r="B2028" s="2">
        <v>5280</v>
      </c>
      <c r="C2028" s="38">
        <v>44993</v>
      </c>
      <c r="D2028" s="1" t="s">
        <v>115</v>
      </c>
      <c r="E2028" s="1" t="s">
        <v>33</v>
      </c>
      <c r="F2028" s="1" t="s">
        <v>209</v>
      </c>
      <c r="G2028" s="5">
        <v>1.76</v>
      </c>
    </row>
    <row r="2029" spans="1:7" x14ac:dyDescent="0.2">
      <c r="A2029" s="3">
        <v>3000</v>
      </c>
      <c r="B2029" s="2">
        <v>5280</v>
      </c>
      <c r="C2029" s="38">
        <v>44993</v>
      </c>
      <c r="D2029" s="1" t="s">
        <v>115</v>
      </c>
      <c r="E2029" s="1" t="s">
        <v>33</v>
      </c>
      <c r="F2029" s="1" t="s">
        <v>209</v>
      </c>
      <c r="G2029" s="5">
        <v>1.76</v>
      </c>
    </row>
    <row r="2030" spans="1:7" x14ac:dyDescent="0.2">
      <c r="A2030" s="3">
        <v>4000</v>
      </c>
      <c r="B2030" s="2">
        <v>5360</v>
      </c>
      <c r="C2030" s="38">
        <v>44994</v>
      </c>
      <c r="D2030" s="1" t="s">
        <v>126</v>
      </c>
      <c r="E2030" s="1" t="s">
        <v>33</v>
      </c>
      <c r="F2030" s="1" t="s">
        <v>209</v>
      </c>
      <c r="G2030" s="5">
        <v>1.34</v>
      </c>
    </row>
    <row r="2031" spans="1:7" x14ac:dyDescent="0.2">
      <c r="A2031" s="3">
        <v>4000</v>
      </c>
      <c r="B2031" s="2">
        <v>5360</v>
      </c>
      <c r="C2031" s="38">
        <v>45000</v>
      </c>
      <c r="D2031" s="1" t="s">
        <v>126</v>
      </c>
      <c r="E2031" s="1" t="s">
        <v>33</v>
      </c>
      <c r="F2031" s="1" t="s">
        <v>209</v>
      </c>
      <c r="G2031" s="5">
        <v>1.34</v>
      </c>
    </row>
    <row r="2032" spans="1:7" x14ac:dyDescent="0.2">
      <c r="A2032" s="3">
        <v>6000</v>
      </c>
      <c r="B2032" s="2">
        <v>10500</v>
      </c>
      <c r="C2032" s="38">
        <v>44642</v>
      </c>
      <c r="D2032" s="1" t="s">
        <v>122</v>
      </c>
      <c r="E2032" s="1" t="s">
        <v>33</v>
      </c>
      <c r="F2032" s="1" t="s">
        <v>209</v>
      </c>
      <c r="G2032" s="5">
        <v>1.75</v>
      </c>
    </row>
    <row r="2033" spans="1:7" x14ac:dyDescent="0.2">
      <c r="A2033" s="3">
        <v>6000</v>
      </c>
      <c r="B2033" s="2">
        <v>10560</v>
      </c>
      <c r="C2033" s="38">
        <v>44649</v>
      </c>
      <c r="D2033" s="1" t="s">
        <v>115</v>
      </c>
      <c r="E2033" s="1" t="s">
        <v>33</v>
      </c>
      <c r="F2033" s="1" t="s">
        <v>209</v>
      </c>
      <c r="G2033" s="5">
        <v>1.76</v>
      </c>
    </row>
    <row r="2034" spans="1:7" x14ac:dyDescent="0.2">
      <c r="A2034" s="3">
        <v>4000</v>
      </c>
      <c r="B2034" s="2">
        <v>5360</v>
      </c>
      <c r="C2034" s="38">
        <v>44653</v>
      </c>
      <c r="D2034" s="1" t="s">
        <v>126</v>
      </c>
      <c r="E2034" s="1" t="s">
        <v>33</v>
      </c>
      <c r="F2034" s="1" t="s">
        <v>209</v>
      </c>
      <c r="G2034" s="5">
        <v>1.34</v>
      </c>
    </row>
    <row r="2035" spans="1:7" x14ac:dyDescent="0.2">
      <c r="A2035" s="3">
        <v>3000</v>
      </c>
      <c r="B2035" s="2">
        <v>5250</v>
      </c>
      <c r="C2035" s="38">
        <v>44659</v>
      </c>
      <c r="D2035" s="1" t="s">
        <v>122</v>
      </c>
      <c r="E2035" s="1" t="s">
        <v>33</v>
      </c>
      <c r="F2035" s="1" t="s">
        <v>209</v>
      </c>
      <c r="G2035" s="5">
        <v>1.75</v>
      </c>
    </row>
    <row r="2036" spans="1:7" x14ac:dyDescent="0.2">
      <c r="A2036" s="3">
        <v>3000</v>
      </c>
      <c r="B2036" s="2">
        <v>5280</v>
      </c>
      <c r="C2036" s="38">
        <v>45041</v>
      </c>
      <c r="D2036" s="1" t="s">
        <v>115</v>
      </c>
      <c r="E2036" s="1" t="s">
        <v>33</v>
      </c>
      <c r="F2036" s="1" t="s">
        <v>209</v>
      </c>
      <c r="G2036" s="5">
        <v>1.76</v>
      </c>
    </row>
    <row r="2037" spans="1:7" x14ac:dyDescent="0.2">
      <c r="A2037" s="3">
        <v>3000</v>
      </c>
      <c r="B2037" s="2">
        <v>5280</v>
      </c>
      <c r="C2037" s="38">
        <v>45041</v>
      </c>
      <c r="D2037" s="1" t="s">
        <v>115</v>
      </c>
      <c r="E2037" s="1" t="s">
        <v>33</v>
      </c>
      <c r="F2037" s="1" t="s">
        <v>209</v>
      </c>
      <c r="G2037" s="5">
        <v>1.76</v>
      </c>
    </row>
    <row r="2038" spans="1:7" x14ac:dyDescent="0.2">
      <c r="A2038" s="3">
        <v>3000</v>
      </c>
      <c r="B2038" s="2">
        <v>5940</v>
      </c>
      <c r="C2038" s="38">
        <v>44677</v>
      </c>
      <c r="D2038" s="1" t="s">
        <v>127</v>
      </c>
      <c r="E2038" s="1" t="s">
        <v>33</v>
      </c>
      <c r="F2038" s="1" t="s">
        <v>209</v>
      </c>
      <c r="G2038" s="5">
        <v>1.98</v>
      </c>
    </row>
    <row r="2039" spans="1:7" x14ac:dyDescent="0.2">
      <c r="A2039" s="3">
        <v>4000</v>
      </c>
      <c r="B2039" s="2">
        <v>5360</v>
      </c>
      <c r="C2039" s="38">
        <v>45044</v>
      </c>
      <c r="D2039" s="1" t="s">
        <v>126</v>
      </c>
      <c r="E2039" s="1" t="s">
        <v>33</v>
      </c>
      <c r="F2039" s="1" t="s">
        <v>209</v>
      </c>
      <c r="G2039" s="5">
        <v>1.34</v>
      </c>
    </row>
    <row r="2040" spans="1:7" x14ac:dyDescent="0.2">
      <c r="A2040" s="3">
        <v>4000</v>
      </c>
      <c r="B2040" s="2">
        <v>5360</v>
      </c>
      <c r="C2040" s="38">
        <v>45044</v>
      </c>
      <c r="D2040" s="1" t="s">
        <v>126</v>
      </c>
      <c r="E2040" s="1" t="s">
        <v>33</v>
      </c>
      <c r="F2040" s="1" t="s">
        <v>209</v>
      </c>
      <c r="G2040" s="5">
        <v>1.34</v>
      </c>
    </row>
    <row r="2041" spans="1:7" x14ac:dyDescent="0.2">
      <c r="A2041" s="3">
        <v>3000</v>
      </c>
      <c r="B2041" s="2">
        <v>5280</v>
      </c>
      <c r="C2041" s="38">
        <v>45044</v>
      </c>
      <c r="D2041" s="1" t="s">
        <v>115</v>
      </c>
      <c r="E2041" s="1" t="s">
        <v>33</v>
      </c>
      <c r="F2041" s="1" t="s">
        <v>209</v>
      </c>
      <c r="G2041" s="5">
        <v>1.76</v>
      </c>
    </row>
    <row r="2042" spans="1:7" x14ac:dyDescent="0.2">
      <c r="A2042" s="3">
        <v>3000</v>
      </c>
      <c r="B2042" s="2">
        <v>5940</v>
      </c>
      <c r="C2042" s="38">
        <v>44698</v>
      </c>
      <c r="D2042" s="1" t="s">
        <v>127</v>
      </c>
      <c r="E2042" s="1" t="s">
        <v>33</v>
      </c>
      <c r="F2042" s="1" t="s">
        <v>209</v>
      </c>
      <c r="G2042" s="5">
        <v>1.98</v>
      </c>
    </row>
    <row r="2043" spans="1:7" x14ac:dyDescent="0.2">
      <c r="A2043" s="3">
        <v>3000</v>
      </c>
      <c r="B2043" s="2">
        <v>5940</v>
      </c>
      <c r="C2043" s="38">
        <v>44698</v>
      </c>
      <c r="D2043" s="1" t="s">
        <v>127</v>
      </c>
      <c r="E2043" s="1" t="s">
        <v>33</v>
      </c>
      <c r="F2043" s="1" t="s">
        <v>209</v>
      </c>
      <c r="G2043" s="5">
        <v>1.98</v>
      </c>
    </row>
    <row r="2044" spans="1:7" x14ac:dyDescent="0.2">
      <c r="A2044" s="3">
        <v>20</v>
      </c>
      <c r="B2044" s="2">
        <v>11225.8</v>
      </c>
      <c r="C2044" s="38">
        <v>44958</v>
      </c>
      <c r="D2044" s="1" t="s">
        <v>125</v>
      </c>
      <c r="E2044" s="1" t="s">
        <v>33</v>
      </c>
      <c r="F2044" s="1" t="s">
        <v>209</v>
      </c>
      <c r="G2044" s="5">
        <v>561.29</v>
      </c>
    </row>
    <row r="2045" spans="1:7" x14ac:dyDescent="0.2">
      <c r="A2045" s="3">
        <v>22</v>
      </c>
      <c r="B2045" s="2">
        <v>13154.9</v>
      </c>
      <c r="C2045" s="38">
        <v>44993</v>
      </c>
      <c r="D2045" s="1" t="s">
        <v>125</v>
      </c>
      <c r="E2045" s="1" t="s">
        <v>33</v>
      </c>
      <c r="F2045" s="1" t="s">
        <v>209</v>
      </c>
      <c r="G2045" s="5">
        <v>597.95000000000005</v>
      </c>
    </row>
    <row r="2046" spans="1:7" x14ac:dyDescent="0.2">
      <c r="A2046" s="3">
        <v>540</v>
      </c>
      <c r="B2046" s="2">
        <v>30153.599999999999</v>
      </c>
      <c r="C2046" s="38">
        <v>45012</v>
      </c>
      <c r="D2046" s="1" t="s">
        <v>151</v>
      </c>
      <c r="E2046" s="1" t="s">
        <v>33</v>
      </c>
      <c r="F2046" s="1" t="s">
        <v>209</v>
      </c>
      <c r="G2046" s="5">
        <v>55.84</v>
      </c>
    </row>
    <row r="2047" spans="1:7" x14ac:dyDescent="0.2">
      <c r="A2047" s="3">
        <v>54</v>
      </c>
      <c r="B2047" s="2">
        <v>3015.36</v>
      </c>
      <c r="C2047" s="38">
        <v>45022</v>
      </c>
      <c r="D2047" s="1" t="s">
        <v>151</v>
      </c>
      <c r="E2047" s="1" t="s">
        <v>33</v>
      </c>
      <c r="F2047" s="1" t="s">
        <v>209</v>
      </c>
      <c r="G2047" s="5">
        <v>55.84</v>
      </c>
    </row>
    <row r="2048" spans="1:7" x14ac:dyDescent="0.2">
      <c r="A2048" s="3">
        <v>13</v>
      </c>
      <c r="B2048" s="2">
        <v>7773.35</v>
      </c>
      <c r="C2048" s="38">
        <v>45051</v>
      </c>
      <c r="D2048" s="1" t="s">
        <v>125</v>
      </c>
      <c r="E2048" s="1" t="s">
        <v>33</v>
      </c>
      <c r="F2048" s="1" t="s">
        <v>209</v>
      </c>
      <c r="G2048" s="5">
        <v>597.95000000000005</v>
      </c>
    </row>
    <row r="2049" spans="1:7" x14ac:dyDescent="0.2">
      <c r="A2049" s="3">
        <v>1350</v>
      </c>
      <c r="B2049" s="2">
        <v>175891.5</v>
      </c>
      <c r="C2049" s="38">
        <v>45092</v>
      </c>
      <c r="D2049" s="1" t="s">
        <v>135</v>
      </c>
      <c r="E2049" s="1" t="s">
        <v>33</v>
      </c>
      <c r="F2049" s="1" t="s">
        <v>209</v>
      </c>
      <c r="G2049" s="5">
        <v>130.29</v>
      </c>
    </row>
    <row r="2050" spans="1:7" x14ac:dyDescent="0.2">
      <c r="A2050" s="3">
        <v>54</v>
      </c>
      <c r="B2050" s="2">
        <v>7035.66</v>
      </c>
      <c r="C2050" s="38">
        <v>45103</v>
      </c>
      <c r="D2050" s="1" t="s">
        <v>135</v>
      </c>
      <c r="E2050" s="1" t="s">
        <v>33</v>
      </c>
      <c r="F2050" s="1" t="s">
        <v>209</v>
      </c>
      <c r="G2050" s="5">
        <v>130.29</v>
      </c>
    </row>
    <row r="2051" spans="1:7" x14ac:dyDescent="0.2">
      <c r="A2051" s="3">
        <v>65</v>
      </c>
      <c r="B2051" s="2">
        <v>38866.75</v>
      </c>
      <c r="C2051" s="38">
        <v>45107</v>
      </c>
      <c r="D2051" s="1" t="s">
        <v>125</v>
      </c>
      <c r="E2051" s="1" t="s">
        <v>33</v>
      </c>
      <c r="F2051" s="1" t="s">
        <v>209</v>
      </c>
      <c r="G2051" s="5">
        <v>597.95000000000005</v>
      </c>
    </row>
    <row r="2052" spans="1:7" x14ac:dyDescent="0.2">
      <c r="A2052" s="3">
        <v>270</v>
      </c>
      <c r="B2052" s="2">
        <v>35178.300000000003</v>
      </c>
      <c r="C2052" s="38">
        <v>45128</v>
      </c>
      <c r="D2052" s="1" t="s">
        <v>135</v>
      </c>
      <c r="E2052" s="1" t="s">
        <v>33</v>
      </c>
      <c r="F2052" s="1" t="s">
        <v>209</v>
      </c>
      <c r="G2052" s="5">
        <v>130.29</v>
      </c>
    </row>
    <row r="2053" spans="1:7" x14ac:dyDescent="0.2">
      <c r="A2053" s="3">
        <v>544</v>
      </c>
      <c r="B2053" s="2">
        <v>81001.600000000006</v>
      </c>
      <c r="C2053" s="38">
        <v>45133</v>
      </c>
      <c r="D2053" s="1" t="s">
        <v>134</v>
      </c>
      <c r="E2053" s="1" t="s">
        <v>33</v>
      </c>
      <c r="F2053" s="1" t="s">
        <v>209</v>
      </c>
      <c r="G2053" s="5">
        <v>148.9</v>
      </c>
    </row>
    <row r="2054" spans="1:7" x14ac:dyDescent="0.2">
      <c r="A2054" s="3">
        <v>295</v>
      </c>
      <c r="B2054" s="2">
        <v>43925.5</v>
      </c>
      <c r="C2054" s="38">
        <v>45149</v>
      </c>
      <c r="D2054" s="1" t="s">
        <v>134</v>
      </c>
      <c r="E2054" s="1" t="s">
        <v>33</v>
      </c>
      <c r="F2054" s="1" t="s">
        <v>209</v>
      </c>
      <c r="G2054" s="5">
        <v>148.9</v>
      </c>
    </row>
    <row r="2055" spans="1:7" x14ac:dyDescent="0.2">
      <c r="A2055" s="3">
        <v>75</v>
      </c>
      <c r="B2055" s="2">
        <v>9771.75</v>
      </c>
      <c r="C2055" s="38">
        <v>45149</v>
      </c>
      <c r="D2055" s="1" t="s">
        <v>135</v>
      </c>
      <c r="E2055" s="1" t="s">
        <v>33</v>
      </c>
      <c r="F2055" s="1" t="s">
        <v>209</v>
      </c>
      <c r="G2055" s="5">
        <v>130.29</v>
      </c>
    </row>
    <row r="2056" spans="1:7" x14ac:dyDescent="0.2">
      <c r="A2056" s="3">
        <v>655</v>
      </c>
      <c r="B2056" s="2">
        <v>85339.95</v>
      </c>
      <c r="C2056" s="38">
        <v>45149</v>
      </c>
      <c r="D2056" s="1" t="s">
        <v>135</v>
      </c>
      <c r="E2056" s="1" t="s">
        <v>33</v>
      </c>
      <c r="F2056" s="1" t="s">
        <v>209</v>
      </c>
      <c r="G2056" s="5">
        <v>130.29</v>
      </c>
    </row>
    <row r="2057" spans="1:7" x14ac:dyDescent="0.2">
      <c r="A2057" s="3">
        <v>-295</v>
      </c>
      <c r="B2057" s="2">
        <v>-43925.5</v>
      </c>
      <c r="C2057" s="38">
        <v>45153</v>
      </c>
      <c r="D2057" s="1" t="s">
        <v>134</v>
      </c>
      <c r="E2057" s="1" t="s">
        <v>33</v>
      </c>
      <c r="F2057" s="1" t="s">
        <v>209</v>
      </c>
      <c r="G2057" s="5">
        <v>148.9</v>
      </c>
    </row>
    <row r="2058" spans="1:7" x14ac:dyDescent="0.2">
      <c r="A2058" s="3">
        <v>-75</v>
      </c>
      <c r="B2058" s="2">
        <v>-9771.75</v>
      </c>
      <c r="C2058" s="38">
        <v>45153</v>
      </c>
      <c r="D2058" s="1" t="s">
        <v>135</v>
      </c>
      <c r="E2058" s="1" t="s">
        <v>33</v>
      </c>
      <c r="F2058" s="1" t="s">
        <v>209</v>
      </c>
      <c r="G2058" s="5">
        <v>130.29</v>
      </c>
    </row>
    <row r="2059" spans="1:7" x14ac:dyDescent="0.2">
      <c r="A2059" s="3">
        <v>-655</v>
      </c>
      <c r="B2059" s="2">
        <v>-85339.95</v>
      </c>
      <c r="C2059" s="38">
        <v>45153</v>
      </c>
      <c r="D2059" s="1" t="s">
        <v>135</v>
      </c>
      <c r="E2059" s="1" t="s">
        <v>33</v>
      </c>
      <c r="F2059" s="1" t="s">
        <v>209</v>
      </c>
      <c r="G2059" s="5">
        <v>130.29</v>
      </c>
    </row>
    <row r="2060" spans="1:7" x14ac:dyDescent="0.2">
      <c r="A2060" s="3">
        <v>295</v>
      </c>
      <c r="B2060" s="2">
        <v>43925.5</v>
      </c>
      <c r="C2060" s="38">
        <v>45154</v>
      </c>
      <c r="D2060" s="1" t="s">
        <v>134</v>
      </c>
      <c r="E2060" s="1" t="s">
        <v>33</v>
      </c>
      <c r="F2060" s="1" t="s">
        <v>209</v>
      </c>
      <c r="G2060" s="5">
        <v>148.9</v>
      </c>
    </row>
    <row r="2061" spans="1:7" x14ac:dyDescent="0.2">
      <c r="A2061" s="3">
        <v>200</v>
      </c>
      <c r="B2061" s="2">
        <v>29780</v>
      </c>
      <c r="C2061" s="38">
        <v>45154</v>
      </c>
      <c r="D2061" s="1" t="s">
        <v>134</v>
      </c>
      <c r="E2061" s="1" t="s">
        <v>33</v>
      </c>
      <c r="F2061" s="1" t="s">
        <v>209</v>
      </c>
      <c r="G2061" s="5">
        <v>148.9</v>
      </c>
    </row>
    <row r="2062" spans="1:7" x14ac:dyDescent="0.2">
      <c r="A2062" s="3">
        <v>585</v>
      </c>
      <c r="B2062" s="2">
        <v>87106.5</v>
      </c>
      <c r="C2062" s="38">
        <v>45154</v>
      </c>
      <c r="D2062" s="1" t="s">
        <v>134</v>
      </c>
      <c r="E2062" s="1" t="s">
        <v>33</v>
      </c>
      <c r="F2062" s="1" t="s">
        <v>209</v>
      </c>
      <c r="G2062" s="5">
        <v>148.9</v>
      </c>
    </row>
    <row r="2063" spans="1:7" x14ac:dyDescent="0.2">
      <c r="A2063" s="3">
        <v>75</v>
      </c>
      <c r="B2063" s="2">
        <v>9771.75</v>
      </c>
      <c r="C2063" s="38">
        <v>45154</v>
      </c>
      <c r="D2063" s="1" t="s">
        <v>135</v>
      </c>
      <c r="E2063" s="1" t="s">
        <v>33</v>
      </c>
      <c r="F2063" s="1" t="s">
        <v>209</v>
      </c>
      <c r="G2063" s="5">
        <v>130.29</v>
      </c>
    </row>
    <row r="2064" spans="1:7" x14ac:dyDescent="0.2">
      <c r="A2064" s="3">
        <v>1052</v>
      </c>
      <c r="B2064" s="2">
        <v>137065.07999999999</v>
      </c>
      <c r="C2064" s="38">
        <v>45154</v>
      </c>
      <c r="D2064" s="1" t="s">
        <v>135</v>
      </c>
      <c r="E2064" s="1" t="s">
        <v>33</v>
      </c>
      <c r="F2064" s="1" t="s">
        <v>209</v>
      </c>
      <c r="G2064" s="5">
        <v>130.29</v>
      </c>
    </row>
    <row r="2065" spans="1:7" x14ac:dyDescent="0.2">
      <c r="A2065" s="3">
        <v>277</v>
      </c>
      <c r="B2065" s="2">
        <v>36090.33</v>
      </c>
      <c r="C2065" s="38">
        <v>45154</v>
      </c>
      <c r="D2065" s="1" t="s">
        <v>135</v>
      </c>
      <c r="E2065" s="1" t="s">
        <v>33</v>
      </c>
      <c r="F2065" s="1" t="s">
        <v>209</v>
      </c>
      <c r="G2065" s="5">
        <v>130.29</v>
      </c>
    </row>
    <row r="2066" spans="1:7" x14ac:dyDescent="0.2">
      <c r="A2066" s="3">
        <v>655</v>
      </c>
      <c r="B2066" s="2">
        <v>85339.95</v>
      </c>
      <c r="C2066" s="38">
        <v>45154</v>
      </c>
      <c r="D2066" s="1" t="s">
        <v>135</v>
      </c>
      <c r="E2066" s="1" t="s">
        <v>33</v>
      </c>
      <c r="F2066" s="1" t="s">
        <v>209</v>
      </c>
      <c r="G2066" s="5">
        <v>130.29</v>
      </c>
    </row>
    <row r="2067" spans="1:7" x14ac:dyDescent="0.2">
      <c r="A2067" s="3">
        <v>351</v>
      </c>
      <c r="B2067" s="2">
        <v>45731.79</v>
      </c>
      <c r="C2067" s="38">
        <v>45154</v>
      </c>
      <c r="D2067" s="1" t="s">
        <v>135</v>
      </c>
      <c r="E2067" s="1" t="s">
        <v>33</v>
      </c>
      <c r="F2067" s="1" t="s">
        <v>209</v>
      </c>
      <c r="G2067" s="5">
        <v>130.29</v>
      </c>
    </row>
    <row r="2068" spans="1:7" x14ac:dyDescent="0.2">
      <c r="A2068" s="3">
        <v>60</v>
      </c>
      <c r="B2068" s="2">
        <v>35877</v>
      </c>
      <c r="C2068" s="38">
        <v>45155</v>
      </c>
      <c r="D2068" s="1" t="s">
        <v>125</v>
      </c>
      <c r="E2068" s="1" t="s">
        <v>33</v>
      </c>
      <c r="F2068" s="1" t="s">
        <v>209</v>
      </c>
      <c r="G2068" s="5">
        <v>597.95000000000005</v>
      </c>
    </row>
    <row r="2069" spans="1:7" x14ac:dyDescent="0.2">
      <c r="A2069" s="3">
        <v>4000</v>
      </c>
      <c r="B2069" s="2">
        <v>5360</v>
      </c>
      <c r="C2069" s="38">
        <v>44699</v>
      </c>
      <c r="D2069" s="1" t="s">
        <v>126</v>
      </c>
      <c r="E2069" s="1" t="s">
        <v>33</v>
      </c>
      <c r="F2069" s="1" t="s">
        <v>209</v>
      </c>
      <c r="G2069" s="5">
        <v>1.34</v>
      </c>
    </row>
    <row r="2070" spans="1:7" x14ac:dyDescent="0.2">
      <c r="A2070" s="3">
        <v>3000</v>
      </c>
      <c r="B2070" s="2">
        <v>5940</v>
      </c>
      <c r="C2070" s="38">
        <v>44704</v>
      </c>
      <c r="D2070" s="1" t="s">
        <v>127</v>
      </c>
      <c r="E2070" s="1" t="s">
        <v>33</v>
      </c>
      <c r="F2070" s="1" t="s">
        <v>209</v>
      </c>
      <c r="G2070" s="5">
        <v>1.98</v>
      </c>
    </row>
    <row r="2071" spans="1:7" x14ac:dyDescent="0.2">
      <c r="A2071" s="3">
        <v>4000</v>
      </c>
      <c r="B2071" s="2">
        <v>5360</v>
      </c>
      <c r="C2071" s="38">
        <v>45069</v>
      </c>
      <c r="D2071" s="1" t="s">
        <v>126</v>
      </c>
      <c r="E2071" s="1" t="s">
        <v>33</v>
      </c>
      <c r="F2071" s="1" t="s">
        <v>209</v>
      </c>
      <c r="G2071" s="5">
        <v>1.34</v>
      </c>
    </row>
    <row r="2072" spans="1:7" x14ac:dyDescent="0.2">
      <c r="A2072" s="3">
        <v>3000</v>
      </c>
      <c r="B2072" s="2">
        <v>5940</v>
      </c>
      <c r="C2072" s="38">
        <v>44742</v>
      </c>
      <c r="D2072" s="1" t="s">
        <v>127</v>
      </c>
      <c r="E2072" s="1" t="s">
        <v>33</v>
      </c>
      <c r="F2072" s="1" t="s">
        <v>209</v>
      </c>
      <c r="G2072" s="5">
        <v>1.98</v>
      </c>
    </row>
    <row r="2073" spans="1:7" x14ac:dyDescent="0.2">
      <c r="A2073" s="3">
        <v>3000</v>
      </c>
      <c r="B2073" s="2">
        <v>5940</v>
      </c>
      <c r="C2073" s="38">
        <v>44742</v>
      </c>
      <c r="D2073" s="1" t="s">
        <v>127</v>
      </c>
      <c r="E2073" s="1" t="s">
        <v>33</v>
      </c>
      <c r="F2073" s="1" t="s">
        <v>209</v>
      </c>
      <c r="G2073" s="5">
        <v>1.98</v>
      </c>
    </row>
    <row r="2074" spans="1:7" x14ac:dyDescent="0.2">
      <c r="A2074" s="3">
        <v>4000</v>
      </c>
      <c r="B2074" s="2">
        <v>5360</v>
      </c>
      <c r="C2074" s="38">
        <v>44446</v>
      </c>
      <c r="D2074" s="1" t="s">
        <v>126</v>
      </c>
      <c r="E2074" s="1" t="s">
        <v>33</v>
      </c>
      <c r="F2074" s="1" t="s">
        <v>209</v>
      </c>
      <c r="G2074" s="5">
        <v>1.34</v>
      </c>
    </row>
    <row r="2075" spans="1:7" x14ac:dyDescent="0.2">
      <c r="A2075" s="3">
        <v>3000</v>
      </c>
      <c r="B2075" s="2">
        <v>5940</v>
      </c>
      <c r="C2075" s="38">
        <v>44446</v>
      </c>
      <c r="D2075" s="1" t="s">
        <v>127</v>
      </c>
      <c r="E2075" s="1" t="s">
        <v>33</v>
      </c>
      <c r="F2075" s="1" t="s">
        <v>209</v>
      </c>
      <c r="G2075" s="5">
        <v>1.98</v>
      </c>
    </row>
    <row r="2076" spans="1:7" x14ac:dyDescent="0.2">
      <c r="A2076" s="3">
        <v>3000</v>
      </c>
      <c r="B2076" s="2">
        <v>5940</v>
      </c>
      <c r="C2076" s="38">
        <v>44446</v>
      </c>
      <c r="D2076" s="1" t="s">
        <v>127</v>
      </c>
      <c r="E2076" s="1" t="s">
        <v>33</v>
      </c>
      <c r="F2076" s="1" t="s">
        <v>209</v>
      </c>
      <c r="G2076" s="5">
        <v>1.98</v>
      </c>
    </row>
    <row r="2077" spans="1:7" x14ac:dyDescent="0.2">
      <c r="A2077" s="3">
        <v>3000</v>
      </c>
      <c r="B2077" s="2">
        <v>5940</v>
      </c>
      <c r="C2077" s="38">
        <v>44446</v>
      </c>
      <c r="D2077" s="1" t="s">
        <v>127</v>
      </c>
      <c r="E2077" s="1" t="s">
        <v>33</v>
      </c>
      <c r="F2077" s="1" t="s">
        <v>209</v>
      </c>
      <c r="G2077" s="5">
        <v>1.98</v>
      </c>
    </row>
    <row r="2078" spans="1:7" x14ac:dyDescent="0.2">
      <c r="A2078" s="3">
        <v>3000</v>
      </c>
      <c r="B2078" s="2">
        <v>5940</v>
      </c>
      <c r="C2078" s="38">
        <v>44461</v>
      </c>
      <c r="D2078" s="1" t="s">
        <v>127</v>
      </c>
      <c r="E2078" s="1" t="s">
        <v>33</v>
      </c>
      <c r="F2078" s="1" t="s">
        <v>209</v>
      </c>
      <c r="G2078" s="5">
        <v>1.98</v>
      </c>
    </row>
    <row r="2079" spans="1:7" x14ac:dyDescent="0.2">
      <c r="A2079" s="3">
        <v>6000</v>
      </c>
      <c r="B2079" s="2">
        <v>11880</v>
      </c>
      <c r="C2079" s="38">
        <v>44467</v>
      </c>
      <c r="D2079" s="1" t="s">
        <v>127</v>
      </c>
      <c r="E2079" s="1" t="s">
        <v>33</v>
      </c>
      <c r="F2079" s="1" t="s">
        <v>209</v>
      </c>
      <c r="G2079" s="5">
        <v>1.98</v>
      </c>
    </row>
    <row r="2080" spans="1:7" x14ac:dyDescent="0.2">
      <c r="A2080" s="3">
        <v>3000</v>
      </c>
      <c r="B2080" s="2">
        <v>5940</v>
      </c>
      <c r="C2080" s="38">
        <v>44475</v>
      </c>
      <c r="D2080" s="1" t="s">
        <v>127</v>
      </c>
      <c r="E2080" s="1" t="s">
        <v>33</v>
      </c>
      <c r="F2080" s="1" t="s">
        <v>209</v>
      </c>
      <c r="G2080" s="5">
        <v>1.98</v>
      </c>
    </row>
    <row r="2081" spans="1:7" x14ac:dyDescent="0.2">
      <c r="A2081" s="3">
        <v>4000</v>
      </c>
      <c r="B2081" s="2">
        <v>5360</v>
      </c>
      <c r="C2081" s="38">
        <v>44487</v>
      </c>
      <c r="D2081" s="1" t="s">
        <v>126</v>
      </c>
      <c r="E2081" s="1" t="s">
        <v>33</v>
      </c>
      <c r="F2081" s="1" t="s">
        <v>209</v>
      </c>
      <c r="G2081" s="5">
        <v>1.34</v>
      </c>
    </row>
    <row r="2082" spans="1:7" x14ac:dyDescent="0.2">
      <c r="A2082" s="3">
        <v>3000</v>
      </c>
      <c r="B2082" s="2">
        <v>5940</v>
      </c>
      <c r="C2082" s="38">
        <v>44505</v>
      </c>
      <c r="D2082" s="1" t="s">
        <v>127</v>
      </c>
      <c r="E2082" s="1" t="s">
        <v>33</v>
      </c>
      <c r="F2082" s="1" t="s">
        <v>209</v>
      </c>
      <c r="G2082" s="5">
        <v>1.98</v>
      </c>
    </row>
    <row r="2083" spans="1:7" x14ac:dyDescent="0.2">
      <c r="A2083" s="3">
        <v>4000</v>
      </c>
      <c r="B2083" s="2">
        <v>5360</v>
      </c>
      <c r="C2083" s="38">
        <v>44510</v>
      </c>
      <c r="D2083" s="1" t="s">
        <v>126</v>
      </c>
      <c r="E2083" s="1" t="s">
        <v>33</v>
      </c>
      <c r="F2083" s="1" t="s">
        <v>209</v>
      </c>
      <c r="G2083" s="5">
        <v>1.34</v>
      </c>
    </row>
    <row r="2084" spans="1:7" x14ac:dyDescent="0.2">
      <c r="A2084" s="3">
        <v>3000</v>
      </c>
      <c r="B2084" s="2">
        <v>5940</v>
      </c>
      <c r="C2084" s="38">
        <v>44518</v>
      </c>
      <c r="D2084" s="1" t="s">
        <v>127</v>
      </c>
      <c r="E2084" s="1" t="s">
        <v>33</v>
      </c>
      <c r="F2084" s="1" t="s">
        <v>209</v>
      </c>
      <c r="G2084" s="5">
        <v>1.98</v>
      </c>
    </row>
    <row r="2085" spans="1:7" x14ac:dyDescent="0.2">
      <c r="A2085" s="3">
        <v>3000</v>
      </c>
      <c r="B2085" s="2">
        <v>5280</v>
      </c>
      <c r="C2085" s="38">
        <v>44896</v>
      </c>
      <c r="D2085" s="1" t="s">
        <v>115</v>
      </c>
      <c r="E2085" s="1" t="s">
        <v>33</v>
      </c>
      <c r="F2085" s="1" t="s">
        <v>209</v>
      </c>
      <c r="G2085" s="5">
        <v>1.76</v>
      </c>
    </row>
    <row r="2086" spans="1:7" x14ac:dyDescent="0.2">
      <c r="A2086" s="3">
        <v>3000</v>
      </c>
      <c r="B2086" s="2">
        <v>5280</v>
      </c>
      <c r="C2086" s="38">
        <v>44896</v>
      </c>
      <c r="D2086" s="1" t="s">
        <v>115</v>
      </c>
      <c r="E2086" s="1" t="s">
        <v>33</v>
      </c>
      <c r="F2086" s="1" t="s">
        <v>209</v>
      </c>
      <c r="G2086" s="5">
        <v>1.76</v>
      </c>
    </row>
    <row r="2087" spans="1:7" x14ac:dyDescent="0.2">
      <c r="A2087" s="3">
        <v>3000</v>
      </c>
      <c r="B2087" s="2">
        <v>5280</v>
      </c>
      <c r="C2087" s="38">
        <v>44896</v>
      </c>
      <c r="D2087" s="1" t="s">
        <v>115</v>
      </c>
      <c r="E2087" s="1" t="s">
        <v>33</v>
      </c>
      <c r="F2087" s="1" t="s">
        <v>209</v>
      </c>
      <c r="G2087" s="5">
        <v>1.76</v>
      </c>
    </row>
    <row r="2088" spans="1:7" x14ac:dyDescent="0.2">
      <c r="A2088" s="3">
        <v>3000</v>
      </c>
      <c r="B2088" s="2">
        <v>5280</v>
      </c>
      <c r="C2088" s="38">
        <v>44896</v>
      </c>
      <c r="D2088" s="1" t="s">
        <v>115</v>
      </c>
      <c r="E2088" s="1" t="s">
        <v>33</v>
      </c>
      <c r="F2088" s="1" t="s">
        <v>209</v>
      </c>
      <c r="G2088" s="5">
        <v>1.76</v>
      </c>
    </row>
    <row r="2089" spans="1:7" x14ac:dyDescent="0.2">
      <c r="A2089" s="3">
        <v>3000</v>
      </c>
      <c r="B2089" s="2">
        <v>5940</v>
      </c>
      <c r="C2089" s="38">
        <v>44546</v>
      </c>
      <c r="D2089" s="1" t="s">
        <v>127</v>
      </c>
      <c r="E2089" s="1" t="s">
        <v>33</v>
      </c>
      <c r="F2089" s="1" t="s">
        <v>209</v>
      </c>
      <c r="G2089" s="5">
        <v>1.98</v>
      </c>
    </row>
    <row r="2090" spans="1:7" x14ac:dyDescent="0.2">
      <c r="A2090" s="3">
        <v>3000</v>
      </c>
      <c r="B2090" s="2">
        <v>5940</v>
      </c>
      <c r="C2090" s="38">
        <v>44546</v>
      </c>
      <c r="D2090" s="1" t="s">
        <v>127</v>
      </c>
      <c r="E2090" s="1" t="s">
        <v>33</v>
      </c>
      <c r="F2090" s="1" t="s">
        <v>209</v>
      </c>
      <c r="G2090" s="5">
        <v>1.98</v>
      </c>
    </row>
    <row r="2091" spans="1:7" x14ac:dyDescent="0.2">
      <c r="A2091" s="3">
        <v>3000</v>
      </c>
      <c r="B2091" s="2">
        <v>5940</v>
      </c>
      <c r="C2091" s="38">
        <v>44547</v>
      </c>
      <c r="D2091" s="1" t="s">
        <v>127</v>
      </c>
      <c r="E2091" s="1" t="s">
        <v>33</v>
      </c>
      <c r="F2091" s="1" t="s">
        <v>209</v>
      </c>
      <c r="G2091" s="5">
        <v>1.98</v>
      </c>
    </row>
    <row r="2092" spans="1:7" x14ac:dyDescent="0.2">
      <c r="A2092" s="3">
        <v>4000</v>
      </c>
      <c r="B2092" s="2">
        <v>5360</v>
      </c>
      <c r="C2092" s="38">
        <v>44550</v>
      </c>
      <c r="D2092" s="1" t="s">
        <v>126</v>
      </c>
      <c r="E2092" s="1" t="s">
        <v>33</v>
      </c>
      <c r="F2092" s="1" t="s">
        <v>209</v>
      </c>
      <c r="G2092" s="5">
        <v>1.34</v>
      </c>
    </row>
    <row r="2093" spans="1:7" x14ac:dyDescent="0.2">
      <c r="A2093" s="3">
        <v>3000</v>
      </c>
      <c r="B2093" s="2">
        <v>5940</v>
      </c>
      <c r="C2093" s="38">
        <v>44550</v>
      </c>
      <c r="D2093" s="1" t="s">
        <v>127</v>
      </c>
      <c r="E2093" s="1" t="s">
        <v>33</v>
      </c>
      <c r="F2093" s="1" t="s">
        <v>209</v>
      </c>
      <c r="G2093" s="5">
        <v>1.98</v>
      </c>
    </row>
    <row r="2094" spans="1:7" x14ac:dyDescent="0.2">
      <c r="A2094" s="3">
        <v>3000</v>
      </c>
      <c r="B2094" s="2">
        <v>5280</v>
      </c>
      <c r="C2094" s="38">
        <v>44918</v>
      </c>
      <c r="D2094" s="1" t="s">
        <v>115</v>
      </c>
      <c r="E2094" s="1" t="s">
        <v>33</v>
      </c>
      <c r="F2094" s="1" t="s">
        <v>209</v>
      </c>
      <c r="G2094" s="5">
        <v>1.76</v>
      </c>
    </row>
    <row r="2095" spans="1:7" x14ac:dyDescent="0.2">
      <c r="A2095" s="3">
        <v>3000</v>
      </c>
      <c r="B2095" s="2">
        <v>5610</v>
      </c>
      <c r="C2095" s="38">
        <v>44943</v>
      </c>
      <c r="D2095" s="1" t="s">
        <v>176</v>
      </c>
      <c r="E2095" s="1" t="s">
        <v>33</v>
      </c>
      <c r="F2095" s="1" t="s">
        <v>209</v>
      </c>
      <c r="G2095" s="5">
        <v>1.87</v>
      </c>
    </row>
    <row r="2096" spans="1:7" x14ac:dyDescent="0.2">
      <c r="A2096" s="3">
        <v>3000</v>
      </c>
      <c r="B2096" s="2">
        <v>9450</v>
      </c>
      <c r="C2096" s="38">
        <v>44589</v>
      </c>
      <c r="D2096" s="1" t="s">
        <v>177</v>
      </c>
      <c r="E2096" s="1" t="s">
        <v>33</v>
      </c>
      <c r="F2096" s="1" t="s">
        <v>209</v>
      </c>
      <c r="G2096" s="5">
        <v>3.15</v>
      </c>
    </row>
    <row r="2097" spans="1:7" x14ac:dyDescent="0.2">
      <c r="A2097" s="3">
        <v>3000</v>
      </c>
      <c r="B2097" s="2">
        <v>9450</v>
      </c>
      <c r="C2097" s="38">
        <v>44963</v>
      </c>
      <c r="D2097" s="1" t="s">
        <v>177</v>
      </c>
      <c r="E2097" s="1" t="s">
        <v>33</v>
      </c>
      <c r="F2097" s="1" t="s">
        <v>209</v>
      </c>
      <c r="G2097" s="5">
        <v>3.15</v>
      </c>
    </row>
    <row r="2098" spans="1:7" x14ac:dyDescent="0.2">
      <c r="A2098" s="3">
        <v>3000</v>
      </c>
      <c r="B2098" s="2">
        <v>3720</v>
      </c>
      <c r="C2098" s="38">
        <v>44698</v>
      </c>
      <c r="D2098" s="1" t="s">
        <v>178</v>
      </c>
      <c r="E2098" s="1" t="s">
        <v>33</v>
      </c>
      <c r="F2098" s="1" t="s">
        <v>209</v>
      </c>
      <c r="G2098" s="5">
        <v>1.24</v>
      </c>
    </row>
    <row r="2099" spans="1:7" x14ac:dyDescent="0.2">
      <c r="A2099" s="3">
        <v>3000</v>
      </c>
      <c r="B2099" s="2">
        <v>5610</v>
      </c>
      <c r="C2099" s="38">
        <v>44729</v>
      </c>
      <c r="D2099" s="1" t="s">
        <v>176</v>
      </c>
      <c r="E2099" s="1" t="s">
        <v>33</v>
      </c>
      <c r="F2099" s="1" t="s">
        <v>209</v>
      </c>
      <c r="G2099" s="5">
        <v>1.87</v>
      </c>
    </row>
    <row r="2100" spans="1:7" x14ac:dyDescent="0.2">
      <c r="A2100" s="3">
        <v>3000</v>
      </c>
      <c r="B2100" s="2">
        <v>5610</v>
      </c>
      <c r="C2100" s="38">
        <v>45099</v>
      </c>
      <c r="D2100" s="1" t="s">
        <v>176</v>
      </c>
      <c r="E2100" s="1" t="s">
        <v>33</v>
      </c>
      <c r="F2100" s="1" t="s">
        <v>209</v>
      </c>
      <c r="G2100" s="5">
        <v>1.87</v>
      </c>
    </row>
    <row r="2101" spans="1:7" x14ac:dyDescent="0.2">
      <c r="A2101" s="3">
        <v>3000</v>
      </c>
      <c r="B2101" s="2">
        <v>9450</v>
      </c>
      <c r="C2101" s="38">
        <v>44742</v>
      </c>
      <c r="D2101" s="1" t="s">
        <v>177</v>
      </c>
      <c r="E2101" s="1" t="s">
        <v>33</v>
      </c>
      <c r="F2101" s="1" t="s">
        <v>209</v>
      </c>
      <c r="G2101" s="5">
        <v>3.15</v>
      </c>
    </row>
    <row r="2102" spans="1:7" x14ac:dyDescent="0.2">
      <c r="A2102" s="3">
        <v>3000</v>
      </c>
      <c r="B2102" s="2">
        <v>5610</v>
      </c>
      <c r="C2102" s="38">
        <v>44653</v>
      </c>
      <c r="D2102" s="1" t="s">
        <v>176</v>
      </c>
      <c r="E2102" s="1" t="s">
        <v>33</v>
      </c>
      <c r="F2102" s="1" t="s">
        <v>209</v>
      </c>
      <c r="G2102" s="5">
        <v>1.87</v>
      </c>
    </row>
    <row r="2103" spans="1:7" x14ac:dyDescent="0.2">
      <c r="A2103" s="3">
        <v>3000</v>
      </c>
      <c r="B2103" s="2">
        <v>9450</v>
      </c>
      <c r="C2103" s="38">
        <v>44664</v>
      </c>
      <c r="D2103" s="1" t="s">
        <v>177</v>
      </c>
      <c r="E2103" s="1" t="s">
        <v>33</v>
      </c>
      <c r="F2103" s="1" t="s">
        <v>209</v>
      </c>
      <c r="G2103" s="5">
        <v>3.15</v>
      </c>
    </row>
    <row r="2104" spans="1:7" x14ac:dyDescent="0.2">
      <c r="A2104" s="3">
        <v>3000</v>
      </c>
      <c r="B2104" s="2">
        <v>4620</v>
      </c>
      <c r="C2104" s="38">
        <v>45100</v>
      </c>
      <c r="D2104" s="1" t="s">
        <v>179</v>
      </c>
      <c r="E2104" s="1" t="s">
        <v>33</v>
      </c>
      <c r="F2104" s="1" t="s">
        <v>209</v>
      </c>
      <c r="G2104" s="5">
        <v>1.54</v>
      </c>
    </row>
    <row r="2105" spans="1:7" x14ac:dyDescent="0.2">
      <c r="A2105" s="3">
        <v>3000</v>
      </c>
      <c r="B2105" s="2">
        <v>9450</v>
      </c>
      <c r="C2105" s="38">
        <v>45100</v>
      </c>
      <c r="D2105" s="1" t="s">
        <v>177</v>
      </c>
      <c r="E2105" s="1" t="s">
        <v>33</v>
      </c>
      <c r="F2105" s="1" t="s">
        <v>209</v>
      </c>
      <c r="G2105" s="5">
        <v>3.15</v>
      </c>
    </row>
    <row r="2106" spans="1:7" x14ac:dyDescent="0.2">
      <c r="A2106" s="3">
        <v>3000</v>
      </c>
      <c r="B2106" s="2">
        <v>9450</v>
      </c>
      <c r="C2106" s="38">
        <v>45100</v>
      </c>
      <c r="D2106" s="1" t="s">
        <v>177</v>
      </c>
      <c r="E2106" s="1" t="s">
        <v>33</v>
      </c>
      <c r="F2106" s="1" t="s">
        <v>209</v>
      </c>
      <c r="G2106" s="5">
        <v>3.15</v>
      </c>
    </row>
    <row r="2107" spans="1:7" x14ac:dyDescent="0.2">
      <c r="A2107" s="3">
        <v>3000</v>
      </c>
      <c r="B2107" s="2">
        <v>3708</v>
      </c>
      <c r="C2107" s="38">
        <v>45103</v>
      </c>
      <c r="D2107" s="1" t="s">
        <v>178</v>
      </c>
      <c r="E2107" s="1" t="s">
        <v>33</v>
      </c>
      <c r="F2107" s="1" t="s">
        <v>209</v>
      </c>
      <c r="G2107" s="5">
        <v>1.236</v>
      </c>
    </row>
    <row r="2108" spans="1:7" x14ac:dyDescent="0.2">
      <c r="A2108" s="3">
        <v>2500</v>
      </c>
      <c r="B2108" s="2">
        <v>2875</v>
      </c>
      <c r="C2108" s="38">
        <v>45103</v>
      </c>
      <c r="D2108" s="1" t="s">
        <v>160</v>
      </c>
      <c r="E2108" s="1" t="s">
        <v>33</v>
      </c>
      <c r="F2108" s="1" t="s">
        <v>209</v>
      </c>
      <c r="G2108" s="5">
        <v>1.1499999999999999</v>
      </c>
    </row>
    <row r="2109" spans="1:7" x14ac:dyDescent="0.2">
      <c r="A2109" s="3">
        <v>3000</v>
      </c>
      <c r="B2109" s="2">
        <v>5610</v>
      </c>
      <c r="C2109" s="38">
        <v>45103</v>
      </c>
      <c r="D2109" s="1" t="s">
        <v>176</v>
      </c>
      <c r="E2109" s="1" t="s">
        <v>33</v>
      </c>
      <c r="F2109" s="1" t="s">
        <v>209</v>
      </c>
      <c r="G2109" s="5">
        <v>1.87</v>
      </c>
    </row>
    <row r="2110" spans="1:7" x14ac:dyDescent="0.2">
      <c r="A2110" s="3">
        <v>3000</v>
      </c>
      <c r="B2110" s="2">
        <v>5610</v>
      </c>
      <c r="C2110" s="38">
        <v>45103</v>
      </c>
      <c r="D2110" s="1" t="s">
        <v>176</v>
      </c>
      <c r="E2110" s="1" t="s">
        <v>33</v>
      </c>
      <c r="F2110" s="1" t="s">
        <v>209</v>
      </c>
      <c r="G2110" s="5">
        <v>1.87</v>
      </c>
    </row>
    <row r="2111" spans="1:7" x14ac:dyDescent="0.2">
      <c r="A2111" s="3">
        <v>3000</v>
      </c>
      <c r="B2111" s="2">
        <v>5610</v>
      </c>
      <c r="C2111" s="38">
        <v>44782</v>
      </c>
      <c r="D2111" s="1" t="s">
        <v>176</v>
      </c>
      <c r="E2111" s="1" t="s">
        <v>33</v>
      </c>
      <c r="F2111" s="1" t="s">
        <v>209</v>
      </c>
      <c r="G2111" s="5">
        <v>1.87</v>
      </c>
    </row>
    <row r="2112" spans="1:7" x14ac:dyDescent="0.2">
      <c r="A2112" s="3">
        <v>3000</v>
      </c>
      <c r="B2112" s="2">
        <v>4620</v>
      </c>
      <c r="C2112" s="38">
        <v>45041</v>
      </c>
      <c r="D2112" s="1" t="s">
        <v>179</v>
      </c>
      <c r="E2112" s="1" t="s">
        <v>33</v>
      </c>
      <c r="F2112" s="1" t="s">
        <v>209</v>
      </c>
      <c r="G2112" s="5">
        <v>1.54</v>
      </c>
    </row>
    <row r="2113" spans="1:7" x14ac:dyDescent="0.2">
      <c r="A2113" s="3">
        <v>3000</v>
      </c>
      <c r="B2113" s="2">
        <v>9450</v>
      </c>
      <c r="C2113" s="38">
        <v>45041</v>
      </c>
      <c r="D2113" s="1" t="s">
        <v>177</v>
      </c>
      <c r="E2113" s="1" t="s">
        <v>33</v>
      </c>
      <c r="F2113" s="1" t="s">
        <v>209</v>
      </c>
      <c r="G2113" s="5">
        <v>3.15</v>
      </c>
    </row>
    <row r="2114" spans="1:7" x14ac:dyDescent="0.2">
      <c r="A2114" s="3">
        <v>3000</v>
      </c>
      <c r="B2114" s="2">
        <v>3720</v>
      </c>
      <c r="C2114" s="38">
        <v>45044</v>
      </c>
      <c r="D2114" s="1" t="s">
        <v>178</v>
      </c>
      <c r="E2114" s="1" t="s">
        <v>33</v>
      </c>
      <c r="F2114" s="1" t="s">
        <v>209</v>
      </c>
      <c r="G2114" s="5">
        <v>1.24</v>
      </c>
    </row>
    <row r="2115" spans="1:7" x14ac:dyDescent="0.2">
      <c r="A2115" s="3">
        <v>3000</v>
      </c>
      <c r="B2115" s="2">
        <v>5610</v>
      </c>
      <c r="C2115" s="38">
        <v>45051</v>
      </c>
      <c r="D2115" s="1" t="s">
        <v>176</v>
      </c>
      <c r="E2115" s="1" t="s">
        <v>33</v>
      </c>
      <c r="F2115" s="1" t="s">
        <v>209</v>
      </c>
      <c r="G2115" s="5">
        <v>1.87</v>
      </c>
    </row>
    <row r="2116" spans="1:7" x14ac:dyDescent="0.2">
      <c r="A2116" s="3">
        <v>3000</v>
      </c>
      <c r="B2116" s="2">
        <v>4620</v>
      </c>
      <c r="C2116" s="38">
        <v>44789</v>
      </c>
      <c r="D2116" s="1" t="s">
        <v>179</v>
      </c>
      <c r="E2116" s="1" t="s">
        <v>33</v>
      </c>
      <c r="F2116" s="1" t="s">
        <v>209</v>
      </c>
      <c r="G2116" s="5">
        <v>1.54</v>
      </c>
    </row>
    <row r="2117" spans="1:7" x14ac:dyDescent="0.2">
      <c r="A2117" s="3">
        <v>3000</v>
      </c>
      <c r="B2117" s="2">
        <v>3720</v>
      </c>
      <c r="C2117" s="38">
        <v>44792</v>
      </c>
      <c r="D2117" s="1" t="s">
        <v>178</v>
      </c>
      <c r="E2117" s="1" t="s">
        <v>33</v>
      </c>
      <c r="F2117" s="1" t="s">
        <v>209</v>
      </c>
      <c r="G2117" s="5">
        <v>1.24</v>
      </c>
    </row>
    <row r="2118" spans="1:7" x14ac:dyDescent="0.2">
      <c r="A2118" s="3">
        <v>3000</v>
      </c>
      <c r="B2118" s="2">
        <v>3720</v>
      </c>
      <c r="C2118" s="38">
        <v>44882</v>
      </c>
      <c r="D2118" s="1" t="s">
        <v>178</v>
      </c>
      <c r="E2118" s="1" t="s">
        <v>33</v>
      </c>
      <c r="F2118" s="1" t="s">
        <v>209</v>
      </c>
      <c r="G2118" s="5">
        <v>1.24</v>
      </c>
    </row>
    <row r="2119" spans="1:7" x14ac:dyDescent="0.2">
      <c r="A2119" s="3">
        <v>3000</v>
      </c>
      <c r="B2119" s="2">
        <v>9450</v>
      </c>
      <c r="C2119" s="38">
        <v>44840</v>
      </c>
      <c r="D2119" s="1" t="s">
        <v>177</v>
      </c>
      <c r="E2119" s="1" t="s">
        <v>33</v>
      </c>
      <c r="F2119" s="1" t="s">
        <v>209</v>
      </c>
      <c r="G2119" s="5">
        <v>3.15</v>
      </c>
    </row>
    <row r="2120" spans="1:7" x14ac:dyDescent="0.2">
      <c r="A2120" s="3">
        <v>3000</v>
      </c>
      <c r="B2120" s="2">
        <v>5610</v>
      </c>
      <c r="C2120" s="38">
        <v>44851</v>
      </c>
      <c r="D2120" s="1" t="s">
        <v>176</v>
      </c>
      <c r="E2120" s="1" t="s">
        <v>33</v>
      </c>
      <c r="F2120" s="1" t="s">
        <v>209</v>
      </c>
      <c r="G2120" s="5">
        <v>1.87</v>
      </c>
    </row>
    <row r="2121" spans="1:7" x14ac:dyDescent="0.2">
      <c r="A2121" s="3">
        <v>2500</v>
      </c>
      <c r="B2121" s="2">
        <v>2875</v>
      </c>
      <c r="C2121" s="38">
        <v>44855</v>
      </c>
      <c r="D2121" s="1" t="s">
        <v>160</v>
      </c>
      <c r="E2121" s="1" t="s">
        <v>33</v>
      </c>
      <c r="F2121" s="1" t="s">
        <v>209</v>
      </c>
      <c r="G2121" s="5">
        <v>1.1499999999999999</v>
      </c>
    </row>
    <row r="2122" spans="1:7" x14ac:dyDescent="0.2">
      <c r="A2122" s="3">
        <v>300</v>
      </c>
      <c r="B2122" s="2">
        <v>132162</v>
      </c>
      <c r="C2122" s="38">
        <v>44931</v>
      </c>
      <c r="D2122" s="1" t="s">
        <v>66</v>
      </c>
      <c r="E2122" s="1" t="s">
        <v>33</v>
      </c>
      <c r="F2122" s="1" t="s">
        <v>209</v>
      </c>
      <c r="G2122" s="5">
        <v>440.54</v>
      </c>
    </row>
    <row r="2123" spans="1:7" x14ac:dyDescent="0.2">
      <c r="A2123" s="3">
        <v>630</v>
      </c>
      <c r="B2123" s="2">
        <v>228047.4</v>
      </c>
      <c r="C2123" s="38">
        <v>45043</v>
      </c>
      <c r="D2123" s="1" t="s">
        <v>74</v>
      </c>
      <c r="E2123" s="1" t="s">
        <v>33</v>
      </c>
      <c r="F2123" s="1" t="s">
        <v>209</v>
      </c>
      <c r="G2123" s="5">
        <v>361.98</v>
      </c>
    </row>
    <row r="2124" spans="1:7" x14ac:dyDescent="0.2">
      <c r="A2124" s="3">
        <v>420</v>
      </c>
      <c r="B2124" s="2">
        <v>170772</v>
      </c>
      <c r="C2124" s="38">
        <v>44993</v>
      </c>
      <c r="D2124" s="1" t="s">
        <v>73</v>
      </c>
      <c r="E2124" s="1" t="s">
        <v>33</v>
      </c>
      <c r="F2124" s="1" t="s">
        <v>209</v>
      </c>
      <c r="G2124" s="5">
        <v>406.6</v>
      </c>
    </row>
    <row r="2125" spans="1:7" x14ac:dyDescent="0.2">
      <c r="A2125" s="3">
        <v>70</v>
      </c>
      <c r="B2125" s="2">
        <v>28462</v>
      </c>
      <c r="C2125" s="38">
        <v>44993</v>
      </c>
      <c r="D2125" s="1" t="s">
        <v>73</v>
      </c>
      <c r="E2125" s="1" t="s">
        <v>33</v>
      </c>
      <c r="F2125" s="1" t="s">
        <v>209</v>
      </c>
      <c r="G2125" s="5">
        <v>406.6</v>
      </c>
    </row>
    <row r="2126" spans="1:7" x14ac:dyDescent="0.2">
      <c r="A2126" s="3">
        <v>210</v>
      </c>
      <c r="B2126" s="2">
        <v>85386</v>
      </c>
      <c r="C2126" s="38">
        <v>44993</v>
      </c>
      <c r="D2126" s="1" t="s">
        <v>73</v>
      </c>
      <c r="E2126" s="1" t="s">
        <v>33</v>
      </c>
      <c r="F2126" s="1" t="s">
        <v>209</v>
      </c>
      <c r="G2126" s="5">
        <v>406.6</v>
      </c>
    </row>
    <row r="2127" spans="1:7" x14ac:dyDescent="0.2">
      <c r="A2127" s="3">
        <v>140</v>
      </c>
      <c r="B2127" s="2">
        <v>56924</v>
      </c>
      <c r="C2127" s="38">
        <v>44993</v>
      </c>
      <c r="D2127" s="1" t="s">
        <v>73</v>
      </c>
      <c r="E2127" s="1" t="s">
        <v>33</v>
      </c>
      <c r="F2127" s="1" t="s">
        <v>209</v>
      </c>
      <c r="G2127" s="5">
        <v>406.6</v>
      </c>
    </row>
    <row r="2128" spans="1:7" x14ac:dyDescent="0.2">
      <c r="A2128" s="3">
        <v>70</v>
      </c>
      <c r="B2128" s="2">
        <v>28462</v>
      </c>
      <c r="C2128" s="38">
        <v>44993</v>
      </c>
      <c r="D2128" s="1" t="s">
        <v>73</v>
      </c>
      <c r="E2128" s="1" t="s">
        <v>33</v>
      </c>
      <c r="F2128" s="1" t="s">
        <v>209</v>
      </c>
      <c r="G2128" s="5">
        <v>406.6</v>
      </c>
    </row>
    <row r="2129" spans="1:7" x14ac:dyDescent="0.2">
      <c r="A2129" s="3">
        <v>450</v>
      </c>
      <c r="B2129" s="2">
        <v>342936</v>
      </c>
      <c r="C2129" s="38">
        <v>45021</v>
      </c>
      <c r="D2129" s="1" t="s">
        <v>83</v>
      </c>
      <c r="E2129" s="1" t="s">
        <v>33</v>
      </c>
      <c r="F2129" s="1" t="s">
        <v>209</v>
      </c>
      <c r="G2129" s="5">
        <v>762.08</v>
      </c>
    </row>
    <row r="2130" spans="1:7" x14ac:dyDescent="0.2">
      <c r="A2130" s="3">
        <v>210</v>
      </c>
      <c r="B2130" s="2">
        <v>160036.79999999999</v>
      </c>
      <c r="C2130" s="38">
        <v>45021</v>
      </c>
      <c r="D2130" s="1" t="s">
        <v>83</v>
      </c>
      <c r="E2130" s="1" t="s">
        <v>33</v>
      </c>
      <c r="F2130" s="1" t="s">
        <v>209</v>
      </c>
      <c r="G2130" s="5">
        <v>762.08</v>
      </c>
    </row>
    <row r="2131" spans="1:7" x14ac:dyDescent="0.2">
      <c r="A2131" s="3">
        <v>240</v>
      </c>
      <c r="B2131" s="2">
        <v>206515.20000000001</v>
      </c>
      <c r="C2131" s="38">
        <v>45035</v>
      </c>
      <c r="D2131" s="1" t="s">
        <v>85</v>
      </c>
      <c r="E2131" s="1" t="s">
        <v>33</v>
      </c>
      <c r="F2131" s="1" t="s">
        <v>209</v>
      </c>
      <c r="G2131" s="5">
        <v>860.48</v>
      </c>
    </row>
    <row r="2132" spans="1:7" x14ac:dyDescent="0.2">
      <c r="A2132" s="3">
        <v>120</v>
      </c>
      <c r="B2132" s="2">
        <v>103257.60000000001</v>
      </c>
      <c r="C2132" s="38">
        <v>45035</v>
      </c>
      <c r="D2132" s="1" t="s">
        <v>85</v>
      </c>
      <c r="E2132" s="1" t="s">
        <v>33</v>
      </c>
      <c r="F2132" s="1" t="s">
        <v>209</v>
      </c>
      <c r="G2132" s="5">
        <v>860.48</v>
      </c>
    </row>
    <row r="2133" spans="1:7" x14ac:dyDescent="0.2">
      <c r="A2133" s="3">
        <v>330</v>
      </c>
      <c r="B2133" s="2">
        <v>145378.20000000001</v>
      </c>
      <c r="C2133" s="38">
        <v>45035</v>
      </c>
      <c r="D2133" s="1" t="s">
        <v>66</v>
      </c>
      <c r="E2133" s="1" t="s">
        <v>33</v>
      </c>
      <c r="F2133" s="1" t="s">
        <v>209</v>
      </c>
      <c r="G2133" s="5">
        <v>440.54</v>
      </c>
    </row>
    <row r="2134" spans="1:7" x14ac:dyDescent="0.2">
      <c r="A2134" s="3">
        <v>540</v>
      </c>
      <c r="B2134" s="2">
        <v>237891.6</v>
      </c>
      <c r="C2134" s="38">
        <v>45035</v>
      </c>
      <c r="D2134" s="1" t="s">
        <v>66</v>
      </c>
      <c r="E2134" s="1" t="s">
        <v>33</v>
      </c>
      <c r="F2134" s="1" t="s">
        <v>209</v>
      </c>
      <c r="G2134" s="5">
        <v>440.54</v>
      </c>
    </row>
    <row r="2135" spans="1:7" x14ac:dyDescent="0.2">
      <c r="A2135" s="3">
        <v>30</v>
      </c>
      <c r="B2135" s="2">
        <v>22862.400000000001</v>
      </c>
      <c r="C2135" s="38">
        <v>45055</v>
      </c>
      <c r="D2135" s="1" t="s">
        <v>83</v>
      </c>
      <c r="E2135" s="1" t="s">
        <v>33</v>
      </c>
      <c r="F2135" s="1" t="s">
        <v>209</v>
      </c>
      <c r="G2135" s="5">
        <v>762.08</v>
      </c>
    </row>
    <row r="2136" spans="1:7" x14ac:dyDescent="0.2">
      <c r="A2136" s="3">
        <v>240</v>
      </c>
      <c r="B2136" s="2">
        <v>182899.20000000001</v>
      </c>
      <c r="C2136" s="38">
        <v>45055</v>
      </c>
      <c r="D2136" s="1" t="s">
        <v>83</v>
      </c>
      <c r="E2136" s="1" t="s">
        <v>33</v>
      </c>
      <c r="F2136" s="1" t="s">
        <v>209</v>
      </c>
      <c r="G2136" s="5">
        <v>762.08</v>
      </c>
    </row>
    <row r="2137" spans="1:7" x14ac:dyDescent="0.2">
      <c r="A2137" s="3">
        <v>300</v>
      </c>
      <c r="B2137" s="2">
        <v>228624</v>
      </c>
      <c r="C2137" s="38">
        <v>45055</v>
      </c>
      <c r="D2137" s="1" t="s">
        <v>83</v>
      </c>
      <c r="E2137" s="1" t="s">
        <v>33</v>
      </c>
      <c r="F2137" s="1" t="s">
        <v>209</v>
      </c>
      <c r="G2137" s="5">
        <v>762.08</v>
      </c>
    </row>
    <row r="2138" spans="1:7" x14ac:dyDescent="0.2">
      <c r="A2138" s="3">
        <v>140</v>
      </c>
      <c r="B2138" s="2">
        <v>50677.2</v>
      </c>
      <c r="C2138" s="38">
        <v>44965</v>
      </c>
      <c r="D2138" s="1" t="s">
        <v>74</v>
      </c>
      <c r="E2138" s="1" t="s">
        <v>33</v>
      </c>
      <c r="F2138" s="1" t="s">
        <v>209</v>
      </c>
      <c r="G2138" s="5">
        <v>361.98</v>
      </c>
    </row>
    <row r="2139" spans="1:7" x14ac:dyDescent="0.2">
      <c r="A2139" s="3">
        <v>510</v>
      </c>
      <c r="B2139" s="2">
        <v>224675.4</v>
      </c>
      <c r="C2139" s="38">
        <v>44965</v>
      </c>
      <c r="D2139" s="1" t="s">
        <v>66</v>
      </c>
      <c r="E2139" s="1" t="s">
        <v>33</v>
      </c>
      <c r="F2139" s="1" t="s">
        <v>209</v>
      </c>
      <c r="G2139" s="5">
        <v>440.54</v>
      </c>
    </row>
    <row r="2140" spans="1:7" x14ac:dyDescent="0.2">
      <c r="A2140" s="3">
        <v>240</v>
      </c>
      <c r="B2140" s="2">
        <v>105729.60000000001</v>
      </c>
      <c r="C2140" s="38">
        <v>44985</v>
      </c>
      <c r="D2140" s="1" t="s">
        <v>66</v>
      </c>
      <c r="E2140" s="1" t="s">
        <v>33</v>
      </c>
      <c r="F2140" s="1" t="s">
        <v>209</v>
      </c>
      <c r="G2140" s="5">
        <v>440.54</v>
      </c>
    </row>
    <row r="2141" spans="1:7" x14ac:dyDescent="0.2">
      <c r="A2141" s="3">
        <v>216</v>
      </c>
      <c r="B2141" s="2">
        <v>23392.799999999999</v>
      </c>
      <c r="C2141" s="38">
        <v>44985</v>
      </c>
      <c r="D2141" s="1" t="s">
        <v>55</v>
      </c>
      <c r="E2141" s="1" t="s">
        <v>33</v>
      </c>
      <c r="F2141" s="1" t="s">
        <v>209</v>
      </c>
      <c r="G2141" s="5">
        <v>108.3</v>
      </c>
    </row>
    <row r="2142" spans="1:7" x14ac:dyDescent="0.2">
      <c r="A2142" s="3">
        <v>2160</v>
      </c>
      <c r="B2142" s="2">
        <v>233928</v>
      </c>
      <c r="C2142" s="38">
        <v>44903</v>
      </c>
      <c r="D2142" s="1" t="s">
        <v>55</v>
      </c>
      <c r="E2142" s="1" t="s">
        <v>33</v>
      </c>
      <c r="F2142" s="1" t="s">
        <v>209</v>
      </c>
      <c r="G2142" s="5">
        <v>108.3</v>
      </c>
    </row>
    <row r="2143" spans="1:7" x14ac:dyDescent="0.2">
      <c r="A2143" s="3">
        <v>15</v>
      </c>
      <c r="B2143" s="2">
        <v>12907.2</v>
      </c>
      <c r="C2143" s="38">
        <v>44911</v>
      </c>
      <c r="D2143" s="1" t="s">
        <v>85</v>
      </c>
      <c r="E2143" s="1" t="s">
        <v>33</v>
      </c>
      <c r="F2143" s="1" t="s">
        <v>209</v>
      </c>
      <c r="G2143" s="5">
        <v>860.48</v>
      </c>
    </row>
    <row r="2144" spans="1:7" x14ac:dyDescent="0.2">
      <c r="A2144" s="3">
        <v>36</v>
      </c>
      <c r="B2144" s="2">
        <v>16585.560000000001</v>
      </c>
      <c r="C2144" s="38">
        <v>45169</v>
      </c>
      <c r="D2144" s="1" t="s">
        <v>122</v>
      </c>
      <c r="E2144" s="1" t="s">
        <v>33</v>
      </c>
      <c r="F2144" s="1" t="s">
        <v>209</v>
      </c>
      <c r="G2144" s="5">
        <v>460.71</v>
      </c>
    </row>
    <row r="2145" spans="1:7" x14ac:dyDescent="0.2">
      <c r="A2145" s="3">
        <v>36</v>
      </c>
      <c r="B2145" s="2">
        <v>16585.560000000001</v>
      </c>
      <c r="C2145" s="38">
        <v>45169</v>
      </c>
      <c r="D2145" s="1" t="s">
        <v>122</v>
      </c>
      <c r="E2145" s="1" t="s">
        <v>33</v>
      </c>
      <c r="F2145" s="1" t="s">
        <v>209</v>
      </c>
      <c r="G2145" s="5">
        <v>460.71</v>
      </c>
    </row>
    <row r="2146" spans="1:7" x14ac:dyDescent="0.2">
      <c r="A2146" s="3">
        <v>36</v>
      </c>
      <c r="B2146" s="2">
        <v>16585.560000000001</v>
      </c>
      <c r="C2146" s="38">
        <v>45169</v>
      </c>
      <c r="D2146" s="1" t="s">
        <v>122</v>
      </c>
      <c r="E2146" s="1" t="s">
        <v>33</v>
      </c>
      <c r="F2146" s="1" t="s">
        <v>209</v>
      </c>
      <c r="G2146" s="5">
        <v>460.71</v>
      </c>
    </row>
    <row r="2147" spans="1:7" x14ac:dyDescent="0.2">
      <c r="A2147" s="3">
        <v>36</v>
      </c>
      <c r="B2147" s="2">
        <v>16585.560000000001</v>
      </c>
      <c r="C2147" s="38">
        <v>45169</v>
      </c>
      <c r="D2147" s="1" t="s">
        <v>122</v>
      </c>
      <c r="E2147" s="1" t="s">
        <v>33</v>
      </c>
      <c r="F2147" s="1" t="s">
        <v>209</v>
      </c>
      <c r="G2147" s="5">
        <v>460.71</v>
      </c>
    </row>
    <row r="2148" spans="1:7" x14ac:dyDescent="0.2">
      <c r="A2148" s="3">
        <v>36</v>
      </c>
      <c r="B2148" s="2">
        <v>16585.560000000001</v>
      </c>
      <c r="C2148" s="38">
        <v>45169</v>
      </c>
      <c r="D2148" s="1" t="s">
        <v>122</v>
      </c>
      <c r="E2148" s="1" t="s">
        <v>33</v>
      </c>
      <c r="F2148" s="1" t="s">
        <v>209</v>
      </c>
      <c r="G2148" s="5">
        <v>460.71</v>
      </c>
    </row>
    <row r="2149" spans="1:7" x14ac:dyDescent="0.2">
      <c r="A2149" s="3">
        <v>36</v>
      </c>
      <c r="B2149" s="2">
        <v>16585.560000000001</v>
      </c>
      <c r="C2149" s="38">
        <v>45169</v>
      </c>
      <c r="D2149" s="1" t="s">
        <v>122</v>
      </c>
      <c r="E2149" s="1" t="s">
        <v>33</v>
      </c>
      <c r="F2149" s="1" t="s">
        <v>209</v>
      </c>
      <c r="G2149" s="5">
        <v>460.71</v>
      </c>
    </row>
    <row r="2150" spans="1:7" x14ac:dyDescent="0.2">
      <c r="A2150" s="3">
        <v>36</v>
      </c>
      <c r="B2150" s="2">
        <v>16585.560000000001</v>
      </c>
      <c r="C2150" s="38">
        <v>45169</v>
      </c>
      <c r="D2150" s="1" t="s">
        <v>122</v>
      </c>
      <c r="E2150" s="1" t="s">
        <v>33</v>
      </c>
      <c r="F2150" s="1" t="s">
        <v>209</v>
      </c>
      <c r="G2150" s="5">
        <v>460.71</v>
      </c>
    </row>
    <row r="2151" spans="1:7" x14ac:dyDescent="0.2">
      <c r="A2151" s="3">
        <v>72</v>
      </c>
      <c r="B2151" s="2">
        <v>33171.120000000003</v>
      </c>
      <c r="C2151" s="38">
        <v>45169</v>
      </c>
      <c r="D2151" s="1" t="s">
        <v>122</v>
      </c>
      <c r="E2151" s="1" t="s">
        <v>33</v>
      </c>
      <c r="F2151" s="1" t="s">
        <v>209</v>
      </c>
      <c r="G2151" s="5">
        <v>460.71</v>
      </c>
    </row>
    <row r="2152" spans="1:7" x14ac:dyDescent="0.2">
      <c r="A2152" s="3">
        <v>108</v>
      </c>
      <c r="B2152" s="2">
        <v>12334.68</v>
      </c>
      <c r="C2152" s="38">
        <v>44938</v>
      </c>
      <c r="D2152" s="1" t="s">
        <v>55</v>
      </c>
      <c r="E2152" s="1" t="s">
        <v>33</v>
      </c>
      <c r="F2152" s="1" t="s">
        <v>209</v>
      </c>
      <c r="G2152" s="5">
        <v>114.21</v>
      </c>
    </row>
    <row r="2153" spans="1:7" x14ac:dyDescent="0.2">
      <c r="A2153" s="3">
        <v>108</v>
      </c>
      <c r="B2153" s="2">
        <v>12334.68</v>
      </c>
      <c r="C2153" s="38">
        <v>44938</v>
      </c>
      <c r="D2153" s="1" t="s">
        <v>55</v>
      </c>
      <c r="E2153" s="1" t="s">
        <v>33</v>
      </c>
      <c r="F2153" s="1" t="s">
        <v>209</v>
      </c>
      <c r="G2153" s="5">
        <v>114.21</v>
      </c>
    </row>
    <row r="2154" spans="1:7" x14ac:dyDescent="0.2">
      <c r="A2154" s="3">
        <v>120</v>
      </c>
      <c r="B2154" s="2">
        <v>51024</v>
      </c>
      <c r="C2154" s="38">
        <v>44938</v>
      </c>
      <c r="D2154" s="1" t="s">
        <v>58</v>
      </c>
      <c r="E2154" s="1" t="s">
        <v>33</v>
      </c>
      <c r="F2154" s="1" t="s">
        <v>209</v>
      </c>
      <c r="G2154" s="5">
        <v>425.2</v>
      </c>
    </row>
    <row r="2155" spans="1:7" x14ac:dyDescent="0.2">
      <c r="A2155" s="3">
        <v>700</v>
      </c>
      <c r="B2155" s="2">
        <v>290661</v>
      </c>
      <c r="C2155" s="38">
        <v>44938</v>
      </c>
      <c r="D2155" s="1" t="s">
        <v>72</v>
      </c>
      <c r="E2155" s="1" t="s">
        <v>33</v>
      </c>
      <c r="F2155" s="1" t="s">
        <v>209</v>
      </c>
      <c r="G2155" s="5">
        <v>415.23</v>
      </c>
    </row>
    <row r="2156" spans="1:7" x14ac:dyDescent="0.2">
      <c r="A2156" s="3">
        <v>816</v>
      </c>
      <c r="B2156" s="2">
        <v>54035.519999999997</v>
      </c>
      <c r="C2156" s="38">
        <v>44938</v>
      </c>
      <c r="D2156" s="1" t="s">
        <v>119</v>
      </c>
      <c r="E2156" s="1" t="s">
        <v>33</v>
      </c>
      <c r="F2156" s="1" t="s">
        <v>209</v>
      </c>
      <c r="G2156" s="5">
        <v>66.22</v>
      </c>
    </row>
    <row r="2157" spans="1:7" x14ac:dyDescent="0.2">
      <c r="A2157" s="3">
        <v>16</v>
      </c>
      <c r="B2157" s="2">
        <v>1059.52</v>
      </c>
      <c r="C2157" s="38">
        <v>44719</v>
      </c>
      <c r="D2157" s="1" t="s">
        <v>119</v>
      </c>
      <c r="E2157" s="1" t="s">
        <v>33</v>
      </c>
      <c r="F2157" s="1" t="s">
        <v>209</v>
      </c>
      <c r="G2157" s="5">
        <v>66.22</v>
      </c>
    </row>
    <row r="2158" spans="1:7" x14ac:dyDescent="0.2">
      <c r="A2158" s="3">
        <v>266</v>
      </c>
      <c r="B2158" s="2">
        <v>44778.44</v>
      </c>
      <c r="C2158" s="38">
        <v>44582</v>
      </c>
      <c r="D2158" s="1" t="s">
        <v>163</v>
      </c>
      <c r="E2158" s="1" t="s">
        <v>33</v>
      </c>
      <c r="F2158" s="1" t="s">
        <v>209</v>
      </c>
      <c r="G2158" s="5">
        <v>168.34</v>
      </c>
    </row>
    <row r="2159" spans="1:7" x14ac:dyDescent="0.2">
      <c r="A2159" s="3">
        <v>140</v>
      </c>
      <c r="B2159" s="2">
        <v>50677.2</v>
      </c>
      <c r="C2159" s="38">
        <v>44652</v>
      </c>
      <c r="D2159" s="1" t="s">
        <v>74</v>
      </c>
      <c r="E2159" s="1" t="s">
        <v>33</v>
      </c>
      <c r="F2159" s="1" t="s">
        <v>209</v>
      </c>
      <c r="G2159" s="5">
        <v>361.98</v>
      </c>
    </row>
    <row r="2160" spans="1:7" x14ac:dyDescent="0.2">
      <c r="A2160" s="3">
        <v>240</v>
      </c>
      <c r="B2160" s="2">
        <v>182899.20000000001</v>
      </c>
      <c r="C2160" s="38">
        <v>44656</v>
      </c>
      <c r="D2160" s="1" t="s">
        <v>83</v>
      </c>
      <c r="E2160" s="1" t="s">
        <v>33</v>
      </c>
      <c r="F2160" s="1" t="s">
        <v>209</v>
      </c>
      <c r="G2160" s="5">
        <v>762.08</v>
      </c>
    </row>
    <row r="2161" spans="1:7" x14ac:dyDescent="0.2">
      <c r="A2161" s="3">
        <v>240</v>
      </c>
      <c r="B2161" s="2">
        <v>182899.20000000001</v>
      </c>
      <c r="C2161" s="38">
        <v>44656</v>
      </c>
      <c r="D2161" s="1" t="s">
        <v>83</v>
      </c>
      <c r="E2161" s="1" t="s">
        <v>33</v>
      </c>
      <c r="F2161" s="1" t="s">
        <v>209</v>
      </c>
      <c r="G2161" s="5">
        <v>762.08</v>
      </c>
    </row>
    <row r="2162" spans="1:7" x14ac:dyDescent="0.2">
      <c r="A2162" s="3">
        <v>240</v>
      </c>
      <c r="B2162" s="2">
        <v>182899.20000000001</v>
      </c>
      <c r="C2162" s="38">
        <v>44656</v>
      </c>
      <c r="D2162" s="1" t="s">
        <v>83</v>
      </c>
      <c r="E2162" s="1" t="s">
        <v>33</v>
      </c>
      <c r="F2162" s="1" t="s">
        <v>209</v>
      </c>
      <c r="G2162" s="5">
        <v>762.08</v>
      </c>
    </row>
    <row r="2163" spans="1:7" x14ac:dyDescent="0.2">
      <c r="A2163" s="3">
        <v>240</v>
      </c>
      <c r="B2163" s="2">
        <v>182899.20000000001</v>
      </c>
      <c r="C2163" s="38">
        <v>44656</v>
      </c>
      <c r="D2163" s="1" t="s">
        <v>83</v>
      </c>
      <c r="E2163" s="1" t="s">
        <v>33</v>
      </c>
      <c r="F2163" s="1" t="s">
        <v>209</v>
      </c>
      <c r="G2163" s="5">
        <v>762.08</v>
      </c>
    </row>
    <row r="2164" spans="1:7" x14ac:dyDescent="0.2">
      <c r="A2164" s="3">
        <v>226</v>
      </c>
      <c r="B2164" s="2">
        <v>38047.1</v>
      </c>
      <c r="C2164" s="38">
        <v>44664</v>
      </c>
      <c r="D2164" s="1" t="s">
        <v>163</v>
      </c>
      <c r="E2164" s="1" t="s">
        <v>33</v>
      </c>
      <c r="F2164" s="1" t="s">
        <v>209</v>
      </c>
      <c r="G2164" s="5">
        <v>168.35</v>
      </c>
    </row>
    <row r="2165" spans="1:7" x14ac:dyDescent="0.2">
      <c r="A2165" s="3">
        <v>111</v>
      </c>
      <c r="B2165" s="2">
        <v>18686.849999999999</v>
      </c>
      <c r="C2165" s="38">
        <v>44685</v>
      </c>
      <c r="D2165" s="1" t="s">
        <v>163</v>
      </c>
      <c r="E2165" s="1" t="s">
        <v>33</v>
      </c>
      <c r="F2165" s="1" t="s">
        <v>209</v>
      </c>
      <c r="G2165" s="5">
        <v>168.35</v>
      </c>
    </row>
    <row r="2166" spans="1:7" x14ac:dyDescent="0.2">
      <c r="A2166" s="3">
        <v>140</v>
      </c>
      <c r="B2166" s="2">
        <v>56924</v>
      </c>
      <c r="C2166" s="38">
        <v>44685</v>
      </c>
      <c r="D2166" s="1" t="s">
        <v>73</v>
      </c>
      <c r="E2166" s="1" t="s">
        <v>33</v>
      </c>
      <c r="F2166" s="1" t="s">
        <v>209</v>
      </c>
      <c r="G2166" s="5">
        <v>406.6</v>
      </c>
    </row>
    <row r="2167" spans="1:7" x14ac:dyDescent="0.2">
      <c r="A2167" s="3">
        <v>280</v>
      </c>
      <c r="B2167" s="2">
        <v>113848</v>
      </c>
      <c r="C2167" s="38">
        <v>44685</v>
      </c>
      <c r="D2167" s="1" t="s">
        <v>73</v>
      </c>
      <c r="E2167" s="1" t="s">
        <v>33</v>
      </c>
      <c r="F2167" s="1" t="s">
        <v>209</v>
      </c>
      <c r="G2167" s="5">
        <v>406.6</v>
      </c>
    </row>
    <row r="2168" spans="1:7" x14ac:dyDescent="0.2">
      <c r="A2168" s="3">
        <v>38</v>
      </c>
      <c r="B2168" s="2">
        <v>6397.3</v>
      </c>
      <c r="C2168" s="38">
        <v>44664</v>
      </c>
      <c r="D2168" s="1" t="s">
        <v>163</v>
      </c>
      <c r="E2168" s="1" t="s">
        <v>33</v>
      </c>
      <c r="F2168" s="1" t="s">
        <v>209</v>
      </c>
      <c r="G2168" s="5">
        <v>168.35</v>
      </c>
    </row>
    <row r="2169" spans="1:7" x14ac:dyDescent="0.2">
      <c r="A2169" s="3">
        <v>108</v>
      </c>
      <c r="B2169" s="2">
        <v>11695.32</v>
      </c>
      <c r="C2169" s="38">
        <v>44722</v>
      </c>
      <c r="D2169" s="1" t="s">
        <v>55</v>
      </c>
      <c r="E2169" s="1" t="s">
        <v>33</v>
      </c>
      <c r="F2169" s="1" t="s">
        <v>209</v>
      </c>
      <c r="G2169" s="5">
        <v>108.29</v>
      </c>
    </row>
    <row r="2170" spans="1:7" x14ac:dyDescent="0.2">
      <c r="A2170" s="3">
        <v>108</v>
      </c>
      <c r="B2170" s="2">
        <v>11695.32</v>
      </c>
      <c r="C2170" s="38">
        <v>44733</v>
      </c>
      <c r="D2170" s="1" t="s">
        <v>55</v>
      </c>
      <c r="E2170" s="1" t="s">
        <v>33</v>
      </c>
      <c r="F2170" s="1" t="s">
        <v>209</v>
      </c>
      <c r="G2170" s="5">
        <v>108.29</v>
      </c>
    </row>
    <row r="2171" spans="1:7" x14ac:dyDescent="0.2">
      <c r="A2171" s="3">
        <v>140</v>
      </c>
      <c r="B2171" s="2">
        <v>50677.2</v>
      </c>
      <c r="C2171" s="38">
        <v>44600</v>
      </c>
      <c r="D2171" s="1" t="s">
        <v>74</v>
      </c>
      <c r="E2171" s="1" t="s">
        <v>33</v>
      </c>
      <c r="F2171" s="1" t="s">
        <v>209</v>
      </c>
      <c r="G2171" s="5">
        <v>361.98</v>
      </c>
    </row>
    <row r="2172" spans="1:7" x14ac:dyDescent="0.2">
      <c r="A2172" s="3">
        <v>210</v>
      </c>
      <c r="B2172" s="2">
        <v>76015.8</v>
      </c>
      <c r="C2172" s="38">
        <v>44600</v>
      </c>
      <c r="D2172" s="1" t="s">
        <v>74</v>
      </c>
      <c r="E2172" s="1" t="s">
        <v>33</v>
      </c>
      <c r="F2172" s="1" t="s">
        <v>209</v>
      </c>
      <c r="G2172" s="5">
        <v>361.98</v>
      </c>
    </row>
    <row r="2173" spans="1:7" x14ac:dyDescent="0.2">
      <c r="A2173" s="3">
        <v>70</v>
      </c>
      <c r="B2173" s="2">
        <v>25338.6</v>
      </c>
      <c r="C2173" s="38">
        <v>44600</v>
      </c>
      <c r="D2173" s="1" t="s">
        <v>74</v>
      </c>
      <c r="E2173" s="1" t="s">
        <v>33</v>
      </c>
      <c r="F2173" s="1" t="s">
        <v>209</v>
      </c>
      <c r="G2173" s="5">
        <v>361.98</v>
      </c>
    </row>
    <row r="2174" spans="1:7" x14ac:dyDescent="0.2">
      <c r="A2174" s="3">
        <v>140</v>
      </c>
      <c r="B2174" s="2">
        <v>50677.2</v>
      </c>
      <c r="C2174" s="38">
        <v>44600</v>
      </c>
      <c r="D2174" s="1" t="s">
        <v>74</v>
      </c>
      <c r="E2174" s="1" t="s">
        <v>33</v>
      </c>
      <c r="F2174" s="1" t="s">
        <v>209</v>
      </c>
      <c r="G2174" s="5">
        <v>361.98</v>
      </c>
    </row>
    <row r="2175" spans="1:7" x14ac:dyDescent="0.2">
      <c r="A2175" s="3">
        <v>70</v>
      </c>
      <c r="B2175" s="2">
        <v>28462</v>
      </c>
      <c r="C2175" s="38">
        <v>44691</v>
      </c>
      <c r="D2175" s="1" t="s">
        <v>73</v>
      </c>
      <c r="E2175" s="1" t="s">
        <v>33</v>
      </c>
      <c r="F2175" s="1" t="s">
        <v>209</v>
      </c>
      <c r="G2175" s="5">
        <v>406.6</v>
      </c>
    </row>
    <row r="2176" spans="1:7" x14ac:dyDescent="0.2">
      <c r="A2176" s="3">
        <v>210</v>
      </c>
      <c r="B2176" s="2">
        <v>85386</v>
      </c>
      <c r="C2176" s="38">
        <v>44691</v>
      </c>
      <c r="D2176" s="1" t="s">
        <v>73</v>
      </c>
      <c r="E2176" s="1" t="s">
        <v>33</v>
      </c>
      <c r="F2176" s="1" t="s">
        <v>209</v>
      </c>
      <c r="G2176" s="5">
        <v>406.6</v>
      </c>
    </row>
    <row r="2177" spans="1:7" x14ac:dyDescent="0.2">
      <c r="A2177" s="3">
        <v>2000</v>
      </c>
      <c r="B2177" s="2">
        <v>3660</v>
      </c>
      <c r="C2177" s="38">
        <v>44603</v>
      </c>
      <c r="D2177" s="1" t="s">
        <v>56</v>
      </c>
      <c r="E2177" s="1" t="s">
        <v>33</v>
      </c>
      <c r="F2177" s="1" t="s">
        <v>209</v>
      </c>
      <c r="G2177" s="5">
        <v>1.83</v>
      </c>
    </row>
    <row r="2178" spans="1:7" x14ac:dyDescent="0.2">
      <c r="A2178" s="3">
        <v>2000</v>
      </c>
      <c r="B2178" s="2">
        <v>3660</v>
      </c>
      <c r="C2178" s="38">
        <v>44698</v>
      </c>
      <c r="D2178" s="1" t="s">
        <v>56</v>
      </c>
      <c r="E2178" s="1" t="s">
        <v>33</v>
      </c>
      <c r="F2178" s="1" t="s">
        <v>209</v>
      </c>
      <c r="G2178" s="5">
        <v>1.83</v>
      </c>
    </row>
    <row r="2179" spans="1:7" x14ac:dyDescent="0.2">
      <c r="A2179" s="3">
        <v>480</v>
      </c>
      <c r="B2179" s="2">
        <v>211459.20000000001</v>
      </c>
      <c r="C2179" s="38">
        <v>44768</v>
      </c>
      <c r="D2179" s="1" t="s">
        <v>66</v>
      </c>
      <c r="E2179" s="1" t="s">
        <v>33</v>
      </c>
      <c r="F2179" s="1" t="s">
        <v>209</v>
      </c>
      <c r="G2179" s="5">
        <v>440.54</v>
      </c>
    </row>
    <row r="2180" spans="1:7" x14ac:dyDescent="0.2">
      <c r="A2180" s="3">
        <v>70</v>
      </c>
      <c r="B2180" s="2">
        <v>38312.400000000001</v>
      </c>
      <c r="C2180" s="38">
        <v>44811</v>
      </c>
      <c r="D2180" s="1" t="s">
        <v>180</v>
      </c>
      <c r="E2180" s="1" t="s">
        <v>33</v>
      </c>
      <c r="F2180" s="1" t="s">
        <v>209</v>
      </c>
      <c r="G2180" s="5">
        <v>547.32000000000005</v>
      </c>
    </row>
    <row r="2181" spans="1:7" x14ac:dyDescent="0.2">
      <c r="A2181" s="3">
        <v>345</v>
      </c>
      <c r="B2181" s="2">
        <v>296865.59999999998</v>
      </c>
      <c r="C2181" s="38">
        <v>44816</v>
      </c>
      <c r="D2181" s="1" t="s">
        <v>85</v>
      </c>
      <c r="E2181" s="1" t="s">
        <v>33</v>
      </c>
      <c r="F2181" s="1" t="s">
        <v>209</v>
      </c>
      <c r="G2181" s="5">
        <v>860.48</v>
      </c>
    </row>
    <row r="2182" spans="1:7" x14ac:dyDescent="0.2">
      <c r="A2182" s="3">
        <v>135</v>
      </c>
      <c r="B2182" s="2">
        <v>116164.8</v>
      </c>
      <c r="C2182" s="38">
        <v>44816</v>
      </c>
      <c r="D2182" s="1" t="s">
        <v>85</v>
      </c>
      <c r="E2182" s="1" t="s">
        <v>33</v>
      </c>
      <c r="F2182" s="1" t="s">
        <v>209</v>
      </c>
      <c r="G2182" s="5">
        <v>860.48</v>
      </c>
    </row>
    <row r="2183" spans="1:7" x14ac:dyDescent="0.2">
      <c r="A2183" s="3">
        <v>225</v>
      </c>
      <c r="B2183" s="2">
        <v>193608</v>
      </c>
      <c r="C2183" s="38">
        <v>44816</v>
      </c>
      <c r="D2183" s="1" t="s">
        <v>85</v>
      </c>
      <c r="E2183" s="1" t="s">
        <v>33</v>
      </c>
      <c r="F2183" s="1" t="s">
        <v>209</v>
      </c>
      <c r="G2183" s="5">
        <v>860.48</v>
      </c>
    </row>
    <row r="2184" spans="1:7" x14ac:dyDescent="0.2">
      <c r="A2184" s="3">
        <v>108</v>
      </c>
      <c r="B2184" s="2">
        <v>11696.4</v>
      </c>
      <c r="C2184" s="38">
        <v>44743</v>
      </c>
      <c r="D2184" s="1" t="s">
        <v>55</v>
      </c>
      <c r="E2184" s="1" t="s">
        <v>33</v>
      </c>
      <c r="F2184" s="1" t="s">
        <v>209</v>
      </c>
      <c r="G2184" s="5">
        <v>108.3</v>
      </c>
    </row>
    <row r="2185" spans="1:7" x14ac:dyDescent="0.2">
      <c r="A2185" s="3">
        <v>216</v>
      </c>
      <c r="B2185" s="2">
        <v>23392.799999999999</v>
      </c>
      <c r="C2185" s="38">
        <v>44743</v>
      </c>
      <c r="D2185" s="1" t="s">
        <v>55</v>
      </c>
      <c r="E2185" s="1" t="s">
        <v>33</v>
      </c>
      <c r="F2185" s="1" t="s">
        <v>209</v>
      </c>
      <c r="G2185" s="5">
        <v>108.3</v>
      </c>
    </row>
    <row r="2186" spans="1:7" x14ac:dyDescent="0.2">
      <c r="A2186" s="3">
        <v>216</v>
      </c>
      <c r="B2186" s="2">
        <v>23392.799999999999</v>
      </c>
      <c r="C2186" s="38">
        <v>44743</v>
      </c>
      <c r="D2186" s="1" t="s">
        <v>55</v>
      </c>
      <c r="E2186" s="1" t="s">
        <v>33</v>
      </c>
      <c r="F2186" s="1" t="s">
        <v>209</v>
      </c>
      <c r="G2186" s="5">
        <v>108.3</v>
      </c>
    </row>
    <row r="2187" spans="1:7" x14ac:dyDescent="0.2">
      <c r="A2187" s="3">
        <v>180</v>
      </c>
      <c r="B2187" s="2">
        <v>79297.2</v>
      </c>
      <c r="C2187" s="38">
        <v>44865</v>
      </c>
      <c r="D2187" s="1" t="s">
        <v>66</v>
      </c>
      <c r="E2187" s="1" t="s">
        <v>33</v>
      </c>
      <c r="F2187" s="1" t="s">
        <v>209</v>
      </c>
      <c r="G2187" s="5">
        <v>440.54</v>
      </c>
    </row>
    <row r="2188" spans="1:7" x14ac:dyDescent="0.2">
      <c r="A2188" s="3">
        <v>324</v>
      </c>
      <c r="B2188" s="2">
        <v>35089.199999999997</v>
      </c>
      <c r="C2188" s="38">
        <v>44743</v>
      </c>
      <c r="D2188" s="1" t="s">
        <v>55</v>
      </c>
      <c r="E2188" s="1" t="s">
        <v>33</v>
      </c>
      <c r="F2188" s="1" t="s">
        <v>209</v>
      </c>
      <c r="G2188" s="5">
        <v>108.3</v>
      </c>
    </row>
    <row r="2189" spans="1:7" x14ac:dyDescent="0.2">
      <c r="A2189" s="3">
        <v>108</v>
      </c>
      <c r="B2189" s="2">
        <v>11696.4</v>
      </c>
      <c r="C2189" s="38">
        <v>44743</v>
      </c>
      <c r="D2189" s="1" t="s">
        <v>55</v>
      </c>
      <c r="E2189" s="1" t="s">
        <v>33</v>
      </c>
      <c r="F2189" s="1" t="s">
        <v>209</v>
      </c>
      <c r="G2189" s="5">
        <v>108.3</v>
      </c>
    </row>
    <row r="2190" spans="1:7" x14ac:dyDescent="0.2">
      <c r="A2190" s="3">
        <v>324</v>
      </c>
      <c r="B2190" s="2">
        <v>35089.199999999997</v>
      </c>
      <c r="C2190" s="38">
        <v>44743</v>
      </c>
      <c r="D2190" s="1" t="s">
        <v>55</v>
      </c>
      <c r="E2190" s="1" t="s">
        <v>33</v>
      </c>
      <c r="F2190" s="1" t="s">
        <v>209</v>
      </c>
      <c r="G2190" s="5">
        <v>108.3</v>
      </c>
    </row>
    <row r="2191" spans="1:7" x14ac:dyDescent="0.2">
      <c r="A2191" s="3">
        <v>216</v>
      </c>
      <c r="B2191" s="2">
        <v>23392.799999999999</v>
      </c>
      <c r="C2191" s="38">
        <v>44743</v>
      </c>
      <c r="D2191" s="1" t="s">
        <v>55</v>
      </c>
      <c r="E2191" s="1" t="s">
        <v>33</v>
      </c>
      <c r="F2191" s="1" t="s">
        <v>209</v>
      </c>
      <c r="G2191" s="5">
        <v>108.3</v>
      </c>
    </row>
    <row r="2192" spans="1:7" x14ac:dyDescent="0.2">
      <c r="A2192" s="3">
        <v>108</v>
      </c>
      <c r="B2192" s="2">
        <v>11696.4</v>
      </c>
      <c r="C2192" s="38">
        <v>44743</v>
      </c>
      <c r="D2192" s="1" t="s">
        <v>55</v>
      </c>
      <c r="E2192" s="1" t="s">
        <v>33</v>
      </c>
      <c r="F2192" s="1" t="s">
        <v>209</v>
      </c>
      <c r="G2192" s="5">
        <v>108.3</v>
      </c>
    </row>
    <row r="2193" spans="1:7" x14ac:dyDescent="0.2">
      <c r="A2193" s="3">
        <v>432</v>
      </c>
      <c r="B2193" s="2">
        <v>46785.599999999999</v>
      </c>
      <c r="C2193" s="38">
        <v>44743</v>
      </c>
      <c r="D2193" s="1" t="s">
        <v>55</v>
      </c>
      <c r="E2193" s="1" t="s">
        <v>33</v>
      </c>
      <c r="F2193" s="1" t="s">
        <v>209</v>
      </c>
      <c r="G2193" s="5">
        <v>108.3</v>
      </c>
    </row>
    <row r="2194" spans="1:7" x14ac:dyDescent="0.2">
      <c r="A2194" s="3">
        <v>432</v>
      </c>
      <c r="B2194" s="2">
        <v>46785.599999999999</v>
      </c>
      <c r="C2194" s="38">
        <v>44743</v>
      </c>
      <c r="D2194" s="1" t="s">
        <v>55</v>
      </c>
      <c r="E2194" s="1" t="s">
        <v>33</v>
      </c>
      <c r="F2194" s="1" t="s">
        <v>209</v>
      </c>
      <c r="G2194" s="5">
        <v>108.3</v>
      </c>
    </row>
    <row r="2195" spans="1:7" x14ac:dyDescent="0.2">
      <c r="A2195" s="3">
        <v>108</v>
      </c>
      <c r="B2195" s="2">
        <v>11696.4</v>
      </c>
      <c r="C2195" s="38">
        <v>44743</v>
      </c>
      <c r="D2195" s="1" t="s">
        <v>55</v>
      </c>
      <c r="E2195" s="1" t="s">
        <v>33</v>
      </c>
      <c r="F2195" s="1" t="s">
        <v>209</v>
      </c>
      <c r="G2195" s="5">
        <v>108.3</v>
      </c>
    </row>
    <row r="2196" spans="1:7" x14ac:dyDescent="0.2">
      <c r="A2196" s="3">
        <v>108</v>
      </c>
      <c r="B2196" s="2">
        <v>11696.4</v>
      </c>
      <c r="C2196" s="38">
        <v>44743</v>
      </c>
      <c r="D2196" s="1" t="s">
        <v>55</v>
      </c>
      <c r="E2196" s="1" t="s">
        <v>33</v>
      </c>
      <c r="F2196" s="1" t="s">
        <v>209</v>
      </c>
      <c r="G2196" s="5">
        <v>108.3</v>
      </c>
    </row>
    <row r="2197" spans="1:7" x14ac:dyDescent="0.2">
      <c r="A2197" s="3">
        <v>216</v>
      </c>
      <c r="B2197" s="2">
        <v>23392.799999999999</v>
      </c>
      <c r="C2197" s="38">
        <v>44743</v>
      </c>
      <c r="D2197" s="1" t="s">
        <v>55</v>
      </c>
      <c r="E2197" s="1" t="s">
        <v>33</v>
      </c>
      <c r="F2197" s="1" t="s">
        <v>209</v>
      </c>
      <c r="G2197" s="5">
        <v>108.3</v>
      </c>
    </row>
    <row r="2198" spans="1:7" x14ac:dyDescent="0.2">
      <c r="A2198" s="3">
        <v>108</v>
      </c>
      <c r="B2198" s="2">
        <v>11696.4</v>
      </c>
      <c r="C2198" s="38">
        <v>44743</v>
      </c>
      <c r="D2198" s="1" t="s">
        <v>55</v>
      </c>
      <c r="E2198" s="1" t="s">
        <v>33</v>
      </c>
      <c r="F2198" s="1" t="s">
        <v>209</v>
      </c>
      <c r="G2198" s="5">
        <v>108.3</v>
      </c>
    </row>
    <row r="2199" spans="1:7" x14ac:dyDescent="0.2">
      <c r="A2199" s="3">
        <v>108</v>
      </c>
      <c r="B2199" s="2">
        <v>11696.4</v>
      </c>
      <c r="C2199" s="38">
        <v>44743</v>
      </c>
      <c r="D2199" s="1" t="s">
        <v>55</v>
      </c>
      <c r="E2199" s="1" t="s">
        <v>33</v>
      </c>
      <c r="F2199" s="1" t="s">
        <v>209</v>
      </c>
      <c r="G2199" s="5">
        <v>108.3</v>
      </c>
    </row>
    <row r="2200" spans="1:7" x14ac:dyDescent="0.2">
      <c r="A2200" s="3">
        <v>432</v>
      </c>
      <c r="B2200" s="2">
        <v>46785.599999999999</v>
      </c>
      <c r="C2200" s="38">
        <v>44743</v>
      </c>
      <c r="D2200" s="1" t="s">
        <v>55</v>
      </c>
      <c r="E2200" s="1" t="s">
        <v>33</v>
      </c>
      <c r="F2200" s="1" t="s">
        <v>209</v>
      </c>
      <c r="G2200" s="5">
        <v>108.3</v>
      </c>
    </row>
    <row r="2201" spans="1:7" x14ac:dyDescent="0.2">
      <c r="A2201" s="3">
        <v>108</v>
      </c>
      <c r="B2201" s="2">
        <v>11696.4</v>
      </c>
      <c r="C2201" s="38">
        <v>44743</v>
      </c>
      <c r="D2201" s="1" t="s">
        <v>55</v>
      </c>
      <c r="E2201" s="1" t="s">
        <v>33</v>
      </c>
      <c r="F2201" s="1" t="s">
        <v>209</v>
      </c>
      <c r="G2201" s="5">
        <v>108.3</v>
      </c>
    </row>
    <row r="2202" spans="1:7" x14ac:dyDescent="0.2">
      <c r="A2202" s="3">
        <v>108</v>
      </c>
      <c r="B2202" s="2">
        <v>11696.4</v>
      </c>
      <c r="C2202" s="38">
        <v>44743</v>
      </c>
      <c r="D2202" s="1" t="s">
        <v>55</v>
      </c>
      <c r="E2202" s="1" t="s">
        <v>33</v>
      </c>
      <c r="F2202" s="1" t="s">
        <v>209</v>
      </c>
      <c r="G2202" s="5">
        <v>108.3</v>
      </c>
    </row>
    <row r="2203" spans="1:7" x14ac:dyDescent="0.2">
      <c r="A2203" s="3">
        <v>216</v>
      </c>
      <c r="B2203" s="2">
        <v>23392.799999999999</v>
      </c>
      <c r="C2203" s="38">
        <v>44743</v>
      </c>
      <c r="D2203" s="1" t="s">
        <v>55</v>
      </c>
      <c r="E2203" s="1" t="s">
        <v>33</v>
      </c>
      <c r="F2203" s="1" t="s">
        <v>209</v>
      </c>
      <c r="G2203" s="5">
        <v>108.3</v>
      </c>
    </row>
    <row r="2204" spans="1:7" x14ac:dyDescent="0.2">
      <c r="A2204" s="3">
        <v>108</v>
      </c>
      <c r="B2204" s="2">
        <v>11696.4</v>
      </c>
      <c r="C2204" s="38">
        <v>44743</v>
      </c>
      <c r="D2204" s="1" t="s">
        <v>55</v>
      </c>
      <c r="E2204" s="1" t="s">
        <v>33</v>
      </c>
      <c r="F2204" s="1" t="s">
        <v>209</v>
      </c>
      <c r="G2204" s="5">
        <v>108.3</v>
      </c>
    </row>
    <row r="2205" spans="1:7" x14ac:dyDescent="0.2">
      <c r="A2205" s="3">
        <v>324</v>
      </c>
      <c r="B2205" s="2">
        <v>35089.199999999997</v>
      </c>
      <c r="C2205" s="38">
        <v>44743</v>
      </c>
      <c r="D2205" s="1" t="s">
        <v>55</v>
      </c>
      <c r="E2205" s="1" t="s">
        <v>33</v>
      </c>
      <c r="F2205" s="1" t="s">
        <v>209</v>
      </c>
      <c r="G2205" s="5">
        <v>108.3</v>
      </c>
    </row>
    <row r="2206" spans="1:7" x14ac:dyDescent="0.2">
      <c r="A2206" s="3">
        <v>432</v>
      </c>
      <c r="B2206" s="2">
        <v>46785.599999999999</v>
      </c>
      <c r="C2206" s="38">
        <v>44743</v>
      </c>
      <c r="D2206" s="1" t="s">
        <v>55</v>
      </c>
      <c r="E2206" s="1" t="s">
        <v>33</v>
      </c>
      <c r="F2206" s="1" t="s">
        <v>209</v>
      </c>
      <c r="G2206" s="5">
        <v>108.3</v>
      </c>
    </row>
    <row r="2207" spans="1:7" x14ac:dyDescent="0.2">
      <c r="A2207" s="3">
        <v>432</v>
      </c>
      <c r="B2207" s="2">
        <v>46785.599999999999</v>
      </c>
      <c r="C2207" s="38">
        <v>44743</v>
      </c>
      <c r="D2207" s="1" t="s">
        <v>55</v>
      </c>
      <c r="E2207" s="1" t="s">
        <v>33</v>
      </c>
      <c r="F2207" s="1" t="s">
        <v>209</v>
      </c>
      <c r="G2207" s="5">
        <v>108.3</v>
      </c>
    </row>
    <row r="2208" spans="1:7" x14ac:dyDescent="0.2">
      <c r="A2208" s="3">
        <v>324</v>
      </c>
      <c r="B2208" s="2">
        <v>35089.199999999997</v>
      </c>
      <c r="C2208" s="38">
        <v>44743</v>
      </c>
      <c r="D2208" s="1" t="s">
        <v>55</v>
      </c>
      <c r="E2208" s="1" t="s">
        <v>33</v>
      </c>
      <c r="F2208" s="1" t="s">
        <v>209</v>
      </c>
      <c r="G2208" s="5">
        <v>108.3</v>
      </c>
    </row>
    <row r="2209" spans="1:7" x14ac:dyDescent="0.2">
      <c r="A2209" s="3">
        <v>216</v>
      </c>
      <c r="B2209" s="2">
        <v>23392.799999999999</v>
      </c>
      <c r="C2209" s="38">
        <v>44743</v>
      </c>
      <c r="D2209" s="1" t="s">
        <v>55</v>
      </c>
      <c r="E2209" s="1" t="s">
        <v>33</v>
      </c>
      <c r="F2209" s="1" t="s">
        <v>209</v>
      </c>
      <c r="G2209" s="5">
        <v>108.3</v>
      </c>
    </row>
    <row r="2210" spans="1:7" x14ac:dyDescent="0.2">
      <c r="A2210" s="3">
        <v>216</v>
      </c>
      <c r="B2210" s="2">
        <v>23392.799999999999</v>
      </c>
      <c r="C2210" s="38">
        <v>44743</v>
      </c>
      <c r="D2210" s="1" t="s">
        <v>55</v>
      </c>
      <c r="E2210" s="1" t="s">
        <v>33</v>
      </c>
      <c r="F2210" s="1" t="s">
        <v>209</v>
      </c>
      <c r="G2210" s="5">
        <v>108.3</v>
      </c>
    </row>
    <row r="2211" spans="1:7" x14ac:dyDescent="0.2">
      <c r="A2211" s="3">
        <v>108</v>
      </c>
      <c r="B2211" s="2">
        <v>11696.4</v>
      </c>
      <c r="C2211" s="38">
        <v>44743</v>
      </c>
      <c r="D2211" s="1" t="s">
        <v>55</v>
      </c>
      <c r="E2211" s="1" t="s">
        <v>33</v>
      </c>
      <c r="F2211" s="1" t="s">
        <v>209</v>
      </c>
      <c r="G2211" s="5">
        <v>108.3</v>
      </c>
    </row>
    <row r="2212" spans="1:7" x14ac:dyDescent="0.2">
      <c r="A2212" s="3">
        <v>450</v>
      </c>
      <c r="B2212" s="2">
        <v>198243</v>
      </c>
      <c r="C2212" s="38">
        <v>44831</v>
      </c>
      <c r="D2212" s="1" t="s">
        <v>66</v>
      </c>
      <c r="E2212" s="1" t="s">
        <v>33</v>
      </c>
      <c r="F2212" s="1" t="s">
        <v>209</v>
      </c>
      <c r="G2212" s="5">
        <v>440.54</v>
      </c>
    </row>
    <row r="2213" spans="1:7" x14ac:dyDescent="0.2">
      <c r="A2213" s="3">
        <v>1820</v>
      </c>
      <c r="B2213" s="2">
        <v>4313.3999999999996</v>
      </c>
      <c r="C2213" s="38">
        <v>44831</v>
      </c>
      <c r="D2213" s="1" t="s">
        <v>68</v>
      </c>
      <c r="E2213" s="1" t="s">
        <v>33</v>
      </c>
      <c r="F2213" s="1" t="s">
        <v>209</v>
      </c>
      <c r="G2213" s="5">
        <v>2.37</v>
      </c>
    </row>
    <row r="2214" spans="1:7" x14ac:dyDescent="0.2">
      <c r="A2214" s="3">
        <v>165</v>
      </c>
      <c r="B2214" s="2">
        <v>141979.20000000001</v>
      </c>
      <c r="C2214" s="38">
        <v>44831</v>
      </c>
      <c r="D2214" s="1" t="s">
        <v>85</v>
      </c>
      <c r="E2214" s="1" t="s">
        <v>33</v>
      </c>
      <c r="F2214" s="1" t="s">
        <v>209</v>
      </c>
      <c r="G2214" s="5">
        <v>860.48</v>
      </c>
    </row>
    <row r="2215" spans="1:7" x14ac:dyDescent="0.2">
      <c r="A2215" s="3">
        <v>135</v>
      </c>
      <c r="B2215" s="2">
        <v>116164.8</v>
      </c>
      <c r="C2215" s="38">
        <v>44831</v>
      </c>
      <c r="D2215" s="1" t="s">
        <v>85</v>
      </c>
      <c r="E2215" s="1" t="s">
        <v>33</v>
      </c>
      <c r="F2215" s="1" t="s">
        <v>209</v>
      </c>
      <c r="G2215" s="5">
        <v>860.48</v>
      </c>
    </row>
    <row r="2216" spans="1:7" x14ac:dyDescent="0.2">
      <c r="A2216" s="3">
        <v>135</v>
      </c>
      <c r="B2216" s="2">
        <v>116164.8</v>
      </c>
      <c r="C2216" s="38">
        <v>44831</v>
      </c>
      <c r="D2216" s="1" t="s">
        <v>85</v>
      </c>
      <c r="E2216" s="1" t="s">
        <v>33</v>
      </c>
      <c r="F2216" s="1" t="s">
        <v>209</v>
      </c>
      <c r="G2216" s="5">
        <v>860.48</v>
      </c>
    </row>
    <row r="2217" spans="1:7" x14ac:dyDescent="0.2">
      <c r="A2217" s="3">
        <v>45</v>
      </c>
      <c r="B2217" s="2">
        <v>38721.599999999999</v>
      </c>
      <c r="C2217" s="38">
        <v>44831</v>
      </c>
      <c r="D2217" s="1" t="s">
        <v>85</v>
      </c>
      <c r="E2217" s="1" t="s">
        <v>33</v>
      </c>
      <c r="F2217" s="1" t="s">
        <v>209</v>
      </c>
      <c r="G2217" s="5">
        <v>860.48</v>
      </c>
    </row>
    <row r="2218" spans="1:7" x14ac:dyDescent="0.2">
      <c r="A2218" s="3">
        <v>15</v>
      </c>
      <c r="B2218" s="2">
        <v>12907.2</v>
      </c>
      <c r="C2218" s="38">
        <v>44831</v>
      </c>
      <c r="D2218" s="1" t="s">
        <v>85</v>
      </c>
      <c r="E2218" s="1" t="s">
        <v>33</v>
      </c>
      <c r="F2218" s="1" t="s">
        <v>209</v>
      </c>
      <c r="G2218" s="5">
        <v>860.48</v>
      </c>
    </row>
    <row r="2219" spans="1:7" x14ac:dyDescent="0.2">
      <c r="A2219" s="3">
        <v>112</v>
      </c>
      <c r="B2219" s="2">
        <v>199930.08</v>
      </c>
      <c r="C2219" s="38">
        <v>44831</v>
      </c>
      <c r="D2219" s="1" t="s">
        <v>120</v>
      </c>
      <c r="E2219" s="1" t="s">
        <v>33</v>
      </c>
      <c r="F2219" s="1" t="s">
        <v>209</v>
      </c>
      <c r="G2219" s="5">
        <v>1785.09</v>
      </c>
    </row>
    <row r="2220" spans="1:7" x14ac:dyDescent="0.2">
      <c r="A2220" s="3">
        <v>216</v>
      </c>
      <c r="B2220" s="2">
        <v>23392.799999999999</v>
      </c>
      <c r="C2220" s="38">
        <v>44743</v>
      </c>
      <c r="D2220" s="1" t="s">
        <v>55</v>
      </c>
      <c r="E2220" s="1" t="s">
        <v>33</v>
      </c>
      <c r="F2220" s="1" t="s">
        <v>209</v>
      </c>
      <c r="G2220" s="5">
        <v>108.3</v>
      </c>
    </row>
    <row r="2221" spans="1:7" x14ac:dyDescent="0.2">
      <c r="A2221" s="3">
        <v>108</v>
      </c>
      <c r="B2221" s="2">
        <v>11696.4</v>
      </c>
      <c r="C2221" s="38">
        <v>44743</v>
      </c>
      <c r="D2221" s="1" t="s">
        <v>55</v>
      </c>
      <c r="E2221" s="1" t="s">
        <v>33</v>
      </c>
      <c r="F2221" s="1" t="s">
        <v>209</v>
      </c>
      <c r="G2221" s="5">
        <v>108.3</v>
      </c>
    </row>
    <row r="2222" spans="1:7" x14ac:dyDescent="0.2">
      <c r="A2222" s="3">
        <v>108</v>
      </c>
      <c r="B2222" s="2">
        <v>11696.4</v>
      </c>
      <c r="C2222" s="38">
        <v>44743</v>
      </c>
      <c r="D2222" s="1" t="s">
        <v>55</v>
      </c>
      <c r="E2222" s="1" t="s">
        <v>33</v>
      </c>
      <c r="F2222" s="1" t="s">
        <v>209</v>
      </c>
      <c r="G2222" s="5">
        <v>108.3</v>
      </c>
    </row>
    <row r="2223" spans="1:7" x14ac:dyDescent="0.2">
      <c r="A2223" s="3">
        <v>324</v>
      </c>
      <c r="B2223" s="2">
        <v>35089.199999999997</v>
      </c>
      <c r="C2223" s="38">
        <v>44743</v>
      </c>
      <c r="D2223" s="1" t="s">
        <v>55</v>
      </c>
      <c r="E2223" s="1" t="s">
        <v>33</v>
      </c>
      <c r="F2223" s="1" t="s">
        <v>209</v>
      </c>
      <c r="G2223" s="5">
        <v>108.3</v>
      </c>
    </row>
    <row r="2224" spans="1:7" x14ac:dyDescent="0.2">
      <c r="A2224" s="3">
        <v>324</v>
      </c>
      <c r="B2224" s="2">
        <v>35089.199999999997</v>
      </c>
      <c r="C2224" s="38">
        <v>44743</v>
      </c>
      <c r="D2224" s="1" t="s">
        <v>55</v>
      </c>
      <c r="E2224" s="1" t="s">
        <v>33</v>
      </c>
      <c r="F2224" s="1" t="s">
        <v>209</v>
      </c>
      <c r="G2224" s="5">
        <v>108.3</v>
      </c>
    </row>
    <row r="2225" spans="1:7" x14ac:dyDescent="0.2">
      <c r="A2225" s="3">
        <v>108</v>
      </c>
      <c r="B2225" s="2">
        <v>11696.4</v>
      </c>
      <c r="C2225" s="38">
        <v>44743</v>
      </c>
      <c r="D2225" s="1" t="s">
        <v>55</v>
      </c>
      <c r="E2225" s="1" t="s">
        <v>33</v>
      </c>
      <c r="F2225" s="1" t="s">
        <v>209</v>
      </c>
      <c r="G2225" s="5">
        <v>108.3</v>
      </c>
    </row>
    <row r="2226" spans="1:7" x14ac:dyDescent="0.2">
      <c r="A2226" s="3">
        <v>108</v>
      </c>
      <c r="B2226" s="2">
        <v>11696.4</v>
      </c>
      <c r="C2226" s="38">
        <v>44743</v>
      </c>
      <c r="D2226" s="1" t="s">
        <v>55</v>
      </c>
      <c r="E2226" s="1" t="s">
        <v>33</v>
      </c>
      <c r="F2226" s="1" t="s">
        <v>209</v>
      </c>
      <c r="G2226" s="5">
        <v>108.3</v>
      </c>
    </row>
    <row r="2227" spans="1:7" x14ac:dyDescent="0.2">
      <c r="A2227" s="3">
        <v>324</v>
      </c>
      <c r="B2227" s="2">
        <v>35089.199999999997</v>
      </c>
      <c r="C2227" s="38">
        <v>44743</v>
      </c>
      <c r="D2227" s="1" t="s">
        <v>55</v>
      </c>
      <c r="E2227" s="1" t="s">
        <v>33</v>
      </c>
      <c r="F2227" s="1" t="s">
        <v>209</v>
      </c>
      <c r="G2227" s="5">
        <v>108.3</v>
      </c>
    </row>
    <row r="2228" spans="1:7" x14ac:dyDescent="0.2">
      <c r="A2228" s="3">
        <v>216</v>
      </c>
      <c r="B2228" s="2">
        <v>23392.799999999999</v>
      </c>
      <c r="C2228" s="38">
        <v>44743</v>
      </c>
      <c r="D2228" s="1" t="s">
        <v>55</v>
      </c>
      <c r="E2228" s="1" t="s">
        <v>33</v>
      </c>
      <c r="F2228" s="1" t="s">
        <v>209</v>
      </c>
      <c r="G2228" s="5">
        <v>108.3</v>
      </c>
    </row>
    <row r="2229" spans="1:7" x14ac:dyDescent="0.2">
      <c r="A2229" s="3">
        <v>216</v>
      </c>
      <c r="B2229" s="2">
        <v>23392.799999999999</v>
      </c>
      <c r="C2229" s="38">
        <v>44743</v>
      </c>
      <c r="D2229" s="1" t="s">
        <v>55</v>
      </c>
      <c r="E2229" s="1" t="s">
        <v>33</v>
      </c>
      <c r="F2229" s="1" t="s">
        <v>209</v>
      </c>
      <c r="G2229" s="5">
        <v>108.3</v>
      </c>
    </row>
    <row r="2230" spans="1:7" x14ac:dyDescent="0.2">
      <c r="A2230" s="3">
        <v>240</v>
      </c>
      <c r="B2230" s="2">
        <v>182899.20000000001</v>
      </c>
      <c r="C2230" s="38">
        <v>44743</v>
      </c>
      <c r="D2230" s="1" t="s">
        <v>83</v>
      </c>
      <c r="E2230" s="1" t="s">
        <v>33</v>
      </c>
      <c r="F2230" s="1" t="s">
        <v>209</v>
      </c>
      <c r="G2230" s="5">
        <v>762.08</v>
      </c>
    </row>
    <row r="2231" spans="1:7" x14ac:dyDescent="0.2">
      <c r="A2231" s="3">
        <v>240</v>
      </c>
      <c r="B2231" s="2">
        <v>182899.20000000001</v>
      </c>
      <c r="C2231" s="38">
        <v>44743</v>
      </c>
      <c r="D2231" s="1" t="s">
        <v>83</v>
      </c>
      <c r="E2231" s="1" t="s">
        <v>33</v>
      </c>
      <c r="F2231" s="1" t="s">
        <v>209</v>
      </c>
      <c r="G2231" s="5">
        <v>762.08</v>
      </c>
    </row>
    <row r="2232" spans="1:7" x14ac:dyDescent="0.2">
      <c r="A2232" s="3">
        <v>300</v>
      </c>
      <c r="B2232" s="2">
        <v>228624</v>
      </c>
      <c r="C2232" s="38">
        <v>44743</v>
      </c>
      <c r="D2232" s="1" t="s">
        <v>83</v>
      </c>
      <c r="E2232" s="1" t="s">
        <v>33</v>
      </c>
      <c r="F2232" s="1" t="s">
        <v>209</v>
      </c>
      <c r="G2232" s="5">
        <v>762.08</v>
      </c>
    </row>
    <row r="2233" spans="1:7" x14ac:dyDescent="0.2">
      <c r="A2233" s="3">
        <v>150</v>
      </c>
      <c r="B2233" s="2">
        <v>66081</v>
      </c>
      <c r="C2233" s="38">
        <v>44839</v>
      </c>
      <c r="D2233" s="1" t="s">
        <v>66</v>
      </c>
      <c r="E2233" s="1" t="s">
        <v>33</v>
      </c>
      <c r="F2233" s="1" t="s">
        <v>209</v>
      </c>
      <c r="G2233" s="5">
        <v>440.54</v>
      </c>
    </row>
    <row r="2234" spans="1:7" x14ac:dyDescent="0.2">
      <c r="A2234" s="3">
        <v>210</v>
      </c>
      <c r="B2234" s="2">
        <v>92513.4</v>
      </c>
      <c r="C2234" s="38">
        <v>44839</v>
      </c>
      <c r="D2234" s="1" t="s">
        <v>66</v>
      </c>
      <c r="E2234" s="1" t="s">
        <v>33</v>
      </c>
      <c r="F2234" s="1" t="s">
        <v>209</v>
      </c>
      <c r="G2234" s="5">
        <v>440.54</v>
      </c>
    </row>
    <row r="2235" spans="1:7" x14ac:dyDescent="0.2">
      <c r="A2235" s="3">
        <v>330</v>
      </c>
      <c r="B2235" s="2">
        <v>145378.20000000001</v>
      </c>
      <c r="C2235" s="38">
        <v>44839</v>
      </c>
      <c r="D2235" s="1" t="s">
        <v>66</v>
      </c>
      <c r="E2235" s="1" t="s">
        <v>33</v>
      </c>
      <c r="F2235" s="1" t="s">
        <v>209</v>
      </c>
      <c r="G2235" s="5">
        <v>440.54</v>
      </c>
    </row>
    <row r="2236" spans="1:7" x14ac:dyDescent="0.2">
      <c r="A2236" s="3">
        <v>210</v>
      </c>
      <c r="B2236" s="2">
        <v>92513.4</v>
      </c>
      <c r="C2236" s="38">
        <v>44839</v>
      </c>
      <c r="D2236" s="1" t="s">
        <v>66</v>
      </c>
      <c r="E2236" s="1" t="s">
        <v>33</v>
      </c>
      <c r="F2236" s="1" t="s">
        <v>209</v>
      </c>
      <c r="G2236" s="5">
        <v>440.54</v>
      </c>
    </row>
    <row r="2237" spans="1:7" x14ac:dyDescent="0.2">
      <c r="A2237" s="3">
        <v>150</v>
      </c>
      <c r="B2237" s="2">
        <v>66081</v>
      </c>
      <c r="C2237" s="38">
        <v>44839</v>
      </c>
      <c r="D2237" s="1" t="s">
        <v>66</v>
      </c>
      <c r="E2237" s="1" t="s">
        <v>33</v>
      </c>
      <c r="F2237" s="1" t="s">
        <v>209</v>
      </c>
      <c r="G2237" s="5">
        <v>440.54</v>
      </c>
    </row>
    <row r="2238" spans="1:7" x14ac:dyDescent="0.2">
      <c r="A2238" s="3">
        <v>600</v>
      </c>
      <c r="B2238" s="2">
        <v>264324</v>
      </c>
      <c r="C2238" s="38">
        <v>44839</v>
      </c>
      <c r="D2238" s="1" t="s">
        <v>66</v>
      </c>
      <c r="E2238" s="1" t="s">
        <v>33</v>
      </c>
      <c r="F2238" s="1" t="s">
        <v>209</v>
      </c>
      <c r="G2238" s="5">
        <v>440.54</v>
      </c>
    </row>
    <row r="2239" spans="1:7" x14ac:dyDescent="0.2">
      <c r="A2239" s="3">
        <v>1000</v>
      </c>
      <c r="B2239" s="2">
        <v>105370</v>
      </c>
      <c r="C2239" s="38">
        <v>44839</v>
      </c>
      <c r="D2239" s="1" t="s">
        <v>168</v>
      </c>
      <c r="E2239" s="1" t="s">
        <v>33</v>
      </c>
      <c r="F2239" s="1" t="s">
        <v>209</v>
      </c>
      <c r="G2239" s="5">
        <v>105.37</v>
      </c>
    </row>
    <row r="2240" spans="1:7" x14ac:dyDescent="0.2">
      <c r="A2240" s="3">
        <v>572</v>
      </c>
      <c r="B2240" s="2">
        <v>37877.839999999997</v>
      </c>
      <c r="C2240" s="38">
        <v>44839</v>
      </c>
      <c r="D2240" s="1" t="s">
        <v>119</v>
      </c>
      <c r="E2240" s="1" t="s">
        <v>33</v>
      </c>
      <c r="F2240" s="1" t="s">
        <v>209</v>
      </c>
      <c r="G2240" s="5">
        <v>66.22</v>
      </c>
    </row>
    <row r="2241" spans="1:7" x14ac:dyDescent="0.2">
      <c r="A2241" s="3">
        <v>245</v>
      </c>
      <c r="B2241" s="2">
        <v>16223.9</v>
      </c>
      <c r="C2241" s="38">
        <v>44839</v>
      </c>
      <c r="D2241" s="1" t="s">
        <v>119</v>
      </c>
      <c r="E2241" s="1" t="s">
        <v>33</v>
      </c>
      <c r="F2241" s="1" t="s">
        <v>209</v>
      </c>
      <c r="G2241" s="5">
        <v>66.22</v>
      </c>
    </row>
    <row r="2242" spans="1:7" x14ac:dyDescent="0.2">
      <c r="A2242" s="3">
        <v>72</v>
      </c>
      <c r="B2242" s="2">
        <v>4767.84</v>
      </c>
      <c r="C2242" s="38">
        <v>44839</v>
      </c>
      <c r="D2242" s="1" t="s">
        <v>119</v>
      </c>
      <c r="E2242" s="1" t="s">
        <v>33</v>
      </c>
      <c r="F2242" s="1" t="s">
        <v>209</v>
      </c>
      <c r="G2242" s="5">
        <v>66.22</v>
      </c>
    </row>
    <row r="2243" spans="1:7" x14ac:dyDescent="0.2">
      <c r="A2243" s="3">
        <v>70</v>
      </c>
      <c r="B2243" s="2">
        <v>39788</v>
      </c>
      <c r="C2243" s="38">
        <v>44883</v>
      </c>
      <c r="D2243" s="1" t="s">
        <v>164</v>
      </c>
      <c r="E2243" s="1" t="s">
        <v>33</v>
      </c>
      <c r="F2243" s="1" t="s">
        <v>209</v>
      </c>
      <c r="G2243" s="5">
        <v>568.4</v>
      </c>
    </row>
    <row r="2244" spans="1:7" x14ac:dyDescent="0.2">
      <c r="A2244" s="3">
        <v>210</v>
      </c>
      <c r="B2244" s="2">
        <v>92513.4</v>
      </c>
      <c r="C2244" s="38">
        <v>44781</v>
      </c>
      <c r="D2244" s="1" t="s">
        <v>66</v>
      </c>
      <c r="E2244" s="1" t="s">
        <v>33</v>
      </c>
      <c r="F2244" s="1" t="s">
        <v>209</v>
      </c>
      <c r="G2244" s="5">
        <v>440.54</v>
      </c>
    </row>
    <row r="2245" spans="1:7" x14ac:dyDescent="0.2">
      <c r="A2245" s="3">
        <v>120</v>
      </c>
      <c r="B2245" s="2">
        <v>52864.800000000003</v>
      </c>
      <c r="C2245" s="38">
        <v>44781</v>
      </c>
      <c r="D2245" s="1" t="s">
        <v>66</v>
      </c>
      <c r="E2245" s="1" t="s">
        <v>33</v>
      </c>
      <c r="F2245" s="1" t="s">
        <v>209</v>
      </c>
      <c r="G2245" s="5">
        <v>440.54</v>
      </c>
    </row>
    <row r="2246" spans="1:7" x14ac:dyDescent="0.2">
      <c r="A2246" s="3">
        <v>210</v>
      </c>
      <c r="B2246" s="2">
        <v>92513.4</v>
      </c>
      <c r="C2246" s="38">
        <v>44781</v>
      </c>
      <c r="D2246" s="1" t="s">
        <v>66</v>
      </c>
      <c r="E2246" s="1" t="s">
        <v>33</v>
      </c>
      <c r="F2246" s="1" t="s">
        <v>209</v>
      </c>
      <c r="G2246" s="5">
        <v>440.54</v>
      </c>
    </row>
    <row r="2247" spans="1:7" x14ac:dyDescent="0.2">
      <c r="A2247" s="3">
        <v>210</v>
      </c>
      <c r="B2247" s="2">
        <v>92513.4</v>
      </c>
      <c r="C2247" s="38">
        <v>44781</v>
      </c>
      <c r="D2247" s="1" t="s">
        <v>66</v>
      </c>
      <c r="E2247" s="1" t="s">
        <v>33</v>
      </c>
      <c r="F2247" s="1" t="s">
        <v>209</v>
      </c>
      <c r="G2247" s="5">
        <v>440.54</v>
      </c>
    </row>
    <row r="2248" spans="1:7" x14ac:dyDescent="0.2">
      <c r="A2248" s="3">
        <v>144</v>
      </c>
      <c r="B2248" s="2">
        <v>28278.720000000001</v>
      </c>
      <c r="C2248" s="38">
        <v>44841</v>
      </c>
      <c r="D2248" s="1" t="s">
        <v>115</v>
      </c>
      <c r="E2248" s="1" t="s">
        <v>33</v>
      </c>
      <c r="F2248" s="1" t="s">
        <v>209</v>
      </c>
      <c r="G2248" s="5">
        <v>196.38</v>
      </c>
    </row>
    <row r="2249" spans="1:7" x14ac:dyDescent="0.2">
      <c r="A2249" s="3">
        <v>140</v>
      </c>
      <c r="B2249" s="2">
        <v>50677.2</v>
      </c>
      <c r="C2249" s="38">
        <v>44841</v>
      </c>
      <c r="D2249" s="1" t="s">
        <v>74</v>
      </c>
      <c r="E2249" s="1" t="s">
        <v>33</v>
      </c>
      <c r="F2249" s="1" t="s">
        <v>209</v>
      </c>
      <c r="G2249" s="5">
        <v>361.98</v>
      </c>
    </row>
    <row r="2250" spans="1:7" x14ac:dyDescent="0.2">
      <c r="A2250" s="3">
        <v>3500</v>
      </c>
      <c r="B2250" s="2">
        <v>368795</v>
      </c>
      <c r="C2250" s="38">
        <v>44841</v>
      </c>
      <c r="D2250" s="1" t="s">
        <v>168</v>
      </c>
      <c r="E2250" s="1" t="s">
        <v>33</v>
      </c>
      <c r="F2250" s="1" t="s">
        <v>209</v>
      </c>
      <c r="G2250" s="5">
        <v>105.37</v>
      </c>
    </row>
    <row r="2251" spans="1:7" x14ac:dyDescent="0.2">
      <c r="A2251" s="3">
        <v>885</v>
      </c>
      <c r="B2251" s="2">
        <v>109704.6</v>
      </c>
      <c r="C2251" s="38">
        <v>44841</v>
      </c>
      <c r="D2251" s="1" t="s">
        <v>169</v>
      </c>
      <c r="E2251" s="1" t="s">
        <v>33</v>
      </c>
      <c r="F2251" s="1" t="s">
        <v>209</v>
      </c>
      <c r="G2251" s="5">
        <v>123.96</v>
      </c>
    </row>
    <row r="2252" spans="1:7" x14ac:dyDescent="0.2">
      <c r="A2252" s="3">
        <v>30</v>
      </c>
      <c r="B2252" s="2">
        <v>25814.400000000001</v>
      </c>
      <c r="C2252" s="38">
        <v>44841</v>
      </c>
      <c r="D2252" s="1" t="s">
        <v>85</v>
      </c>
      <c r="E2252" s="1" t="s">
        <v>33</v>
      </c>
      <c r="F2252" s="1" t="s">
        <v>209</v>
      </c>
      <c r="G2252" s="5">
        <v>860.48</v>
      </c>
    </row>
    <row r="2253" spans="1:7" x14ac:dyDescent="0.2">
      <c r="A2253" s="3">
        <v>180</v>
      </c>
      <c r="B2253" s="2">
        <v>137174.39999999999</v>
      </c>
      <c r="C2253" s="38">
        <v>44893</v>
      </c>
      <c r="D2253" s="1" t="s">
        <v>83</v>
      </c>
      <c r="E2253" s="1" t="s">
        <v>33</v>
      </c>
      <c r="F2253" s="1" t="s">
        <v>209</v>
      </c>
      <c r="G2253" s="5">
        <v>762.08</v>
      </c>
    </row>
    <row r="2254" spans="1:7" x14ac:dyDescent="0.2">
      <c r="A2254" s="3">
        <v>150</v>
      </c>
      <c r="B2254" s="2">
        <v>114312</v>
      </c>
      <c r="C2254" s="38">
        <v>44893</v>
      </c>
      <c r="D2254" s="1" t="s">
        <v>83</v>
      </c>
      <c r="E2254" s="1" t="s">
        <v>33</v>
      </c>
      <c r="F2254" s="1" t="s">
        <v>209</v>
      </c>
      <c r="G2254" s="5">
        <v>762.08</v>
      </c>
    </row>
    <row r="2255" spans="1:7" x14ac:dyDescent="0.2">
      <c r="A2255" s="3">
        <v>390</v>
      </c>
      <c r="B2255" s="2">
        <v>297211.2</v>
      </c>
      <c r="C2255" s="38">
        <v>44893</v>
      </c>
      <c r="D2255" s="1" t="s">
        <v>83</v>
      </c>
      <c r="E2255" s="1" t="s">
        <v>33</v>
      </c>
      <c r="F2255" s="1" t="s">
        <v>209</v>
      </c>
      <c r="G2255" s="5">
        <v>762.08</v>
      </c>
    </row>
    <row r="2256" spans="1:7" x14ac:dyDescent="0.2">
      <c r="A2256" s="3">
        <v>240</v>
      </c>
      <c r="B2256" s="2">
        <v>182899.20000000001</v>
      </c>
      <c r="C2256" s="38">
        <v>44893</v>
      </c>
      <c r="D2256" s="1" t="s">
        <v>83</v>
      </c>
      <c r="E2256" s="1" t="s">
        <v>33</v>
      </c>
      <c r="F2256" s="1" t="s">
        <v>209</v>
      </c>
      <c r="G2256" s="5">
        <v>762.08</v>
      </c>
    </row>
    <row r="2257" spans="1:7" x14ac:dyDescent="0.2">
      <c r="A2257" s="3">
        <v>60</v>
      </c>
      <c r="B2257" s="2">
        <v>45724.800000000003</v>
      </c>
      <c r="C2257" s="38">
        <v>44893</v>
      </c>
      <c r="D2257" s="1" t="s">
        <v>83</v>
      </c>
      <c r="E2257" s="1" t="s">
        <v>33</v>
      </c>
      <c r="F2257" s="1" t="s">
        <v>209</v>
      </c>
      <c r="G2257" s="5">
        <v>762.08</v>
      </c>
    </row>
    <row r="2258" spans="1:7" x14ac:dyDescent="0.2">
      <c r="A2258" s="3">
        <v>216</v>
      </c>
      <c r="B2258" s="2">
        <v>23392.799999999999</v>
      </c>
      <c r="C2258" s="38">
        <v>44747</v>
      </c>
      <c r="D2258" s="1" t="s">
        <v>55</v>
      </c>
      <c r="E2258" s="1" t="s">
        <v>33</v>
      </c>
      <c r="F2258" s="1" t="s">
        <v>209</v>
      </c>
      <c r="G2258" s="5">
        <v>108.3</v>
      </c>
    </row>
    <row r="2259" spans="1:7" x14ac:dyDescent="0.2">
      <c r="A2259" s="3">
        <v>216</v>
      </c>
      <c r="B2259" s="2">
        <v>23392.799999999999</v>
      </c>
      <c r="C2259" s="38">
        <v>44747</v>
      </c>
      <c r="D2259" s="1" t="s">
        <v>55</v>
      </c>
      <c r="E2259" s="1" t="s">
        <v>33</v>
      </c>
      <c r="F2259" s="1" t="s">
        <v>209</v>
      </c>
      <c r="G2259" s="5">
        <v>108.3</v>
      </c>
    </row>
    <row r="2260" spans="1:7" x14ac:dyDescent="0.2">
      <c r="A2260" s="3">
        <v>180</v>
      </c>
      <c r="B2260" s="2">
        <v>137174.39999999999</v>
      </c>
      <c r="C2260" s="38">
        <v>44748</v>
      </c>
      <c r="D2260" s="1" t="s">
        <v>83</v>
      </c>
      <c r="E2260" s="1" t="s">
        <v>33</v>
      </c>
      <c r="F2260" s="1" t="s">
        <v>209</v>
      </c>
      <c r="G2260" s="5">
        <v>762.08</v>
      </c>
    </row>
    <row r="2261" spans="1:7" x14ac:dyDescent="0.2">
      <c r="A2261" s="3">
        <v>240</v>
      </c>
      <c r="B2261" s="2">
        <v>182899.20000000001</v>
      </c>
      <c r="C2261" s="38">
        <v>44748</v>
      </c>
      <c r="D2261" s="1" t="s">
        <v>83</v>
      </c>
      <c r="E2261" s="1" t="s">
        <v>33</v>
      </c>
      <c r="F2261" s="1" t="s">
        <v>209</v>
      </c>
      <c r="G2261" s="5">
        <v>762.08</v>
      </c>
    </row>
    <row r="2262" spans="1:7" x14ac:dyDescent="0.2">
      <c r="A2262" s="3">
        <v>240</v>
      </c>
      <c r="B2262" s="2">
        <v>182899.20000000001</v>
      </c>
      <c r="C2262" s="38">
        <v>44748</v>
      </c>
      <c r="D2262" s="1" t="s">
        <v>83</v>
      </c>
      <c r="E2262" s="1" t="s">
        <v>33</v>
      </c>
      <c r="F2262" s="1" t="s">
        <v>209</v>
      </c>
      <c r="G2262" s="5">
        <v>762.08</v>
      </c>
    </row>
    <row r="2263" spans="1:7" x14ac:dyDescent="0.2">
      <c r="A2263" s="3">
        <v>30</v>
      </c>
      <c r="B2263" s="2">
        <v>22862.400000000001</v>
      </c>
      <c r="C2263" s="38">
        <v>44902</v>
      </c>
      <c r="D2263" s="1" t="s">
        <v>83</v>
      </c>
      <c r="E2263" s="1" t="s">
        <v>33</v>
      </c>
      <c r="F2263" s="1" t="s">
        <v>209</v>
      </c>
      <c r="G2263" s="5">
        <v>762.08</v>
      </c>
    </row>
    <row r="2264" spans="1:7" x14ac:dyDescent="0.2">
      <c r="A2264" s="3">
        <v>30</v>
      </c>
      <c r="B2264" s="2">
        <v>22862.400000000001</v>
      </c>
      <c r="C2264" s="38">
        <v>44902</v>
      </c>
      <c r="D2264" s="1" t="s">
        <v>83</v>
      </c>
      <c r="E2264" s="1" t="s">
        <v>33</v>
      </c>
      <c r="F2264" s="1" t="s">
        <v>209</v>
      </c>
      <c r="G2264" s="5">
        <v>762.08</v>
      </c>
    </row>
    <row r="2265" spans="1:7" x14ac:dyDescent="0.2">
      <c r="A2265" s="3">
        <v>150</v>
      </c>
      <c r="B2265" s="2">
        <v>114312</v>
      </c>
      <c r="C2265" s="38">
        <v>44902</v>
      </c>
      <c r="D2265" s="1" t="s">
        <v>83</v>
      </c>
      <c r="E2265" s="1" t="s">
        <v>33</v>
      </c>
      <c r="F2265" s="1" t="s">
        <v>209</v>
      </c>
      <c r="G2265" s="5">
        <v>762.08</v>
      </c>
    </row>
    <row r="2266" spans="1:7" x14ac:dyDescent="0.2">
      <c r="A2266" s="3">
        <v>120</v>
      </c>
      <c r="B2266" s="2">
        <v>91449.600000000006</v>
      </c>
      <c r="C2266" s="38">
        <v>44902</v>
      </c>
      <c r="D2266" s="1" t="s">
        <v>83</v>
      </c>
      <c r="E2266" s="1" t="s">
        <v>33</v>
      </c>
      <c r="F2266" s="1" t="s">
        <v>209</v>
      </c>
      <c r="G2266" s="5">
        <v>762.08</v>
      </c>
    </row>
    <row r="2267" spans="1:7" x14ac:dyDescent="0.2">
      <c r="A2267" s="3">
        <v>240</v>
      </c>
      <c r="B2267" s="2">
        <v>182899.20000000001</v>
      </c>
      <c r="C2267" s="38">
        <v>44902</v>
      </c>
      <c r="D2267" s="1" t="s">
        <v>83</v>
      </c>
      <c r="E2267" s="1" t="s">
        <v>33</v>
      </c>
      <c r="F2267" s="1" t="s">
        <v>209</v>
      </c>
      <c r="G2267" s="5">
        <v>762.08</v>
      </c>
    </row>
    <row r="2268" spans="1:7" x14ac:dyDescent="0.2">
      <c r="A2268" s="3">
        <v>60</v>
      </c>
      <c r="B2268" s="2">
        <v>45724.800000000003</v>
      </c>
      <c r="C2268" s="38">
        <v>44902</v>
      </c>
      <c r="D2268" s="1" t="s">
        <v>83</v>
      </c>
      <c r="E2268" s="1" t="s">
        <v>33</v>
      </c>
      <c r="F2268" s="1" t="s">
        <v>209</v>
      </c>
      <c r="G2268" s="5">
        <v>762.08</v>
      </c>
    </row>
    <row r="2269" spans="1:7" x14ac:dyDescent="0.2">
      <c r="A2269" s="3">
        <v>150</v>
      </c>
      <c r="B2269" s="2">
        <v>114312</v>
      </c>
      <c r="C2269" s="38">
        <v>44902</v>
      </c>
      <c r="D2269" s="1" t="s">
        <v>83</v>
      </c>
      <c r="E2269" s="1" t="s">
        <v>33</v>
      </c>
      <c r="F2269" s="1" t="s">
        <v>209</v>
      </c>
      <c r="G2269" s="5">
        <v>762.08</v>
      </c>
    </row>
    <row r="2270" spans="1:7" x14ac:dyDescent="0.2">
      <c r="A2270" s="3">
        <v>270</v>
      </c>
      <c r="B2270" s="2">
        <v>205761.6</v>
      </c>
      <c r="C2270" s="38">
        <v>44902</v>
      </c>
      <c r="D2270" s="1" t="s">
        <v>83</v>
      </c>
      <c r="E2270" s="1" t="s">
        <v>33</v>
      </c>
      <c r="F2270" s="1" t="s">
        <v>209</v>
      </c>
      <c r="G2270" s="5">
        <v>762.08</v>
      </c>
    </row>
    <row r="2271" spans="1:7" x14ac:dyDescent="0.2">
      <c r="A2271" s="3">
        <v>180</v>
      </c>
      <c r="B2271" s="2">
        <v>137174.39999999999</v>
      </c>
      <c r="C2271" s="38">
        <v>44748</v>
      </c>
      <c r="D2271" s="1" t="s">
        <v>83</v>
      </c>
      <c r="E2271" s="1" t="s">
        <v>33</v>
      </c>
      <c r="F2271" s="1" t="s">
        <v>209</v>
      </c>
      <c r="G2271" s="5">
        <v>762.08</v>
      </c>
    </row>
    <row r="2272" spans="1:7" x14ac:dyDescent="0.2">
      <c r="A2272" s="3">
        <v>60</v>
      </c>
      <c r="B2272" s="2">
        <v>45724.800000000003</v>
      </c>
      <c r="C2272" s="38">
        <v>44748</v>
      </c>
      <c r="D2272" s="1" t="s">
        <v>83</v>
      </c>
      <c r="E2272" s="1" t="s">
        <v>33</v>
      </c>
      <c r="F2272" s="1" t="s">
        <v>209</v>
      </c>
      <c r="G2272" s="5">
        <v>762.08</v>
      </c>
    </row>
    <row r="2273" spans="1:7" x14ac:dyDescent="0.2">
      <c r="A2273" s="3">
        <v>180</v>
      </c>
      <c r="B2273" s="2">
        <v>137174.39999999999</v>
      </c>
      <c r="C2273" s="38">
        <v>44748</v>
      </c>
      <c r="D2273" s="1" t="s">
        <v>83</v>
      </c>
      <c r="E2273" s="1" t="s">
        <v>33</v>
      </c>
      <c r="F2273" s="1" t="s">
        <v>209</v>
      </c>
      <c r="G2273" s="5">
        <v>762.08</v>
      </c>
    </row>
    <row r="2274" spans="1:7" x14ac:dyDescent="0.2">
      <c r="A2274" s="3">
        <v>240</v>
      </c>
      <c r="B2274" s="2">
        <v>182899.20000000001</v>
      </c>
      <c r="C2274" s="38">
        <v>44748</v>
      </c>
      <c r="D2274" s="1" t="s">
        <v>83</v>
      </c>
      <c r="E2274" s="1" t="s">
        <v>33</v>
      </c>
      <c r="F2274" s="1" t="s">
        <v>209</v>
      </c>
      <c r="G2274" s="5">
        <v>762.08</v>
      </c>
    </row>
    <row r="2275" spans="1:7" x14ac:dyDescent="0.2">
      <c r="A2275" s="3">
        <v>60</v>
      </c>
      <c r="B2275" s="2">
        <v>45724.800000000003</v>
      </c>
      <c r="C2275" s="38">
        <v>44748</v>
      </c>
      <c r="D2275" s="1" t="s">
        <v>83</v>
      </c>
      <c r="E2275" s="1" t="s">
        <v>33</v>
      </c>
      <c r="F2275" s="1" t="s">
        <v>209</v>
      </c>
      <c r="G2275" s="5">
        <v>762.08</v>
      </c>
    </row>
    <row r="2276" spans="1:7" x14ac:dyDescent="0.2">
      <c r="A2276" s="3">
        <v>2000</v>
      </c>
      <c r="B2276" s="2">
        <v>3660</v>
      </c>
      <c r="C2276" s="38">
        <v>44852</v>
      </c>
      <c r="D2276" s="1" t="s">
        <v>56</v>
      </c>
      <c r="E2276" s="1" t="s">
        <v>33</v>
      </c>
      <c r="F2276" s="1" t="s">
        <v>209</v>
      </c>
      <c r="G2276" s="5">
        <v>1.83</v>
      </c>
    </row>
    <row r="2277" spans="1:7" x14ac:dyDescent="0.2">
      <c r="A2277" s="3">
        <v>252</v>
      </c>
      <c r="B2277" s="2">
        <v>19056.240000000002</v>
      </c>
      <c r="C2277" s="38">
        <v>44852</v>
      </c>
      <c r="D2277" s="1" t="s">
        <v>61</v>
      </c>
      <c r="E2277" s="1" t="s">
        <v>33</v>
      </c>
      <c r="F2277" s="1" t="s">
        <v>209</v>
      </c>
      <c r="G2277" s="5">
        <v>75.62</v>
      </c>
    </row>
    <row r="2278" spans="1:7" x14ac:dyDescent="0.2">
      <c r="A2278" s="3">
        <v>252</v>
      </c>
      <c r="B2278" s="2">
        <v>19056.240000000002</v>
      </c>
      <c r="C2278" s="38">
        <v>44852</v>
      </c>
      <c r="D2278" s="1" t="s">
        <v>61</v>
      </c>
      <c r="E2278" s="1" t="s">
        <v>33</v>
      </c>
      <c r="F2278" s="1" t="s">
        <v>209</v>
      </c>
      <c r="G2278" s="5">
        <v>75.62</v>
      </c>
    </row>
    <row r="2279" spans="1:7" x14ac:dyDescent="0.2">
      <c r="A2279" s="3">
        <v>252</v>
      </c>
      <c r="B2279" s="2">
        <v>19056.240000000002</v>
      </c>
      <c r="C2279" s="38">
        <v>44852</v>
      </c>
      <c r="D2279" s="1" t="s">
        <v>61</v>
      </c>
      <c r="E2279" s="1" t="s">
        <v>33</v>
      </c>
      <c r="F2279" s="1" t="s">
        <v>209</v>
      </c>
      <c r="G2279" s="5">
        <v>75.62</v>
      </c>
    </row>
    <row r="2280" spans="1:7" x14ac:dyDescent="0.2">
      <c r="A2280" s="3">
        <v>180</v>
      </c>
      <c r="B2280" s="2">
        <v>79297.2</v>
      </c>
      <c r="C2280" s="38">
        <v>44852</v>
      </c>
      <c r="D2280" s="1" t="s">
        <v>66</v>
      </c>
      <c r="E2280" s="1" t="s">
        <v>33</v>
      </c>
      <c r="F2280" s="1" t="s">
        <v>209</v>
      </c>
      <c r="G2280" s="5">
        <v>440.54</v>
      </c>
    </row>
    <row r="2281" spans="1:7" x14ac:dyDescent="0.2">
      <c r="A2281" s="3">
        <v>210</v>
      </c>
      <c r="B2281" s="2">
        <v>92513.4</v>
      </c>
      <c r="C2281" s="38">
        <v>44852</v>
      </c>
      <c r="D2281" s="1" t="s">
        <v>66</v>
      </c>
      <c r="E2281" s="1" t="s">
        <v>33</v>
      </c>
      <c r="F2281" s="1" t="s">
        <v>209</v>
      </c>
      <c r="G2281" s="5">
        <v>440.54</v>
      </c>
    </row>
    <row r="2282" spans="1:7" x14ac:dyDescent="0.2">
      <c r="A2282" s="3">
        <v>720</v>
      </c>
      <c r="B2282" s="2">
        <v>317188.8</v>
      </c>
      <c r="C2282" s="38">
        <v>44852</v>
      </c>
      <c r="D2282" s="1" t="s">
        <v>66</v>
      </c>
      <c r="E2282" s="1" t="s">
        <v>33</v>
      </c>
      <c r="F2282" s="1" t="s">
        <v>209</v>
      </c>
      <c r="G2282" s="5">
        <v>440.54</v>
      </c>
    </row>
    <row r="2283" spans="1:7" x14ac:dyDescent="0.2">
      <c r="A2283" s="3">
        <v>90</v>
      </c>
      <c r="B2283" s="2">
        <v>39648.6</v>
      </c>
      <c r="C2283" s="38">
        <v>44852</v>
      </c>
      <c r="D2283" s="1" t="s">
        <v>66</v>
      </c>
      <c r="E2283" s="1" t="s">
        <v>33</v>
      </c>
      <c r="F2283" s="1" t="s">
        <v>209</v>
      </c>
      <c r="G2283" s="5">
        <v>440.54</v>
      </c>
    </row>
    <row r="2284" spans="1:7" x14ac:dyDescent="0.2">
      <c r="A2284" s="3">
        <v>1820</v>
      </c>
      <c r="B2284" s="2">
        <v>4313.3999999999996</v>
      </c>
      <c r="C2284" s="38">
        <v>44852</v>
      </c>
      <c r="D2284" s="1" t="s">
        <v>68</v>
      </c>
      <c r="E2284" s="1" t="s">
        <v>33</v>
      </c>
      <c r="F2284" s="1" t="s">
        <v>209</v>
      </c>
      <c r="G2284" s="5">
        <v>2.37</v>
      </c>
    </row>
    <row r="2285" spans="1:7" x14ac:dyDescent="0.2">
      <c r="A2285" s="3">
        <v>210</v>
      </c>
      <c r="B2285" s="2">
        <v>82263.3</v>
      </c>
      <c r="C2285" s="38">
        <v>44852</v>
      </c>
      <c r="D2285" s="1" t="s">
        <v>72</v>
      </c>
      <c r="E2285" s="1" t="s">
        <v>33</v>
      </c>
      <c r="F2285" s="1" t="s">
        <v>209</v>
      </c>
      <c r="G2285" s="5">
        <v>391.73</v>
      </c>
    </row>
    <row r="2286" spans="1:7" x14ac:dyDescent="0.2">
      <c r="A2286" s="3">
        <v>1500</v>
      </c>
      <c r="B2286" s="2">
        <v>1860</v>
      </c>
      <c r="C2286" s="38">
        <v>44852</v>
      </c>
      <c r="D2286" s="1" t="s">
        <v>80</v>
      </c>
      <c r="E2286" s="1" t="s">
        <v>33</v>
      </c>
      <c r="F2286" s="1" t="s">
        <v>209</v>
      </c>
      <c r="G2286" s="5">
        <v>1.24</v>
      </c>
    </row>
    <row r="2287" spans="1:7" x14ac:dyDescent="0.2">
      <c r="A2287" s="3">
        <v>437</v>
      </c>
      <c r="B2287" s="2">
        <v>28938.14</v>
      </c>
      <c r="C2287" s="38">
        <v>44852</v>
      </c>
      <c r="D2287" s="1" t="s">
        <v>119</v>
      </c>
      <c r="E2287" s="1" t="s">
        <v>33</v>
      </c>
      <c r="F2287" s="1" t="s">
        <v>209</v>
      </c>
      <c r="G2287" s="5">
        <v>66.22</v>
      </c>
    </row>
    <row r="2288" spans="1:7" x14ac:dyDescent="0.2">
      <c r="A2288" s="3">
        <v>324</v>
      </c>
      <c r="B2288" s="2">
        <v>21455.279999999999</v>
      </c>
      <c r="C2288" s="38">
        <v>44852</v>
      </c>
      <c r="D2288" s="1" t="s">
        <v>119</v>
      </c>
      <c r="E2288" s="1" t="s">
        <v>33</v>
      </c>
      <c r="F2288" s="1" t="s">
        <v>209</v>
      </c>
      <c r="G2288" s="5">
        <v>66.22</v>
      </c>
    </row>
    <row r="2289" spans="1:7" x14ac:dyDescent="0.2">
      <c r="A2289" s="3">
        <v>2000</v>
      </c>
      <c r="B2289" s="2">
        <v>3660</v>
      </c>
      <c r="C2289" s="38">
        <v>44911</v>
      </c>
      <c r="D2289" s="1" t="s">
        <v>56</v>
      </c>
      <c r="E2289" s="1" t="s">
        <v>33</v>
      </c>
      <c r="F2289" s="1" t="s">
        <v>209</v>
      </c>
      <c r="G2289" s="5">
        <v>1.83</v>
      </c>
    </row>
    <row r="2290" spans="1:7" x14ac:dyDescent="0.2">
      <c r="A2290" s="3">
        <v>1820</v>
      </c>
      <c r="B2290" s="2">
        <v>1619.8</v>
      </c>
      <c r="C2290" s="38">
        <v>44911</v>
      </c>
      <c r="D2290" s="1" t="s">
        <v>161</v>
      </c>
      <c r="E2290" s="1" t="s">
        <v>33</v>
      </c>
      <c r="F2290" s="1" t="s">
        <v>209</v>
      </c>
      <c r="G2290" s="5">
        <v>0.89</v>
      </c>
    </row>
    <row r="2291" spans="1:7" x14ac:dyDescent="0.2">
      <c r="A2291" s="3">
        <v>210</v>
      </c>
      <c r="B2291" s="2">
        <v>85386</v>
      </c>
      <c r="C2291" s="38">
        <v>44911</v>
      </c>
      <c r="D2291" s="1" t="s">
        <v>73</v>
      </c>
      <c r="E2291" s="1" t="s">
        <v>33</v>
      </c>
      <c r="F2291" s="1" t="s">
        <v>209</v>
      </c>
      <c r="G2291" s="5">
        <v>406.6</v>
      </c>
    </row>
    <row r="2292" spans="1:7" x14ac:dyDescent="0.2">
      <c r="A2292" s="3">
        <v>70</v>
      </c>
      <c r="B2292" s="2">
        <v>28462</v>
      </c>
      <c r="C2292" s="38">
        <v>44911</v>
      </c>
      <c r="D2292" s="1" t="s">
        <v>73</v>
      </c>
      <c r="E2292" s="1" t="s">
        <v>33</v>
      </c>
      <c r="F2292" s="1" t="s">
        <v>209</v>
      </c>
      <c r="G2292" s="5">
        <v>406.6</v>
      </c>
    </row>
    <row r="2293" spans="1:7" x14ac:dyDescent="0.2">
      <c r="A2293" s="3">
        <v>140</v>
      </c>
      <c r="B2293" s="2">
        <v>56924</v>
      </c>
      <c r="C2293" s="38">
        <v>44911</v>
      </c>
      <c r="D2293" s="1" t="s">
        <v>73</v>
      </c>
      <c r="E2293" s="1" t="s">
        <v>33</v>
      </c>
      <c r="F2293" s="1" t="s">
        <v>209</v>
      </c>
      <c r="G2293" s="5">
        <v>406.6</v>
      </c>
    </row>
    <row r="2294" spans="1:7" x14ac:dyDescent="0.2">
      <c r="A2294" s="3">
        <v>2000</v>
      </c>
      <c r="B2294" s="2">
        <v>3660</v>
      </c>
      <c r="C2294" s="38">
        <v>44796</v>
      </c>
      <c r="D2294" s="1" t="s">
        <v>56</v>
      </c>
      <c r="E2294" s="1" t="s">
        <v>33</v>
      </c>
      <c r="F2294" s="1" t="s">
        <v>209</v>
      </c>
      <c r="G2294" s="5">
        <v>1.83</v>
      </c>
    </row>
    <row r="2295" spans="1:7" x14ac:dyDescent="0.2">
      <c r="A2295" s="3">
        <v>4</v>
      </c>
      <c r="B2295" s="2">
        <v>7140.36</v>
      </c>
      <c r="C2295" s="38">
        <v>44796</v>
      </c>
      <c r="D2295" s="1" t="s">
        <v>120</v>
      </c>
      <c r="E2295" s="1" t="s">
        <v>33</v>
      </c>
      <c r="F2295" s="1" t="s">
        <v>209</v>
      </c>
      <c r="G2295" s="5">
        <v>1785.09</v>
      </c>
    </row>
    <row r="2296" spans="1:7" x14ac:dyDescent="0.2">
      <c r="A2296" s="3">
        <v>65</v>
      </c>
      <c r="B2296" s="2">
        <v>116030.85</v>
      </c>
      <c r="C2296" s="38">
        <v>44796</v>
      </c>
      <c r="D2296" s="1" t="s">
        <v>120</v>
      </c>
      <c r="E2296" s="1" t="s">
        <v>33</v>
      </c>
      <c r="F2296" s="1" t="s">
        <v>209</v>
      </c>
      <c r="G2296" s="5">
        <v>1785.09</v>
      </c>
    </row>
    <row r="2297" spans="1:7" x14ac:dyDescent="0.2">
      <c r="A2297" s="3">
        <v>65</v>
      </c>
      <c r="B2297" s="2">
        <v>116030.85</v>
      </c>
      <c r="C2297" s="38">
        <v>44796</v>
      </c>
      <c r="D2297" s="1" t="s">
        <v>120</v>
      </c>
      <c r="E2297" s="1" t="s">
        <v>33</v>
      </c>
      <c r="F2297" s="1" t="s">
        <v>209</v>
      </c>
      <c r="G2297" s="5">
        <v>1785.09</v>
      </c>
    </row>
    <row r="2298" spans="1:7" x14ac:dyDescent="0.2">
      <c r="A2298" s="3">
        <v>16</v>
      </c>
      <c r="B2298" s="2">
        <v>28561.439999999999</v>
      </c>
      <c r="C2298" s="38">
        <v>44796</v>
      </c>
      <c r="D2298" s="1" t="s">
        <v>120</v>
      </c>
      <c r="E2298" s="1" t="s">
        <v>33</v>
      </c>
      <c r="F2298" s="1" t="s">
        <v>209</v>
      </c>
      <c r="G2298" s="5">
        <v>1785.09</v>
      </c>
    </row>
    <row r="2299" spans="1:7" x14ac:dyDescent="0.2">
      <c r="A2299" s="3">
        <v>42</v>
      </c>
      <c r="B2299" s="2">
        <v>74973.78</v>
      </c>
      <c r="C2299" s="38">
        <v>44796</v>
      </c>
      <c r="D2299" s="1" t="s">
        <v>120</v>
      </c>
      <c r="E2299" s="1" t="s">
        <v>33</v>
      </c>
      <c r="F2299" s="1" t="s">
        <v>209</v>
      </c>
      <c r="G2299" s="5">
        <v>1785.09</v>
      </c>
    </row>
    <row r="2300" spans="1:7" x14ac:dyDescent="0.2">
      <c r="A2300" s="3">
        <v>48</v>
      </c>
      <c r="B2300" s="2">
        <v>85684.32</v>
      </c>
      <c r="C2300" s="38">
        <v>44796</v>
      </c>
      <c r="D2300" s="1" t="s">
        <v>120</v>
      </c>
      <c r="E2300" s="1" t="s">
        <v>33</v>
      </c>
      <c r="F2300" s="1" t="s">
        <v>209</v>
      </c>
      <c r="G2300" s="5">
        <v>1785.09</v>
      </c>
    </row>
    <row r="2301" spans="1:7" x14ac:dyDescent="0.2">
      <c r="A2301" s="3">
        <v>48</v>
      </c>
      <c r="B2301" s="2">
        <v>85684.32</v>
      </c>
      <c r="C2301" s="38">
        <v>44796</v>
      </c>
      <c r="D2301" s="1" t="s">
        <v>120</v>
      </c>
      <c r="E2301" s="1" t="s">
        <v>33</v>
      </c>
      <c r="F2301" s="1" t="s">
        <v>209</v>
      </c>
      <c r="G2301" s="5">
        <v>1785.09</v>
      </c>
    </row>
    <row r="2302" spans="1:7" x14ac:dyDescent="0.2">
      <c r="A2302" s="3">
        <v>22</v>
      </c>
      <c r="B2302" s="2">
        <v>39271.980000000003</v>
      </c>
      <c r="C2302" s="38">
        <v>44796</v>
      </c>
      <c r="D2302" s="1" t="s">
        <v>120</v>
      </c>
      <c r="E2302" s="1" t="s">
        <v>33</v>
      </c>
      <c r="F2302" s="1" t="s">
        <v>209</v>
      </c>
      <c r="G2302" s="5">
        <v>1785.09</v>
      </c>
    </row>
    <row r="2303" spans="1:7" x14ac:dyDescent="0.2">
      <c r="A2303" s="3">
        <v>180</v>
      </c>
      <c r="B2303" s="2">
        <v>79297.2</v>
      </c>
      <c r="C2303" s="38">
        <v>44755</v>
      </c>
      <c r="D2303" s="1" t="s">
        <v>66</v>
      </c>
      <c r="E2303" s="1" t="s">
        <v>33</v>
      </c>
      <c r="F2303" s="1" t="s">
        <v>209</v>
      </c>
      <c r="G2303" s="5">
        <v>440.54</v>
      </c>
    </row>
    <row r="2304" spans="1:7" x14ac:dyDescent="0.2">
      <c r="A2304" s="3">
        <v>30</v>
      </c>
      <c r="B2304" s="2">
        <v>13216.2</v>
      </c>
      <c r="C2304" s="38">
        <v>44755</v>
      </c>
      <c r="D2304" s="1" t="s">
        <v>66</v>
      </c>
      <c r="E2304" s="1" t="s">
        <v>33</v>
      </c>
      <c r="F2304" s="1" t="s">
        <v>209</v>
      </c>
      <c r="G2304" s="5">
        <v>440.54</v>
      </c>
    </row>
    <row r="2305" spans="1:7" x14ac:dyDescent="0.2">
      <c r="A2305" s="3">
        <v>210</v>
      </c>
      <c r="B2305" s="2">
        <v>92513.4</v>
      </c>
      <c r="C2305" s="38">
        <v>44755</v>
      </c>
      <c r="D2305" s="1" t="s">
        <v>66</v>
      </c>
      <c r="E2305" s="1" t="s">
        <v>33</v>
      </c>
      <c r="F2305" s="1" t="s">
        <v>209</v>
      </c>
      <c r="G2305" s="5">
        <v>440.54</v>
      </c>
    </row>
    <row r="2306" spans="1:7" x14ac:dyDescent="0.2">
      <c r="A2306" s="3">
        <v>60</v>
      </c>
      <c r="B2306" s="2">
        <v>45724.800000000003</v>
      </c>
      <c r="C2306" s="38">
        <v>44755</v>
      </c>
      <c r="D2306" s="1" t="s">
        <v>83</v>
      </c>
      <c r="E2306" s="1" t="s">
        <v>33</v>
      </c>
      <c r="F2306" s="1" t="s">
        <v>209</v>
      </c>
      <c r="G2306" s="5">
        <v>762.08</v>
      </c>
    </row>
    <row r="2307" spans="1:7" x14ac:dyDescent="0.2">
      <c r="A2307" s="3">
        <v>208</v>
      </c>
      <c r="B2307" s="2">
        <v>371298.72</v>
      </c>
      <c r="C2307" s="38">
        <v>44796</v>
      </c>
      <c r="D2307" s="1" t="s">
        <v>120</v>
      </c>
      <c r="E2307" s="1" t="s">
        <v>33</v>
      </c>
      <c r="F2307" s="1" t="s">
        <v>209</v>
      </c>
      <c r="G2307" s="5">
        <v>1785.09</v>
      </c>
    </row>
    <row r="2308" spans="1:7" x14ac:dyDescent="0.2">
      <c r="A2308" s="3">
        <v>58</v>
      </c>
      <c r="B2308" s="2">
        <v>103535.22</v>
      </c>
      <c r="C2308" s="38">
        <v>44796</v>
      </c>
      <c r="D2308" s="1" t="s">
        <v>120</v>
      </c>
      <c r="E2308" s="1" t="s">
        <v>33</v>
      </c>
      <c r="F2308" s="1" t="s">
        <v>209</v>
      </c>
      <c r="G2308" s="5">
        <v>1785.09</v>
      </c>
    </row>
    <row r="2309" spans="1:7" x14ac:dyDescent="0.2">
      <c r="A2309" s="3">
        <v>120</v>
      </c>
      <c r="B2309" s="2">
        <v>51024</v>
      </c>
      <c r="C2309" s="38">
        <v>44915</v>
      </c>
      <c r="D2309" s="1" t="s">
        <v>58</v>
      </c>
      <c r="E2309" s="1" t="s">
        <v>33</v>
      </c>
      <c r="F2309" s="1" t="s">
        <v>209</v>
      </c>
      <c r="G2309" s="5">
        <v>425.2</v>
      </c>
    </row>
    <row r="2310" spans="1:7" x14ac:dyDescent="0.2">
      <c r="A2310" s="3">
        <v>216</v>
      </c>
      <c r="B2310" s="2">
        <v>23392.799999999999</v>
      </c>
      <c r="C2310" s="38">
        <v>44923</v>
      </c>
      <c r="D2310" s="1" t="s">
        <v>55</v>
      </c>
      <c r="E2310" s="1" t="s">
        <v>33</v>
      </c>
      <c r="F2310" s="1" t="s">
        <v>209</v>
      </c>
      <c r="G2310" s="5">
        <v>108.3</v>
      </c>
    </row>
    <row r="2311" spans="1:7" x14ac:dyDescent="0.2">
      <c r="A2311" s="3">
        <v>80</v>
      </c>
      <c r="B2311" s="2">
        <v>34016</v>
      </c>
      <c r="C2311" s="38">
        <v>44923</v>
      </c>
      <c r="D2311" s="1" t="s">
        <v>58</v>
      </c>
      <c r="E2311" s="1" t="s">
        <v>33</v>
      </c>
      <c r="F2311" s="1" t="s">
        <v>209</v>
      </c>
      <c r="G2311" s="5">
        <v>425.2</v>
      </c>
    </row>
    <row r="2312" spans="1:7" x14ac:dyDescent="0.2">
      <c r="A2312" s="3">
        <v>40</v>
      </c>
      <c r="B2312" s="2">
        <v>17008</v>
      </c>
      <c r="C2312" s="38">
        <v>44923</v>
      </c>
      <c r="D2312" s="1" t="s">
        <v>58</v>
      </c>
      <c r="E2312" s="1" t="s">
        <v>33</v>
      </c>
      <c r="F2312" s="1" t="s">
        <v>209</v>
      </c>
      <c r="G2312" s="5">
        <v>425.2</v>
      </c>
    </row>
    <row r="2313" spans="1:7" x14ac:dyDescent="0.2">
      <c r="A2313" s="3">
        <v>120</v>
      </c>
      <c r="B2313" s="2">
        <v>51024</v>
      </c>
      <c r="C2313" s="38">
        <v>44923</v>
      </c>
      <c r="D2313" s="1" t="s">
        <v>58</v>
      </c>
      <c r="E2313" s="1" t="s">
        <v>33</v>
      </c>
      <c r="F2313" s="1" t="s">
        <v>209</v>
      </c>
      <c r="G2313" s="5">
        <v>425.2</v>
      </c>
    </row>
    <row r="2314" spans="1:7" x14ac:dyDescent="0.2">
      <c r="A2314" s="3">
        <v>240</v>
      </c>
      <c r="B2314" s="2">
        <v>102048</v>
      </c>
      <c r="C2314" s="38">
        <v>44923</v>
      </c>
      <c r="D2314" s="1" t="s">
        <v>58</v>
      </c>
      <c r="E2314" s="1" t="s">
        <v>33</v>
      </c>
      <c r="F2314" s="1" t="s">
        <v>209</v>
      </c>
      <c r="G2314" s="5">
        <v>425.2</v>
      </c>
    </row>
    <row r="2315" spans="1:7" x14ac:dyDescent="0.2">
      <c r="A2315" s="3">
        <v>30</v>
      </c>
      <c r="B2315" s="2">
        <v>25814.400000000001</v>
      </c>
      <c r="C2315" s="38">
        <v>44923</v>
      </c>
      <c r="D2315" s="1" t="s">
        <v>85</v>
      </c>
      <c r="E2315" s="1" t="s">
        <v>33</v>
      </c>
      <c r="F2315" s="1" t="s">
        <v>209</v>
      </c>
      <c r="G2315" s="5">
        <v>860.48</v>
      </c>
    </row>
    <row r="2316" spans="1:7" x14ac:dyDescent="0.2">
      <c r="A2316" s="3">
        <v>135</v>
      </c>
      <c r="B2316" s="2">
        <v>116164.8</v>
      </c>
      <c r="C2316" s="38">
        <v>44923</v>
      </c>
      <c r="D2316" s="1" t="s">
        <v>85</v>
      </c>
      <c r="E2316" s="1" t="s">
        <v>33</v>
      </c>
      <c r="F2316" s="1" t="s">
        <v>209</v>
      </c>
      <c r="G2316" s="5">
        <v>860.48</v>
      </c>
    </row>
    <row r="2317" spans="1:7" x14ac:dyDescent="0.2">
      <c r="A2317" s="3">
        <v>150</v>
      </c>
      <c r="B2317" s="2">
        <v>129072</v>
      </c>
      <c r="C2317" s="38">
        <v>44923</v>
      </c>
      <c r="D2317" s="1" t="s">
        <v>85</v>
      </c>
      <c r="E2317" s="1" t="s">
        <v>33</v>
      </c>
      <c r="F2317" s="1" t="s">
        <v>209</v>
      </c>
      <c r="G2317" s="5">
        <v>860.48</v>
      </c>
    </row>
    <row r="2318" spans="1:7" x14ac:dyDescent="0.2">
      <c r="A2318" s="3">
        <v>180</v>
      </c>
      <c r="B2318" s="2">
        <v>79297.2</v>
      </c>
      <c r="C2318" s="38">
        <v>44761</v>
      </c>
      <c r="D2318" s="1" t="s">
        <v>66</v>
      </c>
      <c r="E2318" s="1" t="s">
        <v>33</v>
      </c>
      <c r="F2318" s="1" t="s">
        <v>209</v>
      </c>
      <c r="G2318" s="5">
        <v>440.54</v>
      </c>
    </row>
    <row r="2319" spans="1:7" x14ac:dyDescent="0.2">
      <c r="A2319" s="3">
        <v>510</v>
      </c>
      <c r="B2319" s="2">
        <v>224675.4</v>
      </c>
      <c r="C2319" s="38">
        <v>44761</v>
      </c>
      <c r="D2319" s="1" t="s">
        <v>66</v>
      </c>
      <c r="E2319" s="1" t="s">
        <v>33</v>
      </c>
      <c r="F2319" s="1" t="s">
        <v>209</v>
      </c>
      <c r="G2319" s="5">
        <v>440.54</v>
      </c>
    </row>
    <row r="2320" spans="1:7" x14ac:dyDescent="0.2">
      <c r="A2320" s="3">
        <v>192</v>
      </c>
      <c r="B2320" s="2">
        <v>342737.28</v>
      </c>
      <c r="C2320" s="38">
        <v>44806</v>
      </c>
      <c r="D2320" s="1" t="s">
        <v>120</v>
      </c>
      <c r="E2320" s="1" t="s">
        <v>33</v>
      </c>
      <c r="F2320" s="1" t="s">
        <v>209</v>
      </c>
      <c r="G2320" s="5">
        <v>1785.09</v>
      </c>
    </row>
    <row r="2321" spans="1:7" x14ac:dyDescent="0.2">
      <c r="A2321" s="3">
        <v>140</v>
      </c>
      <c r="B2321" s="2">
        <v>79576</v>
      </c>
      <c r="C2321" s="38">
        <v>44859</v>
      </c>
      <c r="D2321" s="1" t="s">
        <v>164</v>
      </c>
      <c r="E2321" s="1" t="s">
        <v>33</v>
      </c>
      <c r="F2321" s="1" t="s">
        <v>209</v>
      </c>
      <c r="G2321" s="5">
        <v>568.4</v>
      </c>
    </row>
    <row r="2322" spans="1:7" x14ac:dyDescent="0.2">
      <c r="A2322" s="3">
        <v>70</v>
      </c>
      <c r="B2322" s="2">
        <v>38312.400000000001</v>
      </c>
      <c r="C2322" s="38">
        <v>44859</v>
      </c>
      <c r="D2322" s="1" t="s">
        <v>180</v>
      </c>
      <c r="E2322" s="1" t="s">
        <v>33</v>
      </c>
      <c r="F2322" s="1" t="s">
        <v>209</v>
      </c>
      <c r="G2322" s="5">
        <v>547.32000000000005</v>
      </c>
    </row>
    <row r="2323" spans="1:7" x14ac:dyDescent="0.2">
      <c r="A2323" s="3">
        <v>180</v>
      </c>
      <c r="B2323" s="2">
        <v>79297.2</v>
      </c>
      <c r="C2323" s="38">
        <v>44859</v>
      </c>
      <c r="D2323" s="1" t="s">
        <v>66</v>
      </c>
      <c r="E2323" s="1" t="s">
        <v>33</v>
      </c>
      <c r="F2323" s="1" t="s">
        <v>209</v>
      </c>
      <c r="G2323" s="5">
        <v>440.54</v>
      </c>
    </row>
    <row r="2324" spans="1:7" x14ac:dyDescent="0.2">
      <c r="A2324" s="3">
        <v>192</v>
      </c>
      <c r="B2324" s="2">
        <v>37704.959999999999</v>
      </c>
      <c r="C2324" s="38">
        <v>44859</v>
      </c>
      <c r="D2324" s="1" t="s">
        <v>115</v>
      </c>
      <c r="E2324" s="1" t="s">
        <v>33</v>
      </c>
      <c r="F2324" s="1" t="s">
        <v>209</v>
      </c>
      <c r="G2324" s="5">
        <v>196.38</v>
      </c>
    </row>
    <row r="2325" spans="1:7" x14ac:dyDescent="0.2">
      <c r="A2325" s="3">
        <v>2370</v>
      </c>
      <c r="B2325" s="2">
        <v>293785.2</v>
      </c>
      <c r="C2325" s="38">
        <v>44859</v>
      </c>
      <c r="D2325" s="1" t="s">
        <v>169</v>
      </c>
      <c r="E2325" s="1" t="s">
        <v>33</v>
      </c>
      <c r="F2325" s="1" t="s">
        <v>209</v>
      </c>
      <c r="G2325" s="5">
        <v>123.96</v>
      </c>
    </row>
    <row r="2326" spans="1:7" x14ac:dyDescent="0.2">
      <c r="A2326" s="3">
        <v>65</v>
      </c>
      <c r="B2326" s="2">
        <v>116030.85</v>
      </c>
      <c r="C2326" s="38">
        <v>44859</v>
      </c>
      <c r="D2326" s="1" t="s">
        <v>120</v>
      </c>
      <c r="E2326" s="1" t="s">
        <v>33</v>
      </c>
      <c r="F2326" s="1" t="s">
        <v>209</v>
      </c>
      <c r="G2326" s="5">
        <v>1785.09</v>
      </c>
    </row>
    <row r="2327" spans="1:7" x14ac:dyDescent="0.2">
      <c r="A2327" s="3">
        <v>7</v>
      </c>
      <c r="B2327" s="2">
        <v>12495.63</v>
      </c>
      <c r="C2327" s="38">
        <v>44859</v>
      </c>
      <c r="D2327" s="1" t="s">
        <v>120</v>
      </c>
      <c r="E2327" s="1" t="s">
        <v>33</v>
      </c>
      <c r="F2327" s="1" t="s">
        <v>209</v>
      </c>
      <c r="G2327" s="5">
        <v>1785.09</v>
      </c>
    </row>
    <row r="2328" spans="1:7" x14ac:dyDescent="0.2">
      <c r="A2328" s="3">
        <v>40</v>
      </c>
      <c r="B2328" s="2">
        <v>71403.600000000006</v>
      </c>
      <c r="C2328" s="38">
        <v>44859</v>
      </c>
      <c r="D2328" s="1" t="s">
        <v>120</v>
      </c>
      <c r="E2328" s="1" t="s">
        <v>33</v>
      </c>
      <c r="F2328" s="1" t="s">
        <v>209</v>
      </c>
      <c r="G2328" s="5">
        <v>1785.09</v>
      </c>
    </row>
    <row r="2329" spans="1:7" x14ac:dyDescent="0.2">
      <c r="A2329" s="3">
        <v>120</v>
      </c>
      <c r="B2329" s="2">
        <v>51024</v>
      </c>
      <c r="C2329" s="38">
        <v>44862</v>
      </c>
      <c r="D2329" s="1" t="s">
        <v>58</v>
      </c>
      <c r="E2329" s="1" t="s">
        <v>33</v>
      </c>
      <c r="F2329" s="1" t="s">
        <v>209</v>
      </c>
      <c r="G2329" s="5">
        <v>425.2</v>
      </c>
    </row>
    <row r="2330" spans="1:7" x14ac:dyDescent="0.2">
      <c r="A2330" s="3">
        <v>1050</v>
      </c>
      <c r="B2330" s="2">
        <v>462567</v>
      </c>
      <c r="C2330" s="38">
        <v>44862</v>
      </c>
      <c r="D2330" s="1" t="s">
        <v>66</v>
      </c>
      <c r="E2330" s="1" t="s">
        <v>33</v>
      </c>
      <c r="F2330" s="1" t="s">
        <v>209</v>
      </c>
      <c r="G2330" s="5">
        <v>440.54</v>
      </c>
    </row>
    <row r="2331" spans="1:7" x14ac:dyDescent="0.2">
      <c r="A2331" s="3">
        <v>660</v>
      </c>
      <c r="B2331" s="2">
        <v>290756.40000000002</v>
      </c>
      <c r="C2331" s="38">
        <v>44862</v>
      </c>
      <c r="D2331" s="1" t="s">
        <v>66</v>
      </c>
      <c r="E2331" s="1" t="s">
        <v>33</v>
      </c>
      <c r="F2331" s="1" t="s">
        <v>209</v>
      </c>
      <c r="G2331" s="5">
        <v>440.54</v>
      </c>
    </row>
    <row r="2332" spans="1:7" x14ac:dyDescent="0.2">
      <c r="A2332" s="3">
        <v>630</v>
      </c>
      <c r="B2332" s="2">
        <v>277540.2</v>
      </c>
      <c r="C2332" s="38">
        <v>44862</v>
      </c>
      <c r="D2332" s="1" t="s">
        <v>66</v>
      </c>
      <c r="E2332" s="1" t="s">
        <v>33</v>
      </c>
      <c r="F2332" s="1" t="s">
        <v>209</v>
      </c>
      <c r="G2332" s="5">
        <v>440.54</v>
      </c>
    </row>
    <row r="2333" spans="1:7" x14ac:dyDescent="0.2">
      <c r="A2333" s="3">
        <v>210</v>
      </c>
      <c r="B2333" s="2">
        <v>92513.4</v>
      </c>
      <c r="C2333" s="38">
        <v>44862</v>
      </c>
      <c r="D2333" s="1" t="s">
        <v>66</v>
      </c>
      <c r="E2333" s="1" t="s">
        <v>33</v>
      </c>
      <c r="F2333" s="1" t="s">
        <v>209</v>
      </c>
      <c r="G2333" s="5">
        <v>440.54</v>
      </c>
    </row>
    <row r="2334" spans="1:7" x14ac:dyDescent="0.2">
      <c r="A2334" s="3">
        <v>115</v>
      </c>
      <c r="B2334" s="2">
        <v>14255.4</v>
      </c>
      <c r="C2334" s="38">
        <v>44862</v>
      </c>
      <c r="D2334" s="1" t="s">
        <v>169</v>
      </c>
      <c r="E2334" s="1" t="s">
        <v>33</v>
      </c>
      <c r="F2334" s="1" t="s">
        <v>209</v>
      </c>
      <c r="G2334" s="5">
        <v>123.96</v>
      </c>
    </row>
    <row r="2335" spans="1:7" x14ac:dyDescent="0.2">
      <c r="A2335" s="3">
        <v>630</v>
      </c>
      <c r="B2335" s="2">
        <v>78094.8</v>
      </c>
      <c r="C2335" s="38">
        <v>44862</v>
      </c>
      <c r="D2335" s="1" t="s">
        <v>169</v>
      </c>
      <c r="E2335" s="1" t="s">
        <v>33</v>
      </c>
      <c r="F2335" s="1" t="s">
        <v>209</v>
      </c>
      <c r="G2335" s="5">
        <v>123.96</v>
      </c>
    </row>
    <row r="2336" spans="1:7" x14ac:dyDescent="0.2">
      <c r="A2336" s="3">
        <v>317</v>
      </c>
      <c r="B2336" s="2">
        <v>20991.74</v>
      </c>
      <c r="C2336" s="38">
        <v>44862</v>
      </c>
      <c r="D2336" s="1" t="s">
        <v>119</v>
      </c>
      <c r="E2336" s="1" t="s">
        <v>33</v>
      </c>
      <c r="F2336" s="1" t="s">
        <v>209</v>
      </c>
      <c r="G2336" s="5">
        <v>66.22</v>
      </c>
    </row>
    <row r="2337" spans="1:7" x14ac:dyDescent="0.2">
      <c r="A2337" s="3">
        <v>108</v>
      </c>
      <c r="B2337" s="2">
        <v>11654.28</v>
      </c>
      <c r="C2337" s="38">
        <v>45044</v>
      </c>
      <c r="D2337" s="1" t="s">
        <v>55</v>
      </c>
      <c r="E2337" s="1" t="s">
        <v>33</v>
      </c>
      <c r="F2337" s="1" t="s">
        <v>209</v>
      </c>
      <c r="G2337" s="5">
        <v>107.91</v>
      </c>
    </row>
    <row r="2338" spans="1:7" x14ac:dyDescent="0.2">
      <c r="A2338" s="3">
        <v>324</v>
      </c>
      <c r="B2338" s="2">
        <v>34962.839999999997</v>
      </c>
      <c r="C2338" s="38">
        <v>45044</v>
      </c>
      <c r="D2338" s="1" t="s">
        <v>55</v>
      </c>
      <c r="E2338" s="1" t="s">
        <v>33</v>
      </c>
      <c r="F2338" s="1" t="s">
        <v>209</v>
      </c>
      <c r="G2338" s="5">
        <v>107.91</v>
      </c>
    </row>
    <row r="2339" spans="1:7" x14ac:dyDescent="0.2">
      <c r="A2339" s="3">
        <v>648</v>
      </c>
      <c r="B2339" s="2">
        <v>69925.679999999993</v>
      </c>
      <c r="C2339" s="38">
        <v>45044</v>
      </c>
      <c r="D2339" s="1" t="s">
        <v>55</v>
      </c>
      <c r="E2339" s="1" t="s">
        <v>33</v>
      </c>
      <c r="F2339" s="1" t="s">
        <v>209</v>
      </c>
      <c r="G2339" s="5">
        <v>107.91</v>
      </c>
    </row>
    <row r="2340" spans="1:7" x14ac:dyDescent="0.2">
      <c r="A2340" s="3">
        <v>216</v>
      </c>
      <c r="B2340" s="2">
        <v>23308.560000000001</v>
      </c>
      <c r="C2340" s="38">
        <v>45044</v>
      </c>
      <c r="D2340" s="1" t="s">
        <v>55</v>
      </c>
      <c r="E2340" s="1" t="s">
        <v>33</v>
      </c>
      <c r="F2340" s="1" t="s">
        <v>209</v>
      </c>
      <c r="G2340" s="5">
        <v>107.91</v>
      </c>
    </row>
    <row r="2341" spans="1:7" x14ac:dyDescent="0.2">
      <c r="A2341" s="3">
        <v>648</v>
      </c>
      <c r="B2341" s="2">
        <v>69925.679999999993</v>
      </c>
      <c r="C2341" s="38">
        <v>45044</v>
      </c>
      <c r="D2341" s="1" t="s">
        <v>55</v>
      </c>
      <c r="E2341" s="1" t="s">
        <v>33</v>
      </c>
      <c r="F2341" s="1" t="s">
        <v>209</v>
      </c>
      <c r="G2341" s="5">
        <v>107.91</v>
      </c>
    </row>
    <row r="2342" spans="1:7" x14ac:dyDescent="0.2">
      <c r="A2342" s="3">
        <v>70</v>
      </c>
      <c r="B2342" s="2">
        <v>41965.7</v>
      </c>
      <c r="C2342" s="38">
        <v>45044</v>
      </c>
      <c r="D2342" s="1" t="s">
        <v>164</v>
      </c>
      <c r="E2342" s="1" t="s">
        <v>33</v>
      </c>
      <c r="F2342" s="1" t="s">
        <v>209</v>
      </c>
      <c r="G2342" s="5">
        <v>599.51</v>
      </c>
    </row>
    <row r="2343" spans="1:7" x14ac:dyDescent="0.2">
      <c r="A2343" s="3">
        <v>1000</v>
      </c>
      <c r="B2343" s="2">
        <v>1830</v>
      </c>
      <c r="C2343" s="38">
        <v>45044</v>
      </c>
      <c r="D2343" s="1" t="s">
        <v>56</v>
      </c>
      <c r="E2343" s="1" t="s">
        <v>33</v>
      </c>
      <c r="F2343" s="1" t="s">
        <v>209</v>
      </c>
      <c r="G2343" s="5">
        <v>1.83</v>
      </c>
    </row>
    <row r="2344" spans="1:7" x14ac:dyDescent="0.2">
      <c r="A2344" s="3">
        <v>38</v>
      </c>
      <c r="B2344" s="2">
        <v>17126.98</v>
      </c>
      <c r="C2344" s="38">
        <v>45044</v>
      </c>
      <c r="D2344" s="1" t="s">
        <v>58</v>
      </c>
      <c r="E2344" s="1" t="s">
        <v>33</v>
      </c>
      <c r="F2344" s="1" t="s">
        <v>209</v>
      </c>
      <c r="G2344" s="5">
        <v>450.71</v>
      </c>
    </row>
    <row r="2345" spans="1:7" x14ac:dyDescent="0.2">
      <c r="A2345" s="3">
        <v>30</v>
      </c>
      <c r="B2345" s="2">
        <v>13168.5</v>
      </c>
      <c r="C2345" s="38">
        <v>45044</v>
      </c>
      <c r="D2345" s="1" t="s">
        <v>66</v>
      </c>
      <c r="E2345" s="1" t="s">
        <v>33</v>
      </c>
      <c r="F2345" s="1" t="s">
        <v>209</v>
      </c>
      <c r="G2345" s="5">
        <v>438.95</v>
      </c>
    </row>
    <row r="2346" spans="1:7" x14ac:dyDescent="0.2">
      <c r="A2346" s="3">
        <v>390</v>
      </c>
      <c r="B2346" s="2">
        <v>171190.5</v>
      </c>
      <c r="C2346" s="38">
        <v>45044</v>
      </c>
      <c r="D2346" s="1" t="s">
        <v>66</v>
      </c>
      <c r="E2346" s="1" t="s">
        <v>33</v>
      </c>
      <c r="F2346" s="1" t="s">
        <v>209</v>
      </c>
      <c r="G2346" s="5">
        <v>438.95</v>
      </c>
    </row>
    <row r="2347" spans="1:7" x14ac:dyDescent="0.2">
      <c r="A2347" s="3">
        <v>30</v>
      </c>
      <c r="B2347" s="2">
        <v>13168.5</v>
      </c>
      <c r="C2347" s="38">
        <v>45044</v>
      </c>
      <c r="D2347" s="1" t="s">
        <v>66</v>
      </c>
      <c r="E2347" s="1" t="s">
        <v>33</v>
      </c>
      <c r="F2347" s="1" t="s">
        <v>209</v>
      </c>
      <c r="G2347" s="5">
        <v>438.95</v>
      </c>
    </row>
    <row r="2348" spans="1:7" x14ac:dyDescent="0.2">
      <c r="A2348" s="3">
        <v>270</v>
      </c>
      <c r="B2348" s="2">
        <v>118516.5</v>
      </c>
      <c r="C2348" s="38">
        <v>45044</v>
      </c>
      <c r="D2348" s="1" t="s">
        <v>66</v>
      </c>
      <c r="E2348" s="1" t="s">
        <v>33</v>
      </c>
      <c r="F2348" s="1" t="s">
        <v>209</v>
      </c>
      <c r="G2348" s="5">
        <v>438.95</v>
      </c>
    </row>
    <row r="2349" spans="1:7" x14ac:dyDescent="0.2">
      <c r="A2349" s="3">
        <v>120</v>
      </c>
      <c r="B2349" s="2">
        <v>52674</v>
      </c>
      <c r="C2349" s="38">
        <v>45044</v>
      </c>
      <c r="D2349" s="1" t="s">
        <v>66</v>
      </c>
      <c r="E2349" s="1" t="s">
        <v>33</v>
      </c>
      <c r="F2349" s="1" t="s">
        <v>209</v>
      </c>
      <c r="G2349" s="5">
        <v>438.95</v>
      </c>
    </row>
    <row r="2350" spans="1:7" x14ac:dyDescent="0.2">
      <c r="A2350" s="3">
        <v>150</v>
      </c>
      <c r="B2350" s="2">
        <v>65842.5</v>
      </c>
      <c r="C2350" s="38">
        <v>45044</v>
      </c>
      <c r="D2350" s="1" t="s">
        <v>66</v>
      </c>
      <c r="E2350" s="1" t="s">
        <v>33</v>
      </c>
      <c r="F2350" s="1" t="s">
        <v>209</v>
      </c>
      <c r="G2350" s="5">
        <v>438.95</v>
      </c>
    </row>
    <row r="2351" spans="1:7" x14ac:dyDescent="0.2">
      <c r="A2351" s="3">
        <v>240</v>
      </c>
      <c r="B2351" s="2">
        <v>105348</v>
      </c>
      <c r="C2351" s="38">
        <v>45044</v>
      </c>
      <c r="D2351" s="1" t="s">
        <v>66</v>
      </c>
      <c r="E2351" s="1" t="s">
        <v>33</v>
      </c>
      <c r="F2351" s="1" t="s">
        <v>209</v>
      </c>
      <c r="G2351" s="5">
        <v>438.95</v>
      </c>
    </row>
    <row r="2352" spans="1:7" x14ac:dyDescent="0.2">
      <c r="A2352" s="3">
        <v>60</v>
      </c>
      <c r="B2352" s="2">
        <v>26337</v>
      </c>
      <c r="C2352" s="38">
        <v>45044</v>
      </c>
      <c r="D2352" s="1" t="s">
        <v>66</v>
      </c>
      <c r="E2352" s="1" t="s">
        <v>33</v>
      </c>
      <c r="F2352" s="1" t="s">
        <v>209</v>
      </c>
      <c r="G2352" s="5">
        <v>438.95</v>
      </c>
    </row>
    <row r="2353" spans="1:7" x14ac:dyDescent="0.2">
      <c r="A2353" s="3">
        <v>270</v>
      </c>
      <c r="B2353" s="2">
        <v>118516.5</v>
      </c>
      <c r="C2353" s="38">
        <v>45044</v>
      </c>
      <c r="D2353" s="1" t="s">
        <v>66</v>
      </c>
      <c r="E2353" s="1" t="s">
        <v>33</v>
      </c>
      <c r="F2353" s="1" t="s">
        <v>209</v>
      </c>
      <c r="G2353" s="5">
        <v>438.95</v>
      </c>
    </row>
    <row r="2354" spans="1:7" x14ac:dyDescent="0.2">
      <c r="A2354" s="3">
        <v>210</v>
      </c>
      <c r="B2354" s="2">
        <v>92179.5</v>
      </c>
      <c r="C2354" s="38">
        <v>45044</v>
      </c>
      <c r="D2354" s="1" t="s">
        <v>66</v>
      </c>
      <c r="E2354" s="1" t="s">
        <v>33</v>
      </c>
      <c r="F2354" s="1" t="s">
        <v>209</v>
      </c>
      <c r="G2354" s="5">
        <v>438.95</v>
      </c>
    </row>
    <row r="2355" spans="1:7" x14ac:dyDescent="0.2">
      <c r="A2355" s="3">
        <v>120</v>
      </c>
      <c r="B2355" s="2">
        <v>52674</v>
      </c>
      <c r="C2355" s="38">
        <v>45044</v>
      </c>
      <c r="D2355" s="1" t="s">
        <v>66</v>
      </c>
      <c r="E2355" s="1" t="s">
        <v>33</v>
      </c>
      <c r="F2355" s="1" t="s">
        <v>209</v>
      </c>
      <c r="G2355" s="5">
        <v>438.95</v>
      </c>
    </row>
    <row r="2356" spans="1:7" x14ac:dyDescent="0.2">
      <c r="A2356" s="3">
        <v>240</v>
      </c>
      <c r="B2356" s="2">
        <v>105348</v>
      </c>
      <c r="C2356" s="38">
        <v>45044</v>
      </c>
      <c r="D2356" s="1" t="s">
        <v>66</v>
      </c>
      <c r="E2356" s="1" t="s">
        <v>33</v>
      </c>
      <c r="F2356" s="1" t="s">
        <v>209</v>
      </c>
      <c r="G2356" s="5">
        <v>438.95</v>
      </c>
    </row>
    <row r="2357" spans="1:7" x14ac:dyDescent="0.2">
      <c r="A2357" s="3">
        <v>990</v>
      </c>
      <c r="B2357" s="2">
        <v>434560.5</v>
      </c>
      <c r="C2357" s="38">
        <v>45044</v>
      </c>
      <c r="D2357" s="1" t="s">
        <v>66</v>
      </c>
      <c r="E2357" s="1" t="s">
        <v>33</v>
      </c>
      <c r="F2357" s="1" t="s">
        <v>209</v>
      </c>
      <c r="G2357" s="5">
        <v>438.95</v>
      </c>
    </row>
    <row r="2358" spans="1:7" x14ac:dyDescent="0.2">
      <c r="A2358" s="3">
        <v>480</v>
      </c>
      <c r="B2358" s="2">
        <v>210696</v>
      </c>
      <c r="C2358" s="38">
        <v>45044</v>
      </c>
      <c r="D2358" s="1" t="s">
        <v>66</v>
      </c>
      <c r="E2358" s="1" t="s">
        <v>33</v>
      </c>
      <c r="F2358" s="1" t="s">
        <v>209</v>
      </c>
      <c r="G2358" s="5">
        <v>438.95</v>
      </c>
    </row>
    <row r="2359" spans="1:7" x14ac:dyDescent="0.2">
      <c r="A2359" s="3">
        <v>270</v>
      </c>
      <c r="B2359" s="2">
        <v>118516.5</v>
      </c>
      <c r="C2359" s="38">
        <v>45044</v>
      </c>
      <c r="D2359" s="1" t="s">
        <v>66</v>
      </c>
      <c r="E2359" s="1" t="s">
        <v>33</v>
      </c>
      <c r="F2359" s="1" t="s">
        <v>209</v>
      </c>
      <c r="G2359" s="5">
        <v>438.95</v>
      </c>
    </row>
    <row r="2360" spans="1:7" x14ac:dyDescent="0.2">
      <c r="A2360" s="3">
        <v>48</v>
      </c>
      <c r="B2360" s="2">
        <v>9991.68</v>
      </c>
      <c r="C2360" s="38">
        <v>45044</v>
      </c>
      <c r="D2360" s="1" t="s">
        <v>115</v>
      </c>
      <c r="E2360" s="1" t="s">
        <v>33</v>
      </c>
      <c r="F2360" s="1" t="s">
        <v>209</v>
      </c>
      <c r="G2360" s="5">
        <v>208.16</v>
      </c>
    </row>
    <row r="2361" spans="1:7" x14ac:dyDescent="0.2">
      <c r="A2361" s="3">
        <v>420</v>
      </c>
      <c r="B2361" s="2">
        <v>174396.6</v>
      </c>
      <c r="C2361" s="38">
        <v>45044</v>
      </c>
      <c r="D2361" s="1" t="s">
        <v>72</v>
      </c>
      <c r="E2361" s="1" t="s">
        <v>33</v>
      </c>
      <c r="F2361" s="1" t="s">
        <v>209</v>
      </c>
      <c r="G2361" s="5">
        <v>415.23</v>
      </c>
    </row>
    <row r="2362" spans="1:7" x14ac:dyDescent="0.2">
      <c r="A2362" s="3">
        <v>70</v>
      </c>
      <c r="B2362" s="2">
        <v>29066.1</v>
      </c>
      <c r="C2362" s="38">
        <v>45044</v>
      </c>
      <c r="D2362" s="1" t="s">
        <v>72</v>
      </c>
      <c r="E2362" s="1" t="s">
        <v>33</v>
      </c>
      <c r="F2362" s="1" t="s">
        <v>209</v>
      </c>
      <c r="G2362" s="5">
        <v>415.23</v>
      </c>
    </row>
    <row r="2363" spans="1:7" x14ac:dyDescent="0.2">
      <c r="A2363" s="3">
        <v>70</v>
      </c>
      <c r="B2363" s="2">
        <v>29066.1</v>
      </c>
      <c r="C2363" s="38">
        <v>45044</v>
      </c>
      <c r="D2363" s="1" t="s">
        <v>72</v>
      </c>
      <c r="E2363" s="1" t="s">
        <v>33</v>
      </c>
      <c r="F2363" s="1" t="s">
        <v>209</v>
      </c>
      <c r="G2363" s="5">
        <v>415.23</v>
      </c>
    </row>
    <row r="2364" spans="1:7" x14ac:dyDescent="0.2">
      <c r="A2364" s="3">
        <v>350</v>
      </c>
      <c r="B2364" s="2">
        <v>145330.5</v>
      </c>
      <c r="C2364" s="38">
        <v>45044</v>
      </c>
      <c r="D2364" s="1" t="s">
        <v>72</v>
      </c>
      <c r="E2364" s="1" t="s">
        <v>33</v>
      </c>
      <c r="F2364" s="1" t="s">
        <v>209</v>
      </c>
      <c r="G2364" s="5">
        <v>415.23</v>
      </c>
    </row>
    <row r="2365" spans="1:7" x14ac:dyDescent="0.2">
      <c r="A2365" s="3">
        <v>350</v>
      </c>
      <c r="B2365" s="2">
        <v>145330.5</v>
      </c>
      <c r="C2365" s="38">
        <v>45044</v>
      </c>
      <c r="D2365" s="1" t="s">
        <v>72</v>
      </c>
      <c r="E2365" s="1" t="s">
        <v>33</v>
      </c>
      <c r="F2365" s="1" t="s">
        <v>209</v>
      </c>
      <c r="G2365" s="5">
        <v>415.23</v>
      </c>
    </row>
    <row r="2366" spans="1:7" x14ac:dyDescent="0.2">
      <c r="A2366" s="3">
        <v>350</v>
      </c>
      <c r="B2366" s="2">
        <v>145330.5</v>
      </c>
      <c r="C2366" s="38">
        <v>45044</v>
      </c>
      <c r="D2366" s="1" t="s">
        <v>72</v>
      </c>
      <c r="E2366" s="1" t="s">
        <v>33</v>
      </c>
      <c r="F2366" s="1" t="s">
        <v>209</v>
      </c>
      <c r="G2366" s="5">
        <v>415.23</v>
      </c>
    </row>
    <row r="2367" spans="1:7" x14ac:dyDescent="0.2">
      <c r="A2367" s="3">
        <v>210</v>
      </c>
      <c r="B2367" s="2">
        <v>87198.3</v>
      </c>
      <c r="C2367" s="38">
        <v>45044</v>
      </c>
      <c r="D2367" s="1" t="s">
        <v>72</v>
      </c>
      <c r="E2367" s="1" t="s">
        <v>33</v>
      </c>
      <c r="F2367" s="1" t="s">
        <v>209</v>
      </c>
      <c r="G2367" s="5">
        <v>415.23</v>
      </c>
    </row>
    <row r="2368" spans="1:7" x14ac:dyDescent="0.2">
      <c r="A2368" s="3">
        <v>210</v>
      </c>
      <c r="B2368" s="2">
        <v>87198.3</v>
      </c>
      <c r="C2368" s="38">
        <v>45044</v>
      </c>
      <c r="D2368" s="1" t="s">
        <v>72</v>
      </c>
      <c r="E2368" s="1" t="s">
        <v>33</v>
      </c>
      <c r="F2368" s="1" t="s">
        <v>209</v>
      </c>
      <c r="G2368" s="5">
        <v>415.23</v>
      </c>
    </row>
    <row r="2369" spans="1:7" x14ac:dyDescent="0.2">
      <c r="A2369" s="3">
        <v>210</v>
      </c>
      <c r="B2369" s="2">
        <v>87198.3</v>
      </c>
      <c r="C2369" s="38">
        <v>45044</v>
      </c>
      <c r="D2369" s="1" t="s">
        <v>72</v>
      </c>
      <c r="E2369" s="1" t="s">
        <v>33</v>
      </c>
      <c r="F2369" s="1" t="s">
        <v>209</v>
      </c>
      <c r="G2369" s="5">
        <v>415.23</v>
      </c>
    </row>
    <row r="2370" spans="1:7" x14ac:dyDescent="0.2">
      <c r="A2370" s="3">
        <v>770</v>
      </c>
      <c r="B2370" s="2">
        <v>319727.09999999998</v>
      </c>
      <c r="C2370" s="38">
        <v>45044</v>
      </c>
      <c r="D2370" s="1" t="s">
        <v>72</v>
      </c>
      <c r="E2370" s="1" t="s">
        <v>33</v>
      </c>
      <c r="F2370" s="1" t="s">
        <v>209</v>
      </c>
      <c r="G2370" s="5">
        <v>415.23</v>
      </c>
    </row>
    <row r="2371" spans="1:7" x14ac:dyDescent="0.2">
      <c r="A2371" s="3">
        <v>210</v>
      </c>
      <c r="B2371" s="2">
        <v>87198.3</v>
      </c>
      <c r="C2371" s="38">
        <v>45044</v>
      </c>
      <c r="D2371" s="1" t="s">
        <v>72</v>
      </c>
      <c r="E2371" s="1" t="s">
        <v>33</v>
      </c>
      <c r="F2371" s="1" t="s">
        <v>209</v>
      </c>
      <c r="G2371" s="5">
        <v>415.23</v>
      </c>
    </row>
    <row r="2372" spans="1:7" x14ac:dyDescent="0.2">
      <c r="A2372" s="3">
        <v>280</v>
      </c>
      <c r="B2372" s="2">
        <v>116264.4</v>
      </c>
      <c r="C2372" s="38">
        <v>45044</v>
      </c>
      <c r="D2372" s="1" t="s">
        <v>72</v>
      </c>
      <c r="E2372" s="1" t="s">
        <v>33</v>
      </c>
      <c r="F2372" s="1" t="s">
        <v>209</v>
      </c>
      <c r="G2372" s="5">
        <v>415.23</v>
      </c>
    </row>
    <row r="2373" spans="1:7" x14ac:dyDescent="0.2">
      <c r="A2373" s="3">
        <v>490</v>
      </c>
      <c r="B2373" s="2">
        <v>203462.7</v>
      </c>
      <c r="C2373" s="38">
        <v>45044</v>
      </c>
      <c r="D2373" s="1" t="s">
        <v>72</v>
      </c>
      <c r="E2373" s="1" t="s">
        <v>33</v>
      </c>
      <c r="F2373" s="1" t="s">
        <v>209</v>
      </c>
      <c r="G2373" s="5">
        <v>415.23</v>
      </c>
    </row>
    <row r="2374" spans="1:7" x14ac:dyDescent="0.2">
      <c r="A2374" s="3">
        <v>280</v>
      </c>
      <c r="B2374" s="2">
        <v>120080.8</v>
      </c>
      <c r="C2374" s="38">
        <v>45044</v>
      </c>
      <c r="D2374" s="1" t="s">
        <v>73</v>
      </c>
      <c r="E2374" s="1" t="s">
        <v>33</v>
      </c>
      <c r="F2374" s="1" t="s">
        <v>209</v>
      </c>
      <c r="G2374" s="5">
        <v>428.86</v>
      </c>
    </row>
    <row r="2375" spans="1:7" x14ac:dyDescent="0.2">
      <c r="A2375" s="3">
        <v>140</v>
      </c>
      <c r="B2375" s="2">
        <v>60040.4</v>
      </c>
      <c r="C2375" s="38">
        <v>45044</v>
      </c>
      <c r="D2375" s="1" t="s">
        <v>73</v>
      </c>
      <c r="E2375" s="1" t="s">
        <v>33</v>
      </c>
      <c r="F2375" s="1" t="s">
        <v>209</v>
      </c>
      <c r="G2375" s="5">
        <v>428.86</v>
      </c>
    </row>
    <row r="2376" spans="1:7" x14ac:dyDescent="0.2">
      <c r="A2376" s="3">
        <v>560</v>
      </c>
      <c r="B2376" s="2">
        <v>240161.6</v>
      </c>
      <c r="C2376" s="38">
        <v>45044</v>
      </c>
      <c r="D2376" s="1" t="s">
        <v>73</v>
      </c>
      <c r="E2376" s="1" t="s">
        <v>33</v>
      </c>
      <c r="F2376" s="1" t="s">
        <v>209</v>
      </c>
      <c r="G2376" s="5">
        <v>428.86</v>
      </c>
    </row>
    <row r="2377" spans="1:7" x14ac:dyDescent="0.2">
      <c r="A2377" s="3">
        <v>210</v>
      </c>
      <c r="B2377" s="2">
        <v>90060.6</v>
      </c>
      <c r="C2377" s="38">
        <v>45044</v>
      </c>
      <c r="D2377" s="1" t="s">
        <v>73</v>
      </c>
      <c r="E2377" s="1" t="s">
        <v>33</v>
      </c>
      <c r="F2377" s="1" t="s">
        <v>209</v>
      </c>
      <c r="G2377" s="5">
        <v>428.86</v>
      </c>
    </row>
    <row r="2378" spans="1:7" x14ac:dyDescent="0.2">
      <c r="A2378" s="3">
        <v>350</v>
      </c>
      <c r="B2378" s="2">
        <v>150101</v>
      </c>
      <c r="C2378" s="38">
        <v>45044</v>
      </c>
      <c r="D2378" s="1" t="s">
        <v>73</v>
      </c>
      <c r="E2378" s="1" t="s">
        <v>33</v>
      </c>
      <c r="F2378" s="1" t="s">
        <v>209</v>
      </c>
      <c r="G2378" s="5">
        <v>428.86</v>
      </c>
    </row>
    <row r="2379" spans="1:7" x14ac:dyDescent="0.2">
      <c r="A2379" s="3">
        <v>84</v>
      </c>
      <c r="B2379" s="2">
        <v>20061.72</v>
      </c>
      <c r="C2379" s="38">
        <v>44943</v>
      </c>
      <c r="D2379" s="1" t="s">
        <v>167</v>
      </c>
      <c r="E2379" s="1" t="s">
        <v>33</v>
      </c>
      <c r="F2379" s="1" t="s">
        <v>209</v>
      </c>
      <c r="G2379" s="5">
        <v>238.83</v>
      </c>
    </row>
    <row r="2380" spans="1:7" x14ac:dyDescent="0.2">
      <c r="A2380" s="3">
        <v>84</v>
      </c>
      <c r="B2380" s="2">
        <v>20061.72</v>
      </c>
      <c r="C2380" s="38">
        <v>44943</v>
      </c>
      <c r="D2380" s="1" t="s">
        <v>167</v>
      </c>
      <c r="E2380" s="1" t="s">
        <v>33</v>
      </c>
      <c r="F2380" s="1" t="s">
        <v>209</v>
      </c>
      <c r="G2380" s="5">
        <v>238.83</v>
      </c>
    </row>
    <row r="2381" spans="1:7" x14ac:dyDescent="0.2">
      <c r="A2381" s="3">
        <v>84</v>
      </c>
      <c r="B2381" s="2">
        <v>20061.72</v>
      </c>
      <c r="C2381" s="38">
        <v>44943</v>
      </c>
      <c r="D2381" s="1" t="s">
        <v>167</v>
      </c>
      <c r="E2381" s="1" t="s">
        <v>33</v>
      </c>
      <c r="F2381" s="1" t="s">
        <v>209</v>
      </c>
      <c r="G2381" s="5">
        <v>238.83</v>
      </c>
    </row>
    <row r="2382" spans="1:7" x14ac:dyDescent="0.2">
      <c r="A2382" s="3">
        <v>84</v>
      </c>
      <c r="B2382" s="2">
        <v>20061.72</v>
      </c>
      <c r="C2382" s="38">
        <v>44943</v>
      </c>
      <c r="D2382" s="1" t="s">
        <v>167</v>
      </c>
      <c r="E2382" s="1" t="s">
        <v>33</v>
      </c>
      <c r="F2382" s="1" t="s">
        <v>209</v>
      </c>
      <c r="G2382" s="5">
        <v>238.83</v>
      </c>
    </row>
    <row r="2383" spans="1:7" x14ac:dyDescent="0.2">
      <c r="A2383" s="3">
        <v>84</v>
      </c>
      <c r="B2383" s="2">
        <v>20061.72</v>
      </c>
      <c r="C2383" s="38">
        <v>44943</v>
      </c>
      <c r="D2383" s="1" t="s">
        <v>167</v>
      </c>
      <c r="E2383" s="1" t="s">
        <v>33</v>
      </c>
      <c r="F2383" s="1" t="s">
        <v>209</v>
      </c>
      <c r="G2383" s="5">
        <v>238.83</v>
      </c>
    </row>
    <row r="2384" spans="1:7" x14ac:dyDescent="0.2">
      <c r="A2384" s="3">
        <v>84</v>
      </c>
      <c r="B2384" s="2">
        <v>20061.72</v>
      </c>
      <c r="C2384" s="38">
        <v>44943</v>
      </c>
      <c r="D2384" s="1" t="s">
        <v>167</v>
      </c>
      <c r="E2384" s="1" t="s">
        <v>33</v>
      </c>
      <c r="F2384" s="1" t="s">
        <v>209</v>
      </c>
      <c r="G2384" s="5">
        <v>238.83</v>
      </c>
    </row>
    <row r="2385" spans="1:7" x14ac:dyDescent="0.2">
      <c r="A2385" s="3">
        <v>168</v>
      </c>
      <c r="B2385" s="2">
        <v>40123.440000000002</v>
      </c>
      <c r="C2385" s="38">
        <v>44943</v>
      </c>
      <c r="D2385" s="1" t="s">
        <v>167</v>
      </c>
      <c r="E2385" s="1" t="s">
        <v>33</v>
      </c>
      <c r="F2385" s="1" t="s">
        <v>209</v>
      </c>
      <c r="G2385" s="5">
        <v>238.83</v>
      </c>
    </row>
    <row r="2386" spans="1:7" x14ac:dyDescent="0.2">
      <c r="A2386" s="3">
        <v>210</v>
      </c>
      <c r="B2386" s="2">
        <v>87198.3</v>
      </c>
      <c r="C2386" s="38">
        <v>44943</v>
      </c>
      <c r="D2386" s="1" t="s">
        <v>72</v>
      </c>
      <c r="E2386" s="1" t="s">
        <v>33</v>
      </c>
      <c r="F2386" s="1" t="s">
        <v>209</v>
      </c>
      <c r="G2386" s="5">
        <v>415.23</v>
      </c>
    </row>
    <row r="2387" spans="1:7" x14ac:dyDescent="0.2">
      <c r="A2387" s="3">
        <v>210</v>
      </c>
      <c r="B2387" s="2">
        <v>87198.3</v>
      </c>
      <c r="C2387" s="38">
        <v>44943</v>
      </c>
      <c r="D2387" s="1" t="s">
        <v>72</v>
      </c>
      <c r="E2387" s="1" t="s">
        <v>33</v>
      </c>
      <c r="F2387" s="1" t="s">
        <v>209</v>
      </c>
      <c r="G2387" s="5">
        <v>415.23</v>
      </c>
    </row>
    <row r="2388" spans="1:7" x14ac:dyDescent="0.2">
      <c r="A2388" s="3">
        <v>350</v>
      </c>
      <c r="B2388" s="2">
        <v>145330.5</v>
      </c>
      <c r="C2388" s="38">
        <v>44943</v>
      </c>
      <c r="D2388" s="1" t="s">
        <v>72</v>
      </c>
      <c r="E2388" s="1" t="s">
        <v>33</v>
      </c>
      <c r="F2388" s="1" t="s">
        <v>209</v>
      </c>
      <c r="G2388" s="5">
        <v>415.23</v>
      </c>
    </row>
    <row r="2389" spans="1:7" x14ac:dyDescent="0.2">
      <c r="A2389" s="3">
        <v>420</v>
      </c>
      <c r="B2389" s="2">
        <v>174396.6</v>
      </c>
      <c r="C2389" s="38">
        <v>44943</v>
      </c>
      <c r="D2389" s="1" t="s">
        <v>72</v>
      </c>
      <c r="E2389" s="1" t="s">
        <v>33</v>
      </c>
      <c r="F2389" s="1" t="s">
        <v>209</v>
      </c>
      <c r="G2389" s="5">
        <v>415.23</v>
      </c>
    </row>
    <row r="2390" spans="1:7" x14ac:dyDescent="0.2">
      <c r="A2390" s="3">
        <v>70</v>
      </c>
      <c r="B2390" s="2">
        <v>29066.1</v>
      </c>
      <c r="C2390" s="38">
        <v>44943</v>
      </c>
      <c r="D2390" s="1" t="s">
        <v>72</v>
      </c>
      <c r="E2390" s="1" t="s">
        <v>33</v>
      </c>
      <c r="F2390" s="1" t="s">
        <v>209</v>
      </c>
      <c r="G2390" s="5">
        <v>415.23</v>
      </c>
    </row>
    <row r="2391" spans="1:7" x14ac:dyDescent="0.2">
      <c r="A2391" s="3">
        <v>1000</v>
      </c>
      <c r="B2391" s="2">
        <v>1940</v>
      </c>
      <c r="C2391" s="38">
        <v>44993</v>
      </c>
      <c r="D2391" s="1" t="s">
        <v>56</v>
      </c>
      <c r="E2391" s="1" t="s">
        <v>33</v>
      </c>
      <c r="F2391" s="1" t="s">
        <v>209</v>
      </c>
      <c r="G2391" s="5">
        <v>1.94</v>
      </c>
    </row>
    <row r="2392" spans="1:7" x14ac:dyDescent="0.2">
      <c r="A2392" s="3">
        <v>252</v>
      </c>
      <c r="B2392" s="2">
        <v>20099.52</v>
      </c>
      <c r="C2392" s="38">
        <v>44993</v>
      </c>
      <c r="D2392" s="1" t="s">
        <v>61</v>
      </c>
      <c r="E2392" s="1" t="s">
        <v>33</v>
      </c>
      <c r="F2392" s="1" t="s">
        <v>209</v>
      </c>
      <c r="G2392" s="5">
        <v>79.760000000000005</v>
      </c>
    </row>
    <row r="2393" spans="1:7" x14ac:dyDescent="0.2">
      <c r="A2393" s="3">
        <v>672</v>
      </c>
      <c r="B2393" s="2">
        <v>160493.76000000001</v>
      </c>
      <c r="C2393" s="38">
        <v>44993</v>
      </c>
      <c r="D2393" s="1" t="s">
        <v>167</v>
      </c>
      <c r="E2393" s="1" t="s">
        <v>33</v>
      </c>
      <c r="F2393" s="1" t="s">
        <v>209</v>
      </c>
      <c r="G2393" s="5">
        <v>238.83</v>
      </c>
    </row>
    <row r="2394" spans="1:7" x14ac:dyDescent="0.2">
      <c r="A2394" s="3">
        <v>350</v>
      </c>
      <c r="B2394" s="2">
        <v>150101</v>
      </c>
      <c r="C2394" s="38">
        <v>44993</v>
      </c>
      <c r="D2394" s="1" t="s">
        <v>73</v>
      </c>
      <c r="E2394" s="1" t="s">
        <v>33</v>
      </c>
      <c r="F2394" s="1" t="s">
        <v>209</v>
      </c>
      <c r="G2394" s="5">
        <v>428.86</v>
      </c>
    </row>
    <row r="2395" spans="1:7" x14ac:dyDescent="0.2">
      <c r="A2395" s="3">
        <v>140</v>
      </c>
      <c r="B2395" s="2">
        <v>60040.4</v>
      </c>
      <c r="C2395" s="38">
        <v>44993</v>
      </c>
      <c r="D2395" s="1" t="s">
        <v>73</v>
      </c>
      <c r="E2395" s="1" t="s">
        <v>33</v>
      </c>
      <c r="F2395" s="1" t="s">
        <v>209</v>
      </c>
      <c r="G2395" s="5">
        <v>428.86</v>
      </c>
    </row>
    <row r="2396" spans="1:7" x14ac:dyDescent="0.2">
      <c r="A2396" s="3">
        <v>350</v>
      </c>
      <c r="B2396" s="2">
        <v>150101</v>
      </c>
      <c r="C2396" s="38">
        <v>44993</v>
      </c>
      <c r="D2396" s="1" t="s">
        <v>73</v>
      </c>
      <c r="E2396" s="1" t="s">
        <v>33</v>
      </c>
      <c r="F2396" s="1" t="s">
        <v>209</v>
      </c>
      <c r="G2396" s="5">
        <v>428.86</v>
      </c>
    </row>
    <row r="2397" spans="1:7" x14ac:dyDescent="0.2">
      <c r="A2397" s="3">
        <v>118</v>
      </c>
      <c r="B2397" s="2">
        <v>13179.42</v>
      </c>
      <c r="C2397" s="38">
        <v>45044</v>
      </c>
      <c r="D2397" s="1" t="s">
        <v>168</v>
      </c>
      <c r="E2397" s="1" t="s">
        <v>33</v>
      </c>
      <c r="F2397" s="1" t="s">
        <v>209</v>
      </c>
      <c r="G2397" s="5">
        <v>111.69</v>
      </c>
    </row>
    <row r="2398" spans="1:7" x14ac:dyDescent="0.2">
      <c r="A2398" s="3">
        <v>159</v>
      </c>
      <c r="B2398" s="2">
        <v>17758.71</v>
      </c>
      <c r="C2398" s="38">
        <v>45044</v>
      </c>
      <c r="D2398" s="1" t="s">
        <v>168</v>
      </c>
      <c r="E2398" s="1" t="s">
        <v>33</v>
      </c>
      <c r="F2398" s="1" t="s">
        <v>209</v>
      </c>
      <c r="G2398" s="5">
        <v>111.69</v>
      </c>
    </row>
    <row r="2399" spans="1:7" x14ac:dyDescent="0.2">
      <c r="A2399" s="3">
        <v>160</v>
      </c>
      <c r="B2399" s="2">
        <v>17870.400000000001</v>
      </c>
      <c r="C2399" s="38">
        <v>45044</v>
      </c>
      <c r="D2399" s="1" t="s">
        <v>168</v>
      </c>
      <c r="E2399" s="1" t="s">
        <v>33</v>
      </c>
      <c r="F2399" s="1" t="s">
        <v>209</v>
      </c>
      <c r="G2399" s="5">
        <v>111.69</v>
      </c>
    </row>
    <row r="2400" spans="1:7" x14ac:dyDescent="0.2">
      <c r="A2400" s="3">
        <v>23</v>
      </c>
      <c r="B2400" s="2">
        <v>2568.87</v>
      </c>
      <c r="C2400" s="38">
        <v>45044</v>
      </c>
      <c r="D2400" s="1" t="s">
        <v>168</v>
      </c>
      <c r="E2400" s="1" t="s">
        <v>33</v>
      </c>
      <c r="F2400" s="1" t="s">
        <v>209</v>
      </c>
      <c r="G2400" s="5">
        <v>111.69</v>
      </c>
    </row>
    <row r="2401" spans="1:7" x14ac:dyDescent="0.2">
      <c r="A2401" s="3">
        <v>84</v>
      </c>
      <c r="B2401" s="2">
        <v>20061.72</v>
      </c>
      <c r="C2401" s="38">
        <v>44946</v>
      </c>
      <c r="D2401" s="1" t="s">
        <v>167</v>
      </c>
      <c r="E2401" s="1" t="s">
        <v>33</v>
      </c>
      <c r="F2401" s="1" t="s">
        <v>209</v>
      </c>
      <c r="G2401" s="5">
        <v>238.83</v>
      </c>
    </row>
    <row r="2402" spans="1:7" x14ac:dyDescent="0.2">
      <c r="A2402" s="3">
        <v>84</v>
      </c>
      <c r="B2402" s="2">
        <v>20061.72</v>
      </c>
      <c r="C2402" s="38">
        <v>44946</v>
      </c>
      <c r="D2402" s="1" t="s">
        <v>167</v>
      </c>
      <c r="E2402" s="1" t="s">
        <v>33</v>
      </c>
      <c r="F2402" s="1" t="s">
        <v>209</v>
      </c>
      <c r="G2402" s="5">
        <v>238.83</v>
      </c>
    </row>
    <row r="2403" spans="1:7" x14ac:dyDescent="0.2">
      <c r="A2403" s="3">
        <v>84</v>
      </c>
      <c r="B2403" s="2">
        <v>20061.72</v>
      </c>
      <c r="C2403" s="38">
        <v>44946</v>
      </c>
      <c r="D2403" s="1" t="s">
        <v>167</v>
      </c>
      <c r="E2403" s="1" t="s">
        <v>33</v>
      </c>
      <c r="F2403" s="1" t="s">
        <v>209</v>
      </c>
      <c r="G2403" s="5">
        <v>238.83</v>
      </c>
    </row>
    <row r="2404" spans="1:7" x14ac:dyDescent="0.2">
      <c r="A2404" s="3">
        <v>84</v>
      </c>
      <c r="B2404" s="2">
        <v>20061.72</v>
      </c>
      <c r="C2404" s="38">
        <v>44946</v>
      </c>
      <c r="D2404" s="1" t="s">
        <v>167</v>
      </c>
      <c r="E2404" s="1" t="s">
        <v>33</v>
      </c>
      <c r="F2404" s="1" t="s">
        <v>209</v>
      </c>
      <c r="G2404" s="5">
        <v>238.83</v>
      </c>
    </row>
    <row r="2405" spans="1:7" x14ac:dyDescent="0.2">
      <c r="A2405" s="3">
        <v>84</v>
      </c>
      <c r="B2405" s="2">
        <v>20061.72</v>
      </c>
      <c r="C2405" s="38">
        <v>44946</v>
      </c>
      <c r="D2405" s="1" t="s">
        <v>167</v>
      </c>
      <c r="E2405" s="1" t="s">
        <v>33</v>
      </c>
      <c r="F2405" s="1" t="s">
        <v>209</v>
      </c>
      <c r="G2405" s="5">
        <v>238.83</v>
      </c>
    </row>
    <row r="2406" spans="1:7" x14ac:dyDescent="0.2">
      <c r="A2406" s="3">
        <v>216</v>
      </c>
      <c r="B2406" s="2">
        <v>24669.360000000001</v>
      </c>
      <c r="C2406" s="38">
        <v>44949</v>
      </c>
      <c r="D2406" s="1" t="s">
        <v>55</v>
      </c>
      <c r="E2406" s="1" t="s">
        <v>33</v>
      </c>
      <c r="F2406" s="1" t="s">
        <v>209</v>
      </c>
      <c r="G2406" s="5">
        <v>114.21</v>
      </c>
    </row>
    <row r="2407" spans="1:7" x14ac:dyDescent="0.2">
      <c r="A2407" s="3">
        <v>324</v>
      </c>
      <c r="B2407" s="2">
        <v>37004.04</v>
      </c>
      <c r="C2407" s="38">
        <v>44949</v>
      </c>
      <c r="D2407" s="1" t="s">
        <v>55</v>
      </c>
      <c r="E2407" s="1" t="s">
        <v>33</v>
      </c>
      <c r="F2407" s="1" t="s">
        <v>209</v>
      </c>
      <c r="G2407" s="5">
        <v>114.21</v>
      </c>
    </row>
    <row r="2408" spans="1:7" x14ac:dyDescent="0.2">
      <c r="A2408" s="3">
        <v>108</v>
      </c>
      <c r="B2408" s="2">
        <v>12334.68</v>
      </c>
      <c r="C2408" s="38">
        <v>44949</v>
      </c>
      <c r="D2408" s="1" t="s">
        <v>55</v>
      </c>
      <c r="E2408" s="1" t="s">
        <v>33</v>
      </c>
      <c r="F2408" s="1" t="s">
        <v>209</v>
      </c>
      <c r="G2408" s="5">
        <v>114.21</v>
      </c>
    </row>
    <row r="2409" spans="1:7" x14ac:dyDescent="0.2">
      <c r="A2409" s="3">
        <v>216</v>
      </c>
      <c r="B2409" s="2">
        <v>24669.360000000001</v>
      </c>
      <c r="C2409" s="38">
        <v>44949</v>
      </c>
      <c r="D2409" s="1" t="s">
        <v>55</v>
      </c>
      <c r="E2409" s="1" t="s">
        <v>33</v>
      </c>
      <c r="F2409" s="1" t="s">
        <v>209</v>
      </c>
      <c r="G2409" s="5">
        <v>114.21</v>
      </c>
    </row>
    <row r="2410" spans="1:7" x14ac:dyDescent="0.2">
      <c r="A2410" s="3">
        <v>216</v>
      </c>
      <c r="B2410" s="2">
        <v>24669.360000000001</v>
      </c>
      <c r="C2410" s="38">
        <v>44949</v>
      </c>
      <c r="D2410" s="1" t="s">
        <v>55</v>
      </c>
      <c r="E2410" s="1" t="s">
        <v>33</v>
      </c>
      <c r="F2410" s="1" t="s">
        <v>209</v>
      </c>
      <c r="G2410" s="5">
        <v>114.21</v>
      </c>
    </row>
    <row r="2411" spans="1:7" x14ac:dyDescent="0.2">
      <c r="A2411" s="3">
        <v>324</v>
      </c>
      <c r="B2411" s="2">
        <v>37004.04</v>
      </c>
      <c r="C2411" s="38">
        <v>44949</v>
      </c>
      <c r="D2411" s="1" t="s">
        <v>55</v>
      </c>
      <c r="E2411" s="1" t="s">
        <v>33</v>
      </c>
      <c r="F2411" s="1" t="s">
        <v>209</v>
      </c>
      <c r="G2411" s="5">
        <v>114.21</v>
      </c>
    </row>
    <row r="2412" spans="1:7" x14ac:dyDescent="0.2">
      <c r="A2412" s="3">
        <v>108</v>
      </c>
      <c r="B2412" s="2">
        <v>12334.68</v>
      </c>
      <c r="C2412" s="38">
        <v>44949</v>
      </c>
      <c r="D2412" s="1" t="s">
        <v>55</v>
      </c>
      <c r="E2412" s="1" t="s">
        <v>33</v>
      </c>
      <c r="F2412" s="1" t="s">
        <v>209</v>
      </c>
      <c r="G2412" s="5">
        <v>114.21</v>
      </c>
    </row>
    <row r="2413" spans="1:7" x14ac:dyDescent="0.2">
      <c r="A2413" s="3">
        <v>210</v>
      </c>
      <c r="B2413" s="2">
        <v>87198.3</v>
      </c>
      <c r="C2413" s="38">
        <v>44949</v>
      </c>
      <c r="D2413" s="1" t="s">
        <v>72</v>
      </c>
      <c r="E2413" s="1" t="s">
        <v>33</v>
      </c>
      <c r="F2413" s="1" t="s">
        <v>209</v>
      </c>
      <c r="G2413" s="5">
        <v>415.23</v>
      </c>
    </row>
    <row r="2414" spans="1:7" x14ac:dyDescent="0.2">
      <c r="A2414" s="3">
        <v>420</v>
      </c>
      <c r="B2414" s="2">
        <v>174396.6</v>
      </c>
      <c r="C2414" s="38">
        <v>44949</v>
      </c>
      <c r="D2414" s="1" t="s">
        <v>72</v>
      </c>
      <c r="E2414" s="1" t="s">
        <v>33</v>
      </c>
      <c r="F2414" s="1" t="s">
        <v>209</v>
      </c>
      <c r="G2414" s="5">
        <v>415.23</v>
      </c>
    </row>
    <row r="2415" spans="1:7" x14ac:dyDescent="0.2">
      <c r="A2415" s="3">
        <v>15</v>
      </c>
      <c r="B2415" s="2">
        <v>13613.1</v>
      </c>
      <c r="C2415" s="38">
        <v>44949</v>
      </c>
      <c r="D2415" s="1" t="s">
        <v>85</v>
      </c>
      <c r="E2415" s="1" t="s">
        <v>33</v>
      </c>
      <c r="F2415" s="1" t="s">
        <v>209</v>
      </c>
      <c r="G2415" s="5">
        <v>907.54</v>
      </c>
    </row>
    <row r="2416" spans="1:7" x14ac:dyDescent="0.2">
      <c r="A2416" s="3">
        <v>15</v>
      </c>
      <c r="B2416" s="2">
        <v>13613.1</v>
      </c>
      <c r="C2416" s="38">
        <v>44949</v>
      </c>
      <c r="D2416" s="1" t="s">
        <v>85</v>
      </c>
      <c r="E2416" s="1" t="s">
        <v>33</v>
      </c>
      <c r="F2416" s="1" t="s">
        <v>209</v>
      </c>
      <c r="G2416" s="5">
        <v>907.54</v>
      </c>
    </row>
    <row r="2417" spans="1:7" x14ac:dyDescent="0.2">
      <c r="A2417" s="3">
        <v>15</v>
      </c>
      <c r="B2417" s="2">
        <v>13613.1</v>
      </c>
      <c r="C2417" s="38">
        <v>44949</v>
      </c>
      <c r="D2417" s="1" t="s">
        <v>85</v>
      </c>
      <c r="E2417" s="1" t="s">
        <v>33</v>
      </c>
      <c r="F2417" s="1" t="s">
        <v>209</v>
      </c>
      <c r="G2417" s="5">
        <v>907.54</v>
      </c>
    </row>
    <row r="2418" spans="1:7" x14ac:dyDescent="0.2">
      <c r="A2418" s="3">
        <v>592</v>
      </c>
      <c r="B2418" s="2">
        <v>66120.479999999996</v>
      </c>
      <c r="C2418" s="38">
        <v>45044</v>
      </c>
      <c r="D2418" s="1" t="s">
        <v>168</v>
      </c>
      <c r="E2418" s="1" t="s">
        <v>33</v>
      </c>
      <c r="F2418" s="1" t="s">
        <v>209</v>
      </c>
      <c r="G2418" s="5">
        <v>111.69</v>
      </c>
    </row>
    <row r="2419" spans="1:7" x14ac:dyDescent="0.2">
      <c r="A2419" s="3">
        <v>180</v>
      </c>
      <c r="B2419" s="2">
        <v>136681.20000000001</v>
      </c>
      <c r="C2419" s="38">
        <v>45044</v>
      </c>
      <c r="D2419" s="1" t="s">
        <v>83</v>
      </c>
      <c r="E2419" s="1" t="s">
        <v>33</v>
      </c>
      <c r="F2419" s="1" t="s">
        <v>209</v>
      </c>
      <c r="G2419" s="5">
        <v>759.34</v>
      </c>
    </row>
    <row r="2420" spans="1:7" x14ac:dyDescent="0.2">
      <c r="A2420" s="3">
        <v>60</v>
      </c>
      <c r="B2420" s="2">
        <v>45560.4</v>
      </c>
      <c r="C2420" s="38">
        <v>45044</v>
      </c>
      <c r="D2420" s="1" t="s">
        <v>83</v>
      </c>
      <c r="E2420" s="1" t="s">
        <v>33</v>
      </c>
      <c r="F2420" s="1" t="s">
        <v>209</v>
      </c>
      <c r="G2420" s="5">
        <v>759.34</v>
      </c>
    </row>
    <row r="2421" spans="1:7" x14ac:dyDescent="0.2">
      <c r="A2421" s="3">
        <v>60</v>
      </c>
      <c r="B2421" s="2">
        <v>45560.4</v>
      </c>
      <c r="C2421" s="38">
        <v>45044</v>
      </c>
      <c r="D2421" s="1" t="s">
        <v>83</v>
      </c>
      <c r="E2421" s="1" t="s">
        <v>33</v>
      </c>
      <c r="F2421" s="1" t="s">
        <v>209</v>
      </c>
      <c r="G2421" s="5">
        <v>759.34</v>
      </c>
    </row>
    <row r="2422" spans="1:7" x14ac:dyDescent="0.2">
      <c r="A2422" s="3">
        <v>120</v>
      </c>
      <c r="B2422" s="2">
        <v>91120.8</v>
      </c>
      <c r="C2422" s="38">
        <v>45044</v>
      </c>
      <c r="D2422" s="1" t="s">
        <v>83</v>
      </c>
      <c r="E2422" s="1" t="s">
        <v>33</v>
      </c>
      <c r="F2422" s="1" t="s">
        <v>209</v>
      </c>
      <c r="G2422" s="5">
        <v>759.34</v>
      </c>
    </row>
    <row r="2423" spans="1:7" x14ac:dyDescent="0.2">
      <c r="A2423" s="3">
        <v>90</v>
      </c>
      <c r="B2423" s="2">
        <v>81678.600000000006</v>
      </c>
      <c r="C2423" s="38">
        <v>45044</v>
      </c>
      <c r="D2423" s="1" t="s">
        <v>85</v>
      </c>
      <c r="E2423" s="1" t="s">
        <v>33</v>
      </c>
      <c r="F2423" s="1" t="s">
        <v>209</v>
      </c>
      <c r="G2423" s="5">
        <v>907.54</v>
      </c>
    </row>
    <row r="2424" spans="1:7" x14ac:dyDescent="0.2">
      <c r="A2424" s="3">
        <v>150</v>
      </c>
      <c r="B2424" s="2">
        <v>128605.5</v>
      </c>
      <c r="C2424" s="38">
        <v>45044</v>
      </c>
      <c r="D2424" s="1" t="s">
        <v>85</v>
      </c>
      <c r="E2424" s="1" t="s">
        <v>33</v>
      </c>
      <c r="F2424" s="1" t="s">
        <v>209</v>
      </c>
      <c r="G2424" s="5">
        <v>857.37</v>
      </c>
    </row>
    <row r="2425" spans="1:7" x14ac:dyDescent="0.2">
      <c r="A2425" s="3">
        <v>165</v>
      </c>
      <c r="B2425" s="2">
        <v>141466.04999999999</v>
      </c>
      <c r="C2425" s="38">
        <v>45044</v>
      </c>
      <c r="D2425" s="1" t="s">
        <v>85</v>
      </c>
      <c r="E2425" s="1" t="s">
        <v>33</v>
      </c>
      <c r="F2425" s="1" t="s">
        <v>209</v>
      </c>
      <c r="G2425" s="5">
        <v>857.37</v>
      </c>
    </row>
    <row r="2426" spans="1:7" x14ac:dyDescent="0.2">
      <c r="A2426" s="3">
        <v>318</v>
      </c>
      <c r="B2426" s="2">
        <v>601716.42000000004</v>
      </c>
      <c r="C2426" s="38">
        <v>45044</v>
      </c>
      <c r="D2426" s="1" t="s">
        <v>120</v>
      </c>
      <c r="E2426" s="1" t="s">
        <v>33</v>
      </c>
      <c r="F2426" s="1" t="s">
        <v>209</v>
      </c>
      <c r="G2426" s="5">
        <v>1892.19</v>
      </c>
    </row>
    <row r="2427" spans="1:7" x14ac:dyDescent="0.2">
      <c r="A2427" s="3">
        <v>146</v>
      </c>
      <c r="B2427" s="2">
        <v>276259.74</v>
      </c>
      <c r="C2427" s="38">
        <v>45044</v>
      </c>
      <c r="D2427" s="1" t="s">
        <v>120</v>
      </c>
      <c r="E2427" s="1" t="s">
        <v>33</v>
      </c>
      <c r="F2427" s="1" t="s">
        <v>209</v>
      </c>
      <c r="G2427" s="5">
        <v>1892.19</v>
      </c>
    </row>
    <row r="2428" spans="1:7" x14ac:dyDescent="0.2">
      <c r="A2428" s="3">
        <v>108</v>
      </c>
      <c r="B2428" s="2">
        <v>204356.52</v>
      </c>
      <c r="C2428" s="38">
        <v>45044</v>
      </c>
      <c r="D2428" s="1" t="s">
        <v>120</v>
      </c>
      <c r="E2428" s="1" t="s">
        <v>33</v>
      </c>
      <c r="F2428" s="1" t="s">
        <v>209</v>
      </c>
      <c r="G2428" s="5">
        <v>1892.19</v>
      </c>
    </row>
    <row r="2429" spans="1:7" x14ac:dyDescent="0.2">
      <c r="A2429" s="3">
        <v>45</v>
      </c>
      <c r="B2429" s="2">
        <v>40839.300000000003</v>
      </c>
      <c r="C2429" s="38">
        <v>44949</v>
      </c>
      <c r="D2429" s="1" t="s">
        <v>85</v>
      </c>
      <c r="E2429" s="1" t="s">
        <v>33</v>
      </c>
      <c r="F2429" s="1" t="s">
        <v>209</v>
      </c>
      <c r="G2429" s="5">
        <v>907.54</v>
      </c>
    </row>
    <row r="2430" spans="1:7" x14ac:dyDescent="0.2">
      <c r="A2430" s="3">
        <v>375</v>
      </c>
      <c r="B2430" s="2">
        <v>340327.5</v>
      </c>
      <c r="C2430" s="38">
        <v>44949</v>
      </c>
      <c r="D2430" s="1" t="s">
        <v>85</v>
      </c>
      <c r="E2430" s="1" t="s">
        <v>33</v>
      </c>
      <c r="F2430" s="1" t="s">
        <v>209</v>
      </c>
      <c r="G2430" s="5">
        <v>907.54</v>
      </c>
    </row>
    <row r="2431" spans="1:7" x14ac:dyDescent="0.2">
      <c r="A2431" s="3">
        <v>150</v>
      </c>
      <c r="B2431" s="2">
        <v>136131</v>
      </c>
      <c r="C2431" s="38">
        <v>44949</v>
      </c>
      <c r="D2431" s="1" t="s">
        <v>85</v>
      </c>
      <c r="E2431" s="1" t="s">
        <v>33</v>
      </c>
      <c r="F2431" s="1" t="s">
        <v>209</v>
      </c>
      <c r="G2431" s="5">
        <v>907.54</v>
      </c>
    </row>
    <row r="2432" spans="1:7" x14ac:dyDescent="0.2">
      <c r="A2432" s="3">
        <v>360</v>
      </c>
      <c r="B2432" s="2">
        <v>326714.40000000002</v>
      </c>
      <c r="C2432" s="38">
        <v>44949</v>
      </c>
      <c r="D2432" s="1" t="s">
        <v>85</v>
      </c>
      <c r="E2432" s="1" t="s">
        <v>33</v>
      </c>
      <c r="F2432" s="1" t="s">
        <v>209</v>
      </c>
      <c r="G2432" s="5">
        <v>907.54</v>
      </c>
    </row>
    <row r="2433" spans="1:7" x14ac:dyDescent="0.2">
      <c r="A2433" s="3">
        <v>135</v>
      </c>
      <c r="B2433" s="2">
        <v>122517.9</v>
      </c>
      <c r="C2433" s="38">
        <v>44949</v>
      </c>
      <c r="D2433" s="1" t="s">
        <v>85</v>
      </c>
      <c r="E2433" s="1" t="s">
        <v>33</v>
      </c>
      <c r="F2433" s="1" t="s">
        <v>209</v>
      </c>
      <c r="G2433" s="5">
        <v>907.54</v>
      </c>
    </row>
    <row r="2434" spans="1:7" x14ac:dyDescent="0.2">
      <c r="A2434" s="3">
        <v>150</v>
      </c>
      <c r="B2434" s="2">
        <v>136131</v>
      </c>
      <c r="C2434" s="38">
        <v>44949</v>
      </c>
      <c r="D2434" s="1" t="s">
        <v>85</v>
      </c>
      <c r="E2434" s="1" t="s">
        <v>33</v>
      </c>
      <c r="F2434" s="1" t="s">
        <v>209</v>
      </c>
      <c r="G2434" s="5">
        <v>907.54</v>
      </c>
    </row>
    <row r="2435" spans="1:7" x14ac:dyDescent="0.2">
      <c r="A2435" s="3">
        <v>150</v>
      </c>
      <c r="B2435" s="2">
        <v>136131</v>
      </c>
      <c r="C2435" s="38">
        <v>44949</v>
      </c>
      <c r="D2435" s="1" t="s">
        <v>85</v>
      </c>
      <c r="E2435" s="1" t="s">
        <v>33</v>
      </c>
      <c r="F2435" s="1" t="s">
        <v>209</v>
      </c>
      <c r="G2435" s="5">
        <v>907.54</v>
      </c>
    </row>
    <row r="2436" spans="1:7" x14ac:dyDescent="0.2">
      <c r="A2436" s="3">
        <v>120</v>
      </c>
      <c r="B2436" s="2">
        <v>108904.8</v>
      </c>
      <c r="C2436" s="38">
        <v>44949</v>
      </c>
      <c r="D2436" s="1" t="s">
        <v>85</v>
      </c>
      <c r="E2436" s="1" t="s">
        <v>33</v>
      </c>
      <c r="F2436" s="1" t="s">
        <v>209</v>
      </c>
      <c r="G2436" s="5">
        <v>907.54</v>
      </c>
    </row>
    <row r="2437" spans="1:7" x14ac:dyDescent="0.2">
      <c r="A2437" s="3">
        <v>240</v>
      </c>
      <c r="B2437" s="2">
        <v>217809.6</v>
      </c>
      <c r="C2437" s="38">
        <v>44949</v>
      </c>
      <c r="D2437" s="1" t="s">
        <v>85</v>
      </c>
      <c r="E2437" s="1" t="s">
        <v>33</v>
      </c>
      <c r="F2437" s="1" t="s">
        <v>209</v>
      </c>
      <c r="G2437" s="5">
        <v>907.54</v>
      </c>
    </row>
    <row r="2438" spans="1:7" x14ac:dyDescent="0.2">
      <c r="A2438" s="3">
        <v>135</v>
      </c>
      <c r="B2438" s="2">
        <v>122517.9</v>
      </c>
      <c r="C2438" s="38">
        <v>44949</v>
      </c>
      <c r="D2438" s="1" t="s">
        <v>85</v>
      </c>
      <c r="E2438" s="1" t="s">
        <v>33</v>
      </c>
      <c r="F2438" s="1" t="s">
        <v>209</v>
      </c>
      <c r="G2438" s="5">
        <v>907.54</v>
      </c>
    </row>
    <row r="2439" spans="1:7" x14ac:dyDescent="0.2">
      <c r="A2439" s="3">
        <v>105</v>
      </c>
      <c r="B2439" s="2">
        <v>95291.7</v>
      </c>
      <c r="C2439" s="38">
        <v>44949</v>
      </c>
      <c r="D2439" s="1" t="s">
        <v>85</v>
      </c>
      <c r="E2439" s="1" t="s">
        <v>33</v>
      </c>
      <c r="F2439" s="1" t="s">
        <v>209</v>
      </c>
      <c r="G2439" s="5">
        <v>907.54</v>
      </c>
    </row>
    <row r="2440" spans="1:7" x14ac:dyDescent="0.2">
      <c r="A2440" s="3">
        <v>105</v>
      </c>
      <c r="B2440" s="2">
        <v>95291.7</v>
      </c>
      <c r="C2440" s="38">
        <v>44949</v>
      </c>
      <c r="D2440" s="1" t="s">
        <v>85</v>
      </c>
      <c r="E2440" s="1" t="s">
        <v>33</v>
      </c>
      <c r="F2440" s="1" t="s">
        <v>209</v>
      </c>
      <c r="G2440" s="5">
        <v>907.54</v>
      </c>
    </row>
    <row r="2441" spans="1:7" x14ac:dyDescent="0.2">
      <c r="A2441" s="3">
        <v>330</v>
      </c>
      <c r="B2441" s="2">
        <v>299488.2</v>
      </c>
      <c r="C2441" s="38">
        <v>44949</v>
      </c>
      <c r="D2441" s="1" t="s">
        <v>85</v>
      </c>
      <c r="E2441" s="1" t="s">
        <v>33</v>
      </c>
      <c r="F2441" s="1" t="s">
        <v>209</v>
      </c>
      <c r="G2441" s="5">
        <v>907.54</v>
      </c>
    </row>
    <row r="2442" spans="1:7" x14ac:dyDescent="0.2">
      <c r="A2442" s="3">
        <v>15</v>
      </c>
      <c r="B2442" s="2">
        <v>13613.1</v>
      </c>
      <c r="C2442" s="38">
        <v>44949</v>
      </c>
      <c r="D2442" s="1" t="s">
        <v>85</v>
      </c>
      <c r="E2442" s="1" t="s">
        <v>33</v>
      </c>
      <c r="F2442" s="1" t="s">
        <v>209</v>
      </c>
      <c r="G2442" s="5">
        <v>907.54</v>
      </c>
    </row>
    <row r="2443" spans="1:7" x14ac:dyDescent="0.2">
      <c r="A2443" s="3">
        <v>15</v>
      </c>
      <c r="B2443" s="2">
        <v>13613.1</v>
      </c>
      <c r="C2443" s="38">
        <v>44949</v>
      </c>
      <c r="D2443" s="1" t="s">
        <v>85</v>
      </c>
      <c r="E2443" s="1" t="s">
        <v>33</v>
      </c>
      <c r="F2443" s="1" t="s">
        <v>209</v>
      </c>
      <c r="G2443" s="5">
        <v>907.54</v>
      </c>
    </row>
    <row r="2444" spans="1:7" x14ac:dyDescent="0.2">
      <c r="A2444" s="3">
        <v>105</v>
      </c>
      <c r="B2444" s="2">
        <v>95291.7</v>
      </c>
      <c r="C2444" s="38">
        <v>44949</v>
      </c>
      <c r="D2444" s="1" t="s">
        <v>85</v>
      </c>
      <c r="E2444" s="1" t="s">
        <v>33</v>
      </c>
      <c r="F2444" s="1" t="s">
        <v>209</v>
      </c>
      <c r="G2444" s="5">
        <v>907.54</v>
      </c>
    </row>
    <row r="2445" spans="1:7" x14ac:dyDescent="0.2">
      <c r="A2445" s="3">
        <v>1820</v>
      </c>
      <c r="B2445" s="2">
        <v>4313.3999999999996</v>
      </c>
      <c r="C2445" s="38">
        <v>45019</v>
      </c>
      <c r="D2445" s="1" t="s">
        <v>68</v>
      </c>
      <c r="E2445" s="1" t="s">
        <v>33</v>
      </c>
      <c r="F2445" s="1" t="s">
        <v>209</v>
      </c>
      <c r="G2445" s="5">
        <v>2.37</v>
      </c>
    </row>
    <row r="2446" spans="1:7" x14ac:dyDescent="0.2">
      <c r="A2446" s="3">
        <v>168</v>
      </c>
      <c r="B2446" s="2">
        <v>40123.440000000002</v>
      </c>
      <c r="C2446" s="38">
        <v>45019</v>
      </c>
      <c r="D2446" s="1" t="s">
        <v>167</v>
      </c>
      <c r="E2446" s="1" t="s">
        <v>33</v>
      </c>
      <c r="F2446" s="1" t="s">
        <v>209</v>
      </c>
      <c r="G2446" s="5">
        <v>238.83</v>
      </c>
    </row>
    <row r="2447" spans="1:7" x14ac:dyDescent="0.2">
      <c r="A2447" s="3">
        <v>672</v>
      </c>
      <c r="B2447" s="2">
        <v>160493.76000000001</v>
      </c>
      <c r="C2447" s="38">
        <v>45019</v>
      </c>
      <c r="D2447" s="1" t="s">
        <v>167</v>
      </c>
      <c r="E2447" s="1" t="s">
        <v>33</v>
      </c>
      <c r="F2447" s="1" t="s">
        <v>209</v>
      </c>
      <c r="G2447" s="5">
        <v>238.83</v>
      </c>
    </row>
    <row r="2448" spans="1:7" x14ac:dyDescent="0.2">
      <c r="A2448" s="3">
        <v>1008</v>
      </c>
      <c r="B2448" s="2">
        <v>240740.64</v>
      </c>
      <c r="C2448" s="38">
        <v>45019</v>
      </c>
      <c r="D2448" s="1" t="s">
        <v>167</v>
      </c>
      <c r="E2448" s="1" t="s">
        <v>33</v>
      </c>
      <c r="F2448" s="1" t="s">
        <v>209</v>
      </c>
      <c r="G2448" s="5">
        <v>238.83</v>
      </c>
    </row>
    <row r="2449" spans="1:7" x14ac:dyDescent="0.2">
      <c r="A2449" s="3">
        <v>588</v>
      </c>
      <c r="B2449" s="2">
        <v>75075.839999999997</v>
      </c>
      <c r="C2449" s="38">
        <v>45019</v>
      </c>
      <c r="D2449" s="1" t="s">
        <v>181</v>
      </c>
      <c r="E2449" s="1" t="s">
        <v>33</v>
      </c>
      <c r="F2449" s="1" t="s">
        <v>209</v>
      </c>
      <c r="G2449" s="5">
        <v>127.68</v>
      </c>
    </row>
    <row r="2450" spans="1:7" x14ac:dyDescent="0.2">
      <c r="A2450" s="3">
        <v>108</v>
      </c>
      <c r="B2450" s="2">
        <v>12062.52</v>
      </c>
      <c r="C2450" s="38">
        <v>45019</v>
      </c>
      <c r="D2450" s="1" t="s">
        <v>168</v>
      </c>
      <c r="E2450" s="1" t="s">
        <v>33</v>
      </c>
      <c r="F2450" s="1" t="s">
        <v>209</v>
      </c>
      <c r="G2450" s="5">
        <v>111.69</v>
      </c>
    </row>
    <row r="2451" spans="1:7" x14ac:dyDescent="0.2">
      <c r="A2451" s="3">
        <v>78</v>
      </c>
      <c r="B2451" s="2">
        <v>8711.82</v>
      </c>
      <c r="C2451" s="38">
        <v>45019</v>
      </c>
      <c r="D2451" s="1" t="s">
        <v>168</v>
      </c>
      <c r="E2451" s="1" t="s">
        <v>33</v>
      </c>
      <c r="F2451" s="1" t="s">
        <v>209</v>
      </c>
      <c r="G2451" s="5">
        <v>111.69</v>
      </c>
    </row>
    <row r="2452" spans="1:7" x14ac:dyDescent="0.2">
      <c r="A2452" s="3">
        <v>2000</v>
      </c>
      <c r="B2452" s="2">
        <v>3880</v>
      </c>
      <c r="C2452" s="38">
        <v>45020</v>
      </c>
      <c r="D2452" s="1" t="s">
        <v>56</v>
      </c>
      <c r="E2452" s="1" t="s">
        <v>33</v>
      </c>
      <c r="F2452" s="1" t="s">
        <v>209</v>
      </c>
      <c r="G2452" s="5">
        <v>1.94</v>
      </c>
    </row>
    <row r="2453" spans="1:7" x14ac:dyDescent="0.2">
      <c r="A2453" s="3">
        <v>120</v>
      </c>
      <c r="B2453" s="2">
        <v>11030.4</v>
      </c>
      <c r="C2453" s="38">
        <v>45020</v>
      </c>
      <c r="D2453" s="1" t="s">
        <v>113</v>
      </c>
      <c r="E2453" s="1" t="s">
        <v>33</v>
      </c>
      <c r="F2453" s="1" t="s">
        <v>209</v>
      </c>
      <c r="G2453" s="5">
        <v>91.92</v>
      </c>
    </row>
    <row r="2454" spans="1:7" x14ac:dyDescent="0.2">
      <c r="A2454" s="3">
        <v>588</v>
      </c>
      <c r="B2454" s="2">
        <v>79585.8</v>
      </c>
      <c r="C2454" s="38">
        <v>45020</v>
      </c>
      <c r="D2454" s="1" t="s">
        <v>117</v>
      </c>
      <c r="E2454" s="1" t="s">
        <v>33</v>
      </c>
      <c r="F2454" s="1" t="s">
        <v>209</v>
      </c>
      <c r="G2454" s="5">
        <v>135.35</v>
      </c>
    </row>
    <row r="2455" spans="1:7" x14ac:dyDescent="0.2">
      <c r="A2455" s="3">
        <v>121</v>
      </c>
      <c r="B2455" s="2">
        <v>13514.49</v>
      </c>
      <c r="C2455" s="38">
        <v>45020</v>
      </c>
      <c r="D2455" s="1" t="s">
        <v>168</v>
      </c>
      <c r="E2455" s="1" t="s">
        <v>33</v>
      </c>
      <c r="F2455" s="1" t="s">
        <v>209</v>
      </c>
      <c r="G2455" s="5">
        <v>111.69</v>
      </c>
    </row>
    <row r="2456" spans="1:7" x14ac:dyDescent="0.2">
      <c r="A2456" s="3">
        <v>82</v>
      </c>
      <c r="B2456" s="2">
        <v>9158.58</v>
      </c>
      <c r="C2456" s="38">
        <v>45020</v>
      </c>
      <c r="D2456" s="1" t="s">
        <v>168</v>
      </c>
      <c r="E2456" s="1" t="s">
        <v>33</v>
      </c>
      <c r="F2456" s="1" t="s">
        <v>209</v>
      </c>
      <c r="G2456" s="5">
        <v>111.69</v>
      </c>
    </row>
    <row r="2457" spans="1:7" x14ac:dyDescent="0.2">
      <c r="A2457" s="3">
        <v>159</v>
      </c>
      <c r="B2457" s="2">
        <v>17758.71</v>
      </c>
      <c r="C2457" s="38">
        <v>45020</v>
      </c>
      <c r="D2457" s="1" t="s">
        <v>168</v>
      </c>
      <c r="E2457" s="1" t="s">
        <v>33</v>
      </c>
      <c r="F2457" s="1" t="s">
        <v>209</v>
      </c>
      <c r="G2457" s="5">
        <v>111.69</v>
      </c>
    </row>
    <row r="2458" spans="1:7" x14ac:dyDescent="0.2">
      <c r="A2458" s="3">
        <v>108</v>
      </c>
      <c r="B2458" s="2">
        <v>11654.28</v>
      </c>
      <c r="C2458" s="38">
        <v>45021</v>
      </c>
      <c r="D2458" s="1" t="s">
        <v>55</v>
      </c>
      <c r="E2458" s="1" t="s">
        <v>33</v>
      </c>
      <c r="F2458" s="1" t="s">
        <v>209</v>
      </c>
      <c r="G2458" s="5">
        <v>107.91</v>
      </c>
    </row>
    <row r="2459" spans="1:7" x14ac:dyDescent="0.2">
      <c r="A2459" s="3">
        <v>432</v>
      </c>
      <c r="B2459" s="2">
        <v>46617.120000000003</v>
      </c>
      <c r="C2459" s="38">
        <v>45021</v>
      </c>
      <c r="D2459" s="1" t="s">
        <v>55</v>
      </c>
      <c r="E2459" s="1" t="s">
        <v>33</v>
      </c>
      <c r="F2459" s="1" t="s">
        <v>209</v>
      </c>
      <c r="G2459" s="5">
        <v>107.91</v>
      </c>
    </row>
    <row r="2460" spans="1:7" x14ac:dyDescent="0.2">
      <c r="A2460" s="3">
        <v>108</v>
      </c>
      <c r="B2460" s="2">
        <v>11654.28</v>
      </c>
      <c r="C2460" s="38">
        <v>45021</v>
      </c>
      <c r="D2460" s="1" t="s">
        <v>55</v>
      </c>
      <c r="E2460" s="1" t="s">
        <v>33</v>
      </c>
      <c r="F2460" s="1" t="s">
        <v>209</v>
      </c>
      <c r="G2460" s="5">
        <v>107.91</v>
      </c>
    </row>
    <row r="2461" spans="1:7" x14ac:dyDescent="0.2">
      <c r="A2461" s="3">
        <v>540</v>
      </c>
      <c r="B2461" s="2">
        <v>58271.4</v>
      </c>
      <c r="C2461" s="38">
        <v>45021</v>
      </c>
      <c r="D2461" s="1" t="s">
        <v>55</v>
      </c>
      <c r="E2461" s="1" t="s">
        <v>33</v>
      </c>
      <c r="F2461" s="1" t="s">
        <v>209</v>
      </c>
      <c r="G2461" s="5">
        <v>107.91</v>
      </c>
    </row>
    <row r="2462" spans="1:7" x14ac:dyDescent="0.2">
      <c r="A2462" s="3">
        <v>108</v>
      </c>
      <c r="B2462" s="2">
        <v>11654.28</v>
      </c>
      <c r="C2462" s="38">
        <v>45021</v>
      </c>
      <c r="D2462" s="1" t="s">
        <v>55</v>
      </c>
      <c r="E2462" s="1" t="s">
        <v>33</v>
      </c>
      <c r="F2462" s="1" t="s">
        <v>209</v>
      </c>
      <c r="G2462" s="5">
        <v>107.91</v>
      </c>
    </row>
    <row r="2463" spans="1:7" x14ac:dyDescent="0.2">
      <c r="A2463" s="3">
        <v>108</v>
      </c>
      <c r="B2463" s="2">
        <v>11654.28</v>
      </c>
      <c r="C2463" s="38">
        <v>45021</v>
      </c>
      <c r="D2463" s="1" t="s">
        <v>55</v>
      </c>
      <c r="E2463" s="1" t="s">
        <v>33</v>
      </c>
      <c r="F2463" s="1" t="s">
        <v>209</v>
      </c>
      <c r="G2463" s="5">
        <v>107.91</v>
      </c>
    </row>
    <row r="2464" spans="1:7" x14ac:dyDescent="0.2">
      <c r="A2464" s="3">
        <v>324</v>
      </c>
      <c r="B2464" s="2">
        <v>34962.839999999997</v>
      </c>
      <c r="C2464" s="38">
        <v>45021</v>
      </c>
      <c r="D2464" s="1" t="s">
        <v>55</v>
      </c>
      <c r="E2464" s="1" t="s">
        <v>33</v>
      </c>
      <c r="F2464" s="1" t="s">
        <v>209</v>
      </c>
      <c r="G2464" s="5">
        <v>107.91</v>
      </c>
    </row>
    <row r="2465" spans="1:7" x14ac:dyDescent="0.2">
      <c r="A2465" s="3">
        <v>216</v>
      </c>
      <c r="B2465" s="2">
        <v>23308.560000000001</v>
      </c>
      <c r="C2465" s="38">
        <v>45021</v>
      </c>
      <c r="D2465" s="1" t="s">
        <v>55</v>
      </c>
      <c r="E2465" s="1" t="s">
        <v>33</v>
      </c>
      <c r="F2465" s="1" t="s">
        <v>209</v>
      </c>
      <c r="G2465" s="5">
        <v>107.91</v>
      </c>
    </row>
    <row r="2466" spans="1:7" x14ac:dyDescent="0.2">
      <c r="A2466" s="3">
        <v>216</v>
      </c>
      <c r="B2466" s="2">
        <v>23308.560000000001</v>
      </c>
      <c r="C2466" s="38">
        <v>45021</v>
      </c>
      <c r="D2466" s="1" t="s">
        <v>55</v>
      </c>
      <c r="E2466" s="1" t="s">
        <v>33</v>
      </c>
      <c r="F2466" s="1" t="s">
        <v>209</v>
      </c>
      <c r="G2466" s="5">
        <v>107.91</v>
      </c>
    </row>
    <row r="2467" spans="1:7" x14ac:dyDescent="0.2">
      <c r="A2467" s="3">
        <v>108</v>
      </c>
      <c r="B2467" s="2">
        <v>11654.28</v>
      </c>
      <c r="C2467" s="38">
        <v>45021</v>
      </c>
      <c r="D2467" s="1" t="s">
        <v>55</v>
      </c>
      <c r="E2467" s="1" t="s">
        <v>33</v>
      </c>
      <c r="F2467" s="1" t="s">
        <v>209</v>
      </c>
      <c r="G2467" s="5">
        <v>107.91</v>
      </c>
    </row>
    <row r="2468" spans="1:7" x14ac:dyDescent="0.2">
      <c r="A2468" s="3">
        <v>324</v>
      </c>
      <c r="B2468" s="2">
        <v>34962.839999999997</v>
      </c>
      <c r="C2468" s="38">
        <v>45021</v>
      </c>
      <c r="D2468" s="1" t="s">
        <v>55</v>
      </c>
      <c r="E2468" s="1" t="s">
        <v>33</v>
      </c>
      <c r="F2468" s="1" t="s">
        <v>209</v>
      </c>
      <c r="G2468" s="5">
        <v>107.91</v>
      </c>
    </row>
    <row r="2469" spans="1:7" x14ac:dyDescent="0.2">
      <c r="A2469" s="3">
        <v>108</v>
      </c>
      <c r="B2469" s="2">
        <v>11654.28</v>
      </c>
      <c r="C2469" s="38">
        <v>45021</v>
      </c>
      <c r="D2469" s="1" t="s">
        <v>55</v>
      </c>
      <c r="E2469" s="1" t="s">
        <v>33</v>
      </c>
      <c r="F2469" s="1" t="s">
        <v>209</v>
      </c>
      <c r="G2469" s="5">
        <v>107.91</v>
      </c>
    </row>
    <row r="2470" spans="1:7" x14ac:dyDescent="0.2">
      <c r="A2470" s="3">
        <v>216</v>
      </c>
      <c r="B2470" s="2">
        <v>23308.560000000001</v>
      </c>
      <c r="C2470" s="38">
        <v>45021</v>
      </c>
      <c r="D2470" s="1" t="s">
        <v>55</v>
      </c>
      <c r="E2470" s="1" t="s">
        <v>33</v>
      </c>
      <c r="F2470" s="1" t="s">
        <v>209</v>
      </c>
      <c r="G2470" s="5">
        <v>107.91</v>
      </c>
    </row>
    <row r="2471" spans="1:7" x14ac:dyDescent="0.2">
      <c r="A2471" s="3">
        <v>108</v>
      </c>
      <c r="B2471" s="2">
        <v>11654.28</v>
      </c>
      <c r="C2471" s="38">
        <v>45021</v>
      </c>
      <c r="D2471" s="1" t="s">
        <v>55</v>
      </c>
      <c r="E2471" s="1" t="s">
        <v>33</v>
      </c>
      <c r="F2471" s="1" t="s">
        <v>209</v>
      </c>
      <c r="G2471" s="5">
        <v>107.91</v>
      </c>
    </row>
    <row r="2472" spans="1:7" x14ac:dyDescent="0.2">
      <c r="A2472" s="3">
        <v>108</v>
      </c>
      <c r="B2472" s="2">
        <v>11654.28</v>
      </c>
      <c r="C2472" s="38">
        <v>45021</v>
      </c>
      <c r="D2472" s="1" t="s">
        <v>55</v>
      </c>
      <c r="E2472" s="1" t="s">
        <v>33</v>
      </c>
      <c r="F2472" s="1" t="s">
        <v>209</v>
      </c>
      <c r="G2472" s="5">
        <v>107.91</v>
      </c>
    </row>
    <row r="2473" spans="1:7" x14ac:dyDescent="0.2">
      <c r="A2473" s="3">
        <v>216</v>
      </c>
      <c r="B2473" s="2">
        <v>23308.560000000001</v>
      </c>
      <c r="C2473" s="38">
        <v>45021</v>
      </c>
      <c r="D2473" s="1" t="s">
        <v>55</v>
      </c>
      <c r="E2473" s="1" t="s">
        <v>33</v>
      </c>
      <c r="F2473" s="1" t="s">
        <v>209</v>
      </c>
      <c r="G2473" s="5">
        <v>107.91</v>
      </c>
    </row>
    <row r="2474" spans="1:7" x14ac:dyDescent="0.2">
      <c r="A2474" s="3">
        <v>216</v>
      </c>
      <c r="B2474" s="2">
        <v>23308.560000000001</v>
      </c>
      <c r="C2474" s="38">
        <v>45027</v>
      </c>
      <c r="D2474" s="1" t="s">
        <v>55</v>
      </c>
      <c r="E2474" s="1" t="s">
        <v>33</v>
      </c>
      <c r="F2474" s="1" t="s">
        <v>209</v>
      </c>
      <c r="G2474" s="5">
        <v>107.91</v>
      </c>
    </row>
    <row r="2475" spans="1:7" x14ac:dyDescent="0.2">
      <c r="A2475" s="3">
        <v>216</v>
      </c>
      <c r="B2475" s="2">
        <v>23308.560000000001</v>
      </c>
      <c r="C2475" s="38">
        <v>45027</v>
      </c>
      <c r="D2475" s="1" t="s">
        <v>55</v>
      </c>
      <c r="E2475" s="1" t="s">
        <v>33</v>
      </c>
      <c r="F2475" s="1" t="s">
        <v>209</v>
      </c>
      <c r="G2475" s="5">
        <v>107.91</v>
      </c>
    </row>
    <row r="2476" spans="1:7" x14ac:dyDescent="0.2">
      <c r="A2476" s="3">
        <v>74</v>
      </c>
      <c r="B2476" s="2">
        <v>33352.54</v>
      </c>
      <c r="C2476" s="38">
        <v>45027</v>
      </c>
      <c r="D2476" s="1" t="s">
        <v>58</v>
      </c>
      <c r="E2476" s="1" t="s">
        <v>33</v>
      </c>
      <c r="F2476" s="1" t="s">
        <v>209</v>
      </c>
      <c r="G2476" s="5">
        <v>450.71</v>
      </c>
    </row>
    <row r="2477" spans="1:7" x14ac:dyDescent="0.2">
      <c r="A2477" s="3">
        <v>46</v>
      </c>
      <c r="B2477" s="2">
        <v>20732.66</v>
      </c>
      <c r="C2477" s="38">
        <v>45027</v>
      </c>
      <c r="D2477" s="1" t="s">
        <v>58</v>
      </c>
      <c r="E2477" s="1" t="s">
        <v>33</v>
      </c>
      <c r="F2477" s="1" t="s">
        <v>209</v>
      </c>
      <c r="G2477" s="5">
        <v>450.71</v>
      </c>
    </row>
    <row r="2478" spans="1:7" x14ac:dyDescent="0.2">
      <c r="A2478" s="3">
        <v>158</v>
      </c>
      <c r="B2478" s="2">
        <v>71212.179999999993</v>
      </c>
      <c r="C2478" s="38">
        <v>45027</v>
      </c>
      <c r="D2478" s="1" t="s">
        <v>58</v>
      </c>
      <c r="E2478" s="1" t="s">
        <v>33</v>
      </c>
      <c r="F2478" s="1" t="s">
        <v>209</v>
      </c>
      <c r="G2478" s="5">
        <v>450.71</v>
      </c>
    </row>
    <row r="2479" spans="1:7" x14ac:dyDescent="0.2">
      <c r="A2479" s="3">
        <v>82</v>
      </c>
      <c r="B2479" s="2">
        <v>34866.400000000001</v>
      </c>
      <c r="C2479" s="38">
        <v>45027</v>
      </c>
      <c r="D2479" s="1" t="s">
        <v>58</v>
      </c>
      <c r="E2479" s="1" t="s">
        <v>33</v>
      </c>
      <c r="F2479" s="1" t="s">
        <v>209</v>
      </c>
      <c r="G2479" s="5">
        <v>425.2</v>
      </c>
    </row>
    <row r="2480" spans="1:7" x14ac:dyDescent="0.2">
      <c r="A2480" s="3">
        <v>120</v>
      </c>
      <c r="B2480" s="2">
        <v>54085.2</v>
      </c>
      <c r="C2480" s="38">
        <v>45027</v>
      </c>
      <c r="D2480" s="1" t="s">
        <v>58</v>
      </c>
      <c r="E2480" s="1" t="s">
        <v>33</v>
      </c>
      <c r="F2480" s="1" t="s">
        <v>209</v>
      </c>
      <c r="G2480" s="5">
        <v>450.71</v>
      </c>
    </row>
    <row r="2481" spans="1:7" x14ac:dyDescent="0.2">
      <c r="A2481" s="3">
        <v>82</v>
      </c>
      <c r="B2481" s="2">
        <v>36958.22</v>
      </c>
      <c r="C2481" s="38">
        <v>45027</v>
      </c>
      <c r="D2481" s="1" t="s">
        <v>58</v>
      </c>
      <c r="E2481" s="1" t="s">
        <v>33</v>
      </c>
      <c r="F2481" s="1" t="s">
        <v>209</v>
      </c>
      <c r="G2481" s="5">
        <v>450.71</v>
      </c>
    </row>
    <row r="2482" spans="1:7" x14ac:dyDescent="0.2">
      <c r="A2482" s="3">
        <v>30</v>
      </c>
      <c r="B2482" s="2">
        <v>22780.2</v>
      </c>
      <c r="C2482" s="38">
        <v>45028</v>
      </c>
      <c r="D2482" s="1" t="s">
        <v>83</v>
      </c>
      <c r="E2482" s="1" t="s">
        <v>33</v>
      </c>
      <c r="F2482" s="1" t="s">
        <v>209</v>
      </c>
      <c r="G2482" s="5">
        <v>759.34</v>
      </c>
    </row>
    <row r="2483" spans="1:7" x14ac:dyDescent="0.2">
      <c r="A2483" s="3">
        <v>60</v>
      </c>
      <c r="B2483" s="2">
        <v>45560.4</v>
      </c>
      <c r="C2483" s="38">
        <v>45028</v>
      </c>
      <c r="D2483" s="1" t="s">
        <v>83</v>
      </c>
      <c r="E2483" s="1" t="s">
        <v>33</v>
      </c>
      <c r="F2483" s="1" t="s">
        <v>209</v>
      </c>
      <c r="G2483" s="5">
        <v>759.34</v>
      </c>
    </row>
    <row r="2484" spans="1:7" x14ac:dyDescent="0.2">
      <c r="A2484" s="3">
        <v>180</v>
      </c>
      <c r="B2484" s="2">
        <v>136681.20000000001</v>
      </c>
      <c r="C2484" s="38">
        <v>45028</v>
      </c>
      <c r="D2484" s="1" t="s">
        <v>83</v>
      </c>
      <c r="E2484" s="1" t="s">
        <v>33</v>
      </c>
      <c r="F2484" s="1" t="s">
        <v>209</v>
      </c>
      <c r="G2484" s="5">
        <v>759.34</v>
      </c>
    </row>
    <row r="2485" spans="1:7" x14ac:dyDescent="0.2">
      <c r="A2485" s="3">
        <v>60</v>
      </c>
      <c r="B2485" s="2">
        <v>45560.4</v>
      </c>
      <c r="C2485" s="38">
        <v>45028</v>
      </c>
      <c r="D2485" s="1" t="s">
        <v>83</v>
      </c>
      <c r="E2485" s="1" t="s">
        <v>33</v>
      </c>
      <c r="F2485" s="1" t="s">
        <v>209</v>
      </c>
      <c r="G2485" s="5">
        <v>759.34</v>
      </c>
    </row>
    <row r="2486" spans="1:7" x14ac:dyDescent="0.2">
      <c r="A2486" s="3">
        <v>60</v>
      </c>
      <c r="B2486" s="2">
        <v>45560.4</v>
      </c>
      <c r="C2486" s="38">
        <v>45028</v>
      </c>
      <c r="D2486" s="1" t="s">
        <v>83</v>
      </c>
      <c r="E2486" s="1" t="s">
        <v>33</v>
      </c>
      <c r="F2486" s="1" t="s">
        <v>209</v>
      </c>
      <c r="G2486" s="5">
        <v>759.34</v>
      </c>
    </row>
    <row r="2487" spans="1:7" x14ac:dyDescent="0.2">
      <c r="A2487" s="3">
        <v>270</v>
      </c>
      <c r="B2487" s="2">
        <v>205021.8</v>
      </c>
      <c r="C2487" s="38">
        <v>45028</v>
      </c>
      <c r="D2487" s="1" t="s">
        <v>83</v>
      </c>
      <c r="E2487" s="1" t="s">
        <v>33</v>
      </c>
      <c r="F2487" s="1" t="s">
        <v>209</v>
      </c>
      <c r="G2487" s="5">
        <v>759.34</v>
      </c>
    </row>
    <row r="2488" spans="1:7" x14ac:dyDescent="0.2">
      <c r="A2488" s="3">
        <v>60</v>
      </c>
      <c r="B2488" s="2">
        <v>45560.4</v>
      </c>
      <c r="C2488" s="38">
        <v>45028</v>
      </c>
      <c r="D2488" s="1" t="s">
        <v>83</v>
      </c>
      <c r="E2488" s="1" t="s">
        <v>33</v>
      </c>
      <c r="F2488" s="1" t="s">
        <v>209</v>
      </c>
      <c r="G2488" s="5">
        <v>759.34</v>
      </c>
    </row>
    <row r="2489" spans="1:7" x14ac:dyDescent="0.2">
      <c r="A2489" s="3">
        <v>90</v>
      </c>
      <c r="B2489" s="2">
        <v>68340.600000000006</v>
      </c>
      <c r="C2489" s="38">
        <v>45028</v>
      </c>
      <c r="D2489" s="1" t="s">
        <v>83</v>
      </c>
      <c r="E2489" s="1" t="s">
        <v>33</v>
      </c>
      <c r="F2489" s="1" t="s">
        <v>209</v>
      </c>
      <c r="G2489" s="5">
        <v>759.34</v>
      </c>
    </row>
    <row r="2490" spans="1:7" x14ac:dyDescent="0.2">
      <c r="A2490" s="3">
        <v>360</v>
      </c>
      <c r="B2490" s="2">
        <v>273362.40000000002</v>
      </c>
      <c r="C2490" s="38">
        <v>45028</v>
      </c>
      <c r="D2490" s="1" t="s">
        <v>83</v>
      </c>
      <c r="E2490" s="1" t="s">
        <v>33</v>
      </c>
      <c r="F2490" s="1" t="s">
        <v>209</v>
      </c>
      <c r="G2490" s="5">
        <v>759.34</v>
      </c>
    </row>
    <row r="2491" spans="1:7" x14ac:dyDescent="0.2">
      <c r="A2491" s="3">
        <v>25</v>
      </c>
      <c r="B2491" s="2">
        <v>47304.75</v>
      </c>
      <c r="C2491" s="38">
        <v>44953</v>
      </c>
      <c r="D2491" s="1" t="s">
        <v>120</v>
      </c>
      <c r="E2491" s="1" t="s">
        <v>33</v>
      </c>
      <c r="F2491" s="1" t="s">
        <v>209</v>
      </c>
      <c r="G2491" s="5">
        <v>1892.19</v>
      </c>
    </row>
    <row r="2492" spans="1:7" x14ac:dyDescent="0.2">
      <c r="A2492" s="3">
        <v>65</v>
      </c>
      <c r="B2492" s="2">
        <v>122992.35</v>
      </c>
      <c r="C2492" s="38">
        <v>44953</v>
      </c>
      <c r="D2492" s="1" t="s">
        <v>120</v>
      </c>
      <c r="E2492" s="1" t="s">
        <v>33</v>
      </c>
      <c r="F2492" s="1" t="s">
        <v>209</v>
      </c>
      <c r="G2492" s="5">
        <v>1892.19</v>
      </c>
    </row>
    <row r="2493" spans="1:7" x14ac:dyDescent="0.2">
      <c r="A2493" s="3">
        <v>65</v>
      </c>
      <c r="B2493" s="2">
        <v>122992.35</v>
      </c>
      <c r="C2493" s="38">
        <v>44953</v>
      </c>
      <c r="D2493" s="1" t="s">
        <v>120</v>
      </c>
      <c r="E2493" s="1" t="s">
        <v>33</v>
      </c>
      <c r="F2493" s="1" t="s">
        <v>209</v>
      </c>
      <c r="G2493" s="5">
        <v>1892.19</v>
      </c>
    </row>
    <row r="2494" spans="1:7" x14ac:dyDescent="0.2">
      <c r="A2494" s="3">
        <v>65</v>
      </c>
      <c r="B2494" s="2">
        <v>122992.35</v>
      </c>
      <c r="C2494" s="38">
        <v>44953</v>
      </c>
      <c r="D2494" s="1" t="s">
        <v>120</v>
      </c>
      <c r="E2494" s="1" t="s">
        <v>33</v>
      </c>
      <c r="F2494" s="1" t="s">
        <v>209</v>
      </c>
      <c r="G2494" s="5">
        <v>1892.19</v>
      </c>
    </row>
    <row r="2495" spans="1:7" x14ac:dyDescent="0.2">
      <c r="A2495" s="3">
        <v>65</v>
      </c>
      <c r="B2495" s="2">
        <v>122992.35</v>
      </c>
      <c r="C2495" s="38">
        <v>44953</v>
      </c>
      <c r="D2495" s="1" t="s">
        <v>120</v>
      </c>
      <c r="E2495" s="1" t="s">
        <v>33</v>
      </c>
      <c r="F2495" s="1" t="s">
        <v>209</v>
      </c>
      <c r="G2495" s="5">
        <v>1892.19</v>
      </c>
    </row>
    <row r="2496" spans="1:7" x14ac:dyDescent="0.2">
      <c r="A2496" s="3">
        <v>65</v>
      </c>
      <c r="B2496" s="2">
        <v>122992.35</v>
      </c>
      <c r="C2496" s="38">
        <v>44953</v>
      </c>
      <c r="D2496" s="1" t="s">
        <v>120</v>
      </c>
      <c r="E2496" s="1" t="s">
        <v>33</v>
      </c>
      <c r="F2496" s="1" t="s">
        <v>209</v>
      </c>
      <c r="G2496" s="5">
        <v>1892.19</v>
      </c>
    </row>
    <row r="2497" spans="1:7" x14ac:dyDescent="0.2">
      <c r="A2497" s="3">
        <v>70</v>
      </c>
      <c r="B2497" s="2">
        <v>132453.29999999999</v>
      </c>
      <c r="C2497" s="38">
        <v>44953</v>
      </c>
      <c r="D2497" s="1" t="s">
        <v>120</v>
      </c>
      <c r="E2497" s="1" t="s">
        <v>33</v>
      </c>
      <c r="F2497" s="1" t="s">
        <v>209</v>
      </c>
      <c r="G2497" s="5">
        <v>1892.19</v>
      </c>
    </row>
    <row r="2498" spans="1:7" x14ac:dyDescent="0.2">
      <c r="A2498" s="3">
        <v>18</v>
      </c>
      <c r="B2498" s="2">
        <v>34059.42</v>
      </c>
      <c r="C2498" s="38">
        <v>44953</v>
      </c>
      <c r="D2498" s="1" t="s">
        <v>120</v>
      </c>
      <c r="E2498" s="1" t="s">
        <v>33</v>
      </c>
      <c r="F2498" s="1" t="s">
        <v>209</v>
      </c>
      <c r="G2498" s="5">
        <v>1892.19</v>
      </c>
    </row>
    <row r="2499" spans="1:7" x14ac:dyDescent="0.2">
      <c r="A2499" s="3">
        <v>192</v>
      </c>
      <c r="B2499" s="2">
        <v>363300.48</v>
      </c>
      <c r="C2499" s="38">
        <v>44953</v>
      </c>
      <c r="D2499" s="1" t="s">
        <v>120</v>
      </c>
      <c r="E2499" s="1" t="s">
        <v>33</v>
      </c>
      <c r="F2499" s="1" t="s">
        <v>209</v>
      </c>
      <c r="G2499" s="5">
        <v>1892.19</v>
      </c>
    </row>
    <row r="2500" spans="1:7" x14ac:dyDescent="0.2">
      <c r="A2500" s="3">
        <v>98</v>
      </c>
      <c r="B2500" s="2">
        <v>185434.62</v>
      </c>
      <c r="C2500" s="38">
        <v>44953</v>
      </c>
      <c r="D2500" s="1" t="s">
        <v>120</v>
      </c>
      <c r="E2500" s="1" t="s">
        <v>33</v>
      </c>
      <c r="F2500" s="1" t="s">
        <v>209</v>
      </c>
      <c r="G2500" s="5">
        <v>1892.19</v>
      </c>
    </row>
    <row r="2501" spans="1:7" x14ac:dyDescent="0.2">
      <c r="A2501" s="3">
        <v>30</v>
      </c>
      <c r="B2501" s="2">
        <v>56765.7</v>
      </c>
      <c r="C2501" s="38">
        <v>44953</v>
      </c>
      <c r="D2501" s="1" t="s">
        <v>120</v>
      </c>
      <c r="E2501" s="1" t="s">
        <v>33</v>
      </c>
      <c r="F2501" s="1" t="s">
        <v>209</v>
      </c>
      <c r="G2501" s="5">
        <v>1892.19</v>
      </c>
    </row>
    <row r="2502" spans="1:7" x14ac:dyDescent="0.2">
      <c r="A2502" s="3">
        <v>392</v>
      </c>
      <c r="B2502" s="2">
        <v>741738.48</v>
      </c>
      <c r="C2502" s="38">
        <v>44953</v>
      </c>
      <c r="D2502" s="1" t="s">
        <v>120</v>
      </c>
      <c r="E2502" s="1" t="s">
        <v>33</v>
      </c>
      <c r="F2502" s="1" t="s">
        <v>209</v>
      </c>
      <c r="G2502" s="5">
        <v>1892.19</v>
      </c>
    </row>
    <row r="2503" spans="1:7" x14ac:dyDescent="0.2">
      <c r="A2503" s="3">
        <v>98</v>
      </c>
      <c r="B2503" s="2">
        <v>185434.62</v>
      </c>
      <c r="C2503" s="38">
        <v>44953</v>
      </c>
      <c r="D2503" s="1" t="s">
        <v>120</v>
      </c>
      <c r="E2503" s="1" t="s">
        <v>33</v>
      </c>
      <c r="F2503" s="1" t="s">
        <v>209</v>
      </c>
      <c r="G2503" s="5">
        <v>1892.19</v>
      </c>
    </row>
    <row r="2504" spans="1:7" x14ac:dyDescent="0.2">
      <c r="A2504" s="3">
        <v>92</v>
      </c>
      <c r="B2504" s="2">
        <v>174081.48</v>
      </c>
      <c r="C2504" s="38">
        <v>44953</v>
      </c>
      <c r="D2504" s="1" t="s">
        <v>120</v>
      </c>
      <c r="E2504" s="1" t="s">
        <v>33</v>
      </c>
      <c r="F2504" s="1" t="s">
        <v>209</v>
      </c>
      <c r="G2504" s="5">
        <v>1892.19</v>
      </c>
    </row>
    <row r="2505" spans="1:7" x14ac:dyDescent="0.2">
      <c r="A2505" s="3">
        <v>98</v>
      </c>
      <c r="B2505" s="2">
        <v>185434.62</v>
      </c>
      <c r="C2505" s="38">
        <v>44953</v>
      </c>
      <c r="D2505" s="1" t="s">
        <v>120</v>
      </c>
      <c r="E2505" s="1" t="s">
        <v>33</v>
      </c>
      <c r="F2505" s="1" t="s">
        <v>209</v>
      </c>
      <c r="G2505" s="5">
        <v>1892.19</v>
      </c>
    </row>
    <row r="2506" spans="1:7" x14ac:dyDescent="0.2">
      <c r="A2506" s="3">
        <v>98</v>
      </c>
      <c r="B2506" s="2">
        <v>185434.62</v>
      </c>
      <c r="C2506" s="38">
        <v>44953</v>
      </c>
      <c r="D2506" s="1" t="s">
        <v>120</v>
      </c>
      <c r="E2506" s="1" t="s">
        <v>33</v>
      </c>
      <c r="F2506" s="1" t="s">
        <v>209</v>
      </c>
      <c r="G2506" s="5">
        <v>1892.19</v>
      </c>
    </row>
    <row r="2507" spans="1:7" x14ac:dyDescent="0.2">
      <c r="A2507" s="3">
        <v>3024</v>
      </c>
      <c r="B2507" s="2">
        <v>126493.92</v>
      </c>
      <c r="C2507" s="38">
        <v>44956</v>
      </c>
      <c r="D2507" s="1" t="s">
        <v>60</v>
      </c>
      <c r="E2507" s="1" t="s">
        <v>33</v>
      </c>
      <c r="F2507" s="1" t="s">
        <v>209</v>
      </c>
      <c r="G2507" s="5">
        <v>41.83</v>
      </c>
    </row>
    <row r="2508" spans="1:7" x14ac:dyDescent="0.2">
      <c r="A2508" s="3">
        <v>84</v>
      </c>
      <c r="B2508" s="2">
        <v>20061.72</v>
      </c>
      <c r="C2508" s="38">
        <v>44956</v>
      </c>
      <c r="D2508" s="1" t="s">
        <v>167</v>
      </c>
      <c r="E2508" s="1" t="s">
        <v>33</v>
      </c>
      <c r="F2508" s="1" t="s">
        <v>209</v>
      </c>
      <c r="G2508" s="5">
        <v>238.83</v>
      </c>
    </row>
    <row r="2509" spans="1:7" x14ac:dyDescent="0.2">
      <c r="A2509" s="3">
        <v>84</v>
      </c>
      <c r="B2509" s="2">
        <v>20061.72</v>
      </c>
      <c r="C2509" s="38">
        <v>44956</v>
      </c>
      <c r="D2509" s="1" t="s">
        <v>167</v>
      </c>
      <c r="E2509" s="1" t="s">
        <v>33</v>
      </c>
      <c r="F2509" s="1" t="s">
        <v>209</v>
      </c>
      <c r="G2509" s="5">
        <v>238.83</v>
      </c>
    </row>
    <row r="2510" spans="1:7" x14ac:dyDescent="0.2">
      <c r="A2510" s="3">
        <v>84</v>
      </c>
      <c r="B2510" s="2">
        <v>20061.72</v>
      </c>
      <c r="C2510" s="38">
        <v>44956</v>
      </c>
      <c r="D2510" s="1" t="s">
        <v>167</v>
      </c>
      <c r="E2510" s="1" t="s">
        <v>33</v>
      </c>
      <c r="F2510" s="1" t="s">
        <v>209</v>
      </c>
      <c r="G2510" s="5">
        <v>238.83</v>
      </c>
    </row>
    <row r="2511" spans="1:7" x14ac:dyDescent="0.2">
      <c r="A2511" s="3">
        <v>108</v>
      </c>
      <c r="B2511" s="2">
        <v>11654.28</v>
      </c>
      <c r="C2511" s="38">
        <v>45055</v>
      </c>
      <c r="D2511" s="1" t="s">
        <v>55</v>
      </c>
      <c r="E2511" s="1" t="s">
        <v>33</v>
      </c>
      <c r="F2511" s="1" t="s">
        <v>209</v>
      </c>
      <c r="G2511" s="5">
        <v>107.91</v>
      </c>
    </row>
    <row r="2512" spans="1:7" x14ac:dyDescent="0.2">
      <c r="A2512" s="3">
        <v>540</v>
      </c>
      <c r="B2512" s="2">
        <v>58271.4</v>
      </c>
      <c r="C2512" s="38">
        <v>45055</v>
      </c>
      <c r="D2512" s="1" t="s">
        <v>55</v>
      </c>
      <c r="E2512" s="1" t="s">
        <v>33</v>
      </c>
      <c r="F2512" s="1" t="s">
        <v>209</v>
      </c>
      <c r="G2512" s="5">
        <v>107.91</v>
      </c>
    </row>
    <row r="2513" spans="1:7" x14ac:dyDescent="0.2">
      <c r="A2513" s="3">
        <v>324</v>
      </c>
      <c r="B2513" s="2">
        <v>34962.839999999997</v>
      </c>
      <c r="C2513" s="38">
        <v>45055</v>
      </c>
      <c r="D2513" s="1" t="s">
        <v>55</v>
      </c>
      <c r="E2513" s="1" t="s">
        <v>33</v>
      </c>
      <c r="F2513" s="1" t="s">
        <v>209</v>
      </c>
      <c r="G2513" s="5">
        <v>107.91</v>
      </c>
    </row>
    <row r="2514" spans="1:7" x14ac:dyDescent="0.2">
      <c r="A2514" s="3">
        <v>324</v>
      </c>
      <c r="B2514" s="2">
        <v>34962.839999999997</v>
      </c>
      <c r="C2514" s="38">
        <v>45055</v>
      </c>
      <c r="D2514" s="1" t="s">
        <v>55</v>
      </c>
      <c r="E2514" s="1" t="s">
        <v>33</v>
      </c>
      <c r="F2514" s="1" t="s">
        <v>209</v>
      </c>
      <c r="G2514" s="5">
        <v>107.91</v>
      </c>
    </row>
    <row r="2515" spans="1:7" x14ac:dyDescent="0.2">
      <c r="A2515" s="3">
        <v>324</v>
      </c>
      <c r="B2515" s="2">
        <v>34962.839999999997</v>
      </c>
      <c r="C2515" s="38">
        <v>45055</v>
      </c>
      <c r="D2515" s="1" t="s">
        <v>55</v>
      </c>
      <c r="E2515" s="1" t="s">
        <v>33</v>
      </c>
      <c r="F2515" s="1" t="s">
        <v>209</v>
      </c>
      <c r="G2515" s="5">
        <v>107.91</v>
      </c>
    </row>
    <row r="2516" spans="1:7" x14ac:dyDescent="0.2">
      <c r="A2516" s="3">
        <v>2000</v>
      </c>
      <c r="B2516" s="2">
        <v>3880</v>
      </c>
      <c r="C2516" s="38">
        <v>45055</v>
      </c>
      <c r="D2516" s="1" t="s">
        <v>56</v>
      </c>
      <c r="E2516" s="1" t="s">
        <v>33</v>
      </c>
      <c r="F2516" s="1" t="s">
        <v>209</v>
      </c>
      <c r="G2516" s="5">
        <v>1.94</v>
      </c>
    </row>
    <row r="2517" spans="1:7" x14ac:dyDescent="0.2">
      <c r="A2517" s="3">
        <v>120</v>
      </c>
      <c r="B2517" s="2">
        <v>54085.2</v>
      </c>
      <c r="C2517" s="38">
        <v>45055</v>
      </c>
      <c r="D2517" s="1" t="s">
        <v>58</v>
      </c>
      <c r="E2517" s="1" t="s">
        <v>33</v>
      </c>
      <c r="F2517" s="1" t="s">
        <v>209</v>
      </c>
      <c r="G2517" s="5">
        <v>450.71</v>
      </c>
    </row>
    <row r="2518" spans="1:7" x14ac:dyDescent="0.2">
      <c r="A2518" s="3">
        <v>240</v>
      </c>
      <c r="B2518" s="2">
        <v>105348</v>
      </c>
      <c r="C2518" s="38">
        <v>45055</v>
      </c>
      <c r="D2518" s="1" t="s">
        <v>66</v>
      </c>
      <c r="E2518" s="1" t="s">
        <v>33</v>
      </c>
      <c r="F2518" s="1" t="s">
        <v>209</v>
      </c>
      <c r="G2518" s="5">
        <v>438.95</v>
      </c>
    </row>
    <row r="2519" spans="1:7" x14ac:dyDescent="0.2">
      <c r="A2519" s="3">
        <v>360</v>
      </c>
      <c r="B2519" s="2">
        <v>158022</v>
      </c>
      <c r="C2519" s="38">
        <v>45055</v>
      </c>
      <c r="D2519" s="1" t="s">
        <v>66</v>
      </c>
      <c r="E2519" s="1" t="s">
        <v>33</v>
      </c>
      <c r="F2519" s="1" t="s">
        <v>209</v>
      </c>
      <c r="G2519" s="5">
        <v>438.95</v>
      </c>
    </row>
    <row r="2520" spans="1:7" x14ac:dyDescent="0.2">
      <c r="A2520" s="3">
        <v>84</v>
      </c>
      <c r="B2520" s="2">
        <v>20061.72</v>
      </c>
      <c r="C2520" s="38">
        <v>44956</v>
      </c>
      <c r="D2520" s="1" t="s">
        <v>167</v>
      </c>
      <c r="E2520" s="1" t="s">
        <v>33</v>
      </c>
      <c r="F2520" s="1" t="s">
        <v>209</v>
      </c>
      <c r="G2520" s="5">
        <v>238.83</v>
      </c>
    </row>
    <row r="2521" spans="1:7" x14ac:dyDescent="0.2">
      <c r="A2521" s="3">
        <v>84</v>
      </c>
      <c r="B2521" s="2">
        <v>20061.72</v>
      </c>
      <c r="C2521" s="38">
        <v>44956</v>
      </c>
      <c r="D2521" s="1" t="s">
        <v>167</v>
      </c>
      <c r="E2521" s="1" t="s">
        <v>33</v>
      </c>
      <c r="F2521" s="1" t="s">
        <v>209</v>
      </c>
      <c r="G2521" s="5">
        <v>238.83</v>
      </c>
    </row>
    <row r="2522" spans="1:7" x14ac:dyDescent="0.2">
      <c r="A2522" s="3">
        <v>84</v>
      </c>
      <c r="B2522" s="2">
        <v>20061.72</v>
      </c>
      <c r="C2522" s="38">
        <v>44956</v>
      </c>
      <c r="D2522" s="1" t="s">
        <v>167</v>
      </c>
      <c r="E2522" s="1" t="s">
        <v>33</v>
      </c>
      <c r="F2522" s="1" t="s">
        <v>209</v>
      </c>
      <c r="G2522" s="5">
        <v>238.83</v>
      </c>
    </row>
    <row r="2523" spans="1:7" x14ac:dyDescent="0.2">
      <c r="A2523" s="3">
        <v>350</v>
      </c>
      <c r="B2523" s="2">
        <v>145330.5</v>
      </c>
      <c r="C2523" s="38">
        <v>44956</v>
      </c>
      <c r="D2523" s="1" t="s">
        <v>72</v>
      </c>
      <c r="E2523" s="1" t="s">
        <v>33</v>
      </c>
      <c r="F2523" s="1" t="s">
        <v>209</v>
      </c>
      <c r="G2523" s="5">
        <v>415.23</v>
      </c>
    </row>
    <row r="2524" spans="1:7" x14ac:dyDescent="0.2">
      <c r="A2524" s="3">
        <v>140</v>
      </c>
      <c r="B2524" s="2">
        <v>58132.2</v>
      </c>
      <c r="C2524" s="38">
        <v>44956</v>
      </c>
      <c r="D2524" s="1" t="s">
        <v>72</v>
      </c>
      <c r="E2524" s="1" t="s">
        <v>33</v>
      </c>
      <c r="F2524" s="1" t="s">
        <v>209</v>
      </c>
      <c r="G2524" s="5">
        <v>415.23</v>
      </c>
    </row>
    <row r="2525" spans="1:7" x14ac:dyDescent="0.2">
      <c r="A2525" s="3">
        <v>140</v>
      </c>
      <c r="B2525" s="2">
        <v>58132.2</v>
      </c>
      <c r="C2525" s="38">
        <v>44956</v>
      </c>
      <c r="D2525" s="1" t="s">
        <v>72</v>
      </c>
      <c r="E2525" s="1" t="s">
        <v>33</v>
      </c>
      <c r="F2525" s="1" t="s">
        <v>209</v>
      </c>
      <c r="G2525" s="5">
        <v>415.23</v>
      </c>
    </row>
    <row r="2526" spans="1:7" x14ac:dyDescent="0.2">
      <c r="A2526" s="3">
        <v>30</v>
      </c>
      <c r="B2526" s="2">
        <v>24113.1</v>
      </c>
      <c r="C2526" s="38">
        <v>44956</v>
      </c>
      <c r="D2526" s="1" t="s">
        <v>83</v>
      </c>
      <c r="E2526" s="1" t="s">
        <v>33</v>
      </c>
      <c r="F2526" s="1" t="s">
        <v>209</v>
      </c>
      <c r="G2526" s="5">
        <v>803.77</v>
      </c>
    </row>
    <row r="2527" spans="1:7" x14ac:dyDescent="0.2">
      <c r="A2527" s="3">
        <v>266</v>
      </c>
      <c r="B2527" s="2">
        <v>18580.099999999999</v>
      </c>
      <c r="C2527" s="38">
        <v>44956</v>
      </c>
      <c r="D2527" s="1" t="s">
        <v>119</v>
      </c>
      <c r="E2527" s="1" t="s">
        <v>33</v>
      </c>
      <c r="F2527" s="1" t="s">
        <v>209</v>
      </c>
      <c r="G2527" s="5">
        <v>69.849999999999994</v>
      </c>
    </row>
    <row r="2528" spans="1:7" x14ac:dyDescent="0.2">
      <c r="A2528" s="3">
        <v>108</v>
      </c>
      <c r="B2528" s="2">
        <v>7543.8</v>
      </c>
      <c r="C2528" s="38">
        <v>44956</v>
      </c>
      <c r="D2528" s="1" t="s">
        <v>119</v>
      </c>
      <c r="E2528" s="1" t="s">
        <v>33</v>
      </c>
      <c r="F2528" s="1" t="s">
        <v>209</v>
      </c>
      <c r="G2528" s="5">
        <v>69.849999999999994</v>
      </c>
    </row>
    <row r="2529" spans="1:7" x14ac:dyDescent="0.2">
      <c r="A2529" s="3">
        <v>502</v>
      </c>
      <c r="B2529" s="2">
        <v>33242.44</v>
      </c>
      <c r="C2529" s="38">
        <v>44956</v>
      </c>
      <c r="D2529" s="1" t="s">
        <v>119</v>
      </c>
      <c r="E2529" s="1" t="s">
        <v>33</v>
      </c>
      <c r="F2529" s="1" t="s">
        <v>209</v>
      </c>
      <c r="G2529" s="5">
        <v>66.22</v>
      </c>
    </row>
    <row r="2530" spans="1:7" x14ac:dyDescent="0.2">
      <c r="A2530" s="3">
        <v>30</v>
      </c>
      <c r="B2530" s="2">
        <v>27226.2</v>
      </c>
      <c r="C2530" s="38">
        <v>44956</v>
      </c>
      <c r="D2530" s="1" t="s">
        <v>85</v>
      </c>
      <c r="E2530" s="1" t="s">
        <v>33</v>
      </c>
      <c r="F2530" s="1" t="s">
        <v>209</v>
      </c>
      <c r="G2530" s="5">
        <v>907.54</v>
      </c>
    </row>
    <row r="2531" spans="1:7" x14ac:dyDescent="0.2">
      <c r="A2531" s="3">
        <v>60</v>
      </c>
      <c r="B2531" s="2">
        <v>54452.4</v>
      </c>
      <c r="C2531" s="38">
        <v>44956</v>
      </c>
      <c r="D2531" s="1" t="s">
        <v>85</v>
      </c>
      <c r="E2531" s="1" t="s">
        <v>33</v>
      </c>
      <c r="F2531" s="1" t="s">
        <v>209</v>
      </c>
      <c r="G2531" s="5">
        <v>907.54</v>
      </c>
    </row>
    <row r="2532" spans="1:7" x14ac:dyDescent="0.2">
      <c r="A2532" s="3">
        <v>150</v>
      </c>
      <c r="B2532" s="2">
        <v>136131</v>
      </c>
      <c r="C2532" s="38">
        <v>44956</v>
      </c>
      <c r="D2532" s="1" t="s">
        <v>85</v>
      </c>
      <c r="E2532" s="1" t="s">
        <v>33</v>
      </c>
      <c r="F2532" s="1" t="s">
        <v>209</v>
      </c>
      <c r="G2532" s="5">
        <v>907.54</v>
      </c>
    </row>
    <row r="2533" spans="1:7" x14ac:dyDescent="0.2">
      <c r="A2533" s="3">
        <v>60</v>
      </c>
      <c r="B2533" s="2">
        <v>54452.4</v>
      </c>
      <c r="C2533" s="38">
        <v>44956</v>
      </c>
      <c r="D2533" s="1" t="s">
        <v>85</v>
      </c>
      <c r="E2533" s="1" t="s">
        <v>33</v>
      </c>
      <c r="F2533" s="1" t="s">
        <v>209</v>
      </c>
      <c r="G2533" s="5">
        <v>907.54</v>
      </c>
    </row>
    <row r="2534" spans="1:7" x14ac:dyDescent="0.2">
      <c r="A2534" s="3">
        <v>90</v>
      </c>
      <c r="B2534" s="2">
        <v>81678.600000000006</v>
      </c>
      <c r="C2534" s="38">
        <v>44956</v>
      </c>
      <c r="D2534" s="1" t="s">
        <v>85</v>
      </c>
      <c r="E2534" s="1" t="s">
        <v>33</v>
      </c>
      <c r="F2534" s="1" t="s">
        <v>209</v>
      </c>
      <c r="G2534" s="5">
        <v>907.54</v>
      </c>
    </row>
    <row r="2535" spans="1:7" x14ac:dyDescent="0.2">
      <c r="A2535" s="3">
        <v>240</v>
      </c>
      <c r="B2535" s="2">
        <v>217809.6</v>
      </c>
      <c r="C2535" s="38">
        <v>44956</v>
      </c>
      <c r="D2535" s="1" t="s">
        <v>85</v>
      </c>
      <c r="E2535" s="1" t="s">
        <v>33</v>
      </c>
      <c r="F2535" s="1" t="s">
        <v>209</v>
      </c>
      <c r="G2535" s="5">
        <v>907.54</v>
      </c>
    </row>
    <row r="2536" spans="1:7" x14ac:dyDescent="0.2">
      <c r="A2536" s="3">
        <v>240</v>
      </c>
      <c r="B2536" s="2">
        <v>108170.4</v>
      </c>
      <c r="C2536" s="38">
        <v>45033</v>
      </c>
      <c r="D2536" s="1" t="s">
        <v>58</v>
      </c>
      <c r="E2536" s="1" t="s">
        <v>33</v>
      </c>
      <c r="F2536" s="1" t="s">
        <v>209</v>
      </c>
      <c r="G2536" s="5">
        <v>450.71</v>
      </c>
    </row>
    <row r="2537" spans="1:7" x14ac:dyDescent="0.2">
      <c r="A2537" s="3">
        <v>120</v>
      </c>
      <c r="B2537" s="2">
        <v>54085.2</v>
      </c>
      <c r="C2537" s="38">
        <v>45033</v>
      </c>
      <c r="D2537" s="1" t="s">
        <v>58</v>
      </c>
      <c r="E2537" s="1" t="s">
        <v>33</v>
      </c>
      <c r="F2537" s="1" t="s">
        <v>209</v>
      </c>
      <c r="G2537" s="5">
        <v>450.71</v>
      </c>
    </row>
    <row r="2538" spans="1:7" x14ac:dyDescent="0.2">
      <c r="A2538" s="3">
        <v>255</v>
      </c>
      <c r="B2538" s="2">
        <v>231422.7</v>
      </c>
      <c r="C2538" s="38">
        <v>44957</v>
      </c>
      <c r="D2538" s="1" t="s">
        <v>85</v>
      </c>
      <c r="E2538" s="1" t="s">
        <v>33</v>
      </c>
      <c r="F2538" s="1" t="s">
        <v>209</v>
      </c>
      <c r="G2538" s="5">
        <v>907.54</v>
      </c>
    </row>
    <row r="2539" spans="1:7" x14ac:dyDescent="0.2">
      <c r="A2539" s="3">
        <v>150</v>
      </c>
      <c r="B2539" s="2">
        <v>136131</v>
      </c>
      <c r="C2539" s="38">
        <v>44957</v>
      </c>
      <c r="D2539" s="1" t="s">
        <v>85</v>
      </c>
      <c r="E2539" s="1" t="s">
        <v>33</v>
      </c>
      <c r="F2539" s="1" t="s">
        <v>209</v>
      </c>
      <c r="G2539" s="5">
        <v>907.54</v>
      </c>
    </row>
    <row r="2540" spans="1:7" x14ac:dyDescent="0.2">
      <c r="A2540" s="3">
        <v>30</v>
      </c>
      <c r="B2540" s="2">
        <v>27226.2</v>
      </c>
      <c r="C2540" s="38">
        <v>44957</v>
      </c>
      <c r="D2540" s="1" t="s">
        <v>85</v>
      </c>
      <c r="E2540" s="1" t="s">
        <v>33</v>
      </c>
      <c r="F2540" s="1" t="s">
        <v>209</v>
      </c>
      <c r="G2540" s="5">
        <v>907.54</v>
      </c>
    </row>
    <row r="2541" spans="1:7" x14ac:dyDescent="0.2">
      <c r="A2541" s="3">
        <v>120</v>
      </c>
      <c r="B2541" s="2">
        <v>108904.8</v>
      </c>
      <c r="C2541" s="38">
        <v>44957</v>
      </c>
      <c r="D2541" s="1" t="s">
        <v>85</v>
      </c>
      <c r="E2541" s="1" t="s">
        <v>33</v>
      </c>
      <c r="F2541" s="1" t="s">
        <v>209</v>
      </c>
      <c r="G2541" s="5">
        <v>907.54</v>
      </c>
    </row>
    <row r="2542" spans="1:7" x14ac:dyDescent="0.2">
      <c r="A2542" s="3">
        <v>165</v>
      </c>
      <c r="B2542" s="2">
        <v>149744.1</v>
      </c>
      <c r="C2542" s="38">
        <v>44957</v>
      </c>
      <c r="D2542" s="1" t="s">
        <v>85</v>
      </c>
      <c r="E2542" s="1" t="s">
        <v>33</v>
      </c>
      <c r="F2542" s="1" t="s">
        <v>209</v>
      </c>
      <c r="G2542" s="5">
        <v>907.54</v>
      </c>
    </row>
    <row r="2543" spans="1:7" x14ac:dyDescent="0.2">
      <c r="A2543" s="3">
        <v>240</v>
      </c>
      <c r="B2543" s="2">
        <v>217809.6</v>
      </c>
      <c r="C2543" s="38">
        <v>44957</v>
      </c>
      <c r="D2543" s="1" t="s">
        <v>85</v>
      </c>
      <c r="E2543" s="1" t="s">
        <v>33</v>
      </c>
      <c r="F2543" s="1" t="s">
        <v>209</v>
      </c>
      <c r="G2543" s="5">
        <v>907.54</v>
      </c>
    </row>
    <row r="2544" spans="1:7" x14ac:dyDescent="0.2">
      <c r="A2544" s="3">
        <v>150</v>
      </c>
      <c r="B2544" s="2">
        <v>136131</v>
      </c>
      <c r="C2544" s="38">
        <v>44957</v>
      </c>
      <c r="D2544" s="1" t="s">
        <v>85</v>
      </c>
      <c r="E2544" s="1" t="s">
        <v>33</v>
      </c>
      <c r="F2544" s="1" t="s">
        <v>209</v>
      </c>
      <c r="G2544" s="5">
        <v>907.54</v>
      </c>
    </row>
    <row r="2545" spans="1:7" x14ac:dyDescent="0.2">
      <c r="A2545" s="3">
        <v>30</v>
      </c>
      <c r="B2545" s="2">
        <v>27226.2</v>
      </c>
      <c r="C2545" s="38">
        <v>44957</v>
      </c>
      <c r="D2545" s="1" t="s">
        <v>85</v>
      </c>
      <c r="E2545" s="1" t="s">
        <v>33</v>
      </c>
      <c r="F2545" s="1" t="s">
        <v>209</v>
      </c>
      <c r="G2545" s="5">
        <v>907.54</v>
      </c>
    </row>
    <row r="2546" spans="1:7" x14ac:dyDescent="0.2">
      <c r="A2546" s="3">
        <v>30</v>
      </c>
      <c r="B2546" s="2">
        <v>27226.2</v>
      </c>
      <c r="C2546" s="38">
        <v>44957</v>
      </c>
      <c r="D2546" s="1" t="s">
        <v>85</v>
      </c>
      <c r="E2546" s="1" t="s">
        <v>33</v>
      </c>
      <c r="F2546" s="1" t="s">
        <v>209</v>
      </c>
      <c r="G2546" s="5">
        <v>907.54</v>
      </c>
    </row>
    <row r="2547" spans="1:7" x14ac:dyDescent="0.2">
      <c r="A2547" s="3">
        <v>135</v>
      </c>
      <c r="B2547" s="2">
        <v>122517.9</v>
      </c>
      <c r="C2547" s="38">
        <v>44957</v>
      </c>
      <c r="D2547" s="1" t="s">
        <v>85</v>
      </c>
      <c r="E2547" s="1" t="s">
        <v>33</v>
      </c>
      <c r="F2547" s="1" t="s">
        <v>209</v>
      </c>
      <c r="G2547" s="5">
        <v>907.54</v>
      </c>
    </row>
    <row r="2548" spans="1:7" x14ac:dyDescent="0.2">
      <c r="A2548" s="3">
        <v>255</v>
      </c>
      <c r="B2548" s="2">
        <v>231422.7</v>
      </c>
      <c r="C2548" s="38">
        <v>44957</v>
      </c>
      <c r="D2548" s="1" t="s">
        <v>85</v>
      </c>
      <c r="E2548" s="1" t="s">
        <v>33</v>
      </c>
      <c r="F2548" s="1" t="s">
        <v>209</v>
      </c>
      <c r="G2548" s="5">
        <v>907.54</v>
      </c>
    </row>
    <row r="2549" spans="1:7" x14ac:dyDescent="0.2">
      <c r="A2549" s="3">
        <v>30</v>
      </c>
      <c r="B2549" s="2">
        <v>27226.2</v>
      </c>
      <c r="C2549" s="38">
        <v>44957</v>
      </c>
      <c r="D2549" s="1" t="s">
        <v>85</v>
      </c>
      <c r="E2549" s="1" t="s">
        <v>33</v>
      </c>
      <c r="F2549" s="1" t="s">
        <v>209</v>
      </c>
      <c r="G2549" s="5">
        <v>907.54</v>
      </c>
    </row>
    <row r="2550" spans="1:7" x14ac:dyDescent="0.2">
      <c r="A2550" s="3">
        <v>360</v>
      </c>
      <c r="B2550" s="2">
        <v>162255.6</v>
      </c>
      <c r="C2550" s="38">
        <v>45033</v>
      </c>
      <c r="D2550" s="1" t="s">
        <v>58</v>
      </c>
      <c r="E2550" s="1" t="s">
        <v>33</v>
      </c>
      <c r="F2550" s="1" t="s">
        <v>209</v>
      </c>
      <c r="G2550" s="5">
        <v>450.71</v>
      </c>
    </row>
    <row r="2551" spans="1:7" x14ac:dyDescent="0.2">
      <c r="A2551" s="3">
        <v>120</v>
      </c>
      <c r="B2551" s="2">
        <v>54085.2</v>
      </c>
      <c r="C2551" s="38">
        <v>45033</v>
      </c>
      <c r="D2551" s="1" t="s">
        <v>58</v>
      </c>
      <c r="E2551" s="1" t="s">
        <v>33</v>
      </c>
      <c r="F2551" s="1" t="s">
        <v>209</v>
      </c>
      <c r="G2551" s="5">
        <v>450.71</v>
      </c>
    </row>
    <row r="2552" spans="1:7" x14ac:dyDescent="0.2">
      <c r="A2552" s="3">
        <v>216</v>
      </c>
      <c r="B2552" s="2">
        <v>23308.560000000001</v>
      </c>
      <c r="C2552" s="38">
        <v>45035</v>
      </c>
      <c r="D2552" s="1" t="s">
        <v>55</v>
      </c>
      <c r="E2552" s="1" t="s">
        <v>33</v>
      </c>
      <c r="F2552" s="1" t="s">
        <v>209</v>
      </c>
      <c r="G2552" s="5">
        <v>107.91</v>
      </c>
    </row>
    <row r="2553" spans="1:7" x14ac:dyDescent="0.2">
      <c r="A2553" s="3">
        <v>540</v>
      </c>
      <c r="B2553" s="2">
        <v>58271.4</v>
      </c>
      <c r="C2553" s="38">
        <v>45035</v>
      </c>
      <c r="D2553" s="1" t="s">
        <v>55</v>
      </c>
      <c r="E2553" s="1" t="s">
        <v>33</v>
      </c>
      <c r="F2553" s="1" t="s">
        <v>209</v>
      </c>
      <c r="G2553" s="5">
        <v>107.91</v>
      </c>
    </row>
    <row r="2554" spans="1:7" x14ac:dyDescent="0.2">
      <c r="A2554" s="3">
        <v>108</v>
      </c>
      <c r="B2554" s="2">
        <v>11654.28</v>
      </c>
      <c r="C2554" s="38">
        <v>45035</v>
      </c>
      <c r="D2554" s="1" t="s">
        <v>55</v>
      </c>
      <c r="E2554" s="1" t="s">
        <v>33</v>
      </c>
      <c r="F2554" s="1" t="s">
        <v>209</v>
      </c>
      <c r="G2554" s="5">
        <v>107.91</v>
      </c>
    </row>
    <row r="2555" spans="1:7" x14ac:dyDescent="0.2">
      <c r="A2555" s="3">
        <v>216</v>
      </c>
      <c r="B2555" s="2">
        <v>23308.560000000001</v>
      </c>
      <c r="C2555" s="38">
        <v>45035</v>
      </c>
      <c r="D2555" s="1" t="s">
        <v>55</v>
      </c>
      <c r="E2555" s="1" t="s">
        <v>33</v>
      </c>
      <c r="F2555" s="1" t="s">
        <v>209</v>
      </c>
      <c r="G2555" s="5">
        <v>107.91</v>
      </c>
    </row>
    <row r="2556" spans="1:7" x14ac:dyDescent="0.2">
      <c r="A2556" s="3">
        <v>252</v>
      </c>
      <c r="B2556" s="2">
        <v>20099.52</v>
      </c>
      <c r="C2556" s="38">
        <v>45035</v>
      </c>
      <c r="D2556" s="1" t="s">
        <v>61</v>
      </c>
      <c r="E2556" s="1" t="s">
        <v>33</v>
      </c>
      <c r="F2556" s="1" t="s">
        <v>209</v>
      </c>
      <c r="G2556" s="5">
        <v>79.760000000000005</v>
      </c>
    </row>
    <row r="2557" spans="1:7" x14ac:dyDescent="0.2">
      <c r="A2557" s="3">
        <v>252</v>
      </c>
      <c r="B2557" s="2">
        <v>20099.52</v>
      </c>
      <c r="C2557" s="38">
        <v>45035</v>
      </c>
      <c r="D2557" s="1" t="s">
        <v>61</v>
      </c>
      <c r="E2557" s="1" t="s">
        <v>33</v>
      </c>
      <c r="F2557" s="1" t="s">
        <v>209</v>
      </c>
      <c r="G2557" s="5">
        <v>79.760000000000005</v>
      </c>
    </row>
    <row r="2558" spans="1:7" x14ac:dyDescent="0.2">
      <c r="A2558" s="3">
        <v>252</v>
      </c>
      <c r="B2558" s="2">
        <v>21606.48</v>
      </c>
      <c r="C2558" s="38">
        <v>45035</v>
      </c>
      <c r="D2558" s="1" t="s">
        <v>61</v>
      </c>
      <c r="E2558" s="1" t="s">
        <v>33</v>
      </c>
      <c r="F2558" s="1" t="s">
        <v>209</v>
      </c>
      <c r="G2558" s="5">
        <v>85.74</v>
      </c>
    </row>
    <row r="2559" spans="1:7" x14ac:dyDescent="0.2">
      <c r="A2559" s="3">
        <v>504</v>
      </c>
      <c r="B2559" s="2">
        <v>43212.959999999999</v>
      </c>
      <c r="C2559" s="38">
        <v>45035</v>
      </c>
      <c r="D2559" s="1" t="s">
        <v>61</v>
      </c>
      <c r="E2559" s="1" t="s">
        <v>33</v>
      </c>
      <c r="F2559" s="1" t="s">
        <v>209</v>
      </c>
      <c r="G2559" s="5">
        <v>85.74</v>
      </c>
    </row>
    <row r="2560" spans="1:7" x14ac:dyDescent="0.2">
      <c r="A2560" s="3">
        <v>252</v>
      </c>
      <c r="B2560" s="2">
        <v>21606.48</v>
      </c>
      <c r="C2560" s="38">
        <v>45035</v>
      </c>
      <c r="D2560" s="1" t="s">
        <v>61</v>
      </c>
      <c r="E2560" s="1" t="s">
        <v>33</v>
      </c>
      <c r="F2560" s="1" t="s">
        <v>209</v>
      </c>
      <c r="G2560" s="5">
        <v>85.74</v>
      </c>
    </row>
    <row r="2561" spans="1:7" x14ac:dyDescent="0.2">
      <c r="A2561" s="3">
        <v>450</v>
      </c>
      <c r="B2561" s="2">
        <v>197527.5</v>
      </c>
      <c r="C2561" s="38">
        <v>45035</v>
      </c>
      <c r="D2561" s="1" t="s">
        <v>66</v>
      </c>
      <c r="E2561" s="1" t="s">
        <v>33</v>
      </c>
      <c r="F2561" s="1" t="s">
        <v>209</v>
      </c>
      <c r="G2561" s="5">
        <v>438.95</v>
      </c>
    </row>
    <row r="2562" spans="1:7" x14ac:dyDescent="0.2">
      <c r="A2562" s="3">
        <v>48</v>
      </c>
      <c r="B2562" s="2">
        <v>9991.68</v>
      </c>
      <c r="C2562" s="38">
        <v>45035</v>
      </c>
      <c r="D2562" s="1" t="s">
        <v>115</v>
      </c>
      <c r="E2562" s="1" t="s">
        <v>33</v>
      </c>
      <c r="F2562" s="1" t="s">
        <v>209</v>
      </c>
      <c r="G2562" s="5">
        <v>208.16</v>
      </c>
    </row>
    <row r="2563" spans="1:7" x14ac:dyDescent="0.2">
      <c r="A2563" s="3">
        <v>48</v>
      </c>
      <c r="B2563" s="2">
        <v>9991.68</v>
      </c>
      <c r="C2563" s="38">
        <v>45035</v>
      </c>
      <c r="D2563" s="1" t="s">
        <v>115</v>
      </c>
      <c r="E2563" s="1" t="s">
        <v>33</v>
      </c>
      <c r="F2563" s="1" t="s">
        <v>209</v>
      </c>
      <c r="G2563" s="5">
        <v>208.16</v>
      </c>
    </row>
    <row r="2564" spans="1:7" x14ac:dyDescent="0.2">
      <c r="A2564" s="3">
        <v>48</v>
      </c>
      <c r="B2564" s="2">
        <v>9991.68</v>
      </c>
      <c r="C2564" s="38">
        <v>45035</v>
      </c>
      <c r="D2564" s="1" t="s">
        <v>115</v>
      </c>
      <c r="E2564" s="1" t="s">
        <v>33</v>
      </c>
      <c r="F2564" s="1" t="s">
        <v>209</v>
      </c>
      <c r="G2564" s="5">
        <v>208.16</v>
      </c>
    </row>
    <row r="2565" spans="1:7" x14ac:dyDescent="0.2">
      <c r="A2565" s="3">
        <v>90</v>
      </c>
      <c r="B2565" s="2">
        <v>68340.600000000006</v>
      </c>
      <c r="C2565" s="38">
        <v>45035</v>
      </c>
      <c r="D2565" s="1" t="s">
        <v>83</v>
      </c>
      <c r="E2565" s="1" t="s">
        <v>33</v>
      </c>
      <c r="F2565" s="1" t="s">
        <v>209</v>
      </c>
      <c r="G2565" s="5">
        <v>759.34</v>
      </c>
    </row>
    <row r="2566" spans="1:7" x14ac:dyDescent="0.2">
      <c r="A2566" s="3">
        <v>240</v>
      </c>
      <c r="B2566" s="2">
        <v>217809.6</v>
      </c>
      <c r="C2566" s="38">
        <v>45035</v>
      </c>
      <c r="D2566" s="1" t="s">
        <v>85</v>
      </c>
      <c r="E2566" s="1" t="s">
        <v>33</v>
      </c>
      <c r="F2566" s="1" t="s">
        <v>209</v>
      </c>
      <c r="G2566" s="5">
        <v>907.54</v>
      </c>
    </row>
    <row r="2567" spans="1:7" x14ac:dyDescent="0.2">
      <c r="A2567" s="3">
        <v>135</v>
      </c>
      <c r="B2567" s="2">
        <v>122517.9</v>
      </c>
      <c r="C2567" s="38">
        <v>45035</v>
      </c>
      <c r="D2567" s="1" t="s">
        <v>85</v>
      </c>
      <c r="E2567" s="1" t="s">
        <v>33</v>
      </c>
      <c r="F2567" s="1" t="s">
        <v>209</v>
      </c>
      <c r="G2567" s="5">
        <v>907.54</v>
      </c>
    </row>
    <row r="2568" spans="1:7" x14ac:dyDescent="0.2">
      <c r="A2568" s="3">
        <v>240</v>
      </c>
      <c r="B2568" s="2">
        <v>217809.6</v>
      </c>
      <c r="C2568" s="38">
        <v>45035</v>
      </c>
      <c r="D2568" s="1" t="s">
        <v>85</v>
      </c>
      <c r="E2568" s="1" t="s">
        <v>33</v>
      </c>
      <c r="F2568" s="1" t="s">
        <v>209</v>
      </c>
      <c r="G2568" s="5">
        <v>907.54</v>
      </c>
    </row>
    <row r="2569" spans="1:7" x14ac:dyDescent="0.2">
      <c r="A2569" s="3">
        <v>135</v>
      </c>
      <c r="B2569" s="2">
        <v>122517.9</v>
      </c>
      <c r="C2569" s="38">
        <v>45035</v>
      </c>
      <c r="D2569" s="1" t="s">
        <v>85</v>
      </c>
      <c r="E2569" s="1" t="s">
        <v>33</v>
      </c>
      <c r="F2569" s="1" t="s">
        <v>209</v>
      </c>
      <c r="G2569" s="5">
        <v>907.54</v>
      </c>
    </row>
    <row r="2570" spans="1:7" x14ac:dyDescent="0.2">
      <c r="A2570" s="3">
        <v>255</v>
      </c>
      <c r="B2570" s="2">
        <v>231422.7</v>
      </c>
      <c r="C2570" s="38">
        <v>44957</v>
      </c>
      <c r="D2570" s="1" t="s">
        <v>85</v>
      </c>
      <c r="E2570" s="1" t="s">
        <v>33</v>
      </c>
      <c r="F2570" s="1" t="s">
        <v>209</v>
      </c>
      <c r="G2570" s="5">
        <v>907.54</v>
      </c>
    </row>
    <row r="2571" spans="1:7" x14ac:dyDescent="0.2">
      <c r="A2571" s="3">
        <v>150</v>
      </c>
      <c r="B2571" s="2">
        <v>136131</v>
      </c>
      <c r="C2571" s="38">
        <v>44957</v>
      </c>
      <c r="D2571" s="1" t="s">
        <v>85</v>
      </c>
      <c r="E2571" s="1" t="s">
        <v>33</v>
      </c>
      <c r="F2571" s="1" t="s">
        <v>209</v>
      </c>
      <c r="G2571" s="5">
        <v>907.54</v>
      </c>
    </row>
    <row r="2572" spans="1:7" x14ac:dyDescent="0.2">
      <c r="A2572" s="3">
        <v>255</v>
      </c>
      <c r="B2572" s="2">
        <v>231422.7</v>
      </c>
      <c r="C2572" s="38">
        <v>44957</v>
      </c>
      <c r="D2572" s="1" t="s">
        <v>85</v>
      </c>
      <c r="E2572" s="1" t="s">
        <v>33</v>
      </c>
      <c r="F2572" s="1" t="s">
        <v>209</v>
      </c>
      <c r="G2572" s="5">
        <v>907.54</v>
      </c>
    </row>
    <row r="2573" spans="1:7" x14ac:dyDescent="0.2">
      <c r="A2573" s="3">
        <v>150</v>
      </c>
      <c r="B2573" s="2">
        <v>136131</v>
      </c>
      <c r="C2573" s="38">
        <v>44957</v>
      </c>
      <c r="D2573" s="1" t="s">
        <v>85</v>
      </c>
      <c r="E2573" s="1" t="s">
        <v>33</v>
      </c>
      <c r="F2573" s="1" t="s">
        <v>209</v>
      </c>
      <c r="G2573" s="5">
        <v>907.54</v>
      </c>
    </row>
    <row r="2574" spans="1:7" x14ac:dyDescent="0.2">
      <c r="A2574" s="3">
        <v>42</v>
      </c>
      <c r="B2574" s="2">
        <v>2933.7</v>
      </c>
      <c r="C2574" s="38">
        <v>44959</v>
      </c>
      <c r="D2574" s="1" t="s">
        <v>119</v>
      </c>
      <c r="E2574" s="1" t="s">
        <v>33</v>
      </c>
      <c r="F2574" s="1" t="s">
        <v>209</v>
      </c>
      <c r="G2574" s="5">
        <v>69.849999999999994</v>
      </c>
    </row>
    <row r="2575" spans="1:7" x14ac:dyDescent="0.2">
      <c r="A2575" s="3">
        <v>60</v>
      </c>
      <c r="B2575" s="2">
        <v>4191</v>
      </c>
      <c r="C2575" s="38">
        <v>44959</v>
      </c>
      <c r="D2575" s="1" t="s">
        <v>119</v>
      </c>
      <c r="E2575" s="1" t="s">
        <v>33</v>
      </c>
      <c r="F2575" s="1" t="s">
        <v>209</v>
      </c>
      <c r="G2575" s="5">
        <v>69.849999999999994</v>
      </c>
    </row>
    <row r="2576" spans="1:7" x14ac:dyDescent="0.2">
      <c r="A2576" s="3">
        <v>444</v>
      </c>
      <c r="B2576" s="2">
        <v>31013.4</v>
      </c>
      <c r="C2576" s="38">
        <v>44959</v>
      </c>
      <c r="D2576" s="1" t="s">
        <v>119</v>
      </c>
      <c r="E2576" s="1" t="s">
        <v>33</v>
      </c>
      <c r="F2576" s="1" t="s">
        <v>209</v>
      </c>
      <c r="G2576" s="5">
        <v>69.849999999999994</v>
      </c>
    </row>
    <row r="2577" spans="1:7" x14ac:dyDescent="0.2">
      <c r="A2577" s="3">
        <v>90</v>
      </c>
      <c r="B2577" s="2">
        <v>6286.5</v>
      </c>
      <c r="C2577" s="38">
        <v>44959</v>
      </c>
      <c r="D2577" s="1" t="s">
        <v>119</v>
      </c>
      <c r="E2577" s="1" t="s">
        <v>33</v>
      </c>
      <c r="F2577" s="1" t="s">
        <v>209</v>
      </c>
      <c r="G2577" s="5">
        <v>69.849999999999994</v>
      </c>
    </row>
    <row r="2578" spans="1:7" x14ac:dyDescent="0.2">
      <c r="A2578" s="3">
        <v>81</v>
      </c>
      <c r="B2578" s="2">
        <v>5657.85</v>
      </c>
      <c r="C2578" s="38">
        <v>44959</v>
      </c>
      <c r="D2578" s="1" t="s">
        <v>119</v>
      </c>
      <c r="E2578" s="1" t="s">
        <v>33</v>
      </c>
      <c r="F2578" s="1" t="s">
        <v>209</v>
      </c>
      <c r="G2578" s="5">
        <v>69.849999999999994</v>
      </c>
    </row>
    <row r="2579" spans="1:7" x14ac:dyDescent="0.2">
      <c r="A2579" s="3">
        <v>27</v>
      </c>
      <c r="B2579" s="2">
        <v>1885.95</v>
      </c>
      <c r="C2579" s="38">
        <v>44959</v>
      </c>
      <c r="D2579" s="1" t="s">
        <v>119</v>
      </c>
      <c r="E2579" s="1" t="s">
        <v>33</v>
      </c>
      <c r="F2579" s="1" t="s">
        <v>209</v>
      </c>
      <c r="G2579" s="5">
        <v>69.849999999999994</v>
      </c>
    </row>
    <row r="2580" spans="1:7" x14ac:dyDescent="0.2">
      <c r="A2580" s="3">
        <v>363</v>
      </c>
      <c r="B2580" s="2">
        <v>25355.55</v>
      </c>
      <c r="C2580" s="38">
        <v>44965</v>
      </c>
      <c r="D2580" s="1" t="s">
        <v>119</v>
      </c>
      <c r="E2580" s="1" t="s">
        <v>33</v>
      </c>
      <c r="F2580" s="1" t="s">
        <v>209</v>
      </c>
      <c r="G2580" s="5">
        <v>69.849999999999994</v>
      </c>
    </row>
    <row r="2581" spans="1:7" x14ac:dyDescent="0.2">
      <c r="A2581" s="3">
        <v>71</v>
      </c>
      <c r="B2581" s="2">
        <v>4959.3500000000004</v>
      </c>
      <c r="C2581" s="38">
        <v>44965</v>
      </c>
      <c r="D2581" s="1" t="s">
        <v>119</v>
      </c>
      <c r="E2581" s="1" t="s">
        <v>33</v>
      </c>
      <c r="F2581" s="1" t="s">
        <v>209</v>
      </c>
      <c r="G2581" s="5">
        <v>69.849999999999994</v>
      </c>
    </row>
    <row r="2582" spans="1:7" x14ac:dyDescent="0.2">
      <c r="A2582" s="3">
        <v>105</v>
      </c>
      <c r="B2582" s="2">
        <v>95291.7</v>
      </c>
      <c r="C2582" s="38">
        <v>44965</v>
      </c>
      <c r="D2582" s="1" t="s">
        <v>85</v>
      </c>
      <c r="E2582" s="1" t="s">
        <v>33</v>
      </c>
      <c r="F2582" s="1" t="s">
        <v>209</v>
      </c>
      <c r="G2582" s="5">
        <v>907.54</v>
      </c>
    </row>
    <row r="2583" spans="1:7" x14ac:dyDescent="0.2">
      <c r="A2583" s="3">
        <v>150</v>
      </c>
      <c r="B2583" s="2">
        <v>65842.5</v>
      </c>
      <c r="C2583" s="38">
        <v>45055</v>
      </c>
      <c r="D2583" s="1" t="s">
        <v>66</v>
      </c>
      <c r="E2583" s="1" t="s">
        <v>33</v>
      </c>
      <c r="F2583" s="1" t="s">
        <v>209</v>
      </c>
      <c r="G2583" s="5">
        <v>438.95</v>
      </c>
    </row>
    <row r="2584" spans="1:7" x14ac:dyDescent="0.2">
      <c r="A2584" s="3">
        <v>150</v>
      </c>
      <c r="B2584" s="2">
        <v>65842.5</v>
      </c>
      <c r="C2584" s="38">
        <v>45055</v>
      </c>
      <c r="D2584" s="1" t="s">
        <v>66</v>
      </c>
      <c r="E2584" s="1" t="s">
        <v>33</v>
      </c>
      <c r="F2584" s="1" t="s">
        <v>209</v>
      </c>
      <c r="G2584" s="5">
        <v>438.95</v>
      </c>
    </row>
    <row r="2585" spans="1:7" x14ac:dyDescent="0.2">
      <c r="A2585" s="3">
        <v>420</v>
      </c>
      <c r="B2585" s="2">
        <v>184359</v>
      </c>
      <c r="C2585" s="38">
        <v>45055</v>
      </c>
      <c r="D2585" s="1" t="s">
        <v>66</v>
      </c>
      <c r="E2585" s="1" t="s">
        <v>33</v>
      </c>
      <c r="F2585" s="1" t="s">
        <v>209</v>
      </c>
      <c r="G2585" s="5">
        <v>438.95</v>
      </c>
    </row>
    <row r="2586" spans="1:7" x14ac:dyDescent="0.2">
      <c r="A2586" s="3">
        <v>180</v>
      </c>
      <c r="B2586" s="2">
        <v>136681.20000000001</v>
      </c>
      <c r="C2586" s="38">
        <v>45055</v>
      </c>
      <c r="D2586" s="1" t="s">
        <v>83</v>
      </c>
      <c r="E2586" s="1" t="s">
        <v>33</v>
      </c>
      <c r="F2586" s="1" t="s">
        <v>209</v>
      </c>
      <c r="G2586" s="5">
        <v>759.34</v>
      </c>
    </row>
    <row r="2587" spans="1:7" x14ac:dyDescent="0.2">
      <c r="A2587" s="3">
        <v>30</v>
      </c>
      <c r="B2587" s="2">
        <v>22780.2</v>
      </c>
      <c r="C2587" s="38">
        <v>45055</v>
      </c>
      <c r="D2587" s="1" t="s">
        <v>83</v>
      </c>
      <c r="E2587" s="1" t="s">
        <v>33</v>
      </c>
      <c r="F2587" s="1" t="s">
        <v>209</v>
      </c>
      <c r="G2587" s="5">
        <v>759.34</v>
      </c>
    </row>
    <row r="2588" spans="1:7" x14ac:dyDescent="0.2">
      <c r="A2588" s="3">
        <v>334</v>
      </c>
      <c r="B2588" s="2">
        <v>23329.9</v>
      </c>
      <c r="C2588" s="38">
        <v>45055</v>
      </c>
      <c r="D2588" s="1" t="s">
        <v>119</v>
      </c>
      <c r="E2588" s="1" t="s">
        <v>33</v>
      </c>
      <c r="F2588" s="1" t="s">
        <v>209</v>
      </c>
      <c r="G2588" s="5">
        <v>69.849999999999994</v>
      </c>
    </row>
    <row r="2589" spans="1:7" x14ac:dyDescent="0.2">
      <c r="A2589" s="3">
        <v>636</v>
      </c>
      <c r="B2589" s="2">
        <v>44424.6</v>
      </c>
      <c r="C2589" s="38">
        <v>45055</v>
      </c>
      <c r="D2589" s="1" t="s">
        <v>119</v>
      </c>
      <c r="E2589" s="1" t="s">
        <v>33</v>
      </c>
      <c r="F2589" s="1" t="s">
        <v>209</v>
      </c>
      <c r="G2589" s="5">
        <v>69.849999999999994</v>
      </c>
    </row>
    <row r="2590" spans="1:7" x14ac:dyDescent="0.2">
      <c r="A2590" s="3">
        <v>18</v>
      </c>
      <c r="B2590" s="2">
        <v>34059.42</v>
      </c>
      <c r="C2590" s="38">
        <v>44966</v>
      </c>
      <c r="D2590" s="1" t="s">
        <v>120</v>
      </c>
      <c r="E2590" s="1" t="s">
        <v>33</v>
      </c>
      <c r="F2590" s="1" t="s">
        <v>209</v>
      </c>
      <c r="G2590" s="5">
        <v>1892.19</v>
      </c>
    </row>
    <row r="2591" spans="1:7" x14ac:dyDescent="0.2">
      <c r="A2591" s="3">
        <v>108</v>
      </c>
      <c r="B2591" s="2">
        <v>11654.28</v>
      </c>
      <c r="C2591" s="38">
        <v>44967</v>
      </c>
      <c r="D2591" s="1" t="s">
        <v>55</v>
      </c>
      <c r="E2591" s="1" t="s">
        <v>33</v>
      </c>
      <c r="F2591" s="1" t="s">
        <v>209</v>
      </c>
      <c r="G2591" s="5">
        <v>107.91</v>
      </c>
    </row>
    <row r="2592" spans="1:7" x14ac:dyDescent="0.2">
      <c r="A2592" s="3">
        <v>324</v>
      </c>
      <c r="B2592" s="2">
        <v>34962.839999999997</v>
      </c>
      <c r="C2592" s="38">
        <v>44967</v>
      </c>
      <c r="D2592" s="1" t="s">
        <v>55</v>
      </c>
      <c r="E2592" s="1" t="s">
        <v>33</v>
      </c>
      <c r="F2592" s="1" t="s">
        <v>209</v>
      </c>
      <c r="G2592" s="5">
        <v>107.91</v>
      </c>
    </row>
    <row r="2593" spans="1:7" x14ac:dyDescent="0.2">
      <c r="A2593" s="3">
        <v>216</v>
      </c>
      <c r="B2593" s="2">
        <v>23308.560000000001</v>
      </c>
      <c r="C2593" s="38">
        <v>44967</v>
      </c>
      <c r="D2593" s="1" t="s">
        <v>55</v>
      </c>
      <c r="E2593" s="1" t="s">
        <v>33</v>
      </c>
      <c r="F2593" s="1" t="s">
        <v>209</v>
      </c>
      <c r="G2593" s="5">
        <v>107.91</v>
      </c>
    </row>
    <row r="2594" spans="1:7" x14ac:dyDescent="0.2">
      <c r="A2594" s="3">
        <v>216</v>
      </c>
      <c r="B2594" s="2">
        <v>23308.560000000001</v>
      </c>
      <c r="C2594" s="38">
        <v>44967</v>
      </c>
      <c r="D2594" s="1" t="s">
        <v>55</v>
      </c>
      <c r="E2594" s="1" t="s">
        <v>33</v>
      </c>
      <c r="F2594" s="1" t="s">
        <v>209</v>
      </c>
      <c r="G2594" s="5">
        <v>107.91</v>
      </c>
    </row>
    <row r="2595" spans="1:7" x14ac:dyDescent="0.2">
      <c r="A2595" s="3">
        <v>324</v>
      </c>
      <c r="B2595" s="2">
        <v>34962.839999999997</v>
      </c>
      <c r="C2595" s="38">
        <v>44967</v>
      </c>
      <c r="D2595" s="1" t="s">
        <v>55</v>
      </c>
      <c r="E2595" s="1" t="s">
        <v>33</v>
      </c>
      <c r="F2595" s="1" t="s">
        <v>209</v>
      </c>
      <c r="G2595" s="5">
        <v>107.91</v>
      </c>
    </row>
    <row r="2596" spans="1:7" x14ac:dyDescent="0.2">
      <c r="A2596" s="3">
        <v>258</v>
      </c>
      <c r="B2596" s="2">
        <v>488185.02</v>
      </c>
      <c r="C2596" s="38">
        <v>44967</v>
      </c>
      <c r="D2596" s="1" t="s">
        <v>120</v>
      </c>
      <c r="E2596" s="1" t="s">
        <v>33</v>
      </c>
      <c r="F2596" s="1" t="s">
        <v>209</v>
      </c>
      <c r="G2596" s="5">
        <v>1892.19</v>
      </c>
    </row>
    <row r="2597" spans="1:7" x14ac:dyDescent="0.2">
      <c r="A2597" s="3">
        <v>9000</v>
      </c>
      <c r="B2597" s="2">
        <v>922.5</v>
      </c>
      <c r="C2597" s="38">
        <v>45040</v>
      </c>
      <c r="D2597" s="1" t="s">
        <v>112</v>
      </c>
      <c r="E2597" s="1" t="s">
        <v>33</v>
      </c>
      <c r="F2597" s="1" t="s">
        <v>209</v>
      </c>
      <c r="G2597" s="5">
        <v>0.10249999999999999</v>
      </c>
    </row>
    <row r="2598" spans="1:7" x14ac:dyDescent="0.2">
      <c r="A2598" s="3">
        <v>9000</v>
      </c>
      <c r="B2598" s="2">
        <v>922.5</v>
      </c>
      <c r="C2598" s="38">
        <v>45040</v>
      </c>
      <c r="D2598" s="1" t="s">
        <v>112</v>
      </c>
      <c r="E2598" s="1" t="s">
        <v>33</v>
      </c>
      <c r="F2598" s="1" t="s">
        <v>209</v>
      </c>
      <c r="G2598" s="5">
        <v>0.10249999999999999</v>
      </c>
    </row>
    <row r="2599" spans="1:7" x14ac:dyDescent="0.2">
      <c r="A2599" s="3">
        <v>324</v>
      </c>
      <c r="B2599" s="2">
        <v>34962.839999999997</v>
      </c>
      <c r="C2599" s="38">
        <v>44985</v>
      </c>
      <c r="D2599" s="1" t="s">
        <v>55</v>
      </c>
      <c r="E2599" s="1" t="s">
        <v>33</v>
      </c>
      <c r="F2599" s="1" t="s">
        <v>209</v>
      </c>
      <c r="G2599" s="5">
        <v>107.91</v>
      </c>
    </row>
    <row r="2600" spans="1:7" x14ac:dyDescent="0.2">
      <c r="A2600" s="3">
        <v>648</v>
      </c>
      <c r="B2600" s="2">
        <v>69925.679999999993</v>
      </c>
      <c r="C2600" s="38">
        <v>45135</v>
      </c>
      <c r="D2600" s="1" t="s">
        <v>55</v>
      </c>
      <c r="E2600" s="1" t="s">
        <v>33</v>
      </c>
      <c r="F2600" s="1" t="s">
        <v>209</v>
      </c>
      <c r="G2600" s="5">
        <v>107.91</v>
      </c>
    </row>
    <row r="2601" spans="1:7" x14ac:dyDescent="0.2">
      <c r="A2601" s="3">
        <v>51</v>
      </c>
      <c r="B2601" s="2">
        <v>22986.21</v>
      </c>
      <c r="C2601" s="38">
        <v>45135</v>
      </c>
      <c r="D2601" s="1" t="s">
        <v>58</v>
      </c>
      <c r="E2601" s="1" t="s">
        <v>33</v>
      </c>
      <c r="F2601" s="1" t="s">
        <v>209</v>
      </c>
      <c r="G2601" s="5">
        <v>450.71</v>
      </c>
    </row>
    <row r="2602" spans="1:7" x14ac:dyDescent="0.2">
      <c r="A2602" s="3">
        <v>53</v>
      </c>
      <c r="B2602" s="2">
        <v>23887.63</v>
      </c>
      <c r="C2602" s="38">
        <v>45135</v>
      </c>
      <c r="D2602" s="1" t="s">
        <v>58</v>
      </c>
      <c r="E2602" s="1" t="s">
        <v>33</v>
      </c>
      <c r="F2602" s="1" t="s">
        <v>209</v>
      </c>
      <c r="G2602" s="5">
        <v>450.71</v>
      </c>
    </row>
    <row r="2603" spans="1:7" x14ac:dyDescent="0.2">
      <c r="A2603" s="3">
        <v>57</v>
      </c>
      <c r="B2603" s="2">
        <v>25690.47</v>
      </c>
      <c r="C2603" s="38">
        <v>45135</v>
      </c>
      <c r="D2603" s="1" t="s">
        <v>58</v>
      </c>
      <c r="E2603" s="1" t="s">
        <v>33</v>
      </c>
      <c r="F2603" s="1" t="s">
        <v>209</v>
      </c>
      <c r="G2603" s="5">
        <v>450.71</v>
      </c>
    </row>
    <row r="2604" spans="1:7" x14ac:dyDescent="0.2">
      <c r="A2604" s="3">
        <v>120</v>
      </c>
      <c r="B2604" s="2">
        <v>11030.4</v>
      </c>
      <c r="C2604" s="38">
        <v>45135</v>
      </c>
      <c r="D2604" s="1" t="s">
        <v>113</v>
      </c>
      <c r="E2604" s="1" t="s">
        <v>33</v>
      </c>
      <c r="F2604" s="1" t="s">
        <v>209</v>
      </c>
      <c r="G2604" s="5">
        <v>91.92</v>
      </c>
    </row>
    <row r="2605" spans="1:7" x14ac:dyDescent="0.2">
      <c r="A2605" s="3">
        <v>252</v>
      </c>
      <c r="B2605" s="2">
        <v>21606.48</v>
      </c>
      <c r="C2605" s="38">
        <v>45135</v>
      </c>
      <c r="D2605" s="1" t="s">
        <v>61</v>
      </c>
      <c r="E2605" s="1" t="s">
        <v>33</v>
      </c>
      <c r="F2605" s="1" t="s">
        <v>209</v>
      </c>
      <c r="G2605" s="5">
        <v>85.74</v>
      </c>
    </row>
    <row r="2606" spans="1:7" x14ac:dyDescent="0.2">
      <c r="A2606" s="3">
        <v>252</v>
      </c>
      <c r="B2606" s="2">
        <v>21606.48</v>
      </c>
      <c r="C2606" s="38">
        <v>45135</v>
      </c>
      <c r="D2606" s="1" t="s">
        <v>61</v>
      </c>
      <c r="E2606" s="1" t="s">
        <v>33</v>
      </c>
      <c r="F2606" s="1" t="s">
        <v>209</v>
      </c>
      <c r="G2606" s="5">
        <v>85.74</v>
      </c>
    </row>
    <row r="2607" spans="1:7" x14ac:dyDescent="0.2">
      <c r="A2607" s="3">
        <v>300</v>
      </c>
      <c r="B2607" s="2">
        <v>131685</v>
      </c>
      <c r="C2607" s="38">
        <v>45135</v>
      </c>
      <c r="D2607" s="1" t="s">
        <v>66</v>
      </c>
      <c r="E2607" s="1" t="s">
        <v>33</v>
      </c>
      <c r="F2607" s="1" t="s">
        <v>209</v>
      </c>
      <c r="G2607" s="5">
        <v>438.95</v>
      </c>
    </row>
    <row r="2608" spans="1:7" x14ac:dyDescent="0.2">
      <c r="A2608" s="3">
        <v>1820</v>
      </c>
      <c r="B2608" s="2">
        <v>4568.2</v>
      </c>
      <c r="C2608" s="38">
        <v>45135</v>
      </c>
      <c r="D2608" s="1" t="s">
        <v>68</v>
      </c>
      <c r="E2608" s="1" t="s">
        <v>33</v>
      </c>
      <c r="F2608" s="1" t="s">
        <v>209</v>
      </c>
      <c r="G2608" s="5">
        <v>2.5099999999999998</v>
      </c>
    </row>
    <row r="2609" spans="1:7" x14ac:dyDescent="0.2">
      <c r="A2609" s="3">
        <v>280</v>
      </c>
      <c r="B2609" s="2">
        <v>116264.4</v>
      </c>
      <c r="C2609" s="38">
        <v>45135</v>
      </c>
      <c r="D2609" s="1" t="s">
        <v>72</v>
      </c>
      <c r="E2609" s="1" t="s">
        <v>33</v>
      </c>
      <c r="F2609" s="1" t="s">
        <v>209</v>
      </c>
      <c r="G2609" s="5">
        <v>415.23</v>
      </c>
    </row>
    <row r="2610" spans="1:7" x14ac:dyDescent="0.2">
      <c r="A2610" s="3">
        <v>420</v>
      </c>
      <c r="B2610" s="2">
        <v>174396.6</v>
      </c>
      <c r="C2610" s="38">
        <v>45135</v>
      </c>
      <c r="D2610" s="1" t="s">
        <v>72</v>
      </c>
      <c r="E2610" s="1" t="s">
        <v>33</v>
      </c>
      <c r="F2610" s="1" t="s">
        <v>209</v>
      </c>
      <c r="G2610" s="5">
        <v>415.23</v>
      </c>
    </row>
    <row r="2611" spans="1:7" x14ac:dyDescent="0.2">
      <c r="A2611" s="3">
        <v>70</v>
      </c>
      <c r="B2611" s="2">
        <v>29066.1</v>
      </c>
      <c r="C2611" s="38">
        <v>45135</v>
      </c>
      <c r="D2611" s="1" t="s">
        <v>72</v>
      </c>
      <c r="E2611" s="1" t="s">
        <v>33</v>
      </c>
      <c r="F2611" s="1" t="s">
        <v>209</v>
      </c>
      <c r="G2611" s="5">
        <v>415.23</v>
      </c>
    </row>
    <row r="2612" spans="1:7" x14ac:dyDescent="0.2">
      <c r="A2612" s="3">
        <v>210</v>
      </c>
      <c r="B2612" s="2">
        <v>87198.3</v>
      </c>
      <c r="C2612" s="38">
        <v>45135</v>
      </c>
      <c r="D2612" s="1" t="s">
        <v>72</v>
      </c>
      <c r="E2612" s="1" t="s">
        <v>33</v>
      </c>
      <c r="F2612" s="1" t="s">
        <v>209</v>
      </c>
      <c r="G2612" s="5">
        <v>415.23</v>
      </c>
    </row>
    <row r="2613" spans="1:7" x14ac:dyDescent="0.2">
      <c r="A2613" s="3">
        <v>140</v>
      </c>
      <c r="B2613" s="2">
        <v>58132.2</v>
      </c>
      <c r="C2613" s="38">
        <v>45135</v>
      </c>
      <c r="D2613" s="1" t="s">
        <v>72</v>
      </c>
      <c r="E2613" s="1" t="s">
        <v>33</v>
      </c>
      <c r="F2613" s="1" t="s">
        <v>209</v>
      </c>
      <c r="G2613" s="5">
        <v>415.23</v>
      </c>
    </row>
    <row r="2614" spans="1:7" x14ac:dyDescent="0.2">
      <c r="A2614" s="3">
        <v>700</v>
      </c>
      <c r="B2614" s="2">
        <v>290661</v>
      </c>
      <c r="C2614" s="38">
        <v>45135</v>
      </c>
      <c r="D2614" s="1" t="s">
        <v>72</v>
      </c>
      <c r="E2614" s="1" t="s">
        <v>33</v>
      </c>
      <c r="F2614" s="1" t="s">
        <v>209</v>
      </c>
      <c r="G2614" s="5">
        <v>415.23</v>
      </c>
    </row>
    <row r="2615" spans="1:7" x14ac:dyDescent="0.2">
      <c r="A2615" s="3">
        <v>490</v>
      </c>
      <c r="B2615" s="2">
        <v>203462.7</v>
      </c>
      <c r="C2615" s="38">
        <v>45135</v>
      </c>
      <c r="D2615" s="1" t="s">
        <v>72</v>
      </c>
      <c r="E2615" s="1" t="s">
        <v>33</v>
      </c>
      <c r="F2615" s="1" t="s">
        <v>209</v>
      </c>
      <c r="G2615" s="5">
        <v>415.23</v>
      </c>
    </row>
    <row r="2616" spans="1:7" x14ac:dyDescent="0.2">
      <c r="A2616" s="3">
        <v>210</v>
      </c>
      <c r="B2616" s="2">
        <v>87198.3</v>
      </c>
      <c r="C2616" s="38">
        <v>45135</v>
      </c>
      <c r="D2616" s="1" t="s">
        <v>72</v>
      </c>
      <c r="E2616" s="1" t="s">
        <v>33</v>
      </c>
      <c r="F2616" s="1" t="s">
        <v>209</v>
      </c>
      <c r="G2616" s="5">
        <v>415.23</v>
      </c>
    </row>
    <row r="2617" spans="1:7" x14ac:dyDescent="0.2">
      <c r="A2617" s="3">
        <v>210</v>
      </c>
      <c r="B2617" s="2">
        <v>87198.3</v>
      </c>
      <c r="C2617" s="38">
        <v>45135</v>
      </c>
      <c r="D2617" s="1" t="s">
        <v>72</v>
      </c>
      <c r="E2617" s="1" t="s">
        <v>33</v>
      </c>
      <c r="F2617" s="1" t="s">
        <v>209</v>
      </c>
      <c r="G2617" s="5">
        <v>415.23</v>
      </c>
    </row>
    <row r="2618" spans="1:7" x14ac:dyDescent="0.2">
      <c r="A2618" s="3">
        <v>350</v>
      </c>
      <c r="B2618" s="2">
        <v>145330.5</v>
      </c>
      <c r="C2618" s="38">
        <v>45135</v>
      </c>
      <c r="D2618" s="1" t="s">
        <v>72</v>
      </c>
      <c r="E2618" s="1" t="s">
        <v>33</v>
      </c>
      <c r="F2618" s="1" t="s">
        <v>209</v>
      </c>
      <c r="G2618" s="5">
        <v>415.23</v>
      </c>
    </row>
    <row r="2619" spans="1:7" x14ac:dyDescent="0.2">
      <c r="A2619" s="3">
        <v>420</v>
      </c>
      <c r="B2619" s="2">
        <v>174396.6</v>
      </c>
      <c r="C2619" s="38">
        <v>45135</v>
      </c>
      <c r="D2619" s="1" t="s">
        <v>72</v>
      </c>
      <c r="E2619" s="1" t="s">
        <v>33</v>
      </c>
      <c r="F2619" s="1" t="s">
        <v>209</v>
      </c>
      <c r="G2619" s="5">
        <v>415.23</v>
      </c>
    </row>
    <row r="2620" spans="1:7" x14ac:dyDescent="0.2">
      <c r="A2620" s="3">
        <v>140</v>
      </c>
      <c r="B2620" s="2">
        <v>60040.4</v>
      </c>
      <c r="C2620" s="38">
        <v>45135</v>
      </c>
      <c r="D2620" s="1" t="s">
        <v>73</v>
      </c>
      <c r="E2620" s="1" t="s">
        <v>33</v>
      </c>
      <c r="F2620" s="1" t="s">
        <v>209</v>
      </c>
      <c r="G2620" s="5">
        <v>428.86</v>
      </c>
    </row>
    <row r="2621" spans="1:7" x14ac:dyDescent="0.2">
      <c r="A2621" s="3">
        <v>140</v>
      </c>
      <c r="B2621" s="2">
        <v>60040.4</v>
      </c>
      <c r="C2621" s="38">
        <v>45135</v>
      </c>
      <c r="D2621" s="1" t="s">
        <v>73</v>
      </c>
      <c r="E2621" s="1" t="s">
        <v>33</v>
      </c>
      <c r="F2621" s="1" t="s">
        <v>209</v>
      </c>
      <c r="G2621" s="5">
        <v>428.86</v>
      </c>
    </row>
    <row r="2622" spans="1:7" x14ac:dyDescent="0.2">
      <c r="A2622" s="3">
        <v>1980</v>
      </c>
      <c r="B2622" s="2">
        <v>1503493.2</v>
      </c>
      <c r="C2622" s="38">
        <v>45135</v>
      </c>
      <c r="D2622" s="1" t="s">
        <v>83</v>
      </c>
      <c r="E2622" s="1" t="s">
        <v>33</v>
      </c>
      <c r="F2622" s="1" t="s">
        <v>209</v>
      </c>
      <c r="G2622" s="5">
        <v>759.34</v>
      </c>
    </row>
    <row r="2623" spans="1:7" x14ac:dyDescent="0.2">
      <c r="A2623" s="3">
        <v>450</v>
      </c>
      <c r="B2623" s="2">
        <v>341703</v>
      </c>
      <c r="C2623" s="38">
        <v>45135</v>
      </c>
      <c r="D2623" s="1" t="s">
        <v>83</v>
      </c>
      <c r="E2623" s="1" t="s">
        <v>33</v>
      </c>
      <c r="F2623" s="1" t="s">
        <v>209</v>
      </c>
      <c r="G2623" s="5">
        <v>759.34</v>
      </c>
    </row>
    <row r="2624" spans="1:7" x14ac:dyDescent="0.2">
      <c r="A2624" s="3">
        <v>25</v>
      </c>
      <c r="B2624" s="2">
        <v>4461.25</v>
      </c>
      <c r="C2624" s="38">
        <v>45135</v>
      </c>
      <c r="D2624" s="1" t="s">
        <v>118</v>
      </c>
      <c r="E2624" s="1" t="s">
        <v>33</v>
      </c>
      <c r="F2624" s="1" t="s">
        <v>209</v>
      </c>
      <c r="G2624" s="5">
        <v>178.45</v>
      </c>
    </row>
    <row r="2625" spans="1:7" x14ac:dyDescent="0.2">
      <c r="A2625" s="3">
        <v>179</v>
      </c>
      <c r="B2625" s="2">
        <v>12503.15</v>
      </c>
      <c r="C2625" s="38">
        <v>45135</v>
      </c>
      <c r="D2625" s="1" t="s">
        <v>119</v>
      </c>
      <c r="E2625" s="1" t="s">
        <v>33</v>
      </c>
      <c r="F2625" s="1" t="s">
        <v>209</v>
      </c>
      <c r="G2625" s="5">
        <v>69.849999999999994</v>
      </c>
    </row>
    <row r="2626" spans="1:7" x14ac:dyDescent="0.2">
      <c r="A2626" s="3">
        <v>204</v>
      </c>
      <c r="B2626" s="2">
        <v>14249.4</v>
      </c>
      <c r="C2626" s="38">
        <v>45135</v>
      </c>
      <c r="D2626" s="1" t="s">
        <v>119</v>
      </c>
      <c r="E2626" s="1" t="s">
        <v>33</v>
      </c>
      <c r="F2626" s="1" t="s">
        <v>209</v>
      </c>
      <c r="G2626" s="5">
        <v>69.849999999999994</v>
      </c>
    </row>
    <row r="2627" spans="1:7" x14ac:dyDescent="0.2">
      <c r="A2627" s="3">
        <v>180</v>
      </c>
      <c r="B2627" s="2">
        <v>12573</v>
      </c>
      <c r="C2627" s="38">
        <v>45135</v>
      </c>
      <c r="D2627" s="1" t="s">
        <v>119</v>
      </c>
      <c r="E2627" s="1" t="s">
        <v>33</v>
      </c>
      <c r="F2627" s="1" t="s">
        <v>209</v>
      </c>
      <c r="G2627" s="5">
        <v>69.849999999999994</v>
      </c>
    </row>
    <row r="2628" spans="1:7" x14ac:dyDescent="0.2">
      <c r="A2628" s="3">
        <v>399</v>
      </c>
      <c r="B2628" s="2">
        <v>27870.15</v>
      </c>
      <c r="C2628" s="38">
        <v>45135</v>
      </c>
      <c r="D2628" s="1" t="s">
        <v>119</v>
      </c>
      <c r="E2628" s="1" t="s">
        <v>33</v>
      </c>
      <c r="F2628" s="1" t="s">
        <v>209</v>
      </c>
      <c r="G2628" s="5">
        <v>69.849999999999994</v>
      </c>
    </row>
    <row r="2629" spans="1:7" x14ac:dyDescent="0.2">
      <c r="A2629" s="3">
        <v>228</v>
      </c>
      <c r="B2629" s="2">
        <v>15925.8</v>
      </c>
      <c r="C2629" s="38">
        <v>45135</v>
      </c>
      <c r="D2629" s="1" t="s">
        <v>119</v>
      </c>
      <c r="E2629" s="1" t="s">
        <v>33</v>
      </c>
      <c r="F2629" s="1" t="s">
        <v>209</v>
      </c>
      <c r="G2629" s="5">
        <v>69.849999999999994</v>
      </c>
    </row>
    <row r="2630" spans="1:7" x14ac:dyDescent="0.2">
      <c r="A2630" s="3">
        <v>102</v>
      </c>
      <c r="B2630" s="2">
        <v>7124.7</v>
      </c>
      <c r="C2630" s="38">
        <v>45135</v>
      </c>
      <c r="D2630" s="1" t="s">
        <v>119</v>
      </c>
      <c r="E2630" s="1" t="s">
        <v>33</v>
      </c>
      <c r="F2630" s="1" t="s">
        <v>209</v>
      </c>
      <c r="G2630" s="5">
        <v>69.849999999999994</v>
      </c>
    </row>
    <row r="2631" spans="1:7" x14ac:dyDescent="0.2">
      <c r="A2631" s="3">
        <v>360</v>
      </c>
      <c r="B2631" s="2">
        <v>308653.2</v>
      </c>
      <c r="C2631" s="38">
        <v>45135</v>
      </c>
      <c r="D2631" s="1" t="s">
        <v>85</v>
      </c>
      <c r="E2631" s="1" t="s">
        <v>33</v>
      </c>
      <c r="F2631" s="1" t="s">
        <v>209</v>
      </c>
      <c r="G2631" s="5">
        <v>857.37</v>
      </c>
    </row>
    <row r="2632" spans="1:7" x14ac:dyDescent="0.2">
      <c r="A2632" s="3">
        <v>96</v>
      </c>
      <c r="B2632" s="2">
        <v>181650.24</v>
      </c>
      <c r="C2632" s="38">
        <v>45135</v>
      </c>
      <c r="D2632" s="1" t="s">
        <v>120</v>
      </c>
      <c r="E2632" s="1" t="s">
        <v>33</v>
      </c>
      <c r="F2632" s="1" t="s">
        <v>209</v>
      </c>
      <c r="G2632" s="5">
        <v>1892.19</v>
      </c>
    </row>
    <row r="2633" spans="1:7" x14ac:dyDescent="0.2">
      <c r="A2633" s="3">
        <v>112</v>
      </c>
      <c r="B2633" s="2">
        <v>211925.28</v>
      </c>
      <c r="C2633" s="38">
        <v>45135</v>
      </c>
      <c r="D2633" s="1" t="s">
        <v>120</v>
      </c>
      <c r="E2633" s="1" t="s">
        <v>33</v>
      </c>
      <c r="F2633" s="1" t="s">
        <v>209</v>
      </c>
      <c r="G2633" s="5">
        <v>1892.19</v>
      </c>
    </row>
    <row r="2634" spans="1:7" x14ac:dyDescent="0.2">
      <c r="A2634" s="3">
        <v>60</v>
      </c>
      <c r="B2634" s="2">
        <v>113531.4</v>
      </c>
      <c r="C2634" s="38">
        <v>45135</v>
      </c>
      <c r="D2634" s="1" t="s">
        <v>120</v>
      </c>
      <c r="E2634" s="1" t="s">
        <v>33</v>
      </c>
      <c r="F2634" s="1" t="s">
        <v>209</v>
      </c>
      <c r="G2634" s="5">
        <v>1892.19</v>
      </c>
    </row>
    <row r="2635" spans="1:7" x14ac:dyDescent="0.2">
      <c r="A2635" s="3">
        <v>112</v>
      </c>
      <c r="B2635" s="2">
        <v>211925.28</v>
      </c>
      <c r="C2635" s="38">
        <v>45135</v>
      </c>
      <c r="D2635" s="1" t="s">
        <v>120</v>
      </c>
      <c r="E2635" s="1" t="s">
        <v>33</v>
      </c>
      <c r="F2635" s="1" t="s">
        <v>209</v>
      </c>
      <c r="G2635" s="5">
        <v>1892.19</v>
      </c>
    </row>
    <row r="2636" spans="1:7" x14ac:dyDescent="0.2">
      <c r="A2636" s="3">
        <v>84</v>
      </c>
      <c r="B2636" s="2">
        <v>158943.96</v>
      </c>
      <c r="C2636" s="38">
        <v>45135</v>
      </c>
      <c r="D2636" s="1" t="s">
        <v>120</v>
      </c>
      <c r="E2636" s="1" t="s">
        <v>33</v>
      </c>
      <c r="F2636" s="1" t="s">
        <v>209</v>
      </c>
      <c r="G2636" s="5">
        <v>1892.19</v>
      </c>
    </row>
    <row r="2637" spans="1:7" x14ac:dyDescent="0.2">
      <c r="A2637" s="3">
        <v>39</v>
      </c>
      <c r="B2637" s="2">
        <v>2724.15</v>
      </c>
      <c r="C2637" s="38">
        <v>45145</v>
      </c>
      <c r="D2637" s="1" t="s">
        <v>119</v>
      </c>
      <c r="E2637" s="1" t="s">
        <v>33</v>
      </c>
      <c r="F2637" s="1" t="s">
        <v>209</v>
      </c>
      <c r="G2637" s="5">
        <v>69.849999999999994</v>
      </c>
    </row>
    <row r="2638" spans="1:7" x14ac:dyDescent="0.2">
      <c r="A2638" s="3">
        <v>240</v>
      </c>
      <c r="B2638" s="2">
        <v>108170.4</v>
      </c>
      <c r="C2638" s="38">
        <v>45146</v>
      </c>
      <c r="D2638" s="1" t="s">
        <v>58</v>
      </c>
      <c r="E2638" s="1" t="s">
        <v>33</v>
      </c>
      <c r="F2638" s="1" t="s">
        <v>209</v>
      </c>
      <c r="G2638" s="5">
        <v>450.71</v>
      </c>
    </row>
    <row r="2639" spans="1:7" x14ac:dyDescent="0.2">
      <c r="A2639" s="3">
        <v>648</v>
      </c>
      <c r="B2639" s="2">
        <v>69925.679999999993</v>
      </c>
      <c r="C2639" s="38">
        <v>45169</v>
      </c>
      <c r="D2639" s="1" t="s">
        <v>55</v>
      </c>
      <c r="E2639" s="1" t="s">
        <v>33</v>
      </c>
      <c r="F2639" s="1" t="s">
        <v>209</v>
      </c>
      <c r="G2639" s="5">
        <v>107.91</v>
      </c>
    </row>
    <row r="2640" spans="1:7" x14ac:dyDescent="0.2">
      <c r="A2640" s="3">
        <v>120</v>
      </c>
      <c r="B2640" s="2">
        <v>54085.2</v>
      </c>
      <c r="C2640" s="38">
        <v>45169</v>
      </c>
      <c r="D2640" s="1" t="s">
        <v>58</v>
      </c>
      <c r="E2640" s="1" t="s">
        <v>33</v>
      </c>
      <c r="F2640" s="1" t="s">
        <v>209</v>
      </c>
      <c r="G2640" s="5">
        <v>450.71</v>
      </c>
    </row>
    <row r="2641" spans="1:7" x14ac:dyDescent="0.2">
      <c r="A2641" s="3">
        <v>360</v>
      </c>
      <c r="B2641" s="2">
        <v>162255.6</v>
      </c>
      <c r="C2641" s="38">
        <v>45169</v>
      </c>
      <c r="D2641" s="1" t="s">
        <v>58</v>
      </c>
      <c r="E2641" s="1" t="s">
        <v>33</v>
      </c>
      <c r="F2641" s="1" t="s">
        <v>209</v>
      </c>
      <c r="G2641" s="5">
        <v>450.71</v>
      </c>
    </row>
    <row r="2642" spans="1:7" x14ac:dyDescent="0.2">
      <c r="A2642" s="3">
        <v>240</v>
      </c>
      <c r="B2642" s="2">
        <v>108170.4</v>
      </c>
      <c r="C2642" s="38">
        <v>45169</v>
      </c>
      <c r="D2642" s="1" t="s">
        <v>58</v>
      </c>
      <c r="E2642" s="1" t="s">
        <v>33</v>
      </c>
      <c r="F2642" s="1" t="s">
        <v>209</v>
      </c>
      <c r="G2642" s="5">
        <v>450.71</v>
      </c>
    </row>
    <row r="2643" spans="1:7" x14ac:dyDescent="0.2">
      <c r="A2643" s="3">
        <v>130</v>
      </c>
      <c r="B2643" s="2">
        <v>58592.3</v>
      </c>
      <c r="C2643" s="38">
        <v>45169</v>
      </c>
      <c r="D2643" s="1" t="s">
        <v>58</v>
      </c>
      <c r="E2643" s="1" t="s">
        <v>33</v>
      </c>
      <c r="F2643" s="1" t="s">
        <v>209</v>
      </c>
      <c r="G2643" s="5">
        <v>450.71</v>
      </c>
    </row>
    <row r="2644" spans="1:7" x14ac:dyDescent="0.2">
      <c r="A2644" s="3">
        <v>240</v>
      </c>
      <c r="B2644" s="2">
        <v>108170.4</v>
      </c>
      <c r="C2644" s="38">
        <v>45169</v>
      </c>
      <c r="D2644" s="1" t="s">
        <v>58</v>
      </c>
      <c r="E2644" s="1" t="s">
        <v>33</v>
      </c>
      <c r="F2644" s="1" t="s">
        <v>209</v>
      </c>
      <c r="G2644" s="5">
        <v>450.71</v>
      </c>
    </row>
    <row r="2645" spans="1:7" x14ac:dyDescent="0.2">
      <c r="A2645" s="3">
        <v>120</v>
      </c>
      <c r="B2645" s="2">
        <v>54085.2</v>
      </c>
      <c r="C2645" s="38">
        <v>45169</v>
      </c>
      <c r="D2645" s="1" t="s">
        <v>58</v>
      </c>
      <c r="E2645" s="1" t="s">
        <v>33</v>
      </c>
      <c r="F2645" s="1" t="s">
        <v>209</v>
      </c>
      <c r="G2645" s="5">
        <v>450.71</v>
      </c>
    </row>
    <row r="2646" spans="1:7" x14ac:dyDescent="0.2">
      <c r="A2646" s="3">
        <v>252</v>
      </c>
      <c r="B2646" s="2">
        <v>21606.48</v>
      </c>
      <c r="C2646" s="38">
        <v>45169</v>
      </c>
      <c r="D2646" s="1" t="s">
        <v>61</v>
      </c>
      <c r="E2646" s="1" t="s">
        <v>33</v>
      </c>
      <c r="F2646" s="1" t="s">
        <v>209</v>
      </c>
      <c r="G2646" s="5">
        <v>85.74</v>
      </c>
    </row>
    <row r="2647" spans="1:7" x14ac:dyDescent="0.2">
      <c r="A2647" s="3">
        <v>90</v>
      </c>
      <c r="B2647" s="2">
        <v>39505.5</v>
      </c>
      <c r="C2647" s="38">
        <v>45169</v>
      </c>
      <c r="D2647" s="1" t="s">
        <v>66</v>
      </c>
      <c r="E2647" s="1" t="s">
        <v>33</v>
      </c>
      <c r="F2647" s="1" t="s">
        <v>209</v>
      </c>
      <c r="G2647" s="5">
        <v>438.95</v>
      </c>
    </row>
    <row r="2648" spans="1:7" x14ac:dyDescent="0.2">
      <c r="A2648" s="3">
        <v>1200</v>
      </c>
      <c r="B2648" s="2">
        <v>526740</v>
      </c>
      <c r="C2648" s="38">
        <v>45169</v>
      </c>
      <c r="D2648" s="1" t="s">
        <v>66</v>
      </c>
      <c r="E2648" s="1" t="s">
        <v>33</v>
      </c>
      <c r="F2648" s="1" t="s">
        <v>209</v>
      </c>
      <c r="G2648" s="5">
        <v>438.95</v>
      </c>
    </row>
    <row r="2649" spans="1:7" x14ac:dyDescent="0.2">
      <c r="A2649" s="3">
        <v>600</v>
      </c>
      <c r="B2649" s="2">
        <v>263370</v>
      </c>
      <c r="C2649" s="38">
        <v>45169</v>
      </c>
      <c r="D2649" s="1" t="s">
        <v>66</v>
      </c>
      <c r="E2649" s="1" t="s">
        <v>33</v>
      </c>
      <c r="F2649" s="1" t="s">
        <v>209</v>
      </c>
      <c r="G2649" s="5">
        <v>438.95</v>
      </c>
    </row>
    <row r="2650" spans="1:7" x14ac:dyDescent="0.2">
      <c r="A2650" s="3">
        <v>120</v>
      </c>
      <c r="B2650" s="2">
        <v>52674</v>
      </c>
      <c r="C2650" s="38">
        <v>45169</v>
      </c>
      <c r="D2650" s="1" t="s">
        <v>66</v>
      </c>
      <c r="E2650" s="1" t="s">
        <v>33</v>
      </c>
      <c r="F2650" s="1" t="s">
        <v>209</v>
      </c>
      <c r="G2650" s="5">
        <v>438.95</v>
      </c>
    </row>
    <row r="2651" spans="1:7" x14ac:dyDescent="0.2">
      <c r="A2651" s="3">
        <v>210</v>
      </c>
      <c r="B2651" s="2">
        <v>92179.5</v>
      </c>
      <c r="C2651" s="38">
        <v>45169</v>
      </c>
      <c r="D2651" s="1" t="s">
        <v>66</v>
      </c>
      <c r="E2651" s="1" t="s">
        <v>33</v>
      </c>
      <c r="F2651" s="1" t="s">
        <v>209</v>
      </c>
      <c r="G2651" s="5">
        <v>438.95</v>
      </c>
    </row>
    <row r="2652" spans="1:7" x14ac:dyDescent="0.2">
      <c r="A2652" s="3">
        <v>1820</v>
      </c>
      <c r="B2652" s="2">
        <v>4568.2</v>
      </c>
      <c r="C2652" s="38">
        <v>45169</v>
      </c>
      <c r="D2652" s="1" t="s">
        <v>68</v>
      </c>
      <c r="E2652" s="1" t="s">
        <v>33</v>
      </c>
      <c r="F2652" s="1" t="s">
        <v>209</v>
      </c>
      <c r="G2652" s="5">
        <v>2.5099999999999998</v>
      </c>
    </row>
    <row r="2653" spans="1:7" x14ac:dyDescent="0.2">
      <c r="A2653" s="3">
        <v>210</v>
      </c>
      <c r="B2653" s="2">
        <v>87198.3</v>
      </c>
      <c r="C2653" s="38">
        <v>45169</v>
      </c>
      <c r="D2653" s="1" t="s">
        <v>72</v>
      </c>
      <c r="E2653" s="1" t="s">
        <v>33</v>
      </c>
      <c r="F2653" s="1" t="s">
        <v>209</v>
      </c>
      <c r="G2653" s="5">
        <v>415.23</v>
      </c>
    </row>
    <row r="2654" spans="1:7" x14ac:dyDescent="0.2">
      <c r="A2654" s="3">
        <v>420</v>
      </c>
      <c r="B2654" s="2">
        <v>174396.6</v>
      </c>
      <c r="C2654" s="38">
        <v>45169</v>
      </c>
      <c r="D2654" s="1" t="s">
        <v>72</v>
      </c>
      <c r="E2654" s="1" t="s">
        <v>33</v>
      </c>
      <c r="F2654" s="1" t="s">
        <v>209</v>
      </c>
      <c r="G2654" s="5">
        <v>415.23</v>
      </c>
    </row>
    <row r="2655" spans="1:7" x14ac:dyDescent="0.2">
      <c r="A2655" s="3">
        <v>4500</v>
      </c>
      <c r="B2655" s="2">
        <v>3088.8</v>
      </c>
      <c r="C2655" s="38">
        <v>45169</v>
      </c>
      <c r="D2655" s="1" t="s">
        <v>81</v>
      </c>
      <c r="E2655" s="1" t="s">
        <v>33</v>
      </c>
      <c r="F2655" s="1" t="s">
        <v>209</v>
      </c>
      <c r="G2655" s="5">
        <v>0.68640000000000001</v>
      </c>
    </row>
    <row r="2656" spans="1:7" x14ac:dyDescent="0.2">
      <c r="A2656" s="3">
        <v>30</v>
      </c>
      <c r="B2656" s="2">
        <v>22780.2</v>
      </c>
      <c r="C2656" s="38">
        <v>45169</v>
      </c>
      <c r="D2656" s="1" t="s">
        <v>83</v>
      </c>
      <c r="E2656" s="1" t="s">
        <v>33</v>
      </c>
      <c r="F2656" s="1" t="s">
        <v>209</v>
      </c>
      <c r="G2656" s="5">
        <v>759.34</v>
      </c>
    </row>
    <row r="2657" spans="1:7" x14ac:dyDescent="0.2">
      <c r="A2657" s="3">
        <v>120</v>
      </c>
      <c r="B2657" s="2">
        <v>91120.8</v>
      </c>
      <c r="C2657" s="38">
        <v>45169</v>
      </c>
      <c r="D2657" s="1" t="s">
        <v>83</v>
      </c>
      <c r="E2657" s="1" t="s">
        <v>33</v>
      </c>
      <c r="F2657" s="1" t="s">
        <v>209</v>
      </c>
      <c r="G2657" s="5">
        <v>759.34</v>
      </c>
    </row>
    <row r="2658" spans="1:7" x14ac:dyDescent="0.2">
      <c r="A2658" s="3">
        <v>60</v>
      </c>
      <c r="B2658" s="2">
        <v>45560.4</v>
      </c>
      <c r="C2658" s="38">
        <v>45169</v>
      </c>
      <c r="D2658" s="1" t="s">
        <v>83</v>
      </c>
      <c r="E2658" s="1" t="s">
        <v>33</v>
      </c>
      <c r="F2658" s="1" t="s">
        <v>209</v>
      </c>
      <c r="G2658" s="5">
        <v>759.34</v>
      </c>
    </row>
    <row r="2659" spans="1:7" x14ac:dyDescent="0.2">
      <c r="A2659" s="3">
        <v>60</v>
      </c>
      <c r="B2659" s="2">
        <v>45560.4</v>
      </c>
      <c r="C2659" s="38">
        <v>45169</v>
      </c>
      <c r="D2659" s="1" t="s">
        <v>83</v>
      </c>
      <c r="E2659" s="1" t="s">
        <v>33</v>
      </c>
      <c r="F2659" s="1" t="s">
        <v>209</v>
      </c>
      <c r="G2659" s="5">
        <v>759.34</v>
      </c>
    </row>
    <row r="2660" spans="1:7" x14ac:dyDescent="0.2">
      <c r="A2660" s="3">
        <v>30</v>
      </c>
      <c r="B2660" s="2">
        <v>22780.2</v>
      </c>
      <c r="C2660" s="38">
        <v>45169</v>
      </c>
      <c r="D2660" s="1" t="s">
        <v>83</v>
      </c>
      <c r="E2660" s="1" t="s">
        <v>33</v>
      </c>
      <c r="F2660" s="1" t="s">
        <v>209</v>
      </c>
      <c r="G2660" s="5">
        <v>759.34</v>
      </c>
    </row>
    <row r="2661" spans="1:7" x14ac:dyDescent="0.2">
      <c r="A2661" s="3">
        <v>60</v>
      </c>
      <c r="B2661" s="2">
        <v>45560.4</v>
      </c>
      <c r="C2661" s="38">
        <v>45169</v>
      </c>
      <c r="D2661" s="1" t="s">
        <v>83</v>
      </c>
      <c r="E2661" s="1" t="s">
        <v>33</v>
      </c>
      <c r="F2661" s="1" t="s">
        <v>209</v>
      </c>
      <c r="G2661" s="5">
        <v>759.34</v>
      </c>
    </row>
    <row r="2662" spans="1:7" x14ac:dyDescent="0.2">
      <c r="A2662" s="3">
        <v>1005</v>
      </c>
      <c r="B2662" s="2">
        <v>70199.25</v>
      </c>
      <c r="C2662" s="38">
        <v>45169</v>
      </c>
      <c r="D2662" s="1" t="s">
        <v>119</v>
      </c>
      <c r="E2662" s="1" t="s">
        <v>33</v>
      </c>
      <c r="F2662" s="1" t="s">
        <v>209</v>
      </c>
      <c r="G2662" s="5">
        <v>69.849999999999994</v>
      </c>
    </row>
    <row r="2663" spans="1:7" x14ac:dyDescent="0.2">
      <c r="A2663" s="3">
        <v>216</v>
      </c>
      <c r="B2663" s="2">
        <v>23308.560000000001</v>
      </c>
      <c r="C2663" s="38">
        <v>45084</v>
      </c>
      <c r="D2663" s="1" t="s">
        <v>55</v>
      </c>
      <c r="E2663" s="1" t="s">
        <v>33</v>
      </c>
      <c r="F2663" s="1" t="s">
        <v>209</v>
      </c>
      <c r="G2663" s="5">
        <v>107.91</v>
      </c>
    </row>
    <row r="2664" spans="1:7" x14ac:dyDescent="0.2">
      <c r="A2664" s="3">
        <v>108</v>
      </c>
      <c r="B2664" s="2">
        <v>11654.28</v>
      </c>
      <c r="C2664" s="38">
        <v>45084</v>
      </c>
      <c r="D2664" s="1" t="s">
        <v>55</v>
      </c>
      <c r="E2664" s="1" t="s">
        <v>33</v>
      </c>
      <c r="F2664" s="1" t="s">
        <v>209</v>
      </c>
      <c r="G2664" s="5">
        <v>107.91</v>
      </c>
    </row>
    <row r="2665" spans="1:7" x14ac:dyDescent="0.2">
      <c r="A2665" s="3">
        <v>324</v>
      </c>
      <c r="B2665" s="2">
        <v>34962.839999999997</v>
      </c>
      <c r="C2665" s="38">
        <v>45084</v>
      </c>
      <c r="D2665" s="1" t="s">
        <v>55</v>
      </c>
      <c r="E2665" s="1" t="s">
        <v>33</v>
      </c>
      <c r="F2665" s="1" t="s">
        <v>209</v>
      </c>
      <c r="G2665" s="5">
        <v>107.91</v>
      </c>
    </row>
    <row r="2666" spans="1:7" x14ac:dyDescent="0.2">
      <c r="A2666" s="3">
        <v>108</v>
      </c>
      <c r="B2666" s="2">
        <v>11654.28</v>
      </c>
      <c r="C2666" s="38">
        <v>45084</v>
      </c>
      <c r="D2666" s="1" t="s">
        <v>55</v>
      </c>
      <c r="E2666" s="1" t="s">
        <v>33</v>
      </c>
      <c r="F2666" s="1" t="s">
        <v>209</v>
      </c>
      <c r="G2666" s="5">
        <v>107.91</v>
      </c>
    </row>
    <row r="2667" spans="1:7" x14ac:dyDescent="0.2">
      <c r="A2667" s="3">
        <v>216</v>
      </c>
      <c r="B2667" s="2">
        <v>23308.560000000001</v>
      </c>
      <c r="C2667" s="38">
        <v>45084</v>
      </c>
      <c r="D2667" s="1" t="s">
        <v>55</v>
      </c>
      <c r="E2667" s="1" t="s">
        <v>33</v>
      </c>
      <c r="F2667" s="1" t="s">
        <v>209</v>
      </c>
      <c r="G2667" s="5">
        <v>107.91</v>
      </c>
    </row>
    <row r="2668" spans="1:7" x14ac:dyDescent="0.2">
      <c r="A2668" s="3">
        <v>216</v>
      </c>
      <c r="B2668" s="2">
        <v>23308.560000000001</v>
      </c>
      <c r="C2668" s="38">
        <v>45084</v>
      </c>
      <c r="D2668" s="1" t="s">
        <v>55</v>
      </c>
      <c r="E2668" s="1" t="s">
        <v>33</v>
      </c>
      <c r="F2668" s="1" t="s">
        <v>209</v>
      </c>
      <c r="G2668" s="5">
        <v>107.91</v>
      </c>
    </row>
    <row r="2669" spans="1:7" x14ac:dyDescent="0.2">
      <c r="A2669" s="3">
        <v>216</v>
      </c>
      <c r="B2669" s="2">
        <v>23308.560000000001</v>
      </c>
      <c r="C2669" s="38">
        <v>45084</v>
      </c>
      <c r="D2669" s="1" t="s">
        <v>55</v>
      </c>
      <c r="E2669" s="1" t="s">
        <v>33</v>
      </c>
      <c r="F2669" s="1" t="s">
        <v>209</v>
      </c>
      <c r="G2669" s="5">
        <v>107.91</v>
      </c>
    </row>
    <row r="2670" spans="1:7" x14ac:dyDescent="0.2">
      <c r="A2670" s="3">
        <v>432</v>
      </c>
      <c r="B2670" s="2">
        <v>46617.120000000003</v>
      </c>
      <c r="C2670" s="38">
        <v>45084</v>
      </c>
      <c r="D2670" s="1" t="s">
        <v>55</v>
      </c>
      <c r="E2670" s="1" t="s">
        <v>33</v>
      </c>
      <c r="F2670" s="1" t="s">
        <v>209</v>
      </c>
      <c r="G2670" s="5">
        <v>107.91</v>
      </c>
    </row>
    <row r="2671" spans="1:7" x14ac:dyDescent="0.2">
      <c r="A2671" s="3">
        <v>202</v>
      </c>
      <c r="B2671" s="2">
        <v>91043.42</v>
      </c>
      <c r="C2671" s="38">
        <v>45084</v>
      </c>
      <c r="D2671" s="1" t="s">
        <v>58</v>
      </c>
      <c r="E2671" s="1" t="s">
        <v>33</v>
      </c>
      <c r="F2671" s="1" t="s">
        <v>209</v>
      </c>
      <c r="G2671" s="5">
        <v>450.71</v>
      </c>
    </row>
    <row r="2672" spans="1:7" x14ac:dyDescent="0.2">
      <c r="A2672" s="3">
        <v>240</v>
      </c>
      <c r="B2672" s="2">
        <v>108170.4</v>
      </c>
      <c r="C2672" s="38">
        <v>45084</v>
      </c>
      <c r="D2672" s="1" t="s">
        <v>58</v>
      </c>
      <c r="E2672" s="1" t="s">
        <v>33</v>
      </c>
      <c r="F2672" s="1" t="s">
        <v>209</v>
      </c>
      <c r="G2672" s="5">
        <v>450.71</v>
      </c>
    </row>
    <row r="2673" spans="1:7" x14ac:dyDescent="0.2">
      <c r="A2673" s="3">
        <v>3024</v>
      </c>
      <c r="B2673" s="2">
        <v>133449.12</v>
      </c>
      <c r="C2673" s="38">
        <v>45084</v>
      </c>
      <c r="D2673" s="1" t="s">
        <v>60</v>
      </c>
      <c r="E2673" s="1" t="s">
        <v>33</v>
      </c>
      <c r="F2673" s="1" t="s">
        <v>209</v>
      </c>
      <c r="G2673" s="5">
        <v>44.13</v>
      </c>
    </row>
    <row r="2674" spans="1:7" x14ac:dyDescent="0.2">
      <c r="A2674" s="3">
        <v>252</v>
      </c>
      <c r="B2674" s="2">
        <v>21606.48</v>
      </c>
      <c r="C2674" s="38">
        <v>45084</v>
      </c>
      <c r="D2674" s="1" t="s">
        <v>61</v>
      </c>
      <c r="E2674" s="1" t="s">
        <v>33</v>
      </c>
      <c r="F2674" s="1" t="s">
        <v>209</v>
      </c>
      <c r="G2674" s="5">
        <v>85.74</v>
      </c>
    </row>
    <row r="2675" spans="1:7" x14ac:dyDescent="0.2">
      <c r="A2675" s="3">
        <v>240</v>
      </c>
      <c r="B2675" s="2">
        <v>105348</v>
      </c>
      <c r="C2675" s="38">
        <v>45084</v>
      </c>
      <c r="D2675" s="1" t="s">
        <v>66</v>
      </c>
      <c r="E2675" s="1" t="s">
        <v>33</v>
      </c>
      <c r="F2675" s="1" t="s">
        <v>209</v>
      </c>
      <c r="G2675" s="5">
        <v>438.95</v>
      </c>
    </row>
    <row r="2676" spans="1:7" x14ac:dyDescent="0.2">
      <c r="A2676" s="3">
        <v>300</v>
      </c>
      <c r="B2676" s="2">
        <v>131685</v>
      </c>
      <c r="C2676" s="38">
        <v>45084</v>
      </c>
      <c r="D2676" s="1" t="s">
        <v>66</v>
      </c>
      <c r="E2676" s="1" t="s">
        <v>33</v>
      </c>
      <c r="F2676" s="1" t="s">
        <v>209</v>
      </c>
      <c r="G2676" s="5">
        <v>438.95</v>
      </c>
    </row>
    <row r="2677" spans="1:7" x14ac:dyDescent="0.2">
      <c r="A2677" s="3">
        <v>120</v>
      </c>
      <c r="B2677" s="2">
        <v>52674</v>
      </c>
      <c r="C2677" s="38">
        <v>45084</v>
      </c>
      <c r="D2677" s="1" t="s">
        <v>66</v>
      </c>
      <c r="E2677" s="1" t="s">
        <v>33</v>
      </c>
      <c r="F2677" s="1" t="s">
        <v>209</v>
      </c>
      <c r="G2677" s="5">
        <v>438.95</v>
      </c>
    </row>
    <row r="2678" spans="1:7" x14ac:dyDescent="0.2">
      <c r="A2678" s="3">
        <v>30</v>
      </c>
      <c r="B2678" s="2">
        <v>13168.5</v>
      </c>
      <c r="C2678" s="38">
        <v>45084</v>
      </c>
      <c r="D2678" s="1" t="s">
        <v>66</v>
      </c>
      <c r="E2678" s="1" t="s">
        <v>33</v>
      </c>
      <c r="F2678" s="1" t="s">
        <v>209</v>
      </c>
      <c r="G2678" s="5">
        <v>438.95</v>
      </c>
    </row>
    <row r="2679" spans="1:7" x14ac:dyDescent="0.2">
      <c r="A2679" s="3">
        <v>270</v>
      </c>
      <c r="B2679" s="2">
        <v>118516.5</v>
      </c>
      <c r="C2679" s="38">
        <v>45084</v>
      </c>
      <c r="D2679" s="1" t="s">
        <v>66</v>
      </c>
      <c r="E2679" s="1" t="s">
        <v>33</v>
      </c>
      <c r="F2679" s="1" t="s">
        <v>209</v>
      </c>
      <c r="G2679" s="5">
        <v>438.95</v>
      </c>
    </row>
    <row r="2680" spans="1:7" x14ac:dyDescent="0.2">
      <c r="A2680" s="3">
        <v>450</v>
      </c>
      <c r="B2680" s="2">
        <v>197527.5</v>
      </c>
      <c r="C2680" s="38">
        <v>45084</v>
      </c>
      <c r="D2680" s="1" t="s">
        <v>66</v>
      </c>
      <c r="E2680" s="1" t="s">
        <v>33</v>
      </c>
      <c r="F2680" s="1" t="s">
        <v>209</v>
      </c>
      <c r="G2680" s="5">
        <v>438.95</v>
      </c>
    </row>
    <row r="2681" spans="1:7" x14ac:dyDescent="0.2">
      <c r="A2681" s="3">
        <v>510</v>
      </c>
      <c r="B2681" s="2">
        <v>223864.5</v>
      </c>
      <c r="C2681" s="38">
        <v>45084</v>
      </c>
      <c r="D2681" s="1" t="s">
        <v>66</v>
      </c>
      <c r="E2681" s="1" t="s">
        <v>33</v>
      </c>
      <c r="F2681" s="1" t="s">
        <v>209</v>
      </c>
      <c r="G2681" s="5">
        <v>438.95</v>
      </c>
    </row>
    <row r="2682" spans="1:7" x14ac:dyDescent="0.2">
      <c r="A2682" s="3">
        <v>120</v>
      </c>
      <c r="B2682" s="2">
        <v>52674</v>
      </c>
      <c r="C2682" s="38">
        <v>45084</v>
      </c>
      <c r="D2682" s="1" t="s">
        <v>66</v>
      </c>
      <c r="E2682" s="1" t="s">
        <v>33</v>
      </c>
      <c r="F2682" s="1" t="s">
        <v>209</v>
      </c>
      <c r="G2682" s="5">
        <v>438.95</v>
      </c>
    </row>
    <row r="2683" spans="1:7" x14ac:dyDescent="0.2">
      <c r="A2683" s="3">
        <v>1008</v>
      </c>
      <c r="B2683" s="2">
        <v>73402.559999999998</v>
      </c>
      <c r="C2683" s="38">
        <v>45084</v>
      </c>
      <c r="D2683" s="1" t="s">
        <v>116</v>
      </c>
      <c r="E2683" s="1" t="s">
        <v>33</v>
      </c>
      <c r="F2683" s="1" t="s">
        <v>209</v>
      </c>
      <c r="G2683" s="5">
        <v>72.819999999999993</v>
      </c>
    </row>
    <row r="2684" spans="1:7" x14ac:dyDescent="0.2">
      <c r="A2684" s="3">
        <v>1820</v>
      </c>
      <c r="B2684" s="2">
        <v>4568.2</v>
      </c>
      <c r="C2684" s="38">
        <v>45084</v>
      </c>
      <c r="D2684" s="1" t="s">
        <v>68</v>
      </c>
      <c r="E2684" s="1" t="s">
        <v>33</v>
      </c>
      <c r="F2684" s="1" t="s">
        <v>209</v>
      </c>
      <c r="G2684" s="5">
        <v>2.5099999999999998</v>
      </c>
    </row>
    <row r="2685" spans="1:7" x14ac:dyDescent="0.2">
      <c r="A2685" s="3">
        <v>490</v>
      </c>
      <c r="B2685" s="2">
        <v>210141.4</v>
      </c>
      <c r="C2685" s="38">
        <v>45084</v>
      </c>
      <c r="D2685" s="1" t="s">
        <v>73</v>
      </c>
      <c r="E2685" s="1" t="s">
        <v>33</v>
      </c>
      <c r="F2685" s="1" t="s">
        <v>209</v>
      </c>
      <c r="G2685" s="5">
        <v>428.86</v>
      </c>
    </row>
    <row r="2686" spans="1:7" x14ac:dyDescent="0.2">
      <c r="A2686" s="3">
        <v>140</v>
      </c>
      <c r="B2686" s="2">
        <v>60040.4</v>
      </c>
      <c r="C2686" s="38">
        <v>45084</v>
      </c>
      <c r="D2686" s="1" t="s">
        <v>73</v>
      </c>
      <c r="E2686" s="1" t="s">
        <v>33</v>
      </c>
      <c r="F2686" s="1" t="s">
        <v>209</v>
      </c>
      <c r="G2686" s="5">
        <v>428.86</v>
      </c>
    </row>
    <row r="2687" spans="1:7" x14ac:dyDescent="0.2">
      <c r="A2687" s="3">
        <v>159</v>
      </c>
      <c r="B2687" s="2">
        <v>17758.71</v>
      </c>
      <c r="C2687" s="38">
        <v>45084</v>
      </c>
      <c r="D2687" s="1" t="s">
        <v>168</v>
      </c>
      <c r="E2687" s="1" t="s">
        <v>33</v>
      </c>
      <c r="F2687" s="1" t="s">
        <v>209</v>
      </c>
      <c r="G2687" s="5">
        <v>111.69</v>
      </c>
    </row>
    <row r="2688" spans="1:7" x14ac:dyDescent="0.2">
      <c r="A2688" s="3">
        <v>160</v>
      </c>
      <c r="B2688" s="2">
        <v>17870.400000000001</v>
      </c>
      <c r="C2688" s="38">
        <v>45084</v>
      </c>
      <c r="D2688" s="1" t="s">
        <v>168</v>
      </c>
      <c r="E2688" s="1" t="s">
        <v>33</v>
      </c>
      <c r="F2688" s="1" t="s">
        <v>209</v>
      </c>
      <c r="G2688" s="5">
        <v>111.69</v>
      </c>
    </row>
    <row r="2689" spans="1:7" x14ac:dyDescent="0.2">
      <c r="A2689" s="3">
        <v>23</v>
      </c>
      <c r="B2689" s="2">
        <v>2568.87</v>
      </c>
      <c r="C2689" s="38">
        <v>45084</v>
      </c>
      <c r="D2689" s="1" t="s">
        <v>168</v>
      </c>
      <c r="E2689" s="1" t="s">
        <v>33</v>
      </c>
      <c r="F2689" s="1" t="s">
        <v>209</v>
      </c>
      <c r="G2689" s="5">
        <v>111.69</v>
      </c>
    </row>
    <row r="2690" spans="1:7" x14ac:dyDescent="0.2">
      <c r="A2690" s="3">
        <v>159</v>
      </c>
      <c r="B2690" s="2">
        <v>17758.71</v>
      </c>
      <c r="C2690" s="38">
        <v>45084</v>
      </c>
      <c r="D2690" s="1" t="s">
        <v>168</v>
      </c>
      <c r="E2690" s="1" t="s">
        <v>33</v>
      </c>
      <c r="F2690" s="1" t="s">
        <v>209</v>
      </c>
      <c r="G2690" s="5">
        <v>111.69</v>
      </c>
    </row>
    <row r="2691" spans="1:7" x14ac:dyDescent="0.2">
      <c r="A2691" s="3">
        <v>159</v>
      </c>
      <c r="B2691" s="2">
        <v>17758.71</v>
      </c>
      <c r="C2691" s="38">
        <v>45084</v>
      </c>
      <c r="D2691" s="1" t="s">
        <v>168</v>
      </c>
      <c r="E2691" s="1" t="s">
        <v>33</v>
      </c>
      <c r="F2691" s="1" t="s">
        <v>209</v>
      </c>
      <c r="G2691" s="5">
        <v>111.69</v>
      </c>
    </row>
    <row r="2692" spans="1:7" x14ac:dyDescent="0.2">
      <c r="A2692" s="3">
        <v>96</v>
      </c>
      <c r="B2692" s="2">
        <v>10722.24</v>
      </c>
      <c r="C2692" s="38">
        <v>45084</v>
      </c>
      <c r="D2692" s="1" t="s">
        <v>168</v>
      </c>
      <c r="E2692" s="1" t="s">
        <v>33</v>
      </c>
      <c r="F2692" s="1" t="s">
        <v>209</v>
      </c>
      <c r="G2692" s="5">
        <v>111.69</v>
      </c>
    </row>
    <row r="2693" spans="1:7" x14ac:dyDescent="0.2">
      <c r="A2693" s="3">
        <v>150</v>
      </c>
      <c r="B2693" s="2">
        <v>113901</v>
      </c>
      <c r="C2693" s="38">
        <v>45084</v>
      </c>
      <c r="D2693" s="1" t="s">
        <v>83</v>
      </c>
      <c r="E2693" s="1" t="s">
        <v>33</v>
      </c>
      <c r="F2693" s="1" t="s">
        <v>209</v>
      </c>
      <c r="G2693" s="5">
        <v>759.34</v>
      </c>
    </row>
    <row r="2694" spans="1:7" x14ac:dyDescent="0.2">
      <c r="A2694" s="3">
        <v>210</v>
      </c>
      <c r="B2694" s="2">
        <v>159461.4</v>
      </c>
      <c r="C2694" s="38">
        <v>45084</v>
      </c>
      <c r="D2694" s="1" t="s">
        <v>83</v>
      </c>
      <c r="E2694" s="1" t="s">
        <v>33</v>
      </c>
      <c r="F2694" s="1" t="s">
        <v>209</v>
      </c>
      <c r="G2694" s="5">
        <v>759.34</v>
      </c>
    </row>
    <row r="2695" spans="1:7" x14ac:dyDescent="0.2">
      <c r="A2695" s="3">
        <v>90</v>
      </c>
      <c r="B2695" s="2">
        <v>68340.600000000006</v>
      </c>
      <c r="C2695" s="38">
        <v>45084</v>
      </c>
      <c r="D2695" s="1" t="s">
        <v>83</v>
      </c>
      <c r="E2695" s="1" t="s">
        <v>33</v>
      </c>
      <c r="F2695" s="1" t="s">
        <v>209</v>
      </c>
      <c r="G2695" s="5">
        <v>759.34</v>
      </c>
    </row>
    <row r="2696" spans="1:7" x14ac:dyDescent="0.2">
      <c r="A2696" s="3">
        <v>60</v>
      </c>
      <c r="B2696" s="2">
        <v>45560.4</v>
      </c>
      <c r="C2696" s="38">
        <v>45084</v>
      </c>
      <c r="D2696" s="1" t="s">
        <v>83</v>
      </c>
      <c r="E2696" s="1" t="s">
        <v>33</v>
      </c>
      <c r="F2696" s="1" t="s">
        <v>209</v>
      </c>
      <c r="G2696" s="5">
        <v>759.34</v>
      </c>
    </row>
    <row r="2697" spans="1:7" x14ac:dyDescent="0.2">
      <c r="A2697" s="3">
        <v>270</v>
      </c>
      <c r="B2697" s="2">
        <v>205021.8</v>
      </c>
      <c r="C2697" s="38">
        <v>45084</v>
      </c>
      <c r="D2697" s="1" t="s">
        <v>83</v>
      </c>
      <c r="E2697" s="1" t="s">
        <v>33</v>
      </c>
      <c r="F2697" s="1" t="s">
        <v>209</v>
      </c>
      <c r="G2697" s="5">
        <v>759.34</v>
      </c>
    </row>
    <row r="2698" spans="1:7" x14ac:dyDescent="0.2">
      <c r="A2698" s="3">
        <v>210</v>
      </c>
      <c r="B2698" s="2">
        <v>159461.4</v>
      </c>
      <c r="C2698" s="38">
        <v>45084</v>
      </c>
      <c r="D2698" s="1" t="s">
        <v>83</v>
      </c>
      <c r="E2698" s="1" t="s">
        <v>33</v>
      </c>
      <c r="F2698" s="1" t="s">
        <v>209</v>
      </c>
      <c r="G2698" s="5">
        <v>759.34</v>
      </c>
    </row>
    <row r="2699" spans="1:7" x14ac:dyDescent="0.2">
      <c r="A2699" s="3">
        <v>120</v>
      </c>
      <c r="B2699" s="2">
        <v>91120.8</v>
      </c>
      <c r="C2699" s="38">
        <v>45084</v>
      </c>
      <c r="D2699" s="1" t="s">
        <v>83</v>
      </c>
      <c r="E2699" s="1" t="s">
        <v>33</v>
      </c>
      <c r="F2699" s="1" t="s">
        <v>209</v>
      </c>
      <c r="G2699" s="5">
        <v>759.34</v>
      </c>
    </row>
    <row r="2700" spans="1:7" x14ac:dyDescent="0.2">
      <c r="A2700" s="3">
        <v>180</v>
      </c>
      <c r="B2700" s="2">
        <v>136681.20000000001</v>
      </c>
      <c r="C2700" s="38">
        <v>45084</v>
      </c>
      <c r="D2700" s="1" t="s">
        <v>83</v>
      </c>
      <c r="E2700" s="1" t="s">
        <v>33</v>
      </c>
      <c r="F2700" s="1" t="s">
        <v>209</v>
      </c>
      <c r="G2700" s="5">
        <v>759.34</v>
      </c>
    </row>
    <row r="2701" spans="1:7" x14ac:dyDescent="0.2">
      <c r="A2701" s="3">
        <v>90</v>
      </c>
      <c r="B2701" s="2">
        <v>68340.600000000006</v>
      </c>
      <c r="C2701" s="38">
        <v>45084</v>
      </c>
      <c r="D2701" s="1" t="s">
        <v>83</v>
      </c>
      <c r="E2701" s="1" t="s">
        <v>33</v>
      </c>
      <c r="F2701" s="1" t="s">
        <v>209</v>
      </c>
      <c r="G2701" s="5">
        <v>759.34</v>
      </c>
    </row>
    <row r="2702" spans="1:7" x14ac:dyDescent="0.2">
      <c r="A2702" s="3">
        <v>60</v>
      </c>
      <c r="B2702" s="2">
        <v>45560.4</v>
      </c>
      <c r="C2702" s="38">
        <v>45084</v>
      </c>
      <c r="D2702" s="1" t="s">
        <v>83</v>
      </c>
      <c r="E2702" s="1" t="s">
        <v>33</v>
      </c>
      <c r="F2702" s="1" t="s">
        <v>209</v>
      </c>
      <c r="G2702" s="5">
        <v>759.34</v>
      </c>
    </row>
    <row r="2703" spans="1:7" x14ac:dyDescent="0.2">
      <c r="A2703" s="3">
        <v>60</v>
      </c>
      <c r="B2703" s="2">
        <v>45560.4</v>
      </c>
      <c r="C2703" s="38">
        <v>45084</v>
      </c>
      <c r="D2703" s="1" t="s">
        <v>83</v>
      </c>
      <c r="E2703" s="1" t="s">
        <v>33</v>
      </c>
      <c r="F2703" s="1" t="s">
        <v>209</v>
      </c>
      <c r="G2703" s="5">
        <v>759.34</v>
      </c>
    </row>
    <row r="2704" spans="1:7" x14ac:dyDescent="0.2">
      <c r="A2704" s="3">
        <v>60</v>
      </c>
      <c r="B2704" s="2">
        <v>45560.4</v>
      </c>
      <c r="C2704" s="38">
        <v>45084</v>
      </c>
      <c r="D2704" s="1" t="s">
        <v>83</v>
      </c>
      <c r="E2704" s="1" t="s">
        <v>33</v>
      </c>
      <c r="F2704" s="1" t="s">
        <v>209</v>
      </c>
      <c r="G2704" s="5">
        <v>759.34</v>
      </c>
    </row>
    <row r="2705" spans="1:7" x14ac:dyDescent="0.2">
      <c r="A2705" s="3">
        <v>143</v>
      </c>
      <c r="B2705" s="2">
        <v>25518.35</v>
      </c>
      <c r="C2705" s="38">
        <v>45084</v>
      </c>
      <c r="D2705" s="1" t="s">
        <v>118</v>
      </c>
      <c r="E2705" s="1" t="s">
        <v>33</v>
      </c>
      <c r="F2705" s="1" t="s">
        <v>209</v>
      </c>
      <c r="G2705" s="5">
        <v>178.45</v>
      </c>
    </row>
    <row r="2706" spans="1:7" x14ac:dyDescent="0.2">
      <c r="A2706" s="3">
        <v>107</v>
      </c>
      <c r="B2706" s="2">
        <v>19094.150000000001</v>
      </c>
      <c r="C2706" s="38">
        <v>45084</v>
      </c>
      <c r="D2706" s="1" t="s">
        <v>118</v>
      </c>
      <c r="E2706" s="1" t="s">
        <v>33</v>
      </c>
      <c r="F2706" s="1" t="s">
        <v>209</v>
      </c>
      <c r="G2706" s="5">
        <v>178.45</v>
      </c>
    </row>
    <row r="2707" spans="1:7" x14ac:dyDescent="0.2">
      <c r="A2707" s="3">
        <v>100</v>
      </c>
      <c r="B2707" s="2">
        <v>17845</v>
      </c>
      <c r="C2707" s="38">
        <v>45084</v>
      </c>
      <c r="D2707" s="1" t="s">
        <v>118</v>
      </c>
      <c r="E2707" s="1" t="s">
        <v>33</v>
      </c>
      <c r="F2707" s="1" t="s">
        <v>209</v>
      </c>
      <c r="G2707" s="5">
        <v>178.45</v>
      </c>
    </row>
    <row r="2708" spans="1:7" x14ac:dyDescent="0.2">
      <c r="A2708" s="3">
        <v>143</v>
      </c>
      <c r="B2708" s="2">
        <v>25518.35</v>
      </c>
      <c r="C2708" s="38">
        <v>45084</v>
      </c>
      <c r="D2708" s="1" t="s">
        <v>118</v>
      </c>
      <c r="E2708" s="1" t="s">
        <v>33</v>
      </c>
      <c r="F2708" s="1" t="s">
        <v>209</v>
      </c>
      <c r="G2708" s="5">
        <v>178.45</v>
      </c>
    </row>
    <row r="2709" spans="1:7" x14ac:dyDescent="0.2">
      <c r="A2709" s="3">
        <v>107</v>
      </c>
      <c r="B2709" s="2">
        <v>19094.150000000001</v>
      </c>
      <c r="C2709" s="38">
        <v>45084</v>
      </c>
      <c r="D2709" s="1" t="s">
        <v>118</v>
      </c>
      <c r="E2709" s="1" t="s">
        <v>33</v>
      </c>
      <c r="F2709" s="1" t="s">
        <v>209</v>
      </c>
      <c r="G2709" s="5">
        <v>178.45</v>
      </c>
    </row>
    <row r="2710" spans="1:7" x14ac:dyDescent="0.2">
      <c r="A2710" s="3">
        <v>143</v>
      </c>
      <c r="B2710" s="2">
        <v>25518.35</v>
      </c>
      <c r="C2710" s="38">
        <v>45084</v>
      </c>
      <c r="D2710" s="1" t="s">
        <v>118</v>
      </c>
      <c r="E2710" s="1" t="s">
        <v>33</v>
      </c>
      <c r="F2710" s="1" t="s">
        <v>209</v>
      </c>
      <c r="G2710" s="5">
        <v>178.45</v>
      </c>
    </row>
    <row r="2711" spans="1:7" x14ac:dyDescent="0.2">
      <c r="A2711" s="3">
        <v>143</v>
      </c>
      <c r="B2711" s="2">
        <v>25518.35</v>
      </c>
      <c r="C2711" s="38">
        <v>45084</v>
      </c>
      <c r="D2711" s="1" t="s">
        <v>118</v>
      </c>
      <c r="E2711" s="1" t="s">
        <v>33</v>
      </c>
      <c r="F2711" s="1" t="s">
        <v>209</v>
      </c>
      <c r="G2711" s="5">
        <v>178.45</v>
      </c>
    </row>
    <row r="2712" spans="1:7" x14ac:dyDescent="0.2">
      <c r="A2712" s="3">
        <v>145</v>
      </c>
      <c r="B2712" s="2">
        <v>25875.25</v>
      </c>
      <c r="C2712" s="38">
        <v>45084</v>
      </c>
      <c r="D2712" s="1" t="s">
        <v>118</v>
      </c>
      <c r="E2712" s="1" t="s">
        <v>33</v>
      </c>
      <c r="F2712" s="1" t="s">
        <v>209</v>
      </c>
      <c r="G2712" s="5">
        <v>178.45</v>
      </c>
    </row>
    <row r="2713" spans="1:7" x14ac:dyDescent="0.2">
      <c r="A2713" s="3">
        <v>143</v>
      </c>
      <c r="B2713" s="2">
        <v>25518.35</v>
      </c>
      <c r="C2713" s="38">
        <v>45084</v>
      </c>
      <c r="D2713" s="1" t="s">
        <v>118</v>
      </c>
      <c r="E2713" s="1" t="s">
        <v>33</v>
      </c>
      <c r="F2713" s="1" t="s">
        <v>209</v>
      </c>
      <c r="G2713" s="5">
        <v>178.45</v>
      </c>
    </row>
    <row r="2714" spans="1:7" x14ac:dyDescent="0.2">
      <c r="A2714" s="3">
        <v>143</v>
      </c>
      <c r="B2714" s="2">
        <v>25518.35</v>
      </c>
      <c r="C2714" s="38">
        <v>45084</v>
      </c>
      <c r="D2714" s="1" t="s">
        <v>118</v>
      </c>
      <c r="E2714" s="1" t="s">
        <v>33</v>
      </c>
      <c r="F2714" s="1" t="s">
        <v>209</v>
      </c>
      <c r="G2714" s="5">
        <v>178.45</v>
      </c>
    </row>
    <row r="2715" spans="1:7" x14ac:dyDescent="0.2">
      <c r="A2715" s="3">
        <v>107</v>
      </c>
      <c r="B2715" s="2">
        <v>19094.150000000001</v>
      </c>
      <c r="C2715" s="38">
        <v>45084</v>
      </c>
      <c r="D2715" s="1" t="s">
        <v>118</v>
      </c>
      <c r="E2715" s="1" t="s">
        <v>33</v>
      </c>
      <c r="F2715" s="1" t="s">
        <v>209</v>
      </c>
      <c r="G2715" s="5">
        <v>178.45</v>
      </c>
    </row>
    <row r="2716" spans="1:7" x14ac:dyDescent="0.2">
      <c r="A2716" s="3">
        <v>107</v>
      </c>
      <c r="B2716" s="2">
        <v>19094.150000000001</v>
      </c>
      <c r="C2716" s="38">
        <v>45084</v>
      </c>
      <c r="D2716" s="1" t="s">
        <v>118</v>
      </c>
      <c r="E2716" s="1" t="s">
        <v>33</v>
      </c>
      <c r="F2716" s="1" t="s">
        <v>209</v>
      </c>
      <c r="G2716" s="5">
        <v>178.45</v>
      </c>
    </row>
    <row r="2717" spans="1:7" x14ac:dyDescent="0.2">
      <c r="A2717" s="3">
        <v>107</v>
      </c>
      <c r="B2717" s="2">
        <v>19094.150000000001</v>
      </c>
      <c r="C2717" s="38">
        <v>45084</v>
      </c>
      <c r="D2717" s="1" t="s">
        <v>118</v>
      </c>
      <c r="E2717" s="1" t="s">
        <v>33</v>
      </c>
      <c r="F2717" s="1" t="s">
        <v>209</v>
      </c>
      <c r="G2717" s="5">
        <v>178.45</v>
      </c>
    </row>
    <row r="2718" spans="1:7" x14ac:dyDescent="0.2">
      <c r="A2718" s="3">
        <v>30</v>
      </c>
      <c r="B2718" s="2">
        <v>5353.5</v>
      </c>
      <c r="C2718" s="38">
        <v>45084</v>
      </c>
      <c r="D2718" s="1" t="s">
        <v>118</v>
      </c>
      <c r="E2718" s="1" t="s">
        <v>33</v>
      </c>
      <c r="F2718" s="1" t="s">
        <v>209</v>
      </c>
      <c r="G2718" s="5">
        <v>178.45</v>
      </c>
    </row>
    <row r="2719" spans="1:7" x14ac:dyDescent="0.2">
      <c r="A2719" s="3">
        <v>104</v>
      </c>
      <c r="B2719" s="2">
        <v>18558.8</v>
      </c>
      <c r="C2719" s="38">
        <v>45084</v>
      </c>
      <c r="D2719" s="1" t="s">
        <v>118</v>
      </c>
      <c r="E2719" s="1" t="s">
        <v>33</v>
      </c>
      <c r="F2719" s="1" t="s">
        <v>209</v>
      </c>
      <c r="G2719" s="5">
        <v>178.45</v>
      </c>
    </row>
    <row r="2720" spans="1:7" x14ac:dyDescent="0.2">
      <c r="A2720" s="3">
        <v>20</v>
      </c>
      <c r="B2720" s="2">
        <v>3569</v>
      </c>
      <c r="C2720" s="38">
        <v>45084</v>
      </c>
      <c r="D2720" s="1" t="s">
        <v>118</v>
      </c>
      <c r="E2720" s="1" t="s">
        <v>33</v>
      </c>
      <c r="F2720" s="1" t="s">
        <v>209</v>
      </c>
      <c r="G2720" s="5">
        <v>178.45</v>
      </c>
    </row>
    <row r="2721" spans="1:7" x14ac:dyDescent="0.2">
      <c r="A2721" s="3">
        <v>107</v>
      </c>
      <c r="B2721" s="2">
        <v>19094.150000000001</v>
      </c>
      <c r="C2721" s="38">
        <v>45084</v>
      </c>
      <c r="D2721" s="1" t="s">
        <v>118</v>
      </c>
      <c r="E2721" s="1" t="s">
        <v>33</v>
      </c>
      <c r="F2721" s="1" t="s">
        <v>209</v>
      </c>
      <c r="G2721" s="5">
        <v>178.45</v>
      </c>
    </row>
    <row r="2722" spans="1:7" x14ac:dyDescent="0.2">
      <c r="A2722" s="3">
        <v>108</v>
      </c>
      <c r="B2722" s="2">
        <v>19272.599999999999</v>
      </c>
      <c r="C2722" s="38">
        <v>45084</v>
      </c>
      <c r="D2722" s="1" t="s">
        <v>118</v>
      </c>
      <c r="E2722" s="1" t="s">
        <v>33</v>
      </c>
      <c r="F2722" s="1" t="s">
        <v>209</v>
      </c>
      <c r="G2722" s="5">
        <v>178.45</v>
      </c>
    </row>
    <row r="2723" spans="1:7" x14ac:dyDescent="0.2">
      <c r="A2723" s="3">
        <v>88</v>
      </c>
      <c r="B2723" s="2">
        <v>15703.6</v>
      </c>
      <c r="C2723" s="38">
        <v>45084</v>
      </c>
      <c r="D2723" s="1" t="s">
        <v>118</v>
      </c>
      <c r="E2723" s="1" t="s">
        <v>33</v>
      </c>
      <c r="F2723" s="1" t="s">
        <v>209</v>
      </c>
      <c r="G2723" s="5">
        <v>178.45</v>
      </c>
    </row>
    <row r="2724" spans="1:7" x14ac:dyDescent="0.2">
      <c r="A2724" s="3">
        <v>8</v>
      </c>
      <c r="B2724" s="2">
        <v>1427.6</v>
      </c>
      <c r="C2724" s="38">
        <v>45084</v>
      </c>
      <c r="D2724" s="1" t="s">
        <v>118</v>
      </c>
      <c r="E2724" s="1" t="s">
        <v>33</v>
      </c>
      <c r="F2724" s="1" t="s">
        <v>209</v>
      </c>
      <c r="G2724" s="5">
        <v>178.45</v>
      </c>
    </row>
    <row r="2725" spans="1:7" x14ac:dyDescent="0.2">
      <c r="A2725" s="3">
        <v>135</v>
      </c>
      <c r="B2725" s="2">
        <v>24090.75</v>
      </c>
      <c r="C2725" s="38">
        <v>45084</v>
      </c>
      <c r="D2725" s="1" t="s">
        <v>118</v>
      </c>
      <c r="E2725" s="1" t="s">
        <v>33</v>
      </c>
      <c r="F2725" s="1" t="s">
        <v>209</v>
      </c>
      <c r="G2725" s="5">
        <v>178.45</v>
      </c>
    </row>
    <row r="2726" spans="1:7" x14ac:dyDescent="0.2">
      <c r="A2726" s="3">
        <v>143</v>
      </c>
      <c r="B2726" s="2">
        <v>25518.35</v>
      </c>
      <c r="C2726" s="38">
        <v>45084</v>
      </c>
      <c r="D2726" s="1" t="s">
        <v>118</v>
      </c>
      <c r="E2726" s="1" t="s">
        <v>33</v>
      </c>
      <c r="F2726" s="1" t="s">
        <v>209</v>
      </c>
      <c r="G2726" s="5">
        <v>178.45</v>
      </c>
    </row>
    <row r="2727" spans="1:7" x14ac:dyDescent="0.2">
      <c r="A2727" s="3">
        <v>91</v>
      </c>
      <c r="B2727" s="2">
        <v>16238.95</v>
      </c>
      <c r="C2727" s="38">
        <v>45084</v>
      </c>
      <c r="D2727" s="1" t="s">
        <v>118</v>
      </c>
      <c r="E2727" s="1" t="s">
        <v>33</v>
      </c>
      <c r="F2727" s="1" t="s">
        <v>209</v>
      </c>
      <c r="G2727" s="5">
        <v>178.45</v>
      </c>
    </row>
    <row r="2728" spans="1:7" x14ac:dyDescent="0.2">
      <c r="A2728" s="3">
        <v>41</v>
      </c>
      <c r="B2728" s="2">
        <v>7316.45</v>
      </c>
      <c r="C2728" s="38">
        <v>45084</v>
      </c>
      <c r="D2728" s="1" t="s">
        <v>118</v>
      </c>
      <c r="E2728" s="1" t="s">
        <v>33</v>
      </c>
      <c r="F2728" s="1" t="s">
        <v>209</v>
      </c>
      <c r="G2728" s="5">
        <v>178.45</v>
      </c>
    </row>
    <row r="2729" spans="1:7" x14ac:dyDescent="0.2">
      <c r="A2729" s="3">
        <v>39</v>
      </c>
      <c r="B2729" s="2">
        <v>2724.15</v>
      </c>
      <c r="C2729" s="38">
        <v>45084</v>
      </c>
      <c r="D2729" s="1" t="s">
        <v>119</v>
      </c>
      <c r="E2729" s="1" t="s">
        <v>33</v>
      </c>
      <c r="F2729" s="1" t="s">
        <v>209</v>
      </c>
      <c r="G2729" s="5">
        <v>69.849999999999994</v>
      </c>
    </row>
    <row r="2730" spans="1:7" x14ac:dyDescent="0.2">
      <c r="A2730" s="3">
        <v>26</v>
      </c>
      <c r="B2730" s="2">
        <v>1816.1</v>
      </c>
      <c r="C2730" s="38">
        <v>45084</v>
      </c>
      <c r="D2730" s="1" t="s">
        <v>119</v>
      </c>
      <c r="E2730" s="1" t="s">
        <v>33</v>
      </c>
      <c r="F2730" s="1" t="s">
        <v>209</v>
      </c>
      <c r="G2730" s="5">
        <v>69.849999999999994</v>
      </c>
    </row>
    <row r="2731" spans="1:7" x14ac:dyDescent="0.2">
      <c r="A2731" s="3">
        <v>399</v>
      </c>
      <c r="B2731" s="2">
        <v>27870.15</v>
      </c>
      <c r="C2731" s="38">
        <v>45084</v>
      </c>
      <c r="D2731" s="1" t="s">
        <v>119</v>
      </c>
      <c r="E2731" s="1" t="s">
        <v>33</v>
      </c>
      <c r="F2731" s="1" t="s">
        <v>209</v>
      </c>
      <c r="G2731" s="5">
        <v>69.849999999999994</v>
      </c>
    </row>
    <row r="2732" spans="1:7" x14ac:dyDescent="0.2">
      <c r="A2732" s="3">
        <v>453</v>
      </c>
      <c r="B2732" s="2">
        <v>31642.05</v>
      </c>
      <c r="C2732" s="38">
        <v>45084</v>
      </c>
      <c r="D2732" s="1" t="s">
        <v>119</v>
      </c>
      <c r="E2732" s="1" t="s">
        <v>33</v>
      </c>
      <c r="F2732" s="1" t="s">
        <v>209</v>
      </c>
      <c r="G2732" s="5">
        <v>69.849999999999994</v>
      </c>
    </row>
    <row r="2733" spans="1:7" x14ac:dyDescent="0.2">
      <c r="A2733" s="3">
        <v>75</v>
      </c>
      <c r="B2733" s="2">
        <v>64302.75</v>
      </c>
      <c r="C2733" s="38">
        <v>45084</v>
      </c>
      <c r="D2733" s="1" t="s">
        <v>85</v>
      </c>
      <c r="E2733" s="1" t="s">
        <v>33</v>
      </c>
      <c r="F2733" s="1" t="s">
        <v>209</v>
      </c>
      <c r="G2733" s="5">
        <v>857.37</v>
      </c>
    </row>
    <row r="2734" spans="1:7" x14ac:dyDescent="0.2">
      <c r="A2734" s="3">
        <v>105</v>
      </c>
      <c r="B2734" s="2">
        <v>90023.85</v>
      </c>
      <c r="C2734" s="38">
        <v>45084</v>
      </c>
      <c r="D2734" s="1" t="s">
        <v>85</v>
      </c>
      <c r="E2734" s="1" t="s">
        <v>33</v>
      </c>
      <c r="F2734" s="1" t="s">
        <v>209</v>
      </c>
      <c r="G2734" s="5">
        <v>857.37</v>
      </c>
    </row>
    <row r="2735" spans="1:7" x14ac:dyDescent="0.2">
      <c r="A2735" s="3">
        <v>225</v>
      </c>
      <c r="B2735" s="2">
        <v>192908.25</v>
      </c>
      <c r="C2735" s="38">
        <v>45084</v>
      </c>
      <c r="D2735" s="1" t="s">
        <v>85</v>
      </c>
      <c r="E2735" s="1" t="s">
        <v>33</v>
      </c>
      <c r="F2735" s="1" t="s">
        <v>209</v>
      </c>
      <c r="G2735" s="5">
        <v>857.37</v>
      </c>
    </row>
    <row r="2736" spans="1:7" x14ac:dyDescent="0.2">
      <c r="A2736" s="3">
        <v>60</v>
      </c>
      <c r="B2736" s="2">
        <v>51442.2</v>
      </c>
      <c r="C2736" s="38">
        <v>45084</v>
      </c>
      <c r="D2736" s="1" t="s">
        <v>85</v>
      </c>
      <c r="E2736" s="1" t="s">
        <v>33</v>
      </c>
      <c r="F2736" s="1" t="s">
        <v>209</v>
      </c>
      <c r="G2736" s="5">
        <v>857.37</v>
      </c>
    </row>
    <row r="2737" spans="1:7" x14ac:dyDescent="0.2">
      <c r="A2737" s="3">
        <v>108</v>
      </c>
      <c r="B2737" s="2">
        <v>11654.28</v>
      </c>
      <c r="C2737" s="38">
        <v>45107</v>
      </c>
      <c r="D2737" s="1" t="s">
        <v>55</v>
      </c>
      <c r="E2737" s="1" t="s">
        <v>33</v>
      </c>
      <c r="F2737" s="1" t="s">
        <v>209</v>
      </c>
      <c r="G2737" s="5">
        <v>107.91</v>
      </c>
    </row>
    <row r="2738" spans="1:7" x14ac:dyDescent="0.2">
      <c r="A2738" s="3">
        <v>108</v>
      </c>
      <c r="B2738" s="2">
        <v>11654.28</v>
      </c>
      <c r="C2738" s="38">
        <v>45107</v>
      </c>
      <c r="D2738" s="1" t="s">
        <v>55</v>
      </c>
      <c r="E2738" s="1" t="s">
        <v>33</v>
      </c>
      <c r="F2738" s="1" t="s">
        <v>209</v>
      </c>
      <c r="G2738" s="5">
        <v>107.91</v>
      </c>
    </row>
    <row r="2739" spans="1:7" x14ac:dyDescent="0.2">
      <c r="A2739" s="3">
        <v>540</v>
      </c>
      <c r="B2739" s="2">
        <v>58271.4</v>
      </c>
      <c r="C2739" s="38">
        <v>45107</v>
      </c>
      <c r="D2739" s="1" t="s">
        <v>55</v>
      </c>
      <c r="E2739" s="1" t="s">
        <v>33</v>
      </c>
      <c r="F2739" s="1" t="s">
        <v>209</v>
      </c>
      <c r="G2739" s="5">
        <v>107.91</v>
      </c>
    </row>
    <row r="2740" spans="1:7" x14ac:dyDescent="0.2">
      <c r="A2740" s="3">
        <v>648</v>
      </c>
      <c r="B2740" s="2">
        <v>69925.679999999993</v>
      </c>
      <c r="C2740" s="38">
        <v>45107</v>
      </c>
      <c r="D2740" s="1" t="s">
        <v>55</v>
      </c>
      <c r="E2740" s="1" t="s">
        <v>33</v>
      </c>
      <c r="F2740" s="1" t="s">
        <v>209</v>
      </c>
      <c r="G2740" s="5">
        <v>107.91</v>
      </c>
    </row>
    <row r="2741" spans="1:7" x14ac:dyDescent="0.2">
      <c r="A2741" s="3">
        <v>108</v>
      </c>
      <c r="B2741" s="2">
        <v>11654.28</v>
      </c>
      <c r="C2741" s="38">
        <v>45107</v>
      </c>
      <c r="D2741" s="1" t="s">
        <v>55</v>
      </c>
      <c r="E2741" s="1" t="s">
        <v>33</v>
      </c>
      <c r="F2741" s="1" t="s">
        <v>209</v>
      </c>
      <c r="G2741" s="5">
        <v>107.91</v>
      </c>
    </row>
    <row r="2742" spans="1:7" x14ac:dyDescent="0.2">
      <c r="A2742" s="3">
        <v>108</v>
      </c>
      <c r="B2742" s="2">
        <v>11654.28</v>
      </c>
      <c r="C2742" s="38">
        <v>45107</v>
      </c>
      <c r="D2742" s="1" t="s">
        <v>55</v>
      </c>
      <c r="E2742" s="1" t="s">
        <v>33</v>
      </c>
      <c r="F2742" s="1" t="s">
        <v>209</v>
      </c>
      <c r="G2742" s="5">
        <v>107.91</v>
      </c>
    </row>
    <row r="2743" spans="1:7" x14ac:dyDescent="0.2">
      <c r="A2743" s="3">
        <v>324</v>
      </c>
      <c r="B2743" s="2">
        <v>34962.839999999997</v>
      </c>
      <c r="C2743" s="38">
        <v>45107</v>
      </c>
      <c r="D2743" s="1" t="s">
        <v>55</v>
      </c>
      <c r="E2743" s="1" t="s">
        <v>33</v>
      </c>
      <c r="F2743" s="1" t="s">
        <v>209</v>
      </c>
      <c r="G2743" s="5">
        <v>107.91</v>
      </c>
    </row>
    <row r="2744" spans="1:7" x14ac:dyDescent="0.2">
      <c r="A2744" s="3">
        <v>216</v>
      </c>
      <c r="B2744" s="2">
        <v>23308.560000000001</v>
      </c>
      <c r="C2744" s="38">
        <v>45107</v>
      </c>
      <c r="D2744" s="1" t="s">
        <v>55</v>
      </c>
      <c r="E2744" s="1" t="s">
        <v>33</v>
      </c>
      <c r="F2744" s="1" t="s">
        <v>209</v>
      </c>
      <c r="G2744" s="5">
        <v>107.91</v>
      </c>
    </row>
    <row r="2745" spans="1:7" x14ac:dyDescent="0.2">
      <c r="A2745" s="3">
        <v>1296</v>
      </c>
      <c r="B2745" s="2">
        <v>139851.35999999999</v>
      </c>
      <c r="C2745" s="38">
        <v>45107</v>
      </c>
      <c r="D2745" s="1" t="s">
        <v>55</v>
      </c>
      <c r="E2745" s="1" t="s">
        <v>33</v>
      </c>
      <c r="F2745" s="1" t="s">
        <v>209</v>
      </c>
      <c r="G2745" s="5">
        <v>107.91</v>
      </c>
    </row>
    <row r="2746" spans="1:7" x14ac:dyDescent="0.2">
      <c r="A2746" s="3">
        <v>4320</v>
      </c>
      <c r="B2746" s="2">
        <v>466171.2</v>
      </c>
      <c r="C2746" s="38">
        <v>45107</v>
      </c>
      <c r="D2746" s="1" t="s">
        <v>55</v>
      </c>
      <c r="E2746" s="1" t="s">
        <v>33</v>
      </c>
      <c r="F2746" s="1" t="s">
        <v>209</v>
      </c>
      <c r="G2746" s="5">
        <v>107.91</v>
      </c>
    </row>
    <row r="2747" spans="1:7" x14ac:dyDescent="0.2">
      <c r="A2747" s="3">
        <v>189</v>
      </c>
      <c r="B2747" s="2">
        <v>85184.19</v>
      </c>
      <c r="C2747" s="38">
        <v>45107</v>
      </c>
      <c r="D2747" s="1" t="s">
        <v>58</v>
      </c>
      <c r="E2747" s="1" t="s">
        <v>33</v>
      </c>
      <c r="F2747" s="1" t="s">
        <v>209</v>
      </c>
      <c r="G2747" s="5">
        <v>450.71</v>
      </c>
    </row>
    <row r="2748" spans="1:7" x14ac:dyDescent="0.2">
      <c r="A2748" s="3">
        <v>38</v>
      </c>
      <c r="B2748" s="2">
        <v>17126.98</v>
      </c>
      <c r="C2748" s="38">
        <v>45107</v>
      </c>
      <c r="D2748" s="1" t="s">
        <v>58</v>
      </c>
      <c r="E2748" s="1" t="s">
        <v>33</v>
      </c>
      <c r="F2748" s="1" t="s">
        <v>209</v>
      </c>
      <c r="G2748" s="5">
        <v>450.71</v>
      </c>
    </row>
    <row r="2749" spans="1:7" x14ac:dyDescent="0.2">
      <c r="A2749" s="3">
        <v>120</v>
      </c>
      <c r="B2749" s="2">
        <v>54085.2</v>
      </c>
      <c r="C2749" s="38">
        <v>45107</v>
      </c>
      <c r="D2749" s="1" t="s">
        <v>58</v>
      </c>
      <c r="E2749" s="1" t="s">
        <v>33</v>
      </c>
      <c r="F2749" s="1" t="s">
        <v>209</v>
      </c>
      <c r="G2749" s="5">
        <v>450.71</v>
      </c>
    </row>
    <row r="2750" spans="1:7" x14ac:dyDescent="0.2">
      <c r="A2750" s="3">
        <v>120</v>
      </c>
      <c r="B2750" s="2">
        <v>54085.2</v>
      </c>
      <c r="C2750" s="38">
        <v>45107</v>
      </c>
      <c r="D2750" s="1" t="s">
        <v>58</v>
      </c>
      <c r="E2750" s="1" t="s">
        <v>33</v>
      </c>
      <c r="F2750" s="1" t="s">
        <v>209</v>
      </c>
      <c r="G2750" s="5">
        <v>450.71</v>
      </c>
    </row>
    <row r="2751" spans="1:7" x14ac:dyDescent="0.2">
      <c r="A2751" s="3">
        <v>240</v>
      </c>
      <c r="B2751" s="2">
        <v>108170.4</v>
      </c>
      <c r="C2751" s="38">
        <v>45107</v>
      </c>
      <c r="D2751" s="1" t="s">
        <v>58</v>
      </c>
      <c r="E2751" s="1" t="s">
        <v>33</v>
      </c>
      <c r="F2751" s="1" t="s">
        <v>209</v>
      </c>
      <c r="G2751" s="5">
        <v>450.71</v>
      </c>
    </row>
    <row r="2752" spans="1:7" x14ac:dyDescent="0.2">
      <c r="A2752" s="3">
        <v>120</v>
      </c>
      <c r="B2752" s="2">
        <v>54085.2</v>
      </c>
      <c r="C2752" s="38">
        <v>45107</v>
      </c>
      <c r="D2752" s="1" t="s">
        <v>58</v>
      </c>
      <c r="E2752" s="1" t="s">
        <v>33</v>
      </c>
      <c r="F2752" s="1" t="s">
        <v>209</v>
      </c>
      <c r="G2752" s="5">
        <v>450.71</v>
      </c>
    </row>
    <row r="2753" spans="1:7" x14ac:dyDescent="0.2">
      <c r="A2753" s="3">
        <v>120</v>
      </c>
      <c r="B2753" s="2">
        <v>54085.2</v>
      </c>
      <c r="C2753" s="38">
        <v>45107</v>
      </c>
      <c r="D2753" s="1" t="s">
        <v>58</v>
      </c>
      <c r="E2753" s="1" t="s">
        <v>33</v>
      </c>
      <c r="F2753" s="1" t="s">
        <v>209</v>
      </c>
      <c r="G2753" s="5">
        <v>450.71</v>
      </c>
    </row>
    <row r="2754" spans="1:7" x14ac:dyDescent="0.2">
      <c r="A2754" s="3">
        <v>102</v>
      </c>
      <c r="B2754" s="2">
        <v>45972.42</v>
      </c>
      <c r="C2754" s="38">
        <v>45107</v>
      </c>
      <c r="D2754" s="1" t="s">
        <v>58</v>
      </c>
      <c r="E2754" s="1" t="s">
        <v>33</v>
      </c>
      <c r="F2754" s="1" t="s">
        <v>209</v>
      </c>
      <c r="G2754" s="5">
        <v>450.71</v>
      </c>
    </row>
    <row r="2755" spans="1:7" x14ac:dyDescent="0.2">
      <c r="A2755" s="3">
        <v>18</v>
      </c>
      <c r="B2755" s="2">
        <v>8112.78</v>
      </c>
      <c r="C2755" s="38">
        <v>45107</v>
      </c>
      <c r="D2755" s="1" t="s">
        <v>58</v>
      </c>
      <c r="E2755" s="1" t="s">
        <v>33</v>
      </c>
      <c r="F2755" s="1" t="s">
        <v>209</v>
      </c>
      <c r="G2755" s="5">
        <v>450.71</v>
      </c>
    </row>
    <row r="2756" spans="1:7" x14ac:dyDescent="0.2">
      <c r="A2756" s="3">
        <v>47</v>
      </c>
      <c r="B2756" s="2">
        <v>21183.37</v>
      </c>
      <c r="C2756" s="38">
        <v>45107</v>
      </c>
      <c r="D2756" s="1" t="s">
        <v>58</v>
      </c>
      <c r="E2756" s="1" t="s">
        <v>33</v>
      </c>
      <c r="F2756" s="1" t="s">
        <v>209</v>
      </c>
      <c r="G2756" s="5">
        <v>450.71</v>
      </c>
    </row>
    <row r="2757" spans="1:7" x14ac:dyDescent="0.2">
      <c r="A2757" s="3">
        <v>193</v>
      </c>
      <c r="B2757" s="2">
        <v>86987.03</v>
      </c>
      <c r="C2757" s="38">
        <v>45107</v>
      </c>
      <c r="D2757" s="1" t="s">
        <v>58</v>
      </c>
      <c r="E2757" s="1" t="s">
        <v>33</v>
      </c>
      <c r="F2757" s="1" t="s">
        <v>209</v>
      </c>
      <c r="G2757" s="5">
        <v>450.71</v>
      </c>
    </row>
    <row r="2758" spans="1:7" x14ac:dyDescent="0.2">
      <c r="A2758" s="3">
        <v>252</v>
      </c>
      <c r="B2758" s="2">
        <v>21606.48</v>
      </c>
      <c r="C2758" s="38">
        <v>45107</v>
      </c>
      <c r="D2758" s="1" t="s">
        <v>61</v>
      </c>
      <c r="E2758" s="1" t="s">
        <v>33</v>
      </c>
      <c r="F2758" s="1" t="s">
        <v>209</v>
      </c>
      <c r="G2758" s="5">
        <v>85.74</v>
      </c>
    </row>
    <row r="2759" spans="1:7" x14ac:dyDescent="0.2">
      <c r="A2759" s="3">
        <v>252</v>
      </c>
      <c r="B2759" s="2">
        <v>21606.48</v>
      </c>
      <c r="C2759" s="38">
        <v>45107</v>
      </c>
      <c r="D2759" s="1" t="s">
        <v>61</v>
      </c>
      <c r="E2759" s="1" t="s">
        <v>33</v>
      </c>
      <c r="F2759" s="1" t="s">
        <v>209</v>
      </c>
      <c r="G2759" s="5">
        <v>85.74</v>
      </c>
    </row>
    <row r="2760" spans="1:7" x14ac:dyDescent="0.2">
      <c r="A2760" s="3">
        <v>252</v>
      </c>
      <c r="B2760" s="2">
        <v>21606.48</v>
      </c>
      <c r="C2760" s="38">
        <v>45107</v>
      </c>
      <c r="D2760" s="1" t="s">
        <v>61</v>
      </c>
      <c r="E2760" s="1" t="s">
        <v>33</v>
      </c>
      <c r="F2760" s="1" t="s">
        <v>209</v>
      </c>
      <c r="G2760" s="5">
        <v>85.74</v>
      </c>
    </row>
    <row r="2761" spans="1:7" x14ac:dyDescent="0.2">
      <c r="A2761" s="3">
        <v>252</v>
      </c>
      <c r="B2761" s="2">
        <v>21606.48</v>
      </c>
      <c r="C2761" s="38">
        <v>45107</v>
      </c>
      <c r="D2761" s="1" t="s">
        <v>61</v>
      </c>
      <c r="E2761" s="1" t="s">
        <v>33</v>
      </c>
      <c r="F2761" s="1" t="s">
        <v>209</v>
      </c>
      <c r="G2761" s="5">
        <v>85.74</v>
      </c>
    </row>
    <row r="2762" spans="1:7" x14ac:dyDescent="0.2">
      <c r="A2762" s="3">
        <v>252</v>
      </c>
      <c r="B2762" s="2">
        <v>21606.48</v>
      </c>
      <c r="C2762" s="38">
        <v>45107</v>
      </c>
      <c r="D2762" s="1" t="s">
        <v>61</v>
      </c>
      <c r="E2762" s="1" t="s">
        <v>33</v>
      </c>
      <c r="F2762" s="1" t="s">
        <v>209</v>
      </c>
      <c r="G2762" s="5">
        <v>85.74</v>
      </c>
    </row>
    <row r="2763" spans="1:7" x14ac:dyDescent="0.2">
      <c r="A2763" s="3">
        <v>252</v>
      </c>
      <c r="B2763" s="2">
        <v>21606.48</v>
      </c>
      <c r="C2763" s="38">
        <v>45107</v>
      </c>
      <c r="D2763" s="1" t="s">
        <v>61</v>
      </c>
      <c r="E2763" s="1" t="s">
        <v>33</v>
      </c>
      <c r="F2763" s="1" t="s">
        <v>209</v>
      </c>
      <c r="G2763" s="5">
        <v>85.74</v>
      </c>
    </row>
    <row r="2764" spans="1:7" x14ac:dyDescent="0.2">
      <c r="A2764" s="3">
        <v>252</v>
      </c>
      <c r="B2764" s="2">
        <v>21606.48</v>
      </c>
      <c r="C2764" s="38">
        <v>45107</v>
      </c>
      <c r="D2764" s="1" t="s">
        <v>61</v>
      </c>
      <c r="E2764" s="1" t="s">
        <v>33</v>
      </c>
      <c r="F2764" s="1" t="s">
        <v>209</v>
      </c>
      <c r="G2764" s="5">
        <v>85.74</v>
      </c>
    </row>
    <row r="2765" spans="1:7" x14ac:dyDescent="0.2">
      <c r="A2765" s="3">
        <v>252</v>
      </c>
      <c r="B2765" s="2">
        <v>21606.48</v>
      </c>
      <c r="C2765" s="38">
        <v>45107</v>
      </c>
      <c r="D2765" s="1" t="s">
        <v>61</v>
      </c>
      <c r="E2765" s="1" t="s">
        <v>33</v>
      </c>
      <c r="F2765" s="1" t="s">
        <v>209</v>
      </c>
      <c r="G2765" s="5">
        <v>85.74</v>
      </c>
    </row>
    <row r="2766" spans="1:7" x14ac:dyDescent="0.2">
      <c r="A2766" s="3">
        <v>252</v>
      </c>
      <c r="B2766" s="2">
        <v>21606.48</v>
      </c>
      <c r="C2766" s="38">
        <v>45107</v>
      </c>
      <c r="D2766" s="1" t="s">
        <v>61</v>
      </c>
      <c r="E2766" s="1" t="s">
        <v>33</v>
      </c>
      <c r="F2766" s="1" t="s">
        <v>209</v>
      </c>
      <c r="G2766" s="5">
        <v>85.74</v>
      </c>
    </row>
    <row r="2767" spans="1:7" x14ac:dyDescent="0.2">
      <c r="A2767" s="3">
        <v>252</v>
      </c>
      <c r="B2767" s="2">
        <v>21606.48</v>
      </c>
      <c r="C2767" s="38">
        <v>45107</v>
      </c>
      <c r="D2767" s="1" t="s">
        <v>61</v>
      </c>
      <c r="E2767" s="1" t="s">
        <v>33</v>
      </c>
      <c r="F2767" s="1" t="s">
        <v>209</v>
      </c>
      <c r="G2767" s="5">
        <v>85.74</v>
      </c>
    </row>
    <row r="2768" spans="1:7" x14ac:dyDescent="0.2">
      <c r="A2768" s="3">
        <v>600</v>
      </c>
      <c r="B2768" s="2">
        <v>263370</v>
      </c>
      <c r="C2768" s="38">
        <v>45107</v>
      </c>
      <c r="D2768" s="1" t="s">
        <v>66</v>
      </c>
      <c r="E2768" s="1" t="s">
        <v>33</v>
      </c>
      <c r="F2768" s="1" t="s">
        <v>209</v>
      </c>
      <c r="G2768" s="5">
        <v>438.95</v>
      </c>
    </row>
    <row r="2769" spans="1:7" x14ac:dyDescent="0.2">
      <c r="A2769" s="3">
        <v>90</v>
      </c>
      <c r="B2769" s="2">
        <v>39505.5</v>
      </c>
      <c r="C2769" s="38">
        <v>45107</v>
      </c>
      <c r="D2769" s="1" t="s">
        <v>66</v>
      </c>
      <c r="E2769" s="1" t="s">
        <v>33</v>
      </c>
      <c r="F2769" s="1" t="s">
        <v>209</v>
      </c>
      <c r="G2769" s="5">
        <v>438.95</v>
      </c>
    </row>
    <row r="2770" spans="1:7" x14ac:dyDescent="0.2">
      <c r="A2770" s="3">
        <v>270</v>
      </c>
      <c r="B2770" s="2">
        <v>118516.5</v>
      </c>
      <c r="C2770" s="38">
        <v>45107</v>
      </c>
      <c r="D2770" s="1" t="s">
        <v>66</v>
      </c>
      <c r="E2770" s="1" t="s">
        <v>33</v>
      </c>
      <c r="F2770" s="1" t="s">
        <v>209</v>
      </c>
      <c r="G2770" s="5">
        <v>438.95</v>
      </c>
    </row>
    <row r="2771" spans="1:7" x14ac:dyDescent="0.2">
      <c r="A2771" s="3">
        <v>240</v>
      </c>
      <c r="B2771" s="2">
        <v>105348</v>
      </c>
      <c r="C2771" s="38">
        <v>45107</v>
      </c>
      <c r="D2771" s="1" t="s">
        <v>66</v>
      </c>
      <c r="E2771" s="1" t="s">
        <v>33</v>
      </c>
      <c r="F2771" s="1" t="s">
        <v>209</v>
      </c>
      <c r="G2771" s="5">
        <v>438.95</v>
      </c>
    </row>
    <row r="2772" spans="1:7" x14ac:dyDescent="0.2">
      <c r="A2772" s="3">
        <v>768</v>
      </c>
      <c r="B2772" s="2">
        <v>116090.88</v>
      </c>
      <c r="C2772" s="38">
        <v>45107</v>
      </c>
      <c r="D2772" s="1" t="s">
        <v>174</v>
      </c>
      <c r="E2772" s="1" t="s">
        <v>33</v>
      </c>
      <c r="F2772" s="1" t="s">
        <v>209</v>
      </c>
      <c r="G2772" s="5">
        <v>151.16</v>
      </c>
    </row>
    <row r="2773" spans="1:7" x14ac:dyDescent="0.2">
      <c r="A2773" s="3">
        <v>144</v>
      </c>
      <c r="B2773" s="2">
        <v>29975.040000000001</v>
      </c>
      <c r="C2773" s="38">
        <v>45107</v>
      </c>
      <c r="D2773" s="1" t="s">
        <v>115</v>
      </c>
      <c r="E2773" s="1" t="s">
        <v>33</v>
      </c>
      <c r="F2773" s="1" t="s">
        <v>209</v>
      </c>
      <c r="G2773" s="5">
        <v>208.16</v>
      </c>
    </row>
    <row r="2774" spans="1:7" x14ac:dyDescent="0.2">
      <c r="A2774" s="3">
        <v>1820</v>
      </c>
      <c r="B2774" s="2">
        <v>4568.2</v>
      </c>
      <c r="C2774" s="38">
        <v>45107</v>
      </c>
      <c r="D2774" s="1" t="s">
        <v>68</v>
      </c>
      <c r="E2774" s="1" t="s">
        <v>33</v>
      </c>
      <c r="F2774" s="1" t="s">
        <v>209</v>
      </c>
      <c r="G2774" s="5">
        <v>2.5099999999999998</v>
      </c>
    </row>
    <row r="2775" spans="1:7" x14ac:dyDescent="0.2">
      <c r="A2775" s="3">
        <v>1820</v>
      </c>
      <c r="B2775" s="2">
        <v>4568.2</v>
      </c>
      <c r="C2775" s="38">
        <v>45107</v>
      </c>
      <c r="D2775" s="1" t="s">
        <v>68</v>
      </c>
      <c r="E2775" s="1" t="s">
        <v>33</v>
      </c>
      <c r="F2775" s="1" t="s">
        <v>209</v>
      </c>
      <c r="G2775" s="5">
        <v>2.5099999999999998</v>
      </c>
    </row>
    <row r="2776" spans="1:7" x14ac:dyDescent="0.2">
      <c r="A2776" s="3">
        <v>70</v>
      </c>
      <c r="B2776" s="2">
        <v>29066.1</v>
      </c>
      <c r="C2776" s="38">
        <v>45107</v>
      </c>
      <c r="D2776" s="1" t="s">
        <v>72</v>
      </c>
      <c r="E2776" s="1" t="s">
        <v>33</v>
      </c>
      <c r="F2776" s="1" t="s">
        <v>209</v>
      </c>
      <c r="G2776" s="5">
        <v>415.23</v>
      </c>
    </row>
    <row r="2777" spans="1:7" x14ac:dyDescent="0.2">
      <c r="A2777" s="3">
        <v>140</v>
      </c>
      <c r="B2777" s="2">
        <v>58132.2</v>
      </c>
      <c r="C2777" s="38">
        <v>45107</v>
      </c>
      <c r="D2777" s="1" t="s">
        <v>72</v>
      </c>
      <c r="E2777" s="1" t="s">
        <v>33</v>
      </c>
      <c r="F2777" s="1" t="s">
        <v>209</v>
      </c>
      <c r="G2777" s="5">
        <v>415.23</v>
      </c>
    </row>
    <row r="2778" spans="1:7" x14ac:dyDescent="0.2">
      <c r="A2778" s="3">
        <v>420</v>
      </c>
      <c r="B2778" s="2">
        <v>174396.6</v>
      </c>
      <c r="C2778" s="38">
        <v>45107</v>
      </c>
      <c r="D2778" s="1" t="s">
        <v>72</v>
      </c>
      <c r="E2778" s="1" t="s">
        <v>33</v>
      </c>
      <c r="F2778" s="1" t="s">
        <v>209</v>
      </c>
      <c r="G2778" s="5">
        <v>415.23</v>
      </c>
    </row>
    <row r="2779" spans="1:7" x14ac:dyDescent="0.2">
      <c r="A2779" s="3">
        <v>70</v>
      </c>
      <c r="B2779" s="2">
        <v>29066.1</v>
      </c>
      <c r="C2779" s="38">
        <v>45107</v>
      </c>
      <c r="D2779" s="1" t="s">
        <v>72</v>
      </c>
      <c r="E2779" s="1" t="s">
        <v>33</v>
      </c>
      <c r="F2779" s="1" t="s">
        <v>209</v>
      </c>
      <c r="G2779" s="5">
        <v>415.23</v>
      </c>
    </row>
    <row r="2780" spans="1:7" x14ac:dyDescent="0.2">
      <c r="A2780" s="3">
        <v>280</v>
      </c>
      <c r="B2780" s="2">
        <v>116264.4</v>
      </c>
      <c r="C2780" s="38">
        <v>45107</v>
      </c>
      <c r="D2780" s="1" t="s">
        <v>72</v>
      </c>
      <c r="E2780" s="1" t="s">
        <v>33</v>
      </c>
      <c r="F2780" s="1" t="s">
        <v>209</v>
      </c>
      <c r="G2780" s="5">
        <v>415.23</v>
      </c>
    </row>
    <row r="2781" spans="1:7" x14ac:dyDescent="0.2">
      <c r="A2781" s="3">
        <v>280</v>
      </c>
      <c r="B2781" s="2">
        <v>116264.4</v>
      </c>
      <c r="C2781" s="38">
        <v>45107</v>
      </c>
      <c r="D2781" s="1" t="s">
        <v>72</v>
      </c>
      <c r="E2781" s="1" t="s">
        <v>33</v>
      </c>
      <c r="F2781" s="1" t="s">
        <v>209</v>
      </c>
      <c r="G2781" s="5">
        <v>415.23</v>
      </c>
    </row>
    <row r="2782" spans="1:7" x14ac:dyDescent="0.2">
      <c r="A2782" s="3">
        <v>140</v>
      </c>
      <c r="B2782" s="2">
        <v>58132.2</v>
      </c>
      <c r="C2782" s="38">
        <v>45107</v>
      </c>
      <c r="D2782" s="1" t="s">
        <v>72</v>
      </c>
      <c r="E2782" s="1" t="s">
        <v>33</v>
      </c>
      <c r="F2782" s="1" t="s">
        <v>209</v>
      </c>
      <c r="G2782" s="5">
        <v>415.23</v>
      </c>
    </row>
    <row r="2783" spans="1:7" x14ac:dyDescent="0.2">
      <c r="A2783" s="3">
        <v>280</v>
      </c>
      <c r="B2783" s="2">
        <v>116264.4</v>
      </c>
      <c r="C2783" s="38">
        <v>45107</v>
      </c>
      <c r="D2783" s="1" t="s">
        <v>72</v>
      </c>
      <c r="E2783" s="1" t="s">
        <v>33</v>
      </c>
      <c r="F2783" s="1" t="s">
        <v>209</v>
      </c>
      <c r="G2783" s="5">
        <v>415.23</v>
      </c>
    </row>
    <row r="2784" spans="1:7" x14ac:dyDescent="0.2">
      <c r="A2784" s="3">
        <v>210</v>
      </c>
      <c r="B2784" s="2">
        <v>87198.3</v>
      </c>
      <c r="C2784" s="38">
        <v>45107</v>
      </c>
      <c r="D2784" s="1" t="s">
        <v>72</v>
      </c>
      <c r="E2784" s="1" t="s">
        <v>33</v>
      </c>
      <c r="F2784" s="1" t="s">
        <v>209</v>
      </c>
      <c r="G2784" s="5">
        <v>415.23</v>
      </c>
    </row>
    <row r="2785" spans="1:7" x14ac:dyDescent="0.2">
      <c r="A2785" s="3">
        <v>210</v>
      </c>
      <c r="B2785" s="2">
        <v>87198.3</v>
      </c>
      <c r="C2785" s="38">
        <v>45107</v>
      </c>
      <c r="D2785" s="1" t="s">
        <v>72</v>
      </c>
      <c r="E2785" s="1" t="s">
        <v>33</v>
      </c>
      <c r="F2785" s="1" t="s">
        <v>209</v>
      </c>
      <c r="G2785" s="5">
        <v>415.23</v>
      </c>
    </row>
    <row r="2786" spans="1:7" x14ac:dyDescent="0.2">
      <c r="A2786" s="3">
        <v>63</v>
      </c>
      <c r="B2786" s="2">
        <v>7036.47</v>
      </c>
      <c r="C2786" s="38">
        <v>45107</v>
      </c>
      <c r="D2786" s="1" t="s">
        <v>168</v>
      </c>
      <c r="E2786" s="1" t="s">
        <v>33</v>
      </c>
      <c r="F2786" s="1" t="s">
        <v>209</v>
      </c>
      <c r="G2786" s="5">
        <v>111.69</v>
      </c>
    </row>
    <row r="2787" spans="1:7" x14ac:dyDescent="0.2">
      <c r="A2787" s="3">
        <v>159</v>
      </c>
      <c r="B2787" s="2">
        <v>17758.71</v>
      </c>
      <c r="C2787" s="38">
        <v>45107</v>
      </c>
      <c r="D2787" s="1" t="s">
        <v>168</v>
      </c>
      <c r="E2787" s="1" t="s">
        <v>33</v>
      </c>
      <c r="F2787" s="1" t="s">
        <v>209</v>
      </c>
      <c r="G2787" s="5">
        <v>111.69</v>
      </c>
    </row>
    <row r="2788" spans="1:7" x14ac:dyDescent="0.2">
      <c r="A2788" s="3">
        <v>7</v>
      </c>
      <c r="B2788" s="2">
        <v>781.83</v>
      </c>
      <c r="C2788" s="38">
        <v>45107</v>
      </c>
      <c r="D2788" s="1" t="s">
        <v>168</v>
      </c>
      <c r="E2788" s="1" t="s">
        <v>33</v>
      </c>
      <c r="F2788" s="1" t="s">
        <v>209</v>
      </c>
      <c r="G2788" s="5">
        <v>111.69</v>
      </c>
    </row>
    <row r="2789" spans="1:7" x14ac:dyDescent="0.2">
      <c r="A2789" s="3">
        <v>3000</v>
      </c>
      <c r="B2789" s="2">
        <v>2059.1999999999998</v>
      </c>
      <c r="C2789" s="38">
        <v>45107</v>
      </c>
      <c r="D2789" s="1" t="s">
        <v>81</v>
      </c>
      <c r="E2789" s="1" t="s">
        <v>33</v>
      </c>
      <c r="F2789" s="1" t="s">
        <v>209</v>
      </c>
      <c r="G2789" s="5">
        <v>0.68640000000000001</v>
      </c>
    </row>
    <row r="2790" spans="1:7" x14ac:dyDescent="0.2">
      <c r="A2790" s="3">
        <v>240</v>
      </c>
      <c r="B2790" s="2">
        <v>182241.6</v>
      </c>
      <c r="C2790" s="38">
        <v>45107</v>
      </c>
      <c r="D2790" s="1" t="s">
        <v>83</v>
      </c>
      <c r="E2790" s="1" t="s">
        <v>33</v>
      </c>
      <c r="F2790" s="1" t="s">
        <v>209</v>
      </c>
      <c r="G2790" s="5">
        <v>759.34</v>
      </c>
    </row>
    <row r="2791" spans="1:7" x14ac:dyDescent="0.2">
      <c r="A2791" s="3">
        <v>210</v>
      </c>
      <c r="B2791" s="2">
        <v>159461.4</v>
      </c>
      <c r="C2791" s="38">
        <v>45107</v>
      </c>
      <c r="D2791" s="1" t="s">
        <v>83</v>
      </c>
      <c r="E2791" s="1" t="s">
        <v>33</v>
      </c>
      <c r="F2791" s="1" t="s">
        <v>209</v>
      </c>
      <c r="G2791" s="5">
        <v>759.34</v>
      </c>
    </row>
    <row r="2792" spans="1:7" x14ac:dyDescent="0.2">
      <c r="A2792" s="3">
        <v>180</v>
      </c>
      <c r="B2792" s="2">
        <v>136681.20000000001</v>
      </c>
      <c r="C2792" s="38">
        <v>45107</v>
      </c>
      <c r="D2792" s="1" t="s">
        <v>83</v>
      </c>
      <c r="E2792" s="1" t="s">
        <v>33</v>
      </c>
      <c r="F2792" s="1" t="s">
        <v>209</v>
      </c>
      <c r="G2792" s="5">
        <v>759.34</v>
      </c>
    </row>
    <row r="2793" spans="1:7" x14ac:dyDescent="0.2">
      <c r="A2793" s="3">
        <v>120</v>
      </c>
      <c r="B2793" s="2">
        <v>91120.8</v>
      </c>
      <c r="C2793" s="38">
        <v>45107</v>
      </c>
      <c r="D2793" s="1" t="s">
        <v>83</v>
      </c>
      <c r="E2793" s="1" t="s">
        <v>33</v>
      </c>
      <c r="F2793" s="1" t="s">
        <v>209</v>
      </c>
      <c r="G2793" s="5">
        <v>759.34</v>
      </c>
    </row>
    <row r="2794" spans="1:7" x14ac:dyDescent="0.2">
      <c r="A2794" s="3">
        <v>90</v>
      </c>
      <c r="B2794" s="2">
        <v>68340.600000000006</v>
      </c>
      <c r="C2794" s="38">
        <v>45107</v>
      </c>
      <c r="D2794" s="1" t="s">
        <v>83</v>
      </c>
      <c r="E2794" s="1" t="s">
        <v>33</v>
      </c>
      <c r="F2794" s="1" t="s">
        <v>209</v>
      </c>
      <c r="G2794" s="5">
        <v>759.34</v>
      </c>
    </row>
    <row r="2795" spans="1:7" x14ac:dyDescent="0.2">
      <c r="A2795" s="3">
        <v>240</v>
      </c>
      <c r="B2795" s="2">
        <v>182241.6</v>
      </c>
      <c r="C2795" s="38">
        <v>45107</v>
      </c>
      <c r="D2795" s="1" t="s">
        <v>83</v>
      </c>
      <c r="E2795" s="1" t="s">
        <v>33</v>
      </c>
      <c r="F2795" s="1" t="s">
        <v>209</v>
      </c>
      <c r="G2795" s="5">
        <v>759.34</v>
      </c>
    </row>
    <row r="2796" spans="1:7" x14ac:dyDescent="0.2">
      <c r="A2796" s="3">
        <v>143</v>
      </c>
      <c r="B2796" s="2">
        <v>25518.35</v>
      </c>
      <c r="C2796" s="38">
        <v>45107</v>
      </c>
      <c r="D2796" s="1" t="s">
        <v>118</v>
      </c>
      <c r="E2796" s="1" t="s">
        <v>33</v>
      </c>
      <c r="F2796" s="1" t="s">
        <v>209</v>
      </c>
      <c r="G2796" s="5">
        <v>178.45</v>
      </c>
    </row>
    <row r="2797" spans="1:7" x14ac:dyDescent="0.2">
      <c r="A2797" s="3">
        <v>107</v>
      </c>
      <c r="B2797" s="2">
        <v>19094.150000000001</v>
      </c>
      <c r="C2797" s="38">
        <v>45107</v>
      </c>
      <c r="D2797" s="1" t="s">
        <v>118</v>
      </c>
      <c r="E2797" s="1" t="s">
        <v>33</v>
      </c>
      <c r="F2797" s="1" t="s">
        <v>209</v>
      </c>
      <c r="G2797" s="5">
        <v>178.45</v>
      </c>
    </row>
    <row r="2798" spans="1:7" x14ac:dyDescent="0.2">
      <c r="A2798" s="3">
        <v>25</v>
      </c>
      <c r="B2798" s="2">
        <v>4461.25</v>
      </c>
      <c r="C2798" s="38">
        <v>45107</v>
      </c>
      <c r="D2798" s="1" t="s">
        <v>118</v>
      </c>
      <c r="E2798" s="1" t="s">
        <v>33</v>
      </c>
      <c r="F2798" s="1" t="s">
        <v>209</v>
      </c>
      <c r="G2798" s="5">
        <v>178.45</v>
      </c>
    </row>
    <row r="2799" spans="1:7" x14ac:dyDescent="0.2">
      <c r="A2799" s="3">
        <v>82</v>
      </c>
      <c r="B2799" s="2">
        <v>14632.9</v>
      </c>
      <c r="C2799" s="38">
        <v>45107</v>
      </c>
      <c r="D2799" s="1" t="s">
        <v>118</v>
      </c>
      <c r="E2799" s="1" t="s">
        <v>33</v>
      </c>
      <c r="F2799" s="1" t="s">
        <v>209</v>
      </c>
      <c r="G2799" s="5">
        <v>178.45</v>
      </c>
    </row>
    <row r="2800" spans="1:7" x14ac:dyDescent="0.2">
      <c r="A2800" s="3">
        <v>52</v>
      </c>
      <c r="B2800" s="2">
        <v>9279.4</v>
      </c>
      <c r="C2800" s="38">
        <v>45107</v>
      </c>
      <c r="D2800" s="1" t="s">
        <v>118</v>
      </c>
      <c r="E2800" s="1" t="s">
        <v>33</v>
      </c>
      <c r="F2800" s="1" t="s">
        <v>209</v>
      </c>
      <c r="G2800" s="5">
        <v>178.45</v>
      </c>
    </row>
    <row r="2801" spans="1:7" x14ac:dyDescent="0.2">
      <c r="A2801" s="3">
        <v>107</v>
      </c>
      <c r="B2801" s="2">
        <v>19094.150000000001</v>
      </c>
      <c r="C2801" s="38">
        <v>45107</v>
      </c>
      <c r="D2801" s="1" t="s">
        <v>118</v>
      </c>
      <c r="E2801" s="1" t="s">
        <v>33</v>
      </c>
      <c r="F2801" s="1" t="s">
        <v>209</v>
      </c>
      <c r="G2801" s="5">
        <v>178.45</v>
      </c>
    </row>
    <row r="2802" spans="1:7" x14ac:dyDescent="0.2">
      <c r="A2802" s="3">
        <v>79</v>
      </c>
      <c r="B2802" s="2">
        <v>14097.55</v>
      </c>
      <c r="C2802" s="38">
        <v>45107</v>
      </c>
      <c r="D2802" s="1" t="s">
        <v>118</v>
      </c>
      <c r="E2802" s="1" t="s">
        <v>33</v>
      </c>
      <c r="F2802" s="1" t="s">
        <v>209</v>
      </c>
      <c r="G2802" s="5">
        <v>178.45</v>
      </c>
    </row>
    <row r="2803" spans="1:7" x14ac:dyDescent="0.2">
      <c r="A2803" s="3">
        <v>77</v>
      </c>
      <c r="B2803" s="2">
        <v>13740.65</v>
      </c>
      <c r="C2803" s="38">
        <v>45107</v>
      </c>
      <c r="D2803" s="1" t="s">
        <v>118</v>
      </c>
      <c r="E2803" s="1" t="s">
        <v>33</v>
      </c>
      <c r="F2803" s="1" t="s">
        <v>209</v>
      </c>
      <c r="G2803" s="5">
        <v>178.45</v>
      </c>
    </row>
    <row r="2804" spans="1:7" x14ac:dyDescent="0.2">
      <c r="A2804" s="3">
        <v>102</v>
      </c>
      <c r="B2804" s="2">
        <v>18201.900000000001</v>
      </c>
      <c r="C2804" s="38">
        <v>45107</v>
      </c>
      <c r="D2804" s="1" t="s">
        <v>118</v>
      </c>
      <c r="E2804" s="1" t="s">
        <v>33</v>
      </c>
      <c r="F2804" s="1" t="s">
        <v>209</v>
      </c>
      <c r="G2804" s="5">
        <v>178.45</v>
      </c>
    </row>
    <row r="2805" spans="1:7" x14ac:dyDescent="0.2">
      <c r="A2805" s="3">
        <v>273</v>
      </c>
      <c r="B2805" s="2">
        <v>48716.85</v>
      </c>
      <c r="C2805" s="38">
        <v>45107</v>
      </c>
      <c r="D2805" s="1" t="s">
        <v>118</v>
      </c>
      <c r="E2805" s="1" t="s">
        <v>33</v>
      </c>
      <c r="F2805" s="1" t="s">
        <v>209</v>
      </c>
      <c r="G2805" s="5">
        <v>178.45</v>
      </c>
    </row>
    <row r="2806" spans="1:7" x14ac:dyDescent="0.2">
      <c r="A2806" s="3">
        <v>95</v>
      </c>
      <c r="B2806" s="2">
        <v>16952.75</v>
      </c>
      <c r="C2806" s="38">
        <v>45107</v>
      </c>
      <c r="D2806" s="1" t="s">
        <v>118</v>
      </c>
      <c r="E2806" s="1" t="s">
        <v>33</v>
      </c>
      <c r="F2806" s="1" t="s">
        <v>209</v>
      </c>
      <c r="G2806" s="5">
        <v>178.45</v>
      </c>
    </row>
    <row r="2807" spans="1:7" x14ac:dyDescent="0.2">
      <c r="A2807" s="3">
        <v>57</v>
      </c>
      <c r="B2807" s="2">
        <v>10171.65</v>
      </c>
      <c r="C2807" s="38">
        <v>45107</v>
      </c>
      <c r="D2807" s="1" t="s">
        <v>118</v>
      </c>
      <c r="E2807" s="1" t="s">
        <v>33</v>
      </c>
      <c r="F2807" s="1" t="s">
        <v>209</v>
      </c>
      <c r="G2807" s="5">
        <v>178.45</v>
      </c>
    </row>
    <row r="2808" spans="1:7" x14ac:dyDescent="0.2">
      <c r="A2808" s="3">
        <v>16</v>
      </c>
      <c r="B2808" s="2">
        <v>1117.5999999999999</v>
      </c>
      <c r="C2808" s="38">
        <v>45107</v>
      </c>
      <c r="D2808" s="1" t="s">
        <v>119</v>
      </c>
      <c r="E2808" s="1" t="s">
        <v>33</v>
      </c>
      <c r="F2808" s="1" t="s">
        <v>209</v>
      </c>
      <c r="G2808" s="5">
        <v>69.849999999999994</v>
      </c>
    </row>
    <row r="2809" spans="1:7" x14ac:dyDescent="0.2">
      <c r="A2809" s="3">
        <v>621</v>
      </c>
      <c r="B2809" s="2">
        <v>43376.85</v>
      </c>
      <c r="C2809" s="38">
        <v>45107</v>
      </c>
      <c r="D2809" s="1" t="s">
        <v>119</v>
      </c>
      <c r="E2809" s="1" t="s">
        <v>33</v>
      </c>
      <c r="F2809" s="1" t="s">
        <v>209</v>
      </c>
      <c r="G2809" s="5">
        <v>69.849999999999994</v>
      </c>
    </row>
    <row r="2810" spans="1:7" x14ac:dyDescent="0.2">
      <c r="A2810" s="3">
        <v>135</v>
      </c>
      <c r="B2810" s="2">
        <v>115744.95</v>
      </c>
      <c r="C2810" s="38">
        <v>45107</v>
      </c>
      <c r="D2810" s="1" t="s">
        <v>85</v>
      </c>
      <c r="E2810" s="1" t="s">
        <v>33</v>
      </c>
      <c r="F2810" s="1" t="s">
        <v>209</v>
      </c>
      <c r="G2810" s="5">
        <v>857.37</v>
      </c>
    </row>
    <row r="2811" spans="1:7" x14ac:dyDescent="0.2">
      <c r="A2811" s="3">
        <v>60</v>
      </c>
      <c r="B2811" s="2">
        <v>51442.2</v>
      </c>
      <c r="C2811" s="38">
        <v>45107</v>
      </c>
      <c r="D2811" s="1" t="s">
        <v>85</v>
      </c>
      <c r="E2811" s="1" t="s">
        <v>33</v>
      </c>
      <c r="F2811" s="1" t="s">
        <v>209</v>
      </c>
      <c r="G2811" s="5">
        <v>857.37</v>
      </c>
    </row>
    <row r="2812" spans="1:7" x14ac:dyDescent="0.2">
      <c r="A2812" s="3">
        <v>120</v>
      </c>
      <c r="B2812" s="2">
        <v>102884.4</v>
      </c>
      <c r="C2812" s="38">
        <v>45107</v>
      </c>
      <c r="D2812" s="1" t="s">
        <v>85</v>
      </c>
      <c r="E2812" s="1" t="s">
        <v>33</v>
      </c>
      <c r="F2812" s="1" t="s">
        <v>209</v>
      </c>
      <c r="G2812" s="5">
        <v>857.37</v>
      </c>
    </row>
    <row r="2813" spans="1:7" x14ac:dyDescent="0.2">
      <c r="A2813" s="3">
        <v>146</v>
      </c>
      <c r="B2813" s="2">
        <v>276259.74</v>
      </c>
      <c r="C2813" s="38">
        <v>45107</v>
      </c>
      <c r="D2813" s="1" t="s">
        <v>120</v>
      </c>
      <c r="E2813" s="1" t="s">
        <v>33</v>
      </c>
      <c r="F2813" s="1" t="s">
        <v>209</v>
      </c>
      <c r="G2813" s="5">
        <v>1892.19</v>
      </c>
    </row>
    <row r="2814" spans="1:7" x14ac:dyDescent="0.2">
      <c r="A2814" s="3">
        <v>340</v>
      </c>
      <c r="B2814" s="2">
        <v>643344.6</v>
      </c>
      <c r="C2814" s="38">
        <v>45107</v>
      </c>
      <c r="D2814" s="1" t="s">
        <v>120</v>
      </c>
      <c r="E2814" s="1" t="s">
        <v>33</v>
      </c>
      <c r="F2814" s="1" t="s">
        <v>209</v>
      </c>
      <c r="G2814" s="5">
        <v>1892.19</v>
      </c>
    </row>
    <row r="2815" spans="1:7" x14ac:dyDescent="0.2">
      <c r="A2815" s="3">
        <v>140</v>
      </c>
      <c r="B2815" s="2">
        <v>60040.4</v>
      </c>
      <c r="C2815" s="38">
        <v>45107</v>
      </c>
      <c r="D2815" s="1" t="s">
        <v>73</v>
      </c>
      <c r="E2815" s="1" t="s">
        <v>33</v>
      </c>
      <c r="F2815" s="1" t="s">
        <v>209</v>
      </c>
      <c r="G2815" s="5">
        <v>428.86</v>
      </c>
    </row>
    <row r="2816" spans="1:7" x14ac:dyDescent="0.2">
      <c r="A2816" s="3">
        <v>140</v>
      </c>
      <c r="B2816" s="2">
        <v>60040.4</v>
      </c>
      <c r="C2816" s="38">
        <v>45107</v>
      </c>
      <c r="D2816" s="1" t="s">
        <v>73</v>
      </c>
      <c r="E2816" s="1" t="s">
        <v>33</v>
      </c>
      <c r="F2816" s="1" t="s">
        <v>209</v>
      </c>
      <c r="G2816" s="5">
        <v>428.86</v>
      </c>
    </row>
    <row r="2817" spans="1:7" x14ac:dyDescent="0.2">
      <c r="A2817" s="3">
        <v>70</v>
      </c>
      <c r="B2817" s="2">
        <v>30020.2</v>
      </c>
      <c r="C2817" s="38">
        <v>45107</v>
      </c>
      <c r="D2817" s="1" t="s">
        <v>73</v>
      </c>
      <c r="E2817" s="1" t="s">
        <v>33</v>
      </c>
      <c r="F2817" s="1" t="s">
        <v>209</v>
      </c>
      <c r="G2817" s="5">
        <v>428.86</v>
      </c>
    </row>
    <row r="2818" spans="1:7" x14ac:dyDescent="0.2">
      <c r="A2818" s="3">
        <v>140</v>
      </c>
      <c r="B2818" s="2">
        <v>60040.4</v>
      </c>
      <c r="C2818" s="38">
        <v>45107</v>
      </c>
      <c r="D2818" s="1" t="s">
        <v>73</v>
      </c>
      <c r="E2818" s="1" t="s">
        <v>33</v>
      </c>
      <c r="F2818" s="1" t="s">
        <v>209</v>
      </c>
      <c r="G2818" s="5">
        <v>428.86</v>
      </c>
    </row>
    <row r="2819" spans="1:7" x14ac:dyDescent="0.2">
      <c r="A2819" s="3">
        <v>140</v>
      </c>
      <c r="B2819" s="2">
        <v>60040.4</v>
      </c>
      <c r="C2819" s="38">
        <v>45107</v>
      </c>
      <c r="D2819" s="1" t="s">
        <v>73</v>
      </c>
      <c r="E2819" s="1" t="s">
        <v>33</v>
      </c>
      <c r="F2819" s="1" t="s">
        <v>209</v>
      </c>
      <c r="G2819" s="5">
        <v>428.86</v>
      </c>
    </row>
    <row r="2820" spans="1:7" x14ac:dyDescent="0.2">
      <c r="A2820" s="3">
        <v>70</v>
      </c>
      <c r="B2820" s="2">
        <v>30020.2</v>
      </c>
      <c r="C2820" s="38">
        <v>45107</v>
      </c>
      <c r="D2820" s="1" t="s">
        <v>73</v>
      </c>
      <c r="E2820" s="1" t="s">
        <v>33</v>
      </c>
      <c r="F2820" s="1" t="s">
        <v>209</v>
      </c>
      <c r="G2820" s="5">
        <v>428.86</v>
      </c>
    </row>
    <row r="2821" spans="1:7" x14ac:dyDescent="0.2">
      <c r="A2821" s="3">
        <v>280</v>
      </c>
      <c r="B2821" s="2">
        <v>120080.8</v>
      </c>
      <c r="C2821" s="38">
        <v>45107</v>
      </c>
      <c r="D2821" s="1" t="s">
        <v>73</v>
      </c>
      <c r="E2821" s="1" t="s">
        <v>33</v>
      </c>
      <c r="F2821" s="1" t="s">
        <v>209</v>
      </c>
      <c r="G2821" s="5">
        <v>428.86</v>
      </c>
    </row>
    <row r="2822" spans="1:7" x14ac:dyDescent="0.2">
      <c r="A2822" s="3">
        <v>280</v>
      </c>
      <c r="B2822" s="2">
        <v>120080.8</v>
      </c>
      <c r="C2822" s="38">
        <v>45107</v>
      </c>
      <c r="D2822" s="1" t="s">
        <v>73</v>
      </c>
      <c r="E2822" s="1" t="s">
        <v>33</v>
      </c>
      <c r="F2822" s="1" t="s">
        <v>209</v>
      </c>
      <c r="G2822" s="5">
        <v>428.86</v>
      </c>
    </row>
    <row r="2823" spans="1:7" x14ac:dyDescent="0.2">
      <c r="A2823" s="3">
        <v>140</v>
      </c>
      <c r="B2823" s="2">
        <v>60040.4</v>
      </c>
      <c r="C2823" s="38">
        <v>45107</v>
      </c>
      <c r="D2823" s="1" t="s">
        <v>73</v>
      </c>
      <c r="E2823" s="1" t="s">
        <v>33</v>
      </c>
      <c r="F2823" s="1" t="s">
        <v>209</v>
      </c>
      <c r="G2823" s="5">
        <v>428.86</v>
      </c>
    </row>
    <row r="2824" spans="1:7" x14ac:dyDescent="0.2">
      <c r="A2824" s="3">
        <v>70</v>
      </c>
      <c r="B2824" s="2">
        <v>26859</v>
      </c>
      <c r="C2824" s="38">
        <v>45044</v>
      </c>
      <c r="D2824" s="1" t="s">
        <v>74</v>
      </c>
      <c r="E2824" s="1" t="s">
        <v>33</v>
      </c>
      <c r="F2824" s="1" t="s">
        <v>209</v>
      </c>
      <c r="G2824" s="5">
        <v>383.7</v>
      </c>
    </row>
    <row r="2825" spans="1:7" x14ac:dyDescent="0.2">
      <c r="A2825" s="3">
        <v>70</v>
      </c>
      <c r="B2825" s="2">
        <v>26859</v>
      </c>
      <c r="C2825" s="38">
        <v>45044</v>
      </c>
      <c r="D2825" s="1" t="s">
        <v>74</v>
      </c>
      <c r="E2825" s="1" t="s">
        <v>33</v>
      </c>
      <c r="F2825" s="1" t="s">
        <v>209</v>
      </c>
      <c r="G2825" s="5">
        <v>383.7</v>
      </c>
    </row>
    <row r="2826" spans="1:7" x14ac:dyDescent="0.2">
      <c r="A2826" s="3">
        <v>70</v>
      </c>
      <c r="B2826" s="2">
        <v>26859</v>
      </c>
      <c r="C2826" s="38">
        <v>45044</v>
      </c>
      <c r="D2826" s="1" t="s">
        <v>74</v>
      </c>
      <c r="E2826" s="1" t="s">
        <v>33</v>
      </c>
      <c r="F2826" s="1" t="s">
        <v>209</v>
      </c>
      <c r="G2826" s="5">
        <v>383.7</v>
      </c>
    </row>
    <row r="2827" spans="1:7" x14ac:dyDescent="0.2">
      <c r="A2827" s="3">
        <v>70</v>
      </c>
      <c r="B2827" s="2">
        <v>26859</v>
      </c>
      <c r="C2827" s="38">
        <v>45044</v>
      </c>
      <c r="D2827" s="1" t="s">
        <v>74</v>
      </c>
      <c r="E2827" s="1" t="s">
        <v>33</v>
      </c>
      <c r="F2827" s="1" t="s">
        <v>209</v>
      </c>
      <c r="G2827" s="5">
        <v>383.7</v>
      </c>
    </row>
    <row r="2828" spans="1:7" x14ac:dyDescent="0.2">
      <c r="A2828" s="3">
        <v>70</v>
      </c>
      <c r="B2828" s="2">
        <v>26859</v>
      </c>
      <c r="C2828" s="38">
        <v>45044</v>
      </c>
      <c r="D2828" s="1" t="s">
        <v>74</v>
      </c>
      <c r="E2828" s="1" t="s">
        <v>33</v>
      </c>
      <c r="F2828" s="1" t="s">
        <v>209</v>
      </c>
      <c r="G2828" s="5">
        <v>383.7</v>
      </c>
    </row>
    <row r="2829" spans="1:7" x14ac:dyDescent="0.2">
      <c r="A2829" s="3">
        <v>70</v>
      </c>
      <c r="B2829" s="2">
        <v>26859</v>
      </c>
      <c r="C2829" s="38">
        <v>45044</v>
      </c>
      <c r="D2829" s="1" t="s">
        <v>74</v>
      </c>
      <c r="E2829" s="1" t="s">
        <v>33</v>
      </c>
      <c r="F2829" s="1" t="s">
        <v>209</v>
      </c>
      <c r="G2829" s="5">
        <v>383.7</v>
      </c>
    </row>
    <row r="2830" spans="1:7" x14ac:dyDescent="0.2">
      <c r="A2830" s="3">
        <v>70</v>
      </c>
      <c r="B2830" s="2">
        <v>26859</v>
      </c>
      <c r="C2830" s="38">
        <v>45044</v>
      </c>
      <c r="D2830" s="1" t="s">
        <v>74</v>
      </c>
      <c r="E2830" s="1" t="s">
        <v>33</v>
      </c>
      <c r="F2830" s="1" t="s">
        <v>209</v>
      </c>
      <c r="G2830" s="5">
        <v>383.7</v>
      </c>
    </row>
    <row r="2831" spans="1:7" x14ac:dyDescent="0.2">
      <c r="A2831" s="3">
        <v>70</v>
      </c>
      <c r="B2831" s="2">
        <v>26859</v>
      </c>
      <c r="C2831" s="38">
        <v>44943</v>
      </c>
      <c r="D2831" s="1" t="s">
        <v>74</v>
      </c>
      <c r="E2831" s="1" t="s">
        <v>33</v>
      </c>
      <c r="F2831" s="1" t="s">
        <v>209</v>
      </c>
      <c r="G2831" s="5">
        <v>383.7</v>
      </c>
    </row>
    <row r="2832" spans="1:7" x14ac:dyDescent="0.2">
      <c r="A2832" s="3">
        <v>70</v>
      </c>
      <c r="B2832" s="2">
        <v>26859</v>
      </c>
      <c r="C2832" s="38">
        <v>44943</v>
      </c>
      <c r="D2832" s="1" t="s">
        <v>74</v>
      </c>
      <c r="E2832" s="1" t="s">
        <v>33</v>
      </c>
      <c r="F2832" s="1" t="s">
        <v>209</v>
      </c>
      <c r="G2832" s="5">
        <v>383.7</v>
      </c>
    </row>
    <row r="2833" spans="1:7" x14ac:dyDescent="0.2">
      <c r="A2833" s="3">
        <v>70</v>
      </c>
      <c r="B2833" s="2">
        <v>26859</v>
      </c>
      <c r="C2833" s="38">
        <v>44943</v>
      </c>
      <c r="D2833" s="1" t="s">
        <v>74</v>
      </c>
      <c r="E2833" s="1" t="s">
        <v>33</v>
      </c>
      <c r="F2833" s="1" t="s">
        <v>209</v>
      </c>
      <c r="G2833" s="5">
        <v>383.7</v>
      </c>
    </row>
    <row r="2834" spans="1:7" x14ac:dyDescent="0.2">
      <c r="A2834" s="3">
        <v>70</v>
      </c>
      <c r="B2834" s="2">
        <v>26859</v>
      </c>
      <c r="C2834" s="38">
        <v>44943</v>
      </c>
      <c r="D2834" s="1" t="s">
        <v>74</v>
      </c>
      <c r="E2834" s="1" t="s">
        <v>33</v>
      </c>
      <c r="F2834" s="1" t="s">
        <v>209</v>
      </c>
      <c r="G2834" s="5">
        <v>383.7</v>
      </c>
    </row>
    <row r="2835" spans="1:7" x14ac:dyDescent="0.2">
      <c r="A2835" s="3">
        <v>70</v>
      </c>
      <c r="B2835" s="2">
        <v>26859</v>
      </c>
      <c r="C2835" s="38">
        <v>45044</v>
      </c>
      <c r="D2835" s="1" t="s">
        <v>74</v>
      </c>
      <c r="E2835" s="1" t="s">
        <v>33</v>
      </c>
      <c r="F2835" s="1" t="s">
        <v>209</v>
      </c>
      <c r="G2835" s="5">
        <v>383.7</v>
      </c>
    </row>
    <row r="2836" spans="1:7" x14ac:dyDescent="0.2">
      <c r="A2836" s="3">
        <v>70</v>
      </c>
      <c r="B2836" s="2">
        <v>26859</v>
      </c>
      <c r="C2836" s="38">
        <v>45044</v>
      </c>
      <c r="D2836" s="1" t="s">
        <v>74</v>
      </c>
      <c r="E2836" s="1" t="s">
        <v>33</v>
      </c>
      <c r="F2836" s="1" t="s">
        <v>209</v>
      </c>
      <c r="G2836" s="5">
        <v>383.7</v>
      </c>
    </row>
    <row r="2837" spans="1:7" x14ac:dyDescent="0.2">
      <c r="A2837" s="3">
        <v>70</v>
      </c>
      <c r="B2837" s="2">
        <v>26859</v>
      </c>
      <c r="C2837" s="38">
        <v>45044</v>
      </c>
      <c r="D2837" s="1" t="s">
        <v>74</v>
      </c>
      <c r="E2837" s="1" t="s">
        <v>33</v>
      </c>
      <c r="F2837" s="1" t="s">
        <v>209</v>
      </c>
      <c r="G2837" s="5">
        <v>383.7</v>
      </c>
    </row>
    <row r="2838" spans="1:7" x14ac:dyDescent="0.2">
      <c r="A2838" s="3">
        <v>70</v>
      </c>
      <c r="B2838" s="2">
        <v>26859</v>
      </c>
      <c r="C2838" s="38">
        <v>45044</v>
      </c>
      <c r="D2838" s="1" t="s">
        <v>74</v>
      </c>
      <c r="E2838" s="1" t="s">
        <v>33</v>
      </c>
      <c r="F2838" s="1" t="s">
        <v>209</v>
      </c>
      <c r="G2838" s="5">
        <v>383.7</v>
      </c>
    </row>
    <row r="2839" spans="1:7" x14ac:dyDescent="0.2">
      <c r="A2839" s="3">
        <v>70</v>
      </c>
      <c r="B2839" s="2">
        <v>26859</v>
      </c>
      <c r="C2839" s="38">
        <v>45044</v>
      </c>
      <c r="D2839" s="1" t="s">
        <v>74</v>
      </c>
      <c r="E2839" s="1" t="s">
        <v>33</v>
      </c>
      <c r="F2839" s="1" t="s">
        <v>209</v>
      </c>
      <c r="G2839" s="5">
        <v>383.7</v>
      </c>
    </row>
    <row r="2840" spans="1:7" x14ac:dyDescent="0.2">
      <c r="A2840" s="3">
        <v>70</v>
      </c>
      <c r="B2840" s="2">
        <v>26859</v>
      </c>
      <c r="C2840" s="38">
        <v>45044</v>
      </c>
      <c r="D2840" s="1" t="s">
        <v>74</v>
      </c>
      <c r="E2840" s="1" t="s">
        <v>33</v>
      </c>
      <c r="F2840" s="1" t="s">
        <v>209</v>
      </c>
      <c r="G2840" s="5">
        <v>383.7</v>
      </c>
    </row>
    <row r="2841" spans="1:7" x14ac:dyDescent="0.2">
      <c r="A2841" s="3">
        <v>70</v>
      </c>
      <c r="B2841" s="2">
        <v>26859</v>
      </c>
      <c r="C2841" s="38">
        <v>45044</v>
      </c>
      <c r="D2841" s="1" t="s">
        <v>74</v>
      </c>
      <c r="E2841" s="1" t="s">
        <v>33</v>
      </c>
      <c r="F2841" s="1" t="s">
        <v>209</v>
      </c>
      <c r="G2841" s="5">
        <v>383.7</v>
      </c>
    </row>
    <row r="2842" spans="1:7" x14ac:dyDescent="0.2">
      <c r="A2842" s="3">
        <v>70</v>
      </c>
      <c r="B2842" s="2">
        <v>26859</v>
      </c>
      <c r="C2842" s="38">
        <v>45044</v>
      </c>
      <c r="D2842" s="1" t="s">
        <v>74</v>
      </c>
      <c r="E2842" s="1" t="s">
        <v>33</v>
      </c>
      <c r="F2842" s="1" t="s">
        <v>209</v>
      </c>
      <c r="G2842" s="5">
        <v>383.7</v>
      </c>
    </row>
    <row r="2843" spans="1:7" x14ac:dyDescent="0.2">
      <c r="A2843" s="3">
        <v>70</v>
      </c>
      <c r="B2843" s="2">
        <v>26859</v>
      </c>
      <c r="C2843" s="38">
        <v>45044</v>
      </c>
      <c r="D2843" s="1" t="s">
        <v>74</v>
      </c>
      <c r="E2843" s="1" t="s">
        <v>33</v>
      </c>
      <c r="F2843" s="1" t="s">
        <v>209</v>
      </c>
      <c r="G2843" s="5">
        <v>383.7</v>
      </c>
    </row>
    <row r="2844" spans="1:7" x14ac:dyDescent="0.2">
      <c r="A2844" s="3">
        <v>70</v>
      </c>
      <c r="B2844" s="2">
        <v>26859</v>
      </c>
      <c r="C2844" s="38">
        <v>45044</v>
      </c>
      <c r="D2844" s="1" t="s">
        <v>74</v>
      </c>
      <c r="E2844" s="1" t="s">
        <v>33</v>
      </c>
      <c r="F2844" s="1" t="s">
        <v>209</v>
      </c>
      <c r="G2844" s="5">
        <v>383.7</v>
      </c>
    </row>
    <row r="2845" spans="1:7" x14ac:dyDescent="0.2">
      <c r="A2845" s="3">
        <v>70</v>
      </c>
      <c r="B2845" s="2">
        <v>26859</v>
      </c>
      <c r="C2845" s="38">
        <v>45044</v>
      </c>
      <c r="D2845" s="1" t="s">
        <v>74</v>
      </c>
      <c r="E2845" s="1" t="s">
        <v>33</v>
      </c>
      <c r="F2845" s="1" t="s">
        <v>209</v>
      </c>
      <c r="G2845" s="5">
        <v>383.7</v>
      </c>
    </row>
    <row r="2846" spans="1:7" x14ac:dyDescent="0.2">
      <c r="A2846" s="3">
        <v>70</v>
      </c>
      <c r="B2846" s="2">
        <v>26859</v>
      </c>
      <c r="C2846" s="38">
        <v>45044</v>
      </c>
      <c r="D2846" s="1" t="s">
        <v>74</v>
      </c>
      <c r="E2846" s="1" t="s">
        <v>33</v>
      </c>
      <c r="F2846" s="1" t="s">
        <v>209</v>
      </c>
      <c r="G2846" s="5">
        <v>383.7</v>
      </c>
    </row>
    <row r="2847" spans="1:7" x14ac:dyDescent="0.2">
      <c r="A2847" s="3">
        <v>70</v>
      </c>
      <c r="B2847" s="2">
        <v>26859</v>
      </c>
      <c r="C2847" s="38">
        <v>45044</v>
      </c>
      <c r="D2847" s="1" t="s">
        <v>74</v>
      </c>
      <c r="E2847" s="1" t="s">
        <v>33</v>
      </c>
      <c r="F2847" s="1" t="s">
        <v>209</v>
      </c>
      <c r="G2847" s="5">
        <v>383.7</v>
      </c>
    </row>
    <row r="2848" spans="1:7" x14ac:dyDescent="0.2">
      <c r="A2848" s="3">
        <v>70</v>
      </c>
      <c r="B2848" s="2">
        <v>26859</v>
      </c>
      <c r="C2848" s="38">
        <v>45044</v>
      </c>
      <c r="D2848" s="1" t="s">
        <v>74</v>
      </c>
      <c r="E2848" s="1" t="s">
        <v>33</v>
      </c>
      <c r="F2848" s="1" t="s">
        <v>209</v>
      </c>
      <c r="G2848" s="5">
        <v>383.7</v>
      </c>
    </row>
    <row r="2849" spans="1:7" x14ac:dyDescent="0.2">
      <c r="A2849" s="3">
        <v>70</v>
      </c>
      <c r="B2849" s="2">
        <v>26859</v>
      </c>
      <c r="C2849" s="38">
        <v>45044</v>
      </c>
      <c r="D2849" s="1" t="s">
        <v>74</v>
      </c>
      <c r="E2849" s="1" t="s">
        <v>33</v>
      </c>
      <c r="F2849" s="1" t="s">
        <v>209</v>
      </c>
      <c r="G2849" s="5">
        <v>383.7</v>
      </c>
    </row>
    <row r="2850" spans="1:7" x14ac:dyDescent="0.2">
      <c r="A2850" s="3">
        <v>70</v>
      </c>
      <c r="B2850" s="2">
        <v>26859</v>
      </c>
      <c r="C2850" s="38">
        <v>45044</v>
      </c>
      <c r="D2850" s="1" t="s">
        <v>74</v>
      </c>
      <c r="E2850" s="1" t="s">
        <v>33</v>
      </c>
      <c r="F2850" s="1" t="s">
        <v>209</v>
      </c>
      <c r="G2850" s="5">
        <v>383.7</v>
      </c>
    </row>
    <row r="2851" spans="1:7" x14ac:dyDescent="0.2">
      <c r="A2851" s="3">
        <v>70</v>
      </c>
      <c r="B2851" s="2">
        <v>26859</v>
      </c>
      <c r="C2851" s="38">
        <v>45044</v>
      </c>
      <c r="D2851" s="1" t="s">
        <v>74</v>
      </c>
      <c r="E2851" s="1" t="s">
        <v>33</v>
      </c>
      <c r="F2851" s="1" t="s">
        <v>209</v>
      </c>
      <c r="G2851" s="5">
        <v>383.7</v>
      </c>
    </row>
    <row r="2852" spans="1:7" x14ac:dyDescent="0.2">
      <c r="A2852" s="3">
        <v>70</v>
      </c>
      <c r="B2852" s="2">
        <v>26859</v>
      </c>
      <c r="C2852" s="38">
        <v>45044</v>
      </c>
      <c r="D2852" s="1" t="s">
        <v>74</v>
      </c>
      <c r="E2852" s="1" t="s">
        <v>33</v>
      </c>
      <c r="F2852" s="1" t="s">
        <v>209</v>
      </c>
      <c r="G2852" s="5">
        <v>383.7</v>
      </c>
    </row>
    <row r="2853" spans="1:7" x14ac:dyDescent="0.2">
      <c r="A2853" s="3">
        <v>70</v>
      </c>
      <c r="B2853" s="2">
        <v>26859</v>
      </c>
      <c r="C2853" s="38">
        <v>45044</v>
      </c>
      <c r="D2853" s="1" t="s">
        <v>74</v>
      </c>
      <c r="E2853" s="1" t="s">
        <v>33</v>
      </c>
      <c r="F2853" s="1" t="s">
        <v>209</v>
      </c>
      <c r="G2853" s="5">
        <v>383.7</v>
      </c>
    </row>
    <row r="2854" spans="1:7" x14ac:dyDescent="0.2">
      <c r="A2854" s="3">
        <v>70</v>
      </c>
      <c r="B2854" s="2">
        <v>26859</v>
      </c>
      <c r="C2854" s="38">
        <v>45044</v>
      </c>
      <c r="D2854" s="1" t="s">
        <v>74</v>
      </c>
      <c r="E2854" s="1" t="s">
        <v>33</v>
      </c>
      <c r="F2854" s="1" t="s">
        <v>209</v>
      </c>
      <c r="G2854" s="5">
        <v>383.7</v>
      </c>
    </row>
    <row r="2855" spans="1:7" x14ac:dyDescent="0.2">
      <c r="A2855" s="3">
        <v>70</v>
      </c>
      <c r="B2855" s="2">
        <v>26859</v>
      </c>
      <c r="C2855" s="38">
        <v>45084</v>
      </c>
      <c r="D2855" s="1" t="s">
        <v>74</v>
      </c>
      <c r="E2855" s="1" t="s">
        <v>33</v>
      </c>
      <c r="F2855" s="1" t="s">
        <v>209</v>
      </c>
      <c r="G2855" s="5">
        <v>383.7</v>
      </c>
    </row>
    <row r="2856" spans="1:7" x14ac:dyDescent="0.2">
      <c r="A2856" s="3">
        <v>70</v>
      </c>
      <c r="B2856" s="2">
        <v>26859</v>
      </c>
      <c r="C2856" s="38">
        <v>45084</v>
      </c>
      <c r="D2856" s="1" t="s">
        <v>74</v>
      </c>
      <c r="E2856" s="1" t="s">
        <v>33</v>
      </c>
      <c r="F2856" s="1" t="s">
        <v>209</v>
      </c>
      <c r="G2856" s="5">
        <v>383.7</v>
      </c>
    </row>
    <row r="2857" spans="1:7" x14ac:dyDescent="0.2">
      <c r="A2857" s="3">
        <v>70</v>
      </c>
      <c r="B2857" s="2">
        <v>26859</v>
      </c>
      <c r="C2857" s="38">
        <v>45084</v>
      </c>
      <c r="D2857" s="1" t="s">
        <v>74</v>
      </c>
      <c r="E2857" s="1" t="s">
        <v>33</v>
      </c>
      <c r="F2857" s="1" t="s">
        <v>209</v>
      </c>
      <c r="G2857" s="5">
        <v>383.7</v>
      </c>
    </row>
    <row r="2858" spans="1:7" x14ac:dyDescent="0.2">
      <c r="A2858" s="3">
        <v>70</v>
      </c>
      <c r="B2858" s="2">
        <v>26859</v>
      </c>
      <c r="C2858" s="38">
        <v>45084</v>
      </c>
      <c r="D2858" s="1" t="s">
        <v>74</v>
      </c>
      <c r="E2858" s="1" t="s">
        <v>33</v>
      </c>
      <c r="F2858" s="1" t="s">
        <v>209</v>
      </c>
      <c r="G2858" s="5">
        <v>383.7</v>
      </c>
    </row>
    <row r="2859" spans="1:7" x14ac:dyDescent="0.2">
      <c r="A2859" s="3">
        <v>70</v>
      </c>
      <c r="B2859" s="2">
        <v>26859</v>
      </c>
      <c r="C2859" s="38">
        <v>44943</v>
      </c>
      <c r="D2859" s="1" t="s">
        <v>74</v>
      </c>
      <c r="E2859" s="1" t="s">
        <v>33</v>
      </c>
      <c r="F2859" s="1" t="s">
        <v>209</v>
      </c>
      <c r="G2859" s="5">
        <v>383.7</v>
      </c>
    </row>
    <row r="2860" spans="1:7" x14ac:dyDescent="0.2">
      <c r="A2860" s="3">
        <v>70</v>
      </c>
      <c r="B2860" s="2">
        <v>26859</v>
      </c>
      <c r="C2860" s="38">
        <v>44943</v>
      </c>
      <c r="D2860" s="1" t="s">
        <v>74</v>
      </c>
      <c r="E2860" s="1" t="s">
        <v>33</v>
      </c>
      <c r="F2860" s="1" t="s">
        <v>209</v>
      </c>
      <c r="G2860" s="5">
        <v>383.7</v>
      </c>
    </row>
    <row r="2861" spans="1:7" x14ac:dyDescent="0.2">
      <c r="A2861" s="3">
        <v>70</v>
      </c>
      <c r="B2861" s="2">
        <v>26859</v>
      </c>
      <c r="C2861" s="38">
        <v>44943</v>
      </c>
      <c r="D2861" s="1" t="s">
        <v>74</v>
      </c>
      <c r="E2861" s="1" t="s">
        <v>33</v>
      </c>
      <c r="F2861" s="1" t="s">
        <v>209</v>
      </c>
      <c r="G2861" s="5">
        <v>383.7</v>
      </c>
    </row>
    <row r="2862" spans="1:7" x14ac:dyDescent="0.2">
      <c r="A2862" s="3">
        <v>70</v>
      </c>
      <c r="B2862" s="2">
        <v>26859</v>
      </c>
      <c r="C2862" s="38">
        <v>45055</v>
      </c>
      <c r="D2862" s="1" t="s">
        <v>74</v>
      </c>
      <c r="E2862" s="1" t="s">
        <v>33</v>
      </c>
      <c r="F2862" s="1" t="s">
        <v>209</v>
      </c>
      <c r="G2862" s="5">
        <v>383.7</v>
      </c>
    </row>
    <row r="2863" spans="1:7" x14ac:dyDescent="0.2">
      <c r="A2863" s="3">
        <v>70</v>
      </c>
      <c r="B2863" s="2">
        <v>26859</v>
      </c>
      <c r="C2863" s="38">
        <v>45055</v>
      </c>
      <c r="D2863" s="1" t="s">
        <v>74</v>
      </c>
      <c r="E2863" s="1" t="s">
        <v>33</v>
      </c>
      <c r="F2863" s="1" t="s">
        <v>209</v>
      </c>
      <c r="G2863" s="5">
        <v>383.7</v>
      </c>
    </row>
    <row r="2864" spans="1:7" x14ac:dyDescent="0.2">
      <c r="A2864" s="3">
        <v>70</v>
      </c>
      <c r="B2864" s="2">
        <v>26859</v>
      </c>
      <c r="C2864" s="38">
        <v>45055</v>
      </c>
      <c r="D2864" s="1" t="s">
        <v>74</v>
      </c>
      <c r="E2864" s="1" t="s">
        <v>33</v>
      </c>
      <c r="F2864" s="1" t="s">
        <v>209</v>
      </c>
      <c r="G2864" s="5">
        <v>383.7</v>
      </c>
    </row>
    <row r="2865" spans="1:7" x14ac:dyDescent="0.2">
      <c r="A2865" s="3">
        <v>70</v>
      </c>
      <c r="B2865" s="2">
        <v>26859</v>
      </c>
      <c r="C2865" s="38">
        <v>45055</v>
      </c>
      <c r="D2865" s="1" t="s">
        <v>74</v>
      </c>
      <c r="E2865" s="1" t="s">
        <v>33</v>
      </c>
      <c r="F2865" s="1" t="s">
        <v>209</v>
      </c>
      <c r="G2865" s="5">
        <v>383.7</v>
      </c>
    </row>
    <row r="2866" spans="1:7" x14ac:dyDescent="0.2">
      <c r="A2866" s="3">
        <v>70</v>
      </c>
      <c r="B2866" s="2">
        <v>26859</v>
      </c>
      <c r="C2866" s="38">
        <v>45055</v>
      </c>
      <c r="D2866" s="1" t="s">
        <v>74</v>
      </c>
      <c r="E2866" s="1" t="s">
        <v>33</v>
      </c>
      <c r="F2866" s="1" t="s">
        <v>209</v>
      </c>
      <c r="G2866" s="5">
        <v>383.7</v>
      </c>
    </row>
    <row r="2867" spans="1:7" x14ac:dyDescent="0.2">
      <c r="A2867" s="3">
        <v>70</v>
      </c>
      <c r="B2867" s="2">
        <v>26859</v>
      </c>
      <c r="C2867" s="38">
        <v>45055</v>
      </c>
      <c r="D2867" s="1" t="s">
        <v>74</v>
      </c>
      <c r="E2867" s="1" t="s">
        <v>33</v>
      </c>
      <c r="F2867" s="1" t="s">
        <v>209</v>
      </c>
      <c r="G2867" s="5">
        <v>383.7</v>
      </c>
    </row>
    <row r="2868" spans="1:7" x14ac:dyDescent="0.2">
      <c r="A2868" s="3">
        <v>70</v>
      </c>
      <c r="B2868" s="2">
        <v>26859</v>
      </c>
      <c r="C2868" s="38">
        <v>45055</v>
      </c>
      <c r="D2868" s="1" t="s">
        <v>74</v>
      </c>
      <c r="E2868" s="1" t="s">
        <v>33</v>
      </c>
      <c r="F2868" s="1" t="s">
        <v>209</v>
      </c>
      <c r="G2868" s="5">
        <v>383.7</v>
      </c>
    </row>
    <row r="2869" spans="1:7" x14ac:dyDescent="0.2">
      <c r="A2869" s="3">
        <v>70</v>
      </c>
      <c r="B2869" s="2">
        <v>26859</v>
      </c>
      <c r="C2869" s="38">
        <v>45055</v>
      </c>
      <c r="D2869" s="1" t="s">
        <v>74</v>
      </c>
      <c r="E2869" s="1" t="s">
        <v>33</v>
      </c>
      <c r="F2869" s="1" t="s">
        <v>209</v>
      </c>
      <c r="G2869" s="5">
        <v>383.7</v>
      </c>
    </row>
    <row r="2870" spans="1:7" x14ac:dyDescent="0.2">
      <c r="A2870" s="3">
        <v>70</v>
      </c>
      <c r="B2870" s="2">
        <v>26859</v>
      </c>
      <c r="C2870" s="38">
        <v>45055</v>
      </c>
      <c r="D2870" s="1" t="s">
        <v>74</v>
      </c>
      <c r="E2870" s="1" t="s">
        <v>33</v>
      </c>
      <c r="F2870" s="1" t="s">
        <v>209</v>
      </c>
      <c r="G2870" s="5">
        <v>383.7</v>
      </c>
    </row>
    <row r="2871" spans="1:7" x14ac:dyDescent="0.2">
      <c r="A2871" s="3">
        <v>70</v>
      </c>
      <c r="B2871" s="2">
        <v>26859</v>
      </c>
      <c r="C2871" s="38">
        <v>45107</v>
      </c>
      <c r="D2871" s="1" t="s">
        <v>74</v>
      </c>
      <c r="E2871" s="1" t="s">
        <v>33</v>
      </c>
      <c r="F2871" s="1" t="s">
        <v>209</v>
      </c>
      <c r="G2871" s="5">
        <v>383.7</v>
      </c>
    </row>
    <row r="2872" spans="1:7" x14ac:dyDescent="0.2">
      <c r="A2872" s="3">
        <v>70</v>
      </c>
      <c r="B2872" s="2">
        <v>26859</v>
      </c>
      <c r="C2872" s="38">
        <v>45107</v>
      </c>
      <c r="D2872" s="1" t="s">
        <v>74</v>
      </c>
      <c r="E2872" s="1" t="s">
        <v>33</v>
      </c>
      <c r="F2872" s="1" t="s">
        <v>209</v>
      </c>
      <c r="G2872" s="5">
        <v>383.7</v>
      </c>
    </row>
    <row r="2873" spans="1:7" x14ac:dyDescent="0.2">
      <c r="A2873" s="3">
        <v>70</v>
      </c>
      <c r="B2873" s="2">
        <v>26859</v>
      </c>
      <c r="C2873" s="38">
        <v>45107</v>
      </c>
      <c r="D2873" s="1" t="s">
        <v>74</v>
      </c>
      <c r="E2873" s="1" t="s">
        <v>33</v>
      </c>
      <c r="F2873" s="1" t="s">
        <v>209</v>
      </c>
      <c r="G2873" s="5">
        <v>383.7</v>
      </c>
    </row>
    <row r="2874" spans="1:7" x14ac:dyDescent="0.2">
      <c r="A2874" s="3">
        <v>70</v>
      </c>
      <c r="B2874" s="2">
        <v>26859</v>
      </c>
      <c r="C2874" s="38">
        <v>45107</v>
      </c>
      <c r="D2874" s="1" t="s">
        <v>74</v>
      </c>
      <c r="E2874" s="1" t="s">
        <v>33</v>
      </c>
      <c r="F2874" s="1" t="s">
        <v>209</v>
      </c>
      <c r="G2874" s="5">
        <v>383.7</v>
      </c>
    </row>
    <row r="2875" spans="1:7" x14ac:dyDescent="0.2">
      <c r="A2875" s="3">
        <v>70</v>
      </c>
      <c r="B2875" s="2">
        <v>26859</v>
      </c>
      <c r="C2875" s="38">
        <v>45107</v>
      </c>
      <c r="D2875" s="1" t="s">
        <v>74</v>
      </c>
      <c r="E2875" s="1" t="s">
        <v>33</v>
      </c>
      <c r="F2875" s="1" t="s">
        <v>209</v>
      </c>
      <c r="G2875" s="5">
        <v>383.7</v>
      </c>
    </row>
    <row r="2876" spans="1:7" x14ac:dyDescent="0.2">
      <c r="A2876" s="3">
        <v>70</v>
      </c>
      <c r="B2876" s="2">
        <v>26859</v>
      </c>
      <c r="C2876" s="38">
        <v>45107</v>
      </c>
      <c r="D2876" s="1" t="s">
        <v>74</v>
      </c>
      <c r="E2876" s="1" t="s">
        <v>33</v>
      </c>
      <c r="F2876" s="1" t="s">
        <v>209</v>
      </c>
      <c r="G2876" s="5">
        <v>383.7</v>
      </c>
    </row>
    <row r="2877" spans="1:7" x14ac:dyDescent="0.2">
      <c r="A2877" s="3">
        <v>70</v>
      </c>
      <c r="B2877" s="2">
        <v>26859</v>
      </c>
      <c r="C2877" s="38">
        <v>45107</v>
      </c>
      <c r="D2877" s="1" t="s">
        <v>74</v>
      </c>
      <c r="E2877" s="1" t="s">
        <v>33</v>
      </c>
      <c r="F2877" s="1" t="s">
        <v>209</v>
      </c>
      <c r="G2877" s="5">
        <v>383.7</v>
      </c>
    </row>
    <row r="2878" spans="1:7" x14ac:dyDescent="0.2">
      <c r="A2878" s="3">
        <v>70</v>
      </c>
      <c r="B2878" s="2">
        <v>26859</v>
      </c>
      <c r="C2878" s="38">
        <v>45107</v>
      </c>
      <c r="D2878" s="1" t="s">
        <v>74</v>
      </c>
      <c r="E2878" s="1" t="s">
        <v>33</v>
      </c>
      <c r="F2878" s="1" t="s">
        <v>209</v>
      </c>
      <c r="G2878" s="5">
        <v>383.7</v>
      </c>
    </row>
    <row r="2879" spans="1:7" x14ac:dyDescent="0.2">
      <c r="A2879" s="3">
        <v>70</v>
      </c>
      <c r="B2879" s="2">
        <v>26859</v>
      </c>
      <c r="C2879" s="38">
        <v>45107</v>
      </c>
      <c r="D2879" s="1" t="s">
        <v>74</v>
      </c>
      <c r="E2879" s="1" t="s">
        <v>33</v>
      </c>
      <c r="F2879" s="1" t="s">
        <v>209</v>
      </c>
      <c r="G2879" s="5">
        <v>383.7</v>
      </c>
    </row>
    <row r="2880" spans="1:7" x14ac:dyDescent="0.2">
      <c r="A2880" s="3">
        <v>70</v>
      </c>
      <c r="B2880" s="2">
        <v>26859</v>
      </c>
      <c r="C2880" s="38">
        <v>45107</v>
      </c>
      <c r="D2880" s="1" t="s">
        <v>74</v>
      </c>
      <c r="E2880" s="1" t="s">
        <v>33</v>
      </c>
      <c r="F2880" s="1" t="s">
        <v>209</v>
      </c>
      <c r="G2880" s="5">
        <v>383.7</v>
      </c>
    </row>
    <row r="2881" spans="1:7" x14ac:dyDescent="0.2">
      <c r="A2881" s="3">
        <v>70</v>
      </c>
      <c r="B2881" s="2">
        <v>26859</v>
      </c>
      <c r="C2881" s="38">
        <v>45107</v>
      </c>
      <c r="D2881" s="1" t="s">
        <v>74</v>
      </c>
      <c r="E2881" s="1" t="s">
        <v>33</v>
      </c>
      <c r="F2881" s="1" t="s">
        <v>209</v>
      </c>
      <c r="G2881" s="5">
        <v>383.7</v>
      </c>
    </row>
    <row r="2882" spans="1:7" x14ac:dyDescent="0.2">
      <c r="A2882" s="3">
        <v>70</v>
      </c>
      <c r="B2882" s="2">
        <v>26859</v>
      </c>
      <c r="C2882" s="38">
        <v>45107</v>
      </c>
      <c r="D2882" s="1" t="s">
        <v>74</v>
      </c>
      <c r="E2882" s="1" t="s">
        <v>33</v>
      </c>
      <c r="F2882" s="1" t="s">
        <v>209</v>
      </c>
      <c r="G2882" s="5">
        <v>383.7</v>
      </c>
    </row>
    <row r="2883" spans="1:7" x14ac:dyDescent="0.2">
      <c r="A2883" s="3">
        <v>70</v>
      </c>
      <c r="B2883" s="2">
        <v>26859</v>
      </c>
      <c r="C2883" s="38">
        <v>45107</v>
      </c>
      <c r="D2883" s="1" t="s">
        <v>74</v>
      </c>
      <c r="E2883" s="1" t="s">
        <v>33</v>
      </c>
      <c r="F2883" s="1" t="s">
        <v>209</v>
      </c>
      <c r="G2883" s="5">
        <v>383.7</v>
      </c>
    </row>
    <row r="2884" spans="1:7" x14ac:dyDescent="0.2">
      <c r="A2884" s="3">
        <v>70</v>
      </c>
      <c r="B2884" s="2">
        <v>26859</v>
      </c>
      <c r="C2884" s="38">
        <v>45135</v>
      </c>
      <c r="D2884" s="1" t="s">
        <v>74</v>
      </c>
      <c r="E2884" s="1" t="s">
        <v>33</v>
      </c>
      <c r="F2884" s="1" t="s">
        <v>209</v>
      </c>
      <c r="G2884" s="5">
        <v>383.7</v>
      </c>
    </row>
    <row r="2885" spans="1:7" x14ac:dyDescent="0.2">
      <c r="A2885" s="3">
        <v>70</v>
      </c>
      <c r="B2885" s="2">
        <v>26859</v>
      </c>
      <c r="C2885" s="38">
        <v>45135</v>
      </c>
      <c r="D2885" s="1" t="s">
        <v>74</v>
      </c>
      <c r="E2885" s="1" t="s">
        <v>33</v>
      </c>
      <c r="F2885" s="1" t="s">
        <v>209</v>
      </c>
      <c r="G2885" s="5">
        <v>383.7</v>
      </c>
    </row>
    <row r="2886" spans="1:7" x14ac:dyDescent="0.2">
      <c r="A2886" s="3">
        <v>70</v>
      </c>
      <c r="B2886" s="2">
        <v>26859</v>
      </c>
      <c r="C2886" s="38">
        <v>45135</v>
      </c>
      <c r="D2886" s="1" t="s">
        <v>74</v>
      </c>
      <c r="E2886" s="1" t="s">
        <v>33</v>
      </c>
      <c r="F2886" s="1" t="s">
        <v>209</v>
      </c>
      <c r="G2886" s="5">
        <v>383.7</v>
      </c>
    </row>
    <row r="2887" spans="1:7" x14ac:dyDescent="0.2">
      <c r="A2887" s="3">
        <v>70</v>
      </c>
      <c r="B2887" s="2">
        <v>26859</v>
      </c>
      <c r="C2887" s="38">
        <v>45135</v>
      </c>
      <c r="D2887" s="1" t="s">
        <v>74</v>
      </c>
      <c r="E2887" s="1" t="s">
        <v>33</v>
      </c>
      <c r="F2887" s="1" t="s">
        <v>209</v>
      </c>
      <c r="G2887" s="5">
        <v>383.7</v>
      </c>
    </row>
    <row r="2888" spans="1:7" x14ac:dyDescent="0.2">
      <c r="A2888" s="3">
        <v>70</v>
      </c>
      <c r="B2888" s="2">
        <v>26859</v>
      </c>
      <c r="C2888" s="38">
        <v>45135</v>
      </c>
      <c r="D2888" s="1" t="s">
        <v>74</v>
      </c>
      <c r="E2888" s="1" t="s">
        <v>33</v>
      </c>
      <c r="F2888" s="1" t="s">
        <v>209</v>
      </c>
      <c r="G2888" s="5">
        <v>383.7</v>
      </c>
    </row>
    <row r="2889" spans="1:7" x14ac:dyDescent="0.2">
      <c r="A2889" s="3">
        <v>70</v>
      </c>
      <c r="B2889" s="2">
        <v>26859</v>
      </c>
      <c r="C2889" s="38">
        <v>45135</v>
      </c>
      <c r="D2889" s="1" t="s">
        <v>74</v>
      </c>
      <c r="E2889" s="1" t="s">
        <v>33</v>
      </c>
      <c r="F2889" s="1" t="s">
        <v>209</v>
      </c>
      <c r="G2889" s="5">
        <v>383.7</v>
      </c>
    </row>
    <row r="2890" spans="1:7" x14ac:dyDescent="0.2">
      <c r="A2890" s="3">
        <v>70</v>
      </c>
      <c r="B2890" s="2">
        <v>26859</v>
      </c>
      <c r="C2890" s="38">
        <v>45135</v>
      </c>
      <c r="D2890" s="1" t="s">
        <v>74</v>
      </c>
      <c r="E2890" s="1" t="s">
        <v>33</v>
      </c>
      <c r="F2890" s="1" t="s">
        <v>209</v>
      </c>
      <c r="G2890" s="5">
        <v>383.7</v>
      </c>
    </row>
    <row r="2891" spans="1:7" x14ac:dyDescent="0.2">
      <c r="A2891" s="3">
        <v>70</v>
      </c>
      <c r="B2891" s="2">
        <v>26859</v>
      </c>
      <c r="C2891" s="38">
        <v>45135</v>
      </c>
      <c r="D2891" s="1" t="s">
        <v>74</v>
      </c>
      <c r="E2891" s="1" t="s">
        <v>33</v>
      </c>
      <c r="F2891" s="1" t="s">
        <v>209</v>
      </c>
      <c r="G2891" s="5">
        <v>383.7</v>
      </c>
    </row>
    <row r="2892" spans="1:7" x14ac:dyDescent="0.2">
      <c r="A2892" s="3">
        <v>70</v>
      </c>
      <c r="B2892" s="2">
        <v>26859</v>
      </c>
      <c r="C2892" s="38">
        <v>45135</v>
      </c>
      <c r="D2892" s="1" t="s">
        <v>74</v>
      </c>
      <c r="E2892" s="1" t="s">
        <v>33</v>
      </c>
      <c r="F2892" s="1" t="s">
        <v>209</v>
      </c>
      <c r="G2892" s="5">
        <v>383.7</v>
      </c>
    </row>
    <row r="2893" spans="1:7" x14ac:dyDescent="0.2">
      <c r="A2893" s="3">
        <v>70</v>
      </c>
      <c r="B2893" s="2">
        <v>26859</v>
      </c>
      <c r="C2893" s="38">
        <v>45135</v>
      </c>
      <c r="D2893" s="1" t="s">
        <v>74</v>
      </c>
      <c r="E2893" s="1" t="s">
        <v>33</v>
      </c>
      <c r="F2893" s="1" t="s">
        <v>209</v>
      </c>
      <c r="G2893" s="5">
        <v>383.7</v>
      </c>
    </row>
    <row r="2894" spans="1:7" x14ac:dyDescent="0.2">
      <c r="A2894" s="3">
        <v>70</v>
      </c>
      <c r="B2894" s="2">
        <v>26859</v>
      </c>
      <c r="C2894" s="38">
        <v>45107</v>
      </c>
      <c r="D2894" s="1" t="s">
        <v>74</v>
      </c>
      <c r="E2894" s="1" t="s">
        <v>33</v>
      </c>
      <c r="F2894" s="1" t="s">
        <v>209</v>
      </c>
      <c r="G2894" s="5">
        <v>383.7</v>
      </c>
    </row>
    <row r="2895" spans="1:7" x14ac:dyDescent="0.2">
      <c r="A2895" s="3">
        <v>70</v>
      </c>
      <c r="B2895" s="2">
        <v>26859</v>
      </c>
      <c r="C2895" s="38">
        <v>45107</v>
      </c>
      <c r="D2895" s="1" t="s">
        <v>74</v>
      </c>
      <c r="E2895" s="1" t="s">
        <v>33</v>
      </c>
      <c r="F2895" s="1" t="s">
        <v>209</v>
      </c>
      <c r="G2895" s="5">
        <v>383.7</v>
      </c>
    </row>
    <row r="2896" spans="1:7" x14ac:dyDescent="0.2">
      <c r="A2896" s="3">
        <v>70</v>
      </c>
      <c r="B2896" s="2">
        <v>26859</v>
      </c>
      <c r="C2896" s="38">
        <v>45107</v>
      </c>
      <c r="D2896" s="1" t="s">
        <v>74</v>
      </c>
      <c r="E2896" s="1" t="s">
        <v>33</v>
      </c>
      <c r="F2896" s="1" t="s">
        <v>209</v>
      </c>
      <c r="G2896" s="5">
        <v>383.7</v>
      </c>
    </row>
    <row r="2897" spans="1:7" x14ac:dyDescent="0.2">
      <c r="A2897" s="3">
        <v>70</v>
      </c>
      <c r="B2897" s="2">
        <v>26859</v>
      </c>
      <c r="C2897" s="38">
        <v>45107</v>
      </c>
      <c r="D2897" s="1" t="s">
        <v>74</v>
      </c>
      <c r="E2897" s="1" t="s">
        <v>33</v>
      </c>
      <c r="F2897" s="1" t="s">
        <v>209</v>
      </c>
      <c r="G2897" s="5">
        <v>383.7</v>
      </c>
    </row>
    <row r="2898" spans="1:7" x14ac:dyDescent="0.2">
      <c r="A2898" s="3">
        <v>70</v>
      </c>
      <c r="B2898" s="2">
        <v>26859</v>
      </c>
      <c r="C2898" s="38">
        <v>45107</v>
      </c>
      <c r="D2898" s="1" t="s">
        <v>74</v>
      </c>
      <c r="E2898" s="1" t="s">
        <v>33</v>
      </c>
      <c r="F2898" s="1" t="s">
        <v>209</v>
      </c>
      <c r="G2898" s="5">
        <v>383.7</v>
      </c>
    </row>
    <row r="2899" spans="1:7" x14ac:dyDescent="0.2">
      <c r="A2899" s="3">
        <v>70</v>
      </c>
      <c r="B2899" s="2">
        <v>26859</v>
      </c>
      <c r="C2899" s="38">
        <v>45107</v>
      </c>
      <c r="D2899" s="1" t="s">
        <v>74</v>
      </c>
      <c r="E2899" s="1" t="s">
        <v>33</v>
      </c>
      <c r="F2899" s="1" t="s">
        <v>209</v>
      </c>
      <c r="G2899" s="5">
        <v>383.7</v>
      </c>
    </row>
    <row r="2900" spans="1:7" x14ac:dyDescent="0.2">
      <c r="A2900" s="3">
        <v>70</v>
      </c>
      <c r="B2900" s="2">
        <v>26859</v>
      </c>
      <c r="C2900" s="38">
        <v>45107</v>
      </c>
      <c r="D2900" s="1" t="s">
        <v>74</v>
      </c>
      <c r="E2900" s="1" t="s">
        <v>33</v>
      </c>
      <c r="F2900" s="1" t="s">
        <v>209</v>
      </c>
      <c r="G2900" s="5">
        <v>383.7</v>
      </c>
    </row>
    <row r="2901" spans="1:7" x14ac:dyDescent="0.2">
      <c r="A2901" s="3">
        <v>70</v>
      </c>
      <c r="B2901" s="2">
        <v>26859</v>
      </c>
      <c r="C2901" s="38">
        <v>45107</v>
      </c>
      <c r="D2901" s="1" t="s">
        <v>74</v>
      </c>
      <c r="E2901" s="1" t="s">
        <v>33</v>
      </c>
      <c r="F2901" s="1" t="s">
        <v>209</v>
      </c>
      <c r="G2901" s="5">
        <v>383.7</v>
      </c>
    </row>
    <row r="2902" spans="1:7" x14ac:dyDescent="0.2">
      <c r="A2902" s="3">
        <v>70</v>
      </c>
      <c r="B2902" s="2">
        <v>26859</v>
      </c>
      <c r="C2902" s="38">
        <v>45107</v>
      </c>
      <c r="D2902" s="1" t="s">
        <v>74</v>
      </c>
      <c r="E2902" s="1" t="s">
        <v>33</v>
      </c>
      <c r="F2902" s="1" t="s">
        <v>209</v>
      </c>
      <c r="G2902" s="5">
        <v>383.7</v>
      </c>
    </row>
    <row r="2903" spans="1:7" x14ac:dyDescent="0.2">
      <c r="A2903" s="3">
        <v>70</v>
      </c>
      <c r="B2903" s="2">
        <v>26859</v>
      </c>
      <c r="C2903" s="38">
        <v>45107</v>
      </c>
      <c r="D2903" s="1" t="s">
        <v>74</v>
      </c>
      <c r="E2903" s="1" t="s">
        <v>33</v>
      </c>
      <c r="F2903" s="1" t="s">
        <v>209</v>
      </c>
      <c r="G2903" s="5">
        <v>383.7</v>
      </c>
    </row>
    <row r="2904" spans="1:7" x14ac:dyDescent="0.2">
      <c r="A2904" s="3">
        <v>70</v>
      </c>
      <c r="B2904" s="2">
        <v>26859</v>
      </c>
      <c r="C2904" s="38">
        <v>45107</v>
      </c>
      <c r="D2904" s="1" t="s">
        <v>74</v>
      </c>
      <c r="E2904" s="1" t="s">
        <v>33</v>
      </c>
      <c r="F2904" s="1" t="s">
        <v>209</v>
      </c>
      <c r="G2904" s="5">
        <v>383.7</v>
      </c>
    </row>
    <row r="2905" spans="1:7" x14ac:dyDescent="0.2">
      <c r="A2905" s="3">
        <v>70</v>
      </c>
      <c r="B2905" s="2">
        <v>26859</v>
      </c>
      <c r="C2905" s="38">
        <v>45107</v>
      </c>
      <c r="D2905" s="1" t="s">
        <v>74</v>
      </c>
      <c r="E2905" s="1" t="s">
        <v>33</v>
      </c>
      <c r="F2905" s="1" t="s">
        <v>209</v>
      </c>
      <c r="G2905" s="5">
        <v>383.7</v>
      </c>
    </row>
    <row r="2906" spans="1:7" x14ac:dyDescent="0.2">
      <c r="A2906" s="3">
        <v>70</v>
      </c>
      <c r="B2906" s="2">
        <v>26859</v>
      </c>
      <c r="C2906" s="38">
        <v>45107</v>
      </c>
      <c r="D2906" s="1" t="s">
        <v>74</v>
      </c>
      <c r="E2906" s="1" t="s">
        <v>33</v>
      </c>
      <c r="F2906" s="1" t="s">
        <v>209</v>
      </c>
      <c r="G2906" s="5">
        <v>383.7</v>
      </c>
    </row>
    <row r="2907" spans="1:7" x14ac:dyDescent="0.2">
      <c r="A2907" s="3">
        <v>70</v>
      </c>
      <c r="B2907" s="2">
        <v>26859</v>
      </c>
      <c r="C2907" s="38">
        <v>45107</v>
      </c>
      <c r="D2907" s="1" t="s">
        <v>74</v>
      </c>
      <c r="E2907" s="1" t="s">
        <v>33</v>
      </c>
      <c r="F2907" s="1" t="s">
        <v>209</v>
      </c>
      <c r="G2907" s="5">
        <v>383.7</v>
      </c>
    </row>
    <row r="2908" spans="1:7" x14ac:dyDescent="0.2">
      <c r="A2908" s="3">
        <v>70</v>
      </c>
      <c r="B2908" s="2">
        <v>26859</v>
      </c>
      <c r="C2908" s="38">
        <v>44938</v>
      </c>
      <c r="D2908" s="1" t="s">
        <v>74</v>
      </c>
      <c r="E2908" s="1" t="s">
        <v>33</v>
      </c>
      <c r="F2908" s="1" t="s">
        <v>209</v>
      </c>
      <c r="G2908" s="5">
        <v>383.7</v>
      </c>
    </row>
    <row r="2909" spans="1:7" x14ac:dyDescent="0.2">
      <c r="A2909" s="3">
        <v>70</v>
      </c>
      <c r="B2909" s="2">
        <v>26859</v>
      </c>
      <c r="C2909" s="38">
        <v>44938</v>
      </c>
      <c r="D2909" s="1" t="s">
        <v>74</v>
      </c>
      <c r="E2909" s="1" t="s">
        <v>33</v>
      </c>
      <c r="F2909" s="1" t="s">
        <v>209</v>
      </c>
      <c r="G2909" s="5">
        <v>383.7</v>
      </c>
    </row>
    <row r="2910" spans="1:7" x14ac:dyDescent="0.2">
      <c r="A2910" s="3">
        <v>-2184</v>
      </c>
      <c r="B2910" s="2">
        <v>-492077.04</v>
      </c>
      <c r="C2910" s="38">
        <v>44680</v>
      </c>
      <c r="D2910" s="1" t="s">
        <v>167</v>
      </c>
      <c r="E2910" s="1" t="s">
        <v>33</v>
      </c>
      <c r="F2910" s="1" t="s">
        <v>210</v>
      </c>
      <c r="G2910" s="5">
        <v>225.31</v>
      </c>
    </row>
    <row r="2911" spans="1:7" x14ac:dyDescent="0.2">
      <c r="A2911" s="3">
        <v>-1092</v>
      </c>
      <c r="B2911" s="2">
        <v>-246038.52</v>
      </c>
      <c r="C2911" s="38">
        <v>44680</v>
      </c>
      <c r="D2911" s="1" t="s">
        <v>167</v>
      </c>
      <c r="E2911" s="1" t="s">
        <v>33</v>
      </c>
      <c r="F2911" s="1" t="s">
        <v>210</v>
      </c>
      <c r="G2911" s="5">
        <v>225.31</v>
      </c>
    </row>
    <row r="2912" spans="1:7" x14ac:dyDescent="0.2">
      <c r="A2912" s="3">
        <v>-2772</v>
      </c>
      <c r="B2912" s="2">
        <v>-624559.31999999995</v>
      </c>
      <c r="C2912" s="38">
        <v>44680</v>
      </c>
      <c r="D2912" s="1" t="s">
        <v>167</v>
      </c>
      <c r="E2912" s="1" t="s">
        <v>33</v>
      </c>
      <c r="F2912" s="1" t="s">
        <v>210</v>
      </c>
      <c r="G2912" s="5">
        <v>225.31</v>
      </c>
    </row>
    <row r="2913" spans="1:7" x14ac:dyDescent="0.2">
      <c r="A2913" s="3">
        <v>1820</v>
      </c>
      <c r="B2913" s="2">
        <v>4313.3999999999996</v>
      </c>
      <c r="C2913" s="38">
        <v>44712</v>
      </c>
      <c r="D2913" s="1" t="s">
        <v>68</v>
      </c>
      <c r="E2913" s="1" t="s">
        <v>33</v>
      </c>
      <c r="F2913" s="1" t="s">
        <v>210</v>
      </c>
      <c r="G2913" s="5">
        <v>2.37</v>
      </c>
    </row>
    <row r="2914" spans="1:7" x14ac:dyDescent="0.2">
      <c r="A2914" s="3">
        <v>14</v>
      </c>
      <c r="B2914" s="2">
        <v>78886.5</v>
      </c>
      <c r="C2914" s="38">
        <v>44565</v>
      </c>
      <c r="D2914" s="1" t="s">
        <v>182</v>
      </c>
      <c r="E2914" s="1" t="s">
        <v>33</v>
      </c>
      <c r="F2914" s="1" t="s">
        <v>210</v>
      </c>
      <c r="G2914" s="5">
        <v>5634.75</v>
      </c>
    </row>
    <row r="2915" spans="1:7" x14ac:dyDescent="0.2">
      <c r="A2915" s="3">
        <v>1500</v>
      </c>
      <c r="B2915" s="2">
        <v>1725</v>
      </c>
      <c r="C2915" s="38">
        <v>44651</v>
      </c>
      <c r="D2915" s="1" t="s">
        <v>79</v>
      </c>
      <c r="E2915" s="1" t="s">
        <v>33</v>
      </c>
      <c r="F2915" s="1" t="s">
        <v>210</v>
      </c>
      <c r="G2915" s="5">
        <v>1.1499999999999999</v>
      </c>
    </row>
    <row r="2916" spans="1:7" x14ac:dyDescent="0.2">
      <c r="A2916" s="3">
        <v>2000</v>
      </c>
      <c r="B2916" s="2">
        <v>185940</v>
      </c>
      <c r="C2916" s="38">
        <v>44651</v>
      </c>
      <c r="D2916" s="1" t="s">
        <v>84</v>
      </c>
      <c r="E2916" s="1" t="s">
        <v>33</v>
      </c>
      <c r="F2916" s="1" t="s">
        <v>210</v>
      </c>
      <c r="G2916" s="5">
        <v>92.97</v>
      </c>
    </row>
    <row r="2917" spans="1:7" x14ac:dyDescent="0.2">
      <c r="A2917" s="3">
        <v>2382</v>
      </c>
      <c r="B2917" s="2">
        <v>221454.54</v>
      </c>
      <c r="C2917" s="38">
        <v>44651</v>
      </c>
      <c r="D2917" s="1" t="s">
        <v>84</v>
      </c>
      <c r="E2917" s="1" t="s">
        <v>33</v>
      </c>
      <c r="F2917" s="1" t="s">
        <v>210</v>
      </c>
      <c r="G2917" s="5">
        <v>92.97</v>
      </c>
    </row>
    <row r="2918" spans="1:7" x14ac:dyDescent="0.2">
      <c r="A2918" s="3">
        <v>3276</v>
      </c>
      <c r="B2918" s="2">
        <v>738115.56</v>
      </c>
      <c r="C2918" s="38">
        <v>44651</v>
      </c>
      <c r="D2918" s="1" t="s">
        <v>167</v>
      </c>
      <c r="E2918" s="1" t="s">
        <v>33</v>
      </c>
      <c r="F2918" s="1" t="s">
        <v>210</v>
      </c>
      <c r="G2918" s="5">
        <v>225.31</v>
      </c>
    </row>
    <row r="2919" spans="1:7" x14ac:dyDescent="0.2">
      <c r="A2919" s="3">
        <v>2772</v>
      </c>
      <c r="B2919" s="2">
        <v>624559.31999999995</v>
      </c>
      <c r="C2919" s="38">
        <v>44651</v>
      </c>
      <c r="D2919" s="1" t="s">
        <v>167</v>
      </c>
      <c r="E2919" s="1" t="s">
        <v>33</v>
      </c>
      <c r="F2919" s="1" t="s">
        <v>210</v>
      </c>
      <c r="G2919" s="5">
        <v>225.31</v>
      </c>
    </row>
    <row r="2920" spans="1:7" x14ac:dyDescent="0.2">
      <c r="A2920" s="3">
        <v>2</v>
      </c>
      <c r="B2920" s="2">
        <v>9015.6</v>
      </c>
      <c r="C2920" s="38">
        <v>44720</v>
      </c>
      <c r="D2920" s="1" t="s">
        <v>142</v>
      </c>
      <c r="E2920" s="1" t="s">
        <v>33</v>
      </c>
      <c r="F2920" s="1" t="s">
        <v>210</v>
      </c>
      <c r="G2920" s="5">
        <v>4507.8</v>
      </c>
    </row>
    <row r="2921" spans="1:7" x14ac:dyDescent="0.2">
      <c r="A2921" s="3">
        <v>210</v>
      </c>
      <c r="B2921" s="2">
        <v>946638</v>
      </c>
      <c r="C2921" s="38">
        <v>44720</v>
      </c>
      <c r="D2921" s="1" t="s">
        <v>142</v>
      </c>
      <c r="E2921" s="1" t="s">
        <v>33</v>
      </c>
      <c r="F2921" s="1" t="s">
        <v>210</v>
      </c>
      <c r="G2921" s="5">
        <v>4507.8</v>
      </c>
    </row>
    <row r="2922" spans="1:7" x14ac:dyDescent="0.2">
      <c r="A2922" s="3">
        <v>205</v>
      </c>
      <c r="B2922" s="2">
        <v>14319.25</v>
      </c>
      <c r="C2922" s="38">
        <v>44952</v>
      </c>
      <c r="D2922" s="1" t="s">
        <v>119</v>
      </c>
      <c r="E2922" s="1" t="s">
        <v>33</v>
      </c>
      <c r="F2922" s="1" t="s">
        <v>210</v>
      </c>
      <c r="G2922" s="5">
        <v>69.849999999999994</v>
      </c>
    </row>
    <row r="2923" spans="1:7" x14ac:dyDescent="0.2">
      <c r="A2923" s="3">
        <v>1176</v>
      </c>
      <c r="B2923" s="2">
        <v>963849.6</v>
      </c>
      <c r="C2923" s="38">
        <v>44663</v>
      </c>
      <c r="D2923" s="1" t="s">
        <v>158</v>
      </c>
      <c r="E2923" s="1" t="s">
        <v>33</v>
      </c>
      <c r="F2923" s="1" t="s">
        <v>210</v>
      </c>
      <c r="G2923" s="5">
        <v>819.6</v>
      </c>
    </row>
    <row r="2924" spans="1:7" x14ac:dyDescent="0.2">
      <c r="A2924" s="3">
        <v>2649</v>
      </c>
      <c r="B2924" s="2">
        <v>175416.78</v>
      </c>
      <c r="C2924" s="38">
        <v>44589</v>
      </c>
      <c r="D2924" s="1" t="s">
        <v>119</v>
      </c>
      <c r="E2924" s="1" t="s">
        <v>33</v>
      </c>
      <c r="F2924" s="1" t="s">
        <v>210</v>
      </c>
      <c r="G2924" s="5">
        <v>66.22</v>
      </c>
    </row>
    <row r="2925" spans="1:7" x14ac:dyDescent="0.2">
      <c r="A2925" s="3">
        <v>1650</v>
      </c>
      <c r="B2925" s="2">
        <v>109263</v>
      </c>
      <c r="C2925" s="38">
        <v>44589</v>
      </c>
      <c r="D2925" s="1" t="s">
        <v>119</v>
      </c>
      <c r="E2925" s="1" t="s">
        <v>33</v>
      </c>
      <c r="F2925" s="1" t="s">
        <v>210</v>
      </c>
      <c r="G2925" s="5">
        <v>66.22</v>
      </c>
    </row>
    <row r="2926" spans="1:7" x14ac:dyDescent="0.2">
      <c r="A2926" s="3">
        <v>756</v>
      </c>
      <c r="B2926" s="2">
        <v>372934.8</v>
      </c>
      <c r="C2926" s="38">
        <v>44664</v>
      </c>
      <c r="D2926" s="1" t="s">
        <v>183</v>
      </c>
      <c r="E2926" s="1" t="s">
        <v>33</v>
      </c>
      <c r="F2926" s="1" t="s">
        <v>210</v>
      </c>
      <c r="G2926" s="5">
        <v>493.3</v>
      </c>
    </row>
    <row r="2927" spans="1:7" x14ac:dyDescent="0.2">
      <c r="A2927" s="3">
        <v>33</v>
      </c>
      <c r="B2927" s="2">
        <v>148757.4</v>
      </c>
      <c r="C2927" s="38">
        <v>44687</v>
      </c>
      <c r="D2927" s="1" t="s">
        <v>142</v>
      </c>
      <c r="E2927" s="1" t="s">
        <v>33</v>
      </c>
      <c r="F2927" s="1" t="s">
        <v>210</v>
      </c>
      <c r="G2927" s="5">
        <v>4507.8</v>
      </c>
    </row>
    <row r="2928" spans="1:7" x14ac:dyDescent="0.2">
      <c r="A2928" s="3">
        <v>1500</v>
      </c>
      <c r="B2928" s="2">
        <v>1725</v>
      </c>
      <c r="C2928" s="38">
        <v>44734</v>
      </c>
      <c r="D2928" s="1" t="s">
        <v>79</v>
      </c>
      <c r="E2928" s="1" t="s">
        <v>33</v>
      </c>
      <c r="F2928" s="1" t="s">
        <v>210</v>
      </c>
      <c r="G2928" s="5">
        <v>1.1499999999999999</v>
      </c>
    </row>
    <row r="2929" spans="1:7" x14ac:dyDescent="0.2">
      <c r="A2929" s="3">
        <v>3000</v>
      </c>
      <c r="B2929" s="2">
        <v>3720</v>
      </c>
      <c r="C2929" s="38">
        <v>44734</v>
      </c>
      <c r="D2929" s="1" t="s">
        <v>80</v>
      </c>
      <c r="E2929" s="1" t="s">
        <v>33</v>
      </c>
      <c r="F2929" s="1" t="s">
        <v>210</v>
      </c>
      <c r="G2929" s="5">
        <v>1.24</v>
      </c>
    </row>
    <row r="2930" spans="1:7" x14ac:dyDescent="0.2">
      <c r="A2930" s="3">
        <v>12096</v>
      </c>
      <c r="B2930" s="2">
        <v>28667.52</v>
      </c>
      <c r="C2930" s="38">
        <v>45103</v>
      </c>
      <c r="D2930" s="1" t="s">
        <v>184</v>
      </c>
      <c r="E2930" s="1" t="s">
        <v>33</v>
      </c>
      <c r="F2930" s="1" t="s">
        <v>207</v>
      </c>
      <c r="G2930" s="5">
        <v>2.37</v>
      </c>
    </row>
    <row r="2931" spans="1:7" x14ac:dyDescent="0.2">
      <c r="A2931" s="3">
        <v>160</v>
      </c>
      <c r="B2931" s="2">
        <v>72113.600000000006</v>
      </c>
      <c r="C2931" s="38">
        <v>45033</v>
      </c>
      <c r="D2931" s="1" t="s">
        <v>58</v>
      </c>
      <c r="E2931" s="1" t="s">
        <v>33</v>
      </c>
      <c r="F2931" s="1" t="s">
        <v>207</v>
      </c>
      <c r="G2931" s="5">
        <v>450.71</v>
      </c>
    </row>
    <row r="2932" spans="1:7" x14ac:dyDescent="0.2">
      <c r="A2932" s="3">
        <v>1004</v>
      </c>
      <c r="B2932" s="2">
        <v>169023.4</v>
      </c>
      <c r="C2932" s="38">
        <v>44692</v>
      </c>
      <c r="D2932" s="1" t="s">
        <v>118</v>
      </c>
      <c r="E2932" s="1" t="s">
        <v>33</v>
      </c>
      <c r="F2932" s="1" t="s">
        <v>210</v>
      </c>
      <c r="G2932" s="5">
        <v>168.35</v>
      </c>
    </row>
    <row r="2933" spans="1:7" x14ac:dyDescent="0.2">
      <c r="A2933" s="3">
        <v>756</v>
      </c>
      <c r="B2933" s="2">
        <v>619617.6</v>
      </c>
      <c r="C2933" s="38">
        <v>44692</v>
      </c>
      <c r="D2933" s="1" t="s">
        <v>158</v>
      </c>
      <c r="E2933" s="1" t="s">
        <v>33</v>
      </c>
      <c r="F2933" s="1" t="s">
        <v>210</v>
      </c>
      <c r="G2933" s="5">
        <v>819.6</v>
      </c>
    </row>
    <row r="2934" spans="1:7" x14ac:dyDescent="0.2">
      <c r="A2934" s="3">
        <v>2184</v>
      </c>
      <c r="B2934" s="2">
        <v>492077.04</v>
      </c>
      <c r="C2934" s="38">
        <v>44680</v>
      </c>
      <c r="D2934" s="1" t="s">
        <v>167</v>
      </c>
      <c r="E2934" s="1" t="s">
        <v>33</v>
      </c>
      <c r="F2934" s="1" t="s">
        <v>210</v>
      </c>
      <c r="G2934" s="5">
        <v>225.31</v>
      </c>
    </row>
    <row r="2935" spans="1:7" x14ac:dyDescent="0.2">
      <c r="A2935" s="3">
        <v>1092</v>
      </c>
      <c r="B2935" s="2">
        <v>246038.52</v>
      </c>
      <c r="C2935" s="38">
        <v>44680</v>
      </c>
      <c r="D2935" s="1" t="s">
        <v>167</v>
      </c>
      <c r="E2935" s="1" t="s">
        <v>33</v>
      </c>
      <c r="F2935" s="1" t="s">
        <v>210</v>
      </c>
      <c r="G2935" s="5">
        <v>225.31</v>
      </c>
    </row>
    <row r="2936" spans="1:7" x14ac:dyDescent="0.2">
      <c r="A2936" s="3">
        <v>2772</v>
      </c>
      <c r="B2936" s="2">
        <v>624559.31999999995</v>
      </c>
      <c r="C2936" s="38">
        <v>44680</v>
      </c>
      <c r="D2936" s="1" t="s">
        <v>167</v>
      </c>
      <c r="E2936" s="1" t="s">
        <v>33</v>
      </c>
      <c r="F2936" s="1" t="s">
        <v>210</v>
      </c>
      <c r="G2936" s="5">
        <v>225.31</v>
      </c>
    </row>
    <row r="2937" spans="1:7" x14ac:dyDescent="0.2">
      <c r="A2937" s="3">
        <v>1296</v>
      </c>
      <c r="B2937" s="2">
        <v>139851.35999999999</v>
      </c>
      <c r="C2937" s="38">
        <v>45037</v>
      </c>
      <c r="D2937" s="1" t="s">
        <v>55</v>
      </c>
      <c r="E2937" s="1" t="s">
        <v>33</v>
      </c>
      <c r="F2937" s="1" t="s">
        <v>207</v>
      </c>
      <c r="G2937" s="5">
        <v>107.91</v>
      </c>
    </row>
    <row r="2938" spans="1:7" x14ac:dyDescent="0.2">
      <c r="A2938" s="3">
        <v>220</v>
      </c>
      <c r="B2938" s="2">
        <v>991716</v>
      </c>
      <c r="C2938" s="38">
        <v>44700</v>
      </c>
      <c r="D2938" s="1" t="s">
        <v>142</v>
      </c>
      <c r="E2938" s="1" t="s">
        <v>33</v>
      </c>
      <c r="F2938" s="1" t="s">
        <v>210</v>
      </c>
      <c r="G2938" s="5">
        <v>4507.8</v>
      </c>
    </row>
    <row r="2939" spans="1:7" x14ac:dyDescent="0.2">
      <c r="A2939" s="3">
        <v>930</v>
      </c>
      <c r="B2939" s="2">
        <v>409702.2</v>
      </c>
      <c r="C2939" s="38">
        <v>44704</v>
      </c>
      <c r="D2939" s="1" t="s">
        <v>66</v>
      </c>
      <c r="E2939" s="1" t="s">
        <v>33</v>
      </c>
      <c r="F2939" s="1" t="s">
        <v>210</v>
      </c>
      <c r="G2939" s="5">
        <v>440.54</v>
      </c>
    </row>
    <row r="2940" spans="1:7" x14ac:dyDescent="0.2">
      <c r="A2940" s="3">
        <v>322</v>
      </c>
      <c r="B2940" s="2">
        <v>29936.34</v>
      </c>
      <c r="C2940" s="38">
        <v>44677</v>
      </c>
      <c r="D2940" s="1" t="s">
        <v>84</v>
      </c>
      <c r="E2940" s="1" t="s">
        <v>33</v>
      </c>
      <c r="F2940" s="1" t="s">
        <v>210</v>
      </c>
      <c r="G2940" s="5">
        <v>92.97</v>
      </c>
    </row>
    <row r="2941" spans="1:7" x14ac:dyDescent="0.2">
      <c r="A2941" s="3">
        <v>1500</v>
      </c>
      <c r="B2941" s="2">
        <v>971.85</v>
      </c>
      <c r="C2941" s="38">
        <v>44811</v>
      </c>
      <c r="D2941" s="1" t="s">
        <v>81</v>
      </c>
      <c r="E2941" s="1" t="s">
        <v>33</v>
      </c>
      <c r="F2941" s="1" t="s">
        <v>210</v>
      </c>
      <c r="G2941" s="5">
        <v>0.64790000000000003</v>
      </c>
    </row>
    <row r="2942" spans="1:7" x14ac:dyDescent="0.2">
      <c r="A2942" s="3">
        <v>100</v>
      </c>
      <c r="B2942" s="2">
        <v>385088</v>
      </c>
      <c r="C2942" s="38">
        <v>44768</v>
      </c>
      <c r="D2942" s="1" t="s">
        <v>88</v>
      </c>
      <c r="E2942" s="1" t="s">
        <v>33</v>
      </c>
      <c r="F2942" s="1" t="s">
        <v>210</v>
      </c>
      <c r="G2942" s="5">
        <v>3850.88</v>
      </c>
    </row>
    <row r="2943" spans="1:7" x14ac:dyDescent="0.2">
      <c r="A2943" s="3">
        <v>1500</v>
      </c>
      <c r="B2943" s="2">
        <v>971.85</v>
      </c>
      <c r="C2943" s="38">
        <v>44826</v>
      </c>
      <c r="D2943" s="1" t="s">
        <v>81</v>
      </c>
      <c r="E2943" s="1" t="s">
        <v>33</v>
      </c>
      <c r="F2943" s="1" t="s">
        <v>210</v>
      </c>
      <c r="G2943" s="5">
        <v>0.64790000000000003</v>
      </c>
    </row>
    <row r="2944" spans="1:7" x14ac:dyDescent="0.2">
      <c r="A2944" s="3">
        <v>640</v>
      </c>
      <c r="B2944" s="2">
        <v>1614432</v>
      </c>
      <c r="C2944" s="38">
        <v>44862</v>
      </c>
      <c r="D2944" s="1" t="s">
        <v>162</v>
      </c>
      <c r="E2944" s="1" t="s">
        <v>33</v>
      </c>
      <c r="F2944" s="1" t="s">
        <v>207</v>
      </c>
      <c r="G2944" s="5">
        <v>2522.5500000000002</v>
      </c>
    </row>
    <row r="2945" spans="1:7" x14ac:dyDescent="0.2">
      <c r="A2945" s="3">
        <v>240</v>
      </c>
      <c r="B2945" s="2">
        <v>69144</v>
      </c>
      <c r="C2945" s="38">
        <v>44862</v>
      </c>
      <c r="D2945" s="1" t="s">
        <v>57</v>
      </c>
      <c r="E2945" s="1" t="s">
        <v>33</v>
      </c>
      <c r="F2945" s="1" t="s">
        <v>207</v>
      </c>
      <c r="G2945" s="5">
        <v>288.10000000000002</v>
      </c>
    </row>
    <row r="2946" spans="1:7" x14ac:dyDescent="0.2">
      <c r="A2946" s="3">
        <v>196</v>
      </c>
      <c r="B2946" s="2">
        <v>750999.48</v>
      </c>
      <c r="C2946" s="38">
        <v>44826</v>
      </c>
      <c r="D2946" s="1" t="s">
        <v>88</v>
      </c>
      <c r="E2946" s="1" t="s">
        <v>33</v>
      </c>
      <c r="F2946" s="1" t="s">
        <v>210</v>
      </c>
      <c r="G2946" s="5">
        <v>3831.63</v>
      </c>
    </row>
    <row r="2947" spans="1:7" x14ac:dyDescent="0.2">
      <c r="A2947" s="3">
        <v>536</v>
      </c>
      <c r="B2947" s="2">
        <v>44423.68</v>
      </c>
      <c r="C2947" s="38">
        <v>44837</v>
      </c>
      <c r="D2947" s="1" t="s">
        <v>139</v>
      </c>
      <c r="E2947" s="1" t="s">
        <v>33</v>
      </c>
      <c r="F2947" s="1" t="s">
        <v>210</v>
      </c>
      <c r="G2947" s="5">
        <v>82.88</v>
      </c>
    </row>
    <row r="2948" spans="1:7" x14ac:dyDescent="0.2">
      <c r="A2948" s="3">
        <v>1500</v>
      </c>
      <c r="B2948" s="2">
        <v>1725</v>
      </c>
      <c r="C2948" s="38">
        <v>44837</v>
      </c>
      <c r="D2948" s="1" t="s">
        <v>79</v>
      </c>
      <c r="E2948" s="1" t="s">
        <v>33</v>
      </c>
      <c r="F2948" s="1" t="s">
        <v>210</v>
      </c>
      <c r="G2948" s="5">
        <v>1.1499999999999999</v>
      </c>
    </row>
    <row r="2949" spans="1:7" x14ac:dyDescent="0.2">
      <c r="A2949" s="3">
        <v>630</v>
      </c>
      <c r="B2949" s="2">
        <v>66383.100000000006</v>
      </c>
      <c r="C2949" s="38">
        <v>44839</v>
      </c>
      <c r="D2949" s="1" t="s">
        <v>168</v>
      </c>
      <c r="E2949" s="1" t="s">
        <v>33</v>
      </c>
      <c r="F2949" s="1" t="s">
        <v>210</v>
      </c>
      <c r="G2949" s="5">
        <v>105.37</v>
      </c>
    </row>
    <row r="2950" spans="1:7" x14ac:dyDescent="0.2">
      <c r="A2950" s="3">
        <v>885</v>
      </c>
      <c r="B2950" s="2">
        <v>93252.45</v>
      </c>
      <c r="C2950" s="38">
        <v>44839</v>
      </c>
      <c r="D2950" s="1" t="s">
        <v>168</v>
      </c>
      <c r="E2950" s="1" t="s">
        <v>33</v>
      </c>
      <c r="F2950" s="1" t="s">
        <v>210</v>
      </c>
      <c r="G2950" s="5">
        <v>105.37</v>
      </c>
    </row>
    <row r="2951" spans="1:7" x14ac:dyDescent="0.2">
      <c r="A2951" s="3">
        <v>1196</v>
      </c>
      <c r="B2951" s="2">
        <v>201346.6</v>
      </c>
      <c r="C2951" s="38">
        <v>44845</v>
      </c>
      <c r="D2951" s="1" t="s">
        <v>118</v>
      </c>
      <c r="E2951" s="1" t="s">
        <v>33</v>
      </c>
      <c r="F2951" s="1" t="s">
        <v>210</v>
      </c>
      <c r="G2951" s="5">
        <v>168.35</v>
      </c>
    </row>
    <row r="2952" spans="1:7" x14ac:dyDescent="0.2">
      <c r="A2952" s="3">
        <v>1196</v>
      </c>
      <c r="B2952" s="2">
        <v>201346.6</v>
      </c>
      <c r="C2952" s="38">
        <v>44845</v>
      </c>
      <c r="D2952" s="1" t="s">
        <v>118</v>
      </c>
      <c r="E2952" s="1" t="s">
        <v>33</v>
      </c>
      <c r="F2952" s="1" t="s">
        <v>210</v>
      </c>
      <c r="G2952" s="5">
        <v>168.35</v>
      </c>
    </row>
    <row r="2953" spans="1:7" x14ac:dyDescent="0.2">
      <c r="A2953" s="3">
        <v>444</v>
      </c>
      <c r="B2953" s="2">
        <v>29401.68</v>
      </c>
      <c r="C2953" s="38">
        <v>44846</v>
      </c>
      <c r="D2953" s="1" t="s">
        <v>119</v>
      </c>
      <c r="E2953" s="1" t="s">
        <v>33</v>
      </c>
      <c r="F2953" s="1" t="s">
        <v>210</v>
      </c>
      <c r="G2953" s="5">
        <v>66.22</v>
      </c>
    </row>
    <row r="2954" spans="1:7" x14ac:dyDescent="0.2">
      <c r="A2954" s="3">
        <v>80</v>
      </c>
      <c r="B2954" s="2">
        <v>6630.4</v>
      </c>
      <c r="C2954" s="38">
        <v>44748</v>
      </c>
      <c r="D2954" s="1" t="s">
        <v>139</v>
      </c>
      <c r="E2954" s="1" t="s">
        <v>33</v>
      </c>
      <c r="F2954" s="1" t="s">
        <v>210</v>
      </c>
      <c r="G2954" s="5">
        <v>82.88</v>
      </c>
    </row>
    <row r="2955" spans="1:7" x14ac:dyDescent="0.2">
      <c r="A2955" s="3">
        <v>70</v>
      </c>
      <c r="B2955" s="2">
        <v>269561.59999999998</v>
      </c>
      <c r="C2955" s="38">
        <v>44748</v>
      </c>
      <c r="D2955" s="1" t="s">
        <v>88</v>
      </c>
      <c r="E2955" s="1" t="s">
        <v>33</v>
      </c>
      <c r="F2955" s="1" t="s">
        <v>210</v>
      </c>
      <c r="G2955" s="5">
        <v>3850.88</v>
      </c>
    </row>
    <row r="2956" spans="1:7" x14ac:dyDescent="0.2">
      <c r="A2956" s="3">
        <v>75</v>
      </c>
      <c r="B2956" s="2">
        <v>288816</v>
      </c>
      <c r="C2956" s="38">
        <v>44748</v>
      </c>
      <c r="D2956" s="1" t="s">
        <v>88</v>
      </c>
      <c r="E2956" s="1" t="s">
        <v>33</v>
      </c>
      <c r="F2956" s="1" t="s">
        <v>210</v>
      </c>
      <c r="G2956" s="5">
        <v>3850.88</v>
      </c>
    </row>
    <row r="2957" spans="1:7" x14ac:dyDescent="0.2">
      <c r="A2957" s="3">
        <v>198</v>
      </c>
      <c r="B2957" s="2">
        <v>892544.4</v>
      </c>
      <c r="C2957" s="38">
        <v>44749</v>
      </c>
      <c r="D2957" s="1" t="s">
        <v>142</v>
      </c>
      <c r="E2957" s="1" t="s">
        <v>33</v>
      </c>
      <c r="F2957" s="1" t="s">
        <v>210</v>
      </c>
      <c r="G2957" s="5">
        <v>4507.8</v>
      </c>
    </row>
    <row r="2958" spans="1:7" x14ac:dyDescent="0.2">
      <c r="A2958" s="3">
        <v>1408</v>
      </c>
      <c r="B2958" s="2">
        <v>1157207.04</v>
      </c>
      <c r="C2958" s="38">
        <v>44792</v>
      </c>
      <c r="D2958" s="1" t="s">
        <v>141</v>
      </c>
      <c r="E2958" s="1" t="s">
        <v>33</v>
      </c>
      <c r="F2958" s="1" t="s">
        <v>210</v>
      </c>
      <c r="G2958" s="5">
        <v>821.88</v>
      </c>
    </row>
    <row r="2959" spans="1:7" x14ac:dyDescent="0.2">
      <c r="A2959" s="3">
        <v>266</v>
      </c>
      <c r="B2959" s="2">
        <v>17614.52</v>
      </c>
      <c r="C2959" s="38">
        <v>44911</v>
      </c>
      <c r="D2959" s="1" t="s">
        <v>119</v>
      </c>
      <c r="E2959" s="1" t="s">
        <v>33</v>
      </c>
      <c r="F2959" s="1" t="s">
        <v>210</v>
      </c>
      <c r="G2959" s="5">
        <v>66.22</v>
      </c>
    </row>
    <row r="2960" spans="1:7" x14ac:dyDescent="0.2">
      <c r="A2960" s="3">
        <v>288</v>
      </c>
      <c r="B2960" s="2">
        <v>56557.440000000002</v>
      </c>
      <c r="C2960" s="38">
        <v>44756</v>
      </c>
      <c r="D2960" s="1" t="s">
        <v>115</v>
      </c>
      <c r="E2960" s="1" t="s">
        <v>33</v>
      </c>
      <c r="F2960" s="1" t="s">
        <v>210</v>
      </c>
      <c r="G2960" s="5">
        <v>196.38</v>
      </c>
    </row>
    <row r="2961" spans="1:7" x14ac:dyDescent="0.2">
      <c r="A2961" s="3">
        <v>768</v>
      </c>
      <c r="B2961" s="2">
        <v>90516.479999999996</v>
      </c>
      <c r="C2961" s="38">
        <v>44756</v>
      </c>
      <c r="D2961" s="1" t="s">
        <v>165</v>
      </c>
      <c r="E2961" s="1" t="s">
        <v>33</v>
      </c>
      <c r="F2961" s="1" t="s">
        <v>210</v>
      </c>
      <c r="G2961" s="5">
        <v>117.86</v>
      </c>
    </row>
    <row r="2962" spans="1:7" x14ac:dyDescent="0.2">
      <c r="A2962" s="3">
        <v>1320</v>
      </c>
      <c r="B2962" s="2">
        <v>581512.80000000005</v>
      </c>
      <c r="C2962" s="38">
        <v>44924</v>
      </c>
      <c r="D2962" s="1" t="s">
        <v>66</v>
      </c>
      <c r="E2962" s="1" t="s">
        <v>33</v>
      </c>
      <c r="F2962" s="1" t="s">
        <v>210</v>
      </c>
      <c r="G2962" s="5">
        <v>440.54</v>
      </c>
    </row>
    <row r="2963" spans="1:7" x14ac:dyDescent="0.2">
      <c r="A2963" s="3">
        <v>2</v>
      </c>
      <c r="B2963" s="2">
        <v>9015.6</v>
      </c>
      <c r="C2963" s="38">
        <v>44798</v>
      </c>
      <c r="D2963" s="1" t="s">
        <v>142</v>
      </c>
      <c r="E2963" s="1" t="s">
        <v>33</v>
      </c>
      <c r="F2963" s="1" t="s">
        <v>210</v>
      </c>
      <c r="G2963" s="5">
        <v>4507.8</v>
      </c>
    </row>
    <row r="2964" spans="1:7" x14ac:dyDescent="0.2">
      <c r="A2964" s="3">
        <v>252</v>
      </c>
      <c r="B2964" s="2">
        <v>21606.48</v>
      </c>
      <c r="C2964" s="38">
        <v>45167</v>
      </c>
      <c r="D2964" s="1" t="s">
        <v>61</v>
      </c>
      <c r="E2964" s="1" t="s">
        <v>33</v>
      </c>
      <c r="F2964" s="1" t="s">
        <v>210</v>
      </c>
      <c r="G2964" s="5">
        <v>85.74</v>
      </c>
    </row>
    <row r="2965" spans="1:7" x14ac:dyDescent="0.2">
      <c r="A2965" s="3">
        <v>35</v>
      </c>
      <c r="B2965" s="2">
        <v>157773</v>
      </c>
      <c r="C2965" s="38">
        <v>44804</v>
      </c>
      <c r="D2965" s="1" t="s">
        <v>142</v>
      </c>
      <c r="E2965" s="1" t="s">
        <v>33</v>
      </c>
      <c r="F2965" s="1" t="s">
        <v>210</v>
      </c>
      <c r="G2965" s="5">
        <v>4507.8</v>
      </c>
    </row>
    <row r="2966" spans="1:7" x14ac:dyDescent="0.2">
      <c r="A2966" s="3">
        <v>768</v>
      </c>
      <c r="B2966" s="2">
        <v>109524.48</v>
      </c>
      <c r="C2966" s="38">
        <v>44855</v>
      </c>
      <c r="D2966" s="1" t="s">
        <v>165</v>
      </c>
      <c r="E2966" s="1" t="s">
        <v>33</v>
      </c>
      <c r="F2966" s="1" t="s">
        <v>207</v>
      </c>
      <c r="G2966" s="5">
        <v>142.61000000000001</v>
      </c>
    </row>
    <row r="2967" spans="1:7" x14ac:dyDescent="0.2">
      <c r="A2967" s="3">
        <v>870</v>
      </c>
      <c r="B2967" s="2">
        <v>383269.8</v>
      </c>
      <c r="C2967" s="38">
        <v>44862</v>
      </c>
      <c r="D2967" s="1" t="s">
        <v>66</v>
      </c>
      <c r="E2967" s="1" t="s">
        <v>33</v>
      </c>
      <c r="F2967" s="1" t="s">
        <v>210</v>
      </c>
      <c r="G2967" s="5">
        <v>440.54</v>
      </c>
    </row>
    <row r="2968" spans="1:7" x14ac:dyDescent="0.2">
      <c r="A2968" s="3">
        <v>885</v>
      </c>
      <c r="B2968" s="2">
        <v>109704.6</v>
      </c>
      <c r="C2968" s="38">
        <v>44862</v>
      </c>
      <c r="D2968" s="1" t="s">
        <v>169</v>
      </c>
      <c r="E2968" s="1" t="s">
        <v>33</v>
      </c>
      <c r="F2968" s="1" t="s">
        <v>210</v>
      </c>
      <c r="G2968" s="5">
        <v>123.96</v>
      </c>
    </row>
    <row r="2969" spans="1:7" x14ac:dyDescent="0.2">
      <c r="A2969" s="3">
        <v>630</v>
      </c>
      <c r="B2969" s="2">
        <v>78094.8</v>
      </c>
      <c r="C2969" s="38">
        <v>44862</v>
      </c>
      <c r="D2969" s="1" t="s">
        <v>169</v>
      </c>
      <c r="E2969" s="1" t="s">
        <v>33</v>
      </c>
      <c r="F2969" s="1" t="s">
        <v>210</v>
      </c>
      <c r="G2969" s="5">
        <v>123.96</v>
      </c>
    </row>
    <row r="2970" spans="1:7" x14ac:dyDescent="0.2">
      <c r="A2970" s="3">
        <v>1674000</v>
      </c>
      <c r="B2970" s="2">
        <v>2075760</v>
      </c>
      <c r="C2970" s="38">
        <v>45107</v>
      </c>
      <c r="D2970" s="1" t="s">
        <v>178</v>
      </c>
      <c r="E2970" s="1" t="s">
        <v>33</v>
      </c>
      <c r="F2970" s="1" t="s">
        <v>207</v>
      </c>
      <c r="G2970" s="5">
        <v>1.24</v>
      </c>
    </row>
    <row r="2971" spans="1:7" x14ac:dyDescent="0.2">
      <c r="A2971" s="3">
        <v>67500</v>
      </c>
      <c r="B2971" s="2">
        <v>77625</v>
      </c>
      <c r="C2971" s="38">
        <v>45107</v>
      </c>
      <c r="D2971" s="1" t="s">
        <v>160</v>
      </c>
      <c r="E2971" s="1" t="s">
        <v>33</v>
      </c>
      <c r="F2971" s="1" t="s">
        <v>207</v>
      </c>
      <c r="G2971" s="5">
        <v>1.1499999999999999</v>
      </c>
    </row>
    <row r="2972" spans="1:7" x14ac:dyDescent="0.2">
      <c r="A2972" s="3">
        <v>48000</v>
      </c>
      <c r="B2972" s="2">
        <v>49920</v>
      </c>
      <c r="C2972" s="38">
        <v>45107</v>
      </c>
      <c r="D2972" s="1" t="s">
        <v>153</v>
      </c>
      <c r="E2972" s="1" t="s">
        <v>33</v>
      </c>
      <c r="F2972" s="1" t="s">
        <v>207</v>
      </c>
      <c r="G2972" s="5">
        <v>1.04</v>
      </c>
    </row>
    <row r="2973" spans="1:7" x14ac:dyDescent="0.2">
      <c r="A2973" s="3">
        <v>30000</v>
      </c>
      <c r="B2973" s="2">
        <v>13200</v>
      </c>
      <c r="C2973" s="38">
        <v>45107</v>
      </c>
      <c r="D2973" s="1" t="s">
        <v>154</v>
      </c>
      <c r="E2973" s="1" t="s">
        <v>33</v>
      </c>
      <c r="F2973" s="1" t="s">
        <v>207</v>
      </c>
      <c r="G2973" s="5">
        <v>0.44</v>
      </c>
    </row>
    <row r="2974" spans="1:7" x14ac:dyDescent="0.2">
      <c r="A2974" s="3">
        <v>33000</v>
      </c>
      <c r="B2974" s="2">
        <v>69960</v>
      </c>
      <c r="C2974" s="38">
        <v>45107</v>
      </c>
      <c r="D2974" s="1" t="s">
        <v>185</v>
      </c>
      <c r="E2974" s="1" t="s">
        <v>33</v>
      </c>
      <c r="F2974" s="1" t="s">
        <v>207</v>
      </c>
      <c r="G2974" s="5">
        <v>2.12</v>
      </c>
    </row>
    <row r="2975" spans="1:7" x14ac:dyDescent="0.2">
      <c r="A2975" s="3">
        <v>45000</v>
      </c>
      <c r="B2975" s="2">
        <v>69300</v>
      </c>
      <c r="C2975" s="38">
        <v>45107</v>
      </c>
      <c r="D2975" s="1" t="s">
        <v>179</v>
      </c>
      <c r="E2975" s="1" t="s">
        <v>33</v>
      </c>
      <c r="F2975" s="1" t="s">
        <v>207</v>
      </c>
      <c r="G2975" s="5">
        <v>1.54</v>
      </c>
    </row>
    <row r="2976" spans="1:7" x14ac:dyDescent="0.2">
      <c r="A2976" s="3">
        <v>225000</v>
      </c>
      <c r="B2976" s="2">
        <v>420750</v>
      </c>
      <c r="C2976" s="38">
        <v>45107</v>
      </c>
      <c r="D2976" s="1" t="s">
        <v>176</v>
      </c>
      <c r="E2976" s="1" t="s">
        <v>33</v>
      </c>
      <c r="F2976" s="1" t="s">
        <v>207</v>
      </c>
      <c r="G2976" s="5">
        <v>1.87</v>
      </c>
    </row>
    <row r="2977" spans="1:7" x14ac:dyDescent="0.2">
      <c r="A2977" s="3">
        <v>252500</v>
      </c>
      <c r="B2977" s="2">
        <v>391375</v>
      </c>
      <c r="C2977" s="38">
        <v>45107</v>
      </c>
      <c r="D2977" s="1" t="s">
        <v>186</v>
      </c>
      <c r="E2977" s="1" t="s">
        <v>33</v>
      </c>
      <c r="F2977" s="1" t="s">
        <v>207</v>
      </c>
      <c r="G2977" s="5">
        <v>1.55</v>
      </c>
    </row>
    <row r="2978" spans="1:7" x14ac:dyDescent="0.2">
      <c r="A2978" s="3">
        <v>327000</v>
      </c>
      <c r="B2978" s="2">
        <v>765180</v>
      </c>
      <c r="C2978" s="38">
        <v>45107</v>
      </c>
      <c r="D2978" s="1" t="s">
        <v>187</v>
      </c>
      <c r="E2978" s="1" t="s">
        <v>33</v>
      </c>
      <c r="F2978" s="1" t="s">
        <v>207</v>
      </c>
      <c r="G2978" s="5">
        <v>2.34</v>
      </c>
    </row>
    <row r="2979" spans="1:7" x14ac:dyDescent="0.2">
      <c r="A2979" s="3">
        <v>217500</v>
      </c>
      <c r="B2979" s="2">
        <v>369750</v>
      </c>
      <c r="C2979" s="38">
        <v>45107</v>
      </c>
      <c r="D2979" s="1" t="s">
        <v>188</v>
      </c>
      <c r="E2979" s="1" t="s">
        <v>33</v>
      </c>
      <c r="F2979" s="1" t="s">
        <v>207</v>
      </c>
      <c r="G2979" s="5">
        <v>1.7</v>
      </c>
    </row>
    <row r="2980" spans="1:7" x14ac:dyDescent="0.2">
      <c r="A2980" s="3">
        <v>2500</v>
      </c>
      <c r="B2980" s="2">
        <v>9100</v>
      </c>
      <c r="C2980" s="38">
        <v>45107</v>
      </c>
      <c r="D2980" s="1" t="s">
        <v>156</v>
      </c>
      <c r="E2980" s="1" t="s">
        <v>33</v>
      </c>
      <c r="F2980" s="1" t="s">
        <v>207</v>
      </c>
      <c r="G2980" s="5">
        <v>3.64</v>
      </c>
    </row>
    <row r="2981" spans="1:7" x14ac:dyDescent="0.2">
      <c r="A2981" s="3">
        <v>222000</v>
      </c>
      <c r="B2981" s="2">
        <v>699300</v>
      </c>
      <c r="C2981" s="38">
        <v>45107</v>
      </c>
      <c r="D2981" s="1" t="s">
        <v>177</v>
      </c>
      <c r="E2981" s="1" t="s">
        <v>33</v>
      </c>
      <c r="F2981" s="1" t="s">
        <v>207</v>
      </c>
      <c r="G2981" s="5">
        <v>3.15</v>
      </c>
    </row>
    <row r="2982" spans="1:7" x14ac:dyDescent="0.2">
      <c r="A2982" s="3">
        <v>197500</v>
      </c>
      <c r="B2982" s="2">
        <v>750500</v>
      </c>
      <c r="C2982" s="38">
        <v>45107</v>
      </c>
      <c r="D2982" s="1" t="s">
        <v>189</v>
      </c>
      <c r="E2982" s="1" t="s">
        <v>33</v>
      </c>
      <c r="F2982" s="1" t="s">
        <v>207</v>
      </c>
      <c r="G2982" s="5">
        <v>3.8</v>
      </c>
    </row>
    <row r="2983" spans="1:7" x14ac:dyDescent="0.2">
      <c r="A2983" s="3">
        <v>20000</v>
      </c>
      <c r="B2983" s="2">
        <v>291200</v>
      </c>
      <c r="C2983" s="38">
        <v>45107</v>
      </c>
      <c r="D2983" s="1" t="s">
        <v>189</v>
      </c>
      <c r="E2983" s="1" t="s">
        <v>33</v>
      </c>
      <c r="F2983" s="1" t="s">
        <v>207</v>
      </c>
      <c r="G2983" s="5">
        <v>14.56</v>
      </c>
    </row>
    <row r="2984" spans="1:7" x14ac:dyDescent="0.2">
      <c r="A2984" s="3">
        <v>-10164</v>
      </c>
      <c r="B2984" s="2">
        <v>-275342.76</v>
      </c>
      <c r="C2984" s="38">
        <v>45008</v>
      </c>
      <c r="D2984" s="1" t="s">
        <v>53</v>
      </c>
      <c r="E2984" s="1" t="s">
        <v>34</v>
      </c>
      <c r="F2984" s="1" t="s">
        <v>201</v>
      </c>
      <c r="G2984" s="5">
        <v>27.09</v>
      </c>
    </row>
    <row r="2985" spans="1:7" x14ac:dyDescent="0.2">
      <c r="A2985" s="3">
        <v>-31724</v>
      </c>
      <c r="B2985" s="2">
        <v>-859403.16</v>
      </c>
      <c r="C2985" s="38">
        <v>45008</v>
      </c>
      <c r="D2985" s="1" t="s">
        <v>53</v>
      </c>
      <c r="E2985" s="1" t="s">
        <v>34</v>
      </c>
      <c r="F2985" s="1" t="s">
        <v>201</v>
      </c>
      <c r="G2985" s="5">
        <v>27.09</v>
      </c>
    </row>
    <row r="2986" spans="1:7" x14ac:dyDescent="0.2">
      <c r="A2986" s="3">
        <v>-43120</v>
      </c>
      <c r="B2986" s="2">
        <v>-1168120.8</v>
      </c>
      <c r="C2986" s="38">
        <v>45008</v>
      </c>
      <c r="D2986" s="1" t="s">
        <v>53</v>
      </c>
      <c r="E2986" s="1" t="s">
        <v>34</v>
      </c>
      <c r="F2986" s="1" t="s">
        <v>201</v>
      </c>
      <c r="G2986" s="5">
        <v>27.09</v>
      </c>
    </row>
    <row r="2987" spans="1:7" x14ac:dyDescent="0.2">
      <c r="A2987" s="3">
        <v>-11088</v>
      </c>
      <c r="B2987" s="2">
        <v>-300373.92</v>
      </c>
      <c r="C2987" s="38">
        <v>45008</v>
      </c>
      <c r="D2987" s="1" t="s">
        <v>53</v>
      </c>
      <c r="E2987" s="1" t="s">
        <v>34</v>
      </c>
      <c r="F2987" s="1" t="s">
        <v>201</v>
      </c>
      <c r="G2987" s="5">
        <v>27.09</v>
      </c>
    </row>
    <row r="2988" spans="1:7" x14ac:dyDescent="0.2">
      <c r="A2988" s="3">
        <v>-9548</v>
      </c>
      <c r="B2988" s="2">
        <v>-258655.32</v>
      </c>
      <c r="C2988" s="38">
        <v>45008</v>
      </c>
      <c r="D2988" s="1" t="s">
        <v>53</v>
      </c>
      <c r="E2988" s="1" t="s">
        <v>34</v>
      </c>
      <c r="F2988" s="1" t="s">
        <v>201</v>
      </c>
      <c r="G2988" s="5">
        <v>27.09</v>
      </c>
    </row>
    <row r="2989" spans="1:7" x14ac:dyDescent="0.2">
      <c r="A2989" s="3">
        <v>-15708</v>
      </c>
      <c r="B2989" s="2">
        <v>-425529.72</v>
      </c>
      <c r="C2989" s="38">
        <v>45008</v>
      </c>
      <c r="D2989" s="1" t="s">
        <v>53</v>
      </c>
      <c r="E2989" s="1" t="s">
        <v>34</v>
      </c>
      <c r="F2989" s="1" t="s">
        <v>201</v>
      </c>
      <c r="G2989" s="5">
        <v>27.09</v>
      </c>
    </row>
    <row r="2990" spans="1:7" x14ac:dyDescent="0.2">
      <c r="A2990" s="3">
        <v>-10780</v>
      </c>
      <c r="B2990" s="2">
        <v>-292030.2</v>
      </c>
      <c r="C2990" s="38">
        <v>45008</v>
      </c>
      <c r="D2990" s="1" t="s">
        <v>53</v>
      </c>
      <c r="E2990" s="1" t="s">
        <v>34</v>
      </c>
      <c r="F2990" s="1" t="s">
        <v>201</v>
      </c>
      <c r="G2990" s="5">
        <v>27.09</v>
      </c>
    </row>
    <row r="2991" spans="1:7" x14ac:dyDescent="0.2">
      <c r="A2991" s="3">
        <v>-11396</v>
      </c>
      <c r="B2991" s="2">
        <v>-308717.64</v>
      </c>
      <c r="C2991" s="38">
        <v>45008</v>
      </c>
      <c r="D2991" s="1" t="s">
        <v>53</v>
      </c>
      <c r="E2991" s="1" t="s">
        <v>34</v>
      </c>
      <c r="F2991" s="1" t="s">
        <v>201</v>
      </c>
      <c r="G2991" s="5">
        <v>27.09</v>
      </c>
    </row>
    <row r="2992" spans="1:7" x14ac:dyDescent="0.2">
      <c r="A2992" s="3">
        <v>-1384</v>
      </c>
      <c r="B2992" s="2">
        <v>-22296.240000000002</v>
      </c>
      <c r="C2992" s="38">
        <v>45118</v>
      </c>
      <c r="D2992" s="1" t="s">
        <v>190</v>
      </c>
      <c r="E2992" s="1" t="s">
        <v>35</v>
      </c>
      <c r="F2992" s="1" t="s">
        <v>205</v>
      </c>
      <c r="G2992" s="5">
        <v>16.11</v>
      </c>
    </row>
    <row r="2993" spans="1:7" x14ac:dyDescent="0.2">
      <c r="A2993" s="3">
        <v>-616</v>
      </c>
      <c r="B2993" s="2">
        <v>-322543.76</v>
      </c>
      <c r="C2993" s="38">
        <v>44986</v>
      </c>
      <c r="D2993" s="1" t="s">
        <v>64</v>
      </c>
      <c r="E2993" s="1" t="s">
        <v>36</v>
      </c>
      <c r="F2993" s="1" t="s">
        <v>204</v>
      </c>
      <c r="G2993" s="5">
        <v>523.61</v>
      </c>
    </row>
    <row r="2994" spans="1:7" x14ac:dyDescent="0.2">
      <c r="A2994" s="3">
        <v>-37268</v>
      </c>
      <c r="B2994" s="2">
        <v>-1009590.12</v>
      </c>
      <c r="C2994" s="38">
        <v>45009</v>
      </c>
      <c r="D2994" s="1" t="s">
        <v>53</v>
      </c>
      <c r="E2994" s="1" t="s">
        <v>34</v>
      </c>
      <c r="F2994" s="1" t="s">
        <v>201</v>
      </c>
      <c r="G2994" s="5">
        <v>27.09</v>
      </c>
    </row>
    <row r="2995" spans="1:7" x14ac:dyDescent="0.2">
      <c r="A2995" s="3">
        <v>-735</v>
      </c>
      <c r="B2995" s="2">
        <v>-547347.15</v>
      </c>
      <c r="C2995" s="38">
        <v>45084</v>
      </c>
      <c r="D2995" s="1" t="s">
        <v>77</v>
      </c>
      <c r="E2995" s="1" t="s">
        <v>36</v>
      </c>
      <c r="F2995" s="1" t="s">
        <v>204</v>
      </c>
      <c r="G2995" s="5">
        <v>744.69</v>
      </c>
    </row>
    <row r="2996" spans="1:7" x14ac:dyDescent="0.2">
      <c r="A2996" s="3">
        <v>-17248</v>
      </c>
      <c r="B2996" s="2">
        <v>-467248.32</v>
      </c>
      <c r="C2996" s="38">
        <v>45009</v>
      </c>
      <c r="D2996" s="1" t="s">
        <v>53</v>
      </c>
      <c r="E2996" s="1" t="s">
        <v>34</v>
      </c>
      <c r="F2996" s="1" t="s">
        <v>201</v>
      </c>
      <c r="G2996" s="5">
        <v>27.09</v>
      </c>
    </row>
    <row r="2997" spans="1:7" x14ac:dyDescent="0.2">
      <c r="A2997" s="3">
        <v>-23716</v>
      </c>
      <c r="B2997" s="2">
        <v>-642466.43999999994</v>
      </c>
      <c r="C2997" s="38">
        <v>45009</v>
      </c>
      <c r="D2997" s="1" t="s">
        <v>53</v>
      </c>
      <c r="E2997" s="1" t="s">
        <v>34</v>
      </c>
      <c r="F2997" s="1" t="s">
        <v>201</v>
      </c>
      <c r="G2997" s="5">
        <v>27.09</v>
      </c>
    </row>
    <row r="2998" spans="1:7" x14ac:dyDescent="0.2">
      <c r="A2998" s="3">
        <v>-33880</v>
      </c>
      <c r="B2998" s="2">
        <v>-917809.2</v>
      </c>
      <c r="C2998" s="38">
        <v>45009</v>
      </c>
      <c r="D2998" s="1" t="s">
        <v>53</v>
      </c>
      <c r="E2998" s="1" t="s">
        <v>34</v>
      </c>
      <c r="F2998" s="1" t="s">
        <v>201</v>
      </c>
      <c r="G2998" s="5">
        <v>27.09</v>
      </c>
    </row>
    <row r="2999" spans="1:7" x14ac:dyDescent="0.2">
      <c r="A2999" s="3">
        <v>-294</v>
      </c>
      <c r="B2999" s="2">
        <v>-218938.86</v>
      </c>
      <c r="C2999" s="38">
        <v>45085</v>
      </c>
      <c r="D2999" s="1" t="s">
        <v>77</v>
      </c>
      <c r="E2999" s="1" t="s">
        <v>36</v>
      </c>
      <c r="F2999" s="1" t="s">
        <v>204</v>
      </c>
      <c r="G2999" s="5">
        <v>744.69</v>
      </c>
    </row>
    <row r="3000" spans="1:7" x14ac:dyDescent="0.2">
      <c r="A3000" s="3">
        <v>-30800</v>
      </c>
      <c r="B3000" s="2">
        <v>-834372</v>
      </c>
      <c r="C3000" s="38">
        <v>45009</v>
      </c>
      <c r="D3000" s="1" t="s">
        <v>53</v>
      </c>
      <c r="E3000" s="1" t="s">
        <v>34</v>
      </c>
      <c r="F3000" s="1" t="s">
        <v>201</v>
      </c>
      <c r="G3000" s="5">
        <v>27.09</v>
      </c>
    </row>
    <row r="3001" spans="1:7" x14ac:dyDescent="0.2">
      <c r="A3001" s="3">
        <v>-3969</v>
      </c>
      <c r="B3001" s="2">
        <v>-9724.0499999999993</v>
      </c>
      <c r="C3001" s="38">
        <v>45117</v>
      </c>
      <c r="D3001" s="1" t="s">
        <v>191</v>
      </c>
      <c r="E3001" s="1" t="s">
        <v>35</v>
      </c>
      <c r="F3001" s="1" t="s">
        <v>205</v>
      </c>
      <c r="G3001" s="5">
        <v>2.4500000000000002</v>
      </c>
    </row>
    <row r="3002" spans="1:7" x14ac:dyDescent="0.2">
      <c r="A3002" s="3">
        <v>-20000</v>
      </c>
      <c r="B3002" s="2" t="s">
        <v>13</v>
      </c>
      <c r="C3002" s="38">
        <v>44652</v>
      </c>
      <c r="D3002" s="1" t="s">
        <v>189</v>
      </c>
      <c r="E3002" s="1" t="s">
        <v>34</v>
      </c>
      <c r="F3002" s="1" t="s">
        <v>213</v>
      </c>
      <c r="G3002" s="5" t="s">
        <v>13</v>
      </c>
    </row>
    <row r="3003" spans="1:7" x14ac:dyDescent="0.2">
      <c r="A3003" s="3">
        <v>-35</v>
      </c>
      <c r="B3003" s="2">
        <v>-197216.25</v>
      </c>
      <c r="C3003" s="38">
        <v>44628</v>
      </c>
      <c r="D3003" s="1" t="s">
        <v>182</v>
      </c>
      <c r="E3003" s="1" t="s">
        <v>37</v>
      </c>
      <c r="F3003" s="1" t="s">
        <v>214</v>
      </c>
      <c r="G3003" s="5">
        <v>5634.75</v>
      </c>
    </row>
    <row r="3004" spans="1:7" x14ac:dyDescent="0.2">
      <c r="A3004" s="3">
        <v>-3430</v>
      </c>
      <c r="B3004" s="2">
        <v>-1475.93</v>
      </c>
      <c r="C3004" s="38">
        <v>44692</v>
      </c>
      <c r="D3004" s="1" t="s">
        <v>91</v>
      </c>
      <c r="E3004" s="1" t="s">
        <v>38</v>
      </c>
      <c r="F3004" s="1" t="s">
        <v>202</v>
      </c>
      <c r="G3004" s="5">
        <v>0.43030000000000002</v>
      </c>
    </row>
    <row r="3005" spans="1:7" x14ac:dyDescent="0.2">
      <c r="A3005" s="3">
        <v>-4000</v>
      </c>
      <c r="B3005" s="2">
        <v>-5480</v>
      </c>
      <c r="C3005" s="38">
        <v>45042</v>
      </c>
      <c r="D3005" s="1" t="s">
        <v>126</v>
      </c>
      <c r="E3005" s="1" t="s">
        <v>39</v>
      </c>
      <c r="F3005" s="1" t="s">
        <v>212</v>
      </c>
      <c r="G3005" s="5">
        <v>1.37</v>
      </c>
    </row>
    <row r="3006" spans="1:7" x14ac:dyDescent="0.2">
      <c r="A3006" s="3">
        <v>-4000</v>
      </c>
      <c r="B3006" s="2">
        <v>-4560</v>
      </c>
      <c r="C3006" s="38">
        <v>44692</v>
      </c>
      <c r="D3006" s="1" t="s">
        <v>171</v>
      </c>
      <c r="E3006" s="1" t="s">
        <v>38</v>
      </c>
      <c r="F3006" s="1" t="s">
        <v>202</v>
      </c>
      <c r="G3006" s="5">
        <v>1.1399999999999999</v>
      </c>
    </row>
    <row r="3007" spans="1:7" x14ac:dyDescent="0.2">
      <c r="A3007" s="3">
        <v>-84</v>
      </c>
      <c r="B3007" s="2">
        <v>-35363.160000000003</v>
      </c>
      <c r="C3007" s="38">
        <v>44692</v>
      </c>
      <c r="D3007" s="1" t="s">
        <v>145</v>
      </c>
      <c r="E3007" s="1" t="s">
        <v>38</v>
      </c>
      <c r="F3007" s="1" t="s">
        <v>202</v>
      </c>
      <c r="G3007" s="5">
        <v>420.99</v>
      </c>
    </row>
    <row r="3008" spans="1:7" x14ac:dyDescent="0.2">
      <c r="A3008" s="3">
        <v>-4000</v>
      </c>
      <c r="B3008" s="2">
        <v>-4560</v>
      </c>
      <c r="C3008" s="38">
        <v>44692</v>
      </c>
      <c r="D3008" s="1" t="s">
        <v>171</v>
      </c>
      <c r="E3008" s="1" t="s">
        <v>38</v>
      </c>
      <c r="F3008" s="1" t="s">
        <v>202</v>
      </c>
      <c r="G3008" s="5">
        <v>1.1399999999999999</v>
      </c>
    </row>
    <row r="3009" spans="1:7" x14ac:dyDescent="0.2">
      <c r="A3009" s="3">
        <v>-4000</v>
      </c>
      <c r="B3009" s="2">
        <v>-4560</v>
      </c>
      <c r="C3009" s="38">
        <v>44692</v>
      </c>
      <c r="D3009" s="1" t="s">
        <v>171</v>
      </c>
      <c r="E3009" s="1" t="s">
        <v>38</v>
      </c>
      <c r="F3009" s="1" t="s">
        <v>202</v>
      </c>
      <c r="G3009" s="5">
        <v>1.1399999999999999</v>
      </c>
    </row>
    <row r="3010" spans="1:7" x14ac:dyDescent="0.2">
      <c r="A3010" s="3">
        <v>-4000</v>
      </c>
      <c r="B3010" s="2">
        <v>-4560</v>
      </c>
      <c r="C3010" s="38">
        <v>44692</v>
      </c>
      <c r="D3010" s="1" t="s">
        <v>171</v>
      </c>
      <c r="E3010" s="1" t="s">
        <v>38</v>
      </c>
      <c r="F3010" s="1" t="s">
        <v>202</v>
      </c>
      <c r="G3010" s="5">
        <v>1.1399999999999999</v>
      </c>
    </row>
    <row r="3011" spans="1:7" x14ac:dyDescent="0.2">
      <c r="A3011" s="3">
        <v>-4000</v>
      </c>
      <c r="B3011" s="2">
        <v>-4560</v>
      </c>
      <c r="C3011" s="38">
        <v>44692</v>
      </c>
      <c r="D3011" s="1" t="s">
        <v>171</v>
      </c>
      <c r="E3011" s="1" t="s">
        <v>38</v>
      </c>
      <c r="F3011" s="1" t="s">
        <v>202</v>
      </c>
      <c r="G3011" s="5">
        <v>1.1399999999999999</v>
      </c>
    </row>
    <row r="3012" spans="1:7" x14ac:dyDescent="0.2">
      <c r="A3012" s="3">
        <v>-4000</v>
      </c>
      <c r="B3012" s="2">
        <v>-4560</v>
      </c>
      <c r="C3012" s="38">
        <v>44692</v>
      </c>
      <c r="D3012" s="1" t="s">
        <v>171</v>
      </c>
      <c r="E3012" s="1" t="s">
        <v>38</v>
      </c>
      <c r="F3012" s="1" t="s">
        <v>202</v>
      </c>
      <c r="G3012" s="5">
        <v>1.1399999999999999</v>
      </c>
    </row>
    <row r="3013" spans="1:7" x14ac:dyDescent="0.2">
      <c r="A3013" s="3">
        <v>-2000</v>
      </c>
      <c r="B3013" s="2">
        <v>-2280</v>
      </c>
      <c r="C3013" s="38">
        <v>44692</v>
      </c>
      <c r="D3013" s="1" t="s">
        <v>171</v>
      </c>
      <c r="E3013" s="1" t="s">
        <v>38</v>
      </c>
      <c r="F3013" s="1" t="s">
        <v>202</v>
      </c>
      <c r="G3013" s="5">
        <v>1.1399999999999999</v>
      </c>
    </row>
    <row r="3014" spans="1:7" x14ac:dyDescent="0.2">
      <c r="A3014" s="3">
        <v>-4000</v>
      </c>
      <c r="B3014" s="2">
        <v>-4560</v>
      </c>
      <c r="C3014" s="38">
        <v>44692</v>
      </c>
      <c r="D3014" s="1" t="s">
        <v>171</v>
      </c>
      <c r="E3014" s="1" t="s">
        <v>38</v>
      </c>
      <c r="F3014" s="1" t="s">
        <v>202</v>
      </c>
      <c r="G3014" s="5">
        <v>1.1399999999999999</v>
      </c>
    </row>
    <row r="3015" spans="1:7" x14ac:dyDescent="0.2">
      <c r="A3015" s="3">
        <v>-2000</v>
      </c>
      <c r="B3015" s="2">
        <v>-2280</v>
      </c>
      <c r="C3015" s="38">
        <v>44692</v>
      </c>
      <c r="D3015" s="1" t="s">
        <v>171</v>
      </c>
      <c r="E3015" s="1" t="s">
        <v>38</v>
      </c>
      <c r="F3015" s="1" t="s">
        <v>202</v>
      </c>
      <c r="G3015" s="5">
        <v>1.1399999999999999</v>
      </c>
    </row>
    <row r="3016" spans="1:7" x14ac:dyDescent="0.2">
      <c r="A3016" s="3">
        <v>-2000</v>
      </c>
      <c r="B3016" s="2">
        <v>-2280</v>
      </c>
      <c r="C3016" s="38">
        <v>44692</v>
      </c>
      <c r="D3016" s="1" t="s">
        <v>171</v>
      </c>
      <c r="E3016" s="1" t="s">
        <v>38</v>
      </c>
      <c r="F3016" s="1" t="s">
        <v>202</v>
      </c>
      <c r="G3016" s="5">
        <v>1.1399999999999999</v>
      </c>
    </row>
    <row r="3017" spans="1:7" x14ac:dyDescent="0.2">
      <c r="A3017" s="3">
        <v>-4000</v>
      </c>
      <c r="B3017" s="2">
        <v>-4560</v>
      </c>
      <c r="C3017" s="38">
        <v>44692</v>
      </c>
      <c r="D3017" s="1" t="s">
        <v>171</v>
      </c>
      <c r="E3017" s="1" t="s">
        <v>38</v>
      </c>
      <c r="F3017" s="1" t="s">
        <v>202</v>
      </c>
      <c r="G3017" s="5">
        <v>1.1399999999999999</v>
      </c>
    </row>
    <row r="3018" spans="1:7" x14ac:dyDescent="0.2">
      <c r="A3018" s="3">
        <v>-2000</v>
      </c>
      <c r="B3018" s="2">
        <v>-2280</v>
      </c>
      <c r="C3018" s="38">
        <v>44692</v>
      </c>
      <c r="D3018" s="1" t="s">
        <v>171</v>
      </c>
      <c r="E3018" s="1" t="s">
        <v>38</v>
      </c>
      <c r="F3018" s="1" t="s">
        <v>202</v>
      </c>
      <c r="G3018" s="5">
        <v>1.1399999999999999</v>
      </c>
    </row>
    <row r="3019" spans="1:7" x14ac:dyDescent="0.2">
      <c r="A3019" s="3">
        <v>-20000</v>
      </c>
      <c r="B3019" s="2">
        <v>-60800</v>
      </c>
      <c r="C3019" s="38">
        <v>44700</v>
      </c>
      <c r="D3019" s="1" t="s">
        <v>189</v>
      </c>
      <c r="E3019" s="1" t="s">
        <v>34</v>
      </c>
      <c r="F3019" s="1" t="s">
        <v>213</v>
      </c>
      <c r="G3019" s="5">
        <v>3.04</v>
      </c>
    </row>
    <row r="3020" spans="1:7" x14ac:dyDescent="0.2">
      <c r="A3020" s="3">
        <v>10164</v>
      </c>
      <c r="B3020" s="2">
        <v>273716.52</v>
      </c>
      <c r="C3020" s="38">
        <v>45008</v>
      </c>
      <c r="D3020" s="1" t="s">
        <v>53</v>
      </c>
      <c r="E3020" s="1" t="s">
        <v>34</v>
      </c>
      <c r="F3020" s="1" t="s">
        <v>201</v>
      </c>
      <c r="G3020" s="5">
        <v>26.93</v>
      </c>
    </row>
    <row r="3021" spans="1:7" x14ac:dyDescent="0.2">
      <c r="A3021" s="3">
        <v>31724</v>
      </c>
      <c r="B3021" s="2">
        <v>854327.32</v>
      </c>
      <c r="C3021" s="38">
        <v>45008</v>
      </c>
      <c r="D3021" s="1" t="s">
        <v>53</v>
      </c>
      <c r="E3021" s="1" t="s">
        <v>34</v>
      </c>
      <c r="F3021" s="1" t="s">
        <v>201</v>
      </c>
      <c r="G3021" s="5">
        <v>26.93</v>
      </c>
    </row>
    <row r="3022" spans="1:7" x14ac:dyDescent="0.2">
      <c r="A3022" s="3">
        <v>43120</v>
      </c>
      <c r="B3022" s="2">
        <v>1161221.6000000001</v>
      </c>
      <c r="C3022" s="38">
        <v>45008</v>
      </c>
      <c r="D3022" s="1" t="s">
        <v>53</v>
      </c>
      <c r="E3022" s="1" t="s">
        <v>34</v>
      </c>
      <c r="F3022" s="1" t="s">
        <v>201</v>
      </c>
      <c r="G3022" s="5">
        <v>26.93</v>
      </c>
    </row>
    <row r="3023" spans="1:7" x14ac:dyDescent="0.2">
      <c r="A3023" s="3">
        <v>11088</v>
      </c>
      <c r="B3023" s="2">
        <v>298599.84000000003</v>
      </c>
      <c r="C3023" s="38">
        <v>45008</v>
      </c>
      <c r="D3023" s="1" t="s">
        <v>53</v>
      </c>
      <c r="E3023" s="1" t="s">
        <v>34</v>
      </c>
      <c r="F3023" s="1" t="s">
        <v>201</v>
      </c>
      <c r="G3023" s="5">
        <v>26.93</v>
      </c>
    </row>
    <row r="3024" spans="1:7" x14ac:dyDescent="0.2">
      <c r="A3024" s="3">
        <v>15708</v>
      </c>
      <c r="B3024" s="2">
        <v>423016.44</v>
      </c>
      <c r="C3024" s="38">
        <v>45008</v>
      </c>
      <c r="D3024" s="1" t="s">
        <v>53</v>
      </c>
      <c r="E3024" s="1" t="s">
        <v>34</v>
      </c>
      <c r="F3024" s="1" t="s">
        <v>201</v>
      </c>
      <c r="G3024" s="5">
        <v>26.93</v>
      </c>
    </row>
    <row r="3025" spans="1:7" x14ac:dyDescent="0.2">
      <c r="A3025" s="3">
        <v>9548</v>
      </c>
      <c r="B3025" s="2">
        <v>257127.64</v>
      </c>
      <c r="C3025" s="38">
        <v>45008</v>
      </c>
      <c r="D3025" s="1" t="s">
        <v>53</v>
      </c>
      <c r="E3025" s="1" t="s">
        <v>34</v>
      </c>
      <c r="F3025" s="1" t="s">
        <v>201</v>
      </c>
      <c r="G3025" s="5">
        <v>26.93</v>
      </c>
    </row>
    <row r="3026" spans="1:7" x14ac:dyDescent="0.2">
      <c r="A3026" s="3">
        <v>10780</v>
      </c>
      <c r="B3026" s="2">
        <v>290305.40000000002</v>
      </c>
      <c r="C3026" s="38">
        <v>45008</v>
      </c>
      <c r="D3026" s="1" t="s">
        <v>53</v>
      </c>
      <c r="E3026" s="1" t="s">
        <v>34</v>
      </c>
      <c r="F3026" s="1" t="s">
        <v>201</v>
      </c>
      <c r="G3026" s="5">
        <v>26.93</v>
      </c>
    </row>
    <row r="3027" spans="1:7" x14ac:dyDescent="0.2">
      <c r="A3027" s="3">
        <v>11396</v>
      </c>
      <c r="B3027" s="2">
        <v>306894.28000000003</v>
      </c>
      <c r="C3027" s="38">
        <v>45008</v>
      </c>
      <c r="D3027" s="1" t="s">
        <v>53</v>
      </c>
      <c r="E3027" s="1" t="s">
        <v>34</v>
      </c>
      <c r="F3027" s="1" t="s">
        <v>201</v>
      </c>
      <c r="G3027" s="5">
        <v>26.93</v>
      </c>
    </row>
    <row r="3028" spans="1:7" x14ac:dyDescent="0.2">
      <c r="A3028" s="3">
        <v>33880</v>
      </c>
      <c r="B3028" s="2">
        <v>912388.4</v>
      </c>
      <c r="C3028" s="38">
        <v>45009</v>
      </c>
      <c r="D3028" s="1" t="s">
        <v>53</v>
      </c>
      <c r="E3028" s="1" t="s">
        <v>34</v>
      </c>
      <c r="F3028" s="1" t="s">
        <v>201</v>
      </c>
      <c r="G3028" s="5">
        <v>26.93</v>
      </c>
    </row>
    <row r="3029" spans="1:7" x14ac:dyDescent="0.2">
      <c r="A3029" s="3">
        <v>30800</v>
      </c>
      <c r="B3029" s="2">
        <v>829444</v>
      </c>
      <c r="C3029" s="38">
        <v>45009</v>
      </c>
      <c r="D3029" s="1" t="s">
        <v>53</v>
      </c>
      <c r="E3029" s="1" t="s">
        <v>34</v>
      </c>
      <c r="F3029" s="1" t="s">
        <v>201</v>
      </c>
      <c r="G3029" s="5">
        <v>26.93</v>
      </c>
    </row>
    <row r="3030" spans="1:7" x14ac:dyDescent="0.2">
      <c r="A3030" s="3">
        <v>37268</v>
      </c>
      <c r="B3030" s="2">
        <v>1003627.24</v>
      </c>
      <c r="C3030" s="38">
        <v>45009</v>
      </c>
      <c r="D3030" s="1" t="s">
        <v>53</v>
      </c>
      <c r="E3030" s="1" t="s">
        <v>34</v>
      </c>
      <c r="F3030" s="1" t="s">
        <v>201</v>
      </c>
      <c r="G3030" s="5">
        <v>26.93</v>
      </c>
    </row>
    <row r="3031" spans="1:7" x14ac:dyDescent="0.2">
      <c r="A3031" s="3">
        <v>17248</v>
      </c>
      <c r="B3031" s="2">
        <v>464488.64</v>
      </c>
      <c r="C3031" s="38">
        <v>45009</v>
      </c>
      <c r="D3031" s="1" t="s">
        <v>53</v>
      </c>
      <c r="E3031" s="1" t="s">
        <v>34</v>
      </c>
      <c r="F3031" s="1" t="s">
        <v>201</v>
      </c>
      <c r="G3031" s="5">
        <v>26.93</v>
      </c>
    </row>
    <row r="3032" spans="1:7" x14ac:dyDescent="0.2">
      <c r="A3032" s="3">
        <v>23716</v>
      </c>
      <c r="B3032" s="2">
        <v>638671.88</v>
      </c>
      <c r="C3032" s="38">
        <v>45009</v>
      </c>
      <c r="D3032" s="1" t="s">
        <v>53</v>
      </c>
      <c r="E3032" s="1" t="s">
        <v>34</v>
      </c>
      <c r="F3032" s="1" t="s">
        <v>201</v>
      </c>
      <c r="G3032" s="5">
        <v>26.93</v>
      </c>
    </row>
    <row r="3033" spans="1:7" x14ac:dyDescent="0.2">
      <c r="A3033" s="3">
        <v>616</v>
      </c>
      <c r="B3033" s="2">
        <v>304285.52</v>
      </c>
      <c r="C3033" s="38">
        <v>44986</v>
      </c>
      <c r="D3033" s="1" t="s">
        <v>64</v>
      </c>
      <c r="E3033" s="1" t="s">
        <v>36</v>
      </c>
      <c r="F3033" s="1" t="s">
        <v>204</v>
      </c>
      <c r="G3033" s="5">
        <v>493.97</v>
      </c>
    </row>
    <row r="3034" spans="1:7" x14ac:dyDescent="0.2">
      <c r="A3034" s="3">
        <v>735</v>
      </c>
      <c r="B3034" s="2">
        <v>516366.9</v>
      </c>
      <c r="C3034" s="38">
        <v>45084</v>
      </c>
      <c r="D3034" s="1" t="s">
        <v>77</v>
      </c>
      <c r="E3034" s="1" t="s">
        <v>36</v>
      </c>
      <c r="F3034" s="1" t="s">
        <v>204</v>
      </c>
      <c r="G3034" s="5">
        <v>702.54</v>
      </c>
    </row>
    <row r="3035" spans="1:7" x14ac:dyDescent="0.2">
      <c r="A3035" s="3">
        <v>294</v>
      </c>
      <c r="B3035" s="2">
        <v>206546.76</v>
      </c>
      <c r="C3035" s="38">
        <v>45085</v>
      </c>
      <c r="D3035" s="1" t="s">
        <v>77</v>
      </c>
      <c r="E3035" s="1" t="s">
        <v>36</v>
      </c>
      <c r="F3035" s="1" t="s">
        <v>204</v>
      </c>
      <c r="G3035" s="5">
        <v>702.54</v>
      </c>
    </row>
    <row r="3036" spans="1:7" x14ac:dyDescent="0.2">
      <c r="A3036" s="3">
        <v>3969</v>
      </c>
      <c r="B3036" s="2">
        <v>10240.02</v>
      </c>
      <c r="C3036" s="38">
        <v>45117</v>
      </c>
      <c r="D3036" s="1" t="s">
        <v>191</v>
      </c>
      <c r="E3036" s="1" t="s">
        <v>35</v>
      </c>
      <c r="F3036" s="1" t="s">
        <v>205</v>
      </c>
      <c r="G3036" s="5">
        <v>2.58</v>
      </c>
    </row>
    <row r="3037" spans="1:7" x14ac:dyDescent="0.2">
      <c r="A3037" s="3">
        <v>1384</v>
      </c>
      <c r="B3037" s="2">
        <v>23528</v>
      </c>
      <c r="C3037" s="38">
        <v>45118</v>
      </c>
      <c r="D3037" s="1" t="s">
        <v>190</v>
      </c>
      <c r="E3037" s="1" t="s">
        <v>35</v>
      </c>
      <c r="F3037" s="1" t="s">
        <v>205</v>
      </c>
      <c r="G3037" s="5">
        <v>17</v>
      </c>
    </row>
    <row r="3038" spans="1:7" x14ac:dyDescent="0.2">
      <c r="A3038" s="3">
        <v>4000</v>
      </c>
      <c r="B3038" s="2">
        <v>5360</v>
      </c>
      <c r="C3038" s="38">
        <v>45042</v>
      </c>
      <c r="D3038" s="1" t="s">
        <v>126</v>
      </c>
      <c r="E3038" s="1" t="s">
        <v>39</v>
      </c>
      <c r="F3038" s="1" t="s">
        <v>212</v>
      </c>
      <c r="G3038" s="5">
        <v>1.34</v>
      </c>
    </row>
    <row r="3039" spans="1:7" x14ac:dyDescent="0.2">
      <c r="A3039" s="3">
        <v>3430</v>
      </c>
      <c r="B3039" s="2">
        <v>1475.93</v>
      </c>
      <c r="C3039" s="38">
        <v>44692</v>
      </c>
      <c r="D3039" s="1" t="s">
        <v>91</v>
      </c>
      <c r="E3039" s="1" t="s">
        <v>38</v>
      </c>
      <c r="F3039" s="1" t="s">
        <v>202</v>
      </c>
      <c r="G3039" s="5">
        <v>0.43030000000000002</v>
      </c>
    </row>
    <row r="3040" spans="1:7" x14ac:dyDescent="0.2">
      <c r="A3040" s="3">
        <v>84</v>
      </c>
      <c r="B3040" s="2">
        <v>35363.160000000003</v>
      </c>
      <c r="C3040" s="38">
        <v>44692</v>
      </c>
      <c r="D3040" s="1" t="s">
        <v>145</v>
      </c>
      <c r="E3040" s="1" t="s">
        <v>38</v>
      </c>
      <c r="F3040" s="1" t="s">
        <v>202</v>
      </c>
      <c r="G3040" s="5">
        <v>420.99</v>
      </c>
    </row>
    <row r="3041" spans="1:7" x14ac:dyDescent="0.2">
      <c r="A3041" s="3">
        <v>4000</v>
      </c>
      <c r="B3041" s="2">
        <v>4560</v>
      </c>
      <c r="C3041" s="38">
        <v>44692</v>
      </c>
      <c r="D3041" s="1" t="s">
        <v>171</v>
      </c>
      <c r="E3041" s="1" t="s">
        <v>38</v>
      </c>
      <c r="F3041" s="1" t="s">
        <v>202</v>
      </c>
      <c r="G3041" s="5">
        <v>1.1399999999999999</v>
      </c>
    </row>
    <row r="3042" spans="1:7" x14ac:dyDescent="0.2">
      <c r="A3042" s="3">
        <v>4000</v>
      </c>
      <c r="B3042" s="2">
        <v>4560</v>
      </c>
      <c r="C3042" s="38">
        <v>44692</v>
      </c>
      <c r="D3042" s="1" t="s">
        <v>171</v>
      </c>
      <c r="E3042" s="1" t="s">
        <v>38</v>
      </c>
      <c r="F3042" s="1" t="s">
        <v>202</v>
      </c>
      <c r="G3042" s="5">
        <v>1.1399999999999999</v>
      </c>
    </row>
    <row r="3043" spans="1:7" x14ac:dyDescent="0.2">
      <c r="A3043" s="3">
        <v>4000</v>
      </c>
      <c r="B3043" s="2">
        <v>4560</v>
      </c>
      <c r="C3043" s="38">
        <v>44692</v>
      </c>
      <c r="D3043" s="1" t="s">
        <v>171</v>
      </c>
      <c r="E3043" s="1" t="s">
        <v>38</v>
      </c>
      <c r="F3043" s="1" t="s">
        <v>202</v>
      </c>
      <c r="G3043" s="5">
        <v>1.1399999999999999</v>
      </c>
    </row>
    <row r="3044" spans="1:7" x14ac:dyDescent="0.2">
      <c r="A3044" s="3">
        <v>4000</v>
      </c>
      <c r="B3044" s="2">
        <v>4560</v>
      </c>
      <c r="C3044" s="38">
        <v>44692</v>
      </c>
      <c r="D3044" s="1" t="s">
        <v>171</v>
      </c>
      <c r="E3044" s="1" t="s">
        <v>38</v>
      </c>
      <c r="F3044" s="1" t="s">
        <v>202</v>
      </c>
      <c r="G3044" s="5">
        <v>1.1399999999999999</v>
      </c>
    </row>
    <row r="3045" spans="1:7" x14ac:dyDescent="0.2">
      <c r="A3045" s="3">
        <v>4000</v>
      </c>
      <c r="B3045" s="2">
        <v>4560</v>
      </c>
      <c r="C3045" s="38">
        <v>44692</v>
      </c>
      <c r="D3045" s="1" t="s">
        <v>171</v>
      </c>
      <c r="E3045" s="1" t="s">
        <v>38</v>
      </c>
      <c r="F3045" s="1" t="s">
        <v>202</v>
      </c>
      <c r="G3045" s="5">
        <v>1.1399999999999999</v>
      </c>
    </row>
    <row r="3046" spans="1:7" x14ac:dyDescent="0.2">
      <c r="A3046" s="3">
        <v>4000</v>
      </c>
      <c r="B3046" s="2">
        <v>4560</v>
      </c>
      <c r="C3046" s="38">
        <v>44692</v>
      </c>
      <c r="D3046" s="1" t="s">
        <v>171</v>
      </c>
      <c r="E3046" s="1" t="s">
        <v>38</v>
      </c>
      <c r="F3046" s="1" t="s">
        <v>202</v>
      </c>
      <c r="G3046" s="5">
        <v>1.1399999999999999</v>
      </c>
    </row>
    <row r="3047" spans="1:7" x14ac:dyDescent="0.2">
      <c r="A3047" s="3">
        <v>2000</v>
      </c>
      <c r="B3047" s="2">
        <v>2280</v>
      </c>
      <c r="C3047" s="38">
        <v>44692</v>
      </c>
      <c r="D3047" s="1" t="s">
        <v>171</v>
      </c>
      <c r="E3047" s="1" t="s">
        <v>38</v>
      </c>
      <c r="F3047" s="1" t="s">
        <v>202</v>
      </c>
      <c r="G3047" s="5">
        <v>1.1399999999999999</v>
      </c>
    </row>
    <row r="3048" spans="1:7" x14ac:dyDescent="0.2">
      <c r="A3048" s="3">
        <v>4000</v>
      </c>
      <c r="B3048" s="2">
        <v>4560</v>
      </c>
      <c r="C3048" s="38">
        <v>44692</v>
      </c>
      <c r="D3048" s="1" t="s">
        <v>171</v>
      </c>
      <c r="E3048" s="1" t="s">
        <v>38</v>
      </c>
      <c r="F3048" s="1" t="s">
        <v>202</v>
      </c>
      <c r="G3048" s="5">
        <v>1.1399999999999999</v>
      </c>
    </row>
    <row r="3049" spans="1:7" x14ac:dyDescent="0.2">
      <c r="A3049" s="3">
        <v>2000</v>
      </c>
      <c r="B3049" s="2">
        <v>2280</v>
      </c>
      <c r="C3049" s="38">
        <v>44692</v>
      </c>
      <c r="D3049" s="1" t="s">
        <v>171</v>
      </c>
      <c r="E3049" s="1" t="s">
        <v>38</v>
      </c>
      <c r="F3049" s="1" t="s">
        <v>202</v>
      </c>
      <c r="G3049" s="5">
        <v>1.1399999999999999</v>
      </c>
    </row>
    <row r="3050" spans="1:7" x14ac:dyDescent="0.2">
      <c r="A3050" s="3">
        <v>2000</v>
      </c>
      <c r="B3050" s="2">
        <v>2280</v>
      </c>
      <c r="C3050" s="38">
        <v>44692</v>
      </c>
      <c r="D3050" s="1" t="s">
        <v>171</v>
      </c>
      <c r="E3050" s="1" t="s">
        <v>38</v>
      </c>
      <c r="F3050" s="1" t="s">
        <v>202</v>
      </c>
      <c r="G3050" s="5">
        <v>1.1399999999999999</v>
      </c>
    </row>
    <row r="3051" spans="1:7" x14ac:dyDescent="0.2">
      <c r="A3051" s="3">
        <v>4000</v>
      </c>
      <c r="B3051" s="2">
        <v>4560</v>
      </c>
      <c r="C3051" s="38">
        <v>44692</v>
      </c>
      <c r="D3051" s="1" t="s">
        <v>171</v>
      </c>
      <c r="E3051" s="1" t="s">
        <v>38</v>
      </c>
      <c r="F3051" s="1" t="s">
        <v>202</v>
      </c>
      <c r="G3051" s="5">
        <v>1.1399999999999999</v>
      </c>
    </row>
    <row r="3052" spans="1:7" x14ac:dyDescent="0.2">
      <c r="A3052" s="3">
        <v>2000</v>
      </c>
      <c r="B3052" s="2">
        <v>2280</v>
      </c>
      <c r="C3052" s="38">
        <v>44692</v>
      </c>
      <c r="D3052" s="1" t="s">
        <v>171</v>
      </c>
      <c r="E3052" s="1" t="s">
        <v>38</v>
      </c>
      <c r="F3052" s="1" t="s">
        <v>202</v>
      </c>
      <c r="G3052" s="5">
        <v>1.1399999999999999</v>
      </c>
    </row>
    <row r="3053" spans="1:7" x14ac:dyDescent="0.2">
      <c r="A3053" s="3">
        <v>20000</v>
      </c>
      <c r="B3053" s="2">
        <v>60800</v>
      </c>
      <c r="C3053" s="38">
        <v>44700</v>
      </c>
      <c r="D3053" s="1" t="s">
        <v>189</v>
      </c>
      <c r="E3053" s="1" t="s">
        <v>34</v>
      </c>
      <c r="F3053" s="1" t="s">
        <v>213</v>
      </c>
      <c r="G3053" s="5">
        <v>3.04</v>
      </c>
    </row>
    <row r="3054" spans="1:7" x14ac:dyDescent="0.2">
      <c r="A3054" s="3">
        <v>-294</v>
      </c>
      <c r="B3054" s="2">
        <v>-206546.76</v>
      </c>
      <c r="C3054" s="38">
        <v>44945</v>
      </c>
      <c r="D3054" s="1" t="s">
        <v>77</v>
      </c>
      <c r="E3054" s="1" t="s">
        <v>36</v>
      </c>
      <c r="F3054" s="1" t="s">
        <v>204</v>
      </c>
      <c r="G3054" s="5">
        <v>702.54</v>
      </c>
    </row>
    <row r="3055" spans="1:7" x14ac:dyDescent="0.2">
      <c r="A3055" s="3">
        <v>-270</v>
      </c>
      <c r="B3055" s="2">
        <v>-15076.8</v>
      </c>
      <c r="C3055" s="38">
        <v>45163</v>
      </c>
      <c r="D3055" s="1" t="s">
        <v>151</v>
      </c>
      <c r="E3055" s="1" t="s">
        <v>36</v>
      </c>
      <c r="F3055" s="1" t="s">
        <v>215</v>
      </c>
      <c r="G3055" s="5">
        <v>55.84</v>
      </c>
    </row>
    <row r="3056" spans="1:7" x14ac:dyDescent="0.2">
      <c r="A3056" s="3">
        <v>-2000</v>
      </c>
      <c r="B3056" s="2">
        <v>-1780</v>
      </c>
      <c r="C3056" s="38">
        <v>45124</v>
      </c>
      <c r="D3056" s="1" t="s">
        <v>159</v>
      </c>
      <c r="E3056" s="1" t="s">
        <v>38</v>
      </c>
      <c r="F3056" s="1" t="s">
        <v>202</v>
      </c>
      <c r="G3056" s="5">
        <v>0.89</v>
      </c>
    </row>
    <row r="3057" spans="1:7" x14ac:dyDescent="0.2">
      <c r="A3057" s="3">
        <v>-2000</v>
      </c>
      <c r="B3057" s="2">
        <v>-2160</v>
      </c>
      <c r="C3057" s="38">
        <v>44763</v>
      </c>
      <c r="D3057" s="1" t="s">
        <v>171</v>
      </c>
      <c r="E3057" s="1" t="s">
        <v>38</v>
      </c>
      <c r="F3057" s="1" t="s">
        <v>202</v>
      </c>
      <c r="G3057" s="5">
        <v>1.08</v>
      </c>
    </row>
    <row r="3058" spans="1:7" x14ac:dyDescent="0.2">
      <c r="A3058" s="3">
        <v>-4000</v>
      </c>
      <c r="B3058" s="2">
        <v>-4320</v>
      </c>
      <c r="C3058" s="38">
        <v>44763</v>
      </c>
      <c r="D3058" s="1" t="s">
        <v>171</v>
      </c>
      <c r="E3058" s="1" t="s">
        <v>38</v>
      </c>
      <c r="F3058" s="1" t="s">
        <v>202</v>
      </c>
      <c r="G3058" s="5">
        <v>1.08</v>
      </c>
    </row>
    <row r="3059" spans="1:7" x14ac:dyDescent="0.2">
      <c r="A3059" s="3">
        <v>-2000</v>
      </c>
      <c r="B3059" s="2">
        <v>-2160</v>
      </c>
      <c r="C3059" s="38">
        <v>44764</v>
      </c>
      <c r="D3059" s="1" t="s">
        <v>171</v>
      </c>
      <c r="E3059" s="1" t="s">
        <v>38</v>
      </c>
      <c r="F3059" s="1" t="s">
        <v>202</v>
      </c>
      <c r="G3059" s="5">
        <v>1.08</v>
      </c>
    </row>
    <row r="3060" spans="1:7" x14ac:dyDescent="0.2">
      <c r="A3060" s="3">
        <v>-2000</v>
      </c>
      <c r="B3060" s="2">
        <v>-2160</v>
      </c>
      <c r="C3060" s="38">
        <v>44764</v>
      </c>
      <c r="D3060" s="1" t="s">
        <v>171</v>
      </c>
      <c r="E3060" s="1" t="s">
        <v>38</v>
      </c>
      <c r="F3060" s="1" t="s">
        <v>202</v>
      </c>
      <c r="G3060" s="5">
        <v>1.08</v>
      </c>
    </row>
    <row r="3061" spans="1:7" x14ac:dyDescent="0.2">
      <c r="A3061" s="3">
        <v>-6000</v>
      </c>
      <c r="B3061" s="2">
        <v>-6480</v>
      </c>
      <c r="C3061" s="38">
        <v>44764</v>
      </c>
      <c r="D3061" s="1" t="s">
        <v>171</v>
      </c>
      <c r="E3061" s="1" t="s">
        <v>38</v>
      </c>
      <c r="F3061" s="1" t="s">
        <v>202</v>
      </c>
      <c r="G3061" s="5">
        <v>1.08</v>
      </c>
    </row>
    <row r="3062" spans="1:7" x14ac:dyDescent="0.2">
      <c r="A3062" s="3">
        <v>-2000</v>
      </c>
      <c r="B3062" s="2">
        <v>-2160</v>
      </c>
      <c r="C3062" s="38">
        <v>44764</v>
      </c>
      <c r="D3062" s="1" t="s">
        <v>171</v>
      </c>
      <c r="E3062" s="1" t="s">
        <v>38</v>
      </c>
      <c r="F3062" s="1" t="s">
        <v>202</v>
      </c>
      <c r="G3062" s="5">
        <v>1.08</v>
      </c>
    </row>
    <row r="3063" spans="1:7" x14ac:dyDescent="0.2">
      <c r="A3063" s="3">
        <v>-2000</v>
      </c>
      <c r="B3063" s="2">
        <v>-2160</v>
      </c>
      <c r="C3063" s="38">
        <v>44764</v>
      </c>
      <c r="D3063" s="1" t="s">
        <v>171</v>
      </c>
      <c r="E3063" s="1" t="s">
        <v>38</v>
      </c>
      <c r="F3063" s="1" t="s">
        <v>202</v>
      </c>
      <c r="G3063" s="5">
        <v>1.08</v>
      </c>
    </row>
    <row r="3064" spans="1:7" x14ac:dyDescent="0.2">
      <c r="A3064" s="3">
        <v>-2000</v>
      </c>
      <c r="B3064" s="2">
        <v>-2160</v>
      </c>
      <c r="C3064" s="38">
        <v>44764</v>
      </c>
      <c r="D3064" s="1" t="s">
        <v>171</v>
      </c>
      <c r="E3064" s="1" t="s">
        <v>38</v>
      </c>
      <c r="F3064" s="1" t="s">
        <v>202</v>
      </c>
      <c r="G3064" s="5">
        <v>1.08</v>
      </c>
    </row>
    <row r="3065" spans="1:7" x14ac:dyDescent="0.2">
      <c r="A3065" s="3">
        <v>-6000</v>
      </c>
      <c r="B3065" s="2">
        <v>-6480</v>
      </c>
      <c r="C3065" s="38">
        <v>44782</v>
      </c>
      <c r="D3065" s="1" t="s">
        <v>171</v>
      </c>
      <c r="E3065" s="1" t="s">
        <v>38</v>
      </c>
      <c r="F3065" s="1" t="s">
        <v>202</v>
      </c>
      <c r="G3065" s="5">
        <v>1.08</v>
      </c>
    </row>
    <row r="3066" spans="1:7" x14ac:dyDescent="0.2">
      <c r="A3066" s="3">
        <v>80752</v>
      </c>
      <c r="B3066" s="2">
        <v>997287.2</v>
      </c>
      <c r="C3066" s="38">
        <v>44938</v>
      </c>
      <c r="D3066" s="1" t="s">
        <v>51</v>
      </c>
      <c r="E3066" s="1" t="s">
        <v>34</v>
      </c>
      <c r="F3066" s="1" t="s">
        <v>201</v>
      </c>
      <c r="G3066" s="5">
        <v>12.35</v>
      </c>
    </row>
    <row r="3067" spans="1:7" x14ac:dyDescent="0.2">
      <c r="A3067" s="3">
        <v>47040</v>
      </c>
      <c r="B3067" s="2">
        <v>580944</v>
      </c>
      <c r="C3067" s="38">
        <v>44938</v>
      </c>
      <c r="D3067" s="1" t="s">
        <v>52</v>
      </c>
      <c r="E3067" s="1" t="s">
        <v>34</v>
      </c>
      <c r="F3067" s="1" t="s">
        <v>201</v>
      </c>
      <c r="G3067" s="5">
        <v>12.35</v>
      </c>
    </row>
    <row r="3068" spans="1:7" x14ac:dyDescent="0.2">
      <c r="A3068" s="3">
        <v>43120</v>
      </c>
      <c r="B3068" s="2">
        <v>1168120.8</v>
      </c>
      <c r="C3068" s="38">
        <v>44938</v>
      </c>
      <c r="D3068" s="1" t="s">
        <v>53</v>
      </c>
      <c r="E3068" s="1" t="s">
        <v>34</v>
      </c>
      <c r="F3068" s="1" t="s">
        <v>201</v>
      </c>
      <c r="G3068" s="5">
        <v>27.09</v>
      </c>
    </row>
    <row r="3069" spans="1:7" x14ac:dyDescent="0.2">
      <c r="A3069" s="3">
        <v>41412</v>
      </c>
      <c r="B3069" s="2">
        <v>166476.24</v>
      </c>
      <c r="C3069" s="38">
        <v>44938</v>
      </c>
      <c r="D3069" s="1" t="s">
        <v>54</v>
      </c>
      <c r="E3069" s="1" t="s">
        <v>34</v>
      </c>
      <c r="F3069" s="1" t="s">
        <v>201</v>
      </c>
      <c r="G3069" s="5">
        <v>4.0199999999999996</v>
      </c>
    </row>
    <row r="3070" spans="1:7" x14ac:dyDescent="0.2">
      <c r="A3070" s="3">
        <v>37044</v>
      </c>
      <c r="B3070" s="2">
        <v>457493.4</v>
      </c>
      <c r="C3070" s="38">
        <v>44965</v>
      </c>
      <c r="D3070" s="1" t="s">
        <v>51</v>
      </c>
      <c r="E3070" s="1" t="s">
        <v>34</v>
      </c>
      <c r="F3070" s="1" t="s">
        <v>201</v>
      </c>
      <c r="G3070" s="5">
        <v>12.35</v>
      </c>
    </row>
    <row r="3071" spans="1:7" x14ac:dyDescent="0.2">
      <c r="A3071" s="3">
        <v>31752</v>
      </c>
      <c r="B3071" s="2">
        <v>392137.2</v>
      </c>
      <c r="C3071" s="38">
        <v>44965</v>
      </c>
      <c r="D3071" s="1" t="s">
        <v>51</v>
      </c>
      <c r="E3071" s="1" t="s">
        <v>34</v>
      </c>
      <c r="F3071" s="1" t="s">
        <v>201</v>
      </c>
      <c r="G3071" s="5">
        <v>12.35</v>
      </c>
    </row>
    <row r="3072" spans="1:7" x14ac:dyDescent="0.2">
      <c r="A3072" s="3">
        <v>63715</v>
      </c>
      <c r="B3072" s="2">
        <v>786880.25</v>
      </c>
      <c r="C3072" s="38">
        <v>44965</v>
      </c>
      <c r="D3072" s="1" t="s">
        <v>51</v>
      </c>
      <c r="E3072" s="1" t="s">
        <v>34</v>
      </c>
      <c r="F3072" s="1" t="s">
        <v>201</v>
      </c>
      <c r="G3072" s="5">
        <v>12.35</v>
      </c>
    </row>
    <row r="3073" spans="1:7" x14ac:dyDescent="0.2">
      <c r="A3073" s="3">
        <v>26809</v>
      </c>
      <c r="B3073" s="2">
        <v>331091.15000000002</v>
      </c>
      <c r="C3073" s="38">
        <v>44965</v>
      </c>
      <c r="D3073" s="1" t="s">
        <v>52</v>
      </c>
      <c r="E3073" s="1" t="s">
        <v>34</v>
      </c>
      <c r="F3073" s="1" t="s">
        <v>201</v>
      </c>
      <c r="G3073" s="5">
        <v>12.35</v>
      </c>
    </row>
    <row r="3074" spans="1:7" x14ac:dyDescent="0.2">
      <c r="A3074" s="3">
        <v>15876</v>
      </c>
      <c r="B3074" s="2">
        <v>196068.6</v>
      </c>
      <c r="C3074" s="38">
        <v>44965</v>
      </c>
      <c r="D3074" s="1" t="s">
        <v>52</v>
      </c>
      <c r="E3074" s="1" t="s">
        <v>34</v>
      </c>
      <c r="F3074" s="1" t="s">
        <v>201</v>
      </c>
      <c r="G3074" s="5">
        <v>12.35</v>
      </c>
    </row>
    <row r="3075" spans="1:7" x14ac:dyDescent="0.2">
      <c r="A3075" s="3">
        <v>32137</v>
      </c>
      <c r="B3075" s="2">
        <v>396891.95</v>
      </c>
      <c r="C3075" s="38">
        <v>44965</v>
      </c>
      <c r="D3075" s="1" t="s">
        <v>52</v>
      </c>
      <c r="E3075" s="1" t="s">
        <v>34</v>
      </c>
      <c r="F3075" s="1" t="s">
        <v>201</v>
      </c>
      <c r="G3075" s="5">
        <v>12.35</v>
      </c>
    </row>
    <row r="3076" spans="1:7" x14ac:dyDescent="0.2">
      <c r="A3076" s="3">
        <v>11088</v>
      </c>
      <c r="B3076" s="2">
        <v>300373.92</v>
      </c>
      <c r="C3076" s="38">
        <v>44965</v>
      </c>
      <c r="D3076" s="1" t="s">
        <v>53</v>
      </c>
      <c r="E3076" s="1" t="s">
        <v>34</v>
      </c>
      <c r="F3076" s="1" t="s">
        <v>201</v>
      </c>
      <c r="G3076" s="5">
        <v>27.09</v>
      </c>
    </row>
    <row r="3077" spans="1:7" x14ac:dyDescent="0.2">
      <c r="A3077" s="3">
        <v>15708</v>
      </c>
      <c r="B3077" s="2">
        <v>425529.72</v>
      </c>
      <c r="C3077" s="38">
        <v>44965</v>
      </c>
      <c r="D3077" s="1" t="s">
        <v>53</v>
      </c>
      <c r="E3077" s="1" t="s">
        <v>34</v>
      </c>
      <c r="F3077" s="1" t="s">
        <v>201</v>
      </c>
      <c r="G3077" s="5">
        <v>27.09</v>
      </c>
    </row>
    <row r="3078" spans="1:7" x14ac:dyDescent="0.2">
      <c r="A3078" s="3">
        <v>31724</v>
      </c>
      <c r="B3078" s="2">
        <v>859403.16</v>
      </c>
      <c r="C3078" s="38">
        <v>44965</v>
      </c>
      <c r="D3078" s="1" t="s">
        <v>53</v>
      </c>
      <c r="E3078" s="1" t="s">
        <v>34</v>
      </c>
      <c r="F3078" s="1" t="s">
        <v>201</v>
      </c>
      <c r="G3078" s="5">
        <v>27.09</v>
      </c>
    </row>
    <row r="3079" spans="1:7" x14ac:dyDescent="0.2">
      <c r="A3079" s="3">
        <v>9744</v>
      </c>
      <c r="B3079" s="2">
        <v>39170.879999999997</v>
      </c>
      <c r="C3079" s="38">
        <v>44965</v>
      </c>
      <c r="D3079" s="1" t="s">
        <v>54</v>
      </c>
      <c r="E3079" s="1" t="s">
        <v>34</v>
      </c>
      <c r="F3079" s="1" t="s">
        <v>201</v>
      </c>
      <c r="G3079" s="5">
        <v>4.0199999999999996</v>
      </c>
    </row>
    <row r="3080" spans="1:7" x14ac:dyDescent="0.2">
      <c r="A3080" s="3">
        <v>17074</v>
      </c>
      <c r="B3080" s="2">
        <v>68637.48</v>
      </c>
      <c r="C3080" s="38">
        <v>44965</v>
      </c>
      <c r="D3080" s="1" t="s">
        <v>54</v>
      </c>
      <c r="E3080" s="1" t="s">
        <v>34</v>
      </c>
      <c r="F3080" s="1" t="s">
        <v>201</v>
      </c>
      <c r="G3080" s="5">
        <v>4.0199999999999996</v>
      </c>
    </row>
    <row r="3081" spans="1:7" x14ac:dyDescent="0.2">
      <c r="A3081" s="3">
        <v>29232</v>
      </c>
      <c r="B3081" s="2">
        <v>117512.64</v>
      </c>
      <c r="C3081" s="38">
        <v>44965</v>
      </c>
      <c r="D3081" s="1" t="s">
        <v>54</v>
      </c>
      <c r="E3081" s="1" t="s">
        <v>34</v>
      </c>
      <c r="F3081" s="1" t="s">
        <v>201</v>
      </c>
      <c r="G3081" s="5">
        <v>4.0199999999999996</v>
      </c>
    </row>
    <row r="3082" spans="1:7" x14ac:dyDescent="0.2">
      <c r="A3082" s="3">
        <v>856</v>
      </c>
      <c r="B3082" s="2">
        <v>127458.4</v>
      </c>
      <c r="C3082" s="38">
        <v>45168</v>
      </c>
      <c r="D3082" s="1" t="s">
        <v>134</v>
      </c>
      <c r="E3082" s="1" t="s">
        <v>39</v>
      </c>
      <c r="F3082" s="1" t="s">
        <v>212</v>
      </c>
      <c r="G3082" s="5">
        <v>148.9</v>
      </c>
    </row>
    <row r="3083" spans="1:7" x14ac:dyDescent="0.2">
      <c r="A3083" s="3">
        <v>270</v>
      </c>
      <c r="B3083" s="2">
        <v>15076.8</v>
      </c>
      <c r="C3083" s="38">
        <v>45176</v>
      </c>
      <c r="D3083" s="1" t="s">
        <v>151</v>
      </c>
      <c r="E3083" s="1" t="s">
        <v>34</v>
      </c>
      <c r="F3083" s="1" t="s">
        <v>216</v>
      </c>
      <c r="G3083" s="5">
        <v>55.84</v>
      </c>
    </row>
    <row r="3084" spans="1:7" x14ac:dyDescent="0.2">
      <c r="A3084" s="3">
        <v>6000</v>
      </c>
      <c r="B3084" s="2">
        <v>11880</v>
      </c>
      <c r="C3084" s="38">
        <v>44963</v>
      </c>
      <c r="D3084" s="1" t="s">
        <v>127</v>
      </c>
      <c r="E3084" s="1" t="s">
        <v>39</v>
      </c>
      <c r="F3084" s="1" t="s">
        <v>212</v>
      </c>
      <c r="G3084" s="5">
        <v>1.98</v>
      </c>
    </row>
    <row r="3085" spans="1:7" x14ac:dyDescent="0.2">
      <c r="A3085" s="3">
        <v>4000</v>
      </c>
      <c r="B3085" s="2">
        <v>5360</v>
      </c>
      <c r="C3085" s="38">
        <v>44964</v>
      </c>
      <c r="D3085" s="1" t="s">
        <v>126</v>
      </c>
      <c r="E3085" s="1" t="s">
        <v>39</v>
      </c>
      <c r="F3085" s="1" t="s">
        <v>212</v>
      </c>
      <c r="G3085" s="5">
        <v>1.34</v>
      </c>
    </row>
    <row r="3086" spans="1:7" x14ac:dyDescent="0.2">
      <c r="A3086" s="3">
        <v>4000</v>
      </c>
      <c r="B3086" s="2">
        <v>5360</v>
      </c>
      <c r="C3086" s="38">
        <v>44964</v>
      </c>
      <c r="D3086" s="1" t="s">
        <v>126</v>
      </c>
      <c r="E3086" s="1" t="s">
        <v>39</v>
      </c>
      <c r="F3086" s="1" t="s">
        <v>212</v>
      </c>
      <c r="G3086" s="5">
        <v>1.34</v>
      </c>
    </row>
    <row r="3087" spans="1:7" x14ac:dyDescent="0.2">
      <c r="A3087" s="3">
        <v>4000</v>
      </c>
      <c r="B3087" s="2">
        <v>5360</v>
      </c>
      <c r="C3087" s="38">
        <v>44966</v>
      </c>
      <c r="D3087" s="1" t="s">
        <v>126</v>
      </c>
      <c r="E3087" s="1" t="s">
        <v>39</v>
      </c>
      <c r="F3087" s="1" t="s">
        <v>212</v>
      </c>
      <c r="G3087" s="5">
        <v>1.34</v>
      </c>
    </row>
    <row r="3088" spans="1:7" x14ac:dyDescent="0.2">
      <c r="A3088" s="3">
        <v>6000</v>
      </c>
      <c r="B3088" s="2">
        <v>10560</v>
      </c>
      <c r="C3088" s="38">
        <v>44987</v>
      </c>
      <c r="D3088" s="1" t="s">
        <v>115</v>
      </c>
      <c r="E3088" s="1" t="s">
        <v>39</v>
      </c>
      <c r="F3088" s="1" t="s">
        <v>212</v>
      </c>
      <c r="G3088" s="5">
        <v>1.76</v>
      </c>
    </row>
    <row r="3089" spans="1:7" x14ac:dyDescent="0.2">
      <c r="A3089" s="3">
        <v>4000</v>
      </c>
      <c r="B3089" s="2">
        <v>5480</v>
      </c>
      <c r="C3089" s="38">
        <v>44992</v>
      </c>
      <c r="D3089" s="1" t="s">
        <v>126</v>
      </c>
      <c r="E3089" s="1" t="s">
        <v>39</v>
      </c>
      <c r="F3089" s="1" t="s">
        <v>212</v>
      </c>
      <c r="G3089" s="5">
        <v>1.37</v>
      </c>
    </row>
    <row r="3090" spans="1:7" x14ac:dyDescent="0.2">
      <c r="A3090" s="3">
        <v>6000</v>
      </c>
      <c r="B3090" s="2">
        <v>11880</v>
      </c>
      <c r="C3090" s="38">
        <v>44993</v>
      </c>
      <c r="D3090" s="1" t="s">
        <v>127</v>
      </c>
      <c r="E3090" s="1" t="s">
        <v>39</v>
      </c>
      <c r="F3090" s="1" t="s">
        <v>212</v>
      </c>
      <c r="G3090" s="5">
        <v>1.98</v>
      </c>
    </row>
    <row r="3091" spans="1:7" x14ac:dyDescent="0.2">
      <c r="A3091" s="3">
        <v>4000</v>
      </c>
      <c r="B3091" s="2">
        <v>5360</v>
      </c>
      <c r="C3091" s="38">
        <v>45041</v>
      </c>
      <c r="D3091" s="1" t="s">
        <v>126</v>
      </c>
      <c r="E3091" s="1" t="s">
        <v>39</v>
      </c>
      <c r="F3091" s="1" t="s">
        <v>212</v>
      </c>
      <c r="G3091" s="5">
        <v>1.34</v>
      </c>
    </row>
    <row r="3092" spans="1:7" x14ac:dyDescent="0.2">
      <c r="A3092" s="3">
        <v>4000</v>
      </c>
      <c r="B3092" s="2">
        <v>5360</v>
      </c>
      <c r="C3092" s="38">
        <v>45041</v>
      </c>
      <c r="D3092" s="1" t="s">
        <v>126</v>
      </c>
      <c r="E3092" s="1" t="s">
        <v>39</v>
      </c>
      <c r="F3092" s="1" t="s">
        <v>212</v>
      </c>
      <c r="G3092" s="5">
        <v>1.34</v>
      </c>
    </row>
    <row r="3093" spans="1:7" x14ac:dyDescent="0.2">
      <c r="A3093" s="3">
        <v>9000</v>
      </c>
      <c r="B3093" s="2">
        <v>15750</v>
      </c>
      <c r="C3093" s="38">
        <v>45044</v>
      </c>
      <c r="D3093" s="1" t="s">
        <v>122</v>
      </c>
      <c r="E3093" s="1" t="s">
        <v>39</v>
      </c>
      <c r="F3093" s="1" t="s">
        <v>212</v>
      </c>
      <c r="G3093" s="5">
        <v>1.75</v>
      </c>
    </row>
    <row r="3094" spans="1:7" x14ac:dyDescent="0.2">
      <c r="A3094" s="3">
        <v>420</v>
      </c>
      <c r="B3094" s="2">
        <v>318922.8</v>
      </c>
      <c r="C3094" s="38">
        <v>44991</v>
      </c>
      <c r="D3094" s="1" t="s">
        <v>83</v>
      </c>
      <c r="E3094" s="1" t="s">
        <v>39</v>
      </c>
      <c r="F3094" s="1" t="s">
        <v>217</v>
      </c>
      <c r="G3094" s="5">
        <v>759.34</v>
      </c>
    </row>
    <row r="3095" spans="1:7" x14ac:dyDescent="0.2">
      <c r="A3095" s="3">
        <v>300</v>
      </c>
      <c r="B3095" s="2">
        <v>227802</v>
      </c>
      <c r="C3095" s="38">
        <v>44991</v>
      </c>
      <c r="D3095" s="1" t="s">
        <v>83</v>
      </c>
      <c r="E3095" s="1" t="s">
        <v>39</v>
      </c>
      <c r="F3095" s="1" t="s">
        <v>217</v>
      </c>
      <c r="G3095" s="5">
        <v>759.34</v>
      </c>
    </row>
    <row r="3096" spans="1:7" x14ac:dyDescent="0.2">
      <c r="A3096" s="3">
        <v>240</v>
      </c>
      <c r="B3096" s="2">
        <v>182241.6</v>
      </c>
      <c r="C3096" s="38">
        <v>44991</v>
      </c>
      <c r="D3096" s="1" t="s">
        <v>83</v>
      </c>
      <c r="E3096" s="1" t="s">
        <v>39</v>
      </c>
      <c r="F3096" s="1" t="s">
        <v>217</v>
      </c>
      <c r="G3096" s="5">
        <v>759.34</v>
      </c>
    </row>
    <row r="3097" spans="1:7" x14ac:dyDescent="0.2">
      <c r="A3097" s="3">
        <v>252</v>
      </c>
      <c r="B3097" s="2">
        <v>35899.919999999998</v>
      </c>
      <c r="C3097" s="38">
        <v>44972</v>
      </c>
      <c r="D3097" s="1" t="s">
        <v>134</v>
      </c>
      <c r="E3097" s="1" t="s">
        <v>39</v>
      </c>
      <c r="F3097" s="1" t="s">
        <v>212</v>
      </c>
      <c r="G3097" s="5">
        <v>142.46</v>
      </c>
    </row>
    <row r="3098" spans="1:7" x14ac:dyDescent="0.2">
      <c r="A3098" s="3">
        <v>270</v>
      </c>
      <c r="B3098" s="2">
        <v>35178.300000000003</v>
      </c>
      <c r="C3098" s="38">
        <v>45020</v>
      </c>
      <c r="D3098" s="1" t="s">
        <v>135</v>
      </c>
      <c r="E3098" s="1" t="s">
        <v>39</v>
      </c>
      <c r="F3098" s="1" t="s">
        <v>212</v>
      </c>
      <c r="G3098" s="5">
        <v>130.29</v>
      </c>
    </row>
    <row r="3099" spans="1:7" x14ac:dyDescent="0.2">
      <c r="A3099" s="3">
        <v>180</v>
      </c>
      <c r="B3099" s="2">
        <v>8766</v>
      </c>
      <c r="C3099" s="38">
        <v>45020</v>
      </c>
      <c r="D3099" s="1" t="s">
        <v>168</v>
      </c>
      <c r="E3099" s="1" t="s">
        <v>39</v>
      </c>
      <c r="F3099" s="1" t="s">
        <v>212</v>
      </c>
      <c r="G3099" s="5">
        <v>48.7</v>
      </c>
    </row>
    <row r="3100" spans="1:7" x14ac:dyDescent="0.2">
      <c r="A3100" s="3">
        <v>90</v>
      </c>
      <c r="B3100" s="2">
        <v>4192.2</v>
      </c>
      <c r="C3100" s="38">
        <v>45020</v>
      </c>
      <c r="D3100" s="1" t="s">
        <v>168</v>
      </c>
      <c r="E3100" s="1" t="s">
        <v>39</v>
      </c>
      <c r="F3100" s="1" t="s">
        <v>212</v>
      </c>
      <c r="G3100" s="5">
        <v>46.58</v>
      </c>
    </row>
    <row r="3101" spans="1:7" x14ac:dyDescent="0.2">
      <c r="A3101" s="3">
        <v>270</v>
      </c>
      <c r="B3101" s="2">
        <v>35178.300000000003</v>
      </c>
      <c r="C3101" s="38">
        <v>45044</v>
      </c>
      <c r="D3101" s="1" t="s">
        <v>135</v>
      </c>
      <c r="E3101" s="1" t="s">
        <v>39</v>
      </c>
      <c r="F3101" s="1" t="s">
        <v>212</v>
      </c>
      <c r="G3101" s="5">
        <v>130.29</v>
      </c>
    </row>
    <row r="3102" spans="1:7" x14ac:dyDescent="0.2">
      <c r="A3102" s="3">
        <v>1215</v>
      </c>
      <c r="B3102" s="2">
        <v>73568.25</v>
      </c>
      <c r="C3102" s="38">
        <v>45071</v>
      </c>
      <c r="D3102" s="1" t="s">
        <v>133</v>
      </c>
      <c r="E3102" s="1" t="s">
        <v>39</v>
      </c>
      <c r="F3102" s="1" t="s">
        <v>212</v>
      </c>
      <c r="G3102" s="5">
        <v>60.55</v>
      </c>
    </row>
    <row r="3103" spans="1:7" x14ac:dyDescent="0.2">
      <c r="A3103" s="3">
        <v>270</v>
      </c>
      <c r="B3103" s="2">
        <v>16348.5</v>
      </c>
      <c r="C3103" s="38">
        <v>45071</v>
      </c>
      <c r="D3103" s="1" t="s">
        <v>133</v>
      </c>
      <c r="E3103" s="1" t="s">
        <v>39</v>
      </c>
      <c r="F3103" s="1" t="s">
        <v>212</v>
      </c>
      <c r="G3103" s="5">
        <v>60.55</v>
      </c>
    </row>
    <row r="3104" spans="1:7" x14ac:dyDescent="0.2">
      <c r="A3104" s="3">
        <v>324</v>
      </c>
      <c r="B3104" s="2">
        <v>19618.2</v>
      </c>
      <c r="C3104" s="38">
        <v>45071</v>
      </c>
      <c r="D3104" s="1" t="s">
        <v>133</v>
      </c>
      <c r="E3104" s="1" t="s">
        <v>39</v>
      </c>
      <c r="F3104" s="1" t="s">
        <v>212</v>
      </c>
      <c r="G3104" s="5">
        <v>60.55</v>
      </c>
    </row>
    <row r="3105" spans="1:7" x14ac:dyDescent="0.2">
      <c r="A3105" s="3">
        <v>270</v>
      </c>
      <c r="B3105" s="2">
        <v>40203</v>
      </c>
      <c r="C3105" s="38">
        <v>45071</v>
      </c>
      <c r="D3105" s="1" t="s">
        <v>134</v>
      </c>
      <c r="E3105" s="1" t="s">
        <v>39</v>
      </c>
      <c r="F3105" s="1" t="s">
        <v>212</v>
      </c>
      <c r="G3105" s="5">
        <v>148.9</v>
      </c>
    </row>
    <row r="3106" spans="1:7" x14ac:dyDescent="0.2">
      <c r="A3106" s="3">
        <v>270</v>
      </c>
      <c r="B3106" s="2">
        <v>35178.300000000003</v>
      </c>
      <c r="C3106" s="38">
        <v>45071</v>
      </c>
      <c r="D3106" s="1" t="s">
        <v>135</v>
      </c>
      <c r="E3106" s="1" t="s">
        <v>39</v>
      </c>
      <c r="F3106" s="1" t="s">
        <v>212</v>
      </c>
      <c r="G3106" s="5">
        <v>130.29</v>
      </c>
    </row>
    <row r="3107" spans="1:7" x14ac:dyDescent="0.2">
      <c r="A3107" s="3">
        <v>270</v>
      </c>
      <c r="B3107" s="2">
        <v>35178.300000000003</v>
      </c>
      <c r="C3107" s="38">
        <v>45092</v>
      </c>
      <c r="D3107" s="1" t="s">
        <v>135</v>
      </c>
      <c r="E3107" s="1" t="s">
        <v>39</v>
      </c>
      <c r="F3107" s="1" t="s">
        <v>212</v>
      </c>
      <c r="G3107" s="5">
        <v>130.29</v>
      </c>
    </row>
    <row r="3108" spans="1:7" x14ac:dyDescent="0.2">
      <c r="A3108" s="3">
        <v>270</v>
      </c>
      <c r="B3108" s="2">
        <v>40203</v>
      </c>
      <c r="C3108" s="38">
        <v>45099</v>
      </c>
      <c r="D3108" s="1" t="s">
        <v>134</v>
      </c>
      <c r="E3108" s="1" t="s">
        <v>39</v>
      </c>
      <c r="F3108" s="1" t="s">
        <v>212</v>
      </c>
      <c r="G3108" s="5">
        <v>148.9</v>
      </c>
    </row>
    <row r="3109" spans="1:7" x14ac:dyDescent="0.2">
      <c r="A3109" s="3">
        <v>297</v>
      </c>
      <c r="B3109" s="2">
        <v>44223.3</v>
      </c>
      <c r="C3109" s="38">
        <v>45107</v>
      </c>
      <c r="D3109" s="1" t="s">
        <v>134</v>
      </c>
      <c r="E3109" s="1" t="s">
        <v>39</v>
      </c>
      <c r="F3109" s="1" t="s">
        <v>212</v>
      </c>
      <c r="G3109" s="5">
        <v>148.9</v>
      </c>
    </row>
    <row r="3110" spans="1:7" x14ac:dyDescent="0.2">
      <c r="A3110" s="3">
        <v>18</v>
      </c>
      <c r="B3110" s="2">
        <v>2680.2</v>
      </c>
      <c r="C3110" s="38">
        <v>45117</v>
      </c>
      <c r="D3110" s="1" t="s">
        <v>134</v>
      </c>
      <c r="E3110" s="1" t="s">
        <v>39</v>
      </c>
      <c r="F3110" s="1" t="s">
        <v>212</v>
      </c>
      <c r="G3110" s="5">
        <v>148.9</v>
      </c>
    </row>
    <row r="3111" spans="1:7" x14ac:dyDescent="0.2">
      <c r="A3111" s="3">
        <v>270</v>
      </c>
      <c r="B3111" s="2">
        <v>13149</v>
      </c>
      <c r="C3111" s="38">
        <v>45119</v>
      </c>
      <c r="D3111" s="1" t="s">
        <v>168</v>
      </c>
      <c r="E3111" s="1" t="s">
        <v>39</v>
      </c>
      <c r="F3111" s="1" t="s">
        <v>212</v>
      </c>
      <c r="G3111" s="5">
        <v>48.7</v>
      </c>
    </row>
    <row r="3112" spans="1:7" x14ac:dyDescent="0.2">
      <c r="A3112" s="3">
        <v>270</v>
      </c>
      <c r="B3112" s="2">
        <v>13149</v>
      </c>
      <c r="C3112" s="38">
        <v>45119</v>
      </c>
      <c r="D3112" s="1" t="s">
        <v>168</v>
      </c>
      <c r="E3112" s="1" t="s">
        <v>39</v>
      </c>
      <c r="F3112" s="1" t="s">
        <v>212</v>
      </c>
      <c r="G3112" s="5">
        <v>48.7</v>
      </c>
    </row>
    <row r="3113" spans="1:7" x14ac:dyDescent="0.2">
      <c r="A3113" s="3">
        <v>270</v>
      </c>
      <c r="B3113" s="2">
        <v>13149</v>
      </c>
      <c r="C3113" s="38">
        <v>45119</v>
      </c>
      <c r="D3113" s="1" t="s">
        <v>168</v>
      </c>
      <c r="E3113" s="1" t="s">
        <v>39</v>
      </c>
      <c r="F3113" s="1" t="s">
        <v>212</v>
      </c>
      <c r="G3113" s="5">
        <v>48.7</v>
      </c>
    </row>
    <row r="3114" spans="1:7" x14ac:dyDescent="0.2">
      <c r="A3114" s="3">
        <v>270</v>
      </c>
      <c r="B3114" s="2">
        <v>13149</v>
      </c>
      <c r="C3114" s="38">
        <v>45119</v>
      </c>
      <c r="D3114" s="1" t="s">
        <v>168</v>
      </c>
      <c r="E3114" s="1" t="s">
        <v>39</v>
      </c>
      <c r="F3114" s="1" t="s">
        <v>212</v>
      </c>
      <c r="G3114" s="5">
        <v>48.7</v>
      </c>
    </row>
    <row r="3115" spans="1:7" x14ac:dyDescent="0.2">
      <c r="A3115" s="3">
        <v>270</v>
      </c>
      <c r="B3115" s="2">
        <v>13149</v>
      </c>
      <c r="C3115" s="38">
        <v>45119</v>
      </c>
      <c r="D3115" s="1" t="s">
        <v>168</v>
      </c>
      <c r="E3115" s="1" t="s">
        <v>39</v>
      </c>
      <c r="F3115" s="1" t="s">
        <v>212</v>
      </c>
      <c r="G3115" s="5">
        <v>48.7</v>
      </c>
    </row>
    <row r="3116" spans="1:7" x14ac:dyDescent="0.2">
      <c r="A3116" s="3">
        <v>270</v>
      </c>
      <c r="B3116" s="2">
        <v>13149</v>
      </c>
      <c r="C3116" s="38">
        <v>45119</v>
      </c>
      <c r="D3116" s="1" t="s">
        <v>168</v>
      </c>
      <c r="E3116" s="1" t="s">
        <v>39</v>
      </c>
      <c r="F3116" s="1" t="s">
        <v>212</v>
      </c>
      <c r="G3116" s="5">
        <v>48.7</v>
      </c>
    </row>
    <row r="3117" spans="1:7" x14ac:dyDescent="0.2">
      <c r="A3117" s="3">
        <v>270</v>
      </c>
      <c r="B3117" s="2">
        <v>13149</v>
      </c>
      <c r="C3117" s="38">
        <v>45119</v>
      </c>
      <c r="D3117" s="1" t="s">
        <v>168</v>
      </c>
      <c r="E3117" s="1" t="s">
        <v>39</v>
      </c>
      <c r="F3117" s="1" t="s">
        <v>212</v>
      </c>
      <c r="G3117" s="5">
        <v>48.7</v>
      </c>
    </row>
    <row r="3118" spans="1:7" x14ac:dyDescent="0.2">
      <c r="A3118" s="3">
        <v>270</v>
      </c>
      <c r="B3118" s="2">
        <v>13149</v>
      </c>
      <c r="C3118" s="38">
        <v>45119</v>
      </c>
      <c r="D3118" s="1" t="s">
        <v>168</v>
      </c>
      <c r="E3118" s="1" t="s">
        <v>39</v>
      </c>
      <c r="F3118" s="1" t="s">
        <v>212</v>
      </c>
      <c r="G3118" s="5">
        <v>48.7</v>
      </c>
    </row>
    <row r="3119" spans="1:7" x14ac:dyDescent="0.2">
      <c r="A3119" s="3">
        <v>1404</v>
      </c>
      <c r="B3119" s="2">
        <v>85012.2</v>
      </c>
      <c r="C3119" s="38">
        <v>45125</v>
      </c>
      <c r="D3119" s="1" t="s">
        <v>133</v>
      </c>
      <c r="E3119" s="1" t="s">
        <v>39</v>
      </c>
      <c r="F3119" s="1" t="s">
        <v>212</v>
      </c>
      <c r="G3119" s="5">
        <v>60.55</v>
      </c>
    </row>
    <row r="3120" spans="1:7" x14ac:dyDescent="0.2">
      <c r="A3120" s="3">
        <v>270</v>
      </c>
      <c r="B3120" s="2">
        <v>35178.300000000003</v>
      </c>
      <c r="C3120" s="38">
        <v>45125</v>
      </c>
      <c r="D3120" s="1" t="s">
        <v>135</v>
      </c>
      <c r="E3120" s="1" t="s">
        <v>39</v>
      </c>
      <c r="F3120" s="1" t="s">
        <v>212</v>
      </c>
      <c r="G3120" s="5">
        <v>130.29</v>
      </c>
    </row>
    <row r="3121" spans="1:7" x14ac:dyDescent="0.2">
      <c r="A3121" s="3">
        <v>270</v>
      </c>
      <c r="B3121" s="2">
        <v>13149</v>
      </c>
      <c r="C3121" s="38">
        <v>45125</v>
      </c>
      <c r="D3121" s="1" t="s">
        <v>168</v>
      </c>
      <c r="E3121" s="1" t="s">
        <v>39</v>
      </c>
      <c r="F3121" s="1" t="s">
        <v>212</v>
      </c>
      <c r="G3121" s="5">
        <v>48.7</v>
      </c>
    </row>
    <row r="3122" spans="1:7" x14ac:dyDescent="0.2">
      <c r="A3122" s="3">
        <v>270</v>
      </c>
      <c r="B3122" s="2">
        <v>13149</v>
      </c>
      <c r="C3122" s="38">
        <v>45125</v>
      </c>
      <c r="D3122" s="1" t="s">
        <v>168</v>
      </c>
      <c r="E3122" s="1" t="s">
        <v>39</v>
      </c>
      <c r="F3122" s="1" t="s">
        <v>212</v>
      </c>
      <c r="G3122" s="5">
        <v>48.7</v>
      </c>
    </row>
    <row r="3123" spans="1:7" x14ac:dyDescent="0.2">
      <c r="A3123" s="3">
        <v>270</v>
      </c>
      <c r="B3123" s="2">
        <v>40203</v>
      </c>
      <c r="C3123" s="38">
        <v>45133</v>
      </c>
      <c r="D3123" s="1" t="s">
        <v>134</v>
      </c>
      <c r="E3123" s="1" t="s">
        <v>39</v>
      </c>
      <c r="F3123" s="1" t="s">
        <v>212</v>
      </c>
      <c r="G3123" s="5">
        <v>148.9</v>
      </c>
    </row>
    <row r="3124" spans="1:7" x14ac:dyDescent="0.2">
      <c r="A3124" s="3">
        <v>74</v>
      </c>
      <c r="B3124" s="2">
        <v>4132.16</v>
      </c>
      <c r="C3124" s="38">
        <v>45134</v>
      </c>
      <c r="D3124" s="1" t="s">
        <v>151</v>
      </c>
      <c r="E3124" s="1" t="s">
        <v>34</v>
      </c>
      <c r="F3124" s="1" t="s">
        <v>213</v>
      </c>
      <c r="G3124" s="5">
        <v>55.84</v>
      </c>
    </row>
    <row r="3125" spans="1:7" x14ac:dyDescent="0.2">
      <c r="A3125" s="3">
        <v>196</v>
      </c>
      <c r="B3125" s="2">
        <v>10944.64</v>
      </c>
      <c r="C3125" s="38">
        <v>45134</v>
      </c>
      <c r="D3125" s="1" t="s">
        <v>151</v>
      </c>
      <c r="E3125" s="1" t="s">
        <v>34</v>
      </c>
      <c r="F3125" s="1" t="s">
        <v>213</v>
      </c>
      <c r="G3125" s="5">
        <v>55.84</v>
      </c>
    </row>
    <row r="3126" spans="1:7" x14ac:dyDescent="0.2">
      <c r="A3126" s="3">
        <v>270</v>
      </c>
      <c r="B3126" s="2">
        <v>15076.8</v>
      </c>
      <c r="C3126" s="38">
        <v>45134</v>
      </c>
      <c r="D3126" s="1" t="s">
        <v>151</v>
      </c>
      <c r="E3126" s="1" t="s">
        <v>36</v>
      </c>
      <c r="F3126" s="1" t="s">
        <v>215</v>
      </c>
      <c r="G3126" s="5">
        <v>55.84</v>
      </c>
    </row>
    <row r="3127" spans="1:7" x14ac:dyDescent="0.2">
      <c r="A3127" s="3">
        <v>1404</v>
      </c>
      <c r="B3127" s="2">
        <v>85012.2</v>
      </c>
      <c r="C3127" s="38">
        <v>45145</v>
      </c>
      <c r="D3127" s="1" t="s">
        <v>133</v>
      </c>
      <c r="E3127" s="1" t="s">
        <v>39</v>
      </c>
      <c r="F3127" s="1" t="s">
        <v>212</v>
      </c>
      <c r="G3127" s="5">
        <v>60.55</v>
      </c>
    </row>
    <row r="3128" spans="1:7" x14ac:dyDescent="0.2">
      <c r="A3128" s="3">
        <v>383</v>
      </c>
      <c r="B3128" s="2">
        <v>92628.55</v>
      </c>
      <c r="C3128" s="38">
        <v>45002</v>
      </c>
      <c r="D3128" s="1" t="s">
        <v>87</v>
      </c>
      <c r="E3128" s="1" t="s">
        <v>36</v>
      </c>
      <c r="F3128" s="1" t="s">
        <v>204</v>
      </c>
      <c r="G3128" s="5">
        <v>241.85</v>
      </c>
    </row>
    <row r="3129" spans="1:7" x14ac:dyDescent="0.2">
      <c r="A3129" s="3">
        <v>120</v>
      </c>
      <c r="B3129" s="2">
        <v>80049.600000000006</v>
      </c>
      <c r="C3129" s="38">
        <v>45155</v>
      </c>
      <c r="D3129" s="1" t="s">
        <v>123</v>
      </c>
      <c r="E3129" s="1" t="s">
        <v>39</v>
      </c>
      <c r="F3129" s="1" t="s">
        <v>212</v>
      </c>
      <c r="G3129" s="5">
        <v>667.08</v>
      </c>
    </row>
    <row r="3130" spans="1:7" x14ac:dyDescent="0.2">
      <c r="A3130" s="3">
        <v>1215</v>
      </c>
      <c r="B3130" s="2">
        <v>73568.25</v>
      </c>
      <c r="C3130" s="38">
        <v>45162</v>
      </c>
      <c r="D3130" s="1" t="s">
        <v>133</v>
      </c>
      <c r="E3130" s="1" t="s">
        <v>39</v>
      </c>
      <c r="F3130" s="1" t="s">
        <v>212</v>
      </c>
      <c r="G3130" s="5">
        <v>60.55</v>
      </c>
    </row>
    <row r="3131" spans="1:7" x14ac:dyDescent="0.2">
      <c r="A3131" s="3">
        <v>297</v>
      </c>
      <c r="B3131" s="2">
        <v>17983.349999999999</v>
      </c>
      <c r="C3131" s="38">
        <v>45162</v>
      </c>
      <c r="D3131" s="1" t="s">
        <v>133</v>
      </c>
      <c r="E3131" s="1" t="s">
        <v>39</v>
      </c>
      <c r="F3131" s="1" t="s">
        <v>212</v>
      </c>
      <c r="G3131" s="5">
        <v>60.55</v>
      </c>
    </row>
    <row r="3132" spans="1:7" x14ac:dyDescent="0.2">
      <c r="A3132" s="3">
        <v>297</v>
      </c>
      <c r="B3132" s="2">
        <v>17983.349999999999</v>
      </c>
      <c r="C3132" s="38">
        <v>45162</v>
      </c>
      <c r="D3132" s="1" t="s">
        <v>133</v>
      </c>
      <c r="E3132" s="1" t="s">
        <v>39</v>
      </c>
      <c r="F3132" s="1" t="s">
        <v>212</v>
      </c>
      <c r="G3132" s="5">
        <v>60.55</v>
      </c>
    </row>
    <row r="3133" spans="1:7" x14ac:dyDescent="0.2">
      <c r="A3133" s="3">
        <v>1215</v>
      </c>
      <c r="B3133" s="2">
        <v>73568.25</v>
      </c>
      <c r="C3133" s="38">
        <v>45162</v>
      </c>
      <c r="D3133" s="1" t="s">
        <v>133</v>
      </c>
      <c r="E3133" s="1" t="s">
        <v>39</v>
      </c>
      <c r="F3133" s="1" t="s">
        <v>212</v>
      </c>
      <c r="G3133" s="5">
        <v>60.55</v>
      </c>
    </row>
    <row r="3134" spans="1:7" x14ac:dyDescent="0.2">
      <c r="A3134" s="3">
        <v>270</v>
      </c>
      <c r="B3134" s="2">
        <v>15076.8</v>
      </c>
      <c r="C3134" s="38">
        <v>45166</v>
      </c>
      <c r="D3134" s="1" t="s">
        <v>151</v>
      </c>
      <c r="E3134" s="1" t="s">
        <v>34</v>
      </c>
      <c r="F3134" s="1" t="s">
        <v>216</v>
      </c>
      <c r="G3134" s="5">
        <v>55.84</v>
      </c>
    </row>
    <row r="3135" spans="1:7" x14ac:dyDescent="0.2">
      <c r="A3135" s="3">
        <v>270</v>
      </c>
      <c r="B3135" s="2">
        <v>15076.8</v>
      </c>
      <c r="C3135" s="38">
        <v>45166</v>
      </c>
      <c r="D3135" s="1" t="s">
        <v>151</v>
      </c>
      <c r="E3135" s="1" t="s">
        <v>34</v>
      </c>
      <c r="F3135" s="1" t="s">
        <v>216</v>
      </c>
      <c r="G3135" s="5">
        <v>55.84</v>
      </c>
    </row>
    <row r="3136" spans="1:7" x14ac:dyDescent="0.2">
      <c r="A3136" s="3">
        <v>270</v>
      </c>
      <c r="B3136" s="2">
        <v>15076.8</v>
      </c>
      <c r="C3136" s="38">
        <v>45166</v>
      </c>
      <c r="D3136" s="1" t="s">
        <v>151</v>
      </c>
      <c r="E3136" s="1" t="s">
        <v>34</v>
      </c>
      <c r="F3136" s="1" t="s">
        <v>216</v>
      </c>
      <c r="G3136" s="5">
        <v>55.84</v>
      </c>
    </row>
    <row r="3137" spans="1:7" x14ac:dyDescent="0.2">
      <c r="A3137" s="3">
        <v>297</v>
      </c>
      <c r="B3137" s="2">
        <v>17983.349999999999</v>
      </c>
      <c r="C3137" s="38">
        <v>45167</v>
      </c>
      <c r="D3137" s="1" t="s">
        <v>133</v>
      </c>
      <c r="E3137" s="1" t="s">
        <v>39</v>
      </c>
      <c r="F3137" s="1" t="s">
        <v>212</v>
      </c>
      <c r="G3137" s="5">
        <v>60.55</v>
      </c>
    </row>
    <row r="3138" spans="1:7" x14ac:dyDescent="0.2">
      <c r="A3138" s="3">
        <v>135</v>
      </c>
      <c r="B3138" s="2">
        <v>17589.150000000001</v>
      </c>
      <c r="C3138" s="38">
        <v>45167</v>
      </c>
      <c r="D3138" s="1" t="s">
        <v>135</v>
      </c>
      <c r="E3138" s="1" t="s">
        <v>39</v>
      </c>
      <c r="F3138" s="1" t="s">
        <v>212</v>
      </c>
      <c r="G3138" s="5">
        <v>130.29</v>
      </c>
    </row>
    <row r="3139" spans="1:7" x14ac:dyDescent="0.2">
      <c r="A3139" s="3">
        <v>4000</v>
      </c>
      <c r="B3139" s="2">
        <v>5360</v>
      </c>
      <c r="C3139" s="38">
        <v>45103</v>
      </c>
      <c r="D3139" s="1" t="s">
        <v>126</v>
      </c>
      <c r="E3139" s="1" t="s">
        <v>39</v>
      </c>
      <c r="F3139" s="1" t="s">
        <v>212</v>
      </c>
      <c r="G3139" s="5">
        <v>1.34</v>
      </c>
    </row>
    <row r="3140" spans="1:7" x14ac:dyDescent="0.2">
      <c r="A3140" s="3">
        <v>4000</v>
      </c>
      <c r="B3140" s="2">
        <v>5360</v>
      </c>
      <c r="C3140" s="38">
        <v>45125</v>
      </c>
      <c r="D3140" s="1" t="s">
        <v>126</v>
      </c>
      <c r="E3140" s="1" t="s">
        <v>39</v>
      </c>
      <c r="F3140" s="1" t="s">
        <v>212</v>
      </c>
      <c r="G3140" s="5">
        <v>1.34</v>
      </c>
    </row>
    <row r="3141" spans="1:7" x14ac:dyDescent="0.2">
      <c r="A3141" s="3">
        <v>6000</v>
      </c>
      <c r="B3141" s="2">
        <v>11880</v>
      </c>
      <c r="C3141" s="38">
        <v>45134</v>
      </c>
      <c r="D3141" s="1" t="s">
        <v>127</v>
      </c>
      <c r="E3141" s="1" t="s">
        <v>39</v>
      </c>
      <c r="F3141" s="1" t="s">
        <v>212</v>
      </c>
      <c r="G3141" s="5">
        <v>1.98</v>
      </c>
    </row>
    <row r="3142" spans="1:7" x14ac:dyDescent="0.2">
      <c r="A3142" s="3">
        <v>9000</v>
      </c>
      <c r="B3142" s="2">
        <v>15750</v>
      </c>
      <c r="C3142" s="38">
        <v>45135</v>
      </c>
      <c r="D3142" s="1" t="s">
        <v>122</v>
      </c>
      <c r="E3142" s="1" t="s">
        <v>39</v>
      </c>
      <c r="F3142" s="1" t="s">
        <v>212</v>
      </c>
      <c r="G3142" s="5">
        <v>1.75</v>
      </c>
    </row>
    <row r="3143" spans="1:7" x14ac:dyDescent="0.2">
      <c r="A3143" s="3">
        <v>6000</v>
      </c>
      <c r="B3143" s="2">
        <v>10500</v>
      </c>
      <c r="C3143" s="38">
        <v>45155</v>
      </c>
      <c r="D3143" s="1" t="s">
        <v>122</v>
      </c>
      <c r="E3143" s="1" t="s">
        <v>39</v>
      </c>
      <c r="F3143" s="1" t="s">
        <v>212</v>
      </c>
      <c r="G3143" s="5">
        <v>1.75</v>
      </c>
    </row>
    <row r="3144" spans="1:7" x14ac:dyDescent="0.2">
      <c r="A3144" s="3">
        <v>4000</v>
      </c>
      <c r="B3144" s="2">
        <v>5480</v>
      </c>
      <c r="C3144" s="38">
        <v>44900</v>
      </c>
      <c r="D3144" s="1" t="s">
        <v>126</v>
      </c>
      <c r="E3144" s="1" t="s">
        <v>39</v>
      </c>
      <c r="F3144" s="1" t="s">
        <v>212</v>
      </c>
      <c r="G3144" s="5">
        <v>1.37</v>
      </c>
    </row>
    <row r="3145" spans="1:7" x14ac:dyDescent="0.2">
      <c r="A3145" s="3">
        <v>9000</v>
      </c>
      <c r="B3145" s="2">
        <v>15840</v>
      </c>
      <c r="C3145" s="38">
        <v>44902</v>
      </c>
      <c r="D3145" s="1" t="s">
        <v>115</v>
      </c>
      <c r="E3145" s="1" t="s">
        <v>39</v>
      </c>
      <c r="F3145" s="1" t="s">
        <v>212</v>
      </c>
      <c r="G3145" s="5">
        <v>1.76</v>
      </c>
    </row>
    <row r="3146" spans="1:7" x14ac:dyDescent="0.2">
      <c r="A3146" s="3">
        <v>4000</v>
      </c>
      <c r="B3146" s="2">
        <v>3559.6</v>
      </c>
      <c r="C3146" s="38">
        <v>44939</v>
      </c>
      <c r="D3146" s="1" t="s">
        <v>159</v>
      </c>
      <c r="E3146" s="1" t="s">
        <v>38</v>
      </c>
      <c r="F3146" s="1" t="s">
        <v>202</v>
      </c>
      <c r="G3146" s="5">
        <v>0.88990000000000002</v>
      </c>
    </row>
    <row r="3147" spans="1:7" x14ac:dyDescent="0.2">
      <c r="A3147" s="3">
        <v>2000</v>
      </c>
      <c r="B3147" s="2">
        <v>1798</v>
      </c>
      <c r="C3147" s="38">
        <v>44939</v>
      </c>
      <c r="D3147" s="1" t="s">
        <v>159</v>
      </c>
      <c r="E3147" s="1" t="s">
        <v>38</v>
      </c>
      <c r="F3147" s="1" t="s">
        <v>202</v>
      </c>
      <c r="G3147" s="5">
        <v>0.89900000000000002</v>
      </c>
    </row>
    <row r="3148" spans="1:7" x14ac:dyDescent="0.2">
      <c r="A3148" s="3">
        <v>5000</v>
      </c>
      <c r="B3148" s="2">
        <v>6150</v>
      </c>
      <c r="C3148" s="38">
        <v>44943</v>
      </c>
      <c r="D3148" s="1" t="s">
        <v>192</v>
      </c>
      <c r="E3148" s="1" t="s">
        <v>40</v>
      </c>
      <c r="F3148" s="1" t="s">
        <v>206</v>
      </c>
      <c r="G3148" s="5">
        <v>1.23</v>
      </c>
    </row>
    <row r="3149" spans="1:7" x14ac:dyDescent="0.2">
      <c r="A3149" s="3">
        <v>4000</v>
      </c>
      <c r="B3149" s="2">
        <v>3559.6</v>
      </c>
      <c r="C3149" s="38">
        <v>44943</v>
      </c>
      <c r="D3149" s="1" t="s">
        <v>159</v>
      </c>
      <c r="E3149" s="1" t="s">
        <v>38</v>
      </c>
      <c r="F3149" s="1" t="s">
        <v>202</v>
      </c>
      <c r="G3149" s="5">
        <v>0.88990000000000002</v>
      </c>
    </row>
    <row r="3150" spans="1:7" x14ac:dyDescent="0.2">
      <c r="A3150" s="3">
        <v>2500</v>
      </c>
      <c r="B3150" s="2">
        <v>3875</v>
      </c>
      <c r="C3150" s="38">
        <v>44943</v>
      </c>
      <c r="D3150" s="1" t="s">
        <v>186</v>
      </c>
      <c r="E3150" s="1" t="s">
        <v>36</v>
      </c>
      <c r="F3150" s="1" t="s">
        <v>204</v>
      </c>
      <c r="G3150" s="5">
        <v>1.55</v>
      </c>
    </row>
    <row r="3151" spans="1:7" x14ac:dyDescent="0.2">
      <c r="A3151" s="3">
        <v>7500</v>
      </c>
      <c r="B3151" s="2">
        <v>11625</v>
      </c>
      <c r="C3151" s="38">
        <v>44943</v>
      </c>
      <c r="D3151" s="1" t="s">
        <v>186</v>
      </c>
      <c r="E3151" s="1" t="s">
        <v>36</v>
      </c>
      <c r="F3151" s="1" t="s">
        <v>204</v>
      </c>
      <c r="G3151" s="5">
        <v>1.55</v>
      </c>
    </row>
    <row r="3152" spans="1:7" x14ac:dyDescent="0.2">
      <c r="A3152" s="3">
        <v>2500</v>
      </c>
      <c r="B3152" s="2">
        <v>3875</v>
      </c>
      <c r="C3152" s="38">
        <v>44943</v>
      </c>
      <c r="D3152" s="1" t="s">
        <v>186</v>
      </c>
      <c r="E3152" s="1" t="s">
        <v>36</v>
      </c>
      <c r="F3152" s="1" t="s">
        <v>204</v>
      </c>
      <c r="G3152" s="5">
        <v>1.55</v>
      </c>
    </row>
    <row r="3153" spans="1:7" x14ac:dyDescent="0.2">
      <c r="A3153" s="3">
        <v>2500</v>
      </c>
      <c r="B3153" s="2">
        <v>9500</v>
      </c>
      <c r="C3153" s="38">
        <v>44943</v>
      </c>
      <c r="D3153" s="1" t="s">
        <v>189</v>
      </c>
      <c r="E3153" s="1" t="s">
        <v>36</v>
      </c>
      <c r="F3153" s="1" t="s">
        <v>204</v>
      </c>
      <c r="G3153" s="5">
        <v>3.8</v>
      </c>
    </row>
    <row r="3154" spans="1:7" x14ac:dyDescent="0.2">
      <c r="A3154" s="3">
        <v>5000</v>
      </c>
      <c r="B3154" s="2">
        <v>19000</v>
      </c>
      <c r="C3154" s="38">
        <v>44943</v>
      </c>
      <c r="D3154" s="1" t="s">
        <v>189</v>
      </c>
      <c r="E3154" s="1" t="s">
        <v>36</v>
      </c>
      <c r="F3154" s="1" t="s">
        <v>204</v>
      </c>
      <c r="G3154" s="5">
        <v>3.8</v>
      </c>
    </row>
    <row r="3155" spans="1:7" x14ac:dyDescent="0.2">
      <c r="A3155" s="3">
        <v>7500</v>
      </c>
      <c r="B3155" s="2">
        <v>28500</v>
      </c>
      <c r="C3155" s="38">
        <v>44943</v>
      </c>
      <c r="D3155" s="1" t="s">
        <v>189</v>
      </c>
      <c r="E3155" s="1" t="s">
        <v>36</v>
      </c>
      <c r="F3155" s="1" t="s">
        <v>204</v>
      </c>
      <c r="G3155" s="5">
        <v>3.8</v>
      </c>
    </row>
    <row r="3156" spans="1:7" x14ac:dyDescent="0.2">
      <c r="A3156" s="3">
        <v>5000</v>
      </c>
      <c r="B3156" s="2">
        <v>19000</v>
      </c>
      <c r="C3156" s="38">
        <v>44943</v>
      </c>
      <c r="D3156" s="1" t="s">
        <v>189</v>
      </c>
      <c r="E3156" s="1" t="s">
        <v>34</v>
      </c>
      <c r="F3156" s="1" t="s">
        <v>208</v>
      </c>
      <c r="G3156" s="5">
        <v>3.8</v>
      </c>
    </row>
    <row r="3157" spans="1:7" x14ac:dyDescent="0.2">
      <c r="A3157" s="3">
        <v>2000</v>
      </c>
      <c r="B3157" s="2">
        <v>1779.8</v>
      </c>
      <c r="C3157" s="38">
        <v>44943</v>
      </c>
      <c r="D3157" s="1" t="s">
        <v>159</v>
      </c>
      <c r="E3157" s="1" t="s">
        <v>34</v>
      </c>
      <c r="F3157" s="1" t="s">
        <v>218</v>
      </c>
      <c r="G3157" s="5">
        <v>0.88990000000000002</v>
      </c>
    </row>
    <row r="3158" spans="1:7" x14ac:dyDescent="0.2">
      <c r="A3158" s="3">
        <v>2500</v>
      </c>
      <c r="B3158" s="2">
        <v>4250</v>
      </c>
      <c r="C3158" s="38">
        <v>44949</v>
      </c>
      <c r="D3158" s="1" t="s">
        <v>188</v>
      </c>
      <c r="E3158" s="1" t="s">
        <v>36</v>
      </c>
      <c r="F3158" s="1" t="s">
        <v>204</v>
      </c>
      <c r="G3158" s="5">
        <v>1.7</v>
      </c>
    </row>
    <row r="3159" spans="1:7" x14ac:dyDescent="0.2">
      <c r="A3159" s="3">
        <v>2000</v>
      </c>
      <c r="B3159" s="2">
        <v>1779.8</v>
      </c>
      <c r="C3159" s="38">
        <v>44585</v>
      </c>
      <c r="D3159" s="1" t="s">
        <v>159</v>
      </c>
      <c r="E3159" s="1" t="s">
        <v>41</v>
      </c>
      <c r="F3159" s="1" t="s">
        <v>219</v>
      </c>
      <c r="G3159" s="5">
        <v>0.88990000000000002</v>
      </c>
    </row>
    <row r="3160" spans="1:7" x14ac:dyDescent="0.2">
      <c r="A3160" s="3">
        <v>2000</v>
      </c>
      <c r="B3160" s="2">
        <v>1779.8</v>
      </c>
      <c r="C3160" s="38">
        <v>44585</v>
      </c>
      <c r="D3160" s="1" t="s">
        <v>159</v>
      </c>
      <c r="E3160" s="1" t="s">
        <v>41</v>
      </c>
      <c r="F3160" s="1" t="s">
        <v>219</v>
      </c>
      <c r="G3160" s="5">
        <v>0.88990000000000002</v>
      </c>
    </row>
    <row r="3161" spans="1:7" x14ac:dyDescent="0.2">
      <c r="A3161" s="3">
        <v>2000</v>
      </c>
      <c r="B3161" s="2">
        <v>1779.8</v>
      </c>
      <c r="C3161" s="38">
        <v>44585</v>
      </c>
      <c r="D3161" s="1" t="s">
        <v>159</v>
      </c>
      <c r="E3161" s="1" t="s">
        <v>41</v>
      </c>
      <c r="F3161" s="1" t="s">
        <v>219</v>
      </c>
      <c r="G3161" s="5">
        <v>0.88990000000000002</v>
      </c>
    </row>
    <row r="3162" spans="1:7" x14ac:dyDescent="0.2">
      <c r="A3162" s="3">
        <v>6000</v>
      </c>
      <c r="B3162" s="2">
        <v>14040</v>
      </c>
      <c r="C3162" s="38">
        <v>44950</v>
      </c>
      <c r="D3162" s="1" t="s">
        <v>187</v>
      </c>
      <c r="E3162" s="1" t="s">
        <v>39</v>
      </c>
      <c r="F3162" s="1" t="s">
        <v>212</v>
      </c>
      <c r="G3162" s="5">
        <v>2.34</v>
      </c>
    </row>
    <row r="3163" spans="1:7" x14ac:dyDescent="0.2">
      <c r="A3163" s="3">
        <v>2500</v>
      </c>
      <c r="B3163" s="2">
        <v>3875</v>
      </c>
      <c r="C3163" s="38">
        <v>44963</v>
      </c>
      <c r="D3163" s="1" t="s">
        <v>186</v>
      </c>
      <c r="E3163" s="1" t="s">
        <v>36</v>
      </c>
      <c r="F3163" s="1" t="s">
        <v>204</v>
      </c>
      <c r="G3163" s="5">
        <v>1.55</v>
      </c>
    </row>
    <row r="3164" spans="1:7" x14ac:dyDescent="0.2">
      <c r="A3164" s="3">
        <v>7500</v>
      </c>
      <c r="B3164" s="2">
        <v>28500</v>
      </c>
      <c r="C3164" s="38">
        <v>44963</v>
      </c>
      <c r="D3164" s="1" t="s">
        <v>189</v>
      </c>
      <c r="E3164" s="1" t="s">
        <v>36</v>
      </c>
      <c r="F3164" s="1" t="s">
        <v>204</v>
      </c>
      <c r="G3164" s="5">
        <v>3.8</v>
      </c>
    </row>
    <row r="3165" spans="1:7" x14ac:dyDescent="0.2">
      <c r="A3165" s="3">
        <v>2500</v>
      </c>
      <c r="B3165" s="2">
        <v>3875</v>
      </c>
      <c r="C3165" s="38">
        <v>44964</v>
      </c>
      <c r="D3165" s="1" t="s">
        <v>186</v>
      </c>
      <c r="E3165" s="1" t="s">
        <v>34</v>
      </c>
      <c r="F3165" s="1" t="s">
        <v>208</v>
      </c>
      <c r="G3165" s="5">
        <v>1.55</v>
      </c>
    </row>
    <row r="3166" spans="1:7" x14ac:dyDescent="0.2">
      <c r="A3166" s="3">
        <v>10000</v>
      </c>
      <c r="B3166" s="2">
        <v>38000</v>
      </c>
      <c r="C3166" s="38">
        <v>44964</v>
      </c>
      <c r="D3166" s="1" t="s">
        <v>189</v>
      </c>
      <c r="E3166" s="1" t="s">
        <v>34</v>
      </c>
      <c r="F3166" s="1" t="s">
        <v>208</v>
      </c>
      <c r="G3166" s="5">
        <v>3.8</v>
      </c>
    </row>
    <row r="3167" spans="1:7" x14ac:dyDescent="0.2">
      <c r="A3167" s="3">
        <v>2500</v>
      </c>
      <c r="B3167" s="2">
        <v>3875</v>
      </c>
      <c r="C3167" s="38">
        <v>44973</v>
      </c>
      <c r="D3167" s="1" t="s">
        <v>186</v>
      </c>
      <c r="E3167" s="1" t="s">
        <v>34</v>
      </c>
      <c r="F3167" s="1" t="s">
        <v>208</v>
      </c>
      <c r="G3167" s="5">
        <v>1.55</v>
      </c>
    </row>
    <row r="3168" spans="1:7" x14ac:dyDescent="0.2">
      <c r="A3168" s="3">
        <v>5000</v>
      </c>
      <c r="B3168" s="2">
        <v>19000</v>
      </c>
      <c r="C3168" s="38">
        <v>44973</v>
      </c>
      <c r="D3168" s="1" t="s">
        <v>189</v>
      </c>
      <c r="E3168" s="1" t="s">
        <v>34</v>
      </c>
      <c r="F3168" s="1" t="s">
        <v>208</v>
      </c>
      <c r="G3168" s="5">
        <v>3.8</v>
      </c>
    </row>
    <row r="3169" spans="1:7" x14ac:dyDescent="0.2">
      <c r="A3169" s="3">
        <v>2000</v>
      </c>
      <c r="B3169" s="2">
        <v>1780</v>
      </c>
      <c r="C3169" s="38">
        <v>45068</v>
      </c>
      <c r="D3169" s="1" t="s">
        <v>159</v>
      </c>
      <c r="E3169" s="1" t="s">
        <v>40</v>
      </c>
      <c r="F3169" s="1" t="s">
        <v>220</v>
      </c>
      <c r="G3169" s="5">
        <v>0.89</v>
      </c>
    </row>
    <row r="3170" spans="1:7" x14ac:dyDescent="0.2">
      <c r="A3170" s="3">
        <v>42500</v>
      </c>
      <c r="B3170" s="2">
        <v>52275</v>
      </c>
      <c r="C3170" s="38">
        <v>45071</v>
      </c>
      <c r="D3170" s="1" t="s">
        <v>192</v>
      </c>
      <c r="E3170" s="1" t="s">
        <v>40</v>
      </c>
      <c r="F3170" s="1" t="s">
        <v>206</v>
      </c>
      <c r="G3170" s="5">
        <v>1.23</v>
      </c>
    </row>
    <row r="3171" spans="1:7" x14ac:dyDescent="0.2">
      <c r="A3171" s="3">
        <v>6000</v>
      </c>
      <c r="B3171" s="2">
        <v>5340</v>
      </c>
      <c r="C3171" s="38">
        <v>45091</v>
      </c>
      <c r="D3171" s="1" t="s">
        <v>159</v>
      </c>
      <c r="E3171" s="1" t="s">
        <v>38</v>
      </c>
      <c r="F3171" s="1" t="s">
        <v>202</v>
      </c>
      <c r="G3171" s="5">
        <v>0.89</v>
      </c>
    </row>
    <row r="3172" spans="1:7" x14ac:dyDescent="0.2">
      <c r="A3172" s="3">
        <v>2000</v>
      </c>
      <c r="B3172" s="2">
        <v>1780</v>
      </c>
      <c r="C3172" s="38">
        <v>45092</v>
      </c>
      <c r="D3172" s="1" t="s">
        <v>159</v>
      </c>
      <c r="E3172" s="1" t="s">
        <v>38</v>
      </c>
      <c r="F3172" s="1" t="s">
        <v>202</v>
      </c>
      <c r="G3172" s="5">
        <v>0.89</v>
      </c>
    </row>
    <row r="3173" spans="1:7" x14ac:dyDescent="0.2">
      <c r="A3173" s="3">
        <v>2500</v>
      </c>
      <c r="B3173" s="2">
        <v>3875</v>
      </c>
      <c r="C3173" s="38">
        <v>44729</v>
      </c>
      <c r="D3173" s="1" t="s">
        <v>186</v>
      </c>
      <c r="E3173" s="1" t="s">
        <v>36</v>
      </c>
      <c r="F3173" s="1" t="s">
        <v>221</v>
      </c>
      <c r="G3173" s="5">
        <v>1.55</v>
      </c>
    </row>
    <row r="3174" spans="1:7" x14ac:dyDescent="0.2">
      <c r="A3174" s="3">
        <v>2000</v>
      </c>
      <c r="B3174" s="2">
        <v>1780</v>
      </c>
      <c r="C3174" s="38">
        <v>45099</v>
      </c>
      <c r="D3174" s="1" t="s">
        <v>159</v>
      </c>
      <c r="E3174" s="1" t="s">
        <v>38</v>
      </c>
      <c r="F3174" s="1" t="s">
        <v>202</v>
      </c>
      <c r="G3174" s="5">
        <v>0.89</v>
      </c>
    </row>
    <row r="3175" spans="1:7" x14ac:dyDescent="0.2">
      <c r="A3175" s="3">
        <v>5000</v>
      </c>
      <c r="B3175" s="2">
        <v>19000</v>
      </c>
      <c r="C3175" s="38">
        <v>44993</v>
      </c>
      <c r="D3175" s="1" t="s">
        <v>189</v>
      </c>
      <c r="E3175" s="1" t="s">
        <v>36</v>
      </c>
      <c r="F3175" s="1" t="s">
        <v>204</v>
      </c>
      <c r="G3175" s="5">
        <v>3.8</v>
      </c>
    </row>
    <row r="3176" spans="1:7" x14ac:dyDescent="0.2">
      <c r="A3176" s="3">
        <v>5000</v>
      </c>
      <c r="B3176" s="2">
        <v>6150</v>
      </c>
      <c r="C3176" s="38">
        <v>44637</v>
      </c>
      <c r="D3176" s="1" t="s">
        <v>192</v>
      </c>
      <c r="E3176" s="1" t="s">
        <v>40</v>
      </c>
      <c r="F3176" s="1" t="s">
        <v>206</v>
      </c>
      <c r="G3176" s="5">
        <v>1.23</v>
      </c>
    </row>
    <row r="3177" spans="1:7" x14ac:dyDescent="0.2">
      <c r="A3177" s="3">
        <v>2500</v>
      </c>
      <c r="B3177" s="2">
        <v>12500</v>
      </c>
      <c r="C3177" s="38">
        <v>44648</v>
      </c>
      <c r="D3177" s="1" t="s">
        <v>193</v>
      </c>
      <c r="E3177" s="1" t="s">
        <v>40</v>
      </c>
      <c r="F3177" s="1" t="s">
        <v>206</v>
      </c>
      <c r="G3177" s="5">
        <v>5</v>
      </c>
    </row>
    <row r="3178" spans="1:7" x14ac:dyDescent="0.2">
      <c r="A3178" s="3">
        <v>20000</v>
      </c>
      <c r="B3178" s="2">
        <v>60800</v>
      </c>
      <c r="C3178" s="38">
        <v>44650</v>
      </c>
      <c r="D3178" s="1" t="s">
        <v>189</v>
      </c>
      <c r="E3178" s="1" t="s">
        <v>34</v>
      </c>
      <c r="F3178" s="1" t="s">
        <v>213</v>
      </c>
      <c r="G3178" s="5">
        <v>3.04</v>
      </c>
    </row>
    <row r="3179" spans="1:7" x14ac:dyDescent="0.2">
      <c r="A3179" s="3">
        <v>2000</v>
      </c>
      <c r="B3179" s="2">
        <v>1780</v>
      </c>
      <c r="C3179" s="38">
        <v>45015</v>
      </c>
      <c r="D3179" s="1" t="s">
        <v>159</v>
      </c>
      <c r="E3179" s="1" t="s">
        <v>38</v>
      </c>
      <c r="F3179" s="1" t="s">
        <v>202</v>
      </c>
      <c r="G3179" s="5">
        <v>0.89</v>
      </c>
    </row>
    <row r="3180" spans="1:7" x14ac:dyDescent="0.2">
      <c r="A3180" s="3">
        <v>2000</v>
      </c>
      <c r="B3180" s="2">
        <v>1779.8</v>
      </c>
      <c r="C3180" s="38">
        <v>44659</v>
      </c>
      <c r="D3180" s="1" t="s">
        <v>159</v>
      </c>
      <c r="E3180" s="1" t="s">
        <v>40</v>
      </c>
      <c r="F3180" s="1" t="s">
        <v>220</v>
      </c>
      <c r="G3180" s="5">
        <v>0.88990000000000002</v>
      </c>
    </row>
    <row r="3181" spans="1:7" x14ac:dyDescent="0.2">
      <c r="A3181" s="3">
        <v>2500</v>
      </c>
      <c r="B3181" s="2">
        <v>9500</v>
      </c>
      <c r="C3181" s="38">
        <v>45033</v>
      </c>
      <c r="D3181" s="1" t="s">
        <v>189</v>
      </c>
      <c r="E3181" s="1" t="s">
        <v>34</v>
      </c>
      <c r="F3181" s="1" t="s">
        <v>213</v>
      </c>
      <c r="G3181" s="5">
        <v>3.8</v>
      </c>
    </row>
    <row r="3182" spans="1:7" x14ac:dyDescent="0.2">
      <c r="A3182" s="3">
        <v>2500</v>
      </c>
      <c r="B3182" s="2">
        <v>4250</v>
      </c>
      <c r="C3182" s="38">
        <v>45040</v>
      </c>
      <c r="D3182" s="1" t="s">
        <v>188</v>
      </c>
      <c r="E3182" s="1" t="s">
        <v>36</v>
      </c>
      <c r="F3182" s="1" t="s">
        <v>204</v>
      </c>
      <c r="G3182" s="5">
        <v>1.7</v>
      </c>
    </row>
    <row r="3183" spans="1:7" x14ac:dyDescent="0.2">
      <c r="A3183" s="3">
        <v>2500</v>
      </c>
      <c r="B3183" s="2">
        <v>4250</v>
      </c>
      <c r="C3183" s="38">
        <v>44736</v>
      </c>
      <c r="D3183" s="1" t="s">
        <v>188</v>
      </c>
      <c r="E3183" s="1" t="s">
        <v>36</v>
      </c>
      <c r="F3183" s="1" t="s">
        <v>221</v>
      </c>
      <c r="G3183" s="5">
        <v>1.7</v>
      </c>
    </row>
    <row r="3184" spans="1:7" x14ac:dyDescent="0.2">
      <c r="A3184" s="3">
        <v>2500</v>
      </c>
      <c r="B3184" s="2">
        <v>9100</v>
      </c>
      <c r="C3184" s="38">
        <v>45103</v>
      </c>
      <c r="D3184" s="1" t="s">
        <v>156</v>
      </c>
      <c r="E3184" s="1" t="s">
        <v>39</v>
      </c>
      <c r="F3184" s="1" t="s">
        <v>212</v>
      </c>
      <c r="G3184" s="5">
        <v>3.64</v>
      </c>
    </row>
    <row r="3185" spans="1:7" x14ac:dyDescent="0.2">
      <c r="A3185" s="3">
        <v>7500</v>
      </c>
      <c r="B3185" s="2">
        <v>109200</v>
      </c>
      <c r="C3185" s="38">
        <v>44740</v>
      </c>
      <c r="D3185" s="1" t="s">
        <v>189</v>
      </c>
      <c r="E3185" s="1" t="s">
        <v>36</v>
      </c>
      <c r="F3185" s="1" t="s">
        <v>221</v>
      </c>
      <c r="G3185" s="5">
        <v>14.56</v>
      </c>
    </row>
    <row r="3186" spans="1:7" x14ac:dyDescent="0.2">
      <c r="A3186" s="3">
        <v>5000</v>
      </c>
      <c r="B3186" s="2">
        <v>72800</v>
      </c>
      <c r="C3186" s="38">
        <v>44740</v>
      </c>
      <c r="D3186" s="1" t="s">
        <v>189</v>
      </c>
      <c r="E3186" s="1" t="s">
        <v>36</v>
      </c>
      <c r="F3186" s="1" t="s">
        <v>221</v>
      </c>
      <c r="G3186" s="5">
        <v>14.56</v>
      </c>
    </row>
    <row r="3187" spans="1:7" x14ac:dyDescent="0.2">
      <c r="A3187" s="3">
        <v>6000</v>
      </c>
      <c r="B3187" s="2">
        <v>14040</v>
      </c>
      <c r="C3187" s="38">
        <v>45114</v>
      </c>
      <c r="D3187" s="1" t="s">
        <v>187</v>
      </c>
      <c r="E3187" s="1" t="s">
        <v>39</v>
      </c>
      <c r="F3187" s="1" t="s">
        <v>212</v>
      </c>
      <c r="G3187" s="5">
        <v>2.34</v>
      </c>
    </row>
    <row r="3188" spans="1:7" x14ac:dyDescent="0.2">
      <c r="A3188" s="3">
        <v>5000</v>
      </c>
      <c r="B3188" s="2">
        <v>6150</v>
      </c>
      <c r="C3188" s="38">
        <v>44755</v>
      </c>
      <c r="D3188" s="1" t="s">
        <v>192</v>
      </c>
      <c r="E3188" s="1" t="s">
        <v>40</v>
      </c>
      <c r="F3188" s="1" t="s">
        <v>206</v>
      </c>
      <c r="G3188" s="5">
        <v>1.23</v>
      </c>
    </row>
    <row r="3189" spans="1:7" x14ac:dyDescent="0.2">
      <c r="A3189" s="3">
        <v>2000</v>
      </c>
      <c r="B3189" s="2">
        <v>1779.8</v>
      </c>
      <c r="C3189" s="38">
        <v>44762</v>
      </c>
      <c r="D3189" s="1" t="s">
        <v>159</v>
      </c>
      <c r="E3189" s="1" t="s">
        <v>34</v>
      </c>
      <c r="F3189" s="1" t="s">
        <v>218</v>
      </c>
      <c r="G3189" s="5">
        <v>0.88990000000000002</v>
      </c>
    </row>
    <row r="3190" spans="1:7" x14ac:dyDescent="0.2">
      <c r="A3190" s="3">
        <v>2000</v>
      </c>
      <c r="B3190" s="2">
        <v>1779.8</v>
      </c>
      <c r="C3190" s="38">
        <v>44762</v>
      </c>
      <c r="D3190" s="1" t="s">
        <v>159</v>
      </c>
      <c r="E3190" s="1" t="s">
        <v>34</v>
      </c>
      <c r="F3190" s="1" t="s">
        <v>218</v>
      </c>
      <c r="G3190" s="5">
        <v>0.88990000000000002</v>
      </c>
    </row>
    <row r="3191" spans="1:7" x14ac:dyDescent="0.2">
      <c r="A3191" s="3">
        <v>5000</v>
      </c>
      <c r="B3191" s="2">
        <v>19000</v>
      </c>
      <c r="C3191" s="38">
        <v>45133</v>
      </c>
      <c r="D3191" s="1" t="s">
        <v>189</v>
      </c>
      <c r="E3191" s="1" t="s">
        <v>34</v>
      </c>
      <c r="F3191" s="1" t="s">
        <v>213</v>
      </c>
      <c r="G3191" s="5">
        <v>3.8</v>
      </c>
    </row>
    <row r="3192" spans="1:7" x14ac:dyDescent="0.2">
      <c r="A3192" s="3">
        <v>2500</v>
      </c>
      <c r="B3192" s="2">
        <v>9500</v>
      </c>
      <c r="C3192" s="38">
        <v>45133</v>
      </c>
      <c r="D3192" s="1" t="s">
        <v>189</v>
      </c>
      <c r="E3192" s="1" t="s">
        <v>34</v>
      </c>
      <c r="F3192" s="1" t="s">
        <v>213</v>
      </c>
      <c r="G3192" s="5">
        <v>3.8</v>
      </c>
    </row>
    <row r="3193" spans="1:7" x14ac:dyDescent="0.2">
      <c r="A3193" s="3">
        <v>5000</v>
      </c>
      <c r="B3193" s="2">
        <v>19000</v>
      </c>
      <c r="C3193" s="38">
        <v>45133</v>
      </c>
      <c r="D3193" s="1" t="s">
        <v>189</v>
      </c>
      <c r="E3193" s="1" t="s">
        <v>34</v>
      </c>
      <c r="F3193" s="1" t="s">
        <v>213</v>
      </c>
      <c r="G3193" s="5">
        <v>3.8</v>
      </c>
    </row>
    <row r="3194" spans="1:7" x14ac:dyDescent="0.2">
      <c r="A3194" s="3">
        <v>5000</v>
      </c>
      <c r="B3194" s="2">
        <v>7750</v>
      </c>
      <c r="C3194" s="38">
        <v>44771</v>
      </c>
      <c r="D3194" s="1" t="s">
        <v>186</v>
      </c>
      <c r="E3194" s="1" t="s">
        <v>36</v>
      </c>
      <c r="F3194" s="1" t="s">
        <v>221</v>
      </c>
      <c r="G3194" s="5">
        <v>1.55</v>
      </c>
    </row>
    <row r="3195" spans="1:7" x14ac:dyDescent="0.2">
      <c r="A3195" s="3">
        <v>2500</v>
      </c>
      <c r="B3195" s="2">
        <v>4250</v>
      </c>
      <c r="C3195" s="38">
        <v>44690</v>
      </c>
      <c r="D3195" s="1" t="s">
        <v>188</v>
      </c>
      <c r="E3195" s="1" t="s">
        <v>36</v>
      </c>
      <c r="F3195" s="1" t="s">
        <v>221</v>
      </c>
      <c r="G3195" s="5">
        <v>1.7</v>
      </c>
    </row>
    <row r="3196" spans="1:7" x14ac:dyDescent="0.2">
      <c r="A3196" s="3">
        <v>2500</v>
      </c>
      <c r="B3196" s="2">
        <v>3875</v>
      </c>
      <c r="C3196" s="38">
        <v>44693</v>
      </c>
      <c r="D3196" s="1" t="s">
        <v>186</v>
      </c>
      <c r="E3196" s="1" t="s">
        <v>36</v>
      </c>
      <c r="F3196" s="1" t="s">
        <v>221</v>
      </c>
      <c r="G3196" s="5">
        <v>1.55</v>
      </c>
    </row>
    <row r="3197" spans="1:7" x14ac:dyDescent="0.2">
      <c r="A3197" s="3">
        <v>10000</v>
      </c>
      <c r="B3197" s="2">
        <v>145600</v>
      </c>
      <c r="C3197" s="38">
        <v>44802</v>
      </c>
      <c r="D3197" s="1" t="s">
        <v>189</v>
      </c>
      <c r="E3197" s="1" t="s">
        <v>36</v>
      </c>
      <c r="F3197" s="1" t="s">
        <v>221</v>
      </c>
      <c r="G3197" s="5">
        <v>14.56</v>
      </c>
    </row>
    <row r="3198" spans="1:7" x14ac:dyDescent="0.2">
      <c r="A3198" s="3">
        <v>5000</v>
      </c>
      <c r="B3198" s="2">
        <v>19000</v>
      </c>
      <c r="C3198" s="38">
        <v>44812</v>
      </c>
      <c r="D3198" s="1" t="s">
        <v>189</v>
      </c>
      <c r="E3198" s="1" t="s">
        <v>36</v>
      </c>
      <c r="F3198" s="1" t="s">
        <v>221</v>
      </c>
      <c r="G3198" s="5">
        <v>3.8</v>
      </c>
    </row>
    <row r="3199" spans="1:7" x14ac:dyDescent="0.2">
      <c r="A3199" s="3">
        <v>2000</v>
      </c>
      <c r="B3199" s="2">
        <v>1779.8</v>
      </c>
      <c r="C3199" s="38">
        <v>44791</v>
      </c>
      <c r="D3199" s="1" t="s">
        <v>159</v>
      </c>
      <c r="E3199" s="1" t="s">
        <v>34</v>
      </c>
      <c r="F3199" s="1" t="s">
        <v>218</v>
      </c>
      <c r="G3199" s="5">
        <v>0.88990000000000002</v>
      </c>
    </row>
    <row r="3200" spans="1:7" x14ac:dyDescent="0.2">
      <c r="A3200" s="3">
        <v>2500</v>
      </c>
      <c r="B3200" s="2">
        <v>9100</v>
      </c>
      <c r="C3200" s="38">
        <v>44792</v>
      </c>
      <c r="D3200" s="1" t="s">
        <v>156</v>
      </c>
      <c r="E3200" s="1" t="s">
        <v>38</v>
      </c>
      <c r="F3200" s="1" t="s">
        <v>202</v>
      </c>
      <c r="G3200" s="5">
        <v>3.64</v>
      </c>
    </row>
    <row r="3201" spans="1:7" x14ac:dyDescent="0.2">
      <c r="A3201" s="3">
        <v>2500</v>
      </c>
      <c r="B3201" s="2">
        <v>3875</v>
      </c>
      <c r="C3201" s="38">
        <v>44792</v>
      </c>
      <c r="D3201" s="1" t="s">
        <v>186</v>
      </c>
      <c r="E3201" s="1" t="s">
        <v>36</v>
      </c>
      <c r="F3201" s="1" t="s">
        <v>221</v>
      </c>
      <c r="G3201" s="5">
        <v>1.55</v>
      </c>
    </row>
    <row r="3202" spans="1:7" x14ac:dyDescent="0.2">
      <c r="A3202" s="3">
        <v>2500</v>
      </c>
      <c r="B3202" s="2">
        <v>4250</v>
      </c>
      <c r="C3202" s="38">
        <v>44792</v>
      </c>
      <c r="D3202" s="1" t="s">
        <v>188</v>
      </c>
      <c r="E3202" s="1" t="s">
        <v>36</v>
      </c>
      <c r="F3202" s="1" t="s">
        <v>221</v>
      </c>
      <c r="G3202" s="5">
        <v>1.7</v>
      </c>
    </row>
    <row r="3203" spans="1:7" x14ac:dyDescent="0.2">
      <c r="A3203" s="3">
        <v>5000</v>
      </c>
      <c r="B3203" s="2">
        <v>72800</v>
      </c>
      <c r="C3203" s="38">
        <v>44799</v>
      </c>
      <c r="D3203" s="1" t="s">
        <v>189</v>
      </c>
      <c r="E3203" s="1" t="s">
        <v>36</v>
      </c>
      <c r="F3203" s="1" t="s">
        <v>221</v>
      </c>
      <c r="G3203" s="5">
        <v>14.56</v>
      </c>
    </row>
    <row r="3204" spans="1:7" x14ac:dyDescent="0.2">
      <c r="A3204" s="3">
        <v>7500</v>
      </c>
      <c r="B3204" s="2">
        <v>28500</v>
      </c>
      <c r="C3204" s="38">
        <v>44827</v>
      </c>
      <c r="D3204" s="1" t="s">
        <v>189</v>
      </c>
      <c r="E3204" s="1" t="s">
        <v>36</v>
      </c>
      <c r="F3204" s="1" t="s">
        <v>221</v>
      </c>
      <c r="G3204" s="5">
        <v>3.8</v>
      </c>
    </row>
    <row r="3205" spans="1:7" x14ac:dyDescent="0.2">
      <c r="A3205" s="3">
        <v>2000</v>
      </c>
      <c r="B3205" s="2">
        <v>1779.8</v>
      </c>
      <c r="C3205" s="38">
        <v>44883</v>
      </c>
      <c r="D3205" s="1" t="s">
        <v>159</v>
      </c>
      <c r="E3205" s="1" t="s">
        <v>34</v>
      </c>
      <c r="F3205" s="1" t="s">
        <v>218</v>
      </c>
      <c r="G3205" s="5">
        <v>0.88990000000000002</v>
      </c>
    </row>
    <row r="3206" spans="1:7" x14ac:dyDescent="0.2">
      <c r="A3206" s="3">
        <v>2500</v>
      </c>
      <c r="B3206" s="2">
        <v>3875</v>
      </c>
      <c r="C3206" s="38">
        <v>44834</v>
      </c>
      <c r="D3206" s="1" t="s">
        <v>186</v>
      </c>
      <c r="E3206" s="1" t="s">
        <v>36</v>
      </c>
      <c r="F3206" s="1" t="s">
        <v>221</v>
      </c>
      <c r="G3206" s="5">
        <v>1.55</v>
      </c>
    </row>
    <row r="3207" spans="1:7" x14ac:dyDescent="0.2">
      <c r="A3207" s="3">
        <v>5000</v>
      </c>
      <c r="B3207" s="2">
        <v>7750</v>
      </c>
      <c r="C3207" s="38">
        <v>44834</v>
      </c>
      <c r="D3207" s="1" t="s">
        <v>186</v>
      </c>
      <c r="E3207" s="1" t="s">
        <v>36</v>
      </c>
      <c r="F3207" s="1" t="s">
        <v>204</v>
      </c>
      <c r="G3207" s="5">
        <v>1.55</v>
      </c>
    </row>
    <row r="3208" spans="1:7" x14ac:dyDescent="0.2">
      <c r="A3208" s="3">
        <v>2500</v>
      </c>
      <c r="B3208" s="2">
        <v>36400</v>
      </c>
      <c r="C3208" s="38">
        <v>44855</v>
      </c>
      <c r="D3208" s="1" t="s">
        <v>189</v>
      </c>
      <c r="E3208" s="1" t="s">
        <v>36</v>
      </c>
      <c r="F3208" s="1" t="s">
        <v>204</v>
      </c>
      <c r="G3208" s="5">
        <v>14.56</v>
      </c>
    </row>
    <row r="3209" spans="1:7" x14ac:dyDescent="0.2">
      <c r="A3209" s="3">
        <v>7500</v>
      </c>
      <c r="B3209" s="2">
        <v>28500</v>
      </c>
      <c r="C3209" s="38">
        <v>44918</v>
      </c>
      <c r="D3209" s="1" t="s">
        <v>189</v>
      </c>
      <c r="E3209" s="1" t="s">
        <v>36</v>
      </c>
      <c r="F3209" s="1" t="s">
        <v>221</v>
      </c>
      <c r="G3209" s="5">
        <v>3.8</v>
      </c>
    </row>
    <row r="3210" spans="1:7" x14ac:dyDescent="0.2">
      <c r="A3210" s="3">
        <v>5000</v>
      </c>
      <c r="B3210" s="2">
        <v>7750</v>
      </c>
      <c r="C3210" s="38">
        <v>44918</v>
      </c>
      <c r="D3210" s="1" t="s">
        <v>186</v>
      </c>
      <c r="E3210" s="1" t="s">
        <v>36</v>
      </c>
      <c r="F3210" s="1" t="s">
        <v>204</v>
      </c>
      <c r="G3210" s="5">
        <v>1.55</v>
      </c>
    </row>
    <row r="3211" spans="1:7" x14ac:dyDescent="0.2">
      <c r="A3211" s="3">
        <v>2500</v>
      </c>
      <c r="B3211" s="2">
        <v>3875</v>
      </c>
      <c r="C3211" s="38">
        <v>44918</v>
      </c>
      <c r="D3211" s="1" t="s">
        <v>186</v>
      </c>
      <c r="E3211" s="1" t="s">
        <v>36</v>
      </c>
      <c r="F3211" s="1" t="s">
        <v>221</v>
      </c>
      <c r="G3211" s="5">
        <v>1.55</v>
      </c>
    </row>
    <row r="3212" spans="1:7" x14ac:dyDescent="0.2">
      <c r="A3212" s="3">
        <v>4000</v>
      </c>
      <c r="B3212" s="2">
        <v>4560</v>
      </c>
      <c r="C3212" s="38">
        <v>44630</v>
      </c>
      <c r="D3212" s="1" t="s">
        <v>171</v>
      </c>
      <c r="E3212" s="1" t="s">
        <v>41</v>
      </c>
      <c r="F3212" s="1" t="s">
        <v>219</v>
      </c>
      <c r="G3212" s="5">
        <v>1.1399999999999999</v>
      </c>
    </row>
    <row r="3213" spans="1:7" x14ac:dyDescent="0.2">
      <c r="A3213" s="3">
        <v>4000</v>
      </c>
      <c r="B3213" s="2">
        <v>4560</v>
      </c>
      <c r="C3213" s="38">
        <v>44630</v>
      </c>
      <c r="D3213" s="1" t="s">
        <v>171</v>
      </c>
      <c r="E3213" s="1" t="s">
        <v>41</v>
      </c>
      <c r="F3213" s="1" t="s">
        <v>219</v>
      </c>
      <c r="G3213" s="5">
        <v>1.1399999999999999</v>
      </c>
    </row>
    <row r="3214" spans="1:7" x14ac:dyDescent="0.2">
      <c r="A3214" s="3">
        <v>2000</v>
      </c>
      <c r="B3214" s="2">
        <v>2280</v>
      </c>
      <c r="C3214" s="38">
        <v>44630</v>
      </c>
      <c r="D3214" s="1" t="s">
        <v>171</v>
      </c>
      <c r="E3214" s="1" t="s">
        <v>41</v>
      </c>
      <c r="F3214" s="1" t="s">
        <v>219</v>
      </c>
      <c r="G3214" s="5">
        <v>1.1399999999999999</v>
      </c>
    </row>
    <row r="3215" spans="1:7" x14ac:dyDescent="0.2">
      <c r="A3215" s="3">
        <v>6000</v>
      </c>
      <c r="B3215" s="2">
        <v>6840</v>
      </c>
      <c r="C3215" s="38">
        <v>44630</v>
      </c>
      <c r="D3215" s="1" t="s">
        <v>171</v>
      </c>
      <c r="E3215" s="1" t="s">
        <v>41</v>
      </c>
      <c r="F3215" s="1" t="s">
        <v>219</v>
      </c>
      <c r="G3215" s="5">
        <v>1.1399999999999999</v>
      </c>
    </row>
    <row r="3216" spans="1:7" x14ac:dyDescent="0.2">
      <c r="A3216" s="3">
        <v>2000</v>
      </c>
      <c r="B3216" s="2">
        <v>2280</v>
      </c>
      <c r="C3216" s="38">
        <v>44644</v>
      </c>
      <c r="D3216" s="1" t="s">
        <v>171</v>
      </c>
      <c r="E3216" s="1" t="s">
        <v>41</v>
      </c>
      <c r="F3216" s="1" t="s">
        <v>219</v>
      </c>
      <c r="G3216" s="5">
        <v>1.1399999999999999</v>
      </c>
    </row>
    <row r="3217" spans="1:7" x14ac:dyDescent="0.2">
      <c r="A3217" s="3">
        <v>4000</v>
      </c>
      <c r="B3217" s="2">
        <v>4560</v>
      </c>
      <c r="C3217" s="38">
        <v>44684</v>
      </c>
      <c r="D3217" s="1" t="s">
        <v>171</v>
      </c>
      <c r="E3217" s="1" t="s">
        <v>38</v>
      </c>
      <c r="F3217" s="1" t="s">
        <v>202</v>
      </c>
      <c r="G3217" s="5">
        <v>1.1399999999999999</v>
      </c>
    </row>
    <row r="3218" spans="1:7" x14ac:dyDescent="0.2">
      <c r="A3218" s="3">
        <v>4000</v>
      </c>
      <c r="B3218" s="2">
        <v>4560</v>
      </c>
      <c r="C3218" s="38">
        <v>44684</v>
      </c>
      <c r="D3218" s="1" t="s">
        <v>171</v>
      </c>
      <c r="E3218" s="1" t="s">
        <v>38</v>
      </c>
      <c r="F3218" s="1" t="s">
        <v>202</v>
      </c>
      <c r="G3218" s="5">
        <v>1.1399999999999999</v>
      </c>
    </row>
    <row r="3219" spans="1:7" x14ac:dyDescent="0.2">
      <c r="A3219" s="3">
        <v>4000</v>
      </c>
      <c r="B3219" s="2">
        <v>4560</v>
      </c>
      <c r="C3219" s="38">
        <v>44684</v>
      </c>
      <c r="D3219" s="1" t="s">
        <v>171</v>
      </c>
      <c r="E3219" s="1" t="s">
        <v>38</v>
      </c>
      <c r="F3219" s="1" t="s">
        <v>202</v>
      </c>
      <c r="G3219" s="5">
        <v>1.1399999999999999</v>
      </c>
    </row>
    <row r="3220" spans="1:7" x14ac:dyDescent="0.2">
      <c r="A3220" s="3">
        <v>4000</v>
      </c>
      <c r="B3220" s="2">
        <v>4560</v>
      </c>
      <c r="C3220" s="38">
        <v>44684</v>
      </c>
      <c r="D3220" s="1" t="s">
        <v>171</v>
      </c>
      <c r="E3220" s="1" t="s">
        <v>38</v>
      </c>
      <c r="F3220" s="1" t="s">
        <v>202</v>
      </c>
      <c r="G3220" s="5">
        <v>1.1399999999999999</v>
      </c>
    </row>
    <row r="3221" spans="1:7" x14ac:dyDescent="0.2">
      <c r="A3221" s="3">
        <v>4000</v>
      </c>
      <c r="B3221" s="2">
        <v>4560</v>
      </c>
      <c r="C3221" s="38">
        <v>44684</v>
      </c>
      <c r="D3221" s="1" t="s">
        <v>171</v>
      </c>
      <c r="E3221" s="1" t="s">
        <v>38</v>
      </c>
      <c r="F3221" s="1" t="s">
        <v>202</v>
      </c>
      <c r="G3221" s="5">
        <v>1.1399999999999999</v>
      </c>
    </row>
    <row r="3222" spans="1:7" x14ac:dyDescent="0.2">
      <c r="A3222" s="3">
        <v>4000</v>
      </c>
      <c r="B3222" s="2">
        <v>4560</v>
      </c>
      <c r="C3222" s="38">
        <v>44684</v>
      </c>
      <c r="D3222" s="1" t="s">
        <v>171</v>
      </c>
      <c r="E3222" s="1" t="s">
        <v>38</v>
      </c>
      <c r="F3222" s="1" t="s">
        <v>202</v>
      </c>
      <c r="G3222" s="5">
        <v>1.1399999999999999</v>
      </c>
    </row>
    <row r="3223" spans="1:7" x14ac:dyDescent="0.2">
      <c r="A3223" s="3">
        <v>2000</v>
      </c>
      <c r="B3223" s="2">
        <v>2280</v>
      </c>
      <c r="C3223" s="38">
        <v>44684</v>
      </c>
      <c r="D3223" s="1" t="s">
        <v>171</v>
      </c>
      <c r="E3223" s="1" t="s">
        <v>38</v>
      </c>
      <c r="F3223" s="1" t="s">
        <v>202</v>
      </c>
      <c r="G3223" s="5">
        <v>1.1399999999999999</v>
      </c>
    </row>
    <row r="3224" spans="1:7" x14ac:dyDescent="0.2">
      <c r="A3224" s="3">
        <v>4000</v>
      </c>
      <c r="B3224" s="2">
        <v>4560</v>
      </c>
      <c r="C3224" s="38">
        <v>44684</v>
      </c>
      <c r="D3224" s="1" t="s">
        <v>171</v>
      </c>
      <c r="E3224" s="1" t="s">
        <v>38</v>
      </c>
      <c r="F3224" s="1" t="s">
        <v>202</v>
      </c>
      <c r="G3224" s="5">
        <v>1.1399999999999999</v>
      </c>
    </row>
    <row r="3225" spans="1:7" x14ac:dyDescent="0.2">
      <c r="A3225" s="3">
        <v>2000</v>
      </c>
      <c r="B3225" s="2">
        <v>2280</v>
      </c>
      <c r="C3225" s="38">
        <v>44684</v>
      </c>
      <c r="D3225" s="1" t="s">
        <v>171</v>
      </c>
      <c r="E3225" s="1" t="s">
        <v>38</v>
      </c>
      <c r="F3225" s="1" t="s">
        <v>202</v>
      </c>
      <c r="G3225" s="5">
        <v>1.1399999999999999</v>
      </c>
    </row>
    <row r="3226" spans="1:7" x14ac:dyDescent="0.2">
      <c r="A3226" s="3">
        <v>2000</v>
      </c>
      <c r="B3226" s="2">
        <v>2280</v>
      </c>
      <c r="C3226" s="38">
        <v>44684</v>
      </c>
      <c r="D3226" s="1" t="s">
        <v>171</v>
      </c>
      <c r="E3226" s="1" t="s">
        <v>38</v>
      </c>
      <c r="F3226" s="1" t="s">
        <v>202</v>
      </c>
      <c r="G3226" s="5">
        <v>1.1399999999999999</v>
      </c>
    </row>
    <row r="3227" spans="1:7" x14ac:dyDescent="0.2">
      <c r="A3227" s="3">
        <v>4000</v>
      </c>
      <c r="B3227" s="2">
        <v>4560</v>
      </c>
      <c r="C3227" s="38">
        <v>44684</v>
      </c>
      <c r="D3227" s="1" t="s">
        <v>171</v>
      </c>
      <c r="E3227" s="1" t="s">
        <v>38</v>
      </c>
      <c r="F3227" s="1" t="s">
        <v>202</v>
      </c>
      <c r="G3227" s="5">
        <v>1.1399999999999999</v>
      </c>
    </row>
    <row r="3228" spans="1:7" x14ac:dyDescent="0.2">
      <c r="A3228" s="3">
        <v>2000</v>
      </c>
      <c r="B3228" s="2">
        <v>2280</v>
      </c>
      <c r="C3228" s="38">
        <v>44684</v>
      </c>
      <c r="D3228" s="1" t="s">
        <v>171</v>
      </c>
      <c r="E3228" s="1" t="s">
        <v>38</v>
      </c>
      <c r="F3228" s="1" t="s">
        <v>202</v>
      </c>
      <c r="G3228" s="5">
        <v>1.1399999999999999</v>
      </c>
    </row>
    <row r="3229" spans="1:7" x14ac:dyDescent="0.2">
      <c r="A3229" s="3">
        <v>4000</v>
      </c>
      <c r="B3229" s="2">
        <v>4320</v>
      </c>
      <c r="C3229" s="38">
        <v>44937</v>
      </c>
      <c r="D3229" s="1" t="s">
        <v>171</v>
      </c>
      <c r="E3229" s="1" t="s">
        <v>38</v>
      </c>
      <c r="F3229" s="1" t="s">
        <v>202</v>
      </c>
      <c r="G3229" s="5">
        <v>1.08</v>
      </c>
    </row>
    <row r="3230" spans="1:7" x14ac:dyDescent="0.2">
      <c r="A3230" s="3">
        <v>2000</v>
      </c>
      <c r="B3230" s="2">
        <v>2160</v>
      </c>
      <c r="C3230" s="38">
        <v>44943</v>
      </c>
      <c r="D3230" s="1" t="s">
        <v>171</v>
      </c>
      <c r="E3230" s="1" t="s">
        <v>38</v>
      </c>
      <c r="F3230" s="1" t="s">
        <v>202</v>
      </c>
      <c r="G3230" s="5">
        <v>1.08</v>
      </c>
    </row>
    <row r="3231" spans="1:7" x14ac:dyDescent="0.2">
      <c r="A3231" s="3">
        <v>4000</v>
      </c>
      <c r="B3231" s="2">
        <v>4320</v>
      </c>
      <c r="C3231" s="38">
        <v>44944</v>
      </c>
      <c r="D3231" s="1" t="s">
        <v>171</v>
      </c>
      <c r="E3231" s="1" t="s">
        <v>38</v>
      </c>
      <c r="F3231" s="1" t="s">
        <v>202</v>
      </c>
      <c r="G3231" s="5">
        <v>1.08</v>
      </c>
    </row>
    <row r="3232" spans="1:7" x14ac:dyDescent="0.2">
      <c r="A3232" s="3">
        <v>2000</v>
      </c>
      <c r="B3232" s="2">
        <v>2160</v>
      </c>
      <c r="C3232" s="38">
        <v>44944</v>
      </c>
      <c r="D3232" s="1" t="s">
        <v>171</v>
      </c>
      <c r="E3232" s="1" t="s">
        <v>38</v>
      </c>
      <c r="F3232" s="1" t="s">
        <v>202</v>
      </c>
      <c r="G3232" s="5">
        <v>1.08</v>
      </c>
    </row>
    <row r="3233" spans="1:7" x14ac:dyDescent="0.2">
      <c r="A3233" s="3">
        <v>2000</v>
      </c>
      <c r="B3233" s="2">
        <v>2160</v>
      </c>
      <c r="C3233" s="38">
        <v>44944</v>
      </c>
      <c r="D3233" s="1" t="s">
        <v>171</v>
      </c>
      <c r="E3233" s="1" t="s">
        <v>38</v>
      </c>
      <c r="F3233" s="1" t="s">
        <v>202</v>
      </c>
      <c r="G3233" s="5">
        <v>1.08</v>
      </c>
    </row>
    <row r="3234" spans="1:7" x14ac:dyDescent="0.2">
      <c r="A3234" s="3">
        <v>2000</v>
      </c>
      <c r="B3234" s="2">
        <v>2160</v>
      </c>
      <c r="C3234" s="38">
        <v>44944</v>
      </c>
      <c r="D3234" s="1" t="s">
        <v>171</v>
      </c>
      <c r="E3234" s="1" t="s">
        <v>38</v>
      </c>
      <c r="F3234" s="1" t="s">
        <v>202</v>
      </c>
      <c r="G3234" s="5">
        <v>1.08</v>
      </c>
    </row>
    <row r="3235" spans="1:7" x14ac:dyDescent="0.2">
      <c r="A3235" s="3">
        <v>4000</v>
      </c>
      <c r="B3235" s="2">
        <v>4320</v>
      </c>
      <c r="C3235" s="38">
        <v>44944</v>
      </c>
      <c r="D3235" s="1" t="s">
        <v>171</v>
      </c>
      <c r="E3235" s="1" t="s">
        <v>38</v>
      </c>
      <c r="F3235" s="1" t="s">
        <v>202</v>
      </c>
      <c r="G3235" s="5">
        <v>1.08</v>
      </c>
    </row>
    <row r="3236" spans="1:7" x14ac:dyDescent="0.2">
      <c r="A3236" s="3">
        <v>2000</v>
      </c>
      <c r="B3236" s="2">
        <v>2160</v>
      </c>
      <c r="C3236" s="38">
        <v>44944</v>
      </c>
      <c r="D3236" s="1" t="s">
        <v>171</v>
      </c>
      <c r="E3236" s="1" t="s">
        <v>38</v>
      </c>
      <c r="F3236" s="1" t="s">
        <v>202</v>
      </c>
      <c r="G3236" s="5">
        <v>1.08</v>
      </c>
    </row>
    <row r="3237" spans="1:7" x14ac:dyDescent="0.2">
      <c r="A3237" s="3">
        <v>2000</v>
      </c>
      <c r="B3237" s="2">
        <v>2160</v>
      </c>
      <c r="C3237" s="38">
        <v>44944</v>
      </c>
      <c r="D3237" s="1" t="s">
        <v>171</v>
      </c>
      <c r="E3237" s="1" t="s">
        <v>38</v>
      </c>
      <c r="F3237" s="1" t="s">
        <v>202</v>
      </c>
      <c r="G3237" s="5">
        <v>1.08</v>
      </c>
    </row>
    <row r="3238" spans="1:7" x14ac:dyDescent="0.2">
      <c r="A3238" s="3">
        <v>2000</v>
      </c>
      <c r="B3238" s="2">
        <v>2160</v>
      </c>
      <c r="C3238" s="38">
        <v>44944</v>
      </c>
      <c r="D3238" s="1" t="s">
        <v>171</v>
      </c>
      <c r="E3238" s="1" t="s">
        <v>38</v>
      </c>
      <c r="F3238" s="1" t="s">
        <v>202</v>
      </c>
      <c r="G3238" s="5">
        <v>1.08</v>
      </c>
    </row>
    <row r="3239" spans="1:7" x14ac:dyDescent="0.2">
      <c r="A3239" s="3">
        <v>2000</v>
      </c>
      <c r="B3239" s="2">
        <v>2160</v>
      </c>
      <c r="C3239" s="38">
        <v>44944</v>
      </c>
      <c r="D3239" s="1" t="s">
        <v>171</v>
      </c>
      <c r="E3239" s="1" t="s">
        <v>38</v>
      </c>
      <c r="F3239" s="1" t="s">
        <v>202</v>
      </c>
      <c r="G3239" s="5">
        <v>1.08</v>
      </c>
    </row>
    <row r="3240" spans="1:7" x14ac:dyDescent="0.2">
      <c r="A3240" s="3">
        <v>2000</v>
      </c>
      <c r="B3240" s="2">
        <v>2160</v>
      </c>
      <c r="C3240" s="38">
        <v>44944</v>
      </c>
      <c r="D3240" s="1" t="s">
        <v>171</v>
      </c>
      <c r="E3240" s="1" t="s">
        <v>38</v>
      </c>
      <c r="F3240" s="1" t="s">
        <v>202</v>
      </c>
      <c r="G3240" s="5">
        <v>1.08</v>
      </c>
    </row>
    <row r="3241" spans="1:7" x14ac:dyDescent="0.2">
      <c r="A3241" s="3">
        <v>4000</v>
      </c>
      <c r="B3241" s="2">
        <v>4320</v>
      </c>
      <c r="C3241" s="38">
        <v>44944</v>
      </c>
      <c r="D3241" s="1" t="s">
        <v>171</v>
      </c>
      <c r="E3241" s="1" t="s">
        <v>38</v>
      </c>
      <c r="F3241" s="1" t="s">
        <v>202</v>
      </c>
      <c r="G3241" s="5">
        <v>1.08</v>
      </c>
    </row>
    <row r="3242" spans="1:7" x14ac:dyDescent="0.2">
      <c r="A3242" s="3">
        <v>2000</v>
      </c>
      <c r="B3242" s="2">
        <v>2160</v>
      </c>
      <c r="C3242" s="38">
        <v>44945</v>
      </c>
      <c r="D3242" s="1" t="s">
        <v>171</v>
      </c>
      <c r="E3242" s="1" t="s">
        <v>38</v>
      </c>
      <c r="F3242" s="1" t="s">
        <v>202</v>
      </c>
      <c r="G3242" s="5">
        <v>1.08</v>
      </c>
    </row>
    <row r="3243" spans="1:7" x14ac:dyDescent="0.2">
      <c r="A3243" s="3">
        <v>2000</v>
      </c>
      <c r="B3243" s="2">
        <v>2160</v>
      </c>
      <c r="C3243" s="38">
        <v>44950</v>
      </c>
      <c r="D3243" s="1" t="s">
        <v>171</v>
      </c>
      <c r="E3243" s="1" t="s">
        <v>38</v>
      </c>
      <c r="F3243" s="1" t="s">
        <v>202</v>
      </c>
      <c r="G3243" s="5">
        <v>1.08</v>
      </c>
    </row>
    <row r="3244" spans="1:7" x14ac:dyDescent="0.2">
      <c r="A3244" s="3">
        <v>4000</v>
      </c>
      <c r="B3244" s="2">
        <v>4320</v>
      </c>
      <c r="C3244" s="38">
        <v>44950</v>
      </c>
      <c r="D3244" s="1" t="s">
        <v>171</v>
      </c>
      <c r="E3244" s="1" t="s">
        <v>38</v>
      </c>
      <c r="F3244" s="1" t="s">
        <v>202</v>
      </c>
      <c r="G3244" s="5">
        <v>1.08</v>
      </c>
    </row>
    <row r="3245" spans="1:7" x14ac:dyDescent="0.2">
      <c r="A3245" s="3">
        <v>4000</v>
      </c>
      <c r="B3245" s="2">
        <v>4320</v>
      </c>
      <c r="C3245" s="38">
        <v>45058</v>
      </c>
      <c r="D3245" s="1" t="s">
        <v>171</v>
      </c>
      <c r="E3245" s="1" t="s">
        <v>38</v>
      </c>
      <c r="F3245" s="1" t="s">
        <v>202</v>
      </c>
      <c r="G3245" s="5">
        <v>1.08</v>
      </c>
    </row>
    <row r="3246" spans="1:7" x14ac:dyDescent="0.2">
      <c r="A3246" s="3">
        <v>4000</v>
      </c>
      <c r="B3246" s="2">
        <v>4320</v>
      </c>
      <c r="C3246" s="38">
        <v>45058</v>
      </c>
      <c r="D3246" s="1" t="s">
        <v>171</v>
      </c>
      <c r="E3246" s="1" t="s">
        <v>38</v>
      </c>
      <c r="F3246" s="1" t="s">
        <v>202</v>
      </c>
      <c r="G3246" s="5">
        <v>1.08</v>
      </c>
    </row>
    <row r="3247" spans="1:7" x14ac:dyDescent="0.2">
      <c r="A3247" s="3">
        <v>2000</v>
      </c>
      <c r="B3247" s="2">
        <v>2160</v>
      </c>
      <c r="C3247" s="38">
        <v>45058</v>
      </c>
      <c r="D3247" s="1" t="s">
        <v>171</v>
      </c>
      <c r="E3247" s="1" t="s">
        <v>38</v>
      </c>
      <c r="F3247" s="1" t="s">
        <v>202</v>
      </c>
      <c r="G3247" s="5">
        <v>1.08</v>
      </c>
    </row>
    <row r="3248" spans="1:7" x14ac:dyDescent="0.2">
      <c r="A3248" s="3">
        <v>2000</v>
      </c>
      <c r="B3248" s="2">
        <v>2160</v>
      </c>
      <c r="C3248" s="38">
        <v>45058</v>
      </c>
      <c r="D3248" s="1" t="s">
        <v>171</v>
      </c>
      <c r="E3248" s="1" t="s">
        <v>38</v>
      </c>
      <c r="F3248" s="1" t="s">
        <v>202</v>
      </c>
      <c r="G3248" s="5">
        <v>1.08</v>
      </c>
    </row>
    <row r="3249" spans="1:7" x14ac:dyDescent="0.2">
      <c r="A3249" s="3">
        <v>4000</v>
      </c>
      <c r="B3249" s="2">
        <v>4320</v>
      </c>
      <c r="C3249" s="38">
        <v>45058</v>
      </c>
      <c r="D3249" s="1" t="s">
        <v>171</v>
      </c>
      <c r="E3249" s="1" t="s">
        <v>38</v>
      </c>
      <c r="F3249" s="1" t="s">
        <v>202</v>
      </c>
      <c r="G3249" s="5">
        <v>1.08</v>
      </c>
    </row>
    <row r="3250" spans="1:7" x14ac:dyDescent="0.2">
      <c r="A3250" s="3">
        <v>2000</v>
      </c>
      <c r="B3250" s="2">
        <v>2160</v>
      </c>
      <c r="C3250" s="38">
        <v>45058</v>
      </c>
      <c r="D3250" s="1" t="s">
        <v>171</v>
      </c>
      <c r="E3250" s="1" t="s">
        <v>38</v>
      </c>
      <c r="F3250" s="1" t="s">
        <v>202</v>
      </c>
      <c r="G3250" s="5">
        <v>1.08</v>
      </c>
    </row>
    <row r="3251" spans="1:7" x14ac:dyDescent="0.2">
      <c r="A3251" s="3">
        <v>4000</v>
      </c>
      <c r="B3251" s="2">
        <v>4320</v>
      </c>
      <c r="C3251" s="38">
        <v>45058</v>
      </c>
      <c r="D3251" s="1" t="s">
        <v>171</v>
      </c>
      <c r="E3251" s="1" t="s">
        <v>38</v>
      </c>
      <c r="F3251" s="1" t="s">
        <v>202</v>
      </c>
      <c r="G3251" s="5">
        <v>1.08</v>
      </c>
    </row>
    <row r="3252" spans="1:7" x14ac:dyDescent="0.2">
      <c r="A3252" s="3">
        <v>2000</v>
      </c>
      <c r="B3252" s="2">
        <v>2160</v>
      </c>
      <c r="C3252" s="38">
        <v>45058</v>
      </c>
      <c r="D3252" s="1" t="s">
        <v>171</v>
      </c>
      <c r="E3252" s="1" t="s">
        <v>38</v>
      </c>
      <c r="F3252" s="1" t="s">
        <v>202</v>
      </c>
      <c r="G3252" s="5">
        <v>1.08</v>
      </c>
    </row>
    <row r="3253" spans="1:7" x14ac:dyDescent="0.2">
      <c r="A3253" s="3">
        <v>2000</v>
      </c>
      <c r="B3253" s="2">
        <v>2160</v>
      </c>
      <c r="C3253" s="38">
        <v>45058</v>
      </c>
      <c r="D3253" s="1" t="s">
        <v>171</v>
      </c>
      <c r="E3253" s="1" t="s">
        <v>38</v>
      </c>
      <c r="F3253" s="1" t="s">
        <v>202</v>
      </c>
      <c r="G3253" s="5">
        <v>1.08</v>
      </c>
    </row>
    <row r="3254" spans="1:7" x14ac:dyDescent="0.2">
      <c r="A3254" s="3">
        <v>2000</v>
      </c>
      <c r="B3254" s="2">
        <v>2160</v>
      </c>
      <c r="C3254" s="38">
        <v>45058</v>
      </c>
      <c r="D3254" s="1" t="s">
        <v>171</v>
      </c>
      <c r="E3254" s="1" t="s">
        <v>38</v>
      </c>
      <c r="F3254" s="1" t="s">
        <v>202</v>
      </c>
      <c r="G3254" s="5">
        <v>1.08</v>
      </c>
    </row>
    <row r="3255" spans="1:7" x14ac:dyDescent="0.2">
      <c r="A3255" s="3">
        <v>500</v>
      </c>
      <c r="B3255" s="2">
        <v>540</v>
      </c>
      <c r="C3255" s="38">
        <v>45064</v>
      </c>
      <c r="D3255" s="1" t="s">
        <v>171</v>
      </c>
      <c r="E3255" s="1" t="s">
        <v>38</v>
      </c>
      <c r="F3255" s="1" t="s">
        <v>202</v>
      </c>
      <c r="G3255" s="5">
        <v>1.08</v>
      </c>
    </row>
    <row r="3256" spans="1:7" x14ac:dyDescent="0.2">
      <c r="A3256" s="3">
        <v>2000</v>
      </c>
      <c r="B3256" s="2">
        <v>2160</v>
      </c>
      <c r="C3256" s="38">
        <v>44742</v>
      </c>
      <c r="D3256" s="1" t="s">
        <v>171</v>
      </c>
      <c r="E3256" s="1" t="s">
        <v>38</v>
      </c>
      <c r="F3256" s="1" t="s">
        <v>202</v>
      </c>
      <c r="G3256" s="5">
        <v>1.08</v>
      </c>
    </row>
    <row r="3257" spans="1:7" x14ac:dyDescent="0.2">
      <c r="A3257" s="3">
        <v>4000</v>
      </c>
      <c r="B3257" s="2">
        <v>4320</v>
      </c>
      <c r="C3257" s="38">
        <v>44742</v>
      </c>
      <c r="D3257" s="1" t="s">
        <v>171</v>
      </c>
      <c r="E3257" s="1" t="s">
        <v>38</v>
      </c>
      <c r="F3257" s="1" t="s">
        <v>202</v>
      </c>
      <c r="G3257" s="5">
        <v>1.08</v>
      </c>
    </row>
    <row r="3258" spans="1:7" x14ac:dyDescent="0.2">
      <c r="A3258" s="3">
        <v>4000</v>
      </c>
      <c r="B3258" s="2">
        <v>4320</v>
      </c>
      <c r="C3258" s="38">
        <v>44742</v>
      </c>
      <c r="D3258" s="1" t="s">
        <v>171</v>
      </c>
      <c r="E3258" s="1" t="s">
        <v>38</v>
      </c>
      <c r="F3258" s="1" t="s">
        <v>202</v>
      </c>
      <c r="G3258" s="5">
        <v>1.08</v>
      </c>
    </row>
    <row r="3259" spans="1:7" x14ac:dyDescent="0.2">
      <c r="A3259" s="3">
        <v>4000</v>
      </c>
      <c r="B3259" s="2">
        <v>4320</v>
      </c>
      <c r="C3259" s="38">
        <v>44742</v>
      </c>
      <c r="D3259" s="1" t="s">
        <v>171</v>
      </c>
      <c r="E3259" s="1" t="s">
        <v>38</v>
      </c>
      <c r="F3259" s="1" t="s">
        <v>202</v>
      </c>
      <c r="G3259" s="5">
        <v>1.08</v>
      </c>
    </row>
    <row r="3260" spans="1:7" x14ac:dyDescent="0.2">
      <c r="A3260" s="3">
        <v>6000</v>
      </c>
      <c r="B3260" s="2">
        <v>6480</v>
      </c>
      <c r="C3260" s="38">
        <v>44742</v>
      </c>
      <c r="D3260" s="1" t="s">
        <v>171</v>
      </c>
      <c r="E3260" s="1" t="s">
        <v>38</v>
      </c>
      <c r="F3260" s="1" t="s">
        <v>202</v>
      </c>
      <c r="G3260" s="5">
        <v>1.08</v>
      </c>
    </row>
    <row r="3261" spans="1:7" x14ac:dyDescent="0.2">
      <c r="A3261" s="3">
        <v>6000</v>
      </c>
      <c r="B3261" s="2">
        <v>6480</v>
      </c>
      <c r="C3261" s="38">
        <v>44742</v>
      </c>
      <c r="D3261" s="1" t="s">
        <v>171</v>
      </c>
      <c r="E3261" s="1" t="s">
        <v>38</v>
      </c>
      <c r="F3261" s="1" t="s">
        <v>202</v>
      </c>
      <c r="G3261" s="5">
        <v>1.08</v>
      </c>
    </row>
    <row r="3262" spans="1:7" x14ac:dyDescent="0.2">
      <c r="A3262" s="3">
        <v>4000</v>
      </c>
      <c r="B3262" s="2">
        <v>4320</v>
      </c>
      <c r="C3262" s="38">
        <v>44742</v>
      </c>
      <c r="D3262" s="1" t="s">
        <v>171</v>
      </c>
      <c r="E3262" s="1" t="s">
        <v>38</v>
      </c>
      <c r="F3262" s="1" t="s">
        <v>202</v>
      </c>
      <c r="G3262" s="5">
        <v>1.08</v>
      </c>
    </row>
    <row r="3263" spans="1:7" x14ac:dyDescent="0.2">
      <c r="A3263" s="3">
        <v>4000</v>
      </c>
      <c r="B3263" s="2">
        <v>4320</v>
      </c>
      <c r="C3263" s="38">
        <v>44747</v>
      </c>
      <c r="D3263" s="1" t="s">
        <v>171</v>
      </c>
      <c r="E3263" s="1" t="s">
        <v>38</v>
      </c>
      <c r="F3263" s="1" t="s">
        <v>202</v>
      </c>
      <c r="G3263" s="5">
        <v>1.08</v>
      </c>
    </row>
    <row r="3264" spans="1:7" x14ac:dyDescent="0.2">
      <c r="A3264" s="3">
        <v>1500</v>
      </c>
      <c r="B3264" s="2">
        <v>1620</v>
      </c>
      <c r="C3264" s="38">
        <v>45022</v>
      </c>
      <c r="D3264" s="1" t="s">
        <v>171</v>
      </c>
      <c r="E3264" s="1" t="s">
        <v>38</v>
      </c>
      <c r="F3264" s="1" t="s">
        <v>202</v>
      </c>
      <c r="G3264" s="5">
        <v>1.08</v>
      </c>
    </row>
    <row r="3265" spans="1:7" x14ac:dyDescent="0.2">
      <c r="A3265" s="3">
        <v>4000</v>
      </c>
      <c r="B3265" s="2">
        <v>4320</v>
      </c>
      <c r="C3265" s="38">
        <v>45023</v>
      </c>
      <c r="D3265" s="1" t="s">
        <v>171</v>
      </c>
      <c r="E3265" s="1" t="s">
        <v>38</v>
      </c>
      <c r="F3265" s="1" t="s">
        <v>202</v>
      </c>
      <c r="G3265" s="5">
        <v>1.08</v>
      </c>
    </row>
    <row r="3266" spans="1:7" x14ac:dyDescent="0.2">
      <c r="A3266" s="3">
        <v>2000</v>
      </c>
      <c r="B3266" s="2">
        <v>2160</v>
      </c>
      <c r="C3266" s="38">
        <v>44742</v>
      </c>
      <c r="D3266" s="1" t="s">
        <v>171</v>
      </c>
      <c r="E3266" s="1" t="s">
        <v>38</v>
      </c>
      <c r="F3266" s="1" t="s">
        <v>202</v>
      </c>
      <c r="G3266" s="5">
        <v>1.08</v>
      </c>
    </row>
    <row r="3267" spans="1:7" x14ac:dyDescent="0.2">
      <c r="A3267" s="3">
        <v>2000</v>
      </c>
      <c r="B3267" s="2">
        <v>2160</v>
      </c>
      <c r="C3267" s="38">
        <v>44742</v>
      </c>
      <c r="D3267" s="1" t="s">
        <v>171</v>
      </c>
      <c r="E3267" s="1" t="s">
        <v>38</v>
      </c>
      <c r="F3267" s="1" t="s">
        <v>202</v>
      </c>
      <c r="G3267" s="5">
        <v>1.08</v>
      </c>
    </row>
    <row r="3268" spans="1:7" x14ac:dyDescent="0.2">
      <c r="A3268" s="3">
        <v>2000</v>
      </c>
      <c r="B3268" s="2">
        <v>2160</v>
      </c>
      <c r="C3268" s="38">
        <v>44742</v>
      </c>
      <c r="D3268" s="1" t="s">
        <v>171</v>
      </c>
      <c r="E3268" s="1" t="s">
        <v>38</v>
      </c>
      <c r="F3268" s="1" t="s">
        <v>202</v>
      </c>
      <c r="G3268" s="5">
        <v>1.08</v>
      </c>
    </row>
    <row r="3269" spans="1:7" x14ac:dyDescent="0.2">
      <c r="A3269" s="3">
        <v>2000</v>
      </c>
      <c r="B3269" s="2">
        <v>2160</v>
      </c>
      <c r="C3269" s="38">
        <v>44742</v>
      </c>
      <c r="D3269" s="1" t="s">
        <v>171</v>
      </c>
      <c r="E3269" s="1" t="s">
        <v>38</v>
      </c>
      <c r="F3269" s="1" t="s">
        <v>202</v>
      </c>
      <c r="G3269" s="5">
        <v>1.08</v>
      </c>
    </row>
    <row r="3270" spans="1:7" x14ac:dyDescent="0.2">
      <c r="A3270" s="3">
        <v>4000</v>
      </c>
      <c r="B3270" s="2">
        <v>4320</v>
      </c>
      <c r="C3270" s="38">
        <v>44742</v>
      </c>
      <c r="D3270" s="1" t="s">
        <v>171</v>
      </c>
      <c r="E3270" s="1" t="s">
        <v>38</v>
      </c>
      <c r="F3270" s="1" t="s">
        <v>202</v>
      </c>
      <c r="G3270" s="5">
        <v>1.08</v>
      </c>
    </row>
    <row r="3271" spans="1:7" x14ac:dyDescent="0.2">
      <c r="A3271" s="3">
        <v>4000</v>
      </c>
      <c r="B3271" s="2">
        <v>4320</v>
      </c>
      <c r="C3271" s="38">
        <v>44742</v>
      </c>
      <c r="D3271" s="1" t="s">
        <v>171</v>
      </c>
      <c r="E3271" s="1" t="s">
        <v>38</v>
      </c>
      <c r="F3271" s="1" t="s">
        <v>202</v>
      </c>
      <c r="G3271" s="5">
        <v>1.08</v>
      </c>
    </row>
    <row r="3272" spans="1:7" x14ac:dyDescent="0.2">
      <c r="A3272" s="3">
        <v>2000</v>
      </c>
      <c r="B3272" s="2">
        <v>2160</v>
      </c>
      <c r="C3272" s="38">
        <v>44742</v>
      </c>
      <c r="D3272" s="1" t="s">
        <v>171</v>
      </c>
      <c r="E3272" s="1" t="s">
        <v>38</v>
      </c>
      <c r="F3272" s="1" t="s">
        <v>202</v>
      </c>
      <c r="G3272" s="5">
        <v>1.08</v>
      </c>
    </row>
    <row r="3273" spans="1:7" x14ac:dyDescent="0.2">
      <c r="A3273" s="3">
        <v>4000</v>
      </c>
      <c r="B3273" s="2">
        <v>4320</v>
      </c>
      <c r="C3273" s="38">
        <v>44742</v>
      </c>
      <c r="D3273" s="1" t="s">
        <v>171</v>
      </c>
      <c r="E3273" s="1" t="s">
        <v>38</v>
      </c>
      <c r="F3273" s="1" t="s">
        <v>202</v>
      </c>
      <c r="G3273" s="5">
        <v>1.08</v>
      </c>
    </row>
    <row r="3274" spans="1:7" x14ac:dyDescent="0.2">
      <c r="A3274" s="3">
        <v>2000</v>
      </c>
      <c r="B3274" s="2">
        <v>2160</v>
      </c>
      <c r="C3274" s="38">
        <v>44742</v>
      </c>
      <c r="D3274" s="1" t="s">
        <v>171</v>
      </c>
      <c r="E3274" s="1" t="s">
        <v>38</v>
      </c>
      <c r="F3274" s="1" t="s">
        <v>202</v>
      </c>
      <c r="G3274" s="5">
        <v>1.08</v>
      </c>
    </row>
    <row r="3275" spans="1:7" x14ac:dyDescent="0.2">
      <c r="A3275" s="3">
        <v>6000</v>
      </c>
      <c r="B3275" s="2">
        <v>6480</v>
      </c>
      <c r="C3275" s="38">
        <v>44764</v>
      </c>
      <c r="D3275" s="1" t="s">
        <v>171</v>
      </c>
      <c r="E3275" s="1" t="s">
        <v>38</v>
      </c>
      <c r="F3275" s="1" t="s">
        <v>202</v>
      </c>
      <c r="G3275" s="5">
        <v>1.08</v>
      </c>
    </row>
    <row r="3276" spans="1:7" x14ac:dyDescent="0.2">
      <c r="A3276" s="3">
        <v>2000</v>
      </c>
      <c r="B3276" s="2">
        <v>2160</v>
      </c>
      <c r="C3276" s="38">
        <v>44764</v>
      </c>
      <c r="D3276" s="1" t="s">
        <v>171</v>
      </c>
      <c r="E3276" s="1" t="s">
        <v>38</v>
      </c>
      <c r="F3276" s="1" t="s">
        <v>202</v>
      </c>
      <c r="G3276" s="5">
        <v>1.08</v>
      </c>
    </row>
    <row r="3277" spans="1:7" x14ac:dyDescent="0.2">
      <c r="A3277" s="3">
        <v>2000</v>
      </c>
      <c r="B3277" s="2">
        <v>2160</v>
      </c>
      <c r="C3277" s="38">
        <v>44764</v>
      </c>
      <c r="D3277" s="1" t="s">
        <v>171</v>
      </c>
      <c r="E3277" s="1" t="s">
        <v>38</v>
      </c>
      <c r="F3277" s="1" t="s">
        <v>202</v>
      </c>
      <c r="G3277" s="5">
        <v>1.08</v>
      </c>
    </row>
    <row r="3278" spans="1:7" x14ac:dyDescent="0.2">
      <c r="A3278" s="3">
        <v>2000</v>
      </c>
      <c r="B3278" s="2">
        <v>2160</v>
      </c>
      <c r="C3278" s="38">
        <v>44764</v>
      </c>
      <c r="D3278" s="1" t="s">
        <v>171</v>
      </c>
      <c r="E3278" s="1" t="s">
        <v>38</v>
      </c>
      <c r="F3278" s="1" t="s">
        <v>202</v>
      </c>
      <c r="G3278" s="5">
        <v>1.08</v>
      </c>
    </row>
    <row r="3279" spans="1:7" x14ac:dyDescent="0.2">
      <c r="A3279" s="3">
        <v>2000</v>
      </c>
      <c r="B3279" s="2">
        <v>2160</v>
      </c>
      <c r="C3279" s="38">
        <v>44764</v>
      </c>
      <c r="D3279" s="1" t="s">
        <v>171</v>
      </c>
      <c r="E3279" s="1" t="s">
        <v>38</v>
      </c>
      <c r="F3279" s="1" t="s">
        <v>202</v>
      </c>
      <c r="G3279" s="5">
        <v>1.08</v>
      </c>
    </row>
    <row r="3280" spans="1:7" x14ac:dyDescent="0.2">
      <c r="A3280" s="3">
        <v>4000</v>
      </c>
      <c r="B3280" s="2">
        <v>4320</v>
      </c>
      <c r="C3280" s="38">
        <v>44764</v>
      </c>
      <c r="D3280" s="1" t="s">
        <v>171</v>
      </c>
      <c r="E3280" s="1" t="s">
        <v>38</v>
      </c>
      <c r="F3280" s="1" t="s">
        <v>202</v>
      </c>
      <c r="G3280" s="5">
        <v>1.08</v>
      </c>
    </row>
    <row r="3281" spans="1:7" x14ac:dyDescent="0.2">
      <c r="A3281" s="3">
        <v>4000</v>
      </c>
      <c r="B3281" s="2">
        <v>4320</v>
      </c>
      <c r="C3281" s="38">
        <v>44764</v>
      </c>
      <c r="D3281" s="1" t="s">
        <v>171</v>
      </c>
      <c r="E3281" s="1" t="s">
        <v>38</v>
      </c>
      <c r="F3281" s="1" t="s">
        <v>202</v>
      </c>
      <c r="G3281" s="5">
        <v>1.08</v>
      </c>
    </row>
    <row r="3282" spans="1:7" x14ac:dyDescent="0.2">
      <c r="A3282" s="3">
        <v>4000</v>
      </c>
      <c r="B3282" s="2">
        <v>4320</v>
      </c>
      <c r="C3282" s="38">
        <v>45051</v>
      </c>
      <c r="D3282" s="1" t="s">
        <v>171</v>
      </c>
      <c r="E3282" s="1" t="s">
        <v>38</v>
      </c>
      <c r="F3282" s="1" t="s">
        <v>202</v>
      </c>
      <c r="G3282" s="5">
        <v>1.08</v>
      </c>
    </row>
    <row r="3283" spans="1:7" x14ac:dyDescent="0.2">
      <c r="A3283" s="3">
        <v>2000</v>
      </c>
      <c r="B3283" s="2">
        <v>2160</v>
      </c>
      <c r="C3283" s="38">
        <v>45051</v>
      </c>
      <c r="D3283" s="1" t="s">
        <v>171</v>
      </c>
      <c r="E3283" s="1" t="s">
        <v>38</v>
      </c>
      <c r="F3283" s="1" t="s">
        <v>202</v>
      </c>
      <c r="G3283" s="5">
        <v>1.08</v>
      </c>
    </row>
    <row r="3284" spans="1:7" x14ac:dyDescent="0.2">
      <c r="A3284" s="3">
        <v>2000</v>
      </c>
      <c r="B3284" s="2">
        <v>2160</v>
      </c>
      <c r="C3284" s="38">
        <v>45051</v>
      </c>
      <c r="D3284" s="1" t="s">
        <v>171</v>
      </c>
      <c r="E3284" s="1" t="s">
        <v>38</v>
      </c>
      <c r="F3284" s="1" t="s">
        <v>202</v>
      </c>
      <c r="G3284" s="5">
        <v>1.08</v>
      </c>
    </row>
    <row r="3285" spans="1:7" x14ac:dyDescent="0.2">
      <c r="A3285" s="3">
        <v>4000</v>
      </c>
      <c r="B3285" s="2">
        <v>4320</v>
      </c>
      <c r="C3285" s="38">
        <v>45051</v>
      </c>
      <c r="D3285" s="1" t="s">
        <v>171</v>
      </c>
      <c r="E3285" s="1" t="s">
        <v>38</v>
      </c>
      <c r="F3285" s="1" t="s">
        <v>202</v>
      </c>
      <c r="G3285" s="5">
        <v>1.08</v>
      </c>
    </row>
    <row r="3286" spans="1:7" x14ac:dyDescent="0.2">
      <c r="A3286" s="3">
        <v>2000</v>
      </c>
      <c r="B3286" s="2">
        <v>2160</v>
      </c>
      <c r="C3286" s="38">
        <v>45058</v>
      </c>
      <c r="D3286" s="1" t="s">
        <v>171</v>
      </c>
      <c r="E3286" s="1" t="s">
        <v>38</v>
      </c>
      <c r="F3286" s="1" t="s">
        <v>202</v>
      </c>
      <c r="G3286" s="5">
        <v>1.08</v>
      </c>
    </row>
    <row r="3287" spans="1:7" x14ac:dyDescent="0.2">
      <c r="A3287" s="3">
        <v>2000</v>
      </c>
      <c r="B3287" s="2">
        <v>2160</v>
      </c>
      <c r="C3287" s="38">
        <v>45058</v>
      </c>
      <c r="D3287" s="1" t="s">
        <v>171</v>
      </c>
      <c r="E3287" s="1" t="s">
        <v>38</v>
      </c>
      <c r="F3287" s="1" t="s">
        <v>202</v>
      </c>
      <c r="G3287" s="5">
        <v>1.08</v>
      </c>
    </row>
    <row r="3288" spans="1:7" x14ac:dyDescent="0.2">
      <c r="A3288" s="3">
        <v>4000</v>
      </c>
      <c r="B3288" s="2">
        <v>4320</v>
      </c>
      <c r="C3288" s="38">
        <v>45058</v>
      </c>
      <c r="D3288" s="1" t="s">
        <v>171</v>
      </c>
      <c r="E3288" s="1" t="s">
        <v>38</v>
      </c>
      <c r="F3288" s="1" t="s">
        <v>202</v>
      </c>
      <c r="G3288" s="5">
        <v>1.08</v>
      </c>
    </row>
    <row r="3289" spans="1:7" x14ac:dyDescent="0.2">
      <c r="A3289" s="3">
        <v>2000</v>
      </c>
      <c r="B3289" s="2">
        <v>2160</v>
      </c>
      <c r="C3289" s="38">
        <v>45058</v>
      </c>
      <c r="D3289" s="1" t="s">
        <v>171</v>
      </c>
      <c r="E3289" s="1" t="s">
        <v>38</v>
      </c>
      <c r="F3289" s="1" t="s">
        <v>202</v>
      </c>
      <c r="G3289" s="5">
        <v>1.08</v>
      </c>
    </row>
    <row r="3290" spans="1:7" x14ac:dyDescent="0.2">
      <c r="A3290" s="3">
        <v>6000</v>
      </c>
      <c r="B3290" s="2">
        <v>6480</v>
      </c>
      <c r="C3290" s="38">
        <v>44789</v>
      </c>
      <c r="D3290" s="1" t="s">
        <v>171</v>
      </c>
      <c r="E3290" s="1" t="s">
        <v>38</v>
      </c>
      <c r="F3290" s="1" t="s">
        <v>202</v>
      </c>
      <c r="G3290" s="5">
        <v>1.08</v>
      </c>
    </row>
    <row r="3291" spans="1:7" x14ac:dyDescent="0.2">
      <c r="A3291" s="3">
        <v>2000</v>
      </c>
      <c r="B3291" s="2">
        <v>2160</v>
      </c>
      <c r="C3291" s="38">
        <v>44887</v>
      </c>
      <c r="D3291" s="1" t="s">
        <v>171</v>
      </c>
      <c r="E3291" s="1" t="s">
        <v>38</v>
      </c>
      <c r="F3291" s="1" t="s">
        <v>202</v>
      </c>
      <c r="G3291" s="5">
        <v>1.08</v>
      </c>
    </row>
    <row r="3292" spans="1:7" x14ac:dyDescent="0.2">
      <c r="A3292" s="3">
        <v>2000</v>
      </c>
      <c r="B3292" s="2">
        <v>2160</v>
      </c>
      <c r="C3292" s="38">
        <v>44876</v>
      </c>
      <c r="D3292" s="1" t="s">
        <v>171</v>
      </c>
      <c r="E3292" s="1" t="s">
        <v>38</v>
      </c>
      <c r="F3292" s="1" t="s">
        <v>202</v>
      </c>
      <c r="G3292" s="5">
        <v>1.08</v>
      </c>
    </row>
    <row r="3293" spans="1:7" x14ac:dyDescent="0.2">
      <c r="A3293" s="3">
        <v>2000</v>
      </c>
      <c r="B3293" s="2">
        <v>2160</v>
      </c>
      <c r="C3293" s="38">
        <v>44887</v>
      </c>
      <c r="D3293" s="1" t="s">
        <v>171</v>
      </c>
      <c r="E3293" s="1" t="s">
        <v>38</v>
      </c>
      <c r="F3293" s="1" t="s">
        <v>202</v>
      </c>
      <c r="G3293" s="5">
        <v>1.08</v>
      </c>
    </row>
    <row r="3294" spans="1:7" x14ac:dyDescent="0.2">
      <c r="A3294" s="3">
        <v>2000</v>
      </c>
      <c r="B3294" s="2">
        <v>2160</v>
      </c>
      <c r="C3294" s="38">
        <v>44876</v>
      </c>
      <c r="D3294" s="1" t="s">
        <v>171</v>
      </c>
      <c r="E3294" s="1" t="s">
        <v>38</v>
      </c>
      <c r="F3294" s="1" t="s">
        <v>202</v>
      </c>
      <c r="G3294" s="5">
        <v>1.08</v>
      </c>
    </row>
    <row r="3295" spans="1:7" x14ac:dyDescent="0.2">
      <c r="A3295" s="3">
        <v>4000</v>
      </c>
      <c r="B3295" s="2">
        <v>4320</v>
      </c>
      <c r="C3295" s="38">
        <v>44887</v>
      </c>
      <c r="D3295" s="1" t="s">
        <v>171</v>
      </c>
      <c r="E3295" s="1" t="s">
        <v>38</v>
      </c>
      <c r="F3295" s="1" t="s">
        <v>202</v>
      </c>
      <c r="G3295" s="5">
        <v>1.08</v>
      </c>
    </row>
    <row r="3296" spans="1:7" x14ac:dyDescent="0.2">
      <c r="A3296" s="3">
        <v>4000</v>
      </c>
      <c r="B3296" s="2">
        <v>4320</v>
      </c>
      <c r="C3296" s="38">
        <v>44887</v>
      </c>
      <c r="D3296" s="1" t="s">
        <v>171</v>
      </c>
      <c r="E3296" s="1" t="s">
        <v>38</v>
      </c>
      <c r="F3296" s="1" t="s">
        <v>202</v>
      </c>
      <c r="G3296" s="5">
        <v>1.08</v>
      </c>
    </row>
    <row r="3297" spans="1:7" x14ac:dyDescent="0.2">
      <c r="A3297" s="3">
        <v>33880</v>
      </c>
      <c r="B3297" s="2">
        <v>917809.2</v>
      </c>
      <c r="C3297" s="38">
        <v>44973</v>
      </c>
      <c r="D3297" s="1" t="s">
        <v>53</v>
      </c>
      <c r="E3297" s="1" t="s">
        <v>34</v>
      </c>
      <c r="F3297" s="1" t="s">
        <v>201</v>
      </c>
      <c r="G3297" s="5">
        <v>27.09</v>
      </c>
    </row>
    <row r="3298" spans="1:7" x14ac:dyDescent="0.2">
      <c r="A3298" s="3">
        <v>34104</v>
      </c>
      <c r="B3298" s="2">
        <v>137098.07999999999</v>
      </c>
      <c r="C3298" s="38">
        <v>44973</v>
      </c>
      <c r="D3298" s="1" t="s">
        <v>54</v>
      </c>
      <c r="E3298" s="1" t="s">
        <v>34</v>
      </c>
      <c r="F3298" s="1" t="s">
        <v>201</v>
      </c>
      <c r="G3298" s="5">
        <v>4.0199999999999996</v>
      </c>
    </row>
    <row r="3299" spans="1:7" x14ac:dyDescent="0.2">
      <c r="A3299" s="3">
        <v>-33880</v>
      </c>
      <c r="B3299" s="2">
        <v>-917809.2</v>
      </c>
      <c r="C3299" s="38">
        <v>44980</v>
      </c>
      <c r="D3299" s="1" t="s">
        <v>53</v>
      </c>
      <c r="E3299" s="1" t="s">
        <v>34</v>
      </c>
      <c r="F3299" s="1" t="s">
        <v>201</v>
      </c>
      <c r="G3299" s="5">
        <v>27.09</v>
      </c>
    </row>
    <row r="3300" spans="1:7" x14ac:dyDescent="0.2">
      <c r="A3300" s="3">
        <v>-34104</v>
      </c>
      <c r="B3300" s="2">
        <v>-137098.07999999999</v>
      </c>
      <c r="C3300" s="38">
        <v>44980</v>
      </c>
      <c r="D3300" s="1" t="s">
        <v>54</v>
      </c>
      <c r="E3300" s="1" t="s">
        <v>34</v>
      </c>
      <c r="F3300" s="1" t="s">
        <v>201</v>
      </c>
      <c r="G3300" s="5">
        <v>4.0199999999999996</v>
      </c>
    </row>
    <row r="3301" spans="1:7" x14ac:dyDescent="0.2">
      <c r="A3301" s="3">
        <v>33880</v>
      </c>
      <c r="B3301" s="2">
        <v>917809.2</v>
      </c>
      <c r="C3301" s="38">
        <v>44983</v>
      </c>
      <c r="D3301" s="1" t="s">
        <v>53</v>
      </c>
      <c r="E3301" s="1" t="s">
        <v>34</v>
      </c>
      <c r="F3301" s="1" t="s">
        <v>201</v>
      </c>
      <c r="G3301" s="5">
        <v>27.09</v>
      </c>
    </row>
    <row r="3302" spans="1:7" x14ac:dyDescent="0.2">
      <c r="A3302" s="3">
        <v>34104</v>
      </c>
      <c r="B3302" s="2">
        <v>137098.07999999999</v>
      </c>
      <c r="C3302" s="38">
        <v>44983</v>
      </c>
      <c r="D3302" s="1" t="s">
        <v>54</v>
      </c>
      <c r="E3302" s="1" t="s">
        <v>34</v>
      </c>
      <c r="F3302" s="1" t="s">
        <v>201</v>
      </c>
      <c r="G3302" s="5">
        <v>4.0199999999999996</v>
      </c>
    </row>
    <row r="3303" spans="1:7" x14ac:dyDescent="0.2">
      <c r="A3303" s="3">
        <v>30800</v>
      </c>
      <c r="B3303" s="2">
        <v>834372</v>
      </c>
      <c r="C3303" s="38">
        <v>44987</v>
      </c>
      <c r="D3303" s="1" t="s">
        <v>53</v>
      </c>
      <c r="E3303" s="1" t="s">
        <v>34</v>
      </c>
      <c r="F3303" s="1" t="s">
        <v>201</v>
      </c>
      <c r="G3303" s="5">
        <v>27.09</v>
      </c>
    </row>
    <row r="3304" spans="1:7" x14ac:dyDescent="0.2">
      <c r="A3304" s="3">
        <v>37268</v>
      </c>
      <c r="B3304" s="2">
        <v>1009590.12</v>
      </c>
      <c r="C3304" s="38">
        <v>44987</v>
      </c>
      <c r="D3304" s="1" t="s">
        <v>53</v>
      </c>
      <c r="E3304" s="1" t="s">
        <v>34</v>
      </c>
      <c r="F3304" s="1" t="s">
        <v>201</v>
      </c>
      <c r="G3304" s="5">
        <v>27.09</v>
      </c>
    </row>
    <row r="3305" spans="1:7" x14ac:dyDescent="0.2">
      <c r="A3305" s="3">
        <v>31668</v>
      </c>
      <c r="B3305" s="2">
        <v>127305.36</v>
      </c>
      <c r="C3305" s="38">
        <v>44987</v>
      </c>
      <c r="D3305" s="1" t="s">
        <v>54</v>
      </c>
      <c r="E3305" s="1" t="s">
        <v>34</v>
      </c>
      <c r="F3305" s="1" t="s">
        <v>201</v>
      </c>
      <c r="G3305" s="5">
        <v>4.0199999999999996</v>
      </c>
    </row>
    <row r="3306" spans="1:7" x14ac:dyDescent="0.2">
      <c r="A3306" s="3">
        <v>36540</v>
      </c>
      <c r="B3306" s="2">
        <v>146890.79999999999</v>
      </c>
      <c r="C3306" s="38">
        <v>44987</v>
      </c>
      <c r="D3306" s="1" t="s">
        <v>54</v>
      </c>
      <c r="E3306" s="1" t="s">
        <v>34</v>
      </c>
      <c r="F3306" s="1" t="s">
        <v>201</v>
      </c>
      <c r="G3306" s="5">
        <v>4.0199999999999996</v>
      </c>
    </row>
    <row r="3307" spans="1:7" x14ac:dyDescent="0.2">
      <c r="A3307" s="3">
        <v>17248</v>
      </c>
      <c r="B3307" s="2">
        <v>467248.32</v>
      </c>
      <c r="C3307" s="38">
        <v>44993</v>
      </c>
      <c r="D3307" s="1" t="s">
        <v>53</v>
      </c>
      <c r="E3307" s="1" t="s">
        <v>34</v>
      </c>
      <c r="F3307" s="1" t="s">
        <v>201</v>
      </c>
      <c r="G3307" s="5">
        <v>27.09</v>
      </c>
    </row>
    <row r="3308" spans="1:7" x14ac:dyDescent="0.2">
      <c r="A3308" s="3">
        <v>17052</v>
      </c>
      <c r="B3308" s="2">
        <v>68549.039999999994</v>
      </c>
      <c r="C3308" s="38">
        <v>44993</v>
      </c>
      <c r="D3308" s="1" t="s">
        <v>54</v>
      </c>
      <c r="E3308" s="1" t="s">
        <v>34</v>
      </c>
      <c r="F3308" s="1" t="s">
        <v>201</v>
      </c>
      <c r="G3308" s="5">
        <v>4.0199999999999996</v>
      </c>
    </row>
    <row r="3309" spans="1:7" x14ac:dyDescent="0.2">
      <c r="A3309" s="3">
        <v>23716</v>
      </c>
      <c r="B3309" s="2">
        <v>642466.43999999994</v>
      </c>
      <c r="C3309" s="38">
        <v>45002</v>
      </c>
      <c r="D3309" s="1" t="s">
        <v>53</v>
      </c>
      <c r="E3309" s="1" t="s">
        <v>34</v>
      </c>
      <c r="F3309" s="1" t="s">
        <v>201</v>
      </c>
      <c r="G3309" s="5">
        <v>27.09</v>
      </c>
    </row>
    <row r="3310" spans="1:7" x14ac:dyDescent="0.2">
      <c r="A3310" s="3">
        <v>-30800</v>
      </c>
      <c r="B3310" s="2">
        <v>-834372</v>
      </c>
      <c r="C3310" s="38">
        <v>45002</v>
      </c>
      <c r="D3310" s="1" t="s">
        <v>53</v>
      </c>
      <c r="E3310" s="1" t="s">
        <v>34</v>
      </c>
      <c r="F3310" s="1" t="s">
        <v>201</v>
      </c>
      <c r="G3310" s="5">
        <v>27.09</v>
      </c>
    </row>
    <row r="3311" spans="1:7" x14ac:dyDescent="0.2">
      <c r="A3311" s="3">
        <v>-37268</v>
      </c>
      <c r="B3311" s="2">
        <v>-1009590.12</v>
      </c>
      <c r="C3311" s="38">
        <v>45002</v>
      </c>
      <c r="D3311" s="1" t="s">
        <v>53</v>
      </c>
      <c r="E3311" s="1" t="s">
        <v>34</v>
      </c>
      <c r="F3311" s="1" t="s">
        <v>201</v>
      </c>
      <c r="G3311" s="5">
        <v>27.09</v>
      </c>
    </row>
    <row r="3312" spans="1:7" x14ac:dyDescent="0.2">
      <c r="A3312" s="3">
        <v>-17248</v>
      </c>
      <c r="B3312" s="2">
        <v>-467248.32</v>
      </c>
      <c r="C3312" s="38">
        <v>45002</v>
      </c>
      <c r="D3312" s="1" t="s">
        <v>53</v>
      </c>
      <c r="E3312" s="1" t="s">
        <v>34</v>
      </c>
      <c r="F3312" s="1" t="s">
        <v>201</v>
      </c>
      <c r="G3312" s="5">
        <v>27.09</v>
      </c>
    </row>
    <row r="3313" spans="1:7" x14ac:dyDescent="0.2">
      <c r="A3313" s="3">
        <v>-23716</v>
      </c>
      <c r="B3313" s="2">
        <v>-642466.43999999994</v>
      </c>
      <c r="C3313" s="38">
        <v>45002</v>
      </c>
      <c r="D3313" s="1" t="s">
        <v>53</v>
      </c>
      <c r="E3313" s="1" t="s">
        <v>34</v>
      </c>
      <c r="F3313" s="1" t="s">
        <v>201</v>
      </c>
      <c r="G3313" s="5">
        <v>27.09</v>
      </c>
    </row>
    <row r="3314" spans="1:7" x14ac:dyDescent="0.2">
      <c r="A3314" s="3">
        <v>20069</v>
      </c>
      <c r="B3314" s="2">
        <v>80677.38</v>
      </c>
      <c r="C3314" s="38">
        <v>45002</v>
      </c>
      <c r="D3314" s="1" t="s">
        <v>54</v>
      </c>
      <c r="E3314" s="1" t="s">
        <v>34</v>
      </c>
      <c r="F3314" s="1" t="s">
        <v>201</v>
      </c>
      <c r="G3314" s="5">
        <v>4.0199999999999996</v>
      </c>
    </row>
    <row r="3315" spans="1:7" x14ac:dyDescent="0.2">
      <c r="A3315" s="3">
        <v>4291</v>
      </c>
      <c r="B3315" s="2">
        <v>17249.82</v>
      </c>
      <c r="C3315" s="38">
        <v>45002</v>
      </c>
      <c r="D3315" s="1" t="s">
        <v>54</v>
      </c>
      <c r="E3315" s="1" t="s">
        <v>34</v>
      </c>
      <c r="F3315" s="1" t="s">
        <v>201</v>
      </c>
      <c r="G3315" s="5">
        <v>4.0199999999999996</v>
      </c>
    </row>
    <row r="3316" spans="1:7" x14ac:dyDescent="0.2">
      <c r="A3316" s="3">
        <v>-31668</v>
      </c>
      <c r="B3316" s="2">
        <v>-127305.36</v>
      </c>
      <c r="C3316" s="38">
        <v>45002</v>
      </c>
      <c r="D3316" s="1" t="s">
        <v>54</v>
      </c>
      <c r="E3316" s="1" t="s">
        <v>34</v>
      </c>
      <c r="F3316" s="1" t="s">
        <v>201</v>
      </c>
      <c r="G3316" s="5">
        <v>4.0199999999999996</v>
      </c>
    </row>
    <row r="3317" spans="1:7" x14ac:dyDescent="0.2">
      <c r="A3317" s="3">
        <v>-36540</v>
      </c>
      <c r="B3317" s="2">
        <v>-146890.79999999999</v>
      </c>
      <c r="C3317" s="38">
        <v>45002</v>
      </c>
      <c r="D3317" s="1" t="s">
        <v>54</v>
      </c>
      <c r="E3317" s="1" t="s">
        <v>34</v>
      </c>
      <c r="F3317" s="1" t="s">
        <v>201</v>
      </c>
      <c r="G3317" s="5">
        <v>4.0199999999999996</v>
      </c>
    </row>
    <row r="3318" spans="1:7" x14ac:dyDescent="0.2">
      <c r="A3318" s="3">
        <v>-17052</v>
      </c>
      <c r="B3318" s="2">
        <v>-68549.039999999994</v>
      </c>
      <c r="C3318" s="38">
        <v>45002</v>
      </c>
      <c r="D3318" s="1" t="s">
        <v>54</v>
      </c>
      <c r="E3318" s="1" t="s">
        <v>34</v>
      </c>
      <c r="F3318" s="1" t="s">
        <v>201</v>
      </c>
      <c r="G3318" s="5">
        <v>4.0199999999999996</v>
      </c>
    </row>
    <row r="3319" spans="1:7" x14ac:dyDescent="0.2">
      <c r="A3319" s="3">
        <v>-4291</v>
      </c>
      <c r="B3319" s="2">
        <v>-17249.82</v>
      </c>
      <c r="C3319" s="38">
        <v>45002</v>
      </c>
      <c r="D3319" s="1" t="s">
        <v>54</v>
      </c>
      <c r="E3319" s="1" t="s">
        <v>34</v>
      </c>
      <c r="F3319" s="1" t="s">
        <v>201</v>
      </c>
      <c r="G3319" s="5">
        <v>4.0199999999999996</v>
      </c>
    </row>
    <row r="3320" spans="1:7" x14ac:dyDescent="0.2">
      <c r="A3320" s="3">
        <v>-20069</v>
      </c>
      <c r="B3320" s="2">
        <v>-80677.38</v>
      </c>
      <c r="C3320" s="38">
        <v>45002</v>
      </c>
      <c r="D3320" s="1" t="s">
        <v>54</v>
      </c>
      <c r="E3320" s="1" t="s">
        <v>34</v>
      </c>
      <c r="F3320" s="1" t="s">
        <v>201</v>
      </c>
      <c r="G3320" s="5">
        <v>4.0199999999999996</v>
      </c>
    </row>
    <row r="3321" spans="1:7" x14ac:dyDescent="0.2">
      <c r="A3321" s="3">
        <v>30800</v>
      </c>
      <c r="B3321" s="2">
        <v>834372</v>
      </c>
      <c r="C3321" s="38">
        <v>45005</v>
      </c>
      <c r="D3321" s="1" t="s">
        <v>53</v>
      </c>
      <c r="E3321" s="1" t="s">
        <v>34</v>
      </c>
      <c r="F3321" s="1" t="s">
        <v>201</v>
      </c>
      <c r="G3321" s="5">
        <v>27.09</v>
      </c>
    </row>
    <row r="3322" spans="1:7" x14ac:dyDescent="0.2">
      <c r="A3322" s="3">
        <v>37268</v>
      </c>
      <c r="B3322" s="2">
        <v>1009590.12</v>
      </c>
      <c r="C3322" s="38">
        <v>45005</v>
      </c>
      <c r="D3322" s="1" t="s">
        <v>53</v>
      </c>
      <c r="E3322" s="1" t="s">
        <v>34</v>
      </c>
      <c r="F3322" s="1" t="s">
        <v>201</v>
      </c>
      <c r="G3322" s="5">
        <v>27.09</v>
      </c>
    </row>
    <row r="3323" spans="1:7" x14ac:dyDescent="0.2">
      <c r="A3323" s="3">
        <v>17248</v>
      </c>
      <c r="B3323" s="2">
        <v>467248.32</v>
      </c>
      <c r="C3323" s="38">
        <v>45005</v>
      </c>
      <c r="D3323" s="1" t="s">
        <v>53</v>
      </c>
      <c r="E3323" s="1" t="s">
        <v>34</v>
      </c>
      <c r="F3323" s="1" t="s">
        <v>201</v>
      </c>
      <c r="G3323" s="5">
        <v>27.09</v>
      </c>
    </row>
    <row r="3324" spans="1:7" x14ac:dyDescent="0.2">
      <c r="A3324" s="3">
        <v>23716</v>
      </c>
      <c r="B3324" s="2">
        <v>642466.43999999994</v>
      </c>
      <c r="C3324" s="38">
        <v>45005</v>
      </c>
      <c r="D3324" s="1" t="s">
        <v>53</v>
      </c>
      <c r="E3324" s="1" t="s">
        <v>34</v>
      </c>
      <c r="F3324" s="1" t="s">
        <v>201</v>
      </c>
      <c r="G3324" s="5">
        <v>27.09</v>
      </c>
    </row>
    <row r="3325" spans="1:7" x14ac:dyDescent="0.2">
      <c r="A3325" s="3">
        <v>31668</v>
      </c>
      <c r="B3325" s="2">
        <v>127305.36</v>
      </c>
      <c r="C3325" s="38">
        <v>45005</v>
      </c>
      <c r="D3325" s="1" t="s">
        <v>54</v>
      </c>
      <c r="E3325" s="1" t="s">
        <v>34</v>
      </c>
      <c r="F3325" s="1" t="s">
        <v>201</v>
      </c>
      <c r="G3325" s="5">
        <v>4.0199999999999996</v>
      </c>
    </row>
    <row r="3326" spans="1:7" x14ac:dyDescent="0.2">
      <c r="A3326" s="3">
        <v>36540</v>
      </c>
      <c r="B3326" s="2">
        <v>146890.79999999999</v>
      </c>
      <c r="C3326" s="38">
        <v>45005</v>
      </c>
      <c r="D3326" s="1" t="s">
        <v>54</v>
      </c>
      <c r="E3326" s="1" t="s">
        <v>34</v>
      </c>
      <c r="F3326" s="1" t="s">
        <v>201</v>
      </c>
      <c r="G3326" s="5">
        <v>4.0199999999999996</v>
      </c>
    </row>
    <row r="3327" spans="1:7" x14ac:dyDescent="0.2">
      <c r="A3327" s="3">
        <v>17052</v>
      </c>
      <c r="B3327" s="2">
        <v>68549.039999999994</v>
      </c>
      <c r="C3327" s="38">
        <v>45005</v>
      </c>
      <c r="D3327" s="1" t="s">
        <v>54</v>
      </c>
      <c r="E3327" s="1" t="s">
        <v>34</v>
      </c>
      <c r="F3327" s="1" t="s">
        <v>201</v>
      </c>
      <c r="G3327" s="5">
        <v>4.0199999999999996</v>
      </c>
    </row>
    <row r="3328" spans="1:7" x14ac:dyDescent="0.2">
      <c r="A3328" s="3">
        <v>24360</v>
      </c>
      <c r="B3328" s="2">
        <v>97927.2</v>
      </c>
      <c r="C3328" s="38">
        <v>45005</v>
      </c>
      <c r="D3328" s="1" t="s">
        <v>54</v>
      </c>
      <c r="E3328" s="1" t="s">
        <v>34</v>
      </c>
      <c r="F3328" s="1" t="s">
        <v>201</v>
      </c>
      <c r="G3328" s="5">
        <v>4.0199999999999996</v>
      </c>
    </row>
    <row r="3329" spans="1:7" x14ac:dyDescent="0.2">
      <c r="A3329" s="3">
        <v>10164</v>
      </c>
      <c r="B3329" s="2">
        <v>275342.76</v>
      </c>
      <c r="C3329" s="38">
        <v>45007</v>
      </c>
      <c r="D3329" s="1" t="s">
        <v>53</v>
      </c>
      <c r="E3329" s="1" t="s">
        <v>34</v>
      </c>
      <c r="F3329" s="1" t="s">
        <v>201</v>
      </c>
      <c r="G3329" s="5">
        <v>27.09</v>
      </c>
    </row>
    <row r="3330" spans="1:7" x14ac:dyDescent="0.2">
      <c r="A3330" s="3">
        <v>31724</v>
      </c>
      <c r="B3330" s="2">
        <v>859403.16</v>
      </c>
      <c r="C3330" s="38">
        <v>45007</v>
      </c>
      <c r="D3330" s="1" t="s">
        <v>53</v>
      </c>
      <c r="E3330" s="1" t="s">
        <v>34</v>
      </c>
      <c r="F3330" s="1" t="s">
        <v>201</v>
      </c>
      <c r="G3330" s="5">
        <v>27.09</v>
      </c>
    </row>
    <row r="3331" spans="1:7" x14ac:dyDescent="0.2">
      <c r="A3331" s="3">
        <v>12180</v>
      </c>
      <c r="B3331" s="2">
        <v>48963.6</v>
      </c>
      <c r="C3331" s="38">
        <v>45007</v>
      </c>
      <c r="D3331" s="1" t="s">
        <v>54</v>
      </c>
      <c r="E3331" s="1" t="s">
        <v>34</v>
      </c>
      <c r="F3331" s="1" t="s">
        <v>201</v>
      </c>
      <c r="G3331" s="5">
        <v>4.0199999999999996</v>
      </c>
    </row>
    <row r="3332" spans="1:7" x14ac:dyDescent="0.2">
      <c r="A3332" s="3">
        <v>31668</v>
      </c>
      <c r="B3332" s="2">
        <v>127305.36</v>
      </c>
      <c r="C3332" s="38">
        <v>45007</v>
      </c>
      <c r="D3332" s="1" t="s">
        <v>54</v>
      </c>
      <c r="E3332" s="1" t="s">
        <v>34</v>
      </c>
      <c r="F3332" s="1" t="s">
        <v>201</v>
      </c>
      <c r="G3332" s="5">
        <v>4.0199999999999996</v>
      </c>
    </row>
    <row r="3333" spans="1:7" x14ac:dyDescent="0.2">
      <c r="A3333" s="3">
        <v>21252</v>
      </c>
      <c r="B3333" s="2">
        <v>572316.36</v>
      </c>
      <c r="C3333" s="38">
        <v>45016</v>
      </c>
      <c r="D3333" s="1" t="s">
        <v>53</v>
      </c>
      <c r="E3333" s="1" t="s">
        <v>34</v>
      </c>
      <c r="F3333" s="1" t="s">
        <v>201</v>
      </c>
      <c r="G3333" s="5">
        <v>26.93</v>
      </c>
    </row>
    <row r="3334" spans="1:7" x14ac:dyDescent="0.2">
      <c r="A3334" s="3">
        <v>19488</v>
      </c>
      <c r="B3334" s="2">
        <v>78341.759999999995</v>
      </c>
      <c r="C3334" s="38">
        <v>45016</v>
      </c>
      <c r="D3334" s="1" t="s">
        <v>54</v>
      </c>
      <c r="E3334" s="1" t="s">
        <v>34</v>
      </c>
      <c r="F3334" s="1" t="s">
        <v>201</v>
      </c>
      <c r="G3334" s="5">
        <v>4.0199999999999996</v>
      </c>
    </row>
    <row r="3335" spans="1:7" x14ac:dyDescent="0.2">
      <c r="A3335" s="3">
        <v>18788</v>
      </c>
      <c r="B3335" s="2">
        <v>505960.84</v>
      </c>
      <c r="C3335" s="38">
        <v>45029</v>
      </c>
      <c r="D3335" s="1" t="s">
        <v>53</v>
      </c>
      <c r="E3335" s="1" t="s">
        <v>34</v>
      </c>
      <c r="F3335" s="1" t="s">
        <v>201</v>
      </c>
      <c r="G3335" s="5">
        <v>26.93</v>
      </c>
    </row>
    <row r="3336" spans="1:7" x14ac:dyDescent="0.2">
      <c r="A3336" s="3">
        <v>16016</v>
      </c>
      <c r="B3336" s="2">
        <v>431310.88</v>
      </c>
      <c r="C3336" s="38">
        <v>45029</v>
      </c>
      <c r="D3336" s="1" t="s">
        <v>53</v>
      </c>
      <c r="E3336" s="1" t="s">
        <v>34</v>
      </c>
      <c r="F3336" s="1" t="s">
        <v>201</v>
      </c>
      <c r="G3336" s="5">
        <v>26.93</v>
      </c>
    </row>
    <row r="3337" spans="1:7" x14ac:dyDescent="0.2">
      <c r="A3337" s="3">
        <v>19488</v>
      </c>
      <c r="B3337" s="2">
        <v>78341.759999999995</v>
      </c>
      <c r="C3337" s="38">
        <v>45029</v>
      </c>
      <c r="D3337" s="1" t="s">
        <v>54</v>
      </c>
      <c r="E3337" s="1" t="s">
        <v>34</v>
      </c>
      <c r="F3337" s="1" t="s">
        <v>201</v>
      </c>
      <c r="G3337" s="5">
        <v>4.0199999999999996</v>
      </c>
    </row>
    <row r="3338" spans="1:7" x14ac:dyDescent="0.2">
      <c r="A3338" s="3">
        <v>14616</v>
      </c>
      <c r="B3338" s="2">
        <v>58756.32</v>
      </c>
      <c r="C3338" s="38">
        <v>45029</v>
      </c>
      <c r="D3338" s="1" t="s">
        <v>54</v>
      </c>
      <c r="E3338" s="1" t="s">
        <v>34</v>
      </c>
      <c r="F3338" s="1" t="s">
        <v>201</v>
      </c>
      <c r="G3338" s="5">
        <v>4.0199999999999996</v>
      </c>
    </row>
    <row r="3339" spans="1:7" x14ac:dyDescent="0.2">
      <c r="A3339" s="3">
        <v>9240</v>
      </c>
      <c r="B3339" s="2">
        <v>248833.2</v>
      </c>
      <c r="C3339" s="38">
        <v>45041</v>
      </c>
      <c r="D3339" s="1" t="s">
        <v>53</v>
      </c>
      <c r="E3339" s="1" t="s">
        <v>34</v>
      </c>
      <c r="F3339" s="1" t="s">
        <v>201</v>
      </c>
      <c r="G3339" s="5">
        <v>26.93</v>
      </c>
    </row>
    <row r="3340" spans="1:7" x14ac:dyDescent="0.2">
      <c r="A3340" s="3">
        <v>9744</v>
      </c>
      <c r="B3340" s="2">
        <v>39170.879999999997</v>
      </c>
      <c r="C3340" s="38">
        <v>45041</v>
      </c>
      <c r="D3340" s="1" t="s">
        <v>54</v>
      </c>
      <c r="E3340" s="1" t="s">
        <v>34</v>
      </c>
      <c r="F3340" s="1" t="s">
        <v>201</v>
      </c>
      <c r="G3340" s="5">
        <v>4.0199999999999996</v>
      </c>
    </row>
    <row r="3341" spans="1:7" x14ac:dyDescent="0.2">
      <c r="A3341" s="3">
        <v>21252</v>
      </c>
      <c r="B3341" s="2">
        <v>572316.36</v>
      </c>
      <c r="C3341" s="38">
        <v>45043</v>
      </c>
      <c r="D3341" s="1" t="s">
        <v>53</v>
      </c>
      <c r="E3341" s="1" t="s">
        <v>34</v>
      </c>
      <c r="F3341" s="1" t="s">
        <v>201</v>
      </c>
      <c r="G3341" s="5">
        <v>26.93</v>
      </c>
    </row>
    <row r="3342" spans="1:7" x14ac:dyDescent="0.2">
      <c r="A3342" s="3">
        <v>21924</v>
      </c>
      <c r="B3342" s="2">
        <v>88134.48</v>
      </c>
      <c r="C3342" s="38">
        <v>45043</v>
      </c>
      <c r="D3342" s="1" t="s">
        <v>54</v>
      </c>
      <c r="E3342" s="1" t="s">
        <v>34</v>
      </c>
      <c r="F3342" s="1" t="s">
        <v>201</v>
      </c>
      <c r="G3342" s="5">
        <v>4.0199999999999996</v>
      </c>
    </row>
    <row r="3343" spans="1:7" x14ac:dyDescent="0.2">
      <c r="A3343" s="3">
        <v>31724</v>
      </c>
      <c r="B3343" s="2">
        <v>854327.32</v>
      </c>
      <c r="C3343" s="38">
        <v>45051</v>
      </c>
      <c r="D3343" s="1" t="s">
        <v>53</v>
      </c>
      <c r="E3343" s="1" t="s">
        <v>34</v>
      </c>
      <c r="F3343" s="1" t="s">
        <v>201</v>
      </c>
      <c r="G3343" s="5">
        <v>26.93</v>
      </c>
    </row>
    <row r="3344" spans="1:7" x14ac:dyDescent="0.2">
      <c r="A3344" s="3">
        <v>31668</v>
      </c>
      <c r="B3344" s="2">
        <v>127305.36</v>
      </c>
      <c r="C3344" s="38">
        <v>45051</v>
      </c>
      <c r="D3344" s="1" t="s">
        <v>54</v>
      </c>
      <c r="E3344" s="1" t="s">
        <v>34</v>
      </c>
      <c r="F3344" s="1" t="s">
        <v>201</v>
      </c>
      <c r="G3344" s="5">
        <v>4.0199999999999996</v>
      </c>
    </row>
    <row r="3345" spans="1:7" x14ac:dyDescent="0.2">
      <c r="A3345" s="3">
        <v>26796</v>
      </c>
      <c r="B3345" s="2">
        <v>721616.28</v>
      </c>
      <c r="C3345" s="38">
        <v>45062</v>
      </c>
      <c r="D3345" s="1" t="s">
        <v>53</v>
      </c>
      <c r="E3345" s="1" t="s">
        <v>34</v>
      </c>
      <c r="F3345" s="1" t="s">
        <v>201</v>
      </c>
      <c r="G3345" s="5">
        <v>26.93</v>
      </c>
    </row>
    <row r="3346" spans="1:7" x14ac:dyDescent="0.2">
      <c r="A3346" s="3">
        <v>26796</v>
      </c>
      <c r="B3346" s="2">
        <v>107719.92</v>
      </c>
      <c r="C3346" s="38">
        <v>45062</v>
      </c>
      <c r="D3346" s="1" t="s">
        <v>54</v>
      </c>
      <c r="E3346" s="1" t="s">
        <v>34</v>
      </c>
      <c r="F3346" s="1" t="s">
        <v>201</v>
      </c>
      <c r="G3346" s="5">
        <v>4.0199999999999996</v>
      </c>
    </row>
    <row r="3347" spans="1:7" x14ac:dyDescent="0.2">
      <c r="A3347" s="3">
        <v>42504</v>
      </c>
      <c r="B3347" s="2">
        <v>1144632.72</v>
      </c>
      <c r="C3347" s="38">
        <v>45063</v>
      </c>
      <c r="D3347" s="1" t="s">
        <v>53</v>
      </c>
      <c r="E3347" s="1" t="s">
        <v>34</v>
      </c>
      <c r="F3347" s="1" t="s">
        <v>201</v>
      </c>
      <c r="G3347" s="5">
        <v>26.93</v>
      </c>
    </row>
    <row r="3348" spans="1:7" x14ac:dyDescent="0.2">
      <c r="A3348" s="3">
        <v>43848</v>
      </c>
      <c r="B3348" s="2">
        <v>176268.96</v>
      </c>
      <c r="C3348" s="38">
        <v>45063</v>
      </c>
      <c r="D3348" s="1" t="s">
        <v>54</v>
      </c>
      <c r="E3348" s="1" t="s">
        <v>34</v>
      </c>
      <c r="F3348" s="1" t="s">
        <v>201</v>
      </c>
      <c r="G3348" s="5">
        <v>4.0199999999999996</v>
      </c>
    </row>
    <row r="3349" spans="1:7" x14ac:dyDescent="0.2">
      <c r="A3349" s="3">
        <v>10472</v>
      </c>
      <c r="B3349" s="2">
        <v>282010.96000000002</v>
      </c>
      <c r="C3349" s="38">
        <v>45068</v>
      </c>
      <c r="D3349" s="1" t="s">
        <v>53</v>
      </c>
      <c r="E3349" s="1" t="s">
        <v>34</v>
      </c>
      <c r="F3349" s="1" t="s">
        <v>201</v>
      </c>
      <c r="G3349" s="5">
        <v>26.93</v>
      </c>
    </row>
    <row r="3350" spans="1:7" x14ac:dyDescent="0.2">
      <c r="A3350" s="3">
        <v>9744</v>
      </c>
      <c r="B3350" s="2">
        <v>39170.879999999997</v>
      </c>
      <c r="C3350" s="38">
        <v>45068</v>
      </c>
      <c r="D3350" s="1" t="s">
        <v>54</v>
      </c>
      <c r="E3350" s="1" t="s">
        <v>34</v>
      </c>
      <c r="F3350" s="1" t="s">
        <v>201</v>
      </c>
      <c r="G3350" s="5">
        <v>4.0199999999999996</v>
      </c>
    </row>
    <row r="3351" spans="1:7" x14ac:dyDescent="0.2">
      <c r="A3351" s="3">
        <v>21252</v>
      </c>
      <c r="B3351" s="2">
        <v>572316.36</v>
      </c>
      <c r="C3351" s="38">
        <v>45092</v>
      </c>
      <c r="D3351" s="1" t="s">
        <v>53</v>
      </c>
      <c r="E3351" s="1" t="s">
        <v>34</v>
      </c>
      <c r="F3351" s="1" t="s">
        <v>201</v>
      </c>
      <c r="G3351" s="5">
        <v>26.93</v>
      </c>
    </row>
    <row r="3352" spans="1:7" x14ac:dyDescent="0.2">
      <c r="A3352" s="3">
        <v>32340</v>
      </c>
      <c r="B3352" s="2">
        <v>870916.2</v>
      </c>
      <c r="C3352" s="38">
        <v>45092</v>
      </c>
      <c r="D3352" s="1" t="s">
        <v>53</v>
      </c>
      <c r="E3352" s="1" t="s">
        <v>34</v>
      </c>
      <c r="F3352" s="1" t="s">
        <v>201</v>
      </c>
      <c r="G3352" s="5">
        <v>26.93</v>
      </c>
    </row>
    <row r="3353" spans="1:7" x14ac:dyDescent="0.2">
      <c r="A3353" s="3">
        <v>21924</v>
      </c>
      <c r="B3353" s="2">
        <v>88134.48</v>
      </c>
      <c r="C3353" s="38">
        <v>45092</v>
      </c>
      <c r="D3353" s="1" t="s">
        <v>54</v>
      </c>
      <c r="E3353" s="1" t="s">
        <v>34</v>
      </c>
      <c r="F3353" s="1" t="s">
        <v>201</v>
      </c>
      <c r="G3353" s="5">
        <v>4.0199999999999996</v>
      </c>
    </row>
    <row r="3354" spans="1:7" x14ac:dyDescent="0.2">
      <c r="A3354" s="3">
        <v>31668</v>
      </c>
      <c r="B3354" s="2">
        <v>127305.36</v>
      </c>
      <c r="C3354" s="38">
        <v>45092</v>
      </c>
      <c r="D3354" s="1" t="s">
        <v>54</v>
      </c>
      <c r="E3354" s="1" t="s">
        <v>34</v>
      </c>
      <c r="F3354" s="1" t="s">
        <v>201</v>
      </c>
      <c r="G3354" s="5">
        <v>4.0199999999999996</v>
      </c>
    </row>
    <row r="3355" spans="1:7" x14ac:dyDescent="0.2">
      <c r="A3355" s="3">
        <v>9856</v>
      </c>
      <c r="B3355" s="2">
        <v>265422.08000000002</v>
      </c>
      <c r="C3355" s="38">
        <v>45105</v>
      </c>
      <c r="D3355" s="1" t="s">
        <v>53</v>
      </c>
      <c r="E3355" s="1" t="s">
        <v>34</v>
      </c>
      <c r="F3355" s="1" t="s">
        <v>201</v>
      </c>
      <c r="G3355" s="5">
        <v>26.93</v>
      </c>
    </row>
    <row r="3356" spans="1:7" x14ac:dyDescent="0.2">
      <c r="A3356" s="3">
        <v>9744</v>
      </c>
      <c r="B3356" s="2">
        <v>39170.879999999997</v>
      </c>
      <c r="C3356" s="38">
        <v>45105</v>
      </c>
      <c r="D3356" s="1" t="s">
        <v>54</v>
      </c>
      <c r="E3356" s="1" t="s">
        <v>34</v>
      </c>
      <c r="F3356" s="1" t="s">
        <v>201</v>
      </c>
      <c r="G3356" s="5">
        <v>4.0199999999999996</v>
      </c>
    </row>
    <row r="3357" spans="1:7" x14ac:dyDescent="0.2">
      <c r="A3357" s="3">
        <v>10164</v>
      </c>
      <c r="B3357" s="2">
        <v>273716.52</v>
      </c>
      <c r="C3357" s="38">
        <v>45127</v>
      </c>
      <c r="D3357" s="1" t="s">
        <v>53</v>
      </c>
      <c r="E3357" s="1" t="s">
        <v>34</v>
      </c>
      <c r="F3357" s="1" t="s">
        <v>201</v>
      </c>
      <c r="G3357" s="5">
        <v>26.93</v>
      </c>
    </row>
    <row r="3358" spans="1:7" x14ac:dyDescent="0.2">
      <c r="A3358" s="3">
        <v>47432</v>
      </c>
      <c r="B3358" s="2">
        <v>1277343.76</v>
      </c>
      <c r="C3358" s="38">
        <v>45127</v>
      </c>
      <c r="D3358" s="1" t="s">
        <v>53</v>
      </c>
      <c r="E3358" s="1" t="s">
        <v>34</v>
      </c>
      <c r="F3358" s="1" t="s">
        <v>201</v>
      </c>
      <c r="G3358" s="5">
        <v>26.93</v>
      </c>
    </row>
    <row r="3359" spans="1:7" x14ac:dyDescent="0.2">
      <c r="A3359" s="3">
        <v>9744</v>
      </c>
      <c r="B3359" s="2">
        <v>39170.879999999997</v>
      </c>
      <c r="C3359" s="38">
        <v>45127</v>
      </c>
      <c r="D3359" s="1" t="s">
        <v>54</v>
      </c>
      <c r="E3359" s="1" t="s">
        <v>34</v>
      </c>
      <c r="F3359" s="1" t="s">
        <v>201</v>
      </c>
      <c r="G3359" s="5">
        <v>4.0199999999999996</v>
      </c>
    </row>
    <row r="3360" spans="1:7" x14ac:dyDescent="0.2">
      <c r="A3360" s="3">
        <v>48720</v>
      </c>
      <c r="B3360" s="2">
        <v>195854.4</v>
      </c>
      <c r="C3360" s="38">
        <v>45127</v>
      </c>
      <c r="D3360" s="1" t="s">
        <v>54</v>
      </c>
      <c r="E3360" s="1" t="s">
        <v>34</v>
      </c>
      <c r="F3360" s="1" t="s">
        <v>201</v>
      </c>
      <c r="G3360" s="5">
        <v>4.0199999999999996</v>
      </c>
    </row>
    <row r="3361" spans="1:7" x14ac:dyDescent="0.2">
      <c r="A3361" s="3">
        <v>7392</v>
      </c>
      <c r="B3361" s="2">
        <v>199066.56</v>
      </c>
      <c r="C3361" s="38">
        <v>45141</v>
      </c>
      <c r="D3361" s="1" t="s">
        <v>53</v>
      </c>
      <c r="E3361" s="1" t="s">
        <v>34</v>
      </c>
      <c r="F3361" s="1" t="s">
        <v>201</v>
      </c>
      <c r="G3361" s="5">
        <v>26.93</v>
      </c>
    </row>
    <row r="3362" spans="1:7" x14ac:dyDescent="0.2">
      <c r="A3362" s="3">
        <v>4872</v>
      </c>
      <c r="B3362" s="2">
        <v>19585.439999999999</v>
      </c>
      <c r="C3362" s="38">
        <v>45141</v>
      </c>
      <c r="D3362" s="1" t="s">
        <v>54</v>
      </c>
      <c r="E3362" s="1" t="s">
        <v>34</v>
      </c>
      <c r="F3362" s="1" t="s">
        <v>201</v>
      </c>
      <c r="G3362" s="5">
        <v>4.0199999999999996</v>
      </c>
    </row>
    <row r="3363" spans="1:7" x14ac:dyDescent="0.2">
      <c r="A3363" s="3">
        <v>14784</v>
      </c>
      <c r="B3363" s="2">
        <v>398133.12</v>
      </c>
      <c r="C3363" s="38">
        <v>45148</v>
      </c>
      <c r="D3363" s="1" t="s">
        <v>53</v>
      </c>
      <c r="E3363" s="1" t="s">
        <v>34</v>
      </c>
      <c r="F3363" s="1" t="s">
        <v>201</v>
      </c>
      <c r="G3363" s="5">
        <v>26.93</v>
      </c>
    </row>
    <row r="3364" spans="1:7" x14ac:dyDescent="0.2">
      <c r="A3364" s="3">
        <v>14616</v>
      </c>
      <c r="B3364" s="2">
        <v>58756.32</v>
      </c>
      <c r="C3364" s="38">
        <v>45148</v>
      </c>
      <c r="D3364" s="1" t="s">
        <v>54</v>
      </c>
      <c r="E3364" s="1" t="s">
        <v>34</v>
      </c>
      <c r="F3364" s="1" t="s">
        <v>201</v>
      </c>
      <c r="G3364" s="5">
        <v>4.0199999999999996</v>
      </c>
    </row>
    <row r="3365" spans="1:7" x14ac:dyDescent="0.2">
      <c r="A3365" s="3">
        <v>44660</v>
      </c>
      <c r="B3365" s="2">
        <v>1202693.8</v>
      </c>
      <c r="C3365" s="38">
        <v>45153</v>
      </c>
      <c r="D3365" s="1" t="s">
        <v>53</v>
      </c>
      <c r="E3365" s="1" t="s">
        <v>34</v>
      </c>
      <c r="F3365" s="1" t="s">
        <v>201</v>
      </c>
      <c r="G3365" s="5">
        <v>26.93</v>
      </c>
    </row>
    <row r="3366" spans="1:7" x14ac:dyDescent="0.2">
      <c r="A3366" s="3">
        <v>46284</v>
      </c>
      <c r="B3366" s="2">
        <v>186061.68</v>
      </c>
      <c r="C3366" s="38">
        <v>45153</v>
      </c>
      <c r="D3366" s="1" t="s">
        <v>54</v>
      </c>
      <c r="E3366" s="1" t="s">
        <v>34</v>
      </c>
      <c r="F3366" s="1" t="s">
        <v>201</v>
      </c>
      <c r="G3366" s="5">
        <v>4.0199999999999996</v>
      </c>
    </row>
    <row r="3367" spans="1:7" x14ac:dyDescent="0.2">
      <c r="A3367" s="3">
        <v>11088</v>
      </c>
      <c r="B3367" s="2">
        <v>298599.84000000003</v>
      </c>
      <c r="C3367" s="38">
        <v>45174</v>
      </c>
      <c r="D3367" s="1" t="s">
        <v>53</v>
      </c>
      <c r="E3367" s="1" t="s">
        <v>34</v>
      </c>
      <c r="F3367" s="1" t="s">
        <v>201</v>
      </c>
      <c r="G3367" s="5">
        <v>26.93</v>
      </c>
    </row>
    <row r="3368" spans="1:7" x14ac:dyDescent="0.2">
      <c r="A3368" s="3">
        <v>9744</v>
      </c>
      <c r="B3368" s="2">
        <v>39170.879999999997</v>
      </c>
      <c r="C3368" s="38">
        <v>45174</v>
      </c>
      <c r="D3368" s="1" t="s">
        <v>54</v>
      </c>
      <c r="E3368" s="1" t="s">
        <v>34</v>
      </c>
      <c r="F3368" s="1" t="s">
        <v>201</v>
      </c>
      <c r="G3368" s="5">
        <v>4.0199999999999996</v>
      </c>
    </row>
    <row r="3369" spans="1:7" x14ac:dyDescent="0.2">
      <c r="A3369" s="3">
        <v>33103</v>
      </c>
      <c r="B3369" s="2">
        <v>408822.05</v>
      </c>
      <c r="C3369" s="38">
        <v>44973</v>
      </c>
      <c r="D3369" s="1" t="s">
        <v>52</v>
      </c>
      <c r="E3369" s="1" t="s">
        <v>34</v>
      </c>
      <c r="F3369" s="1" t="s">
        <v>201</v>
      </c>
      <c r="G3369" s="5">
        <v>12.35</v>
      </c>
    </row>
    <row r="3370" spans="1:7" x14ac:dyDescent="0.2">
      <c r="A3370" s="3">
        <v>63504</v>
      </c>
      <c r="B3370" s="2">
        <v>784274.4</v>
      </c>
      <c r="C3370" s="38">
        <v>44973</v>
      </c>
      <c r="D3370" s="1" t="s">
        <v>51</v>
      </c>
      <c r="E3370" s="1" t="s">
        <v>34</v>
      </c>
      <c r="F3370" s="1" t="s">
        <v>201</v>
      </c>
      <c r="G3370" s="5">
        <v>12.35</v>
      </c>
    </row>
    <row r="3371" spans="1:7" x14ac:dyDescent="0.2">
      <c r="A3371" s="3">
        <v>-33103</v>
      </c>
      <c r="B3371" s="2">
        <v>-408822.05</v>
      </c>
      <c r="C3371" s="38">
        <v>44980</v>
      </c>
      <c r="D3371" s="1" t="s">
        <v>52</v>
      </c>
      <c r="E3371" s="1" t="s">
        <v>34</v>
      </c>
      <c r="F3371" s="1" t="s">
        <v>201</v>
      </c>
      <c r="G3371" s="5">
        <v>12.35</v>
      </c>
    </row>
    <row r="3372" spans="1:7" x14ac:dyDescent="0.2">
      <c r="A3372" s="3">
        <v>-63504</v>
      </c>
      <c r="B3372" s="2">
        <v>-784274.4</v>
      </c>
      <c r="C3372" s="38">
        <v>44980</v>
      </c>
      <c r="D3372" s="1" t="s">
        <v>51</v>
      </c>
      <c r="E3372" s="1" t="s">
        <v>34</v>
      </c>
      <c r="F3372" s="1" t="s">
        <v>201</v>
      </c>
      <c r="G3372" s="5">
        <v>12.35</v>
      </c>
    </row>
    <row r="3373" spans="1:7" x14ac:dyDescent="0.2">
      <c r="A3373" s="3">
        <v>33103</v>
      </c>
      <c r="B3373" s="2">
        <v>408822.05</v>
      </c>
      <c r="C3373" s="38">
        <v>44983</v>
      </c>
      <c r="D3373" s="1" t="s">
        <v>52</v>
      </c>
      <c r="E3373" s="1" t="s">
        <v>34</v>
      </c>
      <c r="F3373" s="1" t="s">
        <v>201</v>
      </c>
      <c r="G3373" s="5">
        <v>12.35</v>
      </c>
    </row>
    <row r="3374" spans="1:7" x14ac:dyDescent="0.2">
      <c r="A3374" s="3">
        <v>63504</v>
      </c>
      <c r="B3374" s="2">
        <v>784274.4</v>
      </c>
      <c r="C3374" s="38">
        <v>44983</v>
      </c>
      <c r="D3374" s="1" t="s">
        <v>51</v>
      </c>
      <c r="E3374" s="1" t="s">
        <v>34</v>
      </c>
      <c r="F3374" s="1" t="s">
        <v>201</v>
      </c>
      <c r="G3374" s="5">
        <v>12.35</v>
      </c>
    </row>
    <row r="3375" spans="1:7" x14ac:dyDescent="0.2">
      <c r="A3375" s="3">
        <v>40320</v>
      </c>
      <c r="B3375" s="2">
        <v>497952</v>
      </c>
      <c r="C3375" s="38">
        <v>44987</v>
      </c>
      <c r="D3375" s="1" t="s">
        <v>52</v>
      </c>
      <c r="E3375" s="1" t="s">
        <v>34</v>
      </c>
      <c r="F3375" s="1" t="s">
        <v>201</v>
      </c>
      <c r="G3375" s="5">
        <v>12.35</v>
      </c>
    </row>
    <row r="3376" spans="1:7" x14ac:dyDescent="0.2">
      <c r="A3376" s="3">
        <v>20160</v>
      </c>
      <c r="B3376" s="2">
        <v>248976</v>
      </c>
      <c r="C3376" s="38">
        <v>44987</v>
      </c>
      <c r="D3376" s="1" t="s">
        <v>52</v>
      </c>
      <c r="E3376" s="1" t="s">
        <v>34</v>
      </c>
      <c r="F3376" s="1" t="s">
        <v>201</v>
      </c>
      <c r="G3376" s="5">
        <v>12.35</v>
      </c>
    </row>
    <row r="3377" spans="1:7" x14ac:dyDescent="0.2">
      <c r="A3377" s="3">
        <v>73305</v>
      </c>
      <c r="B3377" s="2">
        <v>905316.75</v>
      </c>
      <c r="C3377" s="38">
        <v>44987</v>
      </c>
      <c r="D3377" s="1" t="s">
        <v>51</v>
      </c>
      <c r="E3377" s="1" t="s">
        <v>34</v>
      </c>
      <c r="F3377" s="1" t="s">
        <v>201</v>
      </c>
      <c r="G3377" s="5">
        <v>12.35</v>
      </c>
    </row>
    <row r="3378" spans="1:7" x14ac:dyDescent="0.2">
      <c r="A3378" s="3">
        <v>60480</v>
      </c>
      <c r="B3378" s="2">
        <v>746928</v>
      </c>
      <c r="C3378" s="38">
        <v>44987</v>
      </c>
      <c r="D3378" s="1" t="s">
        <v>51</v>
      </c>
      <c r="E3378" s="1" t="s">
        <v>34</v>
      </c>
      <c r="F3378" s="1" t="s">
        <v>201</v>
      </c>
      <c r="G3378" s="5">
        <v>12.35</v>
      </c>
    </row>
    <row r="3379" spans="1:7" x14ac:dyDescent="0.2">
      <c r="A3379" s="3">
        <v>20160</v>
      </c>
      <c r="B3379" s="2">
        <v>248976</v>
      </c>
      <c r="C3379" s="38">
        <v>44993</v>
      </c>
      <c r="D3379" s="1" t="s">
        <v>52</v>
      </c>
      <c r="E3379" s="1" t="s">
        <v>34</v>
      </c>
      <c r="F3379" s="1" t="s">
        <v>201</v>
      </c>
      <c r="G3379" s="5">
        <v>12.35</v>
      </c>
    </row>
    <row r="3380" spans="1:7" x14ac:dyDescent="0.2">
      <c r="A3380" s="3">
        <v>33600</v>
      </c>
      <c r="B3380" s="2">
        <v>414960</v>
      </c>
      <c r="C3380" s="38">
        <v>44993</v>
      </c>
      <c r="D3380" s="1" t="s">
        <v>51</v>
      </c>
      <c r="E3380" s="1" t="s">
        <v>34</v>
      </c>
      <c r="F3380" s="1" t="s">
        <v>201</v>
      </c>
      <c r="G3380" s="5">
        <v>12.35</v>
      </c>
    </row>
    <row r="3381" spans="1:7" x14ac:dyDescent="0.2">
      <c r="A3381" s="3">
        <v>13440</v>
      </c>
      <c r="B3381" s="2">
        <v>165984</v>
      </c>
      <c r="C3381" s="38">
        <v>45002</v>
      </c>
      <c r="D3381" s="1" t="s">
        <v>52</v>
      </c>
      <c r="E3381" s="1" t="s">
        <v>34</v>
      </c>
      <c r="F3381" s="1" t="s">
        <v>201</v>
      </c>
      <c r="G3381" s="5">
        <v>12.35</v>
      </c>
    </row>
    <row r="3382" spans="1:7" x14ac:dyDescent="0.2">
      <c r="A3382" s="3">
        <v>-40320</v>
      </c>
      <c r="B3382" s="2">
        <v>-497952</v>
      </c>
      <c r="C3382" s="38">
        <v>45002</v>
      </c>
      <c r="D3382" s="1" t="s">
        <v>52</v>
      </c>
      <c r="E3382" s="1" t="s">
        <v>34</v>
      </c>
      <c r="F3382" s="1" t="s">
        <v>201</v>
      </c>
      <c r="G3382" s="5">
        <v>12.35</v>
      </c>
    </row>
    <row r="3383" spans="1:7" x14ac:dyDescent="0.2">
      <c r="A3383" s="3">
        <v>-20160</v>
      </c>
      <c r="B3383" s="2">
        <v>-248976</v>
      </c>
      <c r="C3383" s="38">
        <v>45002</v>
      </c>
      <c r="D3383" s="1" t="s">
        <v>52</v>
      </c>
      <c r="E3383" s="1" t="s">
        <v>34</v>
      </c>
      <c r="F3383" s="1" t="s">
        <v>201</v>
      </c>
      <c r="G3383" s="5">
        <v>12.35</v>
      </c>
    </row>
    <row r="3384" spans="1:7" x14ac:dyDescent="0.2">
      <c r="A3384" s="3">
        <v>-20160</v>
      </c>
      <c r="B3384" s="2">
        <v>-248976</v>
      </c>
      <c r="C3384" s="38">
        <v>45002</v>
      </c>
      <c r="D3384" s="1" t="s">
        <v>52</v>
      </c>
      <c r="E3384" s="1" t="s">
        <v>34</v>
      </c>
      <c r="F3384" s="1" t="s">
        <v>201</v>
      </c>
      <c r="G3384" s="5">
        <v>12.35</v>
      </c>
    </row>
    <row r="3385" spans="1:7" x14ac:dyDescent="0.2">
      <c r="A3385" s="3">
        <v>-13440</v>
      </c>
      <c r="B3385" s="2">
        <v>-165984</v>
      </c>
      <c r="C3385" s="38">
        <v>45002</v>
      </c>
      <c r="D3385" s="1" t="s">
        <v>52</v>
      </c>
      <c r="E3385" s="1" t="s">
        <v>34</v>
      </c>
      <c r="F3385" s="1" t="s">
        <v>201</v>
      </c>
      <c r="G3385" s="5">
        <v>12.35</v>
      </c>
    </row>
    <row r="3386" spans="1:7" x14ac:dyDescent="0.2">
      <c r="A3386" s="3">
        <v>40320</v>
      </c>
      <c r="B3386" s="2">
        <v>497952</v>
      </c>
      <c r="C3386" s="38">
        <v>45002</v>
      </c>
      <c r="D3386" s="1" t="s">
        <v>51</v>
      </c>
      <c r="E3386" s="1" t="s">
        <v>34</v>
      </c>
      <c r="F3386" s="1" t="s">
        <v>201</v>
      </c>
      <c r="G3386" s="5">
        <v>12.35</v>
      </c>
    </row>
    <row r="3387" spans="1:7" x14ac:dyDescent="0.2">
      <c r="A3387" s="3">
        <v>-73305</v>
      </c>
      <c r="B3387" s="2">
        <v>-905316.75</v>
      </c>
      <c r="C3387" s="38">
        <v>45002</v>
      </c>
      <c r="D3387" s="1" t="s">
        <v>51</v>
      </c>
      <c r="E3387" s="1" t="s">
        <v>34</v>
      </c>
      <c r="F3387" s="1" t="s">
        <v>201</v>
      </c>
      <c r="G3387" s="5">
        <v>12.35</v>
      </c>
    </row>
    <row r="3388" spans="1:7" x14ac:dyDescent="0.2">
      <c r="A3388" s="3">
        <v>-60480</v>
      </c>
      <c r="B3388" s="2">
        <v>-746928</v>
      </c>
      <c r="C3388" s="38">
        <v>45002</v>
      </c>
      <c r="D3388" s="1" t="s">
        <v>51</v>
      </c>
      <c r="E3388" s="1" t="s">
        <v>34</v>
      </c>
      <c r="F3388" s="1" t="s">
        <v>201</v>
      </c>
      <c r="G3388" s="5">
        <v>12.35</v>
      </c>
    </row>
    <row r="3389" spans="1:7" x14ac:dyDescent="0.2">
      <c r="A3389" s="3">
        <v>-33600</v>
      </c>
      <c r="B3389" s="2">
        <v>-414960</v>
      </c>
      <c r="C3389" s="38">
        <v>45002</v>
      </c>
      <c r="D3389" s="1" t="s">
        <v>51</v>
      </c>
      <c r="E3389" s="1" t="s">
        <v>34</v>
      </c>
      <c r="F3389" s="1" t="s">
        <v>201</v>
      </c>
      <c r="G3389" s="5">
        <v>12.35</v>
      </c>
    </row>
    <row r="3390" spans="1:7" x14ac:dyDescent="0.2">
      <c r="A3390" s="3">
        <v>-40320</v>
      </c>
      <c r="B3390" s="2">
        <v>-497952</v>
      </c>
      <c r="C3390" s="38">
        <v>45002</v>
      </c>
      <c r="D3390" s="1" t="s">
        <v>51</v>
      </c>
      <c r="E3390" s="1" t="s">
        <v>34</v>
      </c>
      <c r="F3390" s="1" t="s">
        <v>201</v>
      </c>
      <c r="G3390" s="5">
        <v>12.35</v>
      </c>
    </row>
    <row r="3391" spans="1:7" x14ac:dyDescent="0.2">
      <c r="A3391" s="3">
        <v>40320</v>
      </c>
      <c r="B3391" s="2">
        <v>497952</v>
      </c>
      <c r="C3391" s="38">
        <v>45005</v>
      </c>
      <c r="D3391" s="1" t="s">
        <v>52</v>
      </c>
      <c r="E3391" s="1" t="s">
        <v>34</v>
      </c>
      <c r="F3391" s="1" t="s">
        <v>201</v>
      </c>
      <c r="G3391" s="5">
        <v>12.35</v>
      </c>
    </row>
    <row r="3392" spans="1:7" x14ac:dyDescent="0.2">
      <c r="A3392" s="3">
        <v>20160</v>
      </c>
      <c r="B3392" s="2">
        <v>248976</v>
      </c>
      <c r="C3392" s="38">
        <v>45005</v>
      </c>
      <c r="D3392" s="1" t="s">
        <v>52</v>
      </c>
      <c r="E3392" s="1" t="s">
        <v>34</v>
      </c>
      <c r="F3392" s="1" t="s">
        <v>201</v>
      </c>
      <c r="G3392" s="5">
        <v>12.35</v>
      </c>
    </row>
    <row r="3393" spans="1:7" x14ac:dyDescent="0.2">
      <c r="A3393" s="3">
        <v>20160</v>
      </c>
      <c r="B3393" s="2">
        <v>248976</v>
      </c>
      <c r="C3393" s="38">
        <v>45005</v>
      </c>
      <c r="D3393" s="1" t="s">
        <v>52</v>
      </c>
      <c r="E3393" s="1" t="s">
        <v>34</v>
      </c>
      <c r="F3393" s="1" t="s">
        <v>201</v>
      </c>
      <c r="G3393" s="5">
        <v>12.35</v>
      </c>
    </row>
    <row r="3394" spans="1:7" x14ac:dyDescent="0.2">
      <c r="A3394" s="3">
        <v>13440</v>
      </c>
      <c r="B3394" s="2">
        <v>165984</v>
      </c>
      <c r="C3394" s="38">
        <v>45005</v>
      </c>
      <c r="D3394" s="1" t="s">
        <v>52</v>
      </c>
      <c r="E3394" s="1" t="s">
        <v>34</v>
      </c>
      <c r="F3394" s="1" t="s">
        <v>201</v>
      </c>
      <c r="G3394" s="5">
        <v>12.35</v>
      </c>
    </row>
    <row r="3395" spans="1:7" x14ac:dyDescent="0.2">
      <c r="A3395" s="3">
        <v>73305</v>
      </c>
      <c r="B3395" s="2">
        <v>905316.75</v>
      </c>
      <c r="C3395" s="38">
        <v>45005</v>
      </c>
      <c r="D3395" s="1" t="s">
        <v>51</v>
      </c>
      <c r="E3395" s="1" t="s">
        <v>34</v>
      </c>
      <c r="F3395" s="1" t="s">
        <v>201</v>
      </c>
      <c r="G3395" s="5">
        <v>12.35</v>
      </c>
    </row>
    <row r="3396" spans="1:7" x14ac:dyDescent="0.2">
      <c r="A3396" s="3">
        <v>60480</v>
      </c>
      <c r="B3396" s="2">
        <v>746928</v>
      </c>
      <c r="C3396" s="38">
        <v>45005</v>
      </c>
      <c r="D3396" s="1" t="s">
        <v>51</v>
      </c>
      <c r="E3396" s="1" t="s">
        <v>34</v>
      </c>
      <c r="F3396" s="1" t="s">
        <v>201</v>
      </c>
      <c r="G3396" s="5">
        <v>12.35</v>
      </c>
    </row>
    <row r="3397" spans="1:7" x14ac:dyDescent="0.2">
      <c r="A3397" s="3">
        <v>33600</v>
      </c>
      <c r="B3397" s="2">
        <v>414960</v>
      </c>
      <c r="C3397" s="38">
        <v>45005</v>
      </c>
      <c r="D3397" s="1" t="s">
        <v>51</v>
      </c>
      <c r="E3397" s="1" t="s">
        <v>34</v>
      </c>
      <c r="F3397" s="1" t="s">
        <v>201</v>
      </c>
      <c r="G3397" s="5">
        <v>12.35</v>
      </c>
    </row>
    <row r="3398" spans="1:7" x14ac:dyDescent="0.2">
      <c r="A3398" s="3">
        <v>40320</v>
      </c>
      <c r="B3398" s="2">
        <v>497952</v>
      </c>
      <c r="C3398" s="38">
        <v>45005</v>
      </c>
      <c r="D3398" s="1" t="s">
        <v>51</v>
      </c>
      <c r="E3398" s="1" t="s">
        <v>34</v>
      </c>
      <c r="F3398" s="1" t="s">
        <v>201</v>
      </c>
      <c r="G3398" s="5">
        <v>12.35</v>
      </c>
    </row>
    <row r="3399" spans="1:7" x14ac:dyDescent="0.2">
      <c r="A3399" s="3">
        <v>26880</v>
      </c>
      <c r="B3399" s="2">
        <v>331968</v>
      </c>
      <c r="C3399" s="38">
        <v>45007</v>
      </c>
      <c r="D3399" s="1" t="s">
        <v>52</v>
      </c>
      <c r="E3399" s="1" t="s">
        <v>34</v>
      </c>
      <c r="F3399" s="1" t="s">
        <v>201</v>
      </c>
      <c r="G3399" s="5">
        <v>12.35</v>
      </c>
    </row>
    <row r="3400" spans="1:7" x14ac:dyDescent="0.2">
      <c r="A3400" s="3">
        <v>26880</v>
      </c>
      <c r="B3400" s="2">
        <v>331968</v>
      </c>
      <c r="C3400" s="38">
        <v>45007</v>
      </c>
      <c r="D3400" s="1" t="s">
        <v>52</v>
      </c>
      <c r="E3400" s="1" t="s">
        <v>34</v>
      </c>
      <c r="F3400" s="1" t="s">
        <v>201</v>
      </c>
      <c r="G3400" s="5">
        <v>12.35</v>
      </c>
    </row>
    <row r="3401" spans="1:7" x14ac:dyDescent="0.2">
      <c r="A3401" s="3">
        <v>40320</v>
      </c>
      <c r="B3401" s="2">
        <v>497952</v>
      </c>
      <c r="C3401" s="38">
        <v>45007</v>
      </c>
      <c r="D3401" s="1" t="s">
        <v>51</v>
      </c>
      <c r="E3401" s="1" t="s">
        <v>34</v>
      </c>
      <c r="F3401" s="1" t="s">
        <v>201</v>
      </c>
      <c r="G3401" s="5">
        <v>12.35</v>
      </c>
    </row>
    <row r="3402" spans="1:7" x14ac:dyDescent="0.2">
      <c r="A3402" s="3">
        <v>53760</v>
      </c>
      <c r="B3402" s="2">
        <v>663936</v>
      </c>
      <c r="C3402" s="38">
        <v>45007</v>
      </c>
      <c r="D3402" s="1" t="s">
        <v>51</v>
      </c>
      <c r="E3402" s="1" t="s">
        <v>34</v>
      </c>
      <c r="F3402" s="1" t="s">
        <v>201</v>
      </c>
      <c r="G3402" s="5">
        <v>12.35</v>
      </c>
    </row>
    <row r="3403" spans="1:7" x14ac:dyDescent="0.2">
      <c r="A3403" s="3">
        <v>13440</v>
      </c>
      <c r="B3403" s="2">
        <v>165984</v>
      </c>
      <c r="C3403" s="38">
        <v>45016</v>
      </c>
      <c r="D3403" s="1" t="s">
        <v>52</v>
      </c>
      <c r="E3403" s="1" t="s">
        <v>34</v>
      </c>
      <c r="F3403" s="1" t="s">
        <v>201</v>
      </c>
      <c r="G3403" s="5">
        <v>12.35</v>
      </c>
    </row>
    <row r="3404" spans="1:7" x14ac:dyDescent="0.2">
      <c r="A3404" s="3">
        <v>33600</v>
      </c>
      <c r="B3404" s="2">
        <v>414960</v>
      </c>
      <c r="C3404" s="38">
        <v>45016</v>
      </c>
      <c r="D3404" s="1" t="s">
        <v>51</v>
      </c>
      <c r="E3404" s="1" t="s">
        <v>34</v>
      </c>
      <c r="F3404" s="1" t="s">
        <v>201</v>
      </c>
      <c r="G3404" s="5">
        <v>12.35</v>
      </c>
    </row>
    <row r="3405" spans="1:7" x14ac:dyDescent="0.2">
      <c r="A3405" s="3">
        <v>20160</v>
      </c>
      <c r="B3405" s="2">
        <v>248976</v>
      </c>
      <c r="C3405" s="38">
        <v>45029</v>
      </c>
      <c r="D3405" s="1" t="s">
        <v>52</v>
      </c>
      <c r="E3405" s="1" t="s">
        <v>34</v>
      </c>
      <c r="F3405" s="1" t="s">
        <v>201</v>
      </c>
      <c r="G3405" s="5">
        <v>12.35</v>
      </c>
    </row>
    <row r="3406" spans="1:7" x14ac:dyDescent="0.2">
      <c r="A3406" s="3">
        <v>20160</v>
      </c>
      <c r="B3406" s="2">
        <v>248976</v>
      </c>
      <c r="C3406" s="38">
        <v>45029</v>
      </c>
      <c r="D3406" s="1" t="s">
        <v>52</v>
      </c>
      <c r="E3406" s="1" t="s">
        <v>34</v>
      </c>
      <c r="F3406" s="1" t="s">
        <v>201</v>
      </c>
      <c r="G3406" s="5">
        <v>12.35</v>
      </c>
    </row>
    <row r="3407" spans="1:7" x14ac:dyDescent="0.2">
      <c r="A3407" s="3">
        <v>40320</v>
      </c>
      <c r="B3407" s="2">
        <v>497952</v>
      </c>
      <c r="C3407" s="38">
        <v>45029</v>
      </c>
      <c r="D3407" s="1" t="s">
        <v>51</v>
      </c>
      <c r="E3407" s="1" t="s">
        <v>34</v>
      </c>
      <c r="F3407" s="1" t="s">
        <v>201</v>
      </c>
      <c r="G3407" s="5">
        <v>12.35</v>
      </c>
    </row>
    <row r="3408" spans="1:7" x14ac:dyDescent="0.2">
      <c r="A3408" s="3">
        <v>33600</v>
      </c>
      <c r="B3408" s="2">
        <v>414960</v>
      </c>
      <c r="C3408" s="38">
        <v>45029</v>
      </c>
      <c r="D3408" s="1" t="s">
        <v>51</v>
      </c>
      <c r="E3408" s="1" t="s">
        <v>34</v>
      </c>
      <c r="F3408" s="1" t="s">
        <v>201</v>
      </c>
      <c r="G3408" s="5">
        <v>12.35</v>
      </c>
    </row>
    <row r="3409" spans="1:7" x14ac:dyDescent="0.2">
      <c r="A3409" s="3">
        <v>13440</v>
      </c>
      <c r="B3409" s="2">
        <v>165984</v>
      </c>
      <c r="C3409" s="38">
        <v>45041</v>
      </c>
      <c r="D3409" s="1" t="s">
        <v>52</v>
      </c>
      <c r="E3409" s="1" t="s">
        <v>34</v>
      </c>
      <c r="F3409" s="1" t="s">
        <v>201</v>
      </c>
      <c r="G3409" s="5">
        <v>12.35</v>
      </c>
    </row>
    <row r="3410" spans="1:7" x14ac:dyDescent="0.2">
      <c r="A3410" s="3">
        <v>26880</v>
      </c>
      <c r="B3410" s="2">
        <v>331968</v>
      </c>
      <c r="C3410" s="38">
        <v>45041</v>
      </c>
      <c r="D3410" s="1" t="s">
        <v>51</v>
      </c>
      <c r="E3410" s="1" t="s">
        <v>34</v>
      </c>
      <c r="F3410" s="1" t="s">
        <v>201</v>
      </c>
      <c r="G3410" s="5">
        <v>12.35</v>
      </c>
    </row>
    <row r="3411" spans="1:7" x14ac:dyDescent="0.2">
      <c r="A3411" s="3">
        <v>26880</v>
      </c>
      <c r="B3411" s="2">
        <v>331968</v>
      </c>
      <c r="C3411" s="38">
        <v>45043</v>
      </c>
      <c r="D3411" s="1" t="s">
        <v>52</v>
      </c>
      <c r="E3411" s="1" t="s">
        <v>34</v>
      </c>
      <c r="F3411" s="1" t="s">
        <v>201</v>
      </c>
      <c r="G3411" s="5">
        <v>12.35</v>
      </c>
    </row>
    <row r="3412" spans="1:7" x14ac:dyDescent="0.2">
      <c r="A3412" s="3">
        <v>47040</v>
      </c>
      <c r="B3412" s="2">
        <v>580944</v>
      </c>
      <c r="C3412" s="38">
        <v>45043</v>
      </c>
      <c r="D3412" s="1" t="s">
        <v>51</v>
      </c>
      <c r="E3412" s="1" t="s">
        <v>34</v>
      </c>
      <c r="F3412" s="1" t="s">
        <v>201</v>
      </c>
      <c r="G3412" s="5">
        <v>12.35</v>
      </c>
    </row>
    <row r="3413" spans="1:7" x14ac:dyDescent="0.2">
      <c r="A3413" s="3">
        <v>26880</v>
      </c>
      <c r="B3413" s="2">
        <v>331968</v>
      </c>
      <c r="C3413" s="38">
        <v>45051</v>
      </c>
      <c r="D3413" s="1" t="s">
        <v>52</v>
      </c>
      <c r="E3413" s="1" t="s">
        <v>34</v>
      </c>
      <c r="F3413" s="1" t="s">
        <v>201</v>
      </c>
      <c r="G3413" s="5">
        <v>12.35</v>
      </c>
    </row>
    <row r="3414" spans="1:7" x14ac:dyDescent="0.2">
      <c r="A3414" s="3">
        <v>60480</v>
      </c>
      <c r="B3414" s="2">
        <v>746928</v>
      </c>
      <c r="C3414" s="38">
        <v>45051</v>
      </c>
      <c r="D3414" s="1" t="s">
        <v>51</v>
      </c>
      <c r="E3414" s="1" t="s">
        <v>34</v>
      </c>
      <c r="F3414" s="1" t="s">
        <v>201</v>
      </c>
      <c r="G3414" s="5">
        <v>12.35</v>
      </c>
    </row>
    <row r="3415" spans="1:7" x14ac:dyDescent="0.2">
      <c r="A3415" s="3">
        <v>26880</v>
      </c>
      <c r="B3415" s="2">
        <v>331968</v>
      </c>
      <c r="C3415" s="38">
        <v>45062</v>
      </c>
      <c r="D3415" s="1" t="s">
        <v>52</v>
      </c>
      <c r="E3415" s="1" t="s">
        <v>34</v>
      </c>
      <c r="F3415" s="1" t="s">
        <v>201</v>
      </c>
      <c r="G3415" s="5">
        <v>12.35</v>
      </c>
    </row>
    <row r="3416" spans="1:7" x14ac:dyDescent="0.2">
      <c r="A3416" s="3">
        <v>53760</v>
      </c>
      <c r="B3416" s="2">
        <v>663936</v>
      </c>
      <c r="C3416" s="38">
        <v>45062</v>
      </c>
      <c r="D3416" s="1" t="s">
        <v>51</v>
      </c>
      <c r="E3416" s="1" t="s">
        <v>34</v>
      </c>
      <c r="F3416" s="1" t="s">
        <v>201</v>
      </c>
      <c r="G3416" s="5">
        <v>12.35</v>
      </c>
    </row>
    <row r="3417" spans="1:7" x14ac:dyDescent="0.2">
      <c r="A3417" s="3">
        <v>26880</v>
      </c>
      <c r="B3417" s="2">
        <v>331968</v>
      </c>
      <c r="C3417" s="38">
        <v>45063</v>
      </c>
      <c r="D3417" s="1" t="s">
        <v>52</v>
      </c>
      <c r="E3417" s="1" t="s">
        <v>34</v>
      </c>
      <c r="F3417" s="1" t="s">
        <v>201</v>
      </c>
      <c r="G3417" s="5">
        <v>12.35</v>
      </c>
    </row>
    <row r="3418" spans="1:7" x14ac:dyDescent="0.2">
      <c r="A3418" s="3">
        <v>67200</v>
      </c>
      <c r="B3418" s="2">
        <v>829920</v>
      </c>
      <c r="C3418" s="38">
        <v>45063</v>
      </c>
      <c r="D3418" s="1" t="s">
        <v>51</v>
      </c>
      <c r="E3418" s="1" t="s">
        <v>34</v>
      </c>
      <c r="F3418" s="1" t="s">
        <v>201</v>
      </c>
      <c r="G3418" s="5">
        <v>12.35</v>
      </c>
    </row>
    <row r="3419" spans="1:7" x14ac:dyDescent="0.2">
      <c r="A3419" s="3">
        <v>20160</v>
      </c>
      <c r="B3419" s="2">
        <v>248976</v>
      </c>
      <c r="C3419" s="38">
        <v>45068</v>
      </c>
      <c r="D3419" s="1" t="s">
        <v>52</v>
      </c>
      <c r="E3419" s="1" t="s">
        <v>34</v>
      </c>
      <c r="F3419" s="1" t="s">
        <v>201</v>
      </c>
      <c r="G3419" s="5">
        <v>12.35</v>
      </c>
    </row>
    <row r="3420" spans="1:7" x14ac:dyDescent="0.2">
      <c r="A3420" s="3">
        <v>33600</v>
      </c>
      <c r="B3420" s="2">
        <v>414960</v>
      </c>
      <c r="C3420" s="38">
        <v>45068</v>
      </c>
      <c r="D3420" s="1" t="s">
        <v>51</v>
      </c>
      <c r="E3420" s="1" t="s">
        <v>34</v>
      </c>
      <c r="F3420" s="1" t="s">
        <v>201</v>
      </c>
      <c r="G3420" s="5">
        <v>12.35</v>
      </c>
    </row>
    <row r="3421" spans="1:7" x14ac:dyDescent="0.2">
      <c r="A3421" s="3">
        <v>20160</v>
      </c>
      <c r="B3421" s="2">
        <v>248976</v>
      </c>
      <c r="C3421" s="38">
        <v>45092</v>
      </c>
      <c r="D3421" s="1" t="s">
        <v>52</v>
      </c>
      <c r="E3421" s="1" t="s">
        <v>34</v>
      </c>
      <c r="F3421" s="1" t="s">
        <v>201</v>
      </c>
      <c r="G3421" s="5">
        <v>12.35</v>
      </c>
    </row>
    <row r="3422" spans="1:7" x14ac:dyDescent="0.2">
      <c r="A3422" s="3">
        <v>6720</v>
      </c>
      <c r="B3422" s="2">
        <v>82992</v>
      </c>
      <c r="C3422" s="38">
        <v>45092</v>
      </c>
      <c r="D3422" s="1" t="s">
        <v>52</v>
      </c>
      <c r="E3422" s="1" t="s">
        <v>34</v>
      </c>
      <c r="F3422" s="1" t="s">
        <v>201</v>
      </c>
      <c r="G3422" s="5">
        <v>12.35</v>
      </c>
    </row>
    <row r="3423" spans="1:7" x14ac:dyDescent="0.2">
      <c r="A3423" s="3">
        <v>40320</v>
      </c>
      <c r="B3423" s="2">
        <v>497952</v>
      </c>
      <c r="C3423" s="38">
        <v>45092</v>
      </c>
      <c r="D3423" s="1" t="s">
        <v>51</v>
      </c>
      <c r="E3423" s="1" t="s">
        <v>34</v>
      </c>
      <c r="F3423" s="1" t="s">
        <v>201</v>
      </c>
      <c r="G3423" s="5">
        <v>12.35</v>
      </c>
    </row>
    <row r="3424" spans="1:7" x14ac:dyDescent="0.2">
      <c r="A3424" s="3">
        <v>26880</v>
      </c>
      <c r="B3424" s="2">
        <v>331968</v>
      </c>
      <c r="C3424" s="38">
        <v>45092</v>
      </c>
      <c r="D3424" s="1" t="s">
        <v>51</v>
      </c>
      <c r="E3424" s="1" t="s">
        <v>34</v>
      </c>
      <c r="F3424" s="1" t="s">
        <v>201</v>
      </c>
      <c r="G3424" s="5">
        <v>12.35</v>
      </c>
    </row>
    <row r="3425" spans="1:7" x14ac:dyDescent="0.2">
      <c r="A3425" s="3">
        <v>13440</v>
      </c>
      <c r="B3425" s="2">
        <v>165984</v>
      </c>
      <c r="C3425" s="38">
        <v>45105</v>
      </c>
      <c r="D3425" s="1" t="s">
        <v>52</v>
      </c>
      <c r="E3425" s="1" t="s">
        <v>34</v>
      </c>
      <c r="F3425" s="1" t="s">
        <v>201</v>
      </c>
      <c r="G3425" s="5">
        <v>12.35</v>
      </c>
    </row>
    <row r="3426" spans="1:7" x14ac:dyDescent="0.2">
      <c r="A3426" s="3">
        <v>26880</v>
      </c>
      <c r="B3426" s="2">
        <v>331968</v>
      </c>
      <c r="C3426" s="38">
        <v>45105</v>
      </c>
      <c r="D3426" s="1" t="s">
        <v>51</v>
      </c>
      <c r="E3426" s="1" t="s">
        <v>34</v>
      </c>
      <c r="F3426" s="1" t="s">
        <v>201</v>
      </c>
      <c r="G3426" s="5">
        <v>12.35</v>
      </c>
    </row>
    <row r="3427" spans="1:7" x14ac:dyDescent="0.2">
      <c r="A3427" s="3">
        <v>6300</v>
      </c>
      <c r="B3427" s="2">
        <v>77805</v>
      </c>
      <c r="C3427" s="38">
        <v>45126</v>
      </c>
      <c r="D3427" s="1" t="s">
        <v>52</v>
      </c>
      <c r="E3427" s="1" t="s">
        <v>34</v>
      </c>
      <c r="F3427" s="1" t="s">
        <v>201</v>
      </c>
      <c r="G3427" s="5">
        <v>12.35</v>
      </c>
    </row>
    <row r="3428" spans="1:7" x14ac:dyDescent="0.2">
      <c r="A3428" s="3">
        <v>26880</v>
      </c>
      <c r="B3428" s="2">
        <v>331968</v>
      </c>
      <c r="C3428" s="38">
        <v>45127</v>
      </c>
      <c r="D3428" s="1" t="s">
        <v>52</v>
      </c>
      <c r="E3428" s="1" t="s">
        <v>34</v>
      </c>
      <c r="F3428" s="1" t="s">
        <v>201</v>
      </c>
      <c r="G3428" s="5">
        <v>12.35</v>
      </c>
    </row>
    <row r="3429" spans="1:7" x14ac:dyDescent="0.2">
      <c r="A3429" s="3">
        <v>20160</v>
      </c>
      <c r="B3429" s="2">
        <v>248976</v>
      </c>
      <c r="C3429" s="38">
        <v>45127</v>
      </c>
      <c r="D3429" s="1" t="s">
        <v>52</v>
      </c>
      <c r="E3429" s="1" t="s">
        <v>34</v>
      </c>
      <c r="F3429" s="1" t="s">
        <v>201</v>
      </c>
      <c r="G3429" s="5">
        <v>12.35</v>
      </c>
    </row>
    <row r="3430" spans="1:7" x14ac:dyDescent="0.2">
      <c r="A3430" s="3">
        <v>33600</v>
      </c>
      <c r="B3430" s="2">
        <v>414960</v>
      </c>
      <c r="C3430" s="38">
        <v>45127</v>
      </c>
      <c r="D3430" s="1" t="s">
        <v>51</v>
      </c>
      <c r="E3430" s="1" t="s">
        <v>34</v>
      </c>
      <c r="F3430" s="1" t="s">
        <v>201</v>
      </c>
      <c r="G3430" s="5">
        <v>12.35</v>
      </c>
    </row>
    <row r="3431" spans="1:7" x14ac:dyDescent="0.2">
      <c r="A3431" s="3">
        <v>80640</v>
      </c>
      <c r="B3431" s="2">
        <v>995904</v>
      </c>
      <c r="C3431" s="38">
        <v>45127</v>
      </c>
      <c r="D3431" s="1" t="s">
        <v>51</v>
      </c>
      <c r="E3431" s="1" t="s">
        <v>34</v>
      </c>
      <c r="F3431" s="1" t="s">
        <v>201</v>
      </c>
      <c r="G3431" s="5">
        <v>12.35</v>
      </c>
    </row>
    <row r="3432" spans="1:7" x14ac:dyDescent="0.2">
      <c r="A3432" s="3">
        <v>4900</v>
      </c>
      <c r="B3432" s="2">
        <v>60515</v>
      </c>
      <c r="C3432" s="38">
        <v>45135</v>
      </c>
      <c r="D3432" s="1" t="s">
        <v>52</v>
      </c>
      <c r="E3432" s="1" t="s">
        <v>34</v>
      </c>
      <c r="F3432" s="1" t="s">
        <v>201</v>
      </c>
      <c r="G3432" s="5">
        <v>12.35</v>
      </c>
    </row>
    <row r="3433" spans="1:7" x14ac:dyDescent="0.2">
      <c r="A3433" s="3">
        <v>13440</v>
      </c>
      <c r="B3433" s="2">
        <v>165984</v>
      </c>
      <c r="C3433" s="38">
        <v>45141</v>
      </c>
      <c r="D3433" s="1" t="s">
        <v>51</v>
      </c>
      <c r="E3433" s="1" t="s">
        <v>34</v>
      </c>
      <c r="F3433" s="1" t="s">
        <v>201</v>
      </c>
      <c r="G3433" s="5">
        <v>12.35</v>
      </c>
    </row>
    <row r="3434" spans="1:7" x14ac:dyDescent="0.2">
      <c r="A3434" s="3">
        <v>31948</v>
      </c>
      <c r="B3434" s="2">
        <v>394557.8</v>
      </c>
      <c r="C3434" s="38">
        <v>45147</v>
      </c>
      <c r="D3434" s="1" t="s">
        <v>52</v>
      </c>
      <c r="E3434" s="1" t="s">
        <v>34</v>
      </c>
      <c r="F3434" s="1" t="s">
        <v>201</v>
      </c>
      <c r="G3434" s="5">
        <v>12.35</v>
      </c>
    </row>
    <row r="3435" spans="1:7" x14ac:dyDescent="0.2">
      <c r="A3435" s="3">
        <v>47040</v>
      </c>
      <c r="B3435" s="2">
        <v>580944</v>
      </c>
      <c r="C3435" s="38">
        <v>45148</v>
      </c>
      <c r="D3435" s="1" t="s">
        <v>51</v>
      </c>
      <c r="E3435" s="1" t="s">
        <v>34</v>
      </c>
      <c r="F3435" s="1" t="s">
        <v>201</v>
      </c>
      <c r="G3435" s="5">
        <v>12.35</v>
      </c>
    </row>
    <row r="3436" spans="1:7" x14ac:dyDescent="0.2">
      <c r="A3436" s="3">
        <v>47628</v>
      </c>
      <c r="B3436" s="2">
        <v>588205.80000000005</v>
      </c>
      <c r="C3436" s="38">
        <v>45152</v>
      </c>
      <c r="D3436" s="1" t="s">
        <v>52</v>
      </c>
      <c r="E3436" s="1" t="s">
        <v>34</v>
      </c>
      <c r="F3436" s="1" t="s">
        <v>201</v>
      </c>
      <c r="G3436" s="5">
        <v>12.35</v>
      </c>
    </row>
    <row r="3437" spans="1:7" x14ac:dyDescent="0.2">
      <c r="A3437" s="3">
        <v>80500</v>
      </c>
      <c r="B3437" s="2">
        <v>994175</v>
      </c>
      <c r="C3437" s="38">
        <v>45152</v>
      </c>
      <c r="D3437" s="1" t="s">
        <v>51</v>
      </c>
      <c r="E3437" s="1" t="s">
        <v>34</v>
      </c>
      <c r="F3437" s="1" t="s">
        <v>201</v>
      </c>
      <c r="G3437" s="5">
        <v>12.35</v>
      </c>
    </row>
    <row r="3438" spans="1:7" x14ac:dyDescent="0.2">
      <c r="A3438" s="3">
        <v>6720</v>
      </c>
      <c r="B3438" s="2">
        <v>82992</v>
      </c>
      <c r="C3438" s="38">
        <v>45153</v>
      </c>
      <c r="D3438" s="1" t="s">
        <v>51</v>
      </c>
      <c r="E3438" s="1" t="s">
        <v>34</v>
      </c>
      <c r="F3438" s="1" t="s">
        <v>201</v>
      </c>
      <c r="G3438" s="5">
        <v>12.35</v>
      </c>
    </row>
    <row r="3439" spans="1:7" x14ac:dyDescent="0.2">
      <c r="A3439" s="3">
        <v>4116</v>
      </c>
      <c r="B3439" s="2">
        <v>50832.6</v>
      </c>
      <c r="C3439" s="38">
        <v>45180</v>
      </c>
      <c r="D3439" s="1" t="s">
        <v>52</v>
      </c>
      <c r="E3439" s="1" t="s">
        <v>34</v>
      </c>
      <c r="F3439" s="1" t="s">
        <v>201</v>
      </c>
      <c r="G3439" s="5">
        <v>12.35</v>
      </c>
    </row>
    <row r="3440" spans="1:7" x14ac:dyDescent="0.2">
      <c r="A3440" s="3">
        <v>14896</v>
      </c>
      <c r="B3440" s="2">
        <v>183965.6</v>
      </c>
      <c r="C3440" s="38">
        <v>45180</v>
      </c>
      <c r="D3440" s="1" t="s">
        <v>51</v>
      </c>
      <c r="E3440" s="1" t="s">
        <v>34</v>
      </c>
      <c r="F3440" s="1" t="s">
        <v>201</v>
      </c>
      <c r="G3440" s="5">
        <v>12.35</v>
      </c>
    </row>
    <row r="3441" spans="1:7" x14ac:dyDescent="0.2">
      <c r="A3441" s="3">
        <v>29</v>
      </c>
      <c r="B3441" s="2">
        <v>130726.2</v>
      </c>
      <c r="C3441" s="38">
        <v>44686</v>
      </c>
      <c r="D3441" s="1" t="s">
        <v>142</v>
      </c>
      <c r="E3441" s="1" t="s">
        <v>37</v>
      </c>
      <c r="F3441" s="1" t="s">
        <v>214</v>
      </c>
      <c r="G3441" s="5">
        <v>4507.8</v>
      </c>
    </row>
    <row r="3442" spans="1:7" x14ac:dyDescent="0.2">
      <c r="A3442" s="3">
        <v>6</v>
      </c>
      <c r="B3442" s="2">
        <v>27046.799999999999</v>
      </c>
      <c r="C3442" s="38">
        <v>44678</v>
      </c>
      <c r="D3442" s="1" t="s">
        <v>142</v>
      </c>
      <c r="E3442" s="1" t="s">
        <v>37</v>
      </c>
      <c r="F3442" s="1" t="s">
        <v>214</v>
      </c>
      <c r="G3442" s="5">
        <v>4507.8</v>
      </c>
    </row>
    <row r="3443" spans="1:7" x14ac:dyDescent="0.2">
      <c r="A3443" s="3">
        <v>35</v>
      </c>
      <c r="B3443" s="2">
        <v>197216.25</v>
      </c>
      <c r="C3443" s="38">
        <v>44504</v>
      </c>
      <c r="D3443" s="1" t="s">
        <v>182</v>
      </c>
      <c r="E3443" s="1" t="s">
        <v>37</v>
      </c>
      <c r="F3443" s="1" t="s">
        <v>214</v>
      </c>
      <c r="G3443" s="5">
        <v>5634.75</v>
      </c>
    </row>
    <row r="3444" spans="1:7" x14ac:dyDescent="0.2">
      <c r="A3444" s="3">
        <v>84</v>
      </c>
      <c r="B3444" s="2">
        <v>20061.72</v>
      </c>
      <c r="C3444" s="38">
        <v>44946</v>
      </c>
      <c r="D3444" s="1" t="s">
        <v>167</v>
      </c>
      <c r="E3444" s="1" t="s">
        <v>39</v>
      </c>
      <c r="F3444" s="1" t="s">
        <v>222</v>
      </c>
      <c r="G3444" s="5">
        <v>238.83</v>
      </c>
    </row>
    <row r="3445" spans="1:7" x14ac:dyDescent="0.2">
      <c r="A3445" s="3">
        <v>13720</v>
      </c>
      <c r="B3445" s="2">
        <v>5903.72</v>
      </c>
      <c r="C3445" s="38">
        <v>44788</v>
      </c>
      <c r="D3445" s="1" t="s">
        <v>91</v>
      </c>
      <c r="E3445" s="1" t="s">
        <v>35</v>
      </c>
      <c r="F3445" s="1" t="s">
        <v>205</v>
      </c>
      <c r="G3445" s="5">
        <v>0.43030000000000002</v>
      </c>
    </row>
    <row r="3446" spans="1:7" x14ac:dyDescent="0.2">
      <c r="A3446" s="3">
        <v>378</v>
      </c>
      <c r="B3446" s="2">
        <v>13218.66</v>
      </c>
      <c r="C3446" s="38">
        <v>45154</v>
      </c>
      <c r="D3446" s="1" t="s">
        <v>96</v>
      </c>
      <c r="E3446" s="1" t="s">
        <v>40</v>
      </c>
      <c r="F3446" s="1" t="s">
        <v>206</v>
      </c>
      <c r="G3446" s="5">
        <v>34.97</v>
      </c>
    </row>
    <row r="3447" spans="1:7" x14ac:dyDescent="0.2">
      <c r="A3447" s="3">
        <v>189</v>
      </c>
      <c r="B3447" s="2">
        <v>6265.35</v>
      </c>
      <c r="C3447" s="38">
        <v>44790</v>
      </c>
      <c r="D3447" s="1" t="s">
        <v>96</v>
      </c>
      <c r="E3447" s="1" t="s">
        <v>40</v>
      </c>
      <c r="F3447" s="1" t="s">
        <v>206</v>
      </c>
      <c r="G3447" s="5">
        <v>33.15</v>
      </c>
    </row>
    <row r="3448" spans="1:7" x14ac:dyDescent="0.2">
      <c r="A3448" s="3">
        <v>189</v>
      </c>
      <c r="B3448" s="2">
        <v>6265.35</v>
      </c>
      <c r="C3448" s="38">
        <v>44790</v>
      </c>
      <c r="D3448" s="1" t="s">
        <v>96</v>
      </c>
      <c r="E3448" s="1" t="s">
        <v>40</v>
      </c>
      <c r="F3448" s="1" t="s">
        <v>206</v>
      </c>
      <c r="G3448" s="5">
        <v>33.15</v>
      </c>
    </row>
    <row r="3449" spans="1:7" x14ac:dyDescent="0.2">
      <c r="A3449" s="3">
        <v>78</v>
      </c>
      <c r="B3449" s="2">
        <v>2585.6999999999998</v>
      </c>
      <c r="C3449" s="38">
        <v>44791</v>
      </c>
      <c r="D3449" s="1" t="s">
        <v>96</v>
      </c>
      <c r="E3449" s="1" t="s">
        <v>40</v>
      </c>
      <c r="F3449" s="1" t="s">
        <v>206</v>
      </c>
      <c r="G3449" s="5">
        <v>33.15</v>
      </c>
    </row>
    <row r="3450" spans="1:7" x14ac:dyDescent="0.2">
      <c r="A3450" s="3">
        <v>189</v>
      </c>
      <c r="B3450" s="2">
        <v>6609.33</v>
      </c>
      <c r="C3450" s="38">
        <v>45160</v>
      </c>
      <c r="D3450" s="1" t="s">
        <v>96</v>
      </c>
      <c r="E3450" s="1" t="s">
        <v>40</v>
      </c>
      <c r="F3450" s="1" t="s">
        <v>206</v>
      </c>
      <c r="G3450" s="5">
        <v>34.97</v>
      </c>
    </row>
    <row r="3451" spans="1:7" x14ac:dyDescent="0.2">
      <c r="A3451" s="3">
        <v>189</v>
      </c>
      <c r="B3451" s="2">
        <v>6265.35</v>
      </c>
      <c r="C3451" s="38">
        <v>44817</v>
      </c>
      <c r="D3451" s="1" t="s">
        <v>96</v>
      </c>
      <c r="E3451" s="1" t="s">
        <v>40</v>
      </c>
      <c r="F3451" s="1" t="s">
        <v>206</v>
      </c>
      <c r="G3451" s="5">
        <v>33.15</v>
      </c>
    </row>
    <row r="3452" spans="1:7" x14ac:dyDescent="0.2">
      <c r="A3452" s="3">
        <v>111</v>
      </c>
      <c r="B3452" s="2">
        <v>3679.65</v>
      </c>
      <c r="C3452" s="38">
        <v>44817</v>
      </c>
      <c r="D3452" s="1" t="s">
        <v>96</v>
      </c>
      <c r="E3452" s="1" t="s">
        <v>40</v>
      </c>
      <c r="F3452" s="1" t="s">
        <v>206</v>
      </c>
      <c r="G3452" s="5">
        <v>33.15</v>
      </c>
    </row>
    <row r="3453" spans="1:7" x14ac:dyDescent="0.2">
      <c r="A3453" s="3">
        <v>78</v>
      </c>
      <c r="B3453" s="2">
        <v>2585.6999999999998</v>
      </c>
      <c r="C3453" s="38">
        <v>44818</v>
      </c>
      <c r="D3453" s="1" t="s">
        <v>96</v>
      </c>
      <c r="E3453" s="1" t="s">
        <v>40</v>
      </c>
      <c r="F3453" s="1" t="s">
        <v>206</v>
      </c>
      <c r="G3453" s="5">
        <v>33.15</v>
      </c>
    </row>
    <row r="3454" spans="1:7" x14ac:dyDescent="0.2">
      <c r="A3454" s="3">
        <v>630</v>
      </c>
      <c r="B3454" s="2">
        <v>5701.5</v>
      </c>
      <c r="C3454" s="38">
        <v>44837</v>
      </c>
      <c r="D3454" s="1" t="s">
        <v>194</v>
      </c>
      <c r="E3454" s="1" t="s">
        <v>40</v>
      </c>
      <c r="F3454" s="1" t="s">
        <v>206</v>
      </c>
      <c r="G3454" s="5">
        <v>9.0500000000000007</v>
      </c>
    </row>
    <row r="3455" spans="1:7" x14ac:dyDescent="0.2">
      <c r="A3455" s="3">
        <v>630</v>
      </c>
      <c r="B3455" s="2">
        <v>5701.5</v>
      </c>
      <c r="C3455" s="38">
        <v>44837</v>
      </c>
      <c r="D3455" s="1" t="s">
        <v>194</v>
      </c>
      <c r="E3455" s="1" t="s">
        <v>40</v>
      </c>
      <c r="F3455" s="1" t="s">
        <v>206</v>
      </c>
      <c r="G3455" s="5">
        <v>9.0500000000000007</v>
      </c>
    </row>
    <row r="3456" spans="1:7" x14ac:dyDescent="0.2">
      <c r="A3456" s="3">
        <v>630</v>
      </c>
      <c r="B3456" s="2">
        <v>5701.5</v>
      </c>
      <c r="C3456" s="38">
        <v>44837</v>
      </c>
      <c r="D3456" s="1" t="s">
        <v>194</v>
      </c>
      <c r="E3456" s="1" t="s">
        <v>40</v>
      </c>
      <c r="F3456" s="1" t="s">
        <v>206</v>
      </c>
      <c r="G3456" s="5">
        <v>9.0500000000000007</v>
      </c>
    </row>
    <row r="3457" spans="1:7" x14ac:dyDescent="0.2">
      <c r="A3457" s="3">
        <v>630</v>
      </c>
      <c r="B3457" s="2">
        <v>5701.5</v>
      </c>
      <c r="C3457" s="38">
        <v>44837</v>
      </c>
      <c r="D3457" s="1" t="s">
        <v>194</v>
      </c>
      <c r="E3457" s="1" t="s">
        <v>40</v>
      </c>
      <c r="F3457" s="1" t="s">
        <v>206</v>
      </c>
      <c r="G3457" s="5">
        <v>9.0500000000000007</v>
      </c>
    </row>
    <row r="3458" spans="1:7" x14ac:dyDescent="0.2">
      <c r="A3458" s="3">
        <v>860</v>
      </c>
      <c r="B3458" s="2">
        <v>45072.6</v>
      </c>
      <c r="C3458" s="38">
        <v>44839</v>
      </c>
      <c r="D3458" s="1" t="s">
        <v>70</v>
      </c>
      <c r="E3458" s="1" t="s">
        <v>42</v>
      </c>
      <c r="F3458" s="1" t="s">
        <v>203</v>
      </c>
      <c r="G3458" s="5">
        <v>52.41</v>
      </c>
    </row>
    <row r="3459" spans="1:7" x14ac:dyDescent="0.2">
      <c r="A3459" s="3">
        <v>260</v>
      </c>
      <c r="B3459" s="2">
        <v>13626.6</v>
      </c>
      <c r="C3459" s="38">
        <v>44839</v>
      </c>
      <c r="D3459" s="1" t="s">
        <v>70</v>
      </c>
      <c r="E3459" s="1" t="s">
        <v>42</v>
      </c>
      <c r="F3459" s="1" t="s">
        <v>203</v>
      </c>
      <c r="G3459" s="5">
        <v>52.41</v>
      </c>
    </row>
    <row r="3460" spans="1:7" x14ac:dyDescent="0.2">
      <c r="A3460" s="3">
        <v>1120</v>
      </c>
      <c r="B3460" s="2">
        <v>58699.199999999997</v>
      </c>
      <c r="C3460" s="38">
        <v>44839</v>
      </c>
      <c r="D3460" s="1" t="s">
        <v>70</v>
      </c>
      <c r="E3460" s="1" t="s">
        <v>42</v>
      </c>
      <c r="F3460" s="1" t="s">
        <v>203</v>
      </c>
      <c r="G3460" s="5">
        <v>52.41</v>
      </c>
    </row>
    <row r="3461" spans="1:7" x14ac:dyDescent="0.2">
      <c r="A3461" s="3">
        <v>588</v>
      </c>
      <c r="B3461" s="2">
        <v>54666.36</v>
      </c>
      <c r="C3461" s="38">
        <v>44839</v>
      </c>
      <c r="D3461" s="1" t="s">
        <v>84</v>
      </c>
      <c r="E3461" s="1" t="s">
        <v>42</v>
      </c>
      <c r="F3461" s="1" t="s">
        <v>203</v>
      </c>
      <c r="G3461" s="5">
        <v>92.97</v>
      </c>
    </row>
    <row r="3462" spans="1:7" x14ac:dyDescent="0.2">
      <c r="A3462" s="3">
        <v>630</v>
      </c>
      <c r="B3462" s="2">
        <v>5701.5</v>
      </c>
      <c r="C3462" s="38">
        <v>44841</v>
      </c>
      <c r="D3462" s="1" t="s">
        <v>194</v>
      </c>
      <c r="E3462" s="1" t="s">
        <v>40</v>
      </c>
      <c r="F3462" s="1" t="s">
        <v>206</v>
      </c>
      <c r="G3462" s="5">
        <v>9.0500000000000007</v>
      </c>
    </row>
    <row r="3463" spans="1:7" x14ac:dyDescent="0.2">
      <c r="A3463" s="3">
        <v>6860</v>
      </c>
      <c r="B3463" s="2">
        <v>2951.86</v>
      </c>
      <c r="C3463" s="38">
        <v>44852</v>
      </c>
      <c r="D3463" s="1" t="s">
        <v>91</v>
      </c>
      <c r="E3463" s="1" t="s">
        <v>35</v>
      </c>
      <c r="F3463" s="1" t="s">
        <v>205</v>
      </c>
      <c r="G3463" s="5">
        <v>0.43030000000000002</v>
      </c>
    </row>
    <row r="3464" spans="1:7" x14ac:dyDescent="0.2">
      <c r="A3464" s="3">
        <v>3430</v>
      </c>
      <c r="B3464" s="2">
        <v>1475.93</v>
      </c>
      <c r="C3464" s="38">
        <v>44575</v>
      </c>
      <c r="D3464" s="1" t="s">
        <v>91</v>
      </c>
      <c r="E3464" s="1" t="s">
        <v>41</v>
      </c>
      <c r="F3464" s="1" t="s">
        <v>219</v>
      </c>
      <c r="G3464" s="5">
        <v>0.43030000000000002</v>
      </c>
    </row>
    <row r="3465" spans="1:7" x14ac:dyDescent="0.2">
      <c r="A3465" s="3">
        <v>3430</v>
      </c>
      <c r="B3465" s="2">
        <v>1475.93</v>
      </c>
      <c r="C3465" s="38">
        <v>44575</v>
      </c>
      <c r="D3465" s="1" t="s">
        <v>91</v>
      </c>
      <c r="E3465" s="1" t="s">
        <v>41</v>
      </c>
      <c r="F3465" s="1" t="s">
        <v>219</v>
      </c>
      <c r="G3465" s="5">
        <v>0.43030000000000002</v>
      </c>
    </row>
    <row r="3466" spans="1:7" x14ac:dyDescent="0.2">
      <c r="A3466" s="3">
        <v>3430</v>
      </c>
      <c r="B3466" s="2">
        <v>1475.93</v>
      </c>
      <c r="C3466" s="38">
        <v>44575</v>
      </c>
      <c r="D3466" s="1" t="s">
        <v>91</v>
      </c>
      <c r="E3466" s="1" t="s">
        <v>41</v>
      </c>
      <c r="F3466" s="1" t="s">
        <v>219</v>
      </c>
      <c r="G3466" s="5">
        <v>0.43030000000000002</v>
      </c>
    </row>
    <row r="3467" spans="1:7" x14ac:dyDescent="0.2">
      <c r="A3467" s="3">
        <v>504</v>
      </c>
      <c r="B3467" s="2">
        <v>22478.400000000001</v>
      </c>
      <c r="C3467" s="38">
        <v>44575</v>
      </c>
      <c r="D3467" s="1" t="s">
        <v>82</v>
      </c>
      <c r="E3467" s="1" t="s">
        <v>41</v>
      </c>
      <c r="F3467" s="1" t="s">
        <v>219</v>
      </c>
      <c r="G3467" s="5">
        <v>44.6</v>
      </c>
    </row>
    <row r="3468" spans="1:7" x14ac:dyDescent="0.2">
      <c r="A3468" s="3">
        <v>300</v>
      </c>
      <c r="B3468" s="2">
        <v>10491</v>
      </c>
      <c r="C3468" s="38">
        <v>44944</v>
      </c>
      <c r="D3468" s="1" t="s">
        <v>96</v>
      </c>
      <c r="E3468" s="1" t="s">
        <v>40</v>
      </c>
      <c r="F3468" s="1" t="s">
        <v>206</v>
      </c>
      <c r="G3468" s="5">
        <v>34.97</v>
      </c>
    </row>
    <row r="3469" spans="1:7" x14ac:dyDescent="0.2">
      <c r="A3469" s="3">
        <v>189</v>
      </c>
      <c r="B3469" s="2">
        <v>6609.33</v>
      </c>
      <c r="C3469" s="38">
        <v>44944</v>
      </c>
      <c r="D3469" s="1" t="s">
        <v>96</v>
      </c>
      <c r="E3469" s="1" t="s">
        <v>40</v>
      </c>
      <c r="F3469" s="1" t="s">
        <v>206</v>
      </c>
      <c r="G3469" s="5">
        <v>34.97</v>
      </c>
    </row>
    <row r="3470" spans="1:7" x14ac:dyDescent="0.2">
      <c r="A3470" s="3">
        <v>140</v>
      </c>
      <c r="B3470" s="2">
        <v>2214.8000000000002</v>
      </c>
      <c r="C3470" s="38">
        <v>44852</v>
      </c>
      <c r="D3470" s="1" t="s">
        <v>195</v>
      </c>
      <c r="E3470" s="1" t="s">
        <v>35</v>
      </c>
      <c r="F3470" s="1" t="s">
        <v>205</v>
      </c>
      <c r="G3470" s="5">
        <v>15.82</v>
      </c>
    </row>
    <row r="3471" spans="1:7" x14ac:dyDescent="0.2">
      <c r="A3471" s="3">
        <v>5000</v>
      </c>
      <c r="B3471" s="2">
        <v>74800</v>
      </c>
      <c r="C3471" s="38">
        <v>44852</v>
      </c>
      <c r="D3471" s="1" t="s">
        <v>93</v>
      </c>
      <c r="E3471" s="1" t="s">
        <v>35</v>
      </c>
      <c r="F3471" s="1" t="s">
        <v>205</v>
      </c>
      <c r="G3471" s="5">
        <v>14.96</v>
      </c>
    </row>
    <row r="3472" spans="1:7" x14ac:dyDescent="0.2">
      <c r="A3472" s="3">
        <v>5000</v>
      </c>
      <c r="B3472" s="2">
        <v>74800</v>
      </c>
      <c r="C3472" s="38">
        <v>44852</v>
      </c>
      <c r="D3472" s="1" t="s">
        <v>93</v>
      </c>
      <c r="E3472" s="1" t="s">
        <v>35</v>
      </c>
      <c r="F3472" s="1" t="s">
        <v>205</v>
      </c>
      <c r="G3472" s="5">
        <v>14.96</v>
      </c>
    </row>
    <row r="3473" spans="1:7" x14ac:dyDescent="0.2">
      <c r="A3473" s="3">
        <v>5000</v>
      </c>
      <c r="B3473" s="2">
        <v>74800</v>
      </c>
      <c r="C3473" s="38">
        <v>44852</v>
      </c>
      <c r="D3473" s="1" t="s">
        <v>93</v>
      </c>
      <c r="E3473" s="1" t="s">
        <v>35</v>
      </c>
      <c r="F3473" s="1" t="s">
        <v>205</v>
      </c>
      <c r="G3473" s="5">
        <v>14.96</v>
      </c>
    </row>
    <row r="3474" spans="1:7" x14ac:dyDescent="0.2">
      <c r="A3474" s="3">
        <v>260</v>
      </c>
      <c r="B3474" s="2">
        <v>3608.8</v>
      </c>
      <c r="C3474" s="38">
        <v>44866</v>
      </c>
      <c r="D3474" s="1" t="s">
        <v>59</v>
      </c>
      <c r="E3474" s="1" t="s">
        <v>42</v>
      </c>
      <c r="F3474" s="1" t="s">
        <v>203</v>
      </c>
      <c r="G3474" s="5">
        <v>13.88</v>
      </c>
    </row>
    <row r="3475" spans="1:7" x14ac:dyDescent="0.2">
      <c r="A3475" s="3">
        <v>2646</v>
      </c>
      <c r="B3475" s="2">
        <v>11721.78</v>
      </c>
      <c r="C3475" s="38">
        <v>44879</v>
      </c>
      <c r="D3475" s="1" t="s">
        <v>95</v>
      </c>
      <c r="E3475" s="1" t="s">
        <v>35</v>
      </c>
      <c r="F3475" s="1" t="s">
        <v>205</v>
      </c>
      <c r="G3475" s="5">
        <v>4.43</v>
      </c>
    </row>
    <row r="3476" spans="1:7" x14ac:dyDescent="0.2">
      <c r="A3476" s="3">
        <v>65</v>
      </c>
      <c r="B3476" s="2">
        <v>2154.75</v>
      </c>
      <c r="C3476" s="38">
        <v>44530</v>
      </c>
      <c r="D3476" s="1" t="s">
        <v>96</v>
      </c>
      <c r="E3476" s="1" t="s">
        <v>40</v>
      </c>
      <c r="F3476" s="1" t="s">
        <v>206</v>
      </c>
      <c r="G3476" s="5">
        <v>33.15</v>
      </c>
    </row>
    <row r="3477" spans="1:7" x14ac:dyDescent="0.2">
      <c r="A3477" s="3">
        <v>5000</v>
      </c>
      <c r="B3477" s="2">
        <v>74800</v>
      </c>
      <c r="C3477" s="38">
        <v>44896</v>
      </c>
      <c r="D3477" s="1" t="s">
        <v>93</v>
      </c>
      <c r="E3477" s="1" t="s">
        <v>35</v>
      </c>
      <c r="F3477" s="1" t="s">
        <v>205</v>
      </c>
      <c r="G3477" s="5">
        <v>14.96</v>
      </c>
    </row>
    <row r="3478" spans="1:7" x14ac:dyDescent="0.2">
      <c r="A3478" s="3">
        <v>70</v>
      </c>
      <c r="B3478" s="2">
        <v>13797</v>
      </c>
      <c r="C3478" s="38">
        <v>44952</v>
      </c>
      <c r="D3478" s="1" t="s">
        <v>196</v>
      </c>
      <c r="E3478" s="1" t="s">
        <v>40</v>
      </c>
      <c r="F3478" s="1" t="s">
        <v>206</v>
      </c>
      <c r="G3478" s="5">
        <v>197.1</v>
      </c>
    </row>
    <row r="3479" spans="1:7" x14ac:dyDescent="0.2">
      <c r="A3479" s="3">
        <v>630</v>
      </c>
      <c r="B3479" s="2">
        <v>5701.5</v>
      </c>
      <c r="C3479" s="38">
        <v>44909</v>
      </c>
      <c r="D3479" s="1" t="s">
        <v>194</v>
      </c>
      <c r="E3479" s="1" t="s">
        <v>40</v>
      </c>
      <c r="F3479" s="1" t="s">
        <v>206</v>
      </c>
      <c r="G3479" s="5">
        <v>9.0500000000000007</v>
      </c>
    </row>
    <row r="3480" spans="1:7" x14ac:dyDescent="0.2">
      <c r="A3480" s="3">
        <v>630</v>
      </c>
      <c r="B3480" s="2">
        <v>5701.5</v>
      </c>
      <c r="C3480" s="38">
        <v>44916</v>
      </c>
      <c r="D3480" s="1" t="s">
        <v>194</v>
      </c>
      <c r="E3480" s="1" t="s">
        <v>40</v>
      </c>
      <c r="F3480" s="1" t="s">
        <v>206</v>
      </c>
      <c r="G3480" s="5">
        <v>9.0500000000000007</v>
      </c>
    </row>
    <row r="3481" spans="1:7" x14ac:dyDescent="0.2">
      <c r="A3481" s="3">
        <v>147</v>
      </c>
      <c r="B3481" s="2">
        <v>59418.87</v>
      </c>
      <c r="C3481" s="38">
        <v>44924</v>
      </c>
      <c r="D3481" s="1" t="s">
        <v>43</v>
      </c>
      <c r="E3481" s="1" t="s">
        <v>34</v>
      </c>
      <c r="F3481" s="1" t="s">
        <v>208</v>
      </c>
      <c r="G3481" s="5">
        <v>404.21</v>
      </c>
    </row>
    <row r="3482" spans="1:7" x14ac:dyDescent="0.2">
      <c r="A3482" s="3">
        <v>2646</v>
      </c>
      <c r="B3482" s="2">
        <v>15029.28</v>
      </c>
      <c r="C3482" s="38">
        <v>44959</v>
      </c>
      <c r="D3482" s="1" t="s">
        <v>95</v>
      </c>
      <c r="E3482" s="1" t="s">
        <v>40</v>
      </c>
      <c r="F3482" s="1" t="s">
        <v>206</v>
      </c>
      <c r="G3482" s="5">
        <v>5.68</v>
      </c>
    </row>
    <row r="3483" spans="1:7" x14ac:dyDescent="0.2">
      <c r="A3483" s="3">
        <v>1930</v>
      </c>
      <c r="B3483" s="2">
        <v>25688.3</v>
      </c>
      <c r="C3483" s="38">
        <v>44959</v>
      </c>
      <c r="D3483" s="1" t="s">
        <v>190</v>
      </c>
      <c r="E3483" s="1" t="s">
        <v>35</v>
      </c>
      <c r="F3483" s="1" t="s">
        <v>205</v>
      </c>
      <c r="G3483" s="5">
        <v>13.31</v>
      </c>
    </row>
    <row r="3484" spans="1:7" x14ac:dyDescent="0.2">
      <c r="A3484" s="3">
        <v>189</v>
      </c>
      <c r="B3484" s="2">
        <v>6609.33</v>
      </c>
      <c r="C3484" s="38">
        <v>44965</v>
      </c>
      <c r="D3484" s="1" t="s">
        <v>96</v>
      </c>
      <c r="E3484" s="1" t="s">
        <v>40</v>
      </c>
      <c r="F3484" s="1" t="s">
        <v>206</v>
      </c>
      <c r="G3484" s="5">
        <v>34.97</v>
      </c>
    </row>
    <row r="3485" spans="1:7" x14ac:dyDescent="0.2">
      <c r="A3485" s="3">
        <v>378</v>
      </c>
      <c r="B3485" s="2">
        <v>13218.66</v>
      </c>
      <c r="C3485" s="38">
        <v>44965</v>
      </c>
      <c r="D3485" s="1" t="s">
        <v>96</v>
      </c>
      <c r="E3485" s="1" t="s">
        <v>40</v>
      </c>
      <c r="F3485" s="1" t="s">
        <v>206</v>
      </c>
      <c r="G3485" s="5">
        <v>34.97</v>
      </c>
    </row>
    <row r="3486" spans="1:7" x14ac:dyDescent="0.2">
      <c r="A3486" s="3">
        <v>378</v>
      </c>
      <c r="B3486" s="2">
        <v>13218.66</v>
      </c>
      <c r="C3486" s="38">
        <v>44965</v>
      </c>
      <c r="D3486" s="1" t="s">
        <v>96</v>
      </c>
      <c r="E3486" s="1" t="s">
        <v>40</v>
      </c>
      <c r="F3486" s="1" t="s">
        <v>206</v>
      </c>
      <c r="G3486" s="5">
        <v>34.97</v>
      </c>
    </row>
    <row r="3487" spans="1:7" x14ac:dyDescent="0.2">
      <c r="A3487" s="3">
        <v>189</v>
      </c>
      <c r="B3487" s="2">
        <v>6609.33</v>
      </c>
      <c r="C3487" s="38">
        <v>44965</v>
      </c>
      <c r="D3487" s="1" t="s">
        <v>96</v>
      </c>
      <c r="E3487" s="1" t="s">
        <v>40</v>
      </c>
      <c r="F3487" s="1" t="s">
        <v>206</v>
      </c>
      <c r="G3487" s="5">
        <v>34.97</v>
      </c>
    </row>
    <row r="3488" spans="1:7" x14ac:dyDescent="0.2">
      <c r="A3488" s="3">
        <v>189</v>
      </c>
      <c r="B3488" s="2">
        <v>6609.33</v>
      </c>
      <c r="C3488" s="38">
        <v>44965</v>
      </c>
      <c r="D3488" s="1" t="s">
        <v>96</v>
      </c>
      <c r="E3488" s="1" t="s">
        <v>40</v>
      </c>
      <c r="F3488" s="1" t="s">
        <v>206</v>
      </c>
      <c r="G3488" s="5">
        <v>34.97</v>
      </c>
    </row>
    <row r="3489" spans="1:7" x14ac:dyDescent="0.2">
      <c r="A3489" s="3">
        <v>189</v>
      </c>
      <c r="B3489" s="2">
        <v>6609.33</v>
      </c>
      <c r="C3489" s="38">
        <v>44965</v>
      </c>
      <c r="D3489" s="1" t="s">
        <v>96</v>
      </c>
      <c r="E3489" s="1" t="s">
        <v>40</v>
      </c>
      <c r="F3489" s="1" t="s">
        <v>206</v>
      </c>
      <c r="G3489" s="5">
        <v>34.97</v>
      </c>
    </row>
    <row r="3490" spans="1:7" x14ac:dyDescent="0.2">
      <c r="A3490" s="3">
        <v>189</v>
      </c>
      <c r="B3490" s="2">
        <v>6609.33</v>
      </c>
      <c r="C3490" s="38">
        <v>44965</v>
      </c>
      <c r="D3490" s="1" t="s">
        <v>96</v>
      </c>
      <c r="E3490" s="1" t="s">
        <v>40</v>
      </c>
      <c r="F3490" s="1" t="s">
        <v>206</v>
      </c>
      <c r="G3490" s="5">
        <v>34.97</v>
      </c>
    </row>
    <row r="3491" spans="1:7" x14ac:dyDescent="0.2">
      <c r="A3491" s="3">
        <v>354</v>
      </c>
      <c r="B3491" s="2">
        <v>2010.72</v>
      </c>
      <c r="C3491" s="38">
        <v>44966</v>
      </c>
      <c r="D3491" s="1" t="s">
        <v>95</v>
      </c>
      <c r="E3491" s="1" t="s">
        <v>40</v>
      </c>
      <c r="F3491" s="1" t="s">
        <v>206</v>
      </c>
      <c r="G3491" s="5">
        <v>5.68</v>
      </c>
    </row>
    <row r="3492" spans="1:7" x14ac:dyDescent="0.2">
      <c r="A3492" s="3">
        <v>630</v>
      </c>
      <c r="B3492" s="2">
        <v>271.08999999999997</v>
      </c>
      <c r="C3492" s="38">
        <v>44603</v>
      </c>
      <c r="D3492" s="1" t="s">
        <v>91</v>
      </c>
      <c r="E3492" s="1" t="s">
        <v>41</v>
      </c>
      <c r="F3492" s="1" t="s">
        <v>219</v>
      </c>
      <c r="G3492" s="5">
        <v>0.43030000000000002</v>
      </c>
    </row>
    <row r="3493" spans="1:7" x14ac:dyDescent="0.2">
      <c r="A3493" s="3">
        <v>280</v>
      </c>
      <c r="B3493" s="2">
        <v>4429.6000000000004</v>
      </c>
      <c r="C3493" s="38">
        <v>44973</v>
      </c>
      <c r="D3493" s="1" t="s">
        <v>195</v>
      </c>
      <c r="E3493" s="1" t="s">
        <v>35</v>
      </c>
      <c r="F3493" s="1" t="s">
        <v>205</v>
      </c>
      <c r="G3493" s="5">
        <v>15.82</v>
      </c>
    </row>
    <row r="3494" spans="1:7" x14ac:dyDescent="0.2">
      <c r="A3494" s="3">
        <v>5000</v>
      </c>
      <c r="B3494" s="2">
        <v>74800</v>
      </c>
      <c r="C3494" s="38">
        <v>44973</v>
      </c>
      <c r="D3494" s="1" t="s">
        <v>93</v>
      </c>
      <c r="E3494" s="1" t="s">
        <v>35</v>
      </c>
      <c r="F3494" s="1" t="s">
        <v>205</v>
      </c>
      <c r="G3494" s="5">
        <v>14.96</v>
      </c>
    </row>
    <row r="3495" spans="1:7" x14ac:dyDescent="0.2">
      <c r="A3495" s="3">
        <v>1640</v>
      </c>
      <c r="B3495" s="2">
        <v>25944.799999999999</v>
      </c>
      <c r="C3495" s="38">
        <v>44974</v>
      </c>
      <c r="D3495" s="1" t="s">
        <v>195</v>
      </c>
      <c r="E3495" s="1" t="s">
        <v>35</v>
      </c>
      <c r="F3495" s="1" t="s">
        <v>205</v>
      </c>
      <c r="G3495" s="5">
        <v>15.82</v>
      </c>
    </row>
    <row r="3496" spans="1:7" x14ac:dyDescent="0.2">
      <c r="A3496" s="3">
        <v>498</v>
      </c>
      <c r="B3496" s="2">
        <v>6628.38</v>
      </c>
      <c r="C3496" s="38">
        <v>44974</v>
      </c>
      <c r="D3496" s="1" t="s">
        <v>190</v>
      </c>
      <c r="E3496" s="1" t="s">
        <v>35</v>
      </c>
      <c r="F3496" s="1" t="s">
        <v>205</v>
      </c>
      <c r="G3496" s="5">
        <v>13.31</v>
      </c>
    </row>
    <row r="3497" spans="1:7" x14ac:dyDescent="0.2">
      <c r="A3497" s="3">
        <v>3780</v>
      </c>
      <c r="B3497" s="2">
        <v>52466.400000000001</v>
      </c>
      <c r="C3497" s="38">
        <v>44977</v>
      </c>
      <c r="D3497" s="1" t="s">
        <v>59</v>
      </c>
      <c r="E3497" s="1" t="s">
        <v>34</v>
      </c>
      <c r="F3497" s="1" t="s">
        <v>208</v>
      </c>
      <c r="G3497" s="5">
        <v>13.88</v>
      </c>
    </row>
    <row r="3498" spans="1:7" x14ac:dyDescent="0.2">
      <c r="A3498" s="3">
        <v>147</v>
      </c>
      <c r="B3498" s="2">
        <v>76212.149999999994</v>
      </c>
      <c r="C3498" s="38">
        <v>44977</v>
      </c>
      <c r="D3498" s="1" t="s">
        <v>43</v>
      </c>
      <c r="E3498" s="1" t="s">
        <v>34</v>
      </c>
      <c r="F3498" s="1" t="s">
        <v>208</v>
      </c>
      <c r="G3498" s="5">
        <v>518.45000000000005</v>
      </c>
    </row>
    <row r="3499" spans="1:7" x14ac:dyDescent="0.2">
      <c r="A3499" s="3">
        <v>84</v>
      </c>
      <c r="B3499" s="2">
        <v>3471.72</v>
      </c>
      <c r="C3499" s="38">
        <v>44977</v>
      </c>
      <c r="D3499" s="1" t="s">
        <v>44</v>
      </c>
      <c r="E3499" s="1" t="s">
        <v>34</v>
      </c>
      <c r="F3499" s="1" t="s">
        <v>208</v>
      </c>
      <c r="G3499" s="5">
        <v>41.33</v>
      </c>
    </row>
    <row r="3500" spans="1:7" x14ac:dyDescent="0.2">
      <c r="A3500" s="3">
        <v>7938</v>
      </c>
      <c r="B3500" s="2">
        <v>33180.839999999997</v>
      </c>
      <c r="C3500" s="38">
        <v>44615</v>
      </c>
      <c r="D3500" s="1" t="s">
        <v>45</v>
      </c>
      <c r="E3500" s="1" t="s">
        <v>35</v>
      </c>
      <c r="F3500" s="1" t="s">
        <v>205</v>
      </c>
      <c r="G3500" s="5">
        <v>4.18</v>
      </c>
    </row>
    <row r="3501" spans="1:7" x14ac:dyDescent="0.2">
      <c r="A3501" s="3">
        <v>189</v>
      </c>
      <c r="B3501" s="2">
        <v>6609.33</v>
      </c>
      <c r="C3501" s="38">
        <v>44980</v>
      </c>
      <c r="D3501" s="1" t="s">
        <v>96</v>
      </c>
      <c r="E3501" s="1" t="s">
        <v>40</v>
      </c>
      <c r="F3501" s="1" t="s">
        <v>206</v>
      </c>
      <c r="G3501" s="5">
        <v>34.97</v>
      </c>
    </row>
    <row r="3502" spans="1:7" x14ac:dyDescent="0.2">
      <c r="A3502" s="3">
        <v>252</v>
      </c>
      <c r="B3502" s="2">
        <v>17481.240000000002</v>
      </c>
      <c r="C3502" s="38">
        <v>44992</v>
      </c>
      <c r="D3502" s="1" t="s">
        <v>103</v>
      </c>
      <c r="E3502" s="1" t="s">
        <v>42</v>
      </c>
      <c r="F3502" s="1" t="s">
        <v>203</v>
      </c>
      <c r="G3502" s="5">
        <v>69.37</v>
      </c>
    </row>
    <row r="3503" spans="1:7" x14ac:dyDescent="0.2">
      <c r="A3503" s="3">
        <v>360</v>
      </c>
      <c r="B3503" s="2">
        <v>2606.4</v>
      </c>
      <c r="C3503" s="38">
        <v>44631</v>
      </c>
      <c r="D3503" s="1" t="s">
        <v>46</v>
      </c>
      <c r="E3503" s="1" t="s">
        <v>41</v>
      </c>
      <c r="F3503" s="1" t="s">
        <v>219</v>
      </c>
      <c r="G3503" s="5">
        <v>7.24</v>
      </c>
    </row>
    <row r="3504" spans="1:7" x14ac:dyDescent="0.2">
      <c r="A3504" s="3">
        <v>140</v>
      </c>
      <c r="B3504" s="2">
        <v>46452</v>
      </c>
      <c r="C3504" s="38">
        <v>44998</v>
      </c>
      <c r="D3504" s="1" t="s">
        <v>114</v>
      </c>
      <c r="E3504" s="1" t="s">
        <v>34</v>
      </c>
      <c r="F3504" s="1" t="s">
        <v>208</v>
      </c>
      <c r="G3504" s="5">
        <v>331.8</v>
      </c>
    </row>
    <row r="3505" spans="1:7" x14ac:dyDescent="0.2">
      <c r="A3505" s="3">
        <v>588</v>
      </c>
      <c r="B3505" s="2">
        <v>57953.279999999999</v>
      </c>
      <c r="C3505" s="38">
        <v>45000</v>
      </c>
      <c r="D3505" s="1" t="s">
        <v>84</v>
      </c>
      <c r="E3505" s="1" t="s">
        <v>42</v>
      </c>
      <c r="F3505" s="1" t="s">
        <v>203</v>
      </c>
      <c r="G3505" s="5">
        <v>98.56</v>
      </c>
    </row>
    <row r="3506" spans="1:7" x14ac:dyDescent="0.2">
      <c r="A3506" s="3">
        <v>560</v>
      </c>
      <c r="B3506" s="2">
        <v>9340.7999999999993</v>
      </c>
      <c r="C3506" s="38">
        <v>45001</v>
      </c>
      <c r="D3506" s="1" t="s">
        <v>195</v>
      </c>
      <c r="E3506" s="1" t="s">
        <v>35</v>
      </c>
      <c r="F3506" s="1" t="s">
        <v>205</v>
      </c>
      <c r="G3506" s="5">
        <v>16.68</v>
      </c>
    </row>
    <row r="3507" spans="1:7" x14ac:dyDescent="0.2">
      <c r="A3507" s="3">
        <v>630</v>
      </c>
      <c r="B3507" s="2">
        <v>6016.5</v>
      </c>
      <c r="C3507" s="38">
        <v>45006</v>
      </c>
      <c r="D3507" s="1" t="s">
        <v>194</v>
      </c>
      <c r="E3507" s="1" t="s">
        <v>40</v>
      </c>
      <c r="F3507" s="1" t="s">
        <v>206</v>
      </c>
      <c r="G3507" s="5">
        <v>9.5500000000000007</v>
      </c>
    </row>
    <row r="3508" spans="1:7" x14ac:dyDescent="0.2">
      <c r="A3508" s="3">
        <v>588</v>
      </c>
      <c r="B3508" s="2">
        <v>32728.080000000002</v>
      </c>
      <c r="C3508" s="38">
        <v>45006</v>
      </c>
      <c r="D3508" s="1" t="s">
        <v>47</v>
      </c>
      <c r="E3508" s="1" t="s">
        <v>34</v>
      </c>
      <c r="F3508" s="1" t="s">
        <v>208</v>
      </c>
      <c r="G3508" s="5">
        <v>55.66</v>
      </c>
    </row>
    <row r="3509" spans="1:7" x14ac:dyDescent="0.2">
      <c r="A3509" s="3">
        <v>588</v>
      </c>
      <c r="B3509" s="2">
        <v>57953.279999999999</v>
      </c>
      <c r="C3509" s="38">
        <v>45006</v>
      </c>
      <c r="D3509" s="1" t="s">
        <v>84</v>
      </c>
      <c r="E3509" s="1" t="s">
        <v>42</v>
      </c>
      <c r="F3509" s="1" t="s">
        <v>203</v>
      </c>
      <c r="G3509" s="5">
        <v>98.56</v>
      </c>
    </row>
    <row r="3510" spans="1:7" x14ac:dyDescent="0.2">
      <c r="A3510" s="3">
        <v>1323</v>
      </c>
      <c r="B3510" s="2">
        <v>3241.35</v>
      </c>
      <c r="C3510" s="38">
        <v>44645</v>
      </c>
      <c r="D3510" s="1" t="s">
        <v>191</v>
      </c>
      <c r="E3510" s="1" t="s">
        <v>35</v>
      </c>
      <c r="F3510" s="1" t="s">
        <v>205</v>
      </c>
      <c r="G3510" s="5">
        <v>2.4500000000000002</v>
      </c>
    </row>
    <row r="3511" spans="1:7" x14ac:dyDescent="0.2">
      <c r="A3511" s="3">
        <v>189</v>
      </c>
      <c r="B3511" s="2">
        <v>6265.35</v>
      </c>
      <c r="C3511" s="38">
        <v>44663</v>
      </c>
      <c r="D3511" s="1" t="s">
        <v>96</v>
      </c>
      <c r="E3511" s="1" t="s">
        <v>40</v>
      </c>
      <c r="F3511" s="1" t="s">
        <v>206</v>
      </c>
      <c r="G3511" s="5">
        <v>33.15</v>
      </c>
    </row>
    <row r="3512" spans="1:7" x14ac:dyDescent="0.2">
      <c r="A3512" s="3">
        <v>945</v>
      </c>
      <c r="B3512" s="2">
        <v>31326.75</v>
      </c>
      <c r="C3512" s="38">
        <v>44663</v>
      </c>
      <c r="D3512" s="1" t="s">
        <v>96</v>
      </c>
      <c r="E3512" s="1" t="s">
        <v>40</v>
      </c>
      <c r="F3512" s="1" t="s">
        <v>206</v>
      </c>
      <c r="G3512" s="5">
        <v>33.15</v>
      </c>
    </row>
    <row r="3513" spans="1:7" x14ac:dyDescent="0.2">
      <c r="A3513" s="3">
        <v>378</v>
      </c>
      <c r="B3513" s="2">
        <v>12530.7</v>
      </c>
      <c r="C3513" s="38">
        <v>44663</v>
      </c>
      <c r="D3513" s="1" t="s">
        <v>96</v>
      </c>
      <c r="E3513" s="1" t="s">
        <v>40</v>
      </c>
      <c r="F3513" s="1" t="s">
        <v>206</v>
      </c>
      <c r="G3513" s="5">
        <v>33.15</v>
      </c>
    </row>
    <row r="3514" spans="1:7" x14ac:dyDescent="0.2">
      <c r="A3514" s="3">
        <v>189</v>
      </c>
      <c r="B3514" s="2">
        <v>6265.35</v>
      </c>
      <c r="C3514" s="38">
        <v>44663</v>
      </c>
      <c r="D3514" s="1" t="s">
        <v>96</v>
      </c>
      <c r="E3514" s="1" t="s">
        <v>40</v>
      </c>
      <c r="F3514" s="1" t="s">
        <v>206</v>
      </c>
      <c r="G3514" s="5">
        <v>33.15</v>
      </c>
    </row>
    <row r="3515" spans="1:7" x14ac:dyDescent="0.2">
      <c r="A3515" s="3">
        <v>189</v>
      </c>
      <c r="B3515" s="2">
        <v>6265.35</v>
      </c>
      <c r="C3515" s="38">
        <v>44663</v>
      </c>
      <c r="D3515" s="1" t="s">
        <v>96</v>
      </c>
      <c r="E3515" s="1" t="s">
        <v>40</v>
      </c>
      <c r="F3515" s="1" t="s">
        <v>206</v>
      </c>
      <c r="G3515" s="5">
        <v>33.15</v>
      </c>
    </row>
    <row r="3516" spans="1:7" x14ac:dyDescent="0.2">
      <c r="A3516" s="3">
        <v>588</v>
      </c>
      <c r="B3516" s="2">
        <v>57953.279999999999</v>
      </c>
      <c r="C3516" s="38">
        <v>45035</v>
      </c>
      <c r="D3516" s="1" t="s">
        <v>84</v>
      </c>
      <c r="E3516" s="1" t="s">
        <v>42</v>
      </c>
      <c r="F3516" s="1" t="s">
        <v>203</v>
      </c>
      <c r="G3516" s="5">
        <v>98.56</v>
      </c>
    </row>
    <row r="3517" spans="1:7" x14ac:dyDescent="0.2">
      <c r="A3517" s="3">
        <v>128000</v>
      </c>
      <c r="B3517" s="2">
        <v>3929.6</v>
      </c>
      <c r="C3517" s="38">
        <v>44679</v>
      </c>
      <c r="D3517" s="1" t="s">
        <v>144</v>
      </c>
      <c r="E3517" s="1" t="s">
        <v>40</v>
      </c>
      <c r="F3517" s="1" t="s">
        <v>206</v>
      </c>
      <c r="G3517" s="5">
        <v>3.0700000000000002E-2</v>
      </c>
    </row>
    <row r="3518" spans="1:7" x14ac:dyDescent="0.2">
      <c r="A3518" s="3">
        <v>124</v>
      </c>
      <c r="B3518" s="2">
        <v>4110.6000000000004</v>
      </c>
      <c r="C3518" s="38">
        <v>44679</v>
      </c>
      <c r="D3518" s="1" t="s">
        <v>96</v>
      </c>
      <c r="E3518" s="1" t="s">
        <v>40</v>
      </c>
      <c r="F3518" s="1" t="s">
        <v>206</v>
      </c>
      <c r="G3518" s="5">
        <v>33.15</v>
      </c>
    </row>
    <row r="3519" spans="1:7" x14ac:dyDescent="0.2">
      <c r="A3519" s="3">
        <v>13720</v>
      </c>
      <c r="B3519" s="2">
        <v>5903.72</v>
      </c>
      <c r="C3519" s="38">
        <v>44679</v>
      </c>
      <c r="D3519" s="1" t="s">
        <v>91</v>
      </c>
      <c r="E3519" s="1" t="s">
        <v>35</v>
      </c>
      <c r="F3519" s="1" t="s">
        <v>205</v>
      </c>
      <c r="G3519" s="5">
        <v>0.43030000000000002</v>
      </c>
    </row>
    <row r="3520" spans="1:7" x14ac:dyDescent="0.2">
      <c r="A3520" s="3">
        <v>2520</v>
      </c>
      <c r="B3520" s="2">
        <v>34977.599999999999</v>
      </c>
      <c r="C3520" s="38">
        <v>44698</v>
      </c>
      <c r="D3520" s="1" t="s">
        <v>59</v>
      </c>
      <c r="E3520" s="1" t="s">
        <v>42</v>
      </c>
      <c r="F3520" s="1" t="s">
        <v>203</v>
      </c>
      <c r="G3520" s="5">
        <v>13.88</v>
      </c>
    </row>
    <row r="3521" spans="1:7" x14ac:dyDescent="0.2">
      <c r="A3521" s="3">
        <v>1000</v>
      </c>
      <c r="B3521" s="2">
        <v>13880</v>
      </c>
      <c r="C3521" s="38">
        <v>44698</v>
      </c>
      <c r="D3521" s="1" t="s">
        <v>59</v>
      </c>
      <c r="E3521" s="1" t="s">
        <v>42</v>
      </c>
      <c r="F3521" s="1" t="s">
        <v>203</v>
      </c>
      <c r="G3521" s="5">
        <v>13.88</v>
      </c>
    </row>
    <row r="3522" spans="1:7" x14ac:dyDescent="0.2">
      <c r="A3522" s="3">
        <v>1120</v>
      </c>
      <c r="B3522" s="2">
        <v>58699.199999999997</v>
      </c>
      <c r="C3522" s="38">
        <v>44700</v>
      </c>
      <c r="D3522" s="1" t="s">
        <v>70</v>
      </c>
      <c r="E3522" s="1" t="s">
        <v>42</v>
      </c>
      <c r="F3522" s="1" t="s">
        <v>203</v>
      </c>
      <c r="G3522" s="5">
        <v>52.41</v>
      </c>
    </row>
    <row r="3523" spans="1:7" x14ac:dyDescent="0.2">
      <c r="A3523" s="3">
        <v>588</v>
      </c>
      <c r="B3523" s="2">
        <v>57953.279999999999</v>
      </c>
      <c r="C3523" s="38">
        <v>45069</v>
      </c>
      <c r="D3523" s="1" t="s">
        <v>84</v>
      </c>
      <c r="E3523" s="1" t="s">
        <v>42</v>
      </c>
      <c r="F3523" s="1" t="s">
        <v>203</v>
      </c>
      <c r="G3523" s="5">
        <v>98.56</v>
      </c>
    </row>
    <row r="3524" spans="1:7" x14ac:dyDescent="0.2">
      <c r="A3524" s="3">
        <v>588</v>
      </c>
      <c r="B3524" s="2">
        <v>57953.279999999999</v>
      </c>
      <c r="C3524" s="38">
        <v>45069</v>
      </c>
      <c r="D3524" s="1" t="s">
        <v>84</v>
      </c>
      <c r="E3524" s="1" t="s">
        <v>42</v>
      </c>
      <c r="F3524" s="1" t="s">
        <v>203</v>
      </c>
      <c r="G3524" s="5">
        <v>98.56</v>
      </c>
    </row>
    <row r="3525" spans="1:7" x14ac:dyDescent="0.2">
      <c r="A3525" s="3">
        <v>2924</v>
      </c>
      <c r="B3525" s="2">
        <v>43743.040000000001</v>
      </c>
      <c r="C3525" s="38">
        <v>44708</v>
      </c>
      <c r="D3525" s="1" t="s">
        <v>93</v>
      </c>
      <c r="E3525" s="1" t="s">
        <v>35</v>
      </c>
      <c r="F3525" s="1" t="s">
        <v>205</v>
      </c>
      <c r="G3525" s="5">
        <v>14.96</v>
      </c>
    </row>
    <row r="3526" spans="1:7" x14ac:dyDescent="0.2">
      <c r="A3526" s="3">
        <v>280</v>
      </c>
      <c r="B3526" s="2">
        <v>4670.3999999999996</v>
      </c>
      <c r="C3526" s="38">
        <v>45075</v>
      </c>
      <c r="D3526" s="1" t="s">
        <v>195</v>
      </c>
      <c r="E3526" s="1" t="s">
        <v>35</v>
      </c>
      <c r="F3526" s="1" t="s">
        <v>205</v>
      </c>
      <c r="G3526" s="5">
        <v>16.68</v>
      </c>
    </row>
    <row r="3527" spans="1:7" x14ac:dyDescent="0.2">
      <c r="A3527" s="3">
        <v>143</v>
      </c>
      <c r="B3527" s="2">
        <v>2139.2800000000002</v>
      </c>
      <c r="C3527" s="38">
        <v>44711</v>
      </c>
      <c r="D3527" s="1" t="s">
        <v>93</v>
      </c>
      <c r="E3527" s="1" t="s">
        <v>35</v>
      </c>
      <c r="F3527" s="1" t="s">
        <v>205</v>
      </c>
      <c r="G3527" s="5">
        <v>14.96</v>
      </c>
    </row>
    <row r="3528" spans="1:7" x14ac:dyDescent="0.2">
      <c r="A3528" s="3">
        <v>189</v>
      </c>
      <c r="B3528" s="2">
        <v>6609.33</v>
      </c>
      <c r="C3528" s="38">
        <v>45077</v>
      </c>
      <c r="D3528" s="1" t="s">
        <v>96</v>
      </c>
      <c r="E3528" s="1" t="s">
        <v>40</v>
      </c>
      <c r="F3528" s="1" t="s">
        <v>206</v>
      </c>
      <c r="G3528" s="5">
        <v>34.97</v>
      </c>
    </row>
    <row r="3529" spans="1:7" x14ac:dyDescent="0.2">
      <c r="A3529" s="3">
        <v>189</v>
      </c>
      <c r="B3529" s="2">
        <v>6609.33</v>
      </c>
      <c r="C3529" s="38">
        <v>45077</v>
      </c>
      <c r="D3529" s="1" t="s">
        <v>96</v>
      </c>
      <c r="E3529" s="1" t="s">
        <v>40</v>
      </c>
      <c r="F3529" s="1" t="s">
        <v>206</v>
      </c>
      <c r="G3529" s="5">
        <v>34.97</v>
      </c>
    </row>
    <row r="3530" spans="1:7" x14ac:dyDescent="0.2">
      <c r="A3530" s="3">
        <v>3520</v>
      </c>
      <c r="B3530" s="2">
        <v>51779.199999999997</v>
      </c>
      <c r="C3530" s="38">
        <v>45090</v>
      </c>
      <c r="D3530" s="1" t="s">
        <v>59</v>
      </c>
      <c r="E3530" s="1" t="s">
        <v>42</v>
      </c>
      <c r="F3530" s="1" t="s">
        <v>203</v>
      </c>
      <c r="G3530" s="5">
        <v>14.71</v>
      </c>
    </row>
    <row r="3531" spans="1:7" x14ac:dyDescent="0.2">
      <c r="A3531" s="3">
        <v>260</v>
      </c>
      <c r="B3531" s="2">
        <v>3824.6</v>
      </c>
      <c r="C3531" s="38">
        <v>45090</v>
      </c>
      <c r="D3531" s="1" t="s">
        <v>59</v>
      </c>
      <c r="E3531" s="1" t="s">
        <v>42</v>
      </c>
      <c r="F3531" s="1" t="s">
        <v>203</v>
      </c>
      <c r="G3531" s="5">
        <v>14.71</v>
      </c>
    </row>
    <row r="3532" spans="1:7" x14ac:dyDescent="0.2">
      <c r="A3532" s="3">
        <v>630</v>
      </c>
      <c r="B3532" s="2">
        <v>5071.5</v>
      </c>
      <c r="C3532" s="38">
        <v>44726</v>
      </c>
      <c r="D3532" s="1" t="s">
        <v>48</v>
      </c>
      <c r="E3532" s="1" t="s">
        <v>34</v>
      </c>
      <c r="F3532" s="1" t="s">
        <v>208</v>
      </c>
      <c r="G3532" s="5">
        <v>8.0500000000000007</v>
      </c>
    </row>
    <row r="3533" spans="1:7" x14ac:dyDescent="0.2">
      <c r="A3533" s="3">
        <v>2846</v>
      </c>
      <c r="B3533" s="2">
        <v>16165.28</v>
      </c>
      <c r="C3533" s="38">
        <v>45092</v>
      </c>
      <c r="D3533" s="1" t="s">
        <v>95</v>
      </c>
      <c r="E3533" s="1" t="s">
        <v>35</v>
      </c>
      <c r="F3533" s="1" t="s">
        <v>205</v>
      </c>
      <c r="G3533" s="5">
        <v>5.68</v>
      </c>
    </row>
    <row r="3534" spans="1:7" x14ac:dyDescent="0.2">
      <c r="A3534" s="3">
        <v>280</v>
      </c>
      <c r="B3534" s="2">
        <v>4429.6000000000004</v>
      </c>
      <c r="C3534" s="38">
        <v>44733</v>
      </c>
      <c r="D3534" s="1" t="s">
        <v>195</v>
      </c>
      <c r="E3534" s="1" t="s">
        <v>35</v>
      </c>
      <c r="F3534" s="1" t="s">
        <v>205</v>
      </c>
      <c r="G3534" s="5">
        <v>15.82</v>
      </c>
    </row>
    <row r="3535" spans="1:7" x14ac:dyDescent="0.2">
      <c r="A3535" s="3">
        <v>630</v>
      </c>
      <c r="B3535" s="2">
        <v>6016.5</v>
      </c>
      <c r="C3535" s="38">
        <v>45098</v>
      </c>
      <c r="D3535" s="1" t="s">
        <v>194</v>
      </c>
      <c r="E3535" s="1" t="s">
        <v>40</v>
      </c>
      <c r="F3535" s="1" t="s">
        <v>206</v>
      </c>
      <c r="G3535" s="5">
        <v>9.5500000000000007</v>
      </c>
    </row>
    <row r="3536" spans="1:7" x14ac:dyDescent="0.2">
      <c r="A3536" s="3">
        <v>588</v>
      </c>
      <c r="B3536" s="2">
        <v>57953.279999999999</v>
      </c>
      <c r="C3536" s="38">
        <v>45098</v>
      </c>
      <c r="D3536" s="1" t="s">
        <v>84</v>
      </c>
      <c r="E3536" s="1" t="s">
        <v>42</v>
      </c>
      <c r="F3536" s="1" t="s">
        <v>203</v>
      </c>
      <c r="G3536" s="5">
        <v>98.56</v>
      </c>
    </row>
    <row r="3537" spans="1:7" x14ac:dyDescent="0.2">
      <c r="A3537" s="3">
        <v>588</v>
      </c>
      <c r="B3537" s="2">
        <v>57953.279999999999</v>
      </c>
      <c r="C3537" s="38">
        <v>45098</v>
      </c>
      <c r="D3537" s="1" t="s">
        <v>84</v>
      </c>
      <c r="E3537" s="1" t="s">
        <v>42</v>
      </c>
      <c r="F3537" s="1" t="s">
        <v>203</v>
      </c>
      <c r="G3537" s="5">
        <v>98.56</v>
      </c>
    </row>
    <row r="3538" spans="1:7" x14ac:dyDescent="0.2">
      <c r="A3538" s="3">
        <v>588</v>
      </c>
      <c r="B3538" s="2">
        <v>57953.279999999999</v>
      </c>
      <c r="C3538" s="38">
        <v>45098</v>
      </c>
      <c r="D3538" s="1" t="s">
        <v>84</v>
      </c>
      <c r="E3538" s="1" t="s">
        <v>42</v>
      </c>
      <c r="F3538" s="1" t="s">
        <v>203</v>
      </c>
      <c r="G3538" s="5">
        <v>98.56</v>
      </c>
    </row>
    <row r="3539" spans="1:7" x14ac:dyDescent="0.2">
      <c r="A3539" s="3">
        <v>1384</v>
      </c>
      <c r="B3539" s="2">
        <v>22296.240000000002</v>
      </c>
      <c r="C3539" s="38">
        <v>45100</v>
      </c>
      <c r="D3539" s="1" t="s">
        <v>190</v>
      </c>
      <c r="E3539" s="1" t="s">
        <v>35</v>
      </c>
      <c r="F3539" s="1" t="s">
        <v>205</v>
      </c>
      <c r="G3539" s="5">
        <v>16.11</v>
      </c>
    </row>
    <row r="3540" spans="1:7" x14ac:dyDescent="0.2">
      <c r="A3540" s="3">
        <v>189</v>
      </c>
      <c r="B3540" s="2">
        <v>6609.33</v>
      </c>
      <c r="C3540" s="38">
        <v>45105</v>
      </c>
      <c r="D3540" s="1" t="s">
        <v>96</v>
      </c>
      <c r="E3540" s="1" t="s">
        <v>40</v>
      </c>
      <c r="F3540" s="1" t="s">
        <v>206</v>
      </c>
      <c r="G3540" s="5">
        <v>34.97</v>
      </c>
    </row>
    <row r="3541" spans="1:7" x14ac:dyDescent="0.2">
      <c r="A3541" s="3">
        <v>189</v>
      </c>
      <c r="B3541" s="2">
        <v>6609.33</v>
      </c>
      <c r="C3541" s="38">
        <v>45105</v>
      </c>
      <c r="D3541" s="1" t="s">
        <v>96</v>
      </c>
      <c r="E3541" s="1" t="s">
        <v>40</v>
      </c>
      <c r="F3541" s="1" t="s">
        <v>206</v>
      </c>
      <c r="G3541" s="5">
        <v>34.97</v>
      </c>
    </row>
    <row r="3542" spans="1:7" x14ac:dyDescent="0.2">
      <c r="A3542" s="3">
        <v>1480</v>
      </c>
      <c r="B3542" s="2">
        <v>3285.6</v>
      </c>
      <c r="C3542" s="38">
        <v>45105</v>
      </c>
      <c r="D3542" s="1" t="s">
        <v>92</v>
      </c>
      <c r="E3542" s="1" t="s">
        <v>35</v>
      </c>
      <c r="F3542" s="1" t="s">
        <v>205</v>
      </c>
      <c r="G3542" s="5">
        <v>2.2200000000000002</v>
      </c>
    </row>
    <row r="3543" spans="1:7" x14ac:dyDescent="0.2">
      <c r="A3543" s="3">
        <v>1950</v>
      </c>
      <c r="B3543" s="2">
        <v>4329</v>
      </c>
      <c r="C3543" s="38">
        <v>45105</v>
      </c>
      <c r="D3543" s="1" t="s">
        <v>92</v>
      </c>
      <c r="E3543" s="1" t="s">
        <v>35</v>
      </c>
      <c r="F3543" s="1" t="s">
        <v>205</v>
      </c>
      <c r="G3543" s="5">
        <v>2.2200000000000002</v>
      </c>
    </row>
    <row r="3544" spans="1:7" x14ac:dyDescent="0.2">
      <c r="A3544" s="3">
        <v>3969</v>
      </c>
      <c r="B3544" s="2">
        <v>9724.0499999999993</v>
      </c>
      <c r="C3544" s="38">
        <v>45106</v>
      </c>
      <c r="D3544" s="1" t="s">
        <v>191</v>
      </c>
      <c r="E3544" s="1" t="s">
        <v>35</v>
      </c>
      <c r="F3544" s="1" t="s">
        <v>205</v>
      </c>
      <c r="G3544" s="5">
        <v>2.4500000000000002</v>
      </c>
    </row>
    <row r="3545" spans="1:7" x14ac:dyDescent="0.2">
      <c r="A3545" s="3">
        <v>189</v>
      </c>
      <c r="B3545" s="2">
        <v>6265.35</v>
      </c>
      <c r="C3545" s="38">
        <v>44742</v>
      </c>
      <c r="D3545" s="1" t="s">
        <v>96</v>
      </c>
      <c r="E3545" s="1" t="s">
        <v>40</v>
      </c>
      <c r="F3545" s="1" t="s">
        <v>206</v>
      </c>
      <c r="G3545" s="5">
        <v>33.15</v>
      </c>
    </row>
    <row r="3546" spans="1:7" x14ac:dyDescent="0.2">
      <c r="A3546" s="3">
        <v>189</v>
      </c>
      <c r="B3546" s="2">
        <v>6265.35</v>
      </c>
      <c r="C3546" s="38">
        <v>44742</v>
      </c>
      <c r="D3546" s="1" t="s">
        <v>96</v>
      </c>
      <c r="E3546" s="1" t="s">
        <v>40</v>
      </c>
      <c r="F3546" s="1" t="s">
        <v>206</v>
      </c>
      <c r="G3546" s="5">
        <v>33.15</v>
      </c>
    </row>
    <row r="3547" spans="1:7" x14ac:dyDescent="0.2">
      <c r="A3547" s="3">
        <v>189</v>
      </c>
      <c r="B3547" s="2">
        <v>6265.35</v>
      </c>
      <c r="C3547" s="38">
        <v>44742</v>
      </c>
      <c r="D3547" s="1" t="s">
        <v>96</v>
      </c>
      <c r="E3547" s="1" t="s">
        <v>40</v>
      </c>
      <c r="F3547" s="1" t="s">
        <v>206</v>
      </c>
      <c r="G3547" s="5">
        <v>33.15</v>
      </c>
    </row>
    <row r="3548" spans="1:7" x14ac:dyDescent="0.2">
      <c r="A3548" s="3">
        <v>5292</v>
      </c>
      <c r="B3548" s="2">
        <v>13653.36</v>
      </c>
      <c r="C3548" s="38">
        <v>45118</v>
      </c>
      <c r="D3548" s="1" t="s">
        <v>191</v>
      </c>
      <c r="E3548" s="1" t="s">
        <v>35</v>
      </c>
      <c r="F3548" s="1" t="s">
        <v>205</v>
      </c>
      <c r="G3548" s="5">
        <v>2.58</v>
      </c>
    </row>
    <row r="3549" spans="1:7" x14ac:dyDescent="0.2">
      <c r="A3549" s="3">
        <v>189</v>
      </c>
      <c r="B3549" s="2">
        <v>6265.35</v>
      </c>
      <c r="C3549" s="38">
        <v>44754</v>
      </c>
      <c r="D3549" s="1" t="s">
        <v>96</v>
      </c>
      <c r="E3549" s="1" t="s">
        <v>40</v>
      </c>
      <c r="F3549" s="1" t="s">
        <v>206</v>
      </c>
      <c r="G3549" s="5">
        <v>33.15</v>
      </c>
    </row>
    <row r="3550" spans="1:7" x14ac:dyDescent="0.2">
      <c r="A3550" s="3">
        <v>189</v>
      </c>
      <c r="B3550" s="2">
        <v>6265.35</v>
      </c>
      <c r="C3550" s="38">
        <v>44754</v>
      </c>
      <c r="D3550" s="1" t="s">
        <v>96</v>
      </c>
      <c r="E3550" s="1" t="s">
        <v>40</v>
      </c>
      <c r="F3550" s="1" t="s">
        <v>206</v>
      </c>
      <c r="G3550" s="5">
        <v>33.15</v>
      </c>
    </row>
    <row r="3551" spans="1:7" x14ac:dyDescent="0.2">
      <c r="A3551" s="3">
        <v>189</v>
      </c>
      <c r="B3551" s="2">
        <v>6265.35</v>
      </c>
      <c r="C3551" s="38">
        <v>44754</v>
      </c>
      <c r="D3551" s="1" t="s">
        <v>96</v>
      </c>
      <c r="E3551" s="1" t="s">
        <v>40</v>
      </c>
      <c r="F3551" s="1" t="s">
        <v>206</v>
      </c>
      <c r="G3551" s="5">
        <v>33.15</v>
      </c>
    </row>
    <row r="3552" spans="1:7" x14ac:dyDescent="0.2">
      <c r="A3552" s="3">
        <v>189</v>
      </c>
      <c r="B3552" s="2">
        <v>6265.35</v>
      </c>
      <c r="C3552" s="38">
        <v>44754</v>
      </c>
      <c r="D3552" s="1" t="s">
        <v>96</v>
      </c>
      <c r="E3552" s="1" t="s">
        <v>40</v>
      </c>
      <c r="F3552" s="1" t="s">
        <v>206</v>
      </c>
      <c r="G3552" s="5">
        <v>33.15</v>
      </c>
    </row>
    <row r="3553" spans="1:7" x14ac:dyDescent="0.2">
      <c r="A3553" s="3">
        <v>189</v>
      </c>
      <c r="B3553" s="2">
        <v>6265.35</v>
      </c>
      <c r="C3553" s="38">
        <v>44754</v>
      </c>
      <c r="D3553" s="1" t="s">
        <v>96</v>
      </c>
      <c r="E3553" s="1" t="s">
        <v>40</v>
      </c>
      <c r="F3553" s="1" t="s">
        <v>206</v>
      </c>
      <c r="G3553" s="5">
        <v>33.15</v>
      </c>
    </row>
    <row r="3554" spans="1:7" x14ac:dyDescent="0.2">
      <c r="A3554" s="3">
        <v>189</v>
      </c>
      <c r="B3554" s="2">
        <v>6265.35</v>
      </c>
      <c r="C3554" s="38">
        <v>44754</v>
      </c>
      <c r="D3554" s="1" t="s">
        <v>96</v>
      </c>
      <c r="E3554" s="1" t="s">
        <v>40</v>
      </c>
      <c r="F3554" s="1" t="s">
        <v>206</v>
      </c>
      <c r="G3554" s="5">
        <v>33.15</v>
      </c>
    </row>
    <row r="3555" spans="1:7" x14ac:dyDescent="0.2">
      <c r="A3555" s="3">
        <v>189</v>
      </c>
      <c r="B3555" s="2">
        <v>6265.35</v>
      </c>
      <c r="C3555" s="38">
        <v>44754</v>
      </c>
      <c r="D3555" s="1" t="s">
        <v>96</v>
      </c>
      <c r="E3555" s="1" t="s">
        <v>40</v>
      </c>
      <c r="F3555" s="1" t="s">
        <v>206</v>
      </c>
      <c r="G3555" s="5">
        <v>33.15</v>
      </c>
    </row>
    <row r="3556" spans="1:7" x14ac:dyDescent="0.2">
      <c r="A3556" s="3">
        <v>10000</v>
      </c>
      <c r="B3556" s="2">
        <v>149600</v>
      </c>
      <c r="C3556" s="38">
        <v>44754</v>
      </c>
      <c r="D3556" s="1" t="s">
        <v>93</v>
      </c>
      <c r="E3556" s="1" t="s">
        <v>35</v>
      </c>
      <c r="F3556" s="1" t="s">
        <v>205</v>
      </c>
      <c r="G3556" s="5">
        <v>14.96</v>
      </c>
    </row>
    <row r="3557" spans="1:7" x14ac:dyDescent="0.2">
      <c r="A3557" s="3">
        <v>5000</v>
      </c>
      <c r="B3557" s="2">
        <v>74800</v>
      </c>
      <c r="C3557" s="38">
        <v>44754</v>
      </c>
      <c r="D3557" s="1" t="s">
        <v>93</v>
      </c>
      <c r="E3557" s="1" t="s">
        <v>35</v>
      </c>
      <c r="F3557" s="1" t="s">
        <v>205</v>
      </c>
      <c r="G3557" s="5">
        <v>14.96</v>
      </c>
    </row>
    <row r="3558" spans="1:7" x14ac:dyDescent="0.2">
      <c r="A3558" s="3">
        <v>180</v>
      </c>
      <c r="B3558" s="2">
        <v>2847.6</v>
      </c>
      <c r="C3558" s="38">
        <v>44756</v>
      </c>
      <c r="D3558" s="1" t="s">
        <v>195</v>
      </c>
      <c r="E3558" s="1" t="s">
        <v>35</v>
      </c>
      <c r="F3558" s="1" t="s">
        <v>205</v>
      </c>
      <c r="G3558" s="5">
        <v>15.82</v>
      </c>
    </row>
    <row r="3559" spans="1:7" x14ac:dyDescent="0.2">
      <c r="A3559" s="3">
        <v>588</v>
      </c>
      <c r="B3559" s="2">
        <v>57953.279999999999</v>
      </c>
      <c r="C3559" s="38">
        <v>45128</v>
      </c>
      <c r="D3559" s="1" t="s">
        <v>84</v>
      </c>
      <c r="E3559" s="1" t="s">
        <v>42</v>
      </c>
      <c r="F3559" s="1" t="s">
        <v>203</v>
      </c>
      <c r="G3559" s="5">
        <v>98.56</v>
      </c>
    </row>
    <row r="3560" spans="1:7" x14ac:dyDescent="0.2">
      <c r="A3560" s="3">
        <v>588</v>
      </c>
      <c r="B3560" s="2">
        <v>57953.279999999999</v>
      </c>
      <c r="C3560" s="38">
        <v>45128</v>
      </c>
      <c r="D3560" s="1" t="s">
        <v>84</v>
      </c>
      <c r="E3560" s="1" t="s">
        <v>42</v>
      </c>
      <c r="F3560" s="1" t="s">
        <v>203</v>
      </c>
      <c r="G3560" s="5">
        <v>98.56</v>
      </c>
    </row>
    <row r="3561" spans="1:7" x14ac:dyDescent="0.2">
      <c r="A3561" s="3">
        <v>5000</v>
      </c>
      <c r="B3561" s="2">
        <v>74800</v>
      </c>
      <c r="C3561" s="38">
        <v>44767</v>
      </c>
      <c r="D3561" s="1" t="s">
        <v>93</v>
      </c>
      <c r="E3561" s="1" t="s">
        <v>35</v>
      </c>
      <c r="F3561" s="1" t="s">
        <v>205</v>
      </c>
      <c r="G3561" s="5">
        <v>14.96</v>
      </c>
    </row>
    <row r="3562" spans="1:7" x14ac:dyDescent="0.2">
      <c r="A3562" s="3">
        <v>568</v>
      </c>
      <c r="B3562" s="2">
        <v>8497.2800000000007</v>
      </c>
      <c r="C3562" s="38">
        <v>44767</v>
      </c>
      <c r="D3562" s="1" t="s">
        <v>93</v>
      </c>
      <c r="E3562" s="1" t="s">
        <v>35</v>
      </c>
      <c r="F3562" s="1" t="s">
        <v>205</v>
      </c>
      <c r="G3562" s="5">
        <v>14.96</v>
      </c>
    </row>
    <row r="3563" spans="1:7" x14ac:dyDescent="0.2">
      <c r="A3563" s="3">
        <v>630</v>
      </c>
      <c r="B3563" s="2">
        <v>5701.5</v>
      </c>
      <c r="C3563" s="38">
        <v>44769</v>
      </c>
      <c r="D3563" s="1" t="s">
        <v>194</v>
      </c>
      <c r="E3563" s="1" t="s">
        <v>40</v>
      </c>
      <c r="F3563" s="1" t="s">
        <v>206</v>
      </c>
      <c r="G3563" s="5">
        <v>9.0500000000000007</v>
      </c>
    </row>
    <row r="3564" spans="1:7" x14ac:dyDescent="0.2">
      <c r="A3564" s="3">
        <v>1820</v>
      </c>
      <c r="B3564" s="2">
        <v>4113.2</v>
      </c>
      <c r="C3564" s="38">
        <v>44783</v>
      </c>
      <c r="D3564" s="1" t="s">
        <v>94</v>
      </c>
      <c r="E3564" s="1" t="s">
        <v>40</v>
      </c>
      <c r="F3564" s="1" t="s">
        <v>206</v>
      </c>
      <c r="G3564" s="5">
        <v>2.2599999999999998</v>
      </c>
    </row>
    <row r="3565" spans="1:7" x14ac:dyDescent="0.2">
      <c r="A3565" s="3">
        <v>308</v>
      </c>
      <c r="B3565" s="2">
        <v>152142.76</v>
      </c>
      <c r="C3565" s="38">
        <v>44676</v>
      </c>
      <c r="D3565" s="1" t="s">
        <v>64</v>
      </c>
      <c r="E3565" s="1" t="s">
        <v>36</v>
      </c>
      <c r="F3565" s="1" t="s">
        <v>221</v>
      </c>
      <c r="G3565" s="5">
        <v>493.97</v>
      </c>
    </row>
    <row r="3566" spans="1:7" x14ac:dyDescent="0.2">
      <c r="A3566" s="3">
        <v>140</v>
      </c>
      <c r="B3566" s="2">
        <v>168865.2</v>
      </c>
      <c r="C3566" s="38">
        <v>44936</v>
      </c>
      <c r="D3566" s="1" t="s">
        <v>89</v>
      </c>
      <c r="E3566" s="1" t="s">
        <v>36</v>
      </c>
      <c r="F3566" s="1" t="s">
        <v>204</v>
      </c>
      <c r="G3566" s="5">
        <v>1206.18</v>
      </c>
    </row>
    <row r="3567" spans="1:7" x14ac:dyDescent="0.2">
      <c r="A3567" s="3">
        <v>147</v>
      </c>
      <c r="B3567" s="2">
        <v>103273.38</v>
      </c>
      <c r="C3567" s="38">
        <v>44937</v>
      </c>
      <c r="D3567" s="1" t="s">
        <v>77</v>
      </c>
      <c r="E3567" s="1" t="s">
        <v>36</v>
      </c>
      <c r="F3567" s="1" t="s">
        <v>204</v>
      </c>
      <c r="G3567" s="5">
        <v>702.54</v>
      </c>
    </row>
    <row r="3568" spans="1:7" x14ac:dyDescent="0.2">
      <c r="A3568" s="3">
        <v>1911</v>
      </c>
      <c r="B3568" s="2">
        <v>1342553.94</v>
      </c>
      <c r="C3568" s="38">
        <v>44860</v>
      </c>
      <c r="D3568" s="1" t="s">
        <v>77</v>
      </c>
      <c r="E3568" s="1" t="s">
        <v>36</v>
      </c>
      <c r="F3568" s="1" t="s">
        <v>204</v>
      </c>
      <c r="G3568" s="5">
        <v>702.54</v>
      </c>
    </row>
    <row r="3569" spans="1:7" x14ac:dyDescent="0.2">
      <c r="A3569" s="3">
        <v>84</v>
      </c>
      <c r="B3569" s="2">
        <v>85470</v>
      </c>
      <c r="C3569" s="38">
        <v>44872</v>
      </c>
      <c r="D3569" s="1" t="s">
        <v>109</v>
      </c>
      <c r="E3569" s="1" t="s">
        <v>36</v>
      </c>
      <c r="F3569" s="1" t="s">
        <v>204</v>
      </c>
      <c r="G3569" s="5">
        <v>1017.5</v>
      </c>
    </row>
    <row r="3570" spans="1:7" x14ac:dyDescent="0.2">
      <c r="A3570" s="3">
        <v>91</v>
      </c>
      <c r="B3570" s="2">
        <v>20555.990000000002</v>
      </c>
      <c r="C3570" s="38">
        <v>44874</v>
      </c>
      <c r="D3570" s="1" t="s">
        <v>148</v>
      </c>
      <c r="E3570" s="1" t="s">
        <v>36</v>
      </c>
      <c r="F3570" s="1" t="s">
        <v>204</v>
      </c>
      <c r="G3570" s="5">
        <v>225.89</v>
      </c>
    </row>
    <row r="3571" spans="1:7" x14ac:dyDescent="0.2">
      <c r="A3571" s="3">
        <v>72</v>
      </c>
      <c r="B3571" s="2">
        <v>16264.08</v>
      </c>
      <c r="C3571" s="38">
        <v>44874</v>
      </c>
      <c r="D3571" s="1" t="s">
        <v>148</v>
      </c>
      <c r="E3571" s="1" t="s">
        <v>36</v>
      </c>
      <c r="F3571" s="1" t="s">
        <v>204</v>
      </c>
      <c r="G3571" s="5">
        <v>225.89</v>
      </c>
    </row>
    <row r="3572" spans="1:7" x14ac:dyDescent="0.2">
      <c r="A3572" s="3">
        <v>54</v>
      </c>
      <c r="B3572" s="2">
        <v>12198.06</v>
      </c>
      <c r="C3572" s="38">
        <v>44874</v>
      </c>
      <c r="D3572" s="1" t="s">
        <v>148</v>
      </c>
      <c r="E3572" s="1" t="s">
        <v>36</v>
      </c>
      <c r="F3572" s="1" t="s">
        <v>204</v>
      </c>
      <c r="G3572" s="5">
        <v>225.89</v>
      </c>
    </row>
    <row r="3573" spans="1:7" x14ac:dyDescent="0.2">
      <c r="A3573" s="3">
        <v>210</v>
      </c>
      <c r="B3573" s="2">
        <v>253297.8</v>
      </c>
      <c r="C3573" s="38">
        <v>44952</v>
      </c>
      <c r="D3573" s="1" t="s">
        <v>89</v>
      </c>
      <c r="E3573" s="1" t="s">
        <v>36</v>
      </c>
      <c r="F3573" s="1" t="s">
        <v>204</v>
      </c>
      <c r="G3573" s="5">
        <v>1206.18</v>
      </c>
    </row>
    <row r="3574" spans="1:7" x14ac:dyDescent="0.2">
      <c r="A3574" s="3">
        <v>1764</v>
      </c>
      <c r="B3574" s="2">
        <v>1239280.56</v>
      </c>
      <c r="C3574" s="38">
        <v>44952</v>
      </c>
      <c r="D3574" s="1" t="s">
        <v>77</v>
      </c>
      <c r="E3574" s="1" t="s">
        <v>36</v>
      </c>
      <c r="F3574" s="1" t="s">
        <v>204</v>
      </c>
      <c r="G3574" s="5">
        <v>702.54</v>
      </c>
    </row>
    <row r="3575" spans="1:7" x14ac:dyDescent="0.2">
      <c r="A3575" s="3">
        <v>147</v>
      </c>
      <c r="B3575" s="2">
        <v>103273.38</v>
      </c>
      <c r="C3575" s="38">
        <v>44952</v>
      </c>
      <c r="D3575" s="1" t="s">
        <v>77</v>
      </c>
      <c r="E3575" s="1" t="s">
        <v>36</v>
      </c>
      <c r="F3575" s="1" t="s">
        <v>204</v>
      </c>
      <c r="G3575" s="5">
        <v>702.54</v>
      </c>
    </row>
    <row r="3576" spans="1:7" x14ac:dyDescent="0.2">
      <c r="A3576" s="3">
        <v>147</v>
      </c>
      <c r="B3576" s="2">
        <v>103273.38</v>
      </c>
      <c r="C3576" s="38">
        <v>44952</v>
      </c>
      <c r="D3576" s="1" t="s">
        <v>77</v>
      </c>
      <c r="E3576" s="1" t="s">
        <v>36</v>
      </c>
      <c r="F3576" s="1" t="s">
        <v>204</v>
      </c>
      <c r="G3576" s="5">
        <v>702.54</v>
      </c>
    </row>
    <row r="3577" spans="1:7" x14ac:dyDescent="0.2">
      <c r="A3577" s="3">
        <v>420</v>
      </c>
      <c r="B3577" s="2">
        <v>506595.6</v>
      </c>
      <c r="C3577" s="38">
        <v>44956</v>
      </c>
      <c r="D3577" s="1" t="s">
        <v>89</v>
      </c>
      <c r="E3577" s="1" t="s">
        <v>36</v>
      </c>
      <c r="F3577" s="1" t="s">
        <v>204</v>
      </c>
      <c r="G3577" s="5">
        <v>1206.18</v>
      </c>
    </row>
    <row r="3578" spans="1:7" x14ac:dyDescent="0.2">
      <c r="A3578" s="3">
        <v>1911</v>
      </c>
      <c r="B3578" s="2">
        <v>1342553.94</v>
      </c>
      <c r="C3578" s="38">
        <v>44956</v>
      </c>
      <c r="D3578" s="1" t="s">
        <v>77</v>
      </c>
      <c r="E3578" s="1" t="s">
        <v>36</v>
      </c>
      <c r="F3578" s="1" t="s">
        <v>204</v>
      </c>
      <c r="G3578" s="5">
        <v>702.54</v>
      </c>
    </row>
    <row r="3579" spans="1:7" x14ac:dyDescent="0.2">
      <c r="A3579" s="3">
        <v>2940</v>
      </c>
      <c r="B3579" s="2">
        <v>2065467.6</v>
      </c>
      <c r="C3579" s="38">
        <v>44956</v>
      </c>
      <c r="D3579" s="1" t="s">
        <v>77</v>
      </c>
      <c r="E3579" s="1" t="s">
        <v>36</v>
      </c>
      <c r="F3579" s="1" t="s">
        <v>204</v>
      </c>
      <c r="G3579" s="5">
        <v>702.54</v>
      </c>
    </row>
    <row r="3580" spans="1:7" x14ac:dyDescent="0.2">
      <c r="A3580" s="3">
        <v>1911</v>
      </c>
      <c r="B3580" s="2">
        <v>1342553.94</v>
      </c>
      <c r="C3580" s="38">
        <v>44956</v>
      </c>
      <c r="D3580" s="1" t="s">
        <v>77</v>
      </c>
      <c r="E3580" s="1" t="s">
        <v>36</v>
      </c>
      <c r="F3580" s="1" t="s">
        <v>204</v>
      </c>
      <c r="G3580" s="5">
        <v>702.54</v>
      </c>
    </row>
    <row r="3581" spans="1:7" x14ac:dyDescent="0.2">
      <c r="A3581" s="3">
        <v>294</v>
      </c>
      <c r="B3581" s="2">
        <v>206546.76</v>
      </c>
      <c r="C3581" s="38">
        <v>44956</v>
      </c>
      <c r="D3581" s="1" t="s">
        <v>77</v>
      </c>
      <c r="E3581" s="1" t="s">
        <v>36</v>
      </c>
      <c r="F3581" s="1" t="s">
        <v>204</v>
      </c>
      <c r="G3581" s="5">
        <v>702.54</v>
      </c>
    </row>
    <row r="3582" spans="1:7" x14ac:dyDescent="0.2">
      <c r="A3582" s="3">
        <v>1764</v>
      </c>
      <c r="B3582" s="2">
        <v>1239280.56</v>
      </c>
      <c r="C3582" s="38">
        <v>44956</v>
      </c>
      <c r="D3582" s="1" t="s">
        <v>77</v>
      </c>
      <c r="E3582" s="1" t="s">
        <v>36</v>
      </c>
      <c r="F3582" s="1" t="s">
        <v>204</v>
      </c>
      <c r="G3582" s="5">
        <v>702.54</v>
      </c>
    </row>
    <row r="3583" spans="1:7" x14ac:dyDescent="0.2">
      <c r="A3583" s="3">
        <v>1008</v>
      </c>
      <c r="B3583" s="2">
        <v>129870.72</v>
      </c>
      <c r="C3583" s="38">
        <v>44956</v>
      </c>
      <c r="D3583" s="1" t="s">
        <v>78</v>
      </c>
      <c r="E3583" s="1" t="s">
        <v>36</v>
      </c>
      <c r="F3583" s="1" t="s">
        <v>204</v>
      </c>
      <c r="G3583" s="5">
        <v>128.84</v>
      </c>
    </row>
    <row r="3584" spans="1:7" x14ac:dyDescent="0.2">
      <c r="A3584" s="3">
        <v>7</v>
      </c>
      <c r="B3584" s="2">
        <v>33406.1</v>
      </c>
      <c r="C3584" s="38">
        <v>44956</v>
      </c>
      <c r="D3584" s="1" t="s">
        <v>106</v>
      </c>
      <c r="E3584" s="1" t="s">
        <v>36</v>
      </c>
      <c r="F3584" s="1" t="s">
        <v>204</v>
      </c>
      <c r="G3584" s="5">
        <v>4772.3</v>
      </c>
    </row>
    <row r="3585" spans="1:7" x14ac:dyDescent="0.2">
      <c r="A3585" s="3">
        <v>6</v>
      </c>
      <c r="B3585" s="2">
        <v>28633.8</v>
      </c>
      <c r="C3585" s="38">
        <v>44956</v>
      </c>
      <c r="D3585" s="1" t="s">
        <v>107</v>
      </c>
      <c r="E3585" s="1" t="s">
        <v>36</v>
      </c>
      <c r="F3585" s="1" t="s">
        <v>204</v>
      </c>
      <c r="G3585" s="5">
        <v>4772.3</v>
      </c>
    </row>
    <row r="3586" spans="1:7" x14ac:dyDescent="0.2">
      <c r="A3586" s="3">
        <v>50</v>
      </c>
      <c r="B3586" s="2">
        <v>238615</v>
      </c>
      <c r="C3586" s="38">
        <v>44956</v>
      </c>
      <c r="D3586" s="1" t="s">
        <v>107</v>
      </c>
      <c r="E3586" s="1" t="s">
        <v>36</v>
      </c>
      <c r="F3586" s="1" t="s">
        <v>204</v>
      </c>
      <c r="G3586" s="5">
        <v>4772.3</v>
      </c>
    </row>
    <row r="3587" spans="1:7" x14ac:dyDescent="0.2">
      <c r="A3587" s="3">
        <v>350</v>
      </c>
      <c r="B3587" s="2">
        <v>422163</v>
      </c>
      <c r="C3587" s="38">
        <v>44918</v>
      </c>
      <c r="D3587" s="1" t="s">
        <v>89</v>
      </c>
      <c r="E3587" s="1" t="s">
        <v>36</v>
      </c>
      <c r="F3587" s="1" t="s">
        <v>204</v>
      </c>
      <c r="G3587" s="5">
        <v>1206.18</v>
      </c>
    </row>
    <row r="3588" spans="1:7" x14ac:dyDescent="0.2">
      <c r="A3588" s="3">
        <v>70</v>
      </c>
      <c r="B3588" s="2">
        <v>84432.6</v>
      </c>
      <c r="C3588" s="38">
        <v>44918</v>
      </c>
      <c r="D3588" s="1" t="s">
        <v>89</v>
      </c>
      <c r="E3588" s="1" t="s">
        <v>36</v>
      </c>
      <c r="F3588" s="1" t="s">
        <v>204</v>
      </c>
      <c r="G3588" s="5">
        <v>1206.18</v>
      </c>
    </row>
    <row r="3589" spans="1:7" x14ac:dyDescent="0.2">
      <c r="A3589" s="3">
        <v>210</v>
      </c>
      <c r="B3589" s="2">
        <v>253297.8</v>
      </c>
      <c r="C3589" s="38">
        <v>44918</v>
      </c>
      <c r="D3589" s="1" t="s">
        <v>89</v>
      </c>
      <c r="E3589" s="1" t="s">
        <v>36</v>
      </c>
      <c r="F3589" s="1" t="s">
        <v>204</v>
      </c>
      <c r="G3589" s="5">
        <v>1206.18</v>
      </c>
    </row>
    <row r="3590" spans="1:7" x14ac:dyDescent="0.2">
      <c r="A3590" s="3">
        <v>441</v>
      </c>
      <c r="B3590" s="2">
        <v>309820.14</v>
      </c>
      <c r="C3590" s="38">
        <v>44923</v>
      </c>
      <c r="D3590" s="1" t="s">
        <v>77</v>
      </c>
      <c r="E3590" s="1" t="s">
        <v>36</v>
      </c>
      <c r="F3590" s="1" t="s">
        <v>204</v>
      </c>
      <c r="G3590" s="5">
        <v>702.54</v>
      </c>
    </row>
    <row r="3591" spans="1:7" x14ac:dyDescent="0.2">
      <c r="A3591" s="3">
        <v>147</v>
      </c>
      <c r="B3591" s="2">
        <v>103273.38</v>
      </c>
      <c r="C3591" s="38">
        <v>44958</v>
      </c>
      <c r="D3591" s="1" t="s">
        <v>77</v>
      </c>
      <c r="E3591" s="1" t="s">
        <v>36</v>
      </c>
      <c r="F3591" s="1" t="s">
        <v>204</v>
      </c>
      <c r="G3591" s="5">
        <v>702.54</v>
      </c>
    </row>
    <row r="3592" spans="1:7" x14ac:dyDescent="0.2">
      <c r="A3592" s="3">
        <v>2646</v>
      </c>
      <c r="B3592" s="2">
        <v>1858920.84</v>
      </c>
      <c r="C3592" s="38">
        <v>44958</v>
      </c>
      <c r="D3592" s="1" t="s">
        <v>77</v>
      </c>
      <c r="E3592" s="1" t="s">
        <v>36</v>
      </c>
      <c r="F3592" s="1" t="s">
        <v>204</v>
      </c>
      <c r="G3592" s="5">
        <v>702.54</v>
      </c>
    </row>
    <row r="3593" spans="1:7" x14ac:dyDescent="0.2">
      <c r="A3593" s="3">
        <v>4998</v>
      </c>
      <c r="B3593" s="2">
        <v>3511294.92</v>
      </c>
      <c r="C3593" s="38">
        <v>44958</v>
      </c>
      <c r="D3593" s="1" t="s">
        <v>77</v>
      </c>
      <c r="E3593" s="1" t="s">
        <v>36</v>
      </c>
      <c r="F3593" s="1" t="s">
        <v>204</v>
      </c>
      <c r="G3593" s="5">
        <v>702.54</v>
      </c>
    </row>
    <row r="3594" spans="1:7" x14ac:dyDescent="0.2">
      <c r="A3594" s="3">
        <v>1260</v>
      </c>
      <c r="B3594" s="2">
        <v>10143</v>
      </c>
      <c r="C3594" s="38">
        <v>44596</v>
      </c>
      <c r="D3594" s="1" t="s">
        <v>48</v>
      </c>
      <c r="E3594" s="1" t="s">
        <v>36</v>
      </c>
      <c r="F3594" s="1" t="s">
        <v>204</v>
      </c>
      <c r="G3594" s="5">
        <v>8.0500000000000007</v>
      </c>
    </row>
    <row r="3595" spans="1:7" x14ac:dyDescent="0.2">
      <c r="A3595" s="3">
        <v>3150</v>
      </c>
      <c r="B3595" s="2">
        <v>25357.5</v>
      </c>
      <c r="C3595" s="38">
        <v>44596</v>
      </c>
      <c r="D3595" s="1" t="s">
        <v>48</v>
      </c>
      <c r="E3595" s="1" t="s">
        <v>36</v>
      </c>
      <c r="F3595" s="1" t="s">
        <v>204</v>
      </c>
      <c r="G3595" s="5">
        <v>8.0500000000000007</v>
      </c>
    </row>
    <row r="3596" spans="1:7" x14ac:dyDescent="0.2">
      <c r="A3596" s="3">
        <v>616</v>
      </c>
      <c r="B3596" s="2">
        <v>322543.76</v>
      </c>
      <c r="C3596" s="38">
        <v>44967</v>
      </c>
      <c r="D3596" s="1" t="s">
        <v>64</v>
      </c>
      <c r="E3596" s="1" t="s">
        <v>36</v>
      </c>
      <c r="F3596" s="1" t="s">
        <v>204</v>
      </c>
      <c r="G3596" s="5">
        <v>523.61</v>
      </c>
    </row>
    <row r="3597" spans="1:7" x14ac:dyDescent="0.2">
      <c r="A3597" s="3">
        <v>882</v>
      </c>
      <c r="B3597" s="2">
        <v>656816.57999999996</v>
      </c>
      <c r="C3597" s="38">
        <v>45152</v>
      </c>
      <c r="D3597" s="1" t="s">
        <v>77</v>
      </c>
      <c r="E3597" s="1" t="s">
        <v>36</v>
      </c>
      <c r="F3597" s="1" t="s">
        <v>204</v>
      </c>
      <c r="G3597" s="5">
        <v>744.69</v>
      </c>
    </row>
    <row r="3598" spans="1:7" x14ac:dyDescent="0.2">
      <c r="A3598" s="3">
        <v>882</v>
      </c>
      <c r="B3598" s="2">
        <v>656816.57999999996</v>
      </c>
      <c r="C3598" s="38">
        <v>45152</v>
      </c>
      <c r="D3598" s="1" t="s">
        <v>77</v>
      </c>
      <c r="E3598" s="1" t="s">
        <v>36</v>
      </c>
      <c r="F3598" s="1" t="s">
        <v>204</v>
      </c>
      <c r="G3598" s="5">
        <v>744.69</v>
      </c>
    </row>
    <row r="3599" spans="1:7" x14ac:dyDescent="0.2">
      <c r="A3599" s="3">
        <v>882</v>
      </c>
      <c r="B3599" s="2">
        <v>656816.57999999996</v>
      </c>
      <c r="C3599" s="38">
        <v>45152</v>
      </c>
      <c r="D3599" s="1" t="s">
        <v>77</v>
      </c>
      <c r="E3599" s="1" t="s">
        <v>36</v>
      </c>
      <c r="F3599" s="1" t="s">
        <v>204</v>
      </c>
      <c r="G3599" s="5">
        <v>744.69</v>
      </c>
    </row>
    <row r="3600" spans="1:7" x14ac:dyDescent="0.2">
      <c r="A3600" s="3">
        <v>882</v>
      </c>
      <c r="B3600" s="2">
        <v>656816.57999999996</v>
      </c>
      <c r="C3600" s="38">
        <v>45152</v>
      </c>
      <c r="D3600" s="1" t="s">
        <v>77</v>
      </c>
      <c r="E3600" s="1" t="s">
        <v>36</v>
      </c>
      <c r="F3600" s="1" t="s">
        <v>204</v>
      </c>
      <c r="G3600" s="5">
        <v>744.69</v>
      </c>
    </row>
    <row r="3601" spans="1:7" x14ac:dyDescent="0.2">
      <c r="A3601" s="3">
        <v>630</v>
      </c>
      <c r="B3601" s="2">
        <v>178995.6</v>
      </c>
      <c r="C3601" s="38">
        <v>45152</v>
      </c>
      <c r="D3601" s="1" t="s">
        <v>147</v>
      </c>
      <c r="E3601" s="1" t="s">
        <v>36</v>
      </c>
      <c r="F3601" s="1" t="s">
        <v>204</v>
      </c>
      <c r="G3601" s="5">
        <v>284.12</v>
      </c>
    </row>
    <row r="3602" spans="1:7" x14ac:dyDescent="0.2">
      <c r="A3602" s="3">
        <v>630</v>
      </c>
      <c r="B3602" s="2">
        <v>178995.6</v>
      </c>
      <c r="C3602" s="38">
        <v>45152</v>
      </c>
      <c r="D3602" s="1" t="s">
        <v>147</v>
      </c>
      <c r="E3602" s="1" t="s">
        <v>36</v>
      </c>
      <c r="F3602" s="1" t="s">
        <v>204</v>
      </c>
      <c r="G3602" s="5">
        <v>284.12</v>
      </c>
    </row>
    <row r="3603" spans="1:7" x14ac:dyDescent="0.2">
      <c r="A3603" s="3">
        <v>630</v>
      </c>
      <c r="B3603" s="2">
        <v>178995.6</v>
      </c>
      <c r="C3603" s="38">
        <v>45152</v>
      </c>
      <c r="D3603" s="1" t="s">
        <v>147</v>
      </c>
      <c r="E3603" s="1" t="s">
        <v>36</v>
      </c>
      <c r="F3603" s="1" t="s">
        <v>204</v>
      </c>
      <c r="G3603" s="5">
        <v>284.12</v>
      </c>
    </row>
    <row r="3604" spans="1:7" x14ac:dyDescent="0.2">
      <c r="A3604" s="3">
        <v>630</v>
      </c>
      <c r="B3604" s="2">
        <v>178995.6</v>
      </c>
      <c r="C3604" s="38">
        <v>45152</v>
      </c>
      <c r="D3604" s="1" t="s">
        <v>147</v>
      </c>
      <c r="E3604" s="1" t="s">
        <v>36</v>
      </c>
      <c r="F3604" s="1" t="s">
        <v>204</v>
      </c>
      <c r="G3604" s="5">
        <v>284.12</v>
      </c>
    </row>
    <row r="3605" spans="1:7" x14ac:dyDescent="0.2">
      <c r="A3605" s="3">
        <v>630</v>
      </c>
      <c r="B3605" s="2">
        <v>178995.6</v>
      </c>
      <c r="C3605" s="38">
        <v>45152</v>
      </c>
      <c r="D3605" s="1" t="s">
        <v>147</v>
      </c>
      <c r="E3605" s="1" t="s">
        <v>36</v>
      </c>
      <c r="F3605" s="1" t="s">
        <v>204</v>
      </c>
      <c r="G3605" s="5">
        <v>284.12</v>
      </c>
    </row>
    <row r="3606" spans="1:7" x14ac:dyDescent="0.2">
      <c r="A3606" s="3">
        <v>613</v>
      </c>
      <c r="B3606" s="2">
        <v>146782.85</v>
      </c>
      <c r="C3606" s="38">
        <v>45152</v>
      </c>
      <c r="D3606" s="1" t="s">
        <v>148</v>
      </c>
      <c r="E3606" s="1" t="s">
        <v>36</v>
      </c>
      <c r="F3606" s="1" t="s">
        <v>204</v>
      </c>
      <c r="G3606" s="5">
        <v>239.45</v>
      </c>
    </row>
    <row r="3607" spans="1:7" x14ac:dyDescent="0.2">
      <c r="A3607" s="3">
        <v>42</v>
      </c>
      <c r="B3607" s="2">
        <v>10056.9</v>
      </c>
      <c r="C3607" s="38">
        <v>45152</v>
      </c>
      <c r="D3607" s="1" t="s">
        <v>148</v>
      </c>
      <c r="E3607" s="1" t="s">
        <v>36</v>
      </c>
      <c r="F3607" s="1" t="s">
        <v>204</v>
      </c>
      <c r="G3607" s="5">
        <v>239.45</v>
      </c>
    </row>
    <row r="3608" spans="1:7" x14ac:dyDescent="0.2">
      <c r="A3608" s="3">
        <v>103</v>
      </c>
      <c r="B3608" s="2">
        <v>24663.35</v>
      </c>
      <c r="C3608" s="38">
        <v>45152</v>
      </c>
      <c r="D3608" s="1" t="s">
        <v>148</v>
      </c>
      <c r="E3608" s="1" t="s">
        <v>36</v>
      </c>
      <c r="F3608" s="1" t="s">
        <v>204</v>
      </c>
      <c r="G3608" s="5">
        <v>239.45</v>
      </c>
    </row>
    <row r="3609" spans="1:7" x14ac:dyDescent="0.2">
      <c r="A3609" s="3">
        <v>42</v>
      </c>
      <c r="B3609" s="2">
        <v>10056.9</v>
      </c>
      <c r="C3609" s="38">
        <v>45152</v>
      </c>
      <c r="D3609" s="1" t="s">
        <v>148</v>
      </c>
      <c r="E3609" s="1" t="s">
        <v>36</v>
      </c>
      <c r="F3609" s="1" t="s">
        <v>204</v>
      </c>
      <c r="G3609" s="5">
        <v>239.45</v>
      </c>
    </row>
    <row r="3610" spans="1:7" x14ac:dyDescent="0.2">
      <c r="A3610" s="3">
        <v>2520</v>
      </c>
      <c r="B3610" s="2">
        <v>431751.6</v>
      </c>
      <c r="C3610" s="38">
        <v>45152</v>
      </c>
      <c r="D3610" s="1" t="s">
        <v>104</v>
      </c>
      <c r="E3610" s="1" t="s">
        <v>36</v>
      </c>
      <c r="F3610" s="1" t="s">
        <v>204</v>
      </c>
      <c r="G3610" s="5">
        <v>171.33</v>
      </c>
    </row>
    <row r="3611" spans="1:7" x14ac:dyDescent="0.2">
      <c r="A3611" s="3">
        <v>168</v>
      </c>
      <c r="B3611" s="2">
        <v>138700.79999999999</v>
      </c>
      <c r="C3611" s="38">
        <v>45155</v>
      </c>
      <c r="D3611" s="1" t="s">
        <v>109</v>
      </c>
      <c r="E3611" s="1" t="s">
        <v>36</v>
      </c>
      <c r="F3611" s="1" t="s">
        <v>204</v>
      </c>
      <c r="G3611" s="5">
        <v>825.6</v>
      </c>
    </row>
    <row r="3612" spans="1:7" x14ac:dyDescent="0.2">
      <c r="A3612" s="3">
        <v>84</v>
      </c>
      <c r="B3612" s="2">
        <v>69350.399999999994</v>
      </c>
      <c r="C3612" s="38">
        <v>45155</v>
      </c>
      <c r="D3612" s="1" t="s">
        <v>109</v>
      </c>
      <c r="E3612" s="1" t="s">
        <v>36</v>
      </c>
      <c r="F3612" s="1" t="s">
        <v>204</v>
      </c>
      <c r="G3612" s="5">
        <v>825.6</v>
      </c>
    </row>
    <row r="3613" spans="1:7" x14ac:dyDescent="0.2">
      <c r="A3613" s="3">
        <v>84</v>
      </c>
      <c r="B3613" s="2">
        <v>69350.399999999994</v>
      </c>
      <c r="C3613" s="38">
        <v>45155</v>
      </c>
      <c r="D3613" s="1" t="s">
        <v>109</v>
      </c>
      <c r="E3613" s="1" t="s">
        <v>36</v>
      </c>
      <c r="F3613" s="1" t="s">
        <v>204</v>
      </c>
      <c r="G3613" s="5">
        <v>825.6</v>
      </c>
    </row>
    <row r="3614" spans="1:7" x14ac:dyDescent="0.2">
      <c r="A3614" s="3">
        <v>1008</v>
      </c>
      <c r="B3614" s="2">
        <v>123389.28</v>
      </c>
      <c r="C3614" s="38">
        <v>45155</v>
      </c>
      <c r="D3614" s="1" t="s">
        <v>149</v>
      </c>
      <c r="E3614" s="1" t="s">
        <v>36</v>
      </c>
      <c r="F3614" s="1" t="s">
        <v>204</v>
      </c>
      <c r="G3614" s="5">
        <v>122.41</v>
      </c>
    </row>
    <row r="3615" spans="1:7" x14ac:dyDescent="0.2">
      <c r="A3615" s="3">
        <v>168</v>
      </c>
      <c r="B3615" s="2">
        <v>138700.79999999999</v>
      </c>
      <c r="C3615" s="38">
        <v>45156</v>
      </c>
      <c r="D3615" s="1" t="s">
        <v>109</v>
      </c>
      <c r="E3615" s="1" t="s">
        <v>36</v>
      </c>
      <c r="F3615" s="1" t="s">
        <v>204</v>
      </c>
      <c r="G3615" s="5">
        <v>825.6</v>
      </c>
    </row>
    <row r="3616" spans="1:7" x14ac:dyDescent="0.2">
      <c r="A3616" s="3">
        <v>84</v>
      </c>
      <c r="B3616" s="2">
        <v>69350.399999999994</v>
      </c>
      <c r="C3616" s="38">
        <v>45156</v>
      </c>
      <c r="D3616" s="1" t="s">
        <v>109</v>
      </c>
      <c r="E3616" s="1" t="s">
        <v>36</v>
      </c>
      <c r="F3616" s="1" t="s">
        <v>204</v>
      </c>
      <c r="G3616" s="5">
        <v>825.6</v>
      </c>
    </row>
    <row r="3617" spans="1:7" x14ac:dyDescent="0.2">
      <c r="A3617" s="3">
        <v>84</v>
      </c>
      <c r="B3617" s="2">
        <v>69350.399999999994</v>
      </c>
      <c r="C3617" s="38">
        <v>45156</v>
      </c>
      <c r="D3617" s="1" t="s">
        <v>109</v>
      </c>
      <c r="E3617" s="1" t="s">
        <v>36</v>
      </c>
      <c r="F3617" s="1" t="s">
        <v>204</v>
      </c>
      <c r="G3617" s="5">
        <v>825.6</v>
      </c>
    </row>
    <row r="3618" spans="1:7" x14ac:dyDescent="0.2">
      <c r="A3618" s="3">
        <v>84</v>
      </c>
      <c r="B3618" s="2">
        <v>69350.399999999994</v>
      </c>
      <c r="C3618" s="38">
        <v>45156</v>
      </c>
      <c r="D3618" s="1" t="s">
        <v>109</v>
      </c>
      <c r="E3618" s="1" t="s">
        <v>36</v>
      </c>
      <c r="F3618" s="1" t="s">
        <v>204</v>
      </c>
      <c r="G3618" s="5">
        <v>825.6</v>
      </c>
    </row>
    <row r="3619" spans="1:7" x14ac:dyDescent="0.2">
      <c r="A3619" s="3">
        <v>2520</v>
      </c>
      <c r="B3619" s="2">
        <v>431751.6</v>
      </c>
      <c r="C3619" s="38">
        <v>44958</v>
      </c>
      <c r="D3619" s="1" t="s">
        <v>104</v>
      </c>
      <c r="E3619" s="1" t="s">
        <v>36</v>
      </c>
      <c r="F3619" s="1" t="s">
        <v>204</v>
      </c>
      <c r="G3619" s="5">
        <v>171.33</v>
      </c>
    </row>
    <row r="3620" spans="1:7" x14ac:dyDescent="0.2">
      <c r="A3620" s="3">
        <v>210</v>
      </c>
      <c r="B3620" s="2">
        <v>253297.8</v>
      </c>
      <c r="C3620" s="38">
        <v>44971</v>
      </c>
      <c r="D3620" s="1" t="s">
        <v>89</v>
      </c>
      <c r="E3620" s="1" t="s">
        <v>36</v>
      </c>
      <c r="F3620" s="1" t="s">
        <v>204</v>
      </c>
      <c r="G3620" s="5">
        <v>1206.18</v>
      </c>
    </row>
    <row r="3621" spans="1:7" x14ac:dyDescent="0.2">
      <c r="A3621" s="3">
        <v>350</v>
      </c>
      <c r="B3621" s="2">
        <v>422163</v>
      </c>
      <c r="C3621" s="38">
        <v>44971</v>
      </c>
      <c r="D3621" s="1" t="s">
        <v>89</v>
      </c>
      <c r="E3621" s="1" t="s">
        <v>36</v>
      </c>
      <c r="F3621" s="1" t="s">
        <v>204</v>
      </c>
      <c r="G3621" s="5">
        <v>1206.18</v>
      </c>
    </row>
    <row r="3622" spans="1:7" x14ac:dyDescent="0.2">
      <c r="A3622" s="3">
        <v>140</v>
      </c>
      <c r="B3622" s="2">
        <v>168865.2</v>
      </c>
      <c r="C3622" s="38">
        <v>44971</v>
      </c>
      <c r="D3622" s="1" t="s">
        <v>89</v>
      </c>
      <c r="E3622" s="1" t="s">
        <v>36</v>
      </c>
      <c r="F3622" s="1" t="s">
        <v>204</v>
      </c>
      <c r="G3622" s="5">
        <v>1206.18</v>
      </c>
    </row>
    <row r="3623" spans="1:7" x14ac:dyDescent="0.2">
      <c r="A3623" s="3">
        <v>350</v>
      </c>
      <c r="B3623" s="2">
        <v>422163</v>
      </c>
      <c r="C3623" s="38">
        <v>44971</v>
      </c>
      <c r="D3623" s="1" t="s">
        <v>89</v>
      </c>
      <c r="E3623" s="1" t="s">
        <v>36</v>
      </c>
      <c r="F3623" s="1" t="s">
        <v>204</v>
      </c>
      <c r="G3623" s="5">
        <v>1206.18</v>
      </c>
    </row>
    <row r="3624" spans="1:7" x14ac:dyDescent="0.2">
      <c r="A3624" s="3">
        <v>147</v>
      </c>
      <c r="B3624" s="2">
        <v>103273.38</v>
      </c>
      <c r="C3624" s="38">
        <v>44979</v>
      </c>
      <c r="D3624" s="1" t="s">
        <v>77</v>
      </c>
      <c r="E3624" s="1" t="s">
        <v>36</v>
      </c>
      <c r="F3624" s="1" t="s">
        <v>204</v>
      </c>
      <c r="G3624" s="5">
        <v>702.54</v>
      </c>
    </row>
    <row r="3625" spans="1:7" x14ac:dyDescent="0.2">
      <c r="A3625" s="3">
        <v>42</v>
      </c>
      <c r="B3625" s="2">
        <v>10056.9</v>
      </c>
      <c r="C3625" s="38">
        <v>44980</v>
      </c>
      <c r="D3625" s="1" t="s">
        <v>148</v>
      </c>
      <c r="E3625" s="1" t="s">
        <v>36</v>
      </c>
      <c r="F3625" s="1" t="s">
        <v>204</v>
      </c>
      <c r="G3625" s="5">
        <v>239.45</v>
      </c>
    </row>
    <row r="3626" spans="1:7" x14ac:dyDescent="0.2">
      <c r="A3626" s="3">
        <v>0</v>
      </c>
      <c r="B3626" s="2">
        <v>-18258.240000000002</v>
      </c>
      <c r="C3626" s="38">
        <v>44981</v>
      </c>
      <c r="D3626" s="1" t="s">
        <v>64</v>
      </c>
      <c r="E3626" s="1" t="s">
        <v>36</v>
      </c>
      <c r="F3626" s="1" t="s">
        <v>204</v>
      </c>
      <c r="G3626" s="5">
        <v>0</v>
      </c>
    </row>
    <row r="3627" spans="1:7" x14ac:dyDescent="0.2">
      <c r="A3627" s="3">
        <v>108</v>
      </c>
      <c r="B3627" s="2">
        <v>3310.2</v>
      </c>
      <c r="C3627" s="38">
        <v>44981</v>
      </c>
      <c r="D3627" s="1" t="s">
        <v>49</v>
      </c>
      <c r="E3627" s="1" t="s">
        <v>36</v>
      </c>
      <c r="F3627" s="1" t="s">
        <v>204</v>
      </c>
      <c r="G3627" s="5">
        <v>30.65</v>
      </c>
    </row>
    <row r="3628" spans="1:7" x14ac:dyDescent="0.2">
      <c r="A3628" s="3">
        <v>147</v>
      </c>
      <c r="B3628" s="2">
        <v>103273.38</v>
      </c>
      <c r="C3628" s="38">
        <v>44993</v>
      </c>
      <c r="D3628" s="1" t="s">
        <v>77</v>
      </c>
      <c r="E3628" s="1" t="s">
        <v>36</v>
      </c>
      <c r="F3628" s="1" t="s">
        <v>204</v>
      </c>
      <c r="G3628" s="5">
        <v>702.54</v>
      </c>
    </row>
    <row r="3629" spans="1:7" x14ac:dyDescent="0.2">
      <c r="A3629" s="3">
        <v>882</v>
      </c>
      <c r="B3629" s="2">
        <v>619640.28</v>
      </c>
      <c r="C3629" s="38">
        <v>44993</v>
      </c>
      <c r="D3629" s="1" t="s">
        <v>77</v>
      </c>
      <c r="E3629" s="1" t="s">
        <v>36</v>
      </c>
      <c r="F3629" s="1" t="s">
        <v>204</v>
      </c>
      <c r="G3629" s="5">
        <v>702.54</v>
      </c>
    </row>
    <row r="3630" spans="1:7" x14ac:dyDescent="0.2">
      <c r="A3630" s="3">
        <v>882</v>
      </c>
      <c r="B3630" s="2">
        <v>619640.28</v>
      </c>
      <c r="C3630" s="38">
        <v>44994</v>
      </c>
      <c r="D3630" s="1" t="s">
        <v>77</v>
      </c>
      <c r="E3630" s="1" t="s">
        <v>36</v>
      </c>
      <c r="F3630" s="1" t="s">
        <v>204</v>
      </c>
      <c r="G3630" s="5">
        <v>702.54</v>
      </c>
    </row>
    <row r="3631" spans="1:7" x14ac:dyDescent="0.2">
      <c r="A3631" s="3">
        <v>1232</v>
      </c>
      <c r="B3631" s="2">
        <v>608571.04</v>
      </c>
      <c r="C3631" s="38">
        <v>44995</v>
      </c>
      <c r="D3631" s="1" t="s">
        <v>64</v>
      </c>
      <c r="E3631" s="1" t="s">
        <v>36</v>
      </c>
      <c r="F3631" s="1" t="s">
        <v>204</v>
      </c>
      <c r="G3631" s="5">
        <v>493.97</v>
      </c>
    </row>
    <row r="3632" spans="1:7" x14ac:dyDescent="0.2">
      <c r="A3632" s="3">
        <v>616</v>
      </c>
      <c r="B3632" s="2">
        <v>322543.76</v>
      </c>
      <c r="C3632" s="38">
        <v>44995</v>
      </c>
      <c r="D3632" s="1" t="s">
        <v>64</v>
      </c>
      <c r="E3632" s="1" t="s">
        <v>36</v>
      </c>
      <c r="F3632" s="1" t="s">
        <v>204</v>
      </c>
      <c r="G3632" s="5">
        <v>523.61</v>
      </c>
    </row>
    <row r="3633" spans="1:7" x14ac:dyDescent="0.2">
      <c r="A3633" s="3">
        <v>616</v>
      </c>
      <c r="B3633" s="2">
        <v>322543.76</v>
      </c>
      <c r="C3633" s="38">
        <v>44998</v>
      </c>
      <c r="D3633" s="1" t="s">
        <v>64</v>
      </c>
      <c r="E3633" s="1" t="s">
        <v>36</v>
      </c>
      <c r="F3633" s="1" t="s">
        <v>204</v>
      </c>
      <c r="G3633" s="5">
        <v>523.61</v>
      </c>
    </row>
    <row r="3634" spans="1:7" x14ac:dyDescent="0.2">
      <c r="A3634" s="3">
        <v>0</v>
      </c>
      <c r="B3634" s="2">
        <v>18258.240000000002</v>
      </c>
      <c r="C3634" s="38">
        <v>45000</v>
      </c>
      <c r="D3634" s="1" t="s">
        <v>64</v>
      </c>
      <c r="E3634" s="1" t="s">
        <v>36</v>
      </c>
      <c r="F3634" s="1" t="s">
        <v>204</v>
      </c>
      <c r="G3634" s="5">
        <v>0</v>
      </c>
    </row>
    <row r="3635" spans="1:7" x14ac:dyDescent="0.2">
      <c r="A3635" s="3">
        <v>1232</v>
      </c>
      <c r="B3635" s="2">
        <v>608571.04</v>
      </c>
      <c r="C3635" s="38">
        <v>45012</v>
      </c>
      <c r="D3635" s="1" t="s">
        <v>64</v>
      </c>
      <c r="E3635" s="1" t="s">
        <v>36</v>
      </c>
      <c r="F3635" s="1" t="s">
        <v>204</v>
      </c>
      <c r="G3635" s="5">
        <v>493.97</v>
      </c>
    </row>
    <row r="3636" spans="1:7" x14ac:dyDescent="0.2">
      <c r="A3636" s="3">
        <v>44</v>
      </c>
      <c r="B3636" s="2">
        <v>183963.12</v>
      </c>
      <c r="C3636" s="38">
        <v>45013</v>
      </c>
      <c r="D3636" s="1" t="s">
        <v>107</v>
      </c>
      <c r="E3636" s="1" t="s">
        <v>36</v>
      </c>
      <c r="F3636" s="1" t="s">
        <v>204</v>
      </c>
      <c r="G3636" s="5">
        <v>4180.9799999999996</v>
      </c>
    </row>
    <row r="3637" spans="1:7" x14ac:dyDescent="0.2">
      <c r="A3637" s="3">
        <v>7</v>
      </c>
      <c r="B3637" s="2">
        <v>29266.86</v>
      </c>
      <c r="C3637" s="38">
        <v>45013</v>
      </c>
      <c r="D3637" s="1" t="s">
        <v>107</v>
      </c>
      <c r="E3637" s="1" t="s">
        <v>36</v>
      </c>
      <c r="F3637" s="1" t="s">
        <v>204</v>
      </c>
      <c r="G3637" s="5">
        <v>4180.9799999999996</v>
      </c>
    </row>
    <row r="3638" spans="1:7" x14ac:dyDescent="0.2">
      <c r="A3638" s="3">
        <v>9</v>
      </c>
      <c r="B3638" s="2">
        <v>37628.82</v>
      </c>
      <c r="C3638" s="38">
        <v>45013</v>
      </c>
      <c r="D3638" s="1" t="s">
        <v>107</v>
      </c>
      <c r="E3638" s="1" t="s">
        <v>36</v>
      </c>
      <c r="F3638" s="1" t="s">
        <v>204</v>
      </c>
      <c r="G3638" s="5">
        <v>4180.9799999999996</v>
      </c>
    </row>
    <row r="3639" spans="1:7" x14ac:dyDescent="0.2">
      <c r="A3639" s="3">
        <v>588</v>
      </c>
      <c r="B3639" s="2">
        <v>413093.52</v>
      </c>
      <c r="C3639" s="38">
        <v>45014</v>
      </c>
      <c r="D3639" s="1" t="s">
        <v>77</v>
      </c>
      <c r="E3639" s="1" t="s">
        <v>36</v>
      </c>
      <c r="F3639" s="1" t="s">
        <v>204</v>
      </c>
      <c r="G3639" s="5">
        <v>702.54</v>
      </c>
    </row>
    <row r="3640" spans="1:7" x14ac:dyDescent="0.2">
      <c r="A3640" s="3">
        <v>84</v>
      </c>
      <c r="B3640" s="2">
        <v>69350.399999999994</v>
      </c>
      <c r="C3640" s="38">
        <v>45016</v>
      </c>
      <c r="D3640" s="1" t="s">
        <v>109</v>
      </c>
      <c r="E3640" s="1" t="s">
        <v>36</v>
      </c>
      <c r="F3640" s="1" t="s">
        <v>204</v>
      </c>
      <c r="G3640" s="5">
        <v>825.6</v>
      </c>
    </row>
    <row r="3641" spans="1:7" x14ac:dyDescent="0.2">
      <c r="A3641" s="3">
        <v>84</v>
      </c>
      <c r="B3641" s="2">
        <v>69350.399999999994</v>
      </c>
      <c r="C3641" s="38">
        <v>45016</v>
      </c>
      <c r="D3641" s="1" t="s">
        <v>109</v>
      </c>
      <c r="E3641" s="1" t="s">
        <v>36</v>
      </c>
      <c r="F3641" s="1" t="s">
        <v>204</v>
      </c>
      <c r="G3641" s="5">
        <v>825.6</v>
      </c>
    </row>
    <row r="3642" spans="1:7" x14ac:dyDescent="0.2">
      <c r="A3642" s="3">
        <v>147</v>
      </c>
      <c r="B3642" s="2">
        <v>103273.38</v>
      </c>
      <c r="C3642" s="38">
        <v>45020</v>
      </c>
      <c r="D3642" s="1" t="s">
        <v>77</v>
      </c>
      <c r="E3642" s="1" t="s">
        <v>36</v>
      </c>
      <c r="F3642" s="1" t="s">
        <v>204</v>
      </c>
      <c r="G3642" s="5">
        <v>702.54</v>
      </c>
    </row>
    <row r="3643" spans="1:7" x14ac:dyDescent="0.2">
      <c r="A3643" s="3">
        <v>441</v>
      </c>
      <c r="B3643" s="2">
        <v>309820.14</v>
      </c>
      <c r="C3643" s="38">
        <v>45022</v>
      </c>
      <c r="D3643" s="1" t="s">
        <v>77</v>
      </c>
      <c r="E3643" s="1" t="s">
        <v>36</v>
      </c>
      <c r="F3643" s="1" t="s">
        <v>204</v>
      </c>
      <c r="G3643" s="5">
        <v>702.54</v>
      </c>
    </row>
    <row r="3644" spans="1:7" x14ac:dyDescent="0.2">
      <c r="A3644" s="3">
        <v>924</v>
      </c>
      <c r="B3644" s="2">
        <v>483815.64</v>
      </c>
      <c r="C3644" s="38">
        <v>45030</v>
      </c>
      <c r="D3644" s="1" t="s">
        <v>64</v>
      </c>
      <c r="E3644" s="1" t="s">
        <v>36</v>
      </c>
      <c r="F3644" s="1" t="s">
        <v>204</v>
      </c>
      <c r="G3644" s="5">
        <v>523.61</v>
      </c>
    </row>
    <row r="3645" spans="1:7" x14ac:dyDescent="0.2">
      <c r="A3645" s="3">
        <v>735</v>
      </c>
      <c r="B3645" s="2">
        <v>516366.9</v>
      </c>
      <c r="C3645" s="38">
        <v>45030</v>
      </c>
      <c r="D3645" s="1" t="s">
        <v>77</v>
      </c>
      <c r="E3645" s="1" t="s">
        <v>36</v>
      </c>
      <c r="F3645" s="1" t="s">
        <v>204</v>
      </c>
      <c r="G3645" s="5">
        <v>702.54</v>
      </c>
    </row>
    <row r="3646" spans="1:7" x14ac:dyDescent="0.2">
      <c r="A3646" s="3">
        <v>1848</v>
      </c>
      <c r="B3646" s="2">
        <v>967631.28</v>
      </c>
      <c r="C3646" s="38">
        <v>45042</v>
      </c>
      <c r="D3646" s="1" t="s">
        <v>64</v>
      </c>
      <c r="E3646" s="1" t="s">
        <v>36</v>
      </c>
      <c r="F3646" s="1" t="s">
        <v>204</v>
      </c>
      <c r="G3646" s="5">
        <v>523.61</v>
      </c>
    </row>
    <row r="3647" spans="1:7" x14ac:dyDescent="0.2">
      <c r="A3647" s="3">
        <v>630</v>
      </c>
      <c r="B3647" s="2">
        <v>178995.6</v>
      </c>
      <c r="C3647" s="38">
        <v>45043</v>
      </c>
      <c r="D3647" s="1" t="s">
        <v>147</v>
      </c>
      <c r="E3647" s="1" t="s">
        <v>36</v>
      </c>
      <c r="F3647" s="1" t="s">
        <v>204</v>
      </c>
      <c r="G3647" s="5">
        <v>284.12</v>
      </c>
    </row>
    <row r="3648" spans="1:7" x14ac:dyDescent="0.2">
      <c r="A3648" s="3">
        <v>630</v>
      </c>
      <c r="B3648" s="2">
        <v>178995.6</v>
      </c>
      <c r="C3648" s="38">
        <v>45043</v>
      </c>
      <c r="D3648" s="1" t="s">
        <v>147</v>
      </c>
      <c r="E3648" s="1" t="s">
        <v>36</v>
      </c>
      <c r="F3648" s="1" t="s">
        <v>204</v>
      </c>
      <c r="G3648" s="5">
        <v>284.12</v>
      </c>
    </row>
    <row r="3649" spans="1:7" x14ac:dyDescent="0.2">
      <c r="A3649" s="3">
        <v>54</v>
      </c>
      <c r="B3649" s="2">
        <v>12930.3</v>
      </c>
      <c r="C3649" s="38">
        <v>45043</v>
      </c>
      <c r="D3649" s="1" t="s">
        <v>148</v>
      </c>
      <c r="E3649" s="1" t="s">
        <v>36</v>
      </c>
      <c r="F3649" s="1" t="s">
        <v>204</v>
      </c>
      <c r="G3649" s="5">
        <v>239.45</v>
      </c>
    </row>
    <row r="3650" spans="1:7" x14ac:dyDescent="0.2">
      <c r="A3650" s="3">
        <v>308</v>
      </c>
      <c r="B3650" s="2">
        <v>161271.88</v>
      </c>
      <c r="C3650" s="38">
        <v>45044</v>
      </c>
      <c r="D3650" s="1" t="s">
        <v>64</v>
      </c>
      <c r="E3650" s="1" t="s">
        <v>36</v>
      </c>
      <c r="F3650" s="1" t="s">
        <v>204</v>
      </c>
      <c r="G3650" s="5">
        <v>523.61</v>
      </c>
    </row>
    <row r="3651" spans="1:7" x14ac:dyDescent="0.2">
      <c r="A3651" s="3">
        <v>616</v>
      </c>
      <c r="B3651" s="2">
        <v>322543.76</v>
      </c>
      <c r="C3651" s="38">
        <v>45044</v>
      </c>
      <c r="D3651" s="1" t="s">
        <v>64</v>
      </c>
      <c r="E3651" s="1" t="s">
        <v>36</v>
      </c>
      <c r="F3651" s="1" t="s">
        <v>204</v>
      </c>
      <c r="G3651" s="5">
        <v>523.61</v>
      </c>
    </row>
    <row r="3652" spans="1:7" x14ac:dyDescent="0.2">
      <c r="A3652" s="3">
        <v>108</v>
      </c>
      <c r="B3652" s="2">
        <v>3310.2</v>
      </c>
      <c r="C3652" s="38">
        <v>45044</v>
      </c>
      <c r="D3652" s="1" t="s">
        <v>49</v>
      </c>
      <c r="E3652" s="1" t="s">
        <v>36</v>
      </c>
      <c r="F3652" s="1" t="s">
        <v>204</v>
      </c>
      <c r="G3652" s="5">
        <v>30.65</v>
      </c>
    </row>
    <row r="3653" spans="1:7" x14ac:dyDescent="0.2">
      <c r="A3653" s="3">
        <v>735</v>
      </c>
      <c r="B3653" s="2">
        <v>547347.15</v>
      </c>
      <c r="C3653" s="38">
        <v>45049</v>
      </c>
      <c r="D3653" s="1" t="s">
        <v>77</v>
      </c>
      <c r="E3653" s="1" t="s">
        <v>36</v>
      </c>
      <c r="F3653" s="1" t="s">
        <v>204</v>
      </c>
      <c r="G3653" s="5">
        <v>744.69</v>
      </c>
    </row>
    <row r="3654" spans="1:7" x14ac:dyDescent="0.2">
      <c r="A3654" s="3">
        <v>735</v>
      </c>
      <c r="B3654" s="2">
        <v>516366.9</v>
      </c>
      <c r="C3654" s="38">
        <v>45049</v>
      </c>
      <c r="D3654" s="1" t="s">
        <v>77</v>
      </c>
      <c r="E3654" s="1" t="s">
        <v>36</v>
      </c>
      <c r="F3654" s="1" t="s">
        <v>204</v>
      </c>
      <c r="G3654" s="5">
        <v>702.54</v>
      </c>
    </row>
    <row r="3655" spans="1:7" x14ac:dyDescent="0.2">
      <c r="A3655" s="3">
        <v>1176</v>
      </c>
      <c r="B3655" s="2">
        <v>875755.44</v>
      </c>
      <c r="C3655" s="38">
        <v>45049</v>
      </c>
      <c r="D3655" s="1" t="s">
        <v>77</v>
      </c>
      <c r="E3655" s="1" t="s">
        <v>36</v>
      </c>
      <c r="F3655" s="1" t="s">
        <v>204</v>
      </c>
      <c r="G3655" s="5">
        <v>744.69</v>
      </c>
    </row>
    <row r="3656" spans="1:7" x14ac:dyDescent="0.2">
      <c r="A3656" s="3">
        <v>630</v>
      </c>
      <c r="B3656" s="2">
        <v>178995.6</v>
      </c>
      <c r="C3656" s="38">
        <v>45055</v>
      </c>
      <c r="D3656" s="1" t="s">
        <v>147</v>
      </c>
      <c r="E3656" s="1" t="s">
        <v>36</v>
      </c>
      <c r="F3656" s="1" t="s">
        <v>204</v>
      </c>
      <c r="G3656" s="5">
        <v>284.12</v>
      </c>
    </row>
    <row r="3657" spans="1:7" x14ac:dyDescent="0.2">
      <c r="A3657" s="3">
        <v>630</v>
      </c>
      <c r="B3657" s="2">
        <v>178995.6</v>
      </c>
      <c r="C3657" s="38">
        <v>45055</v>
      </c>
      <c r="D3657" s="1" t="s">
        <v>147</v>
      </c>
      <c r="E3657" s="1" t="s">
        <v>36</v>
      </c>
      <c r="F3657" s="1" t="s">
        <v>204</v>
      </c>
      <c r="G3657" s="5">
        <v>284.12</v>
      </c>
    </row>
    <row r="3658" spans="1:7" x14ac:dyDescent="0.2">
      <c r="A3658" s="3">
        <v>25</v>
      </c>
      <c r="B3658" s="2">
        <v>89592.5</v>
      </c>
      <c r="C3658" s="38">
        <v>45055</v>
      </c>
      <c r="D3658" s="1" t="s">
        <v>106</v>
      </c>
      <c r="E3658" s="1" t="s">
        <v>36</v>
      </c>
      <c r="F3658" s="1" t="s">
        <v>204</v>
      </c>
      <c r="G3658" s="5">
        <v>3583.7</v>
      </c>
    </row>
    <row r="3659" spans="1:7" x14ac:dyDescent="0.2">
      <c r="A3659" s="3">
        <v>7</v>
      </c>
      <c r="B3659" s="2">
        <v>25085.9</v>
      </c>
      <c r="C3659" s="38">
        <v>45055</v>
      </c>
      <c r="D3659" s="1" t="s">
        <v>106</v>
      </c>
      <c r="E3659" s="1" t="s">
        <v>36</v>
      </c>
      <c r="F3659" s="1" t="s">
        <v>204</v>
      </c>
      <c r="G3659" s="5">
        <v>3583.7</v>
      </c>
    </row>
    <row r="3660" spans="1:7" x14ac:dyDescent="0.2">
      <c r="A3660" s="3">
        <v>616</v>
      </c>
      <c r="B3660" s="2">
        <v>322543.76</v>
      </c>
      <c r="C3660" s="38">
        <v>45065</v>
      </c>
      <c r="D3660" s="1" t="s">
        <v>64</v>
      </c>
      <c r="E3660" s="1" t="s">
        <v>36</v>
      </c>
      <c r="F3660" s="1" t="s">
        <v>204</v>
      </c>
      <c r="G3660" s="5">
        <v>523.61</v>
      </c>
    </row>
    <row r="3661" spans="1:7" x14ac:dyDescent="0.2">
      <c r="A3661" s="3">
        <v>616</v>
      </c>
      <c r="B3661" s="2">
        <v>322543.76</v>
      </c>
      <c r="C3661" s="38">
        <v>45068</v>
      </c>
      <c r="D3661" s="1" t="s">
        <v>64</v>
      </c>
      <c r="E3661" s="1" t="s">
        <v>36</v>
      </c>
      <c r="F3661" s="1" t="s">
        <v>204</v>
      </c>
      <c r="G3661" s="5">
        <v>523.61</v>
      </c>
    </row>
    <row r="3662" spans="1:7" x14ac:dyDescent="0.2">
      <c r="A3662" s="3">
        <v>6</v>
      </c>
      <c r="B3662" s="2">
        <v>25085.88</v>
      </c>
      <c r="C3662" s="38">
        <v>45082</v>
      </c>
      <c r="D3662" s="1" t="s">
        <v>107</v>
      </c>
      <c r="E3662" s="1" t="s">
        <v>36</v>
      </c>
      <c r="F3662" s="1" t="s">
        <v>204</v>
      </c>
      <c r="G3662" s="5">
        <v>4180.9799999999996</v>
      </c>
    </row>
    <row r="3663" spans="1:7" x14ac:dyDescent="0.2">
      <c r="A3663" s="3">
        <v>35</v>
      </c>
      <c r="B3663" s="2">
        <v>146334.29999999999</v>
      </c>
      <c r="C3663" s="38">
        <v>45082</v>
      </c>
      <c r="D3663" s="1" t="s">
        <v>107</v>
      </c>
      <c r="E3663" s="1" t="s">
        <v>36</v>
      </c>
      <c r="F3663" s="1" t="s">
        <v>204</v>
      </c>
      <c r="G3663" s="5">
        <v>4180.9799999999996</v>
      </c>
    </row>
    <row r="3664" spans="1:7" x14ac:dyDescent="0.2">
      <c r="A3664" s="3">
        <v>7</v>
      </c>
      <c r="B3664" s="2">
        <v>29266.86</v>
      </c>
      <c r="C3664" s="38">
        <v>45082</v>
      </c>
      <c r="D3664" s="1" t="s">
        <v>107</v>
      </c>
      <c r="E3664" s="1" t="s">
        <v>36</v>
      </c>
      <c r="F3664" s="1" t="s">
        <v>204</v>
      </c>
      <c r="G3664" s="5">
        <v>4180.9799999999996</v>
      </c>
    </row>
    <row r="3665" spans="1:7" x14ac:dyDescent="0.2">
      <c r="A3665" s="3">
        <v>924</v>
      </c>
      <c r="B3665" s="2">
        <v>483815.64</v>
      </c>
      <c r="C3665" s="38">
        <v>45083</v>
      </c>
      <c r="D3665" s="1" t="s">
        <v>64</v>
      </c>
      <c r="E3665" s="1" t="s">
        <v>36</v>
      </c>
      <c r="F3665" s="1" t="s">
        <v>204</v>
      </c>
      <c r="G3665" s="5">
        <v>523.61</v>
      </c>
    </row>
    <row r="3666" spans="1:7" x14ac:dyDescent="0.2">
      <c r="A3666" s="3">
        <v>924</v>
      </c>
      <c r="B3666" s="2">
        <v>483815.64</v>
      </c>
      <c r="C3666" s="38">
        <v>45083</v>
      </c>
      <c r="D3666" s="1" t="s">
        <v>64</v>
      </c>
      <c r="E3666" s="1" t="s">
        <v>36</v>
      </c>
      <c r="F3666" s="1" t="s">
        <v>204</v>
      </c>
      <c r="G3666" s="5">
        <v>523.61</v>
      </c>
    </row>
    <row r="3667" spans="1:7" x14ac:dyDescent="0.2">
      <c r="A3667" s="3">
        <v>31</v>
      </c>
      <c r="B3667" s="2">
        <v>111094.7</v>
      </c>
      <c r="C3667" s="38">
        <v>45097</v>
      </c>
      <c r="D3667" s="1" t="s">
        <v>106</v>
      </c>
      <c r="E3667" s="1" t="s">
        <v>36</v>
      </c>
      <c r="F3667" s="1" t="s">
        <v>204</v>
      </c>
      <c r="G3667" s="5">
        <v>3583.7</v>
      </c>
    </row>
    <row r="3668" spans="1:7" x14ac:dyDescent="0.2">
      <c r="A3668" s="3">
        <v>294</v>
      </c>
      <c r="B3668" s="2">
        <v>218938.86</v>
      </c>
      <c r="C3668" s="38">
        <v>45106</v>
      </c>
      <c r="D3668" s="1" t="s">
        <v>77</v>
      </c>
      <c r="E3668" s="1" t="s">
        <v>36</v>
      </c>
      <c r="F3668" s="1" t="s">
        <v>204</v>
      </c>
      <c r="G3668" s="5">
        <v>744.69</v>
      </c>
    </row>
    <row r="3669" spans="1:7" x14ac:dyDescent="0.2">
      <c r="A3669" s="3">
        <v>882</v>
      </c>
      <c r="B3669" s="2">
        <v>656816.57999999996</v>
      </c>
      <c r="C3669" s="38">
        <v>45106</v>
      </c>
      <c r="D3669" s="1" t="s">
        <v>77</v>
      </c>
      <c r="E3669" s="1" t="s">
        <v>36</v>
      </c>
      <c r="F3669" s="1" t="s">
        <v>204</v>
      </c>
      <c r="G3669" s="5">
        <v>744.69</v>
      </c>
    </row>
    <row r="3670" spans="1:7" x14ac:dyDescent="0.2">
      <c r="A3670" s="3">
        <v>280</v>
      </c>
      <c r="B3670" s="2">
        <v>357994</v>
      </c>
      <c r="C3670" s="38">
        <v>45107</v>
      </c>
      <c r="D3670" s="1" t="s">
        <v>89</v>
      </c>
      <c r="E3670" s="1" t="s">
        <v>36</v>
      </c>
      <c r="F3670" s="1" t="s">
        <v>204</v>
      </c>
      <c r="G3670" s="5">
        <v>1278.55</v>
      </c>
    </row>
    <row r="3671" spans="1:7" x14ac:dyDescent="0.2">
      <c r="A3671" s="3">
        <v>350</v>
      </c>
      <c r="B3671" s="2">
        <v>447492.5</v>
      </c>
      <c r="C3671" s="38">
        <v>45107</v>
      </c>
      <c r="D3671" s="1" t="s">
        <v>89</v>
      </c>
      <c r="E3671" s="1" t="s">
        <v>36</v>
      </c>
      <c r="F3671" s="1" t="s">
        <v>204</v>
      </c>
      <c r="G3671" s="5">
        <v>1278.55</v>
      </c>
    </row>
    <row r="3672" spans="1:7" x14ac:dyDescent="0.2">
      <c r="A3672" s="3">
        <v>1470</v>
      </c>
      <c r="B3672" s="2">
        <v>1094694.3</v>
      </c>
      <c r="C3672" s="38">
        <v>45107</v>
      </c>
      <c r="D3672" s="1" t="s">
        <v>77</v>
      </c>
      <c r="E3672" s="1" t="s">
        <v>36</v>
      </c>
      <c r="F3672" s="1" t="s">
        <v>204</v>
      </c>
      <c r="G3672" s="5">
        <v>744.69</v>
      </c>
    </row>
    <row r="3673" spans="1:7" x14ac:dyDescent="0.2">
      <c r="A3673" s="3">
        <v>882</v>
      </c>
      <c r="B3673" s="2">
        <v>656816.57999999996</v>
      </c>
      <c r="C3673" s="38">
        <v>45107</v>
      </c>
      <c r="D3673" s="1" t="s">
        <v>77</v>
      </c>
      <c r="E3673" s="1" t="s">
        <v>36</v>
      </c>
      <c r="F3673" s="1" t="s">
        <v>204</v>
      </c>
      <c r="G3673" s="5">
        <v>744.69</v>
      </c>
    </row>
    <row r="3674" spans="1:7" x14ac:dyDescent="0.2">
      <c r="A3674" s="3">
        <v>882</v>
      </c>
      <c r="B3674" s="2">
        <v>656816.57999999996</v>
      </c>
      <c r="C3674" s="38">
        <v>45107</v>
      </c>
      <c r="D3674" s="1" t="s">
        <v>77</v>
      </c>
      <c r="E3674" s="1" t="s">
        <v>36</v>
      </c>
      <c r="F3674" s="1" t="s">
        <v>204</v>
      </c>
      <c r="G3674" s="5">
        <v>744.69</v>
      </c>
    </row>
    <row r="3675" spans="1:7" x14ac:dyDescent="0.2">
      <c r="A3675" s="3">
        <v>882</v>
      </c>
      <c r="B3675" s="2">
        <v>656816.57999999996</v>
      </c>
      <c r="C3675" s="38">
        <v>45107</v>
      </c>
      <c r="D3675" s="1" t="s">
        <v>77</v>
      </c>
      <c r="E3675" s="1" t="s">
        <v>36</v>
      </c>
      <c r="F3675" s="1" t="s">
        <v>204</v>
      </c>
      <c r="G3675" s="5">
        <v>744.69</v>
      </c>
    </row>
    <row r="3676" spans="1:7" x14ac:dyDescent="0.2">
      <c r="A3676" s="3">
        <v>882</v>
      </c>
      <c r="B3676" s="2">
        <v>656816.57999999996</v>
      </c>
      <c r="C3676" s="38">
        <v>45107</v>
      </c>
      <c r="D3676" s="1" t="s">
        <v>77</v>
      </c>
      <c r="E3676" s="1" t="s">
        <v>36</v>
      </c>
      <c r="F3676" s="1" t="s">
        <v>204</v>
      </c>
      <c r="G3676" s="5">
        <v>744.69</v>
      </c>
    </row>
    <row r="3677" spans="1:7" x14ac:dyDescent="0.2">
      <c r="A3677" s="3">
        <v>735</v>
      </c>
      <c r="B3677" s="2">
        <v>547347.15</v>
      </c>
      <c r="C3677" s="38">
        <v>45110</v>
      </c>
      <c r="D3677" s="1" t="s">
        <v>77</v>
      </c>
      <c r="E3677" s="1" t="s">
        <v>36</v>
      </c>
      <c r="F3677" s="1" t="s">
        <v>204</v>
      </c>
      <c r="G3677" s="5">
        <v>744.69</v>
      </c>
    </row>
    <row r="3678" spans="1:7" x14ac:dyDescent="0.2">
      <c r="A3678" s="3">
        <v>735</v>
      </c>
      <c r="B3678" s="2">
        <v>547347.15</v>
      </c>
      <c r="C3678" s="38">
        <v>45111</v>
      </c>
      <c r="D3678" s="1" t="s">
        <v>77</v>
      </c>
      <c r="E3678" s="1" t="s">
        <v>36</v>
      </c>
      <c r="F3678" s="1" t="s">
        <v>204</v>
      </c>
      <c r="G3678" s="5">
        <v>744.69</v>
      </c>
    </row>
    <row r="3679" spans="1:7" x14ac:dyDescent="0.2">
      <c r="A3679" s="3">
        <v>882</v>
      </c>
      <c r="B3679" s="2">
        <v>656816.57999999996</v>
      </c>
      <c r="C3679" s="38">
        <v>45112</v>
      </c>
      <c r="D3679" s="1" t="s">
        <v>77</v>
      </c>
      <c r="E3679" s="1" t="s">
        <v>36</v>
      </c>
      <c r="F3679" s="1" t="s">
        <v>204</v>
      </c>
      <c r="G3679" s="5">
        <v>744.69</v>
      </c>
    </row>
    <row r="3680" spans="1:7" x14ac:dyDescent="0.2">
      <c r="A3680" s="3">
        <v>43</v>
      </c>
      <c r="B3680" s="2">
        <v>179782.14</v>
      </c>
      <c r="C3680" s="38">
        <v>45113</v>
      </c>
      <c r="D3680" s="1" t="s">
        <v>107</v>
      </c>
      <c r="E3680" s="1" t="s">
        <v>36</v>
      </c>
      <c r="F3680" s="1" t="s">
        <v>204</v>
      </c>
      <c r="G3680" s="5">
        <v>4180.9799999999996</v>
      </c>
    </row>
    <row r="3681" spans="1:7" x14ac:dyDescent="0.2">
      <c r="A3681" s="3">
        <v>41</v>
      </c>
      <c r="B3681" s="2">
        <v>171420.18</v>
      </c>
      <c r="C3681" s="38">
        <v>45113</v>
      </c>
      <c r="D3681" s="1" t="s">
        <v>107</v>
      </c>
      <c r="E3681" s="1" t="s">
        <v>36</v>
      </c>
      <c r="F3681" s="1" t="s">
        <v>204</v>
      </c>
      <c r="G3681" s="5">
        <v>4180.9799999999996</v>
      </c>
    </row>
    <row r="3682" spans="1:7" x14ac:dyDescent="0.2">
      <c r="A3682" s="3">
        <v>882</v>
      </c>
      <c r="B3682" s="2">
        <v>656816.57999999996</v>
      </c>
      <c r="C3682" s="38">
        <v>45121</v>
      </c>
      <c r="D3682" s="1" t="s">
        <v>77</v>
      </c>
      <c r="E3682" s="1" t="s">
        <v>36</v>
      </c>
      <c r="F3682" s="1" t="s">
        <v>204</v>
      </c>
      <c r="G3682" s="5">
        <v>744.69</v>
      </c>
    </row>
    <row r="3683" spans="1:7" x14ac:dyDescent="0.2">
      <c r="A3683" s="3">
        <v>882</v>
      </c>
      <c r="B3683" s="2">
        <v>656816.57999999996</v>
      </c>
      <c r="C3683" s="38">
        <v>45125</v>
      </c>
      <c r="D3683" s="1" t="s">
        <v>77</v>
      </c>
      <c r="E3683" s="1" t="s">
        <v>36</v>
      </c>
      <c r="F3683" s="1" t="s">
        <v>204</v>
      </c>
      <c r="G3683" s="5">
        <v>744.69</v>
      </c>
    </row>
    <row r="3684" spans="1:7" x14ac:dyDescent="0.2">
      <c r="A3684" s="3">
        <v>1540</v>
      </c>
      <c r="B3684" s="2">
        <v>806359.4</v>
      </c>
      <c r="C3684" s="38">
        <v>45132</v>
      </c>
      <c r="D3684" s="1" t="s">
        <v>64</v>
      </c>
      <c r="E3684" s="1" t="s">
        <v>36</v>
      </c>
      <c r="F3684" s="1" t="s">
        <v>204</v>
      </c>
      <c r="G3684" s="5">
        <v>523.61</v>
      </c>
    </row>
    <row r="3685" spans="1:7" x14ac:dyDescent="0.2">
      <c r="A3685" s="3">
        <v>350</v>
      </c>
      <c r="B3685" s="2">
        <v>447492.5</v>
      </c>
      <c r="C3685" s="38">
        <v>45133</v>
      </c>
      <c r="D3685" s="1" t="s">
        <v>89</v>
      </c>
      <c r="E3685" s="1" t="s">
        <v>36</v>
      </c>
      <c r="F3685" s="1" t="s">
        <v>204</v>
      </c>
      <c r="G3685" s="5">
        <v>1278.55</v>
      </c>
    </row>
    <row r="3686" spans="1:7" x14ac:dyDescent="0.2">
      <c r="A3686" s="3">
        <v>308</v>
      </c>
      <c r="B3686" s="2">
        <v>161271.88</v>
      </c>
      <c r="C3686" s="38">
        <v>45133</v>
      </c>
      <c r="D3686" s="1" t="s">
        <v>64</v>
      </c>
      <c r="E3686" s="1" t="s">
        <v>36</v>
      </c>
      <c r="F3686" s="1" t="s">
        <v>204</v>
      </c>
      <c r="G3686" s="5">
        <v>523.61</v>
      </c>
    </row>
    <row r="3687" spans="1:7" x14ac:dyDescent="0.2">
      <c r="A3687" s="3">
        <v>147</v>
      </c>
      <c r="B3687" s="2">
        <v>109469.43</v>
      </c>
      <c r="C3687" s="38">
        <v>45135</v>
      </c>
      <c r="D3687" s="1" t="s">
        <v>77</v>
      </c>
      <c r="E3687" s="1" t="s">
        <v>36</v>
      </c>
      <c r="F3687" s="1" t="s">
        <v>204</v>
      </c>
      <c r="G3687" s="5">
        <v>744.69</v>
      </c>
    </row>
    <row r="3688" spans="1:7" x14ac:dyDescent="0.2">
      <c r="A3688" s="3">
        <v>735</v>
      </c>
      <c r="B3688" s="2">
        <v>547347.15</v>
      </c>
      <c r="C3688" s="38">
        <v>45139</v>
      </c>
      <c r="D3688" s="1" t="s">
        <v>77</v>
      </c>
      <c r="E3688" s="1" t="s">
        <v>36</v>
      </c>
      <c r="F3688" s="1" t="s">
        <v>204</v>
      </c>
      <c r="G3688" s="5">
        <v>744.69</v>
      </c>
    </row>
    <row r="3689" spans="1:7" x14ac:dyDescent="0.2">
      <c r="A3689" s="3">
        <v>441</v>
      </c>
      <c r="B3689" s="2">
        <v>328408.28999999998</v>
      </c>
      <c r="C3689" s="38">
        <v>45139</v>
      </c>
      <c r="D3689" s="1" t="s">
        <v>77</v>
      </c>
      <c r="E3689" s="1" t="s">
        <v>36</v>
      </c>
      <c r="F3689" s="1" t="s">
        <v>204</v>
      </c>
      <c r="G3689" s="5">
        <v>744.69</v>
      </c>
    </row>
    <row r="3690" spans="1:7" x14ac:dyDescent="0.2">
      <c r="A3690" s="3">
        <v>210</v>
      </c>
      <c r="B3690" s="2">
        <v>268495.5</v>
      </c>
      <c r="C3690" s="38">
        <v>45140</v>
      </c>
      <c r="D3690" s="1" t="s">
        <v>89</v>
      </c>
      <c r="E3690" s="1" t="s">
        <v>36</v>
      </c>
      <c r="F3690" s="1" t="s">
        <v>204</v>
      </c>
      <c r="G3690" s="5">
        <v>1278.55</v>
      </c>
    </row>
    <row r="3691" spans="1:7" x14ac:dyDescent="0.2">
      <c r="A3691" s="3">
        <v>140</v>
      </c>
      <c r="B3691" s="2">
        <v>178997</v>
      </c>
      <c r="C3691" s="38">
        <v>45140</v>
      </c>
      <c r="D3691" s="1" t="s">
        <v>89</v>
      </c>
      <c r="E3691" s="1" t="s">
        <v>36</v>
      </c>
      <c r="F3691" s="1" t="s">
        <v>204</v>
      </c>
      <c r="G3691" s="5">
        <v>1278.55</v>
      </c>
    </row>
    <row r="3692" spans="1:7" x14ac:dyDescent="0.2">
      <c r="A3692" s="3">
        <v>210</v>
      </c>
      <c r="B3692" s="2">
        <v>268495.5</v>
      </c>
      <c r="C3692" s="38">
        <v>45140</v>
      </c>
      <c r="D3692" s="1" t="s">
        <v>89</v>
      </c>
      <c r="E3692" s="1" t="s">
        <v>36</v>
      </c>
      <c r="F3692" s="1" t="s">
        <v>204</v>
      </c>
      <c r="G3692" s="5">
        <v>1278.55</v>
      </c>
    </row>
    <row r="3693" spans="1:7" x14ac:dyDescent="0.2">
      <c r="A3693" s="3">
        <v>280</v>
      </c>
      <c r="B3693" s="2">
        <v>357994</v>
      </c>
      <c r="C3693" s="38">
        <v>45140</v>
      </c>
      <c r="D3693" s="1" t="s">
        <v>89</v>
      </c>
      <c r="E3693" s="1" t="s">
        <v>36</v>
      </c>
      <c r="F3693" s="1" t="s">
        <v>204</v>
      </c>
      <c r="G3693" s="5">
        <v>1278.55</v>
      </c>
    </row>
    <row r="3694" spans="1:7" x14ac:dyDescent="0.2">
      <c r="A3694" s="3">
        <v>70</v>
      </c>
      <c r="B3694" s="2">
        <v>89498.5</v>
      </c>
      <c r="C3694" s="38">
        <v>45140</v>
      </c>
      <c r="D3694" s="1" t="s">
        <v>89</v>
      </c>
      <c r="E3694" s="1" t="s">
        <v>36</v>
      </c>
      <c r="F3694" s="1" t="s">
        <v>204</v>
      </c>
      <c r="G3694" s="5">
        <v>1278.55</v>
      </c>
    </row>
    <row r="3695" spans="1:7" x14ac:dyDescent="0.2">
      <c r="A3695" s="3">
        <v>3430</v>
      </c>
      <c r="B3695" s="2">
        <v>1475.93</v>
      </c>
      <c r="C3695" s="38">
        <v>44663</v>
      </c>
      <c r="D3695" s="1" t="s">
        <v>91</v>
      </c>
      <c r="E3695" s="1" t="s">
        <v>38</v>
      </c>
      <c r="F3695" s="1" t="s">
        <v>202</v>
      </c>
      <c r="G3695" s="5">
        <v>0.43030000000000002</v>
      </c>
    </row>
    <row r="3696" spans="1:7" x14ac:dyDescent="0.2">
      <c r="A3696" s="3">
        <v>84</v>
      </c>
      <c r="B3696" s="2">
        <v>35363.160000000003</v>
      </c>
      <c r="C3696" s="38">
        <v>44671</v>
      </c>
      <c r="D3696" s="1" t="s">
        <v>145</v>
      </c>
      <c r="E3696" s="1" t="s">
        <v>38</v>
      </c>
      <c r="F3696" s="1" t="s">
        <v>202</v>
      </c>
      <c r="G3696" s="5">
        <v>420.99</v>
      </c>
    </row>
    <row r="3697" spans="1:7" x14ac:dyDescent="0.2">
      <c r="A3697" s="3">
        <v>120</v>
      </c>
      <c r="B3697" s="2">
        <v>21718.799999999999</v>
      </c>
      <c r="C3697" s="38">
        <v>44806</v>
      </c>
      <c r="D3697" s="1" t="s">
        <v>102</v>
      </c>
      <c r="E3697" s="1" t="s">
        <v>38</v>
      </c>
      <c r="F3697" s="1" t="s">
        <v>202</v>
      </c>
      <c r="G3697" s="5">
        <v>180.99</v>
      </c>
    </row>
    <row r="3698" spans="1:7" x14ac:dyDescent="0.2">
      <c r="A3698" s="3">
        <v>1820</v>
      </c>
      <c r="B3698" s="2">
        <v>4313.3999999999996</v>
      </c>
      <c r="C3698" s="38">
        <v>44812</v>
      </c>
      <c r="D3698" s="1" t="s">
        <v>68</v>
      </c>
      <c r="E3698" s="1" t="s">
        <v>38</v>
      </c>
      <c r="F3698" s="1" t="s">
        <v>202</v>
      </c>
      <c r="G3698" s="5">
        <v>2.37</v>
      </c>
    </row>
    <row r="3699" spans="1:7" x14ac:dyDescent="0.2">
      <c r="A3699" s="3">
        <v>588</v>
      </c>
      <c r="B3699" s="2">
        <v>54666.36</v>
      </c>
      <c r="C3699" s="38">
        <v>44813</v>
      </c>
      <c r="D3699" s="1" t="s">
        <v>84</v>
      </c>
      <c r="E3699" s="1" t="s">
        <v>38</v>
      </c>
      <c r="F3699" s="1" t="s">
        <v>202</v>
      </c>
      <c r="G3699" s="5">
        <v>92.97</v>
      </c>
    </row>
    <row r="3700" spans="1:7" x14ac:dyDescent="0.2">
      <c r="A3700" s="3">
        <v>229</v>
      </c>
      <c r="B3700" s="2">
        <v>3135.01</v>
      </c>
      <c r="C3700" s="38">
        <v>44817</v>
      </c>
      <c r="D3700" s="1" t="s">
        <v>99</v>
      </c>
      <c r="E3700" s="1" t="s">
        <v>38</v>
      </c>
      <c r="F3700" s="1" t="s">
        <v>202</v>
      </c>
      <c r="G3700" s="5">
        <v>13.69</v>
      </c>
    </row>
    <row r="3701" spans="1:7" x14ac:dyDescent="0.2">
      <c r="A3701" s="3">
        <v>1820</v>
      </c>
      <c r="B3701" s="2">
        <v>4113.2</v>
      </c>
      <c r="C3701" s="38">
        <v>44820</v>
      </c>
      <c r="D3701" s="1" t="s">
        <v>94</v>
      </c>
      <c r="E3701" s="1" t="s">
        <v>38</v>
      </c>
      <c r="F3701" s="1" t="s">
        <v>202</v>
      </c>
      <c r="G3701" s="5">
        <v>2.2599999999999998</v>
      </c>
    </row>
    <row r="3702" spans="1:7" x14ac:dyDescent="0.2">
      <c r="A3702" s="3">
        <v>1820</v>
      </c>
      <c r="B3702" s="2">
        <v>4113.2</v>
      </c>
      <c r="C3702" s="38">
        <v>44820</v>
      </c>
      <c r="D3702" s="1" t="s">
        <v>94</v>
      </c>
      <c r="E3702" s="1" t="s">
        <v>38</v>
      </c>
      <c r="F3702" s="1" t="s">
        <v>202</v>
      </c>
      <c r="G3702" s="5">
        <v>2.2599999999999998</v>
      </c>
    </row>
    <row r="3703" spans="1:7" x14ac:dyDescent="0.2">
      <c r="A3703" s="3">
        <v>1820</v>
      </c>
      <c r="B3703" s="2">
        <v>4113.2</v>
      </c>
      <c r="C3703" s="38">
        <v>44820</v>
      </c>
      <c r="D3703" s="1" t="s">
        <v>94</v>
      </c>
      <c r="E3703" s="1" t="s">
        <v>38</v>
      </c>
      <c r="F3703" s="1" t="s">
        <v>202</v>
      </c>
      <c r="G3703" s="5">
        <v>2.2599999999999998</v>
      </c>
    </row>
    <row r="3704" spans="1:7" x14ac:dyDescent="0.2">
      <c r="A3704" s="3">
        <v>17</v>
      </c>
      <c r="B3704" s="2">
        <v>232.73</v>
      </c>
      <c r="C3704" s="38">
        <v>44820</v>
      </c>
      <c r="D3704" s="1" t="s">
        <v>99</v>
      </c>
      <c r="E3704" s="1" t="s">
        <v>38</v>
      </c>
      <c r="F3704" s="1" t="s">
        <v>202</v>
      </c>
      <c r="G3704" s="5">
        <v>13.69</v>
      </c>
    </row>
    <row r="3705" spans="1:7" x14ac:dyDescent="0.2">
      <c r="A3705" s="3">
        <v>205</v>
      </c>
      <c r="B3705" s="2">
        <v>2806.45</v>
      </c>
      <c r="C3705" s="38">
        <v>44820</v>
      </c>
      <c r="D3705" s="1" t="s">
        <v>99</v>
      </c>
      <c r="E3705" s="1" t="s">
        <v>38</v>
      </c>
      <c r="F3705" s="1" t="s">
        <v>202</v>
      </c>
      <c r="G3705" s="5">
        <v>13.69</v>
      </c>
    </row>
    <row r="3706" spans="1:7" x14ac:dyDescent="0.2">
      <c r="A3706" s="3">
        <v>222</v>
      </c>
      <c r="B3706" s="2">
        <v>3039.18</v>
      </c>
      <c r="C3706" s="38">
        <v>44820</v>
      </c>
      <c r="D3706" s="1" t="s">
        <v>99</v>
      </c>
      <c r="E3706" s="1" t="s">
        <v>38</v>
      </c>
      <c r="F3706" s="1" t="s">
        <v>202</v>
      </c>
      <c r="G3706" s="5">
        <v>13.69</v>
      </c>
    </row>
    <row r="3707" spans="1:7" x14ac:dyDescent="0.2">
      <c r="A3707" s="3">
        <v>132</v>
      </c>
      <c r="B3707" s="2">
        <v>1807.08</v>
      </c>
      <c r="C3707" s="38">
        <v>44820</v>
      </c>
      <c r="D3707" s="1" t="s">
        <v>99</v>
      </c>
      <c r="E3707" s="1" t="s">
        <v>38</v>
      </c>
      <c r="F3707" s="1" t="s">
        <v>202</v>
      </c>
      <c r="G3707" s="5">
        <v>13.69</v>
      </c>
    </row>
    <row r="3708" spans="1:7" x14ac:dyDescent="0.2">
      <c r="A3708" s="3">
        <v>400</v>
      </c>
      <c r="B3708" s="2">
        <v>5476</v>
      </c>
      <c r="C3708" s="38">
        <v>44820</v>
      </c>
      <c r="D3708" s="1" t="s">
        <v>99</v>
      </c>
      <c r="E3708" s="1" t="s">
        <v>38</v>
      </c>
      <c r="F3708" s="1" t="s">
        <v>202</v>
      </c>
      <c r="G3708" s="5">
        <v>13.69</v>
      </c>
    </row>
    <row r="3709" spans="1:7" x14ac:dyDescent="0.2">
      <c r="A3709" s="3">
        <v>24</v>
      </c>
      <c r="B3709" s="2">
        <v>328.56</v>
      </c>
      <c r="C3709" s="38">
        <v>44820</v>
      </c>
      <c r="D3709" s="1" t="s">
        <v>99</v>
      </c>
      <c r="E3709" s="1" t="s">
        <v>38</v>
      </c>
      <c r="F3709" s="1" t="s">
        <v>202</v>
      </c>
      <c r="G3709" s="5">
        <v>13.69</v>
      </c>
    </row>
    <row r="3710" spans="1:7" x14ac:dyDescent="0.2">
      <c r="A3710" s="3">
        <v>268</v>
      </c>
      <c r="B3710" s="2">
        <v>3668.92</v>
      </c>
      <c r="C3710" s="38">
        <v>44823</v>
      </c>
      <c r="D3710" s="1" t="s">
        <v>99</v>
      </c>
      <c r="E3710" s="1" t="s">
        <v>38</v>
      </c>
      <c r="F3710" s="1" t="s">
        <v>202</v>
      </c>
      <c r="G3710" s="5">
        <v>13.69</v>
      </c>
    </row>
    <row r="3711" spans="1:7" x14ac:dyDescent="0.2">
      <c r="A3711" s="3">
        <v>222</v>
      </c>
      <c r="B3711" s="2">
        <v>3039.18</v>
      </c>
      <c r="C3711" s="38">
        <v>44825</v>
      </c>
      <c r="D3711" s="1" t="s">
        <v>99</v>
      </c>
      <c r="E3711" s="1" t="s">
        <v>38</v>
      </c>
      <c r="F3711" s="1" t="s">
        <v>202</v>
      </c>
      <c r="G3711" s="5">
        <v>13.69</v>
      </c>
    </row>
    <row r="3712" spans="1:7" x14ac:dyDescent="0.2">
      <c r="A3712" s="3">
        <v>320</v>
      </c>
      <c r="B3712" s="2">
        <v>4380.8</v>
      </c>
      <c r="C3712" s="38">
        <v>44825</v>
      </c>
      <c r="D3712" s="1" t="s">
        <v>99</v>
      </c>
      <c r="E3712" s="1" t="s">
        <v>38</v>
      </c>
      <c r="F3712" s="1" t="s">
        <v>202</v>
      </c>
      <c r="G3712" s="5">
        <v>13.69</v>
      </c>
    </row>
    <row r="3713" spans="1:7" x14ac:dyDescent="0.2">
      <c r="A3713" s="3">
        <v>438</v>
      </c>
      <c r="B3713" s="2">
        <v>5996.22</v>
      </c>
      <c r="C3713" s="38">
        <v>44825</v>
      </c>
      <c r="D3713" s="1" t="s">
        <v>99</v>
      </c>
      <c r="E3713" s="1" t="s">
        <v>38</v>
      </c>
      <c r="F3713" s="1" t="s">
        <v>202</v>
      </c>
      <c r="G3713" s="5">
        <v>13.69</v>
      </c>
    </row>
    <row r="3714" spans="1:7" x14ac:dyDescent="0.2">
      <c r="A3714" s="3">
        <v>7</v>
      </c>
      <c r="B3714" s="2">
        <v>95.83</v>
      </c>
      <c r="C3714" s="38">
        <v>44825</v>
      </c>
      <c r="D3714" s="1" t="s">
        <v>99</v>
      </c>
      <c r="E3714" s="1" t="s">
        <v>38</v>
      </c>
      <c r="F3714" s="1" t="s">
        <v>202</v>
      </c>
      <c r="G3714" s="5">
        <v>13.69</v>
      </c>
    </row>
    <row r="3715" spans="1:7" x14ac:dyDescent="0.2">
      <c r="A3715" s="3">
        <v>209</v>
      </c>
      <c r="B3715" s="2">
        <v>2861.21</v>
      </c>
      <c r="C3715" s="38">
        <v>44825</v>
      </c>
      <c r="D3715" s="1" t="s">
        <v>99</v>
      </c>
      <c r="E3715" s="1" t="s">
        <v>38</v>
      </c>
      <c r="F3715" s="1" t="s">
        <v>202</v>
      </c>
      <c r="G3715" s="5">
        <v>13.69</v>
      </c>
    </row>
    <row r="3716" spans="1:7" x14ac:dyDescent="0.2">
      <c r="A3716" s="3">
        <v>13</v>
      </c>
      <c r="B3716" s="2">
        <v>177.97</v>
      </c>
      <c r="C3716" s="38">
        <v>44825</v>
      </c>
      <c r="D3716" s="1" t="s">
        <v>99</v>
      </c>
      <c r="E3716" s="1" t="s">
        <v>38</v>
      </c>
      <c r="F3716" s="1" t="s">
        <v>202</v>
      </c>
      <c r="G3716" s="5">
        <v>13.69</v>
      </c>
    </row>
    <row r="3717" spans="1:7" x14ac:dyDescent="0.2">
      <c r="A3717" s="3">
        <v>252</v>
      </c>
      <c r="B3717" s="2">
        <v>106089.48</v>
      </c>
      <c r="C3717" s="38">
        <v>44832</v>
      </c>
      <c r="D3717" s="1" t="s">
        <v>145</v>
      </c>
      <c r="E3717" s="1" t="s">
        <v>38</v>
      </c>
      <c r="F3717" s="1" t="s">
        <v>202</v>
      </c>
      <c r="G3717" s="5">
        <v>420.99</v>
      </c>
    </row>
    <row r="3718" spans="1:7" x14ac:dyDescent="0.2">
      <c r="A3718" s="3">
        <v>252</v>
      </c>
      <c r="B3718" s="2">
        <v>106089.48</v>
      </c>
      <c r="C3718" s="38">
        <v>44832</v>
      </c>
      <c r="D3718" s="1" t="s">
        <v>145</v>
      </c>
      <c r="E3718" s="1" t="s">
        <v>38</v>
      </c>
      <c r="F3718" s="1" t="s">
        <v>202</v>
      </c>
      <c r="G3718" s="5">
        <v>420.99</v>
      </c>
    </row>
    <row r="3719" spans="1:7" x14ac:dyDescent="0.2">
      <c r="A3719" s="3">
        <v>252</v>
      </c>
      <c r="B3719" s="2">
        <v>106089.48</v>
      </c>
      <c r="C3719" s="38">
        <v>44832</v>
      </c>
      <c r="D3719" s="1" t="s">
        <v>145</v>
      </c>
      <c r="E3719" s="1" t="s">
        <v>38</v>
      </c>
      <c r="F3719" s="1" t="s">
        <v>202</v>
      </c>
      <c r="G3719" s="5">
        <v>420.99</v>
      </c>
    </row>
    <row r="3720" spans="1:7" x14ac:dyDescent="0.2">
      <c r="A3720" s="3">
        <v>168</v>
      </c>
      <c r="B3720" s="2">
        <v>70726.320000000007</v>
      </c>
      <c r="C3720" s="38">
        <v>44832</v>
      </c>
      <c r="D3720" s="1" t="s">
        <v>145</v>
      </c>
      <c r="E3720" s="1" t="s">
        <v>38</v>
      </c>
      <c r="F3720" s="1" t="s">
        <v>202</v>
      </c>
      <c r="G3720" s="5">
        <v>420.99</v>
      </c>
    </row>
    <row r="3721" spans="1:7" x14ac:dyDescent="0.2">
      <c r="A3721" s="3">
        <v>84</v>
      </c>
      <c r="B3721" s="2">
        <v>35363.160000000003</v>
      </c>
      <c r="C3721" s="38">
        <v>44833</v>
      </c>
      <c r="D3721" s="1" t="s">
        <v>145</v>
      </c>
      <c r="E3721" s="1" t="s">
        <v>38</v>
      </c>
      <c r="F3721" s="1" t="s">
        <v>202</v>
      </c>
      <c r="G3721" s="5">
        <v>420.99</v>
      </c>
    </row>
    <row r="3722" spans="1:7" x14ac:dyDescent="0.2">
      <c r="A3722" s="3">
        <v>252</v>
      </c>
      <c r="B3722" s="2">
        <v>106089.48</v>
      </c>
      <c r="C3722" s="38">
        <v>44833</v>
      </c>
      <c r="D3722" s="1" t="s">
        <v>145</v>
      </c>
      <c r="E3722" s="1" t="s">
        <v>38</v>
      </c>
      <c r="F3722" s="1" t="s">
        <v>202</v>
      </c>
      <c r="G3722" s="5">
        <v>420.99</v>
      </c>
    </row>
    <row r="3723" spans="1:7" x14ac:dyDescent="0.2">
      <c r="A3723" s="3">
        <v>168</v>
      </c>
      <c r="B3723" s="2">
        <v>70726.320000000007</v>
      </c>
      <c r="C3723" s="38">
        <v>44833</v>
      </c>
      <c r="D3723" s="1" t="s">
        <v>145</v>
      </c>
      <c r="E3723" s="1" t="s">
        <v>38</v>
      </c>
      <c r="F3723" s="1" t="s">
        <v>202</v>
      </c>
      <c r="G3723" s="5">
        <v>420.99</v>
      </c>
    </row>
    <row r="3724" spans="1:7" x14ac:dyDescent="0.2">
      <c r="A3724" s="3">
        <v>252</v>
      </c>
      <c r="B3724" s="2">
        <v>106089.48</v>
      </c>
      <c r="C3724" s="38">
        <v>44834</v>
      </c>
      <c r="D3724" s="1" t="s">
        <v>145</v>
      </c>
      <c r="E3724" s="1" t="s">
        <v>38</v>
      </c>
      <c r="F3724" s="1" t="s">
        <v>202</v>
      </c>
      <c r="G3724" s="5">
        <v>420.99</v>
      </c>
    </row>
    <row r="3725" spans="1:7" x14ac:dyDescent="0.2">
      <c r="A3725" s="3">
        <v>432</v>
      </c>
      <c r="B3725" s="2">
        <v>83177.279999999999</v>
      </c>
      <c r="C3725" s="38">
        <v>44837</v>
      </c>
      <c r="D3725" s="1" t="s">
        <v>50</v>
      </c>
      <c r="E3725" s="1" t="s">
        <v>38</v>
      </c>
      <c r="F3725" s="1" t="s">
        <v>202</v>
      </c>
      <c r="G3725" s="5">
        <v>192.54</v>
      </c>
    </row>
    <row r="3726" spans="1:7" x14ac:dyDescent="0.2">
      <c r="A3726" s="3">
        <v>84</v>
      </c>
      <c r="B3726" s="2">
        <v>54459.72</v>
      </c>
      <c r="C3726" s="38">
        <v>44837</v>
      </c>
      <c r="D3726" s="1" t="s">
        <v>97</v>
      </c>
      <c r="E3726" s="1" t="s">
        <v>38</v>
      </c>
      <c r="F3726" s="1" t="s">
        <v>202</v>
      </c>
      <c r="G3726" s="5">
        <v>648.33000000000004</v>
      </c>
    </row>
    <row r="3727" spans="1:7" x14ac:dyDescent="0.2">
      <c r="A3727" s="3">
        <v>84</v>
      </c>
      <c r="B3727" s="2">
        <v>54459.72</v>
      </c>
      <c r="C3727" s="38">
        <v>44837</v>
      </c>
      <c r="D3727" s="1" t="s">
        <v>97</v>
      </c>
      <c r="E3727" s="1" t="s">
        <v>38</v>
      </c>
      <c r="F3727" s="1" t="s">
        <v>202</v>
      </c>
      <c r="G3727" s="5">
        <v>648.33000000000004</v>
      </c>
    </row>
    <row r="3728" spans="1:7" x14ac:dyDescent="0.2">
      <c r="A3728" s="3">
        <v>1120</v>
      </c>
      <c r="B3728" s="2">
        <v>58699.199999999997</v>
      </c>
      <c r="C3728" s="38">
        <v>44837</v>
      </c>
      <c r="D3728" s="1" t="s">
        <v>70</v>
      </c>
      <c r="E3728" s="1" t="s">
        <v>38</v>
      </c>
      <c r="F3728" s="1" t="s">
        <v>202</v>
      </c>
      <c r="G3728" s="5">
        <v>52.41</v>
      </c>
    </row>
    <row r="3729" spans="1:7" x14ac:dyDescent="0.2">
      <c r="A3729" s="3">
        <v>1120</v>
      </c>
      <c r="B3729" s="2">
        <v>58699.199999999997</v>
      </c>
      <c r="C3729" s="38">
        <v>44837</v>
      </c>
      <c r="D3729" s="1" t="s">
        <v>70</v>
      </c>
      <c r="E3729" s="1" t="s">
        <v>38</v>
      </c>
      <c r="F3729" s="1" t="s">
        <v>202</v>
      </c>
      <c r="G3729" s="5">
        <v>52.41</v>
      </c>
    </row>
    <row r="3730" spans="1:7" x14ac:dyDescent="0.2">
      <c r="A3730" s="3">
        <v>1120</v>
      </c>
      <c r="B3730" s="2">
        <v>58699.199999999997</v>
      </c>
      <c r="C3730" s="38">
        <v>44837</v>
      </c>
      <c r="D3730" s="1" t="s">
        <v>70</v>
      </c>
      <c r="E3730" s="1" t="s">
        <v>38</v>
      </c>
      <c r="F3730" s="1" t="s">
        <v>202</v>
      </c>
      <c r="G3730" s="5">
        <v>52.41</v>
      </c>
    </row>
    <row r="3731" spans="1:7" x14ac:dyDescent="0.2">
      <c r="A3731" s="3">
        <v>1120</v>
      </c>
      <c r="B3731" s="2">
        <v>58699.199999999997</v>
      </c>
      <c r="C3731" s="38">
        <v>44837</v>
      </c>
      <c r="D3731" s="1" t="s">
        <v>70</v>
      </c>
      <c r="E3731" s="1" t="s">
        <v>38</v>
      </c>
      <c r="F3731" s="1" t="s">
        <v>202</v>
      </c>
      <c r="G3731" s="5">
        <v>52.41</v>
      </c>
    </row>
    <row r="3732" spans="1:7" x14ac:dyDescent="0.2">
      <c r="A3732" s="3">
        <v>1120</v>
      </c>
      <c r="B3732" s="2">
        <v>58699.199999999997</v>
      </c>
      <c r="C3732" s="38">
        <v>44837</v>
      </c>
      <c r="D3732" s="1" t="s">
        <v>70</v>
      </c>
      <c r="E3732" s="1" t="s">
        <v>38</v>
      </c>
      <c r="F3732" s="1" t="s">
        <v>202</v>
      </c>
      <c r="G3732" s="5">
        <v>52.41</v>
      </c>
    </row>
    <row r="3733" spans="1:7" x14ac:dyDescent="0.2">
      <c r="A3733" s="3">
        <v>1120</v>
      </c>
      <c r="B3733" s="2">
        <v>58699.199999999997</v>
      </c>
      <c r="C3733" s="38">
        <v>44837</v>
      </c>
      <c r="D3733" s="1" t="s">
        <v>70</v>
      </c>
      <c r="E3733" s="1" t="s">
        <v>38</v>
      </c>
      <c r="F3733" s="1" t="s">
        <v>202</v>
      </c>
      <c r="G3733" s="5">
        <v>52.41</v>
      </c>
    </row>
    <row r="3734" spans="1:7" x14ac:dyDescent="0.2">
      <c r="A3734" s="3">
        <v>1820</v>
      </c>
      <c r="B3734" s="2">
        <v>4313.3999999999996</v>
      </c>
      <c r="C3734" s="38">
        <v>44839</v>
      </c>
      <c r="D3734" s="1" t="s">
        <v>68</v>
      </c>
      <c r="E3734" s="1" t="s">
        <v>38</v>
      </c>
      <c r="F3734" s="1" t="s">
        <v>202</v>
      </c>
      <c r="G3734" s="5">
        <v>2.37</v>
      </c>
    </row>
    <row r="3735" spans="1:7" x14ac:dyDescent="0.2">
      <c r="A3735" s="3">
        <v>1120</v>
      </c>
      <c r="B3735" s="2">
        <v>58699.199999999997</v>
      </c>
      <c r="C3735" s="38">
        <v>44839</v>
      </c>
      <c r="D3735" s="1" t="s">
        <v>70</v>
      </c>
      <c r="E3735" s="1" t="s">
        <v>38</v>
      </c>
      <c r="F3735" s="1" t="s">
        <v>202</v>
      </c>
      <c r="G3735" s="5">
        <v>52.41</v>
      </c>
    </row>
    <row r="3736" spans="1:7" x14ac:dyDescent="0.2">
      <c r="A3736" s="3">
        <v>1120</v>
      </c>
      <c r="B3736" s="2">
        <v>58699.199999999997</v>
      </c>
      <c r="C3736" s="38">
        <v>44839</v>
      </c>
      <c r="D3736" s="1" t="s">
        <v>70</v>
      </c>
      <c r="E3736" s="1" t="s">
        <v>38</v>
      </c>
      <c r="F3736" s="1" t="s">
        <v>202</v>
      </c>
      <c r="G3736" s="5">
        <v>52.41</v>
      </c>
    </row>
    <row r="3737" spans="1:7" x14ac:dyDescent="0.2">
      <c r="A3737" s="3">
        <v>1120</v>
      </c>
      <c r="B3737" s="2">
        <v>7560</v>
      </c>
      <c r="C3737" s="38">
        <v>44839</v>
      </c>
      <c r="D3737" s="1" t="s">
        <v>111</v>
      </c>
      <c r="E3737" s="1" t="s">
        <v>38</v>
      </c>
      <c r="F3737" s="1" t="s">
        <v>202</v>
      </c>
      <c r="G3737" s="5">
        <v>6.75</v>
      </c>
    </row>
    <row r="3738" spans="1:7" x14ac:dyDescent="0.2">
      <c r="A3738" s="3">
        <v>420</v>
      </c>
      <c r="B3738" s="2">
        <v>4141.2</v>
      </c>
      <c r="C3738" s="38">
        <v>44844</v>
      </c>
      <c r="D3738" s="1" t="s">
        <v>67</v>
      </c>
      <c r="E3738" s="1" t="s">
        <v>38</v>
      </c>
      <c r="F3738" s="1" t="s">
        <v>202</v>
      </c>
      <c r="G3738" s="5">
        <v>9.86</v>
      </c>
    </row>
    <row r="3739" spans="1:7" x14ac:dyDescent="0.2">
      <c r="A3739" s="3">
        <v>3780</v>
      </c>
      <c r="B3739" s="2">
        <v>52466.400000000001</v>
      </c>
      <c r="C3739" s="38">
        <v>44845</v>
      </c>
      <c r="D3739" s="1" t="s">
        <v>59</v>
      </c>
      <c r="E3739" s="1" t="s">
        <v>38</v>
      </c>
      <c r="F3739" s="1" t="s">
        <v>202</v>
      </c>
      <c r="G3739" s="5">
        <v>13.88</v>
      </c>
    </row>
    <row r="3740" spans="1:7" x14ac:dyDescent="0.2">
      <c r="A3740" s="3">
        <v>120</v>
      </c>
      <c r="B3740" s="2">
        <v>21718.799999999999</v>
      </c>
      <c r="C3740" s="38">
        <v>44930</v>
      </c>
      <c r="D3740" s="1" t="s">
        <v>102</v>
      </c>
      <c r="E3740" s="1" t="s">
        <v>38</v>
      </c>
      <c r="F3740" s="1" t="s">
        <v>202</v>
      </c>
      <c r="G3740" s="5">
        <v>180.99</v>
      </c>
    </row>
    <row r="3741" spans="1:7" x14ac:dyDescent="0.2">
      <c r="A3741" s="3">
        <v>588</v>
      </c>
      <c r="B3741" s="2">
        <v>128813.16</v>
      </c>
      <c r="C3741" s="38">
        <v>44853</v>
      </c>
      <c r="D3741" s="1" t="s">
        <v>75</v>
      </c>
      <c r="E3741" s="1" t="s">
        <v>38</v>
      </c>
      <c r="F3741" s="1" t="s">
        <v>202</v>
      </c>
      <c r="G3741" s="5">
        <v>219.07</v>
      </c>
    </row>
    <row r="3742" spans="1:7" x14ac:dyDescent="0.2">
      <c r="A3742" s="3">
        <v>1120</v>
      </c>
      <c r="B3742" s="2">
        <v>58699.199999999997</v>
      </c>
      <c r="C3742" s="38">
        <v>44855</v>
      </c>
      <c r="D3742" s="1" t="s">
        <v>70</v>
      </c>
      <c r="E3742" s="1" t="s">
        <v>38</v>
      </c>
      <c r="F3742" s="1" t="s">
        <v>202</v>
      </c>
      <c r="G3742" s="5">
        <v>52.41</v>
      </c>
    </row>
    <row r="3743" spans="1:7" x14ac:dyDescent="0.2">
      <c r="A3743" s="3">
        <v>3780</v>
      </c>
      <c r="B3743" s="2">
        <v>52466.400000000001</v>
      </c>
      <c r="C3743" s="38">
        <v>44859</v>
      </c>
      <c r="D3743" s="1" t="s">
        <v>59</v>
      </c>
      <c r="E3743" s="1" t="s">
        <v>38</v>
      </c>
      <c r="F3743" s="1" t="s">
        <v>202</v>
      </c>
      <c r="G3743" s="5">
        <v>13.88</v>
      </c>
    </row>
    <row r="3744" spans="1:7" x14ac:dyDescent="0.2">
      <c r="A3744" s="3">
        <v>1008</v>
      </c>
      <c r="B3744" s="2">
        <v>44956.800000000003</v>
      </c>
      <c r="C3744" s="38">
        <v>44860</v>
      </c>
      <c r="D3744" s="1" t="s">
        <v>82</v>
      </c>
      <c r="E3744" s="1" t="s">
        <v>38</v>
      </c>
      <c r="F3744" s="1" t="s">
        <v>202</v>
      </c>
      <c r="G3744" s="5">
        <v>44.6</v>
      </c>
    </row>
    <row r="3745" spans="1:7" x14ac:dyDescent="0.2">
      <c r="A3745" s="3">
        <v>120</v>
      </c>
      <c r="B3745" s="2">
        <v>21718.799999999999</v>
      </c>
      <c r="C3745" s="38">
        <v>44862</v>
      </c>
      <c r="D3745" s="1" t="s">
        <v>102</v>
      </c>
      <c r="E3745" s="1" t="s">
        <v>38</v>
      </c>
      <c r="F3745" s="1" t="s">
        <v>202</v>
      </c>
      <c r="G3745" s="5">
        <v>180.99</v>
      </c>
    </row>
    <row r="3746" spans="1:7" x14ac:dyDescent="0.2">
      <c r="A3746" s="3">
        <v>588</v>
      </c>
      <c r="B3746" s="2">
        <v>128813.16</v>
      </c>
      <c r="C3746" s="38">
        <v>44868</v>
      </c>
      <c r="D3746" s="1" t="s">
        <v>75</v>
      </c>
      <c r="E3746" s="1" t="s">
        <v>38</v>
      </c>
      <c r="F3746" s="1" t="s">
        <v>202</v>
      </c>
      <c r="G3746" s="5">
        <v>219.07</v>
      </c>
    </row>
    <row r="3747" spans="1:7" x14ac:dyDescent="0.2">
      <c r="A3747" s="3">
        <v>420</v>
      </c>
      <c r="B3747" s="2">
        <v>4141.2</v>
      </c>
      <c r="C3747" s="38">
        <v>44882</v>
      </c>
      <c r="D3747" s="1" t="s">
        <v>67</v>
      </c>
      <c r="E3747" s="1" t="s">
        <v>38</v>
      </c>
      <c r="F3747" s="1" t="s">
        <v>202</v>
      </c>
      <c r="G3747" s="5">
        <v>9.86</v>
      </c>
    </row>
    <row r="3748" spans="1:7" x14ac:dyDescent="0.2">
      <c r="A3748" s="3">
        <v>1120</v>
      </c>
      <c r="B3748" s="2">
        <v>58699.199999999997</v>
      </c>
      <c r="C3748" s="38">
        <v>44883</v>
      </c>
      <c r="D3748" s="1" t="s">
        <v>70</v>
      </c>
      <c r="E3748" s="1" t="s">
        <v>38</v>
      </c>
      <c r="F3748" s="1" t="s">
        <v>202</v>
      </c>
      <c r="G3748" s="5">
        <v>52.41</v>
      </c>
    </row>
    <row r="3749" spans="1:7" x14ac:dyDescent="0.2">
      <c r="A3749" s="3">
        <v>420</v>
      </c>
      <c r="B3749" s="2">
        <v>4141.2</v>
      </c>
      <c r="C3749" s="38">
        <v>44894</v>
      </c>
      <c r="D3749" s="1" t="s">
        <v>67</v>
      </c>
      <c r="E3749" s="1" t="s">
        <v>38</v>
      </c>
      <c r="F3749" s="1" t="s">
        <v>202</v>
      </c>
      <c r="G3749" s="5">
        <v>9.86</v>
      </c>
    </row>
    <row r="3750" spans="1:7" x14ac:dyDescent="0.2">
      <c r="A3750" s="3">
        <v>308</v>
      </c>
      <c r="B3750" s="2">
        <v>18415.32</v>
      </c>
      <c r="C3750" s="38">
        <v>44896</v>
      </c>
      <c r="D3750" s="1" t="s">
        <v>110</v>
      </c>
      <c r="E3750" s="1" t="s">
        <v>38</v>
      </c>
      <c r="F3750" s="1" t="s">
        <v>202</v>
      </c>
      <c r="G3750" s="5">
        <v>59.79</v>
      </c>
    </row>
    <row r="3751" spans="1:7" x14ac:dyDescent="0.2">
      <c r="A3751" s="3">
        <v>50</v>
      </c>
      <c r="B3751" s="2">
        <v>37927.5</v>
      </c>
      <c r="C3751" s="38">
        <v>44897</v>
      </c>
      <c r="D3751" s="1" t="s">
        <v>108</v>
      </c>
      <c r="E3751" s="1" t="s">
        <v>38</v>
      </c>
      <c r="F3751" s="1" t="s">
        <v>202</v>
      </c>
      <c r="G3751" s="5">
        <v>758.55</v>
      </c>
    </row>
    <row r="3752" spans="1:7" x14ac:dyDescent="0.2">
      <c r="A3752" s="3">
        <v>9</v>
      </c>
      <c r="B3752" s="2">
        <v>6826.95</v>
      </c>
      <c r="C3752" s="38">
        <v>44901</v>
      </c>
      <c r="D3752" s="1" t="s">
        <v>108</v>
      </c>
      <c r="E3752" s="1" t="s">
        <v>38</v>
      </c>
      <c r="F3752" s="1" t="s">
        <v>202</v>
      </c>
      <c r="G3752" s="5">
        <v>758.55</v>
      </c>
    </row>
    <row r="3753" spans="1:7" x14ac:dyDescent="0.2">
      <c r="A3753" s="3">
        <v>348</v>
      </c>
      <c r="B3753" s="2">
        <v>12604.56</v>
      </c>
      <c r="C3753" s="38">
        <v>44708</v>
      </c>
      <c r="D3753" s="1" t="s">
        <v>46</v>
      </c>
      <c r="E3753" s="1" t="s">
        <v>38</v>
      </c>
      <c r="F3753" s="1" t="s">
        <v>202</v>
      </c>
      <c r="G3753" s="5">
        <v>36.22</v>
      </c>
    </row>
    <row r="3754" spans="1:7" x14ac:dyDescent="0.2">
      <c r="A3754" s="3">
        <v>348</v>
      </c>
      <c r="B3754" s="2">
        <v>12604.56</v>
      </c>
      <c r="C3754" s="38">
        <v>44708</v>
      </c>
      <c r="D3754" s="1" t="s">
        <v>46</v>
      </c>
      <c r="E3754" s="1" t="s">
        <v>38</v>
      </c>
      <c r="F3754" s="1" t="s">
        <v>202</v>
      </c>
      <c r="G3754" s="5">
        <v>36.22</v>
      </c>
    </row>
    <row r="3755" spans="1:7" x14ac:dyDescent="0.2">
      <c r="A3755" s="3">
        <v>147</v>
      </c>
      <c r="B3755" s="2">
        <v>51078.09</v>
      </c>
      <c r="C3755" s="38">
        <v>44740</v>
      </c>
      <c r="D3755" s="1" t="s">
        <v>77</v>
      </c>
      <c r="E3755" s="1" t="s">
        <v>38</v>
      </c>
      <c r="F3755" s="1" t="s">
        <v>202</v>
      </c>
      <c r="G3755" s="5">
        <v>347.47</v>
      </c>
    </row>
    <row r="3756" spans="1:7" x14ac:dyDescent="0.2">
      <c r="A3756" s="3">
        <v>334</v>
      </c>
      <c r="B3756" s="2">
        <v>12097.48</v>
      </c>
      <c r="C3756" s="38">
        <v>44741</v>
      </c>
      <c r="D3756" s="1" t="s">
        <v>46</v>
      </c>
      <c r="E3756" s="1" t="s">
        <v>38</v>
      </c>
      <c r="F3756" s="1" t="s">
        <v>202</v>
      </c>
      <c r="G3756" s="5">
        <v>36.22</v>
      </c>
    </row>
    <row r="3757" spans="1:7" x14ac:dyDescent="0.2">
      <c r="A3757" s="3">
        <v>588</v>
      </c>
      <c r="B3757" s="2">
        <v>135869.16</v>
      </c>
      <c r="C3757" s="38">
        <v>45149</v>
      </c>
      <c r="D3757" s="1" t="s">
        <v>75</v>
      </c>
      <c r="E3757" s="1" t="s">
        <v>38</v>
      </c>
      <c r="F3757" s="1" t="s">
        <v>202</v>
      </c>
      <c r="G3757" s="5">
        <v>231.07</v>
      </c>
    </row>
    <row r="3758" spans="1:7" x14ac:dyDescent="0.2">
      <c r="A3758" s="3">
        <v>420</v>
      </c>
      <c r="B3758" s="2">
        <v>4363.8</v>
      </c>
      <c r="C3758" s="38">
        <v>45153</v>
      </c>
      <c r="D3758" s="1" t="s">
        <v>67</v>
      </c>
      <c r="E3758" s="1" t="s">
        <v>38</v>
      </c>
      <c r="F3758" s="1" t="s">
        <v>202</v>
      </c>
      <c r="G3758" s="5">
        <v>10.39</v>
      </c>
    </row>
    <row r="3759" spans="1:7" x14ac:dyDescent="0.2">
      <c r="A3759" s="3">
        <v>420</v>
      </c>
      <c r="B3759" s="2">
        <v>4363.8</v>
      </c>
      <c r="C3759" s="38">
        <v>45153</v>
      </c>
      <c r="D3759" s="1" t="s">
        <v>67</v>
      </c>
      <c r="E3759" s="1" t="s">
        <v>38</v>
      </c>
      <c r="F3759" s="1" t="s">
        <v>202</v>
      </c>
      <c r="G3759" s="5">
        <v>10.39</v>
      </c>
    </row>
    <row r="3760" spans="1:7" x14ac:dyDescent="0.2">
      <c r="A3760" s="3">
        <v>70</v>
      </c>
      <c r="B3760" s="2">
        <v>35321.300000000003</v>
      </c>
      <c r="C3760" s="38">
        <v>45166</v>
      </c>
      <c r="D3760" s="1" t="s">
        <v>101</v>
      </c>
      <c r="E3760" s="1" t="s">
        <v>38</v>
      </c>
      <c r="F3760" s="1" t="s">
        <v>202</v>
      </c>
      <c r="G3760" s="5">
        <v>504.59</v>
      </c>
    </row>
    <row r="3761" spans="1:7" x14ac:dyDescent="0.2">
      <c r="A3761" s="3">
        <v>70</v>
      </c>
      <c r="B3761" s="2">
        <v>35321.300000000003</v>
      </c>
      <c r="C3761" s="38">
        <v>45167</v>
      </c>
      <c r="D3761" s="1" t="s">
        <v>101</v>
      </c>
      <c r="E3761" s="1" t="s">
        <v>38</v>
      </c>
      <c r="F3761" s="1" t="s">
        <v>202</v>
      </c>
      <c r="G3761" s="5">
        <v>504.59</v>
      </c>
    </row>
    <row r="3762" spans="1:7" x14ac:dyDescent="0.2">
      <c r="A3762" s="3">
        <v>252</v>
      </c>
      <c r="B3762" s="2">
        <v>6226.92</v>
      </c>
      <c r="C3762" s="38">
        <v>45168</v>
      </c>
      <c r="D3762" s="1" t="s">
        <v>112</v>
      </c>
      <c r="E3762" s="1" t="s">
        <v>38</v>
      </c>
      <c r="F3762" s="1" t="s">
        <v>202</v>
      </c>
      <c r="G3762" s="5">
        <v>24.71</v>
      </c>
    </row>
    <row r="3763" spans="1:7" x14ac:dyDescent="0.2">
      <c r="A3763" s="3">
        <v>463</v>
      </c>
      <c r="B3763" s="2">
        <v>45633.279999999999</v>
      </c>
      <c r="C3763" s="38">
        <v>45175</v>
      </c>
      <c r="D3763" s="1" t="s">
        <v>84</v>
      </c>
      <c r="E3763" s="1" t="s">
        <v>38</v>
      </c>
      <c r="F3763" s="1" t="s">
        <v>202</v>
      </c>
      <c r="G3763" s="5">
        <v>98.56</v>
      </c>
    </row>
    <row r="3764" spans="1:7" x14ac:dyDescent="0.2">
      <c r="A3764" s="3">
        <v>166</v>
      </c>
      <c r="B3764" s="2">
        <v>118582.1</v>
      </c>
      <c r="C3764" s="38">
        <v>45175</v>
      </c>
      <c r="D3764" s="1" t="s">
        <v>108</v>
      </c>
      <c r="E3764" s="1" t="s">
        <v>38</v>
      </c>
      <c r="F3764" s="1" t="s">
        <v>202</v>
      </c>
      <c r="G3764" s="5">
        <v>714.35</v>
      </c>
    </row>
    <row r="3765" spans="1:7" x14ac:dyDescent="0.2">
      <c r="A3765" s="3">
        <v>216</v>
      </c>
      <c r="B3765" s="2">
        <v>154299.6</v>
      </c>
      <c r="C3765" s="38">
        <v>45175</v>
      </c>
      <c r="D3765" s="1" t="s">
        <v>108</v>
      </c>
      <c r="E3765" s="1" t="s">
        <v>38</v>
      </c>
      <c r="F3765" s="1" t="s">
        <v>202</v>
      </c>
      <c r="G3765" s="5">
        <v>714.35</v>
      </c>
    </row>
    <row r="3766" spans="1:7" x14ac:dyDescent="0.2">
      <c r="A3766" s="3">
        <v>216</v>
      </c>
      <c r="B3766" s="2">
        <v>154299.6</v>
      </c>
      <c r="C3766" s="38">
        <v>45175</v>
      </c>
      <c r="D3766" s="1" t="s">
        <v>108</v>
      </c>
      <c r="E3766" s="1" t="s">
        <v>38</v>
      </c>
      <c r="F3766" s="1" t="s">
        <v>202</v>
      </c>
      <c r="G3766" s="5">
        <v>714.35</v>
      </c>
    </row>
    <row r="3767" spans="1:7" x14ac:dyDescent="0.2">
      <c r="A3767" s="3">
        <v>14</v>
      </c>
      <c r="B3767" s="2">
        <v>10000.9</v>
      </c>
      <c r="C3767" s="38">
        <v>45175</v>
      </c>
      <c r="D3767" s="1" t="s">
        <v>108</v>
      </c>
      <c r="E3767" s="1" t="s">
        <v>38</v>
      </c>
      <c r="F3767" s="1" t="s">
        <v>202</v>
      </c>
      <c r="G3767" s="5">
        <v>714.35</v>
      </c>
    </row>
    <row r="3768" spans="1:7" x14ac:dyDescent="0.2">
      <c r="A3768" s="3">
        <v>11</v>
      </c>
      <c r="B3768" s="2">
        <v>8344.0499999999993</v>
      </c>
      <c r="C3768" s="38">
        <v>44939</v>
      </c>
      <c r="D3768" s="1" t="s">
        <v>108</v>
      </c>
      <c r="E3768" s="1" t="s">
        <v>38</v>
      </c>
      <c r="F3768" s="1" t="s">
        <v>202</v>
      </c>
      <c r="G3768" s="5">
        <v>758.55</v>
      </c>
    </row>
    <row r="3769" spans="1:7" x14ac:dyDescent="0.2">
      <c r="A3769" s="3">
        <v>84</v>
      </c>
      <c r="B3769" s="2">
        <v>57440.04</v>
      </c>
      <c r="C3769" s="38">
        <v>44942</v>
      </c>
      <c r="D3769" s="1" t="s">
        <v>97</v>
      </c>
      <c r="E3769" s="1" t="s">
        <v>38</v>
      </c>
      <c r="F3769" s="1" t="s">
        <v>202</v>
      </c>
      <c r="G3769" s="5">
        <v>683.81</v>
      </c>
    </row>
    <row r="3770" spans="1:7" x14ac:dyDescent="0.2">
      <c r="A3770" s="3">
        <v>120</v>
      </c>
      <c r="B3770" s="2">
        <v>21718.799999999999</v>
      </c>
      <c r="C3770" s="38">
        <v>44945</v>
      </c>
      <c r="D3770" s="1" t="s">
        <v>102</v>
      </c>
      <c r="E3770" s="1" t="s">
        <v>38</v>
      </c>
      <c r="F3770" s="1" t="s">
        <v>202</v>
      </c>
      <c r="G3770" s="5">
        <v>180.99</v>
      </c>
    </row>
    <row r="3771" spans="1:7" x14ac:dyDescent="0.2">
      <c r="A3771" s="3">
        <v>180</v>
      </c>
      <c r="B3771" s="2">
        <v>128583</v>
      </c>
      <c r="C3771" s="38">
        <v>44945</v>
      </c>
      <c r="D3771" s="1" t="s">
        <v>108</v>
      </c>
      <c r="E3771" s="1" t="s">
        <v>38</v>
      </c>
      <c r="F3771" s="1" t="s">
        <v>202</v>
      </c>
      <c r="G3771" s="5">
        <v>714.35</v>
      </c>
    </row>
    <row r="3772" spans="1:7" x14ac:dyDescent="0.2">
      <c r="A3772" s="3">
        <v>180</v>
      </c>
      <c r="B3772" s="2">
        <v>128583</v>
      </c>
      <c r="C3772" s="38">
        <v>44945</v>
      </c>
      <c r="D3772" s="1" t="s">
        <v>108</v>
      </c>
      <c r="E3772" s="1" t="s">
        <v>38</v>
      </c>
      <c r="F3772" s="1" t="s">
        <v>202</v>
      </c>
      <c r="G3772" s="5">
        <v>714.35</v>
      </c>
    </row>
    <row r="3773" spans="1:7" x14ac:dyDescent="0.2">
      <c r="A3773" s="3">
        <v>36</v>
      </c>
      <c r="B3773" s="2">
        <v>25716.6</v>
      </c>
      <c r="C3773" s="38">
        <v>44945</v>
      </c>
      <c r="D3773" s="1" t="s">
        <v>108</v>
      </c>
      <c r="E3773" s="1" t="s">
        <v>38</v>
      </c>
      <c r="F3773" s="1" t="s">
        <v>202</v>
      </c>
      <c r="G3773" s="5">
        <v>714.35</v>
      </c>
    </row>
    <row r="3774" spans="1:7" x14ac:dyDescent="0.2">
      <c r="A3774" s="3">
        <v>216</v>
      </c>
      <c r="B3774" s="2">
        <v>154299.6</v>
      </c>
      <c r="C3774" s="38">
        <v>44945</v>
      </c>
      <c r="D3774" s="1" t="s">
        <v>108</v>
      </c>
      <c r="E3774" s="1" t="s">
        <v>38</v>
      </c>
      <c r="F3774" s="1" t="s">
        <v>202</v>
      </c>
      <c r="G3774" s="5">
        <v>714.35</v>
      </c>
    </row>
    <row r="3775" spans="1:7" x14ac:dyDescent="0.2">
      <c r="A3775" s="3">
        <v>32</v>
      </c>
      <c r="B3775" s="2">
        <v>22859.200000000001</v>
      </c>
      <c r="C3775" s="38">
        <v>44945</v>
      </c>
      <c r="D3775" s="1" t="s">
        <v>108</v>
      </c>
      <c r="E3775" s="1" t="s">
        <v>38</v>
      </c>
      <c r="F3775" s="1" t="s">
        <v>202</v>
      </c>
      <c r="G3775" s="5">
        <v>714.35</v>
      </c>
    </row>
    <row r="3776" spans="1:7" x14ac:dyDescent="0.2">
      <c r="A3776" s="3">
        <v>144</v>
      </c>
      <c r="B3776" s="2">
        <v>102866.4</v>
      </c>
      <c r="C3776" s="38">
        <v>44945</v>
      </c>
      <c r="D3776" s="1" t="s">
        <v>108</v>
      </c>
      <c r="E3776" s="1" t="s">
        <v>38</v>
      </c>
      <c r="F3776" s="1" t="s">
        <v>202</v>
      </c>
      <c r="G3776" s="5">
        <v>714.35</v>
      </c>
    </row>
    <row r="3777" spans="1:7" x14ac:dyDescent="0.2">
      <c r="A3777" s="3">
        <v>108</v>
      </c>
      <c r="B3777" s="2">
        <v>77149.8</v>
      </c>
      <c r="C3777" s="38">
        <v>44945</v>
      </c>
      <c r="D3777" s="1" t="s">
        <v>108</v>
      </c>
      <c r="E3777" s="1" t="s">
        <v>38</v>
      </c>
      <c r="F3777" s="1" t="s">
        <v>202</v>
      </c>
      <c r="G3777" s="5">
        <v>714.35</v>
      </c>
    </row>
    <row r="3778" spans="1:7" x14ac:dyDescent="0.2">
      <c r="A3778" s="3">
        <v>180</v>
      </c>
      <c r="B3778" s="2">
        <v>128583</v>
      </c>
      <c r="C3778" s="38">
        <v>44945</v>
      </c>
      <c r="D3778" s="1" t="s">
        <v>108</v>
      </c>
      <c r="E3778" s="1" t="s">
        <v>38</v>
      </c>
      <c r="F3778" s="1" t="s">
        <v>202</v>
      </c>
      <c r="G3778" s="5">
        <v>714.35</v>
      </c>
    </row>
    <row r="3779" spans="1:7" x14ac:dyDescent="0.2">
      <c r="A3779" s="3">
        <v>216</v>
      </c>
      <c r="B3779" s="2">
        <v>154299.6</v>
      </c>
      <c r="C3779" s="38">
        <v>44945</v>
      </c>
      <c r="D3779" s="1" t="s">
        <v>108</v>
      </c>
      <c r="E3779" s="1" t="s">
        <v>38</v>
      </c>
      <c r="F3779" s="1" t="s">
        <v>202</v>
      </c>
      <c r="G3779" s="5">
        <v>714.35</v>
      </c>
    </row>
    <row r="3780" spans="1:7" x14ac:dyDescent="0.2">
      <c r="A3780" s="3">
        <v>144</v>
      </c>
      <c r="B3780" s="2">
        <v>102866.4</v>
      </c>
      <c r="C3780" s="38">
        <v>44945</v>
      </c>
      <c r="D3780" s="1" t="s">
        <v>108</v>
      </c>
      <c r="E3780" s="1" t="s">
        <v>38</v>
      </c>
      <c r="F3780" s="1" t="s">
        <v>202</v>
      </c>
      <c r="G3780" s="5">
        <v>714.35</v>
      </c>
    </row>
    <row r="3781" spans="1:7" x14ac:dyDescent="0.2">
      <c r="A3781" s="3">
        <v>180</v>
      </c>
      <c r="B3781" s="2">
        <v>128583</v>
      </c>
      <c r="C3781" s="38">
        <v>44945</v>
      </c>
      <c r="D3781" s="1" t="s">
        <v>108</v>
      </c>
      <c r="E3781" s="1" t="s">
        <v>38</v>
      </c>
      <c r="F3781" s="1" t="s">
        <v>202</v>
      </c>
      <c r="G3781" s="5">
        <v>714.35</v>
      </c>
    </row>
    <row r="3782" spans="1:7" x14ac:dyDescent="0.2">
      <c r="A3782" s="3">
        <v>216</v>
      </c>
      <c r="B3782" s="2">
        <v>154299.6</v>
      </c>
      <c r="C3782" s="38">
        <v>44945</v>
      </c>
      <c r="D3782" s="1" t="s">
        <v>108</v>
      </c>
      <c r="E3782" s="1" t="s">
        <v>38</v>
      </c>
      <c r="F3782" s="1" t="s">
        <v>202</v>
      </c>
      <c r="G3782" s="5">
        <v>714.35</v>
      </c>
    </row>
    <row r="3783" spans="1:7" x14ac:dyDescent="0.2">
      <c r="A3783" s="3">
        <v>180</v>
      </c>
      <c r="B3783" s="2">
        <v>128583</v>
      </c>
      <c r="C3783" s="38">
        <v>44945</v>
      </c>
      <c r="D3783" s="1" t="s">
        <v>108</v>
      </c>
      <c r="E3783" s="1" t="s">
        <v>38</v>
      </c>
      <c r="F3783" s="1" t="s">
        <v>202</v>
      </c>
      <c r="G3783" s="5">
        <v>714.35</v>
      </c>
    </row>
    <row r="3784" spans="1:7" x14ac:dyDescent="0.2">
      <c r="A3784" s="3">
        <v>432</v>
      </c>
      <c r="B3784" s="2">
        <v>87730.559999999998</v>
      </c>
      <c r="C3784" s="38">
        <v>44952</v>
      </c>
      <c r="D3784" s="1" t="s">
        <v>50</v>
      </c>
      <c r="E3784" s="1" t="s">
        <v>38</v>
      </c>
      <c r="F3784" s="1" t="s">
        <v>202</v>
      </c>
      <c r="G3784" s="5">
        <v>203.08</v>
      </c>
    </row>
    <row r="3785" spans="1:7" x14ac:dyDescent="0.2">
      <c r="A3785" s="3">
        <v>1820</v>
      </c>
      <c r="B3785" s="2">
        <v>4313.3999999999996</v>
      </c>
      <c r="C3785" s="38">
        <v>44952</v>
      </c>
      <c r="D3785" s="1" t="s">
        <v>68</v>
      </c>
      <c r="E3785" s="1" t="s">
        <v>38</v>
      </c>
      <c r="F3785" s="1" t="s">
        <v>202</v>
      </c>
      <c r="G3785" s="5">
        <v>2.37</v>
      </c>
    </row>
    <row r="3786" spans="1:7" x14ac:dyDescent="0.2">
      <c r="A3786" s="3">
        <v>588</v>
      </c>
      <c r="B3786" s="2">
        <v>128813.16</v>
      </c>
      <c r="C3786" s="38">
        <v>44952</v>
      </c>
      <c r="D3786" s="1" t="s">
        <v>75</v>
      </c>
      <c r="E3786" s="1" t="s">
        <v>38</v>
      </c>
      <c r="F3786" s="1" t="s">
        <v>202</v>
      </c>
      <c r="G3786" s="5">
        <v>219.07</v>
      </c>
    </row>
    <row r="3787" spans="1:7" x14ac:dyDescent="0.2">
      <c r="A3787" s="3">
        <v>120</v>
      </c>
      <c r="B3787" s="2">
        <v>23022</v>
      </c>
      <c r="C3787" s="38">
        <v>44952</v>
      </c>
      <c r="D3787" s="1" t="s">
        <v>102</v>
      </c>
      <c r="E3787" s="1" t="s">
        <v>38</v>
      </c>
      <c r="F3787" s="1" t="s">
        <v>202</v>
      </c>
      <c r="G3787" s="5">
        <v>191.85</v>
      </c>
    </row>
    <row r="3788" spans="1:7" x14ac:dyDescent="0.2">
      <c r="A3788" s="3">
        <v>160</v>
      </c>
      <c r="B3788" s="2">
        <v>114296</v>
      </c>
      <c r="C3788" s="38">
        <v>44952</v>
      </c>
      <c r="D3788" s="1" t="s">
        <v>108</v>
      </c>
      <c r="E3788" s="1" t="s">
        <v>38</v>
      </c>
      <c r="F3788" s="1" t="s">
        <v>202</v>
      </c>
      <c r="G3788" s="5">
        <v>714.35</v>
      </c>
    </row>
    <row r="3789" spans="1:7" x14ac:dyDescent="0.2">
      <c r="A3789" s="3">
        <v>940</v>
      </c>
      <c r="B3789" s="2">
        <v>1541.6</v>
      </c>
      <c r="C3789" s="38">
        <v>44953</v>
      </c>
      <c r="D3789" s="1" t="s">
        <v>90</v>
      </c>
      <c r="E3789" s="1" t="s">
        <v>38</v>
      </c>
      <c r="F3789" s="1" t="s">
        <v>202</v>
      </c>
      <c r="G3789" s="5">
        <v>1.64</v>
      </c>
    </row>
    <row r="3790" spans="1:7" x14ac:dyDescent="0.2">
      <c r="A3790" s="3">
        <v>7</v>
      </c>
      <c r="B3790" s="2">
        <v>101.08</v>
      </c>
      <c r="C3790" s="38">
        <v>44963</v>
      </c>
      <c r="D3790" s="1" t="s">
        <v>99</v>
      </c>
      <c r="E3790" s="1" t="s">
        <v>38</v>
      </c>
      <c r="F3790" s="1" t="s">
        <v>202</v>
      </c>
      <c r="G3790" s="5">
        <v>14.44</v>
      </c>
    </row>
    <row r="3791" spans="1:7" x14ac:dyDescent="0.2">
      <c r="A3791" s="3">
        <v>20</v>
      </c>
      <c r="B3791" s="2">
        <v>14287</v>
      </c>
      <c r="C3791" s="38">
        <v>44963</v>
      </c>
      <c r="D3791" s="1" t="s">
        <v>108</v>
      </c>
      <c r="E3791" s="1" t="s">
        <v>38</v>
      </c>
      <c r="F3791" s="1" t="s">
        <v>202</v>
      </c>
      <c r="G3791" s="5">
        <v>714.35</v>
      </c>
    </row>
    <row r="3792" spans="1:7" x14ac:dyDescent="0.2">
      <c r="A3792" s="3">
        <v>222</v>
      </c>
      <c r="B3792" s="2">
        <v>3205.68</v>
      </c>
      <c r="C3792" s="38">
        <v>44965</v>
      </c>
      <c r="D3792" s="1" t="s">
        <v>99</v>
      </c>
      <c r="E3792" s="1" t="s">
        <v>38</v>
      </c>
      <c r="F3792" s="1" t="s">
        <v>202</v>
      </c>
      <c r="G3792" s="5">
        <v>14.44</v>
      </c>
    </row>
    <row r="3793" spans="1:7" x14ac:dyDescent="0.2">
      <c r="A3793" s="3">
        <v>144</v>
      </c>
      <c r="B3793" s="2">
        <v>102866.4</v>
      </c>
      <c r="C3793" s="38">
        <v>44965</v>
      </c>
      <c r="D3793" s="1" t="s">
        <v>108</v>
      </c>
      <c r="E3793" s="1" t="s">
        <v>38</v>
      </c>
      <c r="F3793" s="1" t="s">
        <v>202</v>
      </c>
      <c r="G3793" s="5">
        <v>714.35</v>
      </c>
    </row>
    <row r="3794" spans="1:7" x14ac:dyDescent="0.2">
      <c r="A3794" s="3">
        <v>252</v>
      </c>
      <c r="B3794" s="2">
        <v>180016.2</v>
      </c>
      <c r="C3794" s="38">
        <v>44965</v>
      </c>
      <c r="D3794" s="1" t="s">
        <v>108</v>
      </c>
      <c r="E3794" s="1" t="s">
        <v>38</v>
      </c>
      <c r="F3794" s="1" t="s">
        <v>202</v>
      </c>
      <c r="G3794" s="5">
        <v>714.35</v>
      </c>
    </row>
    <row r="3795" spans="1:7" x14ac:dyDescent="0.2">
      <c r="A3795" s="3">
        <v>12100</v>
      </c>
      <c r="B3795" s="2">
        <v>68728</v>
      </c>
      <c r="C3795" s="38">
        <v>44966</v>
      </c>
      <c r="D3795" s="1" t="s">
        <v>95</v>
      </c>
      <c r="E3795" s="1" t="s">
        <v>38</v>
      </c>
      <c r="F3795" s="1" t="s">
        <v>202</v>
      </c>
      <c r="G3795" s="5">
        <v>5.68</v>
      </c>
    </row>
    <row r="3796" spans="1:7" x14ac:dyDescent="0.2">
      <c r="A3796" s="3">
        <v>252</v>
      </c>
      <c r="B3796" s="2">
        <v>106089.48</v>
      </c>
      <c r="C3796" s="38">
        <v>44971</v>
      </c>
      <c r="D3796" s="1" t="s">
        <v>145</v>
      </c>
      <c r="E3796" s="1" t="s">
        <v>38</v>
      </c>
      <c r="F3796" s="1" t="s">
        <v>202</v>
      </c>
      <c r="G3796" s="5">
        <v>420.99</v>
      </c>
    </row>
    <row r="3797" spans="1:7" x14ac:dyDescent="0.2">
      <c r="A3797" s="3">
        <v>86</v>
      </c>
      <c r="B3797" s="2">
        <v>61434.1</v>
      </c>
      <c r="C3797" s="38">
        <v>44972</v>
      </c>
      <c r="D3797" s="1" t="s">
        <v>108</v>
      </c>
      <c r="E3797" s="1" t="s">
        <v>38</v>
      </c>
      <c r="F3797" s="1" t="s">
        <v>202</v>
      </c>
      <c r="G3797" s="5">
        <v>714.35</v>
      </c>
    </row>
    <row r="3798" spans="1:7" x14ac:dyDescent="0.2">
      <c r="A3798" s="3">
        <v>1120</v>
      </c>
      <c r="B3798" s="2">
        <v>1836.8</v>
      </c>
      <c r="C3798" s="38">
        <v>44979</v>
      </c>
      <c r="D3798" s="1" t="s">
        <v>90</v>
      </c>
      <c r="E3798" s="1" t="s">
        <v>38</v>
      </c>
      <c r="F3798" s="1" t="s">
        <v>202</v>
      </c>
      <c r="G3798" s="5">
        <v>1.64</v>
      </c>
    </row>
    <row r="3799" spans="1:7" x14ac:dyDescent="0.2">
      <c r="A3799" s="3">
        <v>1512</v>
      </c>
      <c r="B3799" s="2">
        <v>455686.56</v>
      </c>
      <c r="C3799" s="38">
        <v>44979</v>
      </c>
      <c r="D3799" s="1" t="s">
        <v>170</v>
      </c>
      <c r="E3799" s="1" t="s">
        <v>38</v>
      </c>
      <c r="F3799" s="1" t="s">
        <v>202</v>
      </c>
      <c r="G3799" s="5">
        <v>301.38</v>
      </c>
    </row>
    <row r="3800" spans="1:7" x14ac:dyDescent="0.2">
      <c r="A3800" s="3">
        <v>308</v>
      </c>
      <c r="B3800" s="2">
        <v>18014.919999999998</v>
      </c>
      <c r="C3800" s="38">
        <v>44979</v>
      </c>
      <c r="D3800" s="1" t="s">
        <v>110</v>
      </c>
      <c r="E3800" s="1" t="s">
        <v>38</v>
      </c>
      <c r="F3800" s="1" t="s">
        <v>202</v>
      </c>
      <c r="G3800" s="5">
        <v>58.49</v>
      </c>
    </row>
    <row r="3801" spans="1:7" x14ac:dyDescent="0.2">
      <c r="A3801" s="3">
        <v>432</v>
      </c>
      <c r="B3801" s="2">
        <v>87730.559999999998</v>
      </c>
      <c r="C3801" s="38">
        <v>44988</v>
      </c>
      <c r="D3801" s="1" t="s">
        <v>50</v>
      </c>
      <c r="E3801" s="1" t="s">
        <v>38</v>
      </c>
      <c r="F3801" s="1" t="s">
        <v>202</v>
      </c>
      <c r="G3801" s="5">
        <v>203.08</v>
      </c>
    </row>
    <row r="3802" spans="1:7" x14ac:dyDescent="0.2">
      <c r="A3802" s="3">
        <v>432</v>
      </c>
      <c r="B3802" s="2">
        <v>87730.559999999998</v>
      </c>
      <c r="C3802" s="38">
        <v>45000</v>
      </c>
      <c r="D3802" s="1" t="s">
        <v>50</v>
      </c>
      <c r="E3802" s="1" t="s">
        <v>38</v>
      </c>
      <c r="F3802" s="1" t="s">
        <v>202</v>
      </c>
      <c r="G3802" s="5">
        <v>203.08</v>
      </c>
    </row>
    <row r="3803" spans="1:7" x14ac:dyDescent="0.2">
      <c r="A3803" s="3">
        <v>432</v>
      </c>
      <c r="B3803" s="2">
        <v>87730.559999999998</v>
      </c>
      <c r="C3803" s="38">
        <v>45000</v>
      </c>
      <c r="D3803" s="1" t="s">
        <v>50</v>
      </c>
      <c r="E3803" s="1" t="s">
        <v>38</v>
      </c>
      <c r="F3803" s="1" t="s">
        <v>202</v>
      </c>
      <c r="G3803" s="5">
        <v>203.08</v>
      </c>
    </row>
    <row r="3804" spans="1:7" x14ac:dyDescent="0.2">
      <c r="A3804" s="3">
        <v>84</v>
      </c>
      <c r="B3804" s="2">
        <v>57440.04</v>
      </c>
      <c r="C3804" s="38">
        <v>45000</v>
      </c>
      <c r="D3804" s="1" t="s">
        <v>97</v>
      </c>
      <c r="E3804" s="1" t="s">
        <v>38</v>
      </c>
      <c r="F3804" s="1" t="s">
        <v>202</v>
      </c>
      <c r="G3804" s="5">
        <v>683.81</v>
      </c>
    </row>
    <row r="3805" spans="1:7" x14ac:dyDescent="0.2">
      <c r="A3805" s="3">
        <v>216</v>
      </c>
      <c r="B3805" s="2">
        <v>154299.6</v>
      </c>
      <c r="C3805" s="38">
        <v>45006</v>
      </c>
      <c r="D3805" s="1" t="s">
        <v>108</v>
      </c>
      <c r="E3805" s="1" t="s">
        <v>38</v>
      </c>
      <c r="F3805" s="1" t="s">
        <v>202</v>
      </c>
      <c r="G3805" s="5">
        <v>714.35</v>
      </c>
    </row>
    <row r="3806" spans="1:7" x14ac:dyDescent="0.2">
      <c r="A3806" s="3">
        <v>180</v>
      </c>
      <c r="B3806" s="2">
        <v>295.2</v>
      </c>
      <c r="C3806" s="38">
        <v>45007</v>
      </c>
      <c r="D3806" s="1" t="s">
        <v>90</v>
      </c>
      <c r="E3806" s="1" t="s">
        <v>38</v>
      </c>
      <c r="F3806" s="1" t="s">
        <v>202</v>
      </c>
      <c r="G3806" s="5">
        <v>1.64</v>
      </c>
    </row>
    <row r="3807" spans="1:7" x14ac:dyDescent="0.2">
      <c r="A3807" s="3">
        <v>940</v>
      </c>
      <c r="B3807" s="2">
        <v>1541.6</v>
      </c>
      <c r="C3807" s="38">
        <v>45007</v>
      </c>
      <c r="D3807" s="1" t="s">
        <v>90</v>
      </c>
      <c r="E3807" s="1" t="s">
        <v>38</v>
      </c>
      <c r="F3807" s="1" t="s">
        <v>202</v>
      </c>
      <c r="G3807" s="5">
        <v>1.64</v>
      </c>
    </row>
    <row r="3808" spans="1:7" x14ac:dyDescent="0.2">
      <c r="A3808" s="3">
        <v>15876</v>
      </c>
      <c r="B3808" s="2">
        <v>90175.679999999993</v>
      </c>
      <c r="C3808" s="38">
        <v>45008</v>
      </c>
      <c r="D3808" s="1" t="s">
        <v>95</v>
      </c>
      <c r="E3808" s="1" t="s">
        <v>38</v>
      </c>
      <c r="F3808" s="1" t="s">
        <v>202</v>
      </c>
      <c r="G3808" s="5">
        <v>5.68</v>
      </c>
    </row>
    <row r="3809" spans="1:7" x14ac:dyDescent="0.2">
      <c r="A3809" s="3">
        <v>432</v>
      </c>
      <c r="B3809" s="2">
        <v>87730.559999999998</v>
      </c>
      <c r="C3809" s="38">
        <v>45012</v>
      </c>
      <c r="D3809" s="1" t="s">
        <v>50</v>
      </c>
      <c r="E3809" s="1" t="s">
        <v>38</v>
      </c>
      <c r="F3809" s="1" t="s">
        <v>202</v>
      </c>
      <c r="G3809" s="5">
        <v>203.08</v>
      </c>
    </row>
    <row r="3810" spans="1:7" x14ac:dyDescent="0.2">
      <c r="A3810" s="3">
        <v>432</v>
      </c>
      <c r="B3810" s="2">
        <v>87730.559999999998</v>
      </c>
      <c r="C3810" s="38">
        <v>45020</v>
      </c>
      <c r="D3810" s="1" t="s">
        <v>50</v>
      </c>
      <c r="E3810" s="1" t="s">
        <v>38</v>
      </c>
      <c r="F3810" s="1" t="s">
        <v>202</v>
      </c>
      <c r="G3810" s="5">
        <v>203.08</v>
      </c>
    </row>
    <row r="3811" spans="1:7" x14ac:dyDescent="0.2">
      <c r="A3811" s="3">
        <v>588</v>
      </c>
      <c r="B3811" s="2">
        <v>57953.279999999999</v>
      </c>
      <c r="C3811" s="38">
        <v>45027</v>
      </c>
      <c r="D3811" s="1" t="s">
        <v>84</v>
      </c>
      <c r="E3811" s="1" t="s">
        <v>38</v>
      </c>
      <c r="F3811" s="1" t="s">
        <v>202</v>
      </c>
      <c r="G3811" s="5">
        <v>98.56</v>
      </c>
    </row>
    <row r="3812" spans="1:7" x14ac:dyDescent="0.2">
      <c r="A3812" s="3">
        <v>432</v>
      </c>
      <c r="B3812" s="2">
        <v>87730.559999999998</v>
      </c>
      <c r="C3812" s="38">
        <v>45034</v>
      </c>
      <c r="D3812" s="1" t="s">
        <v>50</v>
      </c>
      <c r="E3812" s="1" t="s">
        <v>38</v>
      </c>
      <c r="F3812" s="1" t="s">
        <v>202</v>
      </c>
      <c r="G3812" s="5">
        <v>203.08</v>
      </c>
    </row>
    <row r="3813" spans="1:7" x14ac:dyDescent="0.2">
      <c r="A3813" s="3">
        <v>432</v>
      </c>
      <c r="B3813" s="2">
        <v>87730.559999999998</v>
      </c>
      <c r="C3813" s="38">
        <v>45034</v>
      </c>
      <c r="D3813" s="1" t="s">
        <v>50</v>
      </c>
      <c r="E3813" s="1" t="s">
        <v>38</v>
      </c>
      <c r="F3813" s="1" t="s">
        <v>202</v>
      </c>
      <c r="G3813" s="5">
        <v>203.08</v>
      </c>
    </row>
    <row r="3814" spans="1:7" x14ac:dyDescent="0.2">
      <c r="A3814" s="3">
        <v>58</v>
      </c>
      <c r="B3814" s="2">
        <v>41432.300000000003</v>
      </c>
      <c r="C3814" s="38">
        <v>45071</v>
      </c>
      <c r="D3814" s="1" t="s">
        <v>108</v>
      </c>
      <c r="E3814" s="1" t="s">
        <v>38</v>
      </c>
      <c r="F3814" s="1" t="s">
        <v>202</v>
      </c>
      <c r="G3814" s="5">
        <v>714.35</v>
      </c>
    </row>
    <row r="3815" spans="1:7" x14ac:dyDescent="0.2">
      <c r="A3815" s="3">
        <v>158</v>
      </c>
      <c r="B3815" s="2">
        <v>112867.3</v>
      </c>
      <c r="C3815" s="38">
        <v>45071</v>
      </c>
      <c r="D3815" s="1" t="s">
        <v>108</v>
      </c>
      <c r="E3815" s="1" t="s">
        <v>38</v>
      </c>
      <c r="F3815" s="1" t="s">
        <v>202</v>
      </c>
      <c r="G3815" s="5">
        <v>714.35</v>
      </c>
    </row>
    <row r="3816" spans="1:7" x14ac:dyDescent="0.2">
      <c r="A3816" s="3">
        <v>1820</v>
      </c>
      <c r="B3816" s="2">
        <v>4368</v>
      </c>
      <c r="C3816" s="38">
        <v>45078</v>
      </c>
      <c r="D3816" s="1" t="s">
        <v>94</v>
      </c>
      <c r="E3816" s="1" t="s">
        <v>38</v>
      </c>
      <c r="F3816" s="1" t="s">
        <v>202</v>
      </c>
      <c r="G3816" s="5">
        <v>2.4</v>
      </c>
    </row>
    <row r="3817" spans="1:7" x14ac:dyDescent="0.2">
      <c r="A3817" s="3">
        <v>158</v>
      </c>
      <c r="B3817" s="2">
        <v>112867.3</v>
      </c>
      <c r="C3817" s="38">
        <v>45078</v>
      </c>
      <c r="D3817" s="1" t="s">
        <v>108</v>
      </c>
      <c r="E3817" s="1" t="s">
        <v>38</v>
      </c>
      <c r="F3817" s="1" t="s">
        <v>202</v>
      </c>
      <c r="G3817" s="5">
        <v>714.35</v>
      </c>
    </row>
    <row r="3818" spans="1:7" x14ac:dyDescent="0.2">
      <c r="A3818" s="3">
        <v>1820</v>
      </c>
      <c r="B3818" s="2">
        <v>4568.2</v>
      </c>
      <c r="C3818" s="38">
        <v>45089</v>
      </c>
      <c r="D3818" s="1" t="s">
        <v>68</v>
      </c>
      <c r="E3818" s="1" t="s">
        <v>38</v>
      </c>
      <c r="F3818" s="1" t="s">
        <v>202</v>
      </c>
      <c r="G3818" s="5">
        <v>2.5099999999999998</v>
      </c>
    </row>
    <row r="3819" spans="1:7" x14ac:dyDescent="0.2">
      <c r="A3819" s="3">
        <v>1820</v>
      </c>
      <c r="B3819" s="2">
        <v>4568.2</v>
      </c>
      <c r="C3819" s="38">
        <v>45089</v>
      </c>
      <c r="D3819" s="1" t="s">
        <v>68</v>
      </c>
      <c r="E3819" s="1" t="s">
        <v>38</v>
      </c>
      <c r="F3819" s="1" t="s">
        <v>202</v>
      </c>
      <c r="G3819" s="5">
        <v>2.5099999999999998</v>
      </c>
    </row>
    <row r="3820" spans="1:7" x14ac:dyDescent="0.2">
      <c r="A3820" s="3">
        <v>1820</v>
      </c>
      <c r="B3820" s="2">
        <v>4568.2</v>
      </c>
      <c r="C3820" s="38">
        <v>45089</v>
      </c>
      <c r="D3820" s="1" t="s">
        <v>68</v>
      </c>
      <c r="E3820" s="1" t="s">
        <v>38</v>
      </c>
      <c r="F3820" s="1" t="s">
        <v>202</v>
      </c>
      <c r="G3820" s="5">
        <v>2.5099999999999998</v>
      </c>
    </row>
    <row r="3821" spans="1:7" x14ac:dyDescent="0.2">
      <c r="A3821" s="3">
        <v>1820</v>
      </c>
      <c r="B3821" s="2">
        <v>4568.2</v>
      </c>
      <c r="C3821" s="38">
        <v>45089</v>
      </c>
      <c r="D3821" s="1" t="s">
        <v>68</v>
      </c>
      <c r="E3821" s="1" t="s">
        <v>38</v>
      </c>
      <c r="F3821" s="1" t="s">
        <v>202</v>
      </c>
      <c r="G3821" s="5">
        <v>2.5099999999999998</v>
      </c>
    </row>
    <row r="3822" spans="1:7" x14ac:dyDescent="0.2">
      <c r="A3822" s="3">
        <v>109</v>
      </c>
      <c r="B3822" s="2">
        <v>1573.96</v>
      </c>
      <c r="C3822" s="38">
        <v>45093</v>
      </c>
      <c r="D3822" s="1" t="s">
        <v>99</v>
      </c>
      <c r="E3822" s="1" t="s">
        <v>38</v>
      </c>
      <c r="F3822" s="1" t="s">
        <v>202</v>
      </c>
      <c r="G3822" s="5">
        <v>14.44</v>
      </c>
    </row>
    <row r="3823" spans="1:7" x14ac:dyDescent="0.2">
      <c r="A3823" s="3">
        <v>208</v>
      </c>
      <c r="B3823" s="2">
        <v>3003.52</v>
      </c>
      <c r="C3823" s="38">
        <v>45093</v>
      </c>
      <c r="D3823" s="1" t="s">
        <v>99</v>
      </c>
      <c r="E3823" s="1" t="s">
        <v>38</v>
      </c>
      <c r="F3823" s="1" t="s">
        <v>202</v>
      </c>
      <c r="G3823" s="5">
        <v>14.44</v>
      </c>
    </row>
    <row r="3824" spans="1:7" x14ac:dyDescent="0.2">
      <c r="A3824" s="3">
        <v>3780</v>
      </c>
      <c r="B3824" s="2">
        <v>55603.8</v>
      </c>
      <c r="C3824" s="38">
        <v>45100</v>
      </c>
      <c r="D3824" s="1" t="s">
        <v>59</v>
      </c>
      <c r="E3824" s="1" t="s">
        <v>38</v>
      </c>
      <c r="F3824" s="1" t="s">
        <v>202</v>
      </c>
      <c r="G3824" s="5">
        <v>14.71</v>
      </c>
    </row>
    <row r="3825" spans="1:7" x14ac:dyDescent="0.2">
      <c r="A3825" s="3">
        <v>1820</v>
      </c>
      <c r="B3825" s="2">
        <v>4568.2</v>
      </c>
      <c r="C3825" s="38">
        <v>45100</v>
      </c>
      <c r="D3825" s="1" t="s">
        <v>68</v>
      </c>
      <c r="E3825" s="1" t="s">
        <v>38</v>
      </c>
      <c r="F3825" s="1" t="s">
        <v>202</v>
      </c>
      <c r="G3825" s="5">
        <v>2.5099999999999998</v>
      </c>
    </row>
    <row r="3826" spans="1:7" x14ac:dyDescent="0.2">
      <c r="A3826" s="3">
        <v>1820</v>
      </c>
      <c r="B3826" s="2">
        <v>4568.2</v>
      </c>
      <c r="C3826" s="38">
        <v>45100</v>
      </c>
      <c r="D3826" s="1" t="s">
        <v>68</v>
      </c>
      <c r="E3826" s="1" t="s">
        <v>38</v>
      </c>
      <c r="F3826" s="1" t="s">
        <v>202</v>
      </c>
      <c r="G3826" s="5">
        <v>2.5099999999999998</v>
      </c>
    </row>
    <row r="3827" spans="1:7" x14ac:dyDescent="0.2">
      <c r="A3827" s="3">
        <v>58</v>
      </c>
      <c r="B3827" s="2">
        <v>41432.300000000003</v>
      </c>
      <c r="C3827" s="38">
        <v>45105</v>
      </c>
      <c r="D3827" s="1" t="s">
        <v>108</v>
      </c>
      <c r="E3827" s="1" t="s">
        <v>38</v>
      </c>
      <c r="F3827" s="1" t="s">
        <v>202</v>
      </c>
      <c r="G3827" s="5">
        <v>714.35</v>
      </c>
    </row>
    <row r="3828" spans="1:7" x14ac:dyDescent="0.2">
      <c r="A3828" s="3">
        <v>252</v>
      </c>
      <c r="B3828" s="2">
        <v>180016.2</v>
      </c>
      <c r="C3828" s="38">
        <v>45105</v>
      </c>
      <c r="D3828" s="1" t="s">
        <v>108</v>
      </c>
      <c r="E3828" s="1" t="s">
        <v>38</v>
      </c>
      <c r="F3828" s="1" t="s">
        <v>202</v>
      </c>
      <c r="G3828" s="5">
        <v>714.35</v>
      </c>
    </row>
    <row r="3829" spans="1:7" x14ac:dyDescent="0.2">
      <c r="A3829" s="3">
        <v>252</v>
      </c>
      <c r="B3829" s="2">
        <v>180016.2</v>
      </c>
      <c r="C3829" s="38">
        <v>45105</v>
      </c>
      <c r="D3829" s="1" t="s">
        <v>108</v>
      </c>
      <c r="E3829" s="1" t="s">
        <v>38</v>
      </c>
      <c r="F3829" s="1" t="s">
        <v>202</v>
      </c>
      <c r="G3829" s="5">
        <v>714.35</v>
      </c>
    </row>
    <row r="3830" spans="1:7" x14ac:dyDescent="0.2">
      <c r="A3830" s="3">
        <v>216</v>
      </c>
      <c r="B3830" s="2">
        <v>154299.6</v>
      </c>
      <c r="C3830" s="38">
        <v>45105</v>
      </c>
      <c r="D3830" s="1" t="s">
        <v>108</v>
      </c>
      <c r="E3830" s="1" t="s">
        <v>38</v>
      </c>
      <c r="F3830" s="1" t="s">
        <v>202</v>
      </c>
      <c r="G3830" s="5">
        <v>714.35</v>
      </c>
    </row>
    <row r="3831" spans="1:7" x14ac:dyDescent="0.2">
      <c r="A3831" s="3">
        <v>1120</v>
      </c>
      <c r="B3831" s="2">
        <v>62227.199999999997</v>
      </c>
      <c r="C3831" s="38">
        <v>45107</v>
      </c>
      <c r="D3831" s="1" t="s">
        <v>70</v>
      </c>
      <c r="E3831" s="1" t="s">
        <v>38</v>
      </c>
      <c r="F3831" s="1" t="s">
        <v>202</v>
      </c>
      <c r="G3831" s="5">
        <v>55.56</v>
      </c>
    </row>
    <row r="3832" spans="1:7" x14ac:dyDescent="0.2">
      <c r="A3832" s="3">
        <v>166</v>
      </c>
      <c r="B3832" s="2">
        <v>118582.1</v>
      </c>
      <c r="C3832" s="38">
        <v>45114</v>
      </c>
      <c r="D3832" s="1" t="s">
        <v>108</v>
      </c>
      <c r="E3832" s="1" t="s">
        <v>38</v>
      </c>
      <c r="F3832" s="1" t="s">
        <v>202</v>
      </c>
      <c r="G3832" s="5">
        <v>714.35</v>
      </c>
    </row>
    <row r="3833" spans="1:7" x14ac:dyDescent="0.2">
      <c r="A3833" s="3">
        <v>86</v>
      </c>
      <c r="B3833" s="2">
        <v>61434.1</v>
      </c>
      <c r="C3833" s="38">
        <v>45114</v>
      </c>
      <c r="D3833" s="1" t="s">
        <v>108</v>
      </c>
      <c r="E3833" s="1" t="s">
        <v>38</v>
      </c>
      <c r="F3833" s="1" t="s">
        <v>202</v>
      </c>
      <c r="G3833" s="5">
        <v>714.35</v>
      </c>
    </row>
    <row r="3834" spans="1:7" x14ac:dyDescent="0.2">
      <c r="A3834" s="3">
        <v>216</v>
      </c>
      <c r="B3834" s="2">
        <v>154299.6</v>
      </c>
      <c r="C3834" s="38">
        <v>45114</v>
      </c>
      <c r="D3834" s="1" t="s">
        <v>108</v>
      </c>
      <c r="E3834" s="1" t="s">
        <v>38</v>
      </c>
      <c r="F3834" s="1" t="s">
        <v>202</v>
      </c>
      <c r="G3834" s="5">
        <v>714.35</v>
      </c>
    </row>
    <row r="3835" spans="1:7" x14ac:dyDescent="0.2">
      <c r="A3835" s="3">
        <v>252</v>
      </c>
      <c r="B3835" s="2">
        <v>180016.2</v>
      </c>
      <c r="C3835" s="38">
        <v>45114</v>
      </c>
      <c r="D3835" s="1" t="s">
        <v>108</v>
      </c>
      <c r="E3835" s="1" t="s">
        <v>38</v>
      </c>
      <c r="F3835" s="1" t="s">
        <v>202</v>
      </c>
      <c r="G3835" s="5">
        <v>714.35</v>
      </c>
    </row>
    <row r="3836" spans="1:7" x14ac:dyDescent="0.2">
      <c r="A3836" s="3">
        <v>420</v>
      </c>
      <c r="B3836" s="2">
        <v>4363.8</v>
      </c>
      <c r="C3836" s="38">
        <v>45119</v>
      </c>
      <c r="D3836" s="1" t="s">
        <v>67</v>
      </c>
      <c r="E3836" s="1" t="s">
        <v>38</v>
      </c>
      <c r="F3836" s="1" t="s">
        <v>202</v>
      </c>
      <c r="G3836" s="5">
        <v>10.39</v>
      </c>
    </row>
    <row r="3837" spans="1:7" x14ac:dyDescent="0.2">
      <c r="A3837" s="3">
        <v>3780</v>
      </c>
      <c r="B3837" s="2">
        <v>55603.8</v>
      </c>
      <c r="C3837" s="38">
        <v>45120</v>
      </c>
      <c r="D3837" s="1" t="s">
        <v>59</v>
      </c>
      <c r="E3837" s="1" t="s">
        <v>38</v>
      </c>
      <c r="F3837" s="1" t="s">
        <v>202</v>
      </c>
      <c r="G3837" s="5">
        <v>14.71</v>
      </c>
    </row>
    <row r="3838" spans="1:7" x14ac:dyDescent="0.2">
      <c r="A3838" s="3">
        <v>13030</v>
      </c>
      <c r="B3838" s="2">
        <v>74010.399999999994</v>
      </c>
      <c r="C3838" s="38">
        <v>45120</v>
      </c>
      <c r="D3838" s="1" t="s">
        <v>95</v>
      </c>
      <c r="E3838" s="1" t="s">
        <v>38</v>
      </c>
      <c r="F3838" s="1" t="s">
        <v>202</v>
      </c>
      <c r="G3838" s="5">
        <v>5.68</v>
      </c>
    </row>
    <row r="3839" spans="1:7" x14ac:dyDescent="0.2">
      <c r="A3839" s="3">
        <v>588</v>
      </c>
      <c r="B3839" s="2">
        <v>57953.279999999999</v>
      </c>
      <c r="C3839" s="38">
        <v>45121</v>
      </c>
      <c r="D3839" s="1" t="s">
        <v>84</v>
      </c>
      <c r="E3839" s="1" t="s">
        <v>38</v>
      </c>
      <c r="F3839" s="1" t="s">
        <v>202</v>
      </c>
      <c r="G3839" s="5">
        <v>98.56</v>
      </c>
    </row>
    <row r="3840" spans="1:7" x14ac:dyDescent="0.2">
      <c r="A3840" s="3">
        <v>588</v>
      </c>
      <c r="B3840" s="2">
        <v>57953.279999999999</v>
      </c>
      <c r="C3840" s="38">
        <v>45121</v>
      </c>
      <c r="D3840" s="1" t="s">
        <v>84</v>
      </c>
      <c r="E3840" s="1" t="s">
        <v>38</v>
      </c>
      <c r="F3840" s="1" t="s">
        <v>202</v>
      </c>
      <c r="G3840" s="5">
        <v>98.56</v>
      </c>
    </row>
    <row r="3841" spans="1:7" x14ac:dyDescent="0.2">
      <c r="A3841" s="3">
        <v>588</v>
      </c>
      <c r="B3841" s="2">
        <v>57953.279999999999</v>
      </c>
      <c r="C3841" s="38">
        <v>45125</v>
      </c>
      <c r="D3841" s="1" t="s">
        <v>84</v>
      </c>
      <c r="E3841" s="1" t="s">
        <v>38</v>
      </c>
      <c r="F3841" s="1" t="s">
        <v>202</v>
      </c>
      <c r="G3841" s="5">
        <v>98.56</v>
      </c>
    </row>
    <row r="3842" spans="1:7" x14ac:dyDescent="0.2">
      <c r="A3842" s="3">
        <v>588</v>
      </c>
      <c r="B3842" s="2">
        <v>57953.279999999999</v>
      </c>
      <c r="C3842" s="38">
        <v>45125</v>
      </c>
      <c r="D3842" s="1" t="s">
        <v>84</v>
      </c>
      <c r="E3842" s="1" t="s">
        <v>38</v>
      </c>
      <c r="F3842" s="1" t="s">
        <v>202</v>
      </c>
      <c r="G3842" s="5">
        <v>98.56</v>
      </c>
    </row>
    <row r="3843" spans="1:7" x14ac:dyDescent="0.2">
      <c r="A3843" s="3">
        <v>588</v>
      </c>
      <c r="B3843" s="2">
        <v>57953.279999999999</v>
      </c>
      <c r="C3843" s="38">
        <v>45125</v>
      </c>
      <c r="D3843" s="1" t="s">
        <v>84</v>
      </c>
      <c r="E3843" s="1" t="s">
        <v>38</v>
      </c>
      <c r="F3843" s="1" t="s">
        <v>202</v>
      </c>
      <c r="G3843" s="5">
        <v>98.56</v>
      </c>
    </row>
    <row r="3844" spans="1:7" x14ac:dyDescent="0.2">
      <c r="A3844" s="3">
        <v>588</v>
      </c>
      <c r="B3844" s="2">
        <v>57953.279999999999</v>
      </c>
      <c r="C3844" s="38">
        <v>45125</v>
      </c>
      <c r="D3844" s="1" t="s">
        <v>84</v>
      </c>
      <c r="E3844" s="1" t="s">
        <v>38</v>
      </c>
      <c r="F3844" s="1" t="s">
        <v>202</v>
      </c>
      <c r="G3844" s="5">
        <v>98.56</v>
      </c>
    </row>
    <row r="3845" spans="1:7" x14ac:dyDescent="0.2">
      <c r="A3845" s="3">
        <v>588</v>
      </c>
      <c r="B3845" s="2">
        <v>57953.279999999999</v>
      </c>
      <c r="C3845" s="38">
        <v>45128</v>
      </c>
      <c r="D3845" s="1" t="s">
        <v>84</v>
      </c>
      <c r="E3845" s="1" t="s">
        <v>38</v>
      </c>
      <c r="F3845" s="1" t="s">
        <v>202</v>
      </c>
      <c r="G3845" s="5">
        <v>98.56</v>
      </c>
    </row>
    <row r="3846" spans="1:7" x14ac:dyDescent="0.2">
      <c r="A3846" s="3">
        <v>108</v>
      </c>
      <c r="B3846" s="2">
        <v>77149.8</v>
      </c>
      <c r="C3846" s="38">
        <v>45138</v>
      </c>
      <c r="D3846" s="1" t="s">
        <v>108</v>
      </c>
      <c r="E3846" s="1" t="s">
        <v>38</v>
      </c>
      <c r="F3846" s="1" t="s">
        <v>202</v>
      </c>
      <c r="G3846" s="5">
        <v>714.35</v>
      </c>
    </row>
    <row r="3847" spans="1:7" x14ac:dyDescent="0.2">
      <c r="A3847" s="3">
        <v>50</v>
      </c>
      <c r="B3847" s="2">
        <v>35717.5</v>
      </c>
      <c r="C3847" s="38">
        <v>45138</v>
      </c>
      <c r="D3847" s="1" t="s">
        <v>108</v>
      </c>
      <c r="E3847" s="1" t="s">
        <v>38</v>
      </c>
      <c r="F3847" s="1" t="s">
        <v>202</v>
      </c>
      <c r="G3847" s="5">
        <v>714.35</v>
      </c>
    </row>
    <row r="3848" spans="1:7" x14ac:dyDescent="0.2">
      <c r="A3848" s="3">
        <v>144</v>
      </c>
      <c r="B3848" s="2">
        <v>102866.4</v>
      </c>
      <c r="C3848" s="38">
        <v>45138</v>
      </c>
      <c r="D3848" s="1" t="s">
        <v>108</v>
      </c>
      <c r="E3848" s="1" t="s">
        <v>38</v>
      </c>
      <c r="F3848" s="1" t="s">
        <v>202</v>
      </c>
      <c r="G3848" s="5">
        <v>714.35</v>
      </c>
    </row>
    <row r="3849" spans="1:7" x14ac:dyDescent="0.2">
      <c r="A3849" s="3">
        <v>180</v>
      </c>
      <c r="B3849" s="2">
        <v>128583</v>
      </c>
      <c r="C3849" s="38">
        <v>45138</v>
      </c>
      <c r="D3849" s="1" t="s">
        <v>108</v>
      </c>
      <c r="E3849" s="1" t="s">
        <v>38</v>
      </c>
      <c r="F3849" s="1" t="s">
        <v>202</v>
      </c>
      <c r="G3849" s="5">
        <v>714.35</v>
      </c>
    </row>
    <row r="3850" spans="1:7" x14ac:dyDescent="0.2">
      <c r="A3850" s="3">
        <v>130</v>
      </c>
      <c r="B3850" s="2">
        <v>92865.5</v>
      </c>
      <c r="C3850" s="38">
        <v>45138</v>
      </c>
      <c r="D3850" s="1" t="s">
        <v>108</v>
      </c>
      <c r="E3850" s="1" t="s">
        <v>38</v>
      </c>
      <c r="F3850" s="1" t="s">
        <v>202</v>
      </c>
      <c r="G3850" s="5">
        <v>714.35</v>
      </c>
    </row>
    <row r="3851" spans="1:7" x14ac:dyDescent="0.2">
      <c r="A3851" s="3">
        <v>216</v>
      </c>
      <c r="B3851" s="2">
        <v>154299.6</v>
      </c>
      <c r="C3851" s="38">
        <v>45138</v>
      </c>
      <c r="D3851" s="1" t="s">
        <v>108</v>
      </c>
      <c r="E3851" s="1" t="s">
        <v>38</v>
      </c>
      <c r="F3851" s="1" t="s">
        <v>202</v>
      </c>
      <c r="G3851" s="5">
        <v>714.35</v>
      </c>
    </row>
    <row r="3852" spans="1:7" x14ac:dyDescent="0.2">
      <c r="A3852" s="3">
        <v>216</v>
      </c>
      <c r="B3852" s="2">
        <v>154299.6</v>
      </c>
      <c r="C3852" s="38">
        <v>45138</v>
      </c>
      <c r="D3852" s="1" t="s">
        <v>108</v>
      </c>
      <c r="E3852" s="1" t="s">
        <v>38</v>
      </c>
      <c r="F3852" s="1" t="s">
        <v>202</v>
      </c>
      <c r="G3852" s="5">
        <v>714.35</v>
      </c>
    </row>
    <row r="3853" spans="1:7" x14ac:dyDescent="0.2">
      <c r="A3853" s="3">
        <v>588</v>
      </c>
      <c r="B3853" s="2">
        <v>57953.279999999999</v>
      </c>
      <c r="C3853" s="38">
        <v>45148</v>
      </c>
      <c r="D3853" s="1" t="s">
        <v>84</v>
      </c>
      <c r="E3853" s="1" t="s">
        <v>38</v>
      </c>
      <c r="F3853" s="1" t="s">
        <v>202</v>
      </c>
      <c r="G3853" s="5">
        <v>98.56</v>
      </c>
    </row>
    <row r="3854" spans="1:7" x14ac:dyDescent="0.2">
      <c r="A3854" s="3">
        <v>588</v>
      </c>
      <c r="B3854" s="2">
        <v>57953.279999999999</v>
      </c>
      <c r="C3854" s="38">
        <v>45148</v>
      </c>
      <c r="D3854" s="1" t="s">
        <v>84</v>
      </c>
      <c r="E3854" s="1" t="s">
        <v>38</v>
      </c>
      <c r="F3854" s="1" t="s">
        <v>202</v>
      </c>
      <c r="G3854" s="5">
        <v>98.56</v>
      </c>
    </row>
    <row r="3855" spans="1:7" x14ac:dyDescent="0.2">
      <c r="A3855" s="3">
        <v>3000</v>
      </c>
      <c r="B3855" s="2">
        <v>7020</v>
      </c>
      <c r="C3855" s="38">
        <v>44943</v>
      </c>
      <c r="D3855" s="1" t="s">
        <v>187</v>
      </c>
      <c r="E3855" s="1" t="s">
        <v>39</v>
      </c>
      <c r="F3855" s="1" t="s">
        <v>212</v>
      </c>
      <c r="G3855" s="5">
        <v>2.34</v>
      </c>
    </row>
    <row r="3856" spans="1:7" x14ac:dyDescent="0.2">
      <c r="A3856" s="3">
        <v>3000</v>
      </c>
      <c r="B3856" s="2">
        <v>7020</v>
      </c>
      <c r="C3856" s="38">
        <v>44943</v>
      </c>
      <c r="D3856" s="1" t="s">
        <v>187</v>
      </c>
      <c r="E3856" s="1" t="s">
        <v>39</v>
      </c>
      <c r="F3856" s="1" t="s">
        <v>212</v>
      </c>
      <c r="G3856" s="5">
        <v>2.34</v>
      </c>
    </row>
    <row r="3857" spans="1:7" x14ac:dyDescent="0.2">
      <c r="A3857" s="3">
        <v>3000</v>
      </c>
      <c r="B3857" s="2">
        <v>7020</v>
      </c>
      <c r="C3857" s="38">
        <v>44943</v>
      </c>
      <c r="D3857" s="1" t="s">
        <v>187</v>
      </c>
      <c r="E3857" s="1" t="s">
        <v>39</v>
      </c>
      <c r="F3857" s="1" t="s">
        <v>212</v>
      </c>
      <c r="G3857" s="5">
        <v>2.34</v>
      </c>
    </row>
    <row r="3858" spans="1:7" x14ac:dyDescent="0.2">
      <c r="A3858" s="3">
        <v>3000</v>
      </c>
      <c r="B3858" s="2">
        <v>7020</v>
      </c>
      <c r="C3858" s="38">
        <v>44943</v>
      </c>
      <c r="D3858" s="1" t="s">
        <v>187</v>
      </c>
      <c r="E3858" s="1" t="s">
        <v>39</v>
      </c>
      <c r="F3858" s="1" t="s">
        <v>212</v>
      </c>
      <c r="G3858" s="5">
        <v>2.34</v>
      </c>
    </row>
    <row r="3859" spans="1:7" x14ac:dyDescent="0.2">
      <c r="A3859" s="3">
        <v>3000</v>
      </c>
      <c r="B3859" s="2">
        <v>7020</v>
      </c>
      <c r="C3859" s="38">
        <v>44943</v>
      </c>
      <c r="D3859" s="1" t="s">
        <v>187</v>
      </c>
      <c r="E3859" s="1" t="s">
        <v>39</v>
      </c>
      <c r="F3859" s="1" t="s">
        <v>212</v>
      </c>
      <c r="G3859" s="5">
        <v>2.34</v>
      </c>
    </row>
    <row r="3860" spans="1:7" x14ac:dyDescent="0.2">
      <c r="A3860" s="3">
        <v>3000</v>
      </c>
      <c r="B3860" s="2">
        <v>7020</v>
      </c>
      <c r="C3860" s="38">
        <v>44943</v>
      </c>
      <c r="D3860" s="1" t="s">
        <v>187</v>
      </c>
      <c r="E3860" s="1" t="s">
        <v>39</v>
      </c>
      <c r="F3860" s="1" t="s">
        <v>212</v>
      </c>
      <c r="G3860" s="5">
        <v>2.34</v>
      </c>
    </row>
    <row r="3861" spans="1:7" x14ac:dyDescent="0.2">
      <c r="A3861" s="3">
        <v>3000</v>
      </c>
      <c r="B3861" s="2">
        <v>2719.2</v>
      </c>
      <c r="C3861" s="38">
        <v>44582</v>
      </c>
      <c r="D3861" s="1" t="s">
        <v>153</v>
      </c>
      <c r="E3861" s="1" t="s">
        <v>39</v>
      </c>
      <c r="F3861" s="1" t="s">
        <v>212</v>
      </c>
      <c r="G3861" s="5">
        <v>0.90639999999999998</v>
      </c>
    </row>
    <row r="3862" spans="1:7" x14ac:dyDescent="0.2">
      <c r="A3862" s="3">
        <v>3000</v>
      </c>
      <c r="B3862" s="2">
        <v>7020</v>
      </c>
      <c r="C3862" s="38">
        <v>44586</v>
      </c>
      <c r="D3862" s="1" t="s">
        <v>187</v>
      </c>
      <c r="E3862" s="1" t="s">
        <v>39</v>
      </c>
      <c r="F3862" s="1" t="s">
        <v>212</v>
      </c>
      <c r="G3862" s="5">
        <v>2.34</v>
      </c>
    </row>
    <row r="3863" spans="1:7" x14ac:dyDescent="0.2">
      <c r="A3863" s="3">
        <v>3000</v>
      </c>
      <c r="B3863" s="2">
        <v>1320</v>
      </c>
      <c r="C3863" s="38">
        <v>44593</v>
      </c>
      <c r="D3863" s="1" t="s">
        <v>154</v>
      </c>
      <c r="E3863" s="1" t="s">
        <v>39</v>
      </c>
      <c r="F3863" s="1" t="s">
        <v>212</v>
      </c>
      <c r="G3863" s="5">
        <v>0.44</v>
      </c>
    </row>
    <row r="3864" spans="1:7" x14ac:dyDescent="0.2">
      <c r="A3864" s="3">
        <v>3000</v>
      </c>
      <c r="B3864" s="2">
        <v>7020</v>
      </c>
      <c r="C3864" s="38">
        <v>44594</v>
      </c>
      <c r="D3864" s="1" t="s">
        <v>187</v>
      </c>
      <c r="E3864" s="1" t="s">
        <v>39</v>
      </c>
      <c r="F3864" s="1" t="s">
        <v>212</v>
      </c>
      <c r="G3864" s="5">
        <v>2.34</v>
      </c>
    </row>
    <row r="3865" spans="1:7" x14ac:dyDescent="0.2">
      <c r="A3865" s="3">
        <v>3000</v>
      </c>
      <c r="B3865" s="2">
        <v>3720</v>
      </c>
      <c r="C3865" s="38">
        <v>44963</v>
      </c>
      <c r="D3865" s="1" t="s">
        <v>178</v>
      </c>
      <c r="E3865" s="1" t="s">
        <v>39</v>
      </c>
      <c r="F3865" s="1" t="s">
        <v>212</v>
      </c>
      <c r="G3865" s="5">
        <v>1.24</v>
      </c>
    </row>
    <row r="3866" spans="1:7" x14ac:dyDescent="0.2">
      <c r="A3866" s="3">
        <v>3000</v>
      </c>
      <c r="B3866" s="2">
        <v>9450</v>
      </c>
      <c r="C3866" s="38">
        <v>44971</v>
      </c>
      <c r="D3866" s="1" t="s">
        <v>177</v>
      </c>
      <c r="E3866" s="1" t="s">
        <v>39</v>
      </c>
      <c r="F3866" s="1" t="s">
        <v>212</v>
      </c>
      <c r="G3866" s="5">
        <v>3.15</v>
      </c>
    </row>
    <row r="3867" spans="1:7" x14ac:dyDescent="0.2">
      <c r="A3867" s="3">
        <v>3000</v>
      </c>
      <c r="B3867" s="2">
        <v>7020</v>
      </c>
      <c r="C3867" s="38">
        <v>44615</v>
      </c>
      <c r="D3867" s="1" t="s">
        <v>187</v>
      </c>
      <c r="E3867" s="1" t="s">
        <v>39</v>
      </c>
      <c r="F3867" s="1" t="s">
        <v>212</v>
      </c>
      <c r="G3867" s="5">
        <v>2.34</v>
      </c>
    </row>
    <row r="3868" spans="1:7" x14ac:dyDescent="0.2">
      <c r="A3868" s="3">
        <v>3000</v>
      </c>
      <c r="B3868" s="2">
        <v>3720</v>
      </c>
      <c r="C3868" s="38">
        <v>44698</v>
      </c>
      <c r="D3868" s="1" t="s">
        <v>178</v>
      </c>
      <c r="E3868" s="1" t="s">
        <v>39</v>
      </c>
      <c r="F3868" s="1" t="s">
        <v>212</v>
      </c>
      <c r="G3868" s="5">
        <v>1.24</v>
      </c>
    </row>
    <row r="3869" spans="1:7" x14ac:dyDescent="0.2">
      <c r="A3869" s="3">
        <v>3000</v>
      </c>
      <c r="B3869" s="2">
        <v>9450</v>
      </c>
      <c r="C3869" s="38">
        <v>44698</v>
      </c>
      <c r="D3869" s="1" t="s">
        <v>177</v>
      </c>
      <c r="E3869" s="1" t="s">
        <v>39</v>
      </c>
      <c r="F3869" s="1" t="s">
        <v>212</v>
      </c>
      <c r="G3869" s="5">
        <v>3.15</v>
      </c>
    </row>
    <row r="3870" spans="1:7" x14ac:dyDescent="0.2">
      <c r="A3870" s="3">
        <v>3000</v>
      </c>
      <c r="B3870" s="2">
        <v>7020</v>
      </c>
      <c r="C3870" s="38">
        <v>44704</v>
      </c>
      <c r="D3870" s="1" t="s">
        <v>187</v>
      </c>
      <c r="E3870" s="1" t="s">
        <v>39</v>
      </c>
      <c r="F3870" s="1" t="s">
        <v>212</v>
      </c>
      <c r="G3870" s="5">
        <v>2.34</v>
      </c>
    </row>
    <row r="3871" spans="1:7" x14ac:dyDescent="0.2">
      <c r="A3871" s="3">
        <v>3000</v>
      </c>
      <c r="B3871" s="2">
        <v>7020</v>
      </c>
      <c r="C3871" s="38">
        <v>45071</v>
      </c>
      <c r="D3871" s="1" t="s">
        <v>187</v>
      </c>
      <c r="E3871" s="1" t="s">
        <v>39</v>
      </c>
      <c r="F3871" s="1" t="s">
        <v>212</v>
      </c>
      <c r="G3871" s="5">
        <v>2.34</v>
      </c>
    </row>
    <row r="3872" spans="1:7" x14ac:dyDescent="0.2">
      <c r="A3872" s="3">
        <v>3000</v>
      </c>
      <c r="B3872" s="2">
        <v>3720</v>
      </c>
      <c r="C3872" s="38">
        <v>45072</v>
      </c>
      <c r="D3872" s="1" t="s">
        <v>178</v>
      </c>
      <c r="E3872" s="1" t="s">
        <v>39</v>
      </c>
      <c r="F3872" s="1" t="s">
        <v>212</v>
      </c>
      <c r="G3872" s="5">
        <v>1.24</v>
      </c>
    </row>
    <row r="3873" spans="1:7" x14ac:dyDescent="0.2">
      <c r="A3873" s="3">
        <v>3000</v>
      </c>
      <c r="B3873" s="2">
        <v>4620</v>
      </c>
      <c r="C3873" s="38">
        <v>45072</v>
      </c>
      <c r="D3873" s="1" t="s">
        <v>179</v>
      </c>
      <c r="E3873" s="1" t="s">
        <v>39</v>
      </c>
      <c r="F3873" s="1" t="s">
        <v>212</v>
      </c>
      <c r="G3873" s="5">
        <v>1.54</v>
      </c>
    </row>
    <row r="3874" spans="1:7" x14ac:dyDescent="0.2">
      <c r="A3874" s="3">
        <v>3000</v>
      </c>
      <c r="B3874" s="2">
        <v>5610</v>
      </c>
      <c r="C3874" s="38">
        <v>44743</v>
      </c>
      <c r="D3874" s="1" t="s">
        <v>176</v>
      </c>
      <c r="E3874" s="1" t="s">
        <v>39</v>
      </c>
      <c r="F3874" s="1" t="s">
        <v>212</v>
      </c>
      <c r="G3874" s="5">
        <v>1.87</v>
      </c>
    </row>
    <row r="3875" spans="1:7" x14ac:dyDescent="0.2">
      <c r="A3875" s="3">
        <v>3000</v>
      </c>
      <c r="B3875" s="2">
        <v>9450</v>
      </c>
      <c r="C3875" s="38">
        <v>44743</v>
      </c>
      <c r="D3875" s="1" t="s">
        <v>177</v>
      </c>
      <c r="E3875" s="1" t="s">
        <v>39</v>
      </c>
      <c r="F3875" s="1" t="s">
        <v>212</v>
      </c>
      <c r="G3875" s="5">
        <v>3.15</v>
      </c>
    </row>
    <row r="3876" spans="1:7" x14ac:dyDescent="0.2">
      <c r="A3876" s="3">
        <v>3000</v>
      </c>
      <c r="B3876" s="2">
        <v>3720</v>
      </c>
      <c r="C3876" s="38">
        <v>45114</v>
      </c>
      <c r="D3876" s="1" t="s">
        <v>178</v>
      </c>
      <c r="E3876" s="1" t="s">
        <v>39</v>
      </c>
      <c r="F3876" s="1" t="s">
        <v>212</v>
      </c>
      <c r="G3876" s="5">
        <v>1.24</v>
      </c>
    </row>
    <row r="3877" spans="1:7" x14ac:dyDescent="0.2">
      <c r="A3877" s="3">
        <v>3000</v>
      </c>
      <c r="B3877" s="2">
        <v>3720</v>
      </c>
      <c r="C3877" s="38">
        <v>45114</v>
      </c>
      <c r="D3877" s="1" t="s">
        <v>178</v>
      </c>
      <c r="E3877" s="1" t="s">
        <v>39</v>
      </c>
      <c r="F3877" s="1" t="s">
        <v>212</v>
      </c>
      <c r="G3877" s="5">
        <v>1.24</v>
      </c>
    </row>
    <row r="3878" spans="1:7" x14ac:dyDescent="0.2">
      <c r="A3878" s="3">
        <v>3000</v>
      </c>
      <c r="B3878" s="2">
        <v>7020</v>
      </c>
      <c r="C3878" s="38">
        <v>45114</v>
      </c>
      <c r="D3878" s="1" t="s">
        <v>187</v>
      </c>
      <c r="E3878" s="1" t="s">
        <v>39</v>
      </c>
      <c r="F3878" s="1" t="s">
        <v>212</v>
      </c>
      <c r="G3878" s="5">
        <v>2.34</v>
      </c>
    </row>
    <row r="3879" spans="1:7" x14ac:dyDescent="0.2">
      <c r="A3879" s="3">
        <v>3000</v>
      </c>
      <c r="B3879" s="2">
        <v>9450</v>
      </c>
      <c r="C3879" s="38">
        <v>44615</v>
      </c>
      <c r="D3879" s="1" t="s">
        <v>177</v>
      </c>
      <c r="E3879" s="1" t="s">
        <v>39</v>
      </c>
      <c r="F3879" s="1" t="s">
        <v>212</v>
      </c>
      <c r="G3879" s="5">
        <v>3.15</v>
      </c>
    </row>
    <row r="3880" spans="1:7" x14ac:dyDescent="0.2">
      <c r="A3880" s="3">
        <v>3000</v>
      </c>
      <c r="B3880" s="2">
        <v>3690</v>
      </c>
      <c r="C3880" s="38">
        <v>44617</v>
      </c>
      <c r="D3880" s="1" t="s">
        <v>178</v>
      </c>
      <c r="E3880" s="1" t="s">
        <v>39</v>
      </c>
      <c r="F3880" s="1" t="s">
        <v>212</v>
      </c>
      <c r="G3880" s="5">
        <v>1.23</v>
      </c>
    </row>
    <row r="3881" spans="1:7" x14ac:dyDescent="0.2">
      <c r="A3881" s="3">
        <v>3000</v>
      </c>
      <c r="B3881" s="2">
        <v>3690</v>
      </c>
      <c r="C3881" s="38">
        <v>44617</v>
      </c>
      <c r="D3881" s="1" t="s">
        <v>178</v>
      </c>
      <c r="E3881" s="1" t="s">
        <v>39</v>
      </c>
      <c r="F3881" s="1" t="s">
        <v>212</v>
      </c>
      <c r="G3881" s="5">
        <v>1.23</v>
      </c>
    </row>
    <row r="3882" spans="1:7" x14ac:dyDescent="0.2">
      <c r="A3882" s="3">
        <v>3000</v>
      </c>
      <c r="B3882" s="2">
        <v>5610</v>
      </c>
      <c r="C3882" s="38">
        <v>44993</v>
      </c>
      <c r="D3882" s="1" t="s">
        <v>176</v>
      </c>
      <c r="E3882" s="1" t="s">
        <v>39</v>
      </c>
      <c r="F3882" s="1" t="s">
        <v>212</v>
      </c>
      <c r="G3882" s="5">
        <v>1.87</v>
      </c>
    </row>
    <row r="3883" spans="1:7" x14ac:dyDescent="0.2">
      <c r="A3883" s="3">
        <v>3000</v>
      </c>
      <c r="B3883" s="2">
        <v>3720</v>
      </c>
      <c r="C3883" s="38">
        <v>44631</v>
      </c>
      <c r="D3883" s="1" t="s">
        <v>178</v>
      </c>
      <c r="E3883" s="1" t="s">
        <v>39</v>
      </c>
      <c r="F3883" s="1" t="s">
        <v>212</v>
      </c>
      <c r="G3883" s="5">
        <v>1.24</v>
      </c>
    </row>
    <row r="3884" spans="1:7" x14ac:dyDescent="0.2">
      <c r="A3884" s="3">
        <v>3000</v>
      </c>
      <c r="B3884" s="2">
        <v>5610</v>
      </c>
      <c r="C3884" s="38">
        <v>44650</v>
      </c>
      <c r="D3884" s="1" t="s">
        <v>176</v>
      </c>
      <c r="E3884" s="1" t="s">
        <v>39</v>
      </c>
      <c r="F3884" s="1" t="s">
        <v>212</v>
      </c>
      <c r="G3884" s="5">
        <v>1.87</v>
      </c>
    </row>
    <row r="3885" spans="1:7" x14ac:dyDescent="0.2">
      <c r="A3885" s="3">
        <v>3000</v>
      </c>
      <c r="B3885" s="2">
        <v>7020</v>
      </c>
      <c r="C3885" s="38">
        <v>44653</v>
      </c>
      <c r="D3885" s="1" t="s">
        <v>187</v>
      </c>
      <c r="E3885" s="1" t="s">
        <v>39</v>
      </c>
      <c r="F3885" s="1" t="s">
        <v>212</v>
      </c>
      <c r="G3885" s="5">
        <v>2.34</v>
      </c>
    </row>
    <row r="3886" spans="1:7" x14ac:dyDescent="0.2">
      <c r="A3886" s="3">
        <v>3000</v>
      </c>
      <c r="B3886" s="2">
        <v>3720</v>
      </c>
      <c r="C3886" s="38">
        <v>44670</v>
      </c>
      <c r="D3886" s="1" t="s">
        <v>178</v>
      </c>
      <c r="E3886" s="1" t="s">
        <v>39</v>
      </c>
      <c r="F3886" s="1" t="s">
        <v>212</v>
      </c>
      <c r="G3886" s="5">
        <v>1.24</v>
      </c>
    </row>
    <row r="3887" spans="1:7" x14ac:dyDescent="0.2">
      <c r="A3887" s="3">
        <v>3000</v>
      </c>
      <c r="B3887" s="2">
        <v>5610</v>
      </c>
      <c r="C3887" s="38">
        <v>44670</v>
      </c>
      <c r="D3887" s="1" t="s">
        <v>176</v>
      </c>
      <c r="E3887" s="1" t="s">
        <v>39</v>
      </c>
      <c r="F3887" s="1" t="s">
        <v>212</v>
      </c>
      <c r="G3887" s="5">
        <v>1.87</v>
      </c>
    </row>
    <row r="3888" spans="1:7" x14ac:dyDescent="0.2">
      <c r="A3888" s="3">
        <v>3000</v>
      </c>
      <c r="B3888" s="2">
        <v>1323</v>
      </c>
      <c r="C3888" s="38">
        <v>45035</v>
      </c>
      <c r="D3888" s="1" t="s">
        <v>154</v>
      </c>
      <c r="E3888" s="1" t="s">
        <v>39</v>
      </c>
      <c r="F3888" s="1" t="s">
        <v>212</v>
      </c>
      <c r="G3888" s="5">
        <v>0.441</v>
      </c>
    </row>
    <row r="3889" spans="1:7" x14ac:dyDescent="0.2">
      <c r="A3889" s="3">
        <v>3000</v>
      </c>
      <c r="B3889" s="2">
        <v>9450</v>
      </c>
      <c r="C3889" s="38">
        <v>45100</v>
      </c>
      <c r="D3889" s="1" t="s">
        <v>177</v>
      </c>
      <c r="E3889" s="1" t="s">
        <v>39</v>
      </c>
      <c r="F3889" s="1" t="s">
        <v>212</v>
      </c>
      <c r="G3889" s="5">
        <v>3.15</v>
      </c>
    </row>
    <row r="3890" spans="1:7" x14ac:dyDescent="0.2">
      <c r="A3890" s="3">
        <v>3000</v>
      </c>
      <c r="B3890" s="2">
        <v>3720</v>
      </c>
      <c r="C3890" s="38">
        <v>44736</v>
      </c>
      <c r="D3890" s="1" t="s">
        <v>178</v>
      </c>
      <c r="E3890" s="1" t="s">
        <v>39</v>
      </c>
      <c r="F3890" s="1" t="s">
        <v>212</v>
      </c>
      <c r="G3890" s="5">
        <v>1.24</v>
      </c>
    </row>
    <row r="3891" spans="1:7" x14ac:dyDescent="0.2">
      <c r="A3891" s="3">
        <v>3000</v>
      </c>
      <c r="B3891" s="2">
        <v>7020</v>
      </c>
      <c r="C3891" s="38">
        <v>44736</v>
      </c>
      <c r="D3891" s="1" t="s">
        <v>187</v>
      </c>
      <c r="E3891" s="1" t="s">
        <v>39</v>
      </c>
      <c r="F3891" s="1" t="s">
        <v>212</v>
      </c>
      <c r="G3891" s="5">
        <v>2.34</v>
      </c>
    </row>
    <row r="3892" spans="1:7" x14ac:dyDescent="0.2">
      <c r="A3892" s="3">
        <v>3000</v>
      </c>
      <c r="B3892" s="2">
        <v>3720</v>
      </c>
      <c r="C3892" s="38">
        <v>45103</v>
      </c>
      <c r="D3892" s="1" t="s">
        <v>178</v>
      </c>
      <c r="E3892" s="1" t="s">
        <v>39</v>
      </c>
      <c r="F3892" s="1" t="s">
        <v>212</v>
      </c>
      <c r="G3892" s="5">
        <v>1.24</v>
      </c>
    </row>
    <row r="3893" spans="1:7" x14ac:dyDescent="0.2">
      <c r="A3893" s="3">
        <v>3000</v>
      </c>
      <c r="B3893" s="2">
        <v>5610</v>
      </c>
      <c r="C3893" s="38">
        <v>45103</v>
      </c>
      <c r="D3893" s="1" t="s">
        <v>176</v>
      </c>
      <c r="E3893" s="1" t="s">
        <v>39</v>
      </c>
      <c r="F3893" s="1" t="s">
        <v>212</v>
      </c>
      <c r="G3893" s="5">
        <v>1.87</v>
      </c>
    </row>
    <row r="3894" spans="1:7" x14ac:dyDescent="0.2">
      <c r="A3894" s="3">
        <v>3000</v>
      </c>
      <c r="B3894" s="2">
        <v>5610</v>
      </c>
      <c r="C3894" s="38">
        <v>45103</v>
      </c>
      <c r="D3894" s="1" t="s">
        <v>176</v>
      </c>
      <c r="E3894" s="1" t="s">
        <v>39</v>
      </c>
      <c r="F3894" s="1" t="s">
        <v>212</v>
      </c>
      <c r="G3894" s="5">
        <v>1.87</v>
      </c>
    </row>
    <row r="3895" spans="1:7" x14ac:dyDescent="0.2">
      <c r="A3895" s="3">
        <v>3000</v>
      </c>
      <c r="B3895" s="2">
        <v>5610</v>
      </c>
      <c r="C3895" s="38">
        <v>45103</v>
      </c>
      <c r="D3895" s="1" t="s">
        <v>176</v>
      </c>
      <c r="E3895" s="1" t="s">
        <v>39</v>
      </c>
      <c r="F3895" s="1" t="s">
        <v>212</v>
      </c>
      <c r="G3895" s="5">
        <v>1.87</v>
      </c>
    </row>
    <row r="3896" spans="1:7" x14ac:dyDescent="0.2">
      <c r="A3896" s="3">
        <v>3000</v>
      </c>
      <c r="B3896" s="2">
        <v>7020</v>
      </c>
      <c r="C3896" s="38">
        <v>45103</v>
      </c>
      <c r="D3896" s="1" t="s">
        <v>187</v>
      </c>
      <c r="E3896" s="1" t="s">
        <v>39</v>
      </c>
      <c r="F3896" s="1" t="s">
        <v>212</v>
      </c>
      <c r="G3896" s="5">
        <v>2.34</v>
      </c>
    </row>
    <row r="3897" spans="1:7" x14ac:dyDescent="0.2">
      <c r="A3897" s="3">
        <v>3000</v>
      </c>
      <c r="B3897" s="2">
        <v>7020</v>
      </c>
      <c r="C3897" s="38">
        <v>45114</v>
      </c>
      <c r="D3897" s="1" t="s">
        <v>187</v>
      </c>
      <c r="E3897" s="1" t="s">
        <v>39</v>
      </c>
      <c r="F3897" s="1" t="s">
        <v>212</v>
      </c>
      <c r="G3897" s="5">
        <v>2.34</v>
      </c>
    </row>
    <row r="3898" spans="1:7" x14ac:dyDescent="0.2">
      <c r="A3898" s="3">
        <v>3000</v>
      </c>
      <c r="B3898" s="2">
        <v>7020</v>
      </c>
      <c r="C3898" s="38">
        <v>45114</v>
      </c>
      <c r="D3898" s="1" t="s">
        <v>187</v>
      </c>
      <c r="E3898" s="1" t="s">
        <v>39</v>
      </c>
      <c r="F3898" s="1" t="s">
        <v>212</v>
      </c>
      <c r="G3898" s="5">
        <v>2.34</v>
      </c>
    </row>
    <row r="3899" spans="1:7" x14ac:dyDescent="0.2">
      <c r="A3899" s="3">
        <v>3000</v>
      </c>
      <c r="B3899" s="2">
        <v>9456</v>
      </c>
      <c r="C3899" s="38">
        <v>45117</v>
      </c>
      <c r="D3899" s="1" t="s">
        <v>177</v>
      </c>
      <c r="E3899" s="1" t="s">
        <v>39</v>
      </c>
      <c r="F3899" s="1" t="s">
        <v>212</v>
      </c>
      <c r="G3899" s="5">
        <v>3.1520000000000001</v>
      </c>
    </row>
    <row r="3900" spans="1:7" x14ac:dyDescent="0.2">
      <c r="A3900" s="3">
        <v>3000</v>
      </c>
      <c r="B3900" s="2">
        <v>7020</v>
      </c>
      <c r="C3900" s="38">
        <v>44757</v>
      </c>
      <c r="D3900" s="1" t="s">
        <v>187</v>
      </c>
      <c r="E3900" s="1" t="s">
        <v>39</v>
      </c>
      <c r="F3900" s="1" t="s">
        <v>212</v>
      </c>
      <c r="G3900" s="5">
        <v>2.34</v>
      </c>
    </row>
    <row r="3901" spans="1:7" x14ac:dyDescent="0.2">
      <c r="A3901" s="3">
        <v>3000</v>
      </c>
      <c r="B3901" s="2">
        <v>3720</v>
      </c>
      <c r="C3901" s="38">
        <v>44762</v>
      </c>
      <c r="D3901" s="1" t="s">
        <v>178</v>
      </c>
      <c r="E3901" s="1" t="s">
        <v>39</v>
      </c>
      <c r="F3901" s="1" t="s">
        <v>212</v>
      </c>
      <c r="G3901" s="5">
        <v>1.24</v>
      </c>
    </row>
    <row r="3902" spans="1:7" x14ac:dyDescent="0.2">
      <c r="A3902" s="3">
        <v>3000</v>
      </c>
      <c r="B3902" s="2">
        <v>7020</v>
      </c>
      <c r="C3902" s="38">
        <v>44762</v>
      </c>
      <c r="D3902" s="1" t="s">
        <v>187</v>
      </c>
      <c r="E3902" s="1" t="s">
        <v>39</v>
      </c>
      <c r="F3902" s="1" t="s">
        <v>212</v>
      </c>
      <c r="G3902" s="5">
        <v>2.34</v>
      </c>
    </row>
    <row r="3903" spans="1:7" x14ac:dyDescent="0.2">
      <c r="A3903" s="3">
        <v>3000</v>
      </c>
      <c r="B3903" s="2">
        <v>7020</v>
      </c>
      <c r="C3903" s="38">
        <v>44762</v>
      </c>
      <c r="D3903" s="1" t="s">
        <v>187</v>
      </c>
      <c r="E3903" s="1" t="s">
        <v>39</v>
      </c>
      <c r="F3903" s="1" t="s">
        <v>212</v>
      </c>
      <c r="G3903" s="5">
        <v>2.34</v>
      </c>
    </row>
    <row r="3904" spans="1:7" x14ac:dyDescent="0.2">
      <c r="A3904" s="3">
        <v>3000</v>
      </c>
      <c r="B3904" s="2">
        <v>9450</v>
      </c>
      <c r="C3904" s="38">
        <v>44767</v>
      </c>
      <c r="D3904" s="1" t="s">
        <v>177</v>
      </c>
      <c r="E3904" s="1" t="s">
        <v>39</v>
      </c>
      <c r="F3904" s="1" t="s">
        <v>212</v>
      </c>
      <c r="G3904" s="5">
        <v>3.15</v>
      </c>
    </row>
    <row r="3905" spans="1:7" x14ac:dyDescent="0.2">
      <c r="A3905" s="3">
        <v>3000</v>
      </c>
      <c r="B3905" s="2">
        <v>9450</v>
      </c>
      <c r="C3905" s="38">
        <v>44767</v>
      </c>
      <c r="D3905" s="1" t="s">
        <v>177</v>
      </c>
      <c r="E3905" s="1" t="s">
        <v>39</v>
      </c>
      <c r="F3905" s="1" t="s">
        <v>212</v>
      </c>
      <c r="G3905" s="5">
        <v>3.15</v>
      </c>
    </row>
    <row r="3906" spans="1:7" x14ac:dyDescent="0.2">
      <c r="A3906" s="3">
        <v>3000</v>
      </c>
      <c r="B3906" s="2">
        <v>9450</v>
      </c>
      <c r="C3906" s="38">
        <v>44767</v>
      </c>
      <c r="D3906" s="1" t="s">
        <v>177</v>
      </c>
      <c r="E3906" s="1" t="s">
        <v>39</v>
      </c>
      <c r="F3906" s="1" t="s">
        <v>212</v>
      </c>
      <c r="G3906" s="5">
        <v>3.15</v>
      </c>
    </row>
    <row r="3907" spans="1:7" x14ac:dyDescent="0.2">
      <c r="A3907" s="3">
        <v>3000</v>
      </c>
      <c r="B3907" s="2">
        <v>3720</v>
      </c>
      <c r="C3907" s="38">
        <v>44781</v>
      </c>
      <c r="D3907" s="1" t="s">
        <v>178</v>
      </c>
      <c r="E3907" s="1" t="s">
        <v>39</v>
      </c>
      <c r="F3907" s="1" t="s">
        <v>212</v>
      </c>
      <c r="G3907" s="5">
        <v>1.24</v>
      </c>
    </row>
    <row r="3908" spans="1:7" x14ac:dyDescent="0.2">
      <c r="A3908" s="3">
        <v>3000</v>
      </c>
      <c r="B3908" s="2">
        <v>7020</v>
      </c>
      <c r="C3908" s="38">
        <v>44677</v>
      </c>
      <c r="D3908" s="1" t="s">
        <v>187</v>
      </c>
      <c r="E3908" s="1" t="s">
        <v>39</v>
      </c>
      <c r="F3908" s="1" t="s">
        <v>212</v>
      </c>
      <c r="G3908" s="5">
        <v>2.34</v>
      </c>
    </row>
    <row r="3909" spans="1:7" x14ac:dyDescent="0.2">
      <c r="A3909" s="3">
        <v>3000</v>
      </c>
      <c r="B3909" s="2">
        <v>4620</v>
      </c>
      <c r="C3909" s="38">
        <v>45051</v>
      </c>
      <c r="D3909" s="1" t="s">
        <v>179</v>
      </c>
      <c r="E3909" s="1" t="s">
        <v>39</v>
      </c>
      <c r="F3909" s="1" t="s">
        <v>212</v>
      </c>
      <c r="G3909" s="5">
        <v>1.54</v>
      </c>
    </row>
    <row r="3910" spans="1:7" x14ac:dyDescent="0.2">
      <c r="A3910" s="3">
        <v>3000</v>
      </c>
      <c r="B3910" s="2">
        <v>3720</v>
      </c>
      <c r="C3910" s="38">
        <v>44782</v>
      </c>
      <c r="D3910" s="1" t="s">
        <v>178</v>
      </c>
      <c r="E3910" s="1" t="s">
        <v>39</v>
      </c>
      <c r="F3910" s="1" t="s">
        <v>212</v>
      </c>
      <c r="G3910" s="5">
        <v>1.24</v>
      </c>
    </row>
    <row r="3911" spans="1:7" x14ac:dyDescent="0.2">
      <c r="A3911" s="3">
        <v>3000</v>
      </c>
      <c r="B3911" s="2">
        <v>3720</v>
      </c>
      <c r="C3911" s="38">
        <v>44782</v>
      </c>
      <c r="D3911" s="1" t="s">
        <v>178</v>
      </c>
      <c r="E3911" s="1" t="s">
        <v>39</v>
      </c>
      <c r="F3911" s="1" t="s">
        <v>212</v>
      </c>
      <c r="G3911" s="5">
        <v>1.24</v>
      </c>
    </row>
    <row r="3912" spans="1:7" x14ac:dyDescent="0.2">
      <c r="A3912" s="3">
        <v>3000</v>
      </c>
      <c r="B3912" s="2">
        <v>3720</v>
      </c>
      <c r="C3912" s="38">
        <v>44792</v>
      </c>
      <c r="D3912" s="1" t="s">
        <v>178</v>
      </c>
      <c r="E3912" s="1" t="s">
        <v>39</v>
      </c>
      <c r="F3912" s="1" t="s">
        <v>212</v>
      </c>
      <c r="G3912" s="5">
        <v>1.24</v>
      </c>
    </row>
    <row r="3913" spans="1:7" x14ac:dyDescent="0.2">
      <c r="A3913" s="3">
        <v>3000</v>
      </c>
      <c r="B3913" s="2">
        <v>3120</v>
      </c>
      <c r="C3913" s="38">
        <v>44790</v>
      </c>
      <c r="D3913" s="1" t="s">
        <v>153</v>
      </c>
      <c r="E3913" s="1" t="s">
        <v>39</v>
      </c>
      <c r="F3913" s="1" t="s">
        <v>212</v>
      </c>
      <c r="G3913" s="5">
        <v>1.04</v>
      </c>
    </row>
    <row r="3914" spans="1:7" x14ac:dyDescent="0.2">
      <c r="A3914" s="3">
        <v>3000</v>
      </c>
      <c r="B3914" s="2">
        <v>4620</v>
      </c>
      <c r="C3914" s="38">
        <v>44792</v>
      </c>
      <c r="D3914" s="1" t="s">
        <v>179</v>
      </c>
      <c r="E3914" s="1" t="s">
        <v>39</v>
      </c>
      <c r="F3914" s="1" t="s">
        <v>212</v>
      </c>
      <c r="G3914" s="5">
        <v>1.54</v>
      </c>
    </row>
    <row r="3915" spans="1:7" x14ac:dyDescent="0.2">
      <c r="A3915" s="3">
        <v>3000</v>
      </c>
      <c r="B3915" s="2">
        <v>3720</v>
      </c>
      <c r="C3915" s="38">
        <v>44782</v>
      </c>
      <c r="D3915" s="1" t="s">
        <v>178</v>
      </c>
      <c r="E3915" s="1" t="s">
        <v>39</v>
      </c>
      <c r="F3915" s="1" t="s">
        <v>212</v>
      </c>
      <c r="G3915" s="5">
        <v>1.24</v>
      </c>
    </row>
    <row r="3916" spans="1:7" x14ac:dyDescent="0.2">
      <c r="A3916" s="3">
        <v>3000</v>
      </c>
      <c r="B3916" s="2">
        <v>3720</v>
      </c>
      <c r="C3916" s="38">
        <v>44782</v>
      </c>
      <c r="D3916" s="1" t="s">
        <v>178</v>
      </c>
      <c r="E3916" s="1" t="s">
        <v>39</v>
      </c>
      <c r="F3916" s="1" t="s">
        <v>212</v>
      </c>
      <c r="G3916" s="5">
        <v>1.24</v>
      </c>
    </row>
    <row r="3917" spans="1:7" x14ac:dyDescent="0.2">
      <c r="A3917" s="3">
        <v>3000</v>
      </c>
      <c r="B3917" s="2">
        <v>5610</v>
      </c>
      <c r="C3917" s="38">
        <v>44827</v>
      </c>
      <c r="D3917" s="1" t="s">
        <v>176</v>
      </c>
      <c r="E3917" s="1" t="s">
        <v>39</v>
      </c>
      <c r="F3917" s="1" t="s">
        <v>212</v>
      </c>
      <c r="G3917" s="5">
        <v>1.87</v>
      </c>
    </row>
    <row r="3918" spans="1:7" x14ac:dyDescent="0.2">
      <c r="A3918" s="3">
        <v>3000</v>
      </c>
      <c r="B3918" s="2">
        <v>3120</v>
      </c>
      <c r="C3918" s="38">
        <v>44876</v>
      </c>
      <c r="D3918" s="1" t="s">
        <v>153</v>
      </c>
      <c r="E3918" s="1" t="s">
        <v>39</v>
      </c>
      <c r="F3918" s="1" t="s">
        <v>212</v>
      </c>
      <c r="G3918" s="5">
        <v>1.04</v>
      </c>
    </row>
    <row r="3919" spans="1:7" x14ac:dyDescent="0.2">
      <c r="A3919" s="3">
        <v>3000</v>
      </c>
      <c r="B3919" s="2">
        <v>5610</v>
      </c>
      <c r="C3919" s="38">
        <v>44900</v>
      </c>
      <c r="D3919" s="1" t="s">
        <v>176</v>
      </c>
      <c r="E3919" s="1" t="s">
        <v>39</v>
      </c>
      <c r="F3919" s="1" t="s">
        <v>212</v>
      </c>
      <c r="G3919" s="5">
        <v>1.87</v>
      </c>
    </row>
    <row r="3920" spans="1:7" x14ac:dyDescent="0.2">
      <c r="A3920" s="3">
        <v>3000</v>
      </c>
      <c r="B3920" s="2">
        <v>5280</v>
      </c>
      <c r="C3920" s="38">
        <v>44567</v>
      </c>
      <c r="D3920" s="1" t="s">
        <v>115</v>
      </c>
      <c r="E3920" s="1" t="s">
        <v>39</v>
      </c>
      <c r="F3920" s="1" t="s">
        <v>212</v>
      </c>
      <c r="G3920" s="5">
        <v>1.76</v>
      </c>
    </row>
    <row r="3921" spans="1:7" x14ac:dyDescent="0.2">
      <c r="A3921" s="3">
        <v>3000</v>
      </c>
      <c r="B3921" s="2">
        <v>5280</v>
      </c>
      <c r="C3921" s="38">
        <v>44572</v>
      </c>
      <c r="D3921" s="1" t="s">
        <v>115</v>
      </c>
      <c r="E3921" s="1" t="s">
        <v>39</v>
      </c>
      <c r="F3921" s="1" t="s">
        <v>212</v>
      </c>
      <c r="G3921" s="5">
        <v>1.76</v>
      </c>
    </row>
    <row r="3922" spans="1:7" x14ac:dyDescent="0.2">
      <c r="A3922" s="3">
        <v>3000</v>
      </c>
      <c r="B3922" s="2">
        <v>5280</v>
      </c>
      <c r="C3922" s="38">
        <v>44580</v>
      </c>
      <c r="D3922" s="1" t="s">
        <v>115</v>
      </c>
      <c r="E3922" s="1" t="s">
        <v>39</v>
      </c>
      <c r="F3922" s="1" t="s">
        <v>212</v>
      </c>
      <c r="G3922" s="5">
        <v>1.76</v>
      </c>
    </row>
    <row r="3923" spans="1:7" x14ac:dyDescent="0.2">
      <c r="A3923" s="3">
        <v>3000</v>
      </c>
      <c r="B3923" s="2">
        <v>5280</v>
      </c>
      <c r="C3923" s="38">
        <v>44581</v>
      </c>
      <c r="D3923" s="1" t="s">
        <v>115</v>
      </c>
      <c r="E3923" s="1" t="s">
        <v>39</v>
      </c>
      <c r="F3923" s="1" t="s">
        <v>212</v>
      </c>
      <c r="G3923" s="5">
        <v>1.76</v>
      </c>
    </row>
    <row r="3924" spans="1:7" x14ac:dyDescent="0.2">
      <c r="A3924" s="3">
        <v>3000</v>
      </c>
      <c r="B3924" s="2">
        <v>5280</v>
      </c>
      <c r="C3924" s="38">
        <v>44589</v>
      </c>
      <c r="D3924" s="1" t="s">
        <v>115</v>
      </c>
      <c r="E3924" s="1" t="s">
        <v>39</v>
      </c>
      <c r="F3924" s="1" t="s">
        <v>212</v>
      </c>
      <c r="G3924" s="5">
        <v>1.76</v>
      </c>
    </row>
    <row r="3925" spans="1:7" x14ac:dyDescent="0.2">
      <c r="A3925" s="3">
        <v>3000</v>
      </c>
      <c r="B3925" s="2">
        <v>5280</v>
      </c>
      <c r="C3925" s="38">
        <v>44594</v>
      </c>
      <c r="D3925" s="1" t="s">
        <v>115</v>
      </c>
      <c r="E3925" s="1" t="s">
        <v>39</v>
      </c>
      <c r="F3925" s="1" t="s">
        <v>212</v>
      </c>
      <c r="G3925" s="5">
        <v>1.76</v>
      </c>
    </row>
    <row r="3926" spans="1:7" x14ac:dyDescent="0.2">
      <c r="A3926" s="3">
        <v>3000</v>
      </c>
      <c r="B3926" s="2">
        <v>5280</v>
      </c>
      <c r="C3926" s="38">
        <v>44964</v>
      </c>
      <c r="D3926" s="1" t="s">
        <v>115</v>
      </c>
      <c r="E3926" s="1" t="s">
        <v>39</v>
      </c>
      <c r="F3926" s="1" t="s">
        <v>212</v>
      </c>
      <c r="G3926" s="5">
        <v>1.76</v>
      </c>
    </row>
    <row r="3927" spans="1:7" x14ac:dyDescent="0.2">
      <c r="A3927" s="3">
        <v>3000</v>
      </c>
      <c r="B3927" s="2">
        <v>5940</v>
      </c>
      <c r="C3927" s="38">
        <v>44964</v>
      </c>
      <c r="D3927" s="1" t="s">
        <v>127</v>
      </c>
      <c r="E3927" s="1" t="s">
        <v>39</v>
      </c>
      <c r="F3927" s="1" t="s">
        <v>212</v>
      </c>
      <c r="G3927" s="5">
        <v>1.98</v>
      </c>
    </row>
    <row r="3928" spans="1:7" x14ac:dyDescent="0.2">
      <c r="A3928" s="3">
        <v>3000</v>
      </c>
      <c r="B3928" s="2">
        <v>5940</v>
      </c>
      <c r="C3928" s="38">
        <v>44964</v>
      </c>
      <c r="D3928" s="1" t="s">
        <v>127</v>
      </c>
      <c r="E3928" s="1" t="s">
        <v>39</v>
      </c>
      <c r="F3928" s="1" t="s">
        <v>212</v>
      </c>
      <c r="G3928" s="5">
        <v>1.98</v>
      </c>
    </row>
    <row r="3929" spans="1:7" x14ac:dyDescent="0.2">
      <c r="A3929" s="3">
        <v>3000</v>
      </c>
      <c r="B3929" s="2">
        <v>5280</v>
      </c>
      <c r="C3929" s="38">
        <v>44610</v>
      </c>
      <c r="D3929" s="1" t="s">
        <v>115</v>
      </c>
      <c r="E3929" s="1" t="s">
        <v>39</v>
      </c>
      <c r="F3929" s="1" t="s">
        <v>212</v>
      </c>
      <c r="G3929" s="5">
        <v>1.76</v>
      </c>
    </row>
    <row r="3930" spans="1:7" x14ac:dyDescent="0.2">
      <c r="A3930" s="3">
        <v>3000</v>
      </c>
      <c r="B3930" s="2">
        <v>5280</v>
      </c>
      <c r="C3930" s="38">
        <v>44610</v>
      </c>
      <c r="D3930" s="1" t="s">
        <v>115</v>
      </c>
      <c r="E3930" s="1" t="s">
        <v>39</v>
      </c>
      <c r="F3930" s="1" t="s">
        <v>212</v>
      </c>
      <c r="G3930" s="5">
        <v>1.76</v>
      </c>
    </row>
    <row r="3931" spans="1:7" x14ac:dyDescent="0.2">
      <c r="A3931" s="3">
        <v>3000</v>
      </c>
      <c r="B3931" s="2">
        <v>5280</v>
      </c>
      <c r="C3931" s="38">
        <v>44615</v>
      </c>
      <c r="D3931" s="1" t="s">
        <v>115</v>
      </c>
      <c r="E3931" s="1" t="s">
        <v>39</v>
      </c>
      <c r="F3931" s="1" t="s">
        <v>212</v>
      </c>
      <c r="G3931" s="5">
        <v>1.76</v>
      </c>
    </row>
    <row r="3932" spans="1:7" x14ac:dyDescent="0.2">
      <c r="A3932" s="3">
        <v>3000</v>
      </c>
      <c r="B3932" s="2">
        <v>5280</v>
      </c>
      <c r="C3932" s="38">
        <v>45020</v>
      </c>
      <c r="D3932" s="1" t="s">
        <v>115</v>
      </c>
      <c r="E3932" s="1" t="s">
        <v>39</v>
      </c>
      <c r="F3932" s="1" t="s">
        <v>212</v>
      </c>
      <c r="G3932" s="5">
        <v>1.76</v>
      </c>
    </row>
    <row r="3933" spans="1:7" x14ac:dyDescent="0.2">
      <c r="A3933" s="3">
        <v>3000</v>
      </c>
      <c r="B3933" s="2">
        <v>5940</v>
      </c>
      <c r="C3933" s="38">
        <v>45041</v>
      </c>
      <c r="D3933" s="1" t="s">
        <v>127</v>
      </c>
      <c r="E3933" s="1" t="s">
        <v>39</v>
      </c>
      <c r="F3933" s="1" t="s">
        <v>212</v>
      </c>
      <c r="G3933" s="5">
        <v>1.98</v>
      </c>
    </row>
    <row r="3934" spans="1:7" x14ac:dyDescent="0.2">
      <c r="A3934" s="3">
        <v>3000</v>
      </c>
      <c r="B3934" s="2">
        <v>5280</v>
      </c>
      <c r="C3934" s="38">
        <v>45051</v>
      </c>
      <c r="D3934" s="1" t="s">
        <v>115</v>
      </c>
      <c r="E3934" s="1" t="s">
        <v>39</v>
      </c>
      <c r="F3934" s="1" t="s">
        <v>212</v>
      </c>
      <c r="G3934" s="5">
        <v>1.76</v>
      </c>
    </row>
    <row r="3935" spans="1:7" x14ac:dyDescent="0.2">
      <c r="A3935" s="3">
        <v>3000</v>
      </c>
      <c r="B3935" s="2">
        <v>5940</v>
      </c>
      <c r="C3935" s="38">
        <v>44700</v>
      </c>
      <c r="D3935" s="1" t="s">
        <v>127</v>
      </c>
      <c r="E3935" s="1" t="s">
        <v>39</v>
      </c>
      <c r="F3935" s="1" t="s">
        <v>212</v>
      </c>
      <c r="G3935" s="5">
        <v>1.98</v>
      </c>
    </row>
    <row r="3936" spans="1:7" x14ac:dyDescent="0.2">
      <c r="A3936" s="3">
        <v>3000</v>
      </c>
      <c r="B3936" s="2">
        <v>5940</v>
      </c>
      <c r="C3936" s="38">
        <v>44704</v>
      </c>
      <c r="D3936" s="1" t="s">
        <v>127</v>
      </c>
      <c r="E3936" s="1" t="s">
        <v>39</v>
      </c>
      <c r="F3936" s="1" t="s">
        <v>212</v>
      </c>
      <c r="G3936" s="5">
        <v>1.98</v>
      </c>
    </row>
    <row r="3937" spans="1:7" x14ac:dyDescent="0.2">
      <c r="A3937" s="3">
        <v>3000</v>
      </c>
      <c r="B3937" s="2">
        <v>5940</v>
      </c>
      <c r="C3937" s="38">
        <v>44705</v>
      </c>
      <c r="D3937" s="1" t="s">
        <v>127</v>
      </c>
      <c r="E3937" s="1" t="s">
        <v>39</v>
      </c>
      <c r="F3937" s="1" t="s">
        <v>212</v>
      </c>
      <c r="G3937" s="5">
        <v>1.98</v>
      </c>
    </row>
    <row r="3938" spans="1:7" x14ac:dyDescent="0.2">
      <c r="A3938" s="3">
        <v>3000</v>
      </c>
      <c r="B3938" s="2">
        <v>5940</v>
      </c>
      <c r="C3938" s="38">
        <v>44742</v>
      </c>
      <c r="D3938" s="1" t="s">
        <v>127</v>
      </c>
      <c r="E3938" s="1" t="s">
        <v>39</v>
      </c>
      <c r="F3938" s="1" t="s">
        <v>212</v>
      </c>
      <c r="G3938" s="5">
        <v>1.98</v>
      </c>
    </row>
    <row r="3939" spans="1:7" x14ac:dyDescent="0.2">
      <c r="A3939" s="3">
        <v>3000</v>
      </c>
      <c r="B3939" s="2">
        <v>5940</v>
      </c>
      <c r="C3939" s="38">
        <v>44742</v>
      </c>
      <c r="D3939" s="1" t="s">
        <v>127</v>
      </c>
      <c r="E3939" s="1" t="s">
        <v>39</v>
      </c>
      <c r="F3939" s="1" t="s">
        <v>212</v>
      </c>
      <c r="G3939" s="5">
        <v>1.98</v>
      </c>
    </row>
    <row r="3940" spans="1:7" x14ac:dyDescent="0.2">
      <c r="A3940" s="3">
        <v>3000</v>
      </c>
      <c r="B3940" s="2">
        <v>5280</v>
      </c>
      <c r="C3940" s="38">
        <v>45153</v>
      </c>
      <c r="D3940" s="1" t="s">
        <v>115</v>
      </c>
      <c r="E3940" s="1" t="s">
        <v>39</v>
      </c>
      <c r="F3940" s="1" t="s">
        <v>212</v>
      </c>
      <c r="G3940" s="5">
        <v>1.76</v>
      </c>
    </row>
    <row r="3941" spans="1:7" x14ac:dyDescent="0.2">
      <c r="A3941" s="3">
        <v>3000</v>
      </c>
      <c r="B3941" s="2">
        <v>5940</v>
      </c>
      <c r="C3941" s="38">
        <v>45155</v>
      </c>
      <c r="D3941" s="1" t="s">
        <v>127</v>
      </c>
      <c r="E3941" s="1" t="s">
        <v>39</v>
      </c>
      <c r="F3941" s="1" t="s">
        <v>212</v>
      </c>
      <c r="G3941" s="5">
        <v>1.98</v>
      </c>
    </row>
    <row r="3942" spans="1:7" x14ac:dyDescent="0.2">
      <c r="A3942" s="3">
        <v>3000</v>
      </c>
      <c r="B3942" s="2">
        <v>5280</v>
      </c>
      <c r="C3942" s="38">
        <v>44512</v>
      </c>
      <c r="D3942" s="1" t="s">
        <v>115</v>
      </c>
      <c r="E3942" s="1" t="s">
        <v>39</v>
      </c>
      <c r="F3942" s="1" t="s">
        <v>212</v>
      </c>
      <c r="G3942" s="5">
        <v>1.76</v>
      </c>
    </row>
    <row r="3943" spans="1:7" x14ac:dyDescent="0.2">
      <c r="A3943" s="3">
        <v>3000</v>
      </c>
      <c r="B3943" s="2">
        <v>5280</v>
      </c>
      <c r="C3943" s="38">
        <v>44517</v>
      </c>
      <c r="D3943" s="1" t="s">
        <v>115</v>
      </c>
      <c r="E3943" s="1" t="s">
        <v>39</v>
      </c>
      <c r="F3943" s="1" t="s">
        <v>212</v>
      </c>
      <c r="G3943" s="5">
        <v>1.76</v>
      </c>
    </row>
    <row r="3944" spans="1:7" x14ac:dyDescent="0.2">
      <c r="A3944" s="3">
        <v>3000</v>
      </c>
      <c r="B3944" s="2">
        <v>5280</v>
      </c>
      <c r="C3944" s="38">
        <v>44522</v>
      </c>
      <c r="D3944" s="1" t="s">
        <v>115</v>
      </c>
      <c r="E3944" s="1" t="s">
        <v>39</v>
      </c>
      <c r="F3944" s="1" t="s">
        <v>212</v>
      </c>
      <c r="G3944" s="5">
        <v>1.76</v>
      </c>
    </row>
    <row r="3945" spans="1:7" x14ac:dyDescent="0.2">
      <c r="A3945" s="3">
        <v>3000</v>
      </c>
      <c r="B3945" s="2">
        <v>5280</v>
      </c>
      <c r="C3945" s="38">
        <v>44900</v>
      </c>
      <c r="D3945" s="1" t="s">
        <v>115</v>
      </c>
      <c r="E3945" s="1" t="s">
        <v>39</v>
      </c>
      <c r="F3945" s="1" t="s">
        <v>212</v>
      </c>
      <c r="G3945" s="5">
        <v>1.76</v>
      </c>
    </row>
    <row r="3946" spans="1:7" x14ac:dyDescent="0.2">
      <c r="A3946" s="3">
        <v>3000</v>
      </c>
      <c r="B3946" s="2">
        <v>5280</v>
      </c>
      <c r="C3946" s="38">
        <v>44900</v>
      </c>
      <c r="D3946" s="1" t="s">
        <v>115</v>
      </c>
      <c r="E3946" s="1" t="s">
        <v>39</v>
      </c>
      <c r="F3946" s="1" t="s">
        <v>212</v>
      </c>
      <c r="G3946" s="5">
        <v>1.76</v>
      </c>
    </row>
    <row r="3947" spans="1:7" x14ac:dyDescent="0.2">
      <c r="A3947" s="3">
        <v>3000</v>
      </c>
      <c r="B3947" s="2">
        <v>5940</v>
      </c>
      <c r="C3947" s="38">
        <v>44900</v>
      </c>
      <c r="D3947" s="1" t="s">
        <v>127</v>
      </c>
      <c r="E3947" s="1" t="s">
        <v>39</v>
      </c>
      <c r="F3947" s="1" t="s">
        <v>212</v>
      </c>
      <c r="G3947" s="5">
        <v>1.98</v>
      </c>
    </row>
    <row r="3948" spans="1:7" x14ac:dyDescent="0.2">
      <c r="A3948" s="3">
        <v>3000</v>
      </c>
      <c r="B3948" s="2">
        <v>5940</v>
      </c>
      <c r="C3948" s="38">
        <v>44900</v>
      </c>
      <c r="D3948" s="1" t="s">
        <v>127</v>
      </c>
      <c r="E3948" s="1" t="s">
        <v>39</v>
      </c>
      <c r="F3948" s="1" t="s">
        <v>212</v>
      </c>
      <c r="G3948" s="5">
        <v>1.98</v>
      </c>
    </row>
    <row r="3949" spans="1:7" x14ac:dyDescent="0.2">
      <c r="A3949" s="3">
        <v>3000</v>
      </c>
      <c r="B3949" s="2">
        <v>5940</v>
      </c>
      <c r="C3949" s="38">
        <v>44900</v>
      </c>
      <c r="D3949" s="1" t="s">
        <v>127</v>
      </c>
      <c r="E3949" s="1" t="s">
        <v>39</v>
      </c>
      <c r="F3949" s="1" t="s">
        <v>212</v>
      </c>
      <c r="G3949" s="5">
        <v>1.98</v>
      </c>
    </row>
    <row r="3950" spans="1:7" x14ac:dyDescent="0.2">
      <c r="A3950" s="3">
        <v>3000</v>
      </c>
      <c r="B3950" s="2">
        <v>5940</v>
      </c>
      <c r="C3950" s="38">
        <v>44900</v>
      </c>
      <c r="D3950" s="1" t="s">
        <v>127</v>
      </c>
      <c r="E3950" s="1" t="s">
        <v>39</v>
      </c>
      <c r="F3950" s="1" t="s">
        <v>212</v>
      </c>
      <c r="G3950" s="5">
        <v>1.98</v>
      </c>
    </row>
    <row r="3951" spans="1:7" x14ac:dyDescent="0.2">
      <c r="A3951" s="3">
        <v>3000</v>
      </c>
      <c r="B3951" s="2">
        <v>5940</v>
      </c>
      <c r="C3951" s="38">
        <v>44902</v>
      </c>
      <c r="D3951" s="1" t="s">
        <v>127</v>
      </c>
      <c r="E3951" s="1" t="s">
        <v>39</v>
      </c>
      <c r="F3951" s="1" t="s">
        <v>212</v>
      </c>
      <c r="G3951" s="5">
        <v>1.98</v>
      </c>
    </row>
    <row r="3952" spans="1:7" x14ac:dyDescent="0.2">
      <c r="A3952" s="3">
        <v>3000</v>
      </c>
      <c r="B3952" s="2">
        <v>6360</v>
      </c>
      <c r="C3952" s="38">
        <v>44943</v>
      </c>
      <c r="D3952" s="1" t="s">
        <v>185</v>
      </c>
      <c r="E3952" s="1" t="s">
        <v>36</v>
      </c>
      <c r="F3952" s="1" t="s">
        <v>204</v>
      </c>
      <c r="G3952" s="5">
        <v>2.12</v>
      </c>
    </row>
    <row r="3953" spans="1:7" x14ac:dyDescent="0.2">
      <c r="A3953" s="3">
        <v>3000</v>
      </c>
      <c r="B3953" s="2">
        <v>2719.2</v>
      </c>
      <c r="C3953" s="38">
        <v>44585</v>
      </c>
      <c r="D3953" s="1" t="s">
        <v>153</v>
      </c>
      <c r="E3953" s="1" t="s">
        <v>41</v>
      </c>
      <c r="F3953" s="1" t="s">
        <v>219</v>
      </c>
      <c r="G3953" s="5">
        <v>0.90639999999999998</v>
      </c>
    </row>
    <row r="3954" spans="1:7" x14ac:dyDescent="0.2">
      <c r="A3954" s="3">
        <v>3000</v>
      </c>
      <c r="B3954" s="2">
        <v>3120</v>
      </c>
      <c r="C3954" s="38">
        <v>44950</v>
      </c>
      <c r="D3954" s="1" t="s">
        <v>153</v>
      </c>
      <c r="E3954" s="1" t="s">
        <v>38</v>
      </c>
      <c r="F3954" s="1" t="s">
        <v>202</v>
      </c>
      <c r="G3954" s="5">
        <v>1.04</v>
      </c>
    </row>
    <row r="3955" spans="1:7" x14ac:dyDescent="0.2">
      <c r="A3955" s="3">
        <v>3000</v>
      </c>
      <c r="B3955" s="2">
        <v>2719.2</v>
      </c>
      <c r="C3955" s="38">
        <v>44586</v>
      </c>
      <c r="D3955" s="1" t="s">
        <v>153</v>
      </c>
      <c r="E3955" s="1" t="s">
        <v>40</v>
      </c>
      <c r="F3955" s="1" t="s">
        <v>206</v>
      </c>
      <c r="G3955" s="5">
        <v>0.90639999999999998</v>
      </c>
    </row>
    <row r="3956" spans="1:7" x14ac:dyDescent="0.2">
      <c r="A3956" s="3">
        <v>3000</v>
      </c>
      <c r="B3956" s="2">
        <v>3120</v>
      </c>
      <c r="C3956" s="38">
        <v>44964</v>
      </c>
      <c r="D3956" s="1" t="s">
        <v>153</v>
      </c>
      <c r="E3956" s="1" t="s">
        <v>38</v>
      </c>
      <c r="F3956" s="1" t="s">
        <v>202</v>
      </c>
      <c r="G3956" s="5">
        <v>1.04</v>
      </c>
    </row>
    <row r="3957" spans="1:7" x14ac:dyDescent="0.2">
      <c r="A3957" s="3">
        <v>3000</v>
      </c>
      <c r="B3957" s="2">
        <v>6360</v>
      </c>
      <c r="C3957" s="38">
        <v>44700</v>
      </c>
      <c r="D3957" s="1" t="s">
        <v>185</v>
      </c>
      <c r="E3957" s="1" t="s">
        <v>40</v>
      </c>
      <c r="F3957" s="1" t="s">
        <v>206</v>
      </c>
      <c r="G3957" s="5">
        <v>2.12</v>
      </c>
    </row>
    <row r="3958" spans="1:7" x14ac:dyDescent="0.2">
      <c r="A3958" s="3">
        <v>3000</v>
      </c>
      <c r="B3958" s="2">
        <v>3120</v>
      </c>
      <c r="C3958" s="38">
        <v>44705</v>
      </c>
      <c r="D3958" s="1" t="s">
        <v>153</v>
      </c>
      <c r="E3958" s="1" t="s">
        <v>38</v>
      </c>
      <c r="F3958" s="1" t="s">
        <v>202</v>
      </c>
      <c r="G3958" s="5">
        <v>1.04</v>
      </c>
    </row>
    <row r="3959" spans="1:7" x14ac:dyDescent="0.2">
      <c r="A3959" s="3">
        <v>3000</v>
      </c>
      <c r="B3959" s="2">
        <v>3120</v>
      </c>
      <c r="C3959" s="38">
        <v>44664</v>
      </c>
      <c r="D3959" s="1" t="s">
        <v>153</v>
      </c>
      <c r="E3959" s="1" t="s">
        <v>40</v>
      </c>
      <c r="F3959" s="1" t="s">
        <v>206</v>
      </c>
      <c r="G3959" s="5">
        <v>1.04</v>
      </c>
    </row>
    <row r="3960" spans="1:7" x14ac:dyDescent="0.2">
      <c r="A3960" s="3">
        <v>3000</v>
      </c>
      <c r="B3960" s="2">
        <v>3120</v>
      </c>
      <c r="C3960" s="38">
        <v>44762</v>
      </c>
      <c r="D3960" s="1" t="s">
        <v>153</v>
      </c>
      <c r="E3960" s="1" t="s">
        <v>38</v>
      </c>
      <c r="F3960" s="1" t="s">
        <v>202</v>
      </c>
      <c r="G3960" s="5">
        <v>1.04</v>
      </c>
    </row>
    <row r="3961" spans="1:7" x14ac:dyDescent="0.2">
      <c r="A3961" s="3">
        <v>3000</v>
      </c>
      <c r="B3961" s="2">
        <v>3120</v>
      </c>
      <c r="C3961" s="38">
        <v>44827</v>
      </c>
      <c r="D3961" s="1" t="s">
        <v>153</v>
      </c>
      <c r="E3961" s="1" t="s">
        <v>38</v>
      </c>
      <c r="F3961" s="1" t="s">
        <v>202</v>
      </c>
      <c r="G3961" s="5">
        <v>1.04</v>
      </c>
    </row>
    <row r="3962" spans="1:7" x14ac:dyDescent="0.2">
      <c r="A3962" s="3">
        <v>60</v>
      </c>
      <c r="B3962" s="2">
        <v>51628.800000000003</v>
      </c>
      <c r="C3962" s="38">
        <v>44929</v>
      </c>
      <c r="D3962" s="1" t="s">
        <v>267</v>
      </c>
      <c r="E3962" s="1" t="s">
        <v>33</v>
      </c>
      <c r="F3962" s="1" t="s">
        <v>199</v>
      </c>
      <c r="G3962" s="5">
        <v>860.48</v>
      </c>
    </row>
    <row r="3963" spans="1:7" x14ac:dyDescent="0.2">
      <c r="A3963" s="3">
        <v>60</v>
      </c>
      <c r="B3963" s="2">
        <v>51628.800000000003</v>
      </c>
      <c r="C3963" s="38">
        <v>44929</v>
      </c>
      <c r="D3963" s="1" t="s">
        <v>267</v>
      </c>
      <c r="E3963" s="1" t="s">
        <v>33</v>
      </c>
      <c r="F3963" s="1" t="s">
        <v>199</v>
      </c>
      <c r="G3963" s="5">
        <v>860.48</v>
      </c>
    </row>
    <row r="3964" spans="1:7" x14ac:dyDescent="0.2">
      <c r="A3964" s="3">
        <v>60</v>
      </c>
      <c r="B3964" s="2">
        <v>51628.800000000003</v>
      </c>
      <c r="C3964" s="38">
        <v>44929</v>
      </c>
      <c r="D3964" s="1" t="s">
        <v>267</v>
      </c>
      <c r="E3964" s="1" t="s">
        <v>33</v>
      </c>
      <c r="F3964" s="1" t="s">
        <v>199</v>
      </c>
      <c r="G3964" s="5">
        <v>860.48</v>
      </c>
    </row>
    <row r="3965" spans="1:7" x14ac:dyDescent="0.2">
      <c r="A3965" s="3">
        <v>60</v>
      </c>
      <c r="B3965" s="2">
        <v>51628.800000000003</v>
      </c>
      <c r="C3965" s="38">
        <v>44929</v>
      </c>
      <c r="D3965" s="1" t="s">
        <v>267</v>
      </c>
      <c r="E3965" s="1" t="s">
        <v>33</v>
      </c>
      <c r="F3965" s="1" t="s">
        <v>199</v>
      </c>
      <c r="G3965" s="5">
        <v>860.48</v>
      </c>
    </row>
    <row r="3966" spans="1:7" x14ac:dyDescent="0.2">
      <c r="A3966" s="3">
        <v>60</v>
      </c>
      <c r="B3966" s="2">
        <v>51628.800000000003</v>
      </c>
      <c r="C3966" s="38">
        <v>44929</v>
      </c>
      <c r="D3966" s="1" t="s">
        <v>267</v>
      </c>
      <c r="E3966" s="1" t="s">
        <v>33</v>
      </c>
      <c r="F3966" s="1" t="s">
        <v>199</v>
      </c>
      <c r="G3966" s="5">
        <v>860.48</v>
      </c>
    </row>
    <row r="3967" spans="1:7" x14ac:dyDescent="0.2">
      <c r="A3967" s="3">
        <v>60</v>
      </c>
      <c r="B3967" s="2">
        <v>51628.800000000003</v>
      </c>
      <c r="C3967" s="38">
        <v>44929</v>
      </c>
      <c r="D3967" s="1" t="s">
        <v>267</v>
      </c>
      <c r="E3967" s="1" t="s">
        <v>33</v>
      </c>
      <c r="F3967" s="1" t="s">
        <v>199</v>
      </c>
      <c r="G3967" s="5">
        <v>860.48</v>
      </c>
    </row>
    <row r="3968" spans="1:7" x14ac:dyDescent="0.2">
      <c r="A3968" s="3">
        <v>60</v>
      </c>
      <c r="B3968" s="2">
        <v>51628.800000000003</v>
      </c>
      <c r="C3968" s="38">
        <v>44929</v>
      </c>
      <c r="D3968" s="1" t="s">
        <v>267</v>
      </c>
      <c r="E3968" s="1" t="s">
        <v>33</v>
      </c>
      <c r="F3968" s="1" t="s">
        <v>199</v>
      </c>
      <c r="G3968" s="5">
        <v>860.48</v>
      </c>
    </row>
    <row r="3969" spans="1:7" x14ac:dyDescent="0.2">
      <c r="A3969" s="3">
        <v>60</v>
      </c>
      <c r="B3969" s="2">
        <v>51628.800000000003</v>
      </c>
      <c r="C3969" s="38">
        <v>44929</v>
      </c>
      <c r="D3969" s="1" t="s">
        <v>267</v>
      </c>
      <c r="E3969" s="1" t="s">
        <v>33</v>
      </c>
      <c r="F3969" s="1" t="s">
        <v>199</v>
      </c>
      <c r="G3969" s="5">
        <v>860.48</v>
      </c>
    </row>
    <row r="3970" spans="1:7" x14ac:dyDescent="0.2">
      <c r="A3970" s="3">
        <v>60</v>
      </c>
      <c r="B3970" s="2">
        <v>51628.800000000003</v>
      </c>
      <c r="C3970" s="38">
        <v>44929</v>
      </c>
      <c r="D3970" s="1" t="s">
        <v>267</v>
      </c>
      <c r="E3970" s="1" t="s">
        <v>33</v>
      </c>
      <c r="F3970" s="1" t="s">
        <v>199</v>
      </c>
      <c r="G3970" s="5">
        <v>860.48</v>
      </c>
    </row>
    <row r="3971" spans="1:7" x14ac:dyDescent="0.2">
      <c r="A3971" s="3">
        <v>60</v>
      </c>
      <c r="B3971" s="2">
        <v>51628.800000000003</v>
      </c>
      <c r="C3971" s="38">
        <v>44929</v>
      </c>
      <c r="D3971" s="1" t="s">
        <v>267</v>
      </c>
      <c r="E3971" s="1" t="s">
        <v>33</v>
      </c>
      <c r="F3971" s="1" t="s">
        <v>199</v>
      </c>
      <c r="G3971" s="5">
        <v>860.48</v>
      </c>
    </row>
    <row r="3972" spans="1:7" x14ac:dyDescent="0.2">
      <c r="A3972" s="3">
        <v>60</v>
      </c>
      <c r="B3972" s="2">
        <v>51628.800000000003</v>
      </c>
      <c r="C3972" s="38">
        <v>44929</v>
      </c>
      <c r="D3972" s="1" t="s">
        <v>267</v>
      </c>
      <c r="E3972" s="1" t="s">
        <v>33</v>
      </c>
      <c r="F3972" s="1" t="s">
        <v>199</v>
      </c>
      <c r="G3972" s="5">
        <v>860.48</v>
      </c>
    </row>
    <row r="3973" spans="1:7" x14ac:dyDescent="0.2">
      <c r="A3973" s="3">
        <v>60</v>
      </c>
      <c r="B3973" s="2">
        <v>51628.800000000003</v>
      </c>
      <c r="C3973" s="38">
        <v>44929</v>
      </c>
      <c r="D3973" s="1" t="s">
        <v>267</v>
      </c>
      <c r="E3973" s="1" t="s">
        <v>33</v>
      </c>
      <c r="F3973" s="1" t="s">
        <v>199</v>
      </c>
      <c r="G3973" s="5">
        <v>860.48</v>
      </c>
    </row>
    <row r="3974" spans="1:7" x14ac:dyDescent="0.2">
      <c r="A3974" s="3">
        <v>60</v>
      </c>
      <c r="B3974" s="2">
        <v>51628.800000000003</v>
      </c>
      <c r="C3974" s="38">
        <v>44929</v>
      </c>
      <c r="D3974" s="1" t="s">
        <v>267</v>
      </c>
      <c r="E3974" s="1" t="s">
        <v>33</v>
      </c>
      <c r="F3974" s="1" t="s">
        <v>199</v>
      </c>
      <c r="G3974" s="5">
        <v>860.48</v>
      </c>
    </row>
    <row r="3975" spans="1:7" x14ac:dyDescent="0.2">
      <c r="A3975" s="3">
        <v>60</v>
      </c>
      <c r="B3975" s="2">
        <v>51628.800000000003</v>
      </c>
      <c r="C3975" s="38">
        <v>44929</v>
      </c>
      <c r="D3975" s="1" t="s">
        <v>267</v>
      </c>
      <c r="E3975" s="1" t="s">
        <v>33</v>
      </c>
      <c r="F3975" s="1" t="s">
        <v>199</v>
      </c>
      <c r="G3975" s="5">
        <v>860.48</v>
      </c>
    </row>
    <row r="3976" spans="1:7" x14ac:dyDescent="0.2">
      <c r="A3976" s="3">
        <v>60</v>
      </c>
      <c r="B3976" s="2">
        <v>51628.800000000003</v>
      </c>
      <c r="C3976" s="38">
        <v>44929</v>
      </c>
      <c r="D3976" s="1" t="s">
        <v>267</v>
      </c>
      <c r="E3976" s="1" t="s">
        <v>33</v>
      </c>
      <c r="F3976" s="1" t="s">
        <v>199</v>
      </c>
      <c r="G3976" s="5">
        <v>860.48</v>
      </c>
    </row>
    <row r="3977" spans="1:7" x14ac:dyDescent="0.2">
      <c r="A3977" s="3">
        <v>60</v>
      </c>
      <c r="B3977" s="2">
        <v>51628.800000000003</v>
      </c>
      <c r="C3977" s="38">
        <v>44929</v>
      </c>
      <c r="D3977" s="1" t="s">
        <v>267</v>
      </c>
      <c r="E3977" s="1" t="s">
        <v>33</v>
      </c>
      <c r="F3977" s="1" t="s">
        <v>199</v>
      </c>
      <c r="G3977" s="5">
        <v>860.48</v>
      </c>
    </row>
    <row r="3978" spans="1:7" x14ac:dyDescent="0.2">
      <c r="A3978" s="3">
        <v>60</v>
      </c>
      <c r="B3978" s="2">
        <v>51628.800000000003</v>
      </c>
      <c r="C3978" s="38">
        <v>44929</v>
      </c>
      <c r="D3978" s="1" t="s">
        <v>267</v>
      </c>
      <c r="E3978" s="1" t="s">
        <v>33</v>
      </c>
      <c r="F3978" s="1" t="s">
        <v>199</v>
      </c>
      <c r="G3978" s="5">
        <v>860.48</v>
      </c>
    </row>
    <row r="3979" spans="1:7" x14ac:dyDescent="0.2">
      <c r="A3979" s="3">
        <v>60</v>
      </c>
      <c r="B3979" s="2">
        <v>51628.800000000003</v>
      </c>
      <c r="C3979" s="38">
        <v>44929</v>
      </c>
      <c r="D3979" s="1" t="s">
        <v>267</v>
      </c>
      <c r="E3979" s="1" t="s">
        <v>33</v>
      </c>
      <c r="F3979" s="1" t="s">
        <v>199</v>
      </c>
      <c r="G3979" s="5">
        <v>860.48</v>
      </c>
    </row>
    <row r="3980" spans="1:7" x14ac:dyDescent="0.2">
      <c r="A3980" s="3">
        <v>60</v>
      </c>
      <c r="B3980" s="2">
        <v>51628.800000000003</v>
      </c>
      <c r="C3980" s="38">
        <v>44929</v>
      </c>
      <c r="D3980" s="1" t="s">
        <v>267</v>
      </c>
      <c r="E3980" s="1" t="s">
        <v>33</v>
      </c>
      <c r="F3980" s="1" t="s">
        <v>199</v>
      </c>
      <c r="G3980" s="5">
        <v>860.48</v>
      </c>
    </row>
    <row r="3981" spans="1:7" x14ac:dyDescent="0.2">
      <c r="A3981" s="3">
        <v>60</v>
      </c>
      <c r="B3981" s="2">
        <v>51628.800000000003</v>
      </c>
      <c r="C3981" s="38">
        <v>44929</v>
      </c>
      <c r="D3981" s="1" t="s">
        <v>267</v>
      </c>
      <c r="E3981" s="1" t="s">
        <v>33</v>
      </c>
      <c r="F3981" s="1" t="s">
        <v>199</v>
      </c>
      <c r="G3981" s="5">
        <v>860.48</v>
      </c>
    </row>
    <row r="3982" spans="1:7" x14ac:dyDescent="0.2">
      <c r="A3982" s="3">
        <v>60</v>
      </c>
      <c r="B3982" s="2">
        <v>51628.800000000003</v>
      </c>
      <c r="C3982" s="38">
        <v>44929</v>
      </c>
      <c r="D3982" s="1" t="s">
        <v>267</v>
      </c>
      <c r="E3982" s="1" t="s">
        <v>33</v>
      </c>
      <c r="F3982" s="1" t="s">
        <v>199</v>
      </c>
      <c r="G3982" s="5">
        <v>860.48</v>
      </c>
    </row>
    <row r="3983" spans="1:7" x14ac:dyDescent="0.2">
      <c r="A3983" s="3">
        <v>60</v>
      </c>
      <c r="B3983" s="2">
        <v>51628.800000000003</v>
      </c>
      <c r="C3983" s="38">
        <v>44929</v>
      </c>
      <c r="D3983" s="1" t="s">
        <v>267</v>
      </c>
      <c r="E3983" s="1" t="s">
        <v>33</v>
      </c>
      <c r="F3983" s="1" t="s">
        <v>199</v>
      </c>
      <c r="G3983" s="5">
        <v>860.48</v>
      </c>
    </row>
    <row r="3984" spans="1:7" x14ac:dyDescent="0.2">
      <c r="A3984" s="3">
        <v>60</v>
      </c>
      <c r="B3984" s="2">
        <v>51628.800000000003</v>
      </c>
      <c r="C3984" s="38">
        <v>44929</v>
      </c>
      <c r="D3984" s="1" t="s">
        <v>267</v>
      </c>
      <c r="E3984" s="1" t="s">
        <v>33</v>
      </c>
      <c r="F3984" s="1" t="s">
        <v>199</v>
      </c>
      <c r="G3984" s="5">
        <v>860.48</v>
      </c>
    </row>
    <row r="3985" spans="1:7" x14ac:dyDescent="0.2">
      <c r="A3985" s="3">
        <v>60</v>
      </c>
      <c r="B3985" s="2">
        <v>51628.800000000003</v>
      </c>
      <c r="C3985" s="38">
        <v>44862</v>
      </c>
      <c r="D3985" s="1" t="s">
        <v>267</v>
      </c>
      <c r="E3985" s="1" t="s">
        <v>33</v>
      </c>
      <c r="F3985" s="1" t="s">
        <v>199</v>
      </c>
      <c r="G3985" s="5">
        <v>860.48</v>
      </c>
    </row>
    <row r="3986" spans="1:7" x14ac:dyDescent="0.2">
      <c r="A3986" s="3">
        <v>60</v>
      </c>
      <c r="B3986" s="2">
        <v>51628.800000000003</v>
      </c>
      <c r="C3986" s="38">
        <v>44862</v>
      </c>
      <c r="D3986" s="1" t="s">
        <v>267</v>
      </c>
      <c r="E3986" s="1" t="s">
        <v>33</v>
      </c>
      <c r="F3986" s="1" t="s">
        <v>199</v>
      </c>
      <c r="G3986" s="5">
        <v>860.48</v>
      </c>
    </row>
    <row r="3987" spans="1:7" x14ac:dyDescent="0.2">
      <c r="A3987" s="3">
        <v>60</v>
      </c>
      <c r="B3987" s="2">
        <v>51628.800000000003</v>
      </c>
      <c r="C3987" s="38">
        <v>44862</v>
      </c>
      <c r="D3987" s="1" t="s">
        <v>267</v>
      </c>
      <c r="E3987" s="1" t="s">
        <v>33</v>
      </c>
      <c r="F3987" s="1" t="s">
        <v>199</v>
      </c>
      <c r="G3987" s="5">
        <v>860.48</v>
      </c>
    </row>
    <row r="3988" spans="1:7" x14ac:dyDescent="0.2">
      <c r="A3988" s="3">
        <v>60</v>
      </c>
      <c r="B3988" s="2">
        <v>51628.800000000003</v>
      </c>
      <c r="C3988" s="38">
        <v>44862</v>
      </c>
      <c r="D3988" s="1" t="s">
        <v>267</v>
      </c>
      <c r="E3988" s="1" t="s">
        <v>33</v>
      </c>
      <c r="F3988" s="1" t="s">
        <v>199</v>
      </c>
      <c r="G3988" s="5">
        <v>860.48</v>
      </c>
    </row>
    <row r="3989" spans="1:7" x14ac:dyDescent="0.2">
      <c r="A3989" s="3">
        <v>60</v>
      </c>
      <c r="B3989" s="2">
        <v>51628.800000000003</v>
      </c>
      <c r="C3989" s="38">
        <v>44862</v>
      </c>
      <c r="D3989" s="1" t="s">
        <v>267</v>
      </c>
      <c r="E3989" s="1" t="s">
        <v>33</v>
      </c>
      <c r="F3989" s="1" t="s">
        <v>199</v>
      </c>
      <c r="G3989" s="5">
        <v>860.48</v>
      </c>
    </row>
    <row r="3990" spans="1:7" x14ac:dyDescent="0.2">
      <c r="A3990" s="3">
        <v>60</v>
      </c>
      <c r="B3990" s="2">
        <v>51628.800000000003</v>
      </c>
      <c r="C3990" s="38">
        <v>44862</v>
      </c>
      <c r="D3990" s="1" t="s">
        <v>267</v>
      </c>
      <c r="E3990" s="1" t="s">
        <v>33</v>
      </c>
      <c r="F3990" s="1" t="s">
        <v>199</v>
      </c>
      <c r="G3990" s="5">
        <v>860.48</v>
      </c>
    </row>
    <row r="3991" spans="1:7" x14ac:dyDescent="0.2">
      <c r="A3991" s="3">
        <v>60</v>
      </c>
      <c r="B3991" s="2">
        <v>51628.800000000003</v>
      </c>
      <c r="C3991" s="38">
        <v>44862</v>
      </c>
      <c r="D3991" s="1" t="s">
        <v>267</v>
      </c>
      <c r="E3991" s="1" t="s">
        <v>33</v>
      </c>
      <c r="F3991" s="1" t="s">
        <v>199</v>
      </c>
      <c r="G3991" s="5">
        <v>860.48</v>
      </c>
    </row>
    <row r="3992" spans="1:7" x14ac:dyDescent="0.2">
      <c r="A3992" s="3">
        <v>60</v>
      </c>
      <c r="B3992" s="2">
        <v>51628.800000000003</v>
      </c>
      <c r="C3992" s="38">
        <v>44862</v>
      </c>
      <c r="D3992" s="1" t="s">
        <v>267</v>
      </c>
      <c r="E3992" s="1" t="s">
        <v>33</v>
      </c>
      <c r="F3992" s="1" t="s">
        <v>199</v>
      </c>
      <c r="G3992" s="5">
        <v>860.48</v>
      </c>
    </row>
    <row r="3993" spans="1:7" x14ac:dyDescent="0.2">
      <c r="A3993" s="3">
        <v>60</v>
      </c>
      <c r="B3993" s="2">
        <v>51628.800000000003</v>
      </c>
      <c r="C3993" s="38">
        <v>44862</v>
      </c>
      <c r="D3993" s="1" t="s">
        <v>267</v>
      </c>
      <c r="E3993" s="1" t="s">
        <v>33</v>
      </c>
      <c r="F3993" s="1" t="s">
        <v>199</v>
      </c>
      <c r="G3993" s="5">
        <v>860.48</v>
      </c>
    </row>
    <row r="3994" spans="1:7" x14ac:dyDescent="0.2">
      <c r="A3994" s="3">
        <v>60</v>
      </c>
      <c r="B3994" s="2">
        <v>51628.800000000003</v>
      </c>
      <c r="C3994" s="38">
        <v>44862</v>
      </c>
      <c r="D3994" s="1" t="s">
        <v>267</v>
      </c>
      <c r="E3994" s="1" t="s">
        <v>33</v>
      </c>
      <c r="F3994" s="1" t="s">
        <v>199</v>
      </c>
      <c r="G3994" s="5">
        <v>860.48</v>
      </c>
    </row>
    <row r="3995" spans="1:7" x14ac:dyDescent="0.2">
      <c r="A3995" s="3">
        <v>60</v>
      </c>
      <c r="B3995" s="2">
        <v>51628.800000000003</v>
      </c>
      <c r="C3995" s="38">
        <v>44862</v>
      </c>
      <c r="D3995" s="1" t="s">
        <v>267</v>
      </c>
      <c r="E3995" s="1" t="s">
        <v>33</v>
      </c>
      <c r="F3995" s="1" t="s">
        <v>199</v>
      </c>
      <c r="G3995" s="5">
        <v>860.48</v>
      </c>
    </row>
    <row r="3996" spans="1:7" x14ac:dyDescent="0.2">
      <c r="A3996" s="3">
        <v>60</v>
      </c>
      <c r="B3996" s="2">
        <v>51628.800000000003</v>
      </c>
      <c r="C3996" s="38">
        <v>44862</v>
      </c>
      <c r="D3996" s="1" t="s">
        <v>267</v>
      </c>
      <c r="E3996" s="1" t="s">
        <v>33</v>
      </c>
      <c r="F3996" s="1" t="s">
        <v>199</v>
      </c>
      <c r="G3996" s="5">
        <v>860.48</v>
      </c>
    </row>
    <row r="3997" spans="1:7" x14ac:dyDescent="0.2">
      <c r="A3997" s="3">
        <v>60</v>
      </c>
      <c r="B3997" s="2">
        <v>51628.800000000003</v>
      </c>
      <c r="C3997" s="38">
        <v>44862</v>
      </c>
      <c r="D3997" s="1" t="s">
        <v>267</v>
      </c>
      <c r="E3997" s="1" t="s">
        <v>33</v>
      </c>
      <c r="F3997" s="1" t="s">
        <v>199</v>
      </c>
      <c r="G3997" s="5">
        <v>860.48</v>
      </c>
    </row>
    <row r="3998" spans="1:7" x14ac:dyDescent="0.2">
      <c r="A3998" s="3">
        <v>60</v>
      </c>
      <c r="B3998" s="2">
        <v>51628.800000000003</v>
      </c>
      <c r="C3998" s="38">
        <v>44862</v>
      </c>
      <c r="D3998" s="1" t="s">
        <v>267</v>
      </c>
      <c r="E3998" s="1" t="s">
        <v>33</v>
      </c>
      <c r="F3998" s="1" t="s">
        <v>199</v>
      </c>
      <c r="G3998" s="5">
        <v>860.48</v>
      </c>
    </row>
    <row r="3999" spans="1:7" x14ac:dyDescent="0.2">
      <c r="A3999" s="3">
        <v>60</v>
      </c>
      <c r="B3999" s="2">
        <v>51628.800000000003</v>
      </c>
      <c r="C3999" s="38">
        <v>44862</v>
      </c>
      <c r="D3999" s="1" t="s">
        <v>267</v>
      </c>
      <c r="E3999" s="1" t="s">
        <v>33</v>
      </c>
      <c r="F3999" s="1" t="s">
        <v>199</v>
      </c>
      <c r="G3999" s="5">
        <v>860.48</v>
      </c>
    </row>
    <row r="4000" spans="1:7" x14ac:dyDescent="0.2">
      <c r="A4000" s="3">
        <v>60</v>
      </c>
      <c r="B4000" s="2">
        <v>51628.800000000003</v>
      </c>
      <c r="C4000" s="38">
        <v>44862</v>
      </c>
      <c r="D4000" s="1" t="s">
        <v>267</v>
      </c>
      <c r="E4000" s="1" t="s">
        <v>33</v>
      </c>
      <c r="F4000" s="1" t="s">
        <v>199</v>
      </c>
      <c r="G4000" s="5">
        <v>860.48</v>
      </c>
    </row>
    <row r="4001" spans="1:7" x14ac:dyDescent="0.2">
      <c r="A4001" s="3">
        <v>60</v>
      </c>
      <c r="B4001" s="2">
        <v>51628.800000000003</v>
      </c>
      <c r="C4001" s="38">
        <v>44862</v>
      </c>
      <c r="D4001" s="1" t="s">
        <v>267</v>
      </c>
      <c r="E4001" s="1" t="s">
        <v>33</v>
      </c>
      <c r="F4001" s="1" t="s">
        <v>199</v>
      </c>
      <c r="G4001" s="5">
        <v>860.48</v>
      </c>
    </row>
    <row r="4002" spans="1:7" x14ac:dyDescent="0.2">
      <c r="A4002" s="3">
        <v>60</v>
      </c>
      <c r="B4002" s="2">
        <v>51628.800000000003</v>
      </c>
      <c r="C4002" s="38">
        <v>44862</v>
      </c>
      <c r="D4002" s="1" t="s">
        <v>267</v>
      </c>
      <c r="E4002" s="1" t="s">
        <v>33</v>
      </c>
      <c r="F4002" s="1" t="s">
        <v>199</v>
      </c>
      <c r="G4002" s="5">
        <v>860.48</v>
      </c>
    </row>
    <row r="4003" spans="1:7" x14ac:dyDescent="0.2">
      <c r="A4003" s="3">
        <v>60</v>
      </c>
      <c r="B4003" s="2">
        <v>51628.800000000003</v>
      </c>
      <c r="C4003" s="38">
        <v>44862</v>
      </c>
      <c r="D4003" s="1" t="s">
        <v>267</v>
      </c>
      <c r="E4003" s="1" t="s">
        <v>33</v>
      </c>
      <c r="F4003" s="1" t="s">
        <v>199</v>
      </c>
      <c r="G4003" s="5">
        <v>860.48</v>
      </c>
    </row>
    <row r="4004" spans="1:7" x14ac:dyDescent="0.2">
      <c r="A4004" s="3">
        <v>60</v>
      </c>
      <c r="B4004" s="2">
        <v>51628.800000000003</v>
      </c>
      <c r="C4004" s="38">
        <v>44862</v>
      </c>
      <c r="D4004" s="1" t="s">
        <v>267</v>
      </c>
      <c r="E4004" s="1" t="s">
        <v>33</v>
      </c>
      <c r="F4004" s="1" t="s">
        <v>199</v>
      </c>
      <c r="G4004" s="5">
        <v>860.48</v>
      </c>
    </row>
    <row r="4005" spans="1:7" x14ac:dyDescent="0.2">
      <c r="A4005" s="3">
        <v>60</v>
      </c>
      <c r="B4005" s="2">
        <v>51628.800000000003</v>
      </c>
      <c r="C4005" s="38">
        <v>44862</v>
      </c>
      <c r="D4005" s="1" t="s">
        <v>267</v>
      </c>
      <c r="E4005" s="1" t="s">
        <v>33</v>
      </c>
      <c r="F4005" s="1" t="s">
        <v>199</v>
      </c>
      <c r="G4005" s="5">
        <v>860.48</v>
      </c>
    </row>
    <row r="4006" spans="1:7" x14ac:dyDescent="0.2">
      <c r="A4006" s="3">
        <v>60</v>
      </c>
      <c r="B4006" s="2">
        <v>51628.800000000003</v>
      </c>
      <c r="C4006" s="38">
        <v>44862</v>
      </c>
      <c r="D4006" s="1" t="s">
        <v>267</v>
      </c>
      <c r="E4006" s="1" t="s">
        <v>33</v>
      </c>
      <c r="F4006" s="1" t="s">
        <v>199</v>
      </c>
      <c r="G4006" s="5">
        <v>860.48</v>
      </c>
    </row>
    <row r="4007" spans="1:7" x14ac:dyDescent="0.2">
      <c r="A4007" s="3">
        <v>60</v>
      </c>
      <c r="B4007" s="2">
        <v>51628.800000000003</v>
      </c>
      <c r="C4007" s="38">
        <v>44862</v>
      </c>
      <c r="D4007" s="1" t="s">
        <v>267</v>
      </c>
      <c r="E4007" s="1" t="s">
        <v>33</v>
      </c>
      <c r="F4007" s="1" t="s">
        <v>199</v>
      </c>
      <c r="G4007" s="5">
        <v>860.48</v>
      </c>
    </row>
    <row r="4008" spans="1:7" x14ac:dyDescent="0.2">
      <c r="A4008" s="3">
        <v>60</v>
      </c>
      <c r="B4008" s="2">
        <v>51628.800000000003</v>
      </c>
      <c r="C4008" s="38">
        <v>44862</v>
      </c>
      <c r="D4008" s="1" t="s">
        <v>267</v>
      </c>
      <c r="E4008" s="1" t="s">
        <v>33</v>
      </c>
      <c r="F4008" s="1" t="s">
        <v>199</v>
      </c>
      <c r="G4008" s="5">
        <v>860.48</v>
      </c>
    </row>
    <row r="4009" spans="1:7" x14ac:dyDescent="0.2">
      <c r="A4009" s="3">
        <v>60</v>
      </c>
      <c r="B4009" s="2">
        <v>51628.800000000003</v>
      </c>
      <c r="C4009" s="38">
        <v>44862</v>
      </c>
      <c r="D4009" s="1" t="s">
        <v>267</v>
      </c>
      <c r="E4009" s="1" t="s">
        <v>33</v>
      </c>
      <c r="F4009" s="1" t="s">
        <v>199</v>
      </c>
      <c r="G4009" s="5">
        <v>860.48</v>
      </c>
    </row>
    <row r="4010" spans="1:7" x14ac:dyDescent="0.2">
      <c r="A4010" s="3">
        <v>60</v>
      </c>
      <c r="B4010" s="2">
        <v>51628.800000000003</v>
      </c>
      <c r="C4010" s="38">
        <v>44862</v>
      </c>
      <c r="D4010" s="1" t="s">
        <v>267</v>
      </c>
      <c r="E4010" s="1" t="s">
        <v>33</v>
      </c>
      <c r="F4010" s="1" t="s">
        <v>199</v>
      </c>
      <c r="G4010" s="5">
        <v>860.48</v>
      </c>
    </row>
    <row r="4011" spans="1:7" x14ac:dyDescent="0.2">
      <c r="A4011" s="3">
        <v>60</v>
      </c>
      <c r="B4011" s="2">
        <v>51628.800000000003</v>
      </c>
      <c r="C4011" s="38">
        <v>44862</v>
      </c>
      <c r="D4011" s="1" t="s">
        <v>267</v>
      </c>
      <c r="E4011" s="1" t="s">
        <v>33</v>
      </c>
      <c r="F4011" s="1" t="s">
        <v>199</v>
      </c>
      <c r="G4011" s="5">
        <v>860.48</v>
      </c>
    </row>
    <row r="4012" spans="1:7" x14ac:dyDescent="0.2">
      <c r="A4012" s="3">
        <v>60</v>
      </c>
      <c r="B4012" s="2">
        <v>51628.800000000003</v>
      </c>
      <c r="C4012" s="38">
        <v>44862</v>
      </c>
      <c r="D4012" s="1" t="s">
        <v>267</v>
      </c>
      <c r="E4012" s="1" t="s">
        <v>33</v>
      </c>
      <c r="F4012" s="1" t="s">
        <v>199</v>
      </c>
      <c r="G4012" s="5">
        <v>860.48</v>
      </c>
    </row>
    <row r="4013" spans="1:7" x14ac:dyDescent="0.2">
      <c r="A4013" s="3">
        <v>60</v>
      </c>
      <c r="B4013" s="2">
        <v>51628.800000000003</v>
      </c>
      <c r="C4013" s="38">
        <v>44862</v>
      </c>
      <c r="D4013" s="1" t="s">
        <v>267</v>
      </c>
      <c r="E4013" s="1" t="s">
        <v>33</v>
      </c>
      <c r="F4013" s="1" t="s">
        <v>199</v>
      </c>
      <c r="G4013" s="5">
        <v>860.48</v>
      </c>
    </row>
    <row r="4014" spans="1:7" x14ac:dyDescent="0.2">
      <c r="A4014" s="3">
        <v>60</v>
      </c>
      <c r="B4014" s="2">
        <v>51628.800000000003</v>
      </c>
      <c r="C4014" s="38">
        <v>44862</v>
      </c>
      <c r="D4014" s="1" t="s">
        <v>267</v>
      </c>
      <c r="E4014" s="1" t="s">
        <v>33</v>
      </c>
      <c r="F4014" s="1" t="s">
        <v>199</v>
      </c>
      <c r="G4014" s="5">
        <v>860.48</v>
      </c>
    </row>
    <row r="4015" spans="1:7" x14ac:dyDescent="0.2">
      <c r="A4015" s="3">
        <v>60</v>
      </c>
      <c r="B4015" s="2">
        <v>51628.800000000003</v>
      </c>
      <c r="C4015" s="38">
        <v>44862</v>
      </c>
      <c r="D4015" s="1" t="s">
        <v>267</v>
      </c>
      <c r="E4015" s="1" t="s">
        <v>33</v>
      </c>
      <c r="F4015" s="1" t="s">
        <v>199</v>
      </c>
      <c r="G4015" s="5">
        <v>860.48</v>
      </c>
    </row>
    <row r="4016" spans="1:7" x14ac:dyDescent="0.2">
      <c r="A4016" s="3">
        <v>60</v>
      </c>
      <c r="B4016" s="2">
        <v>51628.800000000003</v>
      </c>
      <c r="C4016" s="38">
        <v>44862</v>
      </c>
      <c r="D4016" s="1" t="s">
        <v>267</v>
      </c>
      <c r="E4016" s="1" t="s">
        <v>33</v>
      </c>
      <c r="F4016" s="1" t="s">
        <v>199</v>
      </c>
      <c r="G4016" s="5">
        <v>860.48</v>
      </c>
    </row>
    <row r="4017" spans="1:7" x14ac:dyDescent="0.2">
      <c r="A4017" s="3">
        <v>60</v>
      </c>
      <c r="B4017" s="2">
        <v>51628.800000000003</v>
      </c>
      <c r="C4017" s="38">
        <v>44862</v>
      </c>
      <c r="D4017" s="1" t="s">
        <v>267</v>
      </c>
      <c r="E4017" s="1" t="s">
        <v>33</v>
      </c>
      <c r="F4017" s="1" t="s">
        <v>199</v>
      </c>
      <c r="G4017" s="5">
        <v>860.48</v>
      </c>
    </row>
    <row r="4018" spans="1:7" x14ac:dyDescent="0.2">
      <c r="A4018" s="3">
        <v>60</v>
      </c>
      <c r="B4018" s="2">
        <v>51628.800000000003</v>
      </c>
      <c r="C4018" s="38">
        <v>44862</v>
      </c>
      <c r="D4018" s="1" t="s">
        <v>267</v>
      </c>
      <c r="E4018" s="1" t="s">
        <v>33</v>
      </c>
      <c r="F4018" s="1" t="s">
        <v>199</v>
      </c>
      <c r="G4018" s="5">
        <v>860.48</v>
      </c>
    </row>
    <row r="4019" spans="1:7" x14ac:dyDescent="0.2">
      <c r="A4019" s="3">
        <v>60</v>
      </c>
      <c r="B4019" s="2">
        <v>51628.800000000003</v>
      </c>
      <c r="C4019" s="38">
        <v>44862</v>
      </c>
      <c r="D4019" s="1" t="s">
        <v>267</v>
      </c>
      <c r="E4019" s="1" t="s">
        <v>33</v>
      </c>
      <c r="F4019" s="1" t="s">
        <v>199</v>
      </c>
      <c r="G4019" s="5">
        <v>860.48</v>
      </c>
    </row>
    <row r="4020" spans="1:7" x14ac:dyDescent="0.2">
      <c r="A4020" s="3">
        <v>60</v>
      </c>
      <c r="B4020" s="2">
        <v>51628.800000000003</v>
      </c>
      <c r="C4020" s="38">
        <v>44862</v>
      </c>
      <c r="D4020" s="1" t="s">
        <v>267</v>
      </c>
      <c r="E4020" s="1" t="s">
        <v>33</v>
      </c>
      <c r="F4020" s="1" t="s">
        <v>199</v>
      </c>
      <c r="G4020" s="5">
        <v>860.48</v>
      </c>
    </row>
    <row r="4021" spans="1:7" x14ac:dyDescent="0.2">
      <c r="A4021" s="3">
        <v>60</v>
      </c>
      <c r="B4021" s="2">
        <v>51628.800000000003</v>
      </c>
      <c r="C4021" s="38">
        <v>44862</v>
      </c>
      <c r="D4021" s="1" t="s">
        <v>267</v>
      </c>
      <c r="E4021" s="1" t="s">
        <v>33</v>
      </c>
      <c r="F4021" s="1" t="s">
        <v>199</v>
      </c>
      <c r="G4021" s="5">
        <v>860.48</v>
      </c>
    </row>
    <row r="4022" spans="1:7" x14ac:dyDescent="0.2">
      <c r="A4022" s="3">
        <v>60</v>
      </c>
      <c r="B4022" s="2">
        <v>51628.800000000003</v>
      </c>
      <c r="C4022" s="38">
        <v>44862</v>
      </c>
      <c r="D4022" s="1" t="s">
        <v>267</v>
      </c>
      <c r="E4022" s="1" t="s">
        <v>33</v>
      </c>
      <c r="F4022" s="1" t="s">
        <v>199</v>
      </c>
      <c r="G4022" s="5">
        <v>860.48</v>
      </c>
    </row>
    <row r="4023" spans="1:7" x14ac:dyDescent="0.2">
      <c r="A4023" s="3">
        <v>60</v>
      </c>
      <c r="B4023" s="2">
        <v>51628.800000000003</v>
      </c>
      <c r="C4023" s="38">
        <v>44862</v>
      </c>
      <c r="D4023" s="1" t="s">
        <v>267</v>
      </c>
      <c r="E4023" s="1" t="s">
        <v>33</v>
      </c>
      <c r="F4023" s="1" t="s">
        <v>199</v>
      </c>
      <c r="G4023" s="5">
        <v>860.48</v>
      </c>
    </row>
    <row r="4024" spans="1:7" x14ac:dyDescent="0.2">
      <c r="A4024" s="3">
        <v>60</v>
      </c>
      <c r="B4024" s="2">
        <v>51628.800000000003</v>
      </c>
      <c r="C4024" s="38">
        <v>44862</v>
      </c>
      <c r="D4024" s="1" t="s">
        <v>267</v>
      </c>
      <c r="E4024" s="1" t="s">
        <v>33</v>
      </c>
      <c r="F4024" s="1" t="s">
        <v>199</v>
      </c>
      <c r="G4024" s="5">
        <v>860.48</v>
      </c>
    </row>
    <row r="4025" spans="1:7" x14ac:dyDescent="0.2">
      <c r="A4025" s="3">
        <v>60</v>
      </c>
      <c r="B4025" s="2">
        <v>51628.800000000003</v>
      </c>
      <c r="C4025" s="38">
        <v>44862</v>
      </c>
      <c r="D4025" s="1" t="s">
        <v>267</v>
      </c>
      <c r="E4025" s="1" t="s">
        <v>33</v>
      </c>
      <c r="F4025" s="1" t="s">
        <v>199</v>
      </c>
      <c r="G4025" s="5">
        <v>860.48</v>
      </c>
    </row>
    <row r="4026" spans="1:7" x14ac:dyDescent="0.2">
      <c r="A4026" s="3">
        <v>60</v>
      </c>
      <c r="B4026" s="2">
        <v>51628.800000000003</v>
      </c>
      <c r="C4026" s="38">
        <v>44862</v>
      </c>
      <c r="D4026" s="1" t="s">
        <v>267</v>
      </c>
      <c r="E4026" s="1" t="s">
        <v>33</v>
      </c>
      <c r="F4026" s="1" t="s">
        <v>199</v>
      </c>
      <c r="G4026" s="5">
        <v>860.48</v>
      </c>
    </row>
    <row r="4027" spans="1:7" x14ac:dyDescent="0.2">
      <c r="A4027" s="3">
        <v>60</v>
      </c>
      <c r="B4027" s="2">
        <v>51628.800000000003</v>
      </c>
      <c r="C4027" s="38">
        <v>44866</v>
      </c>
      <c r="D4027" s="1" t="s">
        <v>267</v>
      </c>
      <c r="E4027" s="1" t="s">
        <v>33</v>
      </c>
      <c r="F4027" s="1" t="s">
        <v>199</v>
      </c>
      <c r="G4027" s="5">
        <v>860.48</v>
      </c>
    </row>
    <row r="4028" spans="1:7" x14ac:dyDescent="0.2">
      <c r="A4028" s="3">
        <v>60</v>
      </c>
      <c r="B4028" s="2">
        <v>51628.800000000003</v>
      </c>
      <c r="C4028" s="38">
        <v>44873</v>
      </c>
      <c r="D4028" s="1" t="s">
        <v>267</v>
      </c>
      <c r="E4028" s="1" t="s">
        <v>33</v>
      </c>
      <c r="F4028" s="1" t="s">
        <v>199</v>
      </c>
      <c r="G4028" s="5">
        <v>860.48</v>
      </c>
    </row>
    <row r="4029" spans="1:7" x14ac:dyDescent="0.2">
      <c r="A4029" s="3">
        <v>60</v>
      </c>
      <c r="B4029" s="2">
        <v>51628.800000000003</v>
      </c>
      <c r="C4029" s="38">
        <v>44873</v>
      </c>
      <c r="D4029" s="1" t="s">
        <v>267</v>
      </c>
      <c r="E4029" s="1" t="s">
        <v>33</v>
      </c>
      <c r="F4029" s="1" t="s">
        <v>199</v>
      </c>
      <c r="G4029" s="5">
        <v>860.48</v>
      </c>
    </row>
    <row r="4030" spans="1:7" x14ac:dyDescent="0.2">
      <c r="A4030" s="3">
        <v>60</v>
      </c>
      <c r="B4030" s="2">
        <v>51628.800000000003</v>
      </c>
      <c r="C4030" s="38">
        <v>44777</v>
      </c>
      <c r="D4030" s="1" t="s">
        <v>267</v>
      </c>
      <c r="E4030" s="1" t="s">
        <v>33</v>
      </c>
      <c r="F4030" s="1" t="s">
        <v>199</v>
      </c>
      <c r="G4030" s="5">
        <v>860.48</v>
      </c>
    </row>
    <row r="4031" spans="1:7" x14ac:dyDescent="0.2">
      <c r="A4031" s="3">
        <v>60</v>
      </c>
      <c r="B4031" s="2">
        <v>51628.800000000003</v>
      </c>
      <c r="C4031" s="38">
        <v>44777</v>
      </c>
      <c r="D4031" s="1" t="s">
        <v>267</v>
      </c>
      <c r="E4031" s="1" t="s">
        <v>33</v>
      </c>
      <c r="F4031" s="1" t="s">
        <v>199</v>
      </c>
      <c r="G4031" s="5">
        <v>860.48</v>
      </c>
    </row>
    <row r="4032" spans="1:7" x14ac:dyDescent="0.2">
      <c r="A4032" s="3">
        <v>60</v>
      </c>
      <c r="B4032" s="2">
        <v>51628.800000000003</v>
      </c>
      <c r="C4032" s="38">
        <v>44777</v>
      </c>
      <c r="D4032" s="1" t="s">
        <v>267</v>
      </c>
      <c r="E4032" s="1" t="s">
        <v>33</v>
      </c>
      <c r="F4032" s="1" t="s">
        <v>199</v>
      </c>
      <c r="G4032" s="5">
        <v>860.48</v>
      </c>
    </row>
    <row r="4033" spans="1:7" x14ac:dyDescent="0.2">
      <c r="A4033" s="3">
        <v>60</v>
      </c>
      <c r="B4033" s="2">
        <v>51628.800000000003</v>
      </c>
      <c r="C4033" s="38">
        <v>44777</v>
      </c>
      <c r="D4033" s="1" t="s">
        <v>267</v>
      </c>
      <c r="E4033" s="1" t="s">
        <v>33</v>
      </c>
      <c r="F4033" s="1" t="s">
        <v>199</v>
      </c>
      <c r="G4033" s="5">
        <v>860.48</v>
      </c>
    </row>
    <row r="4034" spans="1:7" x14ac:dyDescent="0.2">
      <c r="A4034" s="3">
        <v>60</v>
      </c>
      <c r="B4034" s="2">
        <v>51628.800000000003</v>
      </c>
      <c r="C4034" s="38">
        <v>44777</v>
      </c>
      <c r="D4034" s="1" t="s">
        <v>267</v>
      </c>
      <c r="E4034" s="1" t="s">
        <v>33</v>
      </c>
      <c r="F4034" s="1" t="s">
        <v>199</v>
      </c>
      <c r="G4034" s="5">
        <v>860.48</v>
      </c>
    </row>
    <row r="4035" spans="1:7" x14ac:dyDescent="0.2">
      <c r="A4035" s="3">
        <v>60</v>
      </c>
      <c r="B4035" s="2">
        <v>51628.800000000003</v>
      </c>
      <c r="C4035" s="38">
        <v>44777</v>
      </c>
      <c r="D4035" s="1" t="s">
        <v>267</v>
      </c>
      <c r="E4035" s="1" t="s">
        <v>33</v>
      </c>
      <c r="F4035" s="1" t="s">
        <v>199</v>
      </c>
      <c r="G4035" s="5">
        <v>860.48</v>
      </c>
    </row>
    <row r="4036" spans="1:7" x14ac:dyDescent="0.2">
      <c r="A4036" s="3">
        <v>60</v>
      </c>
      <c r="B4036" s="2">
        <v>51628.800000000003</v>
      </c>
      <c r="C4036" s="38">
        <v>44777</v>
      </c>
      <c r="D4036" s="1" t="s">
        <v>267</v>
      </c>
      <c r="E4036" s="1" t="s">
        <v>33</v>
      </c>
      <c r="F4036" s="1" t="s">
        <v>199</v>
      </c>
      <c r="G4036" s="5">
        <v>860.48</v>
      </c>
    </row>
    <row r="4037" spans="1:7" x14ac:dyDescent="0.2">
      <c r="A4037" s="3">
        <v>60</v>
      </c>
      <c r="B4037" s="2">
        <v>51628.800000000003</v>
      </c>
      <c r="C4037" s="38">
        <v>44777</v>
      </c>
      <c r="D4037" s="1" t="s">
        <v>267</v>
      </c>
      <c r="E4037" s="1" t="s">
        <v>33</v>
      </c>
      <c r="F4037" s="1" t="s">
        <v>199</v>
      </c>
      <c r="G4037" s="5">
        <v>860.48</v>
      </c>
    </row>
    <row r="4038" spans="1:7" x14ac:dyDescent="0.2">
      <c r="A4038" s="3">
        <v>60</v>
      </c>
      <c r="B4038" s="2">
        <v>51628.800000000003</v>
      </c>
      <c r="C4038" s="38">
        <v>44777</v>
      </c>
      <c r="D4038" s="1" t="s">
        <v>267</v>
      </c>
      <c r="E4038" s="1" t="s">
        <v>33</v>
      </c>
      <c r="F4038" s="1" t="s">
        <v>199</v>
      </c>
      <c r="G4038" s="5">
        <v>860.48</v>
      </c>
    </row>
    <row r="4039" spans="1:7" x14ac:dyDescent="0.2">
      <c r="A4039" s="3">
        <v>60</v>
      </c>
      <c r="B4039" s="2">
        <v>51628.800000000003</v>
      </c>
      <c r="C4039" s="38">
        <v>44777</v>
      </c>
      <c r="D4039" s="1" t="s">
        <v>267</v>
      </c>
      <c r="E4039" s="1" t="s">
        <v>33</v>
      </c>
      <c r="F4039" s="1" t="s">
        <v>199</v>
      </c>
      <c r="G4039" s="5">
        <v>860.48</v>
      </c>
    </row>
    <row r="4040" spans="1:7" x14ac:dyDescent="0.2">
      <c r="A4040" s="3">
        <v>60</v>
      </c>
      <c r="B4040" s="2">
        <v>51628.800000000003</v>
      </c>
      <c r="C4040" s="38">
        <v>44777</v>
      </c>
      <c r="D4040" s="1" t="s">
        <v>267</v>
      </c>
      <c r="E4040" s="1" t="s">
        <v>33</v>
      </c>
      <c r="F4040" s="1" t="s">
        <v>199</v>
      </c>
      <c r="G4040" s="5">
        <v>860.48</v>
      </c>
    </row>
    <row r="4041" spans="1:7" x14ac:dyDescent="0.2">
      <c r="A4041" s="3">
        <v>60</v>
      </c>
      <c r="B4041" s="2">
        <v>51628.800000000003</v>
      </c>
      <c r="C4041" s="38">
        <v>44777</v>
      </c>
      <c r="D4041" s="1" t="s">
        <v>267</v>
      </c>
      <c r="E4041" s="1" t="s">
        <v>33</v>
      </c>
      <c r="F4041" s="1" t="s">
        <v>199</v>
      </c>
      <c r="G4041" s="5">
        <v>860.48</v>
      </c>
    </row>
    <row r="4042" spans="1:7" x14ac:dyDescent="0.2">
      <c r="A4042" s="3">
        <v>60</v>
      </c>
      <c r="B4042" s="2">
        <v>51628.800000000003</v>
      </c>
      <c r="C4042" s="38">
        <v>44777</v>
      </c>
      <c r="D4042" s="1" t="s">
        <v>267</v>
      </c>
      <c r="E4042" s="1" t="s">
        <v>33</v>
      </c>
      <c r="F4042" s="1" t="s">
        <v>199</v>
      </c>
      <c r="G4042" s="5">
        <v>860.48</v>
      </c>
    </row>
    <row r="4043" spans="1:7" x14ac:dyDescent="0.2">
      <c r="A4043" s="3">
        <v>60</v>
      </c>
      <c r="B4043" s="2">
        <v>51628.800000000003</v>
      </c>
      <c r="C4043" s="38">
        <v>44777</v>
      </c>
      <c r="D4043" s="1" t="s">
        <v>267</v>
      </c>
      <c r="E4043" s="1" t="s">
        <v>33</v>
      </c>
      <c r="F4043" s="1" t="s">
        <v>199</v>
      </c>
      <c r="G4043" s="5">
        <v>860.48</v>
      </c>
    </row>
    <row r="4044" spans="1:7" x14ac:dyDescent="0.2">
      <c r="A4044" s="3">
        <v>60</v>
      </c>
      <c r="B4044" s="2">
        <v>51628.800000000003</v>
      </c>
      <c r="C4044" s="38">
        <v>44777</v>
      </c>
      <c r="D4044" s="1" t="s">
        <v>267</v>
      </c>
      <c r="E4044" s="1" t="s">
        <v>33</v>
      </c>
      <c r="F4044" s="1" t="s">
        <v>199</v>
      </c>
      <c r="G4044" s="5">
        <v>860.48</v>
      </c>
    </row>
    <row r="4045" spans="1:7" x14ac:dyDescent="0.2">
      <c r="A4045" s="3">
        <v>60</v>
      </c>
      <c r="B4045" s="2">
        <v>51628.800000000003</v>
      </c>
      <c r="C4045" s="38">
        <v>44777</v>
      </c>
      <c r="D4045" s="1" t="s">
        <v>267</v>
      </c>
      <c r="E4045" s="1" t="s">
        <v>33</v>
      </c>
      <c r="F4045" s="1" t="s">
        <v>199</v>
      </c>
      <c r="G4045" s="5">
        <v>860.48</v>
      </c>
    </row>
    <row r="4046" spans="1:7" x14ac:dyDescent="0.2">
      <c r="A4046" s="3">
        <v>60</v>
      </c>
      <c r="B4046" s="2">
        <v>51628.800000000003</v>
      </c>
      <c r="C4046" s="38">
        <v>44883</v>
      </c>
      <c r="D4046" s="1" t="s">
        <v>267</v>
      </c>
      <c r="E4046" s="1" t="s">
        <v>33</v>
      </c>
      <c r="F4046" s="1" t="s">
        <v>199</v>
      </c>
      <c r="G4046" s="5">
        <v>860.48</v>
      </c>
    </row>
    <row r="4047" spans="1:7" x14ac:dyDescent="0.2">
      <c r="A4047" s="3">
        <v>60</v>
      </c>
      <c r="B4047" s="2">
        <v>51628.800000000003</v>
      </c>
      <c r="C4047" s="38">
        <v>44883</v>
      </c>
      <c r="D4047" s="1" t="s">
        <v>267</v>
      </c>
      <c r="E4047" s="1" t="s">
        <v>33</v>
      </c>
      <c r="F4047" s="1" t="s">
        <v>199</v>
      </c>
      <c r="G4047" s="5">
        <v>860.48</v>
      </c>
    </row>
    <row r="4048" spans="1:7" x14ac:dyDescent="0.2">
      <c r="A4048" s="3">
        <v>60</v>
      </c>
      <c r="B4048" s="2">
        <v>51628.800000000003</v>
      </c>
      <c r="C4048" s="38">
        <v>44883</v>
      </c>
      <c r="D4048" s="1" t="s">
        <v>267</v>
      </c>
      <c r="E4048" s="1" t="s">
        <v>33</v>
      </c>
      <c r="F4048" s="1" t="s">
        <v>199</v>
      </c>
      <c r="G4048" s="5">
        <v>860.48</v>
      </c>
    </row>
    <row r="4049" spans="1:7" x14ac:dyDescent="0.2">
      <c r="A4049" s="3">
        <v>60</v>
      </c>
      <c r="B4049" s="2">
        <v>51628.800000000003</v>
      </c>
      <c r="C4049" s="38">
        <v>44883</v>
      </c>
      <c r="D4049" s="1" t="s">
        <v>267</v>
      </c>
      <c r="E4049" s="1" t="s">
        <v>33</v>
      </c>
      <c r="F4049" s="1" t="s">
        <v>199</v>
      </c>
      <c r="G4049" s="5">
        <v>860.48</v>
      </c>
    </row>
    <row r="4050" spans="1:7" x14ac:dyDescent="0.2">
      <c r="A4050" s="3">
        <v>60</v>
      </c>
      <c r="B4050" s="2">
        <v>51628.800000000003</v>
      </c>
      <c r="C4050" s="38">
        <v>44894</v>
      </c>
      <c r="D4050" s="1" t="s">
        <v>267</v>
      </c>
      <c r="E4050" s="1" t="s">
        <v>33</v>
      </c>
      <c r="F4050" s="1" t="s">
        <v>199</v>
      </c>
      <c r="G4050" s="5">
        <v>860.48</v>
      </c>
    </row>
    <row r="4051" spans="1:7" x14ac:dyDescent="0.2">
      <c r="A4051" s="3">
        <v>60</v>
      </c>
      <c r="B4051" s="2">
        <v>51628.800000000003</v>
      </c>
      <c r="C4051" s="38">
        <v>44894</v>
      </c>
      <c r="D4051" s="1" t="s">
        <v>267</v>
      </c>
      <c r="E4051" s="1" t="s">
        <v>33</v>
      </c>
      <c r="F4051" s="1" t="s">
        <v>199</v>
      </c>
      <c r="G4051" s="5">
        <v>860.48</v>
      </c>
    </row>
    <row r="4052" spans="1:7" x14ac:dyDescent="0.2">
      <c r="A4052" s="3">
        <v>60</v>
      </c>
      <c r="B4052" s="2">
        <v>51628.800000000003</v>
      </c>
      <c r="C4052" s="38">
        <v>44894</v>
      </c>
      <c r="D4052" s="1" t="s">
        <v>267</v>
      </c>
      <c r="E4052" s="1" t="s">
        <v>33</v>
      </c>
      <c r="F4052" s="1" t="s">
        <v>199</v>
      </c>
      <c r="G4052" s="5">
        <v>860.48</v>
      </c>
    </row>
    <row r="4053" spans="1:7" x14ac:dyDescent="0.2">
      <c r="A4053" s="3">
        <v>60</v>
      </c>
      <c r="B4053" s="2">
        <v>51628.800000000003</v>
      </c>
      <c r="C4053" s="38">
        <v>44894</v>
      </c>
      <c r="D4053" s="1" t="s">
        <v>267</v>
      </c>
      <c r="E4053" s="1" t="s">
        <v>33</v>
      </c>
      <c r="F4053" s="1" t="s">
        <v>199</v>
      </c>
      <c r="G4053" s="5">
        <v>860.48</v>
      </c>
    </row>
    <row r="4054" spans="1:7" x14ac:dyDescent="0.2">
      <c r="A4054" s="3">
        <v>60</v>
      </c>
      <c r="B4054" s="2">
        <v>51628.800000000003</v>
      </c>
      <c r="C4054" s="38">
        <v>44894</v>
      </c>
      <c r="D4054" s="1" t="s">
        <v>267</v>
      </c>
      <c r="E4054" s="1" t="s">
        <v>33</v>
      </c>
      <c r="F4054" s="1" t="s">
        <v>199</v>
      </c>
      <c r="G4054" s="5">
        <v>860.48</v>
      </c>
    </row>
    <row r="4055" spans="1:7" x14ac:dyDescent="0.2">
      <c r="A4055" s="3">
        <v>60</v>
      </c>
      <c r="B4055" s="2">
        <v>51628.800000000003</v>
      </c>
      <c r="C4055" s="38">
        <v>44894</v>
      </c>
      <c r="D4055" s="1" t="s">
        <v>267</v>
      </c>
      <c r="E4055" s="1" t="s">
        <v>33</v>
      </c>
      <c r="F4055" s="1" t="s">
        <v>199</v>
      </c>
      <c r="G4055" s="5">
        <v>860.48</v>
      </c>
    </row>
    <row r="4056" spans="1:7" x14ac:dyDescent="0.2">
      <c r="A4056" s="3">
        <v>60</v>
      </c>
      <c r="B4056" s="2">
        <v>51628.800000000003</v>
      </c>
      <c r="C4056" s="38">
        <v>44894</v>
      </c>
      <c r="D4056" s="1" t="s">
        <v>267</v>
      </c>
      <c r="E4056" s="1" t="s">
        <v>33</v>
      </c>
      <c r="F4056" s="1" t="s">
        <v>199</v>
      </c>
      <c r="G4056" s="5">
        <v>860.48</v>
      </c>
    </row>
    <row r="4057" spans="1:7" x14ac:dyDescent="0.2">
      <c r="A4057" s="3">
        <v>60</v>
      </c>
      <c r="B4057" s="2">
        <v>51628.800000000003</v>
      </c>
      <c r="C4057" s="38">
        <v>44894</v>
      </c>
      <c r="D4057" s="1" t="s">
        <v>267</v>
      </c>
      <c r="E4057" s="1" t="s">
        <v>33</v>
      </c>
      <c r="F4057" s="1" t="s">
        <v>199</v>
      </c>
      <c r="G4057" s="5">
        <v>860.48</v>
      </c>
    </row>
    <row r="4058" spans="1:7" x14ac:dyDescent="0.2">
      <c r="A4058" s="3">
        <v>60</v>
      </c>
      <c r="B4058" s="2">
        <v>51628.800000000003</v>
      </c>
      <c r="C4058" s="38">
        <v>44894</v>
      </c>
      <c r="D4058" s="1" t="s">
        <v>267</v>
      </c>
      <c r="E4058" s="1" t="s">
        <v>33</v>
      </c>
      <c r="F4058" s="1" t="s">
        <v>199</v>
      </c>
      <c r="G4058" s="5">
        <v>860.48</v>
      </c>
    </row>
    <row r="4059" spans="1:7" x14ac:dyDescent="0.2">
      <c r="A4059" s="3">
        <v>60</v>
      </c>
      <c r="B4059" s="2">
        <v>51628.800000000003</v>
      </c>
      <c r="C4059" s="38">
        <v>44897</v>
      </c>
      <c r="D4059" s="1" t="s">
        <v>267</v>
      </c>
      <c r="E4059" s="1" t="s">
        <v>33</v>
      </c>
      <c r="F4059" s="1" t="s">
        <v>199</v>
      </c>
      <c r="G4059" s="5">
        <v>860.48</v>
      </c>
    </row>
    <row r="4060" spans="1:7" x14ac:dyDescent="0.2">
      <c r="A4060" s="3">
        <v>60</v>
      </c>
      <c r="B4060" s="2">
        <v>51628.800000000003</v>
      </c>
      <c r="C4060" s="38">
        <v>44897</v>
      </c>
      <c r="D4060" s="1" t="s">
        <v>267</v>
      </c>
      <c r="E4060" s="1" t="s">
        <v>33</v>
      </c>
      <c r="F4060" s="1" t="s">
        <v>199</v>
      </c>
      <c r="G4060" s="5">
        <v>860.48</v>
      </c>
    </row>
    <row r="4061" spans="1:7" x14ac:dyDescent="0.2">
      <c r="A4061" s="3">
        <v>60</v>
      </c>
      <c r="B4061" s="2">
        <v>51628.800000000003</v>
      </c>
      <c r="C4061" s="38">
        <v>44897</v>
      </c>
      <c r="D4061" s="1" t="s">
        <v>267</v>
      </c>
      <c r="E4061" s="1" t="s">
        <v>33</v>
      </c>
      <c r="F4061" s="1" t="s">
        <v>199</v>
      </c>
      <c r="G4061" s="5">
        <v>860.48</v>
      </c>
    </row>
    <row r="4062" spans="1:7" x14ac:dyDescent="0.2">
      <c r="A4062" s="3">
        <v>60</v>
      </c>
      <c r="B4062" s="2">
        <v>51628.800000000003</v>
      </c>
      <c r="C4062" s="38">
        <v>44851</v>
      </c>
      <c r="D4062" s="1" t="s">
        <v>267</v>
      </c>
      <c r="E4062" s="1" t="s">
        <v>33</v>
      </c>
      <c r="F4062" s="1" t="s">
        <v>199</v>
      </c>
      <c r="G4062" s="5">
        <v>860.48</v>
      </c>
    </row>
    <row r="4063" spans="1:7" x14ac:dyDescent="0.2">
      <c r="A4063" s="3">
        <v>60</v>
      </c>
      <c r="B4063" s="2">
        <v>51628.800000000003</v>
      </c>
      <c r="C4063" s="38">
        <v>44902</v>
      </c>
      <c r="D4063" s="1" t="s">
        <v>267</v>
      </c>
      <c r="E4063" s="1" t="s">
        <v>33</v>
      </c>
      <c r="F4063" s="1" t="s">
        <v>199</v>
      </c>
      <c r="G4063" s="5">
        <v>860.48</v>
      </c>
    </row>
    <row r="4064" spans="1:7" x14ac:dyDescent="0.2">
      <c r="A4064" s="3">
        <v>60</v>
      </c>
      <c r="B4064" s="2">
        <v>51628.800000000003</v>
      </c>
      <c r="C4064" s="38">
        <v>44902</v>
      </c>
      <c r="D4064" s="1" t="s">
        <v>267</v>
      </c>
      <c r="E4064" s="1" t="s">
        <v>33</v>
      </c>
      <c r="F4064" s="1" t="s">
        <v>199</v>
      </c>
      <c r="G4064" s="5">
        <v>860.48</v>
      </c>
    </row>
    <row r="4065" spans="1:7" x14ac:dyDescent="0.2">
      <c r="A4065" s="3">
        <v>60</v>
      </c>
      <c r="B4065" s="2">
        <v>51628.800000000003</v>
      </c>
      <c r="C4065" s="38">
        <v>44902</v>
      </c>
      <c r="D4065" s="1" t="s">
        <v>267</v>
      </c>
      <c r="E4065" s="1" t="s">
        <v>33</v>
      </c>
      <c r="F4065" s="1" t="s">
        <v>199</v>
      </c>
      <c r="G4065" s="5">
        <v>860.48</v>
      </c>
    </row>
    <row r="4066" spans="1:7" x14ac:dyDescent="0.2">
      <c r="A4066" s="3">
        <v>60</v>
      </c>
      <c r="B4066" s="2">
        <v>51628.800000000003</v>
      </c>
      <c r="C4066" s="38">
        <v>44902</v>
      </c>
      <c r="D4066" s="1" t="s">
        <v>267</v>
      </c>
      <c r="E4066" s="1" t="s">
        <v>33</v>
      </c>
      <c r="F4066" s="1" t="s">
        <v>199</v>
      </c>
      <c r="G4066" s="5">
        <v>860.48</v>
      </c>
    </row>
    <row r="4067" spans="1:7" x14ac:dyDescent="0.2">
      <c r="A4067" s="3">
        <v>60</v>
      </c>
      <c r="B4067" s="2">
        <v>51628.800000000003</v>
      </c>
      <c r="C4067" s="38">
        <v>44902</v>
      </c>
      <c r="D4067" s="1" t="s">
        <v>267</v>
      </c>
      <c r="E4067" s="1" t="s">
        <v>33</v>
      </c>
      <c r="F4067" s="1" t="s">
        <v>199</v>
      </c>
      <c r="G4067" s="5">
        <v>860.48</v>
      </c>
    </row>
    <row r="4068" spans="1:7" x14ac:dyDescent="0.2">
      <c r="A4068" s="3">
        <v>60</v>
      </c>
      <c r="B4068" s="2">
        <v>51628.800000000003</v>
      </c>
      <c r="C4068" s="38">
        <v>44902</v>
      </c>
      <c r="D4068" s="1" t="s">
        <v>267</v>
      </c>
      <c r="E4068" s="1" t="s">
        <v>33</v>
      </c>
      <c r="F4068" s="1" t="s">
        <v>199</v>
      </c>
      <c r="G4068" s="5">
        <v>860.48</v>
      </c>
    </row>
    <row r="4069" spans="1:7" x14ac:dyDescent="0.2">
      <c r="A4069" s="3">
        <v>60</v>
      </c>
      <c r="B4069" s="2">
        <v>51628.800000000003</v>
      </c>
      <c r="C4069" s="38">
        <v>44902</v>
      </c>
      <c r="D4069" s="1" t="s">
        <v>267</v>
      </c>
      <c r="E4069" s="1" t="s">
        <v>33</v>
      </c>
      <c r="F4069" s="1" t="s">
        <v>199</v>
      </c>
      <c r="G4069" s="5">
        <v>860.48</v>
      </c>
    </row>
    <row r="4070" spans="1:7" x14ac:dyDescent="0.2">
      <c r="A4070" s="3">
        <v>60</v>
      </c>
      <c r="B4070" s="2">
        <v>51628.800000000003</v>
      </c>
      <c r="C4070" s="38">
        <v>44902</v>
      </c>
      <c r="D4070" s="1" t="s">
        <v>267</v>
      </c>
      <c r="E4070" s="1" t="s">
        <v>33</v>
      </c>
      <c r="F4070" s="1" t="s">
        <v>199</v>
      </c>
      <c r="G4070" s="5">
        <v>860.48</v>
      </c>
    </row>
    <row r="4071" spans="1:7" x14ac:dyDescent="0.2">
      <c r="A4071" s="3">
        <v>60</v>
      </c>
      <c r="B4071" s="2">
        <v>51628.800000000003</v>
      </c>
      <c r="C4071" s="38">
        <v>44902</v>
      </c>
      <c r="D4071" s="1" t="s">
        <v>267</v>
      </c>
      <c r="E4071" s="1" t="s">
        <v>33</v>
      </c>
      <c r="F4071" s="1" t="s">
        <v>199</v>
      </c>
      <c r="G4071" s="5">
        <v>860.48</v>
      </c>
    </row>
    <row r="4072" spans="1:7" x14ac:dyDescent="0.2">
      <c r="A4072" s="3">
        <v>60</v>
      </c>
      <c r="B4072" s="2">
        <v>51628.800000000003</v>
      </c>
      <c r="C4072" s="38">
        <v>44902</v>
      </c>
      <c r="D4072" s="1" t="s">
        <v>267</v>
      </c>
      <c r="E4072" s="1" t="s">
        <v>33</v>
      </c>
      <c r="F4072" s="1" t="s">
        <v>199</v>
      </c>
      <c r="G4072" s="5">
        <v>860.48</v>
      </c>
    </row>
    <row r="4073" spans="1:7" x14ac:dyDescent="0.2">
      <c r="A4073" s="3">
        <v>60</v>
      </c>
      <c r="B4073" s="2">
        <v>51628.800000000003</v>
      </c>
      <c r="C4073" s="38">
        <v>44902</v>
      </c>
      <c r="D4073" s="1" t="s">
        <v>267</v>
      </c>
      <c r="E4073" s="1" t="s">
        <v>33</v>
      </c>
      <c r="F4073" s="1" t="s">
        <v>199</v>
      </c>
      <c r="G4073" s="5">
        <v>860.48</v>
      </c>
    </row>
    <row r="4074" spans="1:7" x14ac:dyDescent="0.2">
      <c r="A4074" s="3">
        <v>60</v>
      </c>
      <c r="B4074" s="2">
        <v>51628.800000000003</v>
      </c>
      <c r="C4074" s="38">
        <v>44902</v>
      </c>
      <c r="D4074" s="1" t="s">
        <v>267</v>
      </c>
      <c r="E4074" s="1" t="s">
        <v>33</v>
      </c>
      <c r="F4074" s="1" t="s">
        <v>199</v>
      </c>
      <c r="G4074" s="5">
        <v>860.48</v>
      </c>
    </row>
    <row r="4075" spans="1:7" x14ac:dyDescent="0.2">
      <c r="A4075" s="3">
        <v>60</v>
      </c>
      <c r="B4075" s="2">
        <v>51628.800000000003</v>
      </c>
      <c r="C4075" s="38">
        <v>44902</v>
      </c>
      <c r="D4075" s="1" t="s">
        <v>267</v>
      </c>
      <c r="E4075" s="1" t="s">
        <v>33</v>
      </c>
      <c r="F4075" s="1" t="s">
        <v>199</v>
      </c>
      <c r="G4075" s="5">
        <v>860.48</v>
      </c>
    </row>
    <row r="4076" spans="1:7" x14ac:dyDescent="0.2">
      <c r="A4076" s="3">
        <v>60</v>
      </c>
      <c r="B4076" s="2">
        <v>51628.800000000003</v>
      </c>
      <c r="C4076" s="38">
        <v>44902</v>
      </c>
      <c r="D4076" s="1" t="s">
        <v>267</v>
      </c>
      <c r="E4076" s="1" t="s">
        <v>33</v>
      </c>
      <c r="F4076" s="1" t="s">
        <v>199</v>
      </c>
      <c r="G4076" s="5">
        <v>860.48</v>
      </c>
    </row>
    <row r="4077" spans="1:7" x14ac:dyDescent="0.2">
      <c r="A4077" s="3">
        <v>60</v>
      </c>
      <c r="B4077" s="2">
        <v>51628.800000000003</v>
      </c>
      <c r="C4077" s="38">
        <v>44902</v>
      </c>
      <c r="D4077" s="1" t="s">
        <v>267</v>
      </c>
      <c r="E4077" s="1" t="s">
        <v>33</v>
      </c>
      <c r="F4077" s="1" t="s">
        <v>199</v>
      </c>
      <c r="G4077" s="5">
        <v>860.48</v>
      </c>
    </row>
    <row r="4078" spans="1:7" x14ac:dyDescent="0.2">
      <c r="A4078" s="3">
        <v>60</v>
      </c>
      <c r="B4078" s="2">
        <v>51628.800000000003</v>
      </c>
      <c r="C4078" s="38">
        <v>44902</v>
      </c>
      <c r="D4078" s="1" t="s">
        <v>267</v>
      </c>
      <c r="E4078" s="1" t="s">
        <v>33</v>
      </c>
      <c r="F4078" s="1" t="s">
        <v>199</v>
      </c>
      <c r="G4078" s="5">
        <v>860.48</v>
      </c>
    </row>
    <row r="4079" spans="1:7" x14ac:dyDescent="0.2">
      <c r="A4079" s="3">
        <v>60</v>
      </c>
      <c r="B4079" s="2">
        <v>51628.800000000003</v>
      </c>
      <c r="C4079" s="38">
        <v>44902</v>
      </c>
      <c r="D4079" s="1" t="s">
        <v>267</v>
      </c>
      <c r="E4079" s="1" t="s">
        <v>33</v>
      </c>
      <c r="F4079" s="1" t="s">
        <v>199</v>
      </c>
      <c r="G4079" s="5">
        <v>860.48</v>
      </c>
    </row>
    <row r="4080" spans="1:7" x14ac:dyDescent="0.2">
      <c r="A4080" s="3">
        <v>60</v>
      </c>
      <c r="B4080" s="2">
        <v>51628.800000000003</v>
      </c>
      <c r="C4080" s="38">
        <v>44902</v>
      </c>
      <c r="D4080" s="1" t="s">
        <v>267</v>
      </c>
      <c r="E4080" s="1" t="s">
        <v>33</v>
      </c>
      <c r="F4080" s="1" t="s">
        <v>199</v>
      </c>
      <c r="G4080" s="5">
        <v>860.48</v>
      </c>
    </row>
    <row r="4081" spans="1:7" x14ac:dyDescent="0.2">
      <c r="A4081" s="3">
        <v>60</v>
      </c>
      <c r="B4081" s="2">
        <v>51628.800000000003</v>
      </c>
      <c r="C4081" s="38">
        <v>44902</v>
      </c>
      <c r="D4081" s="1" t="s">
        <v>267</v>
      </c>
      <c r="E4081" s="1" t="s">
        <v>33</v>
      </c>
      <c r="F4081" s="1" t="s">
        <v>199</v>
      </c>
      <c r="G4081" s="5">
        <v>860.48</v>
      </c>
    </row>
    <row r="4082" spans="1:7" x14ac:dyDescent="0.2">
      <c r="A4082" s="3">
        <v>60</v>
      </c>
      <c r="B4082" s="2">
        <v>51628.800000000003</v>
      </c>
      <c r="C4082" s="38">
        <v>44902</v>
      </c>
      <c r="D4082" s="1" t="s">
        <v>267</v>
      </c>
      <c r="E4082" s="1" t="s">
        <v>33</v>
      </c>
      <c r="F4082" s="1" t="s">
        <v>199</v>
      </c>
      <c r="G4082" s="5">
        <v>860.48</v>
      </c>
    </row>
    <row r="4083" spans="1:7" x14ac:dyDescent="0.2">
      <c r="A4083" s="3">
        <v>60</v>
      </c>
      <c r="B4083" s="2">
        <v>51628.800000000003</v>
      </c>
      <c r="C4083" s="38">
        <v>44792</v>
      </c>
      <c r="D4083" s="1" t="s">
        <v>267</v>
      </c>
      <c r="E4083" s="1" t="s">
        <v>33</v>
      </c>
      <c r="F4083" s="1" t="s">
        <v>199</v>
      </c>
      <c r="G4083" s="5">
        <v>860.48</v>
      </c>
    </row>
    <row r="4084" spans="1:7" x14ac:dyDescent="0.2">
      <c r="A4084" s="3">
        <v>60</v>
      </c>
      <c r="B4084" s="2">
        <v>51628.800000000003</v>
      </c>
      <c r="C4084" s="38">
        <v>44792</v>
      </c>
      <c r="D4084" s="1" t="s">
        <v>267</v>
      </c>
      <c r="E4084" s="1" t="s">
        <v>33</v>
      </c>
      <c r="F4084" s="1" t="s">
        <v>199</v>
      </c>
      <c r="G4084" s="5">
        <v>860.48</v>
      </c>
    </row>
    <row r="4085" spans="1:7" x14ac:dyDescent="0.2">
      <c r="A4085" s="3">
        <v>60</v>
      </c>
      <c r="B4085" s="2">
        <v>51628.800000000003</v>
      </c>
      <c r="C4085" s="38">
        <v>44792</v>
      </c>
      <c r="D4085" s="1" t="s">
        <v>267</v>
      </c>
      <c r="E4085" s="1" t="s">
        <v>33</v>
      </c>
      <c r="F4085" s="1" t="s">
        <v>199</v>
      </c>
      <c r="G4085" s="5">
        <v>860.48</v>
      </c>
    </row>
    <row r="4086" spans="1:7" x14ac:dyDescent="0.2">
      <c r="A4086" s="3">
        <v>60</v>
      </c>
      <c r="B4086" s="2">
        <v>51628.800000000003</v>
      </c>
      <c r="C4086" s="38">
        <v>44792</v>
      </c>
      <c r="D4086" s="1" t="s">
        <v>267</v>
      </c>
      <c r="E4086" s="1" t="s">
        <v>33</v>
      </c>
      <c r="F4086" s="1" t="s">
        <v>199</v>
      </c>
      <c r="G4086" s="5">
        <v>860.48</v>
      </c>
    </row>
    <row r="4087" spans="1:7" x14ac:dyDescent="0.2">
      <c r="A4087" s="3">
        <v>60</v>
      </c>
      <c r="B4087" s="2">
        <v>51628.800000000003</v>
      </c>
      <c r="C4087" s="38">
        <v>44792</v>
      </c>
      <c r="D4087" s="1" t="s">
        <v>267</v>
      </c>
      <c r="E4087" s="1" t="s">
        <v>33</v>
      </c>
      <c r="F4087" s="1" t="s">
        <v>199</v>
      </c>
      <c r="G4087" s="5">
        <v>860.48</v>
      </c>
    </row>
    <row r="4088" spans="1:7" x14ac:dyDescent="0.2">
      <c r="A4088" s="3">
        <v>60</v>
      </c>
      <c r="B4088" s="2">
        <v>51628.800000000003</v>
      </c>
      <c r="C4088" s="38">
        <v>44902</v>
      </c>
      <c r="D4088" s="1" t="s">
        <v>267</v>
      </c>
      <c r="E4088" s="1" t="s">
        <v>33</v>
      </c>
      <c r="F4088" s="1" t="s">
        <v>199</v>
      </c>
      <c r="G4088" s="5">
        <v>860.48</v>
      </c>
    </row>
    <row r="4089" spans="1:7" x14ac:dyDescent="0.2">
      <c r="A4089" s="3">
        <v>60</v>
      </c>
      <c r="B4089" s="2">
        <v>51628.800000000003</v>
      </c>
      <c r="C4089" s="38">
        <v>44854</v>
      </c>
      <c r="D4089" s="1" t="s">
        <v>267</v>
      </c>
      <c r="E4089" s="1" t="s">
        <v>33</v>
      </c>
      <c r="F4089" s="1" t="s">
        <v>199</v>
      </c>
      <c r="G4089" s="5">
        <v>860.48</v>
      </c>
    </row>
    <row r="4090" spans="1:7" x14ac:dyDescent="0.2">
      <c r="A4090" s="3">
        <v>60</v>
      </c>
      <c r="B4090" s="2">
        <v>51628.800000000003</v>
      </c>
      <c r="C4090" s="38">
        <v>44854</v>
      </c>
      <c r="D4090" s="1" t="s">
        <v>267</v>
      </c>
      <c r="E4090" s="1" t="s">
        <v>33</v>
      </c>
      <c r="F4090" s="1" t="s">
        <v>199</v>
      </c>
      <c r="G4090" s="5">
        <v>860.48</v>
      </c>
    </row>
    <row r="4091" spans="1:7" x14ac:dyDescent="0.2">
      <c r="A4091" s="3">
        <v>60</v>
      </c>
      <c r="B4091" s="2">
        <v>51628.800000000003</v>
      </c>
      <c r="C4091" s="38">
        <v>44854</v>
      </c>
      <c r="D4091" s="1" t="s">
        <v>267</v>
      </c>
      <c r="E4091" s="1" t="s">
        <v>33</v>
      </c>
      <c r="F4091" s="1" t="s">
        <v>199</v>
      </c>
      <c r="G4091" s="5">
        <v>860.48</v>
      </c>
    </row>
    <row r="4092" spans="1:7" x14ac:dyDescent="0.2">
      <c r="A4092" s="3">
        <v>60</v>
      </c>
      <c r="B4092" s="2">
        <v>51628.800000000003</v>
      </c>
      <c r="C4092" s="38">
        <v>44854</v>
      </c>
      <c r="D4092" s="1" t="s">
        <v>267</v>
      </c>
      <c r="E4092" s="1" t="s">
        <v>33</v>
      </c>
      <c r="F4092" s="1" t="s">
        <v>199</v>
      </c>
      <c r="G4092" s="5">
        <v>860.48</v>
      </c>
    </row>
    <row r="4093" spans="1:7" x14ac:dyDescent="0.2">
      <c r="A4093" s="3">
        <v>60</v>
      </c>
      <c r="B4093" s="2">
        <v>51628.800000000003</v>
      </c>
      <c r="C4093" s="38">
        <v>44854</v>
      </c>
      <c r="D4093" s="1" t="s">
        <v>267</v>
      </c>
      <c r="E4093" s="1" t="s">
        <v>33</v>
      </c>
      <c r="F4093" s="1" t="s">
        <v>199</v>
      </c>
      <c r="G4093" s="5">
        <v>860.48</v>
      </c>
    </row>
    <row r="4094" spans="1:7" x14ac:dyDescent="0.2">
      <c r="A4094" s="3">
        <v>60</v>
      </c>
      <c r="B4094" s="2">
        <v>51628.800000000003</v>
      </c>
      <c r="C4094" s="38">
        <v>44854</v>
      </c>
      <c r="D4094" s="1" t="s">
        <v>267</v>
      </c>
      <c r="E4094" s="1" t="s">
        <v>33</v>
      </c>
      <c r="F4094" s="1" t="s">
        <v>199</v>
      </c>
      <c r="G4094" s="5">
        <v>860.48</v>
      </c>
    </row>
    <row r="4095" spans="1:7" x14ac:dyDescent="0.2">
      <c r="A4095" s="3">
        <v>60</v>
      </c>
      <c r="B4095" s="2">
        <v>51628.800000000003</v>
      </c>
      <c r="C4095" s="38">
        <v>44854</v>
      </c>
      <c r="D4095" s="1" t="s">
        <v>267</v>
      </c>
      <c r="E4095" s="1" t="s">
        <v>33</v>
      </c>
      <c r="F4095" s="1" t="s">
        <v>199</v>
      </c>
      <c r="G4095" s="5">
        <v>860.48</v>
      </c>
    </row>
    <row r="4096" spans="1:7" x14ac:dyDescent="0.2">
      <c r="A4096" s="3">
        <v>60</v>
      </c>
      <c r="B4096" s="2">
        <v>51628.800000000003</v>
      </c>
      <c r="C4096" s="38">
        <v>44854</v>
      </c>
      <c r="D4096" s="1" t="s">
        <v>267</v>
      </c>
      <c r="E4096" s="1" t="s">
        <v>33</v>
      </c>
      <c r="F4096" s="1" t="s">
        <v>199</v>
      </c>
      <c r="G4096" s="5">
        <v>860.48</v>
      </c>
    </row>
    <row r="4097" spans="1:7" x14ac:dyDescent="0.2">
      <c r="A4097" s="3">
        <v>60</v>
      </c>
      <c r="B4097" s="2">
        <v>51628.800000000003</v>
      </c>
      <c r="C4097" s="38">
        <v>44854</v>
      </c>
      <c r="D4097" s="1" t="s">
        <v>267</v>
      </c>
      <c r="E4097" s="1" t="s">
        <v>33</v>
      </c>
      <c r="F4097" s="1" t="s">
        <v>199</v>
      </c>
      <c r="G4097" s="5">
        <v>860.48</v>
      </c>
    </row>
    <row r="4098" spans="1:7" x14ac:dyDescent="0.2">
      <c r="A4098" s="3">
        <v>60</v>
      </c>
      <c r="B4098" s="2">
        <v>51628.800000000003</v>
      </c>
      <c r="C4098" s="38">
        <v>44854</v>
      </c>
      <c r="D4098" s="1" t="s">
        <v>267</v>
      </c>
      <c r="E4098" s="1" t="s">
        <v>33</v>
      </c>
      <c r="F4098" s="1" t="s">
        <v>199</v>
      </c>
      <c r="G4098" s="5">
        <v>860.48</v>
      </c>
    </row>
    <row r="4099" spans="1:7" x14ac:dyDescent="0.2">
      <c r="A4099" s="3">
        <v>60</v>
      </c>
      <c r="B4099" s="2">
        <v>51628.800000000003</v>
      </c>
      <c r="C4099" s="38">
        <v>44854</v>
      </c>
      <c r="D4099" s="1" t="s">
        <v>267</v>
      </c>
      <c r="E4099" s="1" t="s">
        <v>33</v>
      </c>
      <c r="F4099" s="1" t="s">
        <v>199</v>
      </c>
      <c r="G4099" s="5">
        <v>860.48</v>
      </c>
    </row>
    <row r="4100" spans="1:7" x14ac:dyDescent="0.2">
      <c r="A4100" s="3">
        <v>60</v>
      </c>
      <c r="B4100" s="2">
        <v>51628.800000000003</v>
      </c>
      <c r="C4100" s="38">
        <v>44854</v>
      </c>
      <c r="D4100" s="1" t="s">
        <v>267</v>
      </c>
      <c r="E4100" s="1" t="s">
        <v>33</v>
      </c>
      <c r="F4100" s="1" t="s">
        <v>199</v>
      </c>
      <c r="G4100" s="5">
        <v>860.48</v>
      </c>
    </row>
    <row r="4101" spans="1:7" x14ac:dyDescent="0.2">
      <c r="A4101" s="3">
        <v>60</v>
      </c>
      <c r="B4101" s="2">
        <v>51628.800000000003</v>
      </c>
      <c r="C4101" s="38">
        <v>44854</v>
      </c>
      <c r="D4101" s="1" t="s">
        <v>267</v>
      </c>
      <c r="E4101" s="1" t="s">
        <v>33</v>
      </c>
      <c r="F4101" s="1" t="s">
        <v>199</v>
      </c>
      <c r="G4101" s="5">
        <v>860.48</v>
      </c>
    </row>
    <row r="4102" spans="1:7" x14ac:dyDescent="0.2">
      <c r="A4102" s="3">
        <v>60</v>
      </c>
      <c r="B4102" s="2">
        <v>51628.800000000003</v>
      </c>
      <c r="C4102" s="38">
        <v>44854</v>
      </c>
      <c r="D4102" s="1" t="s">
        <v>267</v>
      </c>
      <c r="E4102" s="1" t="s">
        <v>33</v>
      </c>
      <c r="F4102" s="1" t="s">
        <v>199</v>
      </c>
      <c r="G4102" s="5">
        <v>860.48</v>
      </c>
    </row>
    <row r="4103" spans="1:7" x14ac:dyDescent="0.2">
      <c r="A4103" s="3">
        <v>60</v>
      </c>
      <c r="B4103" s="2">
        <v>51628.800000000003</v>
      </c>
      <c r="C4103" s="38">
        <v>44854</v>
      </c>
      <c r="D4103" s="1" t="s">
        <v>267</v>
      </c>
      <c r="E4103" s="1" t="s">
        <v>33</v>
      </c>
      <c r="F4103" s="1" t="s">
        <v>199</v>
      </c>
      <c r="G4103" s="5">
        <v>860.48</v>
      </c>
    </row>
    <row r="4104" spans="1:7" x14ac:dyDescent="0.2">
      <c r="A4104" s="3">
        <v>60</v>
      </c>
      <c r="B4104" s="2">
        <v>51628.800000000003</v>
      </c>
      <c r="C4104" s="38">
        <v>44854</v>
      </c>
      <c r="D4104" s="1" t="s">
        <v>267</v>
      </c>
      <c r="E4104" s="1" t="s">
        <v>33</v>
      </c>
      <c r="F4104" s="1" t="s">
        <v>199</v>
      </c>
      <c r="G4104" s="5">
        <v>860.48</v>
      </c>
    </row>
    <row r="4105" spans="1:7" x14ac:dyDescent="0.2">
      <c r="A4105" s="3">
        <v>60</v>
      </c>
      <c r="B4105" s="2">
        <v>51628.800000000003</v>
      </c>
      <c r="C4105" s="38">
        <v>44854</v>
      </c>
      <c r="D4105" s="1" t="s">
        <v>267</v>
      </c>
      <c r="E4105" s="1" t="s">
        <v>33</v>
      </c>
      <c r="F4105" s="1" t="s">
        <v>199</v>
      </c>
      <c r="G4105" s="5">
        <v>860.48</v>
      </c>
    </row>
    <row r="4106" spans="1:7" x14ac:dyDescent="0.2">
      <c r="A4106" s="3">
        <v>60</v>
      </c>
      <c r="B4106" s="2">
        <v>51628.800000000003</v>
      </c>
      <c r="C4106" s="38">
        <v>44761</v>
      </c>
      <c r="D4106" s="1" t="s">
        <v>267</v>
      </c>
      <c r="E4106" s="1" t="s">
        <v>33</v>
      </c>
      <c r="F4106" s="1" t="s">
        <v>199</v>
      </c>
      <c r="G4106" s="5">
        <v>860.48</v>
      </c>
    </row>
    <row r="4107" spans="1:7" x14ac:dyDescent="0.2">
      <c r="A4107" s="3">
        <v>60</v>
      </c>
      <c r="B4107" s="2">
        <v>51628.800000000003</v>
      </c>
      <c r="C4107" s="38">
        <v>44761</v>
      </c>
      <c r="D4107" s="1" t="s">
        <v>267</v>
      </c>
      <c r="E4107" s="1" t="s">
        <v>33</v>
      </c>
      <c r="F4107" s="1" t="s">
        <v>199</v>
      </c>
      <c r="G4107" s="5">
        <v>860.48</v>
      </c>
    </row>
    <row r="4108" spans="1:7" x14ac:dyDescent="0.2">
      <c r="A4108" s="3">
        <v>60</v>
      </c>
      <c r="B4108" s="2">
        <v>51628.800000000003</v>
      </c>
      <c r="C4108" s="38">
        <v>44854</v>
      </c>
      <c r="D4108" s="1" t="s">
        <v>267</v>
      </c>
      <c r="E4108" s="1" t="s">
        <v>33</v>
      </c>
      <c r="F4108" s="1" t="s">
        <v>199</v>
      </c>
      <c r="G4108" s="5">
        <v>860.48</v>
      </c>
    </row>
    <row r="4109" spans="1:7" x14ac:dyDescent="0.2">
      <c r="A4109" s="3">
        <v>60</v>
      </c>
      <c r="B4109" s="2">
        <v>51628.800000000003</v>
      </c>
      <c r="C4109" s="38">
        <v>44854</v>
      </c>
      <c r="D4109" s="1" t="s">
        <v>267</v>
      </c>
      <c r="E4109" s="1" t="s">
        <v>33</v>
      </c>
      <c r="F4109" s="1" t="s">
        <v>199</v>
      </c>
      <c r="G4109" s="5">
        <v>860.48</v>
      </c>
    </row>
    <row r="4110" spans="1:7" x14ac:dyDescent="0.2">
      <c r="A4110" s="3">
        <v>60</v>
      </c>
      <c r="B4110" s="2">
        <v>51628.800000000003</v>
      </c>
      <c r="C4110" s="38">
        <v>44854</v>
      </c>
      <c r="D4110" s="1" t="s">
        <v>267</v>
      </c>
      <c r="E4110" s="1" t="s">
        <v>33</v>
      </c>
      <c r="F4110" s="1" t="s">
        <v>199</v>
      </c>
      <c r="G4110" s="5">
        <v>860.48</v>
      </c>
    </row>
    <row r="4111" spans="1:7" x14ac:dyDescent="0.2">
      <c r="A4111" s="3">
        <v>60</v>
      </c>
      <c r="B4111" s="2">
        <v>51628.800000000003</v>
      </c>
      <c r="C4111" s="38">
        <v>44854</v>
      </c>
      <c r="D4111" s="1" t="s">
        <v>267</v>
      </c>
      <c r="E4111" s="1" t="s">
        <v>33</v>
      </c>
      <c r="F4111" s="1" t="s">
        <v>199</v>
      </c>
      <c r="G4111" s="5">
        <v>860.48</v>
      </c>
    </row>
    <row r="4112" spans="1:7" x14ac:dyDescent="0.2">
      <c r="A4112" s="3">
        <v>60</v>
      </c>
      <c r="B4112" s="2">
        <v>51628.800000000003</v>
      </c>
      <c r="C4112" s="38">
        <v>44854</v>
      </c>
      <c r="D4112" s="1" t="s">
        <v>267</v>
      </c>
      <c r="E4112" s="1" t="s">
        <v>33</v>
      </c>
      <c r="F4112" s="1" t="s">
        <v>199</v>
      </c>
      <c r="G4112" s="5">
        <v>860.48</v>
      </c>
    </row>
    <row r="4113" spans="1:7" x14ac:dyDescent="0.2">
      <c r="A4113" s="3">
        <v>60</v>
      </c>
      <c r="B4113" s="2">
        <v>51628.800000000003</v>
      </c>
      <c r="C4113" s="38">
        <v>44854</v>
      </c>
      <c r="D4113" s="1" t="s">
        <v>267</v>
      </c>
      <c r="E4113" s="1" t="s">
        <v>33</v>
      </c>
      <c r="F4113" s="1" t="s">
        <v>199</v>
      </c>
      <c r="G4113" s="5">
        <v>860.48</v>
      </c>
    </row>
    <row r="4114" spans="1:7" x14ac:dyDescent="0.2">
      <c r="A4114" s="3">
        <v>60</v>
      </c>
      <c r="B4114" s="2">
        <v>51628.800000000003</v>
      </c>
      <c r="C4114" s="38">
        <v>44854</v>
      </c>
      <c r="D4114" s="1" t="s">
        <v>267</v>
      </c>
      <c r="E4114" s="1" t="s">
        <v>33</v>
      </c>
      <c r="F4114" s="1" t="s">
        <v>199</v>
      </c>
      <c r="G4114" s="5">
        <v>860.48</v>
      </c>
    </row>
    <row r="4115" spans="1:7" x14ac:dyDescent="0.2">
      <c r="A4115" s="3">
        <v>60</v>
      </c>
      <c r="B4115" s="2">
        <v>51628.800000000003</v>
      </c>
      <c r="C4115" s="38">
        <v>44854</v>
      </c>
      <c r="D4115" s="1" t="s">
        <v>267</v>
      </c>
      <c r="E4115" s="1" t="s">
        <v>33</v>
      </c>
      <c r="F4115" s="1" t="s">
        <v>199</v>
      </c>
      <c r="G4115" s="5">
        <v>860.48</v>
      </c>
    </row>
    <row r="4116" spans="1:7" x14ac:dyDescent="0.2">
      <c r="A4116" s="3">
        <v>60</v>
      </c>
      <c r="B4116" s="2">
        <v>51628.800000000003</v>
      </c>
      <c r="C4116" s="38">
        <v>44854</v>
      </c>
      <c r="D4116" s="1" t="s">
        <v>267</v>
      </c>
      <c r="E4116" s="1" t="s">
        <v>33</v>
      </c>
      <c r="F4116" s="1" t="s">
        <v>199</v>
      </c>
      <c r="G4116" s="5">
        <v>860.48</v>
      </c>
    </row>
    <row r="4117" spans="1:7" x14ac:dyDescent="0.2">
      <c r="A4117" s="3">
        <v>60</v>
      </c>
      <c r="B4117" s="2">
        <v>51628.800000000003</v>
      </c>
      <c r="C4117" s="38">
        <v>44854</v>
      </c>
      <c r="D4117" s="1" t="s">
        <v>267</v>
      </c>
      <c r="E4117" s="1" t="s">
        <v>33</v>
      </c>
      <c r="F4117" s="1" t="s">
        <v>199</v>
      </c>
      <c r="G4117" s="5">
        <v>860.48</v>
      </c>
    </row>
    <row r="4118" spans="1:7" x14ac:dyDescent="0.2">
      <c r="A4118" s="3">
        <v>60</v>
      </c>
      <c r="B4118" s="2">
        <v>51628.800000000003</v>
      </c>
      <c r="C4118" s="38">
        <v>44854</v>
      </c>
      <c r="D4118" s="1" t="s">
        <v>267</v>
      </c>
      <c r="E4118" s="1" t="s">
        <v>33</v>
      </c>
      <c r="F4118" s="1" t="s">
        <v>199</v>
      </c>
      <c r="G4118" s="5">
        <v>860.48</v>
      </c>
    </row>
    <row r="4119" spans="1:7" x14ac:dyDescent="0.2">
      <c r="A4119" s="3">
        <v>60</v>
      </c>
      <c r="B4119" s="2">
        <v>51628.800000000003</v>
      </c>
      <c r="C4119" s="38">
        <v>44854</v>
      </c>
      <c r="D4119" s="1" t="s">
        <v>267</v>
      </c>
      <c r="E4119" s="1" t="s">
        <v>33</v>
      </c>
      <c r="F4119" s="1" t="s">
        <v>199</v>
      </c>
      <c r="G4119" s="5">
        <v>860.48</v>
      </c>
    </row>
    <row r="4120" spans="1:7" x14ac:dyDescent="0.2">
      <c r="A4120" s="3">
        <v>60</v>
      </c>
      <c r="B4120" s="2">
        <v>51628.800000000003</v>
      </c>
      <c r="C4120" s="38">
        <v>44854</v>
      </c>
      <c r="D4120" s="1" t="s">
        <v>267</v>
      </c>
      <c r="E4120" s="1" t="s">
        <v>33</v>
      </c>
      <c r="F4120" s="1" t="s">
        <v>199</v>
      </c>
      <c r="G4120" s="5">
        <v>860.48</v>
      </c>
    </row>
    <row r="4121" spans="1:7" x14ac:dyDescent="0.2">
      <c r="A4121" s="3">
        <v>60</v>
      </c>
      <c r="B4121" s="2">
        <v>51628.800000000003</v>
      </c>
      <c r="C4121" s="38">
        <v>44854</v>
      </c>
      <c r="D4121" s="1" t="s">
        <v>267</v>
      </c>
      <c r="E4121" s="1" t="s">
        <v>33</v>
      </c>
      <c r="F4121" s="1" t="s">
        <v>199</v>
      </c>
      <c r="G4121" s="5">
        <v>860.48</v>
      </c>
    </row>
    <row r="4122" spans="1:7" x14ac:dyDescent="0.2">
      <c r="A4122" s="3">
        <v>60</v>
      </c>
      <c r="B4122" s="2">
        <v>51628.800000000003</v>
      </c>
      <c r="C4122" s="38">
        <v>44854</v>
      </c>
      <c r="D4122" s="1" t="s">
        <v>267</v>
      </c>
      <c r="E4122" s="1" t="s">
        <v>33</v>
      </c>
      <c r="F4122" s="1" t="s">
        <v>199</v>
      </c>
      <c r="G4122" s="5">
        <v>860.48</v>
      </c>
    </row>
    <row r="4123" spans="1:7" x14ac:dyDescent="0.2">
      <c r="A4123" s="3">
        <v>60</v>
      </c>
      <c r="B4123" s="2">
        <v>51628.800000000003</v>
      </c>
      <c r="C4123" s="38">
        <v>44854</v>
      </c>
      <c r="D4123" s="1" t="s">
        <v>267</v>
      </c>
      <c r="E4123" s="1" t="s">
        <v>33</v>
      </c>
      <c r="F4123" s="1" t="s">
        <v>199</v>
      </c>
      <c r="G4123" s="5">
        <v>860.48</v>
      </c>
    </row>
    <row r="4124" spans="1:7" x14ac:dyDescent="0.2">
      <c r="A4124" s="3">
        <v>60</v>
      </c>
      <c r="B4124" s="2">
        <v>51628.800000000003</v>
      </c>
      <c r="C4124" s="38">
        <v>44854</v>
      </c>
      <c r="D4124" s="1" t="s">
        <v>267</v>
      </c>
      <c r="E4124" s="1" t="s">
        <v>33</v>
      </c>
      <c r="F4124" s="1" t="s">
        <v>199</v>
      </c>
      <c r="G4124" s="5">
        <v>860.48</v>
      </c>
    </row>
    <row r="4125" spans="1:7" x14ac:dyDescent="0.2">
      <c r="A4125" s="3">
        <v>60</v>
      </c>
      <c r="B4125" s="2">
        <v>51628.800000000003</v>
      </c>
      <c r="C4125" s="38">
        <v>44854</v>
      </c>
      <c r="D4125" s="1" t="s">
        <v>267</v>
      </c>
      <c r="E4125" s="1" t="s">
        <v>33</v>
      </c>
      <c r="F4125" s="1" t="s">
        <v>199</v>
      </c>
      <c r="G4125" s="5">
        <v>860.48</v>
      </c>
    </row>
    <row r="4126" spans="1:7" x14ac:dyDescent="0.2">
      <c r="A4126" s="3">
        <v>60</v>
      </c>
      <c r="B4126" s="2">
        <v>51628.800000000003</v>
      </c>
      <c r="C4126" s="38">
        <v>44854</v>
      </c>
      <c r="D4126" s="1" t="s">
        <v>267</v>
      </c>
      <c r="E4126" s="1" t="s">
        <v>33</v>
      </c>
      <c r="F4126" s="1" t="s">
        <v>199</v>
      </c>
      <c r="G4126" s="5">
        <v>860.48</v>
      </c>
    </row>
    <row r="4127" spans="1:7" x14ac:dyDescent="0.2">
      <c r="A4127" s="3">
        <v>60</v>
      </c>
      <c r="B4127" s="2">
        <v>51628.800000000003</v>
      </c>
      <c r="C4127" s="38">
        <v>44854</v>
      </c>
      <c r="D4127" s="1" t="s">
        <v>267</v>
      </c>
      <c r="E4127" s="1" t="s">
        <v>33</v>
      </c>
      <c r="F4127" s="1" t="s">
        <v>199</v>
      </c>
      <c r="G4127" s="5">
        <v>860.48</v>
      </c>
    </row>
    <row r="4128" spans="1:7" x14ac:dyDescent="0.2">
      <c r="A4128" s="3">
        <v>60</v>
      </c>
      <c r="B4128" s="2">
        <v>51628.800000000003</v>
      </c>
      <c r="C4128" s="38">
        <v>44854</v>
      </c>
      <c r="D4128" s="1" t="s">
        <v>267</v>
      </c>
      <c r="E4128" s="1" t="s">
        <v>33</v>
      </c>
      <c r="F4128" s="1" t="s">
        <v>199</v>
      </c>
      <c r="G4128" s="5">
        <v>860.48</v>
      </c>
    </row>
    <row r="4129" spans="1:7" x14ac:dyDescent="0.2">
      <c r="A4129" s="3">
        <v>60</v>
      </c>
      <c r="B4129" s="2">
        <v>51628.800000000003</v>
      </c>
      <c r="C4129" s="38">
        <v>44854</v>
      </c>
      <c r="D4129" s="1" t="s">
        <v>267</v>
      </c>
      <c r="E4129" s="1" t="s">
        <v>33</v>
      </c>
      <c r="F4129" s="1" t="s">
        <v>199</v>
      </c>
      <c r="G4129" s="5">
        <v>860.48</v>
      </c>
    </row>
    <row r="4130" spans="1:7" x14ac:dyDescent="0.2">
      <c r="A4130" s="3">
        <v>60</v>
      </c>
      <c r="B4130" s="2">
        <v>51628.800000000003</v>
      </c>
      <c r="C4130" s="38">
        <v>44854</v>
      </c>
      <c r="D4130" s="1" t="s">
        <v>267</v>
      </c>
      <c r="E4130" s="1" t="s">
        <v>33</v>
      </c>
      <c r="F4130" s="1" t="s">
        <v>199</v>
      </c>
      <c r="G4130" s="5">
        <v>860.48</v>
      </c>
    </row>
    <row r="4131" spans="1:7" x14ac:dyDescent="0.2">
      <c r="A4131" s="3">
        <v>60</v>
      </c>
      <c r="B4131" s="2">
        <v>51628.800000000003</v>
      </c>
      <c r="C4131" s="38">
        <v>44854</v>
      </c>
      <c r="D4131" s="1" t="s">
        <v>267</v>
      </c>
      <c r="E4131" s="1" t="s">
        <v>33</v>
      </c>
      <c r="F4131" s="1" t="s">
        <v>199</v>
      </c>
      <c r="G4131" s="5">
        <v>860.48</v>
      </c>
    </row>
    <row r="4132" spans="1:7" x14ac:dyDescent="0.2">
      <c r="A4132" s="3">
        <v>60</v>
      </c>
      <c r="B4132" s="2">
        <v>51628.800000000003</v>
      </c>
      <c r="C4132" s="38">
        <v>44854</v>
      </c>
      <c r="D4132" s="1" t="s">
        <v>267</v>
      </c>
      <c r="E4132" s="1" t="s">
        <v>33</v>
      </c>
      <c r="F4132" s="1" t="s">
        <v>199</v>
      </c>
      <c r="G4132" s="5">
        <v>860.48</v>
      </c>
    </row>
    <row r="4133" spans="1:7" x14ac:dyDescent="0.2">
      <c r="A4133" s="3">
        <v>60</v>
      </c>
      <c r="B4133" s="2">
        <v>51628.800000000003</v>
      </c>
      <c r="C4133" s="38">
        <v>44854</v>
      </c>
      <c r="D4133" s="1" t="s">
        <v>267</v>
      </c>
      <c r="E4133" s="1" t="s">
        <v>33</v>
      </c>
      <c r="F4133" s="1" t="s">
        <v>199</v>
      </c>
      <c r="G4133" s="5">
        <v>860.48</v>
      </c>
    </row>
    <row r="4134" spans="1:7" x14ac:dyDescent="0.2">
      <c r="A4134" s="3">
        <v>60</v>
      </c>
      <c r="B4134" s="2">
        <v>51628.800000000003</v>
      </c>
      <c r="C4134" s="38">
        <v>44854</v>
      </c>
      <c r="D4134" s="1" t="s">
        <v>267</v>
      </c>
      <c r="E4134" s="1" t="s">
        <v>33</v>
      </c>
      <c r="F4134" s="1" t="s">
        <v>199</v>
      </c>
      <c r="G4134" s="5">
        <v>860.48</v>
      </c>
    </row>
    <row r="4135" spans="1:7" x14ac:dyDescent="0.2">
      <c r="A4135" s="3">
        <v>60</v>
      </c>
      <c r="B4135" s="2">
        <v>51628.800000000003</v>
      </c>
      <c r="C4135" s="38">
        <v>44854</v>
      </c>
      <c r="D4135" s="1" t="s">
        <v>267</v>
      </c>
      <c r="E4135" s="1" t="s">
        <v>33</v>
      </c>
      <c r="F4135" s="1" t="s">
        <v>199</v>
      </c>
      <c r="G4135" s="5">
        <v>860.48</v>
      </c>
    </row>
    <row r="4136" spans="1:7" x14ac:dyDescent="0.2">
      <c r="A4136" s="3">
        <v>60</v>
      </c>
      <c r="B4136" s="2">
        <v>51628.800000000003</v>
      </c>
      <c r="C4136" s="38">
        <v>44854</v>
      </c>
      <c r="D4136" s="1" t="s">
        <v>267</v>
      </c>
      <c r="E4136" s="1" t="s">
        <v>33</v>
      </c>
      <c r="F4136" s="1" t="s">
        <v>199</v>
      </c>
      <c r="G4136" s="5">
        <v>860.48</v>
      </c>
    </row>
    <row r="4137" spans="1:7" x14ac:dyDescent="0.2">
      <c r="A4137" s="3">
        <v>60</v>
      </c>
      <c r="B4137" s="2">
        <v>51628.800000000003</v>
      </c>
      <c r="C4137" s="38">
        <v>44854</v>
      </c>
      <c r="D4137" s="1" t="s">
        <v>267</v>
      </c>
      <c r="E4137" s="1" t="s">
        <v>33</v>
      </c>
      <c r="F4137" s="1" t="s">
        <v>199</v>
      </c>
      <c r="G4137" s="5">
        <v>860.48</v>
      </c>
    </row>
    <row r="4138" spans="1:7" x14ac:dyDescent="0.2">
      <c r="A4138" s="3">
        <v>60</v>
      </c>
      <c r="B4138" s="2">
        <v>51628.800000000003</v>
      </c>
      <c r="C4138" s="38">
        <v>44854</v>
      </c>
      <c r="D4138" s="1" t="s">
        <v>267</v>
      </c>
      <c r="E4138" s="1" t="s">
        <v>33</v>
      </c>
      <c r="F4138" s="1" t="s">
        <v>199</v>
      </c>
      <c r="G4138" s="5">
        <v>860.48</v>
      </c>
    </row>
    <row r="4139" spans="1:7" x14ac:dyDescent="0.2">
      <c r="A4139" s="3">
        <v>60</v>
      </c>
      <c r="B4139" s="2">
        <v>51628.800000000003</v>
      </c>
      <c r="C4139" s="38">
        <v>44854</v>
      </c>
      <c r="D4139" s="1" t="s">
        <v>267</v>
      </c>
      <c r="E4139" s="1" t="s">
        <v>33</v>
      </c>
      <c r="F4139" s="1" t="s">
        <v>199</v>
      </c>
      <c r="G4139" s="5">
        <v>860.48</v>
      </c>
    </row>
    <row r="4140" spans="1:7" x14ac:dyDescent="0.2">
      <c r="A4140" s="3">
        <v>60</v>
      </c>
      <c r="B4140" s="2">
        <v>51628.800000000003</v>
      </c>
      <c r="C4140" s="38">
        <v>44854</v>
      </c>
      <c r="D4140" s="1" t="s">
        <v>267</v>
      </c>
      <c r="E4140" s="1" t="s">
        <v>33</v>
      </c>
      <c r="F4140" s="1" t="s">
        <v>199</v>
      </c>
      <c r="G4140" s="5">
        <v>860.48</v>
      </c>
    </row>
    <row r="4141" spans="1:7" x14ac:dyDescent="0.2">
      <c r="A4141" s="3">
        <v>60</v>
      </c>
      <c r="B4141" s="2">
        <v>51628.800000000003</v>
      </c>
      <c r="C4141" s="38">
        <v>44854</v>
      </c>
      <c r="D4141" s="1" t="s">
        <v>267</v>
      </c>
      <c r="E4141" s="1" t="s">
        <v>33</v>
      </c>
      <c r="F4141" s="1" t="s">
        <v>199</v>
      </c>
      <c r="G4141" s="5">
        <v>860.48</v>
      </c>
    </row>
    <row r="4142" spans="1:7" x14ac:dyDescent="0.2">
      <c r="A4142" s="3">
        <v>60</v>
      </c>
      <c r="B4142" s="2">
        <v>51628.800000000003</v>
      </c>
      <c r="C4142" s="38">
        <v>44854</v>
      </c>
      <c r="D4142" s="1" t="s">
        <v>267</v>
      </c>
      <c r="E4142" s="1" t="s">
        <v>33</v>
      </c>
      <c r="F4142" s="1" t="s">
        <v>199</v>
      </c>
      <c r="G4142" s="5">
        <v>860.48</v>
      </c>
    </row>
    <row r="4143" spans="1:7" x14ac:dyDescent="0.2">
      <c r="A4143" s="3">
        <v>60</v>
      </c>
      <c r="B4143" s="2">
        <v>51628.800000000003</v>
      </c>
      <c r="C4143" s="38">
        <v>44859</v>
      </c>
      <c r="D4143" s="1" t="s">
        <v>267</v>
      </c>
      <c r="E4143" s="1" t="s">
        <v>33</v>
      </c>
      <c r="F4143" s="1" t="s">
        <v>199</v>
      </c>
      <c r="G4143" s="5">
        <v>860.48</v>
      </c>
    </row>
    <row r="4144" spans="1:7" x14ac:dyDescent="0.2">
      <c r="A4144" s="3">
        <v>60</v>
      </c>
      <c r="B4144" s="2">
        <v>51628.800000000003</v>
      </c>
      <c r="C4144" s="38">
        <v>44859</v>
      </c>
      <c r="D4144" s="1" t="s">
        <v>267</v>
      </c>
      <c r="E4144" s="1" t="s">
        <v>33</v>
      </c>
      <c r="F4144" s="1" t="s">
        <v>199</v>
      </c>
      <c r="G4144" s="5">
        <v>860.48</v>
      </c>
    </row>
    <row r="4145" spans="1:7" x14ac:dyDescent="0.2">
      <c r="A4145" s="3">
        <v>60</v>
      </c>
      <c r="B4145" s="2">
        <v>51628.800000000003</v>
      </c>
      <c r="C4145" s="38">
        <v>44859</v>
      </c>
      <c r="D4145" s="1" t="s">
        <v>267</v>
      </c>
      <c r="E4145" s="1" t="s">
        <v>33</v>
      </c>
      <c r="F4145" s="1" t="s">
        <v>199</v>
      </c>
      <c r="G4145" s="5">
        <v>860.48</v>
      </c>
    </row>
    <row r="4146" spans="1:7" x14ac:dyDescent="0.2">
      <c r="A4146" s="3">
        <v>60</v>
      </c>
      <c r="B4146" s="2">
        <v>51628.800000000003</v>
      </c>
      <c r="C4146" s="38">
        <v>44862</v>
      </c>
      <c r="D4146" s="1" t="s">
        <v>267</v>
      </c>
      <c r="E4146" s="1" t="s">
        <v>33</v>
      </c>
      <c r="F4146" s="1" t="s">
        <v>199</v>
      </c>
      <c r="G4146" s="5">
        <v>860.48</v>
      </c>
    </row>
    <row r="4147" spans="1:7" x14ac:dyDescent="0.2">
      <c r="A4147" s="3">
        <v>60</v>
      </c>
      <c r="B4147" s="2">
        <v>51628.800000000003</v>
      </c>
      <c r="C4147" s="38">
        <v>44862</v>
      </c>
      <c r="D4147" s="1" t="s">
        <v>267</v>
      </c>
      <c r="E4147" s="1" t="s">
        <v>33</v>
      </c>
      <c r="F4147" s="1" t="s">
        <v>199</v>
      </c>
      <c r="G4147" s="5">
        <v>860.48</v>
      </c>
    </row>
    <row r="4148" spans="1:7" x14ac:dyDescent="0.2">
      <c r="A4148" s="3">
        <v>60</v>
      </c>
      <c r="B4148" s="2">
        <v>51628.800000000003</v>
      </c>
      <c r="C4148" s="38">
        <v>44862</v>
      </c>
      <c r="D4148" s="1" t="s">
        <v>267</v>
      </c>
      <c r="E4148" s="1" t="s">
        <v>33</v>
      </c>
      <c r="F4148" s="1" t="s">
        <v>199</v>
      </c>
      <c r="G4148" s="5">
        <v>860.48</v>
      </c>
    </row>
    <row r="4149" spans="1:7" x14ac:dyDescent="0.2">
      <c r="A4149" s="3">
        <v>60</v>
      </c>
      <c r="B4149" s="2">
        <v>51628.800000000003</v>
      </c>
      <c r="C4149" s="38">
        <v>44862</v>
      </c>
      <c r="D4149" s="1" t="s">
        <v>267</v>
      </c>
      <c r="E4149" s="1" t="s">
        <v>33</v>
      </c>
      <c r="F4149" s="1" t="s">
        <v>199</v>
      </c>
      <c r="G4149" s="5">
        <v>860.48</v>
      </c>
    </row>
    <row r="4150" spans="1:7" x14ac:dyDescent="0.2">
      <c r="A4150" s="3">
        <v>60</v>
      </c>
      <c r="B4150" s="2">
        <v>51628.800000000003</v>
      </c>
      <c r="C4150" s="38">
        <v>44862</v>
      </c>
      <c r="D4150" s="1" t="s">
        <v>267</v>
      </c>
      <c r="E4150" s="1" t="s">
        <v>33</v>
      </c>
      <c r="F4150" s="1" t="s">
        <v>199</v>
      </c>
      <c r="G4150" s="5">
        <v>860.48</v>
      </c>
    </row>
    <row r="4151" spans="1:7" x14ac:dyDescent="0.2">
      <c r="A4151" s="3">
        <v>60</v>
      </c>
      <c r="B4151" s="2">
        <v>51628.800000000003</v>
      </c>
      <c r="C4151" s="38">
        <v>44862</v>
      </c>
      <c r="D4151" s="1" t="s">
        <v>267</v>
      </c>
      <c r="E4151" s="1" t="s">
        <v>33</v>
      </c>
      <c r="F4151" s="1" t="s">
        <v>199</v>
      </c>
      <c r="G4151" s="5">
        <v>860.48</v>
      </c>
    </row>
    <row r="4152" spans="1:7" x14ac:dyDescent="0.2">
      <c r="A4152" s="3">
        <v>60</v>
      </c>
      <c r="B4152" s="2">
        <v>51628.800000000003</v>
      </c>
      <c r="C4152" s="38">
        <v>44862</v>
      </c>
      <c r="D4152" s="1" t="s">
        <v>267</v>
      </c>
      <c r="E4152" s="1" t="s">
        <v>33</v>
      </c>
      <c r="F4152" s="1" t="s">
        <v>199</v>
      </c>
      <c r="G4152" s="5">
        <v>860.48</v>
      </c>
    </row>
    <row r="4153" spans="1:7" x14ac:dyDescent="0.2">
      <c r="A4153" s="3">
        <v>60</v>
      </c>
      <c r="B4153" s="2">
        <v>51628.800000000003</v>
      </c>
      <c r="C4153" s="38">
        <v>44862</v>
      </c>
      <c r="D4153" s="1" t="s">
        <v>267</v>
      </c>
      <c r="E4153" s="1" t="s">
        <v>33</v>
      </c>
      <c r="F4153" s="1" t="s">
        <v>199</v>
      </c>
      <c r="G4153" s="5">
        <v>860.48</v>
      </c>
    </row>
    <row r="4154" spans="1:7" x14ac:dyDescent="0.2">
      <c r="A4154" s="3">
        <v>60</v>
      </c>
      <c r="B4154" s="2">
        <v>51628.800000000003</v>
      </c>
      <c r="C4154" s="38">
        <v>44862</v>
      </c>
      <c r="D4154" s="1" t="s">
        <v>267</v>
      </c>
      <c r="E4154" s="1" t="s">
        <v>33</v>
      </c>
      <c r="F4154" s="1" t="s">
        <v>199</v>
      </c>
      <c r="G4154" s="5">
        <v>860.48</v>
      </c>
    </row>
    <row r="4155" spans="1:7" x14ac:dyDescent="0.2">
      <c r="A4155" s="3">
        <v>60</v>
      </c>
      <c r="B4155" s="2">
        <v>51628.800000000003</v>
      </c>
      <c r="C4155" s="38">
        <v>44862</v>
      </c>
      <c r="D4155" s="1" t="s">
        <v>267</v>
      </c>
      <c r="E4155" s="1" t="s">
        <v>33</v>
      </c>
      <c r="F4155" s="1" t="s">
        <v>199</v>
      </c>
      <c r="G4155" s="5">
        <v>860.48</v>
      </c>
    </row>
    <row r="4156" spans="1:7" x14ac:dyDescent="0.2">
      <c r="A4156" s="3">
        <v>60</v>
      </c>
      <c r="B4156" s="2">
        <v>51628.800000000003</v>
      </c>
      <c r="C4156" s="38">
        <v>44862</v>
      </c>
      <c r="D4156" s="1" t="s">
        <v>267</v>
      </c>
      <c r="E4156" s="1" t="s">
        <v>33</v>
      </c>
      <c r="F4156" s="1" t="s">
        <v>199</v>
      </c>
      <c r="G4156" s="5">
        <v>860.48</v>
      </c>
    </row>
    <row r="4157" spans="1:7" x14ac:dyDescent="0.2">
      <c r="A4157" s="3">
        <v>60</v>
      </c>
      <c r="B4157" s="2">
        <v>51628.800000000003</v>
      </c>
      <c r="C4157" s="38">
        <v>44862</v>
      </c>
      <c r="D4157" s="1" t="s">
        <v>267</v>
      </c>
      <c r="E4157" s="1" t="s">
        <v>33</v>
      </c>
      <c r="F4157" s="1" t="s">
        <v>199</v>
      </c>
      <c r="G4157" s="5">
        <v>860.48</v>
      </c>
    </row>
    <row r="4158" spans="1:7" x14ac:dyDescent="0.2">
      <c r="A4158" s="3">
        <v>60</v>
      </c>
      <c r="B4158" s="2">
        <v>51628.800000000003</v>
      </c>
      <c r="C4158" s="38">
        <v>44862</v>
      </c>
      <c r="D4158" s="1" t="s">
        <v>267</v>
      </c>
      <c r="E4158" s="1" t="s">
        <v>33</v>
      </c>
      <c r="F4158" s="1" t="s">
        <v>199</v>
      </c>
      <c r="G4158" s="5">
        <v>860.48</v>
      </c>
    </row>
    <row r="4159" spans="1:7" x14ac:dyDescent="0.2">
      <c r="A4159" s="3">
        <v>60</v>
      </c>
      <c r="B4159" s="2">
        <v>51628.800000000003</v>
      </c>
      <c r="C4159" s="38">
        <v>44862</v>
      </c>
      <c r="D4159" s="1" t="s">
        <v>267</v>
      </c>
      <c r="E4159" s="1" t="s">
        <v>33</v>
      </c>
      <c r="F4159" s="1" t="s">
        <v>199</v>
      </c>
      <c r="G4159" s="5">
        <v>860.48</v>
      </c>
    </row>
    <row r="4160" spans="1:7" x14ac:dyDescent="0.2">
      <c r="A4160" s="3">
        <v>-120</v>
      </c>
      <c r="B4160" s="2">
        <v>-51024</v>
      </c>
      <c r="C4160" s="38">
        <v>45056</v>
      </c>
      <c r="D4160" s="1" t="s">
        <v>240</v>
      </c>
      <c r="E4160" s="1" t="s">
        <v>33</v>
      </c>
      <c r="F4160" s="1" t="s">
        <v>199</v>
      </c>
      <c r="G4160" s="5">
        <v>425.2</v>
      </c>
    </row>
    <row r="4161" spans="1:7" x14ac:dyDescent="0.2">
      <c r="A4161" s="3">
        <v>-120</v>
      </c>
      <c r="B4161" s="2">
        <v>-51024</v>
      </c>
      <c r="C4161" s="38">
        <v>45056</v>
      </c>
      <c r="D4161" s="1" t="s">
        <v>240</v>
      </c>
      <c r="E4161" s="1" t="s">
        <v>33</v>
      </c>
      <c r="F4161" s="1" t="s">
        <v>199</v>
      </c>
      <c r="G4161" s="5">
        <v>425.2</v>
      </c>
    </row>
    <row r="4162" spans="1:7" x14ac:dyDescent="0.2">
      <c r="A4162" s="3">
        <v>120</v>
      </c>
      <c r="B4162" s="2">
        <v>54085.2</v>
      </c>
      <c r="C4162" s="38">
        <v>45056</v>
      </c>
      <c r="D4162" s="1" t="s">
        <v>240</v>
      </c>
      <c r="E4162" s="1" t="s">
        <v>33</v>
      </c>
      <c r="F4162" s="1" t="s">
        <v>199</v>
      </c>
      <c r="G4162" s="5">
        <v>450.71</v>
      </c>
    </row>
    <row r="4163" spans="1:7" x14ac:dyDescent="0.2">
      <c r="A4163" s="3">
        <v>120</v>
      </c>
      <c r="B4163" s="2">
        <v>54085.2</v>
      </c>
      <c r="C4163" s="38">
        <v>45056</v>
      </c>
      <c r="D4163" s="1" t="s">
        <v>240</v>
      </c>
      <c r="E4163" s="1" t="s">
        <v>33</v>
      </c>
      <c r="F4163" s="1" t="s">
        <v>199</v>
      </c>
      <c r="G4163" s="5">
        <v>450.71</v>
      </c>
    </row>
    <row r="4164" spans="1:7" x14ac:dyDescent="0.2">
      <c r="A4164" s="3">
        <v>768</v>
      </c>
      <c r="B4164" s="2">
        <v>116090.88</v>
      </c>
      <c r="C4164" s="38">
        <v>45072</v>
      </c>
      <c r="D4164" s="1" t="s">
        <v>347</v>
      </c>
      <c r="E4164" s="1" t="s">
        <v>33</v>
      </c>
      <c r="F4164" s="1" t="s">
        <v>199</v>
      </c>
      <c r="G4164" s="5">
        <v>151.16</v>
      </c>
    </row>
    <row r="4165" spans="1:7" x14ac:dyDescent="0.2">
      <c r="A4165" s="3">
        <v>147</v>
      </c>
      <c r="B4165" s="2">
        <v>49849.17</v>
      </c>
      <c r="C4165" s="38">
        <v>45077</v>
      </c>
      <c r="D4165" s="1" t="s">
        <v>259</v>
      </c>
      <c r="E4165" s="1" t="s">
        <v>33</v>
      </c>
      <c r="F4165" s="1" t="s">
        <v>199</v>
      </c>
      <c r="G4165" s="5">
        <v>339.11</v>
      </c>
    </row>
    <row r="4166" spans="1:7" x14ac:dyDescent="0.2">
      <c r="A4166" s="3">
        <v>210</v>
      </c>
      <c r="B4166" s="2">
        <v>85386</v>
      </c>
      <c r="C4166" s="38">
        <v>44932</v>
      </c>
      <c r="D4166" s="1" t="s">
        <v>255</v>
      </c>
      <c r="E4166" s="1" t="s">
        <v>33</v>
      </c>
      <c r="F4166" s="1" t="s">
        <v>199</v>
      </c>
      <c r="G4166" s="5">
        <v>406.6</v>
      </c>
    </row>
    <row r="4167" spans="1:7" x14ac:dyDescent="0.2">
      <c r="A4167" s="3">
        <v>360</v>
      </c>
      <c r="B4167" s="2">
        <v>158594.4</v>
      </c>
      <c r="C4167" s="38">
        <v>44932</v>
      </c>
      <c r="D4167" s="1" t="s">
        <v>248</v>
      </c>
      <c r="E4167" s="1" t="s">
        <v>33</v>
      </c>
      <c r="F4167" s="1" t="s">
        <v>199</v>
      </c>
      <c r="G4167" s="5">
        <v>440.54</v>
      </c>
    </row>
    <row r="4168" spans="1:7" x14ac:dyDescent="0.2">
      <c r="A4168" s="3">
        <v>144</v>
      </c>
      <c r="B4168" s="2">
        <v>29975.040000000001</v>
      </c>
      <c r="C4168" s="38">
        <v>44985</v>
      </c>
      <c r="D4168" s="1" t="s">
        <v>297</v>
      </c>
      <c r="E4168" s="1" t="s">
        <v>33</v>
      </c>
      <c r="F4168" s="1" t="s">
        <v>199</v>
      </c>
      <c r="G4168" s="5">
        <v>208.16</v>
      </c>
    </row>
    <row r="4169" spans="1:7" x14ac:dyDescent="0.2">
      <c r="A4169" s="3">
        <v>96</v>
      </c>
      <c r="B4169" s="2">
        <v>19983.36</v>
      </c>
      <c r="C4169" s="38">
        <v>44985</v>
      </c>
      <c r="D4169" s="1" t="s">
        <v>297</v>
      </c>
      <c r="E4169" s="1" t="s">
        <v>33</v>
      </c>
      <c r="F4169" s="1" t="s">
        <v>199</v>
      </c>
      <c r="G4169" s="5">
        <v>208.16</v>
      </c>
    </row>
    <row r="4170" spans="1:7" x14ac:dyDescent="0.2">
      <c r="A4170" s="3">
        <v>96</v>
      </c>
      <c r="B4170" s="2">
        <v>19983.36</v>
      </c>
      <c r="C4170" s="38">
        <v>44985</v>
      </c>
      <c r="D4170" s="1" t="s">
        <v>297</v>
      </c>
      <c r="E4170" s="1" t="s">
        <v>33</v>
      </c>
      <c r="F4170" s="1" t="s">
        <v>199</v>
      </c>
      <c r="G4170" s="5">
        <v>208.16</v>
      </c>
    </row>
    <row r="4171" spans="1:7" x14ac:dyDescent="0.2">
      <c r="A4171" s="3">
        <v>21</v>
      </c>
      <c r="B4171" s="2">
        <v>52168.62</v>
      </c>
      <c r="C4171" s="38">
        <v>44985</v>
      </c>
      <c r="D4171" s="1" t="s">
        <v>268</v>
      </c>
      <c r="E4171" s="1" t="s">
        <v>33</v>
      </c>
      <c r="F4171" s="1" t="s">
        <v>199</v>
      </c>
      <c r="G4171" s="5">
        <v>2484.2199999999998</v>
      </c>
    </row>
    <row r="4172" spans="1:7" x14ac:dyDescent="0.2">
      <c r="A4172" s="3">
        <v>6</v>
      </c>
      <c r="B4172" s="2">
        <v>14905.32</v>
      </c>
      <c r="C4172" s="38">
        <v>44985</v>
      </c>
      <c r="D4172" s="1" t="s">
        <v>268</v>
      </c>
      <c r="E4172" s="1" t="s">
        <v>33</v>
      </c>
      <c r="F4172" s="1" t="s">
        <v>199</v>
      </c>
      <c r="G4172" s="5">
        <v>2484.2199999999998</v>
      </c>
    </row>
    <row r="4173" spans="1:7" x14ac:dyDescent="0.2">
      <c r="A4173" s="3">
        <v>147</v>
      </c>
      <c r="B4173" s="2">
        <v>47026.77</v>
      </c>
      <c r="C4173" s="38">
        <v>44940</v>
      </c>
      <c r="D4173" s="1" t="s">
        <v>259</v>
      </c>
      <c r="E4173" s="1" t="s">
        <v>33</v>
      </c>
      <c r="F4173" s="1" t="s">
        <v>199</v>
      </c>
      <c r="G4173" s="5">
        <v>319.91000000000003</v>
      </c>
    </row>
    <row r="4174" spans="1:7" x14ac:dyDescent="0.2">
      <c r="A4174" s="3">
        <v>30</v>
      </c>
      <c r="B4174" s="2">
        <v>12198</v>
      </c>
      <c r="C4174" s="38">
        <v>44940</v>
      </c>
      <c r="D4174" s="1" t="s">
        <v>255</v>
      </c>
      <c r="E4174" s="1" t="s">
        <v>33</v>
      </c>
      <c r="F4174" s="1" t="s">
        <v>199</v>
      </c>
      <c r="G4174" s="5">
        <v>406.6</v>
      </c>
    </row>
    <row r="4175" spans="1:7" x14ac:dyDescent="0.2">
      <c r="A4175" s="3">
        <v>5</v>
      </c>
      <c r="B4175" s="2">
        <v>12421.1</v>
      </c>
      <c r="C4175" s="38">
        <v>44992</v>
      </c>
      <c r="D4175" s="1" t="s">
        <v>268</v>
      </c>
      <c r="E4175" s="1" t="s">
        <v>33</v>
      </c>
      <c r="F4175" s="1" t="s">
        <v>199</v>
      </c>
      <c r="G4175" s="5">
        <v>2484.2199999999998</v>
      </c>
    </row>
    <row r="4176" spans="1:7" x14ac:dyDescent="0.2">
      <c r="A4176" s="3">
        <v>210</v>
      </c>
      <c r="B4176" s="2">
        <v>76015.8</v>
      </c>
      <c r="C4176" s="38">
        <v>44992</v>
      </c>
      <c r="D4176" s="1" t="s">
        <v>256</v>
      </c>
      <c r="E4176" s="1" t="s">
        <v>33</v>
      </c>
      <c r="F4176" s="1" t="s">
        <v>199</v>
      </c>
      <c r="G4176" s="5">
        <v>361.98</v>
      </c>
    </row>
    <row r="4177" spans="1:7" x14ac:dyDescent="0.2">
      <c r="A4177" s="3">
        <v>27</v>
      </c>
      <c r="B4177" s="2">
        <v>67073.94</v>
      </c>
      <c r="C4177" s="38">
        <v>45000</v>
      </c>
      <c r="D4177" s="1" t="s">
        <v>268</v>
      </c>
      <c r="E4177" s="1" t="s">
        <v>33</v>
      </c>
      <c r="F4177" s="1" t="s">
        <v>199</v>
      </c>
      <c r="G4177" s="5">
        <v>2484.2199999999998</v>
      </c>
    </row>
    <row r="4178" spans="1:7" x14ac:dyDescent="0.2">
      <c r="A4178" s="3">
        <v>17</v>
      </c>
      <c r="B4178" s="2">
        <v>42231.74</v>
      </c>
      <c r="C4178" s="38">
        <v>45000</v>
      </c>
      <c r="D4178" s="1" t="s">
        <v>268</v>
      </c>
      <c r="E4178" s="1" t="s">
        <v>33</v>
      </c>
      <c r="F4178" s="1" t="s">
        <v>199</v>
      </c>
      <c r="G4178" s="5">
        <v>2484.2199999999998</v>
      </c>
    </row>
    <row r="4179" spans="1:7" x14ac:dyDescent="0.2">
      <c r="A4179" s="3">
        <v>768</v>
      </c>
      <c r="B4179" s="2">
        <v>116090.88</v>
      </c>
      <c r="C4179" s="38">
        <v>45030</v>
      </c>
      <c r="D4179" s="1" t="s">
        <v>347</v>
      </c>
      <c r="E4179" s="1" t="s">
        <v>33</v>
      </c>
      <c r="F4179" s="1" t="s">
        <v>199</v>
      </c>
      <c r="G4179" s="5">
        <v>151.16</v>
      </c>
    </row>
    <row r="4180" spans="1:7" x14ac:dyDescent="0.2">
      <c r="A4180" s="3">
        <v>147</v>
      </c>
      <c r="B4180" s="2">
        <v>47026.77</v>
      </c>
      <c r="C4180" s="38">
        <v>44956</v>
      </c>
      <c r="D4180" s="1" t="s">
        <v>259</v>
      </c>
      <c r="E4180" s="1" t="s">
        <v>33</v>
      </c>
      <c r="F4180" s="1" t="s">
        <v>199</v>
      </c>
      <c r="G4180" s="5">
        <v>319.91000000000003</v>
      </c>
    </row>
    <row r="4181" spans="1:7" x14ac:dyDescent="0.2">
      <c r="A4181" s="3">
        <v>216</v>
      </c>
      <c r="B4181" s="2">
        <v>23392.799999999999</v>
      </c>
      <c r="C4181" s="38">
        <v>44970</v>
      </c>
      <c r="D4181" s="1" t="s">
        <v>237</v>
      </c>
      <c r="E4181" s="1" t="s">
        <v>33</v>
      </c>
      <c r="F4181" s="1" t="s">
        <v>199</v>
      </c>
      <c r="G4181" s="5">
        <v>108.3</v>
      </c>
    </row>
    <row r="4182" spans="1:7" x14ac:dyDescent="0.2">
      <c r="A4182" s="3">
        <v>144</v>
      </c>
      <c r="B4182" s="2">
        <v>29975.040000000001</v>
      </c>
      <c r="C4182" s="38">
        <v>45037</v>
      </c>
      <c r="D4182" s="1" t="s">
        <v>297</v>
      </c>
      <c r="E4182" s="1" t="s">
        <v>33</v>
      </c>
      <c r="F4182" s="1" t="s">
        <v>199</v>
      </c>
      <c r="G4182" s="5">
        <v>208.16</v>
      </c>
    </row>
    <row r="4183" spans="1:7" x14ac:dyDescent="0.2">
      <c r="A4183" s="3">
        <v>48</v>
      </c>
      <c r="B4183" s="2">
        <v>9991.68</v>
      </c>
      <c r="C4183" s="38">
        <v>45037</v>
      </c>
      <c r="D4183" s="1" t="s">
        <v>297</v>
      </c>
      <c r="E4183" s="1" t="s">
        <v>33</v>
      </c>
      <c r="F4183" s="1" t="s">
        <v>199</v>
      </c>
      <c r="G4183" s="5">
        <v>208.16</v>
      </c>
    </row>
    <row r="4184" spans="1:7" x14ac:dyDescent="0.2">
      <c r="A4184" s="3">
        <v>96</v>
      </c>
      <c r="B4184" s="2">
        <v>19983.36</v>
      </c>
      <c r="C4184" s="38">
        <v>45037</v>
      </c>
      <c r="D4184" s="1" t="s">
        <v>297</v>
      </c>
      <c r="E4184" s="1" t="s">
        <v>33</v>
      </c>
      <c r="F4184" s="1" t="s">
        <v>199</v>
      </c>
      <c r="G4184" s="5">
        <v>208.16</v>
      </c>
    </row>
    <row r="4185" spans="1:7" x14ac:dyDescent="0.2">
      <c r="A4185" s="3">
        <v>15</v>
      </c>
      <c r="B4185" s="2">
        <v>37263.300000000003</v>
      </c>
      <c r="C4185" s="38">
        <v>45061</v>
      </c>
      <c r="D4185" s="1" t="s">
        <v>268</v>
      </c>
      <c r="E4185" s="1" t="s">
        <v>33</v>
      </c>
      <c r="F4185" s="1" t="s">
        <v>199</v>
      </c>
      <c r="G4185" s="5">
        <v>2484.2199999999998</v>
      </c>
    </row>
    <row r="4186" spans="1:7" x14ac:dyDescent="0.2">
      <c r="A4186" s="3">
        <v>147</v>
      </c>
      <c r="B4186" s="2">
        <v>49849.17</v>
      </c>
      <c r="C4186" s="38">
        <v>44978</v>
      </c>
      <c r="D4186" s="1" t="s">
        <v>259</v>
      </c>
      <c r="E4186" s="1" t="s">
        <v>33</v>
      </c>
      <c r="F4186" s="1" t="s">
        <v>199</v>
      </c>
      <c r="G4186" s="5">
        <v>339.11</v>
      </c>
    </row>
    <row r="4187" spans="1:7" x14ac:dyDescent="0.2">
      <c r="A4187" s="3">
        <v>324</v>
      </c>
      <c r="B4187" s="2">
        <v>35089.199999999997</v>
      </c>
      <c r="C4187" s="38">
        <v>44978</v>
      </c>
      <c r="D4187" s="1" t="s">
        <v>237</v>
      </c>
      <c r="E4187" s="1" t="s">
        <v>33</v>
      </c>
      <c r="F4187" s="1" t="s">
        <v>199</v>
      </c>
      <c r="G4187" s="5">
        <v>108.3</v>
      </c>
    </row>
    <row r="4188" spans="1:7" x14ac:dyDescent="0.2">
      <c r="A4188" s="3">
        <v>324</v>
      </c>
      <c r="B4188" s="2">
        <v>35089.199999999997</v>
      </c>
      <c r="C4188" s="38">
        <v>44978</v>
      </c>
      <c r="D4188" s="1" t="s">
        <v>237</v>
      </c>
      <c r="E4188" s="1" t="s">
        <v>33</v>
      </c>
      <c r="F4188" s="1" t="s">
        <v>199</v>
      </c>
      <c r="G4188" s="5">
        <v>108.3</v>
      </c>
    </row>
    <row r="4189" spans="1:7" x14ac:dyDescent="0.2">
      <c r="A4189" s="3">
        <v>21</v>
      </c>
      <c r="B4189" s="2">
        <v>52168.62</v>
      </c>
      <c r="C4189" s="38">
        <v>45061</v>
      </c>
      <c r="D4189" s="1" t="s">
        <v>268</v>
      </c>
      <c r="E4189" s="1" t="s">
        <v>33</v>
      </c>
      <c r="F4189" s="1" t="s">
        <v>199</v>
      </c>
      <c r="G4189" s="5">
        <v>2484.2199999999998</v>
      </c>
    </row>
    <row r="4190" spans="1:7" x14ac:dyDescent="0.2">
      <c r="A4190" s="3">
        <v>147</v>
      </c>
      <c r="B4190" s="2">
        <v>49849.17</v>
      </c>
      <c r="C4190" s="38">
        <v>45041</v>
      </c>
      <c r="D4190" s="1" t="s">
        <v>259</v>
      </c>
      <c r="E4190" s="1" t="s">
        <v>33</v>
      </c>
      <c r="F4190" s="1" t="s">
        <v>199</v>
      </c>
      <c r="G4190" s="5">
        <v>339.11</v>
      </c>
    </row>
    <row r="4191" spans="1:7" x14ac:dyDescent="0.2">
      <c r="A4191" s="3">
        <v>147</v>
      </c>
      <c r="B4191" s="2">
        <v>49849.17</v>
      </c>
      <c r="C4191" s="38">
        <v>45041</v>
      </c>
      <c r="D4191" s="1" t="s">
        <v>259</v>
      </c>
      <c r="E4191" s="1" t="s">
        <v>33</v>
      </c>
      <c r="F4191" s="1" t="s">
        <v>199</v>
      </c>
      <c r="G4191" s="5">
        <v>339.11</v>
      </c>
    </row>
    <row r="4192" spans="1:7" x14ac:dyDescent="0.2">
      <c r="A4192" s="3">
        <v>192</v>
      </c>
      <c r="B4192" s="2">
        <v>37704.959999999999</v>
      </c>
      <c r="C4192" s="38">
        <v>45041</v>
      </c>
      <c r="D4192" s="1" t="s">
        <v>354</v>
      </c>
      <c r="E4192" s="1" t="s">
        <v>33</v>
      </c>
      <c r="F4192" s="1" t="s">
        <v>199</v>
      </c>
      <c r="G4192" s="5">
        <v>196.38</v>
      </c>
    </row>
    <row r="4193" spans="1:7" x14ac:dyDescent="0.2">
      <c r="A4193" s="3">
        <v>96</v>
      </c>
      <c r="B4193" s="2">
        <v>18852.48</v>
      </c>
      <c r="C4193" s="38">
        <v>45041</v>
      </c>
      <c r="D4193" s="1" t="s">
        <v>354</v>
      </c>
      <c r="E4193" s="1" t="s">
        <v>33</v>
      </c>
      <c r="F4193" s="1" t="s">
        <v>199</v>
      </c>
      <c r="G4193" s="5">
        <v>196.38</v>
      </c>
    </row>
    <row r="4194" spans="1:7" x14ac:dyDescent="0.2">
      <c r="A4194" s="3">
        <v>144</v>
      </c>
      <c r="B4194" s="2">
        <v>28278.720000000001</v>
      </c>
      <c r="C4194" s="38">
        <v>45041</v>
      </c>
      <c r="D4194" s="1" t="s">
        <v>354</v>
      </c>
      <c r="E4194" s="1" t="s">
        <v>33</v>
      </c>
      <c r="F4194" s="1" t="s">
        <v>199</v>
      </c>
      <c r="G4194" s="5">
        <v>196.38</v>
      </c>
    </row>
    <row r="4195" spans="1:7" x14ac:dyDescent="0.2">
      <c r="A4195" s="3">
        <v>144</v>
      </c>
      <c r="B4195" s="2">
        <v>28278.720000000001</v>
      </c>
      <c r="C4195" s="38">
        <v>45041</v>
      </c>
      <c r="D4195" s="1" t="s">
        <v>354</v>
      </c>
      <c r="E4195" s="1" t="s">
        <v>33</v>
      </c>
      <c r="F4195" s="1" t="s">
        <v>199</v>
      </c>
      <c r="G4195" s="5">
        <v>196.38</v>
      </c>
    </row>
    <row r="4196" spans="1:7" x14ac:dyDescent="0.2">
      <c r="A4196" s="3">
        <v>192</v>
      </c>
      <c r="B4196" s="2">
        <v>37704.959999999999</v>
      </c>
      <c r="C4196" s="38">
        <v>45041</v>
      </c>
      <c r="D4196" s="1" t="s">
        <v>354</v>
      </c>
      <c r="E4196" s="1" t="s">
        <v>33</v>
      </c>
      <c r="F4196" s="1" t="s">
        <v>199</v>
      </c>
      <c r="G4196" s="5">
        <v>196.38</v>
      </c>
    </row>
    <row r="4197" spans="1:7" x14ac:dyDescent="0.2">
      <c r="A4197" s="3">
        <v>192</v>
      </c>
      <c r="B4197" s="2">
        <v>37704.959999999999</v>
      </c>
      <c r="C4197" s="38">
        <v>45041</v>
      </c>
      <c r="D4197" s="1" t="s">
        <v>354</v>
      </c>
      <c r="E4197" s="1" t="s">
        <v>33</v>
      </c>
      <c r="F4197" s="1" t="s">
        <v>199</v>
      </c>
      <c r="G4197" s="5">
        <v>196.38</v>
      </c>
    </row>
    <row r="4198" spans="1:7" x14ac:dyDescent="0.2">
      <c r="A4198" s="3">
        <v>96</v>
      </c>
      <c r="B4198" s="2">
        <v>19983.36</v>
      </c>
      <c r="C4198" s="38">
        <v>45132</v>
      </c>
      <c r="D4198" s="1" t="s">
        <v>297</v>
      </c>
      <c r="E4198" s="1" t="s">
        <v>33</v>
      </c>
      <c r="F4198" s="1" t="s">
        <v>199</v>
      </c>
      <c r="G4198" s="5">
        <v>208.16</v>
      </c>
    </row>
    <row r="4199" spans="1:7" x14ac:dyDescent="0.2">
      <c r="A4199" s="3">
        <v>48</v>
      </c>
      <c r="B4199" s="2">
        <v>9991.68</v>
      </c>
      <c r="C4199" s="38">
        <v>45132</v>
      </c>
      <c r="D4199" s="1" t="s">
        <v>297</v>
      </c>
      <c r="E4199" s="1" t="s">
        <v>33</v>
      </c>
      <c r="F4199" s="1" t="s">
        <v>199</v>
      </c>
      <c r="G4199" s="5">
        <v>208.16</v>
      </c>
    </row>
    <row r="4200" spans="1:7" x14ac:dyDescent="0.2">
      <c r="A4200" s="3">
        <v>147</v>
      </c>
      <c r="B4200" s="2">
        <v>49849.17</v>
      </c>
      <c r="C4200" s="38">
        <v>45132</v>
      </c>
      <c r="D4200" s="1" t="s">
        <v>259</v>
      </c>
      <c r="E4200" s="1" t="s">
        <v>33</v>
      </c>
      <c r="F4200" s="1" t="s">
        <v>199</v>
      </c>
      <c r="G4200" s="5">
        <v>339.11</v>
      </c>
    </row>
    <row r="4201" spans="1:7" x14ac:dyDescent="0.2">
      <c r="A4201" s="3">
        <v>26</v>
      </c>
      <c r="B4201" s="2">
        <v>61238.32</v>
      </c>
      <c r="C4201" s="38">
        <v>44768</v>
      </c>
      <c r="D4201" s="1" t="s">
        <v>268</v>
      </c>
      <c r="E4201" s="1" t="s">
        <v>33</v>
      </c>
      <c r="F4201" s="1" t="s">
        <v>199</v>
      </c>
      <c r="G4201" s="5">
        <v>2355.3200000000002</v>
      </c>
    </row>
    <row r="4202" spans="1:7" x14ac:dyDescent="0.2">
      <c r="A4202" s="3">
        <v>6</v>
      </c>
      <c r="B4202" s="2">
        <v>14131.92</v>
      </c>
      <c r="C4202" s="38">
        <v>44768</v>
      </c>
      <c r="D4202" s="1" t="s">
        <v>268</v>
      </c>
      <c r="E4202" s="1" t="s">
        <v>33</v>
      </c>
      <c r="F4202" s="1" t="s">
        <v>199</v>
      </c>
      <c r="G4202" s="5">
        <v>2355.3200000000002</v>
      </c>
    </row>
    <row r="4203" spans="1:7" x14ac:dyDescent="0.2">
      <c r="A4203" s="3">
        <v>26</v>
      </c>
      <c r="B4203" s="2">
        <v>61238.32</v>
      </c>
      <c r="C4203" s="38">
        <v>44806</v>
      </c>
      <c r="D4203" s="1" t="s">
        <v>268</v>
      </c>
      <c r="E4203" s="1" t="s">
        <v>33</v>
      </c>
      <c r="F4203" s="1" t="s">
        <v>199</v>
      </c>
      <c r="G4203" s="5">
        <v>2355.3200000000002</v>
      </c>
    </row>
    <row r="4204" spans="1:7" x14ac:dyDescent="0.2">
      <c r="A4204" s="3">
        <v>6</v>
      </c>
      <c r="B4204" s="2">
        <v>14131.92</v>
      </c>
      <c r="C4204" s="38">
        <v>44806</v>
      </c>
      <c r="D4204" s="1" t="s">
        <v>268</v>
      </c>
      <c r="E4204" s="1" t="s">
        <v>33</v>
      </c>
      <c r="F4204" s="1" t="s">
        <v>199</v>
      </c>
      <c r="G4204" s="5">
        <v>2355.3200000000002</v>
      </c>
    </row>
    <row r="4205" spans="1:7" x14ac:dyDescent="0.2">
      <c r="A4205" s="3">
        <v>144</v>
      </c>
      <c r="B4205" s="2">
        <v>29975.040000000001</v>
      </c>
      <c r="C4205" s="38">
        <v>45175</v>
      </c>
      <c r="D4205" s="1" t="s">
        <v>297</v>
      </c>
      <c r="E4205" s="1" t="s">
        <v>33</v>
      </c>
      <c r="F4205" s="1" t="s">
        <v>199</v>
      </c>
      <c r="G4205" s="5">
        <v>208.16</v>
      </c>
    </row>
    <row r="4206" spans="1:7" x14ac:dyDescent="0.2">
      <c r="A4206" s="3">
        <v>26</v>
      </c>
      <c r="B4206" s="2">
        <v>61238.32</v>
      </c>
      <c r="C4206" s="38">
        <v>44825</v>
      </c>
      <c r="D4206" s="1" t="s">
        <v>268</v>
      </c>
      <c r="E4206" s="1" t="s">
        <v>33</v>
      </c>
      <c r="F4206" s="1" t="s">
        <v>199</v>
      </c>
      <c r="G4206" s="5">
        <v>2355.3200000000002</v>
      </c>
    </row>
    <row r="4207" spans="1:7" x14ac:dyDescent="0.2">
      <c r="A4207" s="3">
        <v>6</v>
      </c>
      <c r="B4207" s="2">
        <v>14131.92</v>
      </c>
      <c r="C4207" s="38">
        <v>44825</v>
      </c>
      <c r="D4207" s="1" t="s">
        <v>268</v>
      </c>
      <c r="E4207" s="1" t="s">
        <v>33</v>
      </c>
      <c r="F4207" s="1" t="s">
        <v>199</v>
      </c>
      <c r="G4207" s="5">
        <v>2355.3200000000002</v>
      </c>
    </row>
    <row r="4208" spans="1:7" x14ac:dyDescent="0.2">
      <c r="A4208" s="3">
        <v>26</v>
      </c>
      <c r="B4208" s="2">
        <v>61238.32</v>
      </c>
      <c r="C4208" s="38">
        <v>44825</v>
      </c>
      <c r="D4208" s="1" t="s">
        <v>268</v>
      </c>
      <c r="E4208" s="1" t="s">
        <v>33</v>
      </c>
      <c r="F4208" s="1" t="s">
        <v>199</v>
      </c>
      <c r="G4208" s="5">
        <v>2355.3200000000002</v>
      </c>
    </row>
    <row r="4209" spans="1:7" x14ac:dyDescent="0.2">
      <c r="A4209" s="3">
        <v>11</v>
      </c>
      <c r="B4209" s="2">
        <v>25908.52</v>
      </c>
      <c r="C4209" s="38">
        <v>44862</v>
      </c>
      <c r="D4209" s="1" t="s">
        <v>268</v>
      </c>
      <c r="E4209" s="1" t="s">
        <v>33</v>
      </c>
      <c r="F4209" s="1" t="s">
        <v>199</v>
      </c>
      <c r="G4209" s="5">
        <v>2355.3200000000002</v>
      </c>
    </row>
    <row r="4210" spans="1:7" x14ac:dyDescent="0.2">
      <c r="A4210" s="3">
        <v>147</v>
      </c>
      <c r="B4210" s="2">
        <v>47026.77</v>
      </c>
      <c r="C4210" s="38">
        <v>44743</v>
      </c>
      <c r="D4210" s="1" t="s">
        <v>259</v>
      </c>
      <c r="E4210" s="1" t="s">
        <v>33</v>
      </c>
      <c r="F4210" s="1" t="s">
        <v>199</v>
      </c>
      <c r="G4210" s="5">
        <v>319.91000000000003</v>
      </c>
    </row>
    <row r="4211" spans="1:7" x14ac:dyDescent="0.2">
      <c r="A4211" s="3">
        <v>26</v>
      </c>
      <c r="B4211" s="2">
        <v>61238.32</v>
      </c>
      <c r="C4211" s="38">
        <v>44777</v>
      </c>
      <c r="D4211" s="1" t="s">
        <v>268</v>
      </c>
      <c r="E4211" s="1" t="s">
        <v>33</v>
      </c>
      <c r="F4211" s="1" t="s">
        <v>199</v>
      </c>
      <c r="G4211" s="5">
        <v>2355.3200000000002</v>
      </c>
    </row>
    <row r="4212" spans="1:7" x14ac:dyDescent="0.2">
      <c r="A4212" s="3">
        <v>6</v>
      </c>
      <c r="B4212" s="2">
        <v>14131.92</v>
      </c>
      <c r="C4212" s="38">
        <v>44777</v>
      </c>
      <c r="D4212" s="1" t="s">
        <v>268</v>
      </c>
      <c r="E4212" s="1" t="s">
        <v>33</v>
      </c>
      <c r="F4212" s="1" t="s">
        <v>199</v>
      </c>
      <c r="G4212" s="5">
        <v>2355.3200000000002</v>
      </c>
    </row>
    <row r="4213" spans="1:7" x14ac:dyDescent="0.2">
      <c r="A4213" s="3">
        <v>144</v>
      </c>
      <c r="B4213" s="2">
        <v>28278.720000000001</v>
      </c>
      <c r="C4213" s="38">
        <v>44875</v>
      </c>
      <c r="D4213" s="1" t="s">
        <v>297</v>
      </c>
      <c r="E4213" s="1" t="s">
        <v>33</v>
      </c>
      <c r="F4213" s="1" t="s">
        <v>199</v>
      </c>
      <c r="G4213" s="5">
        <v>196.38</v>
      </c>
    </row>
    <row r="4214" spans="1:7" x14ac:dyDescent="0.2">
      <c r="A4214" s="3">
        <v>144</v>
      </c>
      <c r="B4214" s="2">
        <v>28278.720000000001</v>
      </c>
      <c r="C4214" s="38">
        <v>44883</v>
      </c>
      <c r="D4214" s="1" t="s">
        <v>297</v>
      </c>
      <c r="E4214" s="1" t="s">
        <v>33</v>
      </c>
      <c r="F4214" s="1" t="s">
        <v>199</v>
      </c>
      <c r="G4214" s="5">
        <v>196.38</v>
      </c>
    </row>
    <row r="4215" spans="1:7" x14ac:dyDescent="0.2">
      <c r="A4215" s="3">
        <v>96</v>
      </c>
      <c r="B4215" s="2">
        <v>18852.48</v>
      </c>
      <c r="C4215" s="38">
        <v>44883</v>
      </c>
      <c r="D4215" s="1" t="s">
        <v>297</v>
      </c>
      <c r="E4215" s="1" t="s">
        <v>33</v>
      </c>
      <c r="F4215" s="1" t="s">
        <v>199</v>
      </c>
      <c r="G4215" s="5">
        <v>196.38</v>
      </c>
    </row>
    <row r="4216" spans="1:7" x14ac:dyDescent="0.2">
      <c r="A4216" s="3">
        <v>26</v>
      </c>
      <c r="B4216" s="2">
        <v>61238.32</v>
      </c>
      <c r="C4216" s="38">
        <v>44743</v>
      </c>
      <c r="D4216" s="1" t="s">
        <v>268</v>
      </c>
      <c r="E4216" s="1" t="s">
        <v>33</v>
      </c>
      <c r="F4216" s="1" t="s">
        <v>199</v>
      </c>
      <c r="G4216" s="5">
        <v>2355.3200000000002</v>
      </c>
    </row>
    <row r="4217" spans="1:7" x14ac:dyDescent="0.2">
      <c r="A4217" s="3">
        <v>6</v>
      </c>
      <c r="B4217" s="2">
        <v>14131.92</v>
      </c>
      <c r="C4217" s="38">
        <v>44743</v>
      </c>
      <c r="D4217" s="1" t="s">
        <v>268</v>
      </c>
      <c r="E4217" s="1" t="s">
        <v>33</v>
      </c>
      <c r="F4217" s="1" t="s">
        <v>199</v>
      </c>
      <c r="G4217" s="5">
        <v>2355.3200000000002</v>
      </c>
    </row>
    <row r="4218" spans="1:7" x14ac:dyDescent="0.2">
      <c r="A4218" s="3">
        <v>8</v>
      </c>
      <c r="B4218" s="2">
        <v>18842.560000000001</v>
      </c>
      <c r="C4218" s="38">
        <v>44743</v>
      </c>
      <c r="D4218" s="1" t="s">
        <v>268</v>
      </c>
      <c r="E4218" s="1" t="s">
        <v>33</v>
      </c>
      <c r="F4218" s="1" t="s">
        <v>199</v>
      </c>
      <c r="G4218" s="5">
        <v>2355.3200000000002</v>
      </c>
    </row>
    <row r="4219" spans="1:7" x14ac:dyDescent="0.2">
      <c r="A4219" s="3">
        <v>8</v>
      </c>
      <c r="B4219" s="2">
        <v>18842.560000000001</v>
      </c>
      <c r="C4219" s="38">
        <v>44743</v>
      </c>
      <c r="D4219" s="1" t="s">
        <v>268</v>
      </c>
      <c r="E4219" s="1" t="s">
        <v>33</v>
      </c>
      <c r="F4219" s="1" t="s">
        <v>199</v>
      </c>
      <c r="G4219" s="5">
        <v>2355.3200000000002</v>
      </c>
    </row>
    <row r="4220" spans="1:7" x14ac:dyDescent="0.2">
      <c r="A4220" s="3">
        <v>26</v>
      </c>
      <c r="B4220" s="2">
        <v>61238.32</v>
      </c>
      <c r="C4220" s="38">
        <v>44743</v>
      </c>
      <c r="D4220" s="1" t="s">
        <v>268</v>
      </c>
      <c r="E4220" s="1" t="s">
        <v>33</v>
      </c>
      <c r="F4220" s="1" t="s">
        <v>199</v>
      </c>
      <c r="G4220" s="5">
        <v>2355.3200000000002</v>
      </c>
    </row>
    <row r="4221" spans="1:7" x14ac:dyDescent="0.2">
      <c r="A4221" s="3">
        <v>6</v>
      </c>
      <c r="B4221" s="2">
        <v>14131.92</v>
      </c>
      <c r="C4221" s="38">
        <v>44743</v>
      </c>
      <c r="D4221" s="1" t="s">
        <v>268</v>
      </c>
      <c r="E4221" s="1" t="s">
        <v>33</v>
      </c>
      <c r="F4221" s="1" t="s">
        <v>199</v>
      </c>
      <c r="G4221" s="5">
        <v>2355.3200000000002</v>
      </c>
    </row>
    <row r="4222" spans="1:7" x14ac:dyDescent="0.2">
      <c r="A4222" s="3">
        <v>26</v>
      </c>
      <c r="B4222" s="2">
        <v>61238.32</v>
      </c>
      <c r="C4222" s="38">
        <v>44743</v>
      </c>
      <c r="D4222" s="1" t="s">
        <v>268</v>
      </c>
      <c r="E4222" s="1" t="s">
        <v>33</v>
      </c>
      <c r="F4222" s="1" t="s">
        <v>199</v>
      </c>
      <c r="G4222" s="5">
        <v>2355.3200000000002</v>
      </c>
    </row>
    <row r="4223" spans="1:7" x14ac:dyDescent="0.2">
      <c r="A4223" s="3">
        <v>6</v>
      </c>
      <c r="B4223" s="2">
        <v>14131.92</v>
      </c>
      <c r="C4223" s="38">
        <v>44743</v>
      </c>
      <c r="D4223" s="1" t="s">
        <v>268</v>
      </c>
      <c r="E4223" s="1" t="s">
        <v>33</v>
      </c>
      <c r="F4223" s="1" t="s">
        <v>199</v>
      </c>
      <c r="G4223" s="5">
        <v>2355.3200000000002</v>
      </c>
    </row>
    <row r="4224" spans="1:7" x14ac:dyDescent="0.2">
      <c r="A4224" s="3">
        <v>26</v>
      </c>
      <c r="B4224" s="2">
        <v>61238.32</v>
      </c>
      <c r="C4224" s="38">
        <v>44743</v>
      </c>
      <c r="D4224" s="1" t="s">
        <v>268</v>
      </c>
      <c r="E4224" s="1" t="s">
        <v>33</v>
      </c>
      <c r="F4224" s="1" t="s">
        <v>199</v>
      </c>
      <c r="G4224" s="5">
        <v>2355.3200000000002</v>
      </c>
    </row>
    <row r="4225" spans="1:7" x14ac:dyDescent="0.2">
      <c r="A4225" s="3">
        <v>6</v>
      </c>
      <c r="B4225" s="2">
        <v>14131.92</v>
      </c>
      <c r="C4225" s="38">
        <v>44743</v>
      </c>
      <c r="D4225" s="1" t="s">
        <v>268</v>
      </c>
      <c r="E4225" s="1" t="s">
        <v>33</v>
      </c>
      <c r="F4225" s="1" t="s">
        <v>199</v>
      </c>
      <c r="G4225" s="5">
        <v>2355.3200000000002</v>
      </c>
    </row>
    <row r="4226" spans="1:7" x14ac:dyDescent="0.2">
      <c r="A4226" s="3">
        <v>26</v>
      </c>
      <c r="B4226" s="2">
        <v>61238.32</v>
      </c>
      <c r="C4226" s="38">
        <v>44743</v>
      </c>
      <c r="D4226" s="1" t="s">
        <v>268</v>
      </c>
      <c r="E4226" s="1" t="s">
        <v>33</v>
      </c>
      <c r="F4226" s="1" t="s">
        <v>199</v>
      </c>
      <c r="G4226" s="5">
        <v>2355.3200000000002</v>
      </c>
    </row>
    <row r="4227" spans="1:7" x14ac:dyDescent="0.2">
      <c r="A4227" s="3">
        <v>6</v>
      </c>
      <c r="B4227" s="2">
        <v>14131.92</v>
      </c>
      <c r="C4227" s="38">
        <v>44743</v>
      </c>
      <c r="D4227" s="1" t="s">
        <v>268</v>
      </c>
      <c r="E4227" s="1" t="s">
        <v>33</v>
      </c>
      <c r="F4227" s="1" t="s">
        <v>199</v>
      </c>
      <c r="G4227" s="5">
        <v>2355.3200000000002</v>
      </c>
    </row>
    <row r="4228" spans="1:7" x14ac:dyDescent="0.2">
      <c r="A4228" s="3">
        <v>26</v>
      </c>
      <c r="B4228" s="2">
        <v>61238.32</v>
      </c>
      <c r="C4228" s="38">
        <v>44743</v>
      </c>
      <c r="D4228" s="1" t="s">
        <v>268</v>
      </c>
      <c r="E4228" s="1" t="s">
        <v>33</v>
      </c>
      <c r="F4228" s="1" t="s">
        <v>199</v>
      </c>
      <c r="G4228" s="5">
        <v>2355.3200000000002</v>
      </c>
    </row>
    <row r="4229" spans="1:7" x14ac:dyDescent="0.2">
      <c r="A4229" s="3">
        <v>6</v>
      </c>
      <c r="B4229" s="2">
        <v>14131.92</v>
      </c>
      <c r="C4229" s="38">
        <v>44743</v>
      </c>
      <c r="D4229" s="1" t="s">
        <v>268</v>
      </c>
      <c r="E4229" s="1" t="s">
        <v>33</v>
      </c>
      <c r="F4229" s="1" t="s">
        <v>199</v>
      </c>
      <c r="G4229" s="5">
        <v>2355.3200000000002</v>
      </c>
    </row>
    <row r="4230" spans="1:7" x14ac:dyDescent="0.2">
      <c r="A4230" s="3">
        <v>26</v>
      </c>
      <c r="B4230" s="2">
        <v>61238.32</v>
      </c>
      <c r="C4230" s="38">
        <v>44743</v>
      </c>
      <c r="D4230" s="1" t="s">
        <v>268</v>
      </c>
      <c r="E4230" s="1" t="s">
        <v>33</v>
      </c>
      <c r="F4230" s="1" t="s">
        <v>199</v>
      </c>
      <c r="G4230" s="5">
        <v>2355.3200000000002</v>
      </c>
    </row>
    <row r="4231" spans="1:7" x14ac:dyDescent="0.2">
      <c r="A4231" s="3">
        <v>2</v>
      </c>
      <c r="B4231" s="2">
        <v>9015.6</v>
      </c>
      <c r="C4231" s="38">
        <v>44839</v>
      </c>
      <c r="D4231" s="1" t="s">
        <v>324</v>
      </c>
      <c r="E4231" s="1" t="s">
        <v>33</v>
      </c>
      <c r="F4231" s="1" t="s">
        <v>199</v>
      </c>
      <c r="G4231" s="5">
        <v>4507.8</v>
      </c>
    </row>
    <row r="4232" spans="1:7" x14ac:dyDescent="0.2">
      <c r="A4232" s="3">
        <v>6</v>
      </c>
      <c r="B4232" s="2">
        <v>14131.92</v>
      </c>
      <c r="C4232" s="38">
        <v>44743</v>
      </c>
      <c r="D4232" s="1" t="s">
        <v>268</v>
      </c>
      <c r="E4232" s="1" t="s">
        <v>33</v>
      </c>
      <c r="F4232" s="1" t="s">
        <v>199</v>
      </c>
      <c r="G4232" s="5">
        <v>2355.3200000000002</v>
      </c>
    </row>
    <row r="4233" spans="1:7" x14ac:dyDescent="0.2">
      <c r="A4233" s="3">
        <v>26</v>
      </c>
      <c r="B4233" s="2">
        <v>61238.32</v>
      </c>
      <c r="C4233" s="38">
        <v>44743</v>
      </c>
      <c r="D4233" s="1" t="s">
        <v>268</v>
      </c>
      <c r="E4233" s="1" t="s">
        <v>33</v>
      </c>
      <c r="F4233" s="1" t="s">
        <v>199</v>
      </c>
      <c r="G4233" s="5">
        <v>2355.3200000000002</v>
      </c>
    </row>
    <row r="4234" spans="1:7" x14ac:dyDescent="0.2">
      <c r="A4234" s="3">
        <v>6</v>
      </c>
      <c r="B4234" s="2">
        <v>14131.92</v>
      </c>
      <c r="C4234" s="38">
        <v>44743</v>
      </c>
      <c r="D4234" s="1" t="s">
        <v>268</v>
      </c>
      <c r="E4234" s="1" t="s">
        <v>33</v>
      </c>
      <c r="F4234" s="1" t="s">
        <v>199</v>
      </c>
      <c r="G4234" s="5">
        <v>2355.3200000000002</v>
      </c>
    </row>
    <row r="4235" spans="1:7" x14ac:dyDescent="0.2">
      <c r="A4235" s="3">
        <v>26</v>
      </c>
      <c r="B4235" s="2">
        <v>61238.32</v>
      </c>
      <c r="C4235" s="38">
        <v>44743</v>
      </c>
      <c r="D4235" s="1" t="s">
        <v>268</v>
      </c>
      <c r="E4235" s="1" t="s">
        <v>33</v>
      </c>
      <c r="F4235" s="1" t="s">
        <v>199</v>
      </c>
      <c r="G4235" s="5">
        <v>2355.3200000000002</v>
      </c>
    </row>
    <row r="4236" spans="1:7" x14ac:dyDescent="0.2">
      <c r="A4236" s="3">
        <v>6</v>
      </c>
      <c r="B4236" s="2">
        <v>14131.92</v>
      </c>
      <c r="C4236" s="38">
        <v>44743</v>
      </c>
      <c r="D4236" s="1" t="s">
        <v>268</v>
      </c>
      <c r="E4236" s="1" t="s">
        <v>33</v>
      </c>
      <c r="F4236" s="1" t="s">
        <v>199</v>
      </c>
      <c r="G4236" s="5">
        <v>2355.3200000000002</v>
      </c>
    </row>
    <row r="4237" spans="1:7" x14ac:dyDescent="0.2">
      <c r="A4237" s="3">
        <v>26</v>
      </c>
      <c r="B4237" s="2">
        <v>61238.32</v>
      </c>
      <c r="C4237" s="38">
        <v>44743</v>
      </c>
      <c r="D4237" s="1" t="s">
        <v>268</v>
      </c>
      <c r="E4237" s="1" t="s">
        <v>33</v>
      </c>
      <c r="F4237" s="1" t="s">
        <v>199</v>
      </c>
      <c r="G4237" s="5">
        <v>2355.3200000000002</v>
      </c>
    </row>
    <row r="4238" spans="1:7" x14ac:dyDescent="0.2">
      <c r="A4238" s="3">
        <v>6</v>
      </c>
      <c r="B4238" s="2">
        <v>14131.92</v>
      </c>
      <c r="C4238" s="38">
        <v>44743</v>
      </c>
      <c r="D4238" s="1" t="s">
        <v>268</v>
      </c>
      <c r="E4238" s="1" t="s">
        <v>33</v>
      </c>
      <c r="F4238" s="1" t="s">
        <v>199</v>
      </c>
      <c r="G4238" s="5">
        <v>2355.3200000000002</v>
      </c>
    </row>
    <row r="4239" spans="1:7" x14ac:dyDescent="0.2">
      <c r="A4239" s="3">
        <v>144</v>
      </c>
      <c r="B4239" s="2">
        <v>28278.720000000001</v>
      </c>
      <c r="C4239" s="38">
        <v>44847</v>
      </c>
      <c r="D4239" s="1" t="s">
        <v>297</v>
      </c>
      <c r="E4239" s="1" t="s">
        <v>33</v>
      </c>
      <c r="F4239" s="1" t="s">
        <v>199</v>
      </c>
      <c r="G4239" s="5">
        <v>196.38</v>
      </c>
    </row>
    <row r="4240" spans="1:7" x14ac:dyDescent="0.2">
      <c r="A4240" s="3">
        <v>144</v>
      </c>
      <c r="B4240" s="2">
        <v>28278.720000000001</v>
      </c>
      <c r="C4240" s="38">
        <v>44847</v>
      </c>
      <c r="D4240" s="1" t="s">
        <v>297</v>
      </c>
      <c r="E4240" s="1" t="s">
        <v>33</v>
      </c>
      <c r="F4240" s="1" t="s">
        <v>199</v>
      </c>
      <c r="G4240" s="5">
        <v>196.38</v>
      </c>
    </row>
    <row r="4241" spans="1:7" x14ac:dyDescent="0.2">
      <c r="A4241" s="3">
        <v>48</v>
      </c>
      <c r="B4241" s="2">
        <v>9426.24</v>
      </c>
      <c r="C4241" s="38">
        <v>44847</v>
      </c>
      <c r="D4241" s="1" t="s">
        <v>297</v>
      </c>
      <c r="E4241" s="1" t="s">
        <v>33</v>
      </c>
      <c r="F4241" s="1" t="s">
        <v>199</v>
      </c>
      <c r="G4241" s="5">
        <v>196.38</v>
      </c>
    </row>
    <row r="4242" spans="1:7" x14ac:dyDescent="0.2">
      <c r="A4242" s="3">
        <v>144</v>
      </c>
      <c r="B4242" s="2">
        <v>28278.720000000001</v>
      </c>
      <c r="C4242" s="38">
        <v>44847</v>
      </c>
      <c r="D4242" s="1" t="s">
        <v>297</v>
      </c>
      <c r="E4242" s="1" t="s">
        <v>33</v>
      </c>
      <c r="F4242" s="1" t="s">
        <v>199</v>
      </c>
      <c r="G4242" s="5">
        <v>196.38</v>
      </c>
    </row>
    <row r="4243" spans="1:7" x14ac:dyDescent="0.2">
      <c r="A4243" s="3">
        <v>96</v>
      </c>
      <c r="B4243" s="2">
        <v>18852.48</v>
      </c>
      <c r="C4243" s="38">
        <v>44847</v>
      </c>
      <c r="D4243" s="1" t="s">
        <v>297</v>
      </c>
      <c r="E4243" s="1" t="s">
        <v>33</v>
      </c>
      <c r="F4243" s="1" t="s">
        <v>199</v>
      </c>
      <c r="G4243" s="5">
        <v>196.38</v>
      </c>
    </row>
    <row r="4244" spans="1:7" x14ac:dyDescent="0.2">
      <c r="A4244" s="3">
        <v>144</v>
      </c>
      <c r="B4244" s="2">
        <v>28278.720000000001</v>
      </c>
      <c r="C4244" s="38">
        <v>44847</v>
      </c>
      <c r="D4244" s="1" t="s">
        <v>297</v>
      </c>
      <c r="E4244" s="1" t="s">
        <v>33</v>
      </c>
      <c r="F4244" s="1" t="s">
        <v>199</v>
      </c>
      <c r="G4244" s="5">
        <v>196.38</v>
      </c>
    </row>
    <row r="4245" spans="1:7" x14ac:dyDescent="0.2">
      <c r="A4245" s="3">
        <v>26</v>
      </c>
      <c r="B4245" s="2">
        <v>61238.32</v>
      </c>
      <c r="C4245" s="38">
        <v>44792</v>
      </c>
      <c r="D4245" s="1" t="s">
        <v>268</v>
      </c>
      <c r="E4245" s="1" t="s">
        <v>33</v>
      </c>
      <c r="F4245" s="1" t="s">
        <v>199</v>
      </c>
      <c r="G4245" s="5">
        <v>2355.3200000000002</v>
      </c>
    </row>
    <row r="4246" spans="1:7" x14ac:dyDescent="0.2">
      <c r="A4246" s="3">
        <v>6</v>
      </c>
      <c r="B4246" s="2">
        <v>14131.92</v>
      </c>
      <c r="C4246" s="38">
        <v>44792</v>
      </c>
      <c r="D4246" s="1" t="s">
        <v>268</v>
      </c>
      <c r="E4246" s="1" t="s">
        <v>33</v>
      </c>
      <c r="F4246" s="1" t="s">
        <v>199</v>
      </c>
      <c r="G4246" s="5">
        <v>2355.3200000000002</v>
      </c>
    </row>
    <row r="4247" spans="1:7" x14ac:dyDescent="0.2">
      <c r="A4247" s="3">
        <v>26</v>
      </c>
      <c r="B4247" s="2">
        <v>61238.32</v>
      </c>
      <c r="C4247" s="38">
        <v>44792</v>
      </c>
      <c r="D4247" s="1" t="s">
        <v>268</v>
      </c>
      <c r="E4247" s="1" t="s">
        <v>33</v>
      </c>
      <c r="F4247" s="1" t="s">
        <v>199</v>
      </c>
      <c r="G4247" s="5">
        <v>2355.3200000000002</v>
      </c>
    </row>
    <row r="4248" spans="1:7" x14ac:dyDescent="0.2">
      <c r="A4248" s="3">
        <v>6</v>
      </c>
      <c r="B4248" s="2">
        <v>14131.92</v>
      </c>
      <c r="C4248" s="38">
        <v>44792</v>
      </c>
      <c r="D4248" s="1" t="s">
        <v>268</v>
      </c>
      <c r="E4248" s="1" t="s">
        <v>33</v>
      </c>
      <c r="F4248" s="1" t="s">
        <v>199</v>
      </c>
      <c r="G4248" s="5">
        <v>2355.3200000000002</v>
      </c>
    </row>
    <row r="4249" spans="1:7" x14ac:dyDescent="0.2">
      <c r="A4249" s="3">
        <v>26</v>
      </c>
      <c r="B4249" s="2">
        <v>61238.32</v>
      </c>
      <c r="C4249" s="38">
        <v>44792</v>
      </c>
      <c r="D4249" s="1" t="s">
        <v>268</v>
      </c>
      <c r="E4249" s="1" t="s">
        <v>33</v>
      </c>
      <c r="F4249" s="1" t="s">
        <v>199</v>
      </c>
      <c r="G4249" s="5">
        <v>2355.3200000000002</v>
      </c>
    </row>
    <row r="4250" spans="1:7" x14ac:dyDescent="0.2">
      <c r="A4250" s="3">
        <v>147</v>
      </c>
      <c r="B4250" s="2">
        <v>47026.77</v>
      </c>
      <c r="C4250" s="38">
        <v>44753</v>
      </c>
      <c r="D4250" s="1" t="s">
        <v>259</v>
      </c>
      <c r="E4250" s="1" t="s">
        <v>33</v>
      </c>
      <c r="F4250" s="1" t="s">
        <v>199</v>
      </c>
      <c r="G4250" s="5">
        <v>319.91000000000003</v>
      </c>
    </row>
    <row r="4251" spans="1:7" x14ac:dyDescent="0.2">
      <c r="A4251" s="3">
        <v>26</v>
      </c>
      <c r="B4251" s="2">
        <v>61238.32</v>
      </c>
      <c r="C4251" s="38">
        <v>44753</v>
      </c>
      <c r="D4251" s="1" t="s">
        <v>268</v>
      </c>
      <c r="E4251" s="1" t="s">
        <v>33</v>
      </c>
      <c r="F4251" s="1" t="s">
        <v>199</v>
      </c>
      <c r="G4251" s="5">
        <v>2355.3200000000002</v>
      </c>
    </row>
    <row r="4252" spans="1:7" x14ac:dyDescent="0.2">
      <c r="A4252" s="3">
        <v>6</v>
      </c>
      <c r="B4252" s="2">
        <v>14131.92</v>
      </c>
      <c r="C4252" s="38">
        <v>44753</v>
      </c>
      <c r="D4252" s="1" t="s">
        <v>268</v>
      </c>
      <c r="E4252" s="1" t="s">
        <v>33</v>
      </c>
      <c r="F4252" s="1" t="s">
        <v>199</v>
      </c>
      <c r="G4252" s="5">
        <v>2355.3200000000002</v>
      </c>
    </row>
    <row r="4253" spans="1:7" x14ac:dyDescent="0.2">
      <c r="A4253" s="3">
        <v>26</v>
      </c>
      <c r="B4253" s="2">
        <v>61238.32</v>
      </c>
      <c r="C4253" s="38">
        <v>44753</v>
      </c>
      <c r="D4253" s="1" t="s">
        <v>268</v>
      </c>
      <c r="E4253" s="1" t="s">
        <v>33</v>
      </c>
      <c r="F4253" s="1" t="s">
        <v>199</v>
      </c>
      <c r="G4253" s="5">
        <v>2355.3200000000002</v>
      </c>
    </row>
    <row r="4254" spans="1:7" x14ac:dyDescent="0.2">
      <c r="A4254" s="3">
        <v>6</v>
      </c>
      <c r="B4254" s="2">
        <v>14131.92</v>
      </c>
      <c r="C4254" s="38">
        <v>44753</v>
      </c>
      <c r="D4254" s="1" t="s">
        <v>268</v>
      </c>
      <c r="E4254" s="1" t="s">
        <v>33</v>
      </c>
      <c r="F4254" s="1" t="s">
        <v>199</v>
      </c>
      <c r="G4254" s="5">
        <v>2355.3200000000002</v>
      </c>
    </row>
    <row r="4255" spans="1:7" x14ac:dyDescent="0.2">
      <c r="A4255" s="3">
        <v>6</v>
      </c>
      <c r="B4255" s="2">
        <v>14131.92</v>
      </c>
      <c r="C4255" s="38">
        <v>44792</v>
      </c>
      <c r="D4255" s="1" t="s">
        <v>268</v>
      </c>
      <c r="E4255" s="1" t="s">
        <v>33</v>
      </c>
      <c r="F4255" s="1" t="s">
        <v>199</v>
      </c>
      <c r="G4255" s="5">
        <v>2355.3200000000002</v>
      </c>
    </row>
    <row r="4256" spans="1:7" x14ac:dyDescent="0.2">
      <c r="A4256" s="3">
        <v>26</v>
      </c>
      <c r="B4256" s="2">
        <v>61238.32</v>
      </c>
      <c r="C4256" s="38">
        <v>44792</v>
      </c>
      <c r="D4256" s="1" t="s">
        <v>268</v>
      </c>
      <c r="E4256" s="1" t="s">
        <v>33</v>
      </c>
      <c r="F4256" s="1" t="s">
        <v>199</v>
      </c>
      <c r="G4256" s="5">
        <v>2355.3200000000002</v>
      </c>
    </row>
    <row r="4257" spans="1:7" x14ac:dyDescent="0.2">
      <c r="A4257" s="3">
        <v>6</v>
      </c>
      <c r="B4257" s="2">
        <v>14131.92</v>
      </c>
      <c r="C4257" s="38">
        <v>44792</v>
      </c>
      <c r="D4257" s="1" t="s">
        <v>268</v>
      </c>
      <c r="E4257" s="1" t="s">
        <v>33</v>
      </c>
      <c r="F4257" s="1" t="s">
        <v>199</v>
      </c>
      <c r="G4257" s="5">
        <v>2355.3200000000002</v>
      </c>
    </row>
    <row r="4258" spans="1:7" x14ac:dyDescent="0.2">
      <c r="A4258" s="3">
        <v>147</v>
      </c>
      <c r="B4258" s="2">
        <v>49849.17</v>
      </c>
      <c r="C4258" s="38">
        <v>45121</v>
      </c>
      <c r="D4258" s="1" t="s">
        <v>259</v>
      </c>
      <c r="E4258" s="1" t="s">
        <v>33</v>
      </c>
      <c r="F4258" s="1" t="s">
        <v>199</v>
      </c>
      <c r="G4258" s="5">
        <v>339.11</v>
      </c>
    </row>
    <row r="4259" spans="1:7" x14ac:dyDescent="0.2">
      <c r="A4259" s="3">
        <v>26</v>
      </c>
      <c r="B4259" s="2">
        <v>61238.32</v>
      </c>
      <c r="C4259" s="38">
        <v>44761</v>
      </c>
      <c r="D4259" s="1" t="s">
        <v>268</v>
      </c>
      <c r="E4259" s="1" t="s">
        <v>33</v>
      </c>
      <c r="F4259" s="1" t="s">
        <v>199</v>
      </c>
      <c r="G4259" s="5">
        <v>2355.3200000000002</v>
      </c>
    </row>
    <row r="4260" spans="1:7" x14ac:dyDescent="0.2">
      <c r="A4260" s="3">
        <v>6</v>
      </c>
      <c r="B4260" s="2">
        <v>14131.92</v>
      </c>
      <c r="C4260" s="38">
        <v>44761</v>
      </c>
      <c r="D4260" s="1" t="s">
        <v>268</v>
      </c>
      <c r="E4260" s="1" t="s">
        <v>33</v>
      </c>
      <c r="F4260" s="1" t="s">
        <v>199</v>
      </c>
      <c r="G4260" s="5">
        <v>2355.3200000000002</v>
      </c>
    </row>
    <row r="4261" spans="1:7" x14ac:dyDescent="0.2">
      <c r="A4261" s="3">
        <v>26</v>
      </c>
      <c r="B4261" s="2">
        <v>61238.32</v>
      </c>
      <c r="C4261" s="38">
        <v>44764</v>
      </c>
      <c r="D4261" s="1" t="s">
        <v>268</v>
      </c>
      <c r="E4261" s="1" t="s">
        <v>33</v>
      </c>
      <c r="F4261" s="1" t="s">
        <v>199</v>
      </c>
      <c r="G4261" s="5">
        <v>2355.3200000000002</v>
      </c>
    </row>
    <row r="4262" spans="1:7" x14ac:dyDescent="0.2">
      <c r="A4262" s="3">
        <v>6</v>
      </c>
      <c r="B4262" s="2">
        <v>14131.92</v>
      </c>
      <c r="C4262" s="38">
        <v>44764</v>
      </c>
      <c r="D4262" s="1" t="s">
        <v>268</v>
      </c>
      <c r="E4262" s="1" t="s">
        <v>33</v>
      </c>
      <c r="F4262" s="1" t="s">
        <v>199</v>
      </c>
      <c r="G4262" s="5">
        <v>2355.3200000000002</v>
      </c>
    </row>
    <row r="4263" spans="1:7" x14ac:dyDescent="0.2">
      <c r="A4263" s="3">
        <v>26</v>
      </c>
      <c r="B4263" s="2">
        <v>61238.32</v>
      </c>
      <c r="C4263" s="38">
        <v>44764</v>
      </c>
      <c r="D4263" s="1" t="s">
        <v>268</v>
      </c>
      <c r="E4263" s="1" t="s">
        <v>33</v>
      </c>
      <c r="F4263" s="1" t="s">
        <v>199</v>
      </c>
      <c r="G4263" s="5">
        <v>2355.3200000000002</v>
      </c>
    </row>
    <row r="4264" spans="1:7" x14ac:dyDescent="0.2">
      <c r="A4264" s="3">
        <v>6</v>
      </c>
      <c r="B4264" s="2">
        <v>14131.92</v>
      </c>
      <c r="C4264" s="38">
        <v>44764</v>
      </c>
      <c r="D4264" s="1" t="s">
        <v>268</v>
      </c>
      <c r="E4264" s="1" t="s">
        <v>33</v>
      </c>
      <c r="F4264" s="1" t="s">
        <v>199</v>
      </c>
      <c r="G4264" s="5">
        <v>2355.3200000000002</v>
      </c>
    </row>
    <row r="4265" spans="1:7" x14ac:dyDescent="0.2">
      <c r="A4265" s="3">
        <v>26</v>
      </c>
      <c r="B4265" s="2">
        <v>61238.32</v>
      </c>
      <c r="C4265" s="38">
        <v>44854</v>
      </c>
      <c r="D4265" s="1" t="s">
        <v>268</v>
      </c>
      <c r="E4265" s="1" t="s">
        <v>33</v>
      </c>
      <c r="F4265" s="1" t="s">
        <v>199</v>
      </c>
      <c r="G4265" s="5">
        <v>2355.3200000000002</v>
      </c>
    </row>
    <row r="4266" spans="1:7" x14ac:dyDescent="0.2">
      <c r="A4266" s="3">
        <v>6</v>
      </c>
      <c r="B4266" s="2">
        <v>14131.92</v>
      </c>
      <c r="C4266" s="38">
        <v>44854</v>
      </c>
      <c r="D4266" s="1" t="s">
        <v>268</v>
      </c>
      <c r="E4266" s="1" t="s">
        <v>33</v>
      </c>
      <c r="F4266" s="1" t="s">
        <v>199</v>
      </c>
      <c r="G4266" s="5">
        <v>2355.3200000000002</v>
      </c>
    </row>
    <row r="4267" spans="1:7" x14ac:dyDescent="0.2">
      <c r="A4267" s="3">
        <v>26</v>
      </c>
      <c r="B4267" s="2">
        <v>61238.32</v>
      </c>
      <c r="C4267" s="38">
        <v>44854</v>
      </c>
      <c r="D4267" s="1" t="s">
        <v>268</v>
      </c>
      <c r="E4267" s="1" t="s">
        <v>33</v>
      </c>
      <c r="F4267" s="1" t="s">
        <v>199</v>
      </c>
      <c r="G4267" s="5">
        <v>2355.3200000000002</v>
      </c>
    </row>
    <row r="4268" spans="1:7" x14ac:dyDescent="0.2">
      <c r="A4268" s="3">
        <v>6</v>
      </c>
      <c r="B4268" s="2">
        <v>14131.92</v>
      </c>
      <c r="C4268" s="38">
        <v>44854</v>
      </c>
      <c r="D4268" s="1" t="s">
        <v>268</v>
      </c>
      <c r="E4268" s="1" t="s">
        <v>33</v>
      </c>
      <c r="F4268" s="1" t="s">
        <v>199</v>
      </c>
      <c r="G4268" s="5">
        <v>2355.3200000000002</v>
      </c>
    </row>
    <row r="4269" spans="1:7" x14ac:dyDescent="0.2">
      <c r="A4269" s="3">
        <v>27000</v>
      </c>
      <c r="B4269" s="2">
        <v>2640.6</v>
      </c>
      <c r="C4269" s="38">
        <v>44855</v>
      </c>
      <c r="D4269" s="1" t="s">
        <v>294</v>
      </c>
      <c r="E4269" s="1" t="s">
        <v>33</v>
      </c>
      <c r="F4269" s="1" t="s">
        <v>199</v>
      </c>
      <c r="G4269" s="5">
        <v>9.7799999999999998E-2</v>
      </c>
    </row>
    <row r="4270" spans="1:7" x14ac:dyDescent="0.2">
      <c r="A4270" s="3">
        <v>45</v>
      </c>
      <c r="B4270" s="2">
        <v>38721.599999999999</v>
      </c>
      <c r="C4270" s="38">
        <v>44929</v>
      </c>
      <c r="D4270" s="1" t="s">
        <v>267</v>
      </c>
      <c r="E4270" s="1" t="s">
        <v>33</v>
      </c>
      <c r="F4270" s="1" t="s">
        <v>199</v>
      </c>
      <c r="G4270" s="5">
        <v>860.48</v>
      </c>
    </row>
    <row r="4271" spans="1:7" x14ac:dyDescent="0.2">
      <c r="A4271" s="3">
        <v>45</v>
      </c>
      <c r="B4271" s="2">
        <v>38721.599999999999</v>
      </c>
      <c r="C4271" s="38">
        <v>44929</v>
      </c>
      <c r="D4271" s="1" t="s">
        <v>267</v>
      </c>
      <c r="E4271" s="1" t="s">
        <v>33</v>
      </c>
      <c r="F4271" s="1" t="s">
        <v>199</v>
      </c>
      <c r="G4271" s="5">
        <v>860.48</v>
      </c>
    </row>
    <row r="4272" spans="1:7" x14ac:dyDescent="0.2">
      <c r="A4272" s="3">
        <v>15</v>
      </c>
      <c r="B4272" s="2">
        <v>13613.1</v>
      </c>
      <c r="C4272" s="38">
        <v>44952</v>
      </c>
      <c r="D4272" s="1" t="s">
        <v>267</v>
      </c>
      <c r="E4272" s="1" t="s">
        <v>33</v>
      </c>
      <c r="F4272" s="1" t="s">
        <v>199</v>
      </c>
      <c r="G4272" s="5">
        <v>907.54</v>
      </c>
    </row>
    <row r="4273" spans="1:7" x14ac:dyDescent="0.2">
      <c r="A4273" s="3">
        <v>15</v>
      </c>
      <c r="B4273" s="2">
        <v>13613.1</v>
      </c>
      <c r="C4273" s="38">
        <v>44952</v>
      </c>
      <c r="D4273" s="1" t="s">
        <v>267</v>
      </c>
      <c r="E4273" s="1" t="s">
        <v>33</v>
      </c>
      <c r="F4273" s="1" t="s">
        <v>199</v>
      </c>
      <c r="G4273" s="5">
        <v>907.54</v>
      </c>
    </row>
    <row r="4274" spans="1:7" x14ac:dyDescent="0.2">
      <c r="A4274" s="3">
        <v>15</v>
      </c>
      <c r="B4274" s="2">
        <v>13613.1</v>
      </c>
      <c r="C4274" s="38">
        <v>44952</v>
      </c>
      <c r="D4274" s="1" t="s">
        <v>267</v>
      </c>
      <c r="E4274" s="1" t="s">
        <v>33</v>
      </c>
      <c r="F4274" s="1" t="s">
        <v>199</v>
      </c>
      <c r="G4274" s="5">
        <v>907.54</v>
      </c>
    </row>
    <row r="4275" spans="1:7" x14ac:dyDescent="0.2">
      <c r="A4275" s="3">
        <v>15</v>
      </c>
      <c r="B4275" s="2">
        <v>13613.1</v>
      </c>
      <c r="C4275" s="38">
        <v>44952</v>
      </c>
      <c r="D4275" s="1" t="s">
        <v>267</v>
      </c>
      <c r="E4275" s="1" t="s">
        <v>33</v>
      </c>
      <c r="F4275" s="1" t="s">
        <v>199</v>
      </c>
      <c r="G4275" s="5">
        <v>907.54</v>
      </c>
    </row>
    <row r="4276" spans="1:7" x14ac:dyDescent="0.2">
      <c r="A4276" s="3">
        <v>15</v>
      </c>
      <c r="B4276" s="2">
        <v>13613.1</v>
      </c>
      <c r="C4276" s="38">
        <v>44952</v>
      </c>
      <c r="D4276" s="1" t="s">
        <v>267</v>
      </c>
      <c r="E4276" s="1" t="s">
        <v>33</v>
      </c>
      <c r="F4276" s="1" t="s">
        <v>199</v>
      </c>
      <c r="G4276" s="5">
        <v>907.54</v>
      </c>
    </row>
    <row r="4277" spans="1:7" x14ac:dyDescent="0.2">
      <c r="A4277" s="3">
        <v>60</v>
      </c>
      <c r="B4277" s="2">
        <v>51442.2</v>
      </c>
      <c r="C4277" s="38">
        <v>45097</v>
      </c>
      <c r="D4277" s="1" t="s">
        <v>267</v>
      </c>
      <c r="E4277" s="1" t="s">
        <v>33</v>
      </c>
      <c r="F4277" s="1" t="s">
        <v>199</v>
      </c>
      <c r="G4277" s="5">
        <v>857.37</v>
      </c>
    </row>
    <row r="4278" spans="1:7" x14ac:dyDescent="0.2">
      <c r="A4278" s="3">
        <v>45</v>
      </c>
      <c r="B4278" s="2">
        <v>38581.65</v>
      </c>
      <c r="C4278" s="38">
        <v>45097</v>
      </c>
      <c r="D4278" s="1" t="s">
        <v>267</v>
      </c>
      <c r="E4278" s="1" t="s">
        <v>33</v>
      </c>
      <c r="F4278" s="1" t="s">
        <v>199</v>
      </c>
      <c r="G4278" s="5">
        <v>857.37</v>
      </c>
    </row>
    <row r="4279" spans="1:7" x14ac:dyDescent="0.2">
      <c r="A4279" s="3">
        <v>60</v>
      </c>
      <c r="B4279" s="2">
        <v>51442.2</v>
      </c>
      <c r="C4279" s="38">
        <v>45097</v>
      </c>
      <c r="D4279" s="1" t="s">
        <v>267</v>
      </c>
      <c r="E4279" s="1" t="s">
        <v>33</v>
      </c>
      <c r="F4279" s="1" t="s">
        <v>199</v>
      </c>
      <c r="G4279" s="5">
        <v>857.37</v>
      </c>
    </row>
    <row r="4280" spans="1:7" x14ac:dyDescent="0.2">
      <c r="A4280" s="3">
        <v>60</v>
      </c>
      <c r="B4280" s="2">
        <v>51442.2</v>
      </c>
      <c r="C4280" s="38">
        <v>45098</v>
      </c>
      <c r="D4280" s="1" t="s">
        <v>267</v>
      </c>
      <c r="E4280" s="1" t="s">
        <v>33</v>
      </c>
      <c r="F4280" s="1" t="s">
        <v>199</v>
      </c>
      <c r="G4280" s="5">
        <v>857.37</v>
      </c>
    </row>
    <row r="4281" spans="1:7" x14ac:dyDescent="0.2">
      <c r="A4281" s="3">
        <v>60</v>
      </c>
      <c r="B4281" s="2">
        <v>51442.2</v>
      </c>
      <c r="C4281" s="38">
        <v>45098</v>
      </c>
      <c r="D4281" s="1" t="s">
        <v>267</v>
      </c>
      <c r="E4281" s="1" t="s">
        <v>33</v>
      </c>
      <c r="F4281" s="1" t="s">
        <v>199</v>
      </c>
      <c r="G4281" s="5">
        <v>857.37</v>
      </c>
    </row>
    <row r="4282" spans="1:7" x14ac:dyDescent="0.2">
      <c r="A4282" s="3">
        <v>60</v>
      </c>
      <c r="B4282" s="2">
        <v>51442.2</v>
      </c>
      <c r="C4282" s="38">
        <v>45098</v>
      </c>
      <c r="D4282" s="1" t="s">
        <v>267</v>
      </c>
      <c r="E4282" s="1" t="s">
        <v>33</v>
      </c>
      <c r="F4282" s="1" t="s">
        <v>199</v>
      </c>
      <c r="G4282" s="5">
        <v>857.37</v>
      </c>
    </row>
    <row r="4283" spans="1:7" x14ac:dyDescent="0.2">
      <c r="A4283" s="3">
        <v>60</v>
      </c>
      <c r="B4283" s="2">
        <v>51442.2</v>
      </c>
      <c r="C4283" s="38">
        <v>45098</v>
      </c>
      <c r="D4283" s="1" t="s">
        <v>267</v>
      </c>
      <c r="E4283" s="1" t="s">
        <v>33</v>
      </c>
      <c r="F4283" s="1" t="s">
        <v>199</v>
      </c>
      <c r="G4283" s="5">
        <v>857.37</v>
      </c>
    </row>
    <row r="4284" spans="1:7" x14ac:dyDescent="0.2">
      <c r="A4284" s="3">
        <v>45</v>
      </c>
      <c r="B4284" s="2">
        <v>38581.65</v>
      </c>
      <c r="C4284" s="38">
        <v>45098</v>
      </c>
      <c r="D4284" s="1" t="s">
        <v>267</v>
      </c>
      <c r="E4284" s="1" t="s">
        <v>33</v>
      </c>
      <c r="F4284" s="1" t="s">
        <v>199</v>
      </c>
      <c r="G4284" s="5">
        <v>857.37</v>
      </c>
    </row>
    <row r="4285" spans="1:7" x14ac:dyDescent="0.2">
      <c r="A4285" s="3">
        <v>60</v>
      </c>
      <c r="B4285" s="2">
        <v>51442.2</v>
      </c>
      <c r="C4285" s="38">
        <v>45098</v>
      </c>
      <c r="D4285" s="1" t="s">
        <v>267</v>
      </c>
      <c r="E4285" s="1" t="s">
        <v>33</v>
      </c>
      <c r="F4285" s="1" t="s">
        <v>199</v>
      </c>
      <c r="G4285" s="5">
        <v>857.37</v>
      </c>
    </row>
    <row r="4286" spans="1:7" x14ac:dyDescent="0.2">
      <c r="A4286" s="3">
        <v>15</v>
      </c>
      <c r="B4286" s="2">
        <v>12907.2</v>
      </c>
      <c r="C4286" s="38">
        <v>44929</v>
      </c>
      <c r="D4286" s="1" t="s">
        <v>267</v>
      </c>
      <c r="E4286" s="1" t="s">
        <v>33</v>
      </c>
      <c r="F4286" s="1" t="s">
        <v>199</v>
      </c>
      <c r="G4286" s="5">
        <v>860.48</v>
      </c>
    </row>
    <row r="4287" spans="1:7" x14ac:dyDescent="0.2">
      <c r="A4287" s="3">
        <v>60</v>
      </c>
      <c r="B4287" s="2">
        <v>51442.2</v>
      </c>
      <c r="C4287" s="38">
        <v>45132</v>
      </c>
      <c r="D4287" s="1" t="s">
        <v>267</v>
      </c>
      <c r="E4287" s="1" t="s">
        <v>33</v>
      </c>
      <c r="F4287" s="1" t="s">
        <v>199</v>
      </c>
      <c r="G4287" s="5">
        <v>857.37</v>
      </c>
    </row>
    <row r="4288" spans="1:7" x14ac:dyDescent="0.2">
      <c r="A4288" s="3">
        <v>30</v>
      </c>
      <c r="B4288" s="2">
        <v>25814.400000000001</v>
      </c>
      <c r="C4288" s="38">
        <v>44862</v>
      </c>
      <c r="D4288" s="1" t="s">
        <v>267</v>
      </c>
      <c r="E4288" s="1" t="s">
        <v>33</v>
      </c>
      <c r="F4288" s="1" t="s">
        <v>199</v>
      </c>
      <c r="G4288" s="5">
        <v>860.48</v>
      </c>
    </row>
    <row r="4289" spans="1:7" x14ac:dyDescent="0.2">
      <c r="A4289" s="3">
        <v>15</v>
      </c>
      <c r="B4289" s="2">
        <v>12907.2</v>
      </c>
      <c r="C4289" s="38">
        <v>44862</v>
      </c>
      <c r="D4289" s="1" t="s">
        <v>267</v>
      </c>
      <c r="E4289" s="1" t="s">
        <v>33</v>
      </c>
      <c r="F4289" s="1" t="s">
        <v>199</v>
      </c>
      <c r="G4289" s="5">
        <v>860.48</v>
      </c>
    </row>
    <row r="4290" spans="1:7" x14ac:dyDescent="0.2">
      <c r="A4290" s="3">
        <v>15</v>
      </c>
      <c r="B4290" s="2">
        <v>12907.2</v>
      </c>
      <c r="C4290" s="38">
        <v>44862</v>
      </c>
      <c r="D4290" s="1" t="s">
        <v>267</v>
      </c>
      <c r="E4290" s="1" t="s">
        <v>33</v>
      </c>
      <c r="F4290" s="1" t="s">
        <v>199</v>
      </c>
      <c r="G4290" s="5">
        <v>860.48</v>
      </c>
    </row>
    <row r="4291" spans="1:7" x14ac:dyDescent="0.2">
      <c r="A4291" s="3">
        <v>15</v>
      </c>
      <c r="B4291" s="2">
        <v>12907.2</v>
      </c>
      <c r="C4291" s="38">
        <v>44862</v>
      </c>
      <c r="D4291" s="1" t="s">
        <v>267</v>
      </c>
      <c r="E4291" s="1" t="s">
        <v>33</v>
      </c>
      <c r="F4291" s="1" t="s">
        <v>199</v>
      </c>
      <c r="G4291" s="5">
        <v>860.48</v>
      </c>
    </row>
    <row r="4292" spans="1:7" x14ac:dyDescent="0.2">
      <c r="A4292" s="3">
        <v>30</v>
      </c>
      <c r="B4292" s="2">
        <v>25814.400000000001</v>
      </c>
      <c r="C4292" s="38">
        <v>44862</v>
      </c>
      <c r="D4292" s="1" t="s">
        <v>267</v>
      </c>
      <c r="E4292" s="1" t="s">
        <v>33</v>
      </c>
      <c r="F4292" s="1" t="s">
        <v>199</v>
      </c>
      <c r="G4292" s="5">
        <v>860.48</v>
      </c>
    </row>
    <row r="4293" spans="1:7" x14ac:dyDescent="0.2">
      <c r="A4293" s="3">
        <v>30</v>
      </c>
      <c r="B4293" s="2">
        <v>25814.400000000001</v>
      </c>
      <c r="C4293" s="38">
        <v>44862</v>
      </c>
      <c r="D4293" s="1" t="s">
        <v>267</v>
      </c>
      <c r="E4293" s="1" t="s">
        <v>33</v>
      </c>
      <c r="F4293" s="1" t="s">
        <v>199</v>
      </c>
      <c r="G4293" s="5">
        <v>860.48</v>
      </c>
    </row>
    <row r="4294" spans="1:7" x14ac:dyDescent="0.2">
      <c r="A4294" s="3">
        <v>45</v>
      </c>
      <c r="B4294" s="2">
        <v>38721.599999999999</v>
      </c>
      <c r="C4294" s="38">
        <v>44862</v>
      </c>
      <c r="D4294" s="1" t="s">
        <v>267</v>
      </c>
      <c r="E4294" s="1" t="s">
        <v>33</v>
      </c>
      <c r="F4294" s="1" t="s">
        <v>199</v>
      </c>
      <c r="G4294" s="5">
        <v>860.48</v>
      </c>
    </row>
    <row r="4295" spans="1:7" x14ac:dyDescent="0.2">
      <c r="A4295" s="3">
        <v>15</v>
      </c>
      <c r="B4295" s="2">
        <v>12907.2</v>
      </c>
      <c r="C4295" s="38">
        <v>44862</v>
      </c>
      <c r="D4295" s="1" t="s">
        <v>267</v>
      </c>
      <c r="E4295" s="1" t="s">
        <v>33</v>
      </c>
      <c r="F4295" s="1" t="s">
        <v>199</v>
      </c>
      <c r="G4295" s="5">
        <v>860.48</v>
      </c>
    </row>
    <row r="4296" spans="1:7" x14ac:dyDescent="0.2">
      <c r="A4296" s="3">
        <v>30</v>
      </c>
      <c r="B4296" s="2">
        <v>25814.400000000001</v>
      </c>
      <c r="C4296" s="38">
        <v>44862</v>
      </c>
      <c r="D4296" s="1" t="s">
        <v>267</v>
      </c>
      <c r="E4296" s="1" t="s">
        <v>33</v>
      </c>
      <c r="F4296" s="1" t="s">
        <v>199</v>
      </c>
      <c r="G4296" s="5">
        <v>860.48</v>
      </c>
    </row>
    <row r="4297" spans="1:7" x14ac:dyDescent="0.2">
      <c r="A4297" s="3">
        <v>30</v>
      </c>
      <c r="B4297" s="2">
        <v>25814.400000000001</v>
      </c>
      <c r="C4297" s="38">
        <v>44862</v>
      </c>
      <c r="D4297" s="1" t="s">
        <v>267</v>
      </c>
      <c r="E4297" s="1" t="s">
        <v>33</v>
      </c>
      <c r="F4297" s="1" t="s">
        <v>199</v>
      </c>
      <c r="G4297" s="5">
        <v>860.48</v>
      </c>
    </row>
    <row r="4298" spans="1:7" x14ac:dyDescent="0.2">
      <c r="A4298" s="3">
        <v>30</v>
      </c>
      <c r="B4298" s="2">
        <v>25814.400000000001</v>
      </c>
      <c r="C4298" s="38">
        <v>44777</v>
      </c>
      <c r="D4298" s="1" t="s">
        <v>267</v>
      </c>
      <c r="E4298" s="1" t="s">
        <v>33</v>
      </c>
      <c r="F4298" s="1" t="s">
        <v>199</v>
      </c>
      <c r="G4298" s="5">
        <v>860.48</v>
      </c>
    </row>
    <row r="4299" spans="1:7" x14ac:dyDescent="0.2">
      <c r="A4299" s="3">
        <v>30</v>
      </c>
      <c r="B4299" s="2">
        <v>25814.400000000001</v>
      </c>
      <c r="C4299" s="38">
        <v>44777</v>
      </c>
      <c r="D4299" s="1" t="s">
        <v>267</v>
      </c>
      <c r="E4299" s="1" t="s">
        <v>33</v>
      </c>
      <c r="F4299" s="1" t="s">
        <v>199</v>
      </c>
      <c r="G4299" s="5">
        <v>860.48</v>
      </c>
    </row>
    <row r="4300" spans="1:7" x14ac:dyDescent="0.2">
      <c r="A4300" s="3">
        <v>45</v>
      </c>
      <c r="B4300" s="2">
        <v>38581.65</v>
      </c>
      <c r="C4300" s="38">
        <v>45142</v>
      </c>
      <c r="D4300" s="1" t="s">
        <v>267</v>
      </c>
      <c r="E4300" s="1" t="s">
        <v>33</v>
      </c>
      <c r="F4300" s="1" t="s">
        <v>199</v>
      </c>
      <c r="G4300" s="5">
        <v>857.37</v>
      </c>
    </row>
    <row r="4301" spans="1:7" x14ac:dyDescent="0.2">
      <c r="A4301" s="3">
        <v>45</v>
      </c>
      <c r="B4301" s="2">
        <v>38581.65</v>
      </c>
      <c r="C4301" s="38">
        <v>45142</v>
      </c>
      <c r="D4301" s="1" t="s">
        <v>267</v>
      </c>
      <c r="E4301" s="1" t="s">
        <v>33</v>
      </c>
      <c r="F4301" s="1" t="s">
        <v>199</v>
      </c>
      <c r="G4301" s="5">
        <v>857.37</v>
      </c>
    </row>
    <row r="4302" spans="1:7" x14ac:dyDescent="0.2">
      <c r="A4302" s="3">
        <v>45</v>
      </c>
      <c r="B4302" s="2">
        <v>38581.65</v>
      </c>
      <c r="C4302" s="38">
        <v>45142</v>
      </c>
      <c r="D4302" s="1" t="s">
        <v>267</v>
      </c>
      <c r="E4302" s="1" t="s">
        <v>33</v>
      </c>
      <c r="F4302" s="1" t="s">
        <v>199</v>
      </c>
      <c r="G4302" s="5">
        <v>857.37</v>
      </c>
    </row>
    <row r="4303" spans="1:7" x14ac:dyDescent="0.2">
      <c r="A4303" s="3">
        <v>45</v>
      </c>
      <c r="B4303" s="2">
        <v>38581.65</v>
      </c>
      <c r="C4303" s="38">
        <v>45142</v>
      </c>
      <c r="D4303" s="1" t="s">
        <v>267</v>
      </c>
      <c r="E4303" s="1" t="s">
        <v>33</v>
      </c>
      <c r="F4303" s="1" t="s">
        <v>199</v>
      </c>
      <c r="G4303" s="5">
        <v>857.37</v>
      </c>
    </row>
    <row r="4304" spans="1:7" x14ac:dyDescent="0.2">
      <c r="A4304" s="3">
        <v>45</v>
      </c>
      <c r="B4304" s="2">
        <v>38581.65</v>
      </c>
      <c r="C4304" s="38">
        <v>45142</v>
      </c>
      <c r="D4304" s="1" t="s">
        <v>267</v>
      </c>
      <c r="E4304" s="1" t="s">
        <v>33</v>
      </c>
      <c r="F4304" s="1" t="s">
        <v>199</v>
      </c>
      <c r="G4304" s="5">
        <v>857.37</v>
      </c>
    </row>
    <row r="4305" spans="1:7" x14ac:dyDescent="0.2">
      <c r="A4305" s="3">
        <v>45</v>
      </c>
      <c r="B4305" s="2">
        <v>38581.65</v>
      </c>
      <c r="C4305" s="38">
        <v>45142</v>
      </c>
      <c r="D4305" s="1" t="s">
        <v>267</v>
      </c>
      <c r="E4305" s="1" t="s">
        <v>33</v>
      </c>
      <c r="F4305" s="1" t="s">
        <v>199</v>
      </c>
      <c r="G4305" s="5">
        <v>857.37</v>
      </c>
    </row>
    <row r="4306" spans="1:7" x14ac:dyDescent="0.2">
      <c r="A4306" s="3">
        <v>45</v>
      </c>
      <c r="B4306" s="2">
        <v>38581.65</v>
      </c>
      <c r="C4306" s="38">
        <v>45142</v>
      </c>
      <c r="D4306" s="1" t="s">
        <v>267</v>
      </c>
      <c r="E4306" s="1" t="s">
        <v>33</v>
      </c>
      <c r="F4306" s="1" t="s">
        <v>199</v>
      </c>
      <c r="G4306" s="5">
        <v>857.37</v>
      </c>
    </row>
    <row r="4307" spans="1:7" x14ac:dyDescent="0.2">
      <c r="A4307" s="3">
        <v>45</v>
      </c>
      <c r="B4307" s="2">
        <v>38721.599999999999</v>
      </c>
      <c r="C4307" s="38">
        <v>44894</v>
      </c>
      <c r="D4307" s="1" t="s">
        <v>267</v>
      </c>
      <c r="E4307" s="1" t="s">
        <v>33</v>
      </c>
      <c r="F4307" s="1" t="s">
        <v>199</v>
      </c>
      <c r="G4307" s="5">
        <v>860.48</v>
      </c>
    </row>
    <row r="4308" spans="1:7" x14ac:dyDescent="0.2">
      <c r="A4308" s="3">
        <v>15</v>
      </c>
      <c r="B4308" s="2">
        <v>12860.55</v>
      </c>
      <c r="C4308" s="38">
        <v>45155</v>
      </c>
      <c r="D4308" s="1" t="s">
        <v>267</v>
      </c>
      <c r="E4308" s="1" t="s">
        <v>33</v>
      </c>
      <c r="F4308" s="1" t="s">
        <v>199</v>
      </c>
      <c r="G4308" s="5">
        <v>857.37</v>
      </c>
    </row>
    <row r="4309" spans="1:7" x14ac:dyDescent="0.2">
      <c r="A4309" s="3">
        <v>45</v>
      </c>
      <c r="B4309" s="2">
        <v>38581.65</v>
      </c>
      <c r="C4309" s="38">
        <v>45155</v>
      </c>
      <c r="D4309" s="1" t="s">
        <v>267</v>
      </c>
      <c r="E4309" s="1" t="s">
        <v>33</v>
      </c>
      <c r="F4309" s="1" t="s">
        <v>199</v>
      </c>
      <c r="G4309" s="5">
        <v>857.37</v>
      </c>
    </row>
    <row r="4310" spans="1:7" x14ac:dyDescent="0.2">
      <c r="A4310" s="3">
        <v>45</v>
      </c>
      <c r="B4310" s="2">
        <v>38581.65</v>
      </c>
      <c r="C4310" s="38">
        <v>45155</v>
      </c>
      <c r="D4310" s="1" t="s">
        <v>267</v>
      </c>
      <c r="E4310" s="1" t="s">
        <v>33</v>
      </c>
      <c r="F4310" s="1" t="s">
        <v>199</v>
      </c>
      <c r="G4310" s="5">
        <v>857.37</v>
      </c>
    </row>
    <row r="4311" spans="1:7" x14ac:dyDescent="0.2">
      <c r="A4311" s="3">
        <v>15</v>
      </c>
      <c r="B4311" s="2">
        <v>12907.2</v>
      </c>
      <c r="C4311" s="38">
        <v>44902</v>
      </c>
      <c r="D4311" s="1" t="s">
        <v>267</v>
      </c>
      <c r="E4311" s="1" t="s">
        <v>33</v>
      </c>
      <c r="F4311" s="1" t="s">
        <v>199</v>
      </c>
      <c r="G4311" s="5">
        <v>860.48</v>
      </c>
    </row>
    <row r="4312" spans="1:7" x14ac:dyDescent="0.2">
      <c r="A4312" s="3">
        <v>45</v>
      </c>
      <c r="B4312" s="2">
        <v>38721.599999999999</v>
      </c>
      <c r="C4312" s="38">
        <v>44902</v>
      </c>
      <c r="D4312" s="1" t="s">
        <v>267</v>
      </c>
      <c r="E4312" s="1" t="s">
        <v>33</v>
      </c>
      <c r="F4312" s="1" t="s">
        <v>199</v>
      </c>
      <c r="G4312" s="5">
        <v>860.48</v>
      </c>
    </row>
    <row r="4313" spans="1:7" x14ac:dyDescent="0.2">
      <c r="A4313" s="3">
        <v>15</v>
      </c>
      <c r="B4313" s="2">
        <v>12907.2</v>
      </c>
      <c r="C4313" s="38">
        <v>44902</v>
      </c>
      <c r="D4313" s="1" t="s">
        <v>267</v>
      </c>
      <c r="E4313" s="1" t="s">
        <v>33</v>
      </c>
      <c r="F4313" s="1" t="s">
        <v>199</v>
      </c>
      <c r="G4313" s="5">
        <v>860.48</v>
      </c>
    </row>
    <row r="4314" spans="1:7" x14ac:dyDescent="0.2">
      <c r="A4314" s="3">
        <v>45</v>
      </c>
      <c r="B4314" s="2">
        <v>38721.599999999999</v>
      </c>
      <c r="C4314" s="38">
        <v>44792</v>
      </c>
      <c r="D4314" s="1" t="s">
        <v>267</v>
      </c>
      <c r="E4314" s="1" t="s">
        <v>33</v>
      </c>
      <c r="F4314" s="1" t="s">
        <v>199</v>
      </c>
      <c r="G4314" s="5">
        <v>860.48</v>
      </c>
    </row>
    <row r="4315" spans="1:7" x14ac:dyDescent="0.2">
      <c r="A4315" s="3">
        <v>30</v>
      </c>
      <c r="B4315" s="2">
        <v>25814.400000000001</v>
      </c>
      <c r="C4315" s="38">
        <v>44792</v>
      </c>
      <c r="D4315" s="1" t="s">
        <v>267</v>
      </c>
      <c r="E4315" s="1" t="s">
        <v>33</v>
      </c>
      <c r="F4315" s="1" t="s">
        <v>199</v>
      </c>
      <c r="G4315" s="5">
        <v>860.48</v>
      </c>
    </row>
    <row r="4316" spans="1:7" x14ac:dyDescent="0.2">
      <c r="A4316" s="3">
        <v>30</v>
      </c>
      <c r="B4316" s="2">
        <v>25814.400000000001</v>
      </c>
      <c r="C4316" s="38">
        <v>44854</v>
      </c>
      <c r="D4316" s="1" t="s">
        <v>267</v>
      </c>
      <c r="E4316" s="1" t="s">
        <v>33</v>
      </c>
      <c r="F4316" s="1" t="s">
        <v>199</v>
      </c>
      <c r="G4316" s="5">
        <v>860.48</v>
      </c>
    </row>
    <row r="4317" spans="1:7" x14ac:dyDescent="0.2">
      <c r="A4317" s="3">
        <v>45</v>
      </c>
      <c r="B4317" s="2">
        <v>38721.599999999999</v>
      </c>
      <c r="C4317" s="38">
        <v>44854</v>
      </c>
      <c r="D4317" s="1" t="s">
        <v>267</v>
      </c>
      <c r="E4317" s="1" t="s">
        <v>33</v>
      </c>
      <c r="F4317" s="1" t="s">
        <v>199</v>
      </c>
      <c r="G4317" s="5">
        <v>860.48</v>
      </c>
    </row>
    <row r="4318" spans="1:7" x14ac:dyDescent="0.2">
      <c r="A4318" s="3">
        <v>45</v>
      </c>
      <c r="B4318" s="2">
        <v>38721.599999999999</v>
      </c>
      <c r="C4318" s="38">
        <v>44854</v>
      </c>
      <c r="D4318" s="1" t="s">
        <v>267</v>
      </c>
      <c r="E4318" s="1" t="s">
        <v>33</v>
      </c>
      <c r="F4318" s="1" t="s">
        <v>199</v>
      </c>
      <c r="G4318" s="5">
        <v>860.48</v>
      </c>
    </row>
    <row r="4319" spans="1:7" x14ac:dyDescent="0.2">
      <c r="A4319" s="3">
        <v>45</v>
      </c>
      <c r="B4319" s="2">
        <v>38721.599999999999</v>
      </c>
      <c r="C4319" s="38">
        <v>44854</v>
      </c>
      <c r="D4319" s="1" t="s">
        <v>267</v>
      </c>
      <c r="E4319" s="1" t="s">
        <v>33</v>
      </c>
      <c r="F4319" s="1" t="s">
        <v>199</v>
      </c>
      <c r="G4319" s="5">
        <v>860.48</v>
      </c>
    </row>
    <row r="4320" spans="1:7" x14ac:dyDescent="0.2">
      <c r="A4320" s="3">
        <v>270</v>
      </c>
      <c r="B4320" s="2">
        <v>231489.9</v>
      </c>
      <c r="C4320" s="38">
        <v>45121</v>
      </c>
      <c r="D4320" s="1" t="s">
        <v>267</v>
      </c>
      <c r="E4320" s="1" t="s">
        <v>33</v>
      </c>
      <c r="F4320" s="1" t="s">
        <v>199</v>
      </c>
      <c r="G4320" s="5">
        <v>857.37</v>
      </c>
    </row>
    <row r="4321" spans="1:7" x14ac:dyDescent="0.2">
      <c r="A4321" s="3">
        <v>45</v>
      </c>
      <c r="B4321" s="2">
        <v>38581.65</v>
      </c>
      <c r="C4321" s="38">
        <v>45121</v>
      </c>
      <c r="D4321" s="1" t="s">
        <v>267</v>
      </c>
      <c r="E4321" s="1" t="s">
        <v>33</v>
      </c>
      <c r="F4321" s="1" t="s">
        <v>199</v>
      </c>
      <c r="G4321" s="5">
        <v>857.37</v>
      </c>
    </row>
    <row r="4322" spans="1:7" x14ac:dyDescent="0.2">
      <c r="A4322" s="3">
        <v>60</v>
      </c>
      <c r="B4322" s="2">
        <v>51442.2</v>
      </c>
      <c r="C4322" s="38">
        <v>45121</v>
      </c>
      <c r="D4322" s="1" t="s">
        <v>267</v>
      </c>
      <c r="E4322" s="1" t="s">
        <v>33</v>
      </c>
      <c r="F4322" s="1" t="s">
        <v>199</v>
      </c>
      <c r="G4322" s="5">
        <v>857.37</v>
      </c>
    </row>
    <row r="4323" spans="1:7" x14ac:dyDescent="0.2">
      <c r="A4323" s="3">
        <v>60</v>
      </c>
      <c r="B4323" s="2">
        <v>51442.2</v>
      </c>
      <c r="C4323" s="38">
        <v>45121</v>
      </c>
      <c r="D4323" s="1" t="s">
        <v>267</v>
      </c>
      <c r="E4323" s="1" t="s">
        <v>33</v>
      </c>
      <c r="F4323" s="1" t="s">
        <v>199</v>
      </c>
      <c r="G4323" s="5">
        <v>857.37</v>
      </c>
    </row>
    <row r="4324" spans="1:7" x14ac:dyDescent="0.2">
      <c r="A4324" s="3">
        <v>30</v>
      </c>
      <c r="B4324" s="2">
        <v>25721.1</v>
      </c>
      <c r="C4324" s="38">
        <v>45121</v>
      </c>
      <c r="D4324" s="1" t="s">
        <v>267</v>
      </c>
      <c r="E4324" s="1" t="s">
        <v>33</v>
      </c>
      <c r="F4324" s="1" t="s">
        <v>199</v>
      </c>
      <c r="G4324" s="5">
        <v>857.37</v>
      </c>
    </row>
    <row r="4325" spans="1:7" x14ac:dyDescent="0.2">
      <c r="A4325" s="3">
        <v>60</v>
      </c>
      <c r="B4325" s="2">
        <v>51442.2</v>
      </c>
      <c r="C4325" s="38">
        <v>45121</v>
      </c>
      <c r="D4325" s="1" t="s">
        <v>267</v>
      </c>
      <c r="E4325" s="1" t="s">
        <v>33</v>
      </c>
      <c r="F4325" s="1" t="s">
        <v>199</v>
      </c>
      <c r="G4325" s="5">
        <v>857.37</v>
      </c>
    </row>
    <row r="4326" spans="1:7" x14ac:dyDescent="0.2">
      <c r="A4326" s="3">
        <v>45</v>
      </c>
      <c r="B4326" s="2">
        <v>38721.599999999999</v>
      </c>
      <c r="C4326" s="38">
        <v>44761</v>
      </c>
      <c r="D4326" s="1" t="s">
        <v>267</v>
      </c>
      <c r="E4326" s="1" t="s">
        <v>33</v>
      </c>
      <c r="F4326" s="1" t="s">
        <v>199</v>
      </c>
      <c r="G4326" s="5">
        <v>860.48</v>
      </c>
    </row>
    <row r="4327" spans="1:7" x14ac:dyDescent="0.2">
      <c r="A4327" s="3">
        <v>30</v>
      </c>
      <c r="B4327" s="2">
        <v>25814.400000000001</v>
      </c>
      <c r="C4327" s="38">
        <v>44761</v>
      </c>
      <c r="D4327" s="1" t="s">
        <v>267</v>
      </c>
      <c r="E4327" s="1" t="s">
        <v>33</v>
      </c>
      <c r="F4327" s="1" t="s">
        <v>199</v>
      </c>
      <c r="G4327" s="5">
        <v>860.48</v>
      </c>
    </row>
    <row r="4328" spans="1:7" x14ac:dyDescent="0.2">
      <c r="A4328" s="3">
        <v>45</v>
      </c>
      <c r="B4328" s="2">
        <v>38721.599999999999</v>
      </c>
      <c r="C4328" s="38">
        <v>44854</v>
      </c>
      <c r="D4328" s="1" t="s">
        <v>267</v>
      </c>
      <c r="E4328" s="1" t="s">
        <v>33</v>
      </c>
      <c r="F4328" s="1" t="s">
        <v>199</v>
      </c>
      <c r="G4328" s="5">
        <v>860.48</v>
      </c>
    </row>
    <row r="4329" spans="1:7" x14ac:dyDescent="0.2">
      <c r="A4329" s="3">
        <v>15</v>
      </c>
      <c r="B4329" s="2">
        <v>12907.2</v>
      </c>
      <c r="C4329" s="38">
        <v>44854</v>
      </c>
      <c r="D4329" s="1" t="s">
        <v>267</v>
      </c>
      <c r="E4329" s="1" t="s">
        <v>33</v>
      </c>
      <c r="F4329" s="1" t="s">
        <v>199</v>
      </c>
      <c r="G4329" s="5">
        <v>860.48</v>
      </c>
    </row>
    <row r="4330" spans="1:7" x14ac:dyDescent="0.2">
      <c r="A4330" s="3">
        <v>45</v>
      </c>
      <c r="B4330" s="2">
        <v>38721.599999999999</v>
      </c>
      <c r="C4330" s="38">
        <v>44762</v>
      </c>
      <c r="D4330" s="1" t="s">
        <v>267</v>
      </c>
      <c r="E4330" s="1" t="s">
        <v>33</v>
      </c>
      <c r="F4330" s="1" t="s">
        <v>199</v>
      </c>
      <c r="G4330" s="5">
        <v>860.48</v>
      </c>
    </row>
    <row r="4331" spans="1:7" x14ac:dyDescent="0.2">
      <c r="A4331" s="3">
        <v>30</v>
      </c>
      <c r="B4331" s="2">
        <v>25814.400000000001</v>
      </c>
      <c r="C4331" s="38">
        <v>44764</v>
      </c>
      <c r="D4331" s="1" t="s">
        <v>267</v>
      </c>
      <c r="E4331" s="1" t="s">
        <v>33</v>
      </c>
      <c r="F4331" s="1" t="s">
        <v>199</v>
      </c>
      <c r="G4331" s="5">
        <v>860.48</v>
      </c>
    </row>
    <row r="4332" spans="1:7" x14ac:dyDescent="0.2">
      <c r="A4332" s="3">
        <v>15</v>
      </c>
      <c r="B4332" s="2">
        <v>12907.2</v>
      </c>
      <c r="C4332" s="38">
        <v>44854</v>
      </c>
      <c r="D4332" s="1" t="s">
        <v>267</v>
      </c>
      <c r="E4332" s="1" t="s">
        <v>33</v>
      </c>
      <c r="F4332" s="1" t="s">
        <v>199</v>
      </c>
      <c r="G4332" s="5">
        <v>860.48</v>
      </c>
    </row>
    <row r="4333" spans="1:7" x14ac:dyDescent="0.2">
      <c r="A4333" s="3">
        <v>30</v>
      </c>
      <c r="B4333" s="2">
        <v>25814.400000000001</v>
      </c>
      <c r="C4333" s="38">
        <v>44854</v>
      </c>
      <c r="D4333" s="1" t="s">
        <v>267</v>
      </c>
      <c r="E4333" s="1" t="s">
        <v>33</v>
      </c>
      <c r="F4333" s="1" t="s">
        <v>199</v>
      </c>
      <c r="G4333" s="5">
        <v>860.48</v>
      </c>
    </row>
    <row r="4334" spans="1:7" x14ac:dyDescent="0.2">
      <c r="A4334" s="3">
        <v>45</v>
      </c>
      <c r="B4334" s="2">
        <v>38721.599999999999</v>
      </c>
      <c r="C4334" s="38">
        <v>44854</v>
      </c>
      <c r="D4334" s="1" t="s">
        <v>267</v>
      </c>
      <c r="E4334" s="1" t="s">
        <v>33</v>
      </c>
      <c r="F4334" s="1" t="s">
        <v>199</v>
      </c>
      <c r="G4334" s="5">
        <v>860.48</v>
      </c>
    </row>
    <row r="4335" spans="1:7" x14ac:dyDescent="0.2">
      <c r="A4335" s="3">
        <v>45</v>
      </c>
      <c r="B4335" s="2">
        <v>38581.65</v>
      </c>
      <c r="C4335" s="38">
        <v>45169</v>
      </c>
      <c r="D4335" s="1" t="s">
        <v>267</v>
      </c>
      <c r="E4335" s="1" t="s">
        <v>33</v>
      </c>
      <c r="F4335" s="1" t="s">
        <v>199</v>
      </c>
      <c r="G4335" s="5">
        <v>857.37</v>
      </c>
    </row>
    <row r="4336" spans="1:7" x14ac:dyDescent="0.2">
      <c r="A4336" s="3">
        <v>30</v>
      </c>
      <c r="B4336" s="2">
        <v>25814.400000000001</v>
      </c>
      <c r="C4336" s="38">
        <v>44862</v>
      </c>
      <c r="D4336" s="1" t="s">
        <v>267</v>
      </c>
      <c r="E4336" s="1" t="s">
        <v>33</v>
      </c>
      <c r="F4336" s="1" t="s">
        <v>199</v>
      </c>
      <c r="G4336" s="5">
        <v>860.48</v>
      </c>
    </row>
    <row r="4337" spans="1:7" x14ac:dyDescent="0.2">
      <c r="A4337" s="3">
        <v>15</v>
      </c>
      <c r="B4337" s="2">
        <v>12907.2</v>
      </c>
      <c r="C4337" s="38">
        <v>44862</v>
      </c>
      <c r="D4337" s="1" t="s">
        <v>267</v>
      </c>
      <c r="E4337" s="1" t="s">
        <v>33</v>
      </c>
      <c r="F4337" s="1" t="s">
        <v>199</v>
      </c>
      <c r="G4337" s="5">
        <v>860.48</v>
      </c>
    </row>
    <row r="4338" spans="1:7" x14ac:dyDescent="0.2">
      <c r="A4338" s="3">
        <v>30</v>
      </c>
      <c r="B4338" s="2">
        <v>25814.400000000001</v>
      </c>
      <c r="C4338" s="38">
        <v>44862</v>
      </c>
      <c r="D4338" s="1" t="s">
        <v>267</v>
      </c>
      <c r="E4338" s="1" t="s">
        <v>33</v>
      </c>
      <c r="F4338" s="1" t="s">
        <v>199</v>
      </c>
      <c r="G4338" s="5">
        <v>860.48</v>
      </c>
    </row>
    <row r="4339" spans="1:7" x14ac:dyDescent="0.2">
      <c r="A4339" s="3">
        <v>30</v>
      </c>
      <c r="B4339" s="2">
        <v>25814.400000000001</v>
      </c>
      <c r="C4339" s="38">
        <v>44862</v>
      </c>
      <c r="D4339" s="1" t="s">
        <v>267</v>
      </c>
      <c r="E4339" s="1" t="s">
        <v>33</v>
      </c>
      <c r="F4339" s="1" t="s">
        <v>199</v>
      </c>
      <c r="G4339" s="5">
        <v>860.48</v>
      </c>
    </row>
    <row r="4340" spans="1:7" x14ac:dyDescent="0.2">
      <c r="A4340" s="3">
        <v>540</v>
      </c>
      <c r="B4340" s="2">
        <v>58271.4</v>
      </c>
      <c r="C4340" s="38">
        <v>45077</v>
      </c>
      <c r="D4340" s="1" t="s">
        <v>237</v>
      </c>
      <c r="E4340" s="1" t="s">
        <v>33</v>
      </c>
      <c r="F4340" s="1" t="s">
        <v>199</v>
      </c>
      <c r="G4340" s="5">
        <v>107.91</v>
      </c>
    </row>
    <row r="4341" spans="1:7" x14ac:dyDescent="0.2">
      <c r="A4341" s="3">
        <v>90</v>
      </c>
      <c r="B4341" s="2">
        <v>39505.5</v>
      </c>
      <c r="C4341" s="38">
        <v>45077</v>
      </c>
      <c r="D4341" s="1" t="s">
        <v>248</v>
      </c>
      <c r="E4341" s="1" t="s">
        <v>33</v>
      </c>
      <c r="F4341" s="1" t="s">
        <v>199</v>
      </c>
      <c r="G4341" s="5">
        <v>438.95</v>
      </c>
    </row>
    <row r="4342" spans="1:7" x14ac:dyDescent="0.2">
      <c r="A4342" s="3">
        <v>90</v>
      </c>
      <c r="B4342" s="2">
        <v>39505.5</v>
      </c>
      <c r="C4342" s="38">
        <v>45077</v>
      </c>
      <c r="D4342" s="1" t="s">
        <v>248</v>
      </c>
      <c r="E4342" s="1" t="s">
        <v>33</v>
      </c>
      <c r="F4342" s="1" t="s">
        <v>199</v>
      </c>
      <c r="G4342" s="5">
        <v>438.95</v>
      </c>
    </row>
    <row r="4343" spans="1:7" x14ac:dyDescent="0.2">
      <c r="A4343" s="3">
        <v>90</v>
      </c>
      <c r="B4343" s="2">
        <v>39505.5</v>
      </c>
      <c r="C4343" s="38">
        <v>45077</v>
      </c>
      <c r="D4343" s="1" t="s">
        <v>248</v>
      </c>
      <c r="E4343" s="1" t="s">
        <v>33</v>
      </c>
      <c r="F4343" s="1" t="s">
        <v>199</v>
      </c>
      <c r="G4343" s="5">
        <v>438.95</v>
      </c>
    </row>
    <row r="4344" spans="1:7" x14ac:dyDescent="0.2">
      <c r="A4344" s="3">
        <v>30</v>
      </c>
      <c r="B4344" s="2">
        <v>13168.5</v>
      </c>
      <c r="C4344" s="38">
        <v>45077</v>
      </c>
      <c r="D4344" s="1" t="s">
        <v>248</v>
      </c>
      <c r="E4344" s="1" t="s">
        <v>33</v>
      </c>
      <c r="F4344" s="1" t="s">
        <v>199</v>
      </c>
      <c r="G4344" s="5">
        <v>438.95</v>
      </c>
    </row>
    <row r="4345" spans="1:7" x14ac:dyDescent="0.2">
      <c r="A4345" s="3">
        <v>30</v>
      </c>
      <c r="B4345" s="2">
        <v>13168.5</v>
      </c>
      <c r="C4345" s="38">
        <v>45077</v>
      </c>
      <c r="D4345" s="1" t="s">
        <v>248</v>
      </c>
      <c r="E4345" s="1" t="s">
        <v>33</v>
      </c>
      <c r="F4345" s="1" t="s">
        <v>199</v>
      </c>
      <c r="G4345" s="5">
        <v>438.95</v>
      </c>
    </row>
    <row r="4346" spans="1:7" x14ac:dyDescent="0.2">
      <c r="A4346" s="3">
        <v>324</v>
      </c>
      <c r="B4346" s="2">
        <v>37004.04</v>
      </c>
      <c r="C4346" s="38">
        <v>44940</v>
      </c>
      <c r="D4346" s="1" t="s">
        <v>237</v>
      </c>
      <c r="E4346" s="1" t="s">
        <v>33</v>
      </c>
      <c r="F4346" s="1" t="s">
        <v>199</v>
      </c>
      <c r="G4346" s="5">
        <v>114.21</v>
      </c>
    </row>
    <row r="4347" spans="1:7" x14ac:dyDescent="0.2">
      <c r="A4347" s="3">
        <v>1500</v>
      </c>
      <c r="B4347" s="2">
        <v>1029.5999999999999</v>
      </c>
      <c r="C4347" s="38">
        <v>44985</v>
      </c>
      <c r="D4347" s="1" t="s">
        <v>263</v>
      </c>
      <c r="E4347" s="1" t="s">
        <v>33</v>
      </c>
      <c r="F4347" s="1" t="s">
        <v>199</v>
      </c>
      <c r="G4347" s="5">
        <v>0.68640000000000001</v>
      </c>
    </row>
    <row r="4348" spans="1:7" x14ac:dyDescent="0.2">
      <c r="A4348" s="3">
        <v>90</v>
      </c>
      <c r="B4348" s="2">
        <v>68340.600000000006</v>
      </c>
      <c r="C4348" s="38">
        <v>44985</v>
      </c>
      <c r="D4348" s="1" t="s">
        <v>265</v>
      </c>
      <c r="E4348" s="1" t="s">
        <v>33</v>
      </c>
      <c r="F4348" s="1" t="s">
        <v>199</v>
      </c>
      <c r="G4348" s="5">
        <v>759.34</v>
      </c>
    </row>
    <row r="4349" spans="1:7" x14ac:dyDescent="0.2">
      <c r="A4349" s="3">
        <v>216</v>
      </c>
      <c r="B4349" s="2">
        <v>23308.560000000001</v>
      </c>
      <c r="C4349" s="38">
        <v>44992</v>
      </c>
      <c r="D4349" s="1" t="s">
        <v>237</v>
      </c>
      <c r="E4349" s="1" t="s">
        <v>33</v>
      </c>
      <c r="F4349" s="1" t="s">
        <v>199</v>
      </c>
      <c r="G4349" s="5">
        <v>107.91</v>
      </c>
    </row>
    <row r="4350" spans="1:7" x14ac:dyDescent="0.2">
      <c r="A4350" s="3">
        <v>90</v>
      </c>
      <c r="B4350" s="2">
        <v>41816.699999999997</v>
      </c>
      <c r="C4350" s="38">
        <v>44992</v>
      </c>
      <c r="D4350" s="1" t="s">
        <v>248</v>
      </c>
      <c r="E4350" s="1" t="s">
        <v>33</v>
      </c>
      <c r="F4350" s="1" t="s">
        <v>199</v>
      </c>
      <c r="G4350" s="5">
        <v>464.63</v>
      </c>
    </row>
    <row r="4351" spans="1:7" x14ac:dyDescent="0.2">
      <c r="A4351" s="3">
        <v>30</v>
      </c>
      <c r="B4351" s="2">
        <v>13168.5</v>
      </c>
      <c r="C4351" s="38">
        <v>44992</v>
      </c>
      <c r="D4351" s="1" t="s">
        <v>248</v>
      </c>
      <c r="E4351" s="1" t="s">
        <v>33</v>
      </c>
      <c r="F4351" s="1" t="s">
        <v>199</v>
      </c>
      <c r="G4351" s="5">
        <v>438.95</v>
      </c>
    </row>
    <row r="4352" spans="1:7" x14ac:dyDescent="0.2">
      <c r="A4352" s="3">
        <v>30</v>
      </c>
      <c r="B4352" s="2">
        <v>13168.5</v>
      </c>
      <c r="C4352" s="38">
        <v>45082</v>
      </c>
      <c r="D4352" s="1" t="s">
        <v>248</v>
      </c>
      <c r="E4352" s="1" t="s">
        <v>33</v>
      </c>
      <c r="F4352" s="1" t="s">
        <v>199</v>
      </c>
      <c r="G4352" s="5">
        <v>438.95</v>
      </c>
    </row>
    <row r="4353" spans="1:7" x14ac:dyDescent="0.2">
      <c r="A4353" s="3">
        <v>216</v>
      </c>
      <c r="B4353" s="2">
        <v>23308.560000000001</v>
      </c>
      <c r="C4353" s="38">
        <v>45000</v>
      </c>
      <c r="D4353" s="1" t="s">
        <v>237</v>
      </c>
      <c r="E4353" s="1" t="s">
        <v>33</v>
      </c>
      <c r="F4353" s="1" t="s">
        <v>199</v>
      </c>
      <c r="G4353" s="5">
        <v>107.91</v>
      </c>
    </row>
    <row r="4354" spans="1:7" x14ac:dyDescent="0.2">
      <c r="A4354" s="3">
        <v>432</v>
      </c>
      <c r="B4354" s="2">
        <v>46617.120000000003</v>
      </c>
      <c r="C4354" s="38">
        <v>45000</v>
      </c>
      <c r="D4354" s="1" t="s">
        <v>237</v>
      </c>
      <c r="E4354" s="1" t="s">
        <v>33</v>
      </c>
      <c r="F4354" s="1" t="s">
        <v>199</v>
      </c>
      <c r="G4354" s="5">
        <v>107.91</v>
      </c>
    </row>
    <row r="4355" spans="1:7" x14ac:dyDescent="0.2">
      <c r="A4355" s="3">
        <v>324</v>
      </c>
      <c r="B4355" s="2">
        <v>34962.839999999997</v>
      </c>
      <c r="C4355" s="38">
        <v>45000</v>
      </c>
      <c r="D4355" s="1" t="s">
        <v>237</v>
      </c>
      <c r="E4355" s="1" t="s">
        <v>33</v>
      </c>
      <c r="F4355" s="1" t="s">
        <v>199</v>
      </c>
      <c r="G4355" s="5">
        <v>107.91</v>
      </c>
    </row>
    <row r="4356" spans="1:7" x14ac:dyDescent="0.2">
      <c r="A4356" s="3">
        <v>420</v>
      </c>
      <c r="B4356" s="2">
        <v>6610.8</v>
      </c>
      <c r="C4356" s="38">
        <v>45000</v>
      </c>
      <c r="D4356" s="1" t="s">
        <v>322</v>
      </c>
      <c r="E4356" s="1" t="s">
        <v>33</v>
      </c>
      <c r="F4356" s="1" t="s">
        <v>199</v>
      </c>
      <c r="G4356" s="5">
        <v>15.74</v>
      </c>
    </row>
    <row r="4357" spans="1:7" x14ac:dyDescent="0.2">
      <c r="A4357" s="3">
        <v>420</v>
      </c>
      <c r="B4357" s="2">
        <v>6610.8</v>
      </c>
      <c r="C4357" s="38">
        <v>45000</v>
      </c>
      <c r="D4357" s="1" t="s">
        <v>322</v>
      </c>
      <c r="E4357" s="1" t="s">
        <v>33</v>
      </c>
      <c r="F4357" s="1" t="s">
        <v>199</v>
      </c>
      <c r="G4357" s="5">
        <v>15.74</v>
      </c>
    </row>
    <row r="4358" spans="1:7" x14ac:dyDescent="0.2">
      <c r="A4358" s="3">
        <v>588</v>
      </c>
      <c r="B4358" s="2">
        <v>58982.28</v>
      </c>
      <c r="C4358" s="38">
        <v>45000</v>
      </c>
      <c r="D4358" s="1" t="s">
        <v>251</v>
      </c>
      <c r="E4358" s="1" t="s">
        <v>33</v>
      </c>
      <c r="F4358" s="1" t="s">
        <v>199</v>
      </c>
      <c r="G4358" s="5">
        <v>100.31</v>
      </c>
    </row>
    <row r="4359" spans="1:7" x14ac:dyDescent="0.2">
      <c r="A4359" s="3">
        <v>1500</v>
      </c>
      <c r="B4359" s="2">
        <v>1029.5999999999999</v>
      </c>
      <c r="C4359" s="38">
        <v>45000</v>
      </c>
      <c r="D4359" s="1" t="s">
        <v>263</v>
      </c>
      <c r="E4359" s="1" t="s">
        <v>33</v>
      </c>
      <c r="F4359" s="1" t="s">
        <v>199</v>
      </c>
      <c r="G4359" s="5">
        <v>0.68640000000000001</v>
      </c>
    </row>
    <row r="4360" spans="1:7" x14ac:dyDescent="0.2">
      <c r="A4360" s="3">
        <v>588</v>
      </c>
      <c r="B4360" s="2">
        <v>62210.400000000001</v>
      </c>
      <c r="C4360" s="38">
        <v>45049</v>
      </c>
      <c r="D4360" s="1" t="s">
        <v>251</v>
      </c>
      <c r="E4360" s="1" t="s">
        <v>33</v>
      </c>
      <c r="F4360" s="1" t="s">
        <v>199</v>
      </c>
      <c r="G4360" s="5">
        <v>105.8</v>
      </c>
    </row>
    <row r="4361" spans="1:7" x14ac:dyDescent="0.2">
      <c r="A4361" s="3">
        <v>588</v>
      </c>
      <c r="B4361" s="2">
        <v>62210.400000000001</v>
      </c>
      <c r="C4361" s="38">
        <v>45049</v>
      </c>
      <c r="D4361" s="1" t="s">
        <v>251</v>
      </c>
      <c r="E4361" s="1" t="s">
        <v>33</v>
      </c>
      <c r="F4361" s="1" t="s">
        <v>199</v>
      </c>
      <c r="G4361" s="5">
        <v>105.8</v>
      </c>
    </row>
    <row r="4362" spans="1:7" x14ac:dyDescent="0.2">
      <c r="A4362" s="3">
        <v>588</v>
      </c>
      <c r="B4362" s="2">
        <v>62210.400000000001</v>
      </c>
      <c r="C4362" s="38">
        <v>45049</v>
      </c>
      <c r="D4362" s="1" t="s">
        <v>251</v>
      </c>
      <c r="E4362" s="1" t="s">
        <v>33</v>
      </c>
      <c r="F4362" s="1" t="s">
        <v>199</v>
      </c>
      <c r="G4362" s="5">
        <v>105.8</v>
      </c>
    </row>
    <row r="4363" spans="1:7" x14ac:dyDescent="0.2">
      <c r="A4363" s="3">
        <v>588</v>
      </c>
      <c r="B4363" s="2">
        <v>62210.400000000001</v>
      </c>
      <c r="C4363" s="38">
        <v>45049</v>
      </c>
      <c r="D4363" s="1" t="s">
        <v>251</v>
      </c>
      <c r="E4363" s="1" t="s">
        <v>33</v>
      </c>
      <c r="F4363" s="1" t="s">
        <v>199</v>
      </c>
      <c r="G4363" s="5">
        <v>105.8</v>
      </c>
    </row>
    <row r="4364" spans="1:7" x14ac:dyDescent="0.2">
      <c r="A4364" s="3">
        <v>588</v>
      </c>
      <c r="B4364" s="2">
        <v>62210.400000000001</v>
      </c>
      <c r="C4364" s="38">
        <v>45049</v>
      </c>
      <c r="D4364" s="1" t="s">
        <v>251</v>
      </c>
      <c r="E4364" s="1" t="s">
        <v>33</v>
      </c>
      <c r="F4364" s="1" t="s">
        <v>199</v>
      </c>
      <c r="G4364" s="5">
        <v>105.8</v>
      </c>
    </row>
    <row r="4365" spans="1:7" x14ac:dyDescent="0.2">
      <c r="A4365" s="3">
        <v>588</v>
      </c>
      <c r="B4365" s="2">
        <v>62210.400000000001</v>
      </c>
      <c r="C4365" s="38">
        <v>45049</v>
      </c>
      <c r="D4365" s="1" t="s">
        <v>251</v>
      </c>
      <c r="E4365" s="1" t="s">
        <v>33</v>
      </c>
      <c r="F4365" s="1" t="s">
        <v>199</v>
      </c>
      <c r="G4365" s="5">
        <v>105.8</v>
      </c>
    </row>
    <row r="4366" spans="1:7" x14ac:dyDescent="0.2">
      <c r="A4366" s="3">
        <v>588</v>
      </c>
      <c r="B4366" s="2">
        <v>62210.400000000001</v>
      </c>
      <c r="C4366" s="38">
        <v>45049</v>
      </c>
      <c r="D4366" s="1" t="s">
        <v>251</v>
      </c>
      <c r="E4366" s="1" t="s">
        <v>33</v>
      </c>
      <c r="F4366" s="1" t="s">
        <v>199</v>
      </c>
      <c r="G4366" s="5">
        <v>105.8</v>
      </c>
    </row>
    <row r="4367" spans="1:7" x14ac:dyDescent="0.2">
      <c r="A4367" s="3">
        <v>588</v>
      </c>
      <c r="B4367" s="2">
        <v>62210.400000000001</v>
      </c>
      <c r="C4367" s="38">
        <v>45049</v>
      </c>
      <c r="D4367" s="1" t="s">
        <v>251</v>
      </c>
      <c r="E4367" s="1" t="s">
        <v>33</v>
      </c>
      <c r="F4367" s="1" t="s">
        <v>199</v>
      </c>
      <c r="G4367" s="5">
        <v>105.8</v>
      </c>
    </row>
    <row r="4368" spans="1:7" x14ac:dyDescent="0.2">
      <c r="A4368" s="3">
        <v>588</v>
      </c>
      <c r="B4368" s="2">
        <v>62210.400000000001</v>
      </c>
      <c r="C4368" s="38">
        <v>45049</v>
      </c>
      <c r="D4368" s="1" t="s">
        <v>251</v>
      </c>
      <c r="E4368" s="1" t="s">
        <v>33</v>
      </c>
      <c r="F4368" s="1" t="s">
        <v>199</v>
      </c>
      <c r="G4368" s="5">
        <v>105.8</v>
      </c>
    </row>
    <row r="4369" spans="1:7" x14ac:dyDescent="0.2">
      <c r="A4369" s="3">
        <v>420</v>
      </c>
      <c r="B4369" s="2">
        <v>318922.8</v>
      </c>
      <c r="C4369" s="38">
        <v>45049</v>
      </c>
      <c r="D4369" s="1" t="s">
        <v>265</v>
      </c>
      <c r="E4369" s="1" t="s">
        <v>33</v>
      </c>
      <c r="F4369" s="1" t="s">
        <v>199</v>
      </c>
      <c r="G4369" s="5">
        <v>759.34</v>
      </c>
    </row>
    <row r="4370" spans="1:7" x14ac:dyDescent="0.2">
      <c r="A4370" s="3">
        <v>432</v>
      </c>
      <c r="B4370" s="2">
        <v>49338.720000000001</v>
      </c>
      <c r="C4370" s="38">
        <v>44950</v>
      </c>
      <c r="D4370" s="1" t="s">
        <v>237</v>
      </c>
      <c r="E4370" s="1" t="s">
        <v>33</v>
      </c>
      <c r="F4370" s="1" t="s">
        <v>199</v>
      </c>
      <c r="G4370" s="5">
        <v>114.21</v>
      </c>
    </row>
    <row r="4371" spans="1:7" x14ac:dyDescent="0.2">
      <c r="A4371" s="3">
        <v>216</v>
      </c>
      <c r="B4371" s="2">
        <v>24669.360000000001</v>
      </c>
      <c r="C4371" s="38">
        <v>44950</v>
      </c>
      <c r="D4371" s="1" t="s">
        <v>237</v>
      </c>
      <c r="E4371" s="1" t="s">
        <v>33</v>
      </c>
      <c r="F4371" s="1" t="s">
        <v>199</v>
      </c>
      <c r="G4371" s="5">
        <v>114.21</v>
      </c>
    </row>
    <row r="4372" spans="1:7" x14ac:dyDescent="0.2">
      <c r="A4372" s="3">
        <v>64</v>
      </c>
      <c r="B4372" s="2">
        <v>55756.160000000003</v>
      </c>
      <c r="C4372" s="38">
        <v>45049</v>
      </c>
      <c r="D4372" s="1" t="s">
        <v>323</v>
      </c>
      <c r="E4372" s="1" t="s">
        <v>33</v>
      </c>
      <c r="F4372" s="1" t="s">
        <v>199</v>
      </c>
      <c r="G4372" s="5">
        <v>871.19</v>
      </c>
    </row>
    <row r="4373" spans="1:7" x14ac:dyDescent="0.2">
      <c r="A4373" s="3">
        <v>64</v>
      </c>
      <c r="B4373" s="2">
        <v>55756.160000000003</v>
      </c>
      <c r="C4373" s="38">
        <v>45049</v>
      </c>
      <c r="D4373" s="1" t="s">
        <v>323</v>
      </c>
      <c r="E4373" s="1" t="s">
        <v>33</v>
      </c>
      <c r="F4373" s="1" t="s">
        <v>199</v>
      </c>
      <c r="G4373" s="5">
        <v>871.19</v>
      </c>
    </row>
    <row r="4374" spans="1:7" x14ac:dyDescent="0.2">
      <c r="A4374" s="3">
        <v>30</v>
      </c>
      <c r="B4374" s="2">
        <v>13938.9</v>
      </c>
      <c r="C4374" s="38">
        <v>44950</v>
      </c>
      <c r="D4374" s="1" t="s">
        <v>248</v>
      </c>
      <c r="E4374" s="1" t="s">
        <v>33</v>
      </c>
      <c r="F4374" s="1" t="s">
        <v>199</v>
      </c>
      <c r="G4374" s="5">
        <v>464.63</v>
      </c>
    </row>
    <row r="4375" spans="1:7" x14ac:dyDescent="0.2">
      <c r="A4375" s="3">
        <v>90</v>
      </c>
      <c r="B4375" s="2">
        <v>41816.699999999997</v>
      </c>
      <c r="C4375" s="38">
        <v>44950</v>
      </c>
      <c r="D4375" s="1" t="s">
        <v>248</v>
      </c>
      <c r="E4375" s="1" t="s">
        <v>33</v>
      </c>
      <c r="F4375" s="1" t="s">
        <v>199</v>
      </c>
      <c r="G4375" s="5">
        <v>464.63</v>
      </c>
    </row>
    <row r="4376" spans="1:7" x14ac:dyDescent="0.2">
      <c r="A4376" s="3">
        <v>420</v>
      </c>
      <c r="B4376" s="2">
        <v>6610.8</v>
      </c>
      <c r="C4376" s="38">
        <v>44950</v>
      </c>
      <c r="D4376" s="1" t="s">
        <v>322</v>
      </c>
      <c r="E4376" s="1" t="s">
        <v>33</v>
      </c>
      <c r="F4376" s="1" t="s">
        <v>199</v>
      </c>
      <c r="G4376" s="5">
        <v>15.74</v>
      </c>
    </row>
    <row r="4377" spans="1:7" x14ac:dyDescent="0.2">
      <c r="A4377" s="3">
        <v>60</v>
      </c>
      <c r="B4377" s="2">
        <v>48226.2</v>
      </c>
      <c r="C4377" s="38">
        <v>44950</v>
      </c>
      <c r="D4377" s="1" t="s">
        <v>265</v>
      </c>
      <c r="E4377" s="1" t="s">
        <v>33</v>
      </c>
      <c r="F4377" s="1" t="s">
        <v>199</v>
      </c>
      <c r="G4377" s="5">
        <v>803.77</v>
      </c>
    </row>
    <row r="4378" spans="1:7" x14ac:dyDescent="0.2">
      <c r="A4378" s="3">
        <v>150</v>
      </c>
      <c r="B4378" s="2">
        <v>120565.5</v>
      </c>
      <c r="C4378" s="38">
        <v>44950</v>
      </c>
      <c r="D4378" s="1" t="s">
        <v>265</v>
      </c>
      <c r="E4378" s="1" t="s">
        <v>33</v>
      </c>
      <c r="F4378" s="1" t="s">
        <v>199</v>
      </c>
      <c r="G4378" s="5">
        <v>803.77</v>
      </c>
    </row>
    <row r="4379" spans="1:7" x14ac:dyDescent="0.2">
      <c r="A4379" s="3">
        <v>300</v>
      </c>
      <c r="B4379" s="2">
        <v>241131</v>
      </c>
      <c r="C4379" s="38">
        <v>44950</v>
      </c>
      <c r="D4379" s="1" t="s">
        <v>265</v>
      </c>
      <c r="E4379" s="1" t="s">
        <v>33</v>
      </c>
      <c r="F4379" s="1" t="s">
        <v>199</v>
      </c>
      <c r="G4379" s="5">
        <v>803.77</v>
      </c>
    </row>
    <row r="4380" spans="1:7" x14ac:dyDescent="0.2">
      <c r="A4380" s="3">
        <v>64</v>
      </c>
      <c r="B4380" s="2">
        <v>55756.160000000003</v>
      </c>
      <c r="C4380" s="38">
        <v>45049</v>
      </c>
      <c r="D4380" s="1" t="s">
        <v>323</v>
      </c>
      <c r="E4380" s="1" t="s">
        <v>33</v>
      </c>
      <c r="F4380" s="1" t="s">
        <v>199</v>
      </c>
      <c r="G4380" s="5">
        <v>871.19</v>
      </c>
    </row>
    <row r="4381" spans="1:7" x14ac:dyDescent="0.2">
      <c r="A4381" s="3">
        <v>64</v>
      </c>
      <c r="B4381" s="2">
        <v>55756.160000000003</v>
      </c>
      <c r="C4381" s="38">
        <v>45049</v>
      </c>
      <c r="D4381" s="1" t="s">
        <v>323</v>
      </c>
      <c r="E4381" s="1" t="s">
        <v>33</v>
      </c>
      <c r="F4381" s="1" t="s">
        <v>199</v>
      </c>
      <c r="G4381" s="5">
        <v>871.19</v>
      </c>
    </row>
    <row r="4382" spans="1:7" x14ac:dyDescent="0.2">
      <c r="A4382" s="3">
        <v>121</v>
      </c>
      <c r="B4382" s="2">
        <v>11925.76</v>
      </c>
      <c r="C4382" s="38">
        <v>45049</v>
      </c>
      <c r="D4382" s="1" t="s">
        <v>266</v>
      </c>
      <c r="E4382" s="1" t="s">
        <v>33</v>
      </c>
      <c r="F4382" s="1" t="s">
        <v>199</v>
      </c>
      <c r="G4382" s="5">
        <v>98.56</v>
      </c>
    </row>
    <row r="4383" spans="1:7" x14ac:dyDescent="0.2">
      <c r="A4383" s="3">
        <v>156</v>
      </c>
      <c r="B4383" s="2">
        <v>15375.36</v>
      </c>
      <c r="C4383" s="38">
        <v>45049</v>
      </c>
      <c r="D4383" s="1" t="s">
        <v>266</v>
      </c>
      <c r="E4383" s="1" t="s">
        <v>33</v>
      </c>
      <c r="F4383" s="1" t="s">
        <v>199</v>
      </c>
      <c r="G4383" s="5">
        <v>98.56</v>
      </c>
    </row>
    <row r="4384" spans="1:7" x14ac:dyDescent="0.2">
      <c r="A4384" s="3">
        <v>156</v>
      </c>
      <c r="B4384" s="2">
        <v>15375.36</v>
      </c>
      <c r="C4384" s="38">
        <v>45049</v>
      </c>
      <c r="D4384" s="1" t="s">
        <v>266</v>
      </c>
      <c r="E4384" s="1" t="s">
        <v>33</v>
      </c>
      <c r="F4384" s="1" t="s">
        <v>199</v>
      </c>
      <c r="G4384" s="5">
        <v>98.56</v>
      </c>
    </row>
    <row r="4385" spans="1:7" x14ac:dyDescent="0.2">
      <c r="A4385" s="3">
        <v>30</v>
      </c>
      <c r="B4385" s="2">
        <v>13938.9</v>
      </c>
      <c r="C4385" s="38">
        <v>44952</v>
      </c>
      <c r="D4385" s="1" t="s">
        <v>248</v>
      </c>
      <c r="E4385" s="1" t="s">
        <v>33</v>
      </c>
      <c r="F4385" s="1" t="s">
        <v>199</v>
      </c>
      <c r="G4385" s="5">
        <v>464.63</v>
      </c>
    </row>
    <row r="4386" spans="1:7" x14ac:dyDescent="0.2">
      <c r="A4386" s="3">
        <v>1192</v>
      </c>
      <c r="B4386" s="2">
        <v>112822.8</v>
      </c>
      <c r="C4386" s="38">
        <v>44952</v>
      </c>
      <c r="D4386" s="1" t="s">
        <v>253</v>
      </c>
      <c r="E4386" s="1" t="s">
        <v>33</v>
      </c>
      <c r="F4386" s="1" t="s">
        <v>199</v>
      </c>
      <c r="G4386" s="5">
        <v>94.65</v>
      </c>
    </row>
    <row r="4387" spans="1:7" x14ac:dyDescent="0.2">
      <c r="A4387" s="3">
        <v>2000</v>
      </c>
      <c r="B4387" s="2">
        <v>3880</v>
      </c>
      <c r="C4387" s="38">
        <v>45030</v>
      </c>
      <c r="D4387" s="1" t="s">
        <v>238</v>
      </c>
      <c r="E4387" s="1" t="s">
        <v>33</v>
      </c>
      <c r="F4387" s="1" t="s">
        <v>199</v>
      </c>
      <c r="G4387" s="5">
        <v>1.94</v>
      </c>
    </row>
    <row r="4388" spans="1:7" x14ac:dyDescent="0.2">
      <c r="A4388" s="3">
        <v>420</v>
      </c>
      <c r="B4388" s="2">
        <v>6610.8</v>
      </c>
      <c r="C4388" s="38">
        <v>45030</v>
      </c>
      <c r="D4388" s="1" t="s">
        <v>322</v>
      </c>
      <c r="E4388" s="1" t="s">
        <v>33</v>
      </c>
      <c r="F4388" s="1" t="s">
        <v>199</v>
      </c>
      <c r="G4388" s="5">
        <v>15.74</v>
      </c>
    </row>
    <row r="4389" spans="1:7" x14ac:dyDescent="0.2">
      <c r="A4389" s="3">
        <v>420</v>
      </c>
      <c r="B4389" s="2">
        <v>6610.8</v>
      </c>
      <c r="C4389" s="38">
        <v>45030</v>
      </c>
      <c r="D4389" s="1" t="s">
        <v>322</v>
      </c>
      <c r="E4389" s="1" t="s">
        <v>33</v>
      </c>
      <c r="F4389" s="1" t="s">
        <v>199</v>
      </c>
      <c r="G4389" s="5">
        <v>15.74</v>
      </c>
    </row>
    <row r="4390" spans="1:7" x14ac:dyDescent="0.2">
      <c r="A4390" s="3">
        <v>1820</v>
      </c>
      <c r="B4390" s="2">
        <v>4313.3999999999996</v>
      </c>
      <c r="C4390" s="38">
        <v>45030</v>
      </c>
      <c r="D4390" s="1" t="s">
        <v>250</v>
      </c>
      <c r="E4390" s="1" t="s">
        <v>33</v>
      </c>
      <c r="F4390" s="1" t="s">
        <v>199</v>
      </c>
      <c r="G4390" s="5">
        <v>2.37</v>
      </c>
    </row>
    <row r="4391" spans="1:7" x14ac:dyDescent="0.2">
      <c r="A4391" s="3">
        <v>4500</v>
      </c>
      <c r="B4391" s="2">
        <v>5895</v>
      </c>
      <c r="C4391" s="38">
        <v>45030</v>
      </c>
      <c r="D4391" s="1" t="s">
        <v>262</v>
      </c>
      <c r="E4391" s="1" t="s">
        <v>33</v>
      </c>
      <c r="F4391" s="1" t="s">
        <v>199</v>
      </c>
      <c r="G4391" s="5">
        <v>1.31</v>
      </c>
    </row>
    <row r="4392" spans="1:7" x14ac:dyDescent="0.2">
      <c r="A4392" s="3">
        <v>1500</v>
      </c>
      <c r="B4392" s="2">
        <v>1029.5999999999999</v>
      </c>
      <c r="C4392" s="38">
        <v>45086</v>
      </c>
      <c r="D4392" s="1" t="s">
        <v>263</v>
      </c>
      <c r="E4392" s="1" t="s">
        <v>33</v>
      </c>
      <c r="F4392" s="1" t="s">
        <v>199</v>
      </c>
      <c r="G4392" s="5">
        <v>0.68640000000000001</v>
      </c>
    </row>
    <row r="4393" spans="1:7" x14ac:dyDescent="0.2">
      <c r="A4393" s="3">
        <v>432</v>
      </c>
      <c r="B4393" s="2">
        <v>46617.120000000003</v>
      </c>
      <c r="C4393" s="38">
        <v>45097</v>
      </c>
      <c r="D4393" s="1" t="s">
        <v>237</v>
      </c>
      <c r="E4393" s="1" t="s">
        <v>33</v>
      </c>
      <c r="F4393" s="1" t="s">
        <v>199</v>
      </c>
      <c r="G4393" s="5">
        <v>107.91</v>
      </c>
    </row>
    <row r="4394" spans="1:7" x14ac:dyDescent="0.2">
      <c r="A4394" s="3">
        <v>30</v>
      </c>
      <c r="B4394" s="2">
        <v>13168.5</v>
      </c>
      <c r="C4394" s="38">
        <v>45097</v>
      </c>
      <c r="D4394" s="1" t="s">
        <v>248</v>
      </c>
      <c r="E4394" s="1" t="s">
        <v>33</v>
      </c>
      <c r="F4394" s="1" t="s">
        <v>199</v>
      </c>
      <c r="G4394" s="5">
        <v>438.95</v>
      </c>
    </row>
    <row r="4395" spans="1:7" x14ac:dyDescent="0.2">
      <c r="A4395" s="3">
        <v>64</v>
      </c>
      <c r="B4395" s="2">
        <v>55756.160000000003</v>
      </c>
      <c r="C4395" s="38">
        <v>45030</v>
      </c>
      <c r="D4395" s="1" t="s">
        <v>323</v>
      </c>
      <c r="E4395" s="1" t="s">
        <v>33</v>
      </c>
      <c r="F4395" s="1" t="s">
        <v>199</v>
      </c>
      <c r="G4395" s="5">
        <v>871.19</v>
      </c>
    </row>
    <row r="4396" spans="1:7" x14ac:dyDescent="0.2">
      <c r="A4396" s="3">
        <v>64</v>
      </c>
      <c r="B4396" s="2">
        <v>55756.160000000003</v>
      </c>
      <c r="C4396" s="38">
        <v>45030</v>
      </c>
      <c r="D4396" s="1" t="s">
        <v>323</v>
      </c>
      <c r="E4396" s="1" t="s">
        <v>33</v>
      </c>
      <c r="F4396" s="1" t="s">
        <v>199</v>
      </c>
      <c r="G4396" s="5">
        <v>871.19</v>
      </c>
    </row>
    <row r="4397" spans="1:7" x14ac:dyDescent="0.2">
      <c r="A4397" s="3">
        <v>432</v>
      </c>
      <c r="B4397" s="2">
        <v>46617.120000000003</v>
      </c>
      <c r="C4397" s="38">
        <v>45098</v>
      </c>
      <c r="D4397" s="1" t="s">
        <v>237</v>
      </c>
      <c r="E4397" s="1" t="s">
        <v>33</v>
      </c>
      <c r="F4397" s="1" t="s">
        <v>199</v>
      </c>
      <c r="G4397" s="5">
        <v>107.91</v>
      </c>
    </row>
    <row r="4398" spans="1:7" x14ac:dyDescent="0.2">
      <c r="A4398" s="3">
        <v>324</v>
      </c>
      <c r="B4398" s="2">
        <v>34962.839999999997</v>
      </c>
      <c r="C4398" s="38">
        <v>45098</v>
      </c>
      <c r="D4398" s="1" t="s">
        <v>237</v>
      </c>
      <c r="E4398" s="1" t="s">
        <v>33</v>
      </c>
      <c r="F4398" s="1" t="s">
        <v>199</v>
      </c>
      <c r="G4398" s="5">
        <v>107.91</v>
      </c>
    </row>
    <row r="4399" spans="1:7" x14ac:dyDescent="0.2">
      <c r="A4399" s="3">
        <v>300</v>
      </c>
      <c r="B4399" s="2">
        <v>227802</v>
      </c>
      <c r="C4399" s="38">
        <v>45098</v>
      </c>
      <c r="D4399" s="1" t="s">
        <v>265</v>
      </c>
      <c r="E4399" s="1" t="s">
        <v>33</v>
      </c>
      <c r="F4399" s="1" t="s">
        <v>199</v>
      </c>
      <c r="G4399" s="5">
        <v>759.34</v>
      </c>
    </row>
    <row r="4400" spans="1:7" x14ac:dyDescent="0.2">
      <c r="A4400" s="3">
        <v>240</v>
      </c>
      <c r="B4400" s="2">
        <v>108170.4</v>
      </c>
      <c r="C4400" s="38">
        <v>45037</v>
      </c>
      <c r="D4400" s="1" t="s">
        <v>240</v>
      </c>
      <c r="E4400" s="1" t="s">
        <v>33</v>
      </c>
      <c r="F4400" s="1" t="s">
        <v>199</v>
      </c>
      <c r="G4400" s="5">
        <v>450.71</v>
      </c>
    </row>
    <row r="4401" spans="1:7" x14ac:dyDescent="0.2">
      <c r="A4401" s="3">
        <v>240</v>
      </c>
      <c r="B4401" s="2">
        <v>102048</v>
      </c>
      <c r="C4401" s="38">
        <v>45037</v>
      </c>
      <c r="D4401" s="1" t="s">
        <v>240</v>
      </c>
      <c r="E4401" s="1" t="s">
        <v>33</v>
      </c>
      <c r="F4401" s="1" t="s">
        <v>199</v>
      </c>
      <c r="G4401" s="5">
        <v>425.2</v>
      </c>
    </row>
    <row r="4402" spans="1:7" x14ac:dyDescent="0.2">
      <c r="A4402" s="3">
        <v>330</v>
      </c>
      <c r="B4402" s="2">
        <v>250582.2</v>
      </c>
      <c r="C4402" s="38">
        <v>45037</v>
      </c>
      <c r="D4402" s="1" t="s">
        <v>265</v>
      </c>
      <c r="E4402" s="1" t="s">
        <v>33</v>
      </c>
      <c r="F4402" s="1" t="s">
        <v>199</v>
      </c>
      <c r="G4402" s="5">
        <v>759.34</v>
      </c>
    </row>
    <row r="4403" spans="1:7" x14ac:dyDescent="0.2">
      <c r="A4403" s="3">
        <v>420</v>
      </c>
      <c r="B4403" s="2">
        <v>318922.8</v>
      </c>
      <c r="C4403" s="38">
        <v>45037</v>
      </c>
      <c r="D4403" s="1" t="s">
        <v>265</v>
      </c>
      <c r="E4403" s="1" t="s">
        <v>33</v>
      </c>
      <c r="F4403" s="1" t="s">
        <v>199</v>
      </c>
      <c r="G4403" s="5">
        <v>759.34</v>
      </c>
    </row>
    <row r="4404" spans="1:7" x14ac:dyDescent="0.2">
      <c r="A4404" s="3">
        <v>1008</v>
      </c>
      <c r="B4404" s="2">
        <v>80398.080000000002</v>
      </c>
      <c r="C4404" s="38">
        <v>44967</v>
      </c>
      <c r="D4404" s="1" t="s">
        <v>243</v>
      </c>
      <c r="E4404" s="1" t="s">
        <v>33</v>
      </c>
      <c r="F4404" s="1" t="s">
        <v>199</v>
      </c>
      <c r="G4404" s="5">
        <v>79.760000000000005</v>
      </c>
    </row>
    <row r="4405" spans="1:7" x14ac:dyDescent="0.2">
      <c r="A4405" s="3">
        <v>1000</v>
      </c>
      <c r="B4405" s="2">
        <v>1830</v>
      </c>
      <c r="C4405" s="38">
        <v>44970</v>
      </c>
      <c r="D4405" s="1" t="s">
        <v>238</v>
      </c>
      <c r="E4405" s="1" t="s">
        <v>33</v>
      </c>
      <c r="F4405" s="1" t="s">
        <v>199</v>
      </c>
      <c r="G4405" s="5">
        <v>1.83</v>
      </c>
    </row>
    <row r="4406" spans="1:7" x14ac:dyDescent="0.2">
      <c r="A4406" s="3">
        <v>3000</v>
      </c>
      <c r="B4406" s="2">
        <v>1943.7</v>
      </c>
      <c r="C4406" s="38">
        <v>44970</v>
      </c>
      <c r="D4406" s="1" t="s">
        <v>263</v>
      </c>
      <c r="E4406" s="1" t="s">
        <v>33</v>
      </c>
      <c r="F4406" s="1" t="s">
        <v>199</v>
      </c>
      <c r="G4406" s="5">
        <v>0.64790000000000003</v>
      </c>
    </row>
    <row r="4407" spans="1:7" x14ac:dyDescent="0.2">
      <c r="A4407" s="3">
        <v>3024</v>
      </c>
      <c r="B4407" s="2">
        <v>133449.12</v>
      </c>
      <c r="C4407" s="38">
        <v>45041</v>
      </c>
      <c r="D4407" s="1" t="s">
        <v>242</v>
      </c>
      <c r="E4407" s="1" t="s">
        <v>33</v>
      </c>
      <c r="F4407" s="1" t="s">
        <v>199</v>
      </c>
      <c r="G4407" s="5">
        <v>44.13</v>
      </c>
    </row>
    <row r="4408" spans="1:7" x14ac:dyDescent="0.2">
      <c r="A4408" s="3">
        <v>252</v>
      </c>
      <c r="B4408" s="2">
        <v>21606.48</v>
      </c>
      <c r="C4408" s="38">
        <v>45041</v>
      </c>
      <c r="D4408" s="1" t="s">
        <v>243</v>
      </c>
      <c r="E4408" s="1" t="s">
        <v>33</v>
      </c>
      <c r="F4408" s="1" t="s">
        <v>199</v>
      </c>
      <c r="G4408" s="5">
        <v>85.74</v>
      </c>
    </row>
    <row r="4409" spans="1:7" x14ac:dyDescent="0.2">
      <c r="A4409" s="3">
        <v>252</v>
      </c>
      <c r="B4409" s="2">
        <v>21606.48</v>
      </c>
      <c r="C4409" s="38">
        <v>45041</v>
      </c>
      <c r="D4409" s="1" t="s">
        <v>243</v>
      </c>
      <c r="E4409" s="1" t="s">
        <v>33</v>
      </c>
      <c r="F4409" s="1" t="s">
        <v>199</v>
      </c>
      <c r="G4409" s="5">
        <v>85.74</v>
      </c>
    </row>
    <row r="4410" spans="1:7" x14ac:dyDescent="0.2">
      <c r="A4410" s="3">
        <v>252</v>
      </c>
      <c r="B4410" s="2">
        <v>21606.48</v>
      </c>
      <c r="C4410" s="38">
        <v>45041</v>
      </c>
      <c r="D4410" s="1" t="s">
        <v>243</v>
      </c>
      <c r="E4410" s="1" t="s">
        <v>33</v>
      </c>
      <c r="F4410" s="1" t="s">
        <v>199</v>
      </c>
      <c r="G4410" s="5">
        <v>85.74</v>
      </c>
    </row>
    <row r="4411" spans="1:7" x14ac:dyDescent="0.2">
      <c r="A4411" s="3">
        <v>252</v>
      </c>
      <c r="B4411" s="2">
        <v>28687.68</v>
      </c>
      <c r="C4411" s="38">
        <v>45041</v>
      </c>
      <c r="D4411" s="1" t="s">
        <v>319</v>
      </c>
      <c r="E4411" s="1" t="s">
        <v>33</v>
      </c>
      <c r="F4411" s="1" t="s">
        <v>199</v>
      </c>
      <c r="G4411" s="5">
        <v>113.84</v>
      </c>
    </row>
    <row r="4412" spans="1:7" x14ac:dyDescent="0.2">
      <c r="A4412" s="3">
        <v>588</v>
      </c>
      <c r="B4412" s="2">
        <v>79585.8</v>
      </c>
      <c r="C4412" s="38">
        <v>45041</v>
      </c>
      <c r="D4412" s="1" t="s">
        <v>299</v>
      </c>
      <c r="E4412" s="1" t="s">
        <v>33</v>
      </c>
      <c r="F4412" s="1" t="s">
        <v>199</v>
      </c>
      <c r="G4412" s="5">
        <v>135.35</v>
      </c>
    </row>
    <row r="4413" spans="1:7" x14ac:dyDescent="0.2">
      <c r="A4413" s="3">
        <v>220</v>
      </c>
      <c r="B4413" s="2">
        <v>32089.200000000001</v>
      </c>
      <c r="C4413" s="38">
        <v>45061</v>
      </c>
      <c r="D4413" s="1" t="s">
        <v>318</v>
      </c>
      <c r="E4413" s="1" t="s">
        <v>33</v>
      </c>
      <c r="F4413" s="1" t="s">
        <v>199</v>
      </c>
      <c r="G4413" s="5">
        <v>145.86000000000001</v>
      </c>
    </row>
    <row r="4414" spans="1:7" x14ac:dyDescent="0.2">
      <c r="A4414" s="3">
        <v>30</v>
      </c>
      <c r="B4414" s="2">
        <v>13168.5</v>
      </c>
      <c r="C4414" s="38">
        <v>45061</v>
      </c>
      <c r="D4414" s="1" t="s">
        <v>248</v>
      </c>
      <c r="E4414" s="1" t="s">
        <v>33</v>
      </c>
      <c r="F4414" s="1" t="s">
        <v>199</v>
      </c>
      <c r="G4414" s="5">
        <v>438.95</v>
      </c>
    </row>
    <row r="4415" spans="1:7" x14ac:dyDescent="0.2">
      <c r="A4415" s="3">
        <v>60</v>
      </c>
      <c r="B4415" s="2">
        <v>26337</v>
      </c>
      <c r="C4415" s="38">
        <v>45061</v>
      </c>
      <c r="D4415" s="1" t="s">
        <v>248</v>
      </c>
      <c r="E4415" s="1" t="s">
        <v>33</v>
      </c>
      <c r="F4415" s="1" t="s">
        <v>199</v>
      </c>
      <c r="G4415" s="5">
        <v>438.95</v>
      </c>
    </row>
    <row r="4416" spans="1:7" x14ac:dyDescent="0.2">
      <c r="A4416" s="3">
        <v>1008</v>
      </c>
      <c r="B4416" s="2">
        <v>69602.399999999994</v>
      </c>
      <c r="C4416" s="38">
        <v>45061</v>
      </c>
      <c r="D4416" s="1" t="s">
        <v>298</v>
      </c>
      <c r="E4416" s="1" t="s">
        <v>33</v>
      </c>
      <c r="F4416" s="1" t="s">
        <v>199</v>
      </c>
      <c r="G4416" s="5">
        <v>69.05</v>
      </c>
    </row>
    <row r="4417" spans="1:7" x14ac:dyDescent="0.2">
      <c r="A4417" s="3">
        <v>840</v>
      </c>
      <c r="B4417" s="2">
        <v>13221.6</v>
      </c>
      <c r="C4417" s="38">
        <v>45061</v>
      </c>
      <c r="D4417" s="1" t="s">
        <v>322</v>
      </c>
      <c r="E4417" s="1" t="s">
        <v>33</v>
      </c>
      <c r="F4417" s="1" t="s">
        <v>199</v>
      </c>
      <c r="G4417" s="5">
        <v>15.74</v>
      </c>
    </row>
    <row r="4418" spans="1:7" x14ac:dyDescent="0.2">
      <c r="A4418" s="3">
        <v>1820</v>
      </c>
      <c r="B4418" s="2">
        <v>4313.3999999999996</v>
      </c>
      <c r="C4418" s="38">
        <v>45061</v>
      </c>
      <c r="D4418" s="1" t="s">
        <v>250</v>
      </c>
      <c r="E4418" s="1" t="s">
        <v>33</v>
      </c>
      <c r="F4418" s="1" t="s">
        <v>199</v>
      </c>
      <c r="G4418" s="5">
        <v>2.37</v>
      </c>
    </row>
    <row r="4419" spans="1:7" x14ac:dyDescent="0.2">
      <c r="A4419" s="3">
        <v>1820</v>
      </c>
      <c r="B4419" s="2">
        <v>4313.3999999999996</v>
      </c>
      <c r="C4419" s="38">
        <v>45061</v>
      </c>
      <c r="D4419" s="1" t="s">
        <v>250</v>
      </c>
      <c r="E4419" s="1" t="s">
        <v>33</v>
      </c>
      <c r="F4419" s="1" t="s">
        <v>199</v>
      </c>
      <c r="G4419" s="5">
        <v>2.37</v>
      </c>
    </row>
    <row r="4420" spans="1:7" x14ac:dyDescent="0.2">
      <c r="A4420" s="3">
        <v>1820</v>
      </c>
      <c r="B4420" s="2">
        <v>4568.2</v>
      </c>
      <c r="C4420" s="38">
        <v>45061</v>
      </c>
      <c r="D4420" s="1" t="s">
        <v>250</v>
      </c>
      <c r="E4420" s="1" t="s">
        <v>33</v>
      </c>
      <c r="F4420" s="1" t="s">
        <v>199</v>
      </c>
      <c r="G4420" s="5">
        <v>2.5099999999999998</v>
      </c>
    </row>
    <row r="4421" spans="1:7" x14ac:dyDescent="0.2">
      <c r="A4421" s="3">
        <v>4500</v>
      </c>
      <c r="B4421" s="2">
        <v>3088.8</v>
      </c>
      <c r="C4421" s="38">
        <v>45061</v>
      </c>
      <c r="D4421" s="1" t="s">
        <v>263</v>
      </c>
      <c r="E4421" s="1" t="s">
        <v>33</v>
      </c>
      <c r="F4421" s="1" t="s">
        <v>199</v>
      </c>
      <c r="G4421" s="5">
        <v>0.68640000000000001</v>
      </c>
    </row>
    <row r="4422" spans="1:7" x14ac:dyDescent="0.2">
      <c r="A4422" s="3">
        <v>3000</v>
      </c>
      <c r="B4422" s="2">
        <v>2059.1999999999998</v>
      </c>
      <c r="C4422" s="38">
        <v>45061</v>
      </c>
      <c r="D4422" s="1" t="s">
        <v>263</v>
      </c>
      <c r="E4422" s="1" t="s">
        <v>33</v>
      </c>
      <c r="F4422" s="1" t="s">
        <v>199</v>
      </c>
      <c r="G4422" s="5">
        <v>0.68640000000000001</v>
      </c>
    </row>
    <row r="4423" spans="1:7" x14ac:dyDescent="0.2">
      <c r="A4423" s="3">
        <v>64</v>
      </c>
      <c r="B4423" s="2">
        <v>55756.160000000003</v>
      </c>
      <c r="C4423" s="38">
        <v>45061</v>
      </c>
      <c r="D4423" s="1" t="s">
        <v>323</v>
      </c>
      <c r="E4423" s="1" t="s">
        <v>33</v>
      </c>
      <c r="F4423" s="1" t="s">
        <v>199</v>
      </c>
      <c r="G4423" s="5">
        <v>871.19</v>
      </c>
    </row>
    <row r="4424" spans="1:7" x14ac:dyDescent="0.2">
      <c r="A4424" s="3">
        <v>432</v>
      </c>
      <c r="B4424" s="2">
        <v>46617.120000000003</v>
      </c>
      <c r="C4424" s="38">
        <v>44978</v>
      </c>
      <c r="D4424" s="1" t="s">
        <v>237</v>
      </c>
      <c r="E4424" s="1" t="s">
        <v>33</v>
      </c>
      <c r="F4424" s="1" t="s">
        <v>199</v>
      </c>
      <c r="G4424" s="5">
        <v>107.91</v>
      </c>
    </row>
    <row r="4425" spans="1:7" x14ac:dyDescent="0.2">
      <c r="A4425" s="3">
        <v>432</v>
      </c>
      <c r="B4425" s="2">
        <v>46617.120000000003</v>
      </c>
      <c r="C4425" s="38">
        <v>44978</v>
      </c>
      <c r="D4425" s="1" t="s">
        <v>237</v>
      </c>
      <c r="E4425" s="1" t="s">
        <v>33</v>
      </c>
      <c r="F4425" s="1" t="s">
        <v>199</v>
      </c>
      <c r="G4425" s="5">
        <v>107.91</v>
      </c>
    </row>
    <row r="4426" spans="1:7" x14ac:dyDescent="0.2">
      <c r="A4426" s="3">
        <v>108</v>
      </c>
      <c r="B4426" s="2">
        <v>11654.28</v>
      </c>
      <c r="C4426" s="38">
        <v>44978</v>
      </c>
      <c r="D4426" s="1" t="s">
        <v>237</v>
      </c>
      <c r="E4426" s="1" t="s">
        <v>33</v>
      </c>
      <c r="F4426" s="1" t="s">
        <v>199</v>
      </c>
      <c r="G4426" s="5">
        <v>107.91</v>
      </c>
    </row>
    <row r="4427" spans="1:7" x14ac:dyDescent="0.2">
      <c r="A4427" s="3">
        <v>90</v>
      </c>
      <c r="B4427" s="2">
        <v>41816.699999999997</v>
      </c>
      <c r="C4427" s="38">
        <v>44978</v>
      </c>
      <c r="D4427" s="1" t="s">
        <v>248</v>
      </c>
      <c r="E4427" s="1" t="s">
        <v>33</v>
      </c>
      <c r="F4427" s="1" t="s">
        <v>199</v>
      </c>
      <c r="G4427" s="5">
        <v>464.63</v>
      </c>
    </row>
    <row r="4428" spans="1:7" x14ac:dyDescent="0.2">
      <c r="A4428" s="3">
        <v>90</v>
      </c>
      <c r="B4428" s="2">
        <v>41816.699999999997</v>
      </c>
      <c r="C4428" s="38">
        <v>44978</v>
      </c>
      <c r="D4428" s="1" t="s">
        <v>248</v>
      </c>
      <c r="E4428" s="1" t="s">
        <v>33</v>
      </c>
      <c r="F4428" s="1" t="s">
        <v>199</v>
      </c>
      <c r="G4428" s="5">
        <v>464.63</v>
      </c>
    </row>
    <row r="4429" spans="1:7" x14ac:dyDescent="0.2">
      <c r="A4429" s="3">
        <v>90</v>
      </c>
      <c r="B4429" s="2">
        <v>41816.699999999997</v>
      </c>
      <c r="C4429" s="38">
        <v>44978</v>
      </c>
      <c r="D4429" s="1" t="s">
        <v>248</v>
      </c>
      <c r="E4429" s="1" t="s">
        <v>33</v>
      </c>
      <c r="F4429" s="1" t="s">
        <v>199</v>
      </c>
      <c r="G4429" s="5">
        <v>464.63</v>
      </c>
    </row>
    <row r="4430" spans="1:7" x14ac:dyDescent="0.2">
      <c r="A4430" s="3">
        <v>60</v>
      </c>
      <c r="B4430" s="2">
        <v>27877.8</v>
      </c>
      <c r="C4430" s="38">
        <v>44978</v>
      </c>
      <c r="D4430" s="1" t="s">
        <v>248</v>
      </c>
      <c r="E4430" s="1" t="s">
        <v>33</v>
      </c>
      <c r="F4430" s="1" t="s">
        <v>199</v>
      </c>
      <c r="G4430" s="5">
        <v>464.63</v>
      </c>
    </row>
    <row r="4431" spans="1:7" x14ac:dyDescent="0.2">
      <c r="A4431" s="3">
        <v>1500</v>
      </c>
      <c r="B4431" s="2">
        <v>971.85</v>
      </c>
      <c r="C4431" s="38">
        <v>44978</v>
      </c>
      <c r="D4431" s="1" t="s">
        <v>263</v>
      </c>
      <c r="E4431" s="1" t="s">
        <v>33</v>
      </c>
      <c r="F4431" s="1" t="s">
        <v>199</v>
      </c>
      <c r="G4431" s="5">
        <v>0.64790000000000003</v>
      </c>
    </row>
    <row r="4432" spans="1:7" x14ac:dyDescent="0.2">
      <c r="A4432" s="3">
        <v>1500</v>
      </c>
      <c r="B4432" s="2">
        <v>1029.5999999999999</v>
      </c>
      <c r="C4432" s="38">
        <v>45041</v>
      </c>
      <c r="D4432" s="1" t="s">
        <v>263</v>
      </c>
      <c r="E4432" s="1" t="s">
        <v>33</v>
      </c>
      <c r="F4432" s="1" t="s">
        <v>199</v>
      </c>
      <c r="G4432" s="5">
        <v>0.68640000000000001</v>
      </c>
    </row>
    <row r="4433" spans="1:7" x14ac:dyDescent="0.2">
      <c r="A4433" s="3">
        <v>420</v>
      </c>
      <c r="B4433" s="2">
        <v>318922.8</v>
      </c>
      <c r="C4433" s="38">
        <v>45041</v>
      </c>
      <c r="D4433" s="1" t="s">
        <v>265</v>
      </c>
      <c r="E4433" s="1" t="s">
        <v>33</v>
      </c>
      <c r="F4433" s="1" t="s">
        <v>199</v>
      </c>
      <c r="G4433" s="5">
        <v>759.34</v>
      </c>
    </row>
    <row r="4434" spans="1:7" x14ac:dyDescent="0.2">
      <c r="A4434" s="3">
        <v>420</v>
      </c>
      <c r="B4434" s="2">
        <v>318922.8</v>
      </c>
      <c r="C4434" s="38">
        <v>45041</v>
      </c>
      <c r="D4434" s="1" t="s">
        <v>265</v>
      </c>
      <c r="E4434" s="1" t="s">
        <v>33</v>
      </c>
      <c r="F4434" s="1" t="s">
        <v>199</v>
      </c>
      <c r="G4434" s="5">
        <v>759.34</v>
      </c>
    </row>
    <row r="4435" spans="1:7" x14ac:dyDescent="0.2">
      <c r="A4435" s="3">
        <v>156</v>
      </c>
      <c r="B4435" s="2">
        <v>15375.36</v>
      </c>
      <c r="C4435" s="38">
        <v>45041</v>
      </c>
      <c r="D4435" s="1" t="s">
        <v>266</v>
      </c>
      <c r="E4435" s="1" t="s">
        <v>33</v>
      </c>
      <c r="F4435" s="1" t="s">
        <v>199</v>
      </c>
      <c r="G4435" s="5">
        <v>98.56</v>
      </c>
    </row>
    <row r="4436" spans="1:7" x14ac:dyDescent="0.2">
      <c r="A4436" s="3">
        <v>324</v>
      </c>
      <c r="B4436" s="2">
        <v>34962.839999999997</v>
      </c>
      <c r="C4436" s="38">
        <v>44981</v>
      </c>
      <c r="D4436" s="1" t="s">
        <v>237</v>
      </c>
      <c r="E4436" s="1" t="s">
        <v>33</v>
      </c>
      <c r="F4436" s="1" t="s">
        <v>199</v>
      </c>
      <c r="G4436" s="5">
        <v>107.91</v>
      </c>
    </row>
    <row r="4437" spans="1:7" x14ac:dyDescent="0.2">
      <c r="A4437" s="3">
        <v>432</v>
      </c>
      <c r="B4437" s="2">
        <v>46617.120000000003</v>
      </c>
      <c r="C4437" s="38">
        <v>44981</v>
      </c>
      <c r="D4437" s="1" t="s">
        <v>237</v>
      </c>
      <c r="E4437" s="1" t="s">
        <v>33</v>
      </c>
      <c r="F4437" s="1" t="s">
        <v>199</v>
      </c>
      <c r="G4437" s="5">
        <v>107.91</v>
      </c>
    </row>
    <row r="4438" spans="1:7" x14ac:dyDescent="0.2">
      <c r="A4438" s="3">
        <v>1000</v>
      </c>
      <c r="B4438" s="2">
        <v>1830</v>
      </c>
      <c r="C4438" s="38">
        <v>44981</v>
      </c>
      <c r="D4438" s="1" t="s">
        <v>238</v>
      </c>
      <c r="E4438" s="1" t="s">
        <v>33</v>
      </c>
      <c r="F4438" s="1" t="s">
        <v>199</v>
      </c>
      <c r="G4438" s="5">
        <v>1.83</v>
      </c>
    </row>
    <row r="4439" spans="1:7" x14ac:dyDescent="0.2">
      <c r="A4439" s="3">
        <v>252</v>
      </c>
      <c r="B4439" s="2">
        <v>20099.52</v>
      </c>
      <c r="C4439" s="38">
        <v>44981</v>
      </c>
      <c r="D4439" s="1" t="s">
        <v>243</v>
      </c>
      <c r="E4439" s="1" t="s">
        <v>33</v>
      </c>
      <c r="F4439" s="1" t="s">
        <v>199</v>
      </c>
      <c r="G4439" s="5">
        <v>79.760000000000005</v>
      </c>
    </row>
    <row r="4440" spans="1:7" x14ac:dyDescent="0.2">
      <c r="A4440" s="3">
        <v>252</v>
      </c>
      <c r="B4440" s="2">
        <v>20099.52</v>
      </c>
      <c r="C4440" s="38">
        <v>44981</v>
      </c>
      <c r="D4440" s="1" t="s">
        <v>243</v>
      </c>
      <c r="E4440" s="1" t="s">
        <v>33</v>
      </c>
      <c r="F4440" s="1" t="s">
        <v>199</v>
      </c>
      <c r="G4440" s="5">
        <v>79.760000000000005</v>
      </c>
    </row>
    <row r="4441" spans="1:7" x14ac:dyDescent="0.2">
      <c r="A4441" s="3">
        <v>252</v>
      </c>
      <c r="B4441" s="2">
        <v>20099.52</v>
      </c>
      <c r="C4441" s="38">
        <v>44981</v>
      </c>
      <c r="D4441" s="1" t="s">
        <v>243</v>
      </c>
      <c r="E4441" s="1" t="s">
        <v>33</v>
      </c>
      <c r="F4441" s="1" t="s">
        <v>199</v>
      </c>
      <c r="G4441" s="5">
        <v>79.760000000000005</v>
      </c>
    </row>
    <row r="4442" spans="1:7" x14ac:dyDescent="0.2">
      <c r="A4442" s="3">
        <v>252</v>
      </c>
      <c r="B4442" s="2">
        <v>20099.52</v>
      </c>
      <c r="C4442" s="38">
        <v>44981</v>
      </c>
      <c r="D4442" s="1" t="s">
        <v>243</v>
      </c>
      <c r="E4442" s="1" t="s">
        <v>33</v>
      </c>
      <c r="F4442" s="1" t="s">
        <v>199</v>
      </c>
      <c r="G4442" s="5">
        <v>79.760000000000005</v>
      </c>
    </row>
    <row r="4443" spans="1:7" x14ac:dyDescent="0.2">
      <c r="A4443" s="3">
        <v>2336</v>
      </c>
      <c r="B4443" s="2">
        <v>221102.4</v>
      </c>
      <c r="C4443" s="38">
        <v>44981</v>
      </c>
      <c r="D4443" s="1" t="s">
        <v>253</v>
      </c>
      <c r="E4443" s="1" t="s">
        <v>33</v>
      </c>
      <c r="F4443" s="1" t="s">
        <v>199</v>
      </c>
      <c r="G4443" s="5">
        <v>94.65</v>
      </c>
    </row>
    <row r="4444" spans="1:7" x14ac:dyDescent="0.2">
      <c r="A4444" s="3">
        <v>30</v>
      </c>
      <c r="B4444" s="2">
        <v>13168.5</v>
      </c>
      <c r="C4444" s="38">
        <v>45072</v>
      </c>
      <c r="D4444" s="1" t="s">
        <v>248</v>
      </c>
      <c r="E4444" s="1" t="s">
        <v>33</v>
      </c>
      <c r="F4444" s="1" t="s">
        <v>199</v>
      </c>
      <c r="G4444" s="5">
        <v>438.95</v>
      </c>
    </row>
    <row r="4445" spans="1:7" x14ac:dyDescent="0.2">
      <c r="A4445" s="3">
        <v>324</v>
      </c>
      <c r="B4445" s="2">
        <v>34962.839999999997</v>
      </c>
      <c r="C4445" s="38">
        <v>44985</v>
      </c>
      <c r="D4445" s="1" t="s">
        <v>237</v>
      </c>
      <c r="E4445" s="1" t="s">
        <v>33</v>
      </c>
      <c r="F4445" s="1" t="s">
        <v>199</v>
      </c>
      <c r="G4445" s="5">
        <v>107.91</v>
      </c>
    </row>
    <row r="4446" spans="1:7" x14ac:dyDescent="0.2">
      <c r="A4446" s="3">
        <v>324</v>
      </c>
      <c r="B4446" s="2">
        <v>34962.839999999997</v>
      </c>
      <c r="C4446" s="38">
        <v>44985</v>
      </c>
      <c r="D4446" s="1" t="s">
        <v>237</v>
      </c>
      <c r="E4446" s="1" t="s">
        <v>33</v>
      </c>
      <c r="F4446" s="1" t="s">
        <v>199</v>
      </c>
      <c r="G4446" s="5">
        <v>107.91</v>
      </c>
    </row>
    <row r="4447" spans="1:7" x14ac:dyDescent="0.2">
      <c r="A4447" s="3">
        <v>324</v>
      </c>
      <c r="B4447" s="2">
        <v>34962.839999999997</v>
      </c>
      <c r="C4447" s="38">
        <v>44985</v>
      </c>
      <c r="D4447" s="1" t="s">
        <v>237</v>
      </c>
      <c r="E4447" s="1" t="s">
        <v>33</v>
      </c>
      <c r="F4447" s="1" t="s">
        <v>199</v>
      </c>
      <c r="G4447" s="5">
        <v>107.91</v>
      </c>
    </row>
    <row r="4448" spans="1:7" x14ac:dyDescent="0.2">
      <c r="A4448" s="3">
        <v>324</v>
      </c>
      <c r="B4448" s="2">
        <v>34962.839999999997</v>
      </c>
      <c r="C4448" s="38">
        <v>44985</v>
      </c>
      <c r="D4448" s="1" t="s">
        <v>237</v>
      </c>
      <c r="E4448" s="1" t="s">
        <v>33</v>
      </c>
      <c r="F4448" s="1" t="s">
        <v>199</v>
      </c>
      <c r="G4448" s="5">
        <v>107.91</v>
      </c>
    </row>
    <row r="4449" spans="1:7" x14ac:dyDescent="0.2">
      <c r="A4449" s="3">
        <v>108</v>
      </c>
      <c r="B4449" s="2">
        <v>11654.28</v>
      </c>
      <c r="C4449" s="38">
        <v>44985</v>
      </c>
      <c r="D4449" s="1" t="s">
        <v>237</v>
      </c>
      <c r="E4449" s="1" t="s">
        <v>33</v>
      </c>
      <c r="F4449" s="1" t="s">
        <v>199</v>
      </c>
      <c r="G4449" s="5">
        <v>107.91</v>
      </c>
    </row>
    <row r="4450" spans="1:7" x14ac:dyDescent="0.2">
      <c r="A4450" s="3">
        <v>1192</v>
      </c>
      <c r="B4450" s="2">
        <v>112822.8</v>
      </c>
      <c r="C4450" s="38">
        <v>44985</v>
      </c>
      <c r="D4450" s="1" t="s">
        <v>253</v>
      </c>
      <c r="E4450" s="1" t="s">
        <v>33</v>
      </c>
      <c r="F4450" s="1" t="s">
        <v>199</v>
      </c>
      <c r="G4450" s="5">
        <v>94.65</v>
      </c>
    </row>
    <row r="4451" spans="1:7" x14ac:dyDescent="0.2">
      <c r="A4451" s="3">
        <v>1008</v>
      </c>
      <c r="B4451" s="2">
        <v>73402.559999999998</v>
      </c>
      <c r="C4451" s="38">
        <v>45072</v>
      </c>
      <c r="D4451" s="1" t="s">
        <v>298</v>
      </c>
      <c r="E4451" s="1" t="s">
        <v>33</v>
      </c>
      <c r="F4451" s="1" t="s">
        <v>199</v>
      </c>
      <c r="G4451" s="5">
        <v>72.819999999999993</v>
      </c>
    </row>
    <row r="4452" spans="1:7" x14ac:dyDescent="0.2">
      <c r="A4452" s="3">
        <v>279</v>
      </c>
      <c r="B4452" s="2">
        <v>24390.18</v>
      </c>
      <c r="C4452" s="38">
        <v>45072</v>
      </c>
      <c r="D4452" s="1" t="s">
        <v>321</v>
      </c>
      <c r="E4452" s="1" t="s">
        <v>33</v>
      </c>
      <c r="F4452" s="1" t="s">
        <v>199</v>
      </c>
      <c r="G4452" s="5">
        <v>87.42</v>
      </c>
    </row>
    <row r="4453" spans="1:7" x14ac:dyDescent="0.2">
      <c r="A4453" s="3">
        <v>29</v>
      </c>
      <c r="B4453" s="2">
        <v>2535.1799999999998</v>
      </c>
      <c r="C4453" s="38">
        <v>45072</v>
      </c>
      <c r="D4453" s="1" t="s">
        <v>321</v>
      </c>
      <c r="E4453" s="1" t="s">
        <v>33</v>
      </c>
      <c r="F4453" s="1" t="s">
        <v>199</v>
      </c>
      <c r="G4453" s="5">
        <v>87.42</v>
      </c>
    </row>
    <row r="4454" spans="1:7" x14ac:dyDescent="0.2">
      <c r="A4454" s="3">
        <v>1820</v>
      </c>
      <c r="B4454" s="2">
        <v>4568.2</v>
      </c>
      <c r="C4454" s="38">
        <v>45072</v>
      </c>
      <c r="D4454" s="1" t="s">
        <v>250</v>
      </c>
      <c r="E4454" s="1" t="s">
        <v>33</v>
      </c>
      <c r="F4454" s="1" t="s">
        <v>199</v>
      </c>
      <c r="G4454" s="5">
        <v>2.5099999999999998</v>
      </c>
    </row>
    <row r="4455" spans="1:7" x14ac:dyDescent="0.2">
      <c r="A4455" s="3">
        <v>1820</v>
      </c>
      <c r="B4455" s="2">
        <v>4568.2</v>
      </c>
      <c r="C4455" s="38">
        <v>45072</v>
      </c>
      <c r="D4455" s="1" t="s">
        <v>250</v>
      </c>
      <c r="E4455" s="1" t="s">
        <v>33</v>
      </c>
      <c r="F4455" s="1" t="s">
        <v>199</v>
      </c>
      <c r="G4455" s="5">
        <v>2.5099999999999998</v>
      </c>
    </row>
    <row r="4456" spans="1:7" x14ac:dyDescent="0.2">
      <c r="A4456" s="3">
        <v>1820</v>
      </c>
      <c r="B4456" s="2">
        <v>4568.2</v>
      </c>
      <c r="C4456" s="38">
        <v>45072</v>
      </c>
      <c r="D4456" s="1" t="s">
        <v>250</v>
      </c>
      <c r="E4456" s="1" t="s">
        <v>33</v>
      </c>
      <c r="F4456" s="1" t="s">
        <v>199</v>
      </c>
      <c r="G4456" s="5">
        <v>2.5099999999999998</v>
      </c>
    </row>
    <row r="4457" spans="1:7" x14ac:dyDescent="0.2">
      <c r="A4457" s="3">
        <v>1820</v>
      </c>
      <c r="B4457" s="2">
        <v>4568.2</v>
      </c>
      <c r="C4457" s="38">
        <v>45072</v>
      </c>
      <c r="D4457" s="1" t="s">
        <v>250</v>
      </c>
      <c r="E4457" s="1" t="s">
        <v>33</v>
      </c>
      <c r="F4457" s="1" t="s">
        <v>199</v>
      </c>
      <c r="G4457" s="5">
        <v>2.5099999999999998</v>
      </c>
    </row>
    <row r="4458" spans="1:7" x14ac:dyDescent="0.2">
      <c r="A4458" s="3">
        <v>1820</v>
      </c>
      <c r="B4458" s="2">
        <v>4568.2</v>
      </c>
      <c r="C4458" s="38">
        <v>45072</v>
      </c>
      <c r="D4458" s="1" t="s">
        <v>250</v>
      </c>
      <c r="E4458" s="1" t="s">
        <v>33</v>
      </c>
      <c r="F4458" s="1" t="s">
        <v>199</v>
      </c>
      <c r="G4458" s="5">
        <v>2.5099999999999998</v>
      </c>
    </row>
    <row r="4459" spans="1:7" x14ac:dyDescent="0.2">
      <c r="A4459" s="3">
        <v>1820</v>
      </c>
      <c r="B4459" s="2">
        <v>4568.2</v>
      </c>
      <c r="C4459" s="38">
        <v>45072</v>
      </c>
      <c r="D4459" s="1" t="s">
        <v>250</v>
      </c>
      <c r="E4459" s="1" t="s">
        <v>33</v>
      </c>
      <c r="F4459" s="1" t="s">
        <v>199</v>
      </c>
      <c r="G4459" s="5">
        <v>2.5099999999999998</v>
      </c>
    </row>
    <row r="4460" spans="1:7" x14ac:dyDescent="0.2">
      <c r="A4460" s="3">
        <v>15</v>
      </c>
      <c r="B4460" s="2">
        <v>6760.65</v>
      </c>
      <c r="C4460" s="38">
        <v>45142</v>
      </c>
      <c r="D4460" s="1" t="s">
        <v>240</v>
      </c>
      <c r="E4460" s="1" t="s">
        <v>33</v>
      </c>
      <c r="F4460" s="1" t="s">
        <v>199</v>
      </c>
      <c r="G4460" s="5">
        <v>450.71</v>
      </c>
    </row>
    <row r="4461" spans="1:7" x14ac:dyDescent="0.2">
      <c r="A4461" s="3">
        <v>76</v>
      </c>
      <c r="B4461" s="2">
        <v>34253.96</v>
      </c>
      <c r="C4461" s="38">
        <v>45142</v>
      </c>
      <c r="D4461" s="1" t="s">
        <v>240</v>
      </c>
      <c r="E4461" s="1" t="s">
        <v>33</v>
      </c>
      <c r="F4461" s="1" t="s">
        <v>199</v>
      </c>
      <c r="G4461" s="5">
        <v>450.71</v>
      </c>
    </row>
    <row r="4462" spans="1:7" x14ac:dyDescent="0.2">
      <c r="A4462" s="3">
        <v>420</v>
      </c>
      <c r="B4462" s="2">
        <v>318922.8</v>
      </c>
      <c r="C4462" s="38">
        <v>45142</v>
      </c>
      <c r="D4462" s="1" t="s">
        <v>265</v>
      </c>
      <c r="E4462" s="1" t="s">
        <v>33</v>
      </c>
      <c r="F4462" s="1" t="s">
        <v>199</v>
      </c>
      <c r="G4462" s="5">
        <v>759.34</v>
      </c>
    </row>
    <row r="4463" spans="1:7" x14ac:dyDescent="0.2">
      <c r="A4463" s="3">
        <v>432</v>
      </c>
      <c r="B4463" s="2">
        <v>46617.120000000003</v>
      </c>
      <c r="C4463" s="38">
        <v>45154</v>
      </c>
      <c r="D4463" s="1" t="s">
        <v>237</v>
      </c>
      <c r="E4463" s="1" t="s">
        <v>33</v>
      </c>
      <c r="F4463" s="1" t="s">
        <v>199</v>
      </c>
      <c r="G4463" s="5">
        <v>107.91</v>
      </c>
    </row>
    <row r="4464" spans="1:7" x14ac:dyDescent="0.2">
      <c r="A4464" s="3">
        <v>324</v>
      </c>
      <c r="B4464" s="2">
        <v>34962.839999999997</v>
      </c>
      <c r="C4464" s="38">
        <v>45154</v>
      </c>
      <c r="D4464" s="1" t="s">
        <v>237</v>
      </c>
      <c r="E4464" s="1" t="s">
        <v>33</v>
      </c>
      <c r="F4464" s="1" t="s">
        <v>199</v>
      </c>
      <c r="G4464" s="5">
        <v>107.91</v>
      </c>
    </row>
    <row r="4465" spans="1:7" x14ac:dyDescent="0.2">
      <c r="A4465" s="3">
        <v>103</v>
      </c>
      <c r="B4465" s="2">
        <v>46423.13</v>
      </c>
      <c r="C4465" s="38">
        <v>45154</v>
      </c>
      <c r="D4465" s="1" t="s">
        <v>240</v>
      </c>
      <c r="E4465" s="1" t="s">
        <v>33</v>
      </c>
      <c r="F4465" s="1" t="s">
        <v>199</v>
      </c>
      <c r="G4465" s="5">
        <v>450.71</v>
      </c>
    </row>
    <row r="4466" spans="1:7" x14ac:dyDescent="0.2">
      <c r="A4466" s="3">
        <v>80</v>
      </c>
      <c r="B4466" s="2">
        <v>36056.800000000003</v>
      </c>
      <c r="C4466" s="38">
        <v>45154</v>
      </c>
      <c r="D4466" s="1" t="s">
        <v>240</v>
      </c>
      <c r="E4466" s="1" t="s">
        <v>33</v>
      </c>
      <c r="F4466" s="1" t="s">
        <v>199</v>
      </c>
      <c r="G4466" s="5">
        <v>450.71</v>
      </c>
    </row>
    <row r="4467" spans="1:7" x14ac:dyDescent="0.2">
      <c r="A4467" s="3">
        <v>432</v>
      </c>
      <c r="B4467" s="2">
        <v>46617.120000000003</v>
      </c>
      <c r="C4467" s="38">
        <v>45155</v>
      </c>
      <c r="D4467" s="1" t="s">
        <v>237</v>
      </c>
      <c r="E4467" s="1" t="s">
        <v>33</v>
      </c>
      <c r="F4467" s="1" t="s">
        <v>199</v>
      </c>
      <c r="G4467" s="5">
        <v>107.91</v>
      </c>
    </row>
    <row r="4468" spans="1:7" x14ac:dyDescent="0.2">
      <c r="A4468" s="3">
        <v>60</v>
      </c>
      <c r="B4468" s="2">
        <v>45560.4</v>
      </c>
      <c r="C4468" s="38">
        <v>45155</v>
      </c>
      <c r="D4468" s="1" t="s">
        <v>265</v>
      </c>
      <c r="E4468" s="1" t="s">
        <v>33</v>
      </c>
      <c r="F4468" s="1" t="s">
        <v>199</v>
      </c>
      <c r="G4468" s="5">
        <v>759.34</v>
      </c>
    </row>
    <row r="4469" spans="1:7" x14ac:dyDescent="0.2">
      <c r="A4469" s="3">
        <v>60</v>
      </c>
      <c r="B4469" s="2">
        <v>45560.4</v>
      </c>
      <c r="C4469" s="38">
        <v>45155</v>
      </c>
      <c r="D4469" s="1" t="s">
        <v>265</v>
      </c>
      <c r="E4469" s="1" t="s">
        <v>33</v>
      </c>
      <c r="F4469" s="1" t="s">
        <v>199</v>
      </c>
      <c r="G4469" s="5">
        <v>759.34</v>
      </c>
    </row>
    <row r="4470" spans="1:7" x14ac:dyDescent="0.2">
      <c r="A4470" s="3">
        <v>60</v>
      </c>
      <c r="B4470" s="2">
        <v>45560.4</v>
      </c>
      <c r="C4470" s="38">
        <v>45155</v>
      </c>
      <c r="D4470" s="1" t="s">
        <v>265</v>
      </c>
      <c r="E4470" s="1" t="s">
        <v>33</v>
      </c>
      <c r="F4470" s="1" t="s">
        <v>199</v>
      </c>
      <c r="G4470" s="5">
        <v>759.34</v>
      </c>
    </row>
    <row r="4471" spans="1:7" x14ac:dyDescent="0.2">
      <c r="A4471" s="3">
        <v>21</v>
      </c>
      <c r="B4471" s="2">
        <v>3747.45</v>
      </c>
      <c r="C4471" s="38">
        <v>45155</v>
      </c>
      <c r="D4471" s="1" t="s">
        <v>300</v>
      </c>
      <c r="E4471" s="1" t="s">
        <v>33</v>
      </c>
      <c r="F4471" s="1" t="s">
        <v>199</v>
      </c>
      <c r="G4471" s="5">
        <v>178.45</v>
      </c>
    </row>
    <row r="4472" spans="1:7" x14ac:dyDescent="0.2">
      <c r="A4472" s="3">
        <v>648</v>
      </c>
      <c r="B4472" s="2">
        <v>69925.679999999993</v>
      </c>
      <c r="C4472" s="38">
        <v>45121</v>
      </c>
      <c r="D4472" s="1" t="s">
        <v>237</v>
      </c>
      <c r="E4472" s="1" t="s">
        <v>33</v>
      </c>
      <c r="F4472" s="1" t="s">
        <v>199</v>
      </c>
      <c r="G4472" s="5">
        <v>107.91</v>
      </c>
    </row>
    <row r="4473" spans="1:7" x14ac:dyDescent="0.2">
      <c r="A4473" s="3">
        <v>420</v>
      </c>
      <c r="B4473" s="2">
        <v>6610.8</v>
      </c>
      <c r="C4473" s="38">
        <v>45121</v>
      </c>
      <c r="D4473" s="1" t="s">
        <v>322</v>
      </c>
      <c r="E4473" s="1" t="s">
        <v>33</v>
      </c>
      <c r="F4473" s="1" t="s">
        <v>199</v>
      </c>
      <c r="G4473" s="5">
        <v>15.74</v>
      </c>
    </row>
    <row r="4474" spans="1:7" x14ac:dyDescent="0.2">
      <c r="A4474" s="3">
        <v>1820</v>
      </c>
      <c r="B4474" s="2">
        <v>4568.2</v>
      </c>
      <c r="C4474" s="38">
        <v>45121</v>
      </c>
      <c r="D4474" s="1" t="s">
        <v>250</v>
      </c>
      <c r="E4474" s="1" t="s">
        <v>33</v>
      </c>
      <c r="F4474" s="1" t="s">
        <v>199</v>
      </c>
      <c r="G4474" s="5">
        <v>2.5099999999999998</v>
      </c>
    </row>
    <row r="4475" spans="1:7" x14ac:dyDescent="0.2">
      <c r="A4475" s="3">
        <v>1820</v>
      </c>
      <c r="B4475" s="2">
        <v>4568.2</v>
      </c>
      <c r="C4475" s="38">
        <v>45121</v>
      </c>
      <c r="D4475" s="1" t="s">
        <v>250</v>
      </c>
      <c r="E4475" s="1" t="s">
        <v>33</v>
      </c>
      <c r="F4475" s="1" t="s">
        <v>199</v>
      </c>
      <c r="G4475" s="5">
        <v>2.5099999999999998</v>
      </c>
    </row>
    <row r="4476" spans="1:7" x14ac:dyDescent="0.2">
      <c r="A4476" s="3">
        <v>1820</v>
      </c>
      <c r="B4476" s="2">
        <v>4568.2</v>
      </c>
      <c r="C4476" s="38">
        <v>45121</v>
      </c>
      <c r="D4476" s="1" t="s">
        <v>250</v>
      </c>
      <c r="E4476" s="1" t="s">
        <v>33</v>
      </c>
      <c r="F4476" s="1" t="s">
        <v>199</v>
      </c>
      <c r="G4476" s="5">
        <v>2.5099999999999998</v>
      </c>
    </row>
    <row r="4477" spans="1:7" x14ac:dyDescent="0.2">
      <c r="A4477" s="3">
        <v>1820</v>
      </c>
      <c r="B4477" s="2">
        <v>4568.2</v>
      </c>
      <c r="C4477" s="38">
        <v>45121</v>
      </c>
      <c r="D4477" s="1" t="s">
        <v>250</v>
      </c>
      <c r="E4477" s="1" t="s">
        <v>33</v>
      </c>
      <c r="F4477" s="1" t="s">
        <v>199</v>
      </c>
      <c r="G4477" s="5">
        <v>2.5099999999999998</v>
      </c>
    </row>
    <row r="4478" spans="1:7" x14ac:dyDescent="0.2">
      <c r="A4478" s="3">
        <v>1820</v>
      </c>
      <c r="B4478" s="2">
        <v>4568.2</v>
      </c>
      <c r="C4478" s="38">
        <v>45121</v>
      </c>
      <c r="D4478" s="1" t="s">
        <v>250</v>
      </c>
      <c r="E4478" s="1" t="s">
        <v>33</v>
      </c>
      <c r="F4478" s="1" t="s">
        <v>199</v>
      </c>
      <c r="G4478" s="5">
        <v>2.5099999999999998</v>
      </c>
    </row>
    <row r="4479" spans="1:7" x14ac:dyDescent="0.2">
      <c r="A4479" s="3">
        <v>1820</v>
      </c>
      <c r="B4479" s="2">
        <v>4568.2</v>
      </c>
      <c r="C4479" s="38">
        <v>45121</v>
      </c>
      <c r="D4479" s="1" t="s">
        <v>250</v>
      </c>
      <c r="E4479" s="1" t="s">
        <v>33</v>
      </c>
      <c r="F4479" s="1" t="s">
        <v>199</v>
      </c>
      <c r="G4479" s="5">
        <v>2.5099999999999998</v>
      </c>
    </row>
    <row r="4480" spans="1:7" x14ac:dyDescent="0.2">
      <c r="A4480" s="3">
        <v>3528</v>
      </c>
      <c r="B4480" s="2">
        <v>333925.2</v>
      </c>
      <c r="C4480" s="38">
        <v>45121</v>
      </c>
      <c r="D4480" s="1" t="s">
        <v>253</v>
      </c>
      <c r="E4480" s="1" t="s">
        <v>33</v>
      </c>
      <c r="F4480" s="1" t="s">
        <v>199</v>
      </c>
      <c r="G4480" s="5">
        <v>94.65</v>
      </c>
    </row>
    <row r="4481" spans="1:7" x14ac:dyDescent="0.2">
      <c r="A4481" s="3">
        <v>350</v>
      </c>
      <c r="B4481" s="2">
        <v>150101</v>
      </c>
      <c r="C4481" s="38">
        <v>45121</v>
      </c>
      <c r="D4481" s="1" t="s">
        <v>255</v>
      </c>
      <c r="E4481" s="1" t="s">
        <v>33</v>
      </c>
      <c r="F4481" s="1" t="s">
        <v>199</v>
      </c>
      <c r="G4481" s="5">
        <v>428.86</v>
      </c>
    </row>
    <row r="4482" spans="1:7" x14ac:dyDescent="0.2">
      <c r="A4482" s="3">
        <v>252</v>
      </c>
      <c r="B4482" s="2">
        <v>21606.48</v>
      </c>
      <c r="C4482" s="38">
        <v>45132</v>
      </c>
      <c r="D4482" s="1" t="s">
        <v>243</v>
      </c>
      <c r="E4482" s="1" t="s">
        <v>33</v>
      </c>
      <c r="F4482" s="1" t="s">
        <v>199</v>
      </c>
      <c r="G4482" s="5">
        <v>85.74</v>
      </c>
    </row>
    <row r="4483" spans="1:7" x14ac:dyDescent="0.2">
      <c r="A4483" s="3">
        <v>756</v>
      </c>
      <c r="B4483" s="2">
        <v>64819.44</v>
      </c>
      <c r="C4483" s="38">
        <v>45132</v>
      </c>
      <c r="D4483" s="1" t="s">
        <v>243</v>
      </c>
      <c r="E4483" s="1" t="s">
        <v>33</v>
      </c>
      <c r="F4483" s="1" t="s">
        <v>199</v>
      </c>
      <c r="G4483" s="5">
        <v>85.74</v>
      </c>
    </row>
    <row r="4484" spans="1:7" x14ac:dyDescent="0.2">
      <c r="A4484" s="3">
        <v>630</v>
      </c>
      <c r="B4484" s="2">
        <v>276538.5</v>
      </c>
      <c r="C4484" s="38">
        <v>45132</v>
      </c>
      <c r="D4484" s="1" t="s">
        <v>248</v>
      </c>
      <c r="E4484" s="1" t="s">
        <v>33</v>
      </c>
      <c r="F4484" s="1" t="s">
        <v>199</v>
      </c>
      <c r="G4484" s="5">
        <v>438.95</v>
      </c>
    </row>
    <row r="4485" spans="1:7" x14ac:dyDescent="0.2">
      <c r="A4485" s="3">
        <v>90</v>
      </c>
      <c r="B4485" s="2">
        <v>39505.5</v>
      </c>
      <c r="C4485" s="38">
        <v>45132</v>
      </c>
      <c r="D4485" s="1" t="s">
        <v>248</v>
      </c>
      <c r="E4485" s="1" t="s">
        <v>33</v>
      </c>
      <c r="F4485" s="1" t="s">
        <v>199</v>
      </c>
      <c r="G4485" s="5">
        <v>438.95</v>
      </c>
    </row>
    <row r="4486" spans="1:7" x14ac:dyDescent="0.2">
      <c r="A4486" s="3">
        <v>279</v>
      </c>
      <c r="B4486" s="2">
        <v>24390.18</v>
      </c>
      <c r="C4486" s="38">
        <v>45169</v>
      </c>
      <c r="D4486" s="1" t="s">
        <v>321</v>
      </c>
      <c r="E4486" s="1" t="s">
        <v>33</v>
      </c>
      <c r="F4486" s="1" t="s">
        <v>199</v>
      </c>
      <c r="G4486" s="5">
        <v>87.42</v>
      </c>
    </row>
    <row r="4487" spans="1:7" x14ac:dyDescent="0.2">
      <c r="A4487" s="3">
        <v>29</v>
      </c>
      <c r="B4487" s="2">
        <v>2535.1799999999998</v>
      </c>
      <c r="C4487" s="38">
        <v>45169</v>
      </c>
      <c r="D4487" s="1" t="s">
        <v>321</v>
      </c>
      <c r="E4487" s="1" t="s">
        <v>33</v>
      </c>
      <c r="F4487" s="1" t="s">
        <v>199</v>
      </c>
      <c r="G4487" s="5">
        <v>87.42</v>
      </c>
    </row>
    <row r="4488" spans="1:7" x14ac:dyDescent="0.2">
      <c r="A4488" s="3">
        <v>60</v>
      </c>
      <c r="B4488" s="2">
        <v>45560.4</v>
      </c>
      <c r="C4488" s="38">
        <v>45169</v>
      </c>
      <c r="D4488" s="1" t="s">
        <v>265</v>
      </c>
      <c r="E4488" s="1" t="s">
        <v>33</v>
      </c>
      <c r="F4488" s="1" t="s">
        <v>199</v>
      </c>
      <c r="G4488" s="5">
        <v>759.34</v>
      </c>
    </row>
    <row r="4489" spans="1:7" x14ac:dyDescent="0.2">
      <c r="A4489" s="3">
        <v>60</v>
      </c>
      <c r="B4489" s="2">
        <v>45560.4</v>
      </c>
      <c r="C4489" s="38">
        <v>45169</v>
      </c>
      <c r="D4489" s="1" t="s">
        <v>265</v>
      </c>
      <c r="E4489" s="1" t="s">
        <v>33</v>
      </c>
      <c r="F4489" s="1" t="s">
        <v>199</v>
      </c>
      <c r="G4489" s="5">
        <v>759.34</v>
      </c>
    </row>
    <row r="4490" spans="1:7" x14ac:dyDescent="0.2">
      <c r="A4490" s="3">
        <v>90</v>
      </c>
      <c r="B4490" s="2">
        <v>39505.5</v>
      </c>
      <c r="C4490" s="38">
        <v>45132</v>
      </c>
      <c r="D4490" s="1" t="s">
        <v>248</v>
      </c>
      <c r="E4490" s="1" t="s">
        <v>33</v>
      </c>
      <c r="F4490" s="1" t="s">
        <v>199</v>
      </c>
      <c r="G4490" s="5">
        <v>438.95</v>
      </c>
    </row>
    <row r="4491" spans="1:7" x14ac:dyDescent="0.2">
      <c r="A4491" s="3">
        <v>1820</v>
      </c>
      <c r="B4491" s="2">
        <v>4568.2</v>
      </c>
      <c r="C4491" s="38">
        <v>45132</v>
      </c>
      <c r="D4491" s="1" t="s">
        <v>250</v>
      </c>
      <c r="E4491" s="1" t="s">
        <v>33</v>
      </c>
      <c r="F4491" s="1" t="s">
        <v>199</v>
      </c>
      <c r="G4491" s="5">
        <v>2.5099999999999998</v>
      </c>
    </row>
    <row r="4492" spans="1:7" x14ac:dyDescent="0.2">
      <c r="A4492" s="3">
        <v>1820</v>
      </c>
      <c r="B4492" s="2">
        <v>4568.2</v>
      </c>
      <c r="C4492" s="38">
        <v>45132</v>
      </c>
      <c r="D4492" s="1" t="s">
        <v>250</v>
      </c>
      <c r="E4492" s="1" t="s">
        <v>33</v>
      </c>
      <c r="F4492" s="1" t="s">
        <v>199</v>
      </c>
      <c r="G4492" s="5">
        <v>2.5099999999999998</v>
      </c>
    </row>
    <row r="4493" spans="1:7" x14ac:dyDescent="0.2">
      <c r="A4493" s="3">
        <v>1820</v>
      </c>
      <c r="B4493" s="2">
        <v>4568.2</v>
      </c>
      <c r="C4493" s="38">
        <v>45132</v>
      </c>
      <c r="D4493" s="1" t="s">
        <v>250</v>
      </c>
      <c r="E4493" s="1" t="s">
        <v>33</v>
      </c>
      <c r="F4493" s="1" t="s">
        <v>199</v>
      </c>
      <c r="G4493" s="5">
        <v>2.5099999999999998</v>
      </c>
    </row>
    <row r="4494" spans="1:7" x14ac:dyDescent="0.2">
      <c r="A4494" s="3">
        <v>1820</v>
      </c>
      <c r="B4494" s="2">
        <v>4568.2</v>
      </c>
      <c r="C4494" s="38">
        <v>45132</v>
      </c>
      <c r="D4494" s="1" t="s">
        <v>250</v>
      </c>
      <c r="E4494" s="1" t="s">
        <v>33</v>
      </c>
      <c r="F4494" s="1" t="s">
        <v>199</v>
      </c>
      <c r="G4494" s="5">
        <v>2.5099999999999998</v>
      </c>
    </row>
    <row r="4495" spans="1:7" x14ac:dyDescent="0.2">
      <c r="A4495" s="3">
        <v>1820</v>
      </c>
      <c r="B4495" s="2">
        <v>4568.2</v>
      </c>
      <c r="C4495" s="38">
        <v>45132</v>
      </c>
      <c r="D4495" s="1" t="s">
        <v>250</v>
      </c>
      <c r="E4495" s="1" t="s">
        <v>33</v>
      </c>
      <c r="F4495" s="1" t="s">
        <v>199</v>
      </c>
      <c r="G4495" s="5">
        <v>2.5099999999999998</v>
      </c>
    </row>
    <row r="4496" spans="1:7" x14ac:dyDescent="0.2">
      <c r="A4496" s="3">
        <v>60</v>
      </c>
      <c r="B4496" s="2">
        <v>45560.4</v>
      </c>
      <c r="C4496" s="38">
        <v>45169</v>
      </c>
      <c r="D4496" s="1" t="s">
        <v>265</v>
      </c>
      <c r="E4496" s="1" t="s">
        <v>33</v>
      </c>
      <c r="F4496" s="1" t="s">
        <v>199</v>
      </c>
      <c r="G4496" s="5">
        <v>759.34</v>
      </c>
    </row>
    <row r="4497" spans="1:7" x14ac:dyDescent="0.2">
      <c r="A4497" s="3">
        <v>60</v>
      </c>
      <c r="B4497" s="2">
        <v>45560.4</v>
      </c>
      <c r="C4497" s="38">
        <v>45169</v>
      </c>
      <c r="D4497" s="1" t="s">
        <v>265</v>
      </c>
      <c r="E4497" s="1" t="s">
        <v>33</v>
      </c>
      <c r="F4497" s="1" t="s">
        <v>199</v>
      </c>
      <c r="G4497" s="5">
        <v>759.34</v>
      </c>
    </row>
    <row r="4498" spans="1:7" x14ac:dyDescent="0.2">
      <c r="A4498" s="3">
        <v>420</v>
      </c>
      <c r="B4498" s="2">
        <v>318922.8</v>
      </c>
      <c r="C4498" s="38">
        <v>45132</v>
      </c>
      <c r="D4498" s="1" t="s">
        <v>265</v>
      </c>
      <c r="E4498" s="1" t="s">
        <v>33</v>
      </c>
      <c r="F4498" s="1" t="s">
        <v>199</v>
      </c>
      <c r="G4498" s="5">
        <v>759.34</v>
      </c>
    </row>
    <row r="4499" spans="1:7" x14ac:dyDescent="0.2">
      <c r="A4499" s="3">
        <v>200</v>
      </c>
      <c r="B4499" s="2">
        <v>85040</v>
      </c>
      <c r="C4499" s="38">
        <v>44932</v>
      </c>
      <c r="D4499" s="1" t="s">
        <v>240</v>
      </c>
      <c r="E4499" s="1" t="s">
        <v>33</v>
      </c>
      <c r="F4499" s="1" t="s">
        <v>199</v>
      </c>
      <c r="G4499" s="5">
        <v>425.2</v>
      </c>
    </row>
    <row r="4500" spans="1:7" x14ac:dyDescent="0.2">
      <c r="A4500" s="3">
        <v>46</v>
      </c>
      <c r="B4500" s="2">
        <v>19559.2</v>
      </c>
      <c r="C4500" s="38">
        <v>44932</v>
      </c>
      <c r="D4500" s="1" t="s">
        <v>240</v>
      </c>
      <c r="E4500" s="1" t="s">
        <v>33</v>
      </c>
      <c r="F4500" s="1" t="s">
        <v>199</v>
      </c>
      <c r="G4500" s="5">
        <v>425.2</v>
      </c>
    </row>
    <row r="4501" spans="1:7" x14ac:dyDescent="0.2">
      <c r="A4501" s="3">
        <v>216</v>
      </c>
      <c r="B4501" s="2">
        <v>24669.360000000001</v>
      </c>
      <c r="C4501" s="38">
        <v>44940</v>
      </c>
      <c r="D4501" s="1" t="s">
        <v>237</v>
      </c>
      <c r="E4501" s="1" t="s">
        <v>33</v>
      </c>
      <c r="F4501" s="1" t="s">
        <v>199</v>
      </c>
      <c r="G4501" s="5">
        <v>114.21</v>
      </c>
    </row>
    <row r="4502" spans="1:7" x14ac:dyDescent="0.2">
      <c r="A4502" s="3">
        <v>108</v>
      </c>
      <c r="B4502" s="2">
        <v>12334.68</v>
      </c>
      <c r="C4502" s="38">
        <v>44940</v>
      </c>
      <c r="D4502" s="1" t="s">
        <v>237</v>
      </c>
      <c r="E4502" s="1" t="s">
        <v>33</v>
      </c>
      <c r="F4502" s="1" t="s">
        <v>199</v>
      </c>
      <c r="G4502" s="5">
        <v>114.21</v>
      </c>
    </row>
    <row r="4503" spans="1:7" x14ac:dyDescent="0.2">
      <c r="A4503" s="3">
        <v>240</v>
      </c>
      <c r="B4503" s="2">
        <v>102048</v>
      </c>
      <c r="C4503" s="38">
        <v>44940</v>
      </c>
      <c r="D4503" s="1" t="s">
        <v>240</v>
      </c>
      <c r="E4503" s="1" t="s">
        <v>33</v>
      </c>
      <c r="F4503" s="1" t="s">
        <v>199</v>
      </c>
      <c r="G4503" s="5">
        <v>425.2</v>
      </c>
    </row>
    <row r="4504" spans="1:7" x14ac:dyDescent="0.2">
      <c r="A4504" s="3">
        <v>40</v>
      </c>
      <c r="B4504" s="2">
        <v>17008</v>
      </c>
      <c r="C4504" s="38">
        <v>44940</v>
      </c>
      <c r="D4504" s="1" t="s">
        <v>240</v>
      </c>
      <c r="E4504" s="1" t="s">
        <v>33</v>
      </c>
      <c r="F4504" s="1" t="s">
        <v>199</v>
      </c>
      <c r="G4504" s="5">
        <v>425.2</v>
      </c>
    </row>
    <row r="4505" spans="1:7" x14ac:dyDescent="0.2">
      <c r="A4505" s="3">
        <v>1000</v>
      </c>
      <c r="B4505" s="2">
        <v>1830</v>
      </c>
      <c r="C4505" s="38">
        <v>44651</v>
      </c>
      <c r="D4505" s="1" t="s">
        <v>238</v>
      </c>
      <c r="E4505" s="1" t="s">
        <v>33</v>
      </c>
      <c r="F4505" s="1" t="s">
        <v>199</v>
      </c>
      <c r="G4505" s="5">
        <v>1.83</v>
      </c>
    </row>
    <row r="4506" spans="1:7" x14ac:dyDescent="0.2">
      <c r="A4506" s="3">
        <v>2000</v>
      </c>
      <c r="B4506" s="2">
        <v>3660</v>
      </c>
      <c r="C4506" s="38">
        <v>44651</v>
      </c>
      <c r="D4506" s="1" t="s">
        <v>238</v>
      </c>
      <c r="E4506" s="1" t="s">
        <v>33</v>
      </c>
      <c r="F4506" s="1" t="s">
        <v>199</v>
      </c>
      <c r="G4506" s="5">
        <v>1.83</v>
      </c>
    </row>
    <row r="4507" spans="1:7" x14ac:dyDescent="0.2">
      <c r="A4507" s="3">
        <v>432</v>
      </c>
      <c r="B4507" s="2">
        <v>46781.279999999999</v>
      </c>
      <c r="C4507" s="38">
        <v>44721</v>
      </c>
      <c r="D4507" s="1" t="s">
        <v>237</v>
      </c>
      <c r="E4507" s="1" t="s">
        <v>33</v>
      </c>
      <c r="F4507" s="1" t="s">
        <v>199</v>
      </c>
      <c r="G4507" s="5">
        <v>108.29</v>
      </c>
    </row>
    <row r="4508" spans="1:7" x14ac:dyDescent="0.2">
      <c r="A4508" s="3">
        <v>324</v>
      </c>
      <c r="B4508" s="2">
        <v>35085.96</v>
      </c>
      <c r="C4508" s="38">
        <v>44721</v>
      </c>
      <c r="D4508" s="1" t="s">
        <v>237</v>
      </c>
      <c r="E4508" s="1" t="s">
        <v>33</v>
      </c>
      <c r="F4508" s="1" t="s">
        <v>199</v>
      </c>
      <c r="G4508" s="5">
        <v>108.29</v>
      </c>
    </row>
    <row r="4509" spans="1:7" x14ac:dyDescent="0.2">
      <c r="A4509" s="3">
        <v>2000</v>
      </c>
      <c r="B4509" s="2">
        <v>3660</v>
      </c>
      <c r="C4509" s="38">
        <v>44656</v>
      </c>
      <c r="D4509" s="1" t="s">
        <v>238</v>
      </c>
      <c r="E4509" s="1" t="s">
        <v>33</v>
      </c>
      <c r="F4509" s="1" t="s">
        <v>199</v>
      </c>
      <c r="G4509" s="5">
        <v>1.83</v>
      </c>
    </row>
    <row r="4510" spans="1:7" x14ac:dyDescent="0.2">
      <c r="A4510" s="3">
        <v>420</v>
      </c>
      <c r="B4510" s="2">
        <v>320073.59999999998</v>
      </c>
      <c r="C4510" s="38">
        <v>44721</v>
      </c>
      <c r="D4510" s="1" t="s">
        <v>265</v>
      </c>
      <c r="E4510" s="1" t="s">
        <v>33</v>
      </c>
      <c r="F4510" s="1" t="s">
        <v>199</v>
      </c>
      <c r="G4510" s="5">
        <v>762.08</v>
      </c>
    </row>
    <row r="4511" spans="1:7" x14ac:dyDescent="0.2">
      <c r="A4511" s="3">
        <v>420</v>
      </c>
      <c r="B4511" s="2">
        <v>320073.59999999998</v>
      </c>
      <c r="C4511" s="38">
        <v>44721</v>
      </c>
      <c r="D4511" s="1" t="s">
        <v>265</v>
      </c>
      <c r="E4511" s="1" t="s">
        <v>33</v>
      </c>
      <c r="F4511" s="1" t="s">
        <v>199</v>
      </c>
      <c r="G4511" s="5">
        <v>762.08</v>
      </c>
    </row>
    <row r="4512" spans="1:7" x14ac:dyDescent="0.2">
      <c r="A4512" s="3">
        <v>432</v>
      </c>
      <c r="B4512" s="2">
        <v>46781.279999999999</v>
      </c>
      <c r="C4512" s="38">
        <v>44690</v>
      </c>
      <c r="D4512" s="1" t="s">
        <v>237</v>
      </c>
      <c r="E4512" s="1" t="s">
        <v>33</v>
      </c>
      <c r="F4512" s="1" t="s">
        <v>199</v>
      </c>
      <c r="G4512" s="5">
        <v>108.29</v>
      </c>
    </row>
    <row r="4513" spans="1:7" x14ac:dyDescent="0.2">
      <c r="A4513" s="3">
        <v>540</v>
      </c>
      <c r="B4513" s="2">
        <v>58476.6</v>
      </c>
      <c r="C4513" s="38">
        <v>44690</v>
      </c>
      <c r="D4513" s="1" t="s">
        <v>237</v>
      </c>
      <c r="E4513" s="1" t="s">
        <v>33</v>
      </c>
      <c r="F4513" s="1" t="s">
        <v>199</v>
      </c>
      <c r="G4513" s="5">
        <v>108.29</v>
      </c>
    </row>
    <row r="4514" spans="1:7" x14ac:dyDescent="0.2">
      <c r="A4514" s="3">
        <v>540</v>
      </c>
      <c r="B4514" s="2">
        <v>58476.6</v>
      </c>
      <c r="C4514" s="38">
        <v>44690</v>
      </c>
      <c r="D4514" s="1" t="s">
        <v>237</v>
      </c>
      <c r="E4514" s="1" t="s">
        <v>33</v>
      </c>
      <c r="F4514" s="1" t="s">
        <v>199</v>
      </c>
      <c r="G4514" s="5">
        <v>108.29</v>
      </c>
    </row>
    <row r="4515" spans="1:7" x14ac:dyDescent="0.2">
      <c r="A4515" s="3">
        <v>1820</v>
      </c>
      <c r="B4515" s="2">
        <v>1342.43</v>
      </c>
      <c r="C4515" s="38">
        <v>44690</v>
      </c>
      <c r="D4515" s="1" t="s">
        <v>343</v>
      </c>
      <c r="E4515" s="1" t="s">
        <v>33</v>
      </c>
      <c r="F4515" s="1" t="s">
        <v>199</v>
      </c>
      <c r="G4515" s="5">
        <v>0.73760000000000003</v>
      </c>
    </row>
    <row r="4516" spans="1:7" x14ac:dyDescent="0.2">
      <c r="A4516" s="3">
        <v>4382</v>
      </c>
      <c r="B4516" s="2">
        <v>407394.54</v>
      </c>
      <c r="C4516" s="38">
        <v>44690</v>
      </c>
      <c r="D4516" s="1" t="s">
        <v>266</v>
      </c>
      <c r="E4516" s="1" t="s">
        <v>33</v>
      </c>
      <c r="F4516" s="1" t="s">
        <v>199</v>
      </c>
      <c r="G4516" s="5">
        <v>92.97</v>
      </c>
    </row>
    <row r="4517" spans="1:7" x14ac:dyDescent="0.2">
      <c r="A4517" s="3">
        <v>1160</v>
      </c>
      <c r="B4517" s="2">
        <v>104098.4</v>
      </c>
      <c r="C4517" s="38">
        <v>44740</v>
      </c>
      <c r="D4517" s="1" t="s">
        <v>253</v>
      </c>
      <c r="E4517" s="1" t="s">
        <v>33</v>
      </c>
      <c r="F4517" s="1" t="s">
        <v>199</v>
      </c>
      <c r="G4517" s="5">
        <v>89.74</v>
      </c>
    </row>
    <row r="4518" spans="1:7" x14ac:dyDescent="0.2">
      <c r="A4518" s="3">
        <v>1000</v>
      </c>
      <c r="B4518" s="2">
        <v>1830</v>
      </c>
      <c r="C4518" s="38">
        <v>44593</v>
      </c>
      <c r="D4518" s="1" t="s">
        <v>238</v>
      </c>
      <c r="E4518" s="1" t="s">
        <v>33</v>
      </c>
      <c r="F4518" s="1" t="s">
        <v>199</v>
      </c>
      <c r="G4518" s="5">
        <v>1.83</v>
      </c>
    </row>
    <row r="4519" spans="1:7" x14ac:dyDescent="0.2">
      <c r="A4519" s="3">
        <v>324</v>
      </c>
      <c r="B4519" s="2">
        <v>35085.96</v>
      </c>
      <c r="C4519" s="38">
        <v>44692</v>
      </c>
      <c r="D4519" s="1" t="s">
        <v>237</v>
      </c>
      <c r="E4519" s="1" t="s">
        <v>33</v>
      </c>
      <c r="F4519" s="1" t="s">
        <v>199</v>
      </c>
      <c r="G4519" s="5">
        <v>108.29</v>
      </c>
    </row>
    <row r="4520" spans="1:7" x14ac:dyDescent="0.2">
      <c r="A4520" s="3">
        <v>1820</v>
      </c>
      <c r="B4520" s="2">
        <v>1342.43</v>
      </c>
      <c r="C4520" s="38">
        <v>44564</v>
      </c>
      <c r="D4520" s="1" t="s">
        <v>343</v>
      </c>
      <c r="E4520" s="1" t="s">
        <v>33</v>
      </c>
      <c r="F4520" s="1" t="s">
        <v>199</v>
      </c>
      <c r="G4520" s="5">
        <v>0.73760000000000003</v>
      </c>
    </row>
    <row r="4521" spans="1:7" x14ac:dyDescent="0.2">
      <c r="A4521" s="3">
        <v>432</v>
      </c>
      <c r="B4521" s="2">
        <v>46785.599999999999</v>
      </c>
      <c r="C4521" s="38">
        <v>44929</v>
      </c>
      <c r="D4521" s="1" t="s">
        <v>237</v>
      </c>
      <c r="E4521" s="1" t="s">
        <v>33</v>
      </c>
      <c r="F4521" s="1" t="s">
        <v>199</v>
      </c>
      <c r="G4521" s="5">
        <v>108.3</v>
      </c>
    </row>
    <row r="4522" spans="1:7" x14ac:dyDescent="0.2">
      <c r="A4522" s="3">
        <v>324</v>
      </c>
      <c r="B4522" s="2">
        <v>35089.199999999997</v>
      </c>
      <c r="C4522" s="38">
        <v>44929</v>
      </c>
      <c r="D4522" s="1" t="s">
        <v>237</v>
      </c>
      <c r="E4522" s="1" t="s">
        <v>33</v>
      </c>
      <c r="F4522" s="1" t="s">
        <v>199</v>
      </c>
      <c r="G4522" s="5">
        <v>108.3</v>
      </c>
    </row>
    <row r="4523" spans="1:7" x14ac:dyDescent="0.2">
      <c r="A4523" s="3">
        <v>324</v>
      </c>
      <c r="B4523" s="2">
        <v>35089.199999999997</v>
      </c>
      <c r="C4523" s="38">
        <v>44929</v>
      </c>
      <c r="D4523" s="1" t="s">
        <v>237</v>
      </c>
      <c r="E4523" s="1" t="s">
        <v>33</v>
      </c>
      <c r="F4523" s="1" t="s">
        <v>199</v>
      </c>
      <c r="G4523" s="5">
        <v>108.3</v>
      </c>
    </row>
    <row r="4524" spans="1:7" x14ac:dyDescent="0.2">
      <c r="A4524" s="3">
        <v>216</v>
      </c>
      <c r="B4524" s="2">
        <v>23392.799999999999</v>
      </c>
      <c r="C4524" s="38">
        <v>44929</v>
      </c>
      <c r="D4524" s="1" t="s">
        <v>237</v>
      </c>
      <c r="E4524" s="1" t="s">
        <v>33</v>
      </c>
      <c r="F4524" s="1" t="s">
        <v>199</v>
      </c>
      <c r="G4524" s="5">
        <v>108.3</v>
      </c>
    </row>
    <row r="4525" spans="1:7" x14ac:dyDescent="0.2">
      <c r="A4525" s="3">
        <v>432</v>
      </c>
      <c r="B4525" s="2">
        <v>46785.599999999999</v>
      </c>
      <c r="C4525" s="38">
        <v>44929</v>
      </c>
      <c r="D4525" s="1" t="s">
        <v>237</v>
      </c>
      <c r="E4525" s="1" t="s">
        <v>33</v>
      </c>
      <c r="F4525" s="1" t="s">
        <v>199</v>
      </c>
      <c r="G4525" s="5">
        <v>108.3</v>
      </c>
    </row>
    <row r="4526" spans="1:7" x14ac:dyDescent="0.2">
      <c r="A4526" s="3">
        <v>324</v>
      </c>
      <c r="B4526" s="2">
        <v>35089.199999999997</v>
      </c>
      <c r="C4526" s="38">
        <v>44929</v>
      </c>
      <c r="D4526" s="1" t="s">
        <v>237</v>
      </c>
      <c r="E4526" s="1" t="s">
        <v>33</v>
      </c>
      <c r="F4526" s="1" t="s">
        <v>199</v>
      </c>
      <c r="G4526" s="5">
        <v>108.3</v>
      </c>
    </row>
    <row r="4527" spans="1:7" x14ac:dyDescent="0.2">
      <c r="A4527" s="3">
        <v>216</v>
      </c>
      <c r="B4527" s="2">
        <v>23392.799999999999</v>
      </c>
      <c r="C4527" s="38">
        <v>44929</v>
      </c>
      <c r="D4527" s="1" t="s">
        <v>237</v>
      </c>
      <c r="E4527" s="1" t="s">
        <v>33</v>
      </c>
      <c r="F4527" s="1" t="s">
        <v>199</v>
      </c>
      <c r="G4527" s="5">
        <v>108.3</v>
      </c>
    </row>
    <row r="4528" spans="1:7" x14ac:dyDescent="0.2">
      <c r="A4528" s="3">
        <v>1000</v>
      </c>
      <c r="B4528" s="2">
        <v>1830</v>
      </c>
      <c r="C4528" s="38">
        <v>44929</v>
      </c>
      <c r="D4528" s="1" t="s">
        <v>238</v>
      </c>
      <c r="E4528" s="1" t="s">
        <v>33</v>
      </c>
      <c r="F4528" s="1" t="s">
        <v>199</v>
      </c>
      <c r="G4528" s="5">
        <v>1.83</v>
      </c>
    </row>
    <row r="4529" spans="1:7" x14ac:dyDescent="0.2">
      <c r="A4529" s="3">
        <v>2000</v>
      </c>
      <c r="B4529" s="2">
        <v>3880</v>
      </c>
      <c r="C4529" s="38">
        <v>44929</v>
      </c>
      <c r="D4529" s="1" t="s">
        <v>238</v>
      </c>
      <c r="E4529" s="1" t="s">
        <v>33</v>
      </c>
      <c r="F4529" s="1" t="s">
        <v>199</v>
      </c>
      <c r="G4529" s="5">
        <v>1.94</v>
      </c>
    </row>
    <row r="4530" spans="1:7" x14ac:dyDescent="0.2">
      <c r="A4530" s="3">
        <v>240</v>
      </c>
      <c r="B4530" s="2">
        <v>102048</v>
      </c>
      <c r="C4530" s="38">
        <v>44929</v>
      </c>
      <c r="D4530" s="1" t="s">
        <v>240</v>
      </c>
      <c r="E4530" s="1" t="s">
        <v>33</v>
      </c>
      <c r="F4530" s="1" t="s">
        <v>199</v>
      </c>
      <c r="G4530" s="5">
        <v>425.2</v>
      </c>
    </row>
    <row r="4531" spans="1:7" x14ac:dyDescent="0.2">
      <c r="A4531" s="3">
        <v>240</v>
      </c>
      <c r="B4531" s="2">
        <v>102048</v>
      </c>
      <c r="C4531" s="38">
        <v>44929</v>
      </c>
      <c r="D4531" s="1" t="s">
        <v>240</v>
      </c>
      <c r="E4531" s="1" t="s">
        <v>33</v>
      </c>
      <c r="F4531" s="1" t="s">
        <v>199</v>
      </c>
      <c r="G4531" s="5">
        <v>425.2</v>
      </c>
    </row>
    <row r="4532" spans="1:7" x14ac:dyDescent="0.2">
      <c r="A4532" s="3">
        <v>648</v>
      </c>
      <c r="B4532" s="2">
        <v>70171.92</v>
      </c>
      <c r="C4532" s="38">
        <v>44699</v>
      </c>
      <c r="D4532" s="1" t="s">
        <v>237</v>
      </c>
      <c r="E4532" s="1" t="s">
        <v>33</v>
      </c>
      <c r="F4532" s="1" t="s">
        <v>199</v>
      </c>
      <c r="G4532" s="5">
        <v>108.29</v>
      </c>
    </row>
    <row r="4533" spans="1:7" x14ac:dyDescent="0.2">
      <c r="A4533" s="3">
        <v>324</v>
      </c>
      <c r="B4533" s="2">
        <v>35085.96</v>
      </c>
      <c r="C4533" s="38">
        <v>44699</v>
      </c>
      <c r="D4533" s="1" t="s">
        <v>237</v>
      </c>
      <c r="E4533" s="1" t="s">
        <v>33</v>
      </c>
      <c r="F4533" s="1" t="s">
        <v>199</v>
      </c>
      <c r="G4533" s="5">
        <v>108.29</v>
      </c>
    </row>
    <row r="4534" spans="1:7" x14ac:dyDescent="0.2">
      <c r="A4534" s="3">
        <v>40</v>
      </c>
      <c r="B4534" s="2">
        <v>17008</v>
      </c>
      <c r="C4534" s="38">
        <v>44929</v>
      </c>
      <c r="D4534" s="1" t="s">
        <v>240</v>
      </c>
      <c r="E4534" s="1" t="s">
        <v>33</v>
      </c>
      <c r="F4534" s="1" t="s">
        <v>199</v>
      </c>
      <c r="G4534" s="5">
        <v>425.2</v>
      </c>
    </row>
    <row r="4535" spans="1:7" x14ac:dyDescent="0.2">
      <c r="A4535" s="3">
        <v>3024</v>
      </c>
      <c r="B4535" s="2">
        <v>126493.92</v>
      </c>
      <c r="C4535" s="38">
        <v>44929</v>
      </c>
      <c r="D4535" s="1" t="s">
        <v>242</v>
      </c>
      <c r="E4535" s="1" t="s">
        <v>33</v>
      </c>
      <c r="F4535" s="1" t="s">
        <v>199</v>
      </c>
      <c r="G4535" s="5">
        <v>41.83</v>
      </c>
    </row>
    <row r="4536" spans="1:7" x14ac:dyDescent="0.2">
      <c r="A4536" s="3">
        <v>1176</v>
      </c>
      <c r="B4536" s="2">
        <v>105546</v>
      </c>
      <c r="C4536" s="38">
        <v>44929</v>
      </c>
      <c r="D4536" s="1" t="s">
        <v>253</v>
      </c>
      <c r="E4536" s="1" t="s">
        <v>33</v>
      </c>
      <c r="F4536" s="1" t="s">
        <v>199</v>
      </c>
      <c r="G4536" s="5">
        <v>89.75</v>
      </c>
    </row>
    <row r="4537" spans="1:7" x14ac:dyDescent="0.2">
      <c r="A4537" s="3">
        <v>420</v>
      </c>
      <c r="B4537" s="2">
        <v>6266.4</v>
      </c>
      <c r="C4537" s="38">
        <v>44678</v>
      </c>
      <c r="D4537" s="1" t="s">
        <v>322</v>
      </c>
      <c r="E4537" s="1" t="s">
        <v>33</v>
      </c>
      <c r="F4537" s="1" t="s">
        <v>199</v>
      </c>
      <c r="G4537" s="5">
        <v>14.92</v>
      </c>
    </row>
    <row r="4538" spans="1:7" x14ac:dyDescent="0.2">
      <c r="A4538" s="3">
        <v>420</v>
      </c>
      <c r="B4538" s="2">
        <v>6266.4</v>
      </c>
      <c r="C4538" s="38">
        <v>44678</v>
      </c>
      <c r="D4538" s="1" t="s">
        <v>322</v>
      </c>
      <c r="E4538" s="1" t="s">
        <v>33</v>
      </c>
      <c r="F4538" s="1" t="s">
        <v>199</v>
      </c>
      <c r="G4538" s="5">
        <v>14.92</v>
      </c>
    </row>
    <row r="4539" spans="1:7" x14ac:dyDescent="0.2">
      <c r="A4539" s="3">
        <v>588</v>
      </c>
      <c r="B4539" s="2">
        <v>75075.839999999997</v>
      </c>
      <c r="C4539" s="38">
        <v>44768</v>
      </c>
      <c r="D4539" s="1" t="s">
        <v>299</v>
      </c>
      <c r="E4539" s="1" t="s">
        <v>33</v>
      </c>
      <c r="F4539" s="1" t="s">
        <v>199</v>
      </c>
      <c r="G4539" s="5">
        <v>127.68</v>
      </c>
    </row>
    <row r="4540" spans="1:7" x14ac:dyDescent="0.2">
      <c r="A4540" s="3">
        <v>588</v>
      </c>
      <c r="B4540" s="2">
        <v>75075.839999999997</v>
      </c>
      <c r="C4540" s="38">
        <v>44768</v>
      </c>
      <c r="D4540" s="1" t="s">
        <v>299</v>
      </c>
      <c r="E4540" s="1" t="s">
        <v>33</v>
      </c>
      <c r="F4540" s="1" t="s">
        <v>199</v>
      </c>
      <c r="G4540" s="5">
        <v>127.68</v>
      </c>
    </row>
    <row r="4541" spans="1:7" x14ac:dyDescent="0.2">
      <c r="A4541" s="3">
        <v>588</v>
      </c>
      <c r="B4541" s="2">
        <v>75075.839999999997</v>
      </c>
      <c r="C4541" s="38">
        <v>44768</v>
      </c>
      <c r="D4541" s="1" t="s">
        <v>299</v>
      </c>
      <c r="E4541" s="1" t="s">
        <v>33</v>
      </c>
      <c r="F4541" s="1" t="s">
        <v>199</v>
      </c>
      <c r="G4541" s="5">
        <v>127.68</v>
      </c>
    </row>
    <row r="4542" spans="1:7" x14ac:dyDescent="0.2">
      <c r="A4542" s="3">
        <v>588</v>
      </c>
      <c r="B4542" s="2">
        <v>75075.839999999997</v>
      </c>
      <c r="C4542" s="38">
        <v>44768</v>
      </c>
      <c r="D4542" s="1" t="s">
        <v>299</v>
      </c>
      <c r="E4542" s="1" t="s">
        <v>33</v>
      </c>
      <c r="F4542" s="1" t="s">
        <v>199</v>
      </c>
      <c r="G4542" s="5">
        <v>127.68</v>
      </c>
    </row>
    <row r="4543" spans="1:7" x14ac:dyDescent="0.2">
      <c r="A4543" s="3">
        <v>4500</v>
      </c>
      <c r="B4543" s="2">
        <v>5175</v>
      </c>
      <c r="C4543" s="38">
        <v>44768</v>
      </c>
      <c r="D4543" s="1" t="s">
        <v>261</v>
      </c>
      <c r="E4543" s="1" t="s">
        <v>33</v>
      </c>
      <c r="F4543" s="1" t="s">
        <v>199</v>
      </c>
      <c r="G4543" s="5">
        <v>1.1499999999999999</v>
      </c>
    </row>
    <row r="4544" spans="1:7" x14ac:dyDescent="0.2">
      <c r="A4544" s="3">
        <v>60</v>
      </c>
      <c r="B4544" s="2">
        <v>26432.400000000001</v>
      </c>
      <c r="C4544" s="38">
        <v>44816</v>
      </c>
      <c r="D4544" s="1" t="s">
        <v>248</v>
      </c>
      <c r="E4544" s="1" t="s">
        <v>33</v>
      </c>
      <c r="F4544" s="1" t="s">
        <v>199</v>
      </c>
      <c r="G4544" s="5">
        <v>440.54</v>
      </c>
    </row>
    <row r="4545" spans="1:7" x14ac:dyDescent="0.2">
      <c r="A4545" s="3">
        <v>1820</v>
      </c>
      <c r="B4545" s="2">
        <v>4313.3999999999996</v>
      </c>
      <c r="C4545" s="38">
        <v>44816</v>
      </c>
      <c r="D4545" s="1" t="s">
        <v>250</v>
      </c>
      <c r="E4545" s="1" t="s">
        <v>33</v>
      </c>
      <c r="F4545" s="1" t="s">
        <v>199</v>
      </c>
      <c r="G4545" s="5">
        <v>2.37</v>
      </c>
    </row>
    <row r="4546" spans="1:7" x14ac:dyDescent="0.2">
      <c r="A4546" s="3">
        <v>1820</v>
      </c>
      <c r="B4546" s="2">
        <v>4313.3999999999996</v>
      </c>
      <c r="C4546" s="38">
        <v>44816</v>
      </c>
      <c r="D4546" s="1" t="s">
        <v>250</v>
      </c>
      <c r="E4546" s="1" t="s">
        <v>33</v>
      </c>
      <c r="F4546" s="1" t="s">
        <v>199</v>
      </c>
      <c r="G4546" s="5">
        <v>2.37</v>
      </c>
    </row>
    <row r="4547" spans="1:7" x14ac:dyDescent="0.2">
      <c r="A4547" s="3">
        <v>1820</v>
      </c>
      <c r="B4547" s="2">
        <v>4313.3999999999996</v>
      </c>
      <c r="C4547" s="38">
        <v>44816</v>
      </c>
      <c r="D4547" s="1" t="s">
        <v>250</v>
      </c>
      <c r="E4547" s="1" t="s">
        <v>33</v>
      </c>
      <c r="F4547" s="1" t="s">
        <v>199</v>
      </c>
      <c r="G4547" s="5">
        <v>2.37</v>
      </c>
    </row>
    <row r="4548" spans="1:7" x14ac:dyDescent="0.2">
      <c r="A4548" s="3">
        <v>1820</v>
      </c>
      <c r="B4548" s="2">
        <v>4313.3999999999996</v>
      </c>
      <c r="C4548" s="38">
        <v>44816</v>
      </c>
      <c r="D4548" s="1" t="s">
        <v>250</v>
      </c>
      <c r="E4548" s="1" t="s">
        <v>33</v>
      </c>
      <c r="F4548" s="1" t="s">
        <v>199</v>
      </c>
      <c r="G4548" s="5">
        <v>2.37</v>
      </c>
    </row>
    <row r="4549" spans="1:7" x14ac:dyDescent="0.2">
      <c r="A4549" s="3">
        <v>588</v>
      </c>
      <c r="B4549" s="2">
        <v>52767.12</v>
      </c>
      <c r="C4549" s="38">
        <v>44816</v>
      </c>
      <c r="D4549" s="1" t="s">
        <v>253</v>
      </c>
      <c r="E4549" s="1" t="s">
        <v>33</v>
      </c>
      <c r="F4549" s="1" t="s">
        <v>199</v>
      </c>
      <c r="G4549" s="5">
        <v>89.74</v>
      </c>
    </row>
    <row r="4550" spans="1:7" x14ac:dyDescent="0.2">
      <c r="A4550" s="3">
        <v>252</v>
      </c>
      <c r="B4550" s="2">
        <v>19056.240000000002</v>
      </c>
      <c r="C4550" s="38">
        <v>44825</v>
      </c>
      <c r="D4550" s="1" t="s">
        <v>243</v>
      </c>
      <c r="E4550" s="1" t="s">
        <v>33</v>
      </c>
      <c r="F4550" s="1" t="s">
        <v>199</v>
      </c>
      <c r="G4550" s="5">
        <v>75.62</v>
      </c>
    </row>
    <row r="4551" spans="1:7" x14ac:dyDescent="0.2">
      <c r="A4551" s="3">
        <v>252</v>
      </c>
      <c r="B4551" s="2">
        <v>19056.240000000002</v>
      </c>
      <c r="C4551" s="38">
        <v>44825</v>
      </c>
      <c r="D4551" s="1" t="s">
        <v>243</v>
      </c>
      <c r="E4551" s="1" t="s">
        <v>33</v>
      </c>
      <c r="F4551" s="1" t="s">
        <v>199</v>
      </c>
      <c r="G4551" s="5">
        <v>75.62</v>
      </c>
    </row>
    <row r="4552" spans="1:7" x14ac:dyDescent="0.2">
      <c r="A4552" s="3">
        <v>252</v>
      </c>
      <c r="B4552" s="2">
        <v>19056.240000000002</v>
      </c>
      <c r="C4552" s="38">
        <v>44825</v>
      </c>
      <c r="D4552" s="1" t="s">
        <v>243</v>
      </c>
      <c r="E4552" s="1" t="s">
        <v>33</v>
      </c>
      <c r="F4552" s="1" t="s">
        <v>199</v>
      </c>
      <c r="G4552" s="5">
        <v>75.62</v>
      </c>
    </row>
    <row r="4553" spans="1:7" x14ac:dyDescent="0.2">
      <c r="A4553" s="3">
        <v>30</v>
      </c>
      <c r="B4553" s="2">
        <v>13216.2</v>
      </c>
      <c r="C4553" s="38">
        <v>44825</v>
      </c>
      <c r="D4553" s="1" t="s">
        <v>248</v>
      </c>
      <c r="E4553" s="1" t="s">
        <v>33</v>
      </c>
      <c r="F4553" s="1" t="s">
        <v>199</v>
      </c>
      <c r="G4553" s="5">
        <v>440.54</v>
      </c>
    </row>
    <row r="4554" spans="1:7" x14ac:dyDescent="0.2">
      <c r="A4554" s="3">
        <v>30</v>
      </c>
      <c r="B4554" s="2">
        <v>13216.2</v>
      </c>
      <c r="C4554" s="38">
        <v>44825</v>
      </c>
      <c r="D4554" s="1" t="s">
        <v>248</v>
      </c>
      <c r="E4554" s="1" t="s">
        <v>33</v>
      </c>
      <c r="F4554" s="1" t="s">
        <v>199</v>
      </c>
      <c r="G4554" s="5">
        <v>440.54</v>
      </c>
    </row>
    <row r="4555" spans="1:7" x14ac:dyDescent="0.2">
      <c r="A4555" s="3">
        <v>90</v>
      </c>
      <c r="B4555" s="2">
        <v>39648.6</v>
      </c>
      <c r="C4555" s="38">
        <v>44825</v>
      </c>
      <c r="D4555" s="1" t="s">
        <v>248</v>
      </c>
      <c r="E4555" s="1" t="s">
        <v>33</v>
      </c>
      <c r="F4555" s="1" t="s">
        <v>199</v>
      </c>
      <c r="G4555" s="5">
        <v>440.54</v>
      </c>
    </row>
    <row r="4556" spans="1:7" x14ac:dyDescent="0.2">
      <c r="A4556" s="3">
        <v>90</v>
      </c>
      <c r="B4556" s="2">
        <v>39648.6</v>
      </c>
      <c r="C4556" s="38">
        <v>44825</v>
      </c>
      <c r="D4556" s="1" t="s">
        <v>248</v>
      </c>
      <c r="E4556" s="1" t="s">
        <v>33</v>
      </c>
      <c r="F4556" s="1" t="s">
        <v>199</v>
      </c>
      <c r="G4556" s="5">
        <v>440.54</v>
      </c>
    </row>
    <row r="4557" spans="1:7" x14ac:dyDescent="0.2">
      <c r="A4557" s="3">
        <v>588</v>
      </c>
      <c r="B4557" s="2">
        <v>52767.12</v>
      </c>
      <c r="C4557" s="38">
        <v>44825</v>
      </c>
      <c r="D4557" s="1" t="s">
        <v>253</v>
      </c>
      <c r="E4557" s="1" t="s">
        <v>33</v>
      </c>
      <c r="F4557" s="1" t="s">
        <v>199</v>
      </c>
      <c r="G4557" s="5">
        <v>89.74</v>
      </c>
    </row>
    <row r="4558" spans="1:7" x14ac:dyDescent="0.2">
      <c r="A4558" s="3">
        <v>324</v>
      </c>
      <c r="B4558" s="2">
        <v>35089.199999999997</v>
      </c>
      <c r="C4558" s="38">
        <v>44826</v>
      </c>
      <c r="D4558" s="1" t="s">
        <v>237</v>
      </c>
      <c r="E4558" s="1" t="s">
        <v>33</v>
      </c>
      <c r="F4558" s="1" t="s">
        <v>199</v>
      </c>
      <c r="G4558" s="5">
        <v>108.3</v>
      </c>
    </row>
    <row r="4559" spans="1:7" x14ac:dyDescent="0.2">
      <c r="A4559" s="3">
        <v>60</v>
      </c>
      <c r="B4559" s="2">
        <v>26432.400000000001</v>
      </c>
      <c r="C4559" s="38">
        <v>44826</v>
      </c>
      <c r="D4559" s="1" t="s">
        <v>248</v>
      </c>
      <c r="E4559" s="1" t="s">
        <v>33</v>
      </c>
      <c r="F4559" s="1" t="s">
        <v>199</v>
      </c>
      <c r="G4559" s="5">
        <v>440.54</v>
      </c>
    </row>
    <row r="4560" spans="1:7" x14ac:dyDescent="0.2">
      <c r="A4560" s="3">
        <v>100</v>
      </c>
      <c r="B4560" s="2">
        <v>42520</v>
      </c>
      <c r="C4560" s="38">
        <v>44866</v>
      </c>
      <c r="D4560" s="1" t="s">
        <v>240</v>
      </c>
      <c r="E4560" s="1" t="s">
        <v>33</v>
      </c>
      <c r="F4560" s="1" t="s">
        <v>199</v>
      </c>
      <c r="G4560" s="5">
        <v>425.2</v>
      </c>
    </row>
    <row r="4561" spans="1:7" x14ac:dyDescent="0.2">
      <c r="A4561" s="3">
        <v>180</v>
      </c>
      <c r="B4561" s="2">
        <v>137174.39999999999</v>
      </c>
      <c r="C4561" s="38">
        <v>44866</v>
      </c>
      <c r="D4561" s="1" t="s">
        <v>265</v>
      </c>
      <c r="E4561" s="1" t="s">
        <v>33</v>
      </c>
      <c r="F4561" s="1" t="s">
        <v>199</v>
      </c>
      <c r="G4561" s="5">
        <v>762.08</v>
      </c>
    </row>
    <row r="4562" spans="1:7" x14ac:dyDescent="0.2">
      <c r="A4562" s="3">
        <v>60</v>
      </c>
      <c r="B4562" s="2">
        <v>26432.400000000001</v>
      </c>
      <c r="C4562" s="38">
        <v>44868</v>
      </c>
      <c r="D4562" s="1" t="s">
        <v>248</v>
      </c>
      <c r="E4562" s="1" t="s">
        <v>33</v>
      </c>
      <c r="F4562" s="1" t="s">
        <v>199</v>
      </c>
      <c r="G4562" s="5">
        <v>440.54</v>
      </c>
    </row>
    <row r="4563" spans="1:7" x14ac:dyDescent="0.2">
      <c r="A4563" s="3">
        <v>30</v>
      </c>
      <c r="B4563" s="2">
        <v>13216.2</v>
      </c>
      <c r="C4563" s="38">
        <v>44868</v>
      </c>
      <c r="D4563" s="1" t="s">
        <v>248</v>
      </c>
      <c r="E4563" s="1" t="s">
        <v>33</v>
      </c>
      <c r="F4563" s="1" t="s">
        <v>199</v>
      </c>
      <c r="G4563" s="5">
        <v>440.54</v>
      </c>
    </row>
    <row r="4564" spans="1:7" x14ac:dyDescent="0.2">
      <c r="A4564" s="3">
        <v>180</v>
      </c>
      <c r="B4564" s="2">
        <v>137174.39999999999</v>
      </c>
      <c r="C4564" s="38">
        <v>44771</v>
      </c>
      <c r="D4564" s="1" t="s">
        <v>265</v>
      </c>
      <c r="E4564" s="1" t="s">
        <v>33</v>
      </c>
      <c r="F4564" s="1" t="s">
        <v>199</v>
      </c>
      <c r="G4564" s="5">
        <v>762.08</v>
      </c>
    </row>
    <row r="4565" spans="1:7" x14ac:dyDescent="0.2">
      <c r="A4565" s="3">
        <v>144</v>
      </c>
      <c r="B4565" s="2">
        <v>41486.400000000001</v>
      </c>
      <c r="C4565" s="38">
        <v>44830</v>
      </c>
      <c r="D4565" s="1" t="s">
        <v>239</v>
      </c>
      <c r="E4565" s="1" t="s">
        <v>33</v>
      </c>
      <c r="F4565" s="1" t="s">
        <v>199</v>
      </c>
      <c r="G4565" s="5">
        <v>288.10000000000002</v>
      </c>
    </row>
    <row r="4566" spans="1:7" x14ac:dyDescent="0.2">
      <c r="A4566" s="3">
        <v>936</v>
      </c>
      <c r="B4566" s="2">
        <v>269661.59999999998</v>
      </c>
      <c r="C4566" s="38">
        <v>44830</v>
      </c>
      <c r="D4566" s="1" t="s">
        <v>239</v>
      </c>
      <c r="E4566" s="1" t="s">
        <v>33</v>
      </c>
      <c r="F4566" s="1" t="s">
        <v>199</v>
      </c>
      <c r="G4566" s="5">
        <v>288.10000000000002</v>
      </c>
    </row>
    <row r="4567" spans="1:7" x14ac:dyDescent="0.2">
      <c r="A4567" s="3">
        <v>252</v>
      </c>
      <c r="B4567" s="2">
        <v>19056.240000000002</v>
      </c>
      <c r="C4567" s="38">
        <v>44830</v>
      </c>
      <c r="D4567" s="1" t="s">
        <v>243</v>
      </c>
      <c r="E4567" s="1" t="s">
        <v>33</v>
      </c>
      <c r="F4567" s="1" t="s">
        <v>199</v>
      </c>
      <c r="G4567" s="5">
        <v>75.62</v>
      </c>
    </row>
    <row r="4568" spans="1:7" x14ac:dyDescent="0.2">
      <c r="A4568" s="3">
        <v>252</v>
      </c>
      <c r="B4568" s="2">
        <v>19056.240000000002</v>
      </c>
      <c r="C4568" s="38">
        <v>44830</v>
      </c>
      <c r="D4568" s="1" t="s">
        <v>243</v>
      </c>
      <c r="E4568" s="1" t="s">
        <v>33</v>
      </c>
      <c r="F4568" s="1" t="s">
        <v>199</v>
      </c>
      <c r="G4568" s="5">
        <v>75.62</v>
      </c>
    </row>
    <row r="4569" spans="1:7" x14ac:dyDescent="0.2">
      <c r="A4569" s="3">
        <v>30</v>
      </c>
      <c r="B4569" s="2">
        <v>13216.2</v>
      </c>
      <c r="C4569" s="38">
        <v>44830</v>
      </c>
      <c r="D4569" s="1" t="s">
        <v>248</v>
      </c>
      <c r="E4569" s="1" t="s">
        <v>33</v>
      </c>
      <c r="F4569" s="1" t="s">
        <v>199</v>
      </c>
      <c r="G4569" s="5">
        <v>440.54</v>
      </c>
    </row>
    <row r="4570" spans="1:7" x14ac:dyDescent="0.2">
      <c r="A4570" s="3">
        <v>30</v>
      </c>
      <c r="B4570" s="2">
        <v>13216.2</v>
      </c>
      <c r="C4570" s="38">
        <v>44830</v>
      </c>
      <c r="D4570" s="1" t="s">
        <v>248</v>
      </c>
      <c r="E4570" s="1" t="s">
        <v>33</v>
      </c>
      <c r="F4570" s="1" t="s">
        <v>199</v>
      </c>
      <c r="G4570" s="5">
        <v>440.54</v>
      </c>
    </row>
    <row r="4571" spans="1:7" x14ac:dyDescent="0.2">
      <c r="A4571" s="3">
        <v>30</v>
      </c>
      <c r="B4571" s="2">
        <v>13216.2</v>
      </c>
      <c r="C4571" s="38">
        <v>44830</v>
      </c>
      <c r="D4571" s="1" t="s">
        <v>248</v>
      </c>
      <c r="E4571" s="1" t="s">
        <v>33</v>
      </c>
      <c r="F4571" s="1" t="s">
        <v>199</v>
      </c>
      <c r="G4571" s="5">
        <v>440.54</v>
      </c>
    </row>
    <row r="4572" spans="1:7" x14ac:dyDescent="0.2">
      <c r="A4572" s="3">
        <v>28</v>
      </c>
      <c r="B4572" s="2">
        <v>70631.399999999994</v>
      </c>
      <c r="C4572" s="38">
        <v>44833</v>
      </c>
      <c r="D4572" s="1" t="s">
        <v>344</v>
      </c>
      <c r="E4572" s="1" t="s">
        <v>33</v>
      </c>
      <c r="F4572" s="1" t="s">
        <v>199</v>
      </c>
      <c r="G4572" s="5">
        <v>2522.5500000000002</v>
      </c>
    </row>
    <row r="4573" spans="1:7" x14ac:dyDescent="0.2">
      <c r="A4573" s="3">
        <v>279</v>
      </c>
      <c r="B4573" s="2">
        <v>23123.52</v>
      </c>
      <c r="C4573" s="38">
        <v>44833</v>
      </c>
      <c r="D4573" s="1" t="s">
        <v>321</v>
      </c>
      <c r="E4573" s="1" t="s">
        <v>33</v>
      </c>
      <c r="F4573" s="1" t="s">
        <v>199</v>
      </c>
      <c r="G4573" s="5">
        <v>82.88</v>
      </c>
    </row>
    <row r="4574" spans="1:7" x14ac:dyDescent="0.2">
      <c r="A4574" s="3">
        <v>1820</v>
      </c>
      <c r="B4574" s="2">
        <v>4313.3999999999996</v>
      </c>
      <c r="C4574" s="38">
        <v>44833</v>
      </c>
      <c r="D4574" s="1" t="s">
        <v>250</v>
      </c>
      <c r="E4574" s="1" t="s">
        <v>33</v>
      </c>
      <c r="F4574" s="1" t="s">
        <v>199</v>
      </c>
      <c r="G4574" s="5">
        <v>2.37</v>
      </c>
    </row>
    <row r="4575" spans="1:7" x14ac:dyDescent="0.2">
      <c r="A4575" s="3">
        <v>1820</v>
      </c>
      <c r="B4575" s="2">
        <v>4313.3999999999996</v>
      </c>
      <c r="C4575" s="38">
        <v>44833</v>
      </c>
      <c r="D4575" s="1" t="s">
        <v>250</v>
      </c>
      <c r="E4575" s="1" t="s">
        <v>33</v>
      </c>
      <c r="F4575" s="1" t="s">
        <v>199</v>
      </c>
      <c r="G4575" s="5">
        <v>2.37</v>
      </c>
    </row>
    <row r="4576" spans="1:7" x14ac:dyDescent="0.2">
      <c r="A4576" s="3">
        <v>4500</v>
      </c>
      <c r="B4576" s="2">
        <v>5175</v>
      </c>
      <c r="C4576" s="38">
        <v>44833</v>
      </c>
      <c r="D4576" s="1" t="s">
        <v>261</v>
      </c>
      <c r="E4576" s="1" t="s">
        <v>33</v>
      </c>
      <c r="F4576" s="1" t="s">
        <v>199</v>
      </c>
      <c r="G4576" s="5">
        <v>1.1499999999999999</v>
      </c>
    </row>
    <row r="4577" spans="1:7" x14ac:dyDescent="0.2">
      <c r="A4577" s="3">
        <v>240</v>
      </c>
      <c r="B4577" s="2">
        <v>182899.20000000001</v>
      </c>
      <c r="C4577" s="38">
        <v>44833</v>
      </c>
      <c r="D4577" s="1" t="s">
        <v>265</v>
      </c>
      <c r="E4577" s="1" t="s">
        <v>33</v>
      </c>
      <c r="F4577" s="1" t="s">
        <v>199</v>
      </c>
      <c r="G4577" s="5">
        <v>762.08</v>
      </c>
    </row>
    <row r="4578" spans="1:7" x14ac:dyDescent="0.2">
      <c r="A4578" s="3">
        <v>588</v>
      </c>
      <c r="B4578" s="2">
        <v>58982.28</v>
      </c>
      <c r="C4578" s="38">
        <v>44868</v>
      </c>
      <c r="D4578" s="1" t="s">
        <v>251</v>
      </c>
      <c r="E4578" s="1" t="s">
        <v>33</v>
      </c>
      <c r="F4578" s="1" t="s">
        <v>199</v>
      </c>
      <c r="G4578" s="5">
        <v>100.31</v>
      </c>
    </row>
    <row r="4579" spans="1:7" x14ac:dyDescent="0.2">
      <c r="A4579" s="3">
        <v>588</v>
      </c>
      <c r="B4579" s="2">
        <v>58982.28</v>
      </c>
      <c r="C4579" s="38">
        <v>44868</v>
      </c>
      <c r="D4579" s="1" t="s">
        <v>251</v>
      </c>
      <c r="E4579" s="1" t="s">
        <v>33</v>
      </c>
      <c r="F4579" s="1" t="s">
        <v>199</v>
      </c>
      <c r="G4579" s="5">
        <v>100.31</v>
      </c>
    </row>
    <row r="4580" spans="1:7" x14ac:dyDescent="0.2">
      <c r="A4580" s="3">
        <v>1820</v>
      </c>
      <c r="B4580" s="2">
        <v>4313.3999999999996</v>
      </c>
      <c r="C4580" s="38">
        <v>44873</v>
      </c>
      <c r="D4580" s="1" t="s">
        <v>250</v>
      </c>
      <c r="E4580" s="1" t="s">
        <v>33</v>
      </c>
      <c r="F4580" s="1" t="s">
        <v>199</v>
      </c>
      <c r="G4580" s="5">
        <v>2.37</v>
      </c>
    </row>
    <row r="4581" spans="1:7" x14ac:dyDescent="0.2">
      <c r="A4581" s="3">
        <v>588</v>
      </c>
      <c r="B4581" s="2">
        <v>58982.28</v>
      </c>
      <c r="C4581" s="38">
        <v>44873</v>
      </c>
      <c r="D4581" s="1" t="s">
        <v>251</v>
      </c>
      <c r="E4581" s="1" t="s">
        <v>33</v>
      </c>
      <c r="F4581" s="1" t="s">
        <v>199</v>
      </c>
      <c r="G4581" s="5">
        <v>100.31</v>
      </c>
    </row>
    <row r="4582" spans="1:7" x14ac:dyDescent="0.2">
      <c r="A4582" s="3">
        <v>20</v>
      </c>
      <c r="B4582" s="2">
        <v>8504</v>
      </c>
      <c r="C4582" s="38">
        <v>44875</v>
      </c>
      <c r="D4582" s="1" t="s">
        <v>240</v>
      </c>
      <c r="E4582" s="1" t="s">
        <v>33</v>
      </c>
      <c r="F4582" s="1" t="s">
        <v>199</v>
      </c>
      <c r="G4582" s="5">
        <v>425.2</v>
      </c>
    </row>
    <row r="4583" spans="1:7" x14ac:dyDescent="0.2">
      <c r="A4583" s="3">
        <v>324</v>
      </c>
      <c r="B4583" s="2">
        <v>35085.96</v>
      </c>
      <c r="C4583" s="38">
        <v>44743</v>
      </c>
      <c r="D4583" s="1" t="s">
        <v>237</v>
      </c>
      <c r="E4583" s="1" t="s">
        <v>33</v>
      </c>
      <c r="F4583" s="1" t="s">
        <v>199</v>
      </c>
      <c r="G4583" s="5">
        <v>108.29</v>
      </c>
    </row>
    <row r="4584" spans="1:7" x14ac:dyDescent="0.2">
      <c r="A4584" s="3">
        <v>1820</v>
      </c>
      <c r="B4584" s="2">
        <v>4313.3999999999996</v>
      </c>
      <c r="C4584" s="38">
        <v>44743</v>
      </c>
      <c r="D4584" s="1" t="s">
        <v>250</v>
      </c>
      <c r="E4584" s="1" t="s">
        <v>33</v>
      </c>
      <c r="F4584" s="1" t="s">
        <v>199</v>
      </c>
      <c r="G4584" s="5">
        <v>2.37</v>
      </c>
    </row>
    <row r="4585" spans="1:7" x14ac:dyDescent="0.2">
      <c r="A4585" s="3">
        <v>420</v>
      </c>
      <c r="B4585" s="2">
        <v>320073.59999999998</v>
      </c>
      <c r="C4585" s="38">
        <v>44833</v>
      </c>
      <c r="D4585" s="1" t="s">
        <v>265</v>
      </c>
      <c r="E4585" s="1" t="s">
        <v>33</v>
      </c>
      <c r="F4585" s="1" t="s">
        <v>199</v>
      </c>
      <c r="G4585" s="5">
        <v>762.08</v>
      </c>
    </row>
    <row r="4586" spans="1:7" x14ac:dyDescent="0.2">
      <c r="A4586" s="3">
        <v>216</v>
      </c>
      <c r="B4586" s="2">
        <v>23392.799999999999</v>
      </c>
      <c r="C4586" s="38">
        <v>44879</v>
      </c>
      <c r="D4586" s="1" t="s">
        <v>237</v>
      </c>
      <c r="E4586" s="1" t="s">
        <v>33</v>
      </c>
      <c r="F4586" s="1" t="s">
        <v>199</v>
      </c>
      <c r="G4586" s="5">
        <v>108.3</v>
      </c>
    </row>
    <row r="4587" spans="1:7" x14ac:dyDescent="0.2">
      <c r="A4587" s="3">
        <v>432</v>
      </c>
      <c r="B4587" s="2">
        <v>46785.599999999999</v>
      </c>
      <c r="C4587" s="38">
        <v>44879</v>
      </c>
      <c r="D4587" s="1" t="s">
        <v>237</v>
      </c>
      <c r="E4587" s="1" t="s">
        <v>33</v>
      </c>
      <c r="F4587" s="1" t="s">
        <v>199</v>
      </c>
      <c r="G4587" s="5">
        <v>108.3</v>
      </c>
    </row>
    <row r="4588" spans="1:7" x14ac:dyDescent="0.2">
      <c r="A4588" s="3">
        <v>216</v>
      </c>
      <c r="B4588" s="2">
        <v>23392.799999999999</v>
      </c>
      <c r="C4588" s="38">
        <v>44879</v>
      </c>
      <c r="D4588" s="1" t="s">
        <v>237</v>
      </c>
      <c r="E4588" s="1" t="s">
        <v>33</v>
      </c>
      <c r="F4588" s="1" t="s">
        <v>199</v>
      </c>
      <c r="G4588" s="5">
        <v>108.3</v>
      </c>
    </row>
    <row r="4589" spans="1:7" x14ac:dyDescent="0.2">
      <c r="A4589" s="3">
        <v>108</v>
      </c>
      <c r="B4589" s="2">
        <v>11696.4</v>
      </c>
      <c r="C4589" s="38">
        <v>44883</v>
      </c>
      <c r="D4589" s="1" t="s">
        <v>237</v>
      </c>
      <c r="E4589" s="1" t="s">
        <v>33</v>
      </c>
      <c r="F4589" s="1" t="s">
        <v>199</v>
      </c>
      <c r="G4589" s="5">
        <v>108.3</v>
      </c>
    </row>
    <row r="4590" spans="1:7" x14ac:dyDescent="0.2">
      <c r="A4590" s="3">
        <v>1820</v>
      </c>
      <c r="B4590" s="2">
        <v>4313.3999999999996</v>
      </c>
      <c r="C4590" s="38">
        <v>44883</v>
      </c>
      <c r="D4590" s="1" t="s">
        <v>250</v>
      </c>
      <c r="E4590" s="1" t="s">
        <v>33</v>
      </c>
      <c r="F4590" s="1" t="s">
        <v>199</v>
      </c>
      <c r="G4590" s="5">
        <v>2.37</v>
      </c>
    </row>
    <row r="4591" spans="1:7" x14ac:dyDescent="0.2">
      <c r="A4591" s="3">
        <v>1500</v>
      </c>
      <c r="B4591" s="2">
        <v>1725</v>
      </c>
      <c r="C4591" s="38">
        <v>44883</v>
      </c>
      <c r="D4591" s="1" t="s">
        <v>261</v>
      </c>
      <c r="E4591" s="1" t="s">
        <v>33</v>
      </c>
      <c r="F4591" s="1" t="s">
        <v>199</v>
      </c>
      <c r="G4591" s="5">
        <v>1.1499999999999999</v>
      </c>
    </row>
    <row r="4592" spans="1:7" x14ac:dyDescent="0.2">
      <c r="A4592" s="3">
        <v>240</v>
      </c>
      <c r="B4592" s="2">
        <v>182899.20000000001</v>
      </c>
      <c r="C4592" s="38">
        <v>44883</v>
      </c>
      <c r="D4592" s="1" t="s">
        <v>265</v>
      </c>
      <c r="E4592" s="1" t="s">
        <v>33</v>
      </c>
      <c r="F4592" s="1" t="s">
        <v>199</v>
      </c>
      <c r="G4592" s="5">
        <v>762.08</v>
      </c>
    </row>
    <row r="4593" spans="1:7" x14ac:dyDescent="0.2">
      <c r="A4593" s="3">
        <v>180</v>
      </c>
      <c r="B4593" s="2">
        <v>137174.39999999999</v>
      </c>
      <c r="C4593" s="38">
        <v>44883</v>
      </c>
      <c r="D4593" s="1" t="s">
        <v>265</v>
      </c>
      <c r="E4593" s="1" t="s">
        <v>33</v>
      </c>
      <c r="F4593" s="1" t="s">
        <v>199</v>
      </c>
      <c r="G4593" s="5">
        <v>762.08</v>
      </c>
    </row>
    <row r="4594" spans="1:7" x14ac:dyDescent="0.2">
      <c r="A4594" s="3">
        <v>72</v>
      </c>
      <c r="B4594" s="2">
        <v>6243.12</v>
      </c>
      <c r="C4594" s="38">
        <v>44788</v>
      </c>
      <c r="D4594" s="1" t="s">
        <v>295</v>
      </c>
      <c r="E4594" s="1" t="s">
        <v>33</v>
      </c>
      <c r="F4594" s="1" t="s">
        <v>199</v>
      </c>
      <c r="G4594" s="5">
        <v>86.71</v>
      </c>
    </row>
    <row r="4595" spans="1:7" x14ac:dyDescent="0.2">
      <c r="A4595" s="3">
        <v>36</v>
      </c>
      <c r="B4595" s="2">
        <v>3121.56</v>
      </c>
      <c r="C4595" s="38">
        <v>44788</v>
      </c>
      <c r="D4595" s="1" t="s">
        <v>295</v>
      </c>
      <c r="E4595" s="1" t="s">
        <v>33</v>
      </c>
      <c r="F4595" s="1" t="s">
        <v>199</v>
      </c>
      <c r="G4595" s="5">
        <v>86.71</v>
      </c>
    </row>
    <row r="4596" spans="1:7" x14ac:dyDescent="0.2">
      <c r="A4596" s="3">
        <v>30</v>
      </c>
      <c r="B4596" s="2">
        <v>13216.2</v>
      </c>
      <c r="C4596" s="38">
        <v>44839</v>
      </c>
      <c r="D4596" s="1" t="s">
        <v>248</v>
      </c>
      <c r="E4596" s="1" t="s">
        <v>33</v>
      </c>
      <c r="F4596" s="1" t="s">
        <v>199</v>
      </c>
      <c r="G4596" s="5">
        <v>440.54</v>
      </c>
    </row>
    <row r="4597" spans="1:7" x14ac:dyDescent="0.2">
      <c r="A4597" s="3">
        <v>108</v>
      </c>
      <c r="B4597" s="2">
        <v>11696.4</v>
      </c>
      <c r="C4597" s="38">
        <v>44841</v>
      </c>
      <c r="D4597" s="1" t="s">
        <v>237</v>
      </c>
      <c r="E4597" s="1" t="s">
        <v>33</v>
      </c>
      <c r="F4597" s="1" t="s">
        <v>199</v>
      </c>
      <c r="G4597" s="5">
        <v>108.3</v>
      </c>
    </row>
    <row r="4598" spans="1:7" x14ac:dyDescent="0.2">
      <c r="A4598" s="3">
        <v>432</v>
      </c>
      <c r="B4598" s="2">
        <v>46785.599999999999</v>
      </c>
      <c r="C4598" s="38">
        <v>44841</v>
      </c>
      <c r="D4598" s="1" t="s">
        <v>237</v>
      </c>
      <c r="E4598" s="1" t="s">
        <v>33</v>
      </c>
      <c r="F4598" s="1" t="s">
        <v>199</v>
      </c>
      <c r="G4598" s="5">
        <v>108.3</v>
      </c>
    </row>
    <row r="4599" spans="1:7" x14ac:dyDescent="0.2">
      <c r="A4599" s="3">
        <v>220</v>
      </c>
      <c r="B4599" s="2">
        <v>30272</v>
      </c>
      <c r="C4599" s="38">
        <v>44841</v>
      </c>
      <c r="D4599" s="1" t="s">
        <v>318</v>
      </c>
      <c r="E4599" s="1" t="s">
        <v>33</v>
      </c>
      <c r="F4599" s="1" t="s">
        <v>199</v>
      </c>
      <c r="G4599" s="5">
        <v>137.6</v>
      </c>
    </row>
    <row r="4600" spans="1:7" x14ac:dyDescent="0.2">
      <c r="A4600" s="3">
        <v>5460</v>
      </c>
      <c r="B4600" s="2">
        <v>4027.29</v>
      </c>
      <c r="C4600" s="38">
        <v>44524</v>
      </c>
      <c r="D4600" s="1" t="s">
        <v>343</v>
      </c>
      <c r="E4600" s="1" t="s">
        <v>33</v>
      </c>
      <c r="F4600" s="1" t="s">
        <v>199</v>
      </c>
      <c r="G4600" s="5">
        <v>0.73760000000000003</v>
      </c>
    </row>
    <row r="4601" spans="1:7" x14ac:dyDescent="0.2">
      <c r="A4601" s="3">
        <v>324</v>
      </c>
      <c r="B4601" s="2">
        <v>35089.199999999997</v>
      </c>
      <c r="C4601" s="38">
        <v>44894</v>
      </c>
      <c r="D4601" s="1" t="s">
        <v>237</v>
      </c>
      <c r="E4601" s="1" t="s">
        <v>33</v>
      </c>
      <c r="F4601" s="1" t="s">
        <v>199</v>
      </c>
      <c r="G4601" s="5">
        <v>108.3</v>
      </c>
    </row>
    <row r="4602" spans="1:7" x14ac:dyDescent="0.2">
      <c r="A4602" s="3">
        <v>432</v>
      </c>
      <c r="B4602" s="2">
        <v>46785.599999999999</v>
      </c>
      <c r="C4602" s="38">
        <v>44894</v>
      </c>
      <c r="D4602" s="1" t="s">
        <v>237</v>
      </c>
      <c r="E4602" s="1" t="s">
        <v>33</v>
      </c>
      <c r="F4602" s="1" t="s">
        <v>199</v>
      </c>
      <c r="G4602" s="5">
        <v>108.3</v>
      </c>
    </row>
    <row r="4603" spans="1:7" x14ac:dyDescent="0.2">
      <c r="A4603" s="3">
        <v>324</v>
      </c>
      <c r="B4603" s="2">
        <v>35089.199999999997</v>
      </c>
      <c r="C4603" s="38">
        <v>44894</v>
      </c>
      <c r="D4603" s="1" t="s">
        <v>237</v>
      </c>
      <c r="E4603" s="1" t="s">
        <v>33</v>
      </c>
      <c r="F4603" s="1" t="s">
        <v>199</v>
      </c>
      <c r="G4603" s="5">
        <v>108.3</v>
      </c>
    </row>
    <row r="4604" spans="1:7" x14ac:dyDescent="0.2">
      <c r="A4604" s="3">
        <v>1500</v>
      </c>
      <c r="B4604" s="2">
        <v>1725</v>
      </c>
      <c r="C4604" s="38">
        <v>44894</v>
      </c>
      <c r="D4604" s="1" t="s">
        <v>261</v>
      </c>
      <c r="E4604" s="1" t="s">
        <v>33</v>
      </c>
      <c r="F4604" s="1" t="s">
        <v>199</v>
      </c>
      <c r="G4604" s="5">
        <v>1.1499999999999999</v>
      </c>
    </row>
    <row r="4605" spans="1:7" x14ac:dyDescent="0.2">
      <c r="A4605" s="3">
        <v>240</v>
      </c>
      <c r="B4605" s="2">
        <v>182899.20000000001</v>
      </c>
      <c r="C4605" s="38">
        <v>44894</v>
      </c>
      <c r="D4605" s="1" t="s">
        <v>265</v>
      </c>
      <c r="E4605" s="1" t="s">
        <v>33</v>
      </c>
      <c r="F4605" s="1" t="s">
        <v>199</v>
      </c>
      <c r="G4605" s="5">
        <v>762.08</v>
      </c>
    </row>
    <row r="4606" spans="1:7" x14ac:dyDescent="0.2">
      <c r="A4606" s="3">
        <v>216</v>
      </c>
      <c r="B4606" s="2">
        <v>23392.799999999999</v>
      </c>
      <c r="C4606" s="38">
        <v>44847</v>
      </c>
      <c r="D4606" s="1" t="s">
        <v>237</v>
      </c>
      <c r="E4606" s="1" t="s">
        <v>33</v>
      </c>
      <c r="F4606" s="1" t="s">
        <v>199</v>
      </c>
      <c r="G4606" s="5">
        <v>108.3</v>
      </c>
    </row>
    <row r="4607" spans="1:7" x14ac:dyDescent="0.2">
      <c r="A4607" s="3">
        <v>432</v>
      </c>
      <c r="B4607" s="2">
        <v>46785.599999999999</v>
      </c>
      <c r="C4607" s="38">
        <v>44847</v>
      </c>
      <c r="D4607" s="1" t="s">
        <v>237</v>
      </c>
      <c r="E4607" s="1" t="s">
        <v>33</v>
      </c>
      <c r="F4607" s="1" t="s">
        <v>199</v>
      </c>
      <c r="G4607" s="5">
        <v>108.3</v>
      </c>
    </row>
    <row r="4608" spans="1:7" x14ac:dyDescent="0.2">
      <c r="A4608" s="3">
        <v>540</v>
      </c>
      <c r="B4608" s="2">
        <v>58482</v>
      </c>
      <c r="C4608" s="38">
        <v>44847</v>
      </c>
      <c r="D4608" s="1" t="s">
        <v>237</v>
      </c>
      <c r="E4608" s="1" t="s">
        <v>33</v>
      </c>
      <c r="F4608" s="1" t="s">
        <v>199</v>
      </c>
      <c r="G4608" s="5">
        <v>108.3</v>
      </c>
    </row>
    <row r="4609" spans="1:7" x14ac:dyDescent="0.2">
      <c r="A4609" s="3">
        <v>220</v>
      </c>
      <c r="B4609" s="2">
        <v>30272</v>
      </c>
      <c r="C4609" s="38">
        <v>44847</v>
      </c>
      <c r="D4609" s="1" t="s">
        <v>318</v>
      </c>
      <c r="E4609" s="1" t="s">
        <v>33</v>
      </c>
      <c r="F4609" s="1" t="s">
        <v>199</v>
      </c>
      <c r="G4609" s="5">
        <v>137.6</v>
      </c>
    </row>
    <row r="4610" spans="1:7" x14ac:dyDescent="0.2">
      <c r="A4610" s="3">
        <v>220</v>
      </c>
      <c r="B4610" s="2">
        <v>30272</v>
      </c>
      <c r="C4610" s="38">
        <v>44847</v>
      </c>
      <c r="D4610" s="1" t="s">
        <v>318</v>
      </c>
      <c r="E4610" s="1" t="s">
        <v>33</v>
      </c>
      <c r="F4610" s="1" t="s">
        <v>199</v>
      </c>
      <c r="G4610" s="5">
        <v>137.6</v>
      </c>
    </row>
    <row r="4611" spans="1:7" x14ac:dyDescent="0.2">
      <c r="A4611" s="3">
        <v>1820</v>
      </c>
      <c r="B4611" s="2">
        <v>4313.3999999999996</v>
      </c>
      <c r="C4611" s="38">
        <v>44847</v>
      </c>
      <c r="D4611" s="1" t="s">
        <v>250</v>
      </c>
      <c r="E4611" s="1" t="s">
        <v>33</v>
      </c>
      <c r="F4611" s="1" t="s">
        <v>199</v>
      </c>
      <c r="G4611" s="5">
        <v>2.37</v>
      </c>
    </row>
    <row r="4612" spans="1:7" x14ac:dyDescent="0.2">
      <c r="A4612" s="3">
        <v>1820</v>
      </c>
      <c r="B4612" s="2">
        <v>4313.3999999999996</v>
      </c>
      <c r="C4612" s="38">
        <v>44847</v>
      </c>
      <c r="D4612" s="1" t="s">
        <v>250</v>
      </c>
      <c r="E4612" s="1" t="s">
        <v>33</v>
      </c>
      <c r="F4612" s="1" t="s">
        <v>199</v>
      </c>
      <c r="G4612" s="5">
        <v>2.37</v>
      </c>
    </row>
    <row r="4613" spans="1:7" x14ac:dyDescent="0.2">
      <c r="A4613" s="3">
        <v>1820</v>
      </c>
      <c r="B4613" s="2">
        <v>4313.3999999999996</v>
      </c>
      <c r="C4613" s="38">
        <v>44847</v>
      </c>
      <c r="D4613" s="1" t="s">
        <v>250</v>
      </c>
      <c r="E4613" s="1" t="s">
        <v>33</v>
      </c>
      <c r="F4613" s="1" t="s">
        <v>199</v>
      </c>
      <c r="G4613" s="5">
        <v>2.37</v>
      </c>
    </row>
    <row r="4614" spans="1:7" x14ac:dyDescent="0.2">
      <c r="A4614" s="3">
        <v>1820</v>
      </c>
      <c r="B4614" s="2">
        <v>4313.3999999999996</v>
      </c>
      <c r="C4614" s="38">
        <v>44847</v>
      </c>
      <c r="D4614" s="1" t="s">
        <v>250</v>
      </c>
      <c r="E4614" s="1" t="s">
        <v>33</v>
      </c>
      <c r="F4614" s="1" t="s">
        <v>199</v>
      </c>
      <c r="G4614" s="5">
        <v>2.37</v>
      </c>
    </row>
    <row r="4615" spans="1:7" x14ac:dyDescent="0.2">
      <c r="A4615" s="3">
        <v>1820</v>
      </c>
      <c r="B4615" s="2">
        <v>4313.3999999999996</v>
      </c>
      <c r="C4615" s="38">
        <v>44847</v>
      </c>
      <c r="D4615" s="1" t="s">
        <v>250</v>
      </c>
      <c r="E4615" s="1" t="s">
        <v>33</v>
      </c>
      <c r="F4615" s="1" t="s">
        <v>199</v>
      </c>
      <c r="G4615" s="5">
        <v>2.37</v>
      </c>
    </row>
    <row r="4616" spans="1:7" x14ac:dyDescent="0.2">
      <c r="A4616" s="3">
        <v>432</v>
      </c>
      <c r="B4616" s="2">
        <v>46785.599999999999</v>
      </c>
      <c r="C4616" s="38">
        <v>44897</v>
      </c>
      <c r="D4616" s="1" t="s">
        <v>237</v>
      </c>
      <c r="E4616" s="1" t="s">
        <v>33</v>
      </c>
      <c r="F4616" s="1" t="s">
        <v>199</v>
      </c>
      <c r="G4616" s="5">
        <v>108.3</v>
      </c>
    </row>
    <row r="4617" spans="1:7" x14ac:dyDescent="0.2">
      <c r="A4617" s="3">
        <v>192</v>
      </c>
      <c r="B4617" s="2">
        <v>17230.080000000002</v>
      </c>
      <c r="C4617" s="38">
        <v>44897</v>
      </c>
      <c r="D4617" s="1" t="s">
        <v>253</v>
      </c>
      <c r="E4617" s="1" t="s">
        <v>33</v>
      </c>
      <c r="F4617" s="1" t="s">
        <v>199</v>
      </c>
      <c r="G4617" s="5">
        <v>89.74</v>
      </c>
    </row>
    <row r="4618" spans="1:7" x14ac:dyDescent="0.2">
      <c r="A4618" s="3">
        <v>420</v>
      </c>
      <c r="B4618" s="2">
        <v>320073.59999999998</v>
      </c>
      <c r="C4618" s="38">
        <v>44902</v>
      </c>
      <c r="D4618" s="1" t="s">
        <v>265</v>
      </c>
      <c r="E4618" s="1" t="s">
        <v>33</v>
      </c>
      <c r="F4618" s="1" t="s">
        <v>199</v>
      </c>
      <c r="G4618" s="5">
        <v>762.08</v>
      </c>
    </row>
    <row r="4619" spans="1:7" x14ac:dyDescent="0.2">
      <c r="A4619" s="3">
        <v>108</v>
      </c>
      <c r="B4619" s="2">
        <v>11695.32</v>
      </c>
      <c r="C4619" s="38">
        <v>44753</v>
      </c>
      <c r="D4619" s="1" t="s">
        <v>237</v>
      </c>
      <c r="E4619" s="1" t="s">
        <v>33</v>
      </c>
      <c r="F4619" s="1" t="s">
        <v>199</v>
      </c>
      <c r="G4619" s="5">
        <v>108.29</v>
      </c>
    </row>
    <row r="4620" spans="1:7" x14ac:dyDescent="0.2">
      <c r="A4620" s="3">
        <v>216</v>
      </c>
      <c r="B4620" s="2">
        <v>23392.799999999999</v>
      </c>
      <c r="C4620" s="38">
        <v>44753</v>
      </c>
      <c r="D4620" s="1" t="s">
        <v>237</v>
      </c>
      <c r="E4620" s="1" t="s">
        <v>33</v>
      </c>
      <c r="F4620" s="1" t="s">
        <v>199</v>
      </c>
      <c r="G4620" s="5">
        <v>108.3</v>
      </c>
    </row>
    <row r="4621" spans="1:7" x14ac:dyDescent="0.2">
      <c r="A4621" s="3">
        <v>240</v>
      </c>
      <c r="B4621" s="2">
        <v>105729.60000000001</v>
      </c>
      <c r="C4621" s="38">
        <v>44753</v>
      </c>
      <c r="D4621" s="1" t="s">
        <v>248</v>
      </c>
      <c r="E4621" s="1" t="s">
        <v>33</v>
      </c>
      <c r="F4621" s="1" t="s">
        <v>199</v>
      </c>
      <c r="G4621" s="5">
        <v>440.54</v>
      </c>
    </row>
    <row r="4622" spans="1:7" x14ac:dyDescent="0.2">
      <c r="A4622" s="3">
        <v>240</v>
      </c>
      <c r="B4622" s="2">
        <v>105729.60000000001</v>
      </c>
      <c r="C4622" s="38">
        <v>44753</v>
      </c>
      <c r="D4622" s="1" t="s">
        <v>248</v>
      </c>
      <c r="E4622" s="1" t="s">
        <v>33</v>
      </c>
      <c r="F4622" s="1" t="s">
        <v>199</v>
      </c>
      <c r="G4622" s="5">
        <v>440.54</v>
      </c>
    </row>
    <row r="4623" spans="1:7" x14ac:dyDescent="0.2">
      <c r="A4623" s="3">
        <v>90</v>
      </c>
      <c r="B4623" s="2">
        <v>39648.6</v>
      </c>
      <c r="C4623" s="38">
        <v>44753</v>
      </c>
      <c r="D4623" s="1" t="s">
        <v>248</v>
      </c>
      <c r="E4623" s="1" t="s">
        <v>33</v>
      </c>
      <c r="F4623" s="1" t="s">
        <v>199</v>
      </c>
      <c r="G4623" s="5">
        <v>440.54</v>
      </c>
    </row>
    <row r="4624" spans="1:7" x14ac:dyDescent="0.2">
      <c r="A4624" s="3">
        <v>540</v>
      </c>
      <c r="B4624" s="2">
        <v>58482</v>
      </c>
      <c r="C4624" s="38">
        <v>44792</v>
      </c>
      <c r="D4624" s="1" t="s">
        <v>237</v>
      </c>
      <c r="E4624" s="1" t="s">
        <v>33</v>
      </c>
      <c r="F4624" s="1" t="s">
        <v>199</v>
      </c>
      <c r="G4624" s="5">
        <v>108.3</v>
      </c>
    </row>
    <row r="4625" spans="1:7" x14ac:dyDescent="0.2">
      <c r="A4625" s="3">
        <v>90</v>
      </c>
      <c r="B4625" s="2">
        <v>39648.6</v>
      </c>
      <c r="C4625" s="38">
        <v>44792</v>
      </c>
      <c r="D4625" s="1" t="s">
        <v>248</v>
      </c>
      <c r="E4625" s="1" t="s">
        <v>33</v>
      </c>
      <c r="F4625" s="1" t="s">
        <v>199</v>
      </c>
      <c r="G4625" s="5">
        <v>440.54</v>
      </c>
    </row>
    <row r="4626" spans="1:7" x14ac:dyDescent="0.2">
      <c r="A4626" s="3">
        <v>30</v>
      </c>
      <c r="B4626" s="2">
        <v>13216.2</v>
      </c>
      <c r="C4626" s="38">
        <v>44792</v>
      </c>
      <c r="D4626" s="1" t="s">
        <v>248</v>
      </c>
      <c r="E4626" s="1" t="s">
        <v>33</v>
      </c>
      <c r="F4626" s="1" t="s">
        <v>199</v>
      </c>
      <c r="G4626" s="5">
        <v>440.54</v>
      </c>
    </row>
    <row r="4627" spans="1:7" x14ac:dyDescent="0.2">
      <c r="A4627" s="3">
        <v>420</v>
      </c>
      <c r="B4627" s="2">
        <v>320073.59999999998</v>
      </c>
      <c r="C4627" s="38">
        <v>44792</v>
      </c>
      <c r="D4627" s="1" t="s">
        <v>265</v>
      </c>
      <c r="E4627" s="1" t="s">
        <v>33</v>
      </c>
      <c r="F4627" s="1" t="s">
        <v>199</v>
      </c>
      <c r="G4627" s="5">
        <v>762.08</v>
      </c>
    </row>
    <row r="4628" spans="1:7" x14ac:dyDescent="0.2">
      <c r="A4628" s="3">
        <v>588</v>
      </c>
      <c r="B4628" s="2">
        <v>75075.839999999997</v>
      </c>
      <c r="C4628" s="38">
        <v>44847</v>
      </c>
      <c r="D4628" s="1" t="s">
        <v>299</v>
      </c>
      <c r="E4628" s="1" t="s">
        <v>33</v>
      </c>
      <c r="F4628" s="1" t="s">
        <v>199</v>
      </c>
      <c r="G4628" s="5">
        <v>127.68</v>
      </c>
    </row>
    <row r="4629" spans="1:7" x14ac:dyDescent="0.2">
      <c r="A4629" s="3">
        <v>588</v>
      </c>
      <c r="B4629" s="2">
        <v>75075.839999999997</v>
      </c>
      <c r="C4629" s="38">
        <v>44847</v>
      </c>
      <c r="D4629" s="1" t="s">
        <v>299</v>
      </c>
      <c r="E4629" s="1" t="s">
        <v>33</v>
      </c>
      <c r="F4629" s="1" t="s">
        <v>199</v>
      </c>
      <c r="G4629" s="5">
        <v>127.68</v>
      </c>
    </row>
    <row r="4630" spans="1:7" x14ac:dyDescent="0.2">
      <c r="A4630" s="3">
        <v>1000</v>
      </c>
      <c r="B4630" s="2">
        <v>89740</v>
      </c>
      <c r="C4630" s="38">
        <v>44847</v>
      </c>
      <c r="D4630" s="1" t="s">
        <v>253</v>
      </c>
      <c r="E4630" s="1" t="s">
        <v>33</v>
      </c>
      <c r="F4630" s="1" t="s">
        <v>199</v>
      </c>
      <c r="G4630" s="5">
        <v>89.74</v>
      </c>
    </row>
    <row r="4631" spans="1:7" x14ac:dyDescent="0.2">
      <c r="A4631" s="3">
        <v>30</v>
      </c>
      <c r="B4631" s="2">
        <v>22862.400000000001</v>
      </c>
      <c r="C4631" s="38">
        <v>44847</v>
      </c>
      <c r="D4631" s="1" t="s">
        <v>265</v>
      </c>
      <c r="E4631" s="1" t="s">
        <v>33</v>
      </c>
      <c r="F4631" s="1" t="s">
        <v>199</v>
      </c>
      <c r="G4631" s="5">
        <v>762.08</v>
      </c>
    </row>
    <row r="4632" spans="1:7" x14ac:dyDescent="0.2">
      <c r="A4632" s="3">
        <v>270</v>
      </c>
      <c r="B4632" s="2">
        <v>205761.6</v>
      </c>
      <c r="C4632" s="38">
        <v>44902</v>
      </c>
      <c r="D4632" s="1" t="s">
        <v>265</v>
      </c>
      <c r="E4632" s="1" t="s">
        <v>33</v>
      </c>
      <c r="F4632" s="1" t="s">
        <v>199</v>
      </c>
      <c r="G4632" s="5">
        <v>762.08</v>
      </c>
    </row>
    <row r="4633" spans="1:7" x14ac:dyDescent="0.2">
      <c r="A4633" s="3">
        <v>270</v>
      </c>
      <c r="B4633" s="2">
        <v>118945.8</v>
      </c>
      <c r="C4633" s="38">
        <v>44753</v>
      </c>
      <c r="D4633" s="1" t="s">
        <v>248</v>
      </c>
      <c r="E4633" s="1" t="s">
        <v>33</v>
      </c>
      <c r="F4633" s="1" t="s">
        <v>199</v>
      </c>
      <c r="G4633" s="5">
        <v>440.54</v>
      </c>
    </row>
    <row r="4634" spans="1:7" x14ac:dyDescent="0.2">
      <c r="A4634" s="3">
        <v>150</v>
      </c>
      <c r="B4634" s="2">
        <v>66081</v>
      </c>
      <c r="C4634" s="38">
        <v>44753</v>
      </c>
      <c r="D4634" s="1" t="s">
        <v>248</v>
      </c>
      <c r="E4634" s="1" t="s">
        <v>33</v>
      </c>
      <c r="F4634" s="1" t="s">
        <v>199</v>
      </c>
      <c r="G4634" s="5">
        <v>440.54</v>
      </c>
    </row>
    <row r="4635" spans="1:7" x14ac:dyDescent="0.2">
      <c r="A4635" s="3">
        <v>150</v>
      </c>
      <c r="B4635" s="2">
        <v>66081</v>
      </c>
      <c r="C4635" s="38">
        <v>44753</v>
      </c>
      <c r="D4635" s="1" t="s">
        <v>248</v>
      </c>
      <c r="E4635" s="1" t="s">
        <v>33</v>
      </c>
      <c r="F4635" s="1" t="s">
        <v>199</v>
      </c>
      <c r="G4635" s="5">
        <v>440.54</v>
      </c>
    </row>
    <row r="4636" spans="1:7" x14ac:dyDescent="0.2">
      <c r="A4636" s="3">
        <v>270</v>
      </c>
      <c r="B4636" s="2">
        <v>118945.8</v>
      </c>
      <c r="C4636" s="38">
        <v>44753</v>
      </c>
      <c r="D4636" s="1" t="s">
        <v>248</v>
      </c>
      <c r="E4636" s="1" t="s">
        <v>33</v>
      </c>
      <c r="F4636" s="1" t="s">
        <v>199</v>
      </c>
      <c r="G4636" s="5">
        <v>440.54</v>
      </c>
    </row>
    <row r="4637" spans="1:7" x14ac:dyDescent="0.2">
      <c r="A4637" s="3">
        <v>270</v>
      </c>
      <c r="B4637" s="2">
        <v>118945.8</v>
      </c>
      <c r="C4637" s="38">
        <v>44753</v>
      </c>
      <c r="D4637" s="1" t="s">
        <v>248</v>
      </c>
      <c r="E4637" s="1" t="s">
        <v>33</v>
      </c>
      <c r="F4637" s="1" t="s">
        <v>199</v>
      </c>
      <c r="G4637" s="5">
        <v>440.54</v>
      </c>
    </row>
    <row r="4638" spans="1:7" x14ac:dyDescent="0.2">
      <c r="A4638" s="3">
        <v>150</v>
      </c>
      <c r="B4638" s="2">
        <v>66081</v>
      </c>
      <c r="C4638" s="38">
        <v>44753</v>
      </c>
      <c r="D4638" s="1" t="s">
        <v>248</v>
      </c>
      <c r="E4638" s="1" t="s">
        <v>33</v>
      </c>
      <c r="F4638" s="1" t="s">
        <v>199</v>
      </c>
      <c r="G4638" s="5">
        <v>440.54</v>
      </c>
    </row>
    <row r="4639" spans="1:7" x14ac:dyDescent="0.2">
      <c r="A4639" s="3">
        <v>240</v>
      </c>
      <c r="B4639" s="2">
        <v>105729.60000000001</v>
      </c>
      <c r="C4639" s="38">
        <v>44753</v>
      </c>
      <c r="D4639" s="1" t="s">
        <v>248</v>
      </c>
      <c r="E4639" s="1" t="s">
        <v>33</v>
      </c>
      <c r="F4639" s="1" t="s">
        <v>199</v>
      </c>
      <c r="G4639" s="5">
        <v>440.54</v>
      </c>
    </row>
    <row r="4640" spans="1:7" x14ac:dyDescent="0.2">
      <c r="A4640" s="3">
        <v>240</v>
      </c>
      <c r="B4640" s="2">
        <v>105729.60000000001</v>
      </c>
      <c r="C4640" s="38">
        <v>44753</v>
      </c>
      <c r="D4640" s="1" t="s">
        <v>248</v>
      </c>
      <c r="E4640" s="1" t="s">
        <v>33</v>
      </c>
      <c r="F4640" s="1" t="s">
        <v>199</v>
      </c>
      <c r="G4640" s="5">
        <v>440.54</v>
      </c>
    </row>
    <row r="4641" spans="1:7" x14ac:dyDescent="0.2">
      <c r="A4641" s="3">
        <v>360</v>
      </c>
      <c r="B4641" s="2">
        <v>158594.4</v>
      </c>
      <c r="C4641" s="38">
        <v>44753</v>
      </c>
      <c r="D4641" s="1" t="s">
        <v>248</v>
      </c>
      <c r="E4641" s="1" t="s">
        <v>33</v>
      </c>
      <c r="F4641" s="1" t="s">
        <v>199</v>
      </c>
      <c r="G4641" s="5">
        <v>440.54</v>
      </c>
    </row>
    <row r="4642" spans="1:7" x14ac:dyDescent="0.2">
      <c r="A4642" s="3">
        <v>150</v>
      </c>
      <c r="B4642" s="2">
        <v>66081</v>
      </c>
      <c r="C4642" s="38">
        <v>44753</v>
      </c>
      <c r="D4642" s="1" t="s">
        <v>248</v>
      </c>
      <c r="E4642" s="1" t="s">
        <v>33</v>
      </c>
      <c r="F4642" s="1" t="s">
        <v>199</v>
      </c>
      <c r="G4642" s="5">
        <v>440.54</v>
      </c>
    </row>
    <row r="4643" spans="1:7" x14ac:dyDescent="0.2">
      <c r="A4643" s="3">
        <v>240</v>
      </c>
      <c r="B4643" s="2">
        <v>105729.60000000001</v>
      </c>
      <c r="C4643" s="38">
        <v>44753</v>
      </c>
      <c r="D4643" s="1" t="s">
        <v>248</v>
      </c>
      <c r="E4643" s="1" t="s">
        <v>33</v>
      </c>
      <c r="F4643" s="1" t="s">
        <v>199</v>
      </c>
      <c r="G4643" s="5">
        <v>440.54</v>
      </c>
    </row>
    <row r="4644" spans="1:7" x14ac:dyDescent="0.2">
      <c r="A4644" s="3">
        <v>180</v>
      </c>
      <c r="B4644" s="2">
        <v>79297.2</v>
      </c>
      <c r="C4644" s="38">
        <v>44753</v>
      </c>
      <c r="D4644" s="1" t="s">
        <v>248</v>
      </c>
      <c r="E4644" s="1" t="s">
        <v>33</v>
      </c>
      <c r="F4644" s="1" t="s">
        <v>199</v>
      </c>
      <c r="G4644" s="5">
        <v>440.54</v>
      </c>
    </row>
    <row r="4645" spans="1:7" x14ac:dyDescent="0.2">
      <c r="A4645" s="3">
        <v>252</v>
      </c>
      <c r="B4645" s="2">
        <v>19056.240000000002</v>
      </c>
      <c r="C4645" s="38">
        <v>44854</v>
      </c>
      <c r="D4645" s="1" t="s">
        <v>243</v>
      </c>
      <c r="E4645" s="1" t="s">
        <v>33</v>
      </c>
      <c r="F4645" s="1" t="s">
        <v>199</v>
      </c>
      <c r="G4645" s="5">
        <v>75.62</v>
      </c>
    </row>
    <row r="4646" spans="1:7" x14ac:dyDescent="0.2">
      <c r="A4646" s="3">
        <v>30</v>
      </c>
      <c r="B4646" s="2">
        <v>13216.2</v>
      </c>
      <c r="C4646" s="38">
        <v>44854</v>
      </c>
      <c r="D4646" s="1" t="s">
        <v>248</v>
      </c>
      <c r="E4646" s="1" t="s">
        <v>33</v>
      </c>
      <c r="F4646" s="1" t="s">
        <v>199</v>
      </c>
      <c r="G4646" s="5">
        <v>440.54</v>
      </c>
    </row>
    <row r="4647" spans="1:7" x14ac:dyDescent="0.2">
      <c r="A4647" s="3">
        <v>588</v>
      </c>
      <c r="B4647" s="2">
        <v>58982.28</v>
      </c>
      <c r="C4647" s="38">
        <v>44854</v>
      </c>
      <c r="D4647" s="1" t="s">
        <v>251</v>
      </c>
      <c r="E4647" s="1" t="s">
        <v>33</v>
      </c>
      <c r="F4647" s="1" t="s">
        <v>199</v>
      </c>
      <c r="G4647" s="5">
        <v>100.31</v>
      </c>
    </row>
    <row r="4648" spans="1:7" x14ac:dyDescent="0.2">
      <c r="A4648" s="3">
        <v>588</v>
      </c>
      <c r="B4648" s="2">
        <v>58982.28</v>
      </c>
      <c r="C4648" s="38">
        <v>44854</v>
      </c>
      <c r="D4648" s="1" t="s">
        <v>251</v>
      </c>
      <c r="E4648" s="1" t="s">
        <v>33</v>
      </c>
      <c r="F4648" s="1" t="s">
        <v>199</v>
      </c>
      <c r="G4648" s="5">
        <v>100.31</v>
      </c>
    </row>
    <row r="4649" spans="1:7" x14ac:dyDescent="0.2">
      <c r="A4649" s="3">
        <v>588</v>
      </c>
      <c r="B4649" s="2">
        <v>58982.28</v>
      </c>
      <c r="C4649" s="38">
        <v>44854</v>
      </c>
      <c r="D4649" s="1" t="s">
        <v>251</v>
      </c>
      <c r="E4649" s="1" t="s">
        <v>33</v>
      </c>
      <c r="F4649" s="1" t="s">
        <v>199</v>
      </c>
      <c r="G4649" s="5">
        <v>100.31</v>
      </c>
    </row>
    <row r="4650" spans="1:7" x14ac:dyDescent="0.2">
      <c r="A4650" s="3">
        <v>588</v>
      </c>
      <c r="B4650" s="2">
        <v>58982.28</v>
      </c>
      <c r="C4650" s="38">
        <v>44854</v>
      </c>
      <c r="D4650" s="1" t="s">
        <v>251</v>
      </c>
      <c r="E4650" s="1" t="s">
        <v>33</v>
      </c>
      <c r="F4650" s="1" t="s">
        <v>199</v>
      </c>
      <c r="G4650" s="5">
        <v>100.31</v>
      </c>
    </row>
    <row r="4651" spans="1:7" x14ac:dyDescent="0.2">
      <c r="A4651" s="3">
        <v>588</v>
      </c>
      <c r="B4651" s="2">
        <v>58982.28</v>
      </c>
      <c r="C4651" s="38">
        <v>44854</v>
      </c>
      <c r="D4651" s="1" t="s">
        <v>251</v>
      </c>
      <c r="E4651" s="1" t="s">
        <v>33</v>
      </c>
      <c r="F4651" s="1" t="s">
        <v>199</v>
      </c>
      <c r="G4651" s="5">
        <v>100.31</v>
      </c>
    </row>
    <row r="4652" spans="1:7" x14ac:dyDescent="0.2">
      <c r="A4652" s="3">
        <v>588</v>
      </c>
      <c r="B4652" s="2">
        <v>58982.28</v>
      </c>
      <c r="C4652" s="38">
        <v>44854</v>
      </c>
      <c r="D4652" s="1" t="s">
        <v>251</v>
      </c>
      <c r="E4652" s="1" t="s">
        <v>33</v>
      </c>
      <c r="F4652" s="1" t="s">
        <v>199</v>
      </c>
      <c r="G4652" s="5">
        <v>100.31</v>
      </c>
    </row>
    <row r="4653" spans="1:7" x14ac:dyDescent="0.2">
      <c r="A4653" s="3">
        <v>588</v>
      </c>
      <c r="B4653" s="2">
        <v>58982.28</v>
      </c>
      <c r="C4653" s="38">
        <v>44854</v>
      </c>
      <c r="D4653" s="1" t="s">
        <v>251</v>
      </c>
      <c r="E4653" s="1" t="s">
        <v>33</v>
      </c>
      <c r="F4653" s="1" t="s">
        <v>199</v>
      </c>
      <c r="G4653" s="5">
        <v>100.31</v>
      </c>
    </row>
    <row r="4654" spans="1:7" x14ac:dyDescent="0.2">
      <c r="A4654" s="3">
        <v>588</v>
      </c>
      <c r="B4654" s="2">
        <v>58982.28</v>
      </c>
      <c r="C4654" s="38">
        <v>44854</v>
      </c>
      <c r="D4654" s="1" t="s">
        <v>251</v>
      </c>
      <c r="E4654" s="1" t="s">
        <v>33</v>
      </c>
      <c r="F4654" s="1" t="s">
        <v>199</v>
      </c>
      <c r="G4654" s="5">
        <v>100.31</v>
      </c>
    </row>
    <row r="4655" spans="1:7" x14ac:dyDescent="0.2">
      <c r="A4655" s="3">
        <v>588</v>
      </c>
      <c r="B4655" s="2">
        <v>58982.28</v>
      </c>
      <c r="C4655" s="38">
        <v>44854</v>
      </c>
      <c r="D4655" s="1" t="s">
        <v>251</v>
      </c>
      <c r="E4655" s="1" t="s">
        <v>33</v>
      </c>
      <c r="F4655" s="1" t="s">
        <v>199</v>
      </c>
      <c r="G4655" s="5">
        <v>100.31</v>
      </c>
    </row>
    <row r="4656" spans="1:7" x14ac:dyDescent="0.2">
      <c r="A4656" s="3">
        <v>588</v>
      </c>
      <c r="B4656" s="2">
        <v>58982.28</v>
      </c>
      <c r="C4656" s="38">
        <v>44854</v>
      </c>
      <c r="D4656" s="1" t="s">
        <v>251</v>
      </c>
      <c r="E4656" s="1" t="s">
        <v>33</v>
      </c>
      <c r="F4656" s="1" t="s">
        <v>199</v>
      </c>
      <c r="G4656" s="5">
        <v>100.31</v>
      </c>
    </row>
    <row r="4657" spans="1:7" x14ac:dyDescent="0.2">
      <c r="A4657" s="3">
        <v>60</v>
      </c>
      <c r="B4657" s="2">
        <v>45724.800000000003</v>
      </c>
      <c r="C4657" s="38">
        <v>44753</v>
      </c>
      <c r="D4657" s="1" t="s">
        <v>265</v>
      </c>
      <c r="E4657" s="1" t="s">
        <v>33</v>
      </c>
      <c r="F4657" s="1" t="s">
        <v>199</v>
      </c>
      <c r="G4657" s="5">
        <v>762.08</v>
      </c>
    </row>
    <row r="4658" spans="1:7" x14ac:dyDescent="0.2">
      <c r="A4658" s="3">
        <v>72</v>
      </c>
      <c r="B4658" s="2">
        <v>6243.12</v>
      </c>
      <c r="C4658" s="38">
        <v>44795</v>
      </c>
      <c r="D4658" s="1" t="s">
        <v>295</v>
      </c>
      <c r="E4658" s="1" t="s">
        <v>33</v>
      </c>
      <c r="F4658" s="1" t="s">
        <v>199</v>
      </c>
      <c r="G4658" s="5">
        <v>86.71</v>
      </c>
    </row>
    <row r="4659" spans="1:7" x14ac:dyDescent="0.2">
      <c r="A4659" s="3">
        <v>108</v>
      </c>
      <c r="B4659" s="2">
        <v>9364.68</v>
      </c>
      <c r="C4659" s="38">
        <v>44795</v>
      </c>
      <c r="D4659" s="1" t="s">
        <v>295</v>
      </c>
      <c r="E4659" s="1" t="s">
        <v>33</v>
      </c>
      <c r="F4659" s="1" t="s">
        <v>199</v>
      </c>
      <c r="G4659" s="5">
        <v>86.71</v>
      </c>
    </row>
    <row r="4660" spans="1:7" x14ac:dyDescent="0.2">
      <c r="A4660" s="3">
        <v>108</v>
      </c>
      <c r="B4660" s="2">
        <v>9364.68</v>
      </c>
      <c r="C4660" s="38">
        <v>44795</v>
      </c>
      <c r="D4660" s="1" t="s">
        <v>295</v>
      </c>
      <c r="E4660" s="1" t="s">
        <v>33</v>
      </c>
      <c r="F4660" s="1" t="s">
        <v>199</v>
      </c>
      <c r="G4660" s="5">
        <v>86.71</v>
      </c>
    </row>
    <row r="4661" spans="1:7" x14ac:dyDescent="0.2">
      <c r="A4661" s="3">
        <v>108</v>
      </c>
      <c r="B4661" s="2">
        <v>9364.68</v>
      </c>
      <c r="C4661" s="38">
        <v>44795</v>
      </c>
      <c r="D4661" s="1" t="s">
        <v>295</v>
      </c>
      <c r="E4661" s="1" t="s">
        <v>33</v>
      </c>
      <c r="F4661" s="1" t="s">
        <v>199</v>
      </c>
      <c r="G4661" s="5">
        <v>86.71</v>
      </c>
    </row>
    <row r="4662" spans="1:7" x14ac:dyDescent="0.2">
      <c r="A4662" s="3">
        <v>108</v>
      </c>
      <c r="B4662" s="2">
        <v>9364.68</v>
      </c>
      <c r="C4662" s="38">
        <v>44795</v>
      </c>
      <c r="D4662" s="1" t="s">
        <v>295</v>
      </c>
      <c r="E4662" s="1" t="s">
        <v>33</v>
      </c>
      <c r="F4662" s="1" t="s">
        <v>199</v>
      </c>
      <c r="G4662" s="5">
        <v>86.71</v>
      </c>
    </row>
    <row r="4663" spans="1:7" x14ac:dyDescent="0.2">
      <c r="A4663" s="3">
        <v>588</v>
      </c>
      <c r="B4663" s="2">
        <v>58982.28</v>
      </c>
      <c r="C4663" s="38">
        <v>44854</v>
      </c>
      <c r="D4663" s="1" t="s">
        <v>251</v>
      </c>
      <c r="E4663" s="1" t="s">
        <v>33</v>
      </c>
      <c r="F4663" s="1" t="s">
        <v>199</v>
      </c>
      <c r="G4663" s="5">
        <v>100.31</v>
      </c>
    </row>
    <row r="4664" spans="1:7" x14ac:dyDescent="0.2">
      <c r="A4664" s="3">
        <v>588</v>
      </c>
      <c r="B4664" s="2">
        <v>58982.28</v>
      </c>
      <c r="C4664" s="38">
        <v>44854</v>
      </c>
      <c r="D4664" s="1" t="s">
        <v>251</v>
      </c>
      <c r="E4664" s="1" t="s">
        <v>33</v>
      </c>
      <c r="F4664" s="1" t="s">
        <v>199</v>
      </c>
      <c r="G4664" s="5">
        <v>100.31</v>
      </c>
    </row>
    <row r="4665" spans="1:7" x14ac:dyDescent="0.2">
      <c r="A4665" s="3">
        <v>588</v>
      </c>
      <c r="B4665" s="2">
        <v>58982.28</v>
      </c>
      <c r="C4665" s="38">
        <v>44854</v>
      </c>
      <c r="D4665" s="1" t="s">
        <v>251</v>
      </c>
      <c r="E4665" s="1" t="s">
        <v>33</v>
      </c>
      <c r="F4665" s="1" t="s">
        <v>199</v>
      </c>
      <c r="G4665" s="5">
        <v>100.31</v>
      </c>
    </row>
    <row r="4666" spans="1:7" x14ac:dyDescent="0.2">
      <c r="A4666" s="3">
        <v>588</v>
      </c>
      <c r="B4666" s="2">
        <v>58982.28</v>
      </c>
      <c r="C4666" s="38">
        <v>44854</v>
      </c>
      <c r="D4666" s="1" t="s">
        <v>251</v>
      </c>
      <c r="E4666" s="1" t="s">
        <v>33</v>
      </c>
      <c r="F4666" s="1" t="s">
        <v>199</v>
      </c>
      <c r="G4666" s="5">
        <v>100.31</v>
      </c>
    </row>
    <row r="4667" spans="1:7" x14ac:dyDescent="0.2">
      <c r="A4667" s="3">
        <v>588</v>
      </c>
      <c r="B4667" s="2">
        <v>58982.28</v>
      </c>
      <c r="C4667" s="38">
        <v>44854</v>
      </c>
      <c r="D4667" s="1" t="s">
        <v>251</v>
      </c>
      <c r="E4667" s="1" t="s">
        <v>33</v>
      </c>
      <c r="F4667" s="1" t="s">
        <v>199</v>
      </c>
      <c r="G4667" s="5">
        <v>100.31</v>
      </c>
    </row>
    <row r="4668" spans="1:7" x14ac:dyDescent="0.2">
      <c r="A4668" s="3">
        <v>588</v>
      </c>
      <c r="B4668" s="2">
        <v>58982.28</v>
      </c>
      <c r="C4668" s="38">
        <v>44854</v>
      </c>
      <c r="D4668" s="1" t="s">
        <v>251</v>
      </c>
      <c r="E4668" s="1" t="s">
        <v>33</v>
      </c>
      <c r="F4668" s="1" t="s">
        <v>199</v>
      </c>
      <c r="G4668" s="5">
        <v>100.31</v>
      </c>
    </row>
    <row r="4669" spans="1:7" x14ac:dyDescent="0.2">
      <c r="A4669" s="3">
        <v>588</v>
      </c>
      <c r="B4669" s="2">
        <v>58982.28</v>
      </c>
      <c r="C4669" s="38">
        <v>44854</v>
      </c>
      <c r="D4669" s="1" t="s">
        <v>251</v>
      </c>
      <c r="E4669" s="1" t="s">
        <v>33</v>
      </c>
      <c r="F4669" s="1" t="s">
        <v>199</v>
      </c>
      <c r="G4669" s="5">
        <v>100.31</v>
      </c>
    </row>
    <row r="4670" spans="1:7" x14ac:dyDescent="0.2">
      <c r="A4670" s="3">
        <v>588</v>
      </c>
      <c r="B4670" s="2">
        <v>58982.28</v>
      </c>
      <c r="C4670" s="38">
        <v>44854</v>
      </c>
      <c r="D4670" s="1" t="s">
        <v>251</v>
      </c>
      <c r="E4670" s="1" t="s">
        <v>33</v>
      </c>
      <c r="F4670" s="1" t="s">
        <v>199</v>
      </c>
      <c r="G4670" s="5">
        <v>100.31</v>
      </c>
    </row>
    <row r="4671" spans="1:7" x14ac:dyDescent="0.2">
      <c r="A4671" s="3">
        <v>588</v>
      </c>
      <c r="B4671" s="2">
        <v>58982.28</v>
      </c>
      <c r="C4671" s="38">
        <v>44854</v>
      </c>
      <c r="D4671" s="1" t="s">
        <v>251</v>
      </c>
      <c r="E4671" s="1" t="s">
        <v>33</v>
      </c>
      <c r="F4671" s="1" t="s">
        <v>199</v>
      </c>
      <c r="G4671" s="5">
        <v>100.31</v>
      </c>
    </row>
    <row r="4672" spans="1:7" x14ac:dyDescent="0.2">
      <c r="A4672" s="3">
        <v>588</v>
      </c>
      <c r="B4672" s="2">
        <v>58982.28</v>
      </c>
      <c r="C4672" s="38">
        <v>44854</v>
      </c>
      <c r="D4672" s="1" t="s">
        <v>251</v>
      </c>
      <c r="E4672" s="1" t="s">
        <v>33</v>
      </c>
      <c r="F4672" s="1" t="s">
        <v>199</v>
      </c>
      <c r="G4672" s="5">
        <v>100.31</v>
      </c>
    </row>
    <row r="4673" spans="1:7" x14ac:dyDescent="0.2">
      <c r="A4673" s="3">
        <v>588</v>
      </c>
      <c r="B4673" s="2">
        <v>58982.28</v>
      </c>
      <c r="C4673" s="38">
        <v>44854</v>
      </c>
      <c r="D4673" s="1" t="s">
        <v>251</v>
      </c>
      <c r="E4673" s="1" t="s">
        <v>33</v>
      </c>
      <c r="F4673" s="1" t="s">
        <v>199</v>
      </c>
      <c r="G4673" s="5">
        <v>100.31</v>
      </c>
    </row>
    <row r="4674" spans="1:7" x14ac:dyDescent="0.2">
      <c r="A4674" s="3">
        <v>588</v>
      </c>
      <c r="B4674" s="2">
        <v>58982.28</v>
      </c>
      <c r="C4674" s="38">
        <v>44854</v>
      </c>
      <c r="D4674" s="1" t="s">
        <v>251</v>
      </c>
      <c r="E4674" s="1" t="s">
        <v>33</v>
      </c>
      <c r="F4674" s="1" t="s">
        <v>199</v>
      </c>
      <c r="G4674" s="5">
        <v>100.31</v>
      </c>
    </row>
    <row r="4675" spans="1:7" x14ac:dyDescent="0.2">
      <c r="A4675" s="3">
        <v>588</v>
      </c>
      <c r="B4675" s="2">
        <v>58982.28</v>
      </c>
      <c r="C4675" s="38">
        <v>44854</v>
      </c>
      <c r="D4675" s="1" t="s">
        <v>251</v>
      </c>
      <c r="E4675" s="1" t="s">
        <v>33</v>
      </c>
      <c r="F4675" s="1" t="s">
        <v>199</v>
      </c>
      <c r="G4675" s="5">
        <v>100.31</v>
      </c>
    </row>
    <row r="4676" spans="1:7" x14ac:dyDescent="0.2">
      <c r="A4676" s="3">
        <v>588</v>
      </c>
      <c r="B4676" s="2">
        <v>58982.28</v>
      </c>
      <c r="C4676" s="38">
        <v>44854</v>
      </c>
      <c r="D4676" s="1" t="s">
        <v>251</v>
      </c>
      <c r="E4676" s="1" t="s">
        <v>33</v>
      </c>
      <c r="F4676" s="1" t="s">
        <v>199</v>
      </c>
      <c r="G4676" s="5">
        <v>100.31</v>
      </c>
    </row>
    <row r="4677" spans="1:7" x14ac:dyDescent="0.2">
      <c r="A4677" s="3">
        <v>588</v>
      </c>
      <c r="B4677" s="2">
        <v>58982.28</v>
      </c>
      <c r="C4677" s="38">
        <v>44854</v>
      </c>
      <c r="D4677" s="1" t="s">
        <v>251</v>
      </c>
      <c r="E4677" s="1" t="s">
        <v>33</v>
      </c>
      <c r="F4677" s="1" t="s">
        <v>199</v>
      </c>
      <c r="G4677" s="5">
        <v>100.31</v>
      </c>
    </row>
    <row r="4678" spans="1:7" x14ac:dyDescent="0.2">
      <c r="A4678" s="3">
        <v>588</v>
      </c>
      <c r="B4678" s="2">
        <v>58982.28</v>
      </c>
      <c r="C4678" s="38">
        <v>44854</v>
      </c>
      <c r="D4678" s="1" t="s">
        <v>251</v>
      </c>
      <c r="E4678" s="1" t="s">
        <v>33</v>
      </c>
      <c r="F4678" s="1" t="s">
        <v>199</v>
      </c>
      <c r="G4678" s="5">
        <v>100.31</v>
      </c>
    </row>
    <row r="4679" spans="1:7" x14ac:dyDescent="0.2">
      <c r="A4679" s="3">
        <v>588</v>
      </c>
      <c r="B4679" s="2">
        <v>58982.28</v>
      </c>
      <c r="C4679" s="38">
        <v>44854</v>
      </c>
      <c r="D4679" s="1" t="s">
        <v>251</v>
      </c>
      <c r="E4679" s="1" t="s">
        <v>33</v>
      </c>
      <c r="F4679" s="1" t="s">
        <v>199</v>
      </c>
      <c r="G4679" s="5">
        <v>100.31</v>
      </c>
    </row>
    <row r="4680" spans="1:7" x14ac:dyDescent="0.2">
      <c r="A4680" s="3">
        <v>210</v>
      </c>
      <c r="B4680" s="2">
        <v>76015.8</v>
      </c>
      <c r="C4680" s="38">
        <v>44854</v>
      </c>
      <c r="D4680" s="1" t="s">
        <v>256</v>
      </c>
      <c r="E4680" s="1" t="s">
        <v>33</v>
      </c>
      <c r="F4680" s="1" t="s">
        <v>199</v>
      </c>
      <c r="G4680" s="5">
        <v>361.98</v>
      </c>
    </row>
    <row r="4681" spans="1:7" x14ac:dyDescent="0.2">
      <c r="A4681" s="3">
        <v>2784</v>
      </c>
      <c r="B4681" s="2">
        <v>2288113.92</v>
      </c>
      <c r="C4681" s="38">
        <v>44854</v>
      </c>
      <c r="D4681" s="1" t="s">
        <v>323</v>
      </c>
      <c r="E4681" s="1" t="s">
        <v>33</v>
      </c>
      <c r="F4681" s="1" t="s">
        <v>199</v>
      </c>
      <c r="G4681" s="5">
        <v>821.88</v>
      </c>
    </row>
    <row r="4682" spans="1:7" x14ac:dyDescent="0.2">
      <c r="A4682" s="3">
        <v>2000</v>
      </c>
      <c r="B4682" s="2">
        <v>3660</v>
      </c>
      <c r="C4682" s="38">
        <v>44914</v>
      </c>
      <c r="D4682" s="1" t="s">
        <v>238</v>
      </c>
      <c r="E4682" s="1" t="s">
        <v>33</v>
      </c>
      <c r="F4682" s="1" t="s">
        <v>199</v>
      </c>
      <c r="G4682" s="5">
        <v>1.83</v>
      </c>
    </row>
    <row r="4683" spans="1:7" x14ac:dyDescent="0.2">
      <c r="A4683" s="3">
        <v>1000</v>
      </c>
      <c r="B4683" s="2">
        <v>1830</v>
      </c>
      <c r="C4683" s="38">
        <v>44914</v>
      </c>
      <c r="D4683" s="1" t="s">
        <v>238</v>
      </c>
      <c r="E4683" s="1" t="s">
        <v>33</v>
      </c>
      <c r="F4683" s="1" t="s">
        <v>199</v>
      </c>
      <c r="G4683" s="5">
        <v>1.83</v>
      </c>
    </row>
    <row r="4684" spans="1:7" x14ac:dyDescent="0.2">
      <c r="A4684" s="3">
        <v>808</v>
      </c>
      <c r="B4684" s="2">
        <v>72518</v>
      </c>
      <c r="C4684" s="38">
        <v>44914</v>
      </c>
      <c r="D4684" s="1" t="s">
        <v>253</v>
      </c>
      <c r="E4684" s="1" t="s">
        <v>33</v>
      </c>
      <c r="F4684" s="1" t="s">
        <v>199</v>
      </c>
      <c r="G4684" s="5">
        <v>89.75</v>
      </c>
    </row>
    <row r="4685" spans="1:7" x14ac:dyDescent="0.2">
      <c r="A4685" s="3">
        <v>352</v>
      </c>
      <c r="B4685" s="2">
        <v>31592</v>
      </c>
      <c r="C4685" s="38">
        <v>44914</v>
      </c>
      <c r="D4685" s="1" t="s">
        <v>253</v>
      </c>
      <c r="E4685" s="1" t="s">
        <v>33</v>
      </c>
      <c r="F4685" s="1" t="s">
        <v>199</v>
      </c>
      <c r="G4685" s="5">
        <v>89.75</v>
      </c>
    </row>
    <row r="4686" spans="1:7" x14ac:dyDescent="0.2">
      <c r="A4686" s="3">
        <v>210</v>
      </c>
      <c r="B4686" s="2">
        <v>85386</v>
      </c>
      <c r="C4686" s="38">
        <v>44914</v>
      </c>
      <c r="D4686" s="1" t="s">
        <v>255</v>
      </c>
      <c r="E4686" s="1" t="s">
        <v>33</v>
      </c>
      <c r="F4686" s="1" t="s">
        <v>199</v>
      </c>
      <c r="G4686" s="5">
        <v>406.6</v>
      </c>
    </row>
    <row r="4687" spans="1:7" x14ac:dyDescent="0.2">
      <c r="A4687" s="3">
        <v>4500</v>
      </c>
      <c r="B4687" s="2">
        <v>5175</v>
      </c>
      <c r="C4687" s="38">
        <v>44914</v>
      </c>
      <c r="D4687" s="1" t="s">
        <v>261</v>
      </c>
      <c r="E4687" s="1" t="s">
        <v>33</v>
      </c>
      <c r="F4687" s="1" t="s">
        <v>199</v>
      </c>
      <c r="G4687" s="5">
        <v>1.1499999999999999</v>
      </c>
    </row>
    <row r="4688" spans="1:7" x14ac:dyDescent="0.2">
      <c r="A4688" s="3">
        <v>150</v>
      </c>
      <c r="B4688" s="2">
        <v>114312</v>
      </c>
      <c r="C4688" s="38">
        <v>44914</v>
      </c>
      <c r="D4688" s="1" t="s">
        <v>265</v>
      </c>
      <c r="E4688" s="1" t="s">
        <v>33</v>
      </c>
      <c r="F4688" s="1" t="s">
        <v>199</v>
      </c>
      <c r="G4688" s="5">
        <v>762.08</v>
      </c>
    </row>
    <row r="4689" spans="1:7" x14ac:dyDescent="0.2">
      <c r="A4689" s="3">
        <v>210</v>
      </c>
      <c r="B4689" s="2">
        <v>160036.79999999999</v>
      </c>
      <c r="C4689" s="38">
        <v>44914</v>
      </c>
      <c r="D4689" s="1" t="s">
        <v>265</v>
      </c>
      <c r="E4689" s="1" t="s">
        <v>33</v>
      </c>
      <c r="F4689" s="1" t="s">
        <v>199</v>
      </c>
      <c r="G4689" s="5">
        <v>762.08</v>
      </c>
    </row>
    <row r="4690" spans="1:7" x14ac:dyDescent="0.2">
      <c r="A4690" s="3">
        <v>60</v>
      </c>
      <c r="B4690" s="2">
        <v>45724.800000000003</v>
      </c>
      <c r="C4690" s="38">
        <v>44761</v>
      </c>
      <c r="D4690" s="1" t="s">
        <v>265</v>
      </c>
      <c r="E4690" s="1" t="s">
        <v>33</v>
      </c>
      <c r="F4690" s="1" t="s">
        <v>199</v>
      </c>
      <c r="G4690" s="5">
        <v>762.08</v>
      </c>
    </row>
    <row r="4691" spans="1:7" x14ac:dyDescent="0.2">
      <c r="A4691" s="3">
        <v>420</v>
      </c>
      <c r="B4691" s="2">
        <v>320073.59999999998</v>
      </c>
      <c r="C4691" s="38">
        <v>44761</v>
      </c>
      <c r="D4691" s="1" t="s">
        <v>265</v>
      </c>
      <c r="E4691" s="1" t="s">
        <v>33</v>
      </c>
      <c r="F4691" s="1" t="s">
        <v>199</v>
      </c>
      <c r="G4691" s="5">
        <v>762.08</v>
      </c>
    </row>
    <row r="4692" spans="1:7" x14ac:dyDescent="0.2">
      <c r="A4692" s="3">
        <v>420</v>
      </c>
      <c r="B4692" s="2">
        <v>320073.59999999998</v>
      </c>
      <c r="C4692" s="38">
        <v>44761</v>
      </c>
      <c r="D4692" s="1" t="s">
        <v>265</v>
      </c>
      <c r="E4692" s="1" t="s">
        <v>33</v>
      </c>
      <c r="F4692" s="1" t="s">
        <v>199</v>
      </c>
      <c r="G4692" s="5">
        <v>762.08</v>
      </c>
    </row>
    <row r="4693" spans="1:7" x14ac:dyDescent="0.2">
      <c r="A4693" s="3">
        <v>420</v>
      </c>
      <c r="B4693" s="2">
        <v>320073.59999999998</v>
      </c>
      <c r="C4693" s="38">
        <v>44761</v>
      </c>
      <c r="D4693" s="1" t="s">
        <v>265</v>
      </c>
      <c r="E4693" s="1" t="s">
        <v>33</v>
      </c>
      <c r="F4693" s="1" t="s">
        <v>199</v>
      </c>
      <c r="G4693" s="5">
        <v>762.08</v>
      </c>
    </row>
    <row r="4694" spans="1:7" x14ac:dyDescent="0.2">
      <c r="A4694" s="3">
        <v>420</v>
      </c>
      <c r="B4694" s="2">
        <v>320073.59999999998</v>
      </c>
      <c r="C4694" s="38">
        <v>44764</v>
      </c>
      <c r="D4694" s="1" t="s">
        <v>265</v>
      </c>
      <c r="E4694" s="1" t="s">
        <v>33</v>
      </c>
      <c r="F4694" s="1" t="s">
        <v>199</v>
      </c>
      <c r="G4694" s="5">
        <v>762.08</v>
      </c>
    </row>
    <row r="4695" spans="1:7" x14ac:dyDescent="0.2">
      <c r="A4695" s="3">
        <v>30</v>
      </c>
      <c r="B4695" s="2">
        <v>13216.2</v>
      </c>
      <c r="C4695" s="38">
        <v>44806</v>
      </c>
      <c r="D4695" s="1" t="s">
        <v>248</v>
      </c>
      <c r="E4695" s="1" t="s">
        <v>33</v>
      </c>
      <c r="F4695" s="1" t="s">
        <v>199</v>
      </c>
      <c r="G4695" s="5">
        <v>440.54</v>
      </c>
    </row>
    <row r="4696" spans="1:7" x14ac:dyDescent="0.2">
      <c r="A4696" s="3">
        <v>90</v>
      </c>
      <c r="B4696" s="2">
        <v>39648.6</v>
      </c>
      <c r="C4696" s="38">
        <v>44806</v>
      </c>
      <c r="D4696" s="1" t="s">
        <v>248</v>
      </c>
      <c r="E4696" s="1" t="s">
        <v>33</v>
      </c>
      <c r="F4696" s="1" t="s">
        <v>199</v>
      </c>
      <c r="G4696" s="5">
        <v>440.54</v>
      </c>
    </row>
    <row r="4697" spans="1:7" x14ac:dyDescent="0.2">
      <c r="A4697" s="3">
        <v>30</v>
      </c>
      <c r="B4697" s="2">
        <v>13216.2</v>
      </c>
      <c r="C4697" s="38">
        <v>44806</v>
      </c>
      <c r="D4697" s="1" t="s">
        <v>248</v>
      </c>
      <c r="E4697" s="1" t="s">
        <v>33</v>
      </c>
      <c r="F4697" s="1" t="s">
        <v>199</v>
      </c>
      <c r="G4697" s="5">
        <v>440.54</v>
      </c>
    </row>
    <row r="4698" spans="1:7" x14ac:dyDescent="0.2">
      <c r="A4698" s="3">
        <v>30</v>
      </c>
      <c r="B4698" s="2">
        <v>13216.2</v>
      </c>
      <c r="C4698" s="38">
        <v>44806</v>
      </c>
      <c r="D4698" s="1" t="s">
        <v>248</v>
      </c>
      <c r="E4698" s="1" t="s">
        <v>33</v>
      </c>
      <c r="F4698" s="1" t="s">
        <v>199</v>
      </c>
      <c r="G4698" s="5">
        <v>440.54</v>
      </c>
    </row>
    <row r="4699" spans="1:7" x14ac:dyDescent="0.2">
      <c r="A4699" s="3">
        <v>30</v>
      </c>
      <c r="B4699" s="2">
        <v>13216.2</v>
      </c>
      <c r="C4699" s="38">
        <v>44806</v>
      </c>
      <c r="D4699" s="1" t="s">
        <v>248</v>
      </c>
      <c r="E4699" s="1" t="s">
        <v>33</v>
      </c>
      <c r="F4699" s="1" t="s">
        <v>199</v>
      </c>
      <c r="G4699" s="5">
        <v>440.54</v>
      </c>
    </row>
    <row r="4700" spans="1:7" x14ac:dyDescent="0.2">
      <c r="A4700" s="3">
        <v>90</v>
      </c>
      <c r="B4700" s="2">
        <v>39648.6</v>
      </c>
      <c r="C4700" s="38">
        <v>44806</v>
      </c>
      <c r="D4700" s="1" t="s">
        <v>248</v>
      </c>
      <c r="E4700" s="1" t="s">
        <v>33</v>
      </c>
      <c r="F4700" s="1" t="s">
        <v>199</v>
      </c>
      <c r="G4700" s="5">
        <v>440.54</v>
      </c>
    </row>
    <row r="4701" spans="1:7" x14ac:dyDescent="0.2">
      <c r="A4701" s="3">
        <v>60</v>
      </c>
      <c r="B4701" s="2">
        <v>26432.400000000001</v>
      </c>
      <c r="C4701" s="38">
        <v>44806</v>
      </c>
      <c r="D4701" s="1" t="s">
        <v>248</v>
      </c>
      <c r="E4701" s="1" t="s">
        <v>33</v>
      </c>
      <c r="F4701" s="1" t="s">
        <v>199</v>
      </c>
      <c r="G4701" s="5">
        <v>440.54</v>
      </c>
    </row>
    <row r="4702" spans="1:7" x14ac:dyDescent="0.2">
      <c r="A4702" s="3">
        <v>60</v>
      </c>
      <c r="B4702" s="2">
        <v>26432.400000000001</v>
      </c>
      <c r="C4702" s="38">
        <v>44806</v>
      </c>
      <c r="D4702" s="1" t="s">
        <v>248</v>
      </c>
      <c r="E4702" s="1" t="s">
        <v>33</v>
      </c>
      <c r="F4702" s="1" t="s">
        <v>199</v>
      </c>
      <c r="G4702" s="5">
        <v>440.54</v>
      </c>
    </row>
    <row r="4703" spans="1:7" x14ac:dyDescent="0.2">
      <c r="A4703" s="3">
        <v>3000</v>
      </c>
      <c r="B4703" s="2">
        <v>3720</v>
      </c>
      <c r="C4703" s="38">
        <v>44859</v>
      </c>
      <c r="D4703" s="1" t="s">
        <v>262</v>
      </c>
      <c r="E4703" s="1" t="s">
        <v>33</v>
      </c>
      <c r="F4703" s="1" t="s">
        <v>199</v>
      </c>
      <c r="G4703" s="5">
        <v>1.24</v>
      </c>
    </row>
    <row r="4704" spans="1:7" x14ac:dyDescent="0.2">
      <c r="A4704" s="3">
        <v>420</v>
      </c>
      <c r="B4704" s="2">
        <v>320073.59999999998</v>
      </c>
      <c r="C4704" s="38">
        <v>44859</v>
      </c>
      <c r="D4704" s="1" t="s">
        <v>265</v>
      </c>
      <c r="E4704" s="1" t="s">
        <v>33</v>
      </c>
      <c r="F4704" s="1" t="s">
        <v>199</v>
      </c>
      <c r="G4704" s="5">
        <v>762.08</v>
      </c>
    </row>
    <row r="4705" spans="1:7" x14ac:dyDescent="0.2">
      <c r="A4705" s="3">
        <v>1820</v>
      </c>
      <c r="B4705" s="2">
        <v>4313.3999999999996</v>
      </c>
      <c r="C4705" s="38">
        <v>44806</v>
      </c>
      <c r="D4705" s="1" t="s">
        <v>250</v>
      </c>
      <c r="E4705" s="1" t="s">
        <v>33</v>
      </c>
      <c r="F4705" s="1" t="s">
        <v>199</v>
      </c>
      <c r="G4705" s="5">
        <v>2.37</v>
      </c>
    </row>
    <row r="4706" spans="1:7" x14ac:dyDescent="0.2">
      <c r="A4706" s="3">
        <v>432</v>
      </c>
      <c r="B4706" s="2">
        <v>46785.599999999999</v>
      </c>
      <c r="C4706" s="38">
        <v>44862</v>
      </c>
      <c r="D4706" s="1" t="s">
        <v>237</v>
      </c>
      <c r="E4706" s="1" t="s">
        <v>33</v>
      </c>
      <c r="F4706" s="1" t="s">
        <v>199</v>
      </c>
      <c r="G4706" s="5">
        <v>108.3</v>
      </c>
    </row>
    <row r="4707" spans="1:7" x14ac:dyDescent="0.2">
      <c r="A4707" s="3">
        <v>432</v>
      </c>
      <c r="B4707" s="2">
        <v>46785.599999999999</v>
      </c>
      <c r="C4707" s="38">
        <v>44862</v>
      </c>
      <c r="D4707" s="1" t="s">
        <v>237</v>
      </c>
      <c r="E4707" s="1" t="s">
        <v>33</v>
      </c>
      <c r="F4707" s="1" t="s">
        <v>199</v>
      </c>
      <c r="G4707" s="5">
        <v>108.3</v>
      </c>
    </row>
    <row r="4708" spans="1:7" x14ac:dyDescent="0.2">
      <c r="A4708" s="3">
        <v>432</v>
      </c>
      <c r="B4708" s="2">
        <v>46785.599999999999</v>
      </c>
      <c r="C4708" s="38">
        <v>44862</v>
      </c>
      <c r="D4708" s="1" t="s">
        <v>237</v>
      </c>
      <c r="E4708" s="1" t="s">
        <v>33</v>
      </c>
      <c r="F4708" s="1" t="s">
        <v>199</v>
      </c>
      <c r="G4708" s="5">
        <v>108.3</v>
      </c>
    </row>
    <row r="4709" spans="1:7" x14ac:dyDescent="0.2">
      <c r="A4709" s="3">
        <v>216</v>
      </c>
      <c r="B4709" s="2">
        <v>23392.799999999999</v>
      </c>
      <c r="C4709" s="38">
        <v>44862</v>
      </c>
      <c r="D4709" s="1" t="s">
        <v>237</v>
      </c>
      <c r="E4709" s="1" t="s">
        <v>33</v>
      </c>
      <c r="F4709" s="1" t="s">
        <v>199</v>
      </c>
      <c r="G4709" s="5">
        <v>108.3</v>
      </c>
    </row>
    <row r="4710" spans="1:7" x14ac:dyDescent="0.2">
      <c r="A4710" s="3">
        <v>2000</v>
      </c>
      <c r="B4710" s="2">
        <v>3660</v>
      </c>
      <c r="C4710" s="38">
        <v>44862</v>
      </c>
      <c r="D4710" s="1" t="s">
        <v>238</v>
      </c>
      <c r="E4710" s="1" t="s">
        <v>33</v>
      </c>
      <c r="F4710" s="1" t="s">
        <v>199</v>
      </c>
      <c r="G4710" s="5">
        <v>1.83</v>
      </c>
    </row>
    <row r="4711" spans="1:7" x14ac:dyDescent="0.2">
      <c r="A4711" s="3">
        <v>220</v>
      </c>
      <c r="B4711" s="2">
        <v>30272</v>
      </c>
      <c r="C4711" s="38">
        <v>44862</v>
      </c>
      <c r="D4711" s="1" t="s">
        <v>318</v>
      </c>
      <c r="E4711" s="1" t="s">
        <v>33</v>
      </c>
      <c r="F4711" s="1" t="s">
        <v>199</v>
      </c>
      <c r="G4711" s="5">
        <v>137.6</v>
      </c>
    </row>
    <row r="4712" spans="1:7" x14ac:dyDescent="0.2">
      <c r="A4712" s="3">
        <v>756</v>
      </c>
      <c r="B4712" s="2">
        <v>57168.72</v>
      </c>
      <c r="C4712" s="38">
        <v>44862</v>
      </c>
      <c r="D4712" s="1" t="s">
        <v>243</v>
      </c>
      <c r="E4712" s="1" t="s">
        <v>33</v>
      </c>
      <c r="F4712" s="1" t="s">
        <v>199</v>
      </c>
      <c r="G4712" s="5">
        <v>75.62</v>
      </c>
    </row>
    <row r="4713" spans="1:7" x14ac:dyDescent="0.2">
      <c r="A4713" s="3">
        <v>1820</v>
      </c>
      <c r="B4713" s="2">
        <v>4313.3999999999996</v>
      </c>
      <c r="C4713" s="38">
        <v>44862</v>
      </c>
      <c r="D4713" s="1" t="s">
        <v>250</v>
      </c>
      <c r="E4713" s="1" t="s">
        <v>33</v>
      </c>
      <c r="F4713" s="1" t="s">
        <v>199</v>
      </c>
      <c r="G4713" s="5">
        <v>2.37</v>
      </c>
    </row>
    <row r="4714" spans="1:7" x14ac:dyDescent="0.2">
      <c r="A4714" s="3">
        <v>3000</v>
      </c>
      <c r="B4714" s="2">
        <v>3450</v>
      </c>
      <c r="C4714" s="38">
        <v>44862</v>
      </c>
      <c r="D4714" s="1" t="s">
        <v>261</v>
      </c>
      <c r="E4714" s="1" t="s">
        <v>33</v>
      </c>
      <c r="F4714" s="1" t="s">
        <v>199</v>
      </c>
      <c r="G4714" s="5">
        <v>1.1499999999999999</v>
      </c>
    </row>
    <row r="4715" spans="1:7" x14ac:dyDescent="0.2">
      <c r="A4715" s="3">
        <v>210</v>
      </c>
      <c r="B4715" s="2">
        <v>160036.79999999999</v>
      </c>
      <c r="C4715" s="38">
        <v>44862</v>
      </c>
      <c r="D4715" s="1" t="s">
        <v>265</v>
      </c>
      <c r="E4715" s="1" t="s">
        <v>33</v>
      </c>
      <c r="F4715" s="1" t="s">
        <v>199</v>
      </c>
      <c r="G4715" s="5">
        <v>762.08</v>
      </c>
    </row>
    <row r="4716" spans="1:7" x14ac:dyDescent="0.2">
      <c r="A4716" s="3">
        <v>420</v>
      </c>
      <c r="B4716" s="2">
        <v>320073.59999999998</v>
      </c>
      <c r="C4716" s="38">
        <v>44862</v>
      </c>
      <c r="D4716" s="1" t="s">
        <v>265</v>
      </c>
      <c r="E4716" s="1" t="s">
        <v>33</v>
      </c>
      <c r="F4716" s="1" t="s">
        <v>199</v>
      </c>
      <c r="G4716" s="5">
        <v>762.08</v>
      </c>
    </row>
    <row r="4717" spans="1:7" x14ac:dyDescent="0.2">
      <c r="A4717" s="3">
        <v>420</v>
      </c>
      <c r="B4717" s="2">
        <v>320073.59999999998</v>
      </c>
      <c r="C4717" s="38">
        <v>44862</v>
      </c>
      <c r="D4717" s="1" t="s">
        <v>265</v>
      </c>
      <c r="E4717" s="1" t="s">
        <v>33</v>
      </c>
      <c r="F4717" s="1" t="s">
        <v>199</v>
      </c>
      <c r="G4717" s="5">
        <v>762.08</v>
      </c>
    </row>
    <row r="4718" spans="1:7" x14ac:dyDescent="0.2">
      <c r="A4718" s="3">
        <v>30</v>
      </c>
      <c r="B4718" s="2">
        <v>22862.400000000001</v>
      </c>
      <c r="C4718" s="38">
        <v>44862</v>
      </c>
      <c r="D4718" s="1" t="s">
        <v>265</v>
      </c>
      <c r="E4718" s="1" t="s">
        <v>33</v>
      </c>
      <c r="F4718" s="1" t="s">
        <v>199</v>
      </c>
      <c r="G4718" s="5">
        <v>762.08</v>
      </c>
    </row>
    <row r="4719" spans="1:7" x14ac:dyDescent="0.2">
      <c r="A4719" s="3">
        <v>390</v>
      </c>
      <c r="B4719" s="2">
        <v>297211.2</v>
      </c>
      <c r="C4719" s="38">
        <v>44862</v>
      </c>
      <c r="D4719" s="1" t="s">
        <v>265</v>
      </c>
      <c r="E4719" s="1" t="s">
        <v>33</v>
      </c>
      <c r="F4719" s="1" t="s">
        <v>199</v>
      </c>
      <c r="G4719" s="5">
        <v>762.08</v>
      </c>
    </row>
    <row r="4720" spans="1:7" x14ac:dyDescent="0.2">
      <c r="A4720" s="3">
        <v>420</v>
      </c>
      <c r="B4720" s="2">
        <v>320073.59999999998</v>
      </c>
      <c r="C4720" s="38">
        <v>44806</v>
      </c>
      <c r="D4720" s="1" t="s">
        <v>265</v>
      </c>
      <c r="E4720" s="1" t="s">
        <v>33</v>
      </c>
      <c r="F4720" s="1" t="s">
        <v>199</v>
      </c>
      <c r="G4720" s="5">
        <v>762.08</v>
      </c>
    </row>
    <row r="4721" spans="1:7" x14ac:dyDescent="0.2">
      <c r="A4721" s="3">
        <v>420</v>
      </c>
      <c r="B4721" s="2">
        <v>320073.59999999998</v>
      </c>
      <c r="C4721" s="38">
        <v>44806</v>
      </c>
      <c r="D4721" s="1" t="s">
        <v>265</v>
      </c>
      <c r="E4721" s="1" t="s">
        <v>33</v>
      </c>
      <c r="F4721" s="1" t="s">
        <v>199</v>
      </c>
      <c r="G4721" s="5">
        <v>762.08</v>
      </c>
    </row>
    <row r="4722" spans="1:7" x14ac:dyDescent="0.2">
      <c r="A4722" s="3">
        <v>420</v>
      </c>
      <c r="B4722" s="2">
        <v>320073.59999999998</v>
      </c>
      <c r="C4722" s="38">
        <v>44862</v>
      </c>
      <c r="D4722" s="1" t="s">
        <v>265</v>
      </c>
      <c r="E4722" s="1" t="s">
        <v>33</v>
      </c>
      <c r="F4722" s="1" t="s">
        <v>199</v>
      </c>
      <c r="G4722" s="5">
        <v>762.08</v>
      </c>
    </row>
    <row r="4723" spans="1:7" x14ac:dyDescent="0.2">
      <c r="A4723" s="3">
        <v>16</v>
      </c>
      <c r="B4723" s="2">
        <v>40360.800000000003</v>
      </c>
      <c r="C4723" s="38">
        <v>44839</v>
      </c>
      <c r="D4723" s="1" t="s">
        <v>344</v>
      </c>
      <c r="E4723" s="1" t="s">
        <v>33</v>
      </c>
      <c r="F4723" s="1" t="s">
        <v>199</v>
      </c>
      <c r="G4723" s="5">
        <v>2522.5500000000002</v>
      </c>
    </row>
    <row r="4724" spans="1:7" x14ac:dyDescent="0.2">
      <c r="A4724" s="3">
        <v>16</v>
      </c>
      <c r="B4724" s="2">
        <v>40360.800000000003</v>
      </c>
      <c r="C4724" s="38">
        <v>44839</v>
      </c>
      <c r="D4724" s="1" t="s">
        <v>344</v>
      </c>
      <c r="E4724" s="1" t="s">
        <v>33</v>
      </c>
      <c r="F4724" s="1" t="s">
        <v>199</v>
      </c>
      <c r="G4724" s="5">
        <v>2522.5500000000002</v>
      </c>
    </row>
    <row r="4725" spans="1:7" x14ac:dyDescent="0.2">
      <c r="A4725" s="3">
        <v>16</v>
      </c>
      <c r="B4725" s="2">
        <v>40360.800000000003</v>
      </c>
      <c r="C4725" s="38">
        <v>44839</v>
      </c>
      <c r="D4725" s="1" t="s">
        <v>344</v>
      </c>
      <c r="E4725" s="1" t="s">
        <v>33</v>
      </c>
      <c r="F4725" s="1" t="s">
        <v>199</v>
      </c>
      <c r="G4725" s="5">
        <v>2522.5500000000002</v>
      </c>
    </row>
    <row r="4726" spans="1:7" x14ac:dyDescent="0.2">
      <c r="A4726" s="3">
        <v>16</v>
      </c>
      <c r="B4726" s="2">
        <v>40360.800000000003</v>
      </c>
      <c r="C4726" s="38">
        <v>44839</v>
      </c>
      <c r="D4726" s="1" t="s">
        <v>344</v>
      </c>
      <c r="E4726" s="1" t="s">
        <v>33</v>
      </c>
      <c r="F4726" s="1" t="s">
        <v>199</v>
      </c>
      <c r="G4726" s="5">
        <v>2522.5500000000002</v>
      </c>
    </row>
    <row r="4727" spans="1:7" x14ac:dyDescent="0.2">
      <c r="A4727" s="3">
        <v>16</v>
      </c>
      <c r="B4727" s="2">
        <v>40360.800000000003</v>
      </c>
      <c r="C4727" s="38">
        <v>44839</v>
      </c>
      <c r="D4727" s="1" t="s">
        <v>344</v>
      </c>
      <c r="E4727" s="1" t="s">
        <v>33</v>
      </c>
      <c r="F4727" s="1" t="s">
        <v>199</v>
      </c>
      <c r="G4727" s="5">
        <v>2522.5500000000002</v>
      </c>
    </row>
    <row r="4728" spans="1:7" x14ac:dyDescent="0.2">
      <c r="A4728" s="3">
        <v>16</v>
      </c>
      <c r="B4728" s="2">
        <v>40360.800000000003</v>
      </c>
      <c r="C4728" s="38">
        <v>44839</v>
      </c>
      <c r="D4728" s="1" t="s">
        <v>344</v>
      </c>
      <c r="E4728" s="1" t="s">
        <v>33</v>
      </c>
      <c r="F4728" s="1" t="s">
        <v>199</v>
      </c>
      <c r="G4728" s="5">
        <v>2522.5500000000002</v>
      </c>
    </row>
    <row r="4729" spans="1:7" x14ac:dyDescent="0.2">
      <c r="A4729" s="3">
        <v>16</v>
      </c>
      <c r="B4729" s="2">
        <v>40360.800000000003</v>
      </c>
      <c r="C4729" s="38">
        <v>44839</v>
      </c>
      <c r="D4729" s="1" t="s">
        <v>344</v>
      </c>
      <c r="E4729" s="1" t="s">
        <v>33</v>
      </c>
      <c r="F4729" s="1" t="s">
        <v>199</v>
      </c>
      <c r="G4729" s="5">
        <v>2522.5500000000002</v>
      </c>
    </row>
    <row r="4730" spans="1:7" x14ac:dyDescent="0.2">
      <c r="A4730" s="3">
        <v>16</v>
      </c>
      <c r="B4730" s="2">
        <v>40360.800000000003</v>
      </c>
      <c r="C4730" s="38">
        <v>44839</v>
      </c>
      <c r="D4730" s="1" t="s">
        <v>344</v>
      </c>
      <c r="E4730" s="1" t="s">
        <v>33</v>
      </c>
      <c r="F4730" s="1" t="s">
        <v>199</v>
      </c>
      <c r="G4730" s="5">
        <v>2522.5500000000002</v>
      </c>
    </row>
    <row r="4731" spans="1:7" x14ac:dyDescent="0.2">
      <c r="A4731" s="3">
        <v>16</v>
      </c>
      <c r="B4731" s="2">
        <v>40360.800000000003</v>
      </c>
      <c r="C4731" s="38">
        <v>44839</v>
      </c>
      <c r="D4731" s="1" t="s">
        <v>344</v>
      </c>
      <c r="E4731" s="1" t="s">
        <v>33</v>
      </c>
      <c r="F4731" s="1" t="s">
        <v>199</v>
      </c>
      <c r="G4731" s="5">
        <v>2522.5500000000002</v>
      </c>
    </row>
    <row r="4732" spans="1:7" x14ac:dyDescent="0.2">
      <c r="A4732" s="3">
        <v>16</v>
      </c>
      <c r="B4732" s="2">
        <v>40360.800000000003</v>
      </c>
      <c r="C4732" s="38">
        <v>44839</v>
      </c>
      <c r="D4732" s="1" t="s">
        <v>344</v>
      </c>
      <c r="E4732" s="1" t="s">
        <v>33</v>
      </c>
      <c r="F4732" s="1" t="s">
        <v>199</v>
      </c>
      <c r="G4732" s="5">
        <v>2522.5500000000002</v>
      </c>
    </row>
    <row r="4733" spans="1:7" x14ac:dyDescent="0.2">
      <c r="A4733" s="3">
        <v>16</v>
      </c>
      <c r="B4733" s="2">
        <v>39747.519999999997</v>
      </c>
      <c r="C4733" s="38">
        <v>44992</v>
      </c>
      <c r="D4733" s="1" t="s">
        <v>268</v>
      </c>
      <c r="E4733" s="1" t="s">
        <v>33</v>
      </c>
      <c r="F4733" s="1" t="s">
        <v>199</v>
      </c>
      <c r="G4733" s="5">
        <v>2484.2199999999998</v>
      </c>
    </row>
    <row r="4734" spans="1:7" x14ac:dyDescent="0.2">
      <c r="A4734" s="3">
        <v>16</v>
      </c>
      <c r="B4734" s="2">
        <v>39747.519999999997</v>
      </c>
      <c r="C4734" s="38">
        <v>45000</v>
      </c>
      <c r="D4734" s="1" t="s">
        <v>268</v>
      </c>
      <c r="E4734" s="1" t="s">
        <v>33</v>
      </c>
      <c r="F4734" s="1" t="s">
        <v>199</v>
      </c>
      <c r="G4734" s="5">
        <v>2484.2199999999998</v>
      </c>
    </row>
    <row r="4735" spans="1:7" x14ac:dyDescent="0.2">
      <c r="A4735" s="3">
        <v>16</v>
      </c>
      <c r="B4735" s="2">
        <v>39747.519999999997</v>
      </c>
      <c r="C4735" s="38">
        <v>45000</v>
      </c>
      <c r="D4735" s="1" t="s">
        <v>268</v>
      </c>
      <c r="E4735" s="1" t="s">
        <v>33</v>
      </c>
      <c r="F4735" s="1" t="s">
        <v>199</v>
      </c>
      <c r="G4735" s="5">
        <v>2484.2199999999998</v>
      </c>
    </row>
    <row r="4736" spans="1:7" x14ac:dyDescent="0.2">
      <c r="A4736" s="3">
        <v>16</v>
      </c>
      <c r="B4736" s="2">
        <v>39747.519999999997</v>
      </c>
      <c r="C4736" s="38">
        <v>45000</v>
      </c>
      <c r="D4736" s="1" t="s">
        <v>268</v>
      </c>
      <c r="E4736" s="1" t="s">
        <v>33</v>
      </c>
      <c r="F4736" s="1" t="s">
        <v>199</v>
      </c>
      <c r="G4736" s="5">
        <v>2484.2199999999998</v>
      </c>
    </row>
    <row r="4737" spans="1:7" x14ac:dyDescent="0.2">
      <c r="A4737" s="3">
        <v>16</v>
      </c>
      <c r="B4737" s="2">
        <v>39747.519999999997</v>
      </c>
      <c r="C4737" s="38">
        <v>45061</v>
      </c>
      <c r="D4737" s="1" t="s">
        <v>268</v>
      </c>
      <c r="E4737" s="1" t="s">
        <v>33</v>
      </c>
      <c r="F4737" s="1" t="s">
        <v>199</v>
      </c>
      <c r="G4737" s="5">
        <v>2484.2199999999998</v>
      </c>
    </row>
    <row r="4738" spans="1:7" x14ac:dyDescent="0.2">
      <c r="A4738" s="3">
        <v>16</v>
      </c>
      <c r="B4738" s="2">
        <v>39747.519999999997</v>
      </c>
      <c r="C4738" s="38">
        <v>45061</v>
      </c>
      <c r="D4738" s="1" t="s">
        <v>268</v>
      </c>
      <c r="E4738" s="1" t="s">
        <v>33</v>
      </c>
      <c r="F4738" s="1" t="s">
        <v>199</v>
      </c>
      <c r="G4738" s="5">
        <v>2484.2199999999998</v>
      </c>
    </row>
    <row r="4739" spans="1:7" x14ac:dyDescent="0.2">
      <c r="A4739" s="3">
        <v>16</v>
      </c>
      <c r="B4739" s="2">
        <v>39747.519999999997</v>
      </c>
      <c r="C4739" s="38">
        <v>45061</v>
      </c>
      <c r="D4739" s="1" t="s">
        <v>268</v>
      </c>
      <c r="E4739" s="1" t="s">
        <v>33</v>
      </c>
      <c r="F4739" s="1" t="s">
        <v>199</v>
      </c>
      <c r="G4739" s="5">
        <v>2484.2199999999998</v>
      </c>
    </row>
    <row r="4740" spans="1:7" x14ac:dyDescent="0.2">
      <c r="A4740" s="3">
        <v>16</v>
      </c>
      <c r="B4740" s="2">
        <v>39747.519999999997</v>
      </c>
      <c r="C4740" s="38">
        <v>45061</v>
      </c>
      <c r="D4740" s="1" t="s">
        <v>268</v>
      </c>
      <c r="E4740" s="1" t="s">
        <v>33</v>
      </c>
      <c r="F4740" s="1" t="s">
        <v>199</v>
      </c>
      <c r="G4740" s="5">
        <v>2484.2199999999998</v>
      </c>
    </row>
    <row r="4741" spans="1:7" x14ac:dyDescent="0.2">
      <c r="A4741" s="3">
        <v>16</v>
      </c>
      <c r="B4741" s="2">
        <v>39747.519999999997</v>
      </c>
      <c r="C4741" s="38">
        <v>45061</v>
      </c>
      <c r="D4741" s="1" t="s">
        <v>268</v>
      </c>
      <c r="E4741" s="1" t="s">
        <v>33</v>
      </c>
      <c r="F4741" s="1" t="s">
        <v>199</v>
      </c>
      <c r="G4741" s="5">
        <v>2484.2199999999998</v>
      </c>
    </row>
    <row r="4742" spans="1:7" x14ac:dyDescent="0.2">
      <c r="A4742" s="3">
        <v>16</v>
      </c>
      <c r="B4742" s="2">
        <v>37685.120000000003</v>
      </c>
      <c r="C4742" s="38">
        <v>44768</v>
      </c>
      <c r="D4742" s="1" t="s">
        <v>268</v>
      </c>
      <c r="E4742" s="1" t="s">
        <v>33</v>
      </c>
      <c r="F4742" s="1" t="s">
        <v>199</v>
      </c>
      <c r="G4742" s="5">
        <v>2355.3200000000002</v>
      </c>
    </row>
    <row r="4743" spans="1:7" x14ac:dyDescent="0.2">
      <c r="A4743" s="3">
        <v>16</v>
      </c>
      <c r="B4743" s="2">
        <v>37685.120000000003</v>
      </c>
      <c r="C4743" s="38">
        <v>44768</v>
      </c>
      <c r="D4743" s="1" t="s">
        <v>268</v>
      </c>
      <c r="E4743" s="1" t="s">
        <v>33</v>
      </c>
      <c r="F4743" s="1" t="s">
        <v>199</v>
      </c>
      <c r="G4743" s="5">
        <v>2355.3200000000002</v>
      </c>
    </row>
    <row r="4744" spans="1:7" x14ac:dyDescent="0.2">
      <c r="A4744" s="3">
        <v>16</v>
      </c>
      <c r="B4744" s="2">
        <v>37685.120000000003</v>
      </c>
      <c r="C4744" s="38">
        <v>44768</v>
      </c>
      <c r="D4744" s="1" t="s">
        <v>268</v>
      </c>
      <c r="E4744" s="1" t="s">
        <v>33</v>
      </c>
      <c r="F4744" s="1" t="s">
        <v>199</v>
      </c>
      <c r="G4744" s="5">
        <v>2355.3200000000002</v>
      </c>
    </row>
    <row r="4745" spans="1:7" x14ac:dyDescent="0.2">
      <c r="A4745" s="3">
        <v>16</v>
      </c>
      <c r="B4745" s="2">
        <v>37685.120000000003</v>
      </c>
      <c r="C4745" s="38">
        <v>44806</v>
      </c>
      <c r="D4745" s="1" t="s">
        <v>268</v>
      </c>
      <c r="E4745" s="1" t="s">
        <v>33</v>
      </c>
      <c r="F4745" s="1" t="s">
        <v>199</v>
      </c>
      <c r="G4745" s="5">
        <v>2355.3200000000002</v>
      </c>
    </row>
    <row r="4746" spans="1:7" x14ac:dyDescent="0.2">
      <c r="A4746" s="3">
        <v>16</v>
      </c>
      <c r="B4746" s="2">
        <v>37685.120000000003</v>
      </c>
      <c r="C4746" s="38">
        <v>44806</v>
      </c>
      <c r="D4746" s="1" t="s">
        <v>268</v>
      </c>
      <c r="E4746" s="1" t="s">
        <v>33</v>
      </c>
      <c r="F4746" s="1" t="s">
        <v>199</v>
      </c>
      <c r="G4746" s="5">
        <v>2355.3200000000002</v>
      </c>
    </row>
    <row r="4747" spans="1:7" x14ac:dyDescent="0.2">
      <c r="A4747" s="3">
        <v>16</v>
      </c>
      <c r="B4747" s="2">
        <v>37685.120000000003</v>
      </c>
      <c r="C4747" s="38">
        <v>44806</v>
      </c>
      <c r="D4747" s="1" t="s">
        <v>268</v>
      </c>
      <c r="E4747" s="1" t="s">
        <v>33</v>
      </c>
      <c r="F4747" s="1" t="s">
        <v>199</v>
      </c>
      <c r="G4747" s="5">
        <v>2355.3200000000002</v>
      </c>
    </row>
    <row r="4748" spans="1:7" x14ac:dyDescent="0.2">
      <c r="A4748" s="3">
        <v>16</v>
      </c>
      <c r="B4748" s="2">
        <v>37685.120000000003</v>
      </c>
      <c r="C4748" s="38">
        <v>44768</v>
      </c>
      <c r="D4748" s="1" t="s">
        <v>268</v>
      </c>
      <c r="E4748" s="1" t="s">
        <v>33</v>
      </c>
      <c r="F4748" s="1" t="s">
        <v>199</v>
      </c>
      <c r="G4748" s="5">
        <v>2355.3200000000002</v>
      </c>
    </row>
    <row r="4749" spans="1:7" x14ac:dyDescent="0.2">
      <c r="A4749" s="3">
        <v>16</v>
      </c>
      <c r="B4749" s="2">
        <v>37685.120000000003</v>
      </c>
      <c r="C4749" s="38">
        <v>44768</v>
      </c>
      <c r="D4749" s="1" t="s">
        <v>268</v>
      </c>
      <c r="E4749" s="1" t="s">
        <v>33</v>
      </c>
      <c r="F4749" s="1" t="s">
        <v>199</v>
      </c>
      <c r="G4749" s="5">
        <v>2355.3200000000002</v>
      </c>
    </row>
    <row r="4750" spans="1:7" x14ac:dyDescent="0.2">
      <c r="A4750" s="3">
        <v>16</v>
      </c>
      <c r="B4750" s="2">
        <v>37685.120000000003</v>
      </c>
      <c r="C4750" s="38">
        <v>44825</v>
      </c>
      <c r="D4750" s="1" t="s">
        <v>268</v>
      </c>
      <c r="E4750" s="1" t="s">
        <v>33</v>
      </c>
      <c r="F4750" s="1" t="s">
        <v>199</v>
      </c>
      <c r="G4750" s="5">
        <v>2355.3200000000002</v>
      </c>
    </row>
    <row r="4751" spans="1:7" x14ac:dyDescent="0.2">
      <c r="A4751" s="3">
        <v>16</v>
      </c>
      <c r="B4751" s="2">
        <v>37685.120000000003</v>
      </c>
      <c r="C4751" s="38">
        <v>44872</v>
      </c>
      <c r="D4751" s="1" t="s">
        <v>268</v>
      </c>
      <c r="E4751" s="1" t="s">
        <v>33</v>
      </c>
      <c r="F4751" s="1" t="s">
        <v>199</v>
      </c>
      <c r="G4751" s="5">
        <v>2355.3200000000002</v>
      </c>
    </row>
    <row r="4752" spans="1:7" x14ac:dyDescent="0.2">
      <c r="A4752" s="3">
        <v>16</v>
      </c>
      <c r="B4752" s="2">
        <v>37685.120000000003</v>
      </c>
      <c r="C4752" s="38">
        <v>44743</v>
      </c>
      <c r="D4752" s="1" t="s">
        <v>268</v>
      </c>
      <c r="E4752" s="1" t="s">
        <v>33</v>
      </c>
      <c r="F4752" s="1" t="s">
        <v>199</v>
      </c>
      <c r="G4752" s="5">
        <v>2355.3200000000002</v>
      </c>
    </row>
    <row r="4753" spans="1:7" x14ac:dyDescent="0.2">
      <c r="A4753" s="3">
        <v>16</v>
      </c>
      <c r="B4753" s="2">
        <v>37685.120000000003</v>
      </c>
      <c r="C4753" s="38">
        <v>44743</v>
      </c>
      <c r="D4753" s="1" t="s">
        <v>268</v>
      </c>
      <c r="E4753" s="1" t="s">
        <v>33</v>
      </c>
      <c r="F4753" s="1" t="s">
        <v>199</v>
      </c>
      <c r="G4753" s="5">
        <v>2355.3200000000002</v>
      </c>
    </row>
    <row r="4754" spans="1:7" x14ac:dyDescent="0.2">
      <c r="A4754" s="3">
        <v>16</v>
      </c>
      <c r="B4754" s="2">
        <v>37685.120000000003</v>
      </c>
      <c r="C4754" s="38">
        <v>44777</v>
      </c>
      <c r="D4754" s="1" t="s">
        <v>268</v>
      </c>
      <c r="E4754" s="1" t="s">
        <v>33</v>
      </c>
      <c r="F4754" s="1" t="s">
        <v>199</v>
      </c>
      <c r="G4754" s="5">
        <v>2355.3200000000002</v>
      </c>
    </row>
    <row r="4755" spans="1:7" x14ac:dyDescent="0.2">
      <c r="A4755" s="3">
        <v>16</v>
      </c>
      <c r="B4755" s="2">
        <v>37685.120000000003</v>
      </c>
      <c r="C4755" s="38">
        <v>44777</v>
      </c>
      <c r="D4755" s="1" t="s">
        <v>268</v>
      </c>
      <c r="E4755" s="1" t="s">
        <v>33</v>
      </c>
      <c r="F4755" s="1" t="s">
        <v>199</v>
      </c>
      <c r="G4755" s="5">
        <v>2355.3200000000002</v>
      </c>
    </row>
    <row r="4756" spans="1:7" x14ac:dyDescent="0.2">
      <c r="A4756" s="3">
        <v>16</v>
      </c>
      <c r="B4756" s="2">
        <v>37685.120000000003</v>
      </c>
      <c r="C4756" s="38">
        <v>44777</v>
      </c>
      <c r="D4756" s="1" t="s">
        <v>268</v>
      </c>
      <c r="E4756" s="1" t="s">
        <v>33</v>
      </c>
      <c r="F4756" s="1" t="s">
        <v>199</v>
      </c>
      <c r="G4756" s="5">
        <v>2355.3200000000002</v>
      </c>
    </row>
    <row r="4757" spans="1:7" x14ac:dyDescent="0.2">
      <c r="A4757" s="3">
        <v>16</v>
      </c>
      <c r="B4757" s="2">
        <v>37685.120000000003</v>
      </c>
      <c r="C4757" s="38">
        <v>44777</v>
      </c>
      <c r="D4757" s="1" t="s">
        <v>268</v>
      </c>
      <c r="E4757" s="1" t="s">
        <v>33</v>
      </c>
      <c r="F4757" s="1" t="s">
        <v>199</v>
      </c>
      <c r="G4757" s="5">
        <v>2355.3200000000002</v>
      </c>
    </row>
    <row r="4758" spans="1:7" x14ac:dyDescent="0.2">
      <c r="A4758" s="3">
        <v>16</v>
      </c>
      <c r="B4758" s="2">
        <v>37685.120000000003</v>
      </c>
      <c r="C4758" s="38">
        <v>44743</v>
      </c>
      <c r="D4758" s="1" t="s">
        <v>268</v>
      </c>
      <c r="E4758" s="1" t="s">
        <v>33</v>
      </c>
      <c r="F4758" s="1" t="s">
        <v>199</v>
      </c>
      <c r="G4758" s="5">
        <v>2355.3200000000002</v>
      </c>
    </row>
    <row r="4759" spans="1:7" x14ac:dyDescent="0.2">
      <c r="A4759" s="3">
        <v>16</v>
      </c>
      <c r="B4759" s="2">
        <v>37685.120000000003</v>
      </c>
      <c r="C4759" s="38">
        <v>44743</v>
      </c>
      <c r="D4759" s="1" t="s">
        <v>268</v>
      </c>
      <c r="E4759" s="1" t="s">
        <v>33</v>
      </c>
      <c r="F4759" s="1" t="s">
        <v>199</v>
      </c>
      <c r="G4759" s="5">
        <v>2355.3200000000002</v>
      </c>
    </row>
    <row r="4760" spans="1:7" x14ac:dyDescent="0.2">
      <c r="A4760" s="3">
        <v>16</v>
      </c>
      <c r="B4760" s="2">
        <v>37685.120000000003</v>
      </c>
      <c r="C4760" s="38">
        <v>44743</v>
      </c>
      <c r="D4760" s="1" t="s">
        <v>268</v>
      </c>
      <c r="E4760" s="1" t="s">
        <v>33</v>
      </c>
      <c r="F4760" s="1" t="s">
        <v>199</v>
      </c>
      <c r="G4760" s="5">
        <v>2355.3200000000002</v>
      </c>
    </row>
    <row r="4761" spans="1:7" x14ac:dyDescent="0.2">
      <c r="A4761" s="3">
        <v>16</v>
      </c>
      <c r="B4761" s="2">
        <v>37685.120000000003</v>
      </c>
      <c r="C4761" s="38">
        <v>44743</v>
      </c>
      <c r="D4761" s="1" t="s">
        <v>268</v>
      </c>
      <c r="E4761" s="1" t="s">
        <v>33</v>
      </c>
      <c r="F4761" s="1" t="s">
        <v>199</v>
      </c>
      <c r="G4761" s="5">
        <v>2355.3200000000002</v>
      </c>
    </row>
    <row r="4762" spans="1:7" x14ac:dyDescent="0.2">
      <c r="A4762" s="3">
        <v>16</v>
      </c>
      <c r="B4762" s="2">
        <v>37685.120000000003</v>
      </c>
      <c r="C4762" s="38">
        <v>44743</v>
      </c>
      <c r="D4762" s="1" t="s">
        <v>268</v>
      </c>
      <c r="E4762" s="1" t="s">
        <v>33</v>
      </c>
      <c r="F4762" s="1" t="s">
        <v>199</v>
      </c>
      <c r="G4762" s="5">
        <v>2355.3200000000002</v>
      </c>
    </row>
    <row r="4763" spans="1:7" x14ac:dyDescent="0.2">
      <c r="A4763" s="3">
        <v>16</v>
      </c>
      <c r="B4763" s="2">
        <v>37685.120000000003</v>
      </c>
      <c r="C4763" s="38">
        <v>44743</v>
      </c>
      <c r="D4763" s="1" t="s">
        <v>268</v>
      </c>
      <c r="E4763" s="1" t="s">
        <v>33</v>
      </c>
      <c r="F4763" s="1" t="s">
        <v>199</v>
      </c>
      <c r="G4763" s="5">
        <v>2355.3200000000002</v>
      </c>
    </row>
    <row r="4764" spans="1:7" x14ac:dyDescent="0.2">
      <c r="A4764" s="3">
        <v>16</v>
      </c>
      <c r="B4764" s="2">
        <v>37685.120000000003</v>
      </c>
      <c r="C4764" s="38">
        <v>44743</v>
      </c>
      <c r="D4764" s="1" t="s">
        <v>268</v>
      </c>
      <c r="E4764" s="1" t="s">
        <v>33</v>
      </c>
      <c r="F4764" s="1" t="s">
        <v>199</v>
      </c>
      <c r="G4764" s="5">
        <v>2355.3200000000002</v>
      </c>
    </row>
    <row r="4765" spans="1:7" x14ac:dyDescent="0.2">
      <c r="A4765" s="3">
        <v>16</v>
      </c>
      <c r="B4765" s="2">
        <v>37685.120000000003</v>
      </c>
      <c r="C4765" s="38">
        <v>44743</v>
      </c>
      <c r="D4765" s="1" t="s">
        <v>268</v>
      </c>
      <c r="E4765" s="1" t="s">
        <v>33</v>
      </c>
      <c r="F4765" s="1" t="s">
        <v>199</v>
      </c>
      <c r="G4765" s="5">
        <v>2355.3200000000002</v>
      </c>
    </row>
    <row r="4766" spans="1:7" x14ac:dyDescent="0.2">
      <c r="A4766" s="3">
        <v>16</v>
      </c>
      <c r="B4766" s="2">
        <v>37685.120000000003</v>
      </c>
      <c r="C4766" s="38">
        <v>44743</v>
      </c>
      <c r="D4766" s="1" t="s">
        <v>268</v>
      </c>
      <c r="E4766" s="1" t="s">
        <v>33</v>
      </c>
      <c r="F4766" s="1" t="s">
        <v>199</v>
      </c>
      <c r="G4766" s="5">
        <v>2355.3200000000002</v>
      </c>
    </row>
    <row r="4767" spans="1:7" x14ac:dyDescent="0.2">
      <c r="A4767" s="3">
        <v>16</v>
      </c>
      <c r="B4767" s="2">
        <v>37685.120000000003</v>
      </c>
      <c r="C4767" s="38">
        <v>44743</v>
      </c>
      <c r="D4767" s="1" t="s">
        <v>268</v>
      </c>
      <c r="E4767" s="1" t="s">
        <v>33</v>
      </c>
      <c r="F4767" s="1" t="s">
        <v>199</v>
      </c>
      <c r="G4767" s="5">
        <v>2355.3200000000002</v>
      </c>
    </row>
    <row r="4768" spans="1:7" x14ac:dyDescent="0.2">
      <c r="A4768" s="3">
        <v>16</v>
      </c>
      <c r="B4768" s="2">
        <v>37685.120000000003</v>
      </c>
      <c r="C4768" s="38">
        <v>44743</v>
      </c>
      <c r="D4768" s="1" t="s">
        <v>268</v>
      </c>
      <c r="E4768" s="1" t="s">
        <v>33</v>
      </c>
      <c r="F4768" s="1" t="s">
        <v>199</v>
      </c>
      <c r="G4768" s="5">
        <v>2355.3200000000002</v>
      </c>
    </row>
    <row r="4769" spans="1:7" x14ac:dyDescent="0.2">
      <c r="A4769" s="3">
        <v>16</v>
      </c>
      <c r="B4769" s="2">
        <v>37685.120000000003</v>
      </c>
      <c r="C4769" s="38">
        <v>44743</v>
      </c>
      <c r="D4769" s="1" t="s">
        <v>268</v>
      </c>
      <c r="E4769" s="1" t="s">
        <v>33</v>
      </c>
      <c r="F4769" s="1" t="s">
        <v>199</v>
      </c>
      <c r="G4769" s="5">
        <v>2355.3200000000002</v>
      </c>
    </row>
    <row r="4770" spans="1:7" x14ac:dyDescent="0.2">
      <c r="A4770" s="3">
        <v>16</v>
      </c>
      <c r="B4770" s="2">
        <v>37685.120000000003</v>
      </c>
      <c r="C4770" s="38">
        <v>44743</v>
      </c>
      <c r="D4770" s="1" t="s">
        <v>268</v>
      </c>
      <c r="E4770" s="1" t="s">
        <v>33</v>
      </c>
      <c r="F4770" s="1" t="s">
        <v>199</v>
      </c>
      <c r="G4770" s="5">
        <v>2355.3200000000002</v>
      </c>
    </row>
    <row r="4771" spans="1:7" x14ac:dyDescent="0.2">
      <c r="A4771" s="3">
        <v>16</v>
      </c>
      <c r="B4771" s="2">
        <v>37685.120000000003</v>
      </c>
      <c r="C4771" s="38">
        <v>44743</v>
      </c>
      <c r="D4771" s="1" t="s">
        <v>268</v>
      </c>
      <c r="E4771" s="1" t="s">
        <v>33</v>
      </c>
      <c r="F4771" s="1" t="s">
        <v>199</v>
      </c>
      <c r="G4771" s="5">
        <v>2355.3200000000002</v>
      </c>
    </row>
    <row r="4772" spans="1:7" x14ac:dyDescent="0.2">
      <c r="A4772" s="3">
        <v>16</v>
      </c>
      <c r="B4772" s="2">
        <v>37685.120000000003</v>
      </c>
      <c r="C4772" s="38">
        <v>44743</v>
      </c>
      <c r="D4772" s="1" t="s">
        <v>268</v>
      </c>
      <c r="E4772" s="1" t="s">
        <v>33</v>
      </c>
      <c r="F4772" s="1" t="s">
        <v>199</v>
      </c>
      <c r="G4772" s="5">
        <v>2355.3200000000002</v>
      </c>
    </row>
    <row r="4773" spans="1:7" x14ac:dyDescent="0.2">
      <c r="A4773" s="3">
        <v>16</v>
      </c>
      <c r="B4773" s="2">
        <v>37685.120000000003</v>
      </c>
      <c r="C4773" s="38">
        <v>44743</v>
      </c>
      <c r="D4773" s="1" t="s">
        <v>268</v>
      </c>
      <c r="E4773" s="1" t="s">
        <v>33</v>
      </c>
      <c r="F4773" s="1" t="s">
        <v>199</v>
      </c>
      <c r="G4773" s="5">
        <v>2355.3200000000002</v>
      </c>
    </row>
    <row r="4774" spans="1:7" x14ac:dyDescent="0.2">
      <c r="A4774" s="3">
        <v>16</v>
      </c>
      <c r="B4774" s="2">
        <v>37685.120000000003</v>
      </c>
      <c r="C4774" s="38">
        <v>44743</v>
      </c>
      <c r="D4774" s="1" t="s">
        <v>268</v>
      </c>
      <c r="E4774" s="1" t="s">
        <v>33</v>
      </c>
      <c r="F4774" s="1" t="s">
        <v>199</v>
      </c>
      <c r="G4774" s="5">
        <v>2355.3200000000002</v>
      </c>
    </row>
    <row r="4775" spans="1:7" x14ac:dyDescent="0.2">
      <c r="A4775" s="3">
        <v>16</v>
      </c>
      <c r="B4775" s="2">
        <v>37685.120000000003</v>
      </c>
      <c r="C4775" s="38">
        <v>44792</v>
      </c>
      <c r="D4775" s="1" t="s">
        <v>268</v>
      </c>
      <c r="E4775" s="1" t="s">
        <v>33</v>
      </c>
      <c r="F4775" s="1" t="s">
        <v>199</v>
      </c>
      <c r="G4775" s="5">
        <v>2355.3200000000002</v>
      </c>
    </row>
    <row r="4776" spans="1:7" x14ac:dyDescent="0.2">
      <c r="A4776" s="3">
        <v>16</v>
      </c>
      <c r="B4776" s="2">
        <v>37685.120000000003</v>
      </c>
      <c r="C4776" s="38">
        <v>44792</v>
      </c>
      <c r="D4776" s="1" t="s">
        <v>268</v>
      </c>
      <c r="E4776" s="1" t="s">
        <v>33</v>
      </c>
      <c r="F4776" s="1" t="s">
        <v>199</v>
      </c>
      <c r="G4776" s="5">
        <v>2355.3200000000002</v>
      </c>
    </row>
    <row r="4777" spans="1:7" x14ac:dyDescent="0.2">
      <c r="A4777" s="3">
        <v>16</v>
      </c>
      <c r="B4777" s="2">
        <v>37685.120000000003</v>
      </c>
      <c r="C4777" s="38">
        <v>44792</v>
      </c>
      <c r="D4777" s="1" t="s">
        <v>268</v>
      </c>
      <c r="E4777" s="1" t="s">
        <v>33</v>
      </c>
      <c r="F4777" s="1" t="s">
        <v>199</v>
      </c>
      <c r="G4777" s="5">
        <v>2355.3200000000002</v>
      </c>
    </row>
    <row r="4778" spans="1:7" x14ac:dyDescent="0.2">
      <c r="A4778" s="3">
        <v>16</v>
      </c>
      <c r="B4778" s="2">
        <v>37685.120000000003</v>
      </c>
      <c r="C4778" s="38">
        <v>44792</v>
      </c>
      <c r="D4778" s="1" t="s">
        <v>268</v>
      </c>
      <c r="E4778" s="1" t="s">
        <v>33</v>
      </c>
      <c r="F4778" s="1" t="s">
        <v>199</v>
      </c>
      <c r="G4778" s="5">
        <v>2355.3200000000002</v>
      </c>
    </row>
    <row r="4779" spans="1:7" x14ac:dyDescent="0.2">
      <c r="A4779" s="3">
        <v>16</v>
      </c>
      <c r="B4779" s="2">
        <v>37685.120000000003</v>
      </c>
      <c r="C4779" s="38">
        <v>44792</v>
      </c>
      <c r="D4779" s="1" t="s">
        <v>268</v>
      </c>
      <c r="E4779" s="1" t="s">
        <v>33</v>
      </c>
      <c r="F4779" s="1" t="s">
        <v>199</v>
      </c>
      <c r="G4779" s="5">
        <v>2355.3200000000002</v>
      </c>
    </row>
    <row r="4780" spans="1:7" x14ac:dyDescent="0.2">
      <c r="A4780" s="3">
        <v>16</v>
      </c>
      <c r="B4780" s="2">
        <v>37685.120000000003</v>
      </c>
      <c r="C4780" s="38">
        <v>44753</v>
      </c>
      <c r="D4780" s="1" t="s">
        <v>268</v>
      </c>
      <c r="E4780" s="1" t="s">
        <v>33</v>
      </c>
      <c r="F4780" s="1" t="s">
        <v>199</v>
      </c>
      <c r="G4780" s="5">
        <v>2355.3200000000002</v>
      </c>
    </row>
    <row r="4781" spans="1:7" x14ac:dyDescent="0.2">
      <c r="A4781" s="3">
        <v>16</v>
      </c>
      <c r="B4781" s="2">
        <v>37685.120000000003</v>
      </c>
      <c r="C4781" s="38">
        <v>44753</v>
      </c>
      <c r="D4781" s="1" t="s">
        <v>268</v>
      </c>
      <c r="E4781" s="1" t="s">
        <v>33</v>
      </c>
      <c r="F4781" s="1" t="s">
        <v>199</v>
      </c>
      <c r="G4781" s="5">
        <v>2355.3200000000002</v>
      </c>
    </row>
    <row r="4782" spans="1:7" x14ac:dyDescent="0.2">
      <c r="A4782" s="3">
        <v>16</v>
      </c>
      <c r="B4782" s="2">
        <v>37685.120000000003</v>
      </c>
      <c r="C4782" s="38">
        <v>44753</v>
      </c>
      <c r="D4782" s="1" t="s">
        <v>268</v>
      </c>
      <c r="E4782" s="1" t="s">
        <v>33</v>
      </c>
      <c r="F4782" s="1" t="s">
        <v>199</v>
      </c>
      <c r="G4782" s="5">
        <v>2355.3200000000002</v>
      </c>
    </row>
    <row r="4783" spans="1:7" x14ac:dyDescent="0.2">
      <c r="A4783" s="3">
        <v>16</v>
      </c>
      <c r="B4783" s="2">
        <v>37685.120000000003</v>
      </c>
      <c r="C4783" s="38">
        <v>44753</v>
      </c>
      <c r="D4783" s="1" t="s">
        <v>268</v>
      </c>
      <c r="E4783" s="1" t="s">
        <v>33</v>
      </c>
      <c r="F4783" s="1" t="s">
        <v>199</v>
      </c>
      <c r="G4783" s="5">
        <v>2355.3200000000002</v>
      </c>
    </row>
    <row r="4784" spans="1:7" x14ac:dyDescent="0.2">
      <c r="A4784" s="3">
        <v>16</v>
      </c>
      <c r="B4784" s="2">
        <v>37685.120000000003</v>
      </c>
      <c r="C4784" s="38">
        <v>44753</v>
      </c>
      <c r="D4784" s="1" t="s">
        <v>268</v>
      </c>
      <c r="E4784" s="1" t="s">
        <v>33</v>
      </c>
      <c r="F4784" s="1" t="s">
        <v>199</v>
      </c>
      <c r="G4784" s="5">
        <v>2355.3200000000002</v>
      </c>
    </row>
    <row r="4785" spans="1:7" x14ac:dyDescent="0.2">
      <c r="A4785" s="3">
        <v>16</v>
      </c>
      <c r="B4785" s="2">
        <v>37685.120000000003</v>
      </c>
      <c r="C4785" s="38">
        <v>44753</v>
      </c>
      <c r="D4785" s="1" t="s">
        <v>268</v>
      </c>
      <c r="E4785" s="1" t="s">
        <v>33</v>
      </c>
      <c r="F4785" s="1" t="s">
        <v>199</v>
      </c>
      <c r="G4785" s="5">
        <v>2355.3200000000002</v>
      </c>
    </row>
    <row r="4786" spans="1:7" x14ac:dyDescent="0.2">
      <c r="A4786" s="3">
        <v>16</v>
      </c>
      <c r="B4786" s="2">
        <v>37685.120000000003</v>
      </c>
      <c r="C4786" s="38">
        <v>44753</v>
      </c>
      <c r="D4786" s="1" t="s">
        <v>268</v>
      </c>
      <c r="E4786" s="1" t="s">
        <v>33</v>
      </c>
      <c r="F4786" s="1" t="s">
        <v>199</v>
      </c>
      <c r="G4786" s="5">
        <v>2355.3200000000002</v>
      </c>
    </row>
    <row r="4787" spans="1:7" x14ac:dyDescent="0.2">
      <c r="A4787" s="3">
        <v>16</v>
      </c>
      <c r="B4787" s="2">
        <v>37685.120000000003</v>
      </c>
      <c r="C4787" s="38">
        <v>44792</v>
      </c>
      <c r="D4787" s="1" t="s">
        <v>268</v>
      </c>
      <c r="E4787" s="1" t="s">
        <v>33</v>
      </c>
      <c r="F4787" s="1" t="s">
        <v>199</v>
      </c>
      <c r="G4787" s="5">
        <v>2355.3200000000002</v>
      </c>
    </row>
    <row r="4788" spans="1:7" x14ac:dyDescent="0.2">
      <c r="A4788" s="3">
        <v>16</v>
      </c>
      <c r="B4788" s="2">
        <v>37685.120000000003</v>
      </c>
      <c r="C4788" s="38">
        <v>44792</v>
      </c>
      <c r="D4788" s="1" t="s">
        <v>268</v>
      </c>
      <c r="E4788" s="1" t="s">
        <v>33</v>
      </c>
      <c r="F4788" s="1" t="s">
        <v>199</v>
      </c>
      <c r="G4788" s="5">
        <v>2355.3200000000002</v>
      </c>
    </row>
    <row r="4789" spans="1:7" x14ac:dyDescent="0.2">
      <c r="A4789" s="3">
        <v>16</v>
      </c>
      <c r="B4789" s="2">
        <v>37685.120000000003</v>
      </c>
      <c r="C4789" s="38">
        <v>44761</v>
      </c>
      <c r="D4789" s="1" t="s">
        <v>268</v>
      </c>
      <c r="E4789" s="1" t="s">
        <v>33</v>
      </c>
      <c r="F4789" s="1" t="s">
        <v>199</v>
      </c>
      <c r="G4789" s="5">
        <v>2355.3200000000002</v>
      </c>
    </row>
    <row r="4790" spans="1:7" x14ac:dyDescent="0.2">
      <c r="A4790" s="3">
        <v>16</v>
      </c>
      <c r="B4790" s="2">
        <v>37685.120000000003</v>
      </c>
      <c r="C4790" s="38">
        <v>44761</v>
      </c>
      <c r="D4790" s="1" t="s">
        <v>268</v>
      </c>
      <c r="E4790" s="1" t="s">
        <v>33</v>
      </c>
      <c r="F4790" s="1" t="s">
        <v>199</v>
      </c>
      <c r="G4790" s="5">
        <v>2355.3200000000002</v>
      </c>
    </row>
    <row r="4791" spans="1:7" x14ac:dyDescent="0.2">
      <c r="A4791" s="3">
        <v>16</v>
      </c>
      <c r="B4791" s="2">
        <v>37685.120000000003</v>
      </c>
      <c r="C4791" s="38">
        <v>44761</v>
      </c>
      <c r="D4791" s="1" t="s">
        <v>268</v>
      </c>
      <c r="E4791" s="1" t="s">
        <v>33</v>
      </c>
      <c r="F4791" s="1" t="s">
        <v>199</v>
      </c>
      <c r="G4791" s="5">
        <v>2355.3200000000002</v>
      </c>
    </row>
    <row r="4792" spans="1:7" x14ac:dyDescent="0.2">
      <c r="A4792" s="3">
        <v>16</v>
      </c>
      <c r="B4792" s="2">
        <v>37685.120000000003</v>
      </c>
      <c r="C4792" s="38">
        <v>44761</v>
      </c>
      <c r="D4792" s="1" t="s">
        <v>268</v>
      </c>
      <c r="E4792" s="1" t="s">
        <v>33</v>
      </c>
      <c r="F4792" s="1" t="s">
        <v>199</v>
      </c>
      <c r="G4792" s="5">
        <v>2355.3200000000002</v>
      </c>
    </row>
    <row r="4793" spans="1:7" x14ac:dyDescent="0.2">
      <c r="A4793" s="3">
        <v>16</v>
      </c>
      <c r="B4793" s="2">
        <v>37685.120000000003</v>
      </c>
      <c r="C4793" s="38">
        <v>44764</v>
      </c>
      <c r="D4793" s="1" t="s">
        <v>268</v>
      </c>
      <c r="E4793" s="1" t="s">
        <v>33</v>
      </c>
      <c r="F4793" s="1" t="s">
        <v>199</v>
      </c>
      <c r="G4793" s="5">
        <v>2355.3200000000002</v>
      </c>
    </row>
    <row r="4794" spans="1:7" x14ac:dyDescent="0.2">
      <c r="A4794" s="3">
        <v>16</v>
      </c>
      <c r="B4794" s="2">
        <v>37685.120000000003</v>
      </c>
      <c r="C4794" s="38">
        <v>44764</v>
      </c>
      <c r="D4794" s="1" t="s">
        <v>268</v>
      </c>
      <c r="E4794" s="1" t="s">
        <v>33</v>
      </c>
      <c r="F4794" s="1" t="s">
        <v>199</v>
      </c>
      <c r="G4794" s="5">
        <v>2355.3200000000002</v>
      </c>
    </row>
    <row r="4795" spans="1:7" x14ac:dyDescent="0.2">
      <c r="A4795" s="3">
        <v>16</v>
      </c>
      <c r="B4795" s="2">
        <v>37685.120000000003</v>
      </c>
      <c r="C4795" s="38">
        <v>44764</v>
      </c>
      <c r="D4795" s="1" t="s">
        <v>268</v>
      </c>
      <c r="E4795" s="1" t="s">
        <v>33</v>
      </c>
      <c r="F4795" s="1" t="s">
        <v>199</v>
      </c>
      <c r="G4795" s="5">
        <v>2355.3200000000002</v>
      </c>
    </row>
    <row r="4796" spans="1:7" x14ac:dyDescent="0.2">
      <c r="A4796" s="3">
        <v>16</v>
      </c>
      <c r="B4796" s="2">
        <v>37685.120000000003</v>
      </c>
      <c r="C4796" s="38">
        <v>44854</v>
      </c>
      <c r="D4796" s="1" t="s">
        <v>268</v>
      </c>
      <c r="E4796" s="1" t="s">
        <v>33</v>
      </c>
      <c r="F4796" s="1" t="s">
        <v>199</v>
      </c>
      <c r="G4796" s="5">
        <v>2355.3200000000002</v>
      </c>
    </row>
    <row r="4797" spans="1:7" x14ac:dyDescent="0.2">
      <c r="A4797" s="3">
        <v>16</v>
      </c>
      <c r="B4797" s="2">
        <v>37685.120000000003</v>
      </c>
      <c r="C4797" s="38">
        <v>44854</v>
      </c>
      <c r="D4797" s="1" t="s">
        <v>268</v>
      </c>
      <c r="E4797" s="1" t="s">
        <v>33</v>
      </c>
      <c r="F4797" s="1" t="s">
        <v>199</v>
      </c>
      <c r="G4797" s="5">
        <v>2355.3200000000002</v>
      </c>
    </row>
    <row r="4798" spans="1:7" x14ac:dyDescent="0.2">
      <c r="A4798" s="3">
        <v>16</v>
      </c>
      <c r="B4798" s="2">
        <v>37685.120000000003</v>
      </c>
      <c r="C4798" s="38">
        <v>44854</v>
      </c>
      <c r="D4798" s="1" t="s">
        <v>268</v>
      </c>
      <c r="E4798" s="1" t="s">
        <v>33</v>
      </c>
      <c r="F4798" s="1" t="s">
        <v>199</v>
      </c>
      <c r="G4798" s="5">
        <v>2355.3200000000002</v>
      </c>
    </row>
    <row r="4799" spans="1:7" x14ac:dyDescent="0.2">
      <c r="A4799" s="3">
        <v>16</v>
      </c>
      <c r="B4799" s="2">
        <v>37685.120000000003</v>
      </c>
      <c r="C4799" s="38">
        <v>44854</v>
      </c>
      <c r="D4799" s="1" t="s">
        <v>268</v>
      </c>
      <c r="E4799" s="1" t="s">
        <v>33</v>
      </c>
      <c r="F4799" s="1" t="s">
        <v>199</v>
      </c>
      <c r="G4799" s="5">
        <v>2355.3200000000002</v>
      </c>
    </row>
    <row r="4800" spans="1:7" x14ac:dyDescent="0.2">
      <c r="A4800" s="3">
        <v>32</v>
      </c>
      <c r="B4800" s="2">
        <v>27878.080000000002</v>
      </c>
      <c r="C4800" s="38">
        <v>44985</v>
      </c>
      <c r="D4800" s="1" t="s">
        <v>323</v>
      </c>
      <c r="E4800" s="1" t="s">
        <v>33</v>
      </c>
      <c r="F4800" s="1" t="s">
        <v>199</v>
      </c>
      <c r="G4800" s="5">
        <v>871.19</v>
      </c>
    </row>
    <row r="4801" spans="1:7" x14ac:dyDescent="0.2">
      <c r="A4801" s="3">
        <v>32</v>
      </c>
      <c r="B4801" s="2">
        <v>79495.039999999994</v>
      </c>
      <c r="C4801" s="38">
        <v>44992</v>
      </c>
      <c r="D4801" s="1" t="s">
        <v>268</v>
      </c>
      <c r="E4801" s="1" t="s">
        <v>33</v>
      </c>
      <c r="F4801" s="1" t="s">
        <v>199</v>
      </c>
      <c r="G4801" s="5">
        <v>2484.2199999999998</v>
      </c>
    </row>
    <row r="4802" spans="1:7" x14ac:dyDescent="0.2">
      <c r="A4802" s="3">
        <v>32</v>
      </c>
      <c r="B4802" s="2">
        <v>79495.039999999994</v>
      </c>
      <c r="C4802" s="38">
        <v>44992</v>
      </c>
      <c r="D4802" s="1" t="s">
        <v>268</v>
      </c>
      <c r="E4802" s="1" t="s">
        <v>33</v>
      </c>
      <c r="F4802" s="1" t="s">
        <v>199</v>
      </c>
      <c r="G4802" s="5">
        <v>2484.2199999999998</v>
      </c>
    </row>
    <row r="4803" spans="1:7" x14ac:dyDescent="0.2">
      <c r="A4803" s="3">
        <v>32</v>
      </c>
      <c r="B4803" s="2">
        <v>79495.039999999994</v>
      </c>
      <c r="C4803" s="38">
        <v>44992</v>
      </c>
      <c r="D4803" s="1" t="s">
        <v>268</v>
      </c>
      <c r="E4803" s="1" t="s">
        <v>33</v>
      </c>
      <c r="F4803" s="1" t="s">
        <v>199</v>
      </c>
      <c r="G4803" s="5">
        <v>2484.2199999999998</v>
      </c>
    </row>
    <row r="4804" spans="1:7" x14ac:dyDescent="0.2">
      <c r="A4804" s="3">
        <v>32</v>
      </c>
      <c r="B4804" s="2">
        <v>79495.039999999994</v>
      </c>
      <c r="C4804" s="38">
        <v>44992</v>
      </c>
      <c r="D4804" s="1" t="s">
        <v>268</v>
      </c>
      <c r="E4804" s="1" t="s">
        <v>33</v>
      </c>
      <c r="F4804" s="1" t="s">
        <v>199</v>
      </c>
      <c r="G4804" s="5">
        <v>2484.2199999999998</v>
      </c>
    </row>
    <row r="4805" spans="1:7" x14ac:dyDescent="0.2">
      <c r="A4805" s="3">
        <v>32</v>
      </c>
      <c r="B4805" s="2">
        <v>79495.039999999994</v>
      </c>
      <c r="C4805" s="38">
        <v>44992</v>
      </c>
      <c r="D4805" s="1" t="s">
        <v>268</v>
      </c>
      <c r="E4805" s="1" t="s">
        <v>33</v>
      </c>
      <c r="F4805" s="1" t="s">
        <v>199</v>
      </c>
      <c r="G4805" s="5">
        <v>2484.2199999999998</v>
      </c>
    </row>
    <row r="4806" spans="1:7" x14ac:dyDescent="0.2">
      <c r="A4806" s="3">
        <v>32</v>
      </c>
      <c r="B4806" s="2">
        <v>79495.039999999994</v>
      </c>
      <c r="C4806" s="38">
        <v>44992</v>
      </c>
      <c r="D4806" s="1" t="s">
        <v>268</v>
      </c>
      <c r="E4806" s="1" t="s">
        <v>33</v>
      </c>
      <c r="F4806" s="1" t="s">
        <v>199</v>
      </c>
      <c r="G4806" s="5">
        <v>2484.2199999999998</v>
      </c>
    </row>
    <row r="4807" spans="1:7" x14ac:dyDescent="0.2">
      <c r="A4807" s="3">
        <v>32</v>
      </c>
      <c r="B4807" s="2">
        <v>79495.039999999994</v>
      </c>
      <c r="C4807" s="38">
        <v>44992</v>
      </c>
      <c r="D4807" s="1" t="s">
        <v>268</v>
      </c>
      <c r="E4807" s="1" t="s">
        <v>33</v>
      </c>
      <c r="F4807" s="1" t="s">
        <v>199</v>
      </c>
      <c r="G4807" s="5">
        <v>2484.2199999999998</v>
      </c>
    </row>
    <row r="4808" spans="1:7" x14ac:dyDescent="0.2">
      <c r="A4808" s="3">
        <v>32</v>
      </c>
      <c r="B4808" s="2">
        <v>79495.039999999994</v>
      </c>
      <c r="C4808" s="38">
        <v>44992</v>
      </c>
      <c r="D4808" s="1" t="s">
        <v>268</v>
      </c>
      <c r="E4808" s="1" t="s">
        <v>33</v>
      </c>
      <c r="F4808" s="1" t="s">
        <v>199</v>
      </c>
      <c r="G4808" s="5">
        <v>2484.2199999999998</v>
      </c>
    </row>
    <row r="4809" spans="1:7" x14ac:dyDescent="0.2">
      <c r="A4809" s="3">
        <v>32</v>
      </c>
      <c r="B4809" s="2">
        <v>79495.039999999994</v>
      </c>
      <c r="C4809" s="38">
        <v>44992</v>
      </c>
      <c r="D4809" s="1" t="s">
        <v>268</v>
      </c>
      <c r="E4809" s="1" t="s">
        <v>33</v>
      </c>
      <c r="F4809" s="1" t="s">
        <v>199</v>
      </c>
      <c r="G4809" s="5">
        <v>2484.2199999999998</v>
      </c>
    </row>
    <row r="4810" spans="1:7" x14ac:dyDescent="0.2">
      <c r="A4810" s="3">
        <v>32</v>
      </c>
      <c r="B4810" s="2">
        <v>79495.039999999994</v>
      </c>
      <c r="C4810" s="38">
        <v>44992</v>
      </c>
      <c r="D4810" s="1" t="s">
        <v>268</v>
      </c>
      <c r="E4810" s="1" t="s">
        <v>33</v>
      </c>
      <c r="F4810" s="1" t="s">
        <v>199</v>
      </c>
      <c r="G4810" s="5">
        <v>2484.2199999999998</v>
      </c>
    </row>
    <row r="4811" spans="1:7" x14ac:dyDescent="0.2">
      <c r="A4811" s="3">
        <v>32</v>
      </c>
      <c r="B4811" s="2">
        <v>79495.039999999994</v>
      </c>
      <c r="C4811" s="38">
        <v>44992</v>
      </c>
      <c r="D4811" s="1" t="s">
        <v>268</v>
      </c>
      <c r="E4811" s="1" t="s">
        <v>33</v>
      </c>
      <c r="F4811" s="1" t="s">
        <v>199</v>
      </c>
      <c r="G4811" s="5">
        <v>2484.2199999999998</v>
      </c>
    </row>
    <row r="4812" spans="1:7" x14ac:dyDescent="0.2">
      <c r="A4812" s="3">
        <v>32</v>
      </c>
      <c r="B4812" s="2">
        <v>79495.039999999994</v>
      </c>
      <c r="C4812" s="38">
        <v>44992</v>
      </c>
      <c r="D4812" s="1" t="s">
        <v>268</v>
      </c>
      <c r="E4812" s="1" t="s">
        <v>33</v>
      </c>
      <c r="F4812" s="1" t="s">
        <v>199</v>
      </c>
      <c r="G4812" s="5">
        <v>2484.2199999999998</v>
      </c>
    </row>
    <row r="4813" spans="1:7" x14ac:dyDescent="0.2">
      <c r="A4813" s="3">
        <v>32</v>
      </c>
      <c r="B4813" s="2">
        <v>79495.039999999994</v>
      </c>
      <c r="C4813" s="38">
        <v>45000</v>
      </c>
      <c r="D4813" s="1" t="s">
        <v>268</v>
      </c>
      <c r="E4813" s="1" t="s">
        <v>33</v>
      </c>
      <c r="F4813" s="1" t="s">
        <v>199</v>
      </c>
      <c r="G4813" s="5">
        <v>2484.2199999999998</v>
      </c>
    </row>
    <row r="4814" spans="1:7" x14ac:dyDescent="0.2">
      <c r="A4814" s="3">
        <v>32</v>
      </c>
      <c r="B4814" s="2">
        <v>79495.039999999994</v>
      </c>
      <c r="C4814" s="38">
        <v>45000</v>
      </c>
      <c r="D4814" s="1" t="s">
        <v>268</v>
      </c>
      <c r="E4814" s="1" t="s">
        <v>33</v>
      </c>
      <c r="F4814" s="1" t="s">
        <v>199</v>
      </c>
      <c r="G4814" s="5">
        <v>2484.2199999999998</v>
      </c>
    </row>
    <row r="4815" spans="1:7" x14ac:dyDescent="0.2">
      <c r="A4815" s="3">
        <v>32</v>
      </c>
      <c r="B4815" s="2">
        <v>79495.039999999994</v>
      </c>
      <c r="C4815" s="38">
        <v>45000</v>
      </c>
      <c r="D4815" s="1" t="s">
        <v>268</v>
      </c>
      <c r="E4815" s="1" t="s">
        <v>33</v>
      </c>
      <c r="F4815" s="1" t="s">
        <v>199</v>
      </c>
      <c r="G4815" s="5">
        <v>2484.2199999999998</v>
      </c>
    </row>
    <row r="4816" spans="1:7" x14ac:dyDescent="0.2">
      <c r="A4816" s="3">
        <v>32</v>
      </c>
      <c r="B4816" s="2">
        <v>79495.039999999994</v>
      </c>
      <c r="C4816" s="38">
        <v>45000</v>
      </c>
      <c r="D4816" s="1" t="s">
        <v>268</v>
      </c>
      <c r="E4816" s="1" t="s">
        <v>33</v>
      </c>
      <c r="F4816" s="1" t="s">
        <v>199</v>
      </c>
      <c r="G4816" s="5">
        <v>2484.2199999999998</v>
      </c>
    </row>
    <row r="4817" spans="1:7" x14ac:dyDescent="0.2">
      <c r="A4817" s="3">
        <v>32</v>
      </c>
      <c r="B4817" s="2">
        <v>79495.039999999994</v>
      </c>
      <c r="C4817" s="38">
        <v>45000</v>
      </c>
      <c r="D4817" s="1" t="s">
        <v>268</v>
      </c>
      <c r="E4817" s="1" t="s">
        <v>33</v>
      </c>
      <c r="F4817" s="1" t="s">
        <v>199</v>
      </c>
      <c r="G4817" s="5">
        <v>2484.2199999999998</v>
      </c>
    </row>
    <row r="4818" spans="1:7" x14ac:dyDescent="0.2">
      <c r="A4818" s="3">
        <v>32</v>
      </c>
      <c r="B4818" s="2">
        <v>79495.039999999994</v>
      </c>
      <c r="C4818" s="38">
        <v>45000</v>
      </c>
      <c r="D4818" s="1" t="s">
        <v>268</v>
      </c>
      <c r="E4818" s="1" t="s">
        <v>33</v>
      </c>
      <c r="F4818" s="1" t="s">
        <v>199</v>
      </c>
      <c r="G4818" s="5">
        <v>2484.2199999999998</v>
      </c>
    </row>
    <row r="4819" spans="1:7" x14ac:dyDescent="0.2">
      <c r="A4819" s="3">
        <v>32</v>
      </c>
      <c r="B4819" s="2">
        <v>79495.039999999994</v>
      </c>
      <c r="C4819" s="38">
        <v>45000</v>
      </c>
      <c r="D4819" s="1" t="s">
        <v>268</v>
      </c>
      <c r="E4819" s="1" t="s">
        <v>33</v>
      </c>
      <c r="F4819" s="1" t="s">
        <v>199</v>
      </c>
      <c r="G4819" s="5">
        <v>2484.2199999999998</v>
      </c>
    </row>
    <row r="4820" spans="1:7" x14ac:dyDescent="0.2">
      <c r="A4820" s="3">
        <v>32</v>
      </c>
      <c r="B4820" s="2">
        <v>79495.039999999994</v>
      </c>
      <c r="C4820" s="38">
        <v>45000</v>
      </c>
      <c r="D4820" s="1" t="s">
        <v>268</v>
      </c>
      <c r="E4820" s="1" t="s">
        <v>33</v>
      </c>
      <c r="F4820" s="1" t="s">
        <v>199</v>
      </c>
      <c r="G4820" s="5">
        <v>2484.2199999999998</v>
      </c>
    </row>
    <row r="4821" spans="1:7" x14ac:dyDescent="0.2">
      <c r="A4821" s="3">
        <v>32</v>
      </c>
      <c r="B4821" s="2">
        <v>79495.039999999994</v>
      </c>
      <c r="C4821" s="38">
        <v>45000</v>
      </c>
      <c r="D4821" s="1" t="s">
        <v>268</v>
      </c>
      <c r="E4821" s="1" t="s">
        <v>33</v>
      </c>
      <c r="F4821" s="1" t="s">
        <v>199</v>
      </c>
      <c r="G4821" s="5">
        <v>2484.2199999999998</v>
      </c>
    </row>
    <row r="4822" spans="1:7" x14ac:dyDescent="0.2">
      <c r="A4822" s="3">
        <v>32</v>
      </c>
      <c r="B4822" s="2">
        <v>27878.080000000002</v>
      </c>
      <c r="C4822" s="38">
        <v>45049</v>
      </c>
      <c r="D4822" s="1" t="s">
        <v>323</v>
      </c>
      <c r="E4822" s="1" t="s">
        <v>33</v>
      </c>
      <c r="F4822" s="1" t="s">
        <v>199</v>
      </c>
      <c r="G4822" s="5">
        <v>871.19</v>
      </c>
    </row>
    <row r="4823" spans="1:7" x14ac:dyDescent="0.2">
      <c r="A4823" s="3">
        <v>32</v>
      </c>
      <c r="B4823" s="2">
        <v>27878.080000000002</v>
      </c>
      <c r="C4823" s="38">
        <v>45049</v>
      </c>
      <c r="D4823" s="1" t="s">
        <v>323</v>
      </c>
      <c r="E4823" s="1" t="s">
        <v>33</v>
      </c>
      <c r="F4823" s="1" t="s">
        <v>199</v>
      </c>
      <c r="G4823" s="5">
        <v>871.19</v>
      </c>
    </row>
    <row r="4824" spans="1:7" x14ac:dyDescent="0.2">
      <c r="A4824" s="3">
        <v>32</v>
      </c>
      <c r="B4824" s="2">
        <v>27878.080000000002</v>
      </c>
      <c r="C4824" s="38">
        <v>45049</v>
      </c>
      <c r="D4824" s="1" t="s">
        <v>323</v>
      </c>
      <c r="E4824" s="1" t="s">
        <v>33</v>
      </c>
      <c r="F4824" s="1" t="s">
        <v>199</v>
      </c>
      <c r="G4824" s="5">
        <v>871.19</v>
      </c>
    </row>
    <row r="4825" spans="1:7" x14ac:dyDescent="0.2">
      <c r="A4825" s="3">
        <v>32</v>
      </c>
      <c r="B4825" s="2">
        <v>27878.080000000002</v>
      </c>
      <c r="C4825" s="38">
        <v>45049</v>
      </c>
      <c r="D4825" s="1" t="s">
        <v>323</v>
      </c>
      <c r="E4825" s="1" t="s">
        <v>33</v>
      </c>
      <c r="F4825" s="1" t="s">
        <v>199</v>
      </c>
      <c r="G4825" s="5">
        <v>871.19</v>
      </c>
    </row>
    <row r="4826" spans="1:7" x14ac:dyDescent="0.2">
      <c r="A4826" s="3">
        <v>32</v>
      </c>
      <c r="B4826" s="2">
        <v>27878.080000000002</v>
      </c>
      <c r="C4826" s="38">
        <v>45049</v>
      </c>
      <c r="D4826" s="1" t="s">
        <v>323</v>
      </c>
      <c r="E4826" s="1" t="s">
        <v>33</v>
      </c>
      <c r="F4826" s="1" t="s">
        <v>199</v>
      </c>
      <c r="G4826" s="5">
        <v>871.19</v>
      </c>
    </row>
    <row r="4827" spans="1:7" x14ac:dyDescent="0.2">
      <c r="A4827" s="3">
        <v>32</v>
      </c>
      <c r="B4827" s="2">
        <v>27878.080000000002</v>
      </c>
      <c r="C4827" s="38">
        <v>45049</v>
      </c>
      <c r="D4827" s="1" t="s">
        <v>323</v>
      </c>
      <c r="E4827" s="1" t="s">
        <v>33</v>
      </c>
      <c r="F4827" s="1" t="s">
        <v>199</v>
      </c>
      <c r="G4827" s="5">
        <v>871.19</v>
      </c>
    </row>
    <row r="4828" spans="1:7" x14ac:dyDescent="0.2">
      <c r="A4828" s="3">
        <v>32</v>
      </c>
      <c r="B4828" s="2">
        <v>27878.080000000002</v>
      </c>
      <c r="C4828" s="38">
        <v>45049</v>
      </c>
      <c r="D4828" s="1" t="s">
        <v>323</v>
      </c>
      <c r="E4828" s="1" t="s">
        <v>33</v>
      </c>
      <c r="F4828" s="1" t="s">
        <v>199</v>
      </c>
      <c r="G4828" s="5">
        <v>871.19</v>
      </c>
    </row>
    <row r="4829" spans="1:7" x14ac:dyDescent="0.2">
      <c r="A4829" s="3">
        <v>32</v>
      </c>
      <c r="B4829" s="2">
        <v>27878.080000000002</v>
      </c>
      <c r="C4829" s="38">
        <v>45049</v>
      </c>
      <c r="D4829" s="1" t="s">
        <v>323</v>
      </c>
      <c r="E4829" s="1" t="s">
        <v>33</v>
      </c>
      <c r="F4829" s="1" t="s">
        <v>199</v>
      </c>
      <c r="G4829" s="5">
        <v>871.19</v>
      </c>
    </row>
    <row r="4830" spans="1:7" x14ac:dyDescent="0.2">
      <c r="A4830" s="3">
        <v>32</v>
      </c>
      <c r="B4830" s="2">
        <v>27878.080000000002</v>
      </c>
      <c r="C4830" s="38">
        <v>45049</v>
      </c>
      <c r="D4830" s="1" t="s">
        <v>323</v>
      </c>
      <c r="E4830" s="1" t="s">
        <v>33</v>
      </c>
      <c r="F4830" s="1" t="s">
        <v>199</v>
      </c>
      <c r="G4830" s="5">
        <v>871.19</v>
      </c>
    </row>
    <row r="4831" spans="1:7" x14ac:dyDescent="0.2">
      <c r="A4831" s="3">
        <v>32</v>
      </c>
      <c r="B4831" s="2">
        <v>27878.080000000002</v>
      </c>
      <c r="C4831" s="38">
        <v>45049</v>
      </c>
      <c r="D4831" s="1" t="s">
        <v>323</v>
      </c>
      <c r="E4831" s="1" t="s">
        <v>33</v>
      </c>
      <c r="F4831" s="1" t="s">
        <v>199</v>
      </c>
      <c r="G4831" s="5">
        <v>871.19</v>
      </c>
    </row>
    <row r="4832" spans="1:7" x14ac:dyDescent="0.2">
      <c r="A4832" s="3">
        <v>32</v>
      </c>
      <c r="B4832" s="2">
        <v>27878.080000000002</v>
      </c>
      <c r="C4832" s="38">
        <v>45049</v>
      </c>
      <c r="D4832" s="1" t="s">
        <v>323</v>
      </c>
      <c r="E4832" s="1" t="s">
        <v>33</v>
      </c>
      <c r="F4832" s="1" t="s">
        <v>199</v>
      </c>
      <c r="G4832" s="5">
        <v>871.19</v>
      </c>
    </row>
    <row r="4833" spans="1:7" x14ac:dyDescent="0.2">
      <c r="A4833" s="3">
        <v>32</v>
      </c>
      <c r="B4833" s="2">
        <v>27878.080000000002</v>
      </c>
      <c r="C4833" s="38">
        <v>45049</v>
      </c>
      <c r="D4833" s="1" t="s">
        <v>323</v>
      </c>
      <c r="E4833" s="1" t="s">
        <v>33</v>
      </c>
      <c r="F4833" s="1" t="s">
        <v>199</v>
      </c>
      <c r="G4833" s="5">
        <v>871.19</v>
      </c>
    </row>
    <row r="4834" spans="1:7" x14ac:dyDescent="0.2">
      <c r="A4834" s="3">
        <v>32</v>
      </c>
      <c r="B4834" s="2">
        <v>27878.080000000002</v>
      </c>
      <c r="C4834" s="38">
        <v>45049</v>
      </c>
      <c r="D4834" s="1" t="s">
        <v>323</v>
      </c>
      <c r="E4834" s="1" t="s">
        <v>33</v>
      </c>
      <c r="F4834" s="1" t="s">
        <v>199</v>
      </c>
      <c r="G4834" s="5">
        <v>871.19</v>
      </c>
    </row>
    <row r="4835" spans="1:7" x14ac:dyDescent="0.2">
      <c r="A4835" s="3">
        <v>32</v>
      </c>
      <c r="B4835" s="2">
        <v>27878.080000000002</v>
      </c>
      <c r="C4835" s="38">
        <v>45049</v>
      </c>
      <c r="D4835" s="1" t="s">
        <v>323</v>
      </c>
      <c r="E4835" s="1" t="s">
        <v>33</v>
      </c>
      <c r="F4835" s="1" t="s">
        <v>199</v>
      </c>
      <c r="G4835" s="5">
        <v>871.19</v>
      </c>
    </row>
    <row r="4836" spans="1:7" x14ac:dyDescent="0.2">
      <c r="A4836" s="3">
        <v>32</v>
      </c>
      <c r="B4836" s="2">
        <v>27878.080000000002</v>
      </c>
      <c r="C4836" s="38">
        <v>45049</v>
      </c>
      <c r="D4836" s="1" t="s">
        <v>323</v>
      </c>
      <c r="E4836" s="1" t="s">
        <v>33</v>
      </c>
      <c r="F4836" s="1" t="s">
        <v>199</v>
      </c>
      <c r="G4836" s="5">
        <v>871.19</v>
      </c>
    </row>
    <row r="4837" spans="1:7" x14ac:dyDescent="0.2">
      <c r="A4837" s="3">
        <v>32</v>
      </c>
      <c r="B4837" s="2">
        <v>27878.080000000002</v>
      </c>
      <c r="C4837" s="38">
        <v>45049</v>
      </c>
      <c r="D4837" s="1" t="s">
        <v>323</v>
      </c>
      <c r="E4837" s="1" t="s">
        <v>33</v>
      </c>
      <c r="F4837" s="1" t="s">
        <v>199</v>
      </c>
      <c r="G4837" s="5">
        <v>871.19</v>
      </c>
    </row>
    <row r="4838" spans="1:7" x14ac:dyDescent="0.2">
      <c r="A4838" s="3">
        <v>32</v>
      </c>
      <c r="B4838" s="2">
        <v>27878.080000000002</v>
      </c>
      <c r="C4838" s="38">
        <v>45049</v>
      </c>
      <c r="D4838" s="1" t="s">
        <v>323</v>
      </c>
      <c r="E4838" s="1" t="s">
        <v>33</v>
      </c>
      <c r="F4838" s="1" t="s">
        <v>199</v>
      </c>
      <c r="G4838" s="5">
        <v>871.19</v>
      </c>
    </row>
    <row r="4839" spans="1:7" x14ac:dyDescent="0.2">
      <c r="A4839" s="3">
        <v>32</v>
      </c>
      <c r="B4839" s="2">
        <v>27878.080000000002</v>
      </c>
      <c r="C4839" s="38">
        <v>45049</v>
      </c>
      <c r="D4839" s="1" t="s">
        <v>323</v>
      </c>
      <c r="E4839" s="1" t="s">
        <v>33</v>
      </c>
      <c r="F4839" s="1" t="s">
        <v>199</v>
      </c>
      <c r="G4839" s="5">
        <v>871.19</v>
      </c>
    </row>
    <row r="4840" spans="1:7" x14ac:dyDescent="0.2">
      <c r="A4840" s="3">
        <v>32</v>
      </c>
      <c r="B4840" s="2">
        <v>27878.080000000002</v>
      </c>
      <c r="C4840" s="38">
        <v>45049</v>
      </c>
      <c r="D4840" s="1" t="s">
        <v>323</v>
      </c>
      <c r="E4840" s="1" t="s">
        <v>33</v>
      </c>
      <c r="F4840" s="1" t="s">
        <v>199</v>
      </c>
      <c r="G4840" s="5">
        <v>871.19</v>
      </c>
    </row>
    <row r="4841" spans="1:7" x14ac:dyDescent="0.2">
      <c r="A4841" s="3">
        <v>32</v>
      </c>
      <c r="B4841" s="2">
        <v>27878.080000000002</v>
      </c>
      <c r="C4841" s="38">
        <v>45049</v>
      </c>
      <c r="D4841" s="1" t="s">
        <v>323</v>
      </c>
      <c r="E4841" s="1" t="s">
        <v>33</v>
      </c>
      <c r="F4841" s="1" t="s">
        <v>199</v>
      </c>
      <c r="G4841" s="5">
        <v>871.19</v>
      </c>
    </row>
    <row r="4842" spans="1:7" x14ac:dyDescent="0.2">
      <c r="A4842" s="3">
        <v>32</v>
      </c>
      <c r="B4842" s="2">
        <v>27878.080000000002</v>
      </c>
      <c r="C4842" s="38">
        <v>45049</v>
      </c>
      <c r="D4842" s="1" t="s">
        <v>323</v>
      </c>
      <c r="E4842" s="1" t="s">
        <v>33</v>
      </c>
      <c r="F4842" s="1" t="s">
        <v>199</v>
      </c>
      <c r="G4842" s="5">
        <v>871.19</v>
      </c>
    </row>
    <row r="4843" spans="1:7" x14ac:dyDescent="0.2">
      <c r="A4843" s="3">
        <v>32</v>
      </c>
      <c r="B4843" s="2">
        <v>27878.080000000002</v>
      </c>
      <c r="C4843" s="38">
        <v>45049</v>
      </c>
      <c r="D4843" s="1" t="s">
        <v>323</v>
      </c>
      <c r="E4843" s="1" t="s">
        <v>33</v>
      </c>
      <c r="F4843" s="1" t="s">
        <v>199</v>
      </c>
      <c r="G4843" s="5">
        <v>871.19</v>
      </c>
    </row>
    <row r="4844" spans="1:7" x14ac:dyDescent="0.2">
      <c r="A4844" s="3">
        <v>32</v>
      </c>
      <c r="B4844" s="2">
        <v>27878.080000000002</v>
      </c>
      <c r="C4844" s="38">
        <v>45049</v>
      </c>
      <c r="D4844" s="1" t="s">
        <v>323</v>
      </c>
      <c r="E4844" s="1" t="s">
        <v>33</v>
      </c>
      <c r="F4844" s="1" t="s">
        <v>199</v>
      </c>
      <c r="G4844" s="5">
        <v>871.19</v>
      </c>
    </row>
    <row r="4845" spans="1:7" x14ac:dyDescent="0.2">
      <c r="A4845" s="3">
        <v>32</v>
      </c>
      <c r="B4845" s="2">
        <v>27878.080000000002</v>
      </c>
      <c r="C4845" s="38">
        <v>45049</v>
      </c>
      <c r="D4845" s="1" t="s">
        <v>323</v>
      </c>
      <c r="E4845" s="1" t="s">
        <v>33</v>
      </c>
      <c r="F4845" s="1" t="s">
        <v>199</v>
      </c>
      <c r="G4845" s="5">
        <v>871.19</v>
      </c>
    </row>
    <row r="4846" spans="1:7" x14ac:dyDescent="0.2">
      <c r="A4846" s="3">
        <v>32</v>
      </c>
      <c r="B4846" s="2">
        <v>27878.080000000002</v>
      </c>
      <c r="C4846" s="38">
        <v>45049</v>
      </c>
      <c r="D4846" s="1" t="s">
        <v>323</v>
      </c>
      <c r="E4846" s="1" t="s">
        <v>33</v>
      </c>
      <c r="F4846" s="1" t="s">
        <v>199</v>
      </c>
      <c r="G4846" s="5">
        <v>871.19</v>
      </c>
    </row>
    <row r="4847" spans="1:7" x14ac:dyDescent="0.2">
      <c r="A4847" s="3">
        <v>32</v>
      </c>
      <c r="B4847" s="2">
        <v>27878.080000000002</v>
      </c>
      <c r="C4847" s="38">
        <v>45049</v>
      </c>
      <c r="D4847" s="1" t="s">
        <v>323</v>
      </c>
      <c r="E4847" s="1" t="s">
        <v>33</v>
      </c>
      <c r="F4847" s="1" t="s">
        <v>199</v>
      </c>
      <c r="G4847" s="5">
        <v>871.19</v>
      </c>
    </row>
    <row r="4848" spans="1:7" x14ac:dyDescent="0.2">
      <c r="A4848" s="3">
        <v>32</v>
      </c>
      <c r="B4848" s="2">
        <v>27878.080000000002</v>
      </c>
      <c r="C4848" s="38">
        <v>45049</v>
      </c>
      <c r="D4848" s="1" t="s">
        <v>323</v>
      </c>
      <c r="E4848" s="1" t="s">
        <v>33</v>
      </c>
      <c r="F4848" s="1" t="s">
        <v>199</v>
      </c>
      <c r="G4848" s="5">
        <v>871.19</v>
      </c>
    </row>
    <row r="4849" spans="1:7" x14ac:dyDescent="0.2">
      <c r="A4849" s="3">
        <v>32</v>
      </c>
      <c r="B4849" s="2">
        <v>27878.080000000002</v>
      </c>
      <c r="C4849" s="38">
        <v>45049</v>
      </c>
      <c r="D4849" s="1" t="s">
        <v>323</v>
      </c>
      <c r="E4849" s="1" t="s">
        <v>33</v>
      </c>
      <c r="F4849" s="1" t="s">
        <v>199</v>
      </c>
      <c r="G4849" s="5">
        <v>871.19</v>
      </c>
    </row>
    <row r="4850" spans="1:7" x14ac:dyDescent="0.2">
      <c r="A4850" s="3">
        <v>32</v>
      </c>
      <c r="B4850" s="2">
        <v>27878.080000000002</v>
      </c>
      <c r="C4850" s="38">
        <v>45049</v>
      </c>
      <c r="D4850" s="1" t="s">
        <v>323</v>
      </c>
      <c r="E4850" s="1" t="s">
        <v>33</v>
      </c>
      <c r="F4850" s="1" t="s">
        <v>199</v>
      </c>
      <c r="G4850" s="5">
        <v>871.19</v>
      </c>
    </row>
    <row r="4851" spans="1:7" x14ac:dyDescent="0.2">
      <c r="A4851" s="3">
        <v>32</v>
      </c>
      <c r="B4851" s="2">
        <v>75370.240000000005</v>
      </c>
      <c r="C4851" s="38">
        <v>44664</v>
      </c>
      <c r="D4851" s="1" t="s">
        <v>268</v>
      </c>
      <c r="E4851" s="1" t="s">
        <v>33</v>
      </c>
      <c r="F4851" s="1" t="s">
        <v>199</v>
      </c>
      <c r="G4851" s="5">
        <v>2355.3200000000002</v>
      </c>
    </row>
    <row r="4852" spans="1:7" x14ac:dyDescent="0.2">
      <c r="A4852" s="3">
        <v>32</v>
      </c>
      <c r="B4852" s="2">
        <v>27878.080000000002</v>
      </c>
      <c r="C4852" s="38">
        <v>45030</v>
      </c>
      <c r="D4852" s="1" t="s">
        <v>323</v>
      </c>
      <c r="E4852" s="1" t="s">
        <v>33</v>
      </c>
      <c r="F4852" s="1" t="s">
        <v>199</v>
      </c>
      <c r="G4852" s="5">
        <v>871.19</v>
      </c>
    </row>
    <row r="4853" spans="1:7" x14ac:dyDescent="0.2">
      <c r="A4853" s="3">
        <v>32</v>
      </c>
      <c r="B4853" s="2">
        <v>27878.080000000002</v>
      </c>
      <c r="C4853" s="38">
        <v>45030</v>
      </c>
      <c r="D4853" s="1" t="s">
        <v>323</v>
      </c>
      <c r="E4853" s="1" t="s">
        <v>33</v>
      </c>
      <c r="F4853" s="1" t="s">
        <v>199</v>
      </c>
      <c r="G4853" s="5">
        <v>871.19</v>
      </c>
    </row>
    <row r="4854" spans="1:7" x14ac:dyDescent="0.2">
      <c r="A4854" s="3">
        <v>32</v>
      </c>
      <c r="B4854" s="2">
        <v>27878.080000000002</v>
      </c>
      <c r="C4854" s="38">
        <v>45030</v>
      </c>
      <c r="D4854" s="1" t="s">
        <v>323</v>
      </c>
      <c r="E4854" s="1" t="s">
        <v>33</v>
      </c>
      <c r="F4854" s="1" t="s">
        <v>199</v>
      </c>
      <c r="G4854" s="5">
        <v>871.19</v>
      </c>
    </row>
    <row r="4855" spans="1:7" x14ac:dyDescent="0.2">
      <c r="A4855" s="3">
        <v>32</v>
      </c>
      <c r="B4855" s="2">
        <v>27878.080000000002</v>
      </c>
      <c r="C4855" s="38">
        <v>45030</v>
      </c>
      <c r="D4855" s="1" t="s">
        <v>323</v>
      </c>
      <c r="E4855" s="1" t="s">
        <v>33</v>
      </c>
      <c r="F4855" s="1" t="s">
        <v>199</v>
      </c>
      <c r="G4855" s="5">
        <v>871.19</v>
      </c>
    </row>
    <row r="4856" spans="1:7" x14ac:dyDescent="0.2">
      <c r="A4856" s="3">
        <v>32</v>
      </c>
      <c r="B4856" s="2">
        <v>27878.080000000002</v>
      </c>
      <c r="C4856" s="38">
        <v>45030</v>
      </c>
      <c r="D4856" s="1" t="s">
        <v>323</v>
      </c>
      <c r="E4856" s="1" t="s">
        <v>33</v>
      </c>
      <c r="F4856" s="1" t="s">
        <v>199</v>
      </c>
      <c r="G4856" s="5">
        <v>871.19</v>
      </c>
    </row>
    <row r="4857" spans="1:7" x14ac:dyDescent="0.2">
      <c r="A4857" s="3">
        <v>32</v>
      </c>
      <c r="B4857" s="2">
        <v>27878.080000000002</v>
      </c>
      <c r="C4857" s="38">
        <v>45030</v>
      </c>
      <c r="D4857" s="1" t="s">
        <v>323</v>
      </c>
      <c r="E4857" s="1" t="s">
        <v>33</v>
      </c>
      <c r="F4857" s="1" t="s">
        <v>199</v>
      </c>
      <c r="G4857" s="5">
        <v>871.19</v>
      </c>
    </row>
    <row r="4858" spans="1:7" x14ac:dyDescent="0.2">
      <c r="A4858" s="3">
        <v>32</v>
      </c>
      <c r="B4858" s="2">
        <v>27878.080000000002</v>
      </c>
      <c r="C4858" s="38">
        <v>45030</v>
      </c>
      <c r="D4858" s="1" t="s">
        <v>323</v>
      </c>
      <c r="E4858" s="1" t="s">
        <v>33</v>
      </c>
      <c r="F4858" s="1" t="s">
        <v>199</v>
      </c>
      <c r="G4858" s="5">
        <v>871.19</v>
      </c>
    </row>
    <row r="4859" spans="1:7" x14ac:dyDescent="0.2">
      <c r="A4859" s="3">
        <v>32</v>
      </c>
      <c r="B4859" s="2">
        <v>27878.080000000002</v>
      </c>
      <c r="C4859" s="38">
        <v>45030</v>
      </c>
      <c r="D4859" s="1" t="s">
        <v>323</v>
      </c>
      <c r="E4859" s="1" t="s">
        <v>33</v>
      </c>
      <c r="F4859" s="1" t="s">
        <v>199</v>
      </c>
      <c r="G4859" s="5">
        <v>871.19</v>
      </c>
    </row>
    <row r="4860" spans="1:7" x14ac:dyDescent="0.2">
      <c r="A4860" s="3">
        <v>32</v>
      </c>
      <c r="B4860" s="2">
        <v>27878.080000000002</v>
      </c>
      <c r="C4860" s="38">
        <v>45030</v>
      </c>
      <c r="D4860" s="1" t="s">
        <v>323</v>
      </c>
      <c r="E4860" s="1" t="s">
        <v>33</v>
      </c>
      <c r="F4860" s="1" t="s">
        <v>199</v>
      </c>
      <c r="G4860" s="5">
        <v>871.19</v>
      </c>
    </row>
    <row r="4861" spans="1:7" x14ac:dyDescent="0.2">
      <c r="A4861" s="3">
        <v>32</v>
      </c>
      <c r="B4861" s="2">
        <v>27878.080000000002</v>
      </c>
      <c r="C4861" s="38">
        <v>45030</v>
      </c>
      <c r="D4861" s="1" t="s">
        <v>323</v>
      </c>
      <c r="E4861" s="1" t="s">
        <v>33</v>
      </c>
      <c r="F4861" s="1" t="s">
        <v>199</v>
      </c>
      <c r="G4861" s="5">
        <v>871.19</v>
      </c>
    </row>
    <row r="4862" spans="1:7" x14ac:dyDescent="0.2">
      <c r="A4862" s="3">
        <v>32</v>
      </c>
      <c r="B4862" s="2">
        <v>27878.080000000002</v>
      </c>
      <c r="C4862" s="38">
        <v>45030</v>
      </c>
      <c r="D4862" s="1" t="s">
        <v>323</v>
      </c>
      <c r="E4862" s="1" t="s">
        <v>33</v>
      </c>
      <c r="F4862" s="1" t="s">
        <v>199</v>
      </c>
      <c r="G4862" s="5">
        <v>871.19</v>
      </c>
    </row>
    <row r="4863" spans="1:7" x14ac:dyDescent="0.2">
      <c r="A4863" s="3">
        <v>32</v>
      </c>
      <c r="B4863" s="2">
        <v>27878.080000000002</v>
      </c>
      <c r="C4863" s="38">
        <v>45030</v>
      </c>
      <c r="D4863" s="1" t="s">
        <v>323</v>
      </c>
      <c r="E4863" s="1" t="s">
        <v>33</v>
      </c>
      <c r="F4863" s="1" t="s">
        <v>199</v>
      </c>
      <c r="G4863" s="5">
        <v>871.19</v>
      </c>
    </row>
    <row r="4864" spans="1:7" x14ac:dyDescent="0.2">
      <c r="A4864" s="3">
        <v>32</v>
      </c>
      <c r="B4864" s="2">
        <v>27878.080000000002</v>
      </c>
      <c r="C4864" s="38">
        <v>45061</v>
      </c>
      <c r="D4864" s="1" t="s">
        <v>323</v>
      </c>
      <c r="E4864" s="1" t="s">
        <v>33</v>
      </c>
      <c r="F4864" s="1" t="s">
        <v>199</v>
      </c>
      <c r="G4864" s="5">
        <v>871.19</v>
      </c>
    </row>
    <row r="4865" spans="1:7" x14ac:dyDescent="0.2">
      <c r="A4865" s="3">
        <v>32</v>
      </c>
      <c r="B4865" s="2">
        <v>27878.080000000002</v>
      </c>
      <c r="C4865" s="38">
        <v>45061</v>
      </c>
      <c r="D4865" s="1" t="s">
        <v>323</v>
      </c>
      <c r="E4865" s="1" t="s">
        <v>33</v>
      </c>
      <c r="F4865" s="1" t="s">
        <v>199</v>
      </c>
      <c r="G4865" s="5">
        <v>871.19</v>
      </c>
    </row>
    <row r="4866" spans="1:7" x14ac:dyDescent="0.2">
      <c r="A4866" s="3">
        <v>32</v>
      </c>
      <c r="B4866" s="2">
        <v>27878.080000000002</v>
      </c>
      <c r="C4866" s="38">
        <v>45061</v>
      </c>
      <c r="D4866" s="1" t="s">
        <v>323</v>
      </c>
      <c r="E4866" s="1" t="s">
        <v>33</v>
      </c>
      <c r="F4866" s="1" t="s">
        <v>199</v>
      </c>
      <c r="G4866" s="5">
        <v>871.19</v>
      </c>
    </row>
    <row r="4867" spans="1:7" x14ac:dyDescent="0.2">
      <c r="A4867" s="3">
        <v>32</v>
      </c>
      <c r="B4867" s="2">
        <v>79495.039999999994</v>
      </c>
      <c r="C4867" s="38">
        <v>45061</v>
      </c>
      <c r="D4867" s="1" t="s">
        <v>268</v>
      </c>
      <c r="E4867" s="1" t="s">
        <v>33</v>
      </c>
      <c r="F4867" s="1" t="s">
        <v>199</v>
      </c>
      <c r="G4867" s="5">
        <v>2484.2199999999998</v>
      </c>
    </row>
    <row r="4868" spans="1:7" x14ac:dyDescent="0.2">
      <c r="A4868" s="3">
        <v>32</v>
      </c>
      <c r="B4868" s="2">
        <v>79495.039999999994</v>
      </c>
      <c r="C4868" s="38">
        <v>45061</v>
      </c>
      <c r="D4868" s="1" t="s">
        <v>268</v>
      </c>
      <c r="E4868" s="1" t="s">
        <v>33</v>
      </c>
      <c r="F4868" s="1" t="s">
        <v>199</v>
      </c>
      <c r="G4868" s="5">
        <v>2484.2199999999998</v>
      </c>
    </row>
    <row r="4869" spans="1:7" x14ac:dyDescent="0.2">
      <c r="A4869" s="3">
        <v>32</v>
      </c>
      <c r="B4869" s="2">
        <v>79495.039999999994</v>
      </c>
      <c r="C4869" s="38">
        <v>45061</v>
      </c>
      <c r="D4869" s="1" t="s">
        <v>268</v>
      </c>
      <c r="E4869" s="1" t="s">
        <v>33</v>
      </c>
      <c r="F4869" s="1" t="s">
        <v>199</v>
      </c>
      <c r="G4869" s="5">
        <v>2484.2199999999998</v>
      </c>
    </row>
    <row r="4870" spans="1:7" x14ac:dyDescent="0.2">
      <c r="A4870" s="3">
        <v>32</v>
      </c>
      <c r="B4870" s="2">
        <v>79495.039999999994</v>
      </c>
      <c r="C4870" s="38">
        <v>45061</v>
      </c>
      <c r="D4870" s="1" t="s">
        <v>268</v>
      </c>
      <c r="E4870" s="1" t="s">
        <v>33</v>
      </c>
      <c r="F4870" s="1" t="s">
        <v>199</v>
      </c>
      <c r="G4870" s="5">
        <v>2484.2199999999998</v>
      </c>
    </row>
    <row r="4871" spans="1:7" x14ac:dyDescent="0.2">
      <c r="A4871" s="3">
        <v>32</v>
      </c>
      <c r="B4871" s="2">
        <v>79495.039999999994</v>
      </c>
      <c r="C4871" s="38">
        <v>45061</v>
      </c>
      <c r="D4871" s="1" t="s">
        <v>268</v>
      </c>
      <c r="E4871" s="1" t="s">
        <v>33</v>
      </c>
      <c r="F4871" s="1" t="s">
        <v>199</v>
      </c>
      <c r="G4871" s="5">
        <v>2484.2199999999998</v>
      </c>
    </row>
    <row r="4872" spans="1:7" x14ac:dyDescent="0.2">
      <c r="A4872" s="3">
        <v>32</v>
      </c>
      <c r="B4872" s="2">
        <v>79495.039999999994</v>
      </c>
      <c r="C4872" s="38">
        <v>45061</v>
      </c>
      <c r="D4872" s="1" t="s">
        <v>268</v>
      </c>
      <c r="E4872" s="1" t="s">
        <v>33</v>
      </c>
      <c r="F4872" s="1" t="s">
        <v>199</v>
      </c>
      <c r="G4872" s="5">
        <v>2484.2199999999998</v>
      </c>
    </row>
    <row r="4873" spans="1:7" x14ac:dyDescent="0.2">
      <c r="A4873" s="3">
        <v>32</v>
      </c>
      <c r="B4873" s="2">
        <v>79495.039999999994</v>
      </c>
      <c r="C4873" s="38">
        <v>45061</v>
      </c>
      <c r="D4873" s="1" t="s">
        <v>268</v>
      </c>
      <c r="E4873" s="1" t="s">
        <v>33</v>
      </c>
      <c r="F4873" s="1" t="s">
        <v>199</v>
      </c>
      <c r="G4873" s="5">
        <v>2484.2199999999998</v>
      </c>
    </row>
    <row r="4874" spans="1:7" x14ac:dyDescent="0.2">
      <c r="A4874" s="3">
        <v>32</v>
      </c>
      <c r="B4874" s="2">
        <v>79495.039999999994</v>
      </c>
      <c r="C4874" s="38">
        <v>45061</v>
      </c>
      <c r="D4874" s="1" t="s">
        <v>268</v>
      </c>
      <c r="E4874" s="1" t="s">
        <v>33</v>
      </c>
      <c r="F4874" s="1" t="s">
        <v>199</v>
      </c>
      <c r="G4874" s="5">
        <v>2484.2199999999998</v>
      </c>
    </row>
    <row r="4875" spans="1:7" x14ac:dyDescent="0.2">
      <c r="A4875" s="3">
        <v>32</v>
      </c>
      <c r="B4875" s="2">
        <v>79495.039999999994</v>
      </c>
      <c r="C4875" s="38">
        <v>45061</v>
      </c>
      <c r="D4875" s="1" t="s">
        <v>268</v>
      </c>
      <c r="E4875" s="1" t="s">
        <v>33</v>
      </c>
      <c r="F4875" s="1" t="s">
        <v>199</v>
      </c>
      <c r="G4875" s="5">
        <v>2484.2199999999998</v>
      </c>
    </row>
    <row r="4876" spans="1:7" x14ac:dyDescent="0.2">
      <c r="A4876" s="3">
        <v>32</v>
      </c>
      <c r="B4876" s="2">
        <v>79495.039999999994</v>
      </c>
      <c r="C4876" s="38">
        <v>45061</v>
      </c>
      <c r="D4876" s="1" t="s">
        <v>268</v>
      </c>
      <c r="E4876" s="1" t="s">
        <v>33</v>
      </c>
      <c r="F4876" s="1" t="s">
        <v>199</v>
      </c>
      <c r="G4876" s="5">
        <v>2484.2199999999998</v>
      </c>
    </row>
    <row r="4877" spans="1:7" x14ac:dyDescent="0.2">
      <c r="A4877" s="3">
        <v>32</v>
      </c>
      <c r="B4877" s="2">
        <v>79495.039999999994</v>
      </c>
      <c r="C4877" s="38">
        <v>45061</v>
      </c>
      <c r="D4877" s="1" t="s">
        <v>268</v>
      </c>
      <c r="E4877" s="1" t="s">
        <v>33</v>
      </c>
      <c r="F4877" s="1" t="s">
        <v>199</v>
      </c>
      <c r="G4877" s="5">
        <v>2484.2199999999998</v>
      </c>
    </row>
    <row r="4878" spans="1:7" x14ac:dyDescent="0.2">
      <c r="A4878" s="3">
        <v>32</v>
      </c>
      <c r="B4878" s="2">
        <v>79495.039999999994</v>
      </c>
      <c r="C4878" s="38">
        <v>45061</v>
      </c>
      <c r="D4878" s="1" t="s">
        <v>268</v>
      </c>
      <c r="E4878" s="1" t="s">
        <v>33</v>
      </c>
      <c r="F4878" s="1" t="s">
        <v>199</v>
      </c>
      <c r="G4878" s="5">
        <v>2484.2199999999998</v>
      </c>
    </row>
    <row r="4879" spans="1:7" x14ac:dyDescent="0.2">
      <c r="A4879" s="3">
        <v>32</v>
      </c>
      <c r="B4879" s="2">
        <v>79495.039999999994</v>
      </c>
      <c r="C4879" s="38">
        <v>45061</v>
      </c>
      <c r="D4879" s="1" t="s">
        <v>268</v>
      </c>
      <c r="E4879" s="1" t="s">
        <v>33</v>
      </c>
      <c r="F4879" s="1" t="s">
        <v>199</v>
      </c>
      <c r="G4879" s="5">
        <v>2484.2199999999998</v>
      </c>
    </row>
    <row r="4880" spans="1:7" x14ac:dyDescent="0.2">
      <c r="A4880" s="3">
        <v>32</v>
      </c>
      <c r="B4880" s="2">
        <v>79495.039999999994</v>
      </c>
      <c r="C4880" s="38">
        <v>45061</v>
      </c>
      <c r="D4880" s="1" t="s">
        <v>268</v>
      </c>
      <c r="E4880" s="1" t="s">
        <v>33</v>
      </c>
      <c r="F4880" s="1" t="s">
        <v>199</v>
      </c>
      <c r="G4880" s="5">
        <v>2484.2199999999998</v>
      </c>
    </row>
    <row r="4881" spans="1:7" x14ac:dyDescent="0.2">
      <c r="A4881" s="3">
        <v>32</v>
      </c>
      <c r="B4881" s="2">
        <v>79495.039999999994</v>
      </c>
      <c r="C4881" s="38">
        <v>45061</v>
      </c>
      <c r="D4881" s="1" t="s">
        <v>268</v>
      </c>
      <c r="E4881" s="1" t="s">
        <v>33</v>
      </c>
      <c r="F4881" s="1" t="s">
        <v>199</v>
      </c>
      <c r="G4881" s="5">
        <v>2484.2199999999998</v>
      </c>
    </row>
    <row r="4882" spans="1:7" x14ac:dyDescent="0.2">
      <c r="A4882" s="3">
        <v>32</v>
      </c>
      <c r="B4882" s="2">
        <v>79495.039999999994</v>
      </c>
      <c r="C4882" s="38">
        <v>45061</v>
      </c>
      <c r="D4882" s="1" t="s">
        <v>268</v>
      </c>
      <c r="E4882" s="1" t="s">
        <v>33</v>
      </c>
      <c r="F4882" s="1" t="s">
        <v>199</v>
      </c>
      <c r="G4882" s="5">
        <v>2484.2199999999998</v>
      </c>
    </row>
    <row r="4883" spans="1:7" x14ac:dyDescent="0.2">
      <c r="A4883" s="3">
        <v>32</v>
      </c>
      <c r="B4883" s="2">
        <v>75370.240000000005</v>
      </c>
      <c r="C4883" s="38">
        <v>44806</v>
      </c>
      <c r="D4883" s="1" t="s">
        <v>268</v>
      </c>
      <c r="E4883" s="1" t="s">
        <v>33</v>
      </c>
      <c r="F4883" s="1" t="s">
        <v>199</v>
      </c>
      <c r="G4883" s="5">
        <v>2355.3200000000002</v>
      </c>
    </row>
    <row r="4884" spans="1:7" x14ac:dyDescent="0.2">
      <c r="A4884" s="3">
        <v>32</v>
      </c>
      <c r="B4884" s="2">
        <v>75370.240000000005</v>
      </c>
      <c r="C4884" s="38">
        <v>44806</v>
      </c>
      <c r="D4884" s="1" t="s">
        <v>268</v>
      </c>
      <c r="E4884" s="1" t="s">
        <v>33</v>
      </c>
      <c r="F4884" s="1" t="s">
        <v>199</v>
      </c>
      <c r="G4884" s="5">
        <v>2355.3200000000002</v>
      </c>
    </row>
    <row r="4885" spans="1:7" x14ac:dyDescent="0.2">
      <c r="A4885" s="3">
        <v>32</v>
      </c>
      <c r="B4885" s="2">
        <v>75370.240000000005</v>
      </c>
      <c r="C4885" s="38">
        <v>44806</v>
      </c>
      <c r="D4885" s="1" t="s">
        <v>268</v>
      </c>
      <c r="E4885" s="1" t="s">
        <v>33</v>
      </c>
      <c r="F4885" s="1" t="s">
        <v>199</v>
      </c>
      <c r="G4885" s="5">
        <v>2355.3200000000002</v>
      </c>
    </row>
    <row r="4886" spans="1:7" x14ac:dyDescent="0.2">
      <c r="A4886" s="3">
        <v>32</v>
      </c>
      <c r="B4886" s="2">
        <v>75370.240000000005</v>
      </c>
      <c r="C4886" s="38">
        <v>44862</v>
      </c>
      <c r="D4886" s="1" t="s">
        <v>268</v>
      </c>
      <c r="E4886" s="1" t="s">
        <v>33</v>
      </c>
      <c r="F4886" s="1" t="s">
        <v>199</v>
      </c>
      <c r="G4886" s="5">
        <v>2355.3200000000002</v>
      </c>
    </row>
    <row r="4887" spans="1:7" x14ac:dyDescent="0.2">
      <c r="A4887" s="3">
        <v>32</v>
      </c>
      <c r="B4887" s="2">
        <v>80721.600000000006</v>
      </c>
      <c r="C4887" s="38">
        <v>44833</v>
      </c>
      <c r="D4887" s="1" t="s">
        <v>344</v>
      </c>
      <c r="E4887" s="1" t="s">
        <v>33</v>
      </c>
      <c r="F4887" s="1" t="s">
        <v>199</v>
      </c>
      <c r="G4887" s="5">
        <v>2522.5500000000002</v>
      </c>
    </row>
    <row r="4888" spans="1:7" x14ac:dyDescent="0.2">
      <c r="A4888" s="3">
        <v>32</v>
      </c>
      <c r="B4888" s="2">
        <v>75370.240000000005</v>
      </c>
      <c r="C4888" s="38">
        <v>44743</v>
      </c>
      <c r="D4888" s="1" t="s">
        <v>268</v>
      </c>
      <c r="E4888" s="1" t="s">
        <v>33</v>
      </c>
      <c r="F4888" s="1" t="s">
        <v>199</v>
      </c>
      <c r="G4888" s="5">
        <v>2355.3200000000002</v>
      </c>
    </row>
    <row r="4889" spans="1:7" x14ac:dyDescent="0.2">
      <c r="A4889" s="3">
        <v>32</v>
      </c>
      <c r="B4889" s="2">
        <v>75370.240000000005</v>
      </c>
      <c r="C4889" s="38">
        <v>44743</v>
      </c>
      <c r="D4889" s="1" t="s">
        <v>268</v>
      </c>
      <c r="E4889" s="1" t="s">
        <v>33</v>
      </c>
      <c r="F4889" s="1" t="s">
        <v>199</v>
      </c>
      <c r="G4889" s="5">
        <v>2355.3200000000002</v>
      </c>
    </row>
    <row r="4890" spans="1:7" x14ac:dyDescent="0.2">
      <c r="A4890" s="3">
        <v>32</v>
      </c>
      <c r="B4890" s="2">
        <v>75370.240000000005</v>
      </c>
      <c r="C4890" s="38">
        <v>44743</v>
      </c>
      <c r="D4890" s="1" t="s">
        <v>268</v>
      </c>
      <c r="E4890" s="1" t="s">
        <v>33</v>
      </c>
      <c r="F4890" s="1" t="s">
        <v>199</v>
      </c>
      <c r="G4890" s="5">
        <v>2355.3200000000002</v>
      </c>
    </row>
    <row r="4891" spans="1:7" x14ac:dyDescent="0.2">
      <c r="A4891" s="3">
        <v>32</v>
      </c>
      <c r="B4891" s="2">
        <v>75370.240000000005</v>
      </c>
      <c r="C4891" s="38">
        <v>44743</v>
      </c>
      <c r="D4891" s="1" t="s">
        <v>268</v>
      </c>
      <c r="E4891" s="1" t="s">
        <v>33</v>
      </c>
      <c r="F4891" s="1" t="s">
        <v>199</v>
      </c>
      <c r="G4891" s="5">
        <v>2355.3200000000002</v>
      </c>
    </row>
    <row r="4892" spans="1:7" x14ac:dyDescent="0.2">
      <c r="A4892" s="3">
        <v>32</v>
      </c>
      <c r="B4892" s="2">
        <v>75370.240000000005</v>
      </c>
      <c r="C4892" s="38">
        <v>44743</v>
      </c>
      <c r="D4892" s="1" t="s">
        <v>268</v>
      </c>
      <c r="E4892" s="1" t="s">
        <v>33</v>
      </c>
      <c r="F4892" s="1" t="s">
        <v>199</v>
      </c>
      <c r="G4892" s="5">
        <v>2355.3200000000002</v>
      </c>
    </row>
    <row r="4893" spans="1:7" x14ac:dyDescent="0.2">
      <c r="A4893" s="3">
        <v>32</v>
      </c>
      <c r="B4893" s="2">
        <v>75370.240000000005</v>
      </c>
      <c r="C4893" s="38">
        <v>44743</v>
      </c>
      <c r="D4893" s="1" t="s">
        <v>268</v>
      </c>
      <c r="E4893" s="1" t="s">
        <v>33</v>
      </c>
      <c r="F4893" s="1" t="s">
        <v>199</v>
      </c>
      <c r="G4893" s="5">
        <v>2355.3200000000002</v>
      </c>
    </row>
    <row r="4894" spans="1:7" x14ac:dyDescent="0.2">
      <c r="A4894" s="3">
        <v>32</v>
      </c>
      <c r="B4894" s="2">
        <v>75370.240000000005</v>
      </c>
      <c r="C4894" s="38">
        <v>44743</v>
      </c>
      <c r="D4894" s="1" t="s">
        <v>268</v>
      </c>
      <c r="E4894" s="1" t="s">
        <v>33</v>
      </c>
      <c r="F4894" s="1" t="s">
        <v>199</v>
      </c>
      <c r="G4894" s="5">
        <v>2355.3200000000002</v>
      </c>
    </row>
    <row r="4895" spans="1:7" x14ac:dyDescent="0.2">
      <c r="A4895" s="3">
        <v>32</v>
      </c>
      <c r="B4895" s="2">
        <v>75370.240000000005</v>
      </c>
      <c r="C4895" s="38">
        <v>44743</v>
      </c>
      <c r="D4895" s="1" t="s">
        <v>268</v>
      </c>
      <c r="E4895" s="1" t="s">
        <v>33</v>
      </c>
      <c r="F4895" s="1" t="s">
        <v>199</v>
      </c>
      <c r="G4895" s="5">
        <v>2355.3200000000002</v>
      </c>
    </row>
    <row r="4896" spans="1:7" x14ac:dyDescent="0.2">
      <c r="A4896" s="3">
        <v>32</v>
      </c>
      <c r="B4896" s="2">
        <v>75370.240000000005</v>
      </c>
      <c r="C4896" s="38">
        <v>44743</v>
      </c>
      <c r="D4896" s="1" t="s">
        <v>268</v>
      </c>
      <c r="E4896" s="1" t="s">
        <v>33</v>
      </c>
      <c r="F4896" s="1" t="s">
        <v>199</v>
      </c>
      <c r="G4896" s="5">
        <v>2355.3200000000002</v>
      </c>
    </row>
    <row r="4897" spans="1:7" x14ac:dyDescent="0.2">
      <c r="A4897" s="3">
        <v>32</v>
      </c>
      <c r="B4897" s="2">
        <v>80721.600000000006</v>
      </c>
      <c r="C4897" s="38">
        <v>44847</v>
      </c>
      <c r="D4897" s="1" t="s">
        <v>344</v>
      </c>
      <c r="E4897" s="1" t="s">
        <v>33</v>
      </c>
      <c r="F4897" s="1" t="s">
        <v>199</v>
      </c>
      <c r="G4897" s="5">
        <v>2522.5500000000002</v>
      </c>
    </row>
    <row r="4898" spans="1:7" x14ac:dyDescent="0.2">
      <c r="A4898" s="3">
        <v>32</v>
      </c>
      <c r="B4898" s="2">
        <v>75370.240000000005</v>
      </c>
      <c r="C4898" s="38">
        <v>44792</v>
      </c>
      <c r="D4898" s="1" t="s">
        <v>268</v>
      </c>
      <c r="E4898" s="1" t="s">
        <v>33</v>
      </c>
      <c r="F4898" s="1" t="s">
        <v>199</v>
      </c>
      <c r="G4898" s="5">
        <v>2355.3200000000002</v>
      </c>
    </row>
    <row r="4899" spans="1:7" x14ac:dyDescent="0.2">
      <c r="A4899" s="3">
        <v>32</v>
      </c>
      <c r="B4899" s="2">
        <v>75370.240000000005</v>
      </c>
      <c r="C4899" s="38">
        <v>44792</v>
      </c>
      <c r="D4899" s="1" t="s">
        <v>268</v>
      </c>
      <c r="E4899" s="1" t="s">
        <v>33</v>
      </c>
      <c r="F4899" s="1" t="s">
        <v>199</v>
      </c>
      <c r="G4899" s="5">
        <v>2355.3200000000002</v>
      </c>
    </row>
    <row r="4900" spans="1:7" x14ac:dyDescent="0.2">
      <c r="A4900" s="3">
        <v>32</v>
      </c>
      <c r="B4900" s="2">
        <v>75370.240000000005</v>
      </c>
      <c r="C4900" s="38">
        <v>44792</v>
      </c>
      <c r="D4900" s="1" t="s">
        <v>268</v>
      </c>
      <c r="E4900" s="1" t="s">
        <v>33</v>
      </c>
      <c r="F4900" s="1" t="s">
        <v>199</v>
      </c>
      <c r="G4900" s="5">
        <v>2355.3200000000002</v>
      </c>
    </row>
    <row r="4901" spans="1:7" x14ac:dyDescent="0.2">
      <c r="A4901" s="3">
        <v>32</v>
      </c>
      <c r="B4901" s="2">
        <v>75370.240000000005</v>
      </c>
      <c r="C4901" s="38">
        <v>44753</v>
      </c>
      <c r="D4901" s="1" t="s">
        <v>268</v>
      </c>
      <c r="E4901" s="1" t="s">
        <v>33</v>
      </c>
      <c r="F4901" s="1" t="s">
        <v>199</v>
      </c>
      <c r="G4901" s="5">
        <v>2355.3200000000002</v>
      </c>
    </row>
    <row r="4902" spans="1:7" x14ac:dyDescent="0.2">
      <c r="A4902" s="3">
        <v>32</v>
      </c>
      <c r="B4902" s="2">
        <v>75370.240000000005</v>
      </c>
      <c r="C4902" s="38">
        <v>44753</v>
      </c>
      <c r="D4902" s="1" t="s">
        <v>268</v>
      </c>
      <c r="E4902" s="1" t="s">
        <v>33</v>
      </c>
      <c r="F4902" s="1" t="s">
        <v>199</v>
      </c>
      <c r="G4902" s="5">
        <v>2355.3200000000002</v>
      </c>
    </row>
    <row r="4903" spans="1:7" x14ac:dyDescent="0.2">
      <c r="A4903" s="3">
        <v>32</v>
      </c>
      <c r="B4903" s="2">
        <v>75370.240000000005</v>
      </c>
      <c r="C4903" s="38">
        <v>44854</v>
      </c>
      <c r="D4903" s="1" t="s">
        <v>268</v>
      </c>
      <c r="E4903" s="1" t="s">
        <v>33</v>
      </c>
      <c r="F4903" s="1" t="s">
        <v>199</v>
      </c>
      <c r="G4903" s="5">
        <v>2355.3200000000002</v>
      </c>
    </row>
    <row r="4904" spans="1:7" x14ac:dyDescent="0.2">
      <c r="A4904" s="3">
        <v>32</v>
      </c>
      <c r="B4904" s="2">
        <v>75370.240000000005</v>
      </c>
      <c r="C4904" s="38">
        <v>44854</v>
      </c>
      <c r="D4904" s="1" t="s">
        <v>268</v>
      </c>
      <c r="E4904" s="1" t="s">
        <v>33</v>
      </c>
      <c r="F4904" s="1" t="s">
        <v>199</v>
      </c>
      <c r="G4904" s="5">
        <v>2355.3200000000002</v>
      </c>
    </row>
    <row r="4905" spans="1:7" x14ac:dyDescent="0.2">
      <c r="A4905" s="3">
        <v>32</v>
      </c>
      <c r="B4905" s="2">
        <v>75370.240000000005</v>
      </c>
      <c r="C4905" s="38">
        <v>44854</v>
      </c>
      <c r="D4905" s="1" t="s">
        <v>268</v>
      </c>
      <c r="E4905" s="1" t="s">
        <v>33</v>
      </c>
      <c r="F4905" s="1" t="s">
        <v>199</v>
      </c>
      <c r="G4905" s="5">
        <v>2355.3200000000002</v>
      </c>
    </row>
    <row r="4906" spans="1:7" x14ac:dyDescent="0.2">
      <c r="A4906" s="3">
        <v>140</v>
      </c>
      <c r="B4906" s="2">
        <v>58132.2</v>
      </c>
      <c r="C4906" s="38">
        <v>44985</v>
      </c>
      <c r="D4906" s="1" t="s">
        <v>254</v>
      </c>
      <c r="E4906" s="1" t="s">
        <v>33</v>
      </c>
      <c r="F4906" s="1" t="s">
        <v>199</v>
      </c>
      <c r="G4906" s="5">
        <v>415.23</v>
      </c>
    </row>
    <row r="4907" spans="1:7" x14ac:dyDescent="0.2">
      <c r="A4907" s="3">
        <v>140</v>
      </c>
      <c r="B4907" s="2">
        <v>58132.2</v>
      </c>
      <c r="C4907" s="38">
        <v>44985</v>
      </c>
      <c r="D4907" s="1" t="s">
        <v>254</v>
      </c>
      <c r="E4907" s="1" t="s">
        <v>33</v>
      </c>
      <c r="F4907" s="1" t="s">
        <v>199</v>
      </c>
      <c r="G4907" s="5">
        <v>415.23</v>
      </c>
    </row>
    <row r="4908" spans="1:7" x14ac:dyDescent="0.2">
      <c r="A4908" s="3">
        <v>140</v>
      </c>
      <c r="B4908" s="2">
        <v>58132.2</v>
      </c>
      <c r="C4908" s="38">
        <v>44985</v>
      </c>
      <c r="D4908" s="1" t="s">
        <v>254</v>
      </c>
      <c r="E4908" s="1" t="s">
        <v>33</v>
      </c>
      <c r="F4908" s="1" t="s">
        <v>199</v>
      </c>
      <c r="G4908" s="5">
        <v>415.23</v>
      </c>
    </row>
    <row r="4909" spans="1:7" x14ac:dyDescent="0.2">
      <c r="A4909" s="3">
        <v>140</v>
      </c>
      <c r="B4909" s="2">
        <v>58132.2</v>
      </c>
      <c r="C4909" s="38">
        <v>44985</v>
      </c>
      <c r="D4909" s="1" t="s">
        <v>254</v>
      </c>
      <c r="E4909" s="1" t="s">
        <v>33</v>
      </c>
      <c r="F4909" s="1" t="s">
        <v>199</v>
      </c>
      <c r="G4909" s="5">
        <v>415.23</v>
      </c>
    </row>
    <row r="4910" spans="1:7" x14ac:dyDescent="0.2">
      <c r="A4910" s="3">
        <v>140</v>
      </c>
      <c r="B4910" s="2">
        <v>58132.2</v>
      </c>
      <c r="C4910" s="38">
        <v>44985</v>
      </c>
      <c r="D4910" s="1" t="s">
        <v>254</v>
      </c>
      <c r="E4910" s="1" t="s">
        <v>33</v>
      </c>
      <c r="F4910" s="1" t="s">
        <v>199</v>
      </c>
      <c r="G4910" s="5">
        <v>415.23</v>
      </c>
    </row>
    <row r="4911" spans="1:7" x14ac:dyDescent="0.2">
      <c r="A4911" s="3">
        <v>140</v>
      </c>
      <c r="B4911" s="2">
        <v>58132.2</v>
      </c>
      <c r="C4911" s="38">
        <v>44985</v>
      </c>
      <c r="D4911" s="1" t="s">
        <v>254</v>
      </c>
      <c r="E4911" s="1" t="s">
        <v>33</v>
      </c>
      <c r="F4911" s="1" t="s">
        <v>199</v>
      </c>
      <c r="G4911" s="5">
        <v>415.23</v>
      </c>
    </row>
    <row r="4912" spans="1:7" x14ac:dyDescent="0.2">
      <c r="A4912" s="3">
        <v>140</v>
      </c>
      <c r="B4912" s="2">
        <v>58132.2</v>
      </c>
      <c r="C4912" s="38">
        <v>44985</v>
      </c>
      <c r="D4912" s="1" t="s">
        <v>254</v>
      </c>
      <c r="E4912" s="1" t="s">
        <v>33</v>
      </c>
      <c r="F4912" s="1" t="s">
        <v>199</v>
      </c>
      <c r="G4912" s="5">
        <v>415.23</v>
      </c>
    </row>
    <row r="4913" spans="1:7" x14ac:dyDescent="0.2">
      <c r="A4913" s="3">
        <v>140</v>
      </c>
      <c r="B4913" s="2">
        <v>58132.2</v>
      </c>
      <c r="C4913" s="38">
        <v>44985</v>
      </c>
      <c r="D4913" s="1" t="s">
        <v>254</v>
      </c>
      <c r="E4913" s="1" t="s">
        <v>33</v>
      </c>
      <c r="F4913" s="1" t="s">
        <v>199</v>
      </c>
      <c r="G4913" s="5">
        <v>415.23</v>
      </c>
    </row>
    <row r="4914" spans="1:7" x14ac:dyDescent="0.2">
      <c r="A4914" s="3">
        <v>140</v>
      </c>
      <c r="B4914" s="2">
        <v>58132.2</v>
      </c>
      <c r="C4914" s="38">
        <v>44985</v>
      </c>
      <c r="D4914" s="1" t="s">
        <v>254</v>
      </c>
      <c r="E4914" s="1" t="s">
        <v>33</v>
      </c>
      <c r="F4914" s="1" t="s">
        <v>199</v>
      </c>
      <c r="G4914" s="5">
        <v>415.23</v>
      </c>
    </row>
    <row r="4915" spans="1:7" x14ac:dyDescent="0.2">
      <c r="A4915" s="3">
        <v>140</v>
      </c>
      <c r="B4915" s="2">
        <v>58132.2</v>
      </c>
      <c r="C4915" s="38">
        <v>44985</v>
      </c>
      <c r="D4915" s="1" t="s">
        <v>254</v>
      </c>
      <c r="E4915" s="1" t="s">
        <v>33</v>
      </c>
      <c r="F4915" s="1" t="s">
        <v>199</v>
      </c>
      <c r="G4915" s="5">
        <v>415.23</v>
      </c>
    </row>
    <row r="4916" spans="1:7" x14ac:dyDescent="0.2">
      <c r="A4916" s="3">
        <v>140</v>
      </c>
      <c r="B4916" s="2">
        <v>58132.2</v>
      </c>
      <c r="C4916" s="38">
        <v>44985</v>
      </c>
      <c r="D4916" s="1" t="s">
        <v>254</v>
      </c>
      <c r="E4916" s="1" t="s">
        <v>33</v>
      </c>
      <c r="F4916" s="1" t="s">
        <v>199</v>
      </c>
      <c r="G4916" s="5">
        <v>415.23</v>
      </c>
    </row>
    <row r="4917" spans="1:7" x14ac:dyDescent="0.2">
      <c r="A4917" s="3">
        <v>140</v>
      </c>
      <c r="B4917" s="2">
        <v>58132.2</v>
      </c>
      <c r="C4917" s="38">
        <v>44985</v>
      </c>
      <c r="D4917" s="1" t="s">
        <v>254</v>
      </c>
      <c r="E4917" s="1" t="s">
        <v>33</v>
      </c>
      <c r="F4917" s="1" t="s">
        <v>199</v>
      </c>
      <c r="G4917" s="5">
        <v>415.23</v>
      </c>
    </row>
    <row r="4918" spans="1:7" x14ac:dyDescent="0.2">
      <c r="A4918" s="3">
        <v>140</v>
      </c>
      <c r="B4918" s="2">
        <v>58132.2</v>
      </c>
      <c r="C4918" s="38">
        <v>44985</v>
      </c>
      <c r="D4918" s="1" t="s">
        <v>254</v>
      </c>
      <c r="E4918" s="1" t="s">
        <v>33</v>
      </c>
      <c r="F4918" s="1" t="s">
        <v>199</v>
      </c>
      <c r="G4918" s="5">
        <v>415.23</v>
      </c>
    </row>
    <row r="4919" spans="1:7" x14ac:dyDescent="0.2">
      <c r="A4919" s="3">
        <v>140</v>
      </c>
      <c r="B4919" s="2">
        <v>58132.2</v>
      </c>
      <c r="C4919" s="38">
        <v>44985</v>
      </c>
      <c r="D4919" s="1" t="s">
        <v>254</v>
      </c>
      <c r="E4919" s="1" t="s">
        <v>33</v>
      </c>
      <c r="F4919" s="1" t="s">
        <v>199</v>
      </c>
      <c r="G4919" s="5">
        <v>415.23</v>
      </c>
    </row>
    <row r="4920" spans="1:7" x14ac:dyDescent="0.2">
      <c r="A4920" s="3">
        <v>140</v>
      </c>
      <c r="B4920" s="2">
        <v>58132.2</v>
      </c>
      <c r="C4920" s="38">
        <v>44985</v>
      </c>
      <c r="D4920" s="1" t="s">
        <v>254</v>
      </c>
      <c r="E4920" s="1" t="s">
        <v>33</v>
      </c>
      <c r="F4920" s="1" t="s">
        <v>199</v>
      </c>
      <c r="G4920" s="5">
        <v>415.23</v>
      </c>
    </row>
    <row r="4921" spans="1:7" x14ac:dyDescent="0.2">
      <c r="A4921" s="3">
        <v>140</v>
      </c>
      <c r="B4921" s="2">
        <v>58132.2</v>
      </c>
      <c r="C4921" s="38">
        <v>44985</v>
      </c>
      <c r="D4921" s="1" t="s">
        <v>254</v>
      </c>
      <c r="E4921" s="1" t="s">
        <v>33</v>
      </c>
      <c r="F4921" s="1" t="s">
        <v>199</v>
      </c>
      <c r="G4921" s="5">
        <v>415.23</v>
      </c>
    </row>
    <row r="4922" spans="1:7" x14ac:dyDescent="0.2">
      <c r="A4922" s="3">
        <v>140</v>
      </c>
      <c r="B4922" s="2">
        <v>58132.2</v>
      </c>
      <c r="C4922" s="38">
        <v>44985</v>
      </c>
      <c r="D4922" s="1" t="s">
        <v>254</v>
      </c>
      <c r="E4922" s="1" t="s">
        <v>33</v>
      </c>
      <c r="F4922" s="1" t="s">
        <v>199</v>
      </c>
      <c r="G4922" s="5">
        <v>415.23</v>
      </c>
    </row>
    <row r="4923" spans="1:7" x14ac:dyDescent="0.2">
      <c r="A4923" s="3">
        <v>140</v>
      </c>
      <c r="B4923" s="2">
        <v>58132.2</v>
      </c>
      <c r="C4923" s="38">
        <v>44985</v>
      </c>
      <c r="D4923" s="1" t="s">
        <v>254</v>
      </c>
      <c r="E4923" s="1" t="s">
        <v>33</v>
      </c>
      <c r="F4923" s="1" t="s">
        <v>199</v>
      </c>
      <c r="G4923" s="5">
        <v>415.23</v>
      </c>
    </row>
    <row r="4924" spans="1:7" x14ac:dyDescent="0.2">
      <c r="A4924" s="3">
        <v>140</v>
      </c>
      <c r="B4924" s="2">
        <v>60040.4</v>
      </c>
      <c r="C4924" s="38">
        <v>44985</v>
      </c>
      <c r="D4924" s="1" t="s">
        <v>255</v>
      </c>
      <c r="E4924" s="1" t="s">
        <v>33</v>
      </c>
      <c r="F4924" s="1" t="s">
        <v>199</v>
      </c>
      <c r="G4924" s="5">
        <v>428.86</v>
      </c>
    </row>
    <row r="4925" spans="1:7" x14ac:dyDescent="0.2">
      <c r="A4925" s="3">
        <v>140</v>
      </c>
      <c r="B4925" s="2">
        <v>60040.4</v>
      </c>
      <c r="C4925" s="38">
        <v>44985</v>
      </c>
      <c r="D4925" s="1" t="s">
        <v>255</v>
      </c>
      <c r="E4925" s="1" t="s">
        <v>33</v>
      </c>
      <c r="F4925" s="1" t="s">
        <v>199</v>
      </c>
      <c r="G4925" s="5">
        <v>428.86</v>
      </c>
    </row>
    <row r="4926" spans="1:7" x14ac:dyDescent="0.2">
      <c r="A4926" s="3">
        <v>140</v>
      </c>
      <c r="B4926" s="2">
        <v>60040.4</v>
      </c>
      <c r="C4926" s="38">
        <v>44985</v>
      </c>
      <c r="D4926" s="1" t="s">
        <v>255</v>
      </c>
      <c r="E4926" s="1" t="s">
        <v>33</v>
      </c>
      <c r="F4926" s="1" t="s">
        <v>199</v>
      </c>
      <c r="G4926" s="5">
        <v>428.86</v>
      </c>
    </row>
    <row r="4927" spans="1:7" x14ac:dyDescent="0.2">
      <c r="A4927" s="3">
        <v>140</v>
      </c>
      <c r="B4927" s="2">
        <v>53718</v>
      </c>
      <c r="C4927" s="38">
        <v>44985</v>
      </c>
      <c r="D4927" s="1" t="s">
        <v>256</v>
      </c>
      <c r="E4927" s="1" t="s">
        <v>33</v>
      </c>
      <c r="F4927" s="1" t="s">
        <v>199</v>
      </c>
      <c r="G4927" s="5">
        <v>383.7</v>
      </c>
    </row>
    <row r="4928" spans="1:7" x14ac:dyDescent="0.2">
      <c r="A4928" s="3">
        <v>140</v>
      </c>
      <c r="B4928" s="2">
        <v>53718</v>
      </c>
      <c r="C4928" s="38">
        <v>44985</v>
      </c>
      <c r="D4928" s="1" t="s">
        <v>256</v>
      </c>
      <c r="E4928" s="1" t="s">
        <v>33</v>
      </c>
      <c r="F4928" s="1" t="s">
        <v>199</v>
      </c>
      <c r="G4928" s="5">
        <v>383.7</v>
      </c>
    </row>
    <row r="4929" spans="1:7" x14ac:dyDescent="0.2">
      <c r="A4929" s="3">
        <v>140</v>
      </c>
      <c r="B4929" s="2">
        <v>53718</v>
      </c>
      <c r="C4929" s="38">
        <v>44985</v>
      </c>
      <c r="D4929" s="1" t="s">
        <v>256</v>
      </c>
      <c r="E4929" s="1" t="s">
        <v>33</v>
      </c>
      <c r="F4929" s="1" t="s">
        <v>199</v>
      </c>
      <c r="G4929" s="5">
        <v>383.7</v>
      </c>
    </row>
    <row r="4930" spans="1:7" x14ac:dyDescent="0.2">
      <c r="A4930" s="3">
        <v>140</v>
      </c>
      <c r="B4930" s="2">
        <v>53718</v>
      </c>
      <c r="C4930" s="38">
        <v>44985</v>
      </c>
      <c r="D4930" s="1" t="s">
        <v>256</v>
      </c>
      <c r="E4930" s="1" t="s">
        <v>33</v>
      </c>
      <c r="F4930" s="1" t="s">
        <v>199</v>
      </c>
      <c r="G4930" s="5">
        <v>383.7</v>
      </c>
    </row>
    <row r="4931" spans="1:7" x14ac:dyDescent="0.2">
      <c r="A4931" s="3">
        <v>140</v>
      </c>
      <c r="B4931" s="2">
        <v>53718</v>
      </c>
      <c r="C4931" s="38">
        <v>44985</v>
      </c>
      <c r="D4931" s="1" t="s">
        <v>256</v>
      </c>
      <c r="E4931" s="1" t="s">
        <v>33</v>
      </c>
      <c r="F4931" s="1" t="s">
        <v>199</v>
      </c>
      <c r="G4931" s="5">
        <v>383.7</v>
      </c>
    </row>
    <row r="4932" spans="1:7" x14ac:dyDescent="0.2">
      <c r="A4932" s="3">
        <v>140</v>
      </c>
      <c r="B4932" s="2">
        <v>53718</v>
      </c>
      <c r="C4932" s="38">
        <v>44985</v>
      </c>
      <c r="D4932" s="1" t="s">
        <v>256</v>
      </c>
      <c r="E4932" s="1" t="s">
        <v>33</v>
      </c>
      <c r="F4932" s="1" t="s">
        <v>199</v>
      </c>
      <c r="G4932" s="5">
        <v>383.7</v>
      </c>
    </row>
    <row r="4933" spans="1:7" x14ac:dyDescent="0.2">
      <c r="A4933" s="3">
        <v>140</v>
      </c>
      <c r="B4933" s="2">
        <v>53718</v>
      </c>
      <c r="C4933" s="38">
        <v>44985</v>
      </c>
      <c r="D4933" s="1" t="s">
        <v>256</v>
      </c>
      <c r="E4933" s="1" t="s">
        <v>33</v>
      </c>
      <c r="F4933" s="1" t="s">
        <v>199</v>
      </c>
      <c r="G4933" s="5">
        <v>383.7</v>
      </c>
    </row>
    <row r="4934" spans="1:7" x14ac:dyDescent="0.2">
      <c r="A4934" s="3">
        <v>140</v>
      </c>
      <c r="B4934" s="2">
        <v>53718</v>
      </c>
      <c r="C4934" s="38">
        <v>44985</v>
      </c>
      <c r="D4934" s="1" t="s">
        <v>256</v>
      </c>
      <c r="E4934" s="1" t="s">
        <v>33</v>
      </c>
      <c r="F4934" s="1" t="s">
        <v>199</v>
      </c>
      <c r="G4934" s="5">
        <v>383.7</v>
      </c>
    </row>
    <row r="4935" spans="1:7" x14ac:dyDescent="0.2">
      <c r="A4935" s="3">
        <v>140</v>
      </c>
      <c r="B4935" s="2">
        <v>60040.4</v>
      </c>
      <c r="C4935" s="38">
        <v>44940</v>
      </c>
      <c r="D4935" s="1" t="s">
        <v>255</v>
      </c>
      <c r="E4935" s="1" t="s">
        <v>33</v>
      </c>
      <c r="F4935" s="1" t="s">
        <v>199</v>
      </c>
      <c r="G4935" s="5">
        <v>428.86</v>
      </c>
    </row>
    <row r="4936" spans="1:7" x14ac:dyDescent="0.2">
      <c r="A4936" s="3">
        <v>140</v>
      </c>
      <c r="B4936" s="2">
        <v>60040.4</v>
      </c>
      <c r="C4936" s="38">
        <v>44940</v>
      </c>
      <c r="D4936" s="1" t="s">
        <v>255</v>
      </c>
      <c r="E4936" s="1" t="s">
        <v>33</v>
      </c>
      <c r="F4936" s="1" t="s">
        <v>199</v>
      </c>
      <c r="G4936" s="5">
        <v>428.86</v>
      </c>
    </row>
    <row r="4937" spans="1:7" x14ac:dyDescent="0.2">
      <c r="A4937" s="3">
        <v>140</v>
      </c>
      <c r="B4937" s="2">
        <v>60040.4</v>
      </c>
      <c r="C4937" s="38">
        <v>44940</v>
      </c>
      <c r="D4937" s="1" t="s">
        <v>255</v>
      </c>
      <c r="E4937" s="1" t="s">
        <v>33</v>
      </c>
      <c r="F4937" s="1" t="s">
        <v>199</v>
      </c>
      <c r="G4937" s="5">
        <v>428.86</v>
      </c>
    </row>
    <row r="4938" spans="1:7" x14ac:dyDescent="0.2">
      <c r="A4938" s="3">
        <v>140</v>
      </c>
      <c r="B4938" s="2">
        <v>53718</v>
      </c>
      <c r="C4938" s="38">
        <v>44940</v>
      </c>
      <c r="D4938" s="1" t="s">
        <v>256</v>
      </c>
      <c r="E4938" s="1" t="s">
        <v>33</v>
      </c>
      <c r="F4938" s="1" t="s">
        <v>199</v>
      </c>
      <c r="G4938" s="5">
        <v>383.7</v>
      </c>
    </row>
    <row r="4939" spans="1:7" x14ac:dyDescent="0.2">
      <c r="A4939" s="3">
        <v>140</v>
      </c>
      <c r="B4939" s="2">
        <v>53718</v>
      </c>
      <c r="C4939" s="38">
        <v>44940</v>
      </c>
      <c r="D4939" s="1" t="s">
        <v>256</v>
      </c>
      <c r="E4939" s="1" t="s">
        <v>33</v>
      </c>
      <c r="F4939" s="1" t="s">
        <v>199</v>
      </c>
      <c r="G4939" s="5">
        <v>383.7</v>
      </c>
    </row>
    <row r="4940" spans="1:7" x14ac:dyDescent="0.2">
      <c r="A4940" s="3">
        <v>140</v>
      </c>
      <c r="B4940" s="2">
        <v>53718</v>
      </c>
      <c r="C4940" s="38">
        <v>44940</v>
      </c>
      <c r="D4940" s="1" t="s">
        <v>256</v>
      </c>
      <c r="E4940" s="1" t="s">
        <v>33</v>
      </c>
      <c r="F4940" s="1" t="s">
        <v>199</v>
      </c>
      <c r="G4940" s="5">
        <v>383.7</v>
      </c>
    </row>
    <row r="4941" spans="1:7" x14ac:dyDescent="0.2">
      <c r="A4941" s="3">
        <v>140</v>
      </c>
      <c r="B4941" s="2">
        <v>53718</v>
      </c>
      <c r="C4941" s="38">
        <v>44940</v>
      </c>
      <c r="D4941" s="1" t="s">
        <v>256</v>
      </c>
      <c r="E4941" s="1" t="s">
        <v>33</v>
      </c>
      <c r="F4941" s="1" t="s">
        <v>199</v>
      </c>
      <c r="G4941" s="5">
        <v>383.7</v>
      </c>
    </row>
    <row r="4942" spans="1:7" x14ac:dyDescent="0.2">
      <c r="A4942" s="3">
        <v>140</v>
      </c>
      <c r="B4942" s="2">
        <v>53718</v>
      </c>
      <c r="C4942" s="38">
        <v>44940</v>
      </c>
      <c r="D4942" s="1" t="s">
        <v>256</v>
      </c>
      <c r="E4942" s="1" t="s">
        <v>33</v>
      </c>
      <c r="F4942" s="1" t="s">
        <v>199</v>
      </c>
      <c r="G4942" s="5">
        <v>383.7</v>
      </c>
    </row>
    <row r="4943" spans="1:7" x14ac:dyDescent="0.2">
      <c r="A4943" s="3">
        <v>140</v>
      </c>
      <c r="B4943" s="2">
        <v>53718</v>
      </c>
      <c r="C4943" s="38">
        <v>45000</v>
      </c>
      <c r="D4943" s="1" t="s">
        <v>256</v>
      </c>
      <c r="E4943" s="1" t="s">
        <v>33</v>
      </c>
      <c r="F4943" s="1" t="s">
        <v>199</v>
      </c>
      <c r="G4943" s="5">
        <v>383.7</v>
      </c>
    </row>
    <row r="4944" spans="1:7" x14ac:dyDescent="0.2">
      <c r="A4944" s="3">
        <v>140</v>
      </c>
      <c r="B4944" s="2">
        <v>53718</v>
      </c>
      <c r="C4944" s="38">
        <v>45000</v>
      </c>
      <c r="D4944" s="1" t="s">
        <v>256</v>
      </c>
      <c r="E4944" s="1" t="s">
        <v>33</v>
      </c>
      <c r="F4944" s="1" t="s">
        <v>199</v>
      </c>
      <c r="G4944" s="5">
        <v>383.7</v>
      </c>
    </row>
    <row r="4945" spans="1:7" x14ac:dyDescent="0.2">
      <c r="A4945" s="3">
        <v>140</v>
      </c>
      <c r="B4945" s="2">
        <v>53718</v>
      </c>
      <c r="C4945" s="38">
        <v>45000</v>
      </c>
      <c r="D4945" s="1" t="s">
        <v>256</v>
      </c>
      <c r="E4945" s="1" t="s">
        <v>33</v>
      </c>
      <c r="F4945" s="1" t="s">
        <v>199</v>
      </c>
      <c r="G4945" s="5">
        <v>383.7</v>
      </c>
    </row>
    <row r="4946" spans="1:7" x14ac:dyDescent="0.2">
      <c r="A4946" s="3">
        <v>140</v>
      </c>
      <c r="B4946" s="2">
        <v>53718</v>
      </c>
      <c r="C4946" s="38">
        <v>45000</v>
      </c>
      <c r="D4946" s="1" t="s">
        <v>256</v>
      </c>
      <c r="E4946" s="1" t="s">
        <v>33</v>
      </c>
      <c r="F4946" s="1" t="s">
        <v>199</v>
      </c>
      <c r="G4946" s="5">
        <v>383.7</v>
      </c>
    </row>
    <row r="4947" spans="1:7" x14ac:dyDescent="0.2">
      <c r="A4947" s="3">
        <v>140</v>
      </c>
      <c r="B4947" s="2">
        <v>53718</v>
      </c>
      <c r="C4947" s="38">
        <v>45000</v>
      </c>
      <c r="D4947" s="1" t="s">
        <v>256</v>
      </c>
      <c r="E4947" s="1" t="s">
        <v>33</v>
      </c>
      <c r="F4947" s="1" t="s">
        <v>199</v>
      </c>
      <c r="G4947" s="5">
        <v>383.7</v>
      </c>
    </row>
    <row r="4948" spans="1:7" x14ac:dyDescent="0.2">
      <c r="A4948" s="3">
        <v>140</v>
      </c>
      <c r="B4948" s="2">
        <v>58132.2</v>
      </c>
      <c r="C4948" s="38">
        <v>44950</v>
      </c>
      <c r="D4948" s="1" t="s">
        <v>254</v>
      </c>
      <c r="E4948" s="1" t="s">
        <v>33</v>
      </c>
      <c r="F4948" s="1" t="s">
        <v>199</v>
      </c>
      <c r="G4948" s="5">
        <v>415.23</v>
      </c>
    </row>
    <row r="4949" spans="1:7" x14ac:dyDescent="0.2">
      <c r="A4949" s="3">
        <v>140</v>
      </c>
      <c r="B4949" s="2">
        <v>58132.2</v>
      </c>
      <c r="C4949" s="38">
        <v>44950</v>
      </c>
      <c r="D4949" s="1" t="s">
        <v>254</v>
      </c>
      <c r="E4949" s="1" t="s">
        <v>33</v>
      </c>
      <c r="F4949" s="1" t="s">
        <v>199</v>
      </c>
      <c r="G4949" s="5">
        <v>415.23</v>
      </c>
    </row>
    <row r="4950" spans="1:7" x14ac:dyDescent="0.2">
      <c r="A4950" s="3">
        <v>140</v>
      </c>
      <c r="B4950" s="2">
        <v>60040.4</v>
      </c>
      <c r="C4950" s="38">
        <v>44950</v>
      </c>
      <c r="D4950" s="1" t="s">
        <v>255</v>
      </c>
      <c r="E4950" s="1" t="s">
        <v>33</v>
      </c>
      <c r="F4950" s="1" t="s">
        <v>199</v>
      </c>
      <c r="G4950" s="5">
        <v>428.86</v>
      </c>
    </row>
    <row r="4951" spans="1:7" x14ac:dyDescent="0.2">
      <c r="A4951" s="3">
        <v>140</v>
      </c>
      <c r="B4951" s="2">
        <v>60040.4</v>
      </c>
      <c r="C4951" s="38">
        <v>44950</v>
      </c>
      <c r="D4951" s="1" t="s">
        <v>255</v>
      </c>
      <c r="E4951" s="1" t="s">
        <v>33</v>
      </c>
      <c r="F4951" s="1" t="s">
        <v>199</v>
      </c>
      <c r="G4951" s="5">
        <v>428.86</v>
      </c>
    </row>
    <row r="4952" spans="1:7" x14ac:dyDescent="0.2">
      <c r="A4952" s="3">
        <v>140</v>
      </c>
      <c r="B4952" s="2">
        <v>60040.4</v>
      </c>
      <c r="C4952" s="38">
        <v>44950</v>
      </c>
      <c r="D4952" s="1" t="s">
        <v>255</v>
      </c>
      <c r="E4952" s="1" t="s">
        <v>33</v>
      </c>
      <c r="F4952" s="1" t="s">
        <v>199</v>
      </c>
      <c r="G4952" s="5">
        <v>428.86</v>
      </c>
    </row>
    <row r="4953" spans="1:7" x14ac:dyDescent="0.2">
      <c r="A4953" s="3">
        <v>140</v>
      </c>
      <c r="B4953" s="2">
        <v>60040.4</v>
      </c>
      <c r="C4953" s="38">
        <v>44950</v>
      </c>
      <c r="D4953" s="1" t="s">
        <v>255</v>
      </c>
      <c r="E4953" s="1" t="s">
        <v>33</v>
      </c>
      <c r="F4953" s="1" t="s">
        <v>199</v>
      </c>
      <c r="G4953" s="5">
        <v>428.86</v>
      </c>
    </row>
    <row r="4954" spans="1:7" x14ac:dyDescent="0.2">
      <c r="A4954" s="3">
        <v>140</v>
      </c>
      <c r="B4954" s="2">
        <v>60040.4</v>
      </c>
      <c r="C4954" s="38">
        <v>44950</v>
      </c>
      <c r="D4954" s="1" t="s">
        <v>255</v>
      </c>
      <c r="E4954" s="1" t="s">
        <v>33</v>
      </c>
      <c r="F4954" s="1" t="s">
        <v>199</v>
      </c>
      <c r="G4954" s="5">
        <v>428.86</v>
      </c>
    </row>
    <row r="4955" spans="1:7" x14ac:dyDescent="0.2">
      <c r="A4955" s="3">
        <v>140</v>
      </c>
      <c r="B4955" s="2">
        <v>58132.2</v>
      </c>
      <c r="C4955" s="38">
        <v>44952</v>
      </c>
      <c r="D4955" s="1" t="s">
        <v>254</v>
      </c>
      <c r="E4955" s="1" t="s">
        <v>33</v>
      </c>
      <c r="F4955" s="1" t="s">
        <v>199</v>
      </c>
      <c r="G4955" s="5">
        <v>415.23</v>
      </c>
    </row>
    <row r="4956" spans="1:7" x14ac:dyDescent="0.2">
      <c r="A4956" s="3">
        <v>140</v>
      </c>
      <c r="B4956" s="2">
        <v>58132.2</v>
      </c>
      <c r="C4956" s="38">
        <v>44952</v>
      </c>
      <c r="D4956" s="1" t="s">
        <v>254</v>
      </c>
      <c r="E4956" s="1" t="s">
        <v>33</v>
      </c>
      <c r="F4956" s="1" t="s">
        <v>199</v>
      </c>
      <c r="G4956" s="5">
        <v>415.23</v>
      </c>
    </row>
    <row r="4957" spans="1:7" x14ac:dyDescent="0.2">
      <c r="A4957" s="3">
        <v>140</v>
      </c>
      <c r="B4957" s="2">
        <v>58132.2</v>
      </c>
      <c r="C4957" s="38">
        <v>44952</v>
      </c>
      <c r="D4957" s="1" t="s">
        <v>254</v>
      </c>
      <c r="E4957" s="1" t="s">
        <v>33</v>
      </c>
      <c r="F4957" s="1" t="s">
        <v>199</v>
      </c>
      <c r="G4957" s="5">
        <v>415.23</v>
      </c>
    </row>
    <row r="4958" spans="1:7" x14ac:dyDescent="0.2">
      <c r="A4958" s="3">
        <v>140</v>
      </c>
      <c r="B4958" s="2">
        <v>58132.2</v>
      </c>
      <c r="C4958" s="38">
        <v>44952</v>
      </c>
      <c r="D4958" s="1" t="s">
        <v>254</v>
      </c>
      <c r="E4958" s="1" t="s">
        <v>33</v>
      </c>
      <c r="F4958" s="1" t="s">
        <v>199</v>
      </c>
      <c r="G4958" s="5">
        <v>415.23</v>
      </c>
    </row>
    <row r="4959" spans="1:7" x14ac:dyDescent="0.2">
      <c r="A4959" s="3">
        <v>140</v>
      </c>
      <c r="B4959" s="2">
        <v>58132.2</v>
      </c>
      <c r="C4959" s="38">
        <v>44956</v>
      </c>
      <c r="D4959" s="1" t="s">
        <v>254</v>
      </c>
      <c r="E4959" s="1" t="s">
        <v>33</v>
      </c>
      <c r="F4959" s="1" t="s">
        <v>199</v>
      </c>
      <c r="G4959" s="5">
        <v>415.23</v>
      </c>
    </row>
    <row r="4960" spans="1:7" x14ac:dyDescent="0.2">
      <c r="A4960" s="3">
        <v>140</v>
      </c>
      <c r="B4960" s="2">
        <v>58132.2</v>
      </c>
      <c r="C4960" s="38">
        <v>44956</v>
      </c>
      <c r="D4960" s="1" t="s">
        <v>254</v>
      </c>
      <c r="E4960" s="1" t="s">
        <v>33</v>
      </c>
      <c r="F4960" s="1" t="s">
        <v>199</v>
      </c>
      <c r="G4960" s="5">
        <v>415.23</v>
      </c>
    </row>
    <row r="4961" spans="1:7" x14ac:dyDescent="0.2">
      <c r="A4961" s="3">
        <v>140</v>
      </c>
      <c r="B4961" s="2">
        <v>58132.2</v>
      </c>
      <c r="C4961" s="38">
        <v>44956</v>
      </c>
      <c r="D4961" s="1" t="s">
        <v>254</v>
      </c>
      <c r="E4961" s="1" t="s">
        <v>33</v>
      </c>
      <c r="F4961" s="1" t="s">
        <v>199</v>
      </c>
      <c r="G4961" s="5">
        <v>415.23</v>
      </c>
    </row>
    <row r="4962" spans="1:7" x14ac:dyDescent="0.2">
      <c r="A4962" s="3">
        <v>140</v>
      </c>
      <c r="B4962" s="2">
        <v>58132.2</v>
      </c>
      <c r="C4962" s="38">
        <v>44956</v>
      </c>
      <c r="D4962" s="1" t="s">
        <v>254</v>
      </c>
      <c r="E4962" s="1" t="s">
        <v>33</v>
      </c>
      <c r="F4962" s="1" t="s">
        <v>199</v>
      </c>
      <c r="G4962" s="5">
        <v>415.23</v>
      </c>
    </row>
    <row r="4963" spans="1:7" x14ac:dyDescent="0.2">
      <c r="A4963" s="3">
        <v>140</v>
      </c>
      <c r="B4963" s="2">
        <v>58132.2</v>
      </c>
      <c r="C4963" s="38">
        <v>44956</v>
      </c>
      <c r="D4963" s="1" t="s">
        <v>254</v>
      </c>
      <c r="E4963" s="1" t="s">
        <v>33</v>
      </c>
      <c r="F4963" s="1" t="s">
        <v>199</v>
      </c>
      <c r="G4963" s="5">
        <v>415.23</v>
      </c>
    </row>
    <row r="4964" spans="1:7" x14ac:dyDescent="0.2">
      <c r="A4964" s="3">
        <v>140</v>
      </c>
      <c r="B4964" s="2">
        <v>58132.2</v>
      </c>
      <c r="C4964" s="38">
        <v>44956</v>
      </c>
      <c r="D4964" s="1" t="s">
        <v>254</v>
      </c>
      <c r="E4964" s="1" t="s">
        <v>33</v>
      </c>
      <c r="F4964" s="1" t="s">
        <v>199</v>
      </c>
      <c r="G4964" s="5">
        <v>415.23</v>
      </c>
    </row>
    <row r="4965" spans="1:7" x14ac:dyDescent="0.2">
      <c r="A4965" s="3">
        <v>140</v>
      </c>
      <c r="B4965" s="2">
        <v>58132.2</v>
      </c>
      <c r="C4965" s="38">
        <v>44956</v>
      </c>
      <c r="D4965" s="1" t="s">
        <v>254</v>
      </c>
      <c r="E4965" s="1" t="s">
        <v>33</v>
      </c>
      <c r="F4965" s="1" t="s">
        <v>199</v>
      </c>
      <c r="G4965" s="5">
        <v>415.23</v>
      </c>
    </row>
    <row r="4966" spans="1:7" x14ac:dyDescent="0.2">
      <c r="A4966" s="3">
        <v>140</v>
      </c>
      <c r="B4966" s="2">
        <v>58132.2</v>
      </c>
      <c r="C4966" s="38">
        <v>44956</v>
      </c>
      <c r="D4966" s="1" t="s">
        <v>254</v>
      </c>
      <c r="E4966" s="1" t="s">
        <v>33</v>
      </c>
      <c r="F4966" s="1" t="s">
        <v>199</v>
      </c>
      <c r="G4966" s="5">
        <v>415.23</v>
      </c>
    </row>
    <row r="4967" spans="1:7" x14ac:dyDescent="0.2">
      <c r="A4967" s="3">
        <v>140</v>
      </c>
      <c r="B4967" s="2">
        <v>92328.6</v>
      </c>
      <c r="C4967" s="38">
        <v>44956</v>
      </c>
      <c r="D4967" s="1" t="s">
        <v>258</v>
      </c>
      <c r="E4967" s="1" t="s">
        <v>33</v>
      </c>
      <c r="F4967" s="1" t="s">
        <v>199</v>
      </c>
      <c r="G4967" s="5">
        <v>659.49</v>
      </c>
    </row>
    <row r="4968" spans="1:7" x14ac:dyDescent="0.2">
      <c r="A4968" s="3">
        <v>140</v>
      </c>
      <c r="B4968" s="2">
        <v>58132.2</v>
      </c>
      <c r="C4968" s="38">
        <v>45041</v>
      </c>
      <c r="D4968" s="1" t="s">
        <v>254</v>
      </c>
      <c r="E4968" s="1" t="s">
        <v>33</v>
      </c>
      <c r="F4968" s="1" t="s">
        <v>199</v>
      </c>
      <c r="G4968" s="5">
        <v>415.23</v>
      </c>
    </row>
    <row r="4969" spans="1:7" x14ac:dyDescent="0.2">
      <c r="A4969" s="3">
        <v>140</v>
      </c>
      <c r="B4969" s="2">
        <v>58132.2</v>
      </c>
      <c r="C4969" s="38">
        <v>45041</v>
      </c>
      <c r="D4969" s="1" t="s">
        <v>254</v>
      </c>
      <c r="E4969" s="1" t="s">
        <v>33</v>
      </c>
      <c r="F4969" s="1" t="s">
        <v>199</v>
      </c>
      <c r="G4969" s="5">
        <v>415.23</v>
      </c>
    </row>
    <row r="4970" spans="1:7" x14ac:dyDescent="0.2">
      <c r="A4970" s="3">
        <v>140</v>
      </c>
      <c r="B4970" s="2">
        <v>58132.2</v>
      </c>
      <c r="C4970" s="38">
        <v>45041</v>
      </c>
      <c r="D4970" s="1" t="s">
        <v>254</v>
      </c>
      <c r="E4970" s="1" t="s">
        <v>33</v>
      </c>
      <c r="F4970" s="1" t="s">
        <v>199</v>
      </c>
      <c r="G4970" s="5">
        <v>415.23</v>
      </c>
    </row>
    <row r="4971" spans="1:7" x14ac:dyDescent="0.2">
      <c r="A4971" s="3">
        <v>140</v>
      </c>
      <c r="B4971" s="2">
        <v>58132.2</v>
      </c>
      <c r="C4971" s="38">
        <v>45041</v>
      </c>
      <c r="D4971" s="1" t="s">
        <v>254</v>
      </c>
      <c r="E4971" s="1" t="s">
        <v>33</v>
      </c>
      <c r="F4971" s="1" t="s">
        <v>199</v>
      </c>
      <c r="G4971" s="5">
        <v>415.23</v>
      </c>
    </row>
    <row r="4972" spans="1:7" x14ac:dyDescent="0.2">
      <c r="A4972" s="3">
        <v>140</v>
      </c>
      <c r="B4972" s="2">
        <v>58132.2</v>
      </c>
      <c r="C4972" s="38">
        <v>45041</v>
      </c>
      <c r="D4972" s="1" t="s">
        <v>254</v>
      </c>
      <c r="E4972" s="1" t="s">
        <v>33</v>
      </c>
      <c r="F4972" s="1" t="s">
        <v>199</v>
      </c>
      <c r="G4972" s="5">
        <v>415.23</v>
      </c>
    </row>
    <row r="4973" spans="1:7" x14ac:dyDescent="0.2">
      <c r="A4973" s="3">
        <v>140</v>
      </c>
      <c r="B4973" s="2">
        <v>58132.2</v>
      </c>
      <c r="C4973" s="38">
        <v>45041</v>
      </c>
      <c r="D4973" s="1" t="s">
        <v>254</v>
      </c>
      <c r="E4973" s="1" t="s">
        <v>33</v>
      </c>
      <c r="F4973" s="1" t="s">
        <v>199</v>
      </c>
      <c r="G4973" s="5">
        <v>415.23</v>
      </c>
    </row>
    <row r="4974" spans="1:7" x14ac:dyDescent="0.2">
      <c r="A4974" s="3">
        <v>140</v>
      </c>
      <c r="B4974" s="2">
        <v>58132.2</v>
      </c>
      <c r="C4974" s="38">
        <v>45041</v>
      </c>
      <c r="D4974" s="1" t="s">
        <v>254</v>
      </c>
      <c r="E4974" s="1" t="s">
        <v>33</v>
      </c>
      <c r="F4974" s="1" t="s">
        <v>199</v>
      </c>
      <c r="G4974" s="5">
        <v>415.23</v>
      </c>
    </row>
    <row r="4975" spans="1:7" x14ac:dyDescent="0.2">
      <c r="A4975" s="3">
        <v>140</v>
      </c>
      <c r="B4975" s="2">
        <v>53718</v>
      </c>
      <c r="C4975" s="38">
        <v>45061</v>
      </c>
      <c r="D4975" s="1" t="s">
        <v>256</v>
      </c>
      <c r="E4975" s="1" t="s">
        <v>33</v>
      </c>
      <c r="F4975" s="1" t="s">
        <v>199</v>
      </c>
      <c r="G4975" s="5">
        <v>383.7</v>
      </c>
    </row>
    <row r="4976" spans="1:7" x14ac:dyDescent="0.2">
      <c r="A4976" s="3">
        <v>140</v>
      </c>
      <c r="B4976" s="2">
        <v>60040.4</v>
      </c>
      <c r="C4976" s="38">
        <v>44978</v>
      </c>
      <c r="D4976" s="1" t="s">
        <v>255</v>
      </c>
      <c r="E4976" s="1" t="s">
        <v>33</v>
      </c>
      <c r="F4976" s="1" t="s">
        <v>199</v>
      </c>
      <c r="G4976" s="5">
        <v>428.86</v>
      </c>
    </row>
    <row r="4977" spans="1:7" x14ac:dyDescent="0.2">
      <c r="A4977" s="3">
        <v>140</v>
      </c>
      <c r="B4977" s="2">
        <v>60040.4</v>
      </c>
      <c r="C4977" s="38">
        <v>44978</v>
      </c>
      <c r="D4977" s="1" t="s">
        <v>255</v>
      </c>
      <c r="E4977" s="1" t="s">
        <v>33</v>
      </c>
      <c r="F4977" s="1" t="s">
        <v>199</v>
      </c>
      <c r="G4977" s="5">
        <v>428.86</v>
      </c>
    </row>
    <row r="4978" spans="1:7" x14ac:dyDescent="0.2">
      <c r="A4978" s="3">
        <v>140</v>
      </c>
      <c r="B4978" s="2">
        <v>60040.4</v>
      </c>
      <c r="C4978" s="38">
        <v>44978</v>
      </c>
      <c r="D4978" s="1" t="s">
        <v>255</v>
      </c>
      <c r="E4978" s="1" t="s">
        <v>33</v>
      </c>
      <c r="F4978" s="1" t="s">
        <v>199</v>
      </c>
      <c r="G4978" s="5">
        <v>428.86</v>
      </c>
    </row>
    <row r="4979" spans="1:7" x14ac:dyDescent="0.2">
      <c r="A4979" s="3">
        <v>140</v>
      </c>
      <c r="B4979" s="2">
        <v>53718</v>
      </c>
      <c r="C4979" s="38">
        <v>45041</v>
      </c>
      <c r="D4979" s="1" t="s">
        <v>256</v>
      </c>
      <c r="E4979" s="1" t="s">
        <v>33</v>
      </c>
      <c r="F4979" s="1" t="s">
        <v>199</v>
      </c>
      <c r="G4979" s="5">
        <v>383.7</v>
      </c>
    </row>
    <row r="4980" spans="1:7" x14ac:dyDescent="0.2">
      <c r="A4980" s="3">
        <v>140</v>
      </c>
      <c r="B4980" s="2">
        <v>53718</v>
      </c>
      <c r="C4980" s="38">
        <v>45041</v>
      </c>
      <c r="D4980" s="1" t="s">
        <v>256</v>
      </c>
      <c r="E4980" s="1" t="s">
        <v>33</v>
      </c>
      <c r="F4980" s="1" t="s">
        <v>199</v>
      </c>
      <c r="G4980" s="5">
        <v>383.7</v>
      </c>
    </row>
    <row r="4981" spans="1:7" x14ac:dyDescent="0.2">
      <c r="A4981" s="3">
        <v>140</v>
      </c>
      <c r="B4981" s="2">
        <v>53718</v>
      </c>
      <c r="C4981" s="38">
        <v>45041</v>
      </c>
      <c r="D4981" s="1" t="s">
        <v>256</v>
      </c>
      <c r="E4981" s="1" t="s">
        <v>33</v>
      </c>
      <c r="F4981" s="1" t="s">
        <v>199</v>
      </c>
      <c r="G4981" s="5">
        <v>383.7</v>
      </c>
    </row>
    <row r="4982" spans="1:7" x14ac:dyDescent="0.2">
      <c r="A4982" s="3">
        <v>140</v>
      </c>
      <c r="B4982" s="2">
        <v>53718</v>
      </c>
      <c r="C4982" s="38">
        <v>45041</v>
      </c>
      <c r="D4982" s="1" t="s">
        <v>256</v>
      </c>
      <c r="E4982" s="1" t="s">
        <v>33</v>
      </c>
      <c r="F4982" s="1" t="s">
        <v>199</v>
      </c>
      <c r="G4982" s="5">
        <v>383.7</v>
      </c>
    </row>
    <row r="4983" spans="1:7" x14ac:dyDescent="0.2">
      <c r="A4983" s="3">
        <v>140</v>
      </c>
      <c r="B4983" s="2">
        <v>53718</v>
      </c>
      <c r="C4983" s="38">
        <v>45041</v>
      </c>
      <c r="D4983" s="1" t="s">
        <v>256</v>
      </c>
      <c r="E4983" s="1" t="s">
        <v>33</v>
      </c>
      <c r="F4983" s="1" t="s">
        <v>199</v>
      </c>
      <c r="G4983" s="5">
        <v>383.7</v>
      </c>
    </row>
    <row r="4984" spans="1:7" x14ac:dyDescent="0.2">
      <c r="A4984" s="3">
        <v>140</v>
      </c>
      <c r="B4984" s="2">
        <v>53718</v>
      </c>
      <c r="C4984" s="38">
        <v>45041</v>
      </c>
      <c r="D4984" s="1" t="s">
        <v>256</v>
      </c>
      <c r="E4984" s="1" t="s">
        <v>33</v>
      </c>
      <c r="F4984" s="1" t="s">
        <v>199</v>
      </c>
      <c r="G4984" s="5">
        <v>383.7</v>
      </c>
    </row>
    <row r="4985" spans="1:7" x14ac:dyDescent="0.2">
      <c r="A4985" s="3">
        <v>140</v>
      </c>
      <c r="B4985" s="2">
        <v>53718</v>
      </c>
      <c r="C4985" s="38">
        <v>45041</v>
      </c>
      <c r="D4985" s="1" t="s">
        <v>256</v>
      </c>
      <c r="E4985" s="1" t="s">
        <v>33</v>
      </c>
      <c r="F4985" s="1" t="s">
        <v>199</v>
      </c>
      <c r="G4985" s="5">
        <v>383.7</v>
      </c>
    </row>
    <row r="4986" spans="1:7" x14ac:dyDescent="0.2">
      <c r="A4986" s="3">
        <v>140</v>
      </c>
      <c r="B4986" s="2">
        <v>53718</v>
      </c>
      <c r="C4986" s="38">
        <v>45041</v>
      </c>
      <c r="D4986" s="1" t="s">
        <v>256</v>
      </c>
      <c r="E4986" s="1" t="s">
        <v>33</v>
      </c>
      <c r="F4986" s="1" t="s">
        <v>199</v>
      </c>
      <c r="G4986" s="5">
        <v>383.7</v>
      </c>
    </row>
    <row r="4987" spans="1:7" x14ac:dyDescent="0.2">
      <c r="A4987" s="3">
        <v>140</v>
      </c>
      <c r="B4987" s="2">
        <v>53718</v>
      </c>
      <c r="C4987" s="38">
        <v>45041</v>
      </c>
      <c r="D4987" s="1" t="s">
        <v>256</v>
      </c>
      <c r="E4987" s="1" t="s">
        <v>33</v>
      </c>
      <c r="F4987" s="1" t="s">
        <v>199</v>
      </c>
      <c r="G4987" s="5">
        <v>383.7</v>
      </c>
    </row>
    <row r="4988" spans="1:7" x14ac:dyDescent="0.2">
      <c r="A4988" s="3">
        <v>140</v>
      </c>
      <c r="B4988" s="2">
        <v>53718</v>
      </c>
      <c r="C4988" s="38">
        <v>45041</v>
      </c>
      <c r="D4988" s="1" t="s">
        <v>256</v>
      </c>
      <c r="E4988" s="1" t="s">
        <v>33</v>
      </c>
      <c r="F4988" s="1" t="s">
        <v>199</v>
      </c>
      <c r="G4988" s="5">
        <v>383.7</v>
      </c>
    </row>
    <row r="4989" spans="1:7" x14ac:dyDescent="0.2">
      <c r="A4989" s="3">
        <v>140</v>
      </c>
      <c r="B4989" s="2">
        <v>53718</v>
      </c>
      <c r="C4989" s="38">
        <v>45041</v>
      </c>
      <c r="D4989" s="1" t="s">
        <v>256</v>
      </c>
      <c r="E4989" s="1" t="s">
        <v>33</v>
      </c>
      <c r="F4989" s="1" t="s">
        <v>199</v>
      </c>
      <c r="G4989" s="5">
        <v>383.7</v>
      </c>
    </row>
    <row r="4990" spans="1:7" x14ac:dyDescent="0.2">
      <c r="A4990" s="3">
        <v>140</v>
      </c>
      <c r="B4990" s="2">
        <v>53718</v>
      </c>
      <c r="C4990" s="38">
        <v>45041</v>
      </c>
      <c r="D4990" s="1" t="s">
        <v>256</v>
      </c>
      <c r="E4990" s="1" t="s">
        <v>33</v>
      </c>
      <c r="F4990" s="1" t="s">
        <v>199</v>
      </c>
      <c r="G4990" s="5">
        <v>383.7</v>
      </c>
    </row>
    <row r="4991" spans="1:7" x14ac:dyDescent="0.2">
      <c r="A4991" s="3">
        <v>140</v>
      </c>
      <c r="B4991" s="2">
        <v>53718</v>
      </c>
      <c r="C4991" s="38">
        <v>45041</v>
      </c>
      <c r="D4991" s="1" t="s">
        <v>256</v>
      </c>
      <c r="E4991" s="1" t="s">
        <v>33</v>
      </c>
      <c r="F4991" s="1" t="s">
        <v>199</v>
      </c>
      <c r="G4991" s="5">
        <v>383.7</v>
      </c>
    </row>
    <row r="4992" spans="1:7" x14ac:dyDescent="0.2">
      <c r="A4992" s="3">
        <v>140</v>
      </c>
      <c r="B4992" s="2">
        <v>53718</v>
      </c>
      <c r="C4992" s="38">
        <v>45041</v>
      </c>
      <c r="D4992" s="1" t="s">
        <v>256</v>
      </c>
      <c r="E4992" s="1" t="s">
        <v>33</v>
      </c>
      <c r="F4992" s="1" t="s">
        <v>199</v>
      </c>
      <c r="G4992" s="5">
        <v>383.7</v>
      </c>
    </row>
    <row r="4993" spans="1:7" x14ac:dyDescent="0.2">
      <c r="A4993" s="3">
        <v>140</v>
      </c>
      <c r="B4993" s="2">
        <v>53718</v>
      </c>
      <c r="C4993" s="38">
        <v>45041</v>
      </c>
      <c r="D4993" s="1" t="s">
        <v>256</v>
      </c>
      <c r="E4993" s="1" t="s">
        <v>33</v>
      </c>
      <c r="F4993" s="1" t="s">
        <v>199</v>
      </c>
      <c r="G4993" s="5">
        <v>383.7</v>
      </c>
    </row>
    <row r="4994" spans="1:7" x14ac:dyDescent="0.2">
      <c r="A4994" s="3">
        <v>140</v>
      </c>
      <c r="B4994" s="2">
        <v>53718</v>
      </c>
      <c r="C4994" s="38">
        <v>45041</v>
      </c>
      <c r="D4994" s="1" t="s">
        <v>256</v>
      </c>
      <c r="E4994" s="1" t="s">
        <v>33</v>
      </c>
      <c r="F4994" s="1" t="s">
        <v>199</v>
      </c>
      <c r="G4994" s="5">
        <v>383.7</v>
      </c>
    </row>
    <row r="4995" spans="1:7" x14ac:dyDescent="0.2">
      <c r="A4995" s="3">
        <v>140</v>
      </c>
      <c r="B4995" s="2">
        <v>53718</v>
      </c>
      <c r="C4995" s="38">
        <v>45041</v>
      </c>
      <c r="D4995" s="1" t="s">
        <v>256</v>
      </c>
      <c r="E4995" s="1" t="s">
        <v>33</v>
      </c>
      <c r="F4995" s="1" t="s">
        <v>199</v>
      </c>
      <c r="G4995" s="5">
        <v>383.7</v>
      </c>
    </row>
    <row r="4996" spans="1:7" x14ac:dyDescent="0.2">
      <c r="A4996" s="3">
        <v>140</v>
      </c>
      <c r="B4996" s="2">
        <v>50677.2</v>
      </c>
      <c r="C4996" s="38">
        <v>44981</v>
      </c>
      <c r="D4996" s="1" t="s">
        <v>256</v>
      </c>
      <c r="E4996" s="1" t="s">
        <v>33</v>
      </c>
      <c r="F4996" s="1" t="s">
        <v>199</v>
      </c>
      <c r="G4996" s="5">
        <v>361.98</v>
      </c>
    </row>
    <row r="4997" spans="1:7" x14ac:dyDescent="0.2">
      <c r="A4997" s="3">
        <v>140</v>
      </c>
      <c r="B4997" s="2">
        <v>50677.2</v>
      </c>
      <c r="C4997" s="38">
        <v>44981</v>
      </c>
      <c r="D4997" s="1" t="s">
        <v>256</v>
      </c>
      <c r="E4997" s="1" t="s">
        <v>33</v>
      </c>
      <c r="F4997" s="1" t="s">
        <v>199</v>
      </c>
      <c r="G4997" s="5">
        <v>361.98</v>
      </c>
    </row>
    <row r="4998" spans="1:7" x14ac:dyDescent="0.2">
      <c r="A4998" s="3">
        <v>140</v>
      </c>
      <c r="B4998" s="2">
        <v>50677.2</v>
      </c>
      <c r="C4998" s="38">
        <v>44981</v>
      </c>
      <c r="D4998" s="1" t="s">
        <v>256</v>
      </c>
      <c r="E4998" s="1" t="s">
        <v>33</v>
      </c>
      <c r="F4998" s="1" t="s">
        <v>199</v>
      </c>
      <c r="G4998" s="5">
        <v>361.98</v>
      </c>
    </row>
    <row r="4999" spans="1:7" x14ac:dyDescent="0.2">
      <c r="A4999" s="3">
        <v>140</v>
      </c>
      <c r="B4999" s="2">
        <v>50677.2</v>
      </c>
      <c r="C4999" s="38">
        <v>44981</v>
      </c>
      <c r="D4999" s="1" t="s">
        <v>256</v>
      </c>
      <c r="E4999" s="1" t="s">
        <v>33</v>
      </c>
      <c r="F4999" s="1" t="s">
        <v>199</v>
      </c>
      <c r="G4999" s="5">
        <v>361.98</v>
      </c>
    </row>
    <row r="5000" spans="1:7" x14ac:dyDescent="0.2">
      <c r="A5000" s="3">
        <v>140</v>
      </c>
      <c r="B5000" s="2">
        <v>50677.2</v>
      </c>
      <c r="C5000" s="38">
        <v>44981</v>
      </c>
      <c r="D5000" s="1" t="s">
        <v>256</v>
      </c>
      <c r="E5000" s="1" t="s">
        <v>33</v>
      </c>
      <c r="F5000" s="1" t="s">
        <v>199</v>
      </c>
      <c r="G5000" s="5">
        <v>361.98</v>
      </c>
    </row>
    <row r="5001" spans="1:7" x14ac:dyDescent="0.2">
      <c r="A5001" s="3">
        <v>140</v>
      </c>
      <c r="B5001" s="2">
        <v>58132.2</v>
      </c>
      <c r="C5001" s="38">
        <v>44985</v>
      </c>
      <c r="D5001" s="1" t="s">
        <v>254</v>
      </c>
      <c r="E5001" s="1" t="s">
        <v>33</v>
      </c>
      <c r="F5001" s="1" t="s">
        <v>199</v>
      </c>
      <c r="G5001" s="5">
        <v>415.23</v>
      </c>
    </row>
    <row r="5002" spans="1:7" x14ac:dyDescent="0.2">
      <c r="A5002" s="3">
        <v>140</v>
      </c>
      <c r="B5002" s="2">
        <v>58132.2</v>
      </c>
      <c r="C5002" s="38">
        <v>44985</v>
      </c>
      <c r="D5002" s="1" t="s">
        <v>254</v>
      </c>
      <c r="E5002" s="1" t="s">
        <v>33</v>
      </c>
      <c r="F5002" s="1" t="s">
        <v>199</v>
      </c>
      <c r="G5002" s="5">
        <v>415.23</v>
      </c>
    </row>
    <row r="5003" spans="1:7" x14ac:dyDescent="0.2">
      <c r="A5003" s="3">
        <v>140</v>
      </c>
      <c r="B5003" s="2">
        <v>58132.2</v>
      </c>
      <c r="C5003" s="38">
        <v>44985</v>
      </c>
      <c r="D5003" s="1" t="s">
        <v>254</v>
      </c>
      <c r="E5003" s="1" t="s">
        <v>33</v>
      </c>
      <c r="F5003" s="1" t="s">
        <v>199</v>
      </c>
      <c r="G5003" s="5">
        <v>415.23</v>
      </c>
    </row>
    <row r="5004" spans="1:7" x14ac:dyDescent="0.2">
      <c r="A5004" s="3">
        <v>140</v>
      </c>
      <c r="B5004" s="2">
        <v>60040.4</v>
      </c>
      <c r="C5004" s="38">
        <v>45135</v>
      </c>
      <c r="D5004" s="1" t="s">
        <v>255</v>
      </c>
      <c r="E5004" s="1" t="s">
        <v>33</v>
      </c>
      <c r="F5004" s="1" t="s">
        <v>199</v>
      </c>
      <c r="G5004" s="5">
        <v>428.86</v>
      </c>
    </row>
    <row r="5005" spans="1:7" x14ac:dyDescent="0.2">
      <c r="A5005" s="3">
        <v>140</v>
      </c>
      <c r="B5005" s="2">
        <v>92328.6</v>
      </c>
      <c r="C5005" s="38">
        <v>44875</v>
      </c>
      <c r="D5005" s="1" t="s">
        <v>258</v>
      </c>
      <c r="E5005" s="1" t="s">
        <v>33</v>
      </c>
      <c r="F5005" s="1" t="s">
        <v>199</v>
      </c>
      <c r="G5005" s="5">
        <v>659.49</v>
      </c>
    </row>
    <row r="5006" spans="1:7" x14ac:dyDescent="0.2">
      <c r="A5006" s="3">
        <v>140</v>
      </c>
      <c r="B5006" s="2">
        <v>58132.2</v>
      </c>
      <c r="C5006" s="38">
        <v>45154</v>
      </c>
      <c r="D5006" s="1" t="s">
        <v>254</v>
      </c>
      <c r="E5006" s="1" t="s">
        <v>33</v>
      </c>
      <c r="F5006" s="1" t="s">
        <v>199</v>
      </c>
      <c r="G5006" s="5">
        <v>415.23</v>
      </c>
    </row>
    <row r="5007" spans="1:7" x14ac:dyDescent="0.2">
      <c r="A5007" s="3">
        <v>140</v>
      </c>
      <c r="B5007" s="2">
        <v>56924</v>
      </c>
      <c r="C5007" s="38">
        <v>44914</v>
      </c>
      <c r="D5007" s="1" t="s">
        <v>255</v>
      </c>
      <c r="E5007" s="1" t="s">
        <v>33</v>
      </c>
      <c r="F5007" s="1" t="s">
        <v>199</v>
      </c>
      <c r="G5007" s="5">
        <v>406.6</v>
      </c>
    </row>
    <row r="5008" spans="1:7" x14ac:dyDescent="0.2">
      <c r="A5008" s="3">
        <v>140</v>
      </c>
      <c r="B5008" s="2">
        <v>56924</v>
      </c>
      <c r="C5008" s="38">
        <v>44914</v>
      </c>
      <c r="D5008" s="1" t="s">
        <v>255</v>
      </c>
      <c r="E5008" s="1" t="s">
        <v>33</v>
      </c>
      <c r="F5008" s="1" t="s">
        <v>199</v>
      </c>
      <c r="G5008" s="5">
        <v>406.6</v>
      </c>
    </row>
    <row r="5009" spans="1:7" x14ac:dyDescent="0.2">
      <c r="A5009" s="3">
        <v>140</v>
      </c>
      <c r="B5009" s="2">
        <v>56924</v>
      </c>
      <c r="C5009" s="38">
        <v>44914</v>
      </c>
      <c r="D5009" s="1" t="s">
        <v>255</v>
      </c>
      <c r="E5009" s="1" t="s">
        <v>33</v>
      </c>
      <c r="F5009" s="1" t="s">
        <v>199</v>
      </c>
      <c r="G5009" s="5">
        <v>406.6</v>
      </c>
    </row>
    <row r="5010" spans="1:7" x14ac:dyDescent="0.2">
      <c r="A5010" s="3">
        <v>140</v>
      </c>
      <c r="B5010" s="2">
        <v>56924</v>
      </c>
      <c r="C5010" s="38">
        <v>44914</v>
      </c>
      <c r="D5010" s="1" t="s">
        <v>255</v>
      </c>
      <c r="E5010" s="1" t="s">
        <v>33</v>
      </c>
      <c r="F5010" s="1" t="s">
        <v>199</v>
      </c>
      <c r="G5010" s="5">
        <v>406.6</v>
      </c>
    </row>
    <row r="5011" spans="1:7" x14ac:dyDescent="0.2">
      <c r="A5011" s="3">
        <v>140</v>
      </c>
      <c r="B5011" s="2">
        <v>58132.2</v>
      </c>
      <c r="C5011" s="38">
        <v>45132</v>
      </c>
      <c r="D5011" s="1" t="s">
        <v>254</v>
      </c>
      <c r="E5011" s="1" t="s">
        <v>33</v>
      </c>
      <c r="F5011" s="1" t="s">
        <v>199</v>
      </c>
      <c r="G5011" s="5">
        <v>415.23</v>
      </c>
    </row>
    <row r="5012" spans="1:7" x14ac:dyDescent="0.2">
      <c r="A5012" s="3">
        <v>140</v>
      </c>
      <c r="B5012" s="2">
        <v>58132.2</v>
      </c>
      <c r="C5012" s="38">
        <v>45132</v>
      </c>
      <c r="D5012" s="1" t="s">
        <v>254</v>
      </c>
      <c r="E5012" s="1" t="s">
        <v>33</v>
      </c>
      <c r="F5012" s="1" t="s">
        <v>199</v>
      </c>
      <c r="G5012" s="5">
        <v>415.23</v>
      </c>
    </row>
    <row r="5013" spans="1:7" x14ac:dyDescent="0.2">
      <c r="A5013" s="3">
        <v>140</v>
      </c>
      <c r="B5013" s="2">
        <v>60040.4</v>
      </c>
      <c r="C5013" s="38">
        <v>45132</v>
      </c>
      <c r="D5013" s="1" t="s">
        <v>255</v>
      </c>
      <c r="E5013" s="1" t="s">
        <v>33</v>
      </c>
      <c r="F5013" s="1" t="s">
        <v>199</v>
      </c>
      <c r="G5013" s="5">
        <v>428.86</v>
      </c>
    </row>
    <row r="5014" spans="1:7" x14ac:dyDescent="0.2">
      <c r="A5014" s="3">
        <v>140</v>
      </c>
      <c r="B5014" s="2">
        <v>60040.4</v>
      </c>
      <c r="C5014" s="38">
        <v>45132</v>
      </c>
      <c r="D5014" s="1" t="s">
        <v>255</v>
      </c>
      <c r="E5014" s="1" t="s">
        <v>33</v>
      </c>
      <c r="F5014" s="1" t="s">
        <v>199</v>
      </c>
      <c r="G5014" s="5">
        <v>428.86</v>
      </c>
    </row>
    <row r="5015" spans="1:7" x14ac:dyDescent="0.2">
      <c r="A5015" s="3">
        <v>120</v>
      </c>
      <c r="B5015" s="2">
        <v>54085.2</v>
      </c>
      <c r="C5015" s="38">
        <v>45049</v>
      </c>
      <c r="D5015" s="1" t="s">
        <v>240</v>
      </c>
      <c r="E5015" s="1" t="s">
        <v>33</v>
      </c>
      <c r="F5015" s="1" t="s">
        <v>199</v>
      </c>
      <c r="G5015" s="5">
        <v>450.71</v>
      </c>
    </row>
    <row r="5016" spans="1:7" x14ac:dyDescent="0.2">
      <c r="A5016" s="3">
        <v>120</v>
      </c>
      <c r="B5016" s="2">
        <v>96452.4</v>
      </c>
      <c r="C5016" s="38">
        <v>44950</v>
      </c>
      <c r="D5016" s="1" t="s">
        <v>265</v>
      </c>
      <c r="E5016" s="1" t="s">
        <v>33</v>
      </c>
      <c r="F5016" s="1" t="s">
        <v>199</v>
      </c>
      <c r="G5016" s="5">
        <v>803.77</v>
      </c>
    </row>
    <row r="5017" spans="1:7" x14ac:dyDescent="0.2">
      <c r="A5017" s="3">
        <v>120</v>
      </c>
      <c r="B5017" s="2">
        <v>96452.4</v>
      </c>
      <c r="C5017" s="38">
        <v>44956</v>
      </c>
      <c r="D5017" s="1" t="s">
        <v>265</v>
      </c>
      <c r="E5017" s="1" t="s">
        <v>33</v>
      </c>
      <c r="F5017" s="1" t="s">
        <v>199</v>
      </c>
      <c r="G5017" s="5">
        <v>803.77</v>
      </c>
    </row>
    <row r="5018" spans="1:7" x14ac:dyDescent="0.2">
      <c r="A5018" s="3">
        <v>120</v>
      </c>
      <c r="B5018" s="2">
        <v>54085.2</v>
      </c>
      <c r="C5018" s="38">
        <v>45037</v>
      </c>
      <c r="D5018" s="1" t="s">
        <v>240</v>
      </c>
      <c r="E5018" s="1" t="s">
        <v>33</v>
      </c>
      <c r="F5018" s="1" t="s">
        <v>199</v>
      </c>
      <c r="G5018" s="5">
        <v>450.71</v>
      </c>
    </row>
    <row r="5019" spans="1:7" x14ac:dyDescent="0.2">
      <c r="A5019" s="3">
        <v>120</v>
      </c>
      <c r="B5019" s="2">
        <v>54085.2</v>
      </c>
      <c r="C5019" s="38">
        <v>45037</v>
      </c>
      <c r="D5019" s="1" t="s">
        <v>240</v>
      </c>
      <c r="E5019" s="1" t="s">
        <v>33</v>
      </c>
      <c r="F5019" s="1" t="s">
        <v>199</v>
      </c>
      <c r="G5019" s="5">
        <v>450.71</v>
      </c>
    </row>
    <row r="5020" spans="1:7" x14ac:dyDescent="0.2">
      <c r="A5020" s="3">
        <v>120</v>
      </c>
      <c r="B5020" s="2">
        <v>54085.2</v>
      </c>
      <c r="C5020" s="38">
        <v>45037</v>
      </c>
      <c r="D5020" s="1" t="s">
        <v>240</v>
      </c>
      <c r="E5020" s="1" t="s">
        <v>33</v>
      </c>
      <c r="F5020" s="1" t="s">
        <v>199</v>
      </c>
      <c r="G5020" s="5">
        <v>450.71</v>
      </c>
    </row>
    <row r="5021" spans="1:7" x14ac:dyDescent="0.2">
      <c r="A5021" s="3">
        <v>120</v>
      </c>
      <c r="B5021" s="2">
        <v>54085.2</v>
      </c>
      <c r="C5021" s="38">
        <v>45037</v>
      </c>
      <c r="D5021" s="1" t="s">
        <v>240</v>
      </c>
      <c r="E5021" s="1" t="s">
        <v>33</v>
      </c>
      <c r="F5021" s="1" t="s">
        <v>199</v>
      </c>
      <c r="G5021" s="5">
        <v>450.71</v>
      </c>
    </row>
    <row r="5022" spans="1:7" x14ac:dyDescent="0.2">
      <c r="A5022" s="3">
        <v>120</v>
      </c>
      <c r="B5022" s="2">
        <v>54085.2</v>
      </c>
      <c r="C5022" s="38">
        <v>45037</v>
      </c>
      <c r="D5022" s="1" t="s">
        <v>240</v>
      </c>
      <c r="E5022" s="1" t="s">
        <v>33</v>
      </c>
      <c r="F5022" s="1" t="s">
        <v>199</v>
      </c>
      <c r="G5022" s="5">
        <v>450.71</v>
      </c>
    </row>
    <row r="5023" spans="1:7" x14ac:dyDescent="0.2">
      <c r="A5023" s="3">
        <v>120</v>
      </c>
      <c r="B5023" s="2">
        <v>54085.2</v>
      </c>
      <c r="C5023" s="38">
        <v>45037</v>
      </c>
      <c r="D5023" s="1" t="s">
        <v>240</v>
      </c>
      <c r="E5023" s="1" t="s">
        <v>33</v>
      </c>
      <c r="F5023" s="1" t="s">
        <v>199</v>
      </c>
      <c r="G5023" s="5">
        <v>450.71</v>
      </c>
    </row>
    <row r="5024" spans="1:7" x14ac:dyDescent="0.2">
      <c r="A5024" s="3">
        <v>120</v>
      </c>
      <c r="B5024" s="2">
        <v>54085.2</v>
      </c>
      <c r="C5024" s="38">
        <v>45061</v>
      </c>
      <c r="D5024" s="1" t="s">
        <v>240</v>
      </c>
      <c r="E5024" s="1" t="s">
        <v>33</v>
      </c>
      <c r="F5024" s="1" t="s">
        <v>199</v>
      </c>
      <c r="G5024" s="5">
        <v>450.71</v>
      </c>
    </row>
    <row r="5025" spans="1:7" x14ac:dyDescent="0.2">
      <c r="A5025" s="3">
        <v>120</v>
      </c>
      <c r="B5025" s="2">
        <v>51024</v>
      </c>
      <c r="C5025" s="38">
        <v>44929</v>
      </c>
      <c r="D5025" s="1" t="s">
        <v>240</v>
      </c>
      <c r="E5025" s="1" t="s">
        <v>33</v>
      </c>
      <c r="F5025" s="1" t="s">
        <v>199</v>
      </c>
      <c r="G5025" s="5">
        <v>425.2</v>
      </c>
    </row>
    <row r="5026" spans="1:7" x14ac:dyDescent="0.2">
      <c r="A5026" s="3">
        <v>120</v>
      </c>
      <c r="B5026" s="2">
        <v>51024</v>
      </c>
      <c r="C5026" s="38">
        <v>44929</v>
      </c>
      <c r="D5026" s="1" t="s">
        <v>240</v>
      </c>
      <c r="E5026" s="1" t="s">
        <v>33</v>
      </c>
      <c r="F5026" s="1" t="s">
        <v>199</v>
      </c>
      <c r="G5026" s="5">
        <v>425.2</v>
      </c>
    </row>
    <row r="5027" spans="1:7" x14ac:dyDescent="0.2">
      <c r="A5027" s="3">
        <v>120</v>
      </c>
      <c r="B5027" s="2">
        <v>51024</v>
      </c>
      <c r="C5027" s="38">
        <v>44894</v>
      </c>
      <c r="D5027" s="1" t="s">
        <v>240</v>
      </c>
      <c r="E5027" s="1" t="s">
        <v>33</v>
      </c>
      <c r="F5027" s="1" t="s">
        <v>199</v>
      </c>
      <c r="G5027" s="5">
        <v>425.2</v>
      </c>
    </row>
    <row r="5028" spans="1:7" x14ac:dyDescent="0.2">
      <c r="A5028" s="3">
        <v>120</v>
      </c>
      <c r="B5028" s="2">
        <v>51024</v>
      </c>
      <c r="C5028" s="38">
        <v>44909</v>
      </c>
      <c r="D5028" s="1" t="s">
        <v>240</v>
      </c>
      <c r="E5028" s="1" t="s">
        <v>33</v>
      </c>
      <c r="F5028" s="1" t="s">
        <v>199</v>
      </c>
      <c r="G5028" s="5">
        <v>425.2</v>
      </c>
    </row>
    <row r="5029" spans="1:7" x14ac:dyDescent="0.2">
      <c r="A5029" s="3">
        <v>120</v>
      </c>
      <c r="B5029" s="2">
        <v>91449.600000000006</v>
      </c>
      <c r="C5029" s="38">
        <v>44761</v>
      </c>
      <c r="D5029" s="1" t="s">
        <v>265</v>
      </c>
      <c r="E5029" s="1" t="s">
        <v>33</v>
      </c>
      <c r="F5029" s="1" t="s">
        <v>199</v>
      </c>
      <c r="G5029" s="5">
        <v>762.08</v>
      </c>
    </row>
    <row r="5030" spans="1:7" x14ac:dyDescent="0.2">
      <c r="A5030" s="3">
        <v>120</v>
      </c>
      <c r="B5030" s="2">
        <v>51024</v>
      </c>
      <c r="C5030" s="38">
        <v>44859</v>
      </c>
      <c r="D5030" s="1" t="s">
        <v>240</v>
      </c>
      <c r="E5030" s="1" t="s">
        <v>33</v>
      </c>
      <c r="F5030" s="1" t="s">
        <v>199</v>
      </c>
      <c r="G5030" s="5">
        <v>425.2</v>
      </c>
    </row>
    <row r="5031" spans="1:7" x14ac:dyDescent="0.2">
      <c r="A5031" s="3">
        <v>120</v>
      </c>
      <c r="B5031" s="2">
        <v>51024</v>
      </c>
      <c r="C5031" s="38">
        <v>44859</v>
      </c>
      <c r="D5031" s="1" t="s">
        <v>240</v>
      </c>
      <c r="E5031" s="1" t="s">
        <v>33</v>
      </c>
      <c r="F5031" s="1" t="s">
        <v>199</v>
      </c>
      <c r="G5031" s="5">
        <v>425.2</v>
      </c>
    </row>
    <row r="5032" spans="1:7" x14ac:dyDescent="0.2">
      <c r="A5032" s="3">
        <v>120</v>
      </c>
      <c r="B5032" s="2">
        <v>51024</v>
      </c>
      <c r="C5032" s="38">
        <v>44859</v>
      </c>
      <c r="D5032" s="1" t="s">
        <v>240</v>
      </c>
      <c r="E5032" s="1" t="s">
        <v>33</v>
      </c>
      <c r="F5032" s="1" t="s">
        <v>199</v>
      </c>
      <c r="G5032" s="5">
        <v>425.2</v>
      </c>
    </row>
    <row r="5033" spans="1:7" x14ac:dyDescent="0.2">
      <c r="A5033" s="3">
        <v>120</v>
      </c>
      <c r="B5033" s="2">
        <v>51024</v>
      </c>
      <c r="C5033" s="38">
        <v>44859</v>
      </c>
      <c r="D5033" s="1" t="s">
        <v>240</v>
      </c>
      <c r="E5033" s="1" t="s">
        <v>33</v>
      </c>
      <c r="F5033" s="1" t="s">
        <v>199</v>
      </c>
      <c r="G5033" s="5">
        <v>425.2</v>
      </c>
    </row>
    <row r="5034" spans="1:7" x14ac:dyDescent="0.2">
      <c r="A5034" s="3">
        <v>120</v>
      </c>
      <c r="B5034" s="2">
        <v>51024</v>
      </c>
      <c r="C5034" s="38">
        <v>44859</v>
      </c>
      <c r="D5034" s="1" t="s">
        <v>240</v>
      </c>
      <c r="E5034" s="1" t="s">
        <v>33</v>
      </c>
      <c r="F5034" s="1" t="s">
        <v>199</v>
      </c>
      <c r="G5034" s="5">
        <v>425.2</v>
      </c>
    </row>
    <row r="5035" spans="1:7" x14ac:dyDescent="0.2">
      <c r="A5035" s="3">
        <v>120</v>
      </c>
      <c r="B5035" s="2">
        <v>51024</v>
      </c>
      <c r="C5035" s="38">
        <v>44859</v>
      </c>
      <c r="D5035" s="1" t="s">
        <v>240</v>
      </c>
      <c r="E5035" s="1" t="s">
        <v>33</v>
      </c>
      <c r="F5035" s="1" t="s">
        <v>199</v>
      </c>
      <c r="G5035" s="5">
        <v>425.2</v>
      </c>
    </row>
    <row r="5036" spans="1:7" x14ac:dyDescent="0.2">
      <c r="A5036" s="3">
        <v>120</v>
      </c>
      <c r="B5036" s="2">
        <v>52864.800000000003</v>
      </c>
      <c r="C5036" s="38">
        <v>44985</v>
      </c>
      <c r="D5036" s="1" t="s">
        <v>248</v>
      </c>
      <c r="E5036" s="1" t="s">
        <v>33</v>
      </c>
      <c r="F5036" s="1" t="s">
        <v>199</v>
      </c>
      <c r="G5036" s="5">
        <v>440.54</v>
      </c>
    </row>
    <row r="5037" spans="1:7" x14ac:dyDescent="0.2">
      <c r="A5037" s="3">
        <v>120</v>
      </c>
      <c r="B5037" s="2">
        <v>52864.800000000003</v>
      </c>
      <c r="C5037" s="38">
        <v>44985</v>
      </c>
      <c r="D5037" s="1" t="s">
        <v>248</v>
      </c>
      <c r="E5037" s="1" t="s">
        <v>33</v>
      </c>
      <c r="F5037" s="1" t="s">
        <v>199</v>
      </c>
      <c r="G5037" s="5">
        <v>440.54</v>
      </c>
    </row>
    <row r="5038" spans="1:7" x14ac:dyDescent="0.2">
      <c r="A5038" s="3">
        <v>120</v>
      </c>
      <c r="B5038" s="2">
        <v>52864.800000000003</v>
      </c>
      <c r="C5038" s="38">
        <v>44978</v>
      </c>
      <c r="D5038" s="1" t="s">
        <v>248</v>
      </c>
      <c r="E5038" s="1" t="s">
        <v>33</v>
      </c>
      <c r="F5038" s="1" t="s">
        <v>199</v>
      </c>
      <c r="G5038" s="5">
        <v>440.54</v>
      </c>
    </row>
    <row r="5039" spans="1:7" x14ac:dyDescent="0.2">
      <c r="A5039" s="3">
        <v>120</v>
      </c>
      <c r="B5039" s="2">
        <v>52864.800000000003</v>
      </c>
      <c r="C5039" s="38">
        <v>44978</v>
      </c>
      <c r="D5039" s="1" t="s">
        <v>248</v>
      </c>
      <c r="E5039" s="1" t="s">
        <v>33</v>
      </c>
      <c r="F5039" s="1" t="s">
        <v>199</v>
      </c>
      <c r="G5039" s="5">
        <v>440.54</v>
      </c>
    </row>
    <row r="5040" spans="1:7" x14ac:dyDescent="0.2">
      <c r="A5040" s="3">
        <v>120</v>
      </c>
      <c r="B5040" s="2">
        <v>52864.800000000003</v>
      </c>
      <c r="C5040" s="38">
        <v>44978</v>
      </c>
      <c r="D5040" s="1" t="s">
        <v>248</v>
      </c>
      <c r="E5040" s="1" t="s">
        <v>33</v>
      </c>
      <c r="F5040" s="1" t="s">
        <v>199</v>
      </c>
      <c r="G5040" s="5">
        <v>440.54</v>
      </c>
    </row>
    <row r="5041" spans="1:7" x14ac:dyDescent="0.2">
      <c r="A5041" s="3">
        <v>120</v>
      </c>
      <c r="B5041" s="2">
        <v>52864.800000000003</v>
      </c>
      <c r="C5041" s="38">
        <v>44978</v>
      </c>
      <c r="D5041" s="1" t="s">
        <v>248</v>
      </c>
      <c r="E5041" s="1" t="s">
        <v>33</v>
      </c>
      <c r="F5041" s="1" t="s">
        <v>199</v>
      </c>
      <c r="G5041" s="5">
        <v>440.54</v>
      </c>
    </row>
    <row r="5042" spans="1:7" x14ac:dyDescent="0.2">
      <c r="A5042" s="3">
        <v>120</v>
      </c>
      <c r="B5042" s="2">
        <v>52864.800000000003</v>
      </c>
      <c r="C5042" s="38">
        <v>44978</v>
      </c>
      <c r="D5042" s="1" t="s">
        <v>248</v>
      </c>
      <c r="E5042" s="1" t="s">
        <v>33</v>
      </c>
      <c r="F5042" s="1" t="s">
        <v>199</v>
      </c>
      <c r="G5042" s="5">
        <v>440.54</v>
      </c>
    </row>
    <row r="5043" spans="1:7" x14ac:dyDescent="0.2">
      <c r="A5043" s="3">
        <v>120</v>
      </c>
      <c r="B5043" s="2">
        <v>52864.800000000003</v>
      </c>
      <c r="C5043" s="38">
        <v>44978</v>
      </c>
      <c r="D5043" s="1" t="s">
        <v>248</v>
      </c>
      <c r="E5043" s="1" t="s">
        <v>33</v>
      </c>
      <c r="F5043" s="1" t="s">
        <v>199</v>
      </c>
      <c r="G5043" s="5">
        <v>440.54</v>
      </c>
    </row>
    <row r="5044" spans="1:7" x14ac:dyDescent="0.2">
      <c r="A5044" s="3">
        <v>120</v>
      </c>
      <c r="B5044" s="2">
        <v>52864.800000000003</v>
      </c>
      <c r="C5044" s="38">
        <v>44978</v>
      </c>
      <c r="D5044" s="1" t="s">
        <v>248</v>
      </c>
      <c r="E5044" s="1" t="s">
        <v>33</v>
      </c>
      <c r="F5044" s="1" t="s">
        <v>199</v>
      </c>
      <c r="G5044" s="5">
        <v>440.54</v>
      </c>
    </row>
    <row r="5045" spans="1:7" x14ac:dyDescent="0.2">
      <c r="A5045" s="3">
        <v>120</v>
      </c>
      <c r="B5045" s="2">
        <v>52864.800000000003</v>
      </c>
      <c r="C5045" s="38">
        <v>44978</v>
      </c>
      <c r="D5045" s="1" t="s">
        <v>248</v>
      </c>
      <c r="E5045" s="1" t="s">
        <v>33</v>
      </c>
      <c r="F5045" s="1" t="s">
        <v>199</v>
      </c>
      <c r="G5045" s="5">
        <v>440.54</v>
      </c>
    </row>
    <row r="5046" spans="1:7" x14ac:dyDescent="0.2">
      <c r="A5046" s="3">
        <v>120</v>
      </c>
      <c r="B5046" s="2">
        <v>52864.800000000003</v>
      </c>
      <c r="C5046" s="38">
        <v>44981</v>
      </c>
      <c r="D5046" s="1" t="s">
        <v>248</v>
      </c>
      <c r="E5046" s="1" t="s">
        <v>33</v>
      </c>
      <c r="F5046" s="1" t="s">
        <v>199</v>
      </c>
      <c r="G5046" s="5">
        <v>440.54</v>
      </c>
    </row>
    <row r="5047" spans="1:7" x14ac:dyDescent="0.2">
      <c r="A5047" s="3">
        <v>120</v>
      </c>
      <c r="B5047" s="2">
        <v>52864.800000000003</v>
      </c>
      <c r="C5047" s="38">
        <v>44981</v>
      </c>
      <c r="D5047" s="1" t="s">
        <v>248</v>
      </c>
      <c r="E5047" s="1" t="s">
        <v>33</v>
      </c>
      <c r="F5047" s="1" t="s">
        <v>199</v>
      </c>
      <c r="G5047" s="5">
        <v>440.54</v>
      </c>
    </row>
    <row r="5048" spans="1:7" x14ac:dyDescent="0.2">
      <c r="A5048" s="3">
        <v>120</v>
      </c>
      <c r="B5048" s="2">
        <v>52674</v>
      </c>
      <c r="C5048" s="38">
        <v>45077</v>
      </c>
      <c r="D5048" s="1" t="s">
        <v>248</v>
      </c>
      <c r="E5048" s="1" t="s">
        <v>33</v>
      </c>
      <c r="F5048" s="1" t="s">
        <v>199</v>
      </c>
      <c r="G5048" s="5">
        <v>438.95</v>
      </c>
    </row>
    <row r="5049" spans="1:7" x14ac:dyDescent="0.2">
      <c r="A5049" s="3">
        <v>120</v>
      </c>
      <c r="B5049" s="2">
        <v>52674</v>
      </c>
      <c r="C5049" s="38">
        <v>45077</v>
      </c>
      <c r="D5049" s="1" t="s">
        <v>248</v>
      </c>
      <c r="E5049" s="1" t="s">
        <v>33</v>
      </c>
      <c r="F5049" s="1" t="s">
        <v>199</v>
      </c>
      <c r="G5049" s="5">
        <v>438.95</v>
      </c>
    </row>
    <row r="5050" spans="1:7" x14ac:dyDescent="0.2">
      <c r="A5050" s="3">
        <v>120</v>
      </c>
      <c r="B5050" s="2">
        <v>52674</v>
      </c>
      <c r="C5050" s="38">
        <v>45077</v>
      </c>
      <c r="D5050" s="1" t="s">
        <v>248</v>
      </c>
      <c r="E5050" s="1" t="s">
        <v>33</v>
      </c>
      <c r="F5050" s="1" t="s">
        <v>199</v>
      </c>
      <c r="G5050" s="5">
        <v>438.95</v>
      </c>
    </row>
    <row r="5051" spans="1:7" x14ac:dyDescent="0.2">
      <c r="A5051" s="3">
        <v>120</v>
      </c>
      <c r="B5051" s="2">
        <v>52674</v>
      </c>
      <c r="C5051" s="38">
        <v>45077</v>
      </c>
      <c r="D5051" s="1" t="s">
        <v>248</v>
      </c>
      <c r="E5051" s="1" t="s">
        <v>33</v>
      </c>
      <c r="F5051" s="1" t="s">
        <v>199</v>
      </c>
      <c r="G5051" s="5">
        <v>438.95</v>
      </c>
    </row>
    <row r="5052" spans="1:7" x14ac:dyDescent="0.2">
      <c r="A5052" s="3">
        <v>120</v>
      </c>
      <c r="B5052" s="2">
        <v>52674</v>
      </c>
      <c r="C5052" s="38">
        <v>45077</v>
      </c>
      <c r="D5052" s="1" t="s">
        <v>248</v>
      </c>
      <c r="E5052" s="1" t="s">
        <v>33</v>
      </c>
      <c r="F5052" s="1" t="s">
        <v>199</v>
      </c>
      <c r="G5052" s="5">
        <v>438.95</v>
      </c>
    </row>
    <row r="5053" spans="1:7" x14ac:dyDescent="0.2">
      <c r="A5053" s="3">
        <v>120</v>
      </c>
      <c r="B5053" s="2">
        <v>52864.800000000003</v>
      </c>
      <c r="C5053" s="38">
        <v>44932</v>
      </c>
      <c r="D5053" s="1" t="s">
        <v>248</v>
      </c>
      <c r="E5053" s="1" t="s">
        <v>33</v>
      </c>
      <c r="F5053" s="1" t="s">
        <v>199</v>
      </c>
      <c r="G5053" s="5">
        <v>440.54</v>
      </c>
    </row>
    <row r="5054" spans="1:7" x14ac:dyDescent="0.2">
      <c r="A5054" s="3">
        <v>120</v>
      </c>
      <c r="B5054" s="2">
        <v>52864.800000000003</v>
      </c>
      <c r="C5054" s="38">
        <v>44932</v>
      </c>
      <c r="D5054" s="1" t="s">
        <v>248</v>
      </c>
      <c r="E5054" s="1" t="s">
        <v>33</v>
      </c>
      <c r="F5054" s="1" t="s">
        <v>199</v>
      </c>
      <c r="G5054" s="5">
        <v>440.54</v>
      </c>
    </row>
    <row r="5055" spans="1:7" x14ac:dyDescent="0.2">
      <c r="A5055" s="3">
        <v>120</v>
      </c>
      <c r="B5055" s="2">
        <v>52674</v>
      </c>
      <c r="C5055" s="38">
        <v>45077</v>
      </c>
      <c r="D5055" s="1" t="s">
        <v>248</v>
      </c>
      <c r="E5055" s="1" t="s">
        <v>33</v>
      </c>
      <c r="F5055" s="1" t="s">
        <v>199</v>
      </c>
      <c r="G5055" s="5">
        <v>438.95</v>
      </c>
    </row>
    <row r="5056" spans="1:7" x14ac:dyDescent="0.2">
      <c r="A5056" s="3">
        <v>120</v>
      </c>
      <c r="B5056" s="2">
        <v>52674</v>
      </c>
      <c r="C5056" s="38">
        <v>45077</v>
      </c>
      <c r="D5056" s="1" t="s">
        <v>248</v>
      </c>
      <c r="E5056" s="1" t="s">
        <v>33</v>
      </c>
      <c r="F5056" s="1" t="s">
        <v>199</v>
      </c>
      <c r="G5056" s="5">
        <v>438.95</v>
      </c>
    </row>
    <row r="5057" spans="1:7" x14ac:dyDescent="0.2">
      <c r="A5057" s="3">
        <v>120</v>
      </c>
      <c r="B5057" s="2">
        <v>52674</v>
      </c>
      <c r="C5057" s="38">
        <v>45077</v>
      </c>
      <c r="D5057" s="1" t="s">
        <v>248</v>
      </c>
      <c r="E5057" s="1" t="s">
        <v>33</v>
      </c>
      <c r="F5057" s="1" t="s">
        <v>199</v>
      </c>
      <c r="G5057" s="5">
        <v>438.95</v>
      </c>
    </row>
    <row r="5058" spans="1:7" x14ac:dyDescent="0.2">
      <c r="A5058" s="3">
        <v>120</v>
      </c>
      <c r="B5058" s="2">
        <v>52674</v>
      </c>
      <c r="C5058" s="38">
        <v>45077</v>
      </c>
      <c r="D5058" s="1" t="s">
        <v>248</v>
      </c>
      <c r="E5058" s="1" t="s">
        <v>33</v>
      </c>
      <c r="F5058" s="1" t="s">
        <v>199</v>
      </c>
      <c r="G5058" s="5">
        <v>438.95</v>
      </c>
    </row>
    <row r="5059" spans="1:7" x14ac:dyDescent="0.2">
      <c r="A5059" s="3">
        <v>120</v>
      </c>
      <c r="B5059" s="2">
        <v>52674</v>
      </c>
      <c r="C5059" s="38">
        <v>45077</v>
      </c>
      <c r="D5059" s="1" t="s">
        <v>248</v>
      </c>
      <c r="E5059" s="1" t="s">
        <v>33</v>
      </c>
      <c r="F5059" s="1" t="s">
        <v>199</v>
      </c>
      <c r="G5059" s="5">
        <v>438.95</v>
      </c>
    </row>
    <row r="5060" spans="1:7" x14ac:dyDescent="0.2">
      <c r="A5060" s="3">
        <v>120</v>
      </c>
      <c r="B5060" s="2">
        <v>52674</v>
      </c>
      <c r="C5060" s="38">
        <v>45082</v>
      </c>
      <c r="D5060" s="1" t="s">
        <v>248</v>
      </c>
      <c r="E5060" s="1" t="s">
        <v>33</v>
      </c>
      <c r="F5060" s="1" t="s">
        <v>199</v>
      </c>
      <c r="G5060" s="5">
        <v>438.95</v>
      </c>
    </row>
    <row r="5061" spans="1:7" x14ac:dyDescent="0.2">
      <c r="A5061" s="3">
        <v>120</v>
      </c>
      <c r="B5061" s="2">
        <v>52674</v>
      </c>
      <c r="C5061" s="38">
        <v>45082</v>
      </c>
      <c r="D5061" s="1" t="s">
        <v>248</v>
      </c>
      <c r="E5061" s="1" t="s">
        <v>33</v>
      </c>
      <c r="F5061" s="1" t="s">
        <v>199</v>
      </c>
      <c r="G5061" s="5">
        <v>438.95</v>
      </c>
    </row>
    <row r="5062" spans="1:7" x14ac:dyDescent="0.2">
      <c r="A5062" s="3">
        <v>120</v>
      </c>
      <c r="B5062" s="2">
        <v>55755.6</v>
      </c>
      <c r="C5062" s="38">
        <v>44950</v>
      </c>
      <c r="D5062" s="1" t="s">
        <v>248</v>
      </c>
      <c r="E5062" s="1" t="s">
        <v>33</v>
      </c>
      <c r="F5062" s="1" t="s">
        <v>199</v>
      </c>
      <c r="G5062" s="5">
        <v>464.63</v>
      </c>
    </row>
    <row r="5063" spans="1:7" x14ac:dyDescent="0.2">
      <c r="A5063" s="3">
        <v>120</v>
      </c>
      <c r="B5063" s="2">
        <v>55755.6</v>
      </c>
      <c r="C5063" s="38">
        <v>44950</v>
      </c>
      <c r="D5063" s="1" t="s">
        <v>248</v>
      </c>
      <c r="E5063" s="1" t="s">
        <v>33</v>
      </c>
      <c r="F5063" s="1" t="s">
        <v>199</v>
      </c>
      <c r="G5063" s="5">
        <v>464.63</v>
      </c>
    </row>
    <row r="5064" spans="1:7" x14ac:dyDescent="0.2">
      <c r="A5064" s="3">
        <v>120</v>
      </c>
      <c r="B5064" s="2">
        <v>55755.6</v>
      </c>
      <c r="C5064" s="38">
        <v>44950</v>
      </c>
      <c r="D5064" s="1" t="s">
        <v>248</v>
      </c>
      <c r="E5064" s="1" t="s">
        <v>33</v>
      </c>
      <c r="F5064" s="1" t="s">
        <v>199</v>
      </c>
      <c r="G5064" s="5">
        <v>464.63</v>
      </c>
    </row>
    <row r="5065" spans="1:7" x14ac:dyDescent="0.2">
      <c r="A5065" s="3">
        <v>120</v>
      </c>
      <c r="B5065" s="2">
        <v>55755.6</v>
      </c>
      <c r="C5065" s="38">
        <v>44950</v>
      </c>
      <c r="D5065" s="1" t="s">
        <v>248</v>
      </c>
      <c r="E5065" s="1" t="s">
        <v>33</v>
      </c>
      <c r="F5065" s="1" t="s">
        <v>199</v>
      </c>
      <c r="G5065" s="5">
        <v>464.63</v>
      </c>
    </row>
    <row r="5066" spans="1:7" x14ac:dyDescent="0.2">
      <c r="A5066" s="3">
        <v>120</v>
      </c>
      <c r="B5066" s="2">
        <v>55755.6</v>
      </c>
      <c r="C5066" s="38">
        <v>44950</v>
      </c>
      <c r="D5066" s="1" t="s">
        <v>248</v>
      </c>
      <c r="E5066" s="1" t="s">
        <v>33</v>
      </c>
      <c r="F5066" s="1" t="s">
        <v>199</v>
      </c>
      <c r="G5066" s="5">
        <v>464.63</v>
      </c>
    </row>
    <row r="5067" spans="1:7" x14ac:dyDescent="0.2">
      <c r="A5067" s="3">
        <v>120</v>
      </c>
      <c r="B5067" s="2">
        <v>55755.6</v>
      </c>
      <c r="C5067" s="38">
        <v>44950</v>
      </c>
      <c r="D5067" s="1" t="s">
        <v>248</v>
      </c>
      <c r="E5067" s="1" t="s">
        <v>33</v>
      </c>
      <c r="F5067" s="1" t="s">
        <v>199</v>
      </c>
      <c r="G5067" s="5">
        <v>464.63</v>
      </c>
    </row>
    <row r="5068" spans="1:7" x14ac:dyDescent="0.2">
      <c r="A5068" s="3">
        <v>120</v>
      </c>
      <c r="B5068" s="2">
        <v>55755.6</v>
      </c>
      <c r="C5068" s="38">
        <v>44950</v>
      </c>
      <c r="D5068" s="1" t="s">
        <v>248</v>
      </c>
      <c r="E5068" s="1" t="s">
        <v>33</v>
      </c>
      <c r="F5068" s="1" t="s">
        <v>199</v>
      </c>
      <c r="G5068" s="5">
        <v>464.63</v>
      </c>
    </row>
    <row r="5069" spans="1:7" x14ac:dyDescent="0.2">
      <c r="A5069" s="3">
        <v>120</v>
      </c>
      <c r="B5069" s="2">
        <v>55755.6</v>
      </c>
      <c r="C5069" s="38">
        <v>44950</v>
      </c>
      <c r="D5069" s="1" t="s">
        <v>248</v>
      </c>
      <c r="E5069" s="1" t="s">
        <v>33</v>
      </c>
      <c r="F5069" s="1" t="s">
        <v>199</v>
      </c>
      <c r="G5069" s="5">
        <v>464.63</v>
      </c>
    </row>
    <row r="5070" spans="1:7" x14ac:dyDescent="0.2">
      <c r="A5070" s="3">
        <v>120</v>
      </c>
      <c r="B5070" s="2">
        <v>52674</v>
      </c>
      <c r="C5070" s="38">
        <v>45061</v>
      </c>
      <c r="D5070" s="1" t="s">
        <v>248</v>
      </c>
      <c r="E5070" s="1" t="s">
        <v>33</v>
      </c>
      <c r="F5070" s="1" t="s">
        <v>199</v>
      </c>
      <c r="G5070" s="5">
        <v>438.95</v>
      </c>
    </row>
    <row r="5071" spans="1:7" x14ac:dyDescent="0.2">
      <c r="A5071" s="3">
        <v>120</v>
      </c>
      <c r="B5071" s="2">
        <v>52674</v>
      </c>
      <c r="C5071" s="38">
        <v>45061</v>
      </c>
      <c r="D5071" s="1" t="s">
        <v>248</v>
      </c>
      <c r="E5071" s="1" t="s">
        <v>33</v>
      </c>
      <c r="F5071" s="1" t="s">
        <v>199</v>
      </c>
      <c r="G5071" s="5">
        <v>438.95</v>
      </c>
    </row>
    <row r="5072" spans="1:7" x14ac:dyDescent="0.2">
      <c r="A5072" s="3">
        <v>120</v>
      </c>
      <c r="B5072" s="2">
        <v>52674</v>
      </c>
      <c r="C5072" s="38">
        <v>45061</v>
      </c>
      <c r="D5072" s="1" t="s">
        <v>248</v>
      </c>
      <c r="E5072" s="1" t="s">
        <v>33</v>
      </c>
      <c r="F5072" s="1" t="s">
        <v>199</v>
      </c>
      <c r="G5072" s="5">
        <v>438.95</v>
      </c>
    </row>
    <row r="5073" spans="1:7" x14ac:dyDescent="0.2">
      <c r="A5073" s="3">
        <v>120</v>
      </c>
      <c r="B5073" s="2">
        <v>55755.6</v>
      </c>
      <c r="C5073" s="38">
        <v>44978</v>
      </c>
      <c r="D5073" s="1" t="s">
        <v>248</v>
      </c>
      <c r="E5073" s="1" t="s">
        <v>33</v>
      </c>
      <c r="F5073" s="1" t="s">
        <v>199</v>
      </c>
      <c r="G5073" s="5">
        <v>464.63</v>
      </c>
    </row>
    <row r="5074" spans="1:7" x14ac:dyDescent="0.2">
      <c r="A5074" s="3">
        <v>120</v>
      </c>
      <c r="B5074" s="2">
        <v>55755.6</v>
      </c>
      <c r="C5074" s="38">
        <v>44978</v>
      </c>
      <c r="D5074" s="1" t="s">
        <v>248</v>
      </c>
      <c r="E5074" s="1" t="s">
        <v>33</v>
      </c>
      <c r="F5074" s="1" t="s">
        <v>199</v>
      </c>
      <c r="G5074" s="5">
        <v>464.63</v>
      </c>
    </row>
    <row r="5075" spans="1:7" x14ac:dyDescent="0.2">
      <c r="A5075" s="3">
        <v>120</v>
      </c>
      <c r="B5075" s="2">
        <v>52674</v>
      </c>
      <c r="C5075" s="38">
        <v>45072</v>
      </c>
      <c r="D5075" s="1" t="s">
        <v>248</v>
      </c>
      <c r="E5075" s="1" t="s">
        <v>33</v>
      </c>
      <c r="F5075" s="1" t="s">
        <v>199</v>
      </c>
      <c r="G5075" s="5">
        <v>438.95</v>
      </c>
    </row>
    <row r="5076" spans="1:7" x14ac:dyDescent="0.2">
      <c r="A5076" s="3">
        <v>120</v>
      </c>
      <c r="B5076" s="2">
        <v>55755.6</v>
      </c>
      <c r="C5076" s="38">
        <v>44985</v>
      </c>
      <c r="D5076" s="1" t="s">
        <v>248</v>
      </c>
      <c r="E5076" s="1" t="s">
        <v>33</v>
      </c>
      <c r="F5076" s="1" t="s">
        <v>199</v>
      </c>
      <c r="G5076" s="5">
        <v>464.63</v>
      </c>
    </row>
    <row r="5077" spans="1:7" x14ac:dyDescent="0.2">
      <c r="A5077" s="3">
        <v>120</v>
      </c>
      <c r="B5077" s="2">
        <v>52674</v>
      </c>
      <c r="C5077" s="38">
        <v>44985</v>
      </c>
      <c r="D5077" s="1" t="s">
        <v>248</v>
      </c>
      <c r="E5077" s="1" t="s">
        <v>33</v>
      </c>
      <c r="F5077" s="1" t="s">
        <v>199</v>
      </c>
      <c r="G5077" s="5">
        <v>438.95</v>
      </c>
    </row>
    <row r="5078" spans="1:7" x14ac:dyDescent="0.2">
      <c r="A5078" s="3">
        <v>120</v>
      </c>
      <c r="B5078" s="2">
        <v>52674</v>
      </c>
      <c r="C5078" s="38">
        <v>45072</v>
      </c>
      <c r="D5078" s="1" t="s">
        <v>248</v>
      </c>
      <c r="E5078" s="1" t="s">
        <v>33</v>
      </c>
      <c r="F5078" s="1" t="s">
        <v>199</v>
      </c>
      <c r="G5078" s="5">
        <v>438.95</v>
      </c>
    </row>
    <row r="5079" spans="1:7" x14ac:dyDescent="0.2">
      <c r="A5079" s="3">
        <v>120</v>
      </c>
      <c r="B5079" s="2">
        <v>52674</v>
      </c>
      <c r="C5079" s="38">
        <v>45072</v>
      </c>
      <c r="D5079" s="1" t="s">
        <v>248</v>
      </c>
      <c r="E5079" s="1" t="s">
        <v>33</v>
      </c>
      <c r="F5079" s="1" t="s">
        <v>199</v>
      </c>
      <c r="G5079" s="5">
        <v>438.95</v>
      </c>
    </row>
    <row r="5080" spans="1:7" x14ac:dyDescent="0.2">
      <c r="A5080" s="3">
        <v>120</v>
      </c>
      <c r="B5080" s="2">
        <v>52674</v>
      </c>
      <c r="C5080" s="38">
        <v>45072</v>
      </c>
      <c r="D5080" s="1" t="s">
        <v>248</v>
      </c>
      <c r="E5080" s="1" t="s">
        <v>33</v>
      </c>
      <c r="F5080" s="1" t="s">
        <v>199</v>
      </c>
      <c r="G5080" s="5">
        <v>438.95</v>
      </c>
    </row>
    <row r="5081" spans="1:7" x14ac:dyDescent="0.2">
      <c r="A5081" s="3">
        <v>120</v>
      </c>
      <c r="B5081" s="2">
        <v>52674</v>
      </c>
      <c r="C5081" s="38">
        <v>45072</v>
      </c>
      <c r="D5081" s="1" t="s">
        <v>248</v>
      </c>
      <c r="E5081" s="1" t="s">
        <v>33</v>
      </c>
      <c r="F5081" s="1" t="s">
        <v>199</v>
      </c>
      <c r="G5081" s="5">
        <v>438.95</v>
      </c>
    </row>
    <row r="5082" spans="1:7" x14ac:dyDescent="0.2">
      <c r="A5082" s="3">
        <v>120</v>
      </c>
      <c r="B5082" s="2">
        <v>52674</v>
      </c>
      <c r="C5082" s="38">
        <v>45072</v>
      </c>
      <c r="D5082" s="1" t="s">
        <v>248</v>
      </c>
      <c r="E5082" s="1" t="s">
        <v>33</v>
      </c>
      <c r="F5082" s="1" t="s">
        <v>199</v>
      </c>
      <c r="G5082" s="5">
        <v>438.95</v>
      </c>
    </row>
    <row r="5083" spans="1:7" x14ac:dyDescent="0.2">
      <c r="A5083" s="3">
        <v>120</v>
      </c>
      <c r="B5083" s="2">
        <v>52864.800000000003</v>
      </c>
      <c r="C5083" s="38">
        <v>44825</v>
      </c>
      <c r="D5083" s="1" t="s">
        <v>248</v>
      </c>
      <c r="E5083" s="1" t="s">
        <v>33</v>
      </c>
      <c r="F5083" s="1" t="s">
        <v>199</v>
      </c>
      <c r="G5083" s="5">
        <v>440.54</v>
      </c>
    </row>
    <row r="5084" spans="1:7" x14ac:dyDescent="0.2">
      <c r="A5084" s="3">
        <v>120</v>
      </c>
      <c r="B5084" s="2">
        <v>52864.800000000003</v>
      </c>
      <c r="C5084" s="38">
        <v>44825</v>
      </c>
      <c r="D5084" s="1" t="s">
        <v>248</v>
      </c>
      <c r="E5084" s="1" t="s">
        <v>33</v>
      </c>
      <c r="F5084" s="1" t="s">
        <v>199</v>
      </c>
      <c r="G5084" s="5">
        <v>440.54</v>
      </c>
    </row>
    <row r="5085" spans="1:7" x14ac:dyDescent="0.2">
      <c r="A5085" s="3">
        <v>120</v>
      </c>
      <c r="B5085" s="2">
        <v>52864.800000000003</v>
      </c>
      <c r="C5085" s="38">
        <v>44825</v>
      </c>
      <c r="D5085" s="1" t="s">
        <v>248</v>
      </c>
      <c r="E5085" s="1" t="s">
        <v>33</v>
      </c>
      <c r="F5085" s="1" t="s">
        <v>199</v>
      </c>
      <c r="G5085" s="5">
        <v>440.54</v>
      </c>
    </row>
    <row r="5086" spans="1:7" x14ac:dyDescent="0.2">
      <c r="A5086" s="3">
        <v>120</v>
      </c>
      <c r="B5086" s="2">
        <v>52864.800000000003</v>
      </c>
      <c r="C5086" s="38">
        <v>44825</v>
      </c>
      <c r="D5086" s="1" t="s">
        <v>248</v>
      </c>
      <c r="E5086" s="1" t="s">
        <v>33</v>
      </c>
      <c r="F5086" s="1" t="s">
        <v>199</v>
      </c>
      <c r="G5086" s="5">
        <v>440.54</v>
      </c>
    </row>
    <row r="5087" spans="1:7" x14ac:dyDescent="0.2">
      <c r="A5087" s="3">
        <v>120</v>
      </c>
      <c r="B5087" s="2">
        <v>52864.800000000003</v>
      </c>
      <c r="C5087" s="38">
        <v>44825</v>
      </c>
      <c r="D5087" s="1" t="s">
        <v>248</v>
      </c>
      <c r="E5087" s="1" t="s">
        <v>33</v>
      </c>
      <c r="F5087" s="1" t="s">
        <v>199</v>
      </c>
      <c r="G5087" s="5">
        <v>440.54</v>
      </c>
    </row>
    <row r="5088" spans="1:7" x14ac:dyDescent="0.2">
      <c r="A5088" s="3">
        <v>120</v>
      </c>
      <c r="B5088" s="2">
        <v>52864.800000000003</v>
      </c>
      <c r="C5088" s="38">
        <v>44826</v>
      </c>
      <c r="D5088" s="1" t="s">
        <v>248</v>
      </c>
      <c r="E5088" s="1" t="s">
        <v>33</v>
      </c>
      <c r="F5088" s="1" t="s">
        <v>199</v>
      </c>
      <c r="G5088" s="5">
        <v>440.54</v>
      </c>
    </row>
    <row r="5089" spans="1:7" x14ac:dyDescent="0.2">
      <c r="A5089" s="3">
        <v>120</v>
      </c>
      <c r="B5089" s="2">
        <v>52864.800000000003</v>
      </c>
      <c r="C5089" s="38">
        <v>44826</v>
      </c>
      <c r="D5089" s="1" t="s">
        <v>248</v>
      </c>
      <c r="E5089" s="1" t="s">
        <v>33</v>
      </c>
      <c r="F5089" s="1" t="s">
        <v>199</v>
      </c>
      <c r="G5089" s="5">
        <v>440.54</v>
      </c>
    </row>
    <row r="5090" spans="1:7" x14ac:dyDescent="0.2">
      <c r="A5090" s="3">
        <v>120</v>
      </c>
      <c r="B5090" s="2">
        <v>52864.800000000003</v>
      </c>
      <c r="C5090" s="38">
        <v>44826</v>
      </c>
      <c r="D5090" s="1" t="s">
        <v>248</v>
      </c>
      <c r="E5090" s="1" t="s">
        <v>33</v>
      </c>
      <c r="F5090" s="1" t="s">
        <v>199</v>
      </c>
      <c r="G5090" s="5">
        <v>440.54</v>
      </c>
    </row>
    <row r="5091" spans="1:7" x14ac:dyDescent="0.2">
      <c r="A5091" s="3">
        <v>120</v>
      </c>
      <c r="B5091" s="2">
        <v>52864.800000000003</v>
      </c>
      <c r="C5091" s="38">
        <v>44826</v>
      </c>
      <c r="D5091" s="1" t="s">
        <v>248</v>
      </c>
      <c r="E5091" s="1" t="s">
        <v>33</v>
      </c>
      <c r="F5091" s="1" t="s">
        <v>199</v>
      </c>
      <c r="G5091" s="5">
        <v>440.54</v>
      </c>
    </row>
    <row r="5092" spans="1:7" x14ac:dyDescent="0.2">
      <c r="A5092" s="3">
        <v>120</v>
      </c>
      <c r="B5092" s="2">
        <v>52864.800000000003</v>
      </c>
      <c r="C5092" s="38">
        <v>44826</v>
      </c>
      <c r="D5092" s="1" t="s">
        <v>248</v>
      </c>
      <c r="E5092" s="1" t="s">
        <v>33</v>
      </c>
      <c r="F5092" s="1" t="s">
        <v>199</v>
      </c>
      <c r="G5092" s="5">
        <v>440.54</v>
      </c>
    </row>
    <row r="5093" spans="1:7" x14ac:dyDescent="0.2">
      <c r="A5093" s="3">
        <v>120</v>
      </c>
      <c r="B5093" s="2">
        <v>52864.800000000003</v>
      </c>
      <c r="C5093" s="38">
        <v>44826</v>
      </c>
      <c r="D5093" s="1" t="s">
        <v>248</v>
      </c>
      <c r="E5093" s="1" t="s">
        <v>33</v>
      </c>
      <c r="F5093" s="1" t="s">
        <v>199</v>
      </c>
      <c r="G5093" s="5">
        <v>440.54</v>
      </c>
    </row>
    <row r="5094" spans="1:7" x14ac:dyDescent="0.2">
      <c r="A5094" s="3">
        <v>120</v>
      </c>
      <c r="B5094" s="2">
        <v>52864.800000000003</v>
      </c>
      <c r="C5094" s="38">
        <v>44826</v>
      </c>
      <c r="D5094" s="1" t="s">
        <v>248</v>
      </c>
      <c r="E5094" s="1" t="s">
        <v>33</v>
      </c>
      <c r="F5094" s="1" t="s">
        <v>199</v>
      </c>
      <c r="G5094" s="5">
        <v>440.54</v>
      </c>
    </row>
    <row r="5095" spans="1:7" x14ac:dyDescent="0.2">
      <c r="A5095" s="3">
        <v>120</v>
      </c>
      <c r="B5095" s="2">
        <v>52864.800000000003</v>
      </c>
      <c r="C5095" s="38">
        <v>44826</v>
      </c>
      <c r="D5095" s="1" t="s">
        <v>248</v>
      </c>
      <c r="E5095" s="1" t="s">
        <v>33</v>
      </c>
      <c r="F5095" s="1" t="s">
        <v>199</v>
      </c>
      <c r="G5095" s="5">
        <v>440.54</v>
      </c>
    </row>
    <row r="5096" spans="1:7" x14ac:dyDescent="0.2">
      <c r="A5096" s="3">
        <v>120</v>
      </c>
      <c r="B5096" s="2">
        <v>52864.800000000003</v>
      </c>
      <c r="C5096" s="38">
        <v>44826</v>
      </c>
      <c r="D5096" s="1" t="s">
        <v>248</v>
      </c>
      <c r="E5096" s="1" t="s">
        <v>33</v>
      </c>
      <c r="F5096" s="1" t="s">
        <v>199</v>
      </c>
      <c r="G5096" s="5">
        <v>440.54</v>
      </c>
    </row>
    <row r="5097" spans="1:7" x14ac:dyDescent="0.2">
      <c r="A5097" s="3">
        <v>120</v>
      </c>
      <c r="B5097" s="2">
        <v>52864.800000000003</v>
      </c>
      <c r="C5097" s="38">
        <v>44826</v>
      </c>
      <c r="D5097" s="1" t="s">
        <v>248</v>
      </c>
      <c r="E5097" s="1" t="s">
        <v>33</v>
      </c>
      <c r="F5097" s="1" t="s">
        <v>199</v>
      </c>
      <c r="G5097" s="5">
        <v>440.54</v>
      </c>
    </row>
    <row r="5098" spans="1:7" x14ac:dyDescent="0.2">
      <c r="A5098" s="3">
        <v>120</v>
      </c>
      <c r="B5098" s="2">
        <v>52864.800000000003</v>
      </c>
      <c r="C5098" s="38">
        <v>44866</v>
      </c>
      <c r="D5098" s="1" t="s">
        <v>248</v>
      </c>
      <c r="E5098" s="1" t="s">
        <v>33</v>
      </c>
      <c r="F5098" s="1" t="s">
        <v>199</v>
      </c>
      <c r="G5098" s="5">
        <v>440.54</v>
      </c>
    </row>
    <row r="5099" spans="1:7" x14ac:dyDescent="0.2">
      <c r="A5099" s="3">
        <v>120</v>
      </c>
      <c r="B5099" s="2">
        <v>52864.800000000003</v>
      </c>
      <c r="C5099" s="38">
        <v>44866</v>
      </c>
      <c r="D5099" s="1" t="s">
        <v>248</v>
      </c>
      <c r="E5099" s="1" t="s">
        <v>33</v>
      </c>
      <c r="F5099" s="1" t="s">
        <v>199</v>
      </c>
      <c r="G5099" s="5">
        <v>440.54</v>
      </c>
    </row>
    <row r="5100" spans="1:7" x14ac:dyDescent="0.2">
      <c r="A5100" s="3">
        <v>120</v>
      </c>
      <c r="B5100" s="2">
        <v>52864.800000000003</v>
      </c>
      <c r="C5100" s="38">
        <v>44866</v>
      </c>
      <c r="D5100" s="1" t="s">
        <v>248</v>
      </c>
      <c r="E5100" s="1" t="s">
        <v>33</v>
      </c>
      <c r="F5100" s="1" t="s">
        <v>199</v>
      </c>
      <c r="G5100" s="5">
        <v>440.54</v>
      </c>
    </row>
    <row r="5101" spans="1:7" x14ac:dyDescent="0.2">
      <c r="A5101" s="3">
        <v>120</v>
      </c>
      <c r="B5101" s="2">
        <v>52864.800000000003</v>
      </c>
      <c r="C5101" s="38">
        <v>44866</v>
      </c>
      <c r="D5101" s="1" t="s">
        <v>248</v>
      </c>
      <c r="E5101" s="1" t="s">
        <v>33</v>
      </c>
      <c r="F5101" s="1" t="s">
        <v>199</v>
      </c>
      <c r="G5101" s="5">
        <v>440.54</v>
      </c>
    </row>
    <row r="5102" spans="1:7" x14ac:dyDescent="0.2">
      <c r="A5102" s="3">
        <v>120</v>
      </c>
      <c r="B5102" s="2">
        <v>52864.800000000003</v>
      </c>
      <c r="C5102" s="38">
        <v>44867</v>
      </c>
      <c r="D5102" s="1" t="s">
        <v>248</v>
      </c>
      <c r="E5102" s="1" t="s">
        <v>33</v>
      </c>
      <c r="F5102" s="1" t="s">
        <v>199</v>
      </c>
      <c r="G5102" s="5">
        <v>440.54</v>
      </c>
    </row>
    <row r="5103" spans="1:7" x14ac:dyDescent="0.2">
      <c r="A5103" s="3">
        <v>120</v>
      </c>
      <c r="B5103" s="2">
        <v>52864.800000000003</v>
      </c>
      <c r="C5103" s="38">
        <v>44868</v>
      </c>
      <c r="D5103" s="1" t="s">
        <v>248</v>
      </c>
      <c r="E5103" s="1" t="s">
        <v>33</v>
      </c>
      <c r="F5103" s="1" t="s">
        <v>199</v>
      </c>
      <c r="G5103" s="5">
        <v>440.54</v>
      </c>
    </row>
    <row r="5104" spans="1:7" x14ac:dyDescent="0.2">
      <c r="A5104" s="3">
        <v>120</v>
      </c>
      <c r="B5104" s="2">
        <v>52864.800000000003</v>
      </c>
      <c r="C5104" s="38">
        <v>44868</v>
      </c>
      <c r="D5104" s="1" t="s">
        <v>248</v>
      </c>
      <c r="E5104" s="1" t="s">
        <v>33</v>
      </c>
      <c r="F5104" s="1" t="s">
        <v>199</v>
      </c>
      <c r="G5104" s="5">
        <v>440.54</v>
      </c>
    </row>
    <row r="5105" spans="1:7" x14ac:dyDescent="0.2">
      <c r="A5105" s="3">
        <v>120</v>
      </c>
      <c r="B5105" s="2">
        <v>52864.800000000003</v>
      </c>
      <c r="C5105" s="38">
        <v>44868</v>
      </c>
      <c r="D5105" s="1" t="s">
        <v>248</v>
      </c>
      <c r="E5105" s="1" t="s">
        <v>33</v>
      </c>
      <c r="F5105" s="1" t="s">
        <v>199</v>
      </c>
      <c r="G5105" s="5">
        <v>440.54</v>
      </c>
    </row>
    <row r="5106" spans="1:7" x14ac:dyDescent="0.2">
      <c r="A5106" s="3">
        <v>120</v>
      </c>
      <c r="B5106" s="2">
        <v>52864.800000000003</v>
      </c>
      <c r="C5106" s="38">
        <v>44868</v>
      </c>
      <c r="D5106" s="1" t="s">
        <v>248</v>
      </c>
      <c r="E5106" s="1" t="s">
        <v>33</v>
      </c>
      <c r="F5106" s="1" t="s">
        <v>199</v>
      </c>
      <c r="G5106" s="5">
        <v>440.54</v>
      </c>
    </row>
    <row r="5107" spans="1:7" x14ac:dyDescent="0.2">
      <c r="A5107" s="3">
        <v>120</v>
      </c>
      <c r="B5107" s="2">
        <v>52864.800000000003</v>
      </c>
      <c r="C5107" s="38">
        <v>44875</v>
      </c>
      <c r="D5107" s="1" t="s">
        <v>248</v>
      </c>
      <c r="E5107" s="1" t="s">
        <v>33</v>
      </c>
      <c r="F5107" s="1" t="s">
        <v>199</v>
      </c>
      <c r="G5107" s="5">
        <v>440.54</v>
      </c>
    </row>
    <row r="5108" spans="1:7" x14ac:dyDescent="0.2">
      <c r="A5108" s="3">
        <v>120</v>
      </c>
      <c r="B5108" s="2">
        <v>52864.800000000003</v>
      </c>
      <c r="C5108" s="38">
        <v>44753</v>
      </c>
      <c r="D5108" s="1" t="s">
        <v>248</v>
      </c>
      <c r="E5108" s="1" t="s">
        <v>33</v>
      </c>
      <c r="F5108" s="1" t="s">
        <v>199</v>
      </c>
      <c r="G5108" s="5">
        <v>440.54</v>
      </c>
    </row>
    <row r="5109" spans="1:7" x14ac:dyDescent="0.2">
      <c r="A5109" s="3">
        <v>120</v>
      </c>
      <c r="B5109" s="2">
        <v>52864.800000000003</v>
      </c>
      <c r="C5109" s="38">
        <v>44753</v>
      </c>
      <c r="D5109" s="1" t="s">
        <v>248</v>
      </c>
      <c r="E5109" s="1" t="s">
        <v>33</v>
      </c>
      <c r="F5109" s="1" t="s">
        <v>199</v>
      </c>
      <c r="G5109" s="5">
        <v>440.54</v>
      </c>
    </row>
    <row r="5110" spans="1:7" x14ac:dyDescent="0.2">
      <c r="A5110" s="3">
        <v>120</v>
      </c>
      <c r="B5110" s="2">
        <v>52864.800000000003</v>
      </c>
      <c r="C5110" s="38">
        <v>44753</v>
      </c>
      <c r="D5110" s="1" t="s">
        <v>248</v>
      </c>
      <c r="E5110" s="1" t="s">
        <v>33</v>
      </c>
      <c r="F5110" s="1" t="s">
        <v>199</v>
      </c>
      <c r="G5110" s="5">
        <v>440.54</v>
      </c>
    </row>
    <row r="5111" spans="1:7" x14ac:dyDescent="0.2">
      <c r="A5111" s="3">
        <v>120</v>
      </c>
      <c r="B5111" s="2">
        <v>52864.800000000003</v>
      </c>
      <c r="C5111" s="38">
        <v>44792</v>
      </c>
      <c r="D5111" s="1" t="s">
        <v>248</v>
      </c>
      <c r="E5111" s="1" t="s">
        <v>33</v>
      </c>
      <c r="F5111" s="1" t="s">
        <v>199</v>
      </c>
      <c r="G5111" s="5">
        <v>440.54</v>
      </c>
    </row>
    <row r="5112" spans="1:7" x14ac:dyDescent="0.2">
      <c r="A5112" s="3">
        <v>120</v>
      </c>
      <c r="B5112" s="2">
        <v>52864.800000000003</v>
      </c>
      <c r="C5112" s="38">
        <v>44753</v>
      </c>
      <c r="D5112" s="1" t="s">
        <v>248</v>
      </c>
      <c r="E5112" s="1" t="s">
        <v>33</v>
      </c>
      <c r="F5112" s="1" t="s">
        <v>199</v>
      </c>
      <c r="G5112" s="5">
        <v>440.54</v>
      </c>
    </row>
    <row r="5113" spans="1:7" x14ac:dyDescent="0.2">
      <c r="A5113" s="3">
        <v>120</v>
      </c>
      <c r="B5113" s="2">
        <v>52864.800000000003</v>
      </c>
      <c r="C5113" s="38">
        <v>44854</v>
      </c>
      <c r="D5113" s="1" t="s">
        <v>248</v>
      </c>
      <c r="E5113" s="1" t="s">
        <v>33</v>
      </c>
      <c r="F5113" s="1" t="s">
        <v>199</v>
      </c>
      <c r="G5113" s="5">
        <v>440.54</v>
      </c>
    </row>
    <row r="5114" spans="1:7" x14ac:dyDescent="0.2">
      <c r="A5114" s="3">
        <v>120</v>
      </c>
      <c r="B5114" s="2">
        <v>52864.800000000003</v>
      </c>
      <c r="C5114" s="38">
        <v>44854</v>
      </c>
      <c r="D5114" s="1" t="s">
        <v>248</v>
      </c>
      <c r="E5114" s="1" t="s">
        <v>33</v>
      </c>
      <c r="F5114" s="1" t="s">
        <v>199</v>
      </c>
      <c r="G5114" s="5">
        <v>440.54</v>
      </c>
    </row>
    <row r="5115" spans="1:7" x14ac:dyDescent="0.2">
      <c r="A5115" s="3">
        <v>120</v>
      </c>
      <c r="B5115" s="2">
        <v>52864.800000000003</v>
      </c>
      <c r="C5115" s="38">
        <v>44854</v>
      </c>
      <c r="D5115" s="1" t="s">
        <v>248</v>
      </c>
      <c r="E5115" s="1" t="s">
        <v>33</v>
      </c>
      <c r="F5115" s="1" t="s">
        <v>199</v>
      </c>
      <c r="G5115" s="5">
        <v>440.54</v>
      </c>
    </row>
    <row r="5116" spans="1:7" x14ac:dyDescent="0.2">
      <c r="A5116" s="3">
        <v>120</v>
      </c>
      <c r="B5116" s="2">
        <v>52864.800000000003</v>
      </c>
      <c r="C5116" s="38">
        <v>44914</v>
      </c>
      <c r="D5116" s="1" t="s">
        <v>248</v>
      </c>
      <c r="E5116" s="1" t="s">
        <v>33</v>
      </c>
      <c r="F5116" s="1" t="s">
        <v>199</v>
      </c>
      <c r="G5116" s="5">
        <v>440.54</v>
      </c>
    </row>
    <row r="5117" spans="1:7" x14ac:dyDescent="0.2">
      <c r="A5117" s="3">
        <v>120</v>
      </c>
      <c r="B5117" s="2">
        <v>52674</v>
      </c>
      <c r="C5117" s="38">
        <v>45132</v>
      </c>
      <c r="D5117" s="1" t="s">
        <v>248</v>
      </c>
      <c r="E5117" s="1" t="s">
        <v>33</v>
      </c>
      <c r="F5117" s="1" t="s">
        <v>199</v>
      </c>
      <c r="G5117" s="5">
        <v>438.95</v>
      </c>
    </row>
    <row r="5118" spans="1:7" x14ac:dyDescent="0.2">
      <c r="A5118" s="3">
        <v>120</v>
      </c>
      <c r="B5118" s="2">
        <v>52674</v>
      </c>
      <c r="C5118" s="38">
        <v>45132</v>
      </c>
      <c r="D5118" s="1" t="s">
        <v>248</v>
      </c>
      <c r="E5118" s="1" t="s">
        <v>33</v>
      </c>
      <c r="F5118" s="1" t="s">
        <v>199</v>
      </c>
      <c r="G5118" s="5">
        <v>438.95</v>
      </c>
    </row>
    <row r="5119" spans="1:7" x14ac:dyDescent="0.2">
      <c r="A5119" s="3">
        <v>120</v>
      </c>
      <c r="B5119" s="2">
        <v>52674</v>
      </c>
      <c r="C5119" s="38">
        <v>45132</v>
      </c>
      <c r="D5119" s="1" t="s">
        <v>248</v>
      </c>
      <c r="E5119" s="1" t="s">
        <v>33</v>
      </c>
      <c r="F5119" s="1" t="s">
        <v>199</v>
      </c>
      <c r="G5119" s="5">
        <v>438.95</v>
      </c>
    </row>
    <row r="5120" spans="1:7" x14ac:dyDescent="0.2">
      <c r="A5120" s="3">
        <v>120</v>
      </c>
      <c r="B5120" s="2">
        <v>52674</v>
      </c>
      <c r="C5120" s="38">
        <v>45132</v>
      </c>
      <c r="D5120" s="1" t="s">
        <v>248</v>
      </c>
      <c r="E5120" s="1" t="s">
        <v>33</v>
      </c>
      <c r="F5120" s="1" t="s">
        <v>199</v>
      </c>
      <c r="G5120" s="5">
        <v>438.95</v>
      </c>
    </row>
    <row r="5121" spans="1:7" x14ac:dyDescent="0.2">
      <c r="A5121" s="3">
        <v>120</v>
      </c>
      <c r="B5121" s="2">
        <v>52674</v>
      </c>
      <c r="C5121" s="38">
        <v>45132</v>
      </c>
      <c r="D5121" s="1" t="s">
        <v>248</v>
      </c>
      <c r="E5121" s="1" t="s">
        <v>33</v>
      </c>
      <c r="F5121" s="1" t="s">
        <v>199</v>
      </c>
      <c r="G5121" s="5">
        <v>438.95</v>
      </c>
    </row>
    <row r="5122" spans="1:7" x14ac:dyDescent="0.2">
      <c r="A5122" s="3">
        <v>120</v>
      </c>
      <c r="B5122" s="2">
        <v>52674</v>
      </c>
      <c r="C5122" s="38">
        <v>45132</v>
      </c>
      <c r="D5122" s="1" t="s">
        <v>248</v>
      </c>
      <c r="E5122" s="1" t="s">
        <v>33</v>
      </c>
      <c r="F5122" s="1" t="s">
        <v>199</v>
      </c>
      <c r="G5122" s="5">
        <v>438.95</v>
      </c>
    </row>
    <row r="5123" spans="1:7" x14ac:dyDescent="0.2">
      <c r="A5123" s="3">
        <v>120</v>
      </c>
      <c r="B5123" s="2">
        <v>52674</v>
      </c>
      <c r="C5123" s="38">
        <v>45132</v>
      </c>
      <c r="D5123" s="1" t="s">
        <v>248</v>
      </c>
      <c r="E5123" s="1" t="s">
        <v>33</v>
      </c>
      <c r="F5123" s="1" t="s">
        <v>199</v>
      </c>
      <c r="G5123" s="5">
        <v>438.95</v>
      </c>
    </row>
    <row r="5124" spans="1:7" x14ac:dyDescent="0.2">
      <c r="A5124" s="3">
        <v>120</v>
      </c>
      <c r="B5124" s="2">
        <v>52674</v>
      </c>
      <c r="C5124" s="38">
        <v>45132</v>
      </c>
      <c r="D5124" s="1" t="s">
        <v>248</v>
      </c>
      <c r="E5124" s="1" t="s">
        <v>33</v>
      </c>
      <c r="F5124" s="1" t="s">
        <v>199</v>
      </c>
      <c r="G5124" s="5">
        <v>438.95</v>
      </c>
    </row>
    <row r="5125" spans="1:7" x14ac:dyDescent="0.2">
      <c r="A5125" s="3">
        <v>120</v>
      </c>
      <c r="B5125" s="2">
        <v>52674</v>
      </c>
      <c r="C5125" s="38">
        <v>45132</v>
      </c>
      <c r="D5125" s="1" t="s">
        <v>248</v>
      </c>
      <c r="E5125" s="1" t="s">
        <v>33</v>
      </c>
      <c r="F5125" s="1" t="s">
        <v>199</v>
      </c>
      <c r="G5125" s="5">
        <v>438.95</v>
      </c>
    </row>
    <row r="5126" spans="1:7" x14ac:dyDescent="0.2">
      <c r="A5126" s="3">
        <v>120</v>
      </c>
      <c r="B5126" s="2">
        <v>52674</v>
      </c>
      <c r="C5126" s="38">
        <v>45132</v>
      </c>
      <c r="D5126" s="1" t="s">
        <v>248</v>
      </c>
      <c r="E5126" s="1" t="s">
        <v>33</v>
      </c>
      <c r="F5126" s="1" t="s">
        <v>199</v>
      </c>
      <c r="G5126" s="5">
        <v>438.95</v>
      </c>
    </row>
    <row r="5127" spans="1:7" x14ac:dyDescent="0.2">
      <c r="A5127" s="3">
        <v>120</v>
      </c>
      <c r="B5127" s="2">
        <v>52674</v>
      </c>
      <c r="C5127" s="38">
        <v>45132</v>
      </c>
      <c r="D5127" s="1" t="s">
        <v>248</v>
      </c>
      <c r="E5127" s="1" t="s">
        <v>33</v>
      </c>
      <c r="F5127" s="1" t="s">
        <v>199</v>
      </c>
      <c r="G5127" s="5">
        <v>438.95</v>
      </c>
    </row>
    <row r="5128" spans="1:7" x14ac:dyDescent="0.2">
      <c r="A5128" s="3">
        <v>120</v>
      </c>
      <c r="B5128" s="2">
        <v>52674</v>
      </c>
      <c r="C5128" s="38">
        <v>45132</v>
      </c>
      <c r="D5128" s="1" t="s">
        <v>248</v>
      </c>
      <c r="E5128" s="1" t="s">
        <v>33</v>
      </c>
      <c r="F5128" s="1" t="s">
        <v>199</v>
      </c>
      <c r="G5128" s="5">
        <v>438.95</v>
      </c>
    </row>
    <row r="5129" spans="1:7" x14ac:dyDescent="0.2">
      <c r="A5129" s="3">
        <v>120</v>
      </c>
      <c r="B5129" s="2">
        <v>52674</v>
      </c>
      <c r="C5129" s="38">
        <v>45132</v>
      </c>
      <c r="D5129" s="1" t="s">
        <v>248</v>
      </c>
      <c r="E5129" s="1" t="s">
        <v>33</v>
      </c>
      <c r="F5129" s="1" t="s">
        <v>199</v>
      </c>
      <c r="G5129" s="5">
        <v>438.95</v>
      </c>
    </row>
    <row r="5130" spans="1:7" x14ac:dyDescent="0.2">
      <c r="A5130" s="3">
        <v>120</v>
      </c>
      <c r="B5130" s="2">
        <v>52674</v>
      </c>
      <c r="C5130" s="38">
        <v>45132</v>
      </c>
      <c r="D5130" s="1" t="s">
        <v>248</v>
      </c>
      <c r="E5130" s="1" t="s">
        <v>33</v>
      </c>
      <c r="F5130" s="1" t="s">
        <v>199</v>
      </c>
      <c r="G5130" s="5">
        <v>438.95</v>
      </c>
    </row>
    <row r="5131" spans="1:7" x14ac:dyDescent="0.2">
      <c r="A5131" s="3">
        <v>120</v>
      </c>
      <c r="B5131" s="2">
        <v>52864.800000000003</v>
      </c>
      <c r="C5131" s="38">
        <v>44806</v>
      </c>
      <c r="D5131" s="1" t="s">
        <v>248</v>
      </c>
      <c r="E5131" s="1" t="s">
        <v>33</v>
      </c>
      <c r="F5131" s="1" t="s">
        <v>199</v>
      </c>
      <c r="G5131" s="5">
        <v>440.54</v>
      </c>
    </row>
    <row r="5132" spans="1:7" x14ac:dyDescent="0.2">
      <c r="A5132" s="3">
        <v>120</v>
      </c>
      <c r="B5132" s="2">
        <v>52864.800000000003</v>
      </c>
      <c r="C5132" s="38">
        <v>44806</v>
      </c>
      <c r="D5132" s="1" t="s">
        <v>248</v>
      </c>
      <c r="E5132" s="1" t="s">
        <v>33</v>
      </c>
      <c r="F5132" s="1" t="s">
        <v>199</v>
      </c>
      <c r="G5132" s="5">
        <v>440.54</v>
      </c>
    </row>
    <row r="5133" spans="1:7" x14ac:dyDescent="0.2">
      <c r="A5133" s="3">
        <v>120</v>
      </c>
      <c r="B5133" s="2">
        <v>52864.800000000003</v>
      </c>
      <c r="C5133" s="38">
        <v>44806</v>
      </c>
      <c r="D5133" s="1" t="s">
        <v>248</v>
      </c>
      <c r="E5133" s="1" t="s">
        <v>33</v>
      </c>
      <c r="F5133" s="1" t="s">
        <v>199</v>
      </c>
      <c r="G5133" s="5">
        <v>440.54</v>
      </c>
    </row>
    <row r="5134" spans="1:7" x14ac:dyDescent="0.2">
      <c r="A5134" s="3">
        <v>120</v>
      </c>
      <c r="B5134" s="2">
        <v>52864.800000000003</v>
      </c>
      <c r="C5134" s="38">
        <v>44806</v>
      </c>
      <c r="D5134" s="1" t="s">
        <v>248</v>
      </c>
      <c r="E5134" s="1" t="s">
        <v>33</v>
      </c>
      <c r="F5134" s="1" t="s">
        <v>199</v>
      </c>
      <c r="G5134" s="5">
        <v>440.54</v>
      </c>
    </row>
    <row r="5135" spans="1:7" x14ac:dyDescent="0.2">
      <c r="A5135" s="3">
        <v>120</v>
      </c>
      <c r="B5135" s="2">
        <v>52864.800000000003</v>
      </c>
      <c r="C5135" s="38">
        <v>44806</v>
      </c>
      <c r="D5135" s="1" t="s">
        <v>248</v>
      </c>
      <c r="E5135" s="1" t="s">
        <v>33</v>
      </c>
      <c r="F5135" s="1" t="s">
        <v>199</v>
      </c>
      <c r="G5135" s="5">
        <v>440.54</v>
      </c>
    </row>
    <row r="5136" spans="1:7" x14ac:dyDescent="0.2">
      <c r="A5136" s="3">
        <v>120</v>
      </c>
      <c r="B5136" s="2">
        <v>52864.800000000003</v>
      </c>
      <c r="C5136" s="38">
        <v>44806</v>
      </c>
      <c r="D5136" s="1" t="s">
        <v>248</v>
      </c>
      <c r="E5136" s="1" t="s">
        <v>33</v>
      </c>
      <c r="F5136" s="1" t="s">
        <v>199</v>
      </c>
      <c r="G5136" s="5">
        <v>440.54</v>
      </c>
    </row>
    <row r="5137" spans="1:7" x14ac:dyDescent="0.2">
      <c r="A5137" s="3">
        <v>120</v>
      </c>
      <c r="B5137" s="2">
        <v>52864.800000000003</v>
      </c>
      <c r="C5137" s="38">
        <v>44806</v>
      </c>
      <c r="D5137" s="1" t="s">
        <v>248</v>
      </c>
      <c r="E5137" s="1" t="s">
        <v>33</v>
      </c>
      <c r="F5137" s="1" t="s">
        <v>199</v>
      </c>
      <c r="G5137" s="5">
        <v>440.54</v>
      </c>
    </row>
    <row r="5138" spans="1:7" x14ac:dyDescent="0.2">
      <c r="A5138" s="3">
        <v>120</v>
      </c>
      <c r="B5138" s="2">
        <v>52864.800000000003</v>
      </c>
      <c r="C5138" s="38">
        <v>44806</v>
      </c>
      <c r="D5138" s="1" t="s">
        <v>248</v>
      </c>
      <c r="E5138" s="1" t="s">
        <v>33</v>
      </c>
      <c r="F5138" s="1" t="s">
        <v>199</v>
      </c>
      <c r="G5138" s="5">
        <v>440.54</v>
      </c>
    </row>
    <row r="5139" spans="1:7" x14ac:dyDescent="0.2">
      <c r="A5139" s="3">
        <v>120</v>
      </c>
      <c r="B5139" s="2">
        <v>52864.800000000003</v>
      </c>
      <c r="C5139" s="38">
        <v>44806</v>
      </c>
      <c r="D5139" s="1" t="s">
        <v>248</v>
      </c>
      <c r="E5139" s="1" t="s">
        <v>33</v>
      </c>
      <c r="F5139" s="1" t="s">
        <v>199</v>
      </c>
      <c r="G5139" s="5">
        <v>440.54</v>
      </c>
    </row>
    <row r="5140" spans="1:7" x14ac:dyDescent="0.2">
      <c r="A5140" s="3">
        <v>120</v>
      </c>
      <c r="B5140" s="2">
        <v>52864.800000000003</v>
      </c>
      <c r="C5140" s="38">
        <v>44806</v>
      </c>
      <c r="D5140" s="1" t="s">
        <v>248</v>
      </c>
      <c r="E5140" s="1" t="s">
        <v>33</v>
      </c>
      <c r="F5140" s="1" t="s">
        <v>199</v>
      </c>
      <c r="G5140" s="5">
        <v>440.54</v>
      </c>
    </row>
    <row r="5141" spans="1:7" x14ac:dyDescent="0.2">
      <c r="A5141" s="3">
        <v>70</v>
      </c>
      <c r="B5141" s="2">
        <v>29066.1</v>
      </c>
      <c r="C5141" s="38">
        <v>44985</v>
      </c>
      <c r="D5141" s="1" t="s">
        <v>254</v>
      </c>
      <c r="E5141" s="1" t="s">
        <v>33</v>
      </c>
      <c r="F5141" s="1" t="s">
        <v>199</v>
      </c>
      <c r="G5141" s="5">
        <v>415.23</v>
      </c>
    </row>
    <row r="5142" spans="1:7" x14ac:dyDescent="0.2">
      <c r="A5142" s="3">
        <v>70</v>
      </c>
      <c r="B5142" s="2">
        <v>29066.1</v>
      </c>
      <c r="C5142" s="38">
        <v>44985</v>
      </c>
      <c r="D5142" s="1" t="s">
        <v>254</v>
      </c>
      <c r="E5142" s="1" t="s">
        <v>33</v>
      </c>
      <c r="F5142" s="1" t="s">
        <v>199</v>
      </c>
      <c r="G5142" s="5">
        <v>415.23</v>
      </c>
    </row>
    <row r="5143" spans="1:7" x14ac:dyDescent="0.2">
      <c r="A5143" s="3">
        <v>70</v>
      </c>
      <c r="B5143" s="2">
        <v>29066.1</v>
      </c>
      <c r="C5143" s="38">
        <v>44985</v>
      </c>
      <c r="D5143" s="1" t="s">
        <v>254</v>
      </c>
      <c r="E5143" s="1" t="s">
        <v>33</v>
      </c>
      <c r="F5143" s="1" t="s">
        <v>199</v>
      </c>
      <c r="G5143" s="5">
        <v>415.23</v>
      </c>
    </row>
    <row r="5144" spans="1:7" x14ac:dyDescent="0.2">
      <c r="A5144" s="3">
        <v>70</v>
      </c>
      <c r="B5144" s="2">
        <v>29066.1</v>
      </c>
      <c r="C5144" s="38">
        <v>44985</v>
      </c>
      <c r="D5144" s="1" t="s">
        <v>254</v>
      </c>
      <c r="E5144" s="1" t="s">
        <v>33</v>
      </c>
      <c r="F5144" s="1" t="s">
        <v>199</v>
      </c>
      <c r="G5144" s="5">
        <v>415.23</v>
      </c>
    </row>
    <row r="5145" spans="1:7" x14ac:dyDescent="0.2">
      <c r="A5145" s="3">
        <v>70</v>
      </c>
      <c r="B5145" s="2">
        <v>29066.1</v>
      </c>
      <c r="C5145" s="38">
        <v>44985</v>
      </c>
      <c r="D5145" s="1" t="s">
        <v>254</v>
      </c>
      <c r="E5145" s="1" t="s">
        <v>33</v>
      </c>
      <c r="F5145" s="1" t="s">
        <v>199</v>
      </c>
      <c r="G5145" s="5">
        <v>415.23</v>
      </c>
    </row>
    <row r="5146" spans="1:7" x14ac:dyDescent="0.2">
      <c r="A5146" s="3">
        <v>70</v>
      </c>
      <c r="B5146" s="2">
        <v>29066.1</v>
      </c>
      <c r="C5146" s="38">
        <v>44985</v>
      </c>
      <c r="D5146" s="1" t="s">
        <v>254</v>
      </c>
      <c r="E5146" s="1" t="s">
        <v>33</v>
      </c>
      <c r="F5146" s="1" t="s">
        <v>199</v>
      </c>
      <c r="G5146" s="5">
        <v>415.23</v>
      </c>
    </row>
    <row r="5147" spans="1:7" x14ac:dyDescent="0.2">
      <c r="A5147" s="3">
        <v>70</v>
      </c>
      <c r="B5147" s="2">
        <v>29066.1</v>
      </c>
      <c r="C5147" s="38">
        <v>44985</v>
      </c>
      <c r="D5147" s="1" t="s">
        <v>254</v>
      </c>
      <c r="E5147" s="1" t="s">
        <v>33</v>
      </c>
      <c r="F5147" s="1" t="s">
        <v>199</v>
      </c>
      <c r="G5147" s="5">
        <v>415.23</v>
      </c>
    </row>
    <row r="5148" spans="1:7" x14ac:dyDescent="0.2">
      <c r="A5148" s="3">
        <v>70</v>
      </c>
      <c r="B5148" s="2">
        <v>29066.1</v>
      </c>
      <c r="C5148" s="38">
        <v>44985</v>
      </c>
      <c r="D5148" s="1" t="s">
        <v>254</v>
      </c>
      <c r="E5148" s="1" t="s">
        <v>33</v>
      </c>
      <c r="F5148" s="1" t="s">
        <v>199</v>
      </c>
      <c r="G5148" s="5">
        <v>415.23</v>
      </c>
    </row>
    <row r="5149" spans="1:7" x14ac:dyDescent="0.2">
      <c r="A5149" s="3">
        <v>70</v>
      </c>
      <c r="B5149" s="2">
        <v>29066.1</v>
      </c>
      <c r="C5149" s="38">
        <v>44985</v>
      </c>
      <c r="D5149" s="1" t="s">
        <v>254</v>
      </c>
      <c r="E5149" s="1" t="s">
        <v>33</v>
      </c>
      <c r="F5149" s="1" t="s">
        <v>199</v>
      </c>
      <c r="G5149" s="5">
        <v>415.23</v>
      </c>
    </row>
    <row r="5150" spans="1:7" x14ac:dyDescent="0.2">
      <c r="A5150" s="3">
        <v>70</v>
      </c>
      <c r="B5150" s="2">
        <v>29066.1</v>
      </c>
      <c r="C5150" s="38">
        <v>44985</v>
      </c>
      <c r="D5150" s="1" t="s">
        <v>254</v>
      </c>
      <c r="E5150" s="1" t="s">
        <v>33</v>
      </c>
      <c r="F5150" s="1" t="s">
        <v>199</v>
      </c>
      <c r="G5150" s="5">
        <v>415.23</v>
      </c>
    </row>
    <row r="5151" spans="1:7" x14ac:dyDescent="0.2">
      <c r="A5151" s="3">
        <v>70</v>
      </c>
      <c r="B5151" s="2">
        <v>30020.2</v>
      </c>
      <c r="C5151" s="38">
        <v>44940</v>
      </c>
      <c r="D5151" s="1" t="s">
        <v>255</v>
      </c>
      <c r="E5151" s="1" t="s">
        <v>33</v>
      </c>
      <c r="F5151" s="1" t="s">
        <v>199</v>
      </c>
      <c r="G5151" s="5">
        <v>428.86</v>
      </c>
    </row>
    <row r="5152" spans="1:7" x14ac:dyDescent="0.2">
      <c r="A5152" s="3">
        <v>70</v>
      </c>
      <c r="B5152" s="2">
        <v>26859</v>
      </c>
      <c r="C5152" s="38">
        <v>44940</v>
      </c>
      <c r="D5152" s="1" t="s">
        <v>256</v>
      </c>
      <c r="E5152" s="1" t="s">
        <v>33</v>
      </c>
      <c r="F5152" s="1" t="s">
        <v>199</v>
      </c>
      <c r="G5152" s="5">
        <v>383.7</v>
      </c>
    </row>
    <row r="5153" spans="1:7" x14ac:dyDescent="0.2">
      <c r="A5153" s="3">
        <v>70</v>
      </c>
      <c r="B5153" s="2">
        <v>29066.1</v>
      </c>
      <c r="C5153" s="38">
        <v>44985</v>
      </c>
      <c r="D5153" s="1" t="s">
        <v>254</v>
      </c>
      <c r="E5153" s="1" t="s">
        <v>33</v>
      </c>
      <c r="F5153" s="1" t="s">
        <v>199</v>
      </c>
      <c r="G5153" s="5">
        <v>415.23</v>
      </c>
    </row>
    <row r="5154" spans="1:7" x14ac:dyDescent="0.2">
      <c r="A5154" s="3">
        <v>70</v>
      </c>
      <c r="B5154" s="2">
        <v>26859</v>
      </c>
      <c r="C5154" s="38">
        <v>44985</v>
      </c>
      <c r="D5154" s="1" t="s">
        <v>256</v>
      </c>
      <c r="E5154" s="1" t="s">
        <v>33</v>
      </c>
      <c r="F5154" s="1" t="s">
        <v>199</v>
      </c>
      <c r="G5154" s="5">
        <v>383.7</v>
      </c>
    </row>
    <row r="5155" spans="1:7" x14ac:dyDescent="0.2">
      <c r="A5155" s="3">
        <v>70</v>
      </c>
      <c r="B5155" s="2">
        <v>26859</v>
      </c>
      <c r="C5155" s="38">
        <v>44985</v>
      </c>
      <c r="D5155" s="1" t="s">
        <v>256</v>
      </c>
      <c r="E5155" s="1" t="s">
        <v>33</v>
      </c>
      <c r="F5155" s="1" t="s">
        <v>199</v>
      </c>
      <c r="G5155" s="5">
        <v>383.7</v>
      </c>
    </row>
    <row r="5156" spans="1:7" x14ac:dyDescent="0.2">
      <c r="A5156" s="3">
        <v>70</v>
      </c>
      <c r="B5156" s="2">
        <v>26859</v>
      </c>
      <c r="C5156" s="38">
        <v>44985</v>
      </c>
      <c r="D5156" s="1" t="s">
        <v>256</v>
      </c>
      <c r="E5156" s="1" t="s">
        <v>33</v>
      </c>
      <c r="F5156" s="1" t="s">
        <v>199</v>
      </c>
      <c r="G5156" s="5">
        <v>383.7</v>
      </c>
    </row>
    <row r="5157" spans="1:7" x14ac:dyDescent="0.2">
      <c r="A5157" s="3">
        <v>70</v>
      </c>
      <c r="B5157" s="2">
        <v>29066.1</v>
      </c>
      <c r="C5157" s="38">
        <v>44940</v>
      </c>
      <c r="D5157" s="1" t="s">
        <v>254</v>
      </c>
      <c r="E5157" s="1" t="s">
        <v>33</v>
      </c>
      <c r="F5157" s="1" t="s">
        <v>199</v>
      </c>
      <c r="G5157" s="5">
        <v>415.23</v>
      </c>
    </row>
    <row r="5158" spans="1:7" x14ac:dyDescent="0.2">
      <c r="A5158" s="3">
        <v>70</v>
      </c>
      <c r="B5158" s="2">
        <v>30020.2</v>
      </c>
      <c r="C5158" s="38">
        <v>44940</v>
      </c>
      <c r="D5158" s="1" t="s">
        <v>255</v>
      </c>
      <c r="E5158" s="1" t="s">
        <v>33</v>
      </c>
      <c r="F5158" s="1" t="s">
        <v>199</v>
      </c>
      <c r="G5158" s="5">
        <v>428.86</v>
      </c>
    </row>
    <row r="5159" spans="1:7" x14ac:dyDescent="0.2">
      <c r="A5159" s="3">
        <v>70</v>
      </c>
      <c r="B5159" s="2">
        <v>30020.2</v>
      </c>
      <c r="C5159" s="38">
        <v>44940</v>
      </c>
      <c r="D5159" s="1" t="s">
        <v>255</v>
      </c>
      <c r="E5159" s="1" t="s">
        <v>33</v>
      </c>
      <c r="F5159" s="1" t="s">
        <v>199</v>
      </c>
      <c r="G5159" s="5">
        <v>428.86</v>
      </c>
    </row>
    <row r="5160" spans="1:7" x14ac:dyDescent="0.2">
      <c r="A5160" s="3">
        <v>70</v>
      </c>
      <c r="B5160" s="2">
        <v>30020.2</v>
      </c>
      <c r="C5160" s="38">
        <v>44940</v>
      </c>
      <c r="D5160" s="1" t="s">
        <v>255</v>
      </c>
      <c r="E5160" s="1" t="s">
        <v>33</v>
      </c>
      <c r="F5160" s="1" t="s">
        <v>199</v>
      </c>
      <c r="G5160" s="5">
        <v>428.86</v>
      </c>
    </row>
    <row r="5161" spans="1:7" x14ac:dyDescent="0.2">
      <c r="A5161" s="3">
        <v>70</v>
      </c>
      <c r="B5161" s="2">
        <v>30020.2</v>
      </c>
      <c r="C5161" s="38">
        <v>44940</v>
      </c>
      <c r="D5161" s="1" t="s">
        <v>255</v>
      </c>
      <c r="E5161" s="1" t="s">
        <v>33</v>
      </c>
      <c r="F5161" s="1" t="s">
        <v>199</v>
      </c>
      <c r="G5161" s="5">
        <v>428.86</v>
      </c>
    </row>
    <row r="5162" spans="1:7" x14ac:dyDescent="0.2">
      <c r="A5162" s="3">
        <v>70</v>
      </c>
      <c r="B5162" s="2">
        <v>26859</v>
      </c>
      <c r="C5162" s="38">
        <v>44940</v>
      </c>
      <c r="D5162" s="1" t="s">
        <v>256</v>
      </c>
      <c r="E5162" s="1" t="s">
        <v>33</v>
      </c>
      <c r="F5162" s="1" t="s">
        <v>199</v>
      </c>
      <c r="G5162" s="5">
        <v>383.7</v>
      </c>
    </row>
    <row r="5163" spans="1:7" x14ac:dyDescent="0.2">
      <c r="A5163" s="3">
        <v>70</v>
      </c>
      <c r="B5163" s="2">
        <v>26859</v>
      </c>
      <c r="C5163" s="38">
        <v>45000</v>
      </c>
      <c r="D5163" s="1" t="s">
        <v>256</v>
      </c>
      <c r="E5163" s="1" t="s">
        <v>33</v>
      </c>
      <c r="F5163" s="1" t="s">
        <v>199</v>
      </c>
      <c r="G5163" s="5">
        <v>383.7</v>
      </c>
    </row>
    <row r="5164" spans="1:7" x14ac:dyDescent="0.2">
      <c r="A5164" s="3">
        <v>70</v>
      </c>
      <c r="B5164" s="2">
        <v>26859</v>
      </c>
      <c r="C5164" s="38">
        <v>45000</v>
      </c>
      <c r="D5164" s="1" t="s">
        <v>256</v>
      </c>
      <c r="E5164" s="1" t="s">
        <v>33</v>
      </c>
      <c r="F5164" s="1" t="s">
        <v>199</v>
      </c>
      <c r="G5164" s="5">
        <v>383.7</v>
      </c>
    </row>
    <row r="5165" spans="1:7" x14ac:dyDescent="0.2">
      <c r="A5165" s="3">
        <v>70</v>
      </c>
      <c r="B5165" s="2">
        <v>26859</v>
      </c>
      <c r="C5165" s="38">
        <v>45049</v>
      </c>
      <c r="D5165" s="1" t="s">
        <v>256</v>
      </c>
      <c r="E5165" s="1" t="s">
        <v>33</v>
      </c>
      <c r="F5165" s="1" t="s">
        <v>199</v>
      </c>
      <c r="G5165" s="5">
        <v>383.7</v>
      </c>
    </row>
    <row r="5166" spans="1:7" x14ac:dyDescent="0.2">
      <c r="A5166" s="3">
        <v>70</v>
      </c>
      <c r="B5166" s="2">
        <v>30020.2</v>
      </c>
      <c r="C5166" s="38">
        <v>44950</v>
      </c>
      <c r="D5166" s="1" t="s">
        <v>255</v>
      </c>
      <c r="E5166" s="1" t="s">
        <v>33</v>
      </c>
      <c r="F5166" s="1" t="s">
        <v>199</v>
      </c>
      <c r="G5166" s="5">
        <v>428.86</v>
      </c>
    </row>
    <row r="5167" spans="1:7" x14ac:dyDescent="0.2">
      <c r="A5167" s="3">
        <v>70</v>
      </c>
      <c r="B5167" s="2">
        <v>30020.2</v>
      </c>
      <c r="C5167" s="38">
        <v>44950</v>
      </c>
      <c r="D5167" s="1" t="s">
        <v>255</v>
      </c>
      <c r="E5167" s="1" t="s">
        <v>33</v>
      </c>
      <c r="F5167" s="1" t="s">
        <v>199</v>
      </c>
      <c r="G5167" s="5">
        <v>428.86</v>
      </c>
    </row>
    <row r="5168" spans="1:7" x14ac:dyDescent="0.2">
      <c r="A5168" s="3">
        <v>70</v>
      </c>
      <c r="B5168" s="2">
        <v>29066.1</v>
      </c>
      <c r="C5168" s="38">
        <v>44952</v>
      </c>
      <c r="D5168" s="1" t="s">
        <v>254</v>
      </c>
      <c r="E5168" s="1" t="s">
        <v>33</v>
      </c>
      <c r="F5168" s="1" t="s">
        <v>199</v>
      </c>
      <c r="G5168" s="5">
        <v>415.23</v>
      </c>
    </row>
    <row r="5169" spans="1:7" x14ac:dyDescent="0.2">
      <c r="A5169" s="3">
        <v>70</v>
      </c>
      <c r="B5169" s="2">
        <v>30020.2</v>
      </c>
      <c r="C5169" s="38">
        <v>44952</v>
      </c>
      <c r="D5169" s="1" t="s">
        <v>255</v>
      </c>
      <c r="E5169" s="1" t="s">
        <v>33</v>
      </c>
      <c r="F5169" s="1" t="s">
        <v>199</v>
      </c>
      <c r="G5169" s="5">
        <v>428.86</v>
      </c>
    </row>
    <row r="5170" spans="1:7" x14ac:dyDescent="0.2">
      <c r="A5170" s="3">
        <v>70</v>
      </c>
      <c r="B5170" s="2">
        <v>30020.2</v>
      </c>
      <c r="C5170" s="38">
        <v>44952</v>
      </c>
      <c r="D5170" s="1" t="s">
        <v>255</v>
      </c>
      <c r="E5170" s="1" t="s">
        <v>33</v>
      </c>
      <c r="F5170" s="1" t="s">
        <v>199</v>
      </c>
      <c r="G5170" s="5">
        <v>428.86</v>
      </c>
    </row>
    <row r="5171" spans="1:7" x14ac:dyDescent="0.2">
      <c r="A5171" s="3">
        <v>70</v>
      </c>
      <c r="B5171" s="2">
        <v>29066.1</v>
      </c>
      <c r="C5171" s="38">
        <v>44956</v>
      </c>
      <c r="D5171" s="1" t="s">
        <v>254</v>
      </c>
      <c r="E5171" s="1" t="s">
        <v>33</v>
      </c>
      <c r="F5171" s="1" t="s">
        <v>199</v>
      </c>
      <c r="G5171" s="5">
        <v>415.23</v>
      </c>
    </row>
    <row r="5172" spans="1:7" x14ac:dyDescent="0.2">
      <c r="A5172" s="3">
        <v>70</v>
      </c>
      <c r="B5172" s="2">
        <v>29066.1</v>
      </c>
      <c r="C5172" s="38">
        <v>44956</v>
      </c>
      <c r="D5172" s="1" t="s">
        <v>254</v>
      </c>
      <c r="E5172" s="1" t="s">
        <v>33</v>
      </c>
      <c r="F5172" s="1" t="s">
        <v>199</v>
      </c>
      <c r="G5172" s="5">
        <v>415.23</v>
      </c>
    </row>
    <row r="5173" spans="1:7" x14ac:dyDescent="0.2">
      <c r="A5173" s="3">
        <v>70</v>
      </c>
      <c r="B5173" s="2">
        <v>29066.1</v>
      </c>
      <c r="C5173" s="38">
        <v>44956</v>
      </c>
      <c r="D5173" s="1" t="s">
        <v>254</v>
      </c>
      <c r="E5173" s="1" t="s">
        <v>33</v>
      </c>
      <c r="F5173" s="1" t="s">
        <v>199</v>
      </c>
      <c r="G5173" s="5">
        <v>415.23</v>
      </c>
    </row>
    <row r="5174" spans="1:7" x14ac:dyDescent="0.2">
      <c r="A5174" s="3">
        <v>70</v>
      </c>
      <c r="B5174" s="2">
        <v>30020.2</v>
      </c>
      <c r="C5174" s="38">
        <v>44959</v>
      </c>
      <c r="D5174" s="1" t="s">
        <v>255</v>
      </c>
      <c r="E5174" s="1" t="s">
        <v>33</v>
      </c>
      <c r="F5174" s="1" t="s">
        <v>199</v>
      </c>
      <c r="G5174" s="5">
        <v>428.86</v>
      </c>
    </row>
    <row r="5175" spans="1:7" x14ac:dyDescent="0.2">
      <c r="A5175" s="3">
        <v>70</v>
      </c>
      <c r="B5175" s="2">
        <v>30020.2</v>
      </c>
      <c r="C5175" s="38">
        <v>44970</v>
      </c>
      <c r="D5175" s="1" t="s">
        <v>255</v>
      </c>
      <c r="E5175" s="1" t="s">
        <v>33</v>
      </c>
      <c r="F5175" s="1" t="s">
        <v>199</v>
      </c>
      <c r="G5175" s="5">
        <v>428.86</v>
      </c>
    </row>
    <row r="5176" spans="1:7" x14ac:dyDescent="0.2">
      <c r="A5176" s="3">
        <v>70</v>
      </c>
      <c r="B5176" s="2">
        <v>30020.2</v>
      </c>
      <c r="C5176" s="38">
        <v>44978</v>
      </c>
      <c r="D5176" s="1" t="s">
        <v>255</v>
      </c>
      <c r="E5176" s="1" t="s">
        <v>33</v>
      </c>
      <c r="F5176" s="1" t="s">
        <v>199</v>
      </c>
      <c r="G5176" s="5">
        <v>428.86</v>
      </c>
    </row>
    <row r="5177" spans="1:7" x14ac:dyDescent="0.2">
      <c r="A5177" s="3">
        <v>70</v>
      </c>
      <c r="B5177" s="2">
        <v>26859</v>
      </c>
      <c r="C5177" s="38">
        <v>45041</v>
      </c>
      <c r="D5177" s="1" t="s">
        <v>256</v>
      </c>
      <c r="E5177" s="1" t="s">
        <v>33</v>
      </c>
      <c r="F5177" s="1" t="s">
        <v>199</v>
      </c>
      <c r="G5177" s="5">
        <v>383.7</v>
      </c>
    </row>
    <row r="5178" spans="1:7" x14ac:dyDescent="0.2">
      <c r="A5178" s="3">
        <v>70</v>
      </c>
      <c r="B5178" s="2">
        <v>25338.6</v>
      </c>
      <c r="C5178" s="38">
        <v>44981</v>
      </c>
      <c r="D5178" s="1" t="s">
        <v>256</v>
      </c>
      <c r="E5178" s="1" t="s">
        <v>33</v>
      </c>
      <c r="F5178" s="1" t="s">
        <v>199</v>
      </c>
      <c r="G5178" s="5">
        <v>361.98</v>
      </c>
    </row>
    <row r="5179" spans="1:7" x14ac:dyDescent="0.2">
      <c r="A5179" s="3">
        <v>70</v>
      </c>
      <c r="B5179" s="2">
        <v>29066.1</v>
      </c>
      <c r="C5179" s="38">
        <v>44985</v>
      </c>
      <c r="D5179" s="1" t="s">
        <v>254</v>
      </c>
      <c r="E5179" s="1" t="s">
        <v>33</v>
      </c>
      <c r="F5179" s="1" t="s">
        <v>199</v>
      </c>
      <c r="G5179" s="5">
        <v>415.23</v>
      </c>
    </row>
    <row r="5180" spans="1:7" x14ac:dyDescent="0.2">
      <c r="A5180" s="3">
        <v>70</v>
      </c>
      <c r="B5180" s="2">
        <v>30020.2</v>
      </c>
      <c r="C5180" s="38">
        <v>45142</v>
      </c>
      <c r="D5180" s="1" t="s">
        <v>255</v>
      </c>
      <c r="E5180" s="1" t="s">
        <v>33</v>
      </c>
      <c r="F5180" s="1" t="s">
        <v>199</v>
      </c>
      <c r="G5180" s="5">
        <v>428.86</v>
      </c>
    </row>
    <row r="5181" spans="1:7" x14ac:dyDescent="0.2">
      <c r="A5181" s="3">
        <v>70</v>
      </c>
      <c r="B5181" s="2">
        <v>30020.2</v>
      </c>
      <c r="C5181" s="38">
        <v>45155</v>
      </c>
      <c r="D5181" s="1" t="s">
        <v>255</v>
      </c>
      <c r="E5181" s="1" t="s">
        <v>33</v>
      </c>
      <c r="F5181" s="1" t="s">
        <v>199</v>
      </c>
      <c r="G5181" s="5">
        <v>428.86</v>
      </c>
    </row>
    <row r="5182" spans="1:7" x14ac:dyDescent="0.2">
      <c r="A5182" s="3">
        <v>70</v>
      </c>
      <c r="B5182" s="2">
        <v>30020.2</v>
      </c>
      <c r="C5182" s="38">
        <v>45155</v>
      </c>
      <c r="D5182" s="1" t="s">
        <v>255</v>
      </c>
      <c r="E5182" s="1" t="s">
        <v>33</v>
      </c>
      <c r="F5182" s="1" t="s">
        <v>199</v>
      </c>
      <c r="G5182" s="5">
        <v>428.86</v>
      </c>
    </row>
    <row r="5183" spans="1:7" x14ac:dyDescent="0.2">
      <c r="A5183" s="3">
        <v>70</v>
      </c>
      <c r="B5183" s="2">
        <v>30020.2</v>
      </c>
      <c r="C5183" s="38">
        <v>45155</v>
      </c>
      <c r="D5183" s="1" t="s">
        <v>255</v>
      </c>
      <c r="E5183" s="1" t="s">
        <v>33</v>
      </c>
      <c r="F5183" s="1" t="s">
        <v>199</v>
      </c>
      <c r="G5183" s="5">
        <v>428.86</v>
      </c>
    </row>
    <row r="5184" spans="1:7" x14ac:dyDescent="0.2">
      <c r="A5184" s="3">
        <v>70</v>
      </c>
      <c r="B5184" s="2">
        <v>48690.6</v>
      </c>
      <c r="C5184" s="38">
        <v>45155</v>
      </c>
      <c r="D5184" s="1" t="s">
        <v>258</v>
      </c>
      <c r="E5184" s="1" t="s">
        <v>33</v>
      </c>
      <c r="F5184" s="1" t="s">
        <v>199</v>
      </c>
      <c r="G5184" s="5">
        <v>695.58</v>
      </c>
    </row>
    <row r="5185" spans="1:7" x14ac:dyDescent="0.2">
      <c r="A5185" s="3">
        <v>70</v>
      </c>
      <c r="B5185" s="2">
        <v>48690.6</v>
      </c>
      <c r="C5185" s="38">
        <v>45155</v>
      </c>
      <c r="D5185" s="1" t="s">
        <v>258</v>
      </c>
      <c r="E5185" s="1" t="s">
        <v>33</v>
      </c>
      <c r="F5185" s="1" t="s">
        <v>199</v>
      </c>
      <c r="G5185" s="5">
        <v>695.58</v>
      </c>
    </row>
    <row r="5186" spans="1:7" x14ac:dyDescent="0.2">
      <c r="A5186" s="3">
        <v>70</v>
      </c>
      <c r="B5186" s="2">
        <v>48690.6</v>
      </c>
      <c r="C5186" s="38">
        <v>45155</v>
      </c>
      <c r="D5186" s="1" t="s">
        <v>258</v>
      </c>
      <c r="E5186" s="1" t="s">
        <v>33</v>
      </c>
      <c r="F5186" s="1" t="s">
        <v>199</v>
      </c>
      <c r="G5186" s="5">
        <v>695.58</v>
      </c>
    </row>
    <row r="5187" spans="1:7" x14ac:dyDescent="0.2">
      <c r="A5187" s="3">
        <v>70</v>
      </c>
      <c r="B5187" s="2">
        <v>48690.6</v>
      </c>
      <c r="C5187" s="38">
        <v>45155</v>
      </c>
      <c r="D5187" s="1" t="s">
        <v>258</v>
      </c>
      <c r="E5187" s="1" t="s">
        <v>33</v>
      </c>
      <c r="F5187" s="1" t="s">
        <v>199</v>
      </c>
      <c r="G5187" s="5">
        <v>695.58</v>
      </c>
    </row>
    <row r="5188" spans="1:7" x14ac:dyDescent="0.2">
      <c r="A5188" s="3">
        <v>70</v>
      </c>
      <c r="B5188" s="2">
        <v>48690.6</v>
      </c>
      <c r="C5188" s="38">
        <v>45155</v>
      </c>
      <c r="D5188" s="1" t="s">
        <v>258</v>
      </c>
      <c r="E5188" s="1" t="s">
        <v>33</v>
      </c>
      <c r="F5188" s="1" t="s">
        <v>199</v>
      </c>
      <c r="G5188" s="5">
        <v>695.58</v>
      </c>
    </row>
    <row r="5189" spans="1:7" x14ac:dyDescent="0.2">
      <c r="A5189" s="3">
        <v>70</v>
      </c>
      <c r="B5189" s="2">
        <v>48690.6</v>
      </c>
      <c r="C5189" s="38">
        <v>45155</v>
      </c>
      <c r="D5189" s="1" t="s">
        <v>258</v>
      </c>
      <c r="E5189" s="1" t="s">
        <v>33</v>
      </c>
      <c r="F5189" s="1" t="s">
        <v>199</v>
      </c>
      <c r="G5189" s="5">
        <v>695.58</v>
      </c>
    </row>
    <row r="5190" spans="1:7" x14ac:dyDescent="0.2">
      <c r="A5190" s="3">
        <v>70</v>
      </c>
      <c r="B5190" s="2">
        <v>25338.6</v>
      </c>
      <c r="C5190" s="38">
        <v>44847</v>
      </c>
      <c r="D5190" s="1" t="s">
        <v>256</v>
      </c>
      <c r="E5190" s="1" t="s">
        <v>33</v>
      </c>
      <c r="F5190" s="1" t="s">
        <v>199</v>
      </c>
      <c r="G5190" s="5">
        <v>361.98</v>
      </c>
    </row>
    <row r="5191" spans="1:7" x14ac:dyDescent="0.2">
      <c r="A5191" s="3">
        <v>70</v>
      </c>
      <c r="B5191" s="2">
        <v>27421.1</v>
      </c>
      <c r="C5191" s="38">
        <v>44907</v>
      </c>
      <c r="D5191" s="1" t="s">
        <v>254</v>
      </c>
      <c r="E5191" s="1" t="s">
        <v>33</v>
      </c>
      <c r="F5191" s="1" t="s">
        <v>199</v>
      </c>
      <c r="G5191" s="5">
        <v>391.73</v>
      </c>
    </row>
    <row r="5192" spans="1:7" x14ac:dyDescent="0.2">
      <c r="A5192" s="3">
        <v>70</v>
      </c>
      <c r="B5192" s="2">
        <v>25338.6</v>
      </c>
      <c r="C5192" s="38">
        <v>44854</v>
      </c>
      <c r="D5192" s="1" t="s">
        <v>256</v>
      </c>
      <c r="E5192" s="1" t="s">
        <v>33</v>
      </c>
      <c r="F5192" s="1" t="s">
        <v>199</v>
      </c>
      <c r="G5192" s="5">
        <v>361.98</v>
      </c>
    </row>
    <row r="5193" spans="1:7" x14ac:dyDescent="0.2">
      <c r="A5193" s="3">
        <v>70</v>
      </c>
      <c r="B5193" s="2">
        <v>28462</v>
      </c>
      <c r="C5193" s="38">
        <v>44914</v>
      </c>
      <c r="D5193" s="1" t="s">
        <v>255</v>
      </c>
      <c r="E5193" s="1" t="s">
        <v>33</v>
      </c>
      <c r="F5193" s="1" t="s">
        <v>199</v>
      </c>
      <c r="G5193" s="5">
        <v>406.6</v>
      </c>
    </row>
    <row r="5194" spans="1:7" x14ac:dyDescent="0.2">
      <c r="A5194" s="3">
        <v>70</v>
      </c>
      <c r="B5194" s="2">
        <v>28462</v>
      </c>
      <c r="C5194" s="38">
        <v>44914</v>
      </c>
      <c r="D5194" s="1" t="s">
        <v>255</v>
      </c>
      <c r="E5194" s="1" t="s">
        <v>33</v>
      </c>
      <c r="F5194" s="1" t="s">
        <v>199</v>
      </c>
      <c r="G5194" s="5">
        <v>406.6</v>
      </c>
    </row>
    <row r="5195" spans="1:7" x14ac:dyDescent="0.2">
      <c r="A5195" s="3">
        <v>70</v>
      </c>
      <c r="B5195" s="2">
        <v>28462</v>
      </c>
      <c r="C5195" s="38">
        <v>44914</v>
      </c>
      <c r="D5195" s="1" t="s">
        <v>255</v>
      </c>
      <c r="E5195" s="1" t="s">
        <v>33</v>
      </c>
      <c r="F5195" s="1" t="s">
        <v>199</v>
      </c>
      <c r="G5195" s="5">
        <v>406.6</v>
      </c>
    </row>
    <row r="5196" spans="1:7" x14ac:dyDescent="0.2">
      <c r="A5196" s="3">
        <v>70</v>
      </c>
      <c r="B5196" s="2">
        <v>28462</v>
      </c>
      <c r="C5196" s="38">
        <v>44914</v>
      </c>
      <c r="D5196" s="1" t="s">
        <v>255</v>
      </c>
      <c r="E5196" s="1" t="s">
        <v>33</v>
      </c>
      <c r="F5196" s="1" t="s">
        <v>199</v>
      </c>
      <c r="G5196" s="5">
        <v>406.6</v>
      </c>
    </row>
    <row r="5197" spans="1:7" x14ac:dyDescent="0.2">
      <c r="A5197" s="3">
        <v>70</v>
      </c>
      <c r="B5197" s="2">
        <v>28462</v>
      </c>
      <c r="C5197" s="38">
        <v>44914</v>
      </c>
      <c r="D5197" s="1" t="s">
        <v>255</v>
      </c>
      <c r="E5197" s="1" t="s">
        <v>33</v>
      </c>
      <c r="F5197" s="1" t="s">
        <v>199</v>
      </c>
      <c r="G5197" s="5">
        <v>406.6</v>
      </c>
    </row>
    <row r="5198" spans="1:7" x14ac:dyDescent="0.2">
      <c r="A5198" s="3">
        <v>70</v>
      </c>
      <c r="B5198" s="2">
        <v>29066.1</v>
      </c>
      <c r="C5198" s="38">
        <v>45161</v>
      </c>
      <c r="D5198" s="1" t="s">
        <v>254</v>
      </c>
      <c r="E5198" s="1" t="s">
        <v>33</v>
      </c>
      <c r="F5198" s="1" t="s">
        <v>199</v>
      </c>
      <c r="G5198" s="5">
        <v>415.23</v>
      </c>
    </row>
    <row r="5199" spans="1:7" x14ac:dyDescent="0.2">
      <c r="A5199" s="3">
        <v>70</v>
      </c>
      <c r="B5199" s="2">
        <v>29066.1</v>
      </c>
      <c r="C5199" s="38">
        <v>45161</v>
      </c>
      <c r="D5199" s="1" t="s">
        <v>254</v>
      </c>
      <c r="E5199" s="1" t="s">
        <v>33</v>
      </c>
      <c r="F5199" s="1" t="s">
        <v>199</v>
      </c>
      <c r="G5199" s="5">
        <v>415.23</v>
      </c>
    </row>
    <row r="5200" spans="1:7" x14ac:dyDescent="0.2">
      <c r="A5200" s="3">
        <v>70</v>
      </c>
      <c r="B5200" s="2">
        <v>29066.1</v>
      </c>
      <c r="C5200" s="38">
        <v>45161</v>
      </c>
      <c r="D5200" s="1" t="s">
        <v>254</v>
      </c>
      <c r="E5200" s="1" t="s">
        <v>33</v>
      </c>
      <c r="F5200" s="1" t="s">
        <v>199</v>
      </c>
      <c r="G5200" s="5">
        <v>415.23</v>
      </c>
    </row>
    <row r="5201" spans="1:7" x14ac:dyDescent="0.2">
      <c r="A5201" s="3">
        <v>70</v>
      </c>
      <c r="B5201" s="2">
        <v>29066.1</v>
      </c>
      <c r="C5201" s="38">
        <v>45161</v>
      </c>
      <c r="D5201" s="1" t="s">
        <v>254</v>
      </c>
      <c r="E5201" s="1" t="s">
        <v>33</v>
      </c>
      <c r="F5201" s="1" t="s">
        <v>199</v>
      </c>
      <c r="G5201" s="5">
        <v>415.23</v>
      </c>
    </row>
    <row r="5202" spans="1:7" x14ac:dyDescent="0.2">
      <c r="A5202" s="3">
        <v>70</v>
      </c>
      <c r="B5202" s="2">
        <v>29066.1</v>
      </c>
      <c r="C5202" s="38">
        <v>45161</v>
      </c>
      <c r="D5202" s="1" t="s">
        <v>254</v>
      </c>
      <c r="E5202" s="1" t="s">
        <v>33</v>
      </c>
      <c r="F5202" s="1" t="s">
        <v>199</v>
      </c>
      <c r="G5202" s="5">
        <v>415.23</v>
      </c>
    </row>
    <row r="5203" spans="1:7" x14ac:dyDescent="0.2">
      <c r="A5203" s="3">
        <v>70</v>
      </c>
      <c r="B5203" s="2">
        <v>29066.1</v>
      </c>
      <c r="C5203" s="38">
        <v>45161</v>
      </c>
      <c r="D5203" s="1" t="s">
        <v>254</v>
      </c>
      <c r="E5203" s="1" t="s">
        <v>33</v>
      </c>
      <c r="F5203" s="1" t="s">
        <v>199</v>
      </c>
      <c r="G5203" s="5">
        <v>415.23</v>
      </c>
    </row>
    <row r="5204" spans="1:7" x14ac:dyDescent="0.2">
      <c r="A5204" s="3">
        <v>70</v>
      </c>
      <c r="B5204" s="2">
        <v>29066.1</v>
      </c>
      <c r="C5204" s="38">
        <v>45161</v>
      </c>
      <c r="D5204" s="1" t="s">
        <v>254</v>
      </c>
      <c r="E5204" s="1" t="s">
        <v>33</v>
      </c>
      <c r="F5204" s="1" t="s">
        <v>199</v>
      </c>
      <c r="G5204" s="5">
        <v>415.23</v>
      </c>
    </row>
    <row r="5205" spans="1:7" x14ac:dyDescent="0.2">
      <c r="A5205" s="3">
        <v>70</v>
      </c>
      <c r="B5205" s="2">
        <v>30020.2</v>
      </c>
      <c r="C5205" s="38">
        <v>45161</v>
      </c>
      <c r="D5205" s="1" t="s">
        <v>255</v>
      </c>
      <c r="E5205" s="1" t="s">
        <v>33</v>
      </c>
      <c r="F5205" s="1" t="s">
        <v>199</v>
      </c>
      <c r="G5205" s="5">
        <v>428.86</v>
      </c>
    </row>
    <row r="5206" spans="1:7" x14ac:dyDescent="0.2">
      <c r="A5206" s="3">
        <v>70</v>
      </c>
      <c r="B5206" s="2">
        <v>30020.2</v>
      </c>
      <c r="C5206" s="38">
        <v>45161</v>
      </c>
      <c r="D5206" s="1" t="s">
        <v>255</v>
      </c>
      <c r="E5206" s="1" t="s">
        <v>33</v>
      </c>
      <c r="F5206" s="1" t="s">
        <v>199</v>
      </c>
      <c r="G5206" s="5">
        <v>428.86</v>
      </c>
    </row>
    <row r="5207" spans="1:7" x14ac:dyDescent="0.2">
      <c r="A5207" s="3">
        <v>70</v>
      </c>
      <c r="B5207" s="2">
        <v>29066.1</v>
      </c>
      <c r="C5207" s="38">
        <v>45169</v>
      </c>
      <c r="D5207" s="1" t="s">
        <v>254</v>
      </c>
      <c r="E5207" s="1" t="s">
        <v>33</v>
      </c>
      <c r="F5207" s="1" t="s">
        <v>199</v>
      </c>
      <c r="G5207" s="5">
        <v>415.23</v>
      </c>
    </row>
    <row r="5208" spans="1:7" x14ac:dyDescent="0.2">
      <c r="A5208" s="3">
        <v>70</v>
      </c>
      <c r="B5208" s="2">
        <v>29066.1</v>
      </c>
      <c r="C5208" s="38">
        <v>45169</v>
      </c>
      <c r="D5208" s="1" t="s">
        <v>254</v>
      </c>
      <c r="E5208" s="1" t="s">
        <v>33</v>
      </c>
      <c r="F5208" s="1" t="s">
        <v>199</v>
      </c>
      <c r="G5208" s="5">
        <v>415.23</v>
      </c>
    </row>
    <row r="5209" spans="1:7" x14ac:dyDescent="0.2">
      <c r="A5209" s="3">
        <v>70</v>
      </c>
      <c r="B5209" s="2">
        <v>29066.1</v>
      </c>
      <c r="C5209" s="38">
        <v>45169</v>
      </c>
      <c r="D5209" s="1" t="s">
        <v>254</v>
      </c>
      <c r="E5209" s="1" t="s">
        <v>33</v>
      </c>
      <c r="F5209" s="1" t="s">
        <v>199</v>
      </c>
      <c r="G5209" s="5">
        <v>415.23</v>
      </c>
    </row>
    <row r="5210" spans="1:7" x14ac:dyDescent="0.2">
      <c r="A5210" s="3">
        <v>70</v>
      </c>
      <c r="B5210" s="2">
        <v>29066.1</v>
      </c>
      <c r="C5210" s="38">
        <v>45169</v>
      </c>
      <c r="D5210" s="1" t="s">
        <v>254</v>
      </c>
      <c r="E5210" s="1" t="s">
        <v>33</v>
      </c>
      <c r="F5210" s="1" t="s">
        <v>199</v>
      </c>
      <c r="G5210" s="5">
        <v>415.23</v>
      </c>
    </row>
    <row r="5211" spans="1:7" x14ac:dyDescent="0.2">
      <c r="A5211" s="3">
        <v>70</v>
      </c>
      <c r="B5211" s="2">
        <v>30020.2</v>
      </c>
      <c r="C5211" s="38">
        <v>45169</v>
      </c>
      <c r="D5211" s="1" t="s">
        <v>255</v>
      </c>
      <c r="E5211" s="1" t="s">
        <v>33</v>
      </c>
      <c r="F5211" s="1" t="s">
        <v>199</v>
      </c>
      <c r="G5211" s="5">
        <v>428.86</v>
      </c>
    </row>
    <row r="5212" spans="1:7" x14ac:dyDescent="0.2">
      <c r="A5212" s="3">
        <v>70</v>
      </c>
      <c r="B5212" s="2">
        <v>30020.2</v>
      </c>
      <c r="C5212" s="38">
        <v>45169</v>
      </c>
      <c r="D5212" s="1" t="s">
        <v>255</v>
      </c>
      <c r="E5212" s="1" t="s">
        <v>33</v>
      </c>
      <c r="F5212" s="1" t="s">
        <v>199</v>
      </c>
      <c r="G5212" s="5">
        <v>428.86</v>
      </c>
    </row>
    <row r="5213" spans="1:7" x14ac:dyDescent="0.2">
      <c r="A5213" s="3">
        <v>70</v>
      </c>
      <c r="B5213" s="2">
        <v>30020.2</v>
      </c>
      <c r="C5213" s="38">
        <v>45169</v>
      </c>
      <c r="D5213" s="1" t="s">
        <v>255</v>
      </c>
      <c r="E5213" s="1" t="s">
        <v>33</v>
      </c>
      <c r="F5213" s="1" t="s">
        <v>199</v>
      </c>
      <c r="G5213" s="5">
        <v>428.86</v>
      </c>
    </row>
    <row r="5214" spans="1:7" x14ac:dyDescent="0.2">
      <c r="A5214" s="3">
        <v>70</v>
      </c>
      <c r="B5214" s="2">
        <v>29066.1</v>
      </c>
      <c r="C5214" s="38">
        <v>45132</v>
      </c>
      <c r="D5214" s="1" t="s">
        <v>254</v>
      </c>
      <c r="E5214" s="1" t="s">
        <v>33</v>
      </c>
      <c r="F5214" s="1" t="s">
        <v>199</v>
      </c>
      <c r="G5214" s="5">
        <v>415.23</v>
      </c>
    </row>
    <row r="5215" spans="1:7" x14ac:dyDescent="0.2">
      <c r="A5215" s="3">
        <v>70</v>
      </c>
      <c r="B5215" s="2">
        <v>48690.6</v>
      </c>
      <c r="C5215" s="38">
        <v>45132</v>
      </c>
      <c r="D5215" s="1" t="s">
        <v>258</v>
      </c>
      <c r="E5215" s="1" t="s">
        <v>33</v>
      </c>
      <c r="F5215" s="1" t="s">
        <v>199</v>
      </c>
      <c r="G5215" s="5">
        <v>695.58</v>
      </c>
    </row>
    <row r="5216" spans="1:7" x14ac:dyDescent="0.2">
      <c r="A5216" s="3">
        <v>70</v>
      </c>
      <c r="B5216" s="2">
        <v>48690.6</v>
      </c>
      <c r="C5216" s="38">
        <v>45132</v>
      </c>
      <c r="D5216" s="1" t="s">
        <v>258</v>
      </c>
      <c r="E5216" s="1" t="s">
        <v>33</v>
      </c>
      <c r="F5216" s="1" t="s">
        <v>199</v>
      </c>
      <c r="G5216" s="5">
        <v>695.58</v>
      </c>
    </row>
    <row r="5217" spans="1:7" x14ac:dyDescent="0.2">
      <c r="A5217" s="3">
        <v>70</v>
      </c>
      <c r="B5217" s="2">
        <v>48690.6</v>
      </c>
      <c r="C5217" s="38">
        <v>45132</v>
      </c>
      <c r="D5217" s="1" t="s">
        <v>258</v>
      </c>
      <c r="E5217" s="1" t="s">
        <v>33</v>
      </c>
      <c r="F5217" s="1" t="s">
        <v>199</v>
      </c>
      <c r="G5217" s="5">
        <v>695.58</v>
      </c>
    </row>
    <row r="5218" spans="1:7" x14ac:dyDescent="0.2">
      <c r="A5218" s="3">
        <v>70</v>
      </c>
      <c r="B5218" s="2">
        <v>48690.6</v>
      </c>
      <c r="C5218" s="38">
        <v>45132</v>
      </c>
      <c r="D5218" s="1" t="s">
        <v>258</v>
      </c>
      <c r="E5218" s="1" t="s">
        <v>33</v>
      </c>
      <c r="F5218" s="1" t="s">
        <v>199</v>
      </c>
      <c r="G5218" s="5">
        <v>695.58</v>
      </c>
    </row>
    <row r="5219" spans="1:7" x14ac:dyDescent="0.2">
      <c r="A5219" s="3">
        <v>70</v>
      </c>
      <c r="B5219" s="2">
        <v>48690.6</v>
      </c>
      <c r="C5219" s="38">
        <v>45132</v>
      </c>
      <c r="D5219" s="1" t="s">
        <v>258</v>
      </c>
      <c r="E5219" s="1" t="s">
        <v>33</v>
      </c>
      <c r="F5219" s="1" t="s">
        <v>199</v>
      </c>
      <c r="G5219" s="5">
        <v>695.58</v>
      </c>
    </row>
    <row r="5220" spans="1:7" x14ac:dyDescent="0.2">
      <c r="A5220" s="3">
        <v>70</v>
      </c>
      <c r="B5220" s="2">
        <v>48690.6</v>
      </c>
      <c r="C5220" s="38">
        <v>45132</v>
      </c>
      <c r="D5220" s="1" t="s">
        <v>258</v>
      </c>
      <c r="E5220" s="1" t="s">
        <v>33</v>
      </c>
      <c r="F5220" s="1" t="s">
        <v>199</v>
      </c>
      <c r="G5220" s="5">
        <v>695.58</v>
      </c>
    </row>
    <row r="5221" spans="1:7" x14ac:dyDescent="0.2">
      <c r="A5221" s="3">
        <v>70</v>
      </c>
      <c r="B5221" s="2">
        <v>48690.6</v>
      </c>
      <c r="C5221" s="38">
        <v>45132</v>
      </c>
      <c r="D5221" s="1" t="s">
        <v>258</v>
      </c>
      <c r="E5221" s="1" t="s">
        <v>33</v>
      </c>
      <c r="F5221" s="1" t="s">
        <v>199</v>
      </c>
      <c r="G5221" s="5">
        <v>695.58</v>
      </c>
    </row>
    <row r="5222" spans="1:7" x14ac:dyDescent="0.2">
      <c r="A5222" s="3">
        <v>70</v>
      </c>
      <c r="B5222" s="2">
        <v>48690.6</v>
      </c>
      <c r="C5222" s="38">
        <v>45132</v>
      </c>
      <c r="D5222" s="1" t="s">
        <v>258</v>
      </c>
      <c r="E5222" s="1" t="s">
        <v>33</v>
      </c>
      <c r="F5222" s="1" t="s">
        <v>199</v>
      </c>
      <c r="G5222" s="5">
        <v>695.58</v>
      </c>
    </row>
    <row r="5223" spans="1:7" x14ac:dyDescent="0.2">
      <c r="A5223" s="3">
        <v>70</v>
      </c>
      <c r="B5223" s="2">
        <v>48690.6</v>
      </c>
      <c r="C5223" s="38">
        <v>45132</v>
      </c>
      <c r="D5223" s="1" t="s">
        <v>258</v>
      </c>
      <c r="E5223" s="1" t="s">
        <v>33</v>
      </c>
      <c r="F5223" s="1" t="s">
        <v>199</v>
      </c>
      <c r="G5223" s="5">
        <v>695.58</v>
      </c>
    </row>
    <row r="5224" spans="1:7" x14ac:dyDescent="0.2">
      <c r="A5224" s="3">
        <v>70</v>
      </c>
      <c r="B5224" s="2">
        <v>48690.6</v>
      </c>
      <c r="C5224" s="38">
        <v>45132</v>
      </c>
      <c r="D5224" s="1" t="s">
        <v>258</v>
      </c>
      <c r="E5224" s="1" t="s">
        <v>33</v>
      </c>
      <c r="F5224" s="1" t="s">
        <v>199</v>
      </c>
      <c r="G5224" s="5">
        <v>695.58</v>
      </c>
    </row>
    <row r="5225" spans="1:7" x14ac:dyDescent="0.2">
      <c r="A5225" s="3">
        <v>70</v>
      </c>
      <c r="B5225" s="2">
        <v>48690.6</v>
      </c>
      <c r="C5225" s="38">
        <v>45132</v>
      </c>
      <c r="D5225" s="1" t="s">
        <v>258</v>
      </c>
      <c r="E5225" s="1" t="s">
        <v>33</v>
      </c>
      <c r="F5225" s="1" t="s">
        <v>199</v>
      </c>
      <c r="G5225" s="5">
        <v>695.58</v>
      </c>
    </row>
    <row r="5226" spans="1:7" x14ac:dyDescent="0.2">
      <c r="A5226" s="3">
        <v>70</v>
      </c>
      <c r="B5226" s="2">
        <v>48690.6</v>
      </c>
      <c r="C5226" s="38">
        <v>45132</v>
      </c>
      <c r="D5226" s="1" t="s">
        <v>258</v>
      </c>
      <c r="E5226" s="1" t="s">
        <v>33</v>
      </c>
      <c r="F5226" s="1" t="s">
        <v>199</v>
      </c>
      <c r="G5226" s="5">
        <v>695.58</v>
      </c>
    </row>
    <row r="5227" spans="1:7" x14ac:dyDescent="0.2">
      <c r="A5227" s="3">
        <v>70</v>
      </c>
      <c r="B5227" s="2">
        <v>48690.6</v>
      </c>
      <c r="C5227" s="38">
        <v>45132</v>
      </c>
      <c r="D5227" s="1" t="s">
        <v>258</v>
      </c>
      <c r="E5227" s="1" t="s">
        <v>33</v>
      </c>
      <c r="F5227" s="1" t="s">
        <v>199</v>
      </c>
      <c r="G5227" s="5">
        <v>695.58</v>
      </c>
    </row>
    <row r="5228" spans="1:7" x14ac:dyDescent="0.2">
      <c r="A5228" s="3">
        <v>70</v>
      </c>
      <c r="B5228" s="2">
        <v>48690.6</v>
      </c>
      <c r="C5228" s="38">
        <v>45132</v>
      </c>
      <c r="D5228" s="1" t="s">
        <v>258</v>
      </c>
      <c r="E5228" s="1" t="s">
        <v>33</v>
      </c>
      <c r="F5228" s="1" t="s">
        <v>199</v>
      </c>
      <c r="G5228" s="5">
        <v>695.58</v>
      </c>
    </row>
    <row r="5229" spans="1:7" x14ac:dyDescent="0.2">
      <c r="A5229" s="3">
        <v>70</v>
      </c>
      <c r="B5229" s="2">
        <v>48690.6</v>
      </c>
      <c r="C5229" s="38">
        <v>45132</v>
      </c>
      <c r="D5229" s="1" t="s">
        <v>258</v>
      </c>
      <c r="E5229" s="1" t="s">
        <v>33</v>
      </c>
      <c r="F5229" s="1" t="s">
        <v>199</v>
      </c>
      <c r="G5229" s="5">
        <v>695.58</v>
      </c>
    </row>
    <row r="5230" spans="1:7" x14ac:dyDescent="0.2">
      <c r="A5230" s="3">
        <v>70</v>
      </c>
      <c r="B5230" s="2">
        <v>48690.6</v>
      </c>
      <c r="C5230" s="38">
        <v>45132</v>
      </c>
      <c r="D5230" s="1" t="s">
        <v>258</v>
      </c>
      <c r="E5230" s="1" t="s">
        <v>33</v>
      </c>
      <c r="F5230" s="1" t="s">
        <v>199</v>
      </c>
      <c r="G5230" s="5">
        <v>695.58</v>
      </c>
    </row>
    <row r="5231" spans="1:7" x14ac:dyDescent="0.2">
      <c r="A5231" s="3">
        <v>70</v>
      </c>
      <c r="B5231" s="2">
        <v>48690.6</v>
      </c>
      <c r="C5231" s="38">
        <v>45132</v>
      </c>
      <c r="D5231" s="1" t="s">
        <v>258</v>
      </c>
      <c r="E5231" s="1" t="s">
        <v>33</v>
      </c>
      <c r="F5231" s="1" t="s">
        <v>199</v>
      </c>
      <c r="G5231" s="5">
        <v>695.58</v>
      </c>
    </row>
    <row r="5232" spans="1:7" x14ac:dyDescent="0.2">
      <c r="A5232" s="3">
        <v>70</v>
      </c>
      <c r="B5232" s="2">
        <v>48690.6</v>
      </c>
      <c r="C5232" s="38">
        <v>45132</v>
      </c>
      <c r="D5232" s="1" t="s">
        <v>258</v>
      </c>
      <c r="E5232" s="1" t="s">
        <v>33</v>
      </c>
      <c r="F5232" s="1" t="s">
        <v>199</v>
      </c>
      <c r="G5232" s="5">
        <v>695.58</v>
      </c>
    </row>
    <row r="5233" spans="1:7" x14ac:dyDescent="0.2">
      <c r="A5233" s="3">
        <v>70</v>
      </c>
      <c r="B5233" s="2">
        <v>46164.3</v>
      </c>
      <c r="C5233" s="38">
        <v>44978</v>
      </c>
      <c r="D5233" s="1" t="s">
        <v>258</v>
      </c>
      <c r="E5233" s="1" t="s">
        <v>33</v>
      </c>
      <c r="F5233" s="1" t="s">
        <v>199</v>
      </c>
      <c r="G5233" s="5">
        <v>659.49</v>
      </c>
    </row>
    <row r="5234" spans="1:7" x14ac:dyDescent="0.2">
      <c r="A5234" s="3">
        <v>70</v>
      </c>
      <c r="B5234" s="2">
        <v>46164.3</v>
      </c>
      <c r="C5234" s="38">
        <v>44978</v>
      </c>
      <c r="D5234" s="1" t="s">
        <v>258</v>
      </c>
      <c r="E5234" s="1" t="s">
        <v>33</v>
      </c>
      <c r="F5234" s="1" t="s">
        <v>199</v>
      </c>
      <c r="G5234" s="5">
        <v>659.49</v>
      </c>
    </row>
    <row r="5235" spans="1:7" x14ac:dyDescent="0.2">
      <c r="A5235" s="3">
        <v>70</v>
      </c>
      <c r="B5235" s="2">
        <v>46164.3</v>
      </c>
      <c r="C5235" s="38">
        <v>44978</v>
      </c>
      <c r="D5235" s="1" t="s">
        <v>258</v>
      </c>
      <c r="E5235" s="1" t="s">
        <v>33</v>
      </c>
      <c r="F5235" s="1" t="s">
        <v>199</v>
      </c>
      <c r="G5235" s="5">
        <v>659.49</v>
      </c>
    </row>
    <row r="5236" spans="1:7" x14ac:dyDescent="0.2">
      <c r="A5236" s="3">
        <v>70</v>
      </c>
      <c r="B5236" s="2">
        <v>46164.3</v>
      </c>
      <c r="C5236" s="38">
        <v>44978</v>
      </c>
      <c r="D5236" s="1" t="s">
        <v>258</v>
      </c>
      <c r="E5236" s="1" t="s">
        <v>33</v>
      </c>
      <c r="F5236" s="1" t="s">
        <v>199</v>
      </c>
      <c r="G5236" s="5">
        <v>659.49</v>
      </c>
    </row>
    <row r="5237" spans="1:7" x14ac:dyDescent="0.2">
      <c r="A5237" s="3">
        <v>70</v>
      </c>
      <c r="B5237" s="2">
        <v>46164.3</v>
      </c>
      <c r="C5237" s="38">
        <v>44721</v>
      </c>
      <c r="D5237" s="1" t="s">
        <v>258</v>
      </c>
      <c r="E5237" s="1" t="s">
        <v>33</v>
      </c>
      <c r="F5237" s="1" t="s">
        <v>199</v>
      </c>
      <c r="G5237" s="5">
        <v>659.49</v>
      </c>
    </row>
    <row r="5238" spans="1:7" x14ac:dyDescent="0.2">
      <c r="A5238" s="3">
        <v>70</v>
      </c>
      <c r="B5238" s="2">
        <v>46164.3</v>
      </c>
      <c r="C5238" s="38">
        <v>44721</v>
      </c>
      <c r="D5238" s="1" t="s">
        <v>258</v>
      </c>
      <c r="E5238" s="1" t="s">
        <v>33</v>
      </c>
      <c r="F5238" s="1" t="s">
        <v>199</v>
      </c>
      <c r="G5238" s="5">
        <v>659.49</v>
      </c>
    </row>
    <row r="5239" spans="1:7" x14ac:dyDescent="0.2">
      <c r="A5239" s="3">
        <v>70</v>
      </c>
      <c r="B5239" s="2">
        <v>46164.3</v>
      </c>
      <c r="C5239" s="38">
        <v>44721</v>
      </c>
      <c r="D5239" s="1" t="s">
        <v>258</v>
      </c>
      <c r="E5239" s="1" t="s">
        <v>33</v>
      </c>
      <c r="F5239" s="1" t="s">
        <v>199</v>
      </c>
      <c r="G5239" s="5">
        <v>659.49</v>
      </c>
    </row>
    <row r="5240" spans="1:7" x14ac:dyDescent="0.2">
      <c r="A5240" s="3">
        <v>70</v>
      </c>
      <c r="B5240" s="2">
        <v>46164.3</v>
      </c>
      <c r="C5240" s="38">
        <v>44721</v>
      </c>
      <c r="D5240" s="1" t="s">
        <v>258</v>
      </c>
      <c r="E5240" s="1" t="s">
        <v>33</v>
      </c>
      <c r="F5240" s="1" t="s">
        <v>199</v>
      </c>
      <c r="G5240" s="5">
        <v>659.49</v>
      </c>
    </row>
    <row r="5241" spans="1:7" x14ac:dyDescent="0.2">
      <c r="A5241" s="3">
        <v>70</v>
      </c>
      <c r="B5241" s="2">
        <v>46164.3</v>
      </c>
      <c r="C5241" s="38">
        <v>44721</v>
      </c>
      <c r="D5241" s="1" t="s">
        <v>258</v>
      </c>
      <c r="E5241" s="1" t="s">
        <v>33</v>
      </c>
      <c r="F5241" s="1" t="s">
        <v>199</v>
      </c>
      <c r="G5241" s="5">
        <v>659.49</v>
      </c>
    </row>
    <row r="5242" spans="1:7" x14ac:dyDescent="0.2">
      <c r="A5242" s="3">
        <v>70</v>
      </c>
      <c r="B5242" s="2">
        <v>46164.3</v>
      </c>
      <c r="C5242" s="38">
        <v>44721</v>
      </c>
      <c r="D5242" s="1" t="s">
        <v>258</v>
      </c>
      <c r="E5242" s="1" t="s">
        <v>33</v>
      </c>
      <c r="F5242" s="1" t="s">
        <v>199</v>
      </c>
      <c r="G5242" s="5">
        <v>659.49</v>
      </c>
    </row>
    <row r="5243" spans="1:7" x14ac:dyDescent="0.2">
      <c r="A5243" s="3">
        <v>70</v>
      </c>
      <c r="B5243" s="2">
        <v>46164.3</v>
      </c>
      <c r="C5243" s="38">
        <v>44721</v>
      </c>
      <c r="D5243" s="1" t="s">
        <v>258</v>
      </c>
      <c r="E5243" s="1" t="s">
        <v>33</v>
      </c>
      <c r="F5243" s="1" t="s">
        <v>199</v>
      </c>
      <c r="G5243" s="5">
        <v>659.49</v>
      </c>
    </row>
    <row r="5244" spans="1:7" x14ac:dyDescent="0.2">
      <c r="A5244" s="3">
        <v>70</v>
      </c>
      <c r="B5244" s="2">
        <v>46164.3</v>
      </c>
      <c r="C5244" s="38">
        <v>44721</v>
      </c>
      <c r="D5244" s="1" t="s">
        <v>258</v>
      </c>
      <c r="E5244" s="1" t="s">
        <v>33</v>
      </c>
      <c r="F5244" s="1" t="s">
        <v>199</v>
      </c>
      <c r="G5244" s="5">
        <v>659.49</v>
      </c>
    </row>
    <row r="5245" spans="1:7" x14ac:dyDescent="0.2">
      <c r="A5245" s="3">
        <v>70</v>
      </c>
      <c r="B5245" s="2">
        <v>46164.3</v>
      </c>
      <c r="C5245" s="38">
        <v>44721</v>
      </c>
      <c r="D5245" s="1" t="s">
        <v>258</v>
      </c>
      <c r="E5245" s="1" t="s">
        <v>33</v>
      </c>
      <c r="F5245" s="1" t="s">
        <v>199</v>
      </c>
      <c r="G5245" s="5">
        <v>659.49</v>
      </c>
    </row>
    <row r="5246" spans="1:7" x14ac:dyDescent="0.2">
      <c r="A5246" s="3">
        <v>70</v>
      </c>
      <c r="B5246" s="2">
        <v>46164.3</v>
      </c>
      <c r="C5246" s="38">
        <v>44721</v>
      </c>
      <c r="D5246" s="1" t="s">
        <v>258</v>
      </c>
      <c r="E5246" s="1" t="s">
        <v>33</v>
      </c>
      <c r="F5246" s="1" t="s">
        <v>199</v>
      </c>
      <c r="G5246" s="5">
        <v>659.49</v>
      </c>
    </row>
    <row r="5247" spans="1:7" x14ac:dyDescent="0.2">
      <c r="A5247" s="3">
        <v>70</v>
      </c>
      <c r="B5247" s="2">
        <v>46164.3</v>
      </c>
      <c r="C5247" s="38">
        <v>44721</v>
      </c>
      <c r="D5247" s="1" t="s">
        <v>258</v>
      </c>
      <c r="E5247" s="1" t="s">
        <v>33</v>
      </c>
      <c r="F5247" s="1" t="s">
        <v>199</v>
      </c>
      <c r="G5247" s="5">
        <v>659.49</v>
      </c>
    </row>
    <row r="5248" spans="1:7" x14ac:dyDescent="0.2">
      <c r="A5248" s="3">
        <v>70</v>
      </c>
      <c r="B5248" s="2">
        <v>46164.3</v>
      </c>
      <c r="C5248" s="38">
        <v>44721</v>
      </c>
      <c r="D5248" s="1" t="s">
        <v>258</v>
      </c>
      <c r="E5248" s="1" t="s">
        <v>33</v>
      </c>
      <c r="F5248" s="1" t="s">
        <v>199</v>
      </c>
      <c r="G5248" s="5">
        <v>659.49</v>
      </c>
    </row>
    <row r="5249" spans="1:7" x14ac:dyDescent="0.2">
      <c r="A5249" s="3">
        <v>70</v>
      </c>
      <c r="B5249" s="2">
        <v>46164.3</v>
      </c>
      <c r="C5249" s="38">
        <v>44721</v>
      </c>
      <c r="D5249" s="1" t="s">
        <v>258</v>
      </c>
      <c r="E5249" s="1" t="s">
        <v>33</v>
      </c>
      <c r="F5249" s="1" t="s">
        <v>199</v>
      </c>
      <c r="G5249" s="5">
        <v>659.49</v>
      </c>
    </row>
    <row r="5250" spans="1:7" x14ac:dyDescent="0.2">
      <c r="A5250" s="3">
        <v>70</v>
      </c>
      <c r="B5250" s="2">
        <v>46164.3</v>
      </c>
      <c r="C5250" s="38">
        <v>44721</v>
      </c>
      <c r="D5250" s="1" t="s">
        <v>258</v>
      </c>
      <c r="E5250" s="1" t="s">
        <v>33</v>
      </c>
      <c r="F5250" s="1" t="s">
        <v>199</v>
      </c>
      <c r="G5250" s="5">
        <v>659.49</v>
      </c>
    </row>
    <row r="5251" spans="1:7" x14ac:dyDescent="0.2">
      <c r="A5251" s="3">
        <v>70</v>
      </c>
      <c r="B5251" s="2">
        <v>46164.3</v>
      </c>
      <c r="C5251" s="38">
        <v>44721</v>
      </c>
      <c r="D5251" s="1" t="s">
        <v>258</v>
      </c>
      <c r="E5251" s="1" t="s">
        <v>33</v>
      </c>
      <c r="F5251" s="1" t="s">
        <v>199</v>
      </c>
      <c r="G5251" s="5">
        <v>659.49</v>
      </c>
    </row>
    <row r="5252" spans="1:7" x14ac:dyDescent="0.2">
      <c r="A5252" s="3">
        <v>70</v>
      </c>
      <c r="B5252" s="2">
        <v>46164.3</v>
      </c>
      <c r="C5252" s="38">
        <v>44721</v>
      </c>
      <c r="D5252" s="1" t="s">
        <v>258</v>
      </c>
      <c r="E5252" s="1" t="s">
        <v>33</v>
      </c>
      <c r="F5252" s="1" t="s">
        <v>199</v>
      </c>
      <c r="G5252" s="5">
        <v>659.49</v>
      </c>
    </row>
    <row r="5253" spans="1:7" x14ac:dyDescent="0.2">
      <c r="A5253" s="3">
        <v>70</v>
      </c>
      <c r="B5253" s="2">
        <v>46164.3</v>
      </c>
      <c r="C5253" s="38">
        <v>44721</v>
      </c>
      <c r="D5253" s="1" t="s">
        <v>258</v>
      </c>
      <c r="E5253" s="1" t="s">
        <v>33</v>
      </c>
      <c r="F5253" s="1" t="s">
        <v>199</v>
      </c>
      <c r="G5253" s="5">
        <v>659.49</v>
      </c>
    </row>
    <row r="5254" spans="1:7" x14ac:dyDescent="0.2">
      <c r="A5254" s="3">
        <v>70</v>
      </c>
      <c r="B5254" s="2">
        <v>46164.3</v>
      </c>
      <c r="C5254" s="38">
        <v>44721</v>
      </c>
      <c r="D5254" s="1" t="s">
        <v>258</v>
      </c>
      <c r="E5254" s="1" t="s">
        <v>33</v>
      </c>
      <c r="F5254" s="1" t="s">
        <v>199</v>
      </c>
      <c r="G5254" s="5">
        <v>659.49</v>
      </c>
    </row>
    <row r="5255" spans="1:7" x14ac:dyDescent="0.2">
      <c r="A5255" s="3">
        <v>70</v>
      </c>
      <c r="B5255" s="2">
        <v>46164.3</v>
      </c>
      <c r="C5255" s="38">
        <v>44721</v>
      </c>
      <c r="D5255" s="1" t="s">
        <v>258</v>
      </c>
      <c r="E5255" s="1" t="s">
        <v>33</v>
      </c>
      <c r="F5255" s="1" t="s">
        <v>199</v>
      </c>
      <c r="G5255" s="5">
        <v>659.49</v>
      </c>
    </row>
    <row r="5256" spans="1:7" x14ac:dyDescent="0.2">
      <c r="A5256" s="3">
        <v>70</v>
      </c>
      <c r="B5256" s="2">
        <v>46164.3</v>
      </c>
      <c r="C5256" s="38">
        <v>44721</v>
      </c>
      <c r="D5256" s="1" t="s">
        <v>258</v>
      </c>
      <c r="E5256" s="1" t="s">
        <v>33</v>
      </c>
      <c r="F5256" s="1" t="s">
        <v>199</v>
      </c>
      <c r="G5256" s="5">
        <v>659.49</v>
      </c>
    </row>
    <row r="5257" spans="1:7" x14ac:dyDescent="0.2">
      <c r="A5257" s="3">
        <v>70</v>
      </c>
      <c r="B5257" s="2">
        <v>46164.3</v>
      </c>
      <c r="C5257" s="38">
        <v>44721</v>
      </c>
      <c r="D5257" s="1" t="s">
        <v>258</v>
      </c>
      <c r="E5257" s="1" t="s">
        <v>33</v>
      </c>
      <c r="F5257" s="1" t="s">
        <v>199</v>
      </c>
      <c r="G5257" s="5">
        <v>659.49</v>
      </c>
    </row>
    <row r="5258" spans="1:7" x14ac:dyDescent="0.2">
      <c r="A5258" s="3">
        <v>70</v>
      </c>
      <c r="B5258" s="2">
        <v>46164.3</v>
      </c>
      <c r="C5258" s="38">
        <v>44721</v>
      </c>
      <c r="D5258" s="1" t="s">
        <v>258</v>
      </c>
      <c r="E5258" s="1" t="s">
        <v>33</v>
      </c>
      <c r="F5258" s="1" t="s">
        <v>199</v>
      </c>
      <c r="G5258" s="5">
        <v>659.49</v>
      </c>
    </row>
    <row r="5259" spans="1:7" x14ac:dyDescent="0.2">
      <c r="A5259" s="3">
        <v>70</v>
      </c>
      <c r="B5259" s="2">
        <v>46164.3</v>
      </c>
      <c r="C5259" s="38">
        <v>44721</v>
      </c>
      <c r="D5259" s="1" t="s">
        <v>258</v>
      </c>
      <c r="E5259" s="1" t="s">
        <v>33</v>
      </c>
      <c r="F5259" s="1" t="s">
        <v>199</v>
      </c>
      <c r="G5259" s="5">
        <v>659.49</v>
      </c>
    </row>
    <row r="5260" spans="1:7" x14ac:dyDescent="0.2">
      <c r="A5260" s="3">
        <v>70</v>
      </c>
      <c r="B5260" s="2">
        <v>46164.3</v>
      </c>
      <c r="C5260" s="38">
        <v>44721</v>
      </c>
      <c r="D5260" s="1" t="s">
        <v>258</v>
      </c>
      <c r="E5260" s="1" t="s">
        <v>33</v>
      </c>
      <c r="F5260" s="1" t="s">
        <v>199</v>
      </c>
      <c r="G5260" s="5">
        <v>659.49</v>
      </c>
    </row>
    <row r="5261" spans="1:7" x14ac:dyDescent="0.2">
      <c r="A5261" s="3">
        <v>70</v>
      </c>
      <c r="B5261" s="2">
        <v>46164.3</v>
      </c>
      <c r="C5261" s="38">
        <v>44721</v>
      </c>
      <c r="D5261" s="1" t="s">
        <v>258</v>
      </c>
      <c r="E5261" s="1" t="s">
        <v>33</v>
      </c>
      <c r="F5261" s="1" t="s">
        <v>199</v>
      </c>
      <c r="G5261" s="5">
        <v>659.49</v>
      </c>
    </row>
    <row r="5262" spans="1:7" x14ac:dyDescent="0.2">
      <c r="A5262" s="3">
        <v>70</v>
      </c>
      <c r="B5262" s="2">
        <v>46164.3</v>
      </c>
      <c r="C5262" s="38">
        <v>44721</v>
      </c>
      <c r="D5262" s="1" t="s">
        <v>258</v>
      </c>
      <c r="E5262" s="1" t="s">
        <v>33</v>
      </c>
      <c r="F5262" s="1" t="s">
        <v>199</v>
      </c>
      <c r="G5262" s="5">
        <v>659.49</v>
      </c>
    </row>
    <row r="5263" spans="1:7" x14ac:dyDescent="0.2">
      <c r="A5263" s="3">
        <v>70</v>
      </c>
      <c r="B5263" s="2">
        <v>46164.3</v>
      </c>
      <c r="C5263" s="38">
        <v>44721</v>
      </c>
      <c r="D5263" s="1" t="s">
        <v>258</v>
      </c>
      <c r="E5263" s="1" t="s">
        <v>33</v>
      </c>
      <c r="F5263" s="1" t="s">
        <v>199</v>
      </c>
      <c r="G5263" s="5">
        <v>659.49</v>
      </c>
    </row>
    <row r="5264" spans="1:7" x14ac:dyDescent="0.2">
      <c r="A5264" s="3">
        <v>70</v>
      </c>
      <c r="B5264" s="2">
        <v>46164.3</v>
      </c>
      <c r="C5264" s="38">
        <v>44721</v>
      </c>
      <c r="D5264" s="1" t="s">
        <v>258</v>
      </c>
      <c r="E5264" s="1" t="s">
        <v>33</v>
      </c>
      <c r="F5264" s="1" t="s">
        <v>199</v>
      </c>
      <c r="G5264" s="5">
        <v>659.49</v>
      </c>
    </row>
    <row r="5265" spans="1:7" x14ac:dyDescent="0.2">
      <c r="A5265" s="3">
        <v>70</v>
      </c>
      <c r="B5265" s="2">
        <v>46164.3</v>
      </c>
      <c r="C5265" s="38">
        <v>44721</v>
      </c>
      <c r="D5265" s="1" t="s">
        <v>258</v>
      </c>
      <c r="E5265" s="1" t="s">
        <v>33</v>
      </c>
      <c r="F5265" s="1" t="s">
        <v>199</v>
      </c>
      <c r="G5265" s="5">
        <v>659.49</v>
      </c>
    </row>
    <row r="5266" spans="1:7" x14ac:dyDescent="0.2">
      <c r="A5266" s="3">
        <v>70</v>
      </c>
      <c r="B5266" s="2">
        <v>46164.3</v>
      </c>
      <c r="C5266" s="38">
        <v>44721</v>
      </c>
      <c r="D5266" s="1" t="s">
        <v>258</v>
      </c>
      <c r="E5266" s="1" t="s">
        <v>33</v>
      </c>
      <c r="F5266" s="1" t="s">
        <v>199</v>
      </c>
      <c r="G5266" s="5">
        <v>659.49</v>
      </c>
    </row>
    <row r="5267" spans="1:7" x14ac:dyDescent="0.2">
      <c r="A5267" s="3">
        <v>70</v>
      </c>
      <c r="B5267" s="2">
        <v>46164.3</v>
      </c>
      <c r="C5267" s="38">
        <v>44721</v>
      </c>
      <c r="D5267" s="1" t="s">
        <v>258</v>
      </c>
      <c r="E5267" s="1" t="s">
        <v>33</v>
      </c>
      <c r="F5267" s="1" t="s">
        <v>199</v>
      </c>
      <c r="G5267" s="5">
        <v>659.49</v>
      </c>
    </row>
    <row r="5268" spans="1:7" x14ac:dyDescent="0.2">
      <c r="A5268" s="3">
        <v>70</v>
      </c>
      <c r="B5268" s="2">
        <v>46164.3</v>
      </c>
      <c r="C5268" s="38">
        <v>44721</v>
      </c>
      <c r="D5268" s="1" t="s">
        <v>258</v>
      </c>
      <c r="E5268" s="1" t="s">
        <v>33</v>
      </c>
      <c r="F5268" s="1" t="s">
        <v>199</v>
      </c>
      <c r="G5268" s="5">
        <v>659.49</v>
      </c>
    </row>
    <row r="5269" spans="1:7" x14ac:dyDescent="0.2">
      <c r="A5269" s="3">
        <v>70</v>
      </c>
      <c r="B5269" s="2">
        <v>46164.3</v>
      </c>
      <c r="C5269" s="38">
        <v>44721</v>
      </c>
      <c r="D5269" s="1" t="s">
        <v>258</v>
      </c>
      <c r="E5269" s="1" t="s">
        <v>33</v>
      </c>
      <c r="F5269" s="1" t="s">
        <v>199</v>
      </c>
      <c r="G5269" s="5">
        <v>659.49</v>
      </c>
    </row>
    <row r="5270" spans="1:7" x14ac:dyDescent="0.2">
      <c r="A5270" s="3">
        <v>70</v>
      </c>
      <c r="B5270" s="2">
        <v>46164.3</v>
      </c>
      <c r="C5270" s="38">
        <v>44721</v>
      </c>
      <c r="D5270" s="1" t="s">
        <v>258</v>
      </c>
      <c r="E5270" s="1" t="s">
        <v>33</v>
      </c>
      <c r="F5270" s="1" t="s">
        <v>199</v>
      </c>
      <c r="G5270" s="5">
        <v>659.49</v>
      </c>
    </row>
    <row r="5271" spans="1:7" x14ac:dyDescent="0.2">
      <c r="A5271" s="3">
        <v>70</v>
      </c>
      <c r="B5271" s="2">
        <v>46164.3</v>
      </c>
      <c r="C5271" s="38">
        <v>44721</v>
      </c>
      <c r="D5271" s="1" t="s">
        <v>258</v>
      </c>
      <c r="E5271" s="1" t="s">
        <v>33</v>
      </c>
      <c r="F5271" s="1" t="s">
        <v>199</v>
      </c>
      <c r="G5271" s="5">
        <v>659.49</v>
      </c>
    </row>
    <row r="5272" spans="1:7" x14ac:dyDescent="0.2">
      <c r="A5272" s="3">
        <v>70</v>
      </c>
      <c r="B5272" s="2">
        <v>46164.3</v>
      </c>
      <c r="C5272" s="38">
        <v>44721</v>
      </c>
      <c r="D5272" s="1" t="s">
        <v>258</v>
      </c>
      <c r="E5272" s="1" t="s">
        <v>33</v>
      </c>
      <c r="F5272" s="1" t="s">
        <v>199</v>
      </c>
      <c r="G5272" s="5">
        <v>659.49</v>
      </c>
    </row>
    <row r="5273" spans="1:7" x14ac:dyDescent="0.2">
      <c r="A5273" s="3">
        <v>70</v>
      </c>
      <c r="B5273" s="2">
        <v>46164.3</v>
      </c>
      <c r="C5273" s="38">
        <v>44721</v>
      </c>
      <c r="D5273" s="1" t="s">
        <v>258</v>
      </c>
      <c r="E5273" s="1" t="s">
        <v>33</v>
      </c>
      <c r="F5273" s="1" t="s">
        <v>199</v>
      </c>
      <c r="G5273" s="5">
        <v>659.49</v>
      </c>
    </row>
    <row r="5274" spans="1:7" x14ac:dyDescent="0.2">
      <c r="A5274" s="3">
        <v>70</v>
      </c>
      <c r="B5274" s="2">
        <v>46164.3</v>
      </c>
      <c r="C5274" s="38">
        <v>44721</v>
      </c>
      <c r="D5274" s="1" t="s">
        <v>258</v>
      </c>
      <c r="E5274" s="1" t="s">
        <v>33</v>
      </c>
      <c r="F5274" s="1" t="s">
        <v>199</v>
      </c>
      <c r="G5274" s="5">
        <v>659.49</v>
      </c>
    </row>
    <row r="5275" spans="1:7" x14ac:dyDescent="0.2">
      <c r="A5275" s="3">
        <v>70</v>
      </c>
      <c r="B5275" s="2">
        <v>46164.3</v>
      </c>
      <c r="C5275" s="38">
        <v>44721</v>
      </c>
      <c r="D5275" s="1" t="s">
        <v>258</v>
      </c>
      <c r="E5275" s="1" t="s">
        <v>33</v>
      </c>
      <c r="F5275" s="1" t="s">
        <v>199</v>
      </c>
      <c r="G5275" s="5">
        <v>659.49</v>
      </c>
    </row>
    <row r="5276" spans="1:7" x14ac:dyDescent="0.2">
      <c r="A5276" s="3">
        <v>70</v>
      </c>
      <c r="B5276" s="2">
        <v>46164.3</v>
      </c>
      <c r="C5276" s="38">
        <v>44721</v>
      </c>
      <c r="D5276" s="1" t="s">
        <v>258</v>
      </c>
      <c r="E5276" s="1" t="s">
        <v>33</v>
      </c>
      <c r="F5276" s="1" t="s">
        <v>199</v>
      </c>
      <c r="G5276" s="5">
        <v>659.49</v>
      </c>
    </row>
    <row r="5277" spans="1:7" x14ac:dyDescent="0.2">
      <c r="A5277" s="3">
        <v>70</v>
      </c>
      <c r="B5277" s="2">
        <v>46164.3</v>
      </c>
      <c r="C5277" s="38">
        <v>44729</v>
      </c>
      <c r="D5277" s="1" t="s">
        <v>258</v>
      </c>
      <c r="E5277" s="1" t="s">
        <v>33</v>
      </c>
      <c r="F5277" s="1" t="s">
        <v>199</v>
      </c>
      <c r="G5277" s="5">
        <v>659.49</v>
      </c>
    </row>
    <row r="5278" spans="1:7" x14ac:dyDescent="0.2">
      <c r="A5278" s="3">
        <v>70</v>
      </c>
      <c r="B5278" s="2">
        <v>46164.3</v>
      </c>
      <c r="C5278" s="38">
        <v>44929</v>
      </c>
      <c r="D5278" s="1" t="s">
        <v>258</v>
      </c>
      <c r="E5278" s="1" t="s">
        <v>33</v>
      </c>
      <c r="F5278" s="1" t="s">
        <v>199</v>
      </c>
      <c r="G5278" s="5">
        <v>659.49</v>
      </c>
    </row>
    <row r="5279" spans="1:7" x14ac:dyDescent="0.2">
      <c r="A5279" s="3">
        <v>70</v>
      </c>
      <c r="B5279" s="2">
        <v>46164.3</v>
      </c>
      <c r="C5279" s="38">
        <v>44929</v>
      </c>
      <c r="D5279" s="1" t="s">
        <v>258</v>
      </c>
      <c r="E5279" s="1" t="s">
        <v>33</v>
      </c>
      <c r="F5279" s="1" t="s">
        <v>199</v>
      </c>
      <c r="G5279" s="5">
        <v>659.49</v>
      </c>
    </row>
    <row r="5280" spans="1:7" x14ac:dyDescent="0.2">
      <c r="A5280" s="3">
        <v>70</v>
      </c>
      <c r="B5280" s="2">
        <v>46164.3</v>
      </c>
      <c r="C5280" s="38">
        <v>44929</v>
      </c>
      <c r="D5280" s="1" t="s">
        <v>258</v>
      </c>
      <c r="E5280" s="1" t="s">
        <v>33</v>
      </c>
      <c r="F5280" s="1" t="s">
        <v>199</v>
      </c>
      <c r="G5280" s="5">
        <v>659.49</v>
      </c>
    </row>
    <row r="5281" spans="1:7" x14ac:dyDescent="0.2">
      <c r="A5281" s="3">
        <v>70</v>
      </c>
      <c r="B5281" s="2">
        <v>46164.3</v>
      </c>
      <c r="C5281" s="38">
        <v>44929</v>
      </c>
      <c r="D5281" s="1" t="s">
        <v>258</v>
      </c>
      <c r="E5281" s="1" t="s">
        <v>33</v>
      </c>
      <c r="F5281" s="1" t="s">
        <v>199</v>
      </c>
      <c r="G5281" s="5">
        <v>659.49</v>
      </c>
    </row>
    <row r="5282" spans="1:7" x14ac:dyDescent="0.2">
      <c r="A5282" s="3">
        <v>70</v>
      </c>
      <c r="B5282" s="2">
        <v>46164.3</v>
      </c>
      <c r="C5282" s="38">
        <v>44873</v>
      </c>
      <c r="D5282" s="1" t="s">
        <v>258</v>
      </c>
      <c r="E5282" s="1" t="s">
        <v>33</v>
      </c>
      <c r="F5282" s="1" t="s">
        <v>199</v>
      </c>
      <c r="G5282" s="5">
        <v>659.49</v>
      </c>
    </row>
    <row r="5283" spans="1:7" x14ac:dyDescent="0.2">
      <c r="A5283" s="3">
        <v>70</v>
      </c>
      <c r="B5283" s="2">
        <v>46164.3</v>
      </c>
      <c r="C5283" s="38">
        <v>44875</v>
      </c>
      <c r="D5283" s="1" t="s">
        <v>258</v>
      </c>
      <c r="E5283" s="1" t="s">
        <v>33</v>
      </c>
      <c r="F5283" s="1" t="s">
        <v>199</v>
      </c>
      <c r="G5283" s="5">
        <v>659.49</v>
      </c>
    </row>
    <row r="5284" spans="1:7" x14ac:dyDescent="0.2">
      <c r="A5284" s="3">
        <v>70</v>
      </c>
      <c r="B5284" s="2">
        <v>46164.3</v>
      </c>
      <c r="C5284" s="38">
        <v>44875</v>
      </c>
      <c r="D5284" s="1" t="s">
        <v>258</v>
      </c>
      <c r="E5284" s="1" t="s">
        <v>33</v>
      </c>
      <c r="F5284" s="1" t="s">
        <v>199</v>
      </c>
      <c r="G5284" s="5">
        <v>659.49</v>
      </c>
    </row>
    <row r="5285" spans="1:7" x14ac:dyDescent="0.2">
      <c r="A5285" s="3">
        <v>70</v>
      </c>
      <c r="B5285" s="2">
        <v>46164.3</v>
      </c>
      <c r="C5285" s="38">
        <v>44875</v>
      </c>
      <c r="D5285" s="1" t="s">
        <v>258</v>
      </c>
      <c r="E5285" s="1" t="s">
        <v>33</v>
      </c>
      <c r="F5285" s="1" t="s">
        <v>199</v>
      </c>
      <c r="G5285" s="5">
        <v>659.49</v>
      </c>
    </row>
    <row r="5286" spans="1:7" x14ac:dyDescent="0.2">
      <c r="A5286" s="3">
        <v>70</v>
      </c>
      <c r="B5286" s="2">
        <v>46164.3</v>
      </c>
      <c r="C5286" s="38">
        <v>44875</v>
      </c>
      <c r="D5286" s="1" t="s">
        <v>258</v>
      </c>
      <c r="E5286" s="1" t="s">
        <v>33</v>
      </c>
      <c r="F5286" s="1" t="s">
        <v>199</v>
      </c>
      <c r="G5286" s="5">
        <v>659.49</v>
      </c>
    </row>
    <row r="5287" spans="1:7" x14ac:dyDescent="0.2">
      <c r="A5287" s="3">
        <v>70</v>
      </c>
      <c r="B5287" s="2">
        <v>46164.3</v>
      </c>
      <c r="C5287" s="38">
        <v>44875</v>
      </c>
      <c r="D5287" s="1" t="s">
        <v>258</v>
      </c>
      <c r="E5287" s="1" t="s">
        <v>33</v>
      </c>
      <c r="F5287" s="1" t="s">
        <v>199</v>
      </c>
      <c r="G5287" s="5">
        <v>659.49</v>
      </c>
    </row>
    <row r="5288" spans="1:7" x14ac:dyDescent="0.2">
      <c r="A5288" s="3">
        <v>70</v>
      </c>
      <c r="B5288" s="2">
        <v>46164.3</v>
      </c>
      <c r="C5288" s="38">
        <v>44875</v>
      </c>
      <c r="D5288" s="1" t="s">
        <v>258</v>
      </c>
      <c r="E5288" s="1" t="s">
        <v>33</v>
      </c>
      <c r="F5288" s="1" t="s">
        <v>199</v>
      </c>
      <c r="G5288" s="5">
        <v>659.49</v>
      </c>
    </row>
    <row r="5289" spans="1:7" x14ac:dyDescent="0.2">
      <c r="A5289" s="3">
        <v>70</v>
      </c>
      <c r="B5289" s="2">
        <v>46164.3</v>
      </c>
      <c r="C5289" s="38">
        <v>44875</v>
      </c>
      <c r="D5289" s="1" t="s">
        <v>258</v>
      </c>
      <c r="E5289" s="1" t="s">
        <v>33</v>
      </c>
      <c r="F5289" s="1" t="s">
        <v>199</v>
      </c>
      <c r="G5289" s="5">
        <v>659.49</v>
      </c>
    </row>
    <row r="5290" spans="1:7" x14ac:dyDescent="0.2">
      <c r="A5290" s="3">
        <v>70</v>
      </c>
      <c r="B5290" s="2">
        <v>46164.3</v>
      </c>
      <c r="C5290" s="38">
        <v>44875</v>
      </c>
      <c r="D5290" s="1" t="s">
        <v>258</v>
      </c>
      <c r="E5290" s="1" t="s">
        <v>33</v>
      </c>
      <c r="F5290" s="1" t="s">
        <v>199</v>
      </c>
      <c r="G5290" s="5">
        <v>659.49</v>
      </c>
    </row>
    <row r="5291" spans="1:7" x14ac:dyDescent="0.2">
      <c r="A5291" s="3">
        <v>70</v>
      </c>
      <c r="B5291" s="2">
        <v>46164.3</v>
      </c>
      <c r="C5291" s="38">
        <v>44875</v>
      </c>
      <c r="D5291" s="1" t="s">
        <v>258</v>
      </c>
      <c r="E5291" s="1" t="s">
        <v>33</v>
      </c>
      <c r="F5291" s="1" t="s">
        <v>199</v>
      </c>
      <c r="G5291" s="5">
        <v>659.49</v>
      </c>
    </row>
    <row r="5292" spans="1:7" x14ac:dyDescent="0.2">
      <c r="A5292" s="3">
        <v>70</v>
      </c>
      <c r="B5292" s="2">
        <v>46164.3</v>
      </c>
      <c r="C5292" s="38">
        <v>44875</v>
      </c>
      <c r="D5292" s="1" t="s">
        <v>258</v>
      </c>
      <c r="E5292" s="1" t="s">
        <v>33</v>
      </c>
      <c r="F5292" s="1" t="s">
        <v>199</v>
      </c>
      <c r="G5292" s="5">
        <v>659.49</v>
      </c>
    </row>
    <row r="5293" spans="1:7" x14ac:dyDescent="0.2">
      <c r="A5293" s="3">
        <v>70</v>
      </c>
      <c r="B5293" s="2">
        <v>46164.3</v>
      </c>
      <c r="C5293" s="38">
        <v>44897</v>
      </c>
      <c r="D5293" s="1" t="s">
        <v>258</v>
      </c>
      <c r="E5293" s="1" t="s">
        <v>33</v>
      </c>
      <c r="F5293" s="1" t="s">
        <v>199</v>
      </c>
      <c r="G5293" s="5">
        <v>659.49</v>
      </c>
    </row>
    <row r="5294" spans="1:7" x14ac:dyDescent="0.2">
      <c r="A5294" s="3">
        <v>70</v>
      </c>
      <c r="B5294" s="2">
        <v>46164.3</v>
      </c>
      <c r="C5294" s="38">
        <v>44753</v>
      </c>
      <c r="D5294" s="1" t="s">
        <v>258</v>
      </c>
      <c r="E5294" s="1" t="s">
        <v>33</v>
      </c>
      <c r="F5294" s="1" t="s">
        <v>199</v>
      </c>
      <c r="G5294" s="5">
        <v>659.49</v>
      </c>
    </row>
    <row r="5295" spans="1:7" x14ac:dyDescent="0.2">
      <c r="A5295" s="3">
        <v>70</v>
      </c>
      <c r="B5295" s="2">
        <v>46164.3</v>
      </c>
      <c r="C5295" s="38">
        <v>44753</v>
      </c>
      <c r="D5295" s="1" t="s">
        <v>258</v>
      </c>
      <c r="E5295" s="1" t="s">
        <v>33</v>
      </c>
      <c r="F5295" s="1" t="s">
        <v>199</v>
      </c>
      <c r="G5295" s="5">
        <v>659.49</v>
      </c>
    </row>
    <row r="5296" spans="1:7" x14ac:dyDescent="0.2">
      <c r="A5296" s="3">
        <v>70</v>
      </c>
      <c r="B5296" s="2">
        <v>46164.3</v>
      </c>
      <c r="C5296" s="38">
        <v>44753</v>
      </c>
      <c r="D5296" s="1" t="s">
        <v>258</v>
      </c>
      <c r="E5296" s="1" t="s">
        <v>33</v>
      </c>
      <c r="F5296" s="1" t="s">
        <v>199</v>
      </c>
      <c r="G5296" s="5">
        <v>659.49</v>
      </c>
    </row>
    <row r="5297" spans="1:7" x14ac:dyDescent="0.2">
      <c r="A5297" s="3">
        <v>70</v>
      </c>
      <c r="B5297" s="2">
        <v>46164.3</v>
      </c>
      <c r="C5297" s="38">
        <v>44753</v>
      </c>
      <c r="D5297" s="1" t="s">
        <v>258</v>
      </c>
      <c r="E5297" s="1" t="s">
        <v>33</v>
      </c>
      <c r="F5297" s="1" t="s">
        <v>199</v>
      </c>
      <c r="G5297" s="5">
        <v>659.49</v>
      </c>
    </row>
    <row r="5298" spans="1:7" x14ac:dyDescent="0.2">
      <c r="A5298" s="3">
        <v>70</v>
      </c>
      <c r="B5298" s="2">
        <v>46164.3</v>
      </c>
      <c r="C5298" s="38">
        <v>44753</v>
      </c>
      <c r="D5298" s="1" t="s">
        <v>258</v>
      </c>
      <c r="E5298" s="1" t="s">
        <v>33</v>
      </c>
      <c r="F5298" s="1" t="s">
        <v>199</v>
      </c>
      <c r="G5298" s="5">
        <v>659.49</v>
      </c>
    </row>
    <row r="5299" spans="1:7" x14ac:dyDescent="0.2">
      <c r="A5299" s="3">
        <v>70</v>
      </c>
      <c r="B5299" s="2">
        <v>46164.3</v>
      </c>
      <c r="C5299" s="38">
        <v>44753</v>
      </c>
      <c r="D5299" s="1" t="s">
        <v>258</v>
      </c>
      <c r="E5299" s="1" t="s">
        <v>33</v>
      </c>
      <c r="F5299" s="1" t="s">
        <v>199</v>
      </c>
      <c r="G5299" s="5">
        <v>659.49</v>
      </c>
    </row>
    <row r="5300" spans="1:7" x14ac:dyDescent="0.2">
      <c r="A5300" s="3">
        <v>70</v>
      </c>
      <c r="B5300" s="2">
        <v>46164.3</v>
      </c>
      <c r="C5300" s="38">
        <v>44753</v>
      </c>
      <c r="D5300" s="1" t="s">
        <v>258</v>
      </c>
      <c r="E5300" s="1" t="s">
        <v>33</v>
      </c>
      <c r="F5300" s="1" t="s">
        <v>199</v>
      </c>
      <c r="G5300" s="5">
        <v>659.49</v>
      </c>
    </row>
    <row r="5301" spans="1:7" x14ac:dyDescent="0.2">
      <c r="A5301" s="3">
        <v>70</v>
      </c>
      <c r="B5301" s="2">
        <v>46164.3</v>
      </c>
      <c r="C5301" s="38">
        <v>44753</v>
      </c>
      <c r="D5301" s="1" t="s">
        <v>258</v>
      </c>
      <c r="E5301" s="1" t="s">
        <v>33</v>
      </c>
      <c r="F5301" s="1" t="s">
        <v>199</v>
      </c>
      <c r="G5301" s="5">
        <v>659.49</v>
      </c>
    </row>
    <row r="5302" spans="1:7" x14ac:dyDescent="0.2">
      <c r="A5302" s="3">
        <v>70</v>
      </c>
      <c r="B5302" s="2">
        <v>46164.3</v>
      </c>
      <c r="C5302" s="38">
        <v>44753</v>
      </c>
      <c r="D5302" s="1" t="s">
        <v>258</v>
      </c>
      <c r="E5302" s="1" t="s">
        <v>33</v>
      </c>
      <c r="F5302" s="1" t="s">
        <v>199</v>
      </c>
      <c r="G5302" s="5">
        <v>659.49</v>
      </c>
    </row>
    <row r="5303" spans="1:7" x14ac:dyDescent="0.2">
      <c r="A5303" s="3">
        <v>70</v>
      </c>
      <c r="B5303" s="2">
        <v>46164.3</v>
      </c>
      <c r="C5303" s="38">
        <v>44753</v>
      </c>
      <c r="D5303" s="1" t="s">
        <v>258</v>
      </c>
      <c r="E5303" s="1" t="s">
        <v>33</v>
      </c>
      <c r="F5303" s="1" t="s">
        <v>199</v>
      </c>
      <c r="G5303" s="5">
        <v>659.49</v>
      </c>
    </row>
    <row r="5304" spans="1:7" x14ac:dyDescent="0.2">
      <c r="A5304" s="3">
        <v>70</v>
      </c>
      <c r="B5304" s="2">
        <v>46164.3</v>
      </c>
      <c r="C5304" s="38">
        <v>44753</v>
      </c>
      <c r="D5304" s="1" t="s">
        <v>258</v>
      </c>
      <c r="E5304" s="1" t="s">
        <v>33</v>
      </c>
      <c r="F5304" s="1" t="s">
        <v>199</v>
      </c>
      <c r="G5304" s="5">
        <v>659.49</v>
      </c>
    </row>
    <row r="5305" spans="1:7" x14ac:dyDescent="0.2">
      <c r="A5305" s="3">
        <v>70</v>
      </c>
      <c r="B5305" s="2">
        <v>46164.3</v>
      </c>
      <c r="C5305" s="38">
        <v>44753</v>
      </c>
      <c r="D5305" s="1" t="s">
        <v>258</v>
      </c>
      <c r="E5305" s="1" t="s">
        <v>33</v>
      </c>
      <c r="F5305" s="1" t="s">
        <v>199</v>
      </c>
      <c r="G5305" s="5">
        <v>659.49</v>
      </c>
    </row>
    <row r="5306" spans="1:7" x14ac:dyDescent="0.2">
      <c r="A5306" s="3">
        <v>70</v>
      </c>
      <c r="B5306" s="2">
        <v>46164.3</v>
      </c>
      <c r="C5306" s="38">
        <v>44806</v>
      </c>
      <c r="D5306" s="1" t="s">
        <v>258</v>
      </c>
      <c r="E5306" s="1" t="s">
        <v>33</v>
      </c>
      <c r="F5306" s="1" t="s">
        <v>199</v>
      </c>
      <c r="G5306" s="5">
        <v>659.49</v>
      </c>
    </row>
    <row r="5307" spans="1:7" x14ac:dyDescent="0.2">
      <c r="A5307" s="3">
        <v>70</v>
      </c>
      <c r="B5307" s="2">
        <v>46164.3</v>
      </c>
      <c r="C5307" s="38">
        <v>44806</v>
      </c>
      <c r="D5307" s="1" t="s">
        <v>258</v>
      </c>
      <c r="E5307" s="1" t="s">
        <v>33</v>
      </c>
      <c r="F5307" s="1" t="s">
        <v>199</v>
      </c>
      <c r="G5307" s="5">
        <v>659.49</v>
      </c>
    </row>
    <row r="5308" spans="1:7" x14ac:dyDescent="0.2">
      <c r="A5308" s="3">
        <v>70</v>
      </c>
      <c r="B5308" s="2">
        <v>46164.3</v>
      </c>
      <c r="C5308" s="38">
        <v>44806</v>
      </c>
      <c r="D5308" s="1" t="s">
        <v>258</v>
      </c>
      <c r="E5308" s="1" t="s">
        <v>33</v>
      </c>
      <c r="F5308" s="1" t="s">
        <v>199</v>
      </c>
      <c r="G5308" s="5">
        <v>659.49</v>
      </c>
    </row>
    <row r="5309" spans="1:7" x14ac:dyDescent="0.2">
      <c r="A5309" s="3">
        <v>70</v>
      </c>
      <c r="B5309" s="2">
        <v>46164.3</v>
      </c>
      <c r="C5309" s="38">
        <v>44806</v>
      </c>
      <c r="D5309" s="1" t="s">
        <v>258</v>
      </c>
      <c r="E5309" s="1" t="s">
        <v>33</v>
      </c>
      <c r="F5309" s="1" t="s">
        <v>199</v>
      </c>
      <c r="G5309" s="5">
        <v>659.49</v>
      </c>
    </row>
    <row r="5310" spans="1:7" x14ac:dyDescent="0.2">
      <c r="A5310" s="3">
        <v>70</v>
      </c>
      <c r="B5310" s="2">
        <v>46164.3</v>
      </c>
      <c r="C5310" s="38">
        <v>44806</v>
      </c>
      <c r="D5310" s="1" t="s">
        <v>258</v>
      </c>
      <c r="E5310" s="1" t="s">
        <v>33</v>
      </c>
      <c r="F5310" s="1" t="s">
        <v>199</v>
      </c>
      <c r="G5310" s="5">
        <v>659.49</v>
      </c>
    </row>
    <row r="5311" spans="1:7" x14ac:dyDescent="0.2">
      <c r="A5311" s="3">
        <v>70</v>
      </c>
      <c r="B5311" s="2">
        <v>46164.3</v>
      </c>
      <c r="C5311" s="38">
        <v>44806</v>
      </c>
      <c r="D5311" s="1" t="s">
        <v>258</v>
      </c>
      <c r="E5311" s="1" t="s">
        <v>33</v>
      </c>
      <c r="F5311" s="1" t="s">
        <v>199</v>
      </c>
      <c r="G5311" s="5">
        <v>659.49</v>
      </c>
    </row>
    <row r="5312" spans="1:7" x14ac:dyDescent="0.2">
      <c r="A5312" s="3">
        <v>70</v>
      </c>
      <c r="B5312" s="2">
        <v>46164.3</v>
      </c>
      <c r="C5312" s="38">
        <v>44806</v>
      </c>
      <c r="D5312" s="1" t="s">
        <v>258</v>
      </c>
      <c r="E5312" s="1" t="s">
        <v>33</v>
      </c>
      <c r="F5312" s="1" t="s">
        <v>199</v>
      </c>
      <c r="G5312" s="5">
        <v>659.49</v>
      </c>
    </row>
    <row r="5313" spans="1:7" x14ac:dyDescent="0.2">
      <c r="A5313" s="3">
        <v>70</v>
      </c>
      <c r="B5313" s="2">
        <v>46164.3</v>
      </c>
      <c r="C5313" s="38">
        <v>44806</v>
      </c>
      <c r="D5313" s="1" t="s">
        <v>258</v>
      </c>
      <c r="E5313" s="1" t="s">
        <v>33</v>
      </c>
      <c r="F5313" s="1" t="s">
        <v>199</v>
      </c>
      <c r="G5313" s="5">
        <v>659.49</v>
      </c>
    </row>
    <row r="5314" spans="1:7" x14ac:dyDescent="0.2">
      <c r="A5314" s="3">
        <v>70</v>
      </c>
      <c r="B5314" s="2">
        <v>46164.3</v>
      </c>
      <c r="C5314" s="38">
        <v>44806</v>
      </c>
      <c r="D5314" s="1" t="s">
        <v>258</v>
      </c>
      <c r="E5314" s="1" t="s">
        <v>33</v>
      </c>
      <c r="F5314" s="1" t="s">
        <v>199</v>
      </c>
      <c r="G5314" s="5">
        <v>659.49</v>
      </c>
    </row>
    <row r="5315" spans="1:7" x14ac:dyDescent="0.2">
      <c r="A5315" s="3">
        <v>70</v>
      </c>
      <c r="B5315" s="2">
        <v>46164.3</v>
      </c>
      <c r="C5315" s="38">
        <v>44806</v>
      </c>
      <c r="D5315" s="1" t="s">
        <v>258</v>
      </c>
      <c r="E5315" s="1" t="s">
        <v>33</v>
      </c>
      <c r="F5315" s="1" t="s">
        <v>199</v>
      </c>
      <c r="G5315" s="5">
        <v>659.49</v>
      </c>
    </row>
    <row r="5316" spans="1:7" x14ac:dyDescent="0.2">
      <c r="A5316" s="3">
        <v>70</v>
      </c>
      <c r="B5316" s="2">
        <v>46164.3</v>
      </c>
      <c r="C5316" s="38">
        <v>44806</v>
      </c>
      <c r="D5316" s="1" t="s">
        <v>258</v>
      </c>
      <c r="E5316" s="1" t="s">
        <v>33</v>
      </c>
      <c r="F5316" s="1" t="s">
        <v>199</v>
      </c>
      <c r="G5316" s="5">
        <v>659.49</v>
      </c>
    </row>
    <row r="5317" spans="1:7" x14ac:dyDescent="0.2">
      <c r="A5317" s="3">
        <v>70</v>
      </c>
      <c r="B5317" s="2">
        <v>46164.3</v>
      </c>
      <c r="C5317" s="38">
        <v>44806</v>
      </c>
      <c r="D5317" s="1" t="s">
        <v>258</v>
      </c>
      <c r="E5317" s="1" t="s">
        <v>33</v>
      </c>
      <c r="F5317" s="1" t="s">
        <v>199</v>
      </c>
      <c r="G5317" s="5">
        <v>659.49</v>
      </c>
    </row>
    <row r="5318" spans="1:7" x14ac:dyDescent="0.2">
      <c r="A5318" s="3">
        <v>70</v>
      </c>
      <c r="B5318" s="2">
        <v>46164.3</v>
      </c>
      <c r="C5318" s="38">
        <v>44806</v>
      </c>
      <c r="D5318" s="1" t="s">
        <v>258</v>
      </c>
      <c r="E5318" s="1" t="s">
        <v>33</v>
      </c>
      <c r="F5318" s="1" t="s">
        <v>199</v>
      </c>
      <c r="G5318" s="5">
        <v>659.49</v>
      </c>
    </row>
    <row r="5319" spans="1:7" x14ac:dyDescent="0.2">
      <c r="A5319" s="3">
        <v>70</v>
      </c>
      <c r="B5319" s="2">
        <v>46164.3</v>
      </c>
      <c r="C5319" s="38">
        <v>44806</v>
      </c>
      <c r="D5319" s="1" t="s">
        <v>258</v>
      </c>
      <c r="E5319" s="1" t="s">
        <v>33</v>
      </c>
      <c r="F5319" s="1" t="s">
        <v>199</v>
      </c>
      <c r="G5319" s="5">
        <v>659.49</v>
      </c>
    </row>
    <row r="5320" spans="1:7" x14ac:dyDescent="0.2">
      <c r="A5320" s="3">
        <v>70</v>
      </c>
      <c r="B5320" s="2">
        <v>46164.3</v>
      </c>
      <c r="C5320" s="38">
        <v>44806</v>
      </c>
      <c r="D5320" s="1" t="s">
        <v>258</v>
      </c>
      <c r="E5320" s="1" t="s">
        <v>33</v>
      </c>
      <c r="F5320" s="1" t="s">
        <v>199</v>
      </c>
      <c r="G5320" s="5">
        <v>659.49</v>
      </c>
    </row>
    <row r="5321" spans="1:7" x14ac:dyDescent="0.2">
      <c r="A5321" s="3">
        <v>70</v>
      </c>
      <c r="B5321" s="2">
        <v>46164.3</v>
      </c>
      <c r="C5321" s="38">
        <v>44806</v>
      </c>
      <c r="D5321" s="1" t="s">
        <v>258</v>
      </c>
      <c r="E5321" s="1" t="s">
        <v>33</v>
      </c>
      <c r="F5321" s="1" t="s">
        <v>199</v>
      </c>
      <c r="G5321" s="5">
        <v>659.49</v>
      </c>
    </row>
    <row r="5322" spans="1:7" x14ac:dyDescent="0.2">
      <c r="A5322" s="3">
        <v>70</v>
      </c>
      <c r="B5322" s="2">
        <v>46164.3</v>
      </c>
      <c r="C5322" s="38">
        <v>44806</v>
      </c>
      <c r="D5322" s="1" t="s">
        <v>258</v>
      </c>
      <c r="E5322" s="1" t="s">
        <v>33</v>
      </c>
      <c r="F5322" s="1" t="s">
        <v>199</v>
      </c>
      <c r="G5322" s="5">
        <v>659.49</v>
      </c>
    </row>
    <row r="5323" spans="1:7" x14ac:dyDescent="0.2">
      <c r="A5323" s="3">
        <v>70</v>
      </c>
      <c r="B5323" s="2">
        <v>46164.3</v>
      </c>
      <c r="C5323" s="38">
        <v>44806</v>
      </c>
      <c r="D5323" s="1" t="s">
        <v>258</v>
      </c>
      <c r="E5323" s="1" t="s">
        <v>33</v>
      </c>
      <c r="F5323" s="1" t="s">
        <v>199</v>
      </c>
      <c r="G5323" s="5">
        <v>659.49</v>
      </c>
    </row>
    <row r="5324" spans="1:7" x14ac:dyDescent="0.2">
      <c r="A5324" s="3">
        <v>70</v>
      </c>
      <c r="B5324" s="2">
        <v>46164.3</v>
      </c>
      <c r="C5324" s="38">
        <v>44806</v>
      </c>
      <c r="D5324" s="1" t="s">
        <v>258</v>
      </c>
      <c r="E5324" s="1" t="s">
        <v>33</v>
      </c>
      <c r="F5324" s="1" t="s">
        <v>199</v>
      </c>
      <c r="G5324" s="5">
        <v>659.49</v>
      </c>
    </row>
    <row r="5325" spans="1:7" x14ac:dyDescent="0.2">
      <c r="A5325" s="3">
        <v>70</v>
      </c>
      <c r="B5325" s="2">
        <v>46164.3</v>
      </c>
      <c r="C5325" s="38">
        <v>44806</v>
      </c>
      <c r="D5325" s="1" t="s">
        <v>258</v>
      </c>
      <c r="E5325" s="1" t="s">
        <v>33</v>
      </c>
      <c r="F5325" s="1" t="s">
        <v>199</v>
      </c>
      <c r="G5325" s="5">
        <v>659.49</v>
      </c>
    </row>
    <row r="5326" spans="1:7" x14ac:dyDescent="0.2">
      <c r="A5326" s="3">
        <v>70</v>
      </c>
      <c r="B5326" s="2">
        <v>46164.3</v>
      </c>
      <c r="C5326" s="38">
        <v>44806</v>
      </c>
      <c r="D5326" s="1" t="s">
        <v>258</v>
      </c>
      <c r="E5326" s="1" t="s">
        <v>33</v>
      </c>
      <c r="F5326" s="1" t="s">
        <v>199</v>
      </c>
      <c r="G5326" s="5">
        <v>659.49</v>
      </c>
    </row>
    <row r="5327" spans="1:7" x14ac:dyDescent="0.2">
      <c r="A5327" s="3">
        <v>70</v>
      </c>
      <c r="B5327" s="2">
        <v>46164.3</v>
      </c>
      <c r="C5327" s="38">
        <v>44806</v>
      </c>
      <c r="D5327" s="1" t="s">
        <v>258</v>
      </c>
      <c r="E5327" s="1" t="s">
        <v>33</v>
      </c>
      <c r="F5327" s="1" t="s">
        <v>199</v>
      </c>
      <c r="G5327" s="5">
        <v>659.49</v>
      </c>
    </row>
    <row r="5328" spans="1:7" x14ac:dyDescent="0.2">
      <c r="A5328" s="3">
        <v>70</v>
      </c>
      <c r="B5328" s="2">
        <v>46164.3</v>
      </c>
      <c r="C5328" s="38">
        <v>44806</v>
      </c>
      <c r="D5328" s="1" t="s">
        <v>258</v>
      </c>
      <c r="E5328" s="1" t="s">
        <v>33</v>
      </c>
      <c r="F5328" s="1" t="s">
        <v>199</v>
      </c>
      <c r="G5328" s="5">
        <v>659.49</v>
      </c>
    </row>
    <row r="5329" spans="1:7" x14ac:dyDescent="0.2">
      <c r="A5329" s="3">
        <v>70</v>
      </c>
      <c r="B5329" s="2">
        <v>46164.3</v>
      </c>
      <c r="C5329" s="38">
        <v>44806</v>
      </c>
      <c r="D5329" s="1" t="s">
        <v>258</v>
      </c>
      <c r="E5329" s="1" t="s">
        <v>33</v>
      </c>
      <c r="F5329" s="1" t="s">
        <v>199</v>
      </c>
      <c r="G5329" s="5">
        <v>659.49</v>
      </c>
    </row>
    <row r="5330" spans="1:7" x14ac:dyDescent="0.2">
      <c r="A5330" s="3">
        <v>70</v>
      </c>
      <c r="B5330" s="2">
        <v>46164.3</v>
      </c>
      <c r="C5330" s="38">
        <v>44806</v>
      </c>
      <c r="D5330" s="1" t="s">
        <v>258</v>
      </c>
      <c r="E5330" s="1" t="s">
        <v>33</v>
      </c>
      <c r="F5330" s="1" t="s">
        <v>199</v>
      </c>
      <c r="G5330" s="5">
        <v>659.49</v>
      </c>
    </row>
    <row r="5331" spans="1:7" x14ac:dyDescent="0.2">
      <c r="A5331" s="3">
        <v>70</v>
      </c>
      <c r="B5331" s="2">
        <v>46164.3</v>
      </c>
      <c r="C5331" s="38">
        <v>44806</v>
      </c>
      <c r="D5331" s="1" t="s">
        <v>258</v>
      </c>
      <c r="E5331" s="1" t="s">
        <v>33</v>
      </c>
      <c r="F5331" s="1" t="s">
        <v>199</v>
      </c>
      <c r="G5331" s="5">
        <v>659.49</v>
      </c>
    </row>
    <row r="5332" spans="1:7" x14ac:dyDescent="0.2">
      <c r="A5332" s="3">
        <v>70</v>
      </c>
      <c r="B5332" s="2">
        <v>46164.3</v>
      </c>
      <c r="C5332" s="38">
        <v>44806</v>
      </c>
      <c r="D5332" s="1" t="s">
        <v>258</v>
      </c>
      <c r="E5332" s="1" t="s">
        <v>33</v>
      </c>
      <c r="F5332" s="1" t="s">
        <v>199</v>
      </c>
      <c r="G5332" s="5">
        <v>659.49</v>
      </c>
    </row>
    <row r="5333" spans="1:7" x14ac:dyDescent="0.2">
      <c r="A5333" s="3">
        <v>70</v>
      </c>
      <c r="B5333" s="2">
        <v>46164.3</v>
      </c>
      <c r="C5333" s="38">
        <v>44806</v>
      </c>
      <c r="D5333" s="1" t="s">
        <v>258</v>
      </c>
      <c r="E5333" s="1" t="s">
        <v>33</v>
      </c>
      <c r="F5333" s="1" t="s">
        <v>199</v>
      </c>
      <c r="G5333" s="5">
        <v>659.49</v>
      </c>
    </row>
    <row r="5334" spans="1:7" x14ac:dyDescent="0.2">
      <c r="A5334" s="3">
        <v>70</v>
      </c>
      <c r="B5334" s="2">
        <v>46164.3</v>
      </c>
      <c r="C5334" s="38">
        <v>44806</v>
      </c>
      <c r="D5334" s="1" t="s">
        <v>258</v>
      </c>
      <c r="E5334" s="1" t="s">
        <v>33</v>
      </c>
      <c r="F5334" s="1" t="s">
        <v>199</v>
      </c>
      <c r="G5334" s="5">
        <v>659.49</v>
      </c>
    </row>
    <row r="5335" spans="1:7" x14ac:dyDescent="0.2">
      <c r="A5335" s="3">
        <v>70</v>
      </c>
      <c r="B5335" s="2">
        <v>46164.3</v>
      </c>
      <c r="C5335" s="38">
        <v>44806</v>
      </c>
      <c r="D5335" s="1" t="s">
        <v>258</v>
      </c>
      <c r="E5335" s="1" t="s">
        <v>33</v>
      </c>
      <c r="F5335" s="1" t="s">
        <v>199</v>
      </c>
      <c r="G5335" s="5">
        <v>659.49</v>
      </c>
    </row>
    <row r="5336" spans="1:7" x14ac:dyDescent="0.2">
      <c r="A5336" s="3">
        <v>70</v>
      </c>
      <c r="B5336" s="2">
        <v>46164.3</v>
      </c>
      <c r="C5336" s="38">
        <v>44806</v>
      </c>
      <c r="D5336" s="1" t="s">
        <v>258</v>
      </c>
      <c r="E5336" s="1" t="s">
        <v>33</v>
      </c>
      <c r="F5336" s="1" t="s">
        <v>199</v>
      </c>
      <c r="G5336" s="5">
        <v>659.49</v>
      </c>
    </row>
    <row r="5337" spans="1:7" x14ac:dyDescent="0.2">
      <c r="A5337" s="3">
        <v>70</v>
      </c>
      <c r="B5337" s="2">
        <v>46164.3</v>
      </c>
      <c r="C5337" s="38">
        <v>44806</v>
      </c>
      <c r="D5337" s="1" t="s">
        <v>258</v>
      </c>
      <c r="E5337" s="1" t="s">
        <v>33</v>
      </c>
      <c r="F5337" s="1" t="s">
        <v>199</v>
      </c>
      <c r="G5337" s="5">
        <v>659.49</v>
      </c>
    </row>
    <row r="5338" spans="1:7" x14ac:dyDescent="0.2">
      <c r="A5338" s="3">
        <v>70</v>
      </c>
      <c r="B5338" s="2">
        <v>46164.3</v>
      </c>
      <c r="C5338" s="38">
        <v>44932</v>
      </c>
      <c r="D5338" s="1" t="s">
        <v>258</v>
      </c>
      <c r="E5338" s="1" t="s">
        <v>33</v>
      </c>
      <c r="F5338" s="1" t="s">
        <v>200</v>
      </c>
      <c r="G5338" s="5">
        <v>659.49</v>
      </c>
    </row>
    <row r="5339" spans="1:7" x14ac:dyDescent="0.2">
      <c r="A5339" s="3">
        <v>70</v>
      </c>
      <c r="B5339" s="2">
        <v>46164.3</v>
      </c>
      <c r="C5339" s="38">
        <v>44932</v>
      </c>
      <c r="D5339" s="1" t="s">
        <v>258</v>
      </c>
      <c r="E5339" s="1" t="s">
        <v>33</v>
      </c>
      <c r="F5339" s="1" t="s">
        <v>200</v>
      </c>
      <c r="G5339" s="5">
        <v>659.49</v>
      </c>
    </row>
    <row r="5340" spans="1:7" x14ac:dyDescent="0.2">
      <c r="A5340" s="3">
        <v>70</v>
      </c>
      <c r="B5340" s="2">
        <v>46164.3</v>
      </c>
      <c r="C5340" s="38">
        <v>44932</v>
      </c>
      <c r="D5340" s="1" t="s">
        <v>258</v>
      </c>
      <c r="E5340" s="1" t="s">
        <v>33</v>
      </c>
      <c r="F5340" s="1" t="s">
        <v>200</v>
      </c>
      <c r="G5340" s="5">
        <v>659.49</v>
      </c>
    </row>
    <row r="5341" spans="1:7" x14ac:dyDescent="0.2">
      <c r="A5341" s="3">
        <v>70</v>
      </c>
      <c r="B5341" s="2">
        <v>46164.3</v>
      </c>
      <c r="C5341" s="38">
        <v>44932</v>
      </c>
      <c r="D5341" s="1" t="s">
        <v>258</v>
      </c>
      <c r="E5341" s="1" t="s">
        <v>33</v>
      </c>
      <c r="F5341" s="1" t="s">
        <v>200</v>
      </c>
      <c r="G5341" s="5">
        <v>659.49</v>
      </c>
    </row>
    <row r="5342" spans="1:7" x14ac:dyDescent="0.2">
      <c r="A5342" s="3">
        <v>70</v>
      </c>
      <c r="B5342" s="2">
        <v>46164.3</v>
      </c>
      <c r="C5342" s="38">
        <v>44932</v>
      </c>
      <c r="D5342" s="1" t="s">
        <v>258</v>
      </c>
      <c r="E5342" s="1" t="s">
        <v>33</v>
      </c>
      <c r="F5342" s="1" t="s">
        <v>200</v>
      </c>
      <c r="G5342" s="5">
        <v>659.49</v>
      </c>
    </row>
    <row r="5343" spans="1:7" x14ac:dyDescent="0.2">
      <c r="A5343" s="3">
        <v>70</v>
      </c>
      <c r="B5343" s="2">
        <v>46164.3</v>
      </c>
      <c r="C5343" s="38">
        <v>44932</v>
      </c>
      <c r="D5343" s="1" t="s">
        <v>258</v>
      </c>
      <c r="E5343" s="1" t="s">
        <v>33</v>
      </c>
      <c r="F5343" s="1" t="s">
        <v>200</v>
      </c>
      <c r="G5343" s="5">
        <v>659.49</v>
      </c>
    </row>
    <row r="5344" spans="1:7" x14ac:dyDescent="0.2">
      <c r="A5344" s="3">
        <v>70</v>
      </c>
      <c r="B5344" s="2">
        <v>46164.3</v>
      </c>
      <c r="C5344" s="38">
        <v>44932</v>
      </c>
      <c r="D5344" s="1" t="s">
        <v>258</v>
      </c>
      <c r="E5344" s="1" t="s">
        <v>33</v>
      </c>
      <c r="F5344" s="1" t="s">
        <v>200</v>
      </c>
      <c r="G5344" s="5">
        <v>659.49</v>
      </c>
    </row>
    <row r="5345" spans="1:7" x14ac:dyDescent="0.2">
      <c r="A5345" s="3">
        <v>70</v>
      </c>
      <c r="B5345" s="2">
        <v>46164.3</v>
      </c>
      <c r="C5345" s="38">
        <v>44932</v>
      </c>
      <c r="D5345" s="1" t="s">
        <v>258</v>
      </c>
      <c r="E5345" s="1" t="s">
        <v>33</v>
      </c>
      <c r="F5345" s="1" t="s">
        <v>200</v>
      </c>
      <c r="G5345" s="5">
        <v>659.49</v>
      </c>
    </row>
    <row r="5346" spans="1:7" x14ac:dyDescent="0.2">
      <c r="A5346" s="3">
        <v>70</v>
      </c>
      <c r="B5346" s="2">
        <v>46164.3</v>
      </c>
      <c r="C5346" s="38">
        <v>44932</v>
      </c>
      <c r="D5346" s="1" t="s">
        <v>258</v>
      </c>
      <c r="E5346" s="1" t="s">
        <v>33</v>
      </c>
      <c r="F5346" s="1" t="s">
        <v>200</v>
      </c>
      <c r="G5346" s="5">
        <v>659.49</v>
      </c>
    </row>
    <row r="5347" spans="1:7" x14ac:dyDescent="0.2">
      <c r="A5347" s="3">
        <v>70</v>
      </c>
      <c r="B5347" s="2">
        <v>46164.3</v>
      </c>
      <c r="C5347" s="38">
        <v>44713</v>
      </c>
      <c r="D5347" s="1" t="s">
        <v>258</v>
      </c>
      <c r="E5347" s="1" t="s">
        <v>33</v>
      </c>
      <c r="F5347" s="1" t="s">
        <v>200</v>
      </c>
      <c r="G5347" s="5">
        <v>659.49</v>
      </c>
    </row>
    <row r="5348" spans="1:7" x14ac:dyDescent="0.2">
      <c r="A5348" s="3">
        <v>70</v>
      </c>
      <c r="B5348" s="2">
        <v>46164.3</v>
      </c>
      <c r="C5348" s="38">
        <v>44713</v>
      </c>
      <c r="D5348" s="1" t="s">
        <v>258</v>
      </c>
      <c r="E5348" s="1" t="s">
        <v>33</v>
      </c>
      <c r="F5348" s="1" t="s">
        <v>200</v>
      </c>
      <c r="G5348" s="5">
        <v>659.49</v>
      </c>
    </row>
    <row r="5349" spans="1:7" x14ac:dyDescent="0.2">
      <c r="A5349" s="3">
        <v>70</v>
      </c>
      <c r="B5349" s="2">
        <v>46164.3</v>
      </c>
      <c r="C5349" s="38">
        <v>44713</v>
      </c>
      <c r="D5349" s="1" t="s">
        <v>258</v>
      </c>
      <c r="E5349" s="1" t="s">
        <v>33</v>
      </c>
      <c r="F5349" s="1" t="s">
        <v>200</v>
      </c>
      <c r="G5349" s="5">
        <v>659.49</v>
      </c>
    </row>
    <row r="5350" spans="1:7" x14ac:dyDescent="0.2">
      <c r="A5350" s="3">
        <v>70</v>
      </c>
      <c r="B5350" s="2">
        <v>46164.3</v>
      </c>
      <c r="C5350" s="38">
        <v>44713</v>
      </c>
      <c r="D5350" s="1" t="s">
        <v>258</v>
      </c>
      <c r="E5350" s="1" t="s">
        <v>33</v>
      </c>
      <c r="F5350" s="1" t="s">
        <v>200</v>
      </c>
      <c r="G5350" s="5">
        <v>659.49</v>
      </c>
    </row>
    <row r="5351" spans="1:7" x14ac:dyDescent="0.2">
      <c r="A5351" s="3">
        <v>70</v>
      </c>
      <c r="B5351" s="2">
        <v>46164.3</v>
      </c>
      <c r="C5351" s="38">
        <v>44713</v>
      </c>
      <c r="D5351" s="1" t="s">
        <v>258</v>
      </c>
      <c r="E5351" s="1" t="s">
        <v>33</v>
      </c>
      <c r="F5351" s="1" t="s">
        <v>200</v>
      </c>
      <c r="G5351" s="5">
        <v>659.49</v>
      </c>
    </row>
    <row r="5352" spans="1:7" x14ac:dyDescent="0.2">
      <c r="A5352" s="3">
        <v>70</v>
      </c>
      <c r="B5352" s="2">
        <v>46164.3</v>
      </c>
      <c r="C5352" s="38">
        <v>44713</v>
      </c>
      <c r="D5352" s="1" t="s">
        <v>258</v>
      </c>
      <c r="E5352" s="1" t="s">
        <v>33</v>
      </c>
      <c r="F5352" s="1" t="s">
        <v>200</v>
      </c>
      <c r="G5352" s="5">
        <v>659.49</v>
      </c>
    </row>
    <row r="5353" spans="1:7" x14ac:dyDescent="0.2">
      <c r="A5353" s="3">
        <v>70</v>
      </c>
      <c r="B5353" s="2">
        <v>46164.3</v>
      </c>
      <c r="C5353" s="38">
        <v>44713</v>
      </c>
      <c r="D5353" s="1" t="s">
        <v>258</v>
      </c>
      <c r="E5353" s="1" t="s">
        <v>33</v>
      </c>
      <c r="F5353" s="1" t="s">
        <v>200</v>
      </c>
      <c r="G5353" s="5">
        <v>659.49</v>
      </c>
    </row>
    <row r="5354" spans="1:7" x14ac:dyDescent="0.2">
      <c r="A5354" s="3">
        <v>70</v>
      </c>
      <c r="B5354" s="2">
        <v>46164.3</v>
      </c>
      <c r="C5354" s="38">
        <v>44713</v>
      </c>
      <c r="D5354" s="1" t="s">
        <v>258</v>
      </c>
      <c r="E5354" s="1" t="s">
        <v>33</v>
      </c>
      <c r="F5354" s="1" t="s">
        <v>200</v>
      </c>
      <c r="G5354" s="5">
        <v>659.49</v>
      </c>
    </row>
    <row r="5355" spans="1:7" x14ac:dyDescent="0.2">
      <c r="A5355" s="3">
        <v>70</v>
      </c>
      <c r="B5355" s="2">
        <v>46164.3</v>
      </c>
      <c r="C5355" s="38">
        <v>44713</v>
      </c>
      <c r="D5355" s="1" t="s">
        <v>258</v>
      </c>
      <c r="E5355" s="1" t="s">
        <v>33</v>
      </c>
      <c r="F5355" s="1" t="s">
        <v>200</v>
      </c>
      <c r="G5355" s="5">
        <v>659.49</v>
      </c>
    </row>
    <row r="5356" spans="1:7" x14ac:dyDescent="0.2">
      <c r="A5356" s="3">
        <v>70</v>
      </c>
      <c r="B5356" s="2">
        <v>46164.3</v>
      </c>
      <c r="C5356" s="38">
        <v>44713</v>
      </c>
      <c r="D5356" s="1" t="s">
        <v>258</v>
      </c>
      <c r="E5356" s="1" t="s">
        <v>33</v>
      </c>
      <c r="F5356" s="1" t="s">
        <v>200</v>
      </c>
      <c r="G5356" s="5">
        <v>659.49</v>
      </c>
    </row>
    <row r="5357" spans="1:7" x14ac:dyDescent="0.2">
      <c r="A5357" s="3">
        <v>70</v>
      </c>
      <c r="B5357" s="2">
        <v>46164.3</v>
      </c>
      <c r="C5357" s="38">
        <v>44713</v>
      </c>
      <c r="D5357" s="1" t="s">
        <v>258</v>
      </c>
      <c r="E5357" s="1" t="s">
        <v>33</v>
      </c>
      <c r="F5357" s="1" t="s">
        <v>200</v>
      </c>
      <c r="G5357" s="5">
        <v>659.49</v>
      </c>
    </row>
    <row r="5358" spans="1:7" x14ac:dyDescent="0.2">
      <c r="A5358" s="3">
        <v>70</v>
      </c>
      <c r="B5358" s="2">
        <v>46164.3</v>
      </c>
      <c r="C5358" s="38">
        <v>44713</v>
      </c>
      <c r="D5358" s="1" t="s">
        <v>258</v>
      </c>
      <c r="E5358" s="1" t="s">
        <v>33</v>
      </c>
      <c r="F5358" s="1" t="s">
        <v>200</v>
      </c>
      <c r="G5358" s="5">
        <v>659.49</v>
      </c>
    </row>
    <row r="5359" spans="1:7" x14ac:dyDescent="0.2">
      <c r="A5359" s="3">
        <v>70</v>
      </c>
      <c r="B5359" s="2">
        <v>46164.3</v>
      </c>
      <c r="C5359" s="38">
        <v>44713</v>
      </c>
      <c r="D5359" s="1" t="s">
        <v>258</v>
      </c>
      <c r="E5359" s="1" t="s">
        <v>33</v>
      </c>
      <c r="F5359" s="1" t="s">
        <v>200</v>
      </c>
      <c r="G5359" s="5">
        <v>659.49</v>
      </c>
    </row>
    <row r="5360" spans="1:7" x14ac:dyDescent="0.2">
      <c r="A5360" s="3">
        <v>70</v>
      </c>
      <c r="B5360" s="2">
        <v>46164.3</v>
      </c>
      <c r="C5360" s="38">
        <v>44713</v>
      </c>
      <c r="D5360" s="1" t="s">
        <v>258</v>
      </c>
      <c r="E5360" s="1" t="s">
        <v>33</v>
      </c>
      <c r="F5360" s="1" t="s">
        <v>200</v>
      </c>
      <c r="G5360" s="5">
        <v>659.49</v>
      </c>
    </row>
    <row r="5361" spans="1:7" x14ac:dyDescent="0.2">
      <c r="A5361" s="3">
        <v>70</v>
      </c>
      <c r="B5361" s="2">
        <v>46164.3</v>
      </c>
      <c r="C5361" s="38">
        <v>44713</v>
      </c>
      <c r="D5361" s="1" t="s">
        <v>258</v>
      </c>
      <c r="E5361" s="1" t="s">
        <v>33</v>
      </c>
      <c r="F5361" s="1" t="s">
        <v>200</v>
      </c>
      <c r="G5361" s="5">
        <v>659.49</v>
      </c>
    </row>
    <row r="5362" spans="1:7" x14ac:dyDescent="0.2">
      <c r="A5362" s="3">
        <v>70</v>
      </c>
      <c r="B5362" s="2">
        <v>46164.3</v>
      </c>
      <c r="C5362" s="38">
        <v>44713</v>
      </c>
      <c r="D5362" s="1" t="s">
        <v>258</v>
      </c>
      <c r="E5362" s="1" t="s">
        <v>33</v>
      </c>
      <c r="F5362" s="1" t="s">
        <v>200</v>
      </c>
      <c r="G5362" s="5">
        <v>659.49</v>
      </c>
    </row>
    <row r="5363" spans="1:7" x14ac:dyDescent="0.2">
      <c r="A5363" s="3">
        <v>70</v>
      </c>
      <c r="B5363" s="2">
        <v>46164.3</v>
      </c>
      <c r="C5363" s="38">
        <v>44713</v>
      </c>
      <c r="D5363" s="1" t="s">
        <v>258</v>
      </c>
      <c r="E5363" s="1" t="s">
        <v>33</v>
      </c>
      <c r="F5363" s="1" t="s">
        <v>200</v>
      </c>
      <c r="G5363" s="5">
        <v>659.49</v>
      </c>
    </row>
    <row r="5364" spans="1:7" x14ac:dyDescent="0.2">
      <c r="A5364" s="3">
        <v>70</v>
      </c>
      <c r="B5364" s="2">
        <v>46164.3</v>
      </c>
      <c r="C5364" s="38">
        <v>44713</v>
      </c>
      <c r="D5364" s="1" t="s">
        <v>258</v>
      </c>
      <c r="E5364" s="1" t="s">
        <v>33</v>
      </c>
      <c r="F5364" s="1" t="s">
        <v>200</v>
      </c>
      <c r="G5364" s="5">
        <v>659.49</v>
      </c>
    </row>
    <row r="5365" spans="1:7" x14ac:dyDescent="0.2">
      <c r="A5365" s="3">
        <v>70</v>
      </c>
      <c r="B5365" s="2">
        <v>46164.3</v>
      </c>
      <c r="C5365" s="38">
        <v>44713</v>
      </c>
      <c r="D5365" s="1" t="s">
        <v>258</v>
      </c>
      <c r="E5365" s="1" t="s">
        <v>33</v>
      </c>
      <c r="F5365" s="1" t="s">
        <v>200</v>
      </c>
      <c r="G5365" s="5">
        <v>659.49</v>
      </c>
    </row>
    <row r="5366" spans="1:7" x14ac:dyDescent="0.2">
      <c r="A5366" s="3">
        <v>70</v>
      </c>
      <c r="B5366" s="2">
        <v>46164.3</v>
      </c>
      <c r="C5366" s="38">
        <v>44713</v>
      </c>
      <c r="D5366" s="1" t="s">
        <v>258</v>
      </c>
      <c r="E5366" s="1" t="s">
        <v>33</v>
      </c>
      <c r="F5366" s="1" t="s">
        <v>200</v>
      </c>
      <c r="G5366" s="5">
        <v>659.49</v>
      </c>
    </row>
    <row r="5367" spans="1:7" x14ac:dyDescent="0.2">
      <c r="A5367" s="3">
        <v>70</v>
      </c>
      <c r="B5367" s="2">
        <v>46164.3</v>
      </c>
      <c r="C5367" s="38">
        <v>44940</v>
      </c>
      <c r="D5367" s="1" t="s">
        <v>258</v>
      </c>
      <c r="E5367" s="1" t="s">
        <v>33</v>
      </c>
      <c r="F5367" s="1" t="s">
        <v>200</v>
      </c>
      <c r="G5367" s="5">
        <v>659.49</v>
      </c>
    </row>
    <row r="5368" spans="1:7" x14ac:dyDescent="0.2">
      <c r="A5368" s="3">
        <v>70</v>
      </c>
      <c r="B5368" s="2">
        <v>46164.3</v>
      </c>
      <c r="C5368" s="38">
        <v>44940</v>
      </c>
      <c r="D5368" s="1" t="s">
        <v>258</v>
      </c>
      <c r="E5368" s="1" t="s">
        <v>33</v>
      </c>
      <c r="F5368" s="1" t="s">
        <v>200</v>
      </c>
      <c r="G5368" s="5">
        <v>659.49</v>
      </c>
    </row>
    <row r="5369" spans="1:7" x14ac:dyDescent="0.2">
      <c r="A5369" s="3">
        <v>70</v>
      </c>
      <c r="B5369" s="2">
        <v>46164.3</v>
      </c>
      <c r="C5369" s="38">
        <v>44940</v>
      </c>
      <c r="D5369" s="1" t="s">
        <v>258</v>
      </c>
      <c r="E5369" s="1" t="s">
        <v>33</v>
      </c>
      <c r="F5369" s="1" t="s">
        <v>200</v>
      </c>
      <c r="G5369" s="5">
        <v>659.49</v>
      </c>
    </row>
    <row r="5370" spans="1:7" x14ac:dyDescent="0.2">
      <c r="A5370" s="3">
        <v>70</v>
      </c>
      <c r="B5370" s="2">
        <v>46164.3</v>
      </c>
      <c r="C5370" s="38">
        <v>44940</v>
      </c>
      <c r="D5370" s="1" t="s">
        <v>258</v>
      </c>
      <c r="E5370" s="1" t="s">
        <v>33</v>
      </c>
      <c r="F5370" s="1" t="s">
        <v>200</v>
      </c>
      <c r="G5370" s="5">
        <v>659.49</v>
      </c>
    </row>
    <row r="5371" spans="1:7" x14ac:dyDescent="0.2">
      <c r="A5371" s="3">
        <v>70</v>
      </c>
      <c r="B5371" s="2">
        <v>46164.3</v>
      </c>
      <c r="C5371" s="38">
        <v>44940</v>
      </c>
      <c r="D5371" s="1" t="s">
        <v>258</v>
      </c>
      <c r="E5371" s="1" t="s">
        <v>33</v>
      </c>
      <c r="F5371" s="1" t="s">
        <v>200</v>
      </c>
      <c r="G5371" s="5">
        <v>659.49</v>
      </c>
    </row>
    <row r="5372" spans="1:7" x14ac:dyDescent="0.2">
      <c r="A5372" s="3">
        <v>70</v>
      </c>
      <c r="B5372" s="2">
        <v>46164.3</v>
      </c>
      <c r="C5372" s="38">
        <v>44940</v>
      </c>
      <c r="D5372" s="1" t="s">
        <v>258</v>
      </c>
      <c r="E5372" s="1" t="s">
        <v>33</v>
      </c>
      <c r="F5372" s="1" t="s">
        <v>200</v>
      </c>
      <c r="G5372" s="5">
        <v>659.49</v>
      </c>
    </row>
    <row r="5373" spans="1:7" x14ac:dyDescent="0.2">
      <c r="A5373" s="3">
        <v>70</v>
      </c>
      <c r="B5373" s="2">
        <v>46164.3</v>
      </c>
      <c r="C5373" s="38">
        <v>44940</v>
      </c>
      <c r="D5373" s="1" t="s">
        <v>258</v>
      </c>
      <c r="E5373" s="1" t="s">
        <v>33</v>
      </c>
      <c r="F5373" s="1" t="s">
        <v>200</v>
      </c>
      <c r="G5373" s="5">
        <v>659.49</v>
      </c>
    </row>
    <row r="5374" spans="1:7" x14ac:dyDescent="0.2">
      <c r="A5374" s="3">
        <v>70</v>
      </c>
      <c r="B5374" s="2">
        <v>46164.3</v>
      </c>
      <c r="C5374" s="38">
        <v>44950</v>
      </c>
      <c r="D5374" s="1" t="s">
        <v>258</v>
      </c>
      <c r="E5374" s="1" t="s">
        <v>33</v>
      </c>
      <c r="F5374" s="1" t="s">
        <v>200</v>
      </c>
      <c r="G5374" s="5">
        <v>659.49</v>
      </c>
    </row>
    <row r="5375" spans="1:7" x14ac:dyDescent="0.2">
      <c r="A5375" s="3">
        <v>70</v>
      </c>
      <c r="B5375" s="2">
        <v>46164.3</v>
      </c>
      <c r="C5375" s="38">
        <v>44950</v>
      </c>
      <c r="D5375" s="1" t="s">
        <v>258</v>
      </c>
      <c r="E5375" s="1" t="s">
        <v>33</v>
      </c>
      <c r="F5375" s="1" t="s">
        <v>200</v>
      </c>
      <c r="G5375" s="5">
        <v>659.49</v>
      </c>
    </row>
    <row r="5376" spans="1:7" x14ac:dyDescent="0.2">
      <c r="A5376" s="3">
        <v>70</v>
      </c>
      <c r="B5376" s="2">
        <v>46164.3</v>
      </c>
      <c r="C5376" s="38">
        <v>44950</v>
      </c>
      <c r="D5376" s="1" t="s">
        <v>258</v>
      </c>
      <c r="E5376" s="1" t="s">
        <v>33</v>
      </c>
      <c r="F5376" s="1" t="s">
        <v>200</v>
      </c>
      <c r="G5376" s="5">
        <v>659.49</v>
      </c>
    </row>
    <row r="5377" spans="1:7" x14ac:dyDescent="0.2">
      <c r="A5377" s="3">
        <v>70</v>
      </c>
      <c r="B5377" s="2">
        <v>46164.3</v>
      </c>
      <c r="C5377" s="38">
        <v>44950</v>
      </c>
      <c r="D5377" s="1" t="s">
        <v>258</v>
      </c>
      <c r="E5377" s="1" t="s">
        <v>33</v>
      </c>
      <c r="F5377" s="1" t="s">
        <v>200</v>
      </c>
      <c r="G5377" s="5">
        <v>659.49</v>
      </c>
    </row>
    <row r="5378" spans="1:7" x14ac:dyDescent="0.2">
      <c r="A5378" s="3">
        <v>70</v>
      </c>
      <c r="B5378" s="2">
        <v>46164.3</v>
      </c>
      <c r="C5378" s="38">
        <v>44721</v>
      </c>
      <c r="D5378" s="1" t="s">
        <v>258</v>
      </c>
      <c r="E5378" s="1" t="s">
        <v>33</v>
      </c>
      <c r="F5378" s="1" t="s">
        <v>200</v>
      </c>
      <c r="G5378" s="5">
        <v>659.49</v>
      </c>
    </row>
    <row r="5379" spans="1:7" x14ac:dyDescent="0.2">
      <c r="A5379" s="3">
        <v>70</v>
      </c>
      <c r="B5379" s="2">
        <v>46164.3</v>
      </c>
      <c r="C5379" s="38">
        <v>44721</v>
      </c>
      <c r="D5379" s="1" t="s">
        <v>258</v>
      </c>
      <c r="E5379" s="1" t="s">
        <v>33</v>
      </c>
      <c r="F5379" s="1" t="s">
        <v>200</v>
      </c>
      <c r="G5379" s="5">
        <v>659.49</v>
      </c>
    </row>
    <row r="5380" spans="1:7" x14ac:dyDescent="0.2">
      <c r="A5380" s="3">
        <v>70</v>
      </c>
      <c r="B5380" s="2">
        <v>46164.3</v>
      </c>
      <c r="C5380" s="38">
        <v>44721</v>
      </c>
      <c r="D5380" s="1" t="s">
        <v>258</v>
      </c>
      <c r="E5380" s="1" t="s">
        <v>33</v>
      </c>
      <c r="F5380" s="1" t="s">
        <v>200</v>
      </c>
      <c r="G5380" s="5">
        <v>659.49</v>
      </c>
    </row>
    <row r="5381" spans="1:7" x14ac:dyDescent="0.2">
      <c r="A5381" s="3">
        <v>70</v>
      </c>
      <c r="B5381" s="2">
        <v>46164.3</v>
      </c>
      <c r="C5381" s="38">
        <v>44721</v>
      </c>
      <c r="D5381" s="1" t="s">
        <v>258</v>
      </c>
      <c r="E5381" s="1" t="s">
        <v>33</v>
      </c>
      <c r="F5381" s="1" t="s">
        <v>200</v>
      </c>
      <c r="G5381" s="5">
        <v>659.49</v>
      </c>
    </row>
    <row r="5382" spans="1:7" x14ac:dyDescent="0.2">
      <c r="A5382" s="3">
        <v>70</v>
      </c>
      <c r="B5382" s="2">
        <v>46164.3</v>
      </c>
      <c r="C5382" s="38">
        <v>44721</v>
      </c>
      <c r="D5382" s="1" t="s">
        <v>258</v>
      </c>
      <c r="E5382" s="1" t="s">
        <v>33</v>
      </c>
      <c r="F5382" s="1" t="s">
        <v>200</v>
      </c>
      <c r="G5382" s="5">
        <v>659.49</v>
      </c>
    </row>
    <row r="5383" spans="1:7" x14ac:dyDescent="0.2">
      <c r="A5383" s="3">
        <v>70</v>
      </c>
      <c r="B5383" s="2">
        <v>46164.3</v>
      </c>
      <c r="C5383" s="38">
        <v>44721</v>
      </c>
      <c r="D5383" s="1" t="s">
        <v>258</v>
      </c>
      <c r="E5383" s="1" t="s">
        <v>33</v>
      </c>
      <c r="F5383" s="1" t="s">
        <v>200</v>
      </c>
      <c r="G5383" s="5">
        <v>659.49</v>
      </c>
    </row>
    <row r="5384" spans="1:7" x14ac:dyDescent="0.2">
      <c r="A5384" s="3">
        <v>70</v>
      </c>
      <c r="B5384" s="2">
        <v>46164.3</v>
      </c>
      <c r="C5384" s="38">
        <v>44721</v>
      </c>
      <c r="D5384" s="1" t="s">
        <v>258</v>
      </c>
      <c r="E5384" s="1" t="s">
        <v>33</v>
      </c>
      <c r="F5384" s="1" t="s">
        <v>200</v>
      </c>
      <c r="G5384" s="5">
        <v>659.49</v>
      </c>
    </row>
    <row r="5385" spans="1:7" x14ac:dyDescent="0.2">
      <c r="A5385" s="3">
        <v>70</v>
      </c>
      <c r="B5385" s="2">
        <v>46164.3</v>
      </c>
      <c r="C5385" s="38">
        <v>44956</v>
      </c>
      <c r="D5385" s="1" t="s">
        <v>258</v>
      </c>
      <c r="E5385" s="1" t="s">
        <v>33</v>
      </c>
      <c r="F5385" s="1" t="s">
        <v>200</v>
      </c>
      <c r="G5385" s="5">
        <v>659.49</v>
      </c>
    </row>
    <row r="5386" spans="1:7" x14ac:dyDescent="0.2">
      <c r="A5386" s="3">
        <v>70</v>
      </c>
      <c r="B5386" s="2">
        <v>46164.3</v>
      </c>
      <c r="C5386" s="38">
        <v>44956</v>
      </c>
      <c r="D5386" s="1" t="s">
        <v>258</v>
      </c>
      <c r="E5386" s="1" t="s">
        <v>33</v>
      </c>
      <c r="F5386" s="1" t="s">
        <v>200</v>
      </c>
      <c r="G5386" s="5">
        <v>659.49</v>
      </c>
    </row>
    <row r="5387" spans="1:7" x14ac:dyDescent="0.2">
      <c r="A5387" s="3">
        <v>70</v>
      </c>
      <c r="B5387" s="2">
        <v>46164.3</v>
      </c>
      <c r="C5387" s="38">
        <v>44959</v>
      </c>
      <c r="D5387" s="1" t="s">
        <v>258</v>
      </c>
      <c r="E5387" s="1" t="s">
        <v>33</v>
      </c>
      <c r="F5387" s="1" t="s">
        <v>200</v>
      </c>
      <c r="G5387" s="5">
        <v>659.49</v>
      </c>
    </row>
    <row r="5388" spans="1:7" x14ac:dyDescent="0.2">
      <c r="A5388" s="3">
        <v>70</v>
      </c>
      <c r="B5388" s="2">
        <v>46164.3</v>
      </c>
      <c r="C5388" s="38">
        <v>44959</v>
      </c>
      <c r="D5388" s="1" t="s">
        <v>258</v>
      </c>
      <c r="E5388" s="1" t="s">
        <v>33</v>
      </c>
      <c r="F5388" s="1" t="s">
        <v>200</v>
      </c>
      <c r="G5388" s="5">
        <v>659.49</v>
      </c>
    </row>
    <row r="5389" spans="1:7" x14ac:dyDescent="0.2">
      <c r="A5389" s="3">
        <v>70</v>
      </c>
      <c r="B5389" s="2">
        <v>46164.3</v>
      </c>
      <c r="C5389" s="38">
        <v>44970</v>
      </c>
      <c r="D5389" s="1" t="s">
        <v>258</v>
      </c>
      <c r="E5389" s="1" t="s">
        <v>33</v>
      </c>
      <c r="F5389" s="1" t="s">
        <v>200</v>
      </c>
      <c r="G5389" s="5">
        <v>659.49</v>
      </c>
    </row>
    <row r="5390" spans="1:7" x14ac:dyDescent="0.2">
      <c r="A5390" s="3">
        <v>70</v>
      </c>
      <c r="B5390" s="2">
        <v>46164.3</v>
      </c>
      <c r="C5390" s="38">
        <v>44970</v>
      </c>
      <c r="D5390" s="1" t="s">
        <v>258</v>
      </c>
      <c r="E5390" s="1" t="s">
        <v>33</v>
      </c>
      <c r="F5390" s="1" t="s">
        <v>200</v>
      </c>
      <c r="G5390" s="5">
        <v>659.49</v>
      </c>
    </row>
    <row r="5391" spans="1:7" x14ac:dyDescent="0.2">
      <c r="A5391" s="3">
        <v>70</v>
      </c>
      <c r="B5391" s="2">
        <v>46164.3</v>
      </c>
      <c r="C5391" s="38">
        <v>44970</v>
      </c>
      <c r="D5391" s="1" t="s">
        <v>258</v>
      </c>
      <c r="E5391" s="1" t="s">
        <v>33</v>
      </c>
      <c r="F5391" s="1" t="s">
        <v>200</v>
      </c>
      <c r="G5391" s="5">
        <v>659.49</v>
      </c>
    </row>
    <row r="5392" spans="1:7" x14ac:dyDescent="0.2">
      <c r="A5392" s="3">
        <v>70</v>
      </c>
      <c r="B5392" s="2">
        <v>46164.3</v>
      </c>
      <c r="C5392" s="38">
        <v>44970</v>
      </c>
      <c r="D5392" s="1" t="s">
        <v>258</v>
      </c>
      <c r="E5392" s="1" t="s">
        <v>33</v>
      </c>
      <c r="F5392" s="1" t="s">
        <v>200</v>
      </c>
      <c r="G5392" s="5">
        <v>659.49</v>
      </c>
    </row>
    <row r="5393" spans="1:7" x14ac:dyDescent="0.2">
      <c r="A5393" s="3">
        <v>70</v>
      </c>
      <c r="B5393" s="2">
        <v>46164.3</v>
      </c>
      <c r="C5393" s="38">
        <v>44806</v>
      </c>
      <c r="D5393" s="1" t="s">
        <v>258</v>
      </c>
      <c r="E5393" s="1" t="s">
        <v>33</v>
      </c>
      <c r="F5393" s="1" t="s">
        <v>200</v>
      </c>
      <c r="G5393" s="5">
        <v>659.49</v>
      </c>
    </row>
    <row r="5394" spans="1:7" x14ac:dyDescent="0.2">
      <c r="A5394" s="3">
        <v>70</v>
      </c>
      <c r="B5394" s="2">
        <v>46164.3</v>
      </c>
      <c r="C5394" s="38">
        <v>44806</v>
      </c>
      <c r="D5394" s="1" t="s">
        <v>258</v>
      </c>
      <c r="E5394" s="1" t="s">
        <v>33</v>
      </c>
      <c r="F5394" s="1" t="s">
        <v>200</v>
      </c>
      <c r="G5394" s="5">
        <v>659.49</v>
      </c>
    </row>
    <row r="5395" spans="1:7" x14ac:dyDescent="0.2">
      <c r="A5395" s="3">
        <v>70</v>
      </c>
      <c r="B5395" s="2">
        <v>46164.3</v>
      </c>
      <c r="C5395" s="38">
        <v>44806</v>
      </c>
      <c r="D5395" s="1" t="s">
        <v>258</v>
      </c>
      <c r="E5395" s="1" t="s">
        <v>33</v>
      </c>
      <c r="F5395" s="1" t="s">
        <v>200</v>
      </c>
      <c r="G5395" s="5">
        <v>659.49</v>
      </c>
    </row>
    <row r="5396" spans="1:7" x14ac:dyDescent="0.2">
      <c r="A5396" s="3">
        <v>70</v>
      </c>
      <c r="B5396" s="2">
        <v>46164.3</v>
      </c>
      <c r="C5396" s="38">
        <v>44806</v>
      </c>
      <c r="D5396" s="1" t="s">
        <v>258</v>
      </c>
      <c r="E5396" s="1" t="s">
        <v>33</v>
      </c>
      <c r="F5396" s="1" t="s">
        <v>200</v>
      </c>
      <c r="G5396" s="5">
        <v>659.49</v>
      </c>
    </row>
    <row r="5397" spans="1:7" x14ac:dyDescent="0.2">
      <c r="A5397" s="3">
        <v>70</v>
      </c>
      <c r="B5397" s="2">
        <v>46164.3</v>
      </c>
      <c r="C5397" s="38">
        <v>44806</v>
      </c>
      <c r="D5397" s="1" t="s">
        <v>258</v>
      </c>
      <c r="E5397" s="1" t="s">
        <v>33</v>
      </c>
      <c r="F5397" s="1" t="s">
        <v>200</v>
      </c>
      <c r="G5397" s="5">
        <v>659.49</v>
      </c>
    </row>
    <row r="5398" spans="1:7" x14ac:dyDescent="0.2">
      <c r="A5398" s="3">
        <v>70</v>
      </c>
      <c r="B5398" s="2">
        <v>46164.3</v>
      </c>
      <c r="C5398" s="38">
        <v>44806</v>
      </c>
      <c r="D5398" s="1" t="s">
        <v>258</v>
      </c>
      <c r="E5398" s="1" t="s">
        <v>33</v>
      </c>
      <c r="F5398" s="1" t="s">
        <v>200</v>
      </c>
      <c r="G5398" s="5">
        <v>659.49</v>
      </c>
    </row>
    <row r="5399" spans="1:7" x14ac:dyDescent="0.2">
      <c r="A5399" s="3">
        <v>70</v>
      </c>
      <c r="B5399" s="2">
        <v>46164.3</v>
      </c>
      <c r="C5399" s="38">
        <v>44806</v>
      </c>
      <c r="D5399" s="1" t="s">
        <v>258</v>
      </c>
      <c r="E5399" s="1" t="s">
        <v>33</v>
      </c>
      <c r="F5399" s="1" t="s">
        <v>200</v>
      </c>
      <c r="G5399" s="5">
        <v>659.49</v>
      </c>
    </row>
    <row r="5400" spans="1:7" x14ac:dyDescent="0.2">
      <c r="A5400" s="3">
        <v>70</v>
      </c>
      <c r="B5400" s="2">
        <v>46164.3</v>
      </c>
      <c r="C5400" s="38">
        <v>44894</v>
      </c>
      <c r="D5400" s="1" t="s">
        <v>258</v>
      </c>
      <c r="E5400" s="1" t="s">
        <v>33</v>
      </c>
      <c r="F5400" s="1" t="s">
        <v>200</v>
      </c>
      <c r="G5400" s="5">
        <v>659.49</v>
      </c>
    </row>
    <row r="5401" spans="1:7" x14ac:dyDescent="0.2">
      <c r="A5401" s="3">
        <v>70</v>
      </c>
      <c r="B5401" s="2">
        <v>46164.3</v>
      </c>
      <c r="C5401" s="38">
        <v>44894</v>
      </c>
      <c r="D5401" s="1" t="s">
        <v>258</v>
      </c>
      <c r="E5401" s="1" t="s">
        <v>33</v>
      </c>
      <c r="F5401" s="1" t="s">
        <v>200</v>
      </c>
      <c r="G5401" s="5">
        <v>659.49</v>
      </c>
    </row>
    <row r="5402" spans="1:7" x14ac:dyDescent="0.2">
      <c r="A5402" s="3">
        <v>70</v>
      </c>
      <c r="B5402" s="2">
        <v>46164.3</v>
      </c>
      <c r="C5402" s="38">
        <v>44897</v>
      </c>
      <c r="D5402" s="1" t="s">
        <v>258</v>
      </c>
      <c r="E5402" s="1" t="s">
        <v>33</v>
      </c>
      <c r="F5402" s="1" t="s">
        <v>200</v>
      </c>
      <c r="G5402" s="5">
        <v>659.49</v>
      </c>
    </row>
    <row r="5403" spans="1:7" x14ac:dyDescent="0.2">
      <c r="A5403" s="3">
        <v>70</v>
      </c>
      <c r="B5403" s="2">
        <v>46164.3</v>
      </c>
      <c r="C5403" s="38">
        <v>44914</v>
      </c>
      <c r="D5403" s="1" t="s">
        <v>258</v>
      </c>
      <c r="E5403" s="1" t="s">
        <v>33</v>
      </c>
      <c r="F5403" s="1" t="s">
        <v>200</v>
      </c>
      <c r="G5403" s="5">
        <v>659.49</v>
      </c>
    </row>
    <row r="5404" spans="1:7" x14ac:dyDescent="0.2">
      <c r="A5404" s="3">
        <v>70</v>
      </c>
      <c r="B5404" s="2">
        <v>46164.3</v>
      </c>
      <c r="C5404" s="38">
        <v>44806</v>
      </c>
      <c r="D5404" s="1" t="s">
        <v>258</v>
      </c>
      <c r="E5404" s="1" t="s">
        <v>33</v>
      </c>
      <c r="F5404" s="1" t="s">
        <v>200</v>
      </c>
      <c r="G5404" s="5">
        <v>659.49</v>
      </c>
    </row>
    <row r="5405" spans="1:7" x14ac:dyDescent="0.2">
      <c r="A5405" s="3">
        <v>70</v>
      </c>
      <c r="B5405" s="2">
        <v>46164.3</v>
      </c>
      <c r="C5405" s="38">
        <v>44806</v>
      </c>
      <c r="D5405" s="1" t="s">
        <v>258</v>
      </c>
      <c r="E5405" s="1" t="s">
        <v>33</v>
      </c>
      <c r="F5405" s="1" t="s">
        <v>200</v>
      </c>
      <c r="G5405" s="5">
        <v>659.49</v>
      </c>
    </row>
    <row r="5406" spans="1:7" x14ac:dyDescent="0.2">
      <c r="A5406" s="3">
        <v>70</v>
      </c>
      <c r="B5406" s="2">
        <v>46164.3</v>
      </c>
      <c r="C5406" s="38">
        <v>44806</v>
      </c>
      <c r="D5406" s="1" t="s">
        <v>258</v>
      </c>
      <c r="E5406" s="1" t="s">
        <v>33</v>
      </c>
      <c r="F5406" s="1" t="s">
        <v>200</v>
      </c>
      <c r="G5406" s="5">
        <v>659.49</v>
      </c>
    </row>
    <row r="5407" spans="1:7" x14ac:dyDescent="0.2">
      <c r="A5407" s="3">
        <v>70</v>
      </c>
      <c r="B5407" s="2">
        <v>26859</v>
      </c>
      <c r="C5407" s="38">
        <v>45077</v>
      </c>
      <c r="D5407" s="1" t="s">
        <v>256</v>
      </c>
      <c r="E5407" s="1" t="s">
        <v>33</v>
      </c>
      <c r="F5407" s="1" t="s">
        <v>200</v>
      </c>
      <c r="G5407" s="5">
        <v>383.7</v>
      </c>
    </row>
    <row r="5408" spans="1:7" x14ac:dyDescent="0.2">
      <c r="A5408" s="3">
        <v>70</v>
      </c>
      <c r="B5408" s="2">
        <v>26859</v>
      </c>
      <c r="C5408" s="38">
        <v>44940</v>
      </c>
      <c r="D5408" s="1" t="s">
        <v>256</v>
      </c>
      <c r="E5408" s="1" t="s">
        <v>33</v>
      </c>
      <c r="F5408" s="1" t="s">
        <v>200</v>
      </c>
      <c r="G5408" s="5">
        <v>383.7</v>
      </c>
    </row>
    <row r="5409" spans="1:7" x14ac:dyDescent="0.2">
      <c r="A5409" s="3">
        <v>70</v>
      </c>
      <c r="B5409" s="2">
        <v>29066.1</v>
      </c>
      <c r="C5409" s="38">
        <v>44950</v>
      </c>
      <c r="D5409" s="1" t="s">
        <v>254</v>
      </c>
      <c r="E5409" s="1" t="s">
        <v>33</v>
      </c>
      <c r="F5409" s="1" t="s">
        <v>200</v>
      </c>
      <c r="G5409" s="5">
        <v>415.23</v>
      </c>
    </row>
    <row r="5410" spans="1:7" x14ac:dyDescent="0.2">
      <c r="A5410" s="3">
        <v>70</v>
      </c>
      <c r="B5410" s="2">
        <v>29066.1</v>
      </c>
      <c r="C5410" s="38">
        <v>44950</v>
      </c>
      <c r="D5410" s="1" t="s">
        <v>254</v>
      </c>
      <c r="E5410" s="1" t="s">
        <v>33</v>
      </c>
      <c r="F5410" s="1" t="s">
        <v>200</v>
      </c>
      <c r="G5410" s="5">
        <v>415.23</v>
      </c>
    </row>
    <row r="5411" spans="1:7" x14ac:dyDescent="0.2">
      <c r="A5411" s="3">
        <v>70</v>
      </c>
      <c r="B5411" s="2">
        <v>29066.1</v>
      </c>
      <c r="C5411" s="38">
        <v>44950</v>
      </c>
      <c r="D5411" s="1" t="s">
        <v>254</v>
      </c>
      <c r="E5411" s="1" t="s">
        <v>33</v>
      </c>
      <c r="F5411" s="1" t="s">
        <v>200</v>
      </c>
      <c r="G5411" s="5">
        <v>415.23</v>
      </c>
    </row>
    <row r="5412" spans="1:7" x14ac:dyDescent="0.2">
      <c r="A5412" s="3">
        <v>70</v>
      </c>
      <c r="B5412" s="2">
        <v>29066.1</v>
      </c>
      <c r="C5412" s="38">
        <v>44950</v>
      </c>
      <c r="D5412" s="1" t="s">
        <v>254</v>
      </c>
      <c r="E5412" s="1" t="s">
        <v>33</v>
      </c>
      <c r="F5412" s="1" t="s">
        <v>200</v>
      </c>
      <c r="G5412" s="5">
        <v>415.23</v>
      </c>
    </row>
    <row r="5413" spans="1:7" x14ac:dyDescent="0.2">
      <c r="A5413" s="3">
        <v>70</v>
      </c>
      <c r="B5413" s="2">
        <v>29066.1</v>
      </c>
      <c r="C5413" s="38">
        <v>44950</v>
      </c>
      <c r="D5413" s="1" t="s">
        <v>254</v>
      </c>
      <c r="E5413" s="1" t="s">
        <v>33</v>
      </c>
      <c r="F5413" s="1" t="s">
        <v>200</v>
      </c>
      <c r="G5413" s="5">
        <v>415.23</v>
      </c>
    </row>
    <row r="5414" spans="1:7" x14ac:dyDescent="0.2">
      <c r="A5414" s="3">
        <v>70</v>
      </c>
      <c r="B5414" s="2">
        <v>29066.1</v>
      </c>
      <c r="C5414" s="38">
        <v>45049</v>
      </c>
      <c r="D5414" s="1" t="s">
        <v>254</v>
      </c>
      <c r="E5414" s="1" t="s">
        <v>33</v>
      </c>
      <c r="F5414" s="1" t="s">
        <v>200</v>
      </c>
      <c r="G5414" s="5">
        <v>415.23</v>
      </c>
    </row>
    <row r="5415" spans="1:7" x14ac:dyDescent="0.2">
      <c r="A5415" s="3">
        <v>70</v>
      </c>
      <c r="B5415" s="2">
        <v>29066.1</v>
      </c>
      <c r="C5415" s="38">
        <v>45049</v>
      </c>
      <c r="D5415" s="1" t="s">
        <v>254</v>
      </c>
      <c r="E5415" s="1" t="s">
        <v>33</v>
      </c>
      <c r="F5415" s="1" t="s">
        <v>200</v>
      </c>
      <c r="G5415" s="5">
        <v>415.23</v>
      </c>
    </row>
    <row r="5416" spans="1:7" x14ac:dyDescent="0.2">
      <c r="A5416" s="3">
        <v>70</v>
      </c>
      <c r="B5416" s="2">
        <v>29066.1</v>
      </c>
      <c r="C5416" s="38">
        <v>45049</v>
      </c>
      <c r="D5416" s="1" t="s">
        <v>254</v>
      </c>
      <c r="E5416" s="1" t="s">
        <v>33</v>
      </c>
      <c r="F5416" s="1" t="s">
        <v>200</v>
      </c>
      <c r="G5416" s="5">
        <v>415.23</v>
      </c>
    </row>
    <row r="5417" spans="1:7" x14ac:dyDescent="0.2">
      <c r="A5417" s="3">
        <v>70</v>
      </c>
      <c r="B5417" s="2">
        <v>30020.2</v>
      </c>
      <c r="C5417" s="38">
        <v>45049</v>
      </c>
      <c r="D5417" s="1" t="s">
        <v>255</v>
      </c>
      <c r="E5417" s="1" t="s">
        <v>33</v>
      </c>
      <c r="F5417" s="1" t="s">
        <v>200</v>
      </c>
      <c r="G5417" s="5">
        <v>428.86</v>
      </c>
    </row>
    <row r="5418" spans="1:7" x14ac:dyDescent="0.2">
      <c r="A5418" s="3">
        <v>70</v>
      </c>
      <c r="B5418" s="2">
        <v>30020.2</v>
      </c>
      <c r="C5418" s="38">
        <v>45049</v>
      </c>
      <c r="D5418" s="1" t="s">
        <v>255</v>
      </c>
      <c r="E5418" s="1" t="s">
        <v>33</v>
      </c>
      <c r="F5418" s="1" t="s">
        <v>200</v>
      </c>
      <c r="G5418" s="5">
        <v>428.86</v>
      </c>
    </row>
    <row r="5419" spans="1:7" x14ac:dyDescent="0.2">
      <c r="A5419" s="3">
        <v>70</v>
      </c>
      <c r="B5419" s="2">
        <v>26859</v>
      </c>
      <c r="C5419" s="38">
        <v>45049</v>
      </c>
      <c r="D5419" s="1" t="s">
        <v>256</v>
      </c>
      <c r="E5419" s="1" t="s">
        <v>33</v>
      </c>
      <c r="F5419" s="1" t="s">
        <v>200</v>
      </c>
      <c r="G5419" s="5">
        <v>383.7</v>
      </c>
    </row>
    <row r="5420" spans="1:7" x14ac:dyDescent="0.2">
      <c r="A5420" s="3">
        <v>70</v>
      </c>
      <c r="B5420" s="2">
        <v>26859</v>
      </c>
      <c r="C5420" s="38">
        <v>45086</v>
      </c>
      <c r="D5420" s="1" t="s">
        <v>256</v>
      </c>
      <c r="E5420" s="1" t="s">
        <v>33</v>
      </c>
      <c r="F5420" s="1" t="s">
        <v>200</v>
      </c>
      <c r="G5420" s="5">
        <v>383.7</v>
      </c>
    </row>
    <row r="5421" spans="1:7" x14ac:dyDescent="0.2">
      <c r="A5421" s="3">
        <v>70</v>
      </c>
      <c r="B5421" s="2">
        <v>30020.2</v>
      </c>
      <c r="C5421" s="38">
        <v>44970</v>
      </c>
      <c r="D5421" s="1" t="s">
        <v>255</v>
      </c>
      <c r="E5421" s="1" t="s">
        <v>33</v>
      </c>
      <c r="F5421" s="1" t="s">
        <v>200</v>
      </c>
      <c r="G5421" s="5">
        <v>428.86</v>
      </c>
    </row>
    <row r="5422" spans="1:7" x14ac:dyDescent="0.2">
      <c r="A5422" s="3">
        <v>70</v>
      </c>
      <c r="B5422" s="2">
        <v>48690.6</v>
      </c>
      <c r="C5422" s="38">
        <v>44978</v>
      </c>
      <c r="D5422" s="1" t="s">
        <v>258</v>
      </c>
      <c r="E5422" s="1" t="s">
        <v>33</v>
      </c>
      <c r="F5422" s="1" t="s">
        <v>200</v>
      </c>
      <c r="G5422" s="5">
        <v>695.58</v>
      </c>
    </row>
    <row r="5423" spans="1:7" x14ac:dyDescent="0.2">
      <c r="A5423" s="3">
        <v>70</v>
      </c>
      <c r="B5423" s="2">
        <v>48690.6</v>
      </c>
      <c r="C5423" s="38">
        <v>44978</v>
      </c>
      <c r="D5423" s="1" t="s">
        <v>258</v>
      </c>
      <c r="E5423" s="1" t="s">
        <v>33</v>
      </c>
      <c r="F5423" s="1" t="s">
        <v>200</v>
      </c>
      <c r="G5423" s="5">
        <v>695.58</v>
      </c>
    </row>
    <row r="5424" spans="1:7" x14ac:dyDescent="0.2">
      <c r="A5424" s="3">
        <v>70</v>
      </c>
      <c r="B5424" s="2">
        <v>48690.6</v>
      </c>
      <c r="C5424" s="38">
        <v>44978</v>
      </c>
      <c r="D5424" s="1" t="s">
        <v>258</v>
      </c>
      <c r="E5424" s="1" t="s">
        <v>33</v>
      </c>
      <c r="F5424" s="1" t="s">
        <v>200</v>
      </c>
      <c r="G5424" s="5">
        <v>695.58</v>
      </c>
    </row>
    <row r="5425" spans="1:7" x14ac:dyDescent="0.2">
      <c r="A5425" s="3">
        <v>70</v>
      </c>
      <c r="B5425" s="2">
        <v>30020.2</v>
      </c>
      <c r="C5425" s="38">
        <v>45061</v>
      </c>
      <c r="D5425" s="1" t="s">
        <v>255</v>
      </c>
      <c r="E5425" s="1" t="s">
        <v>33</v>
      </c>
      <c r="F5425" s="1" t="s">
        <v>200</v>
      </c>
      <c r="G5425" s="5">
        <v>428.86</v>
      </c>
    </row>
    <row r="5426" spans="1:7" x14ac:dyDescent="0.2">
      <c r="A5426" s="3">
        <v>70</v>
      </c>
      <c r="B5426" s="2">
        <v>30020.2</v>
      </c>
      <c r="C5426" s="38">
        <v>45041</v>
      </c>
      <c r="D5426" s="1" t="s">
        <v>255</v>
      </c>
      <c r="E5426" s="1" t="s">
        <v>33</v>
      </c>
      <c r="F5426" s="1" t="s">
        <v>200</v>
      </c>
      <c r="G5426" s="5">
        <v>428.86</v>
      </c>
    </row>
    <row r="5427" spans="1:7" x14ac:dyDescent="0.2">
      <c r="A5427" s="3">
        <v>70</v>
      </c>
      <c r="B5427" s="2">
        <v>30020.2</v>
      </c>
      <c r="C5427" s="38">
        <v>45041</v>
      </c>
      <c r="D5427" s="1" t="s">
        <v>255</v>
      </c>
      <c r="E5427" s="1" t="s">
        <v>33</v>
      </c>
      <c r="F5427" s="1" t="s">
        <v>200</v>
      </c>
      <c r="G5427" s="5">
        <v>428.86</v>
      </c>
    </row>
    <row r="5428" spans="1:7" x14ac:dyDescent="0.2">
      <c r="A5428" s="3">
        <v>70</v>
      </c>
      <c r="B5428" s="2">
        <v>30020.2</v>
      </c>
      <c r="C5428" s="38">
        <v>45041</v>
      </c>
      <c r="D5428" s="1" t="s">
        <v>255</v>
      </c>
      <c r="E5428" s="1" t="s">
        <v>33</v>
      </c>
      <c r="F5428" s="1" t="s">
        <v>200</v>
      </c>
      <c r="G5428" s="5">
        <v>428.86</v>
      </c>
    </row>
    <row r="5429" spans="1:7" x14ac:dyDescent="0.2">
      <c r="A5429" s="3">
        <v>70</v>
      </c>
      <c r="B5429" s="2">
        <v>30020.2</v>
      </c>
      <c r="C5429" s="38">
        <v>45041</v>
      </c>
      <c r="D5429" s="1" t="s">
        <v>255</v>
      </c>
      <c r="E5429" s="1" t="s">
        <v>33</v>
      </c>
      <c r="F5429" s="1" t="s">
        <v>200</v>
      </c>
      <c r="G5429" s="5">
        <v>428.86</v>
      </c>
    </row>
    <row r="5430" spans="1:7" x14ac:dyDescent="0.2">
      <c r="A5430" s="3">
        <v>70</v>
      </c>
      <c r="B5430" s="2">
        <v>26859</v>
      </c>
      <c r="C5430" s="38">
        <v>45154</v>
      </c>
      <c r="D5430" s="1" t="s">
        <v>256</v>
      </c>
      <c r="E5430" s="1" t="s">
        <v>33</v>
      </c>
      <c r="F5430" s="1" t="s">
        <v>200</v>
      </c>
      <c r="G5430" s="5">
        <v>383.7</v>
      </c>
    </row>
    <row r="5431" spans="1:7" x14ac:dyDescent="0.2">
      <c r="A5431" s="3">
        <v>70</v>
      </c>
      <c r="B5431" s="2">
        <v>26859</v>
      </c>
      <c r="C5431" s="38">
        <v>45154</v>
      </c>
      <c r="D5431" s="1" t="s">
        <v>256</v>
      </c>
      <c r="E5431" s="1" t="s">
        <v>33</v>
      </c>
      <c r="F5431" s="1" t="s">
        <v>200</v>
      </c>
      <c r="G5431" s="5">
        <v>383.7</v>
      </c>
    </row>
    <row r="5432" spans="1:7" x14ac:dyDescent="0.2">
      <c r="A5432" s="3">
        <v>70</v>
      </c>
      <c r="B5432" s="2">
        <v>26859</v>
      </c>
      <c r="C5432" s="38">
        <v>45155</v>
      </c>
      <c r="D5432" s="1" t="s">
        <v>256</v>
      </c>
      <c r="E5432" s="1" t="s">
        <v>33</v>
      </c>
      <c r="F5432" s="1" t="s">
        <v>200</v>
      </c>
      <c r="G5432" s="5">
        <v>383.7</v>
      </c>
    </row>
    <row r="5433" spans="1:7" x14ac:dyDescent="0.2">
      <c r="A5433" s="3">
        <v>70</v>
      </c>
      <c r="B5433" s="2">
        <v>26859</v>
      </c>
      <c r="C5433" s="38">
        <v>45155</v>
      </c>
      <c r="D5433" s="1" t="s">
        <v>256</v>
      </c>
      <c r="E5433" s="1" t="s">
        <v>33</v>
      </c>
      <c r="F5433" s="1" t="s">
        <v>200</v>
      </c>
      <c r="G5433" s="5">
        <v>383.7</v>
      </c>
    </row>
    <row r="5434" spans="1:7" x14ac:dyDescent="0.2">
      <c r="A5434" s="3">
        <v>70</v>
      </c>
      <c r="B5434" s="2">
        <v>27421.1</v>
      </c>
      <c r="C5434" s="38">
        <v>44907</v>
      </c>
      <c r="D5434" s="1" t="s">
        <v>254</v>
      </c>
      <c r="E5434" s="1" t="s">
        <v>33</v>
      </c>
      <c r="F5434" s="1" t="s">
        <v>200</v>
      </c>
      <c r="G5434" s="5">
        <v>391.73</v>
      </c>
    </row>
    <row r="5435" spans="1:7" x14ac:dyDescent="0.2">
      <c r="A5435" s="3">
        <v>70</v>
      </c>
      <c r="B5435" s="2">
        <v>27421.1</v>
      </c>
      <c r="C5435" s="38">
        <v>44907</v>
      </c>
      <c r="D5435" s="1" t="s">
        <v>254</v>
      </c>
      <c r="E5435" s="1" t="s">
        <v>33</v>
      </c>
      <c r="F5435" s="1" t="s">
        <v>200</v>
      </c>
      <c r="G5435" s="5">
        <v>391.73</v>
      </c>
    </row>
    <row r="5436" spans="1:7" x14ac:dyDescent="0.2">
      <c r="A5436" s="3">
        <v>70</v>
      </c>
      <c r="B5436" s="2">
        <v>28462</v>
      </c>
      <c r="C5436" s="38">
        <v>44854</v>
      </c>
      <c r="D5436" s="1" t="s">
        <v>255</v>
      </c>
      <c r="E5436" s="1" t="s">
        <v>33</v>
      </c>
      <c r="F5436" s="1" t="s">
        <v>200</v>
      </c>
      <c r="G5436" s="5">
        <v>406.6</v>
      </c>
    </row>
    <row r="5437" spans="1:7" x14ac:dyDescent="0.2">
      <c r="A5437" s="3">
        <v>70</v>
      </c>
      <c r="B5437" s="2">
        <v>28462</v>
      </c>
      <c r="C5437" s="38">
        <v>44854</v>
      </c>
      <c r="D5437" s="1" t="s">
        <v>255</v>
      </c>
      <c r="E5437" s="1" t="s">
        <v>33</v>
      </c>
      <c r="F5437" s="1" t="s">
        <v>200</v>
      </c>
      <c r="G5437" s="5">
        <v>406.6</v>
      </c>
    </row>
    <row r="5438" spans="1:7" x14ac:dyDescent="0.2">
      <c r="A5438" s="3">
        <v>70</v>
      </c>
      <c r="B5438" s="2">
        <v>28462</v>
      </c>
      <c r="C5438" s="38">
        <v>44914</v>
      </c>
      <c r="D5438" s="1" t="s">
        <v>255</v>
      </c>
      <c r="E5438" s="1" t="s">
        <v>33</v>
      </c>
      <c r="F5438" s="1" t="s">
        <v>200</v>
      </c>
      <c r="G5438" s="5">
        <v>406.6</v>
      </c>
    </row>
    <row r="5439" spans="1:7" x14ac:dyDescent="0.2">
      <c r="A5439" s="3">
        <v>70</v>
      </c>
      <c r="B5439" s="2">
        <v>28462</v>
      </c>
      <c r="C5439" s="38">
        <v>44854</v>
      </c>
      <c r="D5439" s="1" t="s">
        <v>255</v>
      </c>
      <c r="E5439" s="1" t="s">
        <v>33</v>
      </c>
      <c r="F5439" s="1" t="s">
        <v>200</v>
      </c>
      <c r="G5439" s="5">
        <v>406.6</v>
      </c>
    </row>
    <row r="5440" spans="1:7" x14ac:dyDescent="0.2">
      <c r="A5440" s="3">
        <v>70</v>
      </c>
      <c r="B5440" s="2">
        <v>28462</v>
      </c>
      <c r="C5440" s="38">
        <v>44854</v>
      </c>
      <c r="D5440" s="1" t="s">
        <v>255</v>
      </c>
      <c r="E5440" s="1" t="s">
        <v>33</v>
      </c>
      <c r="F5440" s="1" t="s">
        <v>200</v>
      </c>
      <c r="G5440" s="5">
        <v>406.6</v>
      </c>
    </row>
    <row r="5441" spans="1:7" x14ac:dyDescent="0.2">
      <c r="A5441" s="3">
        <v>70</v>
      </c>
      <c r="B5441" s="2">
        <v>28462</v>
      </c>
      <c r="C5441" s="38">
        <v>44854</v>
      </c>
      <c r="D5441" s="1" t="s">
        <v>255</v>
      </c>
      <c r="E5441" s="1" t="s">
        <v>33</v>
      </c>
      <c r="F5441" s="1" t="s">
        <v>200</v>
      </c>
      <c r="G5441" s="5">
        <v>406.6</v>
      </c>
    </row>
    <row r="5442" spans="1:7" x14ac:dyDescent="0.2">
      <c r="A5442" s="3">
        <v>70</v>
      </c>
      <c r="B5442" s="2">
        <v>28462</v>
      </c>
      <c r="C5442" s="38">
        <v>44914</v>
      </c>
      <c r="D5442" s="1" t="s">
        <v>255</v>
      </c>
      <c r="E5442" s="1" t="s">
        <v>33</v>
      </c>
      <c r="F5442" s="1" t="s">
        <v>200</v>
      </c>
      <c r="G5442" s="5">
        <v>406.6</v>
      </c>
    </row>
    <row r="5443" spans="1:7" x14ac:dyDescent="0.2">
      <c r="A5443" s="3">
        <v>70</v>
      </c>
      <c r="B5443" s="2">
        <v>29066.1</v>
      </c>
      <c r="C5443" s="38">
        <v>45132</v>
      </c>
      <c r="D5443" s="1" t="s">
        <v>254</v>
      </c>
      <c r="E5443" s="1" t="s">
        <v>33</v>
      </c>
      <c r="F5443" s="1" t="s">
        <v>200</v>
      </c>
      <c r="G5443" s="5">
        <v>415.23</v>
      </c>
    </row>
    <row r="5444" spans="1:7" x14ac:dyDescent="0.2">
      <c r="A5444" s="3">
        <v>70</v>
      </c>
      <c r="B5444" s="2">
        <v>29066.1</v>
      </c>
      <c r="C5444" s="38">
        <v>45132</v>
      </c>
      <c r="D5444" s="1" t="s">
        <v>254</v>
      </c>
      <c r="E5444" s="1" t="s">
        <v>33</v>
      </c>
      <c r="F5444" s="1" t="s">
        <v>200</v>
      </c>
      <c r="G5444" s="5">
        <v>415.23</v>
      </c>
    </row>
    <row r="5445" spans="1:7" x14ac:dyDescent="0.2">
      <c r="A5445" s="3">
        <v>70</v>
      </c>
      <c r="B5445" s="2">
        <v>29066.1</v>
      </c>
      <c r="C5445" s="38">
        <v>45132</v>
      </c>
      <c r="D5445" s="1" t="s">
        <v>254</v>
      </c>
      <c r="E5445" s="1" t="s">
        <v>33</v>
      </c>
      <c r="F5445" s="1" t="s">
        <v>200</v>
      </c>
      <c r="G5445" s="5">
        <v>415.23</v>
      </c>
    </row>
    <row r="5446" spans="1:7" x14ac:dyDescent="0.2">
      <c r="A5446" s="3">
        <v>70</v>
      </c>
      <c r="B5446" s="2">
        <v>26859</v>
      </c>
      <c r="C5446" s="38">
        <v>45132</v>
      </c>
      <c r="D5446" s="1" t="s">
        <v>256</v>
      </c>
      <c r="E5446" s="1" t="s">
        <v>33</v>
      </c>
      <c r="F5446" s="1" t="s">
        <v>200</v>
      </c>
      <c r="G5446" s="5">
        <v>383.7</v>
      </c>
    </row>
    <row r="5447" spans="1:7" x14ac:dyDescent="0.2">
      <c r="A5447" s="3">
        <v>120</v>
      </c>
      <c r="B5447" s="2">
        <v>52864.800000000003</v>
      </c>
      <c r="C5447" s="38">
        <v>44678</v>
      </c>
      <c r="D5447" s="1" t="s">
        <v>248</v>
      </c>
      <c r="E5447" s="1" t="s">
        <v>33</v>
      </c>
      <c r="F5447" s="1" t="s">
        <v>200</v>
      </c>
      <c r="G5447" s="5">
        <v>440.54</v>
      </c>
    </row>
    <row r="5448" spans="1:7" x14ac:dyDescent="0.2">
      <c r="A5448" s="3">
        <v>120</v>
      </c>
      <c r="B5448" s="2">
        <v>52864.800000000003</v>
      </c>
      <c r="C5448" s="38">
        <v>44678</v>
      </c>
      <c r="D5448" s="1" t="s">
        <v>248</v>
      </c>
      <c r="E5448" s="1" t="s">
        <v>33</v>
      </c>
      <c r="F5448" s="1" t="s">
        <v>200</v>
      </c>
      <c r="G5448" s="5">
        <v>440.54</v>
      </c>
    </row>
    <row r="5449" spans="1:7" x14ac:dyDescent="0.2">
      <c r="A5449" s="3">
        <v>120</v>
      </c>
      <c r="B5449" s="2">
        <v>52864.800000000003</v>
      </c>
      <c r="C5449" s="38">
        <v>44678</v>
      </c>
      <c r="D5449" s="1" t="s">
        <v>248</v>
      </c>
      <c r="E5449" s="1" t="s">
        <v>33</v>
      </c>
      <c r="F5449" s="1" t="s">
        <v>200</v>
      </c>
      <c r="G5449" s="5">
        <v>440.54</v>
      </c>
    </row>
    <row r="5450" spans="1:7" x14ac:dyDescent="0.2">
      <c r="A5450" s="3">
        <v>120</v>
      </c>
      <c r="B5450" s="2">
        <v>52864.800000000003</v>
      </c>
      <c r="C5450" s="38">
        <v>44678</v>
      </c>
      <c r="D5450" s="1" t="s">
        <v>248</v>
      </c>
      <c r="E5450" s="1" t="s">
        <v>33</v>
      </c>
      <c r="F5450" s="1" t="s">
        <v>200</v>
      </c>
      <c r="G5450" s="5">
        <v>440.54</v>
      </c>
    </row>
    <row r="5451" spans="1:7" x14ac:dyDescent="0.2">
      <c r="A5451" s="3">
        <v>120</v>
      </c>
      <c r="B5451" s="2">
        <v>52864.800000000003</v>
      </c>
      <c r="C5451" s="38">
        <v>44678</v>
      </c>
      <c r="D5451" s="1" t="s">
        <v>248</v>
      </c>
      <c r="E5451" s="1" t="s">
        <v>33</v>
      </c>
      <c r="F5451" s="1" t="s">
        <v>200</v>
      </c>
      <c r="G5451" s="5">
        <v>440.54</v>
      </c>
    </row>
    <row r="5452" spans="1:7" x14ac:dyDescent="0.2">
      <c r="A5452" s="3">
        <v>120</v>
      </c>
      <c r="B5452" s="2">
        <v>52864.800000000003</v>
      </c>
      <c r="C5452" s="38">
        <v>44678</v>
      </c>
      <c r="D5452" s="1" t="s">
        <v>248</v>
      </c>
      <c r="E5452" s="1" t="s">
        <v>33</v>
      </c>
      <c r="F5452" s="1" t="s">
        <v>200</v>
      </c>
      <c r="G5452" s="5">
        <v>440.54</v>
      </c>
    </row>
    <row r="5453" spans="1:7" x14ac:dyDescent="0.2">
      <c r="A5453" s="3">
        <v>120</v>
      </c>
      <c r="B5453" s="2">
        <v>52864.800000000003</v>
      </c>
      <c r="C5453" s="38">
        <v>44678</v>
      </c>
      <c r="D5453" s="1" t="s">
        <v>248</v>
      </c>
      <c r="E5453" s="1" t="s">
        <v>33</v>
      </c>
      <c r="F5453" s="1" t="s">
        <v>200</v>
      </c>
      <c r="G5453" s="5">
        <v>440.54</v>
      </c>
    </row>
    <row r="5454" spans="1:7" x14ac:dyDescent="0.2">
      <c r="A5454" s="3">
        <v>120</v>
      </c>
      <c r="B5454" s="2">
        <v>52864.800000000003</v>
      </c>
      <c r="C5454" s="38">
        <v>44678</v>
      </c>
      <c r="D5454" s="1" t="s">
        <v>248</v>
      </c>
      <c r="E5454" s="1" t="s">
        <v>33</v>
      </c>
      <c r="F5454" s="1" t="s">
        <v>200</v>
      </c>
      <c r="G5454" s="5">
        <v>440.54</v>
      </c>
    </row>
    <row r="5455" spans="1:7" x14ac:dyDescent="0.2">
      <c r="A5455" s="3">
        <v>120</v>
      </c>
      <c r="B5455" s="2">
        <v>52864.800000000003</v>
      </c>
      <c r="C5455" s="38">
        <v>44678</v>
      </c>
      <c r="D5455" s="1" t="s">
        <v>248</v>
      </c>
      <c r="E5455" s="1" t="s">
        <v>33</v>
      </c>
      <c r="F5455" s="1" t="s">
        <v>200</v>
      </c>
      <c r="G5455" s="5">
        <v>440.54</v>
      </c>
    </row>
    <row r="5456" spans="1:7" x14ac:dyDescent="0.2">
      <c r="A5456" s="3">
        <v>120</v>
      </c>
      <c r="B5456" s="2">
        <v>52864.800000000003</v>
      </c>
      <c r="C5456" s="38">
        <v>44678</v>
      </c>
      <c r="D5456" s="1" t="s">
        <v>248</v>
      </c>
      <c r="E5456" s="1" t="s">
        <v>33</v>
      </c>
      <c r="F5456" s="1" t="s">
        <v>200</v>
      </c>
      <c r="G5456" s="5">
        <v>440.54</v>
      </c>
    </row>
    <row r="5457" spans="1:7" x14ac:dyDescent="0.2">
      <c r="A5457" s="3">
        <v>120</v>
      </c>
      <c r="B5457" s="2">
        <v>52864.800000000003</v>
      </c>
      <c r="C5457" s="38">
        <v>44678</v>
      </c>
      <c r="D5457" s="1" t="s">
        <v>248</v>
      </c>
      <c r="E5457" s="1" t="s">
        <v>33</v>
      </c>
      <c r="F5457" s="1" t="s">
        <v>200</v>
      </c>
      <c r="G5457" s="5">
        <v>440.54</v>
      </c>
    </row>
    <row r="5458" spans="1:7" x14ac:dyDescent="0.2">
      <c r="A5458" s="3">
        <v>120</v>
      </c>
      <c r="B5458" s="2">
        <v>52864.800000000003</v>
      </c>
      <c r="C5458" s="38">
        <v>44678</v>
      </c>
      <c r="D5458" s="1" t="s">
        <v>248</v>
      </c>
      <c r="E5458" s="1" t="s">
        <v>33</v>
      </c>
      <c r="F5458" s="1" t="s">
        <v>200</v>
      </c>
      <c r="G5458" s="5">
        <v>440.54</v>
      </c>
    </row>
    <row r="5459" spans="1:7" x14ac:dyDescent="0.2">
      <c r="A5459" s="3">
        <v>120</v>
      </c>
      <c r="B5459" s="2">
        <v>52864.800000000003</v>
      </c>
      <c r="C5459" s="38">
        <v>44678</v>
      </c>
      <c r="D5459" s="1" t="s">
        <v>248</v>
      </c>
      <c r="E5459" s="1" t="s">
        <v>33</v>
      </c>
      <c r="F5459" s="1" t="s">
        <v>200</v>
      </c>
      <c r="G5459" s="5">
        <v>440.54</v>
      </c>
    </row>
    <row r="5460" spans="1:7" x14ac:dyDescent="0.2">
      <c r="A5460" s="3">
        <v>120</v>
      </c>
      <c r="B5460" s="2">
        <v>52864.800000000003</v>
      </c>
      <c r="C5460" s="38">
        <v>44678</v>
      </c>
      <c r="D5460" s="1" t="s">
        <v>248</v>
      </c>
      <c r="E5460" s="1" t="s">
        <v>33</v>
      </c>
      <c r="F5460" s="1" t="s">
        <v>200</v>
      </c>
      <c r="G5460" s="5">
        <v>440.54</v>
      </c>
    </row>
    <row r="5461" spans="1:7" x14ac:dyDescent="0.2">
      <c r="A5461" s="3">
        <v>120</v>
      </c>
      <c r="B5461" s="2">
        <v>52864.800000000003</v>
      </c>
      <c r="C5461" s="38">
        <v>44678</v>
      </c>
      <c r="D5461" s="1" t="s">
        <v>248</v>
      </c>
      <c r="E5461" s="1" t="s">
        <v>33</v>
      </c>
      <c r="F5461" s="1" t="s">
        <v>200</v>
      </c>
      <c r="G5461" s="5">
        <v>440.54</v>
      </c>
    </row>
    <row r="5462" spans="1:7" x14ac:dyDescent="0.2">
      <c r="A5462" s="3">
        <v>120</v>
      </c>
      <c r="B5462" s="2">
        <v>52864.800000000003</v>
      </c>
      <c r="C5462" s="38">
        <v>44678</v>
      </c>
      <c r="D5462" s="1" t="s">
        <v>248</v>
      </c>
      <c r="E5462" s="1" t="s">
        <v>33</v>
      </c>
      <c r="F5462" s="1" t="s">
        <v>200</v>
      </c>
      <c r="G5462" s="5">
        <v>440.54</v>
      </c>
    </row>
    <row r="5463" spans="1:7" x14ac:dyDescent="0.2">
      <c r="A5463" s="3">
        <v>120</v>
      </c>
      <c r="B5463" s="2">
        <v>52674</v>
      </c>
      <c r="C5463" s="38">
        <v>45000</v>
      </c>
      <c r="D5463" s="1" t="s">
        <v>248</v>
      </c>
      <c r="E5463" s="1" t="s">
        <v>33</v>
      </c>
      <c r="F5463" s="1" t="s">
        <v>200</v>
      </c>
      <c r="G5463" s="5">
        <v>438.95</v>
      </c>
    </row>
    <row r="5464" spans="1:7" x14ac:dyDescent="0.2">
      <c r="A5464" s="3">
        <v>120</v>
      </c>
      <c r="B5464" s="2">
        <v>55755.6</v>
      </c>
      <c r="C5464" s="38">
        <v>45049</v>
      </c>
      <c r="D5464" s="1" t="s">
        <v>248</v>
      </c>
      <c r="E5464" s="1" t="s">
        <v>33</v>
      </c>
      <c r="F5464" s="1" t="s">
        <v>200</v>
      </c>
      <c r="G5464" s="5">
        <v>464.63</v>
      </c>
    </row>
    <row r="5465" spans="1:7" x14ac:dyDescent="0.2">
      <c r="A5465" s="3">
        <v>120</v>
      </c>
      <c r="B5465" s="2">
        <v>55755.6</v>
      </c>
      <c r="C5465" s="38">
        <v>44952</v>
      </c>
      <c r="D5465" s="1" t="s">
        <v>248</v>
      </c>
      <c r="E5465" s="1" t="s">
        <v>33</v>
      </c>
      <c r="F5465" s="1" t="s">
        <v>200</v>
      </c>
      <c r="G5465" s="5">
        <v>464.63</v>
      </c>
    </row>
    <row r="5466" spans="1:7" x14ac:dyDescent="0.2">
      <c r="A5466" s="3">
        <v>120</v>
      </c>
      <c r="B5466" s="2">
        <v>55755.6</v>
      </c>
      <c r="C5466" s="38">
        <v>44952</v>
      </c>
      <c r="D5466" s="1" t="s">
        <v>248</v>
      </c>
      <c r="E5466" s="1" t="s">
        <v>33</v>
      </c>
      <c r="F5466" s="1" t="s">
        <v>200</v>
      </c>
      <c r="G5466" s="5">
        <v>464.63</v>
      </c>
    </row>
    <row r="5467" spans="1:7" x14ac:dyDescent="0.2">
      <c r="A5467" s="3">
        <v>120</v>
      </c>
      <c r="B5467" s="2">
        <v>52864.800000000003</v>
      </c>
      <c r="C5467" s="38">
        <v>44664</v>
      </c>
      <c r="D5467" s="1" t="s">
        <v>248</v>
      </c>
      <c r="E5467" s="1" t="s">
        <v>33</v>
      </c>
      <c r="F5467" s="1" t="s">
        <v>200</v>
      </c>
      <c r="G5467" s="5">
        <v>440.54</v>
      </c>
    </row>
    <row r="5468" spans="1:7" x14ac:dyDescent="0.2">
      <c r="A5468" s="3">
        <v>120</v>
      </c>
      <c r="B5468" s="2">
        <v>52864.800000000003</v>
      </c>
      <c r="C5468" s="38">
        <v>44664</v>
      </c>
      <c r="D5468" s="1" t="s">
        <v>248</v>
      </c>
      <c r="E5468" s="1" t="s">
        <v>33</v>
      </c>
      <c r="F5468" s="1" t="s">
        <v>200</v>
      </c>
      <c r="G5468" s="5">
        <v>440.54</v>
      </c>
    </row>
    <row r="5469" spans="1:7" x14ac:dyDescent="0.2">
      <c r="A5469" s="3">
        <v>120</v>
      </c>
      <c r="B5469" s="2">
        <v>52864.800000000003</v>
      </c>
      <c r="C5469" s="38">
        <v>44664</v>
      </c>
      <c r="D5469" s="1" t="s">
        <v>248</v>
      </c>
      <c r="E5469" s="1" t="s">
        <v>33</v>
      </c>
      <c r="F5469" s="1" t="s">
        <v>200</v>
      </c>
      <c r="G5469" s="5">
        <v>440.54</v>
      </c>
    </row>
    <row r="5470" spans="1:7" x14ac:dyDescent="0.2">
      <c r="A5470" s="3">
        <v>120</v>
      </c>
      <c r="B5470" s="2">
        <v>52864.800000000003</v>
      </c>
      <c r="C5470" s="38">
        <v>44664</v>
      </c>
      <c r="D5470" s="1" t="s">
        <v>248</v>
      </c>
      <c r="E5470" s="1" t="s">
        <v>33</v>
      </c>
      <c r="F5470" s="1" t="s">
        <v>200</v>
      </c>
      <c r="G5470" s="5">
        <v>440.54</v>
      </c>
    </row>
    <row r="5471" spans="1:7" x14ac:dyDescent="0.2">
      <c r="A5471" s="3">
        <v>120</v>
      </c>
      <c r="B5471" s="2">
        <v>52864.800000000003</v>
      </c>
      <c r="C5471" s="38">
        <v>44690</v>
      </c>
      <c r="D5471" s="1" t="s">
        <v>248</v>
      </c>
      <c r="E5471" s="1" t="s">
        <v>33</v>
      </c>
      <c r="F5471" s="1" t="s">
        <v>200</v>
      </c>
      <c r="G5471" s="5">
        <v>440.54</v>
      </c>
    </row>
    <row r="5472" spans="1:7" x14ac:dyDescent="0.2">
      <c r="A5472" s="3">
        <v>120</v>
      </c>
      <c r="B5472" s="2">
        <v>52864.800000000003</v>
      </c>
      <c r="C5472" s="38">
        <v>44690</v>
      </c>
      <c r="D5472" s="1" t="s">
        <v>248</v>
      </c>
      <c r="E5472" s="1" t="s">
        <v>33</v>
      </c>
      <c r="F5472" s="1" t="s">
        <v>200</v>
      </c>
      <c r="G5472" s="5">
        <v>440.54</v>
      </c>
    </row>
    <row r="5473" spans="1:7" x14ac:dyDescent="0.2">
      <c r="A5473" s="3">
        <v>120</v>
      </c>
      <c r="B5473" s="2">
        <v>52864.800000000003</v>
      </c>
      <c r="C5473" s="38">
        <v>44690</v>
      </c>
      <c r="D5473" s="1" t="s">
        <v>248</v>
      </c>
      <c r="E5473" s="1" t="s">
        <v>33</v>
      </c>
      <c r="F5473" s="1" t="s">
        <v>200</v>
      </c>
      <c r="G5473" s="5">
        <v>440.54</v>
      </c>
    </row>
    <row r="5474" spans="1:7" x14ac:dyDescent="0.2">
      <c r="A5474" s="3">
        <v>120</v>
      </c>
      <c r="B5474" s="2">
        <v>55755.6</v>
      </c>
      <c r="C5474" s="38">
        <v>44956</v>
      </c>
      <c r="D5474" s="1" t="s">
        <v>248</v>
      </c>
      <c r="E5474" s="1" t="s">
        <v>33</v>
      </c>
      <c r="F5474" s="1" t="s">
        <v>200</v>
      </c>
      <c r="G5474" s="5">
        <v>464.63</v>
      </c>
    </row>
    <row r="5475" spans="1:7" x14ac:dyDescent="0.2">
      <c r="A5475" s="3">
        <v>120</v>
      </c>
      <c r="B5475" s="2">
        <v>55755.6</v>
      </c>
      <c r="C5475" s="38">
        <v>44956</v>
      </c>
      <c r="D5475" s="1" t="s">
        <v>248</v>
      </c>
      <c r="E5475" s="1" t="s">
        <v>33</v>
      </c>
      <c r="F5475" s="1" t="s">
        <v>200</v>
      </c>
      <c r="G5475" s="5">
        <v>464.63</v>
      </c>
    </row>
    <row r="5476" spans="1:7" x14ac:dyDescent="0.2">
      <c r="A5476" s="3">
        <v>120</v>
      </c>
      <c r="B5476" s="2">
        <v>54085.2</v>
      </c>
      <c r="C5476" s="38">
        <v>45061</v>
      </c>
      <c r="D5476" s="1" t="s">
        <v>240</v>
      </c>
      <c r="E5476" s="1" t="s">
        <v>33</v>
      </c>
      <c r="F5476" s="1" t="s">
        <v>200</v>
      </c>
      <c r="G5476" s="5">
        <v>450.71</v>
      </c>
    </row>
    <row r="5477" spans="1:7" x14ac:dyDescent="0.2">
      <c r="A5477" s="3">
        <v>120</v>
      </c>
      <c r="B5477" s="2">
        <v>52674</v>
      </c>
      <c r="C5477" s="38">
        <v>45061</v>
      </c>
      <c r="D5477" s="1" t="s">
        <v>248</v>
      </c>
      <c r="E5477" s="1" t="s">
        <v>33</v>
      </c>
      <c r="F5477" s="1" t="s">
        <v>200</v>
      </c>
      <c r="G5477" s="5">
        <v>438.95</v>
      </c>
    </row>
    <row r="5478" spans="1:7" x14ac:dyDescent="0.2">
      <c r="A5478" s="3">
        <v>120</v>
      </c>
      <c r="B5478" s="2">
        <v>52674</v>
      </c>
      <c r="C5478" s="38">
        <v>45061</v>
      </c>
      <c r="D5478" s="1" t="s">
        <v>248</v>
      </c>
      <c r="E5478" s="1" t="s">
        <v>33</v>
      </c>
      <c r="F5478" s="1" t="s">
        <v>200</v>
      </c>
      <c r="G5478" s="5">
        <v>438.95</v>
      </c>
    </row>
    <row r="5479" spans="1:7" x14ac:dyDescent="0.2">
      <c r="A5479" s="3">
        <v>120</v>
      </c>
      <c r="B5479" s="2">
        <v>52674</v>
      </c>
      <c r="C5479" s="38">
        <v>45061</v>
      </c>
      <c r="D5479" s="1" t="s">
        <v>248</v>
      </c>
      <c r="E5479" s="1" t="s">
        <v>33</v>
      </c>
      <c r="F5479" s="1" t="s">
        <v>200</v>
      </c>
      <c r="G5479" s="5">
        <v>438.95</v>
      </c>
    </row>
    <row r="5480" spans="1:7" x14ac:dyDescent="0.2">
      <c r="A5480" s="3">
        <v>120</v>
      </c>
      <c r="B5480" s="2">
        <v>52674</v>
      </c>
      <c r="C5480" s="38">
        <v>45061</v>
      </c>
      <c r="D5480" s="1" t="s">
        <v>248</v>
      </c>
      <c r="E5480" s="1" t="s">
        <v>33</v>
      </c>
      <c r="F5480" s="1" t="s">
        <v>200</v>
      </c>
      <c r="G5480" s="5">
        <v>438.95</v>
      </c>
    </row>
    <row r="5481" spans="1:7" x14ac:dyDescent="0.2">
      <c r="A5481" s="3">
        <v>120</v>
      </c>
      <c r="B5481" s="2">
        <v>52674</v>
      </c>
      <c r="C5481" s="38">
        <v>45061</v>
      </c>
      <c r="D5481" s="1" t="s">
        <v>248</v>
      </c>
      <c r="E5481" s="1" t="s">
        <v>33</v>
      </c>
      <c r="F5481" s="1" t="s">
        <v>200</v>
      </c>
      <c r="G5481" s="5">
        <v>438.95</v>
      </c>
    </row>
    <row r="5482" spans="1:7" x14ac:dyDescent="0.2">
      <c r="A5482" s="3">
        <v>120</v>
      </c>
      <c r="B5482" s="2">
        <v>52864.800000000003</v>
      </c>
      <c r="C5482" s="38">
        <v>44978</v>
      </c>
      <c r="D5482" s="1" t="s">
        <v>248</v>
      </c>
      <c r="E5482" s="1" t="s">
        <v>33</v>
      </c>
      <c r="F5482" s="1" t="s">
        <v>200</v>
      </c>
      <c r="G5482" s="5">
        <v>440.54</v>
      </c>
    </row>
    <row r="5483" spans="1:7" x14ac:dyDescent="0.2">
      <c r="A5483" s="3">
        <v>120</v>
      </c>
      <c r="B5483" s="2">
        <v>52674</v>
      </c>
      <c r="C5483" s="38">
        <v>45041</v>
      </c>
      <c r="D5483" s="1" t="s">
        <v>248</v>
      </c>
      <c r="E5483" s="1" t="s">
        <v>33</v>
      </c>
      <c r="F5483" s="1" t="s">
        <v>200</v>
      </c>
      <c r="G5483" s="5">
        <v>438.95</v>
      </c>
    </row>
    <row r="5484" spans="1:7" x14ac:dyDescent="0.2">
      <c r="A5484" s="3">
        <v>120</v>
      </c>
      <c r="B5484" s="2">
        <v>52674</v>
      </c>
      <c r="C5484" s="38">
        <v>45041</v>
      </c>
      <c r="D5484" s="1" t="s">
        <v>248</v>
      </c>
      <c r="E5484" s="1" t="s">
        <v>33</v>
      </c>
      <c r="F5484" s="1" t="s">
        <v>200</v>
      </c>
      <c r="G5484" s="5">
        <v>438.95</v>
      </c>
    </row>
    <row r="5485" spans="1:7" x14ac:dyDescent="0.2">
      <c r="A5485" s="3">
        <v>120</v>
      </c>
      <c r="B5485" s="2">
        <v>52674</v>
      </c>
      <c r="C5485" s="38">
        <v>45041</v>
      </c>
      <c r="D5485" s="1" t="s">
        <v>248</v>
      </c>
      <c r="E5485" s="1" t="s">
        <v>33</v>
      </c>
      <c r="F5485" s="1" t="s">
        <v>200</v>
      </c>
      <c r="G5485" s="5">
        <v>438.95</v>
      </c>
    </row>
    <row r="5486" spans="1:7" x14ac:dyDescent="0.2">
      <c r="A5486" s="3">
        <v>120</v>
      </c>
      <c r="B5486" s="2">
        <v>52674</v>
      </c>
      <c r="C5486" s="38">
        <v>45041</v>
      </c>
      <c r="D5486" s="1" t="s">
        <v>248</v>
      </c>
      <c r="E5486" s="1" t="s">
        <v>33</v>
      </c>
      <c r="F5486" s="1" t="s">
        <v>200</v>
      </c>
      <c r="G5486" s="5">
        <v>438.95</v>
      </c>
    </row>
    <row r="5487" spans="1:7" x14ac:dyDescent="0.2">
      <c r="A5487" s="3">
        <v>120</v>
      </c>
      <c r="B5487" s="2">
        <v>52674</v>
      </c>
      <c r="C5487" s="38">
        <v>45041</v>
      </c>
      <c r="D5487" s="1" t="s">
        <v>248</v>
      </c>
      <c r="E5487" s="1" t="s">
        <v>33</v>
      </c>
      <c r="F5487" s="1" t="s">
        <v>200</v>
      </c>
      <c r="G5487" s="5">
        <v>438.95</v>
      </c>
    </row>
    <row r="5488" spans="1:7" x14ac:dyDescent="0.2">
      <c r="A5488" s="3">
        <v>120</v>
      </c>
      <c r="B5488" s="2">
        <v>52674</v>
      </c>
      <c r="C5488" s="38">
        <v>45041</v>
      </c>
      <c r="D5488" s="1" t="s">
        <v>248</v>
      </c>
      <c r="E5488" s="1" t="s">
        <v>33</v>
      </c>
      <c r="F5488" s="1" t="s">
        <v>200</v>
      </c>
      <c r="G5488" s="5">
        <v>438.95</v>
      </c>
    </row>
    <row r="5489" spans="1:7" x14ac:dyDescent="0.2">
      <c r="A5489" s="3">
        <v>120</v>
      </c>
      <c r="B5489" s="2">
        <v>52674</v>
      </c>
      <c r="C5489" s="38">
        <v>45041</v>
      </c>
      <c r="D5489" s="1" t="s">
        <v>248</v>
      </c>
      <c r="E5489" s="1" t="s">
        <v>33</v>
      </c>
      <c r="F5489" s="1" t="s">
        <v>200</v>
      </c>
      <c r="G5489" s="5">
        <v>438.95</v>
      </c>
    </row>
    <row r="5490" spans="1:7" x14ac:dyDescent="0.2">
      <c r="A5490" s="3">
        <v>120</v>
      </c>
      <c r="B5490" s="2">
        <v>52674</v>
      </c>
      <c r="C5490" s="38">
        <v>45041</v>
      </c>
      <c r="D5490" s="1" t="s">
        <v>248</v>
      </c>
      <c r="E5490" s="1" t="s">
        <v>33</v>
      </c>
      <c r="F5490" s="1" t="s">
        <v>200</v>
      </c>
      <c r="G5490" s="5">
        <v>438.95</v>
      </c>
    </row>
    <row r="5491" spans="1:7" x14ac:dyDescent="0.2">
      <c r="A5491" s="3">
        <v>120</v>
      </c>
      <c r="B5491" s="2">
        <v>52674</v>
      </c>
      <c r="C5491" s="38">
        <v>45041</v>
      </c>
      <c r="D5491" s="1" t="s">
        <v>248</v>
      </c>
      <c r="E5491" s="1" t="s">
        <v>33</v>
      </c>
      <c r="F5491" s="1" t="s">
        <v>200</v>
      </c>
      <c r="G5491" s="5">
        <v>438.95</v>
      </c>
    </row>
    <row r="5492" spans="1:7" x14ac:dyDescent="0.2">
      <c r="A5492" s="3">
        <v>120</v>
      </c>
      <c r="B5492" s="2">
        <v>52674</v>
      </c>
      <c r="C5492" s="38">
        <v>45041</v>
      </c>
      <c r="D5492" s="1" t="s">
        <v>248</v>
      </c>
      <c r="E5492" s="1" t="s">
        <v>33</v>
      </c>
      <c r="F5492" s="1" t="s">
        <v>200</v>
      </c>
      <c r="G5492" s="5">
        <v>438.95</v>
      </c>
    </row>
    <row r="5493" spans="1:7" x14ac:dyDescent="0.2">
      <c r="A5493" s="3">
        <v>120</v>
      </c>
      <c r="B5493" s="2">
        <v>52674</v>
      </c>
      <c r="C5493" s="38">
        <v>45041</v>
      </c>
      <c r="D5493" s="1" t="s">
        <v>248</v>
      </c>
      <c r="E5493" s="1" t="s">
        <v>33</v>
      </c>
      <c r="F5493" s="1" t="s">
        <v>200</v>
      </c>
      <c r="G5493" s="5">
        <v>438.95</v>
      </c>
    </row>
    <row r="5494" spans="1:7" x14ac:dyDescent="0.2">
      <c r="A5494" s="3">
        <v>120</v>
      </c>
      <c r="B5494" s="2">
        <v>52674</v>
      </c>
      <c r="C5494" s="38">
        <v>45041</v>
      </c>
      <c r="D5494" s="1" t="s">
        <v>248</v>
      </c>
      <c r="E5494" s="1" t="s">
        <v>33</v>
      </c>
      <c r="F5494" s="1" t="s">
        <v>200</v>
      </c>
      <c r="G5494" s="5">
        <v>438.95</v>
      </c>
    </row>
    <row r="5495" spans="1:7" x14ac:dyDescent="0.2">
      <c r="A5495" s="3">
        <v>120</v>
      </c>
      <c r="B5495" s="2">
        <v>52674</v>
      </c>
      <c r="C5495" s="38">
        <v>45041</v>
      </c>
      <c r="D5495" s="1" t="s">
        <v>248</v>
      </c>
      <c r="E5495" s="1" t="s">
        <v>33</v>
      </c>
      <c r="F5495" s="1" t="s">
        <v>200</v>
      </c>
      <c r="G5495" s="5">
        <v>438.95</v>
      </c>
    </row>
    <row r="5496" spans="1:7" x14ac:dyDescent="0.2">
      <c r="A5496" s="3">
        <v>120</v>
      </c>
      <c r="B5496" s="2">
        <v>52674</v>
      </c>
      <c r="C5496" s="38">
        <v>45041</v>
      </c>
      <c r="D5496" s="1" t="s">
        <v>248</v>
      </c>
      <c r="E5496" s="1" t="s">
        <v>33</v>
      </c>
      <c r="F5496" s="1" t="s">
        <v>200</v>
      </c>
      <c r="G5496" s="5">
        <v>438.95</v>
      </c>
    </row>
    <row r="5497" spans="1:7" x14ac:dyDescent="0.2">
      <c r="A5497" s="3">
        <v>120</v>
      </c>
      <c r="B5497" s="2">
        <v>51024</v>
      </c>
      <c r="C5497" s="38">
        <v>44929</v>
      </c>
      <c r="D5497" s="1" t="s">
        <v>240</v>
      </c>
      <c r="E5497" s="1" t="s">
        <v>33</v>
      </c>
      <c r="F5497" s="1" t="s">
        <v>200</v>
      </c>
      <c r="G5497" s="5">
        <v>425.2</v>
      </c>
    </row>
    <row r="5498" spans="1:7" x14ac:dyDescent="0.2">
      <c r="A5498" s="3">
        <v>120</v>
      </c>
      <c r="B5498" s="2">
        <v>54085.2</v>
      </c>
      <c r="C5498" s="38">
        <v>45135</v>
      </c>
      <c r="D5498" s="1" t="s">
        <v>240</v>
      </c>
      <c r="E5498" s="1" t="s">
        <v>33</v>
      </c>
      <c r="F5498" s="1" t="s">
        <v>200</v>
      </c>
      <c r="G5498" s="5">
        <v>450.71</v>
      </c>
    </row>
    <row r="5499" spans="1:7" x14ac:dyDescent="0.2">
      <c r="A5499" s="3">
        <v>120</v>
      </c>
      <c r="B5499" s="2">
        <v>52864.800000000003</v>
      </c>
      <c r="C5499" s="38">
        <v>44753</v>
      </c>
      <c r="D5499" s="1" t="s">
        <v>248</v>
      </c>
      <c r="E5499" s="1" t="s">
        <v>33</v>
      </c>
      <c r="F5499" s="1" t="s">
        <v>200</v>
      </c>
      <c r="G5499" s="5">
        <v>440.54</v>
      </c>
    </row>
    <row r="5500" spans="1:7" x14ac:dyDescent="0.2">
      <c r="A5500" s="3">
        <v>120</v>
      </c>
      <c r="B5500" s="2">
        <v>54085.2</v>
      </c>
      <c r="C5500" s="38">
        <v>45121</v>
      </c>
      <c r="D5500" s="1" t="s">
        <v>240</v>
      </c>
      <c r="E5500" s="1" t="s">
        <v>33</v>
      </c>
      <c r="F5500" s="1" t="s">
        <v>200</v>
      </c>
      <c r="G5500" s="5">
        <v>450.71</v>
      </c>
    </row>
    <row r="5501" spans="1:7" x14ac:dyDescent="0.2">
      <c r="A5501" s="3">
        <v>120</v>
      </c>
      <c r="B5501" s="2">
        <v>52674</v>
      </c>
      <c r="C5501" s="38">
        <v>45132</v>
      </c>
      <c r="D5501" s="1" t="s">
        <v>248</v>
      </c>
      <c r="E5501" s="1" t="s">
        <v>33</v>
      </c>
      <c r="F5501" s="1" t="s">
        <v>200</v>
      </c>
      <c r="G5501" s="5">
        <v>438.95</v>
      </c>
    </row>
    <row r="5502" spans="1:7" x14ac:dyDescent="0.2">
      <c r="A5502" s="3">
        <v>120</v>
      </c>
      <c r="B5502" s="2">
        <v>52674</v>
      </c>
      <c r="C5502" s="38">
        <v>45132</v>
      </c>
      <c r="D5502" s="1" t="s">
        <v>248</v>
      </c>
      <c r="E5502" s="1" t="s">
        <v>33</v>
      </c>
      <c r="F5502" s="1" t="s">
        <v>200</v>
      </c>
      <c r="G5502" s="5">
        <v>438.95</v>
      </c>
    </row>
    <row r="5503" spans="1:7" x14ac:dyDescent="0.2">
      <c r="A5503" s="3">
        <v>120</v>
      </c>
      <c r="B5503" s="2">
        <v>52674</v>
      </c>
      <c r="C5503" s="38">
        <v>45132</v>
      </c>
      <c r="D5503" s="1" t="s">
        <v>248</v>
      </c>
      <c r="E5503" s="1" t="s">
        <v>33</v>
      </c>
      <c r="F5503" s="1" t="s">
        <v>200</v>
      </c>
      <c r="G5503" s="5">
        <v>438.95</v>
      </c>
    </row>
    <row r="5504" spans="1:7" x14ac:dyDescent="0.2">
      <c r="A5504" s="3">
        <v>120</v>
      </c>
      <c r="B5504" s="2">
        <v>52674</v>
      </c>
      <c r="C5504" s="38">
        <v>45132</v>
      </c>
      <c r="D5504" s="1" t="s">
        <v>248</v>
      </c>
      <c r="E5504" s="1" t="s">
        <v>33</v>
      </c>
      <c r="F5504" s="1" t="s">
        <v>200</v>
      </c>
      <c r="G5504" s="5">
        <v>438.95</v>
      </c>
    </row>
    <row r="5505" spans="1:7" x14ac:dyDescent="0.2">
      <c r="A5505" s="3">
        <v>120</v>
      </c>
      <c r="B5505" s="2">
        <v>52674</v>
      </c>
      <c r="C5505" s="38">
        <v>45132</v>
      </c>
      <c r="D5505" s="1" t="s">
        <v>248</v>
      </c>
      <c r="E5505" s="1" t="s">
        <v>33</v>
      </c>
      <c r="F5505" s="1" t="s">
        <v>200</v>
      </c>
      <c r="G5505" s="5">
        <v>438.95</v>
      </c>
    </row>
    <row r="5506" spans="1:7" x14ac:dyDescent="0.2">
      <c r="A5506" s="3">
        <v>120</v>
      </c>
      <c r="B5506" s="2">
        <v>52864.800000000003</v>
      </c>
      <c r="C5506" s="38">
        <v>44806</v>
      </c>
      <c r="D5506" s="1" t="s">
        <v>248</v>
      </c>
      <c r="E5506" s="1" t="s">
        <v>33</v>
      </c>
      <c r="F5506" s="1" t="s">
        <v>200</v>
      </c>
      <c r="G5506" s="5">
        <v>440.54</v>
      </c>
    </row>
    <row r="5507" spans="1:7" x14ac:dyDescent="0.2">
      <c r="A5507" s="3">
        <v>120</v>
      </c>
      <c r="B5507" s="2">
        <v>52864.800000000003</v>
      </c>
      <c r="C5507" s="38">
        <v>44806</v>
      </c>
      <c r="D5507" s="1" t="s">
        <v>248</v>
      </c>
      <c r="E5507" s="1" t="s">
        <v>33</v>
      </c>
      <c r="F5507" s="1" t="s">
        <v>200</v>
      </c>
      <c r="G5507" s="5">
        <v>440.54</v>
      </c>
    </row>
    <row r="5508" spans="1:7" x14ac:dyDescent="0.2">
      <c r="A5508" s="3">
        <v>120</v>
      </c>
      <c r="B5508" s="2">
        <v>52864.800000000003</v>
      </c>
      <c r="C5508" s="38">
        <v>44806</v>
      </c>
      <c r="D5508" s="1" t="s">
        <v>248</v>
      </c>
      <c r="E5508" s="1" t="s">
        <v>33</v>
      </c>
      <c r="F5508" s="1" t="s">
        <v>200</v>
      </c>
      <c r="G5508" s="5">
        <v>440.54</v>
      </c>
    </row>
    <row r="5509" spans="1:7" x14ac:dyDescent="0.2">
      <c r="A5509" s="3">
        <v>120</v>
      </c>
      <c r="B5509" s="2">
        <v>52864.800000000003</v>
      </c>
      <c r="C5509" s="38">
        <v>44806</v>
      </c>
      <c r="D5509" s="1" t="s">
        <v>248</v>
      </c>
      <c r="E5509" s="1" t="s">
        <v>33</v>
      </c>
      <c r="F5509" s="1" t="s">
        <v>200</v>
      </c>
      <c r="G5509" s="5">
        <v>440.54</v>
      </c>
    </row>
    <row r="5510" spans="1:7" x14ac:dyDescent="0.2">
      <c r="A5510" s="3">
        <v>120</v>
      </c>
      <c r="B5510" s="2">
        <v>52864.800000000003</v>
      </c>
      <c r="C5510" s="38">
        <v>44806</v>
      </c>
      <c r="D5510" s="1" t="s">
        <v>248</v>
      </c>
      <c r="E5510" s="1" t="s">
        <v>33</v>
      </c>
      <c r="F5510" s="1" t="s">
        <v>200</v>
      </c>
      <c r="G5510" s="5">
        <v>440.54</v>
      </c>
    </row>
    <row r="5511" spans="1:7" x14ac:dyDescent="0.2">
      <c r="A5511" s="3">
        <v>120</v>
      </c>
      <c r="B5511" s="2">
        <v>52864.800000000003</v>
      </c>
      <c r="C5511" s="38">
        <v>44806</v>
      </c>
      <c r="D5511" s="1" t="s">
        <v>248</v>
      </c>
      <c r="E5511" s="1" t="s">
        <v>33</v>
      </c>
      <c r="F5511" s="1" t="s">
        <v>200</v>
      </c>
      <c r="G5511" s="5">
        <v>440.54</v>
      </c>
    </row>
    <row r="5512" spans="1:7" x14ac:dyDescent="0.2">
      <c r="A5512" s="3">
        <v>432</v>
      </c>
      <c r="B5512" s="2">
        <v>42577.919999999998</v>
      </c>
      <c r="C5512" s="38">
        <v>45072</v>
      </c>
      <c r="D5512" s="1" t="s">
        <v>266</v>
      </c>
      <c r="E5512" s="1" t="s">
        <v>33</v>
      </c>
      <c r="F5512" s="1" t="s">
        <v>200</v>
      </c>
      <c r="G5512" s="5">
        <v>98.56</v>
      </c>
    </row>
    <row r="5513" spans="1:7" x14ac:dyDescent="0.2">
      <c r="A5513" s="3">
        <v>216</v>
      </c>
      <c r="B5513" s="2">
        <v>21288.959999999999</v>
      </c>
      <c r="C5513" s="38">
        <v>45072</v>
      </c>
      <c r="D5513" s="1" t="s">
        <v>266</v>
      </c>
      <c r="E5513" s="1" t="s">
        <v>33</v>
      </c>
      <c r="F5513" s="1" t="s">
        <v>200</v>
      </c>
      <c r="G5513" s="5">
        <v>98.56</v>
      </c>
    </row>
    <row r="5514" spans="1:7" x14ac:dyDescent="0.2">
      <c r="A5514" s="3">
        <v>144</v>
      </c>
      <c r="B5514" s="2">
        <v>29975.040000000001</v>
      </c>
      <c r="C5514" s="38">
        <v>45072</v>
      </c>
      <c r="D5514" s="1" t="s">
        <v>297</v>
      </c>
      <c r="E5514" s="1" t="s">
        <v>33</v>
      </c>
      <c r="F5514" s="1" t="s">
        <v>200</v>
      </c>
      <c r="G5514" s="5">
        <v>208.16</v>
      </c>
    </row>
    <row r="5515" spans="1:7" x14ac:dyDescent="0.2">
      <c r="A5515" s="3">
        <v>15</v>
      </c>
      <c r="B5515" s="2">
        <v>12860.55</v>
      </c>
      <c r="C5515" s="38">
        <v>45072</v>
      </c>
      <c r="D5515" s="1" t="s">
        <v>267</v>
      </c>
      <c r="E5515" s="1" t="s">
        <v>33</v>
      </c>
      <c r="F5515" s="1" t="s">
        <v>200</v>
      </c>
      <c r="G5515" s="5">
        <v>857.37</v>
      </c>
    </row>
    <row r="5516" spans="1:7" x14ac:dyDescent="0.2">
      <c r="A5516" s="3">
        <v>60</v>
      </c>
      <c r="B5516" s="2">
        <v>51442.2</v>
      </c>
      <c r="C5516" s="38">
        <v>45072</v>
      </c>
      <c r="D5516" s="1" t="s">
        <v>267</v>
      </c>
      <c r="E5516" s="1" t="s">
        <v>33</v>
      </c>
      <c r="F5516" s="1" t="s">
        <v>200</v>
      </c>
      <c r="G5516" s="5">
        <v>857.37</v>
      </c>
    </row>
    <row r="5517" spans="1:7" x14ac:dyDescent="0.2">
      <c r="A5517" s="3">
        <v>60</v>
      </c>
      <c r="B5517" s="2">
        <v>51442.2</v>
      </c>
      <c r="C5517" s="38">
        <v>45072</v>
      </c>
      <c r="D5517" s="1" t="s">
        <v>267</v>
      </c>
      <c r="E5517" s="1" t="s">
        <v>33</v>
      </c>
      <c r="F5517" s="1" t="s">
        <v>200</v>
      </c>
      <c r="G5517" s="5">
        <v>857.37</v>
      </c>
    </row>
    <row r="5518" spans="1:7" x14ac:dyDescent="0.2">
      <c r="A5518" s="3">
        <v>15</v>
      </c>
      <c r="B5518" s="2">
        <v>12860.55</v>
      </c>
      <c r="C5518" s="38">
        <v>45072</v>
      </c>
      <c r="D5518" s="1" t="s">
        <v>267</v>
      </c>
      <c r="E5518" s="1" t="s">
        <v>33</v>
      </c>
      <c r="F5518" s="1" t="s">
        <v>200</v>
      </c>
      <c r="G5518" s="5">
        <v>857.37</v>
      </c>
    </row>
    <row r="5519" spans="1:7" x14ac:dyDescent="0.2">
      <c r="A5519" s="3">
        <v>60</v>
      </c>
      <c r="B5519" s="2">
        <v>51442.2</v>
      </c>
      <c r="C5519" s="38">
        <v>45072</v>
      </c>
      <c r="D5519" s="1" t="s">
        <v>267</v>
      </c>
      <c r="E5519" s="1" t="s">
        <v>33</v>
      </c>
      <c r="F5519" s="1" t="s">
        <v>200</v>
      </c>
      <c r="G5519" s="5">
        <v>857.37</v>
      </c>
    </row>
    <row r="5520" spans="1:7" x14ac:dyDescent="0.2">
      <c r="A5520" s="3">
        <v>60</v>
      </c>
      <c r="B5520" s="2">
        <v>51442.2</v>
      </c>
      <c r="C5520" s="38">
        <v>45072</v>
      </c>
      <c r="D5520" s="1" t="s">
        <v>267</v>
      </c>
      <c r="E5520" s="1" t="s">
        <v>33</v>
      </c>
      <c r="F5520" s="1" t="s">
        <v>200</v>
      </c>
      <c r="G5520" s="5">
        <v>857.37</v>
      </c>
    </row>
    <row r="5521" spans="1:7" x14ac:dyDescent="0.2">
      <c r="A5521" s="3">
        <v>60</v>
      </c>
      <c r="B5521" s="2">
        <v>51442.2</v>
      </c>
      <c r="C5521" s="38">
        <v>45072</v>
      </c>
      <c r="D5521" s="1" t="s">
        <v>267</v>
      </c>
      <c r="E5521" s="1" t="s">
        <v>33</v>
      </c>
      <c r="F5521" s="1" t="s">
        <v>200</v>
      </c>
      <c r="G5521" s="5">
        <v>857.37</v>
      </c>
    </row>
    <row r="5522" spans="1:7" x14ac:dyDescent="0.2">
      <c r="A5522" s="3">
        <v>60</v>
      </c>
      <c r="B5522" s="2">
        <v>51442.2</v>
      </c>
      <c r="C5522" s="38">
        <v>45072</v>
      </c>
      <c r="D5522" s="1" t="s">
        <v>267</v>
      </c>
      <c r="E5522" s="1" t="s">
        <v>33</v>
      </c>
      <c r="F5522" s="1" t="s">
        <v>200</v>
      </c>
      <c r="G5522" s="5">
        <v>857.37</v>
      </c>
    </row>
    <row r="5523" spans="1:7" x14ac:dyDescent="0.2">
      <c r="A5523" s="3">
        <v>60</v>
      </c>
      <c r="B5523" s="2">
        <v>51442.2</v>
      </c>
      <c r="C5523" s="38">
        <v>45072</v>
      </c>
      <c r="D5523" s="1" t="s">
        <v>267</v>
      </c>
      <c r="E5523" s="1" t="s">
        <v>33</v>
      </c>
      <c r="F5523" s="1" t="s">
        <v>200</v>
      </c>
      <c r="G5523" s="5">
        <v>857.37</v>
      </c>
    </row>
    <row r="5524" spans="1:7" x14ac:dyDescent="0.2">
      <c r="A5524" s="3">
        <v>30</v>
      </c>
      <c r="B5524" s="2">
        <v>13216.2</v>
      </c>
      <c r="C5524" s="38">
        <v>44678</v>
      </c>
      <c r="D5524" s="1" t="s">
        <v>248</v>
      </c>
      <c r="E5524" s="1" t="s">
        <v>33</v>
      </c>
      <c r="F5524" s="1" t="s">
        <v>200</v>
      </c>
      <c r="G5524" s="5">
        <v>440.54</v>
      </c>
    </row>
    <row r="5525" spans="1:7" x14ac:dyDescent="0.2">
      <c r="A5525" s="3">
        <v>90</v>
      </c>
      <c r="B5525" s="2">
        <v>39648.6</v>
      </c>
      <c r="C5525" s="38">
        <v>44678</v>
      </c>
      <c r="D5525" s="1" t="s">
        <v>248</v>
      </c>
      <c r="E5525" s="1" t="s">
        <v>33</v>
      </c>
      <c r="F5525" s="1" t="s">
        <v>200</v>
      </c>
      <c r="G5525" s="5">
        <v>440.54</v>
      </c>
    </row>
    <row r="5526" spans="1:7" x14ac:dyDescent="0.2">
      <c r="A5526" s="3">
        <v>30</v>
      </c>
      <c r="B5526" s="2">
        <v>13216.2</v>
      </c>
      <c r="C5526" s="38">
        <v>44678</v>
      </c>
      <c r="D5526" s="1" t="s">
        <v>248</v>
      </c>
      <c r="E5526" s="1" t="s">
        <v>33</v>
      </c>
      <c r="F5526" s="1" t="s">
        <v>200</v>
      </c>
      <c r="G5526" s="5">
        <v>440.54</v>
      </c>
    </row>
    <row r="5527" spans="1:7" x14ac:dyDescent="0.2">
      <c r="A5527" s="3">
        <v>90</v>
      </c>
      <c r="B5527" s="2">
        <v>39648.6</v>
      </c>
      <c r="C5527" s="38">
        <v>44678</v>
      </c>
      <c r="D5527" s="1" t="s">
        <v>248</v>
      </c>
      <c r="E5527" s="1" t="s">
        <v>33</v>
      </c>
      <c r="F5527" s="1" t="s">
        <v>200</v>
      </c>
      <c r="G5527" s="5">
        <v>440.54</v>
      </c>
    </row>
    <row r="5528" spans="1:7" x14ac:dyDescent="0.2">
      <c r="A5528" s="3">
        <v>324</v>
      </c>
      <c r="B5528" s="2">
        <v>34962.839999999997</v>
      </c>
      <c r="C5528" s="38">
        <v>45077</v>
      </c>
      <c r="D5528" s="1" t="s">
        <v>237</v>
      </c>
      <c r="E5528" s="1" t="s">
        <v>33</v>
      </c>
      <c r="F5528" s="1" t="s">
        <v>200</v>
      </c>
      <c r="G5528" s="5">
        <v>107.91</v>
      </c>
    </row>
    <row r="5529" spans="1:7" x14ac:dyDescent="0.2">
      <c r="A5529" s="3">
        <v>432</v>
      </c>
      <c r="B5529" s="2">
        <v>46617.120000000003</v>
      </c>
      <c r="C5529" s="38">
        <v>45077</v>
      </c>
      <c r="D5529" s="1" t="s">
        <v>237</v>
      </c>
      <c r="E5529" s="1" t="s">
        <v>33</v>
      </c>
      <c r="F5529" s="1" t="s">
        <v>200</v>
      </c>
      <c r="G5529" s="5">
        <v>107.91</v>
      </c>
    </row>
    <row r="5530" spans="1:7" x14ac:dyDescent="0.2">
      <c r="A5530" s="3">
        <v>216</v>
      </c>
      <c r="B5530" s="2">
        <v>23308.560000000001</v>
      </c>
      <c r="C5530" s="38">
        <v>45077</v>
      </c>
      <c r="D5530" s="1" t="s">
        <v>237</v>
      </c>
      <c r="E5530" s="1" t="s">
        <v>33</v>
      </c>
      <c r="F5530" s="1" t="s">
        <v>200</v>
      </c>
      <c r="G5530" s="5">
        <v>107.91</v>
      </c>
    </row>
    <row r="5531" spans="1:7" x14ac:dyDescent="0.2">
      <c r="A5531" s="3">
        <v>432</v>
      </c>
      <c r="B5531" s="2">
        <v>46617.120000000003</v>
      </c>
      <c r="C5531" s="38">
        <v>45077</v>
      </c>
      <c r="D5531" s="1" t="s">
        <v>237</v>
      </c>
      <c r="E5531" s="1" t="s">
        <v>33</v>
      </c>
      <c r="F5531" s="1" t="s">
        <v>200</v>
      </c>
      <c r="G5531" s="5">
        <v>107.91</v>
      </c>
    </row>
    <row r="5532" spans="1:7" x14ac:dyDescent="0.2">
      <c r="A5532" s="3">
        <v>140</v>
      </c>
      <c r="B5532" s="2">
        <v>53718</v>
      </c>
      <c r="C5532" s="38">
        <v>45077</v>
      </c>
      <c r="D5532" s="1" t="s">
        <v>256</v>
      </c>
      <c r="E5532" s="1" t="s">
        <v>33</v>
      </c>
      <c r="F5532" s="1" t="s">
        <v>200</v>
      </c>
      <c r="G5532" s="5">
        <v>383.7</v>
      </c>
    </row>
    <row r="5533" spans="1:7" x14ac:dyDescent="0.2">
      <c r="A5533" s="3">
        <v>140</v>
      </c>
      <c r="B5533" s="2">
        <v>53718</v>
      </c>
      <c r="C5533" s="38">
        <v>45077</v>
      </c>
      <c r="D5533" s="1" t="s">
        <v>256</v>
      </c>
      <c r="E5533" s="1" t="s">
        <v>33</v>
      </c>
      <c r="F5533" s="1" t="s">
        <v>200</v>
      </c>
      <c r="G5533" s="5">
        <v>383.7</v>
      </c>
    </row>
    <row r="5534" spans="1:7" x14ac:dyDescent="0.2">
      <c r="A5534" s="3">
        <v>140</v>
      </c>
      <c r="B5534" s="2">
        <v>53718</v>
      </c>
      <c r="C5534" s="38">
        <v>45077</v>
      </c>
      <c r="D5534" s="1" t="s">
        <v>256</v>
      </c>
      <c r="E5534" s="1" t="s">
        <v>33</v>
      </c>
      <c r="F5534" s="1" t="s">
        <v>200</v>
      </c>
      <c r="G5534" s="5">
        <v>383.7</v>
      </c>
    </row>
    <row r="5535" spans="1:7" x14ac:dyDescent="0.2">
      <c r="A5535" s="3">
        <v>30</v>
      </c>
      <c r="B5535" s="2">
        <v>25721.1</v>
      </c>
      <c r="C5535" s="38">
        <v>45077</v>
      </c>
      <c r="D5535" s="1" t="s">
        <v>267</v>
      </c>
      <c r="E5535" s="1" t="s">
        <v>33</v>
      </c>
      <c r="F5535" s="1" t="s">
        <v>200</v>
      </c>
      <c r="G5535" s="5">
        <v>857.37</v>
      </c>
    </row>
    <row r="5536" spans="1:7" x14ac:dyDescent="0.2">
      <c r="A5536" s="3">
        <v>60</v>
      </c>
      <c r="B5536" s="2">
        <v>51442.2</v>
      </c>
      <c r="C5536" s="38">
        <v>45077</v>
      </c>
      <c r="D5536" s="1" t="s">
        <v>267</v>
      </c>
      <c r="E5536" s="1" t="s">
        <v>33</v>
      </c>
      <c r="F5536" s="1" t="s">
        <v>200</v>
      </c>
      <c r="G5536" s="5">
        <v>857.37</v>
      </c>
    </row>
    <row r="5537" spans="1:7" x14ac:dyDescent="0.2">
      <c r="A5537" s="3">
        <v>60</v>
      </c>
      <c r="B5537" s="2">
        <v>51442.2</v>
      </c>
      <c r="C5537" s="38">
        <v>45077</v>
      </c>
      <c r="D5537" s="1" t="s">
        <v>267</v>
      </c>
      <c r="E5537" s="1" t="s">
        <v>33</v>
      </c>
      <c r="F5537" s="1" t="s">
        <v>200</v>
      </c>
      <c r="G5537" s="5">
        <v>857.37</v>
      </c>
    </row>
    <row r="5538" spans="1:7" x14ac:dyDescent="0.2">
      <c r="A5538" s="3">
        <v>60</v>
      </c>
      <c r="B5538" s="2">
        <v>51442.2</v>
      </c>
      <c r="C5538" s="38">
        <v>45077</v>
      </c>
      <c r="D5538" s="1" t="s">
        <v>267</v>
      </c>
      <c r="E5538" s="1" t="s">
        <v>33</v>
      </c>
      <c r="F5538" s="1" t="s">
        <v>200</v>
      </c>
      <c r="G5538" s="5">
        <v>857.37</v>
      </c>
    </row>
    <row r="5539" spans="1:7" x14ac:dyDescent="0.2">
      <c r="A5539" s="3">
        <v>60</v>
      </c>
      <c r="B5539" s="2">
        <v>51442.2</v>
      </c>
      <c r="C5539" s="38">
        <v>45077</v>
      </c>
      <c r="D5539" s="1" t="s">
        <v>267</v>
      </c>
      <c r="E5539" s="1" t="s">
        <v>33</v>
      </c>
      <c r="F5539" s="1" t="s">
        <v>200</v>
      </c>
      <c r="G5539" s="5">
        <v>857.37</v>
      </c>
    </row>
    <row r="5540" spans="1:7" x14ac:dyDescent="0.2">
      <c r="A5540" s="3">
        <v>60</v>
      </c>
      <c r="B5540" s="2">
        <v>51442.2</v>
      </c>
      <c r="C5540" s="38">
        <v>45077</v>
      </c>
      <c r="D5540" s="1" t="s">
        <v>267</v>
      </c>
      <c r="E5540" s="1" t="s">
        <v>33</v>
      </c>
      <c r="F5540" s="1" t="s">
        <v>200</v>
      </c>
      <c r="G5540" s="5">
        <v>857.37</v>
      </c>
    </row>
    <row r="5541" spans="1:7" x14ac:dyDescent="0.2">
      <c r="A5541" s="3">
        <v>30</v>
      </c>
      <c r="B5541" s="2">
        <v>13216.2</v>
      </c>
      <c r="C5541" s="38">
        <v>44932</v>
      </c>
      <c r="D5541" s="1" t="s">
        <v>248</v>
      </c>
      <c r="E5541" s="1" t="s">
        <v>33</v>
      </c>
      <c r="F5541" s="1" t="s">
        <v>200</v>
      </c>
      <c r="G5541" s="5">
        <v>440.54</v>
      </c>
    </row>
    <row r="5542" spans="1:7" x14ac:dyDescent="0.2">
      <c r="A5542" s="3">
        <v>30</v>
      </c>
      <c r="B5542" s="2">
        <v>13216.2</v>
      </c>
      <c r="C5542" s="38">
        <v>44713</v>
      </c>
      <c r="D5542" s="1" t="s">
        <v>248</v>
      </c>
      <c r="E5542" s="1" t="s">
        <v>33</v>
      </c>
      <c r="F5542" s="1" t="s">
        <v>200</v>
      </c>
      <c r="G5542" s="5">
        <v>440.54</v>
      </c>
    </row>
    <row r="5543" spans="1:7" x14ac:dyDescent="0.2">
      <c r="A5543" s="3">
        <v>1820</v>
      </c>
      <c r="B5543" s="2">
        <v>4313.3999999999996</v>
      </c>
      <c r="C5543" s="38">
        <v>44713</v>
      </c>
      <c r="D5543" s="1" t="s">
        <v>250</v>
      </c>
      <c r="E5543" s="1" t="s">
        <v>33</v>
      </c>
      <c r="F5543" s="1" t="s">
        <v>200</v>
      </c>
      <c r="G5543" s="5">
        <v>2.37</v>
      </c>
    </row>
    <row r="5544" spans="1:7" x14ac:dyDescent="0.2">
      <c r="A5544" s="3">
        <v>1820</v>
      </c>
      <c r="B5544" s="2">
        <v>4313.3999999999996</v>
      </c>
      <c r="C5544" s="38">
        <v>44713</v>
      </c>
      <c r="D5544" s="1" t="s">
        <v>250</v>
      </c>
      <c r="E5544" s="1" t="s">
        <v>33</v>
      </c>
      <c r="F5544" s="1" t="s">
        <v>200</v>
      </c>
      <c r="G5544" s="5">
        <v>2.37</v>
      </c>
    </row>
    <row r="5545" spans="1:7" x14ac:dyDescent="0.2">
      <c r="A5545" s="3">
        <v>1820</v>
      </c>
      <c r="B5545" s="2">
        <v>4313.3999999999996</v>
      </c>
      <c r="C5545" s="38">
        <v>44713</v>
      </c>
      <c r="D5545" s="1" t="s">
        <v>250</v>
      </c>
      <c r="E5545" s="1" t="s">
        <v>33</v>
      </c>
      <c r="F5545" s="1" t="s">
        <v>200</v>
      </c>
      <c r="G5545" s="5">
        <v>2.37</v>
      </c>
    </row>
    <row r="5546" spans="1:7" x14ac:dyDescent="0.2">
      <c r="A5546" s="3">
        <v>324</v>
      </c>
      <c r="B5546" s="2">
        <v>37004.04</v>
      </c>
      <c r="C5546" s="38">
        <v>44940</v>
      </c>
      <c r="D5546" s="1" t="s">
        <v>237</v>
      </c>
      <c r="E5546" s="1" t="s">
        <v>33</v>
      </c>
      <c r="F5546" s="1" t="s">
        <v>200</v>
      </c>
      <c r="G5546" s="5">
        <v>114.21</v>
      </c>
    </row>
    <row r="5547" spans="1:7" x14ac:dyDescent="0.2">
      <c r="A5547" s="3">
        <v>16</v>
      </c>
      <c r="B5547" s="2">
        <v>40360.800000000003</v>
      </c>
      <c r="C5547" s="38">
        <v>44940</v>
      </c>
      <c r="D5547" s="1" t="s">
        <v>344</v>
      </c>
      <c r="E5547" s="1" t="s">
        <v>33</v>
      </c>
      <c r="F5547" s="1" t="s">
        <v>200</v>
      </c>
      <c r="G5547" s="5">
        <v>2522.5500000000002</v>
      </c>
    </row>
    <row r="5548" spans="1:7" x14ac:dyDescent="0.2">
      <c r="A5548" s="3">
        <v>140</v>
      </c>
      <c r="B5548" s="2">
        <v>60040.4</v>
      </c>
      <c r="C5548" s="38">
        <v>44940</v>
      </c>
      <c r="D5548" s="1" t="s">
        <v>255</v>
      </c>
      <c r="E5548" s="1" t="s">
        <v>33</v>
      </c>
      <c r="F5548" s="1" t="s">
        <v>200</v>
      </c>
      <c r="G5548" s="5">
        <v>428.86</v>
      </c>
    </row>
    <row r="5549" spans="1:7" x14ac:dyDescent="0.2">
      <c r="A5549" s="3">
        <v>140</v>
      </c>
      <c r="B5549" s="2">
        <v>58132.2</v>
      </c>
      <c r="C5549" s="38">
        <v>44985</v>
      </c>
      <c r="D5549" s="1" t="s">
        <v>254</v>
      </c>
      <c r="E5549" s="1" t="s">
        <v>33</v>
      </c>
      <c r="F5549" s="1" t="s">
        <v>200</v>
      </c>
      <c r="G5549" s="5">
        <v>415.23</v>
      </c>
    </row>
    <row r="5550" spans="1:7" x14ac:dyDescent="0.2">
      <c r="A5550" s="3">
        <v>140</v>
      </c>
      <c r="B5550" s="2">
        <v>58132.2</v>
      </c>
      <c r="C5550" s="38">
        <v>44985</v>
      </c>
      <c r="D5550" s="1" t="s">
        <v>254</v>
      </c>
      <c r="E5550" s="1" t="s">
        <v>33</v>
      </c>
      <c r="F5550" s="1" t="s">
        <v>200</v>
      </c>
      <c r="G5550" s="5">
        <v>415.23</v>
      </c>
    </row>
    <row r="5551" spans="1:7" x14ac:dyDescent="0.2">
      <c r="A5551" s="3">
        <v>432</v>
      </c>
      <c r="B5551" s="2">
        <v>46617.120000000003</v>
      </c>
      <c r="C5551" s="38">
        <v>45082</v>
      </c>
      <c r="D5551" s="1" t="s">
        <v>237</v>
      </c>
      <c r="E5551" s="1" t="s">
        <v>33</v>
      </c>
      <c r="F5551" s="1" t="s">
        <v>200</v>
      </c>
      <c r="G5551" s="5">
        <v>107.91</v>
      </c>
    </row>
    <row r="5552" spans="1:7" x14ac:dyDescent="0.2">
      <c r="A5552" s="3">
        <v>60</v>
      </c>
      <c r="B5552" s="2">
        <v>26337</v>
      </c>
      <c r="C5552" s="38">
        <v>45082</v>
      </c>
      <c r="D5552" s="1" t="s">
        <v>248</v>
      </c>
      <c r="E5552" s="1" t="s">
        <v>33</v>
      </c>
      <c r="F5552" s="1" t="s">
        <v>200</v>
      </c>
      <c r="G5552" s="5">
        <v>438.95</v>
      </c>
    </row>
    <row r="5553" spans="1:7" x14ac:dyDescent="0.2">
      <c r="A5553" s="3">
        <v>1500</v>
      </c>
      <c r="B5553" s="2">
        <v>1830</v>
      </c>
      <c r="C5553" s="38">
        <v>45082</v>
      </c>
      <c r="D5553" s="1" t="s">
        <v>261</v>
      </c>
      <c r="E5553" s="1" t="s">
        <v>33</v>
      </c>
      <c r="F5553" s="1" t="s">
        <v>200</v>
      </c>
      <c r="G5553" s="5">
        <v>1.22</v>
      </c>
    </row>
    <row r="5554" spans="1:7" x14ac:dyDescent="0.2">
      <c r="A5554" s="3">
        <v>1500</v>
      </c>
      <c r="B5554" s="2">
        <v>1830</v>
      </c>
      <c r="C5554" s="38">
        <v>45082</v>
      </c>
      <c r="D5554" s="1" t="s">
        <v>261</v>
      </c>
      <c r="E5554" s="1" t="s">
        <v>33</v>
      </c>
      <c r="F5554" s="1" t="s">
        <v>200</v>
      </c>
      <c r="G5554" s="5">
        <v>1.22</v>
      </c>
    </row>
    <row r="5555" spans="1:7" x14ac:dyDescent="0.2">
      <c r="A5555" s="3">
        <v>420</v>
      </c>
      <c r="B5555" s="2">
        <v>318922.8</v>
      </c>
      <c r="C5555" s="38">
        <v>45082</v>
      </c>
      <c r="D5555" s="1" t="s">
        <v>265</v>
      </c>
      <c r="E5555" s="1" t="s">
        <v>33</v>
      </c>
      <c r="F5555" s="1" t="s">
        <v>200</v>
      </c>
      <c r="G5555" s="5">
        <v>759.34</v>
      </c>
    </row>
    <row r="5556" spans="1:7" x14ac:dyDescent="0.2">
      <c r="A5556" s="3">
        <v>30</v>
      </c>
      <c r="B5556" s="2">
        <v>13168.5</v>
      </c>
      <c r="C5556" s="38">
        <v>45000</v>
      </c>
      <c r="D5556" s="1" t="s">
        <v>248</v>
      </c>
      <c r="E5556" s="1" t="s">
        <v>33</v>
      </c>
      <c r="F5556" s="1" t="s">
        <v>200</v>
      </c>
      <c r="G5556" s="5">
        <v>438.95</v>
      </c>
    </row>
    <row r="5557" spans="1:7" x14ac:dyDescent="0.2">
      <c r="A5557" s="3">
        <v>90</v>
      </c>
      <c r="B5557" s="2">
        <v>39505.5</v>
      </c>
      <c r="C5557" s="38">
        <v>45000</v>
      </c>
      <c r="D5557" s="1" t="s">
        <v>248</v>
      </c>
      <c r="E5557" s="1" t="s">
        <v>33</v>
      </c>
      <c r="F5557" s="1" t="s">
        <v>200</v>
      </c>
      <c r="G5557" s="5">
        <v>438.95</v>
      </c>
    </row>
    <row r="5558" spans="1:7" x14ac:dyDescent="0.2">
      <c r="A5558" s="3">
        <v>140</v>
      </c>
      <c r="B5558" s="2">
        <v>53718</v>
      </c>
      <c r="C5558" s="38">
        <v>45000</v>
      </c>
      <c r="D5558" s="1" t="s">
        <v>256</v>
      </c>
      <c r="E5558" s="1" t="s">
        <v>33</v>
      </c>
      <c r="F5558" s="1" t="s">
        <v>200</v>
      </c>
      <c r="G5558" s="5">
        <v>383.7</v>
      </c>
    </row>
    <row r="5559" spans="1:7" x14ac:dyDescent="0.2">
      <c r="A5559" s="3">
        <v>216</v>
      </c>
      <c r="B5559" s="2">
        <v>24669.360000000001</v>
      </c>
      <c r="C5559" s="38">
        <v>44950</v>
      </c>
      <c r="D5559" s="1" t="s">
        <v>237</v>
      </c>
      <c r="E5559" s="1" t="s">
        <v>33</v>
      </c>
      <c r="F5559" s="1" t="s">
        <v>200</v>
      </c>
      <c r="G5559" s="5">
        <v>114.21</v>
      </c>
    </row>
    <row r="5560" spans="1:7" x14ac:dyDescent="0.2">
      <c r="A5560" s="3">
        <v>324</v>
      </c>
      <c r="B5560" s="2">
        <v>34962.839999999997</v>
      </c>
      <c r="C5560" s="38">
        <v>45049</v>
      </c>
      <c r="D5560" s="1" t="s">
        <v>237</v>
      </c>
      <c r="E5560" s="1" t="s">
        <v>33</v>
      </c>
      <c r="F5560" s="1" t="s">
        <v>200</v>
      </c>
      <c r="G5560" s="5">
        <v>107.91</v>
      </c>
    </row>
    <row r="5561" spans="1:7" x14ac:dyDescent="0.2">
      <c r="A5561" s="3">
        <v>432</v>
      </c>
      <c r="B5561" s="2">
        <v>46617.120000000003</v>
      </c>
      <c r="C5561" s="38">
        <v>45049</v>
      </c>
      <c r="D5561" s="1" t="s">
        <v>237</v>
      </c>
      <c r="E5561" s="1" t="s">
        <v>33</v>
      </c>
      <c r="F5561" s="1" t="s">
        <v>200</v>
      </c>
      <c r="G5561" s="5">
        <v>107.91</v>
      </c>
    </row>
    <row r="5562" spans="1:7" x14ac:dyDescent="0.2">
      <c r="A5562" s="3">
        <v>252</v>
      </c>
      <c r="B5562" s="2">
        <v>21606.48</v>
      </c>
      <c r="C5562" s="38">
        <v>45049</v>
      </c>
      <c r="D5562" s="1" t="s">
        <v>243</v>
      </c>
      <c r="E5562" s="1" t="s">
        <v>33</v>
      </c>
      <c r="F5562" s="1" t="s">
        <v>200</v>
      </c>
      <c r="G5562" s="5">
        <v>85.74</v>
      </c>
    </row>
    <row r="5563" spans="1:7" x14ac:dyDescent="0.2">
      <c r="A5563" s="3">
        <v>252</v>
      </c>
      <c r="B5563" s="2">
        <v>21606.48</v>
      </c>
      <c r="C5563" s="38">
        <v>45049</v>
      </c>
      <c r="D5563" s="1" t="s">
        <v>243</v>
      </c>
      <c r="E5563" s="1" t="s">
        <v>33</v>
      </c>
      <c r="F5563" s="1" t="s">
        <v>200</v>
      </c>
      <c r="G5563" s="5">
        <v>85.74</v>
      </c>
    </row>
    <row r="5564" spans="1:7" x14ac:dyDescent="0.2">
      <c r="A5564" s="3">
        <v>588</v>
      </c>
      <c r="B5564" s="2">
        <v>62210.400000000001</v>
      </c>
      <c r="C5564" s="38">
        <v>45049</v>
      </c>
      <c r="D5564" s="1" t="s">
        <v>251</v>
      </c>
      <c r="E5564" s="1" t="s">
        <v>33</v>
      </c>
      <c r="F5564" s="1" t="s">
        <v>200</v>
      </c>
      <c r="G5564" s="5">
        <v>105.8</v>
      </c>
    </row>
    <row r="5565" spans="1:7" x14ac:dyDescent="0.2">
      <c r="A5565" s="3">
        <v>588</v>
      </c>
      <c r="B5565" s="2">
        <v>62210.400000000001</v>
      </c>
      <c r="C5565" s="38">
        <v>45049</v>
      </c>
      <c r="D5565" s="1" t="s">
        <v>251</v>
      </c>
      <c r="E5565" s="1" t="s">
        <v>33</v>
      </c>
      <c r="F5565" s="1" t="s">
        <v>200</v>
      </c>
      <c r="G5565" s="5">
        <v>105.8</v>
      </c>
    </row>
    <row r="5566" spans="1:7" x14ac:dyDescent="0.2">
      <c r="A5566" s="3">
        <v>140</v>
      </c>
      <c r="B5566" s="2">
        <v>58132.2</v>
      </c>
      <c r="C5566" s="38">
        <v>45049</v>
      </c>
      <c r="D5566" s="1" t="s">
        <v>254</v>
      </c>
      <c r="E5566" s="1" t="s">
        <v>33</v>
      </c>
      <c r="F5566" s="1" t="s">
        <v>200</v>
      </c>
      <c r="G5566" s="5">
        <v>415.23</v>
      </c>
    </row>
    <row r="5567" spans="1:7" x14ac:dyDescent="0.2">
      <c r="A5567" s="3">
        <v>140</v>
      </c>
      <c r="B5567" s="2">
        <v>58132.2</v>
      </c>
      <c r="C5567" s="38">
        <v>45049</v>
      </c>
      <c r="D5567" s="1" t="s">
        <v>254</v>
      </c>
      <c r="E5567" s="1" t="s">
        <v>33</v>
      </c>
      <c r="F5567" s="1" t="s">
        <v>200</v>
      </c>
      <c r="G5567" s="5">
        <v>415.23</v>
      </c>
    </row>
    <row r="5568" spans="1:7" x14ac:dyDescent="0.2">
      <c r="A5568" s="3">
        <v>140</v>
      </c>
      <c r="B5568" s="2">
        <v>58132.2</v>
      </c>
      <c r="C5568" s="38">
        <v>45049</v>
      </c>
      <c r="D5568" s="1" t="s">
        <v>254</v>
      </c>
      <c r="E5568" s="1" t="s">
        <v>33</v>
      </c>
      <c r="F5568" s="1" t="s">
        <v>200</v>
      </c>
      <c r="G5568" s="5">
        <v>415.23</v>
      </c>
    </row>
    <row r="5569" spans="1:7" x14ac:dyDescent="0.2">
      <c r="A5569" s="3">
        <v>140</v>
      </c>
      <c r="B5569" s="2">
        <v>58132.2</v>
      </c>
      <c r="C5569" s="38">
        <v>45049</v>
      </c>
      <c r="D5569" s="1" t="s">
        <v>254</v>
      </c>
      <c r="E5569" s="1" t="s">
        <v>33</v>
      </c>
      <c r="F5569" s="1" t="s">
        <v>200</v>
      </c>
      <c r="G5569" s="5">
        <v>415.23</v>
      </c>
    </row>
    <row r="5570" spans="1:7" x14ac:dyDescent="0.2">
      <c r="A5570" s="3">
        <v>140</v>
      </c>
      <c r="B5570" s="2">
        <v>58132.2</v>
      </c>
      <c r="C5570" s="38">
        <v>45049</v>
      </c>
      <c r="D5570" s="1" t="s">
        <v>254</v>
      </c>
      <c r="E5570" s="1" t="s">
        <v>33</v>
      </c>
      <c r="F5570" s="1" t="s">
        <v>200</v>
      </c>
      <c r="G5570" s="5">
        <v>415.23</v>
      </c>
    </row>
    <row r="5571" spans="1:7" x14ac:dyDescent="0.2">
      <c r="A5571" s="3">
        <v>140</v>
      </c>
      <c r="B5571" s="2">
        <v>58132.2</v>
      </c>
      <c r="C5571" s="38">
        <v>44950</v>
      </c>
      <c r="D5571" s="1" t="s">
        <v>254</v>
      </c>
      <c r="E5571" s="1" t="s">
        <v>33</v>
      </c>
      <c r="F5571" s="1" t="s">
        <v>200</v>
      </c>
      <c r="G5571" s="5">
        <v>415.23</v>
      </c>
    </row>
    <row r="5572" spans="1:7" x14ac:dyDescent="0.2">
      <c r="A5572" s="3">
        <v>90</v>
      </c>
      <c r="B5572" s="2">
        <v>41816.699999999997</v>
      </c>
      <c r="C5572" s="38">
        <v>44952</v>
      </c>
      <c r="D5572" s="1" t="s">
        <v>248</v>
      </c>
      <c r="E5572" s="1" t="s">
        <v>33</v>
      </c>
      <c r="F5572" s="1" t="s">
        <v>200</v>
      </c>
      <c r="G5572" s="5">
        <v>464.63</v>
      </c>
    </row>
    <row r="5573" spans="1:7" x14ac:dyDescent="0.2">
      <c r="A5573" s="3">
        <v>140</v>
      </c>
      <c r="B5573" s="2">
        <v>58132.2</v>
      </c>
      <c r="C5573" s="38">
        <v>44952</v>
      </c>
      <c r="D5573" s="1" t="s">
        <v>254</v>
      </c>
      <c r="E5573" s="1" t="s">
        <v>33</v>
      </c>
      <c r="F5573" s="1" t="s">
        <v>200</v>
      </c>
      <c r="G5573" s="5">
        <v>415.23</v>
      </c>
    </row>
    <row r="5574" spans="1:7" x14ac:dyDescent="0.2">
      <c r="A5574" s="3">
        <v>140</v>
      </c>
      <c r="B5574" s="2">
        <v>58132.2</v>
      </c>
      <c r="C5574" s="38">
        <v>44952</v>
      </c>
      <c r="D5574" s="1" t="s">
        <v>254</v>
      </c>
      <c r="E5574" s="1" t="s">
        <v>33</v>
      </c>
      <c r="F5574" s="1" t="s">
        <v>200</v>
      </c>
      <c r="G5574" s="5">
        <v>415.23</v>
      </c>
    </row>
    <row r="5575" spans="1:7" x14ac:dyDescent="0.2">
      <c r="A5575" s="3">
        <v>140</v>
      </c>
      <c r="B5575" s="2">
        <v>58132.2</v>
      </c>
      <c r="C5575" s="38">
        <v>45049</v>
      </c>
      <c r="D5575" s="1" t="s">
        <v>254</v>
      </c>
      <c r="E5575" s="1" t="s">
        <v>33</v>
      </c>
      <c r="F5575" s="1" t="s">
        <v>200</v>
      </c>
      <c r="G5575" s="5">
        <v>415.23</v>
      </c>
    </row>
    <row r="5576" spans="1:7" x14ac:dyDescent="0.2">
      <c r="A5576" s="3">
        <v>140</v>
      </c>
      <c r="B5576" s="2">
        <v>58132.2</v>
      </c>
      <c r="C5576" s="38">
        <v>45049</v>
      </c>
      <c r="D5576" s="1" t="s">
        <v>254</v>
      </c>
      <c r="E5576" s="1" t="s">
        <v>33</v>
      </c>
      <c r="F5576" s="1" t="s">
        <v>200</v>
      </c>
      <c r="G5576" s="5">
        <v>415.23</v>
      </c>
    </row>
    <row r="5577" spans="1:7" x14ac:dyDescent="0.2">
      <c r="A5577" s="3">
        <v>1500</v>
      </c>
      <c r="B5577" s="2">
        <v>1830</v>
      </c>
      <c r="C5577" s="38">
        <v>45049</v>
      </c>
      <c r="D5577" s="1" t="s">
        <v>261</v>
      </c>
      <c r="E5577" s="1" t="s">
        <v>33</v>
      </c>
      <c r="F5577" s="1" t="s">
        <v>200</v>
      </c>
      <c r="G5577" s="5">
        <v>1.22</v>
      </c>
    </row>
    <row r="5578" spans="1:7" x14ac:dyDescent="0.2">
      <c r="A5578" s="3">
        <v>156</v>
      </c>
      <c r="B5578" s="2">
        <v>15375.36</v>
      </c>
      <c r="C5578" s="38">
        <v>45049</v>
      </c>
      <c r="D5578" s="1" t="s">
        <v>266</v>
      </c>
      <c r="E5578" s="1" t="s">
        <v>33</v>
      </c>
      <c r="F5578" s="1" t="s">
        <v>200</v>
      </c>
      <c r="G5578" s="5">
        <v>98.56</v>
      </c>
    </row>
    <row r="5579" spans="1:7" x14ac:dyDescent="0.2">
      <c r="A5579" s="3">
        <v>144</v>
      </c>
      <c r="B5579" s="2">
        <v>14192.64</v>
      </c>
      <c r="C5579" s="38">
        <v>45049</v>
      </c>
      <c r="D5579" s="1" t="s">
        <v>266</v>
      </c>
      <c r="E5579" s="1" t="s">
        <v>33</v>
      </c>
      <c r="F5579" s="1" t="s">
        <v>200</v>
      </c>
      <c r="G5579" s="5">
        <v>98.56</v>
      </c>
    </row>
    <row r="5580" spans="1:7" x14ac:dyDescent="0.2">
      <c r="A5580" s="3">
        <v>156</v>
      </c>
      <c r="B5580" s="2">
        <v>15375.36</v>
      </c>
      <c r="C5580" s="38">
        <v>45049</v>
      </c>
      <c r="D5580" s="1" t="s">
        <v>266</v>
      </c>
      <c r="E5580" s="1" t="s">
        <v>33</v>
      </c>
      <c r="F5580" s="1" t="s">
        <v>200</v>
      </c>
      <c r="G5580" s="5">
        <v>98.56</v>
      </c>
    </row>
    <row r="5581" spans="1:7" x14ac:dyDescent="0.2">
      <c r="A5581" s="3">
        <v>156</v>
      </c>
      <c r="B5581" s="2">
        <v>15375.36</v>
      </c>
      <c r="C5581" s="38">
        <v>45049</v>
      </c>
      <c r="D5581" s="1" t="s">
        <v>266</v>
      </c>
      <c r="E5581" s="1" t="s">
        <v>33</v>
      </c>
      <c r="F5581" s="1" t="s">
        <v>200</v>
      </c>
      <c r="G5581" s="5">
        <v>98.56</v>
      </c>
    </row>
    <row r="5582" spans="1:7" x14ac:dyDescent="0.2">
      <c r="A5582" s="3">
        <v>156</v>
      </c>
      <c r="B5582" s="2">
        <v>15375.36</v>
      </c>
      <c r="C5582" s="38">
        <v>45049</v>
      </c>
      <c r="D5582" s="1" t="s">
        <v>266</v>
      </c>
      <c r="E5582" s="1" t="s">
        <v>33</v>
      </c>
      <c r="F5582" s="1" t="s">
        <v>200</v>
      </c>
      <c r="G5582" s="5">
        <v>98.56</v>
      </c>
    </row>
    <row r="5583" spans="1:7" x14ac:dyDescent="0.2">
      <c r="A5583" s="3">
        <v>216</v>
      </c>
      <c r="B5583" s="2">
        <v>21288.959999999999</v>
      </c>
      <c r="C5583" s="38">
        <v>45049</v>
      </c>
      <c r="D5583" s="1" t="s">
        <v>266</v>
      </c>
      <c r="E5583" s="1" t="s">
        <v>33</v>
      </c>
      <c r="F5583" s="1" t="s">
        <v>200</v>
      </c>
      <c r="G5583" s="5">
        <v>98.56</v>
      </c>
    </row>
    <row r="5584" spans="1:7" x14ac:dyDescent="0.2">
      <c r="A5584" s="3">
        <v>216</v>
      </c>
      <c r="B5584" s="2">
        <v>21288.959999999999</v>
      </c>
      <c r="C5584" s="38">
        <v>45049</v>
      </c>
      <c r="D5584" s="1" t="s">
        <v>266</v>
      </c>
      <c r="E5584" s="1" t="s">
        <v>33</v>
      </c>
      <c r="F5584" s="1" t="s">
        <v>200</v>
      </c>
      <c r="G5584" s="5">
        <v>98.56</v>
      </c>
    </row>
    <row r="5585" spans="1:7" x14ac:dyDescent="0.2">
      <c r="A5585" s="3">
        <v>156</v>
      </c>
      <c r="B5585" s="2">
        <v>15375.36</v>
      </c>
      <c r="C5585" s="38">
        <v>45049</v>
      </c>
      <c r="D5585" s="1" t="s">
        <v>266</v>
      </c>
      <c r="E5585" s="1" t="s">
        <v>33</v>
      </c>
      <c r="F5585" s="1" t="s">
        <v>200</v>
      </c>
      <c r="G5585" s="5">
        <v>98.56</v>
      </c>
    </row>
    <row r="5586" spans="1:7" x14ac:dyDescent="0.2">
      <c r="A5586" s="3">
        <v>1820</v>
      </c>
      <c r="B5586" s="2">
        <v>4313.3999999999996</v>
      </c>
      <c r="C5586" s="38">
        <v>44721</v>
      </c>
      <c r="D5586" s="1" t="s">
        <v>250</v>
      </c>
      <c r="E5586" s="1" t="s">
        <v>33</v>
      </c>
      <c r="F5586" s="1" t="s">
        <v>200</v>
      </c>
      <c r="G5586" s="5">
        <v>2.37</v>
      </c>
    </row>
    <row r="5587" spans="1:7" x14ac:dyDescent="0.2">
      <c r="A5587" s="3">
        <v>1820</v>
      </c>
      <c r="B5587" s="2">
        <v>4313.3999999999996</v>
      </c>
      <c r="C5587" s="38">
        <v>44721</v>
      </c>
      <c r="D5587" s="1" t="s">
        <v>250</v>
      </c>
      <c r="E5587" s="1" t="s">
        <v>33</v>
      </c>
      <c r="F5587" s="1" t="s">
        <v>200</v>
      </c>
      <c r="G5587" s="5">
        <v>2.37</v>
      </c>
    </row>
    <row r="5588" spans="1:7" x14ac:dyDescent="0.2">
      <c r="A5588" s="3">
        <v>60</v>
      </c>
      <c r="B5588" s="2">
        <v>26432.400000000001</v>
      </c>
      <c r="C5588" s="38">
        <v>44664</v>
      </c>
      <c r="D5588" s="1" t="s">
        <v>248</v>
      </c>
      <c r="E5588" s="1" t="s">
        <v>33</v>
      </c>
      <c r="F5588" s="1" t="s">
        <v>200</v>
      </c>
      <c r="G5588" s="5">
        <v>440.54</v>
      </c>
    </row>
    <row r="5589" spans="1:7" x14ac:dyDescent="0.2">
      <c r="A5589" s="3">
        <v>90</v>
      </c>
      <c r="B5589" s="2">
        <v>39648.6</v>
      </c>
      <c r="C5589" s="38">
        <v>44664</v>
      </c>
      <c r="D5589" s="1" t="s">
        <v>248</v>
      </c>
      <c r="E5589" s="1" t="s">
        <v>33</v>
      </c>
      <c r="F5589" s="1" t="s">
        <v>200</v>
      </c>
      <c r="G5589" s="5">
        <v>440.54</v>
      </c>
    </row>
    <row r="5590" spans="1:7" x14ac:dyDescent="0.2">
      <c r="A5590" s="3">
        <v>60</v>
      </c>
      <c r="B5590" s="2">
        <v>26432.400000000001</v>
      </c>
      <c r="C5590" s="38">
        <v>44664</v>
      </c>
      <c r="D5590" s="1" t="s">
        <v>248</v>
      </c>
      <c r="E5590" s="1" t="s">
        <v>33</v>
      </c>
      <c r="F5590" s="1" t="s">
        <v>200</v>
      </c>
      <c r="G5590" s="5">
        <v>440.54</v>
      </c>
    </row>
    <row r="5591" spans="1:7" x14ac:dyDescent="0.2">
      <c r="A5591" s="3">
        <v>30</v>
      </c>
      <c r="B5591" s="2">
        <v>13216.2</v>
      </c>
      <c r="C5591" s="38">
        <v>44664</v>
      </c>
      <c r="D5591" s="1" t="s">
        <v>248</v>
      </c>
      <c r="E5591" s="1" t="s">
        <v>33</v>
      </c>
      <c r="F5591" s="1" t="s">
        <v>200</v>
      </c>
      <c r="G5591" s="5">
        <v>440.54</v>
      </c>
    </row>
    <row r="5592" spans="1:7" x14ac:dyDescent="0.2">
      <c r="A5592" s="3">
        <v>30</v>
      </c>
      <c r="B5592" s="2">
        <v>13216.2</v>
      </c>
      <c r="C5592" s="38">
        <v>44664</v>
      </c>
      <c r="D5592" s="1" t="s">
        <v>248</v>
      </c>
      <c r="E5592" s="1" t="s">
        <v>33</v>
      </c>
      <c r="F5592" s="1" t="s">
        <v>200</v>
      </c>
      <c r="G5592" s="5">
        <v>440.54</v>
      </c>
    </row>
    <row r="5593" spans="1:7" x14ac:dyDescent="0.2">
      <c r="A5593" s="3">
        <v>60</v>
      </c>
      <c r="B5593" s="2">
        <v>26432.400000000001</v>
      </c>
      <c r="C5593" s="38">
        <v>44664</v>
      </c>
      <c r="D5593" s="1" t="s">
        <v>248</v>
      </c>
      <c r="E5593" s="1" t="s">
        <v>33</v>
      </c>
      <c r="F5593" s="1" t="s">
        <v>200</v>
      </c>
      <c r="G5593" s="5">
        <v>440.54</v>
      </c>
    </row>
    <row r="5594" spans="1:7" x14ac:dyDescent="0.2">
      <c r="A5594" s="3">
        <v>30</v>
      </c>
      <c r="B5594" s="2">
        <v>13216.2</v>
      </c>
      <c r="C5594" s="38">
        <v>44664</v>
      </c>
      <c r="D5594" s="1" t="s">
        <v>248</v>
      </c>
      <c r="E5594" s="1" t="s">
        <v>33</v>
      </c>
      <c r="F5594" s="1" t="s">
        <v>200</v>
      </c>
      <c r="G5594" s="5">
        <v>440.54</v>
      </c>
    </row>
    <row r="5595" spans="1:7" x14ac:dyDescent="0.2">
      <c r="A5595" s="3">
        <v>588</v>
      </c>
      <c r="B5595" s="2">
        <v>58982.28</v>
      </c>
      <c r="C5595" s="38">
        <v>44664</v>
      </c>
      <c r="D5595" s="1" t="s">
        <v>251</v>
      </c>
      <c r="E5595" s="1" t="s">
        <v>33</v>
      </c>
      <c r="F5595" s="1" t="s">
        <v>200</v>
      </c>
      <c r="G5595" s="5">
        <v>100.31</v>
      </c>
    </row>
    <row r="5596" spans="1:7" x14ac:dyDescent="0.2">
      <c r="A5596" s="3">
        <v>32</v>
      </c>
      <c r="B5596" s="2">
        <v>18030.72</v>
      </c>
      <c r="C5596" s="38">
        <v>44690</v>
      </c>
      <c r="D5596" s="1" t="s">
        <v>355</v>
      </c>
      <c r="E5596" s="1" t="s">
        <v>33</v>
      </c>
      <c r="F5596" s="1" t="s">
        <v>200</v>
      </c>
      <c r="G5596" s="5">
        <v>563.46</v>
      </c>
    </row>
    <row r="5597" spans="1:7" x14ac:dyDescent="0.2">
      <c r="A5597" s="3">
        <v>140</v>
      </c>
      <c r="B5597" s="2">
        <v>60040.4</v>
      </c>
      <c r="C5597" s="38">
        <v>45086</v>
      </c>
      <c r="D5597" s="1" t="s">
        <v>255</v>
      </c>
      <c r="E5597" s="1" t="s">
        <v>33</v>
      </c>
      <c r="F5597" s="1" t="s">
        <v>200</v>
      </c>
      <c r="G5597" s="5">
        <v>428.86</v>
      </c>
    </row>
    <row r="5598" spans="1:7" x14ac:dyDescent="0.2">
      <c r="A5598" s="3">
        <v>108</v>
      </c>
      <c r="B5598" s="2">
        <v>11654.28</v>
      </c>
      <c r="C5598" s="38">
        <v>45097</v>
      </c>
      <c r="D5598" s="1" t="s">
        <v>237</v>
      </c>
      <c r="E5598" s="1" t="s">
        <v>33</v>
      </c>
      <c r="F5598" s="1" t="s">
        <v>200</v>
      </c>
      <c r="G5598" s="5">
        <v>107.91</v>
      </c>
    </row>
    <row r="5599" spans="1:7" x14ac:dyDescent="0.2">
      <c r="A5599" s="3">
        <v>432</v>
      </c>
      <c r="B5599" s="2">
        <v>46617.120000000003</v>
      </c>
      <c r="C5599" s="38">
        <v>45097</v>
      </c>
      <c r="D5599" s="1" t="s">
        <v>237</v>
      </c>
      <c r="E5599" s="1" t="s">
        <v>33</v>
      </c>
      <c r="F5599" s="1" t="s">
        <v>200</v>
      </c>
      <c r="G5599" s="5">
        <v>107.91</v>
      </c>
    </row>
    <row r="5600" spans="1:7" x14ac:dyDescent="0.2">
      <c r="A5600" s="3">
        <v>240</v>
      </c>
      <c r="B5600" s="2">
        <v>108170.4</v>
      </c>
      <c r="C5600" s="38">
        <v>45097</v>
      </c>
      <c r="D5600" s="1" t="s">
        <v>240</v>
      </c>
      <c r="E5600" s="1" t="s">
        <v>33</v>
      </c>
      <c r="F5600" s="1" t="s">
        <v>200</v>
      </c>
      <c r="G5600" s="5">
        <v>450.71</v>
      </c>
    </row>
    <row r="5601" spans="1:7" x14ac:dyDescent="0.2">
      <c r="A5601" s="3">
        <v>240</v>
      </c>
      <c r="B5601" s="2">
        <v>108170.4</v>
      </c>
      <c r="C5601" s="38">
        <v>45097</v>
      </c>
      <c r="D5601" s="1" t="s">
        <v>240</v>
      </c>
      <c r="E5601" s="1" t="s">
        <v>33</v>
      </c>
      <c r="F5601" s="1" t="s">
        <v>200</v>
      </c>
      <c r="G5601" s="5">
        <v>450.71</v>
      </c>
    </row>
    <row r="5602" spans="1:7" x14ac:dyDescent="0.2">
      <c r="A5602" s="3">
        <v>3000</v>
      </c>
      <c r="B5602" s="2">
        <v>3660</v>
      </c>
      <c r="C5602" s="38">
        <v>45097</v>
      </c>
      <c r="D5602" s="1" t="s">
        <v>261</v>
      </c>
      <c r="E5602" s="1" t="s">
        <v>33</v>
      </c>
      <c r="F5602" s="1" t="s">
        <v>200</v>
      </c>
      <c r="G5602" s="5">
        <v>1.22</v>
      </c>
    </row>
    <row r="5603" spans="1:7" x14ac:dyDescent="0.2">
      <c r="A5603" s="3">
        <v>15</v>
      </c>
      <c r="B5603" s="2">
        <v>12860.55</v>
      </c>
      <c r="C5603" s="38">
        <v>45097</v>
      </c>
      <c r="D5603" s="1" t="s">
        <v>267</v>
      </c>
      <c r="E5603" s="1" t="s">
        <v>33</v>
      </c>
      <c r="F5603" s="1" t="s">
        <v>200</v>
      </c>
      <c r="G5603" s="5">
        <v>857.37</v>
      </c>
    </row>
    <row r="5604" spans="1:7" x14ac:dyDescent="0.2">
      <c r="A5604" s="3">
        <v>60</v>
      </c>
      <c r="B5604" s="2">
        <v>51442.2</v>
      </c>
      <c r="C5604" s="38">
        <v>45097</v>
      </c>
      <c r="D5604" s="1" t="s">
        <v>267</v>
      </c>
      <c r="E5604" s="1" t="s">
        <v>33</v>
      </c>
      <c r="F5604" s="1" t="s">
        <v>200</v>
      </c>
      <c r="G5604" s="5">
        <v>857.37</v>
      </c>
    </row>
    <row r="5605" spans="1:7" x14ac:dyDescent="0.2">
      <c r="A5605" s="3">
        <v>60</v>
      </c>
      <c r="B5605" s="2">
        <v>51442.2</v>
      </c>
      <c r="C5605" s="38">
        <v>45097</v>
      </c>
      <c r="D5605" s="1" t="s">
        <v>267</v>
      </c>
      <c r="E5605" s="1" t="s">
        <v>33</v>
      </c>
      <c r="F5605" s="1" t="s">
        <v>200</v>
      </c>
      <c r="G5605" s="5">
        <v>857.37</v>
      </c>
    </row>
    <row r="5606" spans="1:7" x14ac:dyDescent="0.2">
      <c r="A5606" s="3">
        <v>60</v>
      </c>
      <c r="B5606" s="2">
        <v>51442.2</v>
      </c>
      <c r="C5606" s="38">
        <v>45097</v>
      </c>
      <c r="D5606" s="1" t="s">
        <v>267</v>
      </c>
      <c r="E5606" s="1" t="s">
        <v>33</v>
      </c>
      <c r="F5606" s="1" t="s">
        <v>200</v>
      </c>
      <c r="G5606" s="5">
        <v>857.37</v>
      </c>
    </row>
    <row r="5607" spans="1:7" x14ac:dyDescent="0.2">
      <c r="A5607" s="3">
        <v>420</v>
      </c>
      <c r="B5607" s="2">
        <v>6610.8</v>
      </c>
      <c r="C5607" s="38">
        <v>45030</v>
      </c>
      <c r="D5607" s="1" t="s">
        <v>322</v>
      </c>
      <c r="E5607" s="1" t="s">
        <v>33</v>
      </c>
      <c r="F5607" s="1" t="s">
        <v>200</v>
      </c>
      <c r="G5607" s="5">
        <v>15.74</v>
      </c>
    </row>
    <row r="5608" spans="1:7" x14ac:dyDescent="0.2">
      <c r="A5608" s="3">
        <v>32</v>
      </c>
      <c r="B5608" s="2">
        <v>27878.080000000002</v>
      </c>
      <c r="C5608" s="38">
        <v>45030</v>
      </c>
      <c r="D5608" s="1" t="s">
        <v>323</v>
      </c>
      <c r="E5608" s="1" t="s">
        <v>33</v>
      </c>
      <c r="F5608" s="1" t="s">
        <v>200</v>
      </c>
      <c r="G5608" s="5">
        <v>871.19</v>
      </c>
    </row>
    <row r="5609" spans="1:7" x14ac:dyDescent="0.2">
      <c r="A5609" s="3">
        <v>108</v>
      </c>
      <c r="B5609" s="2">
        <v>10644.48</v>
      </c>
      <c r="C5609" s="38">
        <v>45030</v>
      </c>
      <c r="D5609" s="1" t="s">
        <v>266</v>
      </c>
      <c r="E5609" s="1" t="s">
        <v>33</v>
      </c>
      <c r="F5609" s="1" t="s">
        <v>200</v>
      </c>
      <c r="G5609" s="5">
        <v>98.56</v>
      </c>
    </row>
    <row r="5610" spans="1:7" x14ac:dyDescent="0.2">
      <c r="A5610" s="3">
        <v>108</v>
      </c>
      <c r="B5610" s="2">
        <v>10644.48</v>
      </c>
      <c r="C5610" s="38">
        <v>45030</v>
      </c>
      <c r="D5610" s="1" t="s">
        <v>266</v>
      </c>
      <c r="E5610" s="1" t="s">
        <v>33</v>
      </c>
      <c r="F5610" s="1" t="s">
        <v>200</v>
      </c>
      <c r="G5610" s="5">
        <v>98.56</v>
      </c>
    </row>
    <row r="5611" spans="1:7" x14ac:dyDescent="0.2">
      <c r="A5611" s="3">
        <v>108</v>
      </c>
      <c r="B5611" s="2">
        <v>10644.48</v>
      </c>
      <c r="C5611" s="38">
        <v>45030</v>
      </c>
      <c r="D5611" s="1" t="s">
        <v>266</v>
      </c>
      <c r="E5611" s="1" t="s">
        <v>33</v>
      </c>
      <c r="F5611" s="1" t="s">
        <v>200</v>
      </c>
      <c r="G5611" s="5">
        <v>98.56</v>
      </c>
    </row>
    <row r="5612" spans="1:7" x14ac:dyDescent="0.2">
      <c r="A5612" s="3">
        <v>74</v>
      </c>
      <c r="B5612" s="2">
        <v>7293.44</v>
      </c>
      <c r="C5612" s="38">
        <v>45030</v>
      </c>
      <c r="D5612" s="1" t="s">
        <v>266</v>
      </c>
      <c r="E5612" s="1" t="s">
        <v>33</v>
      </c>
      <c r="F5612" s="1" t="s">
        <v>200</v>
      </c>
      <c r="G5612" s="5">
        <v>98.56</v>
      </c>
    </row>
    <row r="5613" spans="1:7" x14ac:dyDescent="0.2">
      <c r="A5613" s="3">
        <v>83</v>
      </c>
      <c r="B5613" s="2">
        <v>8180.48</v>
      </c>
      <c r="C5613" s="38">
        <v>45030</v>
      </c>
      <c r="D5613" s="1" t="s">
        <v>266</v>
      </c>
      <c r="E5613" s="1" t="s">
        <v>33</v>
      </c>
      <c r="F5613" s="1" t="s">
        <v>200</v>
      </c>
      <c r="G5613" s="5">
        <v>98.56</v>
      </c>
    </row>
    <row r="5614" spans="1:7" x14ac:dyDescent="0.2">
      <c r="A5614" s="3">
        <v>108</v>
      </c>
      <c r="B5614" s="2">
        <v>10644.48</v>
      </c>
      <c r="C5614" s="38">
        <v>45030</v>
      </c>
      <c r="D5614" s="1" t="s">
        <v>266</v>
      </c>
      <c r="E5614" s="1" t="s">
        <v>33</v>
      </c>
      <c r="F5614" s="1" t="s">
        <v>200</v>
      </c>
      <c r="G5614" s="5">
        <v>98.56</v>
      </c>
    </row>
    <row r="5615" spans="1:7" x14ac:dyDescent="0.2">
      <c r="A5615" s="3">
        <v>60</v>
      </c>
      <c r="B5615" s="2">
        <v>5913.6</v>
      </c>
      <c r="C5615" s="38">
        <v>45030</v>
      </c>
      <c r="D5615" s="1" t="s">
        <v>266</v>
      </c>
      <c r="E5615" s="1" t="s">
        <v>33</v>
      </c>
      <c r="F5615" s="1" t="s">
        <v>200</v>
      </c>
      <c r="G5615" s="5">
        <v>98.56</v>
      </c>
    </row>
    <row r="5616" spans="1:7" x14ac:dyDescent="0.2">
      <c r="A5616" s="3">
        <v>156</v>
      </c>
      <c r="B5616" s="2">
        <v>15375.36</v>
      </c>
      <c r="C5616" s="38">
        <v>45030</v>
      </c>
      <c r="D5616" s="1" t="s">
        <v>266</v>
      </c>
      <c r="E5616" s="1" t="s">
        <v>33</v>
      </c>
      <c r="F5616" s="1" t="s">
        <v>200</v>
      </c>
      <c r="G5616" s="5">
        <v>98.56</v>
      </c>
    </row>
    <row r="5617" spans="1:7" x14ac:dyDescent="0.2">
      <c r="A5617" s="3">
        <v>34</v>
      </c>
      <c r="B5617" s="2">
        <v>3351.04</v>
      </c>
      <c r="C5617" s="38">
        <v>45030</v>
      </c>
      <c r="D5617" s="1" t="s">
        <v>266</v>
      </c>
      <c r="E5617" s="1" t="s">
        <v>33</v>
      </c>
      <c r="F5617" s="1" t="s">
        <v>200</v>
      </c>
      <c r="G5617" s="5">
        <v>98.56</v>
      </c>
    </row>
    <row r="5618" spans="1:7" x14ac:dyDescent="0.2">
      <c r="A5618" s="3">
        <v>60</v>
      </c>
      <c r="B5618" s="2">
        <v>51442.2</v>
      </c>
      <c r="C5618" s="38">
        <v>45097</v>
      </c>
      <c r="D5618" s="1" t="s">
        <v>267</v>
      </c>
      <c r="E5618" s="1" t="s">
        <v>33</v>
      </c>
      <c r="F5618" s="1" t="s">
        <v>200</v>
      </c>
      <c r="G5618" s="5">
        <v>857.37</v>
      </c>
    </row>
    <row r="5619" spans="1:7" x14ac:dyDescent="0.2">
      <c r="A5619" s="3">
        <v>25</v>
      </c>
      <c r="B5619" s="2">
        <v>63063.75</v>
      </c>
      <c r="C5619" s="38">
        <v>44959</v>
      </c>
      <c r="D5619" s="1" t="s">
        <v>344</v>
      </c>
      <c r="E5619" s="1" t="s">
        <v>33</v>
      </c>
      <c r="F5619" s="1" t="s">
        <v>200</v>
      </c>
      <c r="G5619" s="5">
        <v>2522.5500000000002</v>
      </c>
    </row>
    <row r="5620" spans="1:7" x14ac:dyDescent="0.2">
      <c r="A5620" s="3">
        <v>2</v>
      </c>
      <c r="B5620" s="2">
        <v>5045.1000000000004</v>
      </c>
      <c r="C5620" s="38">
        <v>44959</v>
      </c>
      <c r="D5620" s="1" t="s">
        <v>344</v>
      </c>
      <c r="E5620" s="1" t="s">
        <v>33</v>
      </c>
      <c r="F5620" s="1" t="s">
        <v>200</v>
      </c>
      <c r="G5620" s="5">
        <v>2522.5500000000002</v>
      </c>
    </row>
    <row r="5621" spans="1:7" x14ac:dyDescent="0.2">
      <c r="A5621" s="3">
        <v>3000</v>
      </c>
      <c r="B5621" s="2">
        <v>3930</v>
      </c>
      <c r="C5621" s="38">
        <v>44959</v>
      </c>
      <c r="D5621" s="1" t="s">
        <v>262</v>
      </c>
      <c r="E5621" s="1" t="s">
        <v>33</v>
      </c>
      <c r="F5621" s="1" t="s">
        <v>200</v>
      </c>
      <c r="G5621" s="5">
        <v>1.31</v>
      </c>
    </row>
    <row r="5622" spans="1:7" x14ac:dyDescent="0.2">
      <c r="A5622" s="3">
        <v>432</v>
      </c>
      <c r="B5622" s="2">
        <v>46617.120000000003</v>
      </c>
      <c r="C5622" s="38">
        <v>45037</v>
      </c>
      <c r="D5622" s="1" t="s">
        <v>237</v>
      </c>
      <c r="E5622" s="1" t="s">
        <v>33</v>
      </c>
      <c r="F5622" s="1" t="s">
        <v>200</v>
      </c>
      <c r="G5622" s="5">
        <v>107.91</v>
      </c>
    </row>
    <row r="5623" spans="1:7" x14ac:dyDescent="0.2">
      <c r="A5623" s="3">
        <v>216</v>
      </c>
      <c r="B5623" s="2">
        <v>23308.560000000001</v>
      </c>
      <c r="C5623" s="38">
        <v>45037</v>
      </c>
      <c r="D5623" s="1" t="s">
        <v>237</v>
      </c>
      <c r="E5623" s="1" t="s">
        <v>33</v>
      </c>
      <c r="F5623" s="1" t="s">
        <v>200</v>
      </c>
      <c r="G5623" s="5">
        <v>107.91</v>
      </c>
    </row>
    <row r="5624" spans="1:7" x14ac:dyDescent="0.2">
      <c r="A5624" s="3">
        <v>108</v>
      </c>
      <c r="B5624" s="2">
        <v>11654.28</v>
      </c>
      <c r="C5624" s="38">
        <v>45037</v>
      </c>
      <c r="D5624" s="1" t="s">
        <v>237</v>
      </c>
      <c r="E5624" s="1" t="s">
        <v>33</v>
      </c>
      <c r="F5624" s="1" t="s">
        <v>200</v>
      </c>
      <c r="G5624" s="5">
        <v>107.91</v>
      </c>
    </row>
    <row r="5625" spans="1:7" x14ac:dyDescent="0.2">
      <c r="A5625" s="3">
        <v>432</v>
      </c>
      <c r="B5625" s="2">
        <v>46617.120000000003</v>
      </c>
      <c r="C5625" s="38">
        <v>45037</v>
      </c>
      <c r="D5625" s="1" t="s">
        <v>237</v>
      </c>
      <c r="E5625" s="1" t="s">
        <v>33</v>
      </c>
      <c r="F5625" s="1" t="s">
        <v>200</v>
      </c>
      <c r="G5625" s="5">
        <v>107.91</v>
      </c>
    </row>
    <row r="5626" spans="1:7" x14ac:dyDescent="0.2">
      <c r="A5626" s="3">
        <v>324</v>
      </c>
      <c r="B5626" s="2">
        <v>34962.839999999997</v>
      </c>
      <c r="C5626" s="38">
        <v>45037</v>
      </c>
      <c r="D5626" s="1" t="s">
        <v>237</v>
      </c>
      <c r="E5626" s="1" t="s">
        <v>33</v>
      </c>
      <c r="F5626" s="1" t="s">
        <v>200</v>
      </c>
      <c r="G5626" s="5">
        <v>107.91</v>
      </c>
    </row>
    <row r="5627" spans="1:7" x14ac:dyDescent="0.2">
      <c r="A5627" s="3">
        <v>432</v>
      </c>
      <c r="B5627" s="2">
        <v>46617.120000000003</v>
      </c>
      <c r="C5627" s="38">
        <v>45037</v>
      </c>
      <c r="D5627" s="1" t="s">
        <v>237</v>
      </c>
      <c r="E5627" s="1" t="s">
        <v>33</v>
      </c>
      <c r="F5627" s="1" t="s">
        <v>200</v>
      </c>
      <c r="G5627" s="5">
        <v>107.91</v>
      </c>
    </row>
    <row r="5628" spans="1:7" x14ac:dyDescent="0.2">
      <c r="A5628" s="3">
        <v>432</v>
      </c>
      <c r="B5628" s="2">
        <v>46617.120000000003</v>
      </c>
      <c r="C5628" s="38">
        <v>45037</v>
      </c>
      <c r="D5628" s="1" t="s">
        <v>237</v>
      </c>
      <c r="E5628" s="1" t="s">
        <v>33</v>
      </c>
      <c r="F5628" s="1" t="s">
        <v>200</v>
      </c>
      <c r="G5628" s="5">
        <v>107.91</v>
      </c>
    </row>
    <row r="5629" spans="1:7" x14ac:dyDescent="0.2">
      <c r="A5629" s="3">
        <v>324</v>
      </c>
      <c r="B5629" s="2">
        <v>34962.839999999997</v>
      </c>
      <c r="C5629" s="38">
        <v>45037</v>
      </c>
      <c r="D5629" s="1" t="s">
        <v>237</v>
      </c>
      <c r="E5629" s="1" t="s">
        <v>33</v>
      </c>
      <c r="F5629" s="1" t="s">
        <v>200</v>
      </c>
      <c r="G5629" s="5">
        <v>107.91</v>
      </c>
    </row>
    <row r="5630" spans="1:7" x14ac:dyDescent="0.2">
      <c r="A5630" s="3">
        <v>432</v>
      </c>
      <c r="B5630" s="2">
        <v>46617.120000000003</v>
      </c>
      <c r="C5630" s="38">
        <v>45037</v>
      </c>
      <c r="D5630" s="1" t="s">
        <v>237</v>
      </c>
      <c r="E5630" s="1" t="s">
        <v>33</v>
      </c>
      <c r="F5630" s="1" t="s">
        <v>200</v>
      </c>
      <c r="G5630" s="5">
        <v>107.91</v>
      </c>
    </row>
    <row r="5631" spans="1:7" x14ac:dyDescent="0.2">
      <c r="A5631" s="3">
        <v>432</v>
      </c>
      <c r="B5631" s="2">
        <v>46617.120000000003</v>
      </c>
      <c r="C5631" s="38">
        <v>45037</v>
      </c>
      <c r="D5631" s="1" t="s">
        <v>237</v>
      </c>
      <c r="E5631" s="1" t="s">
        <v>33</v>
      </c>
      <c r="F5631" s="1" t="s">
        <v>200</v>
      </c>
      <c r="G5631" s="5">
        <v>107.91</v>
      </c>
    </row>
    <row r="5632" spans="1:7" x14ac:dyDescent="0.2">
      <c r="A5632" s="3">
        <v>140</v>
      </c>
      <c r="B5632" s="2">
        <v>60040.4</v>
      </c>
      <c r="C5632" s="38">
        <v>44970</v>
      </c>
      <c r="D5632" s="1" t="s">
        <v>255</v>
      </c>
      <c r="E5632" s="1" t="s">
        <v>33</v>
      </c>
      <c r="F5632" s="1" t="s">
        <v>200</v>
      </c>
      <c r="G5632" s="5">
        <v>428.86</v>
      </c>
    </row>
    <row r="5633" spans="1:7" x14ac:dyDescent="0.2">
      <c r="A5633" s="3">
        <v>1500</v>
      </c>
      <c r="B5633" s="2">
        <v>1830</v>
      </c>
      <c r="C5633" s="38">
        <v>44970</v>
      </c>
      <c r="D5633" s="1" t="s">
        <v>261</v>
      </c>
      <c r="E5633" s="1" t="s">
        <v>33</v>
      </c>
      <c r="F5633" s="1" t="s">
        <v>200</v>
      </c>
      <c r="G5633" s="5">
        <v>1.22</v>
      </c>
    </row>
    <row r="5634" spans="1:7" x14ac:dyDescent="0.2">
      <c r="A5634" s="3">
        <v>216</v>
      </c>
      <c r="B5634" s="2">
        <v>23308.560000000001</v>
      </c>
      <c r="C5634" s="38">
        <v>45037</v>
      </c>
      <c r="D5634" s="1" t="s">
        <v>237</v>
      </c>
      <c r="E5634" s="1" t="s">
        <v>33</v>
      </c>
      <c r="F5634" s="1" t="s">
        <v>200</v>
      </c>
      <c r="G5634" s="5">
        <v>107.91</v>
      </c>
    </row>
    <row r="5635" spans="1:7" x14ac:dyDescent="0.2">
      <c r="A5635" s="3">
        <v>324</v>
      </c>
      <c r="B5635" s="2">
        <v>34962.839999999997</v>
      </c>
      <c r="C5635" s="38">
        <v>45037</v>
      </c>
      <c r="D5635" s="1" t="s">
        <v>237</v>
      </c>
      <c r="E5635" s="1" t="s">
        <v>33</v>
      </c>
      <c r="F5635" s="1" t="s">
        <v>200</v>
      </c>
      <c r="G5635" s="5">
        <v>107.91</v>
      </c>
    </row>
    <row r="5636" spans="1:7" x14ac:dyDescent="0.2">
      <c r="A5636" s="3">
        <v>3000</v>
      </c>
      <c r="B5636" s="2">
        <v>3660</v>
      </c>
      <c r="C5636" s="38">
        <v>45037</v>
      </c>
      <c r="D5636" s="1" t="s">
        <v>261</v>
      </c>
      <c r="E5636" s="1" t="s">
        <v>33</v>
      </c>
      <c r="F5636" s="1" t="s">
        <v>200</v>
      </c>
      <c r="G5636" s="5">
        <v>1.22</v>
      </c>
    </row>
    <row r="5637" spans="1:7" x14ac:dyDescent="0.2">
      <c r="A5637" s="3">
        <v>96</v>
      </c>
      <c r="B5637" s="2">
        <v>19983.36</v>
      </c>
      <c r="C5637" s="38">
        <v>45037</v>
      </c>
      <c r="D5637" s="1" t="s">
        <v>297</v>
      </c>
      <c r="E5637" s="1" t="s">
        <v>33</v>
      </c>
      <c r="F5637" s="1" t="s">
        <v>200</v>
      </c>
      <c r="G5637" s="5">
        <v>208.16</v>
      </c>
    </row>
    <row r="5638" spans="1:7" x14ac:dyDescent="0.2">
      <c r="A5638" s="3">
        <v>768</v>
      </c>
      <c r="B5638" s="2">
        <v>116090.88</v>
      </c>
      <c r="C5638" s="38">
        <v>45037</v>
      </c>
      <c r="D5638" s="1" t="s">
        <v>347</v>
      </c>
      <c r="E5638" s="1" t="s">
        <v>33</v>
      </c>
      <c r="F5638" s="1" t="s">
        <v>200</v>
      </c>
      <c r="G5638" s="5">
        <v>151.16</v>
      </c>
    </row>
    <row r="5639" spans="1:7" x14ac:dyDescent="0.2">
      <c r="A5639" s="3">
        <v>432</v>
      </c>
      <c r="B5639" s="2">
        <v>46617.120000000003</v>
      </c>
      <c r="C5639" s="38">
        <v>45061</v>
      </c>
      <c r="D5639" s="1" t="s">
        <v>237</v>
      </c>
      <c r="E5639" s="1" t="s">
        <v>33</v>
      </c>
      <c r="F5639" s="1" t="s">
        <v>200</v>
      </c>
      <c r="G5639" s="5">
        <v>107.91</v>
      </c>
    </row>
    <row r="5640" spans="1:7" x14ac:dyDescent="0.2">
      <c r="A5640" s="3">
        <v>216</v>
      </c>
      <c r="B5640" s="2">
        <v>23308.560000000001</v>
      </c>
      <c r="C5640" s="38">
        <v>45061</v>
      </c>
      <c r="D5640" s="1" t="s">
        <v>237</v>
      </c>
      <c r="E5640" s="1" t="s">
        <v>33</v>
      </c>
      <c r="F5640" s="1" t="s">
        <v>200</v>
      </c>
      <c r="G5640" s="5">
        <v>107.91</v>
      </c>
    </row>
    <row r="5641" spans="1:7" x14ac:dyDescent="0.2">
      <c r="A5641" s="3">
        <v>324</v>
      </c>
      <c r="B5641" s="2">
        <v>34962.839999999997</v>
      </c>
      <c r="C5641" s="38">
        <v>45061</v>
      </c>
      <c r="D5641" s="1" t="s">
        <v>237</v>
      </c>
      <c r="E5641" s="1" t="s">
        <v>33</v>
      </c>
      <c r="F5641" s="1" t="s">
        <v>200</v>
      </c>
      <c r="G5641" s="5">
        <v>107.91</v>
      </c>
    </row>
    <row r="5642" spans="1:7" x14ac:dyDescent="0.2">
      <c r="A5642" s="3">
        <v>82</v>
      </c>
      <c r="B5642" s="2">
        <v>36958.22</v>
      </c>
      <c r="C5642" s="38">
        <v>45061</v>
      </c>
      <c r="D5642" s="1" t="s">
        <v>240</v>
      </c>
      <c r="E5642" s="1" t="s">
        <v>33</v>
      </c>
      <c r="F5642" s="1" t="s">
        <v>200</v>
      </c>
      <c r="G5642" s="5">
        <v>450.71</v>
      </c>
    </row>
    <row r="5643" spans="1:7" x14ac:dyDescent="0.2">
      <c r="A5643" s="3">
        <v>240</v>
      </c>
      <c r="B5643" s="2">
        <v>108170.4</v>
      </c>
      <c r="C5643" s="38">
        <v>45061</v>
      </c>
      <c r="D5643" s="1" t="s">
        <v>240</v>
      </c>
      <c r="E5643" s="1" t="s">
        <v>33</v>
      </c>
      <c r="F5643" s="1" t="s">
        <v>200</v>
      </c>
      <c r="G5643" s="5">
        <v>450.71</v>
      </c>
    </row>
    <row r="5644" spans="1:7" x14ac:dyDescent="0.2">
      <c r="A5644" s="3">
        <v>432</v>
      </c>
      <c r="B5644" s="2">
        <v>46617.120000000003</v>
      </c>
      <c r="C5644" s="38">
        <v>44978</v>
      </c>
      <c r="D5644" s="1" t="s">
        <v>237</v>
      </c>
      <c r="E5644" s="1" t="s">
        <v>33</v>
      </c>
      <c r="F5644" s="1" t="s">
        <v>200</v>
      </c>
      <c r="G5644" s="5">
        <v>107.91</v>
      </c>
    </row>
    <row r="5645" spans="1:7" x14ac:dyDescent="0.2">
      <c r="A5645" s="3">
        <v>108</v>
      </c>
      <c r="B5645" s="2">
        <v>11654.28</v>
      </c>
      <c r="C5645" s="38">
        <v>44978</v>
      </c>
      <c r="D5645" s="1" t="s">
        <v>237</v>
      </c>
      <c r="E5645" s="1" t="s">
        <v>33</v>
      </c>
      <c r="F5645" s="1" t="s">
        <v>200</v>
      </c>
      <c r="G5645" s="5">
        <v>107.91</v>
      </c>
    </row>
    <row r="5646" spans="1:7" x14ac:dyDescent="0.2">
      <c r="A5646" s="3">
        <v>108</v>
      </c>
      <c r="B5646" s="2">
        <v>11654.28</v>
      </c>
      <c r="C5646" s="38">
        <v>44978</v>
      </c>
      <c r="D5646" s="1" t="s">
        <v>237</v>
      </c>
      <c r="E5646" s="1" t="s">
        <v>33</v>
      </c>
      <c r="F5646" s="1" t="s">
        <v>200</v>
      </c>
      <c r="G5646" s="5">
        <v>107.91</v>
      </c>
    </row>
    <row r="5647" spans="1:7" x14ac:dyDescent="0.2">
      <c r="A5647" s="3">
        <v>252</v>
      </c>
      <c r="B5647" s="2">
        <v>21606.48</v>
      </c>
      <c r="C5647" s="38">
        <v>45041</v>
      </c>
      <c r="D5647" s="1" t="s">
        <v>243</v>
      </c>
      <c r="E5647" s="1" t="s">
        <v>33</v>
      </c>
      <c r="F5647" s="1" t="s">
        <v>200</v>
      </c>
      <c r="G5647" s="5">
        <v>85.74</v>
      </c>
    </row>
    <row r="5648" spans="1:7" x14ac:dyDescent="0.2">
      <c r="A5648" s="3">
        <v>252</v>
      </c>
      <c r="B5648" s="2">
        <v>21606.48</v>
      </c>
      <c r="C5648" s="38">
        <v>45041</v>
      </c>
      <c r="D5648" s="1" t="s">
        <v>243</v>
      </c>
      <c r="E5648" s="1" t="s">
        <v>33</v>
      </c>
      <c r="F5648" s="1" t="s">
        <v>200</v>
      </c>
      <c r="G5648" s="5">
        <v>85.74</v>
      </c>
    </row>
    <row r="5649" spans="1:7" x14ac:dyDescent="0.2">
      <c r="A5649" s="3">
        <v>90</v>
      </c>
      <c r="B5649" s="2">
        <v>39505.5</v>
      </c>
      <c r="C5649" s="38">
        <v>45061</v>
      </c>
      <c r="D5649" s="1" t="s">
        <v>248</v>
      </c>
      <c r="E5649" s="1" t="s">
        <v>33</v>
      </c>
      <c r="F5649" s="1" t="s">
        <v>200</v>
      </c>
      <c r="G5649" s="5">
        <v>438.95</v>
      </c>
    </row>
    <row r="5650" spans="1:7" x14ac:dyDescent="0.2">
      <c r="A5650" s="3">
        <v>1500</v>
      </c>
      <c r="B5650" s="2">
        <v>1830</v>
      </c>
      <c r="C5650" s="38">
        <v>45061</v>
      </c>
      <c r="D5650" s="1" t="s">
        <v>261</v>
      </c>
      <c r="E5650" s="1" t="s">
        <v>33</v>
      </c>
      <c r="F5650" s="1" t="s">
        <v>200</v>
      </c>
      <c r="G5650" s="5">
        <v>1.22</v>
      </c>
    </row>
    <row r="5651" spans="1:7" x14ac:dyDescent="0.2">
      <c r="A5651" s="3">
        <v>3000</v>
      </c>
      <c r="B5651" s="2">
        <v>3660</v>
      </c>
      <c r="C5651" s="38">
        <v>45061</v>
      </c>
      <c r="D5651" s="1" t="s">
        <v>261</v>
      </c>
      <c r="E5651" s="1" t="s">
        <v>33</v>
      </c>
      <c r="F5651" s="1" t="s">
        <v>200</v>
      </c>
      <c r="G5651" s="5">
        <v>1.22</v>
      </c>
    </row>
    <row r="5652" spans="1:7" x14ac:dyDescent="0.2">
      <c r="A5652" s="3">
        <v>160</v>
      </c>
      <c r="B5652" s="2">
        <v>139390.39999999999</v>
      </c>
      <c r="C5652" s="38">
        <v>45061</v>
      </c>
      <c r="D5652" s="1" t="s">
        <v>323</v>
      </c>
      <c r="E5652" s="1" t="s">
        <v>33</v>
      </c>
      <c r="F5652" s="1" t="s">
        <v>200</v>
      </c>
      <c r="G5652" s="5">
        <v>871.19</v>
      </c>
    </row>
    <row r="5653" spans="1:7" x14ac:dyDescent="0.2">
      <c r="A5653" s="3">
        <v>1500</v>
      </c>
      <c r="B5653" s="2">
        <v>1860</v>
      </c>
      <c r="C5653" s="38">
        <v>44978</v>
      </c>
      <c r="D5653" s="1" t="s">
        <v>262</v>
      </c>
      <c r="E5653" s="1" t="s">
        <v>33</v>
      </c>
      <c r="F5653" s="1" t="s">
        <v>200</v>
      </c>
      <c r="G5653" s="5">
        <v>1.24</v>
      </c>
    </row>
    <row r="5654" spans="1:7" x14ac:dyDescent="0.2">
      <c r="A5654" s="3">
        <v>252</v>
      </c>
      <c r="B5654" s="2">
        <v>20099.52</v>
      </c>
      <c r="C5654" s="38">
        <v>44981</v>
      </c>
      <c r="D5654" s="1" t="s">
        <v>243</v>
      </c>
      <c r="E5654" s="1" t="s">
        <v>33</v>
      </c>
      <c r="F5654" s="1" t="s">
        <v>200</v>
      </c>
      <c r="G5654" s="5">
        <v>79.760000000000005</v>
      </c>
    </row>
    <row r="5655" spans="1:7" x14ac:dyDescent="0.2">
      <c r="A5655" s="3">
        <v>1500</v>
      </c>
      <c r="B5655" s="2">
        <v>1965</v>
      </c>
      <c r="C5655" s="38">
        <v>44981</v>
      </c>
      <c r="D5655" s="1" t="s">
        <v>262</v>
      </c>
      <c r="E5655" s="1" t="s">
        <v>33</v>
      </c>
      <c r="F5655" s="1" t="s">
        <v>200</v>
      </c>
      <c r="G5655" s="5">
        <v>1.31</v>
      </c>
    </row>
    <row r="5656" spans="1:7" x14ac:dyDescent="0.2">
      <c r="A5656" s="3">
        <v>30</v>
      </c>
      <c r="B5656" s="2">
        <v>13168.5</v>
      </c>
      <c r="C5656" s="38">
        <v>45041</v>
      </c>
      <c r="D5656" s="1" t="s">
        <v>248</v>
      </c>
      <c r="E5656" s="1" t="s">
        <v>33</v>
      </c>
      <c r="F5656" s="1" t="s">
        <v>200</v>
      </c>
      <c r="G5656" s="5">
        <v>438.95</v>
      </c>
    </row>
    <row r="5657" spans="1:7" x14ac:dyDescent="0.2">
      <c r="A5657" s="3">
        <v>588</v>
      </c>
      <c r="B5657" s="2">
        <v>79585.8</v>
      </c>
      <c r="C5657" s="38">
        <v>45041</v>
      </c>
      <c r="D5657" s="1" t="s">
        <v>299</v>
      </c>
      <c r="E5657" s="1" t="s">
        <v>33</v>
      </c>
      <c r="F5657" s="1" t="s">
        <v>200</v>
      </c>
      <c r="G5657" s="5">
        <v>135.35</v>
      </c>
    </row>
    <row r="5658" spans="1:7" x14ac:dyDescent="0.2">
      <c r="A5658" s="3">
        <v>140</v>
      </c>
      <c r="B5658" s="2">
        <v>60040.4</v>
      </c>
      <c r="C5658" s="38">
        <v>45041</v>
      </c>
      <c r="D5658" s="1" t="s">
        <v>255</v>
      </c>
      <c r="E5658" s="1" t="s">
        <v>33</v>
      </c>
      <c r="F5658" s="1" t="s">
        <v>200</v>
      </c>
      <c r="G5658" s="5">
        <v>428.86</v>
      </c>
    </row>
    <row r="5659" spans="1:7" x14ac:dyDescent="0.2">
      <c r="A5659" s="3">
        <v>140</v>
      </c>
      <c r="B5659" s="2">
        <v>60040.4</v>
      </c>
      <c r="C5659" s="38">
        <v>45041</v>
      </c>
      <c r="D5659" s="1" t="s">
        <v>255</v>
      </c>
      <c r="E5659" s="1" t="s">
        <v>33</v>
      </c>
      <c r="F5659" s="1" t="s">
        <v>200</v>
      </c>
      <c r="G5659" s="5">
        <v>428.86</v>
      </c>
    </row>
    <row r="5660" spans="1:7" x14ac:dyDescent="0.2">
      <c r="A5660" s="3">
        <v>140</v>
      </c>
      <c r="B5660" s="2">
        <v>60040.4</v>
      </c>
      <c r="C5660" s="38">
        <v>45041</v>
      </c>
      <c r="D5660" s="1" t="s">
        <v>255</v>
      </c>
      <c r="E5660" s="1" t="s">
        <v>33</v>
      </c>
      <c r="F5660" s="1" t="s">
        <v>200</v>
      </c>
      <c r="G5660" s="5">
        <v>428.86</v>
      </c>
    </row>
    <row r="5661" spans="1:7" x14ac:dyDescent="0.2">
      <c r="A5661" s="3">
        <v>156</v>
      </c>
      <c r="B5661" s="2">
        <v>15375.36</v>
      </c>
      <c r="C5661" s="38">
        <v>45041</v>
      </c>
      <c r="D5661" s="1" t="s">
        <v>266</v>
      </c>
      <c r="E5661" s="1" t="s">
        <v>33</v>
      </c>
      <c r="F5661" s="1" t="s">
        <v>200</v>
      </c>
      <c r="G5661" s="5">
        <v>98.56</v>
      </c>
    </row>
    <row r="5662" spans="1:7" x14ac:dyDescent="0.2">
      <c r="A5662" s="3">
        <v>60</v>
      </c>
      <c r="B5662" s="2">
        <v>51442.2</v>
      </c>
      <c r="C5662" s="38">
        <v>45061</v>
      </c>
      <c r="D5662" s="1" t="s">
        <v>267</v>
      </c>
      <c r="E5662" s="1" t="s">
        <v>33</v>
      </c>
      <c r="F5662" s="1" t="s">
        <v>200</v>
      </c>
      <c r="G5662" s="5">
        <v>857.37</v>
      </c>
    </row>
    <row r="5663" spans="1:7" x14ac:dyDescent="0.2">
      <c r="A5663" s="3">
        <v>60</v>
      </c>
      <c r="B5663" s="2">
        <v>51442.2</v>
      </c>
      <c r="C5663" s="38">
        <v>45061</v>
      </c>
      <c r="D5663" s="1" t="s">
        <v>267</v>
      </c>
      <c r="E5663" s="1" t="s">
        <v>33</v>
      </c>
      <c r="F5663" s="1" t="s">
        <v>200</v>
      </c>
      <c r="G5663" s="5">
        <v>857.37</v>
      </c>
    </row>
    <row r="5664" spans="1:7" x14ac:dyDescent="0.2">
      <c r="A5664" s="3">
        <v>45</v>
      </c>
      <c r="B5664" s="2">
        <v>38581.65</v>
      </c>
      <c r="C5664" s="38">
        <v>45061</v>
      </c>
      <c r="D5664" s="1" t="s">
        <v>267</v>
      </c>
      <c r="E5664" s="1" t="s">
        <v>33</v>
      </c>
      <c r="F5664" s="1" t="s">
        <v>200</v>
      </c>
      <c r="G5664" s="5">
        <v>857.37</v>
      </c>
    </row>
    <row r="5665" spans="1:7" x14ac:dyDescent="0.2">
      <c r="A5665" s="3">
        <v>30</v>
      </c>
      <c r="B5665" s="2">
        <v>13216.2</v>
      </c>
      <c r="C5665" s="38">
        <v>44699</v>
      </c>
      <c r="D5665" s="1" t="s">
        <v>248</v>
      </c>
      <c r="E5665" s="1" t="s">
        <v>33</v>
      </c>
      <c r="F5665" s="1" t="s">
        <v>200</v>
      </c>
      <c r="G5665" s="5">
        <v>440.54</v>
      </c>
    </row>
    <row r="5666" spans="1:7" x14ac:dyDescent="0.2">
      <c r="A5666" s="3">
        <v>2000</v>
      </c>
      <c r="B5666" s="2">
        <v>3880</v>
      </c>
      <c r="C5666" s="38">
        <v>44929</v>
      </c>
      <c r="D5666" s="1" t="s">
        <v>238</v>
      </c>
      <c r="E5666" s="1" t="s">
        <v>33</v>
      </c>
      <c r="F5666" s="1" t="s">
        <v>200</v>
      </c>
      <c r="G5666" s="5">
        <v>1.94</v>
      </c>
    </row>
    <row r="5667" spans="1:7" x14ac:dyDescent="0.2">
      <c r="A5667" s="3">
        <v>3024</v>
      </c>
      <c r="B5667" s="2">
        <v>126493.92</v>
      </c>
      <c r="C5667" s="38">
        <v>44929</v>
      </c>
      <c r="D5667" s="1" t="s">
        <v>242</v>
      </c>
      <c r="E5667" s="1" t="s">
        <v>33</v>
      </c>
      <c r="F5667" s="1" t="s">
        <v>200</v>
      </c>
      <c r="G5667" s="5">
        <v>41.83</v>
      </c>
    </row>
    <row r="5668" spans="1:7" x14ac:dyDescent="0.2">
      <c r="A5668" s="3">
        <v>30</v>
      </c>
      <c r="B5668" s="2">
        <v>13216.2</v>
      </c>
      <c r="C5668" s="38">
        <v>44929</v>
      </c>
      <c r="D5668" s="1" t="s">
        <v>248</v>
      </c>
      <c r="E5668" s="1" t="s">
        <v>33</v>
      </c>
      <c r="F5668" s="1" t="s">
        <v>200</v>
      </c>
      <c r="G5668" s="5">
        <v>440.54</v>
      </c>
    </row>
    <row r="5669" spans="1:7" x14ac:dyDescent="0.2">
      <c r="A5669" s="3">
        <v>4500</v>
      </c>
      <c r="B5669" s="2">
        <v>2915.55</v>
      </c>
      <c r="C5669" s="38">
        <v>44929</v>
      </c>
      <c r="D5669" s="1" t="s">
        <v>263</v>
      </c>
      <c r="E5669" s="1" t="s">
        <v>33</v>
      </c>
      <c r="F5669" s="1" t="s">
        <v>200</v>
      </c>
      <c r="G5669" s="5">
        <v>0.64790000000000003</v>
      </c>
    </row>
    <row r="5670" spans="1:7" x14ac:dyDescent="0.2">
      <c r="A5670" s="3">
        <v>216</v>
      </c>
      <c r="B5670" s="2">
        <v>21288.959999999999</v>
      </c>
      <c r="C5670" s="38">
        <v>45041</v>
      </c>
      <c r="D5670" s="1" t="s">
        <v>266</v>
      </c>
      <c r="E5670" s="1" t="s">
        <v>33</v>
      </c>
      <c r="F5670" s="1" t="s">
        <v>200</v>
      </c>
      <c r="G5670" s="5">
        <v>98.56</v>
      </c>
    </row>
    <row r="5671" spans="1:7" x14ac:dyDescent="0.2">
      <c r="A5671" s="3">
        <v>156</v>
      </c>
      <c r="B5671" s="2">
        <v>15375.36</v>
      </c>
      <c r="C5671" s="38">
        <v>45041</v>
      </c>
      <c r="D5671" s="1" t="s">
        <v>266</v>
      </c>
      <c r="E5671" s="1" t="s">
        <v>33</v>
      </c>
      <c r="F5671" s="1" t="s">
        <v>200</v>
      </c>
      <c r="G5671" s="5">
        <v>98.56</v>
      </c>
    </row>
    <row r="5672" spans="1:7" x14ac:dyDescent="0.2">
      <c r="A5672" s="3">
        <v>108</v>
      </c>
      <c r="B5672" s="2">
        <v>10644.48</v>
      </c>
      <c r="C5672" s="38">
        <v>45041</v>
      </c>
      <c r="D5672" s="1" t="s">
        <v>266</v>
      </c>
      <c r="E5672" s="1" t="s">
        <v>33</v>
      </c>
      <c r="F5672" s="1" t="s">
        <v>200</v>
      </c>
      <c r="G5672" s="5">
        <v>98.56</v>
      </c>
    </row>
    <row r="5673" spans="1:7" x14ac:dyDescent="0.2">
      <c r="A5673" s="3">
        <v>156</v>
      </c>
      <c r="B5673" s="2">
        <v>15375.36</v>
      </c>
      <c r="C5673" s="38">
        <v>45041</v>
      </c>
      <c r="D5673" s="1" t="s">
        <v>266</v>
      </c>
      <c r="E5673" s="1" t="s">
        <v>33</v>
      </c>
      <c r="F5673" s="1" t="s">
        <v>200</v>
      </c>
      <c r="G5673" s="5">
        <v>98.56</v>
      </c>
    </row>
    <row r="5674" spans="1:7" x14ac:dyDescent="0.2">
      <c r="A5674" s="3">
        <v>156</v>
      </c>
      <c r="B5674" s="2">
        <v>15375.36</v>
      </c>
      <c r="C5674" s="38">
        <v>45041</v>
      </c>
      <c r="D5674" s="1" t="s">
        <v>266</v>
      </c>
      <c r="E5674" s="1" t="s">
        <v>33</v>
      </c>
      <c r="F5674" s="1" t="s">
        <v>200</v>
      </c>
      <c r="G5674" s="5">
        <v>98.56</v>
      </c>
    </row>
    <row r="5675" spans="1:7" x14ac:dyDescent="0.2">
      <c r="A5675" s="3">
        <v>156</v>
      </c>
      <c r="B5675" s="2">
        <v>15375.36</v>
      </c>
      <c r="C5675" s="38">
        <v>45041</v>
      </c>
      <c r="D5675" s="1" t="s">
        <v>266</v>
      </c>
      <c r="E5675" s="1" t="s">
        <v>33</v>
      </c>
      <c r="F5675" s="1" t="s">
        <v>200</v>
      </c>
      <c r="G5675" s="5">
        <v>98.56</v>
      </c>
    </row>
    <row r="5676" spans="1:7" x14ac:dyDescent="0.2">
      <c r="A5676" s="3">
        <v>144</v>
      </c>
      <c r="B5676" s="2">
        <v>29975.040000000001</v>
      </c>
      <c r="C5676" s="38">
        <v>45041</v>
      </c>
      <c r="D5676" s="1" t="s">
        <v>297</v>
      </c>
      <c r="E5676" s="1" t="s">
        <v>33</v>
      </c>
      <c r="F5676" s="1" t="s">
        <v>200</v>
      </c>
      <c r="G5676" s="5">
        <v>208.16</v>
      </c>
    </row>
    <row r="5677" spans="1:7" x14ac:dyDescent="0.2">
      <c r="A5677" s="3">
        <v>90</v>
      </c>
      <c r="B5677" s="2">
        <v>39648.6</v>
      </c>
      <c r="C5677" s="38">
        <v>44678</v>
      </c>
      <c r="D5677" s="1" t="s">
        <v>248</v>
      </c>
      <c r="E5677" s="1" t="s">
        <v>33</v>
      </c>
      <c r="F5677" s="1" t="s">
        <v>200</v>
      </c>
      <c r="G5677" s="5">
        <v>440.54</v>
      </c>
    </row>
    <row r="5678" spans="1:7" x14ac:dyDescent="0.2">
      <c r="A5678" s="3">
        <v>60</v>
      </c>
      <c r="B5678" s="2">
        <v>26432.400000000001</v>
      </c>
      <c r="C5678" s="38">
        <v>44678</v>
      </c>
      <c r="D5678" s="1" t="s">
        <v>248</v>
      </c>
      <c r="E5678" s="1" t="s">
        <v>33</v>
      </c>
      <c r="F5678" s="1" t="s">
        <v>200</v>
      </c>
      <c r="G5678" s="5">
        <v>440.54</v>
      </c>
    </row>
    <row r="5679" spans="1:7" x14ac:dyDescent="0.2">
      <c r="A5679" s="3">
        <v>60</v>
      </c>
      <c r="B5679" s="2">
        <v>26432.400000000001</v>
      </c>
      <c r="C5679" s="38">
        <v>44678</v>
      </c>
      <c r="D5679" s="1" t="s">
        <v>248</v>
      </c>
      <c r="E5679" s="1" t="s">
        <v>33</v>
      </c>
      <c r="F5679" s="1" t="s">
        <v>200</v>
      </c>
      <c r="G5679" s="5">
        <v>440.54</v>
      </c>
    </row>
    <row r="5680" spans="1:7" x14ac:dyDescent="0.2">
      <c r="A5680" s="3">
        <v>30</v>
      </c>
      <c r="B5680" s="2">
        <v>13216.2</v>
      </c>
      <c r="C5680" s="38">
        <v>44678</v>
      </c>
      <c r="D5680" s="1" t="s">
        <v>248</v>
      </c>
      <c r="E5680" s="1" t="s">
        <v>33</v>
      </c>
      <c r="F5680" s="1" t="s">
        <v>200</v>
      </c>
      <c r="G5680" s="5">
        <v>440.54</v>
      </c>
    </row>
    <row r="5681" spans="1:7" x14ac:dyDescent="0.2">
      <c r="A5681" s="3">
        <v>60</v>
      </c>
      <c r="B5681" s="2">
        <v>26432.400000000001</v>
      </c>
      <c r="C5681" s="38">
        <v>44678</v>
      </c>
      <c r="D5681" s="1" t="s">
        <v>248</v>
      </c>
      <c r="E5681" s="1" t="s">
        <v>33</v>
      </c>
      <c r="F5681" s="1" t="s">
        <v>200</v>
      </c>
      <c r="G5681" s="5">
        <v>440.54</v>
      </c>
    </row>
    <row r="5682" spans="1:7" x14ac:dyDescent="0.2">
      <c r="A5682" s="3">
        <v>216</v>
      </c>
      <c r="B5682" s="2">
        <v>23308.560000000001</v>
      </c>
      <c r="C5682" s="38">
        <v>45072</v>
      </c>
      <c r="D5682" s="1" t="s">
        <v>237</v>
      </c>
      <c r="E5682" s="1" t="s">
        <v>33</v>
      </c>
      <c r="F5682" s="1" t="s">
        <v>200</v>
      </c>
      <c r="G5682" s="5">
        <v>107.91</v>
      </c>
    </row>
    <row r="5683" spans="1:7" x14ac:dyDescent="0.2">
      <c r="A5683" s="3">
        <v>432</v>
      </c>
      <c r="B5683" s="2">
        <v>46617.120000000003</v>
      </c>
      <c r="C5683" s="38">
        <v>45072</v>
      </c>
      <c r="D5683" s="1" t="s">
        <v>237</v>
      </c>
      <c r="E5683" s="1" t="s">
        <v>33</v>
      </c>
      <c r="F5683" s="1" t="s">
        <v>200</v>
      </c>
      <c r="G5683" s="5">
        <v>107.91</v>
      </c>
    </row>
    <row r="5684" spans="1:7" x14ac:dyDescent="0.2">
      <c r="A5684" s="3">
        <v>324</v>
      </c>
      <c r="B5684" s="2">
        <v>34962.839999999997</v>
      </c>
      <c r="C5684" s="38">
        <v>45072</v>
      </c>
      <c r="D5684" s="1" t="s">
        <v>237</v>
      </c>
      <c r="E5684" s="1" t="s">
        <v>33</v>
      </c>
      <c r="F5684" s="1" t="s">
        <v>200</v>
      </c>
      <c r="G5684" s="5">
        <v>107.91</v>
      </c>
    </row>
    <row r="5685" spans="1:7" x14ac:dyDescent="0.2">
      <c r="A5685" s="3">
        <v>432</v>
      </c>
      <c r="B5685" s="2">
        <v>46617.120000000003</v>
      </c>
      <c r="C5685" s="38">
        <v>45072</v>
      </c>
      <c r="D5685" s="1" t="s">
        <v>237</v>
      </c>
      <c r="E5685" s="1" t="s">
        <v>33</v>
      </c>
      <c r="F5685" s="1" t="s">
        <v>200</v>
      </c>
      <c r="G5685" s="5">
        <v>107.91</v>
      </c>
    </row>
    <row r="5686" spans="1:7" x14ac:dyDescent="0.2">
      <c r="A5686" s="3">
        <v>38</v>
      </c>
      <c r="B5686" s="2">
        <v>17126.98</v>
      </c>
      <c r="C5686" s="38">
        <v>45072</v>
      </c>
      <c r="D5686" s="1" t="s">
        <v>240</v>
      </c>
      <c r="E5686" s="1" t="s">
        <v>33</v>
      </c>
      <c r="F5686" s="1" t="s">
        <v>200</v>
      </c>
      <c r="G5686" s="5">
        <v>450.71</v>
      </c>
    </row>
    <row r="5687" spans="1:7" x14ac:dyDescent="0.2">
      <c r="A5687" s="3">
        <v>252</v>
      </c>
      <c r="B5687" s="2">
        <v>21606.48</v>
      </c>
      <c r="C5687" s="38">
        <v>45072</v>
      </c>
      <c r="D5687" s="1" t="s">
        <v>243</v>
      </c>
      <c r="E5687" s="1" t="s">
        <v>33</v>
      </c>
      <c r="F5687" s="1" t="s">
        <v>200</v>
      </c>
      <c r="G5687" s="5">
        <v>85.74</v>
      </c>
    </row>
    <row r="5688" spans="1:7" x14ac:dyDescent="0.2">
      <c r="A5688" s="3">
        <v>252</v>
      </c>
      <c r="B5688" s="2">
        <v>21606.48</v>
      </c>
      <c r="C5688" s="38">
        <v>45072</v>
      </c>
      <c r="D5688" s="1" t="s">
        <v>243</v>
      </c>
      <c r="E5688" s="1" t="s">
        <v>33</v>
      </c>
      <c r="F5688" s="1" t="s">
        <v>200</v>
      </c>
      <c r="G5688" s="5">
        <v>85.74</v>
      </c>
    </row>
    <row r="5689" spans="1:7" x14ac:dyDescent="0.2">
      <c r="A5689" s="3">
        <v>420</v>
      </c>
      <c r="B5689" s="2">
        <v>318922.8</v>
      </c>
      <c r="C5689" s="38">
        <v>45072</v>
      </c>
      <c r="D5689" s="1" t="s">
        <v>265</v>
      </c>
      <c r="E5689" s="1" t="s">
        <v>33</v>
      </c>
      <c r="F5689" s="1" t="s">
        <v>200</v>
      </c>
      <c r="G5689" s="5">
        <v>759.34</v>
      </c>
    </row>
    <row r="5690" spans="1:7" x14ac:dyDescent="0.2">
      <c r="A5690" s="3">
        <v>216</v>
      </c>
      <c r="B5690" s="2">
        <v>21288.959999999999</v>
      </c>
      <c r="C5690" s="38">
        <v>45072</v>
      </c>
      <c r="D5690" s="1" t="s">
        <v>266</v>
      </c>
      <c r="E5690" s="1" t="s">
        <v>33</v>
      </c>
      <c r="F5690" s="1" t="s">
        <v>200</v>
      </c>
      <c r="G5690" s="5">
        <v>98.56</v>
      </c>
    </row>
    <row r="5691" spans="1:7" x14ac:dyDescent="0.2">
      <c r="A5691" s="3">
        <v>432</v>
      </c>
      <c r="B5691" s="2">
        <v>42577.919999999998</v>
      </c>
      <c r="C5691" s="38">
        <v>45072</v>
      </c>
      <c r="D5691" s="1" t="s">
        <v>266</v>
      </c>
      <c r="E5691" s="1" t="s">
        <v>33</v>
      </c>
      <c r="F5691" s="1" t="s">
        <v>200</v>
      </c>
      <c r="G5691" s="5">
        <v>98.56</v>
      </c>
    </row>
    <row r="5692" spans="1:7" x14ac:dyDescent="0.2">
      <c r="A5692" s="3">
        <v>420</v>
      </c>
      <c r="B5692" s="2">
        <v>318922.8</v>
      </c>
      <c r="C5692" s="38">
        <v>45132</v>
      </c>
      <c r="D5692" s="1" t="s">
        <v>265</v>
      </c>
      <c r="E5692" s="1" t="s">
        <v>33</v>
      </c>
      <c r="F5692" s="1" t="s">
        <v>200</v>
      </c>
      <c r="G5692" s="5">
        <v>759.34</v>
      </c>
    </row>
    <row r="5693" spans="1:7" x14ac:dyDescent="0.2">
      <c r="A5693" s="3">
        <v>768</v>
      </c>
      <c r="B5693" s="2">
        <v>116090.88</v>
      </c>
      <c r="C5693" s="38">
        <v>45132</v>
      </c>
      <c r="D5693" s="1" t="s">
        <v>356</v>
      </c>
      <c r="E5693" s="1" t="s">
        <v>33</v>
      </c>
      <c r="F5693" s="1" t="s">
        <v>200</v>
      </c>
      <c r="G5693" s="5">
        <v>151.16</v>
      </c>
    </row>
    <row r="5694" spans="1:7" x14ac:dyDescent="0.2">
      <c r="A5694" s="3">
        <v>324</v>
      </c>
      <c r="B5694" s="2">
        <v>149270.04</v>
      </c>
      <c r="C5694" s="38">
        <v>45132</v>
      </c>
      <c r="D5694" s="1" t="s">
        <v>304</v>
      </c>
      <c r="E5694" s="1" t="s">
        <v>33</v>
      </c>
      <c r="F5694" s="1" t="s">
        <v>200</v>
      </c>
      <c r="G5694" s="5">
        <v>460.71</v>
      </c>
    </row>
    <row r="5695" spans="1:7" x14ac:dyDescent="0.2">
      <c r="A5695" s="3">
        <v>288</v>
      </c>
      <c r="B5695" s="2">
        <v>132684.48000000001</v>
      </c>
      <c r="C5695" s="38">
        <v>45132</v>
      </c>
      <c r="D5695" s="1" t="s">
        <v>304</v>
      </c>
      <c r="E5695" s="1" t="s">
        <v>33</v>
      </c>
      <c r="F5695" s="1" t="s">
        <v>200</v>
      </c>
      <c r="G5695" s="5">
        <v>460.71</v>
      </c>
    </row>
    <row r="5696" spans="1:7" x14ac:dyDescent="0.2">
      <c r="A5696" s="3">
        <v>360</v>
      </c>
      <c r="B5696" s="2">
        <v>165855.6</v>
      </c>
      <c r="C5696" s="38">
        <v>45132</v>
      </c>
      <c r="D5696" s="1" t="s">
        <v>304</v>
      </c>
      <c r="E5696" s="1" t="s">
        <v>33</v>
      </c>
      <c r="F5696" s="1" t="s">
        <v>200</v>
      </c>
      <c r="G5696" s="5">
        <v>460.71</v>
      </c>
    </row>
    <row r="5697" spans="1:7" x14ac:dyDescent="0.2">
      <c r="A5697" s="3">
        <v>360</v>
      </c>
      <c r="B5697" s="2">
        <v>165855.6</v>
      </c>
      <c r="C5697" s="38">
        <v>45132</v>
      </c>
      <c r="D5697" s="1" t="s">
        <v>304</v>
      </c>
      <c r="E5697" s="1" t="s">
        <v>33</v>
      </c>
      <c r="F5697" s="1" t="s">
        <v>200</v>
      </c>
      <c r="G5697" s="5">
        <v>460.71</v>
      </c>
    </row>
    <row r="5698" spans="1:7" x14ac:dyDescent="0.2">
      <c r="A5698" s="3">
        <v>288</v>
      </c>
      <c r="B5698" s="2">
        <v>132684.48000000001</v>
      </c>
      <c r="C5698" s="38">
        <v>45132</v>
      </c>
      <c r="D5698" s="1" t="s">
        <v>304</v>
      </c>
      <c r="E5698" s="1" t="s">
        <v>33</v>
      </c>
      <c r="F5698" s="1" t="s">
        <v>200</v>
      </c>
      <c r="G5698" s="5">
        <v>460.71</v>
      </c>
    </row>
    <row r="5699" spans="1:7" x14ac:dyDescent="0.2">
      <c r="A5699" s="3">
        <v>360</v>
      </c>
      <c r="B5699" s="2">
        <v>165855.6</v>
      </c>
      <c r="C5699" s="38">
        <v>45132</v>
      </c>
      <c r="D5699" s="1" t="s">
        <v>304</v>
      </c>
      <c r="E5699" s="1" t="s">
        <v>33</v>
      </c>
      <c r="F5699" s="1" t="s">
        <v>200</v>
      </c>
      <c r="G5699" s="5">
        <v>460.71</v>
      </c>
    </row>
    <row r="5700" spans="1:7" x14ac:dyDescent="0.2">
      <c r="A5700" s="3">
        <v>36</v>
      </c>
      <c r="B5700" s="2">
        <v>16585.560000000001</v>
      </c>
      <c r="C5700" s="38">
        <v>45132</v>
      </c>
      <c r="D5700" s="1" t="s">
        <v>304</v>
      </c>
      <c r="E5700" s="1" t="s">
        <v>33</v>
      </c>
      <c r="F5700" s="1" t="s">
        <v>200</v>
      </c>
      <c r="G5700" s="5">
        <v>460.71</v>
      </c>
    </row>
    <row r="5701" spans="1:7" x14ac:dyDescent="0.2">
      <c r="A5701" s="3">
        <v>819</v>
      </c>
      <c r="B5701" s="2">
        <v>338967.72</v>
      </c>
      <c r="C5701" s="38">
        <v>45175</v>
      </c>
      <c r="D5701" s="1" t="s">
        <v>303</v>
      </c>
      <c r="E5701" s="1" t="s">
        <v>33</v>
      </c>
      <c r="F5701" s="1" t="s">
        <v>200</v>
      </c>
      <c r="G5701" s="5">
        <v>413.88</v>
      </c>
    </row>
    <row r="5702" spans="1:7" x14ac:dyDescent="0.2">
      <c r="A5702" s="3">
        <v>3780</v>
      </c>
      <c r="B5702" s="2">
        <v>52466.400000000001</v>
      </c>
      <c r="C5702" s="38">
        <v>44816</v>
      </c>
      <c r="D5702" s="1" t="s">
        <v>241</v>
      </c>
      <c r="E5702" s="1" t="s">
        <v>33</v>
      </c>
      <c r="F5702" s="1" t="s">
        <v>200</v>
      </c>
      <c r="G5702" s="5">
        <v>13.88</v>
      </c>
    </row>
    <row r="5703" spans="1:7" x14ac:dyDescent="0.2">
      <c r="A5703" s="3">
        <v>1820</v>
      </c>
      <c r="B5703" s="2">
        <v>4313.3999999999996</v>
      </c>
      <c r="C5703" s="38">
        <v>44816</v>
      </c>
      <c r="D5703" s="1" t="s">
        <v>250</v>
      </c>
      <c r="E5703" s="1" t="s">
        <v>33</v>
      </c>
      <c r="F5703" s="1" t="s">
        <v>200</v>
      </c>
      <c r="G5703" s="5">
        <v>2.37</v>
      </c>
    </row>
    <row r="5704" spans="1:7" x14ac:dyDescent="0.2">
      <c r="A5704" s="3">
        <v>3024</v>
      </c>
      <c r="B5704" s="2">
        <v>126493.92</v>
      </c>
      <c r="C5704" s="38">
        <v>44825</v>
      </c>
      <c r="D5704" s="1" t="s">
        <v>242</v>
      </c>
      <c r="E5704" s="1" t="s">
        <v>33</v>
      </c>
      <c r="F5704" s="1" t="s">
        <v>200</v>
      </c>
      <c r="G5704" s="5">
        <v>41.83</v>
      </c>
    </row>
    <row r="5705" spans="1:7" x14ac:dyDescent="0.2">
      <c r="A5705" s="3">
        <v>144</v>
      </c>
      <c r="B5705" s="2">
        <v>29975.040000000001</v>
      </c>
      <c r="C5705" s="38">
        <v>45107</v>
      </c>
      <c r="D5705" s="1" t="s">
        <v>297</v>
      </c>
      <c r="E5705" s="1" t="s">
        <v>33</v>
      </c>
      <c r="F5705" s="1" t="s">
        <v>200</v>
      </c>
      <c r="G5705" s="5">
        <v>208.16</v>
      </c>
    </row>
    <row r="5706" spans="1:7" x14ac:dyDescent="0.2">
      <c r="A5706" s="3">
        <v>144</v>
      </c>
      <c r="B5706" s="2">
        <v>29975.040000000001</v>
      </c>
      <c r="C5706" s="38">
        <v>45107</v>
      </c>
      <c r="D5706" s="1" t="s">
        <v>297</v>
      </c>
      <c r="E5706" s="1" t="s">
        <v>33</v>
      </c>
      <c r="F5706" s="1" t="s">
        <v>200</v>
      </c>
      <c r="G5706" s="5">
        <v>208.16</v>
      </c>
    </row>
    <row r="5707" spans="1:7" x14ac:dyDescent="0.2">
      <c r="A5707" s="3">
        <v>48</v>
      </c>
      <c r="B5707" s="2">
        <v>9991.68</v>
      </c>
      <c r="C5707" s="38">
        <v>45107</v>
      </c>
      <c r="D5707" s="1" t="s">
        <v>297</v>
      </c>
      <c r="E5707" s="1" t="s">
        <v>33</v>
      </c>
      <c r="F5707" s="1" t="s">
        <v>200</v>
      </c>
      <c r="G5707" s="5">
        <v>208.16</v>
      </c>
    </row>
    <row r="5708" spans="1:7" x14ac:dyDescent="0.2">
      <c r="A5708" s="3">
        <v>252</v>
      </c>
      <c r="B5708" s="2">
        <v>19056.240000000002</v>
      </c>
      <c r="C5708" s="38">
        <v>44825</v>
      </c>
      <c r="D5708" s="1" t="s">
        <v>243</v>
      </c>
      <c r="E5708" s="1" t="s">
        <v>33</v>
      </c>
      <c r="F5708" s="1" t="s">
        <v>200</v>
      </c>
      <c r="G5708" s="5">
        <v>75.62</v>
      </c>
    </row>
    <row r="5709" spans="1:7" x14ac:dyDescent="0.2">
      <c r="A5709" s="3">
        <v>1820</v>
      </c>
      <c r="B5709" s="2">
        <v>4313.3999999999996</v>
      </c>
      <c r="C5709" s="38">
        <v>44825</v>
      </c>
      <c r="D5709" s="1" t="s">
        <v>250</v>
      </c>
      <c r="E5709" s="1" t="s">
        <v>33</v>
      </c>
      <c r="F5709" s="1" t="s">
        <v>200</v>
      </c>
      <c r="G5709" s="5">
        <v>2.37</v>
      </c>
    </row>
    <row r="5710" spans="1:7" x14ac:dyDescent="0.2">
      <c r="A5710" s="3">
        <v>588</v>
      </c>
      <c r="B5710" s="2">
        <v>58982.28</v>
      </c>
      <c r="C5710" s="38">
        <v>44826</v>
      </c>
      <c r="D5710" s="1" t="s">
        <v>251</v>
      </c>
      <c r="E5710" s="1" t="s">
        <v>33</v>
      </c>
      <c r="F5710" s="1" t="s">
        <v>200</v>
      </c>
      <c r="G5710" s="5">
        <v>100.31</v>
      </c>
    </row>
    <row r="5711" spans="1:7" x14ac:dyDescent="0.2">
      <c r="A5711" s="3">
        <v>588</v>
      </c>
      <c r="B5711" s="2">
        <v>58982.28</v>
      </c>
      <c r="C5711" s="38">
        <v>44826</v>
      </c>
      <c r="D5711" s="1" t="s">
        <v>251</v>
      </c>
      <c r="E5711" s="1" t="s">
        <v>33</v>
      </c>
      <c r="F5711" s="1" t="s">
        <v>200</v>
      </c>
      <c r="G5711" s="5">
        <v>100.31</v>
      </c>
    </row>
    <row r="5712" spans="1:7" x14ac:dyDescent="0.2">
      <c r="A5712" s="3">
        <v>588</v>
      </c>
      <c r="B5712" s="2">
        <v>58982.28</v>
      </c>
      <c r="C5712" s="38">
        <v>44826</v>
      </c>
      <c r="D5712" s="1" t="s">
        <v>251</v>
      </c>
      <c r="E5712" s="1" t="s">
        <v>33</v>
      </c>
      <c r="F5712" s="1" t="s">
        <v>200</v>
      </c>
      <c r="G5712" s="5">
        <v>100.31</v>
      </c>
    </row>
    <row r="5713" spans="1:7" x14ac:dyDescent="0.2">
      <c r="A5713" s="3">
        <v>1820</v>
      </c>
      <c r="B5713" s="2">
        <v>4313.3999999999996</v>
      </c>
      <c r="C5713" s="38">
        <v>44866</v>
      </c>
      <c r="D5713" s="1" t="s">
        <v>250</v>
      </c>
      <c r="E5713" s="1" t="s">
        <v>33</v>
      </c>
      <c r="F5713" s="1" t="s">
        <v>200</v>
      </c>
      <c r="G5713" s="5">
        <v>2.37</v>
      </c>
    </row>
    <row r="5714" spans="1:7" x14ac:dyDescent="0.2">
      <c r="A5714" s="3">
        <v>140</v>
      </c>
      <c r="B5714" s="2">
        <v>53718</v>
      </c>
      <c r="C5714" s="38">
        <v>45135</v>
      </c>
      <c r="D5714" s="1" t="s">
        <v>256</v>
      </c>
      <c r="E5714" s="1" t="s">
        <v>33</v>
      </c>
      <c r="F5714" s="1" t="s">
        <v>200</v>
      </c>
      <c r="G5714" s="5">
        <v>383.7</v>
      </c>
    </row>
    <row r="5715" spans="1:7" x14ac:dyDescent="0.2">
      <c r="A5715" s="3">
        <v>108</v>
      </c>
      <c r="B5715" s="2">
        <v>11696.4</v>
      </c>
      <c r="C5715" s="38">
        <v>44777</v>
      </c>
      <c r="D5715" s="1" t="s">
        <v>237</v>
      </c>
      <c r="E5715" s="1" t="s">
        <v>33</v>
      </c>
      <c r="F5715" s="1" t="s">
        <v>200</v>
      </c>
      <c r="G5715" s="5">
        <v>108.3</v>
      </c>
    </row>
    <row r="5716" spans="1:7" x14ac:dyDescent="0.2">
      <c r="A5716" s="3">
        <v>540</v>
      </c>
      <c r="B5716" s="2">
        <v>58482</v>
      </c>
      <c r="C5716" s="38">
        <v>44777</v>
      </c>
      <c r="D5716" s="1" t="s">
        <v>237</v>
      </c>
      <c r="E5716" s="1" t="s">
        <v>33</v>
      </c>
      <c r="F5716" s="1" t="s">
        <v>200</v>
      </c>
      <c r="G5716" s="5">
        <v>108.3</v>
      </c>
    </row>
    <row r="5717" spans="1:7" x14ac:dyDescent="0.2">
      <c r="A5717" s="3">
        <v>432</v>
      </c>
      <c r="B5717" s="2">
        <v>46785.599999999999</v>
      </c>
      <c r="C5717" s="38">
        <v>44777</v>
      </c>
      <c r="D5717" s="1" t="s">
        <v>237</v>
      </c>
      <c r="E5717" s="1" t="s">
        <v>33</v>
      </c>
      <c r="F5717" s="1" t="s">
        <v>200</v>
      </c>
      <c r="G5717" s="5">
        <v>108.3</v>
      </c>
    </row>
    <row r="5718" spans="1:7" x14ac:dyDescent="0.2">
      <c r="A5718" s="3">
        <v>432</v>
      </c>
      <c r="B5718" s="2">
        <v>46785.599999999999</v>
      </c>
      <c r="C5718" s="38">
        <v>44868</v>
      </c>
      <c r="D5718" s="1" t="s">
        <v>237</v>
      </c>
      <c r="E5718" s="1" t="s">
        <v>33</v>
      </c>
      <c r="F5718" s="1" t="s">
        <v>200</v>
      </c>
      <c r="G5718" s="5">
        <v>108.3</v>
      </c>
    </row>
    <row r="5719" spans="1:7" x14ac:dyDescent="0.2">
      <c r="A5719" s="3">
        <v>216</v>
      </c>
      <c r="B5719" s="2">
        <v>23392.799999999999</v>
      </c>
      <c r="C5719" s="38">
        <v>44868</v>
      </c>
      <c r="D5719" s="1" t="s">
        <v>237</v>
      </c>
      <c r="E5719" s="1" t="s">
        <v>33</v>
      </c>
      <c r="F5719" s="1" t="s">
        <v>200</v>
      </c>
      <c r="G5719" s="5">
        <v>108.3</v>
      </c>
    </row>
    <row r="5720" spans="1:7" x14ac:dyDescent="0.2">
      <c r="A5720" s="3">
        <v>216</v>
      </c>
      <c r="B5720" s="2">
        <v>23392.799999999999</v>
      </c>
      <c r="C5720" s="38">
        <v>44868</v>
      </c>
      <c r="D5720" s="1" t="s">
        <v>237</v>
      </c>
      <c r="E5720" s="1" t="s">
        <v>33</v>
      </c>
      <c r="F5720" s="1" t="s">
        <v>200</v>
      </c>
      <c r="G5720" s="5">
        <v>108.3</v>
      </c>
    </row>
    <row r="5721" spans="1:7" x14ac:dyDescent="0.2">
      <c r="A5721" s="3">
        <v>324</v>
      </c>
      <c r="B5721" s="2">
        <v>35089.199999999997</v>
      </c>
      <c r="C5721" s="38">
        <v>44868</v>
      </c>
      <c r="D5721" s="1" t="s">
        <v>237</v>
      </c>
      <c r="E5721" s="1" t="s">
        <v>33</v>
      </c>
      <c r="F5721" s="1" t="s">
        <v>200</v>
      </c>
      <c r="G5721" s="5">
        <v>108.3</v>
      </c>
    </row>
    <row r="5722" spans="1:7" x14ac:dyDescent="0.2">
      <c r="A5722" s="3">
        <v>216</v>
      </c>
      <c r="B5722" s="2">
        <v>23392.799999999999</v>
      </c>
      <c r="C5722" s="38">
        <v>44868</v>
      </c>
      <c r="D5722" s="1" t="s">
        <v>237</v>
      </c>
      <c r="E5722" s="1" t="s">
        <v>33</v>
      </c>
      <c r="F5722" s="1" t="s">
        <v>200</v>
      </c>
      <c r="G5722" s="5">
        <v>108.3</v>
      </c>
    </row>
    <row r="5723" spans="1:7" x14ac:dyDescent="0.2">
      <c r="A5723" s="3">
        <v>216</v>
      </c>
      <c r="B5723" s="2">
        <v>23392.799999999999</v>
      </c>
      <c r="C5723" s="38">
        <v>44868</v>
      </c>
      <c r="D5723" s="1" t="s">
        <v>237</v>
      </c>
      <c r="E5723" s="1" t="s">
        <v>33</v>
      </c>
      <c r="F5723" s="1" t="s">
        <v>200</v>
      </c>
      <c r="G5723" s="5">
        <v>108.3</v>
      </c>
    </row>
    <row r="5724" spans="1:7" x14ac:dyDescent="0.2">
      <c r="A5724" s="3">
        <v>432</v>
      </c>
      <c r="B5724" s="2">
        <v>46785.599999999999</v>
      </c>
      <c r="C5724" s="38">
        <v>44868</v>
      </c>
      <c r="D5724" s="1" t="s">
        <v>237</v>
      </c>
      <c r="E5724" s="1" t="s">
        <v>33</v>
      </c>
      <c r="F5724" s="1" t="s">
        <v>200</v>
      </c>
      <c r="G5724" s="5">
        <v>108.3</v>
      </c>
    </row>
    <row r="5725" spans="1:7" x14ac:dyDescent="0.2">
      <c r="A5725" s="3">
        <v>432</v>
      </c>
      <c r="B5725" s="2">
        <v>46785.599999999999</v>
      </c>
      <c r="C5725" s="38">
        <v>44868</v>
      </c>
      <c r="D5725" s="1" t="s">
        <v>237</v>
      </c>
      <c r="E5725" s="1" t="s">
        <v>33</v>
      </c>
      <c r="F5725" s="1" t="s">
        <v>200</v>
      </c>
      <c r="G5725" s="5">
        <v>108.3</v>
      </c>
    </row>
    <row r="5726" spans="1:7" x14ac:dyDescent="0.2">
      <c r="A5726" s="3">
        <v>90</v>
      </c>
      <c r="B5726" s="2">
        <v>39648.6</v>
      </c>
      <c r="C5726" s="38">
        <v>44743</v>
      </c>
      <c r="D5726" s="1" t="s">
        <v>248</v>
      </c>
      <c r="E5726" s="1" t="s">
        <v>33</v>
      </c>
      <c r="F5726" s="1" t="s">
        <v>200</v>
      </c>
      <c r="G5726" s="5">
        <v>440.54</v>
      </c>
    </row>
    <row r="5727" spans="1:7" x14ac:dyDescent="0.2">
      <c r="A5727" s="3">
        <v>1820</v>
      </c>
      <c r="B5727" s="2">
        <v>4313.3999999999996</v>
      </c>
      <c r="C5727" s="38">
        <v>44833</v>
      </c>
      <c r="D5727" s="1" t="s">
        <v>250</v>
      </c>
      <c r="E5727" s="1" t="s">
        <v>33</v>
      </c>
      <c r="F5727" s="1" t="s">
        <v>200</v>
      </c>
      <c r="G5727" s="5">
        <v>2.37</v>
      </c>
    </row>
    <row r="5728" spans="1:7" x14ac:dyDescent="0.2">
      <c r="A5728" s="3">
        <v>1820</v>
      </c>
      <c r="B5728" s="2">
        <v>4313.3999999999996</v>
      </c>
      <c r="C5728" s="38">
        <v>44833</v>
      </c>
      <c r="D5728" s="1" t="s">
        <v>250</v>
      </c>
      <c r="E5728" s="1" t="s">
        <v>33</v>
      </c>
      <c r="F5728" s="1" t="s">
        <v>200</v>
      </c>
      <c r="G5728" s="5">
        <v>2.37</v>
      </c>
    </row>
    <row r="5729" spans="1:7" x14ac:dyDescent="0.2">
      <c r="A5729" s="3">
        <v>588</v>
      </c>
      <c r="B5729" s="2">
        <v>58982.28</v>
      </c>
      <c r="C5729" s="38">
        <v>44833</v>
      </c>
      <c r="D5729" s="1" t="s">
        <v>251</v>
      </c>
      <c r="E5729" s="1" t="s">
        <v>33</v>
      </c>
      <c r="F5729" s="1" t="s">
        <v>200</v>
      </c>
      <c r="G5729" s="5">
        <v>100.31</v>
      </c>
    </row>
    <row r="5730" spans="1:7" x14ac:dyDescent="0.2">
      <c r="A5730" s="3">
        <v>420</v>
      </c>
      <c r="B5730" s="2">
        <v>320073.59999999998</v>
      </c>
      <c r="C5730" s="38">
        <v>44833</v>
      </c>
      <c r="D5730" s="1" t="s">
        <v>265</v>
      </c>
      <c r="E5730" s="1" t="s">
        <v>33</v>
      </c>
      <c r="F5730" s="1" t="s">
        <v>200</v>
      </c>
      <c r="G5730" s="5">
        <v>762.08</v>
      </c>
    </row>
    <row r="5731" spans="1:7" x14ac:dyDescent="0.2">
      <c r="A5731" s="3">
        <v>180</v>
      </c>
      <c r="B5731" s="2">
        <v>137174.39999999999</v>
      </c>
      <c r="C5731" s="38">
        <v>44833</v>
      </c>
      <c r="D5731" s="1" t="s">
        <v>265</v>
      </c>
      <c r="E5731" s="1" t="s">
        <v>33</v>
      </c>
      <c r="F5731" s="1" t="s">
        <v>200</v>
      </c>
      <c r="G5731" s="5">
        <v>762.08</v>
      </c>
    </row>
    <row r="5732" spans="1:7" x14ac:dyDescent="0.2">
      <c r="A5732" s="3">
        <v>420</v>
      </c>
      <c r="B5732" s="2">
        <v>320073.59999999998</v>
      </c>
      <c r="C5732" s="38">
        <v>44833</v>
      </c>
      <c r="D5732" s="1" t="s">
        <v>265</v>
      </c>
      <c r="E5732" s="1" t="s">
        <v>33</v>
      </c>
      <c r="F5732" s="1" t="s">
        <v>200</v>
      </c>
      <c r="G5732" s="5">
        <v>762.08</v>
      </c>
    </row>
    <row r="5733" spans="1:7" x14ac:dyDescent="0.2">
      <c r="A5733" s="3">
        <v>420</v>
      </c>
      <c r="B5733" s="2">
        <v>320073.59999999998</v>
      </c>
      <c r="C5733" s="38">
        <v>44833</v>
      </c>
      <c r="D5733" s="1" t="s">
        <v>265</v>
      </c>
      <c r="E5733" s="1" t="s">
        <v>33</v>
      </c>
      <c r="F5733" s="1" t="s">
        <v>200</v>
      </c>
      <c r="G5733" s="5">
        <v>762.08</v>
      </c>
    </row>
    <row r="5734" spans="1:7" x14ac:dyDescent="0.2">
      <c r="A5734" s="3">
        <v>420</v>
      </c>
      <c r="B5734" s="2">
        <v>320073.59999999998</v>
      </c>
      <c r="C5734" s="38">
        <v>44833</v>
      </c>
      <c r="D5734" s="1" t="s">
        <v>265</v>
      </c>
      <c r="E5734" s="1" t="s">
        <v>33</v>
      </c>
      <c r="F5734" s="1" t="s">
        <v>200</v>
      </c>
      <c r="G5734" s="5">
        <v>762.08</v>
      </c>
    </row>
    <row r="5735" spans="1:7" x14ac:dyDescent="0.2">
      <c r="A5735" s="3">
        <v>420</v>
      </c>
      <c r="B5735" s="2">
        <v>320073.59999999998</v>
      </c>
      <c r="C5735" s="38">
        <v>44833</v>
      </c>
      <c r="D5735" s="1" t="s">
        <v>265</v>
      </c>
      <c r="E5735" s="1" t="s">
        <v>33</v>
      </c>
      <c r="F5735" s="1" t="s">
        <v>200</v>
      </c>
      <c r="G5735" s="5">
        <v>762.08</v>
      </c>
    </row>
    <row r="5736" spans="1:7" x14ac:dyDescent="0.2">
      <c r="A5736" s="3">
        <v>118</v>
      </c>
      <c r="B5736" s="2">
        <v>50173.599999999999</v>
      </c>
      <c r="C5736" s="38">
        <v>44875</v>
      </c>
      <c r="D5736" s="1" t="s">
        <v>240</v>
      </c>
      <c r="E5736" s="1" t="s">
        <v>33</v>
      </c>
      <c r="F5736" s="1" t="s">
        <v>200</v>
      </c>
      <c r="G5736" s="5">
        <v>425.2</v>
      </c>
    </row>
    <row r="5737" spans="1:7" x14ac:dyDescent="0.2">
      <c r="A5737" s="3">
        <v>108</v>
      </c>
      <c r="B5737" s="2">
        <v>11696.4</v>
      </c>
      <c r="C5737" s="38">
        <v>44879</v>
      </c>
      <c r="D5737" s="1" t="s">
        <v>237</v>
      </c>
      <c r="E5737" s="1" t="s">
        <v>33</v>
      </c>
      <c r="F5737" s="1" t="s">
        <v>200</v>
      </c>
      <c r="G5737" s="5">
        <v>108.3</v>
      </c>
    </row>
    <row r="5738" spans="1:7" x14ac:dyDescent="0.2">
      <c r="A5738" s="3">
        <v>432</v>
      </c>
      <c r="B5738" s="2">
        <v>46785.599999999999</v>
      </c>
      <c r="C5738" s="38">
        <v>44879</v>
      </c>
      <c r="D5738" s="1" t="s">
        <v>237</v>
      </c>
      <c r="E5738" s="1" t="s">
        <v>33</v>
      </c>
      <c r="F5738" s="1" t="s">
        <v>200</v>
      </c>
      <c r="G5738" s="5">
        <v>108.3</v>
      </c>
    </row>
    <row r="5739" spans="1:7" x14ac:dyDescent="0.2">
      <c r="A5739" s="3">
        <v>1820</v>
      </c>
      <c r="B5739" s="2">
        <v>4568.2</v>
      </c>
      <c r="C5739" s="38">
        <v>45142</v>
      </c>
      <c r="D5739" s="1" t="s">
        <v>250</v>
      </c>
      <c r="E5739" s="1" t="s">
        <v>33</v>
      </c>
      <c r="F5739" s="1" t="s">
        <v>200</v>
      </c>
      <c r="G5739" s="5">
        <v>2.5099999999999998</v>
      </c>
    </row>
    <row r="5740" spans="1:7" x14ac:dyDescent="0.2">
      <c r="A5740" s="3">
        <v>140</v>
      </c>
      <c r="B5740" s="2">
        <v>24983</v>
      </c>
      <c r="C5740" s="38">
        <v>45142</v>
      </c>
      <c r="D5740" s="1" t="s">
        <v>300</v>
      </c>
      <c r="E5740" s="1" t="s">
        <v>33</v>
      </c>
      <c r="F5740" s="1" t="s">
        <v>200</v>
      </c>
      <c r="G5740" s="5">
        <v>178.45</v>
      </c>
    </row>
    <row r="5741" spans="1:7" x14ac:dyDescent="0.2">
      <c r="A5741" s="3">
        <v>32</v>
      </c>
      <c r="B5741" s="2">
        <v>80721.600000000006</v>
      </c>
      <c r="C5741" s="38">
        <v>44839</v>
      </c>
      <c r="D5741" s="1" t="s">
        <v>344</v>
      </c>
      <c r="E5741" s="1" t="s">
        <v>33</v>
      </c>
      <c r="F5741" s="1" t="s">
        <v>200</v>
      </c>
      <c r="G5741" s="5">
        <v>2522.5500000000002</v>
      </c>
    </row>
    <row r="5742" spans="1:7" x14ac:dyDescent="0.2">
      <c r="A5742" s="3">
        <v>540</v>
      </c>
      <c r="B5742" s="2">
        <v>58482</v>
      </c>
      <c r="C5742" s="38">
        <v>44841</v>
      </c>
      <c r="D5742" s="1" t="s">
        <v>237</v>
      </c>
      <c r="E5742" s="1" t="s">
        <v>33</v>
      </c>
      <c r="F5742" s="1" t="s">
        <v>200</v>
      </c>
      <c r="G5742" s="5">
        <v>108.3</v>
      </c>
    </row>
    <row r="5743" spans="1:7" x14ac:dyDescent="0.2">
      <c r="A5743" s="3">
        <v>2</v>
      </c>
      <c r="B5743" s="2">
        <v>901.42</v>
      </c>
      <c r="C5743" s="38">
        <v>45154</v>
      </c>
      <c r="D5743" s="1" t="s">
        <v>240</v>
      </c>
      <c r="E5743" s="1" t="s">
        <v>33</v>
      </c>
      <c r="F5743" s="1" t="s">
        <v>200</v>
      </c>
      <c r="G5743" s="5">
        <v>450.71</v>
      </c>
    </row>
    <row r="5744" spans="1:7" x14ac:dyDescent="0.2">
      <c r="A5744" s="3">
        <v>140</v>
      </c>
      <c r="B5744" s="2">
        <v>53718</v>
      </c>
      <c r="C5744" s="38">
        <v>45154</v>
      </c>
      <c r="D5744" s="1" t="s">
        <v>256</v>
      </c>
      <c r="E5744" s="1" t="s">
        <v>33</v>
      </c>
      <c r="F5744" s="1" t="s">
        <v>200</v>
      </c>
      <c r="G5744" s="5">
        <v>383.7</v>
      </c>
    </row>
    <row r="5745" spans="1:7" x14ac:dyDescent="0.2">
      <c r="A5745" s="3">
        <v>588</v>
      </c>
      <c r="B5745" s="2">
        <v>58982.28</v>
      </c>
      <c r="C5745" s="38">
        <v>44841</v>
      </c>
      <c r="D5745" s="1" t="s">
        <v>251</v>
      </c>
      <c r="E5745" s="1" t="s">
        <v>33</v>
      </c>
      <c r="F5745" s="1" t="s">
        <v>200</v>
      </c>
      <c r="G5745" s="5">
        <v>100.31</v>
      </c>
    </row>
    <row r="5746" spans="1:7" x14ac:dyDescent="0.2">
      <c r="A5746" s="3">
        <v>588</v>
      </c>
      <c r="B5746" s="2">
        <v>58982.28</v>
      </c>
      <c r="C5746" s="38">
        <v>44841</v>
      </c>
      <c r="D5746" s="1" t="s">
        <v>251</v>
      </c>
      <c r="E5746" s="1" t="s">
        <v>33</v>
      </c>
      <c r="F5746" s="1" t="s">
        <v>200</v>
      </c>
      <c r="G5746" s="5">
        <v>100.31</v>
      </c>
    </row>
    <row r="5747" spans="1:7" x14ac:dyDescent="0.2">
      <c r="A5747" s="3">
        <v>588</v>
      </c>
      <c r="B5747" s="2">
        <v>58982.28</v>
      </c>
      <c r="C5747" s="38">
        <v>44841</v>
      </c>
      <c r="D5747" s="1" t="s">
        <v>251</v>
      </c>
      <c r="E5747" s="1" t="s">
        <v>33</v>
      </c>
      <c r="F5747" s="1" t="s">
        <v>200</v>
      </c>
      <c r="G5747" s="5">
        <v>100.31</v>
      </c>
    </row>
    <row r="5748" spans="1:7" x14ac:dyDescent="0.2">
      <c r="A5748" s="3">
        <v>588</v>
      </c>
      <c r="B5748" s="2">
        <v>58982.28</v>
      </c>
      <c r="C5748" s="38">
        <v>44841</v>
      </c>
      <c r="D5748" s="1" t="s">
        <v>251</v>
      </c>
      <c r="E5748" s="1" t="s">
        <v>33</v>
      </c>
      <c r="F5748" s="1" t="s">
        <v>200</v>
      </c>
      <c r="G5748" s="5">
        <v>100.31</v>
      </c>
    </row>
    <row r="5749" spans="1:7" x14ac:dyDescent="0.2">
      <c r="A5749" s="3">
        <v>588</v>
      </c>
      <c r="B5749" s="2">
        <v>58982.28</v>
      </c>
      <c r="C5749" s="38">
        <v>44841</v>
      </c>
      <c r="D5749" s="1" t="s">
        <v>251</v>
      </c>
      <c r="E5749" s="1" t="s">
        <v>33</v>
      </c>
      <c r="F5749" s="1" t="s">
        <v>200</v>
      </c>
      <c r="G5749" s="5">
        <v>100.31</v>
      </c>
    </row>
    <row r="5750" spans="1:7" x14ac:dyDescent="0.2">
      <c r="A5750" s="3">
        <v>588</v>
      </c>
      <c r="B5750" s="2">
        <v>58982.28</v>
      </c>
      <c r="C5750" s="38">
        <v>44841</v>
      </c>
      <c r="D5750" s="1" t="s">
        <v>251</v>
      </c>
      <c r="E5750" s="1" t="s">
        <v>33</v>
      </c>
      <c r="F5750" s="1" t="s">
        <v>200</v>
      </c>
      <c r="G5750" s="5">
        <v>100.31</v>
      </c>
    </row>
    <row r="5751" spans="1:7" x14ac:dyDescent="0.2">
      <c r="A5751" s="3">
        <v>147</v>
      </c>
      <c r="B5751" s="2">
        <v>47026.77</v>
      </c>
      <c r="C5751" s="38">
        <v>44894</v>
      </c>
      <c r="D5751" s="1" t="s">
        <v>259</v>
      </c>
      <c r="E5751" s="1" t="s">
        <v>33</v>
      </c>
      <c r="F5751" s="1" t="s">
        <v>200</v>
      </c>
      <c r="G5751" s="5">
        <v>319.91000000000003</v>
      </c>
    </row>
    <row r="5752" spans="1:7" x14ac:dyDescent="0.2">
      <c r="A5752" s="3">
        <v>140</v>
      </c>
      <c r="B5752" s="2">
        <v>53718</v>
      </c>
      <c r="C5752" s="38">
        <v>45155</v>
      </c>
      <c r="D5752" s="1" t="s">
        <v>256</v>
      </c>
      <c r="E5752" s="1" t="s">
        <v>33</v>
      </c>
      <c r="F5752" s="1" t="s">
        <v>200</v>
      </c>
      <c r="G5752" s="5">
        <v>383.7</v>
      </c>
    </row>
    <row r="5753" spans="1:7" x14ac:dyDescent="0.2">
      <c r="A5753" s="3">
        <v>30</v>
      </c>
      <c r="B5753" s="2">
        <v>22780.2</v>
      </c>
      <c r="C5753" s="38">
        <v>45155</v>
      </c>
      <c r="D5753" s="1" t="s">
        <v>265</v>
      </c>
      <c r="E5753" s="1" t="s">
        <v>33</v>
      </c>
      <c r="F5753" s="1" t="s">
        <v>200</v>
      </c>
      <c r="G5753" s="5">
        <v>759.34</v>
      </c>
    </row>
    <row r="5754" spans="1:7" x14ac:dyDescent="0.2">
      <c r="A5754" s="3">
        <v>60</v>
      </c>
      <c r="B5754" s="2">
        <v>45560.4</v>
      </c>
      <c r="C5754" s="38">
        <v>45155</v>
      </c>
      <c r="D5754" s="1" t="s">
        <v>265</v>
      </c>
      <c r="E5754" s="1" t="s">
        <v>33</v>
      </c>
      <c r="F5754" s="1" t="s">
        <v>200</v>
      </c>
      <c r="G5754" s="5">
        <v>759.34</v>
      </c>
    </row>
    <row r="5755" spans="1:7" x14ac:dyDescent="0.2">
      <c r="A5755" s="3">
        <v>132</v>
      </c>
      <c r="B5755" s="2">
        <v>23555.4</v>
      </c>
      <c r="C5755" s="38">
        <v>45155</v>
      </c>
      <c r="D5755" s="1" t="s">
        <v>300</v>
      </c>
      <c r="E5755" s="1" t="s">
        <v>33</v>
      </c>
      <c r="F5755" s="1" t="s">
        <v>200</v>
      </c>
      <c r="G5755" s="5">
        <v>178.45</v>
      </c>
    </row>
    <row r="5756" spans="1:7" x14ac:dyDescent="0.2">
      <c r="A5756" s="3">
        <v>15</v>
      </c>
      <c r="B5756" s="2">
        <v>12860.55</v>
      </c>
      <c r="C5756" s="38">
        <v>45155</v>
      </c>
      <c r="D5756" s="1" t="s">
        <v>267</v>
      </c>
      <c r="E5756" s="1" t="s">
        <v>33</v>
      </c>
      <c r="F5756" s="1" t="s">
        <v>200</v>
      </c>
      <c r="G5756" s="5">
        <v>857.37</v>
      </c>
    </row>
    <row r="5757" spans="1:7" x14ac:dyDescent="0.2">
      <c r="A5757" s="3">
        <v>45</v>
      </c>
      <c r="B5757" s="2">
        <v>38581.65</v>
      </c>
      <c r="C5757" s="38">
        <v>45155</v>
      </c>
      <c r="D5757" s="1" t="s">
        <v>267</v>
      </c>
      <c r="E5757" s="1" t="s">
        <v>33</v>
      </c>
      <c r="F5757" s="1" t="s">
        <v>200</v>
      </c>
      <c r="G5757" s="5">
        <v>857.37</v>
      </c>
    </row>
    <row r="5758" spans="1:7" x14ac:dyDescent="0.2">
      <c r="A5758" s="3">
        <v>45</v>
      </c>
      <c r="B5758" s="2">
        <v>38581.65</v>
      </c>
      <c r="C5758" s="38">
        <v>45155</v>
      </c>
      <c r="D5758" s="1" t="s">
        <v>267</v>
      </c>
      <c r="E5758" s="1" t="s">
        <v>33</v>
      </c>
      <c r="F5758" s="1" t="s">
        <v>200</v>
      </c>
      <c r="G5758" s="5">
        <v>857.37</v>
      </c>
    </row>
    <row r="5759" spans="1:7" x14ac:dyDescent="0.2">
      <c r="A5759" s="3">
        <v>45</v>
      </c>
      <c r="B5759" s="2">
        <v>38581.65</v>
      </c>
      <c r="C5759" s="38">
        <v>45155</v>
      </c>
      <c r="D5759" s="1" t="s">
        <v>267</v>
      </c>
      <c r="E5759" s="1" t="s">
        <v>33</v>
      </c>
      <c r="F5759" s="1" t="s">
        <v>200</v>
      </c>
      <c r="G5759" s="5">
        <v>857.37</v>
      </c>
    </row>
    <row r="5760" spans="1:7" x14ac:dyDescent="0.2">
      <c r="A5760" s="3">
        <v>324</v>
      </c>
      <c r="B5760" s="2">
        <v>35089.199999999997</v>
      </c>
      <c r="C5760" s="38">
        <v>44792</v>
      </c>
      <c r="D5760" s="1" t="s">
        <v>237</v>
      </c>
      <c r="E5760" s="1" t="s">
        <v>33</v>
      </c>
      <c r="F5760" s="1" t="s">
        <v>200</v>
      </c>
      <c r="G5760" s="5">
        <v>108.3</v>
      </c>
    </row>
    <row r="5761" spans="1:7" x14ac:dyDescent="0.2">
      <c r="A5761" s="3">
        <v>220</v>
      </c>
      <c r="B5761" s="2">
        <v>30272</v>
      </c>
      <c r="C5761" s="38">
        <v>44847</v>
      </c>
      <c r="D5761" s="1" t="s">
        <v>318</v>
      </c>
      <c r="E5761" s="1" t="s">
        <v>33</v>
      </c>
      <c r="F5761" s="1" t="s">
        <v>200</v>
      </c>
      <c r="G5761" s="5">
        <v>137.6</v>
      </c>
    </row>
    <row r="5762" spans="1:7" x14ac:dyDescent="0.2">
      <c r="A5762" s="3">
        <v>252</v>
      </c>
      <c r="B5762" s="2">
        <v>25303.32</v>
      </c>
      <c r="C5762" s="38">
        <v>44847</v>
      </c>
      <c r="D5762" s="1" t="s">
        <v>319</v>
      </c>
      <c r="E5762" s="1" t="s">
        <v>33</v>
      </c>
      <c r="F5762" s="1" t="s">
        <v>200</v>
      </c>
      <c r="G5762" s="5">
        <v>100.41</v>
      </c>
    </row>
    <row r="5763" spans="1:7" x14ac:dyDescent="0.2">
      <c r="A5763" s="3">
        <v>420</v>
      </c>
      <c r="B5763" s="2">
        <v>6266.4</v>
      </c>
      <c r="C5763" s="38">
        <v>44847</v>
      </c>
      <c r="D5763" s="1" t="s">
        <v>322</v>
      </c>
      <c r="E5763" s="1" t="s">
        <v>33</v>
      </c>
      <c r="F5763" s="1" t="s">
        <v>200</v>
      </c>
      <c r="G5763" s="5">
        <v>14.92</v>
      </c>
    </row>
    <row r="5764" spans="1:7" x14ac:dyDescent="0.2">
      <c r="A5764" s="3">
        <v>420</v>
      </c>
      <c r="B5764" s="2">
        <v>6266.4</v>
      </c>
      <c r="C5764" s="38">
        <v>44847</v>
      </c>
      <c r="D5764" s="1" t="s">
        <v>322</v>
      </c>
      <c r="E5764" s="1" t="s">
        <v>33</v>
      </c>
      <c r="F5764" s="1" t="s">
        <v>200</v>
      </c>
      <c r="G5764" s="5">
        <v>14.92</v>
      </c>
    </row>
    <row r="5765" spans="1:7" x14ac:dyDescent="0.2">
      <c r="A5765" s="3">
        <v>140</v>
      </c>
      <c r="B5765" s="2">
        <v>50677.2</v>
      </c>
      <c r="C5765" s="38">
        <v>44847</v>
      </c>
      <c r="D5765" s="1" t="s">
        <v>256</v>
      </c>
      <c r="E5765" s="1" t="s">
        <v>33</v>
      </c>
      <c r="F5765" s="1" t="s">
        <v>200</v>
      </c>
      <c r="G5765" s="5">
        <v>361.98</v>
      </c>
    </row>
    <row r="5766" spans="1:7" x14ac:dyDescent="0.2">
      <c r="A5766" s="3">
        <v>180</v>
      </c>
      <c r="B5766" s="2">
        <v>137174.39999999999</v>
      </c>
      <c r="C5766" s="38">
        <v>44847</v>
      </c>
      <c r="D5766" s="1" t="s">
        <v>265</v>
      </c>
      <c r="E5766" s="1" t="s">
        <v>33</v>
      </c>
      <c r="F5766" s="1" t="s">
        <v>200</v>
      </c>
      <c r="G5766" s="5">
        <v>762.08</v>
      </c>
    </row>
    <row r="5767" spans="1:7" x14ac:dyDescent="0.2">
      <c r="A5767" s="3">
        <v>108</v>
      </c>
      <c r="B5767" s="2">
        <v>11696.4</v>
      </c>
      <c r="C5767" s="38">
        <v>44792</v>
      </c>
      <c r="D5767" s="1" t="s">
        <v>237</v>
      </c>
      <c r="E5767" s="1" t="s">
        <v>33</v>
      </c>
      <c r="F5767" s="1" t="s">
        <v>200</v>
      </c>
      <c r="G5767" s="5">
        <v>108.3</v>
      </c>
    </row>
    <row r="5768" spans="1:7" x14ac:dyDescent="0.2">
      <c r="A5768" s="3">
        <v>60</v>
      </c>
      <c r="B5768" s="2">
        <v>26432.400000000001</v>
      </c>
      <c r="C5768" s="38">
        <v>44792</v>
      </c>
      <c r="D5768" s="1" t="s">
        <v>248</v>
      </c>
      <c r="E5768" s="1" t="s">
        <v>33</v>
      </c>
      <c r="F5768" s="1" t="s">
        <v>200</v>
      </c>
      <c r="G5768" s="5">
        <v>440.54</v>
      </c>
    </row>
    <row r="5769" spans="1:7" x14ac:dyDescent="0.2">
      <c r="A5769" s="3">
        <v>140</v>
      </c>
      <c r="B5769" s="2">
        <v>56924</v>
      </c>
      <c r="C5769" s="38">
        <v>44792</v>
      </c>
      <c r="D5769" s="1" t="s">
        <v>255</v>
      </c>
      <c r="E5769" s="1" t="s">
        <v>33</v>
      </c>
      <c r="F5769" s="1" t="s">
        <v>200</v>
      </c>
      <c r="G5769" s="5">
        <v>406.6</v>
      </c>
    </row>
    <row r="5770" spans="1:7" x14ac:dyDescent="0.2">
      <c r="A5770" s="3">
        <v>3000</v>
      </c>
      <c r="B5770" s="2">
        <v>3450</v>
      </c>
      <c r="C5770" s="38">
        <v>44792</v>
      </c>
      <c r="D5770" s="1" t="s">
        <v>261</v>
      </c>
      <c r="E5770" s="1" t="s">
        <v>33</v>
      </c>
      <c r="F5770" s="1" t="s">
        <v>200</v>
      </c>
      <c r="G5770" s="5">
        <v>1.1499999999999999</v>
      </c>
    </row>
    <row r="5771" spans="1:7" x14ac:dyDescent="0.2">
      <c r="A5771" s="3">
        <v>588</v>
      </c>
      <c r="B5771" s="2">
        <v>58982.28</v>
      </c>
      <c r="C5771" s="38">
        <v>44540</v>
      </c>
      <c r="D5771" s="1" t="s">
        <v>251</v>
      </c>
      <c r="E5771" s="1" t="s">
        <v>33</v>
      </c>
      <c r="F5771" s="1" t="s">
        <v>200</v>
      </c>
      <c r="G5771" s="5">
        <v>100.31</v>
      </c>
    </row>
    <row r="5772" spans="1:7" x14ac:dyDescent="0.2">
      <c r="A5772" s="3">
        <v>140</v>
      </c>
      <c r="B5772" s="2">
        <v>54842.2</v>
      </c>
      <c r="C5772" s="38">
        <v>44907</v>
      </c>
      <c r="D5772" s="1" t="s">
        <v>254</v>
      </c>
      <c r="E5772" s="1" t="s">
        <v>33</v>
      </c>
      <c r="F5772" s="1" t="s">
        <v>200</v>
      </c>
      <c r="G5772" s="5">
        <v>391.73</v>
      </c>
    </row>
    <row r="5773" spans="1:7" x14ac:dyDescent="0.2">
      <c r="A5773" s="3">
        <v>140</v>
      </c>
      <c r="B5773" s="2">
        <v>54842.2</v>
      </c>
      <c r="C5773" s="38">
        <v>44907</v>
      </c>
      <c r="D5773" s="1" t="s">
        <v>254</v>
      </c>
      <c r="E5773" s="1" t="s">
        <v>33</v>
      </c>
      <c r="F5773" s="1" t="s">
        <v>200</v>
      </c>
      <c r="G5773" s="5">
        <v>391.73</v>
      </c>
    </row>
    <row r="5774" spans="1:7" x14ac:dyDescent="0.2">
      <c r="A5774" s="3">
        <v>140</v>
      </c>
      <c r="B5774" s="2">
        <v>54842.2</v>
      </c>
      <c r="C5774" s="38">
        <v>44907</v>
      </c>
      <c r="D5774" s="1" t="s">
        <v>254</v>
      </c>
      <c r="E5774" s="1" t="s">
        <v>33</v>
      </c>
      <c r="F5774" s="1" t="s">
        <v>200</v>
      </c>
      <c r="G5774" s="5">
        <v>391.73</v>
      </c>
    </row>
    <row r="5775" spans="1:7" x14ac:dyDescent="0.2">
      <c r="A5775" s="3">
        <v>140</v>
      </c>
      <c r="B5775" s="2">
        <v>54842.2</v>
      </c>
      <c r="C5775" s="38">
        <v>44907</v>
      </c>
      <c r="D5775" s="1" t="s">
        <v>254</v>
      </c>
      <c r="E5775" s="1" t="s">
        <v>33</v>
      </c>
      <c r="F5775" s="1" t="s">
        <v>200</v>
      </c>
      <c r="G5775" s="5">
        <v>391.73</v>
      </c>
    </row>
    <row r="5776" spans="1:7" x14ac:dyDescent="0.2">
      <c r="A5776" s="3">
        <v>140</v>
      </c>
      <c r="B5776" s="2">
        <v>54842.2</v>
      </c>
      <c r="C5776" s="38">
        <v>44907</v>
      </c>
      <c r="D5776" s="1" t="s">
        <v>254</v>
      </c>
      <c r="E5776" s="1" t="s">
        <v>33</v>
      </c>
      <c r="F5776" s="1" t="s">
        <v>200</v>
      </c>
      <c r="G5776" s="5">
        <v>391.73</v>
      </c>
    </row>
    <row r="5777" spans="1:7" x14ac:dyDescent="0.2">
      <c r="A5777" s="3">
        <v>140</v>
      </c>
      <c r="B5777" s="2">
        <v>54842.2</v>
      </c>
      <c r="C5777" s="38">
        <v>44907</v>
      </c>
      <c r="D5777" s="1" t="s">
        <v>254</v>
      </c>
      <c r="E5777" s="1" t="s">
        <v>33</v>
      </c>
      <c r="F5777" s="1" t="s">
        <v>200</v>
      </c>
      <c r="G5777" s="5">
        <v>391.73</v>
      </c>
    </row>
    <row r="5778" spans="1:7" x14ac:dyDescent="0.2">
      <c r="A5778" s="3">
        <v>140</v>
      </c>
      <c r="B5778" s="2">
        <v>54842.2</v>
      </c>
      <c r="C5778" s="38">
        <v>44907</v>
      </c>
      <c r="D5778" s="1" t="s">
        <v>254</v>
      </c>
      <c r="E5778" s="1" t="s">
        <v>33</v>
      </c>
      <c r="F5778" s="1" t="s">
        <v>200</v>
      </c>
      <c r="G5778" s="5">
        <v>391.73</v>
      </c>
    </row>
    <row r="5779" spans="1:7" x14ac:dyDescent="0.2">
      <c r="A5779" s="3">
        <v>140</v>
      </c>
      <c r="B5779" s="2">
        <v>54842.2</v>
      </c>
      <c r="C5779" s="38">
        <v>44907</v>
      </c>
      <c r="D5779" s="1" t="s">
        <v>254</v>
      </c>
      <c r="E5779" s="1" t="s">
        <v>33</v>
      </c>
      <c r="F5779" s="1" t="s">
        <v>200</v>
      </c>
      <c r="G5779" s="5">
        <v>391.73</v>
      </c>
    </row>
    <row r="5780" spans="1:7" x14ac:dyDescent="0.2">
      <c r="A5780" s="3">
        <v>140</v>
      </c>
      <c r="B5780" s="2">
        <v>54842.2</v>
      </c>
      <c r="C5780" s="38">
        <v>44907</v>
      </c>
      <c r="D5780" s="1" t="s">
        <v>254</v>
      </c>
      <c r="E5780" s="1" t="s">
        <v>33</v>
      </c>
      <c r="F5780" s="1" t="s">
        <v>200</v>
      </c>
      <c r="G5780" s="5">
        <v>391.73</v>
      </c>
    </row>
    <row r="5781" spans="1:7" x14ac:dyDescent="0.2">
      <c r="A5781" s="3">
        <v>30</v>
      </c>
      <c r="B5781" s="2">
        <v>13216.2</v>
      </c>
      <c r="C5781" s="38">
        <v>44753</v>
      </c>
      <c r="D5781" s="1" t="s">
        <v>248</v>
      </c>
      <c r="E5781" s="1" t="s">
        <v>33</v>
      </c>
      <c r="F5781" s="1" t="s">
        <v>200</v>
      </c>
      <c r="G5781" s="5">
        <v>440.54</v>
      </c>
    </row>
    <row r="5782" spans="1:7" x14ac:dyDescent="0.2">
      <c r="A5782" s="3">
        <v>60</v>
      </c>
      <c r="B5782" s="2">
        <v>26432.400000000001</v>
      </c>
      <c r="C5782" s="38">
        <v>44753</v>
      </c>
      <c r="D5782" s="1" t="s">
        <v>248</v>
      </c>
      <c r="E5782" s="1" t="s">
        <v>33</v>
      </c>
      <c r="F5782" s="1" t="s">
        <v>200</v>
      </c>
      <c r="G5782" s="5">
        <v>440.54</v>
      </c>
    </row>
    <row r="5783" spans="1:7" x14ac:dyDescent="0.2">
      <c r="A5783" s="3">
        <v>3000</v>
      </c>
      <c r="B5783" s="2">
        <v>3450</v>
      </c>
      <c r="C5783" s="38">
        <v>44753</v>
      </c>
      <c r="D5783" s="1" t="s">
        <v>261</v>
      </c>
      <c r="E5783" s="1" t="s">
        <v>33</v>
      </c>
      <c r="F5783" s="1" t="s">
        <v>200</v>
      </c>
      <c r="G5783" s="5">
        <v>1.1499999999999999</v>
      </c>
    </row>
    <row r="5784" spans="1:7" x14ac:dyDescent="0.2">
      <c r="A5784" s="3">
        <v>3000</v>
      </c>
      <c r="B5784" s="2">
        <v>3720</v>
      </c>
      <c r="C5784" s="38">
        <v>44753</v>
      </c>
      <c r="D5784" s="1" t="s">
        <v>262</v>
      </c>
      <c r="E5784" s="1" t="s">
        <v>33</v>
      </c>
      <c r="F5784" s="1" t="s">
        <v>200</v>
      </c>
      <c r="G5784" s="5">
        <v>1.24</v>
      </c>
    </row>
    <row r="5785" spans="1:7" x14ac:dyDescent="0.2">
      <c r="A5785" s="3">
        <v>75</v>
      </c>
      <c r="B5785" s="2">
        <v>64536</v>
      </c>
      <c r="C5785" s="38">
        <v>44753</v>
      </c>
      <c r="D5785" s="1" t="s">
        <v>267</v>
      </c>
      <c r="E5785" s="1" t="s">
        <v>33</v>
      </c>
      <c r="F5785" s="1" t="s">
        <v>200</v>
      </c>
      <c r="G5785" s="5">
        <v>860.48</v>
      </c>
    </row>
    <row r="5786" spans="1:7" x14ac:dyDescent="0.2">
      <c r="A5786" s="3">
        <v>588</v>
      </c>
      <c r="B5786" s="2">
        <v>58982.28</v>
      </c>
      <c r="C5786" s="38">
        <v>44854</v>
      </c>
      <c r="D5786" s="1" t="s">
        <v>251</v>
      </c>
      <c r="E5786" s="1" t="s">
        <v>33</v>
      </c>
      <c r="F5786" s="1" t="s">
        <v>200</v>
      </c>
      <c r="G5786" s="5">
        <v>100.31</v>
      </c>
    </row>
    <row r="5787" spans="1:7" x14ac:dyDescent="0.2">
      <c r="A5787" s="3">
        <v>588</v>
      </c>
      <c r="B5787" s="2">
        <v>58982.28</v>
      </c>
      <c r="C5787" s="38">
        <v>44854</v>
      </c>
      <c r="D5787" s="1" t="s">
        <v>251</v>
      </c>
      <c r="E5787" s="1" t="s">
        <v>33</v>
      </c>
      <c r="F5787" s="1" t="s">
        <v>200</v>
      </c>
      <c r="G5787" s="5">
        <v>100.31</v>
      </c>
    </row>
    <row r="5788" spans="1:7" x14ac:dyDescent="0.2">
      <c r="A5788" s="3">
        <v>140</v>
      </c>
      <c r="B5788" s="2">
        <v>56924</v>
      </c>
      <c r="C5788" s="38">
        <v>44914</v>
      </c>
      <c r="D5788" s="1" t="s">
        <v>255</v>
      </c>
      <c r="E5788" s="1" t="s">
        <v>33</v>
      </c>
      <c r="F5788" s="1" t="s">
        <v>200</v>
      </c>
      <c r="G5788" s="5">
        <v>406.6</v>
      </c>
    </row>
    <row r="5789" spans="1:7" x14ac:dyDescent="0.2">
      <c r="A5789" s="3">
        <v>140</v>
      </c>
      <c r="B5789" s="2">
        <v>56924</v>
      </c>
      <c r="C5789" s="38">
        <v>44914</v>
      </c>
      <c r="D5789" s="1" t="s">
        <v>255</v>
      </c>
      <c r="E5789" s="1" t="s">
        <v>33</v>
      </c>
      <c r="F5789" s="1" t="s">
        <v>200</v>
      </c>
      <c r="G5789" s="5">
        <v>406.6</v>
      </c>
    </row>
    <row r="5790" spans="1:7" x14ac:dyDescent="0.2">
      <c r="A5790" s="3">
        <v>140</v>
      </c>
      <c r="B5790" s="2">
        <v>56924</v>
      </c>
      <c r="C5790" s="38">
        <v>44914</v>
      </c>
      <c r="D5790" s="1" t="s">
        <v>255</v>
      </c>
      <c r="E5790" s="1" t="s">
        <v>33</v>
      </c>
      <c r="F5790" s="1" t="s">
        <v>200</v>
      </c>
      <c r="G5790" s="5">
        <v>406.6</v>
      </c>
    </row>
    <row r="5791" spans="1:7" x14ac:dyDescent="0.2">
      <c r="A5791" s="3">
        <v>22</v>
      </c>
      <c r="B5791" s="2">
        <v>9915.6200000000008</v>
      </c>
      <c r="C5791" s="38">
        <v>45121</v>
      </c>
      <c r="D5791" s="1" t="s">
        <v>240</v>
      </c>
      <c r="E5791" s="1" t="s">
        <v>33</v>
      </c>
      <c r="F5791" s="1" t="s">
        <v>200</v>
      </c>
      <c r="G5791" s="5">
        <v>450.71</v>
      </c>
    </row>
    <row r="5792" spans="1:7" x14ac:dyDescent="0.2">
      <c r="A5792" s="3">
        <v>79</v>
      </c>
      <c r="B5792" s="2">
        <v>35606.089999999997</v>
      </c>
      <c r="C5792" s="38">
        <v>45121</v>
      </c>
      <c r="D5792" s="1" t="s">
        <v>240</v>
      </c>
      <c r="E5792" s="1" t="s">
        <v>33</v>
      </c>
      <c r="F5792" s="1" t="s">
        <v>200</v>
      </c>
      <c r="G5792" s="5">
        <v>450.71</v>
      </c>
    </row>
    <row r="5793" spans="1:7" x14ac:dyDescent="0.2">
      <c r="A5793" s="3">
        <v>252</v>
      </c>
      <c r="B5793" s="2">
        <v>21606.48</v>
      </c>
      <c r="C5793" s="38">
        <v>45121</v>
      </c>
      <c r="D5793" s="1" t="s">
        <v>243</v>
      </c>
      <c r="E5793" s="1" t="s">
        <v>33</v>
      </c>
      <c r="F5793" s="1" t="s">
        <v>200</v>
      </c>
      <c r="G5793" s="5">
        <v>85.74</v>
      </c>
    </row>
    <row r="5794" spans="1:7" x14ac:dyDescent="0.2">
      <c r="A5794" s="3">
        <v>252</v>
      </c>
      <c r="B5794" s="2">
        <v>21606.48</v>
      </c>
      <c r="C5794" s="38">
        <v>45121</v>
      </c>
      <c r="D5794" s="1" t="s">
        <v>243</v>
      </c>
      <c r="E5794" s="1" t="s">
        <v>33</v>
      </c>
      <c r="F5794" s="1" t="s">
        <v>200</v>
      </c>
      <c r="G5794" s="5">
        <v>85.74</v>
      </c>
    </row>
    <row r="5795" spans="1:7" x14ac:dyDescent="0.2">
      <c r="A5795" s="3">
        <v>140</v>
      </c>
      <c r="B5795" s="2">
        <v>58132.2</v>
      </c>
      <c r="C5795" s="38">
        <v>45121</v>
      </c>
      <c r="D5795" s="1" t="s">
        <v>254</v>
      </c>
      <c r="E5795" s="1" t="s">
        <v>33</v>
      </c>
      <c r="F5795" s="1" t="s">
        <v>200</v>
      </c>
      <c r="G5795" s="5">
        <v>415.23</v>
      </c>
    </row>
    <row r="5796" spans="1:7" x14ac:dyDescent="0.2">
      <c r="A5796" s="3">
        <v>140</v>
      </c>
      <c r="B5796" s="2">
        <v>58132.2</v>
      </c>
      <c r="C5796" s="38">
        <v>45121</v>
      </c>
      <c r="D5796" s="1" t="s">
        <v>254</v>
      </c>
      <c r="E5796" s="1" t="s">
        <v>33</v>
      </c>
      <c r="F5796" s="1" t="s">
        <v>200</v>
      </c>
      <c r="G5796" s="5">
        <v>415.23</v>
      </c>
    </row>
    <row r="5797" spans="1:7" x14ac:dyDescent="0.2">
      <c r="A5797" s="3">
        <v>432</v>
      </c>
      <c r="B5797" s="2">
        <v>46617.120000000003</v>
      </c>
      <c r="C5797" s="38">
        <v>45161</v>
      </c>
      <c r="D5797" s="1" t="s">
        <v>237</v>
      </c>
      <c r="E5797" s="1" t="s">
        <v>33</v>
      </c>
      <c r="F5797" s="1" t="s">
        <v>200</v>
      </c>
      <c r="G5797" s="5">
        <v>107.91</v>
      </c>
    </row>
    <row r="5798" spans="1:7" x14ac:dyDescent="0.2">
      <c r="A5798" s="3">
        <v>324</v>
      </c>
      <c r="B5798" s="2">
        <v>34962.839999999997</v>
      </c>
      <c r="C5798" s="38">
        <v>45161</v>
      </c>
      <c r="D5798" s="1" t="s">
        <v>237</v>
      </c>
      <c r="E5798" s="1" t="s">
        <v>33</v>
      </c>
      <c r="F5798" s="1" t="s">
        <v>200</v>
      </c>
      <c r="G5798" s="5">
        <v>107.91</v>
      </c>
    </row>
    <row r="5799" spans="1:7" x14ac:dyDescent="0.2">
      <c r="A5799" s="3">
        <v>45</v>
      </c>
      <c r="B5799" s="2">
        <v>38581.65</v>
      </c>
      <c r="C5799" s="38">
        <v>45161</v>
      </c>
      <c r="D5799" s="1" t="s">
        <v>267</v>
      </c>
      <c r="E5799" s="1" t="s">
        <v>33</v>
      </c>
      <c r="F5799" s="1" t="s">
        <v>200</v>
      </c>
      <c r="G5799" s="5">
        <v>857.37</v>
      </c>
    </row>
    <row r="5800" spans="1:7" x14ac:dyDescent="0.2">
      <c r="A5800" s="3">
        <v>45</v>
      </c>
      <c r="B5800" s="2">
        <v>38581.65</v>
      </c>
      <c r="C5800" s="38">
        <v>45161</v>
      </c>
      <c r="D5800" s="1" t="s">
        <v>267</v>
      </c>
      <c r="E5800" s="1" t="s">
        <v>33</v>
      </c>
      <c r="F5800" s="1" t="s">
        <v>200</v>
      </c>
      <c r="G5800" s="5">
        <v>857.37</v>
      </c>
    </row>
    <row r="5801" spans="1:7" x14ac:dyDescent="0.2">
      <c r="A5801" s="3">
        <v>45</v>
      </c>
      <c r="B5801" s="2">
        <v>38581.65</v>
      </c>
      <c r="C5801" s="38">
        <v>45161</v>
      </c>
      <c r="D5801" s="1" t="s">
        <v>267</v>
      </c>
      <c r="E5801" s="1" t="s">
        <v>33</v>
      </c>
      <c r="F5801" s="1" t="s">
        <v>200</v>
      </c>
      <c r="G5801" s="5">
        <v>857.37</v>
      </c>
    </row>
    <row r="5802" spans="1:7" x14ac:dyDescent="0.2">
      <c r="A5802" s="3">
        <v>45</v>
      </c>
      <c r="B5802" s="2">
        <v>38581.65</v>
      </c>
      <c r="C5802" s="38">
        <v>45161</v>
      </c>
      <c r="D5802" s="1" t="s">
        <v>267</v>
      </c>
      <c r="E5802" s="1" t="s">
        <v>33</v>
      </c>
      <c r="F5802" s="1" t="s">
        <v>200</v>
      </c>
      <c r="G5802" s="5">
        <v>857.37</v>
      </c>
    </row>
    <row r="5803" spans="1:7" x14ac:dyDescent="0.2">
      <c r="A5803" s="3">
        <v>45</v>
      </c>
      <c r="B5803" s="2">
        <v>38581.65</v>
      </c>
      <c r="C5803" s="38">
        <v>45161</v>
      </c>
      <c r="D5803" s="1" t="s">
        <v>267</v>
      </c>
      <c r="E5803" s="1" t="s">
        <v>33</v>
      </c>
      <c r="F5803" s="1" t="s">
        <v>200</v>
      </c>
      <c r="G5803" s="5">
        <v>857.37</v>
      </c>
    </row>
    <row r="5804" spans="1:7" x14ac:dyDescent="0.2">
      <c r="A5804" s="3">
        <v>45</v>
      </c>
      <c r="B5804" s="2">
        <v>38581.65</v>
      </c>
      <c r="C5804" s="38">
        <v>45161</v>
      </c>
      <c r="D5804" s="1" t="s">
        <v>267</v>
      </c>
      <c r="E5804" s="1" t="s">
        <v>33</v>
      </c>
      <c r="F5804" s="1" t="s">
        <v>200</v>
      </c>
      <c r="G5804" s="5">
        <v>857.37</v>
      </c>
    </row>
    <row r="5805" spans="1:7" x14ac:dyDescent="0.2">
      <c r="A5805" s="3">
        <v>45</v>
      </c>
      <c r="B5805" s="2">
        <v>38581.65</v>
      </c>
      <c r="C5805" s="38">
        <v>45161</v>
      </c>
      <c r="D5805" s="1" t="s">
        <v>267</v>
      </c>
      <c r="E5805" s="1" t="s">
        <v>33</v>
      </c>
      <c r="F5805" s="1" t="s">
        <v>200</v>
      </c>
      <c r="G5805" s="5">
        <v>857.37</v>
      </c>
    </row>
    <row r="5806" spans="1:7" x14ac:dyDescent="0.2">
      <c r="A5806" s="3">
        <v>140</v>
      </c>
      <c r="B5806" s="2">
        <v>58132.2</v>
      </c>
      <c r="C5806" s="38">
        <v>45121</v>
      </c>
      <c r="D5806" s="1" t="s">
        <v>254</v>
      </c>
      <c r="E5806" s="1" t="s">
        <v>33</v>
      </c>
      <c r="F5806" s="1" t="s">
        <v>200</v>
      </c>
      <c r="G5806" s="5">
        <v>415.23</v>
      </c>
    </row>
    <row r="5807" spans="1:7" x14ac:dyDescent="0.2">
      <c r="A5807" s="3">
        <v>140</v>
      </c>
      <c r="B5807" s="2">
        <v>58132.2</v>
      </c>
      <c r="C5807" s="38">
        <v>45121</v>
      </c>
      <c r="D5807" s="1" t="s">
        <v>254</v>
      </c>
      <c r="E5807" s="1" t="s">
        <v>33</v>
      </c>
      <c r="F5807" s="1" t="s">
        <v>200</v>
      </c>
      <c r="G5807" s="5">
        <v>415.23</v>
      </c>
    </row>
    <row r="5808" spans="1:7" x14ac:dyDescent="0.2">
      <c r="A5808" s="3">
        <v>140</v>
      </c>
      <c r="B5808" s="2">
        <v>58132.2</v>
      </c>
      <c r="C5808" s="38">
        <v>45121</v>
      </c>
      <c r="D5808" s="1" t="s">
        <v>254</v>
      </c>
      <c r="E5808" s="1" t="s">
        <v>33</v>
      </c>
      <c r="F5808" s="1" t="s">
        <v>200</v>
      </c>
      <c r="G5808" s="5">
        <v>415.23</v>
      </c>
    </row>
    <row r="5809" spans="1:7" x14ac:dyDescent="0.2">
      <c r="A5809" s="3">
        <v>420</v>
      </c>
      <c r="B5809" s="2">
        <v>318922.8</v>
      </c>
      <c r="C5809" s="38">
        <v>45121</v>
      </c>
      <c r="D5809" s="1" t="s">
        <v>265</v>
      </c>
      <c r="E5809" s="1" t="s">
        <v>33</v>
      </c>
      <c r="F5809" s="1" t="s">
        <v>200</v>
      </c>
      <c r="G5809" s="5">
        <v>759.34</v>
      </c>
    </row>
    <row r="5810" spans="1:7" x14ac:dyDescent="0.2">
      <c r="A5810" s="3">
        <v>540</v>
      </c>
      <c r="B5810" s="2">
        <v>58482</v>
      </c>
      <c r="C5810" s="38">
        <v>44761</v>
      </c>
      <c r="D5810" s="1" t="s">
        <v>237</v>
      </c>
      <c r="E5810" s="1" t="s">
        <v>33</v>
      </c>
      <c r="F5810" s="1" t="s">
        <v>200</v>
      </c>
      <c r="G5810" s="5">
        <v>108.3</v>
      </c>
    </row>
    <row r="5811" spans="1:7" x14ac:dyDescent="0.2">
      <c r="A5811" s="3">
        <v>324</v>
      </c>
      <c r="B5811" s="2">
        <v>35089.199999999997</v>
      </c>
      <c r="C5811" s="38">
        <v>44764</v>
      </c>
      <c r="D5811" s="1" t="s">
        <v>237</v>
      </c>
      <c r="E5811" s="1" t="s">
        <v>33</v>
      </c>
      <c r="F5811" s="1" t="s">
        <v>200</v>
      </c>
      <c r="G5811" s="5">
        <v>108.3</v>
      </c>
    </row>
    <row r="5812" spans="1:7" x14ac:dyDescent="0.2">
      <c r="A5812" s="3">
        <v>60</v>
      </c>
      <c r="B5812" s="2">
        <v>45560.4</v>
      </c>
      <c r="C5812" s="38">
        <v>45169</v>
      </c>
      <c r="D5812" s="1" t="s">
        <v>265</v>
      </c>
      <c r="E5812" s="1" t="s">
        <v>33</v>
      </c>
      <c r="F5812" s="1" t="s">
        <v>200</v>
      </c>
      <c r="G5812" s="5">
        <v>759.34</v>
      </c>
    </row>
    <row r="5813" spans="1:7" x14ac:dyDescent="0.2">
      <c r="A5813" s="3">
        <v>360</v>
      </c>
      <c r="B5813" s="2">
        <v>165855.6</v>
      </c>
      <c r="C5813" s="38">
        <v>45169</v>
      </c>
      <c r="D5813" s="1" t="s">
        <v>304</v>
      </c>
      <c r="E5813" s="1" t="s">
        <v>33</v>
      </c>
      <c r="F5813" s="1" t="s">
        <v>200</v>
      </c>
      <c r="G5813" s="5">
        <v>460.71</v>
      </c>
    </row>
    <row r="5814" spans="1:7" x14ac:dyDescent="0.2">
      <c r="A5814" s="3">
        <v>19</v>
      </c>
      <c r="B5814" s="2">
        <v>8563.49</v>
      </c>
      <c r="C5814" s="38">
        <v>45132</v>
      </c>
      <c r="D5814" s="1" t="s">
        <v>240</v>
      </c>
      <c r="E5814" s="1" t="s">
        <v>33</v>
      </c>
      <c r="F5814" s="1" t="s">
        <v>200</v>
      </c>
      <c r="G5814" s="5">
        <v>450.71</v>
      </c>
    </row>
    <row r="5815" spans="1:7" x14ac:dyDescent="0.2">
      <c r="A5815" s="3">
        <v>252</v>
      </c>
      <c r="B5815" s="2">
        <v>21606.48</v>
      </c>
      <c r="C5815" s="38">
        <v>45132</v>
      </c>
      <c r="D5815" s="1" t="s">
        <v>243</v>
      </c>
      <c r="E5815" s="1" t="s">
        <v>33</v>
      </c>
      <c r="F5815" s="1" t="s">
        <v>200</v>
      </c>
      <c r="G5815" s="5">
        <v>85.74</v>
      </c>
    </row>
    <row r="5816" spans="1:7" x14ac:dyDescent="0.2">
      <c r="A5816" s="3">
        <v>252</v>
      </c>
      <c r="B5816" s="2">
        <v>21606.48</v>
      </c>
      <c r="C5816" s="38">
        <v>45132</v>
      </c>
      <c r="D5816" s="1" t="s">
        <v>243</v>
      </c>
      <c r="E5816" s="1" t="s">
        <v>33</v>
      </c>
      <c r="F5816" s="1" t="s">
        <v>200</v>
      </c>
      <c r="G5816" s="5">
        <v>85.74</v>
      </c>
    </row>
    <row r="5817" spans="1:7" x14ac:dyDescent="0.2">
      <c r="A5817" s="3">
        <v>252</v>
      </c>
      <c r="B5817" s="2">
        <v>21606.48</v>
      </c>
      <c r="C5817" s="38">
        <v>45132</v>
      </c>
      <c r="D5817" s="1" t="s">
        <v>243</v>
      </c>
      <c r="E5817" s="1" t="s">
        <v>33</v>
      </c>
      <c r="F5817" s="1" t="s">
        <v>200</v>
      </c>
      <c r="G5817" s="5">
        <v>85.74</v>
      </c>
    </row>
    <row r="5818" spans="1:7" x14ac:dyDescent="0.2">
      <c r="A5818" s="3">
        <v>252</v>
      </c>
      <c r="B5818" s="2">
        <v>21606.48</v>
      </c>
      <c r="C5818" s="38">
        <v>45132</v>
      </c>
      <c r="D5818" s="1" t="s">
        <v>243</v>
      </c>
      <c r="E5818" s="1" t="s">
        <v>33</v>
      </c>
      <c r="F5818" s="1" t="s">
        <v>200</v>
      </c>
      <c r="G5818" s="5">
        <v>85.74</v>
      </c>
    </row>
    <row r="5819" spans="1:7" x14ac:dyDescent="0.2">
      <c r="A5819" s="3">
        <v>252</v>
      </c>
      <c r="B5819" s="2">
        <v>21606.48</v>
      </c>
      <c r="C5819" s="38">
        <v>45132</v>
      </c>
      <c r="D5819" s="1" t="s">
        <v>243</v>
      </c>
      <c r="E5819" s="1" t="s">
        <v>33</v>
      </c>
      <c r="F5819" s="1" t="s">
        <v>200</v>
      </c>
      <c r="G5819" s="5">
        <v>85.74</v>
      </c>
    </row>
    <row r="5820" spans="1:7" x14ac:dyDescent="0.2">
      <c r="A5820" s="3">
        <v>708</v>
      </c>
      <c r="B5820" s="2">
        <v>2712794.04</v>
      </c>
      <c r="C5820" s="38">
        <v>44859</v>
      </c>
      <c r="D5820" s="1" t="s">
        <v>270</v>
      </c>
      <c r="E5820" s="1" t="s">
        <v>33</v>
      </c>
      <c r="F5820" s="1" t="s">
        <v>200</v>
      </c>
      <c r="G5820" s="5">
        <v>3831.63</v>
      </c>
    </row>
    <row r="5821" spans="1:7" x14ac:dyDescent="0.2">
      <c r="A5821" s="3">
        <v>90</v>
      </c>
      <c r="B5821" s="2">
        <v>39505.5</v>
      </c>
      <c r="C5821" s="38">
        <v>45132</v>
      </c>
      <c r="D5821" s="1" t="s">
        <v>248</v>
      </c>
      <c r="E5821" s="1" t="s">
        <v>33</v>
      </c>
      <c r="F5821" s="1" t="s">
        <v>200</v>
      </c>
      <c r="G5821" s="5">
        <v>438.95</v>
      </c>
    </row>
    <row r="5822" spans="1:7" x14ac:dyDescent="0.2">
      <c r="A5822" s="3">
        <v>90</v>
      </c>
      <c r="B5822" s="2">
        <v>39505.5</v>
      </c>
      <c r="C5822" s="38">
        <v>45132</v>
      </c>
      <c r="D5822" s="1" t="s">
        <v>248</v>
      </c>
      <c r="E5822" s="1" t="s">
        <v>33</v>
      </c>
      <c r="F5822" s="1" t="s">
        <v>200</v>
      </c>
      <c r="G5822" s="5">
        <v>438.95</v>
      </c>
    </row>
    <row r="5823" spans="1:7" x14ac:dyDescent="0.2">
      <c r="A5823" s="3">
        <v>90</v>
      </c>
      <c r="B5823" s="2">
        <v>39505.5</v>
      </c>
      <c r="C5823" s="38">
        <v>45132</v>
      </c>
      <c r="D5823" s="1" t="s">
        <v>248</v>
      </c>
      <c r="E5823" s="1" t="s">
        <v>33</v>
      </c>
      <c r="F5823" s="1" t="s">
        <v>200</v>
      </c>
      <c r="G5823" s="5">
        <v>438.95</v>
      </c>
    </row>
    <row r="5824" spans="1:7" x14ac:dyDescent="0.2">
      <c r="A5824" s="3">
        <v>1820</v>
      </c>
      <c r="B5824" s="2">
        <v>4568.2</v>
      </c>
      <c r="C5824" s="38">
        <v>45132</v>
      </c>
      <c r="D5824" s="1" t="s">
        <v>250</v>
      </c>
      <c r="E5824" s="1" t="s">
        <v>33</v>
      </c>
      <c r="F5824" s="1" t="s">
        <v>200</v>
      </c>
      <c r="G5824" s="5">
        <v>2.5099999999999998</v>
      </c>
    </row>
    <row r="5825" spans="1:7" x14ac:dyDescent="0.2">
      <c r="A5825" s="3">
        <v>1820</v>
      </c>
      <c r="B5825" s="2">
        <v>4568.2</v>
      </c>
      <c r="C5825" s="38">
        <v>45132</v>
      </c>
      <c r="D5825" s="1" t="s">
        <v>250</v>
      </c>
      <c r="E5825" s="1" t="s">
        <v>33</v>
      </c>
      <c r="F5825" s="1" t="s">
        <v>200</v>
      </c>
      <c r="G5825" s="5">
        <v>2.5099999999999998</v>
      </c>
    </row>
    <row r="5826" spans="1:7" x14ac:dyDescent="0.2">
      <c r="A5826" s="3">
        <v>1820</v>
      </c>
      <c r="B5826" s="2">
        <v>4568.2</v>
      </c>
      <c r="C5826" s="38">
        <v>45132</v>
      </c>
      <c r="D5826" s="1" t="s">
        <v>250</v>
      </c>
      <c r="E5826" s="1" t="s">
        <v>33</v>
      </c>
      <c r="F5826" s="1" t="s">
        <v>200</v>
      </c>
      <c r="G5826" s="5">
        <v>2.5099999999999998</v>
      </c>
    </row>
    <row r="5827" spans="1:7" x14ac:dyDescent="0.2">
      <c r="A5827" s="3">
        <v>1820</v>
      </c>
      <c r="B5827" s="2">
        <v>4568.2</v>
      </c>
      <c r="C5827" s="38">
        <v>45132</v>
      </c>
      <c r="D5827" s="1" t="s">
        <v>250</v>
      </c>
      <c r="E5827" s="1" t="s">
        <v>33</v>
      </c>
      <c r="F5827" s="1" t="s">
        <v>200</v>
      </c>
      <c r="G5827" s="5">
        <v>2.5099999999999998</v>
      </c>
    </row>
    <row r="5828" spans="1:7" x14ac:dyDescent="0.2">
      <c r="A5828" s="3">
        <v>1820</v>
      </c>
      <c r="B5828" s="2">
        <v>4568.2</v>
      </c>
      <c r="C5828" s="38">
        <v>45132</v>
      </c>
      <c r="D5828" s="1" t="s">
        <v>250</v>
      </c>
      <c r="E5828" s="1" t="s">
        <v>33</v>
      </c>
      <c r="F5828" s="1" t="s">
        <v>200</v>
      </c>
      <c r="G5828" s="5">
        <v>2.5099999999999998</v>
      </c>
    </row>
    <row r="5829" spans="1:7" x14ac:dyDescent="0.2">
      <c r="A5829" s="3">
        <v>1820</v>
      </c>
      <c r="B5829" s="2">
        <v>4568.2</v>
      </c>
      <c r="C5829" s="38">
        <v>45132</v>
      </c>
      <c r="D5829" s="1" t="s">
        <v>250</v>
      </c>
      <c r="E5829" s="1" t="s">
        <v>33</v>
      </c>
      <c r="F5829" s="1" t="s">
        <v>200</v>
      </c>
      <c r="G5829" s="5">
        <v>2.5099999999999998</v>
      </c>
    </row>
    <row r="5830" spans="1:7" x14ac:dyDescent="0.2">
      <c r="A5830" s="3">
        <v>140</v>
      </c>
      <c r="B5830" s="2">
        <v>58132.2</v>
      </c>
      <c r="C5830" s="38">
        <v>45132</v>
      </c>
      <c r="D5830" s="1" t="s">
        <v>254</v>
      </c>
      <c r="E5830" s="1" t="s">
        <v>33</v>
      </c>
      <c r="F5830" s="1" t="s">
        <v>200</v>
      </c>
      <c r="G5830" s="5">
        <v>415.23</v>
      </c>
    </row>
    <row r="5831" spans="1:7" x14ac:dyDescent="0.2">
      <c r="A5831" s="3">
        <v>140</v>
      </c>
      <c r="B5831" s="2">
        <v>58132.2</v>
      </c>
      <c r="C5831" s="38">
        <v>45132</v>
      </c>
      <c r="D5831" s="1" t="s">
        <v>254</v>
      </c>
      <c r="E5831" s="1" t="s">
        <v>33</v>
      </c>
      <c r="F5831" s="1" t="s">
        <v>200</v>
      </c>
      <c r="G5831" s="5">
        <v>415.23</v>
      </c>
    </row>
    <row r="5832" spans="1:7" x14ac:dyDescent="0.2">
      <c r="A5832" s="3">
        <v>140</v>
      </c>
      <c r="B5832" s="2">
        <v>58132.2</v>
      </c>
      <c r="C5832" s="38">
        <v>45132</v>
      </c>
      <c r="D5832" s="1" t="s">
        <v>254</v>
      </c>
      <c r="E5832" s="1" t="s">
        <v>33</v>
      </c>
      <c r="F5832" s="1" t="s">
        <v>200</v>
      </c>
      <c r="G5832" s="5">
        <v>415.23</v>
      </c>
    </row>
    <row r="5833" spans="1:7" x14ac:dyDescent="0.2">
      <c r="A5833" s="3">
        <v>140</v>
      </c>
      <c r="B5833" s="2">
        <v>58132.2</v>
      </c>
      <c r="C5833" s="38">
        <v>45132</v>
      </c>
      <c r="D5833" s="1" t="s">
        <v>254</v>
      </c>
      <c r="E5833" s="1" t="s">
        <v>33</v>
      </c>
      <c r="F5833" s="1" t="s">
        <v>200</v>
      </c>
      <c r="G5833" s="5">
        <v>415.23</v>
      </c>
    </row>
    <row r="5834" spans="1:7" x14ac:dyDescent="0.2">
      <c r="A5834" s="3">
        <v>140</v>
      </c>
      <c r="B5834" s="2">
        <v>53718</v>
      </c>
      <c r="C5834" s="38">
        <v>45132</v>
      </c>
      <c r="D5834" s="1" t="s">
        <v>256</v>
      </c>
      <c r="E5834" s="1" t="s">
        <v>33</v>
      </c>
      <c r="F5834" s="1" t="s">
        <v>200</v>
      </c>
      <c r="G5834" s="5">
        <v>383.7</v>
      </c>
    </row>
    <row r="5835" spans="1:7" x14ac:dyDescent="0.2">
      <c r="A5835" s="3">
        <v>140</v>
      </c>
      <c r="B5835" s="2">
        <v>53718</v>
      </c>
      <c r="C5835" s="38">
        <v>45132</v>
      </c>
      <c r="D5835" s="1" t="s">
        <v>256</v>
      </c>
      <c r="E5835" s="1" t="s">
        <v>33</v>
      </c>
      <c r="F5835" s="1" t="s">
        <v>200</v>
      </c>
      <c r="G5835" s="5">
        <v>383.7</v>
      </c>
    </row>
    <row r="5836" spans="1:7" x14ac:dyDescent="0.2">
      <c r="A5836" s="3">
        <v>140</v>
      </c>
      <c r="B5836" s="2">
        <v>53718</v>
      </c>
      <c r="C5836" s="38">
        <v>45132</v>
      </c>
      <c r="D5836" s="1" t="s">
        <v>256</v>
      </c>
      <c r="E5836" s="1" t="s">
        <v>33</v>
      </c>
      <c r="F5836" s="1" t="s">
        <v>200</v>
      </c>
      <c r="G5836" s="5">
        <v>383.7</v>
      </c>
    </row>
    <row r="5837" spans="1:7" x14ac:dyDescent="0.2">
      <c r="A5837" s="3">
        <v>540</v>
      </c>
      <c r="B5837" s="2">
        <v>58482</v>
      </c>
      <c r="C5837" s="38">
        <v>44806</v>
      </c>
      <c r="D5837" s="1" t="s">
        <v>237</v>
      </c>
      <c r="E5837" s="1" t="s">
        <v>33</v>
      </c>
      <c r="F5837" s="1" t="s">
        <v>200</v>
      </c>
      <c r="G5837" s="5">
        <v>108.3</v>
      </c>
    </row>
    <row r="5838" spans="1:7" x14ac:dyDescent="0.2">
      <c r="A5838" s="3">
        <v>60</v>
      </c>
      <c r="B5838" s="2">
        <v>26432.400000000001</v>
      </c>
      <c r="C5838" s="38">
        <v>44806</v>
      </c>
      <c r="D5838" s="1" t="s">
        <v>248</v>
      </c>
      <c r="E5838" s="1" t="s">
        <v>33</v>
      </c>
      <c r="F5838" s="1" t="s">
        <v>200</v>
      </c>
      <c r="G5838" s="5">
        <v>440.54</v>
      </c>
    </row>
    <row r="5839" spans="1:7" x14ac:dyDescent="0.2">
      <c r="A5839" s="3">
        <v>60</v>
      </c>
      <c r="B5839" s="2">
        <v>26432.400000000001</v>
      </c>
      <c r="C5839" s="38">
        <v>44806</v>
      </c>
      <c r="D5839" s="1" t="s">
        <v>248</v>
      </c>
      <c r="E5839" s="1" t="s">
        <v>33</v>
      </c>
      <c r="F5839" s="1" t="s">
        <v>200</v>
      </c>
      <c r="G5839" s="5">
        <v>440.54</v>
      </c>
    </row>
    <row r="5840" spans="1:7" x14ac:dyDescent="0.2">
      <c r="A5840" s="3">
        <v>588</v>
      </c>
      <c r="B5840" s="2">
        <v>58982.28</v>
      </c>
      <c r="C5840" s="38">
        <v>44806</v>
      </c>
      <c r="D5840" s="1" t="s">
        <v>251</v>
      </c>
      <c r="E5840" s="1" t="s">
        <v>33</v>
      </c>
      <c r="F5840" s="1" t="s">
        <v>200</v>
      </c>
      <c r="G5840" s="5">
        <v>100.31</v>
      </c>
    </row>
    <row r="5841" spans="1:7" x14ac:dyDescent="0.2">
      <c r="A5841" s="3">
        <v>60</v>
      </c>
      <c r="B5841" s="2">
        <v>45724.800000000003</v>
      </c>
      <c r="C5841" s="38">
        <v>44862</v>
      </c>
      <c r="D5841" s="1" t="s">
        <v>265</v>
      </c>
      <c r="E5841" s="1" t="s">
        <v>33</v>
      </c>
      <c r="F5841" s="1" t="s">
        <v>200</v>
      </c>
      <c r="G5841" s="5">
        <v>762.08</v>
      </c>
    </row>
    <row r="5842" spans="1:7" x14ac:dyDescent="0.2">
      <c r="A5842" s="3">
        <v>420</v>
      </c>
      <c r="B5842" s="2">
        <v>320073.59999999998</v>
      </c>
      <c r="C5842" s="38">
        <v>44862</v>
      </c>
      <c r="D5842" s="1" t="s">
        <v>265</v>
      </c>
      <c r="E5842" s="1" t="s">
        <v>33</v>
      </c>
      <c r="F5842" s="1" t="s">
        <v>200</v>
      </c>
      <c r="G5842" s="5">
        <v>762.08</v>
      </c>
    </row>
    <row r="5843" spans="1:7" x14ac:dyDescent="0.2">
      <c r="A5843" s="3">
        <v>-35</v>
      </c>
      <c r="B5843" s="2">
        <v>-3718.4</v>
      </c>
      <c r="C5843" s="38">
        <v>45114</v>
      </c>
      <c r="D5843" s="1" t="s">
        <v>247</v>
      </c>
      <c r="E5843" s="1" t="s">
        <v>33</v>
      </c>
      <c r="F5843" s="1" t="s">
        <v>211</v>
      </c>
      <c r="G5843" s="5">
        <v>106.24</v>
      </c>
    </row>
    <row r="5844" spans="1:7" x14ac:dyDescent="0.2">
      <c r="A5844" s="3">
        <v>-270</v>
      </c>
      <c r="B5844" s="2">
        <v>-28684.799999999999</v>
      </c>
      <c r="C5844" s="38">
        <v>45114</v>
      </c>
      <c r="D5844" s="1" t="s">
        <v>247</v>
      </c>
      <c r="E5844" s="1" t="s">
        <v>33</v>
      </c>
      <c r="F5844" s="1" t="s">
        <v>211</v>
      </c>
      <c r="G5844" s="5">
        <v>106.24</v>
      </c>
    </row>
    <row r="5845" spans="1:7" x14ac:dyDescent="0.2">
      <c r="A5845" s="3">
        <v>-95</v>
      </c>
      <c r="B5845" s="2">
        <v>-10092.799999999999</v>
      </c>
      <c r="C5845" s="38">
        <v>45114</v>
      </c>
      <c r="D5845" s="1" t="s">
        <v>247</v>
      </c>
      <c r="E5845" s="1" t="s">
        <v>33</v>
      </c>
      <c r="F5845" s="1" t="s">
        <v>211</v>
      </c>
      <c r="G5845" s="5">
        <v>106.24</v>
      </c>
    </row>
    <row r="5846" spans="1:7" x14ac:dyDescent="0.2">
      <c r="A5846" s="3">
        <v>35</v>
      </c>
      <c r="B5846" s="2">
        <v>3941.35</v>
      </c>
      <c r="C5846" s="38">
        <v>45114</v>
      </c>
      <c r="D5846" s="1" t="s">
        <v>247</v>
      </c>
      <c r="E5846" s="1" t="s">
        <v>33</v>
      </c>
      <c r="F5846" s="1" t="s">
        <v>211</v>
      </c>
      <c r="G5846" s="5">
        <v>112.61</v>
      </c>
    </row>
    <row r="5847" spans="1:7" x14ac:dyDescent="0.2">
      <c r="A5847" s="3">
        <v>270</v>
      </c>
      <c r="B5847" s="2">
        <v>30404.7</v>
      </c>
      <c r="C5847" s="38">
        <v>45114</v>
      </c>
      <c r="D5847" s="1" t="s">
        <v>247</v>
      </c>
      <c r="E5847" s="1" t="s">
        <v>33</v>
      </c>
      <c r="F5847" s="1" t="s">
        <v>211</v>
      </c>
      <c r="G5847" s="5">
        <v>112.61</v>
      </c>
    </row>
    <row r="5848" spans="1:7" x14ac:dyDescent="0.2">
      <c r="A5848" s="3">
        <v>95</v>
      </c>
      <c r="B5848" s="2">
        <v>10697.95</v>
      </c>
      <c r="C5848" s="38">
        <v>45114</v>
      </c>
      <c r="D5848" s="1" t="s">
        <v>247</v>
      </c>
      <c r="E5848" s="1" t="s">
        <v>33</v>
      </c>
      <c r="F5848" s="1" t="s">
        <v>211</v>
      </c>
      <c r="G5848" s="5">
        <v>112.61</v>
      </c>
    </row>
    <row r="5849" spans="1:7" x14ac:dyDescent="0.2">
      <c r="A5849" s="3">
        <v>576</v>
      </c>
      <c r="B5849" s="2">
        <v>222497.28</v>
      </c>
      <c r="C5849" s="38">
        <v>44678</v>
      </c>
      <c r="D5849" s="1" t="s">
        <v>314</v>
      </c>
      <c r="E5849" s="1" t="s">
        <v>33</v>
      </c>
      <c r="F5849" s="1" t="s">
        <v>211</v>
      </c>
      <c r="G5849" s="5">
        <v>386.28</v>
      </c>
    </row>
    <row r="5850" spans="1:7" x14ac:dyDescent="0.2">
      <c r="A5850" s="3">
        <v>576</v>
      </c>
      <c r="B5850" s="2">
        <v>222497.28</v>
      </c>
      <c r="C5850" s="38">
        <v>44937</v>
      </c>
      <c r="D5850" s="1" t="s">
        <v>314</v>
      </c>
      <c r="E5850" s="1" t="s">
        <v>33</v>
      </c>
      <c r="F5850" s="1" t="s">
        <v>211</v>
      </c>
      <c r="G5850" s="5">
        <v>386.28</v>
      </c>
    </row>
    <row r="5851" spans="1:7" x14ac:dyDescent="0.2">
      <c r="A5851" s="3">
        <v>252</v>
      </c>
      <c r="B5851" s="2">
        <v>17481.240000000002</v>
      </c>
      <c r="C5851" s="38">
        <v>44992</v>
      </c>
      <c r="D5851" s="1" t="s">
        <v>285</v>
      </c>
      <c r="E5851" s="1" t="s">
        <v>33</v>
      </c>
      <c r="F5851" s="1" t="s">
        <v>211</v>
      </c>
      <c r="G5851" s="5">
        <v>69.37</v>
      </c>
    </row>
    <row r="5852" spans="1:7" x14ac:dyDescent="0.2">
      <c r="A5852" s="3">
        <v>300</v>
      </c>
      <c r="B5852" s="2">
        <v>3381</v>
      </c>
      <c r="C5852" s="38">
        <v>44995</v>
      </c>
      <c r="D5852" s="1" t="s">
        <v>312</v>
      </c>
      <c r="E5852" s="1" t="s">
        <v>33</v>
      </c>
      <c r="F5852" s="1" t="s">
        <v>211</v>
      </c>
      <c r="G5852" s="5">
        <v>11.27</v>
      </c>
    </row>
    <row r="5853" spans="1:7" x14ac:dyDescent="0.2">
      <c r="A5853" s="3">
        <v>70</v>
      </c>
      <c r="B5853" s="2">
        <v>39788</v>
      </c>
      <c r="C5853" s="38">
        <v>44946</v>
      </c>
      <c r="D5853" s="1" t="s">
        <v>346</v>
      </c>
      <c r="E5853" s="1" t="s">
        <v>33</v>
      </c>
      <c r="F5853" s="1" t="s">
        <v>211</v>
      </c>
      <c r="G5853" s="5">
        <v>568.4</v>
      </c>
    </row>
    <row r="5854" spans="1:7" x14ac:dyDescent="0.2">
      <c r="A5854" s="3">
        <v>300</v>
      </c>
      <c r="B5854" s="2">
        <v>3381</v>
      </c>
      <c r="C5854" s="38">
        <v>44946</v>
      </c>
      <c r="D5854" s="1" t="s">
        <v>312</v>
      </c>
      <c r="E5854" s="1" t="s">
        <v>33</v>
      </c>
      <c r="F5854" s="1" t="s">
        <v>211</v>
      </c>
      <c r="G5854" s="5">
        <v>11.27</v>
      </c>
    </row>
    <row r="5855" spans="1:7" x14ac:dyDescent="0.2">
      <c r="A5855" s="3">
        <v>1120</v>
      </c>
      <c r="B5855" s="2">
        <v>62227.199999999997</v>
      </c>
      <c r="C5855" s="38">
        <v>44946</v>
      </c>
      <c r="D5855" s="1" t="s">
        <v>252</v>
      </c>
      <c r="E5855" s="1" t="s">
        <v>33</v>
      </c>
      <c r="F5855" s="1" t="s">
        <v>211</v>
      </c>
      <c r="G5855" s="5">
        <v>55.56</v>
      </c>
    </row>
    <row r="5856" spans="1:7" x14ac:dyDescent="0.2">
      <c r="A5856" s="3">
        <v>155</v>
      </c>
      <c r="B5856" s="2">
        <v>10752.35</v>
      </c>
      <c r="C5856" s="38">
        <v>45020</v>
      </c>
      <c r="D5856" s="1" t="s">
        <v>285</v>
      </c>
      <c r="E5856" s="1" t="s">
        <v>33</v>
      </c>
      <c r="F5856" s="1" t="s">
        <v>211</v>
      </c>
      <c r="G5856" s="5">
        <v>69.37</v>
      </c>
    </row>
    <row r="5857" spans="1:7" x14ac:dyDescent="0.2">
      <c r="A5857" s="3">
        <v>300</v>
      </c>
      <c r="B5857" s="2">
        <v>3189</v>
      </c>
      <c r="C5857" s="38">
        <v>44687</v>
      </c>
      <c r="D5857" s="1" t="s">
        <v>312</v>
      </c>
      <c r="E5857" s="1" t="s">
        <v>33</v>
      </c>
      <c r="F5857" s="1" t="s">
        <v>211</v>
      </c>
      <c r="G5857" s="5">
        <v>10.63</v>
      </c>
    </row>
    <row r="5858" spans="1:7" x14ac:dyDescent="0.2">
      <c r="A5858" s="3">
        <v>576</v>
      </c>
      <c r="B5858" s="2">
        <v>222497.28</v>
      </c>
      <c r="C5858" s="38">
        <v>44687</v>
      </c>
      <c r="D5858" s="1" t="s">
        <v>314</v>
      </c>
      <c r="E5858" s="1" t="s">
        <v>33</v>
      </c>
      <c r="F5858" s="1" t="s">
        <v>211</v>
      </c>
      <c r="G5858" s="5">
        <v>386.28</v>
      </c>
    </row>
    <row r="5859" spans="1:7" x14ac:dyDescent="0.2">
      <c r="A5859" s="3">
        <v>70</v>
      </c>
      <c r="B5859" s="2">
        <v>41965.7</v>
      </c>
      <c r="C5859" s="38">
        <v>45054</v>
      </c>
      <c r="D5859" s="1" t="s">
        <v>346</v>
      </c>
      <c r="E5859" s="1" t="s">
        <v>33</v>
      </c>
      <c r="F5859" s="1" t="s">
        <v>211</v>
      </c>
      <c r="G5859" s="5">
        <v>599.51</v>
      </c>
    </row>
    <row r="5860" spans="1:7" x14ac:dyDescent="0.2">
      <c r="A5860" s="3">
        <v>300</v>
      </c>
      <c r="B5860" s="2">
        <v>3381</v>
      </c>
      <c r="C5860" s="38">
        <v>45054</v>
      </c>
      <c r="D5860" s="1" t="s">
        <v>312</v>
      </c>
      <c r="E5860" s="1" t="s">
        <v>33</v>
      </c>
      <c r="F5860" s="1" t="s">
        <v>211</v>
      </c>
      <c r="G5860" s="5">
        <v>11.27</v>
      </c>
    </row>
    <row r="5861" spans="1:7" x14ac:dyDescent="0.2">
      <c r="A5861" s="3">
        <v>1440</v>
      </c>
      <c r="B5861" s="2">
        <v>362649.59999999998</v>
      </c>
      <c r="C5861" s="38">
        <v>45054</v>
      </c>
      <c r="D5861" s="1" t="s">
        <v>357</v>
      </c>
      <c r="E5861" s="1" t="s">
        <v>33</v>
      </c>
      <c r="F5861" s="1" t="s">
        <v>211</v>
      </c>
      <c r="G5861" s="5">
        <v>251.84</v>
      </c>
    </row>
    <row r="5862" spans="1:7" x14ac:dyDescent="0.2">
      <c r="A5862" s="3">
        <v>1440</v>
      </c>
      <c r="B5862" s="2">
        <v>362649.59999999998</v>
      </c>
      <c r="C5862" s="38">
        <v>45089</v>
      </c>
      <c r="D5862" s="1" t="s">
        <v>357</v>
      </c>
      <c r="E5862" s="1" t="s">
        <v>33</v>
      </c>
      <c r="F5862" s="1" t="s">
        <v>211</v>
      </c>
      <c r="G5862" s="5">
        <v>251.84</v>
      </c>
    </row>
    <row r="5863" spans="1:7" x14ac:dyDescent="0.2">
      <c r="A5863" s="3">
        <v>1120</v>
      </c>
      <c r="B5863" s="2">
        <v>62227.199999999997</v>
      </c>
      <c r="C5863" s="38">
        <v>45036</v>
      </c>
      <c r="D5863" s="1" t="s">
        <v>252</v>
      </c>
      <c r="E5863" s="1" t="s">
        <v>33</v>
      </c>
      <c r="F5863" s="1" t="s">
        <v>211</v>
      </c>
      <c r="G5863" s="5">
        <v>55.56</v>
      </c>
    </row>
    <row r="5864" spans="1:7" x14ac:dyDescent="0.2">
      <c r="A5864" s="3">
        <v>27000</v>
      </c>
      <c r="B5864" s="2">
        <v>2640.6</v>
      </c>
      <c r="C5864" s="38">
        <v>44972</v>
      </c>
      <c r="D5864" s="1" t="s">
        <v>294</v>
      </c>
      <c r="E5864" s="1" t="s">
        <v>33</v>
      </c>
      <c r="F5864" s="1" t="s">
        <v>211</v>
      </c>
      <c r="G5864" s="5">
        <v>9.7799999999999998E-2</v>
      </c>
    </row>
    <row r="5865" spans="1:7" x14ac:dyDescent="0.2">
      <c r="A5865" s="3">
        <v>1120</v>
      </c>
      <c r="B5865" s="2">
        <v>58710.400000000001</v>
      </c>
      <c r="C5865" s="38">
        <v>44699</v>
      </c>
      <c r="D5865" s="1" t="s">
        <v>252</v>
      </c>
      <c r="E5865" s="1" t="s">
        <v>33</v>
      </c>
      <c r="F5865" s="1" t="s">
        <v>211</v>
      </c>
      <c r="G5865" s="5">
        <v>52.42</v>
      </c>
    </row>
    <row r="5866" spans="1:7" x14ac:dyDescent="0.2">
      <c r="A5866" s="3">
        <v>1120</v>
      </c>
      <c r="B5866" s="2">
        <v>58710.400000000001</v>
      </c>
      <c r="C5866" s="38">
        <v>44704</v>
      </c>
      <c r="D5866" s="1" t="s">
        <v>252</v>
      </c>
      <c r="E5866" s="1" t="s">
        <v>33</v>
      </c>
      <c r="F5866" s="1" t="s">
        <v>211</v>
      </c>
      <c r="G5866" s="5">
        <v>52.42</v>
      </c>
    </row>
    <row r="5867" spans="1:7" x14ac:dyDescent="0.2">
      <c r="A5867" s="3">
        <v>576</v>
      </c>
      <c r="B5867" s="2">
        <v>235843.20000000001</v>
      </c>
      <c r="C5867" s="38">
        <v>45133</v>
      </c>
      <c r="D5867" s="1" t="s">
        <v>314</v>
      </c>
      <c r="E5867" s="1" t="s">
        <v>33</v>
      </c>
      <c r="F5867" s="1" t="s">
        <v>211</v>
      </c>
      <c r="G5867" s="5">
        <v>409.45</v>
      </c>
    </row>
    <row r="5868" spans="1:7" x14ac:dyDescent="0.2">
      <c r="A5868" s="3">
        <v>1440</v>
      </c>
      <c r="B5868" s="2">
        <v>362649.59999999998</v>
      </c>
      <c r="C5868" s="38">
        <v>45134</v>
      </c>
      <c r="D5868" s="1" t="s">
        <v>357</v>
      </c>
      <c r="E5868" s="1" t="s">
        <v>33</v>
      </c>
      <c r="F5868" s="1" t="s">
        <v>211</v>
      </c>
      <c r="G5868" s="5">
        <v>251.84</v>
      </c>
    </row>
    <row r="5869" spans="1:7" x14ac:dyDescent="0.2">
      <c r="A5869" s="3">
        <v>70</v>
      </c>
      <c r="B5869" s="2">
        <v>41965.7</v>
      </c>
      <c r="C5869" s="38">
        <v>45147</v>
      </c>
      <c r="D5869" s="1" t="s">
        <v>346</v>
      </c>
      <c r="E5869" s="1" t="s">
        <v>33</v>
      </c>
      <c r="F5869" s="1" t="s">
        <v>211</v>
      </c>
      <c r="G5869" s="5">
        <v>599.51</v>
      </c>
    </row>
    <row r="5870" spans="1:7" x14ac:dyDescent="0.2">
      <c r="A5870" s="3">
        <v>300</v>
      </c>
      <c r="B5870" s="2">
        <v>3381</v>
      </c>
      <c r="C5870" s="38">
        <v>45154</v>
      </c>
      <c r="D5870" s="1" t="s">
        <v>312</v>
      </c>
      <c r="E5870" s="1" t="s">
        <v>33</v>
      </c>
      <c r="F5870" s="1" t="s">
        <v>211</v>
      </c>
      <c r="G5870" s="5">
        <v>11.27</v>
      </c>
    </row>
    <row r="5871" spans="1:7" x14ac:dyDescent="0.2">
      <c r="A5871" s="3">
        <v>1120</v>
      </c>
      <c r="B5871" s="2">
        <v>58699.199999999997</v>
      </c>
      <c r="C5871" s="38">
        <v>44841</v>
      </c>
      <c r="D5871" s="1" t="s">
        <v>252</v>
      </c>
      <c r="E5871" s="1" t="s">
        <v>33</v>
      </c>
      <c r="F5871" s="1" t="s">
        <v>211</v>
      </c>
      <c r="G5871" s="5">
        <v>52.41</v>
      </c>
    </row>
    <row r="5872" spans="1:7" x14ac:dyDescent="0.2">
      <c r="A5872" s="3">
        <v>380</v>
      </c>
      <c r="B5872" s="2">
        <v>19915.8</v>
      </c>
      <c r="C5872" s="38">
        <v>44841</v>
      </c>
      <c r="D5872" s="1" t="s">
        <v>252</v>
      </c>
      <c r="E5872" s="1" t="s">
        <v>33</v>
      </c>
      <c r="F5872" s="1" t="s">
        <v>211</v>
      </c>
      <c r="G5872" s="5">
        <v>52.41</v>
      </c>
    </row>
    <row r="5873" spans="1:7" x14ac:dyDescent="0.2">
      <c r="A5873" s="3">
        <v>1120</v>
      </c>
      <c r="B5873" s="2">
        <v>58699.199999999997</v>
      </c>
      <c r="C5873" s="38">
        <v>44841</v>
      </c>
      <c r="D5873" s="1" t="s">
        <v>252</v>
      </c>
      <c r="E5873" s="1" t="s">
        <v>33</v>
      </c>
      <c r="F5873" s="1" t="s">
        <v>211</v>
      </c>
      <c r="G5873" s="5">
        <v>52.41</v>
      </c>
    </row>
    <row r="5874" spans="1:7" x14ac:dyDescent="0.2">
      <c r="A5874" s="3">
        <v>1440</v>
      </c>
      <c r="B5874" s="2">
        <v>342129.6</v>
      </c>
      <c r="C5874" s="38">
        <v>44845</v>
      </c>
      <c r="D5874" s="1" t="s">
        <v>357</v>
      </c>
      <c r="E5874" s="1" t="s">
        <v>33</v>
      </c>
      <c r="F5874" s="1" t="s">
        <v>211</v>
      </c>
      <c r="G5874" s="5">
        <v>237.59</v>
      </c>
    </row>
    <row r="5875" spans="1:7" x14ac:dyDescent="0.2">
      <c r="A5875" s="3">
        <v>300</v>
      </c>
      <c r="B5875" s="2">
        <v>3189</v>
      </c>
      <c r="C5875" s="38">
        <v>44900</v>
      </c>
      <c r="D5875" s="1" t="s">
        <v>312</v>
      </c>
      <c r="E5875" s="1" t="s">
        <v>33</v>
      </c>
      <c r="F5875" s="1" t="s">
        <v>211</v>
      </c>
      <c r="G5875" s="5">
        <v>10.63</v>
      </c>
    </row>
    <row r="5876" spans="1:7" x14ac:dyDescent="0.2">
      <c r="A5876" s="3">
        <v>300</v>
      </c>
      <c r="B5876" s="2">
        <v>3189</v>
      </c>
      <c r="C5876" s="38">
        <v>44900</v>
      </c>
      <c r="D5876" s="1" t="s">
        <v>312</v>
      </c>
      <c r="E5876" s="1" t="s">
        <v>33</v>
      </c>
      <c r="F5876" s="1" t="s">
        <v>211</v>
      </c>
      <c r="G5876" s="5">
        <v>10.63</v>
      </c>
    </row>
    <row r="5877" spans="1:7" x14ac:dyDescent="0.2">
      <c r="A5877" s="3">
        <v>300</v>
      </c>
      <c r="B5877" s="2">
        <v>3189</v>
      </c>
      <c r="C5877" s="38">
        <v>44900</v>
      </c>
      <c r="D5877" s="1" t="s">
        <v>312</v>
      </c>
      <c r="E5877" s="1" t="s">
        <v>33</v>
      </c>
      <c r="F5877" s="1" t="s">
        <v>211</v>
      </c>
      <c r="G5877" s="5">
        <v>10.63</v>
      </c>
    </row>
    <row r="5878" spans="1:7" x14ac:dyDescent="0.2">
      <c r="A5878" s="3">
        <v>300</v>
      </c>
      <c r="B5878" s="2">
        <v>3381</v>
      </c>
      <c r="C5878" s="38">
        <v>45114</v>
      </c>
      <c r="D5878" s="1" t="s">
        <v>312</v>
      </c>
      <c r="E5878" s="1" t="s">
        <v>33</v>
      </c>
      <c r="F5878" s="1" t="s">
        <v>211</v>
      </c>
      <c r="G5878" s="5">
        <v>11.27</v>
      </c>
    </row>
    <row r="5879" spans="1:7" x14ac:dyDescent="0.2">
      <c r="A5879" s="3">
        <v>576</v>
      </c>
      <c r="B5879" s="2">
        <v>222497.28</v>
      </c>
      <c r="C5879" s="38">
        <v>44847</v>
      </c>
      <c r="D5879" s="1" t="s">
        <v>314</v>
      </c>
      <c r="E5879" s="1" t="s">
        <v>33</v>
      </c>
      <c r="F5879" s="1" t="s">
        <v>211</v>
      </c>
      <c r="G5879" s="5">
        <v>386.28</v>
      </c>
    </row>
    <row r="5880" spans="1:7" x14ac:dyDescent="0.2">
      <c r="A5880" s="3">
        <v>740</v>
      </c>
      <c r="B5880" s="2">
        <v>38783.4</v>
      </c>
      <c r="C5880" s="38">
        <v>44910</v>
      </c>
      <c r="D5880" s="1" t="s">
        <v>252</v>
      </c>
      <c r="E5880" s="1" t="s">
        <v>33</v>
      </c>
      <c r="F5880" s="1" t="s">
        <v>211</v>
      </c>
      <c r="G5880" s="5">
        <v>52.41</v>
      </c>
    </row>
    <row r="5881" spans="1:7" x14ac:dyDescent="0.2">
      <c r="A5881" s="3">
        <v>380</v>
      </c>
      <c r="B5881" s="2">
        <v>19915.8</v>
      </c>
      <c r="C5881" s="38">
        <v>44910</v>
      </c>
      <c r="D5881" s="1" t="s">
        <v>252</v>
      </c>
      <c r="E5881" s="1" t="s">
        <v>33</v>
      </c>
      <c r="F5881" s="1" t="s">
        <v>211</v>
      </c>
      <c r="G5881" s="5">
        <v>52.41</v>
      </c>
    </row>
    <row r="5882" spans="1:7" x14ac:dyDescent="0.2">
      <c r="A5882" s="3">
        <v>300</v>
      </c>
      <c r="B5882" s="2">
        <v>3189</v>
      </c>
      <c r="C5882" s="38">
        <v>44753</v>
      </c>
      <c r="D5882" s="1" t="s">
        <v>312</v>
      </c>
      <c r="E5882" s="1" t="s">
        <v>33</v>
      </c>
      <c r="F5882" s="1" t="s">
        <v>211</v>
      </c>
      <c r="G5882" s="5">
        <v>10.63</v>
      </c>
    </row>
    <row r="5883" spans="1:7" x14ac:dyDescent="0.2">
      <c r="A5883" s="3">
        <v>1440</v>
      </c>
      <c r="B5883" s="2">
        <v>342129.6</v>
      </c>
      <c r="C5883" s="38">
        <v>44755</v>
      </c>
      <c r="D5883" s="1" t="s">
        <v>357</v>
      </c>
      <c r="E5883" s="1" t="s">
        <v>33</v>
      </c>
      <c r="F5883" s="1" t="s">
        <v>211</v>
      </c>
      <c r="G5883" s="5">
        <v>237.59</v>
      </c>
    </row>
    <row r="5884" spans="1:7" x14ac:dyDescent="0.2">
      <c r="A5884" s="3">
        <v>1120</v>
      </c>
      <c r="B5884" s="2">
        <v>62227.199999999997</v>
      </c>
      <c r="C5884" s="38">
        <v>45161</v>
      </c>
      <c r="D5884" s="1" t="s">
        <v>252</v>
      </c>
      <c r="E5884" s="1" t="s">
        <v>33</v>
      </c>
      <c r="F5884" s="1" t="s">
        <v>211</v>
      </c>
      <c r="G5884" s="5">
        <v>55.56</v>
      </c>
    </row>
    <row r="5885" spans="1:7" x14ac:dyDescent="0.2">
      <c r="A5885" s="3">
        <v>740</v>
      </c>
      <c r="B5885" s="2">
        <v>38783.4</v>
      </c>
      <c r="C5885" s="38">
        <v>44915</v>
      </c>
      <c r="D5885" s="1" t="s">
        <v>252</v>
      </c>
      <c r="E5885" s="1" t="s">
        <v>33</v>
      </c>
      <c r="F5885" s="1" t="s">
        <v>211</v>
      </c>
      <c r="G5885" s="5">
        <v>52.41</v>
      </c>
    </row>
    <row r="5886" spans="1:7" x14ac:dyDescent="0.2">
      <c r="A5886" s="3">
        <v>576</v>
      </c>
      <c r="B5886" s="2">
        <v>222497.28</v>
      </c>
      <c r="C5886" s="38">
        <v>44798</v>
      </c>
      <c r="D5886" s="1" t="s">
        <v>314</v>
      </c>
      <c r="E5886" s="1" t="s">
        <v>33</v>
      </c>
      <c r="F5886" s="1" t="s">
        <v>211</v>
      </c>
      <c r="G5886" s="5">
        <v>386.28</v>
      </c>
    </row>
    <row r="5887" spans="1:7" x14ac:dyDescent="0.2">
      <c r="A5887" s="3">
        <v>200</v>
      </c>
      <c r="B5887" s="2">
        <v>21248</v>
      </c>
      <c r="C5887" s="38">
        <v>45076</v>
      </c>
      <c r="D5887" s="1" t="s">
        <v>247</v>
      </c>
      <c r="E5887" s="1" t="s">
        <v>33</v>
      </c>
      <c r="F5887" s="1" t="s">
        <v>211</v>
      </c>
      <c r="G5887" s="5">
        <v>106.24</v>
      </c>
    </row>
    <row r="5888" spans="1:7" x14ac:dyDescent="0.2">
      <c r="A5888" s="3">
        <v>200</v>
      </c>
      <c r="B5888" s="2">
        <v>21248</v>
      </c>
      <c r="C5888" s="38">
        <v>45076</v>
      </c>
      <c r="D5888" s="1" t="s">
        <v>247</v>
      </c>
      <c r="E5888" s="1" t="s">
        <v>33</v>
      </c>
      <c r="F5888" s="1" t="s">
        <v>211</v>
      </c>
      <c r="G5888" s="5">
        <v>106.24</v>
      </c>
    </row>
    <row r="5889" spans="1:7" x14ac:dyDescent="0.2">
      <c r="A5889" s="3">
        <v>84</v>
      </c>
      <c r="B5889" s="2">
        <v>11639.04</v>
      </c>
      <c r="C5889" s="38">
        <v>45076</v>
      </c>
      <c r="D5889" s="1" t="s">
        <v>280</v>
      </c>
      <c r="E5889" s="1" t="s">
        <v>33</v>
      </c>
      <c r="F5889" s="1" t="s">
        <v>211</v>
      </c>
      <c r="G5889" s="5">
        <v>138.56</v>
      </c>
    </row>
    <row r="5890" spans="1:7" x14ac:dyDescent="0.2">
      <c r="A5890" s="3">
        <v>84</v>
      </c>
      <c r="B5890" s="2">
        <v>10980.48</v>
      </c>
      <c r="C5890" s="38">
        <v>44930</v>
      </c>
      <c r="D5890" s="1" t="s">
        <v>280</v>
      </c>
      <c r="E5890" s="1" t="s">
        <v>33</v>
      </c>
      <c r="F5890" s="1" t="s">
        <v>211</v>
      </c>
      <c r="G5890" s="5">
        <v>130.72</v>
      </c>
    </row>
    <row r="5891" spans="1:7" x14ac:dyDescent="0.2">
      <c r="A5891" s="3">
        <v>84</v>
      </c>
      <c r="B5891" s="2">
        <v>10980.48</v>
      </c>
      <c r="C5891" s="38">
        <v>44930</v>
      </c>
      <c r="D5891" s="1" t="s">
        <v>280</v>
      </c>
      <c r="E5891" s="1" t="s">
        <v>33</v>
      </c>
      <c r="F5891" s="1" t="s">
        <v>211</v>
      </c>
      <c r="G5891" s="5">
        <v>130.72</v>
      </c>
    </row>
    <row r="5892" spans="1:7" x14ac:dyDescent="0.2">
      <c r="A5892" s="3">
        <v>84</v>
      </c>
      <c r="B5892" s="2">
        <v>10980.48</v>
      </c>
      <c r="C5892" s="38">
        <v>44930</v>
      </c>
      <c r="D5892" s="1" t="s">
        <v>280</v>
      </c>
      <c r="E5892" s="1" t="s">
        <v>33</v>
      </c>
      <c r="F5892" s="1" t="s">
        <v>211</v>
      </c>
      <c r="G5892" s="5">
        <v>130.72</v>
      </c>
    </row>
    <row r="5893" spans="1:7" x14ac:dyDescent="0.2">
      <c r="A5893" s="3">
        <v>84</v>
      </c>
      <c r="B5893" s="2">
        <v>10980.48</v>
      </c>
      <c r="C5893" s="38">
        <v>44930</v>
      </c>
      <c r="D5893" s="1" t="s">
        <v>280</v>
      </c>
      <c r="E5893" s="1" t="s">
        <v>33</v>
      </c>
      <c r="F5893" s="1" t="s">
        <v>211</v>
      </c>
      <c r="G5893" s="5">
        <v>130.72</v>
      </c>
    </row>
    <row r="5894" spans="1:7" x14ac:dyDescent="0.2">
      <c r="A5894" s="3">
        <v>120</v>
      </c>
      <c r="B5894" s="2">
        <v>1116</v>
      </c>
      <c r="C5894" s="38">
        <v>44937</v>
      </c>
      <c r="D5894" s="1" t="s">
        <v>313</v>
      </c>
      <c r="E5894" s="1" t="s">
        <v>33</v>
      </c>
      <c r="F5894" s="1" t="s">
        <v>211</v>
      </c>
      <c r="G5894" s="5">
        <v>9.3000000000000007</v>
      </c>
    </row>
    <row r="5895" spans="1:7" x14ac:dyDescent="0.2">
      <c r="A5895" s="3">
        <v>200</v>
      </c>
      <c r="B5895" s="2">
        <v>21248</v>
      </c>
      <c r="C5895" s="38">
        <v>45020</v>
      </c>
      <c r="D5895" s="1" t="s">
        <v>247</v>
      </c>
      <c r="E5895" s="1" t="s">
        <v>33</v>
      </c>
      <c r="F5895" s="1" t="s">
        <v>211</v>
      </c>
      <c r="G5895" s="5">
        <v>106.24</v>
      </c>
    </row>
    <row r="5896" spans="1:7" x14ac:dyDescent="0.2">
      <c r="A5896" s="3">
        <v>360</v>
      </c>
      <c r="B5896" s="2">
        <v>38246.400000000001</v>
      </c>
      <c r="C5896" s="38">
        <v>44720</v>
      </c>
      <c r="D5896" s="1" t="s">
        <v>247</v>
      </c>
      <c r="E5896" s="1" t="s">
        <v>33</v>
      </c>
      <c r="F5896" s="1" t="s">
        <v>211</v>
      </c>
      <c r="G5896" s="5">
        <v>106.24</v>
      </c>
    </row>
    <row r="5897" spans="1:7" x14ac:dyDescent="0.2">
      <c r="A5897" s="3">
        <v>120</v>
      </c>
      <c r="B5897" s="2">
        <v>12748.8</v>
      </c>
      <c r="C5897" s="38">
        <v>44720</v>
      </c>
      <c r="D5897" s="1" t="s">
        <v>247</v>
      </c>
      <c r="E5897" s="1" t="s">
        <v>33</v>
      </c>
      <c r="F5897" s="1" t="s">
        <v>211</v>
      </c>
      <c r="G5897" s="5">
        <v>106.24</v>
      </c>
    </row>
    <row r="5898" spans="1:7" x14ac:dyDescent="0.2">
      <c r="A5898" s="3">
        <v>360</v>
      </c>
      <c r="B5898" s="2">
        <v>38246.400000000001</v>
      </c>
      <c r="C5898" s="38">
        <v>44720</v>
      </c>
      <c r="D5898" s="1" t="s">
        <v>247</v>
      </c>
      <c r="E5898" s="1" t="s">
        <v>33</v>
      </c>
      <c r="F5898" s="1" t="s">
        <v>211</v>
      </c>
      <c r="G5898" s="5">
        <v>106.24</v>
      </c>
    </row>
    <row r="5899" spans="1:7" x14ac:dyDescent="0.2">
      <c r="A5899" s="3">
        <v>330</v>
      </c>
      <c r="B5899" s="2">
        <v>35059.199999999997</v>
      </c>
      <c r="C5899" s="38">
        <v>44720</v>
      </c>
      <c r="D5899" s="1" t="s">
        <v>247</v>
      </c>
      <c r="E5899" s="1" t="s">
        <v>33</v>
      </c>
      <c r="F5899" s="1" t="s">
        <v>211</v>
      </c>
      <c r="G5899" s="5">
        <v>106.24</v>
      </c>
    </row>
    <row r="5900" spans="1:7" x14ac:dyDescent="0.2">
      <c r="A5900" s="3">
        <v>84</v>
      </c>
      <c r="B5900" s="2">
        <v>11639.04</v>
      </c>
      <c r="C5900" s="38">
        <v>45020</v>
      </c>
      <c r="D5900" s="1" t="s">
        <v>280</v>
      </c>
      <c r="E5900" s="1" t="s">
        <v>33</v>
      </c>
      <c r="F5900" s="1" t="s">
        <v>211</v>
      </c>
      <c r="G5900" s="5">
        <v>138.56</v>
      </c>
    </row>
    <row r="5901" spans="1:7" x14ac:dyDescent="0.2">
      <c r="A5901" s="3">
        <v>84</v>
      </c>
      <c r="B5901" s="2">
        <v>11639.04</v>
      </c>
      <c r="C5901" s="38">
        <v>45020</v>
      </c>
      <c r="D5901" s="1" t="s">
        <v>280</v>
      </c>
      <c r="E5901" s="1" t="s">
        <v>33</v>
      </c>
      <c r="F5901" s="1" t="s">
        <v>211</v>
      </c>
      <c r="G5901" s="5">
        <v>138.56</v>
      </c>
    </row>
    <row r="5902" spans="1:7" x14ac:dyDescent="0.2">
      <c r="A5902" s="3">
        <v>168</v>
      </c>
      <c r="B5902" s="2">
        <v>23278.080000000002</v>
      </c>
      <c r="C5902" s="38">
        <v>45020</v>
      </c>
      <c r="D5902" s="1" t="s">
        <v>280</v>
      </c>
      <c r="E5902" s="1" t="s">
        <v>33</v>
      </c>
      <c r="F5902" s="1" t="s">
        <v>211</v>
      </c>
      <c r="G5902" s="5">
        <v>138.56</v>
      </c>
    </row>
    <row r="5903" spans="1:7" x14ac:dyDescent="0.2">
      <c r="A5903" s="3">
        <v>84</v>
      </c>
      <c r="B5903" s="2">
        <v>11639.04</v>
      </c>
      <c r="C5903" s="38">
        <v>45020</v>
      </c>
      <c r="D5903" s="1" t="s">
        <v>280</v>
      </c>
      <c r="E5903" s="1" t="s">
        <v>33</v>
      </c>
      <c r="F5903" s="1" t="s">
        <v>211</v>
      </c>
      <c r="G5903" s="5">
        <v>138.56</v>
      </c>
    </row>
    <row r="5904" spans="1:7" x14ac:dyDescent="0.2">
      <c r="A5904" s="3">
        <v>84</v>
      </c>
      <c r="B5904" s="2">
        <v>11639.04</v>
      </c>
      <c r="C5904" s="38">
        <v>45020</v>
      </c>
      <c r="D5904" s="1" t="s">
        <v>280</v>
      </c>
      <c r="E5904" s="1" t="s">
        <v>33</v>
      </c>
      <c r="F5904" s="1" t="s">
        <v>211</v>
      </c>
      <c r="G5904" s="5">
        <v>138.56</v>
      </c>
    </row>
    <row r="5905" spans="1:7" x14ac:dyDescent="0.2">
      <c r="A5905" s="3">
        <v>400</v>
      </c>
      <c r="B5905" s="2">
        <v>42496</v>
      </c>
      <c r="C5905" s="38">
        <v>45049</v>
      </c>
      <c r="D5905" s="1" t="s">
        <v>247</v>
      </c>
      <c r="E5905" s="1" t="s">
        <v>33</v>
      </c>
      <c r="F5905" s="1" t="s">
        <v>211</v>
      </c>
      <c r="G5905" s="5">
        <v>106.24</v>
      </c>
    </row>
    <row r="5906" spans="1:7" x14ac:dyDescent="0.2">
      <c r="A5906" s="3">
        <v>200</v>
      </c>
      <c r="B5906" s="2">
        <v>21248</v>
      </c>
      <c r="C5906" s="38">
        <v>45049</v>
      </c>
      <c r="D5906" s="1" t="s">
        <v>247</v>
      </c>
      <c r="E5906" s="1" t="s">
        <v>33</v>
      </c>
      <c r="F5906" s="1" t="s">
        <v>211</v>
      </c>
      <c r="G5906" s="5">
        <v>106.24</v>
      </c>
    </row>
    <row r="5907" spans="1:7" x14ac:dyDescent="0.2">
      <c r="A5907" s="3">
        <v>1500</v>
      </c>
      <c r="B5907" s="2">
        <v>1725</v>
      </c>
      <c r="C5907" s="38">
        <v>44687</v>
      </c>
      <c r="D5907" s="1" t="s">
        <v>261</v>
      </c>
      <c r="E5907" s="1" t="s">
        <v>33</v>
      </c>
      <c r="F5907" s="1" t="s">
        <v>211</v>
      </c>
      <c r="G5907" s="5">
        <v>1.1499999999999999</v>
      </c>
    </row>
    <row r="5908" spans="1:7" x14ac:dyDescent="0.2">
      <c r="A5908" s="3">
        <v>400</v>
      </c>
      <c r="B5908" s="2">
        <v>42496</v>
      </c>
      <c r="C5908" s="38">
        <v>45089</v>
      </c>
      <c r="D5908" s="1" t="s">
        <v>247</v>
      </c>
      <c r="E5908" s="1" t="s">
        <v>33</v>
      </c>
      <c r="F5908" s="1" t="s">
        <v>211</v>
      </c>
      <c r="G5908" s="5">
        <v>106.24</v>
      </c>
    </row>
    <row r="5909" spans="1:7" x14ac:dyDescent="0.2">
      <c r="A5909" s="3">
        <v>120</v>
      </c>
      <c r="B5909" s="2">
        <v>10405.200000000001</v>
      </c>
      <c r="C5909" s="38">
        <v>45098</v>
      </c>
      <c r="D5909" s="1" t="s">
        <v>295</v>
      </c>
      <c r="E5909" s="1" t="s">
        <v>33</v>
      </c>
      <c r="F5909" s="1" t="s">
        <v>211</v>
      </c>
      <c r="G5909" s="5">
        <v>86.71</v>
      </c>
    </row>
    <row r="5910" spans="1:7" x14ac:dyDescent="0.2">
      <c r="A5910" s="3">
        <v>200</v>
      </c>
      <c r="B5910" s="2">
        <v>22522</v>
      </c>
      <c r="C5910" s="38">
        <v>45103</v>
      </c>
      <c r="D5910" s="1" t="s">
        <v>247</v>
      </c>
      <c r="E5910" s="1" t="s">
        <v>33</v>
      </c>
      <c r="F5910" s="1" t="s">
        <v>211</v>
      </c>
      <c r="G5910" s="5">
        <v>112.61</v>
      </c>
    </row>
    <row r="5911" spans="1:7" x14ac:dyDescent="0.2">
      <c r="A5911" s="3">
        <v>200</v>
      </c>
      <c r="B5911" s="2">
        <v>21248</v>
      </c>
      <c r="C5911" s="38">
        <v>45103</v>
      </c>
      <c r="D5911" s="1" t="s">
        <v>247</v>
      </c>
      <c r="E5911" s="1" t="s">
        <v>33</v>
      </c>
      <c r="F5911" s="1" t="s">
        <v>211</v>
      </c>
      <c r="G5911" s="5">
        <v>106.24</v>
      </c>
    </row>
    <row r="5912" spans="1:7" x14ac:dyDescent="0.2">
      <c r="A5912" s="3">
        <v>400</v>
      </c>
      <c r="B5912" s="2">
        <v>45044</v>
      </c>
      <c r="C5912" s="38">
        <v>45103</v>
      </c>
      <c r="D5912" s="1" t="s">
        <v>247</v>
      </c>
      <c r="E5912" s="1" t="s">
        <v>33</v>
      </c>
      <c r="F5912" s="1" t="s">
        <v>211</v>
      </c>
      <c r="G5912" s="5">
        <v>112.61</v>
      </c>
    </row>
    <row r="5913" spans="1:7" x14ac:dyDescent="0.2">
      <c r="A5913" s="3">
        <v>400</v>
      </c>
      <c r="B5913" s="2">
        <v>45044</v>
      </c>
      <c r="C5913" s="38">
        <v>45103</v>
      </c>
      <c r="D5913" s="1" t="s">
        <v>247</v>
      </c>
      <c r="E5913" s="1" t="s">
        <v>33</v>
      </c>
      <c r="F5913" s="1" t="s">
        <v>211</v>
      </c>
      <c r="G5913" s="5">
        <v>112.61</v>
      </c>
    </row>
    <row r="5914" spans="1:7" x14ac:dyDescent="0.2">
      <c r="A5914" s="3">
        <v>400</v>
      </c>
      <c r="B5914" s="2">
        <v>42496</v>
      </c>
      <c r="C5914" s="38">
        <v>45103</v>
      </c>
      <c r="D5914" s="1" t="s">
        <v>247</v>
      </c>
      <c r="E5914" s="1" t="s">
        <v>33</v>
      </c>
      <c r="F5914" s="1" t="s">
        <v>211</v>
      </c>
      <c r="G5914" s="5">
        <v>106.24</v>
      </c>
    </row>
    <row r="5915" spans="1:7" x14ac:dyDescent="0.2">
      <c r="A5915" s="3">
        <v>70</v>
      </c>
      <c r="B5915" s="2">
        <v>7882.7</v>
      </c>
      <c r="C5915" s="38">
        <v>45103</v>
      </c>
      <c r="D5915" s="1" t="s">
        <v>247</v>
      </c>
      <c r="E5915" s="1" t="s">
        <v>33</v>
      </c>
      <c r="F5915" s="1" t="s">
        <v>211</v>
      </c>
      <c r="G5915" s="5">
        <v>112.61</v>
      </c>
    </row>
    <row r="5916" spans="1:7" x14ac:dyDescent="0.2">
      <c r="A5916" s="3">
        <v>1500</v>
      </c>
      <c r="B5916" s="2">
        <v>1830</v>
      </c>
      <c r="C5916" s="38">
        <v>44956</v>
      </c>
      <c r="D5916" s="1" t="s">
        <v>261</v>
      </c>
      <c r="E5916" s="1" t="s">
        <v>33</v>
      </c>
      <c r="F5916" s="1" t="s">
        <v>211</v>
      </c>
      <c r="G5916" s="5">
        <v>1.22</v>
      </c>
    </row>
    <row r="5917" spans="1:7" x14ac:dyDescent="0.2">
      <c r="A5917" s="3">
        <v>360</v>
      </c>
      <c r="B5917" s="2">
        <v>3348</v>
      </c>
      <c r="C5917" s="38">
        <v>45036</v>
      </c>
      <c r="D5917" s="1" t="s">
        <v>313</v>
      </c>
      <c r="E5917" s="1" t="s">
        <v>33</v>
      </c>
      <c r="F5917" s="1" t="s">
        <v>211</v>
      </c>
      <c r="G5917" s="5">
        <v>9.3000000000000007</v>
      </c>
    </row>
    <row r="5918" spans="1:7" x14ac:dyDescent="0.2">
      <c r="A5918" s="3">
        <v>400</v>
      </c>
      <c r="B5918" s="2">
        <v>42496</v>
      </c>
      <c r="C5918" s="38">
        <v>45036</v>
      </c>
      <c r="D5918" s="1" t="s">
        <v>247</v>
      </c>
      <c r="E5918" s="1" t="s">
        <v>33</v>
      </c>
      <c r="F5918" s="1" t="s">
        <v>211</v>
      </c>
      <c r="G5918" s="5">
        <v>106.24</v>
      </c>
    </row>
    <row r="5919" spans="1:7" x14ac:dyDescent="0.2">
      <c r="A5919" s="3">
        <v>360</v>
      </c>
      <c r="B5919" s="2">
        <v>3348</v>
      </c>
      <c r="C5919" s="38">
        <v>44967</v>
      </c>
      <c r="D5919" s="1" t="s">
        <v>313</v>
      </c>
      <c r="E5919" s="1" t="s">
        <v>33</v>
      </c>
      <c r="F5919" s="1" t="s">
        <v>211</v>
      </c>
      <c r="G5919" s="5">
        <v>9.3000000000000007</v>
      </c>
    </row>
    <row r="5920" spans="1:7" x14ac:dyDescent="0.2">
      <c r="A5920" s="3">
        <v>3000</v>
      </c>
      <c r="B5920" s="2">
        <v>3450</v>
      </c>
      <c r="C5920" s="38">
        <v>44614</v>
      </c>
      <c r="D5920" s="1" t="s">
        <v>261</v>
      </c>
      <c r="E5920" s="1" t="s">
        <v>33</v>
      </c>
      <c r="F5920" s="1" t="s">
        <v>211</v>
      </c>
      <c r="G5920" s="5">
        <v>1.1499999999999999</v>
      </c>
    </row>
    <row r="5921" spans="1:7" x14ac:dyDescent="0.2">
      <c r="A5921" s="3">
        <v>84</v>
      </c>
      <c r="B5921" s="2">
        <v>11639.04</v>
      </c>
      <c r="C5921" s="38">
        <v>44981</v>
      </c>
      <c r="D5921" s="1" t="s">
        <v>280</v>
      </c>
      <c r="E5921" s="1" t="s">
        <v>33</v>
      </c>
      <c r="F5921" s="1" t="s">
        <v>211</v>
      </c>
      <c r="G5921" s="5">
        <v>138.56</v>
      </c>
    </row>
    <row r="5922" spans="1:7" x14ac:dyDescent="0.2">
      <c r="A5922" s="3">
        <v>84</v>
      </c>
      <c r="B5922" s="2">
        <v>10980.48</v>
      </c>
      <c r="C5922" s="38">
        <v>44810</v>
      </c>
      <c r="D5922" s="1" t="s">
        <v>280</v>
      </c>
      <c r="E5922" s="1" t="s">
        <v>33</v>
      </c>
      <c r="F5922" s="1" t="s">
        <v>211</v>
      </c>
      <c r="G5922" s="5">
        <v>130.72</v>
      </c>
    </row>
    <row r="5923" spans="1:7" x14ac:dyDescent="0.2">
      <c r="A5923" s="3">
        <v>120</v>
      </c>
      <c r="B5923" s="2">
        <v>11030.4</v>
      </c>
      <c r="C5923" s="38">
        <v>45175</v>
      </c>
      <c r="D5923" s="1" t="s">
        <v>295</v>
      </c>
      <c r="E5923" s="1" t="s">
        <v>33</v>
      </c>
      <c r="F5923" s="1" t="s">
        <v>211</v>
      </c>
      <c r="G5923" s="5">
        <v>91.92</v>
      </c>
    </row>
    <row r="5924" spans="1:7" x14ac:dyDescent="0.2">
      <c r="A5924" s="3">
        <v>1500</v>
      </c>
      <c r="B5924" s="2">
        <v>971.85</v>
      </c>
      <c r="C5924" s="38">
        <v>44811</v>
      </c>
      <c r="D5924" s="1" t="s">
        <v>263</v>
      </c>
      <c r="E5924" s="1" t="s">
        <v>33</v>
      </c>
      <c r="F5924" s="1" t="s">
        <v>211</v>
      </c>
      <c r="G5924" s="5">
        <v>0.64790000000000003</v>
      </c>
    </row>
    <row r="5925" spans="1:7" x14ac:dyDescent="0.2">
      <c r="A5925" s="3">
        <v>130</v>
      </c>
      <c r="B5925" s="2">
        <v>14639.3</v>
      </c>
      <c r="C5925" s="38">
        <v>45133</v>
      </c>
      <c r="D5925" s="1" t="s">
        <v>247</v>
      </c>
      <c r="E5925" s="1" t="s">
        <v>33</v>
      </c>
      <c r="F5925" s="1" t="s">
        <v>211</v>
      </c>
      <c r="G5925" s="5">
        <v>112.61</v>
      </c>
    </row>
    <row r="5926" spans="1:7" x14ac:dyDescent="0.2">
      <c r="A5926" s="3">
        <v>400</v>
      </c>
      <c r="B5926" s="2">
        <v>45044</v>
      </c>
      <c r="C5926" s="38">
        <v>45133</v>
      </c>
      <c r="D5926" s="1" t="s">
        <v>247</v>
      </c>
      <c r="E5926" s="1" t="s">
        <v>33</v>
      </c>
      <c r="F5926" s="1" t="s">
        <v>211</v>
      </c>
      <c r="G5926" s="5">
        <v>112.61</v>
      </c>
    </row>
    <row r="5927" spans="1:7" x14ac:dyDescent="0.2">
      <c r="A5927" s="3">
        <v>200</v>
      </c>
      <c r="B5927" s="2">
        <v>22522</v>
      </c>
      <c r="C5927" s="38">
        <v>45133</v>
      </c>
      <c r="D5927" s="1" t="s">
        <v>247</v>
      </c>
      <c r="E5927" s="1" t="s">
        <v>33</v>
      </c>
      <c r="F5927" s="1" t="s">
        <v>211</v>
      </c>
      <c r="G5927" s="5">
        <v>112.61</v>
      </c>
    </row>
    <row r="5928" spans="1:7" x14ac:dyDescent="0.2">
      <c r="A5928" s="3">
        <v>200</v>
      </c>
      <c r="B5928" s="2">
        <v>22522</v>
      </c>
      <c r="C5928" s="38">
        <v>45133</v>
      </c>
      <c r="D5928" s="1" t="s">
        <v>247</v>
      </c>
      <c r="E5928" s="1" t="s">
        <v>33</v>
      </c>
      <c r="F5928" s="1" t="s">
        <v>211</v>
      </c>
      <c r="G5928" s="5">
        <v>112.61</v>
      </c>
    </row>
    <row r="5929" spans="1:7" x14ac:dyDescent="0.2">
      <c r="A5929" s="3">
        <v>200</v>
      </c>
      <c r="B5929" s="2">
        <v>22522</v>
      </c>
      <c r="C5929" s="38">
        <v>45133</v>
      </c>
      <c r="D5929" s="1" t="s">
        <v>247</v>
      </c>
      <c r="E5929" s="1" t="s">
        <v>33</v>
      </c>
      <c r="F5929" s="1" t="s">
        <v>211</v>
      </c>
      <c r="G5929" s="5">
        <v>112.61</v>
      </c>
    </row>
    <row r="5930" spans="1:7" x14ac:dyDescent="0.2">
      <c r="A5930" s="3">
        <v>400</v>
      </c>
      <c r="B5930" s="2">
        <v>45044</v>
      </c>
      <c r="C5930" s="38">
        <v>45133</v>
      </c>
      <c r="D5930" s="1" t="s">
        <v>247</v>
      </c>
      <c r="E5930" s="1" t="s">
        <v>33</v>
      </c>
      <c r="F5930" s="1" t="s">
        <v>211</v>
      </c>
      <c r="G5930" s="5">
        <v>112.61</v>
      </c>
    </row>
    <row r="5931" spans="1:7" x14ac:dyDescent="0.2">
      <c r="A5931" s="3">
        <v>270</v>
      </c>
      <c r="B5931" s="2">
        <v>30404.7</v>
      </c>
      <c r="C5931" s="38">
        <v>45133</v>
      </c>
      <c r="D5931" s="1" t="s">
        <v>247</v>
      </c>
      <c r="E5931" s="1" t="s">
        <v>33</v>
      </c>
      <c r="F5931" s="1" t="s">
        <v>211</v>
      </c>
      <c r="G5931" s="5">
        <v>112.61</v>
      </c>
    </row>
    <row r="5932" spans="1:7" x14ac:dyDescent="0.2">
      <c r="A5932" s="3">
        <v>84</v>
      </c>
      <c r="B5932" s="2">
        <v>11639.04</v>
      </c>
      <c r="C5932" s="38">
        <v>45134</v>
      </c>
      <c r="D5932" s="1" t="s">
        <v>280</v>
      </c>
      <c r="E5932" s="1" t="s">
        <v>33</v>
      </c>
      <c r="F5932" s="1" t="s">
        <v>211</v>
      </c>
      <c r="G5932" s="5">
        <v>138.56</v>
      </c>
    </row>
    <row r="5933" spans="1:7" x14ac:dyDescent="0.2">
      <c r="A5933" s="3">
        <v>3780</v>
      </c>
      <c r="B5933" s="2">
        <v>52466.400000000001</v>
      </c>
      <c r="C5933" s="38">
        <v>44770</v>
      </c>
      <c r="D5933" s="1" t="s">
        <v>241</v>
      </c>
      <c r="E5933" s="1" t="s">
        <v>33</v>
      </c>
      <c r="F5933" s="1" t="s">
        <v>211</v>
      </c>
      <c r="G5933" s="5">
        <v>13.88</v>
      </c>
    </row>
    <row r="5934" spans="1:7" x14ac:dyDescent="0.2">
      <c r="A5934" s="3">
        <v>84</v>
      </c>
      <c r="B5934" s="2">
        <v>10980.48</v>
      </c>
      <c r="C5934" s="38">
        <v>44823</v>
      </c>
      <c r="D5934" s="1" t="s">
        <v>280</v>
      </c>
      <c r="E5934" s="1" t="s">
        <v>33</v>
      </c>
      <c r="F5934" s="1" t="s">
        <v>211</v>
      </c>
      <c r="G5934" s="5">
        <v>130.72</v>
      </c>
    </row>
    <row r="5935" spans="1:7" x14ac:dyDescent="0.2">
      <c r="A5935" s="3">
        <v>180</v>
      </c>
      <c r="B5935" s="2">
        <v>1512</v>
      </c>
      <c r="C5935" s="38">
        <v>44826</v>
      </c>
      <c r="D5935" s="1" t="s">
        <v>313</v>
      </c>
      <c r="E5935" s="1" t="s">
        <v>33</v>
      </c>
      <c r="F5935" s="1" t="s">
        <v>211</v>
      </c>
      <c r="G5935" s="5">
        <v>8.4</v>
      </c>
    </row>
    <row r="5936" spans="1:7" x14ac:dyDescent="0.2">
      <c r="A5936" s="3">
        <v>60</v>
      </c>
      <c r="B5936" s="2">
        <v>504</v>
      </c>
      <c r="C5936" s="38">
        <v>44826</v>
      </c>
      <c r="D5936" s="1" t="s">
        <v>313</v>
      </c>
      <c r="E5936" s="1" t="s">
        <v>33</v>
      </c>
      <c r="F5936" s="1" t="s">
        <v>211</v>
      </c>
      <c r="G5936" s="5">
        <v>8.4</v>
      </c>
    </row>
    <row r="5937" spans="1:7" x14ac:dyDescent="0.2">
      <c r="A5937" s="3">
        <v>1500</v>
      </c>
      <c r="B5937" s="2">
        <v>1725</v>
      </c>
      <c r="C5937" s="38">
        <v>44776</v>
      </c>
      <c r="D5937" s="1" t="s">
        <v>261</v>
      </c>
      <c r="E5937" s="1" t="s">
        <v>33</v>
      </c>
      <c r="F5937" s="1" t="s">
        <v>211</v>
      </c>
      <c r="G5937" s="5">
        <v>1.1499999999999999</v>
      </c>
    </row>
    <row r="5938" spans="1:7" x14ac:dyDescent="0.2">
      <c r="A5938" s="3">
        <v>120</v>
      </c>
      <c r="B5938" s="2">
        <v>1008</v>
      </c>
      <c r="C5938" s="38">
        <v>44826</v>
      </c>
      <c r="D5938" s="1" t="s">
        <v>313</v>
      </c>
      <c r="E5938" s="1" t="s">
        <v>33</v>
      </c>
      <c r="F5938" s="1" t="s">
        <v>211</v>
      </c>
      <c r="G5938" s="5">
        <v>8.4</v>
      </c>
    </row>
    <row r="5939" spans="1:7" x14ac:dyDescent="0.2">
      <c r="A5939" s="3">
        <v>1500</v>
      </c>
      <c r="B5939" s="2">
        <v>1721.16</v>
      </c>
      <c r="C5939" s="38">
        <v>44868</v>
      </c>
      <c r="D5939" s="1" t="s">
        <v>261</v>
      </c>
      <c r="E5939" s="1" t="s">
        <v>33</v>
      </c>
      <c r="F5939" s="1" t="s">
        <v>211</v>
      </c>
      <c r="G5939" s="5">
        <v>1.1474</v>
      </c>
    </row>
    <row r="5940" spans="1:7" x14ac:dyDescent="0.2">
      <c r="A5940" s="3">
        <v>360</v>
      </c>
      <c r="B5940" s="2">
        <v>3024</v>
      </c>
      <c r="C5940" s="38">
        <v>44872</v>
      </c>
      <c r="D5940" s="1" t="s">
        <v>313</v>
      </c>
      <c r="E5940" s="1" t="s">
        <v>33</v>
      </c>
      <c r="F5940" s="1" t="s">
        <v>211</v>
      </c>
      <c r="G5940" s="5">
        <v>8.4</v>
      </c>
    </row>
    <row r="5941" spans="1:7" x14ac:dyDescent="0.2">
      <c r="A5941" s="3">
        <v>108</v>
      </c>
      <c r="B5941" s="2">
        <v>9364.68</v>
      </c>
      <c r="C5941" s="38">
        <v>44834</v>
      </c>
      <c r="D5941" s="1" t="s">
        <v>295</v>
      </c>
      <c r="E5941" s="1" t="s">
        <v>33</v>
      </c>
      <c r="F5941" s="1" t="s">
        <v>211</v>
      </c>
      <c r="G5941" s="5">
        <v>86.71</v>
      </c>
    </row>
    <row r="5942" spans="1:7" x14ac:dyDescent="0.2">
      <c r="A5942" s="3">
        <v>120</v>
      </c>
      <c r="B5942" s="2">
        <v>10405.200000000001</v>
      </c>
      <c r="C5942" s="38">
        <v>44834</v>
      </c>
      <c r="D5942" s="1" t="s">
        <v>295</v>
      </c>
      <c r="E5942" s="1" t="s">
        <v>33</v>
      </c>
      <c r="F5942" s="1" t="s">
        <v>211</v>
      </c>
      <c r="G5942" s="5">
        <v>86.71</v>
      </c>
    </row>
    <row r="5943" spans="1:7" x14ac:dyDescent="0.2">
      <c r="A5943" s="3">
        <v>120</v>
      </c>
      <c r="B5943" s="2">
        <v>10405.200000000001</v>
      </c>
      <c r="C5943" s="38">
        <v>45154</v>
      </c>
      <c r="D5943" s="1" t="s">
        <v>295</v>
      </c>
      <c r="E5943" s="1" t="s">
        <v>33</v>
      </c>
      <c r="F5943" s="1" t="s">
        <v>211</v>
      </c>
      <c r="G5943" s="5">
        <v>86.71</v>
      </c>
    </row>
    <row r="5944" spans="1:7" x14ac:dyDescent="0.2">
      <c r="A5944" s="3">
        <v>400</v>
      </c>
      <c r="B5944" s="2">
        <v>45044</v>
      </c>
      <c r="C5944" s="38">
        <v>45154</v>
      </c>
      <c r="D5944" s="1" t="s">
        <v>247</v>
      </c>
      <c r="E5944" s="1" t="s">
        <v>33</v>
      </c>
      <c r="F5944" s="1" t="s">
        <v>211</v>
      </c>
      <c r="G5944" s="5">
        <v>112.61</v>
      </c>
    </row>
    <row r="5945" spans="1:7" x14ac:dyDescent="0.2">
      <c r="A5945" s="3">
        <v>1500</v>
      </c>
      <c r="B5945" s="2">
        <v>1725</v>
      </c>
      <c r="C5945" s="38">
        <v>44536</v>
      </c>
      <c r="D5945" s="1" t="s">
        <v>261</v>
      </c>
      <c r="E5945" s="1" t="s">
        <v>33</v>
      </c>
      <c r="F5945" s="1" t="s">
        <v>211</v>
      </c>
      <c r="G5945" s="5">
        <v>1.1499999999999999</v>
      </c>
    </row>
    <row r="5946" spans="1:7" x14ac:dyDescent="0.2">
      <c r="A5946" s="3">
        <v>1500</v>
      </c>
      <c r="B5946" s="2">
        <v>1725</v>
      </c>
      <c r="C5946" s="38">
        <v>44748</v>
      </c>
      <c r="D5946" s="1" t="s">
        <v>261</v>
      </c>
      <c r="E5946" s="1" t="s">
        <v>33</v>
      </c>
      <c r="F5946" s="1" t="s">
        <v>211</v>
      </c>
      <c r="G5946" s="5">
        <v>1.1499999999999999</v>
      </c>
    </row>
    <row r="5947" spans="1:7" x14ac:dyDescent="0.2">
      <c r="A5947" s="3">
        <v>84</v>
      </c>
      <c r="B5947" s="2">
        <v>11639.04</v>
      </c>
      <c r="C5947" s="38">
        <v>45114</v>
      </c>
      <c r="D5947" s="1" t="s">
        <v>280</v>
      </c>
      <c r="E5947" s="1" t="s">
        <v>33</v>
      </c>
      <c r="F5947" s="1" t="s">
        <v>211</v>
      </c>
      <c r="G5947" s="5">
        <v>138.56</v>
      </c>
    </row>
    <row r="5948" spans="1:7" x14ac:dyDescent="0.2">
      <c r="A5948" s="3">
        <v>3000</v>
      </c>
      <c r="B5948" s="2">
        <v>3660</v>
      </c>
      <c r="C5948" s="38">
        <v>45114</v>
      </c>
      <c r="D5948" s="1" t="s">
        <v>261</v>
      </c>
      <c r="E5948" s="1" t="s">
        <v>33</v>
      </c>
      <c r="F5948" s="1" t="s">
        <v>211</v>
      </c>
      <c r="G5948" s="5">
        <v>1.22</v>
      </c>
    </row>
    <row r="5949" spans="1:7" x14ac:dyDescent="0.2">
      <c r="A5949" s="3">
        <v>1500</v>
      </c>
      <c r="B5949" s="2">
        <v>1830</v>
      </c>
      <c r="C5949" s="38">
        <v>45114</v>
      </c>
      <c r="D5949" s="1" t="s">
        <v>261</v>
      </c>
      <c r="E5949" s="1" t="s">
        <v>33</v>
      </c>
      <c r="F5949" s="1" t="s">
        <v>211</v>
      </c>
      <c r="G5949" s="5">
        <v>1.22</v>
      </c>
    </row>
    <row r="5950" spans="1:7" x14ac:dyDescent="0.2">
      <c r="A5950" s="3">
        <v>1500</v>
      </c>
      <c r="B5950" s="2">
        <v>1830</v>
      </c>
      <c r="C5950" s="38">
        <v>45114</v>
      </c>
      <c r="D5950" s="1" t="s">
        <v>261</v>
      </c>
      <c r="E5950" s="1" t="s">
        <v>33</v>
      </c>
      <c r="F5950" s="1" t="s">
        <v>211</v>
      </c>
      <c r="G5950" s="5">
        <v>1.22</v>
      </c>
    </row>
    <row r="5951" spans="1:7" x14ac:dyDescent="0.2">
      <c r="A5951" s="3">
        <v>1500</v>
      </c>
      <c r="B5951" s="2">
        <v>1830</v>
      </c>
      <c r="C5951" s="38">
        <v>45114</v>
      </c>
      <c r="D5951" s="1" t="s">
        <v>261</v>
      </c>
      <c r="E5951" s="1" t="s">
        <v>33</v>
      </c>
      <c r="F5951" s="1" t="s">
        <v>211</v>
      </c>
      <c r="G5951" s="5">
        <v>1.22</v>
      </c>
    </row>
    <row r="5952" spans="1:7" x14ac:dyDescent="0.2">
      <c r="A5952" s="3">
        <v>120</v>
      </c>
      <c r="B5952" s="2">
        <v>10405.200000000001</v>
      </c>
      <c r="C5952" s="38">
        <v>45155</v>
      </c>
      <c r="D5952" s="1" t="s">
        <v>295</v>
      </c>
      <c r="E5952" s="1" t="s">
        <v>33</v>
      </c>
      <c r="F5952" s="1" t="s">
        <v>211</v>
      </c>
      <c r="G5952" s="5">
        <v>86.71</v>
      </c>
    </row>
    <row r="5953" spans="1:7" x14ac:dyDescent="0.2">
      <c r="A5953" s="3">
        <v>200</v>
      </c>
      <c r="B5953" s="2">
        <v>22522</v>
      </c>
      <c r="C5953" s="38">
        <v>45155</v>
      </c>
      <c r="D5953" s="1" t="s">
        <v>247</v>
      </c>
      <c r="E5953" s="1" t="s">
        <v>33</v>
      </c>
      <c r="F5953" s="1" t="s">
        <v>211</v>
      </c>
      <c r="G5953" s="5">
        <v>112.61</v>
      </c>
    </row>
    <row r="5954" spans="1:7" x14ac:dyDescent="0.2">
      <c r="A5954" s="3">
        <v>130</v>
      </c>
      <c r="B5954" s="2">
        <v>14639.3</v>
      </c>
      <c r="C5954" s="38">
        <v>45155</v>
      </c>
      <c r="D5954" s="1" t="s">
        <v>247</v>
      </c>
      <c r="E5954" s="1" t="s">
        <v>33</v>
      </c>
      <c r="F5954" s="1" t="s">
        <v>211</v>
      </c>
      <c r="G5954" s="5">
        <v>112.61</v>
      </c>
    </row>
    <row r="5955" spans="1:7" x14ac:dyDescent="0.2">
      <c r="A5955" s="3">
        <v>1500</v>
      </c>
      <c r="B5955" s="2">
        <v>1830</v>
      </c>
      <c r="C5955" s="38">
        <v>45155</v>
      </c>
      <c r="D5955" s="1" t="s">
        <v>261</v>
      </c>
      <c r="E5955" s="1" t="s">
        <v>33</v>
      </c>
      <c r="F5955" s="1" t="s">
        <v>211</v>
      </c>
      <c r="G5955" s="5">
        <v>1.22</v>
      </c>
    </row>
    <row r="5956" spans="1:7" x14ac:dyDescent="0.2">
      <c r="A5956" s="3">
        <v>84</v>
      </c>
      <c r="B5956" s="2">
        <v>10980.48</v>
      </c>
      <c r="C5956" s="38">
        <v>44847</v>
      </c>
      <c r="D5956" s="1" t="s">
        <v>280</v>
      </c>
      <c r="E5956" s="1" t="s">
        <v>33</v>
      </c>
      <c r="F5956" s="1" t="s">
        <v>211</v>
      </c>
      <c r="G5956" s="5">
        <v>130.72</v>
      </c>
    </row>
    <row r="5957" spans="1:7" x14ac:dyDescent="0.2">
      <c r="A5957" s="3">
        <v>180</v>
      </c>
      <c r="B5957" s="2">
        <v>1512</v>
      </c>
      <c r="C5957" s="38">
        <v>44910</v>
      </c>
      <c r="D5957" s="1" t="s">
        <v>313</v>
      </c>
      <c r="E5957" s="1" t="s">
        <v>33</v>
      </c>
      <c r="F5957" s="1" t="s">
        <v>211</v>
      </c>
      <c r="G5957" s="5">
        <v>8.4</v>
      </c>
    </row>
    <row r="5958" spans="1:7" x14ac:dyDescent="0.2">
      <c r="A5958" s="3">
        <v>330</v>
      </c>
      <c r="B5958" s="2">
        <v>34772.1</v>
      </c>
      <c r="C5958" s="38">
        <v>44754</v>
      </c>
      <c r="D5958" s="1" t="s">
        <v>350</v>
      </c>
      <c r="E5958" s="1" t="s">
        <v>33</v>
      </c>
      <c r="F5958" s="1" t="s">
        <v>211</v>
      </c>
      <c r="G5958" s="5">
        <v>105.37</v>
      </c>
    </row>
    <row r="5959" spans="1:7" x14ac:dyDescent="0.2">
      <c r="A5959" s="3">
        <v>120</v>
      </c>
      <c r="B5959" s="2">
        <v>1008</v>
      </c>
      <c r="C5959" s="38">
        <v>44795</v>
      </c>
      <c r="D5959" s="1" t="s">
        <v>313</v>
      </c>
      <c r="E5959" s="1" t="s">
        <v>33</v>
      </c>
      <c r="F5959" s="1" t="s">
        <v>211</v>
      </c>
      <c r="G5959" s="5">
        <v>8.4</v>
      </c>
    </row>
    <row r="5960" spans="1:7" x14ac:dyDescent="0.2">
      <c r="A5960" s="3">
        <v>240</v>
      </c>
      <c r="B5960" s="2">
        <v>2016</v>
      </c>
      <c r="C5960" s="38">
        <v>44795</v>
      </c>
      <c r="D5960" s="1" t="s">
        <v>313</v>
      </c>
      <c r="E5960" s="1" t="s">
        <v>33</v>
      </c>
      <c r="F5960" s="1" t="s">
        <v>211</v>
      </c>
      <c r="G5960" s="5">
        <v>8.4</v>
      </c>
    </row>
    <row r="5961" spans="1:7" x14ac:dyDescent="0.2">
      <c r="A5961" s="3">
        <v>72</v>
      </c>
      <c r="B5961" s="2">
        <v>6243.12</v>
      </c>
      <c r="C5961" s="38">
        <v>44795</v>
      </c>
      <c r="D5961" s="1" t="s">
        <v>295</v>
      </c>
      <c r="E5961" s="1" t="s">
        <v>33</v>
      </c>
      <c r="F5961" s="1" t="s">
        <v>211</v>
      </c>
      <c r="G5961" s="5">
        <v>86.71</v>
      </c>
    </row>
    <row r="5962" spans="1:7" x14ac:dyDescent="0.2">
      <c r="A5962" s="3">
        <v>108</v>
      </c>
      <c r="B5962" s="2">
        <v>9364.68</v>
      </c>
      <c r="C5962" s="38">
        <v>44795</v>
      </c>
      <c r="D5962" s="1" t="s">
        <v>295</v>
      </c>
      <c r="E5962" s="1" t="s">
        <v>33</v>
      </c>
      <c r="F5962" s="1" t="s">
        <v>211</v>
      </c>
      <c r="G5962" s="5">
        <v>86.71</v>
      </c>
    </row>
    <row r="5963" spans="1:7" x14ac:dyDescent="0.2">
      <c r="A5963" s="3">
        <v>72</v>
      </c>
      <c r="B5963" s="2">
        <v>6243.12</v>
      </c>
      <c r="C5963" s="38">
        <v>44795</v>
      </c>
      <c r="D5963" s="1" t="s">
        <v>295</v>
      </c>
      <c r="E5963" s="1" t="s">
        <v>33</v>
      </c>
      <c r="F5963" s="1" t="s">
        <v>211</v>
      </c>
      <c r="G5963" s="5">
        <v>86.71</v>
      </c>
    </row>
    <row r="5964" spans="1:7" x14ac:dyDescent="0.2">
      <c r="A5964" s="3">
        <v>120</v>
      </c>
      <c r="B5964" s="2">
        <v>11030.4</v>
      </c>
      <c r="C5964" s="38">
        <v>45161</v>
      </c>
      <c r="D5964" s="1" t="s">
        <v>295</v>
      </c>
      <c r="E5964" s="1" t="s">
        <v>33</v>
      </c>
      <c r="F5964" s="1" t="s">
        <v>211</v>
      </c>
      <c r="G5964" s="5">
        <v>91.92</v>
      </c>
    </row>
    <row r="5965" spans="1:7" x14ac:dyDescent="0.2">
      <c r="A5965" s="3">
        <v>108</v>
      </c>
      <c r="B5965" s="2">
        <v>9927.36</v>
      </c>
      <c r="C5965" s="38">
        <v>45161</v>
      </c>
      <c r="D5965" s="1" t="s">
        <v>295</v>
      </c>
      <c r="E5965" s="1" t="s">
        <v>33</v>
      </c>
      <c r="F5965" s="1" t="s">
        <v>211</v>
      </c>
      <c r="G5965" s="5">
        <v>91.92</v>
      </c>
    </row>
    <row r="5966" spans="1:7" x14ac:dyDescent="0.2">
      <c r="A5966" s="3">
        <v>12</v>
      </c>
      <c r="B5966" s="2">
        <v>1040.52</v>
      </c>
      <c r="C5966" s="38">
        <v>45161</v>
      </c>
      <c r="D5966" s="1" t="s">
        <v>295</v>
      </c>
      <c r="E5966" s="1" t="s">
        <v>33</v>
      </c>
      <c r="F5966" s="1" t="s">
        <v>211</v>
      </c>
      <c r="G5966" s="5">
        <v>86.71</v>
      </c>
    </row>
    <row r="5967" spans="1:7" x14ac:dyDescent="0.2">
      <c r="A5967" s="3">
        <v>1500</v>
      </c>
      <c r="B5967" s="2">
        <v>1725</v>
      </c>
      <c r="C5967" s="38">
        <v>44552</v>
      </c>
      <c r="D5967" s="1" t="s">
        <v>261</v>
      </c>
      <c r="E5967" s="1" t="s">
        <v>33</v>
      </c>
      <c r="F5967" s="1" t="s">
        <v>211</v>
      </c>
      <c r="G5967" s="5">
        <v>1.1499999999999999</v>
      </c>
    </row>
    <row r="5968" spans="1:7" x14ac:dyDescent="0.2">
      <c r="A5968" s="3">
        <v>3000</v>
      </c>
      <c r="B5968" s="2">
        <v>3450</v>
      </c>
      <c r="C5968" s="38">
        <v>44924</v>
      </c>
      <c r="D5968" s="1" t="s">
        <v>261</v>
      </c>
      <c r="E5968" s="1" t="s">
        <v>33</v>
      </c>
      <c r="F5968" s="1" t="s">
        <v>211</v>
      </c>
      <c r="G5968" s="5">
        <v>1.1499999999999999</v>
      </c>
    </row>
    <row r="5969" spans="1:7" x14ac:dyDescent="0.2">
      <c r="A5969" s="3">
        <v>1500</v>
      </c>
      <c r="B5969" s="2">
        <v>1725</v>
      </c>
      <c r="C5969" s="38">
        <v>44924</v>
      </c>
      <c r="D5969" s="1" t="s">
        <v>261</v>
      </c>
      <c r="E5969" s="1" t="s">
        <v>33</v>
      </c>
      <c r="F5969" s="1" t="s">
        <v>211</v>
      </c>
      <c r="G5969" s="5">
        <v>1.1499999999999999</v>
      </c>
    </row>
    <row r="5970" spans="1:7" x14ac:dyDescent="0.2">
      <c r="A5970" s="3">
        <v>120</v>
      </c>
      <c r="B5970" s="2">
        <v>11030.4</v>
      </c>
      <c r="C5970" s="38">
        <v>45166</v>
      </c>
      <c r="D5970" s="1" t="s">
        <v>295</v>
      </c>
      <c r="E5970" s="1" t="s">
        <v>33</v>
      </c>
      <c r="F5970" s="1" t="s">
        <v>211</v>
      </c>
      <c r="G5970" s="5">
        <v>91.92</v>
      </c>
    </row>
    <row r="5971" spans="1:7" x14ac:dyDescent="0.2">
      <c r="A5971" s="3">
        <v>120</v>
      </c>
      <c r="B5971" s="2">
        <v>1008</v>
      </c>
      <c r="C5971" s="38">
        <v>44855</v>
      </c>
      <c r="D5971" s="1" t="s">
        <v>313</v>
      </c>
      <c r="E5971" s="1" t="s">
        <v>33</v>
      </c>
      <c r="F5971" s="1" t="s">
        <v>211</v>
      </c>
      <c r="G5971" s="5">
        <v>8.4</v>
      </c>
    </row>
    <row r="5972" spans="1:7" x14ac:dyDescent="0.2">
      <c r="A5972" s="3">
        <v>1329</v>
      </c>
      <c r="B5972" s="2" t="s">
        <v>13</v>
      </c>
      <c r="C5972" s="38">
        <v>45149</v>
      </c>
      <c r="D5972" s="1" t="s">
        <v>317</v>
      </c>
      <c r="E5972" s="1" t="s">
        <v>33</v>
      </c>
      <c r="F5972" s="1" t="s">
        <v>209</v>
      </c>
      <c r="G5972" s="5" t="s">
        <v>13</v>
      </c>
    </row>
    <row r="5973" spans="1:7" x14ac:dyDescent="0.2">
      <c r="A5973" s="3">
        <v>351</v>
      </c>
      <c r="B5973" s="2" t="s">
        <v>13</v>
      </c>
      <c r="C5973" s="38">
        <v>45149</v>
      </c>
      <c r="D5973" s="1" t="s">
        <v>317</v>
      </c>
      <c r="E5973" s="1" t="s">
        <v>33</v>
      </c>
      <c r="F5973" s="1" t="s">
        <v>209</v>
      </c>
      <c r="G5973" s="5" t="s">
        <v>13</v>
      </c>
    </row>
    <row r="5974" spans="1:7" x14ac:dyDescent="0.2">
      <c r="A5974" s="3">
        <v>785</v>
      </c>
      <c r="B5974" s="2" t="s">
        <v>13</v>
      </c>
      <c r="C5974" s="38">
        <v>45149</v>
      </c>
      <c r="D5974" s="1" t="s">
        <v>316</v>
      </c>
      <c r="E5974" s="1" t="s">
        <v>33</v>
      </c>
      <c r="F5974" s="1" t="s">
        <v>209</v>
      </c>
      <c r="G5974" s="5" t="s">
        <v>13</v>
      </c>
    </row>
    <row r="5975" spans="1:7" x14ac:dyDescent="0.2">
      <c r="A5975" s="3">
        <v>-351</v>
      </c>
      <c r="B5975" s="2" t="s">
        <v>13</v>
      </c>
      <c r="C5975" s="38">
        <v>45153</v>
      </c>
      <c r="D5975" s="1" t="s">
        <v>317</v>
      </c>
      <c r="E5975" s="1" t="s">
        <v>33</v>
      </c>
      <c r="F5975" s="1" t="s">
        <v>209</v>
      </c>
      <c r="G5975" s="5" t="s">
        <v>13</v>
      </c>
    </row>
    <row r="5976" spans="1:7" x14ac:dyDescent="0.2">
      <c r="A5976" s="3">
        <v>-785</v>
      </c>
      <c r="B5976" s="2" t="s">
        <v>13</v>
      </c>
      <c r="C5976" s="38">
        <v>45153</v>
      </c>
      <c r="D5976" s="1" t="s">
        <v>316</v>
      </c>
      <c r="E5976" s="1" t="s">
        <v>33</v>
      </c>
      <c r="F5976" s="1" t="s">
        <v>209</v>
      </c>
      <c r="G5976" s="5" t="s">
        <v>13</v>
      </c>
    </row>
    <row r="5977" spans="1:7" x14ac:dyDescent="0.2">
      <c r="A5977" s="3">
        <v>-1329</v>
      </c>
      <c r="B5977" s="2" t="s">
        <v>13</v>
      </c>
      <c r="C5977" s="38">
        <v>45153</v>
      </c>
      <c r="D5977" s="1" t="s">
        <v>317</v>
      </c>
      <c r="E5977" s="1" t="s">
        <v>33</v>
      </c>
      <c r="F5977" s="1" t="s">
        <v>209</v>
      </c>
      <c r="G5977" s="5" t="s">
        <v>13</v>
      </c>
    </row>
    <row r="5978" spans="1:7" x14ac:dyDescent="0.2">
      <c r="A5978" s="3">
        <v>240</v>
      </c>
      <c r="B5978" s="2">
        <v>6355.2</v>
      </c>
      <c r="C5978" s="38">
        <v>45180</v>
      </c>
      <c r="D5978" s="1" t="s">
        <v>306</v>
      </c>
      <c r="E5978" s="1" t="s">
        <v>33</v>
      </c>
      <c r="F5978" s="1" t="s">
        <v>209</v>
      </c>
      <c r="G5978" s="5">
        <v>26.48</v>
      </c>
    </row>
    <row r="5979" spans="1:7" x14ac:dyDescent="0.2">
      <c r="A5979" s="3">
        <v>3000</v>
      </c>
      <c r="B5979" s="2">
        <v>5250</v>
      </c>
      <c r="C5979" s="38">
        <v>44579</v>
      </c>
      <c r="D5979" s="1" t="s">
        <v>304</v>
      </c>
      <c r="E5979" s="1" t="s">
        <v>33</v>
      </c>
      <c r="F5979" s="1" t="s">
        <v>209</v>
      </c>
      <c r="G5979" s="5">
        <v>1.75</v>
      </c>
    </row>
    <row r="5980" spans="1:7" x14ac:dyDescent="0.2">
      <c r="A5980" s="3">
        <v>18000</v>
      </c>
      <c r="B5980" s="2">
        <v>31500</v>
      </c>
      <c r="C5980" s="38">
        <v>44579</v>
      </c>
      <c r="D5980" s="1" t="s">
        <v>304</v>
      </c>
      <c r="E5980" s="1" t="s">
        <v>33</v>
      </c>
      <c r="F5980" s="1" t="s">
        <v>209</v>
      </c>
      <c r="G5980" s="5">
        <v>1.75</v>
      </c>
    </row>
    <row r="5981" spans="1:7" x14ac:dyDescent="0.2">
      <c r="A5981" s="3">
        <v>6000</v>
      </c>
      <c r="B5981" s="2">
        <v>10500</v>
      </c>
      <c r="C5981" s="38">
        <v>44579</v>
      </c>
      <c r="D5981" s="1" t="s">
        <v>304</v>
      </c>
      <c r="E5981" s="1" t="s">
        <v>33</v>
      </c>
      <c r="F5981" s="1" t="s">
        <v>209</v>
      </c>
      <c r="G5981" s="5">
        <v>1.75</v>
      </c>
    </row>
    <row r="5982" spans="1:7" x14ac:dyDescent="0.2">
      <c r="A5982" s="3">
        <v>12000</v>
      </c>
      <c r="B5982" s="2">
        <v>21000</v>
      </c>
      <c r="C5982" s="38">
        <v>44580</v>
      </c>
      <c r="D5982" s="1" t="s">
        <v>304</v>
      </c>
      <c r="E5982" s="1" t="s">
        <v>33</v>
      </c>
      <c r="F5982" s="1" t="s">
        <v>209</v>
      </c>
      <c r="G5982" s="5">
        <v>1.75</v>
      </c>
    </row>
    <row r="5983" spans="1:7" x14ac:dyDescent="0.2">
      <c r="A5983" s="3">
        <v>3000</v>
      </c>
      <c r="B5983" s="2">
        <v>5940</v>
      </c>
      <c r="C5983" s="38">
        <v>44589</v>
      </c>
      <c r="D5983" s="1" t="s">
        <v>309</v>
      </c>
      <c r="E5983" s="1" t="s">
        <v>33</v>
      </c>
      <c r="F5983" s="1" t="s">
        <v>209</v>
      </c>
      <c r="G5983" s="5">
        <v>1.98</v>
      </c>
    </row>
    <row r="5984" spans="1:7" x14ac:dyDescent="0.2">
      <c r="A5984" s="3">
        <v>4000</v>
      </c>
      <c r="B5984" s="2">
        <v>5360</v>
      </c>
      <c r="C5984" s="38">
        <v>44963</v>
      </c>
      <c r="D5984" s="1" t="s">
        <v>308</v>
      </c>
      <c r="E5984" s="1" t="s">
        <v>33</v>
      </c>
      <c r="F5984" s="1" t="s">
        <v>209</v>
      </c>
      <c r="G5984" s="5">
        <v>1.34</v>
      </c>
    </row>
    <row r="5985" spans="1:7" x14ac:dyDescent="0.2">
      <c r="A5985" s="3">
        <v>3000</v>
      </c>
      <c r="B5985" s="2">
        <v>5280</v>
      </c>
      <c r="C5985" s="38">
        <v>44964</v>
      </c>
      <c r="D5985" s="1" t="s">
        <v>297</v>
      </c>
      <c r="E5985" s="1" t="s">
        <v>33</v>
      </c>
      <c r="F5985" s="1" t="s">
        <v>209</v>
      </c>
      <c r="G5985" s="5">
        <v>1.76</v>
      </c>
    </row>
    <row r="5986" spans="1:7" x14ac:dyDescent="0.2">
      <c r="A5986" s="3">
        <v>3000</v>
      </c>
      <c r="B5986" s="2">
        <v>5940</v>
      </c>
      <c r="C5986" s="38">
        <v>44610</v>
      </c>
      <c r="D5986" s="1" t="s">
        <v>309</v>
      </c>
      <c r="E5986" s="1" t="s">
        <v>33</v>
      </c>
      <c r="F5986" s="1" t="s">
        <v>209</v>
      </c>
      <c r="G5986" s="5">
        <v>1.98</v>
      </c>
    </row>
    <row r="5987" spans="1:7" x14ac:dyDescent="0.2">
      <c r="A5987" s="3">
        <v>3000</v>
      </c>
      <c r="B5987" s="2">
        <v>5940</v>
      </c>
      <c r="C5987" s="38">
        <v>44617</v>
      </c>
      <c r="D5987" s="1" t="s">
        <v>309</v>
      </c>
      <c r="E5987" s="1" t="s">
        <v>33</v>
      </c>
      <c r="F5987" s="1" t="s">
        <v>209</v>
      </c>
      <c r="G5987" s="5">
        <v>1.98</v>
      </c>
    </row>
    <row r="5988" spans="1:7" x14ac:dyDescent="0.2">
      <c r="A5988" s="3">
        <v>3000</v>
      </c>
      <c r="B5988" s="2">
        <v>5280</v>
      </c>
      <c r="C5988" s="38">
        <v>44993</v>
      </c>
      <c r="D5988" s="1" t="s">
        <v>297</v>
      </c>
      <c r="E5988" s="1" t="s">
        <v>33</v>
      </c>
      <c r="F5988" s="1" t="s">
        <v>209</v>
      </c>
      <c r="G5988" s="5">
        <v>1.76</v>
      </c>
    </row>
    <row r="5989" spans="1:7" x14ac:dyDescent="0.2">
      <c r="A5989" s="3">
        <v>3000</v>
      </c>
      <c r="B5989" s="2">
        <v>5280</v>
      </c>
      <c r="C5989" s="38">
        <v>44993</v>
      </c>
      <c r="D5989" s="1" t="s">
        <v>297</v>
      </c>
      <c r="E5989" s="1" t="s">
        <v>33</v>
      </c>
      <c r="F5989" s="1" t="s">
        <v>209</v>
      </c>
      <c r="G5989" s="5">
        <v>1.76</v>
      </c>
    </row>
    <row r="5990" spans="1:7" x14ac:dyDescent="0.2">
      <c r="A5990" s="3">
        <v>4000</v>
      </c>
      <c r="B5990" s="2">
        <v>5360</v>
      </c>
      <c r="C5990" s="38">
        <v>44994</v>
      </c>
      <c r="D5990" s="1" t="s">
        <v>308</v>
      </c>
      <c r="E5990" s="1" t="s">
        <v>33</v>
      </c>
      <c r="F5990" s="1" t="s">
        <v>209</v>
      </c>
      <c r="G5990" s="5">
        <v>1.34</v>
      </c>
    </row>
    <row r="5991" spans="1:7" x14ac:dyDescent="0.2">
      <c r="A5991" s="3">
        <v>4000</v>
      </c>
      <c r="B5991" s="2">
        <v>5360</v>
      </c>
      <c r="C5991" s="38">
        <v>45000</v>
      </c>
      <c r="D5991" s="1" t="s">
        <v>308</v>
      </c>
      <c r="E5991" s="1" t="s">
        <v>33</v>
      </c>
      <c r="F5991" s="1" t="s">
        <v>209</v>
      </c>
      <c r="G5991" s="5">
        <v>1.34</v>
      </c>
    </row>
    <row r="5992" spans="1:7" x14ac:dyDescent="0.2">
      <c r="A5992" s="3">
        <v>6000</v>
      </c>
      <c r="B5992" s="2">
        <v>10500</v>
      </c>
      <c r="C5992" s="38">
        <v>44642</v>
      </c>
      <c r="D5992" s="1" t="s">
        <v>304</v>
      </c>
      <c r="E5992" s="1" t="s">
        <v>33</v>
      </c>
      <c r="F5992" s="1" t="s">
        <v>209</v>
      </c>
      <c r="G5992" s="5">
        <v>1.75</v>
      </c>
    </row>
    <row r="5993" spans="1:7" x14ac:dyDescent="0.2">
      <c r="A5993" s="3">
        <v>6000</v>
      </c>
      <c r="B5993" s="2">
        <v>10560</v>
      </c>
      <c r="C5993" s="38">
        <v>44649</v>
      </c>
      <c r="D5993" s="1" t="s">
        <v>297</v>
      </c>
      <c r="E5993" s="1" t="s">
        <v>33</v>
      </c>
      <c r="F5993" s="1" t="s">
        <v>209</v>
      </c>
      <c r="G5993" s="5">
        <v>1.76</v>
      </c>
    </row>
    <row r="5994" spans="1:7" x14ac:dyDescent="0.2">
      <c r="A5994" s="3">
        <v>4000</v>
      </c>
      <c r="B5994" s="2">
        <v>5360</v>
      </c>
      <c r="C5994" s="38">
        <v>44653</v>
      </c>
      <c r="D5994" s="1" t="s">
        <v>308</v>
      </c>
      <c r="E5994" s="1" t="s">
        <v>33</v>
      </c>
      <c r="F5994" s="1" t="s">
        <v>209</v>
      </c>
      <c r="G5994" s="5">
        <v>1.34</v>
      </c>
    </row>
    <row r="5995" spans="1:7" x14ac:dyDescent="0.2">
      <c r="A5995" s="3">
        <v>3000</v>
      </c>
      <c r="B5995" s="2">
        <v>5250</v>
      </c>
      <c r="C5995" s="38">
        <v>44659</v>
      </c>
      <c r="D5995" s="1" t="s">
        <v>304</v>
      </c>
      <c r="E5995" s="1" t="s">
        <v>33</v>
      </c>
      <c r="F5995" s="1" t="s">
        <v>209</v>
      </c>
      <c r="G5995" s="5">
        <v>1.75</v>
      </c>
    </row>
    <row r="5996" spans="1:7" x14ac:dyDescent="0.2">
      <c r="A5996" s="3">
        <v>3000</v>
      </c>
      <c r="B5996" s="2">
        <v>5280</v>
      </c>
      <c r="C5996" s="38">
        <v>45041</v>
      </c>
      <c r="D5996" s="1" t="s">
        <v>297</v>
      </c>
      <c r="E5996" s="1" t="s">
        <v>33</v>
      </c>
      <c r="F5996" s="1" t="s">
        <v>209</v>
      </c>
      <c r="G5996" s="5">
        <v>1.76</v>
      </c>
    </row>
    <row r="5997" spans="1:7" x14ac:dyDescent="0.2">
      <c r="A5997" s="3">
        <v>3000</v>
      </c>
      <c r="B5997" s="2">
        <v>5280</v>
      </c>
      <c r="C5997" s="38">
        <v>45041</v>
      </c>
      <c r="D5997" s="1" t="s">
        <v>297</v>
      </c>
      <c r="E5997" s="1" t="s">
        <v>33</v>
      </c>
      <c r="F5997" s="1" t="s">
        <v>209</v>
      </c>
      <c r="G5997" s="5">
        <v>1.76</v>
      </c>
    </row>
    <row r="5998" spans="1:7" x14ac:dyDescent="0.2">
      <c r="A5998" s="3">
        <v>3000</v>
      </c>
      <c r="B5998" s="2">
        <v>5940</v>
      </c>
      <c r="C5998" s="38">
        <v>44677</v>
      </c>
      <c r="D5998" s="1" t="s">
        <v>309</v>
      </c>
      <c r="E5998" s="1" t="s">
        <v>33</v>
      </c>
      <c r="F5998" s="1" t="s">
        <v>209</v>
      </c>
      <c r="G5998" s="5">
        <v>1.98</v>
      </c>
    </row>
    <row r="5999" spans="1:7" x14ac:dyDescent="0.2">
      <c r="A5999" s="3">
        <v>4000</v>
      </c>
      <c r="B5999" s="2">
        <v>5360</v>
      </c>
      <c r="C5999" s="38">
        <v>45044</v>
      </c>
      <c r="D5999" s="1" t="s">
        <v>308</v>
      </c>
      <c r="E5999" s="1" t="s">
        <v>33</v>
      </c>
      <c r="F5999" s="1" t="s">
        <v>209</v>
      </c>
      <c r="G5999" s="5">
        <v>1.34</v>
      </c>
    </row>
    <row r="6000" spans="1:7" x14ac:dyDescent="0.2">
      <c r="A6000" s="3">
        <v>4000</v>
      </c>
      <c r="B6000" s="2">
        <v>5360</v>
      </c>
      <c r="C6000" s="38">
        <v>45044</v>
      </c>
      <c r="D6000" s="1" t="s">
        <v>308</v>
      </c>
      <c r="E6000" s="1" t="s">
        <v>33</v>
      </c>
      <c r="F6000" s="1" t="s">
        <v>209</v>
      </c>
      <c r="G6000" s="5">
        <v>1.34</v>
      </c>
    </row>
    <row r="6001" spans="1:7" x14ac:dyDescent="0.2">
      <c r="A6001" s="3">
        <v>3000</v>
      </c>
      <c r="B6001" s="2">
        <v>5280</v>
      </c>
      <c r="C6001" s="38">
        <v>45044</v>
      </c>
      <c r="D6001" s="1" t="s">
        <v>297</v>
      </c>
      <c r="E6001" s="1" t="s">
        <v>33</v>
      </c>
      <c r="F6001" s="1" t="s">
        <v>209</v>
      </c>
      <c r="G6001" s="5">
        <v>1.76</v>
      </c>
    </row>
    <row r="6002" spans="1:7" x14ac:dyDescent="0.2">
      <c r="A6002" s="3">
        <v>3000</v>
      </c>
      <c r="B6002" s="2">
        <v>5940</v>
      </c>
      <c r="C6002" s="38">
        <v>44698</v>
      </c>
      <c r="D6002" s="1" t="s">
        <v>309</v>
      </c>
      <c r="E6002" s="1" t="s">
        <v>33</v>
      </c>
      <c r="F6002" s="1" t="s">
        <v>209</v>
      </c>
      <c r="G6002" s="5">
        <v>1.98</v>
      </c>
    </row>
    <row r="6003" spans="1:7" x14ac:dyDescent="0.2">
      <c r="A6003" s="3">
        <v>3000</v>
      </c>
      <c r="B6003" s="2">
        <v>5940</v>
      </c>
      <c r="C6003" s="38">
        <v>44698</v>
      </c>
      <c r="D6003" s="1" t="s">
        <v>309</v>
      </c>
      <c r="E6003" s="1" t="s">
        <v>33</v>
      </c>
      <c r="F6003" s="1" t="s">
        <v>209</v>
      </c>
      <c r="G6003" s="5">
        <v>1.98</v>
      </c>
    </row>
    <row r="6004" spans="1:7" x14ac:dyDescent="0.2">
      <c r="A6004" s="3">
        <v>20</v>
      </c>
      <c r="B6004" s="2">
        <v>11225.8</v>
      </c>
      <c r="C6004" s="38">
        <v>44958</v>
      </c>
      <c r="D6004" s="1" t="s">
        <v>307</v>
      </c>
      <c r="E6004" s="1" t="s">
        <v>33</v>
      </c>
      <c r="F6004" s="1" t="s">
        <v>209</v>
      </c>
      <c r="G6004" s="5">
        <v>561.29</v>
      </c>
    </row>
    <row r="6005" spans="1:7" x14ac:dyDescent="0.2">
      <c r="A6005" s="3">
        <v>22</v>
      </c>
      <c r="B6005" s="2">
        <v>13154.9</v>
      </c>
      <c r="C6005" s="38">
        <v>44993</v>
      </c>
      <c r="D6005" s="1" t="s">
        <v>307</v>
      </c>
      <c r="E6005" s="1" t="s">
        <v>33</v>
      </c>
      <c r="F6005" s="1" t="s">
        <v>209</v>
      </c>
      <c r="G6005" s="5">
        <v>597.95000000000005</v>
      </c>
    </row>
    <row r="6006" spans="1:7" x14ac:dyDescent="0.2">
      <c r="A6006" s="3">
        <v>540</v>
      </c>
      <c r="B6006" s="2">
        <v>30153.599999999999</v>
      </c>
      <c r="C6006" s="38">
        <v>45012</v>
      </c>
      <c r="D6006" s="1" t="s">
        <v>333</v>
      </c>
      <c r="E6006" s="1" t="s">
        <v>33</v>
      </c>
      <c r="F6006" s="1" t="s">
        <v>209</v>
      </c>
      <c r="G6006" s="5">
        <v>55.84</v>
      </c>
    </row>
    <row r="6007" spans="1:7" x14ac:dyDescent="0.2">
      <c r="A6007" s="3">
        <v>54</v>
      </c>
      <c r="B6007" s="2">
        <v>3015.36</v>
      </c>
      <c r="C6007" s="38">
        <v>45022</v>
      </c>
      <c r="D6007" s="1" t="s">
        <v>333</v>
      </c>
      <c r="E6007" s="1" t="s">
        <v>33</v>
      </c>
      <c r="F6007" s="1" t="s">
        <v>209</v>
      </c>
      <c r="G6007" s="5">
        <v>55.84</v>
      </c>
    </row>
    <row r="6008" spans="1:7" x14ac:dyDescent="0.2">
      <c r="A6008" s="3">
        <v>13</v>
      </c>
      <c r="B6008" s="2">
        <v>7773.35</v>
      </c>
      <c r="C6008" s="38">
        <v>45051</v>
      </c>
      <c r="D6008" s="1" t="s">
        <v>307</v>
      </c>
      <c r="E6008" s="1" t="s">
        <v>33</v>
      </c>
      <c r="F6008" s="1" t="s">
        <v>209</v>
      </c>
      <c r="G6008" s="5">
        <v>597.95000000000005</v>
      </c>
    </row>
    <row r="6009" spans="1:7" x14ac:dyDescent="0.2">
      <c r="A6009" s="3">
        <v>1350</v>
      </c>
      <c r="B6009" s="2">
        <v>175891.5</v>
      </c>
      <c r="C6009" s="38">
        <v>45092</v>
      </c>
      <c r="D6009" s="1" t="s">
        <v>317</v>
      </c>
      <c r="E6009" s="1" t="s">
        <v>33</v>
      </c>
      <c r="F6009" s="1" t="s">
        <v>209</v>
      </c>
      <c r="G6009" s="5">
        <v>130.29</v>
      </c>
    </row>
    <row r="6010" spans="1:7" x14ac:dyDescent="0.2">
      <c r="A6010" s="3">
        <v>54</v>
      </c>
      <c r="B6010" s="2">
        <v>7035.66</v>
      </c>
      <c r="C6010" s="38">
        <v>45103</v>
      </c>
      <c r="D6010" s="1" t="s">
        <v>317</v>
      </c>
      <c r="E6010" s="1" t="s">
        <v>33</v>
      </c>
      <c r="F6010" s="1" t="s">
        <v>209</v>
      </c>
      <c r="G6010" s="5">
        <v>130.29</v>
      </c>
    </row>
    <row r="6011" spans="1:7" x14ac:dyDescent="0.2">
      <c r="A6011" s="3">
        <v>65</v>
      </c>
      <c r="B6011" s="2">
        <v>38866.75</v>
      </c>
      <c r="C6011" s="38">
        <v>45107</v>
      </c>
      <c r="D6011" s="1" t="s">
        <v>307</v>
      </c>
      <c r="E6011" s="1" t="s">
        <v>33</v>
      </c>
      <c r="F6011" s="1" t="s">
        <v>209</v>
      </c>
      <c r="G6011" s="5">
        <v>597.95000000000005</v>
      </c>
    </row>
    <row r="6012" spans="1:7" x14ac:dyDescent="0.2">
      <c r="A6012" s="3">
        <v>270</v>
      </c>
      <c r="B6012" s="2">
        <v>35178.300000000003</v>
      </c>
      <c r="C6012" s="38">
        <v>45128</v>
      </c>
      <c r="D6012" s="1" t="s">
        <v>317</v>
      </c>
      <c r="E6012" s="1" t="s">
        <v>33</v>
      </c>
      <c r="F6012" s="1" t="s">
        <v>209</v>
      </c>
      <c r="G6012" s="5">
        <v>130.29</v>
      </c>
    </row>
    <row r="6013" spans="1:7" x14ac:dyDescent="0.2">
      <c r="A6013" s="3">
        <v>544</v>
      </c>
      <c r="B6013" s="2">
        <v>81001.600000000006</v>
      </c>
      <c r="C6013" s="38">
        <v>45133</v>
      </c>
      <c r="D6013" s="1" t="s">
        <v>316</v>
      </c>
      <c r="E6013" s="1" t="s">
        <v>33</v>
      </c>
      <c r="F6013" s="1" t="s">
        <v>209</v>
      </c>
      <c r="G6013" s="5">
        <v>148.9</v>
      </c>
    </row>
    <row r="6014" spans="1:7" x14ac:dyDescent="0.2">
      <c r="A6014" s="3">
        <v>295</v>
      </c>
      <c r="B6014" s="2">
        <v>43925.5</v>
      </c>
      <c r="C6014" s="38">
        <v>45149</v>
      </c>
      <c r="D6014" s="1" t="s">
        <v>316</v>
      </c>
      <c r="E6014" s="1" t="s">
        <v>33</v>
      </c>
      <c r="F6014" s="1" t="s">
        <v>209</v>
      </c>
      <c r="G6014" s="5">
        <v>148.9</v>
      </c>
    </row>
    <row r="6015" spans="1:7" x14ac:dyDescent="0.2">
      <c r="A6015" s="3">
        <v>75</v>
      </c>
      <c r="B6015" s="2">
        <v>9771.75</v>
      </c>
      <c r="C6015" s="38">
        <v>45149</v>
      </c>
      <c r="D6015" s="1" t="s">
        <v>317</v>
      </c>
      <c r="E6015" s="1" t="s">
        <v>33</v>
      </c>
      <c r="F6015" s="1" t="s">
        <v>209</v>
      </c>
      <c r="G6015" s="5">
        <v>130.29</v>
      </c>
    </row>
    <row r="6016" spans="1:7" x14ac:dyDescent="0.2">
      <c r="A6016" s="3">
        <v>655</v>
      </c>
      <c r="B6016" s="2">
        <v>85339.95</v>
      </c>
      <c r="C6016" s="38">
        <v>45149</v>
      </c>
      <c r="D6016" s="1" t="s">
        <v>317</v>
      </c>
      <c r="E6016" s="1" t="s">
        <v>33</v>
      </c>
      <c r="F6016" s="1" t="s">
        <v>209</v>
      </c>
      <c r="G6016" s="5">
        <v>130.29</v>
      </c>
    </row>
    <row r="6017" spans="1:7" x14ac:dyDescent="0.2">
      <c r="A6017" s="3">
        <v>-295</v>
      </c>
      <c r="B6017" s="2">
        <v>-43925.5</v>
      </c>
      <c r="C6017" s="38">
        <v>45153</v>
      </c>
      <c r="D6017" s="1" t="s">
        <v>316</v>
      </c>
      <c r="E6017" s="1" t="s">
        <v>33</v>
      </c>
      <c r="F6017" s="1" t="s">
        <v>209</v>
      </c>
      <c r="G6017" s="5">
        <v>148.9</v>
      </c>
    </row>
    <row r="6018" spans="1:7" x14ac:dyDescent="0.2">
      <c r="A6018" s="3">
        <v>-75</v>
      </c>
      <c r="B6018" s="2">
        <v>-9771.75</v>
      </c>
      <c r="C6018" s="38">
        <v>45153</v>
      </c>
      <c r="D6018" s="1" t="s">
        <v>317</v>
      </c>
      <c r="E6018" s="1" t="s">
        <v>33</v>
      </c>
      <c r="F6018" s="1" t="s">
        <v>209</v>
      </c>
      <c r="G6018" s="5">
        <v>130.29</v>
      </c>
    </row>
    <row r="6019" spans="1:7" x14ac:dyDescent="0.2">
      <c r="A6019" s="3">
        <v>-655</v>
      </c>
      <c r="B6019" s="2">
        <v>-85339.95</v>
      </c>
      <c r="C6019" s="38">
        <v>45153</v>
      </c>
      <c r="D6019" s="1" t="s">
        <v>317</v>
      </c>
      <c r="E6019" s="1" t="s">
        <v>33</v>
      </c>
      <c r="F6019" s="1" t="s">
        <v>209</v>
      </c>
      <c r="G6019" s="5">
        <v>130.29</v>
      </c>
    </row>
    <row r="6020" spans="1:7" x14ac:dyDescent="0.2">
      <c r="A6020" s="3">
        <v>295</v>
      </c>
      <c r="B6020" s="2">
        <v>43925.5</v>
      </c>
      <c r="C6020" s="38">
        <v>45154</v>
      </c>
      <c r="D6020" s="1" t="s">
        <v>316</v>
      </c>
      <c r="E6020" s="1" t="s">
        <v>33</v>
      </c>
      <c r="F6020" s="1" t="s">
        <v>209</v>
      </c>
      <c r="G6020" s="5">
        <v>148.9</v>
      </c>
    </row>
    <row r="6021" spans="1:7" x14ac:dyDescent="0.2">
      <c r="A6021" s="3">
        <v>200</v>
      </c>
      <c r="B6021" s="2">
        <v>29780</v>
      </c>
      <c r="C6021" s="38">
        <v>45154</v>
      </c>
      <c r="D6021" s="1" t="s">
        <v>316</v>
      </c>
      <c r="E6021" s="1" t="s">
        <v>33</v>
      </c>
      <c r="F6021" s="1" t="s">
        <v>209</v>
      </c>
      <c r="G6021" s="5">
        <v>148.9</v>
      </c>
    </row>
    <row r="6022" spans="1:7" x14ac:dyDescent="0.2">
      <c r="A6022" s="3">
        <v>585</v>
      </c>
      <c r="B6022" s="2">
        <v>87106.5</v>
      </c>
      <c r="C6022" s="38">
        <v>45154</v>
      </c>
      <c r="D6022" s="1" t="s">
        <v>316</v>
      </c>
      <c r="E6022" s="1" t="s">
        <v>33</v>
      </c>
      <c r="F6022" s="1" t="s">
        <v>209</v>
      </c>
      <c r="G6022" s="5">
        <v>148.9</v>
      </c>
    </row>
    <row r="6023" spans="1:7" x14ac:dyDescent="0.2">
      <c r="A6023" s="3">
        <v>75</v>
      </c>
      <c r="B6023" s="2">
        <v>9771.75</v>
      </c>
      <c r="C6023" s="38">
        <v>45154</v>
      </c>
      <c r="D6023" s="1" t="s">
        <v>317</v>
      </c>
      <c r="E6023" s="1" t="s">
        <v>33</v>
      </c>
      <c r="F6023" s="1" t="s">
        <v>209</v>
      </c>
      <c r="G6023" s="5">
        <v>130.29</v>
      </c>
    </row>
    <row r="6024" spans="1:7" x14ac:dyDescent="0.2">
      <c r="A6024" s="3">
        <v>1052</v>
      </c>
      <c r="B6024" s="2">
        <v>137065.07999999999</v>
      </c>
      <c r="C6024" s="38">
        <v>45154</v>
      </c>
      <c r="D6024" s="1" t="s">
        <v>317</v>
      </c>
      <c r="E6024" s="1" t="s">
        <v>33</v>
      </c>
      <c r="F6024" s="1" t="s">
        <v>209</v>
      </c>
      <c r="G6024" s="5">
        <v>130.29</v>
      </c>
    </row>
    <row r="6025" spans="1:7" x14ac:dyDescent="0.2">
      <c r="A6025" s="3">
        <v>277</v>
      </c>
      <c r="B6025" s="2">
        <v>36090.33</v>
      </c>
      <c r="C6025" s="38">
        <v>45154</v>
      </c>
      <c r="D6025" s="1" t="s">
        <v>317</v>
      </c>
      <c r="E6025" s="1" t="s">
        <v>33</v>
      </c>
      <c r="F6025" s="1" t="s">
        <v>209</v>
      </c>
      <c r="G6025" s="5">
        <v>130.29</v>
      </c>
    </row>
    <row r="6026" spans="1:7" x14ac:dyDescent="0.2">
      <c r="A6026" s="3">
        <v>655</v>
      </c>
      <c r="B6026" s="2">
        <v>85339.95</v>
      </c>
      <c r="C6026" s="38">
        <v>45154</v>
      </c>
      <c r="D6026" s="1" t="s">
        <v>317</v>
      </c>
      <c r="E6026" s="1" t="s">
        <v>33</v>
      </c>
      <c r="F6026" s="1" t="s">
        <v>209</v>
      </c>
      <c r="G6026" s="5">
        <v>130.29</v>
      </c>
    </row>
    <row r="6027" spans="1:7" x14ac:dyDescent="0.2">
      <c r="A6027" s="3">
        <v>351</v>
      </c>
      <c r="B6027" s="2">
        <v>45731.79</v>
      </c>
      <c r="C6027" s="38">
        <v>45154</v>
      </c>
      <c r="D6027" s="1" t="s">
        <v>317</v>
      </c>
      <c r="E6027" s="1" t="s">
        <v>33</v>
      </c>
      <c r="F6027" s="1" t="s">
        <v>209</v>
      </c>
      <c r="G6027" s="5">
        <v>130.29</v>
      </c>
    </row>
    <row r="6028" spans="1:7" x14ac:dyDescent="0.2">
      <c r="A6028" s="3">
        <v>60</v>
      </c>
      <c r="B6028" s="2">
        <v>35877</v>
      </c>
      <c r="C6028" s="38">
        <v>45155</v>
      </c>
      <c r="D6028" s="1" t="s">
        <v>307</v>
      </c>
      <c r="E6028" s="1" t="s">
        <v>33</v>
      </c>
      <c r="F6028" s="1" t="s">
        <v>209</v>
      </c>
      <c r="G6028" s="5">
        <v>597.95000000000005</v>
      </c>
    </row>
    <row r="6029" spans="1:7" x14ac:dyDescent="0.2">
      <c r="A6029" s="3">
        <v>4000</v>
      </c>
      <c r="B6029" s="2">
        <v>5360</v>
      </c>
      <c r="C6029" s="38">
        <v>44699</v>
      </c>
      <c r="D6029" s="1" t="s">
        <v>308</v>
      </c>
      <c r="E6029" s="1" t="s">
        <v>33</v>
      </c>
      <c r="F6029" s="1" t="s">
        <v>209</v>
      </c>
      <c r="G6029" s="5">
        <v>1.34</v>
      </c>
    </row>
    <row r="6030" spans="1:7" x14ac:dyDescent="0.2">
      <c r="A6030" s="3">
        <v>3000</v>
      </c>
      <c r="B6030" s="2">
        <v>5940</v>
      </c>
      <c r="C6030" s="38">
        <v>44704</v>
      </c>
      <c r="D6030" s="1" t="s">
        <v>309</v>
      </c>
      <c r="E6030" s="1" t="s">
        <v>33</v>
      </c>
      <c r="F6030" s="1" t="s">
        <v>209</v>
      </c>
      <c r="G6030" s="5">
        <v>1.98</v>
      </c>
    </row>
    <row r="6031" spans="1:7" x14ac:dyDescent="0.2">
      <c r="A6031" s="3">
        <v>4000</v>
      </c>
      <c r="B6031" s="2">
        <v>5360</v>
      </c>
      <c r="C6031" s="38">
        <v>45069</v>
      </c>
      <c r="D6031" s="1" t="s">
        <v>308</v>
      </c>
      <c r="E6031" s="1" t="s">
        <v>33</v>
      </c>
      <c r="F6031" s="1" t="s">
        <v>209</v>
      </c>
      <c r="G6031" s="5">
        <v>1.34</v>
      </c>
    </row>
    <row r="6032" spans="1:7" x14ac:dyDescent="0.2">
      <c r="A6032" s="3">
        <v>3000</v>
      </c>
      <c r="B6032" s="2">
        <v>5940</v>
      </c>
      <c r="C6032" s="38">
        <v>44742</v>
      </c>
      <c r="D6032" s="1" t="s">
        <v>309</v>
      </c>
      <c r="E6032" s="1" t="s">
        <v>33</v>
      </c>
      <c r="F6032" s="1" t="s">
        <v>209</v>
      </c>
      <c r="G6032" s="5">
        <v>1.98</v>
      </c>
    </row>
    <row r="6033" spans="1:7" x14ac:dyDescent="0.2">
      <c r="A6033" s="3">
        <v>3000</v>
      </c>
      <c r="B6033" s="2">
        <v>5940</v>
      </c>
      <c r="C6033" s="38">
        <v>44742</v>
      </c>
      <c r="D6033" s="1" t="s">
        <v>309</v>
      </c>
      <c r="E6033" s="1" t="s">
        <v>33</v>
      </c>
      <c r="F6033" s="1" t="s">
        <v>209</v>
      </c>
      <c r="G6033" s="5">
        <v>1.98</v>
      </c>
    </row>
    <row r="6034" spans="1:7" x14ac:dyDescent="0.2">
      <c r="A6034" s="3">
        <v>4000</v>
      </c>
      <c r="B6034" s="2">
        <v>5360</v>
      </c>
      <c r="C6034" s="38">
        <v>44446</v>
      </c>
      <c r="D6034" s="1" t="s">
        <v>308</v>
      </c>
      <c r="E6034" s="1" t="s">
        <v>33</v>
      </c>
      <c r="F6034" s="1" t="s">
        <v>209</v>
      </c>
      <c r="G6034" s="5">
        <v>1.34</v>
      </c>
    </row>
    <row r="6035" spans="1:7" x14ac:dyDescent="0.2">
      <c r="A6035" s="3">
        <v>3000</v>
      </c>
      <c r="B6035" s="2">
        <v>5940</v>
      </c>
      <c r="C6035" s="38">
        <v>44446</v>
      </c>
      <c r="D6035" s="1" t="s">
        <v>309</v>
      </c>
      <c r="E6035" s="1" t="s">
        <v>33</v>
      </c>
      <c r="F6035" s="1" t="s">
        <v>209</v>
      </c>
      <c r="G6035" s="5">
        <v>1.98</v>
      </c>
    </row>
    <row r="6036" spans="1:7" x14ac:dyDescent="0.2">
      <c r="A6036" s="3">
        <v>3000</v>
      </c>
      <c r="B6036" s="2">
        <v>5940</v>
      </c>
      <c r="C6036" s="38">
        <v>44446</v>
      </c>
      <c r="D6036" s="1" t="s">
        <v>309</v>
      </c>
      <c r="E6036" s="1" t="s">
        <v>33</v>
      </c>
      <c r="F6036" s="1" t="s">
        <v>209</v>
      </c>
      <c r="G6036" s="5">
        <v>1.98</v>
      </c>
    </row>
    <row r="6037" spans="1:7" x14ac:dyDescent="0.2">
      <c r="A6037" s="3">
        <v>3000</v>
      </c>
      <c r="B6037" s="2">
        <v>5940</v>
      </c>
      <c r="C6037" s="38">
        <v>44446</v>
      </c>
      <c r="D6037" s="1" t="s">
        <v>309</v>
      </c>
      <c r="E6037" s="1" t="s">
        <v>33</v>
      </c>
      <c r="F6037" s="1" t="s">
        <v>209</v>
      </c>
      <c r="G6037" s="5">
        <v>1.98</v>
      </c>
    </row>
    <row r="6038" spans="1:7" x14ac:dyDescent="0.2">
      <c r="A6038" s="3">
        <v>3000</v>
      </c>
      <c r="B6038" s="2">
        <v>5940</v>
      </c>
      <c r="C6038" s="38">
        <v>44461</v>
      </c>
      <c r="D6038" s="1" t="s">
        <v>309</v>
      </c>
      <c r="E6038" s="1" t="s">
        <v>33</v>
      </c>
      <c r="F6038" s="1" t="s">
        <v>209</v>
      </c>
      <c r="G6038" s="5">
        <v>1.98</v>
      </c>
    </row>
    <row r="6039" spans="1:7" x14ac:dyDescent="0.2">
      <c r="A6039" s="3">
        <v>6000</v>
      </c>
      <c r="B6039" s="2">
        <v>11880</v>
      </c>
      <c r="C6039" s="38">
        <v>44467</v>
      </c>
      <c r="D6039" s="1" t="s">
        <v>309</v>
      </c>
      <c r="E6039" s="1" t="s">
        <v>33</v>
      </c>
      <c r="F6039" s="1" t="s">
        <v>209</v>
      </c>
      <c r="G6039" s="5">
        <v>1.98</v>
      </c>
    </row>
    <row r="6040" spans="1:7" x14ac:dyDescent="0.2">
      <c r="A6040" s="3">
        <v>3000</v>
      </c>
      <c r="B6040" s="2">
        <v>5940</v>
      </c>
      <c r="C6040" s="38">
        <v>44475</v>
      </c>
      <c r="D6040" s="1" t="s">
        <v>309</v>
      </c>
      <c r="E6040" s="1" t="s">
        <v>33</v>
      </c>
      <c r="F6040" s="1" t="s">
        <v>209</v>
      </c>
      <c r="G6040" s="5">
        <v>1.98</v>
      </c>
    </row>
    <row r="6041" spans="1:7" x14ac:dyDescent="0.2">
      <c r="A6041" s="3">
        <v>4000</v>
      </c>
      <c r="B6041" s="2">
        <v>5360</v>
      </c>
      <c r="C6041" s="38">
        <v>44487</v>
      </c>
      <c r="D6041" s="1" t="s">
        <v>308</v>
      </c>
      <c r="E6041" s="1" t="s">
        <v>33</v>
      </c>
      <c r="F6041" s="1" t="s">
        <v>209</v>
      </c>
      <c r="G6041" s="5">
        <v>1.34</v>
      </c>
    </row>
    <row r="6042" spans="1:7" x14ac:dyDescent="0.2">
      <c r="A6042" s="3">
        <v>3000</v>
      </c>
      <c r="B6042" s="2">
        <v>5940</v>
      </c>
      <c r="C6042" s="38">
        <v>44505</v>
      </c>
      <c r="D6042" s="1" t="s">
        <v>309</v>
      </c>
      <c r="E6042" s="1" t="s">
        <v>33</v>
      </c>
      <c r="F6042" s="1" t="s">
        <v>209</v>
      </c>
      <c r="G6042" s="5">
        <v>1.98</v>
      </c>
    </row>
    <row r="6043" spans="1:7" x14ac:dyDescent="0.2">
      <c r="A6043" s="3">
        <v>4000</v>
      </c>
      <c r="B6043" s="2">
        <v>5360</v>
      </c>
      <c r="C6043" s="38">
        <v>44510</v>
      </c>
      <c r="D6043" s="1" t="s">
        <v>308</v>
      </c>
      <c r="E6043" s="1" t="s">
        <v>33</v>
      </c>
      <c r="F6043" s="1" t="s">
        <v>209</v>
      </c>
      <c r="G6043" s="5">
        <v>1.34</v>
      </c>
    </row>
    <row r="6044" spans="1:7" x14ac:dyDescent="0.2">
      <c r="A6044" s="3">
        <v>3000</v>
      </c>
      <c r="B6044" s="2">
        <v>5940</v>
      </c>
      <c r="C6044" s="38">
        <v>44518</v>
      </c>
      <c r="D6044" s="1" t="s">
        <v>309</v>
      </c>
      <c r="E6044" s="1" t="s">
        <v>33</v>
      </c>
      <c r="F6044" s="1" t="s">
        <v>209</v>
      </c>
      <c r="G6044" s="5">
        <v>1.98</v>
      </c>
    </row>
    <row r="6045" spans="1:7" x14ac:dyDescent="0.2">
      <c r="A6045" s="3">
        <v>3000</v>
      </c>
      <c r="B6045" s="2">
        <v>5280</v>
      </c>
      <c r="C6045" s="38">
        <v>44896</v>
      </c>
      <c r="D6045" s="1" t="s">
        <v>297</v>
      </c>
      <c r="E6045" s="1" t="s">
        <v>33</v>
      </c>
      <c r="F6045" s="1" t="s">
        <v>209</v>
      </c>
      <c r="G6045" s="5">
        <v>1.76</v>
      </c>
    </row>
    <row r="6046" spans="1:7" x14ac:dyDescent="0.2">
      <c r="A6046" s="3">
        <v>3000</v>
      </c>
      <c r="B6046" s="2">
        <v>5280</v>
      </c>
      <c r="C6046" s="38">
        <v>44896</v>
      </c>
      <c r="D6046" s="1" t="s">
        <v>297</v>
      </c>
      <c r="E6046" s="1" t="s">
        <v>33</v>
      </c>
      <c r="F6046" s="1" t="s">
        <v>209</v>
      </c>
      <c r="G6046" s="5">
        <v>1.76</v>
      </c>
    </row>
    <row r="6047" spans="1:7" x14ac:dyDescent="0.2">
      <c r="A6047" s="3">
        <v>3000</v>
      </c>
      <c r="B6047" s="2">
        <v>5280</v>
      </c>
      <c r="C6047" s="38">
        <v>44896</v>
      </c>
      <c r="D6047" s="1" t="s">
        <v>297</v>
      </c>
      <c r="E6047" s="1" t="s">
        <v>33</v>
      </c>
      <c r="F6047" s="1" t="s">
        <v>209</v>
      </c>
      <c r="G6047" s="5">
        <v>1.76</v>
      </c>
    </row>
    <row r="6048" spans="1:7" x14ac:dyDescent="0.2">
      <c r="A6048" s="3">
        <v>3000</v>
      </c>
      <c r="B6048" s="2">
        <v>5280</v>
      </c>
      <c r="C6048" s="38">
        <v>44896</v>
      </c>
      <c r="D6048" s="1" t="s">
        <v>297</v>
      </c>
      <c r="E6048" s="1" t="s">
        <v>33</v>
      </c>
      <c r="F6048" s="1" t="s">
        <v>209</v>
      </c>
      <c r="G6048" s="5">
        <v>1.76</v>
      </c>
    </row>
    <row r="6049" spans="1:7" x14ac:dyDescent="0.2">
      <c r="A6049" s="3">
        <v>3000</v>
      </c>
      <c r="B6049" s="2">
        <v>5940</v>
      </c>
      <c r="C6049" s="38">
        <v>44546</v>
      </c>
      <c r="D6049" s="1" t="s">
        <v>309</v>
      </c>
      <c r="E6049" s="1" t="s">
        <v>33</v>
      </c>
      <c r="F6049" s="1" t="s">
        <v>209</v>
      </c>
      <c r="G6049" s="5">
        <v>1.98</v>
      </c>
    </row>
    <row r="6050" spans="1:7" x14ac:dyDescent="0.2">
      <c r="A6050" s="3">
        <v>3000</v>
      </c>
      <c r="B6050" s="2">
        <v>5940</v>
      </c>
      <c r="C6050" s="38">
        <v>44546</v>
      </c>
      <c r="D6050" s="1" t="s">
        <v>309</v>
      </c>
      <c r="E6050" s="1" t="s">
        <v>33</v>
      </c>
      <c r="F6050" s="1" t="s">
        <v>209</v>
      </c>
      <c r="G6050" s="5">
        <v>1.98</v>
      </c>
    </row>
    <row r="6051" spans="1:7" x14ac:dyDescent="0.2">
      <c r="A6051" s="3">
        <v>3000</v>
      </c>
      <c r="B6051" s="2">
        <v>5940</v>
      </c>
      <c r="C6051" s="38">
        <v>44547</v>
      </c>
      <c r="D6051" s="1" t="s">
        <v>309</v>
      </c>
      <c r="E6051" s="1" t="s">
        <v>33</v>
      </c>
      <c r="F6051" s="1" t="s">
        <v>209</v>
      </c>
      <c r="G6051" s="5">
        <v>1.98</v>
      </c>
    </row>
    <row r="6052" spans="1:7" x14ac:dyDescent="0.2">
      <c r="A6052" s="3">
        <v>4000</v>
      </c>
      <c r="B6052" s="2">
        <v>5360</v>
      </c>
      <c r="C6052" s="38">
        <v>44550</v>
      </c>
      <c r="D6052" s="1" t="s">
        <v>308</v>
      </c>
      <c r="E6052" s="1" t="s">
        <v>33</v>
      </c>
      <c r="F6052" s="1" t="s">
        <v>209</v>
      </c>
      <c r="G6052" s="5">
        <v>1.34</v>
      </c>
    </row>
    <row r="6053" spans="1:7" x14ac:dyDescent="0.2">
      <c r="A6053" s="3">
        <v>3000</v>
      </c>
      <c r="B6053" s="2">
        <v>5940</v>
      </c>
      <c r="C6053" s="38">
        <v>44550</v>
      </c>
      <c r="D6053" s="1" t="s">
        <v>309</v>
      </c>
      <c r="E6053" s="1" t="s">
        <v>33</v>
      </c>
      <c r="F6053" s="1" t="s">
        <v>209</v>
      </c>
      <c r="G6053" s="5">
        <v>1.98</v>
      </c>
    </row>
    <row r="6054" spans="1:7" x14ac:dyDescent="0.2">
      <c r="A6054" s="3">
        <v>3000</v>
      </c>
      <c r="B6054" s="2">
        <v>5280</v>
      </c>
      <c r="C6054" s="38">
        <v>44918</v>
      </c>
      <c r="D6054" s="1" t="s">
        <v>297</v>
      </c>
      <c r="E6054" s="1" t="s">
        <v>33</v>
      </c>
      <c r="F6054" s="1" t="s">
        <v>209</v>
      </c>
      <c r="G6054" s="5">
        <v>1.76</v>
      </c>
    </row>
    <row r="6055" spans="1:7" x14ac:dyDescent="0.2">
      <c r="A6055" s="3">
        <v>3000</v>
      </c>
      <c r="B6055" s="2">
        <v>5610</v>
      </c>
      <c r="C6055" s="38">
        <v>44943</v>
      </c>
      <c r="D6055" s="1" t="s">
        <v>358</v>
      </c>
      <c r="E6055" s="1" t="s">
        <v>33</v>
      </c>
      <c r="F6055" s="1" t="s">
        <v>209</v>
      </c>
      <c r="G6055" s="5">
        <v>1.87</v>
      </c>
    </row>
    <row r="6056" spans="1:7" x14ac:dyDescent="0.2">
      <c r="A6056" s="3">
        <v>3000</v>
      </c>
      <c r="B6056" s="2">
        <v>9450</v>
      </c>
      <c r="C6056" s="38">
        <v>44589</v>
      </c>
      <c r="D6056" s="1" t="s">
        <v>359</v>
      </c>
      <c r="E6056" s="1" t="s">
        <v>33</v>
      </c>
      <c r="F6056" s="1" t="s">
        <v>209</v>
      </c>
      <c r="G6056" s="5">
        <v>3.15</v>
      </c>
    </row>
    <row r="6057" spans="1:7" x14ac:dyDescent="0.2">
      <c r="A6057" s="3">
        <v>3000</v>
      </c>
      <c r="B6057" s="2">
        <v>9450</v>
      </c>
      <c r="C6057" s="38">
        <v>44963</v>
      </c>
      <c r="D6057" s="1" t="s">
        <v>359</v>
      </c>
      <c r="E6057" s="1" t="s">
        <v>33</v>
      </c>
      <c r="F6057" s="1" t="s">
        <v>209</v>
      </c>
      <c r="G6057" s="5">
        <v>3.15</v>
      </c>
    </row>
    <row r="6058" spans="1:7" x14ac:dyDescent="0.2">
      <c r="A6058" s="3">
        <v>3000</v>
      </c>
      <c r="B6058" s="2">
        <v>3720</v>
      </c>
      <c r="C6058" s="38">
        <v>44698</v>
      </c>
      <c r="D6058" s="1" t="s">
        <v>360</v>
      </c>
      <c r="E6058" s="1" t="s">
        <v>33</v>
      </c>
      <c r="F6058" s="1" t="s">
        <v>209</v>
      </c>
      <c r="G6058" s="5">
        <v>1.24</v>
      </c>
    </row>
    <row r="6059" spans="1:7" x14ac:dyDescent="0.2">
      <c r="A6059" s="3">
        <v>3000</v>
      </c>
      <c r="B6059" s="2">
        <v>5610</v>
      </c>
      <c r="C6059" s="38">
        <v>44729</v>
      </c>
      <c r="D6059" s="1" t="s">
        <v>358</v>
      </c>
      <c r="E6059" s="1" t="s">
        <v>33</v>
      </c>
      <c r="F6059" s="1" t="s">
        <v>209</v>
      </c>
      <c r="G6059" s="5">
        <v>1.87</v>
      </c>
    </row>
    <row r="6060" spans="1:7" x14ac:dyDescent="0.2">
      <c r="A6060" s="3">
        <v>3000</v>
      </c>
      <c r="B6060" s="2">
        <v>5610</v>
      </c>
      <c r="C6060" s="38">
        <v>45099</v>
      </c>
      <c r="D6060" s="1" t="s">
        <v>358</v>
      </c>
      <c r="E6060" s="1" t="s">
        <v>33</v>
      </c>
      <c r="F6060" s="1" t="s">
        <v>209</v>
      </c>
      <c r="G6060" s="5">
        <v>1.87</v>
      </c>
    </row>
    <row r="6061" spans="1:7" x14ac:dyDescent="0.2">
      <c r="A6061" s="3">
        <v>3000</v>
      </c>
      <c r="B6061" s="2">
        <v>9450</v>
      </c>
      <c r="C6061" s="38">
        <v>44742</v>
      </c>
      <c r="D6061" s="1" t="s">
        <v>359</v>
      </c>
      <c r="E6061" s="1" t="s">
        <v>33</v>
      </c>
      <c r="F6061" s="1" t="s">
        <v>209</v>
      </c>
      <c r="G6061" s="5">
        <v>3.15</v>
      </c>
    </row>
    <row r="6062" spans="1:7" x14ac:dyDescent="0.2">
      <c r="A6062" s="3">
        <v>3000</v>
      </c>
      <c r="B6062" s="2">
        <v>5610</v>
      </c>
      <c r="C6062" s="38">
        <v>44653</v>
      </c>
      <c r="D6062" s="1" t="s">
        <v>358</v>
      </c>
      <c r="E6062" s="1" t="s">
        <v>33</v>
      </c>
      <c r="F6062" s="1" t="s">
        <v>209</v>
      </c>
      <c r="G6062" s="5">
        <v>1.87</v>
      </c>
    </row>
    <row r="6063" spans="1:7" x14ac:dyDescent="0.2">
      <c r="A6063" s="3">
        <v>3000</v>
      </c>
      <c r="B6063" s="2">
        <v>9450</v>
      </c>
      <c r="C6063" s="38">
        <v>44664</v>
      </c>
      <c r="D6063" s="1" t="s">
        <v>359</v>
      </c>
      <c r="E6063" s="1" t="s">
        <v>33</v>
      </c>
      <c r="F6063" s="1" t="s">
        <v>209</v>
      </c>
      <c r="G6063" s="5">
        <v>3.15</v>
      </c>
    </row>
    <row r="6064" spans="1:7" x14ac:dyDescent="0.2">
      <c r="A6064" s="3">
        <v>3000</v>
      </c>
      <c r="B6064" s="2">
        <v>4620</v>
      </c>
      <c r="C6064" s="38">
        <v>45100</v>
      </c>
      <c r="D6064" s="1" t="s">
        <v>361</v>
      </c>
      <c r="E6064" s="1" t="s">
        <v>33</v>
      </c>
      <c r="F6064" s="1" t="s">
        <v>209</v>
      </c>
      <c r="G6064" s="5">
        <v>1.54</v>
      </c>
    </row>
    <row r="6065" spans="1:7" x14ac:dyDescent="0.2">
      <c r="A6065" s="3">
        <v>3000</v>
      </c>
      <c r="B6065" s="2">
        <v>9450</v>
      </c>
      <c r="C6065" s="38">
        <v>45100</v>
      </c>
      <c r="D6065" s="1" t="s">
        <v>359</v>
      </c>
      <c r="E6065" s="1" t="s">
        <v>33</v>
      </c>
      <c r="F6065" s="1" t="s">
        <v>209</v>
      </c>
      <c r="G6065" s="5">
        <v>3.15</v>
      </c>
    </row>
    <row r="6066" spans="1:7" x14ac:dyDescent="0.2">
      <c r="A6066" s="3">
        <v>3000</v>
      </c>
      <c r="B6066" s="2">
        <v>9450</v>
      </c>
      <c r="C6066" s="38">
        <v>45100</v>
      </c>
      <c r="D6066" s="1" t="s">
        <v>359</v>
      </c>
      <c r="E6066" s="1" t="s">
        <v>33</v>
      </c>
      <c r="F6066" s="1" t="s">
        <v>209</v>
      </c>
      <c r="G6066" s="5">
        <v>3.15</v>
      </c>
    </row>
    <row r="6067" spans="1:7" x14ac:dyDescent="0.2">
      <c r="A6067" s="3">
        <v>3000</v>
      </c>
      <c r="B6067" s="2">
        <v>3708</v>
      </c>
      <c r="C6067" s="38">
        <v>45103</v>
      </c>
      <c r="D6067" s="1" t="s">
        <v>360</v>
      </c>
      <c r="E6067" s="1" t="s">
        <v>33</v>
      </c>
      <c r="F6067" s="1" t="s">
        <v>209</v>
      </c>
      <c r="G6067" s="5">
        <v>1.236</v>
      </c>
    </row>
    <row r="6068" spans="1:7" x14ac:dyDescent="0.2">
      <c r="A6068" s="3">
        <v>2500</v>
      </c>
      <c r="B6068" s="2">
        <v>2875</v>
      </c>
      <c r="C6068" s="38">
        <v>45103</v>
      </c>
      <c r="D6068" s="1" t="s">
        <v>342</v>
      </c>
      <c r="E6068" s="1" t="s">
        <v>33</v>
      </c>
      <c r="F6068" s="1" t="s">
        <v>209</v>
      </c>
      <c r="G6068" s="5">
        <v>1.1499999999999999</v>
      </c>
    </row>
    <row r="6069" spans="1:7" x14ac:dyDescent="0.2">
      <c r="A6069" s="3">
        <v>3000</v>
      </c>
      <c r="B6069" s="2">
        <v>5610</v>
      </c>
      <c r="C6069" s="38">
        <v>45103</v>
      </c>
      <c r="D6069" s="1" t="s">
        <v>358</v>
      </c>
      <c r="E6069" s="1" t="s">
        <v>33</v>
      </c>
      <c r="F6069" s="1" t="s">
        <v>209</v>
      </c>
      <c r="G6069" s="5">
        <v>1.87</v>
      </c>
    </row>
    <row r="6070" spans="1:7" x14ac:dyDescent="0.2">
      <c r="A6070" s="3">
        <v>3000</v>
      </c>
      <c r="B6070" s="2">
        <v>5610</v>
      </c>
      <c r="C6070" s="38">
        <v>45103</v>
      </c>
      <c r="D6070" s="1" t="s">
        <v>358</v>
      </c>
      <c r="E6070" s="1" t="s">
        <v>33</v>
      </c>
      <c r="F6070" s="1" t="s">
        <v>209</v>
      </c>
      <c r="G6070" s="5">
        <v>1.87</v>
      </c>
    </row>
    <row r="6071" spans="1:7" x14ac:dyDescent="0.2">
      <c r="A6071" s="3">
        <v>3000</v>
      </c>
      <c r="B6071" s="2">
        <v>5610</v>
      </c>
      <c r="C6071" s="38">
        <v>44782</v>
      </c>
      <c r="D6071" s="1" t="s">
        <v>358</v>
      </c>
      <c r="E6071" s="1" t="s">
        <v>33</v>
      </c>
      <c r="F6071" s="1" t="s">
        <v>209</v>
      </c>
      <c r="G6071" s="5">
        <v>1.87</v>
      </c>
    </row>
    <row r="6072" spans="1:7" x14ac:dyDescent="0.2">
      <c r="A6072" s="3">
        <v>3000</v>
      </c>
      <c r="B6072" s="2">
        <v>4620</v>
      </c>
      <c r="C6072" s="38">
        <v>45041</v>
      </c>
      <c r="D6072" s="1" t="s">
        <v>361</v>
      </c>
      <c r="E6072" s="1" t="s">
        <v>33</v>
      </c>
      <c r="F6072" s="1" t="s">
        <v>209</v>
      </c>
      <c r="G6072" s="5">
        <v>1.54</v>
      </c>
    </row>
    <row r="6073" spans="1:7" x14ac:dyDescent="0.2">
      <c r="A6073" s="3">
        <v>3000</v>
      </c>
      <c r="B6073" s="2">
        <v>9450</v>
      </c>
      <c r="C6073" s="38">
        <v>45041</v>
      </c>
      <c r="D6073" s="1" t="s">
        <v>359</v>
      </c>
      <c r="E6073" s="1" t="s">
        <v>33</v>
      </c>
      <c r="F6073" s="1" t="s">
        <v>209</v>
      </c>
      <c r="G6073" s="5">
        <v>3.15</v>
      </c>
    </row>
    <row r="6074" spans="1:7" x14ac:dyDescent="0.2">
      <c r="A6074" s="3">
        <v>3000</v>
      </c>
      <c r="B6074" s="2">
        <v>3720</v>
      </c>
      <c r="C6074" s="38">
        <v>45044</v>
      </c>
      <c r="D6074" s="1" t="s">
        <v>360</v>
      </c>
      <c r="E6074" s="1" t="s">
        <v>33</v>
      </c>
      <c r="F6074" s="1" t="s">
        <v>209</v>
      </c>
      <c r="G6074" s="5">
        <v>1.24</v>
      </c>
    </row>
    <row r="6075" spans="1:7" x14ac:dyDescent="0.2">
      <c r="A6075" s="3">
        <v>3000</v>
      </c>
      <c r="B6075" s="2">
        <v>5610</v>
      </c>
      <c r="C6075" s="38">
        <v>45051</v>
      </c>
      <c r="D6075" s="1" t="s">
        <v>358</v>
      </c>
      <c r="E6075" s="1" t="s">
        <v>33</v>
      </c>
      <c r="F6075" s="1" t="s">
        <v>209</v>
      </c>
      <c r="G6075" s="5">
        <v>1.87</v>
      </c>
    </row>
    <row r="6076" spans="1:7" x14ac:dyDescent="0.2">
      <c r="A6076" s="3">
        <v>3000</v>
      </c>
      <c r="B6076" s="2">
        <v>4620</v>
      </c>
      <c r="C6076" s="38">
        <v>44789</v>
      </c>
      <c r="D6076" s="1" t="s">
        <v>361</v>
      </c>
      <c r="E6076" s="1" t="s">
        <v>33</v>
      </c>
      <c r="F6076" s="1" t="s">
        <v>209</v>
      </c>
      <c r="G6076" s="5">
        <v>1.54</v>
      </c>
    </row>
    <row r="6077" spans="1:7" x14ac:dyDescent="0.2">
      <c r="A6077" s="3">
        <v>3000</v>
      </c>
      <c r="B6077" s="2">
        <v>3720</v>
      </c>
      <c r="C6077" s="38">
        <v>44792</v>
      </c>
      <c r="D6077" s="1" t="s">
        <v>360</v>
      </c>
      <c r="E6077" s="1" t="s">
        <v>33</v>
      </c>
      <c r="F6077" s="1" t="s">
        <v>209</v>
      </c>
      <c r="G6077" s="5">
        <v>1.24</v>
      </c>
    </row>
    <row r="6078" spans="1:7" x14ac:dyDescent="0.2">
      <c r="A6078" s="3">
        <v>3000</v>
      </c>
      <c r="B6078" s="2">
        <v>3720</v>
      </c>
      <c r="C6078" s="38">
        <v>44882</v>
      </c>
      <c r="D6078" s="1" t="s">
        <v>360</v>
      </c>
      <c r="E6078" s="1" t="s">
        <v>33</v>
      </c>
      <c r="F6078" s="1" t="s">
        <v>209</v>
      </c>
      <c r="G6078" s="5">
        <v>1.24</v>
      </c>
    </row>
    <row r="6079" spans="1:7" x14ac:dyDescent="0.2">
      <c r="A6079" s="3">
        <v>3000</v>
      </c>
      <c r="B6079" s="2">
        <v>9450</v>
      </c>
      <c r="C6079" s="38">
        <v>44840</v>
      </c>
      <c r="D6079" s="1" t="s">
        <v>359</v>
      </c>
      <c r="E6079" s="1" t="s">
        <v>33</v>
      </c>
      <c r="F6079" s="1" t="s">
        <v>209</v>
      </c>
      <c r="G6079" s="5">
        <v>3.15</v>
      </c>
    </row>
    <row r="6080" spans="1:7" x14ac:dyDescent="0.2">
      <c r="A6080" s="3">
        <v>3000</v>
      </c>
      <c r="B6080" s="2">
        <v>5610</v>
      </c>
      <c r="C6080" s="38">
        <v>44851</v>
      </c>
      <c r="D6080" s="1" t="s">
        <v>358</v>
      </c>
      <c r="E6080" s="1" t="s">
        <v>33</v>
      </c>
      <c r="F6080" s="1" t="s">
        <v>209</v>
      </c>
      <c r="G6080" s="5">
        <v>1.87</v>
      </c>
    </row>
    <row r="6081" spans="1:7" x14ac:dyDescent="0.2">
      <c r="A6081" s="3">
        <v>2500</v>
      </c>
      <c r="B6081" s="2">
        <v>2875</v>
      </c>
      <c r="C6081" s="38">
        <v>44855</v>
      </c>
      <c r="D6081" s="1" t="s">
        <v>342</v>
      </c>
      <c r="E6081" s="1" t="s">
        <v>33</v>
      </c>
      <c r="F6081" s="1" t="s">
        <v>209</v>
      </c>
      <c r="G6081" s="5">
        <v>1.1499999999999999</v>
      </c>
    </row>
    <row r="6082" spans="1:7" x14ac:dyDescent="0.2">
      <c r="A6082" s="3">
        <v>300</v>
      </c>
      <c r="B6082" s="2">
        <v>132162</v>
      </c>
      <c r="C6082" s="38">
        <v>44931</v>
      </c>
      <c r="D6082" s="1" t="s">
        <v>248</v>
      </c>
      <c r="E6082" s="1" t="s">
        <v>33</v>
      </c>
      <c r="F6082" s="1" t="s">
        <v>209</v>
      </c>
      <c r="G6082" s="5">
        <v>440.54</v>
      </c>
    </row>
    <row r="6083" spans="1:7" x14ac:dyDescent="0.2">
      <c r="A6083" s="3">
        <v>630</v>
      </c>
      <c r="B6083" s="2">
        <v>228047.4</v>
      </c>
      <c r="C6083" s="38">
        <v>45043</v>
      </c>
      <c r="D6083" s="1" t="s">
        <v>256</v>
      </c>
      <c r="E6083" s="1" t="s">
        <v>33</v>
      </c>
      <c r="F6083" s="1" t="s">
        <v>209</v>
      </c>
      <c r="G6083" s="5">
        <v>361.98</v>
      </c>
    </row>
    <row r="6084" spans="1:7" x14ac:dyDescent="0.2">
      <c r="A6084" s="3">
        <v>420</v>
      </c>
      <c r="B6084" s="2">
        <v>170772</v>
      </c>
      <c r="C6084" s="38">
        <v>44993</v>
      </c>
      <c r="D6084" s="1" t="s">
        <v>255</v>
      </c>
      <c r="E6084" s="1" t="s">
        <v>33</v>
      </c>
      <c r="F6084" s="1" t="s">
        <v>209</v>
      </c>
      <c r="G6084" s="5">
        <v>406.6</v>
      </c>
    </row>
    <row r="6085" spans="1:7" x14ac:dyDescent="0.2">
      <c r="A6085" s="3">
        <v>70</v>
      </c>
      <c r="B6085" s="2">
        <v>28462</v>
      </c>
      <c r="C6085" s="38">
        <v>44993</v>
      </c>
      <c r="D6085" s="1" t="s">
        <v>255</v>
      </c>
      <c r="E6085" s="1" t="s">
        <v>33</v>
      </c>
      <c r="F6085" s="1" t="s">
        <v>209</v>
      </c>
      <c r="G6085" s="5">
        <v>406.6</v>
      </c>
    </row>
    <row r="6086" spans="1:7" x14ac:dyDescent="0.2">
      <c r="A6086" s="3">
        <v>210</v>
      </c>
      <c r="B6086" s="2">
        <v>85386</v>
      </c>
      <c r="C6086" s="38">
        <v>44993</v>
      </c>
      <c r="D6086" s="1" t="s">
        <v>255</v>
      </c>
      <c r="E6086" s="1" t="s">
        <v>33</v>
      </c>
      <c r="F6086" s="1" t="s">
        <v>209</v>
      </c>
      <c r="G6086" s="5">
        <v>406.6</v>
      </c>
    </row>
    <row r="6087" spans="1:7" x14ac:dyDescent="0.2">
      <c r="A6087" s="3">
        <v>140</v>
      </c>
      <c r="B6087" s="2">
        <v>56924</v>
      </c>
      <c r="C6087" s="38">
        <v>44993</v>
      </c>
      <c r="D6087" s="1" t="s">
        <v>255</v>
      </c>
      <c r="E6087" s="1" t="s">
        <v>33</v>
      </c>
      <c r="F6087" s="1" t="s">
        <v>209</v>
      </c>
      <c r="G6087" s="5">
        <v>406.6</v>
      </c>
    </row>
    <row r="6088" spans="1:7" x14ac:dyDescent="0.2">
      <c r="A6088" s="3">
        <v>70</v>
      </c>
      <c r="B6088" s="2">
        <v>28462</v>
      </c>
      <c r="C6088" s="38">
        <v>44993</v>
      </c>
      <c r="D6088" s="1" t="s">
        <v>255</v>
      </c>
      <c r="E6088" s="1" t="s">
        <v>33</v>
      </c>
      <c r="F6088" s="1" t="s">
        <v>209</v>
      </c>
      <c r="G6088" s="5">
        <v>406.6</v>
      </c>
    </row>
    <row r="6089" spans="1:7" x14ac:dyDescent="0.2">
      <c r="A6089" s="3">
        <v>450</v>
      </c>
      <c r="B6089" s="2">
        <v>342936</v>
      </c>
      <c r="C6089" s="38">
        <v>45021</v>
      </c>
      <c r="D6089" s="1" t="s">
        <v>265</v>
      </c>
      <c r="E6089" s="1" t="s">
        <v>33</v>
      </c>
      <c r="F6089" s="1" t="s">
        <v>209</v>
      </c>
      <c r="G6089" s="5">
        <v>762.08</v>
      </c>
    </row>
    <row r="6090" spans="1:7" x14ac:dyDescent="0.2">
      <c r="A6090" s="3">
        <v>210</v>
      </c>
      <c r="B6090" s="2">
        <v>160036.79999999999</v>
      </c>
      <c r="C6090" s="38">
        <v>45021</v>
      </c>
      <c r="D6090" s="1" t="s">
        <v>265</v>
      </c>
      <c r="E6090" s="1" t="s">
        <v>33</v>
      </c>
      <c r="F6090" s="1" t="s">
        <v>209</v>
      </c>
      <c r="G6090" s="5">
        <v>762.08</v>
      </c>
    </row>
    <row r="6091" spans="1:7" x14ac:dyDescent="0.2">
      <c r="A6091" s="3">
        <v>240</v>
      </c>
      <c r="B6091" s="2">
        <v>206515.20000000001</v>
      </c>
      <c r="C6091" s="38">
        <v>45035</v>
      </c>
      <c r="D6091" s="1" t="s">
        <v>267</v>
      </c>
      <c r="E6091" s="1" t="s">
        <v>33</v>
      </c>
      <c r="F6091" s="1" t="s">
        <v>209</v>
      </c>
      <c r="G6091" s="5">
        <v>860.48</v>
      </c>
    </row>
    <row r="6092" spans="1:7" x14ac:dyDescent="0.2">
      <c r="A6092" s="3">
        <v>120</v>
      </c>
      <c r="B6092" s="2">
        <v>103257.60000000001</v>
      </c>
      <c r="C6092" s="38">
        <v>45035</v>
      </c>
      <c r="D6092" s="1" t="s">
        <v>267</v>
      </c>
      <c r="E6092" s="1" t="s">
        <v>33</v>
      </c>
      <c r="F6092" s="1" t="s">
        <v>209</v>
      </c>
      <c r="G6092" s="5">
        <v>860.48</v>
      </c>
    </row>
    <row r="6093" spans="1:7" x14ac:dyDescent="0.2">
      <c r="A6093" s="3">
        <v>330</v>
      </c>
      <c r="B6093" s="2">
        <v>145378.20000000001</v>
      </c>
      <c r="C6093" s="38">
        <v>45035</v>
      </c>
      <c r="D6093" s="1" t="s">
        <v>248</v>
      </c>
      <c r="E6093" s="1" t="s">
        <v>33</v>
      </c>
      <c r="F6093" s="1" t="s">
        <v>209</v>
      </c>
      <c r="G6093" s="5">
        <v>440.54</v>
      </c>
    </row>
    <row r="6094" spans="1:7" x14ac:dyDescent="0.2">
      <c r="A6094" s="3">
        <v>540</v>
      </c>
      <c r="B6094" s="2">
        <v>237891.6</v>
      </c>
      <c r="C6094" s="38">
        <v>45035</v>
      </c>
      <c r="D6094" s="1" t="s">
        <v>248</v>
      </c>
      <c r="E6094" s="1" t="s">
        <v>33</v>
      </c>
      <c r="F6094" s="1" t="s">
        <v>209</v>
      </c>
      <c r="G6094" s="5">
        <v>440.54</v>
      </c>
    </row>
    <row r="6095" spans="1:7" x14ac:dyDescent="0.2">
      <c r="A6095" s="3">
        <v>30</v>
      </c>
      <c r="B6095" s="2">
        <v>22862.400000000001</v>
      </c>
      <c r="C6095" s="38">
        <v>45055</v>
      </c>
      <c r="D6095" s="1" t="s">
        <v>265</v>
      </c>
      <c r="E6095" s="1" t="s">
        <v>33</v>
      </c>
      <c r="F6095" s="1" t="s">
        <v>209</v>
      </c>
      <c r="G6095" s="5">
        <v>762.08</v>
      </c>
    </row>
    <row r="6096" spans="1:7" x14ac:dyDescent="0.2">
      <c r="A6096" s="3">
        <v>240</v>
      </c>
      <c r="B6096" s="2">
        <v>182899.20000000001</v>
      </c>
      <c r="C6096" s="38">
        <v>45055</v>
      </c>
      <c r="D6096" s="1" t="s">
        <v>265</v>
      </c>
      <c r="E6096" s="1" t="s">
        <v>33</v>
      </c>
      <c r="F6096" s="1" t="s">
        <v>209</v>
      </c>
      <c r="G6096" s="5">
        <v>762.08</v>
      </c>
    </row>
    <row r="6097" spans="1:7" x14ac:dyDescent="0.2">
      <c r="A6097" s="3">
        <v>300</v>
      </c>
      <c r="B6097" s="2">
        <v>228624</v>
      </c>
      <c r="C6097" s="38">
        <v>45055</v>
      </c>
      <c r="D6097" s="1" t="s">
        <v>265</v>
      </c>
      <c r="E6097" s="1" t="s">
        <v>33</v>
      </c>
      <c r="F6097" s="1" t="s">
        <v>209</v>
      </c>
      <c r="G6097" s="5">
        <v>762.08</v>
      </c>
    </row>
    <row r="6098" spans="1:7" x14ac:dyDescent="0.2">
      <c r="A6098" s="3">
        <v>140</v>
      </c>
      <c r="B6098" s="2">
        <v>50677.2</v>
      </c>
      <c r="C6098" s="38">
        <v>44965</v>
      </c>
      <c r="D6098" s="1" t="s">
        <v>256</v>
      </c>
      <c r="E6098" s="1" t="s">
        <v>33</v>
      </c>
      <c r="F6098" s="1" t="s">
        <v>209</v>
      </c>
      <c r="G6098" s="5">
        <v>361.98</v>
      </c>
    </row>
    <row r="6099" spans="1:7" x14ac:dyDescent="0.2">
      <c r="A6099" s="3">
        <v>510</v>
      </c>
      <c r="B6099" s="2">
        <v>224675.4</v>
      </c>
      <c r="C6099" s="38">
        <v>44965</v>
      </c>
      <c r="D6099" s="1" t="s">
        <v>248</v>
      </c>
      <c r="E6099" s="1" t="s">
        <v>33</v>
      </c>
      <c r="F6099" s="1" t="s">
        <v>209</v>
      </c>
      <c r="G6099" s="5">
        <v>440.54</v>
      </c>
    </row>
    <row r="6100" spans="1:7" x14ac:dyDescent="0.2">
      <c r="A6100" s="3">
        <v>240</v>
      </c>
      <c r="B6100" s="2">
        <v>105729.60000000001</v>
      </c>
      <c r="C6100" s="38">
        <v>44985</v>
      </c>
      <c r="D6100" s="1" t="s">
        <v>248</v>
      </c>
      <c r="E6100" s="1" t="s">
        <v>33</v>
      </c>
      <c r="F6100" s="1" t="s">
        <v>209</v>
      </c>
      <c r="G6100" s="5">
        <v>440.54</v>
      </c>
    </row>
    <row r="6101" spans="1:7" x14ac:dyDescent="0.2">
      <c r="A6101" s="3">
        <v>216</v>
      </c>
      <c r="B6101" s="2">
        <v>23392.799999999999</v>
      </c>
      <c r="C6101" s="38">
        <v>44985</v>
      </c>
      <c r="D6101" s="1" t="s">
        <v>237</v>
      </c>
      <c r="E6101" s="1" t="s">
        <v>33</v>
      </c>
      <c r="F6101" s="1" t="s">
        <v>209</v>
      </c>
      <c r="G6101" s="5">
        <v>108.3</v>
      </c>
    </row>
    <row r="6102" spans="1:7" x14ac:dyDescent="0.2">
      <c r="A6102" s="3">
        <v>2160</v>
      </c>
      <c r="B6102" s="2">
        <v>233928</v>
      </c>
      <c r="C6102" s="38">
        <v>44903</v>
      </c>
      <c r="D6102" s="1" t="s">
        <v>237</v>
      </c>
      <c r="E6102" s="1" t="s">
        <v>33</v>
      </c>
      <c r="F6102" s="1" t="s">
        <v>209</v>
      </c>
      <c r="G6102" s="5">
        <v>108.3</v>
      </c>
    </row>
    <row r="6103" spans="1:7" x14ac:dyDescent="0.2">
      <c r="A6103" s="3">
        <v>15</v>
      </c>
      <c r="B6103" s="2">
        <v>12907.2</v>
      </c>
      <c r="C6103" s="38">
        <v>44911</v>
      </c>
      <c r="D6103" s="1" t="s">
        <v>267</v>
      </c>
      <c r="E6103" s="1" t="s">
        <v>33</v>
      </c>
      <c r="F6103" s="1" t="s">
        <v>209</v>
      </c>
      <c r="G6103" s="5">
        <v>860.48</v>
      </c>
    </row>
    <row r="6104" spans="1:7" x14ac:dyDescent="0.2">
      <c r="A6104" s="3">
        <v>36</v>
      </c>
      <c r="B6104" s="2">
        <v>16585.560000000001</v>
      </c>
      <c r="C6104" s="38">
        <v>45169</v>
      </c>
      <c r="D6104" s="1" t="s">
        <v>304</v>
      </c>
      <c r="E6104" s="1" t="s">
        <v>33</v>
      </c>
      <c r="F6104" s="1" t="s">
        <v>209</v>
      </c>
      <c r="G6104" s="5">
        <v>460.71</v>
      </c>
    </row>
    <row r="6105" spans="1:7" x14ac:dyDescent="0.2">
      <c r="A6105" s="3">
        <v>36</v>
      </c>
      <c r="B6105" s="2">
        <v>16585.560000000001</v>
      </c>
      <c r="C6105" s="38">
        <v>45169</v>
      </c>
      <c r="D6105" s="1" t="s">
        <v>304</v>
      </c>
      <c r="E6105" s="1" t="s">
        <v>33</v>
      </c>
      <c r="F6105" s="1" t="s">
        <v>209</v>
      </c>
      <c r="G6105" s="5">
        <v>460.71</v>
      </c>
    </row>
    <row r="6106" spans="1:7" x14ac:dyDescent="0.2">
      <c r="A6106" s="3">
        <v>36</v>
      </c>
      <c r="B6106" s="2">
        <v>16585.560000000001</v>
      </c>
      <c r="C6106" s="38">
        <v>45169</v>
      </c>
      <c r="D6106" s="1" t="s">
        <v>304</v>
      </c>
      <c r="E6106" s="1" t="s">
        <v>33</v>
      </c>
      <c r="F6106" s="1" t="s">
        <v>209</v>
      </c>
      <c r="G6106" s="5">
        <v>460.71</v>
      </c>
    </row>
    <row r="6107" spans="1:7" x14ac:dyDescent="0.2">
      <c r="A6107" s="3">
        <v>36</v>
      </c>
      <c r="B6107" s="2">
        <v>16585.560000000001</v>
      </c>
      <c r="C6107" s="38">
        <v>45169</v>
      </c>
      <c r="D6107" s="1" t="s">
        <v>304</v>
      </c>
      <c r="E6107" s="1" t="s">
        <v>33</v>
      </c>
      <c r="F6107" s="1" t="s">
        <v>209</v>
      </c>
      <c r="G6107" s="5">
        <v>460.71</v>
      </c>
    </row>
    <row r="6108" spans="1:7" x14ac:dyDescent="0.2">
      <c r="A6108" s="3">
        <v>36</v>
      </c>
      <c r="B6108" s="2">
        <v>16585.560000000001</v>
      </c>
      <c r="C6108" s="38">
        <v>45169</v>
      </c>
      <c r="D6108" s="1" t="s">
        <v>304</v>
      </c>
      <c r="E6108" s="1" t="s">
        <v>33</v>
      </c>
      <c r="F6108" s="1" t="s">
        <v>209</v>
      </c>
      <c r="G6108" s="5">
        <v>460.71</v>
      </c>
    </row>
    <row r="6109" spans="1:7" x14ac:dyDescent="0.2">
      <c r="A6109" s="3">
        <v>36</v>
      </c>
      <c r="B6109" s="2">
        <v>16585.560000000001</v>
      </c>
      <c r="C6109" s="38">
        <v>45169</v>
      </c>
      <c r="D6109" s="1" t="s">
        <v>304</v>
      </c>
      <c r="E6109" s="1" t="s">
        <v>33</v>
      </c>
      <c r="F6109" s="1" t="s">
        <v>209</v>
      </c>
      <c r="G6109" s="5">
        <v>460.71</v>
      </c>
    </row>
    <row r="6110" spans="1:7" x14ac:dyDescent="0.2">
      <c r="A6110" s="3">
        <v>36</v>
      </c>
      <c r="B6110" s="2">
        <v>16585.560000000001</v>
      </c>
      <c r="C6110" s="38">
        <v>45169</v>
      </c>
      <c r="D6110" s="1" t="s">
        <v>304</v>
      </c>
      <c r="E6110" s="1" t="s">
        <v>33</v>
      </c>
      <c r="F6110" s="1" t="s">
        <v>209</v>
      </c>
      <c r="G6110" s="5">
        <v>460.71</v>
      </c>
    </row>
    <row r="6111" spans="1:7" x14ac:dyDescent="0.2">
      <c r="A6111" s="3">
        <v>72</v>
      </c>
      <c r="B6111" s="2">
        <v>33171.120000000003</v>
      </c>
      <c r="C6111" s="38">
        <v>45169</v>
      </c>
      <c r="D6111" s="1" t="s">
        <v>304</v>
      </c>
      <c r="E6111" s="1" t="s">
        <v>33</v>
      </c>
      <c r="F6111" s="1" t="s">
        <v>209</v>
      </c>
      <c r="G6111" s="5">
        <v>460.71</v>
      </c>
    </row>
    <row r="6112" spans="1:7" x14ac:dyDescent="0.2">
      <c r="A6112" s="3">
        <v>108</v>
      </c>
      <c r="B6112" s="2">
        <v>12334.68</v>
      </c>
      <c r="C6112" s="38">
        <v>44938</v>
      </c>
      <c r="D6112" s="1" t="s">
        <v>237</v>
      </c>
      <c r="E6112" s="1" t="s">
        <v>33</v>
      </c>
      <c r="F6112" s="1" t="s">
        <v>209</v>
      </c>
      <c r="G6112" s="5">
        <v>114.21</v>
      </c>
    </row>
    <row r="6113" spans="1:7" x14ac:dyDescent="0.2">
      <c r="A6113" s="3">
        <v>108</v>
      </c>
      <c r="B6113" s="2">
        <v>12334.68</v>
      </c>
      <c r="C6113" s="38">
        <v>44938</v>
      </c>
      <c r="D6113" s="1" t="s">
        <v>237</v>
      </c>
      <c r="E6113" s="1" t="s">
        <v>33</v>
      </c>
      <c r="F6113" s="1" t="s">
        <v>209</v>
      </c>
      <c r="G6113" s="5">
        <v>114.21</v>
      </c>
    </row>
    <row r="6114" spans="1:7" x14ac:dyDescent="0.2">
      <c r="A6114" s="3">
        <v>120</v>
      </c>
      <c r="B6114" s="2">
        <v>51024</v>
      </c>
      <c r="C6114" s="38">
        <v>44938</v>
      </c>
      <c r="D6114" s="1" t="s">
        <v>240</v>
      </c>
      <c r="E6114" s="1" t="s">
        <v>33</v>
      </c>
      <c r="F6114" s="1" t="s">
        <v>209</v>
      </c>
      <c r="G6114" s="5">
        <v>425.2</v>
      </c>
    </row>
    <row r="6115" spans="1:7" x14ac:dyDescent="0.2">
      <c r="A6115" s="3">
        <v>700</v>
      </c>
      <c r="B6115" s="2">
        <v>290661</v>
      </c>
      <c r="C6115" s="38">
        <v>44938</v>
      </c>
      <c r="D6115" s="1" t="s">
        <v>254</v>
      </c>
      <c r="E6115" s="1" t="s">
        <v>33</v>
      </c>
      <c r="F6115" s="1" t="s">
        <v>209</v>
      </c>
      <c r="G6115" s="5">
        <v>415.23</v>
      </c>
    </row>
    <row r="6116" spans="1:7" x14ac:dyDescent="0.2">
      <c r="A6116" s="3">
        <v>816</v>
      </c>
      <c r="B6116" s="2">
        <v>54035.519999999997</v>
      </c>
      <c r="C6116" s="38">
        <v>44938</v>
      </c>
      <c r="D6116" s="1" t="s">
        <v>301</v>
      </c>
      <c r="E6116" s="1" t="s">
        <v>33</v>
      </c>
      <c r="F6116" s="1" t="s">
        <v>209</v>
      </c>
      <c r="G6116" s="5">
        <v>66.22</v>
      </c>
    </row>
    <row r="6117" spans="1:7" x14ac:dyDescent="0.2">
      <c r="A6117" s="3">
        <v>16</v>
      </c>
      <c r="B6117" s="2">
        <v>1059.52</v>
      </c>
      <c r="C6117" s="38">
        <v>44719</v>
      </c>
      <c r="D6117" s="1" t="s">
        <v>301</v>
      </c>
      <c r="E6117" s="1" t="s">
        <v>33</v>
      </c>
      <c r="F6117" s="1" t="s">
        <v>209</v>
      </c>
      <c r="G6117" s="5">
        <v>66.22</v>
      </c>
    </row>
    <row r="6118" spans="1:7" x14ac:dyDescent="0.2">
      <c r="A6118" s="3">
        <v>266</v>
      </c>
      <c r="B6118" s="2">
        <v>44778.44</v>
      </c>
      <c r="C6118" s="38">
        <v>44582</v>
      </c>
      <c r="D6118" s="1" t="s">
        <v>345</v>
      </c>
      <c r="E6118" s="1" t="s">
        <v>33</v>
      </c>
      <c r="F6118" s="1" t="s">
        <v>209</v>
      </c>
      <c r="G6118" s="5">
        <v>168.34</v>
      </c>
    </row>
    <row r="6119" spans="1:7" x14ac:dyDescent="0.2">
      <c r="A6119" s="3">
        <v>140</v>
      </c>
      <c r="B6119" s="2">
        <v>50677.2</v>
      </c>
      <c r="C6119" s="38">
        <v>44652</v>
      </c>
      <c r="D6119" s="1" t="s">
        <v>256</v>
      </c>
      <c r="E6119" s="1" t="s">
        <v>33</v>
      </c>
      <c r="F6119" s="1" t="s">
        <v>209</v>
      </c>
      <c r="G6119" s="5">
        <v>361.98</v>
      </c>
    </row>
    <row r="6120" spans="1:7" x14ac:dyDescent="0.2">
      <c r="A6120" s="3">
        <v>240</v>
      </c>
      <c r="B6120" s="2">
        <v>182899.20000000001</v>
      </c>
      <c r="C6120" s="38">
        <v>44656</v>
      </c>
      <c r="D6120" s="1" t="s">
        <v>265</v>
      </c>
      <c r="E6120" s="1" t="s">
        <v>33</v>
      </c>
      <c r="F6120" s="1" t="s">
        <v>209</v>
      </c>
      <c r="G6120" s="5">
        <v>762.08</v>
      </c>
    </row>
    <row r="6121" spans="1:7" x14ac:dyDescent="0.2">
      <c r="A6121" s="3">
        <v>240</v>
      </c>
      <c r="B6121" s="2">
        <v>182899.20000000001</v>
      </c>
      <c r="C6121" s="38">
        <v>44656</v>
      </c>
      <c r="D6121" s="1" t="s">
        <v>265</v>
      </c>
      <c r="E6121" s="1" t="s">
        <v>33</v>
      </c>
      <c r="F6121" s="1" t="s">
        <v>209</v>
      </c>
      <c r="G6121" s="5">
        <v>762.08</v>
      </c>
    </row>
    <row r="6122" spans="1:7" x14ac:dyDescent="0.2">
      <c r="A6122" s="3">
        <v>240</v>
      </c>
      <c r="B6122" s="2">
        <v>182899.20000000001</v>
      </c>
      <c r="C6122" s="38">
        <v>44656</v>
      </c>
      <c r="D6122" s="1" t="s">
        <v>265</v>
      </c>
      <c r="E6122" s="1" t="s">
        <v>33</v>
      </c>
      <c r="F6122" s="1" t="s">
        <v>209</v>
      </c>
      <c r="G6122" s="5">
        <v>762.08</v>
      </c>
    </row>
    <row r="6123" spans="1:7" x14ac:dyDescent="0.2">
      <c r="A6123" s="3">
        <v>240</v>
      </c>
      <c r="B6123" s="2">
        <v>182899.20000000001</v>
      </c>
      <c r="C6123" s="38">
        <v>44656</v>
      </c>
      <c r="D6123" s="1" t="s">
        <v>265</v>
      </c>
      <c r="E6123" s="1" t="s">
        <v>33</v>
      </c>
      <c r="F6123" s="1" t="s">
        <v>209</v>
      </c>
      <c r="G6123" s="5">
        <v>762.08</v>
      </c>
    </row>
    <row r="6124" spans="1:7" x14ac:dyDescent="0.2">
      <c r="A6124" s="3">
        <v>226</v>
      </c>
      <c r="B6124" s="2">
        <v>38047.1</v>
      </c>
      <c r="C6124" s="38">
        <v>44664</v>
      </c>
      <c r="D6124" s="1" t="s">
        <v>345</v>
      </c>
      <c r="E6124" s="1" t="s">
        <v>33</v>
      </c>
      <c r="F6124" s="1" t="s">
        <v>209</v>
      </c>
      <c r="G6124" s="5">
        <v>168.35</v>
      </c>
    </row>
    <row r="6125" spans="1:7" x14ac:dyDescent="0.2">
      <c r="A6125" s="3">
        <v>111</v>
      </c>
      <c r="B6125" s="2">
        <v>18686.849999999999</v>
      </c>
      <c r="C6125" s="38">
        <v>44685</v>
      </c>
      <c r="D6125" s="1" t="s">
        <v>345</v>
      </c>
      <c r="E6125" s="1" t="s">
        <v>33</v>
      </c>
      <c r="F6125" s="1" t="s">
        <v>209</v>
      </c>
      <c r="G6125" s="5">
        <v>168.35</v>
      </c>
    </row>
    <row r="6126" spans="1:7" x14ac:dyDescent="0.2">
      <c r="A6126" s="3">
        <v>140</v>
      </c>
      <c r="B6126" s="2">
        <v>56924</v>
      </c>
      <c r="C6126" s="38">
        <v>44685</v>
      </c>
      <c r="D6126" s="1" t="s">
        <v>255</v>
      </c>
      <c r="E6126" s="1" t="s">
        <v>33</v>
      </c>
      <c r="F6126" s="1" t="s">
        <v>209</v>
      </c>
      <c r="G6126" s="5">
        <v>406.6</v>
      </c>
    </row>
    <row r="6127" spans="1:7" x14ac:dyDescent="0.2">
      <c r="A6127" s="3">
        <v>280</v>
      </c>
      <c r="B6127" s="2">
        <v>113848</v>
      </c>
      <c r="C6127" s="38">
        <v>44685</v>
      </c>
      <c r="D6127" s="1" t="s">
        <v>255</v>
      </c>
      <c r="E6127" s="1" t="s">
        <v>33</v>
      </c>
      <c r="F6127" s="1" t="s">
        <v>209</v>
      </c>
      <c r="G6127" s="5">
        <v>406.6</v>
      </c>
    </row>
    <row r="6128" spans="1:7" x14ac:dyDescent="0.2">
      <c r="A6128" s="3">
        <v>38</v>
      </c>
      <c r="B6128" s="2">
        <v>6397.3</v>
      </c>
      <c r="C6128" s="38">
        <v>44664</v>
      </c>
      <c r="D6128" s="1" t="s">
        <v>345</v>
      </c>
      <c r="E6128" s="1" t="s">
        <v>33</v>
      </c>
      <c r="F6128" s="1" t="s">
        <v>209</v>
      </c>
      <c r="G6128" s="5">
        <v>168.35</v>
      </c>
    </row>
    <row r="6129" spans="1:7" x14ac:dyDescent="0.2">
      <c r="A6129" s="3">
        <v>108</v>
      </c>
      <c r="B6129" s="2">
        <v>11695.32</v>
      </c>
      <c r="C6129" s="38">
        <v>44722</v>
      </c>
      <c r="D6129" s="1" t="s">
        <v>237</v>
      </c>
      <c r="E6129" s="1" t="s">
        <v>33</v>
      </c>
      <c r="F6129" s="1" t="s">
        <v>209</v>
      </c>
      <c r="G6129" s="5">
        <v>108.29</v>
      </c>
    </row>
    <row r="6130" spans="1:7" x14ac:dyDescent="0.2">
      <c r="A6130" s="3">
        <v>108</v>
      </c>
      <c r="B6130" s="2">
        <v>11695.32</v>
      </c>
      <c r="C6130" s="38">
        <v>44733</v>
      </c>
      <c r="D6130" s="1" t="s">
        <v>237</v>
      </c>
      <c r="E6130" s="1" t="s">
        <v>33</v>
      </c>
      <c r="F6130" s="1" t="s">
        <v>209</v>
      </c>
      <c r="G6130" s="5">
        <v>108.29</v>
      </c>
    </row>
    <row r="6131" spans="1:7" x14ac:dyDescent="0.2">
      <c r="A6131" s="3">
        <v>140</v>
      </c>
      <c r="B6131" s="2">
        <v>50677.2</v>
      </c>
      <c r="C6131" s="38">
        <v>44600</v>
      </c>
      <c r="D6131" s="1" t="s">
        <v>256</v>
      </c>
      <c r="E6131" s="1" t="s">
        <v>33</v>
      </c>
      <c r="F6131" s="1" t="s">
        <v>209</v>
      </c>
      <c r="G6131" s="5">
        <v>361.98</v>
      </c>
    </row>
    <row r="6132" spans="1:7" x14ac:dyDescent="0.2">
      <c r="A6132" s="3">
        <v>210</v>
      </c>
      <c r="B6132" s="2">
        <v>76015.8</v>
      </c>
      <c r="C6132" s="38">
        <v>44600</v>
      </c>
      <c r="D6132" s="1" t="s">
        <v>256</v>
      </c>
      <c r="E6132" s="1" t="s">
        <v>33</v>
      </c>
      <c r="F6132" s="1" t="s">
        <v>209</v>
      </c>
      <c r="G6132" s="5">
        <v>361.98</v>
      </c>
    </row>
    <row r="6133" spans="1:7" x14ac:dyDescent="0.2">
      <c r="A6133" s="3">
        <v>70</v>
      </c>
      <c r="B6133" s="2">
        <v>25338.6</v>
      </c>
      <c r="C6133" s="38">
        <v>44600</v>
      </c>
      <c r="D6133" s="1" t="s">
        <v>256</v>
      </c>
      <c r="E6133" s="1" t="s">
        <v>33</v>
      </c>
      <c r="F6133" s="1" t="s">
        <v>209</v>
      </c>
      <c r="G6133" s="5">
        <v>361.98</v>
      </c>
    </row>
    <row r="6134" spans="1:7" x14ac:dyDescent="0.2">
      <c r="A6134" s="3">
        <v>140</v>
      </c>
      <c r="B6134" s="2">
        <v>50677.2</v>
      </c>
      <c r="C6134" s="38">
        <v>44600</v>
      </c>
      <c r="D6134" s="1" t="s">
        <v>256</v>
      </c>
      <c r="E6134" s="1" t="s">
        <v>33</v>
      </c>
      <c r="F6134" s="1" t="s">
        <v>209</v>
      </c>
      <c r="G6134" s="5">
        <v>361.98</v>
      </c>
    </row>
    <row r="6135" spans="1:7" x14ac:dyDescent="0.2">
      <c r="A6135" s="3">
        <v>70</v>
      </c>
      <c r="B6135" s="2">
        <v>28462</v>
      </c>
      <c r="C6135" s="38">
        <v>44691</v>
      </c>
      <c r="D6135" s="1" t="s">
        <v>255</v>
      </c>
      <c r="E6135" s="1" t="s">
        <v>33</v>
      </c>
      <c r="F6135" s="1" t="s">
        <v>209</v>
      </c>
      <c r="G6135" s="5">
        <v>406.6</v>
      </c>
    </row>
    <row r="6136" spans="1:7" x14ac:dyDescent="0.2">
      <c r="A6136" s="3">
        <v>210</v>
      </c>
      <c r="B6136" s="2">
        <v>85386</v>
      </c>
      <c r="C6136" s="38">
        <v>44691</v>
      </c>
      <c r="D6136" s="1" t="s">
        <v>255</v>
      </c>
      <c r="E6136" s="1" t="s">
        <v>33</v>
      </c>
      <c r="F6136" s="1" t="s">
        <v>209</v>
      </c>
      <c r="G6136" s="5">
        <v>406.6</v>
      </c>
    </row>
    <row r="6137" spans="1:7" x14ac:dyDescent="0.2">
      <c r="A6137" s="3">
        <v>2000</v>
      </c>
      <c r="B6137" s="2">
        <v>3660</v>
      </c>
      <c r="C6137" s="38">
        <v>44603</v>
      </c>
      <c r="D6137" s="1" t="s">
        <v>238</v>
      </c>
      <c r="E6137" s="1" t="s">
        <v>33</v>
      </c>
      <c r="F6137" s="1" t="s">
        <v>209</v>
      </c>
      <c r="G6137" s="5">
        <v>1.83</v>
      </c>
    </row>
    <row r="6138" spans="1:7" x14ac:dyDescent="0.2">
      <c r="A6138" s="3">
        <v>2000</v>
      </c>
      <c r="B6138" s="2">
        <v>3660</v>
      </c>
      <c r="C6138" s="38">
        <v>44698</v>
      </c>
      <c r="D6138" s="1" t="s">
        <v>238</v>
      </c>
      <c r="E6138" s="1" t="s">
        <v>33</v>
      </c>
      <c r="F6138" s="1" t="s">
        <v>209</v>
      </c>
      <c r="G6138" s="5">
        <v>1.83</v>
      </c>
    </row>
    <row r="6139" spans="1:7" x14ac:dyDescent="0.2">
      <c r="A6139" s="3">
        <v>480</v>
      </c>
      <c r="B6139" s="2">
        <v>211459.20000000001</v>
      </c>
      <c r="C6139" s="38">
        <v>44768</v>
      </c>
      <c r="D6139" s="1" t="s">
        <v>248</v>
      </c>
      <c r="E6139" s="1" t="s">
        <v>33</v>
      </c>
      <c r="F6139" s="1" t="s">
        <v>209</v>
      </c>
      <c r="G6139" s="5">
        <v>440.54</v>
      </c>
    </row>
    <row r="6140" spans="1:7" x14ac:dyDescent="0.2">
      <c r="A6140" s="3">
        <v>70</v>
      </c>
      <c r="B6140" s="2">
        <v>38312.400000000001</v>
      </c>
      <c r="C6140" s="38">
        <v>44811</v>
      </c>
      <c r="D6140" s="1" t="s">
        <v>362</v>
      </c>
      <c r="E6140" s="1" t="s">
        <v>33</v>
      </c>
      <c r="F6140" s="1" t="s">
        <v>209</v>
      </c>
      <c r="G6140" s="5">
        <v>547.32000000000005</v>
      </c>
    </row>
    <row r="6141" spans="1:7" x14ac:dyDescent="0.2">
      <c r="A6141" s="3">
        <v>345</v>
      </c>
      <c r="B6141" s="2">
        <v>296865.59999999998</v>
      </c>
      <c r="C6141" s="38">
        <v>44816</v>
      </c>
      <c r="D6141" s="1" t="s">
        <v>267</v>
      </c>
      <c r="E6141" s="1" t="s">
        <v>33</v>
      </c>
      <c r="F6141" s="1" t="s">
        <v>209</v>
      </c>
      <c r="G6141" s="5">
        <v>860.48</v>
      </c>
    </row>
    <row r="6142" spans="1:7" x14ac:dyDescent="0.2">
      <c r="A6142" s="3">
        <v>135</v>
      </c>
      <c r="B6142" s="2">
        <v>116164.8</v>
      </c>
      <c r="C6142" s="38">
        <v>44816</v>
      </c>
      <c r="D6142" s="1" t="s">
        <v>267</v>
      </c>
      <c r="E6142" s="1" t="s">
        <v>33</v>
      </c>
      <c r="F6142" s="1" t="s">
        <v>209</v>
      </c>
      <c r="G6142" s="5">
        <v>860.48</v>
      </c>
    </row>
    <row r="6143" spans="1:7" x14ac:dyDescent="0.2">
      <c r="A6143" s="3">
        <v>225</v>
      </c>
      <c r="B6143" s="2">
        <v>193608</v>
      </c>
      <c r="C6143" s="38">
        <v>44816</v>
      </c>
      <c r="D6143" s="1" t="s">
        <v>267</v>
      </c>
      <c r="E6143" s="1" t="s">
        <v>33</v>
      </c>
      <c r="F6143" s="1" t="s">
        <v>209</v>
      </c>
      <c r="G6143" s="5">
        <v>860.48</v>
      </c>
    </row>
    <row r="6144" spans="1:7" x14ac:dyDescent="0.2">
      <c r="A6144" s="3">
        <v>108</v>
      </c>
      <c r="B6144" s="2">
        <v>11696.4</v>
      </c>
      <c r="C6144" s="38">
        <v>44743</v>
      </c>
      <c r="D6144" s="1" t="s">
        <v>237</v>
      </c>
      <c r="E6144" s="1" t="s">
        <v>33</v>
      </c>
      <c r="F6144" s="1" t="s">
        <v>209</v>
      </c>
      <c r="G6144" s="5">
        <v>108.3</v>
      </c>
    </row>
    <row r="6145" spans="1:7" x14ac:dyDescent="0.2">
      <c r="A6145" s="3">
        <v>216</v>
      </c>
      <c r="B6145" s="2">
        <v>23392.799999999999</v>
      </c>
      <c r="C6145" s="38">
        <v>44743</v>
      </c>
      <c r="D6145" s="1" t="s">
        <v>237</v>
      </c>
      <c r="E6145" s="1" t="s">
        <v>33</v>
      </c>
      <c r="F6145" s="1" t="s">
        <v>209</v>
      </c>
      <c r="G6145" s="5">
        <v>108.3</v>
      </c>
    </row>
    <row r="6146" spans="1:7" x14ac:dyDescent="0.2">
      <c r="A6146" s="3">
        <v>216</v>
      </c>
      <c r="B6146" s="2">
        <v>23392.799999999999</v>
      </c>
      <c r="C6146" s="38">
        <v>44743</v>
      </c>
      <c r="D6146" s="1" t="s">
        <v>237</v>
      </c>
      <c r="E6146" s="1" t="s">
        <v>33</v>
      </c>
      <c r="F6146" s="1" t="s">
        <v>209</v>
      </c>
      <c r="G6146" s="5">
        <v>108.3</v>
      </c>
    </row>
    <row r="6147" spans="1:7" x14ac:dyDescent="0.2">
      <c r="A6147" s="3">
        <v>180</v>
      </c>
      <c r="B6147" s="2">
        <v>79297.2</v>
      </c>
      <c r="C6147" s="38">
        <v>44865</v>
      </c>
      <c r="D6147" s="1" t="s">
        <v>248</v>
      </c>
      <c r="E6147" s="1" t="s">
        <v>33</v>
      </c>
      <c r="F6147" s="1" t="s">
        <v>209</v>
      </c>
      <c r="G6147" s="5">
        <v>440.54</v>
      </c>
    </row>
    <row r="6148" spans="1:7" x14ac:dyDescent="0.2">
      <c r="A6148" s="3">
        <v>324</v>
      </c>
      <c r="B6148" s="2">
        <v>35089.199999999997</v>
      </c>
      <c r="C6148" s="38">
        <v>44743</v>
      </c>
      <c r="D6148" s="1" t="s">
        <v>237</v>
      </c>
      <c r="E6148" s="1" t="s">
        <v>33</v>
      </c>
      <c r="F6148" s="1" t="s">
        <v>209</v>
      </c>
      <c r="G6148" s="5">
        <v>108.3</v>
      </c>
    </row>
    <row r="6149" spans="1:7" x14ac:dyDescent="0.2">
      <c r="A6149" s="3">
        <v>108</v>
      </c>
      <c r="B6149" s="2">
        <v>11696.4</v>
      </c>
      <c r="C6149" s="38">
        <v>44743</v>
      </c>
      <c r="D6149" s="1" t="s">
        <v>237</v>
      </c>
      <c r="E6149" s="1" t="s">
        <v>33</v>
      </c>
      <c r="F6149" s="1" t="s">
        <v>209</v>
      </c>
      <c r="G6149" s="5">
        <v>108.3</v>
      </c>
    </row>
    <row r="6150" spans="1:7" x14ac:dyDescent="0.2">
      <c r="A6150" s="3">
        <v>324</v>
      </c>
      <c r="B6150" s="2">
        <v>35089.199999999997</v>
      </c>
      <c r="C6150" s="38">
        <v>44743</v>
      </c>
      <c r="D6150" s="1" t="s">
        <v>237</v>
      </c>
      <c r="E6150" s="1" t="s">
        <v>33</v>
      </c>
      <c r="F6150" s="1" t="s">
        <v>209</v>
      </c>
      <c r="G6150" s="5">
        <v>108.3</v>
      </c>
    </row>
    <row r="6151" spans="1:7" x14ac:dyDescent="0.2">
      <c r="A6151" s="3">
        <v>216</v>
      </c>
      <c r="B6151" s="2">
        <v>23392.799999999999</v>
      </c>
      <c r="C6151" s="38">
        <v>44743</v>
      </c>
      <c r="D6151" s="1" t="s">
        <v>237</v>
      </c>
      <c r="E6151" s="1" t="s">
        <v>33</v>
      </c>
      <c r="F6151" s="1" t="s">
        <v>209</v>
      </c>
      <c r="G6151" s="5">
        <v>108.3</v>
      </c>
    </row>
    <row r="6152" spans="1:7" x14ac:dyDescent="0.2">
      <c r="A6152" s="3">
        <v>108</v>
      </c>
      <c r="B6152" s="2">
        <v>11696.4</v>
      </c>
      <c r="C6152" s="38">
        <v>44743</v>
      </c>
      <c r="D6152" s="1" t="s">
        <v>237</v>
      </c>
      <c r="E6152" s="1" t="s">
        <v>33</v>
      </c>
      <c r="F6152" s="1" t="s">
        <v>209</v>
      </c>
      <c r="G6152" s="5">
        <v>108.3</v>
      </c>
    </row>
    <row r="6153" spans="1:7" x14ac:dyDescent="0.2">
      <c r="A6153" s="3">
        <v>432</v>
      </c>
      <c r="B6153" s="2">
        <v>46785.599999999999</v>
      </c>
      <c r="C6153" s="38">
        <v>44743</v>
      </c>
      <c r="D6153" s="1" t="s">
        <v>237</v>
      </c>
      <c r="E6153" s="1" t="s">
        <v>33</v>
      </c>
      <c r="F6153" s="1" t="s">
        <v>209</v>
      </c>
      <c r="G6153" s="5">
        <v>108.3</v>
      </c>
    </row>
    <row r="6154" spans="1:7" x14ac:dyDescent="0.2">
      <c r="A6154" s="3">
        <v>432</v>
      </c>
      <c r="B6154" s="2">
        <v>46785.599999999999</v>
      </c>
      <c r="C6154" s="38">
        <v>44743</v>
      </c>
      <c r="D6154" s="1" t="s">
        <v>237</v>
      </c>
      <c r="E6154" s="1" t="s">
        <v>33</v>
      </c>
      <c r="F6154" s="1" t="s">
        <v>209</v>
      </c>
      <c r="G6154" s="5">
        <v>108.3</v>
      </c>
    </row>
    <row r="6155" spans="1:7" x14ac:dyDescent="0.2">
      <c r="A6155" s="3">
        <v>108</v>
      </c>
      <c r="B6155" s="2">
        <v>11696.4</v>
      </c>
      <c r="C6155" s="38">
        <v>44743</v>
      </c>
      <c r="D6155" s="1" t="s">
        <v>237</v>
      </c>
      <c r="E6155" s="1" t="s">
        <v>33</v>
      </c>
      <c r="F6155" s="1" t="s">
        <v>209</v>
      </c>
      <c r="G6155" s="5">
        <v>108.3</v>
      </c>
    </row>
    <row r="6156" spans="1:7" x14ac:dyDescent="0.2">
      <c r="A6156" s="3">
        <v>108</v>
      </c>
      <c r="B6156" s="2">
        <v>11696.4</v>
      </c>
      <c r="C6156" s="38">
        <v>44743</v>
      </c>
      <c r="D6156" s="1" t="s">
        <v>237</v>
      </c>
      <c r="E6156" s="1" t="s">
        <v>33</v>
      </c>
      <c r="F6156" s="1" t="s">
        <v>209</v>
      </c>
      <c r="G6156" s="5">
        <v>108.3</v>
      </c>
    </row>
    <row r="6157" spans="1:7" x14ac:dyDescent="0.2">
      <c r="A6157" s="3">
        <v>216</v>
      </c>
      <c r="B6157" s="2">
        <v>23392.799999999999</v>
      </c>
      <c r="C6157" s="38">
        <v>44743</v>
      </c>
      <c r="D6157" s="1" t="s">
        <v>237</v>
      </c>
      <c r="E6157" s="1" t="s">
        <v>33</v>
      </c>
      <c r="F6157" s="1" t="s">
        <v>209</v>
      </c>
      <c r="G6157" s="5">
        <v>108.3</v>
      </c>
    </row>
    <row r="6158" spans="1:7" x14ac:dyDescent="0.2">
      <c r="A6158" s="3">
        <v>108</v>
      </c>
      <c r="B6158" s="2">
        <v>11696.4</v>
      </c>
      <c r="C6158" s="38">
        <v>44743</v>
      </c>
      <c r="D6158" s="1" t="s">
        <v>237</v>
      </c>
      <c r="E6158" s="1" t="s">
        <v>33</v>
      </c>
      <c r="F6158" s="1" t="s">
        <v>209</v>
      </c>
      <c r="G6158" s="5">
        <v>108.3</v>
      </c>
    </row>
    <row r="6159" spans="1:7" x14ac:dyDescent="0.2">
      <c r="A6159" s="3">
        <v>108</v>
      </c>
      <c r="B6159" s="2">
        <v>11696.4</v>
      </c>
      <c r="C6159" s="38">
        <v>44743</v>
      </c>
      <c r="D6159" s="1" t="s">
        <v>237</v>
      </c>
      <c r="E6159" s="1" t="s">
        <v>33</v>
      </c>
      <c r="F6159" s="1" t="s">
        <v>209</v>
      </c>
      <c r="G6159" s="5">
        <v>108.3</v>
      </c>
    </row>
    <row r="6160" spans="1:7" x14ac:dyDescent="0.2">
      <c r="A6160" s="3">
        <v>432</v>
      </c>
      <c r="B6160" s="2">
        <v>46785.599999999999</v>
      </c>
      <c r="C6160" s="38">
        <v>44743</v>
      </c>
      <c r="D6160" s="1" t="s">
        <v>237</v>
      </c>
      <c r="E6160" s="1" t="s">
        <v>33</v>
      </c>
      <c r="F6160" s="1" t="s">
        <v>209</v>
      </c>
      <c r="G6160" s="5">
        <v>108.3</v>
      </c>
    </row>
    <row r="6161" spans="1:7" x14ac:dyDescent="0.2">
      <c r="A6161" s="3">
        <v>108</v>
      </c>
      <c r="B6161" s="2">
        <v>11696.4</v>
      </c>
      <c r="C6161" s="38">
        <v>44743</v>
      </c>
      <c r="D6161" s="1" t="s">
        <v>237</v>
      </c>
      <c r="E6161" s="1" t="s">
        <v>33</v>
      </c>
      <c r="F6161" s="1" t="s">
        <v>209</v>
      </c>
      <c r="G6161" s="5">
        <v>108.3</v>
      </c>
    </row>
    <row r="6162" spans="1:7" x14ac:dyDescent="0.2">
      <c r="A6162" s="3">
        <v>108</v>
      </c>
      <c r="B6162" s="2">
        <v>11696.4</v>
      </c>
      <c r="C6162" s="38">
        <v>44743</v>
      </c>
      <c r="D6162" s="1" t="s">
        <v>237</v>
      </c>
      <c r="E6162" s="1" t="s">
        <v>33</v>
      </c>
      <c r="F6162" s="1" t="s">
        <v>209</v>
      </c>
      <c r="G6162" s="5">
        <v>108.3</v>
      </c>
    </row>
    <row r="6163" spans="1:7" x14ac:dyDescent="0.2">
      <c r="A6163" s="3">
        <v>216</v>
      </c>
      <c r="B6163" s="2">
        <v>23392.799999999999</v>
      </c>
      <c r="C6163" s="38">
        <v>44743</v>
      </c>
      <c r="D6163" s="1" t="s">
        <v>237</v>
      </c>
      <c r="E6163" s="1" t="s">
        <v>33</v>
      </c>
      <c r="F6163" s="1" t="s">
        <v>209</v>
      </c>
      <c r="G6163" s="5">
        <v>108.3</v>
      </c>
    </row>
    <row r="6164" spans="1:7" x14ac:dyDescent="0.2">
      <c r="A6164" s="3">
        <v>108</v>
      </c>
      <c r="B6164" s="2">
        <v>11696.4</v>
      </c>
      <c r="C6164" s="38">
        <v>44743</v>
      </c>
      <c r="D6164" s="1" t="s">
        <v>237</v>
      </c>
      <c r="E6164" s="1" t="s">
        <v>33</v>
      </c>
      <c r="F6164" s="1" t="s">
        <v>209</v>
      </c>
      <c r="G6164" s="5">
        <v>108.3</v>
      </c>
    </row>
    <row r="6165" spans="1:7" x14ac:dyDescent="0.2">
      <c r="A6165" s="3">
        <v>324</v>
      </c>
      <c r="B6165" s="2">
        <v>35089.199999999997</v>
      </c>
      <c r="C6165" s="38">
        <v>44743</v>
      </c>
      <c r="D6165" s="1" t="s">
        <v>237</v>
      </c>
      <c r="E6165" s="1" t="s">
        <v>33</v>
      </c>
      <c r="F6165" s="1" t="s">
        <v>209</v>
      </c>
      <c r="G6165" s="5">
        <v>108.3</v>
      </c>
    </row>
    <row r="6166" spans="1:7" x14ac:dyDescent="0.2">
      <c r="A6166" s="3">
        <v>432</v>
      </c>
      <c r="B6166" s="2">
        <v>46785.599999999999</v>
      </c>
      <c r="C6166" s="38">
        <v>44743</v>
      </c>
      <c r="D6166" s="1" t="s">
        <v>237</v>
      </c>
      <c r="E6166" s="1" t="s">
        <v>33</v>
      </c>
      <c r="F6166" s="1" t="s">
        <v>209</v>
      </c>
      <c r="G6166" s="5">
        <v>108.3</v>
      </c>
    </row>
    <row r="6167" spans="1:7" x14ac:dyDescent="0.2">
      <c r="A6167" s="3">
        <v>432</v>
      </c>
      <c r="B6167" s="2">
        <v>46785.599999999999</v>
      </c>
      <c r="C6167" s="38">
        <v>44743</v>
      </c>
      <c r="D6167" s="1" t="s">
        <v>237</v>
      </c>
      <c r="E6167" s="1" t="s">
        <v>33</v>
      </c>
      <c r="F6167" s="1" t="s">
        <v>209</v>
      </c>
      <c r="G6167" s="5">
        <v>108.3</v>
      </c>
    </row>
    <row r="6168" spans="1:7" x14ac:dyDescent="0.2">
      <c r="A6168" s="3">
        <v>324</v>
      </c>
      <c r="B6168" s="2">
        <v>35089.199999999997</v>
      </c>
      <c r="C6168" s="38">
        <v>44743</v>
      </c>
      <c r="D6168" s="1" t="s">
        <v>237</v>
      </c>
      <c r="E6168" s="1" t="s">
        <v>33</v>
      </c>
      <c r="F6168" s="1" t="s">
        <v>209</v>
      </c>
      <c r="G6168" s="5">
        <v>108.3</v>
      </c>
    </row>
    <row r="6169" spans="1:7" x14ac:dyDescent="0.2">
      <c r="A6169" s="3">
        <v>216</v>
      </c>
      <c r="B6169" s="2">
        <v>23392.799999999999</v>
      </c>
      <c r="C6169" s="38">
        <v>44743</v>
      </c>
      <c r="D6169" s="1" t="s">
        <v>237</v>
      </c>
      <c r="E6169" s="1" t="s">
        <v>33</v>
      </c>
      <c r="F6169" s="1" t="s">
        <v>209</v>
      </c>
      <c r="G6169" s="5">
        <v>108.3</v>
      </c>
    </row>
    <row r="6170" spans="1:7" x14ac:dyDescent="0.2">
      <c r="A6170" s="3">
        <v>216</v>
      </c>
      <c r="B6170" s="2">
        <v>23392.799999999999</v>
      </c>
      <c r="C6170" s="38">
        <v>44743</v>
      </c>
      <c r="D6170" s="1" t="s">
        <v>237</v>
      </c>
      <c r="E6170" s="1" t="s">
        <v>33</v>
      </c>
      <c r="F6170" s="1" t="s">
        <v>209</v>
      </c>
      <c r="G6170" s="5">
        <v>108.3</v>
      </c>
    </row>
    <row r="6171" spans="1:7" x14ac:dyDescent="0.2">
      <c r="A6171" s="3">
        <v>108</v>
      </c>
      <c r="B6171" s="2">
        <v>11696.4</v>
      </c>
      <c r="C6171" s="38">
        <v>44743</v>
      </c>
      <c r="D6171" s="1" t="s">
        <v>237</v>
      </c>
      <c r="E6171" s="1" t="s">
        <v>33</v>
      </c>
      <c r="F6171" s="1" t="s">
        <v>209</v>
      </c>
      <c r="G6171" s="5">
        <v>108.3</v>
      </c>
    </row>
    <row r="6172" spans="1:7" x14ac:dyDescent="0.2">
      <c r="A6172" s="3">
        <v>450</v>
      </c>
      <c r="B6172" s="2">
        <v>198243</v>
      </c>
      <c r="C6172" s="38">
        <v>44831</v>
      </c>
      <c r="D6172" s="1" t="s">
        <v>248</v>
      </c>
      <c r="E6172" s="1" t="s">
        <v>33</v>
      </c>
      <c r="F6172" s="1" t="s">
        <v>209</v>
      </c>
      <c r="G6172" s="5">
        <v>440.54</v>
      </c>
    </row>
    <row r="6173" spans="1:7" x14ac:dyDescent="0.2">
      <c r="A6173" s="3">
        <v>1820</v>
      </c>
      <c r="B6173" s="2">
        <v>4313.3999999999996</v>
      </c>
      <c r="C6173" s="38">
        <v>44831</v>
      </c>
      <c r="D6173" s="1" t="s">
        <v>250</v>
      </c>
      <c r="E6173" s="1" t="s">
        <v>33</v>
      </c>
      <c r="F6173" s="1" t="s">
        <v>209</v>
      </c>
      <c r="G6173" s="5">
        <v>2.37</v>
      </c>
    </row>
    <row r="6174" spans="1:7" x14ac:dyDescent="0.2">
      <c r="A6174" s="3">
        <v>165</v>
      </c>
      <c r="B6174" s="2">
        <v>141979.20000000001</v>
      </c>
      <c r="C6174" s="38">
        <v>44831</v>
      </c>
      <c r="D6174" s="1" t="s">
        <v>267</v>
      </c>
      <c r="E6174" s="1" t="s">
        <v>33</v>
      </c>
      <c r="F6174" s="1" t="s">
        <v>209</v>
      </c>
      <c r="G6174" s="5">
        <v>860.48</v>
      </c>
    </row>
    <row r="6175" spans="1:7" x14ac:dyDescent="0.2">
      <c r="A6175" s="3">
        <v>135</v>
      </c>
      <c r="B6175" s="2">
        <v>116164.8</v>
      </c>
      <c r="C6175" s="38">
        <v>44831</v>
      </c>
      <c r="D6175" s="1" t="s">
        <v>267</v>
      </c>
      <c r="E6175" s="1" t="s">
        <v>33</v>
      </c>
      <c r="F6175" s="1" t="s">
        <v>209</v>
      </c>
      <c r="G6175" s="5">
        <v>860.48</v>
      </c>
    </row>
    <row r="6176" spans="1:7" x14ac:dyDescent="0.2">
      <c r="A6176" s="3">
        <v>135</v>
      </c>
      <c r="B6176" s="2">
        <v>116164.8</v>
      </c>
      <c r="C6176" s="38">
        <v>44831</v>
      </c>
      <c r="D6176" s="1" t="s">
        <v>267</v>
      </c>
      <c r="E6176" s="1" t="s">
        <v>33</v>
      </c>
      <c r="F6176" s="1" t="s">
        <v>209</v>
      </c>
      <c r="G6176" s="5">
        <v>860.48</v>
      </c>
    </row>
    <row r="6177" spans="1:7" x14ac:dyDescent="0.2">
      <c r="A6177" s="3">
        <v>45</v>
      </c>
      <c r="B6177" s="2">
        <v>38721.599999999999</v>
      </c>
      <c r="C6177" s="38">
        <v>44831</v>
      </c>
      <c r="D6177" s="1" t="s">
        <v>267</v>
      </c>
      <c r="E6177" s="1" t="s">
        <v>33</v>
      </c>
      <c r="F6177" s="1" t="s">
        <v>209</v>
      </c>
      <c r="G6177" s="5">
        <v>860.48</v>
      </c>
    </row>
    <row r="6178" spans="1:7" x14ac:dyDescent="0.2">
      <c r="A6178" s="3">
        <v>15</v>
      </c>
      <c r="B6178" s="2">
        <v>12907.2</v>
      </c>
      <c r="C6178" s="38">
        <v>44831</v>
      </c>
      <c r="D6178" s="1" t="s">
        <v>267</v>
      </c>
      <c r="E6178" s="1" t="s">
        <v>33</v>
      </c>
      <c r="F6178" s="1" t="s">
        <v>209</v>
      </c>
      <c r="G6178" s="5">
        <v>860.48</v>
      </c>
    </row>
    <row r="6179" spans="1:7" x14ac:dyDescent="0.2">
      <c r="A6179" s="3">
        <v>112</v>
      </c>
      <c r="B6179" s="2">
        <v>199930.08</v>
      </c>
      <c r="C6179" s="38">
        <v>44831</v>
      </c>
      <c r="D6179" s="1" t="s">
        <v>302</v>
      </c>
      <c r="E6179" s="1" t="s">
        <v>33</v>
      </c>
      <c r="F6179" s="1" t="s">
        <v>209</v>
      </c>
      <c r="G6179" s="5">
        <v>1785.09</v>
      </c>
    </row>
    <row r="6180" spans="1:7" x14ac:dyDescent="0.2">
      <c r="A6180" s="3">
        <v>216</v>
      </c>
      <c r="B6180" s="2">
        <v>23392.799999999999</v>
      </c>
      <c r="C6180" s="38">
        <v>44743</v>
      </c>
      <c r="D6180" s="1" t="s">
        <v>237</v>
      </c>
      <c r="E6180" s="1" t="s">
        <v>33</v>
      </c>
      <c r="F6180" s="1" t="s">
        <v>209</v>
      </c>
      <c r="G6180" s="5">
        <v>108.3</v>
      </c>
    </row>
    <row r="6181" spans="1:7" x14ac:dyDescent="0.2">
      <c r="A6181" s="3">
        <v>108</v>
      </c>
      <c r="B6181" s="2">
        <v>11696.4</v>
      </c>
      <c r="C6181" s="38">
        <v>44743</v>
      </c>
      <c r="D6181" s="1" t="s">
        <v>237</v>
      </c>
      <c r="E6181" s="1" t="s">
        <v>33</v>
      </c>
      <c r="F6181" s="1" t="s">
        <v>209</v>
      </c>
      <c r="G6181" s="5">
        <v>108.3</v>
      </c>
    </row>
    <row r="6182" spans="1:7" x14ac:dyDescent="0.2">
      <c r="A6182" s="3">
        <v>108</v>
      </c>
      <c r="B6182" s="2">
        <v>11696.4</v>
      </c>
      <c r="C6182" s="38">
        <v>44743</v>
      </c>
      <c r="D6182" s="1" t="s">
        <v>237</v>
      </c>
      <c r="E6182" s="1" t="s">
        <v>33</v>
      </c>
      <c r="F6182" s="1" t="s">
        <v>209</v>
      </c>
      <c r="G6182" s="5">
        <v>108.3</v>
      </c>
    </row>
    <row r="6183" spans="1:7" x14ac:dyDescent="0.2">
      <c r="A6183" s="3">
        <v>324</v>
      </c>
      <c r="B6183" s="2">
        <v>35089.199999999997</v>
      </c>
      <c r="C6183" s="38">
        <v>44743</v>
      </c>
      <c r="D6183" s="1" t="s">
        <v>237</v>
      </c>
      <c r="E6183" s="1" t="s">
        <v>33</v>
      </c>
      <c r="F6183" s="1" t="s">
        <v>209</v>
      </c>
      <c r="G6183" s="5">
        <v>108.3</v>
      </c>
    </row>
    <row r="6184" spans="1:7" x14ac:dyDescent="0.2">
      <c r="A6184" s="3">
        <v>324</v>
      </c>
      <c r="B6184" s="2">
        <v>35089.199999999997</v>
      </c>
      <c r="C6184" s="38">
        <v>44743</v>
      </c>
      <c r="D6184" s="1" t="s">
        <v>237</v>
      </c>
      <c r="E6184" s="1" t="s">
        <v>33</v>
      </c>
      <c r="F6184" s="1" t="s">
        <v>209</v>
      </c>
      <c r="G6184" s="5">
        <v>108.3</v>
      </c>
    </row>
    <row r="6185" spans="1:7" x14ac:dyDescent="0.2">
      <c r="A6185" s="3">
        <v>108</v>
      </c>
      <c r="B6185" s="2">
        <v>11696.4</v>
      </c>
      <c r="C6185" s="38">
        <v>44743</v>
      </c>
      <c r="D6185" s="1" t="s">
        <v>237</v>
      </c>
      <c r="E6185" s="1" t="s">
        <v>33</v>
      </c>
      <c r="F6185" s="1" t="s">
        <v>209</v>
      </c>
      <c r="G6185" s="5">
        <v>108.3</v>
      </c>
    </row>
    <row r="6186" spans="1:7" x14ac:dyDescent="0.2">
      <c r="A6186" s="3">
        <v>108</v>
      </c>
      <c r="B6186" s="2">
        <v>11696.4</v>
      </c>
      <c r="C6186" s="38">
        <v>44743</v>
      </c>
      <c r="D6186" s="1" t="s">
        <v>237</v>
      </c>
      <c r="E6186" s="1" t="s">
        <v>33</v>
      </c>
      <c r="F6186" s="1" t="s">
        <v>209</v>
      </c>
      <c r="G6186" s="5">
        <v>108.3</v>
      </c>
    </row>
    <row r="6187" spans="1:7" x14ac:dyDescent="0.2">
      <c r="A6187" s="3">
        <v>324</v>
      </c>
      <c r="B6187" s="2">
        <v>35089.199999999997</v>
      </c>
      <c r="C6187" s="38">
        <v>44743</v>
      </c>
      <c r="D6187" s="1" t="s">
        <v>237</v>
      </c>
      <c r="E6187" s="1" t="s">
        <v>33</v>
      </c>
      <c r="F6187" s="1" t="s">
        <v>209</v>
      </c>
      <c r="G6187" s="5">
        <v>108.3</v>
      </c>
    </row>
    <row r="6188" spans="1:7" x14ac:dyDescent="0.2">
      <c r="A6188" s="3">
        <v>216</v>
      </c>
      <c r="B6188" s="2">
        <v>23392.799999999999</v>
      </c>
      <c r="C6188" s="38">
        <v>44743</v>
      </c>
      <c r="D6188" s="1" t="s">
        <v>237</v>
      </c>
      <c r="E6188" s="1" t="s">
        <v>33</v>
      </c>
      <c r="F6188" s="1" t="s">
        <v>209</v>
      </c>
      <c r="G6188" s="5">
        <v>108.3</v>
      </c>
    </row>
    <row r="6189" spans="1:7" x14ac:dyDescent="0.2">
      <c r="A6189" s="3">
        <v>216</v>
      </c>
      <c r="B6189" s="2">
        <v>23392.799999999999</v>
      </c>
      <c r="C6189" s="38">
        <v>44743</v>
      </c>
      <c r="D6189" s="1" t="s">
        <v>237</v>
      </c>
      <c r="E6189" s="1" t="s">
        <v>33</v>
      </c>
      <c r="F6189" s="1" t="s">
        <v>209</v>
      </c>
      <c r="G6189" s="5">
        <v>108.3</v>
      </c>
    </row>
    <row r="6190" spans="1:7" x14ac:dyDescent="0.2">
      <c r="A6190" s="3">
        <v>240</v>
      </c>
      <c r="B6190" s="2">
        <v>182899.20000000001</v>
      </c>
      <c r="C6190" s="38">
        <v>44743</v>
      </c>
      <c r="D6190" s="1" t="s">
        <v>265</v>
      </c>
      <c r="E6190" s="1" t="s">
        <v>33</v>
      </c>
      <c r="F6190" s="1" t="s">
        <v>209</v>
      </c>
      <c r="G6190" s="5">
        <v>762.08</v>
      </c>
    </row>
    <row r="6191" spans="1:7" x14ac:dyDescent="0.2">
      <c r="A6191" s="3">
        <v>240</v>
      </c>
      <c r="B6191" s="2">
        <v>182899.20000000001</v>
      </c>
      <c r="C6191" s="38">
        <v>44743</v>
      </c>
      <c r="D6191" s="1" t="s">
        <v>265</v>
      </c>
      <c r="E6191" s="1" t="s">
        <v>33</v>
      </c>
      <c r="F6191" s="1" t="s">
        <v>209</v>
      </c>
      <c r="G6191" s="5">
        <v>762.08</v>
      </c>
    </row>
    <row r="6192" spans="1:7" x14ac:dyDescent="0.2">
      <c r="A6192" s="3">
        <v>300</v>
      </c>
      <c r="B6192" s="2">
        <v>228624</v>
      </c>
      <c r="C6192" s="38">
        <v>44743</v>
      </c>
      <c r="D6192" s="1" t="s">
        <v>265</v>
      </c>
      <c r="E6192" s="1" t="s">
        <v>33</v>
      </c>
      <c r="F6192" s="1" t="s">
        <v>209</v>
      </c>
      <c r="G6192" s="5">
        <v>762.08</v>
      </c>
    </row>
    <row r="6193" spans="1:7" x14ac:dyDescent="0.2">
      <c r="A6193" s="3">
        <v>150</v>
      </c>
      <c r="B6193" s="2">
        <v>66081</v>
      </c>
      <c r="C6193" s="38">
        <v>44839</v>
      </c>
      <c r="D6193" s="1" t="s">
        <v>248</v>
      </c>
      <c r="E6193" s="1" t="s">
        <v>33</v>
      </c>
      <c r="F6193" s="1" t="s">
        <v>209</v>
      </c>
      <c r="G6193" s="5">
        <v>440.54</v>
      </c>
    </row>
    <row r="6194" spans="1:7" x14ac:dyDescent="0.2">
      <c r="A6194" s="3">
        <v>210</v>
      </c>
      <c r="B6194" s="2">
        <v>92513.4</v>
      </c>
      <c r="C6194" s="38">
        <v>44839</v>
      </c>
      <c r="D6194" s="1" t="s">
        <v>248</v>
      </c>
      <c r="E6194" s="1" t="s">
        <v>33</v>
      </c>
      <c r="F6194" s="1" t="s">
        <v>209</v>
      </c>
      <c r="G6194" s="5">
        <v>440.54</v>
      </c>
    </row>
    <row r="6195" spans="1:7" x14ac:dyDescent="0.2">
      <c r="A6195" s="3">
        <v>330</v>
      </c>
      <c r="B6195" s="2">
        <v>145378.20000000001</v>
      </c>
      <c r="C6195" s="38">
        <v>44839</v>
      </c>
      <c r="D6195" s="1" t="s">
        <v>248</v>
      </c>
      <c r="E6195" s="1" t="s">
        <v>33</v>
      </c>
      <c r="F6195" s="1" t="s">
        <v>209</v>
      </c>
      <c r="G6195" s="5">
        <v>440.54</v>
      </c>
    </row>
    <row r="6196" spans="1:7" x14ac:dyDescent="0.2">
      <c r="A6196" s="3">
        <v>210</v>
      </c>
      <c r="B6196" s="2">
        <v>92513.4</v>
      </c>
      <c r="C6196" s="38">
        <v>44839</v>
      </c>
      <c r="D6196" s="1" t="s">
        <v>248</v>
      </c>
      <c r="E6196" s="1" t="s">
        <v>33</v>
      </c>
      <c r="F6196" s="1" t="s">
        <v>209</v>
      </c>
      <c r="G6196" s="5">
        <v>440.54</v>
      </c>
    </row>
    <row r="6197" spans="1:7" x14ac:dyDescent="0.2">
      <c r="A6197" s="3">
        <v>150</v>
      </c>
      <c r="B6197" s="2">
        <v>66081</v>
      </c>
      <c r="C6197" s="38">
        <v>44839</v>
      </c>
      <c r="D6197" s="1" t="s">
        <v>248</v>
      </c>
      <c r="E6197" s="1" t="s">
        <v>33</v>
      </c>
      <c r="F6197" s="1" t="s">
        <v>209</v>
      </c>
      <c r="G6197" s="5">
        <v>440.54</v>
      </c>
    </row>
    <row r="6198" spans="1:7" x14ac:dyDescent="0.2">
      <c r="A6198" s="3">
        <v>600</v>
      </c>
      <c r="B6198" s="2">
        <v>264324</v>
      </c>
      <c r="C6198" s="38">
        <v>44839</v>
      </c>
      <c r="D6198" s="1" t="s">
        <v>248</v>
      </c>
      <c r="E6198" s="1" t="s">
        <v>33</v>
      </c>
      <c r="F6198" s="1" t="s">
        <v>209</v>
      </c>
      <c r="G6198" s="5">
        <v>440.54</v>
      </c>
    </row>
    <row r="6199" spans="1:7" x14ac:dyDescent="0.2">
      <c r="A6199" s="3">
        <v>1000</v>
      </c>
      <c r="B6199" s="2">
        <v>105370</v>
      </c>
      <c r="C6199" s="38">
        <v>44839</v>
      </c>
      <c r="D6199" s="1" t="s">
        <v>350</v>
      </c>
      <c r="E6199" s="1" t="s">
        <v>33</v>
      </c>
      <c r="F6199" s="1" t="s">
        <v>209</v>
      </c>
      <c r="G6199" s="5">
        <v>105.37</v>
      </c>
    </row>
    <row r="6200" spans="1:7" x14ac:dyDescent="0.2">
      <c r="A6200" s="3">
        <v>572</v>
      </c>
      <c r="B6200" s="2">
        <v>37877.839999999997</v>
      </c>
      <c r="C6200" s="38">
        <v>44839</v>
      </c>
      <c r="D6200" s="1" t="s">
        <v>301</v>
      </c>
      <c r="E6200" s="1" t="s">
        <v>33</v>
      </c>
      <c r="F6200" s="1" t="s">
        <v>209</v>
      </c>
      <c r="G6200" s="5">
        <v>66.22</v>
      </c>
    </row>
    <row r="6201" spans="1:7" x14ac:dyDescent="0.2">
      <c r="A6201" s="3">
        <v>245</v>
      </c>
      <c r="B6201" s="2">
        <v>16223.9</v>
      </c>
      <c r="C6201" s="38">
        <v>44839</v>
      </c>
      <c r="D6201" s="1" t="s">
        <v>301</v>
      </c>
      <c r="E6201" s="1" t="s">
        <v>33</v>
      </c>
      <c r="F6201" s="1" t="s">
        <v>209</v>
      </c>
      <c r="G6201" s="5">
        <v>66.22</v>
      </c>
    </row>
    <row r="6202" spans="1:7" x14ac:dyDescent="0.2">
      <c r="A6202" s="3">
        <v>72</v>
      </c>
      <c r="B6202" s="2">
        <v>4767.84</v>
      </c>
      <c r="C6202" s="38">
        <v>44839</v>
      </c>
      <c r="D6202" s="1" t="s">
        <v>301</v>
      </c>
      <c r="E6202" s="1" t="s">
        <v>33</v>
      </c>
      <c r="F6202" s="1" t="s">
        <v>209</v>
      </c>
      <c r="G6202" s="5">
        <v>66.22</v>
      </c>
    </row>
    <row r="6203" spans="1:7" x14ac:dyDescent="0.2">
      <c r="A6203" s="3">
        <v>70</v>
      </c>
      <c r="B6203" s="2">
        <v>39788</v>
      </c>
      <c r="C6203" s="38">
        <v>44883</v>
      </c>
      <c r="D6203" s="1" t="s">
        <v>346</v>
      </c>
      <c r="E6203" s="1" t="s">
        <v>33</v>
      </c>
      <c r="F6203" s="1" t="s">
        <v>209</v>
      </c>
      <c r="G6203" s="5">
        <v>568.4</v>
      </c>
    </row>
    <row r="6204" spans="1:7" x14ac:dyDescent="0.2">
      <c r="A6204" s="3">
        <v>210</v>
      </c>
      <c r="B6204" s="2">
        <v>92513.4</v>
      </c>
      <c r="C6204" s="38">
        <v>44781</v>
      </c>
      <c r="D6204" s="1" t="s">
        <v>248</v>
      </c>
      <c r="E6204" s="1" t="s">
        <v>33</v>
      </c>
      <c r="F6204" s="1" t="s">
        <v>209</v>
      </c>
      <c r="G6204" s="5">
        <v>440.54</v>
      </c>
    </row>
    <row r="6205" spans="1:7" x14ac:dyDescent="0.2">
      <c r="A6205" s="3">
        <v>120</v>
      </c>
      <c r="B6205" s="2">
        <v>52864.800000000003</v>
      </c>
      <c r="C6205" s="38">
        <v>44781</v>
      </c>
      <c r="D6205" s="1" t="s">
        <v>248</v>
      </c>
      <c r="E6205" s="1" t="s">
        <v>33</v>
      </c>
      <c r="F6205" s="1" t="s">
        <v>209</v>
      </c>
      <c r="G6205" s="5">
        <v>440.54</v>
      </c>
    </row>
    <row r="6206" spans="1:7" x14ac:dyDescent="0.2">
      <c r="A6206" s="3">
        <v>210</v>
      </c>
      <c r="B6206" s="2">
        <v>92513.4</v>
      </c>
      <c r="C6206" s="38">
        <v>44781</v>
      </c>
      <c r="D6206" s="1" t="s">
        <v>248</v>
      </c>
      <c r="E6206" s="1" t="s">
        <v>33</v>
      </c>
      <c r="F6206" s="1" t="s">
        <v>209</v>
      </c>
      <c r="G6206" s="5">
        <v>440.54</v>
      </c>
    </row>
    <row r="6207" spans="1:7" x14ac:dyDescent="0.2">
      <c r="A6207" s="3">
        <v>210</v>
      </c>
      <c r="B6207" s="2">
        <v>92513.4</v>
      </c>
      <c r="C6207" s="38">
        <v>44781</v>
      </c>
      <c r="D6207" s="1" t="s">
        <v>248</v>
      </c>
      <c r="E6207" s="1" t="s">
        <v>33</v>
      </c>
      <c r="F6207" s="1" t="s">
        <v>209</v>
      </c>
      <c r="G6207" s="5">
        <v>440.54</v>
      </c>
    </row>
    <row r="6208" spans="1:7" x14ac:dyDescent="0.2">
      <c r="A6208" s="3">
        <v>144</v>
      </c>
      <c r="B6208" s="2">
        <v>28278.720000000001</v>
      </c>
      <c r="C6208" s="38">
        <v>44841</v>
      </c>
      <c r="D6208" s="1" t="s">
        <v>297</v>
      </c>
      <c r="E6208" s="1" t="s">
        <v>33</v>
      </c>
      <c r="F6208" s="1" t="s">
        <v>209</v>
      </c>
      <c r="G6208" s="5">
        <v>196.38</v>
      </c>
    </row>
    <row r="6209" spans="1:7" x14ac:dyDescent="0.2">
      <c r="A6209" s="3">
        <v>140</v>
      </c>
      <c r="B6209" s="2">
        <v>50677.2</v>
      </c>
      <c r="C6209" s="38">
        <v>44841</v>
      </c>
      <c r="D6209" s="1" t="s">
        <v>256</v>
      </c>
      <c r="E6209" s="1" t="s">
        <v>33</v>
      </c>
      <c r="F6209" s="1" t="s">
        <v>209</v>
      </c>
      <c r="G6209" s="5">
        <v>361.98</v>
      </c>
    </row>
    <row r="6210" spans="1:7" x14ac:dyDescent="0.2">
      <c r="A6210" s="3">
        <v>3500</v>
      </c>
      <c r="B6210" s="2">
        <v>368795</v>
      </c>
      <c r="C6210" s="38">
        <v>44841</v>
      </c>
      <c r="D6210" s="1" t="s">
        <v>350</v>
      </c>
      <c r="E6210" s="1" t="s">
        <v>33</v>
      </c>
      <c r="F6210" s="1" t="s">
        <v>209</v>
      </c>
      <c r="G6210" s="5">
        <v>105.37</v>
      </c>
    </row>
    <row r="6211" spans="1:7" x14ac:dyDescent="0.2">
      <c r="A6211" s="3">
        <v>885</v>
      </c>
      <c r="B6211" s="2">
        <v>109704.6</v>
      </c>
      <c r="C6211" s="38">
        <v>44841</v>
      </c>
      <c r="D6211" s="1" t="s">
        <v>351</v>
      </c>
      <c r="E6211" s="1" t="s">
        <v>33</v>
      </c>
      <c r="F6211" s="1" t="s">
        <v>209</v>
      </c>
      <c r="G6211" s="5">
        <v>123.96</v>
      </c>
    </row>
    <row r="6212" spans="1:7" x14ac:dyDescent="0.2">
      <c r="A6212" s="3">
        <v>30</v>
      </c>
      <c r="B6212" s="2">
        <v>25814.400000000001</v>
      </c>
      <c r="C6212" s="38">
        <v>44841</v>
      </c>
      <c r="D6212" s="1" t="s">
        <v>267</v>
      </c>
      <c r="E6212" s="1" t="s">
        <v>33</v>
      </c>
      <c r="F6212" s="1" t="s">
        <v>209</v>
      </c>
      <c r="G6212" s="5">
        <v>860.48</v>
      </c>
    </row>
    <row r="6213" spans="1:7" x14ac:dyDescent="0.2">
      <c r="A6213" s="3">
        <v>180</v>
      </c>
      <c r="B6213" s="2">
        <v>137174.39999999999</v>
      </c>
      <c r="C6213" s="38">
        <v>44893</v>
      </c>
      <c r="D6213" s="1" t="s">
        <v>265</v>
      </c>
      <c r="E6213" s="1" t="s">
        <v>33</v>
      </c>
      <c r="F6213" s="1" t="s">
        <v>209</v>
      </c>
      <c r="G6213" s="5">
        <v>762.08</v>
      </c>
    </row>
    <row r="6214" spans="1:7" x14ac:dyDescent="0.2">
      <c r="A6214" s="3">
        <v>150</v>
      </c>
      <c r="B6214" s="2">
        <v>114312</v>
      </c>
      <c r="C6214" s="38">
        <v>44893</v>
      </c>
      <c r="D6214" s="1" t="s">
        <v>265</v>
      </c>
      <c r="E6214" s="1" t="s">
        <v>33</v>
      </c>
      <c r="F6214" s="1" t="s">
        <v>209</v>
      </c>
      <c r="G6214" s="5">
        <v>762.08</v>
      </c>
    </row>
    <row r="6215" spans="1:7" x14ac:dyDescent="0.2">
      <c r="A6215" s="3">
        <v>390</v>
      </c>
      <c r="B6215" s="2">
        <v>297211.2</v>
      </c>
      <c r="C6215" s="38">
        <v>44893</v>
      </c>
      <c r="D6215" s="1" t="s">
        <v>265</v>
      </c>
      <c r="E6215" s="1" t="s">
        <v>33</v>
      </c>
      <c r="F6215" s="1" t="s">
        <v>209</v>
      </c>
      <c r="G6215" s="5">
        <v>762.08</v>
      </c>
    </row>
    <row r="6216" spans="1:7" x14ac:dyDescent="0.2">
      <c r="A6216" s="3">
        <v>240</v>
      </c>
      <c r="B6216" s="2">
        <v>182899.20000000001</v>
      </c>
      <c r="C6216" s="38">
        <v>44893</v>
      </c>
      <c r="D6216" s="1" t="s">
        <v>265</v>
      </c>
      <c r="E6216" s="1" t="s">
        <v>33</v>
      </c>
      <c r="F6216" s="1" t="s">
        <v>209</v>
      </c>
      <c r="G6216" s="5">
        <v>762.08</v>
      </c>
    </row>
    <row r="6217" spans="1:7" x14ac:dyDescent="0.2">
      <c r="A6217" s="3">
        <v>60</v>
      </c>
      <c r="B6217" s="2">
        <v>45724.800000000003</v>
      </c>
      <c r="C6217" s="38">
        <v>44893</v>
      </c>
      <c r="D6217" s="1" t="s">
        <v>265</v>
      </c>
      <c r="E6217" s="1" t="s">
        <v>33</v>
      </c>
      <c r="F6217" s="1" t="s">
        <v>209</v>
      </c>
      <c r="G6217" s="5">
        <v>762.08</v>
      </c>
    </row>
    <row r="6218" spans="1:7" x14ac:dyDescent="0.2">
      <c r="A6218" s="3">
        <v>216</v>
      </c>
      <c r="B6218" s="2">
        <v>23392.799999999999</v>
      </c>
      <c r="C6218" s="38">
        <v>44747</v>
      </c>
      <c r="D6218" s="1" t="s">
        <v>237</v>
      </c>
      <c r="E6218" s="1" t="s">
        <v>33</v>
      </c>
      <c r="F6218" s="1" t="s">
        <v>209</v>
      </c>
      <c r="G6218" s="5">
        <v>108.3</v>
      </c>
    </row>
    <row r="6219" spans="1:7" x14ac:dyDescent="0.2">
      <c r="A6219" s="3">
        <v>216</v>
      </c>
      <c r="B6219" s="2">
        <v>23392.799999999999</v>
      </c>
      <c r="C6219" s="38">
        <v>44747</v>
      </c>
      <c r="D6219" s="1" t="s">
        <v>237</v>
      </c>
      <c r="E6219" s="1" t="s">
        <v>33</v>
      </c>
      <c r="F6219" s="1" t="s">
        <v>209</v>
      </c>
      <c r="G6219" s="5">
        <v>108.3</v>
      </c>
    </row>
    <row r="6220" spans="1:7" x14ac:dyDescent="0.2">
      <c r="A6220" s="3">
        <v>180</v>
      </c>
      <c r="B6220" s="2">
        <v>137174.39999999999</v>
      </c>
      <c r="C6220" s="38">
        <v>44748</v>
      </c>
      <c r="D6220" s="1" t="s">
        <v>265</v>
      </c>
      <c r="E6220" s="1" t="s">
        <v>33</v>
      </c>
      <c r="F6220" s="1" t="s">
        <v>209</v>
      </c>
      <c r="G6220" s="5">
        <v>762.08</v>
      </c>
    </row>
    <row r="6221" spans="1:7" x14ac:dyDescent="0.2">
      <c r="A6221" s="3">
        <v>240</v>
      </c>
      <c r="B6221" s="2">
        <v>182899.20000000001</v>
      </c>
      <c r="C6221" s="38">
        <v>44748</v>
      </c>
      <c r="D6221" s="1" t="s">
        <v>265</v>
      </c>
      <c r="E6221" s="1" t="s">
        <v>33</v>
      </c>
      <c r="F6221" s="1" t="s">
        <v>209</v>
      </c>
      <c r="G6221" s="5">
        <v>762.08</v>
      </c>
    </row>
    <row r="6222" spans="1:7" x14ac:dyDescent="0.2">
      <c r="A6222" s="3">
        <v>240</v>
      </c>
      <c r="B6222" s="2">
        <v>182899.20000000001</v>
      </c>
      <c r="C6222" s="38">
        <v>44748</v>
      </c>
      <c r="D6222" s="1" t="s">
        <v>265</v>
      </c>
      <c r="E6222" s="1" t="s">
        <v>33</v>
      </c>
      <c r="F6222" s="1" t="s">
        <v>209</v>
      </c>
      <c r="G6222" s="5">
        <v>762.08</v>
      </c>
    </row>
    <row r="6223" spans="1:7" x14ac:dyDescent="0.2">
      <c r="A6223" s="3">
        <v>30</v>
      </c>
      <c r="B6223" s="2">
        <v>22862.400000000001</v>
      </c>
      <c r="C6223" s="38">
        <v>44902</v>
      </c>
      <c r="D6223" s="1" t="s">
        <v>265</v>
      </c>
      <c r="E6223" s="1" t="s">
        <v>33</v>
      </c>
      <c r="F6223" s="1" t="s">
        <v>209</v>
      </c>
      <c r="G6223" s="5">
        <v>762.08</v>
      </c>
    </row>
    <row r="6224" spans="1:7" x14ac:dyDescent="0.2">
      <c r="A6224" s="3">
        <v>30</v>
      </c>
      <c r="B6224" s="2">
        <v>22862.400000000001</v>
      </c>
      <c r="C6224" s="38">
        <v>44902</v>
      </c>
      <c r="D6224" s="1" t="s">
        <v>265</v>
      </c>
      <c r="E6224" s="1" t="s">
        <v>33</v>
      </c>
      <c r="F6224" s="1" t="s">
        <v>209</v>
      </c>
      <c r="G6224" s="5">
        <v>762.08</v>
      </c>
    </row>
    <row r="6225" spans="1:7" x14ac:dyDescent="0.2">
      <c r="A6225" s="3">
        <v>150</v>
      </c>
      <c r="B6225" s="2">
        <v>114312</v>
      </c>
      <c r="C6225" s="38">
        <v>44902</v>
      </c>
      <c r="D6225" s="1" t="s">
        <v>265</v>
      </c>
      <c r="E6225" s="1" t="s">
        <v>33</v>
      </c>
      <c r="F6225" s="1" t="s">
        <v>209</v>
      </c>
      <c r="G6225" s="5">
        <v>762.08</v>
      </c>
    </row>
    <row r="6226" spans="1:7" x14ac:dyDescent="0.2">
      <c r="A6226" s="3">
        <v>120</v>
      </c>
      <c r="B6226" s="2">
        <v>91449.600000000006</v>
      </c>
      <c r="C6226" s="38">
        <v>44902</v>
      </c>
      <c r="D6226" s="1" t="s">
        <v>265</v>
      </c>
      <c r="E6226" s="1" t="s">
        <v>33</v>
      </c>
      <c r="F6226" s="1" t="s">
        <v>209</v>
      </c>
      <c r="G6226" s="5">
        <v>762.08</v>
      </c>
    </row>
    <row r="6227" spans="1:7" x14ac:dyDescent="0.2">
      <c r="A6227" s="3">
        <v>240</v>
      </c>
      <c r="B6227" s="2">
        <v>182899.20000000001</v>
      </c>
      <c r="C6227" s="38">
        <v>44902</v>
      </c>
      <c r="D6227" s="1" t="s">
        <v>265</v>
      </c>
      <c r="E6227" s="1" t="s">
        <v>33</v>
      </c>
      <c r="F6227" s="1" t="s">
        <v>209</v>
      </c>
      <c r="G6227" s="5">
        <v>762.08</v>
      </c>
    </row>
    <row r="6228" spans="1:7" x14ac:dyDescent="0.2">
      <c r="A6228" s="3">
        <v>60</v>
      </c>
      <c r="B6228" s="2">
        <v>45724.800000000003</v>
      </c>
      <c r="C6228" s="38">
        <v>44902</v>
      </c>
      <c r="D6228" s="1" t="s">
        <v>265</v>
      </c>
      <c r="E6228" s="1" t="s">
        <v>33</v>
      </c>
      <c r="F6228" s="1" t="s">
        <v>209</v>
      </c>
      <c r="G6228" s="5">
        <v>762.08</v>
      </c>
    </row>
    <row r="6229" spans="1:7" x14ac:dyDescent="0.2">
      <c r="A6229" s="3">
        <v>150</v>
      </c>
      <c r="B6229" s="2">
        <v>114312</v>
      </c>
      <c r="C6229" s="38">
        <v>44902</v>
      </c>
      <c r="D6229" s="1" t="s">
        <v>265</v>
      </c>
      <c r="E6229" s="1" t="s">
        <v>33</v>
      </c>
      <c r="F6229" s="1" t="s">
        <v>209</v>
      </c>
      <c r="G6229" s="5">
        <v>762.08</v>
      </c>
    </row>
    <row r="6230" spans="1:7" x14ac:dyDescent="0.2">
      <c r="A6230" s="3">
        <v>270</v>
      </c>
      <c r="B6230" s="2">
        <v>205761.6</v>
      </c>
      <c r="C6230" s="38">
        <v>44902</v>
      </c>
      <c r="D6230" s="1" t="s">
        <v>265</v>
      </c>
      <c r="E6230" s="1" t="s">
        <v>33</v>
      </c>
      <c r="F6230" s="1" t="s">
        <v>209</v>
      </c>
      <c r="G6230" s="5">
        <v>762.08</v>
      </c>
    </row>
    <row r="6231" spans="1:7" x14ac:dyDescent="0.2">
      <c r="A6231" s="3">
        <v>180</v>
      </c>
      <c r="B6231" s="2">
        <v>137174.39999999999</v>
      </c>
      <c r="C6231" s="38">
        <v>44748</v>
      </c>
      <c r="D6231" s="1" t="s">
        <v>265</v>
      </c>
      <c r="E6231" s="1" t="s">
        <v>33</v>
      </c>
      <c r="F6231" s="1" t="s">
        <v>209</v>
      </c>
      <c r="G6231" s="5">
        <v>762.08</v>
      </c>
    </row>
    <row r="6232" spans="1:7" x14ac:dyDescent="0.2">
      <c r="A6232" s="3">
        <v>60</v>
      </c>
      <c r="B6232" s="2">
        <v>45724.800000000003</v>
      </c>
      <c r="C6232" s="38">
        <v>44748</v>
      </c>
      <c r="D6232" s="1" t="s">
        <v>265</v>
      </c>
      <c r="E6232" s="1" t="s">
        <v>33</v>
      </c>
      <c r="F6232" s="1" t="s">
        <v>209</v>
      </c>
      <c r="G6232" s="5">
        <v>762.08</v>
      </c>
    </row>
    <row r="6233" spans="1:7" x14ac:dyDescent="0.2">
      <c r="A6233" s="3">
        <v>180</v>
      </c>
      <c r="B6233" s="2">
        <v>137174.39999999999</v>
      </c>
      <c r="C6233" s="38">
        <v>44748</v>
      </c>
      <c r="D6233" s="1" t="s">
        <v>265</v>
      </c>
      <c r="E6233" s="1" t="s">
        <v>33</v>
      </c>
      <c r="F6233" s="1" t="s">
        <v>209</v>
      </c>
      <c r="G6233" s="5">
        <v>762.08</v>
      </c>
    </row>
    <row r="6234" spans="1:7" x14ac:dyDescent="0.2">
      <c r="A6234" s="3">
        <v>240</v>
      </c>
      <c r="B6234" s="2">
        <v>182899.20000000001</v>
      </c>
      <c r="C6234" s="38">
        <v>44748</v>
      </c>
      <c r="D6234" s="1" t="s">
        <v>265</v>
      </c>
      <c r="E6234" s="1" t="s">
        <v>33</v>
      </c>
      <c r="F6234" s="1" t="s">
        <v>209</v>
      </c>
      <c r="G6234" s="5">
        <v>762.08</v>
      </c>
    </row>
    <row r="6235" spans="1:7" x14ac:dyDescent="0.2">
      <c r="A6235" s="3">
        <v>60</v>
      </c>
      <c r="B6235" s="2">
        <v>45724.800000000003</v>
      </c>
      <c r="C6235" s="38">
        <v>44748</v>
      </c>
      <c r="D6235" s="1" t="s">
        <v>265</v>
      </c>
      <c r="E6235" s="1" t="s">
        <v>33</v>
      </c>
      <c r="F6235" s="1" t="s">
        <v>209</v>
      </c>
      <c r="G6235" s="5">
        <v>762.08</v>
      </c>
    </row>
    <row r="6236" spans="1:7" x14ac:dyDescent="0.2">
      <c r="A6236" s="3">
        <v>2000</v>
      </c>
      <c r="B6236" s="2">
        <v>3660</v>
      </c>
      <c r="C6236" s="38">
        <v>44852</v>
      </c>
      <c r="D6236" s="1" t="s">
        <v>238</v>
      </c>
      <c r="E6236" s="1" t="s">
        <v>33</v>
      </c>
      <c r="F6236" s="1" t="s">
        <v>209</v>
      </c>
      <c r="G6236" s="5">
        <v>1.83</v>
      </c>
    </row>
    <row r="6237" spans="1:7" x14ac:dyDescent="0.2">
      <c r="A6237" s="3">
        <v>252</v>
      </c>
      <c r="B6237" s="2">
        <v>19056.240000000002</v>
      </c>
      <c r="C6237" s="38">
        <v>44852</v>
      </c>
      <c r="D6237" s="1" t="s">
        <v>243</v>
      </c>
      <c r="E6237" s="1" t="s">
        <v>33</v>
      </c>
      <c r="F6237" s="1" t="s">
        <v>209</v>
      </c>
      <c r="G6237" s="5">
        <v>75.62</v>
      </c>
    </row>
    <row r="6238" spans="1:7" x14ac:dyDescent="0.2">
      <c r="A6238" s="3">
        <v>252</v>
      </c>
      <c r="B6238" s="2">
        <v>19056.240000000002</v>
      </c>
      <c r="C6238" s="38">
        <v>44852</v>
      </c>
      <c r="D6238" s="1" t="s">
        <v>243</v>
      </c>
      <c r="E6238" s="1" t="s">
        <v>33</v>
      </c>
      <c r="F6238" s="1" t="s">
        <v>209</v>
      </c>
      <c r="G6238" s="5">
        <v>75.62</v>
      </c>
    </row>
    <row r="6239" spans="1:7" x14ac:dyDescent="0.2">
      <c r="A6239" s="3">
        <v>252</v>
      </c>
      <c r="B6239" s="2">
        <v>19056.240000000002</v>
      </c>
      <c r="C6239" s="38">
        <v>44852</v>
      </c>
      <c r="D6239" s="1" t="s">
        <v>243</v>
      </c>
      <c r="E6239" s="1" t="s">
        <v>33</v>
      </c>
      <c r="F6239" s="1" t="s">
        <v>209</v>
      </c>
      <c r="G6239" s="5">
        <v>75.62</v>
      </c>
    </row>
    <row r="6240" spans="1:7" x14ac:dyDescent="0.2">
      <c r="A6240" s="3">
        <v>180</v>
      </c>
      <c r="B6240" s="2">
        <v>79297.2</v>
      </c>
      <c r="C6240" s="38">
        <v>44852</v>
      </c>
      <c r="D6240" s="1" t="s">
        <v>248</v>
      </c>
      <c r="E6240" s="1" t="s">
        <v>33</v>
      </c>
      <c r="F6240" s="1" t="s">
        <v>209</v>
      </c>
      <c r="G6240" s="5">
        <v>440.54</v>
      </c>
    </row>
    <row r="6241" spans="1:7" x14ac:dyDescent="0.2">
      <c r="A6241" s="3">
        <v>210</v>
      </c>
      <c r="B6241" s="2">
        <v>92513.4</v>
      </c>
      <c r="C6241" s="38">
        <v>44852</v>
      </c>
      <c r="D6241" s="1" t="s">
        <v>248</v>
      </c>
      <c r="E6241" s="1" t="s">
        <v>33</v>
      </c>
      <c r="F6241" s="1" t="s">
        <v>209</v>
      </c>
      <c r="G6241" s="5">
        <v>440.54</v>
      </c>
    </row>
    <row r="6242" spans="1:7" x14ac:dyDescent="0.2">
      <c r="A6242" s="3">
        <v>720</v>
      </c>
      <c r="B6242" s="2">
        <v>317188.8</v>
      </c>
      <c r="C6242" s="38">
        <v>44852</v>
      </c>
      <c r="D6242" s="1" t="s">
        <v>248</v>
      </c>
      <c r="E6242" s="1" t="s">
        <v>33</v>
      </c>
      <c r="F6242" s="1" t="s">
        <v>209</v>
      </c>
      <c r="G6242" s="5">
        <v>440.54</v>
      </c>
    </row>
    <row r="6243" spans="1:7" x14ac:dyDescent="0.2">
      <c r="A6243" s="3">
        <v>90</v>
      </c>
      <c r="B6243" s="2">
        <v>39648.6</v>
      </c>
      <c r="C6243" s="38">
        <v>44852</v>
      </c>
      <c r="D6243" s="1" t="s">
        <v>248</v>
      </c>
      <c r="E6243" s="1" t="s">
        <v>33</v>
      </c>
      <c r="F6243" s="1" t="s">
        <v>209</v>
      </c>
      <c r="G6243" s="5">
        <v>440.54</v>
      </c>
    </row>
    <row r="6244" spans="1:7" x14ac:dyDescent="0.2">
      <c r="A6244" s="3">
        <v>1820</v>
      </c>
      <c r="B6244" s="2">
        <v>4313.3999999999996</v>
      </c>
      <c r="C6244" s="38">
        <v>44852</v>
      </c>
      <c r="D6244" s="1" t="s">
        <v>250</v>
      </c>
      <c r="E6244" s="1" t="s">
        <v>33</v>
      </c>
      <c r="F6244" s="1" t="s">
        <v>209</v>
      </c>
      <c r="G6244" s="5">
        <v>2.37</v>
      </c>
    </row>
    <row r="6245" spans="1:7" x14ac:dyDescent="0.2">
      <c r="A6245" s="3">
        <v>210</v>
      </c>
      <c r="B6245" s="2">
        <v>82263.3</v>
      </c>
      <c r="C6245" s="38">
        <v>44852</v>
      </c>
      <c r="D6245" s="1" t="s">
        <v>254</v>
      </c>
      <c r="E6245" s="1" t="s">
        <v>33</v>
      </c>
      <c r="F6245" s="1" t="s">
        <v>209</v>
      </c>
      <c r="G6245" s="5">
        <v>391.73</v>
      </c>
    </row>
    <row r="6246" spans="1:7" x14ac:dyDescent="0.2">
      <c r="A6246" s="3">
        <v>1500</v>
      </c>
      <c r="B6246" s="2">
        <v>1860</v>
      </c>
      <c r="C6246" s="38">
        <v>44852</v>
      </c>
      <c r="D6246" s="1" t="s">
        <v>262</v>
      </c>
      <c r="E6246" s="1" t="s">
        <v>33</v>
      </c>
      <c r="F6246" s="1" t="s">
        <v>209</v>
      </c>
      <c r="G6246" s="5">
        <v>1.24</v>
      </c>
    </row>
    <row r="6247" spans="1:7" x14ac:dyDescent="0.2">
      <c r="A6247" s="3">
        <v>437</v>
      </c>
      <c r="B6247" s="2">
        <v>28938.14</v>
      </c>
      <c r="C6247" s="38">
        <v>44852</v>
      </c>
      <c r="D6247" s="1" t="s">
        <v>301</v>
      </c>
      <c r="E6247" s="1" t="s">
        <v>33</v>
      </c>
      <c r="F6247" s="1" t="s">
        <v>209</v>
      </c>
      <c r="G6247" s="5">
        <v>66.22</v>
      </c>
    </row>
    <row r="6248" spans="1:7" x14ac:dyDescent="0.2">
      <c r="A6248" s="3">
        <v>324</v>
      </c>
      <c r="B6248" s="2">
        <v>21455.279999999999</v>
      </c>
      <c r="C6248" s="38">
        <v>44852</v>
      </c>
      <c r="D6248" s="1" t="s">
        <v>301</v>
      </c>
      <c r="E6248" s="1" t="s">
        <v>33</v>
      </c>
      <c r="F6248" s="1" t="s">
        <v>209</v>
      </c>
      <c r="G6248" s="5">
        <v>66.22</v>
      </c>
    </row>
    <row r="6249" spans="1:7" x14ac:dyDescent="0.2">
      <c r="A6249" s="3">
        <v>2000</v>
      </c>
      <c r="B6249" s="2">
        <v>3660</v>
      </c>
      <c r="C6249" s="38">
        <v>44911</v>
      </c>
      <c r="D6249" s="1" t="s">
        <v>238</v>
      </c>
      <c r="E6249" s="1" t="s">
        <v>33</v>
      </c>
      <c r="F6249" s="1" t="s">
        <v>209</v>
      </c>
      <c r="G6249" s="5">
        <v>1.83</v>
      </c>
    </row>
    <row r="6250" spans="1:7" x14ac:dyDescent="0.2">
      <c r="A6250" s="3">
        <v>1820</v>
      </c>
      <c r="B6250" s="2">
        <v>1619.8</v>
      </c>
      <c r="C6250" s="38">
        <v>44911</v>
      </c>
      <c r="D6250" s="1" t="s">
        <v>343</v>
      </c>
      <c r="E6250" s="1" t="s">
        <v>33</v>
      </c>
      <c r="F6250" s="1" t="s">
        <v>209</v>
      </c>
      <c r="G6250" s="5">
        <v>0.89</v>
      </c>
    </row>
    <row r="6251" spans="1:7" x14ac:dyDescent="0.2">
      <c r="A6251" s="3">
        <v>210</v>
      </c>
      <c r="B6251" s="2">
        <v>85386</v>
      </c>
      <c r="C6251" s="38">
        <v>44911</v>
      </c>
      <c r="D6251" s="1" t="s">
        <v>255</v>
      </c>
      <c r="E6251" s="1" t="s">
        <v>33</v>
      </c>
      <c r="F6251" s="1" t="s">
        <v>209</v>
      </c>
      <c r="G6251" s="5">
        <v>406.6</v>
      </c>
    </row>
    <row r="6252" spans="1:7" x14ac:dyDescent="0.2">
      <c r="A6252" s="3">
        <v>70</v>
      </c>
      <c r="B6252" s="2">
        <v>28462</v>
      </c>
      <c r="C6252" s="38">
        <v>44911</v>
      </c>
      <c r="D6252" s="1" t="s">
        <v>255</v>
      </c>
      <c r="E6252" s="1" t="s">
        <v>33</v>
      </c>
      <c r="F6252" s="1" t="s">
        <v>209</v>
      </c>
      <c r="G6252" s="5">
        <v>406.6</v>
      </c>
    </row>
    <row r="6253" spans="1:7" x14ac:dyDescent="0.2">
      <c r="A6253" s="3">
        <v>140</v>
      </c>
      <c r="B6253" s="2">
        <v>56924</v>
      </c>
      <c r="C6253" s="38">
        <v>44911</v>
      </c>
      <c r="D6253" s="1" t="s">
        <v>255</v>
      </c>
      <c r="E6253" s="1" t="s">
        <v>33</v>
      </c>
      <c r="F6253" s="1" t="s">
        <v>209</v>
      </c>
      <c r="G6253" s="5">
        <v>406.6</v>
      </c>
    </row>
    <row r="6254" spans="1:7" x14ac:dyDescent="0.2">
      <c r="A6254" s="3">
        <v>2000</v>
      </c>
      <c r="B6254" s="2">
        <v>3660</v>
      </c>
      <c r="C6254" s="38">
        <v>44796</v>
      </c>
      <c r="D6254" s="1" t="s">
        <v>238</v>
      </c>
      <c r="E6254" s="1" t="s">
        <v>33</v>
      </c>
      <c r="F6254" s="1" t="s">
        <v>209</v>
      </c>
      <c r="G6254" s="5">
        <v>1.83</v>
      </c>
    </row>
    <row r="6255" spans="1:7" x14ac:dyDescent="0.2">
      <c r="A6255" s="3">
        <v>4</v>
      </c>
      <c r="B6255" s="2">
        <v>7140.36</v>
      </c>
      <c r="C6255" s="38">
        <v>44796</v>
      </c>
      <c r="D6255" s="1" t="s">
        <v>302</v>
      </c>
      <c r="E6255" s="1" t="s">
        <v>33</v>
      </c>
      <c r="F6255" s="1" t="s">
        <v>209</v>
      </c>
      <c r="G6255" s="5">
        <v>1785.09</v>
      </c>
    </row>
    <row r="6256" spans="1:7" x14ac:dyDescent="0.2">
      <c r="A6256" s="3">
        <v>65</v>
      </c>
      <c r="B6256" s="2">
        <v>116030.85</v>
      </c>
      <c r="C6256" s="38">
        <v>44796</v>
      </c>
      <c r="D6256" s="1" t="s">
        <v>302</v>
      </c>
      <c r="E6256" s="1" t="s">
        <v>33</v>
      </c>
      <c r="F6256" s="1" t="s">
        <v>209</v>
      </c>
      <c r="G6256" s="5">
        <v>1785.09</v>
      </c>
    </row>
    <row r="6257" spans="1:7" x14ac:dyDescent="0.2">
      <c r="A6257" s="3">
        <v>65</v>
      </c>
      <c r="B6257" s="2">
        <v>116030.85</v>
      </c>
      <c r="C6257" s="38">
        <v>44796</v>
      </c>
      <c r="D6257" s="1" t="s">
        <v>302</v>
      </c>
      <c r="E6257" s="1" t="s">
        <v>33</v>
      </c>
      <c r="F6257" s="1" t="s">
        <v>209</v>
      </c>
      <c r="G6257" s="5">
        <v>1785.09</v>
      </c>
    </row>
    <row r="6258" spans="1:7" x14ac:dyDescent="0.2">
      <c r="A6258" s="3">
        <v>16</v>
      </c>
      <c r="B6258" s="2">
        <v>28561.439999999999</v>
      </c>
      <c r="C6258" s="38">
        <v>44796</v>
      </c>
      <c r="D6258" s="1" t="s">
        <v>302</v>
      </c>
      <c r="E6258" s="1" t="s">
        <v>33</v>
      </c>
      <c r="F6258" s="1" t="s">
        <v>209</v>
      </c>
      <c r="G6258" s="5">
        <v>1785.09</v>
      </c>
    </row>
    <row r="6259" spans="1:7" x14ac:dyDescent="0.2">
      <c r="A6259" s="3">
        <v>42</v>
      </c>
      <c r="B6259" s="2">
        <v>74973.78</v>
      </c>
      <c r="C6259" s="38">
        <v>44796</v>
      </c>
      <c r="D6259" s="1" t="s">
        <v>302</v>
      </c>
      <c r="E6259" s="1" t="s">
        <v>33</v>
      </c>
      <c r="F6259" s="1" t="s">
        <v>209</v>
      </c>
      <c r="G6259" s="5">
        <v>1785.09</v>
      </c>
    </row>
    <row r="6260" spans="1:7" x14ac:dyDescent="0.2">
      <c r="A6260" s="3">
        <v>48</v>
      </c>
      <c r="B6260" s="2">
        <v>85684.32</v>
      </c>
      <c r="C6260" s="38">
        <v>44796</v>
      </c>
      <c r="D6260" s="1" t="s">
        <v>302</v>
      </c>
      <c r="E6260" s="1" t="s">
        <v>33</v>
      </c>
      <c r="F6260" s="1" t="s">
        <v>209</v>
      </c>
      <c r="G6260" s="5">
        <v>1785.09</v>
      </c>
    </row>
    <row r="6261" spans="1:7" x14ac:dyDescent="0.2">
      <c r="A6261" s="3">
        <v>48</v>
      </c>
      <c r="B6261" s="2">
        <v>85684.32</v>
      </c>
      <c r="C6261" s="38">
        <v>44796</v>
      </c>
      <c r="D6261" s="1" t="s">
        <v>302</v>
      </c>
      <c r="E6261" s="1" t="s">
        <v>33</v>
      </c>
      <c r="F6261" s="1" t="s">
        <v>209</v>
      </c>
      <c r="G6261" s="5">
        <v>1785.09</v>
      </c>
    </row>
    <row r="6262" spans="1:7" x14ac:dyDescent="0.2">
      <c r="A6262" s="3">
        <v>22</v>
      </c>
      <c r="B6262" s="2">
        <v>39271.980000000003</v>
      </c>
      <c r="C6262" s="38">
        <v>44796</v>
      </c>
      <c r="D6262" s="1" t="s">
        <v>302</v>
      </c>
      <c r="E6262" s="1" t="s">
        <v>33</v>
      </c>
      <c r="F6262" s="1" t="s">
        <v>209</v>
      </c>
      <c r="G6262" s="5">
        <v>1785.09</v>
      </c>
    </row>
    <row r="6263" spans="1:7" x14ac:dyDescent="0.2">
      <c r="A6263" s="3">
        <v>180</v>
      </c>
      <c r="B6263" s="2">
        <v>79297.2</v>
      </c>
      <c r="C6263" s="38">
        <v>44755</v>
      </c>
      <c r="D6263" s="1" t="s">
        <v>248</v>
      </c>
      <c r="E6263" s="1" t="s">
        <v>33</v>
      </c>
      <c r="F6263" s="1" t="s">
        <v>209</v>
      </c>
      <c r="G6263" s="5">
        <v>440.54</v>
      </c>
    </row>
    <row r="6264" spans="1:7" x14ac:dyDescent="0.2">
      <c r="A6264" s="3">
        <v>30</v>
      </c>
      <c r="B6264" s="2">
        <v>13216.2</v>
      </c>
      <c r="C6264" s="38">
        <v>44755</v>
      </c>
      <c r="D6264" s="1" t="s">
        <v>248</v>
      </c>
      <c r="E6264" s="1" t="s">
        <v>33</v>
      </c>
      <c r="F6264" s="1" t="s">
        <v>209</v>
      </c>
      <c r="G6264" s="5">
        <v>440.54</v>
      </c>
    </row>
    <row r="6265" spans="1:7" x14ac:dyDescent="0.2">
      <c r="A6265" s="3">
        <v>210</v>
      </c>
      <c r="B6265" s="2">
        <v>92513.4</v>
      </c>
      <c r="C6265" s="38">
        <v>44755</v>
      </c>
      <c r="D6265" s="1" t="s">
        <v>248</v>
      </c>
      <c r="E6265" s="1" t="s">
        <v>33</v>
      </c>
      <c r="F6265" s="1" t="s">
        <v>209</v>
      </c>
      <c r="G6265" s="5">
        <v>440.54</v>
      </c>
    </row>
    <row r="6266" spans="1:7" x14ac:dyDescent="0.2">
      <c r="A6266" s="3">
        <v>60</v>
      </c>
      <c r="B6266" s="2">
        <v>45724.800000000003</v>
      </c>
      <c r="C6266" s="38">
        <v>44755</v>
      </c>
      <c r="D6266" s="1" t="s">
        <v>265</v>
      </c>
      <c r="E6266" s="1" t="s">
        <v>33</v>
      </c>
      <c r="F6266" s="1" t="s">
        <v>209</v>
      </c>
      <c r="G6266" s="5">
        <v>762.08</v>
      </c>
    </row>
    <row r="6267" spans="1:7" x14ac:dyDescent="0.2">
      <c r="A6267" s="3">
        <v>208</v>
      </c>
      <c r="B6267" s="2">
        <v>371298.72</v>
      </c>
      <c r="C6267" s="38">
        <v>44796</v>
      </c>
      <c r="D6267" s="1" t="s">
        <v>302</v>
      </c>
      <c r="E6267" s="1" t="s">
        <v>33</v>
      </c>
      <c r="F6267" s="1" t="s">
        <v>209</v>
      </c>
      <c r="G6267" s="5">
        <v>1785.09</v>
      </c>
    </row>
    <row r="6268" spans="1:7" x14ac:dyDescent="0.2">
      <c r="A6268" s="3">
        <v>58</v>
      </c>
      <c r="B6268" s="2">
        <v>103535.22</v>
      </c>
      <c r="C6268" s="38">
        <v>44796</v>
      </c>
      <c r="D6268" s="1" t="s">
        <v>302</v>
      </c>
      <c r="E6268" s="1" t="s">
        <v>33</v>
      </c>
      <c r="F6268" s="1" t="s">
        <v>209</v>
      </c>
      <c r="G6268" s="5">
        <v>1785.09</v>
      </c>
    </row>
    <row r="6269" spans="1:7" x14ac:dyDescent="0.2">
      <c r="A6269" s="3">
        <v>120</v>
      </c>
      <c r="B6269" s="2">
        <v>51024</v>
      </c>
      <c r="C6269" s="38">
        <v>44915</v>
      </c>
      <c r="D6269" s="1" t="s">
        <v>240</v>
      </c>
      <c r="E6269" s="1" t="s">
        <v>33</v>
      </c>
      <c r="F6269" s="1" t="s">
        <v>209</v>
      </c>
      <c r="G6269" s="5">
        <v>425.2</v>
      </c>
    </row>
    <row r="6270" spans="1:7" x14ac:dyDescent="0.2">
      <c r="A6270" s="3">
        <v>216</v>
      </c>
      <c r="B6270" s="2">
        <v>23392.799999999999</v>
      </c>
      <c r="C6270" s="38">
        <v>44923</v>
      </c>
      <c r="D6270" s="1" t="s">
        <v>237</v>
      </c>
      <c r="E6270" s="1" t="s">
        <v>33</v>
      </c>
      <c r="F6270" s="1" t="s">
        <v>209</v>
      </c>
      <c r="G6270" s="5">
        <v>108.3</v>
      </c>
    </row>
    <row r="6271" spans="1:7" x14ac:dyDescent="0.2">
      <c r="A6271" s="3">
        <v>80</v>
      </c>
      <c r="B6271" s="2">
        <v>34016</v>
      </c>
      <c r="C6271" s="38">
        <v>44923</v>
      </c>
      <c r="D6271" s="1" t="s">
        <v>240</v>
      </c>
      <c r="E6271" s="1" t="s">
        <v>33</v>
      </c>
      <c r="F6271" s="1" t="s">
        <v>209</v>
      </c>
      <c r="G6271" s="5">
        <v>425.2</v>
      </c>
    </row>
    <row r="6272" spans="1:7" x14ac:dyDescent="0.2">
      <c r="A6272" s="3">
        <v>40</v>
      </c>
      <c r="B6272" s="2">
        <v>17008</v>
      </c>
      <c r="C6272" s="38">
        <v>44923</v>
      </c>
      <c r="D6272" s="1" t="s">
        <v>240</v>
      </c>
      <c r="E6272" s="1" t="s">
        <v>33</v>
      </c>
      <c r="F6272" s="1" t="s">
        <v>209</v>
      </c>
      <c r="G6272" s="5">
        <v>425.2</v>
      </c>
    </row>
    <row r="6273" spans="1:7" x14ac:dyDescent="0.2">
      <c r="A6273" s="3">
        <v>120</v>
      </c>
      <c r="B6273" s="2">
        <v>51024</v>
      </c>
      <c r="C6273" s="38">
        <v>44923</v>
      </c>
      <c r="D6273" s="1" t="s">
        <v>240</v>
      </c>
      <c r="E6273" s="1" t="s">
        <v>33</v>
      </c>
      <c r="F6273" s="1" t="s">
        <v>209</v>
      </c>
      <c r="G6273" s="5">
        <v>425.2</v>
      </c>
    </row>
    <row r="6274" spans="1:7" x14ac:dyDescent="0.2">
      <c r="A6274" s="3">
        <v>240</v>
      </c>
      <c r="B6274" s="2">
        <v>102048</v>
      </c>
      <c r="C6274" s="38">
        <v>44923</v>
      </c>
      <c r="D6274" s="1" t="s">
        <v>240</v>
      </c>
      <c r="E6274" s="1" t="s">
        <v>33</v>
      </c>
      <c r="F6274" s="1" t="s">
        <v>209</v>
      </c>
      <c r="G6274" s="5">
        <v>425.2</v>
      </c>
    </row>
    <row r="6275" spans="1:7" x14ac:dyDescent="0.2">
      <c r="A6275" s="3">
        <v>30</v>
      </c>
      <c r="B6275" s="2">
        <v>25814.400000000001</v>
      </c>
      <c r="C6275" s="38">
        <v>44923</v>
      </c>
      <c r="D6275" s="1" t="s">
        <v>267</v>
      </c>
      <c r="E6275" s="1" t="s">
        <v>33</v>
      </c>
      <c r="F6275" s="1" t="s">
        <v>209</v>
      </c>
      <c r="G6275" s="5">
        <v>860.48</v>
      </c>
    </row>
    <row r="6276" spans="1:7" x14ac:dyDescent="0.2">
      <c r="A6276" s="3">
        <v>135</v>
      </c>
      <c r="B6276" s="2">
        <v>116164.8</v>
      </c>
      <c r="C6276" s="38">
        <v>44923</v>
      </c>
      <c r="D6276" s="1" t="s">
        <v>267</v>
      </c>
      <c r="E6276" s="1" t="s">
        <v>33</v>
      </c>
      <c r="F6276" s="1" t="s">
        <v>209</v>
      </c>
      <c r="G6276" s="5">
        <v>860.48</v>
      </c>
    </row>
    <row r="6277" spans="1:7" x14ac:dyDescent="0.2">
      <c r="A6277" s="3">
        <v>150</v>
      </c>
      <c r="B6277" s="2">
        <v>129072</v>
      </c>
      <c r="C6277" s="38">
        <v>44923</v>
      </c>
      <c r="D6277" s="1" t="s">
        <v>267</v>
      </c>
      <c r="E6277" s="1" t="s">
        <v>33</v>
      </c>
      <c r="F6277" s="1" t="s">
        <v>209</v>
      </c>
      <c r="G6277" s="5">
        <v>860.48</v>
      </c>
    </row>
    <row r="6278" spans="1:7" x14ac:dyDescent="0.2">
      <c r="A6278" s="3">
        <v>180</v>
      </c>
      <c r="B6278" s="2">
        <v>79297.2</v>
      </c>
      <c r="C6278" s="38">
        <v>44761</v>
      </c>
      <c r="D6278" s="1" t="s">
        <v>248</v>
      </c>
      <c r="E6278" s="1" t="s">
        <v>33</v>
      </c>
      <c r="F6278" s="1" t="s">
        <v>209</v>
      </c>
      <c r="G6278" s="5">
        <v>440.54</v>
      </c>
    </row>
    <row r="6279" spans="1:7" x14ac:dyDescent="0.2">
      <c r="A6279" s="3">
        <v>510</v>
      </c>
      <c r="B6279" s="2">
        <v>224675.4</v>
      </c>
      <c r="C6279" s="38">
        <v>44761</v>
      </c>
      <c r="D6279" s="1" t="s">
        <v>248</v>
      </c>
      <c r="E6279" s="1" t="s">
        <v>33</v>
      </c>
      <c r="F6279" s="1" t="s">
        <v>209</v>
      </c>
      <c r="G6279" s="5">
        <v>440.54</v>
      </c>
    </row>
    <row r="6280" spans="1:7" x14ac:dyDescent="0.2">
      <c r="A6280" s="3">
        <v>192</v>
      </c>
      <c r="B6280" s="2">
        <v>342737.28</v>
      </c>
      <c r="C6280" s="38">
        <v>44806</v>
      </c>
      <c r="D6280" s="1" t="s">
        <v>302</v>
      </c>
      <c r="E6280" s="1" t="s">
        <v>33</v>
      </c>
      <c r="F6280" s="1" t="s">
        <v>209</v>
      </c>
      <c r="G6280" s="5">
        <v>1785.09</v>
      </c>
    </row>
    <row r="6281" spans="1:7" x14ac:dyDescent="0.2">
      <c r="A6281" s="3">
        <v>140</v>
      </c>
      <c r="B6281" s="2">
        <v>79576</v>
      </c>
      <c r="C6281" s="38">
        <v>44859</v>
      </c>
      <c r="D6281" s="1" t="s">
        <v>346</v>
      </c>
      <c r="E6281" s="1" t="s">
        <v>33</v>
      </c>
      <c r="F6281" s="1" t="s">
        <v>209</v>
      </c>
      <c r="G6281" s="5">
        <v>568.4</v>
      </c>
    </row>
    <row r="6282" spans="1:7" x14ac:dyDescent="0.2">
      <c r="A6282" s="3">
        <v>70</v>
      </c>
      <c r="B6282" s="2">
        <v>38312.400000000001</v>
      </c>
      <c r="C6282" s="38">
        <v>44859</v>
      </c>
      <c r="D6282" s="1" t="s">
        <v>362</v>
      </c>
      <c r="E6282" s="1" t="s">
        <v>33</v>
      </c>
      <c r="F6282" s="1" t="s">
        <v>209</v>
      </c>
      <c r="G6282" s="5">
        <v>547.32000000000005</v>
      </c>
    </row>
    <row r="6283" spans="1:7" x14ac:dyDescent="0.2">
      <c r="A6283" s="3">
        <v>180</v>
      </c>
      <c r="B6283" s="2">
        <v>79297.2</v>
      </c>
      <c r="C6283" s="38">
        <v>44859</v>
      </c>
      <c r="D6283" s="1" t="s">
        <v>248</v>
      </c>
      <c r="E6283" s="1" t="s">
        <v>33</v>
      </c>
      <c r="F6283" s="1" t="s">
        <v>209</v>
      </c>
      <c r="G6283" s="5">
        <v>440.54</v>
      </c>
    </row>
    <row r="6284" spans="1:7" x14ac:dyDescent="0.2">
      <c r="A6284" s="3">
        <v>192</v>
      </c>
      <c r="B6284" s="2">
        <v>37704.959999999999</v>
      </c>
      <c r="C6284" s="38">
        <v>44859</v>
      </c>
      <c r="D6284" s="1" t="s">
        <v>297</v>
      </c>
      <c r="E6284" s="1" t="s">
        <v>33</v>
      </c>
      <c r="F6284" s="1" t="s">
        <v>209</v>
      </c>
      <c r="G6284" s="5">
        <v>196.38</v>
      </c>
    </row>
    <row r="6285" spans="1:7" x14ac:dyDescent="0.2">
      <c r="A6285" s="3">
        <v>2370</v>
      </c>
      <c r="B6285" s="2">
        <v>293785.2</v>
      </c>
      <c r="C6285" s="38">
        <v>44859</v>
      </c>
      <c r="D6285" s="1" t="s">
        <v>351</v>
      </c>
      <c r="E6285" s="1" t="s">
        <v>33</v>
      </c>
      <c r="F6285" s="1" t="s">
        <v>209</v>
      </c>
      <c r="G6285" s="5">
        <v>123.96</v>
      </c>
    </row>
    <row r="6286" spans="1:7" x14ac:dyDescent="0.2">
      <c r="A6286" s="3">
        <v>65</v>
      </c>
      <c r="B6286" s="2">
        <v>116030.85</v>
      </c>
      <c r="C6286" s="38">
        <v>44859</v>
      </c>
      <c r="D6286" s="1" t="s">
        <v>302</v>
      </c>
      <c r="E6286" s="1" t="s">
        <v>33</v>
      </c>
      <c r="F6286" s="1" t="s">
        <v>209</v>
      </c>
      <c r="G6286" s="5">
        <v>1785.09</v>
      </c>
    </row>
    <row r="6287" spans="1:7" x14ac:dyDescent="0.2">
      <c r="A6287" s="3">
        <v>7</v>
      </c>
      <c r="B6287" s="2">
        <v>12495.63</v>
      </c>
      <c r="C6287" s="38">
        <v>44859</v>
      </c>
      <c r="D6287" s="1" t="s">
        <v>302</v>
      </c>
      <c r="E6287" s="1" t="s">
        <v>33</v>
      </c>
      <c r="F6287" s="1" t="s">
        <v>209</v>
      </c>
      <c r="G6287" s="5">
        <v>1785.09</v>
      </c>
    </row>
    <row r="6288" spans="1:7" x14ac:dyDescent="0.2">
      <c r="A6288" s="3">
        <v>40</v>
      </c>
      <c r="B6288" s="2">
        <v>71403.600000000006</v>
      </c>
      <c r="C6288" s="38">
        <v>44859</v>
      </c>
      <c r="D6288" s="1" t="s">
        <v>302</v>
      </c>
      <c r="E6288" s="1" t="s">
        <v>33</v>
      </c>
      <c r="F6288" s="1" t="s">
        <v>209</v>
      </c>
      <c r="G6288" s="5">
        <v>1785.09</v>
      </c>
    </row>
    <row r="6289" spans="1:7" x14ac:dyDescent="0.2">
      <c r="A6289" s="3">
        <v>120</v>
      </c>
      <c r="B6289" s="2">
        <v>51024</v>
      </c>
      <c r="C6289" s="38">
        <v>44862</v>
      </c>
      <c r="D6289" s="1" t="s">
        <v>240</v>
      </c>
      <c r="E6289" s="1" t="s">
        <v>33</v>
      </c>
      <c r="F6289" s="1" t="s">
        <v>209</v>
      </c>
      <c r="G6289" s="5">
        <v>425.2</v>
      </c>
    </row>
    <row r="6290" spans="1:7" x14ac:dyDescent="0.2">
      <c r="A6290" s="3">
        <v>1050</v>
      </c>
      <c r="B6290" s="2">
        <v>462567</v>
      </c>
      <c r="C6290" s="38">
        <v>44862</v>
      </c>
      <c r="D6290" s="1" t="s">
        <v>248</v>
      </c>
      <c r="E6290" s="1" t="s">
        <v>33</v>
      </c>
      <c r="F6290" s="1" t="s">
        <v>209</v>
      </c>
      <c r="G6290" s="5">
        <v>440.54</v>
      </c>
    </row>
    <row r="6291" spans="1:7" x14ac:dyDescent="0.2">
      <c r="A6291" s="3">
        <v>660</v>
      </c>
      <c r="B6291" s="2">
        <v>290756.40000000002</v>
      </c>
      <c r="C6291" s="38">
        <v>44862</v>
      </c>
      <c r="D6291" s="1" t="s">
        <v>248</v>
      </c>
      <c r="E6291" s="1" t="s">
        <v>33</v>
      </c>
      <c r="F6291" s="1" t="s">
        <v>209</v>
      </c>
      <c r="G6291" s="5">
        <v>440.54</v>
      </c>
    </row>
    <row r="6292" spans="1:7" x14ac:dyDescent="0.2">
      <c r="A6292" s="3">
        <v>630</v>
      </c>
      <c r="B6292" s="2">
        <v>277540.2</v>
      </c>
      <c r="C6292" s="38">
        <v>44862</v>
      </c>
      <c r="D6292" s="1" t="s">
        <v>248</v>
      </c>
      <c r="E6292" s="1" t="s">
        <v>33</v>
      </c>
      <c r="F6292" s="1" t="s">
        <v>209</v>
      </c>
      <c r="G6292" s="5">
        <v>440.54</v>
      </c>
    </row>
    <row r="6293" spans="1:7" x14ac:dyDescent="0.2">
      <c r="A6293" s="3">
        <v>210</v>
      </c>
      <c r="B6293" s="2">
        <v>92513.4</v>
      </c>
      <c r="C6293" s="38">
        <v>44862</v>
      </c>
      <c r="D6293" s="1" t="s">
        <v>248</v>
      </c>
      <c r="E6293" s="1" t="s">
        <v>33</v>
      </c>
      <c r="F6293" s="1" t="s">
        <v>209</v>
      </c>
      <c r="G6293" s="5">
        <v>440.54</v>
      </c>
    </row>
    <row r="6294" spans="1:7" x14ac:dyDescent="0.2">
      <c r="A6294" s="3">
        <v>115</v>
      </c>
      <c r="B6294" s="2">
        <v>14255.4</v>
      </c>
      <c r="C6294" s="38">
        <v>44862</v>
      </c>
      <c r="D6294" s="1" t="s">
        <v>351</v>
      </c>
      <c r="E6294" s="1" t="s">
        <v>33</v>
      </c>
      <c r="F6294" s="1" t="s">
        <v>209</v>
      </c>
      <c r="G6294" s="5">
        <v>123.96</v>
      </c>
    </row>
    <row r="6295" spans="1:7" x14ac:dyDescent="0.2">
      <c r="A6295" s="3">
        <v>630</v>
      </c>
      <c r="B6295" s="2">
        <v>78094.8</v>
      </c>
      <c r="C6295" s="38">
        <v>44862</v>
      </c>
      <c r="D6295" s="1" t="s">
        <v>351</v>
      </c>
      <c r="E6295" s="1" t="s">
        <v>33</v>
      </c>
      <c r="F6295" s="1" t="s">
        <v>209</v>
      </c>
      <c r="G6295" s="5">
        <v>123.96</v>
      </c>
    </row>
    <row r="6296" spans="1:7" x14ac:dyDescent="0.2">
      <c r="A6296" s="3">
        <v>317</v>
      </c>
      <c r="B6296" s="2">
        <v>20991.74</v>
      </c>
      <c r="C6296" s="38">
        <v>44862</v>
      </c>
      <c r="D6296" s="1" t="s">
        <v>301</v>
      </c>
      <c r="E6296" s="1" t="s">
        <v>33</v>
      </c>
      <c r="F6296" s="1" t="s">
        <v>209</v>
      </c>
      <c r="G6296" s="5">
        <v>66.22</v>
      </c>
    </row>
    <row r="6297" spans="1:7" x14ac:dyDescent="0.2">
      <c r="A6297" s="3">
        <v>108</v>
      </c>
      <c r="B6297" s="2">
        <v>11654.28</v>
      </c>
      <c r="C6297" s="38">
        <v>45044</v>
      </c>
      <c r="D6297" s="1" t="s">
        <v>237</v>
      </c>
      <c r="E6297" s="1" t="s">
        <v>33</v>
      </c>
      <c r="F6297" s="1" t="s">
        <v>209</v>
      </c>
      <c r="G6297" s="5">
        <v>107.91</v>
      </c>
    </row>
    <row r="6298" spans="1:7" x14ac:dyDescent="0.2">
      <c r="A6298" s="3">
        <v>324</v>
      </c>
      <c r="B6298" s="2">
        <v>34962.839999999997</v>
      </c>
      <c r="C6298" s="38">
        <v>45044</v>
      </c>
      <c r="D6298" s="1" t="s">
        <v>237</v>
      </c>
      <c r="E6298" s="1" t="s">
        <v>33</v>
      </c>
      <c r="F6298" s="1" t="s">
        <v>209</v>
      </c>
      <c r="G6298" s="5">
        <v>107.91</v>
      </c>
    </row>
    <row r="6299" spans="1:7" x14ac:dyDescent="0.2">
      <c r="A6299" s="3">
        <v>648</v>
      </c>
      <c r="B6299" s="2">
        <v>69925.679999999993</v>
      </c>
      <c r="C6299" s="38">
        <v>45044</v>
      </c>
      <c r="D6299" s="1" t="s">
        <v>237</v>
      </c>
      <c r="E6299" s="1" t="s">
        <v>33</v>
      </c>
      <c r="F6299" s="1" t="s">
        <v>209</v>
      </c>
      <c r="G6299" s="5">
        <v>107.91</v>
      </c>
    </row>
    <row r="6300" spans="1:7" x14ac:dyDescent="0.2">
      <c r="A6300" s="3">
        <v>216</v>
      </c>
      <c r="B6300" s="2">
        <v>23308.560000000001</v>
      </c>
      <c r="C6300" s="38">
        <v>45044</v>
      </c>
      <c r="D6300" s="1" t="s">
        <v>237</v>
      </c>
      <c r="E6300" s="1" t="s">
        <v>33</v>
      </c>
      <c r="F6300" s="1" t="s">
        <v>209</v>
      </c>
      <c r="G6300" s="5">
        <v>107.91</v>
      </c>
    </row>
    <row r="6301" spans="1:7" x14ac:dyDescent="0.2">
      <c r="A6301" s="3">
        <v>648</v>
      </c>
      <c r="B6301" s="2">
        <v>69925.679999999993</v>
      </c>
      <c r="C6301" s="38">
        <v>45044</v>
      </c>
      <c r="D6301" s="1" t="s">
        <v>237</v>
      </c>
      <c r="E6301" s="1" t="s">
        <v>33</v>
      </c>
      <c r="F6301" s="1" t="s">
        <v>209</v>
      </c>
      <c r="G6301" s="5">
        <v>107.91</v>
      </c>
    </row>
    <row r="6302" spans="1:7" x14ac:dyDescent="0.2">
      <c r="A6302" s="3">
        <v>70</v>
      </c>
      <c r="B6302" s="2">
        <v>41965.7</v>
      </c>
      <c r="C6302" s="38">
        <v>45044</v>
      </c>
      <c r="D6302" s="1" t="s">
        <v>346</v>
      </c>
      <c r="E6302" s="1" t="s">
        <v>33</v>
      </c>
      <c r="F6302" s="1" t="s">
        <v>209</v>
      </c>
      <c r="G6302" s="5">
        <v>599.51</v>
      </c>
    </row>
    <row r="6303" spans="1:7" x14ac:dyDescent="0.2">
      <c r="A6303" s="3">
        <v>1000</v>
      </c>
      <c r="B6303" s="2">
        <v>1830</v>
      </c>
      <c r="C6303" s="38">
        <v>45044</v>
      </c>
      <c r="D6303" s="1" t="s">
        <v>238</v>
      </c>
      <c r="E6303" s="1" t="s">
        <v>33</v>
      </c>
      <c r="F6303" s="1" t="s">
        <v>209</v>
      </c>
      <c r="G6303" s="5">
        <v>1.83</v>
      </c>
    </row>
    <row r="6304" spans="1:7" x14ac:dyDescent="0.2">
      <c r="A6304" s="3">
        <v>38</v>
      </c>
      <c r="B6304" s="2">
        <v>17126.98</v>
      </c>
      <c r="C6304" s="38">
        <v>45044</v>
      </c>
      <c r="D6304" s="1" t="s">
        <v>240</v>
      </c>
      <c r="E6304" s="1" t="s">
        <v>33</v>
      </c>
      <c r="F6304" s="1" t="s">
        <v>209</v>
      </c>
      <c r="G6304" s="5">
        <v>450.71</v>
      </c>
    </row>
    <row r="6305" spans="1:7" x14ac:dyDescent="0.2">
      <c r="A6305" s="3">
        <v>30</v>
      </c>
      <c r="B6305" s="2">
        <v>13168.5</v>
      </c>
      <c r="C6305" s="38">
        <v>45044</v>
      </c>
      <c r="D6305" s="1" t="s">
        <v>248</v>
      </c>
      <c r="E6305" s="1" t="s">
        <v>33</v>
      </c>
      <c r="F6305" s="1" t="s">
        <v>209</v>
      </c>
      <c r="G6305" s="5">
        <v>438.95</v>
      </c>
    </row>
    <row r="6306" spans="1:7" x14ac:dyDescent="0.2">
      <c r="A6306" s="3">
        <v>390</v>
      </c>
      <c r="B6306" s="2">
        <v>171190.5</v>
      </c>
      <c r="C6306" s="38">
        <v>45044</v>
      </c>
      <c r="D6306" s="1" t="s">
        <v>248</v>
      </c>
      <c r="E6306" s="1" t="s">
        <v>33</v>
      </c>
      <c r="F6306" s="1" t="s">
        <v>209</v>
      </c>
      <c r="G6306" s="5">
        <v>438.95</v>
      </c>
    </row>
    <row r="6307" spans="1:7" x14ac:dyDescent="0.2">
      <c r="A6307" s="3">
        <v>30</v>
      </c>
      <c r="B6307" s="2">
        <v>13168.5</v>
      </c>
      <c r="C6307" s="38">
        <v>45044</v>
      </c>
      <c r="D6307" s="1" t="s">
        <v>248</v>
      </c>
      <c r="E6307" s="1" t="s">
        <v>33</v>
      </c>
      <c r="F6307" s="1" t="s">
        <v>209</v>
      </c>
      <c r="G6307" s="5">
        <v>438.95</v>
      </c>
    </row>
    <row r="6308" spans="1:7" x14ac:dyDescent="0.2">
      <c r="A6308" s="3">
        <v>270</v>
      </c>
      <c r="B6308" s="2">
        <v>118516.5</v>
      </c>
      <c r="C6308" s="38">
        <v>45044</v>
      </c>
      <c r="D6308" s="1" t="s">
        <v>248</v>
      </c>
      <c r="E6308" s="1" t="s">
        <v>33</v>
      </c>
      <c r="F6308" s="1" t="s">
        <v>209</v>
      </c>
      <c r="G6308" s="5">
        <v>438.95</v>
      </c>
    </row>
    <row r="6309" spans="1:7" x14ac:dyDescent="0.2">
      <c r="A6309" s="3">
        <v>120</v>
      </c>
      <c r="B6309" s="2">
        <v>52674</v>
      </c>
      <c r="C6309" s="38">
        <v>45044</v>
      </c>
      <c r="D6309" s="1" t="s">
        <v>248</v>
      </c>
      <c r="E6309" s="1" t="s">
        <v>33</v>
      </c>
      <c r="F6309" s="1" t="s">
        <v>209</v>
      </c>
      <c r="G6309" s="5">
        <v>438.95</v>
      </c>
    </row>
    <row r="6310" spans="1:7" x14ac:dyDescent="0.2">
      <c r="A6310" s="3">
        <v>150</v>
      </c>
      <c r="B6310" s="2">
        <v>65842.5</v>
      </c>
      <c r="C6310" s="38">
        <v>45044</v>
      </c>
      <c r="D6310" s="1" t="s">
        <v>248</v>
      </c>
      <c r="E6310" s="1" t="s">
        <v>33</v>
      </c>
      <c r="F6310" s="1" t="s">
        <v>209</v>
      </c>
      <c r="G6310" s="5">
        <v>438.95</v>
      </c>
    </row>
    <row r="6311" spans="1:7" x14ac:dyDescent="0.2">
      <c r="A6311" s="3">
        <v>240</v>
      </c>
      <c r="B6311" s="2">
        <v>105348</v>
      </c>
      <c r="C6311" s="38">
        <v>45044</v>
      </c>
      <c r="D6311" s="1" t="s">
        <v>248</v>
      </c>
      <c r="E6311" s="1" t="s">
        <v>33</v>
      </c>
      <c r="F6311" s="1" t="s">
        <v>209</v>
      </c>
      <c r="G6311" s="5">
        <v>438.95</v>
      </c>
    </row>
    <row r="6312" spans="1:7" x14ac:dyDescent="0.2">
      <c r="A6312" s="3">
        <v>60</v>
      </c>
      <c r="B6312" s="2">
        <v>26337</v>
      </c>
      <c r="C6312" s="38">
        <v>45044</v>
      </c>
      <c r="D6312" s="1" t="s">
        <v>248</v>
      </c>
      <c r="E6312" s="1" t="s">
        <v>33</v>
      </c>
      <c r="F6312" s="1" t="s">
        <v>209</v>
      </c>
      <c r="G6312" s="5">
        <v>438.95</v>
      </c>
    </row>
    <row r="6313" spans="1:7" x14ac:dyDescent="0.2">
      <c r="A6313" s="3">
        <v>270</v>
      </c>
      <c r="B6313" s="2">
        <v>118516.5</v>
      </c>
      <c r="C6313" s="38">
        <v>45044</v>
      </c>
      <c r="D6313" s="1" t="s">
        <v>248</v>
      </c>
      <c r="E6313" s="1" t="s">
        <v>33</v>
      </c>
      <c r="F6313" s="1" t="s">
        <v>209</v>
      </c>
      <c r="G6313" s="5">
        <v>438.95</v>
      </c>
    </row>
    <row r="6314" spans="1:7" x14ac:dyDescent="0.2">
      <c r="A6314" s="3">
        <v>210</v>
      </c>
      <c r="B6314" s="2">
        <v>92179.5</v>
      </c>
      <c r="C6314" s="38">
        <v>45044</v>
      </c>
      <c r="D6314" s="1" t="s">
        <v>248</v>
      </c>
      <c r="E6314" s="1" t="s">
        <v>33</v>
      </c>
      <c r="F6314" s="1" t="s">
        <v>209</v>
      </c>
      <c r="G6314" s="5">
        <v>438.95</v>
      </c>
    </row>
    <row r="6315" spans="1:7" x14ac:dyDescent="0.2">
      <c r="A6315" s="3">
        <v>120</v>
      </c>
      <c r="B6315" s="2">
        <v>52674</v>
      </c>
      <c r="C6315" s="38">
        <v>45044</v>
      </c>
      <c r="D6315" s="1" t="s">
        <v>248</v>
      </c>
      <c r="E6315" s="1" t="s">
        <v>33</v>
      </c>
      <c r="F6315" s="1" t="s">
        <v>209</v>
      </c>
      <c r="G6315" s="5">
        <v>438.95</v>
      </c>
    </row>
    <row r="6316" spans="1:7" x14ac:dyDescent="0.2">
      <c r="A6316" s="3">
        <v>240</v>
      </c>
      <c r="B6316" s="2">
        <v>105348</v>
      </c>
      <c r="C6316" s="38">
        <v>45044</v>
      </c>
      <c r="D6316" s="1" t="s">
        <v>248</v>
      </c>
      <c r="E6316" s="1" t="s">
        <v>33</v>
      </c>
      <c r="F6316" s="1" t="s">
        <v>209</v>
      </c>
      <c r="G6316" s="5">
        <v>438.95</v>
      </c>
    </row>
    <row r="6317" spans="1:7" x14ac:dyDescent="0.2">
      <c r="A6317" s="3">
        <v>990</v>
      </c>
      <c r="B6317" s="2">
        <v>434560.5</v>
      </c>
      <c r="C6317" s="38">
        <v>45044</v>
      </c>
      <c r="D6317" s="1" t="s">
        <v>248</v>
      </c>
      <c r="E6317" s="1" t="s">
        <v>33</v>
      </c>
      <c r="F6317" s="1" t="s">
        <v>209</v>
      </c>
      <c r="G6317" s="5">
        <v>438.95</v>
      </c>
    </row>
    <row r="6318" spans="1:7" x14ac:dyDescent="0.2">
      <c r="A6318" s="3">
        <v>480</v>
      </c>
      <c r="B6318" s="2">
        <v>210696</v>
      </c>
      <c r="C6318" s="38">
        <v>45044</v>
      </c>
      <c r="D6318" s="1" t="s">
        <v>248</v>
      </c>
      <c r="E6318" s="1" t="s">
        <v>33</v>
      </c>
      <c r="F6318" s="1" t="s">
        <v>209</v>
      </c>
      <c r="G6318" s="5">
        <v>438.95</v>
      </c>
    </row>
    <row r="6319" spans="1:7" x14ac:dyDescent="0.2">
      <c r="A6319" s="3">
        <v>270</v>
      </c>
      <c r="B6319" s="2">
        <v>118516.5</v>
      </c>
      <c r="C6319" s="38">
        <v>45044</v>
      </c>
      <c r="D6319" s="1" t="s">
        <v>248</v>
      </c>
      <c r="E6319" s="1" t="s">
        <v>33</v>
      </c>
      <c r="F6319" s="1" t="s">
        <v>209</v>
      </c>
      <c r="G6319" s="5">
        <v>438.95</v>
      </c>
    </row>
    <row r="6320" spans="1:7" x14ac:dyDescent="0.2">
      <c r="A6320" s="3">
        <v>48</v>
      </c>
      <c r="B6320" s="2">
        <v>9991.68</v>
      </c>
      <c r="C6320" s="38">
        <v>45044</v>
      </c>
      <c r="D6320" s="1" t="s">
        <v>297</v>
      </c>
      <c r="E6320" s="1" t="s">
        <v>33</v>
      </c>
      <c r="F6320" s="1" t="s">
        <v>209</v>
      </c>
      <c r="G6320" s="5">
        <v>208.16</v>
      </c>
    </row>
    <row r="6321" spans="1:7" x14ac:dyDescent="0.2">
      <c r="A6321" s="3">
        <v>420</v>
      </c>
      <c r="B6321" s="2">
        <v>174396.6</v>
      </c>
      <c r="C6321" s="38">
        <v>45044</v>
      </c>
      <c r="D6321" s="1" t="s">
        <v>254</v>
      </c>
      <c r="E6321" s="1" t="s">
        <v>33</v>
      </c>
      <c r="F6321" s="1" t="s">
        <v>209</v>
      </c>
      <c r="G6321" s="5">
        <v>415.23</v>
      </c>
    </row>
    <row r="6322" spans="1:7" x14ac:dyDescent="0.2">
      <c r="A6322" s="3">
        <v>70</v>
      </c>
      <c r="B6322" s="2">
        <v>29066.1</v>
      </c>
      <c r="C6322" s="38">
        <v>45044</v>
      </c>
      <c r="D6322" s="1" t="s">
        <v>254</v>
      </c>
      <c r="E6322" s="1" t="s">
        <v>33</v>
      </c>
      <c r="F6322" s="1" t="s">
        <v>209</v>
      </c>
      <c r="G6322" s="5">
        <v>415.23</v>
      </c>
    </row>
    <row r="6323" spans="1:7" x14ac:dyDescent="0.2">
      <c r="A6323" s="3">
        <v>70</v>
      </c>
      <c r="B6323" s="2">
        <v>29066.1</v>
      </c>
      <c r="C6323" s="38">
        <v>45044</v>
      </c>
      <c r="D6323" s="1" t="s">
        <v>254</v>
      </c>
      <c r="E6323" s="1" t="s">
        <v>33</v>
      </c>
      <c r="F6323" s="1" t="s">
        <v>209</v>
      </c>
      <c r="G6323" s="5">
        <v>415.23</v>
      </c>
    </row>
    <row r="6324" spans="1:7" x14ac:dyDescent="0.2">
      <c r="A6324" s="3">
        <v>350</v>
      </c>
      <c r="B6324" s="2">
        <v>145330.5</v>
      </c>
      <c r="C6324" s="38">
        <v>45044</v>
      </c>
      <c r="D6324" s="1" t="s">
        <v>254</v>
      </c>
      <c r="E6324" s="1" t="s">
        <v>33</v>
      </c>
      <c r="F6324" s="1" t="s">
        <v>209</v>
      </c>
      <c r="G6324" s="5">
        <v>415.23</v>
      </c>
    </row>
    <row r="6325" spans="1:7" x14ac:dyDescent="0.2">
      <c r="A6325" s="3">
        <v>350</v>
      </c>
      <c r="B6325" s="2">
        <v>145330.5</v>
      </c>
      <c r="C6325" s="38">
        <v>45044</v>
      </c>
      <c r="D6325" s="1" t="s">
        <v>254</v>
      </c>
      <c r="E6325" s="1" t="s">
        <v>33</v>
      </c>
      <c r="F6325" s="1" t="s">
        <v>209</v>
      </c>
      <c r="G6325" s="5">
        <v>415.23</v>
      </c>
    </row>
    <row r="6326" spans="1:7" x14ac:dyDescent="0.2">
      <c r="A6326" s="3">
        <v>350</v>
      </c>
      <c r="B6326" s="2">
        <v>145330.5</v>
      </c>
      <c r="C6326" s="38">
        <v>45044</v>
      </c>
      <c r="D6326" s="1" t="s">
        <v>254</v>
      </c>
      <c r="E6326" s="1" t="s">
        <v>33</v>
      </c>
      <c r="F6326" s="1" t="s">
        <v>209</v>
      </c>
      <c r="G6326" s="5">
        <v>415.23</v>
      </c>
    </row>
    <row r="6327" spans="1:7" x14ac:dyDescent="0.2">
      <c r="A6327" s="3">
        <v>210</v>
      </c>
      <c r="B6327" s="2">
        <v>87198.3</v>
      </c>
      <c r="C6327" s="38">
        <v>45044</v>
      </c>
      <c r="D6327" s="1" t="s">
        <v>254</v>
      </c>
      <c r="E6327" s="1" t="s">
        <v>33</v>
      </c>
      <c r="F6327" s="1" t="s">
        <v>209</v>
      </c>
      <c r="G6327" s="5">
        <v>415.23</v>
      </c>
    </row>
    <row r="6328" spans="1:7" x14ac:dyDescent="0.2">
      <c r="A6328" s="3">
        <v>210</v>
      </c>
      <c r="B6328" s="2">
        <v>87198.3</v>
      </c>
      <c r="C6328" s="38">
        <v>45044</v>
      </c>
      <c r="D6328" s="1" t="s">
        <v>254</v>
      </c>
      <c r="E6328" s="1" t="s">
        <v>33</v>
      </c>
      <c r="F6328" s="1" t="s">
        <v>209</v>
      </c>
      <c r="G6328" s="5">
        <v>415.23</v>
      </c>
    </row>
    <row r="6329" spans="1:7" x14ac:dyDescent="0.2">
      <c r="A6329" s="3">
        <v>210</v>
      </c>
      <c r="B6329" s="2">
        <v>87198.3</v>
      </c>
      <c r="C6329" s="38">
        <v>45044</v>
      </c>
      <c r="D6329" s="1" t="s">
        <v>254</v>
      </c>
      <c r="E6329" s="1" t="s">
        <v>33</v>
      </c>
      <c r="F6329" s="1" t="s">
        <v>209</v>
      </c>
      <c r="G6329" s="5">
        <v>415.23</v>
      </c>
    </row>
    <row r="6330" spans="1:7" x14ac:dyDescent="0.2">
      <c r="A6330" s="3">
        <v>770</v>
      </c>
      <c r="B6330" s="2">
        <v>319727.09999999998</v>
      </c>
      <c r="C6330" s="38">
        <v>45044</v>
      </c>
      <c r="D6330" s="1" t="s">
        <v>254</v>
      </c>
      <c r="E6330" s="1" t="s">
        <v>33</v>
      </c>
      <c r="F6330" s="1" t="s">
        <v>209</v>
      </c>
      <c r="G6330" s="5">
        <v>415.23</v>
      </c>
    </row>
    <row r="6331" spans="1:7" x14ac:dyDescent="0.2">
      <c r="A6331" s="3">
        <v>210</v>
      </c>
      <c r="B6331" s="2">
        <v>87198.3</v>
      </c>
      <c r="C6331" s="38">
        <v>45044</v>
      </c>
      <c r="D6331" s="1" t="s">
        <v>254</v>
      </c>
      <c r="E6331" s="1" t="s">
        <v>33</v>
      </c>
      <c r="F6331" s="1" t="s">
        <v>209</v>
      </c>
      <c r="G6331" s="5">
        <v>415.23</v>
      </c>
    </row>
    <row r="6332" spans="1:7" x14ac:dyDescent="0.2">
      <c r="A6332" s="3">
        <v>280</v>
      </c>
      <c r="B6332" s="2">
        <v>116264.4</v>
      </c>
      <c r="C6332" s="38">
        <v>45044</v>
      </c>
      <c r="D6332" s="1" t="s">
        <v>254</v>
      </c>
      <c r="E6332" s="1" t="s">
        <v>33</v>
      </c>
      <c r="F6332" s="1" t="s">
        <v>209</v>
      </c>
      <c r="G6332" s="5">
        <v>415.23</v>
      </c>
    </row>
    <row r="6333" spans="1:7" x14ac:dyDescent="0.2">
      <c r="A6333" s="3">
        <v>490</v>
      </c>
      <c r="B6333" s="2">
        <v>203462.7</v>
      </c>
      <c r="C6333" s="38">
        <v>45044</v>
      </c>
      <c r="D6333" s="1" t="s">
        <v>254</v>
      </c>
      <c r="E6333" s="1" t="s">
        <v>33</v>
      </c>
      <c r="F6333" s="1" t="s">
        <v>209</v>
      </c>
      <c r="G6333" s="5">
        <v>415.23</v>
      </c>
    </row>
    <row r="6334" spans="1:7" x14ac:dyDescent="0.2">
      <c r="A6334" s="3">
        <v>280</v>
      </c>
      <c r="B6334" s="2">
        <v>120080.8</v>
      </c>
      <c r="C6334" s="38">
        <v>45044</v>
      </c>
      <c r="D6334" s="1" t="s">
        <v>255</v>
      </c>
      <c r="E6334" s="1" t="s">
        <v>33</v>
      </c>
      <c r="F6334" s="1" t="s">
        <v>209</v>
      </c>
      <c r="G6334" s="5">
        <v>428.86</v>
      </c>
    </row>
    <row r="6335" spans="1:7" x14ac:dyDescent="0.2">
      <c r="A6335" s="3">
        <v>140</v>
      </c>
      <c r="B6335" s="2">
        <v>60040.4</v>
      </c>
      <c r="C6335" s="38">
        <v>45044</v>
      </c>
      <c r="D6335" s="1" t="s">
        <v>255</v>
      </c>
      <c r="E6335" s="1" t="s">
        <v>33</v>
      </c>
      <c r="F6335" s="1" t="s">
        <v>209</v>
      </c>
      <c r="G6335" s="5">
        <v>428.86</v>
      </c>
    </row>
    <row r="6336" spans="1:7" x14ac:dyDescent="0.2">
      <c r="A6336" s="3">
        <v>560</v>
      </c>
      <c r="B6336" s="2">
        <v>240161.6</v>
      </c>
      <c r="C6336" s="38">
        <v>45044</v>
      </c>
      <c r="D6336" s="1" t="s">
        <v>255</v>
      </c>
      <c r="E6336" s="1" t="s">
        <v>33</v>
      </c>
      <c r="F6336" s="1" t="s">
        <v>209</v>
      </c>
      <c r="G6336" s="5">
        <v>428.86</v>
      </c>
    </row>
    <row r="6337" spans="1:7" x14ac:dyDescent="0.2">
      <c r="A6337" s="3">
        <v>210</v>
      </c>
      <c r="B6337" s="2">
        <v>90060.6</v>
      </c>
      <c r="C6337" s="38">
        <v>45044</v>
      </c>
      <c r="D6337" s="1" t="s">
        <v>255</v>
      </c>
      <c r="E6337" s="1" t="s">
        <v>33</v>
      </c>
      <c r="F6337" s="1" t="s">
        <v>209</v>
      </c>
      <c r="G6337" s="5">
        <v>428.86</v>
      </c>
    </row>
    <row r="6338" spans="1:7" x14ac:dyDescent="0.2">
      <c r="A6338" s="3">
        <v>350</v>
      </c>
      <c r="B6338" s="2">
        <v>150101</v>
      </c>
      <c r="C6338" s="38">
        <v>45044</v>
      </c>
      <c r="D6338" s="1" t="s">
        <v>255</v>
      </c>
      <c r="E6338" s="1" t="s">
        <v>33</v>
      </c>
      <c r="F6338" s="1" t="s">
        <v>209</v>
      </c>
      <c r="G6338" s="5">
        <v>428.86</v>
      </c>
    </row>
    <row r="6339" spans="1:7" x14ac:dyDescent="0.2">
      <c r="A6339" s="3">
        <v>84</v>
      </c>
      <c r="B6339" s="2">
        <v>20061.72</v>
      </c>
      <c r="C6339" s="38">
        <v>44943</v>
      </c>
      <c r="D6339" s="1" t="s">
        <v>349</v>
      </c>
      <c r="E6339" s="1" t="s">
        <v>33</v>
      </c>
      <c r="F6339" s="1" t="s">
        <v>209</v>
      </c>
      <c r="G6339" s="5">
        <v>238.83</v>
      </c>
    </row>
    <row r="6340" spans="1:7" x14ac:dyDescent="0.2">
      <c r="A6340" s="3">
        <v>84</v>
      </c>
      <c r="B6340" s="2">
        <v>20061.72</v>
      </c>
      <c r="C6340" s="38">
        <v>44943</v>
      </c>
      <c r="D6340" s="1" t="s">
        <v>349</v>
      </c>
      <c r="E6340" s="1" t="s">
        <v>33</v>
      </c>
      <c r="F6340" s="1" t="s">
        <v>209</v>
      </c>
      <c r="G6340" s="5">
        <v>238.83</v>
      </c>
    </row>
    <row r="6341" spans="1:7" x14ac:dyDescent="0.2">
      <c r="A6341" s="3">
        <v>84</v>
      </c>
      <c r="B6341" s="2">
        <v>20061.72</v>
      </c>
      <c r="C6341" s="38">
        <v>44943</v>
      </c>
      <c r="D6341" s="1" t="s">
        <v>349</v>
      </c>
      <c r="E6341" s="1" t="s">
        <v>33</v>
      </c>
      <c r="F6341" s="1" t="s">
        <v>209</v>
      </c>
      <c r="G6341" s="5">
        <v>238.83</v>
      </c>
    </row>
    <row r="6342" spans="1:7" x14ac:dyDescent="0.2">
      <c r="A6342" s="3">
        <v>84</v>
      </c>
      <c r="B6342" s="2">
        <v>20061.72</v>
      </c>
      <c r="C6342" s="38">
        <v>44943</v>
      </c>
      <c r="D6342" s="1" t="s">
        <v>349</v>
      </c>
      <c r="E6342" s="1" t="s">
        <v>33</v>
      </c>
      <c r="F6342" s="1" t="s">
        <v>209</v>
      </c>
      <c r="G6342" s="5">
        <v>238.83</v>
      </c>
    </row>
    <row r="6343" spans="1:7" x14ac:dyDescent="0.2">
      <c r="A6343" s="3">
        <v>84</v>
      </c>
      <c r="B6343" s="2">
        <v>20061.72</v>
      </c>
      <c r="C6343" s="38">
        <v>44943</v>
      </c>
      <c r="D6343" s="1" t="s">
        <v>349</v>
      </c>
      <c r="E6343" s="1" t="s">
        <v>33</v>
      </c>
      <c r="F6343" s="1" t="s">
        <v>209</v>
      </c>
      <c r="G6343" s="5">
        <v>238.83</v>
      </c>
    </row>
    <row r="6344" spans="1:7" x14ac:dyDescent="0.2">
      <c r="A6344" s="3">
        <v>84</v>
      </c>
      <c r="B6344" s="2">
        <v>20061.72</v>
      </c>
      <c r="C6344" s="38">
        <v>44943</v>
      </c>
      <c r="D6344" s="1" t="s">
        <v>349</v>
      </c>
      <c r="E6344" s="1" t="s">
        <v>33</v>
      </c>
      <c r="F6344" s="1" t="s">
        <v>209</v>
      </c>
      <c r="G6344" s="5">
        <v>238.83</v>
      </c>
    </row>
    <row r="6345" spans="1:7" x14ac:dyDescent="0.2">
      <c r="A6345" s="3">
        <v>168</v>
      </c>
      <c r="B6345" s="2">
        <v>40123.440000000002</v>
      </c>
      <c r="C6345" s="38">
        <v>44943</v>
      </c>
      <c r="D6345" s="1" t="s">
        <v>349</v>
      </c>
      <c r="E6345" s="1" t="s">
        <v>33</v>
      </c>
      <c r="F6345" s="1" t="s">
        <v>209</v>
      </c>
      <c r="G6345" s="5">
        <v>238.83</v>
      </c>
    </row>
    <row r="6346" spans="1:7" x14ac:dyDescent="0.2">
      <c r="A6346" s="3">
        <v>210</v>
      </c>
      <c r="B6346" s="2">
        <v>87198.3</v>
      </c>
      <c r="C6346" s="38">
        <v>44943</v>
      </c>
      <c r="D6346" s="1" t="s">
        <v>254</v>
      </c>
      <c r="E6346" s="1" t="s">
        <v>33</v>
      </c>
      <c r="F6346" s="1" t="s">
        <v>209</v>
      </c>
      <c r="G6346" s="5">
        <v>415.23</v>
      </c>
    </row>
    <row r="6347" spans="1:7" x14ac:dyDescent="0.2">
      <c r="A6347" s="3">
        <v>210</v>
      </c>
      <c r="B6347" s="2">
        <v>87198.3</v>
      </c>
      <c r="C6347" s="38">
        <v>44943</v>
      </c>
      <c r="D6347" s="1" t="s">
        <v>254</v>
      </c>
      <c r="E6347" s="1" t="s">
        <v>33</v>
      </c>
      <c r="F6347" s="1" t="s">
        <v>209</v>
      </c>
      <c r="G6347" s="5">
        <v>415.23</v>
      </c>
    </row>
    <row r="6348" spans="1:7" x14ac:dyDescent="0.2">
      <c r="A6348" s="3">
        <v>350</v>
      </c>
      <c r="B6348" s="2">
        <v>145330.5</v>
      </c>
      <c r="C6348" s="38">
        <v>44943</v>
      </c>
      <c r="D6348" s="1" t="s">
        <v>254</v>
      </c>
      <c r="E6348" s="1" t="s">
        <v>33</v>
      </c>
      <c r="F6348" s="1" t="s">
        <v>209</v>
      </c>
      <c r="G6348" s="5">
        <v>415.23</v>
      </c>
    </row>
    <row r="6349" spans="1:7" x14ac:dyDescent="0.2">
      <c r="A6349" s="3">
        <v>420</v>
      </c>
      <c r="B6349" s="2">
        <v>174396.6</v>
      </c>
      <c r="C6349" s="38">
        <v>44943</v>
      </c>
      <c r="D6349" s="1" t="s">
        <v>254</v>
      </c>
      <c r="E6349" s="1" t="s">
        <v>33</v>
      </c>
      <c r="F6349" s="1" t="s">
        <v>209</v>
      </c>
      <c r="G6349" s="5">
        <v>415.23</v>
      </c>
    </row>
    <row r="6350" spans="1:7" x14ac:dyDescent="0.2">
      <c r="A6350" s="3">
        <v>70</v>
      </c>
      <c r="B6350" s="2">
        <v>29066.1</v>
      </c>
      <c r="C6350" s="38">
        <v>44943</v>
      </c>
      <c r="D6350" s="1" t="s">
        <v>254</v>
      </c>
      <c r="E6350" s="1" t="s">
        <v>33</v>
      </c>
      <c r="F6350" s="1" t="s">
        <v>209</v>
      </c>
      <c r="G6350" s="5">
        <v>415.23</v>
      </c>
    </row>
    <row r="6351" spans="1:7" x14ac:dyDescent="0.2">
      <c r="A6351" s="3">
        <v>1000</v>
      </c>
      <c r="B6351" s="2">
        <v>1940</v>
      </c>
      <c r="C6351" s="38">
        <v>44993</v>
      </c>
      <c r="D6351" s="1" t="s">
        <v>238</v>
      </c>
      <c r="E6351" s="1" t="s">
        <v>33</v>
      </c>
      <c r="F6351" s="1" t="s">
        <v>209</v>
      </c>
      <c r="G6351" s="5">
        <v>1.94</v>
      </c>
    </row>
    <row r="6352" spans="1:7" x14ac:dyDescent="0.2">
      <c r="A6352" s="3">
        <v>252</v>
      </c>
      <c r="B6352" s="2">
        <v>20099.52</v>
      </c>
      <c r="C6352" s="38">
        <v>44993</v>
      </c>
      <c r="D6352" s="1" t="s">
        <v>243</v>
      </c>
      <c r="E6352" s="1" t="s">
        <v>33</v>
      </c>
      <c r="F6352" s="1" t="s">
        <v>209</v>
      </c>
      <c r="G6352" s="5">
        <v>79.760000000000005</v>
      </c>
    </row>
    <row r="6353" spans="1:7" x14ac:dyDescent="0.2">
      <c r="A6353" s="3">
        <v>672</v>
      </c>
      <c r="B6353" s="2">
        <v>160493.76000000001</v>
      </c>
      <c r="C6353" s="38">
        <v>44993</v>
      </c>
      <c r="D6353" s="1" t="s">
        <v>349</v>
      </c>
      <c r="E6353" s="1" t="s">
        <v>33</v>
      </c>
      <c r="F6353" s="1" t="s">
        <v>209</v>
      </c>
      <c r="G6353" s="5">
        <v>238.83</v>
      </c>
    </row>
    <row r="6354" spans="1:7" x14ac:dyDescent="0.2">
      <c r="A6354" s="3">
        <v>350</v>
      </c>
      <c r="B6354" s="2">
        <v>150101</v>
      </c>
      <c r="C6354" s="38">
        <v>44993</v>
      </c>
      <c r="D6354" s="1" t="s">
        <v>255</v>
      </c>
      <c r="E6354" s="1" t="s">
        <v>33</v>
      </c>
      <c r="F6354" s="1" t="s">
        <v>209</v>
      </c>
      <c r="G6354" s="5">
        <v>428.86</v>
      </c>
    </row>
    <row r="6355" spans="1:7" x14ac:dyDescent="0.2">
      <c r="A6355" s="3">
        <v>140</v>
      </c>
      <c r="B6355" s="2">
        <v>60040.4</v>
      </c>
      <c r="C6355" s="38">
        <v>44993</v>
      </c>
      <c r="D6355" s="1" t="s">
        <v>255</v>
      </c>
      <c r="E6355" s="1" t="s">
        <v>33</v>
      </c>
      <c r="F6355" s="1" t="s">
        <v>209</v>
      </c>
      <c r="G6355" s="5">
        <v>428.86</v>
      </c>
    </row>
    <row r="6356" spans="1:7" x14ac:dyDescent="0.2">
      <c r="A6356" s="3">
        <v>350</v>
      </c>
      <c r="B6356" s="2">
        <v>150101</v>
      </c>
      <c r="C6356" s="38">
        <v>44993</v>
      </c>
      <c r="D6356" s="1" t="s">
        <v>255</v>
      </c>
      <c r="E6356" s="1" t="s">
        <v>33</v>
      </c>
      <c r="F6356" s="1" t="s">
        <v>209</v>
      </c>
      <c r="G6356" s="5">
        <v>428.86</v>
      </c>
    </row>
    <row r="6357" spans="1:7" x14ac:dyDescent="0.2">
      <c r="A6357" s="3">
        <v>118</v>
      </c>
      <c r="B6357" s="2">
        <v>13179.42</v>
      </c>
      <c r="C6357" s="38">
        <v>45044</v>
      </c>
      <c r="D6357" s="1" t="s">
        <v>350</v>
      </c>
      <c r="E6357" s="1" t="s">
        <v>33</v>
      </c>
      <c r="F6357" s="1" t="s">
        <v>209</v>
      </c>
      <c r="G6357" s="5">
        <v>111.69</v>
      </c>
    </row>
    <row r="6358" spans="1:7" x14ac:dyDescent="0.2">
      <c r="A6358" s="3">
        <v>159</v>
      </c>
      <c r="B6358" s="2">
        <v>17758.71</v>
      </c>
      <c r="C6358" s="38">
        <v>45044</v>
      </c>
      <c r="D6358" s="1" t="s">
        <v>350</v>
      </c>
      <c r="E6358" s="1" t="s">
        <v>33</v>
      </c>
      <c r="F6358" s="1" t="s">
        <v>209</v>
      </c>
      <c r="G6358" s="5">
        <v>111.69</v>
      </c>
    </row>
    <row r="6359" spans="1:7" x14ac:dyDescent="0.2">
      <c r="A6359" s="3">
        <v>160</v>
      </c>
      <c r="B6359" s="2">
        <v>17870.400000000001</v>
      </c>
      <c r="C6359" s="38">
        <v>45044</v>
      </c>
      <c r="D6359" s="1" t="s">
        <v>350</v>
      </c>
      <c r="E6359" s="1" t="s">
        <v>33</v>
      </c>
      <c r="F6359" s="1" t="s">
        <v>209</v>
      </c>
      <c r="G6359" s="5">
        <v>111.69</v>
      </c>
    </row>
    <row r="6360" spans="1:7" x14ac:dyDescent="0.2">
      <c r="A6360" s="3">
        <v>23</v>
      </c>
      <c r="B6360" s="2">
        <v>2568.87</v>
      </c>
      <c r="C6360" s="38">
        <v>45044</v>
      </c>
      <c r="D6360" s="1" t="s">
        <v>350</v>
      </c>
      <c r="E6360" s="1" t="s">
        <v>33</v>
      </c>
      <c r="F6360" s="1" t="s">
        <v>209</v>
      </c>
      <c r="G6360" s="5">
        <v>111.69</v>
      </c>
    </row>
    <row r="6361" spans="1:7" x14ac:dyDescent="0.2">
      <c r="A6361" s="3">
        <v>84</v>
      </c>
      <c r="B6361" s="2">
        <v>20061.72</v>
      </c>
      <c r="C6361" s="38">
        <v>44946</v>
      </c>
      <c r="D6361" s="1" t="s">
        <v>349</v>
      </c>
      <c r="E6361" s="1" t="s">
        <v>33</v>
      </c>
      <c r="F6361" s="1" t="s">
        <v>209</v>
      </c>
      <c r="G6361" s="5">
        <v>238.83</v>
      </c>
    </row>
    <row r="6362" spans="1:7" x14ac:dyDescent="0.2">
      <c r="A6362" s="3">
        <v>84</v>
      </c>
      <c r="B6362" s="2">
        <v>20061.72</v>
      </c>
      <c r="C6362" s="38">
        <v>44946</v>
      </c>
      <c r="D6362" s="1" t="s">
        <v>349</v>
      </c>
      <c r="E6362" s="1" t="s">
        <v>33</v>
      </c>
      <c r="F6362" s="1" t="s">
        <v>209</v>
      </c>
      <c r="G6362" s="5">
        <v>238.83</v>
      </c>
    </row>
    <row r="6363" spans="1:7" x14ac:dyDescent="0.2">
      <c r="A6363" s="3">
        <v>84</v>
      </c>
      <c r="B6363" s="2">
        <v>20061.72</v>
      </c>
      <c r="C6363" s="38">
        <v>44946</v>
      </c>
      <c r="D6363" s="1" t="s">
        <v>349</v>
      </c>
      <c r="E6363" s="1" t="s">
        <v>33</v>
      </c>
      <c r="F6363" s="1" t="s">
        <v>209</v>
      </c>
      <c r="G6363" s="5">
        <v>238.83</v>
      </c>
    </row>
    <row r="6364" spans="1:7" x14ac:dyDescent="0.2">
      <c r="A6364" s="3">
        <v>84</v>
      </c>
      <c r="B6364" s="2">
        <v>20061.72</v>
      </c>
      <c r="C6364" s="38">
        <v>44946</v>
      </c>
      <c r="D6364" s="1" t="s">
        <v>349</v>
      </c>
      <c r="E6364" s="1" t="s">
        <v>33</v>
      </c>
      <c r="F6364" s="1" t="s">
        <v>209</v>
      </c>
      <c r="G6364" s="5">
        <v>238.83</v>
      </c>
    </row>
    <row r="6365" spans="1:7" x14ac:dyDescent="0.2">
      <c r="A6365" s="3">
        <v>84</v>
      </c>
      <c r="B6365" s="2">
        <v>20061.72</v>
      </c>
      <c r="C6365" s="38">
        <v>44946</v>
      </c>
      <c r="D6365" s="1" t="s">
        <v>349</v>
      </c>
      <c r="E6365" s="1" t="s">
        <v>33</v>
      </c>
      <c r="F6365" s="1" t="s">
        <v>209</v>
      </c>
      <c r="G6365" s="5">
        <v>238.83</v>
      </c>
    </row>
    <row r="6366" spans="1:7" x14ac:dyDescent="0.2">
      <c r="A6366" s="3">
        <v>216</v>
      </c>
      <c r="B6366" s="2">
        <v>24669.360000000001</v>
      </c>
      <c r="C6366" s="38">
        <v>44949</v>
      </c>
      <c r="D6366" s="1" t="s">
        <v>237</v>
      </c>
      <c r="E6366" s="1" t="s">
        <v>33</v>
      </c>
      <c r="F6366" s="1" t="s">
        <v>209</v>
      </c>
      <c r="G6366" s="5">
        <v>114.21</v>
      </c>
    </row>
    <row r="6367" spans="1:7" x14ac:dyDescent="0.2">
      <c r="A6367" s="3">
        <v>324</v>
      </c>
      <c r="B6367" s="2">
        <v>37004.04</v>
      </c>
      <c r="C6367" s="38">
        <v>44949</v>
      </c>
      <c r="D6367" s="1" t="s">
        <v>237</v>
      </c>
      <c r="E6367" s="1" t="s">
        <v>33</v>
      </c>
      <c r="F6367" s="1" t="s">
        <v>209</v>
      </c>
      <c r="G6367" s="5">
        <v>114.21</v>
      </c>
    </row>
    <row r="6368" spans="1:7" x14ac:dyDescent="0.2">
      <c r="A6368" s="3">
        <v>108</v>
      </c>
      <c r="B6368" s="2">
        <v>12334.68</v>
      </c>
      <c r="C6368" s="38">
        <v>44949</v>
      </c>
      <c r="D6368" s="1" t="s">
        <v>237</v>
      </c>
      <c r="E6368" s="1" t="s">
        <v>33</v>
      </c>
      <c r="F6368" s="1" t="s">
        <v>209</v>
      </c>
      <c r="G6368" s="5">
        <v>114.21</v>
      </c>
    </row>
    <row r="6369" spans="1:7" x14ac:dyDescent="0.2">
      <c r="A6369" s="3">
        <v>216</v>
      </c>
      <c r="B6369" s="2">
        <v>24669.360000000001</v>
      </c>
      <c r="C6369" s="38">
        <v>44949</v>
      </c>
      <c r="D6369" s="1" t="s">
        <v>237</v>
      </c>
      <c r="E6369" s="1" t="s">
        <v>33</v>
      </c>
      <c r="F6369" s="1" t="s">
        <v>209</v>
      </c>
      <c r="G6369" s="5">
        <v>114.21</v>
      </c>
    </row>
    <row r="6370" spans="1:7" x14ac:dyDescent="0.2">
      <c r="A6370" s="3">
        <v>216</v>
      </c>
      <c r="B6370" s="2">
        <v>24669.360000000001</v>
      </c>
      <c r="C6370" s="38">
        <v>44949</v>
      </c>
      <c r="D6370" s="1" t="s">
        <v>237</v>
      </c>
      <c r="E6370" s="1" t="s">
        <v>33</v>
      </c>
      <c r="F6370" s="1" t="s">
        <v>209</v>
      </c>
      <c r="G6370" s="5">
        <v>114.21</v>
      </c>
    </row>
    <row r="6371" spans="1:7" x14ac:dyDescent="0.2">
      <c r="A6371" s="3">
        <v>324</v>
      </c>
      <c r="B6371" s="2">
        <v>37004.04</v>
      </c>
      <c r="C6371" s="38">
        <v>44949</v>
      </c>
      <c r="D6371" s="1" t="s">
        <v>237</v>
      </c>
      <c r="E6371" s="1" t="s">
        <v>33</v>
      </c>
      <c r="F6371" s="1" t="s">
        <v>209</v>
      </c>
      <c r="G6371" s="5">
        <v>114.21</v>
      </c>
    </row>
    <row r="6372" spans="1:7" x14ac:dyDescent="0.2">
      <c r="A6372" s="3">
        <v>108</v>
      </c>
      <c r="B6372" s="2">
        <v>12334.68</v>
      </c>
      <c r="C6372" s="38">
        <v>44949</v>
      </c>
      <c r="D6372" s="1" t="s">
        <v>237</v>
      </c>
      <c r="E6372" s="1" t="s">
        <v>33</v>
      </c>
      <c r="F6372" s="1" t="s">
        <v>209</v>
      </c>
      <c r="G6372" s="5">
        <v>114.21</v>
      </c>
    </row>
    <row r="6373" spans="1:7" x14ac:dyDescent="0.2">
      <c r="A6373" s="3">
        <v>210</v>
      </c>
      <c r="B6373" s="2">
        <v>87198.3</v>
      </c>
      <c r="C6373" s="38">
        <v>44949</v>
      </c>
      <c r="D6373" s="1" t="s">
        <v>254</v>
      </c>
      <c r="E6373" s="1" t="s">
        <v>33</v>
      </c>
      <c r="F6373" s="1" t="s">
        <v>209</v>
      </c>
      <c r="G6373" s="5">
        <v>415.23</v>
      </c>
    </row>
    <row r="6374" spans="1:7" x14ac:dyDescent="0.2">
      <c r="A6374" s="3">
        <v>420</v>
      </c>
      <c r="B6374" s="2">
        <v>174396.6</v>
      </c>
      <c r="C6374" s="38">
        <v>44949</v>
      </c>
      <c r="D6374" s="1" t="s">
        <v>254</v>
      </c>
      <c r="E6374" s="1" t="s">
        <v>33</v>
      </c>
      <c r="F6374" s="1" t="s">
        <v>209</v>
      </c>
      <c r="G6374" s="5">
        <v>415.23</v>
      </c>
    </row>
    <row r="6375" spans="1:7" x14ac:dyDescent="0.2">
      <c r="A6375" s="3">
        <v>15</v>
      </c>
      <c r="B6375" s="2">
        <v>13613.1</v>
      </c>
      <c r="C6375" s="38">
        <v>44949</v>
      </c>
      <c r="D6375" s="1" t="s">
        <v>267</v>
      </c>
      <c r="E6375" s="1" t="s">
        <v>33</v>
      </c>
      <c r="F6375" s="1" t="s">
        <v>209</v>
      </c>
      <c r="G6375" s="5">
        <v>907.54</v>
      </c>
    </row>
    <row r="6376" spans="1:7" x14ac:dyDescent="0.2">
      <c r="A6376" s="3">
        <v>15</v>
      </c>
      <c r="B6376" s="2">
        <v>13613.1</v>
      </c>
      <c r="C6376" s="38">
        <v>44949</v>
      </c>
      <c r="D6376" s="1" t="s">
        <v>267</v>
      </c>
      <c r="E6376" s="1" t="s">
        <v>33</v>
      </c>
      <c r="F6376" s="1" t="s">
        <v>209</v>
      </c>
      <c r="G6376" s="5">
        <v>907.54</v>
      </c>
    </row>
    <row r="6377" spans="1:7" x14ac:dyDescent="0.2">
      <c r="A6377" s="3">
        <v>15</v>
      </c>
      <c r="B6377" s="2">
        <v>13613.1</v>
      </c>
      <c r="C6377" s="38">
        <v>44949</v>
      </c>
      <c r="D6377" s="1" t="s">
        <v>267</v>
      </c>
      <c r="E6377" s="1" t="s">
        <v>33</v>
      </c>
      <c r="F6377" s="1" t="s">
        <v>209</v>
      </c>
      <c r="G6377" s="5">
        <v>907.54</v>
      </c>
    </row>
    <row r="6378" spans="1:7" x14ac:dyDescent="0.2">
      <c r="A6378" s="3">
        <v>592</v>
      </c>
      <c r="B6378" s="2">
        <v>66120.479999999996</v>
      </c>
      <c r="C6378" s="38">
        <v>45044</v>
      </c>
      <c r="D6378" s="1" t="s">
        <v>350</v>
      </c>
      <c r="E6378" s="1" t="s">
        <v>33</v>
      </c>
      <c r="F6378" s="1" t="s">
        <v>209</v>
      </c>
      <c r="G6378" s="5">
        <v>111.69</v>
      </c>
    </row>
    <row r="6379" spans="1:7" x14ac:dyDescent="0.2">
      <c r="A6379" s="3">
        <v>180</v>
      </c>
      <c r="B6379" s="2">
        <v>136681.20000000001</v>
      </c>
      <c r="C6379" s="38">
        <v>45044</v>
      </c>
      <c r="D6379" s="1" t="s">
        <v>265</v>
      </c>
      <c r="E6379" s="1" t="s">
        <v>33</v>
      </c>
      <c r="F6379" s="1" t="s">
        <v>209</v>
      </c>
      <c r="G6379" s="5">
        <v>759.34</v>
      </c>
    </row>
    <row r="6380" spans="1:7" x14ac:dyDescent="0.2">
      <c r="A6380" s="3">
        <v>60</v>
      </c>
      <c r="B6380" s="2">
        <v>45560.4</v>
      </c>
      <c r="C6380" s="38">
        <v>45044</v>
      </c>
      <c r="D6380" s="1" t="s">
        <v>265</v>
      </c>
      <c r="E6380" s="1" t="s">
        <v>33</v>
      </c>
      <c r="F6380" s="1" t="s">
        <v>209</v>
      </c>
      <c r="G6380" s="5">
        <v>759.34</v>
      </c>
    </row>
    <row r="6381" spans="1:7" x14ac:dyDescent="0.2">
      <c r="A6381" s="3">
        <v>60</v>
      </c>
      <c r="B6381" s="2">
        <v>45560.4</v>
      </c>
      <c r="C6381" s="38">
        <v>45044</v>
      </c>
      <c r="D6381" s="1" t="s">
        <v>265</v>
      </c>
      <c r="E6381" s="1" t="s">
        <v>33</v>
      </c>
      <c r="F6381" s="1" t="s">
        <v>209</v>
      </c>
      <c r="G6381" s="5">
        <v>759.34</v>
      </c>
    </row>
    <row r="6382" spans="1:7" x14ac:dyDescent="0.2">
      <c r="A6382" s="3">
        <v>120</v>
      </c>
      <c r="B6382" s="2">
        <v>91120.8</v>
      </c>
      <c r="C6382" s="38">
        <v>45044</v>
      </c>
      <c r="D6382" s="1" t="s">
        <v>265</v>
      </c>
      <c r="E6382" s="1" t="s">
        <v>33</v>
      </c>
      <c r="F6382" s="1" t="s">
        <v>209</v>
      </c>
      <c r="G6382" s="5">
        <v>759.34</v>
      </c>
    </row>
    <row r="6383" spans="1:7" x14ac:dyDescent="0.2">
      <c r="A6383" s="3">
        <v>90</v>
      </c>
      <c r="B6383" s="2">
        <v>81678.600000000006</v>
      </c>
      <c r="C6383" s="38">
        <v>45044</v>
      </c>
      <c r="D6383" s="1" t="s">
        <v>267</v>
      </c>
      <c r="E6383" s="1" t="s">
        <v>33</v>
      </c>
      <c r="F6383" s="1" t="s">
        <v>209</v>
      </c>
      <c r="G6383" s="5">
        <v>907.54</v>
      </c>
    </row>
    <row r="6384" spans="1:7" x14ac:dyDescent="0.2">
      <c r="A6384" s="3">
        <v>150</v>
      </c>
      <c r="B6384" s="2">
        <v>128605.5</v>
      </c>
      <c r="C6384" s="38">
        <v>45044</v>
      </c>
      <c r="D6384" s="1" t="s">
        <v>267</v>
      </c>
      <c r="E6384" s="1" t="s">
        <v>33</v>
      </c>
      <c r="F6384" s="1" t="s">
        <v>209</v>
      </c>
      <c r="G6384" s="5">
        <v>857.37</v>
      </c>
    </row>
    <row r="6385" spans="1:7" x14ac:dyDescent="0.2">
      <c r="A6385" s="3">
        <v>165</v>
      </c>
      <c r="B6385" s="2">
        <v>141466.04999999999</v>
      </c>
      <c r="C6385" s="38">
        <v>45044</v>
      </c>
      <c r="D6385" s="1" t="s">
        <v>267</v>
      </c>
      <c r="E6385" s="1" t="s">
        <v>33</v>
      </c>
      <c r="F6385" s="1" t="s">
        <v>209</v>
      </c>
      <c r="G6385" s="5">
        <v>857.37</v>
      </c>
    </row>
    <row r="6386" spans="1:7" x14ac:dyDescent="0.2">
      <c r="A6386" s="3">
        <v>318</v>
      </c>
      <c r="B6386" s="2">
        <v>601716.42000000004</v>
      </c>
      <c r="C6386" s="38">
        <v>45044</v>
      </c>
      <c r="D6386" s="1" t="s">
        <v>302</v>
      </c>
      <c r="E6386" s="1" t="s">
        <v>33</v>
      </c>
      <c r="F6386" s="1" t="s">
        <v>209</v>
      </c>
      <c r="G6386" s="5">
        <v>1892.19</v>
      </c>
    </row>
    <row r="6387" spans="1:7" x14ac:dyDescent="0.2">
      <c r="A6387" s="3">
        <v>146</v>
      </c>
      <c r="B6387" s="2">
        <v>276259.74</v>
      </c>
      <c r="C6387" s="38">
        <v>45044</v>
      </c>
      <c r="D6387" s="1" t="s">
        <v>302</v>
      </c>
      <c r="E6387" s="1" t="s">
        <v>33</v>
      </c>
      <c r="F6387" s="1" t="s">
        <v>209</v>
      </c>
      <c r="G6387" s="5">
        <v>1892.19</v>
      </c>
    </row>
    <row r="6388" spans="1:7" x14ac:dyDescent="0.2">
      <c r="A6388" s="3">
        <v>108</v>
      </c>
      <c r="B6388" s="2">
        <v>204356.52</v>
      </c>
      <c r="C6388" s="38">
        <v>45044</v>
      </c>
      <c r="D6388" s="1" t="s">
        <v>302</v>
      </c>
      <c r="E6388" s="1" t="s">
        <v>33</v>
      </c>
      <c r="F6388" s="1" t="s">
        <v>209</v>
      </c>
      <c r="G6388" s="5">
        <v>1892.19</v>
      </c>
    </row>
    <row r="6389" spans="1:7" x14ac:dyDescent="0.2">
      <c r="A6389" s="3">
        <v>45</v>
      </c>
      <c r="B6389" s="2">
        <v>40839.300000000003</v>
      </c>
      <c r="C6389" s="38">
        <v>44949</v>
      </c>
      <c r="D6389" s="1" t="s">
        <v>267</v>
      </c>
      <c r="E6389" s="1" t="s">
        <v>33</v>
      </c>
      <c r="F6389" s="1" t="s">
        <v>209</v>
      </c>
      <c r="G6389" s="5">
        <v>907.54</v>
      </c>
    </row>
    <row r="6390" spans="1:7" x14ac:dyDescent="0.2">
      <c r="A6390" s="3">
        <v>375</v>
      </c>
      <c r="B6390" s="2">
        <v>340327.5</v>
      </c>
      <c r="C6390" s="38">
        <v>44949</v>
      </c>
      <c r="D6390" s="1" t="s">
        <v>267</v>
      </c>
      <c r="E6390" s="1" t="s">
        <v>33</v>
      </c>
      <c r="F6390" s="1" t="s">
        <v>209</v>
      </c>
      <c r="G6390" s="5">
        <v>907.54</v>
      </c>
    </row>
    <row r="6391" spans="1:7" x14ac:dyDescent="0.2">
      <c r="A6391" s="3">
        <v>150</v>
      </c>
      <c r="B6391" s="2">
        <v>136131</v>
      </c>
      <c r="C6391" s="38">
        <v>44949</v>
      </c>
      <c r="D6391" s="1" t="s">
        <v>267</v>
      </c>
      <c r="E6391" s="1" t="s">
        <v>33</v>
      </c>
      <c r="F6391" s="1" t="s">
        <v>209</v>
      </c>
      <c r="G6391" s="5">
        <v>907.54</v>
      </c>
    </row>
    <row r="6392" spans="1:7" x14ac:dyDescent="0.2">
      <c r="A6392" s="3">
        <v>360</v>
      </c>
      <c r="B6392" s="2">
        <v>326714.40000000002</v>
      </c>
      <c r="C6392" s="38">
        <v>44949</v>
      </c>
      <c r="D6392" s="1" t="s">
        <v>267</v>
      </c>
      <c r="E6392" s="1" t="s">
        <v>33</v>
      </c>
      <c r="F6392" s="1" t="s">
        <v>209</v>
      </c>
      <c r="G6392" s="5">
        <v>907.54</v>
      </c>
    </row>
    <row r="6393" spans="1:7" x14ac:dyDescent="0.2">
      <c r="A6393" s="3">
        <v>135</v>
      </c>
      <c r="B6393" s="2">
        <v>122517.9</v>
      </c>
      <c r="C6393" s="38">
        <v>44949</v>
      </c>
      <c r="D6393" s="1" t="s">
        <v>267</v>
      </c>
      <c r="E6393" s="1" t="s">
        <v>33</v>
      </c>
      <c r="F6393" s="1" t="s">
        <v>209</v>
      </c>
      <c r="G6393" s="5">
        <v>907.54</v>
      </c>
    </row>
    <row r="6394" spans="1:7" x14ac:dyDescent="0.2">
      <c r="A6394" s="3">
        <v>150</v>
      </c>
      <c r="B6394" s="2">
        <v>136131</v>
      </c>
      <c r="C6394" s="38">
        <v>44949</v>
      </c>
      <c r="D6394" s="1" t="s">
        <v>267</v>
      </c>
      <c r="E6394" s="1" t="s">
        <v>33</v>
      </c>
      <c r="F6394" s="1" t="s">
        <v>209</v>
      </c>
      <c r="G6394" s="5">
        <v>907.54</v>
      </c>
    </row>
    <row r="6395" spans="1:7" x14ac:dyDescent="0.2">
      <c r="A6395" s="3">
        <v>150</v>
      </c>
      <c r="B6395" s="2">
        <v>136131</v>
      </c>
      <c r="C6395" s="38">
        <v>44949</v>
      </c>
      <c r="D6395" s="1" t="s">
        <v>267</v>
      </c>
      <c r="E6395" s="1" t="s">
        <v>33</v>
      </c>
      <c r="F6395" s="1" t="s">
        <v>209</v>
      </c>
      <c r="G6395" s="5">
        <v>907.54</v>
      </c>
    </row>
    <row r="6396" spans="1:7" x14ac:dyDescent="0.2">
      <c r="A6396" s="3">
        <v>120</v>
      </c>
      <c r="B6396" s="2">
        <v>108904.8</v>
      </c>
      <c r="C6396" s="38">
        <v>44949</v>
      </c>
      <c r="D6396" s="1" t="s">
        <v>267</v>
      </c>
      <c r="E6396" s="1" t="s">
        <v>33</v>
      </c>
      <c r="F6396" s="1" t="s">
        <v>209</v>
      </c>
      <c r="G6396" s="5">
        <v>907.54</v>
      </c>
    </row>
    <row r="6397" spans="1:7" x14ac:dyDescent="0.2">
      <c r="A6397" s="3">
        <v>240</v>
      </c>
      <c r="B6397" s="2">
        <v>217809.6</v>
      </c>
      <c r="C6397" s="38">
        <v>44949</v>
      </c>
      <c r="D6397" s="1" t="s">
        <v>267</v>
      </c>
      <c r="E6397" s="1" t="s">
        <v>33</v>
      </c>
      <c r="F6397" s="1" t="s">
        <v>209</v>
      </c>
      <c r="G6397" s="5">
        <v>907.54</v>
      </c>
    </row>
    <row r="6398" spans="1:7" x14ac:dyDescent="0.2">
      <c r="A6398" s="3">
        <v>135</v>
      </c>
      <c r="B6398" s="2">
        <v>122517.9</v>
      </c>
      <c r="C6398" s="38">
        <v>44949</v>
      </c>
      <c r="D6398" s="1" t="s">
        <v>267</v>
      </c>
      <c r="E6398" s="1" t="s">
        <v>33</v>
      </c>
      <c r="F6398" s="1" t="s">
        <v>209</v>
      </c>
      <c r="G6398" s="5">
        <v>907.54</v>
      </c>
    </row>
    <row r="6399" spans="1:7" x14ac:dyDescent="0.2">
      <c r="A6399" s="3">
        <v>105</v>
      </c>
      <c r="B6399" s="2">
        <v>95291.7</v>
      </c>
      <c r="C6399" s="38">
        <v>44949</v>
      </c>
      <c r="D6399" s="1" t="s">
        <v>267</v>
      </c>
      <c r="E6399" s="1" t="s">
        <v>33</v>
      </c>
      <c r="F6399" s="1" t="s">
        <v>209</v>
      </c>
      <c r="G6399" s="5">
        <v>907.54</v>
      </c>
    </row>
    <row r="6400" spans="1:7" x14ac:dyDescent="0.2">
      <c r="A6400" s="3">
        <v>105</v>
      </c>
      <c r="B6400" s="2">
        <v>95291.7</v>
      </c>
      <c r="C6400" s="38">
        <v>44949</v>
      </c>
      <c r="D6400" s="1" t="s">
        <v>267</v>
      </c>
      <c r="E6400" s="1" t="s">
        <v>33</v>
      </c>
      <c r="F6400" s="1" t="s">
        <v>209</v>
      </c>
      <c r="G6400" s="5">
        <v>907.54</v>
      </c>
    </row>
    <row r="6401" spans="1:7" x14ac:dyDescent="0.2">
      <c r="A6401" s="3">
        <v>330</v>
      </c>
      <c r="B6401" s="2">
        <v>299488.2</v>
      </c>
      <c r="C6401" s="38">
        <v>44949</v>
      </c>
      <c r="D6401" s="1" t="s">
        <v>267</v>
      </c>
      <c r="E6401" s="1" t="s">
        <v>33</v>
      </c>
      <c r="F6401" s="1" t="s">
        <v>209</v>
      </c>
      <c r="G6401" s="5">
        <v>907.54</v>
      </c>
    </row>
    <row r="6402" spans="1:7" x14ac:dyDescent="0.2">
      <c r="A6402" s="3">
        <v>15</v>
      </c>
      <c r="B6402" s="2">
        <v>13613.1</v>
      </c>
      <c r="C6402" s="38">
        <v>44949</v>
      </c>
      <c r="D6402" s="1" t="s">
        <v>267</v>
      </c>
      <c r="E6402" s="1" t="s">
        <v>33</v>
      </c>
      <c r="F6402" s="1" t="s">
        <v>209</v>
      </c>
      <c r="G6402" s="5">
        <v>907.54</v>
      </c>
    </row>
    <row r="6403" spans="1:7" x14ac:dyDescent="0.2">
      <c r="A6403" s="3">
        <v>15</v>
      </c>
      <c r="B6403" s="2">
        <v>13613.1</v>
      </c>
      <c r="C6403" s="38">
        <v>44949</v>
      </c>
      <c r="D6403" s="1" t="s">
        <v>267</v>
      </c>
      <c r="E6403" s="1" t="s">
        <v>33</v>
      </c>
      <c r="F6403" s="1" t="s">
        <v>209</v>
      </c>
      <c r="G6403" s="5">
        <v>907.54</v>
      </c>
    </row>
    <row r="6404" spans="1:7" x14ac:dyDescent="0.2">
      <c r="A6404" s="3">
        <v>105</v>
      </c>
      <c r="B6404" s="2">
        <v>95291.7</v>
      </c>
      <c r="C6404" s="38">
        <v>44949</v>
      </c>
      <c r="D6404" s="1" t="s">
        <v>267</v>
      </c>
      <c r="E6404" s="1" t="s">
        <v>33</v>
      </c>
      <c r="F6404" s="1" t="s">
        <v>209</v>
      </c>
      <c r="G6404" s="5">
        <v>907.54</v>
      </c>
    </row>
    <row r="6405" spans="1:7" x14ac:dyDescent="0.2">
      <c r="A6405" s="3">
        <v>1820</v>
      </c>
      <c r="B6405" s="2">
        <v>4313.3999999999996</v>
      </c>
      <c r="C6405" s="38">
        <v>45019</v>
      </c>
      <c r="D6405" s="1" t="s">
        <v>250</v>
      </c>
      <c r="E6405" s="1" t="s">
        <v>33</v>
      </c>
      <c r="F6405" s="1" t="s">
        <v>209</v>
      </c>
      <c r="G6405" s="5">
        <v>2.37</v>
      </c>
    </row>
    <row r="6406" spans="1:7" x14ac:dyDescent="0.2">
      <c r="A6406" s="3">
        <v>168</v>
      </c>
      <c r="B6406" s="2">
        <v>40123.440000000002</v>
      </c>
      <c r="C6406" s="38">
        <v>45019</v>
      </c>
      <c r="D6406" s="1" t="s">
        <v>349</v>
      </c>
      <c r="E6406" s="1" t="s">
        <v>33</v>
      </c>
      <c r="F6406" s="1" t="s">
        <v>209</v>
      </c>
      <c r="G6406" s="5">
        <v>238.83</v>
      </c>
    </row>
    <row r="6407" spans="1:7" x14ac:dyDescent="0.2">
      <c r="A6407" s="3">
        <v>672</v>
      </c>
      <c r="B6407" s="2">
        <v>160493.76000000001</v>
      </c>
      <c r="C6407" s="38">
        <v>45019</v>
      </c>
      <c r="D6407" s="1" t="s">
        <v>349</v>
      </c>
      <c r="E6407" s="1" t="s">
        <v>33</v>
      </c>
      <c r="F6407" s="1" t="s">
        <v>209</v>
      </c>
      <c r="G6407" s="5">
        <v>238.83</v>
      </c>
    </row>
    <row r="6408" spans="1:7" x14ac:dyDescent="0.2">
      <c r="A6408" s="3">
        <v>1008</v>
      </c>
      <c r="B6408" s="2">
        <v>240740.64</v>
      </c>
      <c r="C6408" s="38">
        <v>45019</v>
      </c>
      <c r="D6408" s="1" t="s">
        <v>349</v>
      </c>
      <c r="E6408" s="1" t="s">
        <v>33</v>
      </c>
      <c r="F6408" s="1" t="s">
        <v>209</v>
      </c>
      <c r="G6408" s="5">
        <v>238.83</v>
      </c>
    </row>
    <row r="6409" spans="1:7" x14ac:dyDescent="0.2">
      <c r="A6409" s="3">
        <v>588</v>
      </c>
      <c r="B6409" s="2">
        <v>75075.839999999997</v>
      </c>
      <c r="C6409" s="38">
        <v>45019</v>
      </c>
      <c r="D6409" s="1" t="s">
        <v>363</v>
      </c>
      <c r="E6409" s="1" t="s">
        <v>33</v>
      </c>
      <c r="F6409" s="1" t="s">
        <v>209</v>
      </c>
      <c r="G6409" s="5">
        <v>127.68</v>
      </c>
    </row>
    <row r="6410" spans="1:7" x14ac:dyDescent="0.2">
      <c r="A6410" s="3">
        <v>108</v>
      </c>
      <c r="B6410" s="2">
        <v>12062.52</v>
      </c>
      <c r="C6410" s="38">
        <v>45019</v>
      </c>
      <c r="D6410" s="1" t="s">
        <v>350</v>
      </c>
      <c r="E6410" s="1" t="s">
        <v>33</v>
      </c>
      <c r="F6410" s="1" t="s">
        <v>209</v>
      </c>
      <c r="G6410" s="5">
        <v>111.69</v>
      </c>
    </row>
    <row r="6411" spans="1:7" x14ac:dyDescent="0.2">
      <c r="A6411" s="3">
        <v>78</v>
      </c>
      <c r="B6411" s="2">
        <v>8711.82</v>
      </c>
      <c r="C6411" s="38">
        <v>45019</v>
      </c>
      <c r="D6411" s="1" t="s">
        <v>350</v>
      </c>
      <c r="E6411" s="1" t="s">
        <v>33</v>
      </c>
      <c r="F6411" s="1" t="s">
        <v>209</v>
      </c>
      <c r="G6411" s="5">
        <v>111.69</v>
      </c>
    </row>
    <row r="6412" spans="1:7" x14ac:dyDescent="0.2">
      <c r="A6412" s="3">
        <v>2000</v>
      </c>
      <c r="B6412" s="2">
        <v>3880</v>
      </c>
      <c r="C6412" s="38">
        <v>45020</v>
      </c>
      <c r="D6412" s="1" t="s">
        <v>238</v>
      </c>
      <c r="E6412" s="1" t="s">
        <v>33</v>
      </c>
      <c r="F6412" s="1" t="s">
        <v>209</v>
      </c>
      <c r="G6412" s="5">
        <v>1.94</v>
      </c>
    </row>
    <row r="6413" spans="1:7" x14ac:dyDescent="0.2">
      <c r="A6413" s="3">
        <v>120</v>
      </c>
      <c r="B6413" s="2">
        <v>11030.4</v>
      </c>
      <c r="C6413" s="38">
        <v>45020</v>
      </c>
      <c r="D6413" s="1" t="s">
        <v>295</v>
      </c>
      <c r="E6413" s="1" t="s">
        <v>33</v>
      </c>
      <c r="F6413" s="1" t="s">
        <v>209</v>
      </c>
      <c r="G6413" s="5">
        <v>91.92</v>
      </c>
    </row>
    <row r="6414" spans="1:7" x14ac:dyDescent="0.2">
      <c r="A6414" s="3">
        <v>588</v>
      </c>
      <c r="B6414" s="2">
        <v>79585.8</v>
      </c>
      <c r="C6414" s="38">
        <v>45020</v>
      </c>
      <c r="D6414" s="1" t="s">
        <v>299</v>
      </c>
      <c r="E6414" s="1" t="s">
        <v>33</v>
      </c>
      <c r="F6414" s="1" t="s">
        <v>209</v>
      </c>
      <c r="G6414" s="5">
        <v>135.35</v>
      </c>
    </row>
    <row r="6415" spans="1:7" x14ac:dyDescent="0.2">
      <c r="A6415" s="3">
        <v>121</v>
      </c>
      <c r="B6415" s="2">
        <v>13514.49</v>
      </c>
      <c r="C6415" s="38">
        <v>45020</v>
      </c>
      <c r="D6415" s="1" t="s">
        <v>350</v>
      </c>
      <c r="E6415" s="1" t="s">
        <v>33</v>
      </c>
      <c r="F6415" s="1" t="s">
        <v>209</v>
      </c>
      <c r="G6415" s="5">
        <v>111.69</v>
      </c>
    </row>
    <row r="6416" spans="1:7" x14ac:dyDescent="0.2">
      <c r="A6416" s="3">
        <v>82</v>
      </c>
      <c r="B6416" s="2">
        <v>9158.58</v>
      </c>
      <c r="C6416" s="38">
        <v>45020</v>
      </c>
      <c r="D6416" s="1" t="s">
        <v>350</v>
      </c>
      <c r="E6416" s="1" t="s">
        <v>33</v>
      </c>
      <c r="F6416" s="1" t="s">
        <v>209</v>
      </c>
      <c r="G6416" s="5">
        <v>111.69</v>
      </c>
    </row>
    <row r="6417" spans="1:7" x14ac:dyDescent="0.2">
      <c r="A6417" s="3">
        <v>159</v>
      </c>
      <c r="B6417" s="2">
        <v>17758.71</v>
      </c>
      <c r="C6417" s="38">
        <v>45020</v>
      </c>
      <c r="D6417" s="1" t="s">
        <v>350</v>
      </c>
      <c r="E6417" s="1" t="s">
        <v>33</v>
      </c>
      <c r="F6417" s="1" t="s">
        <v>209</v>
      </c>
      <c r="G6417" s="5">
        <v>111.69</v>
      </c>
    </row>
    <row r="6418" spans="1:7" x14ac:dyDescent="0.2">
      <c r="A6418" s="3">
        <v>108</v>
      </c>
      <c r="B6418" s="2">
        <v>11654.28</v>
      </c>
      <c r="C6418" s="38">
        <v>45021</v>
      </c>
      <c r="D6418" s="1" t="s">
        <v>237</v>
      </c>
      <c r="E6418" s="1" t="s">
        <v>33</v>
      </c>
      <c r="F6418" s="1" t="s">
        <v>209</v>
      </c>
      <c r="G6418" s="5">
        <v>107.91</v>
      </c>
    </row>
    <row r="6419" spans="1:7" x14ac:dyDescent="0.2">
      <c r="A6419" s="3">
        <v>432</v>
      </c>
      <c r="B6419" s="2">
        <v>46617.120000000003</v>
      </c>
      <c r="C6419" s="38">
        <v>45021</v>
      </c>
      <c r="D6419" s="1" t="s">
        <v>237</v>
      </c>
      <c r="E6419" s="1" t="s">
        <v>33</v>
      </c>
      <c r="F6419" s="1" t="s">
        <v>209</v>
      </c>
      <c r="G6419" s="5">
        <v>107.91</v>
      </c>
    </row>
    <row r="6420" spans="1:7" x14ac:dyDescent="0.2">
      <c r="A6420" s="3">
        <v>108</v>
      </c>
      <c r="B6420" s="2">
        <v>11654.28</v>
      </c>
      <c r="C6420" s="38">
        <v>45021</v>
      </c>
      <c r="D6420" s="1" t="s">
        <v>237</v>
      </c>
      <c r="E6420" s="1" t="s">
        <v>33</v>
      </c>
      <c r="F6420" s="1" t="s">
        <v>209</v>
      </c>
      <c r="G6420" s="5">
        <v>107.91</v>
      </c>
    </row>
    <row r="6421" spans="1:7" x14ac:dyDescent="0.2">
      <c r="A6421" s="3">
        <v>540</v>
      </c>
      <c r="B6421" s="2">
        <v>58271.4</v>
      </c>
      <c r="C6421" s="38">
        <v>45021</v>
      </c>
      <c r="D6421" s="1" t="s">
        <v>237</v>
      </c>
      <c r="E6421" s="1" t="s">
        <v>33</v>
      </c>
      <c r="F6421" s="1" t="s">
        <v>209</v>
      </c>
      <c r="G6421" s="5">
        <v>107.91</v>
      </c>
    </row>
    <row r="6422" spans="1:7" x14ac:dyDescent="0.2">
      <c r="A6422" s="3">
        <v>108</v>
      </c>
      <c r="B6422" s="2">
        <v>11654.28</v>
      </c>
      <c r="C6422" s="38">
        <v>45021</v>
      </c>
      <c r="D6422" s="1" t="s">
        <v>237</v>
      </c>
      <c r="E6422" s="1" t="s">
        <v>33</v>
      </c>
      <c r="F6422" s="1" t="s">
        <v>209</v>
      </c>
      <c r="G6422" s="5">
        <v>107.91</v>
      </c>
    </row>
    <row r="6423" spans="1:7" x14ac:dyDescent="0.2">
      <c r="A6423" s="3">
        <v>108</v>
      </c>
      <c r="B6423" s="2">
        <v>11654.28</v>
      </c>
      <c r="C6423" s="38">
        <v>45021</v>
      </c>
      <c r="D6423" s="1" t="s">
        <v>237</v>
      </c>
      <c r="E6423" s="1" t="s">
        <v>33</v>
      </c>
      <c r="F6423" s="1" t="s">
        <v>209</v>
      </c>
      <c r="G6423" s="5">
        <v>107.91</v>
      </c>
    </row>
    <row r="6424" spans="1:7" x14ac:dyDescent="0.2">
      <c r="A6424" s="3">
        <v>324</v>
      </c>
      <c r="B6424" s="2">
        <v>34962.839999999997</v>
      </c>
      <c r="C6424" s="38">
        <v>45021</v>
      </c>
      <c r="D6424" s="1" t="s">
        <v>237</v>
      </c>
      <c r="E6424" s="1" t="s">
        <v>33</v>
      </c>
      <c r="F6424" s="1" t="s">
        <v>209</v>
      </c>
      <c r="G6424" s="5">
        <v>107.91</v>
      </c>
    </row>
    <row r="6425" spans="1:7" x14ac:dyDescent="0.2">
      <c r="A6425" s="3">
        <v>216</v>
      </c>
      <c r="B6425" s="2">
        <v>23308.560000000001</v>
      </c>
      <c r="C6425" s="38">
        <v>45021</v>
      </c>
      <c r="D6425" s="1" t="s">
        <v>237</v>
      </c>
      <c r="E6425" s="1" t="s">
        <v>33</v>
      </c>
      <c r="F6425" s="1" t="s">
        <v>209</v>
      </c>
      <c r="G6425" s="5">
        <v>107.91</v>
      </c>
    </row>
    <row r="6426" spans="1:7" x14ac:dyDescent="0.2">
      <c r="A6426" s="3">
        <v>216</v>
      </c>
      <c r="B6426" s="2">
        <v>23308.560000000001</v>
      </c>
      <c r="C6426" s="38">
        <v>45021</v>
      </c>
      <c r="D6426" s="1" t="s">
        <v>237</v>
      </c>
      <c r="E6426" s="1" t="s">
        <v>33</v>
      </c>
      <c r="F6426" s="1" t="s">
        <v>209</v>
      </c>
      <c r="G6426" s="5">
        <v>107.91</v>
      </c>
    </row>
    <row r="6427" spans="1:7" x14ac:dyDescent="0.2">
      <c r="A6427" s="3">
        <v>108</v>
      </c>
      <c r="B6427" s="2">
        <v>11654.28</v>
      </c>
      <c r="C6427" s="38">
        <v>45021</v>
      </c>
      <c r="D6427" s="1" t="s">
        <v>237</v>
      </c>
      <c r="E6427" s="1" t="s">
        <v>33</v>
      </c>
      <c r="F6427" s="1" t="s">
        <v>209</v>
      </c>
      <c r="G6427" s="5">
        <v>107.91</v>
      </c>
    </row>
    <row r="6428" spans="1:7" x14ac:dyDescent="0.2">
      <c r="A6428" s="3">
        <v>324</v>
      </c>
      <c r="B6428" s="2">
        <v>34962.839999999997</v>
      </c>
      <c r="C6428" s="38">
        <v>45021</v>
      </c>
      <c r="D6428" s="1" t="s">
        <v>237</v>
      </c>
      <c r="E6428" s="1" t="s">
        <v>33</v>
      </c>
      <c r="F6428" s="1" t="s">
        <v>209</v>
      </c>
      <c r="G6428" s="5">
        <v>107.91</v>
      </c>
    </row>
    <row r="6429" spans="1:7" x14ac:dyDescent="0.2">
      <c r="A6429" s="3">
        <v>108</v>
      </c>
      <c r="B6429" s="2">
        <v>11654.28</v>
      </c>
      <c r="C6429" s="38">
        <v>45021</v>
      </c>
      <c r="D6429" s="1" t="s">
        <v>237</v>
      </c>
      <c r="E6429" s="1" t="s">
        <v>33</v>
      </c>
      <c r="F6429" s="1" t="s">
        <v>209</v>
      </c>
      <c r="G6429" s="5">
        <v>107.91</v>
      </c>
    </row>
    <row r="6430" spans="1:7" x14ac:dyDescent="0.2">
      <c r="A6430" s="3">
        <v>216</v>
      </c>
      <c r="B6430" s="2">
        <v>23308.560000000001</v>
      </c>
      <c r="C6430" s="38">
        <v>45021</v>
      </c>
      <c r="D6430" s="1" t="s">
        <v>237</v>
      </c>
      <c r="E6430" s="1" t="s">
        <v>33</v>
      </c>
      <c r="F6430" s="1" t="s">
        <v>209</v>
      </c>
      <c r="G6430" s="5">
        <v>107.91</v>
      </c>
    </row>
    <row r="6431" spans="1:7" x14ac:dyDescent="0.2">
      <c r="A6431" s="3">
        <v>108</v>
      </c>
      <c r="B6431" s="2">
        <v>11654.28</v>
      </c>
      <c r="C6431" s="38">
        <v>45021</v>
      </c>
      <c r="D6431" s="1" t="s">
        <v>237</v>
      </c>
      <c r="E6431" s="1" t="s">
        <v>33</v>
      </c>
      <c r="F6431" s="1" t="s">
        <v>209</v>
      </c>
      <c r="G6431" s="5">
        <v>107.91</v>
      </c>
    </row>
    <row r="6432" spans="1:7" x14ac:dyDescent="0.2">
      <c r="A6432" s="3">
        <v>108</v>
      </c>
      <c r="B6432" s="2">
        <v>11654.28</v>
      </c>
      <c r="C6432" s="38">
        <v>45021</v>
      </c>
      <c r="D6432" s="1" t="s">
        <v>237</v>
      </c>
      <c r="E6432" s="1" t="s">
        <v>33</v>
      </c>
      <c r="F6432" s="1" t="s">
        <v>209</v>
      </c>
      <c r="G6432" s="5">
        <v>107.91</v>
      </c>
    </row>
    <row r="6433" spans="1:7" x14ac:dyDescent="0.2">
      <c r="A6433" s="3">
        <v>216</v>
      </c>
      <c r="B6433" s="2">
        <v>23308.560000000001</v>
      </c>
      <c r="C6433" s="38">
        <v>45021</v>
      </c>
      <c r="D6433" s="1" t="s">
        <v>237</v>
      </c>
      <c r="E6433" s="1" t="s">
        <v>33</v>
      </c>
      <c r="F6433" s="1" t="s">
        <v>209</v>
      </c>
      <c r="G6433" s="5">
        <v>107.91</v>
      </c>
    </row>
    <row r="6434" spans="1:7" x14ac:dyDescent="0.2">
      <c r="A6434" s="3">
        <v>216</v>
      </c>
      <c r="B6434" s="2">
        <v>23308.560000000001</v>
      </c>
      <c r="C6434" s="38">
        <v>45027</v>
      </c>
      <c r="D6434" s="1" t="s">
        <v>237</v>
      </c>
      <c r="E6434" s="1" t="s">
        <v>33</v>
      </c>
      <c r="F6434" s="1" t="s">
        <v>209</v>
      </c>
      <c r="G6434" s="5">
        <v>107.91</v>
      </c>
    </row>
    <row r="6435" spans="1:7" x14ac:dyDescent="0.2">
      <c r="A6435" s="3">
        <v>216</v>
      </c>
      <c r="B6435" s="2">
        <v>23308.560000000001</v>
      </c>
      <c r="C6435" s="38">
        <v>45027</v>
      </c>
      <c r="D6435" s="1" t="s">
        <v>237</v>
      </c>
      <c r="E6435" s="1" t="s">
        <v>33</v>
      </c>
      <c r="F6435" s="1" t="s">
        <v>209</v>
      </c>
      <c r="G6435" s="5">
        <v>107.91</v>
      </c>
    </row>
    <row r="6436" spans="1:7" x14ac:dyDescent="0.2">
      <c r="A6436" s="3">
        <v>74</v>
      </c>
      <c r="B6436" s="2">
        <v>33352.54</v>
      </c>
      <c r="C6436" s="38">
        <v>45027</v>
      </c>
      <c r="D6436" s="1" t="s">
        <v>240</v>
      </c>
      <c r="E6436" s="1" t="s">
        <v>33</v>
      </c>
      <c r="F6436" s="1" t="s">
        <v>209</v>
      </c>
      <c r="G6436" s="5">
        <v>450.71</v>
      </c>
    </row>
    <row r="6437" spans="1:7" x14ac:dyDescent="0.2">
      <c r="A6437" s="3">
        <v>46</v>
      </c>
      <c r="B6437" s="2">
        <v>20732.66</v>
      </c>
      <c r="C6437" s="38">
        <v>45027</v>
      </c>
      <c r="D6437" s="1" t="s">
        <v>240</v>
      </c>
      <c r="E6437" s="1" t="s">
        <v>33</v>
      </c>
      <c r="F6437" s="1" t="s">
        <v>209</v>
      </c>
      <c r="G6437" s="5">
        <v>450.71</v>
      </c>
    </row>
    <row r="6438" spans="1:7" x14ac:dyDescent="0.2">
      <c r="A6438" s="3">
        <v>158</v>
      </c>
      <c r="B6438" s="2">
        <v>71212.179999999993</v>
      </c>
      <c r="C6438" s="38">
        <v>45027</v>
      </c>
      <c r="D6438" s="1" t="s">
        <v>240</v>
      </c>
      <c r="E6438" s="1" t="s">
        <v>33</v>
      </c>
      <c r="F6438" s="1" t="s">
        <v>209</v>
      </c>
      <c r="G6438" s="5">
        <v>450.71</v>
      </c>
    </row>
    <row r="6439" spans="1:7" x14ac:dyDescent="0.2">
      <c r="A6439" s="3">
        <v>82</v>
      </c>
      <c r="B6439" s="2">
        <v>34866.400000000001</v>
      </c>
      <c r="C6439" s="38">
        <v>45027</v>
      </c>
      <c r="D6439" s="1" t="s">
        <v>240</v>
      </c>
      <c r="E6439" s="1" t="s">
        <v>33</v>
      </c>
      <c r="F6439" s="1" t="s">
        <v>209</v>
      </c>
      <c r="G6439" s="5">
        <v>425.2</v>
      </c>
    </row>
    <row r="6440" spans="1:7" x14ac:dyDescent="0.2">
      <c r="A6440" s="3">
        <v>120</v>
      </c>
      <c r="B6440" s="2">
        <v>54085.2</v>
      </c>
      <c r="C6440" s="38">
        <v>45027</v>
      </c>
      <c r="D6440" s="1" t="s">
        <v>240</v>
      </c>
      <c r="E6440" s="1" t="s">
        <v>33</v>
      </c>
      <c r="F6440" s="1" t="s">
        <v>209</v>
      </c>
      <c r="G6440" s="5">
        <v>450.71</v>
      </c>
    </row>
    <row r="6441" spans="1:7" x14ac:dyDescent="0.2">
      <c r="A6441" s="3">
        <v>82</v>
      </c>
      <c r="B6441" s="2">
        <v>36958.22</v>
      </c>
      <c r="C6441" s="38">
        <v>45027</v>
      </c>
      <c r="D6441" s="1" t="s">
        <v>240</v>
      </c>
      <c r="E6441" s="1" t="s">
        <v>33</v>
      </c>
      <c r="F6441" s="1" t="s">
        <v>209</v>
      </c>
      <c r="G6441" s="5">
        <v>450.71</v>
      </c>
    </row>
    <row r="6442" spans="1:7" x14ac:dyDescent="0.2">
      <c r="A6442" s="3">
        <v>30</v>
      </c>
      <c r="B6442" s="2">
        <v>22780.2</v>
      </c>
      <c r="C6442" s="38">
        <v>45028</v>
      </c>
      <c r="D6442" s="1" t="s">
        <v>265</v>
      </c>
      <c r="E6442" s="1" t="s">
        <v>33</v>
      </c>
      <c r="F6442" s="1" t="s">
        <v>209</v>
      </c>
      <c r="G6442" s="5">
        <v>759.34</v>
      </c>
    </row>
    <row r="6443" spans="1:7" x14ac:dyDescent="0.2">
      <c r="A6443" s="3">
        <v>60</v>
      </c>
      <c r="B6443" s="2">
        <v>45560.4</v>
      </c>
      <c r="C6443" s="38">
        <v>45028</v>
      </c>
      <c r="D6443" s="1" t="s">
        <v>265</v>
      </c>
      <c r="E6443" s="1" t="s">
        <v>33</v>
      </c>
      <c r="F6443" s="1" t="s">
        <v>209</v>
      </c>
      <c r="G6443" s="5">
        <v>759.34</v>
      </c>
    </row>
    <row r="6444" spans="1:7" x14ac:dyDescent="0.2">
      <c r="A6444" s="3">
        <v>180</v>
      </c>
      <c r="B6444" s="2">
        <v>136681.20000000001</v>
      </c>
      <c r="C6444" s="38">
        <v>45028</v>
      </c>
      <c r="D6444" s="1" t="s">
        <v>265</v>
      </c>
      <c r="E6444" s="1" t="s">
        <v>33</v>
      </c>
      <c r="F6444" s="1" t="s">
        <v>209</v>
      </c>
      <c r="G6444" s="5">
        <v>759.34</v>
      </c>
    </row>
    <row r="6445" spans="1:7" x14ac:dyDescent="0.2">
      <c r="A6445" s="3">
        <v>60</v>
      </c>
      <c r="B6445" s="2">
        <v>45560.4</v>
      </c>
      <c r="C6445" s="38">
        <v>45028</v>
      </c>
      <c r="D6445" s="1" t="s">
        <v>265</v>
      </c>
      <c r="E6445" s="1" t="s">
        <v>33</v>
      </c>
      <c r="F6445" s="1" t="s">
        <v>209</v>
      </c>
      <c r="G6445" s="5">
        <v>759.34</v>
      </c>
    </row>
    <row r="6446" spans="1:7" x14ac:dyDescent="0.2">
      <c r="A6446" s="3">
        <v>60</v>
      </c>
      <c r="B6446" s="2">
        <v>45560.4</v>
      </c>
      <c r="C6446" s="38">
        <v>45028</v>
      </c>
      <c r="D6446" s="1" t="s">
        <v>265</v>
      </c>
      <c r="E6446" s="1" t="s">
        <v>33</v>
      </c>
      <c r="F6446" s="1" t="s">
        <v>209</v>
      </c>
      <c r="G6446" s="5">
        <v>759.34</v>
      </c>
    </row>
    <row r="6447" spans="1:7" x14ac:dyDescent="0.2">
      <c r="A6447" s="3">
        <v>270</v>
      </c>
      <c r="B6447" s="2">
        <v>205021.8</v>
      </c>
      <c r="C6447" s="38">
        <v>45028</v>
      </c>
      <c r="D6447" s="1" t="s">
        <v>265</v>
      </c>
      <c r="E6447" s="1" t="s">
        <v>33</v>
      </c>
      <c r="F6447" s="1" t="s">
        <v>209</v>
      </c>
      <c r="G6447" s="5">
        <v>759.34</v>
      </c>
    </row>
    <row r="6448" spans="1:7" x14ac:dyDescent="0.2">
      <c r="A6448" s="3">
        <v>60</v>
      </c>
      <c r="B6448" s="2">
        <v>45560.4</v>
      </c>
      <c r="C6448" s="38">
        <v>45028</v>
      </c>
      <c r="D6448" s="1" t="s">
        <v>265</v>
      </c>
      <c r="E6448" s="1" t="s">
        <v>33</v>
      </c>
      <c r="F6448" s="1" t="s">
        <v>209</v>
      </c>
      <c r="G6448" s="5">
        <v>759.34</v>
      </c>
    </row>
    <row r="6449" spans="1:7" x14ac:dyDescent="0.2">
      <c r="A6449" s="3">
        <v>90</v>
      </c>
      <c r="B6449" s="2">
        <v>68340.600000000006</v>
      </c>
      <c r="C6449" s="38">
        <v>45028</v>
      </c>
      <c r="D6449" s="1" t="s">
        <v>265</v>
      </c>
      <c r="E6449" s="1" t="s">
        <v>33</v>
      </c>
      <c r="F6449" s="1" t="s">
        <v>209</v>
      </c>
      <c r="G6449" s="5">
        <v>759.34</v>
      </c>
    </row>
    <row r="6450" spans="1:7" x14ac:dyDescent="0.2">
      <c r="A6450" s="3">
        <v>360</v>
      </c>
      <c r="B6450" s="2">
        <v>273362.40000000002</v>
      </c>
      <c r="C6450" s="38">
        <v>45028</v>
      </c>
      <c r="D6450" s="1" t="s">
        <v>265</v>
      </c>
      <c r="E6450" s="1" t="s">
        <v>33</v>
      </c>
      <c r="F6450" s="1" t="s">
        <v>209</v>
      </c>
      <c r="G6450" s="5">
        <v>759.34</v>
      </c>
    </row>
    <row r="6451" spans="1:7" x14ac:dyDescent="0.2">
      <c r="A6451" s="3">
        <v>25</v>
      </c>
      <c r="B6451" s="2">
        <v>47304.75</v>
      </c>
      <c r="C6451" s="38">
        <v>44953</v>
      </c>
      <c r="D6451" s="1" t="s">
        <v>302</v>
      </c>
      <c r="E6451" s="1" t="s">
        <v>33</v>
      </c>
      <c r="F6451" s="1" t="s">
        <v>209</v>
      </c>
      <c r="G6451" s="5">
        <v>1892.19</v>
      </c>
    </row>
    <row r="6452" spans="1:7" x14ac:dyDescent="0.2">
      <c r="A6452" s="3">
        <v>65</v>
      </c>
      <c r="B6452" s="2">
        <v>122992.35</v>
      </c>
      <c r="C6452" s="38">
        <v>44953</v>
      </c>
      <c r="D6452" s="1" t="s">
        <v>302</v>
      </c>
      <c r="E6452" s="1" t="s">
        <v>33</v>
      </c>
      <c r="F6452" s="1" t="s">
        <v>209</v>
      </c>
      <c r="G6452" s="5">
        <v>1892.19</v>
      </c>
    </row>
    <row r="6453" spans="1:7" x14ac:dyDescent="0.2">
      <c r="A6453" s="3">
        <v>65</v>
      </c>
      <c r="B6453" s="2">
        <v>122992.35</v>
      </c>
      <c r="C6453" s="38">
        <v>44953</v>
      </c>
      <c r="D6453" s="1" t="s">
        <v>302</v>
      </c>
      <c r="E6453" s="1" t="s">
        <v>33</v>
      </c>
      <c r="F6453" s="1" t="s">
        <v>209</v>
      </c>
      <c r="G6453" s="5">
        <v>1892.19</v>
      </c>
    </row>
    <row r="6454" spans="1:7" x14ac:dyDescent="0.2">
      <c r="A6454" s="3">
        <v>65</v>
      </c>
      <c r="B6454" s="2">
        <v>122992.35</v>
      </c>
      <c r="C6454" s="38">
        <v>44953</v>
      </c>
      <c r="D6454" s="1" t="s">
        <v>302</v>
      </c>
      <c r="E6454" s="1" t="s">
        <v>33</v>
      </c>
      <c r="F6454" s="1" t="s">
        <v>209</v>
      </c>
      <c r="G6454" s="5">
        <v>1892.19</v>
      </c>
    </row>
    <row r="6455" spans="1:7" x14ac:dyDescent="0.2">
      <c r="A6455" s="3">
        <v>65</v>
      </c>
      <c r="B6455" s="2">
        <v>122992.35</v>
      </c>
      <c r="C6455" s="38">
        <v>44953</v>
      </c>
      <c r="D6455" s="1" t="s">
        <v>302</v>
      </c>
      <c r="E6455" s="1" t="s">
        <v>33</v>
      </c>
      <c r="F6455" s="1" t="s">
        <v>209</v>
      </c>
      <c r="G6455" s="5">
        <v>1892.19</v>
      </c>
    </row>
    <row r="6456" spans="1:7" x14ac:dyDescent="0.2">
      <c r="A6456" s="3">
        <v>65</v>
      </c>
      <c r="B6456" s="2">
        <v>122992.35</v>
      </c>
      <c r="C6456" s="38">
        <v>44953</v>
      </c>
      <c r="D6456" s="1" t="s">
        <v>302</v>
      </c>
      <c r="E6456" s="1" t="s">
        <v>33</v>
      </c>
      <c r="F6456" s="1" t="s">
        <v>209</v>
      </c>
      <c r="G6456" s="5">
        <v>1892.19</v>
      </c>
    </row>
    <row r="6457" spans="1:7" x14ac:dyDescent="0.2">
      <c r="A6457" s="3">
        <v>70</v>
      </c>
      <c r="B6457" s="2">
        <v>132453.29999999999</v>
      </c>
      <c r="C6457" s="38">
        <v>44953</v>
      </c>
      <c r="D6457" s="1" t="s">
        <v>302</v>
      </c>
      <c r="E6457" s="1" t="s">
        <v>33</v>
      </c>
      <c r="F6457" s="1" t="s">
        <v>209</v>
      </c>
      <c r="G6457" s="5">
        <v>1892.19</v>
      </c>
    </row>
    <row r="6458" spans="1:7" x14ac:dyDescent="0.2">
      <c r="A6458" s="3">
        <v>18</v>
      </c>
      <c r="B6458" s="2">
        <v>34059.42</v>
      </c>
      <c r="C6458" s="38">
        <v>44953</v>
      </c>
      <c r="D6458" s="1" t="s">
        <v>302</v>
      </c>
      <c r="E6458" s="1" t="s">
        <v>33</v>
      </c>
      <c r="F6458" s="1" t="s">
        <v>209</v>
      </c>
      <c r="G6458" s="5">
        <v>1892.19</v>
      </c>
    </row>
    <row r="6459" spans="1:7" x14ac:dyDescent="0.2">
      <c r="A6459" s="3">
        <v>192</v>
      </c>
      <c r="B6459" s="2">
        <v>363300.48</v>
      </c>
      <c r="C6459" s="38">
        <v>44953</v>
      </c>
      <c r="D6459" s="1" t="s">
        <v>302</v>
      </c>
      <c r="E6459" s="1" t="s">
        <v>33</v>
      </c>
      <c r="F6459" s="1" t="s">
        <v>209</v>
      </c>
      <c r="G6459" s="5">
        <v>1892.19</v>
      </c>
    </row>
    <row r="6460" spans="1:7" x14ac:dyDescent="0.2">
      <c r="A6460" s="3">
        <v>98</v>
      </c>
      <c r="B6460" s="2">
        <v>185434.62</v>
      </c>
      <c r="C6460" s="38">
        <v>44953</v>
      </c>
      <c r="D6460" s="1" t="s">
        <v>302</v>
      </c>
      <c r="E6460" s="1" t="s">
        <v>33</v>
      </c>
      <c r="F6460" s="1" t="s">
        <v>209</v>
      </c>
      <c r="G6460" s="5">
        <v>1892.19</v>
      </c>
    </row>
    <row r="6461" spans="1:7" x14ac:dyDescent="0.2">
      <c r="A6461" s="3">
        <v>30</v>
      </c>
      <c r="B6461" s="2">
        <v>56765.7</v>
      </c>
      <c r="C6461" s="38">
        <v>44953</v>
      </c>
      <c r="D6461" s="1" t="s">
        <v>302</v>
      </c>
      <c r="E6461" s="1" t="s">
        <v>33</v>
      </c>
      <c r="F6461" s="1" t="s">
        <v>209</v>
      </c>
      <c r="G6461" s="5">
        <v>1892.19</v>
      </c>
    </row>
    <row r="6462" spans="1:7" x14ac:dyDescent="0.2">
      <c r="A6462" s="3">
        <v>392</v>
      </c>
      <c r="B6462" s="2">
        <v>741738.48</v>
      </c>
      <c r="C6462" s="38">
        <v>44953</v>
      </c>
      <c r="D6462" s="1" t="s">
        <v>302</v>
      </c>
      <c r="E6462" s="1" t="s">
        <v>33</v>
      </c>
      <c r="F6462" s="1" t="s">
        <v>209</v>
      </c>
      <c r="G6462" s="5">
        <v>1892.19</v>
      </c>
    </row>
    <row r="6463" spans="1:7" x14ac:dyDescent="0.2">
      <c r="A6463" s="3">
        <v>98</v>
      </c>
      <c r="B6463" s="2">
        <v>185434.62</v>
      </c>
      <c r="C6463" s="38">
        <v>44953</v>
      </c>
      <c r="D6463" s="1" t="s">
        <v>302</v>
      </c>
      <c r="E6463" s="1" t="s">
        <v>33</v>
      </c>
      <c r="F6463" s="1" t="s">
        <v>209</v>
      </c>
      <c r="G6463" s="5">
        <v>1892.19</v>
      </c>
    </row>
    <row r="6464" spans="1:7" x14ac:dyDescent="0.2">
      <c r="A6464" s="3">
        <v>92</v>
      </c>
      <c r="B6464" s="2">
        <v>174081.48</v>
      </c>
      <c r="C6464" s="38">
        <v>44953</v>
      </c>
      <c r="D6464" s="1" t="s">
        <v>302</v>
      </c>
      <c r="E6464" s="1" t="s">
        <v>33</v>
      </c>
      <c r="F6464" s="1" t="s">
        <v>209</v>
      </c>
      <c r="G6464" s="5">
        <v>1892.19</v>
      </c>
    </row>
    <row r="6465" spans="1:7" x14ac:dyDescent="0.2">
      <c r="A6465" s="3">
        <v>98</v>
      </c>
      <c r="B6465" s="2">
        <v>185434.62</v>
      </c>
      <c r="C6465" s="38">
        <v>44953</v>
      </c>
      <c r="D6465" s="1" t="s">
        <v>302</v>
      </c>
      <c r="E6465" s="1" t="s">
        <v>33</v>
      </c>
      <c r="F6465" s="1" t="s">
        <v>209</v>
      </c>
      <c r="G6465" s="5">
        <v>1892.19</v>
      </c>
    </row>
    <row r="6466" spans="1:7" x14ac:dyDescent="0.2">
      <c r="A6466" s="3">
        <v>98</v>
      </c>
      <c r="B6466" s="2">
        <v>185434.62</v>
      </c>
      <c r="C6466" s="38">
        <v>44953</v>
      </c>
      <c r="D6466" s="1" t="s">
        <v>302</v>
      </c>
      <c r="E6466" s="1" t="s">
        <v>33</v>
      </c>
      <c r="F6466" s="1" t="s">
        <v>209</v>
      </c>
      <c r="G6466" s="5">
        <v>1892.19</v>
      </c>
    </row>
    <row r="6467" spans="1:7" x14ac:dyDescent="0.2">
      <c r="A6467" s="3">
        <v>3024</v>
      </c>
      <c r="B6467" s="2">
        <v>126493.92</v>
      </c>
      <c r="C6467" s="38">
        <v>44956</v>
      </c>
      <c r="D6467" s="1" t="s">
        <v>242</v>
      </c>
      <c r="E6467" s="1" t="s">
        <v>33</v>
      </c>
      <c r="F6467" s="1" t="s">
        <v>209</v>
      </c>
      <c r="G6467" s="5">
        <v>41.83</v>
      </c>
    </row>
    <row r="6468" spans="1:7" x14ac:dyDescent="0.2">
      <c r="A6468" s="3">
        <v>84</v>
      </c>
      <c r="B6468" s="2">
        <v>20061.72</v>
      </c>
      <c r="C6468" s="38">
        <v>44956</v>
      </c>
      <c r="D6468" s="1" t="s">
        <v>349</v>
      </c>
      <c r="E6468" s="1" t="s">
        <v>33</v>
      </c>
      <c r="F6468" s="1" t="s">
        <v>209</v>
      </c>
      <c r="G6468" s="5">
        <v>238.83</v>
      </c>
    </row>
    <row r="6469" spans="1:7" x14ac:dyDescent="0.2">
      <c r="A6469" s="3">
        <v>84</v>
      </c>
      <c r="B6469" s="2">
        <v>20061.72</v>
      </c>
      <c r="C6469" s="38">
        <v>44956</v>
      </c>
      <c r="D6469" s="1" t="s">
        <v>349</v>
      </c>
      <c r="E6469" s="1" t="s">
        <v>33</v>
      </c>
      <c r="F6469" s="1" t="s">
        <v>209</v>
      </c>
      <c r="G6469" s="5">
        <v>238.83</v>
      </c>
    </row>
    <row r="6470" spans="1:7" x14ac:dyDescent="0.2">
      <c r="A6470" s="3">
        <v>84</v>
      </c>
      <c r="B6470" s="2">
        <v>20061.72</v>
      </c>
      <c r="C6470" s="38">
        <v>44956</v>
      </c>
      <c r="D6470" s="1" t="s">
        <v>349</v>
      </c>
      <c r="E6470" s="1" t="s">
        <v>33</v>
      </c>
      <c r="F6470" s="1" t="s">
        <v>209</v>
      </c>
      <c r="G6470" s="5">
        <v>238.83</v>
      </c>
    </row>
    <row r="6471" spans="1:7" x14ac:dyDescent="0.2">
      <c r="A6471" s="3">
        <v>108</v>
      </c>
      <c r="B6471" s="2">
        <v>11654.28</v>
      </c>
      <c r="C6471" s="38">
        <v>45055</v>
      </c>
      <c r="D6471" s="1" t="s">
        <v>237</v>
      </c>
      <c r="E6471" s="1" t="s">
        <v>33</v>
      </c>
      <c r="F6471" s="1" t="s">
        <v>209</v>
      </c>
      <c r="G6471" s="5">
        <v>107.91</v>
      </c>
    </row>
    <row r="6472" spans="1:7" x14ac:dyDescent="0.2">
      <c r="A6472" s="3">
        <v>540</v>
      </c>
      <c r="B6472" s="2">
        <v>58271.4</v>
      </c>
      <c r="C6472" s="38">
        <v>45055</v>
      </c>
      <c r="D6472" s="1" t="s">
        <v>237</v>
      </c>
      <c r="E6472" s="1" t="s">
        <v>33</v>
      </c>
      <c r="F6472" s="1" t="s">
        <v>209</v>
      </c>
      <c r="G6472" s="5">
        <v>107.91</v>
      </c>
    </row>
    <row r="6473" spans="1:7" x14ac:dyDescent="0.2">
      <c r="A6473" s="3">
        <v>324</v>
      </c>
      <c r="B6473" s="2">
        <v>34962.839999999997</v>
      </c>
      <c r="C6473" s="38">
        <v>45055</v>
      </c>
      <c r="D6473" s="1" t="s">
        <v>237</v>
      </c>
      <c r="E6473" s="1" t="s">
        <v>33</v>
      </c>
      <c r="F6473" s="1" t="s">
        <v>209</v>
      </c>
      <c r="G6473" s="5">
        <v>107.91</v>
      </c>
    </row>
    <row r="6474" spans="1:7" x14ac:dyDescent="0.2">
      <c r="A6474" s="3">
        <v>324</v>
      </c>
      <c r="B6474" s="2">
        <v>34962.839999999997</v>
      </c>
      <c r="C6474" s="38">
        <v>45055</v>
      </c>
      <c r="D6474" s="1" t="s">
        <v>237</v>
      </c>
      <c r="E6474" s="1" t="s">
        <v>33</v>
      </c>
      <c r="F6474" s="1" t="s">
        <v>209</v>
      </c>
      <c r="G6474" s="5">
        <v>107.91</v>
      </c>
    </row>
    <row r="6475" spans="1:7" x14ac:dyDescent="0.2">
      <c r="A6475" s="3">
        <v>324</v>
      </c>
      <c r="B6475" s="2">
        <v>34962.839999999997</v>
      </c>
      <c r="C6475" s="38">
        <v>45055</v>
      </c>
      <c r="D6475" s="1" t="s">
        <v>237</v>
      </c>
      <c r="E6475" s="1" t="s">
        <v>33</v>
      </c>
      <c r="F6475" s="1" t="s">
        <v>209</v>
      </c>
      <c r="G6475" s="5">
        <v>107.91</v>
      </c>
    </row>
    <row r="6476" spans="1:7" x14ac:dyDescent="0.2">
      <c r="A6476" s="3">
        <v>2000</v>
      </c>
      <c r="B6476" s="2">
        <v>3880</v>
      </c>
      <c r="C6476" s="38">
        <v>45055</v>
      </c>
      <c r="D6476" s="1" t="s">
        <v>238</v>
      </c>
      <c r="E6476" s="1" t="s">
        <v>33</v>
      </c>
      <c r="F6476" s="1" t="s">
        <v>209</v>
      </c>
      <c r="G6476" s="5">
        <v>1.94</v>
      </c>
    </row>
    <row r="6477" spans="1:7" x14ac:dyDescent="0.2">
      <c r="A6477" s="3">
        <v>120</v>
      </c>
      <c r="B6477" s="2">
        <v>54085.2</v>
      </c>
      <c r="C6477" s="38">
        <v>45055</v>
      </c>
      <c r="D6477" s="1" t="s">
        <v>240</v>
      </c>
      <c r="E6477" s="1" t="s">
        <v>33</v>
      </c>
      <c r="F6477" s="1" t="s">
        <v>209</v>
      </c>
      <c r="G6477" s="5">
        <v>450.71</v>
      </c>
    </row>
    <row r="6478" spans="1:7" x14ac:dyDescent="0.2">
      <c r="A6478" s="3">
        <v>240</v>
      </c>
      <c r="B6478" s="2">
        <v>105348</v>
      </c>
      <c r="C6478" s="38">
        <v>45055</v>
      </c>
      <c r="D6478" s="1" t="s">
        <v>248</v>
      </c>
      <c r="E6478" s="1" t="s">
        <v>33</v>
      </c>
      <c r="F6478" s="1" t="s">
        <v>209</v>
      </c>
      <c r="G6478" s="5">
        <v>438.95</v>
      </c>
    </row>
    <row r="6479" spans="1:7" x14ac:dyDescent="0.2">
      <c r="A6479" s="3">
        <v>360</v>
      </c>
      <c r="B6479" s="2">
        <v>158022</v>
      </c>
      <c r="C6479" s="38">
        <v>45055</v>
      </c>
      <c r="D6479" s="1" t="s">
        <v>248</v>
      </c>
      <c r="E6479" s="1" t="s">
        <v>33</v>
      </c>
      <c r="F6479" s="1" t="s">
        <v>209</v>
      </c>
      <c r="G6479" s="5">
        <v>438.95</v>
      </c>
    </row>
    <row r="6480" spans="1:7" x14ac:dyDescent="0.2">
      <c r="A6480" s="3">
        <v>84</v>
      </c>
      <c r="B6480" s="2">
        <v>20061.72</v>
      </c>
      <c r="C6480" s="38">
        <v>44956</v>
      </c>
      <c r="D6480" s="1" t="s">
        <v>349</v>
      </c>
      <c r="E6480" s="1" t="s">
        <v>33</v>
      </c>
      <c r="F6480" s="1" t="s">
        <v>209</v>
      </c>
      <c r="G6480" s="5">
        <v>238.83</v>
      </c>
    </row>
    <row r="6481" spans="1:7" x14ac:dyDescent="0.2">
      <c r="A6481" s="3">
        <v>84</v>
      </c>
      <c r="B6481" s="2">
        <v>20061.72</v>
      </c>
      <c r="C6481" s="38">
        <v>44956</v>
      </c>
      <c r="D6481" s="1" t="s">
        <v>349</v>
      </c>
      <c r="E6481" s="1" t="s">
        <v>33</v>
      </c>
      <c r="F6481" s="1" t="s">
        <v>209</v>
      </c>
      <c r="G6481" s="5">
        <v>238.83</v>
      </c>
    </row>
    <row r="6482" spans="1:7" x14ac:dyDescent="0.2">
      <c r="A6482" s="3">
        <v>84</v>
      </c>
      <c r="B6482" s="2">
        <v>20061.72</v>
      </c>
      <c r="C6482" s="38">
        <v>44956</v>
      </c>
      <c r="D6482" s="1" t="s">
        <v>349</v>
      </c>
      <c r="E6482" s="1" t="s">
        <v>33</v>
      </c>
      <c r="F6482" s="1" t="s">
        <v>209</v>
      </c>
      <c r="G6482" s="5">
        <v>238.83</v>
      </c>
    </row>
    <row r="6483" spans="1:7" x14ac:dyDescent="0.2">
      <c r="A6483" s="3">
        <v>350</v>
      </c>
      <c r="B6483" s="2">
        <v>145330.5</v>
      </c>
      <c r="C6483" s="38">
        <v>44956</v>
      </c>
      <c r="D6483" s="1" t="s">
        <v>254</v>
      </c>
      <c r="E6483" s="1" t="s">
        <v>33</v>
      </c>
      <c r="F6483" s="1" t="s">
        <v>209</v>
      </c>
      <c r="G6483" s="5">
        <v>415.23</v>
      </c>
    </row>
    <row r="6484" spans="1:7" x14ac:dyDescent="0.2">
      <c r="A6484" s="3">
        <v>140</v>
      </c>
      <c r="B6484" s="2">
        <v>58132.2</v>
      </c>
      <c r="C6484" s="38">
        <v>44956</v>
      </c>
      <c r="D6484" s="1" t="s">
        <v>254</v>
      </c>
      <c r="E6484" s="1" t="s">
        <v>33</v>
      </c>
      <c r="F6484" s="1" t="s">
        <v>209</v>
      </c>
      <c r="G6484" s="5">
        <v>415.23</v>
      </c>
    </row>
    <row r="6485" spans="1:7" x14ac:dyDescent="0.2">
      <c r="A6485" s="3">
        <v>140</v>
      </c>
      <c r="B6485" s="2">
        <v>58132.2</v>
      </c>
      <c r="C6485" s="38">
        <v>44956</v>
      </c>
      <c r="D6485" s="1" t="s">
        <v>254</v>
      </c>
      <c r="E6485" s="1" t="s">
        <v>33</v>
      </c>
      <c r="F6485" s="1" t="s">
        <v>209</v>
      </c>
      <c r="G6485" s="5">
        <v>415.23</v>
      </c>
    </row>
    <row r="6486" spans="1:7" x14ac:dyDescent="0.2">
      <c r="A6486" s="3">
        <v>30</v>
      </c>
      <c r="B6486" s="2">
        <v>24113.1</v>
      </c>
      <c r="C6486" s="38">
        <v>44956</v>
      </c>
      <c r="D6486" s="1" t="s">
        <v>265</v>
      </c>
      <c r="E6486" s="1" t="s">
        <v>33</v>
      </c>
      <c r="F6486" s="1" t="s">
        <v>209</v>
      </c>
      <c r="G6486" s="5">
        <v>803.77</v>
      </c>
    </row>
    <row r="6487" spans="1:7" x14ac:dyDescent="0.2">
      <c r="A6487" s="3">
        <v>266</v>
      </c>
      <c r="B6487" s="2">
        <v>18580.099999999999</v>
      </c>
      <c r="C6487" s="38">
        <v>44956</v>
      </c>
      <c r="D6487" s="1" t="s">
        <v>301</v>
      </c>
      <c r="E6487" s="1" t="s">
        <v>33</v>
      </c>
      <c r="F6487" s="1" t="s">
        <v>209</v>
      </c>
      <c r="G6487" s="5">
        <v>69.849999999999994</v>
      </c>
    </row>
    <row r="6488" spans="1:7" x14ac:dyDescent="0.2">
      <c r="A6488" s="3">
        <v>108</v>
      </c>
      <c r="B6488" s="2">
        <v>7543.8</v>
      </c>
      <c r="C6488" s="38">
        <v>44956</v>
      </c>
      <c r="D6488" s="1" t="s">
        <v>301</v>
      </c>
      <c r="E6488" s="1" t="s">
        <v>33</v>
      </c>
      <c r="F6488" s="1" t="s">
        <v>209</v>
      </c>
      <c r="G6488" s="5">
        <v>69.849999999999994</v>
      </c>
    </row>
    <row r="6489" spans="1:7" x14ac:dyDescent="0.2">
      <c r="A6489" s="3">
        <v>502</v>
      </c>
      <c r="B6489" s="2">
        <v>33242.44</v>
      </c>
      <c r="C6489" s="38">
        <v>44956</v>
      </c>
      <c r="D6489" s="1" t="s">
        <v>301</v>
      </c>
      <c r="E6489" s="1" t="s">
        <v>33</v>
      </c>
      <c r="F6489" s="1" t="s">
        <v>209</v>
      </c>
      <c r="G6489" s="5">
        <v>66.22</v>
      </c>
    </row>
    <row r="6490" spans="1:7" x14ac:dyDescent="0.2">
      <c r="A6490" s="3">
        <v>30</v>
      </c>
      <c r="B6490" s="2">
        <v>27226.2</v>
      </c>
      <c r="C6490" s="38">
        <v>44956</v>
      </c>
      <c r="D6490" s="1" t="s">
        <v>267</v>
      </c>
      <c r="E6490" s="1" t="s">
        <v>33</v>
      </c>
      <c r="F6490" s="1" t="s">
        <v>209</v>
      </c>
      <c r="G6490" s="5">
        <v>907.54</v>
      </c>
    </row>
    <row r="6491" spans="1:7" x14ac:dyDescent="0.2">
      <c r="A6491" s="3">
        <v>60</v>
      </c>
      <c r="B6491" s="2">
        <v>54452.4</v>
      </c>
      <c r="C6491" s="38">
        <v>44956</v>
      </c>
      <c r="D6491" s="1" t="s">
        <v>267</v>
      </c>
      <c r="E6491" s="1" t="s">
        <v>33</v>
      </c>
      <c r="F6491" s="1" t="s">
        <v>209</v>
      </c>
      <c r="G6491" s="5">
        <v>907.54</v>
      </c>
    </row>
    <row r="6492" spans="1:7" x14ac:dyDescent="0.2">
      <c r="A6492" s="3">
        <v>150</v>
      </c>
      <c r="B6492" s="2">
        <v>136131</v>
      </c>
      <c r="C6492" s="38">
        <v>44956</v>
      </c>
      <c r="D6492" s="1" t="s">
        <v>267</v>
      </c>
      <c r="E6492" s="1" t="s">
        <v>33</v>
      </c>
      <c r="F6492" s="1" t="s">
        <v>209</v>
      </c>
      <c r="G6492" s="5">
        <v>907.54</v>
      </c>
    </row>
    <row r="6493" spans="1:7" x14ac:dyDescent="0.2">
      <c r="A6493" s="3">
        <v>60</v>
      </c>
      <c r="B6493" s="2">
        <v>54452.4</v>
      </c>
      <c r="C6493" s="38">
        <v>44956</v>
      </c>
      <c r="D6493" s="1" t="s">
        <v>267</v>
      </c>
      <c r="E6493" s="1" t="s">
        <v>33</v>
      </c>
      <c r="F6493" s="1" t="s">
        <v>209</v>
      </c>
      <c r="G6493" s="5">
        <v>907.54</v>
      </c>
    </row>
    <row r="6494" spans="1:7" x14ac:dyDescent="0.2">
      <c r="A6494" s="3">
        <v>90</v>
      </c>
      <c r="B6494" s="2">
        <v>81678.600000000006</v>
      </c>
      <c r="C6494" s="38">
        <v>44956</v>
      </c>
      <c r="D6494" s="1" t="s">
        <v>267</v>
      </c>
      <c r="E6494" s="1" t="s">
        <v>33</v>
      </c>
      <c r="F6494" s="1" t="s">
        <v>209</v>
      </c>
      <c r="G6494" s="5">
        <v>907.54</v>
      </c>
    </row>
    <row r="6495" spans="1:7" x14ac:dyDescent="0.2">
      <c r="A6495" s="3">
        <v>240</v>
      </c>
      <c r="B6495" s="2">
        <v>217809.6</v>
      </c>
      <c r="C6495" s="38">
        <v>44956</v>
      </c>
      <c r="D6495" s="1" t="s">
        <v>267</v>
      </c>
      <c r="E6495" s="1" t="s">
        <v>33</v>
      </c>
      <c r="F6495" s="1" t="s">
        <v>209</v>
      </c>
      <c r="G6495" s="5">
        <v>907.54</v>
      </c>
    </row>
    <row r="6496" spans="1:7" x14ac:dyDescent="0.2">
      <c r="A6496" s="3">
        <v>240</v>
      </c>
      <c r="B6496" s="2">
        <v>108170.4</v>
      </c>
      <c r="C6496" s="38">
        <v>45033</v>
      </c>
      <c r="D6496" s="1" t="s">
        <v>240</v>
      </c>
      <c r="E6496" s="1" t="s">
        <v>33</v>
      </c>
      <c r="F6496" s="1" t="s">
        <v>209</v>
      </c>
      <c r="G6496" s="5">
        <v>450.71</v>
      </c>
    </row>
    <row r="6497" spans="1:7" x14ac:dyDescent="0.2">
      <c r="A6497" s="3">
        <v>120</v>
      </c>
      <c r="B6497" s="2">
        <v>54085.2</v>
      </c>
      <c r="C6497" s="38">
        <v>45033</v>
      </c>
      <c r="D6497" s="1" t="s">
        <v>240</v>
      </c>
      <c r="E6497" s="1" t="s">
        <v>33</v>
      </c>
      <c r="F6497" s="1" t="s">
        <v>209</v>
      </c>
      <c r="G6497" s="5">
        <v>450.71</v>
      </c>
    </row>
    <row r="6498" spans="1:7" x14ac:dyDescent="0.2">
      <c r="A6498" s="3">
        <v>255</v>
      </c>
      <c r="B6498" s="2">
        <v>231422.7</v>
      </c>
      <c r="C6498" s="38">
        <v>44957</v>
      </c>
      <c r="D6498" s="1" t="s">
        <v>267</v>
      </c>
      <c r="E6498" s="1" t="s">
        <v>33</v>
      </c>
      <c r="F6498" s="1" t="s">
        <v>209</v>
      </c>
      <c r="G6498" s="5">
        <v>907.54</v>
      </c>
    </row>
    <row r="6499" spans="1:7" x14ac:dyDescent="0.2">
      <c r="A6499" s="3">
        <v>150</v>
      </c>
      <c r="B6499" s="2">
        <v>136131</v>
      </c>
      <c r="C6499" s="38">
        <v>44957</v>
      </c>
      <c r="D6499" s="1" t="s">
        <v>267</v>
      </c>
      <c r="E6499" s="1" t="s">
        <v>33</v>
      </c>
      <c r="F6499" s="1" t="s">
        <v>209</v>
      </c>
      <c r="G6499" s="5">
        <v>907.54</v>
      </c>
    </row>
    <row r="6500" spans="1:7" x14ac:dyDescent="0.2">
      <c r="A6500" s="3">
        <v>30</v>
      </c>
      <c r="B6500" s="2">
        <v>27226.2</v>
      </c>
      <c r="C6500" s="38">
        <v>44957</v>
      </c>
      <c r="D6500" s="1" t="s">
        <v>267</v>
      </c>
      <c r="E6500" s="1" t="s">
        <v>33</v>
      </c>
      <c r="F6500" s="1" t="s">
        <v>209</v>
      </c>
      <c r="G6500" s="5">
        <v>907.54</v>
      </c>
    </row>
    <row r="6501" spans="1:7" x14ac:dyDescent="0.2">
      <c r="A6501" s="3">
        <v>120</v>
      </c>
      <c r="B6501" s="2">
        <v>108904.8</v>
      </c>
      <c r="C6501" s="38">
        <v>44957</v>
      </c>
      <c r="D6501" s="1" t="s">
        <v>267</v>
      </c>
      <c r="E6501" s="1" t="s">
        <v>33</v>
      </c>
      <c r="F6501" s="1" t="s">
        <v>209</v>
      </c>
      <c r="G6501" s="5">
        <v>907.54</v>
      </c>
    </row>
    <row r="6502" spans="1:7" x14ac:dyDescent="0.2">
      <c r="A6502" s="3">
        <v>165</v>
      </c>
      <c r="B6502" s="2">
        <v>149744.1</v>
      </c>
      <c r="C6502" s="38">
        <v>44957</v>
      </c>
      <c r="D6502" s="1" t="s">
        <v>267</v>
      </c>
      <c r="E6502" s="1" t="s">
        <v>33</v>
      </c>
      <c r="F6502" s="1" t="s">
        <v>209</v>
      </c>
      <c r="G6502" s="5">
        <v>907.54</v>
      </c>
    </row>
    <row r="6503" spans="1:7" x14ac:dyDescent="0.2">
      <c r="A6503" s="3">
        <v>240</v>
      </c>
      <c r="B6503" s="2">
        <v>217809.6</v>
      </c>
      <c r="C6503" s="38">
        <v>44957</v>
      </c>
      <c r="D6503" s="1" t="s">
        <v>267</v>
      </c>
      <c r="E6503" s="1" t="s">
        <v>33</v>
      </c>
      <c r="F6503" s="1" t="s">
        <v>209</v>
      </c>
      <c r="G6503" s="5">
        <v>907.54</v>
      </c>
    </row>
    <row r="6504" spans="1:7" x14ac:dyDescent="0.2">
      <c r="A6504" s="3">
        <v>150</v>
      </c>
      <c r="B6504" s="2">
        <v>136131</v>
      </c>
      <c r="C6504" s="38">
        <v>44957</v>
      </c>
      <c r="D6504" s="1" t="s">
        <v>267</v>
      </c>
      <c r="E6504" s="1" t="s">
        <v>33</v>
      </c>
      <c r="F6504" s="1" t="s">
        <v>209</v>
      </c>
      <c r="G6504" s="5">
        <v>907.54</v>
      </c>
    </row>
    <row r="6505" spans="1:7" x14ac:dyDescent="0.2">
      <c r="A6505" s="3">
        <v>30</v>
      </c>
      <c r="B6505" s="2">
        <v>27226.2</v>
      </c>
      <c r="C6505" s="38">
        <v>44957</v>
      </c>
      <c r="D6505" s="1" t="s">
        <v>267</v>
      </c>
      <c r="E6505" s="1" t="s">
        <v>33</v>
      </c>
      <c r="F6505" s="1" t="s">
        <v>209</v>
      </c>
      <c r="G6505" s="5">
        <v>907.54</v>
      </c>
    </row>
    <row r="6506" spans="1:7" x14ac:dyDescent="0.2">
      <c r="A6506" s="3">
        <v>30</v>
      </c>
      <c r="B6506" s="2">
        <v>27226.2</v>
      </c>
      <c r="C6506" s="38">
        <v>44957</v>
      </c>
      <c r="D6506" s="1" t="s">
        <v>267</v>
      </c>
      <c r="E6506" s="1" t="s">
        <v>33</v>
      </c>
      <c r="F6506" s="1" t="s">
        <v>209</v>
      </c>
      <c r="G6506" s="5">
        <v>907.54</v>
      </c>
    </row>
    <row r="6507" spans="1:7" x14ac:dyDescent="0.2">
      <c r="A6507" s="3">
        <v>135</v>
      </c>
      <c r="B6507" s="2">
        <v>122517.9</v>
      </c>
      <c r="C6507" s="38">
        <v>44957</v>
      </c>
      <c r="D6507" s="1" t="s">
        <v>267</v>
      </c>
      <c r="E6507" s="1" t="s">
        <v>33</v>
      </c>
      <c r="F6507" s="1" t="s">
        <v>209</v>
      </c>
      <c r="G6507" s="5">
        <v>907.54</v>
      </c>
    </row>
    <row r="6508" spans="1:7" x14ac:dyDescent="0.2">
      <c r="A6508" s="3">
        <v>255</v>
      </c>
      <c r="B6508" s="2">
        <v>231422.7</v>
      </c>
      <c r="C6508" s="38">
        <v>44957</v>
      </c>
      <c r="D6508" s="1" t="s">
        <v>267</v>
      </c>
      <c r="E6508" s="1" t="s">
        <v>33</v>
      </c>
      <c r="F6508" s="1" t="s">
        <v>209</v>
      </c>
      <c r="G6508" s="5">
        <v>907.54</v>
      </c>
    </row>
    <row r="6509" spans="1:7" x14ac:dyDescent="0.2">
      <c r="A6509" s="3">
        <v>30</v>
      </c>
      <c r="B6509" s="2">
        <v>27226.2</v>
      </c>
      <c r="C6509" s="38">
        <v>44957</v>
      </c>
      <c r="D6509" s="1" t="s">
        <v>267</v>
      </c>
      <c r="E6509" s="1" t="s">
        <v>33</v>
      </c>
      <c r="F6509" s="1" t="s">
        <v>209</v>
      </c>
      <c r="G6509" s="5">
        <v>907.54</v>
      </c>
    </row>
    <row r="6510" spans="1:7" x14ac:dyDescent="0.2">
      <c r="A6510" s="3">
        <v>360</v>
      </c>
      <c r="B6510" s="2">
        <v>162255.6</v>
      </c>
      <c r="C6510" s="38">
        <v>45033</v>
      </c>
      <c r="D6510" s="1" t="s">
        <v>240</v>
      </c>
      <c r="E6510" s="1" t="s">
        <v>33</v>
      </c>
      <c r="F6510" s="1" t="s">
        <v>209</v>
      </c>
      <c r="G6510" s="5">
        <v>450.71</v>
      </c>
    </row>
    <row r="6511" spans="1:7" x14ac:dyDescent="0.2">
      <c r="A6511" s="3">
        <v>120</v>
      </c>
      <c r="B6511" s="2">
        <v>54085.2</v>
      </c>
      <c r="C6511" s="38">
        <v>45033</v>
      </c>
      <c r="D6511" s="1" t="s">
        <v>240</v>
      </c>
      <c r="E6511" s="1" t="s">
        <v>33</v>
      </c>
      <c r="F6511" s="1" t="s">
        <v>209</v>
      </c>
      <c r="G6511" s="5">
        <v>450.71</v>
      </c>
    </row>
    <row r="6512" spans="1:7" x14ac:dyDescent="0.2">
      <c r="A6512" s="3">
        <v>216</v>
      </c>
      <c r="B6512" s="2">
        <v>23308.560000000001</v>
      </c>
      <c r="C6512" s="38">
        <v>45035</v>
      </c>
      <c r="D6512" s="1" t="s">
        <v>237</v>
      </c>
      <c r="E6512" s="1" t="s">
        <v>33</v>
      </c>
      <c r="F6512" s="1" t="s">
        <v>209</v>
      </c>
      <c r="G6512" s="5">
        <v>107.91</v>
      </c>
    </row>
    <row r="6513" spans="1:7" x14ac:dyDescent="0.2">
      <c r="A6513" s="3">
        <v>540</v>
      </c>
      <c r="B6513" s="2">
        <v>58271.4</v>
      </c>
      <c r="C6513" s="38">
        <v>45035</v>
      </c>
      <c r="D6513" s="1" t="s">
        <v>237</v>
      </c>
      <c r="E6513" s="1" t="s">
        <v>33</v>
      </c>
      <c r="F6513" s="1" t="s">
        <v>209</v>
      </c>
      <c r="G6513" s="5">
        <v>107.91</v>
      </c>
    </row>
    <row r="6514" spans="1:7" x14ac:dyDescent="0.2">
      <c r="A6514" s="3">
        <v>108</v>
      </c>
      <c r="B6514" s="2">
        <v>11654.28</v>
      </c>
      <c r="C6514" s="38">
        <v>45035</v>
      </c>
      <c r="D6514" s="1" t="s">
        <v>237</v>
      </c>
      <c r="E6514" s="1" t="s">
        <v>33</v>
      </c>
      <c r="F6514" s="1" t="s">
        <v>209</v>
      </c>
      <c r="G6514" s="5">
        <v>107.91</v>
      </c>
    </row>
    <row r="6515" spans="1:7" x14ac:dyDescent="0.2">
      <c r="A6515" s="3">
        <v>216</v>
      </c>
      <c r="B6515" s="2">
        <v>23308.560000000001</v>
      </c>
      <c r="C6515" s="38">
        <v>45035</v>
      </c>
      <c r="D6515" s="1" t="s">
        <v>237</v>
      </c>
      <c r="E6515" s="1" t="s">
        <v>33</v>
      </c>
      <c r="F6515" s="1" t="s">
        <v>209</v>
      </c>
      <c r="G6515" s="5">
        <v>107.91</v>
      </c>
    </row>
    <row r="6516" spans="1:7" x14ac:dyDescent="0.2">
      <c r="A6516" s="3">
        <v>252</v>
      </c>
      <c r="B6516" s="2">
        <v>20099.52</v>
      </c>
      <c r="C6516" s="38">
        <v>45035</v>
      </c>
      <c r="D6516" s="1" t="s">
        <v>243</v>
      </c>
      <c r="E6516" s="1" t="s">
        <v>33</v>
      </c>
      <c r="F6516" s="1" t="s">
        <v>209</v>
      </c>
      <c r="G6516" s="5">
        <v>79.760000000000005</v>
      </c>
    </row>
    <row r="6517" spans="1:7" x14ac:dyDescent="0.2">
      <c r="A6517" s="3">
        <v>252</v>
      </c>
      <c r="B6517" s="2">
        <v>20099.52</v>
      </c>
      <c r="C6517" s="38">
        <v>45035</v>
      </c>
      <c r="D6517" s="1" t="s">
        <v>243</v>
      </c>
      <c r="E6517" s="1" t="s">
        <v>33</v>
      </c>
      <c r="F6517" s="1" t="s">
        <v>209</v>
      </c>
      <c r="G6517" s="5">
        <v>79.760000000000005</v>
      </c>
    </row>
    <row r="6518" spans="1:7" x14ac:dyDescent="0.2">
      <c r="A6518" s="3">
        <v>252</v>
      </c>
      <c r="B6518" s="2">
        <v>21606.48</v>
      </c>
      <c r="C6518" s="38">
        <v>45035</v>
      </c>
      <c r="D6518" s="1" t="s">
        <v>243</v>
      </c>
      <c r="E6518" s="1" t="s">
        <v>33</v>
      </c>
      <c r="F6518" s="1" t="s">
        <v>209</v>
      </c>
      <c r="G6518" s="5">
        <v>85.74</v>
      </c>
    </row>
    <row r="6519" spans="1:7" x14ac:dyDescent="0.2">
      <c r="A6519" s="3">
        <v>504</v>
      </c>
      <c r="B6519" s="2">
        <v>43212.959999999999</v>
      </c>
      <c r="C6519" s="38">
        <v>45035</v>
      </c>
      <c r="D6519" s="1" t="s">
        <v>243</v>
      </c>
      <c r="E6519" s="1" t="s">
        <v>33</v>
      </c>
      <c r="F6519" s="1" t="s">
        <v>209</v>
      </c>
      <c r="G6519" s="5">
        <v>85.74</v>
      </c>
    </row>
    <row r="6520" spans="1:7" x14ac:dyDescent="0.2">
      <c r="A6520" s="3">
        <v>252</v>
      </c>
      <c r="B6520" s="2">
        <v>21606.48</v>
      </c>
      <c r="C6520" s="38">
        <v>45035</v>
      </c>
      <c r="D6520" s="1" t="s">
        <v>243</v>
      </c>
      <c r="E6520" s="1" t="s">
        <v>33</v>
      </c>
      <c r="F6520" s="1" t="s">
        <v>209</v>
      </c>
      <c r="G6520" s="5">
        <v>85.74</v>
      </c>
    </row>
    <row r="6521" spans="1:7" x14ac:dyDescent="0.2">
      <c r="A6521" s="3">
        <v>450</v>
      </c>
      <c r="B6521" s="2">
        <v>197527.5</v>
      </c>
      <c r="C6521" s="38">
        <v>45035</v>
      </c>
      <c r="D6521" s="1" t="s">
        <v>248</v>
      </c>
      <c r="E6521" s="1" t="s">
        <v>33</v>
      </c>
      <c r="F6521" s="1" t="s">
        <v>209</v>
      </c>
      <c r="G6521" s="5">
        <v>438.95</v>
      </c>
    </row>
    <row r="6522" spans="1:7" x14ac:dyDescent="0.2">
      <c r="A6522" s="3">
        <v>48</v>
      </c>
      <c r="B6522" s="2">
        <v>9991.68</v>
      </c>
      <c r="C6522" s="38">
        <v>45035</v>
      </c>
      <c r="D6522" s="1" t="s">
        <v>297</v>
      </c>
      <c r="E6522" s="1" t="s">
        <v>33</v>
      </c>
      <c r="F6522" s="1" t="s">
        <v>209</v>
      </c>
      <c r="G6522" s="5">
        <v>208.16</v>
      </c>
    </row>
    <row r="6523" spans="1:7" x14ac:dyDescent="0.2">
      <c r="A6523" s="3">
        <v>48</v>
      </c>
      <c r="B6523" s="2">
        <v>9991.68</v>
      </c>
      <c r="C6523" s="38">
        <v>45035</v>
      </c>
      <c r="D6523" s="1" t="s">
        <v>297</v>
      </c>
      <c r="E6523" s="1" t="s">
        <v>33</v>
      </c>
      <c r="F6523" s="1" t="s">
        <v>209</v>
      </c>
      <c r="G6523" s="5">
        <v>208.16</v>
      </c>
    </row>
    <row r="6524" spans="1:7" x14ac:dyDescent="0.2">
      <c r="A6524" s="3">
        <v>48</v>
      </c>
      <c r="B6524" s="2">
        <v>9991.68</v>
      </c>
      <c r="C6524" s="38">
        <v>45035</v>
      </c>
      <c r="D6524" s="1" t="s">
        <v>297</v>
      </c>
      <c r="E6524" s="1" t="s">
        <v>33</v>
      </c>
      <c r="F6524" s="1" t="s">
        <v>209</v>
      </c>
      <c r="G6524" s="5">
        <v>208.16</v>
      </c>
    </row>
    <row r="6525" spans="1:7" x14ac:dyDescent="0.2">
      <c r="A6525" s="3">
        <v>90</v>
      </c>
      <c r="B6525" s="2">
        <v>68340.600000000006</v>
      </c>
      <c r="C6525" s="38">
        <v>45035</v>
      </c>
      <c r="D6525" s="1" t="s">
        <v>265</v>
      </c>
      <c r="E6525" s="1" t="s">
        <v>33</v>
      </c>
      <c r="F6525" s="1" t="s">
        <v>209</v>
      </c>
      <c r="G6525" s="5">
        <v>759.34</v>
      </c>
    </row>
    <row r="6526" spans="1:7" x14ac:dyDescent="0.2">
      <c r="A6526" s="3">
        <v>240</v>
      </c>
      <c r="B6526" s="2">
        <v>217809.6</v>
      </c>
      <c r="C6526" s="38">
        <v>45035</v>
      </c>
      <c r="D6526" s="1" t="s">
        <v>267</v>
      </c>
      <c r="E6526" s="1" t="s">
        <v>33</v>
      </c>
      <c r="F6526" s="1" t="s">
        <v>209</v>
      </c>
      <c r="G6526" s="5">
        <v>907.54</v>
      </c>
    </row>
    <row r="6527" spans="1:7" x14ac:dyDescent="0.2">
      <c r="A6527" s="3">
        <v>135</v>
      </c>
      <c r="B6527" s="2">
        <v>122517.9</v>
      </c>
      <c r="C6527" s="38">
        <v>45035</v>
      </c>
      <c r="D6527" s="1" t="s">
        <v>267</v>
      </c>
      <c r="E6527" s="1" t="s">
        <v>33</v>
      </c>
      <c r="F6527" s="1" t="s">
        <v>209</v>
      </c>
      <c r="G6527" s="5">
        <v>907.54</v>
      </c>
    </row>
    <row r="6528" spans="1:7" x14ac:dyDescent="0.2">
      <c r="A6528" s="3">
        <v>240</v>
      </c>
      <c r="B6528" s="2">
        <v>217809.6</v>
      </c>
      <c r="C6528" s="38">
        <v>45035</v>
      </c>
      <c r="D6528" s="1" t="s">
        <v>267</v>
      </c>
      <c r="E6528" s="1" t="s">
        <v>33</v>
      </c>
      <c r="F6528" s="1" t="s">
        <v>209</v>
      </c>
      <c r="G6528" s="5">
        <v>907.54</v>
      </c>
    </row>
    <row r="6529" spans="1:7" x14ac:dyDescent="0.2">
      <c r="A6529" s="3">
        <v>135</v>
      </c>
      <c r="B6529" s="2">
        <v>122517.9</v>
      </c>
      <c r="C6529" s="38">
        <v>45035</v>
      </c>
      <c r="D6529" s="1" t="s">
        <v>267</v>
      </c>
      <c r="E6529" s="1" t="s">
        <v>33</v>
      </c>
      <c r="F6529" s="1" t="s">
        <v>209</v>
      </c>
      <c r="G6529" s="5">
        <v>907.54</v>
      </c>
    </row>
    <row r="6530" spans="1:7" x14ac:dyDescent="0.2">
      <c r="A6530" s="3">
        <v>255</v>
      </c>
      <c r="B6530" s="2">
        <v>231422.7</v>
      </c>
      <c r="C6530" s="38">
        <v>44957</v>
      </c>
      <c r="D6530" s="1" t="s">
        <v>267</v>
      </c>
      <c r="E6530" s="1" t="s">
        <v>33</v>
      </c>
      <c r="F6530" s="1" t="s">
        <v>209</v>
      </c>
      <c r="G6530" s="5">
        <v>907.54</v>
      </c>
    </row>
    <row r="6531" spans="1:7" x14ac:dyDescent="0.2">
      <c r="A6531" s="3">
        <v>150</v>
      </c>
      <c r="B6531" s="2">
        <v>136131</v>
      </c>
      <c r="C6531" s="38">
        <v>44957</v>
      </c>
      <c r="D6531" s="1" t="s">
        <v>267</v>
      </c>
      <c r="E6531" s="1" t="s">
        <v>33</v>
      </c>
      <c r="F6531" s="1" t="s">
        <v>209</v>
      </c>
      <c r="G6531" s="5">
        <v>907.54</v>
      </c>
    </row>
    <row r="6532" spans="1:7" x14ac:dyDescent="0.2">
      <c r="A6532" s="3">
        <v>255</v>
      </c>
      <c r="B6532" s="2">
        <v>231422.7</v>
      </c>
      <c r="C6532" s="38">
        <v>44957</v>
      </c>
      <c r="D6532" s="1" t="s">
        <v>267</v>
      </c>
      <c r="E6532" s="1" t="s">
        <v>33</v>
      </c>
      <c r="F6532" s="1" t="s">
        <v>209</v>
      </c>
      <c r="G6532" s="5">
        <v>907.54</v>
      </c>
    </row>
    <row r="6533" spans="1:7" x14ac:dyDescent="0.2">
      <c r="A6533" s="3">
        <v>150</v>
      </c>
      <c r="B6533" s="2">
        <v>136131</v>
      </c>
      <c r="C6533" s="38">
        <v>44957</v>
      </c>
      <c r="D6533" s="1" t="s">
        <v>267</v>
      </c>
      <c r="E6533" s="1" t="s">
        <v>33</v>
      </c>
      <c r="F6533" s="1" t="s">
        <v>209</v>
      </c>
      <c r="G6533" s="5">
        <v>907.54</v>
      </c>
    </row>
    <row r="6534" spans="1:7" x14ac:dyDescent="0.2">
      <c r="A6534" s="3">
        <v>42</v>
      </c>
      <c r="B6534" s="2">
        <v>2933.7</v>
      </c>
      <c r="C6534" s="38">
        <v>44959</v>
      </c>
      <c r="D6534" s="1" t="s">
        <v>301</v>
      </c>
      <c r="E6534" s="1" t="s">
        <v>33</v>
      </c>
      <c r="F6534" s="1" t="s">
        <v>209</v>
      </c>
      <c r="G6534" s="5">
        <v>69.849999999999994</v>
      </c>
    </row>
    <row r="6535" spans="1:7" x14ac:dyDescent="0.2">
      <c r="A6535" s="3">
        <v>60</v>
      </c>
      <c r="B6535" s="2">
        <v>4191</v>
      </c>
      <c r="C6535" s="38">
        <v>44959</v>
      </c>
      <c r="D6535" s="1" t="s">
        <v>301</v>
      </c>
      <c r="E6535" s="1" t="s">
        <v>33</v>
      </c>
      <c r="F6535" s="1" t="s">
        <v>209</v>
      </c>
      <c r="G6535" s="5">
        <v>69.849999999999994</v>
      </c>
    </row>
    <row r="6536" spans="1:7" x14ac:dyDescent="0.2">
      <c r="A6536" s="3">
        <v>444</v>
      </c>
      <c r="B6536" s="2">
        <v>31013.4</v>
      </c>
      <c r="C6536" s="38">
        <v>44959</v>
      </c>
      <c r="D6536" s="1" t="s">
        <v>301</v>
      </c>
      <c r="E6536" s="1" t="s">
        <v>33</v>
      </c>
      <c r="F6536" s="1" t="s">
        <v>209</v>
      </c>
      <c r="G6536" s="5">
        <v>69.849999999999994</v>
      </c>
    </row>
    <row r="6537" spans="1:7" x14ac:dyDescent="0.2">
      <c r="A6537" s="3">
        <v>90</v>
      </c>
      <c r="B6537" s="2">
        <v>6286.5</v>
      </c>
      <c r="C6537" s="38">
        <v>44959</v>
      </c>
      <c r="D6537" s="1" t="s">
        <v>301</v>
      </c>
      <c r="E6537" s="1" t="s">
        <v>33</v>
      </c>
      <c r="F6537" s="1" t="s">
        <v>209</v>
      </c>
      <c r="G6537" s="5">
        <v>69.849999999999994</v>
      </c>
    </row>
    <row r="6538" spans="1:7" x14ac:dyDescent="0.2">
      <c r="A6538" s="3">
        <v>81</v>
      </c>
      <c r="B6538" s="2">
        <v>5657.85</v>
      </c>
      <c r="C6538" s="38">
        <v>44959</v>
      </c>
      <c r="D6538" s="1" t="s">
        <v>301</v>
      </c>
      <c r="E6538" s="1" t="s">
        <v>33</v>
      </c>
      <c r="F6538" s="1" t="s">
        <v>209</v>
      </c>
      <c r="G6538" s="5">
        <v>69.849999999999994</v>
      </c>
    </row>
    <row r="6539" spans="1:7" x14ac:dyDescent="0.2">
      <c r="A6539" s="3">
        <v>27</v>
      </c>
      <c r="B6539" s="2">
        <v>1885.95</v>
      </c>
      <c r="C6539" s="38">
        <v>44959</v>
      </c>
      <c r="D6539" s="1" t="s">
        <v>301</v>
      </c>
      <c r="E6539" s="1" t="s">
        <v>33</v>
      </c>
      <c r="F6539" s="1" t="s">
        <v>209</v>
      </c>
      <c r="G6539" s="5">
        <v>69.849999999999994</v>
      </c>
    </row>
    <row r="6540" spans="1:7" x14ac:dyDescent="0.2">
      <c r="A6540" s="3">
        <v>363</v>
      </c>
      <c r="B6540" s="2">
        <v>25355.55</v>
      </c>
      <c r="C6540" s="38">
        <v>44965</v>
      </c>
      <c r="D6540" s="1" t="s">
        <v>301</v>
      </c>
      <c r="E6540" s="1" t="s">
        <v>33</v>
      </c>
      <c r="F6540" s="1" t="s">
        <v>209</v>
      </c>
      <c r="G6540" s="5">
        <v>69.849999999999994</v>
      </c>
    </row>
    <row r="6541" spans="1:7" x14ac:dyDescent="0.2">
      <c r="A6541" s="3">
        <v>71</v>
      </c>
      <c r="B6541" s="2">
        <v>4959.3500000000004</v>
      </c>
      <c r="C6541" s="38">
        <v>44965</v>
      </c>
      <c r="D6541" s="1" t="s">
        <v>301</v>
      </c>
      <c r="E6541" s="1" t="s">
        <v>33</v>
      </c>
      <c r="F6541" s="1" t="s">
        <v>209</v>
      </c>
      <c r="G6541" s="5">
        <v>69.849999999999994</v>
      </c>
    </row>
    <row r="6542" spans="1:7" x14ac:dyDescent="0.2">
      <c r="A6542" s="3">
        <v>105</v>
      </c>
      <c r="B6542" s="2">
        <v>95291.7</v>
      </c>
      <c r="C6542" s="38">
        <v>44965</v>
      </c>
      <c r="D6542" s="1" t="s">
        <v>267</v>
      </c>
      <c r="E6542" s="1" t="s">
        <v>33</v>
      </c>
      <c r="F6542" s="1" t="s">
        <v>209</v>
      </c>
      <c r="G6542" s="5">
        <v>907.54</v>
      </c>
    </row>
    <row r="6543" spans="1:7" x14ac:dyDescent="0.2">
      <c r="A6543" s="3">
        <v>150</v>
      </c>
      <c r="B6543" s="2">
        <v>65842.5</v>
      </c>
      <c r="C6543" s="38">
        <v>45055</v>
      </c>
      <c r="D6543" s="1" t="s">
        <v>248</v>
      </c>
      <c r="E6543" s="1" t="s">
        <v>33</v>
      </c>
      <c r="F6543" s="1" t="s">
        <v>209</v>
      </c>
      <c r="G6543" s="5">
        <v>438.95</v>
      </c>
    </row>
    <row r="6544" spans="1:7" x14ac:dyDescent="0.2">
      <c r="A6544" s="3">
        <v>150</v>
      </c>
      <c r="B6544" s="2">
        <v>65842.5</v>
      </c>
      <c r="C6544" s="38">
        <v>45055</v>
      </c>
      <c r="D6544" s="1" t="s">
        <v>248</v>
      </c>
      <c r="E6544" s="1" t="s">
        <v>33</v>
      </c>
      <c r="F6544" s="1" t="s">
        <v>209</v>
      </c>
      <c r="G6544" s="5">
        <v>438.95</v>
      </c>
    </row>
    <row r="6545" spans="1:7" x14ac:dyDescent="0.2">
      <c r="A6545" s="3">
        <v>420</v>
      </c>
      <c r="B6545" s="2">
        <v>184359</v>
      </c>
      <c r="C6545" s="38">
        <v>45055</v>
      </c>
      <c r="D6545" s="1" t="s">
        <v>248</v>
      </c>
      <c r="E6545" s="1" t="s">
        <v>33</v>
      </c>
      <c r="F6545" s="1" t="s">
        <v>209</v>
      </c>
      <c r="G6545" s="5">
        <v>438.95</v>
      </c>
    </row>
    <row r="6546" spans="1:7" x14ac:dyDescent="0.2">
      <c r="A6546" s="3">
        <v>180</v>
      </c>
      <c r="B6546" s="2">
        <v>136681.20000000001</v>
      </c>
      <c r="C6546" s="38">
        <v>45055</v>
      </c>
      <c r="D6546" s="1" t="s">
        <v>265</v>
      </c>
      <c r="E6546" s="1" t="s">
        <v>33</v>
      </c>
      <c r="F6546" s="1" t="s">
        <v>209</v>
      </c>
      <c r="G6546" s="5">
        <v>759.34</v>
      </c>
    </row>
    <row r="6547" spans="1:7" x14ac:dyDescent="0.2">
      <c r="A6547" s="3">
        <v>30</v>
      </c>
      <c r="B6547" s="2">
        <v>22780.2</v>
      </c>
      <c r="C6547" s="38">
        <v>45055</v>
      </c>
      <c r="D6547" s="1" t="s">
        <v>265</v>
      </c>
      <c r="E6547" s="1" t="s">
        <v>33</v>
      </c>
      <c r="F6547" s="1" t="s">
        <v>209</v>
      </c>
      <c r="G6547" s="5">
        <v>759.34</v>
      </c>
    </row>
    <row r="6548" spans="1:7" x14ac:dyDescent="0.2">
      <c r="A6548" s="3">
        <v>334</v>
      </c>
      <c r="B6548" s="2">
        <v>23329.9</v>
      </c>
      <c r="C6548" s="38">
        <v>45055</v>
      </c>
      <c r="D6548" s="1" t="s">
        <v>301</v>
      </c>
      <c r="E6548" s="1" t="s">
        <v>33</v>
      </c>
      <c r="F6548" s="1" t="s">
        <v>209</v>
      </c>
      <c r="G6548" s="5">
        <v>69.849999999999994</v>
      </c>
    </row>
    <row r="6549" spans="1:7" x14ac:dyDescent="0.2">
      <c r="A6549" s="3">
        <v>636</v>
      </c>
      <c r="B6549" s="2">
        <v>44424.6</v>
      </c>
      <c r="C6549" s="38">
        <v>45055</v>
      </c>
      <c r="D6549" s="1" t="s">
        <v>301</v>
      </c>
      <c r="E6549" s="1" t="s">
        <v>33</v>
      </c>
      <c r="F6549" s="1" t="s">
        <v>209</v>
      </c>
      <c r="G6549" s="5">
        <v>69.849999999999994</v>
      </c>
    </row>
    <row r="6550" spans="1:7" x14ac:dyDescent="0.2">
      <c r="A6550" s="3">
        <v>18</v>
      </c>
      <c r="B6550" s="2">
        <v>34059.42</v>
      </c>
      <c r="C6550" s="38">
        <v>44966</v>
      </c>
      <c r="D6550" s="1" t="s">
        <v>302</v>
      </c>
      <c r="E6550" s="1" t="s">
        <v>33</v>
      </c>
      <c r="F6550" s="1" t="s">
        <v>209</v>
      </c>
      <c r="G6550" s="5">
        <v>1892.19</v>
      </c>
    </row>
    <row r="6551" spans="1:7" x14ac:dyDescent="0.2">
      <c r="A6551" s="3">
        <v>108</v>
      </c>
      <c r="B6551" s="2">
        <v>11654.28</v>
      </c>
      <c r="C6551" s="38">
        <v>44967</v>
      </c>
      <c r="D6551" s="1" t="s">
        <v>237</v>
      </c>
      <c r="E6551" s="1" t="s">
        <v>33</v>
      </c>
      <c r="F6551" s="1" t="s">
        <v>209</v>
      </c>
      <c r="G6551" s="5">
        <v>107.91</v>
      </c>
    </row>
    <row r="6552" spans="1:7" x14ac:dyDescent="0.2">
      <c r="A6552" s="3">
        <v>324</v>
      </c>
      <c r="B6552" s="2">
        <v>34962.839999999997</v>
      </c>
      <c r="C6552" s="38">
        <v>44967</v>
      </c>
      <c r="D6552" s="1" t="s">
        <v>237</v>
      </c>
      <c r="E6552" s="1" t="s">
        <v>33</v>
      </c>
      <c r="F6552" s="1" t="s">
        <v>209</v>
      </c>
      <c r="G6552" s="5">
        <v>107.91</v>
      </c>
    </row>
    <row r="6553" spans="1:7" x14ac:dyDescent="0.2">
      <c r="A6553" s="3">
        <v>216</v>
      </c>
      <c r="B6553" s="2">
        <v>23308.560000000001</v>
      </c>
      <c r="C6553" s="38">
        <v>44967</v>
      </c>
      <c r="D6553" s="1" t="s">
        <v>237</v>
      </c>
      <c r="E6553" s="1" t="s">
        <v>33</v>
      </c>
      <c r="F6553" s="1" t="s">
        <v>209</v>
      </c>
      <c r="G6553" s="5">
        <v>107.91</v>
      </c>
    </row>
    <row r="6554" spans="1:7" x14ac:dyDescent="0.2">
      <c r="A6554" s="3">
        <v>216</v>
      </c>
      <c r="B6554" s="2">
        <v>23308.560000000001</v>
      </c>
      <c r="C6554" s="38">
        <v>44967</v>
      </c>
      <c r="D6554" s="1" t="s">
        <v>237</v>
      </c>
      <c r="E6554" s="1" t="s">
        <v>33</v>
      </c>
      <c r="F6554" s="1" t="s">
        <v>209</v>
      </c>
      <c r="G6554" s="5">
        <v>107.91</v>
      </c>
    </row>
    <row r="6555" spans="1:7" x14ac:dyDescent="0.2">
      <c r="A6555" s="3">
        <v>324</v>
      </c>
      <c r="B6555" s="2">
        <v>34962.839999999997</v>
      </c>
      <c r="C6555" s="38">
        <v>44967</v>
      </c>
      <c r="D6555" s="1" t="s">
        <v>237</v>
      </c>
      <c r="E6555" s="1" t="s">
        <v>33</v>
      </c>
      <c r="F6555" s="1" t="s">
        <v>209</v>
      </c>
      <c r="G6555" s="5">
        <v>107.91</v>
      </c>
    </row>
    <row r="6556" spans="1:7" x14ac:dyDescent="0.2">
      <c r="A6556" s="3">
        <v>258</v>
      </c>
      <c r="B6556" s="2">
        <v>488185.02</v>
      </c>
      <c r="C6556" s="38">
        <v>44967</v>
      </c>
      <c r="D6556" s="1" t="s">
        <v>302</v>
      </c>
      <c r="E6556" s="1" t="s">
        <v>33</v>
      </c>
      <c r="F6556" s="1" t="s">
        <v>209</v>
      </c>
      <c r="G6556" s="5">
        <v>1892.19</v>
      </c>
    </row>
    <row r="6557" spans="1:7" x14ac:dyDescent="0.2">
      <c r="A6557" s="3">
        <v>9000</v>
      </c>
      <c r="B6557" s="2">
        <v>922.5</v>
      </c>
      <c r="C6557" s="38">
        <v>45040</v>
      </c>
      <c r="D6557" s="1" t="s">
        <v>294</v>
      </c>
      <c r="E6557" s="1" t="s">
        <v>33</v>
      </c>
      <c r="F6557" s="1" t="s">
        <v>209</v>
      </c>
      <c r="G6557" s="5">
        <v>0.10249999999999999</v>
      </c>
    </row>
    <row r="6558" spans="1:7" x14ac:dyDescent="0.2">
      <c r="A6558" s="3">
        <v>9000</v>
      </c>
      <c r="B6558" s="2">
        <v>922.5</v>
      </c>
      <c r="C6558" s="38">
        <v>45040</v>
      </c>
      <c r="D6558" s="1" t="s">
        <v>294</v>
      </c>
      <c r="E6558" s="1" t="s">
        <v>33</v>
      </c>
      <c r="F6558" s="1" t="s">
        <v>209</v>
      </c>
      <c r="G6558" s="5">
        <v>0.10249999999999999</v>
      </c>
    </row>
    <row r="6559" spans="1:7" x14ac:dyDescent="0.2">
      <c r="A6559" s="3">
        <v>324</v>
      </c>
      <c r="B6559" s="2">
        <v>34962.839999999997</v>
      </c>
      <c r="C6559" s="38">
        <v>44985</v>
      </c>
      <c r="D6559" s="1" t="s">
        <v>237</v>
      </c>
      <c r="E6559" s="1" t="s">
        <v>33</v>
      </c>
      <c r="F6559" s="1" t="s">
        <v>209</v>
      </c>
      <c r="G6559" s="5">
        <v>107.91</v>
      </c>
    </row>
    <row r="6560" spans="1:7" x14ac:dyDescent="0.2">
      <c r="A6560" s="3">
        <v>648</v>
      </c>
      <c r="B6560" s="2">
        <v>69925.679999999993</v>
      </c>
      <c r="C6560" s="38">
        <v>45135</v>
      </c>
      <c r="D6560" s="1" t="s">
        <v>237</v>
      </c>
      <c r="E6560" s="1" t="s">
        <v>33</v>
      </c>
      <c r="F6560" s="1" t="s">
        <v>209</v>
      </c>
      <c r="G6560" s="5">
        <v>107.91</v>
      </c>
    </row>
    <row r="6561" spans="1:7" x14ac:dyDescent="0.2">
      <c r="A6561" s="3">
        <v>51</v>
      </c>
      <c r="B6561" s="2">
        <v>22986.21</v>
      </c>
      <c r="C6561" s="38">
        <v>45135</v>
      </c>
      <c r="D6561" s="1" t="s">
        <v>240</v>
      </c>
      <c r="E6561" s="1" t="s">
        <v>33</v>
      </c>
      <c r="F6561" s="1" t="s">
        <v>209</v>
      </c>
      <c r="G6561" s="5">
        <v>450.71</v>
      </c>
    </row>
    <row r="6562" spans="1:7" x14ac:dyDescent="0.2">
      <c r="A6562" s="3">
        <v>53</v>
      </c>
      <c r="B6562" s="2">
        <v>23887.63</v>
      </c>
      <c r="C6562" s="38">
        <v>45135</v>
      </c>
      <c r="D6562" s="1" t="s">
        <v>240</v>
      </c>
      <c r="E6562" s="1" t="s">
        <v>33</v>
      </c>
      <c r="F6562" s="1" t="s">
        <v>209</v>
      </c>
      <c r="G6562" s="5">
        <v>450.71</v>
      </c>
    </row>
    <row r="6563" spans="1:7" x14ac:dyDescent="0.2">
      <c r="A6563" s="3">
        <v>57</v>
      </c>
      <c r="B6563" s="2">
        <v>25690.47</v>
      </c>
      <c r="C6563" s="38">
        <v>45135</v>
      </c>
      <c r="D6563" s="1" t="s">
        <v>240</v>
      </c>
      <c r="E6563" s="1" t="s">
        <v>33</v>
      </c>
      <c r="F6563" s="1" t="s">
        <v>209</v>
      </c>
      <c r="G6563" s="5">
        <v>450.71</v>
      </c>
    </row>
    <row r="6564" spans="1:7" x14ac:dyDescent="0.2">
      <c r="A6564" s="3">
        <v>120</v>
      </c>
      <c r="B6564" s="2">
        <v>11030.4</v>
      </c>
      <c r="C6564" s="38">
        <v>45135</v>
      </c>
      <c r="D6564" s="1" t="s">
        <v>295</v>
      </c>
      <c r="E6564" s="1" t="s">
        <v>33</v>
      </c>
      <c r="F6564" s="1" t="s">
        <v>209</v>
      </c>
      <c r="G6564" s="5">
        <v>91.92</v>
      </c>
    </row>
    <row r="6565" spans="1:7" x14ac:dyDescent="0.2">
      <c r="A6565" s="3">
        <v>252</v>
      </c>
      <c r="B6565" s="2">
        <v>21606.48</v>
      </c>
      <c r="C6565" s="38">
        <v>45135</v>
      </c>
      <c r="D6565" s="1" t="s">
        <v>243</v>
      </c>
      <c r="E6565" s="1" t="s">
        <v>33</v>
      </c>
      <c r="F6565" s="1" t="s">
        <v>209</v>
      </c>
      <c r="G6565" s="5">
        <v>85.74</v>
      </c>
    </row>
    <row r="6566" spans="1:7" x14ac:dyDescent="0.2">
      <c r="A6566" s="3">
        <v>252</v>
      </c>
      <c r="B6566" s="2">
        <v>21606.48</v>
      </c>
      <c r="C6566" s="38">
        <v>45135</v>
      </c>
      <c r="D6566" s="1" t="s">
        <v>243</v>
      </c>
      <c r="E6566" s="1" t="s">
        <v>33</v>
      </c>
      <c r="F6566" s="1" t="s">
        <v>209</v>
      </c>
      <c r="G6566" s="5">
        <v>85.74</v>
      </c>
    </row>
    <row r="6567" spans="1:7" x14ac:dyDescent="0.2">
      <c r="A6567" s="3">
        <v>300</v>
      </c>
      <c r="B6567" s="2">
        <v>131685</v>
      </c>
      <c r="C6567" s="38">
        <v>45135</v>
      </c>
      <c r="D6567" s="1" t="s">
        <v>248</v>
      </c>
      <c r="E6567" s="1" t="s">
        <v>33</v>
      </c>
      <c r="F6567" s="1" t="s">
        <v>209</v>
      </c>
      <c r="G6567" s="5">
        <v>438.95</v>
      </c>
    </row>
    <row r="6568" spans="1:7" x14ac:dyDescent="0.2">
      <c r="A6568" s="3">
        <v>1820</v>
      </c>
      <c r="B6568" s="2">
        <v>4568.2</v>
      </c>
      <c r="C6568" s="38">
        <v>45135</v>
      </c>
      <c r="D6568" s="1" t="s">
        <v>250</v>
      </c>
      <c r="E6568" s="1" t="s">
        <v>33</v>
      </c>
      <c r="F6568" s="1" t="s">
        <v>209</v>
      </c>
      <c r="G6568" s="5">
        <v>2.5099999999999998</v>
      </c>
    </row>
    <row r="6569" spans="1:7" x14ac:dyDescent="0.2">
      <c r="A6569" s="3">
        <v>280</v>
      </c>
      <c r="B6569" s="2">
        <v>116264.4</v>
      </c>
      <c r="C6569" s="38">
        <v>45135</v>
      </c>
      <c r="D6569" s="1" t="s">
        <v>254</v>
      </c>
      <c r="E6569" s="1" t="s">
        <v>33</v>
      </c>
      <c r="F6569" s="1" t="s">
        <v>209</v>
      </c>
      <c r="G6569" s="5">
        <v>415.23</v>
      </c>
    </row>
    <row r="6570" spans="1:7" x14ac:dyDescent="0.2">
      <c r="A6570" s="3">
        <v>420</v>
      </c>
      <c r="B6570" s="2">
        <v>174396.6</v>
      </c>
      <c r="C6570" s="38">
        <v>45135</v>
      </c>
      <c r="D6570" s="1" t="s">
        <v>254</v>
      </c>
      <c r="E6570" s="1" t="s">
        <v>33</v>
      </c>
      <c r="F6570" s="1" t="s">
        <v>209</v>
      </c>
      <c r="G6570" s="5">
        <v>415.23</v>
      </c>
    </row>
    <row r="6571" spans="1:7" x14ac:dyDescent="0.2">
      <c r="A6571" s="3">
        <v>70</v>
      </c>
      <c r="B6571" s="2">
        <v>29066.1</v>
      </c>
      <c r="C6571" s="38">
        <v>45135</v>
      </c>
      <c r="D6571" s="1" t="s">
        <v>254</v>
      </c>
      <c r="E6571" s="1" t="s">
        <v>33</v>
      </c>
      <c r="F6571" s="1" t="s">
        <v>209</v>
      </c>
      <c r="G6571" s="5">
        <v>415.23</v>
      </c>
    </row>
    <row r="6572" spans="1:7" x14ac:dyDescent="0.2">
      <c r="A6572" s="3">
        <v>210</v>
      </c>
      <c r="B6572" s="2">
        <v>87198.3</v>
      </c>
      <c r="C6572" s="38">
        <v>45135</v>
      </c>
      <c r="D6572" s="1" t="s">
        <v>254</v>
      </c>
      <c r="E6572" s="1" t="s">
        <v>33</v>
      </c>
      <c r="F6572" s="1" t="s">
        <v>209</v>
      </c>
      <c r="G6572" s="5">
        <v>415.23</v>
      </c>
    </row>
    <row r="6573" spans="1:7" x14ac:dyDescent="0.2">
      <c r="A6573" s="3">
        <v>140</v>
      </c>
      <c r="B6573" s="2">
        <v>58132.2</v>
      </c>
      <c r="C6573" s="38">
        <v>45135</v>
      </c>
      <c r="D6573" s="1" t="s">
        <v>254</v>
      </c>
      <c r="E6573" s="1" t="s">
        <v>33</v>
      </c>
      <c r="F6573" s="1" t="s">
        <v>209</v>
      </c>
      <c r="G6573" s="5">
        <v>415.23</v>
      </c>
    </row>
    <row r="6574" spans="1:7" x14ac:dyDescent="0.2">
      <c r="A6574" s="3">
        <v>700</v>
      </c>
      <c r="B6574" s="2">
        <v>290661</v>
      </c>
      <c r="C6574" s="38">
        <v>45135</v>
      </c>
      <c r="D6574" s="1" t="s">
        <v>254</v>
      </c>
      <c r="E6574" s="1" t="s">
        <v>33</v>
      </c>
      <c r="F6574" s="1" t="s">
        <v>209</v>
      </c>
      <c r="G6574" s="5">
        <v>415.23</v>
      </c>
    </row>
    <row r="6575" spans="1:7" x14ac:dyDescent="0.2">
      <c r="A6575" s="3">
        <v>490</v>
      </c>
      <c r="B6575" s="2">
        <v>203462.7</v>
      </c>
      <c r="C6575" s="38">
        <v>45135</v>
      </c>
      <c r="D6575" s="1" t="s">
        <v>254</v>
      </c>
      <c r="E6575" s="1" t="s">
        <v>33</v>
      </c>
      <c r="F6575" s="1" t="s">
        <v>209</v>
      </c>
      <c r="G6575" s="5">
        <v>415.23</v>
      </c>
    </row>
    <row r="6576" spans="1:7" x14ac:dyDescent="0.2">
      <c r="A6576" s="3">
        <v>210</v>
      </c>
      <c r="B6576" s="2">
        <v>87198.3</v>
      </c>
      <c r="C6576" s="38">
        <v>45135</v>
      </c>
      <c r="D6576" s="1" t="s">
        <v>254</v>
      </c>
      <c r="E6576" s="1" t="s">
        <v>33</v>
      </c>
      <c r="F6576" s="1" t="s">
        <v>209</v>
      </c>
      <c r="G6576" s="5">
        <v>415.23</v>
      </c>
    </row>
    <row r="6577" spans="1:7" x14ac:dyDescent="0.2">
      <c r="A6577" s="3">
        <v>210</v>
      </c>
      <c r="B6577" s="2">
        <v>87198.3</v>
      </c>
      <c r="C6577" s="38">
        <v>45135</v>
      </c>
      <c r="D6577" s="1" t="s">
        <v>254</v>
      </c>
      <c r="E6577" s="1" t="s">
        <v>33</v>
      </c>
      <c r="F6577" s="1" t="s">
        <v>209</v>
      </c>
      <c r="G6577" s="5">
        <v>415.23</v>
      </c>
    </row>
    <row r="6578" spans="1:7" x14ac:dyDescent="0.2">
      <c r="A6578" s="3">
        <v>350</v>
      </c>
      <c r="B6578" s="2">
        <v>145330.5</v>
      </c>
      <c r="C6578" s="38">
        <v>45135</v>
      </c>
      <c r="D6578" s="1" t="s">
        <v>254</v>
      </c>
      <c r="E6578" s="1" t="s">
        <v>33</v>
      </c>
      <c r="F6578" s="1" t="s">
        <v>209</v>
      </c>
      <c r="G6578" s="5">
        <v>415.23</v>
      </c>
    </row>
    <row r="6579" spans="1:7" x14ac:dyDescent="0.2">
      <c r="A6579" s="3">
        <v>420</v>
      </c>
      <c r="B6579" s="2">
        <v>174396.6</v>
      </c>
      <c r="C6579" s="38">
        <v>45135</v>
      </c>
      <c r="D6579" s="1" t="s">
        <v>254</v>
      </c>
      <c r="E6579" s="1" t="s">
        <v>33</v>
      </c>
      <c r="F6579" s="1" t="s">
        <v>209</v>
      </c>
      <c r="G6579" s="5">
        <v>415.23</v>
      </c>
    </row>
    <row r="6580" spans="1:7" x14ac:dyDescent="0.2">
      <c r="A6580" s="3">
        <v>140</v>
      </c>
      <c r="B6580" s="2">
        <v>60040.4</v>
      </c>
      <c r="C6580" s="38">
        <v>45135</v>
      </c>
      <c r="D6580" s="1" t="s">
        <v>255</v>
      </c>
      <c r="E6580" s="1" t="s">
        <v>33</v>
      </c>
      <c r="F6580" s="1" t="s">
        <v>209</v>
      </c>
      <c r="G6580" s="5">
        <v>428.86</v>
      </c>
    </row>
    <row r="6581" spans="1:7" x14ac:dyDescent="0.2">
      <c r="A6581" s="3">
        <v>140</v>
      </c>
      <c r="B6581" s="2">
        <v>60040.4</v>
      </c>
      <c r="C6581" s="38">
        <v>45135</v>
      </c>
      <c r="D6581" s="1" t="s">
        <v>255</v>
      </c>
      <c r="E6581" s="1" t="s">
        <v>33</v>
      </c>
      <c r="F6581" s="1" t="s">
        <v>209</v>
      </c>
      <c r="G6581" s="5">
        <v>428.86</v>
      </c>
    </row>
    <row r="6582" spans="1:7" x14ac:dyDescent="0.2">
      <c r="A6582" s="3">
        <v>1980</v>
      </c>
      <c r="B6582" s="2">
        <v>1503493.2</v>
      </c>
      <c r="C6582" s="38">
        <v>45135</v>
      </c>
      <c r="D6582" s="1" t="s">
        <v>265</v>
      </c>
      <c r="E6582" s="1" t="s">
        <v>33</v>
      </c>
      <c r="F6582" s="1" t="s">
        <v>209</v>
      </c>
      <c r="G6582" s="5">
        <v>759.34</v>
      </c>
    </row>
    <row r="6583" spans="1:7" x14ac:dyDescent="0.2">
      <c r="A6583" s="3">
        <v>450</v>
      </c>
      <c r="B6583" s="2">
        <v>341703</v>
      </c>
      <c r="C6583" s="38">
        <v>45135</v>
      </c>
      <c r="D6583" s="1" t="s">
        <v>265</v>
      </c>
      <c r="E6583" s="1" t="s">
        <v>33</v>
      </c>
      <c r="F6583" s="1" t="s">
        <v>209</v>
      </c>
      <c r="G6583" s="5">
        <v>759.34</v>
      </c>
    </row>
    <row r="6584" spans="1:7" x14ac:dyDescent="0.2">
      <c r="A6584" s="3">
        <v>25</v>
      </c>
      <c r="B6584" s="2">
        <v>4461.25</v>
      </c>
      <c r="C6584" s="38">
        <v>45135</v>
      </c>
      <c r="D6584" s="1" t="s">
        <v>300</v>
      </c>
      <c r="E6584" s="1" t="s">
        <v>33</v>
      </c>
      <c r="F6584" s="1" t="s">
        <v>209</v>
      </c>
      <c r="G6584" s="5">
        <v>178.45</v>
      </c>
    </row>
    <row r="6585" spans="1:7" x14ac:dyDescent="0.2">
      <c r="A6585" s="3">
        <v>179</v>
      </c>
      <c r="B6585" s="2">
        <v>12503.15</v>
      </c>
      <c r="C6585" s="38">
        <v>45135</v>
      </c>
      <c r="D6585" s="1" t="s">
        <v>301</v>
      </c>
      <c r="E6585" s="1" t="s">
        <v>33</v>
      </c>
      <c r="F6585" s="1" t="s">
        <v>209</v>
      </c>
      <c r="G6585" s="5">
        <v>69.849999999999994</v>
      </c>
    </row>
    <row r="6586" spans="1:7" x14ac:dyDescent="0.2">
      <c r="A6586" s="3">
        <v>204</v>
      </c>
      <c r="B6586" s="2">
        <v>14249.4</v>
      </c>
      <c r="C6586" s="38">
        <v>45135</v>
      </c>
      <c r="D6586" s="1" t="s">
        <v>301</v>
      </c>
      <c r="E6586" s="1" t="s">
        <v>33</v>
      </c>
      <c r="F6586" s="1" t="s">
        <v>209</v>
      </c>
      <c r="G6586" s="5">
        <v>69.849999999999994</v>
      </c>
    </row>
    <row r="6587" spans="1:7" x14ac:dyDescent="0.2">
      <c r="A6587" s="3">
        <v>180</v>
      </c>
      <c r="B6587" s="2">
        <v>12573</v>
      </c>
      <c r="C6587" s="38">
        <v>45135</v>
      </c>
      <c r="D6587" s="1" t="s">
        <v>301</v>
      </c>
      <c r="E6587" s="1" t="s">
        <v>33</v>
      </c>
      <c r="F6587" s="1" t="s">
        <v>209</v>
      </c>
      <c r="G6587" s="5">
        <v>69.849999999999994</v>
      </c>
    </row>
    <row r="6588" spans="1:7" x14ac:dyDescent="0.2">
      <c r="A6588" s="3">
        <v>399</v>
      </c>
      <c r="B6588" s="2">
        <v>27870.15</v>
      </c>
      <c r="C6588" s="38">
        <v>45135</v>
      </c>
      <c r="D6588" s="1" t="s">
        <v>301</v>
      </c>
      <c r="E6588" s="1" t="s">
        <v>33</v>
      </c>
      <c r="F6588" s="1" t="s">
        <v>209</v>
      </c>
      <c r="G6588" s="5">
        <v>69.849999999999994</v>
      </c>
    </row>
    <row r="6589" spans="1:7" x14ac:dyDescent="0.2">
      <c r="A6589" s="3">
        <v>228</v>
      </c>
      <c r="B6589" s="2">
        <v>15925.8</v>
      </c>
      <c r="C6589" s="38">
        <v>45135</v>
      </c>
      <c r="D6589" s="1" t="s">
        <v>301</v>
      </c>
      <c r="E6589" s="1" t="s">
        <v>33</v>
      </c>
      <c r="F6589" s="1" t="s">
        <v>209</v>
      </c>
      <c r="G6589" s="5">
        <v>69.849999999999994</v>
      </c>
    </row>
    <row r="6590" spans="1:7" x14ac:dyDescent="0.2">
      <c r="A6590" s="3">
        <v>102</v>
      </c>
      <c r="B6590" s="2">
        <v>7124.7</v>
      </c>
      <c r="C6590" s="38">
        <v>45135</v>
      </c>
      <c r="D6590" s="1" t="s">
        <v>301</v>
      </c>
      <c r="E6590" s="1" t="s">
        <v>33</v>
      </c>
      <c r="F6590" s="1" t="s">
        <v>209</v>
      </c>
      <c r="G6590" s="5">
        <v>69.849999999999994</v>
      </c>
    </row>
    <row r="6591" spans="1:7" x14ac:dyDescent="0.2">
      <c r="A6591" s="3">
        <v>360</v>
      </c>
      <c r="B6591" s="2">
        <v>308653.2</v>
      </c>
      <c r="C6591" s="38">
        <v>45135</v>
      </c>
      <c r="D6591" s="1" t="s">
        <v>267</v>
      </c>
      <c r="E6591" s="1" t="s">
        <v>33</v>
      </c>
      <c r="F6591" s="1" t="s">
        <v>209</v>
      </c>
      <c r="G6591" s="5">
        <v>857.37</v>
      </c>
    </row>
    <row r="6592" spans="1:7" x14ac:dyDescent="0.2">
      <c r="A6592" s="3">
        <v>96</v>
      </c>
      <c r="B6592" s="2">
        <v>181650.24</v>
      </c>
      <c r="C6592" s="38">
        <v>45135</v>
      </c>
      <c r="D6592" s="1" t="s">
        <v>302</v>
      </c>
      <c r="E6592" s="1" t="s">
        <v>33</v>
      </c>
      <c r="F6592" s="1" t="s">
        <v>209</v>
      </c>
      <c r="G6592" s="5">
        <v>1892.19</v>
      </c>
    </row>
    <row r="6593" spans="1:7" x14ac:dyDescent="0.2">
      <c r="A6593" s="3">
        <v>112</v>
      </c>
      <c r="B6593" s="2">
        <v>211925.28</v>
      </c>
      <c r="C6593" s="38">
        <v>45135</v>
      </c>
      <c r="D6593" s="1" t="s">
        <v>302</v>
      </c>
      <c r="E6593" s="1" t="s">
        <v>33</v>
      </c>
      <c r="F6593" s="1" t="s">
        <v>209</v>
      </c>
      <c r="G6593" s="5">
        <v>1892.19</v>
      </c>
    </row>
    <row r="6594" spans="1:7" x14ac:dyDescent="0.2">
      <c r="A6594" s="3">
        <v>60</v>
      </c>
      <c r="B6594" s="2">
        <v>113531.4</v>
      </c>
      <c r="C6594" s="38">
        <v>45135</v>
      </c>
      <c r="D6594" s="1" t="s">
        <v>302</v>
      </c>
      <c r="E6594" s="1" t="s">
        <v>33</v>
      </c>
      <c r="F6594" s="1" t="s">
        <v>209</v>
      </c>
      <c r="G6594" s="5">
        <v>1892.19</v>
      </c>
    </row>
    <row r="6595" spans="1:7" x14ac:dyDescent="0.2">
      <c r="A6595" s="3">
        <v>112</v>
      </c>
      <c r="B6595" s="2">
        <v>211925.28</v>
      </c>
      <c r="C6595" s="38">
        <v>45135</v>
      </c>
      <c r="D6595" s="1" t="s">
        <v>302</v>
      </c>
      <c r="E6595" s="1" t="s">
        <v>33</v>
      </c>
      <c r="F6595" s="1" t="s">
        <v>209</v>
      </c>
      <c r="G6595" s="5">
        <v>1892.19</v>
      </c>
    </row>
    <row r="6596" spans="1:7" x14ac:dyDescent="0.2">
      <c r="A6596" s="3">
        <v>84</v>
      </c>
      <c r="B6596" s="2">
        <v>158943.96</v>
      </c>
      <c r="C6596" s="38">
        <v>45135</v>
      </c>
      <c r="D6596" s="1" t="s">
        <v>302</v>
      </c>
      <c r="E6596" s="1" t="s">
        <v>33</v>
      </c>
      <c r="F6596" s="1" t="s">
        <v>209</v>
      </c>
      <c r="G6596" s="5">
        <v>1892.19</v>
      </c>
    </row>
    <row r="6597" spans="1:7" x14ac:dyDescent="0.2">
      <c r="A6597" s="3">
        <v>39</v>
      </c>
      <c r="B6597" s="2">
        <v>2724.15</v>
      </c>
      <c r="C6597" s="38">
        <v>45145</v>
      </c>
      <c r="D6597" s="1" t="s">
        <v>301</v>
      </c>
      <c r="E6597" s="1" t="s">
        <v>33</v>
      </c>
      <c r="F6597" s="1" t="s">
        <v>209</v>
      </c>
      <c r="G6597" s="5">
        <v>69.849999999999994</v>
      </c>
    </row>
    <row r="6598" spans="1:7" x14ac:dyDescent="0.2">
      <c r="A6598" s="3">
        <v>240</v>
      </c>
      <c r="B6598" s="2">
        <v>108170.4</v>
      </c>
      <c r="C6598" s="38">
        <v>45146</v>
      </c>
      <c r="D6598" s="1" t="s">
        <v>240</v>
      </c>
      <c r="E6598" s="1" t="s">
        <v>33</v>
      </c>
      <c r="F6598" s="1" t="s">
        <v>209</v>
      </c>
      <c r="G6598" s="5">
        <v>450.71</v>
      </c>
    </row>
    <row r="6599" spans="1:7" x14ac:dyDescent="0.2">
      <c r="A6599" s="3">
        <v>648</v>
      </c>
      <c r="B6599" s="2">
        <v>69925.679999999993</v>
      </c>
      <c r="C6599" s="38">
        <v>45169</v>
      </c>
      <c r="D6599" s="1" t="s">
        <v>237</v>
      </c>
      <c r="E6599" s="1" t="s">
        <v>33</v>
      </c>
      <c r="F6599" s="1" t="s">
        <v>209</v>
      </c>
      <c r="G6599" s="5">
        <v>107.91</v>
      </c>
    </row>
    <row r="6600" spans="1:7" x14ac:dyDescent="0.2">
      <c r="A6600" s="3">
        <v>120</v>
      </c>
      <c r="B6600" s="2">
        <v>54085.2</v>
      </c>
      <c r="C6600" s="38">
        <v>45169</v>
      </c>
      <c r="D6600" s="1" t="s">
        <v>240</v>
      </c>
      <c r="E6600" s="1" t="s">
        <v>33</v>
      </c>
      <c r="F6600" s="1" t="s">
        <v>209</v>
      </c>
      <c r="G6600" s="5">
        <v>450.71</v>
      </c>
    </row>
    <row r="6601" spans="1:7" x14ac:dyDescent="0.2">
      <c r="A6601" s="3">
        <v>360</v>
      </c>
      <c r="B6601" s="2">
        <v>162255.6</v>
      </c>
      <c r="C6601" s="38">
        <v>45169</v>
      </c>
      <c r="D6601" s="1" t="s">
        <v>240</v>
      </c>
      <c r="E6601" s="1" t="s">
        <v>33</v>
      </c>
      <c r="F6601" s="1" t="s">
        <v>209</v>
      </c>
      <c r="G6601" s="5">
        <v>450.71</v>
      </c>
    </row>
    <row r="6602" spans="1:7" x14ac:dyDescent="0.2">
      <c r="A6602" s="3">
        <v>240</v>
      </c>
      <c r="B6602" s="2">
        <v>108170.4</v>
      </c>
      <c r="C6602" s="38">
        <v>45169</v>
      </c>
      <c r="D6602" s="1" t="s">
        <v>240</v>
      </c>
      <c r="E6602" s="1" t="s">
        <v>33</v>
      </c>
      <c r="F6602" s="1" t="s">
        <v>209</v>
      </c>
      <c r="G6602" s="5">
        <v>450.71</v>
      </c>
    </row>
    <row r="6603" spans="1:7" x14ac:dyDescent="0.2">
      <c r="A6603" s="3">
        <v>130</v>
      </c>
      <c r="B6603" s="2">
        <v>58592.3</v>
      </c>
      <c r="C6603" s="38">
        <v>45169</v>
      </c>
      <c r="D6603" s="1" t="s">
        <v>240</v>
      </c>
      <c r="E6603" s="1" t="s">
        <v>33</v>
      </c>
      <c r="F6603" s="1" t="s">
        <v>209</v>
      </c>
      <c r="G6603" s="5">
        <v>450.71</v>
      </c>
    </row>
    <row r="6604" spans="1:7" x14ac:dyDescent="0.2">
      <c r="A6604" s="3">
        <v>240</v>
      </c>
      <c r="B6604" s="2">
        <v>108170.4</v>
      </c>
      <c r="C6604" s="38">
        <v>45169</v>
      </c>
      <c r="D6604" s="1" t="s">
        <v>240</v>
      </c>
      <c r="E6604" s="1" t="s">
        <v>33</v>
      </c>
      <c r="F6604" s="1" t="s">
        <v>209</v>
      </c>
      <c r="G6604" s="5">
        <v>450.71</v>
      </c>
    </row>
    <row r="6605" spans="1:7" x14ac:dyDescent="0.2">
      <c r="A6605" s="3">
        <v>120</v>
      </c>
      <c r="B6605" s="2">
        <v>54085.2</v>
      </c>
      <c r="C6605" s="38">
        <v>45169</v>
      </c>
      <c r="D6605" s="1" t="s">
        <v>240</v>
      </c>
      <c r="E6605" s="1" t="s">
        <v>33</v>
      </c>
      <c r="F6605" s="1" t="s">
        <v>209</v>
      </c>
      <c r="G6605" s="5">
        <v>450.71</v>
      </c>
    </row>
    <row r="6606" spans="1:7" x14ac:dyDescent="0.2">
      <c r="A6606" s="3">
        <v>252</v>
      </c>
      <c r="B6606" s="2">
        <v>21606.48</v>
      </c>
      <c r="C6606" s="38">
        <v>45169</v>
      </c>
      <c r="D6606" s="1" t="s">
        <v>243</v>
      </c>
      <c r="E6606" s="1" t="s">
        <v>33</v>
      </c>
      <c r="F6606" s="1" t="s">
        <v>209</v>
      </c>
      <c r="G6606" s="5">
        <v>85.74</v>
      </c>
    </row>
    <row r="6607" spans="1:7" x14ac:dyDescent="0.2">
      <c r="A6607" s="3">
        <v>90</v>
      </c>
      <c r="B6607" s="2">
        <v>39505.5</v>
      </c>
      <c r="C6607" s="38">
        <v>45169</v>
      </c>
      <c r="D6607" s="1" t="s">
        <v>248</v>
      </c>
      <c r="E6607" s="1" t="s">
        <v>33</v>
      </c>
      <c r="F6607" s="1" t="s">
        <v>209</v>
      </c>
      <c r="G6607" s="5">
        <v>438.95</v>
      </c>
    </row>
    <row r="6608" spans="1:7" x14ac:dyDescent="0.2">
      <c r="A6608" s="3">
        <v>1200</v>
      </c>
      <c r="B6608" s="2">
        <v>526740</v>
      </c>
      <c r="C6608" s="38">
        <v>45169</v>
      </c>
      <c r="D6608" s="1" t="s">
        <v>248</v>
      </c>
      <c r="E6608" s="1" t="s">
        <v>33</v>
      </c>
      <c r="F6608" s="1" t="s">
        <v>209</v>
      </c>
      <c r="G6608" s="5">
        <v>438.95</v>
      </c>
    </row>
    <row r="6609" spans="1:7" x14ac:dyDescent="0.2">
      <c r="A6609" s="3">
        <v>600</v>
      </c>
      <c r="B6609" s="2">
        <v>263370</v>
      </c>
      <c r="C6609" s="38">
        <v>45169</v>
      </c>
      <c r="D6609" s="1" t="s">
        <v>248</v>
      </c>
      <c r="E6609" s="1" t="s">
        <v>33</v>
      </c>
      <c r="F6609" s="1" t="s">
        <v>209</v>
      </c>
      <c r="G6609" s="5">
        <v>438.95</v>
      </c>
    </row>
    <row r="6610" spans="1:7" x14ac:dyDescent="0.2">
      <c r="A6610" s="3">
        <v>120</v>
      </c>
      <c r="B6610" s="2">
        <v>52674</v>
      </c>
      <c r="C6610" s="38">
        <v>45169</v>
      </c>
      <c r="D6610" s="1" t="s">
        <v>248</v>
      </c>
      <c r="E6610" s="1" t="s">
        <v>33</v>
      </c>
      <c r="F6610" s="1" t="s">
        <v>209</v>
      </c>
      <c r="G6610" s="5">
        <v>438.95</v>
      </c>
    </row>
    <row r="6611" spans="1:7" x14ac:dyDescent="0.2">
      <c r="A6611" s="3">
        <v>210</v>
      </c>
      <c r="B6611" s="2">
        <v>92179.5</v>
      </c>
      <c r="C6611" s="38">
        <v>45169</v>
      </c>
      <c r="D6611" s="1" t="s">
        <v>248</v>
      </c>
      <c r="E6611" s="1" t="s">
        <v>33</v>
      </c>
      <c r="F6611" s="1" t="s">
        <v>209</v>
      </c>
      <c r="G6611" s="5">
        <v>438.95</v>
      </c>
    </row>
    <row r="6612" spans="1:7" x14ac:dyDescent="0.2">
      <c r="A6612" s="3">
        <v>1820</v>
      </c>
      <c r="B6612" s="2">
        <v>4568.2</v>
      </c>
      <c r="C6612" s="38">
        <v>45169</v>
      </c>
      <c r="D6612" s="1" t="s">
        <v>250</v>
      </c>
      <c r="E6612" s="1" t="s">
        <v>33</v>
      </c>
      <c r="F6612" s="1" t="s">
        <v>209</v>
      </c>
      <c r="G6612" s="5">
        <v>2.5099999999999998</v>
      </c>
    </row>
    <row r="6613" spans="1:7" x14ac:dyDescent="0.2">
      <c r="A6613" s="3">
        <v>210</v>
      </c>
      <c r="B6613" s="2">
        <v>87198.3</v>
      </c>
      <c r="C6613" s="38">
        <v>45169</v>
      </c>
      <c r="D6613" s="1" t="s">
        <v>254</v>
      </c>
      <c r="E6613" s="1" t="s">
        <v>33</v>
      </c>
      <c r="F6613" s="1" t="s">
        <v>209</v>
      </c>
      <c r="G6613" s="5">
        <v>415.23</v>
      </c>
    </row>
    <row r="6614" spans="1:7" x14ac:dyDescent="0.2">
      <c r="A6614" s="3">
        <v>420</v>
      </c>
      <c r="B6614" s="2">
        <v>174396.6</v>
      </c>
      <c r="C6614" s="38">
        <v>45169</v>
      </c>
      <c r="D6614" s="1" t="s">
        <v>254</v>
      </c>
      <c r="E6614" s="1" t="s">
        <v>33</v>
      </c>
      <c r="F6614" s="1" t="s">
        <v>209</v>
      </c>
      <c r="G6614" s="5">
        <v>415.23</v>
      </c>
    </row>
    <row r="6615" spans="1:7" x14ac:dyDescent="0.2">
      <c r="A6615" s="3">
        <v>4500</v>
      </c>
      <c r="B6615" s="2">
        <v>3088.8</v>
      </c>
      <c r="C6615" s="38">
        <v>45169</v>
      </c>
      <c r="D6615" s="1" t="s">
        <v>263</v>
      </c>
      <c r="E6615" s="1" t="s">
        <v>33</v>
      </c>
      <c r="F6615" s="1" t="s">
        <v>209</v>
      </c>
      <c r="G6615" s="5">
        <v>0.68640000000000001</v>
      </c>
    </row>
    <row r="6616" spans="1:7" x14ac:dyDescent="0.2">
      <c r="A6616" s="3">
        <v>30</v>
      </c>
      <c r="B6616" s="2">
        <v>22780.2</v>
      </c>
      <c r="C6616" s="38">
        <v>45169</v>
      </c>
      <c r="D6616" s="1" t="s">
        <v>265</v>
      </c>
      <c r="E6616" s="1" t="s">
        <v>33</v>
      </c>
      <c r="F6616" s="1" t="s">
        <v>209</v>
      </c>
      <c r="G6616" s="5">
        <v>759.34</v>
      </c>
    </row>
    <row r="6617" spans="1:7" x14ac:dyDescent="0.2">
      <c r="A6617" s="3">
        <v>120</v>
      </c>
      <c r="B6617" s="2">
        <v>91120.8</v>
      </c>
      <c r="C6617" s="38">
        <v>45169</v>
      </c>
      <c r="D6617" s="1" t="s">
        <v>265</v>
      </c>
      <c r="E6617" s="1" t="s">
        <v>33</v>
      </c>
      <c r="F6617" s="1" t="s">
        <v>209</v>
      </c>
      <c r="G6617" s="5">
        <v>759.34</v>
      </c>
    </row>
    <row r="6618" spans="1:7" x14ac:dyDescent="0.2">
      <c r="A6618" s="3">
        <v>60</v>
      </c>
      <c r="B6618" s="2">
        <v>45560.4</v>
      </c>
      <c r="C6618" s="38">
        <v>45169</v>
      </c>
      <c r="D6618" s="1" t="s">
        <v>265</v>
      </c>
      <c r="E6618" s="1" t="s">
        <v>33</v>
      </c>
      <c r="F6618" s="1" t="s">
        <v>209</v>
      </c>
      <c r="G6618" s="5">
        <v>759.34</v>
      </c>
    </row>
    <row r="6619" spans="1:7" x14ac:dyDescent="0.2">
      <c r="A6619" s="3">
        <v>60</v>
      </c>
      <c r="B6619" s="2">
        <v>45560.4</v>
      </c>
      <c r="C6619" s="38">
        <v>45169</v>
      </c>
      <c r="D6619" s="1" t="s">
        <v>265</v>
      </c>
      <c r="E6619" s="1" t="s">
        <v>33</v>
      </c>
      <c r="F6619" s="1" t="s">
        <v>209</v>
      </c>
      <c r="G6619" s="5">
        <v>759.34</v>
      </c>
    </row>
    <row r="6620" spans="1:7" x14ac:dyDescent="0.2">
      <c r="A6620" s="3">
        <v>30</v>
      </c>
      <c r="B6620" s="2">
        <v>22780.2</v>
      </c>
      <c r="C6620" s="38">
        <v>45169</v>
      </c>
      <c r="D6620" s="1" t="s">
        <v>265</v>
      </c>
      <c r="E6620" s="1" t="s">
        <v>33</v>
      </c>
      <c r="F6620" s="1" t="s">
        <v>209</v>
      </c>
      <c r="G6620" s="5">
        <v>759.34</v>
      </c>
    </row>
    <row r="6621" spans="1:7" x14ac:dyDescent="0.2">
      <c r="A6621" s="3">
        <v>60</v>
      </c>
      <c r="B6621" s="2">
        <v>45560.4</v>
      </c>
      <c r="C6621" s="38">
        <v>45169</v>
      </c>
      <c r="D6621" s="1" t="s">
        <v>265</v>
      </c>
      <c r="E6621" s="1" t="s">
        <v>33</v>
      </c>
      <c r="F6621" s="1" t="s">
        <v>209</v>
      </c>
      <c r="G6621" s="5">
        <v>759.34</v>
      </c>
    </row>
    <row r="6622" spans="1:7" x14ac:dyDescent="0.2">
      <c r="A6622" s="3">
        <v>1005</v>
      </c>
      <c r="B6622" s="2">
        <v>70199.25</v>
      </c>
      <c r="C6622" s="38">
        <v>45169</v>
      </c>
      <c r="D6622" s="1" t="s">
        <v>301</v>
      </c>
      <c r="E6622" s="1" t="s">
        <v>33</v>
      </c>
      <c r="F6622" s="1" t="s">
        <v>209</v>
      </c>
      <c r="G6622" s="5">
        <v>69.849999999999994</v>
      </c>
    </row>
    <row r="6623" spans="1:7" x14ac:dyDescent="0.2">
      <c r="A6623" s="3">
        <v>216</v>
      </c>
      <c r="B6623" s="2">
        <v>23308.560000000001</v>
      </c>
      <c r="C6623" s="38">
        <v>45084</v>
      </c>
      <c r="D6623" s="1" t="s">
        <v>237</v>
      </c>
      <c r="E6623" s="1" t="s">
        <v>33</v>
      </c>
      <c r="F6623" s="1" t="s">
        <v>209</v>
      </c>
      <c r="G6623" s="5">
        <v>107.91</v>
      </c>
    </row>
    <row r="6624" spans="1:7" x14ac:dyDescent="0.2">
      <c r="A6624" s="3">
        <v>108</v>
      </c>
      <c r="B6624" s="2">
        <v>11654.28</v>
      </c>
      <c r="C6624" s="38">
        <v>45084</v>
      </c>
      <c r="D6624" s="1" t="s">
        <v>237</v>
      </c>
      <c r="E6624" s="1" t="s">
        <v>33</v>
      </c>
      <c r="F6624" s="1" t="s">
        <v>209</v>
      </c>
      <c r="G6624" s="5">
        <v>107.91</v>
      </c>
    </row>
    <row r="6625" spans="1:7" x14ac:dyDescent="0.2">
      <c r="A6625" s="3">
        <v>324</v>
      </c>
      <c r="B6625" s="2">
        <v>34962.839999999997</v>
      </c>
      <c r="C6625" s="38">
        <v>45084</v>
      </c>
      <c r="D6625" s="1" t="s">
        <v>237</v>
      </c>
      <c r="E6625" s="1" t="s">
        <v>33</v>
      </c>
      <c r="F6625" s="1" t="s">
        <v>209</v>
      </c>
      <c r="G6625" s="5">
        <v>107.91</v>
      </c>
    </row>
    <row r="6626" spans="1:7" x14ac:dyDescent="0.2">
      <c r="A6626" s="3">
        <v>108</v>
      </c>
      <c r="B6626" s="2">
        <v>11654.28</v>
      </c>
      <c r="C6626" s="38">
        <v>45084</v>
      </c>
      <c r="D6626" s="1" t="s">
        <v>237</v>
      </c>
      <c r="E6626" s="1" t="s">
        <v>33</v>
      </c>
      <c r="F6626" s="1" t="s">
        <v>209</v>
      </c>
      <c r="G6626" s="5">
        <v>107.91</v>
      </c>
    </row>
    <row r="6627" spans="1:7" x14ac:dyDescent="0.2">
      <c r="A6627" s="3">
        <v>216</v>
      </c>
      <c r="B6627" s="2">
        <v>23308.560000000001</v>
      </c>
      <c r="C6627" s="38">
        <v>45084</v>
      </c>
      <c r="D6627" s="1" t="s">
        <v>237</v>
      </c>
      <c r="E6627" s="1" t="s">
        <v>33</v>
      </c>
      <c r="F6627" s="1" t="s">
        <v>209</v>
      </c>
      <c r="G6627" s="5">
        <v>107.91</v>
      </c>
    </row>
    <row r="6628" spans="1:7" x14ac:dyDescent="0.2">
      <c r="A6628" s="3">
        <v>216</v>
      </c>
      <c r="B6628" s="2">
        <v>23308.560000000001</v>
      </c>
      <c r="C6628" s="38">
        <v>45084</v>
      </c>
      <c r="D6628" s="1" t="s">
        <v>237</v>
      </c>
      <c r="E6628" s="1" t="s">
        <v>33</v>
      </c>
      <c r="F6628" s="1" t="s">
        <v>209</v>
      </c>
      <c r="G6628" s="5">
        <v>107.91</v>
      </c>
    </row>
    <row r="6629" spans="1:7" x14ac:dyDescent="0.2">
      <c r="A6629" s="3">
        <v>216</v>
      </c>
      <c r="B6629" s="2">
        <v>23308.560000000001</v>
      </c>
      <c r="C6629" s="38">
        <v>45084</v>
      </c>
      <c r="D6629" s="1" t="s">
        <v>237</v>
      </c>
      <c r="E6629" s="1" t="s">
        <v>33</v>
      </c>
      <c r="F6629" s="1" t="s">
        <v>209</v>
      </c>
      <c r="G6629" s="5">
        <v>107.91</v>
      </c>
    </row>
    <row r="6630" spans="1:7" x14ac:dyDescent="0.2">
      <c r="A6630" s="3">
        <v>432</v>
      </c>
      <c r="B6630" s="2">
        <v>46617.120000000003</v>
      </c>
      <c r="C6630" s="38">
        <v>45084</v>
      </c>
      <c r="D6630" s="1" t="s">
        <v>237</v>
      </c>
      <c r="E6630" s="1" t="s">
        <v>33</v>
      </c>
      <c r="F6630" s="1" t="s">
        <v>209</v>
      </c>
      <c r="G6630" s="5">
        <v>107.91</v>
      </c>
    </row>
    <row r="6631" spans="1:7" x14ac:dyDescent="0.2">
      <c r="A6631" s="3">
        <v>202</v>
      </c>
      <c r="B6631" s="2">
        <v>91043.42</v>
      </c>
      <c r="C6631" s="38">
        <v>45084</v>
      </c>
      <c r="D6631" s="1" t="s">
        <v>240</v>
      </c>
      <c r="E6631" s="1" t="s">
        <v>33</v>
      </c>
      <c r="F6631" s="1" t="s">
        <v>209</v>
      </c>
      <c r="G6631" s="5">
        <v>450.71</v>
      </c>
    </row>
    <row r="6632" spans="1:7" x14ac:dyDescent="0.2">
      <c r="A6632" s="3">
        <v>240</v>
      </c>
      <c r="B6632" s="2">
        <v>108170.4</v>
      </c>
      <c r="C6632" s="38">
        <v>45084</v>
      </c>
      <c r="D6632" s="1" t="s">
        <v>240</v>
      </c>
      <c r="E6632" s="1" t="s">
        <v>33</v>
      </c>
      <c r="F6632" s="1" t="s">
        <v>209</v>
      </c>
      <c r="G6632" s="5">
        <v>450.71</v>
      </c>
    </row>
    <row r="6633" spans="1:7" x14ac:dyDescent="0.2">
      <c r="A6633" s="3">
        <v>3024</v>
      </c>
      <c r="B6633" s="2">
        <v>133449.12</v>
      </c>
      <c r="C6633" s="38">
        <v>45084</v>
      </c>
      <c r="D6633" s="1" t="s">
        <v>242</v>
      </c>
      <c r="E6633" s="1" t="s">
        <v>33</v>
      </c>
      <c r="F6633" s="1" t="s">
        <v>209</v>
      </c>
      <c r="G6633" s="5">
        <v>44.13</v>
      </c>
    </row>
    <row r="6634" spans="1:7" x14ac:dyDescent="0.2">
      <c r="A6634" s="3">
        <v>252</v>
      </c>
      <c r="B6634" s="2">
        <v>21606.48</v>
      </c>
      <c r="C6634" s="38">
        <v>45084</v>
      </c>
      <c r="D6634" s="1" t="s">
        <v>243</v>
      </c>
      <c r="E6634" s="1" t="s">
        <v>33</v>
      </c>
      <c r="F6634" s="1" t="s">
        <v>209</v>
      </c>
      <c r="G6634" s="5">
        <v>85.74</v>
      </c>
    </row>
    <row r="6635" spans="1:7" x14ac:dyDescent="0.2">
      <c r="A6635" s="3">
        <v>240</v>
      </c>
      <c r="B6635" s="2">
        <v>105348</v>
      </c>
      <c r="C6635" s="38">
        <v>45084</v>
      </c>
      <c r="D6635" s="1" t="s">
        <v>248</v>
      </c>
      <c r="E6635" s="1" t="s">
        <v>33</v>
      </c>
      <c r="F6635" s="1" t="s">
        <v>209</v>
      </c>
      <c r="G6635" s="5">
        <v>438.95</v>
      </c>
    </row>
    <row r="6636" spans="1:7" x14ac:dyDescent="0.2">
      <c r="A6636" s="3">
        <v>300</v>
      </c>
      <c r="B6636" s="2">
        <v>131685</v>
      </c>
      <c r="C6636" s="38">
        <v>45084</v>
      </c>
      <c r="D6636" s="1" t="s">
        <v>248</v>
      </c>
      <c r="E6636" s="1" t="s">
        <v>33</v>
      </c>
      <c r="F6636" s="1" t="s">
        <v>209</v>
      </c>
      <c r="G6636" s="5">
        <v>438.95</v>
      </c>
    </row>
    <row r="6637" spans="1:7" x14ac:dyDescent="0.2">
      <c r="A6637" s="3">
        <v>120</v>
      </c>
      <c r="B6637" s="2">
        <v>52674</v>
      </c>
      <c r="C6637" s="38">
        <v>45084</v>
      </c>
      <c r="D6637" s="1" t="s">
        <v>248</v>
      </c>
      <c r="E6637" s="1" t="s">
        <v>33</v>
      </c>
      <c r="F6637" s="1" t="s">
        <v>209</v>
      </c>
      <c r="G6637" s="5">
        <v>438.95</v>
      </c>
    </row>
    <row r="6638" spans="1:7" x14ac:dyDescent="0.2">
      <c r="A6638" s="3">
        <v>30</v>
      </c>
      <c r="B6638" s="2">
        <v>13168.5</v>
      </c>
      <c r="C6638" s="38">
        <v>45084</v>
      </c>
      <c r="D6638" s="1" t="s">
        <v>248</v>
      </c>
      <c r="E6638" s="1" t="s">
        <v>33</v>
      </c>
      <c r="F6638" s="1" t="s">
        <v>209</v>
      </c>
      <c r="G6638" s="5">
        <v>438.95</v>
      </c>
    </row>
    <row r="6639" spans="1:7" x14ac:dyDescent="0.2">
      <c r="A6639" s="3">
        <v>270</v>
      </c>
      <c r="B6639" s="2">
        <v>118516.5</v>
      </c>
      <c r="C6639" s="38">
        <v>45084</v>
      </c>
      <c r="D6639" s="1" t="s">
        <v>248</v>
      </c>
      <c r="E6639" s="1" t="s">
        <v>33</v>
      </c>
      <c r="F6639" s="1" t="s">
        <v>209</v>
      </c>
      <c r="G6639" s="5">
        <v>438.95</v>
      </c>
    </row>
    <row r="6640" spans="1:7" x14ac:dyDescent="0.2">
      <c r="A6640" s="3">
        <v>450</v>
      </c>
      <c r="B6640" s="2">
        <v>197527.5</v>
      </c>
      <c r="C6640" s="38">
        <v>45084</v>
      </c>
      <c r="D6640" s="1" t="s">
        <v>248</v>
      </c>
      <c r="E6640" s="1" t="s">
        <v>33</v>
      </c>
      <c r="F6640" s="1" t="s">
        <v>209</v>
      </c>
      <c r="G6640" s="5">
        <v>438.95</v>
      </c>
    </row>
    <row r="6641" spans="1:7" x14ac:dyDescent="0.2">
      <c r="A6641" s="3">
        <v>510</v>
      </c>
      <c r="B6641" s="2">
        <v>223864.5</v>
      </c>
      <c r="C6641" s="38">
        <v>45084</v>
      </c>
      <c r="D6641" s="1" t="s">
        <v>248</v>
      </c>
      <c r="E6641" s="1" t="s">
        <v>33</v>
      </c>
      <c r="F6641" s="1" t="s">
        <v>209</v>
      </c>
      <c r="G6641" s="5">
        <v>438.95</v>
      </c>
    </row>
    <row r="6642" spans="1:7" x14ac:dyDescent="0.2">
      <c r="A6642" s="3">
        <v>120</v>
      </c>
      <c r="B6642" s="2">
        <v>52674</v>
      </c>
      <c r="C6642" s="38">
        <v>45084</v>
      </c>
      <c r="D6642" s="1" t="s">
        <v>248</v>
      </c>
      <c r="E6642" s="1" t="s">
        <v>33</v>
      </c>
      <c r="F6642" s="1" t="s">
        <v>209</v>
      </c>
      <c r="G6642" s="5">
        <v>438.95</v>
      </c>
    </row>
    <row r="6643" spans="1:7" x14ac:dyDescent="0.2">
      <c r="A6643" s="3">
        <v>1008</v>
      </c>
      <c r="B6643" s="2">
        <v>73402.559999999998</v>
      </c>
      <c r="C6643" s="38">
        <v>45084</v>
      </c>
      <c r="D6643" s="1" t="s">
        <v>298</v>
      </c>
      <c r="E6643" s="1" t="s">
        <v>33</v>
      </c>
      <c r="F6643" s="1" t="s">
        <v>209</v>
      </c>
      <c r="G6643" s="5">
        <v>72.819999999999993</v>
      </c>
    </row>
    <row r="6644" spans="1:7" x14ac:dyDescent="0.2">
      <c r="A6644" s="3">
        <v>1820</v>
      </c>
      <c r="B6644" s="2">
        <v>4568.2</v>
      </c>
      <c r="C6644" s="38">
        <v>45084</v>
      </c>
      <c r="D6644" s="1" t="s">
        <v>250</v>
      </c>
      <c r="E6644" s="1" t="s">
        <v>33</v>
      </c>
      <c r="F6644" s="1" t="s">
        <v>209</v>
      </c>
      <c r="G6644" s="5">
        <v>2.5099999999999998</v>
      </c>
    </row>
    <row r="6645" spans="1:7" x14ac:dyDescent="0.2">
      <c r="A6645" s="3">
        <v>490</v>
      </c>
      <c r="B6645" s="2">
        <v>210141.4</v>
      </c>
      <c r="C6645" s="38">
        <v>45084</v>
      </c>
      <c r="D6645" s="1" t="s">
        <v>255</v>
      </c>
      <c r="E6645" s="1" t="s">
        <v>33</v>
      </c>
      <c r="F6645" s="1" t="s">
        <v>209</v>
      </c>
      <c r="G6645" s="5">
        <v>428.86</v>
      </c>
    </row>
    <row r="6646" spans="1:7" x14ac:dyDescent="0.2">
      <c r="A6646" s="3">
        <v>140</v>
      </c>
      <c r="B6646" s="2">
        <v>60040.4</v>
      </c>
      <c r="C6646" s="38">
        <v>45084</v>
      </c>
      <c r="D6646" s="1" t="s">
        <v>255</v>
      </c>
      <c r="E6646" s="1" t="s">
        <v>33</v>
      </c>
      <c r="F6646" s="1" t="s">
        <v>209</v>
      </c>
      <c r="G6646" s="5">
        <v>428.86</v>
      </c>
    </row>
    <row r="6647" spans="1:7" x14ac:dyDescent="0.2">
      <c r="A6647" s="3">
        <v>159</v>
      </c>
      <c r="B6647" s="2">
        <v>17758.71</v>
      </c>
      <c r="C6647" s="38">
        <v>45084</v>
      </c>
      <c r="D6647" s="1" t="s">
        <v>350</v>
      </c>
      <c r="E6647" s="1" t="s">
        <v>33</v>
      </c>
      <c r="F6647" s="1" t="s">
        <v>209</v>
      </c>
      <c r="G6647" s="5">
        <v>111.69</v>
      </c>
    </row>
    <row r="6648" spans="1:7" x14ac:dyDescent="0.2">
      <c r="A6648" s="3">
        <v>160</v>
      </c>
      <c r="B6648" s="2">
        <v>17870.400000000001</v>
      </c>
      <c r="C6648" s="38">
        <v>45084</v>
      </c>
      <c r="D6648" s="1" t="s">
        <v>350</v>
      </c>
      <c r="E6648" s="1" t="s">
        <v>33</v>
      </c>
      <c r="F6648" s="1" t="s">
        <v>209</v>
      </c>
      <c r="G6648" s="5">
        <v>111.69</v>
      </c>
    </row>
    <row r="6649" spans="1:7" x14ac:dyDescent="0.2">
      <c r="A6649" s="3">
        <v>23</v>
      </c>
      <c r="B6649" s="2">
        <v>2568.87</v>
      </c>
      <c r="C6649" s="38">
        <v>45084</v>
      </c>
      <c r="D6649" s="1" t="s">
        <v>350</v>
      </c>
      <c r="E6649" s="1" t="s">
        <v>33</v>
      </c>
      <c r="F6649" s="1" t="s">
        <v>209</v>
      </c>
      <c r="G6649" s="5">
        <v>111.69</v>
      </c>
    </row>
    <row r="6650" spans="1:7" x14ac:dyDescent="0.2">
      <c r="A6650" s="3">
        <v>159</v>
      </c>
      <c r="B6650" s="2">
        <v>17758.71</v>
      </c>
      <c r="C6650" s="38">
        <v>45084</v>
      </c>
      <c r="D6650" s="1" t="s">
        <v>350</v>
      </c>
      <c r="E6650" s="1" t="s">
        <v>33</v>
      </c>
      <c r="F6650" s="1" t="s">
        <v>209</v>
      </c>
      <c r="G6650" s="5">
        <v>111.69</v>
      </c>
    </row>
    <row r="6651" spans="1:7" x14ac:dyDescent="0.2">
      <c r="A6651" s="3">
        <v>159</v>
      </c>
      <c r="B6651" s="2">
        <v>17758.71</v>
      </c>
      <c r="C6651" s="38">
        <v>45084</v>
      </c>
      <c r="D6651" s="1" t="s">
        <v>350</v>
      </c>
      <c r="E6651" s="1" t="s">
        <v>33</v>
      </c>
      <c r="F6651" s="1" t="s">
        <v>209</v>
      </c>
      <c r="G6651" s="5">
        <v>111.69</v>
      </c>
    </row>
    <row r="6652" spans="1:7" x14ac:dyDescent="0.2">
      <c r="A6652" s="3">
        <v>96</v>
      </c>
      <c r="B6652" s="2">
        <v>10722.24</v>
      </c>
      <c r="C6652" s="38">
        <v>45084</v>
      </c>
      <c r="D6652" s="1" t="s">
        <v>350</v>
      </c>
      <c r="E6652" s="1" t="s">
        <v>33</v>
      </c>
      <c r="F6652" s="1" t="s">
        <v>209</v>
      </c>
      <c r="G6652" s="5">
        <v>111.69</v>
      </c>
    </row>
    <row r="6653" spans="1:7" x14ac:dyDescent="0.2">
      <c r="A6653" s="3">
        <v>150</v>
      </c>
      <c r="B6653" s="2">
        <v>113901</v>
      </c>
      <c r="C6653" s="38">
        <v>45084</v>
      </c>
      <c r="D6653" s="1" t="s">
        <v>265</v>
      </c>
      <c r="E6653" s="1" t="s">
        <v>33</v>
      </c>
      <c r="F6653" s="1" t="s">
        <v>209</v>
      </c>
      <c r="G6653" s="5">
        <v>759.34</v>
      </c>
    </row>
    <row r="6654" spans="1:7" x14ac:dyDescent="0.2">
      <c r="A6654" s="3">
        <v>210</v>
      </c>
      <c r="B6654" s="2">
        <v>159461.4</v>
      </c>
      <c r="C6654" s="38">
        <v>45084</v>
      </c>
      <c r="D6654" s="1" t="s">
        <v>265</v>
      </c>
      <c r="E6654" s="1" t="s">
        <v>33</v>
      </c>
      <c r="F6654" s="1" t="s">
        <v>209</v>
      </c>
      <c r="G6654" s="5">
        <v>759.34</v>
      </c>
    </row>
    <row r="6655" spans="1:7" x14ac:dyDescent="0.2">
      <c r="A6655" s="3">
        <v>90</v>
      </c>
      <c r="B6655" s="2">
        <v>68340.600000000006</v>
      </c>
      <c r="C6655" s="38">
        <v>45084</v>
      </c>
      <c r="D6655" s="1" t="s">
        <v>265</v>
      </c>
      <c r="E6655" s="1" t="s">
        <v>33</v>
      </c>
      <c r="F6655" s="1" t="s">
        <v>209</v>
      </c>
      <c r="G6655" s="5">
        <v>759.34</v>
      </c>
    </row>
    <row r="6656" spans="1:7" x14ac:dyDescent="0.2">
      <c r="A6656" s="3">
        <v>60</v>
      </c>
      <c r="B6656" s="2">
        <v>45560.4</v>
      </c>
      <c r="C6656" s="38">
        <v>45084</v>
      </c>
      <c r="D6656" s="1" t="s">
        <v>265</v>
      </c>
      <c r="E6656" s="1" t="s">
        <v>33</v>
      </c>
      <c r="F6656" s="1" t="s">
        <v>209</v>
      </c>
      <c r="G6656" s="5">
        <v>759.34</v>
      </c>
    </row>
    <row r="6657" spans="1:7" x14ac:dyDescent="0.2">
      <c r="A6657" s="3">
        <v>270</v>
      </c>
      <c r="B6657" s="2">
        <v>205021.8</v>
      </c>
      <c r="C6657" s="38">
        <v>45084</v>
      </c>
      <c r="D6657" s="1" t="s">
        <v>265</v>
      </c>
      <c r="E6657" s="1" t="s">
        <v>33</v>
      </c>
      <c r="F6657" s="1" t="s">
        <v>209</v>
      </c>
      <c r="G6657" s="5">
        <v>759.34</v>
      </c>
    </row>
    <row r="6658" spans="1:7" x14ac:dyDescent="0.2">
      <c r="A6658" s="3">
        <v>210</v>
      </c>
      <c r="B6658" s="2">
        <v>159461.4</v>
      </c>
      <c r="C6658" s="38">
        <v>45084</v>
      </c>
      <c r="D6658" s="1" t="s">
        <v>265</v>
      </c>
      <c r="E6658" s="1" t="s">
        <v>33</v>
      </c>
      <c r="F6658" s="1" t="s">
        <v>209</v>
      </c>
      <c r="G6658" s="5">
        <v>759.34</v>
      </c>
    </row>
    <row r="6659" spans="1:7" x14ac:dyDescent="0.2">
      <c r="A6659" s="3">
        <v>120</v>
      </c>
      <c r="B6659" s="2">
        <v>91120.8</v>
      </c>
      <c r="C6659" s="38">
        <v>45084</v>
      </c>
      <c r="D6659" s="1" t="s">
        <v>265</v>
      </c>
      <c r="E6659" s="1" t="s">
        <v>33</v>
      </c>
      <c r="F6659" s="1" t="s">
        <v>209</v>
      </c>
      <c r="G6659" s="5">
        <v>759.34</v>
      </c>
    </row>
    <row r="6660" spans="1:7" x14ac:dyDescent="0.2">
      <c r="A6660" s="3">
        <v>180</v>
      </c>
      <c r="B6660" s="2">
        <v>136681.20000000001</v>
      </c>
      <c r="C6660" s="38">
        <v>45084</v>
      </c>
      <c r="D6660" s="1" t="s">
        <v>265</v>
      </c>
      <c r="E6660" s="1" t="s">
        <v>33</v>
      </c>
      <c r="F6660" s="1" t="s">
        <v>209</v>
      </c>
      <c r="G6660" s="5">
        <v>759.34</v>
      </c>
    </row>
    <row r="6661" spans="1:7" x14ac:dyDescent="0.2">
      <c r="A6661" s="3">
        <v>90</v>
      </c>
      <c r="B6661" s="2">
        <v>68340.600000000006</v>
      </c>
      <c r="C6661" s="38">
        <v>45084</v>
      </c>
      <c r="D6661" s="1" t="s">
        <v>265</v>
      </c>
      <c r="E6661" s="1" t="s">
        <v>33</v>
      </c>
      <c r="F6661" s="1" t="s">
        <v>209</v>
      </c>
      <c r="G6661" s="5">
        <v>759.34</v>
      </c>
    </row>
    <row r="6662" spans="1:7" x14ac:dyDescent="0.2">
      <c r="A6662" s="3">
        <v>60</v>
      </c>
      <c r="B6662" s="2">
        <v>45560.4</v>
      </c>
      <c r="C6662" s="38">
        <v>45084</v>
      </c>
      <c r="D6662" s="1" t="s">
        <v>265</v>
      </c>
      <c r="E6662" s="1" t="s">
        <v>33</v>
      </c>
      <c r="F6662" s="1" t="s">
        <v>209</v>
      </c>
      <c r="G6662" s="5">
        <v>759.34</v>
      </c>
    </row>
    <row r="6663" spans="1:7" x14ac:dyDescent="0.2">
      <c r="A6663" s="3">
        <v>60</v>
      </c>
      <c r="B6663" s="2">
        <v>45560.4</v>
      </c>
      <c r="C6663" s="38">
        <v>45084</v>
      </c>
      <c r="D6663" s="1" t="s">
        <v>265</v>
      </c>
      <c r="E6663" s="1" t="s">
        <v>33</v>
      </c>
      <c r="F6663" s="1" t="s">
        <v>209</v>
      </c>
      <c r="G6663" s="5">
        <v>759.34</v>
      </c>
    </row>
    <row r="6664" spans="1:7" x14ac:dyDescent="0.2">
      <c r="A6664" s="3">
        <v>60</v>
      </c>
      <c r="B6664" s="2">
        <v>45560.4</v>
      </c>
      <c r="C6664" s="38">
        <v>45084</v>
      </c>
      <c r="D6664" s="1" t="s">
        <v>265</v>
      </c>
      <c r="E6664" s="1" t="s">
        <v>33</v>
      </c>
      <c r="F6664" s="1" t="s">
        <v>209</v>
      </c>
      <c r="G6664" s="5">
        <v>759.34</v>
      </c>
    </row>
    <row r="6665" spans="1:7" x14ac:dyDescent="0.2">
      <c r="A6665" s="3">
        <v>143</v>
      </c>
      <c r="B6665" s="2">
        <v>25518.35</v>
      </c>
      <c r="C6665" s="38">
        <v>45084</v>
      </c>
      <c r="D6665" s="1" t="s">
        <v>300</v>
      </c>
      <c r="E6665" s="1" t="s">
        <v>33</v>
      </c>
      <c r="F6665" s="1" t="s">
        <v>209</v>
      </c>
      <c r="G6665" s="5">
        <v>178.45</v>
      </c>
    </row>
    <row r="6666" spans="1:7" x14ac:dyDescent="0.2">
      <c r="A6666" s="3">
        <v>107</v>
      </c>
      <c r="B6666" s="2">
        <v>19094.150000000001</v>
      </c>
      <c r="C6666" s="38">
        <v>45084</v>
      </c>
      <c r="D6666" s="1" t="s">
        <v>300</v>
      </c>
      <c r="E6666" s="1" t="s">
        <v>33</v>
      </c>
      <c r="F6666" s="1" t="s">
        <v>209</v>
      </c>
      <c r="G6666" s="5">
        <v>178.45</v>
      </c>
    </row>
    <row r="6667" spans="1:7" x14ac:dyDescent="0.2">
      <c r="A6667" s="3">
        <v>100</v>
      </c>
      <c r="B6667" s="2">
        <v>17845</v>
      </c>
      <c r="C6667" s="38">
        <v>45084</v>
      </c>
      <c r="D6667" s="1" t="s">
        <v>300</v>
      </c>
      <c r="E6667" s="1" t="s">
        <v>33</v>
      </c>
      <c r="F6667" s="1" t="s">
        <v>209</v>
      </c>
      <c r="G6667" s="5">
        <v>178.45</v>
      </c>
    </row>
    <row r="6668" spans="1:7" x14ac:dyDescent="0.2">
      <c r="A6668" s="3">
        <v>143</v>
      </c>
      <c r="B6668" s="2">
        <v>25518.35</v>
      </c>
      <c r="C6668" s="38">
        <v>45084</v>
      </c>
      <c r="D6668" s="1" t="s">
        <v>300</v>
      </c>
      <c r="E6668" s="1" t="s">
        <v>33</v>
      </c>
      <c r="F6668" s="1" t="s">
        <v>209</v>
      </c>
      <c r="G6668" s="5">
        <v>178.45</v>
      </c>
    </row>
    <row r="6669" spans="1:7" x14ac:dyDescent="0.2">
      <c r="A6669" s="3">
        <v>107</v>
      </c>
      <c r="B6669" s="2">
        <v>19094.150000000001</v>
      </c>
      <c r="C6669" s="38">
        <v>45084</v>
      </c>
      <c r="D6669" s="1" t="s">
        <v>300</v>
      </c>
      <c r="E6669" s="1" t="s">
        <v>33</v>
      </c>
      <c r="F6669" s="1" t="s">
        <v>209</v>
      </c>
      <c r="G6669" s="5">
        <v>178.45</v>
      </c>
    </row>
    <row r="6670" spans="1:7" x14ac:dyDescent="0.2">
      <c r="A6670" s="3">
        <v>143</v>
      </c>
      <c r="B6670" s="2">
        <v>25518.35</v>
      </c>
      <c r="C6670" s="38">
        <v>45084</v>
      </c>
      <c r="D6670" s="1" t="s">
        <v>300</v>
      </c>
      <c r="E6670" s="1" t="s">
        <v>33</v>
      </c>
      <c r="F6670" s="1" t="s">
        <v>209</v>
      </c>
      <c r="G6670" s="5">
        <v>178.45</v>
      </c>
    </row>
    <row r="6671" spans="1:7" x14ac:dyDescent="0.2">
      <c r="A6671" s="3">
        <v>143</v>
      </c>
      <c r="B6671" s="2">
        <v>25518.35</v>
      </c>
      <c r="C6671" s="38">
        <v>45084</v>
      </c>
      <c r="D6671" s="1" t="s">
        <v>300</v>
      </c>
      <c r="E6671" s="1" t="s">
        <v>33</v>
      </c>
      <c r="F6671" s="1" t="s">
        <v>209</v>
      </c>
      <c r="G6671" s="5">
        <v>178.45</v>
      </c>
    </row>
    <row r="6672" spans="1:7" x14ac:dyDescent="0.2">
      <c r="A6672" s="3">
        <v>145</v>
      </c>
      <c r="B6672" s="2">
        <v>25875.25</v>
      </c>
      <c r="C6672" s="38">
        <v>45084</v>
      </c>
      <c r="D6672" s="1" t="s">
        <v>300</v>
      </c>
      <c r="E6672" s="1" t="s">
        <v>33</v>
      </c>
      <c r="F6672" s="1" t="s">
        <v>209</v>
      </c>
      <c r="G6672" s="5">
        <v>178.45</v>
      </c>
    </row>
    <row r="6673" spans="1:7" x14ac:dyDescent="0.2">
      <c r="A6673" s="3">
        <v>143</v>
      </c>
      <c r="B6673" s="2">
        <v>25518.35</v>
      </c>
      <c r="C6673" s="38">
        <v>45084</v>
      </c>
      <c r="D6673" s="1" t="s">
        <v>300</v>
      </c>
      <c r="E6673" s="1" t="s">
        <v>33</v>
      </c>
      <c r="F6673" s="1" t="s">
        <v>209</v>
      </c>
      <c r="G6673" s="5">
        <v>178.45</v>
      </c>
    </row>
    <row r="6674" spans="1:7" x14ac:dyDescent="0.2">
      <c r="A6674" s="3">
        <v>143</v>
      </c>
      <c r="B6674" s="2">
        <v>25518.35</v>
      </c>
      <c r="C6674" s="38">
        <v>45084</v>
      </c>
      <c r="D6674" s="1" t="s">
        <v>300</v>
      </c>
      <c r="E6674" s="1" t="s">
        <v>33</v>
      </c>
      <c r="F6674" s="1" t="s">
        <v>209</v>
      </c>
      <c r="G6674" s="5">
        <v>178.45</v>
      </c>
    </row>
    <row r="6675" spans="1:7" x14ac:dyDescent="0.2">
      <c r="A6675" s="3">
        <v>107</v>
      </c>
      <c r="B6675" s="2">
        <v>19094.150000000001</v>
      </c>
      <c r="C6675" s="38">
        <v>45084</v>
      </c>
      <c r="D6675" s="1" t="s">
        <v>300</v>
      </c>
      <c r="E6675" s="1" t="s">
        <v>33</v>
      </c>
      <c r="F6675" s="1" t="s">
        <v>209</v>
      </c>
      <c r="G6675" s="5">
        <v>178.45</v>
      </c>
    </row>
    <row r="6676" spans="1:7" x14ac:dyDescent="0.2">
      <c r="A6676" s="3">
        <v>107</v>
      </c>
      <c r="B6676" s="2">
        <v>19094.150000000001</v>
      </c>
      <c r="C6676" s="38">
        <v>45084</v>
      </c>
      <c r="D6676" s="1" t="s">
        <v>300</v>
      </c>
      <c r="E6676" s="1" t="s">
        <v>33</v>
      </c>
      <c r="F6676" s="1" t="s">
        <v>209</v>
      </c>
      <c r="G6676" s="5">
        <v>178.45</v>
      </c>
    </row>
    <row r="6677" spans="1:7" x14ac:dyDescent="0.2">
      <c r="A6677" s="3">
        <v>107</v>
      </c>
      <c r="B6677" s="2">
        <v>19094.150000000001</v>
      </c>
      <c r="C6677" s="38">
        <v>45084</v>
      </c>
      <c r="D6677" s="1" t="s">
        <v>300</v>
      </c>
      <c r="E6677" s="1" t="s">
        <v>33</v>
      </c>
      <c r="F6677" s="1" t="s">
        <v>209</v>
      </c>
      <c r="G6677" s="5">
        <v>178.45</v>
      </c>
    </row>
    <row r="6678" spans="1:7" x14ac:dyDescent="0.2">
      <c r="A6678" s="3">
        <v>30</v>
      </c>
      <c r="B6678" s="2">
        <v>5353.5</v>
      </c>
      <c r="C6678" s="38">
        <v>45084</v>
      </c>
      <c r="D6678" s="1" t="s">
        <v>300</v>
      </c>
      <c r="E6678" s="1" t="s">
        <v>33</v>
      </c>
      <c r="F6678" s="1" t="s">
        <v>209</v>
      </c>
      <c r="G6678" s="5">
        <v>178.45</v>
      </c>
    </row>
    <row r="6679" spans="1:7" x14ac:dyDescent="0.2">
      <c r="A6679" s="3">
        <v>104</v>
      </c>
      <c r="B6679" s="2">
        <v>18558.8</v>
      </c>
      <c r="C6679" s="38">
        <v>45084</v>
      </c>
      <c r="D6679" s="1" t="s">
        <v>300</v>
      </c>
      <c r="E6679" s="1" t="s">
        <v>33</v>
      </c>
      <c r="F6679" s="1" t="s">
        <v>209</v>
      </c>
      <c r="G6679" s="5">
        <v>178.45</v>
      </c>
    </row>
    <row r="6680" spans="1:7" x14ac:dyDescent="0.2">
      <c r="A6680" s="3">
        <v>20</v>
      </c>
      <c r="B6680" s="2">
        <v>3569</v>
      </c>
      <c r="C6680" s="38">
        <v>45084</v>
      </c>
      <c r="D6680" s="1" t="s">
        <v>300</v>
      </c>
      <c r="E6680" s="1" t="s">
        <v>33</v>
      </c>
      <c r="F6680" s="1" t="s">
        <v>209</v>
      </c>
      <c r="G6680" s="5">
        <v>178.45</v>
      </c>
    </row>
    <row r="6681" spans="1:7" x14ac:dyDescent="0.2">
      <c r="A6681" s="3">
        <v>107</v>
      </c>
      <c r="B6681" s="2">
        <v>19094.150000000001</v>
      </c>
      <c r="C6681" s="38">
        <v>45084</v>
      </c>
      <c r="D6681" s="1" t="s">
        <v>300</v>
      </c>
      <c r="E6681" s="1" t="s">
        <v>33</v>
      </c>
      <c r="F6681" s="1" t="s">
        <v>209</v>
      </c>
      <c r="G6681" s="5">
        <v>178.45</v>
      </c>
    </row>
    <row r="6682" spans="1:7" x14ac:dyDescent="0.2">
      <c r="A6682" s="3">
        <v>108</v>
      </c>
      <c r="B6682" s="2">
        <v>19272.599999999999</v>
      </c>
      <c r="C6682" s="38">
        <v>45084</v>
      </c>
      <c r="D6682" s="1" t="s">
        <v>300</v>
      </c>
      <c r="E6682" s="1" t="s">
        <v>33</v>
      </c>
      <c r="F6682" s="1" t="s">
        <v>209</v>
      </c>
      <c r="G6682" s="5">
        <v>178.45</v>
      </c>
    </row>
    <row r="6683" spans="1:7" x14ac:dyDescent="0.2">
      <c r="A6683" s="3">
        <v>88</v>
      </c>
      <c r="B6683" s="2">
        <v>15703.6</v>
      </c>
      <c r="C6683" s="38">
        <v>45084</v>
      </c>
      <c r="D6683" s="1" t="s">
        <v>300</v>
      </c>
      <c r="E6683" s="1" t="s">
        <v>33</v>
      </c>
      <c r="F6683" s="1" t="s">
        <v>209</v>
      </c>
      <c r="G6683" s="5">
        <v>178.45</v>
      </c>
    </row>
    <row r="6684" spans="1:7" x14ac:dyDescent="0.2">
      <c r="A6684" s="3">
        <v>8</v>
      </c>
      <c r="B6684" s="2">
        <v>1427.6</v>
      </c>
      <c r="C6684" s="38">
        <v>45084</v>
      </c>
      <c r="D6684" s="1" t="s">
        <v>300</v>
      </c>
      <c r="E6684" s="1" t="s">
        <v>33</v>
      </c>
      <c r="F6684" s="1" t="s">
        <v>209</v>
      </c>
      <c r="G6684" s="5">
        <v>178.45</v>
      </c>
    </row>
    <row r="6685" spans="1:7" x14ac:dyDescent="0.2">
      <c r="A6685" s="3">
        <v>135</v>
      </c>
      <c r="B6685" s="2">
        <v>24090.75</v>
      </c>
      <c r="C6685" s="38">
        <v>45084</v>
      </c>
      <c r="D6685" s="1" t="s">
        <v>300</v>
      </c>
      <c r="E6685" s="1" t="s">
        <v>33</v>
      </c>
      <c r="F6685" s="1" t="s">
        <v>209</v>
      </c>
      <c r="G6685" s="5">
        <v>178.45</v>
      </c>
    </row>
    <row r="6686" spans="1:7" x14ac:dyDescent="0.2">
      <c r="A6686" s="3">
        <v>143</v>
      </c>
      <c r="B6686" s="2">
        <v>25518.35</v>
      </c>
      <c r="C6686" s="38">
        <v>45084</v>
      </c>
      <c r="D6686" s="1" t="s">
        <v>300</v>
      </c>
      <c r="E6686" s="1" t="s">
        <v>33</v>
      </c>
      <c r="F6686" s="1" t="s">
        <v>209</v>
      </c>
      <c r="G6686" s="5">
        <v>178.45</v>
      </c>
    </row>
    <row r="6687" spans="1:7" x14ac:dyDescent="0.2">
      <c r="A6687" s="3">
        <v>91</v>
      </c>
      <c r="B6687" s="2">
        <v>16238.95</v>
      </c>
      <c r="C6687" s="38">
        <v>45084</v>
      </c>
      <c r="D6687" s="1" t="s">
        <v>300</v>
      </c>
      <c r="E6687" s="1" t="s">
        <v>33</v>
      </c>
      <c r="F6687" s="1" t="s">
        <v>209</v>
      </c>
      <c r="G6687" s="5">
        <v>178.45</v>
      </c>
    </row>
    <row r="6688" spans="1:7" x14ac:dyDescent="0.2">
      <c r="A6688" s="3">
        <v>41</v>
      </c>
      <c r="B6688" s="2">
        <v>7316.45</v>
      </c>
      <c r="C6688" s="38">
        <v>45084</v>
      </c>
      <c r="D6688" s="1" t="s">
        <v>300</v>
      </c>
      <c r="E6688" s="1" t="s">
        <v>33</v>
      </c>
      <c r="F6688" s="1" t="s">
        <v>209</v>
      </c>
      <c r="G6688" s="5">
        <v>178.45</v>
      </c>
    </row>
    <row r="6689" spans="1:7" x14ac:dyDescent="0.2">
      <c r="A6689" s="3">
        <v>39</v>
      </c>
      <c r="B6689" s="2">
        <v>2724.15</v>
      </c>
      <c r="C6689" s="38">
        <v>45084</v>
      </c>
      <c r="D6689" s="1" t="s">
        <v>301</v>
      </c>
      <c r="E6689" s="1" t="s">
        <v>33</v>
      </c>
      <c r="F6689" s="1" t="s">
        <v>209</v>
      </c>
      <c r="G6689" s="5">
        <v>69.849999999999994</v>
      </c>
    </row>
    <row r="6690" spans="1:7" x14ac:dyDescent="0.2">
      <c r="A6690" s="3">
        <v>26</v>
      </c>
      <c r="B6690" s="2">
        <v>1816.1</v>
      </c>
      <c r="C6690" s="38">
        <v>45084</v>
      </c>
      <c r="D6690" s="1" t="s">
        <v>301</v>
      </c>
      <c r="E6690" s="1" t="s">
        <v>33</v>
      </c>
      <c r="F6690" s="1" t="s">
        <v>209</v>
      </c>
      <c r="G6690" s="5">
        <v>69.849999999999994</v>
      </c>
    </row>
    <row r="6691" spans="1:7" x14ac:dyDescent="0.2">
      <c r="A6691" s="3">
        <v>399</v>
      </c>
      <c r="B6691" s="2">
        <v>27870.15</v>
      </c>
      <c r="C6691" s="38">
        <v>45084</v>
      </c>
      <c r="D6691" s="1" t="s">
        <v>301</v>
      </c>
      <c r="E6691" s="1" t="s">
        <v>33</v>
      </c>
      <c r="F6691" s="1" t="s">
        <v>209</v>
      </c>
      <c r="G6691" s="5">
        <v>69.849999999999994</v>
      </c>
    </row>
    <row r="6692" spans="1:7" x14ac:dyDescent="0.2">
      <c r="A6692" s="3">
        <v>453</v>
      </c>
      <c r="B6692" s="2">
        <v>31642.05</v>
      </c>
      <c r="C6692" s="38">
        <v>45084</v>
      </c>
      <c r="D6692" s="1" t="s">
        <v>301</v>
      </c>
      <c r="E6692" s="1" t="s">
        <v>33</v>
      </c>
      <c r="F6692" s="1" t="s">
        <v>209</v>
      </c>
      <c r="G6692" s="5">
        <v>69.849999999999994</v>
      </c>
    </row>
    <row r="6693" spans="1:7" x14ac:dyDescent="0.2">
      <c r="A6693" s="3">
        <v>75</v>
      </c>
      <c r="B6693" s="2">
        <v>64302.75</v>
      </c>
      <c r="C6693" s="38">
        <v>45084</v>
      </c>
      <c r="D6693" s="1" t="s">
        <v>267</v>
      </c>
      <c r="E6693" s="1" t="s">
        <v>33</v>
      </c>
      <c r="F6693" s="1" t="s">
        <v>209</v>
      </c>
      <c r="G6693" s="5">
        <v>857.37</v>
      </c>
    </row>
    <row r="6694" spans="1:7" x14ac:dyDescent="0.2">
      <c r="A6694" s="3">
        <v>105</v>
      </c>
      <c r="B6694" s="2">
        <v>90023.85</v>
      </c>
      <c r="C6694" s="38">
        <v>45084</v>
      </c>
      <c r="D6694" s="1" t="s">
        <v>267</v>
      </c>
      <c r="E6694" s="1" t="s">
        <v>33</v>
      </c>
      <c r="F6694" s="1" t="s">
        <v>209</v>
      </c>
      <c r="G6694" s="5">
        <v>857.37</v>
      </c>
    </row>
    <row r="6695" spans="1:7" x14ac:dyDescent="0.2">
      <c r="A6695" s="3">
        <v>225</v>
      </c>
      <c r="B6695" s="2">
        <v>192908.25</v>
      </c>
      <c r="C6695" s="38">
        <v>45084</v>
      </c>
      <c r="D6695" s="1" t="s">
        <v>267</v>
      </c>
      <c r="E6695" s="1" t="s">
        <v>33</v>
      </c>
      <c r="F6695" s="1" t="s">
        <v>209</v>
      </c>
      <c r="G6695" s="5">
        <v>857.37</v>
      </c>
    </row>
    <row r="6696" spans="1:7" x14ac:dyDescent="0.2">
      <c r="A6696" s="3">
        <v>60</v>
      </c>
      <c r="B6696" s="2">
        <v>51442.2</v>
      </c>
      <c r="C6696" s="38">
        <v>45084</v>
      </c>
      <c r="D6696" s="1" t="s">
        <v>267</v>
      </c>
      <c r="E6696" s="1" t="s">
        <v>33</v>
      </c>
      <c r="F6696" s="1" t="s">
        <v>209</v>
      </c>
      <c r="G6696" s="5">
        <v>857.37</v>
      </c>
    </row>
    <row r="6697" spans="1:7" x14ac:dyDescent="0.2">
      <c r="A6697" s="3">
        <v>108</v>
      </c>
      <c r="B6697" s="2">
        <v>11654.28</v>
      </c>
      <c r="C6697" s="38">
        <v>45107</v>
      </c>
      <c r="D6697" s="1" t="s">
        <v>237</v>
      </c>
      <c r="E6697" s="1" t="s">
        <v>33</v>
      </c>
      <c r="F6697" s="1" t="s">
        <v>209</v>
      </c>
      <c r="G6697" s="5">
        <v>107.91</v>
      </c>
    </row>
    <row r="6698" spans="1:7" x14ac:dyDescent="0.2">
      <c r="A6698" s="3">
        <v>108</v>
      </c>
      <c r="B6698" s="2">
        <v>11654.28</v>
      </c>
      <c r="C6698" s="38">
        <v>45107</v>
      </c>
      <c r="D6698" s="1" t="s">
        <v>237</v>
      </c>
      <c r="E6698" s="1" t="s">
        <v>33</v>
      </c>
      <c r="F6698" s="1" t="s">
        <v>209</v>
      </c>
      <c r="G6698" s="5">
        <v>107.91</v>
      </c>
    </row>
    <row r="6699" spans="1:7" x14ac:dyDescent="0.2">
      <c r="A6699" s="3">
        <v>540</v>
      </c>
      <c r="B6699" s="2">
        <v>58271.4</v>
      </c>
      <c r="C6699" s="38">
        <v>45107</v>
      </c>
      <c r="D6699" s="1" t="s">
        <v>237</v>
      </c>
      <c r="E6699" s="1" t="s">
        <v>33</v>
      </c>
      <c r="F6699" s="1" t="s">
        <v>209</v>
      </c>
      <c r="G6699" s="5">
        <v>107.91</v>
      </c>
    </row>
    <row r="6700" spans="1:7" x14ac:dyDescent="0.2">
      <c r="A6700" s="3">
        <v>648</v>
      </c>
      <c r="B6700" s="2">
        <v>69925.679999999993</v>
      </c>
      <c r="C6700" s="38">
        <v>45107</v>
      </c>
      <c r="D6700" s="1" t="s">
        <v>237</v>
      </c>
      <c r="E6700" s="1" t="s">
        <v>33</v>
      </c>
      <c r="F6700" s="1" t="s">
        <v>209</v>
      </c>
      <c r="G6700" s="5">
        <v>107.91</v>
      </c>
    </row>
    <row r="6701" spans="1:7" x14ac:dyDescent="0.2">
      <c r="A6701" s="3">
        <v>108</v>
      </c>
      <c r="B6701" s="2">
        <v>11654.28</v>
      </c>
      <c r="C6701" s="38">
        <v>45107</v>
      </c>
      <c r="D6701" s="1" t="s">
        <v>237</v>
      </c>
      <c r="E6701" s="1" t="s">
        <v>33</v>
      </c>
      <c r="F6701" s="1" t="s">
        <v>209</v>
      </c>
      <c r="G6701" s="5">
        <v>107.91</v>
      </c>
    </row>
    <row r="6702" spans="1:7" x14ac:dyDescent="0.2">
      <c r="A6702" s="3">
        <v>108</v>
      </c>
      <c r="B6702" s="2">
        <v>11654.28</v>
      </c>
      <c r="C6702" s="38">
        <v>45107</v>
      </c>
      <c r="D6702" s="1" t="s">
        <v>237</v>
      </c>
      <c r="E6702" s="1" t="s">
        <v>33</v>
      </c>
      <c r="F6702" s="1" t="s">
        <v>209</v>
      </c>
      <c r="G6702" s="5">
        <v>107.91</v>
      </c>
    </row>
    <row r="6703" spans="1:7" x14ac:dyDescent="0.2">
      <c r="A6703" s="3">
        <v>324</v>
      </c>
      <c r="B6703" s="2">
        <v>34962.839999999997</v>
      </c>
      <c r="C6703" s="38">
        <v>45107</v>
      </c>
      <c r="D6703" s="1" t="s">
        <v>237</v>
      </c>
      <c r="E6703" s="1" t="s">
        <v>33</v>
      </c>
      <c r="F6703" s="1" t="s">
        <v>209</v>
      </c>
      <c r="G6703" s="5">
        <v>107.91</v>
      </c>
    </row>
    <row r="6704" spans="1:7" x14ac:dyDescent="0.2">
      <c r="A6704" s="3">
        <v>216</v>
      </c>
      <c r="B6704" s="2">
        <v>23308.560000000001</v>
      </c>
      <c r="C6704" s="38">
        <v>45107</v>
      </c>
      <c r="D6704" s="1" t="s">
        <v>237</v>
      </c>
      <c r="E6704" s="1" t="s">
        <v>33</v>
      </c>
      <c r="F6704" s="1" t="s">
        <v>209</v>
      </c>
      <c r="G6704" s="5">
        <v>107.91</v>
      </c>
    </row>
    <row r="6705" spans="1:7" x14ac:dyDescent="0.2">
      <c r="A6705" s="3">
        <v>1296</v>
      </c>
      <c r="B6705" s="2">
        <v>139851.35999999999</v>
      </c>
      <c r="C6705" s="38">
        <v>45107</v>
      </c>
      <c r="D6705" s="1" t="s">
        <v>237</v>
      </c>
      <c r="E6705" s="1" t="s">
        <v>33</v>
      </c>
      <c r="F6705" s="1" t="s">
        <v>209</v>
      </c>
      <c r="G6705" s="5">
        <v>107.91</v>
      </c>
    </row>
    <row r="6706" spans="1:7" x14ac:dyDescent="0.2">
      <c r="A6706" s="3">
        <v>4320</v>
      </c>
      <c r="B6706" s="2">
        <v>466171.2</v>
      </c>
      <c r="C6706" s="38">
        <v>45107</v>
      </c>
      <c r="D6706" s="1" t="s">
        <v>237</v>
      </c>
      <c r="E6706" s="1" t="s">
        <v>33</v>
      </c>
      <c r="F6706" s="1" t="s">
        <v>209</v>
      </c>
      <c r="G6706" s="5">
        <v>107.91</v>
      </c>
    </row>
    <row r="6707" spans="1:7" x14ac:dyDescent="0.2">
      <c r="A6707" s="3">
        <v>189</v>
      </c>
      <c r="B6707" s="2">
        <v>85184.19</v>
      </c>
      <c r="C6707" s="38">
        <v>45107</v>
      </c>
      <c r="D6707" s="1" t="s">
        <v>240</v>
      </c>
      <c r="E6707" s="1" t="s">
        <v>33</v>
      </c>
      <c r="F6707" s="1" t="s">
        <v>209</v>
      </c>
      <c r="G6707" s="5">
        <v>450.71</v>
      </c>
    </row>
    <row r="6708" spans="1:7" x14ac:dyDescent="0.2">
      <c r="A6708" s="3">
        <v>38</v>
      </c>
      <c r="B6708" s="2">
        <v>17126.98</v>
      </c>
      <c r="C6708" s="38">
        <v>45107</v>
      </c>
      <c r="D6708" s="1" t="s">
        <v>240</v>
      </c>
      <c r="E6708" s="1" t="s">
        <v>33</v>
      </c>
      <c r="F6708" s="1" t="s">
        <v>209</v>
      </c>
      <c r="G6708" s="5">
        <v>450.71</v>
      </c>
    </row>
    <row r="6709" spans="1:7" x14ac:dyDescent="0.2">
      <c r="A6709" s="3">
        <v>120</v>
      </c>
      <c r="B6709" s="2">
        <v>54085.2</v>
      </c>
      <c r="C6709" s="38">
        <v>45107</v>
      </c>
      <c r="D6709" s="1" t="s">
        <v>240</v>
      </c>
      <c r="E6709" s="1" t="s">
        <v>33</v>
      </c>
      <c r="F6709" s="1" t="s">
        <v>209</v>
      </c>
      <c r="G6709" s="5">
        <v>450.71</v>
      </c>
    </row>
    <row r="6710" spans="1:7" x14ac:dyDescent="0.2">
      <c r="A6710" s="3">
        <v>120</v>
      </c>
      <c r="B6710" s="2">
        <v>54085.2</v>
      </c>
      <c r="C6710" s="38">
        <v>45107</v>
      </c>
      <c r="D6710" s="1" t="s">
        <v>240</v>
      </c>
      <c r="E6710" s="1" t="s">
        <v>33</v>
      </c>
      <c r="F6710" s="1" t="s">
        <v>209</v>
      </c>
      <c r="G6710" s="5">
        <v>450.71</v>
      </c>
    </row>
    <row r="6711" spans="1:7" x14ac:dyDescent="0.2">
      <c r="A6711" s="3">
        <v>240</v>
      </c>
      <c r="B6711" s="2">
        <v>108170.4</v>
      </c>
      <c r="C6711" s="38">
        <v>45107</v>
      </c>
      <c r="D6711" s="1" t="s">
        <v>240</v>
      </c>
      <c r="E6711" s="1" t="s">
        <v>33</v>
      </c>
      <c r="F6711" s="1" t="s">
        <v>209</v>
      </c>
      <c r="G6711" s="5">
        <v>450.71</v>
      </c>
    </row>
    <row r="6712" spans="1:7" x14ac:dyDescent="0.2">
      <c r="A6712" s="3">
        <v>120</v>
      </c>
      <c r="B6712" s="2">
        <v>54085.2</v>
      </c>
      <c r="C6712" s="38">
        <v>45107</v>
      </c>
      <c r="D6712" s="1" t="s">
        <v>240</v>
      </c>
      <c r="E6712" s="1" t="s">
        <v>33</v>
      </c>
      <c r="F6712" s="1" t="s">
        <v>209</v>
      </c>
      <c r="G6712" s="5">
        <v>450.71</v>
      </c>
    </row>
    <row r="6713" spans="1:7" x14ac:dyDescent="0.2">
      <c r="A6713" s="3">
        <v>120</v>
      </c>
      <c r="B6713" s="2">
        <v>54085.2</v>
      </c>
      <c r="C6713" s="38">
        <v>45107</v>
      </c>
      <c r="D6713" s="1" t="s">
        <v>240</v>
      </c>
      <c r="E6713" s="1" t="s">
        <v>33</v>
      </c>
      <c r="F6713" s="1" t="s">
        <v>209</v>
      </c>
      <c r="G6713" s="5">
        <v>450.71</v>
      </c>
    </row>
    <row r="6714" spans="1:7" x14ac:dyDescent="0.2">
      <c r="A6714" s="3">
        <v>102</v>
      </c>
      <c r="B6714" s="2">
        <v>45972.42</v>
      </c>
      <c r="C6714" s="38">
        <v>45107</v>
      </c>
      <c r="D6714" s="1" t="s">
        <v>240</v>
      </c>
      <c r="E6714" s="1" t="s">
        <v>33</v>
      </c>
      <c r="F6714" s="1" t="s">
        <v>209</v>
      </c>
      <c r="G6714" s="5">
        <v>450.71</v>
      </c>
    </row>
    <row r="6715" spans="1:7" x14ac:dyDescent="0.2">
      <c r="A6715" s="3">
        <v>18</v>
      </c>
      <c r="B6715" s="2">
        <v>8112.78</v>
      </c>
      <c r="C6715" s="38">
        <v>45107</v>
      </c>
      <c r="D6715" s="1" t="s">
        <v>240</v>
      </c>
      <c r="E6715" s="1" t="s">
        <v>33</v>
      </c>
      <c r="F6715" s="1" t="s">
        <v>209</v>
      </c>
      <c r="G6715" s="5">
        <v>450.71</v>
      </c>
    </row>
    <row r="6716" spans="1:7" x14ac:dyDescent="0.2">
      <c r="A6716" s="3">
        <v>47</v>
      </c>
      <c r="B6716" s="2">
        <v>21183.37</v>
      </c>
      <c r="C6716" s="38">
        <v>45107</v>
      </c>
      <c r="D6716" s="1" t="s">
        <v>240</v>
      </c>
      <c r="E6716" s="1" t="s">
        <v>33</v>
      </c>
      <c r="F6716" s="1" t="s">
        <v>209</v>
      </c>
      <c r="G6716" s="5">
        <v>450.71</v>
      </c>
    </row>
    <row r="6717" spans="1:7" x14ac:dyDescent="0.2">
      <c r="A6717" s="3">
        <v>193</v>
      </c>
      <c r="B6717" s="2">
        <v>86987.03</v>
      </c>
      <c r="C6717" s="38">
        <v>45107</v>
      </c>
      <c r="D6717" s="1" t="s">
        <v>240</v>
      </c>
      <c r="E6717" s="1" t="s">
        <v>33</v>
      </c>
      <c r="F6717" s="1" t="s">
        <v>209</v>
      </c>
      <c r="G6717" s="5">
        <v>450.71</v>
      </c>
    </row>
    <row r="6718" spans="1:7" x14ac:dyDescent="0.2">
      <c r="A6718" s="3">
        <v>252</v>
      </c>
      <c r="B6718" s="2">
        <v>21606.48</v>
      </c>
      <c r="C6718" s="38">
        <v>45107</v>
      </c>
      <c r="D6718" s="1" t="s">
        <v>243</v>
      </c>
      <c r="E6718" s="1" t="s">
        <v>33</v>
      </c>
      <c r="F6718" s="1" t="s">
        <v>209</v>
      </c>
      <c r="G6718" s="5">
        <v>85.74</v>
      </c>
    </row>
    <row r="6719" spans="1:7" x14ac:dyDescent="0.2">
      <c r="A6719" s="3">
        <v>252</v>
      </c>
      <c r="B6719" s="2">
        <v>21606.48</v>
      </c>
      <c r="C6719" s="38">
        <v>45107</v>
      </c>
      <c r="D6719" s="1" t="s">
        <v>243</v>
      </c>
      <c r="E6719" s="1" t="s">
        <v>33</v>
      </c>
      <c r="F6719" s="1" t="s">
        <v>209</v>
      </c>
      <c r="G6719" s="5">
        <v>85.74</v>
      </c>
    </row>
    <row r="6720" spans="1:7" x14ac:dyDescent="0.2">
      <c r="A6720" s="3">
        <v>252</v>
      </c>
      <c r="B6720" s="2">
        <v>21606.48</v>
      </c>
      <c r="C6720" s="38">
        <v>45107</v>
      </c>
      <c r="D6720" s="1" t="s">
        <v>243</v>
      </c>
      <c r="E6720" s="1" t="s">
        <v>33</v>
      </c>
      <c r="F6720" s="1" t="s">
        <v>209</v>
      </c>
      <c r="G6720" s="5">
        <v>85.74</v>
      </c>
    </row>
    <row r="6721" spans="1:7" x14ac:dyDescent="0.2">
      <c r="A6721" s="3">
        <v>252</v>
      </c>
      <c r="B6721" s="2">
        <v>21606.48</v>
      </c>
      <c r="C6721" s="38">
        <v>45107</v>
      </c>
      <c r="D6721" s="1" t="s">
        <v>243</v>
      </c>
      <c r="E6721" s="1" t="s">
        <v>33</v>
      </c>
      <c r="F6721" s="1" t="s">
        <v>209</v>
      </c>
      <c r="G6721" s="5">
        <v>85.74</v>
      </c>
    </row>
    <row r="6722" spans="1:7" x14ac:dyDescent="0.2">
      <c r="A6722" s="3">
        <v>252</v>
      </c>
      <c r="B6722" s="2">
        <v>21606.48</v>
      </c>
      <c r="C6722" s="38">
        <v>45107</v>
      </c>
      <c r="D6722" s="1" t="s">
        <v>243</v>
      </c>
      <c r="E6722" s="1" t="s">
        <v>33</v>
      </c>
      <c r="F6722" s="1" t="s">
        <v>209</v>
      </c>
      <c r="G6722" s="5">
        <v>85.74</v>
      </c>
    </row>
    <row r="6723" spans="1:7" x14ac:dyDescent="0.2">
      <c r="A6723" s="3">
        <v>252</v>
      </c>
      <c r="B6723" s="2">
        <v>21606.48</v>
      </c>
      <c r="C6723" s="38">
        <v>45107</v>
      </c>
      <c r="D6723" s="1" t="s">
        <v>243</v>
      </c>
      <c r="E6723" s="1" t="s">
        <v>33</v>
      </c>
      <c r="F6723" s="1" t="s">
        <v>209</v>
      </c>
      <c r="G6723" s="5">
        <v>85.74</v>
      </c>
    </row>
    <row r="6724" spans="1:7" x14ac:dyDescent="0.2">
      <c r="A6724" s="3">
        <v>252</v>
      </c>
      <c r="B6724" s="2">
        <v>21606.48</v>
      </c>
      <c r="C6724" s="38">
        <v>45107</v>
      </c>
      <c r="D6724" s="1" t="s">
        <v>243</v>
      </c>
      <c r="E6724" s="1" t="s">
        <v>33</v>
      </c>
      <c r="F6724" s="1" t="s">
        <v>209</v>
      </c>
      <c r="G6724" s="5">
        <v>85.74</v>
      </c>
    </row>
    <row r="6725" spans="1:7" x14ac:dyDescent="0.2">
      <c r="A6725" s="3">
        <v>252</v>
      </c>
      <c r="B6725" s="2">
        <v>21606.48</v>
      </c>
      <c r="C6725" s="38">
        <v>45107</v>
      </c>
      <c r="D6725" s="1" t="s">
        <v>243</v>
      </c>
      <c r="E6725" s="1" t="s">
        <v>33</v>
      </c>
      <c r="F6725" s="1" t="s">
        <v>209</v>
      </c>
      <c r="G6725" s="5">
        <v>85.74</v>
      </c>
    </row>
    <row r="6726" spans="1:7" x14ac:dyDescent="0.2">
      <c r="A6726" s="3">
        <v>252</v>
      </c>
      <c r="B6726" s="2">
        <v>21606.48</v>
      </c>
      <c r="C6726" s="38">
        <v>45107</v>
      </c>
      <c r="D6726" s="1" t="s">
        <v>243</v>
      </c>
      <c r="E6726" s="1" t="s">
        <v>33</v>
      </c>
      <c r="F6726" s="1" t="s">
        <v>209</v>
      </c>
      <c r="G6726" s="5">
        <v>85.74</v>
      </c>
    </row>
    <row r="6727" spans="1:7" x14ac:dyDescent="0.2">
      <c r="A6727" s="3">
        <v>252</v>
      </c>
      <c r="B6727" s="2">
        <v>21606.48</v>
      </c>
      <c r="C6727" s="38">
        <v>45107</v>
      </c>
      <c r="D6727" s="1" t="s">
        <v>243</v>
      </c>
      <c r="E6727" s="1" t="s">
        <v>33</v>
      </c>
      <c r="F6727" s="1" t="s">
        <v>209</v>
      </c>
      <c r="G6727" s="5">
        <v>85.74</v>
      </c>
    </row>
    <row r="6728" spans="1:7" x14ac:dyDescent="0.2">
      <c r="A6728" s="3">
        <v>600</v>
      </c>
      <c r="B6728" s="2">
        <v>263370</v>
      </c>
      <c r="C6728" s="38">
        <v>45107</v>
      </c>
      <c r="D6728" s="1" t="s">
        <v>248</v>
      </c>
      <c r="E6728" s="1" t="s">
        <v>33</v>
      </c>
      <c r="F6728" s="1" t="s">
        <v>209</v>
      </c>
      <c r="G6728" s="5">
        <v>438.95</v>
      </c>
    </row>
    <row r="6729" spans="1:7" x14ac:dyDescent="0.2">
      <c r="A6729" s="3">
        <v>90</v>
      </c>
      <c r="B6729" s="2">
        <v>39505.5</v>
      </c>
      <c r="C6729" s="38">
        <v>45107</v>
      </c>
      <c r="D6729" s="1" t="s">
        <v>248</v>
      </c>
      <c r="E6729" s="1" t="s">
        <v>33</v>
      </c>
      <c r="F6729" s="1" t="s">
        <v>209</v>
      </c>
      <c r="G6729" s="5">
        <v>438.95</v>
      </c>
    </row>
    <row r="6730" spans="1:7" x14ac:dyDescent="0.2">
      <c r="A6730" s="3">
        <v>270</v>
      </c>
      <c r="B6730" s="2">
        <v>118516.5</v>
      </c>
      <c r="C6730" s="38">
        <v>45107</v>
      </c>
      <c r="D6730" s="1" t="s">
        <v>248</v>
      </c>
      <c r="E6730" s="1" t="s">
        <v>33</v>
      </c>
      <c r="F6730" s="1" t="s">
        <v>209</v>
      </c>
      <c r="G6730" s="5">
        <v>438.95</v>
      </c>
    </row>
    <row r="6731" spans="1:7" x14ac:dyDescent="0.2">
      <c r="A6731" s="3">
        <v>240</v>
      </c>
      <c r="B6731" s="2">
        <v>105348</v>
      </c>
      <c r="C6731" s="38">
        <v>45107</v>
      </c>
      <c r="D6731" s="1" t="s">
        <v>248</v>
      </c>
      <c r="E6731" s="1" t="s">
        <v>33</v>
      </c>
      <c r="F6731" s="1" t="s">
        <v>209</v>
      </c>
      <c r="G6731" s="5">
        <v>438.95</v>
      </c>
    </row>
    <row r="6732" spans="1:7" x14ac:dyDescent="0.2">
      <c r="A6732" s="3">
        <v>768</v>
      </c>
      <c r="B6732" s="2">
        <v>116090.88</v>
      </c>
      <c r="C6732" s="38">
        <v>45107</v>
      </c>
      <c r="D6732" s="1" t="s">
        <v>356</v>
      </c>
      <c r="E6732" s="1" t="s">
        <v>33</v>
      </c>
      <c r="F6732" s="1" t="s">
        <v>209</v>
      </c>
      <c r="G6732" s="5">
        <v>151.16</v>
      </c>
    </row>
    <row r="6733" spans="1:7" x14ac:dyDescent="0.2">
      <c r="A6733" s="3">
        <v>144</v>
      </c>
      <c r="B6733" s="2">
        <v>29975.040000000001</v>
      </c>
      <c r="C6733" s="38">
        <v>45107</v>
      </c>
      <c r="D6733" s="1" t="s">
        <v>297</v>
      </c>
      <c r="E6733" s="1" t="s">
        <v>33</v>
      </c>
      <c r="F6733" s="1" t="s">
        <v>209</v>
      </c>
      <c r="G6733" s="5">
        <v>208.16</v>
      </c>
    </row>
    <row r="6734" spans="1:7" x14ac:dyDescent="0.2">
      <c r="A6734" s="3">
        <v>1820</v>
      </c>
      <c r="B6734" s="2">
        <v>4568.2</v>
      </c>
      <c r="C6734" s="38">
        <v>45107</v>
      </c>
      <c r="D6734" s="1" t="s">
        <v>250</v>
      </c>
      <c r="E6734" s="1" t="s">
        <v>33</v>
      </c>
      <c r="F6734" s="1" t="s">
        <v>209</v>
      </c>
      <c r="G6734" s="5">
        <v>2.5099999999999998</v>
      </c>
    </row>
    <row r="6735" spans="1:7" x14ac:dyDescent="0.2">
      <c r="A6735" s="3">
        <v>1820</v>
      </c>
      <c r="B6735" s="2">
        <v>4568.2</v>
      </c>
      <c r="C6735" s="38">
        <v>45107</v>
      </c>
      <c r="D6735" s="1" t="s">
        <v>250</v>
      </c>
      <c r="E6735" s="1" t="s">
        <v>33</v>
      </c>
      <c r="F6735" s="1" t="s">
        <v>209</v>
      </c>
      <c r="G6735" s="5">
        <v>2.5099999999999998</v>
      </c>
    </row>
    <row r="6736" spans="1:7" x14ac:dyDescent="0.2">
      <c r="A6736" s="3">
        <v>70</v>
      </c>
      <c r="B6736" s="2">
        <v>29066.1</v>
      </c>
      <c r="C6736" s="38">
        <v>45107</v>
      </c>
      <c r="D6736" s="1" t="s">
        <v>254</v>
      </c>
      <c r="E6736" s="1" t="s">
        <v>33</v>
      </c>
      <c r="F6736" s="1" t="s">
        <v>209</v>
      </c>
      <c r="G6736" s="5">
        <v>415.23</v>
      </c>
    </row>
    <row r="6737" spans="1:7" x14ac:dyDescent="0.2">
      <c r="A6737" s="3">
        <v>140</v>
      </c>
      <c r="B6737" s="2">
        <v>58132.2</v>
      </c>
      <c r="C6737" s="38">
        <v>45107</v>
      </c>
      <c r="D6737" s="1" t="s">
        <v>254</v>
      </c>
      <c r="E6737" s="1" t="s">
        <v>33</v>
      </c>
      <c r="F6737" s="1" t="s">
        <v>209</v>
      </c>
      <c r="G6737" s="5">
        <v>415.23</v>
      </c>
    </row>
    <row r="6738" spans="1:7" x14ac:dyDescent="0.2">
      <c r="A6738" s="3">
        <v>420</v>
      </c>
      <c r="B6738" s="2">
        <v>174396.6</v>
      </c>
      <c r="C6738" s="38">
        <v>45107</v>
      </c>
      <c r="D6738" s="1" t="s">
        <v>254</v>
      </c>
      <c r="E6738" s="1" t="s">
        <v>33</v>
      </c>
      <c r="F6738" s="1" t="s">
        <v>209</v>
      </c>
      <c r="G6738" s="5">
        <v>415.23</v>
      </c>
    </row>
    <row r="6739" spans="1:7" x14ac:dyDescent="0.2">
      <c r="A6739" s="3">
        <v>70</v>
      </c>
      <c r="B6739" s="2">
        <v>29066.1</v>
      </c>
      <c r="C6739" s="38">
        <v>45107</v>
      </c>
      <c r="D6739" s="1" t="s">
        <v>254</v>
      </c>
      <c r="E6739" s="1" t="s">
        <v>33</v>
      </c>
      <c r="F6739" s="1" t="s">
        <v>209</v>
      </c>
      <c r="G6739" s="5">
        <v>415.23</v>
      </c>
    </row>
    <row r="6740" spans="1:7" x14ac:dyDescent="0.2">
      <c r="A6740" s="3">
        <v>280</v>
      </c>
      <c r="B6740" s="2">
        <v>116264.4</v>
      </c>
      <c r="C6740" s="38">
        <v>45107</v>
      </c>
      <c r="D6740" s="1" t="s">
        <v>254</v>
      </c>
      <c r="E6740" s="1" t="s">
        <v>33</v>
      </c>
      <c r="F6740" s="1" t="s">
        <v>209</v>
      </c>
      <c r="G6740" s="5">
        <v>415.23</v>
      </c>
    </row>
    <row r="6741" spans="1:7" x14ac:dyDescent="0.2">
      <c r="A6741" s="3">
        <v>280</v>
      </c>
      <c r="B6741" s="2">
        <v>116264.4</v>
      </c>
      <c r="C6741" s="38">
        <v>45107</v>
      </c>
      <c r="D6741" s="1" t="s">
        <v>254</v>
      </c>
      <c r="E6741" s="1" t="s">
        <v>33</v>
      </c>
      <c r="F6741" s="1" t="s">
        <v>209</v>
      </c>
      <c r="G6741" s="5">
        <v>415.23</v>
      </c>
    </row>
    <row r="6742" spans="1:7" x14ac:dyDescent="0.2">
      <c r="A6742" s="3">
        <v>140</v>
      </c>
      <c r="B6742" s="2">
        <v>58132.2</v>
      </c>
      <c r="C6742" s="38">
        <v>45107</v>
      </c>
      <c r="D6742" s="1" t="s">
        <v>254</v>
      </c>
      <c r="E6742" s="1" t="s">
        <v>33</v>
      </c>
      <c r="F6742" s="1" t="s">
        <v>209</v>
      </c>
      <c r="G6742" s="5">
        <v>415.23</v>
      </c>
    </row>
    <row r="6743" spans="1:7" x14ac:dyDescent="0.2">
      <c r="A6743" s="3">
        <v>280</v>
      </c>
      <c r="B6743" s="2">
        <v>116264.4</v>
      </c>
      <c r="C6743" s="38">
        <v>45107</v>
      </c>
      <c r="D6743" s="1" t="s">
        <v>254</v>
      </c>
      <c r="E6743" s="1" t="s">
        <v>33</v>
      </c>
      <c r="F6743" s="1" t="s">
        <v>209</v>
      </c>
      <c r="G6743" s="5">
        <v>415.23</v>
      </c>
    </row>
    <row r="6744" spans="1:7" x14ac:dyDescent="0.2">
      <c r="A6744" s="3">
        <v>210</v>
      </c>
      <c r="B6744" s="2">
        <v>87198.3</v>
      </c>
      <c r="C6744" s="38">
        <v>45107</v>
      </c>
      <c r="D6744" s="1" t="s">
        <v>254</v>
      </c>
      <c r="E6744" s="1" t="s">
        <v>33</v>
      </c>
      <c r="F6744" s="1" t="s">
        <v>209</v>
      </c>
      <c r="G6744" s="5">
        <v>415.23</v>
      </c>
    </row>
    <row r="6745" spans="1:7" x14ac:dyDescent="0.2">
      <c r="A6745" s="3">
        <v>210</v>
      </c>
      <c r="B6745" s="2">
        <v>87198.3</v>
      </c>
      <c r="C6745" s="38">
        <v>45107</v>
      </c>
      <c r="D6745" s="1" t="s">
        <v>254</v>
      </c>
      <c r="E6745" s="1" t="s">
        <v>33</v>
      </c>
      <c r="F6745" s="1" t="s">
        <v>209</v>
      </c>
      <c r="G6745" s="5">
        <v>415.23</v>
      </c>
    </row>
    <row r="6746" spans="1:7" x14ac:dyDescent="0.2">
      <c r="A6746" s="3">
        <v>63</v>
      </c>
      <c r="B6746" s="2">
        <v>7036.47</v>
      </c>
      <c r="C6746" s="38">
        <v>45107</v>
      </c>
      <c r="D6746" s="1" t="s">
        <v>350</v>
      </c>
      <c r="E6746" s="1" t="s">
        <v>33</v>
      </c>
      <c r="F6746" s="1" t="s">
        <v>209</v>
      </c>
      <c r="G6746" s="5">
        <v>111.69</v>
      </c>
    </row>
    <row r="6747" spans="1:7" x14ac:dyDescent="0.2">
      <c r="A6747" s="3">
        <v>159</v>
      </c>
      <c r="B6747" s="2">
        <v>17758.71</v>
      </c>
      <c r="C6747" s="38">
        <v>45107</v>
      </c>
      <c r="D6747" s="1" t="s">
        <v>350</v>
      </c>
      <c r="E6747" s="1" t="s">
        <v>33</v>
      </c>
      <c r="F6747" s="1" t="s">
        <v>209</v>
      </c>
      <c r="G6747" s="5">
        <v>111.69</v>
      </c>
    </row>
    <row r="6748" spans="1:7" x14ac:dyDescent="0.2">
      <c r="A6748" s="3">
        <v>7</v>
      </c>
      <c r="B6748" s="2">
        <v>781.83</v>
      </c>
      <c r="C6748" s="38">
        <v>45107</v>
      </c>
      <c r="D6748" s="1" t="s">
        <v>350</v>
      </c>
      <c r="E6748" s="1" t="s">
        <v>33</v>
      </c>
      <c r="F6748" s="1" t="s">
        <v>209</v>
      </c>
      <c r="G6748" s="5">
        <v>111.69</v>
      </c>
    </row>
    <row r="6749" spans="1:7" x14ac:dyDescent="0.2">
      <c r="A6749" s="3">
        <v>3000</v>
      </c>
      <c r="B6749" s="2">
        <v>2059.1999999999998</v>
      </c>
      <c r="C6749" s="38">
        <v>45107</v>
      </c>
      <c r="D6749" s="1" t="s">
        <v>263</v>
      </c>
      <c r="E6749" s="1" t="s">
        <v>33</v>
      </c>
      <c r="F6749" s="1" t="s">
        <v>209</v>
      </c>
      <c r="G6749" s="5">
        <v>0.68640000000000001</v>
      </c>
    </row>
    <row r="6750" spans="1:7" x14ac:dyDescent="0.2">
      <c r="A6750" s="3">
        <v>240</v>
      </c>
      <c r="B6750" s="2">
        <v>182241.6</v>
      </c>
      <c r="C6750" s="38">
        <v>45107</v>
      </c>
      <c r="D6750" s="1" t="s">
        <v>265</v>
      </c>
      <c r="E6750" s="1" t="s">
        <v>33</v>
      </c>
      <c r="F6750" s="1" t="s">
        <v>209</v>
      </c>
      <c r="G6750" s="5">
        <v>759.34</v>
      </c>
    </row>
    <row r="6751" spans="1:7" x14ac:dyDescent="0.2">
      <c r="A6751" s="3">
        <v>210</v>
      </c>
      <c r="B6751" s="2">
        <v>159461.4</v>
      </c>
      <c r="C6751" s="38">
        <v>45107</v>
      </c>
      <c r="D6751" s="1" t="s">
        <v>265</v>
      </c>
      <c r="E6751" s="1" t="s">
        <v>33</v>
      </c>
      <c r="F6751" s="1" t="s">
        <v>209</v>
      </c>
      <c r="G6751" s="5">
        <v>759.34</v>
      </c>
    </row>
    <row r="6752" spans="1:7" x14ac:dyDescent="0.2">
      <c r="A6752" s="3">
        <v>180</v>
      </c>
      <c r="B6752" s="2">
        <v>136681.20000000001</v>
      </c>
      <c r="C6752" s="38">
        <v>45107</v>
      </c>
      <c r="D6752" s="1" t="s">
        <v>265</v>
      </c>
      <c r="E6752" s="1" t="s">
        <v>33</v>
      </c>
      <c r="F6752" s="1" t="s">
        <v>209</v>
      </c>
      <c r="G6752" s="5">
        <v>759.34</v>
      </c>
    </row>
    <row r="6753" spans="1:7" x14ac:dyDescent="0.2">
      <c r="A6753" s="3">
        <v>120</v>
      </c>
      <c r="B6753" s="2">
        <v>91120.8</v>
      </c>
      <c r="C6753" s="38">
        <v>45107</v>
      </c>
      <c r="D6753" s="1" t="s">
        <v>265</v>
      </c>
      <c r="E6753" s="1" t="s">
        <v>33</v>
      </c>
      <c r="F6753" s="1" t="s">
        <v>209</v>
      </c>
      <c r="G6753" s="5">
        <v>759.34</v>
      </c>
    </row>
    <row r="6754" spans="1:7" x14ac:dyDescent="0.2">
      <c r="A6754" s="3">
        <v>90</v>
      </c>
      <c r="B6754" s="2">
        <v>68340.600000000006</v>
      </c>
      <c r="C6754" s="38">
        <v>45107</v>
      </c>
      <c r="D6754" s="1" t="s">
        <v>265</v>
      </c>
      <c r="E6754" s="1" t="s">
        <v>33</v>
      </c>
      <c r="F6754" s="1" t="s">
        <v>209</v>
      </c>
      <c r="G6754" s="5">
        <v>759.34</v>
      </c>
    </row>
    <row r="6755" spans="1:7" x14ac:dyDescent="0.2">
      <c r="A6755" s="3">
        <v>240</v>
      </c>
      <c r="B6755" s="2">
        <v>182241.6</v>
      </c>
      <c r="C6755" s="38">
        <v>45107</v>
      </c>
      <c r="D6755" s="1" t="s">
        <v>265</v>
      </c>
      <c r="E6755" s="1" t="s">
        <v>33</v>
      </c>
      <c r="F6755" s="1" t="s">
        <v>209</v>
      </c>
      <c r="G6755" s="5">
        <v>759.34</v>
      </c>
    </row>
    <row r="6756" spans="1:7" x14ac:dyDescent="0.2">
      <c r="A6756" s="3">
        <v>143</v>
      </c>
      <c r="B6756" s="2">
        <v>25518.35</v>
      </c>
      <c r="C6756" s="38">
        <v>45107</v>
      </c>
      <c r="D6756" s="1" t="s">
        <v>300</v>
      </c>
      <c r="E6756" s="1" t="s">
        <v>33</v>
      </c>
      <c r="F6756" s="1" t="s">
        <v>209</v>
      </c>
      <c r="G6756" s="5">
        <v>178.45</v>
      </c>
    </row>
    <row r="6757" spans="1:7" x14ac:dyDescent="0.2">
      <c r="A6757" s="3">
        <v>107</v>
      </c>
      <c r="B6757" s="2">
        <v>19094.150000000001</v>
      </c>
      <c r="C6757" s="38">
        <v>45107</v>
      </c>
      <c r="D6757" s="1" t="s">
        <v>300</v>
      </c>
      <c r="E6757" s="1" t="s">
        <v>33</v>
      </c>
      <c r="F6757" s="1" t="s">
        <v>209</v>
      </c>
      <c r="G6757" s="5">
        <v>178.45</v>
      </c>
    </row>
    <row r="6758" spans="1:7" x14ac:dyDescent="0.2">
      <c r="A6758" s="3">
        <v>25</v>
      </c>
      <c r="B6758" s="2">
        <v>4461.25</v>
      </c>
      <c r="C6758" s="38">
        <v>45107</v>
      </c>
      <c r="D6758" s="1" t="s">
        <v>300</v>
      </c>
      <c r="E6758" s="1" t="s">
        <v>33</v>
      </c>
      <c r="F6758" s="1" t="s">
        <v>209</v>
      </c>
      <c r="G6758" s="5">
        <v>178.45</v>
      </c>
    </row>
    <row r="6759" spans="1:7" x14ac:dyDescent="0.2">
      <c r="A6759" s="3">
        <v>82</v>
      </c>
      <c r="B6759" s="2">
        <v>14632.9</v>
      </c>
      <c r="C6759" s="38">
        <v>45107</v>
      </c>
      <c r="D6759" s="1" t="s">
        <v>300</v>
      </c>
      <c r="E6759" s="1" t="s">
        <v>33</v>
      </c>
      <c r="F6759" s="1" t="s">
        <v>209</v>
      </c>
      <c r="G6759" s="5">
        <v>178.45</v>
      </c>
    </row>
    <row r="6760" spans="1:7" x14ac:dyDescent="0.2">
      <c r="A6760" s="3">
        <v>52</v>
      </c>
      <c r="B6760" s="2">
        <v>9279.4</v>
      </c>
      <c r="C6760" s="38">
        <v>45107</v>
      </c>
      <c r="D6760" s="1" t="s">
        <v>300</v>
      </c>
      <c r="E6760" s="1" t="s">
        <v>33</v>
      </c>
      <c r="F6760" s="1" t="s">
        <v>209</v>
      </c>
      <c r="G6760" s="5">
        <v>178.45</v>
      </c>
    </row>
    <row r="6761" spans="1:7" x14ac:dyDescent="0.2">
      <c r="A6761" s="3">
        <v>107</v>
      </c>
      <c r="B6761" s="2">
        <v>19094.150000000001</v>
      </c>
      <c r="C6761" s="38">
        <v>45107</v>
      </c>
      <c r="D6761" s="1" t="s">
        <v>300</v>
      </c>
      <c r="E6761" s="1" t="s">
        <v>33</v>
      </c>
      <c r="F6761" s="1" t="s">
        <v>209</v>
      </c>
      <c r="G6761" s="5">
        <v>178.45</v>
      </c>
    </row>
    <row r="6762" spans="1:7" x14ac:dyDescent="0.2">
      <c r="A6762" s="3">
        <v>79</v>
      </c>
      <c r="B6762" s="2">
        <v>14097.55</v>
      </c>
      <c r="C6762" s="38">
        <v>45107</v>
      </c>
      <c r="D6762" s="1" t="s">
        <v>300</v>
      </c>
      <c r="E6762" s="1" t="s">
        <v>33</v>
      </c>
      <c r="F6762" s="1" t="s">
        <v>209</v>
      </c>
      <c r="G6762" s="5">
        <v>178.45</v>
      </c>
    </row>
    <row r="6763" spans="1:7" x14ac:dyDescent="0.2">
      <c r="A6763" s="3">
        <v>77</v>
      </c>
      <c r="B6763" s="2">
        <v>13740.65</v>
      </c>
      <c r="C6763" s="38">
        <v>45107</v>
      </c>
      <c r="D6763" s="1" t="s">
        <v>300</v>
      </c>
      <c r="E6763" s="1" t="s">
        <v>33</v>
      </c>
      <c r="F6763" s="1" t="s">
        <v>209</v>
      </c>
      <c r="G6763" s="5">
        <v>178.45</v>
      </c>
    </row>
    <row r="6764" spans="1:7" x14ac:dyDescent="0.2">
      <c r="A6764" s="3">
        <v>102</v>
      </c>
      <c r="B6764" s="2">
        <v>18201.900000000001</v>
      </c>
      <c r="C6764" s="38">
        <v>45107</v>
      </c>
      <c r="D6764" s="1" t="s">
        <v>300</v>
      </c>
      <c r="E6764" s="1" t="s">
        <v>33</v>
      </c>
      <c r="F6764" s="1" t="s">
        <v>209</v>
      </c>
      <c r="G6764" s="5">
        <v>178.45</v>
      </c>
    </row>
    <row r="6765" spans="1:7" x14ac:dyDescent="0.2">
      <c r="A6765" s="3">
        <v>273</v>
      </c>
      <c r="B6765" s="2">
        <v>48716.85</v>
      </c>
      <c r="C6765" s="38">
        <v>45107</v>
      </c>
      <c r="D6765" s="1" t="s">
        <v>300</v>
      </c>
      <c r="E6765" s="1" t="s">
        <v>33</v>
      </c>
      <c r="F6765" s="1" t="s">
        <v>209</v>
      </c>
      <c r="G6765" s="5">
        <v>178.45</v>
      </c>
    </row>
    <row r="6766" spans="1:7" x14ac:dyDescent="0.2">
      <c r="A6766" s="3">
        <v>95</v>
      </c>
      <c r="B6766" s="2">
        <v>16952.75</v>
      </c>
      <c r="C6766" s="38">
        <v>45107</v>
      </c>
      <c r="D6766" s="1" t="s">
        <v>300</v>
      </c>
      <c r="E6766" s="1" t="s">
        <v>33</v>
      </c>
      <c r="F6766" s="1" t="s">
        <v>209</v>
      </c>
      <c r="G6766" s="5">
        <v>178.45</v>
      </c>
    </row>
    <row r="6767" spans="1:7" x14ac:dyDescent="0.2">
      <c r="A6767" s="3">
        <v>57</v>
      </c>
      <c r="B6767" s="2">
        <v>10171.65</v>
      </c>
      <c r="C6767" s="38">
        <v>45107</v>
      </c>
      <c r="D6767" s="1" t="s">
        <v>300</v>
      </c>
      <c r="E6767" s="1" t="s">
        <v>33</v>
      </c>
      <c r="F6767" s="1" t="s">
        <v>209</v>
      </c>
      <c r="G6767" s="5">
        <v>178.45</v>
      </c>
    </row>
    <row r="6768" spans="1:7" x14ac:dyDescent="0.2">
      <c r="A6768" s="3">
        <v>16</v>
      </c>
      <c r="B6768" s="2">
        <v>1117.5999999999999</v>
      </c>
      <c r="C6768" s="38">
        <v>45107</v>
      </c>
      <c r="D6768" s="1" t="s">
        <v>301</v>
      </c>
      <c r="E6768" s="1" t="s">
        <v>33</v>
      </c>
      <c r="F6768" s="1" t="s">
        <v>209</v>
      </c>
      <c r="G6768" s="5">
        <v>69.849999999999994</v>
      </c>
    </row>
    <row r="6769" spans="1:7" x14ac:dyDescent="0.2">
      <c r="A6769" s="3">
        <v>621</v>
      </c>
      <c r="B6769" s="2">
        <v>43376.85</v>
      </c>
      <c r="C6769" s="38">
        <v>45107</v>
      </c>
      <c r="D6769" s="1" t="s">
        <v>301</v>
      </c>
      <c r="E6769" s="1" t="s">
        <v>33</v>
      </c>
      <c r="F6769" s="1" t="s">
        <v>209</v>
      </c>
      <c r="G6769" s="5">
        <v>69.849999999999994</v>
      </c>
    </row>
    <row r="6770" spans="1:7" x14ac:dyDescent="0.2">
      <c r="A6770" s="3">
        <v>135</v>
      </c>
      <c r="B6770" s="2">
        <v>115744.95</v>
      </c>
      <c r="C6770" s="38">
        <v>45107</v>
      </c>
      <c r="D6770" s="1" t="s">
        <v>267</v>
      </c>
      <c r="E6770" s="1" t="s">
        <v>33</v>
      </c>
      <c r="F6770" s="1" t="s">
        <v>209</v>
      </c>
      <c r="G6770" s="5">
        <v>857.37</v>
      </c>
    </row>
    <row r="6771" spans="1:7" x14ac:dyDescent="0.2">
      <c r="A6771" s="3">
        <v>60</v>
      </c>
      <c r="B6771" s="2">
        <v>51442.2</v>
      </c>
      <c r="C6771" s="38">
        <v>45107</v>
      </c>
      <c r="D6771" s="1" t="s">
        <v>267</v>
      </c>
      <c r="E6771" s="1" t="s">
        <v>33</v>
      </c>
      <c r="F6771" s="1" t="s">
        <v>209</v>
      </c>
      <c r="G6771" s="5">
        <v>857.37</v>
      </c>
    </row>
    <row r="6772" spans="1:7" x14ac:dyDescent="0.2">
      <c r="A6772" s="3">
        <v>120</v>
      </c>
      <c r="B6772" s="2">
        <v>102884.4</v>
      </c>
      <c r="C6772" s="38">
        <v>45107</v>
      </c>
      <c r="D6772" s="1" t="s">
        <v>267</v>
      </c>
      <c r="E6772" s="1" t="s">
        <v>33</v>
      </c>
      <c r="F6772" s="1" t="s">
        <v>209</v>
      </c>
      <c r="G6772" s="5">
        <v>857.37</v>
      </c>
    </row>
    <row r="6773" spans="1:7" x14ac:dyDescent="0.2">
      <c r="A6773" s="3">
        <v>146</v>
      </c>
      <c r="B6773" s="2">
        <v>276259.74</v>
      </c>
      <c r="C6773" s="38">
        <v>45107</v>
      </c>
      <c r="D6773" s="1" t="s">
        <v>302</v>
      </c>
      <c r="E6773" s="1" t="s">
        <v>33</v>
      </c>
      <c r="F6773" s="1" t="s">
        <v>209</v>
      </c>
      <c r="G6773" s="5">
        <v>1892.19</v>
      </c>
    </row>
    <row r="6774" spans="1:7" x14ac:dyDescent="0.2">
      <c r="A6774" s="3">
        <v>340</v>
      </c>
      <c r="B6774" s="2">
        <v>643344.6</v>
      </c>
      <c r="C6774" s="38">
        <v>45107</v>
      </c>
      <c r="D6774" s="1" t="s">
        <v>302</v>
      </c>
      <c r="E6774" s="1" t="s">
        <v>33</v>
      </c>
      <c r="F6774" s="1" t="s">
        <v>209</v>
      </c>
      <c r="G6774" s="5">
        <v>1892.19</v>
      </c>
    </row>
    <row r="6775" spans="1:7" x14ac:dyDescent="0.2">
      <c r="A6775" s="3">
        <v>140</v>
      </c>
      <c r="B6775" s="2">
        <v>60040.4</v>
      </c>
      <c r="C6775" s="38">
        <v>45107</v>
      </c>
      <c r="D6775" s="1" t="s">
        <v>255</v>
      </c>
      <c r="E6775" s="1" t="s">
        <v>33</v>
      </c>
      <c r="F6775" s="1" t="s">
        <v>209</v>
      </c>
      <c r="G6775" s="5">
        <v>428.86</v>
      </c>
    </row>
    <row r="6776" spans="1:7" x14ac:dyDescent="0.2">
      <c r="A6776" s="3">
        <v>140</v>
      </c>
      <c r="B6776" s="2">
        <v>60040.4</v>
      </c>
      <c r="C6776" s="38">
        <v>45107</v>
      </c>
      <c r="D6776" s="1" t="s">
        <v>255</v>
      </c>
      <c r="E6776" s="1" t="s">
        <v>33</v>
      </c>
      <c r="F6776" s="1" t="s">
        <v>209</v>
      </c>
      <c r="G6776" s="5">
        <v>428.86</v>
      </c>
    </row>
    <row r="6777" spans="1:7" x14ac:dyDescent="0.2">
      <c r="A6777" s="3">
        <v>70</v>
      </c>
      <c r="B6777" s="2">
        <v>30020.2</v>
      </c>
      <c r="C6777" s="38">
        <v>45107</v>
      </c>
      <c r="D6777" s="1" t="s">
        <v>255</v>
      </c>
      <c r="E6777" s="1" t="s">
        <v>33</v>
      </c>
      <c r="F6777" s="1" t="s">
        <v>209</v>
      </c>
      <c r="G6777" s="5">
        <v>428.86</v>
      </c>
    </row>
    <row r="6778" spans="1:7" x14ac:dyDescent="0.2">
      <c r="A6778" s="3">
        <v>140</v>
      </c>
      <c r="B6778" s="2">
        <v>60040.4</v>
      </c>
      <c r="C6778" s="38">
        <v>45107</v>
      </c>
      <c r="D6778" s="1" t="s">
        <v>255</v>
      </c>
      <c r="E6778" s="1" t="s">
        <v>33</v>
      </c>
      <c r="F6778" s="1" t="s">
        <v>209</v>
      </c>
      <c r="G6778" s="5">
        <v>428.86</v>
      </c>
    </row>
    <row r="6779" spans="1:7" x14ac:dyDescent="0.2">
      <c r="A6779" s="3">
        <v>140</v>
      </c>
      <c r="B6779" s="2">
        <v>60040.4</v>
      </c>
      <c r="C6779" s="38">
        <v>45107</v>
      </c>
      <c r="D6779" s="1" t="s">
        <v>255</v>
      </c>
      <c r="E6779" s="1" t="s">
        <v>33</v>
      </c>
      <c r="F6779" s="1" t="s">
        <v>209</v>
      </c>
      <c r="G6779" s="5">
        <v>428.86</v>
      </c>
    </row>
    <row r="6780" spans="1:7" x14ac:dyDescent="0.2">
      <c r="A6780" s="3">
        <v>70</v>
      </c>
      <c r="B6780" s="2">
        <v>30020.2</v>
      </c>
      <c r="C6780" s="38">
        <v>45107</v>
      </c>
      <c r="D6780" s="1" t="s">
        <v>255</v>
      </c>
      <c r="E6780" s="1" t="s">
        <v>33</v>
      </c>
      <c r="F6780" s="1" t="s">
        <v>209</v>
      </c>
      <c r="G6780" s="5">
        <v>428.86</v>
      </c>
    </row>
    <row r="6781" spans="1:7" x14ac:dyDescent="0.2">
      <c r="A6781" s="3">
        <v>280</v>
      </c>
      <c r="B6781" s="2">
        <v>120080.8</v>
      </c>
      <c r="C6781" s="38">
        <v>45107</v>
      </c>
      <c r="D6781" s="1" t="s">
        <v>255</v>
      </c>
      <c r="E6781" s="1" t="s">
        <v>33</v>
      </c>
      <c r="F6781" s="1" t="s">
        <v>209</v>
      </c>
      <c r="G6781" s="5">
        <v>428.86</v>
      </c>
    </row>
    <row r="6782" spans="1:7" x14ac:dyDescent="0.2">
      <c r="A6782" s="3">
        <v>280</v>
      </c>
      <c r="B6782" s="2">
        <v>120080.8</v>
      </c>
      <c r="C6782" s="38">
        <v>45107</v>
      </c>
      <c r="D6782" s="1" t="s">
        <v>255</v>
      </c>
      <c r="E6782" s="1" t="s">
        <v>33</v>
      </c>
      <c r="F6782" s="1" t="s">
        <v>209</v>
      </c>
      <c r="G6782" s="5">
        <v>428.86</v>
      </c>
    </row>
    <row r="6783" spans="1:7" x14ac:dyDescent="0.2">
      <c r="A6783" s="3">
        <v>140</v>
      </c>
      <c r="B6783" s="2">
        <v>60040.4</v>
      </c>
      <c r="C6783" s="38">
        <v>45107</v>
      </c>
      <c r="D6783" s="1" t="s">
        <v>255</v>
      </c>
      <c r="E6783" s="1" t="s">
        <v>33</v>
      </c>
      <c r="F6783" s="1" t="s">
        <v>209</v>
      </c>
      <c r="G6783" s="5">
        <v>428.86</v>
      </c>
    </row>
    <row r="6784" spans="1:7" x14ac:dyDescent="0.2">
      <c r="A6784" s="3">
        <v>70</v>
      </c>
      <c r="B6784" s="2">
        <v>26859</v>
      </c>
      <c r="C6784" s="38">
        <v>45044</v>
      </c>
      <c r="D6784" s="1" t="s">
        <v>256</v>
      </c>
      <c r="E6784" s="1" t="s">
        <v>33</v>
      </c>
      <c r="F6784" s="1" t="s">
        <v>209</v>
      </c>
      <c r="G6784" s="5">
        <v>383.7</v>
      </c>
    </row>
    <row r="6785" spans="1:7" x14ac:dyDescent="0.2">
      <c r="A6785" s="3">
        <v>70</v>
      </c>
      <c r="B6785" s="2">
        <v>26859</v>
      </c>
      <c r="C6785" s="38">
        <v>45044</v>
      </c>
      <c r="D6785" s="1" t="s">
        <v>256</v>
      </c>
      <c r="E6785" s="1" t="s">
        <v>33</v>
      </c>
      <c r="F6785" s="1" t="s">
        <v>209</v>
      </c>
      <c r="G6785" s="5">
        <v>383.7</v>
      </c>
    </row>
    <row r="6786" spans="1:7" x14ac:dyDescent="0.2">
      <c r="A6786" s="3">
        <v>70</v>
      </c>
      <c r="B6786" s="2">
        <v>26859</v>
      </c>
      <c r="C6786" s="38">
        <v>45044</v>
      </c>
      <c r="D6786" s="1" t="s">
        <v>256</v>
      </c>
      <c r="E6786" s="1" t="s">
        <v>33</v>
      </c>
      <c r="F6786" s="1" t="s">
        <v>209</v>
      </c>
      <c r="G6786" s="5">
        <v>383.7</v>
      </c>
    </row>
    <row r="6787" spans="1:7" x14ac:dyDescent="0.2">
      <c r="A6787" s="3">
        <v>70</v>
      </c>
      <c r="B6787" s="2">
        <v>26859</v>
      </c>
      <c r="C6787" s="38">
        <v>45044</v>
      </c>
      <c r="D6787" s="1" t="s">
        <v>256</v>
      </c>
      <c r="E6787" s="1" t="s">
        <v>33</v>
      </c>
      <c r="F6787" s="1" t="s">
        <v>209</v>
      </c>
      <c r="G6787" s="5">
        <v>383.7</v>
      </c>
    </row>
    <row r="6788" spans="1:7" x14ac:dyDescent="0.2">
      <c r="A6788" s="3">
        <v>70</v>
      </c>
      <c r="B6788" s="2">
        <v>26859</v>
      </c>
      <c r="C6788" s="38">
        <v>45044</v>
      </c>
      <c r="D6788" s="1" t="s">
        <v>256</v>
      </c>
      <c r="E6788" s="1" t="s">
        <v>33</v>
      </c>
      <c r="F6788" s="1" t="s">
        <v>209</v>
      </c>
      <c r="G6788" s="5">
        <v>383.7</v>
      </c>
    </row>
    <row r="6789" spans="1:7" x14ac:dyDescent="0.2">
      <c r="A6789" s="3">
        <v>70</v>
      </c>
      <c r="B6789" s="2">
        <v>26859</v>
      </c>
      <c r="C6789" s="38">
        <v>45044</v>
      </c>
      <c r="D6789" s="1" t="s">
        <v>256</v>
      </c>
      <c r="E6789" s="1" t="s">
        <v>33</v>
      </c>
      <c r="F6789" s="1" t="s">
        <v>209</v>
      </c>
      <c r="G6789" s="5">
        <v>383.7</v>
      </c>
    </row>
    <row r="6790" spans="1:7" x14ac:dyDescent="0.2">
      <c r="A6790" s="3">
        <v>70</v>
      </c>
      <c r="B6790" s="2">
        <v>26859</v>
      </c>
      <c r="C6790" s="38">
        <v>45044</v>
      </c>
      <c r="D6790" s="1" t="s">
        <v>256</v>
      </c>
      <c r="E6790" s="1" t="s">
        <v>33</v>
      </c>
      <c r="F6790" s="1" t="s">
        <v>209</v>
      </c>
      <c r="G6790" s="5">
        <v>383.7</v>
      </c>
    </row>
    <row r="6791" spans="1:7" x14ac:dyDescent="0.2">
      <c r="A6791" s="3">
        <v>70</v>
      </c>
      <c r="B6791" s="2">
        <v>26859</v>
      </c>
      <c r="C6791" s="38">
        <v>44943</v>
      </c>
      <c r="D6791" s="1" t="s">
        <v>256</v>
      </c>
      <c r="E6791" s="1" t="s">
        <v>33</v>
      </c>
      <c r="F6791" s="1" t="s">
        <v>209</v>
      </c>
      <c r="G6791" s="5">
        <v>383.7</v>
      </c>
    </row>
    <row r="6792" spans="1:7" x14ac:dyDescent="0.2">
      <c r="A6792" s="3">
        <v>70</v>
      </c>
      <c r="B6792" s="2">
        <v>26859</v>
      </c>
      <c r="C6792" s="38">
        <v>44943</v>
      </c>
      <c r="D6792" s="1" t="s">
        <v>256</v>
      </c>
      <c r="E6792" s="1" t="s">
        <v>33</v>
      </c>
      <c r="F6792" s="1" t="s">
        <v>209</v>
      </c>
      <c r="G6792" s="5">
        <v>383.7</v>
      </c>
    </row>
    <row r="6793" spans="1:7" x14ac:dyDescent="0.2">
      <c r="A6793" s="3">
        <v>70</v>
      </c>
      <c r="B6793" s="2">
        <v>26859</v>
      </c>
      <c r="C6793" s="38">
        <v>44943</v>
      </c>
      <c r="D6793" s="1" t="s">
        <v>256</v>
      </c>
      <c r="E6793" s="1" t="s">
        <v>33</v>
      </c>
      <c r="F6793" s="1" t="s">
        <v>209</v>
      </c>
      <c r="G6793" s="5">
        <v>383.7</v>
      </c>
    </row>
    <row r="6794" spans="1:7" x14ac:dyDescent="0.2">
      <c r="A6794" s="3">
        <v>70</v>
      </c>
      <c r="B6794" s="2">
        <v>26859</v>
      </c>
      <c r="C6794" s="38">
        <v>44943</v>
      </c>
      <c r="D6794" s="1" t="s">
        <v>256</v>
      </c>
      <c r="E6794" s="1" t="s">
        <v>33</v>
      </c>
      <c r="F6794" s="1" t="s">
        <v>209</v>
      </c>
      <c r="G6794" s="5">
        <v>383.7</v>
      </c>
    </row>
    <row r="6795" spans="1:7" x14ac:dyDescent="0.2">
      <c r="A6795" s="3">
        <v>70</v>
      </c>
      <c r="B6795" s="2">
        <v>26859</v>
      </c>
      <c r="C6795" s="38">
        <v>45044</v>
      </c>
      <c r="D6795" s="1" t="s">
        <v>256</v>
      </c>
      <c r="E6795" s="1" t="s">
        <v>33</v>
      </c>
      <c r="F6795" s="1" t="s">
        <v>209</v>
      </c>
      <c r="G6795" s="5">
        <v>383.7</v>
      </c>
    </row>
    <row r="6796" spans="1:7" x14ac:dyDescent="0.2">
      <c r="A6796" s="3">
        <v>70</v>
      </c>
      <c r="B6796" s="2">
        <v>26859</v>
      </c>
      <c r="C6796" s="38">
        <v>45044</v>
      </c>
      <c r="D6796" s="1" t="s">
        <v>256</v>
      </c>
      <c r="E6796" s="1" t="s">
        <v>33</v>
      </c>
      <c r="F6796" s="1" t="s">
        <v>209</v>
      </c>
      <c r="G6796" s="5">
        <v>383.7</v>
      </c>
    </row>
    <row r="6797" spans="1:7" x14ac:dyDescent="0.2">
      <c r="A6797" s="3">
        <v>70</v>
      </c>
      <c r="B6797" s="2">
        <v>26859</v>
      </c>
      <c r="C6797" s="38">
        <v>45044</v>
      </c>
      <c r="D6797" s="1" t="s">
        <v>256</v>
      </c>
      <c r="E6797" s="1" t="s">
        <v>33</v>
      </c>
      <c r="F6797" s="1" t="s">
        <v>209</v>
      </c>
      <c r="G6797" s="5">
        <v>383.7</v>
      </c>
    </row>
    <row r="6798" spans="1:7" x14ac:dyDescent="0.2">
      <c r="A6798" s="3">
        <v>70</v>
      </c>
      <c r="B6798" s="2">
        <v>26859</v>
      </c>
      <c r="C6798" s="38">
        <v>45044</v>
      </c>
      <c r="D6798" s="1" t="s">
        <v>256</v>
      </c>
      <c r="E6798" s="1" t="s">
        <v>33</v>
      </c>
      <c r="F6798" s="1" t="s">
        <v>209</v>
      </c>
      <c r="G6798" s="5">
        <v>383.7</v>
      </c>
    </row>
    <row r="6799" spans="1:7" x14ac:dyDescent="0.2">
      <c r="A6799" s="3">
        <v>70</v>
      </c>
      <c r="B6799" s="2">
        <v>26859</v>
      </c>
      <c r="C6799" s="38">
        <v>45044</v>
      </c>
      <c r="D6799" s="1" t="s">
        <v>256</v>
      </c>
      <c r="E6799" s="1" t="s">
        <v>33</v>
      </c>
      <c r="F6799" s="1" t="s">
        <v>209</v>
      </c>
      <c r="G6799" s="5">
        <v>383.7</v>
      </c>
    </row>
    <row r="6800" spans="1:7" x14ac:dyDescent="0.2">
      <c r="A6800" s="3">
        <v>70</v>
      </c>
      <c r="B6800" s="2">
        <v>26859</v>
      </c>
      <c r="C6800" s="38">
        <v>45044</v>
      </c>
      <c r="D6800" s="1" t="s">
        <v>256</v>
      </c>
      <c r="E6800" s="1" t="s">
        <v>33</v>
      </c>
      <c r="F6800" s="1" t="s">
        <v>209</v>
      </c>
      <c r="G6800" s="5">
        <v>383.7</v>
      </c>
    </row>
    <row r="6801" spans="1:7" x14ac:dyDescent="0.2">
      <c r="A6801" s="3">
        <v>70</v>
      </c>
      <c r="B6801" s="2">
        <v>26859</v>
      </c>
      <c r="C6801" s="38">
        <v>45044</v>
      </c>
      <c r="D6801" s="1" t="s">
        <v>256</v>
      </c>
      <c r="E6801" s="1" t="s">
        <v>33</v>
      </c>
      <c r="F6801" s="1" t="s">
        <v>209</v>
      </c>
      <c r="G6801" s="5">
        <v>383.7</v>
      </c>
    </row>
    <row r="6802" spans="1:7" x14ac:dyDescent="0.2">
      <c r="A6802" s="3">
        <v>70</v>
      </c>
      <c r="B6802" s="2">
        <v>26859</v>
      </c>
      <c r="C6802" s="38">
        <v>45044</v>
      </c>
      <c r="D6802" s="1" t="s">
        <v>256</v>
      </c>
      <c r="E6802" s="1" t="s">
        <v>33</v>
      </c>
      <c r="F6802" s="1" t="s">
        <v>209</v>
      </c>
      <c r="G6802" s="5">
        <v>383.7</v>
      </c>
    </row>
    <row r="6803" spans="1:7" x14ac:dyDescent="0.2">
      <c r="A6803" s="3">
        <v>70</v>
      </c>
      <c r="B6803" s="2">
        <v>26859</v>
      </c>
      <c r="C6803" s="38">
        <v>45044</v>
      </c>
      <c r="D6803" s="1" t="s">
        <v>256</v>
      </c>
      <c r="E6803" s="1" t="s">
        <v>33</v>
      </c>
      <c r="F6803" s="1" t="s">
        <v>209</v>
      </c>
      <c r="G6803" s="5">
        <v>383.7</v>
      </c>
    </row>
    <row r="6804" spans="1:7" x14ac:dyDescent="0.2">
      <c r="A6804" s="3">
        <v>70</v>
      </c>
      <c r="B6804" s="2">
        <v>26859</v>
      </c>
      <c r="C6804" s="38">
        <v>45044</v>
      </c>
      <c r="D6804" s="1" t="s">
        <v>256</v>
      </c>
      <c r="E6804" s="1" t="s">
        <v>33</v>
      </c>
      <c r="F6804" s="1" t="s">
        <v>209</v>
      </c>
      <c r="G6804" s="5">
        <v>383.7</v>
      </c>
    </row>
    <row r="6805" spans="1:7" x14ac:dyDescent="0.2">
      <c r="A6805" s="3">
        <v>70</v>
      </c>
      <c r="B6805" s="2">
        <v>26859</v>
      </c>
      <c r="C6805" s="38">
        <v>45044</v>
      </c>
      <c r="D6805" s="1" t="s">
        <v>256</v>
      </c>
      <c r="E6805" s="1" t="s">
        <v>33</v>
      </c>
      <c r="F6805" s="1" t="s">
        <v>209</v>
      </c>
      <c r="G6805" s="5">
        <v>383.7</v>
      </c>
    </row>
    <row r="6806" spans="1:7" x14ac:dyDescent="0.2">
      <c r="A6806" s="3">
        <v>70</v>
      </c>
      <c r="B6806" s="2">
        <v>26859</v>
      </c>
      <c r="C6806" s="38">
        <v>45044</v>
      </c>
      <c r="D6806" s="1" t="s">
        <v>256</v>
      </c>
      <c r="E6806" s="1" t="s">
        <v>33</v>
      </c>
      <c r="F6806" s="1" t="s">
        <v>209</v>
      </c>
      <c r="G6806" s="5">
        <v>383.7</v>
      </c>
    </row>
    <row r="6807" spans="1:7" x14ac:dyDescent="0.2">
      <c r="A6807" s="3">
        <v>70</v>
      </c>
      <c r="B6807" s="2">
        <v>26859</v>
      </c>
      <c r="C6807" s="38">
        <v>45044</v>
      </c>
      <c r="D6807" s="1" t="s">
        <v>256</v>
      </c>
      <c r="E6807" s="1" t="s">
        <v>33</v>
      </c>
      <c r="F6807" s="1" t="s">
        <v>209</v>
      </c>
      <c r="G6807" s="5">
        <v>383.7</v>
      </c>
    </row>
    <row r="6808" spans="1:7" x14ac:dyDescent="0.2">
      <c r="A6808" s="3">
        <v>70</v>
      </c>
      <c r="B6808" s="2">
        <v>26859</v>
      </c>
      <c r="C6808" s="38">
        <v>45044</v>
      </c>
      <c r="D6808" s="1" t="s">
        <v>256</v>
      </c>
      <c r="E6808" s="1" t="s">
        <v>33</v>
      </c>
      <c r="F6808" s="1" t="s">
        <v>209</v>
      </c>
      <c r="G6808" s="5">
        <v>383.7</v>
      </c>
    </row>
    <row r="6809" spans="1:7" x14ac:dyDescent="0.2">
      <c r="A6809" s="3">
        <v>70</v>
      </c>
      <c r="B6809" s="2">
        <v>26859</v>
      </c>
      <c r="C6809" s="38">
        <v>45044</v>
      </c>
      <c r="D6809" s="1" t="s">
        <v>256</v>
      </c>
      <c r="E6809" s="1" t="s">
        <v>33</v>
      </c>
      <c r="F6809" s="1" t="s">
        <v>209</v>
      </c>
      <c r="G6809" s="5">
        <v>383.7</v>
      </c>
    </row>
    <row r="6810" spans="1:7" x14ac:dyDescent="0.2">
      <c r="A6810" s="3">
        <v>70</v>
      </c>
      <c r="B6810" s="2">
        <v>26859</v>
      </c>
      <c r="C6810" s="38">
        <v>45044</v>
      </c>
      <c r="D6810" s="1" t="s">
        <v>256</v>
      </c>
      <c r="E6810" s="1" t="s">
        <v>33</v>
      </c>
      <c r="F6810" s="1" t="s">
        <v>209</v>
      </c>
      <c r="G6810" s="5">
        <v>383.7</v>
      </c>
    </row>
    <row r="6811" spans="1:7" x14ac:dyDescent="0.2">
      <c r="A6811" s="3">
        <v>70</v>
      </c>
      <c r="B6811" s="2">
        <v>26859</v>
      </c>
      <c r="C6811" s="38">
        <v>45044</v>
      </c>
      <c r="D6811" s="1" t="s">
        <v>256</v>
      </c>
      <c r="E6811" s="1" t="s">
        <v>33</v>
      </c>
      <c r="F6811" s="1" t="s">
        <v>209</v>
      </c>
      <c r="G6811" s="5">
        <v>383.7</v>
      </c>
    </row>
    <row r="6812" spans="1:7" x14ac:dyDescent="0.2">
      <c r="A6812" s="3">
        <v>70</v>
      </c>
      <c r="B6812" s="2">
        <v>26859</v>
      </c>
      <c r="C6812" s="38">
        <v>45044</v>
      </c>
      <c r="D6812" s="1" t="s">
        <v>256</v>
      </c>
      <c r="E6812" s="1" t="s">
        <v>33</v>
      </c>
      <c r="F6812" s="1" t="s">
        <v>209</v>
      </c>
      <c r="G6812" s="5">
        <v>383.7</v>
      </c>
    </row>
    <row r="6813" spans="1:7" x14ac:dyDescent="0.2">
      <c r="A6813" s="3">
        <v>70</v>
      </c>
      <c r="B6813" s="2">
        <v>26859</v>
      </c>
      <c r="C6813" s="38">
        <v>45044</v>
      </c>
      <c r="D6813" s="1" t="s">
        <v>256</v>
      </c>
      <c r="E6813" s="1" t="s">
        <v>33</v>
      </c>
      <c r="F6813" s="1" t="s">
        <v>209</v>
      </c>
      <c r="G6813" s="5">
        <v>383.7</v>
      </c>
    </row>
    <row r="6814" spans="1:7" x14ac:dyDescent="0.2">
      <c r="A6814" s="3">
        <v>70</v>
      </c>
      <c r="B6814" s="2">
        <v>26859</v>
      </c>
      <c r="C6814" s="38">
        <v>45044</v>
      </c>
      <c r="D6814" s="1" t="s">
        <v>256</v>
      </c>
      <c r="E6814" s="1" t="s">
        <v>33</v>
      </c>
      <c r="F6814" s="1" t="s">
        <v>209</v>
      </c>
      <c r="G6814" s="5">
        <v>383.7</v>
      </c>
    </row>
    <row r="6815" spans="1:7" x14ac:dyDescent="0.2">
      <c r="A6815" s="3">
        <v>70</v>
      </c>
      <c r="B6815" s="2">
        <v>26859</v>
      </c>
      <c r="C6815" s="38">
        <v>45084</v>
      </c>
      <c r="D6815" s="1" t="s">
        <v>256</v>
      </c>
      <c r="E6815" s="1" t="s">
        <v>33</v>
      </c>
      <c r="F6815" s="1" t="s">
        <v>209</v>
      </c>
      <c r="G6815" s="5">
        <v>383.7</v>
      </c>
    </row>
    <row r="6816" spans="1:7" x14ac:dyDescent="0.2">
      <c r="A6816" s="3">
        <v>70</v>
      </c>
      <c r="B6816" s="2">
        <v>26859</v>
      </c>
      <c r="C6816" s="38">
        <v>45084</v>
      </c>
      <c r="D6816" s="1" t="s">
        <v>256</v>
      </c>
      <c r="E6816" s="1" t="s">
        <v>33</v>
      </c>
      <c r="F6816" s="1" t="s">
        <v>209</v>
      </c>
      <c r="G6816" s="5">
        <v>383.7</v>
      </c>
    </row>
    <row r="6817" spans="1:7" x14ac:dyDescent="0.2">
      <c r="A6817" s="3">
        <v>70</v>
      </c>
      <c r="B6817" s="2">
        <v>26859</v>
      </c>
      <c r="C6817" s="38">
        <v>45084</v>
      </c>
      <c r="D6817" s="1" t="s">
        <v>256</v>
      </c>
      <c r="E6817" s="1" t="s">
        <v>33</v>
      </c>
      <c r="F6817" s="1" t="s">
        <v>209</v>
      </c>
      <c r="G6817" s="5">
        <v>383.7</v>
      </c>
    </row>
    <row r="6818" spans="1:7" x14ac:dyDescent="0.2">
      <c r="A6818" s="3">
        <v>70</v>
      </c>
      <c r="B6818" s="2">
        <v>26859</v>
      </c>
      <c r="C6818" s="38">
        <v>45084</v>
      </c>
      <c r="D6818" s="1" t="s">
        <v>256</v>
      </c>
      <c r="E6818" s="1" t="s">
        <v>33</v>
      </c>
      <c r="F6818" s="1" t="s">
        <v>209</v>
      </c>
      <c r="G6818" s="5">
        <v>383.7</v>
      </c>
    </row>
    <row r="6819" spans="1:7" x14ac:dyDescent="0.2">
      <c r="A6819" s="3">
        <v>70</v>
      </c>
      <c r="B6819" s="2">
        <v>26859</v>
      </c>
      <c r="C6819" s="38">
        <v>44943</v>
      </c>
      <c r="D6819" s="1" t="s">
        <v>256</v>
      </c>
      <c r="E6819" s="1" t="s">
        <v>33</v>
      </c>
      <c r="F6819" s="1" t="s">
        <v>209</v>
      </c>
      <c r="G6819" s="5">
        <v>383.7</v>
      </c>
    </row>
    <row r="6820" spans="1:7" x14ac:dyDescent="0.2">
      <c r="A6820" s="3">
        <v>70</v>
      </c>
      <c r="B6820" s="2">
        <v>26859</v>
      </c>
      <c r="C6820" s="38">
        <v>44943</v>
      </c>
      <c r="D6820" s="1" t="s">
        <v>256</v>
      </c>
      <c r="E6820" s="1" t="s">
        <v>33</v>
      </c>
      <c r="F6820" s="1" t="s">
        <v>209</v>
      </c>
      <c r="G6820" s="5">
        <v>383.7</v>
      </c>
    </row>
    <row r="6821" spans="1:7" x14ac:dyDescent="0.2">
      <c r="A6821" s="3">
        <v>70</v>
      </c>
      <c r="B6821" s="2">
        <v>26859</v>
      </c>
      <c r="C6821" s="38">
        <v>44943</v>
      </c>
      <c r="D6821" s="1" t="s">
        <v>256</v>
      </c>
      <c r="E6821" s="1" t="s">
        <v>33</v>
      </c>
      <c r="F6821" s="1" t="s">
        <v>209</v>
      </c>
      <c r="G6821" s="5">
        <v>383.7</v>
      </c>
    </row>
    <row r="6822" spans="1:7" x14ac:dyDescent="0.2">
      <c r="A6822" s="3">
        <v>70</v>
      </c>
      <c r="B6822" s="2">
        <v>26859</v>
      </c>
      <c r="C6822" s="38">
        <v>45055</v>
      </c>
      <c r="D6822" s="1" t="s">
        <v>256</v>
      </c>
      <c r="E6822" s="1" t="s">
        <v>33</v>
      </c>
      <c r="F6822" s="1" t="s">
        <v>209</v>
      </c>
      <c r="G6822" s="5">
        <v>383.7</v>
      </c>
    </row>
    <row r="6823" spans="1:7" x14ac:dyDescent="0.2">
      <c r="A6823" s="3">
        <v>70</v>
      </c>
      <c r="B6823" s="2">
        <v>26859</v>
      </c>
      <c r="C6823" s="38">
        <v>45055</v>
      </c>
      <c r="D6823" s="1" t="s">
        <v>256</v>
      </c>
      <c r="E6823" s="1" t="s">
        <v>33</v>
      </c>
      <c r="F6823" s="1" t="s">
        <v>209</v>
      </c>
      <c r="G6823" s="5">
        <v>383.7</v>
      </c>
    </row>
    <row r="6824" spans="1:7" x14ac:dyDescent="0.2">
      <c r="A6824" s="3">
        <v>70</v>
      </c>
      <c r="B6824" s="2">
        <v>26859</v>
      </c>
      <c r="C6824" s="38">
        <v>45055</v>
      </c>
      <c r="D6824" s="1" t="s">
        <v>256</v>
      </c>
      <c r="E6824" s="1" t="s">
        <v>33</v>
      </c>
      <c r="F6824" s="1" t="s">
        <v>209</v>
      </c>
      <c r="G6824" s="5">
        <v>383.7</v>
      </c>
    </row>
    <row r="6825" spans="1:7" x14ac:dyDescent="0.2">
      <c r="A6825" s="3">
        <v>70</v>
      </c>
      <c r="B6825" s="2">
        <v>26859</v>
      </c>
      <c r="C6825" s="38">
        <v>45055</v>
      </c>
      <c r="D6825" s="1" t="s">
        <v>256</v>
      </c>
      <c r="E6825" s="1" t="s">
        <v>33</v>
      </c>
      <c r="F6825" s="1" t="s">
        <v>209</v>
      </c>
      <c r="G6825" s="5">
        <v>383.7</v>
      </c>
    </row>
    <row r="6826" spans="1:7" x14ac:dyDescent="0.2">
      <c r="A6826" s="3">
        <v>70</v>
      </c>
      <c r="B6826" s="2">
        <v>26859</v>
      </c>
      <c r="C6826" s="38">
        <v>45055</v>
      </c>
      <c r="D6826" s="1" t="s">
        <v>256</v>
      </c>
      <c r="E6826" s="1" t="s">
        <v>33</v>
      </c>
      <c r="F6826" s="1" t="s">
        <v>209</v>
      </c>
      <c r="G6826" s="5">
        <v>383.7</v>
      </c>
    </row>
    <row r="6827" spans="1:7" x14ac:dyDescent="0.2">
      <c r="A6827" s="3">
        <v>70</v>
      </c>
      <c r="B6827" s="2">
        <v>26859</v>
      </c>
      <c r="C6827" s="38">
        <v>45055</v>
      </c>
      <c r="D6827" s="1" t="s">
        <v>256</v>
      </c>
      <c r="E6827" s="1" t="s">
        <v>33</v>
      </c>
      <c r="F6827" s="1" t="s">
        <v>209</v>
      </c>
      <c r="G6827" s="5">
        <v>383.7</v>
      </c>
    </row>
    <row r="6828" spans="1:7" x14ac:dyDescent="0.2">
      <c r="A6828" s="3">
        <v>70</v>
      </c>
      <c r="B6828" s="2">
        <v>26859</v>
      </c>
      <c r="C6828" s="38">
        <v>45055</v>
      </c>
      <c r="D6828" s="1" t="s">
        <v>256</v>
      </c>
      <c r="E6828" s="1" t="s">
        <v>33</v>
      </c>
      <c r="F6828" s="1" t="s">
        <v>209</v>
      </c>
      <c r="G6828" s="5">
        <v>383.7</v>
      </c>
    </row>
    <row r="6829" spans="1:7" x14ac:dyDescent="0.2">
      <c r="A6829" s="3">
        <v>70</v>
      </c>
      <c r="B6829" s="2">
        <v>26859</v>
      </c>
      <c r="C6829" s="38">
        <v>45055</v>
      </c>
      <c r="D6829" s="1" t="s">
        <v>256</v>
      </c>
      <c r="E6829" s="1" t="s">
        <v>33</v>
      </c>
      <c r="F6829" s="1" t="s">
        <v>209</v>
      </c>
      <c r="G6829" s="5">
        <v>383.7</v>
      </c>
    </row>
    <row r="6830" spans="1:7" x14ac:dyDescent="0.2">
      <c r="A6830" s="3">
        <v>70</v>
      </c>
      <c r="B6830" s="2">
        <v>26859</v>
      </c>
      <c r="C6830" s="38">
        <v>45055</v>
      </c>
      <c r="D6830" s="1" t="s">
        <v>256</v>
      </c>
      <c r="E6830" s="1" t="s">
        <v>33</v>
      </c>
      <c r="F6830" s="1" t="s">
        <v>209</v>
      </c>
      <c r="G6830" s="5">
        <v>383.7</v>
      </c>
    </row>
    <row r="6831" spans="1:7" x14ac:dyDescent="0.2">
      <c r="A6831" s="3">
        <v>70</v>
      </c>
      <c r="B6831" s="2">
        <v>26859</v>
      </c>
      <c r="C6831" s="38">
        <v>45107</v>
      </c>
      <c r="D6831" s="1" t="s">
        <v>256</v>
      </c>
      <c r="E6831" s="1" t="s">
        <v>33</v>
      </c>
      <c r="F6831" s="1" t="s">
        <v>209</v>
      </c>
      <c r="G6831" s="5">
        <v>383.7</v>
      </c>
    </row>
    <row r="6832" spans="1:7" x14ac:dyDescent="0.2">
      <c r="A6832" s="3">
        <v>70</v>
      </c>
      <c r="B6832" s="2">
        <v>26859</v>
      </c>
      <c r="C6832" s="38">
        <v>45107</v>
      </c>
      <c r="D6832" s="1" t="s">
        <v>256</v>
      </c>
      <c r="E6832" s="1" t="s">
        <v>33</v>
      </c>
      <c r="F6832" s="1" t="s">
        <v>209</v>
      </c>
      <c r="G6832" s="5">
        <v>383.7</v>
      </c>
    </row>
    <row r="6833" spans="1:7" x14ac:dyDescent="0.2">
      <c r="A6833" s="3">
        <v>70</v>
      </c>
      <c r="B6833" s="2">
        <v>26859</v>
      </c>
      <c r="C6833" s="38">
        <v>45107</v>
      </c>
      <c r="D6833" s="1" t="s">
        <v>256</v>
      </c>
      <c r="E6833" s="1" t="s">
        <v>33</v>
      </c>
      <c r="F6833" s="1" t="s">
        <v>209</v>
      </c>
      <c r="G6833" s="5">
        <v>383.7</v>
      </c>
    </row>
    <row r="6834" spans="1:7" x14ac:dyDescent="0.2">
      <c r="A6834" s="3">
        <v>70</v>
      </c>
      <c r="B6834" s="2">
        <v>26859</v>
      </c>
      <c r="C6834" s="38">
        <v>45107</v>
      </c>
      <c r="D6834" s="1" t="s">
        <v>256</v>
      </c>
      <c r="E6834" s="1" t="s">
        <v>33</v>
      </c>
      <c r="F6834" s="1" t="s">
        <v>209</v>
      </c>
      <c r="G6834" s="5">
        <v>383.7</v>
      </c>
    </row>
    <row r="6835" spans="1:7" x14ac:dyDescent="0.2">
      <c r="A6835" s="3">
        <v>70</v>
      </c>
      <c r="B6835" s="2">
        <v>26859</v>
      </c>
      <c r="C6835" s="38">
        <v>45107</v>
      </c>
      <c r="D6835" s="1" t="s">
        <v>256</v>
      </c>
      <c r="E6835" s="1" t="s">
        <v>33</v>
      </c>
      <c r="F6835" s="1" t="s">
        <v>209</v>
      </c>
      <c r="G6835" s="5">
        <v>383.7</v>
      </c>
    </row>
    <row r="6836" spans="1:7" x14ac:dyDescent="0.2">
      <c r="A6836" s="3">
        <v>70</v>
      </c>
      <c r="B6836" s="2">
        <v>26859</v>
      </c>
      <c r="C6836" s="38">
        <v>45107</v>
      </c>
      <c r="D6836" s="1" t="s">
        <v>256</v>
      </c>
      <c r="E6836" s="1" t="s">
        <v>33</v>
      </c>
      <c r="F6836" s="1" t="s">
        <v>209</v>
      </c>
      <c r="G6836" s="5">
        <v>383.7</v>
      </c>
    </row>
    <row r="6837" spans="1:7" x14ac:dyDescent="0.2">
      <c r="A6837" s="3">
        <v>70</v>
      </c>
      <c r="B6837" s="2">
        <v>26859</v>
      </c>
      <c r="C6837" s="38">
        <v>45107</v>
      </c>
      <c r="D6837" s="1" t="s">
        <v>256</v>
      </c>
      <c r="E6837" s="1" t="s">
        <v>33</v>
      </c>
      <c r="F6837" s="1" t="s">
        <v>209</v>
      </c>
      <c r="G6837" s="5">
        <v>383.7</v>
      </c>
    </row>
    <row r="6838" spans="1:7" x14ac:dyDescent="0.2">
      <c r="A6838" s="3">
        <v>70</v>
      </c>
      <c r="B6838" s="2">
        <v>26859</v>
      </c>
      <c r="C6838" s="38">
        <v>45107</v>
      </c>
      <c r="D6838" s="1" t="s">
        <v>256</v>
      </c>
      <c r="E6838" s="1" t="s">
        <v>33</v>
      </c>
      <c r="F6838" s="1" t="s">
        <v>209</v>
      </c>
      <c r="G6838" s="5">
        <v>383.7</v>
      </c>
    </row>
    <row r="6839" spans="1:7" x14ac:dyDescent="0.2">
      <c r="A6839" s="3">
        <v>70</v>
      </c>
      <c r="B6839" s="2">
        <v>26859</v>
      </c>
      <c r="C6839" s="38">
        <v>45107</v>
      </c>
      <c r="D6839" s="1" t="s">
        <v>256</v>
      </c>
      <c r="E6839" s="1" t="s">
        <v>33</v>
      </c>
      <c r="F6839" s="1" t="s">
        <v>209</v>
      </c>
      <c r="G6839" s="5">
        <v>383.7</v>
      </c>
    </row>
    <row r="6840" spans="1:7" x14ac:dyDescent="0.2">
      <c r="A6840" s="3">
        <v>70</v>
      </c>
      <c r="B6840" s="2">
        <v>26859</v>
      </c>
      <c r="C6840" s="38">
        <v>45107</v>
      </c>
      <c r="D6840" s="1" t="s">
        <v>256</v>
      </c>
      <c r="E6840" s="1" t="s">
        <v>33</v>
      </c>
      <c r="F6840" s="1" t="s">
        <v>209</v>
      </c>
      <c r="G6840" s="5">
        <v>383.7</v>
      </c>
    </row>
    <row r="6841" spans="1:7" x14ac:dyDescent="0.2">
      <c r="A6841" s="3">
        <v>70</v>
      </c>
      <c r="B6841" s="2">
        <v>26859</v>
      </c>
      <c r="C6841" s="38">
        <v>45107</v>
      </c>
      <c r="D6841" s="1" t="s">
        <v>256</v>
      </c>
      <c r="E6841" s="1" t="s">
        <v>33</v>
      </c>
      <c r="F6841" s="1" t="s">
        <v>209</v>
      </c>
      <c r="G6841" s="5">
        <v>383.7</v>
      </c>
    </row>
    <row r="6842" spans="1:7" x14ac:dyDescent="0.2">
      <c r="A6842" s="3">
        <v>70</v>
      </c>
      <c r="B6842" s="2">
        <v>26859</v>
      </c>
      <c r="C6842" s="38">
        <v>45107</v>
      </c>
      <c r="D6842" s="1" t="s">
        <v>256</v>
      </c>
      <c r="E6842" s="1" t="s">
        <v>33</v>
      </c>
      <c r="F6842" s="1" t="s">
        <v>209</v>
      </c>
      <c r="G6842" s="5">
        <v>383.7</v>
      </c>
    </row>
    <row r="6843" spans="1:7" x14ac:dyDescent="0.2">
      <c r="A6843" s="3">
        <v>70</v>
      </c>
      <c r="B6843" s="2">
        <v>26859</v>
      </c>
      <c r="C6843" s="38">
        <v>45107</v>
      </c>
      <c r="D6843" s="1" t="s">
        <v>256</v>
      </c>
      <c r="E6843" s="1" t="s">
        <v>33</v>
      </c>
      <c r="F6843" s="1" t="s">
        <v>209</v>
      </c>
      <c r="G6843" s="5">
        <v>383.7</v>
      </c>
    </row>
    <row r="6844" spans="1:7" x14ac:dyDescent="0.2">
      <c r="A6844" s="3">
        <v>70</v>
      </c>
      <c r="B6844" s="2">
        <v>26859</v>
      </c>
      <c r="C6844" s="38">
        <v>45135</v>
      </c>
      <c r="D6844" s="1" t="s">
        <v>256</v>
      </c>
      <c r="E6844" s="1" t="s">
        <v>33</v>
      </c>
      <c r="F6844" s="1" t="s">
        <v>209</v>
      </c>
      <c r="G6844" s="5">
        <v>383.7</v>
      </c>
    </row>
    <row r="6845" spans="1:7" x14ac:dyDescent="0.2">
      <c r="A6845" s="3">
        <v>70</v>
      </c>
      <c r="B6845" s="2">
        <v>26859</v>
      </c>
      <c r="C6845" s="38">
        <v>45135</v>
      </c>
      <c r="D6845" s="1" t="s">
        <v>256</v>
      </c>
      <c r="E6845" s="1" t="s">
        <v>33</v>
      </c>
      <c r="F6845" s="1" t="s">
        <v>209</v>
      </c>
      <c r="G6845" s="5">
        <v>383.7</v>
      </c>
    </row>
    <row r="6846" spans="1:7" x14ac:dyDescent="0.2">
      <c r="A6846" s="3">
        <v>70</v>
      </c>
      <c r="B6846" s="2">
        <v>26859</v>
      </c>
      <c r="C6846" s="38">
        <v>45135</v>
      </c>
      <c r="D6846" s="1" t="s">
        <v>256</v>
      </c>
      <c r="E6846" s="1" t="s">
        <v>33</v>
      </c>
      <c r="F6846" s="1" t="s">
        <v>209</v>
      </c>
      <c r="G6846" s="5">
        <v>383.7</v>
      </c>
    </row>
    <row r="6847" spans="1:7" x14ac:dyDescent="0.2">
      <c r="A6847" s="3">
        <v>70</v>
      </c>
      <c r="B6847" s="2">
        <v>26859</v>
      </c>
      <c r="C6847" s="38">
        <v>45135</v>
      </c>
      <c r="D6847" s="1" t="s">
        <v>256</v>
      </c>
      <c r="E6847" s="1" t="s">
        <v>33</v>
      </c>
      <c r="F6847" s="1" t="s">
        <v>209</v>
      </c>
      <c r="G6847" s="5">
        <v>383.7</v>
      </c>
    </row>
    <row r="6848" spans="1:7" x14ac:dyDescent="0.2">
      <c r="A6848" s="3">
        <v>70</v>
      </c>
      <c r="B6848" s="2">
        <v>26859</v>
      </c>
      <c r="C6848" s="38">
        <v>45135</v>
      </c>
      <c r="D6848" s="1" t="s">
        <v>256</v>
      </c>
      <c r="E6848" s="1" t="s">
        <v>33</v>
      </c>
      <c r="F6848" s="1" t="s">
        <v>209</v>
      </c>
      <c r="G6848" s="5">
        <v>383.7</v>
      </c>
    </row>
    <row r="6849" spans="1:7" x14ac:dyDescent="0.2">
      <c r="A6849" s="3">
        <v>70</v>
      </c>
      <c r="B6849" s="2">
        <v>26859</v>
      </c>
      <c r="C6849" s="38">
        <v>45135</v>
      </c>
      <c r="D6849" s="1" t="s">
        <v>256</v>
      </c>
      <c r="E6849" s="1" t="s">
        <v>33</v>
      </c>
      <c r="F6849" s="1" t="s">
        <v>209</v>
      </c>
      <c r="G6849" s="5">
        <v>383.7</v>
      </c>
    </row>
    <row r="6850" spans="1:7" x14ac:dyDescent="0.2">
      <c r="A6850" s="3">
        <v>70</v>
      </c>
      <c r="B6850" s="2">
        <v>26859</v>
      </c>
      <c r="C6850" s="38">
        <v>45135</v>
      </c>
      <c r="D6850" s="1" t="s">
        <v>256</v>
      </c>
      <c r="E6850" s="1" t="s">
        <v>33</v>
      </c>
      <c r="F6850" s="1" t="s">
        <v>209</v>
      </c>
      <c r="G6850" s="5">
        <v>383.7</v>
      </c>
    </row>
    <row r="6851" spans="1:7" x14ac:dyDescent="0.2">
      <c r="A6851" s="3">
        <v>70</v>
      </c>
      <c r="B6851" s="2">
        <v>26859</v>
      </c>
      <c r="C6851" s="38">
        <v>45135</v>
      </c>
      <c r="D6851" s="1" t="s">
        <v>256</v>
      </c>
      <c r="E6851" s="1" t="s">
        <v>33</v>
      </c>
      <c r="F6851" s="1" t="s">
        <v>209</v>
      </c>
      <c r="G6851" s="5">
        <v>383.7</v>
      </c>
    </row>
    <row r="6852" spans="1:7" x14ac:dyDescent="0.2">
      <c r="A6852" s="3">
        <v>70</v>
      </c>
      <c r="B6852" s="2">
        <v>26859</v>
      </c>
      <c r="C6852" s="38">
        <v>45135</v>
      </c>
      <c r="D6852" s="1" t="s">
        <v>256</v>
      </c>
      <c r="E6852" s="1" t="s">
        <v>33</v>
      </c>
      <c r="F6852" s="1" t="s">
        <v>209</v>
      </c>
      <c r="G6852" s="5">
        <v>383.7</v>
      </c>
    </row>
    <row r="6853" spans="1:7" x14ac:dyDescent="0.2">
      <c r="A6853" s="3">
        <v>70</v>
      </c>
      <c r="B6853" s="2">
        <v>26859</v>
      </c>
      <c r="C6853" s="38">
        <v>45135</v>
      </c>
      <c r="D6853" s="1" t="s">
        <v>256</v>
      </c>
      <c r="E6853" s="1" t="s">
        <v>33</v>
      </c>
      <c r="F6853" s="1" t="s">
        <v>209</v>
      </c>
      <c r="G6853" s="5">
        <v>383.7</v>
      </c>
    </row>
    <row r="6854" spans="1:7" x14ac:dyDescent="0.2">
      <c r="A6854" s="3">
        <v>70</v>
      </c>
      <c r="B6854" s="2">
        <v>26859</v>
      </c>
      <c r="C6854" s="38">
        <v>45107</v>
      </c>
      <c r="D6854" s="1" t="s">
        <v>256</v>
      </c>
      <c r="E6854" s="1" t="s">
        <v>33</v>
      </c>
      <c r="F6854" s="1" t="s">
        <v>209</v>
      </c>
      <c r="G6854" s="5">
        <v>383.7</v>
      </c>
    </row>
    <row r="6855" spans="1:7" x14ac:dyDescent="0.2">
      <c r="A6855" s="3">
        <v>70</v>
      </c>
      <c r="B6855" s="2">
        <v>26859</v>
      </c>
      <c r="C6855" s="38">
        <v>45107</v>
      </c>
      <c r="D6855" s="1" t="s">
        <v>256</v>
      </c>
      <c r="E6855" s="1" t="s">
        <v>33</v>
      </c>
      <c r="F6855" s="1" t="s">
        <v>209</v>
      </c>
      <c r="G6855" s="5">
        <v>383.7</v>
      </c>
    </row>
    <row r="6856" spans="1:7" x14ac:dyDescent="0.2">
      <c r="A6856" s="3">
        <v>70</v>
      </c>
      <c r="B6856" s="2">
        <v>26859</v>
      </c>
      <c r="C6856" s="38">
        <v>45107</v>
      </c>
      <c r="D6856" s="1" t="s">
        <v>256</v>
      </c>
      <c r="E6856" s="1" t="s">
        <v>33</v>
      </c>
      <c r="F6856" s="1" t="s">
        <v>209</v>
      </c>
      <c r="G6856" s="5">
        <v>383.7</v>
      </c>
    </row>
    <row r="6857" spans="1:7" x14ac:dyDescent="0.2">
      <c r="A6857" s="3">
        <v>70</v>
      </c>
      <c r="B6857" s="2">
        <v>26859</v>
      </c>
      <c r="C6857" s="38">
        <v>45107</v>
      </c>
      <c r="D6857" s="1" t="s">
        <v>256</v>
      </c>
      <c r="E6857" s="1" t="s">
        <v>33</v>
      </c>
      <c r="F6857" s="1" t="s">
        <v>209</v>
      </c>
      <c r="G6857" s="5">
        <v>383.7</v>
      </c>
    </row>
    <row r="6858" spans="1:7" x14ac:dyDescent="0.2">
      <c r="A6858" s="3">
        <v>70</v>
      </c>
      <c r="B6858" s="2">
        <v>26859</v>
      </c>
      <c r="C6858" s="38">
        <v>45107</v>
      </c>
      <c r="D6858" s="1" t="s">
        <v>256</v>
      </c>
      <c r="E6858" s="1" t="s">
        <v>33</v>
      </c>
      <c r="F6858" s="1" t="s">
        <v>209</v>
      </c>
      <c r="G6858" s="5">
        <v>383.7</v>
      </c>
    </row>
    <row r="6859" spans="1:7" x14ac:dyDescent="0.2">
      <c r="A6859" s="3">
        <v>70</v>
      </c>
      <c r="B6859" s="2">
        <v>26859</v>
      </c>
      <c r="C6859" s="38">
        <v>45107</v>
      </c>
      <c r="D6859" s="1" t="s">
        <v>256</v>
      </c>
      <c r="E6859" s="1" t="s">
        <v>33</v>
      </c>
      <c r="F6859" s="1" t="s">
        <v>209</v>
      </c>
      <c r="G6859" s="5">
        <v>383.7</v>
      </c>
    </row>
    <row r="6860" spans="1:7" x14ac:dyDescent="0.2">
      <c r="A6860" s="3">
        <v>70</v>
      </c>
      <c r="B6860" s="2">
        <v>26859</v>
      </c>
      <c r="C6860" s="38">
        <v>45107</v>
      </c>
      <c r="D6860" s="1" t="s">
        <v>256</v>
      </c>
      <c r="E6860" s="1" t="s">
        <v>33</v>
      </c>
      <c r="F6860" s="1" t="s">
        <v>209</v>
      </c>
      <c r="G6860" s="5">
        <v>383.7</v>
      </c>
    </row>
    <row r="6861" spans="1:7" x14ac:dyDescent="0.2">
      <c r="A6861" s="3">
        <v>70</v>
      </c>
      <c r="B6861" s="2">
        <v>26859</v>
      </c>
      <c r="C6861" s="38">
        <v>45107</v>
      </c>
      <c r="D6861" s="1" t="s">
        <v>256</v>
      </c>
      <c r="E6861" s="1" t="s">
        <v>33</v>
      </c>
      <c r="F6861" s="1" t="s">
        <v>209</v>
      </c>
      <c r="G6861" s="5">
        <v>383.7</v>
      </c>
    </row>
    <row r="6862" spans="1:7" x14ac:dyDescent="0.2">
      <c r="A6862" s="3">
        <v>70</v>
      </c>
      <c r="B6862" s="2">
        <v>26859</v>
      </c>
      <c r="C6862" s="38">
        <v>45107</v>
      </c>
      <c r="D6862" s="1" t="s">
        <v>256</v>
      </c>
      <c r="E6862" s="1" t="s">
        <v>33</v>
      </c>
      <c r="F6862" s="1" t="s">
        <v>209</v>
      </c>
      <c r="G6862" s="5">
        <v>383.7</v>
      </c>
    </row>
    <row r="6863" spans="1:7" x14ac:dyDescent="0.2">
      <c r="A6863" s="3">
        <v>70</v>
      </c>
      <c r="B6863" s="2">
        <v>26859</v>
      </c>
      <c r="C6863" s="38">
        <v>45107</v>
      </c>
      <c r="D6863" s="1" t="s">
        <v>256</v>
      </c>
      <c r="E6863" s="1" t="s">
        <v>33</v>
      </c>
      <c r="F6863" s="1" t="s">
        <v>209</v>
      </c>
      <c r="G6863" s="5">
        <v>383.7</v>
      </c>
    </row>
    <row r="6864" spans="1:7" x14ac:dyDescent="0.2">
      <c r="A6864" s="3">
        <v>70</v>
      </c>
      <c r="B6864" s="2">
        <v>26859</v>
      </c>
      <c r="C6864" s="38">
        <v>45107</v>
      </c>
      <c r="D6864" s="1" t="s">
        <v>256</v>
      </c>
      <c r="E6864" s="1" t="s">
        <v>33</v>
      </c>
      <c r="F6864" s="1" t="s">
        <v>209</v>
      </c>
      <c r="G6864" s="5">
        <v>383.7</v>
      </c>
    </row>
    <row r="6865" spans="1:7" x14ac:dyDescent="0.2">
      <c r="A6865" s="3">
        <v>70</v>
      </c>
      <c r="B6865" s="2">
        <v>26859</v>
      </c>
      <c r="C6865" s="38">
        <v>45107</v>
      </c>
      <c r="D6865" s="1" t="s">
        <v>256</v>
      </c>
      <c r="E6865" s="1" t="s">
        <v>33</v>
      </c>
      <c r="F6865" s="1" t="s">
        <v>209</v>
      </c>
      <c r="G6865" s="5">
        <v>383.7</v>
      </c>
    </row>
    <row r="6866" spans="1:7" x14ac:dyDescent="0.2">
      <c r="A6866" s="3">
        <v>70</v>
      </c>
      <c r="B6866" s="2">
        <v>26859</v>
      </c>
      <c r="C6866" s="38">
        <v>45107</v>
      </c>
      <c r="D6866" s="1" t="s">
        <v>256</v>
      </c>
      <c r="E6866" s="1" t="s">
        <v>33</v>
      </c>
      <c r="F6866" s="1" t="s">
        <v>209</v>
      </c>
      <c r="G6866" s="5">
        <v>383.7</v>
      </c>
    </row>
    <row r="6867" spans="1:7" x14ac:dyDescent="0.2">
      <c r="A6867" s="3">
        <v>70</v>
      </c>
      <c r="B6867" s="2">
        <v>26859</v>
      </c>
      <c r="C6867" s="38">
        <v>45107</v>
      </c>
      <c r="D6867" s="1" t="s">
        <v>256</v>
      </c>
      <c r="E6867" s="1" t="s">
        <v>33</v>
      </c>
      <c r="F6867" s="1" t="s">
        <v>209</v>
      </c>
      <c r="G6867" s="5">
        <v>383.7</v>
      </c>
    </row>
    <row r="6868" spans="1:7" x14ac:dyDescent="0.2">
      <c r="A6868" s="3">
        <v>70</v>
      </c>
      <c r="B6868" s="2">
        <v>26859</v>
      </c>
      <c r="C6868" s="38">
        <v>44938</v>
      </c>
      <c r="D6868" s="1" t="s">
        <v>256</v>
      </c>
      <c r="E6868" s="1" t="s">
        <v>33</v>
      </c>
      <c r="F6868" s="1" t="s">
        <v>209</v>
      </c>
      <c r="G6868" s="5">
        <v>383.7</v>
      </c>
    </row>
    <row r="6869" spans="1:7" x14ac:dyDescent="0.2">
      <c r="A6869" s="3">
        <v>70</v>
      </c>
      <c r="B6869" s="2">
        <v>26859</v>
      </c>
      <c r="C6869" s="38">
        <v>44938</v>
      </c>
      <c r="D6869" s="1" t="s">
        <v>256</v>
      </c>
      <c r="E6869" s="1" t="s">
        <v>33</v>
      </c>
      <c r="F6869" s="1" t="s">
        <v>209</v>
      </c>
      <c r="G6869" s="5">
        <v>383.7</v>
      </c>
    </row>
    <row r="6870" spans="1:7" x14ac:dyDescent="0.2">
      <c r="A6870" s="3">
        <v>-2184</v>
      </c>
      <c r="B6870" s="2">
        <v>-492077.04</v>
      </c>
      <c r="C6870" s="38">
        <v>44680</v>
      </c>
      <c r="D6870" s="1" t="s">
        <v>349</v>
      </c>
      <c r="E6870" s="1" t="s">
        <v>33</v>
      </c>
      <c r="F6870" s="1" t="s">
        <v>210</v>
      </c>
      <c r="G6870" s="5">
        <v>225.31</v>
      </c>
    </row>
    <row r="6871" spans="1:7" x14ac:dyDescent="0.2">
      <c r="A6871" s="3">
        <v>-1092</v>
      </c>
      <c r="B6871" s="2">
        <v>-246038.52</v>
      </c>
      <c r="C6871" s="38">
        <v>44680</v>
      </c>
      <c r="D6871" s="1" t="s">
        <v>349</v>
      </c>
      <c r="E6871" s="1" t="s">
        <v>33</v>
      </c>
      <c r="F6871" s="1" t="s">
        <v>210</v>
      </c>
      <c r="G6871" s="5">
        <v>225.31</v>
      </c>
    </row>
    <row r="6872" spans="1:7" x14ac:dyDescent="0.2">
      <c r="A6872" s="3">
        <v>-2772</v>
      </c>
      <c r="B6872" s="2">
        <v>-624559.31999999995</v>
      </c>
      <c r="C6872" s="38">
        <v>44680</v>
      </c>
      <c r="D6872" s="1" t="s">
        <v>349</v>
      </c>
      <c r="E6872" s="1" t="s">
        <v>33</v>
      </c>
      <c r="F6872" s="1" t="s">
        <v>210</v>
      </c>
      <c r="G6872" s="5">
        <v>225.31</v>
      </c>
    </row>
    <row r="6873" spans="1:7" x14ac:dyDescent="0.2">
      <c r="A6873" s="3">
        <v>1820</v>
      </c>
      <c r="B6873" s="2">
        <v>4313.3999999999996</v>
      </c>
      <c r="C6873" s="38">
        <v>44712</v>
      </c>
      <c r="D6873" s="1" t="s">
        <v>250</v>
      </c>
      <c r="E6873" s="1" t="s">
        <v>33</v>
      </c>
      <c r="F6873" s="1" t="s">
        <v>210</v>
      </c>
      <c r="G6873" s="5">
        <v>2.37</v>
      </c>
    </row>
    <row r="6874" spans="1:7" x14ac:dyDescent="0.2">
      <c r="A6874" s="3">
        <v>14</v>
      </c>
      <c r="B6874" s="2">
        <v>78886.5</v>
      </c>
      <c r="C6874" s="38">
        <v>44565</v>
      </c>
      <c r="D6874" s="1" t="s">
        <v>364</v>
      </c>
      <c r="E6874" s="1" t="s">
        <v>33</v>
      </c>
      <c r="F6874" s="1" t="s">
        <v>210</v>
      </c>
      <c r="G6874" s="5">
        <v>5634.75</v>
      </c>
    </row>
    <row r="6875" spans="1:7" x14ac:dyDescent="0.2">
      <c r="A6875" s="3">
        <v>1500</v>
      </c>
      <c r="B6875" s="2">
        <v>1725</v>
      </c>
      <c r="C6875" s="38">
        <v>44651</v>
      </c>
      <c r="D6875" s="1" t="s">
        <v>261</v>
      </c>
      <c r="E6875" s="1" t="s">
        <v>33</v>
      </c>
      <c r="F6875" s="1" t="s">
        <v>210</v>
      </c>
      <c r="G6875" s="5">
        <v>1.1499999999999999</v>
      </c>
    </row>
    <row r="6876" spans="1:7" x14ac:dyDescent="0.2">
      <c r="A6876" s="3">
        <v>2000</v>
      </c>
      <c r="B6876" s="2">
        <v>185940</v>
      </c>
      <c r="C6876" s="38">
        <v>44651</v>
      </c>
      <c r="D6876" s="1" t="s">
        <v>266</v>
      </c>
      <c r="E6876" s="1" t="s">
        <v>33</v>
      </c>
      <c r="F6876" s="1" t="s">
        <v>210</v>
      </c>
      <c r="G6876" s="5">
        <v>92.97</v>
      </c>
    </row>
    <row r="6877" spans="1:7" x14ac:dyDescent="0.2">
      <c r="A6877" s="3">
        <v>2382</v>
      </c>
      <c r="B6877" s="2">
        <v>221454.54</v>
      </c>
      <c r="C6877" s="38">
        <v>44651</v>
      </c>
      <c r="D6877" s="1" t="s">
        <v>266</v>
      </c>
      <c r="E6877" s="1" t="s">
        <v>33</v>
      </c>
      <c r="F6877" s="1" t="s">
        <v>210</v>
      </c>
      <c r="G6877" s="5">
        <v>92.97</v>
      </c>
    </row>
    <row r="6878" spans="1:7" x14ac:dyDescent="0.2">
      <c r="A6878" s="3">
        <v>3276</v>
      </c>
      <c r="B6878" s="2">
        <v>738115.56</v>
      </c>
      <c r="C6878" s="38">
        <v>44651</v>
      </c>
      <c r="D6878" s="1" t="s">
        <v>349</v>
      </c>
      <c r="E6878" s="1" t="s">
        <v>33</v>
      </c>
      <c r="F6878" s="1" t="s">
        <v>210</v>
      </c>
      <c r="G6878" s="5">
        <v>225.31</v>
      </c>
    </row>
    <row r="6879" spans="1:7" x14ac:dyDescent="0.2">
      <c r="A6879" s="3">
        <v>2772</v>
      </c>
      <c r="B6879" s="2">
        <v>624559.31999999995</v>
      </c>
      <c r="C6879" s="38">
        <v>44651</v>
      </c>
      <c r="D6879" s="1" t="s">
        <v>349</v>
      </c>
      <c r="E6879" s="1" t="s">
        <v>33</v>
      </c>
      <c r="F6879" s="1" t="s">
        <v>210</v>
      </c>
      <c r="G6879" s="5">
        <v>225.31</v>
      </c>
    </row>
    <row r="6880" spans="1:7" x14ac:dyDescent="0.2">
      <c r="A6880" s="3">
        <v>2</v>
      </c>
      <c r="B6880" s="2">
        <v>9015.6</v>
      </c>
      <c r="C6880" s="38">
        <v>44720</v>
      </c>
      <c r="D6880" s="1" t="s">
        <v>324</v>
      </c>
      <c r="E6880" s="1" t="s">
        <v>33</v>
      </c>
      <c r="F6880" s="1" t="s">
        <v>210</v>
      </c>
      <c r="G6880" s="5">
        <v>4507.8</v>
      </c>
    </row>
    <row r="6881" spans="1:7" x14ac:dyDescent="0.2">
      <c r="A6881" s="3">
        <v>210</v>
      </c>
      <c r="B6881" s="2">
        <v>946638</v>
      </c>
      <c r="C6881" s="38">
        <v>44720</v>
      </c>
      <c r="D6881" s="1" t="s">
        <v>324</v>
      </c>
      <c r="E6881" s="1" t="s">
        <v>33</v>
      </c>
      <c r="F6881" s="1" t="s">
        <v>210</v>
      </c>
      <c r="G6881" s="5">
        <v>4507.8</v>
      </c>
    </row>
    <row r="6882" spans="1:7" x14ac:dyDescent="0.2">
      <c r="A6882" s="3">
        <v>205</v>
      </c>
      <c r="B6882" s="2">
        <v>14319.25</v>
      </c>
      <c r="C6882" s="38">
        <v>44952</v>
      </c>
      <c r="D6882" s="1" t="s">
        <v>301</v>
      </c>
      <c r="E6882" s="1" t="s">
        <v>33</v>
      </c>
      <c r="F6882" s="1" t="s">
        <v>210</v>
      </c>
      <c r="G6882" s="5">
        <v>69.849999999999994</v>
      </c>
    </row>
    <row r="6883" spans="1:7" x14ac:dyDescent="0.2">
      <c r="A6883" s="3">
        <v>1176</v>
      </c>
      <c r="B6883" s="2">
        <v>963849.6</v>
      </c>
      <c r="C6883" s="38">
        <v>44663</v>
      </c>
      <c r="D6883" s="1" t="s">
        <v>340</v>
      </c>
      <c r="E6883" s="1" t="s">
        <v>33</v>
      </c>
      <c r="F6883" s="1" t="s">
        <v>210</v>
      </c>
      <c r="G6883" s="5">
        <v>819.6</v>
      </c>
    </row>
    <row r="6884" spans="1:7" x14ac:dyDescent="0.2">
      <c r="A6884" s="3">
        <v>2649</v>
      </c>
      <c r="B6884" s="2">
        <v>175416.78</v>
      </c>
      <c r="C6884" s="38">
        <v>44589</v>
      </c>
      <c r="D6884" s="1" t="s">
        <v>301</v>
      </c>
      <c r="E6884" s="1" t="s">
        <v>33</v>
      </c>
      <c r="F6884" s="1" t="s">
        <v>210</v>
      </c>
      <c r="G6884" s="5">
        <v>66.22</v>
      </c>
    </row>
    <row r="6885" spans="1:7" x14ac:dyDescent="0.2">
      <c r="A6885" s="3">
        <v>1650</v>
      </c>
      <c r="B6885" s="2">
        <v>109263</v>
      </c>
      <c r="C6885" s="38">
        <v>44589</v>
      </c>
      <c r="D6885" s="1" t="s">
        <v>301</v>
      </c>
      <c r="E6885" s="1" t="s">
        <v>33</v>
      </c>
      <c r="F6885" s="1" t="s">
        <v>210</v>
      </c>
      <c r="G6885" s="5">
        <v>66.22</v>
      </c>
    </row>
    <row r="6886" spans="1:7" x14ac:dyDescent="0.2">
      <c r="A6886" s="3">
        <v>756</v>
      </c>
      <c r="B6886" s="2">
        <v>372934.8</v>
      </c>
      <c r="C6886" s="38">
        <v>44664</v>
      </c>
      <c r="D6886" s="1" t="s">
        <v>365</v>
      </c>
      <c r="E6886" s="1" t="s">
        <v>33</v>
      </c>
      <c r="F6886" s="1" t="s">
        <v>210</v>
      </c>
      <c r="G6886" s="5">
        <v>493.3</v>
      </c>
    </row>
    <row r="6887" spans="1:7" x14ac:dyDescent="0.2">
      <c r="A6887" s="3">
        <v>33</v>
      </c>
      <c r="B6887" s="2">
        <v>148757.4</v>
      </c>
      <c r="C6887" s="38">
        <v>44687</v>
      </c>
      <c r="D6887" s="1" t="s">
        <v>324</v>
      </c>
      <c r="E6887" s="1" t="s">
        <v>33</v>
      </c>
      <c r="F6887" s="1" t="s">
        <v>210</v>
      </c>
      <c r="G6887" s="5">
        <v>4507.8</v>
      </c>
    </row>
    <row r="6888" spans="1:7" x14ac:dyDescent="0.2">
      <c r="A6888" s="3">
        <v>1500</v>
      </c>
      <c r="B6888" s="2">
        <v>1725</v>
      </c>
      <c r="C6888" s="38">
        <v>44734</v>
      </c>
      <c r="D6888" s="1" t="s">
        <v>261</v>
      </c>
      <c r="E6888" s="1" t="s">
        <v>33</v>
      </c>
      <c r="F6888" s="1" t="s">
        <v>210</v>
      </c>
      <c r="G6888" s="5">
        <v>1.1499999999999999</v>
      </c>
    </row>
    <row r="6889" spans="1:7" x14ac:dyDescent="0.2">
      <c r="A6889" s="3">
        <v>3000</v>
      </c>
      <c r="B6889" s="2">
        <v>3720</v>
      </c>
      <c r="C6889" s="38">
        <v>44734</v>
      </c>
      <c r="D6889" s="1" t="s">
        <v>262</v>
      </c>
      <c r="E6889" s="1" t="s">
        <v>33</v>
      </c>
      <c r="F6889" s="1" t="s">
        <v>210</v>
      </c>
      <c r="G6889" s="5">
        <v>1.24</v>
      </c>
    </row>
    <row r="6890" spans="1:7" x14ac:dyDescent="0.2">
      <c r="A6890" s="3">
        <v>12096</v>
      </c>
      <c r="B6890" s="2">
        <v>28667.52</v>
      </c>
      <c r="C6890" s="38">
        <v>45103</v>
      </c>
      <c r="D6890" s="1" t="s">
        <v>366</v>
      </c>
      <c r="E6890" s="1" t="s">
        <v>33</v>
      </c>
      <c r="F6890" s="1" t="s">
        <v>207</v>
      </c>
      <c r="G6890" s="5">
        <v>2.37</v>
      </c>
    </row>
    <row r="6891" spans="1:7" x14ac:dyDescent="0.2">
      <c r="A6891" s="3">
        <v>160</v>
      </c>
      <c r="B6891" s="2">
        <v>72113.600000000006</v>
      </c>
      <c r="C6891" s="38">
        <v>45033</v>
      </c>
      <c r="D6891" s="1" t="s">
        <v>240</v>
      </c>
      <c r="E6891" s="1" t="s">
        <v>33</v>
      </c>
      <c r="F6891" s="1" t="s">
        <v>207</v>
      </c>
      <c r="G6891" s="5">
        <v>450.71</v>
      </c>
    </row>
    <row r="6892" spans="1:7" x14ac:dyDescent="0.2">
      <c r="A6892" s="3">
        <v>1004</v>
      </c>
      <c r="B6892" s="2">
        <v>169023.4</v>
      </c>
      <c r="C6892" s="38">
        <v>44692</v>
      </c>
      <c r="D6892" s="1" t="s">
        <v>300</v>
      </c>
      <c r="E6892" s="1" t="s">
        <v>33</v>
      </c>
      <c r="F6892" s="1" t="s">
        <v>210</v>
      </c>
      <c r="G6892" s="5">
        <v>168.35</v>
      </c>
    </row>
    <row r="6893" spans="1:7" x14ac:dyDescent="0.2">
      <c r="A6893" s="3">
        <v>756</v>
      </c>
      <c r="B6893" s="2">
        <v>619617.6</v>
      </c>
      <c r="C6893" s="38">
        <v>44692</v>
      </c>
      <c r="D6893" s="1" t="s">
        <v>340</v>
      </c>
      <c r="E6893" s="1" t="s">
        <v>33</v>
      </c>
      <c r="F6893" s="1" t="s">
        <v>210</v>
      </c>
      <c r="G6893" s="5">
        <v>819.6</v>
      </c>
    </row>
    <row r="6894" spans="1:7" x14ac:dyDescent="0.2">
      <c r="A6894" s="3">
        <v>2184</v>
      </c>
      <c r="B6894" s="2">
        <v>492077.04</v>
      </c>
      <c r="C6894" s="38">
        <v>44680</v>
      </c>
      <c r="D6894" s="1" t="s">
        <v>349</v>
      </c>
      <c r="E6894" s="1" t="s">
        <v>33</v>
      </c>
      <c r="F6894" s="1" t="s">
        <v>210</v>
      </c>
      <c r="G6894" s="5">
        <v>225.31</v>
      </c>
    </row>
    <row r="6895" spans="1:7" x14ac:dyDescent="0.2">
      <c r="A6895" s="3">
        <v>1092</v>
      </c>
      <c r="B6895" s="2">
        <v>246038.52</v>
      </c>
      <c r="C6895" s="38">
        <v>44680</v>
      </c>
      <c r="D6895" s="1" t="s">
        <v>349</v>
      </c>
      <c r="E6895" s="1" t="s">
        <v>33</v>
      </c>
      <c r="F6895" s="1" t="s">
        <v>210</v>
      </c>
      <c r="G6895" s="5">
        <v>225.31</v>
      </c>
    </row>
    <row r="6896" spans="1:7" x14ac:dyDescent="0.2">
      <c r="A6896" s="3">
        <v>2772</v>
      </c>
      <c r="B6896" s="2">
        <v>624559.31999999995</v>
      </c>
      <c r="C6896" s="38">
        <v>44680</v>
      </c>
      <c r="D6896" s="1" t="s">
        <v>349</v>
      </c>
      <c r="E6896" s="1" t="s">
        <v>33</v>
      </c>
      <c r="F6896" s="1" t="s">
        <v>210</v>
      </c>
      <c r="G6896" s="5">
        <v>225.31</v>
      </c>
    </row>
    <row r="6897" spans="1:7" x14ac:dyDescent="0.2">
      <c r="A6897" s="3">
        <v>1296</v>
      </c>
      <c r="B6897" s="2">
        <v>139851.35999999999</v>
      </c>
      <c r="C6897" s="38">
        <v>45037</v>
      </c>
      <c r="D6897" s="1" t="s">
        <v>237</v>
      </c>
      <c r="E6897" s="1" t="s">
        <v>33</v>
      </c>
      <c r="F6897" s="1" t="s">
        <v>207</v>
      </c>
      <c r="G6897" s="5">
        <v>107.91</v>
      </c>
    </row>
    <row r="6898" spans="1:7" x14ac:dyDescent="0.2">
      <c r="A6898" s="3">
        <v>220</v>
      </c>
      <c r="B6898" s="2">
        <v>991716</v>
      </c>
      <c r="C6898" s="38">
        <v>44700</v>
      </c>
      <c r="D6898" s="1" t="s">
        <v>324</v>
      </c>
      <c r="E6898" s="1" t="s">
        <v>33</v>
      </c>
      <c r="F6898" s="1" t="s">
        <v>210</v>
      </c>
      <c r="G6898" s="5">
        <v>4507.8</v>
      </c>
    </row>
    <row r="6899" spans="1:7" x14ac:dyDescent="0.2">
      <c r="A6899" s="3">
        <v>930</v>
      </c>
      <c r="B6899" s="2">
        <v>409702.2</v>
      </c>
      <c r="C6899" s="38">
        <v>44704</v>
      </c>
      <c r="D6899" s="1" t="s">
        <v>248</v>
      </c>
      <c r="E6899" s="1" t="s">
        <v>33</v>
      </c>
      <c r="F6899" s="1" t="s">
        <v>210</v>
      </c>
      <c r="G6899" s="5">
        <v>440.54</v>
      </c>
    </row>
    <row r="6900" spans="1:7" x14ac:dyDescent="0.2">
      <c r="A6900" s="3">
        <v>322</v>
      </c>
      <c r="B6900" s="2">
        <v>29936.34</v>
      </c>
      <c r="C6900" s="38">
        <v>44677</v>
      </c>
      <c r="D6900" s="1" t="s">
        <v>266</v>
      </c>
      <c r="E6900" s="1" t="s">
        <v>33</v>
      </c>
      <c r="F6900" s="1" t="s">
        <v>210</v>
      </c>
      <c r="G6900" s="5">
        <v>92.97</v>
      </c>
    </row>
    <row r="6901" spans="1:7" x14ac:dyDescent="0.2">
      <c r="A6901" s="3">
        <v>1500</v>
      </c>
      <c r="B6901" s="2">
        <v>971.85</v>
      </c>
      <c r="C6901" s="38">
        <v>44811</v>
      </c>
      <c r="D6901" s="1" t="s">
        <v>263</v>
      </c>
      <c r="E6901" s="1" t="s">
        <v>33</v>
      </c>
      <c r="F6901" s="1" t="s">
        <v>210</v>
      </c>
      <c r="G6901" s="5">
        <v>0.64790000000000003</v>
      </c>
    </row>
    <row r="6902" spans="1:7" x14ac:dyDescent="0.2">
      <c r="A6902" s="3">
        <v>100</v>
      </c>
      <c r="B6902" s="2">
        <v>385088</v>
      </c>
      <c r="C6902" s="38">
        <v>44768</v>
      </c>
      <c r="D6902" s="1" t="s">
        <v>270</v>
      </c>
      <c r="E6902" s="1" t="s">
        <v>33</v>
      </c>
      <c r="F6902" s="1" t="s">
        <v>210</v>
      </c>
      <c r="G6902" s="5">
        <v>3850.88</v>
      </c>
    </row>
    <row r="6903" spans="1:7" x14ac:dyDescent="0.2">
      <c r="A6903" s="3">
        <v>1500</v>
      </c>
      <c r="B6903" s="2">
        <v>971.85</v>
      </c>
      <c r="C6903" s="38">
        <v>44826</v>
      </c>
      <c r="D6903" s="1" t="s">
        <v>263</v>
      </c>
      <c r="E6903" s="1" t="s">
        <v>33</v>
      </c>
      <c r="F6903" s="1" t="s">
        <v>210</v>
      </c>
      <c r="G6903" s="5">
        <v>0.64790000000000003</v>
      </c>
    </row>
    <row r="6904" spans="1:7" x14ac:dyDescent="0.2">
      <c r="A6904" s="3">
        <v>640</v>
      </c>
      <c r="B6904" s="2">
        <v>1614432</v>
      </c>
      <c r="C6904" s="38">
        <v>44862</v>
      </c>
      <c r="D6904" s="1" t="s">
        <v>344</v>
      </c>
      <c r="E6904" s="1" t="s">
        <v>33</v>
      </c>
      <c r="F6904" s="1" t="s">
        <v>207</v>
      </c>
      <c r="G6904" s="5">
        <v>2522.5500000000002</v>
      </c>
    </row>
    <row r="6905" spans="1:7" x14ac:dyDescent="0.2">
      <c r="A6905" s="3">
        <v>240</v>
      </c>
      <c r="B6905" s="2">
        <v>69144</v>
      </c>
      <c r="C6905" s="38">
        <v>44862</v>
      </c>
      <c r="D6905" s="1" t="s">
        <v>239</v>
      </c>
      <c r="E6905" s="1" t="s">
        <v>33</v>
      </c>
      <c r="F6905" s="1" t="s">
        <v>207</v>
      </c>
      <c r="G6905" s="5">
        <v>288.10000000000002</v>
      </c>
    </row>
    <row r="6906" spans="1:7" x14ac:dyDescent="0.2">
      <c r="A6906" s="3">
        <v>196</v>
      </c>
      <c r="B6906" s="2">
        <v>750999.48</v>
      </c>
      <c r="C6906" s="38">
        <v>44826</v>
      </c>
      <c r="D6906" s="1" t="s">
        <v>270</v>
      </c>
      <c r="E6906" s="1" t="s">
        <v>33</v>
      </c>
      <c r="F6906" s="1" t="s">
        <v>210</v>
      </c>
      <c r="G6906" s="5">
        <v>3831.63</v>
      </c>
    </row>
    <row r="6907" spans="1:7" x14ac:dyDescent="0.2">
      <c r="A6907" s="3">
        <v>536</v>
      </c>
      <c r="B6907" s="2">
        <v>44423.68</v>
      </c>
      <c r="C6907" s="38">
        <v>44837</v>
      </c>
      <c r="D6907" s="1" t="s">
        <v>321</v>
      </c>
      <c r="E6907" s="1" t="s">
        <v>33</v>
      </c>
      <c r="F6907" s="1" t="s">
        <v>210</v>
      </c>
      <c r="G6907" s="5">
        <v>82.88</v>
      </c>
    </row>
    <row r="6908" spans="1:7" x14ac:dyDescent="0.2">
      <c r="A6908" s="3">
        <v>1500</v>
      </c>
      <c r="B6908" s="2">
        <v>1725</v>
      </c>
      <c r="C6908" s="38">
        <v>44837</v>
      </c>
      <c r="D6908" s="1" t="s">
        <v>261</v>
      </c>
      <c r="E6908" s="1" t="s">
        <v>33</v>
      </c>
      <c r="F6908" s="1" t="s">
        <v>210</v>
      </c>
      <c r="G6908" s="5">
        <v>1.1499999999999999</v>
      </c>
    </row>
    <row r="6909" spans="1:7" x14ac:dyDescent="0.2">
      <c r="A6909" s="3">
        <v>630</v>
      </c>
      <c r="B6909" s="2">
        <v>66383.100000000006</v>
      </c>
      <c r="C6909" s="38">
        <v>44839</v>
      </c>
      <c r="D6909" s="1" t="s">
        <v>350</v>
      </c>
      <c r="E6909" s="1" t="s">
        <v>33</v>
      </c>
      <c r="F6909" s="1" t="s">
        <v>210</v>
      </c>
      <c r="G6909" s="5">
        <v>105.37</v>
      </c>
    </row>
    <row r="6910" spans="1:7" x14ac:dyDescent="0.2">
      <c r="A6910" s="3">
        <v>885</v>
      </c>
      <c r="B6910" s="2">
        <v>93252.45</v>
      </c>
      <c r="C6910" s="38">
        <v>44839</v>
      </c>
      <c r="D6910" s="1" t="s">
        <v>350</v>
      </c>
      <c r="E6910" s="1" t="s">
        <v>33</v>
      </c>
      <c r="F6910" s="1" t="s">
        <v>210</v>
      </c>
      <c r="G6910" s="5">
        <v>105.37</v>
      </c>
    </row>
    <row r="6911" spans="1:7" x14ac:dyDescent="0.2">
      <c r="A6911" s="3">
        <v>1196</v>
      </c>
      <c r="B6911" s="2">
        <v>201346.6</v>
      </c>
      <c r="C6911" s="38">
        <v>44845</v>
      </c>
      <c r="D6911" s="1" t="s">
        <v>300</v>
      </c>
      <c r="E6911" s="1" t="s">
        <v>33</v>
      </c>
      <c r="F6911" s="1" t="s">
        <v>210</v>
      </c>
      <c r="G6911" s="5">
        <v>168.35</v>
      </c>
    </row>
    <row r="6912" spans="1:7" x14ac:dyDescent="0.2">
      <c r="A6912" s="3">
        <v>1196</v>
      </c>
      <c r="B6912" s="2">
        <v>201346.6</v>
      </c>
      <c r="C6912" s="38">
        <v>44845</v>
      </c>
      <c r="D6912" s="1" t="s">
        <v>300</v>
      </c>
      <c r="E6912" s="1" t="s">
        <v>33</v>
      </c>
      <c r="F6912" s="1" t="s">
        <v>210</v>
      </c>
      <c r="G6912" s="5">
        <v>168.35</v>
      </c>
    </row>
    <row r="6913" spans="1:7" x14ac:dyDescent="0.2">
      <c r="A6913" s="3">
        <v>444</v>
      </c>
      <c r="B6913" s="2">
        <v>29401.68</v>
      </c>
      <c r="C6913" s="38">
        <v>44846</v>
      </c>
      <c r="D6913" s="1" t="s">
        <v>301</v>
      </c>
      <c r="E6913" s="1" t="s">
        <v>33</v>
      </c>
      <c r="F6913" s="1" t="s">
        <v>210</v>
      </c>
      <c r="G6913" s="5">
        <v>66.22</v>
      </c>
    </row>
    <row r="6914" spans="1:7" x14ac:dyDescent="0.2">
      <c r="A6914" s="3">
        <v>80</v>
      </c>
      <c r="B6914" s="2">
        <v>6630.4</v>
      </c>
      <c r="C6914" s="38">
        <v>44748</v>
      </c>
      <c r="D6914" s="1" t="s">
        <v>321</v>
      </c>
      <c r="E6914" s="1" t="s">
        <v>33</v>
      </c>
      <c r="F6914" s="1" t="s">
        <v>210</v>
      </c>
      <c r="G6914" s="5">
        <v>82.88</v>
      </c>
    </row>
    <row r="6915" spans="1:7" x14ac:dyDescent="0.2">
      <c r="A6915" s="3">
        <v>70</v>
      </c>
      <c r="B6915" s="2">
        <v>269561.59999999998</v>
      </c>
      <c r="C6915" s="38">
        <v>44748</v>
      </c>
      <c r="D6915" s="1" t="s">
        <v>270</v>
      </c>
      <c r="E6915" s="1" t="s">
        <v>33</v>
      </c>
      <c r="F6915" s="1" t="s">
        <v>210</v>
      </c>
      <c r="G6915" s="5">
        <v>3850.88</v>
      </c>
    </row>
    <row r="6916" spans="1:7" x14ac:dyDescent="0.2">
      <c r="A6916" s="3">
        <v>75</v>
      </c>
      <c r="B6916" s="2">
        <v>288816</v>
      </c>
      <c r="C6916" s="38">
        <v>44748</v>
      </c>
      <c r="D6916" s="1" t="s">
        <v>270</v>
      </c>
      <c r="E6916" s="1" t="s">
        <v>33</v>
      </c>
      <c r="F6916" s="1" t="s">
        <v>210</v>
      </c>
      <c r="G6916" s="5">
        <v>3850.88</v>
      </c>
    </row>
    <row r="6917" spans="1:7" x14ac:dyDescent="0.2">
      <c r="A6917" s="3">
        <v>198</v>
      </c>
      <c r="B6917" s="2">
        <v>892544.4</v>
      </c>
      <c r="C6917" s="38">
        <v>44749</v>
      </c>
      <c r="D6917" s="1" t="s">
        <v>324</v>
      </c>
      <c r="E6917" s="1" t="s">
        <v>33</v>
      </c>
      <c r="F6917" s="1" t="s">
        <v>210</v>
      </c>
      <c r="G6917" s="5">
        <v>4507.8</v>
      </c>
    </row>
    <row r="6918" spans="1:7" x14ac:dyDescent="0.2">
      <c r="A6918" s="3">
        <v>1408</v>
      </c>
      <c r="B6918" s="2">
        <v>1157207.04</v>
      </c>
      <c r="C6918" s="38">
        <v>44792</v>
      </c>
      <c r="D6918" s="1" t="s">
        <v>323</v>
      </c>
      <c r="E6918" s="1" t="s">
        <v>33</v>
      </c>
      <c r="F6918" s="1" t="s">
        <v>210</v>
      </c>
      <c r="G6918" s="5">
        <v>821.88</v>
      </c>
    </row>
    <row r="6919" spans="1:7" x14ac:dyDescent="0.2">
      <c r="A6919" s="3">
        <v>266</v>
      </c>
      <c r="B6919" s="2">
        <v>17614.52</v>
      </c>
      <c r="C6919" s="38">
        <v>44911</v>
      </c>
      <c r="D6919" s="1" t="s">
        <v>301</v>
      </c>
      <c r="E6919" s="1" t="s">
        <v>33</v>
      </c>
      <c r="F6919" s="1" t="s">
        <v>210</v>
      </c>
      <c r="G6919" s="5">
        <v>66.22</v>
      </c>
    </row>
    <row r="6920" spans="1:7" x14ac:dyDescent="0.2">
      <c r="A6920" s="3">
        <v>288</v>
      </c>
      <c r="B6920" s="2">
        <v>56557.440000000002</v>
      </c>
      <c r="C6920" s="38">
        <v>44756</v>
      </c>
      <c r="D6920" s="1" t="s">
        <v>297</v>
      </c>
      <c r="E6920" s="1" t="s">
        <v>33</v>
      </c>
      <c r="F6920" s="1" t="s">
        <v>210</v>
      </c>
      <c r="G6920" s="5">
        <v>196.38</v>
      </c>
    </row>
    <row r="6921" spans="1:7" x14ac:dyDescent="0.2">
      <c r="A6921" s="3">
        <v>768</v>
      </c>
      <c r="B6921" s="2">
        <v>90516.479999999996</v>
      </c>
      <c r="C6921" s="38">
        <v>44756</v>
      </c>
      <c r="D6921" s="1" t="s">
        <v>347</v>
      </c>
      <c r="E6921" s="1" t="s">
        <v>33</v>
      </c>
      <c r="F6921" s="1" t="s">
        <v>210</v>
      </c>
      <c r="G6921" s="5">
        <v>117.86</v>
      </c>
    </row>
    <row r="6922" spans="1:7" x14ac:dyDescent="0.2">
      <c r="A6922" s="3">
        <v>1320</v>
      </c>
      <c r="B6922" s="2">
        <v>581512.80000000005</v>
      </c>
      <c r="C6922" s="38">
        <v>44924</v>
      </c>
      <c r="D6922" s="1" t="s">
        <v>248</v>
      </c>
      <c r="E6922" s="1" t="s">
        <v>33</v>
      </c>
      <c r="F6922" s="1" t="s">
        <v>210</v>
      </c>
      <c r="G6922" s="5">
        <v>440.54</v>
      </c>
    </row>
    <row r="6923" spans="1:7" x14ac:dyDescent="0.2">
      <c r="A6923" s="3">
        <v>2</v>
      </c>
      <c r="B6923" s="2">
        <v>9015.6</v>
      </c>
      <c r="C6923" s="38">
        <v>44798</v>
      </c>
      <c r="D6923" s="1" t="s">
        <v>324</v>
      </c>
      <c r="E6923" s="1" t="s">
        <v>33</v>
      </c>
      <c r="F6923" s="1" t="s">
        <v>210</v>
      </c>
      <c r="G6923" s="5">
        <v>4507.8</v>
      </c>
    </row>
    <row r="6924" spans="1:7" x14ac:dyDescent="0.2">
      <c r="A6924" s="3">
        <v>252</v>
      </c>
      <c r="B6924" s="2">
        <v>21606.48</v>
      </c>
      <c r="C6924" s="38">
        <v>45167</v>
      </c>
      <c r="D6924" s="1" t="s">
        <v>243</v>
      </c>
      <c r="E6924" s="1" t="s">
        <v>33</v>
      </c>
      <c r="F6924" s="1" t="s">
        <v>210</v>
      </c>
      <c r="G6924" s="5">
        <v>85.74</v>
      </c>
    </row>
    <row r="6925" spans="1:7" x14ac:dyDescent="0.2">
      <c r="A6925" s="3">
        <v>35</v>
      </c>
      <c r="B6925" s="2">
        <v>157773</v>
      </c>
      <c r="C6925" s="38">
        <v>44804</v>
      </c>
      <c r="D6925" s="1" t="s">
        <v>324</v>
      </c>
      <c r="E6925" s="1" t="s">
        <v>33</v>
      </c>
      <c r="F6925" s="1" t="s">
        <v>210</v>
      </c>
      <c r="G6925" s="5">
        <v>4507.8</v>
      </c>
    </row>
    <row r="6926" spans="1:7" x14ac:dyDescent="0.2">
      <c r="A6926" s="3">
        <v>768</v>
      </c>
      <c r="B6926" s="2">
        <v>109524.48</v>
      </c>
      <c r="C6926" s="38">
        <v>44855</v>
      </c>
      <c r="D6926" s="1" t="s">
        <v>347</v>
      </c>
      <c r="E6926" s="1" t="s">
        <v>33</v>
      </c>
      <c r="F6926" s="1" t="s">
        <v>207</v>
      </c>
      <c r="G6926" s="5">
        <v>142.61000000000001</v>
      </c>
    </row>
    <row r="6927" spans="1:7" x14ac:dyDescent="0.2">
      <c r="A6927" s="3">
        <v>870</v>
      </c>
      <c r="B6927" s="2">
        <v>383269.8</v>
      </c>
      <c r="C6927" s="38">
        <v>44862</v>
      </c>
      <c r="D6927" s="1" t="s">
        <v>248</v>
      </c>
      <c r="E6927" s="1" t="s">
        <v>33</v>
      </c>
      <c r="F6927" s="1" t="s">
        <v>210</v>
      </c>
      <c r="G6927" s="5">
        <v>440.54</v>
      </c>
    </row>
    <row r="6928" spans="1:7" x14ac:dyDescent="0.2">
      <c r="A6928" s="3">
        <v>885</v>
      </c>
      <c r="B6928" s="2">
        <v>109704.6</v>
      </c>
      <c r="C6928" s="38">
        <v>44862</v>
      </c>
      <c r="D6928" s="1" t="s">
        <v>351</v>
      </c>
      <c r="E6928" s="1" t="s">
        <v>33</v>
      </c>
      <c r="F6928" s="1" t="s">
        <v>210</v>
      </c>
      <c r="G6928" s="5">
        <v>123.96</v>
      </c>
    </row>
    <row r="6929" spans="1:7" x14ac:dyDescent="0.2">
      <c r="A6929" s="3">
        <v>630</v>
      </c>
      <c r="B6929" s="2">
        <v>78094.8</v>
      </c>
      <c r="C6929" s="38">
        <v>44862</v>
      </c>
      <c r="D6929" s="1" t="s">
        <v>351</v>
      </c>
      <c r="E6929" s="1" t="s">
        <v>33</v>
      </c>
      <c r="F6929" s="1" t="s">
        <v>210</v>
      </c>
      <c r="G6929" s="5">
        <v>123.96</v>
      </c>
    </row>
    <row r="6930" spans="1:7" x14ac:dyDescent="0.2">
      <c r="A6930" s="3">
        <v>1674000</v>
      </c>
      <c r="B6930" s="2">
        <v>2075760</v>
      </c>
      <c r="C6930" s="38">
        <v>45107</v>
      </c>
      <c r="D6930" s="1" t="s">
        <v>360</v>
      </c>
      <c r="E6930" s="1" t="s">
        <v>33</v>
      </c>
      <c r="F6930" s="1" t="s">
        <v>207</v>
      </c>
      <c r="G6930" s="5">
        <v>1.24</v>
      </c>
    </row>
    <row r="6931" spans="1:7" x14ac:dyDescent="0.2">
      <c r="A6931" s="3">
        <v>67500</v>
      </c>
      <c r="B6931" s="2">
        <v>77625</v>
      </c>
      <c r="C6931" s="38">
        <v>45107</v>
      </c>
      <c r="D6931" s="1" t="s">
        <v>342</v>
      </c>
      <c r="E6931" s="1" t="s">
        <v>33</v>
      </c>
      <c r="F6931" s="1" t="s">
        <v>207</v>
      </c>
      <c r="G6931" s="5">
        <v>1.1499999999999999</v>
      </c>
    </row>
    <row r="6932" spans="1:7" x14ac:dyDescent="0.2">
      <c r="A6932" s="3">
        <v>48000</v>
      </c>
      <c r="B6932" s="2">
        <v>49920</v>
      </c>
      <c r="C6932" s="38">
        <v>45107</v>
      </c>
      <c r="D6932" s="1" t="s">
        <v>335</v>
      </c>
      <c r="E6932" s="1" t="s">
        <v>33</v>
      </c>
      <c r="F6932" s="1" t="s">
        <v>207</v>
      </c>
      <c r="G6932" s="5">
        <v>1.04</v>
      </c>
    </row>
    <row r="6933" spans="1:7" x14ac:dyDescent="0.2">
      <c r="A6933" s="3">
        <v>30000</v>
      </c>
      <c r="B6933" s="2">
        <v>13200</v>
      </c>
      <c r="C6933" s="38">
        <v>45107</v>
      </c>
      <c r="D6933" s="1" t="s">
        <v>336</v>
      </c>
      <c r="E6933" s="1" t="s">
        <v>33</v>
      </c>
      <c r="F6933" s="1" t="s">
        <v>207</v>
      </c>
      <c r="G6933" s="5">
        <v>0.44</v>
      </c>
    </row>
    <row r="6934" spans="1:7" x14ac:dyDescent="0.2">
      <c r="A6934" s="3">
        <v>33000</v>
      </c>
      <c r="B6934" s="2">
        <v>69960</v>
      </c>
      <c r="C6934" s="38">
        <v>45107</v>
      </c>
      <c r="D6934" s="1" t="s">
        <v>367</v>
      </c>
      <c r="E6934" s="1" t="s">
        <v>33</v>
      </c>
      <c r="F6934" s="1" t="s">
        <v>207</v>
      </c>
      <c r="G6934" s="5">
        <v>2.12</v>
      </c>
    </row>
    <row r="6935" spans="1:7" x14ac:dyDescent="0.2">
      <c r="A6935" s="3">
        <v>45000</v>
      </c>
      <c r="B6935" s="2">
        <v>69300</v>
      </c>
      <c r="C6935" s="38">
        <v>45107</v>
      </c>
      <c r="D6935" s="1" t="s">
        <v>361</v>
      </c>
      <c r="E6935" s="1" t="s">
        <v>33</v>
      </c>
      <c r="F6935" s="1" t="s">
        <v>207</v>
      </c>
      <c r="G6935" s="5">
        <v>1.54</v>
      </c>
    </row>
    <row r="6936" spans="1:7" x14ac:dyDescent="0.2">
      <c r="A6936" s="3">
        <v>225000</v>
      </c>
      <c r="B6936" s="2">
        <v>420750</v>
      </c>
      <c r="C6936" s="38">
        <v>45107</v>
      </c>
      <c r="D6936" s="1" t="s">
        <v>358</v>
      </c>
      <c r="E6936" s="1" t="s">
        <v>33</v>
      </c>
      <c r="F6936" s="1" t="s">
        <v>207</v>
      </c>
      <c r="G6936" s="5">
        <v>1.87</v>
      </c>
    </row>
    <row r="6937" spans="1:7" x14ac:dyDescent="0.2">
      <c r="A6937" s="3">
        <v>252500</v>
      </c>
      <c r="B6937" s="2">
        <v>391375</v>
      </c>
      <c r="C6937" s="38">
        <v>45107</v>
      </c>
      <c r="D6937" s="1" t="s">
        <v>368</v>
      </c>
      <c r="E6937" s="1" t="s">
        <v>33</v>
      </c>
      <c r="F6937" s="1" t="s">
        <v>207</v>
      </c>
      <c r="G6937" s="5">
        <v>1.55</v>
      </c>
    </row>
    <row r="6938" spans="1:7" x14ac:dyDescent="0.2">
      <c r="A6938" s="3">
        <v>327000</v>
      </c>
      <c r="B6938" s="2">
        <v>765180</v>
      </c>
      <c r="C6938" s="38">
        <v>45107</v>
      </c>
      <c r="D6938" s="1" t="s">
        <v>369</v>
      </c>
      <c r="E6938" s="1" t="s">
        <v>33</v>
      </c>
      <c r="F6938" s="1" t="s">
        <v>207</v>
      </c>
      <c r="G6938" s="5">
        <v>2.34</v>
      </c>
    </row>
    <row r="6939" spans="1:7" x14ac:dyDescent="0.2">
      <c r="A6939" s="3">
        <v>217500</v>
      </c>
      <c r="B6939" s="2">
        <v>369750</v>
      </c>
      <c r="C6939" s="38">
        <v>45107</v>
      </c>
      <c r="D6939" s="1" t="s">
        <v>370</v>
      </c>
      <c r="E6939" s="1" t="s">
        <v>33</v>
      </c>
      <c r="F6939" s="1" t="s">
        <v>207</v>
      </c>
      <c r="G6939" s="5">
        <v>1.7</v>
      </c>
    </row>
    <row r="6940" spans="1:7" x14ac:dyDescent="0.2">
      <c r="A6940" s="3">
        <v>2500</v>
      </c>
      <c r="B6940" s="2">
        <v>9100</v>
      </c>
      <c r="C6940" s="38">
        <v>45107</v>
      </c>
      <c r="D6940" s="1" t="s">
        <v>338</v>
      </c>
      <c r="E6940" s="1" t="s">
        <v>33</v>
      </c>
      <c r="F6940" s="1" t="s">
        <v>207</v>
      </c>
      <c r="G6940" s="5">
        <v>3.64</v>
      </c>
    </row>
    <row r="6941" spans="1:7" x14ac:dyDescent="0.2">
      <c r="A6941" s="3">
        <v>222000</v>
      </c>
      <c r="B6941" s="2">
        <v>699300</v>
      </c>
      <c r="C6941" s="38">
        <v>45107</v>
      </c>
      <c r="D6941" s="1" t="s">
        <v>359</v>
      </c>
      <c r="E6941" s="1" t="s">
        <v>33</v>
      </c>
      <c r="F6941" s="1" t="s">
        <v>207</v>
      </c>
      <c r="G6941" s="5">
        <v>3.15</v>
      </c>
    </row>
    <row r="6942" spans="1:7" x14ac:dyDescent="0.2">
      <c r="A6942" s="3">
        <v>197500</v>
      </c>
      <c r="B6942" s="2">
        <v>750500</v>
      </c>
      <c r="C6942" s="38">
        <v>45107</v>
      </c>
      <c r="D6942" s="1" t="s">
        <v>371</v>
      </c>
      <c r="E6942" s="1" t="s">
        <v>33</v>
      </c>
      <c r="F6942" s="1" t="s">
        <v>207</v>
      </c>
      <c r="G6942" s="5">
        <v>3.8</v>
      </c>
    </row>
    <row r="6943" spans="1:7" x14ac:dyDescent="0.2">
      <c r="A6943" s="3">
        <v>20000</v>
      </c>
      <c r="B6943" s="2">
        <v>291200</v>
      </c>
      <c r="C6943" s="38">
        <v>45107</v>
      </c>
      <c r="D6943" s="1" t="s">
        <v>371</v>
      </c>
      <c r="E6943" s="1" t="s">
        <v>33</v>
      </c>
      <c r="F6943" s="1" t="s">
        <v>207</v>
      </c>
      <c r="G6943" s="5">
        <v>14.56</v>
      </c>
    </row>
    <row r="6944" spans="1:7" x14ac:dyDescent="0.2">
      <c r="A6944" s="3">
        <v>-10164</v>
      </c>
      <c r="B6944" s="2">
        <v>-275342.76</v>
      </c>
      <c r="C6944" s="38">
        <v>45008</v>
      </c>
      <c r="D6944" s="1" t="s">
        <v>235</v>
      </c>
      <c r="E6944" s="1" t="s">
        <v>34</v>
      </c>
      <c r="F6944" s="1" t="s">
        <v>201</v>
      </c>
      <c r="G6944" s="5">
        <v>27.09</v>
      </c>
    </row>
    <row r="6945" spans="1:7" x14ac:dyDescent="0.2">
      <c r="A6945" s="3">
        <v>-31724</v>
      </c>
      <c r="B6945" s="2">
        <v>-859403.16</v>
      </c>
      <c r="C6945" s="38">
        <v>45008</v>
      </c>
      <c r="D6945" s="1" t="s">
        <v>235</v>
      </c>
      <c r="E6945" s="1" t="s">
        <v>34</v>
      </c>
      <c r="F6945" s="1" t="s">
        <v>201</v>
      </c>
      <c r="G6945" s="5">
        <v>27.09</v>
      </c>
    </row>
    <row r="6946" spans="1:7" x14ac:dyDescent="0.2">
      <c r="A6946" s="3">
        <v>-43120</v>
      </c>
      <c r="B6946" s="2">
        <v>-1168120.8</v>
      </c>
      <c r="C6946" s="38">
        <v>45008</v>
      </c>
      <c r="D6946" s="1" t="s">
        <v>235</v>
      </c>
      <c r="E6946" s="1" t="s">
        <v>34</v>
      </c>
      <c r="F6946" s="1" t="s">
        <v>201</v>
      </c>
      <c r="G6946" s="5">
        <v>27.09</v>
      </c>
    </row>
    <row r="6947" spans="1:7" x14ac:dyDescent="0.2">
      <c r="A6947" s="3">
        <v>-11088</v>
      </c>
      <c r="B6947" s="2">
        <v>-300373.92</v>
      </c>
      <c r="C6947" s="38">
        <v>45008</v>
      </c>
      <c r="D6947" s="1" t="s">
        <v>235</v>
      </c>
      <c r="E6947" s="1" t="s">
        <v>34</v>
      </c>
      <c r="F6947" s="1" t="s">
        <v>201</v>
      </c>
      <c r="G6947" s="5">
        <v>27.09</v>
      </c>
    </row>
    <row r="6948" spans="1:7" x14ac:dyDescent="0.2">
      <c r="A6948" s="3">
        <v>-9548</v>
      </c>
      <c r="B6948" s="2">
        <v>-258655.32</v>
      </c>
      <c r="C6948" s="38">
        <v>45008</v>
      </c>
      <c r="D6948" s="1" t="s">
        <v>235</v>
      </c>
      <c r="E6948" s="1" t="s">
        <v>34</v>
      </c>
      <c r="F6948" s="1" t="s">
        <v>201</v>
      </c>
      <c r="G6948" s="5">
        <v>27.09</v>
      </c>
    </row>
    <row r="6949" spans="1:7" x14ac:dyDescent="0.2">
      <c r="A6949" s="3">
        <v>-15708</v>
      </c>
      <c r="B6949" s="2">
        <v>-425529.72</v>
      </c>
      <c r="C6949" s="38">
        <v>45008</v>
      </c>
      <c r="D6949" s="1" t="s">
        <v>235</v>
      </c>
      <c r="E6949" s="1" t="s">
        <v>34</v>
      </c>
      <c r="F6949" s="1" t="s">
        <v>201</v>
      </c>
      <c r="G6949" s="5">
        <v>27.09</v>
      </c>
    </row>
    <row r="6950" spans="1:7" x14ac:dyDescent="0.2">
      <c r="A6950" s="3">
        <v>-10780</v>
      </c>
      <c r="B6950" s="2">
        <v>-292030.2</v>
      </c>
      <c r="C6950" s="38">
        <v>45008</v>
      </c>
      <c r="D6950" s="1" t="s">
        <v>235</v>
      </c>
      <c r="E6950" s="1" t="s">
        <v>34</v>
      </c>
      <c r="F6950" s="1" t="s">
        <v>201</v>
      </c>
      <c r="G6950" s="5">
        <v>27.09</v>
      </c>
    </row>
    <row r="6951" spans="1:7" x14ac:dyDescent="0.2">
      <c r="A6951" s="3">
        <v>-11396</v>
      </c>
      <c r="B6951" s="2">
        <v>-308717.64</v>
      </c>
      <c r="C6951" s="38">
        <v>45008</v>
      </c>
      <c r="D6951" s="1" t="s">
        <v>235</v>
      </c>
      <c r="E6951" s="1" t="s">
        <v>34</v>
      </c>
      <c r="F6951" s="1" t="s">
        <v>201</v>
      </c>
      <c r="G6951" s="5">
        <v>27.09</v>
      </c>
    </row>
    <row r="6952" spans="1:7" x14ac:dyDescent="0.2">
      <c r="A6952" s="3">
        <v>-1384</v>
      </c>
      <c r="B6952" s="2">
        <v>-22296.240000000002</v>
      </c>
      <c r="C6952" s="38">
        <v>45118</v>
      </c>
      <c r="D6952" s="1" t="s">
        <v>372</v>
      </c>
      <c r="E6952" s="1" t="s">
        <v>35</v>
      </c>
      <c r="F6952" s="1" t="s">
        <v>205</v>
      </c>
      <c r="G6952" s="5">
        <v>16.11</v>
      </c>
    </row>
    <row r="6953" spans="1:7" x14ac:dyDescent="0.2">
      <c r="A6953" s="3">
        <v>-616</v>
      </c>
      <c r="B6953" s="2">
        <v>-322543.76</v>
      </c>
      <c r="C6953" s="38">
        <v>44986</v>
      </c>
      <c r="D6953" s="1" t="s">
        <v>246</v>
      </c>
      <c r="E6953" s="1" t="s">
        <v>36</v>
      </c>
      <c r="F6953" s="1" t="s">
        <v>204</v>
      </c>
      <c r="G6953" s="5">
        <v>523.61</v>
      </c>
    </row>
    <row r="6954" spans="1:7" x14ac:dyDescent="0.2">
      <c r="A6954" s="3">
        <v>-37268</v>
      </c>
      <c r="B6954" s="2">
        <v>-1009590.12</v>
      </c>
      <c r="C6954" s="38">
        <v>45009</v>
      </c>
      <c r="D6954" s="1" t="s">
        <v>235</v>
      </c>
      <c r="E6954" s="1" t="s">
        <v>34</v>
      </c>
      <c r="F6954" s="1" t="s">
        <v>201</v>
      </c>
      <c r="G6954" s="5">
        <v>27.09</v>
      </c>
    </row>
    <row r="6955" spans="1:7" x14ac:dyDescent="0.2">
      <c r="A6955" s="3">
        <v>-735</v>
      </c>
      <c r="B6955" s="2">
        <v>-547347.15</v>
      </c>
      <c r="C6955" s="38">
        <v>45084</v>
      </c>
      <c r="D6955" s="1" t="s">
        <v>259</v>
      </c>
      <c r="E6955" s="1" t="s">
        <v>36</v>
      </c>
      <c r="F6955" s="1" t="s">
        <v>204</v>
      </c>
      <c r="G6955" s="5">
        <v>744.69</v>
      </c>
    </row>
    <row r="6956" spans="1:7" x14ac:dyDescent="0.2">
      <c r="A6956" s="3">
        <v>-17248</v>
      </c>
      <c r="B6956" s="2">
        <v>-467248.32</v>
      </c>
      <c r="C6956" s="38">
        <v>45009</v>
      </c>
      <c r="D6956" s="1" t="s">
        <v>235</v>
      </c>
      <c r="E6956" s="1" t="s">
        <v>34</v>
      </c>
      <c r="F6956" s="1" t="s">
        <v>201</v>
      </c>
      <c r="G6956" s="5">
        <v>27.09</v>
      </c>
    </row>
    <row r="6957" spans="1:7" x14ac:dyDescent="0.2">
      <c r="A6957" s="3">
        <v>-23716</v>
      </c>
      <c r="B6957" s="2">
        <v>-642466.43999999994</v>
      </c>
      <c r="C6957" s="38">
        <v>45009</v>
      </c>
      <c r="D6957" s="1" t="s">
        <v>235</v>
      </c>
      <c r="E6957" s="1" t="s">
        <v>34</v>
      </c>
      <c r="F6957" s="1" t="s">
        <v>201</v>
      </c>
      <c r="G6957" s="5">
        <v>27.09</v>
      </c>
    </row>
    <row r="6958" spans="1:7" x14ac:dyDescent="0.2">
      <c r="A6958" s="3">
        <v>-33880</v>
      </c>
      <c r="B6958" s="2">
        <v>-917809.2</v>
      </c>
      <c r="C6958" s="38">
        <v>45009</v>
      </c>
      <c r="D6958" s="1" t="s">
        <v>235</v>
      </c>
      <c r="E6958" s="1" t="s">
        <v>34</v>
      </c>
      <c r="F6958" s="1" t="s">
        <v>201</v>
      </c>
      <c r="G6958" s="5">
        <v>27.09</v>
      </c>
    </row>
    <row r="6959" spans="1:7" x14ac:dyDescent="0.2">
      <c r="A6959" s="3">
        <v>-294</v>
      </c>
      <c r="B6959" s="2">
        <v>-218938.86</v>
      </c>
      <c r="C6959" s="38">
        <v>45085</v>
      </c>
      <c r="D6959" s="1" t="s">
        <v>259</v>
      </c>
      <c r="E6959" s="1" t="s">
        <v>36</v>
      </c>
      <c r="F6959" s="1" t="s">
        <v>204</v>
      </c>
      <c r="G6959" s="5">
        <v>744.69</v>
      </c>
    </row>
    <row r="6960" spans="1:7" x14ac:dyDescent="0.2">
      <c r="A6960" s="3">
        <v>-30800</v>
      </c>
      <c r="B6960" s="2">
        <v>-834372</v>
      </c>
      <c r="C6960" s="38">
        <v>45009</v>
      </c>
      <c r="D6960" s="1" t="s">
        <v>235</v>
      </c>
      <c r="E6960" s="1" t="s">
        <v>34</v>
      </c>
      <c r="F6960" s="1" t="s">
        <v>201</v>
      </c>
      <c r="G6960" s="5">
        <v>27.09</v>
      </c>
    </row>
    <row r="6961" spans="1:7" x14ac:dyDescent="0.2">
      <c r="A6961" s="3">
        <v>-3969</v>
      </c>
      <c r="B6961" s="2">
        <v>-9724.0499999999993</v>
      </c>
      <c r="C6961" s="38">
        <v>45117</v>
      </c>
      <c r="D6961" s="1" t="s">
        <v>373</v>
      </c>
      <c r="E6961" s="1" t="s">
        <v>35</v>
      </c>
      <c r="F6961" s="1" t="s">
        <v>205</v>
      </c>
      <c r="G6961" s="5">
        <v>2.4500000000000002</v>
      </c>
    </row>
    <row r="6962" spans="1:7" x14ac:dyDescent="0.2">
      <c r="A6962" s="3">
        <v>-20000</v>
      </c>
      <c r="B6962" s="2" t="s">
        <v>13</v>
      </c>
      <c r="C6962" s="38">
        <v>44652</v>
      </c>
      <c r="D6962" s="1" t="s">
        <v>371</v>
      </c>
      <c r="E6962" s="1" t="s">
        <v>34</v>
      </c>
      <c r="F6962" s="1" t="s">
        <v>213</v>
      </c>
      <c r="G6962" s="5" t="s">
        <v>13</v>
      </c>
    </row>
    <row r="6963" spans="1:7" x14ac:dyDescent="0.2">
      <c r="A6963" s="3">
        <v>-35</v>
      </c>
      <c r="B6963" s="2">
        <v>-197216.25</v>
      </c>
      <c r="C6963" s="38">
        <v>44628</v>
      </c>
      <c r="D6963" s="1" t="s">
        <v>364</v>
      </c>
      <c r="E6963" s="1" t="s">
        <v>37</v>
      </c>
      <c r="F6963" s="1" t="s">
        <v>214</v>
      </c>
      <c r="G6963" s="5">
        <v>5634.75</v>
      </c>
    </row>
    <row r="6964" spans="1:7" x14ac:dyDescent="0.2">
      <c r="A6964" s="3">
        <v>-3430</v>
      </c>
      <c r="B6964" s="2">
        <v>-1475.93</v>
      </c>
      <c r="C6964" s="38">
        <v>44692</v>
      </c>
      <c r="D6964" s="1" t="s">
        <v>273</v>
      </c>
      <c r="E6964" s="1" t="s">
        <v>38</v>
      </c>
      <c r="F6964" s="1" t="s">
        <v>202</v>
      </c>
      <c r="G6964" s="5">
        <v>0.43030000000000002</v>
      </c>
    </row>
    <row r="6965" spans="1:7" x14ac:dyDescent="0.2">
      <c r="A6965" s="3">
        <v>-4000</v>
      </c>
      <c r="B6965" s="2">
        <v>-5480</v>
      </c>
      <c r="C6965" s="38">
        <v>45042</v>
      </c>
      <c r="D6965" s="1" t="s">
        <v>308</v>
      </c>
      <c r="E6965" s="1" t="s">
        <v>39</v>
      </c>
      <c r="F6965" s="1" t="s">
        <v>212</v>
      </c>
      <c r="G6965" s="5">
        <v>1.37</v>
      </c>
    </row>
    <row r="6966" spans="1:7" x14ac:dyDescent="0.2">
      <c r="A6966" s="3">
        <v>-4000</v>
      </c>
      <c r="B6966" s="2">
        <v>-4560</v>
      </c>
      <c r="C6966" s="38">
        <v>44692</v>
      </c>
      <c r="D6966" s="1" t="s">
        <v>353</v>
      </c>
      <c r="E6966" s="1" t="s">
        <v>38</v>
      </c>
      <c r="F6966" s="1" t="s">
        <v>202</v>
      </c>
      <c r="G6966" s="5">
        <v>1.1399999999999999</v>
      </c>
    </row>
    <row r="6967" spans="1:7" x14ac:dyDescent="0.2">
      <c r="A6967" s="3">
        <v>-84</v>
      </c>
      <c r="B6967" s="2">
        <v>-35363.160000000003</v>
      </c>
      <c r="C6967" s="38">
        <v>44692</v>
      </c>
      <c r="D6967" s="1" t="s">
        <v>327</v>
      </c>
      <c r="E6967" s="1" t="s">
        <v>38</v>
      </c>
      <c r="F6967" s="1" t="s">
        <v>202</v>
      </c>
      <c r="G6967" s="5">
        <v>420.99</v>
      </c>
    </row>
    <row r="6968" spans="1:7" x14ac:dyDescent="0.2">
      <c r="A6968" s="3">
        <v>-4000</v>
      </c>
      <c r="B6968" s="2">
        <v>-4560</v>
      </c>
      <c r="C6968" s="38">
        <v>44692</v>
      </c>
      <c r="D6968" s="1" t="s">
        <v>353</v>
      </c>
      <c r="E6968" s="1" t="s">
        <v>38</v>
      </c>
      <c r="F6968" s="1" t="s">
        <v>202</v>
      </c>
      <c r="G6968" s="5">
        <v>1.1399999999999999</v>
      </c>
    </row>
    <row r="6969" spans="1:7" x14ac:dyDescent="0.2">
      <c r="A6969" s="3">
        <v>-4000</v>
      </c>
      <c r="B6969" s="2">
        <v>-4560</v>
      </c>
      <c r="C6969" s="38">
        <v>44692</v>
      </c>
      <c r="D6969" s="1" t="s">
        <v>353</v>
      </c>
      <c r="E6969" s="1" t="s">
        <v>38</v>
      </c>
      <c r="F6969" s="1" t="s">
        <v>202</v>
      </c>
      <c r="G6969" s="5">
        <v>1.1399999999999999</v>
      </c>
    </row>
    <row r="6970" spans="1:7" x14ac:dyDescent="0.2">
      <c r="A6970" s="3">
        <v>-4000</v>
      </c>
      <c r="B6970" s="2">
        <v>-4560</v>
      </c>
      <c r="C6970" s="38">
        <v>44692</v>
      </c>
      <c r="D6970" s="1" t="s">
        <v>353</v>
      </c>
      <c r="E6970" s="1" t="s">
        <v>38</v>
      </c>
      <c r="F6970" s="1" t="s">
        <v>202</v>
      </c>
      <c r="G6970" s="5">
        <v>1.1399999999999999</v>
      </c>
    </row>
    <row r="6971" spans="1:7" x14ac:dyDescent="0.2">
      <c r="A6971" s="3">
        <v>-4000</v>
      </c>
      <c r="B6971" s="2">
        <v>-4560</v>
      </c>
      <c r="C6971" s="38">
        <v>44692</v>
      </c>
      <c r="D6971" s="1" t="s">
        <v>353</v>
      </c>
      <c r="E6971" s="1" t="s">
        <v>38</v>
      </c>
      <c r="F6971" s="1" t="s">
        <v>202</v>
      </c>
      <c r="G6971" s="5">
        <v>1.1399999999999999</v>
      </c>
    </row>
    <row r="6972" spans="1:7" x14ac:dyDescent="0.2">
      <c r="A6972" s="3">
        <v>-4000</v>
      </c>
      <c r="B6972" s="2">
        <v>-4560</v>
      </c>
      <c r="C6972" s="38">
        <v>44692</v>
      </c>
      <c r="D6972" s="1" t="s">
        <v>353</v>
      </c>
      <c r="E6972" s="1" t="s">
        <v>38</v>
      </c>
      <c r="F6972" s="1" t="s">
        <v>202</v>
      </c>
      <c r="G6972" s="5">
        <v>1.1399999999999999</v>
      </c>
    </row>
    <row r="6973" spans="1:7" x14ac:dyDescent="0.2">
      <c r="A6973" s="3">
        <v>-2000</v>
      </c>
      <c r="B6973" s="2">
        <v>-2280</v>
      </c>
      <c r="C6973" s="38">
        <v>44692</v>
      </c>
      <c r="D6973" s="1" t="s">
        <v>353</v>
      </c>
      <c r="E6973" s="1" t="s">
        <v>38</v>
      </c>
      <c r="F6973" s="1" t="s">
        <v>202</v>
      </c>
      <c r="G6973" s="5">
        <v>1.1399999999999999</v>
      </c>
    </row>
    <row r="6974" spans="1:7" x14ac:dyDescent="0.2">
      <c r="A6974" s="3">
        <v>-4000</v>
      </c>
      <c r="B6974" s="2">
        <v>-4560</v>
      </c>
      <c r="C6974" s="38">
        <v>44692</v>
      </c>
      <c r="D6974" s="1" t="s">
        <v>353</v>
      </c>
      <c r="E6974" s="1" t="s">
        <v>38</v>
      </c>
      <c r="F6974" s="1" t="s">
        <v>202</v>
      </c>
      <c r="G6974" s="5">
        <v>1.1399999999999999</v>
      </c>
    </row>
    <row r="6975" spans="1:7" x14ac:dyDescent="0.2">
      <c r="A6975" s="3">
        <v>-2000</v>
      </c>
      <c r="B6975" s="2">
        <v>-2280</v>
      </c>
      <c r="C6975" s="38">
        <v>44692</v>
      </c>
      <c r="D6975" s="1" t="s">
        <v>353</v>
      </c>
      <c r="E6975" s="1" t="s">
        <v>38</v>
      </c>
      <c r="F6975" s="1" t="s">
        <v>202</v>
      </c>
      <c r="G6975" s="5">
        <v>1.1399999999999999</v>
      </c>
    </row>
    <row r="6976" spans="1:7" x14ac:dyDescent="0.2">
      <c r="A6976" s="3">
        <v>-2000</v>
      </c>
      <c r="B6976" s="2">
        <v>-2280</v>
      </c>
      <c r="C6976" s="38">
        <v>44692</v>
      </c>
      <c r="D6976" s="1" t="s">
        <v>353</v>
      </c>
      <c r="E6976" s="1" t="s">
        <v>38</v>
      </c>
      <c r="F6976" s="1" t="s">
        <v>202</v>
      </c>
      <c r="G6976" s="5">
        <v>1.1399999999999999</v>
      </c>
    </row>
    <row r="6977" spans="1:7" x14ac:dyDescent="0.2">
      <c r="A6977" s="3">
        <v>-4000</v>
      </c>
      <c r="B6977" s="2">
        <v>-4560</v>
      </c>
      <c r="C6977" s="38">
        <v>44692</v>
      </c>
      <c r="D6977" s="1" t="s">
        <v>353</v>
      </c>
      <c r="E6977" s="1" t="s">
        <v>38</v>
      </c>
      <c r="F6977" s="1" t="s">
        <v>202</v>
      </c>
      <c r="G6977" s="5">
        <v>1.1399999999999999</v>
      </c>
    </row>
    <row r="6978" spans="1:7" x14ac:dyDescent="0.2">
      <c r="A6978" s="3">
        <v>-2000</v>
      </c>
      <c r="B6978" s="2">
        <v>-2280</v>
      </c>
      <c r="C6978" s="38">
        <v>44692</v>
      </c>
      <c r="D6978" s="1" t="s">
        <v>353</v>
      </c>
      <c r="E6978" s="1" t="s">
        <v>38</v>
      </c>
      <c r="F6978" s="1" t="s">
        <v>202</v>
      </c>
      <c r="G6978" s="5">
        <v>1.1399999999999999</v>
      </c>
    </row>
    <row r="6979" spans="1:7" x14ac:dyDescent="0.2">
      <c r="A6979" s="3">
        <v>-20000</v>
      </c>
      <c r="B6979" s="2">
        <v>-60800</v>
      </c>
      <c r="C6979" s="38">
        <v>44700</v>
      </c>
      <c r="D6979" s="1" t="s">
        <v>371</v>
      </c>
      <c r="E6979" s="1" t="s">
        <v>34</v>
      </c>
      <c r="F6979" s="1" t="s">
        <v>213</v>
      </c>
      <c r="G6979" s="5">
        <v>3.04</v>
      </c>
    </row>
    <row r="6980" spans="1:7" x14ac:dyDescent="0.2">
      <c r="A6980" s="3">
        <v>10164</v>
      </c>
      <c r="B6980" s="2">
        <v>273716.52</v>
      </c>
      <c r="C6980" s="38">
        <v>45008</v>
      </c>
      <c r="D6980" s="1" t="s">
        <v>235</v>
      </c>
      <c r="E6980" s="1" t="s">
        <v>34</v>
      </c>
      <c r="F6980" s="1" t="s">
        <v>201</v>
      </c>
      <c r="G6980" s="5">
        <v>26.93</v>
      </c>
    </row>
    <row r="6981" spans="1:7" x14ac:dyDescent="0.2">
      <c r="A6981" s="3">
        <v>31724</v>
      </c>
      <c r="B6981" s="2">
        <v>854327.32</v>
      </c>
      <c r="C6981" s="38">
        <v>45008</v>
      </c>
      <c r="D6981" s="1" t="s">
        <v>235</v>
      </c>
      <c r="E6981" s="1" t="s">
        <v>34</v>
      </c>
      <c r="F6981" s="1" t="s">
        <v>201</v>
      </c>
      <c r="G6981" s="5">
        <v>26.93</v>
      </c>
    </row>
    <row r="6982" spans="1:7" x14ac:dyDescent="0.2">
      <c r="A6982" s="3">
        <v>43120</v>
      </c>
      <c r="B6982" s="2">
        <v>1161221.6000000001</v>
      </c>
      <c r="C6982" s="38">
        <v>45008</v>
      </c>
      <c r="D6982" s="1" t="s">
        <v>235</v>
      </c>
      <c r="E6982" s="1" t="s">
        <v>34</v>
      </c>
      <c r="F6982" s="1" t="s">
        <v>201</v>
      </c>
      <c r="G6982" s="5">
        <v>26.93</v>
      </c>
    </row>
    <row r="6983" spans="1:7" x14ac:dyDescent="0.2">
      <c r="A6983" s="3">
        <v>11088</v>
      </c>
      <c r="B6983" s="2">
        <v>298599.84000000003</v>
      </c>
      <c r="C6983" s="38">
        <v>45008</v>
      </c>
      <c r="D6983" s="1" t="s">
        <v>235</v>
      </c>
      <c r="E6983" s="1" t="s">
        <v>34</v>
      </c>
      <c r="F6983" s="1" t="s">
        <v>201</v>
      </c>
      <c r="G6983" s="5">
        <v>26.93</v>
      </c>
    </row>
    <row r="6984" spans="1:7" x14ac:dyDescent="0.2">
      <c r="A6984" s="3">
        <v>15708</v>
      </c>
      <c r="B6984" s="2">
        <v>423016.44</v>
      </c>
      <c r="C6984" s="38">
        <v>45008</v>
      </c>
      <c r="D6984" s="1" t="s">
        <v>235</v>
      </c>
      <c r="E6984" s="1" t="s">
        <v>34</v>
      </c>
      <c r="F6984" s="1" t="s">
        <v>201</v>
      </c>
      <c r="G6984" s="5">
        <v>26.93</v>
      </c>
    </row>
    <row r="6985" spans="1:7" x14ac:dyDescent="0.2">
      <c r="A6985" s="3">
        <v>9548</v>
      </c>
      <c r="B6985" s="2">
        <v>257127.64</v>
      </c>
      <c r="C6985" s="38">
        <v>45008</v>
      </c>
      <c r="D6985" s="1" t="s">
        <v>235</v>
      </c>
      <c r="E6985" s="1" t="s">
        <v>34</v>
      </c>
      <c r="F6985" s="1" t="s">
        <v>201</v>
      </c>
      <c r="G6985" s="5">
        <v>26.93</v>
      </c>
    </row>
    <row r="6986" spans="1:7" x14ac:dyDescent="0.2">
      <c r="A6986" s="3">
        <v>10780</v>
      </c>
      <c r="B6986" s="2">
        <v>290305.40000000002</v>
      </c>
      <c r="C6986" s="38">
        <v>45008</v>
      </c>
      <c r="D6986" s="1" t="s">
        <v>235</v>
      </c>
      <c r="E6986" s="1" t="s">
        <v>34</v>
      </c>
      <c r="F6986" s="1" t="s">
        <v>201</v>
      </c>
      <c r="G6986" s="5">
        <v>26.93</v>
      </c>
    </row>
    <row r="6987" spans="1:7" x14ac:dyDescent="0.2">
      <c r="A6987" s="3">
        <v>11396</v>
      </c>
      <c r="B6987" s="2">
        <v>306894.28000000003</v>
      </c>
      <c r="C6987" s="38">
        <v>45008</v>
      </c>
      <c r="D6987" s="1" t="s">
        <v>235</v>
      </c>
      <c r="E6987" s="1" t="s">
        <v>34</v>
      </c>
      <c r="F6987" s="1" t="s">
        <v>201</v>
      </c>
      <c r="G6987" s="5">
        <v>26.93</v>
      </c>
    </row>
    <row r="6988" spans="1:7" x14ac:dyDescent="0.2">
      <c r="A6988" s="3">
        <v>33880</v>
      </c>
      <c r="B6988" s="2">
        <v>912388.4</v>
      </c>
      <c r="C6988" s="38">
        <v>45009</v>
      </c>
      <c r="D6988" s="1" t="s">
        <v>235</v>
      </c>
      <c r="E6988" s="1" t="s">
        <v>34</v>
      </c>
      <c r="F6988" s="1" t="s">
        <v>201</v>
      </c>
      <c r="G6988" s="5">
        <v>26.93</v>
      </c>
    </row>
    <row r="6989" spans="1:7" x14ac:dyDescent="0.2">
      <c r="A6989" s="3">
        <v>30800</v>
      </c>
      <c r="B6989" s="2">
        <v>829444</v>
      </c>
      <c r="C6989" s="38">
        <v>45009</v>
      </c>
      <c r="D6989" s="1" t="s">
        <v>235</v>
      </c>
      <c r="E6989" s="1" t="s">
        <v>34</v>
      </c>
      <c r="F6989" s="1" t="s">
        <v>201</v>
      </c>
      <c r="G6989" s="5">
        <v>26.93</v>
      </c>
    </row>
    <row r="6990" spans="1:7" x14ac:dyDescent="0.2">
      <c r="A6990" s="3">
        <v>37268</v>
      </c>
      <c r="B6990" s="2">
        <v>1003627.24</v>
      </c>
      <c r="C6990" s="38">
        <v>45009</v>
      </c>
      <c r="D6990" s="1" t="s">
        <v>235</v>
      </c>
      <c r="E6990" s="1" t="s">
        <v>34</v>
      </c>
      <c r="F6990" s="1" t="s">
        <v>201</v>
      </c>
      <c r="G6990" s="5">
        <v>26.93</v>
      </c>
    </row>
    <row r="6991" spans="1:7" x14ac:dyDescent="0.2">
      <c r="A6991" s="3">
        <v>17248</v>
      </c>
      <c r="B6991" s="2">
        <v>464488.64</v>
      </c>
      <c r="C6991" s="38">
        <v>45009</v>
      </c>
      <c r="D6991" s="1" t="s">
        <v>235</v>
      </c>
      <c r="E6991" s="1" t="s">
        <v>34</v>
      </c>
      <c r="F6991" s="1" t="s">
        <v>201</v>
      </c>
      <c r="G6991" s="5">
        <v>26.93</v>
      </c>
    </row>
    <row r="6992" spans="1:7" x14ac:dyDescent="0.2">
      <c r="A6992" s="3">
        <v>23716</v>
      </c>
      <c r="B6992" s="2">
        <v>638671.88</v>
      </c>
      <c r="C6992" s="38">
        <v>45009</v>
      </c>
      <c r="D6992" s="1" t="s">
        <v>235</v>
      </c>
      <c r="E6992" s="1" t="s">
        <v>34</v>
      </c>
      <c r="F6992" s="1" t="s">
        <v>201</v>
      </c>
      <c r="G6992" s="5">
        <v>26.93</v>
      </c>
    </row>
    <row r="6993" spans="1:7" x14ac:dyDescent="0.2">
      <c r="A6993" s="3">
        <v>616</v>
      </c>
      <c r="B6993" s="2">
        <v>304285.52</v>
      </c>
      <c r="C6993" s="38">
        <v>44986</v>
      </c>
      <c r="D6993" s="1" t="s">
        <v>246</v>
      </c>
      <c r="E6993" s="1" t="s">
        <v>36</v>
      </c>
      <c r="F6993" s="1" t="s">
        <v>204</v>
      </c>
      <c r="G6993" s="5">
        <v>493.97</v>
      </c>
    </row>
    <row r="6994" spans="1:7" x14ac:dyDescent="0.2">
      <c r="A6994" s="3">
        <v>735</v>
      </c>
      <c r="B6994" s="2">
        <v>516366.9</v>
      </c>
      <c r="C6994" s="38">
        <v>45084</v>
      </c>
      <c r="D6994" s="1" t="s">
        <v>259</v>
      </c>
      <c r="E6994" s="1" t="s">
        <v>36</v>
      </c>
      <c r="F6994" s="1" t="s">
        <v>204</v>
      </c>
      <c r="G6994" s="5">
        <v>702.54</v>
      </c>
    </row>
    <row r="6995" spans="1:7" x14ac:dyDescent="0.2">
      <c r="A6995" s="3">
        <v>294</v>
      </c>
      <c r="B6995" s="2">
        <v>206546.76</v>
      </c>
      <c r="C6995" s="38">
        <v>45085</v>
      </c>
      <c r="D6995" s="1" t="s">
        <v>259</v>
      </c>
      <c r="E6995" s="1" t="s">
        <v>36</v>
      </c>
      <c r="F6995" s="1" t="s">
        <v>204</v>
      </c>
      <c r="G6995" s="5">
        <v>702.54</v>
      </c>
    </row>
    <row r="6996" spans="1:7" x14ac:dyDescent="0.2">
      <c r="A6996" s="3">
        <v>3969</v>
      </c>
      <c r="B6996" s="2">
        <v>10240.02</v>
      </c>
      <c r="C6996" s="38">
        <v>45117</v>
      </c>
      <c r="D6996" s="1" t="s">
        <v>373</v>
      </c>
      <c r="E6996" s="1" t="s">
        <v>35</v>
      </c>
      <c r="F6996" s="1" t="s">
        <v>205</v>
      </c>
      <c r="G6996" s="5">
        <v>2.58</v>
      </c>
    </row>
    <row r="6997" spans="1:7" x14ac:dyDescent="0.2">
      <c r="A6997" s="3">
        <v>1384</v>
      </c>
      <c r="B6997" s="2">
        <v>23528</v>
      </c>
      <c r="C6997" s="38">
        <v>45118</v>
      </c>
      <c r="D6997" s="1" t="s">
        <v>372</v>
      </c>
      <c r="E6997" s="1" t="s">
        <v>35</v>
      </c>
      <c r="F6997" s="1" t="s">
        <v>205</v>
      </c>
      <c r="G6997" s="5">
        <v>17</v>
      </c>
    </row>
    <row r="6998" spans="1:7" x14ac:dyDescent="0.2">
      <c r="A6998" s="3">
        <v>4000</v>
      </c>
      <c r="B6998" s="2">
        <v>5360</v>
      </c>
      <c r="C6998" s="38">
        <v>45042</v>
      </c>
      <c r="D6998" s="1" t="s">
        <v>308</v>
      </c>
      <c r="E6998" s="1" t="s">
        <v>39</v>
      </c>
      <c r="F6998" s="1" t="s">
        <v>212</v>
      </c>
      <c r="G6998" s="5">
        <v>1.34</v>
      </c>
    </row>
    <row r="6999" spans="1:7" x14ac:dyDescent="0.2">
      <c r="A6999" s="3">
        <v>3430</v>
      </c>
      <c r="B6999" s="2">
        <v>1475.93</v>
      </c>
      <c r="C6999" s="38">
        <v>44692</v>
      </c>
      <c r="D6999" s="1" t="s">
        <v>273</v>
      </c>
      <c r="E6999" s="1" t="s">
        <v>38</v>
      </c>
      <c r="F6999" s="1" t="s">
        <v>202</v>
      </c>
      <c r="G6999" s="5">
        <v>0.43030000000000002</v>
      </c>
    </row>
    <row r="7000" spans="1:7" x14ac:dyDescent="0.2">
      <c r="A7000" s="3">
        <v>84</v>
      </c>
      <c r="B7000" s="2">
        <v>35363.160000000003</v>
      </c>
      <c r="C7000" s="38">
        <v>44692</v>
      </c>
      <c r="D7000" s="1" t="s">
        <v>327</v>
      </c>
      <c r="E7000" s="1" t="s">
        <v>38</v>
      </c>
      <c r="F7000" s="1" t="s">
        <v>202</v>
      </c>
      <c r="G7000" s="5">
        <v>420.99</v>
      </c>
    </row>
    <row r="7001" spans="1:7" x14ac:dyDescent="0.2">
      <c r="A7001" s="3">
        <v>4000</v>
      </c>
      <c r="B7001" s="2">
        <v>4560</v>
      </c>
      <c r="C7001" s="38">
        <v>44692</v>
      </c>
      <c r="D7001" s="1" t="s">
        <v>353</v>
      </c>
      <c r="E7001" s="1" t="s">
        <v>38</v>
      </c>
      <c r="F7001" s="1" t="s">
        <v>202</v>
      </c>
      <c r="G7001" s="5">
        <v>1.1399999999999999</v>
      </c>
    </row>
    <row r="7002" spans="1:7" x14ac:dyDescent="0.2">
      <c r="A7002" s="3">
        <v>4000</v>
      </c>
      <c r="B7002" s="2">
        <v>4560</v>
      </c>
      <c r="C7002" s="38">
        <v>44692</v>
      </c>
      <c r="D7002" s="1" t="s">
        <v>353</v>
      </c>
      <c r="E7002" s="1" t="s">
        <v>38</v>
      </c>
      <c r="F7002" s="1" t="s">
        <v>202</v>
      </c>
      <c r="G7002" s="5">
        <v>1.1399999999999999</v>
      </c>
    </row>
    <row r="7003" spans="1:7" x14ac:dyDescent="0.2">
      <c r="A7003" s="3">
        <v>4000</v>
      </c>
      <c r="B7003" s="2">
        <v>4560</v>
      </c>
      <c r="C7003" s="38">
        <v>44692</v>
      </c>
      <c r="D7003" s="1" t="s">
        <v>353</v>
      </c>
      <c r="E7003" s="1" t="s">
        <v>38</v>
      </c>
      <c r="F7003" s="1" t="s">
        <v>202</v>
      </c>
      <c r="G7003" s="5">
        <v>1.1399999999999999</v>
      </c>
    </row>
    <row r="7004" spans="1:7" x14ac:dyDescent="0.2">
      <c r="A7004" s="3">
        <v>4000</v>
      </c>
      <c r="B7004" s="2">
        <v>4560</v>
      </c>
      <c r="C7004" s="38">
        <v>44692</v>
      </c>
      <c r="D7004" s="1" t="s">
        <v>353</v>
      </c>
      <c r="E7004" s="1" t="s">
        <v>38</v>
      </c>
      <c r="F7004" s="1" t="s">
        <v>202</v>
      </c>
      <c r="G7004" s="5">
        <v>1.1399999999999999</v>
      </c>
    </row>
    <row r="7005" spans="1:7" x14ac:dyDescent="0.2">
      <c r="A7005" s="3">
        <v>4000</v>
      </c>
      <c r="B7005" s="2">
        <v>4560</v>
      </c>
      <c r="C7005" s="38">
        <v>44692</v>
      </c>
      <c r="D7005" s="1" t="s">
        <v>353</v>
      </c>
      <c r="E7005" s="1" t="s">
        <v>38</v>
      </c>
      <c r="F7005" s="1" t="s">
        <v>202</v>
      </c>
      <c r="G7005" s="5">
        <v>1.1399999999999999</v>
      </c>
    </row>
    <row r="7006" spans="1:7" x14ac:dyDescent="0.2">
      <c r="A7006" s="3">
        <v>4000</v>
      </c>
      <c r="B7006" s="2">
        <v>4560</v>
      </c>
      <c r="C7006" s="38">
        <v>44692</v>
      </c>
      <c r="D7006" s="1" t="s">
        <v>353</v>
      </c>
      <c r="E7006" s="1" t="s">
        <v>38</v>
      </c>
      <c r="F7006" s="1" t="s">
        <v>202</v>
      </c>
      <c r="G7006" s="5">
        <v>1.1399999999999999</v>
      </c>
    </row>
    <row r="7007" spans="1:7" x14ac:dyDescent="0.2">
      <c r="A7007" s="3">
        <v>2000</v>
      </c>
      <c r="B7007" s="2">
        <v>2280</v>
      </c>
      <c r="C7007" s="38">
        <v>44692</v>
      </c>
      <c r="D7007" s="1" t="s">
        <v>353</v>
      </c>
      <c r="E7007" s="1" t="s">
        <v>38</v>
      </c>
      <c r="F7007" s="1" t="s">
        <v>202</v>
      </c>
      <c r="G7007" s="5">
        <v>1.1399999999999999</v>
      </c>
    </row>
    <row r="7008" spans="1:7" x14ac:dyDescent="0.2">
      <c r="A7008" s="3">
        <v>4000</v>
      </c>
      <c r="B7008" s="2">
        <v>4560</v>
      </c>
      <c r="C7008" s="38">
        <v>44692</v>
      </c>
      <c r="D7008" s="1" t="s">
        <v>353</v>
      </c>
      <c r="E7008" s="1" t="s">
        <v>38</v>
      </c>
      <c r="F7008" s="1" t="s">
        <v>202</v>
      </c>
      <c r="G7008" s="5">
        <v>1.1399999999999999</v>
      </c>
    </row>
    <row r="7009" spans="1:7" x14ac:dyDescent="0.2">
      <c r="A7009" s="3">
        <v>2000</v>
      </c>
      <c r="B7009" s="2">
        <v>2280</v>
      </c>
      <c r="C7009" s="38">
        <v>44692</v>
      </c>
      <c r="D7009" s="1" t="s">
        <v>353</v>
      </c>
      <c r="E7009" s="1" t="s">
        <v>38</v>
      </c>
      <c r="F7009" s="1" t="s">
        <v>202</v>
      </c>
      <c r="G7009" s="5">
        <v>1.1399999999999999</v>
      </c>
    </row>
    <row r="7010" spans="1:7" x14ac:dyDescent="0.2">
      <c r="A7010" s="3">
        <v>2000</v>
      </c>
      <c r="B7010" s="2">
        <v>2280</v>
      </c>
      <c r="C7010" s="38">
        <v>44692</v>
      </c>
      <c r="D7010" s="1" t="s">
        <v>353</v>
      </c>
      <c r="E7010" s="1" t="s">
        <v>38</v>
      </c>
      <c r="F7010" s="1" t="s">
        <v>202</v>
      </c>
      <c r="G7010" s="5">
        <v>1.1399999999999999</v>
      </c>
    </row>
    <row r="7011" spans="1:7" x14ac:dyDescent="0.2">
      <c r="A7011" s="3">
        <v>4000</v>
      </c>
      <c r="B7011" s="2">
        <v>4560</v>
      </c>
      <c r="C7011" s="38">
        <v>44692</v>
      </c>
      <c r="D7011" s="1" t="s">
        <v>353</v>
      </c>
      <c r="E7011" s="1" t="s">
        <v>38</v>
      </c>
      <c r="F7011" s="1" t="s">
        <v>202</v>
      </c>
      <c r="G7011" s="5">
        <v>1.1399999999999999</v>
      </c>
    </row>
    <row r="7012" spans="1:7" x14ac:dyDescent="0.2">
      <c r="A7012" s="3">
        <v>2000</v>
      </c>
      <c r="B7012" s="2">
        <v>2280</v>
      </c>
      <c r="C7012" s="38">
        <v>44692</v>
      </c>
      <c r="D7012" s="1" t="s">
        <v>353</v>
      </c>
      <c r="E7012" s="1" t="s">
        <v>38</v>
      </c>
      <c r="F7012" s="1" t="s">
        <v>202</v>
      </c>
      <c r="G7012" s="5">
        <v>1.1399999999999999</v>
      </c>
    </row>
    <row r="7013" spans="1:7" x14ac:dyDescent="0.2">
      <c r="A7013" s="3">
        <v>20000</v>
      </c>
      <c r="B7013" s="2">
        <v>60800</v>
      </c>
      <c r="C7013" s="38">
        <v>44700</v>
      </c>
      <c r="D7013" s="1" t="s">
        <v>371</v>
      </c>
      <c r="E7013" s="1" t="s">
        <v>34</v>
      </c>
      <c r="F7013" s="1" t="s">
        <v>213</v>
      </c>
      <c r="G7013" s="5">
        <v>3.04</v>
      </c>
    </row>
    <row r="7014" spans="1:7" x14ac:dyDescent="0.2">
      <c r="A7014" s="3">
        <v>-294</v>
      </c>
      <c r="B7014" s="2">
        <v>-206546.76</v>
      </c>
      <c r="C7014" s="38">
        <v>44945</v>
      </c>
      <c r="D7014" s="1" t="s">
        <v>259</v>
      </c>
      <c r="E7014" s="1" t="s">
        <v>36</v>
      </c>
      <c r="F7014" s="1" t="s">
        <v>204</v>
      </c>
      <c r="G7014" s="5">
        <v>702.54</v>
      </c>
    </row>
    <row r="7015" spans="1:7" x14ac:dyDescent="0.2">
      <c r="A7015" s="3">
        <v>-270</v>
      </c>
      <c r="B7015" s="2">
        <v>-15076.8</v>
      </c>
      <c r="C7015" s="38">
        <v>45163</v>
      </c>
      <c r="D7015" s="1" t="s">
        <v>333</v>
      </c>
      <c r="E7015" s="1" t="s">
        <v>36</v>
      </c>
      <c r="F7015" s="1" t="s">
        <v>215</v>
      </c>
      <c r="G7015" s="5">
        <v>55.84</v>
      </c>
    </row>
    <row r="7016" spans="1:7" x14ac:dyDescent="0.2">
      <c r="A7016" s="3">
        <v>-2000</v>
      </c>
      <c r="B7016" s="2">
        <v>-1780</v>
      </c>
      <c r="C7016" s="38">
        <v>45124</v>
      </c>
      <c r="D7016" s="1" t="s">
        <v>341</v>
      </c>
      <c r="E7016" s="1" t="s">
        <v>38</v>
      </c>
      <c r="F7016" s="1" t="s">
        <v>202</v>
      </c>
      <c r="G7016" s="5">
        <v>0.89</v>
      </c>
    </row>
    <row r="7017" spans="1:7" x14ac:dyDescent="0.2">
      <c r="A7017" s="3">
        <v>-2000</v>
      </c>
      <c r="B7017" s="2">
        <v>-2160</v>
      </c>
      <c r="C7017" s="38">
        <v>44763</v>
      </c>
      <c r="D7017" s="1" t="s">
        <v>353</v>
      </c>
      <c r="E7017" s="1" t="s">
        <v>38</v>
      </c>
      <c r="F7017" s="1" t="s">
        <v>202</v>
      </c>
      <c r="G7017" s="5">
        <v>1.08</v>
      </c>
    </row>
    <row r="7018" spans="1:7" x14ac:dyDescent="0.2">
      <c r="A7018" s="3">
        <v>-4000</v>
      </c>
      <c r="B7018" s="2">
        <v>-4320</v>
      </c>
      <c r="C7018" s="38">
        <v>44763</v>
      </c>
      <c r="D7018" s="1" t="s">
        <v>353</v>
      </c>
      <c r="E7018" s="1" t="s">
        <v>38</v>
      </c>
      <c r="F7018" s="1" t="s">
        <v>202</v>
      </c>
      <c r="G7018" s="5">
        <v>1.08</v>
      </c>
    </row>
    <row r="7019" spans="1:7" x14ac:dyDescent="0.2">
      <c r="A7019" s="3">
        <v>-2000</v>
      </c>
      <c r="B7019" s="2">
        <v>-2160</v>
      </c>
      <c r="C7019" s="38">
        <v>44764</v>
      </c>
      <c r="D7019" s="1" t="s">
        <v>353</v>
      </c>
      <c r="E7019" s="1" t="s">
        <v>38</v>
      </c>
      <c r="F7019" s="1" t="s">
        <v>202</v>
      </c>
      <c r="G7019" s="5">
        <v>1.08</v>
      </c>
    </row>
    <row r="7020" spans="1:7" x14ac:dyDescent="0.2">
      <c r="A7020" s="3">
        <v>-2000</v>
      </c>
      <c r="B7020" s="2">
        <v>-2160</v>
      </c>
      <c r="C7020" s="38">
        <v>44764</v>
      </c>
      <c r="D7020" s="1" t="s">
        <v>353</v>
      </c>
      <c r="E7020" s="1" t="s">
        <v>38</v>
      </c>
      <c r="F7020" s="1" t="s">
        <v>202</v>
      </c>
      <c r="G7020" s="5">
        <v>1.08</v>
      </c>
    </row>
    <row r="7021" spans="1:7" x14ac:dyDescent="0.2">
      <c r="A7021" s="3">
        <v>-6000</v>
      </c>
      <c r="B7021" s="2">
        <v>-6480</v>
      </c>
      <c r="C7021" s="38">
        <v>44764</v>
      </c>
      <c r="D7021" s="1" t="s">
        <v>353</v>
      </c>
      <c r="E7021" s="1" t="s">
        <v>38</v>
      </c>
      <c r="F7021" s="1" t="s">
        <v>202</v>
      </c>
      <c r="G7021" s="5">
        <v>1.08</v>
      </c>
    </row>
    <row r="7022" spans="1:7" x14ac:dyDescent="0.2">
      <c r="A7022" s="3">
        <v>-2000</v>
      </c>
      <c r="B7022" s="2">
        <v>-2160</v>
      </c>
      <c r="C7022" s="38">
        <v>44764</v>
      </c>
      <c r="D7022" s="1" t="s">
        <v>353</v>
      </c>
      <c r="E7022" s="1" t="s">
        <v>38</v>
      </c>
      <c r="F7022" s="1" t="s">
        <v>202</v>
      </c>
      <c r="G7022" s="5">
        <v>1.08</v>
      </c>
    </row>
    <row r="7023" spans="1:7" x14ac:dyDescent="0.2">
      <c r="A7023" s="3">
        <v>-2000</v>
      </c>
      <c r="B7023" s="2">
        <v>-2160</v>
      </c>
      <c r="C7023" s="38">
        <v>44764</v>
      </c>
      <c r="D7023" s="1" t="s">
        <v>353</v>
      </c>
      <c r="E7023" s="1" t="s">
        <v>38</v>
      </c>
      <c r="F7023" s="1" t="s">
        <v>202</v>
      </c>
      <c r="G7023" s="5">
        <v>1.08</v>
      </c>
    </row>
    <row r="7024" spans="1:7" x14ac:dyDescent="0.2">
      <c r="A7024" s="3">
        <v>-2000</v>
      </c>
      <c r="B7024" s="2">
        <v>-2160</v>
      </c>
      <c r="C7024" s="38">
        <v>44764</v>
      </c>
      <c r="D7024" s="1" t="s">
        <v>353</v>
      </c>
      <c r="E7024" s="1" t="s">
        <v>38</v>
      </c>
      <c r="F7024" s="1" t="s">
        <v>202</v>
      </c>
      <c r="G7024" s="5">
        <v>1.08</v>
      </c>
    </row>
    <row r="7025" spans="1:7" x14ac:dyDescent="0.2">
      <c r="A7025" s="3">
        <v>-6000</v>
      </c>
      <c r="B7025" s="2">
        <v>-6480</v>
      </c>
      <c r="C7025" s="38">
        <v>44782</v>
      </c>
      <c r="D7025" s="1" t="s">
        <v>353</v>
      </c>
      <c r="E7025" s="1" t="s">
        <v>38</v>
      </c>
      <c r="F7025" s="1" t="s">
        <v>202</v>
      </c>
      <c r="G7025" s="5">
        <v>1.08</v>
      </c>
    </row>
    <row r="7026" spans="1:7" x14ac:dyDescent="0.2">
      <c r="A7026" s="3">
        <v>80752</v>
      </c>
      <c r="B7026" s="2">
        <v>997287.2</v>
      </c>
      <c r="C7026" s="38">
        <v>44938</v>
      </c>
      <c r="D7026" s="1" t="s">
        <v>233</v>
      </c>
      <c r="E7026" s="1" t="s">
        <v>34</v>
      </c>
      <c r="F7026" s="1" t="s">
        <v>201</v>
      </c>
      <c r="G7026" s="5">
        <v>12.35</v>
      </c>
    </row>
    <row r="7027" spans="1:7" x14ac:dyDescent="0.2">
      <c r="A7027" s="3">
        <v>47040</v>
      </c>
      <c r="B7027" s="2">
        <v>580944</v>
      </c>
      <c r="C7027" s="38">
        <v>44938</v>
      </c>
      <c r="D7027" s="1" t="s">
        <v>234</v>
      </c>
      <c r="E7027" s="1" t="s">
        <v>34</v>
      </c>
      <c r="F7027" s="1" t="s">
        <v>201</v>
      </c>
      <c r="G7027" s="5">
        <v>12.35</v>
      </c>
    </row>
    <row r="7028" spans="1:7" x14ac:dyDescent="0.2">
      <c r="A7028" s="3">
        <v>43120</v>
      </c>
      <c r="B7028" s="2">
        <v>1168120.8</v>
      </c>
      <c r="C7028" s="38">
        <v>44938</v>
      </c>
      <c r="D7028" s="1" t="s">
        <v>235</v>
      </c>
      <c r="E7028" s="1" t="s">
        <v>34</v>
      </c>
      <c r="F7028" s="1" t="s">
        <v>201</v>
      </c>
      <c r="G7028" s="5">
        <v>27.09</v>
      </c>
    </row>
    <row r="7029" spans="1:7" x14ac:dyDescent="0.2">
      <c r="A7029" s="3">
        <v>41412</v>
      </c>
      <c r="B7029" s="2">
        <v>166476.24</v>
      </c>
      <c r="C7029" s="38">
        <v>44938</v>
      </c>
      <c r="D7029" s="1" t="s">
        <v>236</v>
      </c>
      <c r="E7029" s="1" t="s">
        <v>34</v>
      </c>
      <c r="F7029" s="1" t="s">
        <v>201</v>
      </c>
      <c r="G7029" s="5">
        <v>4.0199999999999996</v>
      </c>
    </row>
    <row r="7030" spans="1:7" x14ac:dyDescent="0.2">
      <c r="A7030" s="3">
        <v>37044</v>
      </c>
      <c r="B7030" s="2">
        <v>457493.4</v>
      </c>
      <c r="C7030" s="38">
        <v>44965</v>
      </c>
      <c r="D7030" s="1" t="s">
        <v>233</v>
      </c>
      <c r="E7030" s="1" t="s">
        <v>34</v>
      </c>
      <c r="F7030" s="1" t="s">
        <v>201</v>
      </c>
      <c r="G7030" s="5">
        <v>12.35</v>
      </c>
    </row>
    <row r="7031" spans="1:7" x14ac:dyDescent="0.2">
      <c r="A7031" s="3">
        <v>31752</v>
      </c>
      <c r="B7031" s="2">
        <v>392137.2</v>
      </c>
      <c r="C7031" s="38">
        <v>44965</v>
      </c>
      <c r="D7031" s="1" t="s">
        <v>233</v>
      </c>
      <c r="E7031" s="1" t="s">
        <v>34</v>
      </c>
      <c r="F7031" s="1" t="s">
        <v>201</v>
      </c>
      <c r="G7031" s="5">
        <v>12.35</v>
      </c>
    </row>
    <row r="7032" spans="1:7" x14ac:dyDescent="0.2">
      <c r="A7032" s="3">
        <v>63715</v>
      </c>
      <c r="B7032" s="2">
        <v>786880.25</v>
      </c>
      <c r="C7032" s="38">
        <v>44965</v>
      </c>
      <c r="D7032" s="1" t="s">
        <v>233</v>
      </c>
      <c r="E7032" s="1" t="s">
        <v>34</v>
      </c>
      <c r="F7032" s="1" t="s">
        <v>201</v>
      </c>
      <c r="G7032" s="5">
        <v>12.35</v>
      </c>
    </row>
    <row r="7033" spans="1:7" x14ac:dyDescent="0.2">
      <c r="A7033" s="3">
        <v>26809</v>
      </c>
      <c r="B7033" s="2">
        <v>331091.15000000002</v>
      </c>
      <c r="C7033" s="38">
        <v>44965</v>
      </c>
      <c r="D7033" s="1" t="s">
        <v>234</v>
      </c>
      <c r="E7033" s="1" t="s">
        <v>34</v>
      </c>
      <c r="F7033" s="1" t="s">
        <v>201</v>
      </c>
      <c r="G7033" s="5">
        <v>12.35</v>
      </c>
    </row>
    <row r="7034" spans="1:7" x14ac:dyDescent="0.2">
      <c r="A7034" s="3">
        <v>15876</v>
      </c>
      <c r="B7034" s="2">
        <v>196068.6</v>
      </c>
      <c r="C7034" s="38">
        <v>44965</v>
      </c>
      <c r="D7034" s="1" t="s">
        <v>234</v>
      </c>
      <c r="E7034" s="1" t="s">
        <v>34</v>
      </c>
      <c r="F7034" s="1" t="s">
        <v>201</v>
      </c>
      <c r="G7034" s="5">
        <v>12.35</v>
      </c>
    </row>
    <row r="7035" spans="1:7" x14ac:dyDescent="0.2">
      <c r="A7035" s="3">
        <v>32137</v>
      </c>
      <c r="B7035" s="2">
        <v>396891.95</v>
      </c>
      <c r="C7035" s="38">
        <v>44965</v>
      </c>
      <c r="D7035" s="1" t="s">
        <v>234</v>
      </c>
      <c r="E7035" s="1" t="s">
        <v>34</v>
      </c>
      <c r="F7035" s="1" t="s">
        <v>201</v>
      </c>
      <c r="G7035" s="5">
        <v>12.35</v>
      </c>
    </row>
    <row r="7036" spans="1:7" x14ac:dyDescent="0.2">
      <c r="A7036" s="3">
        <v>11088</v>
      </c>
      <c r="B7036" s="2">
        <v>300373.92</v>
      </c>
      <c r="C7036" s="38">
        <v>44965</v>
      </c>
      <c r="D7036" s="1" t="s">
        <v>235</v>
      </c>
      <c r="E7036" s="1" t="s">
        <v>34</v>
      </c>
      <c r="F7036" s="1" t="s">
        <v>201</v>
      </c>
      <c r="G7036" s="5">
        <v>27.09</v>
      </c>
    </row>
    <row r="7037" spans="1:7" x14ac:dyDescent="0.2">
      <c r="A7037" s="3">
        <v>15708</v>
      </c>
      <c r="B7037" s="2">
        <v>425529.72</v>
      </c>
      <c r="C7037" s="38">
        <v>44965</v>
      </c>
      <c r="D7037" s="1" t="s">
        <v>235</v>
      </c>
      <c r="E7037" s="1" t="s">
        <v>34</v>
      </c>
      <c r="F7037" s="1" t="s">
        <v>201</v>
      </c>
      <c r="G7037" s="5">
        <v>27.09</v>
      </c>
    </row>
    <row r="7038" spans="1:7" x14ac:dyDescent="0.2">
      <c r="A7038" s="3">
        <v>31724</v>
      </c>
      <c r="B7038" s="2">
        <v>859403.16</v>
      </c>
      <c r="C7038" s="38">
        <v>44965</v>
      </c>
      <c r="D7038" s="1" t="s">
        <v>235</v>
      </c>
      <c r="E7038" s="1" t="s">
        <v>34</v>
      </c>
      <c r="F7038" s="1" t="s">
        <v>201</v>
      </c>
      <c r="G7038" s="5">
        <v>27.09</v>
      </c>
    </row>
    <row r="7039" spans="1:7" x14ac:dyDescent="0.2">
      <c r="A7039" s="3">
        <v>9744</v>
      </c>
      <c r="B7039" s="2">
        <v>39170.879999999997</v>
      </c>
      <c r="C7039" s="38">
        <v>44965</v>
      </c>
      <c r="D7039" s="1" t="s">
        <v>236</v>
      </c>
      <c r="E7039" s="1" t="s">
        <v>34</v>
      </c>
      <c r="F7039" s="1" t="s">
        <v>201</v>
      </c>
      <c r="G7039" s="5">
        <v>4.0199999999999996</v>
      </c>
    </row>
    <row r="7040" spans="1:7" x14ac:dyDescent="0.2">
      <c r="A7040" s="3">
        <v>17074</v>
      </c>
      <c r="B7040" s="2">
        <v>68637.48</v>
      </c>
      <c r="C7040" s="38">
        <v>44965</v>
      </c>
      <c r="D7040" s="1" t="s">
        <v>236</v>
      </c>
      <c r="E7040" s="1" t="s">
        <v>34</v>
      </c>
      <c r="F7040" s="1" t="s">
        <v>201</v>
      </c>
      <c r="G7040" s="5">
        <v>4.0199999999999996</v>
      </c>
    </row>
    <row r="7041" spans="1:7" x14ac:dyDescent="0.2">
      <c r="A7041" s="3">
        <v>29232</v>
      </c>
      <c r="B7041" s="2">
        <v>117512.64</v>
      </c>
      <c r="C7041" s="38">
        <v>44965</v>
      </c>
      <c r="D7041" s="1" t="s">
        <v>236</v>
      </c>
      <c r="E7041" s="1" t="s">
        <v>34</v>
      </c>
      <c r="F7041" s="1" t="s">
        <v>201</v>
      </c>
      <c r="G7041" s="5">
        <v>4.0199999999999996</v>
      </c>
    </row>
    <row r="7042" spans="1:7" x14ac:dyDescent="0.2">
      <c r="A7042" s="3">
        <v>856</v>
      </c>
      <c r="B7042" s="2">
        <v>127458.4</v>
      </c>
      <c r="C7042" s="38">
        <v>45168</v>
      </c>
      <c r="D7042" s="1" t="s">
        <v>316</v>
      </c>
      <c r="E7042" s="1" t="s">
        <v>39</v>
      </c>
      <c r="F7042" s="1" t="s">
        <v>212</v>
      </c>
      <c r="G7042" s="5">
        <v>148.9</v>
      </c>
    </row>
    <row r="7043" spans="1:7" x14ac:dyDescent="0.2">
      <c r="A7043" s="3">
        <v>270</v>
      </c>
      <c r="B7043" s="2">
        <v>15076.8</v>
      </c>
      <c r="C7043" s="38">
        <v>45176</v>
      </c>
      <c r="D7043" s="1" t="s">
        <v>333</v>
      </c>
      <c r="E7043" s="1" t="s">
        <v>34</v>
      </c>
      <c r="F7043" s="1" t="s">
        <v>216</v>
      </c>
      <c r="G7043" s="5">
        <v>55.84</v>
      </c>
    </row>
    <row r="7044" spans="1:7" x14ac:dyDescent="0.2">
      <c r="A7044" s="3">
        <v>6000</v>
      </c>
      <c r="B7044" s="2">
        <v>11880</v>
      </c>
      <c r="C7044" s="38">
        <v>44963</v>
      </c>
      <c r="D7044" s="1" t="s">
        <v>309</v>
      </c>
      <c r="E7044" s="1" t="s">
        <v>39</v>
      </c>
      <c r="F7044" s="1" t="s">
        <v>212</v>
      </c>
      <c r="G7044" s="5">
        <v>1.98</v>
      </c>
    </row>
    <row r="7045" spans="1:7" x14ac:dyDescent="0.2">
      <c r="A7045" s="3">
        <v>4000</v>
      </c>
      <c r="B7045" s="2">
        <v>5360</v>
      </c>
      <c r="C7045" s="38">
        <v>44964</v>
      </c>
      <c r="D7045" s="1" t="s">
        <v>308</v>
      </c>
      <c r="E7045" s="1" t="s">
        <v>39</v>
      </c>
      <c r="F7045" s="1" t="s">
        <v>212</v>
      </c>
      <c r="G7045" s="5">
        <v>1.34</v>
      </c>
    </row>
    <row r="7046" spans="1:7" x14ac:dyDescent="0.2">
      <c r="A7046" s="3">
        <v>4000</v>
      </c>
      <c r="B7046" s="2">
        <v>5360</v>
      </c>
      <c r="C7046" s="38">
        <v>44964</v>
      </c>
      <c r="D7046" s="1" t="s">
        <v>308</v>
      </c>
      <c r="E7046" s="1" t="s">
        <v>39</v>
      </c>
      <c r="F7046" s="1" t="s">
        <v>212</v>
      </c>
      <c r="G7046" s="5">
        <v>1.34</v>
      </c>
    </row>
    <row r="7047" spans="1:7" x14ac:dyDescent="0.2">
      <c r="A7047" s="3">
        <v>4000</v>
      </c>
      <c r="B7047" s="2">
        <v>5360</v>
      </c>
      <c r="C7047" s="38">
        <v>44966</v>
      </c>
      <c r="D7047" s="1" t="s">
        <v>308</v>
      </c>
      <c r="E7047" s="1" t="s">
        <v>39</v>
      </c>
      <c r="F7047" s="1" t="s">
        <v>212</v>
      </c>
      <c r="G7047" s="5">
        <v>1.34</v>
      </c>
    </row>
    <row r="7048" spans="1:7" x14ac:dyDescent="0.2">
      <c r="A7048" s="3">
        <v>6000</v>
      </c>
      <c r="B7048" s="2">
        <v>10560</v>
      </c>
      <c r="C7048" s="38">
        <v>44987</v>
      </c>
      <c r="D7048" s="1" t="s">
        <v>297</v>
      </c>
      <c r="E7048" s="1" t="s">
        <v>39</v>
      </c>
      <c r="F7048" s="1" t="s">
        <v>212</v>
      </c>
      <c r="G7048" s="5">
        <v>1.76</v>
      </c>
    </row>
    <row r="7049" spans="1:7" x14ac:dyDescent="0.2">
      <c r="A7049" s="3">
        <v>4000</v>
      </c>
      <c r="B7049" s="2">
        <v>5480</v>
      </c>
      <c r="C7049" s="38">
        <v>44992</v>
      </c>
      <c r="D7049" s="1" t="s">
        <v>308</v>
      </c>
      <c r="E7049" s="1" t="s">
        <v>39</v>
      </c>
      <c r="F7049" s="1" t="s">
        <v>212</v>
      </c>
      <c r="G7049" s="5">
        <v>1.37</v>
      </c>
    </row>
    <row r="7050" spans="1:7" x14ac:dyDescent="0.2">
      <c r="A7050" s="3">
        <v>6000</v>
      </c>
      <c r="B7050" s="2">
        <v>11880</v>
      </c>
      <c r="C7050" s="38">
        <v>44993</v>
      </c>
      <c r="D7050" s="1" t="s">
        <v>309</v>
      </c>
      <c r="E7050" s="1" t="s">
        <v>39</v>
      </c>
      <c r="F7050" s="1" t="s">
        <v>212</v>
      </c>
      <c r="G7050" s="5">
        <v>1.98</v>
      </c>
    </row>
    <row r="7051" spans="1:7" x14ac:dyDescent="0.2">
      <c r="A7051" s="3">
        <v>4000</v>
      </c>
      <c r="B7051" s="2">
        <v>5360</v>
      </c>
      <c r="C7051" s="38">
        <v>45041</v>
      </c>
      <c r="D7051" s="1" t="s">
        <v>308</v>
      </c>
      <c r="E7051" s="1" t="s">
        <v>39</v>
      </c>
      <c r="F7051" s="1" t="s">
        <v>212</v>
      </c>
      <c r="G7051" s="5">
        <v>1.34</v>
      </c>
    </row>
    <row r="7052" spans="1:7" x14ac:dyDescent="0.2">
      <c r="A7052" s="3">
        <v>4000</v>
      </c>
      <c r="B7052" s="2">
        <v>5360</v>
      </c>
      <c r="C7052" s="38">
        <v>45041</v>
      </c>
      <c r="D7052" s="1" t="s">
        <v>308</v>
      </c>
      <c r="E7052" s="1" t="s">
        <v>39</v>
      </c>
      <c r="F7052" s="1" t="s">
        <v>212</v>
      </c>
      <c r="G7052" s="5">
        <v>1.34</v>
      </c>
    </row>
    <row r="7053" spans="1:7" x14ac:dyDescent="0.2">
      <c r="A7053" s="3">
        <v>9000</v>
      </c>
      <c r="B7053" s="2">
        <v>15750</v>
      </c>
      <c r="C7053" s="38">
        <v>45044</v>
      </c>
      <c r="D7053" s="1" t="s">
        <v>304</v>
      </c>
      <c r="E7053" s="1" t="s">
        <v>39</v>
      </c>
      <c r="F7053" s="1" t="s">
        <v>212</v>
      </c>
      <c r="G7053" s="5">
        <v>1.75</v>
      </c>
    </row>
    <row r="7054" spans="1:7" x14ac:dyDescent="0.2">
      <c r="A7054" s="3">
        <v>420</v>
      </c>
      <c r="B7054" s="2">
        <v>318922.8</v>
      </c>
      <c r="C7054" s="38">
        <v>44991</v>
      </c>
      <c r="D7054" s="1" t="s">
        <v>265</v>
      </c>
      <c r="E7054" s="1" t="s">
        <v>39</v>
      </c>
      <c r="F7054" s="1" t="s">
        <v>217</v>
      </c>
      <c r="G7054" s="5">
        <v>759.34</v>
      </c>
    </row>
    <row r="7055" spans="1:7" x14ac:dyDescent="0.2">
      <c r="A7055" s="3">
        <v>300</v>
      </c>
      <c r="B7055" s="2">
        <v>227802</v>
      </c>
      <c r="C7055" s="38">
        <v>44991</v>
      </c>
      <c r="D7055" s="1" t="s">
        <v>265</v>
      </c>
      <c r="E7055" s="1" t="s">
        <v>39</v>
      </c>
      <c r="F7055" s="1" t="s">
        <v>217</v>
      </c>
      <c r="G7055" s="5">
        <v>759.34</v>
      </c>
    </row>
    <row r="7056" spans="1:7" x14ac:dyDescent="0.2">
      <c r="A7056" s="3">
        <v>240</v>
      </c>
      <c r="B7056" s="2">
        <v>182241.6</v>
      </c>
      <c r="C7056" s="38">
        <v>44991</v>
      </c>
      <c r="D7056" s="1" t="s">
        <v>265</v>
      </c>
      <c r="E7056" s="1" t="s">
        <v>39</v>
      </c>
      <c r="F7056" s="1" t="s">
        <v>217</v>
      </c>
      <c r="G7056" s="5">
        <v>759.34</v>
      </c>
    </row>
    <row r="7057" spans="1:7" x14ac:dyDescent="0.2">
      <c r="A7057" s="3">
        <v>252</v>
      </c>
      <c r="B7057" s="2">
        <v>35899.919999999998</v>
      </c>
      <c r="C7057" s="38">
        <v>44972</v>
      </c>
      <c r="D7057" s="1" t="s">
        <v>316</v>
      </c>
      <c r="E7057" s="1" t="s">
        <v>39</v>
      </c>
      <c r="F7057" s="1" t="s">
        <v>212</v>
      </c>
      <c r="G7057" s="5">
        <v>142.46</v>
      </c>
    </row>
    <row r="7058" spans="1:7" x14ac:dyDescent="0.2">
      <c r="A7058" s="3">
        <v>270</v>
      </c>
      <c r="B7058" s="2">
        <v>35178.300000000003</v>
      </c>
      <c r="C7058" s="38">
        <v>45020</v>
      </c>
      <c r="D7058" s="1" t="s">
        <v>317</v>
      </c>
      <c r="E7058" s="1" t="s">
        <v>39</v>
      </c>
      <c r="F7058" s="1" t="s">
        <v>212</v>
      </c>
      <c r="G7058" s="5">
        <v>130.29</v>
      </c>
    </row>
    <row r="7059" spans="1:7" x14ac:dyDescent="0.2">
      <c r="A7059" s="3">
        <v>180</v>
      </c>
      <c r="B7059" s="2">
        <v>8766</v>
      </c>
      <c r="C7059" s="38">
        <v>45020</v>
      </c>
      <c r="D7059" s="1" t="s">
        <v>350</v>
      </c>
      <c r="E7059" s="1" t="s">
        <v>39</v>
      </c>
      <c r="F7059" s="1" t="s">
        <v>212</v>
      </c>
      <c r="G7059" s="5">
        <v>48.7</v>
      </c>
    </row>
    <row r="7060" spans="1:7" x14ac:dyDescent="0.2">
      <c r="A7060" s="3">
        <v>90</v>
      </c>
      <c r="B7060" s="2">
        <v>4192.2</v>
      </c>
      <c r="C7060" s="38">
        <v>45020</v>
      </c>
      <c r="D7060" s="1" t="s">
        <v>350</v>
      </c>
      <c r="E7060" s="1" t="s">
        <v>39</v>
      </c>
      <c r="F7060" s="1" t="s">
        <v>212</v>
      </c>
      <c r="G7060" s="5">
        <v>46.58</v>
      </c>
    </row>
    <row r="7061" spans="1:7" x14ac:dyDescent="0.2">
      <c r="A7061" s="3">
        <v>270</v>
      </c>
      <c r="B7061" s="2">
        <v>35178.300000000003</v>
      </c>
      <c r="C7061" s="38">
        <v>45044</v>
      </c>
      <c r="D7061" s="1" t="s">
        <v>317</v>
      </c>
      <c r="E7061" s="1" t="s">
        <v>39</v>
      </c>
      <c r="F7061" s="1" t="s">
        <v>212</v>
      </c>
      <c r="G7061" s="5">
        <v>130.29</v>
      </c>
    </row>
    <row r="7062" spans="1:7" x14ac:dyDescent="0.2">
      <c r="A7062" s="3">
        <v>1215</v>
      </c>
      <c r="B7062" s="2">
        <v>73568.25</v>
      </c>
      <c r="C7062" s="38">
        <v>45071</v>
      </c>
      <c r="D7062" s="1" t="s">
        <v>315</v>
      </c>
      <c r="E7062" s="1" t="s">
        <v>39</v>
      </c>
      <c r="F7062" s="1" t="s">
        <v>212</v>
      </c>
      <c r="G7062" s="5">
        <v>60.55</v>
      </c>
    </row>
    <row r="7063" spans="1:7" x14ac:dyDescent="0.2">
      <c r="A7063" s="3">
        <v>270</v>
      </c>
      <c r="B7063" s="2">
        <v>16348.5</v>
      </c>
      <c r="C7063" s="38">
        <v>45071</v>
      </c>
      <c r="D7063" s="1" t="s">
        <v>315</v>
      </c>
      <c r="E7063" s="1" t="s">
        <v>39</v>
      </c>
      <c r="F7063" s="1" t="s">
        <v>212</v>
      </c>
      <c r="G7063" s="5">
        <v>60.55</v>
      </c>
    </row>
    <row r="7064" spans="1:7" x14ac:dyDescent="0.2">
      <c r="A7064" s="3">
        <v>324</v>
      </c>
      <c r="B7064" s="2">
        <v>19618.2</v>
      </c>
      <c r="C7064" s="38">
        <v>45071</v>
      </c>
      <c r="D7064" s="1" t="s">
        <v>315</v>
      </c>
      <c r="E7064" s="1" t="s">
        <v>39</v>
      </c>
      <c r="F7064" s="1" t="s">
        <v>212</v>
      </c>
      <c r="G7064" s="5">
        <v>60.55</v>
      </c>
    </row>
    <row r="7065" spans="1:7" x14ac:dyDescent="0.2">
      <c r="A7065" s="3">
        <v>270</v>
      </c>
      <c r="B7065" s="2">
        <v>40203</v>
      </c>
      <c r="C7065" s="38">
        <v>45071</v>
      </c>
      <c r="D7065" s="1" t="s">
        <v>316</v>
      </c>
      <c r="E7065" s="1" t="s">
        <v>39</v>
      </c>
      <c r="F7065" s="1" t="s">
        <v>212</v>
      </c>
      <c r="G7065" s="5">
        <v>148.9</v>
      </c>
    </row>
    <row r="7066" spans="1:7" x14ac:dyDescent="0.2">
      <c r="A7066" s="3">
        <v>270</v>
      </c>
      <c r="B7066" s="2">
        <v>35178.300000000003</v>
      </c>
      <c r="C7066" s="38">
        <v>45071</v>
      </c>
      <c r="D7066" s="1" t="s">
        <v>317</v>
      </c>
      <c r="E7066" s="1" t="s">
        <v>39</v>
      </c>
      <c r="F7066" s="1" t="s">
        <v>212</v>
      </c>
      <c r="G7066" s="5">
        <v>130.29</v>
      </c>
    </row>
    <row r="7067" spans="1:7" x14ac:dyDescent="0.2">
      <c r="A7067" s="3">
        <v>270</v>
      </c>
      <c r="B7067" s="2">
        <v>35178.300000000003</v>
      </c>
      <c r="C7067" s="38">
        <v>45092</v>
      </c>
      <c r="D7067" s="1" t="s">
        <v>317</v>
      </c>
      <c r="E7067" s="1" t="s">
        <v>39</v>
      </c>
      <c r="F7067" s="1" t="s">
        <v>212</v>
      </c>
      <c r="G7067" s="5">
        <v>130.29</v>
      </c>
    </row>
    <row r="7068" spans="1:7" x14ac:dyDescent="0.2">
      <c r="A7068" s="3">
        <v>270</v>
      </c>
      <c r="B7068" s="2">
        <v>40203</v>
      </c>
      <c r="C7068" s="38">
        <v>45099</v>
      </c>
      <c r="D7068" s="1" t="s">
        <v>316</v>
      </c>
      <c r="E7068" s="1" t="s">
        <v>39</v>
      </c>
      <c r="F7068" s="1" t="s">
        <v>212</v>
      </c>
      <c r="G7068" s="5">
        <v>148.9</v>
      </c>
    </row>
    <row r="7069" spans="1:7" x14ac:dyDescent="0.2">
      <c r="A7069" s="3">
        <v>297</v>
      </c>
      <c r="B7069" s="2">
        <v>44223.3</v>
      </c>
      <c r="C7069" s="38">
        <v>45107</v>
      </c>
      <c r="D7069" s="1" t="s">
        <v>316</v>
      </c>
      <c r="E7069" s="1" t="s">
        <v>39</v>
      </c>
      <c r="F7069" s="1" t="s">
        <v>212</v>
      </c>
      <c r="G7069" s="5">
        <v>148.9</v>
      </c>
    </row>
    <row r="7070" spans="1:7" x14ac:dyDescent="0.2">
      <c r="A7070" s="3">
        <v>18</v>
      </c>
      <c r="B7070" s="2">
        <v>2680.2</v>
      </c>
      <c r="C7070" s="38">
        <v>45117</v>
      </c>
      <c r="D7070" s="1" t="s">
        <v>316</v>
      </c>
      <c r="E7070" s="1" t="s">
        <v>39</v>
      </c>
      <c r="F7070" s="1" t="s">
        <v>212</v>
      </c>
      <c r="G7070" s="5">
        <v>148.9</v>
      </c>
    </row>
    <row r="7071" spans="1:7" x14ac:dyDescent="0.2">
      <c r="A7071" s="3">
        <v>270</v>
      </c>
      <c r="B7071" s="2">
        <v>13149</v>
      </c>
      <c r="C7071" s="38">
        <v>45119</v>
      </c>
      <c r="D7071" s="1" t="s">
        <v>350</v>
      </c>
      <c r="E7071" s="1" t="s">
        <v>39</v>
      </c>
      <c r="F7071" s="1" t="s">
        <v>212</v>
      </c>
      <c r="G7071" s="5">
        <v>48.7</v>
      </c>
    </row>
    <row r="7072" spans="1:7" x14ac:dyDescent="0.2">
      <c r="A7072" s="3">
        <v>270</v>
      </c>
      <c r="B7072" s="2">
        <v>13149</v>
      </c>
      <c r="C7072" s="38">
        <v>45119</v>
      </c>
      <c r="D7072" s="1" t="s">
        <v>350</v>
      </c>
      <c r="E7072" s="1" t="s">
        <v>39</v>
      </c>
      <c r="F7072" s="1" t="s">
        <v>212</v>
      </c>
      <c r="G7072" s="5">
        <v>48.7</v>
      </c>
    </row>
    <row r="7073" spans="1:7" x14ac:dyDescent="0.2">
      <c r="A7073" s="3">
        <v>270</v>
      </c>
      <c r="B7073" s="2">
        <v>13149</v>
      </c>
      <c r="C7073" s="38">
        <v>45119</v>
      </c>
      <c r="D7073" s="1" t="s">
        <v>350</v>
      </c>
      <c r="E7073" s="1" t="s">
        <v>39</v>
      </c>
      <c r="F7073" s="1" t="s">
        <v>212</v>
      </c>
      <c r="G7073" s="5">
        <v>48.7</v>
      </c>
    </row>
    <row r="7074" spans="1:7" x14ac:dyDescent="0.2">
      <c r="A7074" s="3">
        <v>270</v>
      </c>
      <c r="B7074" s="2">
        <v>13149</v>
      </c>
      <c r="C7074" s="38">
        <v>45119</v>
      </c>
      <c r="D7074" s="1" t="s">
        <v>350</v>
      </c>
      <c r="E7074" s="1" t="s">
        <v>39</v>
      </c>
      <c r="F7074" s="1" t="s">
        <v>212</v>
      </c>
      <c r="G7074" s="5">
        <v>48.7</v>
      </c>
    </row>
    <row r="7075" spans="1:7" x14ac:dyDescent="0.2">
      <c r="A7075" s="3">
        <v>270</v>
      </c>
      <c r="B7075" s="2">
        <v>13149</v>
      </c>
      <c r="C7075" s="38">
        <v>45119</v>
      </c>
      <c r="D7075" s="1" t="s">
        <v>350</v>
      </c>
      <c r="E7075" s="1" t="s">
        <v>39</v>
      </c>
      <c r="F7075" s="1" t="s">
        <v>212</v>
      </c>
      <c r="G7075" s="5">
        <v>48.7</v>
      </c>
    </row>
    <row r="7076" spans="1:7" x14ac:dyDescent="0.2">
      <c r="A7076" s="3">
        <v>270</v>
      </c>
      <c r="B7076" s="2">
        <v>13149</v>
      </c>
      <c r="C7076" s="38">
        <v>45119</v>
      </c>
      <c r="D7076" s="1" t="s">
        <v>350</v>
      </c>
      <c r="E7076" s="1" t="s">
        <v>39</v>
      </c>
      <c r="F7076" s="1" t="s">
        <v>212</v>
      </c>
      <c r="G7076" s="5">
        <v>48.7</v>
      </c>
    </row>
    <row r="7077" spans="1:7" x14ac:dyDescent="0.2">
      <c r="A7077" s="3">
        <v>270</v>
      </c>
      <c r="B7077" s="2">
        <v>13149</v>
      </c>
      <c r="C7077" s="38">
        <v>45119</v>
      </c>
      <c r="D7077" s="1" t="s">
        <v>350</v>
      </c>
      <c r="E7077" s="1" t="s">
        <v>39</v>
      </c>
      <c r="F7077" s="1" t="s">
        <v>212</v>
      </c>
      <c r="G7077" s="5">
        <v>48.7</v>
      </c>
    </row>
    <row r="7078" spans="1:7" x14ac:dyDescent="0.2">
      <c r="A7078" s="3">
        <v>270</v>
      </c>
      <c r="B7078" s="2">
        <v>13149</v>
      </c>
      <c r="C7078" s="38">
        <v>45119</v>
      </c>
      <c r="D7078" s="1" t="s">
        <v>350</v>
      </c>
      <c r="E7078" s="1" t="s">
        <v>39</v>
      </c>
      <c r="F7078" s="1" t="s">
        <v>212</v>
      </c>
      <c r="G7078" s="5">
        <v>48.7</v>
      </c>
    </row>
    <row r="7079" spans="1:7" x14ac:dyDescent="0.2">
      <c r="A7079" s="3">
        <v>1404</v>
      </c>
      <c r="B7079" s="2">
        <v>85012.2</v>
      </c>
      <c r="C7079" s="38">
        <v>45125</v>
      </c>
      <c r="D7079" s="1" t="s">
        <v>315</v>
      </c>
      <c r="E7079" s="1" t="s">
        <v>39</v>
      </c>
      <c r="F7079" s="1" t="s">
        <v>212</v>
      </c>
      <c r="G7079" s="5">
        <v>60.55</v>
      </c>
    </row>
    <row r="7080" spans="1:7" x14ac:dyDescent="0.2">
      <c r="A7080" s="3">
        <v>270</v>
      </c>
      <c r="B7080" s="2">
        <v>35178.300000000003</v>
      </c>
      <c r="C7080" s="38">
        <v>45125</v>
      </c>
      <c r="D7080" s="1" t="s">
        <v>317</v>
      </c>
      <c r="E7080" s="1" t="s">
        <v>39</v>
      </c>
      <c r="F7080" s="1" t="s">
        <v>212</v>
      </c>
      <c r="G7080" s="5">
        <v>130.29</v>
      </c>
    </row>
    <row r="7081" spans="1:7" x14ac:dyDescent="0.2">
      <c r="A7081" s="3">
        <v>270</v>
      </c>
      <c r="B7081" s="2">
        <v>13149</v>
      </c>
      <c r="C7081" s="38">
        <v>45125</v>
      </c>
      <c r="D7081" s="1" t="s">
        <v>350</v>
      </c>
      <c r="E7081" s="1" t="s">
        <v>39</v>
      </c>
      <c r="F7081" s="1" t="s">
        <v>212</v>
      </c>
      <c r="G7081" s="5">
        <v>48.7</v>
      </c>
    </row>
    <row r="7082" spans="1:7" x14ac:dyDescent="0.2">
      <c r="A7082" s="3">
        <v>270</v>
      </c>
      <c r="B7082" s="2">
        <v>13149</v>
      </c>
      <c r="C7082" s="38">
        <v>45125</v>
      </c>
      <c r="D7082" s="1" t="s">
        <v>350</v>
      </c>
      <c r="E7082" s="1" t="s">
        <v>39</v>
      </c>
      <c r="F7082" s="1" t="s">
        <v>212</v>
      </c>
      <c r="G7082" s="5">
        <v>48.7</v>
      </c>
    </row>
    <row r="7083" spans="1:7" x14ac:dyDescent="0.2">
      <c r="A7083" s="3">
        <v>270</v>
      </c>
      <c r="B7083" s="2">
        <v>40203</v>
      </c>
      <c r="C7083" s="38">
        <v>45133</v>
      </c>
      <c r="D7083" s="1" t="s">
        <v>316</v>
      </c>
      <c r="E7083" s="1" t="s">
        <v>39</v>
      </c>
      <c r="F7083" s="1" t="s">
        <v>212</v>
      </c>
      <c r="G7083" s="5">
        <v>148.9</v>
      </c>
    </row>
    <row r="7084" spans="1:7" x14ac:dyDescent="0.2">
      <c r="A7084" s="3">
        <v>74</v>
      </c>
      <c r="B7084" s="2">
        <v>4132.16</v>
      </c>
      <c r="C7084" s="38">
        <v>45134</v>
      </c>
      <c r="D7084" s="1" t="s">
        <v>333</v>
      </c>
      <c r="E7084" s="1" t="s">
        <v>34</v>
      </c>
      <c r="F7084" s="1" t="s">
        <v>213</v>
      </c>
      <c r="G7084" s="5">
        <v>55.84</v>
      </c>
    </row>
    <row r="7085" spans="1:7" x14ac:dyDescent="0.2">
      <c r="A7085" s="3">
        <v>196</v>
      </c>
      <c r="B7085" s="2">
        <v>10944.64</v>
      </c>
      <c r="C7085" s="38">
        <v>45134</v>
      </c>
      <c r="D7085" s="1" t="s">
        <v>333</v>
      </c>
      <c r="E7085" s="1" t="s">
        <v>34</v>
      </c>
      <c r="F7085" s="1" t="s">
        <v>213</v>
      </c>
      <c r="G7085" s="5">
        <v>55.84</v>
      </c>
    </row>
    <row r="7086" spans="1:7" x14ac:dyDescent="0.2">
      <c r="A7086" s="3">
        <v>270</v>
      </c>
      <c r="B7086" s="2">
        <v>15076.8</v>
      </c>
      <c r="C7086" s="38">
        <v>45134</v>
      </c>
      <c r="D7086" s="1" t="s">
        <v>333</v>
      </c>
      <c r="E7086" s="1" t="s">
        <v>36</v>
      </c>
      <c r="F7086" s="1" t="s">
        <v>215</v>
      </c>
      <c r="G7086" s="5">
        <v>55.84</v>
      </c>
    </row>
    <row r="7087" spans="1:7" x14ac:dyDescent="0.2">
      <c r="A7087" s="3">
        <v>1404</v>
      </c>
      <c r="B7087" s="2">
        <v>85012.2</v>
      </c>
      <c r="C7087" s="38">
        <v>45145</v>
      </c>
      <c r="D7087" s="1" t="s">
        <v>315</v>
      </c>
      <c r="E7087" s="1" t="s">
        <v>39</v>
      </c>
      <c r="F7087" s="1" t="s">
        <v>212</v>
      </c>
      <c r="G7087" s="5">
        <v>60.55</v>
      </c>
    </row>
    <row r="7088" spans="1:7" x14ac:dyDescent="0.2">
      <c r="A7088" s="3">
        <v>383</v>
      </c>
      <c r="B7088" s="2">
        <v>92628.55</v>
      </c>
      <c r="C7088" s="38">
        <v>45002</v>
      </c>
      <c r="D7088" s="1" t="s">
        <v>269</v>
      </c>
      <c r="E7088" s="1" t="s">
        <v>36</v>
      </c>
      <c r="F7088" s="1" t="s">
        <v>204</v>
      </c>
      <c r="G7088" s="5">
        <v>241.85</v>
      </c>
    </row>
    <row r="7089" spans="1:7" x14ac:dyDescent="0.2">
      <c r="A7089" s="3">
        <v>120</v>
      </c>
      <c r="B7089" s="2">
        <v>80049.600000000006</v>
      </c>
      <c r="C7089" s="38">
        <v>45155</v>
      </c>
      <c r="D7089" s="1" t="s">
        <v>305</v>
      </c>
      <c r="E7089" s="1" t="s">
        <v>39</v>
      </c>
      <c r="F7089" s="1" t="s">
        <v>212</v>
      </c>
      <c r="G7089" s="5">
        <v>667.08</v>
      </c>
    </row>
    <row r="7090" spans="1:7" x14ac:dyDescent="0.2">
      <c r="A7090" s="3">
        <v>1215</v>
      </c>
      <c r="B7090" s="2">
        <v>73568.25</v>
      </c>
      <c r="C7090" s="38">
        <v>45162</v>
      </c>
      <c r="D7090" s="1" t="s">
        <v>315</v>
      </c>
      <c r="E7090" s="1" t="s">
        <v>39</v>
      </c>
      <c r="F7090" s="1" t="s">
        <v>212</v>
      </c>
      <c r="G7090" s="5">
        <v>60.55</v>
      </c>
    </row>
    <row r="7091" spans="1:7" x14ac:dyDescent="0.2">
      <c r="A7091" s="3">
        <v>297</v>
      </c>
      <c r="B7091" s="2">
        <v>17983.349999999999</v>
      </c>
      <c r="C7091" s="38">
        <v>45162</v>
      </c>
      <c r="D7091" s="1" t="s">
        <v>315</v>
      </c>
      <c r="E7091" s="1" t="s">
        <v>39</v>
      </c>
      <c r="F7091" s="1" t="s">
        <v>212</v>
      </c>
      <c r="G7091" s="5">
        <v>60.55</v>
      </c>
    </row>
    <row r="7092" spans="1:7" x14ac:dyDescent="0.2">
      <c r="A7092" s="3">
        <v>297</v>
      </c>
      <c r="B7092" s="2">
        <v>17983.349999999999</v>
      </c>
      <c r="C7092" s="38">
        <v>45162</v>
      </c>
      <c r="D7092" s="1" t="s">
        <v>315</v>
      </c>
      <c r="E7092" s="1" t="s">
        <v>39</v>
      </c>
      <c r="F7092" s="1" t="s">
        <v>212</v>
      </c>
      <c r="G7092" s="5">
        <v>60.55</v>
      </c>
    </row>
    <row r="7093" spans="1:7" x14ac:dyDescent="0.2">
      <c r="A7093" s="3">
        <v>1215</v>
      </c>
      <c r="B7093" s="2">
        <v>73568.25</v>
      </c>
      <c r="C7093" s="38">
        <v>45162</v>
      </c>
      <c r="D7093" s="1" t="s">
        <v>315</v>
      </c>
      <c r="E7093" s="1" t="s">
        <v>39</v>
      </c>
      <c r="F7093" s="1" t="s">
        <v>212</v>
      </c>
      <c r="G7093" s="5">
        <v>60.55</v>
      </c>
    </row>
    <row r="7094" spans="1:7" x14ac:dyDescent="0.2">
      <c r="A7094" s="3">
        <v>270</v>
      </c>
      <c r="B7094" s="2">
        <v>15076.8</v>
      </c>
      <c r="C7094" s="38">
        <v>45166</v>
      </c>
      <c r="D7094" s="1" t="s">
        <v>333</v>
      </c>
      <c r="E7094" s="1" t="s">
        <v>34</v>
      </c>
      <c r="F7094" s="1" t="s">
        <v>216</v>
      </c>
      <c r="G7094" s="5">
        <v>55.84</v>
      </c>
    </row>
    <row r="7095" spans="1:7" x14ac:dyDescent="0.2">
      <c r="A7095" s="3">
        <v>270</v>
      </c>
      <c r="B7095" s="2">
        <v>15076.8</v>
      </c>
      <c r="C7095" s="38">
        <v>45166</v>
      </c>
      <c r="D7095" s="1" t="s">
        <v>333</v>
      </c>
      <c r="E7095" s="1" t="s">
        <v>34</v>
      </c>
      <c r="F7095" s="1" t="s">
        <v>216</v>
      </c>
      <c r="G7095" s="5">
        <v>55.84</v>
      </c>
    </row>
    <row r="7096" spans="1:7" x14ac:dyDescent="0.2">
      <c r="A7096" s="3">
        <v>270</v>
      </c>
      <c r="B7096" s="2">
        <v>15076.8</v>
      </c>
      <c r="C7096" s="38">
        <v>45166</v>
      </c>
      <c r="D7096" s="1" t="s">
        <v>333</v>
      </c>
      <c r="E7096" s="1" t="s">
        <v>34</v>
      </c>
      <c r="F7096" s="1" t="s">
        <v>216</v>
      </c>
      <c r="G7096" s="5">
        <v>55.84</v>
      </c>
    </row>
    <row r="7097" spans="1:7" x14ac:dyDescent="0.2">
      <c r="A7097" s="3">
        <v>297</v>
      </c>
      <c r="B7097" s="2">
        <v>17983.349999999999</v>
      </c>
      <c r="C7097" s="38">
        <v>45167</v>
      </c>
      <c r="D7097" s="1" t="s">
        <v>315</v>
      </c>
      <c r="E7097" s="1" t="s">
        <v>39</v>
      </c>
      <c r="F7097" s="1" t="s">
        <v>212</v>
      </c>
      <c r="G7097" s="5">
        <v>60.55</v>
      </c>
    </row>
    <row r="7098" spans="1:7" x14ac:dyDescent="0.2">
      <c r="A7098" s="3">
        <v>135</v>
      </c>
      <c r="B7098" s="2">
        <v>17589.150000000001</v>
      </c>
      <c r="C7098" s="38">
        <v>45167</v>
      </c>
      <c r="D7098" s="1" t="s">
        <v>317</v>
      </c>
      <c r="E7098" s="1" t="s">
        <v>39</v>
      </c>
      <c r="F7098" s="1" t="s">
        <v>212</v>
      </c>
      <c r="G7098" s="5">
        <v>130.29</v>
      </c>
    </row>
    <row r="7099" spans="1:7" x14ac:dyDescent="0.2">
      <c r="A7099" s="3">
        <v>4000</v>
      </c>
      <c r="B7099" s="2">
        <v>5360</v>
      </c>
      <c r="C7099" s="38">
        <v>45103</v>
      </c>
      <c r="D7099" s="1" t="s">
        <v>308</v>
      </c>
      <c r="E7099" s="1" t="s">
        <v>39</v>
      </c>
      <c r="F7099" s="1" t="s">
        <v>212</v>
      </c>
      <c r="G7099" s="5">
        <v>1.34</v>
      </c>
    </row>
    <row r="7100" spans="1:7" x14ac:dyDescent="0.2">
      <c r="A7100" s="3">
        <v>4000</v>
      </c>
      <c r="B7100" s="2">
        <v>5360</v>
      </c>
      <c r="C7100" s="38">
        <v>45125</v>
      </c>
      <c r="D7100" s="1" t="s">
        <v>308</v>
      </c>
      <c r="E7100" s="1" t="s">
        <v>39</v>
      </c>
      <c r="F7100" s="1" t="s">
        <v>212</v>
      </c>
      <c r="G7100" s="5">
        <v>1.34</v>
      </c>
    </row>
    <row r="7101" spans="1:7" x14ac:dyDescent="0.2">
      <c r="A7101" s="3">
        <v>6000</v>
      </c>
      <c r="B7101" s="2">
        <v>11880</v>
      </c>
      <c r="C7101" s="38">
        <v>45134</v>
      </c>
      <c r="D7101" s="1" t="s">
        <v>309</v>
      </c>
      <c r="E7101" s="1" t="s">
        <v>39</v>
      </c>
      <c r="F7101" s="1" t="s">
        <v>212</v>
      </c>
      <c r="G7101" s="5">
        <v>1.98</v>
      </c>
    </row>
    <row r="7102" spans="1:7" x14ac:dyDescent="0.2">
      <c r="A7102" s="3">
        <v>9000</v>
      </c>
      <c r="B7102" s="2">
        <v>15750</v>
      </c>
      <c r="C7102" s="38">
        <v>45135</v>
      </c>
      <c r="D7102" s="1" t="s">
        <v>304</v>
      </c>
      <c r="E7102" s="1" t="s">
        <v>39</v>
      </c>
      <c r="F7102" s="1" t="s">
        <v>212</v>
      </c>
      <c r="G7102" s="5">
        <v>1.75</v>
      </c>
    </row>
    <row r="7103" spans="1:7" x14ac:dyDescent="0.2">
      <c r="A7103" s="3">
        <v>6000</v>
      </c>
      <c r="B7103" s="2">
        <v>10500</v>
      </c>
      <c r="C7103" s="38">
        <v>45155</v>
      </c>
      <c r="D7103" s="1" t="s">
        <v>304</v>
      </c>
      <c r="E7103" s="1" t="s">
        <v>39</v>
      </c>
      <c r="F7103" s="1" t="s">
        <v>212</v>
      </c>
      <c r="G7103" s="5">
        <v>1.75</v>
      </c>
    </row>
    <row r="7104" spans="1:7" x14ac:dyDescent="0.2">
      <c r="A7104" s="3">
        <v>4000</v>
      </c>
      <c r="B7104" s="2">
        <v>5480</v>
      </c>
      <c r="C7104" s="38">
        <v>44900</v>
      </c>
      <c r="D7104" s="1" t="s">
        <v>308</v>
      </c>
      <c r="E7104" s="1" t="s">
        <v>39</v>
      </c>
      <c r="F7104" s="1" t="s">
        <v>212</v>
      </c>
      <c r="G7104" s="5">
        <v>1.37</v>
      </c>
    </row>
    <row r="7105" spans="1:7" x14ac:dyDescent="0.2">
      <c r="A7105" s="3">
        <v>9000</v>
      </c>
      <c r="B7105" s="2">
        <v>15840</v>
      </c>
      <c r="C7105" s="38">
        <v>44902</v>
      </c>
      <c r="D7105" s="1" t="s">
        <v>297</v>
      </c>
      <c r="E7105" s="1" t="s">
        <v>39</v>
      </c>
      <c r="F7105" s="1" t="s">
        <v>212</v>
      </c>
      <c r="G7105" s="5">
        <v>1.76</v>
      </c>
    </row>
    <row r="7106" spans="1:7" x14ac:dyDescent="0.2">
      <c r="A7106" s="3">
        <v>4000</v>
      </c>
      <c r="B7106" s="2">
        <v>3559.6</v>
      </c>
      <c r="C7106" s="38">
        <v>44939</v>
      </c>
      <c r="D7106" s="1" t="s">
        <v>341</v>
      </c>
      <c r="E7106" s="1" t="s">
        <v>38</v>
      </c>
      <c r="F7106" s="1" t="s">
        <v>202</v>
      </c>
      <c r="G7106" s="5">
        <v>0.88990000000000002</v>
      </c>
    </row>
    <row r="7107" spans="1:7" x14ac:dyDescent="0.2">
      <c r="A7107" s="3">
        <v>2000</v>
      </c>
      <c r="B7107" s="2">
        <v>1798</v>
      </c>
      <c r="C7107" s="38">
        <v>44939</v>
      </c>
      <c r="D7107" s="1" t="s">
        <v>341</v>
      </c>
      <c r="E7107" s="1" t="s">
        <v>38</v>
      </c>
      <c r="F7107" s="1" t="s">
        <v>202</v>
      </c>
      <c r="G7107" s="5">
        <v>0.89900000000000002</v>
      </c>
    </row>
    <row r="7108" spans="1:7" x14ac:dyDescent="0.2">
      <c r="A7108" s="3">
        <v>5000</v>
      </c>
      <c r="B7108" s="2">
        <v>6150</v>
      </c>
      <c r="C7108" s="38">
        <v>44943</v>
      </c>
      <c r="D7108" s="1" t="s">
        <v>374</v>
      </c>
      <c r="E7108" s="1" t="s">
        <v>40</v>
      </c>
      <c r="F7108" s="1" t="s">
        <v>206</v>
      </c>
      <c r="G7108" s="5">
        <v>1.23</v>
      </c>
    </row>
    <row r="7109" spans="1:7" x14ac:dyDescent="0.2">
      <c r="A7109" s="3">
        <v>4000</v>
      </c>
      <c r="B7109" s="2">
        <v>3559.6</v>
      </c>
      <c r="C7109" s="38">
        <v>44943</v>
      </c>
      <c r="D7109" s="1" t="s">
        <v>341</v>
      </c>
      <c r="E7109" s="1" t="s">
        <v>38</v>
      </c>
      <c r="F7109" s="1" t="s">
        <v>202</v>
      </c>
      <c r="G7109" s="5">
        <v>0.88990000000000002</v>
      </c>
    </row>
    <row r="7110" spans="1:7" x14ac:dyDescent="0.2">
      <c r="A7110" s="3">
        <v>2500</v>
      </c>
      <c r="B7110" s="2">
        <v>3875</v>
      </c>
      <c r="C7110" s="38">
        <v>44943</v>
      </c>
      <c r="D7110" s="1" t="s">
        <v>368</v>
      </c>
      <c r="E7110" s="1" t="s">
        <v>36</v>
      </c>
      <c r="F7110" s="1" t="s">
        <v>204</v>
      </c>
      <c r="G7110" s="5">
        <v>1.55</v>
      </c>
    </row>
    <row r="7111" spans="1:7" x14ac:dyDescent="0.2">
      <c r="A7111" s="3">
        <v>7500</v>
      </c>
      <c r="B7111" s="2">
        <v>11625</v>
      </c>
      <c r="C7111" s="38">
        <v>44943</v>
      </c>
      <c r="D7111" s="1" t="s">
        <v>368</v>
      </c>
      <c r="E7111" s="1" t="s">
        <v>36</v>
      </c>
      <c r="F7111" s="1" t="s">
        <v>204</v>
      </c>
      <c r="G7111" s="5">
        <v>1.55</v>
      </c>
    </row>
    <row r="7112" spans="1:7" x14ac:dyDescent="0.2">
      <c r="A7112" s="3">
        <v>2500</v>
      </c>
      <c r="B7112" s="2">
        <v>3875</v>
      </c>
      <c r="C7112" s="38">
        <v>44943</v>
      </c>
      <c r="D7112" s="1" t="s">
        <v>368</v>
      </c>
      <c r="E7112" s="1" t="s">
        <v>36</v>
      </c>
      <c r="F7112" s="1" t="s">
        <v>204</v>
      </c>
      <c r="G7112" s="5">
        <v>1.55</v>
      </c>
    </row>
    <row r="7113" spans="1:7" x14ac:dyDescent="0.2">
      <c r="A7113" s="3">
        <v>2500</v>
      </c>
      <c r="B7113" s="2">
        <v>9500</v>
      </c>
      <c r="C7113" s="38">
        <v>44943</v>
      </c>
      <c r="D7113" s="1" t="s">
        <v>371</v>
      </c>
      <c r="E7113" s="1" t="s">
        <v>36</v>
      </c>
      <c r="F7113" s="1" t="s">
        <v>204</v>
      </c>
      <c r="G7113" s="5">
        <v>3.8</v>
      </c>
    </row>
    <row r="7114" spans="1:7" x14ac:dyDescent="0.2">
      <c r="A7114" s="3">
        <v>5000</v>
      </c>
      <c r="B7114" s="2">
        <v>19000</v>
      </c>
      <c r="C7114" s="38">
        <v>44943</v>
      </c>
      <c r="D7114" s="1" t="s">
        <v>371</v>
      </c>
      <c r="E7114" s="1" t="s">
        <v>36</v>
      </c>
      <c r="F7114" s="1" t="s">
        <v>204</v>
      </c>
      <c r="G7114" s="5">
        <v>3.8</v>
      </c>
    </row>
    <row r="7115" spans="1:7" x14ac:dyDescent="0.2">
      <c r="A7115" s="3">
        <v>7500</v>
      </c>
      <c r="B7115" s="2">
        <v>28500</v>
      </c>
      <c r="C7115" s="38">
        <v>44943</v>
      </c>
      <c r="D7115" s="1" t="s">
        <v>371</v>
      </c>
      <c r="E7115" s="1" t="s">
        <v>36</v>
      </c>
      <c r="F7115" s="1" t="s">
        <v>204</v>
      </c>
      <c r="G7115" s="5">
        <v>3.8</v>
      </c>
    </row>
    <row r="7116" spans="1:7" x14ac:dyDescent="0.2">
      <c r="A7116" s="3">
        <v>5000</v>
      </c>
      <c r="B7116" s="2">
        <v>19000</v>
      </c>
      <c r="C7116" s="38">
        <v>44943</v>
      </c>
      <c r="D7116" s="1" t="s">
        <v>371</v>
      </c>
      <c r="E7116" s="1" t="s">
        <v>34</v>
      </c>
      <c r="F7116" s="1" t="s">
        <v>208</v>
      </c>
      <c r="G7116" s="5">
        <v>3.8</v>
      </c>
    </row>
    <row r="7117" spans="1:7" x14ac:dyDescent="0.2">
      <c r="A7117" s="3">
        <v>2000</v>
      </c>
      <c r="B7117" s="2">
        <v>1779.8</v>
      </c>
      <c r="C7117" s="38">
        <v>44943</v>
      </c>
      <c r="D7117" s="1" t="s">
        <v>341</v>
      </c>
      <c r="E7117" s="1" t="s">
        <v>34</v>
      </c>
      <c r="F7117" s="1" t="s">
        <v>218</v>
      </c>
      <c r="G7117" s="5">
        <v>0.88990000000000002</v>
      </c>
    </row>
    <row r="7118" spans="1:7" x14ac:dyDescent="0.2">
      <c r="A7118" s="3">
        <v>2500</v>
      </c>
      <c r="B7118" s="2">
        <v>4250</v>
      </c>
      <c r="C7118" s="38">
        <v>44949</v>
      </c>
      <c r="D7118" s="1" t="s">
        <v>370</v>
      </c>
      <c r="E7118" s="1" t="s">
        <v>36</v>
      </c>
      <c r="F7118" s="1" t="s">
        <v>204</v>
      </c>
      <c r="G7118" s="5">
        <v>1.7</v>
      </c>
    </row>
    <row r="7119" spans="1:7" x14ac:dyDescent="0.2">
      <c r="A7119" s="3">
        <v>2000</v>
      </c>
      <c r="B7119" s="2">
        <v>1779.8</v>
      </c>
      <c r="C7119" s="38">
        <v>44585</v>
      </c>
      <c r="D7119" s="1" t="s">
        <v>341</v>
      </c>
      <c r="E7119" s="1" t="s">
        <v>41</v>
      </c>
      <c r="F7119" s="1" t="s">
        <v>219</v>
      </c>
      <c r="G7119" s="5">
        <v>0.88990000000000002</v>
      </c>
    </row>
    <row r="7120" spans="1:7" x14ac:dyDescent="0.2">
      <c r="A7120" s="3">
        <v>2000</v>
      </c>
      <c r="B7120" s="2">
        <v>1779.8</v>
      </c>
      <c r="C7120" s="38">
        <v>44585</v>
      </c>
      <c r="D7120" s="1" t="s">
        <v>341</v>
      </c>
      <c r="E7120" s="1" t="s">
        <v>41</v>
      </c>
      <c r="F7120" s="1" t="s">
        <v>219</v>
      </c>
      <c r="G7120" s="5">
        <v>0.88990000000000002</v>
      </c>
    </row>
    <row r="7121" spans="1:7" x14ac:dyDescent="0.2">
      <c r="A7121" s="3">
        <v>2000</v>
      </c>
      <c r="B7121" s="2">
        <v>1779.8</v>
      </c>
      <c r="C7121" s="38">
        <v>44585</v>
      </c>
      <c r="D7121" s="1" t="s">
        <v>341</v>
      </c>
      <c r="E7121" s="1" t="s">
        <v>41</v>
      </c>
      <c r="F7121" s="1" t="s">
        <v>219</v>
      </c>
      <c r="G7121" s="5">
        <v>0.88990000000000002</v>
      </c>
    </row>
    <row r="7122" spans="1:7" x14ac:dyDescent="0.2">
      <c r="A7122" s="3">
        <v>6000</v>
      </c>
      <c r="B7122" s="2">
        <v>14040</v>
      </c>
      <c r="C7122" s="38">
        <v>44950</v>
      </c>
      <c r="D7122" s="1" t="s">
        <v>369</v>
      </c>
      <c r="E7122" s="1" t="s">
        <v>39</v>
      </c>
      <c r="F7122" s="1" t="s">
        <v>212</v>
      </c>
      <c r="G7122" s="5">
        <v>2.34</v>
      </c>
    </row>
    <row r="7123" spans="1:7" x14ac:dyDescent="0.2">
      <c r="A7123" s="3">
        <v>2500</v>
      </c>
      <c r="B7123" s="2">
        <v>3875</v>
      </c>
      <c r="C7123" s="38">
        <v>44963</v>
      </c>
      <c r="D7123" s="1" t="s">
        <v>368</v>
      </c>
      <c r="E7123" s="1" t="s">
        <v>36</v>
      </c>
      <c r="F7123" s="1" t="s">
        <v>204</v>
      </c>
      <c r="G7123" s="5">
        <v>1.55</v>
      </c>
    </row>
    <row r="7124" spans="1:7" x14ac:dyDescent="0.2">
      <c r="A7124" s="3">
        <v>7500</v>
      </c>
      <c r="B7124" s="2">
        <v>28500</v>
      </c>
      <c r="C7124" s="38">
        <v>44963</v>
      </c>
      <c r="D7124" s="1" t="s">
        <v>371</v>
      </c>
      <c r="E7124" s="1" t="s">
        <v>36</v>
      </c>
      <c r="F7124" s="1" t="s">
        <v>204</v>
      </c>
      <c r="G7124" s="5">
        <v>3.8</v>
      </c>
    </row>
    <row r="7125" spans="1:7" x14ac:dyDescent="0.2">
      <c r="A7125" s="3">
        <v>2500</v>
      </c>
      <c r="B7125" s="2">
        <v>3875</v>
      </c>
      <c r="C7125" s="38">
        <v>44964</v>
      </c>
      <c r="D7125" s="1" t="s">
        <v>368</v>
      </c>
      <c r="E7125" s="1" t="s">
        <v>34</v>
      </c>
      <c r="F7125" s="1" t="s">
        <v>208</v>
      </c>
      <c r="G7125" s="5">
        <v>1.55</v>
      </c>
    </row>
    <row r="7126" spans="1:7" x14ac:dyDescent="0.2">
      <c r="A7126" s="3">
        <v>10000</v>
      </c>
      <c r="B7126" s="2">
        <v>38000</v>
      </c>
      <c r="C7126" s="38">
        <v>44964</v>
      </c>
      <c r="D7126" s="1" t="s">
        <v>371</v>
      </c>
      <c r="E7126" s="1" t="s">
        <v>34</v>
      </c>
      <c r="F7126" s="1" t="s">
        <v>208</v>
      </c>
      <c r="G7126" s="5">
        <v>3.8</v>
      </c>
    </row>
    <row r="7127" spans="1:7" x14ac:dyDescent="0.2">
      <c r="A7127" s="3">
        <v>2500</v>
      </c>
      <c r="B7127" s="2">
        <v>3875</v>
      </c>
      <c r="C7127" s="38">
        <v>44973</v>
      </c>
      <c r="D7127" s="1" t="s">
        <v>368</v>
      </c>
      <c r="E7127" s="1" t="s">
        <v>34</v>
      </c>
      <c r="F7127" s="1" t="s">
        <v>208</v>
      </c>
      <c r="G7127" s="5">
        <v>1.55</v>
      </c>
    </row>
    <row r="7128" spans="1:7" x14ac:dyDescent="0.2">
      <c r="A7128" s="3">
        <v>5000</v>
      </c>
      <c r="B7128" s="2">
        <v>19000</v>
      </c>
      <c r="C7128" s="38">
        <v>44973</v>
      </c>
      <c r="D7128" s="1" t="s">
        <v>371</v>
      </c>
      <c r="E7128" s="1" t="s">
        <v>34</v>
      </c>
      <c r="F7128" s="1" t="s">
        <v>208</v>
      </c>
      <c r="G7128" s="5">
        <v>3.8</v>
      </c>
    </row>
    <row r="7129" spans="1:7" x14ac:dyDescent="0.2">
      <c r="A7129" s="3">
        <v>2000</v>
      </c>
      <c r="B7129" s="2">
        <v>1780</v>
      </c>
      <c r="C7129" s="38">
        <v>45068</v>
      </c>
      <c r="D7129" s="1" t="s">
        <v>341</v>
      </c>
      <c r="E7129" s="1" t="s">
        <v>40</v>
      </c>
      <c r="F7129" s="1" t="s">
        <v>220</v>
      </c>
      <c r="G7129" s="5">
        <v>0.89</v>
      </c>
    </row>
    <row r="7130" spans="1:7" x14ac:dyDescent="0.2">
      <c r="A7130" s="3">
        <v>42500</v>
      </c>
      <c r="B7130" s="2">
        <v>52275</v>
      </c>
      <c r="C7130" s="38">
        <v>45071</v>
      </c>
      <c r="D7130" s="1" t="s">
        <v>374</v>
      </c>
      <c r="E7130" s="1" t="s">
        <v>40</v>
      </c>
      <c r="F7130" s="1" t="s">
        <v>206</v>
      </c>
      <c r="G7130" s="5">
        <v>1.23</v>
      </c>
    </row>
    <row r="7131" spans="1:7" x14ac:dyDescent="0.2">
      <c r="A7131" s="3">
        <v>6000</v>
      </c>
      <c r="B7131" s="2">
        <v>5340</v>
      </c>
      <c r="C7131" s="38">
        <v>45091</v>
      </c>
      <c r="D7131" s="1" t="s">
        <v>341</v>
      </c>
      <c r="E7131" s="1" t="s">
        <v>38</v>
      </c>
      <c r="F7131" s="1" t="s">
        <v>202</v>
      </c>
      <c r="G7131" s="5">
        <v>0.89</v>
      </c>
    </row>
    <row r="7132" spans="1:7" x14ac:dyDescent="0.2">
      <c r="A7132" s="3">
        <v>2000</v>
      </c>
      <c r="B7132" s="2">
        <v>1780</v>
      </c>
      <c r="C7132" s="38">
        <v>45092</v>
      </c>
      <c r="D7132" s="1" t="s">
        <v>341</v>
      </c>
      <c r="E7132" s="1" t="s">
        <v>38</v>
      </c>
      <c r="F7132" s="1" t="s">
        <v>202</v>
      </c>
      <c r="G7132" s="5">
        <v>0.89</v>
      </c>
    </row>
    <row r="7133" spans="1:7" x14ac:dyDescent="0.2">
      <c r="A7133" s="3">
        <v>2500</v>
      </c>
      <c r="B7133" s="2">
        <v>3875</v>
      </c>
      <c r="C7133" s="38">
        <v>44729</v>
      </c>
      <c r="D7133" s="1" t="s">
        <v>368</v>
      </c>
      <c r="E7133" s="1" t="s">
        <v>36</v>
      </c>
      <c r="F7133" s="1" t="s">
        <v>221</v>
      </c>
      <c r="G7133" s="5">
        <v>1.55</v>
      </c>
    </row>
    <row r="7134" spans="1:7" x14ac:dyDescent="0.2">
      <c r="A7134" s="3">
        <v>2000</v>
      </c>
      <c r="B7134" s="2">
        <v>1780</v>
      </c>
      <c r="C7134" s="38">
        <v>45099</v>
      </c>
      <c r="D7134" s="1" t="s">
        <v>341</v>
      </c>
      <c r="E7134" s="1" t="s">
        <v>38</v>
      </c>
      <c r="F7134" s="1" t="s">
        <v>202</v>
      </c>
      <c r="G7134" s="5">
        <v>0.89</v>
      </c>
    </row>
    <row r="7135" spans="1:7" x14ac:dyDescent="0.2">
      <c r="A7135" s="3">
        <v>5000</v>
      </c>
      <c r="B7135" s="2">
        <v>19000</v>
      </c>
      <c r="C7135" s="38">
        <v>44993</v>
      </c>
      <c r="D7135" s="1" t="s">
        <v>371</v>
      </c>
      <c r="E7135" s="1" t="s">
        <v>36</v>
      </c>
      <c r="F7135" s="1" t="s">
        <v>204</v>
      </c>
      <c r="G7135" s="5">
        <v>3.8</v>
      </c>
    </row>
    <row r="7136" spans="1:7" x14ac:dyDescent="0.2">
      <c r="A7136" s="3">
        <v>5000</v>
      </c>
      <c r="B7136" s="2">
        <v>6150</v>
      </c>
      <c r="C7136" s="38">
        <v>44637</v>
      </c>
      <c r="D7136" s="1" t="s">
        <v>374</v>
      </c>
      <c r="E7136" s="1" t="s">
        <v>40</v>
      </c>
      <c r="F7136" s="1" t="s">
        <v>206</v>
      </c>
      <c r="G7136" s="5">
        <v>1.23</v>
      </c>
    </row>
    <row r="7137" spans="1:7" x14ac:dyDescent="0.2">
      <c r="A7137" s="3">
        <v>2500</v>
      </c>
      <c r="B7137" s="2">
        <v>12500</v>
      </c>
      <c r="C7137" s="38">
        <v>44648</v>
      </c>
      <c r="D7137" s="1" t="s">
        <v>375</v>
      </c>
      <c r="E7137" s="1" t="s">
        <v>40</v>
      </c>
      <c r="F7137" s="1" t="s">
        <v>206</v>
      </c>
      <c r="G7137" s="5">
        <v>5</v>
      </c>
    </row>
    <row r="7138" spans="1:7" x14ac:dyDescent="0.2">
      <c r="A7138" s="3">
        <v>20000</v>
      </c>
      <c r="B7138" s="2">
        <v>60800</v>
      </c>
      <c r="C7138" s="38">
        <v>44650</v>
      </c>
      <c r="D7138" s="1" t="s">
        <v>371</v>
      </c>
      <c r="E7138" s="1" t="s">
        <v>34</v>
      </c>
      <c r="F7138" s="1" t="s">
        <v>213</v>
      </c>
      <c r="G7138" s="5">
        <v>3.04</v>
      </c>
    </row>
    <row r="7139" spans="1:7" x14ac:dyDescent="0.2">
      <c r="A7139" s="3">
        <v>2000</v>
      </c>
      <c r="B7139" s="2">
        <v>1780</v>
      </c>
      <c r="C7139" s="38">
        <v>45015</v>
      </c>
      <c r="D7139" s="1" t="s">
        <v>341</v>
      </c>
      <c r="E7139" s="1" t="s">
        <v>38</v>
      </c>
      <c r="F7139" s="1" t="s">
        <v>202</v>
      </c>
      <c r="G7139" s="5">
        <v>0.89</v>
      </c>
    </row>
    <row r="7140" spans="1:7" x14ac:dyDescent="0.2">
      <c r="A7140" s="3">
        <v>2000</v>
      </c>
      <c r="B7140" s="2">
        <v>1779.8</v>
      </c>
      <c r="C7140" s="38">
        <v>44659</v>
      </c>
      <c r="D7140" s="1" t="s">
        <v>341</v>
      </c>
      <c r="E7140" s="1" t="s">
        <v>40</v>
      </c>
      <c r="F7140" s="1" t="s">
        <v>220</v>
      </c>
      <c r="G7140" s="5">
        <v>0.88990000000000002</v>
      </c>
    </row>
    <row r="7141" spans="1:7" x14ac:dyDescent="0.2">
      <c r="A7141" s="3">
        <v>2500</v>
      </c>
      <c r="B7141" s="2">
        <v>9500</v>
      </c>
      <c r="C7141" s="38">
        <v>45033</v>
      </c>
      <c r="D7141" s="1" t="s">
        <v>371</v>
      </c>
      <c r="E7141" s="1" t="s">
        <v>34</v>
      </c>
      <c r="F7141" s="1" t="s">
        <v>213</v>
      </c>
      <c r="G7141" s="5">
        <v>3.8</v>
      </c>
    </row>
    <row r="7142" spans="1:7" x14ac:dyDescent="0.2">
      <c r="A7142" s="3">
        <v>2500</v>
      </c>
      <c r="B7142" s="2">
        <v>4250</v>
      </c>
      <c r="C7142" s="38">
        <v>45040</v>
      </c>
      <c r="D7142" s="1" t="s">
        <v>370</v>
      </c>
      <c r="E7142" s="1" t="s">
        <v>36</v>
      </c>
      <c r="F7142" s="1" t="s">
        <v>204</v>
      </c>
      <c r="G7142" s="5">
        <v>1.7</v>
      </c>
    </row>
    <row r="7143" spans="1:7" x14ac:dyDescent="0.2">
      <c r="A7143" s="3">
        <v>2500</v>
      </c>
      <c r="B7143" s="2">
        <v>4250</v>
      </c>
      <c r="C7143" s="38">
        <v>44736</v>
      </c>
      <c r="D7143" s="1" t="s">
        <v>370</v>
      </c>
      <c r="E7143" s="1" t="s">
        <v>36</v>
      </c>
      <c r="F7143" s="1" t="s">
        <v>221</v>
      </c>
      <c r="G7143" s="5">
        <v>1.7</v>
      </c>
    </row>
    <row r="7144" spans="1:7" x14ac:dyDescent="0.2">
      <c r="A7144" s="3">
        <v>2500</v>
      </c>
      <c r="B7144" s="2">
        <v>9100</v>
      </c>
      <c r="C7144" s="38">
        <v>45103</v>
      </c>
      <c r="D7144" s="1" t="s">
        <v>338</v>
      </c>
      <c r="E7144" s="1" t="s">
        <v>39</v>
      </c>
      <c r="F7144" s="1" t="s">
        <v>212</v>
      </c>
      <c r="G7144" s="5">
        <v>3.64</v>
      </c>
    </row>
    <row r="7145" spans="1:7" x14ac:dyDescent="0.2">
      <c r="A7145" s="3">
        <v>7500</v>
      </c>
      <c r="B7145" s="2">
        <v>109200</v>
      </c>
      <c r="C7145" s="38">
        <v>44740</v>
      </c>
      <c r="D7145" s="1" t="s">
        <v>371</v>
      </c>
      <c r="E7145" s="1" t="s">
        <v>36</v>
      </c>
      <c r="F7145" s="1" t="s">
        <v>221</v>
      </c>
      <c r="G7145" s="5">
        <v>14.56</v>
      </c>
    </row>
    <row r="7146" spans="1:7" x14ac:dyDescent="0.2">
      <c r="A7146" s="3">
        <v>5000</v>
      </c>
      <c r="B7146" s="2">
        <v>72800</v>
      </c>
      <c r="C7146" s="38">
        <v>44740</v>
      </c>
      <c r="D7146" s="1" t="s">
        <v>371</v>
      </c>
      <c r="E7146" s="1" t="s">
        <v>36</v>
      </c>
      <c r="F7146" s="1" t="s">
        <v>221</v>
      </c>
      <c r="G7146" s="5">
        <v>14.56</v>
      </c>
    </row>
    <row r="7147" spans="1:7" x14ac:dyDescent="0.2">
      <c r="A7147" s="3">
        <v>6000</v>
      </c>
      <c r="B7147" s="2">
        <v>14040</v>
      </c>
      <c r="C7147" s="38">
        <v>45114</v>
      </c>
      <c r="D7147" s="1" t="s">
        <v>369</v>
      </c>
      <c r="E7147" s="1" t="s">
        <v>39</v>
      </c>
      <c r="F7147" s="1" t="s">
        <v>212</v>
      </c>
      <c r="G7147" s="5">
        <v>2.34</v>
      </c>
    </row>
    <row r="7148" spans="1:7" x14ac:dyDescent="0.2">
      <c r="A7148" s="3">
        <v>5000</v>
      </c>
      <c r="B7148" s="2">
        <v>6150</v>
      </c>
      <c r="C7148" s="38">
        <v>44755</v>
      </c>
      <c r="D7148" s="1" t="s">
        <v>374</v>
      </c>
      <c r="E7148" s="1" t="s">
        <v>40</v>
      </c>
      <c r="F7148" s="1" t="s">
        <v>206</v>
      </c>
      <c r="G7148" s="5">
        <v>1.23</v>
      </c>
    </row>
    <row r="7149" spans="1:7" x14ac:dyDescent="0.2">
      <c r="A7149" s="3">
        <v>2000</v>
      </c>
      <c r="B7149" s="2">
        <v>1779.8</v>
      </c>
      <c r="C7149" s="38">
        <v>44762</v>
      </c>
      <c r="D7149" s="1" t="s">
        <v>341</v>
      </c>
      <c r="E7149" s="1" t="s">
        <v>34</v>
      </c>
      <c r="F7149" s="1" t="s">
        <v>218</v>
      </c>
      <c r="G7149" s="5">
        <v>0.88990000000000002</v>
      </c>
    </row>
    <row r="7150" spans="1:7" x14ac:dyDescent="0.2">
      <c r="A7150" s="3">
        <v>2000</v>
      </c>
      <c r="B7150" s="2">
        <v>1779.8</v>
      </c>
      <c r="C7150" s="38">
        <v>44762</v>
      </c>
      <c r="D7150" s="1" t="s">
        <v>341</v>
      </c>
      <c r="E7150" s="1" t="s">
        <v>34</v>
      </c>
      <c r="F7150" s="1" t="s">
        <v>218</v>
      </c>
      <c r="G7150" s="5">
        <v>0.88990000000000002</v>
      </c>
    </row>
    <row r="7151" spans="1:7" x14ac:dyDescent="0.2">
      <c r="A7151" s="3">
        <v>5000</v>
      </c>
      <c r="B7151" s="2">
        <v>19000</v>
      </c>
      <c r="C7151" s="38">
        <v>45133</v>
      </c>
      <c r="D7151" s="1" t="s">
        <v>371</v>
      </c>
      <c r="E7151" s="1" t="s">
        <v>34</v>
      </c>
      <c r="F7151" s="1" t="s">
        <v>213</v>
      </c>
      <c r="G7151" s="5">
        <v>3.8</v>
      </c>
    </row>
    <row r="7152" spans="1:7" x14ac:dyDescent="0.2">
      <c r="A7152" s="3">
        <v>2500</v>
      </c>
      <c r="B7152" s="2">
        <v>9500</v>
      </c>
      <c r="C7152" s="38">
        <v>45133</v>
      </c>
      <c r="D7152" s="1" t="s">
        <v>371</v>
      </c>
      <c r="E7152" s="1" t="s">
        <v>34</v>
      </c>
      <c r="F7152" s="1" t="s">
        <v>213</v>
      </c>
      <c r="G7152" s="5">
        <v>3.8</v>
      </c>
    </row>
    <row r="7153" spans="1:7" x14ac:dyDescent="0.2">
      <c r="A7153" s="3">
        <v>5000</v>
      </c>
      <c r="B7153" s="2">
        <v>19000</v>
      </c>
      <c r="C7153" s="38">
        <v>45133</v>
      </c>
      <c r="D7153" s="1" t="s">
        <v>371</v>
      </c>
      <c r="E7153" s="1" t="s">
        <v>34</v>
      </c>
      <c r="F7153" s="1" t="s">
        <v>213</v>
      </c>
      <c r="G7153" s="5">
        <v>3.8</v>
      </c>
    </row>
    <row r="7154" spans="1:7" x14ac:dyDescent="0.2">
      <c r="A7154" s="3">
        <v>5000</v>
      </c>
      <c r="B7154" s="2">
        <v>7750</v>
      </c>
      <c r="C7154" s="38">
        <v>44771</v>
      </c>
      <c r="D7154" s="1" t="s">
        <v>368</v>
      </c>
      <c r="E7154" s="1" t="s">
        <v>36</v>
      </c>
      <c r="F7154" s="1" t="s">
        <v>221</v>
      </c>
      <c r="G7154" s="5">
        <v>1.55</v>
      </c>
    </row>
    <row r="7155" spans="1:7" x14ac:dyDescent="0.2">
      <c r="A7155" s="3">
        <v>2500</v>
      </c>
      <c r="B7155" s="2">
        <v>4250</v>
      </c>
      <c r="C7155" s="38">
        <v>44690</v>
      </c>
      <c r="D7155" s="1" t="s">
        <v>370</v>
      </c>
      <c r="E7155" s="1" t="s">
        <v>36</v>
      </c>
      <c r="F7155" s="1" t="s">
        <v>221</v>
      </c>
      <c r="G7155" s="5">
        <v>1.7</v>
      </c>
    </row>
    <row r="7156" spans="1:7" x14ac:dyDescent="0.2">
      <c r="A7156" s="3">
        <v>2500</v>
      </c>
      <c r="B7156" s="2">
        <v>3875</v>
      </c>
      <c r="C7156" s="38">
        <v>44693</v>
      </c>
      <c r="D7156" s="1" t="s">
        <v>368</v>
      </c>
      <c r="E7156" s="1" t="s">
        <v>36</v>
      </c>
      <c r="F7156" s="1" t="s">
        <v>221</v>
      </c>
      <c r="G7156" s="5">
        <v>1.55</v>
      </c>
    </row>
    <row r="7157" spans="1:7" x14ac:dyDescent="0.2">
      <c r="A7157" s="3">
        <v>10000</v>
      </c>
      <c r="B7157" s="2">
        <v>145600</v>
      </c>
      <c r="C7157" s="38">
        <v>44802</v>
      </c>
      <c r="D7157" s="1" t="s">
        <v>371</v>
      </c>
      <c r="E7157" s="1" t="s">
        <v>36</v>
      </c>
      <c r="F7157" s="1" t="s">
        <v>221</v>
      </c>
      <c r="G7157" s="5">
        <v>14.56</v>
      </c>
    </row>
    <row r="7158" spans="1:7" x14ac:dyDescent="0.2">
      <c r="A7158" s="3">
        <v>5000</v>
      </c>
      <c r="B7158" s="2">
        <v>19000</v>
      </c>
      <c r="C7158" s="38">
        <v>44812</v>
      </c>
      <c r="D7158" s="1" t="s">
        <v>371</v>
      </c>
      <c r="E7158" s="1" t="s">
        <v>36</v>
      </c>
      <c r="F7158" s="1" t="s">
        <v>221</v>
      </c>
      <c r="G7158" s="5">
        <v>3.8</v>
      </c>
    </row>
    <row r="7159" spans="1:7" x14ac:dyDescent="0.2">
      <c r="A7159" s="3">
        <v>2000</v>
      </c>
      <c r="B7159" s="2">
        <v>1779.8</v>
      </c>
      <c r="C7159" s="38">
        <v>44791</v>
      </c>
      <c r="D7159" s="1" t="s">
        <v>341</v>
      </c>
      <c r="E7159" s="1" t="s">
        <v>34</v>
      </c>
      <c r="F7159" s="1" t="s">
        <v>218</v>
      </c>
      <c r="G7159" s="5">
        <v>0.88990000000000002</v>
      </c>
    </row>
    <row r="7160" spans="1:7" x14ac:dyDescent="0.2">
      <c r="A7160" s="3">
        <v>2500</v>
      </c>
      <c r="B7160" s="2">
        <v>9100</v>
      </c>
      <c r="C7160" s="38">
        <v>44792</v>
      </c>
      <c r="D7160" s="1" t="s">
        <v>338</v>
      </c>
      <c r="E7160" s="1" t="s">
        <v>38</v>
      </c>
      <c r="F7160" s="1" t="s">
        <v>202</v>
      </c>
      <c r="G7160" s="5">
        <v>3.64</v>
      </c>
    </row>
    <row r="7161" spans="1:7" x14ac:dyDescent="0.2">
      <c r="A7161" s="3">
        <v>2500</v>
      </c>
      <c r="B7161" s="2">
        <v>3875</v>
      </c>
      <c r="C7161" s="38">
        <v>44792</v>
      </c>
      <c r="D7161" s="1" t="s">
        <v>368</v>
      </c>
      <c r="E7161" s="1" t="s">
        <v>36</v>
      </c>
      <c r="F7161" s="1" t="s">
        <v>221</v>
      </c>
      <c r="G7161" s="5">
        <v>1.55</v>
      </c>
    </row>
    <row r="7162" spans="1:7" x14ac:dyDescent="0.2">
      <c r="A7162" s="3">
        <v>2500</v>
      </c>
      <c r="B7162" s="2">
        <v>4250</v>
      </c>
      <c r="C7162" s="38">
        <v>44792</v>
      </c>
      <c r="D7162" s="1" t="s">
        <v>370</v>
      </c>
      <c r="E7162" s="1" t="s">
        <v>36</v>
      </c>
      <c r="F7162" s="1" t="s">
        <v>221</v>
      </c>
      <c r="G7162" s="5">
        <v>1.7</v>
      </c>
    </row>
    <row r="7163" spans="1:7" x14ac:dyDescent="0.2">
      <c r="A7163" s="3">
        <v>5000</v>
      </c>
      <c r="B7163" s="2">
        <v>72800</v>
      </c>
      <c r="C7163" s="38">
        <v>44799</v>
      </c>
      <c r="D7163" s="1" t="s">
        <v>371</v>
      </c>
      <c r="E7163" s="1" t="s">
        <v>36</v>
      </c>
      <c r="F7163" s="1" t="s">
        <v>221</v>
      </c>
      <c r="G7163" s="5">
        <v>14.56</v>
      </c>
    </row>
    <row r="7164" spans="1:7" x14ac:dyDescent="0.2">
      <c r="A7164" s="3">
        <v>7500</v>
      </c>
      <c r="B7164" s="2">
        <v>28500</v>
      </c>
      <c r="C7164" s="38">
        <v>44827</v>
      </c>
      <c r="D7164" s="1" t="s">
        <v>371</v>
      </c>
      <c r="E7164" s="1" t="s">
        <v>36</v>
      </c>
      <c r="F7164" s="1" t="s">
        <v>221</v>
      </c>
      <c r="G7164" s="5">
        <v>3.8</v>
      </c>
    </row>
    <row r="7165" spans="1:7" x14ac:dyDescent="0.2">
      <c r="A7165" s="3">
        <v>2000</v>
      </c>
      <c r="B7165" s="2">
        <v>1779.8</v>
      </c>
      <c r="C7165" s="38">
        <v>44883</v>
      </c>
      <c r="D7165" s="1" t="s">
        <v>341</v>
      </c>
      <c r="E7165" s="1" t="s">
        <v>34</v>
      </c>
      <c r="F7165" s="1" t="s">
        <v>218</v>
      </c>
      <c r="G7165" s="5">
        <v>0.88990000000000002</v>
      </c>
    </row>
    <row r="7166" spans="1:7" x14ac:dyDescent="0.2">
      <c r="A7166" s="3">
        <v>2500</v>
      </c>
      <c r="B7166" s="2">
        <v>3875</v>
      </c>
      <c r="C7166" s="38">
        <v>44834</v>
      </c>
      <c r="D7166" s="1" t="s">
        <v>368</v>
      </c>
      <c r="E7166" s="1" t="s">
        <v>36</v>
      </c>
      <c r="F7166" s="1" t="s">
        <v>221</v>
      </c>
      <c r="G7166" s="5">
        <v>1.55</v>
      </c>
    </row>
    <row r="7167" spans="1:7" x14ac:dyDescent="0.2">
      <c r="A7167" s="3">
        <v>5000</v>
      </c>
      <c r="B7167" s="2">
        <v>7750</v>
      </c>
      <c r="C7167" s="38">
        <v>44834</v>
      </c>
      <c r="D7167" s="1" t="s">
        <v>368</v>
      </c>
      <c r="E7167" s="1" t="s">
        <v>36</v>
      </c>
      <c r="F7167" s="1" t="s">
        <v>204</v>
      </c>
      <c r="G7167" s="5">
        <v>1.55</v>
      </c>
    </row>
    <row r="7168" spans="1:7" x14ac:dyDescent="0.2">
      <c r="A7168" s="3">
        <v>2500</v>
      </c>
      <c r="B7168" s="2">
        <v>36400</v>
      </c>
      <c r="C7168" s="38">
        <v>44855</v>
      </c>
      <c r="D7168" s="1" t="s">
        <v>371</v>
      </c>
      <c r="E7168" s="1" t="s">
        <v>36</v>
      </c>
      <c r="F7168" s="1" t="s">
        <v>204</v>
      </c>
      <c r="G7168" s="5">
        <v>14.56</v>
      </c>
    </row>
    <row r="7169" spans="1:7" x14ac:dyDescent="0.2">
      <c r="A7169" s="3">
        <v>7500</v>
      </c>
      <c r="B7169" s="2">
        <v>28500</v>
      </c>
      <c r="C7169" s="38">
        <v>44918</v>
      </c>
      <c r="D7169" s="1" t="s">
        <v>371</v>
      </c>
      <c r="E7169" s="1" t="s">
        <v>36</v>
      </c>
      <c r="F7169" s="1" t="s">
        <v>221</v>
      </c>
      <c r="G7169" s="5">
        <v>3.8</v>
      </c>
    </row>
    <row r="7170" spans="1:7" x14ac:dyDescent="0.2">
      <c r="A7170" s="3">
        <v>5000</v>
      </c>
      <c r="B7170" s="2">
        <v>7750</v>
      </c>
      <c r="C7170" s="38">
        <v>44918</v>
      </c>
      <c r="D7170" s="1" t="s">
        <v>368</v>
      </c>
      <c r="E7170" s="1" t="s">
        <v>36</v>
      </c>
      <c r="F7170" s="1" t="s">
        <v>204</v>
      </c>
      <c r="G7170" s="5">
        <v>1.55</v>
      </c>
    </row>
    <row r="7171" spans="1:7" x14ac:dyDescent="0.2">
      <c r="A7171" s="3">
        <v>2500</v>
      </c>
      <c r="B7171" s="2">
        <v>3875</v>
      </c>
      <c r="C7171" s="38">
        <v>44918</v>
      </c>
      <c r="D7171" s="1" t="s">
        <v>368</v>
      </c>
      <c r="E7171" s="1" t="s">
        <v>36</v>
      </c>
      <c r="F7171" s="1" t="s">
        <v>221</v>
      </c>
      <c r="G7171" s="5">
        <v>1.55</v>
      </c>
    </row>
    <row r="7172" spans="1:7" x14ac:dyDescent="0.2">
      <c r="A7172" s="3">
        <v>4000</v>
      </c>
      <c r="B7172" s="2">
        <v>4560</v>
      </c>
      <c r="C7172" s="38">
        <v>44630</v>
      </c>
      <c r="D7172" s="1" t="s">
        <v>353</v>
      </c>
      <c r="E7172" s="1" t="s">
        <v>41</v>
      </c>
      <c r="F7172" s="1" t="s">
        <v>219</v>
      </c>
      <c r="G7172" s="5">
        <v>1.1399999999999999</v>
      </c>
    </row>
    <row r="7173" spans="1:7" x14ac:dyDescent="0.2">
      <c r="A7173" s="3">
        <v>4000</v>
      </c>
      <c r="B7173" s="2">
        <v>4560</v>
      </c>
      <c r="C7173" s="38">
        <v>44630</v>
      </c>
      <c r="D7173" s="1" t="s">
        <v>353</v>
      </c>
      <c r="E7173" s="1" t="s">
        <v>41</v>
      </c>
      <c r="F7173" s="1" t="s">
        <v>219</v>
      </c>
      <c r="G7173" s="5">
        <v>1.1399999999999999</v>
      </c>
    </row>
    <row r="7174" spans="1:7" x14ac:dyDescent="0.2">
      <c r="A7174" s="3">
        <v>2000</v>
      </c>
      <c r="B7174" s="2">
        <v>2280</v>
      </c>
      <c r="C7174" s="38">
        <v>44630</v>
      </c>
      <c r="D7174" s="1" t="s">
        <v>353</v>
      </c>
      <c r="E7174" s="1" t="s">
        <v>41</v>
      </c>
      <c r="F7174" s="1" t="s">
        <v>219</v>
      </c>
      <c r="G7174" s="5">
        <v>1.1399999999999999</v>
      </c>
    </row>
    <row r="7175" spans="1:7" x14ac:dyDescent="0.2">
      <c r="A7175" s="3">
        <v>6000</v>
      </c>
      <c r="B7175" s="2">
        <v>6840</v>
      </c>
      <c r="C7175" s="38">
        <v>44630</v>
      </c>
      <c r="D7175" s="1" t="s">
        <v>353</v>
      </c>
      <c r="E7175" s="1" t="s">
        <v>41</v>
      </c>
      <c r="F7175" s="1" t="s">
        <v>219</v>
      </c>
      <c r="G7175" s="5">
        <v>1.1399999999999999</v>
      </c>
    </row>
    <row r="7176" spans="1:7" x14ac:dyDescent="0.2">
      <c r="A7176" s="3">
        <v>2000</v>
      </c>
      <c r="B7176" s="2">
        <v>2280</v>
      </c>
      <c r="C7176" s="38">
        <v>44644</v>
      </c>
      <c r="D7176" s="1" t="s">
        <v>353</v>
      </c>
      <c r="E7176" s="1" t="s">
        <v>41</v>
      </c>
      <c r="F7176" s="1" t="s">
        <v>219</v>
      </c>
      <c r="G7176" s="5">
        <v>1.1399999999999999</v>
      </c>
    </row>
    <row r="7177" spans="1:7" x14ac:dyDescent="0.2">
      <c r="A7177" s="3">
        <v>4000</v>
      </c>
      <c r="B7177" s="2">
        <v>4560</v>
      </c>
      <c r="C7177" s="38">
        <v>44684</v>
      </c>
      <c r="D7177" s="1" t="s">
        <v>353</v>
      </c>
      <c r="E7177" s="1" t="s">
        <v>38</v>
      </c>
      <c r="F7177" s="1" t="s">
        <v>202</v>
      </c>
      <c r="G7177" s="5">
        <v>1.1399999999999999</v>
      </c>
    </row>
    <row r="7178" spans="1:7" x14ac:dyDescent="0.2">
      <c r="A7178" s="3">
        <v>4000</v>
      </c>
      <c r="B7178" s="2">
        <v>4560</v>
      </c>
      <c r="C7178" s="38">
        <v>44684</v>
      </c>
      <c r="D7178" s="1" t="s">
        <v>353</v>
      </c>
      <c r="E7178" s="1" t="s">
        <v>38</v>
      </c>
      <c r="F7178" s="1" t="s">
        <v>202</v>
      </c>
      <c r="G7178" s="5">
        <v>1.1399999999999999</v>
      </c>
    </row>
    <row r="7179" spans="1:7" x14ac:dyDescent="0.2">
      <c r="A7179" s="3">
        <v>4000</v>
      </c>
      <c r="B7179" s="2">
        <v>4560</v>
      </c>
      <c r="C7179" s="38">
        <v>44684</v>
      </c>
      <c r="D7179" s="1" t="s">
        <v>353</v>
      </c>
      <c r="E7179" s="1" t="s">
        <v>38</v>
      </c>
      <c r="F7179" s="1" t="s">
        <v>202</v>
      </c>
      <c r="G7179" s="5">
        <v>1.1399999999999999</v>
      </c>
    </row>
    <row r="7180" spans="1:7" x14ac:dyDescent="0.2">
      <c r="A7180" s="3">
        <v>4000</v>
      </c>
      <c r="B7180" s="2">
        <v>4560</v>
      </c>
      <c r="C7180" s="38">
        <v>44684</v>
      </c>
      <c r="D7180" s="1" t="s">
        <v>353</v>
      </c>
      <c r="E7180" s="1" t="s">
        <v>38</v>
      </c>
      <c r="F7180" s="1" t="s">
        <v>202</v>
      </c>
      <c r="G7180" s="5">
        <v>1.1399999999999999</v>
      </c>
    </row>
    <row r="7181" spans="1:7" x14ac:dyDescent="0.2">
      <c r="A7181" s="3">
        <v>4000</v>
      </c>
      <c r="B7181" s="2">
        <v>4560</v>
      </c>
      <c r="C7181" s="38">
        <v>44684</v>
      </c>
      <c r="D7181" s="1" t="s">
        <v>353</v>
      </c>
      <c r="E7181" s="1" t="s">
        <v>38</v>
      </c>
      <c r="F7181" s="1" t="s">
        <v>202</v>
      </c>
      <c r="G7181" s="5">
        <v>1.1399999999999999</v>
      </c>
    </row>
    <row r="7182" spans="1:7" x14ac:dyDescent="0.2">
      <c r="A7182" s="3">
        <v>4000</v>
      </c>
      <c r="B7182" s="2">
        <v>4560</v>
      </c>
      <c r="C7182" s="38">
        <v>44684</v>
      </c>
      <c r="D7182" s="1" t="s">
        <v>353</v>
      </c>
      <c r="E7182" s="1" t="s">
        <v>38</v>
      </c>
      <c r="F7182" s="1" t="s">
        <v>202</v>
      </c>
      <c r="G7182" s="5">
        <v>1.1399999999999999</v>
      </c>
    </row>
    <row r="7183" spans="1:7" x14ac:dyDescent="0.2">
      <c r="A7183" s="3">
        <v>2000</v>
      </c>
      <c r="B7183" s="2">
        <v>2280</v>
      </c>
      <c r="C7183" s="38">
        <v>44684</v>
      </c>
      <c r="D7183" s="1" t="s">
        <v>353</v>
      </c>
      <c r="E7183" s="1" t="s">
        <v>38</v>
      </c>
      <c r="F7183" s="1" t="s">
        <v>202</v>
      </c>
      <c r="G7183" s="5">
        <v>1.1399999999999999</v>
      </c>
    </row>
    <row r="7184" spans="1:7" x14ac:dyDescent="0.2">
      <c r="A7184" s="3">
        <v>4000</v>
      </c>
      <c r="B7184" s="2">
        <v>4560</v>
      </c>
      <c r="C7184" s="38">
        <v>44684</v>
      </c>
      <c r="D7184" s="1" t="s">
        <v>353</v>
      </c>
      <c r="E7184" s="1" t="s">
        <v>38</v>
      </c>
      <c r="F7184" s="1" t="s">
        <v>202</v>
      </c>
      <c r="G7184" s="5">
        <v>1.1399999999999999</v>
      </c>
    </row>
    <row r="7185" spans="1:7" x14ac:dyDescent="0.2">
      <c r="A7185" s="3">
        <v>2000</v>
      </c>
      <c r="B7185" s="2">
        <v>2280</v>
      </c>
      <c r="C7185" s="38">
        <v>44684</v>
      </c>
      <c r="D7185" s="1" t="s">
        <v>353</v>
      </c>
      <c r="E7185" s="1" t="s">
        <v>38</v>
      </c>
      <c r="F7185" s="1" t="s">
        <v>202</v>
      </c>
      <c r="G7185" s="5">
        <v>1.1399999999999999</v>
      </c>
    </row>
    <row r="7186" spans="1:7" x14ac:dyDescent="0.2">
      <c r="A7186" s="3">
        <v>2000</v>
      </c>
      <c r="B7186" s="2">
        <v>2280</v>
      </c>
      <c r="C7186" s="38">
        <v>44684</v>
      </c>
      <c r="D7186" s="1" t="s">
        <v>353</v>
      </c>
      <c r="E7186" s="1" t="s">
        <v>38</v>
      </c>
      <c r="F7186" s="1" t="s">
        <v>202</v>
      </c>
      <c r="G7186" s="5">
        <v>1.1399999999999999</v>
      </c>
    </row>
    <row r="7187" spans="1:7" x14ac:dyDescent="0.2">
      <c r="A7187" s="3">
        <v>4000</v>
      </c>
      <c r="B7187" s="2">
        <v>4560</v>
      </c>
      <c r="C7187" s="38">
        <v>44684</v>
      </c>
      <c r="D7187" s="1" t="s">
        <v>353</v>
      </c>
      <c r="E7187" s="1" t="s">
        <v>38</v>
      </c>
      <c r="F7187" s="1" t="s">
        <v>202</v>
      </c>
      <c r="G7187" s="5">
        <v>1.1399999999999999</v>
      </c>
    </row>
    <row r="7188" spans="1:7" x14ac:dyDescent="0.2">
      <c r="A7188" s="3">
        <v>2000</v>
      </c>
      <c r="B7188" s="2">
        <v>2280</v>
      </c>
      <c r="C7188" s="38">
        <v>44684</v>
      </c>
      <c r="D7188" s="1" t="s">
        <v>353</v>
      </c>
      <c r="E7188" s="1" t="s">
        <v>38</v>
      </c>
      <c r="F7188" s="1" t="s">
        <v>202</v>
      </c>
      <c r="G7188" s="5">
        <v>1.1399999999999999</v>
      </c>
    </row>
    <row r="7189" spans="1:7" x14ac:dyDescent="0.2">
      <c r="A7189" s="3">
        <v>4000</v>
      </c>
      <c r="B7189" s="2">
        <v>4320</v>
      </c>
      <c r="C7189" s="38">
        <v>44937</v>
      </c>
      <c r="D7189" s="1" t="s">
        <v>353</v>
      </c>
      <c r="E7189" s="1" t="s">
        <v>38</v>
      </c>
      <c r="F7189" s="1" t="s">
        <v>202</v>
      </c>
      <c r="G7189" s="5">
        <v>1.08</v>
      </c>
    </row>
    <row r="7190" spans="1:7" x14ac:dyDescent="0.2">
      <c r="A7190" s="3">
        <v>2000</v>
      </c>
      <c r="B7190" s="2">
        <v>2160</v>
      </c>
      <c r="C7190" s="38">
        <v>44943</v>
      </c>
      <c r="D7190" s="1" t="s">
        <v>353</v>
      </c>
      <c r="E7190" s="1" t="s">
        <v>38</v>
      </c>
      <c r="F7190" s="1" t="s">
        <v>202</v>
      </c>
      <c r="G7190" s="5">
        <v>1.08</v>
      </c>
    </row>
    <row r="7191" spans="1:7" x14ac:dyDescent="0.2">
      <c r="A7191" s="3">
        <v>4000</v>
      </c>
      <c r="B7191" s="2">
        <v>4320</v>
      </c>
      <c r="C7191" s="38">
        <v>44944</v>
      </c>
      <c r="D7191" s="1" t="s">
        <v>353</v>
      </c>
      <c r="E7191" s="1" t="s">
        <v>38</v>
      </c>
      <c r="F7191" s="1" t="s">
        <v>202</v>
      </c>
      <c r="G7191" s="5">
        <v>1.08</v>
      </c>
    </row>
    <row r="7192" spans="1:7" x14ac:dyDescent="0.2">
      <c r="A7192" s="3">
        <v>2000</v>
      </c>
      <c r="B7192" s="2">
        <v>2160</v>
      </c>
      <c r="C7192" s="38">
        <v>44944</v>
      </c>
      <c r="D7192" s="1" t="s">
        <v>353</v>
      </c>
      <c r="E7192" s="1" t="s">
        <v>38</v>
      </c>
      <c r="F7192" s="1" t="s">
        <v>202</v>
      </c>
      <c r="G7192" s="5">
        <v>1.08</v>
      </c>
    </row>
    <row r="7193" spans="1:7" x14ac:dyDescent="0.2">
      <c r="A7193" s="3">
        <v>2000</v>
      </c>
      <c r="B7193" s="2">
        <v>2160</v>
      </c>
      <c r="C7193" s="38">
        <v>44944</v>
      </c>
      <c r="D7193" s="1" t="s">
        <v>353</v>
      </c>
      <c r="E7193" s="1" t="s">
        <v>38</v>
      </c>
      <c r="F7193" s="1" t="s">
        <v>202</v>
      </c>
      <c r="G7193" s="5">
        <v>1.08</v>
      </c>
    </row>
    <row r="7194" spans="1:7" x14ac:dyDescent="0.2">
      <c r="A7194" s="3">
        <v>2000</v>
      </c>
      <c r="B7194" s="2">
        <v>2160</v>
      </c>
      <c r="C7194" s="38">
        <v>44944</v>
      </c>
      <c r="D7194" s="1" t="s">
        <v>353</v>
      </c>
      <c r="E7194" s="1" t="s">
        <v>38</v>
      </c>
      <c r="F7194" s="1" t="s">
        <v>202</v>
      </c>
      <c r="G7194" s="5">
        <v>1.08</v>
      </c>
    </row>
    <row r="7195" spans="1:7" x14ac:dyDescent="0.2">
      <c r="A7195" s="3">
        <v>4000</v>
      </c>
      <c r="B7195" s="2">
        <v>4320</v>
      </c>
      <c r="C7195" s="38">
        <v>44944</v>
      </c>
      <c r="D7195" s="1" t="s">
        <v>353</v>
      </c>
      <c r="E7195" s="1" t="s">
        <v>38</v>
      </c>
      <c r="F7195" s="1" t="s">
        <v>202</v>
      </c>
      <c r="G7195" s="5">
        <v>1.08</v>
      </c>
    </row>
    <row r="7196" spans="1:7" x14ac:dyDescent="0.2">
      <c r="A7196" s="3">
        <v>2000</v>
      </c>
      <c r="B7196" s="2">
        <v>2160</v>
      </c>
      <c r="C7196" s="38">
        <v>44944</v>
      </c>
      <c r="D7196" s="1" t="s">
        <v>353</v>
      </c>
      <c r="E7196" s="1" t="s">
        <v>38</v>
      </c>
      <c r="F7196" s="1" t="s">
        <v>202</v>
      </c>
      <c r="G7196" s="5">
        <v>1.08</v>
      </c>
    </row>
    <row r="7197" spans="1:7" x14ac:dyDescent="0.2">
      <c r="A7197" s="3">
        <v>2000</v>
      </c>
      <c r="B7197" s="2">
        <v>2160</v>
      </c>
      <c r="C7197" s="38">
        <v>44944</v>
      </c>
      <c r="D7197" s="1" t="s">
        <v>353</v>
      </c>
      <c r="E7197" s="1" t="s">
        <v>38</v>
      </c>
      <c r="F7197" s="1" t="s">
        <v>202</v>
      </c>
      <c r="G7197" s="5">
        <v>1.08</v>
      </c>
    </row>
    <row r="7198" spans="1:7" x14ac:dyDescent="0.2">
      <c r="A7198" s="3">
        <v>2000</v>
      </c>
      <c r="B7198" s="2">
        <v>2160</v>
      </c>
      <c r="C7198" s="38">
        <v>44944</v>
      </c>
      <c r="D7198" s="1" t="s">
        <v>353</v>
      </c>
      <c r="E7198" s="1" t="s">
        <v>38</v>
      </c>
      <c r="F7198" s="1" t="s">
        <v>202</v>
      </c>
      <c r="G7198" s="5">
        <v>1.08</v>
      </c>
    </row>
    <row r="7199" spans="1:7" x14ac:dyDescent="0.2">
      <c r="A7199" s="3">
        <v>2000</v>
      </c>
      <c r="B7199" s="2">
        <v>2160</v>
      </c>
      <c r="C7199" s="38">
        <v>44944</v>
      </c>
      <c r="D7199" s="1" t="s">
        <v>353</v>
      </c>
      <c r="E7199" s="1" t="s">
        <v>38</v>
      </c>
      <c r="F7199" s="1" t="s">
        <v>202</v>
      </c>
      <c r="G7199" s="5">
        <v>1.08</v>
      </c>
    </row>
    <row r="7200" spans="1:7" x14ac:dyDescent="0.2">
      <c r="A7200" s="3">
        <v>2000</v>
      </c>
      <c r="B7200" s="2">
        <v>2160</v>
      </c>
      <c r="C7200" s="38">
        <v>44944</v>
      </c>
      <c r="D7200" s="1" t="s">
        <v>353</v>
      </c>
      <c r="E7200" s="1" t="s">
        <v>38</v>
      </c>
      <c r="F7200" s="1" t="s">
        <v>202</v>
      </c>
      <c r="G7200" s="5">
        <v>1.08</v>
      </c>
    </row>
    <row r="7201" spans="1:7" x14ac:dyDescent="0.2">
      <c r="A7201" s="3">
        <v>4000</v>
      </c>
      <c r="B7201" s="2">
        <v>4320</v>
      </c>
      <c r="C7201" s="38">
        <v>44944</v>
      </c>
      <c r="D7201" s="1" t="s">
        <v>353</v>
      </c>
      <c r="E7201" s="1" t="s">
        <v>38</v>
      </c>
      <c r="F7201" s="1" t="s">
        <v>202</v>
      </c>
      <c r="G7201" s="5">
        <v>1.08</v>
      </c>
    </row>
    <row r="7202" spans="1:7" x14ac:dyDescent="0.2">
      <c r="A7202" s="3">
        <v>2000</v>
      </c>
      <c r="B7202" s="2">
        <v>2160</v>
      </c>
      <c r="C7202" s="38">
        <v>44945</v>
      </c>
      <c r="D7202" s="1" t="s">
        <v>353</v>
      </c>
      <c r="E7202" s="1" t="s">
        <v>38</v>
      </c>
      <c r="F7202" s="1" t="s">
        <v>202</v>
      </c>
      <c r="G7202" s="5">
        <v>1.08</v>
      </c>
    </row>
    <row r="7203" spans="1:7" x14ac:dyDescent="0.2">
      <c r="A7203" s="3">
        <v>2000</v>
      </c>
      <c r="B7203" s="2">
        <v>2160</v>
      </c>
      <c r="C7203" s="38">
        <v>44950</v>
      </c>
      <c r="D7203" s="1" t="s">
        <v>353</v>
      </c>
      <c r="E7203" s="1" t="s">
        <v>38</v>
      </c>
      <c r="F7203" s="1" t="s">
        <v>202</v>
      </c>
      <c r="G7203" s="5">
        <v>1.08</v>
      </c>
    </row>
    <row r="7204" spans="1:7" x14ac:dyDescent="0.2">
      <c r="A7204" s="3">
        <v>4000</v>
      </c>
      <c r="B7204" s="2">
        <v>4320</v>
      </c>
      <c r="C7204" s="38">
        <v>44950</v>
      </c>
      <c r="D7204" s="1" t="s">
        <v>353</v>
      </c>
      <c r="E7204" s="1" t="s">
        <v>38</v>
      </c>
      <c r="F7204" s="1" t="s">
        <v>202</v>
      </c>
      <c r="G7204" s="5">
        <v>1.08</v>
      </c>
    </row>
    <row r="7205" spans="1:7" x14ac:dyDescent="0.2">
      <c r="A7205" s="3">
        <v>4000</v>
      </c>
      <c r="B7205" s="2">
        <v>4320</v>
      </c>
      <c r="C7205" s="38">
        <v>45058</v>
      </c>
      <c r="D7205" s="1" t="s">
        <v>353</v>
      </c>
      <c r="E7205" s="1" t="s">
        <v>38</v>
      </c>
      <c r="F7205" s="1" t="s">
        <v>202</v>
      </c>
      <c r="G7205" s="5">
        <v>1.08</v>
      </c>
    </row>
    <row r="7206" spans="1:7" x14ac:dyDescent="0.2">
      <c r="A7206" s="3">
        <v>4000</v>
      </c>
      <c r="B7206" s="2">
        <v>4320</v>
      </c>
      <c r="C7206" s="38">
        <v>45058</v>
      </c>
      <c r="D7206" s="1" t="s">
        <v>353</v>
      </c>
      <c r="E7206" s="1" t="s">
        <v>38</v>
      </c>
      <c r="F7206" s="1" t="s">
        <v>202</v>
      </c>
      <c r="G7206" s="5">
        <v>1.08</v>
      </c>
    </row>
    <row r="7207" spans="1:7" x14ac:dyDescent="0.2">
      <c r="A7207" s="3">
        <v>2000</v>
      </c>
      <c r="B7207" s="2">
        <v>2160</v>
      </c>
      <c r="C7207" s="38">
        <v>45058</v>
      </c>
      <c r="D7207" s="1" t="s">
        <v>353</v>
      </c>
      <c r="E7207" s="1" t="s">
        <v>38</v>
      </c>
      <c r="F7207" s="1" t="s">
        <v>202</v>
      </c>
      <c r="G7207" s="5">
        <v>1.08</v>
      </c>
    </row>
    <row r="7208" spans="1:7" x14ac:dyDescent="0.2">
      <c r="A7208" s="3">
        <v>2000</v>
      </c>
      <c r="B7208" s="2">
        <v>2160</v>
      </c>
      <c r="C7208" s="38">
        <v>45058</v>
      </c>
      <c r="D7208" s="1" t="s">
        <v>353</v>
      </c>
      <c r="E7208" s="1" t="s">
        <v>38</v>
      </c>
      <c r="F7208" s="1" t="s">
        <v>202</v>
      </c>
      <c r="G7208" s="5">
        <v>1.08</v>
      </c>
    </row>
    <row r="7209" spans="1:7" x14ac:dyDescent="0.2">
      <c r="A7209" s="3">
        <v>4000</v>
      </c>
      <c r="B7209" s="2">
        <v>4320</v>
      </c>
      <c r="C7209" s="38">
        <v>45058</v>
      </c>
      <c r="D7209" s="1" t="s">
        <v>353</v>
      </c>
      <c r="E7209" s="1" t="s">
        <v>38</v>
      </c>
      <c r="F7209" s="1" t="s">
        <v>202</v>
      </c>
      <c r="G7209" s="5">
        <v>1.08</v>
      </c>
    </row>
    <row r="7210" spans="1:7" x14ac:dyDescent="0.2">
      <c r="A7210" s="3">
        <v>2000</v>
      </c>
      <c r="B7210" s="2">
        <v>2160</v>
      </c>
      <c r="C7210" s="38">
        <v>45058</v>
      </c>
      <c r="D7210" s="1" t="s">
        <v>353</v>
      </c>
      <c r="E7210" s="1" t="s">
        <v>38</v>
      </c>
      <c r="F7210" s="1" t="s">
        <v>202</v>
      </c>
      <c r="G7210" s="5">
        <v>1.08</v>
      </c>
    </row>
    <row r="7211" spans="1:7" x14ac:dyDescent="0.2">
      <c r="A7211" s="3">
        <v>4000</v>
      </c>
      <c r="B7211" s="2">
        <v>4320</v>
      </c>
      <c r="C7211" s="38">
        <v>45058</v>
      </c>
      <c r="D7211" s="1" t="s">
        <v>353</v>
      </c>
      <c r="E7211" s="1" t="s">
        <v>38</v>
      </c>
      <c r="F7211" s="1" t="s">
        <v>202</v>
      </c>
      <c r="G7211" s="5">
        <v>1.08</v>
      </c>
    </row>
    <row r="7212" spans="1:7" x14ac:dyDescent="0.2">
      <c r="A7212" s="3">
        <v>2000</v>
      </c>
      <c r="B7212" s="2">
        <v>2160</v>
      </c>
      <c r="C7212" s="38">
        <v>45058</v>
      </c>
      <c r="D7212" s="1" t="s">
        <v>353</v>
      </c>
      <c r="E7212" s="1" t="s">
        <v>38</v>
      </c>
      <c r="F7212" s="1" t="s">
        <v>202</v>
      </c>
      <c r="G7212" s="5">
        <v>1.08</v>
      </c>
    </row>
    <row r="7213" spans="1:7" x14ac:dyDescent="0.2">
      <c r="A7213" s="3">
        <v>2000</v>
      </c>
      <c r="B7213" s="2">
        <v>2160</v>
      </c>
      <c r="C7213" s="38">
        <v>45058</v>
      </c>
      <c r="D7213" s="1" t="s">
        <v>353</v>
      </c>
      <c r="E7213" s="1" t="s">
        <v>38</v>
      </c>
      <c r="F7213" s="1" t="s">
        <v>202</v>
      </c>
      <c r="G7213" s="5">
        <v>1.08</v>
      </c>
    </row>
    <row r="7214" spans="1:7" x14ac:dyDescent="0.2">
      <c r="A7214" s="3">
        <v>2000</v>
      </c>
      <c r="B7214" s="2">
        <v>2160</v>
      </c>
      <c r="C7214" s="38">
        <v>45058</v>
      </c>
      <c r="D7214" s="1" t="s">
        <v>353</v>
      </c>
      <c r="E7214" s="1" t="s">
        <v>38</v>
      </c>
      <c r="F7214" s="1" t="s">
        <v>202</v>
      </c>
      <c r="G7214" s="5">
        <v>1.08</v>
      </c>
    </row>
    <row r="7215" spans="1:7" x14ac:dyDescent="0.2">
      <c r="A7215" s="3">
        <v>500</v>
      </c>
      <c r="B7215" s="2">
        <v>540</v>
      </c>
      <c r="C7215" s="38">
        <v>45064</v>
      </c>
      <c r="D7215" s="1" t="s">
        <v>353</v>
      </c>
      <c r="E7215" s="1" t="s">
        <v>38</v>
      </c>
      <c r="F7215" s="1" t="s">
        <v>202</v>
      </c>
      <c r="G7215" s="5">
        <v>1.08</v>
      </c>
    </row>
    <row r="7216" spans="1:7" x14ac:dyDescent="0.2">
      <c r="A7216" s="3">
        <v>2000</v>
      </c>
      <c r="B7216" s="2">
        <v>2160</v>
      </c>
      <c r="C7216" s="38">
        <v>44742</v>
      </c>
      <c r="D7216" s="1" t="s">
        <v>353</v>
      </c>
      <c r="E7216" s="1" t="s">
        <v>38</v>
      </c>
      <c r="F7216" s="1" t="s">
        <v>202</v>
      </c>
      <c r="G7216" s="5">
        <v>1.08</v>
      </c>
    </row>
    <row r="7217" spans="1:7" x14ac:dyDescent="0.2">
      <c r="A7217" s="3">
        <v>4000</v>
      </c>
      <c r="B7217" s="2">
        <v>4320</v>
      </c>
      <c r="C7217" s="38">
        <v>44742</v>
      </c>
      <c r="D7217" s="1" t="s">
        <v>353</v>
      </c>
      <c r="E7217" s="1" t="s">
        <v>38</v>
      </c>
      <c r="F7217" s="1" t="s">
        <v>202</v>
      </c>
      <c r="G7217" s="5">
        <v>1.08</v>
      </c>
    </row>
    <row r="7218" spans="1:7" x14ac:dyDescent="0.2">
      <c r="A7218" s="3">
        <v>4000</v>
      </c>
      <c r="B7218" s="2">
        <v>4320</v>
      </c>
      <c r="C7218" s="38">
        <v>44742</v>
      </c>
      <c r="D7218" s="1" t="s">
        <v>353</v>
      </c>
      <c r="E7218" s="1" t="s">
        <v>38</v>
      </c>
      <c r="F7218" s="1" t="s">
        <v>202</v>
      </c>
      <c r="G7218" s="5">
        <v>1.08</v>
      </c>
    </row>
    <row r="7219" spans="1:7" x14ac:dyDescent="0.2">
      <c r="A7219" s="3">
        <v>4000</v>
      </c>
      <c r="B7219" s="2">
        <v>4320</v>
      </c>
      <c r="C7219" s="38">
        <v>44742</v>
      </c>
      <c r="D7219" s="1" t="s">
        <v>353</v>
      </c>
      <c r="E7219" s="1" t="s">
        <v>38</v>
      </c>
      <c r="F7219" s="1" t="s">
        <v>202</v>
      </c>
      <c r="G7219" s="5">
        <v>1.08</v>
      </c>
    </row>
    <row r="7220" spans="1:7" x14ac:dyDescent="0.2">
      <c r="A7220" s="3">
        <v>6000</v>
      </c>
      <c r="B7220" s="2">
        <v>6480</v>
      </c>
      <c r="C7220" s="38">
        <v>44742</v>
      </c>
      <c r="D7220" s="1" t="s">
        <v>353</v>
      </c>
      <c r="E7220" s="1" t="s">
        <v>38</v>
      </c>
      <c r="F7220" s="1" t="s">
        <v>202</v>
      </c>
      <c r="G7220" s="5">
        <v>1.08</v>
      </c>
    </row>
    <row r="7221" spans="1:7" x14ac:dyDescent="0.2">
      <c r="A7221" s="3">
        <v>6000</v>
      </c>
      <c r="B7221" s="2">
        <v>6480</v>
      </c>
      <c r="C7221" s="38">
        <v>44742</v>
      </c>
      <c r="D7221" s="1" t="s">
        <v>353</v>
      </c>
      <c r="E7221" s="1" t="s">
        <v>38</v>
      </c>
      <c r="F7221" s="1" t="s">
        <v>202</v>
      </c>
      <c r="G7221" s="5">
        <v>1.08</v>
      </c>
    </row>
    <row r="7222" spans="1:7" x14ac:dyDescent="0.2">
      <c r="A7222" s="3">
        <v>4000</v>
      </c>
      <c r="B7222" s="2">
        <v>4320</v>
      </c>
      <c r="C7222" s="38">
        <v>44742</v>
      </c>
      <c r="D7222" s="1" t="s">
        <v>353</v>
      </c>
      <c r="E7222" s="1" t="s">
        <v>38</v>
      </c>
      <c r="F7222" s="1" t="s">
        <v>202</v>
      </c>
      <c r="G7222" s="5">
        <v>1.08</v>
      </c>
    </row>
    <row r="7223" spans="1:7" x14ac:dyDescent="0.2">
      <c r="A7223" s="3">
        <v>4000</v>
      </c>
      <c r="B7223" s="2">
        <v>4320</v>
      </c>
      <c r="C7223" s="38">
        <v>44747</v>
      </c>
      <c r="D7223" s="1" t="s">
        <v>353</v>
      </c>
      <c r="E7223" s="1" t="s">
        <v>38</v>
      </c>
      <c r="F7223" s="1" t="s">
        <v>202</v>
      </c>
      <c r="G7223" s="5">
        <v>1.08</v>
      </c>
    </row>
    <row r="7224" spans="1:7" x14ac:dyDescent="0.2">
      <c r="A7224" s="3">
        <v>1500</v>
      </c>
      <c r="B7224" s="2">
        <v>1620</v>
      </c>
      <c r="C7224" s="38">
        <v>45022</v>
      </c>
      <c r="D7224" s="1" t="s">
        <v>353</v>
      </c>
      <c r="E7224" s="1" t="s">
        <v>38</v>
      </c>
      <c r="F7224" s="1" t="s">
        <v>202</v>
      </c>
      <c r="G7224" s="5">
        <v>1.08</v>
      </c>
    </row>
    <row r="7225" spans="1:7" x14ac:dyDescent="0.2">
      <c r="A7225" s="3">
        <v>4000</v>
      </c>
      <c r="B7225" s="2">
        <v>4320</v>
      </c>
      <c r="C7225" s="38">
        <v>45023</v>
      </c>
      <c r="D7225" s="1" t="s">
        <v>353</v>
      </c>
      <c r="E7225" s="1" t="s">
        <v>38</v>
      </c>
      <c r="F7225" s="1" t="s">
        <v>202</v>
      </c>
      <c r="G7225" s="5">
        <v>1.08</v>
      </c>
    </row>
    <row r="7226" spans="1:7" x14ac:dyDescent="0.2">
      <c r="A7226" s="3">
        <v>2000</v>
      </c>
      <c r="B7226" s="2">
        <v>2160</v>
      </c>
      <c r="C7226" s="38">
        <v>44742</v>
      </c>
      <c r="D7226" s="1" t="s">
        <v>353</v>
      </c>
      <c r="E7226" s="1" t="s">
        <v>38</v>
      </c>
      <c r="F7226" s="1" t="s">
        <v>202</v>
      </c>
      <c r="G7226" s="5">
        <v>1.08</v>
      </c>
    </row>
    <row r="7227" spans="1:7" x14ac:dyDescent="0.2">
      <c r="A7227" s="3">
        <v>2000</v>
      </c>
      <c r="B7227" s="2">
        <v>2160</v>
      </c>
      <c r="C7227" s="38">
        <v>44742</v>
      </c>
      <c r="D7227" s="1" t="s">
        <v>353</v>
      </c>
      <c r="E7227" s="1" t="s">
        <v>38</v>
      </c>
      <c r="F7227" s="1" t="s">
        <v>202</v>
      </c>
      <c r="G7227" s="5">
        <v>1.08</v>
      </c>
    </row>
    <row r="7228" spans="1:7" x14ac:dyDescent="0.2">
      <c r="A7228" s="3">
        <v>2000</v>
      </c>
      <c r="B7228" s="2">
        <v>2160</v>
      </c>
      <c r="C7228" s="38">
        <v>44742</v>
      </c>
      <c r="D7228" s="1" t="s">
        <v>353</v>
      </c>
      <c r="E7228" s="1" t="s">
        <v>38</v>
      </c>
      <c r="F7228" s="1" t="s">
        <v>202</v>
      </c>
      <c r="G7228" s="5">
        <v>1.08</v>
      </c>
    </row>
    <row r="7229" spans="1:7" x14ac:dyDescent="0.2">
      <c r="A7229" s="3">
        <v>2000</v>
      </c>
      <c r="B7229" s="2">
        <v>2160</v>
      </c>
      <c r="C7229" s="38">
        <v>44742</v>
      </c>
      <c r="D7229" s="1" t="s">
        <v>353</v>
      </c>
      <c r="E7229" s="1" t="s">
        <v>38</v>
      </c>
      <c r="F7229" s="1" t="s">
        <v>202</v>
      </c>
      <c r="G7229" s="5">
        <v>1.08</v>
      </c>
    </row>
    <row r="7230" spans="1:7" x14ac:dyDescent="0.2">
      <c r="A7230" s="3">
        <v>4000</v>
      </c>
      <c r="B7230" s="2">
        <v>4320</v>
      </c>
      <c r="C7230" s="38">
        <v>44742</v>
      </c>
      <c r="D7230" s="1" t="s">
        <v>353</v>
      </c>
      <c r="E7230" s="1" t="s">
        <v>38</v>
      </c>
      <c r="F7230" s="1" t="s">
        <v>202</v>
      </c>
      <c r="G7230" s="5">
        <v>1.08</v>
      </c>
    </row>
    <row r="7231" spans="1:7" x14ac:dyDescent="0.2">
      <c r="A7231" s="3">
        <v>4000</v>
      </c>
      <c r="B7231" s="2">
        <v>4320</v>
      </c>
      <c r="C7231" s="38">
        <v>44742</v>
      </c>
      <c r="D7231" s="1" t="s">
        <v>353</v>
      </c>
      <c r="E7231" s="1" t="s">
        <v>38</v>
      </c>
      <c r="F7231" s="1" t="s">
        <v>202</v>
      </c>
      <c r="G7231" s="5">
        <v>1.08</v>
      </c>
    </row>
    <row r="7232" spans="1:7" x14ac:dyDescent="0.2">
      <c r="A7232" s="3">
        <v>2000</v>
      </c>
      <c r="B7232" s="2">
        <v>2160</v>
      </c>
      <c r="C7232" s="38">
        <v>44742</v>
      </c>
      <c r="D7232" s="1" t="s">
        <v>353</v>
      </c>
      <c r="E7232" s="1" t="s">
        <v>38</v>
      </c>
      <c r="F7232" s="1" t="s">
        <v>202</v>
      </c>
      <c r="G7232" s="5">
        <v>1.08</v>
      </c>
    </row>
    <row r="7233" spans="1:7" x14ac:dyDescent="0.2">
      <c r="A7233" s="3">
        <v>4000</v>
      </c>
      <c r="B7233" s="2">
        <v>4320</v>
      </c>
      <c r="C7233" s="38">
        <v>44742</v>
      </c>
      <c r="D7233" s="1" t="s">
        <v>353</v>
      </c>
      <c r="E7233" s="1" t="s">
        <v>38</v>
      </c>
      <c r="F7233" s="1" t="s">
        <v>202</v>
      </c>
      <c r="G7233" s="5">
        <v>1.08</v>
      </c>
    </row>
    <row r="7234" spans="1:7" x14ac:dyDescent="0.2">
      <c r="A7234" s="3">
        <v>2000</v>
      </c>
      <c r="B7234" s="2">
        <v>2160</v>
      </c>
      <c r="C7234" s="38">
        <v>44742</v>
      </c>
      <c r="D7234" s="1" t="s">
        <v>353</v>
      </c>
      <c r="E7234" s="1" t="s">
        <v>38</v>
      </c>
      <c r="F7234" s="1" t="s">
        <v>202</v>
      </c>
      <c r="G7234" s="5">
        <v>1.08</v>
      </c>
    </row>
    <row r="7235" spans="1:7" x14ac:dyDescent="0.2">
      <c r="A7235" s="3">
        <v>6000</v>
      </c>
      <c r="B7235" s="2">
        <v>6480</v>
      </c>
      <c r="C7235" s="38">
        <v>44764</v>
      </c>
      <c r="D7235" s="1" t="s">
        <v>353</v>
      </c>
      <c r="E7235" s="1" t="s">
        <v>38</v>
      </c>
      <c r="F7235" s="1" t="s">
        <v>202</v>
      </c>
      <c r="G7235" s="5">
        <v>1.08</v>
      </c>
    </row>
    <row r="7236" spans="1:7" x14ac:dyDescent="0.2">
      <c r="A7236" s="3">
        <v>2000</v>
      </c>
      <c r="B7236" s="2">
        <v>2160</v>
      </c>
      <c r="C7236" s="38">
        <v>44764</v>
      </c>
      <c r="D7236" s="1" t="s">
        <v>353</v>
      </c>
      <c r="E7236" s="1" t="s">
        <v>38</v>
      </c>
      <c r="F7236" s="1" t="s">
        <v>202</v>
      </c>
      <c r="G7236" s="5">
        <v>1.08</v>
      </c>
    </row>
    <row r="7237" spans="1:7" x14ac:dyDescent="0.2">
      <c r="A7237" s="3">
        <v>2000</v>
      </c>
      <c r="B7237" s="2">
        <v>2160</v>
      </c>
      <c r="C7237" s="38">
        <v>44764</v>
      </c>
      <c r="D7237" s="1" t="s">
        <v>353</v>
      </c>
      <c r="E7237" s="1" t="s">
        <v>38</v>
      </c>
      <c r="F7237" s="1" t="s">
        <v>202</v>
      </c>
      <c r="G7237" s="5">
        <v>1.08</v>
      </c>
    </row>
    <row r="7238" spans="1:7" x14ac:dyDescent="0.2">
      <c r="A7238" s="3">
        <v>2000</v>
      </c>
      <c r="B7238" s="2">
        <v>2160</v>
      </c>
      <c r="C7238" s="38">
        <v>44764</v>
      </c>
      <c r="D7238" s="1" t="s">
        <v>353</v>
      </c>
      <c r="E7238" s="1" t="s">
        <v>38</v>
      </c>
      <c r="F7238" s="1" t="s">
        <v>202</v>
      </c>
      <c r="G7238" s="5">
        <v>1.08</v>
      </c>
    </row>
    <row r="7239" spans="1:7" x14ac:dyDescent="0.2">
      <c r="A7239" s="3">
        <v>2000</v>
      </c>
      <c r="B7239" s="2">
        <v>2160</v>
      </c>
      <c r="C7239" s="38">
        <v>44764</v>
      </c>
      <c r="D7239" s="1" t="s">
        <v>353</v>
      </c>
      <c r="E7239" s="1" t="s">
        <v>38</v>
      </c>
      <c r="F7239" s="1" t="s">
        <v>202</v>
      </c>
      <c r="G7239" s="5">
        <v>1.08</v>
      </c>
    </row>
    <row r="7240" spans="1:7" x14ac:dyDescent="0.2">
      <c r="A7240" s="3">
        <v>4000</v>
      </c>
      <c r="B7240" s="2">
        <v>4320</v>
      </c>
      <c r="C7240" s="38">
        <v>44764</v>
      </c>
      <c r="D7240" s="1" t="s">
        <v>353</v>
      </c>
      <c r="E7240" s="1" t="s">
        <v>38</v>
      </c>
      <c r="F7240" s="1" t="s">
        <v>202</v>
      </c>
      <c r="G7240" s="5">
        <v>1.08</v>
      </c>
    </row>
    <row r="7241" spans="1:7" x14ac:dyDescent="0.2">
      <c r="A7241" s="3">
        <v>4000</v>
      </c>
      <c r="B7241" s="2">
        <v>4320</v>
      </c>
      <c r="C7241" s="38">
        <v>44764</v>
      </c>
      <c r="D7241" s="1" t="s">
        <v>353</v>
      </c>
      <c r="E7241" s="1" t="s">
        <v>38</v>
      </c>
      <c r="F7241" s="1" t="s">
        <v>202</v>
      </c>
      <c r="G7241" s="5">
        <v>1.08</v>
      </c>
    </row>
    <row r="7242" spans="1:7" x14ac:dyDescent="0.2">
      <c r="A7242" s="3">
        <v>4000</v>
      </c>
      <c r="B7242" s="2">
        <v>4320</v>
      </c>
      <c r="C7242" s="38">
        <v>45051</v>
      </c>
      <c r="D7242" s="1" t="s">
        <v>353</v>
      </c>
      <c r="E7242" s="1" t="s">
        <v>38</v>
      </c>
      <c r="F7242" s="1" t="s">
        <v>202</v>
      </c>
      <c r="G7242" s="5">
        <v>1.08</v>
      </c>
    </row>
    <row r="7243" spans="1:7" x14ac:dyDescent="0.2">
      <c r="A7243" s="3">
        <v>2000</v>
      </c>
      <c r="B7243" s="2">
        <v>2160</v>
      </c>
      <c r="C7243" s="38">
        <v>45051</v>
      </c>
      <c r="D7243" s="1" t="s">
        <v>353</v>
      </c>
      <c r="E7243" s="1" t="s">
        <v>38</v>
      </c>
      <c r="F7243" s="1" t="s">
        <v>202</v>
      </c>
      <c r="G7243" s="5">
        <v>1.08</v>
      </c>
    </row>
    <row r="7244" spans="1:7" x14ac:dyDescent="0.2">
      <c r="A7244" s="3">
        <v>2000</v>
      </c>
      <c r="B7244" s="2">
        <v>2160</v>
      </c>
      <c r="C7244" s="38">
        <v>45051</v>
      </c>
      <c r="D7244" s="1" t="s">
        <v>353</v>
      </c>
      <c r="E7244" s="1" t="s">
        <v>38</v>
      </c>
      <c r="F7244" s="1" t="s">
        <v>202</v>
      </c>
      <c r="G7244" s="5">
        <v>1.08</v>
      </c>
    </row>
    <row r="7245" spans="1:7" x14ac:dyDescent="0.2">
      <c r="A7245" s="3">
        <v>4000</v>
      </c>
      <c r="B7245" s="2">
        <v>4320</v>
      </c>
      <c r="C7245" s="38">
        <v>45051</v>
      </c>
      <c r="D7245" s="1" t="s">
        <v>353</v>
      </c>
      <c r="E7245" s="1" t="s">
        <v>38</v>
      </c>
      <c r="F7245" s="1" t="s">
        <v>202</v>
      </c>
      <c r="G7245" s="5">
        <v>1.08</v>
      </c>
    </row>
    <row r="7246" spans="1:7" x14ac:dyDescent="0.2">
      <c r="A7246" s="3">
        <v>2000</v>
      </c>
      <c r="B7246" s="2">
        <v>2160</v>
      </c>
      <c r="C7246" s="38">
        <v>45058</v>
      </c>
      <c r="D7246" s="1" t="s">
        <v>353</v>
      </c>
      <c r="E7246" s="1" t="s">
        <v>38</v>
      </c>
      <c r="F7246" s="1" t="s">
        <v>202</v>
      </c>
      <c r="G7246" s="5">
        <v>1.08</v>
      </c>
    </row>
    <row r="7247" spans="1:7" x14ac:dyDescent="0.2">
      <c r="A7247" s="3">
        <v>2000</v>
      </c>
      <c r="B7247" s="2">
        <v>2160</v>
      </c>
      <c r="C7247" s="38">
        <v>45058</v>
      </c>
      <c r="D7247" s="1" t="s">
        <v>353</v>
      </c>
      <c r="E7247" s="1" t="s">
        <v>38</v>
      </c>
      <c r="F7247" s="1" t="s">
        <v>202</v>
      </c>
      <c r="G7247" s="5">
        <v>1.08</v>
      </c>
    </row>
    <row r="7248" spans="1:7" x14ac:dyDescent="0.2">
      <c r="A7248" s="3">
        <v>4000</v>
      </c>
      <c r="B7248" s="2">
        <v>4320</v>
      </c>
      <c r="C7248" s="38">
        <v>45058</v>
      </c>
      <c r="D7248" s="1" t="s">
        <v>353</v>
      </c>
      <c r="E7248" s="1" t="s">
        <v>38</v>
      </c>
      <c r="F7248" s="1" t="s">
        <v>202</v>
      </c>
      <c r="G7248" s="5">
        <v>1.08</v>
      </c>
    </row>
    <row r="7249" spans="1:7" x14ac:dyDescent="0.2">
      <c r="A7249" s="3">
        <v>2000</v>
      </c>
      <c r="B7249" s="2">
        <v>2160</v>
      </c>
      <c r="C7249" s="38">
        <v>45058</v>
      </c>
      <c r="D7249" s="1" t="s">
        <v>353</v>
      </c>
      <c r="E7249" s="1" t="s">
        <v>38</v>
      </c>
      <c r="F7249" s="1" t="s">
        <v>202</v>
      </c>
      <c r="G7249" s="5">
        <v>1.08</v>
      </c>
    </row>
    <row r="7250" spans="1:7" x14ac:dyDescent="0.2">
      <c r="A7250" s="3">
        <v>6000</v>
      </c>
      <c r="B7250" s="2">
        <v>6480</v>
      </c>
      <c r="C7250" s="38">
        <v>44789</v>
      </c>
      <c r="D7250" s="1" t="s">
        <v>353</v>
      </c>
      <c r="E7250" s="1" t="s">
        <v>38</v>
      </c>
      <c r="F7250" s="1" t="s">
        <v>202</v>
      </c>
      <c r="G7250" s="5">
        <v>1.08</v>
      </c>
    </row>
    <row r="7251" spans="1:7" x14ac:dyDescent="0.2">
      <c r="A7251" s="3">
        <v>2000</v>
      </c>
      <c r="B7251" s="2">
        <v>2160</v>
      </c>
      <c r="C7251" s="38">
        <v>44887</v>
      </c>
      <c r="D7251" s="1" t="s">
        <v>353</v>
      </c>
      <c r="E7251" s="1" t="s">
        <v>38</v>
      </c>
      <c r="F7251" s="1" t="s">
        <v>202</v>
      </c>
      <c r="G7251" s="5">
        <v>1.08</v>
      </c>
    </row>
    <row r="7252" spans="1:7" x14ac:dyDescent="0.2">
      <c r="A7252" s="3">
        <v>2000</v>
      </c>
      <c r="B7252" s="2">
        <v>2160</v>
      </c>
      <c r="C7252" s="38">
        <v>44876</v>
      </c>
      <c r="D7252" s="1" t="s">
        <v>353</v>
      </c>
      <c r="E7252" s="1" t="s">
        <v>38</v>
      </c>
      <c r="F7252" s="1" t="s">
        <v>202</v>
      </c>
      <c r="G7252" s="5">
        <v>1.08</v>
      </c>
    </row>
    <row r="7253" spans="1:7" x14ac:dyDescent="0.2">
      <c r="A7253" s="3">
        <v>2000</v>
      </c>
      <c r="B7253" s="2">
        <v>2160</v>
      </c>
      <c r="C7253" s="38">
        <v>44887</v>
      </c>
      <c r="D7253" s="1" t="s">
        <v>353</v>
      </c>
      <c r="E7253" s="1" t="s">
        <v>38</v>
      </c>
      <c r="F7253" s="1" t="s">
        <v>202</v>
      </c>
      <c r="G7253" s="5">
        <v>1.08</v>
      </c>
    </row>
    <row r="7254" spans="1:7" x14ac:dyDescent="0.2">
      <c r="A7254" s="3">
        <v>2000</v>
      </c>
      <c r="B7254" s="2">
        <v>2160</v>
      </c>
      <c r="C7254" s="38">
        <v>44876</v>
      </c>
      <c r="D7254" s="1" t="s">
        <v>353</v>
      </c>
      <c r="E7254" s="1" t="s">
        <v>38</v>
      </c>
      <c r="F7254" s="1" t="s">
        <v>202</v>
      </c>
      <c r="G7254" s="5">
        <v>1.08</v>
      </c>
    </row>
    <row r="7255" spans="1:7" x14ac:dyDescent="0.2">
      <c r="A7255" s="3">
        <v>4000</v>
      </c>
      <c r="B7255" s="2">
        <v>4320</v>
      </c>
      <c r="C7255" s="38">
        <v>44887</v>
      </c>
      <c r="D7255" s="1" t="s">
        <v>353</v>
      </c>
      <c r="E7255" s="1" t="s">
        <v>38</v>
      </c>
      <c r="F7255" s="1" t="s">
        <v>202</v>
      </c>
      <c r="G7255" s="5">
        <v>1.08</v>
      </c>
    </row>
    <row r="7256" spans="1:7" x14ac:dyDescent="0.2">
      <c r="A7256" s="3">
        <v>4000</v>
      </c>
      <c r="B7256" s="2">
        <v>4320</v>
      </c>
      <c r="C7256" s="38">
        <v>44887</v>
      </c>
      <c r="D7256" s="1" t="s">
        <v>353</v>
      </c>
      <c r="E7256" s="1" t="s">
        <v>38</v>
      </c>
      <c r="F7256" s="1" t="s">
        <v>202</v>
      </c>
      <c r="G7256" s="5">
        <v>1.08</v>
      </c>
    </row>
    <row r="7257" spans="1:7" x14ac:dyDescent="0.2">
      <c r="A7257" s="3">
        <v>33880</v>
      </c>
      <c r="B7257" s="2">
        <v>917809.2</v>
      </c>
      <c r="C7257" s="38">
        <v>44973</v>
      </c>
      <c r="D7257" s="1" t="s">
        <v>235</v>
      </c>
      <c r="E7257" s="1" t="s">
        <v>34</v>
      </c>
      <c r="F7257" s="1" t="s">
        <v>201</v>
      </c>
      <c r="G7257" s="5">
        <v>27.09</v>
      </c>
    </row>
    <row r="7258" spans="1:7" x14ac:dyDescent="0.2">
      <c r="A7258" s="3">
        <v>34104</v>
      </c>
      <c r="B7258" s="2">
        <v>137098.07999999999</v>
      </c>
      <c r="C7258" s="38">
        <v>44973</v>
      </c>
      <c r="D7258" s="1" t="s">
        <v>236</v>
      </c>
      <c r="E7258" s="1" t="s">
        <v>34</v>
      </c>
      <c r="F7258" s="1" t="s">
        <v>201</v>
      </c>
      <c r="G7258" s="5">
        <v>4.0199999999999996</v>
      </c>
    </row>
    <row r="7259" spans="1:7" x14ac:dyDescent="0.2">
      <c r="A7259" s="3">
        <v>-33880</v>
      </c>
      <c r="B7259" s="2">
        <v>-917809.2</v>
      </c>
      <c r="C7259" s="38">
        <v>44980</v>
      </c>
      <c r="D7259" s="1" t="s">
        <v>235</v>
      </c>
      <c r="E7259" s="1" t="s">
        <v>34</v>
      </c>
      <c r="F7259" s="1" t="s">
        <v>201</v>
      </c>
      <c r="G7259" s="5">
        <v>27.09</v>
      </c>
    </row>
    <row r="7260" spans="1:7" x14ac:dyDescent="0.2">
      <c r="A7260" s="3">
        <v>-34104</v>
      </c>
      <c r="B7260" s="2">
        <v>-137098.07999999999</v>
      </c>
      <c r="C7260" s="38">
        <v>44980</v>
      </c>
      <c r="D7260" s="1" t="s">
        <v>236</v>
      </c>
      <c r="E7260" s="1" t="s">
        <v>34</v>
      </c>
      <c r="F7260" s="1" t="s">
        <v>201</v>
      </c>
      <c r="G7260" s="5">
        <v>4.0199999999999996</v>
      </c>
    </row>
    <row r="7261" spans="1:7" x14ac:dyDescent="0.2">
      <c r="A7261" s="3">
        <v>33880</v>
      </c>
      <c r="B7261" s="2">
        <v>917809.2</v>
      </c>
      <c r="C7261" s="38">
        <v>44983</v>
      </c>
      <c r="D7261" s="1" t="s">
        <v>235</v>
      </c>
      <c r="E7261" s="1" t="s">
        <v>34</v>
      </c>
      <c r="F7261" s="1" t="s">
        <v>201</v>
      </c>
      <c r="G7261" s="5">
        <v>27.09</v>
      </c>
    </row>
    <row r="7262" spans="1:7" x14ac:dyDescent="0.2">
      <c r="A7262" s="3">
        <v>34104</v>
      </c>
      <c r="B7262" s="2">
        <v>137098.07999999999</v>
      </c>
      <c r="C7262" s="38">
        <v>44983</v>
      </c>
      <c r="D7262" s="1" t="s">
        <v>236</v>
      </c>
      <c r="E7262" s="1" t="s">
        <v>34</v>
      </c>
      <c r="F7262" s="1" t="s">
        <v>201</v>
      </c>
      <c r="G7262" s="5">
        <v>4.0199999999999996</v>
      </c>
    </row>
    <row r="7263" spans="1:7" x14ac:dyDescent="0.2">
      <c r="A7263" s="3">
        <v>30800</v>
      </c>
      <c r="B7263" s="2">
        <v>834372</v>
      </c>
      <c r="C7263" s="38">
        <v>44987</v>
      </c>
      <c r="D7263" s="1" t="s">
        <v>235</v>
      </c>
      <c r="E7263" s="1" t="s">
        <v>34</v>
      </c>
      <c r="F7263" s="1" t="s">
        <v>201</v>
      </c>
      <c r="G7263" s="5">
        <v>27.09</v>
      </c>
    </row>
    <row r="7264" spans="1:7" x14ac:dyDescent="0.2">
      <c r="A7264" s="3">
        <v>37268</v>
      </c>
      <c r="B7264" s="2">
        <v>1009590.12</v>
      </c>
      <c r="C7264" s="38">
        <v>44987</v>
      </c>
      <c r="D7264" s="1" t="s">
        <v>235</v>
      </c>
      <c r="E7264" s="1" t="s">
        <v>34</v>
      </c>
      <c r="F7264" s="1" t="s">
        <v>201</v>
      </c>
      <c r="G7264" s="5">
        <v>27.09</v>
      </c>
    </row>
    <row r="7265" spans="1:7" x14ac:dyDescent="0.2">
      <c r="A7265" s="3">
        <v>31668</v>
      </c>
      <c r="B7265" s="2">
        <v>127305.36</v>
      </c>
      <c r="C7265" s="38">
        <v>44987</v>
      </c>
      <c r="D7265" s="1" t="s">
        <v>236</v>
      </c>
      <c r="E7265" s="1" t="s">
        <v>34</v>
      </c>
      <c r="F7265" s="1" t="s">
        <v>201</v>
      </c>
      <c r="G7265" s="5">
        <v>4.0199999999999996</v>
      </c>
    </row>
    <row r="7266" spans="1:7" x14ac:dyDescent="0.2">
      <c r="A7266" s="3">
        <v>36540</v>
      </c>
      <c r="B7266" s="2">
        <v>146890.79999999999</v>
      </c>
      <c r="C7266" s="38">
        <v>44987</v>
      </c>
      <c r="D7266" s="1" t="s">
        <v>236</v>
      </c>
      <c r="E7266" s="1" t="s">
        <v>34</v>
      </c>
      <c r="F7266" s="1" t="s">
        <v>201</v>
      </c>
      <c r="G7266" s="5">
        <v>4.0199999999999996</v>
      </c>
    </row>
    <row r="7267" spans="1:7" x14ac:dyDescent="0.2">
      <c r="A7267" s="3">
        <v>17248</v>
      </c>
      <c r="B7267" s="2">
        <v>467248.32</v>
      </c>
      <c r="C7267" s="38">
        <v>44993</v>
      </c>
      <c r="D7267" s="1" t="s">
        <v>235</v>
      </c>
      <c r="E7267" s="1" t="s">
        <v>34</v>
      </c>
      <c r="F7267" s="1" t="s">
        <v>201</v>
      </c>
      <c r="G7267" s="5">
        <v>27.09</v>
      </c>
    </row>
    <row r="7268" spans="1:7" x14ac:dyDescent="0.2">
      <c r="A7268" s="3">
        <v>17052</v>
      </c>
      <c r="B7268" s="2">
        <v>68549.039999999994</v>
      </c>
      <c r="C7268" s="38">
        <v>44993</v>
      </c>
      <c r="D7268" s="1" t="s">
        <v>236</v>
      </c>
      <c r="E7268" s="1" t="s">
        <v>34</v>
      </c>
      <c r="F7268" s="1" t="s">
        <v>201</v>
      </c>
      <c r="G7268" s="5">
        <v>4.0199999999999996</v>
      </c>
    </row>
    <row r="7269" spans="1:7" x14ac:dyDescent="0.2">
      <c r="A7269" s="3">
        <v>23716</v>
      </c>
      <c r="B7269" s="2">
        <v>642466.43999999994</v>
      </c>
      <c r="C7269" s="38">
        <v>45002</v>
      </c>
      <c r="D7269" s="1" t="s">
        <v>235</v>
      </c>
      <c r="E7269" s="1" t="s">
        <v>34</v>
      </c>
      <c r="F7269" s="1" t="s">
        <v>201</v>
      </c>
      <c r="G7269" s="5">
        <v>27.09</v>
      </c>
    </row>
    <row r="7270" spans="1:7" x14ac:dyDescent="0.2">
      <c r="A7270" s="3">
        <v>-30800</v>
      </c>
      <c r="B7270" s="2">
        <v>-834372</v>
      </c>
      <c r="C7270" s="38">
        <v>45002</v>
      </c>
      <c r="D7270" s="1" t="s">
        <v>235</v>
      </c>
      <c r="E7270" s="1" t="s">
        <v>34</v>
      </c>
      <c r="F7270" s="1" t="s">
        <v>201</v>
      </c>
      <c r="G7270" s="5">
        <v>27.09</v>
      </c>
    </row>
    <row r="7271" spans="1:7" x14ac:dyDescent="0.2">
      <c r="A7271" s="3">
        <v>-37268</v>
      </c>
      <c r="B7271" s="2">
        <v>-1009590.12</v>
      </c>
      <c r="C7271" s="38">
        <v>45002</v>
      </c>
      <c r="D7271" s="1" t="s">
        <v>235</v>
      </c>
      <c r="E7271" s="1" t="s">
        <v>34</v>
      </c>
      <c r="F7271" s="1" t="s">
        <v>201</v>
      </c>
      <c r="G7271" s="5">
        <v>27.09</v>
      </c>
    </row>
    <row r="7272" spans="1:7" x14ac:dyDescent="0.2">
      <c r="A7272" s="3">
        <v>-17248</v>
      </c>
      <c r="B7272" s="2">
        <v>-467248.32</v>
      </c>
      <c r="C7272" s="38">
        <v>45002</v>
      </c>
      <c r="D7272" s="1" t="s">
        <v>235</v>
      </c>
      <c r="E7272" s="1" t="s">
        <v>34</v>
      </c>
      <c r="F7272" s="1" t="s">
        <v>201</v>
      </c>
      <c r="G7272" s="5">
        <v>27.09</v>
      </c>
    </row>
    <row r="7273" spans="1:7" x14ac:dyDescent="0.2">
      <c r="A7273" s="3">
        <v>-23716</v>
      </c>
      <c r="B7273" s="2">
        <v>-642466.43999999994</v>
      </c>
      <c r="C7273" s="38">
        <v>45002</v>
      </c>
      <c r="D7273" s="1" t="s">
        <v>235</v>
      </c>
      <c r="E7273" s="1" t="s">
        <v>34</v>
      </c>
      <c r="F7273" s="1" t="s">
        <v>201</v>
      </c>
      <c r="G7273" s="5">
        <v>27.09</v>
      </c>
    </row>
    <row r="7274" spans="1:7" x14ac:dyDescent="0.2">
      <c r="A7274" s="3">
        <v>20069</v>
      </c>
      <c r="B7274" s="2">
        <v>80677.38</v>
      </c>
      <c r="C7274" s="38">
        <v>45002</v>
      </c>
      <c r="D7274" s="1" t="s">
        <v>236</v>
      </c>
      <c r="E7274" s="1" t="s">
        <v>34</v>
      </c>
      <c r="F7274" s="1" t="s">
        <v>201</v>
      </c>
      <c r="G7274" s="5">
        <v>4.0199999999999996</v>
      </c>
    </row>
    <row r="7275" spans="1:7" x14ac:dyDescent="0.2">
      <c r="A7275" s="3">
        <v>4291</v>
      </c>
      <c r="B7275" s="2">
        <v>17249.82</v>
      </c>
      <c r="C7275" s="38">
        <v>45002</v>
      </c>
      <c r="D7275" s="1" t="s">
        <v>236</v>
      </c>
      <c r="E7275" s="1" t="s">
        <v>34</v>
      </c>
      <c r="F7275" s="1" t="s">
        <v>201</v>
      </c>
      <c r="G7275" s="5">
        <v>4.0199999999999996</v>
      </c>
    </row>
    <row r="7276" spans="1:7" x14ac:dyDescent="0.2">
      <c r="A7276" s="3">
        <v>-31668</v>
      </c>
      <c r="B7276" s="2">
        <v>-127305.36</v>
      </c>
      <c r="C7276" s="38">
        <v>45002</v>
      </c>
      <c r="D7276" s="1" t="s">
        <v>236</v>
      </c>
      <c r="E7276" s="1" t="s">
        <v>34</v>
      </c>
      <c r="F7276" s="1" t="s">
        <v>201</v>
      </c>
      <c r="G7276" s="5">
        <v>4.0199999999999996</v>
      </c>
    </row>
    <row r="7277" spans="1:7" x14ac:dyDescent="0.2">
      <c r="A7277" s="3">
        <v>-36540</v>
      </c>
      <c r="B7277" s="2">
        <v>-146890.79999999999</v>
      </c>
      <c r="C7277" s="38">
        <v>45002</v>
      </c>
      <c r="D7277" s="1" t="s">
        <v>236</v>
      </c>
      <c r="E7277" s="1" t="s">
        <v>34</v>
      </c>
      <c r="F7277" s="1" t="s">
        <v>201</v>
      </c>
      <c r="G7277" s="5">
        <v>4.0199999999999996</v>
      </c>
    </row>
    <row r="7278" spans="1:7" x14ac:dyDescent="0.2">
      <c r="A7278" s="3">
        <v>-17052</v>
      </c>
      <c r="B7278" s="2">
        <v>-68549.039999999994</v>
      </c>
      <c r="C7278" s="38">
        <v>45002</v>
      </c>
      <c r="D7278" s="1" t="s">
        <v>236</v>
      </c>
      <c r="E7278" s="1" t="s">
        <v>34</v>
      </c>
      <c r="F7278" s="1" t="s">
        <v>201</v>
      </c>
      <c r="G7278" s="5">
        <v>4.0199999999999996</v>
      </c>
    </row>
    <row r="7279" spans="1:7" x14ac:dyDescent="0.2">
      <c r="A7279" s="3">
        <v>-4291</v>
      </c>
      <c r="B7279" s="2">
        <v>-17249.82</v>
      </c>
      <c r="C7279" s="38">
        <v>45002</v>
      </c>
      <c r="D7279" s="1" t="s">
        <v>236</v>
      </c>
      <c r="E7279" s="1" t="s">
        <v>34</v>
      </c>
      <c r="F7279" s="1" t="s">
        <v>201</v>
      </c>
      <c r="G7279" s="5">
        <v>4.0199999999999996</v>
      </c>
    </row>
    <row r="7280" spans="1:7" x14ac:dyDescent="0.2">
      <c r="A7280" s="3">
        <v>-20069</v>
      </c>
      <c r="B7280" s="2">
        <v>-80677.38</v>
      </c>
      <c r="C7280" s="38">
        <v>45002</v>
      </c>
      <c r="D7280" s="1" t="s">
        <v>236</v>
      </c>
      <c r="E7280" s="1" t="s">
        <v>34</v>
      </c>
      <c r="F7280" s="1" t="s">
        <v>201</v>
      </c>
      <c r="G7280" s="5">
        <v>4.0199999999999996</v>
      </c>
    </row>
    <row r="7281" spans="1:7" x14ac:dyDescent="0.2">
      <c r="A7281" s="3">
        <v>30800</v>
      </c>
      <c r="B7281" s="2">
        <v>834372</v>
      </c>
      <c r="C7281" s="38">
        <v>45005</v>
      </c>
      <c r="D7281" s="1" t="s">
        <v>235</v>
      </c>
      <c r="E7281" s="1" t="s">
        <v>34</v>
      </c>
      <c r="F7281" s="1" t="s">
        <v>201</v>
      </c>
      <c r="G7281" s="5">
        <v>27.09</v>
      </c>
    </row>
    <row r="7282" spans="1:7" x14ac:dyDescent="0.2">
      <c r="A7282" s="3">
        <v>37268</v>
      </c>
      <c r="B7282" s="2">
        <v>1009590.12</v>
      </c>
      <c r="C7282" s="38">
        <v>45005</v>
      </c>
      <c r="D7282" s="1" t="s">
        <v>235</v>
      </c>
      <c r="E7282" s="1" t="s">
        <v>34</v>
      </c>
      <c r="F7282" s="1" t="s">
        <v>201</v>
      </c>
      <c r="G7282" s="5">
        <v>27.09</v>
      </c>
    </row>
    <row r="7283" spans="1:7" x14ac:dyDescent="0.2">
      <c r="A7283" s="3">
        <v>17248</v>
      </c>
      <c r="B7283" s="2">
        <v>467248.32</v>
      </c>
      <c r="C7283" s="38">
        <v>45005</v>
      </c>
      <c r="D7283" s="1" t="s">
        <v>235</v>
      </c>
      <c r="E7283" s="1" t="s">
        <v>34</v>
      </c>
      <c r="F7283" s="1" t="s">
        <v>201</v>
      </c>
      <c r="G7283" s="5">
        <v>27.09</v>
      </c>
    </row>
    <row r="7284" spans="1:7" x14ac:dyDescent="0.2">
      <c r="A7284" s="3">
        <v>23716</v>
      </c>
      <c r="B7284" s="2">
        <v>642466.43999999994</v>
      </c>
      <c r="C7284" s="38">
        <v>45005</v>
      </c>
      <c r="D7284" s="1" t="s">
        <v>235</v>
      </c>
      <c r="E7284" s="1" t="s">
        <v>34</v>
      </c>
      <c r="F7284" s="1" t="s">
        <v>201</v>
      </c>
      <c r="G7284" s="5">
        <v>27.09</v>
      </c>
    </row>
    <row r="7285" spans="1:7" x14ac:dyDescent="0.2">
      <c r="A7285" s="3">
        <v>31668</v>
      </c>
      <c r="B7285" s="2">
        <v>127305.36</v>
      </c>
      <c r="C7285" s="38">
        <v>45005</v>
      </c>
      <c r="D7285" s="1" t="s">
        <v>236</v>
      </c>
      <c r="E7285" s="1" t="s">
        <v>34</v>
      </c>
      <c r="F7285" s="1" t="s">
        <v>201</v>
      </c>
      <c r="G7285" s="5">
        <v>4.0199999999999996</v>
      </c>
    </row>
    <row r="7286" spans="1:7" x14ac:dyDescent="0.2">
      <c r="A7286" s="3">
        <v>36540</v>
      </c>
      <c r="B7286" s="2">
        <v>146890.79999999999</v>
      </c>
      <c r="C7286" s="38">
        <v>45005</v>
      </c>
      <c r="D7286" s="1" t="s">
        <v>236</v>
      </c>
      <c r="E7286" s="1" t="s">
        <v>34</v>
      </c>
      <c r="F7286" s="1" t="s">
        <v>201</v>
      </c>
      <c r="G7286" s="5">
        <v>4.0199999999999996</v>
      </c>
    </row>
    <row r="7287" spans="1:7" x14ac:dyDescent="0.2">
      <c r="A7287" s="3">
        <v>17052</v>
      </c>
      <c r="B7287" s="2">
        <v>68549.039999999994</v>
      </c>
      <c r="C7287" s="38">
        <v>45005</v>
      </c>
      <c r="D7287" s="1" t="s">
        <v>236</v>
      </c>
      <c r="E7287" s="1" t="s">
        <v>34</v>
      </c>
      <c r="F7287" s="1" t="s">
        <v>201</v>
      </c>
      <c r="G7287" s="5">
        <v>4.0199999999999996</v>
      </c>
    </row>
    <row r="7288" spans="1:7" x14ac:dyDescent="0.2">
      <c r="A7288" s="3">
        <v>24360</v>
      </c>
      <c r="B7288" s="2">
        <v>97927.2</v>
      </c>
      <c r="C7288" s="38">
        <v>45005</v>
      </c>
      <c r="D7288" s="1" t="s">
        <v>236</v>
      </c>
      <c r="E7288" s="1" t="s">
        <v>34</v>
      </c>
      <c r="F7288" s="1" t="s">
        <v>201</v>
      </c>
      <c r="G7288" s="5">
        <v>4.0199999999999996</v>
      </c>
    </row>
    <row r="7289" spans="1:7" x14ac:dyDescent="0.2">
      <c r="A7289" s="3">
        <v>10164</v>
      </c>
      <c r="B7289" s="2">
        <v>275342.76</v>
      </c>
      <c r="C7289" s="38">
        <v>45007</v>
      </c>
      <c r="D7289" s="1" t="s">
        <v>235</v>
      </c>
      <c r="E7289" s="1" t="s">
        <v>34</v>
      </c>
      <c r="F7289" s="1" t="s">
        <v>201</v>
      </c>
      <c r="G7289" s="5">
        <v>27.09</v>
      </c>
    </row>
    <row r="7290" spans="1:7" x14ac:dyDescent="0.2">
      <c r="A7290" s="3">
        <v>31724</v>
      </c>
      <c r="B7290" s="2">
        <v>859403.16</v>
      </c>
      <c r="C7290" s="38">
        <v>45007</v>
      </c>
      <c r="D7290" s="1" t="s">
        <v>235</v>
      </c>
      <c r="E7290" s="1" t="s">
        <v>34</v>
      </c>
      <c r="F7290" s="1" t="s">
        <v>201</v>
      </c>
      <c r="G7290" s="5">
        <v>27.09</v>
      </c>
    </row>
    <row r="7291" spans="1:7" x14ac:dyDescent="0.2">
      <c r="A7291" s="3">
        <v>12180</v>
      </c>
      <c r="B7291" s="2">
        <v>48963.6</v>
      </c>
      <c r="C7291" s="38">
        <v>45007</v>
      </c>
      <c r="D7291" s="1" t="s">
        <v>236</v>
      </c>
      <c r="E7291" s="1" t="s">
        <v>34</v>
      </c>
      <c r="F7291" s="1" t="s">
        <v>201</v>
      </c>
      <c r="G7291" s="5">
        <v>4.0199999999999996</v>
      </c>
    </row>
    <row r="7292" spans="1:7" x14ac:dyDescent="0.2">
      <c r="A7292" s="3">
        <v>31668</v>
      </c>
      <c r="B7292" s="2">
        <v>127305.36</v>
      </c>
      <c r="C7292" s="38">
        <v>45007</v>
      </c>
      <c r="D7292" s="1" t="s">
        <v>236</v>
      </c>
      <c r="E7292" s="1" t="s">
        <v>34</v>
      </c>
      <c r="F7292" s="1" t="s">
        <v>201</v>
      </c>
      <c r="G7292" s="5">
        <v>4.0199999999999996</v>
      </c>
    </row>
    <row r="7293" spans="1:7" x14ac:dyDescent="0.2">
      <c r="A7293" s="3">
        <v>21252</v>
      </c>
      <c r="B7293" s="2">
        <v>572316.36</v>
      </c>
      <c r="C7293" s="38">
        <v>45016</v>
      </c>
      <c r="D7293" s="1" t="s">
        <v>235</v>
      </c>
      <c r="E7293" s="1" t="s">
        <v>34</v>
      </c>
      <c r="F7293" s="1" t="s">
        <v>201</v>
      </c>
      <c r="G7293" s="5">
        <v>26.93</v>
      </c>
    </row>
    <row r="7294" spans="1:7" x14ac:dyDescent="0.2">
      <c r="A7294" s="3">
        <v>19488</v>
      </c>
      <c r="B7294" s="2">
        <v>78341.759999999995</v>
      </c>
      <c r="C7294" s="38">
        <v>45016</v>
      </c>
      <c r="D7294" s="1" t="s">
        <v>236</v>
      </c>
      <c r="E7294" s="1" t="s">
        <v>34</v>
      </c>
      <c r="F7294" s="1" t="s">
        <v>201</v>
      </c>
      <c r="G7294" s="5">
        <v>4.0199999999999996</v>
      </c>
    </row>
    <row r="7295" spans="1:7" x14ac:dyDescent="0.2">
      <c r="A7295" s="3">
        <v>18788</v>
      </c>
      <c r="B7295" s="2">
        <v>505960.84</v>
      </c>
      <c r="C7295" s="38">
        <v>45029</v>
      </c>
      <c r="D7295" s="1" t="s">
        <v>235</v>
      </c>
      <c r="E7295" s="1" t="s">
        <v>34</v>
      </c>
      <c r="F7295" s="1" t="s">
        <v>201</v>
      </c>
      <c r="G7295" s="5">
        <v>26.93</v>
      </c>
    </row>
    <row r="7296" spans="1:7" x14ac:dyDescent="0.2">
      <c r="A7296" s="3">
        <v>16016</v>
      </c>
      <c r="B7296" s="2">
        <v>431310.88</v>
      </c>
      <c r="C7296" s="38">
        <v>45029</v>
      </c>
      <c r="D7296" s="1" t="s">
        <v>235</v>
      </c>
      <c r="E7296" s="1" t="s">
        <v>34</v>
      </c>
      <c r="F7296" s="1" t="s">
        <v>201</v>
      </c>
      <c r="G7296" s="5">
        <v>26.93</v>
      </c>
    </row>
    <row r="7297" spans="1:7" x14ac:dyDescent="0.2">
      <c r="A7297" s="3">
        <v>19488</v>
      </c>
      <c r="B7297" s="2">
        <v>78341.759999999995</v>
      </c>
      <c r="C7297" s="38">
        <v>45029</v>
      </c>
      <c r="D7297" s="1" t="s">
        <v>236</v>
      </c>
      <c r="E7297" s="1" t="s">
        <v>34</v>
      </c>
      <c r="F7297" s="1" t="s">
        <v>201</v>
      </c>
      <c r="G7297" s="5">
        <v>4.0199999999999996</v>
      </c>
    </row>
    <row r="7298" spans="1:7" x14ac:dyDescent="0.2">
      <c r="A7298" s="3">
        <v>14616</v>
      </c>
      <c r="B7298" s="2">
        <v>58756.32</v>
      </c>
      <c r="C7298" s="38">
        <v>45029</v>
      </c>
      <c r="D7298" s="1" t="s">
        <v>236</v>
      </c>
      <c r="E7298" s="1" t="s">
        <v>34</v>
      </c>
      <c r="F7298" s="1" t="s">
        <v>201</v>
      </c>
      <c r="G7298" s="5">
        <v>4.0199999999999996</v>
      </c>
    </row>
    <row r="7299" spans="1:7" x14ac:dyDescent="0.2">
      <c r="A7299" s="3">
        <v>9240</v>
      </c>
      <c r="B7299" s="2">
        <v>248833.2</v>
      </c>
      <c r="C7299" s="38">
        <v>45041</v>
      </c>
      <c r="D7299" s="1" t="s">
        <v>235</v>
      </c>
      <c r="E7299" s="1" t="s">
        <v>34</v>
      </c>
      <c r="F7299" s="1" t="s">
        <v>201</v>
      </c>
      <c r="G7299" s="5">
        <v>26.93</v>
      </c>
    </row>
    <row r="7300" spans="1:7" x14ac:dyDescent="0.2">
      <c r="A7300" s="3">
        <v>9744</v>
      </c>
      <c r="B7300" s="2">
        <v>39170.879999999997</v>
      </c>
      <c r="C7300" s="38">
        <v>45041</v>
      </c>
      <c r="D7300" s="1" t="s">
        <v>236</v>
      </c>
      <c r="E7300" s="1" t="s">
        <v>34</v>
      </c>
      <c r="F7300" s="1" t="s">
        <v>201</v>
      </c>
      <c r="G7300" s="5">
        <v>4.0199999999999996</v>
      </c>
    </row>
    <row r="7301" spans="1:7" x14ac:dyDescent="0.2">
      <c r="A7301" s="3">
        <v>21252</v>
      </c>
      <c r="B7301" s="2">
        <v>572316.36</v>
      </c>
      <c r="C7301" s="38">
        <v>45043</v>
      </c>
      <c r="D7301" s="1" t="s">
        <v>235</v>
      </c>
      <c r="E7301" s="1" t="s">
        <v>34</v>
      </c>
      <c r="F7301" s="1" t="s">
        <v>201</v>
      </c>
      <c r="G7301" s="5">
        <v>26.93</v>
      </c>
    </row>
    <row r="7302" spans="1:7" x14ac:dyDescent="0.2">
      <c r="A7302" s="3">
        <v>21924</v>
      </c>
      <c r="B7302" s="2">
        <v>88134.48</v>
      </c>
      <c r="C7302" s="38">
        <v>45043</v>
      </c>
      <c r="D7302" s="1" t="s">
        <v>236</v>
      </c>
      <c r="E7302" s="1" t="s">
        <v>34</v>
      </c>
      <c r="F7302" s="1" t="s">
        <v>201</v>
      </c>
      <c r="G7302" s="5">
        <v>4.0199999999999996</v>
      </c>
    </row>
    <row r="7303" spans="1:7" x14ac:dyDescent="0.2">
      <c r="A7303" s="3">
        <v>31724</v>
      </c>
      <c r="B7303" s="2">
        <v>854327.32</v>
      </c>
      <c r="C7303" s="38">
        <v>45051</v>
      </c>
      <c r="D7303" s="1" t="s">
        <v>235</v>
      </c>
      <c r="E7303" s="1" t="s">
        <v>34</v>
      </c>
      <c r="F7303" s="1" t="s">
        <v>201</v>
      </c>
      <c r="G7303" s="5">
        <v>26.93</v>
      </c>
    </row>
    <row r="7304" spans="1:7" x14ac:dyDescent="0.2">
      <c r="A7304" s="3">
        <v>31668</v>
      </c>
      <c r="B7304" s="2">
        <v>127305.36</v>
      </c>
      <c r="C7304" s="38">
        <v>45051</v>
      </c>
      <c r="D7304" s="1" t="s">
        <v>236</v>
      </c>
      <c r="E7304" s="1" t="s">
        <v>34</v>
      </c>
      <c r="F7304" s="1" t="s">
        <v>201</v>
      </c>
      <c r="G7304" s="5">
        <v>4.0199999999999996</v>
      </c>
    </row>
    <row r="7305" spans="1:7" x14ac:dyDescent="0.2">
      <c r="A7305" s="3">
        <v>26796</v>
      </c>
      <c r="B7305" s="2">
        <v>721616.28</v>
      </c>
      <c r="C7305" s="38">
        <v>45062</v>
      </c>
      <c r="D7305" s="1" t="s">
        <v>235</v>
      </c>
      <c r="E7305" s="1" t="s">
        <v>34</v>
      </c>
      <c r="F7305" s="1" t="s">
        <v>201</v>
      </c>
      <c r="G7305" s="5">
        <v>26.93</v>
      </c>
    </row>
    <row r="7306" spans="1:7" x14ac:dyDescent="0.2">
      <c r="A7306" s="3">
        <v>26796</v>
      </c>
      <c r="B7306" s="2">
        <v>107719.92</v>
      </c>
      <c r="C7306" s="38">
        <v>45062</v>
      </c>
      <c r="D7306" s="1" t="s">
        <v>236</v>
      </c>
      <c r="E7306" s="1" t="s">
        <v>34</v>
      </c>
      <c r="F7306" s="1" t="s">
        <v>201</v>
      </c>
      <c r="G7306" s="5">
        <v>4.0199999999999996</v>
      </c>
    </row>
    <row r="7307" spans="1:7" x14ac:dyDescent="0.2">
      <c r="A7307" s="3">
        <v>42504</v>
      </c>
      <c r="B7307" s="2">
        <v>1144632.72</v>
      </c>
      <c r="C7307" s="38">
        <v>45063</v>
      </c>
      <c r="D7307" s="1" t="s">
        <v>235</v>
      </c>
      <c r="E7307" s="1" t="s">
        <v>34</v>
      </c>
      <c r="F7307" s="1" t="s">
        <v>201</v>
      </c>
      <c r="G7307" s="5">
        <v>26.93</v>
      </c>
    </row>
    <row r="7308" spans="1:7" x14ac:dyDescent="0.2">
      <c r="A7308" s="3">
        <v>43848</v>
      </c>
      <c r="B7308" s="2">
        <v>176268.96</v>
      </c>
      <c r="C7308" s="38">
        <v>45063</v>
      </c>
      <c r="D7308" s="1" t="s">
        <v>236</v>
      </c>
      <c r="E7308" s="1" t="s">
        <v>34</v>
      </c>
      <c r="F7308" s="1" t="s">
        <v>201</v>
      </c>
      <c r="G7308" s="5">
        <v>4.0199999999999996</v>
      </c>
    </row>
    <row r="7309" spans="1:7" x14ac:dyDescent="0.2">
      <c r="A7309" s="3">
        <v>10472</v>
      </c>
      <c r="B7309" s="2">
        <v>282010.96000000002</v>
      </c>
      <c r="C7309" s="38">
        <v>45068</v>
      </c>
      <c r="D7309" s="1" t="s">
        <v>235</v>
      </c>
      <c r="E7309" s="1" t="s">
        <v>34</v>
      </c>
      <c r="F7309" s="1" t="s">
        <v>201</v>
      </c>
      <c r="G7309" s="5">
        <v>26.93</v>
      </c>
    </row>
    <row r="7310" spans="1:7" x14ac:dyDescent="0.2">
      <c r="A7310" s="3">
        <v>9744</v>
      </c>
      <c r="B7310" s="2">
        <v>39170.879999999997</v>
      </c>
      <c r="C7310" s="38">
        <v>45068</v>
      </c>
      <c r="D7310" s="1" t="s">
        <v>236</v>
      </c>
      <c r="E7310" s="1" t="s">
        <v>34</v>
      </c>
      <c r="F7310" s="1" t="s">
        <v>201</v>
      </c>
      <c r="G7310" s="5">
        <v>4.0199999999999996</v>
      </c>
    </row>
    <row r="7311" spans="1:7" x14ac:dyDescent="0.2">
      <c r="A7311" s="3">
        <v>21252</v>
      </c>
      <c r="B7311" s="2">
        <v>572316.36</v>
      </c>
      <c r="C7311" s="38">
        <v>45092</v>
      </c>
      <c r="D7311" s="1" t="s">
        <v>235</v>
      </c>
      <c r="E7311" s="1" t="s">
        <v>34</v>
      </c>
      <c r="F7311" s="1" t="s">
        <v>201</v>
      </c>
      <c r="G7311" s="5">
        <v>26.93</v>
      </c>
    </row>
    <row r="7312" spans="1:7" x14ac:dyDescent="0.2">
      <c r="A7312" s="3">
        <v>32340</v>
      </c>
      <c r="B7312" s="2">
        <v>870916.2</v>
      </c>
      <c r="C7312" s="38">
        <v>45092</v>
      </c>
      <c r="D7312" s="1" t="s">
        <v>235</v>
      </c>
      <c r="E7312" s="1" t="s">
        <v>34</v>
      </c>
      <c r="F7312" s="1" t="s">
        <v>201</v>
      </c>
      <c r="G7312" s="5">
        <v>26.93</v>
      </c>
    </row>
    <row r="7313" spans="1:7" x14ac:dyDescent="0.2">
      <c r="A7313" s="3">
        <v>21924</v>
      </c>
      <c r="B7313" s="2">
        <v>88134.48</v>
      </c>
      <c r="C7313" s="38">
        <v>45092</v>
      </c>
      <c r="D7313" s="1" t="s">
        <v>236</v>
      </c>
      <c r="E7313" s="1" t="s">
        <v>34</v>
      </c>
      <c r="F7313" s="1" t="s">
        <v>201</v>
      </c>
      <c r="G7313" s="5">
        <v>4.0199999999999996</v>
      </c>
    </row>
    <row r="7314" spans="1:7" x14ac:dyDescent="0.2">
      <c r="A7314" s="3">
        <v>31668</v>
      </c>
      <c r="B7314" s="2">
        <v>127305.36</v>
      </c>
      <c r="C7314" s="38">
        <v>45092</v>
      </c>
      <c r="D7314" s="1" t="s">
        <v>236</v>
      </c>
      <c r="E7314" s="1" t="s">
        <v>34</v>
      </c>
      <c r="F7314" s="1" t="s">
        <v>201</v>
      </c>
      <c r="G7314" s="5">
        <v>4.0199999999999996</v>
      </c>
    </row>
    <row r="7315" spans="1:7" x14ac:dyDescent="0.2">
      <c r="A7315" s="3">
        <v>9856</v>
      </c>
      <c r="B7315" s="2">
        <v>265422.08000000002</v>
      </c>
      <c r="C7315" s="38">
        <v>45105</v>
      </c>
      <c r="D7315" s="1" t="s">
        <v>235</v>
      </c>
      <c r="E7315" s="1" t="s">
        <v>34</v>
      </c>
      <c r="F7315" s="1" t="s">
        <v>201</v>
      </c>
      <c r="G7315" s="5">
        <v>26.93</v>
      </c>
    </row>
    <row r="7316" spans="1:7" x14ac:dyDescent="0.2">
      <c r="A7316" s="3">
        <v>9744</v>
      </c>
      <c r="B7316" s="2">
        <v>39170.879999999997</v>
      </c>
      <c r="C7316" s="38">
        <v>45105</v>
      </c>
      <c r="D7316" s="1" t="s">
        <v>236</v>
      </c>
      <c r="E7316" s="1" t="s">
        <v>34</v>
      </c>
      <c r="F7316" s="1" t="s">
        <v>201</v>
      </c>
      <c r="G7316" s="5">
        <v>4.0199999999999996</v>
      </c>
    </row>
    <row r="7317" spans="1:7" x14ac:dyDescent="0.2">
      <c r="A7317" s="3">
        <v>10164</v>
      </c>
      <c r="B7317" s="2">
        <v>273716.52</v>
      </c>
      <c r="C7317" s="38">
        <v>45127</v>
      </c>
      <c r="D7317" s="1" t="s">
        <v>235</v>
      </c>
      <c r="E7317" s="1" t="s">
        <v>34</v>
      </c>
      <c r="F7317" s="1" t="s">
        <v>201</v>
      </c>
      <c r="G7317" s="5">
        <v>26.93</v>
      </c>
    </row>
    <row r="7318" spans="1:7" x14ac:dyDescent="0.2">
      <c r="A7318" s="3">
        <v>47432</v>
      </c>
      <c r="B7318" s="2">
        <v>1277343.76</v>
      </c>
      <c r="C7318" s="38">
        <v>45127</v>
      </c>
      <c r="D7318" s="1" t="s">
        <v>235</v>
      </c>
      <c r="E7318" s="1" t="s">
        <v>34</v>
      </c>
      <c r="F7318" s="1" t="s">
        <v>201</v>
      </c>
      <c r="G7318" s="5">
        <v>26.93</v>
      </c>
    </row>
    <row r="7319" spans="1:7" x14ac:dyDescent="0.2">
      <c r="A7319" s="3">
        <v>9744</v>
      </c>
      <c r="B7319" s="2">
        <v>39170.879999999997</v>
      </c>
      <c r="C7319" s="38">
        <v>45127</v>
      </c>
      <c r="D7319" s="1" t="s">
        <v>236</v>
      </c>
      <c r="E7319" s="1" t="s">
        <v>34</v>
      </c>
      <c r="F7319" s="1" t="s">
        <v>201</v>
      </c>
      <c r="G7319" s="5">
        <v>4.0199999999999996</v>
      </c>
    </row>
    <row r="7320" spans="1:7" x14ac:dyDescent="0.2">
      <c r="A7320" s="3">
        <v>48720</v>
      </c>
      <c r="B7320" s="2">
        <v>195854.4</v>
      </c>
      <c r="C7320" s="38">
        <v>45127</v>
      </c>
      <c r="D7320" s="1" t="s">
        <v>236</v>
      </c>
      <c r="E7320" s="1" t="s">
        <v>34</v>
      </c>
      <c r="F7320" s="1" t="s">
        <v>201</v>
      </c>
      <c r="G7320" s="5">
        <v>4.0199999999999996</v>
      </c>
    </row>
    <row r="7321" spans="1:7" x14ac:dyDescent="0.2">
      <c r="A7321" s="3">
        <v>7392</v>
      </c>
      <c r="B7321" s="2">
        <v>199066.56</v>
      </c>
      <c r="C7321" s="38">
        <v>45141</v>
      </c>
      <c r="D7321" s="1" t="s">
        <v>235</v>
      </c>
      <c r="E7321" s="1" t="s">
        <v>34</v>
      </c>
      <c r="F7321" s="1" t="s">
        <v>201</v>
      </c>
      <c r="G7321" s="5">
        <v>26.93</v>
      </c>
    </row>
    <row r="7322" spans="1:7" x14ac:dyDescent="0.2">
      <c r="A7322" s="3">
        <v>4872</v>
      </c>
      <c r="B7322" s="2">
        <v>19585.439999999999</v>
      </c>
      <c r="C7322" s="38">
        <v>45141</v>
      </c>
      <c r="D7322" s="1" t="s">
        <v>236</v>
      </c>
      <c r="E7322" s="1" t="s">
        <v>34</v>
      </c>
      <c r="F7322" s="1" t="s">
        <v>201</v>
      </c>
      <c r="G7322" s="5">
        <v>4.0199999999999996</v>
      </c>
    </row>
    <row r="7323" spans="1:7" x14ac:dyDescent="0.2">
      <c r="A7323" s="3">
        <v>14784</v>
      </c>
      <c r="B7323" s="2">
        <v>398133.12</v>
      </c>
      <c r="C7323" s="38">
        <v>45148</v>
      </c>
      <c r="D7323" s="1" t="s">
        <v>235</v>
      </c>
      <c r="E7323" s="1" t="s">
        <v>34</v>
      </c>
      <c r="F7323" s="1" t="s">
        <v>201</v>
      </c>
      <c r="G7323" s="5">
        <v>26.93</v>
      </c>
    </row>
    <row r="7324" spans="1:7" x14ac:dyDescent="0.2">
      <c r="A7324" s="3">
        <v>14616</v>
      </c>
      <c r="B7324" s="2">
        <v>58756.32</v>
      </c>
      <c r="C7324" s="38">
        <v>45148</v>
      </c>
      <c r="D7324" s="1" t="s">
        <v>236</v>
      </c>
      <c r="E7324" s="1" t="s">
        <v>34</v>
      </c>
      <c r="F7324" s="1" t="s">
        <v>201</v>
      </c>
      <c r="G7324" s="5">
        <v>4.0199999999999996</v>
      </c>
    </row>
    <row r="7325" spans="1:7" x14ac:dyDescent="0.2">
      <c r="A7325" s="3">
        <v>44660</v>
      </c>
      <c r="B7325" s="2">
        <v>1202693.8</v>
      </c>
      <c r="C7325" s="38">
        <v>45153</v>
      </c>
      <c r="D7325" s="1" t="s">
        <v>235</v>
      </c>
      <c r="E7325" s="1" t="s">
        <v>34</v>
      </c>
      <c r="F7325" s="1" t="s">
        <v>201</v>
      </c>
      <c r="G7325" s="5">
        <v>26.93</v>
      </c>
    </row>
    <row r="7326" spans="1:7" x14ac:dyDescent="0.2">
      <c r="A7326" s="3">
        <v>46284</v>
      </c>
      <c r="B7326" s="2">
        <v>186061.68</v>
      </c>
      <c r="C7326" s="38">
        <v>45153</v>
      </c>
      <c r="D7326" s="1" t="s">
        <v>236</v>
      </c>
      <c r="E7326" s="1" t="s">
        <v>34</v>
      </c>
      <c r="F7326" s="1" t="s">
        <v>201</v>
      </c>
      <c r="G7326" s="5">
        <v>4.0199999999999996</v>
      </c>
    </row>
    <row r="7327" spans="1:7" x14ac:dyDescent="0.2">
      <c r="A7327" s="3">
        <v>11088</v>
      </c>
      <c r="B7327" s="2">
        <v>298599.84000000003</v>
      </c>
      <c r="C7327" s="38">
        <v>45174</v>
      </c>
      <c r="D7327" s="1" t="s">
        <v>235</v>
      </c>
      <c r="E7327" s="1" t="s">
        <v>34</v>
      </c>
      <c r="F7327" s="1" t="s">
        <v>201</v>
      </c>
      <c r="G7327" s="5">
        <v>26.93</v>
      </c>
    </row>
    <row r="7328" spans="1:7" x14ac:dyDescent="0.2">
      <c r="A7328" s="3">
        <v>9744</v>
      </c>
      <c r="B7328" s="2">
        <v>39170.879999999997</v>
      </c>
      <c r="C7328" s="38">
        <v>45174</v>
      </c>
      <c r="D7328" s="1" t="s">
        <v>236</v>
      </c>
      <c r="E7328" s="1" t="s">
        <v>34</v>
      </c>
      <c r="F7328" s="1" t="s">
        <v>201</v>
      </c>
      <c r="G7328" s="5">
        <v>4.0199999999999996</v>
      </c>
    </row>
    <row r="7329" spans="1:7" x14ac:dyDescent="0.2">
      <c r="A7329" s="3">
        <v>33103</v>
      </c>
      <c r="B7329" s="2">
        <v>408822.05</v>
      </c>
      <c r="C7329" s="38">
        <v>44973</v>
      </c>
      <c r="D7329" s="1" t="s">
        <v>234</v>
      </c>
      <c r="E7329" s="1" t="s">
        <v>34</v>
      </c>
      <c r="F7329" s="1" t="s">
        <v>201</v>
      </c>
      <c r="G7329" s="5">
        <v>12.35</v>
      </c>
    </row>
    <row r="7330" spans="1:7" x14ac:dyDescent="0.2">
      <c r="A7330" s="3">
        <v>63504</v>
      </c>
      <c r="B7330" s="2">
        <v>784274.4</v>
      </c>
      <c r="C7330" s="38">
        <v>44973</v>
      </c>
      <c r="D7330" s="1" t="s">
        <v>233</v>
      </c>
      <c r="E7330" s="1" t="s">
        <v>34</v>
      </c>
      <c r="F7330" s="1" t="s">
        <v>201</v>
      </c>
      <c r="G7330" s="5">
        <v>12.35</v>
      </c>
    </row>
    <row r="7331" spans="1:7" x14ac:dyDescent="0.2">
      <c r="A7331" s="3">
        <v>-33103</v>
      </c>
      <c r="B7331" s="2">
        <v>-408822.05</v>
      </c>
      <c r="C7331" s="38">
        <v>44980</v>
      </c>
      <c r="D7331" s="1" t="s">
        <v>234</v>
      </c>
      <c r="E7331" s="1" t="s">
        <v>34</v>
      </c>
      <c r="F7331" s="1" t="s">
        <v>201</v>
      </c>
      <c r="G7331" s="5">
        <v>12.35</v>
      </c>
    </row>
    <row r="7332" spans="1:7" x14ac:dyDescent="0.2">
      <c r="A7332" s="3">
        <v>-63504</v>
      </c>
      <c r="B7332" s="2">
        <v>-784274.4</v>
      </c>
      <c r="C7332" s="38">
        <v>44980</v>
      </c>
      <c r="D7332" s="1" t="s">
        <v>233</v>
      </c>
      <c r="E7332" s="1" t="s">
        <v>34</v>
      </c>
      <c r="F7332" s="1" t="s">
        <v>201</v>
      </c>
      <c r="G7332" s="5">
        <v>12.35</v>
      </c>
    </row>
    <row r="7333" spans="1:7" x14ac:dyDescent="0.2">
      <c r="A7333" s="3">
        <v>33103</v>
      </c>
      <c r="B7333" s="2">
        <v>408822.05</v>
      </c>
      <c r="C7333" s="38">
        <v>44983</v>
      </c>
      <c r="D7333" s="1" t="s">
        <v>234</v>
      </c>
      <c r="E7333" s="1" t="s">
        <v>34</v>
      </c>
      <c r="F7333" s="1" t="s">
        <v>201</v>
      </c>
      <c r="G7333" s="5">
        <v>12.35</v>
      </c>
    </row>
    <row r="7334" spans="1:7" x14ac:dyDescent="0.2">
      <c r="A7334" s="3">
        <v>63504</v>
      </c>
      <c r="B7334" s="2">
        <v>784274.4</v>
      </c>
      <c r="C7334" s="38">
        <v>44983</v>
      </c>
      <c r="D7334" s="1" t="s">
        <v>233</v>
      </c>
      <c r="E7334" s="1" t="s">
        <v>34</v>
      </c>
      <c r="F7334" s="1" t="s">
        <v>201</v>
      </c>
      <c r="G7334" s="5">
        <v>12.35</v>
      </c>
    </row>
    <row r="7335" spans="1:7" x14ac:dyDescent="0.2">
      <c r="A7335" s="3">
        <v>40320</v>
      </c>
      <c r="B7335" s="2">
        <v>497952</v>
      </c>
      <c r="C7335" s="38">
        <v>44987</v>
      </c>
      <c r="D7335" s="1" t="s">
        <v>234</v>
      </c>
      <c r="E7335" s="1" t="s">
        <v>34</v>
      </c>
      <c r="F7335" s="1" t="s">
        <v>201</v>
      </c>
      <c r="G7335" s="5">
        <v>12.35</v>
      </c>
    </row>
    <row r="7336" spans="1:7" x14ac:dyDescent="0.2">
      <c r="A7336" s="3">
        <v>20160</v>
      </c>
      <c r="B7336" s="2">
        <v>248976</v>
      </c>
      <c r="C7336" s="38">
        <v>44987</v>
      </c>
      <c r="D7336" s="1" t="s">
        <v>234</v>
      </c>
      <c r="E7336" s="1" t="s">
        <v>34</v>
      </c>
      <c r="F7336" s="1" t="s">
        <v>201</v>
      </c>
      <c r="G7336" s="5">
        <v>12.35</v>
      </c>
    </row>
    <row r="7337" spans="1:7" x14ac:dyDescent="0.2">
      <c r="A7337" s="3">
        <v>73305</v>
      </c>
      <c r="B7337" s="2">
        <v>905316.75</v>
      </c>
      <c r="C7337" s="38">
        <v>44987</v>
      </c>
      <c r="D7337" s="1" t="s">
        <v>233</v>
      </c>
      <c r="E7337" s="1" t="s">
        <v>34</v>
      </c>
      <c r="F7337" s="1" t="s">
        <v>201</v>
      </c>
      <c r="G7337" s="5">
        <v>12.35</v>
      </c>
    </row>
    <row r="7338" spans="1:7" x14ac:dyDescent="0.2">
      <c r="A7338" s="3">
        <v>60480</v>
      </c>
      <c r="B7338" s="2">
        <v>746928</v>
      </c>
      <c r="C7338" s="38">
        <v>44987</v>
      </c>
      <c r="D7338" s="1" t="s">
        <v>233</v>
      </c>
      <c r="E7338" s="1" t="s">
        <v>34</v>
      </c>
      <c r="F7338" s="1" t="s">
        <v>201</v>
      </c>
      <c r="G7338" s="5">
        <v>12.35</v>
      </c>
    </row>
    <row r="7339" spans="1:7" x14ac:dyDescent="0.2">
      <c r="A7339" s="3">
        <v>20160</v>
      </c>
      <c r="B7339" s="2">
        <v>248976</v>
      </c>
      <c r="C7339" s="38">
        <v>44993</v>
      </c>
      <c r="D7339" s="1" t="s">
        <v>234</v>
      </c>
      <c r="E7339" s="1" t="s">
        <v>34</v>
      </c>
      <c r="F7339" s="1" t="s">
        <v>201</v>
      </c>
      <c r="G7339" s="5">
        <v>12.35</v>
      </c>
    </row>
    <row r="7340" spans="1:7" x14ac:dyDescent="0.2">
      <c r="A7340" s="3">
        <v>33600</v>
      </c>
      <c r="B7340" s="2">
        <v>414960</v>
      </c>
      <c r="C7340" s="38">
        <v>44993</v>
      </c>
      <c r="D7340" s="1" t="s">
        <v>233</v>
      </c>
      <c r="E7340" s="1" t="s">
        <v>34</v>
      </c>
      <c r="F7340" s="1" t="s">
        <v>201</v>
      </c>
      <c r="G7340" s="5">
        <v>12.35</v>
      </c>
    </row>
    <row r="7341" spans="1:7" x14ac:dyDescent="0.2">
      <c r="A7341" s="3">
        <v>13440</v>
      </c>
      <c r="B7341" s="2">
        <v>165984</v>
      </c>
      <c r="C7341" s="38">
        <v>45002</v>
      </c>
      <c r="D7341" s="1" t="s">
        <v>234</v>
      </c>
      <c r="E7341" s="1" t="s">
        <v>34</v>
      </c>
      <c r="F7341" s="1" t="s">
        <v>201</v>
      </c>
      <c r="G7341" s="5">
        <v>12.35</v>
      </c>
    </row>
    <row r="7342" spans="1:7" x14ac:dyDescent="0.2">
      <c r="A7342" s="3">
        <v>-40320</v>
      </c>
      <c r="B7342" s="2">
        <v>-497952</v>
      </c>
      <c r="C7342" s="38">
        <v>45002</v>
      </c>
      <c r="D7342" s="1" t="s">
        <v>234</v>
      </c>
      <c r="E7342" s="1" t="s">
        <v>34</v>
      </c>
      <c r="F7342" s="1" t="s">
        <v>201</v>
      </c>
      <c r="G7342" s="5">
        <v>12.35</v>
      </c>
    </row>
    <row r="7343" spans="1:7" x14ac:dyDescent="0.2">
      <c r="A7343" s="3">
        <v>-20160</v>
      </c>
      <c r="B7343" s="2">
        <v>-248976</v>
      </c>
      <c r="C7343" s="38">
        <v>45002</v>
      </c>
      <c r="D7343" s="1" t="s">
        <v>234</v>
      </c>
      <c r="E7343" s="1" t="s">
        <v>34</v>
      </c>
      <c r="F7343" s="1" t="s">
        <v>201</v>
      </c>
      <c r="G7343" s="5">
        <v>12.35</v>
      </c>
    </row>
    <row r="7344" spans="1:7" x14ac:dyDescent="0.2">
      <c r="A7344" s="3">
        <v>-20160</v>
      </c>
      <c r="B7344" s="2">
        <v>-248976</v>
      </c>
      <c r="C7344" s="38">
        <v>45002</v>
      </c>
      <c r="D7344" s="1" t="s">
        <v>234</v>
      </c>
      <c r="E7344" s="1" t="s">
        <v>34</v>
      </c>
      <c r="F7344" s="1" t="s">
        <v>201</v>
      </c>
      <c r="G7344" s="5">
        <v>12.35</v>
      </c>
    </row>
    <row r="7345" spans="1:7" x14ac:dyDescent="0.2">
      <c r="A7345" s="3">
        <v>-13440</v>
      </c>
      <c r="B7345" s="2">
        <v>-165984</v>
      </c>
      <c r="C7345" s="38">
        <v>45002</v>
      </c>
      <c r="D7345" s="1" t="s">
        <v>234</v>
      </c>
      <c r="E7345" s="1" t="s">
        <v>34</v>
      </c>
      <c r="F7345" s="1" t="s">
        <v>201</v>
      </c>
      <c r="G7345" s="5">
        <v>12.35</v>
      </c>
    </row>
    <row r="7346" spans="1:7" x14ac:dyDescent="0.2">
      <c r="A7346" s="3">
        <v>40320</v>
      </c>
      <c r="B7346" s="2">
        <v>497952</v>
      </c>
      <c r="C7346" s="38">
        <v>45002</v>
      </c>
      <c r="D7346" s="1" t="s">
        <v>233</v>
      </c>
      <c r="E7346" s="1" t="s">
        <v>34</v>
      </c>
      <c r="F7346" s="1" t="s">
        <v>201</v>
      </c>
      <c r="G7346" s="5">
        <v>12.35</v>
      </c>
    </row>
    <row r="7347" spans="1:7" x14ac:dyDescent="0.2">
      <c r="A7347" s="3">
        <v>-73305</v>
      </c>
      <c r="B7347" s="2">
        <v>-905316.75</v>
      </c>
      <c r="C7347" s="38">
        <v>45002</v>
      </c>
      <c r="D7347" s="1" t="s">
        <v>233</v>
      </c>
      <c r="E7347" s="1" t="s">
        <v>34</v>
      </c>
      <c r="F7347" s="1" t="s">
        <v>201</v>
      </c>
      <c r="G7347" s="5">
        <v>12.35</v>
      </c>
    </row>
    <row r="7348" spans="1:7" x14ac:dyDescent="0.2">
      <c r="A7348" s="3">
        <v>-60480</v>
      </c>
      <c r="B7348" s="2">
        <v>-746928</v>
      </c>
      <c r="C7348" s="38">
        <v>45002</v>
      </c>
      <c r="D7348" s="1" t="s">
        <v>233</v>
      </c>
      <c r="E7348" s="1" t="s">
        <v>34</v>
      </c>
      <c r="F7348" s="1" t="s">
        <v>201</v>
      </c>
      <c r="G7348" s="5">
        <v>12.35</v>
      </c>
    </row>
    <row r="7349" spans="1:7" x14ac:dyDescent="0.2">
      <c r="A7349" s="3">
        <v>-33600</v>
      </c>
      <c r="B7349" s="2">
        <v>-414960</v>
      </c>
      <c r="C7349" s="38">
        <v>45002</v>
      </c>
      <c r="D7349" s="1" t="s">
        <v>233</v>
      </c>
      <c r="E7349" s="1" t="s">
        <v>34</v>
      </c>
      <c r="F7349" s="1" t="s">
        <v>201</v>
      </c>
      <c r="G7349" s="5">
        <v>12.35</v>
      </c>
    </row>
    <row r="7350" spans="1:7" x14ac:dyDescent="0.2">
      <c r="A7350" s="3">
        <v>-40320</v>
      </c>
      <c r="B7350" s="2">
        <v>-497952</v>
      </c>
      <c r="C7350" s="38">
        <v>45002</v>
      </c>
      <c r="D7350" s="1" t="s">
        <v>233</v>
      </c>
      <c r="E7350" s="1" t="s">
        <v>34</v>
      </c>
      <c r="F7350" s="1" t="s">
        <v>201</v>
      </c>
      <c r="G7350" s="5">
        <v>12.35</v>
      </c>
    </row>
    <row r="7351" spans="1:7" x14ac:dyDescent="0.2">
      <c r="A7351" s="3">
        <v>40320</v>
      </c>
      <c r="B7351" s="2">
        <v>497952</v>
      </c>
      <c r="C7351" s="38">
        <v>45005</v>
      </c>
      <c r="D7351" s="1" t="s">
        <v>234</v>
      </c>
      <c r="E7351" s="1" t="s">
        <v>34</v>
      </c>
      <c r="F7351" s="1" t="s">
        <v>201</v>
      </c>
      <c r="G7351" s="5">
        <v>12.35</v>
      </c>
    </row>
    <row r="7352" spans="1:7" x14ac:dyDescent="0.2">
      <c r="A7352" s="3">
        <v>20160</v>
      </c>
      <c r="B7352" s="2">
        <v>248976</v>
      </c>
      <c r="C7352" s="38">
        <v>45005</v>
      </c>
      <c r="D7352" s="1" t="s">
        <v>234</v>
      </c>
      <c r="E7352" s="1" t="s">
        <v>34</v>
      </c>
      <c r="F7352" s="1" t="s">
        <v>201</v>
      </c>
      <c r="G7352" s="5">
        <v>12.35</v>
      </c>
    </row>
    <row r="7353" spans="1:7" x14ac:dyDescent="0.2">
      <c r="A7353" s="3">
        <v>20160</v>
      </c>
      <c r="B7353" s="2">
        <v>248976</v>
      </c>
      <c r="C7353" s="38">
        <v>45005</v>
      </c>
      <c r="D7353" s="1" t="s">
        <v>234</v>
      </c>
      <c r="E7353" s="1" t="s">
        <v>34</v>
      </c>
      <c r="F7353" s="1" t="s">
        <v>201</v>
      </c>
      <c r="G7353" s="5">
        <v>12.35</v>
      </c>
    </row>
    <row r="7354" spans="1:7" x14ac:dyDescent="0.2">
      <c r="A7354" s="3">
        <v>13440</v>
      </c>
      <c r="B7354" s="2">
        <v>165984</v>
      </c>
      <c r="C7354" s="38">
        <v>45005</v>
      </c>
      <c r="D7354" s="1" t="s">
        <v>234</v>
      </c>
      <c r="E7354" s="1" t="s">
        <v>34</v>
      </c>
      <c r="F7354" s="1" t="s">
        <v>201</v>
      </c>
      <c r="G7354" s="5">
        <v>12.35</v>
      </c>
    </row>
    <row r="7355" spans="1:7" x14ac:dyDescent="0.2">
      <c r="A7355" s="3">
        <v>73305</v>
      </c>
      <c r="B7355" s="2">
        <v>905316.75</v>
      </c>
      <c r="C7355" s="38">
        <v>45005</v>
      </c>
      <c r="D7355" s="1" t="s">
        <v>233</v>
      </c>
      <c r="E7355" s="1" t="s">
        <v>34</v>
      </c>
      <c r="F7355" s="1" t="s">
        <v>201</v>
      </c>
      <c r="G7355" s="5">
        <v>12.35</v>
      </c>
    </row>
    <row r="7356" spans="1:7" x14ac:dyDescent="0.2">
      <c r="A7356" s="3">
        <v>60480</v>
      </c>
      <c r="B7356" s="2">
        <v>746928</v>
      </c>
      <c r="C7356" s="38">
        <v>45005</v>
      </c>
      <c r="D7356" s="1" t="s">
        <v>233</v>
      </c>
      <c r="E7356" s="1" t="s">
        <v>34</v>
      </c>
      <c r="F7356" s="1" t="s">
        <v>201</v>
      </c>
      <c r="G7356" s="5">
        <v>12.35</v>
      </c>
    </row>
    <row r="7357" spans="1:7" x14ac:dyDescent="0.2">
      <c r="A7357" s="3">
        <v>33600</v>
      </c>
      <c r="B7357" s="2">
        <v>414960</v>
      </c>
      <c r="C7357" s="38">
        <v>45005</v>
      </c>
      <c r="D7357" s="1" t="s">
        <v>233</v>
      </c>
      <c r="E7357" s="1" t="s">
        <v>34</v>
      </c>
      <c r="F7357" s="1" t="s">
        <v>201</v>
      </c>
      <c r="G7357" s="5">
        <v>12.35</v>
      </c>
    </row>
    <row r="7358" spans="1:7" x14ac:dyDescent="0.2">
      <c r="A7358" s="3">
        <v>40320</v>
      </c>
      <c r="B7358" s="2">
        <v>497952</v>
      </c>
      <c r="C7358" s="38">
        <v>45005</v>
      </c>
      <c r="D7358" s="1" t="s">
        <v>233</v>
      </c>
      <c r="E7358" s="1" t="s">
        <v>34</v>
      </c>
      <c r="F7358" s="1" t="s">
        <v>201</v>
      </c>
      <c r="G7358" s="5">
        <v>12.35</v>
      </c>
    </row>
    <row r="7359" spans="1:7" x14ac:dyDescent="0.2">
      <c r="A7359" s="3">
        <v>26880</v>
      </c>
      <c r="B7359" s="2">
        <v>331968</v>
      </c>
      <c r="C7359" s="38">
        <v>45007</v>
      </c>
      <c r="D7359" s="1" t="s">
        <v>234</v>
      </c>
      <c r="E7359" s="1" t="s">
        <v>34</v>
      </c>
      <c r="F7359" s="1" t="s">
        <v>201</v>
      </c>
      <c r="G7359" s="5">
        <v>12.35</v>
      </c>
    </row>
    <row r="7360" spans="1:7" x14ac:dyDescent="0.2">
      <c r="A7360" s="3">
        <v>26880</v>
      </c>
      <c r="B7360" s="2">
        <v>331968</v>
      </c>
      <c r="C7360" s="38">
        <v>45007</v>
      </c>
      <c r="D7360" s="1" t="s">
        <v>234</v>
      </c>
      <c r="E7360" s="1" t="s">
        <v>34</v>
      </c>
      <c r="F7360" s="1" t="s">
        <v>201</v>
      </c>
      <c r="G7360" s="5">
        <v>12.35</v>
      </c>
    </row>
    <row r="7361" spans="1:7" x14ac:dyDescent="0.2">
      <c r="A7361" s="3">
        <v>40320</v>
      </c>
      <c r="B7361" s="2">
        <v>497952</v>
      </c>
      <c r="C7361" s="38">
        <v>45007</v>
      </c>
      <c r="D7361" s="1" t="s">
        <v>233</v>
      </c>
      <c r="E7361" s="1" t="s">
        <v>34</v>
      </c>
      <c r="F7361" s="1" t="s">
        <v>201</v>
      </c>
      <c r="G7361" s="5">
        <v>12.35</v>
      </c>
    </row>
    <row r="7362" spans="1:7" x14ac:dyDescent="0.2">
      <c r="A7362" s="3">
        <v>53760</v>
      </c>
      <c r="B7362" s="2">
        <v>663936</v>
      </c>
      <c r="C7362" s="38">
        <v>45007</v>
      </c>
      <c r="D7362" s="1" t="s">
        <v>233</v>
      </c>
      <c r="E7362" s="1" t="s">
        <v>34</v>
      </c>
      <c r="F7362" s="1" t="s">
        <v>201</v>
      </c>
      <c r="G7362" s="5">
        <v>12.35</v>
      </c>
    </row>
    <row r="7363" spans="1:7" x14ac:dyDescent="0.2">
      <c r="A7363" s="3">
        <v>13440</v>
      </c>
      <c r="B7363" s="2">
        <v>165984</v>
      </c>
      <c r="C7363" s="38">
        <v>45016</v>
      </c>
      <c r="D7363" s="1" t="s">
        <v>234</v>
      </c>
      <c r="E7363" s="1" t="s">
        <v>34</v>
      </c>
      <c r="F7363" s="1" t="s">
        <v>201</v>
      </c>
      <c r="G7363" s="5">
        <v>12.35</v>
      </c>
    </row>
    <row r="7364" spans="1:7" x14ac:dyDescent="0.2">
      <c r="A7364" s="3">
        <v>33600</v>
      </c>
      <c r="B7364" s="2">
        <v>414960</v>
      </c>
      <c r="C7364" s="38">
        <v>45016</v>
      </c>
      <c r="D7364" s="1" t="s">
        <v>233</v>
      </c>
      <c r="E7364" s="1" t="s">
        <v>34</v>
      </c>
      <c r="F7364" s="1" t="s">
        <v>201</v>
      </c>
      <c r="G7364" s="5">
        <v>12.35</v>
      </c>
    </row>
    <row r="7365" spans="1:7" x14ac:dyDescent="0.2">
      <c r="A7365" s="3">
        <v>20160</v>
      </c>
      <c r="B7365" s="2">
        <v>248976</v>
      </c>
      <c r="C7365" s="38">
        <v>45029</v>
      </c>
      <c r="D7365" s="1" t="s">
        <v>234</v>
      </c>
      <c r="E7365" s="1" t="s">
        <v>34</v>
      </c>
      <c r="F7365" s="1" t="s">
        <v>201</v>
      </c>
      <c r="G7365" s="5">
        <v>12.35</v>
      </c>
    </row>
    <row r="7366" spans="1:7" x14ac:dyDescent="0.2">
      <c r="A7366" s="3">
        <v>20160</v>
      </c>
      <c r="B7366" s="2">
        <v>248976</v>
      </c>
      <c r="C7366" s="38">
        <v>45029</v>
      </c>
      <c r="D7366" s="1" t="s">
        <v>234</v>
      </c>
      <c r="E7366" s="1" t="s">
        <v>34</v>
      </c>
      <c r="F7366" s="1" t="s">
        <v>201</v>
      </c>
      <c r="G7366" s="5">
        <v>12.35</v>
      </c>
    </row>
    <row r="7367" spans="1:7" x14ac:dyDescent="0.2">
      <c r="A7367" s="3">
        <v>40320</v>
      </c>
      <c r="B7367" s="2">
        <v>497952</v>
      </c>
      <c r="C7367" s="38">
        <v>45029</v>
      </c>
      <c r="D7367" s="1" t="s">
        <v>233</v>
      </c>
      <c r="E7367" s="1" t="s">
        <v>34</v>
      </c>
      <c r="F7367" s="1" t="s">
        <v>201</v>
      </c>
      <c r="G7367" s="5">
        <v>12.35</v>
      </c>
    </row>
    <row r="7368" spans="1:7" x14ac:dyDescent="0.2">
      <c r="A7368" s="3">
        <v>33600</v>
      </c>
      <c r="B7368" s="2">
        <v>414960</v>
      </c>
      <c r="C7368" s="38">
        <v>45029</v>
      </c>
      <c r="D7368" s="1" t="s">
        <v>233</v>
      </c>
      <c r="E7368" s="1" t="s">
        <v>34</v>
      </c>
      <c r="F7368" s="1" t="s">
        <v>201</v>
      </c>
      <c r="G7368" s="5">
        <v>12.35</v>
      </c>
    </row>
    <row r="7369" spans="1:7" x14ac:dyDescent="0.2">
      <c r="A7369" s="3">
        <v>13440</v>
      </c>
      <c r="B7369" s="2">
        <v>165984</v>
      </c>
      <c r="C7369" s="38">
        <v>45041</v>
      </c>
      <c r="D7369" s="1" t="s">
        <v>234</v>
      </c>
      <c r="E7369" s="1" t="s">
        <v>34</v>
      </c>
      <c r="F7369" s="1" t="s">
        <v>201</v>
      </c>
      <c r="G7369" s="5">
        <v>12.35</v>
      </c>
    </row>
    <row r="7370" spans="1:7" x14ac:dyDescent="0.2">
      <c r="A7370" s="3">
        <v>26880</v>
      </c>
      <c r="B7370" s="2">
        <v>331968</v>
      </c>
      <c r="C7370" s="38">
        <v>45041</v>
      </c>
      <c r="D7370" s="1" t="s">
        <v>233</v>
      </c>
      <c r="E7370" s="1" t="s">
        <v>34</v>
      </c>
      <c r="F7370" s="1" t="s">
        <v>201</v>
      </c>
      <c r="G7370" s="5">
        <v>12.35</v>
      </c>
    </row>
    <row r="7371" spans="1:7" x14ac:dyDescent="0.2">
      <c r="A7371" s="3">
        <v>26880</v>
      </c>
      <c r="B7371" s="2">
        <v>331968</v>
      </c>
      <c r="C7371" s="38">
        <v>45043</v>
      </c>
      <c r="D7371" s="1" t="s">
        <v>234</v>
      </c>
      <c r="E7371" s="1" t="s">
        <v>34</v>
      </c>
      <c r="F7371" s="1" t="s">
        <v>201</v>
      </c>
      <c r="G7371" s="5">
        <v>12.35</v>
      </c>
    </row>
    <row r="7372" spans="1:7" x14ac:dyDescent="0.2">
      <c r="A7372" s="3">
        <v>47040</v>
      </c>
      <c r="B7372" s="2">
        <v>580944</v>
      </c>
      <c r="C7372" s="38">
        <v>45043</v>
      </c>
      <c r="D7372" s="1" t="s">
        <v>233</v>
      </c>
      <c r="E7372" s="1" t="s">
        <v>34</v>
      </c>
      <c r="F7372" s="1" t="s">
        <v>201</v>
      </c>
      <c r="G7372" s="5">
        <v>12.35</v>
      </c>
    </row>
    <row r="7373" spans="1:7" x14ac:dyDescent="0.2">
      <c r="A7373" s="3">
        <v>26880</v>
      </c>
      <c r="B7373" s="2">
        <v>331968</v>
      </c>
      <c r="C7373" s="38">
        <v>45051</v>
      </c>
      <c r="D7373" s="1" t="s">
        <v>234</v>
      </c>
      <c r="E7373" s="1" t="s">
        <v>34</v>
      </c>
      <c r="F7373" s="1" t="s">
        <v>201</v>
      </c>
      <c r="G7373" s="5">
        <v>12.35</v>
      </c>
    </row>
    <row r="7374" spans="1:7" x14ac:dyDescent="0.2">
      <c r="A7374" s="3">
        <v>60480</v>
      </c>
      <c r="B7374" s="2">
        <v>746928</v>
      </c>
      <c r="C7374" s="38">
        <v>45051</v>
      </c>
      <c r="D7374" s="1" t="s">
        <v>233</v>
      </c>
      <c r="E7374" s="1" t="s">
        <v>34</v>
      </c>
      <c r="F7374" s="1" t="s">
        <v>201</v>
      </c>
      <c r="G7374" s="5">
        <v>12.35</v>
      </c>
    </row>
    <row r="7375" spans="1:7" x14ac:dyDescent="0.2">
      <c r="A7375" s="3">
        <v>26880</v>
      </c>
      <c r="B7375" s="2">
        <v>331968</v>
      </c>
      <c r="C7375" s="38">
        <v>45062</v>
      </c>
      <c r="D7375" s="1" t="s">
        <v>234</v>
      </c>
      <c r="E7375" s="1" t="s">
        <v>34</v>
      </c>
      <c r="F7375" s="1" t="s">
        <v>201</v>
      </c>
      <c r="G7375" s="5">
        <v>12.35</v>
      </c>
    </row>
    <row r="7376" spans="1:7" x14ac:dyDescent="0.2">
      <c r="A7376" s="3">
        <v>53760</v>
      </c>
      <c r="B7376" s="2">
        <v>663936</v>
      </c>
      <c r="C7376" s="38">
        <v>45062</v>
      </c>
      <c r="D7376" s="1" t="s">
        <v>233</v>
      </c>
      <c r="E7376" s="1" t="s">
        <v>34</v>
      </c>
      <c r="F7376" s="1" t="s">
        <v>201</v>
      </c>
      <c r="G7376" s="5">
        <v>12.35</v>
      </c>
    </row>
    <row r="7377" spans="1:7" x14ac:dyDescent="0.2">
      <c r="A7377" s="3">
        <v>26880</v>
      </c>
      <c r="B7377" s="2">
        <v>331968</v>
      </c>
      <c r="C7377" s="38">
        <v>45063</v>
      </c>
      <c r="D7377" s="1" t="s">
        <v>234</v>
      </c>
      <c r="E7377" s="1" t="s">
        <v>34</v>
      </c>
      <c r="F7377" s="1" t="s">
        <v>201</v>
      </c>
      <c r="G7377" s="5">
        <v>12.35</v>
      </c>
    </row>
    <row r="7378" spans="1:7" x14ac:dyDescent="0.2">
      <c r="A7378" s="3">
        <v>67200</v>
      </c>
      <c r="B7378" s="2">
        <v>829920</v>
      </c>
      <c r="C7378" s="38">
        <v>45063</v>
      </c>
      <c r="D7378" s="1" t="s">
        <v>233</v>
      </c>
      <c r="E7378" s="1" t="s">
        <v>34</v>
      </c>
      <c r="F7378" s="1" t="s">
        <v>201</v>
      </c>
      <c r="G7378" s="5">
        <v>12.35</v>
      </c>
    </row>
    <row r="7379" spans="1:7" x14ac:dyDescent="0.2">
      <c r="A7379" s="3">
        <v>20160</v>
      </c>
      <c r="B7379" s="2">
        <v>248976</v>
      </c>
      <c r="C7379" s="38">
        <v>45068</v>
      </c>
      <c r="D7379" s="1" t="s">
        <v>234</v>
      </c>
      <c r="E7379" s="1" t="s">
        <v>34</v>
      </c>
      <c r="F7379" s="1" t="s">
        <v>201</v>
      </c>
      <c r="G7379" s="5">
        <v>12.35</v>
      </c>
    </row>
    <row r="7380" spans="1:7" x14ac:dyDescent="0.2">
      <c r="A7380" s="3">
        <v>33600</v>
      </c>
      <c r="B7380" s="2">
        <v>414960</v>
      </c>
      <c r="C7380" s="38">
        <v>45068</v>
      </c>
      <c r="D7380" s="1" t="s">
        <v>233</v>
      </c>
      <c r="E7380" s="1" t="s">
        <v>34</v>
      </c>
      <c r="F7380" s="1" t="s">
        <v>201</v>
      </c>
      <c r="G7380" s="5">
        <v>12.35</v>
      </c>
    </row>
    <row r="7381" spans="1:7" x14ac:dyDescent="0.2">
      <c r="A7381" s="3">
        <v>20160</v>
      </c>
      <c r="B7381" s="2">
        <v>248976</v>
      </c>
      <c r="C7381" s="38">
        <v>45092</v>
      </c>
      <c r="D7381" s="1" t="s">
        <v>234</v>
      </c>
      <c r="E7381" s="1" t="s">
        <v>34</v>
      </c>
      <c r="F7381" s="1" t="s">
        <v>201</v>
      </c>
      <c r="G7381" s="5">
        <v>12.35</v>
      </c>
    </row>
    <row r="7382" spans="1:7" x14ac:dyDescent="0.2">
      <c r="A7382" s="3">
        <v>6720</v>
      </c>
      <c r="B7382" s="2">
        <v>82992</v>
      </c>
      <c r="C7382" s="38">
        <v>45092</v>
      </c>
      <c r="D7382" s="1" t="s">
        <v>234</v>
      </c>
      <c r="E7382" s="1" t="s">
        <v>34</v>
      </c>
      <c r="F7382" s="1" t="s">
        <v>201</v>
      </c>
      <c r="G7382" s="5">
        <v>12.35</v>
      </c>
    </row>
    <row r="7383" spans="1:7" x14ac:dyDescent="0.2">
      <c r="A7383" s="3">
        <v>40320</v>
      </c>
      <c r="B7383" s="2">
        <v>497952</v>
      </c>
      <c r="C7383" s="38">
        <v>45092</v>
      </c>
      <c r="D7383" s="1" t="s">
        <v>233</v>
      </c>
      <c r="E7383" s="1" t="s">
        <v>34</v>
      </c>
      <c r="F7383" s="1" t="s">
        <v>201</v>
      </c>
      <c r="G7383" s="5">
        <v>12.35</v>
      </c>
    </row>
    <row r="7384" spans="1:7" x14ac:dyDescent="0.2">
      <c r="A7384" s="3">
        <v>26880</v>
      </c>
      <c r="B7384" s="2">
        <v>331968</v>
      </c>
      <c r="C7384" s="38">
        <v>45092</v>
      </c>
      <c r="D7384" s="1" t="s">
        <v>233</v>
      </c>
      <c r="E7384" s="1" t="s">
        <v>34</v>
      </c>
      <c r="F7384" s="1" t="s">
        <v>201</v>
      </c>
      <c r="G7384" s="5">
        <v>12.35</v>
      </c>
    </row>
    <row r="7385" spans="1:7" x14ac:dyDescent="0.2">
      <c r="A7385" s="3">
        <v>13440</v>
      </c>
      <c r="B7385" s="2">
        <v>165984</v>
      </c>
      <c r="C7385" s="38">
        <v>45105</v>
      </c>
      <c r="D7385" s="1" t="s">
        <v>234</v>
      </c>
      <c r="E7385" s="1" t="s">
        <v>34</v>
      </c>
      <c r="F7385" s="1" t="s">
        <v>201</v>
      </c>
      <c r="G7385" s="5">
        <v>12.35</v>
      </c>
    </row>
    <row r="7386" spans="1:7" x14ac:dyDescent="0.2">
      <c r="A7386" s="3">
        <v>26880</v>
      </c>
      <c r="B7386" s="2">
        <v>331968</v>
      </c>
      <c r="C7386" s="38">
        <v>45105</v>
      </c>
      <c r="D7386" s="1" t="s">
        <v>233</v>
      </c>
      <c r="E7386" s="1" t="s">
        <v>34</v>
      </c>
      <c r="F7386" s="1" t="s">
        <v>201</v>
      </c>
      <c r="G7386" s="5">
        <v>12.35</v>
      </c>
    </row>
    <row r="7387" spans="1:7" x14ac:dyDescent="0.2">
      <c r="A7387" s="3">
        <v>6300</v>
      </c>
      <c r="B7387" s="2">
        <v>77805</v>
      </c>
      <c r="C7387" s="38">
        <v>45126</v>
      </c>
      <c r="D7387" s="1" t="s">
        <v>234</v>
      </c>
      <c r="E7387" s="1" t="s">
        <v>34</v>
      </c>
      <c r="F7387" s="1" t="s">
        <v>201</v>
      </c>
      <c r="G7387" s="5">
        <v>12.35</v>
      </c>
    </row>
    <row r="7388" spans="1:7" x14ac:dyDescent="0.2">
      <c r="A7388" s="3">
        <v>26880</v>
      </c>
      <c r="B7388" s="2">
        <v>331968</v>
      </c>
      <c r="C7388" s="38">
        <v>45127</v>
      </c>
      <c r="D7388" s="1" t="s">
        <v>234</v>
      </c>
      <c r="E7388" s="1" t="s">
        <v>34</v>
      </c>
      <c r="F7388" s="1" t="s">
        <v>201</v>
      </c>
      <c r="G7388" s="5">
        <v>12.35</v>
      </c>
    </row>
    <row r="7389" spans="1:7" x14ac:dyDescent="0.2">
      <c r="A7389" s="3">
        <v>20160</v>
      </c>
      <c r="B7389" s="2">
        <v>248976</v>
      </c>
      <c r="C7389" s="38">
        <v>45127</v>
      </c>
      <c r="D7389" s="1" t="s">
        <v>234</v>
      </c>
      <c r="E7389" s="1" t="s">
        <v>34</v>
      </c>
      <c r="F7389" s="1" t="s">
        <v>201</v>
      </c>
      <c r="G7389" s="5">
        <v>12.35</v>
      </c>
    </row>
    <row r="7390" spans="1:7" x14ac:dyDescent="0.2">
      <c r="A7390" s="3">
        <v>33600</v>
      </c>
      <c r="B7390" s="2">
        <v>414960</v>
      </c>
      <c r="C7390" s="38">
        <v>45127</v>
      </c>
      <c r="D7390" s="1" t="s">
        <v>233</v>
      </c>
      <c r="E7390" s="1" t="s">
        <v>34</v>
      </c>
      <c r="F7390" s="1" t="s">
        <v>201</v>
      </c>
      <c r="G7390" s="5">
        <v>12.35</v>
      </c>
    </row>
    <row r="7391" spans="1:7" x14ac:dyDescent="0.2">
      <c r="A7391" s="3">
        <v>80640</v>
      </c>
      <c r="B7391" s="2">
        <v>995904</v>
      </c>
      <c r="C7391" s="38">
        <v>45127</v>
      </c>
      <c r="D7391" s="1" t="s">
        <v>233</v>
      </c>
      <c r="E7391" s="1" t="s">
        <v>34</v>
      </c>
      <c r="F7391" s="1" t="s">
        <v>201</v>
      </c>
      <c r="G7391" s="5">
        <v>12.35</v>
      </c>
    </row>
    <row r="7392" spans="1:7" x14ac:dyDescent="0.2">
      <c r="A7392" s="3">
        <v>4900</v>
      </c>
      <c r="B7392" s="2">
        <v>60515</v>
      </c>
      <c r="C7392" s="38">
        <v>45135</v>
      </c>
      <c r="D7392" s="1" t="s">
        <v>234</v>
      </c>
      <c r="E7392" s="1" t="s">
        <v>34</v>
      </c>
      <c r="F7392" s="1" t="s">
        <v>201</v>
      </c>
      <c r="G7392" s="5">
        <v>12.35</v>
      </c>
    </row>
    <row r="7393" spans="1:7" x14ac:dyDescent="0.2">
      <c r="A7393" s="3">
        <v>13440</v>
      </c>
      <c r="B7393" s="2">
        <v>165984</v>
      </c>
      <c r="C7393" s="38">
        <v>45141</v>
      </c>
      <c r="D7393" s="1" t="s">
        <v>233</v>
      </c>
      <c r="E7393" s="1" t="s">
        <v>34</v>
      </c>
      <c r="F7393" s="1" t="s">
        <v>201</v>
      </c>
      <c r="G7393" s="5">
        <v>12.35</v>
      </c>
    </row>
    <row r="7394" spans="1:7" x14ac:dyDescent="0.2">
      <c r="A7394" s="3">
        <v>31948</v>
      </c>
      <c r="B7394" s="2">
        <v>394557.8</v>
      </c>
      <c r="C7394" s="38">
        <v>45147</v>
      </c>
      <c r="D7394" s="1" t="s">
        <v>234</v>
      </c>
      <c r="E7394" s="1" t="s">
        <v>34</v>
      </c>
      <c r="F7394" s="1" t="s">
        <v>201</v>
      </c>
      <c r="G7394" s="5">
        <v>12.35</v>
      </c>
    </row>
    <row r="7395" spans="1:7" x14ac:dyDescent="0.2">
      <c r="A7395" s="3">
        <v>47040</v>
      </c>
      <c r="B7395" s="2">
        <v>580944</v>
      </c>
      <c r="C7395" s="38">
        <v>45148</v>
      </c>
      <c r="D7395" s="1" t="s">
        <v>233</v>
      </c>
      <c r="E7395" s="1" t="s">
        <v>34</v>
      </c>
      <c r="F7395" s="1" t="s">
        <v>201</v>
      </c>
      <c r="G7395" s="5">
        <v>12.35</v>
      </c>
    </row>
    <row r="7396" spans="1:7" x14ac:dyDescent="0.2">
      <c r="A7396" s="3">
        <v>47628</v>
      </c>
      <c r="B7396" s="2">
        <v>588205.80000000005</v>
      </c>
      <c r="C7396" s="38">
        <v>45152</v>
      </c>
      <c r="D7396" s="1" t="s">
        <v>234</v>
      </c>
      <c r="E7396" s="1" t="s">
        <v>34</v>
      </c>
      <c r="F7396" s="1" t="s">
        <v>201</v>
      </c>
      <c r="G7396" s="5">
        <v>12.35</v>
      </c>
    </row>
    <row r="7397" spans="1:7" x14ac:dyDescent="0.2">
      <c r="A7397" s="3">
        <v>80500</v>
      </c>
      <c r="B7397" s="2">
        <v>994175</v>
      </c>
      <c r="C7397" s="38">
        <v>45152</v>
      </c>
      <c r="D7397" s="1" t="s">
        <v>233</v>
      </c>
      <c r="E7397" s="1" t="s">
        <v>34</v>
      </c>
      <c r="F7397" s="1" t="s">
        <v>201</v>
      </c>
      <c r="G7397" s="5">
        <v>12.35</v>
      </c>
    </row>
    <row r="7398" spans="1:7" x14ac:dyDescent="0.2">
      <c r="A7398" s="3">
        <v>6720</v>
      </c>
      <c r="B7398" s="2">
        <v>82992</v>
      </c>
      <c r="C7398" s="38">
        <v>45153</v>
      </c>
      <c r="D7398" s="1" t="s">
        <v>233</v>
      </c>
      <c r="E7398" s="1" t="s">
        <v>34</v>
      </c>
      <c r="F7398" s="1" t="s">
        <v>201</v>
      </c>
      <c r="G7398" s="5">
        <v>12.35</v>
      </c>
    </row>
    <row r="7399" spans="1:7" x14ac:dyDescent="0.2">
      <c r="A7399" s="3">
        <v>4116</v>
      </c>
      <c r="B7399" s="2">
        <v>50832.6</v>
      </c>
      <c r="C7399" s="38">
        <v>45180</v>
      </c>
      <c r="D7399" s="1" t="s">
        <v>234</v>
      </c>
      <c r="E7399" s="1" t="s">
        <v>34</v>
      </c>
      <c r="F7399" s="1" t="s">
        <v>201</v>
      </c>
      <c r="G7399" s="5">
        <v>12.35</v>
      </c>
    </row>
    <row r="7400" spans="1:7" x14ac:dyDescent="0.2">
      <c r="A7400" s="3">
        <v>14896</v>
      </c>
      <c r="B7400" s="2">
        <v>183965.6</v>
      </c>
      <c r="C7400" s="38">
        <v>45180</v>
      </c>
      <c r="D7400" s="1" t="s">
        <v>233</v>
      </c>
      <c r="E7400" s="1" t="s">
        <v>34</v>
      </c>
      <c r="F7400" s="1" t="s">
        <v>201</v>
      </c>
      <c r="G7400" s="5">
        <v>12.35</v>
      </c>
    </row>
    <row r="7401" spans="1:7" x14ac:dyDescent="0.2">
      <c r="A7401" s="3">
        <v>29</v>
      </c>
      <c r="B7401" s="2">
        <v>130726.2</v>
      </c>
      <c r="C7401" s="38">
        <v>44686</v>
      </c>
      <c r="D7401" s="1" t="s">
        <v>324</v>
      </c>
      <c r="E7401" s="1" t="s">
        <v>37</v>
      </c>
      <c r="F7401" s="1" t="s">
        <v>214</v>
      </c>
      <c r="G7401" s="5">
        <v>4507.8</v>
      </c>
    </row>
    <row r="7402" spans="1:7" x14ac:dyDescent="0.2">
      <c r="A7402" s="3">
        <v>6</v>
      </c>
      <c r="B7402" s="2">
        <v>27046.799999999999</v>
      </c>
      <c r="C7402" s="38">
        <v>44678</v>
      </c>
      <c r="D7402" s="1" t="s">
        <v>324</v>
      </c>
      <c r="E7402" s="1" t="s">
        <v>37</v>
      </c>
      <c r="F7402" s="1" t="s">
        <v>214</v>
      </c>
      <c r="G7402" s="5">
        <v>4507.8</v>
      </c>
    </row>
    <row r="7403" spans="1:7" x14ac:dyDescent="0.2">
      <c r="A7403" s="3">
        <v>35</v>
      </c>
      <c r="B7403" s="2">
        <v>197216.25</v>
      </c>
      <c r="C7403" s="38">
        <v>44504</v>
      </c>
      <c r="D7403" s="1" t="s">
        <v>364</v>
      </c>
      <c r="E7403" s="1" t="s">
        <v>37</v>
      </c>
      <c r="F7403" s="1" t="s">
        <v>214</v>
      </c>
      <c r="G7403" s="5">
        <v>5634.75</v>
      </c>
    </row>
    <row r="7404" spans="1:7" x14ac:dyDescent="0.2">
      <c r="A7404" s="3">
        <v>84</v>
      </c>
      <c r="B7404" s="2">
        <v>20061.72</v>
      </c>
      <c r="C7404" s="38">
        <v>44946</v>
      </c>
      <c r="D7404" s="1" t="s">
        <v>349</v>
      </c>
      <c r="E7404" s="1" t="s">
        <v>39</v>
      </c>
      <c r="F7404" s="1" t="s">
        <v>222</v>
      </c>
      <c r="G7404" s="5">
        <v>238.83</v>
      </c>
    </row>
    <row r="7405" spans="1:7" x14ac:dyDescent="0.2">
      <c r="A7405" s="3">
        <v>13720</v>
      </c>
      <c r="B7405" s="2">
        <v>5903.72</v>
      </c>
      <c r="C7405" s="38">
        <v>44788</v>
      </c>
      <c r="D7405" s="1" t="s">
        <v>273</v>
      </c>
      <c r="E7405" s="1" t="s">
        <v>35</v>
      </c>
      <c r="F7405" s="1" t="s">
        <v>205</v>
      </c>
      <c r="G7405" s="5">
        <v>0.43030000000000002</v>
      </c>
    </row>
    <row r="7406" spans="1:7" x14ac:dyDescent="0.2">
      <c r="A7406" s="3">
        <v>378</v>
      </c>
      <c r="B7406" s="2">
        <v>13218.66</v>
      </c>
      <c r="C7406" s="38">
        <v>45154</v>
      </c>
      <c r="D7406" s="1" t="s">
        <v>278</v>
      </c>
      <c r="E7406" s="1" t="s">
        <v>40</v>
      </c>
      <c r="F7406" s="1" t="s">
        <v>206</v>
      </c>
      <c r="G7406" s="5">
        <v>34.97</v>
      </c>
    </row>
    <row r="7407" spans="1:7" x14ac:dyDescent="0.2">
      <c r="A7407" s="3">
        <v>189</v>
      </c>
      <c r="B7407" s="2">
        <v>6265.35</v>
      </c>
      <c r="C7407" s="38">
        <v>44790</v>
      </c>
      <c r="D7407" s="1" t="s">
        <v>278</v>
      </c>
      <c r="E7407" s="1" t="s">
        <v>40</v>
      </c>
      <c r="F7407" s="1" t="s">
        <v>206</v>
      </c>
      <c r="G7407" s="5">
        <v>33.15</v>
      </c>
    </row>
    <row r="7408" spans="1:7" x14ac:dyDescent="0.2">
      <c r="A7408" s="3">
        <v>189</v>
      </c>
      <c r="B7408" s="2">
        <v>6265.35</v>
      </c>
      <c r="C7408" s="38">
        <v>44790</v>
      </c>
      <c r="D7408" s="1" t="s">
        <v>278</v>
      </c>
      <c r="E7408" s="1" t="s">
        <v>40</v>
      </c>
      <c r="F7408" s="1" t="s">
        <v>206</v>
      </c>
      <c r="G7408" s="5">
        <v>33.15</v>
      </c>
    </row>
    <row r="7409" spans="1:7" x14ac:dyDescent="0.2">
      <c r="A7409" s="3">
        <v>78</v>
      </c>
      <c r="B7409" s="2">
        <v>2585.6999999999998</v>
      </c>
      <c r="C7409" s="38">
        <v>44791</v>
      </c>
      <c r="D7409" s="1" t="s">
        <v>278</v>
      </c>
      <c r="E7409" s="1" t="s">
        <v>40</v>
      </c>
      <c r="F7409" s="1" t="s">
        <v>206</v>
      </c>
      <c r="G7409" s="5">
        <v>33.15</v>
      </c>
    </row>
    <row r="7410" spans="1:7" x14ac:dyDescent="0.2">
      <c r="A7410" s="3">
        <v>189</v>
      </c>
      <c r="B7410" s="2">
        <v>6609.33</v>
      </c>
      <c r="C7410" s="38">
        <v>45160</v>
      </c>
      <c r="D7410" s="1" t="s">
        <v>278</v>
      </c>
      <c r="E7410" s="1" t="s">
        <v>40</v>
      </c>
      <c r="F7410" s="1" t="s">
        <v>206</v>
      </c>
      <c r="G7410" s="5">
        <v>34.97</v>
      </c>
    </row>
    <row r="7411" spans="1:7" x14ac:dyDescent="0.2">
      <c r="A7411" s="3">
        <v>189</v>
      </c>
      <c r="B7411" s="2">
        <v>6265.35</v>
      </c>
      <c r="C7411" s="38">
        <v>44817</v>
      </c>
      <c r="D7411" s="1" t="s">
        <v>278</v>
      </c>
      <c r="E7411" s="1" t="s">
        <v>40</v>
      </c>
      <c r="F7411" s="1" t="s">
        <v>206</v>
      </c>
      <c r="G7411" s="5">
        <v>33.15</v>
      </c>
    </row>
    <row r="7412" spans="1:7" x14ac:dyDescent="0.2">
      <c r="A7412" s="3">
        <v>111</v>
      </c>
      <c r="B7412" s="2">
        <v>3679.65</v>
      </c>
      <c r="C7412" s="38">
        <v>44817</v>
      </c>
      <c r="D7412" s="1" t="s">
        <v>278</v>
      </c>
      <c r="E7412" s="1" t="s">
        <v>40</v>
      </c>
      <c r="F7412" s="1" t="s">
        <v>206</v>
      </c>
      <c r="G7412" s="5">
        <v>33.15</v>
      </c>
    </row>
    <row r="7413" spans="1:7" x14ac:dyDescent="0.2">
      <c r="A7413" s="3">
        <v>78</v>
      </c>
      <c r="B7413" s="2">
        <v>2585.6999999999998</v>
      </c>
      <c r="C7413" s="38">
        <v>44818</v>
      </c>
      <c r="D7413" s="1" t="s">
        <v>278</v>
      </c>
      <c r="E7413" s="1" t="s">
        <v>40</v>
      </c>
      <c r="F7413" s="1" t="s">
        <v>206</v>
      </c>
      <c r="G7413" s="5">
        <v>33.15</v>
      </c>
    </row>
    <row r="7414" spans="1:7" x14ac:dyDescent="0.2">
      <c r="A7414" s="3">
        <v>630</v>
      </c>
      <c r="B7414" s="2">
        <v>5701.5</v>
      </c>
      <c r="C7414" s="38">
        <v>44837</v>
      </c>
      <c r="D7414" s="1" t="s">
        <v>376</v>
      </c>
      <c r="E7414" s="1" t="s">
        <v>40</v>
      </c>
      <c r="F7414" s="1" t="s">
        <v>206</v>
      </c>
      <c r="G7414" s="5">
        <v>9.0500000000000007</v>
      </c>
    </row>
    <row r="7415" spans="1:7" x14ac:dyDescent="0.2">
      <c r="A7415" s="3">
        <v>630</v>
      </c>
      <c r="B7415" s="2">
        <v>5701.5</v>
      </c>
      <c r="C7415" s="38">
        <v>44837</v>
      </c>
      <c r="D7415" s="1" t="s">
        <v>376</v>
      </c>
      <c r="E7415" s="1" t="s">
        <v>40</v>
      </c>
      <c r="F7415" s="1" t="s">
        <v>206</v>
      </c>
      <c r="G7415" s="5">
        <v>9.0500000000000007</v>
      </c>
    </row>
    <row r="7416" spans="1:7" x14ac:dyDescent="0.2">
      <c r="A7416" s="3">
        <v>630</v>
      </c>
      <c r="B7416" s="2">
        <v>5701.5</v>
      </c>
      <c r="C7416" s="38">
        <v>44837</v>
      </c>
      <c r="D7416" s="1" t="s">
        <v>376</v>
      </c>
      <c r="E7416" s="1" t="s">
        <v>40</v>
      </c>
      <c r="F7416" s="1" t="s">
        <v>206</v>
      </c>
      <c r="G7416" s="5">
        <v>9.0500000000000007</v>
      </c>
    </row>
    <row r="7417" spans="1:7" x14ac:dyDescent="0.2">
      <c r="A7417" s="3">
        <v>630</v>
      </c>
      <c r="B7417" s="2">
        <v>5701.5</v>
      </c>
      <c r="C7417" s="38">
        <v>44837</v>
      </c>
      <c r="D7417" s="1" t="s">
        <v>376</v>
      </c>
      <c r="E7417" s="1" t="s">
        <v>40</v>
      </c>
      <c r="F7417" s="1" t="s">
        <v>206</v>
      </c>
      <c r="G7417" s="5">
        <v>9.0500000000000007</v>
      </c>
    </row>
    <row r="7418" spans="1:7" x14ac:dyDescent="0.2">
      <c r="A7418" s="3">
        <v>860</v>
      </c>
      <c r="B7418" s="2">
        <v>45072.6</v>
      </c>
      <c r="C7418" s="38">
        <v>44839</v>
      </c>
      <c r="D7418" s="1" t="s">
        <v>252</v>
      </c>
      <c r="E7418" s="1" t="s">
        <v>42</v>
      </c>
      <c r="F7418" s="1" t="s">
        <v>203</v>
      </c>
      <c r="G7418" s="5">
        <v>52.41</v>
      </c>
    </row>
    <row r="7419" spans="1:7" x14ac:dyDescent="0.2">
      <c r="A7419" s="3">
        <v>260</v>
      </c>
      <c r="B7419" s="2">
        <v>13626.6</v>
      </c>
      <c r="C7419" s="38">
        <v>44839</v>
      </c>
      <c r="D7419" s="1" t="s">
        <v>252</v>
      </c>
      <c r="E7419" s="1" t="s">
        <v>42</v>
      </c>
      <c r="F7419" s="1" t="s">
        <v>203</v>
      </c>
      <c r="G7419" s="5">
        <v>52.41</v>
      </c>
    </row>
    <row r="7420" spans="1:7" x14ac:dyDescent="0.2">
      <c r="A7420" s="3">
        <v>1120</v>
      </c>
      <c r="B7420" s="2">
        <v>58699.199999999997</v>
      </c>
      <c r="C7420" s="38">
        <v>44839</v>
      </c>
      <c r="D7420" s="1" t="s">
        <v>252</v>
      </c>
      <c r="E7420" s="1" t="s">
        <v>42</v>
      </c>
      <c r="F7420" s="1" t="s">
        <v>203</v>
      </c>
      <c r="G7420" s="5">
        <v>52.41</v>
      </c>
    </row>
    <row r="7421" spans="1:7" x14ac:dyDescent="0.2">
      <c r="A7421" s="3">
        <v>588</v>
      </c>
      <c r="B7421" s="2">
        <v>54666.36</v>
      </c>
      <c r="C7421" s="38">
        <v>44839</v>
      </c>
      <c r="D7421" s="1" t="s">
        <v>266</v>
      </c>
      <c r="E7421" s="1" t="s">
        <v>42</v>
      </c>
      <c r="F7421" s="1" t="s">
        <v>203</v>
      </c>
      <c r="G7421" s="5">
        <v>92.97</v>
      </c>
    </row>
    <row r="7422" spans="1:7" x14ac:dyDescent="0.2">
      <c r="A7422" s="3">
        <v>630</v>
      </c>
      <c r="B7422" s="2">
        <v>5701.5</v>
      </c>
      <c r="C7422" s="38">
        <v>44841</v>
      </c>
      <c r="D7422" s="1" t="s">
        <v>376</v>
      </c>
      <c r="E7422" s="1" t="s">
        <v>40</v>
      </c>
      <c r="F7422" s="1" t="s">
        <v>206</v>
      </c>
      <c r="G7422" s="5">
        <v>9.0500000000000007</v>
      </c>
    </row>
    <row r="7423" spans="1:7" x14ac:dyDescent="0.2">
      <c r="A7423" s="3">
        <v>6860</v>
      </c>
      <c r="B7423" s="2">
        <v>2951.86</v>
      </c>
      <c r="C7423" s="38">
        <v>44852</v>
      </c>
      <c r="D7423" s="1" t="s">
        <v>273</v>
      </c>
      <c r="E7423" s="1" t="s">
        <v>35</v>
      </c>
      <c r="F7423" s="1" t="s">
        <v>205</v>
      </c>
      <c r="G7423" s="5">
        <v>0.43030000000000002</v>
      </c>
    </row>
    <row r="7424" spans="1:7" x14ac:dyDescent="0.2">
      <c r="A7424" s="3">
        <v>3430</v>
      </c>
      <c r="B7424" s="2">
        <v>1475.93</v>
      </c>
      <c r="C7424" s="38">
        <v>44575</v>
      </c>
      <c r="D7424" s="1" t="s">
        <v>273</v>
      </c>
      <c r="E7424" s="1" t="s">
        <v>41</v>
      </c>
      <c r="F7424" s="1" t="s">
        <v>219</v>
      </c>
      <c r="G7424" s="5">
        <v>0.43030000000000002</v>
      </c>
    </row>
    <row r="7425" spans="1:7" x14ac:dyDescent="0.2">
      <c r="A7425" s="3">
        <v>3430</v>
      </c>
      <c r="B7425" s="2">
        <v>1475.93</v>
      </c>
      <c r="C7425" s="38">
        <v>44575</v>
      </c>
      <c r="D7425" s="1" t="s">
        <v>273</v>
      </c>
      <c r="E7425" s="1" t="s">
        <v>41</v>
      </c>
      <c r="F7425" s="1" t="s">
        <v>219</v>
      </c>
      <c r="G7425" s="5">
        <v>0.43030000000000002</v>
      </c>
    </row>
    <row r="7426" spans="1:7" x14ac:dyDescent="0.2">
      <c r="A7426" s="3">
        <v>3430</v>
      </c>
      <c r="B7426" s="2">
        <v>1475.93</v>
      </c>
      <c r="C7426" s="38">
        <v>44575</v>
      </c>
      <c r="D7426" s="1" t="s">
        <v>273</v>
      </c>
      <c r="E7426" s="1" t="s">
        <v>41</v>
      </c>
      <c r="F7426" s="1" t="s">
        <v>219</v>
      </c>
      <c r="G7426" s="5">
        <v>0.43030000000000002</v>
      </c>
    </row>
    <row r="7427" spans="1:7" x14ac:dyDescent="0.2">
      <c r="A7427" s="3">
        <v>504</v>
      </c>
      <c r="B7427" s="2">
        <v>22478.400000000001</v>
      </c>
      <c r="C7427" s="38">
        <v>44575</v>
      </c>
      <c r="D7427" s="1" t="s">
        <v>264</v>
      </c>
      <c r="E7427" s="1" t="s">
        <v>41</v>
      </c>
      <c r="F7427" s="1" t="s">
        <v>219</v>
      </c>
      <c r="G7427" s="5">
        <v>44.6</v>
      </c>
    </row>
    <row r="7428" spans="1:7" x14ac:dyDescent="0.2">
      <c r="A7428" s="3">
        <v>300</v>
      </c>
      <c r="B7428" s="2">
        <v>10491</v>
      </c>
      <c r="C7428" s="38">
        <v>44944</v>
      </c>
      <c r="D7428" s="1" t="s">
        <v>278</v>
      </c>
      <c r="E7428" s="1" t="s">
        <v>40</v>
      </c>
      <c r="F7428" s="1" t="s">
        <v>206</v>
      </c>
      <c r="G7428" s="5">
        <v>34.97</v>
      </c>
    </row>
    <row r="7429" spans="1:7" x14ac:dyDescent="0.2">
      <c r="A7429" s="3">
        <v>189</v>
      </c>
      <c r="B7429" s="2">
        <v>6609.33</v>
      </c>
      <c r="C7429" s="38">
        <v>44944</v>
      </c>
      <c r="D7429" s="1" t="s">
        <v>278</v>
      </c>
      <c r="E7429" s="1" t="s">
        <v>40</v>
      </c>
      <c r="F7429" s="1" t="s">
        <v>206</v>
      </c>
      <c r="G7429" s="5">
        <v>34.97</v>
      </c>
    </row>
    <row r="7430" spans="1:7" x14ac:dyDescent="0.2">
      <c r="A7430" s="3">
        <v>140</v>
      </c>
      <c r="B7430" s="2">
        <v>2214.8000000000002</v>
      </c>
      <c r="C7430" s="38">
        <v>44852</v>
      </c>
      <c r="D7430" s="1" t="s">
        <v>377</v>
      </c>
      <c r="E7430" s="1" t="s">
        <v>35</v>
      </c>
      <c r="F7430" s="1" t="s">
        <v>205</v>
      </c>
      <c r="G7430" s="5">
        <v>15.82</v>
      </c>
    </row>
    <row r="7431" spans="1:7" x14ac:dyDescent="0.2">
      <c r="A7431" s="3">
        <v>5000</v>
      </c>
      <c r="B7431" s="2">
        <v>74800</v>
      </c>
      <c r="C7431" s="38">
        <v>44852</v>
      </c>
      <c r="D7431" s="1" t="s">
        <v>275</v>
      </c>
      <c r="E7431" s="1" t="s">
        <v>35</v>
      </c>
      <c r="F7431" s="1" t="s">
        <v>205</v>
      </c>
      <c r="G7431" s="5">
        <v>14.96</v>
      </c>
    </row>
    <row r="7432" spans="1:7" x14ac:dyDescent="0.2">
      <c r="A7432" s="3">
        <v>5000</v>
      </c>
      <c r="B7432" s="2">
        <v>74800</v>
      </c>
      <c r="C7432" s="38">
        <v>44852</v>
      </c>
      <c r="D7432" s="1" t="s">
        <v>275</v>
      </c>
      <c r="E7432" s="1" t="s">
        <v>35</v>
      </c>
      <c r="F7432" s="1" t="s">
        <v>205</v>
      </c>
      <c r="G7432" s="5">
        <v>14.96</v>
      </c>
    </row>
    <row r="7433" spans="1:7" x14ac:dyDescent="0.2">
      <c r="A7433" s="3">
        <v>5000</v>
      </c>
      <c r="B7433" s="2">
        <v>74800</v>
      </c>
      <c r="C7433" s="38">
        <v>44852</v>
      </c>
      <c r="D7433" s="1" t="s">
        <v>275</v>
      </c>
      <c r="E7433" s="1" t="s">
        <v>35</v>
      </c>
      <c r="F7433" s="1" t="s">
        <v>205</v>
      </c>
      <c r="G7433" s="5">
        <v>14.96</v>
      </c>
    </row>
    <row r="7434" spans="1:7" x14ac:dyDescent="0.2">
      <c r="A7434" s="3">
        <v>260</v>
      </c>
      <c r="B7434" s="2">
        <v>3608.8</v>
      </c>
      <c r="C7434" s="38">
        <v>44866</v>
      </c>
      <c r="D7434" s="1" t="s">
        <v>241</v>
      </c>
      <c r="E7434" s="1" t="s">
        <v>42</v>
      </c>
      <c r="F7434" s="1" t="s">
        <v>203</v>
      </c>
      <c r="G7434" s="5">
        <v>13.88</v>
      </c>
    </row>
    <row r="7435" spans="1:7" x14ac:dyDescent="0.2">
      <c r="A7435" s="3">
        <v>2646</v>
      </c>
      <c r="B7435" s="2">
        <v>11721.78</v>
      </c>
      <c r="C7435" s="38">
        <v>44879</v>
      </c>
      <c r="D7435" s="1" t="s">
        <v>277</v>
      </c>
      <c r="E7435" s="1" t="s">
        <v>35</v>
      </c>
      <c r="F7435" s="1" t="s">
        <v>205</v>
      </c>
      <c r="G7435" s="5">
        <v>4.43</v>
      </c>
    </row>
    <row r="7436" spans="1:7" x14ac:dyDescent="0.2">
      <c r="A7436" s="3">
        <v>65</v>
      </c>
      <c r="B7436" s="2">
        <v>2154.75</v>
      </c>
      <c r="C7436" s="38">
        <v>44530</v>
      </c>
      <c r="D7436" s="1" t="s">
        <v>278</v>
      </c>
      <c r="E7436" s="1" t="s">
        <v>40</v>
      </c>
      <c r="F7436" s="1" t="s">
        <v>206</v>
      </c>
      <c r="G7436" s="5">
        <v>33.15</v>
      </c>
    </row>
    <row r="7437" spans="1:7" x14ac:dyDescent="0.2">
      <c r="A7437" s="3">
        <v>5000</v>
      </c>
      <c r="B7437" s="2">
        <v>74800</v>
      </c>
      <c r="C7437" s="38">
        <v>44896</v>
      </c>
      <c r="D7437" s="1" t="s">
        <v>275</v>
      </c>
      <c r="E7437" s="1" t="s">
        <v>35</v>
      </c>
      <c r="F7437" s="1" t="s">
        <v>205</v>
      </c>
      <c r="G7437" s="5">
        <v>14.96</v>
      </c>
    </row>
    <row r="7438" spans="1:7" x14ac:dyDescent="0.2">
      <c r="A7438" s="3">
        <v>70</v>
      </c>
      <c r="B7438" s="2">
        <v>13797</v>
      </c>
      <c r="C7438" s="38">
        <v>44952</v>
      </c>
      <c r="D7438" s="1" t="s">
        <v>378</v>
      </c>
      <c r="E7438" s="1" t="s">
        <v>40</v>
      </c>
      <c r="F7438" s="1" t="s">
        <v>206</v>
      </c>
      <c r="G7438" s="5">
        <v>197.1</v>
      </c>
    </row>
    <row r="7439" spans="1:7" x14ac:dyDescent="0.2">
      <c r="A7439" s="3">
        <v>630</v>
      </c>
      <c r="B7439" s="2">
        <v>5701.5</v>
      </c>
      <c r="C7439" s="38">
        <v>44909</v>
      </c>
      <c r="D7439" s="1" t="s">
        <v>376</v>
      </c>
      <c r="E7439" s="1" t="s">
        <v>40</v>
      </c>
      <c r="F7439" s="1" t="s">
        <v>206</v>
      </c>
      <c r="G7439" s="5">
        <v>9.0500000000000007</v>
      </c>
    </row>
    <row r="7440" spans="1:7" x14ac:dyDescent="0.2">
      <c r="A7440" s="3">
        <v>630</v>
      </c>
      <c r="B7440" s="2">
        <v>5701.5</v>
      </c>
      <c r="C7440" s="38">
        <v>44916</v>
      </c>
      <c r="D7440" s="1" t="s">
        <v>376</v>
      </c>
      <c r="E7440" s="1" t="s">
        <v>40</v>
      </c>
      <c r="F7440" s="1" t="s">
        <v>206</v>
      </c>
      <c r="G7440" s="5">
        <v>9.0500000000000007</v>
      </c>
    </row>
    <row r="7441" spans="1:7" x14ac:dyDescent="0.2">
      <c r="A7441" s="3">
        <v>147</v>
      </c>
      <c r="B7441" s="2">
        <v>59418.87</v>
      </c>
      <c r="C7441" s="38">
        <v>44924</v>
      </c>
      <c r="D7441" s="1" t="s">
        <v>379</v>
      </c>
      <c r="E7441" s="1" t="s">
        <v>34</v>
      </c>
      <c r="F7441" s="1" t="s">
        <v>208</v>
      </c>
      <c r="G7441" s="5">
        <v>404.21</v>
      </c>
    </row>
    <row r="7442" spans="1:7" x14ac:dyDescent="0.2">
      <c r="A7442" s="3">
        <v>2646</v>
      </c>
      <c r="B7442" s="2">
        <v>15029.28</v>
      </c>
      <c r="C7442" s="38">
        <v>44959</v>
      </c>
      <c r="D7442" s="1" t="s">
        <v>277</v>
      </c>
      <c r="E7442" s="1" t="s">
        <v>40</v>
      </c>
      <c r="F7442" s="1" t="s">
        <v>206</v>
      </c>
      <c r="G7442" s="5">
        <v>5.68</v>
      </c>
    </row>
    <row r="7443" spans="1:7" x14ac:dyDescent="0.2">
      <c r="A7443" s="3">
        <v>1930</v>
      </c>
      <c r="B7443" s="2">
        <v>25688.3</v>
      </c>
      <c r="C7443" s="38">
        <v>44959</v>
      </c>
      <c r="D7443" s="1" t="s">
        <v>372</v>
      </c>
      <c r="E7443" s="1" t="s">
        <v>35</v>
      </c>
      <c r="F7443" s="1" t="s">
        <v>205</v>
      </c>
      <c r="G7443" s="5">
        <v>13.31</v>
      </c>
    </row>
    <row r="7444" spans="1:7" x14ac:dyDescent="0.2">
      <c r="A7444" s="3">
        <v>189</v>
      </c>
      <c r="B7444" s="2">
        <v>6609.33</v>
      </c>
      <c r="C7444" s="38">
        <v>44965</v>
      </c>
      <c r="D7444" s="1" t="s">
        <v>278</v>
      </c>
      <c r="E7444" s="1" t="s">
        <v>40</v>
      </c>
      <c r="F7444" s="1" t="s">
        <v>206</v>
      </c>
      <c r="G7444" s="5">
        <v>34.97</v>
      </c>
    </row>
    <row r="7445" spans="1:7" x14ac:dyDescent="0.2">
      <c r="A7445" s="3">
        <v>378</v>
      </c>
      <c r="B7445" s="2">
        <v>13218.66</v>
      </c>
      <c r="C7445" s="38">
        <v>44965</v>
      </c>
      <c r="D7445" s="1" t="s">
        <v>278</v>
      </c>
      <c r="E7445" s="1" t="s">
        <v>40</v>
      </c>
      <c r="F7445" s="1" t="s">
        <v>206</v>
      </c>
      <c r="G7445" s="5">
        <v>34.97</v>
      </c>
    </row>
    <row r="7446" spans="1:7" x14ac:dyDescent="0.2">
      <c r="A7446" s="3">
        <v>378</v>
      </c>
      <c r="B7446" s="2">
        <v>13218.66</v>
      </c>
      <c r="C7446" s="38">
        <v>44965</v>
      </c>
      <c r="D7446" s="1" t="s">
        <v>278</v>
      </c>
      <c r="E7446" s="1" t="s">
        <v>40</v>
      </c>
      <c r="F7446" s="1" t="s">
        <v>206</v>
      </c>
      <c r="G7446" s="5">
        <v>34.97</v>
      </c>
    </row>
    <row r="7447" spans="1:7" x14ac:dyDescent="0.2">
      <c r="A7447" s="3">
        <v>189</v>
      </c>
      <c r="B7447" s="2">
        <v>6609.33</v>
      </c>
      <c r="C7447" s="38">
        <v>44965</v>
      </c>
      <c r="D7447" s="1" t="s">
        <v>278</v>
      </c>
      <c r="E7447" s="1" t="s">
        <v>40</v>
      </c>
      <c r="F7447" s="1" t="s">
        <v>206</v>
      </c>
      <c r="G7447" s="5">
        <v>34.97</v>
      </c>
    </row>
    <row r="7448" spans="1:7" x14ac:dyDescent="0.2">
      <c r="A7448" s="3">
        <v>189</v>
      </c>
      <c r="B7448" s="2">
        <v>6609.33</v>
      </c>
      <c r="C7448" s="38">
        <v>44965</v>
      </c>
      <c r="D7448" s="1" t="s">
        <v>278</v>
      </c>
      <c r="E7448" s="1" t="s">
        <v>40</v>
      </c>
      <c r="F7448" s="1" t="s">
        <v>206</v>
      </c>
      <c r="G7448" s="5">
        <v>34.97</v>
      </c>
    </row>
    <row r="7449" spans="1:7" x14ac:dyDescent="0.2">
      <c r="A7449" s="3">
        <v>189</v>
      </c>
      <c r="B7449" s="2">
        <v>6609.33</v>
      </c>
      <c r="C7449" s="38">
        <v>44965</v>
      </c>
      <c r="D7449" s="1" t="s">
        <v>278</v>
      </c>
      <c r="E7449" s="1" t="s">
        <v>40</v>
      </c>
      <c r="F7449" s="1" t="s">
        <v>206</v>
      </c>
      <c r="G7449" s="5">
        <v>34.97</v>
      </c>
    </row>
    <row r="7450" spans="1:7" x14ac:dyDescent="0.2">
      <c r="A7450" s="3">
        <v>189</v>
      </c>
      <c r="B7450" s="2">
        <v>6609.33</v>
      </c>
      <c r="C7450" s="38">
        <v>44965</v>
      </c>
      <c r="D7450" s="1" t="s">
        <v>278</v>
      </c>
      <c r="E7450" s="1" t="s">
        <v>40</v>
      </c>
      <c r="F7450" s="1" t="s">
        <v>206</v>
      </c>
      <c r="G7450" s="5">
        <v>34.97</v>
      </c>
    </row>
    <row r="7451" spans="1:7" x14ac:dyDescent="0.2">
      <c r="A7451" s="3">
        <v>354</v>
      </c>
      <c r="B7451" s="2">
        <v>2010.72</v>
      </c>
      <c r="C7451" s="38">
        <v>44966</v>
      </c>
      <c r="D7451" s="1" t="s">
        <v>277</v>
      </c>
      <c r="E7451" s="1" t="s">
        <v>40</v>
      </c>
      <c r="F7451" s="1" t="s">
        <v>206</v>
      </c>
      <c r="G7451" s="5">
        <v>5.68</v>
      </c>
    </row>
    <row r="7452" spans="1:7" x14ac:dyDescent="0.2">
      <c r="A7452" s="3">
        <v>630</v>
      </c>
      <c r="B7452" s="2">
        <v>271.08999999999997</v>
      </c>
      <c r="C7452" s="38">
        <v>44603</v>
      </c>
      <c r="D7452" s="1" t="s">
        <v>273</v>
      </c>
      <c r="E7452" s="1" t="s">
        <v>41</v>
      </c>
      <c r="F7452" s="1" t="s">
        <v>219</v>
      </c>
      <c r="G7452" s="5">
        <v>0.43030000000000002</v>
      </c>
    </row>
    <row r="7453" spans="1:7" x14ac:dyDescent="0.2">
      <c r="A7453" s="3">
        <v>280</v>
      </c>
      <c r="B7453" s="2">
        <v>4429.6000000000004</v>
      </c>
      <c r="C7453" s="38">
        <v>44973</v>
      </c>
      <c r="D7453" s="1" t="s">
        <v>377</v>
      </c>
      <c r="E7453" s="1" t="s">
        <v>35</v>
      </c>
      <c r="F7453" s="1" t="s">
        <v>205</v>
      </c>
      <c r="G7453" s="5">
        <v>15.82</v>
      </c>
    </row>
    <row r="7454" spans="1:7" x14ac:dyDescent="0.2">
      <c r="A7454" s="3">
        <v>5000</v>
      </c>
      <c r="B7454" s="2">
        <v>74800</v>
      </c>
      <c r="C7454" s="38">
        <v>44973</v>
      </c>
      <c r="D7454" s="1" t="s">
        <v>275</v>
      </c>
      <c r="E7454" s="1" t="s">
        <v>35</v>
      </c>
      <c r="F7454" s="1" t="s">
        <v>205</v>
      </c>
      <c r="G7454" s="5">
        <v>14.96</v>
      </c>
    </row>
    <row r="7455" spans="1:7" x14ac:dyDescent="0.2">
      <c r="A7455" s="3">
        <v>1640</v>
      </c>
      <c r="B7455" s="2">
        <v>25944.799999999999</v>
      </c>
      <c r="C7455" s="38">
        <v>44974</v>
      </c>
      <c r="D7455" s="1" t="s">
        <v>377</v>
      </c>
      <c r="E7455" s="1" t="s">
        <v>35</v>
      </c>
      <c r="F7455" s="1" t="s">
        <v>205</v>
      </c>
      <c r="G7455" s="5">
        <v>15.82</v>
      </c>
    </row>
    <row r="7456" spans="1:7" x14ac:dyDescent="0.2">
      <c r="A7456" s="3">
        <v>498</v>
      </c>
      <c r="B7456" s="2">
        <v>6628.38</v>
      </c>
      <c r="C7456" s="38">
        <v>44974</v>
      </c>
      <c r="D7456" s="1" t="s">
        <v>372</v>
      </c>
      <c r="E7456" s="1" t="s">
        <v>35</v>
      </c>
      <c r="F7456" s="1" t="s">
        <v>205</v>
      </c>
      <c r="G7456" s="5">
        <v>13.31</v>
      </c>
    </row>
    <row r="7457" spans="1:7" x14ac:dyDescent="0.2">
      <c r="A7457" s="3">
        <v>3780</v>
      </c>
      <c r="B7457" s="2">
        <v>52466.400000000001</v>
      </c>
      <c r="C7457" s="38">
        <v>44977</v>
      </c>
      <c r="D7457" s="1" t="s">
        <v>241</v>
      </c>
      <c r="E7457" s="1" t="s">
        <v>34</v>
      </c>
      <c r="F7457" s="1" t="s">
        <v>208</v>
      </c>
      <c r="G7457" s="5">
        <v>13.88</v>
      </c>
    </row>
    <row r="7458" spans="1:7" x14ac:dyDescent="0.2">
      <c r="A7458" s="3">
        <v>147</v>
      </c>
      <c r="B7458" s="2">
        <v>76212.149999999994</v>
      </c>
      <c r="C7458" s="38">
        <v>44977</v>
      </c>
      <c r="D7458" s="1" t="s">
        <v>379</v>
      </c>
      <c r="E7458" s="1" t="s">
        <v>34</v>
      </c>
      <c r="F7458" s="1" t="s">
        <v>208</v>
      </c>
      <c r="G7458" s="5">
        <v>518.45000000000005</v>
      </c>
    </row>
    <row r="7459" spans="1:7" x14ac:dyDescent="0.2">
      <c r="A7459" s="3">
        <v>84</v>
      </c>
      <c r="B7459" s="2">
        <v>3471.72</v>
      </c>
      <c r="C7459" s="38">
        <v>44977</v>
      </c>
      <c r="D7459" s="1" t="s">
        <v>380</v>
      </c>
      <c r="E7459" s="1" t="s">
        <v>34</v>
      </c>
      <c r="F7459" s="1" t="s">
        <v>208</v>
      </c>
      <c r="G7459" s="5">
        <v>41.33</v>
      </c>
    </row>
    <row r="7460" spans="1:7" x14ac:dyDescent="0.2">
      <c r="A7460" s="3">
        <v>7938</v>
      </c>
      <c r="B7460" s="2">
        <v>33180.839999999997</v>
      </c>
      <c r="C7460" s="38">
        <v>44615</v>
      </c>
      <c r="D7460" s="1" t="s">
        <v>381</v>
      </c>
      <c r="E7460" s="1" t="s">
        <v>35</v>
      </c>
      <c r="F7460" s="1" t="s">
        <v>205</v>
      </c>
      <c r="G7460" s="5">
        <v>4.18</v>
      </c>
    </row>
    <row r="7461" spans="1:7" x14ac:dyDescent="0.2">
      <c r="A7461" s="3">
        <v>189</v>
      </c>
      <c r="B7461" s="2">
        <v>6609.33</v>
      </c>
      <c r="C7461" s="38">
        <v>44980</v>
      </c>
      <c r="D7461" s="1" t="s">
        <v>278</v>
      </c>
      <c r="E7461" s="1" t="s">
        <v>40</v>
      </c>
      <c r="F7461" s="1" t="s">
        <v>206</v>
      </c>
      <c r="G7461" s="5">
        <v>34.97</v>
      </c>
    </row>
    <row r="7462" spans="1:7" x14ac:dyDescent="0.2">
      <c r="A7462" s="3">
        <v>252</v>
      </c>
      <c r="B7462" s="2">
        <v>17481.240000000002</v>
      </c>
      <c r="C7462" s="38">
        <v>44992</v>
      </c>
      <c r="D7462" s="1" t="s">
        <v>285</v>
      </c>
      <c r="E7462" s="1" t="s">
        <v>42</v>
      </c>
      <c r="F7462" s="1" t="s">
        <v>203</v>
      </c>
      <c r="G7462" s="5">
        <v>69.37</v>
      </c>
    </row>
    <row r="7463" spans="1:7" x14ac:dyDescent="0.2">
      <c r="A7463" s="3">
        <v>360</v>
      </c>
      <c r="B7463" s="2">
        <v>2606.4</v>
      </c>
      <c r="C7463" s="38">
        <v>44631</v>
      </c>
      <c r="D7463" s="1" t="s">
        <v>382</v>
      </c>
      <c r="E7463" s="1" t="s">
        <v>41</v>
      </c>
      <c r="F7463" s="1" t="s">
        <v>219</v>
      </c>
      <c r="G7463" s="5">
        <v>7.24</v>
      </c>
    </row>
    <row r="7464" spans="1:7" x14ac:dyDescent="0.2">
      <c r="A7464" s="3">
        <v>140</v>
      </c>
      <c r="B7464" s="2">
        <v>46452</v>
      </c>
      <c r="C7464" s="38">
        <v>44998</v>
      </c>
      <c r="D7464" s="1" t="s">
        <v>296</v>
      </c>
      <c r="E7464" s="1" t="s">
        <v>34</v>
      </c>
      <c r="F7464" s="1" t="s">
        <v>208</v>
      </c>
      <c r="G7464" s="5">
        <v>331.8</v>
      </c>
    </row>
    <row r="7465" spans="1:7" x14ac:dyDescent="0.2">
      <c r="A7465" s="3">
        <v>588</v>
      </c>
      <c r="B7465" s="2">
        <v>57953.279999999999</v>
      </c>
      <c r="C7465" s="38">
        <v>45000</v>
      </c>
      <c r="D7465" s="1" t="s">
        <v>266</v>
      </c>
      <c r="E7465" s="1" t="s">
        <v>42</v>
      </c>
      <c r="F7465" s="1" t="s">
        <v>203</v>
      </c>
      <c r="G7465" s="5">
        <v>98.56</v>
      </c>
    </row>
    <row r="7466" spans="1:7" x14ac:dyDescent="0.2">
      <c r="A7466" s="3">
        <v>560</v>
      </c>
      <c r="B7466" s="2">
        <v>9340.7999999999993</v>
      </c>
      <c r="C7466" s="38">
        <v>45001</v>
      </c>
      <c r="D7466" s="1" t="s">
        <v>377</v>
      </c>
      <c r="E7466" s="1" t="s">
        <v>35</v>
      </c>
      <c r="F7466" s="1" t="s">
        <v>205</v>
      </c>
      <c r="G7466" s="5">
        <v>16.68</v>
      </c>
    </row>
    <row r="7467" spans="1:7" x14ac:dyDescent="0.2">
      <c r="A7467" s="3">
        <v>630</v>
      </c>
      <c r="B7467" s="2">
        <v>6016.5</v>
      </c>
      <c r="C7467" s="38">
        <v>45006</v>
      </c>
      <c r="D7467" s="1" t="s">
        <v>376</v>
      </c>
      <c r="E7467" s="1" t="s">
        <v>40</v>
      </c>
      <c r="F7467" s="1" t="s">
        <v>206</v>
      </c>
      <c r="G7467" s="5">
        <v>9.5500000000000007</v>
      </c>
    </row>
    <row r="7468" spans="1:7" x14ac:dyDescent="0.2">
      <c r="A7468" s="3">
        <v>588</v>
      </c>
      <c r="B7468" s="2">
        <v>32728.080000000002</v>
      </c>
      <c r="C7468" s="38">
        <v>45006</v>
      </c>
      <c r="D7468" s="1" t="s">
        <v>383</v>
      </c>
      <c r="E7468" s="1" t="s">
        <v>34</v>
      </c>
      <c r="F7468" s="1" t="s">
        <v>208</v>
      </c>
      <c r="G7468" s="5">
        <v>55.66</v>
      </c>
    </row>
    <row r="7469" spans="1:7" x14ac:dyDescent="0.2">
      <c r="A7469" s="3">
        <v>588</v>
      </c>
      <c r="B7469" s="2">
        <v>57953.279999999999</v>
      </c>
      <c r="C7469" s="38">
        <v>45006</v>
      </c>
      <c r="D7469" s="1" t="s">
        <v>266</v>
      </c>
      <c r="E7469" s="1" t="s">
        <v>42</v>
      </c>
      <c r="F7469" s="1" t="s">
        <v>203</v>
      </c>
      <c r="G7469" s="5">
        <v>98.56</v>
      </c>
    </row>
    <row r="7470" spans="1:7" x14ac:dyDescent="0.2">
      <c r="A7470" s="3">
        <v>1323</v>
      </c>
      <c r="B7470" s="2">
        <v>3241.35</v>
      </c>
      <c r="C7470" s="38">
        <v>44645</v>
      </c>
      <c r="D7470" s="1" t="s">
        <v>373</v>
      </c>
      <c r="E7470" s="1" t="s">
        <v>35</v>
      </c>
      <c r="F7470" s="1" t="s">
        <v>205</v>
      </c>
      <c r="G7470" s="5">
        <v>2.4500000000000002</v>
      </c>
    </row>
    <row r="7471" spans="1:7" x14ac:dyDescent="0.2">
      <c r="A7471" s="3">
        <v>189</v>
      </c>
      <c r="B7471" s="2">
        <v>6265.35</v>
      </c>
      <c r="C7471" s="38">
        <v>44663</v>
      </c>
      <c r="D7471" s="1" t="s">
        <v>278</v>
      </c>
      <c r="E7471" s="1" t="s">
        <v>40</v>
      </c>
      <c r="F7471" s="1" t="s">
        <v>206</v>
      </c>
      <c r="G7471" s="5">
        <v>33.15</v>
      </c>
    </row>
    <row r="7472" spans="1:7" x14ac:dyDescent="0.2">
      <c r="A7472" s="3">
        <v>945</v>
      </c>
      <c r="B7472" s="2">
        <v>31326.75</v>
      </c>
      <c r="C7472" s="38">
        <v>44663</v>
      </c>
      <c r="D7472" s="1" t="s">
        <v>278</v>
      </c>
      <c r="E7472" s="1" t="s">
        <v>40</v>
      </c>
      <c r="F7472" s="1" t="s">
        <v>206</v>
      </c>
      <c r="G7472" s="5">
        <v>33.15</v>
      </c>
    </row>
    <row r="7473" spans="1:7" x14ac:dyDescent="0.2">
      <c r="A7473" s="3">
        <v>378</v>
      </c>
      <c r="B7473" s="2">
        <v>12530.7</v>
      </c>
      <c r="C7473" s="38">
        <v>44663</v>
      </c>
      <c r="D7473" s="1" t="s">
        <v>278</v>
      </c>
      <c r="E7473" s="1" t="s">
        <v>40</v>
      </c>
      <c r="F7473" s="1" t="s">
        <v>206</v>
      </c>
      <c r="G7473" s="5">
        <v>33.15</v>
      </c>
    </row>
    <row r="7474" spans="1:7" x14ac:dyDescent="0.2">
      <c r="A7474" s="3">
        <v>189</v>
      </c>
      <c r="B7474" s="2">
        <v>6265.35</v>
      </c>
      <c r="C7474" s="38">
        <v>44663</v>
      </c>
      <c r="D7474" s="1" t="s">
        <v>278</v>
      </c>
      <c r="E7474" s="1" t="s">
        <v>40</v>
      </c>
      <c r="F7474" s="1" t="s">
        <v>206</v>
      </c>
      <c r="G7474" s="5">
        <v>33.15</v>
      </c>
    </row>
    <row r="7475" spans="1:7" x14ac:dyDescent="0.2">
      <c r="A7475" s="3">
        <v>189</v>
      </c>
      <c r="B7475" s="2">
        <v>6265.35</v>
      </c>
      <c r="C7475" s="38">
        <v>44663</v>
      </c>
      <c r="D7475" s="1" t="s">
        <v>278</v>
      </c>
      <c r="E7475" s="1" t="s">
        <v>40</v>
      </c>
      <c r="F7475" s="1" t="s">
        <v>206</v>
      </c>
      <c r="G7475" s="5">
        <v>33.15</v>
      </c>
    </row>
    <row r="7476" spans="1:7" x14ac:dyDescent="0.2">
      <c r="A7476" s="3">
        <v>588</v>
      </c>
      <c r="B7476" s="2">
        <v>57953.279999999999</v>
      </c>
      <c r="C7476" s="38">
        <v>45035</v>
      </c>
      <c r="D7476" s="1" t="s">
        <v>266</v>
      </c>
      <c r="E7476" s="1" t="s">
        <v>42</v>
      </c>
      <c r="F7476" s="1" t="s">
        <v>203</v>
      </c>
      <c r="G7476" s="5">
        <v>98.56</v>
      </c>
    </row>
    <row r="7477" spans="1:7" x14ac:dyDescent="0.2">
      <c r="A7477" s="3">
        <v>128000</v>
      </c>
      <c r="B7477" s="2">
        <v>3929.6</v>
      </c>
      <c r="C7477" s="38">
        <v>44679</v>
      </c>
      <c r="D7477" s="1" t="s">
        <v>326</v>
      </c>
      <c r="E7477" s="1" t="s">
        <v>40</v>
      </c>
      <c r="F7477" s="1" t="s">
        <v>206</v>
      </c>
      <c r="G7477" s="5">
        <v>3.0700000000000002E-2</v>
      </c>
    </row>
    <row r="7478" spans="1:7" x14ac:dyDescent="0.2">
      <c r="A7478" s="3">
        <v>124</v>
      </c>
      <c r="B7478" s="2">
        <v>4110.6000000000004</v>
      </c>
      <c r="C7478" s="38">
        <v>44679</v>
      </c>
      <c r="D7478" s="1" t="s">
        <v>278</v>
      </c>
      <c r="E7478" s="1" t="s">
        <v>40</v>
      </c>
      <c r="F7478" s="1" t="s">
        <v>206</v>
      </c>
      <c r="G7478" s="5">
        <v>33.15</v>
      </c>
    </row>
    <row r="7479" spans="1:7" x14ac:dyDescent="0.2">
      <c r="A7479" s="3">
        <v>13720</v>
      </c>
      <c r="B7479" s="2">
        <v>5903.72</v>
      </c>
      <c r="C7479" s="38">
        <v>44679</v>
      </c>
      <c r="D7479" s="1" t="s">
        <v>273</v>
      </c>
      <c r="E7479" s="1" t="s">
        <v>35</v>
      </c>
      <c r="F7479" s="1" t="s">
        <v>205</v>
      </c>
      <c r="G7479" s="5">
        <v>0.43030000000000002</v>
      </c>
    </row>
    <row r="7480" spans="1:7" x14ac:dyDescent="0.2">
      <c r="A7480" s="3">
        <v>2520</v>
      </c>
      <c r="B7480" s="2">
        <v>34977.599999999999</v>
      </c>
      <c r="C7480" s="38">
        <v>44698</v>
      </c>
      <c r="D7480" s="1" t="s">
        <v>241</v>
      </c>
      <c r="E7480" s="1" t="s">
        <v>42</v>
      </c>
      <c r="F7480" s="1" t="s">
        <v>203</v>
      </c>
      <c r="G7480" s="5">
        <v>13.88</v>
      </c>
    </row>
    <row r="7481" spans="1:7" x14ac:dyDescent="0.2">
      <c r="A7481" s="3">
        <v>1000</v>
      </c>
      <c r="B7481" s="2">
        <v>13880</v>
      </c>
      <c r="C7481" s="38">
        <v>44698</v>
      </c>
      <c r="D7481" s="1" t="s">
        <v>241</v>
      </c>
      <c r="E7481" s="1" t="s">
        <v>42</v>
      </c>
      <c r="F7481" s="1" t="s">
        <v>203</v>
      </c>
      <c r="G7481" s="5">
        <v>13.88</v>
      </c>
    </row>
    <row r="7482" spans="1:7" x14ac:dyDescent="0.2">
      <c r="A7482" s="3">
        <v>1120</v>
      </c>
      <c r="B7482" s="2">
        <v>58699.199999999997</v>
      </c>
      <c r="C7482" s="38">
        <v>44700</v>
      </c>
      <c r="D7482" s="1" t="s">
        <v>252</v>
      </c>
      <c r="E7482" s="1" t="s">
        <v>42</v>
      </c>
      <c r="F7482" s="1" t="s">
        <v>203</v>
      </c>
      <c r="G7482" s="5">
        <v>52.41</v>
      </c>
    </row>
    <row r="7483" spans="1:7" x14ac:dyDescent="0.2">
      <c r="A7483" s="3">
        <v>588</v>
      </c>
      <c r="B7483" s="2">
        <v>57953.279999999999</v>
      </c>
      <c r="C7483" s="38">
        <v>45069</v>
      </c>
      <c r="D7483" s="1" t="s">
        <v>266</v>
      </c>
      <c r="E7483" s="1" t="s">
        <v>42</v>
      </c>
      <c r="F7483" s="1" t="s">
        <v>203</v>
      </c>
      <c r="G7483" s="5">
        <v>98.56</v>
      </c>
    </row>
    <row r="7484" spans="1:7" x14ac:dyDescent="0.2">
      <c r="A7484" s="3">
        <v>588</v>
      </c>
      <c r="B7484" s="2">
        <v>57953.279999999999</v>
      </c>
      <c r="C7484" s="38">
        <v>45069</v>
      </c>
      <c r="D7484" s="1" t="s">
        <v>266</v>
      </c>
      <c r="E7484" s="1" t="s">
        <v>42</v>
      </c>
      <c r="F7484" s="1" t="s">
        <v>203</v>
      </c>
      <c r="G7484" s="5">
        <v>98.56</v>
      </c>
    </row>
    <row r="7485" spans="1:7" x14ac:dyDescent="0.2">
      <c r="A7485" s="3">
        <v>2924</v>
      </c>
      <c r="B7485" s="2">
        <v>43743.040000000001</v>
      </c>
      <c r="C7485" s="38">
        <v>44708</v>
      </c>
      <c r="D7485" s="1" t="s">
        <v>275</v>
      </c>
      <c r="E7485" s="1" t="s">
        <v>35</v>
      </c>
      <c r="F7485" s="1" t="s">
        <v>205</v>
      </c>
      <c r="G7485" s="5">
        <v>14.96</v>
      </c>
    </row>
    <row r="7486" spans="1:7" x14ac:dyDescent="0.2">
      <c r="A7486" s="3">
        <v>280</v>
      </c>
      <c r="B7486" s="2">
        <v>4670.3999999999996</v>
      </c>
      <c r="C7486" s="38">
        <v>45075</v>
      </c>
      <c r="D7486" s="1" t="s">
        <v>377</v>
      </c>
      <c r="E7486" s="1" t="s">
        <v>35</v>
      </c>
      <c r="F7486" s="1" t="s">
        <v>205</v>
      </c>
      <c r="G7486" s="5">
        <v>16.68</v>
      </c>
    </row>
    <row r="7487" spans="1:7" x14ac:dyDescent="0.2">
      <c r="A7487" s="3">
        <v>143</v>
      </c>
      <c r="B7487" s="2">
        <v>2139.2800000000002</v>
      </c>
      <c r="C7487" s="38">
        <v>44711</v>
      </c>
      <c r="D7487" s="1" t="s">
        <v>275</v>
      </c>
      <c r="E7487" s="1" t="s">
        <v>35</v>
      </c>
      <c r="F7487" s="1" t="s">
        <v>205</v>
      </c>
      <c r="G7487" s="5">
        <v>14.96</v>
      </c>
    </row>
    <row r="7488" spans="1:7" x14ac:dyDescent="0.2">
      <c r="A7488" s="3">
        <v>189</v>
      </c>
      <c r="B7488" s="2">
        <v>6609.33</v>
      </c>
      <c r="C7488" s="38">
        <v>45077</v>
      </c>
      <c r="D7488" s="1" t="s">
        <v>278</v>
      </c>
      <c r="E7488" s="1" t="s">
        <v>40</v>
      </c>
      <c r="F7488" s="1" t="s">
        <v>206</v>
      </c>
      <c r="G7488" s="5">
        <v>34.97</v>
      </c>
    </row>
    <row r="7489" spans="1:7" x14ac:dyDescent="0.2">
      <c r="A7489" s="3">
        <v>189</v>
      </c>
      <c r="B7489" s="2">
        <v>6609.33</v>
      </c>
      <c r="C7489" s="38">
        <v>45077</v>
      </c>
      <c r="D7489" s="1" t="s">
        <v>278</v>
      </c>
      <c r="E7489" s="1" t="s">
        <v>40</v>
      </c>
      <c r="F7489" s="1" t="s">
        <v>206</v>
      </c>
      <c r="G7489" s="5">
        <v>34.97</v>
      </c>
    </row>
    <row r="7490" spans="1:7" x14ac:dyDescent="0.2">
      <c r="A7490" s="3">
        <v>3520</v>
      </c>
      <c r="B7490" s="2">
        <v>51779.199999999997</v>
      </c>
      <c r="C7490" s="38">
        <v>45090</v>
      </c>
      <c r="D7490" s="1" t="s">
        <v>241</v>
      </c>
      <c r="E7490" s="1" t="s">
        <v>42</v>
      </c>
      <c r="F7490" s="1" t="s">
        <v>203</v>
      </c>
      <c r="G7490" s="5">
        <v>14.71</v>
      </c>
    </row>
    <row r="7491" spans="1:7" x14ac:dyDescent="0.2">
      <c r="A7491" s="3">
        <v>260</v>
      </c>
      <c r="B7491" s="2">
        <v>3824.6</v>
      </c>
      <c r="C7491" s="38">
        <v>45090</v>
      </c>
      <c r="D7491" s="1" t="s">
        <v>241</v>
      </c>
      <c r="E7491" s="1" t="s">
        <v>42</v>
      </c>
      <c r="F7491" s="1" t="s">
        <v>203</v>
      </c>
      <c r="G7491" s="5">
        <v>14.71</v>
      </c>
    </row>
    <row r="7492" spans="1:7" x14ac:dyDescent="0.2">
      <c r="A7492" s="3">
        <v>630</v>
      </c>
      <c r="B7492" s="2">
        <v>5071.5</v>
      </c>
      <c r="C7492" s="38">
        <v>44726</v>
      </c>
      <c r="D7492" s="1" t="s">
        <v>384</v>
      </c>
      <c r="E7492" s="1" t="s">
        <v>34</v>
      </c>
      <c r="F7492" s="1" t="s">
        <v>208</v>
      </c>
      <c r="G7492" s="5">
        <v>8.0500000000000007</v>
      </c>
    </row>
    <row r="7493" spans="1:7" x14ac:dyDescent="0.2">
      <c r="A7493" s="3">
        <v>2846</v>
      </c>
      <c r="B7493" s="2">
        <v>16165.28</v>
      </c>
      <c r="C7493" s="38">
        <v>45092</v>
      </c>
      <c r="D7493" s="1" t="s">
        <v>277</v>
      </c>
      <c r="E7493" s="1" t="s">
        <v>35</v>
      </c>
      <c r="F7493" s="1" t="s">
        <v>205</v>
      </c>
      <c r="G7493" s="5">
        <v>5.68</v>
      </c>
    </row>
    <row r="7494" spans="1:7" x14ac:dyDescent="0.2">
      <c r="A7494" s="3">
        <v>280</v>
      </c>
      <c r="B7494" s="2">
        <v>4429.6000000000004</v>
      </c>
      <c r="C7494" s="38">
        <v>44733</v>
      </c>
      <c r="D7494" s="1" t="s">
        <v>377</v>
      </c>
      <c r="E7494" s="1" t="s">
        <v>35</v>
      </c>
      <c r="F7494" s="1" t="s">
        <v>205</v>
      </c>
      <c r="G7494" s="5">
        <v>15.82</v>
      </c>
    </row>
    <row r="7495" spans="1:7" x14ac:dyDescent="0.2">
      <c r="A7495" s="3">
        <v>630</v>
      </c>
      <c r="B7495" s="2">
        <v>6016.5</v>
      </c>
      <c r="C7495" s="38">
        <v>45098</v>
      </c>
      <c r="D7495" s="1" t="s">
        <v>376</v>
      </c>
      <c r="E7495" s="1" t="s">
        <v>40</v>
      </c>
      <c r="F7495" s="1" t="s">
        <v>206</v>
      </c>
      <c r="G7495" s="5">
        <v>9.5500000000000007</v>
      </c>
    </row>
    <row r="7496" spans="1:7" x14ac:dyDescent="0.2">
      <c r="A7496" s="3">
        <v>588</v>
      </c>
      <c r="B7496" s="2">
        <v>57953.279999999999</v>
      </c>
      <c r="C7496" s="38">
        <v>45098</v>
      </c>
      <c r="D7496" s="1" t="s">
        <v>266</v>
      </c>
      <c r="E7496" s="1" t="s">
        <v>42</v>
      </c>
      <c r="F7496" s="1" t="s">
        <v>203</v>
      </c>
      <c r="G7496" s="5">
        <v>98.56</v>
      </c>
    </row>
    <row r="7497" spans="1:7" x14ac:dyDescent="0.2">
      <c r="A7497" s="3">
        <v>588</v>
      </c>
      <c r="B7497" s="2">
        <v>57953.279999999999</v>
      </c>
      <c r="C7497" s="38">
        <v>45098</v>
      </c>
      <c r="D7497" s="1" t="s">
        <v>266</v>
      </c>
      <c r="E7497" s="1" t="s">
        <v>42</v>
      </c>
      <c r="F7497" s="1" t="s">
        <v>203</v>
      </c>
      <c r="G7497" s="5">
        <v>98.56</v>
      </c>
    </row>
    <row r="7498" spans="1:7" x14ac:dyDescent="0.2">
      <c r="A7498" s="3">
        <v>588</v>
      </c>
      <c r="B7498" s="2">
        <v>57953.279999999999</v>
      </c>
      <c r="C7498" s="38">
        <v>45098</v>
      </c>
      <c r="D7498" s="1" t="s">
        <v>266</v>
      </c>
      <c r="E7498" s="1" t="s">
        <v>42</v>
      </c>
      <c r="F7498" s="1" t="s">
        <v>203</v>
      </c>
      <c r="G7498" s="5">
        <v>98.56</v>
      </c>
    </row>
    <row r="7499" spans="1:7" x14ac:dyDescent="0.2">
      <c r="A7499" s="3">
        <v>1384</v>
      </c>
      <c r="B7499" s="2">
        <v>22296.240000000002</v>
      </c>
      <c r="C7499" s="38">
        <v>45100</v>
      </c>
      <c r="D7499" s="1" t="s">
        <v>372</v>
      </c>
      <c r="E7499" s="1" t="s">
        <v>35</v>
      </c>
      <c r="F7499" s="1" t="s">
        <v>205</v>
      </c>
      <c r="G7499" s="5">
        <v>16.11</v>
      </c>
    </row>
    <row r="7500" spans="1:7" x14ac:dyDescent="0.2">
      <c r="A7500" s="3">
        <v>189</v>
      </c>
      <c r="B7500" s="2">
        <v>6609.33</v>
      </c>
      <c r="C7500" s="38">
        <v>45105</v>
      </c>
      <c r="D7500" s="1" t="s">
        <v>278</v>
      </c>
      <c r="E7500" s="1" t="s">
        <v>40</v>
      </c>
      <c r="F7500" s="1" t="s">
        <v>206</v>
      </c>
      <c r="G7500" s="5">
        <v>34.97</v>
      </c>
    </row>
    <row r="7501" spans="1:7" x14ac:dyDescent="0.2">
      <c r="A7501" s="3">
        <v>189</v>
      </c>
      <c r="B7501" s="2">
        <v>6609.33</v>
      </c>
      <c r="C7501" s="38">
        <v>45105</v>
      </c>
      <c r="D7501" s="1" t="s">
        <v>278</v>
      </c>
      <c r="E7501" s="1" t="s">
        <v>40</v>
      </c>
      <c r="F7501" s="1" t="s">
        <v>206</v>
      </c>
      <c r="G7501" s="5">
        <v>34.97</v>
      </c>
    </row>
    <row r="7502" spans="1:7" x14ac:dyDescent="0.2">
      <c r="A7502" s="3">
        <v>1480</v>
      </c>
      <c r="B7502" s="2">
        <v>3285.6</v>
      </c>
      <c r="C7502" s="38">
        <v>45105</v>
      </c>
      <c r="D7502" s="1" t="s">
        <v>274</v>
      </c>
      <c r="E7502" s="1" t="s">
        <v>35</v>
      </c>
      <c r="F7502" s="1" t="s">
        <v>205</v>
      </c>
      <c r="G7502" s="5">
        <v>2.2200000000000002</v>
      </c>
    </row>
    <row r="7503" spans="1:7" x14ac:dyDescent="0.2">
      <c r="A7503" s="3">
        <v>1950</v>
      </c>
      <c r="B7503" s="2">
        <v>4329</v>
      </c>
      <c r="C7503" s="38">
        <v>45105</v>
      </c>
      <c r="D7503" s="1" t="s">
        <v>274</v>
      </c>
      <c r="E7503" s="1" t="s">
        <v>35</v>
      </c>
      <c r="F7503" s="1" t="s">
        <v>205</v>
      </c>
      <c r="G7503" s="5">
        <v>2.2200000000000002</v>
      </c>
    </row>
    <row r="7504" spans="1:7" x14ac:dyDescent="0.2">
      <c r="A7504" s="3">
        <v>3969</v>
      </c>
      <c r="B7504" s="2">
        <v>9724.0499999999993</v>
      </c>
      <c r="C7504" s="38">
        <v>45106</v>
      </c>
      <c r="D7504" s="1" t="s">
        <v>373</v>
      </c>
      <c r="E7504" s="1" t="s">
        <v>35</v>
      </c>
      <c r="F7504" s="1" t="s">
        <v>205</v>
      </c>
      <c r="G7504" s="5">
        <v>2.4500000000000002</v>
      </c>
    </row>
    <row r="7505" spans="1:7" x14ac:dyDescent="0.2">
      <c r="A7505" s="3">
        <v>189</v>
      </c>
      <c r="B7505" s="2">
        <v>6265.35</v>
      </c>
      <c r="C7505" s="38">
        <v>44742</v>
      </c>
      <c r="D7505" s="1" t="s">
        <v>278</v>
      </c>
      <c r="E7505" s="1" t="s">
        <v>40</v>
      </c>
      <c r="F7505" s="1" t="s">
        <v>206</v>
      </c>
      <c r="G7505" s="5">
        <v>33.15</v>
      </c>
    </row>
    <row r="7506" spans="1:7" x14ac:dyDescent="0.2">
      <c r="A7506" s="3">
        <v>189</v>
      </c>
      <c r="B7506" s="2">
        <v>6265.35</v>
      </c>
      <c r="C7506" s="38">
        <v>44742</v>
      </c>
      <c r="D7506" s="1" t="s">
        <v>278</v>
      </c>
      <c r="E7506" s="1" t="s">
        <v>40</v>
      </c>
      <c r="F7506" s="1" t="s">
        <v>206</v>
      </c>
      <c r="G7506" s="5">
        <v>33.15</v>
      </c>
    </row>
    <row r="7507" spans="1:7" x14ac:dyDescent="0.2">
      <c r="A7507" s="3">
        <v>189</v>
      </c>
      <c r="B7507" s="2">
        <v>6265.35</v>
      </c>
      <c r="C7507" s="38">
        <v>44742</v>
      </c>
      <c r="D7507" s="1" t="s">
        <v>278</v>
      </c>
      <c r="E7507" s="1" t="s">
        <v>40</v>
      </c>
      <c r="F7507" s="1" t="s">
        <v>206</v>
      </c>
      <c r="G7507" s="5">
        <v>33.15</v>
      </c>
    </row>
    <row r="7508" spans="1:7" x14ac:dyDescent="0.2">
      <c r="A7508" s="3">
        <v>5292</v>
      </c>
      <c r="B7508" s="2">
        <v>13653.36</v>
      </c>
      <c r="C7508" s="38">
        <v>45118</v>
      </c>
      <c r="D7508" s="1" t="s">
        <v>373</v>
      </c>
      <c r="E7508" s="1" t="s">
        <v>35</v>
      </c>
      <c r="F7508" s="1" t="s">
        <v>205</v>
      </c>
      <c r="G7508" s="5">
        <v>2.58</v>
      </c>
    </row>
    <row r="7509" spans="1:7" x14ac:dyDescent="0.2">
      <c r="A7509" s="3">
        <v>189</v>
      </c>
      <c r="B7509" s="2">
        <v>6265.35</v>
      </c>
      <c r="C7509" s="38">
        <v>44754</v>
      </c>
      <c r="D7509" s="1" t="s">
        <v>278</v>
      </c>
      <c r="E7509" s="1" t="s">
        <v>40</v>
      </c>
      <c r="F7509" s="1" t="s">
        <v>206</v>
      </c>
      <c r="G7509" s="5">
        <v>33.15</v>
      </c>
    </row>
    <row r="7510" spans="1:7" x14ac:dyDescent="0.2">
      <c r="A7510" s="3">
        <v>189</v>
      </c>
      <c r="B7510" s="2">
        <v>6265.35</v>
      </c>
      <c r="C7510" s="38">
        <v>44754</v>
      </c>
      <c r="D7510" s="1" t="s">
        <v>278</v>
      </c>
      <c r="E7510" s="1" t="s">
        <v>40</v>
      </c>
      <c r="F7510" s="1" t="s">
        <v>206</v>
      </c>
      <c r="G7510" s="5">
        <v>33.15</v>
      </c>
    </row>
    <row r="7511" spans="1:7" x14ac:dyDescent="0.2">
      <c r="A7511" s="3">
        <v>189</v>
      </c>
      <c r="B7511" s="2">
        <v>6265.35</v>
      </c>
      <c r="C7511" s="38">
        <v>44754</v>
      </c>
      <c r="D7511" s="1" t="s">
        <v>278</v>
      </c>
      <c r="E7511" s="1" t="s">
        <v>40</v>
      </c>
      <c r="F7511" s="1" t="s">
        <v>206</v>
      </c>
      <c r="G7511" s="5">
        <v>33.15</v>
      </c>
    </row>
    <row r="7512" spans="1:7" x14ac:dyDescent="0.2">
      <c r="A7512" s="3">
        <v>189</v>
      </c>
      <c r="B7512" s="2">
        <v>6265.35</v>
      </c>
      <c r="C7512" s="38">
        <v>44754</v>
      </c>
      <c r="D7512" s="1" t="s">
        <v>278</v>
      </c>
      <c r="E7512" s="1" t="s">
        <v>40</v>
      </c>
      <c r="F7512" s="1" t="s">
        <v>206</v>
      </c>
      <c r="G7512" s="5">
        <v>33.15</v>
      </c>
    </row>
    <row r="7513" spans="1:7" x14ac:dyDescent="0.2">
      <c r="A7513" s="3">
        <v>189</v>
      </c>
      <c r="B7513" s="2">
        <v>6265.35</v>
      </c>
      <c r="C7513" s="38">
        <v>44754</v>
      </c>
      <c r="D7513" s="1" t="s">
        <v>278</v>
      </c>
      <c r="E7513" s="1" t="s">
        <v>40</v>
      </c>
      <c r="F7513" s="1" t="s">
        <v>206</v>
      </c>
      <c r="G7513" s="5">
        <v>33.15</v>
      </c>
    </row>
    <row r="7514" spans="1:7" x14ac:dyDescent="0.2">
      <c r="A7514" s="3">
        <v>189</v>
      </c>
      <c r="B7514" s="2">
        <v>6265.35</v>
      </c>
      <c r="C7514" s="38">
        <v>44754</v>
      </c>
      <c r="D7514" s="1" t="s">
        <v>278</v>
      </c>
      <c r="E7514" s="1" t="s">
        <v>40</v>
      </c>
      <c r="F7514" s="1" t="s">
        <v>206</v>
      </c>
      <c r="G7514" s="5">
        <v>33.15</v>
      </c>
    </row>
    <row r="7515" spans="1:7" x14ac:dyDescent="0.2">
      <c r="A7515" s="3">
        <v>189</v>
      </c>
      <c r="B7515" s="2">
        <v>6265.35</v>
      </c>
      <c r="C7515" s="38">
        <v>44754</v>
      </c>
      <c r="D7515" s="1" t="s">
        <v>278</v>
      </c>
      <c r="E7515" s="1" t="s">
        <v>40</v>
      </c>
      <c r="F7515" s="1" t="s">
        <v>206</v>
      </c>
      <c r="G7515" s="5">
        <v>33.15</v>
      </c>
    </row>
    <row r="7516" spans="1:7" x14ac:dyDescent="0.2">
      <c r="A7516" s="3">
        <v>10000</v>
      </c>
      <c r="B7516" s="2">
        <v>149600</v>
      </c>
      <c r="C7516" s="38">
        <v>44754</v>
      </c>
      <c r="D7516" s="1" t="s">
        <v>275</v>
      </c>
      <c r="E7516" s="1" t="s">
        <v>35</v>
      </c>
      <c r="F7516" s="1" t="s">
        <v>205</v>
      </c>
      <c r="G7516" s="5">
        <v>14.96</v>
      </c>
    </row>
    <row r="7517" spans="1:7" x14ac:dyDescent="0.2">
      <c r="A7517" s="3">
        <v>5000</v>
      </c>
      <c r="B7517" s="2">
        <v>74800</v>
      </c>
      <c r="C7517" s="38">
        <v>44754</v>
      </c>
      <c r="D7517" s="1" t="s">
        <v>275</v>
      </c>
      <c r="E7517" s="1" t="s">
        <v>35</v>
      </c>
      <c r="F7517" s="1" t="s">
        <v>205</v>
      </c>
      <c r="G7517" s="5">
        <v>14.96</v>
      </c>
    </row>
    <row r="7518" spans="1:7" x14ac:dyDescent="0.2">
      <c r="A7518" s="3">
        <v>180</v>
      </c>
      <c r="B7518" s="2">
        <v>2847.6</v>
      </c>
      <c r="C7518" s="38">
        <v>44756</v>
      </c>
      <c r="D7518" s="1" t="s">
        <v>377</v>
      </c>
      <c r="E7518" s="1" t="s">
        <v>35</v>
      </c>
      <c r="F7518" s="1" t="s">
        <v>205</v>
      </c>
      <c r="G7518" s="5">
        <v>15.82</v>
      </c>
    </row>
    <row r="7519" spans="1:7" x14ac:dyDescent="0.2">
      <c r="A7519" s="3">
        <v>588</v>
      </c>
      <c r="B7519" s="2">
        <v>57953.279999999999</v>
      </c>
      <c r="C7519" s="38">
        <v>45128</v>
      </c>
      <c r="D7519" s="1" t="s">
        <v>266</v>
      </c>
      <c r="E7519" s="1" t="s">
        <v>42</v>
      </c>
      <c r="F7519" s="1" t="s">
        <v>203</v>
      </c>
      <c r="G7519" s="5">
        <v>98.56</v>
      </c>
    </row>
    <row r="7520" spans="1:7" x14ac:dyDescent="0.2">
      <c r="A7520" s="3">
        <v>588</v>
      </c>
      <c r="B7520" s="2">
        <v>57953.279999999999</v>
      </c>
      <c r="C7520" s="38">
        <v>45128</v>
      </c>
      <c r="D7520" s="1" t="s">
        <v>266</v>
      </c>
      <c r="E7520" s="1" t="s">
        <v>42</v>
      </c>
      <c r="F7520" s="1" t="s">
        <v>203</v>
      </c>
      <c r="G7520" s="5">
        <v>98.56</v>
      </c>
    </row>
    <row r="7521" spans="1:7" x14ac:dyDescent="0.2">
      <c r="A7521" s="3">
        <v>5000</v>
      </c>
      <c r="B7521" s="2">
        <v>74800</v>
      </c>
      <c r="C7521" s="38">
        <v>44767</v>
      </c>
      <c r="D7521" s="1" t="s">
        <v>275</v>
      </c>
      <c r="E7521" s="1" t="s">
        <v>35</v>
      </c>
      <c r="F7521" s="1" t="s">
        <v>205</v>
      </c>
      <c r="G7521" s="5">
        <v>14.96</v>
      </c>
    </row>
    <row r="7522" spans="1:7" x14ac:dyDescent="0.2">
      <c r="A7522" s="3">
        <v>568</v>
      </c>
      <c r="B7522" s="2">
        <v>8497.2800000000007</v>
      </c>
      <c r="C7522" s="38">
        <v>44767</v>
      </c>
      <c r="D7522" s="1" t="s">
        <v>275</v>
      </c>
      <c r="E7522" s="1" t="s">
        <v>35</v>
      </c>
      <c r="F7522" s="1" t="s">
        <v>205</v>
      </c>
      <c r="G7522" s="5">
        <v>14.96</v>
      </c>
    </row>
    <row r="7523" spans="1:7" x14ac:dyDescent="0.2">
      <c r="A7523" s="3">
        <v>630</v>
      </c>
      <c r="B7523" s="2">
        <v>5701.5</v>
      </c>
      <c r="C7523" s="38">
        <v>44769</v>
      </c>
      <c r="D7523" s="1" t="s">
        <v>376</v>
      </c>
      <c r="E7523" s="1" t="s">
        <v>40</v>
      </c>
      <c r="F7523" s="1" t="s">
        <v>206</v>
      </c>
      <c r="G7523" s="5">
        <v>9.0500000000000007</v>
      </c>
    </row>
    <row r="7524" spans="1:7" x14ac:dyDescent="0.2">
      <c r="A7524" s="3">
        <v>1820</v>
      </c>
      <c r="B7524" s="2">
        <v>4113.2</v>
      </c>
      <c r="C7524" s="38">
        <v>44783</v>
      </c>
      <c r="D7524" s="1" t="s">
        <v>276</v>
      </c>
      <c r="E7524" s="1" t="s">
        <v>40</v>
      </c>
      <c r="F7524" s="1" t="s">
        <v>206</v>
      </c>
      <c r="G7524" s="5">
        <v>2.2599999999999998</v>
      </c>
    </row>
    <row r="7525" spans="1:7" x14ac:dyDescent="0.2">
      <c r="A7525" s="3">
        <v>308</v>
      </c>
      <c r="B7525" s="2">
        <v>152142.76</v>
      </c>
      <c r="C7525" s="38">
        <v>44676</v>
      </c>
      <c r="D7525" s="1" t="s">
        <v>246</v>
      </c>
      <c r="E7525" s="1" t="s">
        <v>36</v>
      </c>
      <c r="F7525" s="1" t="s">
        <v>221</v>
      </c>
      <c r="G7525" s="5">
        <v>493.97</v>
      </c>
    </row>
    <row r="7526" spans="1:7" x14ac:dyDescent="0.2">
      <c r="A7526" s="3">
        <v>140</v>
      </c>
      <c r="B7526" s="2">
        <v>168865.2</v>
      </c>
      <c r="C7526" s="38">
        <v>44936</v>
      </c>
      <c r="D7526" s="1" t="s">
        <v>271</v>
      </c>
      <c r="E7526" s="1" t="s">
        <v>36</v>
      </c>
      <c r="F7526" s="1" t="s">
        <v>204</v>
      </c>
      <c r="G7526" s="5">
        <v>1206.18</v>
      </c>
    </row>
    <row r="7527" spans="1:7" x14ac:dyDescent="0.2">
      <c r="A7527" s="3">
        <v>147</v>
      </c>
      <c r="B7527" s="2">
        <v>103273.38</v>
      </c>
      <c r="C7527" s="38">
        <v>44937</v>
      </c>
      <c r="D7527" s="1" t="s">
        <v>259</v>
      </c>
      <c r="E7527" s="1" t="s">
        <v>36</v>
      </c>
      <c r="F7527" s="1" t="s">
        <v>204</v>
      </c>
      <c r="G7527" s="5">
        <v>702.54</v>
      </c>
    </row>
    <row r="7528" spans="1:7" x14ac:dyDescent="0.2">
      <c r="A7528" s="3">
        <v>1911</v>
      </c>
      <c r="B7528" s="2">
        <v>1342553.94</v>
      </c>
      <c r="C7528" s="38">
        <v>44860</v>
      </c>
      <c r="D7528" s="1" t="s">
        <v>259</v>
      </c>
      <c r="E7528" s="1" t="s">
        <v>36</v>
      </c>
      <c r="F7528" s="1" t="s">
        <v>204</v>
      </c>
      <c r="G7528" s="5">
        <v>702.54</v>
      </c>
    </row>
    <row r="7529" spans="1:7" x14ac:dyDescent="0.2">
      <c r="A7529" s="3">
        <v>84</v>
      </c>
      <c r="B7529" s="2">
        <v>85470</v>
      </c>
      <c r="C7529" s="38">
        <v>44872</v>
      </c>
      <c r="D7529" s="1" t="s">
        <v>291</v>
      </c>
      <c r="E7529" s="1" t="s">
        <v>36</v>
      </c>
      <c r="F7529" s="1" t="s">
        <v>204</v>
      </c>
      <c r="G7529" s="5">
        <v>1017.5</v>
      </c>
    </row>
    <row r="7530" spans="1:7" x14ac:dyDescent="0.2">
      <c r="A7530" s="3">
        <v>91</v>
      </c>
      <c r="B7530" s="2">
        <v>20555.990000000002</v>
      </c>
      <c r="C7530" s="38">
        <v>44874</v>
      </c>
      <c r="D7530" s="1" t="s">
        <v>330</v>
      </c>
      <c r="E7530" s="1" t="s">
        <v>36</v>
      </c>
      <c r="F7530" s="1" t="s">
        <v>204</v>
      </c>
      <c r="G7530" s="5">
        <v>225.89</v>
      </c>
    </row>
    <row r="7531" spans="1:7" x14ac:dyDescent="0.2">
      <c r="A7531" s="3">
        <v>72</v>
      </c>
      <c r="B7531" s="2">
        <v>16264.08</v>
      </c>
      <c r="C7531" s="38">
        <v>44874</v>
      </c>
      <c r="D7531" s="1" t="s">
        <v>330</v>
      </c>
      <c r="E7531" s="1" t="s">
        <v>36</v>
      </c>
      <c r="F7531" s="1" t="s">
        <v>204</v>
      </c>
      <c r="G7531" s="5">
        <v>225.89</v>
      </c>
    </row>
    <row r="7532" spans="1:7" x14ac:dyDescent="0.2">
      <c r="A7532" s="3">
        <v>54</v>
      </c>
      <c r="B7532" s="2">
        <v>12198.06</v>
      </c>
      <c r="C7532" s="38">
        <v>44874</v>
      </c>
      <c r="D7532" s="1" t="s">
        <v>330</v>
      </c>
      <c r="E7532" s="1" t="s">
        <v>36</v>
      </c>
      <c r="F7532" s="1" t="s">
        <v>204</v>
      </c>
      <c r="G7532" s="5">
        <v>225.89</v>
      </c>
    </row>
    <row r="7533" spans="1:7" x14ac:dyDescent="0.2">
      <c r="A7533" s="3">
        <v>210</v>
      </c>
      <c r="B7533" s="2">
        <v>253297.8</v>
      </c>
      <c r="C7533" s="38">
        <v>44952</v>
      </c>
      <c r="D7533" s="1" t="s">
        <v>271</v>
      </c>
      <c r="E7533" s="1" t="s">
        <v>36</v>
      </c>
      <c r="F7533" s="1" t="s">
        <v>204</v>
      </c>
      <c r="G7533" s="5">
        <v>1206.18</v>
      </c>
    </row>
    <row r="7534" spans="1:7" x14ac:dyDescent="0.2">
      <c r="A7534" s="3">
        <v>1764</v>
      </c>
      <c r="B7534" s="2">
        <v>1239280.56</v>
      </c>
      <c r="C7534" s="38">
        <v>44952</v>
      </c>
      <c r="D7534" s="1" t="s">
        <v>259</v>
      </c>
      <c r="E7534" s="1" t="s">
        <v>36</v>
      </c>
      <c r="F7534" s="1" t="s">
        <v>204</v>
      </c>
      <c r="G7534" s="5">
        <v>702.54</v>
      </c>
    </row>
    <row r="7535" spans="1:7" x14ac:dyDescent="0.2">
      <c r="A7535" s="3">
        <v>147</v>
      </c>
      <c r="B7535" s="2">
        <v>103273.38</v>
      </c>
      <c r="C7535" s="38">
        <v>44952</v>
      </c>
      <c r="D7535" s="1" t="s">
        <v>259</v>
      </c>
      <c r="E7535" s="1" t="s">
        <v>36</v>
      </c>
      <c r="F7535" s="1" t="s">
        <v>204</v>
      </c>
      <c r="G7535" s="5">
        <v>702.54</v>
      </c>
    </row>
    <row r="7536" spans="1:7" x14ac:dyDescent="0.2">
      <c r="A7536" s="3">
        <v>147</v>
      </c>
      <c r="B7536" s="2">
        <v>103273.38</v>
      </c>
      <c r="C7536" s="38">
        <v>44952</v>
      </c>
      <c r="D7536" s="1" t="s">
        <v>259</v>
      </c>
      <c r="E7536" s="1" t="s">
        <v>36</v>
      </c>
      <c r="F7536" s="1" t="s">
        <v>204</v>
      </c>
      <c r="G7536" s="5">
        <v>702.54</v>
      </c>
    </row>
    <row r="7537" spans="1:7" x14ac:dyDescent="0.2">
      <c r="A7537" s="3">
        <v>420</v>
      </c>
      <c r="B7537" s="2">
        <v>506595.6</v>
      </c>
      <c r="C7537" s="38">
        <v>44956</v>
      </c>
      <c r="D7537" s="1" t="s">
        <v>271</v>
      </c>
      <c r="E7537" s="1" t="s">
        <v>36</v>
      </c>
      <c r="F7537" s="1" t="s">
        <v>204</v>
      </c>
      <c r="G7537" s="5">
        <v>1206.18</v>
      </c>
    </row>
    <row r="7538" spans="1:7" x14ac:dyDescent="0.2">
      <c r="A7538" s="3">
        <v>1911</v>
      </c>
      <c r="B7538" s="2">
        <v>1342553.94</v>
      </c>
      <c r="C7538" s="38">
        <v>44956</v>
      </c>
      <c r="D7538" s="1" t="s">
        <v>259</v>
      </c>
      <c r="E7538" s="1" t="s">
        <v>36</v>
      </c>
      <c r="F7538" s="1" t="s">
        <v>204</v>
      </c>
      <c r="G7538" s="5">
        <v>702.54</v>
      </c>
    </row>
    <row r="7539" spans="1:7" x14ac:dyDescent="0.2">
      <c r="A7539" s="3">
        <v>2940</v>
      </c>
      <c r="B7539" s="2">
        <v>2065467.6</v>
      </c>
      <c r="C7539" s="38">
        <v>44956</v>
      </c>
      <c r="D7539" s="1" t="s">
        <v>259</v>
      </c>
      <c r="E7539" s="1" t="s">
        <v>36</v>
      </c>
      <c r="F7539" s="1" t="s">
        <v>204</v>
      </c>
      <c r="G7539" s="5">
        <v>702.54</v>
      </c>
    </row>
    <row r="7540" spans="1:7" x14ac:dyDescent="0.2">
      <c r="A7540" s="3">
        <v>1911</v>
      </c>
      <c r="B7540" s="2">
        <v>1342553.94</v>
      </c>
      <c r="C7540" s="38">
        <v>44956</v>
      </c>
      <c r="D7540" s="1" t="s">
        <v>259</v>
      </c>
      <c r="E7540" s="1" t="s">
        <v>36</v>
      </c>
      <c r="F7540" s="1" t="s">
        <v>204</v>
      </c>
      <c r="G7540" s="5">
        <v>702.54</v>
      </c>
    </row>
    <row r="7541" spans="1:7" x14ac:dyDescent="0.2">
      <c r="A7541" s="3">
        <v>294</v>
      </c>
      <c r="B7541" s="2">
        <v>206546.76</v>
      </c>
      <c r="C7541" s="38">
        <v>44956</v>
      </c>
      <c r="D7541" s="1" t="s">
        <v>259</v>
      </c>
      <c r="E7541" s="1" t="s">
        <v>36</v>
      </c>
      <c r="F7541" s="1" t="s">
        <v>204</v>
      </c>
      <c r="G7541" s="5">
        <v>702.54</v>
      </c>
    </row>
    <row r="7542" spans="1:7" x14ac:dyDescent="0.2">
      <c r="A7542" s="3">
        <v>1764</v>
      </c>
      <c r="B7542" s="2">
        <v>1239280.56</v>
      </c>
      <c r="C7542" s="38">
        <v>44956</v>
      </c>
      <c r="D7542" s="1" t="s">
        <v>259</v>
      </c>
      <c r="E7542" s="1" t="s">
        <v>36</v>
      </c>
      <c r="F7542" s="1" t="s">
        <v>204</v>
      </c>
      <c r="G7542" s="5">
        <v>702.54</v>
      </c>
    </row>
    <row r="7543" spans="1:7" x14ac:dyDescent="0.2">
      <c r="A7543" s="3">
        <v>1008</v>
      </c>
      <c r="B7543" s="2">
        <v>129870.72</v>
      </c>
      <c r="C7543" s="38">
        <v>44956</v>
      </c>
      <c r="D7543" s="1" t="s">
        <v>260</v>
      </c>
      <c r="E7543" s="1" t="s">
        <v>36</v>
      </c>
      <c r="F7543" s="1" t="s">
        <v>204</v>
      </c>
      <c r="G7543" s="5">
        <v>128.84</v>
      </c>
    </row>
    <row r="7544" spans="1:7" x14ac:dyDescent="0.2">
      <c r="A7544" s="3">
        <v>7</v>
      </c>
      <c r="B7544" s="2">
        <v>33406.1</v>
      </c>
      <c r="C7544" s="38">
        <v>44956</v>
      </c>
      <c r="D7544" s="1" t="s">
        <v>288</v>
      </c>
      <c r="E7544" s="1" t="s">
        <v>36</v>
      </c>
      <c r="F7544" s="1" t="s">
        <v>204</v>
      </c>
      <c r="G7544" s="5">
        <v>4772.3</v>
      </c>
    </row>
    <row r="7545" spans="1:7" x14ac:dyDescent="0.2">
      <c r="A7545" s="3">
        <v>6</v>
      </c>
      <c r="B7545" s="2">
        <v>28633.8</v>
      </c>
      <c r="C7545" s="38">
        <v>44956</v>
      </c>
      <c r="D7545" s="1" t="s">
        <v>289</v>
      </c>
      <c r="E7545" s="1" t="s">
        <v>36</v>
      </c>
      <c r="F7545" s="1" t="s">
        <v>204</v>
      </c>
      <c r="G7545" s="5">
        <v>4772.3</v>
      </c>
    </row>
    <row r="7546" spans="1:7" x14ac:dyDescent="0.2">
      <c r="A7546" s="3">
        <v>50</v>
      </c>
      <c r="B7546" s="2">
        <v>238615</v>
      </c>
      <c r="C7546" s="38">
        <v>44956</v>
      </c>
      <c r="D7546" s="1" t="s">
        <v>289</v>
      </c>
      <c r="E7546" s="1" t="s">
        <v>36</v>
      </c>
      <c r="F7546" s="1" t="s">
        <v>204</v>
      </c>
      <c r="G7546" s="5">
        <v>4772.3</v>
      </c>
    </row>
    <row r="7547" spans="1:7" x14ac:dyDescent="0.2">
      <c r="A7547" s="3">
        <v>350</v>
      </c>
      <c r="B7547" s="2">
        <v>422163</v>
      </c>
      <c r="C7547" s="38">
        <v>44918</v>
      </c>
      <c r="D7547" s="1" t="s">
        <v>271</v>
      </c>
      <c r="E7547" s="1" t="s">
        <v>36</v>
      </c>
      <c r="F7547" s="1" t="s">
        <v>204</v>
      </c>
      <c r="G7547" s="5">
        <v>1206.18</v>
      </c>
    </row>
    <row r="7548" spans="1:7" x14ac:dyDescent="0.2">
      <c r="A7548" s="3">
        <v>70</v>
      </c>
      <c r="B7548" s="2">
        <v>84432.6</v>
      </c>
      <c r="C7548" s="38">
        <v>44918</v>
      </c>
      <c r="D7548" s="1" t="s">
        <v>271</v>
      </c>
      <c r="E7548" s="1" t="s">
        <v>36</v>
      </c>
      <c r="F7548" s="1" t="s">
        <v>204</v>
      </c>
      <c r="G7548" s="5">
        <v>1206.18</v>
      </c>
    </row>
    <row r="7549" spans="1:7" x14ac:dyDescent="0.2">
      <c r="A7549" s="3">
        <v>210</v>
      </c>
      <c r="B7549" s="2">
        <v>253297.8</v>
      </c>
      <c r="C7549" s="38">
        <v>44918</v>
      </c>
      <c r="D7549" s="1" t="s">
        <v>271</v>
      </c>
      <c r="E7549" s="1" t="s">
        <v>36</v>
      </c>
      <c r="F7549" s="1" t="s">
        <v>204</v>
      </c>
      <c r="G7549" s="5">
        <v>1206.18</v>
      </c>
    </row>
    <row r="7550" spans="1:7" x14ac:dyDescent="0.2">
      <c r="A7550" s="3">
        <v>441</v>
      </c>
      <c r="B7550" s="2">
        <v>309820.14</v>
      </c>
      <c r="C7550" s="38">
        <v>44923</v>
      </c>
      <c r="D7550" s="1" t="s">
        <v>259</v>
      </c>
      <c r="E7550" s="1" t="s">
        <v>36</v>
      </c>
      <c r="F7550" s="1" t="s">
        <v>204</v>
      </c>
      <c r="G7550" s="5">
        <v>702.54</v>
      </c>
    </row>
    <row r="7551" spans="1:7" x14ac:dyDescent="0.2">
      <c r="A7551" s="3">
        <v>147</v>
      </c>
      <c r="B7551" s="2">
        <v>103273.38</v>
      </c>
      <c r="C7551" s="38">
        <v>44958</v>
      </c>
      <c r="D7551" s="1" t="s">
        <v>259</v>
      </c>
      <c r="E7551" s="1" t="s">
        <v>36</v>
      </c>
      <c r="F7551" s="1" t="s">
        <v>204</v>
      </c>
      <c r="G7551" s="5">
        <v>702.54</v>
      </c>
    </row>
    <row r="7552" spans="1:7" x14ac:dyDescent="0.2">
      <c r="A7552" s="3">
        <v>2646</v>
      </c>
      <c r="B7552" s="2">
        <v>1858920.84</v>
      </c>
      <c r="C7552" s="38">
        <v>44958</v>
      </c>
      <c r="D7552" s="1" t="s">
        <v>259</v>
      </c>
      <c r="E7552" s="1" t="s">
        <v>36</v>
      </c>
      <c r="F7552" s="1" t="s">
        <v>204</v>
      </c>
      <c r="G7552" s="5">
        <v>702.54</v>
      </c>
    </row>
    <row r="7553" spans="1:7" x14ac:dyDescent="0.2">
      <c r="A7553" s="3">
        <v>4998</v>
      </c>
      <c r="B7553" s="2">
        <v>3511294.92</v>
      </c>
      <c r="C7553" s="38">
        <v>44958</v>
      </c>
      <c r="D7553" s="1" t="s">
        <v>259</v>
      </c>
      <c r="E7553" s="1" t="s">
        <v>36</v>
      </c>
      <c r="F7553" s="1" t="s">
        <v>204</v>
      </c>
      <c r="G7553" s="5">
        <v>702.54</v>
      </c>
    </row>
    <row r="7554" spans="1:7" x14ac:dyDescent="0.2">
      <c r="A7554" s="3">
        <v>1260</v>
      </c>
      <c r="B7554" s="2">
        <v>10143</v>
      </c>
      <c r="C7554" s="38">
        <v>44596</v>
      </c>
      <c r="D7554" s="1" t="s">
        <v>384</v>
      </c>
      <c r="E7554" s="1" t="s">
        <v>36</v>
      </c>
      <c r="F7554" s="1" t="s">
        <v>204</v>
      </c>
      <c r="G7554" s="5">
        <v>8.0500000000000007</v>
      </c>
    </row>
    <row r="7555" spans="1:7" x14ac:dyDescent="0.2">
      <c r="A7555" s="3">
        <v>3150</v>
      </c>
      <c r="B7555" s="2">
        <v>25357.5</v>
      </c>
      <c r="C7555" s="38">
        <v>44596</v>
      </c>
      <c r="D7555" s="1" t="s">
        <v>384</v>
      </c>
      <c r="E7555" s="1" t="s">
        <v>36</v>
      </c>
      <c r="F7555" s="1" t="s">
        <v>204</v>
      </c>
      <c r="G7555" s="5">
        <v>8.0500000000000007</v>
      </c>
    </row>
    <row r="7556" spans="1:7" x14ac:dyDescent="0.2">
      <c r="A7556" s="3">
        <v>616</v>
      </c>
      <c r="B7556" s="2">
        <v>322543.76</v>
      </c>
      <c r="C7556" s="38">
        <v>44967</v>
      </c>
      <c r="D7556" s="1" t="s">
        <v>246</v>
      </c>
      <c r="E7556" s="1" t="s">
        <v>36</v>
      </c>
      <c r="F7556" s="1" t="s">
        <v>204</v>
      </c>
      <c r="G7556" s="5">
        <v>523.61</v>
      </c>
    </row>
    <row r="7557" spans="1:7" x14ac:dyDescent="0.2">
      <c r="A7557" s="3">
        <v>882</v>
      </c>
      <c r="B7557" s="2">
        <v>656816.57999999996</v>
      </c>
      <c r="C7557" s="38">
        <v>45152</v>
      </c>
      <c r="D7557" s="1" t="s">
        <v>259</v>
      </c>
      <c r="E7557" s="1" t="s">
        <v>36</v>
      </c>
      <c r="F7557" s="1" t="s">
        <v>204</v>
      </c>
      <c r="G7557" s="5">
        <v>744.69</v>
      </c>
    </row>
    <row r="7558" spans="1:7" x14ac:dyDescent="0.2">
      <c r="A7558" s="3">
        <v>882</v>
      </c>
      <c r="B7558" s="2">
        <v>656816.57999999996</v>
      </c>
      <c r="C7558" s="38">
        <v>45152</v>
      </c>
      <c r="D7558" s="1" t="s">
        <v>259</v>
      </c>
      <c r="E7558" s="1" t="s">
        <v>36</v>
      </c>
      <c r="F7558" s="1" t="s">
        <v>204</v>
      </c>
      <c r="G7558" s="5">
        <v>744.69</v>
      </c>
    </row>
    <row r="7559" spans="1:7" x14ac:dyDescent="0.2">
      <c r="A7559" s="3">
        <v>882</v>
      </c>
      <c r="B7559" s="2">
        <v>656816.57999999996</v>
      </c>
      <c r="C7559" s="38">
        <v>45152</v>
      </c>
      <c r="D7559" s="1" t="s">
        <v>259</v>
      </c>
      <c r="E7559" s="1" t="s">
        <v>36</v>
      </c>
      <c r="F7559" s="1" t="s">
        <v>204</v>
      </c>
      <c r="G7559" s="5">
        <v>744.69</v>
      </c>
    </row>
    <row r="7560" spans="1:7" x14ac:dyDescent="0.2">
      <c r="A7560" s="3">
        <v>882</v>
      </c>
      <c r="B7560" s="2">
        <v>656816.57999999996</v>
      </c>
      <c r="C7560" s="38">
        <v>45152</v>
      </c>
      <c r="D7560" s="1" t="s">
        <v>259</v>
      </c>
      <c r="E7560" s="1" t="s">
        <v>36</v>
      </c>
      <c r="F7560" s="1" t="s">
        <v>204</v>
      </c>
      <c r="G7560" s="5">
        <v>744.69</v>
      </c>
    </row>
    <row r="7561" spans="1:7" x14ac:dyDescent="0.2">
      <c r="A7561" s="3">
        <v>630</v>
      </c>
      <c r="B7561" s="2">
        <v>178995.6</v>
      </c>
      <c r="C7561" s="38">
        <v>45152</v>
      </c>
      <c r="D7561" s="1" t="s">
        <v>329</v>
      </c>
      <c r="E7561" s="1" t="s">
        <v>36</v>
      </c>
      <c r="F7561" s="1" t="s">
        <v>204</v>
      </c>
      <c r="G7561" s="5">
        <v>284.12</v>
      </c>
    </row>
    <row r="7562" spans="1:7" x14ac:dyDescent="0.2">
      <c r="A7562" s="3">
        <v>630</v>
      </c>
      <c r="B7562" s="2">
        <v>178995.6</v>
      </c>
      <c r="C7562" s="38">
        <v>45152</v>
      </c>
      <c r="D7562" s="1" t="s">
        <v>329</v>
      </c>
      <c r="E7562" s="1" t="s">
        <v>36</v>
      </c>
      <c r="F7562" s="1" t="s">
        <v>204</v>
      </c>
      <c r="G7562" s="5">
        <v>284.12</v>
      </c>
    </row>
    <row r="7563" spans="1:7" x14ac:dyDescent="0.2">
      <c r="A7563" s="3">
        <v>630</v>
      </c>
      <c r="B7563" s="2">
        <v>178995.6</v>
      </c>
      <c r="C7563" s="38">
        <v>45152</v>
      </c>
      <c r="D7563" s="1" t="s">
        <v>329</v>
      </c>
      <c r="E7563" s="1" t="s">
        <v>36</v>
      </c>
      <c r="F7563" s="1" t="s">
        <v>204</v>
      </c>
      <c r="G7563" s="5">
        <v>284.12</v>
      </c>
    </row>
    <row r="7564" spans="1:7" x14ac:dyDescent="0.2">
      <c r="A7564" s="3">
        <v>630</v>
      </c>
      <c r="B7564" s="2">
        <v>178995.6</v>
      </c>
      <c r="C7564" s="38">
        <v>45152</v>
      </c>
      <c r="D7564" s="1" t="s">
        <v>329</v>
      </c>
      <c r="E7564" s="1" t="s">
        <v>36</v>
      </c>
      <c r="F7564" s="1" t="s">
        <v>204</v>
      </c>
      <c r="G7564" s="5">
        <v>284.12</v>
      </c>
    </row>
    <row r="7565" spans="1:7" x14ac:dyDescent="0.2">
      <c r="A7565" s="3">
        <v>630</v>
      </c>
      <c r="B7565" s="2">
        <v>178995.6</v>
      </c>
      <c r="C7565" s="38">
        <v>45152</v>
      </c>
      <c r="D7565" s="1" t="s">
        <v>329</v>
      </c>
      <c r="E7565" s="1" t="s">
        <v>36</v>
      </c>
      <c r="F7565" s="1" t="s">
        <v>204</v>
      </c>
      <c r="G7565" s="5">
        <v>284.12</v>
      </c>
    </row>
    <row r="7566" spans="1:7" x14ac:dyDescent="0.2">
      <c r="A7566" s="3">
        <v>613</v>
      </c>
      <c r="B7566" s="2">
        <v>146782.85</v>
      </c>
      <c r="C7566" s="38">
        <v>45152</v>
      </c>
      <c r="D7566" s="1" t="s">
        <v>330</v>
      </c>
      <c r="E7566" s="1" t="s">
        <v>36</v>
      </c>
      <c r="F7566" s="1" t="s">
        <v>204</v>
      </c>
      <c r="G7566" s="5">
        <v>239.45</v>
      </c>
    </row>
    <row r="7567" spans="1:7" x14ac:dyDescent="0.2">
      <c r="A7567" s="3">
        <v>42</v>
      </c>
      <c r="B7567" s="2">
        <v>10056.9</v>
      </c>
      <c r="C7567" s="38">
        <v>45152</v>
      </c>
      <c r="D7567" s="1" t="s">
        <v>330</v>
      </c>
      <c r="E7567" s="1" t="s">
        <v>36</v>
      </c>
      <c r="F7567" s="1" t="s">
        <v>204</v>
      </c>
      <c r="G7567" s="5">
        <v>239.45</v>
      </c>
    </row>
    <row r="7568" spans="1:7" x14ac:dyDescent="0.2">
      <c r="A7568" s="3">
        <v>103</v>
      </c>
      <c r="B7568" s="2">
        <v>24663.35</v>
      </c>
      <c r="C7568" s="38">
        <v>45152</v>
      </c>
      <c r="D7568" s="1" t="s">
        <v>330</v>
      </c>
      <c r="E7568" s="1" t="s">
        <v>36</v>
      </c>
      <c r="F7568" s="1" t="s">
        <v>204</v>
      </c>
      <c r="G7568" s="5">
        <v>239.45</v>
      </c>
    </row>
    <row r="7569" spans="1:7" x14ac:dyDescent="0.2">
      <c r="A7569" s="3">
        <v>42</v>
      </c>
      <c r="B7569" s="2">
        <v>10056.9</v>
      </c>
      <c r="C7569" s="38">
        <v>45152</v>
      </c>
      <c r="D7569" s="1" t="s">
        <v>330</v>
      </c>
      <c r="E7569" s="1" t="s">
        <v>36</v>
      </c>
      <c r="F7569" s="1" t="s">
        <v>204</v>
      </c>
      <c r="G7569" s="5">
        <v>239.45</v>
      </c>
    </row>
    <row r="7570" spans="1:7" x14ac:dyDescent="0.2">
      <c r="A7570" s="3">
        <v>2520</v>
      </c>
      <c r="B7570" s="2">
        <v>431751.6</v>
      </c>
      <c r="C7570" s="38">
        <v>45152</v>
      </c>
      <c r="D7570" s="1" t="s">
        <v>286</v>
      </c>
      <c r="E7570" s="1" t="s">
        <v>36</v>
      </c>
      <c r="F7570" s="1" t="s">
        <v>204</v>
      </c>
      <c r="G7570" s="5">
        <v>171.33</v>
      </c>
    </row>
    <row r="7571" spans="1:7" x14ac:dyDescent="0.2">
      <c r="A7571" s="3">
        <v>168</v>
      </c>
      <c r="B7571" s="2">
        <v>138700.79999999999</v>
      </c>
      <c r="C7571" s="38">
        <v>45155</v>
      </c>
      <c r="D7571" s="1" t="s">
        <v>291</v>
      </c>
      <c r="E7571" s="1" t="s">
        <v>36</v>
      </c>
      <c r="F7571" s="1" t="s">
        <v>204</v>
      </c>
      <c r="G7571" s="5">
        <v>825.6</v>
      </c>
    </row>
    <row r="7572" spans="1:7" x14ac:dyDescent="0.2">
      <c r="A7572" s="3">
        <v>84</v>
      </c>
      <c r="B7572" s="2">
        <v>69350.399999999994</v>
      </c>
      <c r="C7572" s="38">
        <v>45155</v>
      </c>
      <c r="D7572" s="1" t="s">
        <v>291</v>
      </c>
      <c r="E7572" s="1" t="s">
        <v>36</v>
      </c>
      <c r="F7572" s="1" t="s">
        <v>204</v>
      </c>
      <c r="G7572" s="5">
        <v>825.6</v>
      </c>
    </row>
    <row r="7573" spans="1:7" x14ac:dyDescent="0.2">
      <c r="A7573" s="3">
        <v>84</v>
      </c>
      <c r="B7573" s="2">
        <v>69350.399999999994</v>
      </c>
      <c r="C7573" s="38">
        <v>45155</v>
      </c>
      <c r="D7573" s="1" t="s">
        <v>291</v>
      </c>
      <c r="E7573" s="1" t="s">
        <v>36</v>
      </c>
      <c r="F7573" s="1" t="s">
        <v>204</v>
      </c>
      <c r="G7573" s="5">
        <v>825.6</v>
      </c>
    </row>
    <row r="7574" spans="1:7" x14ac:dyDescent="0.2">
      <c r="A7574" s="3">
        <v>1008</v>
      </c>
      <c r="B7574" s="2">
        <v>123389.28</v>
      </c>
      <c r="C7574" s="38">
        <v>45155</v>
      </c>
      <c r="D7574" s="1" t="s">
        <v>331</v>
      </c>
      <c r="E7574" s="1" t="s">
        <v>36</v>
      </c>
      <c r="F7574" s="1" t="s">
        <v>204</v>
      </c>
      <c r="G7574" s="5">
        <v>122.41</v>
      </c>
    </row>
    <row r="7575" spans="1:7" x14ac:dyDescent="0.2">
      <c r="A7575" s="3">
        <v>168</v>
      </c>
      <c r="B7575" s="2">
        <v>138700.79999999999</v>
      </c>
      <c r="C7575" s="38">
        <v>45156</v>
      </c>
      <c r="D7575" s="1" t="s">
        <v>291</v>
      </c>
      <c r="E7575" s="1" t="s">
        <v>36</v>
      </c>
      <c r="F7575" s="1" t="s">
        <v>204</v>
      </c>
      <c r="G7575" s="5">
        <v>825.6</v>
      </c>
    </row>
    <row r="7576" spans="1:7" x14ac:dyDescent="0.2">
      <c r="A7576" s="3">
        <v>84</v>
      </c>
      <c r="B7576" s="2">
        <v>69350.399999999994</v>
      </c>
      <c r="C7576" s="38">
        <v>45156</v>
      </c>
      <c r="D7576" s="1" t="s">
        <v>291</v>
      </c>
      <c r="E7576" s="1" t="s">
        <v>36</v>
      </c>
      <c r="F7576" s="1" t="s">
        <v>204</v>
      </c>
      <c r="G7576" s="5">
        <v>825.6</v>
      </c>
    </row>
    <row r="7577" spans="1:7" x14ac:dyDescent="0.2">
      <c r="A7577" s="3">
        <v>84</v>
      </c>
      <c r="B7577" s="2">
        <v>69350.399999999994</v>
      </c>
      <c r="C7577" s="38">
        <v>45156</v>
      </c>
      <c r="D7577" s="1" t="s">
        <v>291</v>
      </c>
      <c r="E7577" s="1" t="s">
        <v>36</v>
      </c>
      <c r="F7577" s="1" t="s">
        <v>204</v>
      </c>
      <c r="G7577" s="5">
        <v>825.6</v>
      </c>
    </row>
    <row r="7578" spans="1:7" x14ac:dyDescent="0.2">
      <c r="A7578" s="3">
        <v>84</v>
      </c>
      <c r="B7578" s="2">
        <v>69350.399999999994</v>
      </c>
      <c r="C7578" s="38">
        <v>45156</v>
      </c>
      <c r="D7578" s="1" t="s">
        <v>291</v>
      </c>
      <c r="E7578" s="1" t="s">
        <v>36</v>
      </c>
      <c r="F7578" s="1" t="s">
        <v>204</v>
      </c>
      <c r="G7578" s="5">
        <v>825.6</v>
      </c>
    </row>
    <row r="7579" spans="1:7" x14ac:dyDescent="0.2">
      <c r="A7579" s="3">
        <v>2520</v>
      </c>
      <c r="B7579" s="2">
        <v>431751.6</v>
      </c>
      <c r="C7579" s="38">
        <v>44958</v>
      </c>
      <c r="D7579" s="1" t="s">
        <v>286</v>
      </c>
      <c r="E7579" s="1" t="s">
        <v>36</v>
      </c>
      <c r="F7579" s="1" t="s">
        <v>204</v>
      </c>
      <c r="G7579" s="5">
        <v>171.33</v>
      </c>
    </row>
    <row r="7580" spans="1:7" x14ac:dyDescent="0.2">
      <c r="A7580" s="3">
        <v>210</v>
      </c>
      <c r="B7580" s="2">
        <v>253297.8</v>
      </c>
      <c r="C7580" s="38">
        <v>44971</v>
      </c>
      <c r="D7580" s="1" t="s">
        <v>271</v>
      </c>
      <c r="E7580" s="1" t="s">
        <v>36</v>
      </c>
      <c r="F7580" s="1" t="s">
        <v>204</v>
      </c>
      <c r="G7580" s="5">
        <v>1206.18</v>
      </c>
    </row>
    <row r="7581" spans="1:7" x14ac:dyDescent="0.2">
      <c r="A7581" s="3">
        <v>350</v>
      </c>
      <c r="B7581" s="2">
        <v>422163</v>
      </c>
      <c r="C7581" s="38">
        <v>44971</v>
      </c>
      <c r="D7581" s="1" t="s">
        <v>271</v>
      </c>
      <c r="E7581" s="1" t="s">
        <v>36</v>
      </c>
      <c r="F7581" s="1" t="s">
        <v>204</v>
      </c>
      <c r="G7581" s="5">
        <v>1206.18</v>
      </c>
    </row>
    <row r="7582" spans="1:7" x14ac:dyDescent="0.2">
      <c r="A7582" s="3">
        <v>140</v>
      </c>
      <c r="B7582" s="2">
        <v>168865.2</v>
      </c>
      <c r="C7582" s="38">
        <v>44971</v>
      </c>
      <c r="D7582" s="1" t="s">
        <v>271</v>
      </c>
      <c r="E7582" s="1" t="s">
        <v>36</v>
      </c>
      <c r="F7582" s="1" t="s">
        <v>204</v>
      </c>
      <c r="G7582" s="5">
        <v>1206.18</v>
      </c>
    </row>
    <row r="7583" spans="1:7" x14ac:dyDescent="0.2">
      <c r="A7583" s="3">
        <v>350</v>
      </c>
      <c r="B7583" s="2">
        <v>422163</v>
      </c>
      <c r="C7583" s="38">
        <v>44971</v>
      </c>
      <c r="D7583" s="1" t="s">
        <v>271</v>
      </c>
      <c r="E7583" s="1" t="s">
        <v>36</v>
      </c>
      <c r="F7583" s="1" t="s">
        <v>204</v>
      </c>
      <c r="G7583" s="5">
        <v>1206.18</v>
      </c>
    </row>
    <row r="7584" spans="1:7" x14ac:dyDescent="0.2">
      <c r="A7584" s="3">
        <v>147</v>
      </c>
      <c r="B7584" s="2">
        <v>103273.38</v>
      </c>
      <c r="C7584" s="38">
        <v>44979</v>
      </c>
      <c r="D7584" s="1" t="s">
        <v>259</v>
      </c>
      <c r="E7584" s="1" t="s">
        <v>36</v>
      </c>
      <c r="F7584" s="1" t="s">
        <v>204</v>
      </c>
      <c r="G7584" s="5">
        <v>702.54</v>
      </c>
    </row>
    <row r="7585" spans="1:7" x14ac:dyDescent="0.2">
      <c r="A7585" s="3">
        <v>42</v>
      </c>
      <c r="B7585" s="2">
        <v>10056.9</v>
      </c>
      <c r="C7585" s="38">
        <v>44980</v>
      </c>
      <c r="D7585" s="1" t="s">
        <v>330</v>
      </c>
      <c r="E7585" s="1" t="s">
        <v>36</v>
      </c>
      <c r="F7585" s="1" t="s">
        <v>204</v>
      </c>
      <c r="G7585" s="5">
        <v>239.45</v>
      </c>
    </row>
    <row r="7586" spans="1:7" x14ac:dyDescent="0.2">
      <c r="A7586" s="3">
        <v>0</v>
      </c>
      <c r="B7586" s="2">
        <v>-18258.240000000002</v>
      </c>
      <c r="C7586" s="38">
        <v>44981</v>
      </c>
      <c r="D7586" s="1" t="s">
        <v>246</v>
      </c>
      <c r="E7586" s="1" t="s">
        <v>36</v>
      </c>
      <c r="F7586" s="1" t="s">
        <v>204</v>
      </c>
      <c r="G7586" s="5">
        <v>0</v>
      </c>
    </row>
    <row r="7587" spans="1:7" x14ac:dyDescent="0.2">
      <c r="A7587" s="3">
        <v>108</v>
      </c>
      <c r="B7587" s="2">
        <v>3310.2</v>
      </c>
      <c r="C7587" s="38">
        <v>44981</v>
      </c>
      <c r="D7587" s="1" t="s">
        <v>385</v>
      </c>
      <c r="E7587" s="1" t="s">
        <v>36</v>
      </c>
      <c r="F7587" s="1" t="s">
        <v>204</v>
      </c>
      <c r="G7587" s="5">
        <v>30.65</v>
      </c>
    </row>
    <row r="7588" spans="1:7" x14ac:dyDescent="0.2">
      <c r="A7588" s="3">
        <v>147</v>
      </c>
      <c r="B7588" s="2">
        <v>103273.38</v>
      </c>
      <c r="C7588" s="38">
        <v>44993</v>
      </c>
      <c r="D7588" s="1" t="s">
        <v>259</v>
      </c>
      <c r="E7588" s="1" t="s">
        <v>36</v>
      </c>
      <c r="F7588" s="1" t="s">
        <v>204</v>
      </c>
      <c r="G7588" s="5">
        <v>702.54</v>
      </c>
    </row>
    <row r="7589" spans="1:7" x14ac:dyDescent="0.2">
      <c r="A7589" s="3">
        <v>882</v>
      </c>
      <c r="B7589" s="2">
        <v>619640.28</v>
      </c>
      <c r="C7589" s="38">
        <v>44993</v>
      </c>
      <c r="D7589" s="1" t="s">
        <v>259</v>
      </c>
      <c r="E7589" s="1" t="s">
        <v>36</v>
      </c>
      <c r="F7589" s="1" t="s">
        <v>204</v>
      </c>
      <c r="G7589" s="5">
        <v>702.54</v>
      </c>
    </row>
    <row r="7590" spans="1:7" x14ac:dyDescent="0.2">
      <c r="A7590" s="3">
        <v>882</v>
      </c>
      <c r="B7590" s="2">
        <v>619640.28</v>
      </c>
      <c r="C7590" s="38">
        <v>44994</v>
      </c>
      <c r="D7590" s="1" t="s">
        <v>259</v>
      </c>
      <c r="E7590" s="1" t="s">
        <v>36</v>
      </c>
      <c r="F7590" s="1" t="s">
        <v>204</v>
      </c>
      <c r="G7590" s="5">
        <v>702.54</v>
      </c>
    </row>
    <row r="7591" spans="1:7" x14ac:dyDescent="0.2">
      <c r="A7591" s="3">
        <v>1232</v>
      </c>
      <c r="B7591" s="2">
        <v>608571.04</v>
      </c>
      <c r="C7591" s="38">
        <v>44995</v>
      </c>
      <c r="D7591" s="1" t="s">
        <v>246</v>
      </c>
      <c r="E7591" s="1" t="s">
        <v>36</v>
      </c>
      <c r="F7591" s="1" t="s">
        <v>204</v>
      </c>
      <c r="G7591" s="5">
        <v>493.97</v>
      </c>
    </row>
    <row r="7592" spans="1:7" x14ac:dyDescent="0.2">
      <c r="A7592" s="3">
        <v>616</v>
      </c>
      <c r="B7592" s="2">
        <v>322543.76</v>
      </c>
      <c r="C7592" s="38">
        <v>44995</v>
      </c>
      <c r="D7592" s="1" t="s">
        <v>246</v>
      </c>
      <c r="E7592" s="1" t="s">
        <v>36</v>
      </c>
      <c r="F7592" s="1" t="s">
        <v>204</v>
      </c>
      <c r="G7592" s="5">
        <v>523.61</v>
      </c>
    </row>
    <row r="7593" spans="1:7" x14ac:dyDescent="0.2">
      <c r="A7593" s="3">
        <v>616</v>
      </c>
      <c r="B7593" s="2">
        <v>322543.76</v>
      </c>
      <c r="C7593" s="38">
        <v>44998</v>
      </c>
      <c r="D7593" s="1" t="s">
        <v>246</v>
      </c>
      <c r="E7593" s="1" t="s">
        <v>36</v>
      </c>
      <c r="F7593" s="1" t="s">
        <v>204</v>
      </c>
      <c r="G7593" s="5">
        <v>523.61</v>
      </c>
    </row>
    <row r="7594" spans="1:7" x14ac:dyDescent="0.2">
      <c r="A7594" s="3">
        <v>0</v>
      </c>
      <c r="B7594" s="2">
        <v>18258.240000000002</v>
      </c>
      <c r="C7594" s="38">
        <v>45000</v>
      </c>
      <c r="D7594" s="1" t="s">
        <v>246</v>
      </c>
      <c r="E7594" s="1" t="s">
        <v>36</v>
      </c>
      <c r="F7594" s="1" t="s">
        <v>204</v>
      </c>
      <c r="G7594" s="5">
        <v>0</v>
      </c>
    </row>
    <row r="7595" spans="1:7" x14ac:dyDescent="0.2">
      <c r="A7595" s="3">
        <v>1232</v>
      </c>
      <c r="B7595" s="2">
        <v>608571.04</v>
      </c>
      <c r="C7595" s="38">
        <v>45012</v>
      </c>
      <c r="D7595" s="1" t="s">
        <v>246</v>
      </c>
      <c r="E7595" s="1" t="s">
        <v>36</v>
      </c>
      <c r="F7595" s="1" t="s">
        <v>204</v>
      </c>
      <c r="G7595" s="5">
        <v>493.97</v>
      </c>
    </row>
    <row r="7596" spans="1:7" x14ac:dyDescent="0.2">
      <c r="A7596" s="3">
        <v>44</v>
      </c>
      <c r="B7596" s="2">
        <v>183963.12</v>
      </c>
      <c r="C7596" s="38">
        <v>45013</v>
      </c>
      <c r="D7596" s="1" t="s">
        <v>289</v>
      </c>
      <c r="E7596" s="1" t="s">
        <v>36</v>
      </c>
      <c r="F7596" s="1" t="s">
        <v>204</v>
      </c>
      <c r="G7596" s="5">
        <v>4180.9799999999996</v>
      </c>
    </row>
    <row r="7597" spans="1:7" x14ac:dyDescent="0.2">
      <c r="A7597" s="3">
        <v>7</v>
      </c>
      <c r="B7597" s="2">
        <v>29266.86</v>
      </c>
      <c r="C7597" s="38">
        <v>45013</v>
      </c>
      <c r="D7597" s="1" t="s">
        <v>289</v>
      </c>
      <c r="E7597" s="1" t="s">
        <v>36</v>
      </c>
      <c r="F7597" s="1" t="s">
        <v>204</v>
      </c>
      <c r="G7597" s="5">
        <v>4180.9799999999996</v>
      </c>
    </row>
    <row r="7598" spans="1:7" x14ac:dyDescent="0.2">
      <c r="A7598" s="3">
        <v>9</v>
      </c>
      <c r="B7598" s="2">
        <v>37628.82</v>
      </c>
      <c r="C7598" s="38">
        <v>45013</v>
      </c>
      <c r="D7598" s="1" t="s">
        <v>289</v>
      </c>
      <c r="E7598" s="1" t="s">
        <v>36</v>
      </c>
      <c r="F7598" s="1" t="s">
        <v>204</v>
      </c>
      <c r="G7598" s="5">
        <v>4180.9799999999996</v>
      </c>
    </row>
    <row r="7599" spans="1:7" x14ac:dyDescent="0.2">
      <c r="A7599" s="3">
        <v>588</v>
      </c>
      <c r="B7599" s="2">
        <v>413093.52</v>
      </c>
      <c r="C7599" s="38">
        <v>45014</v>
      </c>
      <c r="D7599" s="1" t="s">
        <v>259</v>
      </c>
      <c r="E7599" s="1" t="s">
        <v>36</v>
      </c>
      <c r="F7599" s="1" t="s">
        <v>204</v>
      </c>
      <c r="G7599" s="5">
        <v>702.54</v>
      </c>
    </row>
    <row r="7600" spans="1:7" x14ac:dyDescent="0.2">
      <c r="A7600" s="3">
        <v>84</v>
      </c>
      <c r="B7600" s="2">
        <v>69350.399999999994</v>
      </c>
      <c r="C7600" s="38">
        <v>45016</v>
      </c>
      <c r="D7600" s="1" t="s">
        <v>291</v>
      </c>
      <c r="E7600" s="1" t="s">
        <v>36</v>
      </c>
      <c r="F7600" s="1" t="s">
        <v>204</v>
      </c>
      <c r="G7600" s="5">
        <v>825.6</v>
      </c>
    </row>
    <row r="7601" spans="1:7" x14ac:dyDescent="0.2">
      <c r="A7601" s="3">
        <v>84</v>
      </c>
      <c r="B7601" s="2">
        <v>69350.399999999994</v>
      </c>
      <c r="C7601" s="38">
        <v>45016</v>
      </c>
      <c r="D7601" s="1" t="s">
        <v>291</v>
      </c>
      <c r="E7601" s="1" t="s">
        <v>36</v>
      </c>
      <c r="F7601" s="1" t="s">
        <v>204</v>
      </c>
      <c r="G7601" s="5">
        <v>825.6</v>
      </c>
    </row>
    <row r="7602" spans="1:7" x14ac:dyDescent="0.2">
      <c r="A7602" s="3">
        <v>147</v>
      </c>
      <c r="B7602" s="2">
        <v>103273.38</v>
      </c>
      <c r="C7602" s="38">
        <v>45020</v>
      </c>
      <c r="D7602" s="1" t="s">
        <v>259</v>
      </c>
      <c r="E7602" s="1" t="s">
        <v>36</v>
      </c>
      <c r="F7602" s="1" t="s">
        <v>204</v>
      </c>
      <c r="G7602" s="5">
        <v>702.54</v>
      </c>
    </row>
    <row r="7603" spans="1:7" x14ac:dyDescent="0.2">
      <c r="A7603" s="3">
        <v>441</v>
      </c>
      <c r="B7603" s="2">
        <v>309820.14</v>
      </c>
      <c r="C7603" s="38">
        <v>45022</v>
      </c>
      <c r="D7603" s="1" t="s">
        <v>259</v>
      </c>
      <c r="E7603" s="1" t="s">
        <v>36</v>
      </c>
      <c r="F7603" s="1" t="s">
        <v>204</v>
      </c>
      <c r="G7603" s="5">
        <v>702.54</v>
      </c>
    </row>
    <row r="7604" spans="1:7" x14ac:dyDescent="0.2">
      <c r="A7604" s="3">
        <v>924</v>
      </c>
      <c r="B7604" s="2">
        <v>483815.64</v>
      </c>
      <c r="C7604" s="38">
        <v>45030</v>
      </c>
      <c r="D7604" s="1" t="s">
        <v>246</v>
      </c>
      <c r="E7604" s="1" t="s">
        <v>36</v>
      </c>
      <c r="F7604" s="1" t="s">
        <v>204</v>
      </c>
      <c r="G7604" s="5">
        <v>523.61</v>
      </c>
    </row>
    <row r="7605" spans="1:7" x14ac:dyDescent="0.2">
      <c r="A7605" s="3">
        <v>735</v>
      </c>
      <c r="B7605" s="2">
        <v>516366.9</v>
      </c>
      <c r="C7605" s="38">
        <v>45030</v>
      </c>
      <c r="D7605" s="1" t="s">
        <v>259</v>
      </c>
      <c r="E7605" s="1" t="s">
        <v>36</v>
      </c>
      <c r="F7605" s="1" t="s">
        <v>204</v>
      </c>
      <c r="G7605" s="5">
        <v>702.54</v>
      </c>
    </row>
    <row r="7606" spans="1:7" x14ac:dyDescent="0.2">
      <c r="A7606" s="3">
        <v>1848</v>
      </c>
      <c r="B7606" s="2">
        <v>967631.28</v>
      </c>
      <c r="C7606" s="38">
        <v>45042</v>
      </c>
      <c r="D7606" s="1" t="s">
        <v>246</v>
      </c>
      <c r="E7606" s="1" t="s">
        <v>36</v>
      </c>
      <c r="F7606" s="1" t="s">
        <v>204</v>
      </c>
      <c r="G7606" s="5">
        <v>523.61</v>
      </c>
    </row>
    <row r="7607" spans="1:7" x14ac:dyDescent="0.2">
      <c r="A7607" s="3">
        <v>630</v>
      </c>
      <c r="B7607" s="2">
        <v>178995.6</v>
      </c>
      <c r="C7607" s="38">
        <v>45043</v>
      </c>
      <c r="D7607" s="1" t="s">
        <v>329</v>
      </c>
      <c r="E7607" s="1" t="s">
        <v>36</v>
      </c>
      <c r="F7607" s="1" t="s">
        <v>204</v>
      </c>
      <c r="G7607" s="5">
        <v>284.12</v>
      </c>
    </row>
    <row r="7608" spans="1:7" x14ac:dyDescent="0.2">
      <c r="A7608" s="3">
        <v>630</v>
      </c>
      <c r="B7608" s="2">
        <v>178995.6</v>
      </c>
      <c r="C7608" s="38">
        <v>45043</v>
      </c>
      <c r="D7608" s="1" t="s">
        <v>329</v>
      </c>
      <c r="E7608" s="1" t="s">
        <v>36</v>
      </c>
      <c r="F7608" s="1" t="s">
        <v>204</v>
      </c>
      <c r="G7608" s="5">
        <v>284.12</v>
      </c>
    </row>
    <row r="7609" spans="1:7" x14ac:dyDescent="0.2">
      <c r="A7609" s="3">
        <v>54</v>
      </c>
      <c r="B7609" s="2">
        <v>12930.3</v>
      </c>
      <c r="C7609" s="38">
        <v>45043</v>
      </c>
      <c r="D7609" s="1" t="s">
        <v>330</v>
      </c>
      <c r="E7609" s="1" t="s">
        <v>36</v>
      </c>
      <c r="F7609" s="1" t="s">
        <v>204</v>
      </c>
      <c r="G7609" s="5">
        <v>239.45</v>
      </c>
    </row>
    <row r="7610" spans="1:7" x14ac:dyDescent="0.2">
      <c r="A7610" s="3">
        <v>308</v>
      </c>
      <c r="B7610" s="2">
        <v>161271.88</v>
      </c>
      <c r="C7610" s="38">
        <v>45044</v>
      </c>
      <c r="D7610" s="1" t="s">
        <v>246</v>
      </c>
      <c r="E7610" s="1" t="s">
        <v>36</v>
      </c>
      <c r="F7610" s="1" t="s">
        <v>204</v>
      </c>
      <c r="G7610" s="5">
        <v>523.61</v>
      </c>
    </row>
    <row r="7611" spans="1:7" x14ac:dyDescent="0.2">
      <c r="A7611" s="3">
        <v>616</v>
      </c>
      <c r="B7611" s="2">
        <v>322543.76</v>
      </c>
      <c r="C7611" s="38">
        <v>45044</v>
      </c>
      <c r="D7611" s="1" t="s">
        <v>246</v>
      </c>
      <c r="E7611" s="1" t="s">
        <v>36</v>
      </c>
      <c r="F7611" s="1" t="s">
        <v>204</v>
      </c>
      <c r="G7611" s="5">
        <v>523.61</v>
      </c>
    </row>
    <row r="7612" spans="1:7" x14ac:dyDescent="0.2">
      <c r="A7612" s="3">
        <v>108</v>
      </c>
      <c r="B7612" s="2">
        <v>3310.2</v>
      </c>
      <c r="C7612" s="38">
        <v>45044</v>
      </c>
      <c r="D7612" s="1" t="s">
        <v>385</v>
      </c>
      <c r="E7612" s="1" t="s">
        <v>36</v>
      </c>
      <c r="F7612" s="1" t="s">
        <v>204</v>
      </c>
      <c r="G7612" s="5">
        <v>30.65</v>
      </c>
    </row>
    <row r="7613" spans="1:7" x14ac:dyDescent="0.2">
      <c r="A7613" s="3">
        <v>735</v>
      </c>
      <c r="B7613" s="2">
        <v>547347.15</v>
      </c>
      <c r="C7613" s="38">
        <v>45049</v>
      </c>
      <c r="D7613" s="1" t="s">
        <v>259</v>
      </c>
      <c r="E7613" s="1" t="s">
        <v>36</v>
      </c>
      <c r="F7613" s="1" t="s">
        <v>204</v>
      </c>
      <c r="G7613" s="5">
        <v>744.69</v>
      </c>
    </row>
    <row r="7614" spans="1:7" x14ac:dyDescent="0.2">
      <c r="A7614" s="3">
        <v>735</v>
      </c>
      <c r="B7614" s="2">
        <v>516366.9</v>
      </c>
      <c r="C7614" s="38">
        <v>45049</v>
      </c>
      <c r="D7614" s="1" t="s">
        <v>259</v>
      </c>
      <c r="E7614" s="1" t="s">
        <v>36</v>
      </c>
      <c r="F7614" s="1" t="s">
        <v>204</v>
      </c>
      <c r="G7614" s="5">
        <v>702.54</v>
      </c>
    </row>
    <row r="7615" spans="1:7" x14ac:dyDescent="0.2">
      <c r="A7615" s="3">
        <v>1176</v>
      </c>
      <c r="B7615" s="2">
        <v>875755.44</v>
      </c>
      <c r="C7615" s="38">
        <v>45049</v>
      </c>
      <c r="D7615" s="1" t="s">
        <v>259</v>
      </c>
      <c r="E7615" s="1" t="s">
        <v>36</v>
      </c>
      <c r="F7615" s="1" t="s">
        <v>204</v>
      </c>
      <c r="G7615" s="5">
        <v>744.69</v>
      </c>
    </row>
    <row r="7616" spans="1:7" x14ac:dyDescent="0.2">
      <c r="A7616" s="3">
        <v>630</v>
      </c>
      <c r="B7616" s="2">
        <v>178995.6</v>
      </c>
      <c r="C7616" s="38">
        <v>45055</v>
      </c>
      <c r="D7616" s="1" t="s">
        <v>329</v>
      </c>
      <c r="E7616" s="1" t="s">
        <v>36</v>
      </c>
      <c r="F7616" s="1" t="s">
        <v>204</v>
      </c>
      <c r="G7616" s="5">
        <v>284.12</v>
      </c>
    </row>
    <row r="7617" spans="1:7" x14ac:dyDescent="0.2">
      <c r="A7617" s="3">
        <v>630</v>
      </c>
      <c r="B7617" s="2">
        <v>178995.6</v>
      </c>
      <c r="C7617" s="38">
        <v>45055</v>
      </c>
      <c r="D7617" s="1" t="s">
        <v>329</v>
      </c>
      <c r="E7617" s="1" t="s">
        <v>36</v>
      </c>
      <c r="F7617" s="1" t="s">
        <v>204</v>
      </c>
      <c r="G7617" s="5">
        <v>284.12</v>
      </c>
    </row>
    <row r="7618" spans="1:7" x14ac:dyDescent="0.2">
      <c r="A7618" s="3">
        <v>25</v>
      </c>
      <c r="B7618" s="2">
        <v>89592.5</v>
      </c>
      <c r="C7618" s="38">
        <v>45055</v>
      </c>
      <c r="D7618" s="1" t="s">
        <v>288</v>
      </c>
      <c r="E7618" s="1" t="s">
        <v>36</v>
      </c>
      <c r="F7618" s="1" t="s">
        <v>204</v>
      </c>
      <c r="G7618" s="5">
        <v>3583.7</v>
      </c>
    </row>
    <row r="7619" spans="1:7" x14ac:dyDescent="0.2">
      <c r="A7619" s="3">
        <v>7</v>
      </c>
      <c r="B7619" s="2">
        <v>25085.9</v>
      </c>
      <c r="C7619" s="38">
        <v>45055</v>
      </c>
      <c r="D7619" s="1" t="s">
        <v>288</v>
      </c>
      <c r="E7619" s="1" t="s">
        <v>36</v>
      </c>
      <c r="F7619" s="1" t="s">
        <v>204</v>
      </c>
      <c r="G7619" s="5">
        <v>3583.7</v>
      </c>
    </row>
    <row r="7620" spans="1:7" x14ac:dyDescent="0.2">
      <c r="A7620" s="3">
        <v>616</v>
      </c>
      <c r="B7620" s="2">
        <v>322543.76</v>
      </c>
      <c r="C7620" s="38">
        <v>45065</v>
      </c>
      <c r="D7620" s="1" t="s">
        <v>246</v>
      </c>
      <c r="E7620" s="1" t="s">
        <v>36</v>
      </c>
      <c r="F7620" s="1" t="s">
        <v>204</v>
      </c>
      <c r="G7620" s="5">
        <v>523.61</v>
      </c>
    </row>
    <row r="7621" spans="1:7" x14ac:dyDescent="0.2">
      <c r="A7621" s="3">
        <v>616</v>
      </c>
      <c r="B7621" s="2">
        <v>322543.76</v>
      </c>
      <c r="C7621" s="38">
        <v>45068</v>
      </c>
      <c r="D7621" s="1" t="s">
        <v>246</v>
      </c>
      <c r="E7621" s="1" t="s">
        <v>36</v>
      </c>
      <c r="F7621" s="1" t="s">
        <v>204</v>
      </c>
      <c r="G7621" s="5">
        <v>523.61</v>
      </c>
    </row>
    <row r="7622" spans="1:7" x14ac:dyDescent="0.2">
      <c r="A7622" s="3">
        <v>6</v>
      </c>
      <c r="B7622" s="2">
        <v>25085.88</v>
      </c>
      <c r="C7622" s="38">
        <v>45082</v>
      </c>
      <c r="D7622" s="1" t="s">
        <v>289</v>
      </c>
      <c r="E7622" s="1" t="s">
        <v>36</v>
      </c>
      <c r="F7622" s="1" t="s">
        <v>204</v>
      </c>
      <c r="G7622" s="5">
        <v>4180.9799999999996</v>
      </c>
    </row>
    <row r="7623" spans="1:7" x14ac:dyDescent="0.2">
      <c r="A7623" s="3">
        <v>35</v>
      </c>
      <c r="B7623" s="2">
        <v>146334.29999999999</v>
      </c>
      <c r="C7623" s="38">
        <v>45082</v>
      </c>
      <c r="D7623" s="1" t="s">
        <v>289</v>
      </c>
      <c r="E7623" s="1" t="s">
        <v>36</v>
      </c>
      <c r="F7623" s="1" t="s">
        <v>204</v>
      </c>
      <c r="G7623" s="5">
        <v>4180.9799999999996</v>
      </c>
    </row>
    <row r="7624" spans="1:7" x14ac:dyDescent="0.2">
      <c r="A7624" s="3">
        <v>7</v>
      </c>
      <c r="B7624" s="2">
        <v>29266.86</v>
      </c>
      <c r="C7624" s="38">
        <v>45082</v>
      </c>
      <c r="D7624" s="1" t="s">
        <v>289</v>
      </c>
      <c r="E7624" s="1" t="s">
        <v>36</v>
      </c>
      <c r="F7624" s="1" t="s">
        <v>204</v>
      </c>
      <c r="G7624" s="5">
        <v>4180.9799999999996</v>
      </c>
    </row>
    <row r="7625" spans="1:7" x14ac:dyDescent="0.2">
      <c r="A7625" s="3">
        <v>924</v>
      </c>
      <c r="B7625" s="2">
        <v>483815.64</v>
      </c>
      <c r="C7625" s="38">
        <v>45083</v>
      </c>
      <c r="D7625" s="1" t="s">
        <v>246</v>
      </c>
      <c r="E7625" s="1" t="s">
        <v>36</v>
      </c>
      <c r="F7625" s="1" t="s">
        <v>204</v>
      </c>
      <c r="G7625" s="5">
        <v>523.61</v>
      </c>
    </row>
    <row r="7626" spans="1:7" x14ac:dyDescent="0.2">
      <c r="A7626" s="3">
        <v>924</v>
      </c>
      <c r="B7626" s="2">
        <v>483815.64</v>
      </c>
      <c r="C7626" s="38">
        <v>45083</v>
      </c>
      <c r="D7626" s="1" t="s">
        <v>246</v>
      </c>
      <c r="E7626" s="1" t="s">
        <v>36</v>
      </c>
      <c r="F7626" s="1" t="s">
        <v>204</v>
      </c>
      <c r="G7626" s="5">
        <v>523.61</v>
      </c>
    </row>
    <row r="7627" spans="1:7" x14ac:dyDescent="0.2">
      <c r="A7627" s="3">
        <v>31</v>
      </c>
      <c r="B7627" s="2">
        <v>111094.7</v>
      </c>
      <c r="C7627" s="38">
        <v>45097</v>
      </c>
      <c r="D7627" s="1" t="s">
        <v>288</v>
      </c>
      <c r="E7627" s="1" t="s">
        <v>36</v>
      </c>
      <c r="F7627" s="1" t="s">
        <v>204</v>
      </c>
      <c r="G7627" s="5">
        <v>3583.7</v>
      </c>
    </row>
    <row r="7628" spans="1:7" x14ac:dyDescent="0.2">
      <c r="A7628" s="3">
        <v>294</v>
      </c>
      <c r="B7628" s="2">
        <v>218938.86</v>
      </c>
      <c r="C7628" s="38">
        <v>45106</v>
      </c>
      <c r="D7628" s="1" t="s">
        <v>259</v>
      </c>
      <c r="E7628" s="1" t="s">
        <v>36</v>
      </c>
      <c r="F7628" s="1" t="s">
        <v>204</v>
      </c>
      <c r="G7628" s="5">
        <v>744.69</v>
      </c>
    </row>
    <row r="7629" spans="1:7" x14ac:dyDescent="0.2">
      <c r="A7629" s="3">
        <v>882</v>
      </c>
      <c r="B7629" s="2">
        <v>656816.57999999996</v>
      </c>
      <c r="C7629" s="38">
        <v>45106</v>
      </c>
      <c r="D7629" s="1" t="s">
        <v>259</v>
      </c>
      <c r="E7629" s="1" t="s">
        <v>36</v>
      </c>
      <c r="F7629" s="1" t="s">
        <v>204</v>
      </c>
      <c r="G7629" s="5">
        <v>744.69</v>
      </c>
    </row>
    <row r="7630" spans="1:7" x14ac:dyDescent="0.2">
      <c r="A7630" s="3">
        <v>280</v>
      </c>
      <c r="B7630" s="2">
        <v>357994</v>
      </c>
      <c r="C7630" s="38">
        <v>45107</v>
      </c>
      <c r="D7630" s="1" t="s">
        <v>271</v>
      </c>
      <c r="E7630" s="1" t="s">
        <v>36</v>
      </c>
      <c r="F7630" s="1" t="s">
        <v>204</v>
      </c>
      <c r="G7630" s="5">
        <v>1278.55</v>
      </c>
    </row>
    <row r="7631" spans="1:7" x14ac:dyDescent="0.2">
      <c r="A7631" s="3">
        <v>350</v>
      </c>
      <c r="B7631" s="2">
        <v>447492.5</v>
      </c>
      <c r="C7631" s="38">
        <v>45107</v>
      </c>
      <c r="D7631" s="1" t="s">
        <v>271</v>
      </c>
      <c r="E7631" s="1" t="s">
        <v>36</v>
      </c>
      <c r="F7631" s="1" t="s">
        <v>204</v>
      </c>
      <c r="G7631" s="5">
        <v>1278.55</v>
      </c>
    </row>
    <row r="7632" spans="1:7" x14ac:dyDescent="0.2">
      <c r="A7632" s="3">
        <v>1470</v>
      </c>
      <c r="B7632" s="2">
        <v>1094694.3</v>
      </c>
      <c r="C7632" s="38">
        <v>45107</v>
      </c>
      <c r="D7632" s="1" t="s">
        <v>259</v>
      </c>
      <c r="E7632" s="1" t="s">
        <v>36</v>
      </c>
      <c r="F7632" s="1" t="s">
        <v>204</v>
      </c>
      <c r="G7632" s="5">
        <v>744.69</v>
      </c>
    </row>
    <row r="7633" spans="1:7" x14ac:dyDescent="0.2">
      <c r="A7633" s="3">
        <v>882</v>
      </c>
      <c r="B7633" s="2">
        <v>656816.57999999996</v>
      </c>
      <c r="C7633" s="38">
        <v>45107</v>
      </c>
      <c r="D7633" s="1" t="s">
        <v>259</v>
      </c>
      <c r="E7633" s="1" t="s">
        <v>36</v>
      </c>
      <c r="F7633" s="1" t="s">
        <v>204</v>
      </c>
      <c r="G7633" s="5">
        <v>744.69</v>
      </c>
    </row>
    <row r="7634" spans="1:7" x14ac:dyDescent="0.2">
      <c r="A7634" s="3">
        <v>882</v>
      </c>
      <c r="B7634" s="2">
        <v>656816.57999999996</v>
      </c>
      <c r="C7634" s="38">
        <v>45107</v>
      </c>
      <c r="D7634" s="1" t="s">
        <v>259</v>
      </c>
      <c r="E7634" s="1" t="s">
        <v>36</v>
      </c>
      <c r="F7634" s="1" t="s">
        <v>204</v>
      </c>
      <c r="G7634" s="5">
        <v>744.69</v>
      </c>
    </row>
    <row r="7635" spans="1:7" x14ac:dyDescent="0.2">
      <c r="A7635" s="3">
        <v>882</v>
      </c>
      <c r="B7635" s="2">
        <v>656816.57999999996</v>
      </c>
      <c r="C7635" s="38">
        <v>45107</v>
      </c>
      <c r="D7635" s="1" t="s">
        <v>259</v>
      </c>
      <c r="E7635" s="1" t="s">
        <v>36</v>
      </c>
      <c r="F7635" s="1" t="s">
        <v>204</v>
      </c>
      <c r="G7635" s="5">
        <v>744.69</v>
      </c>
    </row>
    <row r="7636" spans="1:7" x14ac:dyDescent="0.2">
      <c r="A7636" s="3">
        <v>882</v>
      </c>
      <c r="B7636" s="2">
        <v>656816.57999999996</v>
      </c>
      <c r="C7636" s="38">
        <v>45107</v>
      </c>
      <c r="D7636" s="1" t="s">
        <v>259</v>
      </c>
      <c r="E7636" s="1" t="s">
        <v>36</v>
      </c>
      <c r="F7636" s="1" t="s">
        <v>204</v>
      </c>
      <c r="G7636" s="5">
        <v>744.69</v>
      </c>
    </row>
    <row r="7637" spans="1:7" x14ac:dyDescent="0.2">
      <c r="A7637" s="3">
        <v>735</v>
      </c>
      <c r="B7637" s="2">
        <v>547347.15</v>
      </c>
      <c r="C7637" s="38">
        <v>45110</v>
      </c>
      <c r="D7637" s="1" t="s">
        <v>259</v>
      </c>
      <c r="E7637" s="1" t="s">
        <v>36</v>
      </c>
      <c r="F7637" s="1" t="s">
        <v>204</v>
      </c>
      <c r="G7637" s="5">
        <v>744.69</v>
      </c>
    </row>
    <row r="7638" spans="1:7" x14ac:dyDescent="0.2">
      <c r="A7638" s="3">
        <v>735</v>
      </c>
      <c r="B7638" s="2">
        <v>547347.15</v>
      </c>
      <c r="C7638" s="38">
        <v>45111</v>
      </c>
      <c r="D7638" s="1" t="s">
        <v>259</v>
      </c>
      <c r="E7638" s="1" t="s">
        <v>36</v>
      </c>
      <c r="F7638" s="1" t="s">
        <v>204</v>
      </c>
      <c r="G7638" s="5">
        <v>744.69</v>
      </c>
    </row>
    <row r="7639" spans="1:7" x14ac:dyDescent="0.2">
      <c r="A7639" s="3">
        <v>882</v>
      </c>
      <c r="B7639" s="2">
        <v>656816.57999999996</v>
      </c>
      <c r="C7639" s="38">
        <v>45112</v>
      </c>
      <c r="D7639" s="1" t="s">
        <v>259</v>
      </c>
      <c r="E7639" s="1" t="s">
        <v>36</v>
      </c>
      <c r="F7639" s="1" t="s">
        <v>204</v>
      </c>
      <c r="G7639" s="5">
        <v>744.69</v>
      </c>
    </row>
    <row r="7640" spans="1:7" x14ac:dyDescent="0.2">
      <c r="A7640" s="3">
        <v>43</v>
      </c>
      <c r="B7640" s="2">
        <v>179782.14</v>
      </c>
      <c r="C7640" s="38">
        <v>45113</v>
      </c>
      <c r="D7640" s="1" t="s">
        <v>289</v>
      </c>
      <c r="E7640" s="1" t="s">
        <v>36</v>
      </c>
      <c r="F7640" s="1" t="s">
        <v>204</v>
      </c>
      <c r="G7640" s="5">
        <v>4180.9799999999996</v>
      </c>
    </row>
    <row r="7641" spans="1:7" x14ac:dyDescent="0.2">
      <c r="A7641" s="3">
        <v>41</v>
      </c>
      <c r="B7641" s="2">
        <v>171420.18</v>
      </c>
      <c r="C7641" s="38">
        <v>45113</v>
      </c>
      <c r="D7641" s="1" t="s">
        <v>289</v>
      </c>
      <c r="E7641" s="1" t="s">
        <v>36</v>
      </c>
      <c r="F7641" s="1" t="s">
        <v>204</v>
      </c>
      <c r="G7641" s="5">
        <v>4180.9799999999996</v>
      </c>
    </row>
    <row r="7642" spans="1:7" x14ac:dyDescent="0.2">
      <c r="A7642" s="3">
        <v>882</v>
      </c>
      <c r="B7642" s="2">
        <v>656816.57999999996</v>
      </c>
      <c r="C7642" s="38">
        <v>45121</v>
      </c>
      <c r="D7642" s="1" t="s">
        <v>259</v>
      </c>
      <c r="E7642" s="1" t="s">
        <v>36</v>
      </c>
      <c r="F7642" s="1" t="s">
        <v>204</v>
      </c>
      <c r="G7642" s="5">
        <v>744.69</v>
      </c>
    </row>
    <row r="7643" spans="1:7" x14ac:dyDescent="0.2">
      <c r="A7643" s="3">
        <v>882</v>
      </c>
      <c r="B7643" s="2">
        <v>656816.57999999996</v>
      </c>
      <c r="C7643" s="38">
        <v>45125</v>
      </c>
      <c r="D7643" s="1" t="s">
        <v>259</v>
      </c>
      <c r="E7643" s="1" t="s">
        <v>36</v>
      </c>
      <c r="F7643" s="1" t="s">
        <v>204</v>
      </c>
      <c r="G7643" s="5">
        <v>744.69</v>
      </c>
    </row>
    <row r="7644" spans="1:7" x14ac:dyDescent="0.2">
      <c r="A7644" s="3">
        <v>1540</v>
      </c>
      <c r="B7644" s="2">
        <v>806359.4</v>
      </c>
      <c r="C7644" s="38">
        <v>45132</v>
      </c>
      <c r="D7644" s="1" t="s">
        <v>246</v>
      </c>
      <c r="E7644" s="1" t="s">
        <v>36</v>
      </c>
      <c r="F7644" s="1" t="s">
        <v>204</v>
      </c>
      <c r="G7644" s="5">
        <v>523.61</v>
      </c>
    </row>
    <row r="7645" spans="1:7" x14ac:dyDescent="0.2">
      <c r="A7645" s="3">
        <v>350</v>
      </c>
      <c r="B7645" s="2">
        <v>447492.5</v>
      </c>
      <c r="C7645" s="38">
        <v>45133</v>
      </c>
      <c r="D7645" s="1" t="s">
        <v>271</v>
      </c>
      <c r="E7645" s="1" t="s">
        <v>36</v>
      </c>
      <c r="F7645" s="1" t="s">
        <v>204</v>
      </c>
      <c r="G7645" s="5">
        <v>1278.55</v>
      </c>
    </row>
    <row r="7646" spans="1:7" x14ac:dyDescent="0.2">
      <c r="A7646" s="3">
        <v>308</v>
      </c>
      <c r="B7646" s="2">
        <v>161271.88</v>
      </c>
      <c r="C7646" s="38">
        <v>45133</v>
      </c>
      <c r="D7646" s="1" t="s">
        <v>246</v>
      </c>
      <c r="E7646" s="1" t="s">
        <v>36</v>
      </c>
      <c r="F7646" s="1" t="s">
        <v>204</v>
      </c>
      <c r="G7646" s="5">
        <v>523.61</v>
      </c>
    </row>
    <row r="7647" spans="1:7" x14ac:dyDescent="0.2">
      <c r="A7647" s="3">
        <v>147</v>
      </c>
      <c r="B7647" s="2">
        <v>109469.43</v>
      </c>
      <c r="C7647" s="38">
        <v>45135</v>
      </c>
      <c r="D7647" s="1" t="s">
        <v>259</v>
      </c>
      <c r="E7647" s="1" t="s">
        <v>36</v>
      </c>
      <c r="F7647" s="1" t="s">
        <v>204</v>
      </c>
      <c r="G7647" s="5">
        <v>744.69</v>
      </c>
    </row>
    <row r="7648" spans="1:7" x14ac:dyDescent="0.2">
      <c r="A7648" s="3">
        <v>735</v>
      </c>
      <c r="B7648" s="2">
        <v>547347.15</v>
      </c>
      <c r="C7648" s="38">
        <v>45139</v>
      </c>
      <c r="D7648" s="1" t="s">
        <v>259</v>
      </c>
      <c r="E7648" s="1" t="s">
        <v>36</v>
      </c>
      <c r="F7648" s="1" t="s">
        <v>204</v>
      </c>
      <c r="G7648" s="5">
        <v>744.69</v>
      </c>
    </row>
    <row r="7649" spans="1:7" x14ac:dyDescent="0.2">
      <c r="A7649" s="3">
        <v>441</v>
      </c>
      <c r="B7649" s="2">
        <v>328408.28999999998</v>
      </c>
      <c r="C7649" s="38">
        <v>45139</v>
      </c>
      <c r="D7649" s="1" t="s">
        <v>259</v>
      </c>
      <c r="E7649" s="1" t="s">
        <v>36</v>
      </c>
      <c r="F7649" s="1" t="s">
        <v>204</v>
      </c>
      <c r="G7649" s="5">
        <v>744.69</v>
      </c>
    </row>
    <row r="7650" spans="1:7" x14ac:dyDescent="0.2">
      <c r="A7650" s="3">
        <v>210</v>
      </c>
      <c r="B7650" s="2">
        <v>268495.5</v>
      </c>
      <c r="C7650" s="38">
        <v>45140</v>
      </c>
      <c r="D7650" s="1" t="s">
        <v>271</v>
      </c>
      <c r="E7650" s="1" t="s">
        <v>36</v>
      </c>
      <c r="F7650" s="1" t="s">
        <v>204</v>
      </c>
      <c r="G7650" s="5">
        <v>1278.55</v>
      </c>
    </row>
    <row r="7651" spans="1:7" x14ac:dyDescent="0.2">
      <c r="A7651" s="3">
        <v>140</v>
      </c>
      <c r="B7651" s="2">
        <v>178997</v>
      </c>
      <c r="C7651" s="38">
        <v>45140</v>
      </c>
      <c r="D7651" s="1" t="s">
        <v>271</v>
      </c>
      <c r="E7651" s="1" t="s">
        <v>36</v>
      </c>
      <c r="F7651" s="1" t="s">
        <v>204</v>
      </c>
      <c r="G7651" s="5">
        <v>1278.55</v>
      </c>
    </row>
    <row r="7652" spans="1:7" x14ac:dyDescent="0.2">
      <c r="A7652" s="3">
        <v>210</v>
      </c>
      <c r="B7652" s="2">
        <v>268495.5</v>
      </c>
      <c r="C7652" s="38">
        <v>45140</v>
      </c>
      <c r="D7652" s="1" t="s">
        <v>271</v>
      </c>
      <c r="E7652" s="1" t="s">
        <v>36</v>
      </c>
      <c r="F7652" s="1" t="s">
        <v>204</v>
      </c>
      <c r="G7652" s="5">
        <v>1278.55</v>
      </c>
    </row>
    <row r="7653" spans="1:7" x14ac:dyDescent="0.2">
      <c r="A7653" s="3">
        <v>280</v>
      </c>
      <c r="B7653" s="2">
        <v>357994</v>
      </c>
      <c r="C7653" s="38">
        <v>45140</v>
      </c>
      <c r="D7653" s="1" t="s">
        <v>271</v>
      </c>
      <c r="E7653" s="1" t="s">
        <v>36</v>
      </c>
      <c r="F7653" s="1" t="s">
        <v>204</v>
      </c>
      <c r="G7653" s="5">
        <v>1278.55</v>
      </c>
    </row>
    <row r="7654" spans="1:7" x14ac:dyDescent="0.2">
      <c r="A7654" s="3">
        <v>70</v>
      </c>
      <c r="B7654" s="2">
        <v>89498.5</v>
      </c>
      <c r="C7654" s="38">
        <v>45140</v>
      </c>
      <c r="D7654" s="1" t="s">
        <v>271</v>
      </c>
      <c r="E7654" s="1" t="s">
        <v>36</v>
      </c>
      <c r="F7654" s="1" t="s">
        <v>204</v>
      </c>
      <c r="G7654" s="5">
        <v>1278.55</v>
      </c>
    </row>
    <row r="7655" spans="1:7" x14ac:dyDescent="0.2">
      <c r="A7655" s="3">
        <v>3430</v>
      </c>
      <c r="B7655" s="2">
        <v>1475.93</v>
      </c>
      <c r="C7655" s="38">
        <v>44663</v>
      </c>
      <c r="D7655" s="1" t="s">
        <v>273</v>
      </c>
      <c r="E7655" s="1" t="s">
        <v>38</v>
      </c>
      <c r="F7655" s="1" t="s">
        <v>202</v>
      </c>
      <c r="G7655" s="5">
        <v>0.43030000000000002</v>
      </c>
    </row>
    <row r="7656" spans="1:7" x14ac:dyDescent="0.2">
      <c r="A7656" s="3">
        <v>84</v>
      </c>
      <c r="B7656" s="2">
        <v>35363.160000000003</v>
      </c>
      <c r="C7656" s="38">
        <v>44671</v>
      </c>
      <c r="D7656" s="1" t="s">
        <v>327</v>
      </c>
      <c r="E7656" s="1" t="s">
        <v>38</v>
      </c>
      <c r="F7656" s="1" t="s">
        <v>202</v>
      </c>
      <c r="G7656" s="5">
        <v>420.99</v>
      </c>
    </row>
    <row r="7657" spans="1:7" x14ac:dyDescent="0.2">
      <c r="A7657" s="3">
        <v>120</v>
      </c>
      <c r="B7657" s="2">
        <v>21718.799999999999</v>
      </c>
      <c r="C7657" s="38">
        <v>44806</v>
      </c>
      <c r="D7657" s="1" t="s">
        <v>284</v>
      </c>
      <c r="E7657" s="1" t="s">
        <v>38</v>
      </c>
      <c r="F7657" s="1" t="s">
        <v>202</v>
      </c>
      <c r="G7657" s="5">
        <v>180.99</v>
      </c>
    </row>
    <row r="7658" spans="1:7" x14ac:dyDescent="0.2">
      <c r="A7658" s="3">
        <v>1820</v>
      </c>
      <c r="B7658" s="2">
        <v>4313.3999999999996</v>
      </c>
      <c r="C7658" s="38">
        <v>44812</v>
      </c>
      <c r="D7658" s="1" t="s">
        <v>250</v>
      </c>
      <c r="E7658" s="1" t="s">
        <v>38</v>
      </c>
      <c r="F7658" s="1" t="s">
        <v>202</v>
      </c>
      <c r="G7658" s="5">
        <v>2.37</v>
      </c>
    </row>
    <row r="7659" spans="1:7" x14ac:dyDescent="0.2">
      <c r="A7659" s="3">
        <v>588</v>
      </c>
      <c r="B7659" s="2">
        <v>54666.36</v>
      </c>
      <c r="C7659" s="38">
        <v>44813</v>
      </c>
      <c r="D7659" s="1" t="s">
        <v>266</v>
      </c>
      <c r="E7659" s="1" t="s">
        <v>38</v>
      </c>
      <c r="F7659" s="1" t="s">
        <v>202</v>
      </c>
      <c r="G7659" s="5">
        <v>92.97</v>
      </c>
    </row>
    <row r="7660" spans="1:7" x14ac:dyDescent="0.2">
      <c r="A7660" s="3">
        <v>229</v>
      </c>
      <c r="B7660" s="2">
        <v>3135.01</v>
      </c>
      <c r="C7660" s="38">
        <v>44817</v>
      </c>
      <c r="D7660" s="1" t="s">
        <v>281</v>
      </c>
      <c r="E7660" s="1" t="s">
        <v>38</v>
      </c>
      <c r="F7660" s="1" t="s">
        <v>202</v>
      </c>
      <c r="G7660" s="5">
        <v>13.69</v>
      </c>
    </row>
    <row r="7661" spans="1:7" x14ac:dyDescent="0.2">
      <c r="A7661" s="3">
        <v>1820</v>
      </c>
      <c r="B7661" s="2">
        <v>4113.2</v>
      </c>
      <c r="C7661" s="38">
        <v>44820</v>
      </c>
      <c r="D7661" s="1" t="s">
        <v>276</v>
      </c>
      <c r="E7661" s="1" t="s">
        <v>38</v>
      </c>
      <c r="F7661" s="1" t="s">
        <v>202</v>
      </c>
      <c r="G7661" s="5">
        <v>2.2599999999999998</v>
      </c>
    </row>
    <row r="7662" spans="1:7" x14ac:dyDescent="0.2">
      <c r="A7662" s="3">
        <v>1820</v>
      </c>
      <c r="B7662" s="2">
        <v>4113.2</v>
      </c>
      <c r="C7662" s="38">
        <v>44820</v>
      </c>
      <c r="D7662" s="1" t="s">
        <v>276</v>
      </c>
      <c r="E7662" s="1" t="s">
        <v>38</v>
      </c>
      <c r="F7662" s="1" t="s">
        <v>202</v>
      </c>
      <c r="G7662" s="5">
        <v>2.2599999999999998</v>
      </c>
    </row>
    <row r="7663" spans="1:7" x14ac:dyDescent="0.2">
      <c r="A7663" s="3">
        <v>1820</v>
      </c>
      <c r="B7663" s="2">
        <v>4113.2</v>
      </c>
      <c r="C7663" s="38">
        <v>44820</v>
      </c>
      <c r="D7663" s="1" t="s">
        <v>276</v>
      </c>
      <c r="E7663" s="1" t="s">
        <v>38</v>
      </c>
      <c r="F7663" s="1" t="s">
        <v>202</v>
      </c>
      <c r="G7663" s="5">
        <v>2.2599999999999998</v>
      </c>
    </row>
    <row r="7664" spans="1:7" x14ac:dyDescent="0.2">
      <c r="A7664" s="3">
        <v>17</v>
      </c>
      <c r="B7664" s="2">
        <v>232.73</v>
      </c>
      <c r="C7664" s="38">
        <v>44820</v>
      </c>
      <c r="D7664" s="1" t="s">
        <v>281</v>
      </c>
      <c r="E7664" s="1" t="s">
        <v>38</v>
      </c>
      <c r="F7664" s="1" t="s">
        <v>202</v>
      </c>
      <c r="G7664" s="5">
        <v>13.69</v>
      </c>
    </row>
    <row r="7665" spans="1:7" x14ac:dyDescent="0.2">
      <c r="A7665" s="3">
        <v>205</v>
      </c>
      <c r="B7665" s="2">
        <v>2806.45</v>
      </c>
      <c r="C7665" s="38">
        <v>44820</v>
      </c>
      <c r="D7665" s="1" t="s">
        <v>281</v>
      </c>
      <c r="E7665" s="1" t="s">
        <v>38</v>
      </c>
      <c r="F7665" s="1" t="s">
        <v>202</v>
      </c>
      <c r="G7665" s="5">
        <v>13.69</v>
      </c>
    </row>
    <row r="7666" spans="1:7" x14ac:dyDescent="0.2">
      <c r="A7666" s="3">
        <v>222</v>
      </c>
      <c r="B7666" s="2">
        <v>3039.18</v>
      </c>
      <c r="C7666" s="38">
        <v>44820</v>
      </c>
      <c r="D7666" s="1" t="s">
        <v>281</v>
      </c>
      <c r="E7666" s="1" t="s">
        <v>38</v>
      </c>
      <c r="F7666" s="1" t="s">
        <v>202</v>
      </c>
      <c r="G7666" s="5">
        <v>13.69</v>
      </c>
    </row>
    <row r="7667" spans="1:7" x14ac:dyDescent="0.2">
      <c r="A7667" s="3">
        <v>132</v>
      </c>
      <c r="B7667" s="2">
        <v>1807.08</v>
      </c>
      <c r="C7667" s="38">
        <v>44820</v>
      </c>
      <c r="D7667" s="1" t="s">
        <v>281</v>
      </c>
      <c r="E7667" s="1" t="s">
        <v>38</v>
      </c>
      <c r="F7667" s="1" t="s">
        <v>202</v>
      </c>
      <c r="G7667" s="5">
        <v>13.69</v>
      </c>
    </row>
    <row r="7668" spans="1:7" x14ac:dyDescent="0.2">
      <c r="A7668" s="3">
        <v>400</v>
      </c>
      <c r="B7668" s="2">
        <v>5476</v>
      </c>
      <c r="C7668" s="38">
        <v>44820</v>
      </c>
      <c r="D7668" s="1" t="s">
        <v>281</v>
      </c>
      <c r="E7668" s="1" t="s">
        <v>38</v>
      </c>
      <c r="F7668" s="1" t="s">
        <v>202</v>
      </c>
      <c r="G7668" s="5">
        <v>13.69</v>
      </c>
    </row>
    <row r="7669" spans="1:7" x14ac:dyDescent="0.2">
      <c r="A7669" s="3">
        <v>24</v>
      </c>
      <c r="B7669" s="2">
        <v>328.56</v>
      </c>
      <c r="C7669" s="38">
        <v>44820</v>
      </c>
      <c r="D7669" s="1" t="s">
        <v>281</v>
      </c>
      <c r="E7669" s="1" t="s">
        <v>38</v>
      </c>
      <c r="F7669" s="1" t="s">
        <v>202</v>
      </c>
      <c r="G7669" s="5">
        <v>13.69</v>
      </c>
    </row>
    <row r="7670" spans="1:7" x14ac:dyDescent="0.2">
      <c r="A7670" s="3">
        <v>268</v>
      </c>
      <c r="B7670" s="2">
        <v>3668.92</v>
      </c>
      <c r="C7670" s="38">
        <v>44823</v>
      </c>
      <c r="D7670" s="1" t="s">
        <v>281</v>
      </c>
      <c r="E7670" s="1" t="s">
        <v>38</v>
      </c>
      <c r="F7670" s="1" t="s">
        <v>202</v>
      </c>
      <c r="G7670" s="5">
        <v>13.69</v>
      </c>
    </row>
    <row r="7671" spans="1:7" x14ac:dyDescent="0.2">
      <c r="A7671" s="3">
        <v>222</v>
      </c>
      <c r="B7671" s="2">
        <v>3039.18</v>
      </c>
      <c r="C7671" s="38">
        <v>44825</v>
      </c>
      <c r="D7671" s="1" t="s">
        <v>281</v>
      </c>
      <c r="E7671" s="1" t="s">
        <v>38</v>
      </c>
      <c r="F7671" s="1" t="s">
        <v>202</v>
      </c>
      <c r="G7671" s="5">
        <v>13.69</v>
      </c>
    </row>
    <row r="7672" spans="1:7" x14ac:dyDescent="0.2">
      <c r="A7672" s="3">
        <v>320</v>
      </c>
      <c r="B7672" s="2">
        <v>4380.8</v>
      </c>
      <c r="C7672" s="38">
        <v>44825</v>
      </c>
      <c r="D7672" s="1" t="s">
        <v>281</v>
      </c>
      <c r="E7672" s="1" t="s">
        <v>38</v>
      </c>
      <c r="F7672" s="1" t="s">
        <v>202</v>
      </c>
      <c r="G7672" s="5">
        <v>13.69</v>
      </c>
    </row>
    <row r="7673" spans="1:7" x14ac:dyDescent="0.2">
      <c r="A7673" s="3">
        <v>438</v>
      </c>
      <c r="B7673" s="2">
        <v>5996.22</v>
      </c>
      <c r="C7673" s="38">
        <v>44825</v>
      </c>
      <c r="D7673" s="1" t="s">
        <v>281</v>
      </c>
      <c r="E7673" s="1" t="s">
        <v>38</v>
      </c>
      <c r="F7673" s="1" t="s">
        <v>202</v>
      </c>
      <c r="G7673" s="5">
        <v>13.69</v>
      </c>
    </row>
    <row r="7674" spans="1:7" x14ac:dyDescent="0.2">
      <c r="A7674" s="3">
        <v>7</v>
      </c>
      <c r="B7674" s="2">
        <v>95.83</v>
      </c>
      <c r="C7674" s="38">
        <v>44825</v>
      </c>
      <c r="D7674" s="1" t="s">
        <v>281</v>
      </c>
      <c r="E7674" s="1" t="s">
        <v>38</v>
      </c>
      <c r="F7674" s="1" t="s">
        <v>202</v>
      </c>
      <c r="G7674" s="5">
        <v>13.69</v>
      </c>
    </row>
    <row r="7675" spans="1:7" x14ac:dyDescent="0.2">
      <c r="A7675" s="3">
        <v>209</v>
      </c>
      <c r="B7675" s="2">
        <v>2861.21</v>
      </c>
      <c r="C7675" s="38">
        <v>44825</v>
      </c>
      <c r="D7675" s="1" t="s">
        <v>281</v>
      </c>
      <c r="E7675" s="1" t="s">
        <v>38</v>
      </c>
      <c r="F7675" s="1" t="s">
        <v>202</v>
      </c>
      <c r="G7675" s="5">
        <v>13.69</v>
      </c>
    </row>
    <row r="7676" spans="1:7" x14ac:dyDescent="0.2">
      <c r="A7676" s="3">
        <v>13</v>
      </c>
      <c r="B7676" s="2">
        <v>177.97</v>
      </c>
      <c r="C7676" s="38">
        <v>44825</v>
      </c>
      <c r="D7676" s="1" t="s">
        <v>281</v>
      </c>
      <c r="E7676" s="1" t="s">
        <v>38</v>
      </c>
      <c r="F7676" s="1" t="s">
        <v>202</v>
      </c>
      <c r="G7676" s="5">
        <v>13.69</v>
      </c>
    </row>
    <row r="7677" spans="1:7" x14ac:dyDescent="0.2">
      <c r="A7677" s="3">
        <v>252</v>
      </c>
      <c r="B7677" s="2">
        <v>106089.48</v>
      </c>
      <c r="C7677" s="38">
        <v>44832</v>
      </c>
      <c r="D7677" s="1" t="s">
        <v>327</v>
      </c>
      <c r="E7677" s="1" t="s">
        <v>38</v>
      </c>
      <c r="F7677" s="1" t="s">
        <v>202</v>
      </c>
      <c r="G7677" s="5">
        <v>420.99</v>
      </c>
    </row>
    <row r="7678" spans="1:7" x14ac:dyDescent="0.2">
      <c r="A7678" s="3">
        <v>252</v>
      </c>
      <c r="B7678" s="2">
        <v>106089.48</v>
      </c>
      <c r="C7678" s="38">
        <v>44832</v>
      </c>
      <c r="D7678" s="1" t="s">
        <v>327</v>
      </c>
      <c r="E7678" s="1" t="s">
        <v>38</v>
      </c>
      <c r="F7678" s="1" t="s">
        <v>202</v>
      </c>
      <c r="G7678" s="5">
        <v>420.99</v>
      </c>
    </row>
    <row r="7679" spans="1:7" x14ac:dyDescent="0.2">
      <c r="A7679" s="3">
        <v>252</v>
      </c>
      <c r="B7679" s="2">
        <v>106089.48</v>
      </c>
      <c r="C7679" s="38">
        <v>44832</v>
      </c>
      <c r="D7679" s="1" t="s">
        <v>327</v>
      </c>
      <c r="E7679" s="1" t="s">
        <v>38</v>
      </c>
      <c r="F7679" s="1" t="s">
        <v>202</v>
      </c>
      <c r="G7679" s="5">
        <v>420.99</v>
      </c>
    </row>
    <row r="7680" spans="1:7" x14ac:dyDescent="0.2">
      <c r="A7680" s="3">
        <v>168</v>
      </c>
      <c r="B7680" s="2">
        <v>70726.320000000007</v>
      </c>
      <c r="C7680" s="38">
        <v>44832</v>
      </c>
      <c r="D7680" s="1" t="s">
        <v>327</v>
      </c>
      <c r="E7680" s="1" t="s">
        <v>38</v>
      </c>
      <c r="F7680" s="1" t="s">
        <v>202</v>
      </c>
      <c r="G7680" s="5">
        <v>420.99</v>
      </c>
    </row>
    <row r="7681" spans="1:7" x14ac:dyDescent="0.2">
      <c r="A7681" s="3">
        <v>84</v>
      </c>
      <c r="B7681" s="2">
        <v>35363.160000000003</v>
      </c>
      <c r="C7681" s="38">
        <v>44833</v>
      </c>
      <c r="D7681" s="1" t="s">
        <v>327</v>
      </c>
      <c r="E7681" s="1" t="s">
        <v>38</v>
      </c>
      <c r="F7681" s="1" t="s">
        <v>202</v>
      </c>
      <c r="G7681" s="5">
        <v>420.99</v>
      </c>
    </row>
    <row r="7682" spans="1:7" x14ac:dyDescent="0.2">
      <c r="A7682" s="3">
        <v>252</v>
      </c>
      <c r="B7682" s="2">
        <v>106089.48</v>
      </c>
      <c r="C7682" s="38">
        <v>44833</v>
      </c>
      <c r="D7682" s="1" t="s">
        <v>327</v>
      </c>
      <c r="E7682" s="1" t="s">
        <v>38</v>
      </c>
      <c r="F7682" s="1" t="s">
        <v>202</v>
      </c>
      <c r="G7682" s="5">
        <v>420.99</v>
      </c>
    </row>
    <row r="7683" spans="1:7" x14ac:dyDescent="0.2">
      <c r="A7683" s="3">
        <v>168</v>
      </c>
      <c r="B7683" s="2">
        <v>70726.320000000007</v>
      </c>
      <c r="C7683" s="38">
        <v>44833</v>
      </c>
      <c r="D7683" s="1" t="s">
        <v>327</v>
      </c>
      <c r="E7683" s="1" t="s">
        <v>38</v>
      </c>
      <c r="F7683" s="1" t="s">
        <v>202</v>
      </c>
      <c r="G7683" s="5">
        <v>420.99</v>
      </c>
    </row>
    <row r="7684" spans="1:7" x14ac:dyDescent="0.2">
      <c r="A7684" s="3">
        <v>252</v>
      </c>
      <c r="B7684" s="2">
        <v>106089.48</v>
      </c>
      <c r="C7684" s="38">
        <v>44834</v>
      </c>
      <c r="D7684" s="1" t="s">
        <v>327</v>
      </c>
      <c r="E7684" s="1" t="s">
        <v>38</v>
      </c>
      <c r="F7684" s="1" t="s">
        <v>202</v>
      </c>
      <c r="G7684" s="5">
        <v>420.99</v>
      </c>
    </row>
    <row r="7685" spans="1:7" x14ac:dyDescent="0.2">
      <c r="A7685" s="3">
        <v>432</v>
      </c>
      <c r="B7685" s="2">
        <v>83177.279999999999</v>
      </c>
      <c r="C7685" s="38">
        <v>44837</v>
      </c>
      <c r="D7685" s="1" t="s">
        <v>386</v>
      </c>
      <c r="E7685" s="1" t="s">
        <v>38</v>
      </c>
      <c r="F7685" s="1" t="s">
        <v>202</v>
      </c>
      <c r="G7685" s="5">
        <v>192.54</v>
      </c>
    </row>
    <row r="7686" spans="1:7" x14ac:dyDescent="0.2">
      <c r="A7686" s="3">
        <v>84</v>
      </c>
      <c r="B7686" s="2">
        <v>54459.72</v>
      </c>
      <c r="C7686" s="38">
        <v>44837</v>
      </c>
      <c r="D7686" s="1" t="s">
        <v>279</v>
      </c>
      <c r="E7686" s="1" t="s">
        <v>38</v>
      </c>
      <c r="F7686" s="1" t="s">
        <v>202</v>
      </c>
      <c r="G7686" s="5">
        <v>648.33000000000004</v>
      </c>
    </row>
    <row r="7687" spans="1:7" x14ac:dyDescent="0.2">
      <c r="A7687" s="3">
        <v>84</v>
      </c>
      <c r="B7687" s="2">
        <v>54459.72</v>
      </c>
      <c r="C7687" s="38">
        <v>44837</v>
      </c>
      <c r="D7687" s="1" t="s">
        <v>279</v>
      </c>
      <c r="E7687" s="1" t="s">
        <v>38</v>
      </c>
      <c r="F7687" s="1" t="s">
        <v>202</v>
      </c>
      <c r="G7687" s="5">
        <v>648.33000000000004</v>
      </c>
    </row>
    <row r="7688" spans="1:7" x14ac:dyDescent="0.2">
      <c r="A7688" s="3">
        <v>1120</v>
      </c>
      <c r="B7688" s="2">
        <v>58699.199999999997</v>
      </c>
      <c r="C7688" s="38">
        <v>44837</v>
      </c>
      <c r="D7688" s="1" t="s">
        <v>252</v>
      </c>
      <c r="E7688" s="1" t="s">
        <v>38</v>
      </c>
      <c r="F7688" s="1" t="s">
        <v>202</v>
      </c>
      <c r="G7688" s="5">
        <v>52.41</v>
      </c>
    </row>
    <row r="7689" spans="1:7" x14ac:dyDescent="0.2">
      <c r="A7689" s="3">
        <v>1120</v>
      </c>
      <c r="B7689" s="2">
        <v>58699.199999999997</v>
      </c>
      <c r="C7689" s="38">
        <v>44837</v>
      </c>
      <c r="D7689" s="1" t="s">
        <v>252</v>
      </c>
      <c r="E7689" s="1" t="s">
        <v>38</v>
      </c>
      <c r="F7689" s="1" t="s">
        <v>202</v>
      </c>
      <c r="G7689" s="5">
        <v>52.41</v>
      </c>
    </row>
    <row r="7690" spans="1:7" x14ac:dyDescent="0.2">
      <c r="A7690" s="3">
        <v>1120</v>
      </c>
      <c r="B7690" s="2">
        <v>58699.199999999997</v>
      </c>
      <c r="C7690" s="38">
        <v>44837</v>
      </c>
      <c r="D7690" s="1" t="s">
        <v>252</v>
      </c>
      <c r="E7690" s="1" t="s">
        <v>38</v>
      </c>
      <c r="F7690" s="1" t="s">
        <v>202</v>
      </c>
      <c r="G7690" s="5">
        <v>52.41</v>
      </c>
    </row>
    <row r="7691" spans="1:7" x14ac:dyDescent="0.2">
      <c r="A7691" s="3">
        <v>1120</v>
      </c>
      <c r="B7691" s="2">
        <v>58699.199999999997</v>
      </c>
      <c r="C7691" s="38">
        <v>44837</v>
      </c>
      <c r="D7691" s="1" t="s">
        <v>252</v>
      </c>
      <c r="E7691" s="1" t="s">
        <v>38</v>
      </c>
      <c r="F7691" s="1" t="s">
        <v>202</v>
      </c>
      <c r="G7691" s="5">
        <v>52.41</v>
      </c>
    </row>
    <row r="7692" spans="1:7" x14ac:dyDescent="0.2">
      <c r="A7692" s="3">
        <v>1120</v>
      </c>
      <c r="B7692" s="2">
        <v>58699.199999999997</v>
      </c>
      <c r="C7692" s="38">
        <v>44837</v>
      </c>
      <c r="D7692" s="1" t="s">
        <v>252</v>
      </c>
      <c r="E7692" s="1" t="s">
        <v>38</v>
      </c>
      <c r="F7692" s="1" t="s">
        <v>202</v>
      </c>
      <c r="G7692" s="5">
        <v>52.41</v>
      </c>
    </row>
    <row r="7693" spans="1:7" x14ac:dyDescent="0.2">
      <c r="A7693" s="3">
        <v>1120</v>
      </c>
      <c r="B7693" s="2">
        <v>58699.199999999997</v>
      </c>
      <c r="C7693" s="38">
        <v>44837</v>
      </c>
      <c r="D7693" s="1" t="s">
        <v>252</v>
      </c>
      <c r="E7693" s="1" t="s">
        <v>38</v>
      </c>
      <c r="F7693" s="1" t="s">
        <v>202</v>
      </c>
      <c r="G7693" s="5">
        <v>52.41</v>
      </c>
    </row>
    <row r="7694" spans="1:7" x14ac:dyDescent="0.2">
      <c r="A7694" s="3">
        <v>1820</v>
      </c>
      <c r="B7694" s="2">
        <v>4313.3999999999996</v>
      </c>
      <c r="C7694" s="38">
        <v>44839</v>
      </c>
      <c r="D7694" s="1" t="s">
        <v>250</v>
      </c>
      <c r="E7694" s="1" t="s">
        <v>38</v>
      </c>
      <c r="F7694" s="1" t="s">
        <v>202</v>
      </c>
      <c r="G7694" s="5">
        <v>2.37</v>
      </c>
    </row>
    <row r="7695" spans="1:7" x14ac:dyDescent="0.2">
      <c r="A7695" s="3">
        <v>1120</v>
      </c>
      <c r="B7695" s="2">
        <v>58699.199999999997</v>
      </c>
      <c r="C7695" s="38">
        <v>44839</v>
      </c>
      <c r="D7695" s="1" t="s">
        <v>252</v>
      </c>
      <c r="E7695" s="1" t="s">
        <v>38</v>
      </c>
      <c r="F7695" s="1" t="s">
        <v>202</v>
      </c>
      <c r="G7695" s="5">
        <v>52.41</v>
      </c>
    </row>
    <row r="7696" spans="1:7" x14ac:dyDescent="0.2">
      <c r="A7696" s="3">
        <v>1120</v>
      </c>
      <c r="B7696" s="2">
        <v>58699.199999999997</v>
      </c>
      <c r="C7696" s="38">
        <v>44839</v>
      </c>
      <c r="D7696" s="1" t="s">
        <v>252</v>
      </c>
      <c r="E7696" s="1" t="s">
        <v>38</v>
      </c>
      <c r="F7696" s="1" t="s">
        <v>202</v>
      </c>
      <c r="G7696" s="5">
        <v>52.41</v>
      </c>
    </row>
    <row r="7697" spans="1:7" x14ac:dyDescent="0.2">
      <c r="A7697" s="3">
        <v>1120</v>
      </c>
      <c r="B7697" s="2">
        <v>7560</v>
      </c>
      <c r="C7697" s="38">
        <v>44839</v>
      </c>
      <c r="D7697" s="1" t="s">
        <v>293</v>
      </c>
      <c r="E7697" s="1" t="s">
        <v>38</v>
      </c>
      <c r="F7697" s="1" t="s">
        <v>202</v>
      </c>
      <c r="G7697" s="5">
        <v>6.75</v>
      </c>
    </row>
    <row r="7698" spans="1:7" x14ac:dyDescent="0.2">
      <c r="A7698" s="3">
        <v>420</v>
      </c>
      <c r="B7698" s="2">
        <v>4141.2</v>
      </c>
      <c r="C7698" s="38">
        <v>44844</v>
      </c>
      <c r="D7698" s="1" t="s">
        <v>249</v>
      </c>
      <c r="E7698" s="1" t="s">
        <v>38</v>
      </c>
      <c r="F7698" s="1" t="s">
        <v>202</v>
      </c>
      <c r="G7698" s="5">
        <v>9.86</v>
      </c>
    </row>
    <row r="7699" spans="1:7" x14ac:dyDescent="0.2">
      <c r="A7699" s="3">
        <v>3780</v>
      </c>
      <c r="B7699" s="2">
        <v>52466.400000000001</v>
      </c>
      <c r="C7699" s="38">
        <v>44845</v>
      </c>
      <c r="D7699" s="1" t="s">
        <v>241</v>
      </c>
      <c r="E7699" s="1" t="s">
        <v>38</v>
      </c>
      <c r="F7699" s="1" t="s">
        <v>202</v>
      </c>
      <c r="G7699" s="5">
        <v>13.88</v>
      </c>
    </row>
    <row r="7700" spans="1:7" x14ac:dyDescent="0.2">
      <c r="A7700" s="3">
        <v>120</v>
      </c>
      <c r="B7700" s="2">
        <v>21718.799999999999</v>
      </c>
      <c r="C7700" s="38">
        <v>44930</v>
      </c>
      <c r="D7700" s="1" t="s">
        <v>284</v>
      </c>
      <c r="E7700" s="1" t="s">
        <v>38</v>
      </c>
      <c r="F7700" s="1" t="s">
        <v>202</v>
      </c>
      <c r="G7700" s="5">
        <v>180.99</v>
      </c>
    </row>
    <row r="7701" spans="1:7" x14ac:dyDescent="0.2">
      <c r="A7701" s="3">
        <v>588</v>
      </c>
      <c r="B7701" s="2">
        <v>128813.16</v>
      </c>
      <c r="C7701" s="38">
        <v>44853</v>
      </c>
      <c r="D7701" s="1" t="s">
        <v>257</v>
      </c>
      <c r="E7701" s="1" t="s">
        <v>38</v>
      </c>
      <c r="F7701" s="1" t="s">
        <v>202</v>
      </c>
      <c r="G7701" s="5">
        <v>219.07</v>
      </c>
    </row>
    <row r="7702" spans="1:7" x14ac:dyDescent="0.2">
      <c r="A7702" s="3">
        <v>1120</v>
      </c>
      <c r="B7702" s="2">
        <v>58699.199999999997</v>
      </c>
      <c r="C7702" s="38">
        <v>44855</v>
      </c>
      <c r="D7702" s="1" t="s">
        <v>252</v>
      </c>
      <c r="E7702" s="1" t="s">
        <v>38</v>
      </c>
      <c r="F7702" s="1" t="s">
        <v>202</v>
      </c>
      <c r="G7702" s="5">
        <v>52.41</v>
      </c>
    </row>
    <row r="7703" spans="1:7" x14ac:dyDescent="0.2">
      <c r="A7703" s="3">
        <v>3780</v>
      </c>
      <c r="B7703" s="2">
        <v>52466.400000000001</v>
      </c>
      <c r="C7703" s="38">
        <v>44859</v>
      </c>
      <c r="D7703" s="1" t="s">
        <v>241</v>
      </c>
      <c r="E7703" s="1" t="s">
        <v>38</v>
      </c>
      <c r="F7703" s="1" t="s">
        <v>202</v>
      </c>
      <c r="G7703" s="5">
        <v>13.88</v>
      </c>
    </row>
    <row r="7704" spans="1:7" x14ac:dyDescent="0.2">
      <c r="A7704" s="3">
        <v>1008</v>
      </c>
      <c r="B7704" s="2">
        <v>44956.800000000003</v>
      </c>
      <c r="C7704" s="38">
        <v>44860</v>
      </c>
      <c r="D7704" s="1" t="s">
        <v>264</v>
      </c>
      <c r="E7704" s="1" t="s">
        <v>38</v>
      </c>
      <c r="F7704" s="1" t="s">
        <v>202</v>
      </c>
      <c r="G7704" s="5">
        <v>44.6</v>
      </c>
    </row>
    <row r="7705" spans="1:7" x14ac:dyDescent="0.2">
      <c r="A7705" s="3">
        <v>120</v>
      </c>
      <c r="B7705" s="2">
        <v>21718.799999999999</v>
      </c>
      <c r="C7705" s="38">
        <v>44862</v>
      </c>
      <c r="D7705" s="1" t="s">
        <v>284</v>
      </c>
      <c r="E7705" s="1" t="s">
        <v>38</v>
      </c>
      <c r="F7705" s="1" t="s">
        <v>202</v>
      </c>
      <c r="G7705" s="5">
        <v>180.99</v>
      </c>
    </row>
    <row r="7706" spans="1:7" x14ac:dyDescent="0.2">
      <c r="A7706" s="3">
        <v>588</v>
      </c>
      <c r="B7706" s="2">
        <v>128813.16</v>
      </c>
      <c r="C7706" s="38">
        <v>44868</v>
      </c>
      <c r="D7706" s="1" t="s">
        <v>257</v>
      </c>
      <c r="E7706" s="1" t="s">
        <v>38</v>
      </c>
      <c r="F7706" s="1" t="s">
        <v>202</v>
      </c>
      <c r="G7706" s="5">
        <v>219.07</v>
      </c>
    </row>
    <row r="7707" spans="1:7" x14ac:dyDescent="0.2">
      <c r="A7707" s="3">
        <v>420</v>
      </c>
      <c r="B7707" s="2">
        <v>4141.2</v>
      </c>
      <c r="C7707" s="38">
        <v>44882</v>
      </c>
      <c r="D7707" s="1" t="s">
        <v>249</v>
      </c>
      <c r="E7707" s="1" t="s">
        <v>38</v>
      </c>
      <c r="F7707" s="1" t="s">
        <v>202</v>
      </c>
      <c r="G7707" s="5">
        <v>9.86</v>
      </c>
    </row>
    <row r="7708" spans="1:7" x14ac:dyDescent="0.2">
      <c r="A7708" s="3">
        <v>1120</v>
      </c>
      <c r="B7708" s="2">
        <v>58699.199999999997</v>
      </c>
      <c r="C7708" s="38">
        <v>44883</v>
      </c>
      <c r="D7708" s="1" t="s">
        <v>252</v>
      </c>
      <c r="E7708" s="1" t="s">
        <v>38</v>
      </c>
      <c r="F7708" s="1" t="s">
        <v>202</v>
      </c>
      <c r="G7708" s="5">
        <v>52.41</v>
      </c>
    </row>
    <row r="7709" spans="1:7" x14ac:dyDescent="0.2">
      <c r="A7709" s="3">
        <v>420</v>
      </c>
      <c r="B7709" s="2">
        <v>4141.2</v>
      </c>
      <c r="C7709" s="38">
        <v>44894</v>
      </c>
      <c r="D7709" s="1" t="s">
        <v>249</v>
      </c>
      <c r="E7709" s="1" t="s">
        <v>38</v>
      </c>
      <c r="F7709" s="1" t="s">
        <v>202</v>
      </c>
      <c r="G7709" s="5">
        <v>9.86</v>
      </c>
    </row>
    <row r="7710" spans="1:7" x14ac:dyDescent="0.2">
      <c r="A7710" s="3">
        <v>308</v>
      </c>
      <c r="B7710" s="2">
        <v>18415.32</v>
      </c>
      <c r="C7710" s="38">
        <v>44896</v>
      </c>
      <c r="D7710" s="1" t="s">
        <v>292</v>
      </c>
      <c r="E7710" s="1" t="s">
        <v>38</v>
      </c>
      <c r="F7710" s="1" t="s">
        <v>202</v>
      </c>
      <c r="G7710" s="5">
        <v>59.79</v>
      </c>
    </row>
    <row r="7711" spans="1:7" x14ac:dyDescent="0.2">
      <c r="A7711" s="3">
        <v>50</v>
      </c>
      <c r="B7711" s="2">
        <v>37927.5</v>
      </c>
      <c r="C7711" s="38">
        <v>44897</v>
      </c>
      <c r="D7711" s="1" t="s">
        <v>290</v>
      </c>
      <c r="E7711" s="1" t="s">
        <v>38</v>
      </c>
      <c r="F7711" s="1" t="s">
        <v>202</v>
      </c>
      <c r="G7711" s="5">
        <v>758.55</v>
      </c>
    </row>
    <row r="7712" spans="1:7" x14ac:dyDescent="0.2">
      <c r="A7712" s="3">
        <v>9</v>
      </c>
      <c r="B7712" s="2">
        <v>6826.95</v>
      </c>
      <c r="C7712" s="38">
        <v>44901</v>
      </c>
      <c r="D7712" s="1" t="s">
        <v>290</v>
      </c>
      <c r="E7712" s="1" t="s">
        <v>38</v>
      </c>
      <c r="F7712" s="1" t="s">
        <v>202</v>
      </c>
      <c r="G7712" s="5">
        <v>758.55</v>
      </c>
    </row>
    <row r="7713" spans="1:7" x14ac:dyDescent="0.2">
      <c r="A7713" s="3">
        <v>348</v>
      </c>
      <c r="B7713" s="2">
        <v>12604.56</v>
      </c>
      <c r="C7713" s="38">
        <v>44708</v>
      </c>
      <c r="D7713" s="1" t="s">
        <v>382</v>
      </c>
      <c r="E7713" s="1" t="s">
        <v>38</v>
      </c>
      <c r="F7713" s="1" t="s">
        <v>202</v>
      </c>
      <c r="G7713" s="5">
        <v>36.22</v>
      </c>
    </row>
    <row r="7714" spans="1:7" x14ac:dyDescent="0.2">
      <c r="A7714" s="3">
        <v>348</v>
      </c>
      <c r="B7714" s="2">
        <v>12604.56</v>
      </c>
      <c r="C7714" s="38">
        <v>44708</v>
      </c>
      <c r="D7714" s="1" t="s">
        <v>382</v>
      </c>
      <c r="E7714" s="1" t="s">
        <v>38</v>
      </c>
      <c r="F7714" s="1" t="s">
        <v>202</v>
      </c>
      <c r="G7714" s="5">
        <v>36.22</v>
      </c>
    </row>
    <row r="7715" spans="1:7" x14ac:dyDescent="0.2">
      <c r="A7715" s="3">
        <v>147</v>
      </c>
      <c r="B7715" s="2">
        <v>51078.09</v>
      </c>
      <c r="C7715" s="38">
        <v>44740</v>
      </c>
      <c r="D7715" s="1" t="s">
        <v>259</v>
      </c>
      <c r="E7715" s="1" t="s">
        <v>38</v>
      </c>
      <c r="F7715" s="1" t="s">
        <v>202</v>
      </c>
      <c r="G7715" s="5">
        <v>347.47</v>
      </c>
    </row>
    <row r="7716" spans="1:7" x14ac:dyDescent="0.2">
      <c r="A7716" s="3">
        <v>334</v>
      </c>
      <c r="B7716" s="2">
        <v>12097.48</v>
      </c>
      <c r="C7716" s="38">
        <v>44741</v>
      </c>
      <c r="D7716" s="1" t="s">
        <v>382</v>
      </c>
      <c r="E7716" s="1" t="s">
        <v>38</v>
      </c>
      <c r="F7716" s="1" t="s">
        <v>202</v>
      </c>
      <c r="G7716" s="5">
        <v>36.22</v>
      </c>
    </row>
    <row r="7717" spans="1:7" x14ac:dyDescent="0.2">
      <c r="A7717" s="3">
        <v>588</v>
      </c>
      <c r="B7717" s="2">
        <v>135869.16</v>
      </c>
      <c r="C7717" s="38">
        <v>45149</v>
      </c>
      <c r="D7717" s="1" t="s">
        <v>257</v>
      </c>
      <c r="E7717" s="1" t="s">
        <v>38</v>
      </c>
      <c r="F7717" s="1" t="s">
        <v>202</v>
      </c>
      <c r="G7717" s="5">
        <v>231.07</v>
      </c>
    </row>
    <row r="7718" spans="1:7" x14ac:dyDescent="0.2">
      <c r="A7718" s="3">
        <v>420</v>
      </c>
      <c r="B7718" s="2">
        <v>4363.8</v>
      </c>
      <c r="C7718" s="38">
        <v>45153</v>
      </c>
      <c r="D7718" s="1" t="s">
        <v>249</v>
      </c>
      <c r="E7718" s="1" t="s">
        <v>38</v>
      </c>
      <c r="F7718" s="1" t="s">
        <v>202</v>
      </c>
      <c r="G7718" s="5">
        <v>10.39</v>
      </c>
    </row>
    <row r="7719" spans="1:7" x14ac:dyDescent="0.2">
      <c r="A7719" s="3">
        <v>420</v>
      </c>
      <c r="B7719" s="2">
        <v>4363.8</v>
      </c>
      <c r="C7719" s="38">
        <v>45153</v>
      </c>
      <c r="D7719" s="1" t="s">
        <v>249</v>
      </c>
      <c r="E7719" s="1" t="s">
        <v>38</v>
      </c>
      <c r="F7719" s="1" t="s">
        <v>202</v>
      </c>
      <c r="G7719" s="5">
        <v>10.39</v>
      </c>
    </row>
    <row r="7720" spans="1:7" x14ac:dyDescent="0.2">
      <c r="A7720" s="3">
        <v>70</v>
      </c>
      <c r="B7720" s="2">
        <v>35321.300000000003</v>
      </c>
      <c r="C7720" s="38">
        <v>45166</v>
      </c>
      <c r="D7720" s="1" t="s">
        <v>283</v>
      </c>
      <c r="E7720" s="1" t="s">
        <v>38</v>
      </c>
      <c r="F7720" s="1" t="s">
        <v>202</v>
      </c>
      <c r="G7720" s="5">
        <v>504.59</v>
      </c>
    </row>
    <row r="7721" spans="1:7" x14ac:dyDescent="0.2">
      <c r="A7721" s="3">
        <v>70</v>
      </c>
      <c r="B7721" s="2">
        <v>35321.300000000003</v>
      </c>
      <c r="C7721" s="38">
        <v>45167</v>
      </c>
      <c r="D7721" s="1" t="s">
        <v>283</v>
      </c>
      <c r="E7721" s="1" t="s">
        <v>38</v>
      </c>
      <c r="F7721" s="1" t="s">
        <v>202</v>
      </c>
      <c r="G7721" s="5">
        <v>504.59</v>
      </c>
    </row>
    <row r="7722" spans="1:7" x14ac:dyDescent="0.2">
      <c r="A7722" s="3">
        <v>252</v>
      </c>
      <c r="B7722" s="2">
        <v>6226.92</v>
      </c>
      <c r="C7722" s="38">
        <v>45168</v>
      </c>
      <c r="D7722" s="1" t="s">
        <v>294</v>
      </c>
      <c r="E7722" s="1" t="s">
        <v>38</v>
      </c>
      <c r="F7722" s="1" t="s">
        <v>202</v>
      </c>
      <c r="G7722" s="5">
        <v>24.71</v>
      </c>
    </row>
    <row r="7723" spans="1:7" x14ac:dyDescent="0.2">
      <c r="A7723" s="3">
        <v>463</v>
      </c>
      <c r="B7723" s="2">
        <v>45633.279999999999</v>
      </c>
      <c r="C7723" s="38">
        <v>45175</v>
      </c>
      <c r="D7723" s="1" t="s">
        <v>266</v>
      </c>
      <c r="E7723" s="1" t="s">
        <v>38</v>
      </c>
      <c r="F7723" s="1" t="s">
        <v>202</v>
      </c>
      <c r="G7723" s="5">
        <v>98.56</v>
      </c>
    </row>
    <row r="7724" spans="1:7" x14ac:dyDescent="0.2">
      <c r="A7724" s="3">
        <v>166</v>
      </c>
      <c r="B7724" s="2">
        <v>118582.1</v>
      </c>
      <c r="C7724" s="38">
        <v>45175</v>
      </c>
      <c r="D7724" s="1" t="s">
        <v>290</v>
      </c>
      <c r="E7724" s="1" t="s">
        <v>38</v>
      </c>
      <c r="F7724" s="1" t="s">
        <v>202</v>
      </c>
      <c r="G7724" s="5">
        <v>714.35</v>
      </c>
    </row>
    <row r="7725" spans="1:7" x14ac:dyDescent="0.2">
      <c r="A7725" s="3">
        <v>216</v>
      </c>
      <c r="B7725" s="2">
        <v>154299.6</v>
      </c>
      <c r="C7725" s="38">
        <v>45175</v>
      </c>
      <c r="D7725" s="1" t="s">
        <v>290</v>
      </c>
      <c r="E7725" s="1" t="s">
        <v>38</v>
      </c>
      <c r="F7725" s="1" t="s">
        <v>202</v>
      </c>
      <c r="G7725" s="5">
        <v>714.35</v>
      </c>
    </row>
    <row r="7726" spans="1:7" x14ac:dyDescent="0.2">
      <c r="A7726" s="3">
        <v>216</v>
      </c>
      <c r="B7726" s="2">
        <v>154299.6</v>
      </c>
      <c r="C7726" s="38">
        <v>45175</v>
      </c>
      <c r="D7726" s="1" t="s">
        <v>290</v>
      </c>
      <c r="E7726" s="1" t="s">
        <v>38</v>
      </c>
      <c r="F7726" s="1" t="s">
        <v>202</v>
      </c>
      <c r="G7726" s="5">
        <v>714.35</v>
      </c>
    </row>
    <row r="7727" spans="1:7" x14ac:dyDescent="0.2">
      <c r="A7727" s="3">
        <v>14</v>
      </c>
      <c r="B7727" s="2">
        <v>10000.9</v>
      </c>
      <c r="C7727" s="38">
        <v>45175</v>
      </c>
      <c r="D7727" s="1" t="s">
        <v>290</v>
      </c>
      <c r="E7727" s="1" t="s">
        <v>38</v>
      </c>
      <c r="F7727" s="1" t="s">
        <v>202</v>
      </c>
      <c r="G7727" s="5">
        <v>714.35</v>
      </c>
    </row>
    <row r="7728" spans="1:7" x14ac:dyDescent="0.2">
      <c r="A7728" s="3">
        <v>11</v>
      </c>
      <c r="B7728" s="2">
        <v>8344.0499999999993</v>
      </c>
      <c r="C7728" s="38">
        <v>44939</v>
      </c>
      <c r="D7728" s="1" t="s">
        <v>290</v>
      </c>
      <c r="E7728" s="1" t="s">
        <v>38</v>
      </c>
      <c r="F7728" s="1" t="s">
        <v>202</v>
      </c>
      <c r="G7728" s="5">
        <v>758.55</v>
      </c>
    </row>
    <row r="7729" spans="1:7" x14ac:dyDescent="0.2">
      <c r="A7729" s="3">
        <v>84</v>
      </c>
      <c r="B7729" s="2">
        <v>57440.04</v>
      </c>
      <c r="C7729" s="38">
        <v>44942</v>
      </c>
      <c r="D7729" s="1" t="s">
        <v>279</v>
      </c>
      <c r="E7729" s="1" t="s">
        <v>38</v>
      </c>
      <c r="F7729" s="1" t="s">
        <v>202</v>
      </c>
      <c r="G7729" s="5">
        <v>683.81</v>
      </c>
    </row>
    <row r="7730" spans="1:7" x14ac:dyDescent="0.2">
      <c r="A7730" s="3">
        <v>120</v>
      </c>
      <c r="B7730" s="2">
        <v>21718.799999999999</v>
      </c>
      <c r="C7730" s="38">
        <v>44945</v>
      </c>
      <c r="D7730" s="1" t="s">
        <v>284</v>
      </c>
      <c r="E7730" s="1" t="s">
        <v>38</v>
      </c>
      <c r="F7730" s="1" t="s">
        <v>202</v>
      </c>
      <c r="G7730" s="5">
        <v>180.99</v>
      </c>
    </row>
    <row r="7731" spans="1:7" x14ac:dyDescent="0.2">
      <c r="A7731" s="3">
        <v>180</v>
      </c>
      <c r="B7731" s="2">
        <v>128583</v>
      </c>
      <c r="C7731" s="38">
        <v>44945</v>
      </c>
      <c r="D7731" s="1" t="s">
        <v>290</v>
      </c>
      <c r="E7731" s="1" t="s">
        <v>38</v>
      </c>
      <c r="F7731" s="1" t="s">
        <v>202</v>
      </c>
      <c r="G7731" s="5">
        <v>714.35</v>
      </c>
    </row>
    <row r="7732" spans="1:7" x14ac:dyDescent="0.2">
      <c r="A7732" s="3">
        <v>180</v>
      </c>
      <c r="B7732" s="2">
        <v>128583</v>
      </c>
      <c r="C7732" s="38">
        <v>44945</v>
      </c>
      <c r="D7732" s="1" t="s">
        <v>290</v>
      </c>
      <c r="E7732" s="1" t="s">
        <v>38</v>
      </c>
      <c r="F7732" s="1" t="s">
        <v>202</v>
      </c>
      <c r="G7732" s="5">
        <v>714.35</v>
      </c>
    </row>
    <row r="7733" spans="1:7" x14ac:dyDescent="0.2">
      <c r="A7733" s="3">
        <v>36</v>
      </c>
      <c r="B7733" s="2">
        <v>25716.6</v>
      </c>
      <c r="C7733" s="38">
        <v>44945</v>
      </c>
      <c r="D7733" s="1" t="s">
        <v>290</v>
      </c>
      <c r="E7733" s="1" t="s">
        <v>38</v>
      </c>
      <c r="F7733" s="1" t="s">
        <v>202</v>
      </c>
      <c r="G7733" s="5">
        <v>714.35</v>
      </c>
    </row>
    <row r="7734" spans="1:7" x14ac:dyDescent="0.2">
      <c r="A7734" s="3">
        <v>216</v>
      </c>
      <c r="B7734" s="2">
        <v>154299.6</v>
      </c>
      <c r="C7734" s="38">
        <v>44945</v>
      </c>
      <c r="D7734" s="1" t="s">
        <v>290</v>
      </c>
      <c r="E7734" s="1" t="s">
        <v>38</v>
      </c>
      <c r="F7734" s="1" t="s">
        <v>202</v>
      </c>
      <c r="G7734" s="5">
        <v>714.35</v>
      </c>
    </row>
    <row r="7735" spans="1:7" x14ac:dyDescent="0.2">
      <c r="A7735" s="3">
        <v>32</v>
      </c>
      <c r="B7735" s="2">
        <v>22859.200000000001</v>
      </c>
      <c r="C7735" s="38">
        <v>44945</v>
      </c>
      <c r="D7735" s="1" t="s">
        <v>290</v>
      </c>
      <c r="E7735" s="1" t="s">
        <v>38</v>
      </c>
      <c r="F7735" s="1" t="s">
        <v>202</v>
      </c>
      <c r="G7735" s="5">
        <v>714.35</v>
      </c>
    </row>
    <row r="7736" spans="1:7" x14ac:dyDescent="0.2">
      <c r="A7736" s="3">
        <v>144</v>
      </c>
      <c r="B7736" s="2">
        <v>102866.4</v>
      </c>
      <c r="C7736" s="38">
        <v>44945</v>
      </c>
      <c r="D7736" s="1" t="s">
        <v>290</v>
      </c>
      <c r="E7736" s="1" t="s">
        <v>38</v>
      </c>
      <c r="F7736" s="1" t="s">
        <v>202</v>
      </c>
      <c r="G7736" s="5">
        <v>714.35</v>
      </c>
    </row>
    <row r="7737" spans="1:7" x14ac:dyDescent="0.2">
      <c r="A7737" s="3">
        <v>108</v>
      </c>
      <c r="B7737" s="2">
        <v>77149.8</v>
      </c>
      <c r="C7737" s="38">
        <v>44945</v>
      </c>
      <c r="D7737" s="1" t="s">
        <v>290</v>
      </c>
      <c r="E7737" s="1" t="s">
        <v>38</v>
      </c>
      <c r="F7737" s="1" t="s">
        <v>202</v>
      </c>
      <c r="G7737" s="5">
        <v>714.35</v>
      </c>
    </row>
    <row r="7738" spans="1:7" x14ac:dyDescent="0.2">
      <c r="A7738" s="3">
        <v>180</v>
      </c>
      <c r="B7738" s="2">
        <v>128583</v>
      </c>
      <c r="C7738" s="38">
        <v>44945</v>
      </c>
      <c r="D7738" s="1" t="s">
        <v>290</v>
      </c>
      <c r="E7738" s="1" t="s">
        <v>38</v>
      </c>
      <c r="F7738" s="1" t="s">
        <v>202</v>
      </c>
      <c r="G7738" s="5">
        <v>714.35</v>
      </c>
    </row>
    <row r="7739" spans="1:7" x14ac:dyDescent="0.2">
      <c r="A7739" s="3">
        <v>216</v>
      </c>
      <c r="B7739" s="2">
        <v>154299.6</v>
      </c>
      <c r="C7739" s="38">
        <v>44945</v>
      </c>
      <c r="D7739" s="1" t="s">
        <v>290</v>
      </c>
      <c r="E7739" s="1" t="s">
        <v>38</v>
      </c>
      <c r="F7739" s="1" t="s">
        <v>202</v>
      </c>
      <c r="G7739" s="5">
        <v>714.35</v>
      </c>
    </row>
    <row r="7740" spans="1:7" x14ac:dyDescent="0.2">
      <c r="A7740" s="3">
        <v>144</v>
      </c>
      <c r="B7740" s="2">
        <v>102866.4</v>
      </c>
      <c r="C7740" s="38">
        <v>44945</v>
      </c>
      <c r="D7740" s="1" t="s">
        <v>290</v>
      </c>
      <c r="E7740" s="1" t="s">
        <v>38</v>
      </c>
      <c r="F7740" s="1" t="s">
        <v>202</v>
      </c>
      <c r="G7740" s="5">
        <v>714.35</v>
      </c>
    </row>
    <row r="7741" spans="1:7" x14ac:dyDescent="0.2">
      <c r="A7741" s="3">
        <v>180</v>
      </c>
      <c r="B7741" s="2">
        <v>128583</v>
      </c>
      <c r="C7741" s="38">
        <v>44945</v>
      </c>
      <c r="D7741" s="1" t="s">
        <v>290</v>
      </c>
      <c r="E7741" s="1" t="s">
        <v>38</v>
      </c>
      <c r="F7741" s="1" t="s">
        <v>202</v>
      </c>
      <c r="G7741" s="5">
        <v>714.35</v>
      </c>
    </row>
    <row r="7742" spans="1:7" x14ac:dyDescent="0.2">
      <c r="A7742" s="3">
        <v>216</v>
      </c>
      <c r="B7742" s="2">
        <v>154299.6</v>
      </c>
      <c r="C7742" s="38">
        <v>44945</v>
      </c>
      <c r="D7742" s="1" t="s">
        <v>290</v>
      </c>
      <c r="E7742" s="1" t="s">
        <v>38</v>
      </c>
      <c r="F7742" s="1" t="s">
        <v>202</v>
      </c>
      <c r="G7742" s="5">
        <v>714.35</v>
      </c>
    </row>
    <row r="7743" spans="1:7" x14ac:dyDescent="0.2">
      <c r="A7743" s="3">
        <v>180</v>
      </c>
      <c r="B7743" s="2">
        <v>128583</v>
      </c>
      <c r="C7743" s="38">
        <v>44945</v>
      </c>
      <c r="D7743" s="1" t="s">
        <v>290</v>
      </c>
      <c r="E7743" s="1" t="s">
        <v>38</v>
      </c>
      <c r="F7743" s="1" t="s">
        <v>202</v>
      </c>
      <c r="G7743" s="5">
        <v>714.35</v>
      </c>
    </row>
    <row r="7744" spans="1:7" x14ac:dyDescent="0.2">
      <c r="A7744" s="3">
        <v>432</v>
      </c>
      <c r="B7744" s="2">
        <v>87730.559999999998</v>
      </c>
      <c r="C7744" s="38">
        <v>44952</v>
      </c>
      <c r="D7744" s="1" t="s">
        <v>386</v>
      </c>
      <c r="E7744" s="1" t="s">
        <v>38</v>
      </c>
      <c r="F7744" s="1" t="s">
        <v>202</v>
      </c>
      <c r="G7744" s="5">
        <v>203.08</v>
      </c>
    </row>
    <row r="7745" spans="1:7" x14ac:dyDescent="0.2">
      <c r="A7745" s="3">
        <v>1820</v>
      </c>
      <c r="B7745" s="2">
        <v>4313.3999999999996</v>
      </c>
      <c r="C7745" s="38">
        <v>44952</v>
      </c>
      <c r="D7745" s="1" t="s">
        <v>250</v>
      </c>
      <c r="E7745" s="1" t="s">
        <v>38</v>
      </c>
      <c r="F7745" s="1" t="s">
        <v>202</v>
      </c>
      <c r="G7745" s="5">
        <v>2.37</v>
      </c>
    </row>
    <row r="7746" spans="1:7" x14ac:dyDescent="0.2">
      <c r="A7746" s="3">
        <v>588</v>
      </c>
      <c r="B7746" s="2">
        <v>128813.16</v>
      </c>
      <c r="C7746" s="38">
        <v>44952</v>
      </c>
      <c r="D7746" s="1" t="s">
        <v>257</v>
      </c>
      <c r="E7746" s="1" t="s">
        <v>38</v>
      </c>
      <c r="F7746" s="1" t="s">
        <v>202</v>
      </c>
      <c r="G7746" s="5">
        <v>219.07</v>
      </c>
    </row>
    <row r="7747" spans="1:7" x14ac:dyDescent="0.2">
      <c r="A7747" s="3">
        <v>120</v>
      </c>
      <c r="B7747" s="2">
        <v>23022</v>
      </c>
      <c r="C7747" s="38">
        <v>44952</v>
      </c>
      <c r="D7747" s="1" t="s">
        <v>284</v>
      </c>
      <c r="E7747" s="1" t="s">
        <v>38</v>
      </c>
      <c r="F7747" s="1" t="s">
        <v>202</v>
      </c>
      <c r="G7747" s="5">
        <v>191.85</v>
      </c>
    </row>
    <row r="7748" spans="1:7" x14ac:dyDescent="0.2">
      <c r="A7748" s="3">
        <v>160</v>
      </c>
      <c r="B7748" s="2">
        <v>114296</v>
      </c>
      <c r="C7748" s="38">
        <v>44952</v>
      </c>
      <c r="D7748" s="1" t="s">
        <v>290</v>
      </c>
      <c r="E7748" s="1" t="s">
        <v>38</v>
      </c>
      <c r="F7748" s="1" t="s">
        <v>202</v>
      </c>
      <c r="G7748" s="5">
        <v>714.35</v>
      </c>
    </row>
    <row r="7749" spans="1:7" x14ac:dyDescent="0.2">
      <c r="A7749" s="3">
        <v>940</v>
      </c>
      <c r="B7749" s="2">
        <v>1541.6</v>
      </c>
      <c r="C7749" s="38">
        <v>44953</v>
      </c>
      <c r="D7749" s="1" t="s">
        <v>272</v>
      </c>
      <c r="E7749" s="1" t="s">
        <v>38</v>
      </c>
      <c r="F7749" s="1" t="s">
        <v>202</v>
      </c>
      <c r="G7749" s="5">
        <v>1.64</v>
      </c>
    </row>
    <row r="7750" spans="1:7" x14ac:dyDescent="0.2">
      <c r="A7750" s="3">
        <v>7</v>
      </c>
      <c r="B7750" s="2">
        <v>101.08</v>
      </c>
      <c r="C7750" s="38">
        <v>44963</v>
      </c>
      <c r="D7750" s="1" t="s">
        <v>281</v>
      </c>
      <c r="E7750" s="1" t="s">
        <v>38</v>
      </c>
      <c r="F7750" s="1" t="s">
        <v>202</v>
      </c>
      <c r="G7750" s="5">
        <v>14.44</v>
      </c>
    </row>
    <row r="7751" spans="1:7" x14ac:dyDescent="0.2">
      <c r="A7751" s="3">
        <v>20</v>
      </c>
      <c r="B7751" s="2">
        <v>14287</v>
      </c>
      <c r="C7751" s="38">
        <v>44963</v>
      </c>
      <c r="D7751" s="1" t="s">
        <v>290</v>
      </c>
      <c r="E7751" s="1" t="s">
        <v>38</v>
      </c>
      <c r="F7751" s="1" t="s">
        <v>202</v>
      </c>
      <c r="G7751" s="5">
        <v>714.35</v>
      </c>
    </row>
    <row r="7752" spans="1:7" x14ac:dyDescent="0.2">
      <c r="A7752" s="3">
        <v>222</v>
      </c>
      <c r="B7752" s="2">
        <v>3205.68</v>
      </c>
      <c r="C7752" s="38">
        <v>44965</v>
      </c>
      <c r="D7752" s="1" t="s">
        <v>281</v>
      </c>
      <c r="E7752" s="1" t="s">
        <v>38</v>
      </c>
      <c r="F7752" s="1" t="s">
        <v>202</v>
      </c>
      <c r="G7752" s="5">
        <v>14.44</v>
      </c>
    </row>
    <row r="7753" spans="1:7" x14ac:dyDescent="0.2">
      <c r="A7753" s="3">
        <v>144</v>
      </c>
      <c r="B7753" s="2">
        <v>102866.4</v>
      </c>
      <c r="C7753" s="38">
        <v>44965</v>
      </c>
      <c r="D7753" s="1" t="s">
        <v>290</v>
      </c>
      <c r="E7753" s="1" t="s">
        <v>38</v>
      </c>
      <c r="F7753" s="1" t="s">
        <v>202</v>
      </c>
      <c r="G7753" s="5">
        <v>714.35</v>
      </c>
    </row>
    <row r="7754" spans="1:7" x14ac:dyDescent="0.2">
      <c r="A7754" s="3">
        <v>252</v>
      </c>
      <c r="B7754" s="2">
        <v>180016.2</v>
      </c>
      <c r="C7754" s="38">
        <v>44965</v>
      </c>
      <c r="D7754" s="1" t="s">
        <v>290</v>
      </c>
      <c r="E7754" s="1" t="s">
        <v>38</v>
      </c>
      <c r="F7754" s="1" t="s">
        <v>202</v>
      </c>
      <c r="G7754" s="5">
        <v>714.35</v>
      </c>
    </row>
    <row r="7755" spans="1:7" x14ac:dyDescent="0.2">
      <c r="A7755" s="3">
        <v>12100</v>
      </c>
      <c r="B7755" s="2">
        <v>68728</v>
      </c>
      <c r="C7755" s="38">
        <v>44966</v>
      </c>
      <c r="D7755" s="1" t="s">
        <v>277</v>
      </c>
      <c r="E7755" s="1" t="s">
        <v>38</v>
      </c>
      <c r="F7755" s="1" t="s">
        <v>202</v>
      </c>
      <c r="G7755" s="5">
        <v>5.68</v>
      </c>
    </row>
    <row r="7756" spans="1:7" x14ac:dyDescent="0.2">
      <c r="A7756" s="3">
        <v>252</v>
      </c>
      <c r="B7756" s="2">
        <v>106089.48</v>
      </c>
      <c r="C7756" s="38">
        <v>44971</v>
      </c>
      <c r="D7756" s="1" t="s">
        <v>327</v>
      </c>
      <c r="E7756" s="1" t="s">
        <v>38</v>
      </c>
      <c r="F7756" s="1" t="s">
        <v>202</v>
      </c>
      <c r="G7756" s="5">
        <v>420.99</v>
      </c>
    </row>
    <row r="7757" spans="1:7" x14ac:dyDescent="0.2">
      <c r="A7757" s="3">
        <v>86</v>
      </c>
      <c r="B7757" s="2">
        <v>61434.1</v>
      </c>
      <c r="C7757" s="38">
        <v>44972</v>
      </c>
      <c r="D7757" s="1" t="s">
        <v>290</v>
      </c>
      <c r="E7757" s="1" t="s">
        <v>38</v>
      </c>
      <c r="F7757" s="1" t="s">
        <v>202</v>
      </c>
      <c r="G7757" s="5">
        <v>714.35</v>
      </c>
    </row>
    <row r="7758" spans="1:7" x14ac:dyDescent="0.2">
      <c r="A7758" s="3">
        <v>1120</v>
      </c>
      <c r="B7758" s="2">
        <v>1836.8</v>
      </c>
      <c r="C7758" s="38">
        <v>44979</v>
      </c>
      <c r="D7758" s="1" t="s">
        <v>272</v>
      </c>
      <c r="E7758" s="1" t="s">
        <v>38</v>
      </c>
      <c r="F7758" s="1" t="s">
        <v>202</v>
      </c>
      <c r="G7758" s="5">
        <v>1.64</v>
      </c>
    </row>
    <row r="7759" spans="1:7" x14ac:dyDescent="0.2">
      <c r="A7759" s="3">
        <v>1512</v>
      </c>
      <c r="B7759" s="2">
        <v>455686.56</v>
      </c>
      <c r="C7759" s="38">
        <v>44979</v>
      </c>
      <c r="D7759" s="1" t="s">
        <v>352</v>
      </c>
      <c r="E7759" s="1" t="s">
        <v>38</v>
      </c>
      <c r="F7759" s="1" t="s">
        <v>202</v>
      </c>
      <c r="G7759" s="5">
        <v>301.38</v>
      </c>
    </row>
    <row r="7760" spans="1:7" x14ac:dyDescent="0.2">
      <c r="A7760" s="3">
        <v>308</v>
      </c>
      <c r="B7760" s="2">
        <v>18014.919999999998</v>
      </c>
      <c r="C7760" s="38">
        <v>44979</v>
      </c>
      <c r="D7760" s="1" t="s">
        <v>292</v>
      </c>
      <c r="E7760" s="1" t="s">
        <v>38</v>
      </c>
      <c r="F7760" s="1" t="s">
        <v>202</v>
      </c>
      <c r="G7760" s="5">
        <v>58.49</v>
      </c>
    </row>
    <row r="7761" spans="1:7" x14ac:dyDescent="0.2">
      <c r="A7761" s="3">
        <v>432</v>
      </c>
      <c r="B7761" s="2">
        <v>87730.559999999998</v>
      </c>
      <c r="C7761" s="38">
        <v>44988</v>
      </c>
      <c r="D7761" s="1" t="s">
        <v>386</v>
      </c>
      <c r="E7761" s="1" t="s">
        <v>38</v>
      </c>
      <c r="F7761" s="1" t="s">
        <v>202</v>
      </c>
      <c r="G7761" s="5">
        <v>203.08</v>
      </c>
    </row>
    <row r="7762" spans="1:7" x14ac:dyDescent="0.2">
      <c r="A7762" s="3">
        <v>432</v>
      </c>
      <c r="B7762" s="2">
        <v>87730.559999999998</v>
      </c>
      <c r="C7762" s="38">
        <v>45000</v>
      </c>
      <c r="D7762" s="1" t="s">
        <v>386</v>
      </c>
      <c r="E7762" s="1" t="s">
        <v>38</v>
      </c>
      <c r="F7762" s="1" t="s">
        <v>202</v>
      </c>
      <c r="G7762" s="5">
        <v>203.08</v>
      </c>
    </row>
    <row r="7763" spans="1:7" x14ac:dyDescent="0.2">
      <c r="A7763" s="3">
        <v>432</v>
      </c>
      <c r="B7763" s="2">
        <v>87730.559999999998</v>
      </c>
      <c r="C7763" s="38">
        <v>45000</v>
      </c>
      <c r="D7763" s="1" t="s">
        <v>386</v>
      </c>
      <c r="E7763" s="1" t="s">
        <v>38</v>
      </c>
      <c r="F7763" s="1" t="s">
        <v>202</v>
      </c>
      <c r="G7763" s="5">
        <v>203.08</v>
      </c>
    </row>
    <row r="7764" spans="1:7" x14ac:dyDescent="0.2">
      <c r="A7764" s="3">
        <v>84</v>
      </c>
      <c r="B7764" s="2">
        <v>57440.04</v>
      </c>
      <c r="C7764" s="38">
        <v>45000</v>
      </c>
      <c r="D7764" s="1" t="s">
        <v>279</v>
      </c>
      <c r="E7764" s="1" t="s">
        <v>38</v>
      </c>
      <c r="F7764" s="1" t="s">
        <v>202</v>
      </c>
      <c r="G7764" s="5">
        <v>683.81</v>
      </c>
    </row>
    <row r="7765" spans="1:7" x14ac:dyDescent="0.2">
      <c r="A7765" s="3">
        <v>216</v>
      </c>
      <c r="B7765" s="2">
        <v>154299.6</v>
      </c>
      <c r="C7765" s="38">
        <v>45006</v>
      </c>
      <c r="D7765" s="1" t="s">
        <v>290</v>
      </c>
      <c r="E7765" s="1" t="s">
        <v>38</v>
      </c>
      <c r="F7765" s="1" t="s">
        <v>202</v>
      </c>
      <c r="G7765" s="5">
        <v>714.35</v>
      </c>
    </row>
    <row r="7766" spans="1:7" x14ac:dyDescent="0.2">
      <c r="A7766" s="3">
        <v>180</v>
      </c>
      <c r="B7766" s="2">
        <v>295.2</v>
      </c>
      <c r="C7766" s="38">
        <v>45007</v>
      </c>
      <c r="D7766" s="1" t="s">
        <v>272</v>
      </c>
      <c r="E7766" s="1" t="s">
        <v>38</v>
      </c>
      <c r="F7766" s="1" t="s">
        <v>202</v>
      </c>
      <c r="G7766" s="5">
        <v>1.64</v>
      </c>
    </row>
    <row r="7767" spans="1:7" x14ac:dyDescent="0.2">
      <c r="A7767" s="3">
        <v>940</v>
      </c>
      <c r="B7767" s="2">
        <v>1541.6</v>
      </c>
      <c r="C7767" s="38">
        <v>45007</v>
      </c>
      <c r="D7767" s="1" t="s">
        <v>272</v>
      </c>
      <c r="E7767" s="1" t="s">
        <v>38</v>
      </c>
      <c r="F7767" s="1" t="s">
        <v>202</v>
      </c>
      <c r="G7767" s="5">
        <v>1.64</v>
      </c>
    </row>
    <row r="7768" spans="1:7" x14ac:dyDescent="0.2">
      <c r="A7768" s="3">
        <v>15876</v>
      </c>
      <c r="B7768" s="2">
        <v>90175.679999999993</v>
      </c>
      <c r="C7768" s="38">
        <v>45008</v>
      </c>
      <c r="D7768" s="1" t="s">
        <v>277</v>
      </c>
      <c r="E7768" s="1" t="s">
        <v>38</v>
      </c>
      <c r="F7768" s="1" t="s">
        <v>202</v>
      </c>
      <c r="G7768" s="5">
        <v>5.68</v>
      </c>
    </row>
    <row r="7769" spans="1:7" x14ac:dyDescent="0.2">
      <c r="A7769" s="3">
        <v>432</v>
      </c>
      <c r="B7769" s="2">
        <v>87730.559999999998</v>
      </c>
      <c r="C7769" s="38">
        <v>45012</v>
      </c>
      <c r="D7769" s="1" t="s">
        <v>386</v>
      </c>
      <c r="E7769" s="1" t="s">
        <v>38</v>
      </c>
      <c r="F7769" s="1" t="s">
        <v>202</v>
      </c>
      <c r="G7769" s="5">
        <v>203.08</v>
      </c>
    </row>
    <row r="7770" spans="1:7" x14ac:dyDescent="0.2">
      <c r="A7770" s="3">
        <v>432</v>
      </c>
      <c r="B7770" s="2">
        <v>87730.559999999998</v>
      </c>
      <c r="C7770" s="38">
        <v>45020</v>
      </c>
      <c r="D7770" s="1" t="s">
        <v>386</v>
      </c>
      <c r="E7770" s="1" t="s">
        <v>38</v>
      </c>
      <c r="F7770" s="1" t="s">
        <v>202</v>
      </c>
      <c r="G7770" s="5">
        <v>203.08</v>
      </c>
    </row>
    <row r="7771" spans="1:7" x14ac:dyDescent="0.2">
      <c r="A7771" s="3">
        <v>588</v>
      </c>
      <c r="B7771" s="2">
        <v>57953.279999999999</v>
      </c>
      <c r="C7771" s="38">
        <v>45027</v>
      </c>
      <c r="D7771" s="1" t="s">
        <v>266</v>
      </c>
      <c r="E7771" s="1" t="s">
        <v>38</v>
      </c>
      <c r="F7771" s="1" t="s">
        <v>202</v>
      </c>
      <c r="G7771" s="5">
        <v>98.56</v>
      </c>
    </row>
    <row r="7772" spans="1:7" x14ac:dyDescent="0.2">
      <c r="A7772" s="3">
        <v>432</v>
      </c>
      <c r="B7772" s="2">
        <v>87730.559999999998</v>
      </c>
      <c r="C7772" s="38">
        <v>45034</v>
      </c>
      <c r="D7772" s="1" t="s">
        <v>386</v>
      </c>
      <c r="E7772" s="1" t="s">
        <v>38</v>
      </c>
      <c r="F7772" s="1" t="s">
        <v>202</v>
      </c>
      <c r="G7772" s="5">
        <v>203.08</v>
      </c>
    </row>
    <row r="7773" spans="1:7" x14ac:dyDescent="0.2">
      <c r="A7773" s="3">
        <v>432</v>
      </c>
      <c r="B7773" s="2">
        <v>87730.559999999998</v>
      </c>
      <c r="C7773" s="38">
        <v>45034</v>
      </c>
      <c r="D7773" s="1" t="s">
        <v>386</v>
      </c>
      <c r="E7773" s="1" t="s">
        <v>38</v>
      </c>
      <c r="F7773" s="1" t="s">
        <v>202</v>
      </c>
      <c r="G7773" s="5">
        <v>203.08</v>
      </c>
    </row>
    <row r="7774" spans="1:7" x14ac:dyDescent="0.2">
      <c r="A7774" s="3">
        <v>58</v>
      </c>
      <c r="B7774" s="2">
        <v>41432.300000000003</v>
      </c>
      <c r="C7774" s="38">
        <v>45071</v>
      </c>
      <c r="D7774" s="1" t="s">
        <v>290</v>
      </c>
      <c r="E7774" s="1" t="s">
        <v>38</v>
      </c>
      <c r="F7774" s="1" t="s">
        <v>202</v>
      </c>
      <c r="G7774" s="5">
        <v>714.35</v>
      </c>
    </row>
    <row r="7775" spans="1:7" x14ac:dyDescent="0.2">
      <c r="A7775" s="3">
        <v>158</v>
      </c>
      <c r="B7775" s="2">
        <v>112867.3</v>
      </c>
      <c r="C7775" s="38">
        <v>45071</v>
      </c>
      <c r="D7775" s="1" t="s">
        <v>290</v>
      </c>
      <c r="E7775" s="1" t="s">
        <v>38</v>
      </c>
      <c r="F7775" s="1" t="s">
        <v>202</v>
      </c>
      <c r="G7775" s="5">
        <v>714.35</v>
      </c>
    </row>
    <row r="7776" spans="1:7" x14ac:dyDescent="0.2">
      <c r="A7776" s="3">
        <v>1820</v>
      </c>
      <c r="B7776" s="2">
        <v>4368</v>
      </c>
      <c r="C7776" s="38">
        <v>45078</v>
      </c>
      <c r="D7776" s="1" t="s">
        <v>276</v>
      </c>
      <c r="E7776" s="1" t="s">
        <v>38</v>
      </c>
      <c r="F7776" s="1" t="s">
        <v>202</v>
      </c>
      <c r="G7776" s="5">
        <v>2.4</v>
      </c>
    </row>
    <row r="7777" spans="1:7" x14ac:dyDescent="0.2">
      <c r="A7777" s="3">
        <v>158</v>
      </c>
      <c r="B7777" s="2">
        <v>112867.3</v>
      </c>
      <c r="C7777" s="38">
        <v>45078</v>
      </c>
      <c r="D7777" s="1" t="s">
        <v>290</v>
      </c>
      <c r="E7777" s="1" t="s">
        <v>38</v>
      </c>
      <c r="F7777" s="1" t="s">
        <v>202</v>
      </c>
      <c r="G7777" s="5">
        <v>714.35</v>
      </c>
    </row>
    <row r="7778" spans="1:7" x14ac:dyDescent="0.2">
      <c r="A7778" s="3">
        <v>1820</v>
      </c>
      <c r="B7778" s="2">
        <v>4568.2</v>
      </c>
      <c r="C7778" s="38">
        <v>45089</v>
      </c>
      <c r="D7778" s="1" t="s">
        <v>250</v>
      </c>
      <c r="E7778" s="1" t="s">
        <v>38</v>
      </c>
      <c r="F7778" s="1" t="s">
        <v>202</v>
      </c>
      <c r="G7778" s="5">
        <v>2.5099999999999998</v>
      </c>
    </row>
    <row r="7779" spans="1:7" x14ac:dyDescent="0.2">
      <c r="A7779" s="3">
        <v>1820</v>
      </c>
      <c r="B7779" s="2">
        <v>4568.2</v>
      </c>
      <c r="C7779" s="38">
        <v>45089</v>
      </c>
      <c r="D7779" s="1" t="s">
        <v>250</v>
      </c>
      <c r="E7779" s="1" t="s">
        <v>38</v>
      </c>
      <c r="F7779" s="1" t="s">
        <v>202</v>
      </c>
      <c r="G7779" s="5">
        <v>2.5099999999999998</v>
      </c>
    </row>
    <row r="7780" spans="1:7" x14ac:dyDescent="0.2">
      <c r="A7780" s="3">
        <v>1820</v>
      </c>
      <c r="B7780" s="2">
        <v>4568.2</v>
      </c>
      <c r="C7780" s="38">
        <v>45089</v>
      </c>
      <c r="D7780" s="1" t="s">
        <v>250</v>
      </c>
      <c r="E7780" s="1" t="s">
        <v>38</v>
      </c>
      <c r="F7780" s="1" t="s">
        <v>202</v>
      </c>
      <c r="G7780" s="5">
        <v>2.5099999999999998</v>
      </c>
    </row>
    <row r="7781" spans="1:7" x14ac:dyDescent="0.2">
      <c r="A7781" s="3">
        <v>1820</v>
      </c>
      <c r="B7781" s="2">
        <v>4568.2</v>
      </c>
      <c r="C7781" s="38">
        <v>45089</v>
      </c>
      <c r="D7781" s="1" t="s">
        <v>250</v>
      </c>
      <c r="E7781" s="1" t="s">
        <v>38</v>
      </c>
      <c r="F7781" s="1" t="s">
        <v>202</v>
      </c>
      <c r="G7781" s="5">
        <v>2.5099999999999998</v>
      </c>
    </row>
    <row r="7782" spans="1:7" x14ac:dyDescent="0.2">
      <c r="A7782" s="3">
        <v>109</v>
      </c>
      <c r="B7782" s="2">
        <v>1573.96</v>
      </c>
      <c r="C7782" s="38">
        <v>45093</v>
      </c>
      <c r="D7782" s="1" t="s">
        <v>281</v>
      </c>
      <c r="E7782" s="1" t="s">
        <v>38</v>
      </c>
      <c r="F7782" s="1" t="s">
        <v>202</v>
      </c>
      <c r="G7782" s="5">
        <v>14.44</v>
      </c>
    </row>
    <row r="7783" spans="1:7" x14ac:dyDescent="0.2">
      <c r="A7783" s="3">
        <v>208</v>
      </c>
      <c r="B7783" s="2">
        <v>3003.52</v>
      </c>
      <c r="C7783" s="38">
        <v>45093</v>
      </c>
      <c r="D7783" s="1" t="s">
        <v>281</v>
      </c>
      <c r="E7783" s="1" t="s">
        <v>38</v>
      </c>
      <c r="F7783" s="1" t="s">
        <v>202</v>
      </c>
      <c r="G7783" s="5">
        <v>14.44</v>
      </c>
    </row>
    <row r="7784" spans="1:7" x14ac:dyDescent="0.2">
      <c r="A7784" s="3">
        <v>3780</v>
      </c>
      <c r="B7784" s="2">
        <v>55603.8</v>
      </c>
      <c r="C7784" s="38">
        <v>45100</v>
      </c>
      <c r="D7784" s="1" t="s">
        <v>241</v>
      </c>
      <c r="E7784" s="1" t="s">
        <v>38</v>
      </c>
      <c r="F7784" s="1" t="s">
        <v>202</v>
      </c>
      <c r="G7784" s="5">
        <v>14.71</v>
      </c>
    </row>
    <row r="7785" spans="1:7" x14ac:dyDescent="0.2">
      <c r="A7785" s="3">
        <v>1820</v>
      </c>
      <c r="B7785" s="2">
        <v>4568.2</v>
      </c>
      <c r="C7785" s="38">
        <v>45100</v>
      </c>
      <c r="D7785" s="1" t="s">
        <v>250</v>
      </c>
      <c r="E7785" s="1" t="s">
        <v>38</v>
      </c>
      <c r="F7785" s="1" t="s">
        <v>202</v>
      </c>
      <c r="G7785" s="5">
        <v>2.5099999999999998</v>
      </c>
    </row>
    <row r="7786" spans="1:7" x14ac:dyDescent="0.2">
      <c r="A7786" s="3">
        <v>1820</v>
      </c>
      <c r="B7786" s="2">
        <v>4568.2</v>
      </c>
      <c r="C7786" s="38">
        <v>45100</v>
      </c>
      <c r="D7786" s="1" t="s">
        <v>250</v>
      </c>
      <c r="E7786" s="1" t="s">
        <v>38</v>
      </c>
      <c r="F7786" s="1" t="s">
        <v>202</v>
      </c>
      <c r="G7786" s="5">
        <v>2.5099999999999998</v>
      </c>
    </row>
    <row r="7787" spans="1:7" x14ac:dyDescent="0.2">
      <c r="A7787" s="3">
        <v>58</v>
      </c>
      <c r="B7787" s="2">
        <v>41432.300000000003</v>
      </c>
      <c r="C7787" s="38">
        <v>45105</v>
      </c>
      <c r="D7787" s="1" t="s">
        <v>290</v>
      </c>
      <c r="E7787" s="1" t="s">
        <v>38</v>
      </c>
      <c r="F7787" s="1" t="s">
        <v>202</v>
      </c>
      <c r="G7787" s="5">
        <v>714.35</v>
      </c>
    </row>
    <row r="7788" spans="1:7" x14ac:dyDescent="0.2">
      <c r="A7788" s="3">
        <v>252</v>
      </c>
      <c r="B7788" s="2">
        <v>180016.2</v>
      </c>
      <c r="C7788" s="38">
        <v>45105</v>
      </c>
      <c r="D7788" s="1" t="s">
        <v>290</v>
      </c>
      <c r="E7788" s="1" t="s">
        <v>38</v>
      </c>
      <c r="F7788" s="1" t="s">
        <v>202</v>
      </c>
      <c r="G7788" s="5">
        <v>714.35</v>
      </c>
    </row>
    <row r="7789" spans="1:7" x14ac:dyDescent="0.2">
      <c r="A7789" s="3">
        <v>252</v>
      </c>
      <c r="B7789" s="2">
        <v>180016.2</v>
      </c>
      <c r="C7789" s="38">
        <v>45105</v>
      </c>
      <c r="D7789" s="1" t="s">
        <v>290</v>
      </c>
      <c r="E7789" s="1" t="s">
        <v>38</v>
      </c>
      <c r="F7789" s="1" t="s">
        <v>202</v>
      </c>
      <c r="G7789" s="5">
        <v>714.35</v>
      </c>
    </row>
    <row r="7790" spans="1:7" x14ac:dyDescent="0.2">
      <c r="A7790" s="3">
        <v>216</v>
      </c>
      <c r="B7790" s="2">
        <v>154299.6</v>
      </c>
      <c r="C7790" s="38">
        <v>45105</v>
      </c>
      <c r="D7790" s="1" t="s">
        <v>290</v>
      </c>
      <c r="E7790" s="1" t="s">
        <v>38</v>
      </c>
      <c r="F7790" s="1" t="s">
        <v>202</v>
      </c>
      <c r="G7790" s="5">
        <v>714.35</v>
      </c>
    </row>
    <row r="7791" spans="1:7" x14ac:dyDescent="0.2">
      <c r="A7791" s="3">
        <v>1120</v>
      </c>
      <c r="B7791" s="2">
        <v>62227.199999999997</v>
      </c>
      <c r="C7791" s="38">
        <v>45107</v>
      </c>
      <c r="D7791" s="1" t="s">
        <v>252</v>
      </c>
      <c r="E7791" s="1" t="s">
        <v>38</v>
      </c>
      <c r="F7791" s="1" t="s">
        <v>202</v>
      </c>
      <c r="G7791" s="5">
        <v>55.56</v>
      </c>
    </row>
    <row r="7792" spans="1:7" x14ac:dyDescent="0.2">
      <c r="A7792" s="3">
        <v>166</v>
      </c>
      <c r="B7792" s="2">
        <v>118582.1</v>
      </c>
      <c r="C7792" s="38">
        <v>45114</v>
      </c>
      <c r="D7792" s="1" t="s">
        <v>290</v>
      </c>
      <c r="E7792" s="1" t="s">
        <v>38</v>
      </c>
      <c r="F7792" s="1" t="s">
        <v>202</v>
      </c>
      <c r="G7792" s="5">
        <v>714.35</v>
      </c>
    </row>
    <row r="7793" spans="1:7" x14ac:dyDescent="0.2">
      <c r="A7793" s="3">
        <v>86</v>
      </c>
      <c r="B7793" s="2">
        <v>61434.1</v>
      </c>
      <c r="C7793" s="38">
        <v>45114</v>
      </c>
      <c r="D7793" s="1" t="s">
        <v>290</v>
      </c>
      <c r="E7793" s="1" t="s">
        <v>38</v>
      </c>
      <c r="F7793" s="1" t="s">
        <v>202</v>
      </c>
      <c r="G7793" s="5">
        <v>714.35</v>
      </c>
    </row>
    <row r="7794" spans="1:7" x14ac:dyDescent="0.2">
      <c r="A7794" s="3">
        <v>216</v>
      </c>
      <c r="B7794" s="2">
        <v>154299.6</v>
      </c>
      <c r="C7794" s="38">
        <v>45114</v>
      </c>
      <c r="D7794" s="1" t="s">
        <v>290</v>
      </c>
      <c r="E7794" s="1" t="s">
        <v>38</v>
      </c>
      <c r="F7794" s="1" t="s">
        <v>202</v>
      </c>
      <c r="G7794" s="5">
        <v>714.35</v>
      </c>
    </row>
    <row r="7795" spans="1:7" x14ac:dyDescent="0.2">
      <c r="A7795" s="3">
        <v>252</v>
      </c>
      <c r="B7795" s="2">
        <v>180016.2</v>
      </c>
      <c r="C7795" s="38">
        <v>45114</v>
      </c>
      <c r="D7795" s="1" t="s">
        <v>290</v>
      </c>
      <c r="E7795" s="1" t="s">
        <v>38</v>
      </c>
      <c r="F7795" s="1" t="s">
        <v>202</v>
      </c>
      <c r="G7795" s="5">
        <v>714.35</v>
      </c>
    </row>
    <row r="7796" spans="1:7" x14ac:dyDescent="0.2">
      <c r="A7796" s="3">
        <v>420</v>
      </c>
      <c r="B7796" s="2">
        <v>4363.8</v>
      </c>
      <c r="C7796" s="38">
        <v>45119</v>
      </c>
      <c r="D7796" s="1" t="s">
        <v>249</v>
      </c>
      <c r="E7796" s="1" t="s">
        <v>38</v>
      </c>
      <c r="F7796" s="1" t="s">
        <v>202</v>
      </c>
      <c r="G7796" s="5">
        <v>10.39</v>
      </c>
    </row>
    <row r="7797" spans="1:7" x14ac:dyDescent="0.2">
      <c r="A7797" s="3">
        <v>3780</v>
      </c>
      <c r="B7797" s="2">
        <v>55603.8</v>
      </c>
      <c r="C7797" s="38">
        <v>45120</v>
      </c>
      <c r="D7797" s="1" t="s">
        <v>241</v>
      </c>
      <c r="E7797" s="1" t="s">
        <v>38</v>
      </c>
      <c r="F7797" s="1" t="s">
        <v>202</v>
      </c>
      <c r="G7797" s="5">
        <v>14.71</v>
      </c>
    </row>
    <row r="7798" spans="1:7" x14ac:dyDescent="0.2">
      <c r="A7798" s="3">
        <v>13030</v>
      </c>
      <c r="B7798" s="2">
        <v>74010.399999999994</v>
      </c>
      <c r="C7798" s="38">
        <v>45120</v>
      </c>
      <c r="D7798" s="1" t="s">
        <v>277</v>
      </c>
      <c r="E7798" s="1" t="s">
        <v>38</v>
      </c>
      <c r="F7798" s="1" t="s">
        <v>202</v>
      </c>
      <c r="G7798" s="5">
        <v>5.68</v>
      </c>
    </row>
    <row r="7799" spans="1:7" x14ac:dyDescent="0.2">
      <c r="A7799" s="3">
        <v>588</v>
      </c>
      <c r="B7799" s="2">
        <v>57953.279999999999</v>
      </c>
      <c r="C7799" s="38">
        <v>45121</v>
      </c>
      <c r="D7799" s="1" t="s">
        <v>266</v>
      </c>
      <c r="E7799" s="1" t="s">
        <v>38</v>
      </c>
      <c r="F7799" s="1" t="s">
        <v>202</v>
      </c>
      <c r="G7799" s="5">
        <v>98.56</v>
      </c>
    </row>
    <row r="7800" spans="1:7" x14ac:dyDescent="0.2">
      <c r="A7800" s="3">
        <v>588</v>
      </c>
      <c r="B7800" s="2">
        <v>57953.279999999999</v>
      </c>
      <c r="C7800" s="38">
        <v>45121</v>
      </c>
      <c r="D7800" s="1" t="s">
        <v>266</v>
      </c>
      <c r="E7800" s="1" t="s">
        <v>38</v>
      </c>
      <c r="F7800" s="1" t="s">
        <v>202</v>
      </c>
      <c r="G7800" s="5">
        <v>98.56</v>
      </c>
    </row>
    <row r="7801" spans="1:7" x14ac:dyDescent="0.2">
      <c r="A7801" s="3">
        <v>588</v>
      </c>
      <c r="B7801" s="2">
        <v>57953.279999999999</v>
      </c>
      <c r="C7801" s="38">
        <v>45125</v>
      </c>
      <c r="D7801" s="1" t="s">
        <v>266</v>
      </c>
      <c r="E7801" s="1" t="s">
        <v>38</v>
      </c>
      <c r="F7801" s="1" t="s">
        <v>202</v>
      </c>
      <c r="G7801" s="5">
        <v>98.56</v>
      </c>
    </row>
    <row r="7802" spans="1:7" x14ac:dyDescent="0.2">
      <c r="A7802" s="3">
        <v>588</v>
      </c>
      <c r="B7802" s="2">
        <v>57953.279999999999</v>
      </c>
      <c r="C7802" s="38">
        <v>45125</v>
      </c>
      <c r="D7802" s="1" t="s">
        <v>266</v>
      </c>
      <c r="E7802" s="1" t="s">
        <v>38</v>
      </c>
      <c r="F7802" s="1" t="s">
        <v>202</v>
      </c>
      <c r="G7802" s="5">
        <v>98.56</v>
      </c>
    </row>
    <row r="7803" spans="1:7" x14ac:dyDescent="0.2">
      <c r="A7803" s="3">
        <v>588</v>
      </c>
      <c r="B7803" s="2">
        <v>57953.279999999999</v>
      </c>
      <c r="C7803" s="38">
        <v>45125</v>
      </c>
      <c r="D7803" s="1" t="s">
        <v>266</v>
      </c>
      <c r="E7803" s="1" t="s">
        <v>38</v>
      </c>
      <c r="F7803" s="1" t="s">
        <v>202</v>
      </c>
      <c r="G7803" s="5">
        <v>98.56</v>
      </c>
    </row>
    <row r="7804" spans="1:7" x14ac:dyDescent="0.2">
      <c r="A7804" s="3">
        <v>588</v>
      </c>
      <c r="B7804" s="2">
        <v>57953.279999999999</v>
      </c>
      <c r="C7804" s="38">
        <v>45125</v>
      </c>
      <c r="D7804" s="1" t="s">
        <v>266</v>
      </c>
      <c r="E7804" s="1" t="s">
        <v>38</v>
      </c>
      <c r="F7804" s="1" t="s">
        <v>202</v>
      </c>
      <c r="G7804" s="5">
        <v>98.56</v>
      </c>
    </row>
    <row r="7805" spans="1:7" x14ac:dyDescent="0.2">
      <c r="A7805" s="3">
        <v>588</v>
      </c>
      <c r="B7805" s="2">
        <v>57953.279999999999</v>
      </c>
      <c r="C7805" s="38">
        <v>45128</v>
      </c>
      <c r="D7805" s="1" t="s">
        <v>266</v>
      </c>
      <c r="E7805" s="1" t="s">
        <v>38</v>
      </c>
      <c r="F7805" s="1" t="s">
        <v>202</v>
      </c>
      <c r="G7805" s="5">
        <v>98.56</v>
      </c>
    </row>
    <row r="7806" spans="1:7" x14ac:dyDescent="0.2">
      <c r="A7806" s="3">
        <v>108</v>
      </c>
      <c r="B7806" s="2">
        <v>77149.8</v>
      </c>
      <c r="C7806" s="38">
        <v>45138</v>
      </c>
      <c r="D7806" s="1" t="s">
        <v>290</v>
      </c>
      <c r="E7806" s="1" t="s">
        <v>38</v>
      </c>
      <c r="F7806" s="1" t="s">
        <v>202</v>
      </c>
      <c r="G7806" s="5">
        <v>714.35</v>
      </c>
    </row>
    <row r="7807" spans="1:7" x14ac:dyDescent="0.2">
      <c r="A7807" s="3">
        <v>50</v>
      </c>
      <c r="B7807" s="2">
        <v>35717.5</v>
      </c>
      <c r="C7807" s="38">
        <v>45138</v>
      </c>
      <c r="D7807" s="1" t="s">
        <v>290</v>
      </c>
      <c r="E7807" s="1" t="s">
        <v>38</v>
      </c>
      <c r="F7807" s="1" t="s">
        <v>202</v>
      </c>
      <c r="G7807" s="5">
        <v>714.35</v>
      </c>
    </row>
    <row r="7808" spans="1:7" x14ac:dyDescent="0.2">
      <c r="A7808" s="3">
        <v>144</v>
      </c>
      <c r="B7808" s="2">
        <v>102866.4</v>
      </c>
      <c r="C7808" s="38">
        <v>45138</v>
      </c>
      <c r="D7808" s="1" t="s">
        <v>290</v>
      </c>
      <c r="E7808" s="1" t="s">
        <v>38</v>
      </c>
      <c r="F7808" s="1" t="s">
        <v>202</v>
      </c>
      <c r="G7808" s="5">
        <v>714.35</v>
      </c>
    </row>
    <row r="7809" spans="1:7" x14ac:dyDescent="0.2">
      <c r="A7809" s="3">
        <v>180</v>
      </c>
      <c r="B7809" s="2">
        <v>128583</v>
      </c>
      <c r="C7809" s="38">
        <v>45138</v>
      </c>
      <c r="D7809" s="1" t="s">
        <v>290</v>
      </c>
      <c r="E7809" s="1" t="s">
        <v>38</v>
      </c>
      <c r="F7809" s="1" t="s">
        <v>202</v>
      </c>
      <c r="G7809" s="5">
        <v>714.35</v>
      </c>
    </row>
    <row r="7810" spans="1:7" x14ac:dyDescent="0.2">
      <c r="A7810" s="3">
        <v>130</v>
      </c>
      <c r="B7810" s="2">
        <v>92865.5</v>
      </c>
      <c r="C7810" s="38">
        <v>45138</v>
      </c>
      <c r="D7810" s="1" t="s">
        <v>290</v>
      </c>
      <c r="E7810" s="1" t="s">
        <v>38</v>
      </c>
      <c r="F7810" s="1" t="s">
        <v>202</v>
      </c>
      <c r="G7810" s="5">
        <v>714.35</v>
      </c>
    </row>
    <row r="7811" spans="1:7" x14ac:dyDescent="0.2">
      <c r="A7811" s="3">
        <v>216</v>
      </c>
      <c r="B7811" s="2">
        <v>154299.6</v>
      </c>
      <c r="C7811" s="38">
        <v>45138</v>
      </c>
      <c r="D7811" s="1" t="s">
        <v>290</v>
      </c>
      <c r="E7811" s="1" t="s">
        <v>38</v>
      </c>
      <c r="F7811" s="1" t="s">
        <v>202</v>
      </c>
      <c r="G7811" s="5">
        <v>714.35</v>
      </c>
    </row>
    <row r="7812" spans="1:7" x14ac:dyDescent="0.2">
      <c r="A7812" s="3">
        <v>216</v>
      </c>
      <c r="B7812" s="2">
        <v>154299.6</v>
      </c>
      <c r="C7812" s="38">
        <v>45138</v>
      </c>
      <c r="D7812" s="1" t="s">
        <v>290</v>
      </c>
      <c r="E7812" s="1" t="s">
        <v>38</v>
      </c>
      <c r="F7812" s="1" t="s">
        <v>202</v>
      </c>
      <c r="G7812" s="5">
        <v>714.35</v>
      </c>
    </row>
    <row r="7813" spans="1:7" x14ac:dyDescent="0.2">
      <c r="A7813" s="3">
        <v>588</v>
      </c>
      <c r="B7813" s="2">
        <v>57953.279999999999</v>
      </c>
      <c r="C7813" s="38">
        <v>45148</v>
      </c>
      <c r="D7813" s="1" t="s">
        <v>266</v>
      </c>
      <c r="E7813" s="1" t="s">
        <v>38</v>
      </c>
      <c r="F7813" s="1" t="s">
        <v>202</v>
      </c>
      <c r="G7813" s="5">
        <v>98.56</v>
      </c>
    </row>
    <row r="7814" spans="1:7" x14ac:dyDescent="0.2">
      <c r="A7814" s="3">
        <v>588</v>
      </c>
      <c r="B7814" s="2">
        <v>57953.279999999999</v>
      </c>
      <c r="C7814" s="38">
        <v>45148</v>
      </c>
      <c r="D7814" s="1" t="s">
        <v>266</v>
      </c>
      <c r="E7814" s="1" t="s">
        <v>38</v>
      </c>
      <c r="F7814" s="1" t="s">
        <v>202</v>
      </c>
      <c r="G7814" s="5">
        <v>98.56</v>
      </c>
    </row>
    <row r="7815" spans="1:7" x14ac:dyDescent="0.2">
      <c r="A7815" s="3">
        <v>3000</v>
      </c>
      <c r="B7815" s="2">
        <v>7020</v>
      </c>
      <c r="C7815" s="38">
        <v>44943</v>
      </c>
      <c r="D7815" s="1" t="s">
        <v>369</v>
      </c>
      <c r="E7815" s="1" t="s">
        <v>39</v>
      </c>
      <c r="F7815" s="1" t="s">
        <v>212</v>
      </c>
      <c r="G7815" s="5">
        <v>2.34</v>
      </c>
    </row>
    <row r="7816" spans="1:7" x14ac:dyDescent="0.2">
      <c r="A7816" s="3">
        <v>3000</v>
      </c>
      <c r="B7816" s="2">
        <v>7020</v>
      </c>
      <c r="C7816" s="38">
        <v>44943</v>
      </c>
      <c r="D7816" s="1" t="s">
        <v>369</v>
      </c>
      <c r="E7816" s="1" t="s">
        <v>39</v>
      </c>
      <c r="F7816" s="1" t="s">
        <v>212</v>
      </c>
      <c r="G7816" s="5">
        <v>2.34</v>
      </c>
    </row>
    <row r="7817" spans="1:7" x14ac:dyDescent="0.2">
      <c r="A7817" s="3">
        <v>3000</v>
      </c>
      <c r="B7817" s="2">
        <v>7020</v>
      </c>
      <c r="C7817" s="38">
        <v>44943</v>
      </c>
      <c r="D7817" s="1" t="s">
        <v>369</v>
      </c>
      <c r="E7817" s="1" t="s">
        <v>39</v>
      </c>
      <c r="F7817" s="1" t="s">
        <v>212</v>
      </c>
      <c r="G7817" s="5">
        <v>2.34</v>
      </c>
    </row>
    <row r="7818" spans="1:7" x14ac:dyDescent="0.2">
      <c r="A7818" s="3">
        <v>3000</v>
      </c>
      <c r="B7818" s="2">
        <v>7020</v>
      </c>
      <c r="C7818" s="38">
        <v>44943</v>
      </c>
      <c r="D7818" s="1" t="s">
        <v>369</v>
      </c>
      <c r="E7818" s="1" t="s">
        <v>39</v>
      </c>
      <c r="F7818" s="1" t="s">
        <v>212</v>
      </c>
      <c r="G7818" s="5">
        <v>2.34</v>
      </c>
    </row>
    <row r="7819" spans="1:7" x14ac:dyDescent="0.2">
      <c r="A7819" s="3">
        <v>3000</v>
      </c>
      <c r="B7819" s="2">
        <v>7020</v>
      </c>
      <c r="C7819" s="38">
        <v>44943</v>
      </c>
      <c r="D7819" s="1" t="s">
        <v>369</v>
      </c>
      <c r="E7819" s="1" t="s">
        <v>39</v>
      </c>
      <c r="F7819" s="1" t="s">
        <v>212</v>
      </c>
      <c r="G7819" s="5">
        <v>2.34</v>
      </c>
    </row>
    <row r="7820" spans="1:7" x14ac:dyDescent="0.2">
      <c r="A7820" s="3">
        <v>3000</v>
      </c>
      <c r="B7820" s="2">
        <v>7020</v>
      </c>
      <c r="C7820" s="38">
        <v>44943</v>
      </c>
      <c r="D7820" s="1" t="s">
        <v>369</v>
      </c>
      <c r="E7820" s="1" t="s">
        <v>39</v>
      </c>
      <c r="F7820" s="1" t="s">
        <v>212</v>
      </c>
      <c r="G7820" s="5">
        <v>2.34</v>
      </c>
    </row>
    <row r="7821" spans="1:7" x14ac:dyDescent="0.2">
      <c r="A7821" s="3">
        <v>3000</v>
      </c>
      <c r="B7821" s="2">
        <v>2719.2</v>
      </c>
      <c r="C7821" s="38">
        <v>44582</v>
      </c>
      <c r="D7821" s="1" t="s">
        <v>335</v>
      </c>
      <c r="E7821" s="1" t="s">
        <v>39</v>
      </c>
      <c r="F7821" s="1" t="s">
        <v>212</v>
      </c>
      <c r="G7821" s="5">
        <v>0.90639999999999998</v>
      </c>
    </row>
    <row r="7822" spans="1:7" x14ac:dyDescent="0.2">
      <c r="A7822" s="3">
        <v>3000</v>
      </c>
      <c r="B7822" s="2">
        <v>7020</v>
      </c>
      <c r="C7822" s="38">
        <v>44586</v>
      </c>
      <c r="D7822" s="1" t="s">
        <v>369</v>
      </c>
      <c r="E7822" s="1" t="s">
        <v>39</v>
      </c>
      <c r="F7822" s="1" t="s">
        <v>212</v>
      </c>
      <c r="G7822" s="5">
        <v>2.34</v>
      </c>
    </row>
    <row r="7823" spans="1:7" x14ac:dyDescent="0.2">
      <c r="A7823" s="3">
        <v>3000</v>
      </c>
      <c r="B7823" s="2">
        <v>1320</v>
      </c>
      <c r="C7823" s="38">
        <v>44593</v>
      </c>
      <c r="D7823" s="1" t="s">
        <v>336</v>
      </c>
      <c r="E7823" s="1" t="s">
        <v>39</v>
      </c>
      <c r="F7823" s="1" t="s">
        <v>212</v>
      </c>
      <c r="G7823" s="5">
        <v>0.44</v>
      </c>
    </row>
    <row r="7824" spans="1:7" x14ac:dyDescent="0.2">
      <c r="A7824" s="3">
        <v>3000</v>
      </c>
      <c r="B7824" s="2">
        <v>7020</v>
      </c>
      <c r="C7824" s="38">
        <v>44594</v>
      </c>
      <c r="D7824" s="1" t="s">
        <v>369</v>
      </c>
      <c r="E7824" s="1" t="s">
        <v>39</v>
      </c>
      <c r="F7824" s="1" t="s">
        <v>212</v>
      </c>
      <c r="G7824" s="5">
        <v>2.34</v>
      </c>
    </row>
    <row r="7825" spans="1:7" x14ac:dyDescent="0.2">
      <c r="A7825" s="3">
        <v>3000</v>
      </c>
      <c r="B7825" s="2">
        <v>3720</v>
      </c>
      <c r="C7825" s="38">
        <v>44963</v>
      </c>
      <c r="D7825" s="1" t="s">
        <v>360</v>
      </c>
      <c r="E7825" s="1" t="s">
        <v>39</v>
      </c>
      <c r="F7825" s="1" t="s">
        <v>212</v>
      </c>
      <c r="G7825" s="5">
        <v>1.24</v>
      </c>
    </row>
    <row r="7826" spans="1:7" x14ac:dyDescent="0.2">
      <c r="A7826" s="3">
        <v>3000</v>
      </c>
      <c r="B7826" s="2">
        <v>9450</v>
      </c>
      <c r="C7826" s="38">
        <v>44971</v>
      </c>
      <c r="D7826" s="1" t="s">
        <v>359</v>
      </c>
      <c r="E7826" s="1" t="s">
        <v>39</v>
      </c>
      <c r="F7826" s="1" t="s">
        <v>212</v>
      </c>
      <c r="G7826" s="5">
        <v>3.15</v>
      </c>
    </row>
    <row r="7827" spans="1:7" x14ac:dyDescent="0.2">
      <c r="A7827" s="3">
        <v>3000</v>
      </c>
      <c r="B7827" s="2">
        <v>7020</v>
      </c>
      <c r="C7827" s="38">
        <v>44615</v>
      </c>
      <c r="D7827" s="1" t="s">
        <v>369</v>
      </c>
      <c r="E7827" s="1" t="s">
        <v>39</v>
      </c>
      <c r="F7827" s="1" t="s">
        <v>212</v>
      </c>
      <c r="G7827" s="5">
        <v>2.34</v>
      </c>
    </row>
    <row r="7828" spans="1:7" x14ac:dyDescent="0.2">
      <c r="A7828" s="3">
        <v>3000</v>
      </c>
      <c r="B7828" s="2">
        <v>3720</v>
      </c>
      <c r="C7828" s="38">
        <v>44698</v>
      </c>
      <c r="D7828" s="1" t="s">
        <v>360</v>
      </c>
      <c r="E7828" s="1" t="s">
        <v>39</v>
      </c>
      <c r="F7828" s="1" t="s">
        <v>212</v>
      </c>
      <c r="G7828" s="5">
        <v>1.24</v>
      </c>
    </row>
    <row r="7829" spans="1:7" x14ac:dyDescent="0.2">
      <c r="A7829" s="3">
        <v>3000</v>
      </c>
      <c r="B7829" s="2">
        <v>9450</v>
      </c>
      <c r="C7829" s="38">
        <v>44698</v>
      </c>
      <c r="D7829" s="1" t="s">
        <v>359</v>
      </c>
      <c r="E7829" s="1" t="s">
        <v>39</v>
      </c>
      <c r="F7829" s="1" t="s">
        <v>212</v>
      </c>
      <c r="G7829" s="5">
        <v>3.15</v>
      </c>
    </row>
    <row r="7830" spans="1:7" x14ac:dyDescent="0.2">
      <c r="A7830" s="3">
        <v>3000</v>
      </c>
      <c r="B7830" s="2">
        <v>7020</v>
      </c>
      <c r="C7830" s="38">
        <v>44704</v>
      </c>
      <c r="D7830" s="1" t="s">
        <v>369</v>
      </c>
      <c r="E7830" s="1" t="s">
        <v>39</v>
      </c>
      <c r="F7830" s="1" t="s">
        <v>212</v>
      </c>
      <c r="G7830" s="5">
        <v>2.34</v>
      </c>
    </row>
    <row r="7831" spans="1:7" x14ac:dyDescent="0.2">
      <c r="A7831" s="3">
        <v>3000</v>
      </c>
      <c r="B7831" s="2">
        <v>7020</v>
      </c>
      <c r="C7831" s="38">
        <v>45071</v>
      </c>
      <c r="D7831" s="1" t="s">
        <v>369</v>
      </c>
      <c r="E7831" s="1" t="s">
        <v>39</v>
      </c>
      <c r="F7831" s="1" t="s">
        <v>212</v>
      </c>
      <c r="G7831" s="5">
        <v>2.34</v>
      </c>
    </row>
    <row r="7832" spans="1:7" x14ac:dyDescent="0.2">
      <c r="A7832" s="3">
        <v>3000</v>
      </c>
      <c r="B7832" s="2">
        <v>3720</v>
      </c>
      <c r="C7832" s="38">
        <v>45072</v>
      </c>
      <c r="D7832" s="1" t="s">
        <v>360</v>
      </c>
      <c r="E7832" s="1" t="s">
        <v>39</v>
      </c>
      <c r="F7832" s="1" t="s">
        <v>212</v>
      </c>
      <c r="G7832" s="5">
        <v>1.24</v>
      </c>
    </row>
    <row r="7833" spans="1:7" x14ac:dyDescent="0.2">
      <c r="A7833" s="3">
        <v>3000</v>
      </c>
      <c r="B7833" s="2">
        <v>4620</v>
      </c>
      <c r="C7833" s="38">
        <v>45072</v>
      </c>
      <c r="D7833" s="1" t="s">
        <v>361</v>
      </c>
      <c r="E7833" s="1" t="s">
        <v>39</v>
      </c>
      <c r="F7833" s="1" t="s">
        <v>212</v>
      </c>
      <c r="G7833" s="5">
        <v>1.54</v>
      </c>
    </row>
    <row r="7834" spans="1:7" x14ac:dyDescent="0.2">
      <c r="A7834" s="3">
        <v>3000</v>
      </c>
      <c r="B7834" s="2">
        <v>5610</v>
      </c>
      <c r="C7834" s="38">
        <v>44743</v>
      </c>
      <c r="D7834" s="1" t="s">
        <v>358</v>
      </c>
      <c r="E7834" s="1" t="s">
        <v>39</v>
      </c>
      <c r="F7834" s="1" t="s">
        <v>212</v>
      </c>
      <c r="G7834" s="5">
        <v>1.87</v>
      </c>
    </row>
    <row r="7835" spans="1:7" x14ac:dyDescent="0.2">
      <c r="A7835" s="3">
        <v>3000</v>
      </c>
      <c r="B7835" s="2">
        <v>9450</v>
      </c>
      <c r="C7835" s="38">
        <v>44743</v>
      </c>
      <c r="D7835" s="1" t="s">
        <v>359</v>
      </c>
      <c r="E7835" s="1" t="s">
        <v>39</v>
      </c>
      <c r="F7835" s="1" t="s">
        <v>212</v>
      </c>
      <c r="G7835" s="5">
        <v>3.15</v>
      </c>
    </row>
    <row r="7836" spans="1:7" x14ac:dyDescent="0.2">
      <c r="A7836" s="3">
        <v>3000</v>
      </c>
      <c r="B7836" s="2">
        <v>3720</v>
      </c>
      <c r="C7836" s="38">
        <v>45114</v>
      </c>
      <c r="D7836" s="1" t="s">
        <v>360</v>
      </c>
      <c r="E7836" s="1" t="s">
        <v>39</v>
      </c>
      <c r="F7836" s="1" t="s">
        <v>212</v>
      </c>
      <c r="G7836" s="5">
        <v>1.24</v>
      </c>
    </row>
    <row r="7837" spans="1:7" x14ac:dyDescent="0.2">
      <c r="A7837" s="3">
        <v>3000</v>
      </c>
      <c r="B7837" s="2">
        <v>3720</v>
      </c>
      <c r="C7837" s="38">
        <v>45114</v>
      </c>
      <c r="D7837" s="1" t="s">
        <v>360</v>
      </c>
      <c r="E7837" s="1" t="s">
        <v>39</v>
      </c>
      <c r="F7837" s="1" t="s">
        <v>212</v>
      </c>
      <c r="G7837" s="5">
        <v>1.24</v>
      </c>
    </row>
    <row r="7838" spans="1:7" x14ac:dyDescent="0.2">
      <c r="A7838" s="3">
        <v>3000</v>
      </c>
      <c r="B7838" s="2">
        <v>7020</v>
      </c>
      <c r="C7838" s="38">
        <v>45114</v>
      </c>
      <c r="D7838" s="1" t="s">
        <v>369</v>
      </c>
      <c r="E7838" s="1" t="s">
        <v>39</v>
      </c>
      <c r="F7838" s="1" t="s">
        <v>212</v>
      </c>
      <c r="G7838" s="5">
        <v>2.34</v>
      </c>
    </row>
    <row r="7839" spans="1:7" x14ac:dyDescent="0.2">
      <c r="A7839" s="3">
        <v>3000</v>
      </c>
      <c r="B7839" s="2">
        <v>9450</v>
      </c>
      <c r="C7839" s="38">
        <v>44615</v>
      </c>
      <c r="D7839" s="1" t="s">
        <v>359</v>
      </c>
      <c r="E7839" s="1" t="s">
        <v>39</v>
      </c>
      <c r="F7839" s="1" t="s">
        <v>212</v>
      </c>
      <c r="G7839" s="5">
        <v>3.15</v>
      </c>
    </row>
    <row r="7840" spans="1:7" x14ac:dyDescent="0.2">
      <c r="A7840" s="3">
        <v>3000</v>
      </c>
      <c r="B7840" s="2">
        <v>3690</v>
      </c>
      <c r="C7840" s="38">
        <v>44617</v>
      </c>
      <c r="D7840" s="1" t="s">
        <v>360</v>
      </c>
      <c r="E7840" s="1" t="s">
        <v>39</v>
      </c>
      <c r="F7840" s="1" t="s">
        <v>212</v>
      </c>
      <c r="G7840" s="5">
        <v>1.23</v>
      </c>
    </row>
    <row r="7841" spans="1:7" x14ac:dyDescent="0.2">
      <c r="A7841" s="3">
        <v>3000</v>
      </c>
      <c r="B7841" s="2">
        <v>3690</v>
      </c>
      <c r="C7841" s="38">
        <v>44617</v>
      </c>
      <c r="D7841" s="1" t="s">
        <v>360</v>
      </c>
      <c r="E7841" s="1" t="s">
        <v>39</v>
      </c>
      <c r="F7841" s="1" t="s">
        <v>212</v>
      </c>
      <c r="G7841" s="5">
        <v>1.23</v>
      </c>
    </row>
    <row r="7842" spans="1:7" x14ac:dyDescent="0.2">
      <c r="A7842" s="3">
        <v>3000</v>
      </c>
      <c r="B7842" s="2">
        <v>5610</v>
      </c>
      <c r="C7842" s="38">
        <v>44993</v>
      </c>
      <c r="D7842" s="1" t="s">
        <v>358</v>
      </c>
      <c r="E7842" s="1" t="s">
        <v>39</v>
      </c>
      <c r="F7842" s="1" t="s">
        <v>212</v>
      </c>
      <c r="G7842" s="5">
        <v>1.87</v>
      </c>
    </row>
    <row r="7843" spans="1:7" x14ac:dyDescent="0.2">
      <c r="A7843" s="3">
        <v>3000</v>
      </c>
      <c r="B7843" s="2">
        <v>3720</v>
      </c>
      <c r="C7843" s="38">
        <v>44631</v>
      </c>
      <c r="D7843" s="1" t="s">
        <v>360</v>
      </c>
      <c r="E7843" s="1" t="s">
        <v>39</v>
      </c>
      <c r="F7843" s="1" t="s">
        <v>212</v>
      </c>
      <c r="G7843" s="5">
        <v>1.24</v>
      </c>
    </row>
    <row r="7844" spans="1:7" x14ac:dyDescent="0.2">
      <c r="A7844" s="3">
        <v>3000</v>
      </c>
      <c r="B7844" s="2">
        <v>5610</v>
      </c>
      <c r="C7844" s="38">
        <v>44650</v>
      </c>
      <c r="D7844" s="1" t="s">
        <v>358</v>
      </c>
      <c r="E7844" s="1" t="s">
        <v>39</v>
      </c>
      <c r="F7844" s="1" t="s">
        <v>212</v>
      </c>
      <c r="G7844" s="5">
        <v>1.87</v>
      </c>
    </row>
    <row r="7845" spans="1:7" x14ac:dyDescent="0.2">
      <c r="A7845" s="3">
        <v>3000</v>
      </c>
      <c r="B7845" s="2">
        <v>7020</v>
      </c>
      <c r="C7845" s="38">
        <v>44653</v>
      </c>
      <c r="D7845" s="1" t="s">
        <v>369</v>
      </c>
      <c r="E7845" s="1" t="s">
        <v>39</v>
      </c>
      <c r="F7845" s="1" t="s">
        <v>212</v>
      </c>
      <c r="G7845" s="5">
        <v>2.34</v>
      </c>
    </row>
    <row r="7846" spans="1:7" x14ac:dyDescent="0.2">
      <c r="A7846" s="3">
        <v>3000</v>
      </c>
      <c r="B7846" s="2">
        <v>3720</v>
      </c>
      <c r="C7846" s="38">
        <v>44670</v>
      </c>
      <c r="D7846" s="1" t="s">
        <v>360</v>
      </c>
      <c r="E7846" s="1" t="s">
        <v>39</v>
      </c>
      <c r="F7846" s="1" t="s">
        <v>212</v>
      </c>
      <c r="G7846" s="5">
        <v>1.24</v>
      </c>
    </row>
    <row r="7847" spans="1:7" x14ac:dyDescent="0.2">
      <c r="A7847" s="3">
        <v>3000</v>
      </c>
      <c r="B7847" s="2">
        <v>5610</v>
      </c>
      <c r="C7847" s="38">
        <v>44670</v>
      </c>
      <c r="D7847" s="1" t="s">
        <v>358</v>
      </c>
      <c r="E7847" s="1" t="s">
        <v>39</v>
      </c>
      <c r="F7847" s="1" t="s">
        <v>212</v>
      </c>
      <c r="G7847" s="5">
        <v>1.87</v>
      </c>
    </row>
    <row r="7848" spans="1:7" x14ac:dyDescent="0.2">
      <c r="A7848" s="3">
        <v>3000</v>
      </c>
      <c r="B7848" s="2">
        <v>1323</v>
      </c>
      <c r="C7848" s="38">
        <v>45035</v>
      </c>
      <c r="D7848" s="1" t="s">
        <v>336</v>
      </c>
      <c r="E7848" s="1" t="s">
        <v>39</v>
      </c>
      <c r="F7848" s="1" t="s">
        <v>212</v>
      </c>
      <c r="G7848" s="5">
        <v>0.441</v>
      </c>
    </row>
    <row r="7849" spans="1:7" x14ac:dyDescent="0.2">
      <c r="A7849" s="3">
        <v>3000</v>
      </c>
      <c r="B7849" s="2">
        <v>9450</v>
      </c>
      <c r="C7849" s="38">
        <v>45100</v>
      </c>
      <c r="D7849" s="1" t="s">
        <v>359</v>
      </c>
      <c r="E7849" s="1" t="s">
        <v>39</v>
      </c>
      <c r="F7849" s="1" t="s">
        <v>212</v>
      </c>
      <c r="G7849" s="5">
        <v>3.15</v>
      </c>
    </row>
    <row r="7850" spans="1:7" x14ac:dyDescent="0.2">
      <c r="A7850" s="3">
        <v>3000</v>
      </c>
      <c r="B7850" s="2">
        <v>3720</v>
      </c>
      <c r="C7850" s="38">
        <v>44736</v>
      </c>
      <c r="D7850" s="1" t="s">
        <v>360</v>
      </c>
      <c r="E7850" s="1" t="s">
        <v>39</v>
      </c>
      <c r="F7850" s="1" t="s">
        <v>212</v>
      </c>
      <c r="G7850" s="5">
        <v>1.24</v>
      </c>
    </row>
    <row r="7851" spans="1:7" x14ac:dyDescent="0.2">
      <c r="A7851" s="3">
        <v>3000</v>
      </c>
      <c r="B7851" s="2">
        <v>7020</v>
      </c>
      <c r="C7851" s="38">
        <v>44736</v>
      </c>
      <c r="D7851" s="1" t="s">
        <v>369</v>
      </c>
      <c r="E7851" s="1" t="s">
        <v>39</v>
      </c>
      <c r="F7851" s="1" t="s">
        <v>212</v>
      </c>
      <c r="G7851" s="5">
        <v>2.34</v>
      </c>
    </row>
    <row r="7852" spans="1:7" x14ac:dyDescent="0.2">
      <c r="A7852" s="3">
        <v>3000</v>
      </c>
      <c r="B7852" s="2">
        <v>3720</v>
      </c>
      <c r="C7852" s="38">
        <v>45103</v>
      </c>
      <c r="D7852" s="1" t="s">
        <v>360</v>
      </c>
      <c r="E7852" s="1" t="s">
        <v>39</v>
      </c>
      <c r="F7852" s="1" t="s">
        <v>212</v>
      </c>
      <c r="G7852" s="5">
        <v>1.24</v>
      </c>
    </row>
    <row r="7853" spans="1:7" x14ac:dyDescent="0.2">
      <c r="A7853" s="3">
        <v>3000</v>
      </c>
      <c r="B7853" s="2">
        <v>5610</v>
      </c>
      <c r="C7853" s="38">
        <v>45103</v>
      </c>
      <c r="D7853" s="1" t="s">
        <v>358</v>
      </c>
      <c r="E7853" s="1" t="s">
        <v>39</v>
      </c>
      <c r="F7853" s="1" t="s">
        <v>212</v>
      </c>
      <c r="G7853" s="5">
        <v>1.87</v>
      </c>
    </row>
    <row r="7854" spans="1:7" x14ac:dyDescent="0.2">
      <c r="A7854" s="3">
        <v>3000</v>
      </c>
      <c r="B7854" s="2">
        <v>5610</v>
      </c>
      <c r="C7854" s="38">
        <v>45103</v>
      </c>
      <c r="D7854" s="1" t="s">
        <v>358</v>
      </c>
      <c r="E7854" s="1" t="s">
        <v>39</v>
      </c>
      <c r="F7854" s="1" t="s">
        <v>212</v>
      </c>
      <c r="G7854" s="5">
        <v>1.87</v>
      </c>
    </row>
    <row r="7855" spans="1:7" x14ac:dyDescent="0.2">
      <c r="A7855" s="3">
        <v>3000</v>
      </c>
      <c r="B7855" s="2">
        <v>5610</v>
      </c>
      <c r="C7855" s="38">
        <v>45103</v>
      </c>
      <c r="D7855" s="1" t="s">
        <v>358</v>
      </c>
      <c r="E7855" s="1" t="s">
        <v>39</v>
      </c>
      <c r="F7855" s="1" t="s">
        <v>212</v>
      </c>
      <c r="G7855" s="5">
        <v>1.87</v>
      </c>
    </row>
    <row r="7856" spans="1:7" x14ac:dyDescent="0.2">
      <c r="A7856" s="3">
        <v>3000</v>
      </c>
      <c r="B7856" s="2">
        <v>7020</v>
      </c>
      <c r="C7856" s="38">
        <v>45103</v>
      </c>
      <c r="D7856" s="1" t="s">
        <v>369</v>
      </c>
      <c r="E7856" s="1" t="s">
        <v>39</v>
      </c>
      <c r="F7856" s="1" t="s">
        <v>212</v>
      </c>
      <c r="G7856" s="5">
        <v>2.34</v>
      </c>
    </row>
    <row r="7857" spans="1:7" x14ac:dyDescent="0.2">
      <c r="A7857" s="3">
        <v>3000</v>
      </c>
      <c r="B7857" s="2">
        <v>7020</v>
      </c>
      <c r="C7857" s="38">
        <v>45114</v>
      </c>
      <c r="D7857" s="1" t="s">
        <v>369</v>
      </c>
      <c r="E7857" s="1" t="s">
        <v>39</v>
      </c>
      <c r="F7857" s="1" t="s">
        <v>212</v>
      </c>
      <c r="G7857" s="5">
        <v>2.34</v>
      </c>
    </row>
    <row r="7858" spans="1:7" x14ac:dyDescent="0.2">
      <c r="A7858" s="3">
        <v>3000</v>
      </c>
      <c r="B7858" s="2">
        <v>7020</v>
      </c>
      <c r="C7858" s="38">
        <v>45114</v>
      </c>
      <c r="D7858" s="1" t="s">
        <v>369</v>
      </c>
      <c r="E7858" s="1" t="s">
        <v>39</v>
      </c>
      <c r="F7858" s="1" t="s">
        <v>212</v>
      </c>
      <c r="G7858" s="5">
        <v>2.34</v>
      </c>
    </row>
    <row r="7859" spans="1:7" x14ac:dyDescent="0.2">
      <c r="A7859" s="3">
        <v>3000</v>
      </c>
      <c r="B7859" s="2">
        <v>9456</v>
      </c>
      <c r="C7859" s="38">
        <v>45117</v>
      </c>
      <c r="D7859" s="1" t="s">
        <v>359</v>
      </c>
      <c r="E7859" s="1" t="s">
        <v>39</v>
      </c>
      <c r="F7859" s="1" t="s">
        <v>212</v>
      </c>
      <c r="G7859" s="5">
        <v>3.1520000000000001</v>
      </c>
    </row>
    <row r="7860" spans="1:7" x14ac:dyDescent="0.2">
      <c r="A7860" s="3">
        <v>3000</v>
      </c>
      <c r="B7860" s="2">
        <v>7020</v>
      </c>
      <c r="C7860" s="38">
        <v>44757</v>
      </c>
      <c r="D7860" s="1" t="s">
        <v>369</v>
      </c>
      <c r="E7860" s="1" t="s">
        <v>39</v>
      </c>
      <c r="F7860" s="1" t="s">
        <v>212</v>
      </c>
      <c r="G7860" s="5">
        <v>2.34</v>
      </c>
    </row>
    <row r="7861" spans="1:7" x14ac:dyDescent="0.2">
      <c r="A7861" s="3">
        <v>3000</v>
      </c>
      <c r="B7861" s="2">
        <v>3720</v>
      </c>
      <c r="C7861" s="38">
        <v>44762</v>
      </c>
      <c r="D7861" s="1" t="s">
        <v>360</v>
      </c>
      <c r="E7861" s="1" t="s">
        <v>39</v>
      </c>
      <c r="F7861" s="1" t="s">
        <v>212</v>
      </c>
      <c r="G7861" s="5">
        <v>1.24</v>
      </c>
    </row>
    <row r="7862" spans="1:7" x14ac:dyDescent="0.2">
      <c r="A7862" s="3">
        <v>3000</v>
      </c>
      <c r="B7862" s="2">
        <v>7020</v>
      </c>
      <c r="C7862" s="38">
        <v>44762</v>
      </c>
      <c r="D7862" s="1" t="s">
        <v>369</v>
      </c>
      <c r="E7862" s="1" t="s">
        <v>39</v>
      </c>
      <c r="F7862" s="1" t="s">
        <v>212</v>
      </c>
      <c r="G7862" s="5">
        <v>2.34</v>
      </c>
    </row>
    <row r="7863" spans="1:7" x14ac:dyDescent="0.2">
      <c r="A7863" s="3">
        <v>3000</v>
      </c>
      <c r="B7863" s="2">
        <v>7020</v>
      </c>
      <c r="C7863" s="38">
        <v>44762</v>
      </c>
      <c r="D7863" s="1" t="s">
        <v>369</v>
      </c>
      <c r="E7863" s="1" t="s">
        <v>39</v>
      </c>
      <c r="F7863" s="1" t="s">
        <v>212</v>
      </c>
      <c r="G7863" s="5">
        <v>2.34</v>
      </c>
    </row>
    <row r="7864" spans="1:7" x14ac:dyDescent="0.2">
      <c r="A7864" s="3">
        <v>3000</v>
      </c>
      <c r="B7864" s="2">
        <v>9450</v>
      </c>
      <c r="C7864" s="38">
        <v>44767</v>
      </c>
      <c r="D7864" s="1" t="s">
        <v>359</v>
      </c>
      <c r="E7864" s="1" t="s">
        <v>39</v>
      </c>
      <c r="F7864" s="1" t="s">
        <v>212</v>
      </c>
      <c r="G7864" s="5">
        <v>3.15</v>
      </c>
    </row>
    <row r="7865" spans="1:7" x14ac:dyDescent="0.2">
      <c r="A7865" s="3">
        <v>3000</v>
      </c>
      <c r="B7865" s="2">
        <v>9450</v>
      </c>
      <c r="C7865" s="38">
        <v>44767</v>
      </c>
      <c r="D7865" s="1" t="s">
        <v>359</v>
      </c>
      <c r="E7865" s="1" t="s">
        <v>39</v>
      </c>
      <c r="F7865" s="1" t="s">
        <v>212</v>
      </c>
      <c r="G7865" s="5">
        <v>3.15</v>
      </c>
    </row>
    <row r="7866" spans="1:7" x14ac:dyDescent="0.2">
      <c r="A7866" s="3">
        <v>3000</v>
      </c>
      <c r="B7866" s="2">
        <v>9450</v>
      </c>
      <c r="C7866" s="38">
        <v>44767</v>
      </c>
      <c r="D7866" s="1" t="s">
        <v>359</v>
      </c>
      <c r="E7866" s="1" t="s">
        <v>39</v>
      </c>
      <c r="F7866" s="1" t="s">
        <v>212</v>
      </c>
      <c r="G7866" s="5">
        <v>3.15</v>
      </c>
    </row>
    <row r="7867" spans="1:7" x14ac:dyDescent="0.2">
      <c r="A7867" s="3">
        <v>3000</v>
      </c>
      <c r="B7867" s="2">
        <v>3720</v>
      </c>
      <c r="C7867" s="38">
        <v>44781</v>
      </c>
      <c r="D7867" s="1" t="s">
        <v>360</v>
      </c>
      <c r="E7867" s="1" t="s">
        <v>39</v>
      </c>
      <c r="F7867" s="1" t="s">
        <v>212</v>
      </c>
      <c r="G7867" s="5">
        <v>1.24</v>
      </c>
    </row>
    <row r="7868" spans="1:7" x14ac:dyDescent="0.2">
      <c r="A7868" s="3">
        <v>3000</v>
      </c>
      <c r="B7868" s="2">
        <v>7020</v>
      </c>
      <c r="C7868" s="38">
        <v>44677</v>
      </c>
      <c r="D7868" s="1" t="s">
        <v>369</v>
      </c>
      <c r="E7868" s="1" t="s">
        <v>39</v>
      </c>
      <c r="F7868" s="1" t="s">
        <v>212</v>
      </c>
      <c r="G7868" s="5">
        <v>2.34</v>
      </c>
    </row>
    <row r="7869" spans="1:7" x14ac:dyDescent="0.2">
      <c r="A7869" s="3">
        <v>3000</v>
      </c>
      <c r="B7869" s="2">
        <v>4620</v>
      </c>
      <c r="C7869" s="38">
        <v>45051</v>
      </c>
      <c r="D7869" s="1" t="s">
        <v>361</v>
      </c>
      <c r="E7869" s="1" t="s">
        <v>39</v>
      </c>
      <c r="F7869" s="1" t="s">
        <v>212</v>
      </c>
      <c r="G7869" s="5">
        <v>1.54</v>
      </c>
    </row>
    <row r="7870" spans="1:7" x14ac:dyDescent="0.2">
      <c r="A7870" s="3">
        <v>3000</v>
      </c>
      <c r="B7870" s="2">
        <v>3720</v>
      </c>
      <c r="C7870" s="38">
        <v>44782</v>
      </c>
      <c r="D7870" s="1" t="s">
        <v>360</v>
      </c>
      <c r="E7870" s="1" t="s">
        <v>39</v>
      </c>
      <c r="F7870" s="1" t="s">
        <v>212</v>
      </c>
      <c r="G7870" s="5">
        <v>1.24</v>
      </c>
    </row>
    <row r="7871" spans="1:7" x14ac:dyDescent="0.2">
      <c r="A7871" s="3">
        <v>3000</v>
      </c>
      <c r="B7871" s="2">
        <v>3720</v>
      </c>
      <c r="C7871" s="38">
        <v>44782</v>
      </c>
      <c r="D7871" s="1" t="s">
        <v>360</v>
      </c>
      <c r="E7871" s="1" t="s">
        <v>39</v>
      </c>
      <c r="F7871" s="1" t="s">
        <v>212</v>
      </c>
      <c r="G7871" s="5">
        <v>1.24</v>
      </c>
    </row>
    <row r="7872" spans="1:7" x14ac:dyDescent="0.2">
      <c r="A7872" s="3">
        <v>3000</v>
      </c>
      <c r="B7872" s="2">
        <v>3720</v>
      </c>
      <c r="C7872" s="38">
        <v>44792</v>
      </c>
      <c r="D7872" s="1" t="s">
        <v>360</v>
      </c>
      <c r="E7872" s="1" t="s">
        <v>39</v>
      </c>
      <c r="F7872" s="1" t="s">
        <v>212</v>
      </c>
      <c r="G7872" s="5">
        <v>1.24</v>
      </c>
    </row>
    <row r="7873" spans="1:7" x14ac:dyDescent="0.2">
      <c r="A7873" s="3">
        <v>3000</v>
      </c>
      <c r="B7873" s="2">
        <v>3120</v>
      </c>
      <c r="C7873" s="38">
        <v>44790</v>
      </c>
      <c r="D7873" s="1" t="s">
        <v>335</v>
      </c>
      <c r="E7873" s="1" t="s">
        <v>39</v>
      </c>
      <c r="F7873" s="1" t="s">
        <v>212</v>
      </c>
      <c r="G7873" s="5">
        <v>1.04</v>
      </c>
    </row>
    <row r="7874" spans="1:7" x14ac:dyDescent="0.2">
      <c r="A7874" s="3">
        <v>3000</v>
      </c>
      <c r="B7874" s="2">
        <v>4620</v>
      </c>
      <c r="C7874" s="38">
        <v>44792</v>
      </c>
      <c r="D7874" s="1" t="s">
        <v>361</v>
      </c>
      <c r="E7874" s="1" t="s">
        <v>39</v>
      </c>
      <c r="F7874" s="1" t="s">
        <v>212</v>
      </c>
      <c r="G7874" s="5">
        <v>1.54</v>
      </c>
    </row>
    <row r="7875" spans="1:7" x14ac:dyDescent="0.2">
      <c r="A7875" s="3">
        <v>3000</v>
      </c>
      <c r="B7875" s="2">
        <v>3720</v>
      </c>
      <c r="C7875" s="38">
        <v>44782</v>
      </c>
      <c r="D7875" s="1" t="s">
        <v>360</v>
      </c>
      <c r="E7875" s="1" t="s">
        <v>39</v>
      </c>
      <c r="F7875" s="1" t="s">
        <v>212</v>
      </c>
      <c r="G7875" s="5">
        <v>1.24</v>
      </c>
    </row>
    <row r="7876" spans="1:7" x14ac:dyDescent="0.2">
      <c r="A7876" s="3">
        <v>3000</v>
      </c>
      <c r="B7876" s="2">
        <v>3720</v>
      </c>
      <c r="C7876" s="38">
        <v>44782</v>
      </c>
      <c r="D7876" s="1" t="s">
        <v>360</v>
      </c>
      <c r="E7876" s="1" t="s">
        <v>39</v>
      </c>
      <c r="F7876" s="1" t="s">
        <v>212</v>
      </c>
      <c r="G7876" s="5">
        <v>1.24</v>
      </c>
    </row>
    <row r="7877" spans="1:7" x14ac:dyDescent="0.2">
      <c r="A7877" s="3">
        <v>3000</v>
      </c>
      <c r="B7877" s="2">
        <v>5610</v>
      </c>
      <c r="C7877" s="38">
        <v>44827</v>
      </c>
      <c r="D7877" s="1" t="s">
        <v>358</v>
      </c>
      <c r="E7877" s="1" t="s">
        <v>39</v>
      </c>
      <c r="F7877" s="1" t="s">
        <v>212</v>
      </c>
      <c r="G7877" s="5">
        <v>1.87</v>
      </c>
    </row>
    <row r="7878" spans="1:7" x14ac:dyDescent="0.2">
      <c r="A7878" s="3">
        <v>3000</v>
      </c>
      <c r="B7878" s="2">
        <v>3120</v>
      </c>
      <c r="C7878" s="38">
        <v>44876</v>
      </c>
      <c r="D7878" s="1" t="s">
        <v>335</v>
      </c>
      <c r="E7878" s="1" t="s">
        <v>39</v>
      </c>
      <c r="F7878" s="1" t="s">
        <v>212</v>
      </c>
      <c r="G7878" s="5">
        <v>1.04</v>
      </c>
    </row>
    <row r="7879" spans="1:7" x14ac:dyDescent="0.2">
      <c r="A7879" s="3">
        <v>3000</v>
      </c>
      <c r="B7879" s="2">
        <v>5610</v>
      </c>
      <c r="C7879" s="38">
        <v>44900</v>
      </c>
      <c r="D7879" s="1" t="s">
        <v>358</v>
      </c>
      <c r="E7879" s="1" t="s">
        <v>39</v>
      </c>
      <c r="F7879" s="1" t="s">
        <v>212</v>
      </c>
      <c r="G7879" s="5">
        <v>1.87</v>
      </c>
    </row>
    <row r="7880" spans="1:7" x14ac:dyDescent="0.2">
      <c r="A7880" s="3">
        <v>3000</v>
      </c>
      <c r="B7880" s="2">
        <v>5280</v>
      </c>
      <c r="C7880" s="38">
        <v>44567</v>
      </c>
      <c r="D7880" s="1" t="s">
        <v>297</v>
      </c>
      <c r="E7880" s="1" t="s">
        <v>39</v>
      </c>
      <c r="F7880" s="1" t="s">
        <v>212</v>
      </c>
      <c r="G7880" s="5">
        <v>1.76</v>
      </c>
    </row>
    <row r="7881" spans="1:7" x14ac:dyDescent="0.2">
      <c r="A7881" s="3">
        <v>3000</v>
      </c>
      <c r="B7881" s="2">
        <v>5280</v>
      </c>
      <c r="C7881" s="38">
        <v>44572</v>
      </c>
      <c r="D7881" s="1" t="s">
        <v>297</v>
      </c>
      <c r="E7881" s="1" t="s">
        <v>39</v>
      </c>
      <c r="F7881" s="1" t="s">
        <v>212</v>
      </c>
      <c r="G7881" s="5">
        <v>1.76</v>
      </c>
    </row>
    <row r="7882" spans="1:7" x14ac:dyDescent="0.2">
      <c r="A7882" s="3">
        <v>3000</v>
      </c>
      <c r="B7882" s="2">
        <v>5280</v>
      </c>
      <c r="C7882" s="38">
        <v>44580</v>
      </c>
      <c r="D7882" s="1" t="s">
        <v>297</v>
      </c>
      <c r="E7882" s="1" t="s">
        <v>39</v>
      </c>
      <c r="F7882" s="1" t="s">
        <v>212</v>
      </c>
      <c r="G7882" s="5">
        <v>1.76</v>
      </c>
    </row>
    <row r="7883" spans="1:7" x14ac:dyDescent="0.2">
      <c r="A7883" s="3">
        <v>3000</v>
      </c>
      <c r="B7883" s="2">
        <v>5280</v>
      </c>
      <c r="C7883" s="38">
        <v>44581</v>
      </c>
      <c r="D7883" s="1" t="s">
        <v>297</v>
      </c>
      <c r="E7883" s="1" t="s">
        <v>39</v>
      </c>
      <c r="F7883" s="1" t="s">
        <v>212</v>
      </c>
      <c r="G7883" s="5">
        <v>1.76</v>
      </c>
    </row>
    <row r="7884" spans="1:7" x14ac:dyDescent="0.2">
      <c r="A7884" s="3">
        <v>3000</v>
      </c>
      <c r="B7884" s="2">
        <v>5280</v>
      </c>
      <c r="C7884" s="38">
        <v>44589</v>
      </c>
      <c r="D7884" s="1" t="s">
        <v>297</v>
      </c>
      <c r="E7884" s="1" t="s">
        <v>39</v>
      </c>
      <c r="F7884" s="1" t="s">
        <v>212</v>
      </c>
      <c r="G7884" s="5">
        <v>1.76</v>
      </c>
    </row>
    <row r="7885" spans="1:7" x14ac:dyDescent="0.2">
      <c r="A7885" s="3">
        <v>3000</v>
      </c>
      <c r="B7885" s="2">
        <v>5280</v>
      </c>
      <c r="C7885" s="38">
        <v>44594</v>
      </c>
      <c r="D7885" s="1" t="s">
        <v>297</v>
      </c>
      <c r="E7885" s="1" t="s">
        <v>39</v>
      </c>
      <c r="F7885" s="1" t="s">
        <v>212</v>
      </c>
      <c r="G7885" s="5">
        <v>1.76</v>
      </c>
    </row>
    <row r="7886" spans="1:7" x14ac:dyDescent="0.2">
      <c r="A7886" s="3">
        <v>3000</v>
      </c>
      <c r="B7886" s="2">
        <v>5280</v>
      </c>
      <c r="C7886" s="38">
        <v>44964</v>
      </c>
      <c r="D7886" s="1" t="s">
        <v>297</v>
      </c>
      <c r="E7886" s="1" t="s">
        <v>39</v>
      </c>
      <c r="F7886" s="1" t="s">
        <v>212</v>
      </c>
      <c r="G7886" s="5">
        <v>1.76</v>
      </c>
    </row>
    <row r="7887" spans="1:7" x14ac:dyDescent="0.2">
      <c r="A7887" s="3">
        <v>3000</v>
      </c>
      <c r="B7887" s="2">
        <v>5940</v>
      </c>
      <c r="C7887" s="38">
        <v>44964</v>
      </c>
      <c r="D7887" s="1" t="s">
        <v>309</v>
      </c>
      <c r="E7887" s="1" t="s">
        <v>39</v>
      </c>
      <c r="F7887" s="1" t="s">
        <v>212</v>
      </c>
      <c r="G7887" s="5">
        <v>1.98</v>
      </c>
    </row>
    <row r="7888" spans="1:7" x14ac:dyDescent="0.2">
      <c r="A7888" s="3">
        <v>3000</v>
      </c>
      <c r="B7888" s="2">
        <v>5940</v>
      </c>
      <c r="C7888" s="38">
        <v>44964</v>
      </c>
      <c r="D7888" s="1" t="s">
        <v>309</v>
      </c>
      <c r="E7888" s="1" t="s">
        <v>39</v>
      </c>
      <c r="F7888" s="1" t="s">
        <v>212</v>
      </c>
      <c r="G7888" s="5">
        <v>1.98</v>
      </c>
    </row>
    <row r="7889" spans="1:7" x14ac:dyDescent="0.2">
      <c r="A7889" s="3">
        <v>3000</v>
      </c>
      <c r="B7889" s="2">
        <v>5280</v>
      </c>
      <c r="C7889" s="38">
        <v>44610</v>
      </c>
      <c r="D7889" s="1" t="s">
        <v>297</v>
      </c>
      <c r="E7889" s="1" t="s">
        <v>39</v>
      </c>
      <c r="F7889" s="1" t="s">
        <v>212</v>
      </c>
      <c r="G7889" s="5">
        <v>1.76</v>
      </c>
    </row>
    <row r="7890" spans="1:7" x14ac:dyDescent="0.2">
      <c r="A7890" s="3">
        <v>3000</v>
      </c>
      <c r="B7890" s="2">
        <v>5280</v>
      </c>
      <c r="C7890" s="38">
        <v>44610</v>
      </c>
      <c r="D7890" s="1" t="s">
        <v>297</v>
      </c>
      <c r="E7890" s="1" t="s">
        <v>39</v>
      </c>
      <c r="F7890" s="1" t="s">
        <v>212</v>
      </c>
      <c r="G7890" s="5">
        <v>1.76</v>
      </c>
    </row>
    <row r="7891" spans="1:7" x14ac:dyDescent="0.2">
      <c r="A7891" s="3">
        <v>3000</v>
      </c>
      <c r="B7891" s="2">
        <v>5280</v>
      </c>
      <c r="C7891" s="38">
        <v>44615</v>
      </c>
      <c r="D7891" s="1" t="s">
        <v>297</v>
      </c>
      <c r="E7891" s="1" t="s">
        <v>39</v>
      </c>
      <c r="F7891" s="1" t="s">
        <v>212</v>
      </c>
      <c r="G7891" s="5">
        <v>1.76</v>
      </c>
    </row>
    <row r="7892" spans="1:7" x14ac:dyDescent="0.2">
      <c r="A7892" s="3">
        <v>3000</v>
      </c>
      <c r="B7892" s="2">
        <v>5280</v>
      </c>
      <c r="C7892" s="38">
        <v>45020</v>
      </c>
      <c r="D7892" s="1" t="s">
        <v>297</v>
      </c>
      <c r="E7892" s="1" t="s">
        <v>39</v>
      </c>
      <c r="F7892" s="1" t="s">
        <v>212</v>
      </c>
      <c r="G7892" s="5">
        <v>1.76</v>
      </c>
    </row>
    <row r="7893" spans="1:7" x14ac:dyDescent="0.2">
      <c r="A7893" s="3">
        <v>3000</v>
      </c>
      <c r="B7893" s="2">
        <v>5940</v>
      </c>
      <c r="C7893" s="38">
        <v>45041</v>
      </c>
      <c r="D7893" s="1" t="s">
        <v>309</v>
      </c>
      <c r="E7893" s="1" t="s">
        <v>39</v>
      </c>
      <c r="F7893" s="1" t="s">
        <v>212</v>
      </c>
      <c r="G7893" s="5">
        <v>1.98</v>
      </c>
    </row>
    <row r="7894" spans="1:7" x14ac:dyDescent="0.2">
      <c r="A7894" s="3">
        <v>3000</v>
      </c>
      <c r="B7894" s="2">
        <v>5280</v>
      </c>
      <c r="C7894" s="38">
        <v>45051</v>
      </c>
      <c r="D7894" s="1" t="s">
        <v>297</v>
      </c>
      <c r="E7894" s="1" t="s">
        <v>39</v>
      </c>
      <c r="F7894" s="1" t="s">
        <v>212</v>
      </c>
      <c r="G7894" s="5">
        <v>1.76</v>
      </c>
    </row>
    <row r="7895" spans="1:7" x14ac:dyDescent="0.2">
      <c r="A7895" s="3">
        <v>3000</v>
      </c>
      <c r="B7895" s="2">
        <v>5940</v>
      </c>
      <c r="C7895" s="38">
        <v>44700</v>
      </c>
      <c r="D7895" s="1" t="s">
        <v>309</v>
      </c>
      <c r="E7895" s="1" t="s">
        <v>39</v>
      </c>
      <c r="F7895" s="1" t="s">
        <v>212</v>
      </c>
      <c r="G7895" s="5">
        <v>1.98</v>
      </c>
    </row>
    <row r="7896" spans="1:7" x14ac:dyDescent="0.2">
      <c r="A7896" s="3">
        <v>3000</v>
      </c>
      <c r="B7896" s="2">
        <v>5940</v>
      </c>
      <c r="C7896" s="38">
        <v>44704</v>
      </c>
      <c r="D7896" s="1" t="s">
        <v>309</v>
      </c>
      <c r="E7896" s="1" t="s">
        <v>39</v>
      </c>
      <c r="F7896" s="1" t="s">
        <v>212</v>
      </c>
      <c r="G7896" s="5">
        <v>1.98</v>
      </c>
    </row>
    <row r="7897" spans="1:7" x14ac:dyDescent="0.2">
      <c r="A7897" s="3">
        <v>3000</v>
      </c>
      <c r="B7897" s="2">
        <v>5940</v>
      </c>
      <c r="C7897" s="38">
        <v>44705</v>
      </c>
      <c r="D7897" s="1" t="s">
        <v>309</v>
      </c>
      <c r="E7897" s="1" t="s">
        <v>39</v>
      </c>
      <c r="F7897" s="1" t="s">
        <v>212</v>
      </c>
      <c r="G7897" s="5">
        <v>1.98</v>
      </c>
    </row>
    <row r="7898" spans="1:7" x14ac:dyDescent="0.2">
      <c r="A7898" s="3">
        <v>3000</v>
      </c>
      <c r="B7898" s="2">
        <v>5940</v>
      </c>
      <c r="C7898" s="38">
        <v>44742</v>
      </c>
      <c r="D7898" s="1" t="s">
        <v>309</v>
      </c>
      <c r="E7898" s="1" t="s">
        <v>39</v>
      </c>
      <c r="F7898" s="1" t="s">
        <v>212</v>
      </c>
      <c r="G7898" s="5">
        <v>1.98</v>
      </c>
    </row>
    <row r="7899" spans="1:7" x14ac:dyDescent="0.2">
      <c r="A7899" s="3">
        <v>3000</v>
      </c>
      <c r="B7899" s="2">
        <v>5940</v>
      </c>
      <c r="C7899" s="38">
        <v>44742</v>
      </c>
      <c r="D7899" s="1" t="s">
        <v>309</v>
      </c>
      <c r="E7899" s="1" t="s">
        <v>39</v>
      </c>
      <c r="F7899" s="1" t="s">
        <v>212</v>
      </c>
      <c r="G7899" s="5">
        <v>1.98</v>
      </c>
    </row>
    <row r="7900" spans="1:7" x14ac:dyDescent="0.2">
      <c r="A7900" s="3">
        <v>3000</v>
      </c>
      <c r="B7900" s="2">
        <v>5280</v>
      </c>
      <c r="C7900" s="38">
        <v>45153</v>
      </c>
      <c r="D7900" s="1" t="s">
        <v>297</v>
      </c>
      <c r="E7900" s="1" t="s">
        <v>39</v>
      </c>
      <c r="F7900" s="1" t="s">
        <v>212</v>
      </c>
      <c r="G7900" s="5">
        <v>1.76</v>
      </c>
    </row>
    <row r="7901" spans="1:7" x14ac:dyDescent="0.2">
      <c r="A7901" s="3">
        <v>3000</v>
      </c>
      <c r="B7901" s="2">
        <v>5940</v>
      </c>
      <c r="C7901" s="38">
        <v>45155</v>
      </c>
      <c r="D7901" s="1" t="s">
        <v>309</v>
      </c>
      <c r="E7901" s="1" t="s">
        <v>39</v>
      </c>
      <c r="F7901" s="1" t="s">
        <v>212</v>
      </c>
      <c r="G7901" s="5">
        <v>1.98</v>
      </c>
    </row>
    <row r="7902" spans="1:7" x14ac:dyDescent="0.2">
      <c r="A7902" s="3">
        <v>3000</v>
      </c>
      <c r="B7902" s="2">
        <v>5280</v>
      </c>
      <c r="C7902" s="38">
        <v>44512</v>
      </c>
      <c r="D7902" s="1" t="s">
        <v>297</v>
      </c>
      <c r="E7902" s="1" t="s">
        <v>39</v>
      </c>
      <c r="F7902" s="1" t="s">
        <v>212</v>
      </c>
      <c r="G7902" s="5">
        <v>1.76</v>
      </c>
    </row>
    <row r="7903" spans="1:7" x14ac:dyDescent="0.2">
      <c r="A7903" s="3">
        <v>3000</v>
      </c>
      <c r="B7903" s="2">
        <v>5280</v>
      </c>
      <c r="C7903" s="38">
        <v>44517</v>
      </c>
      <c r="D7903" s="1" t="s">
        <v>297</v>
      </c>
      <c r="E7903" s="1" t="s">
        <v>39</v>
      </c>
      <c r="F7903" s="1" t="s">
        <v>212</v>
      </c>
      <c r="G7903" s="5">
        <v>1.76</v>
      </c>
    </row>
    <row r="7904" spans="1:7" x14ac:dyDescent="0.2">
      <c r="A7904" s="3">
        <v>3000</v>
      </c>
      <c r="B7904" s="2">
        <v>5280</v>
      </c>
      <c r="C7904" s="38">
        <v>44522</v>
      </c>
      <c r="D7904" s="1" t="s">
        <v>297</v>
      </c>
      <c r="E7904" s="1" t="s">
        <v>39</v>
      </c>
      <c r="F7904" s="1" t="s">
        <v>212</v>
      </c>
      <c r="G7904" s="5">
        <v>1.76</v>
      </c>
    </row>
    <row r="7905" spans="1:7" x14ac:dyDescent="0.2">
      <c r="A7905" s="3">
        <v>3000</v>
      </c>
      <c r="B7905" s="2">
        <v>5280</v>
      </c>
      <c r="C7905" s="38">
        <v>44900</v>
      </c>
      <c r="D7905" s="1" t="s">
        <v>297</v>
      </c>
      <c r="E7905" s="1" t="s">
        <v>39</v>
      </c>
      <c r="F7905" s="1" t="s">
        <v>212</v>
      </c>
      <c r="G7905" s="5">
        <v>1.76</v>
      </c>
    </row>
    <row r="7906" spans="1:7" x14ac:dyDescent="0.2">
      <c r="A7906" s="3">
        <v>3000</v>
      </c>
      <c r="B7906" s="2">
        <v>5280</v>
      </c>
      <c r="C7906" s="38">
        <v>44900</v>
      </c>
      <c r="D7906" s="1" t="s">
        <v>297</v>
      </c>
      <c r="E7906" s="1" t="s">
        <v>39</v>
      </c>
      <c r="F7906" s="1" t="s">
        <v>212</v>
      </c>
      <c r="G7906" s="5">
        <v>1.76</v>
      </c>
    </row>
    <row r="7907" spans="1:7" x14ac:dyDescent="0.2">
      <c r="A7907" s="3">
        <v>3000</v>
      </c>
      <c r="B7907" s="2">
        <v>5940</v>
      </c>
      <c r="C7907" s="38">
        <v>44900</v>
      </c>
      <c r="D7907" s="1" t="s">
        <v>309</v>
      </c>
      <c r="E7907" s="1" t="s">
        <v>39</v>
      </c>
      <c r="F7907" s="1" t="s">
        <v>212</v>
      </c>
      <c r="G7907" s="5">
        <v>1.98</v>
      </c>
    </row>
    <row r="7908" spans="1:7" x14ac:dyDescent="0.2">
      <c r="A7908" s="3">
        <v>3000</v>
      </c>
      <c r="B7908" s="2">
        <v>5940</v>
      </c>
      <c r="C7908" s="38">
        <v>44900</v>
      </c>
      <c r="D7908" s="1" t="s">
        <v>309</v>
      </c>
      <c r="E7908" s="1" t="s">
        <v>39</v>
      </c>
      <c r="F7908" s="1" t="s">
        <v>212</v>
      </c>
      <c r="G7908" s="5">
        <v>1.98</v>
      </c>
    </row>
    <row r="7909" spans="1:7" x14ac:dyDescent="0.2">
      <c r="A7909" s="3">
        <v>3000</v>
      </c>
      <c r="B7909" s="2">
        <v>5940</v>
      </c>
      <c r="C7909" s="38">
        <v>44900</v>
      </c>
      <c r="D7909" s="1" t="s">
        <v>309</v>
      </c>
      <c r="E7909" s="1" t="s">
        <v>39</v>
      </c>
      <c r="F7909" s="1" t="s">
        <v>212</v>
      </c>
      <c r="G7909" s="5">
        <v>1.98</v>
      </c>
    </row>
    <row r="7910" spans="1:7" x14ac:dyDescent="0.2">
      <c r="A7910" s="3">
        <v>3000</v>
      </c>
      <c r="B7910" s="2">
        <v>5940</v>
      </c>
      <c r="C7910" s="38">
        <v>44900</v>
      </c>
      <c r="D7910" s="1" t="s">
        <v>309</v>
      </c>
      <c r="E7910" s="1" t="s">
        <v>39</v>
      </c>
      <c r="F7910" s="1" t="s">
        <v>212</v>
      </c>
      <c r="G7910" s="5">
        <v>1.98</v>
      </c>
    </row>
    <row r="7911" spans="1:7" x14ac:dyDescent="0.2">
      <c r="A7911" s="3">
        <v>3000</v>
      </c>
      <c r="B7911" s="2">
        <v>5940</v>
      </c>
      <c r="C7911" s="38">
        <v>44902</v>
      </c>
      <c r="D7911" s="1" t="s">
        <v>309</v>
      </c>
      <c r="E7911" s="1" t="s">
        <v>39</v>
      </c>
      <c r="F7911" s="1" t="s">
        <v>212</v>
      </c>
      <c r="G7911" s="5">
        <v>1.98</v>
      </c>
    </row>
    <row r="7912" spans="1:7" x14ac:dyDescent="0.2">
      <c r="A7912" s="3">
        <v>3000</v>
      </c>
      <c r="B7912" s="2">
        <v>6360</v>
      </c>
      <c r="C7912" s="38">
        <v>44943</v>
      </c>
      <c r="D7912" s="1" t="s">
        <v>367</v>
      </c>
      <c r="E7912" s="1" t="s">
        <v>36</v>
      </c>
      <c r="F7912" s="1" t="s">
        <v>204</v>
      </c>
      <c r="G7912" s="5">
        <v>2.12</v>
      </c>
    </row>
    <row r="7913" spans="1:7" x14ac:dyDescent="0.2">
      <c r="A7913" s="3">
        <v>3000</v>
      </c>
      <c r="B7913" s="2">
        <v>2719.2</v>
      </c>
      <c r="C7913" s="38">
        <v>44585</v>
      </c>
      <c r="D7913" s="1" t="s">
        <v>335</v>
      </c>
      <c r="E7913" s="1" t="s">
        <v>41</v>
      </c>
      <c r="F7913" s="1" t="s">
        <v>219</v>
      </c>
      <c r="G7913" s="5">
        <v>0.90639999999999998</v>
      </c>
    </row>
    <row r="7914" spans="1:7" x14ac:dyDescent="0.2">
      <c r="A7914" s="3">
        <v>3000</v>
      </c>
      <c r="B7914" s="2">
        <v>3120</v>
      </c>
      <c r="C7914" s="38">
        <v>44950</v>
      </c>
      <c r="D7914" s="1" t="s">
        <v>335</v>
      </c>
      <c r="E7914" s="1" t="s">
        <v>38</v>
      </c>
      <c r="F7914" s="1" t="s">
        <v>202</v>
      </c>
      <c r="G7914" s="5">
        <v>1.04</v>
      </c>
    </row>
    <row r="7915" spans="1:7" x14ac:dyDescent="0.2">
      <c r="A7915" s="3">
        <v>3000</v>
      </c>
      <c r="B7915" s="2">
        <v>2719.2</v>
      </c>
      <c r="C7915" s="38">
        <v>44586</v>
      </c>
      <c r="D7915" s="1" t="s">
        <v>335</v>
      </c>
      <c r="E7915" s="1" t="s">
        <v>40</v>
      </c>
      <c r="F7915" s="1" t="s">
        <v>206</v>
      </c>
      <c r="G7915" s="5">
        <v>0.90639999999999998</v>
      </c>
    </row>
    <row r="7916" spans="1:7" x14ac:dyDescent="0.2">
      <c r="A7916" s="3">
        <v>3000</v>
      </c>
      <c r="B7916" s="2">
        <v>3120</v>
      </c>
      <c r="C7916" s="38">
        <v>44964</v>
      </c>
      <c r="D7916" s="1" t="s">
        <v>335</v>
      </c>
      <c r="E7916" s="1" t="s">
        <v>38</v>
      </c>
      <c r="F7916" s="1" t="s">
        <v>202</v>
      </c>
      <c r="G7916" s="5">
        <v>1.04</v>
      </c>
    </row>
    <row r="7917" spans="1:7" x14ac:dyDescent="0.2">
      <c r="A7917" s="3">
        <v>3000</v>
      </c>
      <c r="B7917" s="2">
        <v>6360</v>
      </c>
      <c r="C7917" s="38">
        <v>44700</v>
      </c>
      <c r="D7917" s="1" t="s">
        <v>367</v>
      </c>
      <c r="E7917" s="1" t="s">
        <v>40</v>
      </c>
      <c r="F7917" s="1" t="s">
        <v>206</v>
      </c>
      <c r="G7917" s="5">
        <v>2.12</v>
      </c>
    </row>
    <row r="7918" spans="1:7" x14ac:dyDescent="0.2">
      <c r="A7918" s="3">
        <v>3000</v>
      </c>
      <c r="B7918" s="2">
        <v>3120</v>
      </c>
      <c r="C7918" s="38">
        <v>44705</v>
      </c>
      <c r="D7918" s="1" t="s">
        <v>335</v>
      </c>
      <c r="E7918" s="1" t="s">
        <v>38</v>
      </c>
      <c r="F7918" s="1" t="s">
        <v>202</v>
      </c>
      <c r="G7918" s="5">
        <v>1.04</v>
      </c>
    </row>
    <row r="7919" spans="1:7" x14ac:dyDescent="0.2">
      <c r="A7919" s="3">
        <v>3000</v>
      </c>
      <c r="B7919" s="2">
        <v>3120</v>
      </c>
      <c r="C7919" s="38">
        <v>44664</v>
      </c>
      <c r="D7919" s="1" t="s">
        <v>335</v>
      </c>
      <c r="E7919" s="1" t="s">
        <v>40</v>
      </c>
      <c r="F7919" s="1" t="s">
        <v>206</v>
      </c>
      <c r="G7919" s="5">
        <v>1.04</v>
      </c>
    </row>
    <row r="7920" spans="1:7" x14ac:dyDescent="0.2">
      <c r="A7920" s="3">
        <v>3000</v>
      </c>
      <c r="B7920" s="2">
        <v>3120</v>
      </c>
      <c r="C7920" s="38">
        <v>44762</v>
      </c>
      <c r="D7920" s="1" t="s">
        <v>335</v>
      </c>
      <c r="E7920" s="1" t="s">
        <v>38</v>
      </c>
      <c r="F7920" s="1" t="s">
        <v>202</v>
      </c>
      <c r="G7920" s="5">
        <v>1.04</v>
      </c>
    </row>
    <row r="7921" spans="1:7" x14ac:dyDescent="0.2">
      <c r="A7921" s="3">
        <v>3000</v>
      </c>
      <c r="B7921" s="2">
        <v>3120</v>
      </c>
      <c r="C7921" s="38">
        <v>44827</v>
      </c>
      <c r="D7921" s="1" t="s">
        <v>335</v>
      </c>
      <c r="E7921" s="1" t="s">
        <v>38</v>
      </c>
      <c r="F7921" s="1" t="s">
        <v>202</v>
      </c>
      <c r="G7921" s="5">
        <v>1.04</v>
      </c>
    </row>
  </sheetData>
  <autoFilter ref="A1:G7921" xr:uid="{D7EA3B21-7767-4410-BC77-3F0F15ACCE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Demand</vt:lpstr>
      <vt:lpstr>Demand3</vt:lpstr>
      <vt:lpstr>Inventory</vt:lpstr>
      <vt:lpstr>Demand2</vt:lpstr>
      <vt:lpstr>why</vt:lpstr>
      <vt:lpstr>Purchase Orders</vt:lpstr>
      <vt:lpstr>Shipping</vt:lpstr>
    </vt:vector>
  </TitlesOfParts>
  <Company>Avnet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Henry</dc:creator>
  <cp:lastModifiedBy>Jiyoung Lee</cp:lastModifiedBy>
  <dcterms:created xsi:type="dcterms:W3CDTF">2024-01-11T20:10:02Z</dcterms:created>
  <dcterms:modified xsi:type="dcterms:W3CDTF">2024-02-28T18:49:23Z</dcterms:modified>
</cp:coreProperties>
</file>